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oletins Nuppa Site" sheetId="1" state="visible" r:id="rId3"/>
    <sheet name="Planilha11" sheetId="2" state="visible" r:id="rId4"/>
    <sheet name="Planilha12" sheetId="3" state="visible" r:id="rId5"/>
    <sheet name="GRUPO_ALIMENTAR" sheetId="4" state="visible" r:id="rId6"/>
    <sheet name="UNIDADE_MEDIDA" sheetId="5" state="visible" r:id="rId7"/>
    <sheet name="BOLETIM" sheetId="6" state="visible" r:id="rId8"/>
    <sheet name="TIPO_APRESENTACAO" sheetId="7" state="visible" r:id="rId9"/>
    <sheet name="CATEGORIA" sheetId="8" state="visible" r:id="rId10"/>
    <sheet name="PRODUTO" sheetId="9" state="visible" r:id="rId11"/>
    <sheet name="PRODUTO_APRESENTACAO" sheetId="10" state="visible" r:id="rId12"/>
    <sheet name="COTACAO" sheetId="11" state="visible" r:id="rId13"/>
  </sheets>
  <definedNames>
    <definedName function="false" hidden="true" localSheetId="0" name="_xlnm._FilterDatabase" vbProcedure="false">'Boletins Nuppa Site'!$A$1:$O$2471</definedName>
    <definedName function="false" hidden="true" localSheetId="10" name="_xlnm._FilterDatabase" vbProcedure="false">COTACAO!$A$1:$H$2471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<sst xmlns="http://schemas.openxmlformats.org/spreadsheetml/2006/main" count="14653" uniqueCount="791">
  <si>
    <t xml:space="preserve">blt_numero</t>
  </si>
  <si>
    <t xml:space="preserve">blt_ano</t>
  </si>
  <si>
    <t xml:space="preserve">blt_data_lev</t>
  </si>
  <si>
    <t xml:space="preserve">Grupo</t>
  </si>
  <si>
    <t xml:space="preserve">Produto</t>
  </si>
  <si>
    <t xml:space="preserve">Unidade</t>
  </si>
  <si>
    <t xml:space="preserve">Comum</t>
  </si>
  <si>
    <t xml:space="preserve">Mínimo</t>
  </si>
  <si>
    <t xml:space="preserve">Máximo</t>
  </si>
  <si>
    <t xml:space="preserve">Média</t>
  </si>
  <si>
    <t xml:space="preserve">Mediana</t>
  </si>
  <si>
    <t xml:space="preserve">&gt;MAX</t>
  </si>
  <si>
    <t xml:space="preserve">&gt;MED</t>
  </si>
  <si>
    <t xml:space="preserve">MAX &lt; MED</t>
  </si>
  <si>
    <t xml:space="preserve">observações</t>
  </si>
  <si>
    <t xml:space="preserve">GRUPO A - Verduras (Folhosas, Flores e Hastes)</t>
  </si>
  <si>
    <t xml:space="preserve">Acelga</t>
  </si>
  <si>
    <t xml:space="preserve">12 unidades</t>
  </si>
  <si>
    <t xml:space="preserve">Agrião</t>
  </si>
  <si>
    <t xml:space="preserve">Alface Americana</t>
  </si>
  <si>
    <t xml:space="preserve">Alface crespa</t>
  </si>
  <si>
    <t xml:space="preserve">Alface lisa</t>
  </si>
  <si>
    <t xml:space="preserve">Almeirão</t>
  </si>
  <si>
    <t xml:space="preserve">Brócolos ninja/japonês</t>
  </si>
  <si>
    <t xml:space="preserve">Brócolos ramoso</t>
  </si>
  <si>
    <t xml:space="preserve">Couve-Manteiga</t>
  </si>
  <si>
    <t xml:space="preserve">Couve</t>
  </si>
  <si>
    <t xml:space="preserve">Escarola</t>
  </si>
  <si>
    <t xml:space="preserve">Espinafre</t>
  </si>
  <si>
    <t xml:space="preserve">Rabanete</t>
  </si>
  <si>
    <t xml:space="preserve">12 maços</t>
  </si>
  <si>
    <t xml:space="preserve">Repolho roxo</t>
  </si>
  <si>
    <t xml:space="preserve">Repolho Verde</t>
  </si>
  <si>
    <t xml:space="preserve">Rúcula</t>
  </si>
  <si>
    <t xml:space="preserve">GRUPO B - Hortaliças Condimentares (Temperos)</t>
  </si>
  <si>
    <t xml:space="preserve">Cebolinha</t>
  </si>
  <si>
    <t xml:space="preserve">Maço 0,5 kg</t>
  </si>
  <si>
    <t xml:space="preserve">3.67</t>
  </si>
  <si>
    <t xml:space="preserve">Coentro</t>
  </si>
  <si>
    <t xml:space="preserve">Maço 2 kg</t>
  </si>
  <si>
    <t xml:space="preserve">Salsinha</t>
  </si>
  <si>
    <t xml:space="preserve">22.5</t>
  </si>
  <si>
    <t xml:space="preserve">GRUPO C - Hortaliças Legumes (Leguminosas (Vagens), Frutos, Raízes Tuberosas, Tubérculos e Bulbos)</t>
  </si>
  <si>
    <t xml:space="preserve">Abobrinha Italiana</t>
  </si>
  <si>
    <t xml:space="preserve">17 kg</t>
  </si>
  <si>
    <t xml:space="preserve">57.5</t>
  </si>
  <si>
    <t xml:space="preserve">Batata-doce</t>
  </si>
  <si>
    <t xml:space="preserve">18 kg</t>
  </si>
  <si>
    <t xml:space="preserve">Berinjela comum</t>
  </si>
  <si>
    <t xml:space="preserve">10 kg</t>
  </si>
  <si>
    <t xml:space="preserve">44.17</t>
  </si>
  <si>
    <t xml:space="preserve">42.5</t>
  </si>
  <si>
    <t xml:space="preserve">Berinjela japonesa</t>
  </si>
  <si>
    <t xml:space="preserve">Beterraba</t>
  </si>
  <si>
    <t xml:space="preserve">20 kg</t>
  </si>
  <si>
    <t xml:space="preserve">52.67</t>
  </si>
  <si>
    <t xml:space="preserve">Cenoura</t>
  </si>
  <si>
    <t xml:space="preserve">Chuchu</t>
  </si>
  <si>
    <t xml:space="preserve">Jiló</t>
  </si>
  <si>
    <t xml:space="preserve">56.67</t>
  </si>
  <si>
    <t xml:space="preserve">Mandioca</t>
  </si>
  <si>
    <t xml:space="preserve">Pepino comum</t>
  </si>
  <si>
    <t xml:space="preserve">Pepino japonês</t>
  </si>
  <si>
    <t xml:space="preserve">Pimentão verde</t>
  </si>
  <si>
    <t xml:space="preserve">Quiabo</t>
  </si>
  <si>
    <t xml:space="preserve">12 kg</t>
  </si>
  <si>
    <t xml:space="preserve">68.33</t>
  </si>
  <si>
    <t xml:space="preserve">Tomate Débora</t>
  </si>
  <si>
    <t xml:space="preserve">Vagem macarrão</t>
  </si>
  <si>
    <t xml:space="preserve">GRUPO D - Frutas</t>
  </si>
  <si>
    <t xml:space="preserve">Caqui Fuyu</t>
  </si>
  <si>
    <t xml:space="preserve">Caqui Guimbo</t>
  </si>
  <si>
    <t xml:space="preserve">Caqui Rama Forte</t>
  </si>
  <si>
    <t xml:space="preserve">Goiaba</t>
  </si>
  <si>
    <t xml:space="preserve">Mexerica Polkan</t>
  </si>
  <si>
    <t xml:space="preserve">22 kg</t>
  </si>
  <si>
    <t xml:space="preserve">21.5</t>
  </si>
  <si>
    <t xml:space="preserve">Couve-flor</t>
  </si>
  <si>
    <t xml:space="preserve">3.5</t>
  </si>
  <si>
    <t xml:space="preserve">4.13</t>
  </si>
  <si>
    <t xml:space="preserve">95.71</t>
  </si>
  <si>
    <t xml:space="preserve">Batata</t>
  </si>
  <si>
    <t xml:space="preserve">52.5</t>
  </si>
  <si>
    <t xml:space="preserve">71.43</t>
  </si>
  <si>
    <t xml:space="preserve">62.5</t>
  </si>
  <si>
    <t xml:space="preserve">39.38</t>
  </si>
  <si>
    <t xml:space="preserve">102.86</t>
  </si>
  <si>
    <t xml:space="preserve">64.67</t>
  </si>
  <si>
    <t xml:space="preserve">67.5</t>
  </si>
  <si>
    <t xml:space="preserve">28.33</t>
  </si>
  <si>
    <t xml:space="preserve">37.5</t>
  </si>
  <si>
    <t xml:space="preserve">4.33</t>
  </si>
  <si>
    <t xml:space="preserve">20.67</t>
  </si>
  <si>
    <t xml:space="preserve">55.83</t>
  </si>
  <si>
    <t xml:space="preserve">45.83</t>
  </si>
  <si>
    <t xml:space="preserve">47.5</t>
  </si>
  <si>
    <t xml:space="preserve">53.75</t>
  </si>
  <si>
    <t xml:space="preserve">73.33</t>
  </si>
  <si>
    <t xml:space="preserve">68.75</t>
  </si>
  <si>
    <t xml:space="preserve">84.17</t>
  </si>
  <si>
    <t xml:space="preserve">30.33</t>
  </si>
  <si>
    <t xml:space="preserve">4.5</t>
  </si>
  <si>
    <t xml:space="preserve">43.33</t>
  </si>
  <si>
    <t xml:space="preserve">47.86</t>
  </si>
  <si>
    <t xml:space="preserve">38.57</t>
  </si>
  <si>
    <t xml:space="preserve">58.75</t>
  </si>
  <si>
    <t xml:space="preserve">66.67</t>
  </si>
  <si>
    <t xml:space="preserve">70.83</t>
  </si>
  <si>
    <t xml:space="preserve">39.17</t>
  </si>
  <si>
    <t xml:space="preserve">107.5</t>
  </si>
  <si>
    <t xml:space="preserve">34.25</t>
  </si>
  <si>
    <t xml:space="preserve">32.5</t>
  </si>
  <si>
    <t xml:space="preserve">31.67</t>
  </si>
  <si>
    <t xml:space="preserve">4.17</t>
  </si>
  <si>
    <t xml:space="preserve">23.33</t>
  </si>
  <si>
    <t xml:space="preserve">50.71</t>
  </si>
  <si>
    <t xml:space="preserve">49.29</t>
  </si>
  <si>
    <t xml:space="preserve">37.86</t>
  </si>
  <si>
    <t xml:space="preserve">103.33</t>
  </si>
  <si>
    <t xml:space="preserve">49.17</t>
  </si>
  <si>
    <t xml:space="preserve">36.43</t>
  </si>
  <si>
    <t xml:space="preserve">78.57</t>
  </si>
  <si>
    <t xml:space="preserve">21.6</t>
  </si>
  <si>
    <t xml:space="preserve">24.75</t>
  </si>
  <si>
    <t xml:space="preserve">20.25</t>
  </si>
  <si>
    <t xml:space="preserve">69.33</t>
  </si>
  <si>
    <t xml:space="preserve">20.5</t>
  </si>
  <si>
    <t xml:space="preserve">36.75</t>
  </si>
  <si>
    <t xml:space="preserve">4.25</t>
  </si>
  <si>
    <t xml:space="preserve">21.4</t>
  </si>
  <si>
    <t xml:space="preserve">56.88</t>
  </si>
  <si>
    <t xml:space="preserve">46.67</t>
  </si>
  <si>
    <t xml:space="preserve">65.56</t>
  </si>
  <si>
    <t xml:space="preserve">59.38</t>
  </si>
  <si>
    <t xml:space="preserve">68.57</t>
  </si>
  <si>
    <t xml:space="preserve">61.67</t>
  </si>
  <si>
    <t xml:space="preserve">72.14</t>
  </si>
  <si>
    <t xml:space="preserve">73.13</t>
  </si>
  <si>
    <t xml:space="preserve">77.5</t>
  </si>
  <si>
    <t xml:space="preserve">4.38</t>
  </si>
  <si>
    <t xml:space="preserve">26.67</t>
  </si>
  <si>
    <t xml:space="preserve">48.75</t>
  </si>
  <si>
    <t xml:space="preserve">51.67</t>
  </si>
  <si>
    <t xml:space="preserve">38.75</t>
  </si>
  <si>
    <t xml:space="preserve">117.5</t>
  </si>
  <si>
    <t xml:space="preserve">61.5</t>
  </si>
  <si>
    <t xml:space="preserve">51.75</t>
  </si>
  <si>
    <t xml:space="preserve">38.6</t>
  </si>
  <si>
    <t xml:space="preserve">35.75</t>
  </si>
  <si>
    <t xml:space="preserve">35.5</t>
  </si>
  <si>
    <t xml:space="preserve">93.6</t>
  </si>
  <si>
    <t xml:space="preserve">33.25</t>
  </si>
  <si>
    <t xml:space="preserve">61.2</t>
  </si>
  <si>
    <t xml:space="preserve">4.63</t>
  </si>
  <si>
    <t xml:space="preserve">4.75</t>
  </si>
  <si>
    <t xml:space="preserve">26.25</t>
  </si>
  <si>
    <t xml:space="preserve">27.6</t>
  </si>
  <si>
    <t xml:space="preserve">Aboborá Cabotiá</t>
  </si>
  <si>
    <t xml:space="preserve">30 kg</t>
  </si>
  <si>
    <t xml:space="preserve">78.75</t>
  </si>
  <si>
    <t xml:space="preserve">97.5</t>
  </si>
  <si>
    <t xml:space="preserve">89.67</t>
  </si>
  <si>
    <t xml:space="preserve">76.67</t>
  </si>
  <si>
    <t xml:space="preserve">48.33</t>
  </si>
  <si>
    <t xml:space="preserve">117.14</t>
  </si>
  <si>
    <t xml:space="preserve">54.67</t>
  </si>
  <si>
    <t xml:space="preserve">30.5</t>
  </si>
  <si>
    <t xml:space="preserve">66.33</t>
  </si>
  <si>
    <t xml:space="preserve">4.83</t>
  </si>
  <si>
    <t xml:space="preserve">113.75</t>
  </si>
  <si>
    <t xml:space="preserve">112.5</t>
  </si>
  <si>
    <t xml:space="preserve">122.5</t>
  </si>
  <si>
    <t xml:space="preserve">82.5</t>
  </si>
  <si>
    <t xml:space="preserve">106.25</t>
  </si>
  <si>
    <t xml:space="preserve">137.5</t>
  </si>
  <si>
    <t xml:space="preserve">136.67</t>
  </si>
  <si>
    <t xml:space="preserve">62.67</t>
  </si>
  <si>
    <t xml:space="preserve">49.5</t>
  </si>
  <si>
    <t xml:space="preserve">46.5</t>
  </si>
  <si>
    <t xml:space="preserve">41.75</t>
  </si>
  <si>
    <t xml:space="preserve">38.5</t>
  </si>
  <si>
    <t xml:space="preserve">45.67</t>
  </si>
  <si>
    <t xml:space="preserve">64.5</t>
  </si>
  <si>
    <t xml:space="preserve">28.5</t>
  </si>
  <si>
    <t xml:space="preserve">35.67</t>
  </si>
  <si>
    <t xml:space="preserve">67.33</t>
  </si>
  <si>
    <t xml:space="preserve">20.83</t>
  </si>
  <si>
    <t xml:space="preserve">102.5</t>
  </si>
  <si>
    <t xml:space="preserve">96.67</t>
  </si>
  <si>
    <t xml:space="preserve">42.33</t>
  </si>
  <si>
    <t xml:space="preserve">81.8</t>
  </si>
  <si>
    <t xml:space="preserve">62.33</t>
  </si>
  <si>
    <t xml:space="preserve">115.83</t>
  </si>
  <si>
    <t xml:space="preserve">86.88</t>
  </si>
  <si>
    <t xml:space="preserve">117.86</t>
  </si>
  <si>
    <t xml:space="preserve">81.25</t>
  </si>
  <si>
    <t xml:space="preserve">82.14</t>
  </si>
  <si>
    <t xml:space="preserve">221.67</t>
  </si>
  <si>
    <t xml:space="preserve">144.29</t>
  </si>
  <si>
    <t xml:space="preserve">101.33</t>
  </si>
  <si>
    <t xml:space="preserve">93.33</t>
  </si>
  <si>
    <t xml:space="preserve">59.67</t>
  </si>
  <si>
    <t xml:space="preserve">118.33</t>
  </si>
  <si>
    <t xml:space="preserve">69.17</t>
  </si>
  <si>
    <t xml:space="preserve">72.5</t>
  </si>
  <si>
    <t xml:space="preserve">116.67</t>
  </si>
  <si>
    <t xml:space="preserve">56.33</t>
  </si>
  <si>
    <t xml:space="preserve">101.67</t>
  </si>
  <si>
    <t xml:space="preserve">172.5</t>
  </si>
  <si>
    <t xml:space="preserve">49.33</t>
  </si>
  <si>
    <t xml:space="preserve">78.67</t>
  </si>
  <si>
    <t xml:space="preserve">32.75</t>
  </si>
  <si>
    <t xml:space="preserve">33.67</t>
  </si>
  <si>
    <t xml:space="preserve">31.5</t>
  </si>
  <si>
    <t xml:space="preserve">54.33</t>
  </si>
  <si>
    <t xml:space="preserve">5.38</t>
  </si>
  <si>
    <t xml:space="preserve">5.5</t>
  </si>
  <si>
    <t xml:space="preserve">33.75</t>
  </si>
  <si>
    <t xml:space="preserve">113.33</t>
  </si>
  <si>
    <t xml:space="preserve">68.6</t>
  </si>
  <si>
    <t xml:space="preserve">91.25</t>
  </si>
  <si>
    <t xml:space="preserve">99.5</t>
  </si>
  <si>
    <t xml:space="preserve">81.5</t>
  </si>
  <si>
    <t xml:space="preserve">59.33</t>
  </si>
  <si>
    <t xml:space="preserve">27.67</t>
  </si>
  <si>
    <t xml:space="preserve">33.33</t>
  </si>
  <si>
    <t xml:space="preserve">62.78</t>
  </si>
  <si>
    <t xml:space="preserve">44.38</t>
  </si>
  <si>
    <t xml:space="preserve">125.71</t>
  </si>
  <si>
    <t xml:space="preserve">61.25</t>
  </si>
  <si>
    <t xml:space="preserve">98.57</t>
  </si>
  <si>
    <t xml:space="preserve">93.13</t>
  </si>
  <si>
    <t xml:space="preserve">74.29</t>
  </si>
  <si>
    <t xml:space="preserve">92.14</t>
  </si>
  <si>
    <t xml:space="preserve">91.67</t>
  </si>
  <si>
    <t xml:space="preserve">99.67</t>
  </si>
  <si>
    <t xml:space="preserve">70.33</t>
  </si>
  <si>
    <t xml:space="preserve">43.75</t>
  </si>
  <si>
    <t xml:space="preserve">132.5</t>
  </si>
  <si>
    <t xml:space="preserve">56.25</t>
  </si>
  <si>
    <t xml:space="preserve">25.25</t>
  </si>
  <si>
    <t xml:space="preserve">25.67</t>
  </si>
  <si>
    <t xml:space="preserve">60.5</t>
  </si>
  <si>
    <t xml:space="preserve">87.5</t>
  </si>
  <si>
    <t xml:space="preserve">127.5</t>
  </si>
  <si>
    <t xml:space="preserve">63.33</t>
  </si>
  <si>
    <t xml:space="preserve">53.33</t>
  </si>
  <si>
    <t xml:space="preserve">128.75</t>
  </si>
  <si>
    <t xml:space="preserve">86.67</t>
  </si>
  <si>
    <t xml:space="preserve">111.67</t>
  </si>
  <si>
    <t xml:space="preserve">58.5</t>
  </si>
  <si>
    <t xml:space="preserve">44.5</t>
  </si>
  <si>
    <t xml:space="preserve">75.5</t>
  </si>
  <si>
    <t xml:space="preserve">55.6</t>
  </si>
  <si>
    <t xml:space="preserve">5.25</t>
  </si>
  <si>
    <t xml:space="preserve">123.33</t>
  </si>
  <si>
    <t xml:space="preserve">85.33</t>
  </si>
  <si>
    <t xml:space="preserve">5.33</t>
  </si>
  <si>
    <t xml:space="preserve">51.25</t>
  </si>
  <si>
    <t xml:space="preserve">116.25</t>
  </si>
  <si>
    <t xml:space="preserve">193.75</t>
  </si>
  <si>
    <t xml:space="preserve">27.5</t>
  </si>
  <si>
    <t xml:space="preserve">58.33</t>
  </si>
  <si>
    <t xml:space="preserve">98.33</t>
  </si>
  <si>
    <t xml:space="preserve">108.33</t>
  </si>
  <si>
    <t xml:space="preserve">120.83</t>
  </si>
  <si>
    <t xml:space="preserve">78.33</t>
  </si>
  <si>
    <t xml:space="preserve">106.67</t>
  </si>
  <si>
    <t xml:space="preserve">223.33</t>
  </si>
  <si>
    <t xml:space="preserve">66.25</t>
  </si>
  <si>
    <t xml:space="preserve">176.67</t>
  </si>
  <si>
    <t xml:space="preserve">68.5</t>
  </si>
  <si>
    <t xml:space="preserve">60.83</t>
  </si>
  <si>
    <t xml:space="preserve">143.33</t>
  </si>
  <si>
    <t xml:space="preserve">83.33</t>
  </si>
  <si>
    <t xml:space="preserve">24.5</t>
  </si>
  <si>
    <t xml:space="preserve">71.5</t>
  </si>
  <si>
    <t xml:space="preserve">17.25</t>
  </si>
  <si>
    <t xml:space="preserve">71.25</t>
  </si>
  <si>
    <t xml:space="preserve">51.5</t>
  </si>
  <si>
    <t xml:space="preserve">25.5</t>
  </si>
  <si>
    <t xml:space="preserve">66.5</t>
  </si>
  <si>
    <t xml:space="preserve">13.5</t>
  </si>
  <si>
    <t xml:space="preserve">71.67</t>
  </si>
  <si>
    <t xml:space="preserve">74.4</t>
  </si>
  <si>
    <t xml:space="preserve">22.8</t>
  </si>
  <si>
    <t xml:space="preserve">25.2</t>
  </si>
  <si>
    <t xml:space="preserve">62.4</t>
  </si>
  <si>
    <t xml:space="preserve">43.4</t>
  </si>
  <si>
    <t xml:space="preserve">12.4</t>
  </si>
  <si>
    <t xml:space="preserve">63.75</t>
  </si>
  <si>
    <t xml:space="preserve">133.33</t>
  </si>
  <si>
    <t xml:space="preserve">minimo e maximo invertidos</t>
  </si>
  <si>
    <t xml:space="preserve">GRUPO C - Hortaliças Legumes</t>
  </si>
  <si>
    <t xml:space="preserve">143.75</t>
  </si>
  <si>
    <t xml:space="preserve">11.33</t>
  </si>
  <si>
    <t xml:space="preserve">21.67</t>
  </si>
  <si>
    <t xml:space="preserve">59.4</t>
  </si>
  <si>
    <t xml:space="preserve">118.75</t>
  </si>
  <si>
    <t xml:space="preserve">55.8</t>
  </si>
  <si>
    <t xml:space="preserve">21.8</t>
  </si>
  <si>
    <t xml:space="preserve">55.2</t>
  </si>
  <si>
    <t xml:space="preserve">53.25</t>
  </si>
  <si>
    <t xml:space="preserve">38.8</t>
  </si>
  <si>
    <t xml:space="preserve">49.2</t>
  </si>
  <si>
    <t xml:space="preserve">157.5</t>
  </si>
  <si>
    <t xml:space="preserve">39.25</t>
  </si>
  <si>
    <t xml:space="preserve">5.13</t>
  </si>
  <si>
    <t xml:space="preserve">18.75</t>
  </si>
  <si>
    <t xml:space="preserve">17.5</t>
  </si>
  <si>
    <t xml:space="preserve">93.75</t>
  </si>
  <si>
    <t xml:space="preserve">92.5</t>
  </si>
  <si>
    <t xml:space="preserve">147.5</t>
  </si>
  <si>
    <t xml:space="preserve">34.5</t>
  </si>
  <si>
    <t xml:space="preserve">23.75</t>
  </si>
  <si>
    <t xml:space="preserve">50.4</t>
  </si>
  <si>
    <t xml:space="preserve">69.6</t>
  </si>
  <si>
    <t xml:space="preserve">20.4</t>
  </si>
  <si>
    <t xml:space="preserve">33.6</t>
  </si>
  <si>
    <t xml:space="preserve">32.2</t>
  </si>
  <si>
    <t xml:space="preserve">51.8</t>
  </si>
  <si>
    <t xml:space="preserve">46.6</t>
  </si>
  <si>
    <t xml:space="preserve">61.17</t>
  </si>
  <si>
    <t xml:space="preserve">18.33</t>
  </si>
  <si>
    <t xml:space="preserve">41.4</t>
  </si>
  <si>
    <t xml:space="preserve">44.2</t>
  </si>
  <si>
    <t xml:space="preserve">42.2</t>
  </si>
  <si>
    <t xml:space="preserve">42.4</t>
  </si>
  <si>
    <t xml:space="preserve">42.75</t>
  </si>
  <si>
    <t xml:space="preserve">4.8</t>
  </si>
  <si>
    <t xml:space="preserve">41.67</t>
  </si>
  <si>
    <t xml:space="preserve">38.4</t>
  </si>
  <si>
    <t xml:space="preserve">23.4</t>
  </si>
  <si>
    <t xml:space="preserve">67.2</t>
  </si>
  <si>
    <t xml:space="preserve">65.5</t>
  </si>
  <si>
    <t xml:space="preserve">31.6</t>
  </si>
  <si>
    <t xml:space="preserve">10.4</t>
  </si>
  <si>
    <t xml:space="preserve">64.17</t>
  </si>
  <si>
    <t xml:space="preserve">50.83</t>
  </si>
  <si>
    <t xml:space="preserve">121.67</t>
  </si>
  <si>
    <t xml:space="preserve">39.6</t>
  </si>
  <si>
    <t xml:space="preserve">30.25</t>
  </si>
  <si>
    <t xml:space="preserve">25.6</t>
  </si>
  <si>
    <t xml:space="preserve">19.5</t>
  </si>
  <si>
    <t xml:space="preserve">4.67</t>
  </si>
  <si>
    <t xml:space="preserve">11.75</t>
  </si>
  <si>
    <t xml:space="preserve">21.25</t>
  </si>
  <si>
    <t xml:space="preserve">126.25</t>
  </si>
  <si>
    <t xml:space="preserve">43.67</t>
  </si>
  <si>
    <t xml:space="preserve">12.75</t>
  </si>
  <si>
    <t xml:space="preserve">41.25</t>
  </si>
  <si>
    <t xml:space="preserve">151.25</t>
  </si>
  <si>
    <t xml:space="preserve">73.75</t>
  </si>
  <si>
    <t xml:space="preserve">34.75</t>
  </si>
  <si>
    <t xml:space="preserve">28.75</t>
  </si>
  <si>
    <t xml:space="preserve">81.67</t>
  </si>
  <si>
    <t xml:space="preserve">88.75</t>
  </si>
  <si>
    <t xml:space="preserve">162.5</t>
  </si>
  <si>
    <t xml:space="preserve">CouveManteiga</t>
  </si>
  <si>
    <t xml:space="preserve">Couveflor</t>
  </si>
  <si>
    <t xml:space="preserve">Abóbora Cabotiá</t>
  </si>
  <si>
    <t xml:space="preserve">Batatadoce</t>
  </si>
  <si>
    <t xml:space="preserve">18.67</t>
  </si>
  <si>
    <t xml:space="preserve">20.33</t>
  </si>
  <si>
    <t xml:space="preserve">28.57</t>
  </si>
  <si>
    <t xml:space="preserve">48.57</t>
  </si>
  <si>
    <t xml:space="preserve">51.43</t>
  </si>
  <si>
    <t xml:space="preserve">52.14</t>
  </si>
  <si>
    <t xml:space="preserve">166.67</t>
  </si>
  <si>
    <t xml:space="preserve"> 48.00</t>
  </si>
  <si>
    <t xml:space="preserve"> 60.00</t>
  </si>
  <si>
    <t xml:space="preserve"> 54.00</t>
  </si>
  <si>
    <t xml:space="preserve"> 72.00</t>
  </si>
  <si>
    <t xml:space="preserve"> 84.00</t>
  </si>
  <si>
    <t xml:space="preserve"> 30.00</t>
  </si>
  <si>
    <t xml:space="preserve"> 42.00</t>
  </si>
  <si>
    <t xml:space="preserve"> 34.50</t>
  </si>
  <si>
    <t xml:space="preserve"> 33.00</t>
  </si>
  <si>
    <t xml:space="preserve"> 24.00</t>
  </si>
  <si>
    <t xml:space="preserve"> 18.00</t>
  </si>
  <si>
    <t xml:space="preserve"> 22.50</t>
  </si>
  <si>
    <t xml:space="preserve"> 64.00</t>
  </si>
  <si>
    <t xml:space="preserve"> 70.00</t>
  </si>
  <si>
    <t xml:space="preserve"> 71.50</t>
  </si>
  <si>
    <t xml:space="preserve"> 21.50</t>
  </si>
  <si>
    <t xml:space="preserve"> 22.00</t>
  </si>
  <si>
    <t xml:space="preserve"> 63.33</t>
  </si>
  <si>
    <t xml:space="preserve"> 63.00</t>
  </si>
  <si>
    <t xml:space="preserve"> 25.50</t>
  </si>
  <si>
    <t xml:space="preserve"> 51.00</t>
  </si>
  <si>
    <t xml:space="preserve"> 5.00</t>
  </si>
  <si>
    <t xml:space="preserve"> 15.00</t>
  </si>
  <si>
    <t xml:space="preserve"> 12.00</t>
  </si>
  <si>
    <t xml:space="preserve"> 14.25</t>
  </si>
  <si>
    <t xml:space="preserve"> 20.00</t>
  </si>
  <si>
    <t xml:space="preserve"> 26.25</t>
  </si>
  <si>
    <t xml:space="preserve"> 27.50</t>
  </si>
  <si>
    <t xml:space="preserve"> 75.00</t>
  </si>
  <si>
    <t xml:space="preserve"> 80.00</t>
  </si>
  <si>
    <t xml:space="preserve"> 77.50</t>
  </si>
  <si>
    <t xml:space="preserve"> 35.00</t>
  </si>
  <si>
    <t xml:space="preserve"> 33.75</t>
  </si>
  <si>
    <t xml:space="preserve"> 45.00</t>
  </si>
  <si>
    <t xml:space="preserve"> 62.50</t>
  </si>
  <si>
    <t xml:space="preserve"> 51.67</t>
  </si>
  <si>
    <t xml:space="preserve"> 50.00</t>
  </si>
  <si>
    <t xml:space="preserve"> 65.00</t>
  </si>
  <si>
    <t xml:space="preserve"> 56.25</t>
  </si>
  <si>
    <t xml:space="preserve"> 55.00</t>
  </si>
  <si>
    <t xml:space="preserve"> 40.00</t>
  </si>
  <si>
    <t xml:space="preserve"> 48.75</t>
  </si>
  <si>
    <t xml:space="preserve"> 57.50</t>
  </si>
  <si>
    <t xml:space="preserve"> 52.50</t>
  </si>
  <si>
    <t xml:space="preserve"> 120.00</t>
  </si>
  <si>
    <t xml:space="preserve"> 103.33</t>
  </si>
  <si>
    <t xml:space="preserve"> 110.00</t>
  </si>
  <si>
    <t xml:space="preserve"> 47.50</t>
  </si>
  <si>
    <t xml:space="preserve"> 90.00</t>
  </si>
  <si>
    <t xml:space="preserve"> 73.75</t>
  </si>
  <si>
    <t xml:space="preserve"> 46.25</t>
  </si>
  <si>
    <t xml:space="preserve"> 150.00</t>
  </si>
  <si>
    <t xml:space="preserve"> 180.00</t>
  </si>
  <si>
    <t xml:space="preserve"> 163.33</t>
  </si>
  <si>
    <t xml:space="preserve"> 160.00</t>
  </si>
  <si>
    <t xml:space="preserve"> 95.00</t>
  </si>
  <si>
    <t xml:space="preserve"> 81.25</t>
  </si>
  <si>
    <t xml:space="preserve"> 123.33</t>
  </si>
  <si>
    <t xml:space="preserve"> 100.00</t>
  </si>
  <si>
    <t xml:space="preserve"> 66.00</t>
  </si>
  <si>
    <t xml:space="preserve"> 78.00</t>
  </si>
  <si>
    <t xml:space="preserve"> 69.00</t>
  </si>
  <si>
    <t xml:space="preserve"> 25.00</t>
  </si>
  <si>
    <t xml:space="preserve"> 17.50</t>
  </si>
  <si>
    <t xml:space="preserve"> 61.00</t>
  </si>
  <si>
    <t xml:space="preserve"> 53.00</t>
  </si>
  <si>
    <t xml:space="preserve"> 58.00</t>
  </si>
  <si>
    <t xml:space="preserve"> 113.33</t>
  </si>
  <si>
    <t xml:space="preserve"> 200.00</t>
  </si>
  <si>
    <t xml:space="preserve"> 178.00</t>
  </si>
  <si>
    <t xml:space="preserve"> 83.33</t>
  </si>
  <si>
    <t xml:space="preserve"> 52.00</t>
  </si>
  <si>
    <t xml:space="preserve"> 68.00</t>
  </si>
  <si>
    <t xml:space="preserve"> 36.00</t>
  </si>
  <si>
    <t xml:space="preserve"> 27.25</t>
  </si>
  <si>
    <t xml:space="preserve"> 26.33</t>
  </si>
  <si>
    <t xml:space="preserve"> 56.00</t>
  </si>
  <si>
    <t xml:space="preserve"> 67.50</t>
  </si>
  <si>
    <t xml:space="preserve"> 24.25</t>
  </si>
  <si>
    <t xml:space="preserve"> 24.50</t>
  </si>
  <si>
    <t xml:space="preserve"> 44.00</t>
  </si>
  <si>
    <t xml:space="preserve"> 28.50</t>
  </si>
  <si>
    <t xml:space="preserve"> 49.50</t>
  </si>
  <si>
    <t xml:space="preserve"> 42.50</t>
  </si>
  <si>
    <t xml:space="preserve"> 53.33</t>
  </si>
  <si>
    <t xml:space="preserve">             </t>
  </si>
  <si>
    <t xml:space="preserve"> 52.67</t>
  </si>
  <si>
    <t xml:space="preserve"> 74.00</t>
  </si>
  <si>
    <t xml:space="preserve"> 78.33</t>
  </si>
  <si>
    <t xml:space="preserve"> 58.60</t>
  </si>
  <si>
    <t xml:space="preserve"> 105.00</t>
  </si>
  <si>
    <t xml:space="preserve"> 59.00</t>
  </si>
  <si>
    <t xml:space="preserve"> 94.00</t>
  </si>
  <si>
    <t xml:space="preserve"> 43.75</t>
  </si>
  <si>
    <t xml:space="preserve"> 49.00</t>
  </si>
  <si>
    <t xml:space="preserve"> 130.00</t>
  </si>
  <si>
    <t xml:space="preserve"> 142.00</t>
  </si>
  <si>
    <t xml:space="preserve"> 79.00</t>
  </si>
  <si>
    <t xml:space="preserve"> 39.00</t>
  </si>
  <si>
    <t xml:space="preserve"> 31.50</t>
  </si>
  <si>
    <t xml:space="preserve"> 61.50</t>
  </si>
  <si>
    <t xml:space="preserve"> 58.50</t>
  </si>
  <si>
    <t xml:space="preserve"> 57.00</t>
  </si>
  <si>
    <t xml:space="preserve"> 23.00</t>
  </si>
  <si>
    <t xml:space="preserve"> 4.00</t>
  </si>
  <si>
    <t xml:space="preserve"> 4.75</t>
  </si>
  <si>
    <t xml:space="preserve"> 17.00</t>
  </si>
  <si>
    <t xml:space="preserve"> 16.50</t>
  </si>
  <si>
    <t xml:space="preserve"> 44.17</t>
  </si>
  <si>
    <t xml:space="preserve"> 45.71</t>
  </si>
  <si>
    <t xml:space="preserve"> 58.75</t>
  </si>
  <si>
    <t xml:space="preserve"> 33.33</t>
  </si>
  <si>
    <t xml:space="preserve"> 92.00</t>
  </si>
  <si>
    <t xml:space="preserve"> 43.00</t>
  </si>
  <si>
    <t xml:space="preserve"> 46.43</t>
  </si>
  <si>
    <t xml:space="preserve"> 50.71</t>
  </si>
  <si>
    <t xml:space="preserve"> 96.00</t>
  </si>
  <si>
    <t xml:space="preserve"> 67.00</t>
  </si>
  <si>
    <t xml:space="preserve"> 62.00</t>
  </si>
  <si>
    <t xml:space="preserve"> 30.20</t>
  </si>
  <si>
    <t xml:space="preserve"> 30.25</t>
  </si>
  <si>
    <t xml:space="preserve"> 21.20</t>
  </si>
  <si>
    <t xml:space="preserve"> 57.60</t>
  </si>
  <si>
    <t xml:space="preserve"> 37.20</t>
  </si>
  <si>
    <t xml:space="preserve"> 51.60</t>
  </si>
  <si>
    <t xml:space="preserve"> 4.80</t>
  </si>
  <si>
    <t xml:space="preserve"> 16.00</t>
  </si>
  <si>
    <t xml:space="preserve"> 71.67</t>
  </si>
  <si>
    <t xml:space="preserve"> 85.00</t>
  </si>
  <si>
    <t xml:space="preserve"> 46.00</t>
  </si>
  <si>
    <t xml:space="preserve"> 46.50</t>
  </si>
  <si>
    <t xml:space="preserve"> 28.33</t>
  </si>
  <si>
    <t xml:space="preserve"> 71.33</t>
  </si>
  <si>
    <t xml:space="preserve"> 20.50</t>
  </si>
  <si>
    <t xml:space="preserve"> 76.00</t>
  </si>
  <si>
    <t xml:space="preserve"> 58.67</t>
  </si>
  <si>
    <t xml:space="preserve"> 15.75</t>
  </si>
  <si>
    <t xml:space="preserve"> 60.83</t>
  </si>
  <si>
    <t xml:space="preserve"> 48.33</t>
  </si>
  <si>
    <t xml:space="preserve"> 50.83</t>
  </si>
  <si>
    <t xml:space="preserve"> 43.33</t>
  </si>
  <si>
    <t xml:space="preserve"> 82.50</t>
  </si>
  <si>
    <t xml:space="preserve"> 51.25</t>
  </si>
  <si>
    <t xml:space="preserve"> 140.00</t>
  </si>
  <si>
    <t xml:space="preserve"> 116.67</t>
  </si>
  <si>
    <t xml:space="preserve"> 138.00</t>
  </si>
  <si>
    <t xml:space="preserve"> 81.00</t>
  </si>
  <si>
    <t xml:space="preserve"> 46.80</t>
  </si>
  <si>
    <t xml:space="preserve"> 69.60</t>
  </si>
  <si>
    <t xml:space="preserve"> 82.00</t>
  </si>
  <si>
    <t xml:space="preserve"> 29.00</t>
  </si>
  <si>
    <t xml:space="preserve"> 68.50</t>
  </si>
  <si>
    <t xml:space="preserve"> 71.00</t>
  </si>
  <si>
    <t xml:space="preserve"> 35.60</t>
  </si>
  <si>
    <t xml:space="preserve"> 55.20</t>
  </si>
  <si>
    <t xml:space="preserve"> 19.20</t>
  </si>
  <si>
    <t xml:space="preserve"> 61.67</t>
  </si>
  <si>
    <t xml:space="preserve"> 83.75</t>
  </si>
  <si>
    <t xml:space="preserve"> 106.25</t>
  </si>
  <si>
    <t xml:space="preserve"> 166.67</t>
  </si>
  <si>
    <t xml:space="preserve">48.25</t>
  </si>
  <si>
    <t xml:space="preserve">76.5</t>
  </si>
  <si>
    <t xml:space="preserve"> 87.00</t>
  </si>
  <si>
    <t xml:space="preserve"> 45.60</t>
  </si>
  <si>
    <t xml:space="preserve"> 31.40</t>
  </si>
  <si>
    <t xml:space="preserve"> 31.75</t>
  </si>
  <si>
    <t xml:space="preserve"> 67.20</t>
  </si>
  <si>
    <t xml:space="preserve"> 26.40</t>
  </si>
  <si>
    <t xml:space="preserve"> 62.40</t>
  </si>
  <si>
    <t xml:space="preserve"> 60.50</t>
  </si>
  <si>
    <t xml:space="preserve"> 28.00</t>
  </si>
  <si>
    <t xml:space="preserve"> 97.50</t>
  </si>
  <si>
    <t xml:space="preserve"> 72.50</t>
  </si>
  <si>
    <t xml:space="preserve"> 66.67</t>
  </si>
  <si>
    <t xml:space="preserve"> 36.25</t>
  </si>
  <si>
    <t xml:space="preserve"> 88.75</t>
  </si>
  <si>
    <t xml:space="preserve"> 91.50</t>
  </si>
  <si>
    <t xml:space="preserve"> 49.20</t>
  </si>
  <si>
    <t xml:space="preserve"> 31.60</t>
  </si>
  <si>
    <t xml:space="preserve"> 27.60</t>
  </si>
  <si>
    <t xml:space="preserve"> 86.40</t>
  </si>
  <si>
    <t xml:space="preserve"> 24.40</t>
  </si>
  <si>
    <t xml:space="preserve"> 95.50</t>
  </si>
  <si>
    <t xml:space="preserve"> 56.75</t>
  </si>
  <si>
    <t xml:space="preserve"> 41.60</t>
  </si>
  <si>
    <t xml:space="preserve"> 55.50</t>
  </si>
  <si>
    <t xml:space="preserve"> 101.67</t>
  </si>
  <si>
    <t xml:space="preserve">-</t>
  </si>
  <si>
    <t xml:space="preserve"> 88.00</t>
  </si>
  <si>
    <t xml:space="preserve"> 46.75</t>
  </si>
  <si>
    <t xml:space="preserve"> 43.50</t>
  </si>
  <si>
    <t xml:space="preserve"> 30.50</t>
  </si>
  <si>
    <t xml:space="preserve"> 27.00</t>
  </si>
  <si>
    <t xml:space="preserve"> 25.75</t>
  </si>
  <si>
    <t xml:space="preserve"> 67.67</t>
  </si>
  <si>
    <t xml:space="preserve"> 28.75</t>
  </si>
  <si>
    <t xml:space="preserve"> 53.75</t>
  </si>
  <si>
    <t xml:space="preserve"> 96.25</t>
  </si>
  <si>
    <t xml:space="preserve"> 76.25</t>
  </si>
  <si>
    <t xml:space="preserve"> 48.25</t>
  </si>
  <si>
    <t xml:space="preserve"> 64.50</t>
  </si>
  <si>
    <t xml:space="preserve"> 93.00</t>
  </si>
  <si>
    <t xml:space="preserve"> 76.50</t>
  </si>
  <si>
    <t xml:space="preserve"> 73.50</t>
  </si>
  <si>
    <t xml:space="preserve"> 30.75</t>
  </si>
  <si>
    <t xml:space="preserve"> 86.25</t>
  </si>
  <si>
    <t xml:space="preserve"> 87.50</t>
  </si>
  <si>
    <t xml:space="preserve"> 115.00</t>
  </si>
  <si>
    <t xml:space="preserve"> 31.00</t>
  </si>
  <si>
    <t xml:space="preserve"> 144.00</t>
  </si>
  <si>
    <t xml:space="preserve"> 104.00</t>
  </si>
  <si>
    <t xml:space="preserve"> 108.00</t>
  </si>
  <si>
    <t xml:space="preserve"> 98.00</t>
  </si>
  <si>
    <t xml:space="preserve"> 102.00</t>
  </si>
  <si>
    <t xml:space="preserve"> 32.33</t>
  </si>
  <si>
    <t xml:space="preserve"> 73.33</t>
  </si>
  <si>
    <t xml:space="preserve"> 37.50</t>
  </si>
  <si>
    <t xml:space="preserve"> 107.50</t>
  </si>
  <si>
    <t xml:space="preserve"> 250.00</t>
  </si>
  <si>
    <t xml:space="preserve"> 62.33</t>
  </si>
  <si>
    <t xml:space="preserve"> 44.50</t>
  </si>
  <si>
    <t xml:space="preserve"> 81.67</t>
  </si>
  <si>
    <t xml:space="preserve"> 38.75</t>
  </si>
  <si>
    <t xml:space="preserve"> 78.75</t>
  </si>
  <si>
    <t xml:space="preserve"> 99.67</t>
  </si>
  <si>
    <t xml:space="preserve"> 95.33</t>
  </si>
  <si>
    <t xml:space="preserve"> 32.67</t>
  </si>
  <si>
    <t xml:space="preserve"> 32.00</t>
  </si>
  <si>
    <t xml:space="preserve"> 111.00</t>
  </si>
  <si>
    <t xml:space="preserve"> 86.00</t>
  </si>
  <si>
    <t xml:space="preserve"> 84.67</t>
  </si>
  <si>
    <t xml:space="preserve"> 60.33</t>
  </si>
  <si>
    <t xml:space="preserve"> 36.67</t>
  </si>
  <si>
    <t xml:space="preserve"> 63.75</t>
  </si>
  <si>
    <t xml:space="preserve"> 89.00</t>
  </si>
  <si>
    <t xml:space="preserve"> 122.50</t>
  </si>
  <si>
    <t xml:space="preserve"> 125.00</t>
  </si>
  <si>
    <t xml:space="preserve"> 56.67</t>
  </si>
  <si>
    <t xml:space="preserve"> 77.00</t>
  </si>
  <si>
    <t xml:space="preserve"> 106.00</t>
  </si>
  <si>
    <t xml:space="preserve"> 99.00</t>
  </si>
  <si>
    <t xml:space="preserve"> 66.33</t>
  </si>
  <si>
    <t xml:space="preserve"> 5.50</t>
  </si>
  <si>
    <t xml:space="preserve"> 5.17</t>
  </si>
  <si>
    <t xml:space="preserve"> 92.50</t>
  </si>
  <si>
    <t xml:space="preserve"> 68.33</t>
  </si>
  <si>
    <t xml:space="preserve"> 97.00</t>
  </si>
  <si>
    <t xml:space="preserve"> 114.00</t>
  </si>
  <si>
    <t xml:space="preserve"> 38.00</t>
  </si>
  <si>
    <t xml:space="preserve"> 42.67</t>
  </si>
  <si>
    <t xml:space="preserve"> 146.67</t>
  </si>
  <si>
    <t xml:space="preserve"> 156.67</t>
  </si>
  <si>
    <t xml:space="preserve"> 50.25</t>
  </si>
  <si>
    <t xml:space="preserve"> 168.00</t>
  </si>
  <si>
    <t xml:space="preserve"> 93.50</t>
  </si>
  <si>
    <t xml:space="preserve"> 106.67</t>
  </si>
  <si>
    <t xml:space="preserve"> 53.50</t>
  </si>
  <si>
    <t xml:space="preserve"> 6.00</t>
  </si>
  <si>
    <t xml:space="preserve"> 5.25</t>
  </si>
  <si>
    <t xml:space="preserve"> 86.67</t>
  </si>
  <si>
    <t xml:space="preserve"> 93.75</t>
  </si>
  <si>
    <t xml:space="preserve"> 135.00</t>
  </si>
  <si>
    <t xml:space="preserve"> 152.50</t>
  </si>
  <si>
    <t xml:space="preserve"> 60.67</t>
  </si>
  <si>
    <t xml:space="preserve"> 5.33</t>
  </si>
  <si>
    <t xml:space="preserve"> 41.67</t>
  </si>
  <si>
    <t xml:space="preserve"> 170.00</t>
  </si>
  <si>
    <t xml:space="preserve"> 126.67</t>
  </si>
  <si>
    <t xml:space="preserve"> 67.33</t>
  </si>
  <si>
    <t xml:space="preserve"> 29.67</t>
  </si>
  <si>
    <t xml:space="preserve"> 104.67</t>
  </si>
  <si>
    <t xml:space="preserve"> 73.00</t>
  </si>
  <si>
    <t xml:space="preserve"> 58.33</t>
  </si>
  <si>
    <t xml:space="preserve"> 52.33</t>
  </si>
  <si>
    <t xml:space="preserve"> 46.67</t>
  </si>
  <si>
    <t xml:space="preserve"> 143.33</t>
  </si>
  <si>
    <t xml:space="preserve"> 190.00</t>
  </si>
  <si>
    <t xml:space="preserve">Numero do boletim</t>
  </si>
  <si>
    <t xml:space="preserve">Ano do boletim</t>
  </si>
  <si>
    <t xml:space="preserve">Unidade de medida</t>
  </si>
  <si>
    <t xml:space="preserve">grp_nome</t>
  </si>
  <si>
    <t xml:space="preserve">Valor mínimo</t>
  </si>
  <si>
    <t xml:space="preserve">Valor máximo</t>
  </si>
  <si>
    <t xml:space="preserve">Valor médio</t>
  </si>
  <si>
    <t xml:space="preserve">Valor comum</t>
  </si>
  <si>
    <t xml:space="preserve">Valor mediana</t>
  </si>
  <si>
    <t xml:space="preserve">Geral</t>
  </si>
  <si>
    <t xml:space="preserve">Abobrinha italiana</t>
  </si>
  <si>
    <t xml:space="preserve">cx 17 kg</t>
  </si>
  <si>
    <t xml:space="preserve">cx 12 unid</t>
  </si>
  <si>
    <t xml:space="preserve">Alface americana</t>
  </si>
  <si>
    <t xml:space="preserve">cx 18 kg</t>
  </si>
  <si>
    <t xml:space="preserve">cx 10 kg</t>
  </si>
  <si>
    <t xml:space="preserve">cx 20 kg</t>
  </si>
  <si>
    <t xml:space="preserve">Brócolos (ninja ou japonês)</t>
  </si>
  <si>
    <t xml:space="preserve">maço 2 kg</t>
  </si>
  <si>
    <t xml:space="preserve">cx 17 unid</t>
  </si>
  <si>
    <t xml:space="preserve">Couve manteiga</t>
  </si>
  <si>
    <t xml:space="preserve">cx 22 kg</t>
  </si>
  <si>
    <t xml:space="preserve">Repolho verde</t>
  </si>
  <si>
    <t xml:space="preserve">Salsa</t>
  </si>
  <si>
    <t xml:space="preserve">maço 1/2 kg</t>
  </si>
  <si>
    <t xml:space="preserve">Cx 35 kg</t>
  </si>
  <si>
    <t xml:space="preserve">Vagem Macarrão</t>
  </si>
  <si>
    <t xml:space="preserve">#N/D</t>
  </si>
  <si>
    <t xml:space="preserve">Legumes</t>
  </si>
  <si>
    <t xml:space="preserve">Hortaliças</t>
  </si>
  <si>
    <t xml:space="preserve">Raízes e Tubérculos</t>
  </si>
  <si>
    <t xml:space="preserve">Frutas</t>
  </si>
  <si>
    <t xml:space="preserve">Temperos e Condimentos</t>
  </si>
  <si>
    <t xml:space="preserve">#DIV/0!</t>
  </si>
  <si>
    <t xml:space="preserve">#NUM!</t>
  </si>
  <si>
    <t xml:space="preserve">Caqui giombo</t>
  </si>
  <si>
    <t xml:space="preserve">unid de maço (2 kg)</t>
  </si>
  <si>
    <t xml:space="preserve">pepino japonês</t>
  </si>
  <si>
    <t xml:space="preserve">pimentão verde</t>
  </si>
  <si>
    <t xml:space="preserve">Hortifruti</t>
  </si>
  <si>
    <t xml:space="preserve">Hortaliças Fruto</t>
  </si>
  <si>
    <t xml:space="preserve">Dz</t>
  </si>
  <si>
    <t xml:space="preserve">Hortaliças Folhosas</t>
  </si>
  <si>
    <t xml:space="preserve">Cx</t>
  </si>
  <si>
    <t xml:space="preserve">Raízes, Tubérculos e Bulbos</t>
  </si>
  <si>
    <t xml:space="preserve">Maço</t>
  </si>
  <si>
    <t xml:space="preserve">GRUPO A - Verduras</t>
  </si>
  <si>
    <t xml:space="preserve">GRUPO B - Hortaliças Condimentares</t>
  </si>
  <si>
    <t xml:space="preserve">unid de maço (2kg)</t>
  </si>
  <si>
    <t xml:space="preserve">ex 17 kg</t>
  </si>
  <si>
    <t xml:space="preserve">ex 12 unid</t>
  </si>
  <si>
    <t xml:space="preserve">Brócolos (ninja ou Japonês)</t>
  </si>
  <si>
    <t xml:space="preserve">Couveflor-</t>
  </si>
  <si>
    <t xml:space="preserve">grp_id</t>
  </si>
  <si>
    <t xml:space="preserve">grp_desc</t>
  </si>
  <si>
    <t xml:space="preserve">A</t>
  </si>
  <si>
    <t xml:space="preserve">Verduras (folhosas, flores e hastes)</t>
  </si>
  <si>
    <t xml:space="preserve">B</t>
  </si>
  <si>
    <t xml:space="preserve">Hortaliças condimentares (temperos)</t>
  </si>
  <si>
    <t xml:space="preserve">C</t>
  </si>
  <si>
    <t xml:space="preserve">Hortaliças legumes (leguminosas (vagens), frutos, raízes tuberosas, tuberculos, bulbos)</t>
  </si>
  <si>
    <t xml:space="preserve">D</t>
  </si>
  <si>
    <t xml:space="preserve">umd_id</t>
  </si>
  <si>
    <t xml:space="preserve">umd_nome</t>
  </si>
  <si>
    <t xml:space="preserve">umd_sigla</t>
  </si>
  <si>
    <t xml:space="preserve">Quilograma</t>
  </si>
  <si>
    <t xml:space="preserve">kg</t>
  </si>
  <si>
    <t xml:space="preserve">Grama</t>
  </si>
  <si>
    <t xml:space="preserve">g</t>
  </si>
  <si>
    <t xml:space="preserve">un</t>
  </si>
  <si>
    <t xml:space="preserve">Mililitro</t>
  </si>
  <si>
    <t xml:space="preserve">ml</t>
  </si>
  <si>
    <t xml:space="preserve">Litro</t>
  </si>
  <si>
    <t xml:space="preserve">L</t>
  </si>
  <si>
    <t xml:space="preserve">blt_id</t>
  </si>
  <si>
    <t xml:space="preserve">blt_data_cad</t>
  </si>
  <si>
    <t xml:space="preserve">tap_id</t>
  </si>
  <si>
    <t xml:space="preserve">tap_nome</t>
  </si>
  <si>
    <t xml:space="preserve">caixa</t>
  </si>
  <si>
    <t xml:space="preserve">maço</t>
  </si>
  <si>
    <t xml:space="preserve">dúzia</t>
  </si>
  <si>
    <t xml:space="preserve">saco</t>
  </si>
  <si>
    <t xml:space="preserve">cat_id</t>
  </si>
  <si>
    <t xml:space="preserve">cat_grp_id</t>
  </si>
  <si>
    <t xml:space="preserve">cat_nome</t>
  </si>
  <si>
    <t xml:space="preserve">Folhosas</t>
  </si>
  <si>
    <t xml:space="preserve">Flores</t>
  </si>
  <si>
    <t xml:space="preserve">Hastes</t>
  </si>
  <si>
    <t xml:space="preserve">Temperos</t>
  </si>
  <si>
    <t xml:space="preserve">Leguminosas (vagens)</t>
  </si>
  <si>
    <t xml:space="preserve">Frutos</t>
  </si>
  <si>
    <t xml:space="preserve">Raízes Tuberosas</t>
  </si>
  <si>
    <t xml:space="preserve">Tubérculos</t>
  </si>
  <si>
    <t xml:space="preserve">Bulbos</t>
  </si>
  <si>
    <t xml:space="preserve">prd_id</t>
  </si>
  <si>
    <t xml:space="preserve">prd_cat_id</t>
  </si>
  <si>
    <t xml:space="preserve">prd_nome</t>
  </si>
  <si>
    <t xml:space="preserve">prd_var</t>
  </si>
  <si>
    <t xml:space="preserve">prd_atv</t>
  </si>
  <si>
    <t xml:space="preserve">Alface</t>
  </si>
  <si>
    <t xml:space="preserve">Americana</t>
  </si>
  <si>
    <t xml:space="preserve">Crespa</t>
  </si>
  <si>
    <t xml:space="preserve">Lisa</t>
  </si>
  <si>
    <t xml:space="preserve">Brócolis</t>
  </si>
  <si>
    <t xml:space="preserve">Ninja/Japonês</t>
  </si>
  <si>
    <t xml:space="preserve">Ramoso</t>
  </si>
  <si>
    <t xml:space="preserve">Manteiga</t>
  </si>
  <si>
    <t xml:space="preserve">Couve-Flor</t>
  </si>
  <si>
    <t xml:space="preserve">Repolho</t>
  </si>
  <si>
    <t xml:space="preserve">Roxo</t>
  </si>
  <si>
    <t xml:space="preserve">Verde</t>
  </si>
  <si>
    <t xml:space="preserve">Abóbora</t>
  </si>
  <si>
    <t xml:space="preserve">Cabotiá</t>
  </si>
  <si>
    <t xml:space="preserve">Abobrinha</t>
  </si>
  <si>
    <t xml:space="preserve">Italiana</t>
  </si>
  <si>
    <t xml:space="preserve">Berinjela</t>
  </si>
  <si>
    <t xml:space="preserve">Japonesa</t>
  </si>
  <si>
    <t xml:space="preserve">Pepino</t>
  </si>
  <si>
    <t xml:space="preserve">Japonês</t>
  </si>
  <si>
    <t xml:space="preserve">Pimentão</t>
  </si>
  <si>
    <t xml:space="preserve">Tomate</t>
  </si>
  <si>
    <t xml:space="preserve">Débora</t>
  </si>
  <si>
    <t xml:space="preserve">Vagem</t>
  </si>
  <si>
    <t xml:space="preserve">Macarrão</t>
  </si>
  <si>
    <t xml:space="preserve">Caqui</t>
  </si>
  <si>
    <t xml:space="preserve">Fuyu</t>
  </si>
  <si>
    <t xml:space="preserve">Guiombo</t>
  </si>
  <si>
    <t xml:space="preserve">Rama Forte</t>
  </si>
  <si>
    <t xml:space="preserve">Mexerica</t>
  </si>
  <si>
    <t xml:space="preserve">Ponkan</t>
  </si>
  <si>
    <t xml:space="preserve">pap_id</t>
  </si>
  <si>
    <t xml:space="preserve">pap_prd_id</t>
  </si>
  <si>
    <t xml:space="preserve">pap_tap_id</t>
  </si>
  <si>
    <t xml:space="preserve">pap_qtd</t>
  </si>
  <si>
    <t xml:space="preserve">pap_umd_id</t>
  </si>
  <si>
    <t xml:space="preserve">pap_atv</t>
  </si>
  <si>
    <t xml:space="preserve">0.5</t>
  </si>
  <si>
    <t xml:space="preserve">cot_id</t>
  </si>
  <si>
    <t xml:space="preserve">cot_blt_id</t>
  </si>
  <si>
    <t xml:space="preserve">cot_pap_id</t>
  </si>
  <si>
    <t xml:space="preserve">cot_prc_comum</t>
  </si>
  <si>
    <t xml:space="preserve">cot_prc_min</t>
  </si>
  <si>
    <t xml:space="preserve">cot_prc_max</t>
  </si>
  <si>
    <t xml:space="preserve">cot_prc_med</t>
  </si>
  <si>
    <t xml:space="preserve">cot_prc_mediana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</si>
</sst>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"/>
    <numFmt numFmtId="166" formatCode="&quot;R$ &quot;#,##0.00"/>
    <numFmt numFmtId="167" formatCode="d/m/yyyy"/>
    <numFmt numFmtId="168" formatCode="&quot;R$ &quot;#,##0.00;[RED]&quot;-R$ &quot;#,##0.00"/>
    <numFmt numFmtId="169" formatCode="[$R$-416]\ #,##0.00;[RED]\-[$R$-416]\ #,##0.00"/>
    <numFmt numFmtId="170" formatCode="#,##0"/>
    <numFmt numFmtId="171" formatCode="dd/mm/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CF0F1"/>
        <bgColor rgb="FFFFFFFF"/>
      </patternFill>
    </fill>
    <fill>
      <patternFill patternType="solid">
        <fgColor rgb="FFFFFFFF"/>
        <bgColor rgb="FFECF0F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 style="thin">
        <color rgb="FFBDC3C7"/>
      </right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5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C3E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CF0F1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461" activePane="bottomLeft" state="frozen"/>
      <selection pane="topLeft" activeCell="A1" activeCellId="0" sqref="A1"/>
      <selection pane="bottomLeft" activeCell="A1" activeCellId="0" sqref="A1"/>
    </sheetView>
  </sheetViews>
  <sheetFormatPr defaultColWidth="32.4453125" defaultRowHeight="14.2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.88"/>
    <col collapsed="false" customWidth="true" hidden="false" outlineLevel="0" max="3" min="3" style="0" width="10.33"/>
    <col collapsed="false" customWidth="true" hidden="false" outlineLevel="0" max="4" min="4" style="0" width="31.88"/>
    <col collapsed="false" customWidth="true" hidden="false" outlineLevel="0" max="5" min="5" style="0" width="19.88"/>
    <col collapsed="false" customWidth="true" hidden="false" outlineLevel="0" max="6" min="6" style="0" width="10.78"/>
    <col collapsed="false" customWidth="true" hidden="false" outlineLevel="0" max="8" min="7" style="0" width="9"/>
    <col collapsed="false" customWidth="true" hidden="false" outlineLevel="0" max="9" min="9" style="0" width="12.33"/>
    <col collapsed="false" customWidth="true" hidden="false" outlineLevel="0" max="10" min="10" style="0" width="9.33"/>
    <col collapsed="false" customWidth="true" hidden="false" outlineLevel="0" max="11" min="11" style="0" width="12.88"/>
    <col collapsed="false" customWidth="true" hidden="false" outlineLevel="0" max="12" min="12" style="0" width="5.44"/>
    <col collapsed="false" customWidth="true" hidden="false" outlineLevel="0" max="13" min="13" style="0" width="10.44"/>
    <col collapsed="false" customWidth="true" hidden="false" outlineLevel="0" max="14" min="14" style="0" width="10.1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25" hidden="false" customHeight="false" outlineLevel="0" collapsed="false">
      <c r="A2" s="0" t="n">
        <v>37</v>
      </c>
      <c r="B2" s="0" t="n">
        <v>2023</v>
      </c>
      <c r="C2" s="3" t="n">
        <v>44931</v>
      </c>
      <c r="D2" s="4" t="s">
        <v>15</v>
      </c>
      <c r="E2" s="5" t="s">
        <v>16</v>
      </c>
      <c r="F2" s="5" t="s">
        <v>17</v>
      </c>
      <c r="G2" s="6"/>
      <c r="H2" s="7" t="n">
        <v>32</v>
      </c>
      <c r="I2" s="7" t="n">
        <v>32</v>
      </c>
      <c r="J2" s="7" t="n">
        <v>32</v>
      </c>
      <c r="K2" s="7" t="n">
        <v>32</v>
      </c>
      <c r="L2" s="0" t="str">
        <f aca="false">IF(H2&gt;I2,"ERRO","OK")</f>
        <v>OK</v>
      </c>
      <c r="M2" s="0" t="str">
        <f aca="false">IF(H2&gt;J2,"ERRO","OK")</f>
        <v>OK</v>
      </c>
      <c r="N2" s="0" t="str">
        <f aca="false">IF(I2&lt;J2,"ERRO","OK")</f>
        <v>OK</v>
      </c>
    </row>
    <row r="3" customFormat="false" ht="25" hidden="false" customHeight="false" outlineLevel="0" collapsed="false">
      <c r="A3" s="0" t="n">
        <v>37</v>
      </c>
      <c r="B3" s="0" t="n">
        <v>2023</v>
      </c>
      <c r="C3" s="3" t="n">
        <v>44931</v>
      </c>
      <c r="D3" s="8" t="s">
        <v>15</v>
      </c>
      <c r="E3" s="9" t="s">
        <v>18</v>
      </c>
      <c r="F3" s="9" t="s">
        <v>17</v>
      </c>
      <c r="G3" s="10"/>
      <c r="H3" s="11" t="n">
        <v>60</v>
      </c>
      <c r="I3" s="11" t="n">
        <v>60</v>
      </c>
      <c r="J3" s="11" t="n">
        <v>60</v>
      </c>
      <c r="K3" s="11" t="n">
        <v>60</v>
      </c>
      <c r="L3" s="0" t="str">
        <f aca="false">IF(H3&gt;I3,"ERRO","OK")</f>
        <v>OK</v>
      </c>
      <c r="M3" s="0" t="str">
        <f aca="false">IF(H3&gt;J3,"ERRO","OK")</f>
        <v>OK</v>
      </c>
      <c r="N3" s="0" t="str">
        <f aca="false">IF(I3&lt;J3,"ERRO","OK")</f>
        <v>OK</v>
      </c>
    </row>
    <row r="4" customFormat="false" ht="25" hidden="false" customHeight="false" outlineLevel="0" collapsed="false">
      <c r="A4" s="0" t="n">
        <v>37</v>
      </c>
      <c r="B4" s="0" t="n">
        <v>2023</v>
      </c>
      <c r="C4" s="3" t="n">
        <v>44931</v>
      </c>
      <c r="D4" s="4" t="s">
        <v>15</v>
      </c>
      <c r="E4" s="5" t="s">
        <v>19</v>
      </c>
      <c r="F4" s="5" t="s">
        <v>17</v>
      </c>
      <c r="G4" s="6"/>
      <c r="H4" s="7" t="n">
        <v>24</v>
      </c>
      <c r="I4" s="7" t="n">
        <v>36</v>
      </c>
      <c r="J4" s="7" t="n">
        <v>30</v>
      </c>
      <c r="K4" s="7" t="n">
        <v>30</v>
      </c>
      <c r="L4" s="0" t="str">
        <f aca="false">IF(H4&gt;I4,"ERRO","OK")</f>
        <v>OK</v>
      </c>
      <c r="M4" s="0" t="str">
        <f aca="false">IF(H4&gt;J4,"ERRO","OK")</f>
        <v>OK</v>
      </c>
      <c r="N4" s="0" t="str">
        <f aca="false">IF(I4&lt;J4,"ERRO","OK")</f>
        <v>OK</v>
      </c>
    </row>
    <row r="5" customFormat="false" ht="25" hidden="false" customHeight="false" outlineLevel="0" collapsed="false">
      <c r="A5" s="0" t="n">
        <v>37</v>
      </c>
      <c r="B5" s="0" t="n">
        <v>2023</v>
      </c>
      <c r="C5" s="3" t="n">
        <v>44931</v>
      </c>
      <c r="D5" s="8" t="s">
        <v>15</v>
      </c>
      <c r="E5" s="9" t="s">
        <v>20</v>
      </c>
      <c r="F5" s="9" t="s">
        <v>17</v>
      </c>
      <c r="G5" s="10"/>
      <c r="H5" s="11" t="n">
        <v>18</v>
      </c>
      <c r="I5" s="11" t="n">
        <v>30</v>
      </c>
      <c r="J5" s="11" t="n">
        <v>24</v>
      </c>
      <c r="K5" s="11" t="n">
        <v>24</v>
      </c>
      <c r="L5" s="0" t="str">
        <f aca="false">IF(H5&gt;I5,"ERRO","OK")</f>
        <v>OK</v>
      </c>
      <c r="M5" s="0" t="str">
        <f aca="false">IF(H5&gt;J5,"ERRO","OK")</f>
        <v>OK</v>
      </c>
      <c r="N5" s="0" t="str">
        <f aca="false">IF(I5&lt;J5,"ERRO","OK")</f>
        <v>OK</v>
      </c>
    </row>
    <row r="6" customFormat="false" ht="25" hidden="false" customHeight="false" outlineLevel="0" collapsed="false">
      <c r="A6" s="0" t="n">
        <v>37</v>
      </c>
      <c r="B6" s="0" t="n">
        <v>2023</v>
      </c>
      <c r="C6" s="3" t="n">
        <v>44931</v>
      </c>
      <c r="D6" s="4" t="s">
        <v>15</v>
      </c>
      <c r="E6" s="5" t="s">
        <v>21</v>
      </c>
      <c r="F6" s="5" t="s">
        <v>17</v>
      </c>
      <c r="G6" s="6"/>
      <c r="H6" s="7" t="n">
        <v>18</v>
      </c>
      <c r="I6" s="7" t="n">
        <v>30</v>
      </c>
      <c r="J6" s="7" t="n">
        <v>24</v>
      </c>
      <c r="K6" s="7" t="n">
        <v>24</v>
      </c>
      <c r="L6" s="0" t="str">
        <f aca="false">IF(H6&gt;I6,"ERRO","OK")</f>
        <v>OK</v>
      </c>
      <c r="M6" s="0" t="str">
        <f aca="false">IF(H6&gt;J6,"ERRO","OK")</f>
        <v>OK</v>
      </c>
      <c r="N6" s="0" t="str">
        <f aca="false">IF(I6&lt;J6,"ERRO","OK")</f>
        <v>OK</v>
      </c>
    </row>
    <row r="7" customFormat="false" ht="25" hidden="false" customHeight="false" outlineLevel="0" collapsed="false">
      <c r="A7" s="0" t="n">
        <v>37</v>
      </c>
      <c r="B7" s="0" t="n">
        <v>2023</v>
      </c>
      <c r="C7" s="3" t="n">
        <v>44931</v>
      </c>
      <c r="D7" s="8" t="s">
        <v>15</v>
      </c>
      <c r="E7" s="9" t="s">
        <v>22</v>
      </c>
      <c r="F7" s="9" t="s">
        <v>17</v>
      </c>
      <c r="G7" s="10"/>
      <c r="H7" s="11" t="n">
        <v>48</v>
      </c>
      <c r="I7" s="11" t="n">
        <v>48</v>
      </c>
      <c r="J7" s="11" t="n">
        <v>48</v>
      </c>
      <c r="K7" s="11" t="n">
        <v>48</v>
      </c>
      <c r="L7" s="0" t="str">
        <f aca="false">IF(H7&gt;I7,"ERRO","OK")</f>
        <v>OK</v>
      </c>
      <c r="M7" s="0" t="str">
        <f aca="false">IF(H7&gt;J7,"ERRO","OK")</f>
        <v>OK</v>
      </c>
      <c r="N7" s="0" t="str">
        <f aca="false">IF(I7&lt;J7,"ERRO","OK")</f>
        <v>OK</v>
      </c>
    </row>
    <row r="8" customFormat="false" ht="25" hidden="false" customHeight="false" outlineLevel="0" collapsed="false">
      <c r="A8" s="0" t="n">
        <v>37</v>
      </c>
      <c r="B8" s="0" t="n">
        <v>2023</v>
      </c>
      <c r="C8" s="3" t="n">
        <v>44931</v>
      </c>
      <c r="D8" s="4" t="s">
        <v>15</v>
      </c>
      <c r="E8" s="5" t="s">
        <v>23</v>
      </c>
      <c r="F8" s="5" t="s">
        <v>17</v>
      </c>
      <c r="G8" s="6"/>
      <c r="H8" s="7" t="n">
        <v>60</v>
      </c>
      <c r="I8" s="7" t="n">
        <v>60</v>
      </c>
      <c r="J8" s="7" t="n">
        <v>60</v>
      </c>
      <c r="K8" s="7" t="n">
        <v>60</v>
      </c>
      <c r="L8" s="0" t="str">
        <f aca="false">IF(H8&gt;I8,"ERRO","OK")</f>
        <v>OK</v>
      </c>
      <c r="M8" s="0" t="str">
        <f aca="false">IF(H8&gt;J8,"ERRO","OK")</f>
        <v>OK</v>
      </c>
      <c r="N8" s="0" t="str">
        <f aca="false">IF(I8&lt;J8,"ERRO","OK")</f>
        <v>OK</v>
      </c>
    </row>
    <row r="9" customFormat="false" ht="25" hidden="false" customHeight="false" outlineLevel="0" collapsed="false">
      <c r="A9" s="0" t="n">
        <v>37</v>
      </c>
      <c r="B9" s="0" t="n">
        <v>2023</v>
      </c>
      <c r="C9" s="3" t="n">
        <v>44931</v>
      </c>
      <c r="D9" s="8" t="s">
        <v>15</v>
      </c>
      <c r="E9" s="9" t="s">
        <v>24</v>
      </c>
      <c r="F9" s="9" t="s">
        <v>17</v>
      </c>
      <c r="G9" s="11" t="n">
        <v>48</v>
      </c>
      <c r="H9" s="11" t="n">
        <v>48</v>
      </c>
      <c r="I9" s="11" t="n">
        <v>60</v>
      </c>
      <c r="J9" s="11" t="n">
        <v>52</v>
      </c>
      <c r="K9" s="11" t="n">
        <v>48</v>
      </c>
      <c r="L9" s="0" t="str">
        <f aca="false">IF(H9&gt;I9,"ERRO","OK")</f>
        <v>OK</v>
      </c>
      <c r="M9" s="0" t="str">
        <f aca="false">IF(H9&gt;J9,"ERRO","OK")</f>
        <v>OK</v>
      </c>
      <c r="N9" s="0" t="str">
        <f aca="false">IF(I9&lt;J9,"ERRO","OK")</f>
        <v>OK</v>
      </c>
    </row>
    <row r="10" customFormat="false" ht="25" hidden="false" customHeight="false" outlineLevel="0" collapsed="false">
      <c r="A10" s="0" t="n">
        <v>37</v>
      </c>
      <c r="B10" s="0" t="n">
        <v>2023</v>
      </c>
      <c r="C10" s="3" t="n">
        <v>44931</v>
      </c>
      <c r="D10" s="4" t="s">
        <v>15</v>
      </c>
      <c r="E10" s="5" t="s">
        <v>25</v>
      </c>
      <c r="F10" s="5" t="s">
        <v>17</v>
      </c>
      <c r="G10" s="7" t="n">
        <v>15</v>
      </c>
      <c r="H10" s="7" t="n">
        <v>15</v>
      </c>
      <c r="I10" s="7" t="n">
        <v>24</v>
      </c>
      <c r="J10" s="7" t="n">
        <v>18</v>
      </c>
      <c r="K10" s="7" t="n">
        <v>15</v>
      </c>
      <c r="L10" s="0" t="str">
        <f aca="false">IF(H10&gt;I10,"ERRO","OK")</f>
        <v>OK</v>
      </c>
      <c r="M10" s="0" t="str">
        <f aca="false">IF(H10&gt;J10,"ERRO","OK")</f>
        <v>OK</v>
      </c>
      <c r="N10" s="0" t="str">
        <f aca="false">IF(I10&lt;J10,"ERRO","OK")</f>
        <v>OK</v>
      </c>
    </row>
    <row r="11" customFormat="false" ht="25" hidden="false" customHeight="false" outlineLevel="0" collapsed="false">
      <c r="A11" s="0" t="n">
        <v>37</v>
      </c>
      <c r="B11" s="0" t="n">
        <v>2023</v>
      </c>
      <c r="C11" s="3" t="n">
        <v>44931</v>
      </c>
      <c r="D11" s="8" t="s">
        <v>15</v>
      </c>
      <c r="E11" s="9" t="s">
        <v>26</v>
      </c>
      <c r="F11" s="9"/>
      <c r="G11" s="10"/>
      <c r="H11" s="11" t="n">
        <v>60</v>
      </c>
      <c r="I11" s="11" t="n">
        <v>60</v>
      </c>
      <c r="J11" s="11" t="n">
        <v>60</v>
      </c>
      <c r="K11" s="11" t="n">
        <v>60</v>
      </c>
      <c r="L11" s="0" t="str">
        <f aca="false">IF(H11&gt;I11,"ERRO","OK")</f>
        <v>OK</v>
      </c>
      <c r="M11" s="0" t="str">
        <f aca="false">IF(H11&gt;J11,"ERRO","OK")</f>
        <v>OK</v>
      </c>
      <c r="N11" s="0" t="str">
        <f aca="false">IF(I11&lt;J11,"ERRO","OK")</f>
        <v>OK</v>
      </c>
    </row>
    <row r="12" customFormat="false" ht="25" hidden="false" customHeight="false" outlineLevel="0" collapsed="false">
      <c r="A12" s="0" t="n">
        <v>37</v>
      </c>
      <c r="B12" s="0" t="n">
        <v>2023</v>
      </c>
      <c r="C12" s="3" t="n">
        <v>44931</v>
      </c>
      <c r="D12" s="4" t="s">
        <v>15</v>
      </c>
      <c r="E12" s="5" t="s">
        <v>27</v>
      </c>
      <c r="F12" s="5" t="s">
        <v>17</v>
      </c>
      <c r="G12" s="6"/>
      <c r="H12" s="7" t="n">
        <v>18</v>
      </c>
      <c r="I12" s="7" t="n">
        <v>30</v>
      </c>
      <c r="J12" s="7" t="n">
        <v>24</v>
      </c>
      <c r="K12" s="7" t="n">
        <v>24</v>
      </c>
      <c r="L12" s="0" t="str">
        <f aca="false">IF(H12&gt;I12,"ERRO","OK")</f>
        <v>OK</v>
      </c>
      <c r="M12" s="0" t="str">
        <f aca="false">IF(H12&gt;J12,"ERRO","OK")</f>
        <v>OK</v>
      </c>
      <c r="N12" s="0" t="str">
        <f aca="false">IF(I12&lt;J12,"ERRO","OK")</f>
        <v>OK</v>
      </c>
    </row>
    <row r="13" customFormat="false" ht="25" hidden="false" customHeight="false" outlineLevel="0" collapsed="false">
      <c r="A13" s="0" t="n">
        <v>37</v>
      </c>
      <c r="B13" s="0" t="n">
        <v>2023</v>
      </c>
      <c r="C13" s="3" t="n">
        <v>44931</v>
      </c>
      <c r="D13" s="8" t="s">
        <v>15</v>
      </c>
      <c r="E13" s="9" t="s">
        <v>28</v>
      </c>
      <c r="F13" s="9" t="s">
        <v>17</v>
      </c>
      <c r="G13" s="10"/>
      <c r="H13" s="11" t="n">
        <v>42</v>
      </c>
      <c r="I13" s="11" t="n">
        <v>54</v>
      </c>
      <c r="J13" s="11" t="n">
        <v>48</v>
      </c>
      <c r="K13" s="11" t="n">
        <v>48</v>
      </c>
      <c r="L13" s="0" t="str">
        <f aca="false">IF(H13&gt;I13,"ERRO","OK")</f>
        <v>OK</v>
      </c>
      <c r="M13" s="0" t="str">
        <f aca="false">IF(H13&gt;J13,"ERRO","OK")</f>
        <v>OK</v>
      </c>
      <c r="N13" s="0" t="str">
        <f aca="false">IF(I13&lt;J13,"ERRO","OK")</f>
        <v>OK</v>
      </c>
    </row>
    <row r="14" customFormat="false" ht="25" hidden="false" customHeight="false" outlineLevel="0" collapsed="false">
      <c r="A14" s="0" t="n">
        <v>37</v>
      </c>
      <c r="B14" s="0" t="n">
        <v>2023</v>
      </c>
      <c r="C14" s="3" t="n">
        <v>44931</v>
      </c>
      <c r="D14" s="4" t="s">
        <v>15</v>
      </c>
      <c r="E14" s="5" t="s">
        <v>29</v>
      </c>
      <c r="F14" s="5" t="s">
        <v>30</v>
      </c>
      <c r="G14" s="6"/>
      <c r="H14" s="7" t="n">
        <v>36</v>
      </c>
      <c r="I14" s="7" t="n">
        <v>48</v>
      </c>
      <c r="J14" s="7" t="n">
        <v>42</v>
      </c>
      <c r="K14" s="7" t="n">
        <v>42</v>
      </c>
      <c r="L14" s="0" t="str">
        <f aca="false">IF(H14&gt;I14,"ERRO","OK")</f>
        <v>OK</v>
      </c>
      <c r="M14" s="0" t="str">
        <f aca="false">IF(H14&gt;J14,"ERRO","OK")</f>
        <v>OK</v>
      </c>
      <c r="N14" s="0" t="str">
        <f aca="false">IF(I14&lt;J14,"ERRO","OK")</f>
        <v>OK</v>
      </c>
    </row>
    <row r="15" customFormat="false" ht="25" hidden="false" customHeight="false" outlineLevel="0" collapsed="false">
      <c r="A15" s="0" t="n">
        <v>37</v>
      </c>
      <c r="B15" s="0" t="n">
        <v>2023</v>
      </c>
      <c r="C15" s="3" t="n">
        <v>44931</v>
      </c>
      <c r="D15" s="8" t="s">
        <v>15</v>
      </c>
      <c r="E15" s="9" t="s">
        <v>31</v>
      </c>
      <c r="F15" s="9" t="s">
        <v>17</v>
      </c>
      <c r="G15" s="10"/>
      <c r="H15" s="11" t="n">
        <v>60</v>
      </c>
      <c r="I15" s="11" t="n">
        <v>60</v>
      </c>
      <c r="J15" s="11" t="n">
        <v>60</v>
      </c>
      <c r="K15" s="11" t="n">
        <v>60</v>
      </c>
      <c r="L15" s="0" t="str">
        <f aca="false">IF(H15&gt;I15,"ERRO","OK")</f>
        <v>OK</v>
      </c>
      <c r="M15" s="0" t="str">
        <f aca="false">IF(H15&gt;J15,"ERRO","OK")</f>
        <v>OK</v>
      </c>
      <c r="N15" s="0" t="str">
        <f aca="false">IF(I15&lt;J15,"ERRO","OK")</f>
        <v>OK</v>
      </c>
    </row>
    <row r="16" customFormat="false" ht="25" hidden="false" customHeight="false" outlineLevel="0" collapsed="false">
      <c r="A16" s="0" t="n">
        <v>37</v>
      </c>
      <c r="B16" s="0" t="n">
        <v>2023</v>
      </c>
      <c r="C16" s="3" t="n">
        <v>44931</v>
      </c>
      <c r="D16" s="4" t="s">
        <v>15</v>
      </c>
      <c r="E16" s="5" t="s">
        <v>32</v>
      </c>
      <c r="F16" s="5" t="s">
        <v>17</v>
      </c>
      <c r="G16" s="6"/>
      <c r="H16" s="7" t="n">
        <v>24</v>
      </c>
      <c r="I16" s="7" t="n">
        <v>36</v>
      </c>
      <c r="J16" s="7" t="n">
        <v>30</v>
      </c>
      <c r="K16" s="7" t="n">
        <v>30</v>
      </c>
      <c r="L16" s="0" t="str">
        <f aca="false">IF(H16&gt;I16,"ERRO","OK")</f>
        <v>OK</v>
      </c>
      <c r="M16" s="0" t="str">
        <f aca="false">IF(H16&gt;J16,"ERRO","OK")</f>
        <v>OK</v>
      </c>
      <c r="N16" s="0" t="str">
        <f aca="false">IF(I16&lt;J16,"ERRO","OK")</f>
        <v>OK</v>
      </c>
    </row>
    <row r="17" customFormat="false" ht="25" hidden="false" customHeight="false" outlineLevel="0" collapsed="false">
      <c r="A17" s="0" t="n">
        <v>37</v>
      </c>
      <c r="B17" s="0" t="n">
        <v>2023</v>
      </c>
      <c r="C17" s="3" t="n">
        <v>44931</v>
      </c>
      <c r="D17" s="8" t="s">
        <v>15</v>
      </c>
      <c r="E17" s="9" t="s">
        <v>33</v>
      </c>
      <c r="F17" s="9" t="s">
        <v>17</v>
      </c>
      <c r="G17" s="11" t="n">
        <v>42</v>
      </c>
      <c r="H17" s="11" t="n">
        <v>36</v>
      </c>
      <c r="I17" s="11" t="n">
        <v>42</v>
      </c>
      <c r="J17" s="11" t="n">
        <v>40</v>
      </c>
      <c r="K17" s="11" t="n">
        <v>42</v>
      </c>
      <c r="L17" s="0" t="str">
        <f aca="false">IF(H17&gt;I17,"ERRO","OK")</f>
        <v>OK</v>
      </c>
      <c r="M17" s="0" t="str">
        <f aca="false">IF(H17&gt;J17,"ERRO","OK")</f>
        <v>OK</v>
      </c>
      <c r="N17" s="0" t="str">
        <f aca="false">IF(I17&lt;J17,"ERRO","OK")</f>
        <v>OK</v>
      </c>
    </row>
    <row r="18" customFormat="false" ht="25" hidden="false" customHeight="false" outlineLevel="0" collapsed="false">
      <c r="A18" s="0" t="n">
        <v>37</v>
      </c>
      <c r="B18" s="0" t="n">
        <v>2023</v>
      </c>
      <c r="C18" s="3" t="n">
        <v>44931</v>
      </c>
      <c r="D18" s="4" t="s">
        <v>34</v>
      </c>
      <c r="E18" s="5" t="s">
        <v>35</v>
      </c>
      <c r="F18" s="5" t="s">
        <v>36</v>
      </c>
      <c r="G18" s="7" t="n">
        <v>4</v>
      </c>
      <c r="H18" s="7" t="n">
        <v>3</v>
      </c>
      <c r="I18" s="7" t="n">
        <v>4</v>
      </c>
      <c r="J18" s="7" t="s">
        <v>37</v>
      </c>
      <c r="K18" s="7" t="n">
        <v>4</v>
      </c>
      <c r="L18" s="0" t="str">
        <f aca="false">IF(H18&gt;I18,"ERRO","OK")</f>
        <v>OK</v>
      </c>
      <c r="M18" s="0" t="str">
        <f aca="false">IF(H18&gt;J18,"ERRO","OK")</f>
        <v>OK</v>
      </c>
      <c r="N18" s="0" t="str">
        <f aca="false">IF(I18&lt;J18,"ERRO","OK")</f>
        <v>ERRO</v>
      </c>
    </row>
    <row r="19" customFormat="false" ht="25" hidden="false" customHeight="false" outlineLevel="0" collapsed="false">
      <c r="A19" s="0" t="n">
        <v>37</v>
      </c>
      <c r="B19" s="0" t="n">
        <v>2023</v>
      </c>
      <c r="C19" s="3" t="n">
        <v>44931</v>
      </c>
      <c r="D19" s="8" t="s">
        <v>34</v>
      </c>
      <c r="E19" s="9" t="s">
        <v>38</v>
      </c>
      <c r="F19" s="9" t="s">
        <v>39</v>
      </c>
      <c r="G19" s="11" t="n">
        <v>25</v>
      </c>
      <c r="H19" s="11" t="n">
        <v>25</v>
      </c>
      <c r="I19" s="11" t="n">
        <v>25</v>
      </c>
      <c r="J19" s="11" t="n">
        <v>25</v>
      </c>
      <c r="K19" s="11" t="n">
        <v>25</v>
      </c>
      <c r="L19" s="0" t="str">
        <f aca="false">IF(H19&gt;I19,"ERRO","OK")</f>
        <v>OK</v>
      </c>
      <c r="M19" s="0" t="str">
        <f aca="false">IF(H19&gt;J19,"ERRO","OK")</f>
        <v>OK</v>
      </c>
      <c r="N19" s="0" t="str">
        <f aca="false">IF(I19&lt;J19,"ERRO","OK")</f>
        <v>OK</v>
      </c>
    </row>
    <row r="20" customFormat="false" ht="25" hidden="false" customHeight="false" outlineLevel="0" collapsed="false">
      <c r="A20" s="0" t="n">
        <v>37</v>
      </c>
      <c r="B20" s="0" t="n">
        <v>2023</v>
      </c>
      <c r="C20" s="3" t="n">
        <v>44931</v>
      </c>
      <c r="D20" s="4" t="s">
        <v>34</v>
      </c>
      <c r="E20" s="5" t="s">
        <v>40</v>
      </c>
      <c r="F20" s="5" t="s">
        <v>39</v>
      </c>
      <c r="G20" s="7" t="n">
        <v>25</v>
      </c>
      <c r="H20" s="7" t="n">
        <v>20</v>
      </c>
      <c r="I20" s="7" t="n">
        <v>25</v>
      </c>
      <c r="J20" s="7" t="s">
        <v>41</v>
      </c>
      <c r="K20" s="7" t="s">
        <v>41</v>
      </c>
      <c r="L20" s="0" t="str">
        <f aca="false">IF(H20&gt;I20,"ERRO","OK")</f>
        <v>OK</v>
      </c>
      <c r="M20" s="0" t="str">
        <f aca="false">IF(H20&gt;J20,"ERRO","OK")</f>
        <v>OK</v>
      </c>
      <c r="N20" s="0" t="str">
        <f aca="false">IF(I20&lt;J20,"ERRO","OK")</f>
        <v>ERRO</v>
      </c>
    </row>
    <row r="21" customFormat="false" ht="36.5" hidden="false" customHeight="false" outlineLevel="0" collapsed="false">
      <c r="A21" s="0" t="n">
        <v>37</v>
      </c>
      <c r="B21" s="0" t="n">
        <v>2023</v>
      </c>
      <c r="C21" s="3" t="n">
        <v>44931</v>
      </c>
      <c r="D21" s="8" t="s">
        <v>42</v>
      </c>
      <c r="E21" s="9" t="s">
        <v>43</v>
      </c>
      <c r="F21" s="9" t="s">
        <v>44</v>
      </c>
      <c r="G21" s="11" t="n">
        <v>60</v>
      </c>
      <c r="H21" s="11" t="n">
        <v>50</v>
      </c>
      <c r="I21" s="11" t="n">
        <v>60</v>
      </c>
      <c r="J21" s="11" t="s">
        <v>45</v>
      </c>
      <c r="K21" s="11" t="n">
        <v>60</v>
      </c>
      <c r="L21" s="0" t="str">
        <f aca="false">IF(H21&gt;I21,"ERRO","OK")</f>
        <v>OK</v>
      </c>
      <c r="M21" s="0" t="str">
        <f aca="false">IF(H21&gt;J21,"ERRO","OK")</f>
        <v>OK</v>
      </c>
      <c r="N21" s="0" t="str">
        <f aca="false">IF(I21&lt;J21,"ERRO","OK")</f>
        <v>ERRO</v>
      </c>
    </row>
    <row r="22" customFormat="false" ht="36.5" hidden="false" customHeight="false" outlineLevel="0" collapsed="false">
      <c r="A22" s="0" t="n">
        <v>37</v>
      </c>
      <c r="B22" s="0" t="n">
        <v>2023</v>
      </c>
      <c r="C22" s="3" t="n">
        <v>44931</v>
      </c>
      <c r="D22" s="4" t="s">
        <v>42</v>
      </c>
      <c r="E22" s="5" t="s">
        <v>46</v>
      </c>
      <c r="F22" s="5" t="s">
        <v>47</v>
      </c>
      <c r="G22" s="7" t="n">
        <v>50</v>
      </c>
      <c r="H22" s="7" t="n">
        <v>50</v>
      </c>
      <c r="I22" s="7" t="n">
        <v>65</v>
      </c>
      <c r="J22" s="7" t="n">
        <v>55</v>
      </c>
      <c r="K22" s="7" t="n">
        <v>50</v>
      </c>
      <c r="L22" s="0" t="str">
        <f aca="false">IF(H22&gt;I22,"ERRO","OK")</f>
        <v>OK</v>
      </c>
      <c r="M22" s="0" t="str">
        <f aca="false">IF(H22&gt;J22,"ERRO","OK")</f>
        <v>OK</v>
      </c>
      <c r="N22" s="0" t="str">
        <f aca="false">IF(I22&lt;J22,"ERRO","OK")</f>
        <v>OK</v>
      </c>
    </row>
    <row r="23" customFormat="false" ht="36.5" hidden="false" customHeight="false" outlineLevel="0" collapsed="false">
      <c r="A23" s="0" t="n">
        <v>37</v>
      </c>
      <c r="B23" s="0" t="n">
        <v>2023</v>
      </c>
      <c r="C23" s="3" t="n">
        <v>44931</v>
      </c>
      <c r="D23" s="8" t="s">
        <v>42</v>
      </c>
      <c r="E23" s="9" t="s">
        <v>48</v>
      </c>
      <c r="F23" s="9" t="s">
        <v>49</v>
      </c>
      <c r="G23" s="11" t="n">
        <v>40</v>
      </c>
      <c r="H23" s="11" t="n">
        <v>40</v>
      </c>
      <c r="I23" s="11" t="n">
        <v>50</v>
      </c>
      <c r="J23" s="11" t="s">
        <v>50</v>
      </c>
      <c r="K23" s="11" t="s">
        <v>51</v>
      </c>
      <c r="L23" s="0" t="str">
        <f aca="false">IF(H23&gt;I23,"ERRO","OK")</f>
        <v>OK</v>
      </c>
      <c r="M23" s="0" t="str">
        <f aca="false">IF(H23&gt;J23,"ERRO","OK")</f>
        <v>OK</v>
      </c>
      <c r="N23" s="0" t="str">
        <f aca="false">IF(I23&lt;J23,"ERRO","OK")</f>
        <v>ERRO</v>
      </c>
    </row>
    <row r="24" customFormat="false" ht="36.5" hidden="false" customHeight="false" outlineLevel="0" collapsed="false">
      <c r="A24" s="0" t="n">
        <v>37</v>
      </c>
      <c r="B24" s="0" t="n">
        <v>2023</v>
      </c>
      <c r="C24" s="3" t="n">
        <v>44931</v>
      </c>
      <c r="D24" s="4" t="s">
        <v>42</v>
      </c>
      <c r="E24" s="5" t="s">
        <v>52</v>
      </c>
      <c r="F24" s="5" t="s">
        <v>49</v>
      </c>
      <c r="G24" s="6"/>
      <c r="H24" s="6"/>
      <c r="I24" s="6"/>
      <c r="J24" s="6"/>
      <c r="K24" s="6"/>
      <c r="L24" s="0" t="str">
        <f aca="false">IF(H24&gt;I24,"ERRO","OK")</f>
        <v>OK</v>
      </c>
      <c r="M24" s="0" t="str">
        <f aca="false">IF(H24&gt;J24,"ERRO","OK")</f>
        <v>OK</v>
      </c>
      <c r="N24" s="0" t="str">
        <f aca="false">IF(I24&lt;J24,"ERRO","OK")</f>
        <v>OK</v>
      </c>
    </row>
    <row r="25" customFormat="false" ht="36.5" hidden="false" customHeight="false" outlineLevel="0" collapsed="false">
      <c r="A25" s="0" t="n">
        <v>37</v>
      </c>
      <c r="B25" s="0" t="n">
        <v>2023</v>
      </c>
      <c r="C25" s="3" t="n">
        <v>44931</v>
      </c>
      <c r="D25" s="8" t="s">
        <v>42</v>
      </c>
      <c r="E25" s="9" t="s">
        <v>53</v>
      </c>
      <c r="F25" s="9" t="s">
        <v>54</v>
      </c>
      <c r="G25" s="10"/>
      <c r="H25" s="11" t="n">
        <v>48</v>
      </c>
      <c r="I25" s="11" t="n">
        <v>60</v>
      </c>
      <c r="J25" s="11" t="s">
        <v>55</v>
      </c>
      <c r="K25" s="11" t="n">
        <v>50</v>
      </c>
      <c r="L25" s="0" t="str">
        <f aca="false">IF(H25&gt;I25,"ERRO","OK")</f>
        <v>OK</v>
      </c>
      <c r="M25" s="0" t="str">
        <f aca="false">IF(H25&gt;J25,"ERRO","OK")</f>
        <v>OK</v>
      </c>
      <c r="N25" s="0" t="str">
        <f aca="false">IF(I25&lt;J25,"ERRO","OK")</f>
        <v>ERRO</v>
      </c>
    </row>
    <row r="26" customFormat="false" ht="36.5" hidden="false" customHeight="false" outlineLevel="0" collapsed="false">
      <c r="A26" s="0" t="n">
        <v>37</v>
      </c>
      <c r="B26" s="0" t="n">
        <v>2023</v>
      </c>
      <c r="C26" s="3" t="n">
        <v>44931</v>
      </c>
      <c r="D26" s="4" t="s">
        <v>42</v>
      </c>
      <c r="E26" s="5" t="s">
        <v>56</v>
      </c>
      <c r="F26" s="5" t="s">
        <v>47</v>
      </c>
      <c r="G26" s="7" t="n">
        <v>55</v>
      </c>
      <c r="H26" s="7" t="n">
        <v>50</v>
      </c>
      <c r="I26" s="7" t="n">
        <v>60</v>
      </c>
      <c r="J26" s="7" t="n">
        <v>55</v>
      </c>
      <c r="K26" s="7" t="n">
        <v>55</v>
      </c>
      <c r="L26" s="0" t="str">
        <f aca="false">IF(H26&gt;I26,"ERRO","OK")</f>
        <v>OK</v>
      </c>
      <c r="M26" s="0" t="str">
        <f aca="false">IF(H26&gt;J26,"ERRO","OK")</f>
        <v>OK</v>
      </c>
      <c r="N26" s="0" t="str">
        <f aca="false">IF(I26&lt;J26,"ERRO","OK")</f>
        <v>OK</v>
      </c>
    </row>
    <row r="27" customFormat="false" ht="36.5" hidden="false" customHeight="false" outlineLevel="0" collapsed="false">
      <c r="A27" s="0" t="n">
        <v>37</v>
      </c>
      <c r="B27" s="0" t="n">
        <v>2023</v>
      </c>
      <c r="C27" s="3" t="n">
        <v>44931</v>
      </c>
      <c r="D27" s="8" t="s">
        <v>42</v>
      </c>
      <c r="E27" s="9" t="s">
        <v>57</v>
      </c>
      <c r="F27" s="9" t="s">
        <v>47</v>
      </c>
      <c r="G27" s="11" t="n">
        <v>40</v>
      </c>
      <c r="H27" s="11" t="n">
        <v>30</v>
      </c>
      <c r="I27" s="11" t="n">
        <v>50</v>
      </c>
      <c r="J27" s="11" t="n">
        <v>40</v>
      </c>
      <c r="K27" s="11" t="n">
        <v>40</v>
      </c>
      <c r="L27" s="0" t="str">
        <f aca="false">IF(H27&gt;I27,"ERRO","OK")</f>
        <v>OK</v>
      </c>
      <c r="M27" s="0" t="str">
        <f aca="false">IF(H27&gt;J27,"ERRO","OK")</f>
        <v>OK</v>
      </c>
      <c r="N27" s="0" t="str">
        <f aca="false">IF(I27&lt;J27,"ERRO","OK")</f>
        <v>OK</v>
      </c>
    </row>
    <row r="28" customFormat="false" ht="36.5" hidden="false" customHeight="false" outlineLevel="0" collapsed="false">
      <c r="A28" s="0" t="n">
        <v>37</v>
      </c>
      <c r="B28" s="0" t="n">
        <v>2023</v>
      </c>
      <c r="C28" s="3" t="n">
        <v>44931</v>
      </c>
      <c r="D28" s="4" t="s">
        <v>42</v>
      </c>
      <c r="E28" s="5" t="s">
        <v>58</v>
      </c>
      <c r="F28" s="5" t="s">
        <v>44</v>
      </c>
      <c r="G28" s="7" t="n">
        <v>50</v>
      </c>
      <c r="H28" s="7" t="n">
        <v>50</v>
      </c>
      <c r="I28" s="7" t="n">
        <v>70</v>
      </c>
      <c r="J28" s="7" t="s">
        <v>59</v>
      </c>
      <c r="K28" s="7" t="n">
        <v>50</v>
      </c>
      <c r="L28" s="0" t="str">
        <f aca="false">IF(H28&gt;I28,"ERRO","OK")</f>
        <v>OK</v>
      </c>
      <c r="M28" s="0" t="str">
        <f aca="false">IF(H28&gt;J28,"ERRO","OK")</f>
        <v>OK</v>
      </c>
      <c r="N28" s="0" t="str">
        <f aca="false">IF(I28&lt;J28,"ERRO","OK")</f>
        <v>ERRO</v>
      </c>
    </row>
    <row r="29" customFormat="false" ht="36.5" hidden="false" customHeight="false" outlineLevel="0" collapsed="false">
      <c r="A29" s="0" t="n">
        <v>37</v>
      </c>
      <c r="B29" s="0" t="n">
        <v>2023</v>
      </c>
      <c r="C29" s="3" t="n">
        <v>44931</v>
      </c>
      <c r="D29" s="8" t="s">
        <v>42</v>
      </c>
      <c r="E29" s="9" t="s">
        <v>60</v>
      </c>
      <c r="F29" s="9" t="s">
        <v>47</v>
      </c>
      <c r="G29" s="10"/>
      <c r="H29" s="10"/>
      <c r="I29" s="10"/>
      <c r="J29" s="10"/>
      <c r="K29" s="10"/>
      <c r="L29" s="0" t="str">
        <f aca="false">IF(H29&gt;I29,"ERRO","OK")</f>
        <v>OK</v>
      </c>
      <c r="M29" s="0" t="str">
        <f aca="false">IF(H29&gt;J29,"ERRO","OK")</f>
        <v>OK</v>
      </c>
      <c r="N29" s="0" t="str">
        <f aca="false">IF(I29&lt;J29,"ERRO","OK")</f>
        <v>OK</v>
      </c>
    </row>
    <row r="30" customFormat="false" ht="36.5" hidden="false" customHeight="false" outlineLevel="0" collapsed="false">
      <c r="A30" s="0" t="n">
        <v>37</v>
      </c>
      <c r="B30" s="0" t="n">
        <v>2023</v>
      </c>
      <c r="C30" s="3" t="n">
        <v>44931</v>
      </c>
      <c r="D30" s="4" t="s">
        <v>42</v>
      </c>
      <c r="E30" s="5" t="s">
        <v>61</v>
      </c>
      <c r="F30" s="5" t="s">
        <v>44</v>
      </c>
      <c r="G30" s="7" t="n">
        <v>50</v>
      </c>
      <c r="H30" s="7" t="n">
        <v>40</v>
      </c>
      <c r="I30" s="7" t="n">
        <v>60</v>
      </c>
      <c r="J30" s="7" t="n">
        <v>50</v>
      </c>
      <c r="K30" s="7" t="n">
        <v>50</v>
      </c>
      <c r="L30" s="0" t="str">
        <f aca="false">IF(H30&gt;I30,"ERRO","OK")</f>
        <v>OK</v>
      </c>
      <c r="M30" s="0" t="str">
        <f aca="false">IF(H30&gt;J30,"ERRO","OK")</f>
        <v>OK</v>
      </c>
      <c r="N30" s="0" t="str">
        <f aca="false">IF(I30&lt;J30,"ERRO","OK")</f>
        <v>OK</v>
      </c>
    </row>
    <row r="31" customFormat="false" ht="36.5" hidden="false" customHeight="false" outlineLevel="0" collapsed="false">
      <c r="A31" s="0" t="n">
        <v>37</v>
      </c>
      <c r="B31" s="0" t="n">
        <v>2023</v>
      </c>
      <c r="C31" s="3" t="n">
        <v>44931</v>
      </c>
      <c r="D31" s="8" t="s">
        <v>42</v>
      </c>
      <c r="E31" s="9" t="s">
        <v>62</v>
      </c>
      <c r="F31" s="9" t="s">
        <v>44</v>
      </c>
      <c r="G31" s="11" t="n">
        <v>50</v>
      </c>
      <c r="H31" s="11" t="n">
        <v>50</v>
      </c>
      <c r="I31" s="11" t="n">
        <v>60</v>
      </c>
      <c r="J31" s="11" t="n">
        <v>55</v>
      </c>
      <c r="K31" s="11" t="n">
        <v>55</v>
      </c>
      <c r="L31" s="0" t="str">
        <f aca="false">IF(H31&gt;I31,"ERRO","OK")</f>
        <v>OK</v>
      </c>
      <c r="M31" s="0" t="str">
        <f aca="false">IF(H31&gt;J31,"ERRO","OK")</f>
        <v>OK</v>
      </c>
      <c r="N31" s="0" t="str">
        <f aca="false">IF(I31&lt;J31,"ERRO","OK")</f>
        <v>OK</v>
      </c>
    </row>
    <row r="32" customFormat="false" ht="36.5" hidden="false" customHeight="false" outlineLevel="0" collapsed="false">
      <c r="A32" s="0" t="n">
        <v>37</v>
      </c>
      <c r="B32" s="0" t="n">
        <v>2023</v>
      </c>
      <c r="C32" s="3" t="n">
        <v>44931</v>
      </c>
      <c r="D32" s="4" t="s">
        <v>42</v>
      </c>
      <c r="E32" s="5" t="s">
        <v>63</v>
      </c>
      <c r="F32" s="5" t="s">
        <v>49</v>
      </c>
      <c r="G32" s="6"/>
      <c r="H32" s="7" t="n">
        <v>30</v>
      </c>
      <c r="I32" s="7" t="n">
        <v>50</v>
      </c>
      <c r="J32" s="7" t="n">
        <v>40</v>
      </c>
      <c r="K32" s="7" t="n">
        <v>40</v>
      </c>
      <c r="L32" s="0" t="str">
        <f aca="false">IF(H32&gt;I32,"ERRO","OK")</f>
        <v>OK</v>
      </c>
      <c r="M32" s="0" t="str">
        <f aca="false">IF(H32&gt;J32,"ERRO","OK")</f>
        <v>OK</v>
      </c>
      <c r="N32" s="0" t="str">
        <f aca="false">IF(I32&lt;J32,"ERRO","OK")</f>
        <v>OK</v>
      </c>
    </row>
    <row r="33" customFormat="false" ht="36.5" hidden="false" customHeight="false" outlineLevel="0" collapsed="false">
      <c r="A33" s="0" t="n">
        <v>37</v>
      </c>
      <c r="B33" s="0" t="n">
        <v>2023</v>
      </c>
      <c r="C33" s="3" t="n">
        <v>44931</v>
      </c>
      <c r="D33" s="8" t="s">
        <v>42</v>
      </c>
      <c r="E33" s="9" t="s">
        <v>64</v>
      </c>
      <c r="F33" s="9" t="s">
        <v>65</v>
      </c>
      <c r="G33" s="11" t="n">
        <v>70</v>
      </c>
      <c r="H33" s="11" t="n">
        <v>60</v>
      </c>
      <c r="I33" s="11" t="n">
        <v>80</v>
      </c>
      <c r="J33" s="11" t="s">
        <v>66</v>
      </c>
      <c r="K33" s="11" t="n">
        <v>70</v>
      </c>
      <c r="L33" s="0" t="str">
        <f aca="false">IF(H33&gt;I33,"ERRO","OK")</f>
        <v>OK</v>
      </c>
      <c r="M33" s="0" t="str">
        <f aca="false">IF(H33&gt;J33,"ERRO","OK")</f>
        <v>OK</v>
      </c>
      <c r="N33" s="0" t="str">
        <f aca="false">IF(I33&lt;J33,"ERRO","OK")</f>
        <v>ERRO</v>
      </c>
    </row>
    <row r="34" customFormat="false" ht="36.5" hidden="false" customHeight="false" outlineLevel="0" collapsed="false">
      <c r="A34" s="0" t="n">
        <v>37</v>
      </c>
      <c r="B34" s="0" t="n">
        <v>2023</v>
      </c>
      <c r="C34" s="3" t="n">
        <v>44931</v>
      </c>
      <c r="D34" s="4" t="s">
        <v>42</v>
      </c>
      <c r="E34" s="5" t="s">
        <v>67</v>
      </c>
      <c r="F34" s="5" t="s">
        <v>44</v>
      </c>
      <c r="G34" s="7" t="n">
        <v>100</v>
      </c>
      <c r="H34" s="7" t="n">
        <v>90</v>
      </c>
      <c r="I34" s="7" t="n">
        <v>110</v>
      </c>
      <c r="J34" s="7" t="n">
        <v>100</v>
      </c>
      <c r="K34" s="7" t="n">
        <v>100</v>
      </c>
      <c r="L34" s="0" t="str">
        <f aca="false">IF(H34&gt;I34,"ERRO","OK")</f>
        <v>OK</v>
      </c>
      <c r="M34" s="0" t="str">
        <f aca="false">IF(H34&gt;J34,"ERRO","OK")</f>
        <v>OK</v>
      </c>
      <c r="N34" s="0" t="str">
        <f aca="false">IF(I34&lt;J34,"ERRO","OK")</f>
        <v>OK</v>
      </c>
    </row>
    <row r="35" customFormat="false" ht="36.5" hidden="false" customHeight="false" outlineLevel="0" collapsed="false">
      <c r="A35" s="0" t="n">
        <v>37</v>
      </c>
      <c r="B35" s="0" t="n">
        <v>2023</v>
      </c>
      <c r="C35" s="3" t="n">
        <v>44931</v>
      </c>
      <c r="D35" s="8" t="s">
        <v>42</v>
      </c>
      <c r="E35" s="9" t="s">
        <v>68</v>
      </c>
      <c r="F35" s="9" t="s">
        <v>44</v>
      </c>
      <c r="G35" s="11" t="n">
        <v>80</v>
      </c>
      <c r="H35" s="11" t="n">
        <v>70</v>
      </c>
      <c r="I35" s="11" t="n">
        <v>100</v>
      </c>
      <c r="J35" s="11" t="n">
        <v>83</v>
      </c>
      <c r="K35" s="11" t="n">
        <v>80</v>
      </c>
      <c r="L35" s="0" t="str">
        <f aca="false">IF(H35&gt;I35,"ERRO","OK")</f>
        <v>OK</v>
      </c>
      <c r="M35" s="0" t="str">
        <f aca="false">IF(H35&gt;J35,"ERRO","OK")</f>
        <v>OK</v>
      </c>
      <c r="N35" s="0" t="str">
        <f aca="false">IF(I35&lt;J35,"ERRO","OK")</f>
        <v>OK</v>
      </c>
    </row>
    <row r="36" customFormat="false" ht="14.25" hidden="false" customHeight="false" outlineLevel="0" collapsed="false">
      <c r="A36" s="0" t="n">
        <v>37</v>
      </c>
      <c r="B36" s="0" t="n">
        <v>2023</v>
      </c>
      <c r="C36" s="3" t="n">
        <v>44931</v>
      </c>
      <c r="D36" s="4" t="s">
        <v>69</v>
      </c>
      <c r="E36" s="5" t="s">
        <v>70</v>
      </c>
      <c r="F36" s="5" t="s">
        <v>44</v>
      </c>
      <c r="G36" s="6"/>
      <c r="H36" s="6"/>
      <c r="I36" s="6"/>
      <c r="J36" s="6"/>
      <c r="K36" s="6"/>
      <c r="L36" s="0" t="str">
        <f aca="false">IF(H36&gt;I36,"ERRO","OK")</f>
        <v>OK</v>
      </c>
      <c r="M36" s="0" t="str">
        <f aca="false">IF(H36&gt;J36,"ERRO","OK")</f>
        <v>OK</v>
      </c>
      <c r="N36" s="0" t="str">
        <f aca="false">IF(I36&lt;J36,"ERRO","OK")</f>
        <v>OK</v>
      </c>
    </row>
    <row r="37" customFormat="false" ht="14.25" hidden="false" customHeight="false" outlineLevel="0" collapsed="false">
      <c r="A37" s="0" t="n">
        <v>37</v>
      </c>
      <c r="B37" s="0" t="n">
        <v>2023</v>
      </c>
      <c r="C37" s="3" t="n">
        <v>44931</v>
      </c>
      <c r="D37" s="8" t="s">
        <v>69</v>
      </c>
      <c r="E37" s="9" t="s">
        <v>71</v>
      </c>
      <c r="F37" s="9" t="s">
        <v>44</v>
      </c>
      <c r="G37" s="10"/>
      <c r="H37" s="10"/>
      <c r="I37" s="10"/>
      <c r="J37" s="10"/>
      <c r="K37" s="10"/>
      <c r="L37" s="0" t="str">
        <f aca="false">IF(H37&gt;I37,"ERRO","OK")</f>
        <v>OK</v>
      </c>
      <c r="M37" s="0" t="str">
        <f aca="false">IF(H37&gt;J37,"ERRO","OK")</f>
        <v>OK</v>
      </c>
      <c r="N37" s="0" t="str">
        <f aca="false">IF(I37&lt;J37,"ERRO","OK")</f>
        <v>OK</v>
      </c>
    </row>
    <row r="38" customFormat="false" ht="14.25" hidden="false" customHeight="false" outlineLevel="0" collapsed="false">
      <c r="A38" s="0" t="n">
        <v>37</v>
      </c>
      <c r="B38" s="0" t="n">
        <v>2023</v>
      </c>
      <c r="C38" s="3" t="n">
        <v>44931</v>
      </c>
      <c r="D38" s="4" t="s">
        <v>69</v>
      </c>
      <c r="E38" s="5" t="s">
        <v>72</v>
      </c>
      <c r="F38" s="5" t="s">
        <v>44</v>
      </c>
      <c r="G38" s="6"/>
      <c r="H38" s="6"/>
      <c r="I38" s="6"/>
      <c r="J38" s="6"/>
      <c r="K38" s="6"/>
      <c r="L38" s="0" t="str">
        <f aca="false">IF(H38&gt;I38,"ERRO","OK")</f>
        <v>OK</v>
      </c>
      <c r="M38" s="0" t="str">
        <f aca="false">IF(H38&gt;J38,"ERRO","OK")</f>
        <v>OK</v>
      </c>
      <c r="N38" s="0" t="str">
        <f aca="false">IF(I38&lt;J38,"ERRO","OK")</f>
        <v>OK</v>
      </c>
    </row>
    <row r="39" customFormat="false" ht="14.25" hidden="false" customHeight="false" outlineLevel="0" collapsed="false">
      <c r="A39" s="0" t="n">
        <v>37</v>
      </c>
      <c r="B39" s="0" t="n">
        <v>2023</v>
      </c>
      <c r="C39" s="3" t="n">
        <v>44931</v>
      </c>
      <c r="D39" s="8" t="s">
        <v>69</v>
      </c>
      <c r="E39" s="9" t="s">
        <v>73</v>
      </c>
      <c r="F39" s="9" t="s">
        <v>49</v>
      </c>
      <c r="G39" s="10"/>
      <c r="H39" s="10"/>
      <c r="I39" s="10"/>
      <c r="J39" s="10"/>
      <c r="K39" s="10"/>
      <c r="L39" s="0" t="str">
        <f aca="false">IF(H39&gt;I39,"ERRO","OK")</f>
        <v>OK</v>
      </c>
      <c r="M39" s="0" t="str">
        <f aca="false">IF(H39&gt;J39,"ERRO","OK")</f>
        <v>OK</v>
      </c>
      <c r="N39" s="0" t="str">
        <f aca="false">IF(I39&lt;J39,"ERRO","OK")</f>
        <v>OK</v>
      </c>
    </row>
    <row r="40" customFormat="false" ht="14.25" hidden="false" customHeight="false" outlineLevel="0" collapsed="false">
      <c r="A40" s="0" t="n">
        <v>37</v>
      </c>
      <c r="B40" s="0" t="n">
        <v>2023</v>
      </c>
      <c r="C40" s="3" t="n">
        <v>44931</v>
      </c>
      <c r="D40" s="4" t="s">
        <v>69</v>
      </c>
      <c r="E40" s="5" t="s">
        <v>74</v>
      </c>
      <c r="F40" s="5" t="s">
        <v>75</v>
      </c>
      <c r="G40" s="6"/>
      <c r="H40" s="6"/>
      <c r="I40" s="6"/>
      <c r="J40" s="6"/>
      <c r="K40" s="6"/>
      <c r="L40" s="0" t="str">
        <f aca="false">IF(H40&gt;I40,"ERRO","OK")</f>
        <v>OK</v>
      </c>
      <c r="M40" s="0" t="str">
        <f aca="false">IF(H40&gt;J40,"ERRO","OK")</f>
        <v>OK</v>
      </c>
      <c r="N40" s="0" t="str">
        <f aca="false">IF(I40&lt;J40,"ERRO","OK")</f>
        <v>OK</v>
      </c>
    </row>
    <row r="41" customFormat="false" ht="25" hidden="false" customHeight="false" outlineLevel="0" collapsed="false">
      <c r="A41" s="0" t="n">
        <v>38</v>
      </c>
      <c r="B41" s="0" t="n">
        <v>2023</v>
      </c>
      <c r="C41" s="3" t="n">
        <v>44938</v>
      </c>
      <c r="D41" s="4" t="s">
        <v>15</v>
      </c>
      <c r="E41" s="5" t="s">
        <v>16</v>
      </c>
      <c r="F41" s="5" t="s">
        <v>17</v>
      </c>
      <c r="G41" s="7" t="n">
        <v>42</v>
      </c>
      <c r="H41" s="7" t="n">
        <v>42</v>
      </c>
      <c r="I41" s="7" t="n">
        <v>42</v>
      </c>
      <c r="J41" s="7" t="n">
        <v>42</v>
      </c>
      <c r="K41" s="7" t="n">
        <v>42</v>
      </c>
      <c r="L41" s="0" t="str">
        <f aca="false">IF(H41&gt;I41,"ERRO","OK")</f>
        <v>OK</v>
      </c>
      <c r="M41" s="0" t="str">
        <f aca="false">IF(H41&gt;J41,"ERRO","OK")</f>
        <v>OK</v>
      </c>
      <c r="N41" s="0" t="str">
        <f aca="false">IF(I41&lt;J41,"ERRO","OK")</f>
        <v>OK</v>
      </c>
    </row>
    <row r="42" customFormat="false" ht="25" hidden="false" customHeight="false" outlineLevel="0" collapsed="false">
      <c r="A42" s="0" t="n">
        <v>38</v>
      </c>
      <c r="B42" s="0" t="n">
        <v>2023</v>
      </c>
      <c r="C42" s="3" t="n">
        <v>44938</v>
      </c>
      <c r="D42" s="8" t="s">
        <v>15</v>
      </c>
      <c r="E42" s="9" t="s">
        <v>18</v>
      </c>
      <c r="F42" s="9" t="s">
        <v>17</v>
      </c>
      <c r="G42" s="11" t="n">
        <v>60</v>
      </c>
      <c r="H42" s="11" t="n">
        <v>60</v>
      </c>
      <c r="I42" s="11" t="n">
        <v>60</v>
      </c>
      <c r="J42" s="11" t="n">
        <v>60</v>
      </c>
      <c r="K42" s="11" t="n">
        <v>60</v>
      </c>
      <c r="L42" s="0" t="str">
        <f aca="false">IF(H42&gt;I42,"ERRO","OK")</f>
        <v>OK</v>
      </c>
      <c r="M42" s="0" t="str">
        <f aca="false">IF(H42&gt;J42,"ERRO","OK")</f>
        <v>OK</v>
      </c>
      <c r="N42" s="0" t="str">
        <f aca="false">IF(I42&lt;J42,"ERRO","OK")</f>
        <v>OK</v>
      </c>
    </row>
    <row r="43" customFormat="false" ht="25" hidden="false" customHeight="false" outlineLevel="0" collapsed="false">
      <c r="A43" s="0" t="n">
        <v>38</v>
      </c>
      <c r="B43" s="0" t="n">
        <v>2023</v>
      </c>
      <c r="C43" s="3" t="n">
        <v>44938</v>
      </c>
      <c r="D43" s="4" t="s">
        <v>15</v>
      </c>
      <c r="E43" s="5" t="s">
        <v>19</v>
      </c>
      <c r="F43" s="5" t="s">
        <v>17</v>
      </c>
      <c r="G43" s="7" t="n">
        <v>30</v>
      </c>
      <c r="H43" s="7" t="n">
        <v>30</v>
      </c>
      <c r="I43" s="7" t="n">
        <v>36</v>
      </c>
      <c r="J43" s="7" t="n">
        <v>32</v>
      </c>
      <c r="K43" s="7" t="n">
        <v>30</v>
      </c>
      <c r="L43" s="0" t="str">
        <f aca="false">IF(H43&gt;I43,"ERRO","OK")</f>
        <v>OK</v>
      </c>
      <c r="M43" s="0" t="str">
        <f aca="false">IF(H43&gt;J43,"ERRO","OK")</f>
        <v>OK</v>
      </c>
      <c r="N43" s="0" t="str">
        <f aca="false">IF(I43&lt;J43,"ERRO","OK")</f>
        <v>OK</v>
      </c>
    </row>
    <row r="44" customFormat="false" ht="25" hidden="false" customHeight="false" outlineLevel="0" collapsed="false">
      <c r="A44" s="0" t="n">
        <v>38</v>
      </c>
      <c r="B44" s="0" t="n">
        <v>2023</v>
      </c>
      <c r="C44" s="3" t="n">
        <v>44938</v>
      </c>
      <c r="D44" s="8" t="s">
        <v>15</v>
      </c>
      <c r="E44" s="9" t="s">
        <v>20</v>
      </c>
      <c r="F44" s="9" t="s">
        <v>17</v>
      </c>
      <c r="G44" s="11" t="n">
        <v>24</v>
      </c>
      <c r="H44" s="11" t="n">
        <v>18</v>
      </c>
      <c r="I44" s="11" t="n">
        <v>24</v>
      </c>
      <c r="J44" s="11" t="s">
        <v>76</v>
      </c>
      <c r="K44" s="11" t="n">
        <v>22</v>
      </c>
      <c r="L44" s="0" t="str">
        <f aca="false">IF(H44&gt;I44,"ERRO","OK")</f>
        <v>OK</v>
      </c>
      <c r="M44" s="0" t="str">
        <f aca="false">IF(H44&gt;J44,"ERRO","OK")</f>
        <v>OK</v>
      </c>
      <c r="N44" s="0" t="str">
        <f aca="false">IF(I44&lt;J44,"ERRO","OK")</f>
        <v>ERRO</v>
      </c>
    </row>
    <row r="45" customFormat="false" ht="25" hidden="false" customHeight="false" outlineLevel="0" collapsed="false">
      <c r="A45" s="0" t="n">
        <v>38</v>
      </c>
      <c r="B45" s="0" t="n">
        <v>2023</v>
      </c>
      <c r="C45" s="3" t="n">
        <v>44938</v>
      </c>
      <c r="D45" s="4" t="s">
        <v>15</v>
      </c>
      <c r="E45" s="5" t="s">
        <v>21</v>
      </c>
      <c r="F45" s="5" t="s">
        <v>17</v>
      </c>
      <c r="G45" s="6"/>
      <c r="H45" s="7" t="n">
        <v>15</v>
      </c>
      <c r="I45" s="7" t="n">
        <v>24</v>
      </c>
      <c r="J45" s="7" t="n">
        <v>19</v>
      </c>
      <c r="K45" s="7" t="n">
        <v>18</v>
      </c>
      <c r="L45" s="0" t="str">
        <f aca="false">IF(H45&gt;I45,"ERRO","OK")</f>
        <v>OK</v>
      </c>
      <c r="M45" s="0" t="str">
        <f aca="false">IF(H45&gt;J45,"ERRO","OK")</f>
        <v>OK</v>
      </c>
      <c r="N45" s="0" t="str">
        <f aca="false">IF(I45&lt;J45,"ERRO","OK")</f>
        <v>OK</v>
      </c>
    </row>
    <row r="46" customFormat="false" ht="25" hidden="false" customHeight="false" outlineLevel="0" collapsed="false">
      <c r="A46" s="0" t="n">
        <v>38</v>
      </c>
      <c r="B46" s="0" t="n">
        <v>2023</v>
      </c>
      <c r="C46" s="3" t="n">
        <v>44938</v>
      </c>
      <c r="D46" s="8" t="s">
        <v>15</v>
      </c>
      <c r="E46" s="9" t="s">
        <v>22</v>
      </c>
      <c r="F46" s="9" t="s">
        <v>17</v>
      </c>
      <c r="G46" s="10"/>
      <c r="H46" s="11" t="n">
        <v>42</v>
      </c>
      <c r="I46" s="11" t="n">
        <v>48</v>
      </c>
      <c r="J46" s="11" t="n">
        <v>45</v>
      </c>
      <c r="K46" s="11" t="n">
        <v>45</v>
      </c>
      <c r="L46" s="0" t="str">
        <f aca="false">IF(H46&gt;I46,"ERRO","OK")</f>
        <v>OK</v>
      </c>
      <c r="M46" s="0" t="str">
        <f aca="false">IF(H46&gt;J46,"ERRO","OK")</f>
        <v>OK</v>
      </c>
      <c r="N46" s="0" t="str">
        <f aca="false">IF(I46&lt;J46,"ERRO","OK")</f>
        <v>OK</v>
      </c>
    </row>
    <row r="47" customFormat="false" ht="25" hidden="false" customHeight="false" outlineLevel="0" collapsed="false">
      <c r="A47" s="0" t="n">
        <v>38</v>
      </c>
      <c r="B47" s="0" t="n">
        <v>2023</v>
      </c>
      <c r="C47" s="3" t="n">
        <v>44938</v>
      </c>
      <c r="D47" s="4" t="s">
        <v>15</v>
      </c>
      <c r="E47" s="5" t="s">
        <v>23</v>
      </c>
      <c r="F47" s="5" t="s">
        <v>17</v>
      </c>
      <c r="G47" s="6"/>
      <c r="H47" s="7" t="n">
        <v>66</v>
      </c>
      <c r="I47" s="7" t="n">
        <v>72</v>
      </c>
      <c r="J47" s="7" t="n">
        <v>69</v>
      </c>
      <c r="K47" s="7" t="n">
        <v>69</v>
      </c>
      <c r="L47" s="0" t="str">
        <f aca="false">IF(H47&gt;I47,"ERRO","OK")</f>
        <v>OK</v>
      </c>
      <c r="M47" s="0" t="str">
        <f aca="false">IF(H47&gt;J47,"ERRO","OK")</f>
        <v>OK</v>
      </c>
      <c r="N47" s="0" t="str">
        <f aca="false">IF(I47&lt;J47,"ERRO","OK")</f>
        <v>OK</v>
      </c>
    </row>
    <row r="48" customFormat="false" ht="25" hidden="false" customHeight="false" outlineLevel="0" collapsed="false">
      <c r="A48" s="0" t="n">
        <v>38</v>
      </c>
      <c r="B48" s="0" t="n">
        <v>2023</v>
      </c>
      <c r="C48" s="3" t="n">
        <v>44938</v>
      </c>
      <c r="D48" s="8" t="s">
        <v>15</v>
      </c>
      <c r="E48" s="9" t="s">
        <v>24</v>
      </c>
      <c r="F48" s="9" t="s">
        <v>17</v>
      </c>
      <c r="G48" s="10"/>
      <c r="H48" s="11" t="n">
        <v>48</v>
      </c>
      <c r="I48" s="11" t="n">
        <v>72</v>
      </c>
      <c r="J48" s="11" t="n">
        <v>60</v>
      </c>
      <c r="K48" s="11" t="n">
        <v>60</v>
      </c>
      <c r="L48" s="0" t="str">
        <f aca="false">IF(H48&gt;I48,"ERRO","OK")</f>
        <v>OK</v>
      </c>
      <c r="M48" s="0" t="str">
        <f aca="false">IF(H48&gt;J48,"ERRO","OK")</f>
        <v>OK</v>
      </c>
      <c r="N48" s="0" t="str">
        <f aca="false">IF(I48&lt;J48,"ERRO","OK")</f>
        <v>OK</v>
      </c>
    </row>
    <row r="49" customFormat="false" ht="25" hidden="false" customHeight="false" outlineLevel="0" collapsed="false">
      <c r="A49" s="0" t="n">
        <v>38</v>
      </c>
      <c r="B49" s="0" t="n">
        <v>2023</v>
      </c>
      <c r="C49" s="3" t="n">
        <v>44938</v>
      </c>
      <c r="D49" s="4" t="s">
        <v>15</v>
      </c>
      <c r="E49" s="5" t="s">
        <v>26</v>
      </c>
      <c r="F49" s="5"/>
      <c r="G49" s="6"/>
      <c r="H49" s="7" t="n">
        <v>15</v>
      </c>
      <c r="I49" s="7" t="n">
        <v>24</v>
      </c>
      <c r="J49" s="7" t="n">
        <v>19</v>
      </c>
      <c r="K49" s="7" t="n">
        <v>18</v>
      </c>
      <c r="L49" s="0" t="str">
        <f aca="false">IF(H49&gt;I49,"ERRO","OK")</f>
        <v>OK</v>
      </c>
      <c r="M49" s="0" t="str">
        <f aca="false">IF(H49&gt;J49,"ERRO","OK")</f>
        <v>OK</v>
      </c>
      <c r="N49" s="0" t="str">
        <f aca="false">IF(I49&lt;J49,"ERRO","OK")</f>
        <v>OK</v>
      </c>
    </row>
    <row r="50" customFormat="false" ht="25" hidden="false" customHeight="false" outlineLevel="0" collapsed="false">
      <c r="A50" s="0" t="n">
        <v>38</v>
      </c>
      <c r="B50" s="0" t="n">
        <v>2023</v>
      </c>
      <c r="C50" s="3" t="n">
        <v>44938</v>
      </c>
      <c r="D50" s="8" t="s">
        <v>15</v>
      </c>
      <c r="E50" s="9" t="s">
        <v>77</v>
      </c>
      <c r="F50" s="9" t="s">
        <v>17</v>
      </c>
      <c r="G50" s="11" t="n">
        <v>60</v>
      </c>
      <c r="H50" s="11" t="n">
        <v>60</v>
      </c>
      <c r="I50" s="11" t="n">
        <v>66</v>
      </c>
      <c r="J50" s="11" t="n">
        <v>62</v>
      </c>
      <c r="K50" s="11" t="n">
        <v>60</v>
      </c>
      <c r="L50" s="0" t="str">
        <f aca="false">IF(H50&gt;I50,"ERRO","OK")</f>
        <v>OK</v>
      </c>
      <c r="M50" s="0" t="str">
        <f aca="false">IF(H50&gt;J50,"ERRO","OK")</f>
        <v>OK</v>
      </c>
      <c r="N50" s="0" t="str">
        <f aca="false">IF(I50&lt;J50,"ERRO","OK")</f>
        <v>OK</v>
      </c>
    </row>
    <row r="51" customFormat="false" ht="25" hidden="false" customHeight="false" outlineLevel="0" collapsed="false">
      <c r="A51" s="0" t="n">
        <v>38</v>
      </c>
      <c r="B51" s="0" t="n">
        <v>2023</v>
      </c>
      <c r="C51" s="3" t="n">
        <v>44938</v>
      </c>
      <c r="D51" s="4" t="s">
        <v>15</v>
      </c>
      <c r="E51" s="5" t="s">
        <v>27</v>
      </c>
      <c r="F51" s="5" t="s">
        <v>17</v>
      </c>
      <c r="G51" s="6"/>
      <c r="H51" s="7" t="n">
        <v>15</v>
      </c>
      <c r="I51" s="7" t="n">
        <v>24</v>
      </c>
      <c r="J51" s="7" t="n">
        <v>19</v>
      </c>
      <c r="K51" s="7" t="n">
        <v>18</v>
      </c>
      <c r="L51" s="0" t="str">
        <f aca="false">IF(H51&gt;I51,"ERRO","OK")</f>
        <v>OK</v>
      </c>
      <c r="M51" s="0" t="str">
        <f aca="false">IF(H51&gt;J51,"ERRO","OK")</f>
        <v>OK</v>
      </c>
      <c r="N51" s="0" t="str">
        <f aca="false">IF(I51&lt;J51,"ERRO","OK")</f>
        <v>OK</v>
      </c>
    </row>
    <row r="52" customFormat="false" ht="25" hidden="false" customHeight="false" outlineLevel="0" collapsed="false">
      <c r="A52" s="0" t="n">
        <v>38</v>
      </c>
      <c r="B52" s="0" t="n">
        <v>2023</v>
      </c>
      <c r="C52" s="3" t="n">
        <v>44938</v>
      </c>
      <c r="D52" s="8" t="s">
        <v>15</v>
      </c>
      <c r="E52" s="9" t="s">
        <v>28</v>
      </c>
      <c r="F52" s="9" t="s">
        <v>17</v>
      </c>
      <c r="G52" s="10"/>
      <c r="H52" s="11" t="n">
        <v>54</v>
      </c>
      <c r="I52" s="11" t="n">
        <v>60</v>
      </c>
      <c r="J52" s="11" t="n">
        <v>57</v>
      </c>
      <c r="K52" s="11" t="n">
        <v>57</v>
      </c>
      <c r="L52" s="0" t="str">
        <f aca="false">IF(H52&gt;I52,"ERRO","OK")</f>
        <v>OK</v>
      </c>
      <c r="M52" s="0" t="str">
        <f aca="false">IF(H52&gt;J52,"ERRO","OK")</f>
        <v>OK</v>
      </c>
      <c r="N52" s="0" t="str">
        <f aca="false">IF(I52&lt;J52,"ERRO","OK")</f>
        <v>OK</v>
      </c>
    </row>
    <row r="53" customFormat="false" ht="25" hidden="false" customHeight="false" outlineLevel="0" collapsed="false">
      <c r="A53" s="0" t="n">
        <v>38</v>
      </c>
      <c r="B53" s="0" t="n">
        <v>2023</v>
      </c>
      <c r="C53" s="3" t="n">
        <v>44938</v>
      </c>
      <c r="D53" s="4" t="s">
        <v>15</v>
      </c>
      <c r="E53" s="5" t="s">
        <v>29</v>
      </c>
      <c r="F53" s="5" t="s">
        <v>30</v>
      </c>
      <c r="G53" s="6"/>
      <c r="H53" s="7" t="n">
        <v>54</v>
      </c>
      <c r="I53" s="7" t="n">
        <v>60</v>
      </c>
      <c r="J53" s="7" t="n">
        <v>57</v>
      </c>
      <c r="K53" s="7" t="n">
        <v>57</v>
      </c>
      <c r="L53" s="0" t="str">
        <f aca="false">IF(H53&gt;I53,"ERRO","OK")</f>
        <v>OK</v>
      </c>
      <c r="M53" s="0" t="str">
        <f aca="false">IF(H53&gt;J53,"ERRO","OK")</f>
        <v>OK</v>
      </c>
      <c r="N53" s="0" t="str">
        <f aca="false">IF(I53&lt;J53,"ERRO","OK")</f>
        <v>OK</v>
      </c>
    </row>
    <row r="54" customFormat="false" ht="25" hidden="false" customHeight="false" outlineLevel="0" collapsed="false">
      <c r="A54" s="0" t="n">
        <v>38</v>
      </c>
      <c r="B54" s="0" t="n">
        <v>2023</v>
      </c>
      <c r="C54" s="3" t="n">
        <v>44938</v>
      </c>
      <c r="D54" s="8" t="s">
        <v>15</v>
      </c>
      <c r="E54" s="9" t="s">
        <v>31</v>
      </c>
      <c r="F54" s="9" t="s">
        <v>17</v>
      </c>
      <c r="G54" s="10"/>
      <c r="H54" s="11" t="n">
        <v>30</v>
      </c>
      <c r="I54" s="11" t="n">
        <v>60</v>
      </c>
      <c r="J54" s="11" t="n">
        <v>42</v>
      </c>
      <c r="K54" s="11" t="n">
        <v>36</v>
      </c>
      <c r="L54" s="0" t="str">
        <f aca="false">IF(H54&gt;I54,"ERRO","OK")</f>
        <v>OK</v>
      </c>
      <c r="M54" s="0" t="str">
        <f aca="false">IF(H54&gt;J54,"ERRO","OK")</f>
        <v>OK</v>
      </c>
      <c r="N54" s="0" t="str">
        <f aca="false">IF(I54&lt;J54,"ERRO","OK")</f>
        <v>OK</v>
      </c>
    </row>
    <row r="55" customFormat="false" ht="25" hidden="false" customHeight="false" outlineLevel="0" collapsed="false">
      <c r="A55" s="0" t="n">
        <v>38</v>
      </c>
      <c r="B55" s="0" t="n">
        <v>2023</v>
      </c>
      <c r="C55" s="3" t="n">
        <v>44938</v>
      </c>
      <c r="D55" s="4" t="s">
        <v>15</v>
      </c>
      <c r="E55" s="5" t="s">
        <v>32</v>
      </c>
      <c r="F55" s="5" t="s">
        <v>17</v>
      </c>
      <c r="G55" s="6"/>
      <c r="H55" s="7" t="n">
        <v>20</v>
      </c>
      <c r="I55" s="7" t="n">
        <v>36</v>
      </c>
      <c r="J55" s="7" t="n">
        <v>27</v>
      </c>
      <c r="K55" s="7" t="n">
        <v>25</v>
      </c>
      <c r="L55" s="0" t="str">
        <f aca="false">IF(H55&gt;I55,"ERRO","OK")</f>
        <v>OK</v>
      </c>
      <c r="M55" s="0" t="str">
        <f aca="false">IF(H55&gt;J55,"ERRO","OK")</f>
        <v>OK</v>
      </c>
      <c r="N55" s="0" t="str">
        <f aca="false">IF(I55&lt;J55,"ERRO","OK")</f>
        <v>OK</v>
      </c>
    </row>
    <row r="56" customFormat="false" ht="25" hidden="false" customHeight="false" outlineLevel="0" collapsed="false">
      <c r="A56" s="0" t="n">
        <v>38</v>
      </c>
      <c r="B56" s="0" t="n">
        <v>2023</v>
      </c>
      <c r="C56" s="3" t="n">
        <v>44938</v>
      </c>
      <c r="D56" s="8" t="s">
        <v>15</v>
      </c>
      <c r="E56" s="9" t="s">
        <v>33</v>
      </c>
      <c r="F56" s="9" t="s">
        <v>17</v>
      </c>
      <c r="G56" s="11" t="n">
        <v>42</v>
      </c>
      <c r="H56" s="11" t="n">
        <v>36</v>
      </c>
      <c r="I56" s="11" t="n">
        <v>42</v>
      </c>
      <c r="J56" s="11" t="n">
        <v>40</v>
      </c>
      <c r="K56" s="11" t="n">
        <v>42</v>
      </c>
      <c r="L56" s="0" t="str">
        <f aca="false">IF(H56&gt;I56,"ERRO","OK")</f>
        <v>OK</v>
      </c>
      <c r="M56" s="0" t="str">
        <f aca="false">IF(H56&gt;J56,"ERRO","OK")</f>
        <v>OK</v>
      </c>
      <c r="N56" s="0" t="str">
        <f aca="false">IF(I56&lt;J56,"ERRO","OK")</f>
        <v>OK</v>
      </c>
    </row>
    <row r="57" customFormat="false" ht="25" hidden="false" customHeight="false" outlineLevel="0" collapsed="false">
      <c r="A57" s="0" t="n">
        <v>38</v>
      </c>
      <c r="B57" s="0" t="n">
        <v>2023</v>
      </c>
      <c r="C57" s="3" t="n">
        <v>44938</v>
      </c>
      <c r="D57" s="4" t="s">
        <v>34</v>
      </c>
      <c r="E57" s="5" t="s">
        <v>35</v>
      </c>
      <c r="F57" s="5" t="s">
        <v>36</v>
      </c>
      <c r="G57" s="7" t="n">
        <v>4</v>
      </c>
      <c r="H57" s="7" t="s">
        <v>78</v>
      </c>
      <c r="I57" s="7" t="n">
        <v>5</v>
      </c>
      <c r="J57" s="7" t="s">
        <v>79</v>
      </c>
      <c r="K57" s="7" t="n">
        <v>4</v>
      </c>
      <c r="L57" s="0" t="str">
        <f aca="false">IF(H57&gt;I57,"ERRO","OK")</f>
        <v>ERRO</v>
      </c>
      <c r="M57" s="0" t="str">
        <f aca="false">IF(H57&gt;J57,"ERRO","OK")</f>
        <v>OK</v>
      </c>
      <c r="N57" s="0" t="str">
        <f aca="false">IF(I57&lt;J57,"ERRO","OK")</f>
        <v>ERRO</v>
      </c>
    </row>
    <row r="58" customFormat="false" ht="25" hidden="false" customHeight="false" outlineLevel="0" collapsed="false">
      <c r="A58" s="0" t="n">
        <v>38</v>
      </c>
      <c r="B58" s="0" t="n">
        <v>2023</v>
      </c>
      <c r="C58" s="3" t="n">
        <v>44938</v>
      </c>
      <c r="D58" s="8" t="s">
        <v>34</v>
      </c>
      <c r="E58" s="9" t="s">
        <v>38</v>
      </c>
      <c r="F58" s="9" t="s">
        <v>39</v>
      </c>
      <c r="G58" s="11" t="n">
        <v>20</v>
      </c>
      <c r="H58" s="11" t="n">
        <v>20</v>
      </c>
      <c r="I58" s="11" t="n">
        <v>25</v>
      </c>
      <c r="J58" s="11" t="n">
        <v>21</v>
      </c>
      <c r="K58" s="11" t="n">
        <v>20</v>
      </c>
      <c r="L58" s="0" t="str">
        <f aca="false">IF(H58&gt;I58,"ERRO","OK")</f>
        <v>OK</v>
      </c>
      <c r="M58" s="0" t="str">
        <f aca="false">IF(H58&gt;J58,"ERRO","OK")</f>
        <v>OK</v>
      </c>
      <c r="N58" s="0" t="str">
        <f aca="false">IF(I58&lt;J58,"ERRO","OK")</f>
        <v>OK</v>
      </c>
    </row>
    <row r="59" customFormat="false" ht="25" hidden="false" customHeight="false" outlineLevel="0" collapsed="false">
      <c r="A59" s="0" t="n">
        <v>38</v>
      </c>
      <c r="B59" s="0" t="n">
        <v>2023</v>
      </c>
      <c r="C59" s="3" t="n">
        <v>44938</v>
      </c>
      <c r="D59" s="4" t="s">
        <v>34</v>
      </c>
      <c r="E59" s="5" t="s">
        <v>40</v>
      </c>
      <c r="F59" s="5" t="s">
        <v>39</v>
      </c>
      <c r="G59" s="7" t="n">
        <v>20</v>
      </c>
      <c r="H59" s="7" t="n">
        <v>20</v>
      </c>
      <c r="I59" s="7" t="n">
        <v>25</v>
      </c>
      <c r="J59" s="7" t="s">
        <v>41</v>
      </c>
      <c r="K59" s="7" t="s">
        <v>41</v>
      </c>
      <c r="L59" s="0" t="str">
        <f aca="false">IF(H59&gt;I59,"ERRO","OK")</f>
        <v>OK</v>
      </c>
      <c r="M59" s="0" t="str">
        <f aca="false">IF(H59&gt;J59,"ERRO","OK")</f>
        <v>OK</v>
      </c>
      <c r="N59" s="0" t="str">
        <f aca="false">IF(I59&lt;J59,"ERRO","OK")</f>
        <v>ERRO</v>
      </c>
    </row>
    <row r="60" customFormat="false" ht="36.5" hidden="false" customHeight="false" outlineLevel="0" collapsed="false">
      <c r="A60" s="0" t="n">
        <v>38</v>
      </c>
      <c r="B60" s="0" t="n">
        <v>2023</v>
      </c>
      <c r="C60" s="3" t="n">
        <v>44938</v>
      </c>
      <c r="D60" s="8" t="s">
        <v>42</v>
      </c>
      <c r="E60" s="9" t="s">
        <v>43</v>
      </c>
      <c r="F60" s="9" t="s">
        <v>44</v>
      </c>
      <c r="G60" s="11" t="n">
        <v>100</v>
      </c>
      <c r="H60" s="11" t="n">
        <v>80</v>
      </c>
      <c r="I60" s="11" t="n">
        <v>100</v>
      </c>
      <c r="J60" s="11" t="s">
        <v>80</v>
      </c>
      <c r="K60" s="11" t="n">
        <v>100</v>
      </c>
      <c r="L60" s="0" t="str">
        <f aca="false">IF(H60&gt;I60,"ERRO","OK")</f>
        <v>OK</v>
      </c>
      <c r="M60" s="0" t="str">
        <f aca="false">IF(H60&gt;J60,"ERRO","OK")</f>
        <v>OK</v>
      </c>
      <c r="N60" s="0" t="str">
        <f aca="false">IF(I60&lt;J60,"ERRO","OK")</f>
        <v>ERRO</v>
      </c>
    </row>
    <row r="61" customFormat="false" ht="36.5" hidden="false" customHeight="false" outlineLevel="0" collapsed="false">
      <c r="A61" s="0" t="n">
        <v>38</v>
      </c>
      <c r="B61" s="0" t="n">
        <v>2023</v>
      </c>
      <c r="C61" s="3" t="n">
        <v>44938</v>
      </c>
      <c r="D61" s="4" t="s">
        <v>42</v>
      </c>
      <c r="E61" s="5" t="s">
        <v>81</v>
      </c>
      <c r="F61" s="5"/>
      <c r="G61" s="6"/>
      <c r="H61" s="7" t="n">
        <v>40</v>
      </c>
      <c r="I61" s="7" t="n">
        <v>65</v>
      </c>
      <c r="J61" s="7" t="s">
        <v>82</v>
      </c>
      <c r="K61" s="7" t="s">
        <v>82</v>
      </c>
      <c r="L61" s="0" t="str">
        <f aca="false">IF(H61&gt;I61,"ERRO","OK")</f>
        <v>OK</v>
      </c>
      <c r="M61" s="0" t="str">
        <f aca="false">IF(H61&gt;J61,"ERRO","OK")</f>
        <v>OK</v>
      </c>
      <c r="N61" s="0" t="str">
        <f aca="false">IF(I61&lt;J61,"ERRO","OK")</f>
        <v>ERRO</v>
      </c>
    </row>
    <row r="62" customFormat="false" ht="36.5" hidden="false" customHeight="false" outlineLevel="0" collapsed="false">
      <c r="A62" s="0" t="n">
        <v>38</v>
      </c>
      <c r="B62" s="0" t="n">
        <v>2023</v>
      </c>
      <c r="C62" s="3" t="n">
        <v>44938</v>
      </c>
      <c r="D62" s="8" t="s">
        <v>42</v>
      </c>
      <c r="E62" s="9" t="s">
        <v>48</v>
      </c>
      <c r="F62" s="9" t="s">
        <v>49</v>
      </c>
      <c r="G62" s="11" t="n">
        <v>50</v>
      </c>
      <c r="H62" s="11" t="n">
        <v>45</v>
      </c>
      <c r="I62" s="11" t="n">
        <v>55</v>
      </c>
      <c r="J62" s="11" t="n">
        <v>50</v>
      </c>
      <c r="K62" s="11" t="n">
        <v>50</v>
      </c>
      <c r="L62" s="0" t="str">
        <f aca="false">IF(H62&gt;I62,"ERRO","OK")</f>
        <v>OK</v>
      </c>
      <c r="M62" s="0" t="str">
        <f aca="false">IF(H62&gt;J62,"ERRO","OK")</f>
        <v>OK</v>
      </c>
      <c r="N62" s="0" t="str">
        <f aca="false">IF(I62&lt;J62,"ERRO","OK")</f>
        <v>OK</v>
      </c>
    </row>
    <row r="63" customFormat="false" ht="36.5" hidden="false" customHeight="false" outlineLevel="0" collapsed="false">
      <c r="A63" s="0" t="n">
        <v>38</v>
      </c>
      <c r="B63" s="0" t="n">
        <v>2023</v>
      </c>
      <c r="C63" s="3" t="n">
        <v>44938</v>
      </c>
      <c r="D63" s="4" t="s">
        <v>42</v>
      </c>
      <c r="E63" s="5" t="s">
        <v>52</v>
      </c>
      <c r="F63" s="5" t="s">
        <v>49</v>
      </c>
      <c r="G63" s="6"/>
      <c r="H63" s="6"/>
      <c r="I63" s="6"/>
      <c r="J63" s="6"/>
      <c r="K63" s="6"/>
      <c r="L63" s="0" t="str">
        <f aca="false">IF(H63&gt;I63,"ERRO","OK")</f>
        <v>OK</v>
      </c>
      <c r="M63" s="0" t="str">
        <f aca="false">IF(H63&gt;J63,"ERRO","OK")</f>
        <v>OK</v>
      </c>
      <c r="N63" s="0" t="str">
        <f aca="false">IF(I63&lt;J63,"ERRO","OK")</f>
        <v>OK</v>
      </c>
    </row>
    <row r="64" customFormat="false" ht="36.5" hidden="false" customHeight="false" outlineLevel="0" collapsed="false">
      <c r="A64" s="0" t="n">
        <v>38</v>
      </c>
      <c r="B64" s="0" t="n">
        <v>2023</v>
      </c>
      <c r="C64" s="3" t="n">
        <v>44938</v>
      </c>
      <c r="D64" s="8" t="s">
        <v>42</v>
      </c>
      <c r="E64" s="9" t="s">
        <v>53</v>
      </c>
      <c r="F64" s="9" t="s">
        <v>54</v>
      </c>
      <c r="G64" s="11" t="n">
        <v>50</v>
      </c>
      <c r="H64" s="11" t="n">
        <v>50</v>
      </c>
      <c r="I64" s="11" t="n">
        <v>60</v>
      </c>
      <c r="J64" s="11" t="n">
        <v>55</v>
      </c>
      <c r="K64" s="11" t="n">
        <v>55</v>
      </c>
      <c r="L64" s="0" t="str">
        <f aca="false">IF(H64&gt;I64,"ERRO","OK")</f>
        <v>OK</v>
      </c>
      <c r="M64" s="0" t="str">
        <f aca="false">IF(H64&gt;J64,"ERRO","OK")</f>
        <v>OK</v>
      </c>
      <c r="N64" s="0" t="str">
        <f aca="false">IF(I64&lt;J64,"ERRO","OK")</f>
        <v>OK</v>
      </c>
    </row>
    <row r="65" customFormat="false" ht="36.5" hidden="false" customHeight="false" outlineLevel="0" collapsed="false">
      <c r="A65" s="0" t="n">
        <v>38</v>
      </c>
      <c r="B65" s="0" t="n">
        <v>2023</v>
      </c>
      <c r="C65" s="3" t="n">
        <v>44938</v>
      </c>
      <c r="D65" s="4" t="s">
        <v>42</v>
      </c>
      <c r="E65" s="5" t="s">
        <v>56</v>
      </c>
      <c r="F65" s="5" t="s">
        <v>47</v>
      </c>
      <c r="G65" s="7" t="n">
        <v>50</v>
      </c>
      <c r="H65" s="7" t="n">
        <v>40</v>
      </c>
      <c r="I65" s="7" t="n">
        <v>75</v>
      </c>
      <c r="J65" s="7" t="s">
        <v>59</v>
      </c>
      <c r="K65" s="7" t="s">
        <v>82</v>
      </c>
      <c r="L65" s="0" t="str">
        <f aca="false">IF(H65&gt;I65,"ERRO","OK")</f>
        <v>OK</v>
      </c>
      <c r="M65" s="0" t="str">
        <f aca="false">IF(H65&gt;J65,"ERRO","OK")</f>
        <v>OK</v>
      </c>
      <c r="N65" s="0" t="str">
        <f aca="false">IF(I65&lt;J65,"ERRO","OK")</f>
        <v>ERRO</v>
      </c>
    </row>
    <row r="66" customFormat="false" ht="36.5" hidden="false" customHeight="false" outlineLevel="0" collapsed="false">
      <c r="A66" s="0" t="n">
        <v>38</v>
      </c>
      <c r="B66" s="0" t="n">
        <v>2023</v>
      </c>
      <c r="C66" s="3" t="n">
        <v>44938</v>
      </c>
      <c r="D66" s="8" t="s">
        <v>42</v>
      </c>
      <c r="E66" s="9" t="s">
        <v>57</v>
      </c>
      <c r="F66" s="9" t="s">
        <v>47</v>
      </c>
      <c r="G66" s="11" t="n">
        <v>70</v>
      </c>
      <c r="H66" s="11" t="n">
        <v>50</v>
      </c>
      <c r="I66" s="11" t="n">
        <v>90</v>
      </c>
      <c r="J66" s="11" t="s">
        <v>83</v>
      </c>
      <c r="K66" s="11" t="n">
        <v>70</v>
      </c>
      <c r="L66" s="0" t="str">
        <f aca="false">IF(H66&gt;I66,"ERRO","OK")</f>
        <v>OK</v>
      </c>
      <c r="M66" s="0" t="str">
        <f aca="false">IF(H66&gt;J66,"ERRO","OK")</f>
        <v>OK</v>
      </c>
      <c r="N66" s="0" t="str">
        <f aca="false">IF(I66&lt;J66,"ERRO","OK")</f>
        <v>ERRO</v>
      </c>
    </row>
    <row r="67" customFormat="false" ht="36.5" hidden="false" customHeight="false" outlineLevel="0" collapsed="false">
      <c r="A67" s="0" t="n">
        <v>38</v>
      </c>
      <c r="B67" s="0" t="n">
        <v>2023</v>
      </c>
      <c r="C67" s="3" t="n">
        <v>44938</v>
      </c>
      <c r="D67" s="4" t="s">
        <v>42</v>
      </c>
      <c r="E67" s="5" t="s">
        <v>58</v>
      </c>
      <c r="F67" s="5" t="s">
        <v>44</v>
      </c>
      <c r="G67" s="6"/>
      <c r="H67" s="7" t="n">
        <v>60</v>
      </c>
      <c r="I67" s="7" t="n">
        <v>65</v>
      </c>
      <c r="J67" s="7" t="s">
        <v>84</v>
      </c>
      <c r="K67" s="7" t="s">
        <v>84</v>
      </c>
      <c r="L67" s="0" t="str">
        <f aca="false">IF(H67&gt;I67,"ERRO","OK")</f>
        <v>OK</v>
      </c>
      <c r="M67" s="0" t="str">
        <f aca="false">IF(H67&gt;J67,"ERRO","OK")</f>
        <v>OK</v>
      </c>
      <c r="N67" s="0" t="str">
        <f aca="false">IF(I67&lt;J67,"ERRO","OK")</f>
        <v>ERRO</v>
      </c>
    </row>
    <row r="68" customFormat="false" ht="36.5" hidden="false" customHeight="false" outlineLevel="0" collapsed="false">
      <c r="A68" s="0" t="n">
        <v>38</v>
      </c>
      <c r="B68" s="0" t="n">
        <v>2023</v>
      </c>
      <c r="C68" s="3" t="n">
        <v>44938</v>
      </c>
      <c r="D68" s="8" t="s">
        <v>42</v>
      </c>
      <c r="E68" s="9" t="s">
        <v>60</v>
      </c>
      <c r="F68" s="9" t="s">
        <v>47</v>
      </c>
      <c r="G68" s="10"/>
      <c r="H68" s="11" t="n">
        <v>60</v>
      </c>
      <c r="I68" s="11" t="n">
        <v>65</v>
      </c>
      <c r="J68" s="11" t="s">
        <v>84</v>
      </c>
      <c r="K68" s="11" t="s">
        <v>84</v>
      </c>
      <c r="L68" s="0" t="str">
        <f aca="false">IF(H68&gt;I68,"ERRO","OK")</f>
        <v>OK</v>
      </c>
      <c r="M68" s="0" t="str">
        <f aca="false">IF(H68&gt;J68,"ERRO","OK")</f>
        <v>OK</v>
      </c>
      <c r="N68" s="0" t="str">
        <f aca="false">IF(I68&lt;J68,"ERRO","OK")</f>
        <v>ERRO</v>
      </c>
    </row>
    <row r="69" customFormat="false" ht="36.5" hidden="false" customHeight="false" outlineLevel="0" collapsed="false">
      <c r="A69" s="0" t="n">
        <v>38</v>
      </c>
      <c r="B69" s="0" t="n">
        <v>2023</v>
      </c>
      <c r="C69" s="3" t="n">
        <v>44938</v>
      </c>
      <c r="D69" s="4" t="s">
        <v>42</v>
      </c>
      <c r="E69" s="5" t="s">
        <v>61</v>
      </c>
      <c r="F69" s="5" t="s">
        <v>44</v>
      </c>
      <c r="G69" s="7" t="n">
        <v>60</v>
      </c>
      <c r="H69" s="7" t="n">
        <v>50</v>
      </c>
      <c r="I69" s="7" t="n">
        <v>60</v>
      </c>
      <c r="J69" s="7" t="s">
        <v>45</v>
      </c>
      <c r="K69" s="7" t="n">
        <v>60</v>
      </c>
      <c r="L69" s="0" t="str">
        <f aca="false">IF(H69&gt;I69,"ERRO","OK")</f>
        <v>OK</v>
      </c>
      <c r="M69" s="0" t="str">
        <f aca="false">IF(H69&gt;J69,"ERRO","OK")</f>
        <v>OK</v>
      </c>
      <c r="N69" s="0" t="str">
        <f aca="false">IF(I69&lt;J69,"ERRO","OK")</f>
        <v>ERRO</v>
      </c>
    </row>
    <row r="70" customFormat="false" ht="36.5" hidden="false" customHeight="false" outlineLevel="0" collapsed="false">
      <c r="A70" s="0" t="n">
        <v>38</v>
      </c>
      <c r="B70" s="0" t="n">
        <v>2023</v>
      </c>
      <c r="C70" s="3" t="n">
        <v>44938</v>
      </c>
      <c r="D70" s="8" t="s">
        <v>42</v>
      </c>
      <c r="E70" s="9" t="s">
        <v>62</v>
      </c>
      <c r="F70" s="9" t="s">
        <v>44</v>
      </c>
      <c r="G70" s="11" t="n">
        <v>70</v>
      </c>
      <c r="H70" s="11" t="n">
        <v>70</v>
      </c>
      <c r="I70" s="11" t="n">
        <v>80</v>
      </c>
      <c r="J70" s="11" t="n">
        <v>73</v>
      </c>
      <c r="K70" s="11" t="n">
        <v>70</v>
      </c>
      <c r="L70" s="0" t="str">
        <f aca="false">IF(H70&gt;I70,"ERRO","OK")</f>
        <v>OK</v>
      </c>
      <c r="M70" s="0" t="str">
        <f aca="false">IF(H70&gt;J70,"ERRO","OK")</f>
        <v>OK</v>
      </c>
      <c r="N70" s="0" t="str">
        <f aca="false">IF(I70&lt;J70,"ERRO","OK")</f>
        <v>OK</v>
      </c>
    </row>
    <row r="71" customFormat="false" ht="36.5" hidden="false" customHeight="false" outlineLevel="0" collapsed="false">
      <c r="A71" s="0" t="n">
        <v>38</v>
      </c>
      <c r="B71" s="0" t="n">
        <v>2023</v>
      </c>
      <c r="C71" s="3" t="n">
        <v>44938</v>
      </c>
      <c r="D71" s="4" t="s">
        <v>42</v>
      </c>
      <c r="E71" s="5" t="s">
        <v>63</v>
      </c>
      <c r="F71" s="5" t="s">
        <v>49</v>
      </c>
      <c r="G71" s="7" t="n">
        <v>40</v>
      </c>
      <c r="H71" s="7" t="n">
        <v>30</v>
      </c>
      <c r="I71" s="7" t="n">
        <v>50</v>
      </c>
      <c r="J71" s="7" t="s">
        <v>85</v>
      </c>
      <c r="K71" s="7" t="n">
        <v>40</v>
      </c>
      <c r="L71" s="0" t="str">
        <f aca="false">IF(H71&gt;I71,"ERRO","OK")</f>
        <v>OK</v>
      </c>
      <c r="M71" s="0" t="str">
        <f aca="false">IF(H71&gt;J71,"ERRO","OK")</f>
        <v>OK</v>
      </c>
      <c r="N71" s="0" t="str">
        <f aca="false">IF(I71&lt;J71,"ERRO","OK")</f>
        <v>ERRO</v>
      </c>
    </row>
    <row r="72" customFormat="false" ht="36.5" hidden="false" customHeight="false" outlineLevel="0" collapsed="false">
      <c r="A72" s="0" t="n">
        <v>38</v>
      </c>
      <c r="B72" s="0" t="n">
        <v>2023</v>
      </c>
      <c r="C72" s="3" t="n">
        <v>44938</v>
      </c>
      <c r="D72" s="8" t="s">
        <v>42</v>
      </c>
      <c r="E72" s="9" t="s">
        <v>64</v>
      </c>
      <c r="F72" s="9" t="s">
        <v>65</v>
      </c>
      <c r="G72" s="11" t="n">
        <v>70</v>
      </c>
      <c r="H72" s="11" t="n">
        <v>70</v>
      </c>
      <c r="I72" s="11" t="n">
        <v>130</v>
      </c>
      <c r="J72" s="11" t="s">
        <v>86</v>
      </c>
      <c r="K72" s="11" t="n">
        <v>110</v>
      </c>
      <c r="L72" s="0" t="str">
        <f aca="false">IF(H72&gt;I72,"ERRO","OK")</f>
        <v>OK</v>
      </c>
      <c r="M72" s="0" t="str">
        <f aca="false">IF(H72&gt;J72,"ERRO","OK")</f>
        <v>OK</v>
      </c>
      <c r="N72" s="0" t="str">
        <f aca="false">IF(I72&lt;J72,"ERRO","OK")</f>
        <v>ERRO</v>
      </c>
    </row>
    <row r="73" customFormat="false" ht="36.5" hidden="false" customHeight="false" outlineLevel="0" collapsed="false">
      <c r="A73" s="0" t="n">
        <v>38</v>
      </c>
      <c r="B73" s="0" t="n">
        <v>2023</v>
      </c>
      <c r="C73" s="3" t="n">
        <v>44938</v>
      </c>
      <c r="D73" s="4" t="s">
        <v>42</v>
      </c>
      <c r="E73" s="5" t="s">
        <v>67</v>
      </c>
      <c r="F73" s="5" t="s">
        <v>44</v>
      </c>
      <c r="G73" s="7" t="n">
        <v>90</v>
      </c>
      <c r="H73" s="7" t="n">
        <v>80</v>
      </c>
      <c r="I73" s="7" t="n">
        <v>100</v>
      </c>
      <c r="J73" s="7" t="n">
        <v>92</v>
      </c>
      <c r="K73" s="7" t="n">
        <v>90</v>
      </c>
      <c r="L73" s="0" t="str">
        <f aca="false">IF(H73&gt;I73,"ERRO","OK")</f>
        <v>OK</v>
      </c>
      <c r="M73" s="0" t="str">
        <f aca="false">IF(H73&gt;J73,"ERRO","OK")</f>
        <v>OK</v>
      </c>
      <c r="N73" s="0" t="str">
        <f aca="false">IF(I73&lt;J73,"ERRO","OK")</f>
        <v>OK</v>
      </c>
    </row>
    <row r="74" customFormat="false" ht="36.5" hidden="false" customHeight="false" outlineLevel="0" collapsed="false">
      <c r="A74" s="0" t="n">
        <v>38</v>
      </c>
      <c r="B74" s="0" t="n">
        <v>2023</v>
      </c>
      <c r="C74" s="3" t="n">
        <v>44938</v>
      </c>
      <c r="D74" s="8" t="s">
        <v>42</v>
      </c>
      <c r="E74" s="9" t="s">
        <v>68</v>
      </c>
      <c r="F74" s="9" t="s">
        <v>44</v>
      </c>
      <c r="G74" s="11" t="n">
        <v>100</v>
      </c>
      <c r="H74" s="11" t="n">
        <v>100</v>
      </c>
      <c r="I74" s="11" t="n">
        <v>130</v>
      </c>
      <c r="J74" s="11" t="n">
        <v>108</v>
      </c>
      <c r="K74" s="11" t="n">
        <v>100</v>
      </c>
      <c r="L74" s="0" t="str">
        <f aca="false">IF(H74&gt;I74,"ERRO","OK")</f>
        <v>OK</v>
      </c>
      <c r="M74" s="0" t="str">
        <f aca="false">IF(H74&gt;J74,"ERRO","OK")</f>
        <v>OK</v>
      </c>
      <c r="N74" s="0" t="str">
        <f aca="false">IF(I74&lt;J74,"ERRO","OK")</f>
        <v>OK</v>
      </c>
    </row>
    <row r="75" customFormat="false" ht="14.25" hidden="false" customHeight="false" outlineLevel="0" collapsed="false">
      <c r="A75" s="0" t="n">
        <v>38</v>
      </c>
      <c r="B75" s="0" t="n">
        <v>2023</v>
      </c>
      <c r="C75" s="3" t="n">
        <v>44938</v>
      </c>
      <c r="D75" s="4" t="s">
        <v>69</v>
      </c>
      <c r="E75" s="5" t="s">
        <v>70</v>
      </c>
      <c r="F75" s="5" t="s">
        <v>44</v>
      </c>
      <c r="G75" s="6"/>
      <c r="H75" s="6"/>
      <c r="I75" s="6"/>
      <c r="J75" s="6"/>
      <c r="K75" s="6"/>
      <c r="L75" s="0" t="str">
        <f aca="false">IF(H75&gt;I75,"ERRO","OK")</f>
        <v>OK</v>
      </c>
      <c r="M75" s="0" t="str">
        <f aca="false">IF(H75&gt;J75,"ERRO","OK")</f>
        <v>OK</v>
      </c>
      <c r="N75" s="0" t="str">
        <f aca="false">IF(I75&lt;J75,"ERRO","OK")</f>
        <v>OK</v>
      </c>
    </row>
    <row r="76" customFormat="false" ht="14.25" hidden="false" customHeight="false" outlineLevel="0" collapsed="false">
      <c r="A76" s="0" t="n">
        <v>38</v>
      </c>
      <c r="B76" s="0" t="n">
        <v>2023</v>
      </c>
      <c r="C76" s="3" t="n">
        <v>44938</v>
      </c>
      <c r="D76" s="8" t="s">
        <v>69</v>
      </c>
      <c r="E76" s="9" t="s">
        <v>71</v>
      </c>
      <c r="F76" s="9" t="s">
        <v>44</v>
      </c>
      <c r="G76" s="10"/>
      <c r="H76" s="10"/>
      <c r="I76" s="10"/>
      <c r="J76" s="10"/>
      <c r="K76" s="10"/>
      <c r="L76" s="0" t="str">
        <f aca="false">IF(H76&gt;I76,"ERRO","OK")</f>
        <v>OK</v>
      </c>
      <c r="M76" s="0" t="str">
        <f aca="false">IF(H76&gt;J76,"ERRO","OK")</f>
        <v>OK</v>
      </c>
      <c r="N76" s="0" t="str">
        <f aca="false">IF(I76&lt;J76,"ERRO","OK")</f>
        <v>OK</v>
      </c>
    </row>
    <row r="77" customFormat="false" ht="14.25" hidden="false" customHeight="false" outlineLevel="0" collapsed="false">
      <c r="A77" s="0" t="n">
        <v>38</v>
      </c>
      <c r="B77" s="0" t="n">
        <v>2023</v>
      </c>
      <c r="C77" s="3" t="n">
        <v>44938</v>
      </c>
      <c r="D77" s="4" t="s">
        <v>69</v>
      </c>
      <c r="E77" s="5" t="s">
        <v>72</v>
      </c>
      <c r="F77" s="5" t="s">
        <v>44</v>
      </c>
      <c r="G77" s="6"/>
      <c r="H77" s="6"/>
      <c r="I77" s="6"/>
      <c r="J77" s="6"/>
      <c r="K77" s="6"/>
      <c r="L77" s="0" t="str">
        <f aca="false">IF(H77&gt;I77,"ERRO","OK")</f>
        <v>OK</v>
      </c>
      <c r="M77" s="0" t="str">
        <f aca="false">IF(H77&gt;J77,"ERRO","OK")</f>
        <v>OK</v>
      </c>
      <c r="N77" s="0" t="str">
        <f aca="false">IF(I77&lt;J77,"ERRO","OK")</f>
        <v>OK</v>
      </c>
    </row>
    <row r="78" customFormat="false" ht="14.25" hidden="false" customHeight="false" outlineLevel="0" collapsed="false">
      <c r="A78" s="0" t="n">
        <v>38</v>
      </c>
      <c r="B78" s="0" t="n">
        <v>2023</v>
      </c>
      <c r="C78" s="3" t="n">
        <v>44938</v>
      </c>
      <c r="D78" s="8" t="s">
        <v>69</v>
      </c>
      <c r="E78" s="9" t="s">
        <v>73</v>
      </c>
      <c r="F78" s="9" t="s">
        <v>49</v>
      </c>
      <c r="G78" s="10"/>
      <c r="H78" s="11" t="n">
        <v>28</v>
      </c>
      <c r="I78" s="11" t="n">
        <v>28</v>
      </c>
      <c r="J78" s="11" t="n">
        <v>28</v>
      </c>
      <c r="K78" s="11" t="n">
        <v>28</v>
      </c>
      <c r="L78" s="0" t="str">
        <f aca="false">IF(H78&gt;I78,"ERRO","OK")</f>
        <v>OK</v>
      </c>
      <c r="M78" s="0" t="str">
        <f aca="false">IF(H78&gt;J78,"ERRO","OK")</f>
        <v>OK</v>
      </c>
      <c r="N78" s="0" t="str">
        <f aca="false">IF(I78&lt;J78,"ERRO","OK")</f>
        <v>OK</v>
      </c>
    </row>
    <row r="79" customFormat="false" ht="14.25" hidden="false" customHeight="false" outlineLevel="0" collapsed="false">
      <c r="A79" s="0" t="n">
        <v>38</v>
      </c>
      <c r="B79" s="0" t="n">
        <v>2023</v>
      </c>
      <c r="C79" s="3" t="n">
        <v>44938</v>
      </c>
      <c r="D79" s="4" t="s">
        <v>69</v>
      </c>
      <c r="E79" s="5" t="s">
        <v>74</v>
      </c>
      <c r="F79" s="5" t="s">
        <v>75</v>
      </c>
      <c r="G79" s="6"/>
      <c r="H79" s="6"/>
      <c r="I79" s="6"/>
      <c r="J79" s="6"/>
      <c r="K79" s="6"/>
      <c r="L79" s="0" t="str">
        <f aca="false">IF(H79&gt;I79,"ERRO","OK")</f>
        <v>OK</v>
      </c>
      <c r="M79" s="0" t="str">
        <f aca="false">IF(H79&gt;J79,"ERRO","OK")</f>
        <v>OK</v>
      </c>
      <c r="N79" s="0" t="str">
        <f aca="false">IF(I79&lt;J79,"ERRO","OK")</f>
        <v>OK</v>
      </c>
    </row>
    <row r="80" customFormat="false" ht="25" hidden="false" customHeight="false" outlineLevel="0" collapsed="false">
      <c r="A80" s="0" t="n">
        <v>39</v>
      </c>
      <c r="B80" s="0" t="n">
        <v>2023</v>
      </c>
      <c r="C80" s="3" t="n">
        <v>44945</v>
      </c>
      <c r="D80" s="4" t="s">
        <v>15</v>
      </c>
      <c r="E80" s="5" t="s">
        <v>16</v>
      </c>
      <c r="F80" s="5" t="s">
        <v>17</v>
      </c>
      <c r="G80" s="7" t="n">
        <v>42</v>
      </c>
      <c r="H80" s="7" t="n">
        <v>42</v>
      </c>
      <c r="I80" s="7" t="n">
        <v>42</v>
      </c>
      <c r="J80" s="7" t="n">
        <v>42</v>
      </c>
      <c r="K80" s="7" t="n">
        <v>42</v>
      </c>
      <c r="L80" s="0" t="str">
        <f aca="false">IF(H80&gt;I80,"ERRO","OK")</f>
        <v>OK</v>
      </c>
      <c r="M80" s="0" t="str">
        <f aca="false">IF(H80&gt;J80,"ERRO","OK")</f>
        <v>OK</v>
      </c>
      <c r="N80" s="0" t="str">
        <f aca="false">IF(I80&lt;J80,"ERRO","OK")</f>
        <v>OK</v>
      </c>
    </row>
    <row r="81" customFormat="false" ht="25" hidden="false" customHeight="false" outlineLevel="0" collapsed="false">
      <c r="A81" s="0" t="n">
        <v>39</v>
      </c>
      <c r="B81" s="0" t="n">
        <v>2023</v>
      </c>
      <c r="C81" s="3" t="n">
        <v>44945</v>
      </c>
      <c r="D81" s="8" t="s">
        <v>15</v>
      </c>
      <c r="E81" s="9" t="s">
        <v>18</v>
      </c>
      <c r="F81" s="9" t="s">
        <v>17</v>
      </c>
      <c r="G81" s="11" t="n">
        <v>60</v>
      </c>
      <c r="H81" s="11" t="n">
        <v>60</v>
      </c>
      <c r="I81" s="11" t="n">
        <v>60</v>
      </c>
      <c r="J81" s="11" t="n">
        <v>60</v>
      </c>
      <c r="K81" s="11" t="n">
        <v>60</v>
      </c>
      <c r="L81" s="0" t="str">
        <f aca="false">IF(H81&gt;I81,"ERRO","OK")</f>
        <v>OK</v>
      </c>
      <c r="M81" s="0" t="str">
        <f aca="false">IF(H81&gt;J81,"ERRO","OK")</f>
        <v>OK</v>
      </c>
      <c r="N81" s="0" t="str">
        <f aca="false">IF(I81&lt;J81,"ERRO","OK")</f>
        <v>OK</v>
      </c>
    </row>
    <row r="82" customFormat="false" ht="25" hidden="false" customHeight="false" outlineLevel="0" collapsed="false">
      <c r="A82" s="0" t="n">
        <v>39</v>
      </c>
      <c r="B82" s="0" t="n">
        <v>2023</v>
      </c>
      <c r="C82" s="3" t="n">
        <v>44945</v>
      </c>
      <c r="D82" s="4" t="s">
        <v>15</v>
      </c>
      <c r="E82" s="5" t="s">
        <v>19</v>
      </c>
      <c r="F82" s="5" t="s">
        <v>17</v>
      </c>
      <c r="G82" s="7" t="n">
        <v>30</v>
      </c>
      <c r="H82" s="7" t="n">
        <v>30</v>
      </c>
      <c r="I82" s="7" t="n">
        <v>42</v>
      </c>
      <c r="J82" s="7" t="n">
        <v>34</v>
      </c>
      <c r="K82" s="7" t="n">
        <v>30</v>
      </c>
      <c r="L82" s="0" t="str">
        <f aca="false">IF(H82&gt;I82,"ERRO","OK")</f>
        <v>OK</v>
      </c>
      <c r="M82" s="0" t="str">
        <f aca="false">IF(H82&gt;J82,"ERRO","OK")</f>
        <v>OK</v>
      </c>
      <c r="N82" s="0" t="str">
        <f aca="false">IF(I82&lt;J82,"ERRO","OK")</f>
        <v>OK</v>
      </c>
    </row>
    <row r="83" customFormat="false" ht="25" hidden="false" customHeight="false" outlineLevel="0" collapsed="false">
      <c r="A83" s="0" t="n">
        <v>39</v>
      </c>
      <c r="B83" s="0" t="n">
        <v>2023</v>
      </c>
      <c r="C83" s="3" t="n">
        <v>44945</v>
      </c>
      <c r="D83" s="8" t="s">
        <v>15</v>
      </c>
      <c r="E83" s="9" t="s">
        <v>20</v>
      </c>
      <c r="F83" s="9" t="s">
        <v>17</v>
      </c>
      <c r="G83" s="11" t="n">
        <v>24</v>
      </c>
      <c r="H83" s="11" t="n">
        <v>20</v>
      </c>
      <c r="I83" s="11" t="n">
        <v>24</v>
      </c>
      <c r="J83" s="11" t="s">
        <v>41</v>
      </c>
      <c r="K83" s="11" t="n">
        <v>23</v>
      </c>
      <c r="L83" s="0" t="str">
        <f aca="false">IF(H83&gt;I83,"ERRO","OK")</f>
        <v>OK</v>
      </c>
      <c r="M83" s="0" t="str">
        <f aca="false">IF(H83&gt;J83,"ERRO","OK")</f>
        <v>OK</v>
      </c>
      <c r="N83" s="0" t="str">
        <f aca="false">IF(I83&lt;J83,"ERRO","OK")</f>
        <v>ERRO</v>
      </c>
    </row>
    <row r="84" customFormat="false" ht="25" hidden="false" customHeight="false" outlineLevel="0" collapsed="false">
      <c r="A84" s="0" t="n">
        <v>39</v>
      </c>
      <c r="B84" s="0" t="n">
        <v>2023</v>
      </c>
      <c r="C84" s="3" t="n">
        <v>44945</v>
      </c>
      <c r="D84" s="4" t="s">
        <v>15</v>
      </c>
      <c r="E84" s="5" t="s">
        <v>21</v>
      </c>
      <c r="F84" s="5" t="s">
        <v>17</v>
      </c>
      <c r="G84" s="6"/>
      <c r="H84" s="7" t="n">
        <v>18</v>
      </c>
      <c r="I84" s="7" t="n">
        <v>24</v>
      </c>
      <c r="J84" s="7" t="n">
        <v>21</v>
      </c>
      <c r="K84" s="7" t="n">
        <v>21</v>
      </c>
      <c r="L84" s="0" t="str">
        <f aca="false">IF(H84&gt;I84,"ERRO","OK")</f>
        <v>OK</v>
      </c>
      <c r="M84" s="0" t="str">
        <f aca="false">IF(H84&gt;J84,"ERRO","OK")</f>
        <v>OK</v>
      </c>
      <c r="N84" s="0" t="str">
        <f aca="false">IF(I84&lt;J84,"ERRO","OK")</f>
        <v>OK</v>
      </c>
    </row>
    <row r="85" customFormat="false" ht="25" hidden="false" customHeight="false" outlineLevel="0" collapsed="false">
      <c r="A85" s="0" t="n">
        <v>39</v>
      </c>
      <c r="B85" s="0" t="n">
        <v>2023</v>
      </c>
      <c r="C85" s="3" t="n">
        <v>44945</v>
      </c>
      <c r="D85" s="8" t="s">
        <v>15</v>
      </c>
      <c r="E85" s="9" t="s">
        <v>22</v>
      </c>
      <c r="F85" s="9" t="s">
        <v>17</v>
      </c>
      <c r="G85" s="10"/>
      <c r="H85" s="11" t="n">
        <v>24</v>
      </c>
      <c r="I85" s="11" t="n">
        <v>48</v>
      </c>
      <c r="J85" s="11" t="n">
        <v>38</v>
      </c>
      <c r="K85" s="11" t="n">
        <v>42</v>
      </c>
      <c r="L85" s="0" t="str">
        <f aca="false">IF(H85&gt;I85,"ERRO","OK")</f>
        <v>OK</v>
      </c>
      <c r="M85" s="0" t="str">
        <f aca="false">IF(H85&gt;J85,"ERRO","OK")</f>
        <v>OK</v>
      </c>
      <c r="N85" s="0" t="str">
        <f aca="false">IF(I85&lt;J85,"ERRO","OK")</f>
        <v>OK</v>
      </c>
    </row>
    <row r="86" customFormat="false" ht="25" hidden="false" customHeight="false" outlineLevel="0" collapsed="false">
      <c r="A86" s="0" t="n">
        <v>39</v>
      </c>
      <c r="B86" s="0" t="n">
        <v>2023</v>
      </c>
      <c r="C86" s="3" t="n">
        <v>44945</v>
      </c>
      <c r="D86" s="4" t="s">
        <v>15</v>
      </c>
      <c r="E86" s="5" t="s">
        <v>23</v>
      </c>
      <c r="F86" s="5" t="s">
        <v>17</v>
      </c>
      <c r="G86" s="6"/>
      <c r="H86" s="7" t="n">
        <v>72</v>
      </c>
      <c r="I86" s="7" t="n">
        <v>78</v>
      </c>
      <c r="J86" s="7" t="n">
        <v>75</v>
      </c>
      <c r="K86" s="7" t="n">
        <v>75</v>
      </c>
      <c r="L86" s="0" t="str">
        <f aca="false">IF(H86&gt;I86,"ERRO","OK")</f>
        <v>OK</v>
      </c>
      <c r="M86" s="0" t="str">
        <f aca="false">IF(H86&gt;J86,"ERRO","OK")</f>
        <v>OK</v>
      </c>
      <c r="N86" s="0" t="str">
        <f aca="false">IF(I86&lt;J86,"ERRO","OK")</f>
        <v>OK</v>
      </c>
    </row>
    <row r="87" customFormat="false" ht="25" hidden="false" customHeight="false" outlineLevel="0" collapsed="false">
      <c r="A87" s="0" t="n">
        <v>39</v>
      </c>
      <c r="B87" s="0" t="n">
        <v>2023</v>
      </c>
      <c r="C87" s="3" t="n">
        <v>44945</v>
      </c>
      <c r="D87" s="8" t="s">
        <v>15</v>
      </c>
      <c r="E87" s="9" t="s">
        <v>24</v>
      </c>
      <c r="F87" s="9" t="s">
        <v>17</v>
      </c>
      <c r="G87" s="10"/>
      <c r="H87" s="11" t="n">
        <v>50</v>
      </c>
      <c r="I87" s="11" t="n">
        <v>84</v>
      </c>
      <c r="J87" s="11" t="s">
        <v>87</v>
      </c>
      <c r="K87" s="11" t="n">
        <v>60</v>
      </c>
      <c r="L87" s="0" t="str">
        <f aca="false">IF(H87&gt;I87,"ERRO","OK")</f>
        <v>OK</v>
      </c>
      <c r="M87" s="0" t="str">
        <f aca="false">IF(H87&gt;J87,"ERRO","OK")</f>
        <v>OK</v>
      </c>
      <c r="N87" s="0" t="str">
        <f aca="false">IF(I87&lt;J87,"ERRO","OK")</f>
        <v>ERRO</v>
      </c>
    </row>
    <row r="88" customFormat="false" ht="25" hidden="false" customHeight="false" outlineLevel="0" collapsed="false">
      <c r="A88" s="0" t="n">
        <v>39</v>
      </c>
      <c r="B88" s="0" t="n">
        <v>2023</v>
      </c>
      <c r="C88" s="3" t="n">
        <v>44945</v>
      </c>
      <c r="D88" s="4" t="s">
        <v>15</v>
      </c>
      <c r="E88" s="5" t="s">
        <v>25</v>
      </c>
      <c r="F88" s="5" t="s">
        <v>17</v>
      </c>
      <c r="G88" s="7" t="n">
        <v>18</v>
      </c>
      <c r="H88" s="7" t="n">
        <v>18</v>
      </c>
      <c r="I88" s="7" t="n">
        <v>24</v>
      </c>
      <c r="J88" s="7" t="n">
        <v>20</v>
      </c>
      <c r="K88" s="7" t="n">
        <v>18</v>
      </c>
      <c r="L88" s="0" t="str">
        <f aca="false">IF(H88&gt;I88,"ERRO","OK")</f>
        <v>OK</v>
      </c>
      <c r="M88" s="0" t="str">
        <f aca="false">IF(H88&gt;J88,"ERRO","OK")</f>
        <v>OK</v>
      </c>
      <c r="N88" s="0" t="str">
        <f aca="false">IF(I88&lt;J88,"ERRO","OK")</f>
        <v>OK</v>
      </c>
    </row>
    <row r="89" customFormat="false" ht="25" hidden="false" customHeight="false" outlineLevel="0" collapsed="false">
      <c r="A89" s="0" t="n">
        <v>39</v>
      </c>
      <c r="B89" s="0" t="n">
        <v>2023</v>
      </c>
      <c r="C89" s="3" t="n">
        <v>44945</v>
      </c>
      <c r="D89" s="8" t="s">
        <v>15</v>
      </c>
      <c r="E89" s="9" t="s">
        <v>26</v>
      </c>
      <c r="F89" s="9"/>
      <c r="G89" s="10"/>
      <c r="H89" s="11" t="n">
        <v>55</v>
      </c>
      <c r="I89" s="11" t="n">
        <v>80</v>
      </c>
      <c r="J89" s="11" t="s">
        <v>88</v>
      </c>
      <c r="K89" s="11" t="s">
        <v>88</v>
      </c>
      <c r="L89" s="0" t="str">
        <f aca="false">IF(H89&gt;I89,"ERRO","OK")</f>
        <v>OK</v>
      </c>
      <c r="M89" s="0" t="str">
        <f aca="false">IF(H89&gt;J89,"ERRO","OK")</f>
        <v>OK</v>
      </c>
      <c r="N89" s="0" t="str">
        <f aca="false">IF(I89&lt;J89,"ERRO","OK")</f>
        <v>ERRO</v>
      </c>
    </row>
    <row r="90" customFormat="false" ht="25" hidden="false" customHeight="false" outlineLevel="0" collapsed="false">
      <c r="A90" s="0" t="n">
        <v>39</v>
      </c>
      <c r="B90" s="0" t="n">
        <v>2023</v>
      </c>
      <c r="C90" s="3" t="n">
        <v>44945</v>
      </c>
      <c r="D90" s="4" t="s">
        <v>15</v>
      </c>
      <c r="E90" s="5" t="s">
        <v>27</v>
      </c>
      <c r="F90" s="5" t="s">
        <v>17</v>
      </c>
      <c r="G90" s="6"/>
      <c r="H90" s="7" t="n">
        <v>18</v>
      </c>
      <c r="I90" s="7" t="n">
        <v>24</v>
      </c>
      <c r="J90" s="7" t="n">
        <v>21</v>
      </c>
      <c r="K90" s="7" t="n">
        <v>21</v>
      </c>
      <c r="L90" s="0" t="str">
        <f aca="false">IF(H90&gt;I90,"ERRO","OK")</f>
        <v>OK</v>
      </c>
      <c r="M90" s="0" t="str">
        <f aca="false">IF(H90&gt;J90,"ERRO","OK")</f>
        <v>OK</v>
      </c>
      <c r="N90" s="0" t="str">
        <f aca="false">IF(I90&lt;J90,"ERRO","OK")</f>
        <v>OK</v>
      </c>
    </row>
    <row r="91" customFormat="false" ht="25" hidden="false" customHeight="false" outlineLevel="0" collapsed="false">
      <c r="A91" s="0" t="n">
        <v>39</v>
      </c>
      <c r="B91" s="0" t="n">
        <v>2023</v>
      </c>
      <c r="C91" s="3" t="n">
        <v>44945</v>
      </c>
      <c r="D91" s="8" t="s">
        <v>15</v>
      </c>
      <c r="E91" s="9" t="s">
        <v>28</v>
      </c>
      <c r="F91" s="9" t="s">
        <v>17</v>
      </c>
      <c r="G91" s="11" t="n">
        <v>60</v>
      </c>
      <c r="H91" s="11" t="n">
        <v>60</v>
      </c>
      <c r="I91" s="11" t="n">
        <v>60</v>
      </c>
      <c r="J91" s="11" t="n">
        <v>60</v>
      </c>
      <c r="K91" s="11" t="n">
        <v>60</v>
      </c>
      <c r="L91" s="0" t="str">
        <f aca="false">IF(H91&gt;I91,"ERRO","OK")</f>
        <v>OK</v>
      </c>
      <c r="M91" s="0" t="str">
        <f aca="false">IF(H91&gt;J91,"ERRO","OK")</f>
        <v>OK</v>
      </c>
      <c r="N91" s="0" t="str">
        <f aca="false">IF(I91&lt;J91,"ERRO","OK")</f>
        <v>OK</v>
      </c>
    </row>
    <row r="92" customFormat="false" ht="25" hidden="false" customHeight="false" outlineLevel="0" collapsed="false">
      <c r="A92" s="0" t="n">
        <v>39</v>
      </c>
      <c r="B92" s="0" t="n">
        <v>2023</v>
      </c>
      <c r="C92" s="3" t="n">
        <v>44945</v>
      </c>
      <c r="D92" s="4" t="s">
        <v>15</v>
      </c>
      <c r="E92" s="5" t="s">
        <v>29</v>
      </c>
      <c r="F92" s="5" t="s">
        <v>30</v>
      </c>
      <c r="G92" s="6"/>
      <c r="H92" s="7" t="n">
        <v>48</v>
      </c>
      <c r="I92" s="7" t="n">
        <v>60</v>
      </c>
      <c r="J92" s="7" t="n">
        <v>54</v>
      </c>
      <c r="K92" s="7" t="n">
        <v>54</v>
      </c>
      <c r="L92" s="0" t="str">
        <f aca="false">IF(H92&gt;I92,"ERRO","OK")</f>
        <v>OK</v>
      </c>
      <c r="M92" s="0" t="str">
        <f aca="false">IF(H92&gt;J92,"ERRO","OK")</f>
        <v>OK</v>
      </c>
      <c r="N92" s="0" t="str">
        <f aca="false">IF(I92&lt;J92,"ERRO","OK")</f>
        <v>OK</v>
      </c>
    </row>
    <row r="93" customFormat="false" ht="25" hidden="false" customHeight="false" outlineLevel="0" collapsed="false">
      <c r="A93" s="0" t="n">
        <v>39</v>
      </c>
      <c r="B93" s="0" t="n">
        <v>2023</v>
      </c>
      <c r="C93" s="3" t="n">
        <v>44945</v>
      </c>
      <c r="D93" s="8" t="s">
        <v>15</v>
      </c>
      <c r="E93" s="9" t="s">
        <v>31</v>
      </c>
      <c r="F93" s="9" t="s">
        <v>17</v>
      </c>
      <c r="G93" s="10"/>
      <c r="H93" s="11" t="n">
        <v>42</v>
      </c>
      <c r="I93" s="11" t="n">
        <v>66</v>
      </c>
      <c r="J93" s="11" t="n">
        <v>54</v>
      </c>
      <c r="K93" s="11" t="n">
        <v>54</v>
      </c>
      <c r="L93" s="0" t="str">
        <f aca="false">IF(H93&gt;I93,"ERRO","OK")</f>
        <v>OK</v>
      </c>
      <c r="M93" s="0" t="str">
        <f aca="false">IF(H93&gt;J93,"ERRO","OK")</f>
        <v>OK</v>
      </c>
      <c r="N93" s="0" t="str">
        <f aca="false">IF(I93&lt;J93,"ERRO","OK")</f>
        <v>OK</v>
      </c>
    </row>
    <row r="94" customFormat="false" ht="25" hidden="false" customHeight="false" outlineLevel="0" collapsed="false">
      <c r="A94" s="0" t="n">
        <v>39</v>
      </c>
      <c r="B94" s="0" t="n">
        <v>2023</v>
      </c>
      <c r="C94" s="3" t="n">
        <v>44945</v>
      </c>
      <c r="D94" s="4" t="s">
        <v>15</v>
      </c>
      <c r="E94" s="5" t="s">
        <v>32</v>
      </c>
      <c r="F94" s="5" t="s">
        <v>17</v>
      </c>
      <c r="G94" s="7" t="n">
        <v>30</v>
      </c>
      <c r="H94" s="7" t="n">
        <v>25</v>
      </c>
      <c r="I94" s="7" t="n">
        <v>30</v>
      </c>
      <c r="J94" s="7" t="s">
        <v>89</v>
      </c>
      <c r="K94" s="7" t="n">
        <v>30</v>
      </c>
      <c r="L94" s="0" t="str">
        <f aca="false">IF(H94&gt;I94,"ERRO","OK")</f>
        <v>OK</v>
      </c>
      <c r="M94" s="0" t="str">
        <f aca="false">IF(H94&gt;J94,"ERRO","OK")</f>
        <v>OK</v>
      </c>
      <c r="N94" s="0" t="str">
        <f aca="false">IF(I94&lt;J94,"ERRO","OK")</f>
        <v>ERRO</v>
      </c>
    </row>
    <row r="95" customFormat="false" ht="25" hidden="false" customHeight="false" outlineLevel="0" collapsed="false">
      <c r="A95" s="0" t="n">
        <v>39</v>
      </c>
      <c r="B95" s="0" t="n">
        <v>2023</v>
      </c>
      <c r="C95" s="3" t="n">
        <v>44945</v>
      </c>
      <c r="D95" s="8" t="s">
        <v>15</v>
      </c>
      <c r="E95" s="9" t="s">
        <v>33</v>
      </c>
      <c r="F95" s="9" t="s">
        <v>17</v>
      </c>
      <c r="G95" s="11" t="n">
        <v>42</v>
      </c>
      <c r="H95" s="11" t="n">
        <v>30</v>
      </c>
      <c r="I95" s="11" t="n">
        <v>42</v>
      </c>
      <c r="J95" s="11" t="s">
        <v>90</v>
      </c>
      <c r="K95" s="11" t="n">
        <v>39</v>
      </c>
      <c r="L95" s="0" t="str">
        <f aca="false">IF(H95&gt;I95,"ERRO","OK")</f>
        <v>OK</v>
      </c>
      <c r="M95" s="0" t="str">
        <f aca="false">IF(H95&gt;J95,"ERRO","OK")</f>
        <v>OK</v>
      </c>
      <c r="N95" s="0" t="str">
        <f aca="false">IF(I95&lt;J95,"ERRO","OK")</f>
        <v>ERRO</v>
      </c>
    </row>
    <row r="96" customFormat="false" ht="25" hidden="false" customHeight="false" outlineLevel="0" collapsed="false">
      <c r="A96" s="0" t="n">
        <v>39</v>
      </c>
      <c r="B96" s="0" t="n">
        <v>2023</v>
      </c>
      <c r="C96" s="3" t="n">
        <v>44945</v>
      </c>
      <c r="D96" s="4" t="s">
        <v>34</v>
      </c>
      <c r="E96" s="5" t="s">
        <v>35</v>
      </c>
      <c r="F96" s="5" t="s">
        <v>36</v>
      </c>
      <c r="G96" s="7" t="n">
        <v>4</v>
      </c>
      <c r="H96" s="7" t="n">
        <v>4</v>
      </c>
      <c r="I96" s="7" t="n">
        <v>5</v>
      </c>
      <c r="J96" s="7" t="s">
        <v>91</v>
      </c>
      <c r="K96" s="7" t="n">
        <v>4</v>
      </c>
      <c r="L96" s="0" t="str">
        <f aca="false">IF(H96&gt;I96,"ERRO","OK")</f>
        <v>OK</v>
      </c>
      <c r="M96" s="0" t="str">
        <f aca="false">IF(H96&gt;J96,"ERRO","OK")</f>
        <v>OK</v>
      </c>
      <c r="N96" s="0" t="str">
        <f aca="false">IF(I96&lt;J96,"ERRO","OK")</f>
        <v>ERRO</v>
      </c>
    </row>
    <row r="97" customFormat="false" ht="25" hidden="false" customHeight="false" outlineLevel="0" collapsed="false">
      <c r="A97" s="0" t="n">
        <v>39</v>
      </c>
      <c r="B97" s="0" t="n">
        <v>2023</v>
      </c>
      <c r="C97" s="3" t="n">
        <v>44945</v>
      </c>
      <c r="D97" s="8" t="s">
        <v>34</v>
      </c>
      <c r="E97" s="9" t="s">
        <v>38</v>
      </c>
      <c r="F97" s="9" t="s">
        <v>39</v>
      </c>
      <c r="G97" s="11" t="n">
        <v>20</v>
      </c>
      <c r="H97" s="11" t="n">
        <v>20</v>
      </c>
      <c r="I97" s="11" t="n">
        <v>22</v>
      </c>
      <c r="J97" s="11" t="s">
        <v>92</v>
      </c>
      <c r="K97" s="11" t="n">
        <v>20</v>
      </c>
      <c r="L97" s="0" t="str">
        <f aca="false">IF(H97&gt;I97,"ERRO","OK")</f>
        <v>OK</v>
      </c>
      <c r="M97" s="0" t="str">
        <f aca="false">IF(H97&gt;J97,"ERRO","OK")</f>
        <v>OK</v>
      </c>
      <c r="N97" s="0" t="str">
        <f aca="false">IF(I97&lt;J97,"ERRO","OK")</f>
        <v>ERRO</v>
      </c>
    </row>
    <row r="98" customFormat="false" ht="25" hidden="false" customHeight="false" outlineLevel="0" collapsed="false">
      <c r="A98" s="0" t="n">
        <v>39</v>
      </c>
      <c r="B98" s="0" t="n">
        <v>2023</v>
      </c>
      <c r="C98" s="3" t="n">
        <v>44945</v>
      </c>
      <c r="D98" s="4" t="s">
        <v>34</v>
      </c>
      <c r="E98" s="5" t="s">
        <v>40</v>
      </c>
      <c r="F98" s="5" t="s">
        <v>39</v>
      </c>
      <c r="G98" s="7" t="n">
        <v>25</v>
      </c>
      <c r="H98" s="7" t="n">
        <v>25</v>
      </c>
      <c r="I98" s="7" t="n">
        <v>25</v>
      </c>
      <c r="J98" s="7" t="n">
        <v>25</v>
      </c>
      <c r="K98" s="7" t="n">
        <v>25</v>
      </c>
      <c r="L98" s="0" t="str">
        <f aca="false">IF(H98&gt;I98,"ERRO","OK")</f>
        <v>OK</v>
      </c>
      <c r="M98" s="0" t="str">
        <f aca="false">IF(H98&gt;J98,"ERRO","OK")</f>
        <v>OK</v>
      </c>
      <c r="N98" s="0" t="str">
        <f aca="false">IF(I98&lt;J98,"ERRO","OK")</f>
        <v>OK</v>
      </c>
    </row>
    <row r="99" customFormat="false" ht="36.5" hidden="false" customHeight="false" outlineLevel="0" collapsed="false">
      <c r="A99" s="0" t="n">
        <v>39</v>
      </c>
      <c r="B99" s="0" t="n">
        <v>2023</v>
      </c>
      <c r="C99" s="3" t="n">
        <v>44945</v>
      </c>
      <c r="D99" s="8" t="s">
        <v>42</v>
      </c>
      <c r="E99" s="9" t="s">
        <v>43</v>
      </c>
      <c r="F99" s="9" t="s">
        <v>44</v>
      </c>
      <c r="G99" s="11" t="n">
        <v>60</v>
      </c>
      <c r="H99" s="11" t="n">
        <v>40</v>
      </c>
      <c r="I99" s="11" t="n">
        <v>60</v>
      </c>
      <c r="J99" s="11" t="n">
        <v>52</v>
      </c>
      <c r="K99" s="11" t="n">
        <v>55</v>
      </c>
      <c r="L99" s="0" t="str">
        <f aca="false">IF(H99&gt;I99,"ERRO","OK")</f>
        <v>OK</v>
      </c>
      <c r="M99" s="0" t="str">
        <f aca="false">IF(H99&gt;J99,"ERRO","OK")</f>
        <v>OK</v>
      </c>
      <c r="N99" s="0" t="str">
        <f aca="false">IF(I99&lt;J99,"ERRO","OK")</f>
        <v>OK</v>
      </c>
    </row>
    <row r="100" customFormat="false" ht="36.5" hidden="false" customHeight="false" outlineLevel="0" collapsed="false">
      <c r="A100" s="0" t="n">
        <v>39</v>
      </c>
      <c r="B100" s="0" t="n">
        <v>2023</v>
      </c>
      <c r="C100" s="3" t="n">
        <v>44945</v>
      </c>
      <c r="D100" s="4" t="s">
        <v>42</v>
      </c>
      <c r="E100" s="5" t="s">
        <v>46</v>
      </c>
      <c r="F100" s="5" t="s">
        <v>47</v>
      </c>
      <c r="G100" s="7" t="n">
        <v>50</v>
      </c>
      <c r="H100" s="7" t="n">
        <v>50</v>
      </c>
      <c r="I100" s="7" t="n">
        <v>65</v>
      </c>
      <c r="J100" s="7" t="s">
        <v>93</v>
      </c>
      <c r="K100" s="7" t="n">
        <v>55</v>
      </c>
      <c r="L100" s="0" t="str">
        <f aca="false">IF(H100&gt;I100,"ERRO","OK")</f>
        <v>OK</v>
      </c>
      <c r="M100" s="0" t="str">
        <f aca="false">IF(H100&gt;J100,"ERRO","OK")</f>
        <v>OK</v>
      </c>
      <c r="N100" s="0" t="str">
        <f aca="false">IF(I100&lt;J100,"ERRO","OK")</f>
        <v>ERRO</v>
      </c>
    </row>
    <row r="101" customFormat="false" ht="36.5" hidden="false" customHeight="false" outlineLevel="0" collapsed="false">
      <c r="A101" s="0" t="n">
        <v>39</v>
      </c>
      <c r="B101" s="0" t="n">
        <v>2023</v>
      </c>
      <c r="C101" s="3" t="n">
        <v>44945</v>
      </c>
      <c r="D101" s="8" t="s">
        <v>42</v>
      </c>
      <c r="E101" s="9" t="s">
        <v>48</v>
      </c>
      <c r="F101" s="9" t="s">
        <v>49</v>
      </c>
      <c r="G101" s="11" t="n">
        <v>50</v>
      </c>
      <c r="H101" s="11" t="n">
        <v>35</v>
      </c>
      <c r="I101" s="11" t="n">
        <v>55</v>
      </c>
      <c r="J101" s="11" t="s">
        <v>94</v>
      </c>
      <c r="K101" s="11" t="s">
        <v>95</v>
      </c>
      <c r="L101" s="0" t="str">
        <f aca="false">IF(H101&gt;I101,"ERRO","OK")</f>
        <v>OK</v>
      </c>
      <c r="M101" s="0" t="str">
        <f aca="false">IF(H101&gt;J101,"ERRO","OK")</f>
        <v>OK</v>
      </c>
      <c r="N101" s="0" t="str">
        <f aca="false">IF(I101&lt;J101,"ERRO","OK")</f>
        <v>ERRO</v>
      </c>
    </row>
    <row r="102" customFormat="false" ht="36.5" hidden="false" customHeight="false" outlineLevel="0" collapsed="false">
      <c r="A102" s="0" t="n">
        <v>39</v>
      </c>
      <c r="B102" s="0" t="n">
        <v>2023</v>
      </c>
      <c r="C102" s="3" t="n">
        <v>44945</v>
      </c>
      <c r="D102" s="4" t="s">
        <v>42</v>
      </c>
      <c r="E102" s="5" t="s">
        <v>52</v>
      </c>
      <c r="F102" s="5" t="s">
        <v>49</v>
      </c>
      <c r="G102" s="6"/>
      <c r="H102" s="7" t="n">
        <v>120</v>
      </c>
      <c r="I102" s="7" t="n">
        <v>120</v>
      </c>
      <c r="J102" s="7" t="n">
        <v>120</v>
      </c>
      <c r="K102" s="7" t="n">
        <v>120</v>
      </c>
      <c r="L102" s="0" t="str">
        <f aca="false">IF(H102&gt;I102,"ERRO","OK")</f>
        <v>OK</v>
      </c>
      <c r="M102" s="0" t="str">
        <f aca="false">IF(H102&gt;J102,"ERRO","OK")</f>
        <v>OK</v>
      </c>
      <c r="N102" s="0" t="str">
        <f aca="false">IF(I102&lt;J102,"ERRO","OK")</f>
        <v>OK</v>
      </c>
    </row>
    <row r="103" customFormat="false" ht="36.5" hidden="false" customHeight="false" outlineLevel="0" collapsed="false">
      <c r="A103" s="0" t="n">
        <v>39</v>
      </c>
      <c r="B103" s="0" t="n">
        <v>2023</v>
      </c>
      <c r="C103" s="3" t="n">
        <v>44945</v>
      </c>
      <c r="D103" s="8" t="s">
        <v>42</v>
      </c>
      <c r="E103" s="9" t="s">
        <v>53</v>
      </c>
      <c r="F103" s="9" t="s">
        <v>54</v>
      </c>
      <c r="G103" s="11" t="n">
        <v>50</v>
      </c>
      <c r="H103" s="11" t="n">
        <v>50</v>
      </c>
      <c r="I103" s="11" t="n">
        <v>60</v>
      </c>
      <c r="J103" s="11" t="s">
        <v>96</v>
      </c>
      <c r="K103" s="11" t="s">
        <v>82</v>
      </c>
      <c r="L103" s="0" t="str">
        <f aca="false">IF(H103&gt;I103,"ERRO","OK")</f>
        <v>OK</v>
      </c>
      <c r="M103" s="0" t="str">
        <f aca="false">IF(H103&gt;J103,"ERRO","OK")</f>
        <v>OK</v>
      </c>
      <c r="N103" s="0" t="str">
        <f aca="false">IF(I103&lt;J103,"ERRO","OK")</f>
        <v>ERRO</v>
      </c>
    </row>
    <row r="104" customFormat="false" ht="36.5" hidden="false" customHeight="false" outlineLevel="0" collapsed="false">
      <c r="A104" s="0" t="n">
        <v>39</v>
      </c>
      <c r="B104" s="0" t="n">
        <v>2023</v>
      </c>
      <c r="C104" s="3" t="n">
        <v>44945</v>
      </c>
      <c r="D104" s="4" t="s">
        <v>42</v>
      </c>
      <c r="E104" s="5" t="s">
        <v>56</v>
      </c>
      <c r="F104" s="5" t="s">
        <v>47</v>
      </c>
      <c r="G104" s="7" t="n">
        <v>80</v>
      </c>
      <c r="H104" s="7" t="n">
        <v>50</v>
      </c>
      <c r="I104" s="7" t="n">
        <v>80</v>
      </c>
      <c r="J104" s="7" t="n">
        <v>66</v>
      </c>
      <c r="K104" s="7" t="n">
        <v>65</v>
      </c>
      <c r="L104" s="0" t="str">
        <f aca="false">IF(H104&gt;I104,"ERRO","OK")</f>
        <v>OK</v>
      </c>
      <c r="M104" s="0" t="str">
        <f aca="false">IF(H104&gt;J104,"ERRO","OK")</f>
        <v>OK</v>
      </c>
      <c r="N104" s="0" t="str">
        <f aca="false">IF(I104&lt;J104,"ERRO","OK")</f>
        <v>OK</v>
      </c>
    </row>
    <row r="105" customFormat="false" ht="36.5" hidden="false" customHeight="false" outlineLevel="0" collapsed="false">
      <c r="A105" s="0" t="n">
        <v>39</v>
      </c>
      <c r="B105" s="0" t="n">
        <v>2023</v>
      </c>
      <c r="C105" s="3" t="n">
        <v>44945</v>
      </c>
      <c r="D105" s="8" t="s">
        <v>42</v>
      </c>
      <c r="E105" s="9" t="s">
        <v>57</v>
      </c>
      <c r="F105" s="9" t="s">
        <v>47</v>
      </c>
      <c r="G105" s="11" t="n">
        <v>70</v>
      </c>
      <c r="H105" s="11" t="n">
        <v>70</v>
      </c>
      <c r="I105" s="11" t="n">
        <v>80</v>
      </c>
      <c r="J105" s="11" t="s">
        <v>97</v>
      </c>
      <c r="K105" s="11" t="n">
        <v>70</v>
      </c>
      <c r="L105" s="0" t="str">
        <f aca="false">IF(H105&gt;I105,"ERRO","OK")</f>
        <v>OK</v>
      </c>
      <c r="M105" s="0" t="str">
        <f aca="false">IF(H105&gt;J105,"ERRO","OK")</f>
        <v>OK</v>
      </c>
      <c r="N105" s="0" t="str">
        <f aca="false">IF(I105&lt;J105,"ERRO","OK")</f>
        <v>ERRO</v>
      </c>
    </row>
    <row r="106" customFormat="false" ht="36.5" hidden="false" customHeight="false" outlineLevel="0" collapsed="false">
      <c r="A106" s="0" t="n">
        <v>39</v>
      </c>
      <c r="B106" s="0" t="n">
        <v>2023</v>
      </c>
      <c r="C106" s="3" t="n">
        <v>44945</v>
      </c>
      <c r="D106" s="4" t="s">
        <v>42</v>
      </c>
      <c r="E106" s="5" t="s">
        <v>58</v>
      </c>
      <c r="F106" s="5" t="s">
        <v>44</v>
      </c>
      <c r="G106" s="7" t="n">
        <v>70</v>
      </c>
      <c r="H106" s="7" t="n">
        <v>60</v>
      </c>
      <c r="I106" s="7" t="n">
        <v>70</v>
      </c>
      <c r="J106" s="7" t="n">
        <v>66</v>
      </c>
      <c r="K106" s="7" t="n">
        <v>70</v>
      </c>
      <c r="L106" s="0" t="str">
        <f aca="false">IF(H106&gt;I106,"ERRO","OK")</f>
        <v>OK</v>
      </c>
      <c r="M106" s="0" t="str">
        <f aca="false">IF(H106&gt;J106,"ERRO","OK")</f>
        <v>OK</v>
      </c>
      <c r="N106" s="0" t="str">
        <f aca="false">IF(I106&lt;J106,"ERRO","OK")</f>
        <v>OK</v>
      </c>
    </row>
    <row r="107" customFormat="false" ht="36.5" hidden="false" customHeight="false" outlineLevel="0" collapsed="false">
      <c r="A107" s="0" t="n">
        <v>39</v>
      </c>
      <c r="B107" s="0" t="n">
        <v>2023</v>
      </c>
      <c r="C107" s="3" t="n">
        <v>44945</v>
      </c>
      <c r="D107" s="8" t="s">
        <v>42</v>
      </c>
      <c r="E107" s="9" t="s">
        <v>60</v>
      </c>
      <c r="F107" s="9" t="s">
        <v>47</v>
      </c>
      <c r="G107" s="11" t="n">
        <v>60</v>
      </c>
      <c r="H107" s="11" t="n">
        <v>60</v>
      </c>
      <c r="I107" s="11" t="n">
        <v>60</v>
      </c>
      <c r="J107" s="11" t="n">
        <v>60</v>
      </c>
      <c r="K107" s="11" t="n">
        <v>60</v>
      </c>
      <c r="L107" s="0" t="str">
        <f aca="false">IF(H107&gt;I107,"ERRO","OK")</f>
        <v>OK</v>
      </c>
      <c r="M107" s="0" t="str">
        <f aca="false">IF(H107&gt;J107,"ERRO","OK")</f>
        <v>OK</v>
      </c>
      <c r="N107" s="0" t="str">
        <f aca="false">IF(I107&lt;J107,"ERRO","OK")</f>
        <v>OK</v>
      </c>
    </row>
    <row r="108" customFormat="false" ht="36.5" hidden="false" customHeight="false" outlineLevel="0" collapsed="false">
      <c r="A108" s="0" t="n">
        <v>39</v>
      </c>
      <c r="B108" s="0" t="n">
        <v>2023</v>
      </c>
      <c r="C108" s="3" t="n">
        <v>44945</v>
      </c>
      <c r="D108" s="4" t="s">
        <v>42</v>
      </c>
      <c r="E108" s="5" t="s">
        <v>61</v>
      </c>
      <c r="F108" s="5" t="s">
        <v>44</v>
      </c>
      <c r="G108" s="7" t="n">
        <v>60</v>
      </c>
      <c r="H108" s="7" t="n">
        <v>40</v>
      </c>
      <c r="I108" s="7" t="n">
        <v>60</v>
      </c>
      <c r="J108" s="7" t="n">
        <v>53</v>
      </c>
      <c r="K108" s="7" t="n">
        <v>55</v>
      </c>
      <c r="L108" s="0" t="str">
        <f aca="false">IF(H108&gt;I108,"ERRO","OK")</f>
        <v>OK</v>
      </c>
      <c r="M108" s="0" t="str">
        <f aca="false">IF(H108&gt;J108,"ERRO","OK")</f>
        <v>OK</v>
      </c>
      <c r="N108" s="0" t="str">
        <f aca="false">IF(I108&lt;J108,"ERRO","OK")</f>
        <v>OK</v>
      </c>
    </row>
    <row r="109" customFormat="false" ht="36.5" hidden="false" customHeight="false" outlineLevel="0" collapsed="false">
      <c r="A109" s="0" t="n">
        <v>39</v>
      </c>
      <c r="B109" s="0" t="n">
        <v>2023</v>
      </c>
      <c r="C109" s="3" t="n">
        <v>44945</v>
      </c>
      <c r="D109" s="8" t="s">
        <v>42</v>
      </c>
      <c r="E109" s="9" t="s">
        <v>62</v>
      </c>
      <c r="F109" s="9" t="s">
        <v>44</v>
      </c>
      <c r="G109" s="11" t="n">
        <v>70</v>
      </c>
      <c r="H109" s="11" t="n">
        <v>60</v>
      </c>
      <c r="I109" s="11" t="n">
        <v>80</v>
      </c>
      <c r="J109" s="11" t="n">
        <v>71</v>
      </c>
      <c r="K109" s="11" t="n">
        <v>70</v>
      </c>
      <c r="L109" s="0" t="str">
        <f aca="false">IF(H109&gt;I109,"ERRO","OK")</f>
        <v>OK</v>
      </c>
      <c r="M109" s="0" t="str">
        <f aca="false">IF(H109&gt;J109,"ERRO","OK")</f>
        <v>OK</v>
      </c>
      <c r="N109" s="0" t="str">
        <f aca="false">IF(I109&lt;J109,"ERRO","OK")</f>
        <v>OK</v>
      </c>
    </row>
    <row r="110" customFormat="false" ht="36.5" hidden="false" customHeight="false" outlineLevel="0" collapsed="false">
      <c r="A110" s="0" t="n">
        <v>39</v>
      </c>
      <c r="B110" s="0" t="n">
        <v>2023</v>
      </c>
      <c r="C110" s="3" t="n">
        <v>44945</v>
      </c>
      <c r="D110" s="4" t="s">
        <v>42</v>
      </c>
      <c r="E110" s="5" t="s">
        <v>63</v>
      </c>
      <c r="F110" s="5" t="s">
        <v>49</v>
      </c>
      <c r="G110" s="7" t="n">
        <v>40</v>
      </c>
      <c r="H110" s="7" t="n">
        <v>35</v>
      </c>
      <c r="I110" s="7" t="n">
        <v>45</v>
      </c>
      <c r="J110" s="7" t="n">
        <v>40</v>
      </c>
      <c r="K110" s="7" t="n">
        <v>40</v>
      </c>
      <c r="L110" s="0" t="str">
        <f aca="false">IF(H110&gt;I110,"ERRO","OK")</f>
        <v>OK</v>
      </c>
      <c r="M110" s="0" t="str">
        <f aca="false">IF(H110&gt;J110,"ERRO","OK")</f>
        <v>OK</v>
      </c>
      <c r="N110" s="0" t="str">
        <f aca="false">IF(I110&lt;J110,"ERRO","OK")</f>
        <v>OK</v>
      </c>
    </row>
    <row r="111" customFormat="false" ht="36.5" hidden="false" customHeight="false" outlineLevel="0" collapsed="false">
      <c r="A111" s="0" t="n">
        <v>39</v>
      </c>
      <c r="B111" s="0" t="n">
        <v>2023</v>
      </c>
      <c r="C111" s="3" t="n">
        <v>44945</v>
      </c>
      <c r="D111" s="8" t="s">
        <v>42</v>
      </c>
      <c r="E111" s="9" t="s">
        <v>64</v>
      </c>
      <c r="F111" s="9" t="s">
        <v>65</v>
      </c>
      <c r="G111" s="11" t="n">
        <v>70</v>
      </c>
      <c r="H111" s="11" t="n">
        <v>60</v>
      </c>
      <c r="I111" s="11" t="n">
        <v>75</v>
      </c>
      <c r="J111" s="11" t="s">
        <v>98</v>
      </c>
      <c r="K111" s="11" t="n">
        <v>70</v>
      </c>
      <c r="L111" s="0" t="str">
        <f aca="false">IF(H111&gt;I111,"ERRO","OK")</f>
        <v>OK</v>
      </c>
      <c r="M111" s="0" t="str">
        <f aca="false">IF(H111&gt;J111,"ERRO","OK")</f>
        <v>OK</v>
      </c>
      <c r="N111" s="0" t="str">
        <f aca="false">IF(I111&lt;J111,"ERRO","OK")</f>
        <v>ERRO</v>
      </c>
    </row>
    <row r="112" customFormat="false" ht="36.5" hidden="false" customHeight="false" outlineLevel="0" collapsed="false">
      <c r="A112" s="0" t="n">
        <v>39</v>
      </c>
      <c r="B112" s="0" t="n">
        <v>2023</v>
      </c>
      <c r="C112" s="3" t="n">
        <v>44945</v>
      </c>
      <c r="D112" s="4" t="s">
        <v>42</v>
      </c>
      <c r="E112" s="5" t="s">
        <v>67</v>
      </c>
      <c r="F112" s="5" t="s">
        <v>44</v>
      </c>
      <c r="G112" s="7" t="n">
        <v>90</v>
      </c>
      <c r="H112" s="7" t="n">
        <v>70</v>
      </c>
      <c r="I112" s="7" t="n">
        <v>100</v>
      </c>
      <c r="J112" s="7" t="s">
        <v>99</v>
      </c>
      <c r="K112" s="7" t="n">
        <v>85</v>
      </c>
      <c r="L112" s="0" t="str">
        <f aca="false">IF(H112&gt;I112,"ERRO","OK")</f>
        <v>OK</v>
      </c>
      <c r="M112" s="0" t="str">
        <f aca="false">IF(H112&gt;J112,"ERRO","OK")</f>
        <v>OK</v>
      </c>
      <c r="N112" s="0" t="str">
        <f aca="false">IF(I112&lt;J112,"ERRO","OK")</f>
        <v>ERRO</v>
      </c>
    </row>
    <row r="113" customFormat="false" ht="36.5" hidden="false" customHeight="false" outlineLevel="0" collapsed="false">
      <c r="A113" s="0" t="n">
        <v>39</v>
      </c>
      <c r="B113" s="0" t="n">
        <v>2023</v>
      </c>
      <c r="C113" s="3" t="n">
        <v>44945</v>
      </c>
      <c r="D113" s="8" t="s">
        <v>42</v>
      </c>
      <c r="E113" s="9" t="s">
        <v>68</v>
      </c>
      <c r="F113" s="9" t="s">
        <v>44</v>
      </c>
      <c r="G113" s="11" t="n">
        <v>120</v>
      </c>
      <c r="H113" s="11" t="n">
        <v>100</v>
      </c>
      <c r="I113" s="11" t="n">
        <v>120</v>
      </c>
      <c r="J113" s="11" t="n">
        <v>115</v>
      </c>
      <c r="K113" s="11" t="n">
        <v>120</v>
      </c>
      <c r="L113" s="0" t="str">
        <f aca="false">IF(H113&gt;I113,"ERRO","OK")</f>
        <v>OK</v>
      </c>
      <c r="M113" s="0" t="str">
        <f aca="false">IF(H113&gt;J113,"ERRO","OK")</f>
        <v>OK</v>
      </c>
      <c r="N113" s="0" t="str">
        <f aca="false">IF(I113&lt;J113,"ERRO","OK")</f>
        <v>OK</v>
      </c>
    </row>
    <row r="114" customFormat="false" ht="14.25" hidden="false" customHeight="false" outlineLevel="0" collapsed="false">
      <c r="A114" s="0" t="n">
        <v>39</v>
      </c>
      <c r="B114" s="0" t="n">
        <v>2023</v>
      </c>
      <c r="C114" s="3" t="n">
        <v>44945</v>
      </c>
      <c r="D114" s="4" t="s">
        <v>69</v>
      </c>
      <c r="E114" s="5" t="s">
        <v>70</v>
      </c>
      <c r="F114" s="5" t="s">
        <v>44</v>
      </c>
      <c r="G114" s="6"/>
      <c r="H114" s="6"/>
      <c r="I114" s="6"/>
      <c r="J114" s="6"/>
      <c r="K114" s="6"/>
      <c r="L114" s="0" t="str">
        <f aca="false">IF(H114&gt;I114,"ERRO","OK")</f>
        <v>OK</v>
      </c>
      <c r="M114" s="0" t="str">
        <f aca="false">IF(H114&gt;J114,"ERRO","OK")</f>
        <v>OK</v>
      </c>
      <c r="N114" s="0" t="str">
        <f aca="false">IF(I114&lt;J114,"ERRO","OK")</f>
        <v>OK</v>
      </c>
    </row>
    <row r="115" customFormat="false" ht="14.25" hidden="false" customHeight="false" outlineLevel="0" collapsed="false">
      <c r="A115" s="0" t="n">
        <v>39</v>
      </c>
      <c r="B115" s="0" t="n">
        <v>2023</v>
      </c>
      <c r="C115" s="3" t="n">
        <v>44945</v>
      </c>
      <c r="D115" s="8" t="s">
        <v>69</v>
      </c>
      <c r="E115" s="9" t="s">
        <v>71</v>
      </c>
      <c r="F115" s="9" t="s">
        <v>44</v>
      </c>
      <c r="G115" s="10"/>
      <c r="H115" s="10"/>
      <c r="I115" s="10"/>
      <c r="J115" s="10"/>
      <c r="K115" s="10"/>
      <c r="L115" s="0" t="str">
        <f aca="false">IF(H115&gt;I115,"ERRO","OK")</f>
        <v>OK</v>
      </c>
      <c r="M115" s="0" t="str">
        <f aca="false">IF(H115&gt;J115,"ERRO","OK")</f>
        <v>OK</v>
      </c>
      <c r="N115" s="0" t="str">
        <f aca="false">IF(I115&lt;J115,"ERRO","OK")</f>
        <v>OK</v>
      </c>
    </row>
    <row r="116" customFormat="false" ht="14.25" hidden="false" customHeight="false" outlineLevel="0" collapsed="false">
      <c r="A116" s="0" t="n">
        <v>39</v>
      </c>
      <c r="B116" s="0" t="n">
        <v>2023</v>
      </c>
      <c r="C116" s="3" t="n">
        <v>44945</v>
      </c>
      <c r="D116" s="4" t="s">
        <v>69</v>
      </c>
      <c r="E116" s="5" t="s">
        <v>72</v>
      </c>
      <c r="F116" s="5" t="s">
        <v>44</v>
      </c>
      <c r="G116" s="6"/>
      <c r="H116" s="6"/>
      <c r="I116" s="6"/>
      <c r="J116" s="6"/>
      <c r="K116" s="6"/>
      <c r="L116" s="0" t="str">
        <f aca="false">IF(H116&gt;I116,"ERRO","OK")</f>
        <v>OK</v>
      </c>
      <c r="M116" s="0" t="str">
        <f aca="false">IF(H116&gt;J116,"ERRO","OK")</f>
        <v>OK</v>
      </c>
      <c r="N116" s="0" t="str">
        <f aca="false">IF(I116&lt;J116,"ERRO","OK")</f>
        <v>OK</v>
      </c>
    </row>
    <row r="117" customFormat="false" ht="14.25" hidden="false" customHeight="false" outlineLevel="0" collapsed="false">
      <c r="A117" s="0" t="n">
        <v>39</v>
      </c>
      <c r="B117" s="0" t="n">
        <v>2023</v>
      </c>
      <c r="C117" s="3" t="n">
        <v>44945</v>
      </c>
      <c r="D117" s="8" t="s">
        <v>69</v>
      </c>
      <c r="E117" s="9" t="s">
        <v>73</v>
      </c>
      <c r="F117" s="9" t="s">
        <v>49</v>
      </c>
      <c r="G117" s="10"/>
      <c r="H117" s="10"/>
      <c r="I117" s="10"/>
      <c r="J117" s="10"/>
      <c r="K117" s="10"/>
      <c r="L117" s="0" t="str">
        <f aca="false">IF(H117&gt;I117,"ERRO","OK")</f>
        <v>OK</v>
      </c>
      <c r="M117" s="0" t="str">
        <f aca="false">IF(H117&gt;J117,"ERRO","OK")</f>
        <v>OK</v>
      </c>
      <c r="N117" s="0" t="str">
        <f aca="false">IF(I117&lt;J117,"ERRO","OK")</f>
        <v>OK</v>
      </c>
    </row>
    <row r="118" customFormat="false" ht="14.25" hidden="false" customHeight="false" outlineLevel="0" collapsed="false">
      <c r="A118" s="0" t="n">
        <v>39</v>
      </c>
      <c r="B118" s="0" t="n">
        <v>2023</v>
      </c>
      <c r="C118" s="3" t="n">
        <v>44945</v>
      </c>
      <c r="D118" s="4" t="s">
        <v>69</v>
      </c>
      <c r="E118" s="5" t="s">
        <v>74</v>
      </c>
      <c r="F118" s="5" t="s">
        <v>75</v>
      </c>
      <c r="G118" s="6"/>
      <c r="H118" s="6"/>
      <c r="I118" s="6"/>
      <c r="J118" s="6"/>
      <c r="K118" s="6"/>
      <c r="L118" s="0" t="str">
        <f aca="false">IF(H118&gt;I118,"ERRO","OK")</f>
        <v>OK</v>
      </c>
      <c r="M118" s="0" t="str">
        <f aca="false">IF(H118&gt;J118,"ERRO","OK")</f>
        <v>OK</v>
      </c>
      <c r="N118" s="0" t="str">
        <f aca="false">IF(I118&lt;J118,"ERRO","OK")</f>
        <v>OK</v>
      </c>
    </row>
    <row r="119" customFormat="false" ht="25" hidden="false" customHeight="false" outlineLevel="0" collapsed="false">
      <c r="A119" s="0" t="n">
        <v>40</v>
      </c>
      <c r="B119" s="0" t="n">
        <v>2023</v>
      </c>
      <c r="C119" s="3" t="n">
        <v>44952</v>
      </c>
      <c r="D119" s="4" t="s">
        <v>15</v>
      </c>
      <c r="E119" s="5" t="s">
        <v>16</v>
      </c>
      <c r="F119" s="5" t="s">
        <v>17</v>
      </c>
      <c r="G119" s="7" t="n">
        <v>42</v>
      </c>
      <c r="H119" s="7" t="n">
        <v>42</v>
      </c>
      <c r="I119" s="7" t="n">
        <v>42</v>
      </c>
      <c r="J119" s="7" t="n">
        <v>42</v>
      </c>
      <c r="K119" s="7" t="n">
        <v>42</v>
      </c>
      <c r="L119" s="0" t="str">
        <f aca="false">IF(H119&gt;I119,"ERRO","OK")</f>
        <v>OK</v>
      </c>
      <c r="M119" s="0" t="str">
        <f aca="false">IF(H119&gt;J119,"ERRO","OK")</f>
        <v>OK</v>
      </c>
      <c r="N119" s="0" t="str">
        <f aca="false">IF(I119&lt;J119,"ERRO","OK")</f>
        <v>OK</v>
      </c>
    </row>
    <row r="120" customFormat="false" ht="25" hidden="false" customHeight="false" outlineLevel="0" collapsed="false">
      <c r="A120" s="0" t="n">
        <v>40</v>
      </c>
      <c r="B120" s="0" t="n">
        <v>2023</v>
      </c>
      <c r="C120" s="3" t="n">
        <v>44952</v>
      </c>
      <c r="D120" s="8" t="s">
        <v>15</v>
      </c>
      <c r="E120" s="9" t="s">
        <v>18</v>
      </c>
      <c r="F120" s="9" t="s">
        <v>17</v>
      </c>
      <c r="G120" s="11" t="n">
        <v>60</v>
      </c>
      <c r="H120" s="11" t="n">
        <v>60</v>
      </c>
      <c r="I120" s="11" t="n">
        <v>60</v>
      </c>
      <c r="J120" s="11" t="n">
        <v>60</v>
      </c>
      <c r="K120" s="11" t="n">
        <v>60</v>
      </c>
      <c r="L120" s="0" t="str">
        <f aca="false">IF(H120&gt;I120,"ERRO","OK")</f>
        <v>OK</v>
      </c>
      <c r="M120" s="0" t="str">
        <f aca="false">IF(H120&gt;J120,"ERRO","OK")</f>
        <v>OK</v>
      </c>
      <c r="N120" s="0" t="str">
        <f aca="false">IF(I120&lt;J120,"ERRO","OK")</f>
        <v>OK</v>
      </c>
    </row>
    <row r="121" customFormat="false" ht="25" hidden="false" customHeight="false" outlineLevel="0" collapsed="false">
      <c r="A121" s="0" t="n">
        <v>40</v>
      </c>
      <c r="B121" s="0" t="n">
        <v>2023</v>
      </c>
      <c r="C121" s="3" t="n">
        <v>44952</v>
      </c>
      <c r="D121" s="4" t="s">
        <v>15</v>
      </c>
      <c r="E121" s="5" t="s">
        <v>19</v>
      </c>
      <c r="F121" s="5" t="s">
        <v>17</v>
      </c>
      <c r="G121" s="6"/>
      <c r="H121" s="7" t="n">
        <v>36</v>
      </c>
      <c r="I121" s="7" t="n">
        <v>42</v>
      </c>
      <c r="J121" s="7" t="n">
        <v>39</v>
      </c>
      <c r="K121" s="7" t="n">
        <v>39</v>
      </c>
      <c r="L121" s="0" t="str">
        <f aca="false">IF(H121&gt;I121,"ERRO","OK")</f>
        <v>OK</v>
      </c>
      <c r="M121" s="0" t="str">
        <f aca="false">IF(H121&gt;J121,"ERRO","OK")</f>
        <v>OK</v>
      </c>
      <c r="N121" s="0" t="str">
        <f aca="false">IF(I121&lt;J121,"ERRO","OK")</f>
        <v>OK</v>
      </c>
    </row>
    <row r="122" customFormat="false" ht="25" hidden="false" customHeight="false" outlineLevel="0" collapsed="false">
      <c r="A122" s="0" t="n">
        <v>40</v>
      </c>
      <c r="B122" s="0" t="n">
        <v>2023</v>
      </c>
      <c r="C122" s="3" t="n">
        <v>44952</v>
      </c>
      <c r="D122" s="8" t="s">
        <v>15</v>
      </c>
      <c r="E122" s="9" t="s">
        <v>20</v>
      </c>
      <c r="F122" s="9" t="s">
        <v>17</v>
      </c>
      <c r="G122" s="11" t="n">
        <v>24</v>
      </c>
      <c r="H122" s="11" t="n">
        <v>18</v>
      </c>
      <c r="I122" s="11" t="n">
        <v>24</v>
      </c>
      <c r="J122" s="11" t="n">
        <v>22</v>
      </c>
      <c r="K122" s="11" t="n">
        <v>24</v>
      </c>
      <c r="L122" s="0" t="str">
        <f aca="false">IF(H122&gt;I122,"ERRO","OK")</f>
        <v>OK</v>
      </c>
      <c r="M122" s="0" t="str">
        <f aca="false">IF(H122&gt;J122,"ERRO","OK")</f>
        <v>OK</v>
      </c>
      <c r="N122" s="0" t="str">
        <f aca="false">IF(I122&lt;J122,"ERRO","OK")</f>
        <v>OK</v>
      </c>
    </row>
    <row r="123" customFormat="false" ht="25" hidden="false" customHeight="false" outlineLevel="0" collapsed="false">
      <c r="A123" s="0" t="n">
        <v>40</v>
      </c>
      <c r="B123" s="0" t="n">
        <v>2023</v>
      </c>
      <c r="C123" s="3" t="n">
        <v>44952</v>
      </c>
      <c r="D123" s="4" t="s">
        <v>15</v>
      </c>
      <c r="E123" s="5" t="s">
        <v>21</v>
      </c>
      <c r="F123" s="5" t="s">
        <v>17</v>
      </c>
      <c r="G123" s="7" t="n">
        <v>24</v>
      </c>
      <c r="H123" s="7" t="n">
        <v>18</v>
      </c>
      <c r="I123" s="7" t="n">
        <v>24</v>
      </c>
      <c r="J123" s="7" t="n">
        <v>22</v>
      </c>
      <c r="K123" s="7" t="n">
        <v>24</v>
      </c>
      <c r="L123" s="0" t="str">
        <f aca="false">IF(H123&gt;I123,"ERRO","OK")</f>
        <v>OK</v>
      </c>
      <c r="M123" s="0" t="str">
        <f aca="false">IF(H123&gt;J123,"ERRO","OK")</f>
        <v>OK</v>
      </c>
      <c r="N123" s="0" t="str">
        <f aca="false">IF(I123&lt;J123,"ERRO","OK")</f>
        <v>OK</v>
      </c>
    </row>
    <row r="124" customFormat="false" ht="25" hidden="false" customHeight="false" outlineLevel="0" collapsed="false">
      <c r="A124" s="0" t="n">
        <v>40</v>
      </c>
      <c r="B124" s="0" t="n">
        <v>2023</v>
      </c>
      <c r="C124" s="3" t="n">
        <v>44952</v>
      </c>
      <c r="D124" s="8" t="s">
        <v>15</v>
      </c>
      <c r="E124" s="9" t="s">
        <v>22</v>
      </c>
      <c r="F124" s="9" t="s">
        <v>17</v>
      </c>
      <c r="G124" s="10"/>
      <c r="H124" s="11" t="n">
        <v>42</v>
      </c>
      <c r="I124" s="11" t="n">
        <v>48</v>
      </c>
      <c r="J124" s="11" t="n">
        <v>45</v>
      </c>
      <c r="K124" s="11" t="n">
        <v>45</v>
      </c>
      <c r="L124" s="0" t="str">
        <f aca="false">IF(H124&gt;I124,"ERRO","OK")</f>
        <v>OK</v>
      </c>
      <c r="M124" s="0" t="str">
        <f aca="false">IF(H124&gt;J124,"ERRO","OK")</f>
        <v>OK</v>
      </c>
      <c r="N124" s="0" t="str">
        <f aca="false">IF(I124&lt;J124,"ERRO","OK")</f>
        <v>OK</v>
      </c>
    </row>
    <row r="125" customFormat="false" ht="25" hidden="false" customHeight="false" outlineLevel="0" collapsed="false">
      <c r="A125" s="0" t="n">
        <v>40</v>
      </c>
      <c r="B125" s="0" t="n">
        <v>2023</v>
      </c>
      <c r="C125" s="3" t="n">
        <v>44952</v>
      </c>
      <c r="D125" s="4" t="s">
        <v>15</v>
      </c>
      <c r="E125" s="5" t="s">
        <v>23</v>
      </c>
      <c r="F125" s="5" t="s">
        <v>17</v>
      </c>
      <c r="G125" s="6"/>
      <c r="H125" s="7" t="n">
        <v>66</v>
      </c>
      <c r="I125" s="7" t="n">
        <v>78</v>
      </c>
      <c r="J125" s="7" t="n">
        <v>72</v>
      </c>
      <c r="K125" s="7" t="n">
        <v>72</v>
      </c>
      <c r="L125" s="0" t="str">
        <f aca="false">IF(H125&gt;I125,"ERRO","OK")</f>
        <v>OK</v>
      </c>
      <c r="M125" s="0" t="str">
        <f aca="false">IF(H125&gt;J125,"ERRO","OK")</f>
        <v>OK</v>
      </c>
      <c r="N125" s="0" t="str">
        <f aca="false">IF(I125&lt;J125,"ERRO","OK")</f>
        <v>OK</v>
      </c>
    </row>
    <row r="126" customFormat="false" ht="25" hidden="false" customHeight="false" outlineLevel="0" collapsed="false">
      <c r="A126" s="0" t="n">
        <v>40</v>
      </c>
      <c r="B126" s="0" t="n">
        <v>2023</v>
      </c>
      <c r="C126" s="3" t="n">
        <v>44952</v>
      </c>
      <c r="D126" s="8" t="s">
        <v>15</v>
      </c>
      <c r="E126" s="9" t="s">
        <v>24</v>
      </c>
      <c r="F126" s="9" t="s">
        <v>17</v>
      </c>
      <c r="G126" s="10"/>
      <c r="H126" s="11" t="n">
        <v>60</v>
      </c>
      <c r="I126" s="11" t="n">
        <v>72</v>
      </c>
      <c r="J126" s="11" t="n">
        <v>66</v>
      </c>
      <c r="K126" s="11" t="n">
        <v>66</v>
      </c>
      <c r="L126" s="0" t="str">
        <f aca="false">IF(H126&gt;I126,"ERRO","OK")</f>
        <v>OK</v>
      </c>
      <c r="M126" s="0" t="str">
        <f aca="false">IF(H126&gt;J126,"ERRO","OK")</f>
        <v>OK</v>
      </c>
      <c r="N126" s="0" t="str">
        <f aca="false">IF(I126&lt;J126,"ERRO","OK")</f>
        <v>OK</v>
      </c>
    </row>
    <row r="127" customFormat="false" ht="25" hidden="false" customHeight="false" outlineLevel="0" collapsed="false">
      <c r="A127" s="0" t="n">
        <v>40</v>
      </c>
      <c r="B127" s="0" t="n">
        <v>2023</v>
      </c>
      <c r="C127" s="3" t="n">
        <v>44952</v>
      </c>
      <c r="D127" s="4" t="s">
        <v>15</v>
      </c>
      <c r="E127" s="5" t="s">
        <v>26</v>
      </c>
      <c r="F127" s="5"/>
      <c r="G127" s="6"/>
      <c r="H127" s="7" t="n">
        <v>15</v>
      </c>
      <c r="I127" s="7" t="n">
        <v>24</v>
      </c>
      <c r="J127" s="7" t="n">
        <v>19</v>
      </c>
      <c r="K127" s="7" t="n">
        <v>18</v>
      </c>
      <c r="L127" s="0" t="str">
        <f aca="false">IF(H127&gt;I127,"ERRO","OK")</f>
        <v>OK</v>
      </c>
      <c r="M127" s="0" t="str">
        <f aca="false">IF(H127&gt;J127,"ERRO","OK")</f>
        <v>OK</v>
      </c>
      <c r="N127" s="0" t="str">
        <f aca="false">IF(I127&lt;J127,"ERRO","OK")</f>
        <v>OK</v>
      </c>
    </row>
    <row r="128" customFormat="false" ht="25" hidden="false" customHeight="false" outlineLevel="0" collapsed="false">
      <c r="A128" s="0" t="n">
        <v>40</v>
      </c>
      <c r="B128" s="0" t="n">
        <v>2023</v>
      </c>
      <c r="C128" s="3" t="n">
        <v>44952</v>
      </c>
      <c r="D128" s="8" t="s">
        <v>15</v>
      </c>
      <c r="E128" s="9" t="s">
        <v>26</v>
      </c>
      <c r="F128" s="9"/>
      <c r="G128" s="10"/>
      <c r="H128" s="11" t="n">
        <v>60</v>
      </c>
      <c r="I128" s="11" t="n">
        <v>84</v>
      </c>
      <c r="J128" s="11" t="n">
        <v>72</v>
      </c>
      <c r="K128" s="11" t="n">
        <v>72</v>
      </c>
      <c r="L128" s="0" t="str">
        <f aca="false">IF(H128&gt;I128,"ERRO","OK")</f>
        <v>OK</v>
      </c>
      <c r="M128" s="0" t="str">
        <f aca="false">IF(H128&gt;J128,"ERRO","OK")</f>
        <v>OK</v>
      </c>
      <c r="N128" s="0" t="str">
        <f aca="false">IF(I128&lt;J128,"ERRO","OK")</f>
        <v>OK</v>
      </c>
    </row>
    <row r="129" customFormat="false" ht="25" hidden="false" customHeight="false" outlineLevel="0" collapsed="false">
      <c r="A129" s="0" t="n">
        <v>40</v>
      </c>
      <c r="B129" s="0" t="n">
        <v>2023</v>
      </c>
      <c r="C129" s="3" t="n">
        <v>44952</v>
      </c>
      <c r="D129" s="4" t="s">
        <v>15</v>
      </c>
      <c r="E129" s="5" t="s">
        <v>27</v>
      </c>
      <c r="F129" s="5" t="s">
        <v>17</v>
      </c>
      <c r="G129" s="7" t="n">
        <v>24</v>
      </c>
      <c r="H129" s="7" t="n">
        <v>18</v>
      </c>
      <c r="I129" s="7" t="n">
        <v>24</v>
      </c>
      <c r="J129" s="7" t="n">
        <v>22</v>
      </c>
      <c r="K129" s="7" t="n">
        <v>24</v>
      </c>
      <c r="L129" s="0" t="str">
        <f aca="false">IF(H129&gt;I129,"ERRO","OK")</f>
        <v>OK</v>
      </c>
      <c r="M129" s="0" t="str">
        <f aca="false">IF(H129&gt;J129,"ERRO","OK")</f>
        <v>OK</v>
      </c>
      <c r="N129" s="0" t="str">
        <f aca="false">IF(I129&lt;J129,"ERRO","OK")</f>
        <v>OK</v>
      </c>
    </row>
    <row r="130" customFormat="false" ht="25" hidden="false" customHeight="false" outlineLevel="0" collapsed="false">
      <c r="A130" s="0" t="n">
        <v>40</v>
      </c>
      <c r="B130" s="0" t="n">
        <v>2023</v>
      </c>
      <c r="C130" s="3" t="n">
        <v>44952</v>
      </c>
      <c r="D130" s="8" t="s">
        <v>15</v>
      </c>
      <c r="E130" s="9" t="s">
        <v>28</v>
      </c>
      <c r="F130" s="9" t="s">
        <v>17</v>
      </c>
      <c r="G130" s="11" t="n">
        <v>60</v>
      </c>
      <c r="H130" s="11" t="n">
        <v>60</v>
      </c>
      <c r="I130" s="11" t="n">
        <v>60</v>
      </c>
      <c r="J130" s="11" t="n">
        <v>60</v>
      </c>
      <c r="K130" s="11" t="n">
        <v>60</v>
      </c>
      <c r="L130" s="0" t="str">
        <f aca="false">IF(H130&gt;I130,"ERRO","OK")</f>
        <v>OK</v>
      </c>
      <c r="M130" s="0" t="str">
        <f aca="false">IF(H130&gt;J130,"ERRO","OK")</f>
        <v>OK</v>
      </c>
      <c r="N130" s="0" t="str">
        <f aca="false">IF(I130&lt;J130,"ERRO","OK")</f>
        <v>OK</v>
      </c>
    </row>
    <row r="131" customFormat="false" ht="25" hidden="false" customHeight="false" outlineLevel="0" collapsed="false">
      <c r="A131" s="0" t="n">
        <v>40</v>
      </c>
      <c r="B131" s="0" t="n">
        <v>2023</v>
      </c>
      <c r="C131" s="3" t="n">
        <v>44952</v>
      </c>
      <c r="D131" s="4" t="s">
        <v>15</v>
      </c>
      <c r="E131" s="5" t="s">
        <v>29</v>
      </c>
      <c r="F131" s="5" t="s">
        <v>30</v>
      </c>
      <c r="G131" s="6"/>
      <c r="H131" s="7" t="n">
        <v>54</v>
      </c>
      <c r="I131" s="7" t="n">
        <v>60</v>
      </c>
      <c r="J131" s="7" t="n">
        <v>57</v>
      </c>
      <c r="K131" s="7" t="n">
        <v>57</v>
      </c>
      <c r="L131" s="0" t="str">
        <f aca="false">IF(H131&gt;I131,"ERRO","OK")</f>
        <v>OK</v>
      </c>
      <c r="M131" s="0" t="str">
        <f aca="false">IF(H131&gt;J131,"ERRO","OK")</f>
        <v>OK</v>
      </c>
      <c r="N131" s="0" t="str">
        <f aca="false">IF(I131&lt;J131,"ERRO","OK")</f>
        <v>OK</v>
      </c>
    </row>
    <row r="132" customFormat="false" ht="25" hidden="false" customHeight="false" outlineLevel="0" collapsed="false">
      <c r="A132" s="0" t="n">
        <v>40</v>
      </c>
      <c r="B132" s="0" t="n">
        <v>2023</v>
      </c>
      <c r="C132" s="3" t="n">
        <v>44952</v>
      </c>
      <c r="D132" s="8" t="s">
        <v>15</v>
      </c>
      <c r="E132" s="9" t="s">
        <v>31</v>
      </c>
      <c r="F132" s="9" t="s">
        <v>17</v>
      </c>
      <c r="G132" s="10"/>
      <c r="H132" s="11" t="n">
        <v>40</v>
      </c>
      <c r="I132" s="11" t="n">
        <v>54</v>
      </c>
      <c r="J132" s="11" t="n">
        <v>47</v>
      </c>
      <c r="K132" s="11" t="n">
        <v>47</v>
      </c>
      <c r="L132" s="0" t="str">
        <f aca="false">IF(H132&gt;I132,"ERRO","OK")</f>
        <v>OK</v>
      </c>
      <c r="M132" s="0" t="str">
        <f aca="false">IF(H132&gt;J132,"ERRO","OK")</f>
        <v>OK</v>
      </c>
      <c r="N132" s="0" t="str">
        <f aca="false">IF(I132&lt;J132,"ERRO","OK")</f>
        <v>OK</v>
      </c>
    </row>
    <row r="133" customFormat="false" ht="25" hidden="false" customHeight="false" outlineLevel="0" collapsed="false">
      <c r="A133" s="0" t="n">
        <v>40</v>
      </c>
      <c r="B133" s="0" t="n">
        <v>2023</v>
      </c>
      <c r="C133" s="3" t="n">
        <v>44952</v>
      </c>
      <c r="D133" s="4" t="s">
        <v>15</v>
      </c>
      <c r="E133" s="5" t="s">
        <v>32</v>
      </c>
      <c r="F133" s="5" t="s">
        <v>17</v>
      </c>
      <c r="G133" s="6"/>
      <c r="H133" s="7" t="n">
        <v>25</v>
      </c>
      <c r="I133" s="7" t="n">
        <v>36</v>
      </c>
      <c r="J133" s="7" t="s">
        <v>100</v>
      </c>
      <c r="K133" s="7" t="n">
        <v>30</v>
      </c>
      <c r="L133" s="0" t="str">
        <f aca="false">IF(H133&gt;I133,"ERRO","OK")</f>
        <v>OK</v>
      </c>
      <c r="M133" s="0" t="str">
        <f aca="false">IF(H133&gt;J133,"ERRO","OK")</f>
        <v>OK</v>
      </c>
      <c r="N133" s="0" t="str">
        <f aca="false">IF(I133&lt;J133,"ERRO","OK")</f>
        <v>ERRO</v>
      </c>
    </row>
    <row r="134" customFormat="false" ht="25" hidden="false" customHeight="false" outlineLevel="0" collapsed="false">
      <c r="A134" s="0" t="n">
        <v>40</v>
      </c>
      <c r="B134" s="0" t="n">
        <v>2023</v>
      </c>
      <c r="C134" s="3" t="n">
        <v>44952</v>
      </c>
      <c r="D134" s="8" t="s">
        <v>15</v>
      </c>
      <c r="E134" s="9" t="s">
        <v>33</v>
      </c>
      <c r="F134" s="9" t="s">
        <v>17</v>
      </c>
      <c r="G134" s="11" t="n">
        <v>42</v>
      </c>
      <c r="H134" s="11" t="n">
        <v>42</v>
      </c>
      <c r="I134" s="11" t="n">
        <v>42</v>
      </c>
      <c r="J134" s="11" t="n">
        <v>42</v>
      </c>
      <c r="K134" s="11" t="n">
        <v>42</v>
      </c>
      <c r="L134" s="0" t="str">
        <f aca="false">IF(H134&gt;I134,"ERRO","OK")</f>
        <v>OK</v>
      </c>
      <c r="M134" s="0" t="str">
        <f aca="false">IF(H134&gt;J134,"ERRO","OK")</f>
        <v>OK</v>
      </c>
      <c r="N134" s="0" t="str">
        <f aca="false">IF(I134&lt;J134,"ERRO","OK")</f>
        <v>OK</v>
      </c>
    </row>
    <row r="135" customFormat="false" ht="25" hidden="false" customHeight="false" outlineLevel="0" collapsed="false">
      <c r="A135" s="0" t="n">
        <v>40</v>
      </c>
      <c r="B135" s="0" t="n">
        <v>2023</v>
      </c>
      <c r="C135" s="3" t="n">
        <v>44952</v>
      </c>
      <c r="D135" s="4" t="s">
        <v>34</v>
      </c>
      <c r="E135" s="5" t="s">
        <v>35</v>
      </c>
      <c r="F135" s="5" t="s">
        <v>36</v>
      </c>
      <c r="G135" s="6"/>
      <c r="H135" s="7" t="n">
        <v>4</v>
      </c>
      <c r="I135" s="7" t="n">
        <v>5</v>
      </c>
      <c r="J135" s="7" t="s">
        <v>101</v>
      </c>
      <c r="K135" s="7" t="s">
        <v>101</v>
      </c>
      <c r="L135" s="0" t="str">
        <f aca="false">IF(H135&gt;I135,"ERRO","OK")</f>
        <v>OK</v>
      </c>
      <c r="M135" s="0" t="str">
        <f aca="false">IF(H135&gt;J135,"ERRO","OK")</f>
        <v>OK</v>
      </c>
      <c r="N135" s="0" t="str">
        <f aca="false">IF(I135&lt;J135,"ERRO","OK")</f>
        <v>ERRO</v>
      </c>
    </row>
    <row r="136" customFormat="false" ht="25" hidden="false" customHeight="false" outlineLevel="0" collapsed="false">
      <c r="A136" s="0" t="n">
        <v>40</v>
      </c>
      <c r="B136" s="0" t="n">
        <v>2023</v>
      </c>
      <c r="C136" s="3" t="n">
        <v>44952</v>
      </c>
      <c r="D136" s="8" t="s">
        <v>34</v>
      </c>
      <c r="E136" s="9" t="s">
        <v>38</v>
      </c>
      <c r="F136" s="9" t="s">
        <v>39</v>
      </c>
      <c r="G136" s="10"/>
      <c r="H136" s="11" t="n">
        <v>18</v>
      </c>
      <c r="I136" s="11" t="n">
        <v>20</v>
      </c>
      <c r="J136" s="11" t="n">
        <v>19</v>
      </c>
      <c r="K136" s="11" t="n">
        <v>19</v>
      </c>
      <c r="L136" s="0" t="str">
        <f aca="false">IF(H136&gt;I136,"ERRO","OK")</f>
        <v>OK</v>
      </c>
      <c r="M136" s="0" t="str">
        <f aca="false">IF(H136&gt;J136,"ERRO","OK")</f>
        <v>OK</v>
      </c>
      <c r="N136" s="0" t="str">
        <f aca="false">IF(I136&lt;J136,"ERRO","OK")</f>
        <v>OK</v>
      </c>
    </row>
    <row r="137" customFormat="false" ht="25" hidden="false" customHeight="false" outlineLevel="0" collapsed="false">
      <c r="A137" s="0" t="n">
        <v>40</v>
      </c>
      <c r="B137" s="0" t="n">
        <v>2023</v>
      </c>
      <c r="C137" s="3" t="n">
        <v>44952</v>
      </c>
      <c r="D137" s="4" t="s">
        <v>34</v>
      </c>
      <c r="E137" s="5" t="s">
        <v>40</v>
      </c>
      <c r="F137" s="5" t="s">
        <v>39</v>
      </c>
      <c r="G137" s="7" t="n">
        <v>25</v>
      </c>
      <c r="H137" s="7" t="n">
        <v>25</v>
      </c>
      <c r="I137" s="7" t="n">
        <v>25</v>
      </c>
      <c r="J137" s="7" t="n">
        <v>25</v>
      </c>
      <c r="K137" s="7" t="n">
        <v>25</v>
      </c>
      <c r="L137" s="0" t="str">
        <f aca="false">IF(H137&gt;I137,"ERRO","OK")</f>
        <v>OK</v>
      </c>
      <c r="M137" s="0" t="str">
        <f aca="false">IF(H137&gt;J137,"ERRO","OK")</f>
        <v>OK</v>
      </c>
      <c r="N137" s="0" t="str">
        <f aca="false">IF(I137&lt;J137,"ERRO","OK")</f>
        <v>OK</v>
      </c>
    </row>
    <row r="138" customFormat="false" ht="36.5" hidden="false" customHeight="false" outlineLevel="0" collapsed="false">
      <c r="A138" s="0" t="n">
        <v>40</v>
      </c>
      <c r="B138" s="0" t="n">
        <v>2023</v>
      </c>
      <c r="C138" s="3" t="n">
        <v>44952</v>
      </c>
      <c r="D138" s="8" t="s">
        <v>42</v>
      </c>
      <c r="E138" s="9" t="s">
        <v>43</v>
      </c>
      <c r="F138" s="9" t="s">
        <v>44</v>
      </c>
      <c r="G138" s="11" t="n">
        <v>50</v>
      </c>
      <c r="H138" s="11" t="n">
        <v>30</v>
      </c>
      <c r="I138" s="11" t="n">
        <v>50</v>
      </c>
      <c r="J138" s="11" t="s">
        <v>102</v>
      </c>
      <c r="K138" s="11" t="n">
        <v>45</v>
      </c>
      <c r="L138" s="0" t="str">
        <f aca="false">IF(H138&gt;I138,"ERRO","OK")</f>
        <v>OK</v>
      </c>
      <c r="M138" s="0" t="str">
        <f aca="false">IF(H138&gt;J138,"ERRO","OK")</f>
        <v>OK</v>
      </c>
      <c r="N138" s="0" t="str">
        <f aca="false">IF(I138&lt;J138,"ERRO","OK")</f>
        <v>ERRO</v>
      </c>
    </row>
    <row r="139" customFormat="false" ht="36.5" hidden="false" customHeight="false" outlineLevel="0" collapsed="false">
      <c r="A139" s="0" t="n">
        <v>40</v>
      </c>
      <c r="B139" s="0" t="n">
        <v>2023</v>
      </c>
      <c r="C139" s="3" t="n">
        <v>44952</v>
      </c>
      <c r="D139" s="4" t="s">
        <v>42</v>
      </c>
      <c r="E139" s="5" t="s">
        <v>46</v>
      </c>
      <c r="F139" s="5" t="s">
        <v>47</v>
      </c>
      <c r="G139" s="7" t="n">
        <v>45</v>
      </c>
      <c r="H139" s="7" t="n">
        <v>35</v>
      </c>
      <c r="I139" s="7" t="n">
        <v>60</v>
      </c>
      <c r="J139" s="7" t="s">
        <v>103</v>
      </c>
      <c r="K139" s="7" t="n">
        <v>45</v>
      </c>
      <c r="L139" s="0" t="str">
        <f aca="false">IF(H139&gt;I139,"ERRO","OK")</f>
        <v>OK</v>
      </c>
      <c r="M139" s="0" t="str">
        <f aca="false">IF(H139&gt;J139,"ERRO","OK")</f>
        <v>OK</v>
      </c>
      <c r="N139" s="0" t="str">
        <f aca="false">IF(I139&lt;J139,"ERRO","OK")</f>
        <v>ERRO</v>
      </c>
    </row>
    <row r="140" customFormat="false" ht="36.5" hidden="false" customHeight="false" outlineLevel="0" collapsed="false">
      <c r="A140" s="0" t="n">
        <v>40</v>
      </c>
      <c r="B140" s="0" t="n">
        <v>2023</v>
      </c>
      <c r="C140" s="3" t="n">
        <v>44952</v>
      </c>
      <c r="D140" s="8" t="s">
        <v>42</v>
      </c>
      <c r="E140" s="9" t="s">
        <v>48</v>
      </c>
      <c r="F140" s="9" t="s">
        <v>49</v>
      </c>
      <c r="G140" s="11" t="n">
        <v>35</v>
      </c>
      <c r="H140" s="11" t="n">
        <v>30</v>
      </c>
      <c r="I140" s="11" t="n">
        <v>45</v>
      </c>
      <c r="J140" s="11" t="s">
        <v>104</v>
      </c>
      <c r="K140" s="11" t="n">
        <v>40</v>
      </c>
      <c r="L140" s="0" t="str">
        <f aca="false">IF(H140&gt;I140,"ERRO","OK")</f>
        <v>OK</v>
      </c>
      <c r="M140" s="0" t="str">
        <f aca="false">IF(H140&gt;J140,"ERRO","OK")</f>
        <v>OK</v>
      </c>
      <c r="N140" s="0" t="str">
        <f aca="false">IF(I140&lt;J140,"ERRO","OK")</f>
        <v>ERRO</v>
      </c>
    </row>
    <row r="141" customFormat="false" ht="36.5" hidden="false" customHeight="false" outlineLevel="0" collapsed="false">
      <c r="A141" s="0" t="n">
        <v>40</v>
      </c>
      <c r="B141" s="0" t="n">
        <v>2023</v>
      </c>
      <c r="C141" s="3" t="n">
        <v>44952</v>
      </c>
      <c r="D141" s="4" t="s">
        <v>42</v>
      </c>
      <c r="E141" s="5" t="s">
        <v>52</v>
      </c>
      <c r="F141" s="5" t="s">
        <v>49</v>
      </c>
      <c r="G141" s="6"/>
      <c r="H141" s="7" t="n">
        <v>120</v>
      </c>
      <c r="I141" s="7" t="n">
        <v>120</v>
      </c>
      <c r="J141" s="7" t="n">
        <v>120</v>
      </c>
      <c r="K141" s="7" t="n">
        <v>120</v>
      </c>
      <c r="L141" s="0" t="str">
        <f aca="false">IF(H141&gt;I141,"ERRO","OK")</f>
        <v>OK</v>
      </c>
      <c r="M141" s="0" t="str">
        <f aca="false">IF(H141&gt;J141,"ERRO","OK")</f>
        <v>OK</v>
      </c>
      <c r="N141" s="0" t="str">
        <f aca="false">IF(I141&lt;J141,"ERRO","OK")</f>
        <v>OK</v>
      </c>
    </row>
    <row r="142" customFormat="false" ht="36.5" hidden="false" customHeight="false" outlineLevel="0" collapsed="false">
      <c r="A142" s="0" t="n">
        <v>40</v>
      </c>
      <c r="B142" s="0" t="n">
        <v>2023</v>
      </c>
      <c r="C142" s="3" t="n">
        <v>44952</v>
      </c>
      <c r="D142" s="8" t="s">
        <v>42</v>
      </c>
      <c r="E142" s="9" t="s">
        <v>53</v>
      </c>
      <c r="F142" s="9" t="s">
        <v>54</v>
      </c>
      <c r="G142" s="11" t="n">
        <v>60</v>
      </c>
      <c r="H142" s="11" t="n">
        <v>50</v>
      </c>
      <c r="I142" s="11" t="n">
        <v>65</v>
      </c>
      <c r="J142" s="11" t="s">
        <v>105</v>
      </c>
      <c r="K142" s="11" t="n">
        <v>60</v>
      </c>
      <c r="L142" s="0" t="str">
        <f aca="false">IF(H142&gt;I142,"ERRO","OK")</f>
        <v>OK</v>
      </c>
      <c r="M142" s="0" t="str">
        <f aca="false">IF(H142&gt;J142,"ERRO","OK")</f>
        <v>OK</v>
      </c>
      <c r="N142" s="0" t="str">
        <f aca="false">IF(I142&lt;J142,"ERRO","OK")</f>
        <v>ERRO</v>
      </c>
    </row>
    <row r="143" customFormat="false" ht="36.5" hidden="false" customHeight="false" outlineLevel="0" collapsed="false">
      <c r="A143" s="0" t="n">
        <v>40</v>
      </c>
      <c r="B143" s="0" t="n">
        <v>2023</v>
      </c>
      <c r="C143" s="3" t="n">
        <v>44952</v>
      </c>
      <c r="D143" s="4" t="s">
        <v>42</v>
      </c>
      <c r="E143" s="5" t="s">
        <v>56</v>
      </c>
      <c r="F143" s="5" t="s">
        <v>47</v>
      </c>
      <c r="G143" s="7" t="n">
        <v>60</v>
      </c>
      <c r="H143" s="7" t="n">
        <v>60</v>
      </c>
      <c r="I143" s="7" t="n">
        <v>80</v>
      </c>
      <c r="J143" s="7" t="n">
        <v>68</v>
      </c>
      <c r="K143" s="7" t="n">
        <v>60</v>
      </c>
      <c r="L143" s="0" t="str">
        <f aca="false">IF(H143&gt;I143,"ERRO","OK")</f>
        <v>OK</v>
      </c>
      <c r="M143" s="0" t="str">
        <f aca="false">IF(H143&gt;J143,"ERRO","OK")</f>
        <v>OK</v>
      </c>
      <c r="N143" s="0" t="str">
        <f aca="false">IF(I143&lt;J143,"ERRO","OK")</f>
        <v>OK</v>
      </c>
    </row>
    <row r="144" customFormat="false" ht="36.5" hidden="false" customHeight="false" outlineLevel="0" collapsed="false">
      <c r="A144" s="0" t="n">
        <v>40</v>
      </c>
      <c r="B144" s="0" t="n">
        <v>2023</v>
      </c>
      <c r="C144" s="3" t="n">
        <v>44952</v>
      </c>
      <c r="D144" s="8" t="s">
        <v>42</v>
      </c>
      <c r="E144" s="9" t="s">
        <v>57</v>
      </c>
      <c r="F144" s="9" t="s">
        <v>47</v>
      </c>
      <c r="G144" s="11" t="n">
        <v>70</v>
      </c>
      <c r="H144" s="11" t="n">
        <v>50</v>
      </c>
      <c r="I144" s="11" t="n">
        <v>80</v>
      </c>
      <c r="J144" s="11" t="s">
        <v>106</v>
      </c>
      <c r="K144" s="11" t="n">
        <v>70</v>
      </c>
      <c r="L144" s="0" t="str">
        <f aca="false">IF(H144&gt;I144,"ERRO","OK")</f>
        <v>OK</v>
      </c>
      <c r="M144" s="0" t="str">
        <f aca="false">IF(H144&gt;J144,"ERRO","OK")</f>
        <v>OK</v>
      </c>
      <c r="N144" s="0" t="str">
        <f aca="false">IF(I144&lt;J144,"ERRO","OK")</f>
        <v>ERRO</v>
      </c>
    </row>
    <row r="145" customFormat="false" ht="36.5" hidden="false" customHeight="false" outlineLevel="0" collapsed="false">
      <c r="A145" s="0" t="n">
        <v>40</v>
      </c>
      <c r="B145" s="0" t="n">
        <v>2023</v>
      </c>
      <c r="C145" s="3" t="n">
        <v>44952</v>
      </c>
      <c r="D145" s="4" t="s">
        <v>42</v>
      </c>
      <c r="E145" s="5" t="s">
        <v>58</v>
      </c>
      <c r="F145" s="5" t="s">
        <v>44</v>
      </c>
      <c r="G145" s="7" t="n">
        <v>70</v>
      </c>
      <c r="H145" s="7" t="n">
        <v>60</v>
      </c>
      <c r="I145" s="7" t="n">
        <v>70</v>
      </c>
      <c r="J145" s="7" t="s">
        <v>88</v>
      </c>
      <c r="K145" s="7" t="n">
        <v>70</v>
      </c>
      <c r="L145" s="0" t="str">
        <f aca="false">IF(H145&gt;I145,"ERRO","OK")</f>
        <v>OK</v>
      </c>
      <c r="M145" s="0" t="str">
        <f aca="false">IF(H145&gt;J145,"ERRO","OK")</f>
        <v>OK</v>
      </c>
      <c r="N145" s="0" t="str">
        <f aca="false">IF(I145&lt;J145,"ERRO","OK")</f>
        <v>ERRO</v>
      </c>
    </row>
    <row r="146" customFormat="false" ht="36.5" hidden="false" customHeight="false" outlineLevel="0" collapsed="false">
      <c r="A146" s="0" t="n">
        <v>40</v>
      </c>
      <c r="B146" s="0" t="n">
        <v>2023</v>
      </c>
      <c r="C146" s="3" t="n">
        <v>44952</v>
      </c>
      <c r="D146" s="8" t="s">
        <v>42</v>
      </c>
      <c r="E146" s="9" t="s">
        <v>60</v>
      </c>
      <c r="F146" s="9" t="s">
        <v>47</v>
      </c>
      <c r="G146" s="10"/>
      <c r="H146" s="11" t="n">
        <v>60</v>
      </c>
      <c r="I146" s="11" t="n">
        <v>70</v>
      </c>
      <c r="J146" s="11" t="n">
        <v>65</v>
      </c>
      <c r="K146" s="11" t="n">
        <v>65</v>
      </c>
      <c r="L146" s="0" t="str">
        <f aca="false">IF(H146&gt;I146,"ERRO","OK")</f>
        <v>OK</v>
      </c>
      <c r="M146" s="0" t="str">
        <f aca="false">IF(H146&gt;J146,"ERRO","OK")</f>
        <v>OK</v>
      </c>
      <c r="N146" s="0" t="str">
        <f aca="false">IF(I146&lt;J146,"ERRO","OK")</f>
        <v>OK</v>
      </c>
    </row>
    <row r="147" customFormat="false" ht="36.5" hidden="false" customHeight="false" outlineLevel="0" collapsed="false">
      <c r="A147" s="0" t="n">
        <v>40</v>
      </c>
      <c r="B147" s="0" t="n">
        <v>2023</v>
      </c>
      <c r="C147" s="3" t="n">
        <v>44952</v>
      </c>
      <c r="D147" s="4" t="s">
        <v>42</v>
      </c>
      <c r="E147" s="5" t="s">
        <v>61</v>
      </c>
      <c r="F147" s="5" t="s">
        <v>44</v>
      </c>
      <c r="G147" s="7" t="n">
        <v>60</v>
      </c>
      <c r="H147" s="7" t="n">
        <v>40</v>
      </c>
      <c r="I147" s="7" t="n">
        <v>60</v>
      </c>
      <c r="J147" s="7" t="n">
        <v>53</v>
      </c>
      <c r="K147" s="7" t="n">
        <v>60</v>
      </c>
      <c r="L147" s="0" t="str">
        <f aca="false">IF(H147&gt;I147,"ERRO","OK")</f>
        <v>OK</v>
      </c>
      <c r="M147" s="0" t="str">
        <f aca="false">IF(H147&gt;J147,"ERRO","OK")</f>
        <v>OK</v>
      </c>
      <c r="N147" s="0" t="str">
        <f aca="false">IF(I147&lt;J147,"ERRO","OK")</f>
        <v>OK</v>
      </c>
    </row>
    <row r="148" customFormat="false" ht="36.5" hidden="false" customHeight="false" outlineLevel="0" collapsed="false">
      <c r="A148" s="0" t="n">
        <v>40</v>
      </c>
      <c r="B148" s="0" t="n">
        <v>2023</v>
      </c>
      <c r="C148" s="3" t="n">
        <v>44952</v>
      </c>
      <c r="D148" s="8" t="s">
        <v>42</v>
      </c>
      <c r="E148" s="9" t="s">
        <v>62</v>
      </c>
      <c r="F148" s="9" t="s">
        <v>44</v>
      </c>
      <c r="G148" s="11" t="n">
        <v>70</v>
      </c>
      <c r="H148" s="11" t="n">
        <v>50</v>
      </c>
      <c r="I148" s="11" t="n">
        <v>90</v>
      </c>
      <c r="J148" s="11" t="s">
        <v>107</v>
      </c>
      <c r="K148" s="11" t="n">
        <v>70</v>
      </c>
      <c r="L148" s="0" t="str">
        <f aca="false">IF(H148&gt;I148,"ERRO","OK")</f>
        <v>OK</v>
      </c>
      <c r="M148" s="0" t="str">
        <f aca="false">IF(H148&gt;J148,"ERRO","OK")</f>
        <v>OK</v>
      </c>
      <c r="N148" s="0" t="str">
        <f aca="false">IF(I148&lt;J148,"ERRO","OK")</f>
        <v>ERRO</v>
      </c>
    </row>
    <row r="149" customFormat="false" ht="36.5" hidden="false" customHeight="false" outlineLevel="0" collapsed="false">
      <c r="A149" s="0" t="n">
        <v>40</v>
      </c>
      <c r="B149" s="0" t="n">
        <v>2023</v>
      </c>
      <c r="C149" s="3" t="n">
        <v>44952</v>
      </c>
      <c r="D149" s="4" t="s">
        <v>42</v>
      </c>
      <c r="E149" s="5" t="s">
        <v>63</v>
      </c>
      <c r="F149" s="5" t="s">
        <v>49</v>
      </c>
      <c r="G149" s="7" t="n">
        <v>40</v>
      </c>
      <c r="H149" s="7" t="n">
        <v>35</v>
      </c>
      <c r="I149" s="7" t="n">
        <v>40</v>
      </c>
      <c r="J149" s="7" t="s">
        <v>108</v>
      </c>
      <c r="K149" s="7" t="n">
        <v>40</v>
      </c>
      <c r="L149" s="0" t="str">
        <f aca="false">IF(H149&gt;I149,"ERRO","OK")</f>
        <v>OK</v>
      </c>
      <c r="M149" s="0" t="str">
        <f aca="false">IF(H149&gt;J149,"ERRO","OK")</f>
        <v>OK</v>
      </c>
      <c r="N149" s="0" t="str">
        <f aca="false">IF(I149&lt;J149,"ERRO","OK")</f>
        <v>ERRO</v>
      </c>
    </row>
    <row r="150" customFormat="false" ht="36.5" hidden="false" customHeight="false" outlineLevel="0" collapsed="false">
      <c r="A150" s="0" t="n">
        <v>40</v>
      </c>
      <c r="B150" s="0" t="n">
        <v>2023</v>
      </c>
      <c r="C150" s="3" t="n">
        <v>44952</v>
      </c>
      <c r="D150" s="8" t="s">
        <v>42</v>
      </c>
      <c r="E150" s="9" t="s">
        <v>64</v>
      </c>
      <c r="F150" s="9" t="s">
        <v>65</v>
      </c>
      <c r="G150" s="11" t="n">
        <v>80</v>
      </c>
      <c r="H150" s="11" t="n">
        <v>80</v>
      </c>
      <c r="I150" s="11" t="n">
        <v>100</v>
      </c>
      <c r="J150" s="11" t="n">
        <v>85</v>
      </c>
      <c r="K150" s="11" t="n">
        <v>80</v>
      </c>
      <c r="L150" s="0" t="str">
        <f aca="false">IF(H150&gt;I150,"ERRO","OK")</f>
        <v>OK</v>
      </c>
      <c r="M150" s="0" t="str">
        <f aca="false">IF(H150&gt;J150,"ERRO","OK")</f>
        <v>OK</v>
      </c>
      <c r="N150" s="0" t="str">
        <f aca="false">IF(I150&lt;J150,"ERRO","OK")</f>
        <v>OK</v>
      </c>
    </row>
    <row r="151" customFormat="false" ht="36.5" hidden="false" customHeight="false" outlineLevel="0" collapsed="false">
      <c r="A151" s="0" t="n">
        <v>40</v>
      </c>
      <c r="B151" s="0" t="n">
        <v>2023</v>
      </c>
      <c r="C151" s="3" t="n">
        <v>44952</v>
      </c>
      <c r="D151" s="4" t="s">
        <v>42</v>
      </c>
      <c r="E151" s="5" t="s">
        <v>67</v>
      </c>
      <c r="F151" s="5" t="s">
        <v>44</v>
      </c>
      <c r="G151" s="7" t="n">
        <v>70</v>
      </c>
      <c r="H151" s="7" t="n">
        <v>70</v>
      </c>
      <c r="I151" s="7" t="n">
        <v>80</v>
      </c>
      <c r="J151" s="7" t="s">
        <v>97</v>
      </c>
      <c r="K151" s="7" t="n">
        <v>70</v>
      </c>
      <c r="L151" s="0" t="str">
        <f aca="false">IF(H151&gt;I151,"ERRO","OK")</f>
        <v>OK</v>
      </c>
      <c r="M151" s="0" t="str">
        <f aca="false">IF(H151&gt;J151,"ERRO","OK")</f>
        <v>OK</v>
      </c>
      <c r="N151" s="0" t="str">
        <f aca="false">IF(I151&lt;J151,"ERRO","OK")</f>
        <v>ERRO</v>
      </c>
    </row>
    <row r="152" customFormat="false" ht="36.5" hidden="false" customHeight="false" outlineLevel="0" collapsed="false">
      <c r="A152" s="0" t="n">
        <v>40</v>
      </c>
      <c r="B152" s="0" t="n">
        <v>2023</v>
      </c>
      <c r="C152" s="3" t="n">
        <v>44952</v>
      </c>
      <c r="D152" s="8" t="s">
        <v>42</v>
      </c>
      <c r="E152" s="9" t="s">
        <v>68</v>
      </c>
      <c r="F152" s="9" t="s">
        <v>44</v>
      </c>
      <c r="G152" s="11" t="n">
        <v>100</v>
      </c>
      <c r="H152" s="11" t="n">
        <v>100</v>
      </c>
      <c r="I152" s="11" t="n">
        <v>120</v>
      </c>
      <c r="J152" s="11" t="s">
        <v>109</v>
      </c>
      <c r="K152" s="11" t="n">
        <v>105</v>
      </c>
      <c r="L152" s="0" t="str">
        <f aca="false">IF(H152&gt;I152,"ERRO","OK")</f>
        <v>OK</v>
      </c>
      <c r="M152" s="0" t="str">
        <f aca="false">IF(H152&gt;J152,"ERRO","OK")</f>
        <v>OK</v>
      </c>
      <c r="N152" s="0" t="str">
        <f aca="false">IF(I152&lt;J152,"ERRO","OK")</f>
        <v>ERRO</v>
      </c>
    </row>
    <row r="153" customFormat="false" ht="14.25" hidden="false" customHeight="false" outlineLevel="0" collapsed="false">
      <c r="A153" s="0" t="n">
        <v>40</v>
      </c>
      <c r="B153" s="0" t="n">
        <v>2023</v>
      </c>
      <c r="C153" s="3" t="n">
        <v>44952</v>
      </c>
      <c r="D153" s="4" t="s">
        <v>69</v>
      </c>
      <c r="E153" s="5" t="s">
        <v>70</v>
      </c>
      <c r="F153" s="5" t="s">
        <v>44</v>
      </c>
      <c r="G153" s="6"/>
      <c r="H153" s="6"/>
      <c r="I153" s="6"/>
      <c r="J153" s="6"/>
      <c r="K153" s="6"/>
      <c r="L153" s="0" t="str">
        <f aca="false">IF(H153&gt;I153,"ERRO","OK")</f>
        <v>OK</v>
      </c>
      <c r="M153" s="0" t="str">
        <f aca="false">IF(H153&gt;J153,"ERRO","OK")</f>
        <v>OK</v>
      </c>
      <c r="N153" s="0" t="str">
        <f aca="false">IF(I153&lt;J153,"ERRO","OK")</f>
        <v>OK</v>
      </c>
    </row>
    <row r="154" customFormat="false" ht="14.25" hidden="false" customHeight="false" outlineLevel="0" collapsed="false">
      <c r="A154" s="0" t="n">
        <v>40</v>
      </c>
      <c r="B154" s="0" t="n">
        <v>2023</v>
      </c>
      <c r="C154" s="3" t="n">
        <v>44952</v>
      </c>
      <c r="D154" s="8" t="s">
        <v>69</v>
      </c>
      <c r="E154" s="9" t="s">
        <v>71</v>
      </c>
      <c r="F154" s="9" t="s">
        <v>44</v>
      </c>
      <c r="G154" s="10"/>
      <c r="H154" s="10"/>
      <c r="I154" s="10"/>
      <c r="J154" s="10"/>
      <c r="K154" s="10"/>
      <c r="L154" s="0" t="str">
        <f aca="false">IF(H154&gt;I154,"ERRO","OK")</f>
        <v>OK</v>
      </c>
      <c r="M154" s="0" t="str">
        <f aca="false">IF(H154&gt;J154,"ERRO","OK")</f>
        <v>OK</v>
      </c>
      <c r="N154" s="0" t="str">
        <f aca="false">IF(I154&lt;J154,"ERRO","OK")</f>
        <v>OK</v>
      </c>
    </row>
    <row r="155" customFormat="false" ht="14.25" hidden="false" customHeight="false" outlineLevel="0" collapsed="false">
      <c r="A155" s="0" t="n">
        <v>40</v>
      </c>
      <c r="B155" s="0" t="n">
        <v>2023</v>
      </c>
      <c r="C155" s="3" t="n">
        <v>44952</v>
      </c>
      <c r="D155" s="4" t="s">
        <v>69</v>
      </c>
      <c r="E155" s="5" t="s">
        <v>72</v>
      </c>
      <c r="F155" s="5" t="s">
        <v>44</v>
      </c>
      <c r="G155" s="6"/>
      <c r="H155" s="6"/>
      <c r="I155" s="6"/>
      <c r="J155" s="6"/>
      <c r="K155" s="6"/>
      <c r="L155" s="0" t="str">
        <f aca="false">IF(H155&gt;I155,"ERRO","OK")</f>
        <v>OK</v>
      </c>
      <c r="M155" s="0" t="str">
        <f aca="false">IF(H155&gt;J155,"ERRO","OK")</f>
        <v>OK</v>
      </c>
      <c r="N155" s="0" t="str">
        <f aca="false">IF(I155&lt;J155,"ERRO","OK")</f>
        <v>OK</v>
      </c>
    </row>
    <row r="156" customFormat="false" ht="14.25" hidden="false" customHeight="false" outlineLevel="0" collapsed="false">
      <c r="A156" s="0" t="n">
        <v>40</v>
      </c>
      <c r="B156" s="0" t="n">
        <v>2023</v>
      </c>
      <c r="C156" s="3" t="n">
        <v>44952</v>
      </c>
      <c r="D156" s="8" t="s">
        <v>69</v>
      </c>
      <c r="E156" s="9" t="s">
        <v>73</v>
      </c>
      <c r="F156" s="9" t="s">
        <v>49</v>
      </c>
      <c r="G156" s="10"/>
      <c r="H156" s="10"/>
      <c r="I156" s="10"/>
      <c r="J156" s="10"/>
      <c r="K156" s="10"/>
      <c r="L156" s="0" t="str">
        <f aca="false">IF(H156&gt;I156,"ERRO","OK")</f>
        <v>OK</v>
      </c>
      <c r="M156" s="0" t="str">
        <f aca="false">IF(H156&gt;J156,"ERRO","OK")</f>
        <v>OK</v>
      </c>
      <c r="N156" s="0" t="str">
        <f aca="false">IF(I156&lt;J156,"ERRO","OK")</f>
        <v>OK</v>
      </c>
    </row>
    <row r="157" customFormat="false" ht="14.25" hidden="false" customHeight="false" outlineLevel="0" collapsed="false">
      <c r="A157" s="0" t="n">
        <v>40</v>
      </c>
      <c r="B157" s="0" t="n">
        <v>2023</v>
      </c>
      <c r="C157" s="3" t="n">
        <v>44952</v>
      </c>
      <c r="D157" s="4" t="s">
        <v>69</v>
      </c>
      <c r="E157" s="5" t="s">
        <v>74</v>
      </c>
      <c r="F157" s="5" t="s">
        <v>75</v>
      </c>
      <c r="G157" s="6"/>
      <c r="H157" s="6"/>
      <c r="I157" s="6"/>
      <c r="J157" s="6"/>
      <c r="K157" s="6"/>
      <c r="L157" s="0" t="str">
        <f aca="false">IF(H157&gt;I157,"ERRO","OK")</f>
        <v>OK</v>
      </c>
      <c r="M157" s="0" t="str">
        <f aca="false">IF(H157&gt;J157,"ERRO","OK")</f>
        <v>OK</v>
      </c>
      <c r="N157" s="0" t="str">
        <f aca="false">IF(I157&lt;J157,"ERRO","OK")</f>
        <v>OK</v>
      </c>
    </row>
    <row r="158" customFormat="false" ht="25" hidden="false" customHeight="false" outlineLevel="0" collapsed="false">
      <c r="A158" s="0" t="n">
        <v>41</v>
      </c>
      <c r="B158" s="0" t="n">
        <v>2023</v>
      </c>
      <c r="C158" s="3" t="n">
        <v>44959</v>
      </c>
      <c r="D158" s="4" t="s">
        <v>15</v>
      </c>
      <c r="E158" s="5" t="s">
        <v>16</v>
      </c>
      <c r="F158" s="5" t="s">
        <v>17</v>
      </c>
      <c r="G158" s="7" t="n">
        <v>42</v>
      </c>
      <c r="H158" s="7" t="n">
        <v>42</v>
      </c>
      <c r="I158" s="7" t="n">
        <v>42</v>
      </c>
      <c r="J158" s="7" t="n">
        <v>42</v>
      </c>
      <c r="K158" s="7" t="n">
        <v>42</v>
      </c>
      <c r="L158" s="0" t="str">
        <f aca="false">IF(H158&gt;I158,"ERRO","OK")</f>
        <v>OK</v>
      </c>
      <c r="M158" s="0" t="str">
        <f aca="false">IF(H158&gt;J158,"ERRO","OK")</f>
        <v>OK</v>
      </c>
      <c r="N158" s="0" t="str">
        <f aca="false">IF(I158&lt;J158,"ERRO","OK")</f>
        <v>OK</v>
      </c>
    </row>
    <row r="159" customFormat="false" ht="25" hidden="false" customHeight="false" outlineLevel="0" collapsed="false">
      <c r="A159" s="0" t="n">
        <v>41</v>
      </c>
      <c r="B159" s="0" t="n">
        <v>2023</v>
      </c>
      <c r="C159" s="3" t="n">
        <v>44959</v>
      </c>
      <c r="D159" s="8" t="s">
        <v>15</v>
      </c>
      <c r="E159" s="9" t="s">
        <v>18</v>
      </c>
      <c r="F159" s="9" t="s">
        <v>17</v>
      </c>
      <c r="G159" s="11" t="n">
        <v>60</v>
      </c>
      <c r="H159" s="11" t="n">
        <v>60</v>
      </c>
      <c r="I159" s="11" t="n">
        <v>60</v>
      </c>
      <c r="J159" s="11" t="n">
        <v>60</v>
      </c>
      <c r="K159" s="11" t="n">
        <v>60</v>
      </c>
      <c r="L159" s="0" t="str">
        <f aca="false">IF(H159&gt;I159,"ERRO","OK")</f>
        <v>OK</v>
      </c>
      <c r="M159" s="0" t="str">
        <f aca="false">IF(H159&gt;J159,"ERRO","OK")</f>
        <v>OK</v>
      </c>
      <c r="N159" s="0" t="str">
        <f aca="false">IF(I159&lt;J159,"ERRO","OK")</f>
        <v>OK</v>
      </c>
    </row>
    <row r="160" customFormat="false" ht="25" hidden="false" customHeight="false" outlineLevel="0" collapsed="false">
      <c r="A160" s="0" t="n">
        <v>41</v>
      </c>
      <c r="B160" s="0" t="n">
        <v>2023</v>
      </c>
      <c r="C160" s="3" t="n">
        <v>44959</v>
      </c>
      <c r="D160" s="4" t="s">
        <v>15</v>
      </c>
      <c r="E160" s="5" t="s">
        <v>19</v>
      </c>
      <c r="F160" s="5" t="s">
        <v>17</v>
      </c>
      <c r="G160" s="7" t="n">
        <v>30</v>
      </c>
      <c r="H160" s="7" t="n">
        <v>30</v>
      </c>
      <c r="I160" s="7" t="n">
        <v>42</v>
      </c>
      <c r="J160" s="7" t="s">
        <v>110</v>
      </c>
      <c r="K160" s="7" t="s">
        <v>111</v>
      </c>
      <c r="L160" s="0" t="str">
        <f aca="false">IF(H160&gt;I160,"ERRO","OK")</f>
        <v>OK</v>
      </c>
      <c r="M160" s="0" t="str">
        <f aca="false">IF(H160&gt;J160,"ERRO","OK")</f>
        <v>OK</v>
      </c>
      <c r="N160" s="0" t="str">
        <f aca="false">IF(I160&lt;J160,"ERRO","OK")</f>
        <v>ERRO</v>
      </c>
    </row>
    <row r="161" customFormat="false" ht="25" hidden="false" customHeight="false" outlineLevel="0" collapsed="false">
      <c r="A161" s="0" t="n">
        <v>41</v>
      </c>
      <c r="B161" s="0" t="n">
        <v>2023</v>
      </c>
      <c r="C161" s="3" t="n">
        <v>44959</v>
      </c>
      <c r="D161" s="8" t="s">
        <v>15</v>
      </c>
      <c r="E161" s="9" t="s">
        <v>20</v>
      </c>
      <c r="F161" s="9" t="s">
        <v>17</v>
      </c>
      <c r="G161" s="11" t="n">
        <v>18</v>
      </c>
      <c r="H161" s="11" t="n">
        <v>18</v>
      </c>
      <c r="I161" s="11" t="n">
        <v>24</v>
      </c>
      <c r="J161" s="11" t="n">
        <v>21</v>
      </c>
      <c r="K161" s="11" t="n">
        <v>21</v>
      </c>
      <c r="L161" s="0" t="str">
        <f aca="false">IF(H161&gt;I161,"ERRO","OK")</f>
        <v>OK</v>
      </c>
      <c r="M161" s="0" t="str">
        <f aca="false">IF(H161&gt;J161,"ERRO","OK")</f>
        <v>OK</v>
      </c>
      <c r="N161" s="0" t="str">
        <f aca="false">IF(I161&lt;J161,"ERRO","OK")</f>
        <v>OK</v>
      </c>
    </row>
    <row r="162" customFormat="false" ht="25" hidden="false" customHeight="false" outlineLevel="0" collapsed="false">
      <c r="A162" s="0" t="n">
        <v>41</v>
      </c>
      <c r="B162" s="0" t="n">
        <v>2023</v>
      </c>
      <c r="C162" s="3" t="n">
        <v>44959</v>
      </c>
      <c r="D162" s="4" t="s">
        <v>15</v>
      </c>
      <c r="E162" s="5" t="s">
        <v>21</v>
      </c>
      <c r="F162" s="5" t="s">
        <v>17</v>
      </c>
      <c r="G162" s="7" t="n">
        <v>18</v>
      </c>
      <c r="H162" s="7" t="n">
        <v>18</v>
      </c>
      <c r="I162" s="7" t="n">
        <v>24</v>
      </c>
      <c r="J162" s="7" t="n">
        <v>21</v>
      </c>
      <c r="K162" s="7" t="n">
        <v>21</v>
      </c>
      <c r="L162" s="0" t="str">
        <f aca="false">IF(H162&gt;I162,"ERRO","OK")</f>
        <v>OK</v>
      </c>
      <c r="M162" s="0" t="str">
        <f aca="false">IF(H162&gt;J162,"ERRO","OK")</f>
        <v>OK</v>
      </c>
      <c r="N162" s="0" t="str">
        <f aca="false">IF(I162&lt;J162,"ERRO","OK")</f>
        <v>OK</v>
      </c>
    </row>
    <row r="163" customFormat="false" ht="25" hidden="false" customHeight="false" outlineLevel="0" collapsed="false">
      <c r="A163" s="0" t="n">
        <v>41</v>
      </c>
      <c r="B163" s="0" t="n">
        <v>2023</v>
      </c>
      <c r="C163" s="3" t="n">
        <v>44959</v>
      </c>
      <c r="D163" s="8" t="s">
        <v>15</v>
      </c>
      <c r="E163" s="9" t="s">
        <v>22</v>
      </c>
      <c r="F163" s="9" t="s">
        <v>17</v>
      </c>
      <c r="G163" s="11" t="n">
        <v>42</v>
      </c>
      <c r="H163" s="11" t="n">
        <v>42</v>
      </c>
      <c r="I163" s="11" t="n">
        <v>48</v>
      </c>
      <c r="J163" s="11" t="n">
        <v>44</v>
      </c>
      <c r="K163" s="11" t="n">
        <v>42</v>
      </c>
      <c r="L163" s="0" t="str">
        <f aca="false">IF(H163&gt;I163,"ERRO","OK")</f>
        <v>OK</v>
      </c>
      <c r="M163" s="0" t="str">
        <f aca="false">IF(H163&gt;J163,"ERRO","OK")</f>
        <v>OK</v>
      </c>
      <c r="N163" s="0" t="str">
        <f aca="false">IF(I163&lt;J163,"ERRO","OK")</f>
        <v>OK</v>
      </c>
    </row>
    <row r="164" customFormat="false" ht="25" hidden="false" customHeight="false" outlineLevel="0" collapsed="false">
      <c r="A164" s="0" t="n">
        <v>41</v>
      </c>
      <c r="B164" s="0" t="n">
        <v>2023</v>
      </c>
      <c r="C164" s="3" t="n">
        <v>44959</v>
      </c>
      <c r="D164" s="4" t="s">
        <v>15</v>
      </c>
      <c r="E164" s="5" t="s">
        <v>23</v>
      </c>
      <c r="F164" s="5" t="s">
        <v>17</v>
      </c>
      <c r="G164" s="6"/>
      <c r="H164" s="7" t="n">
        <v>72</v>
      </c>
      <c r="I164" s="7" t="n">
        <v>78</v>
      </c>
      <c r="J164" s="7" t="n">
        <v>75</v>
      </c>
      <c r="K164" s="7" t="n">
        <v>75</v>
      </c>
      <c r="L164" s="0" t="str">
        <f aca="false">IF(H164&gt;I164,"ERRO","OK")</f>
        <v>OK</v>
      </c>
      <c r="M164" s="0" t="str">
        <f aca="false">IF(H164&gt;J164,"ERRO","OK")</f>
        <v>OK</v>
      </c>
      <c r="N164" s="0" t="str">
        <f aca="false">IF(I164&lt;J164,"ERRO","OK")</f>
        <v>OK</v>
      </c>
    </row>
    <row r="165" customFormat="false" ht="25" hidden="false" customHeight="false" outlineLevel="0" collapsed="false">
      <c r="A165" s="0" t="n">
        <v>41</v>
      </c>
      <c r="B165" s="0" t="n">
        <v>2023</v>
      </c>
      <c r="C165" s="3" t="n">
        <v>44959</v>
      </c>
      <c r="D165" s="8" t="s">
        <v>15</v>
      </c>
      <c r="E165" s="9" t="s">
        <v>24</v>
      </c>
      <c r="F165" s="9" t="s">
        <v>17</v>
      </c>
      <c r="G165" s="10"/>
      <c r="H165" s="11" t="n">
        <v>48</v>
      </c>
      <c r="I165" s="11" t="n">
        <v>60</v>
      </c>
      <c r="J165" s="11" t="n">
        <v>54</v>
      </c>
      <c r="K165" s="11" t="n">
        <v>54</v>
      </c>
      <c r="L165" s="0" t="str">
        <f aca="false">IF(H165&gt;I165,"ERRO","OK")</f>
        <v>OK</v>
      </c>
      <c r="M165" s="0" t="str">
        <f aca="false">IF(H165&gt;J165,"ERRO","OK")</f>
        <v>OK</v>
      </c>
      <c r="N165" s="0" t="str">
        <f aca="false">IF(I165&lt;J165,"ERRO","OK")</f>
        <v>OK</v>
      </c>
    </row>
    <row r="166" customFormat="false" ht="25" hidden="false" customHeight="false" outlineLevel="0" collapsed="false">
      <c r="A166" s="0" t="n">
        <v>41</v>
      </c>
      <c r="B166" s="0" t="n">
        <v>2023</v>
      </c>
      <c r="C166" s="3" t="n">
        <v>44959</v>
      </c>
      <c r="D166" s="4" t="s">
        <v>15</v>
      </c>
      <c r="E166" s="5" t="s">
        <v>26</v>
      </c>
      <c r="F166" s="5"/>
      <c r="G166" s="6"/>
      <c r="H166" s="7" t="n">
        <v>18</v>
      </c>
      <c r="I166" s="7" t="n">
        <v>24</v>
      </c>
      <c r="J166" s="7" t="s">
        <v>92</v>
      </c>
      <c r="K166" s="7" t="n">
        <v>20</v>
      </c>
      <c r="L166" s="0" t="str">
        <f aca="false">IF(H166&gt;I166,"ERRO","OK")</f>
        <v>OK</v>
      </c>
      <c r="M166" s="0" t="str">
        <f aca="false">IF(H166&gt;J166,"ERRO","OK")</f>
        <v>OK</v>
      </c>
      <c r="N166" s="0" t="str">
        <f aca="false">IF(I166&lt;J166,"ERRO","OK")</f>
        <v>ERRO</v>
      </c>
    </row>
    <row r="167" customFormat="false" ht="25" hidden="false" customHeight="false" outlineLevel="0" collapsed="false">
      <c r="A167" s="0" t="n">
        <v>41</v>
      </c>
      <c r="B167" s="0" t="n">
        <v>2023</v>
      </c>
      <c r="C167" s="3" t="n">
        <v>44959</v>
      </c>
      <c r="D167" s="8" t="s">
        <v>15</v>
      </c>
      <c r="E167" s="9" t="s">
        <v>26</v>
      </c>
      <c r="F167" s="9"/>
      <c r="G167" s="10"/>
      <c r="H167" s="11" t="n">
        <v>80</v>
      </c>
      <c r="I167" s="11" t="n">
        <v>80</v>
      </c>
      <c r="J167" s="11" t="n">
        <v>80</v>
      </c>
      <c r="K167" s="11" t="n">
        <v>80</v>
      </c>
      <c r="L167" s="0" t="str">
        <f aca="false">IF(H167&gt;I167,"ERRO","OK")</f>
        <v>OK</v>
      </c>
      <c r="M167" s="0" t="str">
        <f aca="false">IF(H167&gt;J167,"ERRO","OK")</f>
        <v>OK</v>
      </c>
      <c r="N167" s="0" t="str">
        <f aca="false">IF(I167&lt;J167,"ERRO","OK")</f>
        <v>OK</v>
      </c>
    </row>
    <row r="168" customFormat="false" ht="25" hidden="false" customHeight="false" outlineLevel="0" collapsed="false">
      <c r="A168" s="0" t="n">
        <v>41</v>
      </c>
      <c r="B168" s="0" t="n">
        <v>2023</v>
      </c>
      <c r="C168" s="3" t="n">
        <v>44959</v>
      </c>
      <c r="D168" s="4" t="s">
        <v>15</v>
      </c>
      <c r="E168" s="5" t="s">
        <v>27</v>
      </c>
      <c r="F168" s="5" t="s">
        <v>17</v>
      </c>
      <c r="G168" s="7" t="n">
        <v>18</v>
      </c>
      <c r="H168" s="7" t="n">
        <v>18</v>
      </c>
      <c r="I168" s="7" t="n">
        <v>24</v>
      </c>
      <c r="J168" s="7" t="n">
        <v>21</v>
      </c>
      <c r="K168" s="7" t="n">
        <v>21</v>
      </c>
      <c r="L168" s="0" t="str">
        <f aca="false">IF(H168&gt;I168,"ERRO","OK")</f>
        <v>OK</v>
      </c>
      <c r="M168" s="0" t="str">
        <f aca="false">IF(H168&gt;J168,"ERRO","OK")</f>
        <v>OK</v>
      </c>
      <c r="N168" s="0" t="str">
        <f aca="false">IF(I168&lt;J168,"ERRO","OK")</f>
        <v>OK</v>
      </c>
    </row>
    <row r="169" customFormat="false" ht="25" hidden="false" customHeight="false" outlineLevel="0" collapsed="false">
      <c r="A169" s="0" t="n">
        <v>41</v>
      </c>
      <c r="B169" s="0" t="n">
        <v>2023</v>
      </c>
      <c r="C169" s="3" t="n">
        <v>44959</v>
      </c>
      <c r="D169" s="8" t="s">
        <v>15</v>
      </c>
      <c r="E169" s="9" t="s">
        <v>28</v>
      </c>
      <c r="F169" s="9" t="s">
        <v>17</v>
      </c>
      <c r="G169" s="10"/>
      <c r="H169" s="11" t="n">
        <v>36</v>
      </c>
      <c r="I169" s="11" t="n">
        <v>60</v>
      </c>
      <c r="J169" s="11" t="n">
        <v>48</v>
      </c>
      <c r="K169" s="11" t="n">
        <v>48</v>
      </c>
      <c r="L169" s="0" t="str">
        <f aca="false">IF(H169&gt;I169,"ERRO","OK")</f>
        <v>OK</v>
      </c>
      <c r="M169" s="0" t="str">
        <f aca="false">IF(H169&gt;J169,"ERRO","OK")</f>
        <v>OK</v>
      </c>
      <c r="N169" s="0" t="str">
        <f aca="false">IF(I169&lt;J169,"ERRO","OK")</f>
        <v>OK</v>
      </c>
    </row>
    <row r="170" customFormat="false" ht="25" hidden="false" customHeight="false" outlineLevel="0" collapsed="false">
      <c r="A170" s="0" t="n">
        <v>41</v>
      </c>
      <c r="B170" s="0" t="n">
        <v>2023</v>
      </c>
      <c r="C170" s="3" t="n">
        <v>44959</v>
      </c>
      <c r="D170" s="4" t="s">
        <v>15</v>
      </c>
      <c r="E170" s="5" t="s">
        <v>29</v>
      </c>
      <c r="F170" s="5" t="s">
        <v>30</v>
      </c>
      <c r="G170" s="6"/>
      <c r="H170" s="7" t="n">
        <v>36</v>
      </c>
      <c r="I170" s="7" t="n">
        <v>54</v>
      </c>
      <c r="J170" s="7" t="n">
        <v>46</v>
      </c>
      <c r="K170" s="7" t="n">
        <v>48</v>
      </c>
      <c r="L170" s="0" t="str">
        <f aca="false">IF(H170&gt;I170,"ERRO","OK")</f>
        <v>OK</v>
      </c>
      <c r="M170" s="0" t="str">
        <f aca="false">IF(H170&gt;J170,"ERRO","OK")</f>
        <v>OK</v>
      </c>
      <c r="N170" s="0" t="str">
        <f aca="false">IF(I170&lt;J170,"ERRO","OK")</f>
        <v>OK</v>
      </c>
    </row>
    <row r="171" customFormat="false" ht="25" hidden="false" customHeight="false" outlineLevel="0" collapsed="false">
      <c r="A171" s="0" t="n">
        <v>41</v>
      </c>
      <c r="B171" s="0" t="n">
        <v>2023</v>
      </c>
      <c r="C171" s="3" t="n">
        <v>44959</v>
      </c>
      <c r="D171" s="8" t="s">
        <v>15</v>
      </c>
      <c r="E171" s="9" t="s">
        <v>31</v>
      </c>
      <c r="F171" s="9" t="s">
        <v>17</v>
      </c>
      <c r="G171" s="10"/>
      <c r="H171" s="11" t="n">
        <v>40</v>
      </c>
      <c r="I171" s="11" t="n">
        <v>40</v>
      </c>
      <c r="J171" s="11" t="n">
        <v>40</v>
      </c>
      <c r="K171" s="11" t="n">
        <v>40</v>
      </c>
      <c r="L171" s="0" t="str">
        <f aca="false">IF(H171&gt;I171,"ERRO","OK")</f>
        <v>OK</v>
      </c>
      <c r="M171" s="0" t="str">
        <f aca="false">IF(H171&gt;J171,"ERRO","OK")</f>
        <v>OK</v>
      </c>
      <c r="N171" s="0" t="str">
        <f aca="false">IF(I171&lt;J171,"ERRO","OK")</f>
        <v>OK</v>
      </c>
    </row>
    <row r="172" customFormat="false" ht="25" hidden="false" customHeight="false" outlineLevel="0" collapsed="false">
      <c r="A172" s="0" t="n">
        <v>41</v>
      </c>
      <c r="B172" s="0" t="n">
        <v>2023</v>
      </c>
      <c r="C172" s="3" t="n">
        <v>44959</v>
      </c>
      <c r="D172" s="4" t="s">
        <v>15</v>
      </c>
      <c r="E172" s="5" t="s">
        <v>32</v>
      </c>
      <c r="F172" s="5" t="s">
        <v>17</v>
      </c>
      <c r="G172" s="6"/>
      <c r="H172" s="7" t="n">
        <v>25</v>
      </c>
      <c r="I172" s="7" t="n">
        <v>40</v>
      </c>
      <c r="J172" s="7" t="s">
        <v>112</v>
      </c>
      <c r="K172" s="7" t="n">
        <v>30</v>
      </c>
      <c r="L172" s="0" t="str">
        <f aca="false">IF(H172&gt;I172,"ERRO","OK")</f>
        <v>OK</v>
      </c>
      <c r="M172" s="0" t="str">
        <f aca="false">IF(H172&gt;J172,"ERRO","OK")</f>
        <v>OK</v>
      </c>
      <c r="N172" s="0" t="str">
        <f aca="false">IF(I172&lt;J172,"ERRO","OK")</f>
        <v>ERRO</v>
      </c>
    </row>
    <row r="173" customFormat="false" ht="25" hidden="false" customHeight="false" outlineLevel="0" collapsed="false">
      <c r="A173" s="0" t="n">
        <v>41</v>
      </c>
      <c r="B173" s="0" t="n">
        <v>2023</v>
      </c>
      <c r="C173" s="3" t="n">
        <v>44959</v>
      </c>
      <c r="D173" s="8" t="s">
        <v>15</v>
      </c>
      <c r="E173" s="9" t="s">
        <v>33</v>
      </c>
      <c r="F173" s="9" t="s">
        <v>17</v>
      </c>
      <c r="G173" s="11" t="n">
        <v>36</v>
      </c>
      <c r="H173" s="11" t="n">
        <v>36</v>
      </c>
      <c r="I173" s="11" t="n">
        <v>42</v>
      </c>
      <c r="J173" s="11" t="n">
        <v>39</v>
      </c>
      <c r="K173" s="11" t="n">
        <v>39</v>
      </c>
      <c r="L173" s="0" t="str">
        <f aca="false">IF(H173&gt;I173,"ERRO","OK")</f>
        <v>OK</v>
      </c>
      <c r="M173" s="0" t="str">
        <f aca="false">IF(H173&gt;J173,"ERRO","OK")</f>
        <v>OK</v>
      </c>
      <c r="N173" s="0" t="str">
        <f aca="false">IF(I173&lt;J173,"ERRO","OK")</f>
        <v>OK</v>
      </c>
    </row>
    <row r="174" customFormat="false" ht="25" hidden="false" customHeight="false" outlineLevel="0" collapsed="false">
      <c r="A174" s="0" t="n">
        <v>41</v>
      </c>
      <c r="B174" s="0" t="n">
        <v>2023</v>
      </c>
      <c r="C174" s="3" t="n">
        <v>44959</v>
      </c>
      <c r="D174" s="4" t="s">
        <v>34</v>
      </c>
      <c r="E174" s="5" t="s">
        <v>35</v>
      </c>
      <c r="F174" s="5" t="s">
        <v>36</v>
      </c>
      <c r="G174" s="6"/>
      <c r="H174" s="7" t="s">
        <v>78</v>
      </c>
      <c r="I174" s="7" t="n">
        <v>5</v>
      </c>
      <c r="J174" s="7" t="s">
        <v>113</v>
      </c>
      <c r="K174" s="7" t="n">
        <v>4</v>
      </c>
      <c r="L174" s="0" t="str">
        <f aca="false">IF(H174&gt;I174,"ERRO","OK")</f>
        <v>ERRO</v>
      </c>
      <c r="M174" s="0" t="str">
        <f aca="false">IF(H174&gt;J174,"ERRO","OK")</f>
        <v>OK</v>
      </c>
      <c r="N174" s="0" t="str">
        <f aca="false">IF(I174&lt;J174,"ERRO","OK")</f>
        <v>ERRO</v>
      </c>
    </row>
    <row r="175" customFormat="false" ht="25" hidden="false" customHeight="false" outlineLevel="0" collapsed="false">
      <c r="A175" s="0" t="n">
        <v>41</v>
      </c>
      <c r="B175" s="0" t="n">
        <v>2023</v>
      </c>
      <c r="C175" s="3" t="n">
        <v>44959</v>
      </c>
      <c r="D175" s="8" t="s">
        <v>34</v>
      </c>
      <c r="E175" s="9" t="s">
        <v>38</v>
      </c>
      <c r="F175" s="9" t="s">
        <v>39</v>
      </c>
      <c r="G175" s="11" t="n">
        <v>20</v>
      </c>
      <c r="H175" s="11" t="n">
        <v>20</v>
      </c>
      <c r="I175" s="11" t="n">
        <v>22</v>
      </c>
      <c r="J175" s="11" t="s">
        <v>92</v>
      </c>
      <c r="K175" s="11" t="n">
        <v>20</v>
      </c>
      <c r="L175" s="0" t="str">
        <f aca="false">IF(H175&gt;I175,"ERRO","OK")</f>
        <v>OK</v>
      </c>
      <c r="M175" s="0" t="str">
        <f aca="false">IF(H175&gt;J175,"ERRO","OK")</f>
        <v>OK</v>
      </c>
      <c r="N175" s="0" t="str">
        <f aca="false">IF(I175&lt;J175,"ERRO","OK")</f>
        <v>ERRO</v>
      </c>
    </row>
    <row r="176" customFormat="false" ht="25" hidden="false" customHeight="false" outlineLevel="0" collapsed="false">
      <c r="A176" s="0" t="n">
        <v>41</v>
      </c>
      <c r="B176" s="0" t="n">
        <v>2023</v>
      </c>
      <c r="C176" s="3" t="n">
        <v>44959</v>
      </c>
      <c r="D176" s="4" t="s">
        <v>34</v>
      </c>
      <c r="E176" s="5" t="s">
        <v>40</v>
      </c>
      <c r="F176" s="5" t="s">
        <v>39</v>
      </c>
      <c r="G176" s="7" t="n">
        <v>20</v>
      </c>
      <c r="H176" s="7" t="n">
        <v>20</v>
      </c>
      <c r="I176" s="7" t="n">
        <v>30</v>
      </c>
      <c r="J176" s="7" t="s">
        <v>114</v>
      </c>
      <c r="K176" s="7" t="n">
        <v>20</v>
      </c>
      <c r="L176" s="0" t="str">
        <f aca="false">IF(H176&gt;I176,"ERRO","OK")</f>
        <v>OK</v>
      </c>
      <c r="M176" s="0" t="str">
        <f aca="false">IF(H176&gt;J176,"ERRO","OK")</f>
        <v>OK</v>
      </c>
      <c r="N176" s="0" t="str">
        <f aca="false">IF(I176&lt;J176,"ERRO","OK")</f>
        <v>ERRO</v>
      </c>
    </row>
    <row r="177" customFormat="false" ht="36.5" hidden="false" customHeight="false" outlineLevel="0" collapsed="false">
      <c r="A177" s="0" t="n">
        <v>41</v>
      </c>
      <c r="B177" s="0" t="n">
        <v>2023</v>
      </c>
      <c r="C177" s="3" t="n">
        <v>44959</v>
      </c>
      <c r="D177" s="8" t="s">
        <v>42</v>
      </c>
      <c r="E177" s="9" t="s">
        <v>43</v>
      </c>
      <c r="F177" s="9" t="s">
        <v>44</v>
      </c>
      <c r="G177" s="11" t="n">
        <v>35</v>
      </c>
      <c r="H177" s="11" t="n">
        <v>35</v>
      </c>
      <c r="I177" s="11" t="n">
        <v>65</v>
      </c>
      <c r="J177" s="11" t="s">
        <v>115</v>
      </c>
      <c r="K177" s="11" t="n">
        <v>50</v>
      </c>
      <c r="L177" s="0" t="str">
        <f aca="false">IF(H177&gt;I177,"ERRO","OK")</f>
        <v>OK</v>
      </c>
      <c r="M177" s="0" t="str">
        <f aca="false">IF(H177&gt;J177,"ERRO","OK")</f>
        <v>OK</v>
      </c>
      <c r="N177" s="0" t="str">
        <f aca="false">IF(I177&lt;J177,"ERRO","OK")</f>
        <v>ERRO</v>
      </c>
    </row>
    <row r="178" customFormat="false" ht="36.5" hidden="false" customHeight="false" outlineLevel="0" collapsed="false">
      <c r="A178" s="0" t="n">
        <v>41</v>
      </c>
      <c r="B178" s="0" t="n">
        <v>2023</v>
      </c>
      <c r="C178" s="3" t="n">
        <v>44959</v>
      </c>
      <c r="D178" s="4" t="s">
        <v>42</v>
      </c>
      <c r="E178" s="5" t="s">
        <v>46</v>
      </c>
      <c r="F178" s="5" t="s">
        <v>47</v>
      </c>
      <c r="G178" s="7" t="n">
        <v>35</v>
      </c>
      <c r="H178" s="7" t="n">
        <v>35</v>
      </c>
      <c r="I178" s="7" t="n">
        <v>65</v>
      </c>
      <c r="J178" s="7" t="s">
        <v>116</v>
      </c>
      <c r="K178" s="7" t="n">
        <v>55</v>
      </c>
      <c r="L178" s="0" t="str">
        <f aca="false">IF(H178&gt;I178,"ERRO","OK")</f>
        <v>OK</v>
      </c>
      <c r="M178" s="0" t="str">
        <f aca="false">IF(H178&gt;J178,"ERRO","OK")</f>
        <v>OK</v>
      </c>
      <c r="N178" s="0" t="str">
        <f aca="false">IF(I178&lt;J178,"ERRO","OK")</f>
        <v>ERRO</v>
      </c>
    </row>
    <row r="179" customFormat="false" ht="36.5" hidden="false" customHeight="false" outlineLevel="0" collapsed="false">
      <c r="A179" s="0" t="n">
        <v>41</v>
      </c>
      <c r="B179" s="0" t="n">
        <v>2023</v>
      </c>
      <c r="C179" s="3" t="n">
        <v>44959</v>
      </c>
      <c r="D179" s="8" t="s">
        <v>42</v>
      </c>
      <c r="E179" s="9" t="s">
        <v>48</v>
      </c>
      <c r="F179" s="9" t="s">
        <v>49</v>
      </c>
      <c r="G179" s="11" t="n">
        <v>35</v>
      </c>
      <c r="H179" s="11" t="n">
        <v>30</v>
      </c>
      <c r="I179" s="11" t="n">
        <v>50</v>
      </c>
      <c r="J179" s="11" t="s">
        <v>117</v>
      </c>
      <c r="K179" s="11" t="n">
        <v>35</v>
      </c>
      <c r="L179" s="0" t="str">
        <f aca="false">IF(H179&gt;I179,"ERRO","OK")</f>
        <v>OK</v>
      </c>
      <c r="M179" s="0" t="str">
        <f aca="false">IF(H179&gt;J179,"ERRO","OK")</f>
        <v>OK</v>
      </c>
      <c r="N179" s="0" t="str">
        <f aca="false">IF(I179&lt;J179,"ERRO","OK")</f>
        <v>ERRO</v>
      </c>
    </row>
    <row r="180" customFormat="false" ht="36.5" hidden="false" customHeight="false" outlineLevel="0" collapsed="false">
      <c r="A180" s="0" t="n">
        <v>41</v>
      </c>
      <c r="B180" s="0" t="n">
        <v>2023</v>
      </c>
      <c r="C180" s="3" t="n">
        <v>44959</v>
      </c>
      <c r="D180" s="4" t="s">
        <v>42</v>
      </c>
      <c r="E180" s="5" t="s">
        <v>52</v>
      </c>
      <c r="F180" s="5" t="s">
        <v>49</v>
      </c>
      <c r="G180" s="7" t="n">
        <v>100</v>
      </c>
      <c r="H180" s="7" t="n">
        <v>100</v>
      </c>
      <c r="I180" s="7" t="n">
        <v>110</v>
      </c>
      <c r="J180" s="7" t="s">
        <v>118</v>
      </c>
      <c r="K180" s="7" t="n">
        <v>100</v>
      </c>
      <c r="L180" s="0" t="str">
        <f aca="false">IF(H180&gt;I180,"ERRO","OK")</f>
        <v>OK</v>
      </c>
      <c r="M180" s="0" t="str">
        <f aca="false">IF(H180&gt;J180,"ERRO","OK")</f>
        <v>OK</v>
      </c>
      <c r="N180" s="0" t="str">
        <f aca="false">IF(I180&lt;J180,"ERRO","OK")</f>
        <v>ERRO</v>
      </c>
    </row>
    <row r="181" customFormat="false" ht="36.5" hidden="false" customHeight="false" outlineLevel="0" collapsed="false">
      <c r="A181" s="0" t="n">
        <v>41</v>
      </c>
      <c r="B181" s="0" t="n">
        <v>2023</v>
      </c>
      <c r="C181" s="3" t="n">
        <v>44959</v>
      </c>
      <c r="D181" s="8" t="s">
        <v>42</v>
      </c>
      <c r="E181" s="9" t="s">
        <v>53</v>
      </c>
      <c r="F181" s="9" t="s">
        <v>54</v>
      </c>
      <c r="G181" s="11" t="n">
        <v>50</v>
      </c>
      <c r="H181" s="11" t="n">
        <v>40</v>
      </c>
      <c r="I181" s="11" t="n">
        <v>55</v>
      </c>
      <c r="J181" s="11" t="s">
        <v>119</v>
      </c>
      <c r="K181" s="11" t="n">
        <v>50</v>
      </c>
      <c r="L181" s="0" t="str">
        <f aca="false">IF(H181&gt;I181,"ERRO","OK")</f>
        <v>OK</v>
      </c>
      <c r="M181" s="0" t="str">
        <f aca="false">IF(H181&gt;J181,"ERRO","OK")</f>
        <v>OK</v>
      </c>
      <c r="N181" s="0" t="str">
        <f aca="false">IF(I181&lt;J181,"ERRO","OK")</f>
        <v>ERRO</v>
      </c>
    </row>
    <row r="182" customFormat="false" ht="36.5" hidden="false" customHeight="false" outlineLevel="0" collapsed="false">
      <c r="A182" s="0" t="n">
        <v>41</v>
      </c>
      <c r="B182" s="0" t="n">
        <v>2023</v>
      </c>
      <c r="C182" s="3" t="n">
        <v>44959</v>
      </c>
      <c r="D182" s="4" t="s">
        <v>42</v>
      </c>
      <c r="E182" s="5" t="s">
        <v>56</v>
      </c>
      <c r="F182" s="5" t="s">
        <v>47</v>
      </c>
      <c r="G182" s="7" t="n">
        <v>70</v>
      </c>
      <c r="H182" s="7" t="n">
        <v>60</v>
      </c>
      <c r="I182" s="7" t="n">
        <v>70</v>
      </c>
      <c r="J182" s="7" t="s">
        <v>106</v>
      </c>
      <c r="K182" s="7" t="s">
        <v>88</v>
      </c>
      <c r="L182" s="0" t="str">
        <f aca="false">IF(H182&gt;I182,"ERRO","OK")</f>
        <v>OK</v>
      </c>
      <c r="M182" s="0" t="str">
        <f aca="false">IF(H182&gt;J182,"ERRO","OK")</f>
        <v>OK</v>
      </c>
      <c r="N182" s="0" t="str">
        <f aca="false">IF(I182&lt;J182,"ERRO","OK")</f>
        <v>ERRO</v>
      </c>
    </row>
    <row r="183" customFormat="false" ht="36.5" hidden="false" customHeight="false" outlineLevel="0" collapsed="false">
      <c r="A183" s="0" t="n">
        <v>41</v>
      </c>
      <c r="B183" s="0" t="n">
        <v>2023</v>
      </c>
      <c r="C183" s="3" t="n">
        <v>44959</v>
      </c>
      <c r="D183" s="8" t="s">
        <v>42</v>
      </c>
      <c r="E183" s="9" t="s">
        <v>57</v>
      </c>
      <c r="F183" s="9" t="s">
        <v>47</v>
      </c>
      <c r="G183" s="11" t="n">
        <v>70</v>
      </c>
      <c r="H183" s="11" t="n">
        <v>70</v>
      </c>
      <c r="I183" s="11" t="n">
        <v>75</v>
      </c>
      <c r="J183" s="11" t="s">
        <v>107</v>
      </c>
      <c r="K183" s="11" t="n">
        <v>70</v>
      </c>
      <c r="L183" s="0" t="str">
        <f aca="false">IF(H183&gt;I183,"ERRO","OK")</f>
        <v>OK</v>
      </c>
      <c r="M183" s="0" t="str">
        <f aca="false">IF(H183&gt;J183,"ERRO","OK")</f>
        <v>OK</v>
      </c>
      <c r="N183" s="0" t="str">
        <f aca="false">IF(I183&lt;J183,"ERRO","OK")</f>
        <v>ERRO</v>
      </c>
    </row>
    <row r="184" customFormat="false" ht="36.5" hidden="false" customHeight="false" outlineLevel="0" collapsed="false">
      <c r="A184" s="0" t="n">
        <v>41</v>
      </c>
      <c r="B184" s="0" t="n">
        <v>2023</v>
      </c>
      <c r="C184" s="3" t="n">
        <v>44959</v>
      </c>
      <c r="D184" s="4" t="s">
        <v>42</v>
      </c>
      <c r="E184" s="5" t="s">
        <v>58</v>
      </c>
      <c r="F184" s="5" t="s">
        <v>44</v>
      </c>
      <c r="G184" s="7" t="n">
        <v>70</v>
      </c>
      <c r="H184" s="7" t="n">
        <v>60</v>
      </c>
      <c r="I184" s="7" t="n">
        <v>80</v>
      </c>
      <c r="J184" s="7" t="n">
        <v>70</v>
      </c>
      <c r="K184" s="7" t="n">
        <v>70</v>
      </c>
      <c r="L184" s="0" t="str">
        <f aca="false">IF(H184&gt;I184,"ERRO","OK")</f>
        <v>OK</v>
      </c>
      <c r="M184" s="0" t="str">
        <f aca="false">IF(H184&gt;J184,"ERRO","OK")</f>
        <v>OK</v>
      </c>
      <c r="N184" s="0" t="str">
        <f aca="false">IF(I184&lt;J184,"ERRO","OK")</f>
        <v>OK</v>
      </c>
    </row>
    <row r="185" customFormat="false" ht="36.5" hidden="false" customHeight="false" outlineLevel="0" collapsed="false">
      <c r="A185" s="0" t="n">
        <v>41</v>
      </c>
      <c r="B185" s="0" t="n">
        <v>2023</v>
      </c>
      <c r="C185" s="3" t="n">
        <v>44959</v>
      </c>
      <c r="D185" s="8" t="s">
        <v>42</v>
      </c>
      <c r="E185" s="9" t="s">
        <v>60</v>
      </c>
      <c r="F185" s="9" t="s">
        <v>47</v>
      </c>
      <c r="G185" s="10"/>
      <c r="H185" s="11" t="n">
        <v>60</v>
      </c>
      <c r="I185" s="11" t="n">
        <v>60</v>
      </c>
      <c r="J185" s="11" t="n">
        <v>60</v>
      </c>
      <c r="K185" s="11" t="n">
        <v>60</v>
      </c>
      <c r="L185" s="0" t="str">
        <f aca="false">IF(H185&gt;I185,"ERRO","OK")</f>
        <v>OK</v>
      </c>
      <c r="M185" s="0" t="str">
        <f aca="false">IF(H185&gt;J185,"ERRO","OK")</f>
        <v>OK</v>
      </c>
      <c r="N185" s="0" t="str">
        <f aca="false">IF(I185&lt;J185,"ERRO","OK")</f>
        <v>OK</v>
      </c>
    </row>
    <row r="186" customFormat="false" ht="36.5" hidden="false" customHeight="false" outlineLevel="0" collapsed="false">
      <c r="A186" s="0" t="n">
        <v>41</v>
      </c>
      <c r="B186" s="0" t="n">
        <v>2023</v>
      </c>
      <c r="C186" s="3" t="n">
        <v>44959</v>
      </c>
      <c r="D186" s="4" t="s">
        <v>42</v>
      </c>
      <c r="E186" s="5" t="s">
        <v>61</v>
      </c>
      <c r="F186" s="5" t="s">
        <v>44</v>
      </c>
      <c r="G186" s="7" t="n">
        <v>50</v>
      </c>
      <c r="H186" s="7" t="n">
        <v>40</v>
      </c>
      <c r="I186" s="7" t="n">
        <v>50</v>
      </c>
      <c r="J186" s="7" t="s">
        <v>95</v>
      </c>
      <c r="K186" s="7" t="n">
        <v>50</v>
      </c>
      <c r="L186" s="0" t="str">
        <f aca="false">IF(H186&gt;I186,"ERRO","OK")</f>
        <v>OK</v>
      </c>
      <c r="M186" s="0" t="str">
        <f aca="false">IF(H186&gt;J186,"ERRO","OK")</f>
        <v>OK</v>
      </c>
      <c r="N186" s="0" t="str">
        <f aca="false">IF(I186&lt;J186,"ERRO","OK")</f>
        <v>ERRO</v>
      </c>
    </row>
    <row r="187" customFormat="false" ht="36.5" hidden="false" customHeight="false" outlineLevel="0" collapsed="false">
      <c r="A187" s="0" t="n">
        <v>41</v>
      </c>
      <c r="B187" s="0" t="n">
        <v>2023</v>
      </c>
      <c r="C187" s="3" t="n">
        <v>44959</v>
      </c>
      <c r="D187" s="8" t="s">
        <v>42</v>
      </c>
      <c r="E187" s="9" t="s">
        <v>62</v>
      </c>
      <c r="F187" s="9" t="s">
        <v>44</v>
      </c>
      <c r="G187" s="11" t="n">
        <v>80</v>
      </c>
      <c r="H187" s="11" t="n">
        <v>65</v>
      </c>
      <c r="I187" s="11" t="n">
        <v>80</v>
      </c>
      <c r="J187" s="11" t="n">
        <v>75</v>
      </c>
      <c r="K187" s="11" t="n">
        <v>80</v>
      </c>
      <c r="L187" s="0" t="str">
        <f aca="false">IF(H187&gt;I187,"ERRO","OK")</f>
        <v>OK</v>
      </c>
      <c r="M187" s="0" t="str">
        <f aca="false">IF(H187&gt;J187,"ERRO","OK")</f>
        <v>OK</v>
      </c>
      <c r="N187" s="0" t="str">
        <f aca="false">IF(I187&lt;J187,"ERRO","OK")</f>
        <v>OK</v>
      </c>
    </row>
    <row r="188" customFormat="false" ht="36.5" hidden="false" customHeight="false" outlineLevel="0" collapsed="false">
      <c r="A188" s="0" t="n">
        <v>41</v>
      </c>
      <c r="B188" s="0" t="n">
        <v>2023</v>
      </c>
      <c r="C188" s="3" t="n">
        <v>44959</v>
      </c>
      <c r="D188" s="4" t="s">
        <v>42</v>
      </c>
      <c r="E188" s="5" t="s">
        <v>63</v>
      </c>
      <c r="F188" s="5" t="s">
        <v>49</v>
      </c>
      <c r="G188" s="7" t="n">
        <v>35</v>
      </c>
      <c r="H188" s="7" t="n">
        <v>30</v>
      </c>
      <c r="I188" s="7" t="n">
        <v>45</v>
      </c>
      <c r="J188" s="7" t="s">
        <v>120</v>
      </c>
      <c r="K188" s="7" t="n">
        <v>35</v>
      </c>
      <c r="L188" s="0" t="str">
        <f aca="false">IF(H188&gt;I188,"ERRO","OK")</f>
        <v>OK</v>
      </c>
      <c r="M188" s="0" t="str">
        <f aca="false">IF(H188&gt;J188,"ERRO","OK")</f>
        <v>OK</v>
      </c>
      <c r="N188" s="0" t="str">
        <f aca="false">IF(I188&lt;J188,"ERRO","OK")</f>
        <v>ERRO</v>
      </c>
    </row>
    <row r="189" customFormat="false" ht="36.5" hidden="false" customHeight="false" outlineLevel="0" collapsed="false">
      <c r="A189" s="0" t="n">
        <v>41</v>
      </c>
      <c r="B189" s="0" t="n">
        <v>2023</v>
      </c>
      <c r="C189" s="3" t="n">
        <v>44959</v>
      </c>
      <c r="D189" s="8" t="s">
        <v>42</v>
      </c>
      <c r="E189" s="9" t="s">
        <v>64</v>
      </c>
      <c r="F189" s="9" t="s">
        <v>65</v>
      </c>
      <c r="G189" s="11" t="n">
        <v>70</v>
      </c>
      <c r="H189" s="11" t="n">
        <v>70</v>
      </c>
      <c r="I189" s="11" t="n">
        <v>100</v>
      </c>
      <c r="J189" s="11" t="s">
        <v>121</v>
      </c>
      <c r="K189" s="11" t="n">
        <v>70</v>
      </c>
      <c r="L189" s="0" t="str">
        <f aca="false">IF(H189&gt;I189,"ERRO","OK")</f>
        <v>OK</v>
      </c>
      <c r="M189" s="0" t="str">
        <f aca="false">IF(H189&gt;J189,"ERRO","OK")</f>
        <v>OK</v>
      </c>
      <c r="N189" s="0" t="str">
        <f aca="false">IF(I189&lt;J189,"ERRO","OK")</f>
        <v>ERRO</v>
      </c>
    </row>
    <row r="190" customFormat="false" ht="36.5" hidden="false" customHeight="false" outlineLevel="0" collapsed="false">
      <c r="A190" s="0" t="n">
        <v>41</v>
      </c>
      <c r="B190" s="0" t="n">
        <v>2023</v>
      </c>
      <c r="C190" s="3" t="n">
        <v>44959</v>
      </c>
      <c r="D190" s="4" t="s">
        <v>42</v>
      </c>
      <c r="E190" s="5" t="s">
        <v>67</v>
      </c>
      <c r="F190" s="5" t="s">
        <v>44</v>
      </c>
      <c r="G190" s="7" t="n">
        <v>100</v>
      </c>
      <c r="H190" s="7" t="n">
        <v>90</v>
      </c>
      <c r="I190" s="7" t="n">
        <v>110</v>
      </c>
      <c r="J190" s="7" t="s">
        <v>86</v>
      </c>
      <c r="K190" s="7" t="n">
        <v>100</v>
      </c>
      <c r="L190" s="0" t="str">
        <f aca="false">IF(H190&gt;I190,"ERRO","OK")</f>
        <v>OK</v>
      </c>
      <c r="M190" s="0" t="str">
        <f aca="false">IF(H190&gt;J190,"ERRO","OK")</f>
        <v>OK</v>
      </c>
      <c r="N190" s="0" t="str">
        <f aca="false">IF(I190&lt;J190,"ERRO","OK")</f>
        <v>ERRO</v>
      </c>
    </row>
    <row r="191" customFormat="false" ht="36.5" hidden="false" customHeight="false" outlineLevel="0" collapsed="false">
      <c r="A191" s="0" t="n">
        <v>41</v>
      </c>
      <c r="B191" s="0" t="n">
        <v>2023</v>
      </c>
      <c r="C191" s="3" t="n">
        <v>44959</v>
      </c>
      <c r="D191" s="8" t="s">
        <v>42</v>
      </c>
      <c r="E191" s="9" t="s">
        <v>68</v>
      </c>
      <c r="F191" s="9" t="s">
        <v>44</v>
      </c>
      <c r="G191" s="11" t="n">
        <v>35</v>
      </c>
      <c r="H191" s="11" t="n">
        <v>35</v>
      </c>
      <c r="I191" s="11" t="n">
        <v>65</v>
      </c>
      <c r="J191" s="11" t="s">
        <v>115</v>
      </c>
      <c r="K191" s="11" t="n">
        <v>50</v>
      </c>
      <c r="L191" s="0" t="str">
        <f aca="false">IF(H191&gt;I191,"ERRO","OK")</f>
        <v>OK</v>
      </c>
      <c r="M191" s="0" t="str">
        <f aca="false">IF(H191&gt;J191,"ERRO","OK")</f>
        <v>OK</v>
      </c>
      <c r="N191" s="0" t="str">
        <f aca="false">IF(I191&lt;J191,"ERRO","OK")</f>
        <v>ERRO</v>
      </c>
    </row>
    <row r="192" customFormat="false" ht="14.25" hidden="false" customHeight="false" outlineLevel="0" collapsed="false">
      <c r="A192" s="0" t="n">
        <v>41</v>
      </c>
      <c r="B192" s="0" t="n">
        <v>2023</v>
      </c>
      <c r="C192" s="3" t="n">
        <v>44959</v>
      </c>
      <c r="D192" s="4" t="s">
        <v>69</v>
      </c>
      <c r="E192" s="5" t="s">
        <v>70</v>
      </c>
      <c r="F192" s="5" t="s">
        <v>44</v>
      </c>
      <c r="G192" s="6"/>
      <c r="H192" s="6"/>
      <c r="I192" s="6"/>
      <c r="J192" s="6"/>
      <c r="K192" s="6"/>
      <c r="L192" s="0" t="str">
        <f aca="false">IF(H192&gt;I192,"ERRO","OK")</f>
        <v>OK</v>
      </c>
      <c r="M192" s="0" t="str">
        <f aca="false">IF(H192&gt;J192,"ERRO","OK")</f>
        <v>OK</v>
      </c>
      <c r="N192" s="0" t="str">
        <f aca="false">IF(I192&lt;J192,"ERRO","OK")</f>
        <v>OK</v>
      </c>
    </row>
    <row r="193" customFormat="false" ht="14.25" hidden="false" customHeight="false" outlineLevel="0" collapsed="false">
      <c r="A193" s="0" t="n">
        <v>41</v>
      </c>
      <c r="B193" s="0" t="n">
        <v>2023</v>
      </c>
      <c r="C193" s="3" t="n">
        <v>44959</v>
      </c>
      <c r="D193" s="8" t="s">
        <v>69</v>
      </c>
      <c r="E193" s="9" t="s">
        <v>71</v>
      </c>
      <c r="F193" s="9" t="s">
        <v>44</v>
      </c>
      <c r="G193" s="10"/>
      <c r="H193" s="10"/>
      <c r="I193" s="10"/>
      <c r="J193" s="10"/>
      <c r="K193" s="10"/>
      <c r="L193" s="0" t="str">
        <f aca="false">IF(H193&gt;I193,"ERRO","OK")</f>
        <v>OK</v>
      </c>
      <c r="M193" s="0" t="str">
        <f aca="false">IF(H193&gt;J193,"ERRO","OK")</f>
        <v>OK</v>
      </c>
      <c r="N193" s="0" t="str">
        <f aca="false">IF(I193&lt;J193,"ERRO","OK")</f>
        <v>OK</v>
      </c>
    </row>
    <row r="194" customFormat="false" ht="14.25" hidden="false" customHeight="false" outlineLevel="0" collapsed="false">
      <c r="A194" s="0" t="n">
        <v>41</v>
      </c>
      <c r="B194" s="0" t="n">
        <v>2023</v>
      </c>
      <c r="C194" s="3" t="n">
        <v>44959</v>
      </c>
      <c r="D194" s="4" t="s">
        <v>69</v>
      </c>
      <c r="E194" s="5" t="s">
        <v>72</v>
      </c>
      <c r="F194" s="5" t="s">
        <v>44</v>
      </c>
      <c r="G194" s="6"/>
      <c r="H194" s="6"/>
      <c r="I194" s="6"/>
      <c r="J194" s="6"/>
      <c r="K194" s="6"/>
      <c r="L194" s="0" t="str">
        <f aca="false">IF(H194&gt;I194,"ERRO","OK")</f>
        <v>OK</v>
      </c>
      <c r="M194" s="0" t="str">
        <f aca="false">IF(H194&gt;J194,"ERRO","OK")</f>
        <v>OK</v>
      </c>
      <c r="N194" s="0" t="str">
        <f aca="false">IF(I194&lt;J194,"ERRO","OK")</f>
        <v>OK</v>
      </c>
    </row>
    <row r="195" customFormat="false" ht="14.25" hidden="false" customHeight="false" outlineLevel="0" collapsed="false">
      <c r="A195" s="0" t="n">
        <v>41</v>
      </c>
      <c r="B195" s="0" t="n">
        <v>2023</v>
      </c>
      <c r="C195" s="3" t="n">
        <v>44959</v>
      </c>
      <c r="D195" s="8" t="s">
        <v>69</v>
      </c>
      <c r="E195" s="9" t="s">
        <v>73</v>
      </c>
      <c r="F195" s="9" t="s">
        <v>49</v>
      </c>
      <c r="G195" s="10"/>
      <c r="H195" s="10"/>
      <c r="I195" s="10"/>
      <c r="J195" s="10"/>
      <c r="K195" s="10"/>
      <c r="L195" s="0" t="str">
        <f aca="false">IF(H195&gt;I195,"ERRO","OK")</f>
        <v>OK</v>
      </c>
      <c r="M195" s="0" t="str">
        <f aca="false">IF(H195&gt;J195,"ERRO","OK")</f>
        <v>OK</v>
      </c>
      <c r="N195" s="0" t="str">
        <f aca="false">IF(I195&lt;J195,"ERRO","OK")</f>
        <v>OK</v>
      </c>
    </row>
    <row r="196" customFormat="false" ht="14.25" hidden="false" customHeight="false" outlineLevel="0" collapsed="false">
      <c r="A196" s="0" t="n">
        <v>41</v>
      </c>
      <c r="B196" s="0" t="n">
        <v>2023</v>
      </c>
      <c r="C196" s="3" t="n">
        <v>44959</v>
      </c>
      <c r="D196" s="4" t="s">
        <v>69</v>
      </c>
      <c r="E196" s="5" t="s">
        <v>74</v>
      </c>
      <c r="F196" s="5" t="s">
        <v>75</v>
      </c>
      <c r="G196" s="6"/>
      <c r="H196" s="6"/>
      <c r="I196" s="6"/>
      <c r="J196" s="6"/>
      <c r="K196" s="6"/>
      <c r="L196" s="0" t="str">
        <f aca="false">IF(H196&gt;I196,"ERRO","OK")</f>
        <v>OK</v>
      </c>
      <c r="M196" s="0" t="str">
        <f aca="false">IF(H196&gt;J196,"ERRO","OK")</f>
        <v>OK</v>
      </c>
      <c r="N196" s="0" t="str">
        <f aca="false">IF(I196&lt;J196,"ERRO","OK")</f>
        <v>OK</v>
      </c>
    </row>
    <row r="197" customFormat="false" ht="25" hidden="false" customHeight="false" outlineLevel="0" collapsed="false">
      <c r="A197" s="0" t="n">
        <v>42</v>
      </c>
      <c r="B197" s="0" t="n">
        <v>2023</v>
      </c>
      <c r="C197" s="3" t="n">
        <v>44966</v>
      </c>
      <c r="D197" s="4" t="s">
        <v>15</v>
      </c>
      <c r="E197" s="5" t="s">
        <v>16</v>
      </c>
      <c r="F197" s="5" t="s">
        <v>17</v>
      </c>
      <c r="G197" s="6"/>
      <c r="H197" s="7" t="n">
        <v>42</v>
      </c>
      <c r="I197" s="7" t="n">
        <v>48</v>
      </c>
      <c r="J197" s="7" t="n">
        <v>45</v>
      </c>
      <c r="K197" s="7" t="n">
        <v>45</v>
      </c>
      <c r="L197" s="0" t="str">
        <f aca="false">IF(H197&gt;I197,"ERRO","OK")</f>
        <v>OK</v>
      </c>
      <c r="M197" s="0" t="str">
        <f aca="false">IF(H197&gt;J197,"ERRO","OK")</f>
        <v>OK</v>
      </c>
      <c r="N197" s="0" t="str">
        <f aca="false">IF(I197&lt;J197,"ERRO","OK")</f>
        <v>OK</v>
      </c>
    </row>
    <row r="198" customFormat="false" ht="25" hidden="false" customHeight="false" outlineLevel="0" collapsed="false">
      <c r="A198" s="0" t="n">
        <v>42</v>
      </c>
      <c r="B198" s="0" t="n">
        <v>2023</v>
      </c>
      <c r="C198" s="3" t="n">
        <v>44966</v>
      </c>
      <c r="D198" s="8" t="s">
        <v>15</v>
      </c>
      <c r="E198" s="9" t="s">
        <v>18</v>
      </c>
      <c r="F198" s="9" t="s">
        <v>17</v>
      </c>
      <c r="G198" s="11" t="n">
        <v>60</v>
      </c>
      <c r="H198" s="11" t="n">
        <v>60</v>
      </c>
      <c r="I198" s="11" t="n">
        <v>60</v>
      </c>
      <c r="J198" s="11" t="n">
        <v>60</v>
      </c>
      <c r="K198" s="11" t="n">
        <v>60</v>
      </c>
      <c r="L198" s="0" t="str">
        <f aca="false">IF(H198&gt;I198,"ERRO","OK")</f>
        <v>OK</v>
      </c>
      <c r="M198" s="0" t="str">
        <f aca="false">IF(H198&gt;J198,"ERRO","OK")</f>
        <v>OK</v>
      </c>
      <c r="N198" s="0" t="str">
        <f aca="false">IF(I198&lt;J198,"ERRO","OK")</f>
        <v>OK</v>
      </c>
    </row>
    <row r="199" customFormat="false" ht="25" hidden="false" customHeight="false" outlineLevel="0" collapsed="false">
      <c r="A199" s="0" t="n">
        <v>42</v>
      </c>
      <c r="B199" s="0" t="n">
        <v>2023</v>
      </c>
      <c r="C199" s="3" t="n">
        <v>44966</v>
      </c>
      <c r="D199" s="4" t="s">
        <v>15</v>
      </c>
      <c r="E199" s="5" t="s">
        <v>19</v>
      </c>
      <c r="F199" s="5" t="s">
        <v>17</v>
      </c>
      <c r="G199" s="6"/>
      <c r="H199" s="7" t="n">
        <v>24</v>
      </c>
      <c r="I199" s="7" t="n">
        <v>36</v>
      </c>
      <c r="J199" s="7" t="n">
        <v>30</v>
      </c>
      <c r="K199" s="7" t="n">
        <v>30</v>
      </c>
      <c r="L199" s="0" t="str">
        <f aca="false">IF(H199&gt;I199,"ERRO","OK")</f>
        <v>OK</v>
      </c>
      <c r="M199" s="0" t="str">
        <f aca="false">IF(H199&gt;J199,"ERRO","OK")</f>
        <v>OK</v>
      </c>
      <c r="N199" s="0" t="str">
        <f aca="false">IF(I199&lt;J199,"ERRO","OK")</f>
        <v>OK</v>
      </c>
    </row>
    <row r="200" customFormat="false" ht="25" hidden="false" customHeight="false" outlineLevel="0" collapsed="false">
      <c r="A200" s="0" t="n">
        <v>42</v>
      </c>
      <c r="B200" s="0" t="n">
        <v>2023</v>
      </c>
      <c r="C200" s="3" t="n">
        <v>44966</v>
      </c>
      <c r="D200" s="8" t="s">
        <v>15</v>
      </c>
      <c r="E200" s="9" t="s">
        <v>20</v>
      </c>
      <c r="F200" s="9" t="s">
        <v>17</v>
      </c>
      <c r="G200" s="11" t="n">
        <v>18</v>
      </c>
      <c r="H200" s="11" t="n">
        <v>18</v>
      </c>
      <c r="I200" s="11" t="n">
        <v>26</v>
      </c>
      <c r="J200" s="11" t="s">
        <v>122</v>
      </c>
      <c r="K200" s="11" t="n">
        <v>22</v>
      </c>
      <c r="L200" s="0" t="str">
        <f aca="false">IF(H200&gt;I200,"ERRO","OK")</f>
        <v>OK</v>
      </c>
      <c r="M200" s="0" t="str">
        <f aca="false">IF(H200&gt;J200,"ERRO","OK")</f>
        <v>OK</v>
      </c>
      <c r="N200" s="0" t="str">
        <f aca="false">IF(I200&lt;J200,"ERRO","OK")</f>
        <v>ERRO</v>
      </c>
    </row>
    <row r="201" customFormat="false" ht="25" hidden="false" customHeight="false" outlineLevel="0" collapsed="false">
      <c r="A201" s="0" t="n">
        <v>42</v>
      </c>
      <c r="B201" s="0" t="n">
        <v>2023</v>
      </c>
      <c r="C201" s="3" t="n">
        <v>44966</v>
      </c>
      <c r="D201" s="4" t="s">
        <v>15</v>
      </c>
      <c r="E201" s="5" t="s">
        <v>21</v>
      </c>
      <c r="F201" s="5" t="s">
        <v>17</v>
      </c>
      <c r="G201" s="6"/>
      <c r="H201" s="7" t="n">
        <v>18</v>
      </c>
      <c r="I201" s="7" t="n">
        <v>35</v>
      </c>
      <c r="J201" s="7" t="s">
        <v>123</v>
      </c>
      <c r="K201" s="7" t="n">
        <v>23</v>
      </c>
      <c r="L201" s="0" t="str">
        <f aca="false">IF(H201&gt;I201,"ERRO","OK")</f>
        <v>OK</v>
      </c>
      <c r="M201" s="0" t="str">
        <f aca="false">IF(H201&gt;J201,"ERRO","OK")</f>
        <v>OK</v>
      </c>
      <c r="N201" s="0" t="str">
        <f aca="false">IF(I201&lt;J201,"ERRO","OK")</f>
        <v>ERRO</v>
      </c>
    </row>
    <row r="202" customFormat="false" ht="25" hidden="false" customHeight="false" outlineLevel="0" collapsed="false">
      <c r="A202" s="0" t="n">
        <v>42</v>
      </c>
      <c r="B202" s="0" t="n">
        <v>2023</v>
      </c>
      <c r="C202" s="3" t="n">
        <v>44966</v>
      </c>
      <c r="D202" s="8" t="s">
        <v>15</v>
      </c>
      <c r="E202" s="9" t="s">
        <v>22</v>
      </c>
      <c r="F202" s="9" t="s">
        <v>17</v>
      </c>
      <c r="G202" s="10"/>
      <c r="H202" s="11" t="n">
        <v>48</v>
      </c>
      <c r="I202" s="11" t="n">
        <v>48</v>
      </c>
      <c r="J202" s="11" t="n">
        <v>48</v>
      </c>
      <c r="K202" s="11" t="n">
        <v>48</v>
      </c>
      <c r="L202" s="0" t="str">
        <f aca="false">IF(H202&gt;I202,"ERRO","OK")</f>
        <v>OK</v>
      </c>
      <c r="M202" s="0" t="str">
        <f aca="false">IF(H202&gt;J202,"ERRO","OK")</f>
        <v>OK</v>
      </c>
      <c r="N202" s="0" t="str">
        <f aca="false">IF(I202&lt;J202,"ERRO","OK")</f>
        <v>OK</v>
      </c>
    </row>
    <row r="203" customFormat="false" ht="25" hidden="false" customHeight="false" outlineLevel="0" collapsed="false">
      <c r="A203" s="0" t="n">
        <v>42</v>
      </c>
      <c r="B203" s="0" t="n">
        <v>2023</v>
      </c>
      <c r="C203" s="3" t="n">
        <v>44966</v>
      </c>
      <c r="D203" s="4" t="s">
        <v>15</v>
      </c>
      <c r="E203" s="5" t="s">
        <v>23</v>
      </c>
      <c r="F203" s="5" t="s">
        <v>17</v>
      </c>
      <c r="G203" s="7" t="n">
        <v>72</v>
      </c>
      <c r="H203" s="7" t="n">
        <v>48</v>
      </c>
      <c r="I203" s="7" t="n">
        <v>72</v>
      </c>
      <c r="J203" s="7" t="n">
        <v>64</v>
      </c>
      <c r="K203" s="7" t="n">
        <v>72</v>
      </c>
      <c r="L203" s="0" t="str">
        <f aca="false">IF(H203&gt;I203,"ERRO","OK")</f>
        <v>OK</v>
      </c>
      <c r="M203" s="0" t="str">
        <f aca="false">IF(H203&gt;J203,"ERRO","OK")</f>
        <v>OK</v>
      </c>
      <c r="N203" s="0" t="str">
        <f aca="false">IF(I203&lt;J203,"ERRO","OK")</f>
        <v>OK</v>
      </c>
    </row>
    <row r="204" customFormat="false" ht="25" hidden="false" customHeight="false" outlineLevel="0" collapsed="false">
      <c r="A204" s="0" t="n">
        <v>42</v>
      </c>
      <c r="B204" s="0" t="n">
        <v>2023</v>
      </c>
      <c r="C204" s="3" t="n">
        <v>44966</v>
      </c>
      <c r="D204" s="8" t="s">
        <v>15</v>
      </c>
      <c r="E204" s="9" t="s">
        <v>24</v>
      </c>
      <c r="F204" s="9" t="s">
        <v>17</v>
      </c>
      <c r="G204" s="11" t="n">
        <v>72</v>
      </c>
      <c r="H204" s="11" t="n">
        <v>72</v>
      </c>
      <c r="I204" s="11" t="n">
        <v>72</v>
      </c>
      <c r="J204" s="11" t="n">
        <v>72</v>
      </c>
      <c r="K204" s="11" t="n">
        <v>72</v>
      </c>
      <c r="L204" s="0" t="str">
        <f aca="false">IF(H204&gt;I204,"ERRO","OK")</f>
        <v>OK</v>
      </c>
      <c r="M204" s="0" t="str">
        <f aca="false">IF(H204&gt;J204,"ERRO","OK")</f>
        <v>OK</v>
      </c>
      <c r="N204" s="0" t="str">
        <f aca="false">IF(I204&lt;J204,"ERRO","OK")</f>
        <v>OK</v>
      </c>
    </row>
    <row r="205" customFormat="false" ht="25" hidden="false" customHeight="false" outlineLevel="0" collapsed="false">
      <c r="A205" s="0" t="n">
        <v>42</v>
      </c>
      <c r="B205" s="0" t="n">
        <v>2023</v>
      </c>
      <c r="C205" s="3" t="n">
        <v>44966</v>
      </c>
      <c r="D205" s="4" t="s">
        <v>15</v>
      </c>
      <c r="E205" s="5" t="s">
        <v>25</v>
      </c>
      <c r="F205" s="5" t="s">
        <v>17</v>
      </c>
      <c r="G205" s="7" t="n">
        <v>24</v>
      </c>
      <c r="H205" s="7" t="n">
        <v>15</v>
      </c>
      <c r="I205" s="7" t="n">
        <v>24</v>
      </c>
      <c r="J205" s="7" t="s">
        <v>124</v>
      </c>
      <c r="K205" s="7" t="n">
        <v>21</v>
      </c>
      <c r="L205" s="0" t="str">
        <f aca="false">IF(H205&gt;I205,"ERRO","OK")</f>
        <v>OK</v>
      </c>
      <c r="M205" s="0" t="str">
        <f aca="false">IF(H205&gt;J205,"ERRO","OK")</f>
        <v>OK</v>
      </c>
      <c r="N205" s="0" t="str">
        <f aca="false">IF(I205&lt;J205,"ERRO","OK")</f>
        <v>ERRO</v>
      </c>
    </row>
    <row r="206" customFormat="false" ht="25" hidden="false" customHeight="false" outlineLevel="0" collapsed="false">
      <c r="A206" s="0" t="n">
        <v>42</v>
      </c>
      <c r="B206" s="0" t="n">
        <v>2023</v>
      </c>
      <c r="C206" s="3" t="n">
        <v>44966</v>
      </c>
      <c r="D206" s="8" t="s">
        <v>15</v>
      </c>
      <c r="E206" s="9" t="s">
        <v>26</v>
      </c>
      <c r="F206" s="9"/>
      <c r="G206" s="10"/>
      <c r="H206" s="11" t="n">
        <v>60</v>
      </c>
      <c r="I206" s="11" t="n">
        <v>78</v>
      </c>
      <c r="J206" s="11" t="s">
        <v>125</v>
      </c>
      <c r="K206" s="11" t="n">
        <v>70</v>
      </c>
      <c r="L206" s="0" t="str">
        <f aca="false">IF(H206&gt;I206,"ERRO","OK")</f>
        <v>OK</v>
      </c>
      <c r="M206" s="0" t="str">
        <f aca="false">IF(H206&gt;J206,"ERRO","OK")</f>
        <v>OK</v>
      </c>
      <c r="N206" s="0" t="str">
        <f aca="false">IF(I206&lt;J206,"ERRO","OK")</f>
        <v>ERRO</v>
      </c>
    </row>
    <row r="207" customFormat="false" ht="25" hidden="false" customHeight="false" outlineLevel="0" collapsed="false">
      <c r="A207" s="0" t="n">
        <v>42</v>
      </c>
      <c r="B207" s="0" t="n">
        <v>2023</v>
      </c>
      <c r="C207" s="3" t="n">
        <v>44966</v>
      </c>
      <c r="D207" s="4" t="s">
        <v>15</v>
      </c>
      <c r="E207" s="5" t="s">
        <v>27</v>
      </c>
      <c r="F207" s="5" t="s">
        <v>17</v>
      </c>
      <c r="G207" s="7" t="n">
        <v>18</v>
      </c>
      <c r="H207" s="7" t="n">
        <v>18</v>
      </c>
      <c r="I207" s="7" t="n">
        <v>24</v>
      </c>
      <c r="J207" s="7" t="s">
        <v>126</v>
      </c>
      <c r="K207" s="7" t="n">
        <v>20</v>
      </c>
      <c r="L207" s="0" t="str">
        <f aca="false">IF(H207&gt;I207,"ERRO","OK")</f>
        <v>OK</v>
      </c>
      <c r="M207" s="0" t="str">
        <f aca="false">IF(H207&gt;J207,"ERRO","OK")</f>
        <v>OK</v>
      </c>
      <c r="N207" s="0" t="str">
        <f aca="false">IF(I207&lt;J207,"ERRO","OK")</f>
        <v>ERRO</v>
      </c>
    </row>
    <row r="208" customFormat="false" ht="25" hidden="false" customHeight="false" outlineLevel="0" collapsed="false">
      <c r="A208" s="0" t="n">
        <v>42</v>
      </c>
      <c r="B208" s="0" t="n">
        <v>2023</v>
      </c>
      <c r="C208" s="3" t="n">
        <v>44966</v>
      </c>
      <c r="D208" s="8" t="s">
        <v>15</v>
      </c>
      <c r="E208" s="9" t="s">
        <v>28</v>
      </c>
      <c r="F208" s="9" t="s">
        <v>17</v>
      </c>
      <c r="G208" s="10"/>
      <c r="H208" s="11" t="n">
        <v>54</v>
      </c>
      <c r="I208" s="11" t="n">
        <v>60</v>
      </c>
      <c r="J208" s="11" t="n">
        <v>57</v>
      </c>
      <c r="K208" s="11" t="n">
        <v>57</v>
      </c>
      <c r="L208" s="0" t="str">
        <f aca="false">IF(H208&gt;I208,"ERRO","OK")</f>
        <v>OK</v>
      </c>
      <c r="M208" s="0" t="str">
        <f aca="false">IF(H208&gt;J208,"ERRO","OK")</f>
        <v>OK</v>
      </c>
      <c r="N208" s="0" t="str">
        <f aca="false">IF(I208&lt;J208,"ERRO","OK")</f>
        <v>OK</v>
      </c>
    </row>
    <row r="209" customFormat="false" ht="25" hidden="false" customHeight="false" outlineLevel="0" collapsed="false">
      <c r="A209" s="0" t="n">
        <v>42</v>
      </c>
      <c r="B209" s="0" t="n">
        <v>2023</v>
      </c>
      <c r="C209" s="3" t="n">
        <v>44966</v>
      </c>
      <c r="D209" s="4" t="s">
        <v>15</v>
      </c>
      <c r="E209" s="5" t="s">
        <v>29</v>
      </c>
      <c r="F209" s="5" t="s">
        <v>30</v>
      </c>
      <c r="G209" s="6"/>
      <c r="H209" s="7" t="n">
        <v>60</v>
      </c>
      <c r="I209" s="7" t="n">
        <v>60</v>
      </c>
      <c r="J209" s="7" t="n">
        <v>60</v>
      </c>
      <c r="K209" s="7" t="n">
        <v>60</v>
      </c>
      <c r="L209" s="0" t="str">
        <f aca="false">IF(H209&gt;I209,"ERRO","OK")</f>
        <v>OK</v>
      </c>
      <c r="M209" s="0" t="str">
        <f aca="false">IF(H209&gt;J209,"ERRO","OK")</f>
        <v>OK</v>
      </c>
      <c r="N209" s="0" t="str">
        <f aca="false">IF(I209&lt;J209,"ERRO","OK")</f>
        <v>OK</v>
      </c>
    </row>
    <row r="210" customFormat="false" ht="25" hidden="false" customHeight="false" outlineLevel="0" collapsed="false">
      <c r="A210" s="0" t="n">
        <v>42</v>
      </c>
      <c r="B210" s="0" t="n">
        <v>2023</v>
      </c>
      <c r="C210" s="3" t="n">
        <v>44966</v>
      </c>
      <c r="D210" s="8" t="s">
        <v>15</v>
      </c>
      <c r="E210" s="9" t="s">
        <v>31</v>
      </c>
      <c r="F210" s="9" t="s">
        <v>17</v>
      </c>
      <c r="G210" s="10"/>
      <c r="H210" s="11" t="n">
        <v>48</v>
      </c>
      <c r="I210" s="11" t="n">
        <v>60</v>
      </c>
      <c r="J210" s="11" t="n">
        <v>54</v>
      </c>
      <c r="K210" s="11" t="n">
        <v>54</v>
      </c>
      <c r="L210" s="0" t="str">
        <f aca="false">IF(H210&gt;I210,"ERRO","OK")</f>
        <v>OK</v>
      </c>
      <c r="M210" s="0" t="str">
        <f aca="false">IF(H210&gt;J210,"ERRO","OK")</f>
        <v>OK</v>
      </c>
      <c r="N210" s="0" t="str">
        <f aca="false">IF(I210&lt;J210,"ERRO","OK")</f>
        <v>OK</v>
      </c>
    </row>
    <row r="211" customFormat="false" ht="25" hidden="false" customHeight="false" outlineLevel="0" collapsed="false">
      <c r="A211" s="0" t="n">
        <v>42</v>
      </c>
      <c r="B211" s="0" t="n">
        <v>2023</v>
      </c>
      <c r="C211" s="3" t="n">
        <v>44966</v>
      </c>
      <c r="D211" s="4" t="s">
        <v>15</v>
      </c>
      <c r="E211" s="5" t="s">
        <v>32</v>
      </c>
      <c r="F211" s="5" t="s">
        <v>17</v>
      </c>
      <c r="G211" s="7" t="n">
        <v>36</v>
      </c>
      <c r="H211" s="7" t="n">
        <v>35</v>
      </c>
      <c r="I211" s="7" t="n">
        <v>40</v>
      </c>
      <c r="J211" s="7" t="s">
        <v>127</v>
      </c>
      <c r="K211" s="7" t="n">
        <v>36</v>
      </c>
      <c r="L211" s="0" t="str">
        <f aca="false">IF(H211&gt;I211,"ERRO","OK")</f>
        <v>OK</v>
      </c>
      <c r="M211" s="0" t="str">
        <f aca="false">IF(H211&gt;J211,"ERRO","OK")</f>
        <v>OK</v>
      </c>
      <c r="N211" s="0" t="str">
        <f aca="false">IF(I211&lt;J211,"ERRO","OK")</f>
        <v>ERRO</v>
      </c>
    </row>
    <row r="212" customFormat="false" ht="25" hidden="false" customHeight="false" outlineLevel="0" collapsed="false">
      <c r="A212" s="0" t="n">
        <v>42</v>
      </c>
      <c r="B212" s="0" t="n">
        <v>2023</v>
      </c>
      <c r="C212" s="3" t="n">
        <v>44966</v>
      </c>
      <c r="D212" s="8" t="s">
        <v>15</v>
      </c>
      <c r="E212" s="9" t="s">
        <v>33</v>
      </c>
      <c r="F212" s="9" t="s">
        <v>17</v>
      </c>
      <c r="G212" s="11" t="n">
        <v>42</v>
      </c>
      <c r="H212" s="11" t="n">
        <v>42</v>
      </c>
      <c r="I212" s="11" t="n">
        <v>42</v>
      </c>
      <c r="J212" s="11" t="n">
        <v>42</v>
      </c>
      <c r="K212" s="11" t="n">
        <v>42</v>
      </c>
      <c r="L212" s="0" t="str">
        <f aca="false">IF(H212&gt;I212,"ERRO","OK")</f>
        <v>OK</v>
      </c>
      <c r="M212" s="0" t="str">
        <f aca="false">IF(H212&gt;J212,"ERRO","OK")</f>
        <v>OK</v>
      </c>
      <c r="N212" s="0" t="str">
        <f aca="false">IF(I212&lt;J212,"ERRO","OK")</f>
        <v>OK</v>
      </c>
    </row>
    <row r="213" customFormat="false" ht="25" hidden="false" customHeight="false" outlineLevel="0" collapsed="false">
      <c r="A213" s="0" t="n">
        <v>42</v>
      </c>
      <c r="B213" s="0" t="n">
        <v>2023</v>
      </c>
      <c r="C213" s="3" t="n">
        <v>44966</v>
      </c>
      <c r="D213" s="4" t="s">
        <v>34</v>
      </c>
      <c r="E213" s="5" t="s">
        <v>35</v>
      </c>
      <c r="F213" s="5" t="s">
        <v>36</v>
      </c>
      <c r="G213" s="7" t="n">
        <v>4</v>
      </c>
      <c r="H213" s="7" t="n">
        <v>4</v>
      </c>
      <c r="I213" s="7" t="n">
        <v>5</v>
      </c>
      <c r="J213" s="7" t="s">
        <v>128</v>
      </c>
      <c r="K213" s="7" t="n">
        <v>4</v>
      </c>
      <c r="L213" s="0" t="str">
        <f aca="false">IF(H213&gt;I213,"ERRO","OK")</f>
        <v>OK</v>
      </c>
      <c r="M213" s="0" t="str">
        <f aca="false">IF(H213&gt;J213,"ERRO","OK")</f>
        <v>OK</v>
      </c>
      <c r="N213" s="0" t="str">
        <f aca="false">IF(I213&lt;J213,"ERRO","OK")</f>
        <v>ERRO</v>
      </c>
    </row>
    <row r="214" customFormat="false" ht="25" hidden="false" customHeight="false" outlineLevel="0" collapsed="false">
      <c r="A214" s="0" t="n">
        <v>42</v>
      </c>
      <c r="B214" s="0" t="n">
        <v>2023</v>
      </c>
      <c r="C214" s="3" t="n">
        <v>44966</v>
      </c>
      <c r="D214" s="8" t="s">
        <v>34</v>
      </c>
      <c r="E214" s="9" t="s">
        <v>38</v>
      </c>
      <c r="F214" s="9" t="s">
        <v>39</v>
      </c>
      <c r="G214" s="11" t="n">
        <v>25</v>
      </c>
      <c r="H214" s="11" t="n">
        <v>15</v>
      </c>
      <c r="I214" s="11" t="n">
        <v>25</v>
      </c>
      <c r="J214" s="11" t="s">
        <v>129</v>
      </c>
      <c r="K214" s="11" t="n">
        <v>22</v>
      </c>
      <c r="L214" s="0" t="str">
        <f aca="false">IF(H214&gt;I214,"ERRO","OK")</f>
        <v>OK</v>
      </c>
      <c r="M214" s="0" t="str">
        <f aca="false">IF(H214&gt;J214,"ERRO","OK")</f>
        <v>OK</v>
      </c>
      <c r="N214" s="0" t="str">
        <f aca="false">IF(I214&lt;J214,"ERRO","OK")</f>
        <v>ERRO</v>
      </c>
    </row>
    <row r="215" customFormat="false" ht="25" hidden="false" customHeight="false" outlineLevel="0" collapsed="false">
      <c r="A215" s="0" t="n">
        <v>42</v>
      </c>
      <c r="B215" s="0" t="n">
        <v>2023</v>
      </c>
      <c r="C215" s="3" t="n">
        <v>44966</v>
      </c>
      <c r="D215" s="4" t="s">
        <v>34</v>
      </c>
      <c r="E215" s="5" t="s">
        <v>40</v>
      </c>
      <c r="F215" s="5" t="s">
        <v>39</v>
      </c>
      <c r="G215" s="7" t="n">
        <v>25</v>
      </c>
      <c r="H215" s="7" t="n">
        <v>25</v>
      </c>
      <c r="I215" s="7" t="n">
        <v>25</v>
      </c>
      <c r="J215" s="7" t="n">
        <v>25</v>
      </c>
      <c r="K215" s="7" t="n">
        <v>25</v>
      </c>
      <c r="L215" s="0" t="str">
        <f aca="false">IF(H215&gt;I215,"ERRO","OK")</f>
        <v>OK</v>
      </c>
      <c r="M215" s="0" t="str">
        <f aca="false">IF(H215&gt;J215,"ERRO","OK")</f>
        <v>OK</v>
      </c>
      <c r="N215" s="0" t="str">
        <f aca="false">IF(I215&lt;J215,"ERRO","OK")</f>
        <v>OK</v>
      </c>
    </row>
    <row r="216" customFormat="false" ht="36.5" hidden="false" customHeight="false" outlineLevel="0" collapsed="false">
      <c r="A216" s="0" t="n">
        <v>42</v>
      </c>
      <c r="B216" s="0" t="n">
        <v>2023</v>
      </c>
      <c r="C216" s="3" t="n">
        <v>44966</v>
      </c>
      <c r="D216" s="8" t="s">
        <v>42</v>
      </c>
      <c r="E216" s="9" t="s">
        <v>43</v>
      </c>
      <c r="F216" s="9" t="s">
        <v>44</v>
      </c>
      <c r="G216" s="11" t="n">
        <v>70</v>
      </c>
      <c r="H216" s="11" t="n">
        <v>35</v>
      </c>
      <c r="I216" s="11" t="n">
        <v>70</v>
      </c>
      <c r="J216" s="11" t="s">
        <v>130</v>
      </c>
      <c r="K216" s="11" t="n">
        <v>60</v>
      </c>
      <c r="L216" s="0" t="str">
        <f aca="false">IF(H216&gt;I216,"ERRO","OK")</f>
        <v>OK</v>
      </c>
      <c r="M216" s="0" t="str">
        <f aca="false">IF(H216&gt;J216,"ERRO","OK")</f>
        <v>OK</v>
      </c>
      <c r="N216" s="0" t="str">
        <f aca="false">IF(I216&lt;J216,"ERRO","OK")</f>
        <v>ERRO</v>
      </c>
    </row>
    <row r="217" customFormat="false" ht="36.5" hidden="false" customHeight="false" outlineLevel="0" collapsed="false">
      <c r="A217" s="0" t="n">
        <v>42</v>
      </c>
      <c r="B217" s="0" t="n">
        <v>2023</v>
      </c>
      <c r="C217" s="3" t="n">
        <v>44966</v>
      </c>
      <c r="D217" s="4" t="s">
        <v>42</v>
      </c>
      <c r="E217" s="5" t="s">
        <v>46</v>
      </c>
      <c r="F217" s="5" t="s">
        <v>47</v>
      </c>
      <c r="G217" s="7" t="n">
        <v>35</v>
      </c>
      <c r="H217" s="7" t="n">
        <v>35</v>
      </c>
      <c r="I217" s="7" t="n">
        <v>65</v>
      </c>
      <c r="J217" s="7" t="s">
        <v>131</v>
      </c>
      <c r="K217" s="7" t="n">
        <v>40</v>
      </c>
      <c r="L217" s="0" t="str">
        <f aca="false">IF(H217&gt;I217,"ERRO","OK")</f>
        <v>OK</v>
      </c>
      <c r="M217" s="0" t="str">
        <f aca="false">IF(H217&gt;J217,"ERRO","OK")</f>
        <v>OK</v>
      </c>
      <c r="N217" s="0" t="str">
        <f aca="false">IF(I217&lt;J217,"ERRO","OK")</f>
        <v>ERRO</v>
      </c>
    </row>
    <row r="218" customFormat="false" ht="36.5" hidden="false" customHeight="false" outlineLevel="0" collapsed="false">
      <c r="A218" s="0" t="n">
        <v>42</v>
      </c>
      <c r="B218" s="0" t="n">
        <v>2023</v>
      </c>
      <c r="C218" s="3" t="n">
        <v>44966</v>
      </c>
      <c r="D218" s="8" t="s">
        <v>42</v>
      </c>
      <c r="E218" s="9" t="s">
        <v>48</v>
      </c>
      <c r="F218" s="9" t="s">
        <v>49</v>
      </c>
      <c r="G218" s="11" t="n">
        <v>40</v>
      </c>
      <c r="H218" s="11" t="n">
        <v>40</v>
      </c>
      <c r="I218" s="11" t="n">
        <v>40</v>
      </c>
      <c r="J218" s="11" t="n">
        <v>40</v>
      </c>
      <c r="K218" s="11" t="n">
        <v>40</v>
      </c>
      <c r="L218" s="0" t="str">
        <f aca="false">IF(H218&gt;I218,"ERRO","OK")</f>
        <v>OK</v>
      </c>
      <c r="M218" s="0" t="str">
        <f aca="false">IF(H218&gt;J218,"ERRO","OK")</f>
        <v>OK</v>
      </c>
      <c r="N218" s="0" t="str">
        <f aca="false">IF(I218&lt;J218,"ERRO","OK")</f>
        <v>OK</v>
      </c>
    </row>
    <row r="219" customFormat="false" ht="36.5" hidden="false" customHeight="false" outlineLevel="0" collapsed="false">
      <c r="A219" s="0" t="n">
        <v>42</v>
      </c>
      <c r="B219" s="0" t="n">
        <v>2023</v>
      </c>
      <c r="C219" s="3" t="n">
        <v>44966</v>
      </c>
      <c r="D219" s="4" t="s">
        <v>42</v>
      </c>
      <c r="E219" s="5" t="s">
        <v>52</v>
      </c>
      <c r="F219" s="5" t="s">
        <v>49</v>
      </c>
      <c r="G219" s="7" t="n">
        <v>100</v>
      </c>
      <c r="H219" s="7" t="n">
        <v>100</v>
      </c>
      <c r="I219" s="7" t="n">
        <v>100</v>
      </c>
      <c r="J219" s="7" t="n">
        <v>100</v>
      </c>
      <c r="K219" s="7" t="n">
        <v>100</v>
      </c>
      <c r="L219" s="0" t="str">
        <f aca="false">IF(H219&gt;I219,"ERRO","OK")</f>
        <v>OK</v>
      </c>
      <c r="M219" s="0" t="str">
        <f aca="false">IF(H219&gt;J219,"ERRO","OK")</f>
        <v>OK</v>
      </c>
      <c r="N219" s="0" t="str">
        <f aca="false">IF(I219&lt;J219,"ERRO","OK")</f>
        <v>OK</v>
      </c>
    </row>
    <row r="220" customFormat="false" ht="36.5" hidden="false" customHeight="false" outlineLevel="0" collapsed="false">
      <c r="A220" s="0" t="n">
        <v>42</v>
      </c>
      <c r="B220" s="0" t="n">
        <v>2023</v>
      </c>
      <c r="C220" s="3" t="n">
        <v>44966</v>
      </c>
      <c r="D220" s="8" t="s">
        <v>42</v>
      </c>
      <c r="E220" s="9" t="s">
        <v>53</v>
      </c>
      <c r="F220" s="9" t="s">
        <v>54</v>
      </c>
      <c r="G220" s="11" t="n">
        <v>40</v>
      </c>
      <c r="H220" s="11" t="n">
        <v>40</v>
      </c>
      <c r="I220" s="11" t="n">
        <v>60</v>
      </c>
      <c r="J220" s="11" t="s">
        <v>116</v>
      </c>
      <c r="K220" s="11" t="n">
        <v>50</v>
      </c>
      <c r="L220" s="0" t="str">
        <f aca="false">IF(H220&gt;I220,"ERRO","OK")</f>
        <v>OK</v>
      </c>
      <c r="M220" s="0" t="str">
        <f aca="false">IF(H220&gt;J220,"ERRO","OK")</f>
        <v>OK</v>
      </c>
      <c r="N220" s="0" t="str">
        <f aca="false">IF(I220&lt;J220,"ERRO","OK")</f>
        <v>ERRO</v>
      </c>
    </row>
    <row r="221" customFormat="false" ht="36.5" hidden="false" customHeight="false" outlineLevel="0" collapsed="false">
      <c r="A221" s="0" t="n">
        <v>42</v>
      </c>
      <c r="B221" s="0" t="n">
        <v>2023</v>
      </c>
      <c r="C221" s="3" t="n">
        <v>44966</v>
      </c>
      <c r="D221" s="4" t="s">
        <v>42</v>
      </c>
      <c r="E221" s="5" t="s">
        <v>56</v>
      </c>
      <c r="F221" s="5" t="s">
        <v>47</v>
      </c>
      <c r="G221" s="7" t="n">
        <v>75</v>
      </c>
      <c r="H221" s="7" t="n">
        <v>45</v>
      </c>
      <c r="I221" s="7" t="n">
        <v>80</v>
      </c>
      <c r="J221" s="7" t="s">
        <v>132</v>
      </c>
      <c r="K221" s="7" t="n">
        <v>75</v>
      </c>
      <c r="L221" s="0" t="str">
        <f aca="false">IF(H221&gt;I221,"ERRO","OK")</f>
        <v>OK</v>
      </c>
      <c r="M221" s="0" t="str">
        <f aca="false">IF(H221&gt;J221,"ERRO","OK")</f>
        <v>OK</v>
      </c>
      <c r="N221" s="0" t="str">
        <f aca="false">IF(I221&lt;J221,"ERRO","OK")</f>
        <v>ERRO</v>
      </c>
    </row>
    <row r="222" customFormat="false" ht="36.5" hidden="false" customHeight="false" outlineLevel="0" collapsed="false">
      <c r="A222" s="0" t="n">
        <v>42</v>
      </c>
      <c r="B222" s="0" t="n">
        <v>2023</v>
      </c>
      <c r="C222" s="3" t="n">
        <v>44966</v>
      </c>
      <c r="D222" s="8" t="s">
        <v>42</v>
      </c>
      <c r="E222" s="9" t="s">
        <v>57</v>
      </c>
      <c r="F222" s="9" t="s">
        <v>47</v>
      </c>
      <c r="G222" s="11" t="n">
        <v>55</v>
      </c>
      <c r="H222" s="11" t="n">
        <v>50</v>
      </c>
      <c r="I222" s="11" t="n">
        <v>70</v>
      </c>
      <c r="J222" s="11" t="s">
        <v>133</v>
      </c>
      <c r="K222" s="11" t="s">
        <v>45</v>
      </c>
      <c r="L222" s="0" t="str">
        <f aca="false">IF(H222&gt;I222,"ERRO","OK")</f>
        <v>OK</v>
      </c>
      <c r="M222" s="0" t="str">
        <f aca="false">IF(H222&gt;J222,"ERRO","OK")</f>
        <v>OK</v>
      </c>
      <c r="N222" s="0" t="str">
        <f aca="false">IF(I222&lt;J222,"ERRO","OK")</f>
        <v>ERRO</v>
      </c>
    </row>
    <row r="223" customFormat="false" ht="36.5" hidden="false" customHeight="false" outlineLevel="0" collapsed="false">
      <c r="A223" s="0" t="n">
        <v>42</v>
      </c>
      <c r="B223" s="0" t="n">
        <v>2023</v>
      </c>
      <c r="C223" s="3" t="n">
        <v>44966</v>
      </c>
      <c r="D223" s="4" t="s">
        <v>42</v>
      </c>
      <c r="E223" s="5" t="s">
        <v>58</v>
      </c>
      <c r="F223" s="5" t="s">
        <v>44</v>
      </c>
      <c r="G223" s="7" t="n">
        <v>70</v>
      </c>
      <c r="H223" s="7" t="n">
        <v>50</v>
      </c>
      <c r="I223" s="7" t="n">
        <v>80</v>
      </c>
      <c r="J223" s="7" t="s">
        <v>134</v>
      </c>
      <c r="K223" s="7" t="n">
        <v>70</v>
      </c>
      <c r="L223" s="0" t="str">
        <f aca="false">IF(H223&gt;I223,"ERRO","OK")</f>
        <v>OK</v>
      </c>
      <c r="M223" s="0" t="str">
        <f aca="false">IF(H223&gt;J223,"ERRO","OK")</f>
        <v>OK</v>
      </c>
      <c r="N223" s="0" t="str">
        <f aca="false">IF(I223&lt;J223,"ERRO","OK")</f>
        <v>ERRO</v>
      </c>
    </row>
    <row r="224" customFormat="false" ht="36.5" hidden="false" customHeight="false" outlineLevel="0" collapsed="false">
      <c r="A224" s="0" t="n">
        <v>42</v>
      </c>
      <c r="B224" s="0" t="n">
        <v>2023</v>
      </c>
      <c r="C224" s="3" t="n">
        <v>44966</v>
      </c>
      <c r="D224" s="8" t="s">
        <v>42</v>
      </c>
      <c r="E224" s="9" t="s">
        <v>60</v>
      </c>
      <c r="F224" s="9" t="s">
        <v>47</v>
      </c>
      <c r="G224" s="10"/>
      <c r="H224" s="11" t="n">
        <v>55</v>
      </c>
      <c r="I224" s="11" t="n">
        <v>70</v>
      </c>
      <c r="J224" s="11" t="s">
        <v>135</v>
      </c>
      <c r="K224" s="11" t="n">
        <v>60</v>
      </c>
      <c r="L224" s="0" t="str">
        <f aca="false">IF(H224&gt;I224,"ERRO","OK")</f>
        <v>OK</v>
      </c>
      <c r="M224" s="0" t="str">
        <f aca="false">IF(H224&gt;J224,"ERRO","OK")</f>
        <v>OK</v>
      </c>
      <c r="N224" s="0" t="str">
        <f aca="false">IF(I224&lt;J224,"ERRO","OK")</f>
        <v>ERRO</v>
      </c>
    </row>
    <row r="225" customFormat="false" ht="36.5" hidden="false" customHeight="false" outlineLevel="0" collapsed="false">
      <c r="A225" s="0" t="n">
        <v>42</v>
      </c>
      <c r="B225" s="0" t="n">
        <v>2023</v>
      </c>
      <c r="C225" s="3" t="n">
        <v>44966</v>
      </c>
      <c r="D225" s="4" t="s">
        <v>42</v>
      </c>
      <c r="E225" s="5" t="s">
        <v>61</v>
      </c>
      <c r="F225" s="5" t="s">
        <v>44</v>
      </c>
      <c r="G225" s="6"/>
      <c r="H225" s="7" t="n">
        <v>45</v>
      </c>
      <c r="I225" s="7" t="n">
        <v>65</v>
      </c>
      <c r="J225" s="7" t="n">
        <v>55</v>
      </c>
      <c r="K225" s="7" t="n">
        <v>55</v>
      </c>
      <c r="L225" s="0" t="str">
        <f aca="false">IF(H225&gt;I225,"ERRO","OK")</f>
        <v>OK</v>
      </c>
      <c r="M225" s="0" t="str">
        <f aca="false">IF(H225&gt;J225,"ERRO","OK")</f>
        <v>OK</v>
      </c>
      <c r="N225" s="0" t="str">
        <f aca="false">IF(I225&lt;J225,"ERRO","OK")</f>
        <v>OK</v>
      </c>
    </row>
    <row r="226" customFormat="false" ht="36.5" hidden="false" customHeight="false" outlineLevel="0" collapsed="false">
      <c r="A226" s="0" t="n">
        <v>42</v>
      </c>
      <c r="B226" s="0" t="n">
        <v>2023</v>
      </c>
      <c r="C226" s="3" t="n">
        <v>44966</v>
      </c>
      <c r="D226" s="8" t="s">
        <v>42</v>
      </c>
      <c r="E226" s="9" t="s">
        <v>62</v>
      </c>
      <c r="F226" s="9" t="s">
        <v>44</v>
      </c>
      <c r="G226" s="11" t="n">
        <v>85</v>
      </c>
      <c r="H226" s="11" t="n">
        <v>50</v>
      </c>
      <c r="I226" s="11" t="n">
        <v>85</v>
      </c>
      <c r="J226" s="11" t="s">
        <v>136</v>
      </c>
      <c r="K226" s="11" t="n">
        <v>75</v>
      </c>
      <c r="L226" s="0" t="str">
        <f aca="false">IF(H226&gt;I226,"ERRO","OK")</f>
        <v>OK</v>
      </c>
      <c r="M226" s="0" t="str">
        <f aca="false">IF(H226&gt;J226,"ERRO","OK")</f>
        <v>OK</v>
      </c>
      <c r="N226" s="0" t="str">
        <f aca="false">IF(I226&lt;J226,"ERRO","OK")</f>
        <v>ERRO</v>
      </c>
    </row>
    <row r="227" customFormat="false" ht="36.5" hidden="false" customHeight="false" outlineLevel="0" collapsed="false">
      <c r="A227" s="0" t="n">
        <v>42</v>
      </c>
      <c r="B227" s="0" t="n">
        <v>2023</v>
      </c>
      <c r="C227" s="3" t="n">
        <v>44966</v>
      </c>
      <c r="D227" s="4" t="s">
        <v>42</v>
      </c>
      <c r="E227" s="5" t="s">
        <v>63</v>
      </c>
      <c r="F227" s="5" t="s">
        <v>49</v>
      </c>
      <c r="G227" s="7" t="n">
        <v>30</v>
      </c>
      <c r="H227" s="7" t="n">
        <v>20</v>
      </c>
      <c r="I227" s="7" t="n">
        <v>50</v>
      </c>
      <c r="J227" s="7" t="n">
        <v>35</v>
      </c>
      <c r="K227" s="7" t="n">
        <v>35</v>
      </c>
      <c r="L227" s="0" t="str">
        <f aca="false">IF(H227&gt;I227,"ERRO","OK")</f>
        <v>OK</v>
      </c>
      <c r="M227" s="0" t="str">
        <f aca="false">IF(H227&gt;J227,"ERRO","OK")</f>
        <v>OK</v>
      </c>
      <c r="N227" s="0" t="str">
        <f aca="false">IF(I227&lt;J227,"ERRO","OK")</f>
        <v>OK</v>
      </c>
    </row>
    <row r="228" customFormat="false" ht="36.5" hidden="false" customHeight="false" outlineLevel="0" collapsed="false">
      <c r="A228" s="0" t="n">
        <v>42</v>
      </c>
      <c r="B228" s="0" t="n">
        <v>2023</v>
      </c>
      <c r="C228" s="3" t="n">
        <v>44966</v>
      </c>
      <c r="D228" s="8" t="s">
        <v>42</v>
      </c>
      <c r="E228" s="9" t="s">
        <v>64</v>
      </c>
      <c r="F228" s="9" t="s">
        <v>65</v>
      </c>
      <c r="G228" s="11" t="n">
        <v>80</v>
      </c>
      <c r="H228" s="11" t="n">
        <v>50</v>
      </c>
      <c r="I228" s="11" t="n">
        <v>80</v>
      </c>
      <c r="J228" s="11" t="s">
        <v>137</v>
      </c>
      <c r="K228" s="11" t="s">
        <v>138</v>
      </c>
      <c r="L228" s="0" t="str">
        <f aca="false">IF(H228&gt;I228,"ERRO","OK")</f>
        <v>OK</v>
      </c>
      <c r="M228" s="0" t="str">
        <f aca="false">IF(H228&gt;J228,"ERRO","OK")</f>
        <v>OK</v>
      </c>
      <c r="N228" s="0" t="str">
        <f aca="false">IF(I228&lt;J228,"ERRO","OK")</f>
        <v>ERRO</v>
      </c>
    </row>
    <row r="229" customFormat="false" ht="36.5" hidden="false" customHeight="false" outlineLevel="0" collapsed="false">
      <c r="A229" s="0" t="n">
        <v>42</v>
      </c>
      <c r="B229" s="0" t="n">
        <v>2023</v>
      </c>
      <c r="C229" s="3" t="n">
        <v>44966</v>
      </c>
      <c r="D229" s="4" t="s">
        <v>42</v>
      </c>
      <c r="E229" s="5" t="s">
        <v>67</v>
      </c>
      <c r="F229" s="5" t="s">
        <v>44</v>
      </c>
      <c r="G229" s="7" t="n">
        <v>100</v>
      </c>
      <c r="H229" s="7" t="n">
        <v>75</v>
      </c>
      <c r="I229" s="7" t="n">
        <v>100</v>
      </c>
      <c r="J229" s="7" t="n">
        <v>90</v>
      </c>
      <c r="K229" s="7" t="n">
        <v>95</v>
      </c>
      <c r="L229" s="0" t="str">
        <f aca="false">IF(H229&gt;I229,"ERRO","OK")</f>
        <v>OK</v>
      </c>
      <c r="M229" s="0" t="str">
        <f aca="false">IF(H229&gt;J229,"ERRO","OK")</f>
        <v>OK</v>
      </c>
      <c r="N229" s="0" t="str">
        <f aca="false">IF(I229&lt;J229,"ERRO","OK")</f>
        <v>OK</v>
      </c>
    </row>
    <row r="230" customFormat="false" ht="36.5" hidden="false" customHeight="false" outlineLevel="0" collapsed="false">
      <c r="A230" s="0" t="n">
        <v>42</v>
      </c>
      <c r="B230" s="0" t="n">
        <v>2023</v>
      </c>
      <c r="C230" s="3" t="n">
        <v>44966</v>
      </c>
      <c r="D230" s="8" t="s">
        <v>42</v>
      </c>
      <c r="E230" s="9" t="s">
        <v>68</v>
      </c>
      <c r="F230" s="9" t="s">
        <v>44</v>
      </c>
      <c r="G230" s="11" t="n">
        <v>120</v>
      </c>
      <c r="H230" s="11" t="n">
        <v>110</v>
      </c>
      <c r="I230" s="11" t="n">
        <v>130</v>
      </c>
      <c r="J230" s="11" t="n">
        <v>120</v>
      </c>
      <c r="K230" s="11" t="n">
        <v>120</v>
      </c>
      <c r="L230" s="0" t="str">
        <f aca="false">IF(H230&gt;I230,"ERRO","OK")</f>
        <v>OK</v>
      </c>
      <c r="M230" s="0" t="str">
        <f aca="false">IF(H230&gt;J230,"ERRO","OK")</f>
        <v>OK</v>
      </c>
      <c r="N230" s="0" t="str">
        <f aca="false">IF(I230&lt;J230,"ERRO","OK")</f>
        <v>OK</v>
      </c>
    </row>
    <row r="231" customFormat="false" ht="14.25" hidden="false" customHeight="false" outlineLevel="0" collapsed="false">
      <c r="A231" s="0" t="n">
        <v>42</v>
      </c>
      <c r="B231" s="0" t="n">
        <v>2023</v>
      </c>
      <c r="C231" s="3" t="n">
        <v>44966</v>
      </c>
      <c r="D231" s="4" t="s">
        <v>69</v>
      </c>
      <c r="E231" s="5" t="s">
        <v>70</v>
      </c>
      <c r="F231" s="5" t="s">
        <v>44</v>
      </c>
      <c r="G231" s="6"/>
      <c r="H231" s="6"/>
      <c r="I231" s="6"/>
      <c r="J231" s="6"/>
      <c r="K231" s="6"/>
      <c r="L231" s="0" t="str">
        <f aca="false">IF(H231&gt;I231,"ERRO","OK")</f>
        <v>OK</v>
      </c>
      <c r="M231" s="0" t="str">
        <f aca="false">IF(H231&gt;J231,"ERRO","OK")</f>
        <v>OK</v>
      </c>
      <c r="N231" s="0" t="str">
        <f aca="false">IF(I231&lt;J231,"ERRO","OK")</f>
        <v>OK</v>
      </c>
    </row>
    <row r="232" customFormat="false" ht="14.25" hidden="false" customHeight="false" outlineLevel="0" collapsed="false">
      <c r="A232" s="0" t="n">
        <v>42</v>
      </c>
      <c r="B232" s="0" t="n">
        <v>2023</v>
      </c>
      <c r="C232" s="3" t="n">
        <v>44966</v>
      </c>
      <c r="D232" s="8" t="s">
        <v>69</v>
      </c>
      <c r="E232" s="9" t="s">
        <v>71</v>
      </c>
      <c r="F232" s="9" t="s">
        <v>44</v>
      </c>
      <c r="G232" s="10"/>
      <c r="H232" s="10"/>
      <c r="I232" s="10"/>
      <c r="J232" s="10"/>
      <c r="K232" s="10"/>
      <c r="L232" s="0" t="str">
        <f aca="false">IF(H232&gt;I232,"ERRO","OK")</f>
        <v>OK</v>
      </c>
      <c r="M232" s="0" t="str">
        <f aca="false">IF(H232&gt;J232,"ERRO","OK")</f>
        <v>OK</v>
      </c>
      <c r="N232" s="0" t="str">
        <f aca="false">IF(I232&lt;J232,"ERRO","OK")</f>
        <v>OK</v>
      </c>
    </row>
    <row r="233" customFormat="false" ht="14.25" hidden="false" customHeight="false" outlineLevel="0" collapsed="false">
      <c r="A233" s="0" t="n">
        <v>42</v>
      </c>
      <c r="B233" s="0" t="n">
        <v>2023</v>
      </c>
      <c r="C233" s="3" t="n">
        <v>44966</v>
      </c>
      <c r="D233" s="4" t="s">
        <v>69</v>
      </c>
      <c r="E233" s="5" t="s">
        <v>72</v>
      </c>
      <c r="F233" s="5" t="s">
        <v>44</v>
      </c>
      <c r="G233" s="6"/>
      <c r="H233" s="6"/>
      <c r="I233" s="6"/>
      <c r="J233" s="6"/>
      <c r="K233" s="6"/>
      <c r="L233" s="0" t="str">
        <f aca="false">IF(H233&gt;I233,"ERRO","OK")</f>
        <v>OK</v>
      </c>
      <c r="M233" s="0" t="str">
        <f aca="false">IF(H233&gt;J233,"ERRO","OK")</f>
        <v>OK</v>
      </c>
      <c r="N233" s="0" t="str">
        <f aca="false">IF(I233&lt;J233,"ERRO","OK")</f>
        <v>OK</v>
      </c>
    </row>
    <row r="234" customFormat="false" ht="14.25" hidden="false" customHeight="false" outlineLevel="0" collapsed="false">
      <c r="A234" s="0" t="n">
        <v>42</v>
      </c>
      <c r="B234" s="0" t="n">
        <v>2023</v>
      </c>
      <c r="C234" s="3" t="n">
        <v>44966</v>
      </c>
      <c r="D234" s="8" t="s">
        <v>69</v>
      </c>
      <c r="E234" s="9" t="s">
        <v>74</v>
      </c>
      <c r="F234" s="9" t="s">
        <v>75</v>
      </c>
      <c r="G234" s="10"/>
      <c r="H234" s="10"/>
      <c r="I234" s="10"/>
      <c r="J234" s="10"/>
      <c r="K234" s="10"/>
      <c r="L234" s="0" t="str">
        <f aca="false">IF(H234&gt;I234,"ERRO","OK")</f>
        <v>OK</v>
      </c>
      <c r="M234" s="0" t="str">
        <f aca="false">IF(H234&gt;J234,"ERRO","OK")</f>
        <v>OK</v>
      </c>
      <c r="N234" s="0" t="str">
        <f aca="false">IF(I234&lt;J234,"ERRO","OK")</f>
        <v>OK</v>
      </c>
    </row>
    <row r="235" customFormat="false" ht="25" hidden="false" customHeight="false" outlineLevel="0" collapsed="false">
      <c r="A235" s="0" t="n">
        <v>43</v>
      </c>
      <c r="B235" s="0" t="n">
        <v>2023</v>
      </c>
      <c r="C235" s="3" t="n">
        <v>44973</v>
      </c>
      <c r="D235" s="4" t="s">
        <v>15</v>
      </c>
      <c r="E235" s="5" t="s">
        <v>16</v>
      </c>
      <c r="F235" s="5" t="s">
        <v>17</v>
      </c>
      <c r="G235" s="7" t="n">
        <v>42</v>
      </c>
      <c r="H235" s="7" t="n">
        <v>36</v>
      </c>
      <c r="I235" s="7" t="n">
        <v>42</v>
      </c>
      <c r="J235" s="7" t="n">
        <v>40</v>
      </c>
      <c r="K235" s="7" t="n">
        <v>42</v>
      </c>
      <c r="L235" s="0" t="str">
        <f aca="false">IF(H235&gt;I235,"ERRO","OK")</f>
        <v>OK</v>
      </c>
      <c r="M235" s="0" t="str">
        <f aca="false">IF(H235&gt;J235,"ERRO","OK")</f>
        <v>OK</v>
      </c>
      <c r="N235" s="0" t="str">
        <f aca="false">IF(I235&lt;J235,"ERRO","OK")</f>
        <v>OK</v>
      </c>
    </row>
    <row r="236" customFormat="false" ht="25" hidden="false" customHeight="false" outlineLevel="0" collapsed="false">
      <c r="A236" s="0" t="n">
        <v>43</v>
      </c>
      <c r="B236" s="0" t="n">
        <v>2023</v>
      </c>
      <c r="C236" s="3" t="n">
        <v>44973</v>
      </c>
      <c r="D236" s="8" t="s">
        <v>15</v>
      </c>
      <c r="E236" s="9" t="s">
        <v>18</v>
      </c>
      <c r="F236" s="9" t="s">
        <v>17</v>
      </c>
      <c r="G236" s="11" t="n">
        <v>60</v>
      </c>
      <c r="H236" s="11" t="n">
        <v>36</v>
      </c>
      <c r="I236" s="11" t="n">
        <v>60</v>
      </c>
      <c r="J236" s="11" t="n">
        <v>52</v>
      </c>
      <c r="K236" s="11" t="n">
        <v>60</v>
      </c>
      <c r="L236" s="0" t="str">
        <f aca="false">IF(H236&gt;I236,"ERRO","OK")</f>
        <v>OK</v>
      </c>
      <c r="M236" s="0" t="str">
        <f aca="false">IF(H236&gt;J236,"ERRO","OK")</f>
        <v>OK</v>
      </c>
      <c r="N236" s="0" t="str">
        <f aca="false">IF(I236&lt;J236,"ERRO","OK")</f>
        <v>OK</v>
      </c>
    </row>
    <row r="237" customFormat="false" ht="25" hidden="false" customHeight="false" outlineLevel="0" collapsed="false">
      <c r="A237" s="0" t="n">
        <v>43</v>
      </c>
      <c r="B237" s="0" t="n">
        <v>2023</v>
      </c>
      <c r="C237" s="3" t="n">
        <v>44973</v>
      </c>
      <c r="D237" s="4" t="s">
        <v>15</v>
      </c>
      <c r="E237" s="5" t="s">
        <v>19</v>
      </c>
      <c r="F237" s="5" t="s">
        <v>17</v>
      </c>
      <c r="G237" s="7" t="n">
        <v>36</v>
      </c>
      <c r="H237" s="7" t="n">
        <v>36</v>
      </c>
      <c r="I237" s="7" t="n">
        <v>42</v>
      </c>
      <c r="J237" s="7" t="n">
        <v>38</v>
      </c>
      <c r="K237" s="7" t="n">
        <v>36</v>
      </c>
      <c r="L237" s="0" t="str">
        <f aca="false">IF(H237&gt;I237,"ERRO","OK")</f>
        <v>OK</v>
      </c>
      <c r="M237" s="0" t="str">
        <f aca="false">IF(H237&gt;J237,"ERRO","OK")</f>
        <v>OK</v>
      </c>
      <c r="N237" s="0" t="str">
        <f aca="false">IF(I237&lt;J237,"ERRO","OK")</f>
        <v>OK</v>
      </c>
    </row>
    <row r="238" customFormat="false" ht="25" hidden="false" customHeight="false" outlineLevel="0" collapsed="false">
      <c r="A238" s="0" t="n">
        <v>43</v>
      </c>
      <c r="B238" s="0" t="n">
        <v>2023</v>
      </c>
      <c r="C238" s="3" t="n">
        <v>44973</v>
      </c>
      <c r="D238" s="8" t="s">
        <v>15</v>
      </c>
      <c r="E238" s="9" t="s">
        <v>20</v>
      </c>
      <c r="F238" s="9" t="s">
        <v>17</v>
      </c>
      <c r="G238" s="11" t="n">
        <v>24</v>
      </c>
      <c r="H238" s="11" t="n">
        <v>18</v>
      </c>
      <c r="I238" s="11" t="n">
        <v>24</v>
      </c>
      <c r="J238" s="11" t="s">
        <v>41</v>
      </c>
      <c r="K238" s="11" t="n">
        <v>24</v>
      </c>
      <c r="L238" s="0" t="str">
        <f aca="false">IF(H238&gt;I238,"ERRO","OK")</f>
        <v>OK</v>
      </c>
      <c r="M238" s="0" t="str">
        <f aca="false">IF(H238&gt;J238,"ERRO","OK")</f>
        <v>OK</v>
      </c>
      <c r="N238" s="0" t="str">
        <f aca="false">IF(I238&lt;J238,"ERRO","OK")</f>
        <v>ERRO</v>
      </c>
    </row>
    <row r="239" customFormat="false" ht="25" hidden="false" customHeight="false" outlineLevel="0" collapsed="false">
      <c r="A239" s="0" t="n">
        <v>43</v>
      </c>
      <c r="B239" s="0" t="n">
        <v>2023</v>
      </c>
      <c r="C239" s="3" t="n">
        <v>44973</v>
      </c>
      <c r="D239" s="4" t="s">
        <v>15</v>
      </c>
      <c r="E239" s="5" t="s">
        <v>21</v>
      </c>
      <c r="F239" s="5" t="s">
        <v>17</v>
      </c>
      <c r="G239" s="7" t="n">
        <v>24</v>
      </c>
      <c r="H239" s="7" t="n">
        <v>18</v>
      </c>
      <c r="I239" s="7" t="n">
        <v>24</v>
      </c>
      <c r="J239" s="7" t="n">
        <v>21</v>
      </c>
      <c r="K239" s="7" t="n">
        <v>21</v>
      </c>
      <c r="L239" s="0" t="str">
        <f aca="false">IF(H239&gt;I239,"ERRO","OK")</f>
        <v>OK</v>
      </c>
      <c r="M239" s="0" t="str">
        <f aca="false">IF(H239&gt;J239,"ERRO","OK")</f>
        <v>OK</v>
      </c>
      <c r="N239" s="0" t="str">
        <f aca="false">IF(I239&lt;J239,"ERRO","OK")</f>
        <v>OK</v>
      </c>
    </row>
    <row r="240" customFormat="false" ht="25" hidden="false" customHeight="false" outlineLevel="0" collapsed="false">
      <c r="A240" s="0" t="n">
        <v>43</v>
      </c>
      <c r="B240" s="0" t="n">
        <v>2023</v>
      </c>
      <c r="C240" s="3" t="n">
        <v>44973</v>
      </c>
      <c r="D240" s="8" t="s">
        <v>15</v>
      </c>
      <c r="E240" s="9" t="s">
        <v>22</v>
      </c>
      <c r="F240" s="9" t="s">
        <v>17</v>
      </c>
      <c r="G240" s="10"/>
      <c r="H240" s="11" t="n">
        <v>42</v>
      </c>
      <c r="I240" s="11" t="n">
        <v>48</v>
      </c>
      <c r="J240" s="11" t="n">
        <v>45</v>
      </c>
      <c r="K240" s="11" t="n">
        <v>45</v>
      </c>
      <c r="L240" s="0" t="str">
        <f aca="false">IF(H240&gt;I240,"ERRO","OK")</f>
        <v>OK</v>
      </c>
      <c r="M240" s="0" t="str">
        <f aca="false">IF(H240&gt;J240,"ERRO","OK")</f>
        <v>OK</v>
      </c>
      <c r="N240" s="0" t="str">
        <f aca="false">IF(I240&lt;J240,"ERRO","OK")</f>
        <v>OK</v>
      </c>
    </row>
    <row r="241" customFormat="false" ht="25" hidden="false" customHeight="false" outlineLevel="0" collapsed="false">
      <c r="A241" s="0" t="n">
        <v>43</v>
      </c>
      <c r="B241" s="0" t="n">
        <v>2023</v>
      </c>
      <c r="C241" s="3" t="n">
        <v>44973</v>
      </c>
      <c r="D241" s="4" t="s">
        <v>15</v>
      </c>
      <c r="E241" s="5" t="s">
        <v>23</v>
      </c>
      <c r="F241" s="5" t="s">
        <v>17</v>
      </c>
      <c r="G241" s="7" t="n">
        <v>60</v>
      </c>
      <c r="H241" s="7" t="n">
        <v>60</v>
      </c>
      <c r="I241" s="7" t="n">
        <v>60</v>
      </c>
      <c r="J241" s="7" t="n">
        <v>60</v>
      </c>
      <c r="K241" s="7" t="n">
        <v>60</v>
      </c>
      <c r="L241" s="0" t="str">
        <f aca="false">IF(H241&gt;I241,"ERRO","OK")</f>
        <v>OK</v>
      </c>
      <c r="M241" s="0" t="str">
        <f aca="false">IF(H241&gt;J241,"ERRO","OK")</f>
        <v>OK</v>
      </c>
      <c r="N241" s="0" t="str">
        <f aca="false">IF(I241&lt;J241,"ERRO","OK")</f>
        <v>OK</v>
      </c>
    </row>
    <row r="242" customFormat="false" ht="25" hidden="false" customHeight="false" outlineLevel="0" collapsed="false">
      <c r="A242" s="0" t="n">
        <v>43</v>
      </c>
      <c r="B242" s="0" t="n">
        <v>2023</v>
      </c>
      <c r="C242" s="3" t="n">
        <v>44973</v>
      </c>
      <c r="D242" s="8" t="s">
        <v>15</v>
      </c>
      <c r="E242" s="9" t="s">
        <v>24</v>
      </c>
      <c r="F242" s="9" t="s">
        <v>17</v>
      </c>
      <c r="G242" s="11" t="n">
        <v>60</v>
      </c>
      <c r="H242" s="11" t="n">
        <v>60</v>
      </c>
      <c r="I242" s="11" t="n">
        <v>72</v>
      </c>
      <c r="J242" s="11" t="n">
        <v>64</v>
      </c>
      <c r="K242" s="11" t="n">
        <v>60</v>
      </c>
      <c r="L242" s="0" t="str">
        <f aca="false">IF(H242&gt;I242,"ERRO","OK")</f>
        <v>OK</v>
      </c>
      <c r="M242" s="0" t="str">
        <f aca="false">IF(H242&gt;J242,"ERRO","OK")</f>
        <v>OK</v>
      </c>
      <c r="N242" s="0" t="str">
        <f aca="false">IF(I242&lt;J242,"ERRO","OK")</f>
        <v>OK</v>
      </c>
    </row>
    <row r="243" customFormat="false" ht="25" hidden="false" customHeight="false" outlineLevel="0" collapsed="false">
      <c r="A243" s="0" t="n">
        <v>43</v>
      </c>
      <c r="B243" s="0" t="n">
        <v>2023</v>
      </c>
      <c r="C243" s="3" t="n">
        <v>44973</v>
      </c>
      <c r="D243" s="4" t="s">
        <v>15</v>
      </c>
      <c r="E243" s="5" t="s">
        <v>25</v>
      </c>
      <c r="F243" s="5" t="s">
        <v>17</v>
      </c>
      <c r="G243" s="7" t="n">
        <v>15</v>
      </c>
      <c r="H243" s="7" t="n">
        <v>15</v>
      </c>
      <c r="I243" s="7" t="n">
        <v>24</v>
      </c>
      <c r="J243" s="7" t="n">
        <v>18</v>
      </c>
      <c r="K243" s="7" t="n">
        <v>15</v>
      </c>
      <c r="L243" s="0" t="str">
        <f aca="false">IF(H243&gt;I243,"ERRO","OK")</f>
        <v>OK</v>
      </c>
      <c r="M243" s="0" t="str">
        <f aca="false">IF(H243&gt;J243,"ERRO","OK")</f>
        <v>OK</v>
      </c>
      <c r="N243" s="0" t="str">
        <f aca="false">IF(I243&lt;J243,"ERRO","OK")</f>
        <v>OK</v>
      </c>
    </row>
    <row r="244" customFormat="false" ht="25" hidden="false" customHeight="false" outlineLevel="0" collapsed="false">
      <c r="A244" s="0" t="n">
        <v>43</v>
      </c>
      <c r="B244" s="0" t="n">
        <v>2023</v>
      </c>
      <c r="C244" s="3" t="n">
        <v>44973</v>
      </c>
      <c r="D244" s="8" t="s">
        <v>15</v>
      </c>
      <c r="E244" s="9" t="s">
        <v>77</v>
      </c>
      <c r="F244" s="9" t="s">
        <v>17</v>
      </c>
      <c r="G244" s="11" t="n">
        <v>60</v>
      </c>
      <c r="H244" s="11" t="n">
        <v>60</v>
      </c>
      <c r="I244" s="11" t="n">
        <v>60</v>
      </c>
      <c r="J244" s="11" t="n">
        <v>60</v>
      </c>
      <c r="K244" s="11" t="n">
        <v>60</v>
      </c>
      <c r="L244" s="0" t="str">
        <f aca="false">IF(H244&gt;I244,"ERRO","OK")</f>
        <v>OK</v>
      </c>
      <c r="M244" s="0" t="str">
        <f aca="false">IF(H244&gt;J244,"ERRO","OK")</f>
        <v>OK</v>
      </c>
      <c r="N244" s="0" t="str">
        <f aca="false">IF(I244&lt;J244,"ERRO","OK")</f>
        <v>OK</v>
      </c>
    </row>
    <row r="245" customFormat="false" ht="25" hidden="false" customHeight="false" outlineLevel="0" collapsed="false">
      <c r="A245" s="0" t="n">
        <v>43</v>
      </c>
      <c r="B245" s="0" t="n">
        <v>2023</v>
      </c>
      <c r="C245" s="3" t="n">
        <v>44973</v>
      </c>
      <c r="D245" s="4" t="s">
        <v>15</v>
      </c>
      <c r="E245" s="5" t="s">
        <v>27</v>
      </c>
      <c r="F245" s="5" t="s">
        <v>17</v>
      </c>
      <c r="G245" s="7" t="n">
        <v>24</v>
      </c>
      <c r="H245" s="7" t="n">
        <v>24</v>
      </c>
      <c r="I245" s="7" t="n">
        <v>24</v>
      </c>
      <c r="J245" s="7" t="n">
        <v>24</v>
      </c>
      <c r="K245" s="7" t="n">
        <v>24</v>
      </c>
      <c r="L245" s="0" t="str">
        <f aca="false">IF(H245&gt;I245,"ERRO","OK")</f>
        <v>OK</v>
      </c>
      <c r="M245" s="0" t="str">
        <f aca="false">IF(H245&gt;J245,"ERRO","OK")</f>
        <v>OK</v>
      </c>
      <c r="N245" s="0" t="str">
        <f aca="false">IF(I245&lt;J245,"ERRO","OK")</f>
        <v>OK</v>
      </c>
    </row>
    <row r="246" customFormat="false" ht="25" hidden="false" customHeight="false" outlineLevel="0" collapsed="false">
      <c r="A246" s="0" t="n">
        <v>43</v>
      </c>
      <c r="B246" s="0" t="n">
        <v>2023</v>
      </c>
      <c r="C246" s="3" t="n">
        <v>44973</v>
      </c>
      <c r="D246" s="8" t="s">
        <v>15</v>
      </c>
      <c r="E246" s="9" t="s">
        <v>28</v>
      </c>
      <c r="F246" s="9" t="s">
        <v>17</v>
      </c>
      <c r="G246" s="11" t="n">
        <v>42</v>
      </c>
      <c r="H246" s="11" t="n">
        <v>42</v>
      </c>
      <c r="I246" s="11" t="n">
        <v>42</v>
      </c>
      <c r="J246" s="11" t="n">
        <v>42</v>
      </c>
      <c r="K246" s="11" t="n">
        <v>42</v>
      </c>
      <c r="L246" s="0" t="str">
        <f aca="false">IF(H246&gt;I246,"ERRO","OK")</f>
        <v>OK</v>
      </c>
      <c r="M246" s="0" t="str">
        <f aca="false">IF(H246&gt;J246,"ERRO","OK")</f>
        <v>OK</v>
      </c>
      <c r="N246" s="0" t="str">
        <f aca="false">IF(I246&lt;J246,"ERRO","OK")</f>
        <v>OK</v>
      </c>
    </row>
    <row r="247" customFormat="false" ht="25" hidden="false" customHeight="false" outlineLevel="0" collapsed="false">
      <c r="A247" s="0" t="n">
        <v>43</v>
      </c>
      <c r="B247" s="0" t="n">
        <v>2023</v>
      </c>
      <c r="C247" s="3" t="n">
        <v>44973</v>
      </c>
      <c r="D247" s="4" t="s">
        <v>15</v>
      </c>
      <c r="E247" s="5" t="s">
        <v>29</v>
      </c>
      <c r="F247" s="5" t="s">
        <v>30</v>
      </c>
      <c r="G247" s="6"/>
      <c r="H247" s="7" t="n">
        <v>42</v>
      </c>
      <c r="I247" s="7" t="n">
        <v>60</v>
      </c>
      <c r="J247" s="7" t="n">
        <v>51</v>
      </c>
      <c r="K247" s="7" t="n">
        <v>51</v>
      </c>
      <c r="L247" s="0" t="str">
        <f aca="false">IF(H247&gt;I247,"ERRO","OK")</f>
        <v>OK</v>
      </c>
      <c r="M247" s="0" t="str">
        <f aca="false">IF(H247&gt;J247,"ERRO","OK")</f>
        <v>OK</v>
      </c>
      <c r="N247" s="0" t="str">
        <f aca="false">IF(I247&lt;J247,"ERRO","OK")</f>
        <v>OK</v>
      </c>
    </row>
    <row r="248" customFormat="false" ht="25" hidden="false" customHeight="false" outlineLevel="0" collapsed="false">
      <c r="A248" s="0" t="n">
        <v>43</v>
      </c>
      <c r="B248" s="0" t="n">
        <v>2023</v>
      </c>
      <c r="C248" s="3" t="n">
        <v>44973</v>
      </c>
      <c r="D248" s="8" t="s">
        <v>15</v>
      </c>
      <c r="E248" s="9" t="s">
        <v>31</v>
      </c>
      <c r="F248" s="9" t="s">
        <v>17</v>
      </c>
      <c r="G248" s="11" t="n">
        <v>36</v>
      </c>
      <c r="H248" s="11" t="n">
        <v>36</v>
      </c>
      <c r="I248" s="11" t="n">
        <v>48</v>
      </c>
      <c r="J248" s="11" t="n">
        <v>40</v>
      </c>
      <c r="K248" s="11" t="n">
        <v>36</v>
      </c>
      <c r="L248" s="0" t="str">
        <f aca="false">IF(H248&gt;I248,"ERRO","OK")</f>
        <v>OK</v>
      </c>
      <c r="M248" s="0" t="str">
        <f aca="false">IF(H248&gt;J248,"ERRO","OK")</f>
        <v>OK</v>
      </c>
      <c r="N248" s="0" t="str">
        <f aca="false">IF(I248&lt;J248,"ERRO","OK")</f>
        <v>OK</v>
      </c>
    </row>
    <row r="249" customFormat="false" ht="25" hidden="false" customHeight="false" outlineLevel="0" collapsed="false">
      <c r="A249" s="0" t="n">
        <v>43</v>
      </c>
      <c r="B249" s="0" t="n">
        <v>2023</v>
      </c>
      <c r="C249" s="3" t="n">
        <v>44973</v>
      </c>
      <c r="D249" s="4" t="s">
        <v>15</v>
      </c>
      <c r="E249" s="5" t="s">
        <v>32</v>
      </c>
      <c r="F249" s="5" t="s">
        <v>17</v>
      </c>
      <c r="G249" s="7" t="n">
        <v>24</v>
      </c>
      <c r="H249" s="7" t="n">
        <v>18</v>
      </c>
      <c r="I249" s="7" t="n">
        <v>30</v>
      </c>
      <c r="J249" s="7" t="n">
        <v>24</v>
      </c>
      <c r="K249" s="7" t="n">
        <v>24</v>
      </c>
      <c r="L249" s="0" t="str">
        <f aca="false">IF(H249&gt;I249,"ERRO","OK")</f>
        <v>OK</v>
      </c>
      <c r="M249" s="0" t="str">
        <f aca="false">IF(H249&gt;J249,"ERRO","OK")</f>
        <v>OK</v>
      </c>
      <c r="N249" s="0" t="str">
        <f aca="false">IF(I249&lt;J249,"ERRO","OK")</f>
        <v>OK</v>
      </c>
    </row>
    <row r="250" customFormat="false" ht="25" hidden="false" customHeight="false" outlineLevel="0" collapsed="false">
      <c r="A250" s="0" t="n">
        <v>43</v>
      </c>
      <c r="B250" s="0" t="n">
        <v>2023</v>
      </c>
      <c r="C250" s="3" t="n">
        <v>44973</v>
      </c>
      <c r="D250" s="8" t="s">
        <v>15</v>
      </c>
      <c r="E250" s="9" t="s">
        <v>33</v>
      </c>
      <c r="F250" s="9" t="s">
        <v>17</v>
      </c>
      <c r="G250" s="11" t="n">
        <v>42</v>
      </c>
      <c r="H250" s="11" t="n">
        <v>36</v>
      </c>
      <c r="I250" s="11" t="n">
        <v>42</v>
      </c>
      <c r="J250" s="11" t="n">
        <v>39</v>
      </c>
      <c r="K250" s="11" t="n">
        <v>39</v>
      </c>
      <c r="L250" s="0" t="str">
        <f aca="false">IF(H250&gt;I250,"ERRO","OK")</f>
        <v>OK</v>
      </c>
      <c r="M250" s="0" t="str">
        <f aca="false">IF(H250&gt;J250,"ERRO","OK")</f>
        <v>OK</v>
      </c>
      <c r="N250" s="0" t="str">
        <f aca="false">IF(I250&lt;J250,"ERRO","OK")</f>
        <v>OK</v>
      </c>
    </row>
    <row r="251" customFormat="false" ht="25" hidden="false" customHeight="false" outlineLevel="0" collapsed="false">
      <c r="A251" s="0" t="n">
        <v>43</v>
      </c>
      <c r="B251" s="0" t="n">
        <v>2023</v>
      </c>
      <c r="C251" s="3" t="n">
        <v>44973</v>
      </c>
      <c r="D251" s="4" t="s">
        <v>34</v>
      </c>
      <c r="E251" s="5" t="s">
        <v>35</v>
      </c>
      <c r="F251" s="5" t="s">
        <v>36</v>
      </c>
      <c r="G251" s="7" t="n">
        <v>5</v>
      </c>
      <c r="H251" s="7" t="s">
        <v>78</v>
      </c>
      <c r="I251" s="7" t="n">
        <v>5</v>
      </c>
      <c r="J251" s="7" t="s">
        <v>139</v>
      </c>
      <c r="K251" s="7" t="s">
        <v>101</v>
      </c>
      <c r="L251" s="0" t="str">
        <f aca="false">IF(H251&gt;I251,"ERRO","OK")</f>
        <v>ERRO</v>
      </c>
      <c r="M251" s="0" t="str">
        <f aca="false">IF(H251&gt;J251,"ERRO","OK")</f>
        <v>OK</v>
      </c>
      <c r="N251" s="0" t="str">
        <f aca="false">IF(I251&lt;J251,"ERRO","OK")</f>
        <v>ERRO</v>
      </c>
    </row>
    <row r="252" customFormat="false" ht="25" hidden="false" customHeight="false" outlineLevel="0" collapsed="false">
      <c r="A252" s="0" t="n">
        <v>43</v>
      </c>
      <c r="B252" s="0" t="n">
        <v>2023</v>
      </c>
      <c r="C252" s="3" t="n">
        <v>44973</v>
      </c>
      <c r="D252" s="8" t="s">
        <v>34</v>
      </c>
      <c r="E252" s="9" t="s">
        <v>38</v>
      </c>
      <c r="F252" s="9" t="s">
        <v>39</v>
      </c>
      <c r="G252" s="10"/>
      <c r="H252" s="11" t="n">
        <v>18</v>
      </c>
      <c r="I252" s="11" t="n">
        <v>25</v>
      </c>
      <c r="J252" s="11" t="n">
        <v>21</v>
      </c>
      <c r="K252" s="11" t="n">
        <v>20</v>
      </c>
      <c r="L252" s="0" t="str">
        <f aca="false">IF(H252&gt;I252,"ERRO","OK")</f>
        <v>OK</v>
      </c>
      <c r="M252" s="0" t="str">
        <f aca="false">IF(H252&gt;J252,"ERRO","OK")</f>
        <v>OK</v>
      </c>
      <c r="N252" s="0" t="str">
        <f aca="false">IF(I252&lt;J252,"ERRO","OK")</f>
        <v>OK</v>
      </c>
    </row>
    <row r="253" customFormat="false" ht="25" hidden="false" customHeight="false" outlineLevel="0" collapsed="false">
      <c r="A253" s="0" t="n">
        <v>43</v>
      </c>
      <c r="B253" s="0" t="n">
        <v>2023</v>
      </c>
      <c r="C253" s="3" t="n">
        <v>44973</v>
      </c>
      <c r="D253" s="4" t="s">
        <v>34</v>
      </c>
      <c r="E253" s="5" t="s">
        <v>40</v>
      </c>
      <c r="F253" s="5" t="s">
        <v>39</v>
      </c>
      <c r="G253" s="7" t="n">
        <v>25</v>
      </c>
      <c r="H253" s="7" t="n">
        <v>25</v>
      </c>
      <c r="I253" s="7" t="n">
        <v>30</v>
      </c>
      <c r="J253" s="7" t="s">
        <v>140</v>
      </c>
      <c r="K253" s="7" t="n">
        <v>25</v>
      </c>
      <c r="L253" s="0" t="str">
        <f aca="false">IF(H253&gt;I253,"ERRO","OK")</f>
        <v>OK</v>
      </c>
      <c r="M253" s="0" t="str">
        <f aca="false">IF(H253&gt;J253,"ERRO","OK")</f>
        <v>OK</v>
      </c>
      <c r="N253" s="0" t="str">
        <f aca="false">IF(I253&lt;J253,"ERRO","OK")</f>
        <v>ERRO</v>
      </c>
    </row>
    <row r="254" customFormat="false" ht="36.5" hidden="false" customHeight="false" outlineLevel="0" collapsed="false">
      <c r="A254" s="0" t="n">
        <v>43</v>
      </c>
      <c r="B254" s="0" t="n">
        <v>2023</v>
      </c>
      <c r="C254" s="3" t="n">
        <v>44973</v>
      </c>
      <c r="D254" s="8" t="s">
        <v>42</v>
      </c>
      <c r="E254" s="9" t="s">
        <v>43</v>
      </c>
      <c r="F254" s="9" t="s">
        <v>44</v>
      </c>
      <c r="G254" s="11" t="n">
        <v>60</v>
      </c>
      <c r="H254" s="11" t="n">
        <v>40</v>
      </c>
      <c r="I254" s="11" t="n">
        <v>60</v>
      </c>
      <c r="J254" s="11" t="s">
        <v>82</v>
      </c>
      <c r="K254" s="11" t="n">
        <v>55</v>
      </c>
      <c r="L254" s="0" t="str">
        <f aca="false">IF(H254&gt;I254,"ERRO","OK")</f>
        <v>OK</v>
      </c>
      <c r="M254" s="0" t="str">
        <f aca="false">IF(H254&gt;J254,"ERRO","OK")</f>
        <v>OK</v>
      </c>
      <c r="N254" s="0" t="str">
        <f aca="false">IF(I254&lt;J254,"ERRO","OK")</f>
        <v>ERRO</v>
      </c>
    </row>
    <row r="255" customFormat="false" ht="36.5" hidden="false" customHeight="false" outlineLevel="0" collapsed="false">
      <c r="A255" s="0" t="n">
        <v>43</v>
      </c>
      <c r="B255" s="0" t="n">
        <v>2023</v>
      </c>
      <c r="C255" s="3" t="n">
        <v>44973</v>
      </c>
      <c r="D255" s="4" t="s">
        <v>42</v>
      </c>
      <c r="E255" s="5" t="s">
        <v>46</v>
      </c>
      <c r="F255" s="5" t="s">
        <v>47</v>
      </c>
      <c r="G255" s="7" t="n">
        <v>50</v>
      </c>
      <c r="H255" s="7" t="n">
        <v>45</v>
      </c>
      <c r="I255" s="7" t="n">
        <v>50</v>
      </c>
      <c r="J255" s="7" t="s">
        <v>141</v>
      </c>
      <c r="K255" s="7" t="n">
        <v>50</v>
      </c>
      <c r="L255" s="0" t="str">
        <f aca="false">IF(H255&gt;I255,"ERRO","OK")</f>
        <v>OK</v>
      </c>
      <c r="M255" s="0" t="str">
        <f aca="false">IF(H255&gt;J255,"ERRO","OK")</f>
        <v>OK</v>
      </c>
      <c r="N255" s="0" t="str">
        <f aca="false">IF(I255&lt;J255,"ERRO","OK")</f>
        <v>ERRO</v>
      </c>
    </row>
    <row r="256" customFormat="false" ht="36.5" hidden="false" customHeight="false" outlineLevel="0" collapsed="false">
      <c r="A256" s="0" t="n">
        <v>43</v>
      </c>
      <c r="B256" s="0" t="n">
        <v>2023</v>
      </c>
      <c r="C256" s="3" t="n">
        <v>44973</v>
      </c>
      <c r="D256" s="8" t="s">
        <v>42</v>
      </c>
      <c r="E256" s="9" t="s">
        <v>48</v>
      </c>
      <c r="F256" s="9" t="s">
        <v>49</v>
      </c>
      <c r="G256" s="11" t="n">
        <v>50</v>
      </c>
      <c r="H256" s="11" t="n">
        <v>35</v>
      </c>
      <c r="I256" s="11" t="n">
        <v>50</v>
      </c>
      <c r="J256" s="11" t="n">
        <v>45</v>
      </c>
      <c r="K256" s="11" t="s">
        <v>95</v>
      </c>
      <c r="L256" s="0" t="str">
        <f aca="false">IF(H256&gt;I256,"ERRO","OK")</f>
        <v>OK</v>
      </c>
      <c r="M256" s="0" t="str">
        <f aca="false">IF(H256&gt;J256,"ERRO","OK")</f>
        <v>OK</v>
      </c>
      <c r="N256" s="0" t="str">
        <f aca="false">IF(I256&lt;J256,"ERRO","OK")</f>
        <v>OK</v>
      </c>
    </row>
    <row r="257" customFormat="false" ht="36.5" hidden="false" customHeight="false" outlineLevel="0" collapsed="false">
      <c r="A257" s="0" t="n">
        <v>43</v>
      </c>
      <c r="B257" s="0" t="n">
        <v>2023</v>
      </c>
      <c r="C257" s="3" t="n">
        <v>44973</v>
      </c>
      <c r="D257" s="4" t="s">
        <v>42</v>
      </c>
      <c r="E257" s="5" t="s">
        <v>52</v>
      </c>
      <c r="F257" s="5" t="s">
        <v>49</v>
      </c>
      <c r="G257" s="6"/>
      <c r="H257" s="7" t="n">
        <v>60</v>
      </c>
      <c r="I257" s="7" t="n">
        <v>60</v>
      </c>
      <c r="J257" s="7" t="n">
        <v>60</v>
      </c>
      <c r="K257" s="7" t="n">
        <v>60</v>
      </c>
      <c r="L257" s="0" t="str">
        <f aca="false">IF(H257&gt;I257,"ERRO","OK")</f>
        <v>OK</v>
      </c>
      <c r="M257" s="0" t="str">
        <f aca="false">IF(H257&gt;J257,"ERRO","OK")</f>
        <v>OK</v>
      </c>
      <c r="N257" s="0" t="str">
        <f aca="false">IF(I257&lt;J257,"ERRO","OK")</f>
        <v>OK</v>
      </c>
    </row>
    <row r="258" customFormat="false" ht="36.5" hidden="false" customHeight="false" outlineLevel="0" collapsed="false">
      <c r="A258" s="0" t="n">
        <v>43</v>
      </c>
      <c r="B258" s="0" t="n">
        <v>2023</v>
      </c>
      <c r="C258" s="3" t="n">
        <v>44973</v>
      </c>
      <c r="D258" s="8" t="s">
        <v>42</v>
      </c>
      <c r="E258" s="9" t="s">
        <v>53</v>
      </c>
      <c r="F258" s="9" t="s">
        <v>54</v>
      </c>
      <c r="G258" s="11" t="n">
        <v>60</v>
      </c>
      <c r="H258" s="11" t="n">
        <v>50</v>
      </c>
      <c r="I258" s="11" t="n">
        <v>70</v>
      </c>
      <c r="J258" s="11" t="n">
        <v>60</v>
      </c>
      <c r="K258" s="11" t="n">
        <v>60</v>
      </c>
      <c r="L258" s="0" t="str">
        <f aca="false">IF(H258&gt;I258,"ERRO","OK")</f>
        <v>OK</v>
      </c>
      <c r="M258" s="0" t="str">
        <f aca="false">IF(H258&gt;J258,"ERRO","OK")</f>
        <v>OK</v>
      </c>
      <c r="N258" s="0" t="str">
        <f aca="false">IF(I258&lt;J258,"ERRO","OK")</f>
        <v>OK</v>
      </c>
    </row>
    <row r="259" customFormat="false" ht="36.5" hidden="false" customHeight="false" outlineLevel="0" collapsed="false">
      <c r="A259" s="0" t="n">
        <v>43</v>
      </c>
      <c r="B259" s="0" t="n">
        <v>2023</v>
      </c>
      <c r="C259" s="3" t="n">
        <v>44973</v>
      </c>
      <c r="D259" s="4" t="s">
        <v>42</v>
      </c>
      <c r="E259" s="5" t="s">
        <v>56</v>
      </c>
      <c r="F259" s="5" t="s">
        <v>47</v>
      </c>
      <c r="G259" s="7" t="n">
        <v>60</v>
      </c>
      <c r="H259" s="7" t="n">
        <v>40</v>
      </c>
      <c r="I259" s="7" t="n">
        <v>60</v>
      </c>
      <c r="J259" s="7" t="n">
        <v>54</v>
      </c>
      <c r="K259" s="7" t="n">
        <v>60</v>
      </c>
      <c r="L259" s="0" t="str">
        <f aca="false">IF(H259&gt;I259,"ERRO","OK")</f>
        <v>OK</v>
      </c>
      <c r="M259" s="0" t="str">
        <f aca="false">IF(H259&gt;J259,"ERRO","OK")</f>
        <v>OK</v>
      </c>
      <c r="N259" s="0" t="str">
        <f aca="false">IF(I259&lt;J259,"ERRO","OK")</f>
        <v>OK</v>
      </c>
    </row>
    <row r="260" customFormat="false" ht="36.5" hidden="false" customHeight="false" outlineLevel="0" collapsed="false">
      <c r="A260" s="0" t="n">
        <v>43</v>
      </c>
      <c r="B260" s="0" t="n">
        <v>2023</v>
      </c>
      <c r="C260" s="3" t="n">
        <v>44973</v>
      </c>
      <c r="D260" s="8" t="s">
        <v>42</v>
      </c>
      <c r="E260" s="9" t="s">
        <v>57</v>
      </c>
      <c r="F260" s="9" t="s">
        <v>47</v>
      </c>
      <c r="G260" s="11" t="n">
        <v>50</v>
      </c>
      <c r="H260" s="11" t="n">
        <v>35</v>
      </c>
      <c r="I260" s="11" t="n">
        <v>50</v>
      </c>
      <c r="J260" s="11" t="n">
        <v>46</v>
      </c>
      <c r="K260" s="11" t="n">
        <v>50</v>
      </c>
      <c r="L260" s="0" t="str">
        <f aca="false">IF(H260&gt;I260,"ERRO","OK")</f>
        <v>OK</v>
      </c>
      <c r="M260" s="0" t="str">
        <f aca="false">IF(H260&gt;J260,"ERRO","OK")</f>
        <v>OK</v>
      </c>
      <c r="N260" s="0" t="str">
        <f aca="false">IF(I260&lt;J260,"ERRO","OK")</f>
        <v>OK</v>
      </c>
    </row>
    <row r="261" customFormat="false" ht="36.5" hidden="false" customHeight="false" outlineLevel="0" collapsed="false">
      <c r="A261" s="0" t="n">
        <v>43</v>
      </c>
      <c r="B261" s="0" t="n">
        <v>2023</v>
      </c>
      <c r="C261" s="3" t="n">
        <v>44973</v>
      </c>
      <c r="D261" s="4" t="s">
        <v>42</v>
      </c>
      <c r="E261" s="5" t="s">
        <v>58</v>
      </c>
      <c r="F261" s="5" t="s">
        <v>44</v>
      </c>
      <c r="G261" s="7" t="n">
        <v>70</v>
      </c>
      <c r="H261" s="7" t="n">
        <v>50</v>
      </c>
      <c r="I261" s="7" t="n">
        <v>70</v>
      </c>
      <c r="J261" s="7" t="s">
        <v>84</v>
      </c>
      <c r="K261" s="7" t="n">
        <v>65</v>
      </c>
      <c r="L261" s="0" t="str">
        <f aca="false">IF(H261&gt;I261,"ERRO","OK")</f>
        <v>OK</v>
      </c>
      <c r="M261" s="0" t="str">
        <f aca="false">IF(H261&gt;J261,"ERRO","OK")</f>
        <v>OK</v>
      </c>
      <c r="N261" s="0" t="str">
        <f aca="false">IF(I261&lt;J261,"ERRO","OK")</f>
        <v>ERRO</v>
      </c>
    </row>
    <row r="262" customFormat="false" ht="36.5" hidden="false" customHeight="false" outlineLevel="0" collapsed="false">
      <c r="A262" s="0" t="n">
        <v>43</v>
      </c>
      <c r="B262" s="0" t="n">
        <v>2023</v>
      </c>
      <c r="C262" s="3" t="n">
        <v>44973</v>
      </c>
      <c r="D262" s="8" t="s">
        <v>42</v>
      </c>
      <c r="E262" s="9" t="s">
        <v>60</v>
      </c>
      <c r="F262" s="9" t="s">
        <v>47</v>
      </c>
      <c r="G262" s="10"/>
      <c r="H262" s="11" t="n">
        <v>50</v>
      </c>
      <c r="I262" s="11" t="n">
        <v>55</v>
      </c>
      <c r="J262" s="11" t="s">
        <v>82</v>
      </c>
      <c r="K262" s="11" t="s">
        <v>82</v>
      </c>
      <c r="L262" s="0" t="str">
        <f aca="false">IF(H262&gt;I262,"ERRO","OK")</f>
        <v>OK</v>
      </c>
      <c r="M262" s="0" t="str">
        <f aca="false">IF(H262&gt;J262,"ERRO","OK")</f>
        <v>OK</v>
      </c>
      <c r="N262" s="0" t="str">
        <f aca="false">IF(I262&lt;J262,"ERRO","OK")</f>
        <v>ERRO</v>
      </c>
    </row>
    <row r="263" customFormat="false" ht="36.5" hidden="false" customHeight="false" outlineLevel="0" collapsed="false">
      <c r="A263" s="0" t="n">
        <v>43</v>
      </c>
      <c r="B263" s="0" t="n">
        <v>2023</v>
      </c>
      <c r="C263" s="3" t="n">
        <v>44973</v>
      </c>
      <c r="D263" s="4" t="s">
        <v>42</v>
      </c>
      <c r="E263" s="5" t="s">
        <v>61</v>
      </c>
      <c r="F263" s="5" t="s">
        <v>44</v>
      </c>
      <c r="G263" s="6"/>
      <c r="H263" s="7" t="n">
        <v>45</v>
      </c>
      <c r="I263" s="7" t="n">
        <v>60</v>
      </c>
      <c r="J263" s="7" t="s">
        <v>142</v>
      </c>
      <c r="K263" s="7" t="n">
        <v>50</v>
      </c>
      <c r="L263" s="0" t="str">
        <f aca="false">IF(H263&gt;I263,"ERRO","OK")</f>
        <v>OK</v>
      </c>
      <c r="M263" s="0" t="str">
        <f aca="false">IF(H263&gt;J263,"ERRO","OK")</f>
        <v>OK</v>
      </c>
      <c r="N263" s="0" t="str">
        <f aca="false">IF(I263&lt;J263,"ERRO","OK")</f>
        <v>ERRO</v>
      </c>
    </row>
    <row r="264" customFormat="false" ht="36.5" hidden="false" customHeight="false" outlineLevel="0" collapsed="false">
      <c r="A264" s="0" t="n">
        <v>43</v>
      </c>
      <c r="B264" s="0" t="n">
        <v>2023</v>
      </c>
      <c r="C264" s="3" t="n">
        <v>44973</v>
      </c>
      <c r="D264" s="8" t="s">
        <v>42</v>
      </c>
      <c r="E264" s="9" t="s">
        <v>62</v>
      </c>
      <c r="F264" s="9" t="s">
        <v>44</v>
      </c>
      <c r="G264" s="10"/>
      <c r="H264" s="11" t="n">
        <v>60</v>
      </c>
      <c r="I264" s="11" t="n">
        <v>100</v>
      </c>
      <c r="J264" s="11" t="n">
        <v>81</v>
      </c>
      <c r="K264" s="11" t="n">
        <v>80</v>
      </c>
      <c r="L264" s="0" t="str">
        <f aca="false">IF(H264&gt;I264,"ERRO","OK")</f>
        <v>OK</v>
      </c>
      <c r="M264" s="0" t="str">
        <f aca="false">IF(H264&gt;J264,"ERRO","OK")</f>
        <v>OK</v>
      </c>
      <c r="N264" s="0" t="str">
        <f aca="false">IF(I264&lt;J264,"ERRO","OK")</f>
        <v>OK</v>
      </c>
    </row>
    <row r="265" customFormat="false" ht="36.5" hidden="false" customHeight="false" outlineLevel="0" collapsed="false">
      <c r="A265" s="0" t="n">
        <v>43</v>
      </c>
      <c r="B265" s="0" t="n">
        <v>2023</v>
      </c>
      <c r="C265" s="3" t="n">
        <v>44973</v>
      </c>
      <c r="D265" s="4" t="s">
        <v>42</v>
      </c>
      <c r="E265" s="5" t="s">
        <v>63</v>
      </c>
      <c r="F265" s="5" t="s">
        <v>49</v>
      </c>
      <c r="G265" s="7" t="n">
        <v>40</v>
      </c>
      <c r="H265" s="7" t="n">
        <v>35</v>
      </c>
      <c r="I265" s="7" t="n">
        <v>40</v>
      </c>
      <c r="J265" s="7" t="s">
        <v>143</v>
      </c>
      <c r="K265" s="7" t="n">
        <v>40</v>
      </c>
      <c r="L265" s="0" t="str">
        <f aca="false">IF(H265&gt;I265,"ERRO","OK")</f>
        <v>OK</v>
      </c>
      <c r="M265" s="0" t="str">
        <f aca="false">IF(H265&gt;J265,"ERRO","OK")</f>
        <v>OK</v>
      </c>
      <c r="N265" s="0" t="str">
        <f aca="false">IF(I265&lt;J265,"ERRO","OK")</f>
        <v>ERRO</v>
      </c>
    </row>
    <row r="266" customFormat="false" ht="36.5" hidden="false" customHeight="false" outlineLevel="0" collapsed="false">
      <c r="A266" s="0" t="n">
        <v>43</v>
      </c>
      <c r="B266" s="0" t="n">
        <v>2023</v>
      </c>
      <c r="C266" s="3" t="n">
        <v>44973</v>
      </c>
      <c r="D266" s="8" t="s">
        <v>42</v>
      </c>
      <c r="E266" s="9" t="s">
        <v>64</v>
      </c>
      <c r="F266" s="9" t="s">
        <v>65</v>
      </c>
      <c r="G266" s="11" t="n">
        <v>70</v>
      </c>
      <c r="H266" s="11" t="n">
        <v>70</v>
      </c>
      <c r="I266" s="11" t="n">
        <v>100</v>
      </c>
      <c r="J266" s="11" t="n">
        <v>80</v>
      </c>
      <c r="K266" s="11" t="n">
        <v>75</v>
      </c>
      <c r="L266" s="0" t="str">
        <f aca="false">IF(H266&gt;I266,"ERRO","OK")</f>
        <v>OK</v>
      </c>
      <c r="M266" s="0" t="str">
        <f aca="false">IF(H266&gt;J266,"ERRO","OK")</f>
        <v>OK</v>
      </c>
      <c r="N266" s="0" t="str">
        <f aca="false">IF(I266&lt;J266,"ERRO","OK")</f>
        <v>OK</v>
      </c>
    </row>
    <row r="267" customFormat="false" ht="36.5" hidden="false" customHeight="false" outlineLevel="0" collapsed="false">
      <c r="A267" s="0" t="n">
        <v>43</v>
      </c>
      <c r="B267" s="0" t="n">
        <v>2023</v>
      </c>
      <c r="C267" s="3" t="n">
        <v>44973</v>
      </c>
      <c r="D267" s="4" t="s">
        <v>42</v>
      </c>
      <c r="E267" s="5" t="s">
        <v>67</v>
      </c>
      <c r="F267" s="5" t="s">
        <v>44</v>
      </c>
      <c r="G267" s="7" t="n">
        <v>110</v>
      </c>
      <c r="H267" s="7" t="n">
        <v>100</v>
      </c>
      <c r="I267" s="7" t="n">
        <v>140</v>
      </c>
      <c r="J267" s="7" t="n">
        <v>115</v>
      </c>
      <c r="K267" s="7" t="n">
        <v>110</v>
      </c>
      <c r="L267" s="0" t="str">
        <f aca="false">IF(H267&gt;I267,"ERRO","OK")</f>
        <v>OK</v>
      </c>
      <c r="M267" s="0" t="str">
        <f aca="false">IF(H267&gt;J267,"ERRO","OK")</f>
        <v>OK</v>
      </c>
      <c r="N267" s="0" t="str">
        <f aca="false">IF(I267&lt;J267,"ERRO","OK")</f>
        <v>OK</v>
      </c>
    </row>
    <row r="268" customFormat="false" ht="36.5" hidden="false" customHeight="false" outlineLevel="0" collapsed="false">
      <c r="A268" s="0" t="n">
        <v>43</v>
      </c>
      <c r="B268" s="0" t="n">
        <v>2023</v>
      </c>
      <c r="C268" s="3" t="n">
        <v>44973</v>
      </c>
      <c r="D268" s="8" t="s">
        <v>42</v>
      </c>
      <c r="E268" s="9" t="s">
        <v>68</v>
      </c>
      <c r="F268" s="9" t="s">
        <v>44</v>
      </c>
      <c r="G268" s="11" t="n">
        <v>120</v>
      </c>
      <c r="H268" s="11" t="n">
        <v>100</v>
      </c>
      <c r="I268" s="11" t="n">
        <v>130</v>
      </c>
      <c r="J268" s="11" t="s">
        <v>144</v>
      </c>
      <c r="K268" s="11" t="n">
        <v>120</v>
      </c>
      <c r="L268" s="0" t="str">
        <f aca="false">IF(H268&gt;I268,"ERRO","OK")</f>
        <v>OK</v>
      </c>
      <c r="M268" s="0" t="str">
        <f aca="false">IF(H268&gt;J268,"ERRO","OK")</f>
        <v>OK</v>
      </c>
      <c r="N268" s="0" t="str">
        <f aca="false">IF(I268&lt;J268,"ERRO","OK")</f>
        <v>ERRO</v>
      </c>
    </row>
    <row r="269" customFormat="false" ht="14.25" hidden="false" customHeight="false" outlineLevel="0" collapsed="false">
      <c r="A269" s="0" t="n">
        <v>43</v>
      </c>
      <c r="B269" s="0" t="n">
        <v>2023</v>
      </c>
      <c r="C269" s="3" t="n">
        <v>44973</v>
      </c>
      <c r="D269" s="4" t="s">
        <v>69</v>
      </c>
      <c r="E269" s="5" t="s">
        <v>70</v>
      </c>
      <c r="F269" s="5" t="s">
        <v>44</v>
      </c>
      <c r="G269" s="6"/>
      <c r="H269" s="6"/>
      <c r="I269" s="6"/>
      <c r="J269" s="6"/>
      <c r="K269" s="6"/>
      <c r="L269" s="0" t="str">
        <f aca="false">IF(H269&gt;I269,"ERRO","OK")</f>
        <v>OK</v>
      </c>
      <c r="M269" s="0" t="str">
        <f aca="false">IF(H269&gt;J269,"ERRO","OK")</f>
        <v>OK</v>
      </c>
      <c r="N269" s="0" t="str">
        <f aca="false">IF(I269&lt;J269,"ERRO","OK")</f>
        <v>OK</v>
      </c>
    </row>
    <row r="270" customFormat="false" ht="14.25" hidden="false" customHeight="false" outlineLevel="0" collapsed="false">
      <c r="A270" s="0" t="n">
        <v>43</v>
      </c>
      <c r="B270" s="0" t="n">
        <v>2023</v>
      </c>
      <c r="C270" s="3" t="n">
        <v>44973</v>
      </c>
      <c r="D270" s="8" t="s">
        <v>69</v>
      </c>
      <c r="E270" s="9" t="s">
        <v>71</v>
      </c>
      <c r="F270" s="9" t="s">
        <v>44</v>
      </c>
      <c r="G270" s="10"/>
      <c r="H270" s="10"/>
      <c r="I270" s="10"/>
      <c r="J270" s="10"/>
      <c r="K270" s="10"/>
      <c r="L270" s="0" t="str">
        <f aca="false">IF(H270&gt;I270,"ERRO","OK")</f>
        <v>OK</v>
      </c>
      <c r="M270" s="0" t="str">
        <f aca="false">IF(H270&gt;J270,"ERRO","OK")</f>
        <v>OK</v>
      </c>
      <c r="N270" s="0" t="str">
        <f aca="false">IF(I270&lt;J270,"ERRO","OK")</f>
        <v>OK</v>
      </c>
    </row>
    <row r="271" customFormat="false" ht="14.25" hidden="false" customHeight="false" outlineLevel="0" collapsed="false">
      <c r="A271" s="0" t="n">
        <v>43</v>
      </c>
      <c r="B271" s="0" t="n">
        <v>2023</v>
      </c>
      <c r="C271" s="3" t="n">
        <v>44973</v>
      </c>
      <c r="D271" s="4" t="s">
        <v>69</v>
      </c>
      <c r="E271" s="5" t="s">
        <v>72</v>
      </c>
      <c r="F271" s="5" t="s">
        <v>44</v>
      </c>
      <c r="G271" s="6"/>
      <c r="H271" s="6"/>
      <c r="I271" s="6"/>
      <c r="J271" s="6"/>
      <c r="K271" s="6"/>
      <c r="L271" s="0" t="str">
        <f aca="false">IF(H271&gt;I271,"ERRO","OK")</f>
        <v>OK</v>
      </c>
      <c r="M271" s="0" t="str">
        <f aca="false">IF(H271&gt;J271,"ERRO","OK")</f>
        <v>OK</v>
      </c>
      <c r="N271" s="0" t="str">
        <f aca="false">IF(I271&lt;J271,"ERRO","OK")</f>
        <v>OK</v>
      </c>
    </row>
    <row r="272" customFormat="false" ht="14.25" hidden="false" customHeight="false" outlineLevel="0" collapsed="false">
      <c r="A272" s="0" t="n">
        <v>43</v>
      </c>
      <c r="B272" s="0" t="n">
        <v>2023</v>
      </c>
      <c r="C272" s="3" t="n">
        <v>44973</v>
      </c>
      <c r="D272" s="8" t="s">
        <v>69</v>
      </c>
      <c r="E272" s="9" t="s">
        <v>73</v>
      </c>
      <c r="F272" s="9" t="s">
        <v>49</v>
      </c>
      <c r="G272" s="10"/>
      <c r="H272" s="10"/>
      <c r="I272" s="10"/>
      <c r="J272" s="10"/>
      <c r="K272" s="10"/>
      <c r="L272" s="0" t="str">
        <f aca="false">IF(H272&gt;I272,"ERRO","OK")</f>
        <v>OK</v>
      </c>
      <c r="M272" s="0" t="str">
        <f aca="false">IF(H272&gt;J272,"ERRO","OK")</f>
        <v>OK</v>
      </c>
      <c r="N272" s="0" t="str">
        <f aca="false">IF(I272&lt;J272,"ERRO","OK")</f>
        <v>OK</v>
      </c>
    </row>
    <row r="273" customFormat="false" ht="14.25" hidden="false" customHeight="false" outlineLevel="0" collapsed="false">
      <c r="A273" s="0" t="n">
        <v>43</v>
      </c>
      <c r="B273" s="0" t="n">
        <v>2023</v>
      </c>
      <c r="C273" s="3" t="n">
        <v>44973</v>
      </c>
      <c r="D273" s="4" t="s">
        <v>69</v>
      </c>
      <c r="E273" s="5" t="s">
        <v>74</v>
      </c>
      <c r="F273" s="5" t="s">
        <v>75</v>
      </c>
      <c r="G273" s="6"/>
      <c r="H273" s="6"/>
      <c r="I273" s="6"/>
      <c r="J273" s="6"/>
      <c r="K273" s="6"/>
      <c r="L273" s="0" t="str">
        <f aca="false">IF(H273&gt;I273,"ERRO","OK")</f>
        <v>OK</v>
      </c>
      <c r="M273" s="0" t="str">
        <f aca="false">IF(H273&gt;J273,"ERRO","OK")</f>
        <v>OK</v>
      </c>
      <c r="N273" s="0" t="str">
        <f aca="false">IF(I273&lt;J273,"ERRO","OK")</f>
        <v>OK</v>
      </c>
    </row>
    <row r="274" customFormat="false" ht="25" hidden="false" customHeight="false" outlineLevel="0" collapsed="false">
      <c r="A274" s="0" t="n">
        <v>44</v>
      </c>
      <c r="B274" s="0" t="n">
        <v>2024</v>
      </c>
      <c r="C274" s="3" t="n">
        <v>45357</v>
      </c>
      <c r="D274" s="4" t="s">
        <v>15</v>
      </c>
      <c r="E274" s="5" t="s">
        <v>16</v>
      </c>
      <c r="F274" s="5" t="s">
        <v>17</v>
      </c>
      <c r="G274" s="7" t="n">
        <v>60</v>
      </c>
      <c r="H274" s="7" t="n">
        <v>48</v>
      </c>
      <c r="I274" s="7" t="n">
        <v>78</v>
      </c>
      <c r="J274" s="7" t="s">
        <v>145</v>
      </c>
      <c r="K274" s="7" t="n">
        <v>60</v>
      </c>
      <c r="L274" s="0" t="str">
        <f aca="false">IF(H274&gt;I274,"ERRO","OK")</f>
        <v>OK</v>
      </c>
      <c r="M274" s="0" t="str">
        <f aca="false">IF(H274&gt;J274,"ERRO","OK")</f>
        <v>OK</v>
      </c>
      <c r="N274" s="0" t="str">
        <f aca="false">IF(I274&lt;J274,"ERRO","OK")</f>
        <v>ERRO</v>
      </c>
    </row>
    <row r="275" customFormat="false" ht="25" hidden="false" customHeight="false" outlineLevel="0" collapsed="false">
      <c r="A275" s="0" t="n">
        <v>44</v>
      </c>
      <c r="B275" s="0" t="n">
        <v>2024</v>
      </c>
      <c r="C275" s="3" t="n">
        <v>45357</v>
      </c>
      <c r="D275" s="8" t="s">
        <v>15</v>
      </c>
      <c r="E275" s="9" t="s">
        <v>18</v>
      </c>
      <c r="F275" s="9" t="s">
        <v>17</v>
      </c>
      <c r="G275" s="11" t="n">
        <v>84</v>
      </c>
      <c r="H275" s="11" t="n">
        <v>72</v>
      </c>
      <c r="I275" s="11" t="n">
        <v>84</v>
      </c>
      <c r="J275" s="11" t="n">
        <v>80</v>
      </c>
      <c r="K275" s="11" t="n">
        <v>84</v>
      </c>
      <c r="L275" s="0" t="str">
        <f aca="false">IF(H275&gt;I275,"ERRO","OK")</f>
        <v>OK</v>
      </c>
      <c r="M275" s="0" t="str">
        <f aca="false">IF(H275&gt;J275,"ERRO","OK")</f>
        <v>OK</v>
      </c>
      <c r="N275" s="0" t="str">
        <f aca="false">IF(I275&lt;J275,"ERRO","OK")</f>
        <v>OK</v>
      </c>
    </row>
    <row r="276" customFormat="false" ht="25" hidden="false" customHeight="false" outlineLevel="0" collapsed="false">
      <c r="A276" s="0" t="n">
        <v>44</v>
      </c>
      <c r="B276" s="0" t="n">
        <v>2024</v>
      </c>
      <c r="C276" s="3" t="n">
        <v>45357</v>
      </c>
      <c r="D276" s="4" t="s">
        <v>15</v>
      </c>
      <c r="E276" s="5" t="s">
        <v>19</v>
      </c>
      <c r="F276" s="5" t="s">
        <v>17</v>
      </c>
      <c r="G276" s="6"/>
      <c r="H276" s="7" t="n">
        <v>45</v>
      </c>
      <c r="I276" s="7" t="n">
        <v>60</v>
      </c>
      <c r="J276" s="7" t="s">
        <v>146</v>
      </c>
      <c r="K276" s="7" t="n">
        <v>51</v>
      </c>
      <c r="L276" s="0" t="str">
        <f aca="false">IF(H276&gt;I276,"ERRO","OK")</f>
        <v>OK</v>
      </c>
      <c r="M276" s="0" t="str">
        <f aca="false">IF(H276&gt;J276,"ERRO","OK")</f>
        <v>OK</v>
      </c>
      <c r="N276" s="0" t="str">
        <f aca="false">IF(I276&lt;J276,"ERRO","OK")</f>
        <v>ERRO</v>
      </c>
    </row>
    <row r="277" customFormat="false" ht="25" hidden="false" customHeight="false" outlineLevel="0" collapsed="false">
      <c r="A277" s="0" t="n">
        <v>44</v>
      </c>
      <c r="B277" s="0" t="n">
        <v>2024</v>
      </c>
      <c r="C277" s="3" t="n">
        <v>45357</v>
      </c>
      <c r="D277" s="8" t="s">
        <v>15</v>
      </c>
      <c r="E277" s="9" t="s">
        <v>20</v>
      </c>
      <c r="F277" s="9" t="s">
        <v>17</v>
      </c>
      <c r="G277" s="10"/>
      <c r="H277" s="11" t="n">
        <v>30</v>
      </c>
      <c r="I277" s="11" t="n">
        <v>50</v>
      </c>
      <c r="J277" s="11" t="s">
        <v>147</v>
      </c>
      <c r="K277" s="11" t="n">
        <v>36</v>
      </c>
      <c r="L277" s="0" t="str">
        <f aca="false">IF(H277&gt;I277,"ERRO","OK")</f>
        <v>OK</v>
      </c>
      <c r="M277" s="0" t="str">
        <f aca="false">IF(H277&gt;J277,"ERRO","OK")</f>
        <v>OK</v>
      </c>
      <c r="N277" s="0" t="str">
        <f aca="false">IF(I277&lt;J277,"ERRO","OK")</f>
        <v>ERRO</v>
      </c>
    </row>
    <row r="278" customFormat="false" ht="25" hidden="false" customHeight="false" outlineLevel="0" collapsed="false">
      <c r="A278" s="0" t="n">
        <v>44</v>
      </c>
      <c r="B278" s="0" t="n">
        <v>2024</v>
      </c>
      <c r="C278" s="3" t="n">
        <v>45357</v>
      </c>
      <c r="D278" s="4" t="s">
        <v>15</v>
      </c>
      <c r="E278" s="5" t="s">
        <v>21</v>
      </c>
      <c r="F278" s="5" t="s">
        <v>17</v>
      </c>
      <c r="G278" s="6"/>
      <c r="H278" s="7" t="n">
        <v>30</v>
      </c>
      <c r="I278" s="7" t="n">
        <v>42</v>
      </c>
      <c r="J278" s="7" t="s">
        <v>148</v>
      </c>
      <c r="K278" s="7" t="s">
        <v>149</v>
      </c>
      <c r="L278" s="0" t="str">
        <f aca="false">IF(H278&gt;I278,"ERRO","OK")</f>
        <v>OK</v>
      </c>
      <c r="M278" s="0" t="str">
        <f aca="false">IF(H278&gt;J278,"ERRO","OK")</f>
        <v>OK</v>
      </c>
      <c r="N278" s="0" t="str">
        <f aca="false">IF(I278&lt;J278,"ERRO","OK")</f>
        <v>ERRO</v>
      </c>
    </row>
    <row r="279" customFormat="false" ht="25" hidden="false" customHeight="false" outlineLevel="0" collapsed="false">
      <c r="A279" s="0" t="n">
        <v>44</v>
      </c>
      <c r="B279" s="0" t="n">
        <v>2024</v>
      </c>
      <c r="C279" s="3" t="n">
        <v>45357</v>
      </c>
      <c r="D279" s="8" t="s">
        <v>15</v>
      </c>
      <c r="E279" s="9" t="s">
        <v>22</v>
      </c>
      <c r="F279" s="9" t="s">
        <v>17</v>
      </c>
      <c r="G279" s="11" t="n">
        <v>60</v>
      </c>
      <c r="H279" s="11" t="n">
        <v>48</v>
      </c>
      <c r="I279" s="11" t="n">
        <v>60</v>
      </c>
      <c r="J279" s="11" t="n">
        <v>56</v>
      </c>
      <c r="K279" s="11" t="n">
        <v>60</v>
      </c>
      <c r="L279" s="0" t="str">
        <f aca="false">IF(H279&gt;I279,"ERRO","OK")</f>
        <v>OK</v>
      </c>
      <c r="M279" s="0" t="str">
        <f aca="false">IF(H279&gt;J279,"ERRO","OK")</f>
        <v>OK</v>
      </c>
      <c r="N279" s="0" t="str">
        <f aca="false">IF(I279&lt;J279,"ERRO","OK")</f>
        <v>OK</v>
      </c>
    </row>
    <row r="280" customFormat="false" ht="25" hidden="false" customHeight="false" outlineLevel="0" collapsed="false">
      <c r="A280" s="0" t="n">
        <v>44</v>
      </c>
      <c r="B280" s="0" t="n">
        <v>2024</v>
      </c>
      <c r="C280" s="3" t="n">
        <v>45357</v>
      </c>
      <c r="D280" s="4" t="s">
        <v>15</v>
      </c>
      <c r="E280" s="5" t="s">
        <v>23</v>
      </c>
      <c r="F280" s="5" t="s">
        <v>17</v>
      </c>
      <c r="G280" s="7" t="n">
        <v>72</v>
      </c>
      <c r="H280" s="7" t="n">
        <v>60</v>
      </c>
      <c r="I280" s="7" t="n">
        <v>84</v>
      </c>
      <c r="J280" s="7" t="n">
        <v>72</v>
      </c>
      <c r="K280" s="7" t="n">
        <v>72</v>
      </c>
      <c r="L280" s="0" t="str">
        <f aca="false">IF(H280&gt;I280,"ERRO","OK")</f>
        <v>OK</v>
      </c>
      <c r="M280" s="0" t="str">
        <f aca="false">IF(H280&gt;J280,"ERRO","OK")</f>
        <v>OK</v>
      </c>
      <c r="N280" s="0" t="str">
        <f aca="false">IF(I280&lt;J280,"ERRO","OK")</f>
        <v>OK</v>
      </c>
    </row>
    <row r="281" customFormat="false" ht="25" hidden="false" customHeight="false" outlineLevel="0" collapsed="false">
      <c r="A281" s="0" t="n">
        <v>44</v>
      </c>
      <c r="B281" s="0" t="n">
        <v>2024</v>
      </c>
      <c r="C281" s="3" t="n">
        <v>45357</v>
      </c>
      <c r="D281" s="8" t="s">
        <v>15</v>
      </c>
      <c r="E281" s="9" t="s">
        <v>24</v>
      </c>
      <c r="F281" s="9" t="s">
        <v>17</v>
      </c>
      <c r="G281" s="11" t="n">
        <v>84</v>
      </c>
      <c r="H281" s="11" t="n">
        <v>72</v>
      </c>
      <c r="I281" s="11" t="n">
        <v>96</v>
      </c>
      <c r="J281" s="11" t="n">
        <v>84</v>
      </c>
      <c r="K281" s="11" t="n">
        <v>84</v>
      </c>
      <c r="L281" s="0" t="str">
        <f aca="false">IF(H281&gt;I281,"ERRO","OK")</f>
        <v>OK</v>
      </c>
      <c r="M281" s="0" t="str">
        <f aca="false">IF(H281&gt;J281,"ERRO","OK")</f>
        <v>OK</v>
      </c>
      <c r="N281" s="0" t="str">
        <f aca="false">IF(I281&lt;J281,"ERRO","OK")</f>
        <v>OK</v>
      </c>
    </row>
    <row r="282" customFormat="false" ht="25" hidden="false" customHeight="false" outlineLevel="0" collapsed="false">
      <c r="A282" s="0" t="n">
        <v>44</v>
      </c>
      <c r="B282" s="0" t="n">
        <v>2024</v>
      </c>
      <c r="C282" s="3" t="n">
        <v>45357</v>
      </c>
      <c r="D282" s="4" t="s">
        <v>15</v>
      </c>
      <c r="E282" s="5" t="s">
        <v>25</v>
      </c>
      <c r="F282" s="5" t="s">
        <v>17</v>
      </c>
      <c r="G282" s="7" t="n">
        <v>25</v>
      </c>
      <c r="H282" s="7" t="n">
        <v>24</v>
      </c>
      <c r="I282" s="7" t="n">
        <v>30</v>
      </c>
      <c r="J282" s="7" t="n">
        <v>26</v>
      </c>
      <c r="K282" s="7" t="n">
        <v>25</v>
      </c>
      <c r="L282" s="0" t="str">
        <f aca="false">IF(H282&gt;I282,"ERRO","OK")</f>
        <v>OK</v>
      </c>
      <c r="M282" s="0" t="str">
        <f aca="false">IF(H282&gt;J282,"ERRO","OK")</f>
        <v>OK</v>
      </c>
      <c r="N282" s="0" t="str">
        <f aca="false">IF(I282&lt;J282,"ERRO","OK")</f>
        <v>OK</v>
      </c>
    </row>
    <row r="283" customFormat="false" ht="25" hidden="false" customHeight="false" outlineLevel="0" collapsed="false">
      <c r="A283" s="0" t="n">
        <v>44</v>
      </c>
      <c r="B283" s="0" t="n">
        <v>2024</v>
      </c>
      <c r="C283" s="3" t="n">
        <v>45357</v>
      </c>
      <c r="D283" s="8" t="s">
        <v>15</v>
      </c>
      <c r="E283" s="9" t="s">
        <v>77</v>
      </c>
      <c r="F283" s="9" t="s">
        <v>17</v>
      </c>
      <c r="G283" s="11" t="n">
        <v>84</v>
      </c>
      <c r="H283" s="11" t="n">
        <v>84</v>
      </c>
      <c r="I283" s="11" t="n">
        <v>108</v>
      </c>
      <c r="J283" s="11" t="s">
        <v>150</v>
      </c>
      <c r="K283" s="11" t="n">
        <v>96</v>
      </c>
      <c r="L283" s="0" t="str">
        <f aca="false">IF(H283&gt;I283,"ERRO","OK")</f>
        <v>OK</v>
      </c>
      <c r="M283" s="0" t="str">
        <f aca="false">IF(H283&gt;J283,"ERRO","OK")</f>
        <v>OK</v>
      </c>
      <c r="N283" s="0" t="str">
        <f aca="false">IF(I283&lt;J283,"ERRO","OK")</f>
        <v>ERRO</v>
      </c>
    </row>
    <row r="284" customFormat="false" ht="25" hidden="false" customHeight="false" outlineLevel="0" collapsed="false">
      <c r="A284" s="0" t="n">
        <v>44</v>
      </c>
      <c r="B284" s="0" t="n">
        <v>2024</v>
      </c>
      <c r="C284" s="3" t="n">
        <v>45357</v>
      </c>
      <c r="D284" s="4" t="s">
        <v>15</v>
      </c>
      <c r="E284" s="5" t="s">
        <v>27</v>
      </c>
      <c r="F284" s="5" t="s">
        <v>17</v>
      </c>
      <c r="G284" s="6"/>
      <c r="H284" s="7" t="n">
        <v>25</v>
      </c>
      <c r="I284" s="7" t="n">
        <v>42</v>
      </c>
      <c r="J284" s="7" t="s">
        <v>151</v>
      </c>
      <c r="K284" s="7" t="n">
        <v>33</v>
      </c>
      <c r="L284" s="0" t="str">
        <f aca="false">IF(H284&gt;I284,"ERRO","OK")</f>
        <v>OK</v>
      </c>
      <c r="M284" s="0" t="str">
        <f aca="false">IF(H284&gt;J284,"ERRO","OK")</f>
        <v>OK</v>
      </c>
      <c r="N284" s="0" t="str">
        <f aca="false">IF(I284&lt;J284,"ERRO","OK")</f>
        <v>ERRO</v>
      </c>
    </row>
    <row r="285" customFormat="false" ht="25" hidden="false" customHeight="false" outlineLevel="0" collapsed="false">
      <c r="A285" s="0" t="n">
        <v>44</v>
      </c>
      <c r="B285" s="0" t="n">
        <v>2024</v>
      </c>
      <c r="C285" s="3" t="n">
        <v>45357</v>
      </c>
      <c r="D285" s="8" t="s">
        <v>15</v>
      </c>
      <c r="E285" s="9" t="s">
        <v>28</v>
      </c>
      <c r="F285" s="9" t="s">
        <v>17</v>
      </c>
      <c r="G285" s="11" t="n">
        <v>60</v>
      </c>
      <c r="H285" s="11" t="n">
        <v>60</v>
      </c>
      <c r="I285" s="11" t="n">
        <v>72</v>
      </c>
      <c r="J285" s="11" t="n">
        <v>64</v>
      </c>
      <c r="K285" s="11" t="n">
        <v>60</v>
      </c>
      <c r="L285" s="0" t="str">
        <f aca="false">IF(H285&gt;I285,"ERRO","OK")</f>
        <v>OK</v>
      </c>
      <c r="M285" s="0" t="str">
        <f aca="false">IF(H285&gt;J285,"ERRO","OK")</f>
        <v>OK</v>
      </c>
      <c r="N285" s="0" t="str">
        <f aca="false">IF(I285&lt;J285,"ERRO","OK")</f>
        <v>OK</v>
      </c>
    </row>
    <row r="286" customFormat="false" ht="25" hidden="false" customHeight="false" outlineLevel="0" collapsed="false">
      <c r="A286" s="0" t="n">
        <v>44</v>
      </c>
      <c r="B286" s="0" t="n">
        <v>2024</v>
      </c>
      <c r="C286" s="3" t="n">
        <v>45357</v>
      </c>
      <c r="D286" s="4" t="s">
        <v>15</v>
      </c>
      <c r="E286" s="5" t="s">
        <v>29</v>
      </c>
      <c r="F286" s="5" t="s">
        <v>30</v>
      </c>
      <c r="G286" s="7" t="n">
        <v>60</v>
      </c>
      <c r="H286" s="7" t="n">
        <v>48</v>
      </c>
      <c r="I286" s="7" t="n">
        <v>72</v>
      </c>
      <c r="J286" s="7" t="n">
        <v>60</v>
      </c>
      <c r="K286" s="7" t="n">
        <v>60</v>
      </c>
      <c r="L286" s="0" t="str">
        <f aca="false">IF(H286&gt;I286,"ERRO","OK")</f>
        <v>OK</v>
      </c>
      <c r="M286" s="0" t="str">
        <f aca="false">IF(H286&gt;J286,"ERRO","OK")</f>
        <v>OK</v>
      </c>
      <c r="N286" s="0" t="str">
        <f aca="false">IF(I286&lt;J286,"ERRO","OK")</f>
        <v>OK</v>
      </c>
    </row>
    <row r="287" customFormat="false" ht="25" hidden="false" customHeight="false" outlineLevel="0" collapsed="false">
      <c r="A287" s="0" t="n">
        <v>44</v>
      </c>
      <c r="B287" s="0" t="n">
        <v>2024</v>
      </c>
      <c r="C287" s="3" t="n">
        <v>45357</v>
      </c>
      <c r="D287" s="8" t="s">
        <v>15</v>
      </c>
      <c r="E287" s="9" t="s">
        <v>31</v>
      </c>
      <c r="F287" s="9" t="s">
        <v>17</v>
      </c>
      <c r="G287" s="11" t="n">
        <v>84</v>
      </c>
      <c r="H287" s="11" t="n">
        <v>60</v>
      </c>
      <c r="I287" s="11" t="n">
        <v>84</v>
      </c>
      <c r="J287" s="11" t="n">
        <v>75</v>
      </c>
      <c r="K287" s="11" t="n">
        <v>78</v>
      </c>
      <c r="L287" s="0" t="str">
        <f aca="false">IF(H287&gt;I287,"ERRO","OK")</f>
        <v>OK</v>
      </c>
      <c r="M287" s="0" t="str">
        <f aca="false">IF(H287&gt;J287,"ERRO","OK")</f>
        <v>OK</v>
      </c>
      <c r="N287" s="0" t="str">
        <f aca="false">IF(I287&lt;J287,"ERRO","OK")</f>
        <v>OK</v>
      </c>
    </row>
    <row r="288" customFormat="false" ht="25" hidden="false" customHeight="false" outlineLevel="0" collapsed="false">
      <c r="A288" s="0" t="n">
        <v>44</v>
      </c>
      <c r="B288" s="0" t="n">
        <v>2024</v>
      </c>
      <c r="C288" s="3" t="n">
        <v>45357</v>
      </c>
      <c r="D288" s="4" t="s">
        <v>15</v>
      </c>
      <c r="E288" s="5" t="s">
        <v>32</v>
      </c>
      <c r="F288" s="5" t="s">
        <v>17</v>
      </c>
      <c r="G288" s="7" t="n">
        <v>60</v>
      </c>
      <c r="H288" s="7" t="n">
        <v>48</v>
      </c>
      <c r="I288" s="7" t="n">
        <v>78</v>
      </c>
      <c r="J288" s="7" t="s">
        <v>152</v>
      </c>
      <c r="K288" s="7" t="n">
        <v>60</v>
      </c>
      <c r="L288" s="0" t="str">
        <f aca="false">IF(H288&gt;I288,"ERRO","OK")</f>
        <v>OK</v>
      </c>
      <c r="M288" s="0" t="str">
        <f aca="false">IF(H288&gt;J288,"ERRO","OK")</f>
        <v>OK</v>
      </c>
      <c r="N288" s="0" t="str">
        <f aca="false">IF(I288&lt;J288,"ERRO","OK")</f>
        <v>ERRO</v>
      </c>
    </row>
    <row r="289" customFormat="false" ht="25" hidden="false" customHeight="false" outlineLevel="0" collapsed="false">
      <c r="A289" s="0" t="n">
        <v>44</v>
      </c>
      <c r="B289" s="0" t="n">
        <v>2024</v>
      </c>
      <c r="C289" s="3" t="n">
        <v>45357</v>
      </c>
      <c r="D289" s="8" t="s">
        <v>15</v>
      </c>
      <c r="E289" s="9" t="s">
        <v>33</v>
      </c>
      <c r="F289" s="9" t="s">
        <v>17</v>
      </c>
      <c r="G289" s="10"/>
      <c r="H289" s="11" t="n">
        <v>42</v>
      </c>
      <c r="I289" s="11" t="n">
        <v>54</v>
      </c>
      <c r="J289" s="11" t="n">
        <v>48</v>
      </c>
      <c r="K289" s="11" t="n">
        <v>48</v>
      </c>
      <c r="L289" s="0" t="str">
        <f aca="false">IF(H289&gt;I289,"ERRO","OK")</f>
        <v>OK</v>
      </c>
      <c r="M289" s="0" t="str">
        <f aca="false">IF(H289&gt;J289,"ERRO","OK")</f>
        <v>OK</v>
      </c>
      <c r="N289" s="0" t="str">
        <f aca="false">IF(I289&lt;J289,"ERRO","OK")</f>
        <v>OK</v>
      </c>
    </row>
    <row r="290" customFormat="false" ht="25" hidden="false" customHeight="false" outlineLevel="0" collapsed="false">
      <c r="A290" s="0" t="n">
        <v>44</v>
      </c>
      <c r="B290" s="0" t="n">
        <v>2024</v>
      </c>
      <c r="C290" s="3" t="n">
        <v>45357</v>
      </c>
      <c r="D290" s="4" t="s">
        <v>34</v>
      </c>
      <c r="E290" s="5" t="s">
        <v>35</v>
      </c>
      <c r="F290" s="5" t="s">
        <v>36</v>
      </c>
      <c r="G290" s="7" t="n">
        <v>5</v>
      </c>
      <c r="H290" s="7" t="n">
        <v>4</v>
      </c>
      <c r="I290" s="7" t="n">
        <v>5</v>
      </c>
      <c r="J290" s="7" t="s">
        <v>153</v>
      </c>
      <c r="K290" s="7" t="s">
        <v>154</v>
      </c>
      <c r="L290" s="0" t="str">
        <f aca="false">IF(H290&gt;I290,"ERRO","OK")</f>
        <v>OK</v>
      </c>
      <c r="M290" s="0" t="str">
        <f aca="false">IF(H290&gt;J290,"ERRO","OK")</f>
        <v>OK</v>
      </c>
      <c r="N290" s="0" t="str">
        <f aca="false">IF(I290&lt;J290,"ERRO","OK")</f>
        <v>ERRO</v>
      </c>
    </row>
    <row r="291" customFormat="false" ht="25" hidden="false" customHeight="false" outlineLevel="0" collapsed="false">
      <c r="A291" s="0" t="n">
        <v>44</v>
      </c>
      <c r="B291" s="0" t="n">
        <v>2024</v>
      </c>
      <c r="C291" s="3" t="n">
        <v>45357</v>
      </c>
      <c r="D291" s="8" t="s">
        <v>34</v>
      </c>
      <c r="E291" s="9" t="s">
        <v>38</v>
      </c>
      <c r="F291" s="9" t="s">
        <v>39</v>
      </c>
      <c r="G291" s="11" t="n">
        <v>20</v>
      </c>
      <c r="H291" s="11" t="n">
        <v>20</v>
      </c>
      <c r="I291" s="11" t="n">
        <v>40</v>
      </c>
      <c r="J291" s="11" t="s">
        <v>155</v>
      </c>
      <c r="K291" s="11" t="s">
        <v>41</v>
      </c>
      <c r="L291" s="0" t="str">
        <f aca="false">IF(H291&gt;I291,"ERRO","OK")</f>
        <v>OK</v>
      </c>
      <c r="M291" s="0" t="str">
        <f aca="false">IF(H291&gt;J291,"ERRO","OK")</f>
        <v>OK</v>
      </c>
      <c r="N291" s="0" t="str">
        <f aca="false">IF(I291&lt;J291,"ERRO","OK")</f>
        <v>ERRO</v>
      </c>
    </row>
    <row r="292" customFormat="false" ht="25" hidden="false" customHeight="false" outlineLevel="0" collapsed="false">
      <c r="A292" s="0" t="n">
        <v>44</v>
      </c>
      <c r="B292" s="0" t="n">
        <v>2024</v>
      </c>
      <c r="C292" s="3" t="n">
        <v>45357</v>
      </c>
      <c r="D292" s="4" t="s">
        <v>34</v>
      </c>
      <c r="E292" s="5" t="s">
        <v>40</v>
      </c>
      <c r="F292" s="5" t="s">
        <v>39</v>
      </c>
      <c r="G292" s="7" t="n">
        <v>25</v>
      </c>
      <c r="H292" s="7" t="n">
        <v>25</v>
      </c>
      <c r="I292" s="7" t="n">
        <v>30</v>
      </c>
      <c r="J292" s="7" t="s">
        <v>156</v>
      </c>
      <c r="K292" s="7" t="n">
        <v>28</v>
      </c>
      <c r="L292" s="0" t="str">
        <f aca="false">IF(H292&gt;I292,"ERRO","OK")</f>
        <v>OK</v>
      </c>
      <c r="M292" s="0" t="str">
        <f aca="false">IF(H292&gt;J292,"ERRO","OK")</f>
        <v>OK</v>
      </c>
      <c r="N292" s="0" t="str">
        <f aca="false">IF(I292&lt;J292,"ERRO","OK")</f>
        <v>ERRO</v>
      </c>
    </row>
    <row r="293" customFormat="false" ht="36.5" hidden="false" customHeight="false" outlineLevel="0" collapsed="false">
      <c r="A293" s="0" t="n">
        <v>44</v>
      </c>
      <c r="B293" s="0" t="n">
        <v>2024</v>
      </c>
      <c r="C293" s="3" t="n">
        <v>45357</v>
      </c>
      <c r="D293" s="8" t="s">
        <v>42</v>
      </c>
      <c r="E293" s="9" t="s">
        <v>157</v>
      </c>
      <c r="F293" s="9" t="s">
        <v>158</v>
      </c>
      <c r="G293" s="10"/>
      <c r="H293" s="11" t="n">
        <v>10</v>
      </c>
      <c r="I293" s="11" t="n">
        <v>110</v>
      </c>
      <c r="J293" s="11" t="s">
        <v>159</v>
      </c>
      <c r="K293" s="11" t="s">
        <v>160</v>
      </c>
      <c r="L293" s="0" t="str">
        <f aca="false">IF(H293&gt;I293,"ERRO","OK")</f>
        <v>OK</v>
      </c>
      <c r="M293" s="0" t="str">
        <f aca="false">IF(H293&gt;J293,"ERRO","OK")</f>
        <v>OK</v>
      </c>
      <c r="N293" s="0" t="str">
        <f aca="false">IF(I293&lt;J293,"ERRO","OK")</f>
        <v>ERRO</v>
      </c>
    </row>
    <row r="294" customFormat="false" ht="36.5" hidden="false" customHeight="false" outlineLevel="0" collapsed="false">
      <c r="A294" s="0" t="n">
        <v>44</v>
      </c>
      <c r="B294" s="0" t="n">
        <v>2024</v>
      </c>
      <c r="C294" s="3" t="n">
        <v>45357</v>
      </c>
      <c r="D294" s="4" t="s">
        <v>42</v>
      </c>
      <c r="E294" s="5" t="s">
        <v>43</v>
      </c>
      <c r="F294" s="5" t="s">
        <v>44</v>
      </c>
      <c r="G294" s="7" t="n">
        <v>100</v>
      </c>
      <c r="H294" s="7" t="n">
        <v>78</v>
      </c>
      <c r="I294" s="7" t="n">
        <v>100</v>
      </c>
      <c r="J294" s="7" t="s">
        <v>161</v>
      </c>
      <c r="K294" s="7" t="n">
        <v>90</v>
      </c>
      <c r="L294" s="0" t="str">
        <f aca="false">IF(H294&gt;I294,"ERRO","OK")</f>
        <v>OK</v>
      </c>
      <c r="M294" s="0" t="str">
        <f aca="false">IF(H294&gt;J294,"ERRO","OK")</f>
        <v>OK</v>
      </c>
      <c r="N294" s="0" t="str">
        <f aca="false">IF(I294&lt;J294,"ERRO","OK")</f>
        <v>ERRO</v>
      </c>
    </row>
    <row r="295" customFormat="false" ht="36.5" hidden="false" customHeight="false" outlineLevel="0" collapsed="false">
      <c r="A295" s="0" t="n">
        <v>44</v>
      </c>
      <c r="B295" s="0" t="n">
        <v>2024</v>
      </c>
      <c r="C295" s="3" t="n">
        <v>45357</v>
      </c>
      <c r="D295" s="8" t="s">
        <v>42</v>
      </c>
      <c r="E295" s="9" t="s">
        <v>46</v>
      </c>
      <c r="F295" s="9" t="s">
        <v>47</v>
      </c>
      <c r="G295" s="10"/>
      <c r="H295" s="11" t="n">
        <v>50</v>
      </c>
      <c r="I295" s="11" t="n">
        <v>80</v>
      </c>
      <c r="J295" s="11" t="n">
        <v>66</v>
      </c>
      <c r="K295" s="11" t="n">
        <v>70</v>
      </c>
      <c r="L295" s="0" t="str">
        <f aca="false">IF(H295&gt;I295,"ERRO","OK")</f>
        <v>OK</v>
      </c>
      <c r="M295" s="0" t="str">
        <f aca="false">IF(H295&gt;J295,"ERRO","OK")</f>
        <v>OK</v>
      </c>
      <c r="N295" s="0" t="str">
        <f aca="false">IF(I295&lt;J295,"ERRO","OK")</f>
        <v>OK</v>
      </c>
    </row>
    <row r="296" customFormat="false" ht="36.5" hidden="false" customHeight="false" outlineLevel="0" collapsed="false">
      <c r="A296" s="0" t="n">
        <v>44</v>
      </c>
      <c r="B296" s="0" t="n">
        <v>2024</v>
      </c>
      <c r="C296" s="3" t="n">
        <v>45357</v>
      </c>
      <c r="D296" s="4" t="s">
        <v>42</v>
      </c>
      <c r="E296" s="5" t="s">
        <v>48</v>
      </c>
      <c r="F296" s="5" t="s">
        <v>49</v>
      </c>
      <c r="G296" s="7" t="n">
        <v>40</v>
      </c>
      <c r="H296" s="7" t="n">
        <v>30</v>
      </c>
      <c r="I296" s="7" t="n">
        <v>50</v>
      </c>
      <c r="J296" s="7" t="n">
        <v>40</v>
      </c>
      <c r="K296" s="7" t="n">
        <v>40</v>
      </c>
      <c r="L296" s="0" t="str">
        <f aca="false">IF(H296&gt;I296,"ERRO","OK")</f>
        <v>OK</v>
      </c>
      <c r="M296" s="0" t="str">
        <f aca="false">IF(H296&gt;J296,"ERRO","OK")</f>
        <v>OK</v>
      </c>
      <c r="N296" s="0" t="str">
        <f aca="false">IF(I296&lt;J296,"ERRO","OK")</f>
        <v>OK</v>
      </c>
    </row>
    <row r="297" customFormat="false" ht="36.5" hidden="false" customHeight="false" outlineLevel="0" collapsed="false">
      <c r="A297" s="0" t="n">
        <v>44</v>
      </c>
      <c r="B297" s="0" t="n">
        <v>2024</v>
      </c>
      <c r="C297" s="3" t="n">
        <v>45357</v>
      </c>
      <c r="D297" s="8" t="s">
        <v>42</v>
      </c>
      <c r="E297" s="9" t="s">
        <v>52</v>
      </c>
      <c r="F297" s="9" t="s">
        <v>49</v>
      </c>
      <c r="G297" s="10"/>
      <c r="H297" s="11" t="n">
        <v>95</v>
      </c>
      <c r="I297" s="11" t="n">
        <v>100</v>
      </c>
      <c r="J297" s="11" t="s">
        <v>160</v>
      </c>
      <c r="K297" s="11" t="s">
        <v>160</v>
      </c>
      <c r="L297" s="0" t="str">
        <f aca="false">IF(H297&gt;I297,"ERRO","OK")</f>
        <v>OK</v>
      </c>
      <c r="M297" s="0" t="str">
        <f aca="false">IF(H297&gt;J297,"ERRO","OK")</f>
        <v>OK</v>
      </c>
      <c r="N297" s="0" t="str">
        <f aca="false">IF(I297&lt;J297,"ERRO","OK")</f>
        <v>ERRO</v>
      </c>
    </row>
    <row r="298" customFormat="false" ht="36.5" hidden="false" customHeight="false" outlineLevel="0" collapsed="false">
      <c r="A298" s="0" t="n">
        <v>44</v>
      </c>
      <c r="B298" s="0" t="n">
        <v>2024</v>
      </c>
      <c r="C298" s="3" t="n">
        <v>45357</v>
      </c>
      <c r="D298" s="4" t="s">
        <v>42</v>
      </c>
      <c r="E298" s="5" t="s">
        <v>53</v>
      </c>
      <c r="F298" s="5" t="s">
        <v>54</v>
      </c>
      <c r="G298" s="7" t="n">
        <v>95</v>
      </c>
      <c r="H298" s="7" t="n">
        <v>70</v>
      </c>
      <c r="I298" s="7" t="n">
        <v>120</v>
      </c>
      <c r="J298" s="7" t="n">
        <v>92</v>
      </c>
      <c r="K298" s="7" t="n">
        <v>95</v>
      </c>
      <c r="L298" s="0" t="str">
        <f aca="false">IF(H298&gt;I298,"ERRO","OK")</f>
        <v>OK</v>
      </c>
      <c r="M298" s="0" t="str">
        <f aca="false">IF(H298&gt;J298,"ERRO","OK")</f>
        <v>OK</v>
      </c>
      <c r="N298" s="0" t="str">
        <f aca="false">IF(I298&lt;J298,"ERRO","OK")</f>
        <v>OK</v>
      </c>
    </row>
    <row r="299" customFormat="false" ht="36.5" hidden="false" customHeight="false" outlineLevel="0" collapsed="false">
      <c r="A299" s="0" t="n">
        <v>44</v>
      </c>
      <c r="B299" s="0" t="n">
        <v>2024</v>
      </c>
      <c r="C299" s="3" t="n">
        <v>45357</v>
      </c>
      <c r="D299" s="8" t="s">
        <v>42</v>
      </c>
      <c r="E299" s="9" t="s">
        <v>56</v>
      </c>
      <c r="F299" s="9" t="s">
        <v>47</v>
      </c>
      <c r="G299" s="11" t="n">
        <v>130</v>
      </c>
      <c r="H299" s="11" t="n">
        <v>80</v>
      </c>
      <c r="I299" s="11" t="n">
        <v>130</v>
      </c>
      <c r="J299" s="11" t="n">
        <v>110</v>
      </c>
      <c r="K299" s="11" t="n">
        <v>130</v>
      </c>
      <c r="L299" s="0" t="str">
        <f aca="false">IF(H299&gt;I299,"ERRO","OK")</f>
        <v>OK</v>
      </c>
      <c r="M299" s="0" t="str">
        <f aca="false">IF(H299&gt;J299,"ERRO","OK")</f>
        <v>OK</v>
      </c>
      <c r="N299" s="0" t="str">
        <f aca="false">IF(I299&lt;J299,"ERRO","OK")</f>
        <v>OK</v>
      </c>
    </row>
    <row r="300" customFormat="false" ht="36.5" hidden="false" customHeight="false" outlineLevel="0" collapsed="false">
      <c r="A300" s="0" t="n">
        <v>44</v>
      </c>
      <c r="B300" s="0" t="n">
        <v>2024</v>
      </c>
      <c r="C300" s="3" t="n">
        <v>45357</v>
      </c>
      <c r="D300" s="4" t="s">
        <v>42</v>
      </c>
      <c r="E300" s="5" t="s">
        <v>57</v>
      </c>
      <c r="F300" s="5" t="s">
        <v>47</v>
      </c>
      <c r="G300" s="7" t="n">
        <v>60</v>
      </c>
      <c r="H300" s="7" t="n">
        <v>50</v>
      </c>
      <c r="I300" s="7" t="n">
        <v>80</v>
      </c>
      <c r="J300" s="7" t="n">
        <v>64</v>
      </c>
      <c r="K300" s="7" t="n">
        <v>60</v>
      </c>
      <c r="L300" s="0" t="str">
        <f aca="false">IF(H300&gt;I300,"ERRO","OK")</f>
        <v>OK</v>
      </c>
      <c r="M300" s="0" t="str">
        <f aca="false">IF(H300&gt;J300,"ERRO","OK")</f>
        <v>OK</v>
      </c>
      <c r="N300" s="0" t="str">
        <f aca="false">IF(I300&lt;J300,"ERRO","OK")</f>
        <v>OK</v>
      </c>
    </row>
    <row r="301" customFormat="false" ht="36.5" hidden="false" customHeight="false" outlineLevel="0" collapsed="false">
      <c r="A301" s="0" t="n">
        <v>44</v>
      </c>
      <c r="B301" s="0" t="n">
        <v>2024</v>
      </c>
      <c r="C301" s="3" t="n">
        <v>45357</v>
      </c>
      <c r="D301" s="8" t="s">
        <v>42</v>
      </c>
      <c r="E301" s="9" t="s">
        <v>58</v>
      </c>
      <c r="F301" s="9" t="s">
        <v>44</v>
      </c>
      <c r="G301" s="11" t="n">
        <v>80</v>
      </c>
      <c r="H301" s="11" t="n">
        <v>40</v>
      </c>
      <c r="I301" s="11" t="n">
        <v>100</v>
      </c>
      <c r="J301" s="11" t="s">
        <v>107</v>
      </c>
      <c r="K301" s="11" t="s">
        <v>138</v>
      </c>
      <c r="L301" s="0" t="str">
        <f aca="false">IF(H301&gt;I301,"ERRO","OK")</f>
        <v>OK</v>
      </c>
      <c r="M301" s="0" t="str">
        <f aca="false">IF(H301&gt;J301,"ERRO","OK")</f>
        <v>OK</v>
      </c>
      <c r="N301" s="0" t="str">
        <f aca="false">IF(I301&lt;J301,"ERRO","OK")</f>
        <v>ERRO</v>
      </c>
    </row>
    <row r="302" customFormat="false" ht="36.5" hidden="false" customHeight="false" outlineLevel="0" collapsed="false">
      <c r="A302" s="0" t="n">
        <v>44</v>
      </c>
      <c r="B302" s="0" t="n">
        <v>2024</v>
      </c>
      <c r="C302" s="3" t="n">
        <v>45357</v>
      </c>
      <c r="D302" s="4" t="s">
        <v>42</v>
      </c>
      <c r="E302" s="5" t="s">
        <v>60</v>
      </c>
      <c r="F302" s="5" t="s">
        <v>47</v>
      </c>
      <c r="G302" s="6"/>
      <c r="H302" s="7" t="n">
        <v>80</v>
      </c>
      <c r="I302" s="7" t="n">
        <v>80</v>
      </c>
      <c r="J302" s="7" t="n">
        <v>80</v>
      </c>
      <c r="K302" s="7" t="n">
        <v>80</v>
      </c>
      <c r="L302" s="0" t="str">
        <f aca="false">IF(H302&gt;I302,"ERRO","OK")</f>
        <v>OK</v>
      </c>
      <c r="M302" s="0" t="str">
        <f aca="false">IF(H302&gt;J302,"ERRO","OK")</f>
        <v>OK</v>
      </c>
      <c r="N302" s="0" t="str">
        <f aca="false">IF(I302&lt;J302,"ERRO","OK")</f>
        <v>OK</v>
      </c>
    </row>
    <row r="303" customFormat="false" ht="36.5" hidden="false" customHeight="false" outlineLevel="0" collapsed="false">
      <c r="A303" s="0" t="n">
        <v>44</v>
      </c>
      <c r="B303" s="0" t="n">
        <v>2024</v>
      </c>
      <c r="C303" s="3" t="n">
        <v>45357</v>
      </c>
      <c r="D303" s="8" t="s">
        <v>42</v>
      </c>
      <c r="E303" s="9" t="s">
        <v>61</v>
      </c>
      <c r="F303" s="9" t="s">
        <v>44</v>
      </c>
      <c r="G303" s="11" t="n">
        <v>80</v>
      </c>
      <c r="H303" s="11" t="n">
        <v>70</v>
      </c>
      <c r="I303" s="11" t="n">
        <v>80</v>
      </c>
      <c r="J303" s="11" t="s">
        <v>162</v>
      </c>
      <c r="K303" s="11" t="n">
        <v>80</v>
      </c>
      <c r="L303" s="0" t="str">
        <f aca="false">IF(H303&gt;I303,"ERRO","OK")</f>
        <v>OK</v>
      </c>
      <c r="M303" s="0" t="str">
        <f aca="false">IF(H303&gt;J303,"ERRO","OK")</f>
        <v>OK</v>
      </c>
      <c r="N303" s="0" t="str">
        <f aca="false">IF(I303&lt;J303,"ERRO","OK")</f>
        <v>ERRO</v>
      </c>
    </row>
    <row r="304" customFormat="false" ht="36.5" hidden="false" customHeight="false" outlineLevel="0" collapsed="false">
      <c r="A304" s="0" t="n">
        <v>44</v>
      </c>
      <c r="B304" s="0" t="n">
        <v>2024</v>
      </c>
      <c r="C304" s="3" t="n">
        <v>45357</v>
      </c>
      <c r="D304" s="4" t="s">
        <v>42</v>
      </c>
      <c r="E304" s="5" t="s">
        <v>62</v>
      </c>
      <c r="F304" s="5" t="s">
        <v>44</v>
      </c>
      <c r="G304" s="7" t="n">
        <v>100</v>
      </c>
      <c r="H304" s="7" t="n">
        <v>70</v>
      </c>
      <c r="I304" s="7" t="n">
        <v>120</v>
      </c>
      <c r="J304" s="7" t="s">
        <v>160</v>
      </c>
      <c r="K304" s="7" t="n">
        <v>100</v>
      </c>
      <c r="L304" s="0" t="str">
        <f aca="false">IF(H304&gt;I304,"ERRO","OK")</f>
        <v>OK</v>
      </c>
      <c r="M304" s="0" t="str">
        <f aca="false">IF(H304&gt;J304,"ERRO","OK")</f>
        <v>OK</v>
      </c>
      <c r="N304" s="0" t="str">
        <f aca="false">IF(I304&lt;J304,"ERRO","OK")</f>
        <v>ERRO</v>
      </c>
    </row>
    <row r="305" customFormat="false" ht="36.5" hidden="false" customHeight="false" outlineLevel="0" collapsed="false">
      <c r="A305" s="0" t="n">
        <v>44</v>
      </c>
      <c r="B305" s="0" t="n">
        <v>2024</v>
      </c>
      <c r="C305" s="3" t="n">
        <v>45357</v>
      </c>
      <c r="D305" s="8" t="s">
        <v>42</v>
      </c>
      <c r="E305" s="9" t="s">
        <v>63</v>
      </c>
      <c r="F305" s="9" t="s">
        <v>49</v>
      </c>
      <c r="G305" s="11" t="n">
        <v>50</v>
      </c>
      <c r="H305" s="11" t="n">
        <v>40</v>
      </c>
      <c r="I305" s="11" t="n">
        <v>60</v>
      </c>
      <c r="J305" s="11" t="s">
        <v>163</v>
      </c>
      <c r="K305" s="11" t="n">
        <v>50</v>
      </c>
      <c r="L305" s="0" t="str">
        <f aca="false">IF(H305&gt;I305,"ERRO","OK")</f>
        <v>OK</v>
      </c>
      <c r="M305" s="0" t="str">
        <f aca="false">IF(H305&gt;J305,"ERRO","OK")</f>
        <v>OK</v>
      </c>
      <c r="N305" s="0" t="str">
        <f aca="false">IF(I305&lt;J305,"ERRO","OK")</f>
        <v>ERRO</v>
      </c>
    </row>
    <row r="306" customFormat="false" ht="36.5" hidden="false" customHeight="false" outlineLevel="0" collapsed="false">
      <c r="A306" s="0" t="n">
        <v>44</v>
      </c>
      <c r="B306" s="0" t="n">
        <v>2024</v>
      </c>
      <c r="C306" s="3" t="n">
        <v>45357</v>
      </c>
      <c r="D306" s="4" t="s">
        <v>42</v>
      </c>
      <c r="E306" s="5" t="s">
        <v>64</v>
      </c>
      <c r="F306" s="5" t="s">
        <v>65</v>
      </c>
      <c r="G306" s="7" t="n">
        <v>70</v>
      </c>
      <c r="H306" s="7" t="n">
        <v>60</v>
      </c>
      <c r="I306" s="7" t="n">
        <v>90</v>
      </c>
      <c r="J306" s="7" t="s">
        <v>97</v>
      </c>
      <c r="K306" s="7" t="n">
        <v>70</v>
      </c>
      <c r="L306" s="0" t="str">
        <f aca="false">IF(H306&gt;I306,"ERRO","OK")</f>
        <v>OK</v>
      </c>
      <c r="M306" s="0" t="str">
        <f aca="false">IF(H306&gt;J306,"ERRO","OK")</f>
        <v>OK</v>
      </c>
      <c r="N306" s="0" t="str">
        <f aca="false">IF(I306&lt;J306,"ERRO","OK")</f>
        <v>ERRO</v>
      </c>
    </row>
    <row r="307" customFormat="false" ht="36.5" hidden="false" customHeight="false" outlineLevel="0" collapsed="false">
      <c r="A307" s="0" t="n">
        <v>44</v>
      </c>
      <c r="B307" s="0" t="n">
        <v>2024</v>
      </c>
      <c r="C307" s="3" t="n">
        <v>45357</v>
      </c>
      <c r="D307" s="8" t="s">
        <v>42</v>
      </c>
      <c r="E307" s="9" t="s">
        <v>67</v>
      </c>
      <c r="F307" s="9" t="s">
        <v>44</v>
      </c>
      <c r="G307" s="11" t="n">
        <v>130</v>
      </c>
      <c r="H307" s="11" t="n">
        <v>100</v>
      </c>
      <c r="I307" s="11" t="n">
        <v>130</v>
      </c>
      <c r="J307" s="11" t="s">
        <v>164</v>
      </c>
      <c r="K307" s="11" t="n">
        <v>120</v>
      </c>
      <c r="L307" s="0" t="str">
        <f aca="false">IF(H307&gt;I307,"ERRO","OK")</f>
        <v>OK</v>
      </c>
      <c r="M307" s="0" t="str">
        <f aca="false">IF(H307&gt;J307,"ERRO","OK")</f>
        <v>OK</v>
      </c>
      <c r="N307" s="0" t="str">
        <f aca="false">IF(I307&lt;J307,"ERRO","OK")</f>
        <v>ERRO</v>
      </c>
    </row>
    <row r="308" customFormat="false" ht="36.5" hidden="false" customHeight="false" outlineLevel="0" collapsed="false">
      <c r="A308" s="0" t="n">
        <v>44</v>
      </c>
      <c r="B308" s="0" t="n">
        <v>2024</v>
      </c>
      <c r="C308" s="3" t="n">
        <v>45357</v>
      </c>
      <c r="D308" s="4" t="s">
        <v>42</v>
      </c>
      <c r="E308" s="5" t="s">
        <v>68</v>
      </c>
      <c r="F308" s="5" t="s">
        <v>44</v>
      </c>
      <c r="G308" s="7" t="n">
        <v>120</v>
      </c>
      <c r="H308" s="7" t="n">
        <v>110</v>
      </c>
      <c r="I308" s="7" t="n">
        <v>150</v>
      </c>
      <c r="J308" s="7" t="n">
        <v>128</v>
      </c>
      <c r="K308" s="7" t="n">
        <v>120</v>
      </c>
      <c r="L308" s="0" t="str">
        <f aca="false">IF(H308&gt;I308,"ERRO","OK")</f>
        <v>OK</v>
      </c>
      <c r="M308" s="0" t="str">
        <f aca="false">IF(H308&gt;J308,"ERRO","OK")</f>
        <v>OK</v>
      </c>
      <c r="N308" s="0" t="str">
        <f aca="false">IF(I308&lt;J308,"ERRO","OK")</f>
        <v>OK</v>
      </c>
    </row>
    <row r="309" customFormat="false" ht="14.25" hidden="false" customHeight="false" outlineLevel="0" collapsed="false">
      <c r="A309" s="0" t="n">
        <v>44</v>
      </c>
      <c r="B309" s="0" t="n">
        <v>2024</v>
      </c>
      <c r="C309" s="3" t="n">
        <v>45357</v>
      </c>
      <c r="D309" s="8" t="s">
        <v>69</v>
      </c>
      <c r="E309" s="9" t="s">
        <v>70</v>
      </c>
      <c r="F309" s="9" t="s">
        <v>49</v>
      </c>
      <c r="G309" s="10"/>
      <c r="H309" s="11" t="n">
        <v>80</v>
      </c>
      <c r="I309" s="11" t="n">
        <v>80</v>
      </c>
      <c r="J309" s="11" t="n">
        <v>80</v>
      </c>
      <c r="K309" s="11" t="n">
        <v>80</v>
      </c>
      <c r="L309" s="0" t="str">
        <f aca="false">IF(H309&gt;I309,"ERRO","OK")</f>
        <v>OK</v>
      </c>
      <c r="M309" s="0" t="str">
        <f aca="false">IF(H309&gt;J309,"ERRO","OK")</f>
        <v>OK</v>
      </c>
      <c r="N309" s="0" t="str">
        <f aca="false">IF(I309&lt;J309,"ERRO","OK")</f>
        <v>OK</v>
      </c>
    </row>
    <row r="310" customFormat="false" ht="14.25" hidden="false" customHeight="false" outlineLevel="0" collapsed="false">
      <c r="A310" s="0" t="n">
        <v>44</v>
      </c>
      <c r="B310" s="0" t="n">
        <v>2024</v>
      </c>
      <c r="C310" s="3" t="n">
        <v>45357</v>
      </c>
      <c r="D310" s="4" t="s">
        <v>69</v>
      </c>
      <c r="E310" s="5" t="s">
        <v>71</v>
      </c>
      <c r="F310" s="5" t="s">
        <v>49</v>
      </c>
      <c r="G310" s="6"/>
      <c r="H310" s="7" t="n">
        <v>60</v>
      </c>
      <c r="I310" s="7" t="n">
        <v>60</v>
      </c>
      <c r="J310" s="7" t="n">
        <v>60</v>
      </c>
      <c r="K310" s="7" t="n">
        <v>60</v>
      </c>
      <c r="L310" s="0" t="str">
        <f aca="false">IF(H310&gt;I310,"ERRO","OK")</f>
        <v>OK</v>
      </c>
      <c r="M310" s="0" t="str">
        <f aca="false">IF(H310&gt;J310,"ERRO","OK")</f>
        <v>OK</v>
      </c>
      <c r="N310" s="0" t="str">
        <f aca="false">IF(I310&lt;J310,"ERRO","OK")</f>
        <v>OK</v>
      </c>
    </row>
    <row r="311" customFormat="false" ht="14.25" hidden="false" customHeight="false" outlineLevel="0" collapsed="false">
      <c r="A311" s="0" t="n">
        <v>44</v>
      </c>
      <c r="B311" s="0" t="n">
        <v>2024</v>
      </c>
      <c r="C311" s="3" t="n">
        <v>45357</v>
      </c>
      <c r="D311" s="8" t="s">
        <v>69</v>
      </c>
      <c r="E311" s="9" t="s">
        <v>72</v>
      </c>
      <c r="F311" s="9" t="s">
        <v>49</v>
      </c>
      <c r="G311" s="10"/>
      <c r="H311" s="11" t="n">
        <v>40</v>
      </c>
      <c r="I311" s="11" t="n">
        <v>40</v>
      </c>
      <c r="J311" s="11" t="n">
        <v>40</v>
      </c>
      <c r="K311" s="11" t="n">
        <v>40</v>
      </c>
      <c r="L311" s="0" t="str">
        <f aca="false">IF(H311&gt;I311,"ERRO","OK")</f>
        <v>OK</v>
      </c>
      <c r="M311" s="0" t="str">
        <f aca="false">IF(H311&gt;J311,"ERRO","OK")</f>
        <v>OK</v>
      </c>
      <c r="N311" s="0" t="str">
        <f aca="false">IF(I311&lt;J311,"ERRO","OK")</f>
        <v>OK</v>
      </c>
    </row>
    <row r="312" customFormat="false" ht="14.25" hidden="false" customHeight="false" outlineLevel="0" collapsed="false">
      <c r="A312" s="0" t="n">
        <v>44</v>
      </c>
      <c r="B312" s="0" t="n">
        <v>2024</v>
      </c>
      <c r="C312" s="3" t="n">
        <v>45357</v>
      </c>
      <c r="D312" s="4" t="s">
        <v>69</v>
      </c>
      <c r="E312" s="5" t="s">
        <v>73</v>
      </c>
      <c r="F312" s="5" t="s">
        <v>49</v>
      </c>
      <c r="G312" s="6"/>
      <c r="H312" s="6"/>
      <c r="I312" s="6"/>
      <c r="J312" s="6"/>
      <c r="K312" s="6"/>
      <c r="L312" s="0" t="str">
        <f aca="false">IF(H312&gt;I312,"ERRO","OK")</f>
        <v>OK</v>
      </c>
      <c r="M312" s="0" t="str">
        <f aca="false">IF(H312&gt;J312,"ERRO","OK")</f>
        <v>OK</v>
      </c>
      <c r="N312" s="0" t="str">
        <f aca="false">IF(I312&lt;J312,"ERRO","OK")</f>
        <v>OK</v>
      </c>
    </row>
    <row r="313" customFormat="false" ht="14.25" hidden="false" customHeight="false" outlineLevel="0" collapsed="false">
      <c r="A313" s="0" t="n">
        <v>44</v>
      </c>
      <c r="B313" s="0" t="n">
        <v>2024</v>
      </c>
      <c r="C313" s="3" t="n">
        <v>45357</v>
      </c>
      <c r="D313" s="8" t="s">
        <v>69</v>
      </c>
      <c r="E313" s="9" t="s">
        <v>74</v>
      </c>
      <c r="F313" s="9" t="s">
        <v>75</v>
      </c>
      <c r="G313" s="10"/>
      <c r="H313" s="10"/>
      <c r="I313" s="10"/>
      <c r="J313" s="10"/>
      <c r="K313" s="10"/>
      <c r="L313" s="0" t="str">
        <f aca="false">IF(H313&gt;I313,"ERRO","OK")</f>
        <v>OK</v>
      </c>
      <c r="M313" s="0" t="str">
        <f aca="false">IF(H313&gt;J313,"ERRO","OK")</f>
        <v>OK</v>
      </c>
      <c r="N313" s="0" t="str">
        <f aca="false">IF(I313&lt;J313,"ERRO","OK")</f>
        <v>OK</v>
      </c>
    </row>
    <row r="314" customFormat="false" ht="25" hidden="false" customHeight="false" outlineLevel="0" collapsed="false">
      <c r="A314" s="0" t="n">
        <v>45</v>
      </c>
      <c r="B314" s="0" t="n">
        <v>2024</v>
      </c>
      <c r="C314" s="3" t="n">
        <v>45364</v>
      </c>
      <c r="D314" s="4" t="s">
        <v>15</v>
      </c>
      <c r="E314" s="5" t="s">
        <v>16</v>
      </c>
      <c r="F314" s="5" t="s">
        <v>17</v>
      </c>
      <c r="G314" s="6"/>
      <c r="H314" s="7" t="n">
        <v>60</v>
      </c>
      <c r="I314" s="7" t="n">
        <v>78</v>
      </c>
      <c r="J314" s="7" t="n">
        <v>69</v>
      </c>
      <c r="K314" s="7" t="n">
        <v>69</v>
      </c>
      <c r="L314" s="0" t="str">
        <f aca="false">IF(H314&gt;I314,"ERRO","OK")</f>
        <v>OK</v>
      </c>
      <c r="M314" s="0" t="str">
        <f aca="false">IF(H314&gt;J314,"ERRO","OK")</f>
        <v>OK</v>
      </c>
      <c r="N314" s="0" t="str">
        <f aca="false">IF(I314&lt;J314,"ERRO","OK")</f>
        <v>OK</v>
      </c>
    </row>
    <row r="315" customFormat="false" ht="25" hidden="false" customHeight="false" outlineLevel="0" collapsed="false">
      <c r="A315" s="0" t="n">
        <v>45</v>
      </c>
      <c r="B315" s="0" t="n">
        <v>2024</v>
      </c>
      <c r="C315" s="3" t="n">
        <v>45364</v>
      </c>
      <c r="D315" s="8" t="s">
        <v>15</v>
      </c>
      <c r="E315" s="9" t="s">
        <v>18</v>
      </c>
      <c r="F315" s="9" t="s">
        <v>17</v>
      </c>
      <c r="G315" s="11" t="n">
        <v>84</v>
      </c>
      <c r="H315" s="11" t="n">
        <v>84</v>
      </c>
      <c r="I315" s="11" t="n">
        <v>84</v>
      </c>
      <c r="J315" s="11" t="n">
        <v>84</v>
      </c>
      <c r="K315" s="11" t="n">
        <v>84</v>
      </c>
      <c r="L315" s="0" t="str">
        <f aca="false">IF(H315&gt;I315,"ERRO","OK")</f>
        <v>OK</v>
      </c>
      <c r="M315" s="0" t="str">
        <f aca="false">IF(H315&gt;J315,"ERRO","OK")</f>
        <v>OK</v>
      </c>
      <c r="N315" s="0" t="str">
        <f aca="false">IF(I315&lt;J315,"ERRO","OK")</f>
        <v>OK</v>
      </c>
    </row>
    <row r="316" customFormat="false" ht="25" hidden="false" customHeight="false" outlineLevel="0" collapsed="false">
      <c r="A316" s="0" t="n">
        <v>45</v>
      </c>
      <c r="B316" s="0" t="n">
        <v>2024</v>
      </c>
      <c r="C316" s="3" t="n">
        <v>45364</v>
      </c>
      <c r="D316" s="4" t="s">
        <v>15</v>
      </c>
      <c r="E316" s="5" t="s">
        <v>19</v>
      </c>
      <c r="F316" s="5" t="s">
        <v>17</v>
      </c>
      <c r="G316" s="6"/>
      <c r="H316" s="7" t="n">
        <v>50</v>
      </c>
      <c r="I316" s="7" t="n">
        <v>60</v>
      </c>
      <c r="J316" s="7" t="s">
        <v>165</v>
      </c>
      <c r="K316" s="7" t="n">
        <v>54</v>
      </c>
      <c r="L316" s="0" t="str">
        <f aca="false">IF(H316&gt;I316,"ERRO","OK")</f>
        <v>OK</v>
      </c>
      <c r="M316" s="0" t="str">
        <f aca="false">IF(H316&gt;J316,"ERRO","OK")</f>
        <v>OK</v>
      </c>
      <c r="N316" s="0" t="str">
        <f aca="false">IF(I316&lt;J316,"ERRO","OK")</f>
        <v>ERRO</v>
      </c>
    </row>
    <row r="317" customFormat="false" ht="25" hidden="false" customHeight="false" outlineLevel="0" collapsed="false">
      <c r="A317" s="0" t="n">
        <v>45</v>
      </c>
      <c r="B317" s="0" t="n">
        <v>2024</v>
      </c>
      <c r="C317" s="3" t="n">
        <v>45364</v>
      </c>
      <c r="D317" s="8" t="s">
        <v>15</v>
      </c>
      <c r="E317" s="9" t="s">
        <v>20</v>
      </c>
      <c r="F317" s="9" t="s">
        <v>17</v>
      </c>
      <c r="G317" s="10"/>
      <c r="H317" s="11" t="n">
        <v>30</v>
      </c>
      <c r="I317" s="11" t="n">
        <v>42</v>
      </c>
      <c r="J317" s="11" t="n">
        <v>36</v>
      </c>
      <c r="K317" s="11" t="n">
        <v>36</v>
      </c>
      <c r="L317" s="0" t="str">
        <f aca="false">IF(H317&gt;I317,"ERRO","OK")</f>
        <v>OK</v>
      </c>
      <c r="M317" s="0" t="str">
        <f aca="false">IF(H317&gt;J317,"ERRO","OK")</f>
        <v>OK</v>
      </c>
      <c r="N317" s="0" t="str">
        <f aca="false">IF(I317&lt;J317,"ERRO","OK")</f>
        <v>OK</v>
      </c>
    </row>
    <row r="318" customFormat="false" ht="25" hidden="false" customHeight="false" outlineLevel="0" collapsed="false">
      <c r="A318" s="0" t="n">
        <v>45</v>
      </c>
      <c r="B318" s="0" t="n">
        <v>2024</v>
      </c>
      <c r="C318" s="3" t="n">
        <v>45364</v>
      </c>
      <c r="D318" s="4" t="s">
        <v>15</v>
      </c>
      <c r="E318" s="5" t="s">
        <v>21</v>
      </c>
      <c r="F318" s="5" t="s">
        <v>17</v>
      </c>
      <c r="G318" s="6"/>
      <c r="H318" s="7" t="n">
        <v>36</v>
      </c>
      <c r="I318" s="7" t="n">
        <v>42</v>
      </c>
      <c r="J318" s="7" t="n">
        <v>39</v>
      </c>
      <c r="K318" s="7" t="n">
        <v>39</v>
      </c>
      <c r="L318" s="0" t="str">
        <f aca="false">IF(H318&gt;I318,"ERRO","OK")</f>
        <v>OK</v>
      </c>
      <c r="M318" s="0" t="str">
        <f aca="false">IF(H318&gt;J318,"ERRO","OK")</f>
        <v>OK</v>
      </c>
      <c r="N318" s="0" t="str">
        <f aca="false">IF(I318&lt;J318,"ERRO","OK")</f>
        <v>OK</v>
      </c>
    </row>
    <row r="319" customFormat="false" ht="25" hidden="false" customHeight="false" outlineLevel="0" collapsed="false">
      <c r="A319" s="0" t="n">
        <v>45</v>
      </c>
      <c r="B319" s="0" t="n">
        <v>2024</v>
      </c>
      <c r="C319" s="3" t="n">
        <v>45364</v>
      </c>
      <c r="D319" s="8" t="s">
        <v>15</v>
      </c>
      <c r="E319" s="9" t="s">
        <v>22</v>
      </c>
      <c r="F319" s="9" t="s">
        <v>17</v>
      </c>
      <c r="G319" s="11" t="n">
        <v>60</v>
      </c>
      <c r="H319" s="11" t="n">
        <v>60</v>
      </c>
      <c r="I319" s="11" t="n">
        <v>60</v>
      </c>
      <c r="J319" s="11" t="n">
        <v>60</v>
      </c>
      <c r="K319" s="11" t="n">
        <v>60</v>
      </c>
      <c r="L319" s="0" t="str">
        <f aca="false">IF(H319&gt;I319,"ERRO","OK")</f>
        <v>OK</v>
      </c>
      <c r="M319" s="0" t="str">
        <f aca="false">IF(H319&gt;J319,"ERRO","OK")</f>
        <v>OK</v>
      </c>
      <c r="N319" s="0" t="str">
        <f aca="false">IF(I319&lt;J319,"ERRO","OK")</f>
        <v>OK</v>
      </c>
    </row>
    <row r="320" customFormat="false" ht="25" hidden="false" customHeight="false" outlineLevel="0" collapsed="false">
      <c r="A320" s="0" t="n">
        <v>45</v>
      </c>
      <c r="B320" s="0" t="n">
        <v>2024</v>
      </c>
      <c r="C320" s="3" t="n">
        <v>45364</v>
      </c>
      <c r="D320" s="4" t="s">
        <v>15</v>
      </c>
      <c r="E320" s="5" t="s">
        <v>23</v>
      </c>
      <c r="F320" s="5" t="s">
        <v>17</v>
      </c>
      <c r="G320" s="6"/>
      <c r="H320" s="7" t="n">
        <v>78</v>
      </c>
      <c r="I320" s="7" t="n">
        <v>84</v>
      </c>
      <c r="J320" s="7" t="n">
        <v>81</v>
      </c>
      <c r="K320" s="7" t="n">
        <v>81</v>
      </c>
      <c r="L320" s="0" t="str">
        <f aca="false">IF(H320&gt;I320,"ERRO","OK")</f>
        <v>OK</v>
      </c>
      <c r="M320" s="0" t="str">
        <f aca="false">IF(H320&gt;J320,"ERRO","OK")</f>
        <v>OK</v>
      </c>
      <c r="N320" s="0" t="str">
        <f aca="false">IF(I320&lt;J320,"ERRO","OK")</f>
        <v>OK</v>
      </c>
    </row>
    <row r="321" customFormat="false" ht="25" hidden="false" customHeight="false" outlineLevel="0" collapsed="false">
      <c r="A321" s="0" t="n">
        <v>45</v>
      </c>
      <c r="B321" s="0" t="n">
        <v>2024</v>
      </c>
      <c r="C321" s="3" t="n">
        <v>45364</v>
      </c>
      <c r="D321" s="8" t="s">
        <v>15</v>
      </c>
      <c r="E321" s="9" t="s">
        <v>24</v>
      </c>
      <c r="F321" s="9" t="s">
        <v>17</v>
      </c>
      <c r="G321" s="10"/>
      <c r="H321" s="11" t="n">
        <v>96</v>
      </c>
      <c r="I321" s="11" t="n">
        <v>96</v>
      </c>
      <c r="J321" s="11" t="n">
        <v>96</v>
      </c>
      <c r="K321" s="11" t="n">
        <v>96</v>
      </c>
      <c r="L321" s="0" t="str">
        <f aca="false">IF(H321&gt;I321,"ERRO","OK")</f>
        <v>OK</v>
      </c>
      <c r="M321" s="0" t="str">
        <f aca="false">IF(H321&gt;J321,"ERRO","OK")</f>
        <v>OK</v>
      </c>
      <c r="N321" s="0" t="str">
        <f aca="false">IF(I321&lt;J321,"ERRO","OK")</f>
        <v>OK</v>
      </c>
    </row>
    <row r="322" customFormat="false" ht="25" hidden="false" customHeight="false" outlineLevel="0" collapsed="false">
      <c r="A322" s="0" t="n">
        <v>45</v>
      </c>
      <c r="B322" s="0" t="n">
        <v>2024</v>
      </c>
      <c r="C322" s="3" t="n">
        <v>45364</v>
      </c>
      <c r="D322" s="4" t="s">
        <v>15</v>
      </c>
      <c r="E322" s="5" t="s">
        <v>25</v>
      </c>
      <c r="F322" s="5" t="s">
        <v>17</v>
      </c>
      <c r="G322" s="6"/>
      <c r="H322" s="7" t="n">
        <v>25</v>
      </c>
      <c r="I322" s="7" t="n">
        <v>36</v>
      </c>
      <c r="J322" s="7" t="s">
        <v>166</v>
      </c>
      <c r="K322" s="7" t="s">
        <v>166</v>
      </c>
      <c r="L322" s="0" t="str">
        <f aca="false">IF(H322&gt;I322,"ERRO","OK")</f>
        <v>OK</v>
      </c>
      <c r="M322" s="0" t="str">
        <f aca="false">IF(H322&gt;J322,"ERRO","OK")</f>
        <v>OK</v>
      </c>
      <c r="N322" s="0" t="str">
        <f aca="false">IF(I322&lt;J322,"ERRO","OK")</f>
        <v>ERRO</v>
      </c>
    </row>
    <row r="323" customFormat="false" ht="25" hidden="false" customHeight="false" outlineLevel="0" collapsed="false">
      <c r="A323" s="0" t="n">
        <v>45</v>
      </c>
      <c r="B323" s="0" t="n">
        <v>2024</v>
      </c>
      <c r="C323" s="3" t="n">
        <v>45364</v>
      </c>
      <c r="D323" s="8" t="s">
        <v>15</v>
      </c>
      <c r="E323" s="9" t="s">
        <v>77</v>
      </c>
      <c r="F323" s="9" t="s">
        <v>17</v>
      </c>
      <c r="G323" s="10"/>
      <c r="H323" s="11" t="n">
        <v>84</v>
      </c>
      <c r="I323" s="11" t="n">
        <v>120</v>
      </c>
      <c r="J323" s="11" t="n">
        <v>102</v>
      </c>
      <c r="K323" s="11" t="n">
        <v>102</v>
      </c>
      <c r="L323" s="0" t="str">
        <f aca="false">IF(H323&gt;I323,"ERRO","OK")</f>
        <v>OK</v>
      </c>
      <c r="M323" s="0" t="str">
        <f aca="false">IF(H323&gt;J323,"ERRO","OK")</f>
        <v>OK</v>
      </c>
      <c r="N323" s="0" t="str">
        <f aca="false">IF(I323&lt;J323,"ERRO","OK")</f>
        <v>OK</v>
      </c>
    </row>
    <row r="324" customFormat="false" ht="25" hidden="false" customHeight="false" outlineLevel="0" collapsed="false">
      <c r="A324" s="0" t="n">
        <v>45</v>
      </c>
      <c r="B324" s="0" t="n">
        <v>2024</v>
      </c>
      <c r="C324" s="3" t="n">
        <v>45364</v>
      </c>
      <c r="D324" s="4" t="s">
        <v>15</v>
      </c>
      <c r="E324" s="5" t="s">
        <v>27</v>
      </c>
      <c r="F324" s="5" t="s">
        <v>17</v>
      </c>
      <c r="G324" s="6"/>
      <c r="H324" s="7" t="n">
        <v>36</v>
      </c>
      <c r="I324" s="7" t="n">
        <v>42</v>
      </c>
      <c r="J324" s="7" t="n">
        <v>39</v>
      </c>
      <c r="K324" s="7" t="n">
        <v>39</v>
      </c>
      <c r="L324" s="0" t="str">
        <f aca="false">IF(H324&gt;I324,"ERRO","OK")</f>
        <v>OK</v>
      </c>
      <c r="M324" s="0" t="str">
        <f aca="false">IF(H324&gt;J324,"ERRO","OK")</f>
        <v>OK</v>
      </c>
      <c r="N324" s="0" t="str">
        <f aca="false">IF(I324&lt;J324,"ERRO","OK")</f>
        <v>OK</v>
      </c>
    </row>
    <row r="325" customFormat="false" ht="25" hidden="false" customHeight="false" outlineLevel="0" collapsed="false">
      <c r="A325" s="0" t="n">
        <v>45</v>
      </c>
      <c r="B325" s="0" t="n">
        <v>2024</v>
      </c>
      <c r="C325" s="3" t="n">
        <v>45364</v>
      </c>
      <c r="D325" s="8" t="s">
        <v>15</v>
      </c>
      <c r="E325" s="9" t="s">
        <v>28</v>
      </c>
      <c r="F325" s="9" t="s">
        <v>17</v>
      </c>
      <c r="G325" s="10"/>
      <c r="H325" s="11" t="n">
        <v>54</v>
      </c>
      <c r="I325" s="11" t="n">
        <v>60</v>
      </c>
      <c r="J325" s="11" t="n">
        <v>57</v>
      </c>
      <c r="K325" s="11" t="n">
        <v>57</v>
      </c>
      <c r="L325" s="0" t="str">
        <f aca="false">IF(H325&gt;I325,"ERRO","OK")</f>
        <v>OK</v>
      </c>
      <c r="M325" s="0" t="str">
        <f aca="false">IF(H325&gt;J325,"ERRO","OK")</f>
        <v>OK</v>
      </c>
      <c r="N325" s="0" t="str">
        <f aca="false">IF(I325&lt;J325,"ERRO","OK")</f>
        <v>OK</v>
      </c>
    </row>
    <row r="326" customFormat="false" ht="25" hidden="false" customHeight="false" outlineLevel="0" collapsed="false">
      <c r="A326" s="0" t="n">
        <v>45</v>
      </c>
      <c r="B326" s="0" t="n">
        <v>2024</v>
      </c>
      <c r="C326" s="3" t="n">
        <v>45364</v>
      </c>
      <c r="D326" s="4" t="s">
        <v>15</v>
      </c>
      <c r="E326" s="5" t="s">
        <v>29</v>
      </c>
      <c r="F326" s="5" t="s">
        <v>30</v>
      </c>
      <c r="G326" s="6"/>
      <c r="H326" s="7" t="n">
        <v>60</v>
      </c>
      <c r="I326" s="7" t="n">
        <v>78</v>
      </c>
      <c r="J326" s="7" t="n">
        <v>69</v>
      </c>
      <c r="K326" s="7" t="n">
        <v>69</v>
      </c>
      <c r="L326" s="0" t="str">
        <f aca="false">IF(H326&gt;I326,"ERRO","OK")</f>
        <v>OK</v>
      </c>
      <c r="M326" s="0" t="str">
        <f aca="false">IF(H326&gt;J326,"ERRO","OK")</f>
        <v>OK</v>
      </c>
      <c r="N326" s="0" t="str">
        <f aca="false">IF(I326&lt;J326,"ERRO","OK")</f>
        <v>OK</v>
      </c>
    </row>
    <row r="327" customFormat="false" ht="25" hidden="false" customHeight="false" outlineLevel="0" collapsed="false">
      <c r="A327" s="0" t="n">
        <v>45</v>
      </c>
      <c r="B327" s="0" t="n">
        <v>2024</v>
      </c>
      <c r="C327" s="3" t="n">
        <v>45364</v>
      </c>
      <c r="D327" s="8" t="s">
        <v>15</v>
      </c>
      <c r="E327" s="9" t="s">
        <v>31</v>
      </c>
      <c r="F327" s="9" t="s">
        <v>17</v>
      </c>
      <c r="G327" s="10"/>
      <c r="H327" s="11" t="n">
        <v>72</v>
      </c>
      <c r="I327" s="11" t="n">
        <v>102</v>
      </c>
      <c r="J327" s="11" t="n">
        <v>87</v>
      </c>
      <c r="K327" s="11" t="n">
        <v>87</v>
      </c>
      <c r="L327" s="0" t="str">
        <f aca="false">IF(H327&gt;I327,"ERRO","OK")</f>
        <v>OK</v>
      </c>
      <c r="M327" s="0" t="str">
        <f aca="false">IF(H327&gt;J327,"ERRO","OK")</f>
        <v>OK</v>
      </c>
      <c r="N327" s="0" t="str">
        <f aca="false">IF(I327&lt;J327,"ERRO","OK")</f>
        <v>OK</v>
      </c>
    </row>
    <row r="328" customFormat="false" ht="25" hidden="false" customHeight="false" outlineLevel="0" collapsed="false">
      <c r="A328" s="0" t="n">
        <v>45</v>
      </c>
      <c r="B328" s="0" t="n">
        <v>2024</v>
      </c>
      <c r="C328" s="3" t="n">
        <v>45364</v>
      </c>
      <c r="D328" s="4" t="s">
        <v>15</v>
      </c>
      <c r="E328" s="5" t="s">
        <v>32</v>
      </c>
      <c r="F328" s="5" t="s">
        <v>17</v>
      </c>
      <c r="G328" s="6"/>
      <c r="H328" s="7" t="n">
        <v>55</v>
      </c>
      <c r="I328" s="7" t="n">
        <v>84</v>
      </c>
      <c r="J328" s="7" t="s">
        <v>167</v>
      </c>
      <c r="K328" s="7" t="n">
        <v>60</v>
      </c>
      <c r="L328" s="0" t="str">
        <f aca="false">IF(H328&gt;I328,"ERRO","OK")</f>
        <v>OK</v>
      </c>
      <c r="M328" s="0" t="str">
        <f aca="false">IF(H328&gt;J328,"ERRO","OK")</f>
        <v>OK</v>
      </c>
      <c r="N328" s="0" t="str">
        <f aca="false">IF(I328&lt;J328,"ERRO","OK")</f>
        <v>ERRO</v>
      </c>
    </row>
    <row r="329" customFormat="false" ht="25" hidden="false" customHeight="false" outlineLevel="0" collapsed="false">
      <c r="A329" s="0" t="n">
        <v>45</v>
      </c>
      <c r="B329" s="0" t="n">
        <v>2024</v>
      </c>
      <c r="C329" s="3" t="n">
        <v>45364</v>
      </c>
      <c r="D329" s="8" t="s">
        <v>15</v>
      </c>
      <c r="E329" s="9" t="s">
        <v>33</v>
      </c>
      <c r="F329" s="9" t="s">
        <v>17</v>
      </c>
      <c r="G329" s="11" t="n">
        <v>54</v>
      </c>
      <c r="H329" s="11" t="n">
        <v>54</v>
      </c>
      <c r="I329" s="11" t="n">
        <v>54</v>
      </c>
      <c r="J329" s="11" t="n">
        <v>54</v>
      </c>
      <c r="K329" s="11" t="n">
        <v>54</v>
      </c>
      <c r="L329" s="0" t="str">
        <f aca="false">IF(H329&gt;I329,"ERRO","OK")</f>
        <v>OK</v>
      </c>
      <c r="M329" s="0" t="str">
        <f aca="false">IF(H329&gt;J329,"ERRO","OK")</f>
        <v>OK</v>
      </c>
      <c r="N329" s="0" t="str">
        <f aca="false">IF(I329&lt;J329,"ERRO","OK")</f>
        <v>OK</v>
      </c>
    </row>
    <row r="330" customFormat="false" ht="25" hidden="false" customHeight="false" outlineLevel="0" collapsed="false">
      <c r="A330" s="0" t="n">
        <v>45</v>
      </c>
      <c r="B330" s="0" t="n">
        <v>2024</v>
      </c>
      <c r="C330" s="3" t="n">
        <v>45364</v>
      </c>
      <c r="D330" s="4" t="s">
        <v>34</v>
      </c>
      <c r="E330" s="5" t="s">
        <v>35</v>
      </c>
      <c r="F330" s="5" t="s">
        <v>36</v>
      </c>
      <c r="G330" s="7" t="n">
        <v>5</v>
      </c>
      <c r="H330" s="7" t="s">
        <v>101</v>
      </c>
      <c r="I330" s="7" t="n">
        <v>5</v>
      </c>
      <c r="J330" s="7" t="s">
        <v>168</v>
      </c>
      <c r="K330" s="7" t="n">
        <v>5</v>
      </c>
      <c r="L330" s="0" t="str">
        <f aca="false">IF(H330&gt;I330,"ERRO","OK")</f>
        <v>ERRO</v>
      </c>
      <c r="M330" s="0" t="str">
        <f aca="false">IF(H330&gt;J330,"ERRO","OK")</f>
        <v>OK</v>
      </c>
      <c r="N330" s="0" t="str">
        <f aca="false">IF(I330&lt;J330,"ERRO","OK")</f>
        <v>ERRO</v>
      </c>
    </row>
    <row r="331" customFormat="false" ht="25" hidden="false" customHeight="false" outlineLevel="0" collapsed="false">
      <c r="A331" s="0" t="n">
        <v>45</v>
      </c>
      <c r="B331" s="0" t="n">
        <v>2024</v>
      </c>
      <c r="C331" s="3" t="n">
        <v>45364</v>
      </c>
      <c r="D331" s="8" t="s">
        <v>34</v>
      </c>
      <c r="E331" s="9" t="s">
        <v>38</v>
      </c>
      <c r="F331" s="9" t="s">
        <v>39</v>
      </c>
      <c r="G331" s="10"/>
      <c r="H331" s="11" t="n">
        <v>20</v>
      </c>
      <c r="I331" s="11" t="n">
        <v>35</v>
      </c>
      <c r="J331" s="11" t="s">
        <v>140</v>
      </c>
      <c r="K331" s="11" t="n">
        <v>25</v>
      </c>
      <c r="L331" s="0" t="str">
        <f aca="false">IF(H331&gt;I331,"ERRO","OK")</f>
        <v>OK</v>
      </c>
      <c r="M331" s="0" t="str">
        <f aca="false">IF(H331&gt;J331,"ERRO","OK")</f>
        <v>OK</v>
      </c>
      <c r="N331" s="0" t="str">
        <f aca="false">IF(I331&lt;J331,"ERRO","OK")</f>
        <v>ERRO</v>
      </c>
    </row>
    <row r="332" customFormat="false" ht="25" hidden="false" customHeight="false" outlineLevel="0" collapsed="false">
      <c r="A332" s="0" t="n">
        <v>45</v>
      </c>
      <c r="B332" s="0" t="n">
        <v>2024</v>
      </c>
      <c r="C332" s="3" t="n">
        <v>45364</v>
      </c>
      <c r="D332" s="4" t="s">
        <v>34</v>
      </c>
      <c r="E332" s="5" t="s">
        <v>40</v>
      </c>
      <c r="F332" s="5" t="s">
        <v>39</v>
      </c>
      <c r="G332" s="6"/>
      <c r="H332" s="7" t="n">
        <v>30</v>
      </c>
      <c r="I332" s="7" t="n">
        <v>40</v>
      </c>
      <c r="J332" s="7" t="n">
        <v>35</v>
      </c>
      <c r="K332" s="7" t="n">
        <v>35</v>
      </c>
      <c r="L332" s="0" t="str">
        <f aca="false">IF(H332&gt;I332,"ERRO","OK")</f>
        <v>OK</v>
      </c>
      <c r="M332" s="0" t="str">
        <f aca="false">IF(H332&gt;J332,"ERRO","OK")</f>
        <v>OK</v>
      </c>
      <c r="N332" s="0" t="str">
        <f aca="false">IF(I332&lt;J332,"ERRO","OK")</f>
        <v>OK</v>
      </c>
    </row>
    <row r="333" customFormat="false" ht="36.5" hidden="false" customHeight="false" outlineLevel="0" collapsed="false">
      <c r="A333" s="0" t="n">
        <v>45</v>
      </c>
      <c r="B333" s="0" t="n">
        <v>2024</v>
      </c>
      <c r="C333" s="3" t="n">
        <v>45364</v>
      </c>
      <c r="D333" s="8" t="s">
        <v>42</v>
      </c>
      <c r="E333" s="9" t="s">
        <v>157</v>
      </c>
      <c r="F333" s="9" t="s">
        <v>158</v>
      </c>
      <c r="G333" s="10"/>
      <c r="H333" s="10"/>
      <c r="I333" s="10"/>
      <c r="J333" s="10"/>
      <c r="K333" s="10"/>
      <c r="L333" s="0" t="str">
        <f aca="false">IF(H333&gt;I333,"ERRO","OK")</f>
        <v>OK</v>
      </c>
      <c r="M333" s="0" t="str">
        <f aca="false">IF(H333&gt;J333,"ERRO","OK")</f>
        <v>OK</v>
      </c>
      <c r="N333" s="0" t="str">
        <f aca="false">IF(I333&lt;J333,"ERRO","OK")</f>
        <v>OK</v>
      </c>
    </row>
    <row r="334" customFormat="false" ht="36.5" hidden="false" customHeight="false" outlineLevel="0" collapsed="false">
      <c r="A334" s="0" t="n">
        <v>45</v>
      </c>
      <c r="B334" s="0" t="n">
        <v>2024</v>
      </c>
      <c r="C334" s="3" t="n">
        <v>45364</v>
      </c>
      <c r="D334" s="4" t="s">
        <v>42</v>
      </c>
      <c r="E334" s="5" t="s">
        <v>43</v>
      </c>
      <c r="F334" s="5" t="s">
        <v>44</v>
      </c>
      <c r="G334" s="7" t="n">
        <v>80</v>
      </c>
      <c r="H334" s="7" t="n">
        <v>70</v>
      </c>
      <c r="I334" s="7" t="n">
        <v>85</v>
      </c>
      <c r="J334" s="7" t="s">
        <v>159</v>
      </c>
      <c r="K334" s="7" t="n">
        <v>80</v>
      </c>
      <c r="L334" s="0" t="str">
        <f aca="false">IF(H334&gt;I334,"ERRO","OK")</f>
        <v>OK</v>
      </c>
      <c r="M334" s="0" t="str">
        <f aca="false">IF(H334&gt;J334,"ERRO","OK")</f>
        <v>OK</v>
      </c>
      <c r="N334" s="0" t="str">
        <f aca="false">IF(I334&lt;J334,"ERRO","OK")</f>
        <v>ERRO</v>
      </c>
    </row>
    <row r="335" customFormat="false" ht="36.5" hidden="false" customHeight="false" outlineLevel="0" collapsed="false">
      <c r="A335" s="0" t="n">
        <v>45</v>
      </c>
      <c r="B335" s="0" t="n">
        <v>2024</v>
      </c>
      <c r="C335" s="3" t="n">
        <v>45364</v>
      </c>
      <c r="D335" s="8" t="s">
        <v>42</v>
      </c>
      <c r="E335" s="9" t="s">
        <v>46</v>
      </c>
      <c r="F335" s="9" t="s">
        <v>47</v>
      </c>
      <c r="G335" s="11" t="n">
        <v>75</v>
      </c>
      <c r="H335" s="11" t="n">
        <v>55</v>
      </c>
      <c r="I335" s="11" t="n">
        <v>75</v>
      </c>
      <c r="J335" s="11" t="n">
        <v>70</v>
      </c>
      <c r="K335" s="11" t="n">
        <v>75</v>
      </c>
      <c r="L335" s="0" t="str">
        <f aca="false">IF(H335&gt;I335,"ERRO","OK")</f>
        <v>OK</v>
      </c>
      <c r="M335" s="0" t="str">
        <f aca="false">IF(H335&gt;J335,"ERRO","OK")</f>
        <v>OK</v>
      </c>
      <c r="N335" s="0" t="str">
        <f aca="false">IF(I335&lt;J335,"ERRO","OK")</f>
        <v>OK</v>
      </c>
    </row>
    <row r="336" customFormat="false" ht="36.5" hidden="false" customHeight="false" outlineLevel="0" collapsed="false">
      <c r="A336" s="0" t="n">
        <v>45</v>
      </c>
      <c r="B336" s="0" t="n">
        <v>2024</v>
      </c>
      <c r="C336" s="3" t="n">
        <v>45364</v>
      </c>
      <c r="D336" s="4" t="s">
        <v>42</v>
      </c>
      <c r="E336" s="5" t="s">
        <v>48</v>
      </c>
      <c r="F336" s="5" t="s">
        <v>49</v>
      </c>
      <c r="G336" s="7" t="n">
        <v>50</v>
      </c>
      <c r="H336" s="7" t="n">
        <v>30</v>
      </c>
      <c r="I336" s="7" t="n">
        <v>50</v>
      </c>
      <c r="J336" s="7" t="n">
        <v>44</v>
      </c>
      <c r="K336" s="7" t="n">
        <v>50</v>
      </c>
      <c r="L336" s="0" t="str">
        <f aca="false">IF(H336&gt;I336,"ERRO","OK")</f>
        <v>OK</v>
      </c>
      <c r="M336" s="0" t="str">
        <f aca="false">IF(H336&gt;J336,"ERRO","OK")</f>
        <v>OK</v>
      </c>
      <c r="N336" s="0" t="str">
        <f aca="false">IF(I336&lt;J336,"ERRO","OK")</f>
        <v>OK</v>
      </c>
    </row>
    <row r="337" customFormat="false" ht="36.5" hidden="false" customHeight="false" outlineLevel="0" collapsed="false">
      <c r="A337" s="0" t="n">
        <v>45</v>
      </c>
      <c r="B337" s="0" t="n">
        <v>2024</v>
      </c>
      <c r="C337" s="3" t="n">
        <v>45364</v>
      </c>
      <c r="D337" s="8" t="s">
        <v>42</v>
      </c>
      <c r="E337" s="9" t="s">
        <v>52</v>
      </c>
      <c r="F337" s="9" t="s">
        <v>49</v>
      </c>
      <c r="G337" s="10"/>
      <c r="H337" s="11" t="n">
        <v>80</v>
      </c>
      <c r="I337" s="11" t="n">
        <v>80</v>
      </c>
      <c r="J337" s="11" t="n">
        <v>80</v>
      </c>
      <c r="K337" s="11" t="n">
        <v>80</v>
      </c>
      <c r="L337" s="0" t="str">
        <f aca="false">IF(H337&gt;I337,"ERRO","OK")</f>
        <v>OK</v>
      </c>
      <c r="M337" s="0" t="str">
        <f aca="false">IF(H337&gt;J337,"ERRO","OK")</f>
        <v>OK</v>
      </c>
      <c r="N337" s="0" t="str">
        <f aca="false">IF(I337&lt;J337,"ERRO","OK")</f>
        <v>OK</v>
      </c>
    </row>
    <row r="338" customFormat="false" ht="36.5" hidden="false" customHeight="false" outlineLevel="0" collapsed="false">
      <c r="A338" s="0" t="n">
        <v>45</v>
      </c>
      <c r="B338" s="0" t="n">
        <v>2024</v>
      </c>
      <c r="C338" s="3" t="n">
        <v>45364</v>
      </c>
      <c r="D338" s="4" t="s">
        <v>42</v>
      </c>
      <c r="E338" s="5" t="s">
        <v>53</v>
      </c>
      <c r="F338" s="5" t="s">
        <v>54</v>
      </c>
      <c r="G338" s="7" t="n">
        <v>100</v>
      </c>
      <c r="H338" s="7" t="n">
        <v>100</v>
      </c>
      <c r="I338" s="7" t="n">
        <v>130</v>
      </c>
      <c r="J338" s="7" t="s">
        <v>169</v>
      </c>
      <c r="K338" s="7" t="s">
        <v>170</v>
      </c>
      <c r="L338" s="0" t="str">
        <f aca="false">IF(H338&gt;I338,"ERRO","OK")</f>
        <v>OK</v>
      </c>
      <c r="M338" s="0" t="str">
        <f aca="false">IF(H338&gt;J338,"ERRO","OK")</f>
        <v>OK</v>
      </c>
      <c r="N338" s="0" t="str">
        <f aca="false">IF(I338&lt;J338,"ERRO","OK")</f>
        <v>ERRO</v>
      </c>
    </row>
    <row r="339" customFormat="false" ht="36.5" hidden="false" customHeight="false" outlineLevel="0" collapsed="false">
      <c r="A339" s="0" t="n">
        <v>45</v>
      </c>
      <c r="B339" s="0" t="n">
        <v>2024</v>
      </c>
      <c r="C339" s="3" t="n">
        <v>45364</v>
      </c>
      <c r="D339" s="8" t="s">
        <v>42</v>
      </c>
      <c r="E339" s="9" t="s">
        <v>56</v>
      </c>
      <c r="F339" s="9" t="s">
        <v>47</v>
      </c>
      <c r="G339" s="11" t="n">
        <v>130</v>
      </c>
      <c r="H339" s="11" t="n">
        <v>90</v>
      </c>
      <c r="I339" s="11" t="n">
        <v>140</v>
      </c>
      <c r="J339" s="11" t="s">
        <v>171</v>
      </c>
      <c r="K339" s="11" t="n">
        <v>130</v>
      </c>
      <c r="L339" s="0" t="str">
        <f aca="false">IF(H339&gt;I339,"ERRO","OK")</f>
        <v>OK</v>
      </c>
      <c r="M339" s="0" t="str">
        <f aca="false">IF(H339&gt;J339,"ERRO","OK")</f>
        <v>OK</v>
      </c>
      <c r="N339" s="0" t="str">
        <f aca="false">IF(I339&lt;J339,"ERRO","OK")</f>
        <v>ERRO</v>
      </c>
    </row>
    <row r="340" customFormat="false" ht="36.5" hidden="false" customHeight="false" outlineLevel="0" collapsed="false">
      <c r="A340" s="0" t="n">
        <v>45</v>
      </c>
      <c r="B340" s="0" t="n">
        <v>2024</v>
      </c>
      <c r="C340" s="3" t="n">
        <v>45364</v>
      </c>
      <c r="D340" s="4" t="s">
        <v>42</v>
      </c>
      <c r="E340" s="5" t="s">
        <v>57</v>
      </c>
      <c r="F340" s="5" t="s">
        <v>47</v>
      </c>
      <c r="G340" s="7" t="n">
        <v>70</v>
      </c>
      <c r="H340" s="7" t="n">
        <v>70</v>
      </c>
      <c r="I340" s="7" t="n">
        <v>90</v>
      </c>
      <c r="J340" s="7" t="n">
        <v>75</v>
      </c>
      <c r="K340" s="7" t="n">
        <v>70</v>
      </c>
      <c r="L340" s="0" t="str">
        <f aca="false">IF(H340&gt;I340,"ERRO","OK")</f>
        <v>OK</v>
      </c>
      <c r="M340" s="0" t="str">
        <f aca="false">IF(H340&gt;J340,"ERRO","OK")</f>
        <v>OK</v>
      </c>
      <c r="N340" s="0" t="str">
        <f aca="false">IF(I340&lt;J340,"ERRO","OK")</f>
        <v>OK</v>
      </c>
    </row>
    <row r="341" customFormat="false" ht="36.5" hidden="false" customHeight="false" outlineLevel="0" collapsed="false">
      <c r="A341" s="0" t="n">
        <v>45</v>
      </c>
      <c r="B341" s="0" t="n">
        <v>2024</v>
      </c>
      <c r="C341" s="3" t="n">
        <v>45364</v>
      </c>
      <c r="D341" s="8" t="s">
        <v>42</v>
      </c>
      <c r="E341" s="9" t="s">
        <v>58</v>
      </c>
      <c r="F341" s="9" t="s">
        <v>44</v>
      </c>
      <c r="G341" s="10"/>
      <c r="H341" s="11" t="n">
        <v>80</v>
      </c>
      <c r="I341" s="11" t="n">
        <v>85</v>
      </c>
      <c r="J341" s="11" t="s">
        <v>172</v>
      </c>
      <c r="K341" s="11" t="s">
        <v>172</v>
      </c>
      <c r="L341" s="0" t="str">
        <f aca="false">IF(H341&gt;I341,"ERRO","OK")</f>
        <v>OK</v>
      </c>
      <c r="M341" s="0" t="str">
        <f aca="false">IF(H341&gt;J341,"ERRO","OK")</f>
        <v>OK</v>
      </c>
      <c r="N341" s="0" t="str">
        <f aca="false">IF(I341&lt;J341,"ERRO","OK")</f>
        <v>ERRO</v>
      </c>
    </row>
    <row r="342" customFormat="false" ht="36.5" hidden="false" customHeight="false" outlineLevel="0" collapsed="false">
      <c r="A342" s="0" t="n">
        <v>45</v>
      </c>
      <c r="B342" s="0" t="n">
        <v>2024</v>
      </c>
      <c r="C342" s="3" t="n">
        <v>45364</v>
      </c>
      <c r="D342" s="4" t="s">
        <v>42</v>
      </c>
      <c r="E342" s="5" t="s">
        <v>60</v>
      </c>
      <c r="F342" s="5" t="s">
        <v>47</v>
      </c>
      <c r="G342" s="7" t="n">
        <v>60</v>
      </c>
      <c r="H342" s="7" t="n">
        <v>60</v>
      </c>
      <c r="I342" s="7" t="n">
        <v>60</v>
      </c>
      <c r="J342" s="7" t="n">
        <v>60</v>
      </c>
      <c r="K342" s="7" t="n">
        <v>60</v>
      </c>
      <c r="L342" s="0" t="str">
        <f aca="false">IF(H342&gt;I342,"ERRO","OK")</f>
        <v>OK</v>
      </c>
      <c r="M342" s="0" t="str">
        <f aca="false">IF(H342&gt;J342,"ERRO","OK")</f>
        <v>OK</v>
      </c>
      <c r="N342" s="0" t="str">
        <f aca="false">IF(I342&lt;J342,"ERRO","OK")</f>
        <v>OK</v>
      </c>
    </row>
    <row r="343" customFormat="false" ht="36.5" hidden="false" customHeight="false" outlineLevel="0" collapsed="false">
      <c r="A343" s="0" t="n">
        <v>45</v>
      </c>
      <c r="B343" s="0" t="n">
        <v>2024</v>
      </c>
      <c r="C343" s="3" t="n">
        <v>45364</v>
      </c>
      <c r="D343" s="8" t="s">
        <v>42</v>
      </c>
      <c r="E343" s="9" t="s">
        <v>61</v>
      </c>
      <c r="F343" s="9" t="s">
        <v>44</v>
      </c>
      <c r="G343" s="11" t="n">
        <v>70</v>
      </c>
      <c r="H343" s="11" t="n">
        <v>70</v>
      </c>
      <c r="I343" s="11" t="n">
        <v>70</v>
      </c>
      <c r="J343" s="11" t="n">
        <v>70</v>
      </c>
      <c r="K343" s="11" t="n">
        <v>70</v>
      </c>
      <c r="L343" s="0" t="str">
        <f aca="false">IF(H343&gt;I343,"ERRO","OK")</f>
        <v>OK</v>
      </c>
      <c r="M343" s="0" t="str">
        <f aca="false">IF(H343&gt;J343,"ERRO","OK")</f>
        <v>OK</v>
      </c>
      <c r="N343" s="0" t="str">
        <f aca="false">IF(I343&lt;J343,"ERRO","OK")</f>
        <v>OK</v>
      </c>
    </row>
    <row r="344" customFormat="false" ht="36.5" hidden="false" customHeight="false" outlineLevel="0" collapsed="false">
      <c r="A344" s="0" t="n">
        <v>45</v>
      </c>
      <c r="B344" s="0" t="n">
        <v>2024</v>
      </c>
      <c r="C344" s="3" t="n">
        <v>45364</v>
      </c>
      <c r="D344" s="4" t="s">
        <v>42</v>
      </c>
      <c r="E344" s="5" t="s">
        <v>62</v>
      </c>
      <c r="F344" s="5" t="s">
        <v>44</v>
      </c>
      <c r="G344" s="6"/>
      <c r="H344" s="7" t="n">
        <v>80</v>
      </c>
      <c r="I344" s="7" t="n">
        <v>135</v>
      </c>
      <c r="J344" s="7" t="s">
        <v>173</v>
      </c>
      <c r="K344" s="7" t="n">
        <v>105</v>
      </c>
      <c r="L344" s="0" t="str">
        <f aca="false">IF(H344&gt;I344,"ERRO","OK")</f>
        <v>OK</v>
      </c>
      <c r="M344" s="0" t="str">
        <f aca="false">IF(H344&gt;J344,"ERRO","OK")</f>
        <v>OK</v>
      </c>
      <c r="N344" s="0" t="str">
        <f aca="false">IF(I344&lt;J344,"ERRO","OK")</f>
        <v>ERRO</v>
      </c>
    </row>
    <row r="345" customFormat="false" ht="36.5" hidden="false" customHeight="false" outlineLevel="0" collapsed="false">
      <c r="A345" s="0" t="n">
        <v>45</v>
      </c>
      <c r="B345" s="0" t="n">
        <v>2024</v>
      </c>
      <c r="C345" s="3" t="n">
        <v>45364</v>
      </c>
      <c r="D345" s="8" t="s">
        <v>42</v>
      </c>
      <c r="E345" s="9" t="s">
        <v>63</v>
      </c>
      <c r="F345" s="9" t="s">
        <v>49</v>
      </c>
      <c r="G345" s="11" t="n">
        <v>60</v>
      </c>
      <c r="H345" s="11" t="n">
        <v>45</v>
      </c>
      <c r="I345" s="11" t="n">
        <v>70</v>
      </c>
      <c r="J345" s="11" t="s">
        <v>105</v>
      </c>
      <c r="K345" s="11" t="n">
        <v>60</v>
      </c>
      <c r="L345" s="0" t="str">
        <f aca="false">IF(H345&gt;I345,"ERRO","OK")</f>
        <v>OK</v>
      </c>
      <c r="M345" s="0" t="str">
        <f aca="false">IF(H345&gt;J345,"ERRO","OK")</f>
        <v>OK</v>
      </c>
      <c r="N345" s="0" t="str">
        <f aca="false">IF(I345&lt;J345,"ERRO","OK")</f>
        <v>ERRO</v>
      </c>
    </row>
    <row r="346" customFormat="false" ht="36.5" hidden="false" customHeight="false" outlineLevel="0" collapsed="false">
      <c r="A346" s="0" t="n">
        <v>45</v>
      </c>
      <c r="B346" s="0" t="n">
        <v>2024</v>
      </c>
      <c r="C346" s="3" t="n">
        <v>45364</v>
      </c>
      <c r="D346" s="4" t="s">
        <v>42</v>
      </c>
      <c r="E346" s="5" t="s">
        <v>64</v>
      </c>
      <c r="F346" s="5" t="s">
        <v>65</v>
      </c>
      <c r="G346" s="6"/>
      <c r="H346" s="7" t="n">
        <v>50</v>
      </c>
      <c r="I346" s="7" t="n">
        <v>70</v>
      </c>
      <c r="J346" s="7" t="n">
        <v>60</v>
      </c>
      <c r="K346" s="7" t="n">
        <v>60</v>
      </c>
      <c r="L346" s="0" t="str">
        <f aca="false">IF(H346&gt;I346,"ERRO","OK")</f>
        <v>OK</v>
      </c>
      <c r="M346" s="0" t="str">
        <f aca="false">IF(H346&gt;J346,"ERRO","OK")</f>
        <v>OK</v>
      </c>
      <c r="N346" s="0" t="str">
        <f aca="false">IF(I346&lt;J346,"ERRO","OK")</f>
        <v>OK</v>
      </c>
    </row>
    <row r="347" customFormat="false" ht="36.5" hidden="false" customHeight="false" outlineLevel="0" collapsed="false">
      <c r="A347" s="0" t="n">
        <v>45</v>
      </c>
      <c r="B347" s="0" t="n">
        <v>2024</v>
      </c>
      <c r="C347" s="3" t="n">
        <v>45364</v>
      </c>
      <c r="D347" s="8" t="s">
        <v>42</v>
      </c>
      <c r="E347" s="9" t="s">
        <v>67</v>
      </c>
      <c r="F347" s="9" t="s">
        <v>44</v>
      </c>
      <c r="G347" s="11" t="n">
        <v>150</v>
      </c>
      <c r="H347" s="11" t="n">
        <v>110</v>
      </c>
      <c r="I347" s="11" t="n">
        <v>150</v>
      </c>
      <c r="J347" s="11" t="s">
        <v>174</v>
      </c>
      <c r="K347" s="11" t="n">
        <v>145</v>
      </c>
      <c r="L347" s="0" t="str">
        <f aca="false">IF(H347&gt;I347,"ERRO","OK")</f>
        <v>OK</v>
      </c>
      <c r="M347" s="0" t="str">
        <f aca="false">IF(H347&gt;J347,"ERRO","OK")</f>
        <v>OK</v>
      </c>
      <c r="N347" s="0" t="str">
        <f aca="false">IF(I347&lt;J347,"ERRO","OK")</f>
        <v>ERRO</v>
      </c>
    </row>
    <row r="348" customFormat="false" ht="36.5" hidden="false" customHeight="false" outlineLevel="0" collapsed="false">
      <c r="A348" s="0" t="n">
        <v>45</v>
      </c>
      <c r="B348" s="0" t="n">
        <v>2024</v>
      </c>
      <c r="C348" s="3" t="n">
        <v>45364</v>
      </c>
      <c r="D348" s="4" t="s">
        <v>42</v>
      </c>
      <c r="E348" s="5" t="s">
        <v>68</v>
      </c>
      <c r="F348" s="5" t="s">
        <v>44</v>
      </c>
      <c r="G348" s="6"/>
      <c r="H348" s="7" t="n">
        <v>120</v>
      </c>
      <c r="I348" s="7" t="n">
        <v>150</v>
      </c>
      <c r="J348" s="7" t="s">
        <v>175</v>
      </c>
      <c r="K348" s="7" t="n">
        <v>140</v>
      </c>
      <c r="L348" s="0" t="str">
        <f aca="false">IF(H348&gt;I348,"ERRO","OK")</f>
        <v>OK</v>
      </c>
      <c r="M348" s="0" t="str">
        <f aca="false">IF(H348&gt;J348,"ERRO","OK")</f>
        <v>OK</v>
      </c>
      <c r="N348" s="0" t="str">
        <f aca="false">IF(I348&lt;J348,"ERRO","OK")</f>
        <v>ERRO</v>
      </c>
    </row>
    <row r="349" customFormat="false" ht="14.25" hidden="false" customHeight="false" outlineLevel="0" collapsed="false">
      <c r="A349" s="0" t="n">
        <v>45</v>
      </c>
      <c r="B349" s="0" t="n">
        <v>2024</v>
      </c>
      <c r="C349" s="3" t="n">
        <v>45364</v>
      </c>
      <c r="D349" s="8" t="s">
        <v>69</v>
      </c>
      <c r="E349" s="9" t="s">
        <v>70</v>
      </c>
      <c r="F349" s="9" t="s">
        <v>49</v>
      </c>
      <c r="G349" s="10"/>
      <c r="H349" s="11" t="n">
        <v>110</v>
      </c>
      <c r="I349" s="11" t="n">
        <v>110</v>
      </c>
      <c r="J349" s="11" t="n">
        <v>110</v>
      </c>
      <c r="K349" s="11" t="n">
        <v>110</v>
      </c>
      <c r="L349" s="0" t="str">
        <f aca="false">IF(H349&gt;I349,"ERRO","OK")</f>
        <v>OK</v>
      </c>
      <c r="M349" s="0" t="str">
        <f aca="false">IF(H349&gt;J349,"ERRO","OK")</f>
        <v>OK</v>
      </c>
      <c r="N349" s="0" t="str">
        <f aca="false">IF(I349&lt;J349,"ERRO","OK")</f>
        <v>OK</v>
      </c>
    </row>
    <row r="350" customFormat="false" ht="14.25" hidden="false" customHeight="false" outlineLevel="0" collapsed="false">
      <c r="A350" s="0" t="n">
        <v>45</v>
      </c>
      <c r="B350" s="0" t="n">
        <v>2024</v>
      </c>
      <c r="C350" s="3" t="n">
        <v>45364</v>
      </c>
      <c r="D350" s="4" t="s">
        <v>69</v>
      </c>
      <c r="E350" s="5" t="s">
        <v>71</v>
      </c>
      <c r="F350" s="5" t="s">
        <v>49</v>
      </c>
      <c r="G350" s="6"/>
      <c r="H350" s="7" t="n">
        <v>70</v>
      </c>
      <c r="I350" s="7" t="n">
        <v>70</v>
      </c>
      <c r="J350" s="7" t="n">
        <v>70</v>
      </c>
      <c r="K350" s="7" t="n">
        <v>70</v>
      </c>
      <c r="L350" s="0" t="str">
        <f aca="false">IF(H350&gt;I350,"ERRO","OK")</f>
        <v>OK</v>
      </c>
      <c r="M350" s="0" t="str">
        <f aca="false">IF(H350&gt;J350,"ERRO","OK")</f>
        <v>OK</v>
      </c>
      <c r="N350" s="0" t="str">
        <f aca="false">IF(I350&lt;J350,"ERRO","OK")</f>
        <v>OK</v>
      </c>
    </row>
    <row r="351" customFormat="false" ht="14.25" hidden="false" customHeight="false" outlineLevel="0" collapsed="false">
      <c r="A351" s="0" t="n">
        <v>45</v>
      </c>
      <c r="B351" s="0" t="n">
        <v>2024</v>
      </c>
      <c r="C351" s="3" t="n">
        <v>45364</v>
      </c>
      <c r="D351" s="8" t="s">
        <v>69</v>
      </c>
      <c r="E351" s="9" t="s">
        <v>72</v>
      </c>
      <c r="F351" s="9" t="s">
        <v>49</v>
      </c>
      <c r="G351" s="10"/>
      <c r="H351" s="11" t="n">
        <v>40</v>
      </c>
      <c r="I351" s="11" t="n">
        <v>40</v>
      </c>
      <c r="J351" s="11" t="n">
        <v>40</v>
      </c>
      <c r="K351" s="11" t="n">
        <v>40</v>
      </c>
      <c r="L351" s="0" t="str">
        <f aca="false">IF(H351&gt;I351,"ERRO","OK")</f>
        <v>OK</v>
      </c>
      <c r="M351" s="0" t="str">
        <f aca="false">IF(H351&gt;J351,"ERRO","OK")</f>
        <v>OK</v>
      </c>
      <c r="N351" s="0" t="str">
        <f aca="false">IF(I351&lt;J351,"ERRO","OK")</f>
        <v>OK</v>
      </c>
    </row>
    <row r="352" customFormat="false" ht="14.25" hidden="false" customHeight="false" outlineLevel="0" collapsed="false">
      <c r="A352" s="0" t="n">
        <v>45</v>
      </c>
      <c r="B352" s="0" t="n">
        <v>2024</v>
      </c>
      <c r="C352" s="3" t="n">
        <v>45364</v>
      </c>
      <c r="D352" s="4" t="s">
        <v>69</v>
      </c>
      <c r="E352" s="5" t="s">
        <v>73</v>
      </c>
      <c r="F352" s="5" t="s">
        <v>49</v>
      </c>
      <c r="G352" s="6"/>
      <c r="H352" s="7" t="n">
        <v>50</v>
      </c>
      <c r="I352" s="7" t="n">
        <v>50</v>
      </c>
      <c r="J352" s="7" t="n">
        <v>50</v>
      </c>
      <c r="K352" s="7" t="n">
        <v>50</v>
      </c>
      <c r="L352" s="0" t="str">
        <f aca="false">IF(H352&gt;I352,"ERRO","OK")</f>
        <v>OK</v>
      </c>
      <c r="M352" s="0" t="str">
        <f aca="false">IF(H352&gt;J352,"ERRO","OK")</f>
        <v>OK</v>
      </c>
      <c r="N352" s="0" t="str">
        <f aca="false">IF(I352&lt;J352,"ERRO","OK")</f>
        <v>OK</v>
      </c>
    </row>
    <row r="353" customFormat="false" ht="14.25" hidden="false" customHeight="false" outlineLevel="0" collapsed="false">
      <c r="A353" s="0" t="n">
        <v>45</v>
      </c>
      <c r="B353" s="0" t="n">
        <v>2024</v>
      </c>
      <c r="C353" s="3" t="n">
        <v>45364</v>
      </c>
      <c r="D353" s="8" t="s">
        <v>69</v>
      </c>
      <c r="E353" s="9" t="s">
        <v>74</v>
      </c>
      <c r="F353" s="9" t="s">
        <v>75</v>
      </c>
      <c r="G353" s="10"/>
      <c r="H353" s="10"/>
      <c r="I353" s="10"/>
      <c r="J353" s="10"/>
      <c r="K353" s="10"/>
      <c r="L353" s="0" t="str">
        <f aca="false">IF(H353&gt;I353,"ERRO","OK")</f>
        <v>OK</v>
      </c>
      <c r="M353" s="0" t="str">
        <f aca="false">IF(H353&gt;J353,"ERRO","OK")</f>
        <v>OK</v>
      </c>
      <c r="N353" s="0" t="str">
        <f aca="false">IF(I353&lt;J353,"ERRO","OK")</f>
        <v>OK</v>
      </c>
    </row>
    <row r="354" customFormat="false" ht="25" hidden="false" customHeight="false" outlineLevel="0" collapsed="false">
      <c r="A354" s="0" t="n">
        <v>46</v>
      </c>
      <c r="B354" s="0" t="n">
        <v>2024</v>
      </c>
      <c r="C354" s="3" t="n">
        <v>45371</v>
      </c>
      <c r="D354" s="4" t="s">
        <v>15</v>
      </c>
      <c r="E354" s="5" t="s">
        <v>16</v>
      </c>
      <c r="F354" s="5" t="s">
        <v>17</v>
      </c>
      <c r="G354" s="7" t="n">
        <v>60</v>
      </c>
      <c r="H354" s="7" t="n">
        <v>60</v>
      </c>
      <c r="I354" s="7" t="n">
        <v>84</v>
      </c>
      <c r="J354" s="7" t="n">
        <v>68</v>
      </c>
      <c r="K354" s="7" t="n">
        <v>60</v>
      </c>
      <c r="L354" s="0" t="str">
        <f aca="false">IF(H354&gt;I354,"ERRO","OK")</f>
        <v>OK</v>
      </c>
      <c r="M354" s="0" t="str">
        <f aca="false">IF(H354&gt;J354,"ERRO","OK")</f>
        <v>OK</v>
      </c>
      <c r="N354" s="0" t="str">
        <f aca="false">IF(I354&lt;J354,"ERRO","OK")</f>
        <v>OK</v>
      </c>
    </row>
    <row r="355" customFormat="false" ht="25" hidden="false" customHeight="false" outlineLevel="0" collapsed="false">
      <c r="A355" s="0" t="n">
        <v>46</v>
      </c>
      <c r="B355" s="0" t="n">
        <v>2024</v>
      </c>
      <c r="C355" s="3" t="n">
        <v>45371</v>
      </c>
      <c r="D355" s="8" t="s">
        <v>15</v>
      </c>
      <c r="E355" s="9" t="s">
        <v>18</v>
      </c>
      <c r="F355" s="9" t="s">
        <v>17</v>
      </c>
      <c r="G355" s="10"/>
      <c r="H355" s="11" t="n">
        <v>32</v>
      </c>
      <c r="I355" s="11" t="n">
        <v>84</v>
      </c>
      <c r="J355" s="11" t="s">
        <v>176</v>
      </c>
      <c r="K355" s="11" t="n">
        <v>72</v>
      </c>
      <c r="L355" s="0" t="str">
        <f aca="false">IF(H355&gt;I355,"ERRO","OK")</f>
        <v>OK</v>
      </c>
      <c r="M355" s="0" t="str">
        <f aca="false">IF(H355&gt;J355,"ERRO","OK")</f>
        <v>OK</v>
      </c>
      <c r="N355" s="0" t="str">
        <f aca="false">IF(I355&lt;J355,"ERRO","OK")</f>
        <v>ERRO</v>
      </c>
    </row>
    <row r="356" customFormat="false" ht="25" hidden="false" customHeight="false" outlineLevel="0" collapsed="false">
      <c r="A356" s="0" t="n">
        <v>46</v>
      </c>
      <c r="B356" s="0" t="n">
        <v>2024</v>
      </c>
      <c r="C356" s="3" t="n">
        <v>45371</v>
      </c>
      <c r="D356" s="4" t="s">
        <v>15</v>
      </c>
      <c r="E356" s="5" t="s">
        <v>19</v>
      </c>
      <c r="F356" s="5" t="s">
        <v>17</v>
      </c>
      <c r="G356" s="7" t="n">
        <v>45</v>
      </c>
      <c r="H356" s="7" t="n">
        <v>45</v>
      </c>
      <c r="I356" s="7" t="n">
        <v>60</v>
      </c>
      <c r="J356" s="7" t="s">
        <v>177</v>
      </c>
      <c r="K356" s="7" t="s">
        <v>178</v>
      </c>
      <c r="L356" s="0" t="str">
        <f aca="false">IF(H356&gt;I356,"ERRO","OK")</f>
        <v>OK</v>
      </c>
      <c r="M356" s="0" t="str">
        <f aca="false">IF(H356&gt;J356,"ERRO","OK")</f>
        <v>OK</v>
      </c>
      <c r="N356" s="0" t="str">
        <f aca="false">IF(I356&lt;J356,"ERRO","OK")</f>
        <v>ERRO</v>
      </c>
    </row>
    <row r="357" customFormat="false" ht="25" hidden="false" customHeight="false" outlineLevel="0" collapsed="false">
      <c r="A357" s="0" t="n">
        <v>46</v>
      </c>
      <c r="B357" s="0" t="n">
        <v>2024</v>
      </c>
      <c r="C357" s="3" t="n">
        <v>45371</v>
      </c>
      <c r="D357" s="8" t="s">
        <v>15</v>
      </c>
      <c r="E357" s="9" t="s">
        <v>20</v>
      </c>
      <c r="F357" s="9" t="s">
        <v>17</v>
      </c>
      <c r="G357" s="10"/>
      <c r="H357" s="11" t="n">
        <v>30</v>
      </c>
      <c r="I357" s="11" t="n">
        <v>60</v>
      </c>
      <c r="J357" s="11" t="s">
        <v>179</v>
      </c>
      <c r="K357" s="11" t="s">
        <v>180</v>
      </c>
      <c r="L357" s="0" t="str">
        <f aca="false">IF(H357&gt;I357,"ERRO","OK")</f>
        <v>OK</v>
      </c>
      <c r="M357" s="0" t="str">
        <f aca="false">IF(H357&gt;J357,"ERRO","OK")</f>
        <v>OK</v>
      </c>
      <c r="N357" s="0" t="str">
        <f aca="false">IF(I357&lt;J357,"ERRO","OK")</f>
        <v>ERRO</v>
      </c>
    </row>
    <row r="358" customFormat="false" ht="25" hidden="false" customHeight="false" outlineLevel="0" collapsed="false">
      <c r="A358" s="0" t="n">
        <v>46</v>
      </c>
      <c r="B358" s="0" t="n">
        <v>2024</v>
      </c>
      <c r="C358" s="3" t="n">
        <v>45371</v>
      </c>
      <c r="D358" s="4" t="s">
        <v>15</v>
      </c>
      <c r="E358" s="5" t="s">
        <v>21</v>
      </c>
      <c r="F358" s="5" t="s">
        <v>17</v>
      </c>
      <c r="G358" s="6"/>
      <c r="H358" s="7" t="n">
        <v>35</v>
      </c>
      <c r="I358" s="7" t="n">
        <v>60</v>
      </c>
      <c r="J358" s="7" t="s">
        <v>181</v>
      </c>
      <c r="K358" s="7" t="n">
        <v>42</v>
      </c>
      <c r="L358" s="0" t="str">
        <f aca="false">IF(H358&gt;I358,"ERRO","OK")</f>
        <v>OK</v>
      </c>
      <c r="M358" s="0" t="str">
        <f aca="false">IF(H358&gt;J358,"ERRO","OK")</f>
        <v>OK</v>
      </c>
      <c r="N358" s="0" t="str">
        <f aca="false">IF(I358&lt;J358,"ERRO","OK")</f>
        <v>ERRO</v>
      </c>
    </row>
    <row r="359" customFormat="false" ht="25" hidden="false" customHeight="false" outlineLevel="0" collapsed="false">
      <c r="A359" s="0" t="n">
        <v>46</v>
      </c>
      <c r="B359" s="0" t="n">
        <v>2024</v>
      </c>
      <c r="C359" s="3" t="n">
        <v>45371</v>
      </c>
      <c r="D359" s="8" t="s">
        <v>15</v>
      </c>
      <c r="E359" s="9" t="s">
        <v>22</v>
      </c>
      <c r="F359" s="9" t="s">
        <v>17</v>
      </c>
      <c r="G359" s="11" t="n">
        <v>60</v>
      </c>
      <c r="H359" s="11" t="n">
        <v>54</v>
      </c>
      <c r="I359" s="11" t="n">
        <v>60</v>
      </c>
      <c r="J359" s="11" t="n">
        <v>58</v>
      </c>
      <c r="K359" s="11" t="n">
        <v>60</v>
      </c>
      <c r="L359" s="0" t="str">
        <f aca="false">IF(H359&gt;I359,"ERRO","OK")</f>
        <v>OK</v>
      </c>
      <c r="M359" s="0" t="str">
        <f aca="false">IF(H359&gt;J359,"ERRO","OK")</f>
        <v>OK</v>
      </c>
      <c r="N359" s="0" t="str">
        <f aca="false">IF(I359&lt;J359,"ERRO","OK")</f>
        <v>OK</v>
      </c>
    </row>
    <row r="360" customFormat="false" ht="25" hidden="false" customHeight="false" outlineLevel="0" collapsed="false">
      <c r="A360" s="0" t="n">
        <v>46</v>
      </c>
      <c r="B360" s="0" t="n">
        <v>2024</v>
      </c>
      <c r="C360" s="3" t="n">
        <v>45371</v>
      </c>
      <c r="D360" s="4" t="s">
        <v>15</v>
      </c>
      <c r="E360" s="5" t="s">
        <v>23</v>
      </c>
      <c r="F360" s="5" t="s">
        <v>17</v>
      </c>
      <c r="G360" s="7" t="n">
        <v>60</v>
      </c>
      <c r="H360" s="7" t="n">
        <v>60</v>
      </c>
      <c r="I360" s="7" t="n">
        <v>78</v>
      </c>
      <c r="J360" s="7" t="s">
        <v>182</v>
      </c>
      <c r="K360" s="7" t="n">
        <v>60</v>
      </c>
      <c r="L360" s="0" t="str">
        <f aca="false">IF(H360&gt;I360,"ERRO","OK")</f>
        <v>OK</v>
      </c>
      <c r="M360" s="0" t="str">
        <f aca="false">IF(H360&gt;J360,"ERRO","OK")</f>
        <v>OK</v>
      </c>
      <c r="N360" s="0" t="str">
        <f aca="false">IF(I360&lt;J360,"ERRO","OK")</f>
        <v>ERRO</v>
      </c>
    </row>
    <row r="361" customFormat="false" ht="25" hidden="false" customHeight="false" outlineLevel="0" collapsed="false">
      <c r="A361" s="0" t="n">
        <v>46</v>
      </c>
      <c r="B361" s="0" t="n">
        <v>2024</v>
      </c>
      <c r="C361" s="3" t="n">
        <v>45371</v>
      </c>
      <c r="D361" s="8" t="s">
        <v>15</v>
      </c>
      <c r="E361" s="9" t="s">
        <v>24</v>
      </c>
      <c r="F361" s="9" t="s">
        <v>17</v>
      </c>
      <c r="G361" s="11" t="n">
        <v>84</v>
      </c>
      <c r="H361" s="11" t="n">
        <v>72</v>
      </c>
      <c r="I361" s="11" t="n">
        <v>96</v>
      </c>
      <c r="J361" s="11" t="n">
        <v>84</v>
      </c>
      <c r="K361" s="11" t="n">
        <v>84</v>
      </c>
      <c r="L361" s="0" t="str">
        <f aca="false">IF(H361&gt;I361,"ERRO","OK")</f>
        <v>OK</v>
      </c>
      <c r="M361" s="0" t="str">
        <f aca="false">IF(H361&gt;J361,"ERRO","OK")</f>
        <v>OK</v>
      </c>
      <c r="N361" s="0" t="str">
        <f aca="false">IF(I361&lt;J361,"ERRO","OK")</f>
        <v>OK</v>
      </c>
    </row>
    <row r="362" customFormat="false" ht="25" hidden="false" customHeight="false" outlineLevel="0" collapsed="false">
      <c r="A362" s="0" t="n">
        <v>46</v>
      </c>
      <c r="B362" s="0" t="n">
        <v>2024</v>
      </c>
      <c r="C362" s="3" t="n">
        <v>45371</v>
      </c>
      <c r="D362" s="4" t="s">
        <v>15</v>
      </c>
      <c r="E362" s="5" t="s">
        <v>25</v>
      </c>
      <c r="F362" s="5" t="s">
        <v>17</v>
      </c>
      <c r="G362" s="7" t="n">
        <v>30</v>
      </c>
      <c r="H362" s="7" t="n">
        <v>24</v>
      </c>
      <c r="I362" s="7" t="n">
        <v>30</v>
      </c>
      <c r="J362" s="7" t="s">
        <v>183</v>
      </c>
      <c r="K362" s="7" t="n">
        <v>30</v>
      </c>
      <c r="L362" s="0" t="str">
        <f aca="false">IF(H362&gt;I362,"ERRO","OK")</f>
        <v>OK</v>
      </c>
      <c r="M362" s="0" t="str">
        <f aca="false">IF(H362&gt;J362,"ERRO","OK")</f>
        <v>OK</v>
      </c>
      <c r="N362" s="0" t="str">
        <f aca="false">IF(I362&lt;J362,"ERRO","OK")</f>
        <v>ERRO</v>
      </c>
    </row>
    <row r="363" customFormat="false" ht="25" hidden="false" customHeight="false" outlineLevel="0" collapsed="false">
      <c r="A363" s="0" t="n">
        <v>46</v>
      </c>
      <c r="B363" s="0" t="n">
        <v>2024</v>
      </c>
      <c r="C363" s="3" t="n">
        <v>45371</v>
      </c>
      <c r="D363" s="8" t="s">
        <v>15</v>
      </c>
      <c r="E363" s="9" t="s">
        <v>77</v>
      </c>
      <c r="F363" s="9" t="s">
        <v>17</v>
      </c>
      <c r="G363" s="10"/>
      <c r="H363" s="11" t="n">
        <v>84</v>
      </c>
      <c r="I363" s="11" t="n">
        <v>120</v>
      </c>
      <c r="J363" s="11" t="n">
        <v>100</v>
      </c>
      <c r="K363" s="11" t="n">
        <v>96</v>
      </c>
      <c r="L363" s="0" t="str">
        <f aca="false">IF(H363&gt;I363,"ERRO","OK")</f>
        <v>OK</v>
      </c>
      <c r="M363" s="0" t="str">
        <f aca="false">IF(H363&gt;J363,"ERRO","OK")</f>
        <v>OK</v>
      </c>
      <c r="N363" s="0" t="str">
        <f aca="false">IF(I363&lt;J363,"ERRO","OK")</f>
        <v>OK</v>
      </c>
    </row>
    <row r="364" customFormat="false" ht="25" hidden="false" customHeight="false" outlineLevel="0" collapsed="false">
      <c r="A364" s="0" t="n">
        <v>46</v>
      </c>
      <c r="B364" s="0" t="n">
        <v>2024</v>
      </c>
      <c r="C364" s="3" t="n">
        <v>45371</v>
      </c>
      <c r="D364" s="4" t="s">
        <v>15</v>
      </c>
      <c r="E364" s="5" t="s">
        <v>27</v>
      </c>
      <c r="F364" s="5" t="s">
        <v>17</v>
      </c>
      <c r="G364" s="6"/>
      <c r="H364" s="7" t="n">
        <v>30</v>
      </c>
      <c r="I364" s="7" t="n">
        <v>42</v>
      </c>
      <c r="J364" s="7" t="s">
        <v>184</v>
      </c>
      <c r="K364" s="7" t="n">
        <v>35</v>
      </c>
      <c r="L364" s="0" t="str">
        <f aca="false">IF(H364&gt;I364,"ERRO","OK")</f>
        <v>OK</v>
      </c>
      <c r="M364" s="0" t="str">
        <f aca="false">IF(H364&gt;J364,"ERRO","OK")</f>
        <v>OK</v>
      </c>
      <c r="N364" s="0" t="str">
        <f aca="false">IF(I364&lt;J364,"ERRO","OK")</f>
        <v>ERRO</v>
      </c>
    </row>
    <row r="365" customFormat="false" ht="25" hidden="false" customHeight="false" outlineLevel="0" collapsed="false">
      <c r="A365" s="0" t="n">
        <v>46</v>
      </c>
      <c r="B365" s="0" t="n">
        <v>2024</v>
      </c>
      <c r="C365" s="3" t="n">
        <v>45371</v>
      </c>
      <c r="D365" s="8" t="s">
        <v>15</v>
      </c>
      <c r="E365" s="9" t="s">
        <v>28</v>
      </c>
      <c r="F365" s="9" t="s">
        <v>17</v>
      </c>
      <c r="G365" s="11" t="n">
        <v>84</v>
      </c>
      <c r="H365" s="11" t="n">
        <v>72</v>
      </c>
      <c r="I365" s="11" t="n">
        <v>84</v>
      </c>
      <c r="J365" s="11" t="n">
        <v>80</v>
      </c>
      <c r="K365" s="11" t="n">
        <v>84</v>
      </c>
      <c r="L365" s="0" t="str">
        <f aca="false">IF(H365&gt;I365,"ERRO","OK")</f>
        <v>OK</v>
      </c>
      <c r="M365" s="0" t="str">
        <f aca="false">IF(H365&gt;J365,"ERRO","OK")</f>
        <v>OK</v>
      </c>
      <c r="N365" s="0" t="str">
        <f aca="false">IF(I365&lt;J365,"ERRO","OK")</f>
        <v>OK</v>
      </c>
    </row>
    <row r="366" customFormat="false" ht="25" hidden="false" customHeight="false" outlineLevel="0" collapsed="false">
      <c r="A366" s="0" t="n">
        <v>46</v>
      </c>
      <c r="B366" s="0" t="n">
        <v>2024</v>
      </c>
      <c r="C366" s="3" t="n">
        <v>45371</v>
      </c>
      <c r="D366" s="4" t="s">
        <v>15</v>
      </c>
      <c r="E366" s="5" t="s">
        <v>29</v>
      </c>
      <c r="F366" s="5" t="s">
        <v>30</v>
      </c>
      <c r="G366" s="6"/>
      <c r="H366" s="7" t="n">
        <v>48</v>
      </c>
      <c r="I366" s="7" t="n">
        <v>78</v>
      </c>
      <c r="J366" s="7" t="s">
        <v>182</v>
      </c>
      <c r="K366" s="7" t="n">
        <v>66</v>
      </c>
      <c r="L366" s="0" t="str">
        <f aca="false">IF(H366&gt;I366,"ERRO","OK")</f>
        <v>OK</v>
      </c>
      <c r="M366" s="0" t="str">
        <f aca="false">IF(H366&gt;J366,"ERRO","OK")</f>
        <v>OK</v>
      </c>
      <c r="N366" s="0" t="str">
        <f aca="false">IF(I366&lt;J366,"ERRO","OK")</f>
        <v>ERRO</v>
      </c>
    </row>
    <row r="367" customFormat="false" ht="25" hidden="false" customHeight="false" outlineLevel="0" collapsed="false">
      <c r="A367" s="0" t="n">
        <v>46</v>
      </c>
      <c r="B367" s="0" t="n">
        <v>2024</v>
      </c>
      <c r="C367" s="3" t="n">
        <v>45371</v>
      </c>
      <c r="D367" s="8" t="s">
        <v>15</v>
      </c>
      <c r="E367" s="9" t="s">
        <v>31</v>
      </c>
      <c r="F367" s="9" t="s">
        <v>17</v>
      </c>
      <c r="G367" s="10"/>
      <c r="H367" s="11" t="n">
        <v>50</v>
      </c>
      <c r="I367" s="11" t="n">
        <v>80</v>
      </c>
      <c r="J367" s="11" t="s">
        <v>185</v>
      </c>
      <c r="K367" s="11" t="n">
        <v>72</v>
      </c>
      <c r="L367" s="0" t="str">
        <f aca="false">IF(H367&gt;I367,"ERRO","OK")</f>
        <v>OK</v>
      </c>
      <c r="M367" s="0" t="str">
        <f aca="false">IF(H367&gt;J367,"ERRO","OK")</f>
        <v>OK</v>
      </c>
      <c r="N367" s="0" t="str">
        <f aca="false">IF(I367&lt;J367,"ERRO","OK")</f>
        <v>ERRO</v>
      </c>
    </row>
    <row r="368" customFormat="false" ht="25" hidden="false" customHeight="false" outlineLevel="0" collapsed="false">
      <c r="A368" s="0" t="n">
        <v>46</v>
      </c>
      <c r="B368" s="0" t="n">
        <v>2024</v>
      </c>
      <c r="C368" s="3" t="n">
        <v>45371</v>
      </c>
      <c r="D368" s="4" t="s">
        <v>15</v>
      </c>
      <c r="E368" s="5" t="s">
        <v>32</v>
      </c>
      <c r="F368" s="5" t="s">
        <v>17</v>
      </c>
      <c r="G368" s="7" t="n">
        <v>50</v>
      </c>
      <c r="H368" s="7" t="n">
        <v>50</v>
      </c>
      <c r="I368" s="7" t="n">
        <v>60</v>
      </c>
      <c r="J368" s="7" t="n">
        <v>55</v>
      </c>
      <c r="K368" s="7" t="n">
        <v>55</v>
      </c>
      <c r="L368" s="0" t="str">
        <f aca="false">IF(H368&gt;I368,"ERRO","OK")</f>
        <v>OK</v>
      </c>
      <c r="M368" s="0" t="str">
        <f aca="false">IF(H368&gt;J368,"ERRO","OK")</f>
        <v>OK</v>
      </c>
      <c r="N368" s="0" t="str">
        <f aca="false">IF(I368&lt;J368,"ERRO","OK")</f>
        <v>OK</v>
      </c>
    </row>
    <row r="369" customFormat="false" ht="25" hidden="false" customHeight="false" outlineLevel="0" collapsed="false">
      <c r="A369" s="0" t="n">
        <v>46</v>
      </c>
      <c r="B369" s="0" t="n">
        <v>2024</v>
      </c>
      <c r="C369" s="3" t="n">
        <v>45371</v>
      </c>
      <c r="D369" s="8" t="s">
        <v>15</v>
      </c>
      <c r="E369" s="9" t="s">
        <v>33</v>
      </c>
      <c r="F369" s="9" t="s">
        <v>17</v>
      </c>
      <c r="G369" s="10"/>
      <c r="H369" s="11" t="n">
        <v>42</v>
      </c>
      <c r="I369" s="11" t="n">
        <v>54</v>
      </c>
      <c r="J369" s="11" t="n">
        <v>48</v>
      </c>
      <c r="K369" s="11" t="n">
        <v>48</v>
      </c>
      <c r="L369" s="0" t="str">
        <f aca="false">IF(H369&gt;I369,"ERRO","OK")</f>
        <v>OK</v>
      </c>
      <c r="M369" s="0" t="str">
        <f aca="false">IF(H369&gt;J369,"ERRO","OK")</f>
        <v>OK</v>
      </c>
      <c r="N369" s="0" t="str">
        <f aca="false">IF(I369&lt;J369,"ERRO","OK")</f>
        <v>OK</v>
      </c>
    </row>
    <row r="370" customFormat="false" ht="25" hidden="false" customHeight="false" outlineLevel="0" collapsed="false">
      <c r="A370" s="0" t="n">
        <v>46</v>
      </c>
      <c r="B370" s="0" t="n">
        <v>2024</v>
      </c>
      <c r="C370" s="3" t="n">
        <v>45371</v>
      </c>
      <c r="D370" s="4" t="s">
        <v>34</v>
      </c>
      <c r="E370" s="5" t="s">
        <v>35</v>
      </c>
      <c r="F370" s="5" t="s">
        <v>36</v>
      </c>
      <c r="G370" s="7" t="n">
        <v>5</v>
      </c>
      <c r="H370" s="7" t="n">
        <v>4</v>
      </c>
      <c r="I370" s="7" t="n">
        <v>5</v>
      </c>
      <c r="J370" s="7" t="s">
        <v>153</v>
      </c>
      <c r="K370" s="7" t="s">
        <v>154</v>
      </c>
      <c r="L370" s="0" t="str">
        <f aca="false">IF(H370&gt;I370,"ERRO","OK")</f>
        <v>OK</v>
      </c>
      <c r="M370" s="0" t="str">
        <f aca="false">IF(H370&gt;J370,"ERRO","OK")</f>
        <v>OK</v>
      </c>
      <c r="N370" s="0" t="str">
        <f aca="false">IF(I370&lt;J370,"ERRO","OK")</f>
        <v>ERRO</v>
      </c>
    </row>
    <row r="371" customFormat="false" ht="25" hidden="false" customHeight="false" outlineLevel="0" collapsed="false">
      <c r="A371" s="0" t="n">
        <v>46</v>
      </c>
      <c r="B371" s="0" t="n">
        <v>2024</v>
      </c>
      <c r="C371" s="3" t="n">
        <v>45371</v>
      </c>
      <c r="D371" s="8" t="s">
        <v>34</v>
      </c>
      <c r="E371" s="9" t="s">
        <v>38</v>
      </c>
      <c r="F371" s="9" t="s">
        <v>39</v>
      </c>
      <c r="G371" s="11" t="n">
        <v>20</v>
      </c>
      <c r="H371" s="11" t="n">
        <v>15</v>
      </c>
      <c r="I371" s="11" t="n">
        <v>25</v>
      </c>
      <c r="J371" s="11" t="s">
        <v>186</v>
      </c>
      <c r="K371" s="11" t="n">
        <v>20</v>
      </c>
      <c r="L371" s="0" t="str">
        <f aca="false">IF(H371&gt;I371,"ERRO","OK")</f>
        <v>OK</v>
      </c>
      <c r="M371" s="0" t="str">
        <f aca="false">IF(H371&gt;J371,"ERRO","OK")</f>
        <v>OK</v>
      </c>
      <c r="N371" s="0" t="str">
        <f aca="false">IF(I371&lt;J371,"ERRO","OK")</f>
        <v>ERRO</v>
      </c>
    </row>
    <row r="372" customFormat="false" ht="25" hidden="false" customHeight="false" outlineLevel="0" collapsed="false">
      <c r="A372" s="0" t="n">
        <v>46</v>
      </c>
      <c r="B372" s="0" t="n">
        <v>2024</v>
      </c>
      <c r="C372" s="3" t="n">
        <v>45371</v>
      </c>
      <c r="D372" s="4" t="s">
        <v>34</v>
      </c>
      <c r="E372" s="5" t="s">
        <v>40</v>
      </c>
      <c r="F372" s="5" t="s">
        <v>39</v>
      </c>
      <c r="G372" s="6"/>
      <c r="H372" s="7" t="n">
        <v>30</v>
      </c>
      <c r="I372" s="7" t="n">
        <v>45</v>
      </c>
      <c r="J372" s="7" t="s">
        <v>90</v>
      </c>
      <c r="K372" s="7" t="s">
        <v>90</v>
      </c>
      <c r="L372" s="0" t="str">
        <f aca="false">IF(H372&gt;I372,"ERRO","OK")</f>
        <v>OK</v>
      </c>
      <c r="M372" s="0" t="str">
        <f aca="false">IF(H372&gt;J372,"ERRO","OK")</f>
        <v>OK</v>
      </c>
      <c r="N372" s="0" t="str">
        <f aca="false">IF(I372&lt;J372,"ERRO","OK")</f>
        <v>ERRO</v>
      </c>
    </row>
    <row r="373" customFormat="false" ht="36.5" hidden="false" customHeight="false" outlineLevel="0" collapsed="false">
      <c r="A373" s="0" t="n">
        <v>46</v>
      </c>
      <c r="B373" s="0" t="n">
        <v>2024</v>
      </c>
      <c r="C373" s="3" t="n">
        <v>45371</v>
      </c>
      <c r="D373" s="8" t="s">
        <v>42</v>
      </c>
      <c r="E373" s="9" t="s">
        <v>157</v>
      </c>
      <c r="F373" s="9" t="s">
        <v>158</v>
      </c>
      <c r="G373" s="10"/>
      <c r="H373" s="11" t="n">
        <v>100</v>
      </c>
      <c r="I373" s="11" t="n">
        <v>105</v>
      </c>
      <c r="J373" s="11" t="s">
        <v>187</v>
      </c>
      <c r="K373" s="11" t="s">
        <v>187</v>
      </c>
      <c r="L373" s="0" t="str">
        <f aca="false">IF(H373&gt;I373,"ERRO","OK")</f>
        <v>OK</v>
      </c>
      <c r="M373" s="0" t="str">
        <f aca="false">IF(H373&gt;J373,"ERRO","OK")</f>
        <v>OK</v>
      </c>
      <c r="N373" s="0" t="str">
        <f aca="false">IF(I373&lt;J373,"ERRO","OK")</f>
        <v>ERRO</v>
      </c>
    </row>
    <row r="374" customFormat="false" ht="36.5" hidden="false" customHeight="false" outlineLevel="0" collapsed="false">
      <c r="A374" s="0" t="n">
        <v>46</v>
      </c>
      <c r="B374" s="0" t="n">
        <v>2024</v>
      </c>
      <c r="C374" s="3" t="n">
        <v>45371</v>
      </c>
      <c r="D374" s="4" t="s">
        <v>42</v>
      </c>
      <c r="E374" s="5" t="s">
        <v>43</v>
      </c>
      <c r="F374" s="5" t="s">
        <v>44</v>
      </c>
      <c r="G374" s="7" t="n">
        <v>70</v>
      </c>
      <c r="H374" s="7" t="n">
        <v>50</v>
      </c>
      <c r="I374" s="7" t="n">
        <v>80</v>
      </c>
      <c r="J374" s="7" t="s">
        <v>88</v>
      </c>
      <c r="K374" s="7" t="n">
        <v>70</v>
      </c>
      <c r="L374" s="0" t="str">
        <f aca="false">IF(H374&gt;I374,"ERRO","OK")</f>
        <v>OK</v>
      </c>
      <c r="M374" s="0" t="str">
        <f aca="false">IF(H374&gt;J374,"ERRO","OK")</f>
        <v>OK</v>
      </c>
      <c r="N374" s="0" t="str">
        <f aca="false">IF(I374&lt;J374,"ERRO","OK")</f>
        <v>ERRO</v>
      </c>
    </row>
    <row r="375" customFormat="false" ht="36.5" hidden="false" customHeight="false" outlineLevel="0" collapsed="false">
      <c r="A375" s="0" t="n">
        <v>46</v>
      </c>
      <c r="B375" s="0" t="n">
        <v>2024</v>
      </c>
      <c r="C375" s="3" t="n">
        <v>45371</v>
      </c>
      <c r="D375" s="8" t="s">
        <v>42</v>
      </c>
      <c r="E375" s="9" t="s">
        <v>46</v>
      </c>
      <c r="F375" s="9" t="s">
        <v>47</v>
      </c>
      <c r="G375" s="11" t="n">
        <v>70</v>
      </c>
      <c r="H375" s="11" t="n">
        <v>50</v>
      </c>
      <c r="I375" s="11" t="n">
        <v>75</v>
      </c>
      <c r="J375" s="11" t="n">
        <v>65</v>
      </c>
      <c r="K375" s="11" t="n">
        <v>70</v>
      </c>
      <c r="L375" s="0" t="str">
        <f aca="false">IF(H375&gt;I375,"ERRO","OK")</f>
        <v>OK</v>
      </c>
      <c r="M375" s="0" t="str">
        <f aca="false">IF(H375&gt;J375,"ERRO","OK")</f>
        <v>OK</v>
      </c>
      <c r="N375" s="0" t="str">
        <f aca="false">IF(I375&lt;J375,"ERRO","OK")</f>
        <v>OK</v>
      </c>
    </row>
    <row r="376" customFormat="false" ht="36.5" hidden="false" customHeight="false" outlineLevel="0" collapsed="false">
      <c r="A376" s="0" t="n">
        <v>46</v>
      </c>
      <c r="B376" s="0" t="n">
        <v>2024</v>
      </c>
      <c r="C376" s="3" t="n">
        <v>45371</v>
      </c>
      <c r="D376" s="4" t="s">
        <v>42</v>
      </c>
      <c r="E376" s="5" t="s">
        <v>48</v>
      </c>
      <c r="F376" s="5" t="s">
        <v>49</v>
      </c>
      <c r="G376" s="7" t="n">
        <v>35</v>
      </c>
      <c r="H376" s="7" t="n">
        <v>35</v>
      </c>
      <c r="I376" s="7" t="n">
        <v>50</v>
      </c>
      <c r="J376" s="7" t="s">
        <v>51</v>
      </c>
      <c r="K376" s="7" t="s">
        <v>51</v>
      </c>
      <c r="L376" s="0" t="str">
        <f aca="false">IF(H376&gt;I376,"ERRO","OK")</f>
        <v>OK</v>
      </c>
      <c r="M376" s="0" t="str">
        <f aca="false">IF(H376&gt;J376,"ERRO","OK")</f>
        <v>OK</v>
      </c>
      <c r="N376" s="0" t="str">
        <f aca="false">IF(I376&lt;J376,"ERRO","OK")</f>
        <v>ERRO</v>
      </c>
    </row>
    <row r="377" customFormat="false" ht="36.5" hidden="false" customHeight="false" outlineLevel="0" collapsed="false">
      <c r="A377" s="0" t="n">
        <v>46</v>
      </c>
      <c r="B377" s="0" t="n">
        <v>2024</v>
      </c>
      <c r="C377" s="3" t="n">
        <v>45371</v>
      </c>
      <c r="D377" s="8" t="s">
        <v>42</v>
      </c>
      <c r="E377" s="9" t="s">
        <v>52</v>
      </c>
      <c r="F377" s="9" t="s">
        <v>49</v>
      </c>
      <c r="G377" s="10"/>
      <c r="H377" s="11" t="n">
        <v>100</v>
      </c>
      <c r="I377" s="11" t="n">
        <v>120</v>
      </c>
      <c r="J377" s="11" t="n">
        <v>110</v>
      </c>
      <c r="K377" s="11" t="n">
        <v>110</v>
      </c>
      <c r="L377" s="0" t="str">
        <f aca="false">IF(H377&gt;I377,"ERRO","OK")</f>
        <v>OK</v>
      </c>
      <c r="M377" s="0" t="str">
        <f aca="false">IF(H377&gt;J377,"ERRO","OK")</f>
        <v>OK</v>
      </c>
      <c r="N377" s="0" t="str">
        <f aca="false">IF(I377&lt;J377,"ERRO","OK")</f>
        <v>OK</v>
      </c>
    </row>
    <row r="378" customFormat="false" ht="36.5" hidden="false" customHeight="false" outlineLevel="0" collapsed="false">
      <c r="A378" s="0" t="n">
        <v>46</v>
      </c>
      <c r="B378" s="0" t="n">
        <v>2024</v>
      </c>
      <c r="C378" s="3" t="n">
        <v>45371</v>
      </c>
      <c r="D378" s="4" t="s">
        <v>42</v>
      </c>
      <c r="E378" s="5" t="s">
        <v>53</v>
      </c>
      <c r="F378" s="5" t="s">
        <v>54</v>
      </c>
      <c r="G378" s="7" t="n">
        <v>100</v>
      </c>
      <c r="H378" s="7" t="n">
        <v>70</v>
      </c>
      <c r="I378" s="7" t="n">
        <v>130</v>
      </c>
      <c r="J378" s="7" t="n">
        <v>106</v>
      </c>
      <c r="K378" s="7" t="n">
        <v>100</v>
      </c>
      <c r="L378" s="0" t="str">
        <f aca="false">IF(H378&gt;I378,"ERRO","OK")</f>
        <v>OK</v>
      </c>
      <c r="M378" s="0" t="str">
        <f aca="false">IF(H378&gt;J378,"ERRO","OK")</f>
        <v>OK</v>
      </c>
      <c r="N378" s="0" t="str">
        <f aca="false">IF(I378&lt;J378,"ERRO","OK")</f>
        <v>OK</v>
      </c>
    </row>
    <row r="379" customFormat="false" ht="36.5" hidden="false" customHeight="false" outlineLevel="0" collapsed="false">
      <c r="A379" s="0" t="n">
        <v>46</v>
      </c>
      <c r="B379" s="0" t="n">
        <v>2024</v>
      </c>
      <c r="C379" s="3" t="n">
        <v>45371</v>
      </c>
      <c r="D379" s="8" t="s">
        <v>42</v>
      </c>
      <c r="E379" s="9" t="s">
        <v>56</v>
      </c>
      <c r="F379" s="9" t="s">
        <v>47</v>
      </c>
      <c r="G379" s="10"/>
      <c r="H379" s="11" t="n">
        <v>60</v>
      </c>
      <c r="I379" s="11" t="n">
        <v>140</v>
      </c>
      <c r="J379" s="11" t="s">
        <v>188</v>
      </c>
      <c r="K379" s="11" t="n">
        <v>90</v>
      </c>
      <c r="L379" s="0" t="str">
        <f aca="false">IF(H379&gt;I379,"ERRO","OK")</f>
        <v>OK</v>
      </c>
      <c r="M379" s="0" t="str">
        <f aca="false">IF(H379&gt;J379,"ERRO","OK")</f>
        <v>OK</v>
      </c>
      <c r="N379" s="0" t="str">
        <f aca="false">IF(I379&lt;J379,"ERRO","OK")</f>
        <v>ERRO</v>
      </c>
    </row>
    <row r="380" customFormat="false" ht="36.5" hidden="false" customHeight="false" outlineLevel="0" collapsed="false">
      <c r="A380" s="0" t="n">
        <v>46</v>
      </c>
      <c r="B380" s="0" t="n">
        <v>2024</v>
      </c>
      <c r="C380" s="3" t="n">
        <v>45371</v>
      </c>
      <c r="D380" s="4" t="s">
        <v>42</v>
      </c>
      <c r="E380" s="5" t="s">
        <v>57</v>
      </c>
      <c r="F380" s="5" t="s">
        <v>47</v>
      </c>
      <c r="G380" s="6"/>
      <c r="H380" s="7" t="n">
        <v>50</v>
      </c>
      <c r="I380" s="7" t="n">
        <v>95</v>
      </c>
      <c r="J380" s="7" t="n">
        <v>68</v>
      </c>
      <c r="K380" s="7" t="n">
        <v>65</v>
      </c>
      <c r="L380" s="0" t="str">
        <f aca="false">IF(H380&gt;I380,"ERRO","OK")</f>
        <v>OK</v>
      </c>
      <c r="M380" s="0" t="str">
        <f aca="false">IF(H380&gt;J380,"ERRO","OK")</f>
        <v>OK</v>
      </c>
      <c r="N380" s="0" t="str">
        <f aca="false">IF(I380&lt;J380,"ERRO","OK")</f>
        <v>OK</v>
      </c>
    </row>
    <row r="381" customFormat="false" ht="36.5" hidden="false" customHeight="false" outlineLevel="0" collapsed="false">
      <c r="A381" s="0" t="n">
        <v>46</v>
      </c>
      <c r="B381" s="0" t="n">
        <v>2024</v>
      </c>
      <c r="C381" s="3" t="n">
        <v>45371</v>
      </c>
      <c r="D381" s="8" t="s">
        <v>42</v>
      </c>
      <c r="E381" s="9" t="s">
        <v>58</v>
      </c>
      <c r="F381" s="9" t="s">
        <v>44</v>
      </c>
      <c r="G381" s="10"/>
      <c r="H381" s="11" t="n">
        <v>90</v>
      </c>
      <c r="I381" s="11" t="n">
        <v>90</v>
      </c>
      <c r="J381" s="11" t="n">
        <v>90</v>
      </c>
      <c r="K381" s="11" t="n">
        <v>90</v>
      </c>
      <c r="L381" s="0" t="str">
        <f aca="false">IF(H381&gt;I381,"ERRO","OK")</f>
        <v>OK</v>
      </c>
      <c r="M381" s="0" t="str">
        <f aca="false">IF(H381&gt;J381,"ERRO","OK")</f>
        <v>OK</v>
      </c>
      <c r="N381" s="0" t="str">
        <f aca="false">IF(I381&lt;J381,"ERRO","OK")</f>
        <v>OK</v>
      </c>
    </row>
    <row r="382" customFormat="false" ht="36.5" hidden="false" customHeight="false" outlineLevel="0" collapsed="false">
      <c r="A382" s="0" t="n">
        <v>46</v>
      </c>
      <c r="B382" s="0" t="n">
        <v>2024</v>
      </c>
      <c r="C382" s="3" t="n">
        <v>45371</v>
      </c>
      <c r="D382" s="4" t="s">
        <v>42</v>
      </c>
      <c r="E382" s="5" t="s">
        <v>60</v>
      </c>
      <c r="F382" s="5" t="s">
        <v>47</v>
      </c>
      <c r="G382" s="6"/>
      <c r="H382" s="7" t="n">
        <v>80</v>
      </c>
      <c r="I382" s="7" t="n">
        <v>90</v>
      </c>
      <c r="J382" s="7" t="n">
        <v>85</v>
      </c>
      <c r="K382" s="7" t="n">
        <v>85</v>
      </c>
      <c r="L382" s="0" t="str">
        <f aca="false">IF(H382&gt;I382,"ERRO","OK")</f>
        <v>OK</v>
      </c>
      <c r="M382" s="0" t="str">
        <f aca="false">IF(H382&gt;J382,"ERRO","OK")</f>
        <v>OK</v>
      </c>
      <c r="N382" s="0" t="str">
        <f aca="false">IF(I382&lt;J382,"ERRO","OK")</f>
        <v>OK</v>
      </c>
    </row>
    <row r="383" customFormat="false" ht="36.5" hidden="false" customHeight="false" outlineLevel="0" collapsed="false">
      <c r="A383" s="0" t="n">
        <v>46</v>
      </c>
      <c r="B383" s="0" t="n">
        <v>2024</v>
      </c>
      <c r="C383" s="3" t="n">
        <v>45371</v>
      </c>
      <c r="D383" s="8" t="s">
        <v>42</v>
      </c>
      <c r="E383" s="9" t="s">
        <v>61</v>
      </c>
      <c r="F383" s="9" t="s">
        <v>44</v>
      </c>
      <c r="G383" s="10"/>
      <c r="H383" s="11" t="n">
        <v>42</v>
      </c>
      <c r="I383" s="11" t="n">
        <v>110</v>
      </c>
      <c r="J383" s="11" t="n">
        <v>84</v>
      </c>
      <c r="K383" s="11" t="n">
        <v>100</v>
      </c>
      <c r="L383" s="0" t="str">
        <f aca="false">IF(H383&gt;I383,"ERRO","OK")</f>
        <v>OK</v>
      </c>
      <c r="M383" s="0" t="str">
        <f aca="false">IF(H383&gt;J383,"ERRO","OK")</f>
        <v>OK</v>
      </c>
      <c r="N383" s="0" t="str">
        <f aca="false">IF(I383&lt;J383,"ERRO","OK")</f>
        <v>OK</v>
      </c>
    </row>
    <row r="384" customFormat="false" ht="36.5" hidden="false" customHeight="false" outlineLevel="0" collapsed="false">
      <c r="A384" s="0" t="n">
        <v>46</v>
      </c>
      <c r="B384" s="0" t="n">
        <v>2024</v>
      </c>
      <c r="C384" s="3" t="n">
        <v>45371</v>
      </c>
      <c r="D384" s="4" t="s">
        <v>42</v>
      </c>
      <c r="E384" s="5" t="s">
        <v>62</v>
      </c>
      <c r="F384" s="5" t="s">
        <v>44</v>
      </c>
      <c r="G384" s="7" t="n">
        <v>100</v>
      </c>
      <c r="H384" s="7" t="n">
        <v>75</v>
      </c>
      <c r="I384" s="7" t="n">
        <v>120</v>
      </c>
      <c r="J384" s="7" t="n">
        <v>95</v>
      </c>
      <c r="K384" s="7" t="n">
        <v>100</v>
      </c>
      <c r="L384" s="0" t="str">
        <f aca="false">IF(H384&gt;I384,"ERRO","OK")</f>
        <v>OK</v>
      </c>
      <c r="M384" s="0" t="str">
        <f aca="false">IF(H384&gt;J384,"ERRO","OK")</f>
        <v>OK</v>
      </c>
      <c r="N384" s="0" t="str">
        <f aca="false">IF(I384&lt;J384,"ERRO","OK")</f>
        <v>OK</v>
      </c>
    </row>
    <row r="385" customFormat="false" ht="36.5" hidden="false" customHeight="false" outlineLevel="0" collapsed="false">
      <c r="A385" s="0" t="n">
        <v>46</v>
      </c>
      <c r="B385" s="0" t="n">
        <v>2024</v>
      </c>
      <c r="C385" s="3" t="n">
        <v>45371</v>
      </c>
      <c r="D385" s="8" t="s">
        <v>42</v>
      </c>
      <c r="E385" s="9" t="s">
        <v>63</v>
      </c>
      <c r="F385" s="9" t="s">
        <v>49</v>
      </c>
      <c r="G385" s="11" t="n">
        <v>60</v>
      </c>
      <c r="H385" s="11" t="n">
        <v>40</v>
      </c>
      <c r="I385" s="11" t="n">
        <v>80</v>
      </c>
      <c r="J385" s="11" t="n">
        <v>60</v>
      </c>
      <c r="K385" s="11" t="n">
        <v>60</v>
      </c>
      <c r="L385" s="0" t="str">
        <f aca="false">IF(H385&gt;I385,"ERRO","OK")</f>
        <v>OK</v>
      </c>
      <c r="M385" s="0" t="str">
        <f aca="false">IF(H385&gt;J385,"ERRO","OK")</f>
        <v>OK</v>
      </c>
      <c r="N385" s="0" t="str">
        <f aca="false">IF(I385&lt;J385,"ERRO","OK")</f>
        <v>OK</v>
      </c>
    </row>
    <row r="386" customFormat="false" ht="36.5" hidden="false" customHeight="false" outlineLevel="0" collapsed="false">
      <c r="A386" s="0" t="n">
        <v>46</v>
      </c>
      <c r="B386" s="0" t="n">
        <v>2024</v>
      </c>
      <c r="C386" s="3" t="n">
        <v>45371</v>
      </c>
      <c r="D386" s="4" t="s">
        <v>42</v>
      </c>
      <c r="E386" s="5" t="s">
        <v>64</v>
      </c>
      <c r="F386" s="5" t="s">
        <v>65</v>
      </c>
      <c r="G386" s="7" t="n">
        <v>60</v>
      </c>
      <c r="H386" s="7" t="n">
        <v>60</v>
      </c>
      <c r="I386" s="7" t="n">
        <v>130</v>
      </c>
      <c r="J386" s="7" t="n">
        <v>77</v>
      </c>
      <c r="K386" s="7" t="n">
        <v>65</v>
      </c>
      <c r="L386" s="0" t="str">
        <f aca="false">IF(H386&gt;I386,"ERRO","OK")</f>
        <v>OK</v>
      </c>
      <c r="M386" s="0" t="str">
        <f aca="false">IF(H386&gt;J386,"ERRO","OK")</f>
        <v>OK</v>
      </c>
      <c r="N386" s="0" t="str">
        <f aca="false">IF(I386&lt;J386,"ERRO","OK")</f>
        <v>OK</v>
      </c>
    </row>
    <row r="387" customFormat="false" ht="36.5" hidden="false" customHeight="false" outlineLevel="0" collapsed="false">
      <c r="A387" s="0" t="n">
        <v>46</v>
      </c>
      <c r="B387" s="0" t="n">
        <v>2024</v>
      </c>
      <c r="C387" s="3" t="n">
        <v>45371</v>
      </c>
      <c r="D387" s="8" t="s">
        <v>42</v>
      </c>
      <c r="E387" s="9" t="s">
        <v>67</v>
      </c>
      <c r="F387" s="9" t="s">
        <v>44</v>
      </c>
      <c r="G387" s="10"/>
      <c r="H387" s="11" t="n">
        <v>65</v>
      </c>
      <c r="I387" s="11" t="n">
        <v>140</v>
      </c>
      <c r="J387" s="11" t="n">
        <v>107</v>
      </c>
      <c r="K387" s="11" t="n">
        <v>110</v>
      </c>
      <c r="L387" s="0" t="str">
        <f aca="false">IF(H387&gt;I387,"ERRO","OK")</f>
        <v>OK</v>
      </c>
      <c r="M387" s="0" t="str">
        <f aca="false">IF(H387&gt;J387,"ERRO","OK")</f>
        <v>OK</v>
      </c>
      <c r="N387" s="0" t="str">
        <f aca="false">IF(I387&lt;J387,"ERRO","OK")</f>
        <v>OK</v>
      </c>
    </row>
    <row r="388" customFormat="false" ht="36.5" hidden="false" customHeight="false" outlineLevel="0" collapsed="false">
      <c r="A388" s="0" t="n">
        <v>46</v>
      </c>
      <c r="B388" s="0" t="n">
        <v>2024</v>
      </c>
      <c r="C388" s="3" t="n">
        <v>45371</v>
      </c>
      <c r="D388" s="4" t="s">
        <v>42</v>
      </c>
      <c r="E388" s="5" t="s">
        <v>68</v>
      </c>
      <c r="F388" s="5" t="s">
        <v>44</v>
      </c>
      <c r="G388" s="7" t="n">
        <v>120</v>
      </c>
      <c r="H388" s="7" t="n">
        <v>100</v>
      </c>
      <c r="I388" s="7" t="n">
        <v>120</v>
      </c>
      <c r="J388" s="7" t="n">
        <v>115</v>
      </c>
      <c r="K388" s="7" t="n">
        <v>120</v>
      </c>
      <c r="L388" s="0" t="str">
        <f aca="false">IF(H388&gt;I388,"ERRO","OK")</f>
        <v>OK</v>
      </c>
      <c r="M388" s="0" t="str">
        <f aca="false">IF(H388&gt;J388,"ERRO","OK")</f>
        <v>OK</v>
      </c>
      <c r="N388" s="0" t="str">
        <f aca="false">IF(I388&lt;J388,"ERRO","OK")</f>
        <v>OK</v>
      </c>
    </row>
    <row r="389" customFormat="false" ht="14.25" hidden="false" customHeight="false" outlineLevel="0" collapsed="false">
      <c r="A389" s="0" t="n">
        <v>46</v>
      </c>
      <c r="B389" s="0" t="n">
        <v>2024</v>
      </c>
      <c r="C389" s="3" t="n">
        <v>45371</v>
      </c>
      <c r="D389" s="8" t="s">
        <v>69</v>
      </c>
      <c r="E389" s="9" t="s">
        <v>70</v>
      </c>
      <c r="F389" s="9" t="s">
        <v>49</v>
      </c>
      <c r="G389" s="10"/>
      <c r="H389" s="11" t="n">
        <v>80</v>
      </c>
      <c r="I389" s="11" t="n">
        <v>80</v>
      </c>
      <c r="J389" s="11" t="n">
        <v>80</v>
      </c>
      <c r="K389" s="11" t="n">
        <v>80</v>
      </c>
      <c r="L389" s="0" t="str">
        <f aca="false">IF(H389&gt;I389,"ERRO","OK")</f>
        <v>OK</v>
      </c>
      <c r="M389" s="0" t="str">
        <f aca="false">IF(H389&gt;J389,"ERRO","OK")</f>
        <v>OK</v>
      </c>
      <c r="N389" s="0" t="str">
        <f aca="false">IF(I389&lt;J389,"ERRO","OK")</f>
        <v>OK</v>
      </c>
    </row>
    <row r="390" customFormat="false" ht="14.25" hidden="false" customHeight="false" outlineLevel="0" collapsed="false">
      <c r="A390" s="0" t="n">
        <v>46</v>
      </c>
      <c r="B390" s="0" t="n">
        <v>2024</v>
      </c>
      <c r="C390" s="3" t="n">
        <v>45371</v>
      </c>
      <c r="D390" s="4" t="s">
        <v>69</v>
      </c>
      <c r="E390" s="5" t="s">
        <v>71</v>
      </c>
      <c r="F390" s="5" t="s">
        <v>49</v>
      </c>
      <c r="G390" s="6"/>
      <c r="H390" s="7" t="n">
        <v>60</v>
      </c>
      <c r="I390" s="7" t="n">
        <v>60</v>
      </c>
      <c r="J390" s="7" t="n">
        <v>60</v>
      </c>
      <c r="K390" s="7" t="n">
        <v>60</v>
      </c>
      <c r="L390" s="0" t="str">
        <f aca="false">IF(H390&gt;I390,"ERRO","OK")</f>
        <v>OK</v>
      </c>
      <c r="M390" s="0" t="str">
        <f aca="false">IF(H390&gt;J390,"ERRO","OK")</f>
        <v>OK</v>
      </c>
      <c r="N390" s="0" t="str">
        <f aca="false">IF(I390&lt;J390,"ERRO","OK")</f>
        <v>OK</v>
      </c>
    </row>
    <row r="391" customFormat="false" ht="14.25" hidden="false" customHeight="false" outlineLevel="0" collapsed="false">
      <c r="A391" s="0" t="n">
        <v>46</v>
      </c>
      <c r="B391" s="0" t="n">
        <v>2024</v>
      </c>
      <c r="C391" s="3" t="n">
        <v>45371</v>
      </c>
      <c r="D391" s="8" t="s">
        <v>69</v>
      </c>
      <c r="E391" s="9" t="s">
        <v>72</v>
      </c>
      <c r="F391" s="9" t="s">
        <v>49</v>
      </c>
      <c r="G391" s="10"/>
      <c r="H391" s="11" t="n">
        <v>45</v>
      </c>
      <c r="I391" s="11" t="n">
        <v>60</v>
      </c>
      <c r="J391" s="11" t="s">
        <v>82</v>
      </c>
      <c r="K391" s="11" t="s">
        <v>82</v>
      </c>
      <c r="L391" s="0" t="str">
        <f aca="false">IF(H391&gt;I391,"ERRO","OK")</f>
        <v>OK</v>
      </c>
      <c r="M391" s="0" t="str">
        <f aca="false">IF(H391&gt;J391,"ERRO","OK")</f>
        <v>OK</v>
      </c>
      <c r="N391" s="0" t="str">
        <f aca="false">IF(I391&lt;J391,"ERRO","OK")</f>
        <v>ERRO</v>
      </c>
    </row>
    <row r="392" customFormat="false" ht="14.25" hidden="false" customHeight="false" outlineLevel="0" collapsed="false">
      <c r="A392" s="0" t="n">
        <v>46</v>
      </c>
      <c r="B392" s="0" t="n">
        <v>2024</v>
      </c>
      <c r="C392" s="3" t="n">
        <v>45371</v>
      </c>
      <c r="D392" s="4" t="s">
        <v>69</v>
      </c>
      <c r="E392" s="5" t="s">
        <v>73</v>
      </c>
      <c r="F392" s="5" t="s">
        <v>49</v>
      </c>
      <c r="G392" s="6"/>
      <c r="H392" s="7" t="n">
        <v>48</v>
      </c>
      <c r="I392" s="7" t="n">
        <v>48</v>
      </c>
      <c r="J392" s="7" t="n">
        <v>48</v>
      </c>
      <c r="K392" s="7" t="n">
        <v>48</v>
      </c>
      <c r="L392" s="0" t="str">
        <f aca="false">IF(H392&gt;I392,"ERRO","OK")</f>
        <v>OK</v>
      </c>
      <c r="M392" s="0" t="str">
        <f aca="false">IF(H392&gt;J392,"ERRO","OK")</f>
        <v>OK</v>
      </c>
      <c r="N392" s="0" t="str">
        <f aca="false">IF(I392&lt;J392,"ERRO","OK")</f>
        <v>OK</v>
      </c>
    </row>
    <row r="393" customFormat="false" ht="14.25" hidden="false" customHeight="false" outlineLevel="0" collapsed="false">
      <c r="A393" s="0" t="n">
        <v>46</v>
      </c>
      <c r="B393" s="0" t="n">
        <v>2024</v>
      </c>
      <c r="C393" s="3" t="n">
        <v>45371</v>
      </c>
      <c r="D393" s="8" t="s">
        <v>69</v>
      </c>
      <c r="E393" s="9" t="s">
        <v>74</v>
      </c>
      <c r="F393" s="9" t="s">
        <v>75</v>
      </c>
      <c r="G393" s="11" t="n">
        <v>90</v>
      </c>
      <c r="H393" s="11" t="n">
        <v>90</v>
      </c>
      <c r="I393" s="11" t="n">
        <v>90</v>
      </c>
      <c r="J393" s="11" t="n">
        <v>90</v>
      </c>
      <c r="K393" s="11" t="n">
        <v>90</v>
      </c>
      <c r="L393" s="0" t="str">
        <f aca="false">IF(H393&gt;I393,"ERRO","OK")</f>
        <v>OK</v>
      </c>
      <c r="M393" s="0" t="str">
        <f aca="false">IF(H393&gt;J393,"ERRO","OK")</f>
        <v>OK</v>
      </c>
      <c r="N393" s="0" t="str">
        <f aca="false">IF(I393&lt;J393,"ERRO","OK")</f>
        <v>OK</v>
      </c>
    </row>
    <row r="394" customFormat="false" ht="25" hidden="false" customHeight="false" outlineLevel="0" collapsed="false">
      <c r="A394" s="0" t="n">
        <v>47</v>
      </c>
      <c r="B394" s="0" t="n">
        <v>2024</v>
      </c>
      <c r="C394" s="3" t="n">
        <v>45385</v>
      </c>
      <c r="D394" s="4" t="s">
        <v>15</v>
      </c>
      <c r="E394" s="5" t="s">
        <v>16</v>
      </c>
      <c r="F394" s="5" t="s">
        <v>17</v>
      </c>
      <c r="G394" s="6"/>
      <c r="H394" s="7" t="n">
        <v>48</v>
      </c>
      <c r="I394" s="7" t="n">
        <v>60</v>
      </c>
      <c r="J394" s="7" t="n">
        <v>54</v>
      </c>
      <c r="K394" s="7" t="n">
        <v>54</v>
      </c>
      <c r="L394" s="0" t="str">
        <f aca="false">IF(H394&gt;I394,"ERRO","OK")</f>
        <v>OK</v>
      </c>
      <c r="M394" s="0" t="str">
        <f aca="false">IF(H394&gt;J394,"ERRO","OK")</f>
        <v>OK</v>
      </c>
      <c r="N394" s="0" t="str">
        <f aca="false">IF(I394&lt;J394,"ERRO","OK")</f>
        <v>OK</v>
      </c>
    </row>
    <row r="395" customFormat="false" ht="25" hidden="false" customHeight="false" outlineLevel="0" collapsed="false">
      <c r="A395" s="0" t="n">
        <v>47</v>
      </c>
      <c r="B395" s="0" t="n">
        <v>2024</v>
      </c>
      <c r="C395" s="3" t="n">
        <v>45385</v>
      </c>
      <c r="D395" s="8" t="s">
        <v>15</v>
      </c>
      <c r="E395" s="9" t="s">
        <v>18</v>
      </c>
      <c r="F395" s="9" t="s">
        <v>17</v>
      </c>
      <c r="G395" s="11" t="n">
        <v>72</v>
      </c>
      <c r="H395" s="11" t="n">
        <v>72</v>
      </c>
      <c r="I395" s="11" t="n">
        <v>84</v>
      </c>
      <c r="J395" s="11" t="n">
        <v>76</v>
      </c>
      <c r="K395" s="11" t="n">
        <v>72</v>
      </c>
      <c r="L395" s="0" t="str">
        <f aca="false">IF(H395&gt;I395,"ERRO","OK")</f>
        <v>OK</v>
      </c>
      <c r="M395" s="0" t="str">
        <f aca="false">IF(H395&gt;J395,"ERRO","OK")</f>
        <v>OK</v>
      </c>
      <c r="N395" s="0" t="str">
        <f aca="false">IF(I395&lt;J395,"ERRO","OK")</f>
        <v>OK</v>
      </c>
    </row>
    <row r="396" customFormat="false" ht="25" hidden="false" customHeight="false" outlineLevel="0" collapsed="false">
      <c r="A396" s="0" t="n">
        <v>47</v>
      </c>
      <c r="B396" s="0" t="n">
        <v>2024</v>
      </c>
      <c r="C396" s="3" t="n">
        <v>45385</v>
      </c>
      <c r="D396" s="4" t="s">
        <v>15</v>
      </c>
      <c r="E396" s="5" t="s">
        <v>19</v>
      </c>
      <c r="F396" s="5" t="s">
        <v>17</v>
      </c>
      <c r="G396" s="7" t="n">
        <v>48</v>
      </c>
      <c r="H396" s="7" t="n">
        <v>48</v>
      </c>
      <c r="I396" s="7" t="n">
        <v>60</v>
      </c>
      <c r="J396" s="7" t="n">
        <v>52</v>
      </c>
      <c r="K396" s="7" t="n">
        <v>48</v>
      </c>
      <c r="L396" s="0" t="str">
        <f aca="false">IF(H396&gt;I396,"ERRO","OK")</f>
        <v>OK</v>
      </c>
      <c r="M396" s="0" t="str">
        <f aca="false">IF(H396&gt;J396,"ERRO","OK")</f>
        <v>OK</v>
      </c>
      <c r="N396" s="0" t="str">
        <f aca="false">IF(I396&lt;J396,"ERRO","OK")</f>
        <v>OK</v>
      </c>
    </row>
    <row r="397" customFormat="false" ht="25" hidden="false" customHeight="false" outlineLevel="0" collapsed="false">
      <c r="A397" s="0" t="n">
        <v>47</v>
      </c>
      <c r="B397" s="0" t="n">
        <v>2024</v>
      </c>
      <c r="C397" s="3" t="n">
        <v>45385</v>
      </c>
      <c r="D397" s="8" t="s">
        <v>15</v>
      </c>
      <c r="E397" s="9" t="s">
        <v>20</v>
      </c>
      <c r="F397" s="9" t="s">
        <v>17</v>
      </c>
      <c r="G397" s="10"/>
      <c r="H397" s="11" t="n">
        <v>35</v>
      </c>
      <c r="I397" s="11" t="n">
        <v>50</v>
      </c>
      <c r="J397" s="11" t="s">
        <v>189</v>
      </c>
      <c r="K397" s="11" t="n">
        <v>42</v>
      </c>
      <c r="L397" s="0" t="str">
        <f aca="false">IF(H397&gt;I397,"ERRO","OK")</f>
        <v>OK</v>
      </c>
      <c r="M397" s="0" t="str">
        <f aca="false">IF(H397&gt;J397,"ERRO","OK")</f>
        <v>OK</v>
      </c>
      <c r="N397" s="0" t="str">
        <f aca="false">IF(I397&lt;J397,"ERRO","OK")</f>
        <v>ERRO</v>
      </c>
    </row>
    <row r="398" customFormat="false" ht="25" hidden="false" customHeight="false" outlineLevel="0" collapsed="false">
      <c r="A398" s="0" t="n">
        <v>47</v>
      </c>
      <c r="B398" s="0" t="n">
        <v>2024</v>
      </c>
      <c r="C398" s="3" t="n">
        <v>45385</v>
      </c>
      <c r="D398" s="4" t="s">
        <v>15</v>
      </c>
      <c r="E398" s="5" t="s">
        <v>21</v>
      </c>
      <c r="F398" s="5" t="s">
        <v>17</v>
      </c>
      <c r="G398" s="6"/>
      <c r="H398" s="7" t="n">
        <v>35</v>
      </c>
      <c r="I398" s="7" t="n">
        <v>50</v>
      </c>
      <c r="J398" s="7" t="s">
        <v>189</v>
      </c>
      <c r="K398" s="7" t="n">
        <v>42</v>
      </c>
      <c r="L398" s="0" t="str">
        <f aca="false">IF(H398&gt;I398,"ERRO","OK")</f>
        <v>OK</v>
      </c>
      <c r="M398" s="0" t="str">
        <f aca="false">IF(H398&gt;J398,"ERRO","OK")</f>
        <v>OK</v>
      </c>
      <c r="N398" s="0" t="str">
        <f aca="false">IF(I398&lt;J398,"ERRO","OK")</f>
        <v>ERRO</v>
      </c>
    </row>
    <row r="399" customFormat="false" ht="25" hidden="false" customHeight="false" outlineLevel="0" collapsed="false">
      <c r="A399" s="0" t="n">
        <v>47</v>
      </c>
      <c r="B399" s="0" t="n">
        <v>2024</v>
      </c>
      <c r="C399" s="3" t="n">
        <v>45385</v>
      </c>
      <c r="D399" s="8" t="s">
        <v>15</v>
      </c>
      <c r="E399" s="9" t="s">
        <v>22</v>
      </c>
      <c r="F399" s="9" t="s">
        <v>17</v>
      </c>
      <c r="G399" s="11" t="n">
        <v>72</v>
      </c>
      <c r="H399" s="11" t="n">
        <v>60</v>
      </c>
      <c r="I399" s="11" t="n">
        <v>72</v>
      </c>
      <c r="J399" s="11" t="n">
        <v>68</v>
      </c>
      <c r="K399" s="11" t="n">
        <v>72</v>
      </c>
      <c r="L399" s="0" t="str">
        <f aca="false">IF(H399&gt;I399,"ERRO","OK")</f>
        <v>OK</v>
      </c>
      <c r="M399" s="0" t="str">
        <f aca="false">IF(H399&gt;J399,"ERRO","OK")</f>
        <v>OK</v>
      </c>
      <c r="N399" s="0" t="str">
        <f aca="false">IF(I399&lt;J399,"ERRO","OK")</f>
        <v>OK</v>
      </c>
    </row>
    <row r="400" customFormat="false" ht="25" hidden="false" customHeight="false" outlineLevel="0" collapsed="false">
      <c r="A400" s="0" t="n">
        <v>47</v>
      </c>
      <c r="B400" s="0" t="n">
        <v>2024</v>
      </c>
      <c r="C400" s="3" t="n">
        <v>45385</v>
      </c>
      <c r="D400" s="4" t="s">
        <v>15</v>
      </c>
      <c r="E400" s="5" t="s">
        <v>23</v>
      </c>
      <c r="F400" s="5" t="s">
        <v>17</v>
      </c>
      <c r="G400" s="6"/>
      <c r="H400" s="7" t="n">
        <v>72</v>
      </c>
      <c r="I400" s="7" t="n">
        <v>96</v>
      </c>
      <c r="J400" s="7" t="n">
        <v>86</v>
      </c>
      <c r="K400" s="7" t="n">
        <v>90</v>
      </c>
      <c r="L400" s="0" t="str">
        <f aca="false">IF(H400&gt;I400,"ERRO","OK")</f>
        <v>OK</v>
      </c>
      <c r="M400" s="0" t="str">
        <f aca="false">IF(H400&gt;J400,"ERRO","OK")</f>
        <v>OK</v>
      </c>
      <c r="N400" s="0" t="str">
        <f aca="false">IF(I400&lt;J400,"ERRO","OK")</f>
        <v>OK</v>
      </c>
    </row>
    <row r="401" customFormat="false" ht="25" hidden="false" customHeight="false" outlineLevel="0" collapsed="false">
      <c r="A401" s="0" t="n">
        <v>47</v>
      </c>
      <c r="B401" s="0" t="n">
        <v>2024</v>
      </c>
      <c r="C401" s="3" t="n">
        <v>45385</v>
      </c>
      <c r="D401" s="8" t="s">
        <v>15</v>
      </c>
      <c r="E401" s="9" t="s">
        <v>24</v>
      </c>
      <c r="F401" s="9" t="s">
        <v>17</v>
      </c>
      <c r="G401" s="10"/>
      <c r="H401" s="11" t="n">
        <v>120</v>
      </c>
      <c r="I401" s="11" t="n">
        <v>120</v>
      </c>
      <c r="J401" s="11" t="n">
        <v>120</v>
      </c>
      <c r="K401" s="11" t="n">
        <v>120</v>
      </c>
      <c r="L401" s="0" t="str">
        <f aca="false">IF(H401&gt;I401,"ERRO","OK")</f>
        <v>OK</v>
      </c>
      <c r="M401" s="0" t="str">
        <f aca="false">IF(H401&gt;J401,"ERRO","OK")</f>
        <v>OK</v>
      </c>
      <c r="N401" s="0" t="str">
        <f aca="false">IF(I401&lt;J401,"ERRO","OK")</f>
        <v>OK</v>
      </c>
    </row>
    <row r="402" customFormat="false" ht="25" hidden="false" customHeight="false" outlineLevel="0" collapsed="false">
      <c r="A402" s="0" t="n">
        <v>47</v>
      </c>
      <c r="B402" s="0" t="n">
        <v>2024</v>
      </c>
      <c r="C402" s="3" t="n">
        <v>45385</v>
      </c>
      <c r="D402" s="4" t="s">
        <v>15</v>
      </c>
      <c r="E402" s="5" t="s">
        <v>25</v>
      </c>
      <c r="F402" s="5" t="s">
        <v>17</v>
      </c>
      <c r="G402" s="7" t="n">
        <v>30</v>
      </c>
      <c r="H402" s="7" t="n">
        <v>30</v>
      </c>
      <c r="I402" s="7" t="n">
        <v>36</v>
      </c>
      <c r="J402" s="7" t="n">
        <v>32</v>
      </c>
      <c r="K402" s="7" t="n">
        <v>30</v>
      </c>
      <c r="L402" s="0" t="str">
        <f aca="false">IF(H402&gt;I402,"ERRO","OK")</f>
        <v>OK</v>
      </c>
      <c r="M402" s="0" t="str">
        <f aca="false">IF(H402&gt;J402,"ERRO","OK")</f>
        <v>OK</v>
      </c>
      <c r="N402" s="0" t="str">
        <f aca="false">IF(I402&lt;J402,"ERRO","OK")</f>
        <v>OK</v>
      </c>
    </row>
    <row r="403" customFormat="false" ht="25" hidden="false" customHeight="false" outlineLevel="0" collapsed="false">
      <c r="A403" s="0" t="n">
        <v>47</v>
      </c>
      <c r="B403" s="0" t="n">
        <v>2024</v>
      </c>
      <c r="C403" s="3" t="n">
        <v>45385</v>
      </c>
      <c r="D403" s="8" t="s">
        <v>15</v>
      </c>
      <c r="E403" s="9" t="s">
        <v>77</v>
      </c>
      <c r="F403" s="9" t="s">
        <v>17</v>
      </c>
      <c r="G403" s="11" t="n">
        <v>120</v>
      </c>
      <c r="H403" s="11" t="n">
        <v>120</v>
      </c>
      <c r="I403" s="11" t="n">
        <v>120</v>
      </c>
      <c r="J403" s="11" t="n">
        <v>120</v>
      </c>
      <c r="K403" s="11" t="n">
        <v>120</v>
      </c>
      <c r="L403" s="0" t="str">
        <f aca="false">IF(H403&gt;I403,"ERRO","OK")</f>
        <v>OK</v>
      </c>
      <c r="M403" s="0" t="str">
        <f aca="false">IF(H403&gt;J403,"ERRO","OK")</f>
        <v>OK</v>
      </c>
      <c r="N403" s="0" t="str">
        <f aca="false">IF(I403&lt;J403,"ERRO","OK")</f>
        <v>OK</v>
      </c>
    </row>
    <row r="404" customFormat="false" ht="25" hidden="false" customHeight="false" outlineLevel="0" collapsed="false">
      <c r="A404" s="0" t="n">
        <v>47</v>
      </c>
      <c r="B404" s="0" t="n">
        <v>2024</v>
      </c>
      <c r="C404" s="3" t="n">
        <v>45385</v>
      </c>
      <c r="D404" s="4" t="s">
        <v>15</v>
      </c>
      <c r="E404" s="5" t="s">
        <v>27</v>
      </c>
      <c r="F404" s="5" t="s">
        <v>17</v>
      </c>
      <c r="G404" s="6"/>
      <c r="H404" s="7" t="n">
        <v>30</v>
      </c>
      <c r="I404" s="7" t="n">
        <v>42</v>
      </c>
      <c r="J404" s="7" t="n">
        <v>36</v>
      </c>
      <c r="K404" s="7" t="n">
        <v>36</v>
      </c>
      <c r="L404" s="0" t="str">
        <f aca="false">IF(H404&gt;I404,"ERRO","OK")</f>
        <v>OK</v>
      </c>
      <c r="M404" s="0" t="str">
        <f aca="false">IF(H404&gt;J404,"ERRO","OK")</f>
        <v>OK</v>
      </c>
      <c r="N404" s="0" t="str">
        <f aca="false">IF(I404&lt;J404,"ERRO","OK")</f>
        <v>OK</v>
      </c>
    </row>
    <row r="405" customFormat="false" ht="25" hidden="false" customHeight="false" outlineLevel="0" collapsed="false">
      <c r="A405" s="0" t="n">
        <v>47</v>
      </c>
      <c r="B405" s="0" t="n">
        <v>2024</v>
      </c>
      <c r="C405" s="3" t="n">
        <v>45385</v>
      </c>
      <c r="D405" s="8" t="s">
        <v>15</v>
      </c>
      <c r="E405" s="9" t="s">
        <v>28</v>
      </c>
      <c r="F405" s="9" t="s">
        <v>17</v>
      </c>
      <c r="G405" s="10"/>
      <c r="H405" s="11" t="n">
        <v>78</v>
      </c>
      <c r="I405" s="11" t="n">
        <v>96</v>
      </c>
      <c r="J405" s="11" t="n">
        <v>86</v>
      </c>
      <c r="K405" s="11" t="n">
        <v>84</v>
      </c>
      <c r="L405" s="0" t="str">
        <f aca="false">IF(H405&gt;I405,"ERRO","OK")</f>
        <v>OK</v>
      </c>
      <c r="M405" s="0" t="str">
        <f aca="false">IF(H405&gt;J405,"ERRO","OK")</f>
        <v>OK</v>
      </c>
      <c r="N405" s="0" t="str">
        <f aca="false">IF(I405&lt;J405,"ERRO","OK")</f>
        <v>OK</v>
      </c>
    </row>
    <row r="406" customFormat="false" ht="25" hidden="false" customHeight="false" outlineLevel="0" collapsed="false">
      <c r="A406" s="0" t="n">
        <v>47</v>
      </c>
      <c r="B406" s="0" t="n">
        <v>2024</v>
      </c>
      <c r="C406" s="3" t="n">
        <v>45385</v>
      </c>
      <c r="D406" s="4" t="s">
        <v>15</v>
      </c>
      <c r="E406" s="5" t="s">
        <v>29</v>
      </c>
      <c r="F406" s="5" t="s">
        <v>30</v>
      </c>
      <c r="G406" s="6"/>
      <c r="H406" s="7" t="n">
        <v>60</v>
      </c>
      <c r="I406" s="7" t="n">
        <v>78</v>
      </c>
      <c r="J406" s="7" t="n">
        <v>70</v>
      </c>
      <c r="K406" s="7" t="n">
        <v>72</v>
      </c>
      <c r="L406" s="0" t="str">
        <f aca="false">IF(H406&gt;I406,"ERRO","OK")</f>
        <v>OK</v>
      </c>
      <c r="M406" s="0" t="str">
        <f aca="false">IF(H406&gt;J406,"ERRO","OK")</f>
        <v>OK</v>
      </c>
      <c r="N406" s="0" t="str">
        <f aca="false">IF(I406&lt;J406,"ERRO","OK")</f>
        <v>OK</v>
      </c>
    </row>
    <row r="407" customFormat="false" ht="25" hidden="false" customHeight="false" outlineLevel="0" collapsed="false">
      <c r="A407" s="0" t="n">
        <v>47</v>
      </c>
      <c r="B407" s="0" t="n">
        <v>2024</v>
      </c>
      <c r="C407" s="3" t="n">
        <v>45385</v>
      </c>
      <c r="D407" s="8" t="s">
        <v>15</v>
      </c>
      <c r="E407" s="9" t="s">
        <v>31</v>
      </c>
      <c r="F407" s="9" t="s">
        <v>17</v>
      </c>
      <c r="G407" s="10"/>
      <c r="H407" s="11" t="n">
        <v>60</v>
      </c>
      <c r="I407" s="11" t="n">
        <v>120</v>
      </c>
      <c r="J407" s="11" t="s">
        <v>190</v>
      </c>
      <c r="K407" s="11" t="n">
        <v>75</v>
      </c>
      <c r="L407" s="0" t="str">
        <f aca="false">IF(H407&gt;I407,"ERRO","OK")</f>
        <v>OK</v>
      </c>
      <c r="M407" s="0" t="str">
        <f aca="false">IF(H407&gt;J407,"ERRO","OK")</f>
        <v>OK</v>
      </c>
      <c r="N407" s="0" t="str">
        <f aca="false">IF(I407&lt;J407,"ERRO","OK")</f>
        <v>ERRO</v>
      </c>
    </row>
    <row r="408" customFormat="false" ht="25" hidden="false" customHeight="false" outlineLevel="0" collapsed="false">
      <c r="A408" s="0" t="n">
        <v>47</v>
      </c>
      <c r="B408" s="0" t="n">
        <v>2024</v>
      </c>
      <c r="C408" s="3" t="n">
        <v>45385</v>
      </c>
      <c r="D408" s="4" t="s">
        <v>15</v>
      </c>
      <c r="E408" s="5" t="s">
        <v>32</v>
      </c>
      <c r="F408" s="5" t="s">
        <v>17</v>
      </c>
      <c r="G408" s="7" t="n">
        <v>60</v>
      </c>
      <c r="H408" s="7" t="n">
        <v>50</v>
      </c>
      <c r="I408" s="7" t="n">
        <v>84</v>
      </c>
      <c r="J408" s="7" t="s">
        <v>191</v>
      </c>
      <c r="K408" s="7" t="n">
        <v>60</v>
      </c>
      <c r="L408" s="0" t="str">
        <f aca="false">IF(H408&gt;I408,"ERRO","OK")</f>
        <v>OK</v>
      </c>
      <c r="M408" s="0" t="str">
        <f aca="false">IF(H408&gt;J408,"ERRO","OK")</f>
        <v>OK</v>
      </c>
      <c r="N408" s="0" t="str">
        <f aca="false">IF(I408&lt;J408,"ERRO","OK")</f>
        <v>ERRO</v>
      </c>
    </row>
    <row r="409" customFormat="false" ht="25" hidden="false" customHeight="false" outlineLevel="0" collapsed="false">
      <c r="A409" s="0" t="n">
        <v>47</v>
      </c>
      <c r="B409" s="0" t="n">
        <v>2024</v>
      </c>
      <c r="C409" s="3" t="n">
        <v>45385</v>
      </c>
      <c r="D409" s="8" t="s">
        <v>15</v>
      </c>
      <c r="E409" s="9" t="s">
        <v>33</v>
      </c>
      <c r="F409" s="9" t="s">
        <v>17</v>
      </c>
      <c r="G409" s="11" t="n">
        <v>54</v>
      </c>
      <c r="H409" s="11" t="n">
        <v>48</v>
      </c>
      <c r="I409" s="11" t="n">
        <v>54</v>
      </c>
      <c r="J409" s="11" t="n">
        <v>52</v>
      </c>
      <c r="K409" s="11" t="n">
        <v>54</v>
      </c>
      <c r="L409" s="0" t="str">
        <f aca="false">IF(H409&gt;I409,"ERRO","OK")</f>
        <v>OK</v>
      </c>
      <c r="M409" s="0" t="str">
        <f aca="false">IF(H409&gt;J409,"ERRO","OK")</f>
        <v>OK</v>
      </c>
      <c r="N409" s="0" t="str">
        <f aca="false">IF(I409&lt;J409,"ERRO","OK")</f>
        <v>OK</v>
      </c>
    </row>
    <row r="410" customFormat="false" ht="25" hidden="false" customHeight="false" outlineLevel="0" collapsed="false">
      <c r="A410" s="0" t="n">
        <v>47</v>
      </c>
      <c r="B410" s="0" t="n">
        <v>2024</v>
      </c>
      <c r="C410" s="3" t="n">
        <v>45385</v>
      </c>
      <c r="D410" s="4" t="s">
        <v>34</v>
      </c>
      <c r="E410" s="5" t="s">
        <v>35</v>
      </c>
      <c r="F410" s="5" t="s">
        <v>36</v>
      </c>
      <c r="G410" s="6"/>
      <c r="H410" s="7" t="s">
        <v>101</v>
      </c>
      <c r="I410" s="7" t="n">
        <v>5</v>
      </c>
      <c r="J410" s="7" t="s">
        <v>154</v>
      </c>
      <c r="K410" s="7" t="s">
        <v>154</v>
      </c>
      <c r="L410" s="0" t="str">
        <f aca="false">IF(H410&gt;I410,"ERRO","OK")</f>
        <v>ERRO</v>
      </c>
      <c r="M410" s="0" t="str">
        <f aca="false">IF(H410&gt;J410,"ERRO","OK")</f>
        <v>OK</v>
      </c>
      <c r="N410" s="0" t="str">
        <f aca="false">IF(I410&lt;J410,"ERRO","OK")</f>
        <v>ERRO</v>
      </c>
    </row>
    <row r="411" customFormat="false" ht="25" hidden="false" customHeight="false" outlineLevel="0" collapsed="false">
      <c r="A411" s="0" t="n">
        <v>47</v>
      </c>
      <c r="B411" s="0" t="n">
        <v>2024</v>
      </c>
      <c r="C411" s="3" t="n">
        <v>45385</v>
      </c>
      <c r="D411" s="8" t="s">
        <v>34</v>
      </c>
      <c r="E411" s="9" t="s">
        <v>38</v>
      </c>
      <c r="F411" s="9" t="s">
        <v>39</v>
      </c>
      <c r="G411" s="10"/>
      <c r="H411" s="11" t="n">
        <v>25</v>
      </c>
      <c r="I411" s="11" t="n">
        <v>40</v>
      </c>
      <c r="J411" s="11" t="s">
        <v>111</v>
      </c>
      <c r="K411" s="11" t="s">
        <v>111</v>
      </c>
      <c r="L411" s="0" t="str">
        <f aca="false">IF(H411&gt;I411,"ERRO","OK")</f>
        <v>OK</v>
      </c>
      <c r="M411" s="0" t="str">
        <f aca="false">IF(H411&gt;J411,"ERRO","OK")</f>
        <v>OK</v>
      </c>
      <c r="N411" s="0" t="str">
        <f aca="false">IF(I411&lt;J411,"ERRO","OK")</f>
        <v>ERRO</v>
      </c>
    </row>
    <row r="412" customFormat="false" ht="25" hidden="false" customHeight="false" outlineLevel="0" collapsed="false">
      <c r="A412" s="0" t="n">
        <v>47</v>
      </c>
      <c r="B412" s="0" t="n">
        <v>2024</v>
      </c>
      <c r="C412" s="3" t="n">
        <v>45385</v>
      </c>
      <c r="D412" s="4" t="s">
        <v>34</v>
      </c>
      <c r="E412" s="5" t="s">
        <v>40</v>
      </c>
      <c r="F412" s="5" t="s">
        <v>39</v>
      </c>
      <c r="G412" s="6"/>
      <c r="H412" s="7" t="n">
        <v>40</v>
      </c>
      <c r="I412" s="7" t="n">
        <v>45</v>
      </c>
      <c r="J412" s="7" t="s">
        <v>51</v>
      </c>
      <c r="K412" s="7" t="s">
        <v>51</v>
      </c>
      <c r="L412" s="0" t="str">
        <f aca="false">IF(H412&gt;I412,"ERRO","OK")</f>
        <v>OK</v>
      </c>
      <c r="M412" s="0" t="str">
        <f aca="false">IF(H412&gt;J412,"ERRO","OK")</f>
        <v>OK</v>
      </c>
      <c r="N412" s="0" t="str">
        <f aca="false">IF(I412&lt;J412,"ERRO","OK")</f>
        <v>ERRO</v>
      </c>
    </row>
    <row r="413" customFormat="false" ht="36.5" hidden="false" customHeight="false" outlineLevel="0" collapsed="false">
      <c r="A413" s="0" t="n">
        <v>47</v>
      </c>
      <c r="B413" s="0" t="n">
        <v>2024</v>
      </c>
      <c r="C413" s="3" t="n">
        <v>45385</v>
      </c>
      <c r="D413" s="8" t="s">
        <v>42</v>
      </c>
      <c r="E413" s="9" t="s">
        <v>157</v>
      </c>
      <c r="F413" s="9" t="s">
        <v>158</v>
      </c>
      <c r="G413" s="11" t="n">
        <v>120</v>
      </c>
      <c r="H413" s="11" t="n">
        <v>110</v>
      </c>
      <c r="I413" s="11" t="n">
        <v>120</v>
      </c>
      <c r="J413" s="11" t="s">
        <v>192</v>
      </c>
      <c r="K413" s="11" t="s">
        <v>144</v>
      </c>
      <c r="L413" s="0" t="str">
        <f aca="false">IF(H413&gt;I413,"ERRO","OK")</f>
        <v>OK</v>
      </c>
      <c r="M413" s="0" t="str">
        <f aca="false">IF(H413&gt;J413,"ERRO","OK")</f>
        <v>OK</v>
      </c>
      <c r="N413" s="0" t="str">
        <f aca="false">IF(I413&lt;J413,"ERRO","OK")</f>
        <v>ERRO</v>
      </c>
    </row>
    <row r="414" customFormat="false" ht="36.5" hidden="false" customHeight="false" outlineLevel="0" collapsed="false">
      <c r="A414" s="0" t="n">
        <v>47</v>
      </c>
      <c r="B414" s="0" t="n">
        <v>2024</v>
      </c>
      <c r="C414" s="3" t="n">
        <v>45385</v>
      </c>
      <c r="D414" s="4" t="s">
        <v>42</v>
      </c>
      <c r="E414" s="5" t="s">
        <v>43</v>
      </c>
      <c r="F414" s="5" t="s">
        <v>44</v>
      </c>
      <c r="G414" s="7" t="n">
        <v>90</v>
      </c>
      <c r="H414" s="7" t="n">
        <v>70</v>
      </c>
      <c r="I414" s="7" t="n">
        <v>100</v>
      </c>
      <c r="J414" s="7" t="s">
        <v>193</v>
      </c>
      <c r="K414" s="7" t="n">
        <v>90</v>
      </c>
      <c r="L414" s="0" t="str">
        <f aca="false">IF(H414&gt;I414,"ERRO","OK")</f>
        <v>OK</v>
      </c>
      <c r="M414" s="0" t="str">
        <f aca="false">IF(H414&gt;J414,"ERRO","OK")</f>
        <v>OK</v>
      </c>
      <c r="N414" s="0" t="str">
        <f aca="false">IF(I414&lt;J414,"ERRO","OK")</f>
        <v>ERRO</v>
      </c>
    </row>
    <row r="415" customFormat="false" ht="36.5" hidden="false" customHeight="false" outlineLevel="0" collapsed="false">
      <c r="A415" s="0" t="n">
        <v>47</v>
      </c>
      <c r="B415" s="0" t="n">
        <v>2024</v>
      </c>
      <c r="C415" s="3" t="n">
        <v>45385</v>
      </c>
      <c r="D415" s="8" t="s">
        <v>42</v>
      </c>
      <c r="E415" s="9" t="s">
        <v>46</v>
      </c>
      <c r="F415" s="9" t="s">
        <v>47</v>
      </c>
      <c r="G415" s="11" t="n">
        <v>50</v>
      </c>
      <c r="H415" s="11" t="n">
        <v>50</v>
      </c>
      <c r="I415" s="11" t="n">
        <v>80</v>
      </c>
      <c r="J415" s="11" t="s">
        <v>134</v>
      </c>
      <c r="K415" s="11" t="n">
        <v>75</v>
      </c>
      <c r="L415" s="0" t="str">
        <f aca="false">IF(H415&gt;I415,"ERRO","OK")</f>
        <v>OK</v>
      </c>
      <c r="M415" s="0" t="str">
        <f aca="false">IF(H415&gt;J415,"ERRO","OK")</f>
        <v>OK</v>
      </c>
      <c r="N415" s="0" t="str">
        <f aca="false">IF(I415&lt;J415,"ERRO","OK")</f>
        <v>ERRO</v>
      </c>
    </row>
    <row r="416" customFormat="false" ht="36.5" hidden="false" customHeight="false" outlineLevel="0" collapsed="false">
      <c r="A416" s="0" t="n">
        <v>47</v>
      </c>
      <c r="B416" s="0" t="n">
        <v>2024</v>
      </c>
      <c r="C416" s="3" t="n">
        <v>45385</v>
      </c>
      <c r="D416" s="4" t="s">
        <v>42</v>
      </c>
      <c r="E416" s="5" t="s">
        <v>48</v>
      </c>
      <c r="F416" s="5" t="s">
        <v>49</v>
      </c>
      <c r="G416" s="7" t="n">
        <v>50</v>
      </c>
      <c r="H416" s="7" t="n">
        <v>35</v>
      </c>
      <c r="I416" s="7" t="n">
        <v>60</v>
      </c>
      <c r="J416" s="7" t="n">
        <v>45</v>
      </c>
      <c r="K416" s="7" t="n">
        <v>45</v>
      </c>
      <c r="L416" s="0" t="str">
        <f aca="false">IF(H416&gt;I416,"ERRO","OK")</f>
        <v>OK</v>
      </c>
      <c r="M416" s="0" t="str">
        <f aca="false">IF(H416&gt;J416,"ERRO","OK")</f>
        <v>OK</v>
      </c>
      <c r="N416" s="0" t="str">
        <f aca="false">IF(I416&lt;J416,"ERRO","OK")</f>
        <v>OK</v>
      </c>
    </row>
    <row r="417" customFormat="false" ht="36.5" hidden="false" customHeight="false" outlineLevel="0" collapsed="false">
      <c r="A417" s="0" t="n">
        <v>47</v>
      </c>
      <c r="B417" s="0" t="n">
        <v>2024</v>
      </c>
      <c r="C417" s="3" t="n">
        <v>45385</v>
      </c>
      <c r="D417" s="8" t="s">
        <v>42</v>
      </c>
      <c r="E417" s="9" t="s">
        <v>52</v>
      </c>
      <c r="F417" s="9" t="s">
        <v>49</v>
      </c>
      <c r="G417" s="10"/>
      <c r="H417" s="11" t="n">
        <v>65</v>
      </c>
      <c r="I417" s="11" t="n">
        <v>120</v>
      </c>
      <c r="J417" s="11" t="n">
        <v>95</v>
      </c>
      <c r="K417" s="11" t="n">
        <v>100</v>
      </c>
      <c r="L417" s="0" t="str">
        <f aca="false">IF(H417&gt;I417,"ERRO","OK")</f>
        <v>OK</v>
      </c>
      <c r="M417" s="0" t="str">
        <f aca="false">IF(H417&gt;J417,"ERRO","OK")</f>
        <v>OK</v>
      </c>
      <c r="N417" s="0" t="str">
        <f aca="false">IF(I417&lt;J417,"ERRO","OK")</f>
        <v>OK</v>
      </c>
    </row>
    <row r="418" customFormat="false" ht="36.5" hidden="false" customHeight="false" outlineLevel="0" collapsed="false">
      <c r="A418" s="0" t="n">
        <v>47</v>
      </c>
      <c r="B418" s="0" t="n">
        <v>2024</v>
      </c>
      <c r="C418" s="3" t="n">
        <v>45385</v>
      </c>
      <c r="D418" s="4" t="s">
        <v>42</v>
      </c>
      <c r="E418" s="5" t="s">
        <v>53</v>
      </c>
      <c r="F418" s="5" t="s">
        <v>54</v>
      </c>
      <c r="G418" s="7" t="n">
        <v>100</v>
      </c>
      <c r="H418" s="7" t="n">
        <v>80</v>
      </c>
      <c r="I418" s="7" t="n">
        <v>130</v>
      </c>
      <c r="J418" s="7" t="n">
        <v>110</v>
      </c>
      <c r="K418" s="7" t="n">
        <v>110</v>
      </c>
      <c r="L418" s="0" t="str">
        <f aca="false">IF(H418&gt;I418,"ERRO","OK")</f>
        <v>OK</v>
      </c>
      <c r="M418" s="0" t="str">
        <f aca="false">IF(H418&gt;J418,"ERRO","OK")</f>
        <v>OK</v>
      </c>
      <c r="N418" s="0" t="str">
        <f aca="false">IF(I418&lt;J418,"ERRO","OK")</f>
        <v>OK</v>
      </c>
    </row>
    <row r="419" customFormat="false" ht="36.5" hidden="false" customHeight="false" outlineLevel="0" collapsed="false">
      <c r="A419" s="0" t="n">
        <v>47</v>
      </c>
      <c r="B419" s="0" t="n">
        <v>2024</v>
      </c>
      <c r="C419" s="3" t="n">
        <v>45385</v>
      </c>
      <c r="D419" s="8" t="s">
        <v>42</v>
      </c>
      <c r="E419" s="9" t="s">
        <v>56</v>
      </c>
      <c r="F419" s="9" t="s">
        <v>47</v>
      </c>
      <c r="G419" s="11" t="n">
        <v>80</v>
      </c>
      <c r="H419" s="11" t="n">
        <v>80</v>
      </c>
      <c r="I419" s="11" t="n">
        <v>150</v>
      </c>
      <c r="J419" s="11" t="s">
        <v>194</v>
      </c>
      <c r="K419" s="11" t="n">
        <v>120</v>
      </c>
      <c r="L419" s="0" t="str">
        <f aca="false">IF(H419&gt;I419,"ERRO","OK")</f>
        <v>OK</v>
      </c>
      <c r="M419" s="0" t="str">
        <f aca="false">IF(H419&gt;J419,"ERRO","OK")</f>
        <v>OK</v>
      </c>
      <c r="N419" s="0" t="str">
        <f aca="false">IF(I419&lt;J419,"ERRO","OK")</f>
        <v>ERRO</v>
      </c>
    </row>
    <row r="420" customFormat="false" ht="36.5" hidden="false" customHeight="false" outlineLevel="0" collapsed="false">
      <c r="A420" s="0" t="n">
        <v>47</v>
      </c>
      <c r="B420" s="0" t="n">
        <v>2024</v>
      </c>
      <c r="C420" s="3" t="n">
        <v>45385</v>
      </c>
      <c r="D420" s="4" t="s">
        <v>42</v>
      </c>
      <c r="E420" s="5" t="s">
        <v>57</v>
      </c>
      <c r="F420" s="5" t="s">
        <v>47</v>
      </c>
      <c r="G420" s="7" t="n">
        <v>60</v>
      </c>
      <c r="H420" s="7" t="n">
        <v>50</v>
      </c>
      <c r="I420" s="7" t="n">
        <v>70</v>
      </c>
      <c r="J420" s="7" t="n">
        <v>60</v>
      </c>
      <c r="K420" s="7" t="n">
        <v>60</v>
      </c>
      <c r="L420" s="0" t="str">
        <f aca="false">IF(H420&gt;I420,"ERRO","OK")</f>
        <v>OK</v>
      </c>
      <c r="M420" s="0" t="str">
        <f aca="false">IF(H420&gt;J420,"ERRO","OK")</f>
        <v>OK</v>
      </c>
      <c r="N420" s="0" t="str">
        <f aca="false">IF(I420&lt;J420,"ERRO","OK")</f>
        <v>OK</v>
      </c>
    </row>
    <row r="421" customFormat="false" ht="36.5" hidden="false" customHeight="false" outlineLevel="0" collapsed="false">
      <c r="A421" s="0" t="n">
        <v>47</v>
      </c>
      <c r="B421" s="0" t="n">
        <v>2024</v>
      </c>
      <c r="C421" s="3" t="n">
        <v>45385</v>
      </c>
      <c r="D421" s="8" t="s">
        <v>42</v>
      </c>
      <c r="E421" s="9" t="s">
        <v>58</v>
      </c>
      <c r="F421" s="9" t="s">
        <v>44</v>
      </c>
      <c r="G421" s="11" t="n">
        <v>100</v>
      </c>
      <c r="H421" s="11" t="n">
        <v>80</v>
      </c>
      <c r="I421" s="11" t="n">
        <v>100</v>
      </c>
      <c r="J421" s="11" t="n">
        <v>94</v>
      </c>
      <c r="K421" s="11" t="n">
        <v>100</v>
      </c>
      <c r="L421" s="0" t="str">
        <f aca="false">IF(H421&gt;I421,"ERRO","OK")</f>
        <v>OK</v>
      </c>
      <c r="M421" s="0" t="str">
        <f aca="false">IF(H421&gt;J421,"ERRO","OK")</f>
        <v>OK</v>
      </c>
      <c r="N421" s="0" t="str">
        <f aca="false">IF(I421&lt;J421,"ERRO","OK")</f>
        <v>OK</v>
      </c>
    </row>
    <row r="422" customFormat="false" ht="36.5" hidden="false" customHeight="false" outlineLevel="0" collapsed="false">
      <c r="A422" s="0" t="n">
        <v>47</v>
      </c>
      <c r="B422" s="0" t="n">
        <v>2024</v>
      </c>
      <c r="C422" s="3" t="n">
        <v>45385</v>
      </c>
      <c r="D422" s="4" t="s">
        <v>42</v>
      </c>
      <c r="E422" s="5" t="s">
        <v>60</v>
      </c>
      <c r="F422" s="5" t="s">
        <v>47</v>
      </c>
      <c r="G422" s="6"/>
      <c r="H422" s="7" t="n">
        <v>60</v>
      </c>
      <c r="I422" s="7" t="n">
        <v>75</v>
      </c>
      <c r="J422" s="7" t="s">
        <v>88</v>
      </c>
      <c r="K422" s="7" t="s">
        <v>88</v>
      </c>
      <c r="L422" s="0" t="str">
        <f aca="false">IF(H422&gt;I422,"ERRO","OK")</f>
        <v>OK</v>
      </c>
      <c r="M422" s="0" t="str">
        <f aca="false">IF(H422&gt;J422,"ERRO","OK")</f>
        <v>OK</v>
      </c>
      <c r="N422" s="0" t="str">
        <f aca="false">IF(I422&lt;J422,"ERRO","OK")</f>
        <v>ERRO</v>
      </c>
    </row>
    <row r="423" customFormat="false" ht="36.5" hidden="false" customHeight="false" outlineLevel="0" collapsed="false">
      <c r="A423" s="0" t="n">
        <v>47</v>
      </c>
      <c r="B423" s="0" t="n">
        <v>2024</v>
      </c>
      <c r="C423" s="3" t="n">
        <v>45385</v>
      </c>
      <c r="D423" s="8" t="s">
        <v>42</v>
      </c>
      <c r="E423" s="9" t="s">
        <v>61</v>
      </c>
      <c r="F423" s="9" t="s">
        <v>44</v>
      </c>
      <c r="G423" s="11" t="n">
        <v>80</v>
      </c>
      <c r="H423" s="11" t="n">
        <v>60</v>
      </c>
      <c r="I423" s="11" t="n">
        <v>100</v>
      </c>
      <c r="J423" s="11" t="s">
        <v>195</v>
      </c>
      <c r="K423" s="11" t="n">
        <v>80</v>
      </c>
      <c r="L423" s="0" t="str">
        <f aca="false">IF(H423&gt;I423,"ERRO","OK")</f>
        <v>OK</v>
      </c>
      <c r="M423" s="0" t="str">
        <f aca="false">IF(H423&gt;J423,"ERRO","OK")</f>
        <v>OK</v>
      </c>
      <c r="N423" s="0" t="str">
        <f aca="false">IF(I423&lt;J423,"ERRO","OK")</f>
        <v>ERRO</v>
      </c>
    </row>
    <row r="424" customFormat="false" ht="36.5" hidden="false" customHeight="false" outlineLevel="0" collapsed="false">
      <c r="A424" s="0" t="n">
        <v>47</v>
      </c>
      <c r="B424" s="0" t="n">
        <v>2024</v>
      </c>
      <c r="C424" s="3" t="n">
        <v>45385</v>
      </c>
      <c r="D424" s="4" t="s">
        <v>42</v>
      </c>
      <c r="E424" s="5" t="s">
        <v>62</v>
      </c>
      <c r="F424" s="5" t="s">
        <v>44</v>
      </c>
      <c r="G424" s="7" t="n">
        <v>120</v>
      </c>
      <c r="H424" s="7" t="n">
        <v>80</v>
      </c>
      <c r="I424" s="7" t="n">
        <v>140</v>
      </c>
      <c r="J424" s="7" t="n">
        <v>115</v>
      </c>
      <c r="K424" s="7" t="n">
        <v>120</v>
      </c>
      <c r="L424" s="0" t="str">
        <f aca="false">IF(H424&gt;I424,"ERRO","OK")</f>
        <v>OK</v>
      </c>
      <c r="M424" s="0" t="str">
        <f aca="false">IF(H424&gt;J424,"ERRO","OK")</f>
        <v>OK</v>
      </c>
      <c r="N424" s="0" t="str">
        <f aca="false">IF(I424&lt;J424,"ERRO","OK")</f>
        <v>OK</v>
      </c>
    </row>
    <row r="425" customFormat="false" ht="36.5" hidden="false" customHeight="false" outlineLevel="0" collapsed="false">
      <c r="A425" s="0" t="n">
        <v>47</v>
      </c>
      <c r="B425" s="0" t="n">
        <v>2024</v>
      </c>
      <c r="C425" s="3" t="n">
        <v>45385</v>
      </c>
      <c r="D425" s="8" t="s">
        <v>42</v>
      </c>
      <c r="E425" s="9" t="s">
        <v>63</v>
      </c>
      <c r="F425" s="9" t="s">
        <v>49</v>
      </c>
      <c r="G425" s="11" t="n">
        <v>80</v>
      </c>
      <c r="H425" s="11" t="n">
        <v>60</v>
      </c>
      <c r="I425" s="11" t="n">
        <v>100</v>
      </c>
      <c r="J425" s="11" t="s">
        <v>196</v>
      </c>
      <c r="K425" s="11" t="n">
        <v>80</v>
      </c>
      <c r="L425" s="0" t="str">
        <f aca="false">IF(H425&gt;I425,"ERRO","OK")</f>
        <v>OK</v>
      </c>
      <c r="M425" s="0" t="str">
        <f aca="false">IF(H425&gt;J425,"ERRO","OK")</f>
        <v>OK</v>
      </c>
      <c r="N425" s="0" t="str">
        <f aca="false">IF(I425&lt;J425,"ERRO","OK")</f>
        <v>ERRO</v>
      </c>
    </row>
    <row r="426" customFormat="false" ht="36.5" hidden="false" customHeight="false" outlineLevel="0" collapsed="false">
      <c r="A426" s="0" t="n">
        <v>47</v>
      </c>
      <c r="B426" s="0" t="n">
        <v>2024</v>
      </c>
      <c r="C426" s="3" t="n">
        <v>45385</v>
      </c>
      <c r="D426" s="4" t="s">
        <v>42</v>
      </c>
      <c r="E426" s="5" t="s">
        <v>64</v>
      </c>
      <c r="F426" s="5" t="s">
        <v>65</v>
      </c>
      <c r="G426" s="7" t="n">
        <v>150</v>
      </c>
      <c r="H426" s="7" t="n">
        <v>100</v>
      </c>
      <c r="I426" s="7" t="n">
        <v>150</v>
      </c>
      <c r="J426" s="7" t="n">
        <v>130</v>
      </c>
      <c r="K426" s="7" t="n">
        <v>130</v>
      </c>
      <c r="L426" s="0" t="str">
        <f aca="false">IF(H426&gt;I426,"ERRO","OK")</f>
        <v>OK</v>
      </c>
      <c r="M426" s="0" t="str">
        <f aca="false">IF(H426&gt;J426,"ERRO","OK")</f>
        <v>OK</v>
      </c>
      <c r="N426" s="0" t="str">
        <f aca="false">IF(I426&lt;J426,"ERRO","OK")</f>
        <v>OK</v>
      </c>
    </row>
    <row r="427" customFormat="false" ht="36.5" hidden="false" customHeight="false" outlineLevel="0" collapsed="false">
      <c r="A427" s="0" t="n">
        <v>47</v>
      </c>
      <c r="B427" s="0" t="n">
        <v>2024</v>
      </c>
      <c r="C427" s="3" t="n">
        <v>45385</v>
      </c>
      <c r="D427" s="8" t="s">
        <v>42</v>
      </c>
      <c r="E427" s="9" t="s">
        <v>67</v>
      </c>
      <c r="F427" s="9" t="s">
        <v>44</v>
      </c>
      <c r="G427" s="11" t="n">
        <v>220</v>
      </c>
      <c r="H427" s="11" t="n">
        <v>150</v>
      </c>
      <c r="I427" s="11" t="n">
        <v>250</v>
      </c>
      <c r="J427" s="11" t="s">
        <v>197</v>
      </c>
      <c r="K427" s="11" t="n">
        <v>230</v>
      </c>
      <c r="L427" s="0" t="str">
        <f aca="false">IF(H427&gt;I427,"ERRO","OK")</f>
        <v>OK</v>
      </c>
      <c r="M427" s="0" t="str">
        <f aca="false">IF(H427&gt;J427,"ERRO","OK")</f>
        <v>OK</v>
      </c>
      <c r="N427" s="0" t="str">
        <f aca="false">IF(I427&lt;J427,"ERRO","OK")</f>
        <v>ERRO</v>
      </c>
    </row>
    <row r="428" customFormat="false" ht="36.5" hidden="false" customHeight="false" outlineLevel="0" collapsed="false">
      <c r="A428" s="0" t="n">
        <v>47</v>
      </c>
      <c r="B428" s="0" t="n">
        <v>2024</v>
      </c>
      <c r="C428" s="3" t="n">
        <v>45385</v>
      </c>
      <c r="D428" s="4" t="s">
        <v>42</v>
      </c>
      <c r="E428" s="5" t="s">
        <v>68</v>
      </c>
      <c r="F428" s="5" t="s">
        <v>44</v>
      </c>
      <c r="G428" s="7" t="n">
        <v>140</v>
      </c>
      <c r="H428" s="7" t="n">
        <v>120</v>
      </c>
      <c r="I428" s="7" t="n">
        <v>200</v>
      </c>
      <c r="J428" s="7" t="s">
        <v>198</v>
      </c>
      <c r="K428" s="7" t="n">
        <v>140</v>
      </c>
      <c r="L428" s="0" t="str">
        <f aca="false">IF(H428&gt;I428,"ERRO","OK")</f>
        <v>OK</v>
      </c>
      <c r="M428" s="0" t="str">
        <f aca="false">IF(H428&gt;J428,"ERRO","OK")</f>
        <v>OK</v>
      </c>
      <c r="N428" s="0" t="str">
        <f aca="false">IF(I428&lt;J428,"ERRO","OK")</f>
        <v>ERRO</v>
      </c>
    </row>
    <row r="429" customFormat="false" ht="14.25" hidden="false" customHeight="false" outlineLevel="0" collapsed="false">
      <c r="A429" s="0" t="n">
        <v>47</v>
      </c>
      <c r="B429" s="0" t="n">
        <v>2024</v>
      </c>
      <c r="C429" s="3" t="n">
        <v>45385</v>
      </c>
      <c r="D429" s="8" t="s">
        <v>69</v>
      </c>
      <c r="E429" s="9" t="s">
        <v>70</v>
      </c>
      <c r="F429" s="9" t="s">
        <v>49</v>
      </c>
      <c r="G429" s="11" t="n">
        <v>100</v>
      </c>
      <c r="H429" s="11" t="n">
        <v>100</v>
      </c>
      <c r="I429" s="11" t="n">
        <v>100</v>
      </c>
      <c r="J429" s="11" t="n">
        <v>100</v>
      </c>
      <c r="K429" s="11" t="n">
        <v>100</v>
      </c>
      <c r="L429" s="0" t="str">
        <f aca="false">IF(H429&gt;I429,"ERRO","OK")</f>
        <v>OK</v>
      </c>
      <c r="M429" s="0" t="str">
        <f aca="false">IF(H429&gt;J429,"ERRO","OK")</f>
        <v>OK</v>
      </c>
      <c r="N429" s="0" t="str">
        <f aca="false">IF(I429&lt;J429,"ERRO","OK")</f>
        <v>OK</v>
      </c>
    </row>
    <row r="430" customFormat="false" ht="14.25" hidden="false" customHeight="false" outlineLevel="0" collapsed="false">
      <c r="A430" s="0" t="n">
        <v>47</v>
      </c>
      <c r="B430" s="0" t="n">
        <v>2024</v>
      </c>
      <c r="C430" s="3" t="n">
        <v>45385</v>
      </c>
      <c r="D430" s="4" t="s">
        <v>69</v>
      </c>
      <c r="E430" s="5" t="s">
        <v>71</v>
      </c>
      <c r="F430" s="5" t="s">
        <v>49</v>
      </c>
      <c r="G430" s="7" t="n">
        <v>80</v>
      </c>
      <c r="H430" s="7" t="n">
        <v>80</v>
      </c>
      <c r="I430" s="7" t="n">
        <v>80</v>
      </c>
      <c r="J430" s="7" t="n">
        <v>80</v>
      </c>
      <c r="K430" s="7" t="n">
        <v>80</v>
      </c>
      <c r="L430" s="0" t="str">
        <f aca="false">IF(H430&gt;I430,"ERRO","OK")</f>
        <v>OK</v>
      </c>
      <c r="M430" s="0" t="str">
        <f aca="false">IF(H430&gt;J430,"ERRO","OK")</f>
        <v>OK</v>
      </c>
      <c r="N430" s="0" t="str">
        <f aca="false">IF(I430&lt;J430,"ERRO","OK")</f>
        <v>OK</v>
      </c>
    </row>
    <row r="431" customFormat="false" ht="14.25" hidden="false" customHeight="false" outlineLevel="0" collapsed="false">
      <c r="A431" s="0" t="n">
        <v>47</v>
      </c>
      <c r="B431" s="0" t="n">
        <v>2024</v>
      </c>
      <c r="C431" s="3" t="n">
        <v>45385</v>
      </c>
      <c r="D431" s="8" t="s">
        <v>69</v>
      </c>
      <c r="E431" s="9" t="s">
        <v>72</v>
      </c>
      <c r="F431" s="9" t="s">
        <v>49</v>
      </c>
      <c r="G431" s="11" t="n">
        <v>45</v>
      </c>
      <c r="H431" s="11" t="n">
        <v>45</v>
      </c>
      <c r="I431" s="11" t="n">
        <v>45</v>
      </c>
      <c r="J431" s="11" t="n">
        <v>45</v>
      </c>
      <c r="K431" s="11" t="n">
        <v>45</v>
      </c>
      <c r="L431" s="0" t="str">
        <f aca="false">IF(H431&gt;I431,"ERRO","OK")</f>
        <v>OK</v>
      </c>
      <c r="M431" s="0" t="str">
        <f aca="false">IF(H431&gt;J431,"ERRO","OK")</f>
        <v>OK</v>
      </c>
      <c r="N431" s="0" t="str">
        <f aca="false">IF(I431&lt;J431,"ERRO","OK")</f>
        <v>OK</v>
      </c>
    </row>
    <row r="432" customFormat="false" ht="14.25" hidden="false" customHeight="false" outlineLevel="0" collapsed="false">
      <c r="A432" s="0" t="n">
        <v>47</v>
      </c>
      <c r="B432" s="0" t="n">
        <v>2024</v>
      </c>
      <c r="C432" s="3" t="n">
        <v>45385</v>
      </c>
      <c r="D432" s="4" t="s">
        <v>69</v>
      </c>
      <c r="E432" s="5" t="s">
        <v>73</v>
      </c>
      <c r="F432" s="5" t="s">
        <v>49</v>
      </c>
      <c r="G432" s="7" t="n">
        <v>45</v>
      </c>
      <c r="H432" s="7" t="n">
        <v>45</v>
      </c>
      <c r="I432" s="7" t="n">
        <v>45</v>
      </c>
      <c r="J432" s="7" t="n">
        <v>45</v>
      </c>
      <c r="K432" s="7" t="n">
        <v>45</v>
      </c>
      <c r="L432" s="0" t="str">
        <f aca="false">IF(H432&gt;I432,"ERRO","OK")</f>
        <v>OK</v>
      </c>
      <c r="M432" s="0" t="str">
        <f aca="false">IF(H432&gt;J432,"ERRO","OK")</f>
        <v>OK</v>
      </c>
      <c r="N432" s="0" t="str">
        <f aca="false">IF(I432&lt;J432,"ERRO","OK")</f>
        <v>OK</v>
      </c>
    </row>
    <row r="433" customFormat="false" ht="14.25" hidden="false" customHeight="false" outlineLevel="0" collapsed="false">
      <c r="A433" s="0" t="n">
        <v>47</v>
      </c>
      <c r="B433" s="0" t="n">
        <v>2024</v>
      </c>
      <c r="C433" s="3" t="n">
        <v>45385</v>
      </c>
      <c r="D433" s="8" t="s">
        <v>69</v>
      </c>
      <c r="E433" s="9" t="s">
        <v>74</v>
      </c>
      <c r="F433" s="9" t="s">
        <v>75</v>
      </c>
      <c r="G433" s="11" t="n">
        <v>85</v>
      </c>
      <c r="H433" s="11" t="n">
        <v>85</v>
      </c>
      <c r="I433" s="11" t="n">
        <v>85</v>
      </c>
      <c r="J433" s="11" t="n">
        <v>85</v>
      </c>
      <c r="K433" s="11" t="n">
        <v>85</v>
      </c>
      <c r="L433" s="0" t="str">
        <f aca="false">IF(H433&gt;I433,"ERRO","OK")</f>
        <v>OK</v>
      </c>
      <c r="M433" s="0" t="str">
        <f aca="false">IF(H433&gt;J433,"ERRO","OK")</f>
        <v>OK</v>
      </c>
      <c r="N433" s="0" t="str">
        <f aca="false">IF(I433&lt;J433,"ERRO","OK")</f>
        <v>OK</v>
      </c>
    </row>
    <row r="434" customFormat="false" ht="25" hidden="false" customHeight="false" outlineLevel="0" collapsed="false">
      <c r="A434" s="0" t="n">
        <v>48</v>
      </c>
      <c r="B434" s="0" t="n">
        <v>2024</v>
      </c>
      <c r="C434" s="3" t="n">
        <v>45392</v>
      </c>
      <c r="D434" s="4" t="s">
        <v>15</v>
      </c>
      <c r="E434" s="5" t="s">
        <v>16</v>
      </c>
      <c r="F434" s="5" t="s">
        <v>17</v>
      </c>
      <c r="G434" s="7" t="n">
        <v>60</v>
      </c>
      <c r="H434" s="7" t="n">
        <v>60</v>
      </c>
      <c r="I434" s="7" t="n">
        <v>78</v>
      </c>
      <c r="J434" s="7" t="n">
        <v>66</v>
      </c>
      <c r="K434" s="7" t="n">
        <v>60</v>
      </c>
      <c r="L434" s="0" t="str">
        <f aca="false">IF(H434&gt;I434,"ERRO","OK")</f>
        <v>OK</v>
      </c>
      <c r="M434" s="0" t="str">
        <f aca="false">IF(H434&gt;J434,"ERRO","OK")</f>
        <v>OK</v>
      </c>
      <c r="N434" s="0" t="str">
        <f aca="false">IF(I434&lt;J434,"ERRO","OK")</f>
        <v>OK</v>
      </c>
    </row>
    <row r="435" customFormat="false" ht="25" hidden="false" customHeight="false" outlineLevel="0" collapsed="false">
      <c r="A435" s="0" t="n">
        <v>48</v>
      </c>
      <c r="B435" s="0" t="n">
        <v>2024</v>
      </c>
      <c r="C435" s="3" t="n">
        <v>45392</v>
      </c>
      <c r="D435" s="8" t="s">
        <v>15</v>
      </c>
      <c r="E435" s="9" t="s">
        <v>18</v>
      </c>
      <c r="F435" s="9" t="s">
        <v>17</v>
      </c>
      <c r="G435" s="10"/>
      <c r="H435" s="11" t="n">
        <v>44</v>
      </c>
      <c r="I435" s="11" t="n">
        <v>78</v>
      </c>
      <c r="J435" s="11" t="s">
        <v>87</v>
      </c>
      <c r="K435" s="11" t="n">
        <v>72</v>
      </c>
      <c r="L435" s="0" t="str">
        <f aca="false">IF(H435&gt;I435,"ERRO","OK")</f>
        <v>OK</v>
      </c>
      <c r="M435" s="0" t="str">
        <f aca="false">IF(H435&gt;J435,"ERRO","OK")</f>
        <v>OK</v>
      </c>
      <c r="N435" s="0" t="str">
        <f aca="false">IF(I435&lt;J435,"ERRO","OK")</f>
        <v>ERRO</v>
      </c>
    </row>
    <row r="436" customFormat="false" ht="25" hidden="false" customHeight="false" outlineLevel="0" collapsed="false">
      <c r="A436" s="0" t="n">
        <v>48</v>
      </c>
      <c r="B436" s="0" t="n">
        <v>2024</v>
      </c>
      <c r="C436" s="3" t="n">
        <v>45392</v>
      </c>
      <c r="D436" s="4" t="s">
        <v>15</v>
      </c>
      <c r="E436" s="5" t="s">
        <v>19</v>
      </c>
      <c r="F436" s="5" t="s">
        <v>17</v>
      </c>
      <c r="G436" s="6"/>
      <c r="H436" s="7" t="n">
        <v>42</v>
      </c>
      <c r="I436" s="7" t="n">
        <v>60</v>
      </c>
      <c r="J436" s="7" t="n">
        <v>50</v>
      </c>
      <c r="K436" s="7" t="n">
        <v>48</v>
      </c>
      <c r="L436" s="0" t="str">
        <f aca="false">IF(H436&gt;I436,"ERRO","OK")</f>
        <v>OK</v>
      </c>
      <c r="M436" s="0" t="str">
        <f aca="false">IF(H436&gt;J436,"ERRO","OK")</f>
        <v>OK</v>
      </c>
      <c r="N436" s="0" t="str">
        <f aca="false">IF(I436&lt;J436,"ERRO","OK")</f>
        <v>OK</v>
      </c>
    </row>
    <row r="437" customFormat="false" ht="25" hidden="false" customHeight="false" outlineLevel="0" collapsed="false">
      <c r="A437" s="0" t="n">
        <v>48</v>
      </c>
      <c r="B437" s="0" t="n">
        <v>2024</v>
      </c>
      <c r="C437" s="3" t="n">
        <v>45392</v>
      </c>
      <c r="D437" s="8" t="s">
        <v>15</v>
      </c>
      <c r="E437" s="9" t="s">
        <v>20</v>
      </c>
      <c r="F437" s="9" t="s">
        <v>17</v>
      </c>
      <c r="G437" s="10"/>
      <c r="H437" s="11" t="n">
        <v>30</v>
      </c>
      <c r="I437" s="11" t="n">
        <v>42</v>
      </c>
      <c r="J437" s="11" t="s">
        <v>184</v>
      </c>
      <c r="K437" s="11" t="n">
        <v>35</v>
      </c>
      <c r="L437" s="0" t="str">
        <f aca="false">IF(H437&gt;I437,"ERRO","OK")</f>
        <v>OK</v>
      </c>
      <c r="M437" s="0" t="str">
        <f aca="false">IF(H437&gt;J437,"ERRO","OK")</f>
        <v>OK</v>
      </c>
      <c r="N437" s="0" t="str">
        <f aca="false">IF(I437&lt;J437,"ERRO","OK")</f>
        <v>ERRO</v>
      </c>
    </row>
    <row r="438" customFormat="false" ht="25" hidden="false" customHeight="false" outlineLevel="0" collapsed="false">
      <c r="A438" s="0" t="n">
        <v>48</v>
      </c>
      <c r="B438" s="0" t="n">
        <v>2024</v>
      </c>
      <c r="C438" s="3" t="n">
        <v>45392</v>
      </c>
      <c r="D438" s="4" t="s">
        <v>15</v>
      </c>
      <c r="E438" s="5" t="s">
        <v>21</v>
      </c>
      <c r="F438" s="5" t="s">
        <v>17</v>
      </c>
      <c r="G438" s="6"/>
      <c r="H438" s="7" t="n">
        <v>30</v>
      </c>
      <c r="I438" s="7" t="n">
        <v>42</v>
      </c>
      <c r="J438" s="7" t="s">
        <v>184</v>
      </c>
      <c r="K438" s="7" t="n">
        <v>35</v>
      </c>
      <c r="L438" s="0" t="str">
        <f aca="false">IF(H438&gt;I438,"ERRO","OK")</f>
        <v>OK</v>
      </c>
      <c r="M438" s="0" t="str">
        <f aca="false">IF(H438&gt;J438,"ERRO","OK")</f>
        <v>OK</v>
      </c>
      <c r="N438" s="0" t="str">
        <f aca="false">IF(I438&lt;J438,"ERRO","OK")</f>
        <v>ERRO</v>
      </c>
    </row>
    <row r="439" customFormat="false" ht="25" hidden="false" customHeight="false" outlineLevel="0" collapsed="false">
      <c r="A439" s="0" t="n">
        <v>48</v>
      </c>
      <c r="B439" s="0" t="n">
        <v>2024</v>
      </c>
      <c r="C439" s="3" t="n">
        <v>45392</v>
      </c>
      <c r="D439" s="8" t="s">
        <v>15</v>
      </c>
      <c r="E439" s="9" t="s">
        <v>22</v>
      </c>
      <c r="F439" s="9" t="s">
        <v>17</v>
      </c>
      <c r="G439" s="10"/>
      <c r="H439" s="11" t="n">
        <v>48</v>
      </c>
      <c r="I439" s="11" t="n">
        <v>96</v>
      </c>
      <c r="J439" s="11" t="n">
        <v>69</v>
      </c>
      <c r="K439" s="11" t="n">
        <v>66</v>
      </c>
      <c r="L439" s="0" t="str">
        <f aca="false">IF(H439&gt;I439,"ERRO","OK")</f>
        <v>OK</v>
      </c>
      <c r="M439" s="0" t="str">
        <f aca="false">IF(H439&gt;J439,"ERRO","OK")</f>
        <v>OK</v>
      </c>
      <c r="N439" s="0" t="str">
        <f aca="false">IF(I439&lt;J439,"ERRO","OK")</f>
        <v>OK</v>
      </c>
    </row>
    <row r="440" customFormat="false" ht="25" hidden="false" customHeight="false" outlineLevel="0" collapsed="false">
      <c r="A440" s="0" t="n">
        <v>48</v>
      </c>
      <c r="B440" s="0" t="n">
        <v>2024</v>
      </c>
      <c r="C440" s="3" t="n">
        <v>45392</v>
      </c>
      <c r="D440" s="4" t="s">
        <v>15</v>
      </c>
      <c r="E440" s="5" t="s">
        <v>23</v>
      </c>
      <c r="F440" s="5" t="s">
        <v>17</v>
      </c>
      <c r="G440" s="6"/>
      <c r="H440" s="7" t="n">
        <v>96</v>
      </c>
      <c r="I440" s="7" t="n">
        <v>108</v>
      </c>
      <c r="J440" s="7" t="s">
        <v>199</v>
      </c>
      <c r="K440" s="7" t="n">
        <v>100</v>
      </c>
      <c r="L440" s="0" t="str">
        <f aca="false">IF(H440&gt;I440,"ERRO","OK")</f>
        <v>OK</v>
      </c>
      <c r="M440" s="0" t="str">
        <f aca="false">IF(H440&gt;J440,"ERRO","OK")</f>
        <v>OK</v>
      </c>
      <c r="N440" s="0" t="str">
        <f aca="false">IF(I440&lt;J440,"ERRO","OK")</f>
        <v>ERRO</v>
      </c>
    </row>
    <row r="441" customFormat="false" ht="25" hidden="false" customHeight="false" outlineLevel="0" collapsed="false">
      <c r="A441" s="0" t="n">
        <v>48</v>
      </c>
      <c r="B441" s="0" t="n">
        <v>2024</v>
      </c>
      <c r="C441" s="3" t="n">
        <v>45392</v>
      </c>
      <c r="D441" s="8" t="s">
        <v>15</v>
      </c>
      <c r="E441" s="9" t="s">
        <v>24</v>
      </c>
      <c r="F441" s="9" t="s">
        <v>17</v>
      </c>
      <c r="G441" s="10"/>
      <c r="H441" s="11" t="n">
        <v>84</v>
      </c>
      <c r="I441" s="11" t="n">
        <v>100</v>
      </c>
      <c r="J441" s="11" t="s">
        <v>200</v>
      </c>
      <c r="K441" s="11" t="n">
        <v>96</v>
      </c>
      <c r="L441" s="0" t="str">
        <f aca="false">IF(H441&gt;I441,"ERRO","OK")</f>
        <v>OK</v>
      </c>
      <c r="M441" s="0" t="str">
        <f aca="false">IF(H441&gt;J441,"ERRO","OK")</f>
        <v>OK</v>
      </c>
      <c r="N441" s="0" t="str">
        <f aca="false">IF(I441&lt;J441,"ERRO","OK")</f>
        <v>ERRO</v>
      </c>
    </row>
    <row r="442" customFormat="false" ht="25" hidden="false" customHeight="false" outlineLevel="0" collapsed="false">
      <c r="A442" s="0" t="n">
        <v>48</v>
      </c>
      <c r="B442" s="0" t="n">
        <v>2024</v>
      </c>
      <c r="C442" s="3" t="n">
        <v>45392</v>
      </c>
      <c r="D442" s="4" t="s">
        <v>15</v>
      </c>
      <c r="E442" s="5" t="s">
        <v>25</v>
      </c>
      <c r="F442" s="5" t="s">
        <v>17</v>
      </c>
      <c r="G442" s="7" t="n">
        <v>30</v>
      </c>
      <c r="H442" s="7" t="n">
        <v>30</v>
      </c>
      <c r="I442" s="7" t="n">
        <v>96</v>
      </c>
      <c r="J442" s="7" t="n">
        <v>48</v>
      </c>
      <c r="K442" s="7" t="n">
        <v>33</v>
      </c>
      <c r="L442" s="0" t="str">
        <f aca="false">IF(H442&gt;I442,"ERRO","OK")</f>
        <v>OK</v>
      </c>
      <c r="M442" s="0" t="str">
        <f aca="false">IF(H442&gt;J442,"ERRO","OK")</f>
        <v>OK</v>
      </c>
      <c r="N442" s="0" t="str">
        <f aca="false">IF(I442&lt;J442,"ERRO","OK")</f>
        <v>OK</v>
      </c>
    </row>
    <row r="443" customFormat="false" ht="25" hidden="false" customHeight="false" outlineLevel="0" collapsed="false">
      <c r="A443" s="0" t="n">
        <v>48</v>
      </c>
      <c r="B443" s="0" t="n">
        <v>2024</v>
      </c>
      <c r="C443" s="3" t="n">
        <v>45392</v>
      </c>
      <c r="D443" s="8" t="s">
        <v>15</v>
      </c>
      <c r="E443" s="9" t="s">
        <v>77</v>
      </c>
      <c r="F443" s="9" t="s">
        <v>17</v>
      </c>
      <c r="G443" s="10"/>
      <c r="H443" s="11" t="n">
        <v>108</v>
      </c>
      <c r="I443" s="11" t="n">
        <v>120</v>
      </c>
      <c r="J443" s="11" t="n">
        <v>114</v>
      </c>
      <c r="K443" s="11" t="n">
        <v>114</v>
      </c>
      <c r="L443" s="0" t="str">
        <f aca="false">IF(H443&gt;I443,"ERRO","OK")</f>
        <v>OK</v>
      </c>
      <c r="M443" s="0" t="str">
        <f aca="false">IF(H443&gt;J443,"ERRO","OK")</f>
        <v>OK</v>
      </c>
      <c r="N443" s="0" t="str">
        <f aca="false">IF(I443&lt;J443,"ERRO","OK")</f>
        <v>OK</v>
      </c>
    </row>
    <row r="444" customFormat="false" ht="25" hidden="false" customHeight="false" outlineLevel="0" collapsed="false">
      <c r="A444" s="0" t="n">
        <v>48</v>
      </c>
      <c r="B444" s="0" t="n">
        <v>2024</v>
      </c>
      <c r="C444" s="3" t="n">
        <v>45392</v>
      </c>
      <c r="D444" s="4" t="s">
        <v>15</v>
      </c>
      <c r="E444" s="5" t="s">
        <v>27</v>
      </c>
      <c r="F444" s="5" t="s">
        <v>17</v>
      </c>
      <c r="G444" s="6"/>
      <c r="H444" s="7" t="n">
        <v>30</v>
      </c>
      <c r="I444" s="7" t="n">
        <v>42</v>
      </c>
      <c r="J444" s="7" t="n">
        <v>36</v>
      </c>
      <c r="K444" s="7" t="n">
        <v>36</v>
      </c>
      <c r="L444" s="0" t="str">
        <f aca="false">IF(H444&gt;I444,"ERRO","OK")</f>
        <v>OK</v>
      </c>
      <c r="M444" s="0" t="str">
        <f aca="false">IF(H444&gt;J444,"ERRO","OK")</f>
        <v>OK</v>
      </c>
      <c r="N444" s="0" t="str">
        <f aca="false">IF(I444&lt;J444,"ERRO","OK")</f>
        <v>OK</v>
      </c>
    </row>
    <row r="445" customFormat="false" ht="25" hidden="false" customHeight="false" outlineLevel="0" collapsed="false">
      <c r="A445" s="0" t="n">
        <v>48</v>
      </c>
      <c r="B445" s="0" t="n">
        <v>2024</v>
      </c>
      <c r="C445" s="3" t="n">
        <v>45392</v>
      </c>
      <c r="D445" s="8" t="s">
        <v>15</v>
      </c>
      <c r="E445" s="9" t="s">
        <v>28</v>
      </c>
      <c r="F445" s="9" t="s">
        <v>17</v>
      </c>
      <c r="G445" s="10"/>
      <c r="H445" s="11" t="n">
        <v>72</v>
      </c>
      <c r="I445" s="11" t="n">
        <v>84</v>
      </c>
      <c r="J445" s="11" t="n">
        <v>78</v>
      </c>
      <c r="K445" s="11" t="n">
        <v>78</v>
      </c>
      <c r="L445" s="0" t="str">
        <f aca="false">IF(H445&gt;I445,"ERRO","OK")</f>
        <v>OK</v>
      </c>
      <c r="M445" s="0" t="str">
        <f aca="false">IF(H445&gt;J445,"ERRO","OK")</f>
        <v>OK</v>
      </c>
      <c r="N445" s="0" t="str">
        <f aca="false">IF(I445&lt;J445,"ERRO","OK")</f>
        <v>OK</v>
      </c>
    </row>
    <row r="446" customFormat="false" ht="25" hidden="false" customHeight="false" outlineLevel="0" collapsed="false">
      <c r="A446" s="0" t="n">
        <v>48</v>
      </c>
      <c r="B446" s="0" t="n">
        <v>2024</v>
      </c>
      <c r="C446" s="3" t="n">
        <v>45392</v>
      </c>
      <c r="D446" s="4" t="s">
        <v>15</v>
      </c>
      <c r="E446" s="5" t="s">
        <v>29</v>
      </c>
      <c r="F446" s="5" t="s">
        <v>30</v>
      </c>
      <c r="G446" s="6"/>
      <c r="H446" s="7" t="n">
        <v>32</v>
      </c>
      <c r="I446" s="7" t="n">
        <v>84</v>
      </c>
      <c r="J446" s="7" t="s">
        <v>176</v>
      </c>
      <c r="K446" s="7" t="n">
        <v>72</v>
      </c>
      <c r="L446" s="0" t="str">
        <f aca="false">IF(H446&gt;I446,"ERRO","OK")</f>
        <v>OK</v>
      </c>
      <c r="M446" s="0" t="str">
        <f aca="false">IF(H446&gt;J446,"ERRO","OK")</f>
        <v>OK</v>
      </c>
      <c r="N446" s="0" t="str">
        <f aca="false">IF(I446&lt;J446,"ERRO","OK")</f>
        <v>ERRO</v>
      </c>
    </row>
    <row r="447" customFormat="false" ht="25" hidden="false" customHeight="false" outlineLevel="0" collapsed="false">
      <c r="A447" s="0" t="n">
        <v>48</v>
      </c>
      <c r="B447" s="0" t="n">
        <v>2024</v>
      </c>
      <c r="C447" s="3" t="n">
        <v>45392</v>
      </c>
      <c r="D447" s="8" t="s">
        <v>15</v>
      </c>
      <c r="E447" s="9" t="s">
        <v>31</v>
      </c>
      <c r="F447" s="9" t="s">
        <v>17</v>
      </c>
      <c r="G447" s="11" t="n">
        <v>60</v>
      </c>
      <c r="H447" s="11" t="n">
        <v>60</v>
      </c>
      <c r="I447" s="11" t="n">
        <v>80</v>
      </c>
      <c r="J447" s="11" t="s">
        <v>106</v>
      </c>
      <c r="K447" s="11" t="n">
        <v>60</v>
      </c>
      <c r="L447" s="0" t="str">
        <f aca="false">IF(H447&gt;I447,"ERRO","OK")</f>
        <v>OK</v>
      </c>
      <c r="M447" s="0" t="str">
        <f aca="false">IF(H447&gt;J447,"ERRO","OK")</f>
        <v>OK</v>
      </c>
      <c r="N447" s="0" t="str">
        <f aca="false">IF(I447&lt;J447,"ERRO","OK")</f>
        <v>ERRO</v>
      </c>
    </row>
    <row r="448" customFormat="false" ht="25" hidden="false" customHeight="false" outlineLevel="0" collapsed="false">
      <c r="A448" s="0" t="n">
        <v>48</v>
      </c>
      <c r="B448" s="0" t="n">
        <v>2024</v>
      </c>
      <c r="C448" s="3" t="n">
        <v>45392</v>
      </c>
      <c r="D448" s="4" t="s">
        <v>15</v>
      </c>
      <c r="E448" s="5" t="s">
        <v>32</v>
      </c>
      <c r="F448" s="5" t="s">
        <v>17</v>
      </c>
      <c r="G448" s="6"/>
      <c r="H448" s="7" t="n">
        <v>50</v>
      </c>
      <c r="I448" s="7" t="n">
        <v>75</v>
      </c>
      <c r="J448" s="7" t="s">
        <v>201</v>
      </c>
      <c r="K448" s="7" t="n">
        <v>54</v>
      </c>
      <c r="L448" s="0" t="str">
        <f aca="false">IF(H448&gt;I448,"ERRO","OK")</f>
        <v>OK</v>
      </c>
      <c r="M448" s="0" t="str">
        <f aca="false">IF(H448&gt;J448,"ERRO","OK")</f>
        <v>OK</v>
      </c>
      <c r="N448" s="0" t="str">
        <f aca="false">IF(I448&lt;J448,"ERRO","OK")</f>
        <v>ERRO</v>
      </c>
    </row>
    <row r="449" customFormat="false" ht="25" hidden="false" customHeight="false" outlineLevel="0" collapsed="false">
      <c r="A449" s="0" t="n">
        <v>48</v>
      </c>
      <c r="B449" s="0" t="n">
        <v>2024</v>
      </c>
      <c r="C449" s="3" t="n">
        <v>45392</v>
      </c>
      <c r="D449" s="8" t="s">
        <v>15</v>
      </c>
      <c r="E449" s="9" t="s">
        <v>33</v>
      </c>
      <c r="F449" s="9" t="s">
        <v>17</v>
      </c>
      <c r="G449" s="10"/>
      <c r="H449" s="11" t="n">
        <v>42</v>
      </c>
      <c r="I449" s="11" t="n">
        <v>54</v>
      </c>
      <c r="J449" s="11" t="n">
        <v>48</v>
      </c>
      <c r="K449" s="11" t="n">
        <v>48</v>
      </c>
      <c r="L449" s="0" t="str">
        <f aca="false">IF(H449&gt;I449,"ERRO","OK")</f>
        <v>OK</v>
      </c>
      <c r="M449" s="0" t="str">
        <f aca="false">IF(H449&gt;J449,"ERRO","OK")</f>
        <v>OK</v>
      </c>
      <c r="N449" s="0" t="str">
        <f aca="false">IF(I449&lt;J449,"ERRO","OK")</f>
        <v>OK</v>
      </c>
    </row>
    <row r="450" customFormat="false" ht="25" hidden="false" customHeight="false" outlineLevel="0" collapsed="false">
      <c r="A450" s="0" t="n">
        <v>48</v>
      </c>
      <c r="B450" s="0" t="n">
        <v>2024</v>
      </c>
      <c r="C450" s="3" t="n">
        <v>45392</v>
      </c>
      <c r="D450" s="4" t="s">
        <v>34</v>
      </c>
      <c r="E450" s="5" t="s">
        <v>35</v>
      </c>
      <c r="F450" s="5" t="s">
        <v>36</v>
      </c>
      <c r="G450" s="7" t="n">
        <v>5</v>
      </c>
      <c r="H450" s="7" t="s">
        <v>101</v>
      </c>
      <c r="I450" s="7" t="n">
        <v>5</v>
      </c>
      <c r="J450" s="7" t="s">
        <v>168</v>
      </c>
      <c r="K450" s="7" t="n">
        <v>5</v>
      </c>
      <c r="L450" s="0" t="str">
        <f aca="false">IF(H450&gt;I450,"ERRO","OK")</f>
        <v>ERRO</v>
      </c>
      <c r="M450" s="0" t="str">
        <f aca="false">IF(H450&gt;J450,"ERRO","OK")</f>
        <v>OK</v>
      </c>
      <c r="N450" s="0" t="str">
        <f aca="false">IF(I450&lt;J450,"ERRO","OK")</f>
        <v>ERRO</v>
      </c>
    </row>
    <row r="451" customFormat="false" ht="25" hidden="false" customHeight="false" outlineLevel="0" collapsed="false">
      <c r="A451" s="0" t="n">
        <v>48</v>
      </c>
      <c r="B451" s="0" t="n">
        <v>2024</v>
      </c>
      <c r="C451" s="3" t="n">
        <v>45392</v>
      </c>
      <c r="D451" s="8" t="s">
        <v>34</v>
      </c>
      <c r="E451" s="9" t="s">
        <v>38</v>
      </c>
      <c r="F451" s="9" t="s">
        <v>39</v>
      </c>
      <c r="G451" s="10"/>
      <c r="H451" s="11" t="n">
        <v>20</v>
      </c>
      <c r="I451" s="11" t="n">
        <v>30</v>
      </c>
      <c r="J451" s="11" t="n">
        <v>25</v>
      </c>
      <c r="K451" s="11" t="n">
        <v>25</v>
      </c>
      <c r="L451" s="0" t="str">
        <f aca="false">IF(H451&gt;I451,"ERRO","OK")</f>
        <v>OK</v>
      </c>
      <c r="M451" s="0" t="str">
        <f aca="false">IF(H451&gt;J451,"ERRO","OK")</f>
        <v>OK</v>
      </c>
      <c r="N451" s="0" t="str">
        <f aca="false">IF(I451&lt;J451,"ERRO","OK")</f>
        <v>OK</v>
      </c>
    </row>
    <row r="452" customFormat="false" ht="25" hidden="false" customHeight="false" outlineLevel="0" collapsed="false">
      <c r="A452" s="0" t="n">
        <v>48</v>
      </c>
      <c r="B452" s="0" t="n">
        <v>2024</v>
      </c>
      <c r="C452" s="3" t="n">
        <v>45392</v>
      </c>
      <c r="D452" s="4" t="s">
        <v>34</v>
      </c>
      <c r="E452" s="5" t="s">
        <v>40</v>
      </c>
      <c r="F452" s="5" t="s">
        <v>39</v>
      </c>
      <c r="G452" s="6"/>
      <c r="H452" s="7" t="n">
        <v>30</v>
      </c>
      <c r="I452" s="7" t="n">
        <v>40</v>
      </c>
      <c r="J452" s="7" t="n">
        <v>35</v>
      </c>
      <c r="K452" s="7" t="n">
        <v>35</v>
      </c>
      <c r="L452" s="0" t="str">
        <f aca="false">IF(H452&gt;I452,"ERRO","OK")</f>
        <v>OK</v>
      </c>
      <c r="M452" s="0" t="str">
        <f aca="false">IF(H452&gt;J452,"ERRO","OK")</f>
        <v>OK</v>
      </c>
      <c r="N452" s="0" t="str">
        <f aca="false">IF(I452&lt;J452,"ERRO","OK")</f>
        <v>OK</v>
      </c>
    </row>
    <row r="453" customFormat="false" ht="36.5" hidden="false" customHeight="false" outlineLevel="0" collapsed="false">
      <c r="A453" s="0" t="n">
        <v>48</v>
      </c>
      <c r="B453" s="0" t="n">
        <v>2024</v>
      </c>
      <c r="C453" s="3" t="n">
        <v>45392</v>
      </c>
      <c r="D453" s="8" t="s">
        <v>42</v>
      </c>
      <c r="E453" s="9" t="s">
        <v>157</v>
      </c>
      <c r="F453" s="9" t="s">
        <v>158</v>
      </c>
      <c r="G453" s="11" t="n">
        <v>120</v>
      </c>
      <c r="H453" s="11" t="n">
        <v>115</v>
      </c>
      <c r="I453" s="11" t="n">
        <v>120</v>
      </c>
      <c r="J453" s="11" t="s">
        <v>202</v>
      </c>
      <c r="K453" s="11" t="n">
        <v>120</v>
      </c>
      <c r="L453" s="0" t="str">
        <f aca="false">IF(H453&gt;I453,"ERRO","OK")</f>
        <v>OK</v>
      </c>
      <c r="M453" s="0" t="str">
        <f aca="false">IF(H453&gt;J453,"ERRO","OK")</f>
        <v>OK</v>
      </c>
      <c r="N453" s="0" t="str">
        <f aca="false">IF(I453&lt;J453,"ERRO","OK")</f>
        <v>ERRO</v>
      </c>
    </row>
    <row r="454" customFormat="false" ht="36.5" hidden="false" customHeight="false" outlineLevel="0" collapsed="false">
      <c r="A454" s="0" t="n">
        <v>48</v>
      </c>
      <c r="B454" s="0" t="n">
        <v>2024</v>
      </c>
      <c r="C454" s="3" t="n">
        <v>45392</v>
      </c>
      <c r="D454" s="4" t="s">
        <v>42</v>
      </c>
      <c r="E454" s="5" t="s">
        <v>43</v>
      </c>
      <c r="F454" s="5" t="s">
        <v>44</v>
      </c>
      <c r="G454" s="6"/>
      <c r="H454" s="7" t="n">
        <v>80</v>
      </c>
      <c r="I454" s="7" t="n">
        <v>100</v>
      </c>
      <c r="J454" s="7" t="n">
        <v>90</v>
      </c>
      <c r="K454" s="7" t="n">
        <v>90</v>
      </c>
      <c r="L454" s="0" t="str">
        <f aca="false">IF(H454&gt;I454,"ERRO","OK")</f>
        <v>OK</v>
      </c>
      <c r="M454" s="0" t="str">
        <f aca="false">IF(H454&gt;J454,"ERRO","OK")</f>
        <v>OK</v>
      </c>
      <c r="N454" s="0" t="str">
        <f aca="false">IF(I454&lt;J454,"ERRO","OK")</f>
        <v>OK</v>
      </c>
    </row>
    <row r="455" customFormat="false" ht="36.5" hidden="false" customHeight="false" outlineLevel="0" collapsed="false">
      <c r="A455" s="0" t="n">
        <v>48</v>
      </c>
      <c r="B455" s="0" t="n">
        <v>2024</v>
      </c>
      <c r="C455" s="3" t="n">
        <v>45392</v>
      </c>
      <c r="D455" s="8" t="s">
        <v>42</v>
      </c>
      <c r="E455" s="9" t="s">
        <v>46</v>
      </c>
      <c r="F455" s="9" t="s">
        <v>47</v>
      </c>
      <c r="G455" s="11" t="n">
        <v>75</v>
      </c>
      <c r="H455" s="11" t="n">
        <v>45</v>
      </c>
      <c r="I455" s="11" t="n">
        <v>80</v>
      </c>
      <c r="J455" s="11" t="s">
        <v>203</v>
      </c>
      <c r="K455" s="11" t="s">
        <v>204</v>
      </c>
      <c r="L455" s="0" t="str">
        <f aca="false">IF(H455&gt;I455,"ERRO","OK")</f>
        <v>OK</v>
      </c>
      <c r="M455" s="0" t="str">
        <f aca="false">IF(H455&gt;J455,"ERRO","OK")</f>
        <v>OK</v>
      </c>
      <c r="N455" s="0" t="str">
        <f aca="false">IF(I455&lt;J455,"ERRO","OK")</f>
        <v>ERRO</v>
      </c>
    </row>
    <row r="456" customFormat="false" ht="36.5" hidden="false" customHeight="false" outlineLevel="0" collapsed="false">
      <c r="A456" s="0" t="n">
        <v>48</v>
      </c>
      <c r="B456" s="0" t="n">
        <v>2024</v>
      </c>
      <c r="C456" s="3" t="n">
        <v>45392</v>
      </c>
      <c r="D456" s="4" t="s">
        <v>42</v>
      </c>
      <c r="E456" s="5" t="s">
        <v>48</v>
      </c>
      <c r="F456" s="5" t="s">
        <v>49</v>
      </c>
      <c r="G456" s="7" t="n">
        <v>50</v>
      </c>
      <c r="H456" s="7" t="n">
        <v>35</v>
      </c>
      <c r="I456" s="7" t="n">
        <v>50</v>
      </c>
      <c r="J456" s="7" t="s">
        <v>102</v>
      </c>
      <c r="K456" s="7" t="s">
        <v>51</v>
      </c>
      <c r="L456" s="0" t="str">
        <f aca="false">IF(H456&gt;I456,"ERRO","OK")</f>
        <v>OK</v>
      </c>
      <c r="M456" s="0" t="str">
        <f aca="false">IF(H456&gt;J456,"ERRO","OK")</f>
        <v>OK</v>
      </c>
      <c r="N456" s="0" t="str">
        <f aca="false">IF(I456&lt;J456,"ERRO","OK")</f>
        <v>ERRO</v>
      </c>
    </row>
    <row r="457" customFormat="false" ht="36.5" hidden="false" customHeight="false" outlineLevel="0" collapsed="false">
      <c r="A457" s="0" t="n">
        <v>48</v>
      </c>
      <c r="B457" s="0" t="n">
        <v>2024</v>
      </c>
      <c r="C457" s="3" t="n">
        <v>45392</v>
      </c>
      <c r="D457" s="8" t="s">
        <v>42</v>
      </c>
      <c r="E457" s="9" t="s">
        <v>52</v>
      </c>
      <c r="F457" s="9" t="s">
        <v>49</v>
      </c>
      <c r="G457" s="10"/>
      <c r="H457" s="11" t="n">
        <v>65</v>
      </c>
      <c r="I457" s="11" t="n">
        <v>65</v>
      </c>
      <c r="J457" s="11" t="n">
        <v>65</v>
      </c>
      <c r="K457" s="11" t="n">
        <v>65</v>
      </c>
      <c r="L457" s="0" t="str">
        <f aca="false">IF(H457&gt;I457,"ERRO","OK")</f>
        <v>OK</v>
      </c>
      <c r="M457" s="0" t="str">
        <f aca="false">IF(H457&gt;J457,"ERRO","OK")</f>
        <v>OK</v>
      </c>
      <c r="N457" s="0" t="str">
        <f aca="false">IF(I457&lt;J457,"ERRO","OK")</f>
        <v>OK</v>
      </c>
    </row>
    <row r="458" customFormat="false" ht="36.5" hidden="false" customHeight="false" outlineLevel="0" collapsed="false">
      <c r="A458" s="0" t="n">
        <v>48</v>
      </c>
      <c r="B458" s="0" t="n">
        <v>2024</v>
      </c>
      <c r="C458" s="3" t="n">
        <v>45392</v>
      </c>
      <c r="D458" s="4" t="s">
        <v>42</v>
      </c>
      <c r="E458" s="5" t="s">
        <v>53</v>
      </c>
      <c r="F458" s="5" t="s">
        <v>54</v>
      </c>
      <c r="G458" s="7" t="n">
        <v>130</v>
      </c>
      <c r="H458" s="7" t="n">
        <v>100</v>
      </c>
      <c r="I458" s="7" t="n">
        <v>130</v>
      </c>
      <c r="J458" s="7" t="s">
        <v>205</v>
      </c>
      <c r="K458" s="7" t="n">
        <v>115</v>
      </c>
      <c r="L458" s="0" t="str">
        <f aca="false">IF(H458&gt;I458,"ERRO","OK")</f>
        <v>OK</v>
      </c>
      <c r="M458" s="0" t="str">
        <f aca="false">IF(H458&gt;J458,"ERRO","OK")</f>
        <v>OK</v>
      </c>
      <c r="N458" s="0" t="str">
        <f aca="false">IF(I458&lt;J458,"ERRO","OK")</f>
        <v>ERRO</v>
      </c>
    </row>
    <row r="459" customFormat="false" ht="36.5" hidden="false" customHeight="false" outlineLevel="0" collapsed="false">
      <c r="A459" s="0" t="n">
        <v>48</v>
      </c>
      <c r="B459" s="0" t="n">
        <v>2024</v>
      </c>
      <c r="C459" s="3" t="n">
        <v>45392</v>
      </c>
      <c r="D459" s="8" t="s">
        <v>42</v>
      </c>
      <c r="E459" s="9" t="s">
        <v>56</v>
      </c>
      <c r="F459" s="9" t="s">
        <v>47</v>
      </c>
      <c r="G459" s="11" t="n">
        <v>90</v>
      </c>
      <c r="H459" s="11" t="n">
        <v>90</v>
      </c>
      <c r="I459" s="11" t="n">
        <v>150</v>
      </c>
      <c r="J459" s="11" t="n">
        <v>122</v>
      </c>
      <c r="K459" s="11" t="n">
        <v>140</v>
      </c>
      <c r="L459" s="0" t="str">
        <f aca="false">IF(H459&gt;I459,"ERRO","OK")</f>
        <v>OK</v>
      </c>
      <c r="M459" s="0" t="str">
        <f aca="false">IF(H459&gt;J459,"ERRO","OK")</f>
        <v>OK</v>
      </c>
      <c r="N459" s="0" t="str">
        <f aca="false">IF(I459&lt;J459,"ERRO","OK")</f>
        <v>OK</v>
      </c>
    </row>
    <row r="460" customFormat="false" ht="36.5" hidden="false" customHeight="false" outlineLevel="0" collapsed="false">
      <c r="A460" s="0" t="n">
        <v>48</v>
      </c>
      <c r="B460" s="0" t="n">
        <v>2024</v>
      </c>
      <c r="C460" s="3" t="n">
        <v>45392</v>
      </c>
      <c r="D460" s="4" t="s">
        <v>42</v>
      </c>
      <c r="E460" s="5" t="s">
        <v>57</v>
      </c>
      <c r="F460" s="5" t="s">
        <v>47</v>
      </c>
      <c r="G460" s="7" t="n">
        <v>60</v>
      </c>
      <c r="H460" s="7" t="n">
        <v>50</v>
      </c>
      <c r="I460" s="7" t="n">
        <v>60</v>
      </c>
      <c r="J460" s="7" t="s">
        <v>206</v>
      </c>
      <c r="K460" s="7" t="n">
        <v>59</v>
      </c>
      <c r="L460" s="0" t="str">
        <f aca="false">IF(H460&gt;I460,"ERRO","OK")</f>
        <v>OK</v>
      </c>
      <c r="M460" s="0" t="str">
        <f aca="false">IF(H460&gt;J460,"ERRO","OK")</f>
        <v>OK</v>
      </c>
      <c r="N460" s="0" t="str">
        <f aca="false">IF(I460&lt;J460,"ERRO","OK")</f>
        <v>ERRO</v>
      </c>
    </row>
    <row r="461" customFormat="false" ht="36.5" hidden="false" customHeight="false" outlineLevel="0" collapsed="false">
      <c r="A461" s="0" t="n">
        <v>48</v>
      </c>
      <c r="B461" s="0" t="n">
        <v>2024</v>
      </c>
      <c r="C461" s="3" t="n">
        <v>45392</v>
      </c>
      <c r="D461" s="8" t="s">
        <v>42</v>
      </c>
      <c r="E461" s="9" t="s">
        <v>58</v>
      </c>
      <c r="F461" s="9" t="s">
        <v>44</v>
      </c>
      <c r="G461" s="11" t="n">
        <v>100</v>
      </c>
      <c r="H461" s="11" t="n">
        <v>100</v>
      </c>
      <c r="I461" s="11" t="n">
        <v>110</v>
      </c>
      <c r="J461" s="11" t="s">
        <v>118</v>
      </c>
      <c r="K461" s="11" t="n">
        <v>100</v>
      </c>
      <c r="L461" s="0" t="str">
        <f aca="false">IF(H461&gt;I461,"ERRO","OK")</f>
        <v>OK</v>
      </c>
      <c r="M461" s="0" t="str">
        <f aca="false">IF(H461&gt;J461,"ERRO","OK")</f>
        <v>OK</v>
      </c>
      <c r="N461" s="0" t="str">
        <f aca="false">IF(I461&lt;J461,"ERRO","OK")</f>
        <v>ERRO</v>
      </c>
    </row>
    <row r="462" customFormat="false" ht="36.5" hidden="false" customHeight="false" outlineLevel="0" collapsed="false">
      <c r="A462" s="0" t="n">
        <v>48</v>
      </c>
      <c r="B462" s="0" t="n">
        <v>2024</v>
      </c>
      <c r="C462" s="3" t="n">
        <v>45392</v>
      </c>
      <c r="D462" s="4" t="s">
        <v>42</v>
      </c>
      <c r="E462" s="5" t="s">
        <v>60</v>
      </c>
      <c r="F462" s="5" t="s">
        <v>47</v>
      </c>
      <c r="G462" s="6"/>
      <c r="H462" s="7" t="n">
        <v>50</v>
      </c>
      <c r="I462" s="7" t="n">
        <v>78</v>
      </c>
      <c r="J462" s="7" t="n">
        <v>64</v>
      </c>
      <c r="K462" s="7" t="n">
        <v>64</v>
      </c>
      <c r="L462" s="0" t="str">
        <f aca="false">IF(H462&gt;I462,"ERRO","OK")</f>
        <v>OK</v>
      </c>
      <c r="M462" s="0" t="str">
        <f aca="false">IF(H462&gt;J462,"ERRO","OK")</f>
        <v>OK</v>
      </c>
      <c r="N462" s="0" t="str">
        <f aca="false">IF(I462&lt;J462,"ERRO","OK")</f>
        <v>OK</v>
      </c>
    </row>
    <row r="463" customFormat="false" ht="36.5" hidden="false" customHeight="false" outlineLevel="0" collapsed="false">
      <c r="A463" s="0" t="n">
        <v>48</v>
      </c>
      <c r="B463" s="0" t="n">
        <v>2024</v>
      </c>
      <c r="C463" s="3" t="n">
        <v>45392</v>
      </c>
      <c r="D463" s="8" t="s">
        <v>42</v>
      </c>
      <c r="E463" s="9" t="s">
        <v>61</v>
      </c>
      <c r="F463" s="9" t="s">
        <v>44</v>
      </c>
      <c r="G463" s="11" t="n">
        <v>70</v>
      </c>
      <c r="H463" s="11" t="n">
        <v>70</v>
      </c>
      <c r="I463" s="11" t="n">
        <v>85</v>
      </c>
      <c r="J463" s="11" t="n">
        <v>75</v>
      </c>
      <c r="K463" s="11" t="s">
        <v>204</v>
      </c>
      <c r="L463" s="0" t="str">
        <f aca="false">IF(H463&gt;I463,"ERRO","OK")</f>
        <v>OK</v>
      </c>
      <c r="M463" s="0" t="str">
        <f aca="false">IF(H463&gt;J463,"ERRO","OK")</f>
        <v>OK</v>
      </c>
      <c r="N463" s="0" t="str">
        <f aca="false">IF(I463&lt;J463,"ERRO","OK")</f>
        <v>OK</v>
      </c>
    </row>
    <row r="464" customFormat="false" ht="36.5" hidden="false" customHeight="false" outlineLevel="0" collapsed="false">
      <c r="A464" s="0" t="n">
        <v>48</v>
      </c>
      <c r="B464" s="0" t="n">
        <v>2024</v>
      </c>
      <c r="C464" s="3" t="n">
        <v>45392</v>
      </c>
      <c r="D464" s="4" t="s">
        <v>42</v>
      </c>
      <c r="E464" s="5" t="s">
        <v>62</v>
      </c>
      <c r="F464" s="5" t="s">
        <v>44</v>
      </c>
      <c r="G464" s="7" t="n">
        <v>100</v>
      </c>
      <c r="H464" s="7" t="n">
        <v>90</v>
      </c>
      <c r="I464" s="7" t="n">
        <v>110</v>
      </c>
      <c r="J464" s="7" t="s">
        <v>207</v>
      </c>
      <c r="K464" s="7" t="n">
        <v>100</v>
      </c>
      <c r="L464" s="0" t="str">
        <f aca="false">IF(H464&gt;I464,"ERRO","OK")</f>
        <v>OK</v>
      </c>
      <c r="M464" s="0" t="str">
        <f aca="false">IF(H464&gt;J464,"ERRO","OK")</f>
        <v>OK</v>
      </c>
      <c r="N464" s="0" t="str">
        <f aca="false">IF(I464&lt;J464,"ERRO","OK")</f>
        <v>ERRO</v>
      </c>
    </row>
    <row r="465" customFormat="false" ht="36.5" hidden="false" customHeight="false" outlineLevel="0" collapsed="false">
      <c r="A465" s="0" t="n">
        <v>48</v>
      </c>
      <c r="B465" s="0" t="n">
        <v>2024</v>
      </c>
      <c r="C465" s="3" t="n">
        <v>45392</v>
      </c>
      <c r="D465" s="8" t="s">
        <v>42</v>
      </c>
      <c r="E465" s="9" t="s">
        <v>63</v>
      </c>
      <c r="F465" s="9" t="s">
        <v>49</v>
      </c>
      <c r="G465" s="11" t="n">
        <v>70</v>
      </c>
      <c r="H465" s="11" t="n">
        <v>60</v>
      </c>
      <c r="I465" s="11" t="n">
        <v>90</v>
      </c>
      <c r="J465" s="11" t="n">
        <v>74</v>
      </c>
      <c r="K465" s="11" t="n">
        <v>70</v>
      </c>
      <c r="L465" s="0" t="str">
        <f aca="false">IF(H465&gt;I465,"ERRO","OK")</f>
        <v>OK</v>
      </c>
      <c r="M465" s="0" t="str">
        <f aca="false">IF(H465&gt;J465,"ERRO","OK")</f>
        <v>OK</v>
      </c>
      <c r="N465" s="0" t="str">
        <f aca="false">IF(I465&lt;J465,"ERRO","OK")</f>
        <v>OK</v>
      </c>
    </row>
    <row r="466" customFormat="false" ht="36.5" hidden="false" customHeight="false" outlineLevel="0" collapsed="false">
      <c r="A466" s="0" t="n">
        <v>48</v>
      </c>
      <c r="B466" s="0" t="n">
        <v>2024</v>
      </c>
      <c r="C466" s="3" t="n">
        <v>45392</v>
      </c>
      <c r="D466" s="4" t="s">
        <v>42</v>
      </c>
      <c r="E466" s="5" t="s">
        <v>64</v>
      </c>
      <c r="F466" s="5" t="s">
        <v>65</v>
      </c>
      <c r="G466" s="7" t="n">
        <v>120</v>
      </c>
      <c r="H466" s="7" t="n">
        <v>100</v>
      </c>
      <c r="I466" s="7" t="n">
        <v>130</v>
      </c>
      <c r="J466" s="7" t="s">
        <v>144</v>
      </c>
      <c r="K466" s="7" t="n">
        <v>120</v>
      </c>
      <c r="L466" s="0" t="str">
        <f aca="false">IF(H466&gt;I466,"ERRO","OK")</f>
        <v>OK</v>
      </c>
      <c r="M466" s="0" t="str">
        <f aca="false">IF(H466&gt;J466,"ERRO","OK")</f>
        <v>OK</v>
      </c>
      <c r="N466" s="0" t="str">
        <f aca="false">IF(I466&lt;J466,"ERRO","OK")</f>
        <v>ERRO</v>
      </c>
    </row>
    <row r="467" customFormat="false" ht="36.5" hidden="false" customHeight="false" outlineLevel="0" collapsed="false">
      <c r="A467" s="0" t="n">
        <v>48</v>
      </c>
      <c r="B467" s="0" t="n">
        <v>2024</v>
      </c>
      <c r="C467" s="3" t="n">
        <v>45392</v>
      </c>
      <c r="D467" s="8" t="s">
        <v>42</v>
      </c>
      <c r="E467" s="9" t="s">
        <v>67</v>
      </c>
      <c r="F467" s="9" t="s">
        <v>44</v>
      </c>
      <c r="G467" s="11" t="n">
        <v>150</v>
      </c>
      <c r="H467" s="11" t="n">
        <v>100</v>
      </c>
      <c r="I467" s="11" t="n">
        <v>190</v>
      </c>
      <c r="J467" s="11" t="n">
        <v>150</v>
      </c>
      <c r="K467" s="11" t="n">
        <v>150</v>
      </c>
      <c r="L467" s="0" t="str">
        <f aca="false">IF(H467&gt;I467,"ERRO","OK")</f>
        <v>OK</v>
      </c>
      <c r="M467" s="0" t="str">
        <f aca="false">IF(H467&gt;J467,"ERRO","OK")</f>
        <v>OK</v>
      </c>
      <c r="N467" s="0" t="str">
        <f aca="false">IF(I467&lt;J467,"ERRO","OK")</f>
        <v>OK</v>
      </c>
    </row>
    <row r="468" customFormat="false" ht="36.5" hidden="false" customHeight="false" outlineLevel="0" collapsed="false">
      <c r="A468" s="0" t="n">
        <v>48</v>
      </c>
      <c r="B468" s="0" t="n">
        <v>2024</v>
      </c>
      <c r="C468" s="3" t="n">
        <v>45392</v>
      </c>
      <c r="D468" s="4" t="s">
        <v>42</v>
      </c>
      <c r="E468" s="5" t="s">
        <v>68</v>
      </c>
      <c r="F468" s="5" t="s">
        <v>44</v>
      </c>
      <c r="G468" s="7" t="n">
        <v>180</v>
      </c>
      <c r="H468" s="7" t="n">
        <v>160</v>
      </c>
      <c r="I468" s="7" t="n">
        <v>180</v>
      </c>
      <c r="J468" s="7" t="s">
        <v>208</v>
      </c>
      <c r="K468" s="7" t="n">
        <v>175</v>
      </c>
      <c r="L468" s="0" t="str">
        <f aca="false">IF(H468&gt;I468,"ERRO","OK")</f>
        <v>OK</v>
      </c>
      <c r="M468" s="0" t="str">
        <f aca="false">IF(H468&gt;J468,"ERRO","OK")</f>
        <v>OK</v>
      </c>
      <c r="N468" s="0" t="str">
        <f aca="false">IF(I468&lt;J468,"ERRO","OK")</f>
        <v>ERRO</v>
      </c>
    </row>
    <row r="469" customFormat="false" ht="14.25" hidden="false" customHeight="false" outlineLevel="0" collapsed="false">
      <c r="A469" s="0" t="n">
        <v>48</v>
      </c>
      <c r="B469" s="0" t="n">
        <v>2024</v>
      </c>
      <c r="C469" s="3" t="n">
        <v>45392</v>
      </c>
      <c r="D469" s="8" t="s">
        <v>69</v>
      </c>
      <c r="E469" s="9" t="s">
        <v>70</v>
      </c>
      <c r="F469" s="9" t="s">
        <v>49</v>
      </c>
      <c r="G469" s="10"/>
      <c r="H469" s="11" t="n">
        <v>130</v>
      </c>
      <c r="I469" s="11" t="n">
        <v>130</v>
      </c>
      <c r="J469" s="11" t="n">
        <v>130</v>
      </c>
      <c r="K469" s="11" t="n">
        <v>130</v>
      </c>
      <c r="L469" s="0" t="str">
        <f aca="false">IF(H469&gt;I469,"ERRO","OK")</f>
        <v>OK</v>
      </c>
      <c r="M469" s="0" t="str">
        <f aca="false">IF(H469&gt;J469,"ERRO","OK")</f>
        <v>OK</v>
      </c>
      <c r="N469" s="0" t="str">
        <f aca="false">IF(I469&lt;J469,"ERRO","OK")</f>
        <v>OK</v>
      </c>
    </row>
    <row r="470" customFormat="false" ht="14.25" hidden="false" customHeight="false" outlineLevel="0" collapsed="false">
      <c r="A470" s="0" t="n">
        <v>48</v>
      </c>
      <c r="B470" s="0" t="n">
        <v>2024</v>
      </c>
      <c r="C470" s="3" t="n">
        <v>45392</v>
      </c>
      <c r="D470" s="4" t="s">
        <v>69</v>
      </c>
      <c r="E470" s="5" t="s">
        <v>71</v>
      </c>
      <c r="F470" s="5" t="s">
        <v>49</v>
      </c>
      <c r="G470" s="6"/>
      <c r="H470" s="7" t="n">
        <v>60</v>
      </c>
      <c r="I470" s="7" t="n">
        <v>75</v>
      </c>
      <c r="J470" s="7" t="s">
        <v>88</v>
      </c>
      <c r="K470" s="7" t="s">
        <v>88</v>
      </c>
      <c r="L470" s="0" t="str">
        <f aca="false">IF(H470&gt;I470,"ERRO","OK")</f>
        <v>OK</v>
      </c>
      <c r="M470" s="0" t="str">
        <f aca="false">IF(H470&gt;J470,"ERRO","OK")</f>
        <v>OK</v>
      </c>
      <c r="N470" s="0" t="str">
        <f aca="false">IF(I470&lt;J470,"ERRO","OK")</f>
        <v>ERRO</v>
      </c>
    </row>
    <row r="471" customFormat="false" ht="14.25" hidden="false" customHeight="false" outlineLevel="0" collapsed="false">
      <c r="A471" s="0" t="n">
        <v>48</v>
      </c>
      <c r="B471" s="0" t="n">
        <v>2024</v>
      </c>
      <c r="C471" s="3" t="n">
        <v>45392</v>
      </c>
      <c r="D471" s="8" t="s">
        <v>69</v>
      </c>
      <c r="E471" s="9" t="s">
        <v>72</v>
      </c>
      <c r="F471" s="9" t="s">
        <v>49</v>
      </c>
      <c r="G471" s="10"/>
      <c r="H471" s="11" t="n">
        <v>40</v>
      </c>
      <c r="I471" s="11" t="n">
        <v>45</v>
      </c>
      <c r="J471" s="11" t="s">
        <v>51</v>
      </c>
      <c r="K471" s="11" t="s">
        <v>51</v>
      </c>
      <c r="L471" s="0" t="str">
        <f aca="false">IF(H471&gt;I471,"ERRO","OK")</f>
        <v>OK</v>
      </c>
      <c r="M471" s="0" t="str">
        <f aca="false">IF(H471&gt;J471,"ERRO","OK")</f>
        <v>OK</v>
      </c>
      <c r="N471" s="0" t="str">
        <f aca="false">IF(I471&lt;J471,"ERRO","OK")</f>
        <v>ERRO</v>
      </c>
    </row>
    <row r="472" customFormat="false" ht="14.25" hidden="false" customHeight="false" outlineLevel="0" collapsed="false">
      <c r="A472" s="0" t="n">
        <v>48</v>
      </c>
      <c r="B472" s="0" t="n">
        <v>2024</v>
      </c>
      <c r="C472" s="3" t="n">
        <v>45392</v>
      </c>
      <c r="D472" s="4" t="s">
        <v>69</v>
      </c>
      <c r="E472" s="5" t="s">
        <v>73</v>
      </c>
      <c r="F472" s="5" t="s">
        <v>49</v>
      </c>
      <c r="G472" s="6"/>
      <c r="H472" s="7" t="n">
        <v>48</v>
      </c>
      <c r="I472" s="7" t="n">
        <v>48</v>
      </c>
      <c r="J472" s="7" t="n">
        <v>48</v>
      </c>
      <c r="K472" s="7" t="n">
        <v>48</v>
      </c>
      <c r="L472" s="0" t="str">
        <f aca="false">IF(H472&gt;I472,"ERRO","OK")</f>
        <v>OK</v>
      </c>
      <c r="M472" s="0" t="str">
        <f aca="false">IF(H472&gt;J472,"ERRO","OK")</f>
        <v>OK</v>
      </c>
      <c r="N472" s="0" t="str">
        <f aca="false">IF(I472&lt;J472,"ERRO","OK")</f>
        <v>OK</v>
      </c>
    </row>
    <row r="473" customFormat="false" ht="14.25" hidden="false" customHeight="false" outlineLevel="0" collapsed="false">
      <c r="A473" s="0" t="n">
        <v>48</v>
      </c>
      <c r="B473" s="0" t="n">
        <v>2024</v>
      </c>
      <c r="C473" s="3" t="n">
        <v>45392</v>
      </c>
      <c r="D473" s="8" t="s">
        <v>69</v>
      </c>
      <c r="E473" s="9" t="s">
        <v>74</v>
      </c>
      <c r="F473" s="9" t="s">
        <v>75</v>
      </c>
      <c r="G473" s="10"/>
      <c r="H473" s="11" t="n">
        <v>75</v>
      </c>
      <c r="I473" s="11" t="n">
        <v>75</v>
      </c>
      <c r="J473" s="11" t="n">
        <v>75</v>
      </c>
      <c r="K473" s="11" t="n">
        <v>75</v>
      </c>
      <c r="L473" s="0" t="str">
        <f aca="false">IF(H473&gt;I473,"ERRO","OK")</f>
        <v>OK</v>
      </c>
      <c r="M473" s="0" t="str">
        <f aca="false">IF(H473&gt;J473,"ERRO","OK")</f>
        <v>OK</v>
      </c>
      <c r="N473" s="0" t="str">
        <f aca="false">IF(I473&lt;J473,"ERRO","OK")</f>
        <v>OK</v>
      </c>
    </row>
    <row r="474" customFormat="false" ht="25" hidden="false" customHeight="false" outlineLevel="0" collapsed="false">
      <c r="A474" s="0" t="n">
        <v>49</v>
      </c>
      <c r="B474" s="0" t="n">
        <v>2024</v>
      </c>
      <c r="C474" s="3" t="n">
        <v>45399</v>
      </c>
      <c r="D474" s="4" t="s">
        <v>15</v>
      </c>
      <c r="E474" s="5" t="s">
        <v>16</v>
      </c>
      <c r="F474" s="5" t="s">
        <v>17</v>
      </c>
      <c r="G474" s="7" t="n">
        <v>60</v>
      </c>
      <c r="H474" s="7" t="n">
        <v>28</v>
      </c>
      <c r="I474" s="7" t="n">
        <v>60</v>
      </c>
      <c r="J474" s="7" t="s">
        <v>209</v>
      </c>
      <c r="K474" s="7" t="n">
        <v>60</v>
      </c>
      <c r="L474" s="0" t="str">
        <f aca="false">IF(H474&gt;I474,"ERRO","OK")</f>
        <v>OK</v>
      </c>
      <c r="M474" s="0" t="str">
        <f aca="false">IF(H474&gt;J474,"ERRO","OK")</f>
        <v>OK</v>
      </c>
      <c r="N474" s="0" t="str">
        <f aca="false">IF(I474&lt;J474,"ERRO","OK")</f>
        <v>ERRO</v>
      </c>
    </row>
    <row r="475" customFormat="false" ht="25" hidden="false" customHeight="false" outlineLevel="0" collapsed="false">
      <c r="A475" s="0" t="n">
        <v>49</v>
      </c>
      <c r="B475" s="0" t="n">
        <v>2024</v>
      </c>
      <c r="C475" s="3" t="n">
        <v>45399</v>
      </c>
      <c r="D475" s="8" t="s">
        <v>15</v>
      </c>
      <c r="E475" s="9" t="s">
        <v>18</v>
      </c>
      <c r="F475" s="9" t="s">
        <v>17</v>
      </c>
      <c r="G475" s="10"/>
      <c r="H475" s="11" t="n">
        <v>72</v>
      </c>
      <c r="I475" s="11" t="n">
        <v>84</v>
      </c>
      <c r="J475" s="11" t="s">
        <v>210</v>
      </c>
      <c r="K475" s="11" t="n">
        <v>80</v>
      </c>
      <c r="L475" s="0" t="str">
        <f aca="false">IF(H475&gt;I475,"ERRO","OK")</f>
        <v>OK</v>
      </c>
      <c r="M475" s="0" t="str">
        <f aca="false">IF(H475&gt;J475,"ERRO","OK")</f>
        <v>OK</v>
      </c>
      <c r="N475" s="0" t="str">
        <f aca="false">IF(I475&lt;J475,"ERRO","OK")</f>
        <v>ERRO</v>
      </c>
    </row>
    <row r="476" customFormat="false" ht="25" hidden="false" customHeight="false" outlineLevel="0" collapsed="false">
      <c r="A476" s="0" t="n">
        <v>49</v>
      </c>
      <c r="B476" s="0" t="n">
        <v>2024</v>
      </c>
      <c r="C476" s="3" t="n">
        <v>45399</v>
      </c>
      <c r="D476" s="4" t="s">
        <v>15</v>
      </c>
      <c r="E476" s="5" t="s">
        <v>19</v>
      </c>
      <c r="F476" s="5" t="s">
        <v>17</v>
      </c>
      <c r="G476" s="6"/>
      <c r="H476" s="7" t="n">
        <v>42</v>
      </c>
      <c r="I476" s="7" t="n">
        <v>60</v>
      </c>
      <c r="J476" s="7" t="n">
        <v>50</v>
      </c>
      <c r="K476" s="7" t="n">
        <v>48</v>
      </c>
      <c r="L476" s="0" t="str">
        <f aca="false">IF(H476&gt;I476,"ERRO","OK")</f>
        <v>OK</v>
      </c>
      <c r="M476" s="0" t="str">
        <f aca="false">IF(H476&gt;J476,"ERRO","OK")</f>
        <v>OK</v>
      </c>
      <c r="N476" s="0" t="str">
        <f aca="false">IF(I476&lt;J476,"ERRO","OK")</f>
        <v>OK</v>
      </c>
    </row>
    <row r="477" customFormat="false" ht="25" hidden="false" customHeight="false" outlineLevel="0" collapsed="false">
      <c r="A477" s="0" t="n">
        <v>49</v>
      </c>
      <c r="B477" s="0" t="n">
        <v>2024</v>
      </c>
      <c r="C477" s="3" t="n">
        <v>45399</v>
      </c>
      <c r="D477" s="8" t="s">
        <v>15</v>
      </c>
      <c r="E477" s="9" t="s">
        <v>20</v>
      </c>
      <c r="F477" s="9" t="s">
        <v>17</v>
      </c>
      <c r="G477" s="11" t="n">
        <v>30</v>
      </c>
      <c r="H477" s="11" t="n">
        <v>30</v>
      </c>
      <c r="I477" s="11" t="n">
        <v>36</v>
      </c>
      <c r="J477" s="11" t="s">
        <v>211</v>
      </c>
      <c r="K477" s="11" t="s">
        <v>111</v>
      </c>
      <c r="L477" s="0" t="str">
        <f aca="false">IF(H477&gt;I477,"ERRO","OK")</f>
        <v>OK</v>
      </c>
      <c r="M477" s="0" t="str">
        <f aca="false">IF(H477&gt;J477,"ERRO","OK")</f>
        <v>OK</v>
      </c>
      <c r="N477" s="0" t="str">
        <f aca="false">IF(I477&lt;J477,"ERRO","OK")</f>
        <v>ERRO</v>
      </c>
    </row>
    <row r="478" customFormat="false" ht="25" hidden="false" customHeight="false" outlineLevel="0" collapsed="false">
      <c r="A478" s="0" t="n">
        <v>49</v>
      </c>
      <c r="B478" s="0" t="n">
        <v>2024</v>
      </c>
      <c r="C478" s="3" t="n">
        <v>45399</v>
      </c>
      <c r="D478" s="4" t="s">
        <v>15</v>
      </c>
      <c r="E478" s="5" t="s">
        <v>21</v>
      </c>
      <c r="F478" s="5" t="s">
        <v>17</v>
      </c>
      <c r="G478" s="6"/>
      <c r="H478" s="7" t="n">
        <v>30</v>
      </c>
      <c r="I478" s="7" t="n">
        <v>36</v>
      </c>
      <c r="J478" s="7" t="s">
        <v>212</v>
      </c>
      <c r="K478" s="7" t="n">
        <v>35</v>
      </c>
      <c r="L478" s="0" t="str">
        <f aca="false">IF(H478&gt;I478,"ERRO","OK")</f>
        <v>OK</v>
      </c>
      <c r="M478" s="0" t="str">
        <f aca="false">IF(H478&gt;J478,"ERRO","OK")</f>
        <v>OK</v>
      </c>
      <c r="N478" s="0" t="str">
        <f aca="false">IF(I478&lt;J478,"ERRO","OK")</f>
        <v>ERRO</v>
      </c>
    </row>
    <row r="479" customFormat="false" ht="25" hidden="false" customHeight="false" outlineLevel="0" collapsed="false">
      <c r="A479" s="0" t="n">
        <v>49</v>
      </c>
      <c r="B479" s="0" t="n">
        <v>2024</v>
      </c>
      <c r="C479" s="3" t="n">
        <v>45399</v>
      </c>
      <c r="D479" s="8" t="s">
        <v>15</v>
      </c>
      <c r="E479" s="9" t="s">
        <v>22</v>
      </c>
      <c r="F479" s="9" t="s">
        <v>17</v>
      </c>
      <c r="G479" s="11" t="n">
        <v>60</v>
      </c>
      <c r="H479" s="11" t="n">
        <v>60</v>
      </c>
      <c r="I479" s="11" t="n">
        <v>60</v>
      </c>
      <c r="J479" s="11" t="n">
        <v>60</v>
      </c>
      <c r="K479" s="11" t="n">
        <v>60</v>
      </c>
      <c r="L479" s="0" t="str">
        <f aca="false">IF(H479&gt;I479,"ERRO","OK")</f>
        <v>OK</v>
      </c>
      <c r="M479" s="0" t="str">
        <f aca="false">IF(H479&gt;J479,"ERRO","OK")</f>
        <v>OK</v>
      </c>
      <c r="N479" s="0" t="str">
        <f aca="false">IF(I479&lt;J479,"ERRO","OK")</f>
        <v>OK</v>
      </c>
    </row>
    <row r="480" customFormat="false" ht="25" hidden="false" customHeight="false" outlineLevel="0" collapsed="false">
      <c r="A480" s="0" t="n">
        <v>49</v>
      </c>
      <c r="B480" s="0" t="n">
        <v>2024</v>
      </c>
      <c r="C480" s="3" t="n">
        <v>45399</v>
      </c>
      <c r="D480" s="4" t="s">
        <v>15</v>
      </c>
      <c r="E480" s="5" t="s">
        <v>23</v>
      </c>
      <c r="F480" s="5" t="s">
        <v>17</v>
      </c>
      <c r="G480" s="7" t="n">
        <v>84</v>
      </c>
      <c r="H480" s="7" t="n">
        <v>84</v>
      </c>
      <c r="I480" s="7" t="n">
        <v>96</v>
      </c>
      <c r="J480" s="7" t="n">
        <v>88</v>
      </c>
      <c r="K480" s="7" t="n">
        <v>84</v>
      </c>
      <c r="L480" s="0" t="str">
        <f aca="false">IF(H480&gt;I480,"ERRO","OK")</f>
        <v>OK</v>
      </c>
      <c r="M480" s="0" t="str">
        <f aca="false">IF(H480&gt;J480,"ERRO","OK")</f>
        <v>OK</v>
      </c>
      <c r="N480" s="0" t="str">
        <f aca="false">IF(I480&lt;J480,"ERRO","OK")</f>
        <v>OK</v>
      </c>
    </row>
    <row r="481" customFormat="false" ht="25" hidden="false" customHeight="false" outlineLevel="0" collapsed="false">
      <c r="A481" s="0" t="n">
        <v>49</v>
      </c>
      <c r="B481" s="0" t="n">
        <v>2024</v>
      </c>
      <c r="C481" s="3" t="n">
        <v>45399</v>
      </c>
      <c r="D481" s="8" t="s">
        <v>15</v>
      </c>
      <c r="E481" s="9" t="s">
        <v>24</v>
      </c>
      <c r="F481" s="9" t="s">
        <v>17</v>
      </c>
      <c r="G481" s="11" t="n">
        <v>96</v>
      </c>
      <c r="H481" s="11" t="n">
        <v>96</v>
      </c>
      <c r="I481" s="11" t="n">
        <v>96</v>
      </c>
      <c r="J481" s="11" t="n">
        <v>96</v>
      </c>
      <c r="K481" s="11" t="n">
        <v>96</v>
      </c>
      <c r="L481" s="0" t="str">
        <f aca="false">IF(H481&gt;I481,"ERRO","OK")</f>
        <v>OK</v>
      </c>
      <c r="M481" s="0" t="str">
        <f aca="false">IF(H481&gt;J481,"ERRO","OK")</f>
        <v>OK</v>
      </c>
      <c r="N481" s="0" t="str">
        <f aca="false">IF(I481&lt;J481,"ERRO","OK")</f>
        <v>OK</v>
      </c>
    </row>
    <row r="482" customFormat="false" ht="25" hidden="false" customHeight="false" outlineLevel="0" collapsed="false">
      <c r="A482" s="0" t="n">
        <v>49</v>
      </c>
      <c r="B482" s="0" t="n">
        <v>2024</v>
      </c>
      <c r="C482" s="3" t="n">
        <v>45399</v>
      </c>
      <c r="D482" s="4" t="s">
        <v>15</v>
      </c>
      <c r="E482" s="5" t="s">
        <v>25</v>
      </c>
      <c r="F482" s="5" t="s">
        <v>17</v>
      </c>
      <c r="G482" s="7" t="n">
        <v>30</v>
      </c>
      <c r="H482" s="7" t="n">
        <v>30</v>
      </c>
      <c r="I482" s="7" t="n">
        <v>36</v>
      </c>
      <c r="J482" s="7" t="s">
        <v>213</v>
      </c>
      <c r="K482" s="7" t="n">
        <v>30</v>
      </c>
      <c r="L482" s="0" t="str">
        <f aca="false">IF(H482&gt;I482,"ERRO","OK")</f>
        <v>OK</v>
      </c>
      <c r="M482" s="0" t="str">
        <f aca="false">IF(H482&gt;J482,"ERRO","OK")</f>
        <v>OK</v>
      </c>
      <c r="N482" s="0" t="str">
        <f aca="false">IF(I482&lt;J482,"ERRO","OK")</f>
        <v>ERRO</v>
      </c>
    </row>
    <row r="483" customFormat="false" ht="25" hidden="false" customHeight="false" outlineLevel="0" collapsed="false">
      <c r="A483" s="0" t="n">
        <v>49</v>
      </c>
      <c r="B483" s="0" t="n">
        <v>2024</v>
      </c>
      <c r="C483" s="3" t="n">
        <v>45399</v>
      </c>
      <c r="D483" s="8" t="s">
        <v>15</v>
      </c>
      <c r="E483" s="9" t="s">
        <v>77</v>
      </c>
      <c r="F483" s="9" t="s">
        <v>17</v>
      </c>
      <c r="G483" s="10"/>
      <c r="H483" s="11" t="n">
        <v>90</v>
      </c>
      <c r="I483" s="11" t="n">
        <v>108</v>
      </c>
      <c r="J483" s="11" t="n">
        <v>98</v>
      </c>
      <c r="K483" s="11" t="n">
        <v>96</v>
      </c>
      <c r="L483" s="0" t="str">
        <f aca="false">IF(H483&gt;I483,"ERRO","OK")</f>
        <v>OK</v>
      </c>
      <c r="M483" s="0" t="str">
        <f aca="false">IF(H483&gt;J483,"ERRO","OK")</f>
        <v>OK</v>
      </c>
      <c r="N483" s="0" t="str">
        <f aca="false">IF(I483&lt;J483,"ERRO","OK")</f>
        <v>OK</v>
      </c>
    </row>
    <row r="484" customFormat="false" ht="25" hidden="false" customHeight="false" outlineLevel="0" collapsed="false">
      <c r="A484" s="0" t="n">
        <v>49</v>
      </c>
      <c r="B484" s="0" t="n">
        <v>2024</v>
      </c>
      <c r="C484" s="3" t="n">
        <v>45399</v>
      </c>
      <c r="D484" s="4" t="s">
        <v>15</v>
      </c>
      <c r="E484" s="5" t="s">
        <v>27</v>
      </c>
      <c r="F484" s="5" t="s">
        <v>17</v>
      </c>
      <c r="G484" s="6"/>
      <c r="H484" s="7" t="n">
        <v>30</v>
      </c>
      <c r="I484" s="7" t="n">
        <v>36</v>
      </c>
      <c r="J484" s="7" t="s">
        <v>212</v>
      </c>
      <c r="K484" s="7" t="n">
        <v>35</v>
      </c>
      <c r="L484" s="0" t="str">
        <f aca="false">IF(H484&gt;I484,"ERRO","OK")</f>
        <v>OK</v>
      </c>
      <c r="M484" s="0" t="str">
        <f aca="false">IF(H484&gt;J484,"ERRO","OK")</f>
        <v>OK</v>
      </c>
      <c r="N484" s="0" t="str">
        <f aca="false">IF(I484&lt;J484,"ERRO","OK")</f>
        <v>ERRO</v>
      </c>
    </row>
    <row r="485" customFormat="false" ht="25" hidden="false" customHeight="false" outlineLevel="0" collapsed="false">
      <c r="A485" s="0" t="n">
        <v>49</v>
      </c>
      <c r="B485" s="0" t="n">
        <v>2024</v>
      </c>
      <c r="C485" s="3" t="n">
        <v>45399</v>
      </c>
      <c r="D485" s="8" t="s">
        <v>15</v>
      </c>
      <c r="E485" s="9" t="s">
        <v>28</v>
      </c>
      <c r="F485" s="9" t="s">
        <v>17</v>
      </c>
      <c r="G485" s="11" t="n">
        <v>84</v>
      </c>
      <c r="H485" s="11" t="n">
        <v>84</v>
      </c>
      <c r="I485" s="11" t="n">
        <v>84</v>
      </c>
      <c r="J485" s="11" t="n">
        <v>84</v>
      </c>
      <c r="K485" s="11" t="n">
        <v>84</v>
      </c>
      <c r="L485" s="0" t="str">
        <f aca="false">IF(H485&gt;I485,"ERRO","OK")</f>
        <v>OK</v>
      </c>
      <c r="M485" s="0" t="str">
        <f aca="false">IF(H485&gt;J485,"ERRO","OK")</f>
        <v>OK</v>
      </c>
      <c r="N485" s="0" t="str">
        <f aca="false">IF(I485&lt;J485,"ERRO","OK")</f>
        <v>OK</v>
      </c>
    </row>
    <row r="486" customFormat="false" ht="25" hidden="false" customHeight="false" outlineLevel="0" collapsed="false">
      <c r="A486" s="0" t="n">
        <v>49</v>
      </c>
      <c r="B486" s="0" t="n">
        <v>2024</v>
      </c>
      <c r="C486" s="3" t="n">
        <v>45399</v>
      </c>
      <c r="D486" s="4" t="s">
        <v>15</v>
      </c>
      <c r="E486" s="5" t="s">
        <v>29</v>
      </c>
      <c r="F486" s="5" t="s">
        <v>30</v>
      </c>
      <c r="G486" s="6"/>
      <c r="H486" s="7" t="n">
        <v>60</v>
      </c>
      <c r="I486" s="7" t="n">
        <v>72</v>
      </c>
      <c r="J486" s="7" t="s">
        <v>87</v>
      </c>
      <c r="K486" s="7" t="n">
        <v>62</v>
      </c>
      <c r="L486" s="0" t="str">
        <f aca="false">IF(H486&gt;I486,"ERRO","OK")</f>
        <v>OK</v>
      </c>
      <c r="M486" s="0" t="str">
        <f aca="false">IF(H486&gt;J486,"ERRO","OK")</f>
        <v>OK</v>
      </c>
      <c r="N486" s="0" t="str">
        <f aca="false">IF(I486&lt;J486,"ERRO","OK")</f>
        <v>ERRO</v>
      </c>
    </row>
    <row r="487" customFormat="false" ht="25" hidden="false" customHeight="false" outlineLevel="0" collapsed="false">
      <c r="A487" s="0" t="n">
        <v>49</v>
      </c>
      <c r="B487" s="0" t="n">
        <v>2024</v>
      </c>
      <c r="C487" s="3" t="n">
        <v>45399</v>
      </c>
      <c r="D487" s="8" t="s">
        <v>15</v>
      </c>
      <c r="E487" s="9" t="s">
        <v>31</v>
      </c>
      <c r="F487" s="9" t="s">
        <v>17</v>
      </c>
      <c r="G487" s="10"/>
      <c r="H487" s="11" t="n">
        <v>60</v>
      </c>
      <c r="I487" s="11" t="n">
        <v>100</v>
      </c>
      <c r="J487" s="11" t="s">
        <v>162</v>
      </c>
      <c r="K487" s="11" t="n">
        <v>70</v>
      </c>
      <c r="L487" s="0" t="str">
        <f aca="false">IF(H487&gt;I487,"ERRO","OK")</f>
        <v>OK</v>
      </c>
      <c r="M487" s="0" t="str">
        <f aca="false">IF(H487&gt;J487,"ERRO","OK")</f>
        <v>OK</v>
      </c>
      <c r="N487" s="0" t="str">
        <f aca="false">IF(I487&lt;J487,"ERRO","OK")</f>
        <v>ERRO</v>
      </c>
    </row>
    <row r="488" customFormat="false" ht="25" hidden="false" customHeight="false" outlineLevel="0" collapsed="false">
      <c r="A488" s="0" t="n">
        <v>49</v>
      </c>
      <c r="B488" s="0" t="n">
        <v>2024</v>
      </c>
      <c r="C488" s="3" t="n">
        <v>45399</v>
      </c>
      <c r="D488" s="4" t="s">
        <v>15</v>
      </c>
      <c r="E488" s="5" t="s">
        <v>32</v>
      </c>
      <c r="F488" s="5" t="s">
        <v>17</v>
      </c>
      <c r="G488" s="6"/>
      <c r="H488" s="7" t="n">
        <v>48</v>
      </c>
      <c r="I488" s="7" t="n">
        <v>60</v>
      </c>
      <c r="J488" s="7" t="s">
        <v>214</v>
      </c>
      <c r="K488" s="7" t="n">
        <v>55</v>
      </c>
      <c r="L488" s="0" t="str">
        <f aca="false">IF(H488&gt;I488,"ERRO","OK")</f>
        <v>OK</v>
      </c>
      <c r="M488" s="0" t="str">
        <f aca="false">IF(H488&gt;J488,"ERRO","OK")</f>
        <v>OK</v>
      </c>
      <c r="N488" s="0" t="str">
        <f aca="false">IF(I488&lt;J488,"ERRO","OK")</f>
        <v>ERRO</v>
      </c>
    </row>
    <row r="489" customFormat="false" ht="25" hidden="false" customHeight="false" outlineLevel="0" collapsed="false">
      <c r="A489" s="0" t="n">
        <v>49</v>
      </c>
      <c r="B489" s="0" t="n">
        <v>2024</v>
      </c>
      <c r="C489" s="3" t="n">
        <v>45399</v>
      </c>
      <c r="D489" s="8" t="s">
        <v>15</v>
      </c>
      <c r="E489" s="9" t="s">
        <v>33</v>
      </c>
      <c r="F489" s="9" t="s">
        <v>17</v>
      </c>
      <c r="G489" s="10"/>
      <c r="H489" s="11" t="n">
        <v>42</v>
      </c>
      <c r="I489" s="11" t="n">
        <v>54</v>
      </c>
      <c r="J489" s="11" t="n">
        <v>48</v>
      </c>
      <c r="K489" s="11" t="n">
        <v>48</v>
      </c>
      <c r="L489" s="0" t="str">
        <f aca="false">IF(H489&gt;I489,"ERRO","OK")</f>
        <v>OK</v>
      </c>
      <c r="M489" s="0" t="str">
        <f aca="false">IF(H489&gt;J489,"ERRO","OK")</f>
        <v>OK</v>
      </c>
      <c r="N489" s="0" t="str">
        <f aca="false">IF(I489&lt;J489,"ERRO","OK")</f>
        <v>OK</v>
      </c>
    </row>
    <row r="490" customFormat="false" ht="25" hidden="false" customHeight="false" outlineLevel="0" collapsed="false">
      <c r="A490" s="0" t="n">
        <v>49</v>
      </c>
      <c r="B490" s="0" t="n">
        <v>2024</v>
      </c>
      <c r="C490" s="3" t="n">
        <v>45399</v>
      </c>
      <c r="D490" s="4" t="s">
        <v>34</v>
      </c>
      <c r="E490" s="5" t="s">
        <v>35</v>
      </c>
      <c r="F490" s="5" t="s">
        <v>36</v>
      </c>
      <c r="G490" s="7" t="n">
        <v>6</v>
      </c>
      <c r="H490" s="7" t="s">
        <v>101</v>
      </c>
      <c r="I490" s="7" t="n">
        <v>6</v>
      </c>
      <c r="J490" s="7" t="s">
        <v>215</v>
      </c>
      <c r="K490" s="7" t="s">
        <v>216</v>
      </c>
      <c r="L490" s="0" t="str">
        <f aca="false">IF(H490&gt;I490,"ERRO","OK")</f>
        <v>ERRO</v>
      </c>
      <c r="M490" s="0" t="str">
        <f aca="false">IF(H490&gt;J490,"ERRO","OK")</f>
        <v>OK</v>
      </c>
      <c r="N490" s="0" t="str">
        <f aca="false">IF(I490&lt;J490,"ERRO","OK")</f>
        <v>ERRO</v>
      </c>
    </row>
    <row r="491" customFormat="false" ht="25" hidden="false" customHeight="false" outlineLevel="0" collapsed="false">
      <c r="A491" s="0" t="n">
        <v>49</v>
      </c>
      <c r="B491" s="0" t="n">
        <v>2024</v>
      </c>
      <c r="C491" s="3" t="n">
        <v>45399</v>
      </c>
      <c r="D491" s="8" t="s">
        <v>34</v>
      </c>
      <c r="E491" s="9" t="s">
        <v>38</v>
      </c>
      <c r="F491" s="9" t="s">
        <v>39</v>
      </c>
      <c r="G491" s="11" t="n">
        <v>30</v>
      </c>
      <c r="H491" s="11" t="n">
        <v>20</v>
      </c>
      <c r="I491" s="11" t="n">
        <v>30</v>
      </c>
      <c r="J491" s="11" t="n">
        <v>27</v>
      </c>
      <c r="K491" s="11" t="n">
        <v>29</v>
      </c>
      <c r="L491" s="0" t="str">
        <f aca="false">IF(H491&gt;I491,"ERRO","OK")</f>
        <v>OK</v>
      </c>
      <c r="M491" s="0" t="str">
        <f aca="false">IF(H491&gt;J491,"ERRO","OK")</f>
        <v>OK</v>
      </c>
      <c r="N491" s="0" t="str">
        <f aca="false">IF(I491&lt;J491,"ERRO","OK")</f>
        <v>OK</v>
      </c>
    </row>
    <row r="492" customFormat="false" ht="25" hidden="false" customHeight="false" outlineLevel="0" collapsed="false">
      <c r="A492" s="0" t="n">
        <v>49</v>
      </c>
      <c r="B492" s="0" t="n">
        <v>2024</v>
      </c>
      <c r="C492" s="3" t="n">
        <v>45399</v>
      </c>
      <c r="D492" s="4" t="s">
        <v>34</v>
      </c>
      <c r="E492" s="5" t="s">
        <v>40</v>
      </c>
      <c r="F492" s="5" t="s">
        <v>39</v>
      </c>
      <c r="G492" s="7" t="n">
        <v>30</v>
      </c>
      <c r="H492" s="7" t="n">
        <v>30</v>
      </c>
      <c r="I492" s="7" t="n">
        <v>40</v>
      </c>
      <c r="J492" s="7" t="s">
        <v>217</v>
      </c>
      <c r="K492" s="7" t="s">
        <v>111</v>
      </c>
      <c r="L492" s="0" t="str">
        <f aca="false">IF(H492&gt;I492,"ERRO","OK")</f>
        <v>OK</v>
      </c>
      <c r="M492" s="0" t="str">
        <f aca="false">IF(H492&gt;J492,"ERRO","OK")</f>
        <v>OK</v>
      </c>
      <c r="N492" s="0" t="str">
        <f aca="false">IF(I492&lt;J492,"ERRO","OK")</f>
        <v>ERRO</v>
      </c>
    </row>
    <row r="493" customFormat="false" ht="36.5" hidden="false" customHeight="false" outlineLevel="0" collapsed="false">
      <c r="A493" s="0" t="n">
        <v>49</v>
      </c>
      <c r="B493" s="0" t="n">
        <v>2024</v>
      </c>
      <c r="C493" s="3" t="n">
        <v>45399</v>
      </c>
      <c r="D493" s="8" t="s">
        <v>42</v>
      </c>
      <c r="E493" s="9" t="s">
        <v>157</v>
      </c>
      <c r="F493" s="9" t="s">
        <v>158</v>
      </c>
      <c r="G493" s="11" t="n">
        <v>110</v>
      </c>
      <c r="H493" s="11" t="n">
        <v>110</v>
      </c>
      <c r="I493" s="11" t="n">
        <v>120</v>
      </c>
      <c r="J493" s="11" t="s">
        <v>218</v>
      </c>
      <c r="K493" s="11" t="n">
        <v>110</v>
      </c>
      <c r="L493" s="0" t="str">
        <f aca="false">IF(H493&gt;I493,"ERRO","OK")</f>
        <v>OK</v>
      </c>
      <c r="M493" s="0" t="str">
        <f aca="false">IF(H493&gt;J493,"ERRO","OK")</f>
        <v>OK</v>
      </c>
      <c r="N493" s="0" t="str">
        <f aca="false">IF(I493&lt;J493,"ERRO","OK")</f>
        <v>ERRO</v>
      </c>
    </row>
    <row r="494" customFormat="false" ht="36.5" hidden="false" customHeight="false" outlineLevel="0" collapsed="false">
      <c r="A494" s="0" t="n">
        <v>49</v>
      </c>
      <c r="B494" s="0" t="n">
        <v>2024</v>
      </c>
      <c r="C494" s="3" t="n">
        <v>45399</v>
      </c>
      <c r="D494" s="4" t="s">
        <v>42</v>
      </c>
      <c r="E494" s="5" t="s">
        <v>43</v>
      </c>
      <c r="F494" s="5" t="s">
        <v>44</v>
      </c>
      <c r="G494" s="6"/>
      <c r="H494" s="7" t="n">
        <v>60</v>
      </c>
      <c r="I494" s="7" t="n">
        <v>80</v>
      </c>
      <c r="J494" s="7" t="s">
        <v>98</v>
      </c>
      <c r="K494" s="7" t="s">
        <v>88</v>
      </c>
      <c r="L494" s="0" t="str">
        <f aca="false">IF(H494&gt;I494,"ERRO","OK")</f>
        <v>OK</v>
      </c>
      <c r="M494" s="0" t="str">
        <f aca="false">IF(H494&gt;J494,"ERRO","OK")</f>
        <v>OK</v>
      </c>
      <c r="N494" s="0" t="str">
        <f aca="false">IF(I494&lt;J494,"ERRO","OK")</f>
        <v>ERRO</v>
      </c>
    </row>
    <row r="495" customFormat="false" ht="36.5" hidden="false" customHeight="false" outlineLevel="0" collapsed="false">
      <c r="A495" s="0" t="n">
        <v>49</v>
      </c>
      <c r="B495" s="0" t="n">
        <v>2024</v>
      </c>
      <c r="C495" s="3" t="n">
        <v>45399</v>
      </c>
      <c r="D495" s="8" t="s">
        <v>42</v>
      </c>
      <c r="E495" s="9" t="s">
        <v>46</v>
      </c>
      <c r="F495" s="9" t="s">
        <v>47</v>
      </c>
      <c r="G495" s="11" t="n">
        <v>75</v>
      </c>
      <c r="H495" s="11" t="n">
        <v>50</v>
      </c>
      <c r="I495" s="11" t="n">
        <v>75</v>
      </c>
      <c r="J495" s="11" t="n">
        <v>69</v>
      </c>
      <c r="K495" s="11" t="n">
        <v>75</v>
      </c>
      <c r="L495" s="0" t="str">
        <f aca="false">IF(H495&gt;I495,"ERRO","OK")</f>
        <v>OK</v>
      </c>
      <c r="M495" s="0" t="str">
        <f aca="false">IF(H495&gt;J495,"ERRO","OK")</f>
        <v>OK</v>
      </c>
      <c r="N495" s="0" t="str">
        <f aca="false">IF(I495&lt;J495,"ERRO","OK")</f>
        <v>OK</v>
      </c>
    </row>
    <row r="496" customFormat="false" ht="36.5" hidden="false" customHeight="false" outlineLevel="0" collapsed="false">
      <c r="A496" s="0" t="n">
        <v>49</v>
      </c>
      <c r="B496" s="0" t="n">
        <v>2024</v>
      </c>
      <c r="C496" s="3" t="n">
        <v>45399</v>
      </c>
      <c r="D496" s="4" t="s">
        <v>42</v>
      </c>
      <c r="E496" s="5" t="s">
        <v>48</v>
      </c>
      <c r="F496" s="5" t="s">
        <v>49</v>
      </c>
      <c r="G496" s="7" t="n">
        <v>45</v>
      </c>
      <c r="H496" s="7" t="n">
        <v>30</v>
      </c>
      <c r="I496" s="7" t="n">
        <v>50</v>
      </c>
      <c r="J496" s="7" t="n">
        <v>44</v>
      </c>
      <c r="K496" s="7" t="n">
        <v>45</v>
      </c>
      <c r="L496" s="0" t="str">
        <f aca="false">IF(H496&gt;I496,"ERRO","OK")</f>
        <v>OK</v>
      </c>
      <c r="M496" s="0" t="str">
        <f aca="false">IF(H496&gt;J496,"ERRO","OK")</f>
        <v>OK</v>
      </c>
      <c r="N496" s="0" t="str">
        <f aca="false">IF(I496&lt;J496,"ERRO","OK")</f>
        <v>OK</v>
      </c>
    </row>
    <row r="497" customFormat="false" ht="36.5" hidden="false" customHeight="false" outlineLevel="0" collapsed="false">
      <c r="A497" s="0" t="n">
        <v>49</v>
      </c>
      <c r="B497" s="0" t="n">
        <v>2024</v>
      </c>
      <c r="C497" s="3" t="n">
        <v>45399</v>
      </c>
      <c r="D497" s="8" t="s">
        <v>42</v>
      </c>
      <c r="E497" s="9" t="s">
        <v>52</v>
      </c>
      <c r="F497" s="9" t="s">
        <v>49</v>
      </c>
      <c r="G497" s="10"/>
      <c r="H497" s="11" t="n">
        <v>110</v>
      </c>
      <c r="I497" s="11" t="n">
        <v>110</v>
      </c>
      <c r="J497" s="11" t="n">
        <v>110</v>
      </c>
      <c r="K497" s="11" t="n">
        <v>110</v>
      </c>
      <c r="L497" s="0" t="str">
        <f aca="false">IF(H497&gt;I497,"ERRO","OK")</f>
        <v>OK</v>
      </c>
      <c r="M497" s="0" t="str">
        <f aca="false">IF(H497&gt;J497,"ERRO","OK")</f>
        <v>OK</v>
      </c>
      <c r="N497" s="0" t="str">
        <f aca="false">IF(I497&lt;J497,"ERRO","OK")</f>
        <v>OK</v>
      </c>
    </row>
    <row r="498" customFormat="false" ht="36.5" hidden="false" customHeight="false" outlineLevel="0" collapsed="false">
      <c r="A498" s="0" t="n">
        <v>49</v>
      </c>
      <c r="B498" s="0" t="n">
        <v>2024</v>
      </c>
      <c r="C498" s="3" t="n">
        <v>45399</v>
      </c>
      <c r="D498" s="4" t="s">
        <v>42</v>
      </c>
      <c r="E498" s="5" t="s">
        <v>53</v>
      </c>
      <c r="F498" s="5" t="s">
        <v>54</v>
      </c>
      <c r="G498" s="7" t="n">
        <v>130</v>
      </c>
      <c r="H498" s="7" t="n">
        <v>80</v>
      </c>
      <c r="I498" s="7" t="n">
        <v>150</v>
      </c>
      <c r="J498" s="7" t="s">
        <v>171</v>
      </c>
      <c r="K498" s="7" t="n">
        <v>130</v>
      </c>
      <c r="L498" s="0" t="str">
        <f aca="false">IF(H498&gt;I498,"ERRO","OK")</f>
        <v>OK</v>
      </c>
      <c r="M498" s="0" t="str">
        <f aca="false">IF(H498&gt;J498,"ERRO","OK")</f>
        <v>OK</v>
      </c>
      <c r="N498" s="0" t="str">
        <f aca="false">IF(I498&lt;J498,"ERRO","OK")</f>
        <v>ERRO</v>
      </c>
    </row>
    <row r="499" customFormat="false" ht="36.5" hidden="false" customHeight="false" outlineLevel="0" collapsed="false">
      <c r="A499" s="0" t="n">
        <v>49</v>
      </c>
      <c r="B499" s="0" t="n">
        <v>2024</v>
      </c>
      <c r="C499" s="3" t="n">
        <v>45399</v>
      </c>
      <c r="D499" s="8" t="s">
        <v>42</v>
      </c>
      <c r="E499" s="9" t="s">
        <v>56</v>
      </c>
      <c r="F499" s="9" t="s">
        <v>47</v>
      </c>
      <c r="G499" s="11" t="n">
        <v>140</v>
      </c>
      <c r="H499" s="11" t="n">
        <v>80</v>
      </c>
      <c r="I499" s="11" t="n">
        <v>170</v>
      </c>
      <c r="J499" s="11" t="n">
        <v>138</v>
      </c>
      <c r="K499" s="11" t="n">
        <v>140</v>
      </c>
      <c r="L499" s="0" t="str">
        <f aca="false">IF(H499&gt;I499,"ERRO","OK")</f>
        <v>OK</v>
      </c>
      <c r="M499" s="0" t="str">
        <f aca="false">IF(H499&gt;J499,"ERRO","OK")</f>
        <v>OK</v>
      </c>
      <c r="N499" s="0" t="str">
        <f aca="false">IF(I499&lt;J499,"ERRO","OK")</f>
        <v>OK</v>
      </c>
    </row>
    <row r="500" customFormat="false" ht="36.5" hidden="false" customHeight="false" outlineLevel="0" collapsed="false">
      <c r="A500" s="0" t="n">
        <v>49</v>
      </c>
      <c r="B500" s="0" t="n">
        <v>2024</v>
      </c>
      <c r="C500" s="3" t="n">
        <v>45399</v>
      </c>
      <c r="D500" s="4" t="s">
        <v>42</v>
      </c>
      <c r="E500" s="5" t="s">
        <v>57</v>
      </c>
      <c r="F500" s="5" t="s">
        <v>47</v>
      </c>
      <c r="G500" s="7" t="n">
        <v>60</v>
      </c>
      <c r="H500" s="7" t="n">
        <v>50</v>
      </c>
      <c r="I500" s="7" t="n">
        <v>70</v>
      </c>
      <c r="J500" s="7" t="n">
        <v>59</v>
      </c>
      <c r="K500" s="7" t="n">
        <v>60</v>
      </c>
      <c r="L500" s="0" t="str">
        <f aca="false">IF(H500&gt;I500,"ERRO","OK")</f>
        <v>OK</v>
      </c>
      <c r="M500" s="0" t="str">
        <f aca="false">IF(H500&gt;J500,"ERRO","OK")</f>
        <v>OK</v>
      </c>
      <c r="N500" s="0" t="str">
        <f aca="false">IF(I500&lt;J500,"ERRO","OK")</f>
        <v>OK</v>
      </c>
    </row>
    <row r="501" customFormat="false" ht="36.5" hidden="false" customHeight="false" outlineLevel="0" collapsed="false">
      <c r="A501" s="0" t="n">
        <v>49</v>
      </c>
      <c r="B501" s="0" t="n">
        <v>2024</v>
      </c>
      <c r="C501" s="3" t="n">
        <v>45399</v>
      </c>
      <c r="D501" s="8" t="s">
        <v>42</v>
      </c>
      <c r="E501" s="9" t="s">
        <v>58</v>
      </c>
      <c r="F501" s="9" t="s">
        <v>44</v>
      </c>
      <c r="G501" s="10"/>
      <c r="H501" s="11" t="n">
        <v>80</v>
      </c>
      <c r="I501" s="11" t="n">
        <v>120</v>
      </c>
      <c r="J501" s="11" t="s">
        <v>188</v>
      </c>
      <c r="K501" s="11" t="n">
        <v>90</v>
      </c>
      <c r="L501" s="0" t="str">
        <f aca="false">IF(H501&gt;I501,"ERRO","OK")</f>
        <v>OK</v>
      </c>
      <c r="M501" s="0" t="str">
        <f aca="false">IF(H501&gt;J501,"ERRO","OK")</f>
        <v>OK</v>
      </c>
      <c r="N501" s="0" t="str">
        <f aca="false">IF(I501&lt;J501,"ERRO","OK")</f>
        <v>ERRO</v>
      </c>
    </row>
    <row r="502" customFormat="false" ht="36.5" hidden="false" customHeight="false" outlineLevel="0" collapsed="false">
      <c r="A502" s="0" t="n">
        <v>49</v>
      </c>
      <c r="B502" s="0" t="n">
        <v>2024</v>
      </c>
      <c r="C502" s="3" t="n">
        <v>45399</v>
      </c>
      <c r="D502" s="4" t="s">
        <v>42</v>
      </c>
      <c r="E502" s="5" t="s">
        <v>60</v>
      </c>
      <c r="F502" s="5" t="s">
        <v>47</v>
      </c>
      <c r="G502" s="6"/>
      <c r="H502" s="6"/>
      <c r="I502" s="6"/>
      <c r="J502" s="6"/>
      <c r="K502" s="6"/>
      <c r="L502" s="0" t="str">
        <f aca="false">IF(H502&gt;I502,"ERRO","OK")</f>
        <v>OK</v>
      </c>
      <c r="M502" s="0" t="str">
        <f aca="false">IF(H502&gt;J502,"ERRO","OK")</f>
        <v>OK</v>
      </c>
      <c r="N502" s="0" t="str">
        <f aca="false">IF(I502&lt;J502,"ERRO","OK")</f>
        <v>OK</v>
      </c>
    </row>
    <row r="503" customFormat="false" ht="36.5" hidden="false" customHeight="false" outlineLevel="0" collapsed="false">
      <c r="A503" s="0" t="n">
        <v>49</v>
      </c>
      <c r="B503" s="0" t="n">
        <v>2024</v>
      </c>
      <c r="C503" s="3" t="n">
        <v>45399</v>
      </c>
      <c r="D503" s="8" t="s">
        <v>42</v>
      </c>
      <c r="E503" s="9" t="s">
        <v>61</v>
      </c>
      <c r="F503" s="9" t="s">
        <v>44</v>
      </c>
      <c r="G503" s="11" t="n">
        <v>70</v>
      </c>
      <c r="H503" s="11" t="n">
        <v>60</v>
      </c>
      <c r="I503" s="11" t="n">
        <v>80</v>
      </c>
      <c r="J503" s="11" t="n">
        <v>70</v>
      </c>
      <c r="K503" s="11" t="n">
        <v>70</v>
      </c>
      <c r="L503" s="0" t="str">
        <f aca="false">IF(H503&gt;I503,"ERRO","OK")</f>
        <v>OK</v>
      </c>
      <c r="M503" s="0" t="str">
        <f aca="false">IF(H503&gt;J503,"ERRO","OK")</f>
        <v>OK</v>
      </c>
      <c r="N503" s="0" t="str">
        <f aca="false">IF(I503&lt;J503,"ERRO","OK")</f>
        <v>OK</v>
      </c>
    </row>
    <row r="504" customFormat="false" ht="36.5" hidden="false" customHeight="false" outlineLevel="0" collapsed="false">
      <c r="A504" s="0" t="n">
        <v>49</v>
      </c>
      <c r="B504" s="0" t="n">
        <v>2024</v>
      </c>
      <c r="C504" s="3" t="n">
        <v>45399</v>
      </c>
      <c r="D504" s="4" t="s">
        <v>42</v>
      </c>
      <c r="E504" s="5" t="s">
        <v>62</v>
      </c>
      <c r="F504" s="5" t="s">
        <v>44</v>
      </c>
      <c r="G504" s="7" t="n">
        <v>90</v>
      </c>
      <c r="H504" s="7" t="n">
        <v>80</v>
      </c>
      <c r="I504" s="7" t="n">
        <v>100</v>
      </c>
      <c r="J504" s="7" t="n">
        <v>89</v>
      </c>
      <c r="K504" s="7" t="n">
        <v>90</v>
      </c>
      <c r="L504" s="0" t="str">
        <f aca="false">IF(H504&gt;I504,"ERRO","OK")</f>
        <v>OK</v>
      </c>
      <c r="M504" s="0" t="str">
        <f aca="false">IF(H504&gt;J504,"ERRO","OK")</f>
        <v>OK</v>
      </c>
      <c r="N504" s="0" t="str">
        <f aca="false">IF(I504&lt;J504,"ERRO","OK")</f>
        <v>OK</v>
      </c>
    </row>
    <row r="505" customFormat="false" ht="36.5" hidden="false" customHeight="false" outlineLevel="0" collapsed="false">
      <c r="A505" s="0" t="n">
        <v>49</v>
      </c>
      <c r="B505" s="0" t="n">
        <v>2024</v>
      </c>
      <c r="C505" s="3" t="n">
        <v>45399</v>
      </c>
      <c r="D505" s="8" t="s">
        <v>42</v>
      </c>
      <c r="E505" s="9" t="s">
        <v>63</v>
      </c>
      <c r="F505" s="9" t="s">
        <v>49</v>
      </c>
      <c r="G505" s="11" t="n">
        <v>70</v>
      </c>
      <c r="H505" s="11" t="n">
        <v>45</v>
      </c>
      <c r="I505" s="11" t="n">
        <v>100</v>
      </c>
      <c r="J505" s="11" t="s">
        <v>219</v>
      </c>
      <c r="K505" s="11" t="n">
        <v>70</v>
      </c>
      <c r="L505" s="0" t="str">
        <f aca="false">IF(H505&gt;I505,"ERRO","OK")</f>
        <v>OK</v>
      </c>
      <c r="M505" s="0" t="str">
        <f aca="false">IF(H505&gt;J505,"ERRO","OK")</f>
        <v>OK</v>
      </c>
      <c r="N505" s="0" t="str">
        <f aca="false">IF(I505&lt;J505,"ERRO","OK")</f>
        <v>ERRO</v>
      </c>
    </row>
    <row r="506" customFormat="false" ht="36.5" hidden="false" customHeight="false" outlineLevel="0" collapsed="false">
      <c r="A506" s="0" t="n">
        <v>49</v>
      </c>
      <c r="B506" s="0" t="n">
        <v>2024</v>
      </c>
      <c r="C506" s="3" t="n">
        <v>45399</v>
      </c>
      <c r="D506" s="4" t="s">
        <v>42</v>
      </c>
      <c r="E506" s="5" t="s">
        <v>64</v>
      </c>
      <c r="F506" s="5" t="s">
        <v>65</v>
      </c>
      <c r="G506" s="7" t="n">
        <v>120</v>
      </c>
      <c r="H506" s="7" t="n">
        <v>100</v>
      </c>
      <c r="I506" s="7" t="n">
        <v>120</v>
      </c>
      <c r="J506" s="7" t="n">
        <v>112</v>
      </c>
      <c r="K506" s="7" t="n">
        <v>120</v>
      </c>
      <c r="L506" s="0" t="str">
        <f aca="false">IF(H506&gt;I506,"ERRO","OK")</f>
        <v>OK</v>
      </c>
      <c r="M506" s="0" t="str">
        <f aca="false">IF(H506&gt;J506,"ERRO","OK")</f>
        <v>OK</v>
      </c>
      <c r="N506" s="0" t="str">
        <f aca="false">IF(I506&lt;J506,"ERRO","OK")</f>
        <v>OK</v>
      </c>
    </row>
    <row r="507" customFormat="false" ht="36.5" hidden="false" customHeight="false" outlineLevel="0" collapsed="false">
      <c r="A507" s="0" t="n">
        <v>49</v>
      </c>
      <c r="B507" s="0" t="n">
        <v>2024</v>
      </c>
      <c r="C507" s="3" t="n">
        <v>45399</v>
      </c>
      <c r="D507" s="8" t="s">
        <v>42</v>
      </c>
      <c r="E507" s="9" t="s">
        <v>67</v>
      </c>
      <c r="F507" s="9" t="s">
        <v>44</v>
      </c>
      <c r="G507" s="10"/>
      <c r="H507" s="11" t="n">
        <v>65</v>
      </c>
      <c r="I507" s="11" t="n">
        <v>130</v>
      </c>
      <c r="J507" s="11" t="s">
        <v>220</v>
      </c>
      <c r="K507" s="11" t="n">
        <v>85</v>
      </c>
      <c r="L507" s="0" t="str">
        <f aca="false">IF(H507&gt;I507,"ERRO","OK")</f>
        <v>OK</v>
      </c>
      <c r="M507" s="0" t="str">
        <f aca="false">IF(H507&gt;J507,"ERRO","OK")</f>
        <v>OK</v>
      </c>
      <c r="N507" s="0" t="str">
        <f aca="false">IF(I507&lt;J507,"ERRO","OK")</f>
        <v>ERRO</v>
      </c>
    </row>
    <row r="508" customFormat="false" ht="36.5" hidden="false" customHeight="false" outlineLevel="0" collapsed="false">
      <c r="A508" s="0" t="n">
        <v>49</v>
      </c>
      <c r="B508" s="0" t="n">
        <v>2024</v>
      </c>
      <c r="C508" s="3" t="n">
        <v>45399</v>
      </c>
      <c r="D508" s="4" t="s">
        <v>42</v>
      </c>
      <c r="E508" s="5" t="s">
        <v>68</v>
      </c>
      <c r="F508" s="5" t="s">
        <v>44</v>
      </c>
      <c r="G508" s="7" t="n">
        <v>130</v>
      </c>
      <c r="H508" s="7" t="n">
        <v>130</v>
      </c>
      <c r="I508" s="7" t="n">
        <v>150</v>
      </c>
      <c r="J508" s="7" t="s">
        <v>175</v>
      </c>
      <c r="K508" s="7" t="n">
        <v>130</v>
      </c>
      <c r="L508" s="0" t="str">
        <f aca="false">IF(H508&gt;I508,"ERRO","OK")</f>
        <v>OK</v>
      </c>
      <c r="M508" s="0" t="str">
        <f aca="false">IF(H508&gt;J508,"ERRO","OK")</f>
        <v>OK</v>
      </c>
      <c r="N508" s="0" t="str">
        <f aca="false">IF(I508&lt;J508,"ERRO","OK")</f>
        <v>ERRO</v>
      </c>
    </row>
    <row r="509" customFormat="false" ht="14.25" hidden="false" customHeight="false" outlineLevel="0" collapsed="false">
      <c r="A509" s="0" t="n">
        <v>49</v>
      </c>
      <c r="B509" s="0" t="n">
        <v>2024</v>
      </c>
      <c r="C509" s="3" t="n">
        <v>45399</v>
      </c>
      <c r="D509" s="8" t="s">
        <v>69</v>
      </c>
      <c r="E509" s="9" t="s">
        <v>70</v>
      </c>
      <c r="F509" s="9" t="s">
        <v>49</v>
      </c>
      <c r="G509" s="10"/>
      <c r="H509" s="11" t="n">
        <v>65</v>
      </c>
      <c r="I509" s="11" t="n">
        <v>65</v>
      </c>
      <c r="J509" s="11" t="n">
        <v>65</v>
      </c>
      <c r="K509" s="11" t="n">
        <v>65</v>
      </c>
      <c r="L509" s="0" t="str">
        <f aca="false">IF(H509&gt;I509,"ERRO","OK")</f>
        <v>OK</v>
      </c>
      <c r="M509" s="0" t="str">
        <f aca="false">IF(H509&gt;J509,"ERRO","OK")</f>
        <v>OK</v>
      </c>
      <c r="N509" s="0" t="str">
        <f aca="false">IF(I509&lt;J509,"ERRO","OK")</f>
        <v>OK</v>
      </c>
    </row>
    <row r="510" customFormat="false" ht="14.25" hidden="false" customHeight="false" outlineLevel="0" collapsed="false">
      <c r="A510" s="0" t="n">
        <v>49</v>
      </c>
      <c r="B510" s="0" t="n">
        <v>2024</v>
      </c>
      <c r="C510" s="3" t="n">
        <v>45399</v>
      </c>
      <c r="D510" s="4" t="s">
        <v>69</v>
      </c>
      <c r="E510" s="5" t="s">
        <v>71</v>
      </c>
      <c r="F510" s="5" t="s">
        <v>49</v>
      </c>
      <c r="G510" s="6"/>
      <c r="H510" s="7" t="n">
        <v>75</v>
      </c>
      <c r="I510" s="7" t="n">
        <v>124</v>
      </c>
      <c r="J510" s="7" t="s">
        <v>221</v>
      </c>
      <c r="K510" s="7" t="s">
        <v>221</v>
      </c>
      <c r="L510" s="0" t="str">
        <f aca="false">IF(H510&gt;I510,"ERRO","OK")</f>
        <v>OK</v>
      </c>
      <c r="M510" s="0" t="str">
        <f aca="false">IF(H510&gt;J510,"ERRO","OK")</f>
        <v>OK</v>
      </c>
      <c r="N510" s="0" t="str">
        <f aca="false">IF(I510&lt;J510,"ERRO","OK")</f>
        <v>ERRO</v>
      </c>
    </row>
    <row r="511" customFormat="false" ht="14.25" hidden="false" customHeight="false" outlineLevel="0" collapsed="false">
      <c r="A511" s="0" t="n">
        <v>49</v>
      </c>
      <c r="B511" s="0" t="n">
        <v>2024</v>
      </c>
      <c r="C511" s="3" t="n">
        <v>45399</v>
      </c>
      <c r="D511" s="8" t="s">
        <v>69</v>
      </c>
      <c r="E511" s="9" t="s">
        <v>72</v>
      </c>
      <c r="F511" s="9" t="s">
        <v>49</v>
      </c>
      <c r="G511" s="10"/>
      <c r="H511" s="11" t="n">
        <v>45</v>
      </c>
      <c r="I511" s="11" t="n">
        <v>70</v>
      </c>
      <c r="J511" s="11" t="s">
        <v>45</v>
      </c>
      <c r="K511" s="11" t="s">
        <v>45</v>
      </c>
      <c r="L511" s="0" t="str">
        <f aca="false">IF(H511&gt;I511,"ERRO","OK")</f>
        <v>OK</v>
      </c>
      <c r="M511" s="0" t="str">
        <f aca="false">IF(H511&gt;J511,"ERRO","OK")</f>
        <v>OK</v>
      </c>
      <c r="N511" s="0" t="str">
        <f aca="false">IF(I511&lt;J511,"ERRO","OK")</f>
        <v>ERRO</v>
      </c>
    </row>
    <row r="512" customFormat="false" ht="14.25" hidden="false" customHeight="false" outlineLevel="0" collapsed="false">
      <c r="A512" s="0" t="n">
        <v>49</v>
      </c>
      <c r="B512" s="0" t="n">
        <v>2024</v>
      </c>
      <c r="C512" s="3" t="n">
        <v>45399</v>
      </c>
      <c r="D512" s="4" t="s">
        <v>69</v>
      </c>
      <c r="E512" s="5" t="s">
        <v>73</v>
      </c>
      <c r="F512" s="5" t="s">
        <v>49</v>
      </c>
      <c r="G512" s="6"/>
      <c r="H512" s="7" t="n">
        <v>50</v>
      </c>
      <c r="I512" s="7" t="n">
        <v>50</v>
      </c>
      <c r="J512" s="7" t="n">
        <v>50</v>
      </c>
      <c r="K512" s="7" t="n">
        <v>50</v>
      </c>
      <c r="L512" s="0" t="str">
        <f aca="false">IF(H512&gt;I512,"ERRO","OK")</f>
        <v>OK</v>
      </c>
      <c r="M512" s="0" t="str">
        <f aca="false">IF(H512&gt;J512,"ERRO","OK")</f>
        <v>OK</v>
      </c>
      <c r="N512" s="0" t="str">
        <f aca="false">IF(I512&lt;J512,"ERRO","OK")</f>
        <v>OK</v>
      </c>
    </row>
    <row r="513" customFormat="false" ht="14.25" hidden="false" customHeight="false" outlineLevel="0" collapsed="false">
      <c r="A513" s="0" t="n">
        <v>49</v>
      </c>
      <c r="B513" s="0" t="n">
        <v>2024</v>
      </c>
      <c r="C513" s="3" t="n">
        <v>45399</v>
      </c>
      <c r="D513" s="8" t="s">
        <v>69</v>
      </c>
      <c r="E513" s="9" t="s">
        <v>74</v>
      </c>
      <c r="F513" s="9" t="s">
        <v>75</v>
      </c>
      <c r="G513" s="10"/>
      <c r="H513" s="11" t="n">
        <v>75</v>
      </c>
      <c r="I513" s="11" t="n">
        <v>88</v>
      </c>
      <c r="J513" s="11" t="s">
        <v>222</v>
      </c>
      <c r="K513" s="11" t="s">
        <v>222</v>
      </c>
      <c r="L513" s="0" t="str">
        <f aca="false">IF(H513&gt;I513,"ERRO","OK")</f>
        <v>OK</v>
      </c>
      <c r="M513" s="0" t="str">
        <f aca="false">IF(H513&gt;J513,"ERRO","OK")</f>
        <v>OK</v>
      </c>
      <c r="N513" s="0" t="str">
        <f aca="false">IF(I513&lt;J513,"ERRO","OK")</f>
        <v>ERRO</v>
      </c>
    </row>
    <row r="514" customFormat="false" ht="25" hidden="false" customHeight="false" outlineLevel="0" collapsed="false">
      <c r="A514" s="0" t="n">
        <v>50</v>
      </c>
      <c r="B514" s="0" t="n">
        <v>2024</v>
      </c>
      <c r="C514" s="3" t="n">
        <v>45406</v>
      </c>
      <c r="D514" s="4" t="s">
        <v>15</v>
      </c>
      <c r="E514" s="5" t="s">
        <v>16</v>
      </c>
      <c r="F514" s="5" t="s">
        <v>17</v>
      </c>
      <c r="G514" s="6"/>
      <c r="H514" s="7" t="n">
        <v>48</v>
      </c>
      <c r="I514" s="7" t="n">
        <v>72</v>
      </c>
      <c r="J514" s="7" t="n">
        <v>60</v>
      </c>
      <c r="K514" s="7" t="n">
        <v>60</v>
      </c>
      <c r="L514" s="0" t="str">
        <f aca="false">IF(H514&gt;I514,"ERRO","OK")</f>
        <v>OK</v>
      </c>
      <c r="M514" s="0" t="str">
        <f aca="false">IF(H514&gt;J514,"ERRO","OK")</f>
        <v>OK</v>
      </c>
      <c r="N514" s="0" t="str">
        <f aca="false">IF(I514&lt;J514,"ERRO","OK")</f>
        <v>OK</v>
      </c>
    </row>
    <row r="515" customFormat="false" ht="25" hidden="false" customHeight="false" outlineLevel="0" collapsed="false">
      <c r="A515" s="0" t="n">
        <v>50</v>
      </c>
      <c r="B515" s="0" t="n">
        <v>2024</v>
      </c>
      <c r="C515" s="3" t="n">
        <v>45406</v>
      </c>
      <c r="D515" s="8" t="s">
        <v>15</v>
      </c>
      <c r="E515" s="9" t="s">
        <v>18</v>
      </c>
      <c r="F515" s="9" t="s">
        <v>17</v>
      </c>
      <c r="G515" s="11" t="n">
        <v>84</v>
      </c>
      <c r="H515" s="11" t="n">
        <v>72</v>
      </c>
      <c r="I515" s="11" t="n">
        <v>84</v>
      </c>
      <c r="J515" s="11" t="n">
        <v>80</v>
      </c>
      <c r="K515" s="11" t="n">
        <v>84</v>
      </c>
      <c r="L515" s="0" t="str">
        <f aca="false">IF(H515&gt;I515,"ERRO","OK")</f>
        <v>OK</v>
      </c>
      <c r="M515" s="0" t="str">
        <f aca="false">IF(H515&gt;J515,"ERRO","OK")</f>
        <v>OK</v>
      </c>
      <c r="N515" s="0" t="str">
        <f aca="false">IF(I515&lt;J515,"ERRO","OK")</f>
        <v>OK</v>
      </c>
    </row>
    <row r="516" customFormat="false" ht="25" hidden="false" customHeight="false" outlineLevel="0" collapsed="false">
      <c r="A516" s="0" t="n">
        <v>50</v>
      </c>
      <c r="B516" s="0" t="n">
        <v>2024</v>
      </c>
      <c r="C516" s="3" t="n">
        <v>45406</v>
      </c>
      <c r="D516" s="4" t="s">
        <v>15</v>
      </c>
      <c r="E516" s="5" t="s">
        <v>19</v>
      </c>
      <c r="F516" s="5" t="s">
        <v>17</v>
      </c>
      <c r="G516" s="6"/>
      <c r="H516" s="7" t="n">
        <v>42</v>
      </c>
      <c r="I516" s="7" t="n">
        <v>60</v>
      </c>
      <c r="J516" s="7" t="n">
        <v>50</v>
      </c>
      <c r="K516" s="7" t="n">
        <v>48</v>
      </c>
      <c r="L516" s="0" t="str">
        <f aca="false">IF(H516&gt;I516,"ERRO","OK")</f>
        <v>OK</v>
      </c>
      <c r="M516" s="0" t="str">
        <f aca="false">IF(H516&gt;J516,"ERRO","OK")</f>
        <v>OK</v>
      </c>
      <c r="N516" s="0" t="str">
        <f aca="false">IF(I516&lt;J516,"ERRO","OK")</f>
        <v>OK</v>
      </c>
    </row>
    <row r="517" customFormat="false" ht="25" hidden="false" customHeight="false" outlineLevel="0" collapsed="false">
      <c r="A517" s="0" t="n">
        <v>50</v>
      </c>
      <c r="B517" s="0" t="n">
        <v>2024</v>
      </c>
      <c r="C517" s="3" t="n">
        <v>45406</v>
      </c>
      <c r="D517" s="8" t="s">
        <v>15</v>
      </c>
      <c r="E517" s="9" t="s">
        <v>20</v>
      </c>
      <c r="F517" s="9" t="s">
        <v>17</v>
      </c>
      <c r="G517" s="11" t="n">
        <v>36</v>
      </c>
      <c r="H517" s="11" t="n">
        <v>30</v>
      </c>
      <c r="I517" s="11" t="n">
        <v>36</v>
      </c>
      <c r="J517" s="11" t="n">
        <v>34</v>
      </c>
      <c r="K517" s="11" t="n">
        <v>36</v>
      </c>
      <c r="L517" s="0" t="str">
        <f aca="false">IF(H517&gt;I517,"ERRO","OK")</f>
        <v>OK</v>
      </c>
      <c r="M517" s="0" t="str">
        <f aca="false">IF(H517&gt;J517,"ERRO","OK")</f>
        <v>OK</v>
      </c>
      <c r="N517" s="0" t="str">
        <f aca="false">IF(I517&lt;J517,"ERRO","OK")</f>
        <v>OK</v>
      </c>
    </row>
    <row r="518" customFormat="false" ht="25" hidden="false" customHeight="false" outlineLevel="0" collapsed="false">
      <c r="A518" s="0" t="n">
        <v>50</v>
      </c>
      <c r="B518" s="0" t="n">
        <v>2024</v>
      </c>
      <c r="C518" s="3" t="n">
        <v>45406</v>
      </c>
      <c r="D518" s="4" t="s">
        <v>15</v>
      </c>
      <c r="E518" s="5" t="s">
        <v>21</v>
      </c>
      <c r="F518" s="5" t="s">
        <v>17</v>
      </c>
      <c r="G518" s="7" t="n">
        <v>36</v>
      </c>
      <c r="H518" s="7" t="n">
        <v>30</v>
      </c>
      <c r="I518" s="7" t="n">
        <v>36</v>
      </c>
      <c r="J518" s="7" t="n">
        <v>34</v>
      </c>
      <c r="K518" s="7" t="n">
        <v>36</v>
      </c>
      <c r="L518" s="0" t="str">
        <f aca="false">IF(H518&gt;I518,"ERRO","OK")</f>
        <v>OK</v>
      </c>
      <c r="M518" s="0" t="str">
        <f aca="false">IF(H518&gt;J518,"ERRO","OK")</f>
        <v>OK</v>
      </c>
      <c r="N518" s="0" t="str">
        <f aca="false">IF(I518&lt;J518,"ERRO","OK")</f>
        <v>OK</v>
      </c>
    </row>
    <row r="519" customFormat="false" ht="25" hidden="false" customHeight="false" outlineLevel="0" collapsed="false">
      <c r="A519" s="0" t="n">
        <v>50</v>
      </c>
      <c r="B519" s="0" t="n">
        <v>2024</v>
      </c>
      <c r="C519" s="3" t="n">
        <v>45406</v>
      </c>
      <c r="D519" s="8" t="s">
        <v>15</v>
      </c>
      <c r="E519" s="9" t="s">
        <v>22</v>
      </c>
      <c r="F519" s="9" t="s">
        <v>17</v>
      </c>
      <c r="G519" s="11" t="n">
        <v>72</v>
      </c>
      <c r="H519" s="11" t="n">
        <v>48</v>
      </c>
      <c r="I519" s="11" t="n">
        <v>72</v>
      </c>
      <c r="J519" s="11" t="n">
        <v>64</v>
      </c>
      <c r="K519" s="11" t="n">
        <v>72</v>
      </c>
      <c r="L519" s="0" t="str">
        <f aca="false">IF(H519&gt;I519,"ERRO","OK")</f>
        <v>OK</v>
      </c>
      <c r="M519" s="0" t="str">
        <f aca="false">IF(H519&gt;J519,"ERRO","OK")</f>
        <v>OK</v>
      </c>
      <c r="N519" s="0" t="str">
        <f aca="false">IF(I519&lt;J519,"ERRO","OK")</f>
        <v>OK</v>
      </c>
    </row>
    <row r="520" customFormat="false" ht="25" hidden="false" customHeight="false" outlineLevel="0" collapsed="false">
      <c r="A520" s="0" t="n">
        <v>50</v>
      </c>
      <c r="B520" s="0" t="n">
        <v>2024</v>
      </c>
      <c r="C520" s="3" t="n">
        <v>45406</v>
      </c>
      <c r="D520" s="4" t="s">
        <v>15</v>
      </c>
      <c r="E520" s="5" t="s">
        <v>23</v>
      </c>
      <c r="F520" s="5" t="s">
        <v>17</v>
      </c>
      <c r="G520" s="6"/>
      <c r="H520" s="7" t="n">
        <v>72</v>
      </c>
      <c r="I520" s="7" t="n">
        <v>96</v>
      </c>
      <c r="J520" s="7" t="n">
        <v>82</v>
      </c>
      <c r="K520" s="7" t="n">
        <v>78</v>
      </c>
      <c r="L520" s="0" t="str">
        <f aca="false">IF(H520&gt;I520,"ERRO","OK")</f>
        <v>OK</v>
      </c>
      <c r="M520" s="0" t="str">
        <f aca="false">IF(H520&gt;J520,"ERRO","OK")</f>
        <v>OK</v>
      </c>
      <c r="N520" s="0" t="str">
        <f aca="false">IF(I520&lt;J520,"ERRO","OK")</f>
        <v>OK</v>
      </c>
    </row>
    <row r="521" customFormat="false" ht="25" hidden="false" customHeight="false" outlineLevel="0" collapsed="false">
      <c r="A521" s="0" t="n">
        <v>50</v>
      </c>
      <c r="B521" s="0" t="n">
        <v>2024</v>
      </c>
      <c r="C521" s="3" t="n">
        <v>45406</v>
      </c>
      <c r="D521" s="8" t="s">
        <v>15</v>
      </c>
      <c r="E521" s="9" t="s">
        <v>24</v>
      </c>
      <c r="F521" s="9" t="s">
        <v>17</v>
      </c>
      <c r="G521" s="11" t="n">
        <v>96</v>
      </c>
      <c r="H521" s="11" t="n">
        <v>96</v>
      </c>
      <c r="I521" s="11" t="n">
        <v>96</v>
      </c>
      <c r="J521" s="11" t="n">
        <v>96</v>
      </c>
      <c r="K521" s="11" t="n">
        <v>96</v>
      </c>
      <c r="L521" s="0" t="str">
        <f aca="false">IF(H521&gt;I521,"ERRO","OK")</f>
        <v>OK</v>
      </c>
      <c r="M521" s="0" t="str">
        <f aca="false">IF(H521&gt;J521,"ERRO","OK")</f>
        <v>OK</v>
      </c>
      <c r="N521" s="0" t="str">
        <f aca="false">IF(I521&lt;J521,"ERRO","OK")</f>
        <v>OK</v>
      </c>
    </row>
    <row r="522" customFormat="false" ht="25" hidden="false" customHeight="false" outlineLevel="0" collapsed="false">
      <c r="A522" s="0" t="n">
        <v>50</v>
      </c>
      <c r="B522" s="0" t="n">
        <v>2024</v>
      </c>
      <c r="C522" s="3" t="n">
        <v>45406</v>
      </c>
      <c r="D522" s="4" t="s">
        <v>15</v>
      </c>
      <c r="E522" s="5" t="s">
        <v>25</v>
      </c>
      <c r="F522" s="5" t="s">
        <v>17</v>
      </c>
      <c r="G522" s="6"/>
      <c r="H522" s="7" t="n">
        <v>24</v>
      </c>
      <c r="I522" s="7" t="n">
        <v>36</v>
      </c>
      <c r="J522" s="7" t="n">
        <v>30</v>
      </c>
      <c r="K522" s="7" t="n">
        <v>30</v>
      </c>
      <c r="L522" s="0" t="str">
        <f aca="false">IF(H522&gt;I522,"ERRO","OK")</f>
        <v>OK</v>
      </c>
      <c r="M522" s="0" t="str">
        <f aca="false">IF(H522&gt;J522,"ERRO","OK")</f>
        <v>OK</v>
      </c>
      <c r="N522" s="0" t="str">
        <f aca="false">IF(I522&lt;J522,"ERRO","OK")</f>
        <v>OK</v>
      </c>
    </row>
    <row r="523" customFormat="false" ht="25" hidden="false" customHeight="false" outlineLevel="0" collapsed="false">
      <c r="A523" s="0" t="n">
        <v>50</v>
      </c>
      <c r="B523" s="0" t="n">
        <v>2024</v>
      </c>
      <c r="C523" s="3" t="n">
        <v>45406</v>
      </c>
      <c r="D523" s="8" t="s">
        <v>15</v>
      </c>
      <c r="E523" s="9" t="s">
        <v>77</v>
      </c>
      <c r="F523" s="9" t="s">
        <v>17</v>
      </c>
      <c r="G523" s="11" t="n">
        <v>96</v>
      </c>
      <c r="H523" s="11" t="n">
        <v>96</v>
      </c>
      <c r="I523" s="11" t="n">
        <v>108</v>
      </c>
      <c r="J523" s="11" t="n">
        <v>100</v>
      </c>
      <c r="K523" s="11" t="n">
        <v>96</v>
      </c>
      <c r="L523" s="0" t="str">
        <f aca="false">IF(H523&gt;I523,"ERRO","OK")</f>
        <v>OK</v>
      </c>
      <c r="M523" s="0" t="str">
        <f aca="false">IF(H523&gt;J523,"ERRO","OK")</f>
        <v>OK</v>
      </c>
      <c r="N523" s="0" t="str">
        <f aca="false">IF(I523&lt;J523,"ERRO","OK")</f>
        <v>OK</v>
      </c>
    </row>
    <row r="524" customFormat="false" ht="25" hidden="false" customHeight="false" outlineLevel="0" collapsed="false">
      <c r="A524" s="0" t="n">
        <v>50</v>
      </c>
      <c r="B524" s="0" t="n">
        <v>2024</v>
      </c>
      <c r="C524" s="3" t="n">
        <v>45406</v>
      </c>
      <c r="D524" s="4" t="s">
        <v>15</v>
      </c>
      <c r="E524" s="5" t="s">
        <v>27</v>
      </c>
      <c r="F524" s="5" t="s">
        <v>17</v>
      </c>
      <c r="G524" s="7" t="n">
        <v>36</v>
      </c>
      <c r="H524" s="7" t="n">
        <v>24</v>
      </c>
      <c r="I524" s="7" t="n">
        <v>36</v>
      </c>
      <c r="J524" s="7" t="n">
        <v>32</v>
      </c>
      <c r="K524" s="7" t="n">
        <v>36</v>
      </c>
      <c r="L524" s="0" t="str">
        <f aca="false">IF(H524&gt;I524,"ERRO","OK")</f>
        <v>OK</v>
      </c>
      <c r="M524" s="0" t="str">
        <f aca="false">IF(H524&gt;J524,"ERRO","OK")</f>
        <v>OK</v>
      </c>
      <c r="N524" s="0" t="str">
        <f aca="false">IF(I524&lt;J524,"ERRO","OK")</f>
        <v>OK</v>
      </c>
    </row>
    <row r="525" customFormat="false" ht="25" hidden="false" customHeight="false" outlineLevel="0" collapsed="false">
      <c r="A525" s="0" t="n">
        <v>50</v>
      </c>
      <c r="B525" s="0" t="n">
        <v>2024</v>
      </c>
      <c r="C525" s="3" t="n">
        <v>45406</v>
      </c>
      <c r="D525" s="8" t="s">
        <v>15</v>
      </c>
      <c r="E525" s="9" t="s">
        <v>28</v>
      </c>
      <c r="F525" s="9" t="s">
        <v>17</v>
      </c>
      <c r="G525" s="11" t="n">
        <v>84</v>
      </c>
      <c r="H525" s="11" t="n">
        <v>84</v>
      </c>
      <c r="I525" s="11" t="n">
        <v>84</v>
      </c>
      <c r="J525" s="11" t="n">
        <v>84</v>
      </c>
      <c r="K525" s="11" t="n">
        <v>84</v>
      </c>
      <c r="L525" s="0" t="str">
        <f aca="false">IF(H525&gt;I525,"ERRO","OK")</f>
        <v>OK</v>
      </c>
      <c r="M525" s="0" t="str">
        <f aca="false">IF(H525&gt;J525,"ERRO","OK")</f>
        <v>OK</v>
      </c>
      <c r="N525" s="0" t="str">
        <f aca="false">IF(I525&lt;J525,"ERRO","OK")</f>
        <v>OK</v>
      </c>
    </row>
    <row r="526" customFormat="false" ht="25" hidden="false" customHeight="false" outlineLevel="0" collapsed="false">
      <c r="A526" s="0" t="n">
        <v>50</v>
      </c>
      <c r="B526" s="0" t="n">
        <v>2024</v>
      </c>
      <c r="C526" s="3" t="n">
        <v>45406</v>
      </c>
      <c r="D526" s="4" t="s">
        <v>15</v>
      </c>
      <c r="E526" s="5" t="s">
        <v>29</v>
      </c>
      <c r="F526" s="5" t="s">
        <v>30</v>
      </c>
      <c r="G526" s="7" t="n">
        <v>72</v>
      </c>
      <c r="H526" s="7" t="n">
        <v>72</v>
      </c>
      <c r="I526" s="7" t="n">
        <v>84</v>
      </c>
      <c r="J526" s="7" t="n">
        <v>76</v>
      </c>
      <c r="K526" s="7" t="n">
        <v>72</v>
      </c>
      <c r="L526" s="0" t="str">
        <f aca="false">IF(H526&gt;I526,"ERRO","OK")</f>
        <v>OK</v>
      </c>
      <c r="M526" s="0" t="str">
        <f aca="false">IF(H526&gt;J526,"ERRO","OK")</f>
        <v>OK</v>
      </c>
      <c r="N526" s="0" t="str">
        <f aca="false">IF(I526&lt;J526,"ERRO","OK")</f>
        <v>OK</v>
      </c>
    </row>
    <row r="527" customFormat="false" ht="25" hidden="false" customHeight="false" outlineLevel="0" collapsed="false">
      <c r="A527" s="0" t="n">
        <v>50</v>
      </c>
      <c r="B527" s="0" t="n">
        <v>2024</v>
      </c>
      <c r="C527" s="3" t="n">
        <v>45406</v>
      </c>
      <c r="D527" s="8" t="s">
        <v>15</v>
      </c>
      <c r="E527" s="9" t="s">
        <v>31</v>
      </c>
      <c r="F527" s="9" t="s">
        <v>17</v>
      </c>
      <c r="G527" s="11" t="n">
        <v>60</v>
      </c>
      <c r="H527" s="11" t="n">
        <v>60</v>
      </c>
      <c r="I527" s="11" t="n">
        <v>96</v>
      </c>
      <c r="J527" s="11" t="n">
        <v>72</v>
      </c>
      <c r="K527" s="11" t="n">
        <v>60</v>
      </c>
      <c r="L527" s="0" t="str">
        <f aca="false">IF(H527&gt;I527,"ERRO","OK")</f>
        <v>OK</v>
      </c>
      <c r="M527" s="0" t="str">
        <f aca="false">IF(H527&gt;J527,"ERRO","OK")</f>
        <v>OK</v>
      </c>
      <c r="N527" s="0" t="str">
        <f aca="false">IF(I527&lt;J527,"ERRO","OK")</f>
        <v>OK</v>
      </c>
    </row>
    <row r="528" customFormat="false" ht="25" hidden="false" customHeight="false" outlineLevel="0" collapsed="false">
      <c r="A528" s="0" t="n">
        <v>50</v>
      </c>
      <c r="B528" s="0" t="n">
        <v>2024</v>
      </c>
      <c r="C528" s="3" t="n">
        <v>45406</v>
      </c>
      <c r="D528" s="4" t="s">
        <v>15</v>
      </c>
      <c r="E528" s="5" t="s">
        <v>32</v>
      </c>
      <c r="F528" s="5" t="s">
        <v>17</v>
      </c>
      <c r="G528" s="6"/>
      <c r="H528" s="7" t="n">
        <v>48</v>
      </c>
      <c r="I528" s="7" t="n">
        <v>70</v>
      </c>
      <c r="J528" s="7" t="s">
        <v>223</v>
      </c>
      <c r="K528" s="7" t="n">
        <v>60</v>
      </c>
      <c r="L528" s="0" t="str">
        <f aca="false">IF(H528&gt;I528,"ERRO","OK")</f>
        <v>OK</v>
      </c>
      <c r="M528" s="0" t="str">
        <f aca="false">IF(H528&gt;J528,"ERRO","OK")</f>
        <v>OK</v>
      </c>
      <c r="N528" s="0" t="str">
        <f aca="false">IF(I528&lt;J528,"ERRO","OK")</f>
        <v>ERRO</v>
      </c>
    </row>
    <row r="529" customFormat="false" ht="25" hidden="false" customHeight="false" outlineLevel="0" collapsed="false">
      <c r="A529" s="0" t="n">
        <v>50</v>
      </c>
      <c r="B529" s="0" t="n">
        <v>2024</v>
      </c>
      <c r="C529" s="3" t="n">
        <v>45406</v>
      </c>
      <c r="D529" s="8" t="s">
        <v>15</v>
      </c>
      <c r="E529" s="9" t="s">
        <v>33</v>
      </c>
      <c r="F529" s="9" t="s">
        <v>17</v>
      </c>
      <c r="G529" s="11" t="n">
        <v>54</v>
      </c>
      <c r="H529" s="11" t="n">
        <v>48</v>
      </c>
      <c r="I529" s="11" t="n">
        <v>54</v>
      </c>
      <c r="J529" s="11" t="n">
        <v>52</v>
      </c>
      <c r="K529" s="11" t="n">
        <v>54</v>
      </c>
      <c r="L529" s="0" t="str">
        <f aca="false">IF(H529&gt;I529,"ERRO","OK")</f>
        <v>OK</v>
      </c>
      <c r="M529" s="0" t="str">
        <f aca="false">IF(H529&gt;J529,"ERRO","OK")</f>
        <v>OK</v>
      </c>
      <c r="N529" s="0" t="str">
        <f aca="false">IF(I529&lt;J529,"ERRO","OK")</f>
        <v>OK</v>
      </c>
    </row>
    <row r="530" customFormat="false" ht="25" hidden="false" customHeight="false" outlineLevel="0" collapsed="false">
      <c r="A530" s="0" t="n">
        <v>50</v>
      </c>
      <c r="B530" s="0" t="n">
        <v>2024</v>
      </c>
      <c r="C530" s="3" t="n">
        <v>45406</v>
      </c>
      <c r="D530" s="4" t="s">
        <v>34</v>
      </c>
      <c r="E530" s="5" t="s">
        <v>35</v>
      </c>
      <c r="F530" s="5" t="s">
        <v>36</v>
      </c>
      <c r="G530" s="7" t="n">
        <v>5</v>
      </c>
      <c r="H530" s="7" t="n">
        <v>5</v>
      </c>
      <c r="I530" s="7" t="n">
        <v>5</v>
      </c>
      <c r="J530" s="7" t="n">
        <v>5</v>
      </c>
      <c r="K530" s="7" t="n">
        <v>5</v>
      </c>
      <c r="L530" s="0" t="str">
        <f aca="false">IF(H530&gt;I530,"ERRO","OK")</f>
        <v>OK</v>
      </c>
      <c r="M530" s="0" t="str">
        <f aca="false">IF(H530&gt;J530,"ERRO","OK")</f>
        <v>OK</v>
      </c>
      <c r="N530" s="0" t="str">
        <f aca="false">IF(I530&lt;J530,"ERRO","OK")</f>
        <v>OK</v>
      </c>
    </row>
    <row r="531" customFormat="false" ht="25" hidden="false" customHeight="false" outlineLevel="0" collapsed="false">
      <c r="A531" s="0" t="n">
        <v>50</v>
      </c>
      <c r="B531" s="0" t="n">
        <v>2024</v>
      </c>
      <c r="C531" s="3" t="n">
        <v>45406</v>
      </c>
      <c r="D531" s="8" t="s">
        <v>34</v>
      </c>
      <c r="E531" s="9" t="s">
        <v>38</v>
      </c>
      <c r="F531" s="9" t="s">
        <v>39</v>
      </c>
      <c r="G531" s="10"/>
      <c r="H531" s="11" t="n">
        <v>25</v>
      </c>
      <c r="I531" s="11" t="n">
        <v>30</v>
      </c>
      <c r="J531" s="11" t="s">
        <v>224</v>
      </c>
      <c r="K531" s="11" t="n">
        <v>28</v>
      </c>
      <c r="L531" s="0" t="str">
        <f aca="false">IF(H531&gt;I531,"ERRO","OK")</f>
        <v>OK</v>
      </c>
      <c r="M531" s="0" t="str">
        <f aca="false">IF(H531&gt;J531,"ERRO","OK")</f>
        <v>OK</v>
      </c>
      <c r="N531" s="0" t="str">
        <f aca="false">IF(I531&lt;J531,"ERRO","OK")</f>
        <v>ERRO</v>
      </c>
    </row>
    <row r="532" customFormat="false" ht="25" hidden="false" customHeight="false" outlineLevel="0" collapsed="false">
      <c r="A532" s="0" t="n">
        <v>50</v>
      </c>
      <c r="B532" s="0" t="n">
        <v>2024</v>
      </c>
      <c r="C532" s="3" t="n">
        <v>45406</v>
      </c>
      <c r="D532" s="4" t="s">
        <v>34</v>
      </c>
      <c r="E532" s="5" t="s">
        <v>40</v>
      </c>
      <c r="F532" s="5" t="s">
        <v>39</v>
      </c>
      <c r="G532" s="7" t="n">
        <v>35</v>
      </c>
      <c r="H532" s="7" t="n">
        <v>30</v>
      </c>
      <c r="I532" s="7" t="n">
        <v>35</v>
      </c>
      <c r="J532" s="7" t="s">
        <v>225</v>
      </c>
      <c r="K532" s="7" t="n">
        <v>35</v>
      </c>
      <c r="L532" s="0" t="str">
        <f aca="false">IF(H532&gt;I532,"ERRO","OK")</f>
        <v>OK</v>
      </c>
      <c r="M532" s="0" t="str">
        <f aca="false">IF(H532&gt;J532,"ERRO","OK")</f>
        <v>OK</v>
      </c>
      <c r="N532" s="0" t="str">
        <f aca="false">IF(I532&lt;J532,"ERRO","OK")</f>
        <v>ERRO</v>
      </c>
    </row>
    <row r="533" customFormat="false" ht="36.5" hidden="false" customHeight="false" outlineLevel="0" collapsed="false">
      <c r="A533" s="0" t="n">
        <v>50</v>
      </c>
      <c r="B533" s="0" t="n">
        <v>2024</v>
      </c>
      <c r="C533" s="3" t="n">
        <v>45406</v>
      </c>
      <c r="D533" s="8" t="s">
        <v>42</v>
      </c>
      <c r="E533" s="9" t="s">
        <v>157</v>
      </c>
      <c r="F533" s="9" t="s">
        <v>158</v>
      </c>
      <c r="G533" s="11" t="n">
        <v>110</v>
      </c>
      <c r="H533" s="11" t="n">
        <v>80</v>
      </c>
      <c r="I533" s="11" t="n">
        <v>110</v>
      </c>
      <c r="J533" s="11" t="n">
        <v>98</v>
      </c>
      <c r="K533" s="11" t="n">
        <v>100</v>
      </c>
      <c r="L533" s="0" t="str">
        <f aca="false">IF(H533&gt;I533,"ERRO","OK")</f>
        <v>OK</v>
      </c>
      <c r="M533" s="0" t="str">
        <f aca="false">IF(H533&gt;J533,"ERRO","OK")</f>
        <v>OK</v>
      </c>
      <c r="N533" s="0" t="str">
        <f aca="false">IF(I533&lt;J533,"ERRO","OK")</f>
        <v>OK</v>
      </c>
    </row>
    <row r="534" customFormat="false" ht="36.5" hidden="false" customHeight="false" outlineLevel="0" collapsed="false">
      <c r="A534" s="0" t="n">
        <v>50</v>
      </c>
      <c r="B534" s="0" t="n">
        <v>2024</v>
      </c>
      <c r="C534" s="3" t="n">
        <v>45406</v>
      </c>
      <c r="D534" s="4" t="s">
        <v>42</v>
      </c>
      <c r="E534" s="5" t="s">
        <v>43</v>
      </c>
      <c r="F534" s="5" t="s">
        <v>44</v>
      </c>
      <c r="G534" s="7" t="n">
        <v>80</v>
      </c>
      <c r="H534" s="7" t="n">
        <v>70</v>
      </c>
      <c r="I534" s="7" t="n">
        <v>90</v>
      </c>
      <c r="J534" s="7" t="s">
        <v>159</v>
      </c>
      <c r="K534" s="7" t="n">
        <v>80</v>
      </c>
      <c r="L534" s="0" t="str">
        <f aca="false">IF(H534&gt;I534,"ERRO","OK")</f>
        <v>OK</v>
      </c>
      <c r="M534" s="0" t="str">
        <f aca="false">IF(H534&gt;J534,"ERRO","OK")</f>
        <v>OK</v>
      </c>
      <c r="N534" s="0" t="str">
        <f aca="false">IF(I534&lt;J534,"ERRO","OK")</f>
        <v>ERRO</v>
      </c>
    </row>
    <row r="535" customFormat="false" ht="36.5" hidden="false" customHeight="false" outlineLevel="0" collapsed="false">
      <c r="A535" s="0" t="n">
        <v>50</v>
      </c>
      <c r="B535" s="0" t="n">
        <v>2024</v>
      </c>
      <c r="C535" s="3" t="n">
        <v>45406</v>
      </c>
      <c r="D535" s="8" t="s">
        <v>42</v>
      </c>
      <c r="E535" s="9" t="s">
        <v>46</v>
      </c>
      <c r="F535" s="9" t="s">
        <v>47</v>
      </c>
      <c r="G535" s="11" t="n">
        <v>70</v>
      </c>
      <c r="H535" s="11" t="n">
        <v>40</v>
      </c>
      <c r="I535" s="11" t="n">
        <v>75</v>
      </c>
      <c r="J535" s="11" t="s">
        <v>226</v>
      </c>
      <c r="K535" s="11" t="n">
        <v>70</v>
      </c>
      <c r="L535" s="0" t="str">
        <f aca="false">IF(H535&gt;I535,"ERRO","OK")</f>
        <v>OK</v>
      </c>
      <c r="M535" s="0" t="str">
        <f aca="false">IF(H535&gt;J535,"ERRO","OK")</f>
        <v>OK</v>
      </c>
      <c r="N535" s="0" t="str">
        <f aca="false">IF(I535&lt;J535,"ERRO","OK")</f>
        <v>ERRO</v>
      </c>
    </row>
    <row r="536" customFormat="false" ht="36.5" hidden="false" customHeight="false" outlineLevel="0" collapsed="false">
      <c r="A536" s="0" t="n">
        <v>50</v>
      </c>
      <c r="B536" s="0" t="n">
        <v>2024</v>
      </c>
      <c r="C536" s="3" t="n">
        <v>45406</v>
      </c>
      <c r="D536" s="4" t="s">
        <v>42</v>
      </c>
      <c r="E536" s="5" t="s">
        <v>48</v>
      </c>
      <c r="F536" s="5" t="s">
        <v>49</v>
      </c>
      <c r="G536" s="7" t="n">
        <v>50</v>
      </c>
      <c r="H536" s="7" t="n">
        <v>35</v>
      </c>
      <c r="I536" s="7" t="n">
        <v>55</v>
      </c>
      <c r="J536" s="7" t="s">
        <v>227</v>
      </c>
      <c r="K536" s="7" t="n">
        <v>45</v>
      </c>
      <c r="L536" s="0" t="str">
        <f aca="false">IF(H536&gt;I536,"ERRO","OK")</f>
        <v>OK</v>
      </c>
      <c r="M536" s="0" t="str">
        <f aca="false">IF(H536&gt;J536,"ERRO","OK")</f>
        <v>OK</v>
      </c>
      <c r="N536" s="0" t="str">
        <f aca="false">IF(I536&lt;J536,"ERRO","OK")</f>
        <v>ERRO</v>
      </c>
    </row>
    <row r="537" customFormat="false" ht="36.5" hidden="false" customHeight="false" outlineLevel="0" collapsed="false">
      <c r="A537" s="0" t="n">
        <v>50</v>
      </c>
      <c r="B537" s="0" t="n">
        <v>2024</v>
      </c>
      <c r="C537" s="3" t="n">
        <v>45406</v>
      </c>
      <c r="D537" s="8" t="s">
        <v>42</v>
      </c>
      <c r="E537" s="9" t="s">
        <v>52</v>
      </c>
      <c r="F537" s="9" t="s">
        <v>49</v>
      </c>
      <c r="G537" s="10"/>
      <c r="H537" s="11" t="n">
        <v>90</v>
      </c>
      <c r="I537" s="11" t="n">
        <v>115</v>
      </c>
      <c r="J537" s="11" t="n">
        <v>105</v>
      </c>
      <c r="K537" s="11" t="n">
        <v>110</v>
      </c>
      <c r="L537" s="0" t="str">
        <f aca="false">IF(H537&gt;I537,"ERRO","OK")</f>
        <v>OK</v>
      </c>
      <c r="M537" s="0" t="str">
        <f aca="false">IF(H537&gt;J537,"ERRO","OK")</f>
        <v>OK</v>
      </c>
      <c r="N537" s="0" t="str">
        <f aca="false">IF(I537&lt;J537,"ERRO","OK")</f>
        <v>OK</v>
      </c>
    </row>
    <row r="538" customFormat="false" ht="36.5" hidden="false" customHeight="false" outlineLevel="0" collapsed="false">
      <c r="A538" s="0" t="n">
        <v>50</v>
      </c>
      <c r="B538" s="0" t="n">
        <v>2024</v>
      </c>
      <c r="C538" s="3" t="n">
        <v>45406</v>
      </c>
      <c r="D538" s="4" t="s">
        <v>42</v>
      </c>
      <c r="E538" s="5" t="s">
        <v>53</v>
      </c>
      <c r="F538" s="5" t="s">
        <v>54</v>
      </c>
      <c r="G538" s="7" t="n">
        <v>150</v>
      </c>
      <c r="H538" s="7" t="n">
        <v>100</v>
      </c>
      <c r="I538" s="7" t="n">
        <v>150</v>
      </c>
      <c r="J538" s="7" t="s">
        <v>228</v>
      </c>
      <c r="K538" s="7" t="n">
        <v>130</v>
      </c>
      <c r="L538" s="0" t="str">
        <f aca="false">IF(H538&gt;I538,"ERRO","OK")</f>
        <v>OK</v>
      </c>
      <c r="M538" s="0" t="str">
        <f aca="false">IF(H538&gt;J538,"ERRO","OK")</f>
        <v>OK</v>
      </c>
      <c r="N538" s="0" t="str">
        <f aca="false">IF(I538&lt;J538,"ERRO","OK")</f>
        <v>ERRO</v>
      </c>
    </row>
    <row r="539" customFormat="false" ht="36.5" hidden="false" customHeight="false" outlineLevel="0" collapsed="false">
      <c r="A539" s="0" t="n">
        <v>50</v>
      </c>
      <c r="B539" s="0" t="n">
        <v>2024</v>
      </c>
      <c r="C539" s="3" t="n">
        <v>45406</v>
      </c>
      <c r="D539" s="8" t="s">
        <v>42</v>
      </c>
      <c r="E539" s="9" t="s">
        <v>56</v>
      </c>
      <c r="F539" s="9" t="s">
        <v>47</v>
      </c>
      <c r="G539" s="11" t="n">
        <v>140</v>
      </c>
      <c r="H539" s="11" t="n">
        <v>80</v>
      </c>
      <c r="I539" s="11" t="n">
        <v>170</v>
      </c>
      <c r="J539" s="11" t="n">
        <v>130</v>
      </c>
      <c r="K539" s="11" t="n">
        <v>130</v>
      </c>
      <c r="L539" s="0" t="str">
        <f aca="false">IF(H539&gt;I539,"ERRO","OK")</f>
        <v>OK</v>
      </c>
      <c r="M539" s="0" t="str">
        <f aca="false">IF(H539&gt;J539,"ERRO","OK")</f>
        <v>OK</v>
      </c>
      <c r="N539" s="0" t="str">
        <f aca="false">IF(I539&lt;J539,"ERRO","OK")</f>
        <v>OK</v>
      </c>
    </row>
    <row r="540" customFormat="false" ht="36.5" hidden="false" customHeight="false" outlineLevel="0" collapsed="false">
      <c r="A540" s="0" t="n">
        <v>50</v>
      </c>
      <c r="B540" s="0" t="n">
        <v>2024</v>
      </c>
      <c r="C540" s="3" t="n">
        <v>45406</v>
      </c>
      <c r="D540" s="4" t="s">
        <v>42</v>
      </c>
      <c r="E540" s="5" t="s">
        <v>57</v>
      </c>
      <c r="F540" s="5" t="s">
        <v>47</v>
      </c>
      <c r="G540" s="7" t="n">
        <v>60</v>
      </c>
      <c r="H540" s="7" t="n">
        <v>40</v>
      </c>
      <c r="I540" s="7" t="n">
        <v>80</v>
      </c>
      <c r="J540" s="7" t="s">
        <v>229</v>
      </c>
      <c r="K540" s="7" t="n">
        <v>60</v>
      </c>
      <c r="L540" s="0" t="str">
        <f aca="false">IF(H540&gt;I540,"ERRO","OK")</f>
        <v>OK</v>
      </c>
      <c r="M540" s="0" t="str">
        <f aca="false">IF(H540&gt;J540,"ERRO","OK")</f>
        <v>OK</v>
      </c>
      <c r="N540" s="0" t="str">
        <f aca="false">IF(I540&lt;J540,"ERRO","OK")</f>
        <v>ERRO</v>
      </c>
    </row>
    <row r="541" customFormat="false" ht="36.5" hidden="false" customHeight="false" outlineLevel="0" collapsed="false">
      <c r="A541" s="0" t="n">
        <v>50</v>
      </c>
      <c r="B541" s="0" t="n">
        <v>2024</v>
      </c>
      <c r="C541" s="3" t="n">
        <v>45406</v>
      </c>
      <c r="D541" s="8" t="s">
        <v>42</v>
      </c>
      <c r="E541" s="9" t="s">
        <v>58</v>
      </c>
      <c r="F541" s="9" t="s">
        <v>44</v>
      </c>
      <c r="G541" s="11" t="n">
        <v>100</v>
      </c>
      <c r="H541" s="11" t="n">
        <v>60</v>
      </c>
      <c r="I541" s="11" t="n">
        <v>120</v>
      </c>
      <c r="J541" s="11" t="s">
        <v>230</v>
      </c>
      <c r="K541" s="11" t="n">
        <v>100</v>
      </c>
      <c r="L541" s="0" t="str">
        <f aca="false">IF(H541&gt;I541,"ERRO","OK")</f>
        <v>OK</v>
      </c>
      <c r="M541" s="0" t="str">
        <f aca="false">IF(H541&gt;J541,"ERRO","OK")</f>
        <v>OK</v>
      </c>
      <c r="N541" s="0" t="str">
        <f aca="false">IF(I541&lt;J541,"ERRO","OK")</f>
        <v>ERRO</v>
      </c>
    </row>
    <row r="542" customFormat="false" ht="36.5" hidden="false" customHeight="false" outlineLevel="0" collapsed="false">
      <c r="A542" s="0" t="n">
        <v>50</v>
      </c>
      <c r="B542" s="0" t="n">
        <v>2024</v>
      </c>
      <c r="C542" s="3" t="n">
        <v>45406</v>
      </c>
      <c r="D542" s="4" t="s">
        <v>42</v>
      </c>
      <c r="E542" s="5" t="s">
        <v>60</v>
      </c>
      <c r="F542" s="5" t="s">
        <v>47</v>
      </c>
      <c r="G542" s="6"/>
      <c r="H542" s="7" t="n">
        <v>50</v>
      </c>
      <c r="I542" s="7" t="n">
        <v>78</v>
      </c>
      <c r="J542" s="7" t="s">
        <v>176</v>
      </c>
      <c r="K542" s="7" t="n">
        <v>60</v>
      </c>
      <c r="L542" s="0" t="str">
        <f aca="false">IF(H542&gt;I542,"ERRO","OK")</f>
        <v>OK</v>
      </c>
      <c r="M542" s="0" t="str">
        <f aca="false">IF(H542&gt;J542,"ERRO","OK")</f>
        <v>OK</v>
      </c>
      <c r="N542" s="0" t="str">
        <f aca="false">IF(I542&lt;J542,"ERRO","OK")</f>
        <v>ERRO</v>
      </c>
    </row>
    <row r="543" customFormat="false" ht="36.5" hidden="false" customHeight="false" outlineLevel="0" collapsed="false">
      <c r="A543" s="0" t="n">
        <v>50</v>
      </c>
      <c r="B543" s="0" t="n">
        <v>2024</v>
      </c>
      <c r="C543" s="3" t="n">
        <v>45406</v>
      </c>
      <c r="D543" s="8" t="s">
        <v>42</v>
      </c>
      <c r="E543" s="9" t="s">
        <v>61</v>
      </c>
      <c r="F543" s="9" t="s">
        <v>44</v>
      </c>
      <c r="G543" s="11" t="n">
        <v>70</v>
      </c>
      <c r="H543" s="11" t="n">
        <v>50</v>
      </c>
      <c r="I543" s="11" t="n">
        <v>75</v>
      </c>
      <c r="J543" s="11" t="s">
        <v>106</v>
      </c>
      <c r="K543" s="11" t="n">
        <v>70</v>
      </c>
      <c r="L543" s="0" t="str">
        <f aca="false">IF(H543&gt;I543,"ERRO","OK")</f>
        <v>OK</v>
      </c>
      <c r="M543" s="0" t="str">
        <f aca="false">IF(H543&gt;J543,"ERRO","OK")</f>
        <v>OK</v>
      </c>
      <c r="N543" s="0" t="str">
        <f aca="false">IF(I543&lt;J543,"ERRO","OK")</f>
        <v>ERRO</v>
      </c>
    </row>
    <row r="544" customFormat="false" ht="36.5" hidden="false" customHeight="false" outlineLevel="0" collapsed="false">
      <c r="A544" s="0" t="n">
        <v>50</v>
      </c>
      <c r="B544" s="0" t="n">
        <v>2024</v>
      </c>
      <c r="C544" s="3" t="n">
        <v>45406</v>
      </c>
      <c r="D544" s="4" t="s">
        <v>42</v>
      </c>
      <c r="E544" s="5" t="s">
        <v>62</v>
      </c>
      <c r="F544" s="5" t="s">
        <v>44</v>
      </c>
      <c r="G544" s="7" t="n">
        <v>100</v>
      </c>
      <c r="H544" s="7" t="n">
        <v>70</v>
      </c>
      <c r="I544" s="7" t="n">
        <v>110</v>
      </c>
      <c r="J544" s="7" t="s">
        <v>231</v>
      </c>
      <c r="K544" s="7" t="n">
        <v>100</v>
      </c>
      <c r="L544" s="0" t="str">
        <f aca="false">IF(H544&gt;I544,"ERRO","OK")</f>
        <v>OK</v>
      </c>
      <c r="M544" s="0" t="str">
        <f aca="false">IF(H544&gt;J544,"ERRO","OK")</f>
        <v>OK</v>
      </c>
      <c r="N544" s="0" t="str">
        <f aca="false">IF(I544&lt;J544,"ERRO","OK")</f>
        <v>ERRO</v>
      </c>
    </row>
    <row r="545" customFormat="false" ht="36.5" hidden="false" customHeight="false" outlineLevel="0" collapsed="false">
      <c r="A545" s="0" t="n">
        <v>50</v>
      </c>
      <c r="B545" s="0" t="n">
        <v>2024</v>
      </c>
      <c r="C545" s="3" t="n">
        <v>45406</v>
      </c>
      <c r="D545" s="8" t="s">
        <v>42</v>
      </c>
      <c r="E545" s="9" t="s">
        <v>63</v>
      </c>
      <c r="F545" s="9" t="s">
        <v>49</v>
      </c>
      <c r="G545" s="11" t="n">
        <v>70</v>
      </c>
      <c r="H545" s="11" t="n">
        <v>70</v>
      </c>
      <c r="I545" s="11" t="n">
        <v>80</v>
      </c>
      <c r="J545" s="11" t="s">
        <v>232</v>
      </c>
      <c r="K545" s="11" t="n">
        <v>75</v>
      </c>
      <c r="L545" s="0" t="str">
        <f aca="false">IF(H545&gt;I545,"ERRO","OK")</f>
        <v>OK</v>
      </c>
      <c r="M545" s="0" t="str">
        <f aca="false">IF(H545&gt;J545,"ERRO","OK")</f>
        <v>OK</v>
      </c>
      <c r="N545" s="0" t="str">
        <f aca="false">IF(I545&lt;J545,"ERRO","OK")</f>
        <v>ERRO</v>
      </c>
    </row>
    <row r="546" customFormat="false" ht="36.5" hidden="false" customHeight="false" outlineLevel="0" collapsed="false">
      <c r="A546" s="0" t="n">
        <v>50</v>
      </c>
      <c r="B546" s="0" t="n">
        <v>2024</v>
      </c>
      <c r="C546" s="3" t="n">
        <v>45406</v>
      </c>
      <c r="D546" s="4" t="s">
        <v>42</v>
      </c>
      <c r="E546" s="5" t="s">
        <v>64</v>
      </c>
      <c r="F546" s="5" t="s">
        <v>65</v>
      </c>
      <c r="G546" s="7" t="n">
        <v>120</v>
      </c>
      <c r="H546" s="7" t="n">
        <v>100</v>
      </c>
      <c r="I546" s="7" t="n">
        <v>140</v>
      </c>
      <c r="J546" s="7" t="s">
        <v>164</v>
      </c>
      <c r="K546" s="7" t="n">
        <v>120</v>
      </c>
      <c r="L546" s="0" t="str">
        <f aca="false">IF(H546&gt;I546,"ERRO","OK")</f>
        <v>OK</v>
      </c>
      <c r="M546" s="0" t="str">
        <f aca="false">IF(H546&gt;J546,"ERRO","OK")</f>
        <v>OK</v>
      </c>
      <c r="N546" s="0" t="str">
        <f aca="false">IF(I546&lt;J546,"ERRO","OK")</f>
        <v>ERRO</v>
      </c>
    </row>
    <row r="547" customFormat="false" ht="36.5" hidden="false" customHeight="false" outlineLevel="0" collapsed="false">
      <c r="A547" s="0" t="n">
        <v>50</v>
      </c>
      <c r="B547" s="0" t="n">
        <v>2024</v>
      </c>
      <c r="C547" s="3" t="n">
        <v>45406</v>
      </c>
      <c r="D547" s="8" t="s">
        <v>42</v>
      </c>
      <c r="E547" s="9" t="s">
        <v>67</v>
      </c>
      <c r="F547" s="9" t="s">
        <v>44</v>
      </c>
      <c r="G547" s="11" t="n">
        <v>90</v>
      </c>
      <c r="H547" s="11" t="n">
        <v>90</v>
      </c>
      <c r="I547" s="11" t="n">
        <v>120</v>
      </c>
      <c r="J547" s="11" t="s">
        <v>86</v>
      </c>
      <c r="K547" s="11" t="n">
        <v>100</v>
      </c>
      <c r="L547" s="0" t="str">
        <f aca="false">IF(H547&gt;I547,"ERRO","OK")</f>
        <v>OK</v>
      </c>
      <c r="M547" s="0" t="str">
        <f aca="false">IF(H547&gt;J547,"ERRO","OK")</f>
        <v>OK</v>
      </c>
      <c r="N547" s="0" t="str">
        <f aca="false">IF(I547&lt;J547,"ERRO","OK")</f>
        <v>ERRO</v>
      </c>
    </row>
    <row r="548" customFormat="false" ht="36.5" hidden="false" customHeight="false" outlineLevel="0" collapsed="false">
      <c r="A548" s="0" t="n">
        <v>50</v>
      </c>
      <c r="B548" s="0" t="n">
        <v>2024</v>
      </c>
      <c r="C548" s="3" t="n">
        <v>45406</v>
      </c>
      <c r="D548" s="4" t="s">
        <v>42</v>
      </c>
      <c r="E548" s="5" t="s">
        <v>68</v>
      </c>
      <c r="F548" s="5" t="s">
        <v>44</v>
      </c>
      <c r="G548" s="7" t="n">
        <v>80</v>
      </c>
      <c r="H548" s="7" t="n">
        <v>70</v>
      </c>
      <c r="I548" s="7" t="n">
        <v>120</v>
      </c>
      <c r="J548" s="7" t="s">
        <v>233</v>
      </c>
      <c r="K548" s="7" t="n">
        <v>95</v>
      </c>
      <c r="L548" s="0" t="str">
        <f aca="false">IF(H548&gt;I548,"ERRO","OK")</f>
        <v>OK</v>
      </c>
      <c r="M548" s="0" t="str">
        <f aca="false">IF(H548&gt;J548,"ERRO","OK")</f>
        <v>OK</v>
      </c>
      <c r="N548" s="0" t="str">
        <f aca="false">IF(I548&lt;J548,"ERRO","OK")</f>
        <v>ERRO</v>
      </c>
    </row>
    <row r="549" customFormat="false" ht="14.25" hidden="false" customHeight="false" outlineLevel="0" collapsed="false">
      <c r="A549" s="0" t="n">
        <v>50</v>
      </c>
      <c r="B549" s="0" t="n">
        <v>2024</v>
      </c>
      <c r="C549" s="3" t="n">
        <v>45406</v>
      </c>
      <c r="D549" s="8" t="s">
        <v>69</v>
      </c>
      <c r="E549" s="9" t="s">
        <v>70</v>
      </c>
      <c r="F549" s="9" t="s">
        <v>49</v>
      </c>
      <c r="G549" s="10"/>
      <c r="H549" s="11" t="n">
        <v>85</v>
      </c>
      <c r="I549" s="11" t="n">
        <v>85</v>
      </c>
      <c r="J549" s="11" t="n">
        <v>85</v>
      </c>
      <c r="K549" s="11" t="n">
        <v>85</v>
      </c>
      <c r="L549" s="0" t="str">
        <f aca="false">IF(H549&gt;I549,"ERRO","OK")</f>
        <v>OK</v>
      </c>
      <c r="M549" s="0" t="str">
        <f aca="false">IF(H549&gt;J549,"ERRO","OK")</f>
        <v>OK</v>
      </c>
      <c r="N549" s="0" t="str">
        <f aca="false">IF(I549&lt;J549,"ERRO","OK")</f>
        <v>OK</v>
      </c>
    </row>
    <row r="550" customFormat="false" ht="14.25" hidden="false" customHeight="false" outlineLevel="0" collapsed="false">
      <c r="A550" s="0" t="n">
        <v>50</v>
      </c>
      <c r="B550" s="0" t="n">
        <v>2024</v>
      </c>
      <c r="C550" s="3" t="n">
        <v>45406</v>
      </c>
      <c r="D550" s="4" t="s">
        <v>69</v>
      </c>
      <c r="E550" s="5" t="s">
        <v>71</v>
      </c>
      <c r="F550" s="5" t="s">
        <v>49</v>
      </c>
      <c r="G550" s="6"/>
      <c r="H550" s="7" t="n">
        <v>70</v>
      </c>
      <c r="I550" s="7" t="n">
        <v>80</v>
      </c>
      <c r="J550" s="7" t="n">
        <v>75</v>
      </c>
      <c r="K550" s="7" t="n">
        <v>75</v>
      </c>
      <c r="L550" s="0" t="str">
        <f aca="false">IF(H550&gt;I550,"ERRO","OK")</f>
        <v>OK</v>
      </c>
      <c r="M550" s="0" t="str">
        <f aca="false">IF(H550&gt;J550,"ERRO","OK")</f>
        <v>OK</v>
      </c>
      <c r="N550" s="0" t="str">
        <f aca="false">IF(I550&lt;J550,"ERRO","OK")</f>
        <v>OK</v>
      </c>
    </row>
    <row r="551" customFormat="false" ht="14.25" hidden="false" customHeight="false" outlineLevel="0" collapsed="false">
      <c r="A551" s="0" t="n">
        <v>50</v>
      </c>
      <c r="B551" s="0" t="n">
        <v>2024</v>
      </c>
      <c r="C551" s="3" t="n">
        <v>45406</v>
      </c>
      <c r="D551" s="8" t="s">
        <v>69</v>
      </c>
      <c r="E551" s="9" t="s">
        <v>72</v>
      </c>
      <c r="F551" s="9" t="s">
        <v>49</v>
      </c>
      <c r="G551" s="11" t="n">
        <v>45</v>
      </c>
      <c r="H551" s="11" t="n">
        <v>45</v>
      </c>
      <c r="I551" s="11" t="n">
        <v>45</v>
      </c>
      <c r="J551" s="11" t="n">
        <v>45</v>
      </c>
      <c r="K551" s="11" t="n">
        <v>45</v>
      </c>
      <c r="L551" s="0" t="str">
        <f aca="false">IF(H551&gt;I551,"ERRO","OK")</f>
        <v>OK</v>
      </c>
      <c r="M551" s="0" t="str">
        <f aca="false">IF(H551&gt;J551,"ERRO","OK")</f>
        <v>OK</v>
      </c>
      <c r="N551" s="0" t="str">
        <f aca="false">IF(I551&lt;J551,"ERRO","OK")</f>
        <v>OK</v>
      </c>
    </row>
    <row r="552" customFormat="false" ht="14.25" hidden="false" customHeight="false" outlineLevel="0" collapsed="false">
      <c r="A552" s="0" t="n">
        <v>50</v>
      </c>
      <c r="B552" s="0" t="n">
        <v>2024</v>
      </c>
      <c r="C552" s="3" t="n">
        <v>45406</v>
      </c>
      <c r="D552" s="4" t="s">
        <v>69</v>
      </c>
      <c r="E552" s="5" t="s">
        <v>73</v>
      </c>
      <c r="F552" s="5" t="s">
        <v>49</v>
      </c>
      <c r="G552" s="6"/>
      <c r="H552" s="7" t="n">
        <v>60</v>
      </c>
      <c r="I552" s="7" t="n">
        <v>60</v>
      </c>
      <c r="J552" s="7" t="n">
        <v>60</v>
      </c>
      <c r="K552" s="7" t="n">
        <v>60</v>
      </c>
      <c r="L552" s="0" t="str">
        <f aca="false">IF(H552&gt;I552,"ERRO","OK")</f>
        <v>OK</v>
      </c>
      <c r="M552" s="0" t="str">
        <f aca="false">IF(H552&gt;J552,"ERRO","OK")</f>
        <v>OK</v>
      </c>
      <c r="N552" s="0" t="str">
        <f aca="false">IF(I552&lt;J552,"ERRO","OK")</f>
        <v>OK</v>
      </c>
    </row>
    <row r="553" customFormat="false" ht="14.25" hidden="false" customHeight="false" outlineLevel="0" collapsed="false">
      <c r="A553" s="0" t="n">
        <v>50</v>
      </c>
      <c r="B553" s="0" t="n">
        <v>2024</v>
      </c>
      <c r="C553" s="3" t="n">
        <v>45406</v>
      </c>
      <c r="D553" s="8" t="s">
        <v>69</v>
      </c>
      <c r="E553" s="9" t="s">
        <v>74</v>
      </c>
      <c r="F553" s="9" t="s">
        <v>75</v>
      </c>
      <c r="G553" s="10"/>
      <c r="H553" s="11" t="n">
        <v>60</v>
      </c>
      <c r="I553" s="11" t="n">
        <v>60</v>
      </c>
      <c r="J553" s="11" t="n">
        <v>60</v>
      </c>
      <c r="K553" s="11" t="n">
        <v>60</v>
      </c>
      <c r="L553" s="0" t="str">
        <f aca="false">IF(H553&gt;I553,"ERRO","OK")</f>
        <v>OK</v>
      </c>
      <c r="M553" s="0" t="str">
        <f aca="false">IF(H553&gt;J553,"ERRO","OK")</f>
        <v>OK</v>
      </c>
      <c r="N553" s="0" t="str">
        <f aca="false">IF(I553&lt;J553,"ERRO","OK")</f>
        <v>OK</v>
      </c>
    </row>
    <row r="554" customFormat="false" ht="25" hidden="false" customHeight="false" outlineLevel="0" collapsed="false">
      <c r="A554" s="0" t="n">
        <v>51</v>
      </c>
      <c r="B554" s="0" t="n">
        <v>2024</v>
      </c>
      <c r="C554" s="3" t="n">
        <v>45420</v>
      </c>
      <c r="D554" s="4" t="s">
        <v>15</v>
      </c>
      <c r="E554" s="5" t="s">
        <v>16</v>
      </c>
      <c r="F554" s="5" t="s">
        <v>17</v>
      </c>
      <c r="G554" s="6"/>
      <c r="H554" s="7" t="n">
        <v>48</v>
      </c>
      <c r="I554" s="7" t="n">
        <v>78</v>
      </c>
      <c r="J554" s="7" t="n">
        <v>60</v>
      </c>
      <c r="K554" s="7" t="n">
        <v>54</v>
      </c>
      <c r="L554" s="0" t="str">
        <f aca="false">IF(H554&gt;I554,"ERRO","OK")</f>
        <v>OK</v>
      </c>
      <c r="M554" s="0" t="str">
        <f aca="false">IF(H554&gt;J554,"ERRO","OK")</f>
        <v>OK</v>
      </c>
      <c r="N554" s="0" t="str">
        <f aca="false">IF(I554&lt;J554,"ERRO","OK")</f>
        <v>OK</v>
      </c>
    </row>
    <row r="555" customFormat="false" ht="25" hidden="false" customHeight="false" outlineLevel="0" collapsed="false">
      <c r="A555" s="0" t="n">
        <v>51</v>
      </c>
      <c r="B555" s="0" t="n">
        <v>2024</v>
      </c>
      <c r="C555" s="3" t="n">
        <v>45420</v>
      </c>
      <c r="D555" s="8" t="s">
        <v>15</v>
      </c>
      <c r="E555" s="9" t="s">
        <v>18</v>
      </c>
      <c r="F555" s="9" t="s">
        <v>17</v>
      </c>
      <c r="G555" s="11" t="n">
        <v>72</v>
      </c>
      <c r="H555" s="11" t="n">
        <v>72</v>
      </c>
      <c r="I555" s="11" t="n">
        <v>84</v>
      </c>
      <c r="J555" s="11" t="n">
        <v>76</v>
      </c>
      <c r="K555" s="11" t="n">
        <v>72</v>
      </c>
      <c r="L555" s="0" t="str">
        <f aca="false">IF(H555&gt;I555,"ERRO","OK")</f>
        <v>OK</v>
      </c>
      <c r="M555" s="0" t="str">
        <f aca="false">IF(H555&gt;J555,"ERRO","OK")</f>
        <v>OK</v>
      </c>
      <c r="N555" s="0" t="str">
        <f aca="false">IF(I555&lt;J555,"ERRO","OK")</f>
        <v>OK</v>
      </c>
    </row>
    <row r="556" customFormat="false" ht="25" hidden="false" customHeight="false" outlineLevel="0" collapsed="false">
      <c r="A556" s="0" t="n">
        <v>51</v>
      </c>
      <c r="B556" s="0" t="n">
        <v>2024</v>
      </c>
      <c r="C556" s="3" t="n">
        <v>45420</v>
      </c>
      <c r="D556" s="4" t="s">
        <v>15</v>
      </c>
      <c r="E556" s="5" t="s">
        <v>19</v>
      </c>
      <c r="F556" s="5" t="s">
        <v>17</v>
      </c>
      <c r="G556" s="6"/>
      <c r="H556" s="7" t="n">
        <v>48</v>
      </c>
      <c r="I556" s="7" t="n">
        <v>84</v>
      </c>
      <c r="J556" s="7" t="n">
        <v>68</v>
      </c>
      <c r="K556" s="7" t="n">
        <v>72</v>
      </c>
      <c r="L556" s="0" t="str">
        <f aca="false">IF(H556&gt;I556,"ERRO","OK")</f>
        <v>OK</v>
      </c>
      <c r="M556" s="0" t="str">
        <f aca="false">IF(H556&gt;J556,"ERRO","OK")</f>
        <v>OK</v>
      </c>
      <c r="N556" s="0" t="str">
        <f aca="false">IF(I556&lt;J556,"ERRO","OK")</f>
        <v>OK</v>
      </c>
    </row>
    <row r="557" customFormat="false" ht="25" hidden="false" customHeight="false" outlineLevel="0" collapsed="false">
      <c r="A557" s="0" t="n">
        <v>51</v>
      </c>
      <c r="B557" s="0" t="n">
        <v>2024</v>
      </c>
      <c r="C557" s="3" t="n">
        <v>45420</v>
      </c>
      <c r="D557" s="8" t="s">
        <v>15</v>
      </c>
      <c r="E557" s="9" t="s">
        <v>20</v>
      </c>
      <c r="F557" s="9" t="s">
        <v>17</v>
      </c>
      <c r="G557" s="11" t="n">
        <v>30</v>
      </c>
      <c r="H557" s="11" t="n">
        <v>25</v>
      </c>
      <c r="I557" s="11" t="n">
        <v>30</v>
      </c>
      <c r="J557" s="11" t="s">
        <v>89</v>
      </c>
      <c r="K557" s="11" t="n">
        <v>30</v>
      </c>
      <c r="L557" s="0" t="str">
        <f aca="false">IF(H557&gt;I557,"ERRO","OK")</f>
        <v>OK</v>
      </c>
      <c r="M557" s="0" t="str">
        <f aca="false">IF(H557&gt;J557,"ERRO","OK")</f>
        <v>OK</v>
      </c>
      <c r="N557" s="0" t="str">
        <f aca="false">IF(I557&lt;J557,"ERRO","OK")</f>
        <v>ERRO</v>
      </c>
    </row>
    <row r="558" customFormat="false" ht="25" hidden="false" customHeight="false" outlineLevel="0" collapsed="false">
      <c r="A558" s="0" t="n">
        <v>51</v>
      </c>
      <c r="B558" s="0" t="n">
        <v>2024</v>
      </c>
      <c r="C558" s="3" t="n">
        <v>45420</v>
      </c>
      <c r="D558" s="4" t="s">
        <v>15</v>
      </c>
      <c r="E558" s="5" t="s">
        <v>21</v>
      </c>
      <c r="F558" s="5" t="s">
        <v>17</v>
      </c>
      <c r="G558" s="7" t="n">
        <v>30</v>
      </c>
      <c r="H558" s="7" t="n">
        <v>25</v>
      </c>
      <c r="I558" s="7" t="n">
        <v>30</v>
      </c>
      <c r="J558" s="7" t="s">
        <v>89</v>
      </c>
      <c r="K558" s="7" t="n">
        <v>30</v>
      </c>
      <c r="L558" s="0" t="str">
        <f aca="false">IF(H558&gt;I558,"ERRO","OK")</f>
        <v>OK</v>
      </c>
      <c r="M558" s="0" t="str">
        <f aca="false">IF(H558&gt;J558,"ERRO","OK")</f>
        <v>OK</v>
      </c>
      <c r="N558" s="0" t="str">
        <f aca="false">IF(I558&lt;J558,"ERRO","OK")</f>
        <v>ERRO</v>
      </c>
    </row>
    <row r="559" customFormat="false" ht="25" hidden="false" customHeight="false" outlineLevel="0" collapsed="false">
      <c r="A559" s="0" t="n">
        <v>51</v>
      </c>
      <c r="B559" s="0" t="n">
        <v>2024</v>
      </c>
      <c r="C559" s="3" t="n">
        <v>45420</v>
      </c>
      <c r="D559" s="8" t="s">
        <v>15</v>
      </c>
      <c r="E559" s="9" t="s">
        <v>22</v>
      </c>
      <c r="F559" s="9" t="s">
        <v>17</v>
      </c>
      <c r="G559" s="11" t="n">
        <v>60</v>
      </c>
      <c r="H559" s="11" t="n">
        <v>54</v>
      </c>
      <c r="I559" s="11" t="n">
        <v>60</v>
      </c>
      <c r="J559" s="11" t="n">
        <v>58</v>
      </c>
      <c r="K559" s="11" t="n">
        <v>60</v>
      </c>
      <c r="L559" s="0" t="str">
        <f aca="false">IF(H559&gt;I559,"ERRO","OK")</f>
        <v>OK</v>
      </c>
      <c r="M559" s="0" t="str">
        <f aca="false">IF(H559&gt;J559,"ERRO","OK")</f>
        <v>OK</v>
      </c>
      <c r="N559" s="0" t="str">
        <f aca="false">IF(I559&lt;J559,"ERRO","OK")</f>
        <v>OK</v>
      </c>
    </row>
    <row r="560" customFormat="false" ht="25" hidden="false" customHeight="false" outlineLevel="0" collapsed="false">
      <c r="A560" s="0" t="n">
        <v>51</v>
      </c>
      <c r="B560" s="0" t="n">
        <v>2024</v>
      </c>
      <c r="C560" s="3" t="n">
        <v>45420</v>
      </c>
      <c r="D560" s="4" t="s">
        <v>15</v>
      </c>
      <c r="E560" s="5" t="s">
        <v>23</v>
      </c>
      <c r="F560" s="5" t="s">
        <v>17</v>
      </c>
      <c r="G560" s="7" t="n">
        <v>72</v>
      </c>
      <c r="H560" s="7" t="n">
        <v>72</v>
      </c>
      <c r="I560" s="7" t="n">
        <v>84</v>
      </c>
      <c r="J560" s="7" t="n">
        <v>76</v>
      </c>
      <c r="K560" s="7" t="n">
        <v>72</v>
      </c>
      <c r="L560" s="0" t="str">
        <f aca="false">IF(H560&gt;I560,"ERRO","OK")</f>
        <v>OK</v>
      </c>
      <c r="M560" s="0" t="str">
        <f aca="false">IF(H560&gt;J560,"ERRO","OK")</f>
        <v>OK</v>
      </c>
      <c r="N560" s="0" t="str">
        <f aca="false">IF(I560&lt;J560,"ERRO","OK")</f>
        <v>OK</v>
      </c>
    </row>
    <row r="561" customFormat="false" ht="25" hidden="false" customHeight="false" outlineLevel="0" collapsed="false">
      <c r="A561" s="0" t="n">
        <v>51</v>
      </c>
      <c r="B561" s="0" t="n">
        <v>2024</v>
      </c>
      <c r="C561" s="3" t="n">
        <v>45420</v>
      </c>
      <c r="D561" s="8" t="s">
        <v>15</v>
      </c>
      <c r="E561" s="9" t="s">
        <v>24</v>
      </c>
      <c r="F561" s="9" t="s">
        <v>17</v>
      </c>
      <c r="G561" s="10"/>
      <c r="H561" s="11" t="n">
        <v>84</v>
      </c>
      <c r="I561" s="11" t="n">
        <v>96</v>
      </c>
      <c r="J561" s="11" t="s">
        <v>234</v>
      </c>
      <c r="K561" s="11" t="n">
        <v>95</v>
      </c>
      <c r="L561" s="0" t="str">
        <f aca="false">IF(H561&gt;I561,"ERRO","OK")</f>
        <v>OK</v>
      </c>
      <c r="M561" s="0" t="str">
        <f aca="false">IF(H561&gt;J561,"ERRO","OK")</f>
        <v>OK</v>
      </c>
      <c r="N561" s="0" t="str">
        <f aca="false">IF(I561&lt;J561,"ERRO","OK")</f>
        <v>ERRO</v>
      </c>
    </row>
    <row r="562" customFormat="false" ht="25" hidden="false" customHeight="false" outlineLevel="0" collapsed="false">
      <c r="A562" s="0" t="n">
        <v>51</v>
      </c>
      <c r="B562" s="0" t="n">
        <v>2024</v>
      </c>
      <c r="C562" s="3" t="n">
        <v>45420</v>
      </c>
      <c r="D562" s="4" t="s">
        <v>15</v>
      </c>
      <c r="E562" s="5" t="s">
        <v>25</v>
      </c>
      <c r="F562" s="5" t="s">
        <v>17</v>
      </c>
      <c r="G562" s="7" t="n">
        <v>30</v>
      </c>
      <c r="H562" s="7" t="n">
        <v>24</v>
      </c>
      <c r="I562" s="7" t="n">
        <v>30</v>
      </c>
      <c r="J562" s="7" t="n">
        <v>28</v>
      </c>
      <c r="K562" s="7" t="n">
        <v>30</v>
      </c>
      <c r="L562" s="0" t="str">
        <f aca="false">IF(H562&gt;I562,"ERRO","OK")</f>
        <v>OK</v>
      </c>
      <c r="M562" s="0" t="str">
        <f aca="false">IF(H562&gt;J562,"ERRO","OK")</f>
        <v>OK</v>
      </c>
      <c r="N562" s="0" t="str">
        <f aca="false">IF(I562&lt;J562,"ERRO","OK")</f>
        <v>OK</v>
      </c>
    </row>
    <row r="563" customFormat="false" ht="25" hidden="false" customHeight="false" outlineLevel="0" collapsed="false">
      <c r="A563" s="0" t="n">
        <v>51</v>
      </c>
      <c r="B563" s="0" t="n">
        <v>2024</v>
      </c>
      <c r="C563" s="3" t="n">
        <v>45420</v>
      </c>
      <c r="D563" s="8" t="s">
        <v>15</v>
      </c>
      <c r="E563" s="9" t="s">
        <v>77</v>
      </c>
      <c r="F563" s="9" t="s">
        <v>17</v>
      </c>
      <c r="G563" s="10"/>
      <c r="H563" s="11" t="n">
        <v>95</v>
      </c>
      <c r="I563" s="11" t="n">
        <v>108</v>
      </c>
      <c r="J563" s="11" t="s">
        <v>235</v>
      </c>
      <c r="K563" s="11" t="n">
        <v>96</v>
      </c>
      <c r="L563" s="0" t="str">
        <f aca="false">IF(H563&gt;I563,"ERRO","OK")</f>
        <v>OK</v>
      </c>
      <c r="M563" s="0" t="str">
        <f aca="false">IF(H563&gt;J563,"ERRO","OK")</f>
        <v>OK</v>
      </c>
      <c r="N563" s="0" t="str">
        <f aca="false">IF(I563&lt;J563,"ERRO","OK")</f>
        <v>ERRO</v>
      </c>
    </row>
    <row r="564" customFormat="false" ht="25" hidden="false" customHeight="false" outlineLevel="0" collapsed="false">
      <c r="A564" s="0" t="n">
        <v>51</v>
      </c>
      <c r="B564" s="0" t="n">
        <v>2024</v>
      </c>
      <c r="C564" s="3" t="n">
        <v>45420</v>
      </c>
      <c r="D564" s="4" t="s">
        <v>15</v>
      </c>
      <c r="E564" s="5" t="s">
        <v>27</v>
      </c>
      <c r="F564" s="5" t="s">
        <v>17</v>
      </c>
      <c r="G564" s="7" t="n">
        <v>30</v>
      </c>
      <c r="H564" s="7" t="n">
        <v>25</v>
      </c>
      <c r="I564" s="7" t="n">
        <v>30</v>
      </c>
      <c r="J564" s="7" t="s">
        <v>89</v>
      </c>
      <c r="K564" s="7" t="n">
        <v>30</v>
      </c>
      <c r="L564" s="0" t="str">
        <f aca="false">IF(H564&gt;I564,"ERRO","OK")</f>
        <v>OK</v>
      </c>
      <c r="M564" s="0" t="str">
        <f aca="false">IF(H564&gt;J564,"ERRO","OK")</f>
        <v>OK</v>
      </c>
      <c r="N564" s="0" t="str">
        <f aca="false">IF(I564&lt;J564,"ERRO","OK")</f>
        <v>ERRO</v>
      </c>
    </row>
    <row r="565" customFormat="false" ht="25" hidden="false" customHeight="false" outlineLevel="0" collapsed="false">
      <c r="A565" s="0" t="n">
        <v>51</v>
      </c>
      <c r="B565" s="0" t="n">
        <v>2024</v>
      </c>
      <c r="C565" s="3" t="n">
        <v>45420</v>
      </c>
      <c r="D565" s="8" t="s">
        <v>15</v>
      </c>
      <c r="E565" s="9" t="s">
        <v>28</v>
      </c>
      <c r="F565" s="9" t="s">
        <v>17</v>
      </c>
      <c r="G565" s="11" t="n">
        <v>84</v>
      </c>
      <c r="H565" s="11" t="n">
        <v>78</v>
      </c>
      <c r="I565" s="11" t="n">
        <v>84</v>
      </c>
      <c r="J565" s="11" t="n">
        <v>82</v>
      </c>
      <c r="K565" s="11" t="n">
        <v>84</v>
      </c>
      <c r="L565" s="0" t="str">
        <f aca="false">IF(H565&gt;I565,"ERRO","OK")</f>
        <v>OK</v>
      </c>
      <c r="M565" s="0" t="str">
        <f aca="false">IF(H565&gt;J565,"ERRO","OK")</f>
        <v>OK</v>
      </c>
      <c r="N565" s="0" t="str">
        <f aca="false">IF(I565&lt;J565,"ERRO","OK")</f>
        <v>OK</v>
      </c>
    </row>
    <row r="566" customFormat="false" ht="25" hidden="false" customHeight="false" outlineLevel="0" collapsed="false">
      <c r="A566" s="0" t="n">
        <v>51</v>
      </c>
      <c r="B566" s="0" t="n">
        <v>2024</v>
      </c>
      <c r="C566" s="3" t="n">
        <v>45420</v>
      </c>
      <c r="D566" s="4" t="s">
        <v>15</v>
      </c>
      <c r="E566" s="5" t="s">
        <v>29</v>
      </c>
      <c r="F566" s="5" t="s">
        <v>30</v>
      </c>
      <c r="G566" s="7" t="n">
        <v>60</v>
      </c>
      <c r="H566" s="7" t="n">
        <v>60</v>
      </c>
      <c r="I566" s="7" t="n">
        <v>84</v>
      </c>
      <c r="J566" s="7" t="n">
        <v>68</v>
      </c>
      <c r="K566" s="7" t="n">
        <v>60</v>
      </c>
      <c r="L566" s="0" t="str">
        <f aca="false">IF(H566&gt;I566,"ERRO","OK")</f>
        <v>OK</v>
      </c>
      <c r="M566" s="0" t="str">
        <f aca="false">IF(H566&gt;J566,"ERRO","OK")</f>
        <v>OK</v>
      </c>
      <c r="N566" s="0" t="str">
        <f aca="false">IF(I566&lt;J566,"ERRO","OK")</f>
        <v>OK</v>
      </c>
    </row>
    <row r="567" customFormat="false" ht="25" hidden="false" customHeight="false" outlineLevel="0" collapsed="false">
      <c r="A567" s="0" t="n">
        <v>51</v>
      </c>
      <c r="B567" s="0" t="n">
        <v>2024</v>
      </c>
      <c r="C567" s="3" t="n">
        <v>45420</v>
      </c>
      <c r="D567" s="8" t="s">
        <v>15</v>
      </c>
      <c r="E567" s="9" t="s">
        <v>31</v>
      </c>
      <c r="F567" s="9" t="s">
        <v>17</v>
      </c>
      <c r="G567" s="10"/>
      <c r="H567" s="11" t="n">
        <v>55</v>
      </c>
      <c r="I567" s="11" t="n">
        <v>84</v>
      </c>
      <c r="J567" s="11" t="s">
        <v>236</v>
      </c>
      <c r="K567" s="11" t="n">
        <v>72</v>
      </c>
      <c r="L567" s="0" t="str">
        <f aca="false">IF(H567&gt;I567,"ERRO","OK")</f>
        <v>OK</v>
      </c>
      <c r="M567" s="0" t="str">
        <f aca="false">IF(H567&gt;J567,"ERRO","OK")</f>
        <v>OK</v>
      </c>
      <c r="N567" s="0" t="str">
        <f aca="false">IF(I567&lt;J567,"ERRO","OK")</f>
        <v>ERRO</v>
      </c>
    </row>
    <row r="568" customFormat="false" ht="25" hidden="false" customHeight="false" outlineLevel="0" collapsed="false">
      <c r="A568" s="0" t="n">
        <v>51</v>
      </c>
      <c r="B568" s="0" t="n">
        <v>2024</v>
      </c>
      <c r="C568" s="3" t="n">
        <v>45420</v>
      </c>
      <c r="D568" s="4" t="s">
        <v>15</v>
      </c>
      <c r="E568" s="5" t="s">
        <v>32</v>
      </c>
      <c r="F568" s="5" t="s">
        <v>17</v>
      </c>
      <c r="G568" s="6"/>
      <c r="H568" s="7" t="n">
        <v>48</v>
      </c>
      <c r="I568" s="7" t="n">
        <v>70</v>
      </c>
      <c r="J568" s="7" t="n">
        <v>56</v>
      </c>
      <c r="K568" s="7" t="n">
        <v>50</v>
      </c>
      <c r="L568" s="0" t="str">
        <f aca="false">IF(H568&gt;I568,"ERRO","OK")</f>
        <v>OK</v>
      </c>
      <c r="M568" s="0" t="str">
        <f aca="false">IF(H568&gt;J568,"ERRO","OK")</f>
        <v>OK</v>
      </c>
      <c r="N568" s="0" t="str">
        <f aca="false">IF(I568&lt;J568,"ERRO","OK")</f>
        <v>OK</v>
      </c>
    </row>
    <row r="569" customFormat="false" ht="25" hidden="false" customHeight="false" outlineLevel="0" collapsed="false">
      <c r="A569" s="0" t="n">
        <v>51</v>
      </c>
      <c r="B569" s="0" t="n">
        <v>2024</v>
      </c>
      <c r="C569" s="3" t="n">
        <v>45420</v>
      </c>
      <c r="D569" s="8" t="s">
        <v>15</v>
      </c>
      <c r="E569" s="9" t="s">
        <v>33</v>
      </c>
      <c r="F569" s="9" t="s">
        <v>17</v>
      </c>
      <c r="G569" s="11" t="n">
        <v>54</v>
      </c>
      <c r="H569" s="11" t="n">
        <v>48</v>
      </c>
      <c r="I569" s="11" t="n">
        <v>54</v>
      </c>
      <c r="J569" s="11" t="n">
        <v>52</v>
      </c>
      <c r="K569" s="11" t="n">
        <v>54</v>
      </c>
      <c r="L569" s="0" t="str">
        <f aca="false">IF(H569&gt;I569,"ERRO","OK")</f>
        <v>OK</v>
      </c>
      <c r="M569" s="0" t="str">
        <f aca="false">IF(H569&gt;J569,"ERRO","OK")</f>
        <v>OK</v>
      </c>
      <c r="N569" s="0" t="str">
        <f aca="false">IF(I569&lt;J569,"ERRO","OK")</f>
        <v>OK</v>
      </c>
    </row>
    <row r="570" customFormat="false" ht="25" hidden="false" customHeight="false" outlineLevel="0" collapsed="false">
      <c r="A570" s="0" t="n">
        <v>51</v>
      </c>
      <c r="B570" s="0" t="n">
        <v>2024</v>
      </c>
      <c r="C570" s="3" t="n">
        <v>45420</v>
      </c>
      <c r="D570" s="4" t="s">
        <v>34</v>
      </c>
      <c r="E570" s="5" t="s">
        <v>35</v>
      </c>
      <c r="F570" s="5" t="s">
        <v>36</v>
      </c>
      <c r="G570" s="7" t="n">
        <v>60</v>
      </c>
      <c r="H570" s="7" t="n">
        <v>60</v>
      </c>
      <c r="I570" s="7" t="n">
        <v>72</v>
      </c>
      <c r="J570" s="7" t="n">
        <v>64</v>
      </c>
      <c r="K570" s="7" t="n">
        <v>60</v>
      </c>
      <c r="L570" s="0" t="str">
        <f aca="false">IF(H570&gt;I570,"ERRO","OK")</f>
        <v>OK</v>
      </c>
      <c r="M570" s="0" t="str">
        <f aca="false">IF(H570&gt;J570,"ERRO","OK")</f>
        <v>OK</v>
      </c>
      <c r="N570" s="0" t="str">
        <f aca="false">IF(I570&lt;J570,"ERRO","OK")</f>
        <v>OK</v>
      </c>
    </row>
    <row r="571" customFormat="false" ht="25" hidden="false" customHeight="false" outlineLevel="0" collapsed="false">
      <c r="A571" s="0" t="n">
        <v>51</v>
      </c>
      <c r="B571" s="0" t="n">
        <v>2024</v>
      </c>
      <c r="C571" s="3" t="n">
        <v>45420</v>
      </c>
      <c r="D571" s="8" t="s">
        <v>34</v>
      </c>
      <c r="E571" s="9" t="s">
        <v>38</v>
      </c>
      <c r="F571" s="9" t="s">
        <v>39</v>
      </c>
      <c r="G571" s="10"/>
      <c r="H571" s="11" t="n">
        <v>20</v>
      </c>
      <c r="I571" s="11" t="n">
        <v>30</v>
      </c>
      <c r="J571" s="11" t="n">
        <v>25</v>
      </c>
      <c r="K571" s="11" t="n">
        <v>25</v>
      </c>
      <c r="L571" s="0" t="str">
        <f aca="false">IF(H571&gt;I571,"ERRO","OK")</f>
        <v>OK</v>
      </c>
      <c r="M571" s="0" t="str">
        <f aca="false">IF(H571&gt;J571,"ERRO","OK")</f>
        <v>OK</v>
      </c>
      <c r="N571" s="0" t="str">
        <f aca="false">IF(I571&lt;J571,"ERRO","OK")</f>
        <v>OK</v>
      </c>
    </row>
    <row r="572" customFormat="false" ht="25" hidden="false" customHeight="false" outlineLevel="0" collapsed="false">
      <c r="A572" s="0" t="n">
        <v>51</v>
      </c>
      <c r="B572" s="0" t="n">
        <v>2024</v>
      </c>
      <c r="C572" s="3" t="n">
        <v>45420</v>
      </c>
      <c r="D572" s="4" t="s">
        <v>34</v>
      </c>
      <c r="E572" s="5" t="s">
        <v>40</v>
      </c>
      <c r="F572" s="5" t="s">
        <v>39</v>
      </c>
      <c r="G572" s="7" t="n">
        <v>30</v>
      </c>
      <c r="H572" s="7" t="n">
        <v>30</v>
      </c>
      <c r="I572" s="7" t="n">
        <v>35</v>
      </c>
      <c r="J572" s="7" t="s">
        <v>112</v>
      </c>
      <c r="K572" s="7" t="n">
        <v>30</v>
      </c>
      <c r="L572" s="0" t="str">
        <f aca="false">IF(H572&gt;I572,"ERRO","OK")</f>
        <v>OK</v>
      </c>
      <c r="M572" s="0" t="str">
        <f aca="false">IF(H572&gt;J572,"ERRO","OK")</f>
        <v>OK</v>
      </c>
      <c r="N572" s="0" t="str">
        <f aca="false">IF(I572&lt;J572,"ERRO","OK")</f>
        <v>ERRO</v>
      </c>
    </row>
    <row r="573" customFormat="false" ht="36.5" hidden="false" customHeight="false" outlineLevel="0" collapsed="false">
      <c r="A573" s="0" t="n">
        <v>51</v>
      </c>
      <c r="B573" s="0" t="n">
        <v>2024</v>
      </c>
      <c r="C573" s="3" t="n">
        <v>45420</v>
      </c>
      <c r="D573" s="8" t="s">
        <v>42</v>
      </c>
      <c r="E573" s="9" t="s">
        <v>157</v>
      </c>
      <c r="F573" s="9" t="s">
        <v>158</v>
      </c>
      <c r="G573" s="10"/>
      <c r="H573" s="11" t="n">
        <v>90</v>
      </c>
      <c r="I573" s="11" t="n">
        <v>90</v>
      </c>
      <c r="J573" s="11" t="n">
        <v>90</v>
      </c>
      <c r="K573" s="11" t="n">
        <v>90</v>
      </c>
      <c r="L573" s="0" t="str">
        <f aca="false">IF(H573&gt;I573,"ERRO","OK")</f>
        <v>OK</v>
      </c>
      <c r="M573" s="0" t="str">
        <f aca="false">IF(H573&gt;J573,"ERRO","OK")</f>
        <v>OK</v>
      </c>
      <c r="N573" s="0" t="str">
        <f aca="false">IF(I573&lt;J573,"ERRO","OK")</f>
        <v>OK</v>
      </c>
    </row>
    <row r="574" customFormat="false" ht="36.5" hidden="false" customHeight="false" outlineLevel="0" collapsed="false">
      <c r="A574" s="0" t="n">
        <v>51</v>
      </c>
      <c r="B574" s="0" t="n">
        <v>2024</v>
      </c>
      <c r="C574" s="3" t="n">
        <v>45420</v>
      </c>
      <c r="D574" s="4" t="s">
        <v>42</v>
      </c>
      <c r="E574" s="5" t="s">
        <v>43</v>
      </c>
      <c r="F574" s="5" t="s">
        <v>44</v>
      </c>
      <c r="G574" s="7" t="n">
        <v>70</v>
      </c>
      <c r="H574" s="7" t="n">
        <v>60</v>
      </c>
      <c r="I574" s="7" t="n">
        <v>70</v>
      </c>
      <c r="J574" s="7" t="n">
        <v>65</v>
      </c>
      <c r="K574" s="7" t="n">
        <v>65</v>
      </c>
      <c r="L574" s="0" t="str">
        <f aca="false">IF(H574&gt;I574,"ERRO","OK")</f>
        <v>OK</v>
      </c>
      <c r="M574" s="0" t="str">
        <f aca="false">IF(H574&gt;J574,"ERRO","OK")</f>
        <v>OK</v>
      </c>
      <c r="N574" s="0" t="str">
        <f aca="false">IF(I574&lt;J574,"ERRO","OK")</f>
        <v>OK</v>
      </c>
    </row>
    <row r="575" customFormat="false" ht="36.5" hidden="false" customHeight="false" outlineLevel="0" collapsed="false">
      <c r="A575" s="0" t="n">
        <v>51</v>
      </c>
      <c r="B575" s="0" t="n">
        <v>2024</v>
      </c>
      <c r="C575" s="3" t="n">
        <v>45420</v>
      </c>
      <c r="D575" s="8" t="s">
        <v>42</v>
      </c>
      <c r="E575" s="9" t="s">
        <v>46</v>
      </c>
      <c r="F575" s="9" t="s">
        <v>47</v>
      </c>
      <c r="G575" s="10"/>
      <c r="H575" s="11" t="n">
        <v>45</v>
      </c>
      <c r="I575" s="11" t="n">
        <v>70</v>
      </c>
      <c r="J575" s="11" t="n">
        <v>60</v>
      </c>
      <c r="K575" s="11" t="s">
        <v>84</v>
      </c>
      <c r="L575" s="0" t="str">
        <f aca="false">IF(H575&gt;I575,"ERRO","OK")</f>
        <v>OK</v>
      </c>
      <c r="M575" s="0" t="str">
        <f aca="false">IF(H575&gt;J575,"ERRO","OK")</f>
        <v>OK</v>
      </c>
      <c r="N575" s="0" t="str">
        <f aca="false">IF(I575&lt;J575,"ERRO","OK")</f>
        <v>OK</v>
      </c>
    </row>
    <row r="576" customFormat="false" ht="36.5" hidden="false" customHeight="false" outlineLevel="0" collapsed="false">
      <c r="A576" s="0" t="n">
        <v>51</v>
      </c>
      <c r="B576" s="0" t="n">
        <v>2024</v>
      </c>
      <c r="C576" s="3" t="n">
        <v>45420</v>
      </c>
      <c r="D576" s="4" t="s">
        <v>42</v>
      </c>
      <c r="E576" s="5" t="s">
        <v>48</v>
      </c>
      <c r="F576" s="5" t="s">
        <v>49</v>
      </c>
      <c r="G576" s="7" t="n">
        <v>40</v>
      </c>
      <c r="H576" s="7" t="n">
        <v>40</v>
      </c>
      <c r="I576" s="7" t="n">
        <v>50</v>
      </c>
      <c r="J576" s="7" t="s">
        <v>237</v>
      </c>
      <c r="K576" s="7" t="s">
        <v>51</v>
      </c>
      <c r="L576" s="0" t="str">
        <f aca="false">IF(H576&gt;I576,"ERRO","OK")</f>
        <v>OK</v>
      </c>
      <c r="M576" s="0" t="str">
        <f aca="false">IF(H576&gt;J576,"ERRO","OK")</f>
        <v>OK</v>
      </c>
      <c r="N576" s="0" t="str">
        <f aca="false">IF(I576&lt;J576,"ERRO","OK")</f>
        <v>ERRO</v>
      </c>
    </row>
    <row r="577" customFormat="false" ht="36.5" hidden="false" customHeight="false" outlineLevel="0" collapsed="false">
      <c r="A577" s="0" t="n">
        <v>51</v>
      </c>
      <c r="B577" s="0" t="n">
        <v>2024</v>
      </c>
      <c r="C577" s="3" t="n">
        <v>45420</v>
      </c>
      <c r="D577" s="8" t="s">
        <v>42</v>
      </c>
      <c r="E577" s="9" t="s">
        <v>52</v>
      </c>
      <c r="F577" s="9" t="s">
        <v>49</v>
      </c>
      <c r="G577" s="10"/>
      <c r="H577" s="11" t="n">
        <v>90</v>
      </c>
      <c r="I577" s="11" t="n">
        <v>110</v>
      </c>
      <c r="J577" s="11" t="n">
        <v>100</v>
      </c>
      <c r="K577" s="11" t="n">
        <v>100</v>
      </c>
      <c r="L577" s="0" t="str">
        <f aca="false">IF(H577&gt;I577,"ERRO","OK")</f>
        <v>OK</v>
      </c>
      <c r="M577" s="0" t="str">
        <f aca="false">IF(H577&gt;J577,"ERRO","OK")</f>
        <v>OK</v>
      </c>
      <c r="N577" s="0" t="str">
        <f aca="false">IF(I577&lt;J577,"ERRO","OK")</f>
        <v>OK</v>
      </c>
    </row>
    <row r="578" customFormat="false" ht="36.5" hidden="false" customHeight="false" outlineLevel="0" collapsed="false">
      <c r="A578" s="0" t="n">
        <v>51</v>
      </c>
      <c r="B578" s="0" t="n">
        <v>2024</v>
      </c>
      <c r="C578" s="3" t="n">
        <v>45420</v>
      </c>
      <c r="D578" s="4" t="s">
        <v>42</v>
      </c>
      <c r="E578" s="5" t="s">
        <v>53</v>
      </c>
      <c r="F578" s="5" t="s">
        <v>54</v>
      </c>
      <c r="G578" s="6"/>
      <c r="H578" s="7" t="n">
        <v>100</v>
      </c>
      <c r="I578" s="7" t="n">
        <v>160</v>
      </c>
      <c r="J578" s="7" t="s">
        <v>238</v>
      </c>
      <c r="K578" s="7" t="n">
        <v>135</v>
      </c>
      <c r="L578" s="0" t="str">
        <f aca="false">IF(H578&gt;I578,"ERRO","OK")</f>
        <v>OK</v>
      </c>
      <c r="M578" s="0" t="str">
        <f aca="false">IF(H578&gt;J578,"ERRO","OK")</f>
        <v>OK</v>
      </c>
      <c r="N578" s="0" t="str">
        <f aca="false">IF(I578&lt;J578,"ERRO","OK")</f>
        <v>ERRO</v>
      </c>
    </row>
    <row r="579" customFormat="false" ht="36.5" hidden="false" customHeight="false" outlineLevel="0" collapsed="false">
      <c r="A579" s="0" t="n">
        <v>51</v>
      </c>
      <c r="B579" s="0" t="n">
        <v>2024</v>
      </c>
      <c r="C579" s="3" t="n">
        <v>45420</v>
      </c>
      <c r="D579" s="8" t="s">
        <v>42</v>
      </c>
      <c r="E579" s="9" t="s">
        <v>56</v>
      </c>
      <c r="F579" s="9" t="s">
        <v>47</v>
      </c>
      <c r="G579" s="11" t="n">
        <v>160</v>
      </c>
      <c r="H579" s="11" t="n">
        <v>80</v>
      </c>
      <c r="I579" s="11" t="n">
        <v>170</v>
      </c>
      <c r="J579" s="11" t="n">
        <v>142</v>
      </c>
      <c r="K579" s="11" t="n">
        <v>160</v>
      </c>
      <c r="L579" s="0" t="str">
        <f aca="false">IF(H579&gt;I579,"ERRO","OK")</f>
        <v>OK</v>
      </c>
      <c r="M579" s="0" t="str">
        <f aca="false">IF(H579&gt;J579,"ERRO","OK")</f>
        <v>OK</v>
      </c>
      <c r="N579" s="0" t="str">
        <f aca="false">IF(I579&lt;J579,"ERRO","OK")</f>
        <v>OK</v>
      </c>
    </row>
    <row r="580" customFormat="false" ht="36.5" hidden="false" customHeight="false" outlineLevel="0" collapsed="false">
      <c r="A580" s="0" t="n">
        <v>51</v>
      </c>
      <c r="B580" s="0" t="n">
        <v>2024</v>
      </c>
      <c r="C580" s="3" t="n">
        <v>45420</v>
      </c>
      <c r="D580" s="4" t="s">
        <v>42</v>
      </c>
      <c r="E580" s="5" t="s">
        <v>57</v>
      </c>
      <c r="F580" s="5" t="s">
        <v>47</v>
      </c>
      <c r="G580" s="7" t="n">
        <v>60</v>
      </c>
      <c r="H580" s="7" t="n">
        <v>45</v>
      </c>
      <c r="I580" s="7" t="n">
        <v>60</v>
      </c>
      <c r="J580" s="7" t="s">
        <v>239</v>
      </c>
      <c r="K580" s="7" t="n">
        <v>60</v>
      </c>
      <c r="L580" s="0" t="str">
        <f aca="false">IF(H580&gt;I580,"ERRO","OK")</f>
        <v>OK</v>
      </c>
      <c r="M580" s="0" t="str">
        <f aca="false">IF(H580&gt;J580,"ERRO","OK")</f>
        <v>OK</v>
      </c>
      <c r="N580" s="0" t="str">
        <f aca="false">IF(I580&lt;J580,"ERRO","OK")</f>
        <v>ERRO</v>
      </c>
    </row>
    <row r="581" customFormat="false" ht="36.5" hidden="false" customHeight="false" outlineLevel="0" collapsed="false">
      <c r="A581" s="0" t="n">
        <v>51</v>
      </c>
      <c r="B581" s="0" t="n">
        <v>2024</v>
      </c>
      <c r="C581" s="3" t="n">
        <v>45420</v>
      </c>
      <c r="D581" s="8" t="s">
        <v>42</v>
      </c>
      <c r="E581" s="9" t="s">
        <v>58</v>
      </c>
      <c r="F581" s="9" t="s">
        <v>44</v>
      </c>
      <c r="G581" s="10"/>
      <c r="H581" s="11" t="n">
        <v>120</v>
      </c>
      <c r="I581" s="11" t="n">
        <v>120</v>
      </c>
      <c r="J581" s="11" t="n">
        <v>120</v>
      </c>
      <c r="K581" s="11" t="n">
        <v>120</v>
      </c>
      <c r="L581" s="0" t="str">
        <f aca="false">IF(H581&gt;I581,"ERRO","OK")</f>
        <v>OK</v>
      </c>
      <c r="M581" s="0" t="str">
        <f aca="false">IF(H581&gt;J581,"ERRO","OK")</f>
        <v>OK</v>
      </c>
      <c r="N581" s="0" t="str">
        <f aca="false">IF(I581&lt;J581,"ERRO","OK")</f>
        <v>OK</v>
      </c>
    </row>
    <row r="582" customFormat="false" ht="36.5" hidden="false" customHeight="false" outlineLevel="0" collapsed="false">
      <c r="A582" s="0" t="n">
        <v>51</v>
      </c>
      <c r="B582" s="0" t="n">
        <v>2024</v>
      </c>
      <c r="C582" s="3" t="n">
        <v>45420</v>
      </c>
      <c r="D582" s="4" t="s">
        <v>42</v>
      </c>
      <c r="E582" s="5" t="s">
        <v>60</v>
      </c>
      <c r="F582" s="5" t="s">
        <v>47</v>
      </c>
      <c r="G582" s="6"/>
      <c r="H582" s="6"/>
      <c r="I582" s="6"/>
      <c r="J582" s="6"/>
      <c r="K582" s="6"/>
      <c r="L582" s="0" t="str">
        <f aca="false">IF(H582&gt;I582,"ERRO","OK")</f>
        <v>OK</v>
      </c>
      <c r="M582" s="0" t="str">
        <f aca="false">IF(H582&gt;J582,"ERRO","OK")</f>
        <v>OK</v>
      </c>
      <c r="N582" s="0" t="str">
        <f aca="false">IF(I582&lt;J582,"ERRO","OK")</f>
        <v>OK</v>
      </c>
    </row>
    <row r="583" customFormat="false" ht="36.5" hidden="false" customHeight="false" outlineLevel="0" collapsed="false">
      <c r="A583" s="0" t="n">
        <v>51</v>
      </c>
      <c r="B583" s="0" t="n">
        <v>2024</v>
      </c>
      <c r="C583" s="3" t="n">
        <v>45420</v>
      </c>
      <c r="D583" s="8" t="s">
        <v>42</v>
      </c>
      <c r="E583" s="9" t="s">
        <v>61</v>
      </c>
      <c r="F583" s="9" t="s">
        <v>44</v>
      </c>
      <c r="G583" s="10"/>
      <c r="H583" s="11" t="n">
        <v>75</v>
      </c>
      <c r="I583" s="11" t="n">
        <v>75</v>
      </c>
      <c r="J583" s="11" t="n">
        <v>75</v>
      </c>
      <c r="K583" s="11" t="n">
        <v>75</v>
      </c>
      <c r="L583" s="0" t="str">
        <f aca="false">IF(H583&gt;I583,"ERRO","OK")</f>
        <v>OK</v>
      </c>
      <c r="M583" s="0" t="str">
        <f aca="false">IF(H583&gt;J583,"ERRO","OK")</f>
        <v>OK</v>
      </c>
      <c r="N583" s="0" t="str">
        <f aca="false">IF(I583&lt;J583,"ERRO","OK")</f>
        <v>OK</v>
      </c>
    </row>
    <row r="584" customFormat="false" ht="36.5" hidden="false" customHeight="false" outlineLevel="0" collapsed="false">
      <c r="A584" s="0" t="n">
        <v>51</v>
      </c>
      <c r="B584" s="0" t="n">
        <v>2024</v>
      </c>
      <c r="C584" s="3" t="n">
        <v>45420</v>
      </c>
      <c r="D584" s="4" t="s">
        <v>42</v>
      </c>
      <c r="E584" s="5" t="s">
        <v>62</v>
      </c>
      <c r="F584" s="5" t="s">
        <v>44</v>
      </c>
      <c r="G584" s="6"/>
      <c r="H584" s="7" t="n">
        <v>60</v>
      </c>
      <c r="I584" s="7" t="n">
        <v>90</v>
      </c>
      <c r="J584" s="7" t="s">
        <v>159</v>
      </c>
      <c r="K584" s="7" t="s">
        <v>172</v>
      </c>
      <c r="L584" s="0" t="str">
        <f aca="false">IF(H584&gt;I584,"ERRO","OK")</f>
        <v>OK</v>
      </c>
      <c r="M584" s="0" t="str">
        <f aca="false">IF(H584&gt;J584,"ERRO","OK")</f>
        <v>OK</v>
      </c>
      <c r="N584" s="0" t="str">
        <f aca="false">IF(I584&lt;J584,"ERRO","OK")</f>
        <v>ERRO</v>
      </c>
    </row>
    <row r="585" customFormat="false" ht="36.5" hidden="false" customHeight="false" outlineLevel="0" collapsed="false">
      <c r="A585" s="0" t="n">
        <v>51</v>
      </c>
      <c r="B585" s="0" t="n">
        <v>2024</v>
      </c>
      <c r="C585" s="3" t="n">
        <v>45420</v>
      </c>
      <c r="D585" s="8" t="s">
        <v>42</v>
      </c>
      <c r="E585" s="9" t="s">
        <v>63</v>
      </c>
      <c r="F585" s="9" t="s">
        <v>49</v>
      </c>
      <c r="G585" s="10"/>
      <c r="H585" s="11" t="n">
        <v>55</v>
      </c>
      <c r="I585" s="11" t="n">
        <v>75</v>
      </c>
      <c r="J585" s="11" t="n">
        <v>65</v>
      </c>
      <c r="K585" s="11" t="n">
        <v>65</v>
      </c>
      <c r="L585" s="0" t="str">
        <f aca="false">IF(H585&gt;I585,"ERRO","OK")</f>
        <v>OK</v>
      </c>
      <c r="M585" s="0" t="str">
        <f aca="false">IF(H585&gt;J585,"ERRO","OK")</f>
        <v>OK</v>
      </c>
      <c r="N585" s="0" t="str">
        <f aca="false">IF(I585&lt;J585,"ERRO","OK")</f>
        <v>OK</v>
      </c>
    </row>
    <row r="586" customFormat="false" ht="36.5" hidden="false" customHeight="false" outlineLevel="0" collapsed="false">
      <c r="A586" s="0" t="n">
        <v>51</v>
      </c>
      <c r="B586" s="0" t="n">
        <v>2024</v>
      </c>
      <c r="C586" s="3" t="n">
        <v>45420</v>
      </c>
      <c r="D586" s="4" t="s">
        <v>42</v>
      </c>
      <c r="E586" s="5" t="s">
        <v>64</v>
      </c>
      <c r="F586" s="5" t="s">
        <v>65</v>
      </c>
      <c r="G586" s="7" t="n">
        <v>120</v>
      </c>
      <c r="H586" s="7" t="n">
        <v>120</v>
      </c>
      <c r="I586" s="7" t="n">
        <v>120</v>
      </c>
      <c r="J586" s="7" t="n">
        <v>120</v>
      </c>
      <c r="K586" s="7" t="n">
        <v>120</v>
      </c>
      <c r="L586" s="0" t="str">
        <f aca="false">IF(H586&gt;I586,"ERRO","OK")</f>
        <v>OK</v>
      </c>
      <c r="M586" s="0" t="str">
        <f aca="false">IF(H586&gt;J586,"ERRO","OK")</f>
        <v>OK</v>
      </c>
      <c r="N586" s="0" t="str">
        <f aca="false">IF(I586&lt;J586,"ERRO","OK")</f>
        <v>OK</v>
      </c>
    </row>
    <row r="587" customFormat="false" ht="36.5" hidden="false" customHeight="false" outlineLevel="0" collapsed="false">
      <c r="A587" s="0" t="n">
        <v>51</v>
      </c>
      <c r="B587" s="0" t="n">
        <v>2024</v>
      </c>
      <c r="C587" s="3" t="n">
        <v>45420</v>
      </c>
      <c r="D587" s="8" t="s">
        <v>42</v>
      </c>
      <c r="E587" s="9" t="s">
        <v>67</v>
      </c>
      <c r="F587" s="9" t="s">
        <v>44</v>
      </c>
      <c r="G587" s="10"/>
      <c r="H587" s="11" t="n">
        <v>110</v>
      </c>
      <c r="I587" s="11" t="n">
        <v>160</v>
      </c>
      <c r="J587" s="11" t="n">
        <v>140</v>
      </c>
      <c r="K587" s="11" t="n">
        <v>145</v>
      </c>
      <c r="L587" s="0" t="str">
        <f aca="false">IF(H587&gt;I587,"ERRO","OK")</f>
        <v>OK</v>
      </c>
      <c r="M587" s="0" t="str">
        <f aca="false">IF(H587&gt;J587,"ERRO","OK")</f>
        <v>OK</v>
      </c>
      <c r="N587" s="0" t="str">
        <f aca="false">IF(I587&lt;J587,"ERRO","OK")</f>
        <v>OK</v>
      </c>
    </row>
    <row r="588" customFormat="false" ht="36.5" hidden="false" customHeight="false" outlineLevel="0" collapsed="false">
      <c r="A588" s="0" t="n">
        <v>51</v>
      </c>
      <c r="B588" s="0" t="n">
        <v>2024</v>
      </c>
      <c r="C588" s="3" t="n">
        <v>45420</v>
      </c>
      <c r="D588" s="4" t="s">
        <v>42</v>
      </c>
      <c r="E588" s="5" t="s">
        <v>68</v>
      </c>
      <c r="F588" s="5" t="s">
        <v>44</v>
      </c>
      <c r="G588" s="6"/>
      <c r="H588" s="7" t="n">
        <v>110</v>
      </c>
      <c r="I588" s="7" t="n">
        <v>180</v>
      </c>
      <c r="J588" s="7" t="n">
        <v>145</v>
      </c>
      <c r="K588" s="7" t="n">
        <v>145</v>
      </c>
      <c r="L588" s="0" t="str">
        <f aca="false">IF(H588&gt;I588,"ERRO","OK")</f>
        <v>OK</v>
      </c>
      <c r="M588" s="0" t="str">
        <f aca="false">IF(H588&gt;J588,"ERRO","OK")</f>
        <v>OK</v>
      </c>
      <c r="N588" s="0" t="str">
        <f aca="false">IF(I588&lt;J588,"ERRO","OK")</f>
        <v>OK</v>
      </c>
    </row>
    <row r="589" customFormat="false" ht="14.25" hidden="false" customHeight="false" outlineLevel="0" collapsed="false">
      <c r="A589" s="0" t="n">
        <v>51</v>
      </c>
      <c r="B589" s="0" t="n">
        <v>2024</v>
      </c>
      <c r="C589" s="3" t="n">
        <v>45420</v>
      </c>
      <c r="D589" s="8" t="s">
        <v>69</v>
      </c>
      <c r="E589" s="9" t="s">
        <v>70</v>
      </c>
      <c r="F589" s="9" t="s">
        <v>49</v>
      </c>
      <c r="G589" s="10"/>
      <c r="H589" s="11" t="n">
        <v>110</v>
      </c>
      <c r="I589" s="11" t="n">
        <v>110</v>
      </c>
      <c r="J589" s="11" t="n">
        <v>110</v>
      </c>
      <c r="K589" s="11" t="n">
        <v>110</v>
      </c>
      <c r="L589" s="0" t="str">
        <f aca="false">IF(H589&gt;I589,"ERRO","OK")</f>
        <v>OK</v>
      </c>
      <c r="M589" s="0" t="str">
        <f aca="false">IF(H589&gt;J589,"ERRO","OK")</f>
        <v>OK</v>
      </c>
      <c r="N589" s="0" t="str">
        <f aca="false">IF(I589&lt;J589,"ERRO","OK")</f>
        <v>OK</v>
      </c>
    </row>
    <row r="590" customFormat="false" ht="14.25" hidden="false" customHeight="false" outlineLevel="0" collapsed="false">
      <c r="A590" s="0" t="n">
        <v>51</v>
      </c>
      <c r="B590" s="0" t="n">
        <v>2024</v>
      </c>
      <c r="C590" s="3" t="n">
        <v>45420</v>
      </c>
      <c r="D590" s="4" t="s">
        <v>69</v>
      </c>
      <c r="E590" s="5" t="s">
        <v>71</v>
      </c>
      <c r="F590" s="5" t="s">
        <v>49</v>
      </c>
      <c r="G590" s="7" t="n">
        <v>70</v>
      </c>
      <c r="H590" s="7" t="n">
        <v>70</v>
      </c>
      <c r="I590" s="7" t="n">
        <v>70</v>
      </c>
      <c r="J590" s="7" t="n">
        <v>70</v>
      </c>
      <c r="K590" s="7" t="n">
        <v>70</v>
      </c>
      <c r="L590" s="0" t="str">
        <f aca="false">IF(H590&gt;I590,"ERRO","OK")</f>
        <v>OK</v>
      </c>
      <c r="M590" s="0" t="str">
        <f aca="false">IF(H590&gt;J590,"ERRO","OK")</f>
        <v>OK</v>
      </c>
      <c r="N590" s="0" t="str">
        <f aca="false">IF(I590&lt;J590,"ERRO","OK")</f>
        <v>OK</v>
      </c>
    </row>
    <row r="591" customFormat="false" ht="14.25" hidden="false" customHeight="false" outlineLevel="0" collapsed="false">
      <c r="A591" s="0" t="n">
        <v>51</v>
      </c>
      <c r="B591" s="0" t="n">
        <v>2024</v>
      </c>
      <c r="C591" s="3" t="n">
        <v>45420</v>
      </c>
      <c r="D591" s="8" t="s">
        <v>69</v>
      </c>
      <c r="E591" s="9" t="s">
        <v>72</v>
      </c>
      <c r="F591" s="9" t="s">
        <v>49</v>
      </c>
      <c r="G591" s="10"/>
      <c r="H591" s="11" t="n">
        <v>50</v>
      </c>
      <c r="I591" s="11" t="n">
        <v>60</v>
      </c>
      <c r="J591" s="11" t="n">
        <v>55</v>
      </c>
      <c r="K591" s="11" t="n">
        <v>55</v>
      </c>
      <c r="L591" s="0" t="str">
        <f aca="false">IF(H591&gt;I591,"ERRO","OK")</f>
        <v>OK</v>
      </c>
      <c r="M591" s="0" t="str">
        <f aca="false">IF(H591&gt;J591,"ERRO","OK")</f>
        <v>OK</v>
      </c>
      <c r="N591" s="0" t="str">
        <f aca="false">IF(I591&lt;J591,"ERRO","OK")</f>
        <v>OK</v>
      </c>
    </row>
    <row r="592" customFormat="false" ht="14.25" hidden="false" customHeight="false" outlineLevel="0" collapsed="false">
      <c r="A592" s="0" t="n">
        <v>51</v>
      </c>
      <c r="B592" s="0" t="n">
        <v>2024</v>
      </c>
      <c r="C592" s="3" t="n">
        <v>45420</v>
      </c>
      <c r="D592" s="4" t="s">
        <v>69</v>
      </c>
      <c r="E592" s="5" t="s">
        <v>73</v>
      </c>
      <c r="F592" s="5" t="s">
        <v>49</v>
      </c>
      <c r="G592" s="6"/>
      <c r="H592" s="7" t="n">
        <v>55</v>
      </c>
      <c r="I592" s="7" t="n">
        <v>55</v>
      </c>
      <c r="J592" s="7" t="n">
        <v>55</v>
      </c>
      <c r="K592" s="7" t="n">
        <v>55</v>
      </c>
      <c r="L592" s="0" t="str">
        <f aca="false">IF(H592&gt;I592,"ERRO","OK")</f>
        <v>OK</v>
      </c>
      <c r="M592" s="0" t="str">
        <f aca="false">IF(H592&gt;J592,"ERRO","OK")</f>
        <v>OK</v>
      </c>
      <c r="N592" s="0" t="str">
        <f aca="false">IF(I592&lt;J592,"ERRO","OK")</f>
        <v>OK</v>
      </c>
    </row>
    <row r="593" customFormat="false" ht="14.25" hidden="false" customHeight="false" outlineLevel="0" collapsed="false">
      <c r="A593" s="0" t="n">
        <v>51</v>
      </c>
      <c r="B593" s="0" t="n">
        <v>2024</v>
      </c>
      <c r="C593" s="3" t="n">
        <v>45420</v>
      </c>
      <c r="D593" s="8" t="s">
        <v>69</v>
      </c>
      <c r="E593" s="9" t="s">
        <v>74</v>
      </c>
      <c r="F593" s="9" t="s">
        <v>75</v>
      </c>
      <c r="G593" s="10"/>
      <c r="H593" s="11" t="n">
        <v>40</v>
      </c>
      <c r="I593" s="11" t="n">
        <v>55</v>
      </c>
      <c r="J593" s="11" t="s">
        <v>95</v>
      </c>
      <c r="K593" s="11" t="s">
        <v>95</v>
      </c>
      <c r="L593" s="0" t="str">
        <f aca="false">IF(H593&gt;I593,"ERRO","OK")</f>
        <v>OK</v>
      </c>
      <c r="M593" s="0" t="str">
        <f aca="false">IF(H593&gt;J593,"ERRO","OK")</f>
        <v>OK</v>
      </c>
      <c r="N593" s="0" t="str">
        <f aca="false">IF(I593&lt;J593,"ERRO","OK")</f>
        <v>ERRO</v>
      </c>
    </row>
    <row r="594" customFormat="false" ht="25" hidden="false" customHeight="false" outlineLevel="0" collapsed="false">
      <c r="A594" s="0" t="n">
        <v>52</v>
      </c>
      <c r="B594" s="0" t="n">
        <v>2024</v>
      </c>
      <c r="C594" s="3" t="n">
        <v>45427</v>
      </c>
      <c r="D594" s="4" t="s">
        <v>15</v>
      </c>
      <c r="E594" s="5" t="s">
        <v>16</v>
      </c>
      <c r="F594" s="5" t="s">
        <v>17</v>
      </c>
      <c r="G594" s="6"/>
      <c r="H594" s="7" t="n">
        <v>60</v>
      </c>
      <c r="I594" s="7" t="n">
        <v>72</v>
      </c>
      <c r="J594" s="7" t="n">
        <v>66</v>
      </c>
      <c r="K594" s="7" t="n">
        <v>66</v>
      </c>
      <c r="L594" s="0" t="str">
        <f aca="false">IF(H594&gt;I594,"ERRO","OK")</f>
        <v>OK</v>
      </c>
      <c r="M594" s="0" t="str">
        <f aca="false">IF(H594&gt;J594,"ERRO","OK")</f>
        <v>OK</v>
      </c>
      <c r="N594" s="0" t="str">
        <f aca="false">IF(I594&lt;J594,"ERRO","OK")</f>
        <v>OK</v>
      </c>
    </row>
    <row r="595" customFormat="false" ht="25" hidden="false" customHeight="false" outlineLevel="0" collapsed="false">
      <c r="A595" s="0" t="n">
        <v>52</v>
      </c>
      <c r="B595" s="0" t="n">
        <v>2024</v>
      </c>
      <c r="C595" s="3" t="n">
        <v>45427</v>
      </c>
      <c r="D595" s="8" t="s">
        <v>15</v>
      </c>
      <c r="E595" s="9" t="s">
        <v>18</v>
      </c>
      <c r="F595" s="9" t="s">
        <v>17</v>
      </c>
      <c r="G595" s="11" t="n">
        <v>84</v>
      </c>
      <c r="H595" s="11" t="n">
        <v>72</v>
      </c>
      <c r="I595" s="11" t="n">
        <v>84</v>
      </c>
      <c r="J595" s="11" t="n">
        <v>80</v>
      </c>
      <c r="K595" s="11" t="n">
        <v>84</v>
      </c>
      <c r="L595" s="0" t="str">
        <f aca="false">IF(H595&gt;I595,"ERRO","OK")</f>
        <v>OK</v>
      </c>
      <c r="M595" s="0" t="str">
        <f aca="false">IF(H595&gt;J595,"ERRO","OK")</f>
        <v>OK</v>
      </c>
      <c r="N595" s="0" t="str">
        <f aca="false">IF(I595&lt;J595,"ERRO","OK")</f>
        <v>OK</v>
      </c>
    </row>
    <row r="596" customFormat="false" ht="25" hidden="false" customHeight="false" outlineLevel="0" collapsed="false">
      <c r="A596" s="0" t="n">
        <v>52</v>
      </c>
      <c r="B596" s="0" t="n">
        <v>2024</v>
      </c>
      <c r="C596" s="3" t="n">
        <v>45427</v>
      </c>
      <c r="D596" s="4" t="s">
        <v>15</v>
      </c>
      <c r="E596" s="5" t="s">
        <v>19</v>
      </c>
      <c r="F596" s="5" t="s">
        <v>17</v>
      </c>
      <c r="G596" s="6"/>
      <c r="H596" s="7" t="n">
        <v>42</v>
      </c>
      <c r="I596" s="7" t="n">
        <v>54</v>
      </c>
      <c r="J596" s="7" t="n">
        <v>47</v>
      </c>
      <c r="K596" s="7" t="n">
        <v>45</v>
      </c>
      <c r="L596" s="0" t="str">
        <f aca="false">IF(H596&gt;I596,"ERRO","OK")</f>
        <v>OK</v>
      </c>
      <c r="M596" s="0" t="str">
        <f aca="false">IF(H596&gt;J596,"ERRO","OK")</f>
        <v>OK</v>
      </c>
      <c r="N596" s="0" t="str">
        <f aca="false">IF(I596&lt;J596,"ERRO","OK")</f>
        <v>OK</v>
      </c>
    </row>
    <row r="597" customFormat="false" ht="25" hidden="false" customHeight="false" outlineLevel="0" collapsed="false">
      <c r="A597" s="0" t="n">
        <v>52</v>
      </c>
      <c r="B597" s="0" t="n">
        <v>2024</v>
      </c>
      <c r="C597" s="3" t="n">
        <v>45427</v>
      </c>
      <c r="D597" s="8" t="s">
        <v>15</v>
      </c>
      <c r="E597" s="9" t="s">
        <v>20</v>
      </c>
      <c r="F597" s="9" t="s">
        <v>17</v>
      </c>
      <c r="G597" s="11" t="n">
        <v>24</v>
      </c>
      <c r="H597" s="11" t="n">
        <v>20</v>
      </c>
      <c r="I597" s="11" t="n">
        <v>33</v>
      </c>
      <c r="J597" s="11" t="s">
        <v>240</v>
      </c>
      <c r="K597" s="11" t="n">
        <v>24</v>
      </c>
      <c r="L597" s="0" t="str">
        <f aca="false">IF(H597&gt;I597,"ERRO","OK")</f>
        <v>OK</v>
      </c>
      <c r="M597" s="0" t="str">
        <f aca="false">IF(H597&gt;J597,"ERRO","OK")</f>
        <v>OK</v>
      </c>
      <c r="N597" s="0" t="str">
        <f aca="false">IF(I597&lt;J597,"ERRO","OK")</f>
        <v>ERRO</v>
      </c>
    </row>
    <row r="598" customFormat="false" ht="25" hidden="false" customHeight="false" outlineLevel="0" collapsed="false">
      <c r="A598" s="0" t="n">
        <v>52</v>
      </c>
      <c r="B598" s="0" t="n">
        <v>2024</v>
      </c>
      <c r="C598" s="3" t="n">
        <v>45427</v>
      </c>
      <c r="D598" s="4" t="s">
        <v>15</v>
      </c>
      <c r="E598" s="5" t="s">
        <v>21</v>
      </c>
      <c r="F598" s="5" t="s">
        <v>17</v>
      </c>
      <c r="G598" s="6"/>
      <c r="H598" s="7" t="n">
        <v>20</v>
      </c>
      <c r="I598" s="7" t="n">
        <v>33</v>
      </c>
      <c r="J598" s="7" t="s">
        <v>241</v>
      </c>
      <c r="K598" s="7" t="n">
        <v>24</v>
      </c>
      <c r="L598" s="0" t="str">
        <f aca="false">IF(H598&gt;I598,"ERRO","OK")</f>
        <v>OK</v>
      </c>
      <c r="M598" s="0" t="str">
        <f aca="false">IF(H598&gt;J598,"ERRO","OK")</f>
        <v>OK</v>
      </c>
      <c r="N598" s="0" t="str">
        <f aca="false">IF(I598&lt;J598,"ERRO","OK")</f>
        <v>ERRO</v>
      </c>
    </row>
    <row r="599" customFormat="false" ht="25" hidden="false" customHeight="false" outlineLevel="0" collapsed="false">
      <c r="A599" s="0" t="n">
        <v>52</v>
      </c>
      <c r="B599" s="0" t="n">
        <v>2024</v>
      </c>
      <c r="C599" s="3" t="n">
        <v>45427</v>
      </c>
      <c r="D599" s="8" t="s">
        <v>15</v>
      </c>
      <c r="E599" s="9" t="s">
        <v>22</v>
      </c>
      <c r="F599" s="9" t="s">
        <v>17</v>
      </c>
      <c r="G599" s="11" t="n">
        <v>60</v>
      </c>
      <c r="H599" s="11" t="n">
        <v>60</v>
      </c>
      <c r="I599" s="11" t="n">
        <v>60</v>
      </c>
      <c r="J599" s="11" t="n">
        <v>60</v>
      </c>
      <c r="K599" s="11" t="n">
        <v>60</v>
      </c>
      <c r="L599" s="0" t="str">
        <f aca="false">IF(H599&gt;I599,"ERRO","OK")</f>
        <v>OK</v>
      </c>
      <c r="M599" s="0" t="str">
        <f aca="false">IF(H599&gt;J599,"ERRO","OK")</f>
        <v>OK</v>
      </c>
      <c r="N599" s="0" t="str">
        <f aca="false">IF(I599&lt;J599,"ERRO","OK")</f>
        <v>OK</v>
      </c>
    </row>
    <row r="600" customFormat="false" ht="25" hidden="false" customHeight="false" outlineLevel="0" collapsed="false">
      <c r="A600" s="0" t="n">
        <v>52</v>
      </c>
      <c r="B600" s="0" t="n">
        <v>2024</v>
      </c>
      <c r="C600" s="3" t="n">
        <v>45427</v>
      </c>
      <c r="D600" s="4" t="s">
        <v>15</v>
      </c>
      <c r="E600" s="5" t="s">
        <v>23</v>
      </c>
      <c r="F600" s="5" t="s">
        <v>17</v>
      </c>
      <c r="G600" s="7" t="n">
        <v>72</v>
      </c>
      <c r="H600" s="7" t="n">
        <v>72</v>
      </c>
      <c r="I600" s="7" t="n">
        <v>84</v>
      </c>
      <c r="J600" s="7" t="n">
        <v>76</v>
      </c>
      <c r="K600" s="7" t="n">
        <v>72</v>
      </c>
      <c r="L600" s="0" t="str">
        <f aca="false">IF(H600&gt;I600,"ERRO","OK")</f>
        <v>OK</v>
      </c>
      <c r="M600" s="0" t="str">
        <f aca="false">IF(H600&gt;J600,"ERRO","OK")</f>
        <v>OK</v>
      </c>
      <c r="N600" s="0" t="str">
        <f aca="false">IF(I600&lt;J600,"ERRO","OK")</f>
        <v>OK</v>
      </c>
    </row>
    <row r="601" customFormat="false" ht="25" hidden="false" customHeight="false" outlineLevel="0" collapsed="false">
      <c r="A601" s="0" t="n">
        <v>52</v>
      </c>
      <c r="B601" s="0" t="n">
        <v>2024</v>
      </c>
      <c r="C601" s="3" t="n">
        <v>45427</v>
      </c>
      <c r="D601" s="8" t="s">
        <v>15</v>
      </c>
      <c r="E601" s="9" t="s">
        <v>24</v>
      </c>
      <c r="F601" s="9" t="s">
        <v>17</v>
      </c>
      <c r="G601" s="10"/>
      <c r="H601" s="11" t="n">
        <v>84</v>
      </c>
      <c r="I601" s="11" t="n">
        <v>96</v>
      </c>
      <c r="J601" s="11" t="s">
        <v>234</v>
      </c>
      <c r="K601" s="11" t="n">
        <v>95</v>
      </c>
      <c r="L601" s="0" t="str">
        <f aca="false">IF(H601&gt;I601,"ERRO","OK")</f>
        <v>OK</v>
      </c>
      <c r="M601" s="0" t="str">
        <f aca="false">IF(H601&gt;J601,"ERRO","OK")</f>
        <v>OK</v>
      </c>
      <c r="N601" s="0" t="str">
        <f aca="false">IF(I601&lt;J601,"ERRO","OK")</f>
        <v>ERRO</v>
      </c>
    </row>
    <row r="602" customFormat="false" ht="25" hidden="false" customHeight="false" outlineLevel="0" collapsed="false">
      <c r="A602" s="0" t="n">
        <v>52</v>
      </c>
      <c r="B602" s="0" t="n">
        <v>2024</v>
      </c>
      <c r="C602" s="3" t="n">
        <v>45427</v>
      </c>
      <c r="D602" s="4" t="s">
        <v>15</v>
      </c>
      <c r="E602" s="5" t="s">
        <v>25</v>
      </c>
      <c r="F602" s="5" t="s">
        <v>17</v>
      </c>
      <c r="G602" s="7" t="n">
        <v>24</v>
      </c>
      <c r="H602" s="7" t="n">
        <v>6</v>
      </c>
      <c r="I602" s="7" t="n">
        <v>30</v>
      </c>
      <c r="J602" s="7" t="n">
        <v>21</v>
      </c>
      <c r="K602" s="7" t="n">
        <v>24</v>
      </c>
      <c r="L602" s="0" t="str">
        <f aca="false">IF(H602&gt;I602,"ERRO","OK")</f>
        <v>OK</v>
      </c>
      <c r="M602" s="0" t="str">
        <f aca="false">IF(H602&gt;J602,"ERRO","OK")</f>
        <v>OK</v>
      </c>
      <c r="N602" s="0" t="str">
        <f aca="false">IF(I602&lt;J602,"ERRO","OK")</f>
        <v>OK</v>
      </c>
    </row>
    <row r="603" customFormat="false" ht="25" hidden="false" customHeight="false" outlineLevel="0" collapsed="false">
      <c r="A603" s="0" t="n">
        <v>52</v>
      </c>
      <c r="B603" s="0" t="n">
        <v>2024</v>
      </c>
      <c r="C603" s="3" t="n">
        <v>45427</v>
      </c>
      <c r="D603" s="8" t="s">
        <v>15</v>
      </c>
      <c r="E603" s="9" t="s">
        <v>77</v>
      </c>
      <c r="F603" s="9" t="s">
        <v>17</v>
      </c>
      <c r="G603" s="11" t="n">
        <v>96</v>
      </c>
      <c r="H603" s="11" t="n">
        <v>90</v>
      </c>
      <c r="I603" s="11" t="n">
        <v>96</v>
      </c>
      <c r="J603" s="11" t="n">
        <v>94</v>
      </c>
      <c r="K603" s="11" t="n">
        <v>96</v>
      </c>
      <c r="L603" s="0" t="str">
        <f aca="false">IF(H603&gt;I603,"ERRO","OK")</f>
        <v>OK</v>
      </c>
      <c r="M603" s="0" t="str">
        <f aca="false">IF(H603&gt;J603,"ERRO","OK")</f>
        <v>OK</v>
      </c>
      <c r="N603" s="0" t="str">
        <f aca="false">IF(I603&lt;J603,"ERRO","OK")</f>
        <v>OK</v>
      </c>
    </row>
    <row r="604" customFormat="false" ht="25" hidden="false" customHeight="false" outlineLevel="0" collapsed="false">
      <c r="A604" s="0" t="n">
        <v>52</v>
      </c>
      <c r="B604" s="0" t="n">
        <v>2024</v>
      </c>
      <c r="C604" s="3" t="n">
        <v>45427</v>
      </c>
      <c r="D604" s="4" t="s">
        <v>15</v>
      </c>
      <c r="E604" s="5" t="s">
        <v>27</v>
      </c>
      <c r="F604" s="5" t="s">
        <v>17</v>
      </c>
      <c r="G604" s="6"/>
      <c r="H604" s="7" t="n">
        <v>20</v>
      </c>
      <c r="I604" s="7" t="n">
        <v>33</v>
      </c>
      <c r="J604" s="7" t="s">
        <v>224</v>
      </c>
      <c r="K604" s="7" t="n">
        <v>30</v>
      </c>
      <c r="L604" s="0" t="str">
        <f aca="false">IF(H604&gt;I604,"ERRO","OK")</f>
        <v>OK</v>
      </c>
      <c r="M604" s="0" t="str">
        <f aca="false">IF(H604&gt;J604,"ERRO","OK")</f>
        <v>OK</v>
      </c>
      <c r="N604" s="0" t="str">
        <f aca="false">IF(I604&lt;J604,"ERRO","OK")</f>
        <v>ERRO</v>
      </c>
    </row>
    <row r="605" customFormat="false" ht="25" hidden="false" customHeight="false" outlineLevel="0" collapsed="false">
      <c r="A605" s="0" t="n">
        <v>52</v>
      </c>
      <c r="B605" s="0" t="n">
        <v>2024</v>
      </c>
      <c r="C605" s="3" t="n">
        <v>45427</v>
      </c>
      <c r="D605" s="8" t="s">
        <v>15</v>
      </c>
      <c r="E605" s="9" t="s">
        <v>28</v>
      </c>
      <c r="F605" s="9" t="s">
        <v>17</v>
      </c>
      <c r="G605" s="11" t="n">
        <v>78</v>
      </c>
      <c r="H605" s="11" t="n">
        <v>78</v>
      </c>
      <c r="I605" s="11" t="n">
        <v>84</v>
      </c>
      <c r="J605" s="11" t="n">
        <v>80</v>
      </c>
      <c r="K605" s="11" t="n">
        <v>78</v>
      </c>
      <c r="L605" s="0" t="str">
        <f aca="false">IF(H605&gt;I605,"ERRO","OK")</f>
        <v>OK</v>
      </c>
      <c r="M605" s="0" t="str">
        <f aca="false">IF(H605&gt;J605,"ERRO","OK")</f>
        <v>OK</v>
      </c>
      <c r="N605" s="0" t="str">
        <f aca="false">IF(I605&lt;J605,"ERRO","OK")</f>
        <v>OK</v>
      </c>
    </row>
    <row r="606" customFormat="false" ht="25" hidden="false" customHeight="false" outlineLevel="0" collapsed="false">
      <c r="A606" s="0" t="n">
        <v>52</v>
      </c>
      <c r="B606" s="0" t="n">
        <v>2024</v>
      </c>
      <c r="C606" s="3" t="n">
        <v>45427</v>
      </c>
      <c r="D606" s="4" t="s">
        <v>15</v>
      </c>
      <c r="E606" s="5" t="s">
        <v>29</v>
      </c>
      <c r="F606" s="5" t="s">
        <v>30</v>
      </c>
      <c r="G606" s="7" t="n">
        <v>72</v>
      </c>
      <c r="H606" s="7" t="n">
        <v>72</v>
      </c>
      <c r="I606" s="7" t="n">
        <v>78</v>
      </c>
      <c r="J606" s="7" t="n">
        <v>74</v>
      </c>
      <c r="K606" s="7" t="n">
        <v>72</v>
      </c>
      <c r="L606" s="0" t="str">
        <f aca="false">IF(H606&gt;I606,"ERRO","OK")</f>
        <v>OK</v>
      </c>
      <c r="M606" s="0" t="str">
        <f aca="false">IF(H606&gt;J606,"ERRO","OK")</f>
        <v>OK</v>
      </c>
      <c r="N606" s="0" t="str">
        <f aca="false">IF(I606&lt;J606,"ERRO","OK")</f>
        <v>OK</v>
      </c>
    </row>
    <row r="607" customFormat="false" ht="25" hidden="false" customHeight="false" outlineLevel="0" collapsed="false">
      <c r="A607" s="0" t="n">
        <v>52</v>
      </c>
      <c r="B607" s="0" t="n">
        <v>2024</v>
      </c>
      <c r="C607" s="3" t="n">
        <v>45427</v>
      </c>
      <c r="D607" s="8" t="s">
        <v>15</v>
      </c>
      <c r="E607" s="9" t="s">
        <v>31</v>
      </c>
      <c r="F607" s="9" t="s">
        <v>17</v>
      </c>
      <c r="G607" s="10"/>
      <c r="H607" s="11" t="n">
        <v>55</v>
      </c>
      <c r="I607" s="11" t="n">
        <v>86</v>
      </c>
      <c r="J607" s="11" t="n">
        <v>75</v>
      </c>
      <c r="K607" s="11" t="n">
        <v>84</v>
      </c>
      <c r="L607" s="0" t="str">
        <f aca="false">IF(H607&gt;I607,"ERRO","OK")</f>
        <v>OK</v>
      </c>
      <c r="M607" s="0" t="str">
        <f aca="false">IF(H607&gt;J607,"ERRO","OK")</f>
        <v>OK</v>
      </c>
      <c r="N607" s="0" t="str">
        <f aca="false">IF(I607&lt;J607,"ERRO","OK")</f>
        <v>OK</v>
      </c>
    </row>
    <row r="608" customFormat="false" ht="25" hidden="false" customHeight="false" outlineLevel="0" collapsed="false">
      <c r="A608" s="0" t="n">
        <v>52</v>
      </c>
      <c r="B608" s="0" t="n">
        <v>2024</v>
      </c>
      <c r="C608" s="3" t="n">
        <v>45427</v>
      </c>
      <c r="D608" s="4" t="s">
        <v>15</v>
      </c>
      <c r="E608" s="5" t="s">
        <v>32</v>
      </c>
      <c r="F608" s="5" t="s">
        <v>17</v>
      </c>
      <c r="G608" s="7" t="n">
        <v>60</v>
      </c>
      <c r="H608" s="7" t="n">
        <v>50</v>
      </c>
      <c r="I608" s="7" t="n">
        <v>72</v>
      </c>
      <c r="J608" s="7" t="s">
        <v>242</v>
      </c>
      <c r="K608" s="7" t="n">
        <v>60</v>
      </c>
      <c r="L608" s="0" t="str">
        <f aca="false">IF(H608&gt;I608,"ERRO","OK")</f>
        <v>OK</v>
      </c>
      <c r="M608" s="0" t="str">
        <f aca="false">IF(H608&gt;J608,"ERRO","OK")</f>
        <v>OK</v>
      </c>
      <c r="N608" s="0" t="str">
        <f aca="false">IF(I608&lt;J608,"ERRO","OK")</f>
        <v>ERRO</v>
      </c>
    </row>
    <row r="609" customFormat="false" ht="25" hidden="false" customHeight="false" outlineLevel="0" collapsed="false">
      <c r="A609" s="0" t="n">
        <v>52</v>
      </c>
      <c r="B609" s="0" t="n">
        <v>2024</v>
      </c>
      <c r="C609" s="3" t="n">
        <v>45427</v>
      </c>
      <c r="D609" s="8" t="s">
        <v>15</v>
      </c>
      <c r="E609" s="9" t="s">
        <v>33</v>
      </c>
      <c r="F609" s="9" t="s">
        <v>17</v>
      </c>
      <c r="G609" s="11" t="n">
        <v>54</v>
      </c>
      <c r="H609" s="11" t="n">
        <v>48</v>
      </c>
      <c r="I609" s="11" t="n">
        <v>54</v>
      </c>
      <c r="J609" s="11" t="n">
        <v>52</v>
      </c>
      <c r="K609" s="11" t="n">
        <v>54</v>
      </c>
      <c r="L609" s="0" t="str">
        <f aca="false">IF(H609&gt;I609,"ERRO","OK")</f>
        <v>OK</v>
      </c>
      <c r="M609" s="0" t="str">
        <f aca="false">IF(H609&gt;J609,"ERRO","OK")</f>
        <v>OK</v>
      </c>
      <c r="N609" s="0" t="str">
        <f aca="false">IF(I609&lt;J609,"ERRO","OK")</f>
        <v>OK</v>
      </c>
    </row>
    <row r="610" customFormat="false" ht="25" hidden="false" customHeight="false" outlineLevel="0" collapsed="false">
      <c r="A610" s="0" t="n">
        <v>52</v>
      </c>
      <c r="B610" s="0" t="n">
        <v>2024</v>
      </c>
      <c r="C610" s="3" t="n">
        <v>45427</v>
      </c>
      <c r="D610" s="4" t="s">
        <v>34</v>
      </c>
      <c r="E610" s="5" t="s">
        <v>35</v>
      </c>
      <c r="F610" s="5" t="s">
        <v>36</v>
      </c>
      <c r="G610" s="7" t="n">
        <v>5</v>
      </c>
      <c r="H610" s="7" t="n">
        <v>5</v>
      </c>
      <c r="I610" s="7" t="n">
        <v>5</v>
      </c>
      <c r="J610" s="7" t="n">
        <v>5</v>
      </c>
      <c r="K610" s="7" t="n">
        <v>5</v>
      </c>
      <c r="L610" s="0" t="str">
        <f aca="false">IF(H610&gt;I610,"ERRO","OK")</f>
        <v>OK</v>
      </c>
      <c r="M610" s="0" t="str">
        <f aca="false">IF(H610&gt;J610,"ERRO","OK")</f>
        <v>OK</v>
      </c>
      <c r="N610" s="0" t="str">
        <f aca="false">IF(I610&lt;J610,"ERRO","OK")</f>
        <v>OK</v>
      </c>
    </row>
    <row r="611" customFormat="false" ht="25" hidden="false" customHeight="false" outlineLevel="0" collapsed="false">
      <c r="A611" s="0" t="n">
        <v>52</v>
      </c>
      <c r="B611" s="0" t="n">
        <v>2024</v>
      </c>
      <c r="C611" s="3" t="n">
        <v>45427</v>
      </c>
      <c r="D611" s="8" t="s">
        <v>34</v>
      </c>
      <c r="E611" s="9" t="s">
        <v>38</v>
      </c>
      <c r="F611" s="9" t="s">
        <v>39</v>
      </c>
      <c r="G611" s="11" t="n">
        <v>25</v>
      </c>
      <c r="H611" s="11" t="n">
        <v>25</v>
      </c>
      <c r="I611" s="11" t="n">
        <v>28</v>
      </c>
      <c r="J611" s="11" t="n">
        <v>26</v>
      </c>
      <c r="K611" s="11" t="n">
        <v>25</v>
      </c>
      <c r="L611" s="0" t="str">
        <f aca="false">IF(H611&gt;I611,"ERRO","OK")</f>
        <v>OK</v>
      </c>
      <c r="M611" s="0" t="str">
        <f aca="false">IF(H611&gt;J611,"ERRO","OK")</f>
        <v>OK</v>
      </c>
      <c r="N611" s="0" t="str">
        <f aca="false">IF(I611&lt;J611,"ERRO","OK")</f>
        <v>OK</v>
      </c>
    </row>
    <row r="612" customFormat="false" ht="25" hidden="false" customHeight="false" outlineLevel="0" collapsed="false">
      <c r="A612" s="0" t="n">
        <v>52</v>
      </c>
      <c r="B612" s="0" t="n">
        <v>2024</v>
      </c>
      <c r="C612" s="3" t="n">
        <v>45427</v>
      </c>
      <c r="D612" s="4" t="s">
        <v>34</v>
      </c>
      <c r="E612" s="5" t="s">
        <v>40</v>
      </c>
      <c r="F612" s="5" t="s">
        <v>39</v>
      </c>
      <c r="G612" s="7" t="n">
        <v>30</v>
      </c>
      <c r="H612" s="7" t="n">
        <v>30</v>
      </c>
      <c r="I612" s="7" t="n">
        <v>35</v>
      </c>
      <c r="J612" s="7" t="s">
        <v>112</v>
      </c>
      <c r="K612" s="7" t="n">
        <v>30</v>
      </c>
      <c r="L612" s="0" t="str">
        <f aca="false">IF(H612&gt;I612,"ERRO","OK")</f>
        <v>OK</v>
      </c>
      <c r="M612" s="0" t="str">
        <f aca="false">IF(H612&gt;J612,"ERRO","OK")</f>
        <v>OK</v>
      </c>
      <c r="N612" s="0" t="str">
        <f aca="false">IF(I612&lt;J612,"ERRO","OK")</f>
        <v>ERRO</v>
      </c>
    </row>
    <row r="613" customFormat="false" ht="36.5" hidden="false" customHeight="false" outlineLevel="0" collapsed="false">
      <c r="A613" s="0" t="n">
        <v>52</v>
      </c>
      <c r="B613" s="0" t="n">
        <v>2024</v>
      </c>
      <c r="C613" s="3" t="n">
        <v>45427</v>
      </c>
      <c r="D613" s="8" t="s">
        <v>42</v>
      </c>
      <c r="E613" s="9" t="s">
        <v>157</v>
      </c>
      <c r="F613" s="9" t="s">
        <v>158</v>
      </c>
      <c r="G613" s="10"/>
      <c r="H613" s="11" t="n">
        <v>85</v>
      </c>
      <c r="I613" s="11" t="n">
        <v>90</v>
      </c>
      <c r="J613" s="11" t="s">
        <v>243</v>
      </c>
      <c r="K613" s="11" t="s">
        <v>243</v>
      </c>
      <c r="L613" s="0" t="str">
        <f aca="false">IF(H613&gt;I613,"ERRO","OK")</f>
        <v>OK</v>
      </c>
      <c r="M613" s="0" t="str">
        <f aca="false">IF(H613&gt;J613,"ERRO","OK")</f>
        <v>OK</v>
      </c>
      <c r="N613" s="0" t="str">
        <f aca="false">IF(I613&lt;J613,"ERRO","OK")</f>
        <v>ERRO</v>
      </c>
    </row>
    <row r="614" customFormat="false" ht="36.5" hidden="false" customHeight="false" outlineLevel="0" collapsed="false">
      <c r="A614" s="0" t="n">
        <v>52</v>
      </c>
      <c r="B614" s="0" t="n">
        <v>2024</v>
      </c>
      <c r="C614" s="3" t="n">
        <v>45427</v>
      </c>
      <c r="D614" s="4" t="s">
        <v>42</v>
      </c>
      <c r="E614" s="5" t="s">
        <v>43</v>
      </c>
      <c r="F614" s="5" t="s">
        <v>44</v>
      </c>
      <c r="G614" s="7" t="n">
        <v>50</v>
      </c>
      <c r="H614" s="7" t="n">
        <v>50</v>
      </c>
      <c r="I614" s="7" t="n">
        <v>80</v>
      </c>
      <c r="J614" s="7" t="n">
        <v>60</v>
      </c>
      <c r="K614" s="7" t="n">
        <v>55</v>
      </c>
      <c r="L614" s="0" t="str">
        <f aca="false">IF(H614&gt;I614,"ERRO","OK")</f>
        <v>OK</v>
      </c>
      <c r="M614" s="0" t="str">
        <f aca="false">IF(H614&gt;J614,"ERRO","OK")</f>
        <v>OK</v>
      </c>
      <c r="N614" s="0" t="str">
        <f aca="false">IF(I614&lt;J614,"ERRO","OK")</f>
        <v>OK</v>
      </c>
    </row>
    <row r="615" customFormat="false" ht="36.5" hidden="false" customHeight="false" outlineLevel="0" collapsed="false">
      <c r="A615" s="0" t="n">
        <v>52</v>
      </c>
      <c r="B615" s="0" t="n">
        <v>2024</v>
      </c>
      <c r="C615" s="3" t="n">
        <v>45427</v>
      </c>
      <c r="D615" s="8" t="s">
        <v>42</v>
      </c>
      <c r="E615" s="9" t="s">
        <v>46</v>
      </c>
      <c r="F615" s="9" t="s">
        <v>47</v>
      </c>
      <c r="G615" s="11" t="n">
        <v>70</v>
      </c>
      <c r="H615" s="11" t="n">
        <v>45</v>
      </c>
      <c r="I615" s="11" t="n">
        <v>70</v>
      </c>
      <c r="J615" s="11" t="s">
        <v>105</v>
      </c>
      <c r="K615" s="11" t="n">
        <v>60</v>
      </c>
      <c r="L615" s="0" t="str">
        <f aca="false">IF(H615&gt;I615,"ERRO","OK")</f>
        <v>OK</v>
      </c>
      <c r="M615" s="0" t="str">
        <f aca="false">IF(H615&gt;J615,"ERRO","OK")</f>
        <v>OK</v>
      </c>
      <c r="N615" s="0" t="str">
        <f aca="false">IF(I615&lt;J615,"ERRO","OK")</f>
        <v>ERRO</v>
      </c>
    </row>
    <row r="616" customFormat="false" ht="36.5" hidden="false" customHeight="false" outlineLevel="0" collapsed="false">
      <c r="A616" s="0" t="n">
        <v>52</v>
      </c>
      <c r="B616" s="0" t="n">
        <v>2024</v>
      </c>
      <c r="C616" s="3" t="n">
        <v>45427</v>
      </c>
      <c r="D616" s="4" t="s">
        <v>42</v>
      </c>
      <c r="E616" s="5" t="s">
        <v>48</v>
      </c>
      <c r="F616" s="5" t="s">
        <v>49</v>
      </c>
      <c r="G616" s="6"/>
      <c r="H616" s="7" t="n">
        <v>35</v>
      </c>
      <c r="I616" s="7" t="n">
        <v>60</v>
      </c>
      <c r="J616" s="7" t="s">
        <v>95</v>
      </c>
      <c r="K616" s="7" t="s">
        <v>95</v>
      </c>
      <c r="L616" s="0" t="str">
        <f aca="false">IF(H616&gt;I616,"ERRO","OK")</f>
        <v>OK</v>
      </c>
      <c r="M616" s="0" t="str">
        <f aca="false">IF(H616&gt;J616,"ERRO","OK")</f>
        <v>OK</v>
      </c>
      <c r="N616" s="0" t="str">
        <f aca="false">IF(I616&lt;J616,"ERRO","OK")</f>
        <v>ERRO</v>
      </c>
    </row>
    <row r="617" customFormat="false" ht="36.5" hidden="false" customHeight="false" outlineLevel="0" collapsed="false">
      <c r="A617" s="0" t="n">
        <v>52</v>
      </c>
      <c r="B617" s="0" t="n">
        <v>2024</v>
      </c>
      <c r="C617" s="3" t="n">
        <v>45427</v>
      </c>
      <c r="D617" s="8" t="s">
        <v>42</v>
      </c>
      <c r="E617" s="9" t="s">
        <v>52</v>
      </c>
      <c r="F617" s="9" t="s">
        <v>49</v>
      </c>
      <c r="G617" s="11" t="n">
        <v>110</v>
      </c>
      <c r="H617" s="11" t="n">
        <v>110</v>
      </c>
      <c r="I617" s="11" t="n">
        <v>110</v>
      </c>
      <c r="J617" s="11" t="n">
        <v>110</v>
      </c>
      <c r="K617" s="11" t="n">
        <v>110</v>
      </c>
      <c r="L617" s="0" t="str">
        <f aca="false">IF(H617&gt;I617,"ERRO","OK")</f>
        <v>OK</v>
      </c>
      <c r="M617" s="0" t="str">
        <f aca="false">IF(H617&gt;J617,"ERRO","OK")</f>
        <v>OK</v>
      </c>
      <c r="N617" s="0" t="str">
        <f aca="false">IF(I617&lt;J617,"ERRO","OK")</f>
        <v>OK</v>
      </c>
    </row>
    <row r="618" customFormat="false" ht="36.5" hidden="false" customHeight="false" outlineLevel="0" collapsed="false">
      <c r="A618" s="0" t="n">
        <v>52</v>
      </c>
      <c r="B618" s="0" t="n">
        <v>2024</v>
      </c>
      <c r="C618" s="3" t="n">
        <v>45427</v>
      </c>
      <c r="D618" s="4" t="s">
        <v>42</v>
      </c>
      <c r="E618" s="5" t="s">
        <v>53</v>
      </c>
      <c r="F618" s="5" t="s">
        <v>54</v>
      </c>
      <c r="G618" s="6"/>
      <c r="H618" s="7" t="n">
        <v>90</v>
      </c>
      <c r="I618" s="7" t="n">
        <v>160</v>
      </c>
      <c r="J618" s="7" t="s">
        <v>244</v>
      </c>
      <c r="K618" s="7" t="n">
        <v>130</v>
      </c>
      <c r="L618" s="0" t="str">
        <f aca="false">IF(H618&gt;I618,"ERRO","OK")</f>
        <v>OK</v>
      </c>
      <c r="M618" s="0" t="str">
        <f aca="false">IF(H618&gt;J618,"ERRO","OK")</f>
        <v>OK</v>
      </c>
      <c r="N618" s="0" t="str">
        <f aca="false">IF(I618&lt;J618,"ERRO","OK")</f>
        <v>ERRO</v>
      </c>
    </row>
    <row r="619" customFormat="false" ht="36.5" hidden="false" customHeight="false" outlineLevel="0" collapsed="false">
      <c r="A619" s="0" t="n">
        <v>52</v>
      </c>
      <c r="B619" s="0" t="n">
        <v>2024</v>
      </c>
      <c r="C619" s="3" t="n">
        <v>45427</v>
      </c>
      <c r="D619" s="8" t="s">
        <v>42</v>
      </c>
      <c r="E619" s="9" t="s">
        <v>56</v>
      </c>
      <c r="F619" s="9" t="s">
        <v>47</v>
      </c>
      <c r="G619" s="10"/>
      <c r="H619" s="11" t="n">
        <v>100</v>
      </c>
      <c r="I619" s="11" t="n">
        <v>170</v>
      </c>
      <c r="J619" s="11" t="s">
        <v>174</v>
      </c>
      <c r="K619" s="11" t="n">
        <v>140</v>
      </c>
      <c r="L619" s="0" t="str">
        <f aca="false">IF(H619&gt;I619,"ERRO","OK")</f>
        <v>OK</v>
      </c>
      <c r="M619" s="0" t="str">
        <f aca="false">IF(H619&gt;J619,"ERRO","OK")</f>
        <v>OK</v>
      </c>
      <c r="N619" s="0" t="str">
        <f aca="false">IF(I619&lt;J619,"ERRO","OK")</f>
        <v>ERRO</v>
      </c>
    </row>
    <row r="620" customFormat="false" ht="36.5" hidden="false" customHeight="false" outlineLevel="0" collapsed="false">
      <c r="A620" s="0" t="n">
        <v>52</v>
      </c>
      <c r="B620" s="0" t="n">
        <v>2024</v>
      </c>
      <c r="C620" s="3" t="n">
        <v>45427</v>
      </c>
      <c r="D620" s="4" t="s">
        <v>42</v>
      </c>
      <c r="E620" s="5" t="s">
        <v>57</v>
      </c>
      <c r="F620" s="5" t="s">
        <v>47</v>
      </c>
      <c r="G620" s="7" t="n">
        <v>60</v>
      </c>
      <c r="H620" s="7" t="n">
        <v>50</v>
      </c>
      <c r="I620" s="7" t="n">
        <v>60</v>
      </c>
      <c r="J620" s="7" t="s">
        <v>45</v>
      </c>
      <c r="K620" s="7" t="n">
        <v>60</v>
      </c>
      <c r="L620" s="0" t="str">
        <f aca="false">IF(H620&gt;I620,"ERRO","OK")</f>
        <v>OK</v>
      </c>
      <c r="M620" s="0" t="str">
        <f aca="false">IF(H620&gt;J620,"ERRO","OK")</f>
        <v>OK</v>
      </c>
      <c r="N620" s="0" t="str">
        <f aca="false">IF(I620&lt;J620,"ERRO","OK")</f>
        <v>ERRO</v>
      </c>
    </row>
    <row r="621" customFormat="false" ht="36.5" hidden="false" customHeight="false" outlineLevel="0" collapsed="false">
      <c r="A621" s="0" t="n">
        <v>52</v>
      </c>
      <c r="B621" s="0" t="n">
        <v>2024</v>
      </c>
      <c r="C621" s="3" t="n">
        <v>45427</v>
      </c>
      <c r="D621" s="8" t="s">
        <v>42</v>
      </c>
      <c r="E621" s="9" t="s">
        <v>58</v>
      </c>
      <c r="F621" s="9" t="s">
        <v>44</v>
      </c>
      <c r="G621" s="10"/>
      <c r="H621" s="11" t="n">
        <v>60</v>
      </c>
      <c r="I621" s="11" t="n">
        <v>110</v>
      </c>
      <c r="J621" s="11" t="n">
        <v>90</v>
      </c>
      <c r="K621" s="11" t="n">
        <v>95</v>
      </c>
      <c r="L621" s="0" t="str">
        <f aca="false">IF(H621&gt;I621,"ERRO","OK")</f>
        <v>OK</v>
      </c>
      <c r="M621" s="0" t="str">
        <f aca="false">IF(H621&gt;J621,"ERRO","OK")</f>
        <v>OK</v>
      </c>
      <c r="N621" s="0" t="str">
        <f aca="false">IF(I621&lt;J621,"ERRO","OK")</f>
        <v>OK</v>
      </c>
    </row>
    <row r="622" customFormat="false" ht="36.5" hidden="false" customHeight="false" outlineLevel="0" collapsed="false">
      <c r="A622" s="0" t="n">
        <v>52</v>
      </c>
      <c r="B622" s="0" t="n">
        <v>2024</v>
      </c>
      <c r="C622" s="3" t="n">
        <v>45427</v>
      </c>
      <c r="D622" s="4" t="s">
        <v>42</v>
      </c>
      <c r="E622" s="5" t="s">
        <v>60</v>
      </c>
      <c r="F622" s="5" t="s">
        <v>47</v>
      </c>
      <c r="G622" s="6"/>
      <c r="H622" s="7" t="n">
        <v>80</v>
      </c>
      <c r="I622" s="7" t="n">
        <v>80</v>
      </c>
      <c r="J622" s="7" t="n">
        <v>80</v>
      </c>
      <c r="K622" s="7" t="n">
        <v>80</v>
      </c>
      <c r="L622" s="0" t="str">
        <f aca="false">IF(H622&gt;I622,"ERRO","OK")</f>
        <v>OK</v>
      </c>
      <c r="M622" s="0" t="str">
        <f aca="false">IF(H622&gt;J622,"ERRO","OK")</f>
        <v>OK</v>
      </c>
      <c r="N622" s="0" t="str">
        <f aca="false">IF(I622&lt;J622,"ERRO","OK")</f>
        <v>OK</v>
      </c>
    </row>
    <row r="623" customFormat="false" ht="36.5" hidden="false" customHeight="false" outlineLevel="0" collapsed="false">
      <c r="A623" s="0" t="n">
        <v>52</v>
      </c>
      <c r="B623" s="0" t="n">
        <v>2024</v>
      </c>
      <c r="C623" s="3" t="n">
        <v>45427</v>
      </c>
      <c r="D623" s="8" t="s">
        <v>42</v>
      </c>
      <c r="E623" s="9" t="s">
        <v>61</v>
      </c>
      <c r="F623" s="9" t="s">
        <v>44</v>
      </c>
      <c r="G623" s="11" t="n">
        <v>60</v>
      </c>
      <c r="H623" s="11" t="n">
        <v>60</v>
      </c>
      <c r="I623" s="11" t="n">
        <v>60</v>
      </c>
      <c r="J623" s="11" t="n">
        <v>60</v>
      </c>
      <c r="K623" s="11" t="n">
        <v>60</v>
      </c>
      <c r="L623" s="0" t="str">
        <f aca="false">IF(H623&gt;I623,"ERRO","OK")</f>
        <v>OK</v>
      </c>
      <c r="M623" s="0" t="str">
        <f aca="false">IF(H623&gt;J623,"ERRO","OK")</f>
        <v>OK</v>
      </c>
      <c r="N623" s="0" t="str">
        <f aca="false">IF(I623&lt;J623,"ERRO","OK")</f>
        <v>OK</v>
      </c>
    </row>
    <row r="624" customFormat="false" ht="36.5" hidden="false" customHeight="false" outlineLevel="0" collapsed="false">
      <c r="A624" s="0" t="n">
        <v>52</v>
      </c>
      <c r="B624" s="0" t="n">
        <v>2024</v>
      </c>
      <c r="C624" s="3" t="n">
        <v>45427</v>
      </c>
      <c r="D624" s="4" t="s">
        <v>42</v>
      </c>
      <c r="E624" s="5" t="s">
        <v>62</v>
      </c>
      <c r="F624" s="5" t="s">
        <v>44</v>
      </c>
      <c r="G624" s="7" t="n">
        <v>90</v>
      </c>
      <c r="H624" s="7" t="n">
        <v>80</v>
      </c>
      <c r="I624" s="7" t="n">
        <v>90</v>
      </c>
      <c r="J624" s="7" t="s">
        <v>243</v>
      </c>
      <c r="K624" s="7" t="n">
        <v>90</v>
      </c>
      <c r="L624" s="0" t="str">
        <f aca="false">IF(H624&gt;I624,"ERRO","OK")</f>
        <v>OK</v>
      </c>
      <c r="M624" s="0" t="str">
        <f aca="false">IF(H624&gt;J624,"ERRO","OK")</f>
        <v>OK</v>
      </c>
      <c r="N624" s="0" t="str">
        <f aca="false">IF(I624&lt;J624,"ERRO","OK")</f>
        <v>ERRO</v>
      </c>
    </row>
    <row r="625" customFormat="false" ht="36.5" hidden="false" customHeight="false" outlineLevel="0" collapsed="false">
      <c r="A625" s="0" t="n">
        <v>52</v>
      </c>
      <c r="B625" s="0" t="n">
        <v>2024</v>
      </c>
      <c r="C625" s="3" t="n">
        <v>45427</v>
      </c>
      <c r="D625" s="8" t="s">
        <v>42</v>
      </c>
      <c r="E625" s="9" t="s">
        <v>63</v>
      </c>
      <c r="F625" s="9" t="s">
        <v>49</v>
      </c>
      <c r="G625" s="11" t="n">
        <v>60</v>
      </c>
      <c r="H625" s="11" t="n">
        <v>50</v>
      </c>
      <c r="I625" s="11" t="n">
        <v>60</v>
      </c>
      <c r="J625" s="11" t="n">
        <v>55</v>
      </c>
      <c r="K625" s="11" t="n">
        <v>55</v>
      </c>
      <c r="L625" s="0" t="str">
        <f aca="false">IF(H625&gt;I625,"ERRO","OK")</f>
        <v>OK</v>
      </c>
      <c r="M625" s="0" t="str">
        <f aca="false">IF(H625&gt;J625,"ERRO","OK")</f>
        <v>OK</v>
      </c>
      <c r="N625" s="0" t="str">
        <f aca="false">IF(I625&lt;J625,"ERRO","OK")</f>
        <v>OK</v>
      </c>
    </row>
    <row r="626" customFormat="false" ht="36.5" hidden="false" customHeight="false" outlineLevel="0" collapsed="false">
      <c r="A626" s="0" t="n">
        <v>52</v>
      </c>
      <c r="B626" s="0" t="n">
        <v>2024</v>
      </c>
      <c r="C626" s="3" t="n">
        <v>45427</v>
      </c>
      <c r="D626" s="4" t="s">
        <v>42</v>
      </c>
      <c r="E626" s="5" t="s">
        <v>64</v>
      </c>
      <c r="F626" s="5" t="s">
        <v>65</v>
      </c>
      <c r="G626" s="7" t="n">
        <v>110</v>
      </c>
      <c r="H626" s="7" t="n">
        <v>90</v>
      </c>
      <c r="I626" s="7" t="n">
        <v>120</v>
      </c>
      <c r="J626" s="7" t="s">
        <v>109</v>
      </c>
      <c r="K626" s="7" t="n">
        <v>110</v>
      </c>
      <c r="L626" s="0" t="str">
        <f aca="false">IF(H626&gt;I626,"ERRO","OK")</f>
        <v>OK</v>
      </c>
      <c r="M626" s="0" t="str">
        <f aca="false">IF(H626&gt;J626,"ERRO","OK")</f>
        <v>OK</v>
      </c>
      <c r="N626" s="0" t="str">
        <f aca="false">IF(I626&lt;J626,"ERRO","OK")</f>
        <v>ERRO</v>
      </c>
    </row>
    <row r="627" customFormat="false" ht="36.5" hidden="false" customHeight="false" outlineLevel="0" collapsed="false">
      <c r="A627" s="0" t="n">
        <v>52</v>
      </c>
      <c r="B627" s="0" t="n">
        <v>2024</v>
      </c>
      <c r="C627" s="3" t="n">
        <v>45427</v>
      </c>
      <c r="D627" s="8" t="s">
        <v>42</v>
      </c>
      <c r="E627" s="9" t="s">
        <v>67</v>
      </c>
      <c r="F627" s="9" t="s">
        <v>44</v>
      </c>
      <c r="G627" s="10"/>
      <c r="H627" s="11" t="n">
        <v>100</v>
      </c>
      <c r="I627" s="11" t="n">
        <v>150</v>
      </c>
      <c r="J627" s="11" t="n">
        <v>125</v>
      </c>
      <c r="K627" s="11" t="n">
        <v>125</v>
      </c>
      <c r="L627" s="0" t="str">
        <f aca="false">IF(H627&gt;I627,"ERRO","OK")</f>
        <v>OK</v>
      </c>
      <c r="M627" s="0" t="str">
        <f aca="false">IF(H627&gt;J627,"ERRO","OK")</f>
        <v>OK</v>
      </c>
      <c r="N627" s="0" t="str">
        <f aca="false">IF(I627&lt;J627,"ERRO","OK")</f>
        <v>OK</v>
      </c>
    </row>
    <row r="628" customFormat="false" ht="36.5" hidden="false" customHeight="false" outlineLevel="0" collapsed="false">
      <c r="A628" s="0" t="n">
        <v>52</v>
      </c>
      <c r="B628" s="0" t="n">
        <v>2024</v>
      </c>
      <c r="C628" s="3" t="n">
        <v>45427</v>
      </c>
      <c r="D628" s="4" t="s">
        <v>42</v>
      </c>
      <c r="E628" s="5" t="s">
        <v>68</v>
      </c>
      <c r="F628" s="5" t="s">
        <v>44</v>
      </c>
      <c r="G628" s="6"/>
      <c r="H628" s="7" t="n">
        <v>180</v>
      </c>
      <c r="I628" s="7" t="n">
        <v>200</v>
      </c>
      <c r="J628" s="7" t="n">
        <v>190</v>
      </c>
      <c r="K628" s="7" t="n">
        <v>190</v>
      </c>
      <c r="L628" s="0" t="str">
        <f aca="false">IF(H628&gt;I628,"ERRO","OK")</f>
        <v>OK</v>
      </c>
      <c r="M628" s="0" t="str">
        <f aca="false">IF(H628&gt;J628,"ERRO","OK")</f>
        <v>OK</v>
      </c>
      <c r="N628" s="0" t="str">
        <f aca="false">IF(I628&lt;J628,"ERRO","OK")</f>
        <v>OK</v>
      </c>
    </row>
    <row r="629" customFormat="false" ht="14.25" hidden="false" customHeight="false" outlineLevel="0" collapsed="false">
      <c r="A629" s="0" t="n">
        <v>52</v>
      </c>
      <c r="B629" s="0" t="n">
        <v>2024</v>
      </c>
      <c r="C629" s="3" t="n">
        <v>45427</v>
      </c>
      <c r="D629" s="8" t="s">
        <v>69</v>
      </c>
      <c r="E629" s="9" t="s">
        <v>70</v>
      </c>
      <c r="F629" s="9" t="s">
        <v>49</v>
      </c>
      <c r="G629" s="10"/>
      <c r="H629" s="11" t="n">
        <v>90</v>
      </c>
      <c r="I629" s="11" t="n">
        <v>90</v>
      </c>
      <c r="J629" s="11" t="n">
        <v>90</v>
      </c>
      <c r="K629" s="11" t="n">
        <v>90</v>
      </c>
      <c r="L629" s="0" t="str">
        <f aca="false">IF(H629&gt;I629,"ERRO","OK")</f>
        <v>OK</v>
      </c>
      <c r="M629" s="0" t="str">
        <f aca="false">IF(H629&gt;J629,"ERRO","OK")</f>
        <v>OK</v>
      </c>
      <c r="N629" s="0" t="str">
        <f aca="false">IF(I629&lt;J629,"ERRO","OK")</f>
        <v>OK</v>
      </c>
    </row>
    <row r="630" customFormat="false" ht="14.25" hidden="false" customHeight="false" outlineLevel="0" collapsed="false">
      <c r="A630" s="0" t="n">
        <v>52</v>
      </c>
      <c r="B630" s="0" t="n">
        <v>2024</v>
      </c>
      <c r="C630" s="3" t="n">
        <v>45427</v>
      </c>
      <c r="D630" s="4" t="s">
        <v>69</v>
      </c>
      <c r="E630" s="5" t="s">
        <v>71</v>
      </c>
      <c r="F630" s="5" t="s">
        <v>49</v>
      </c>
      <c r="G630" s="6"/>
      <c r="H630" s="7" t="n">
        <v>70</v>
      </c>
      <c r="I630" s="7" t="n">
        <v>80</v>
      </c>
      <c r="J630" s="7" t="n">
        <v>75</v>
      </c>
      <c r="K630" s="7" t="n">
        <v>75</v>
      </c>
      <c r="L630" s="0" t="str">
        <f aca="false">IF(H630&gt;I630,"ERRO","OK")</f>
        <v>OK</v>
      </c>
      <c r="M630" s="0" t="str">
        <f aca="false">IF(H630&gt;J630,"ERRO","OK")</f>
        <v>OK</v>
      </c>
      <c r="N630" s="0" t="str">
        <f aca="false">IF(I630&lt;J630,"ERRO","OK")</f>
        <v>OK</v>
      </c>
    </row>
    <row r="631" customFormat="false" ht="14.25" hidden="false" customHeight="false" outlineLevel="0" collapsed="false">
      <c r="A631" s="0" t="n">
        <v>52</v>
      </c>
      <c r="B631" s="0" t="n">
        <v>2024</v>
      </c>
      <c r="C631" s="3" t="n">
        <v>45427</v>
      </c>
      <c r="D631" s="8" t="s">
        <v>69</v>
      </c>
      <c r="E631" s="9" t="s">
        <v>72</v>
      </c>
      <c r="F631" s="9" t="s">
        <v>49</v>
      </c>
      <c r="G631" s="10"/>
      <c r="H631" s="11" t="n">
        <v>50</v>
      </c>
      <c r="I631" s="11" t="n">
        <v>70</v>
      </c>
      <c r="J631" s="11" t="n">
        <v>60</v>
      </c>
      <c r="K631" s="11" t="n">
        <v>60</v>
      </c>
      <c r="L631" s="0" t="str">
        <f aca="false">IF(H631&gt;I631,"ERRO","OK")</f>
        <v>OK</v>
      </c>
      <c r="M631" s="0" t="str">
        <f aca="false">IF(H631&gt;J631,"ERRO","OK")</f>
        <v>OK</v>
      </c>
      <c r="N631" s="0" t="str">
        <f aca="false">IF(I631&lt;J631,"ERRO","OK")</f>
        <v>OK</v>
      </c>
    </row>
    <row r="632" customFormat="false" ht="14.25" hidden="false" customHeight="false" outlineLevel="0" collapsed="false">
      <c r="A632" s="0" t="n">
        <v>52</v>
      </c>
      <c r="B632" s="0" t="n">
        <v>2024</v>
      </c>
      <c r="C632" s="3" t="n">
        <v>45427</v>
      </c>
      <c r="D632" s="4" t="s">
        <v>69</v>
      </c>
      <c r="E632" s="5" t="s">
        <v>73</v>
      </c>
      <c r="F632" s="5" t="s">
        <v>49</v>
      </c>
      <c r="G632" s="6"/>
      <c r="H632" s="7" t="n">
        <v>55</v>
      </c>
      <c r="I632" s="7" t="n">
        <v>55</v>
      </c>
      <c r="J632" s="7" t="n">
        <v>55</v>
      </c>
      <c r="K632" s="7" t="n">
        <v>55</v>
      </c>
      <c r="L632" s="0" t="str">
        <f aca="false">IF(H632&gt;I632,"ERRO","OK")</f>
        <v>OK</v>
      </c>
      <c r="M632" s="0" t="str">
        <f aca="false">IF(H632&gt;J632,"ERRO","OK")</f>
        <v>OK</v>
      </c>
      <c r="N632" s="0" t="str">
        <f aca="false">IF(I632&lt;J632,"ERRO","OK")</f>
        <v>OK</v>
      </c>
    </row>
    <row r="633" customFormat="false" ht="14.25" hidden="false" customHeight="false" outlineLevel="0" collapsed="false">
      <c r="A633" s="0" t="n">
        <v>52</v>
      </c>
      <c r="B633" s="0" t="n">
        <v>2024</v>
      </c>
      <c r="C633" s="3" t="n">
        <v>45427</v>
      </c>
      <c r="D633" s="8" t="s">
        <v>69</v>
      </c>
      <c r="E633" s="9" t="s">
        <v>74</v>
      </c>
      <c r="F633" s="9" t="s">
        <v>75</v>
      </c>
      <c r="G633" s="10"/>
      <c r="H633" s="11" t="n">
        <v>55</v>
      </c>
      <c r="I633" s="11" t="n">
        <v>60</v>
      </c>
      <c r="J633" s="11" t="s">
        <v>45</v>
      </c>
      <c r="K633" s="11" t="s">
        <v>45</v>
      </c>
      <c r="L633" s="0" t="str">
        <f aca="false">IF(H633&gt;I633,"ERRO","OK")</f>
        <v>OK</v>
      </c>
      <c r="M633" s="0" t="str">
        <f aca="false">IF(H633&gt;J633,"ERRO","OK")</f>
        <v>OK</v>
      </c>
      <c r="N633" s="0" t="str">
        <f aca="false">IF(I633&lt;J633,"ERRO","OK")</f>
        <v>ERRO</v>
      </c>
    </row>
    <row r="634" customFormat="false" ht="25" hidden="false" customHeight="false" outlineLevel="0" collapsed="false">
      <c r="A634" s="0" t="n">
        <v>53</v>
      </c>
      <c r="B634" s="0" t="n">
        <v>2024</v>
      </c>
      <c r="C634" s="3" t="n">
        <v>45434</v>
      </c>
      <c r="D634" s="4" t="s">
        <v>15</v>
      </c>
      <c r="E634" s="5" t="s">
        <v>16</v>
      </c>
      <c r="F634" s="5" t="s">
        <v>17</v>
      </c>
      <c r="G634" s="7" t="n">
        <v>60</v>
      </c>
      <c r="H634" s="7" t="n">
        <v>60</v>
      </c>
      <c r="I634" s="7" t="n">
        <v>80</v>
      </c>
      <c r="J634" s="7" t="s">
        <v>106</v>
      </c>
      <c r="K634" s="7" t="n">
        <v>60</v>
      </c>
      <c r="L634" s="0" t="str">
        <f aca="false">IF(H634&gt;I634,"ERRO","OK")</f>
        <v>OK</v>
      </c>
      <c r="M634" s="0" t="str">
        <f aca="false">IF(H634&gt;J634,"ERRO","OK")</f>
        <v>OK</v>
      </c>
      <c r="N634" s="0" t="str">
        <f aca="false">IF(I634&lt;J634,"ERRO","OK")</f>
        <v>ERRO</v>
      </c>
    </row>
    <row r="635" customFormat="false" ht="25" hidden="false" customHeight="false" outlineLevel="0" collapsed="false">
      <c r="A635" s="0" t="n">
        <v>53</v>
      </c>
      <c r="B635" s="0" t="n">
        <v>2024</v>
      </c>
      <c r="C635" s="3" t="n">
        <v>45434</v>
      </c>
      <c r="D635" s="8" t="s">
        <v>15</v>
      </c>
      <c r="E635" s="9" t="s">
        <v>18</v>
      </c>
      <c r="F635" s="9" t="s">
        <v>17</v>
      </c>
      <c r="G635" s="11" t="n">
        <v>84</v>
      </c>
      <c r="H635" s="11" t="n">
        <v>72</v>
      </c>
      <c r="I635" s="11" t="n">
        <v>84</v>
      </c>
      <c r="J635" s="11" t="n">
        <v>80</v>
      </c>
      <c r="K635" s="11" t="n">
        <v>84</v>
      </c>
      <c r="L635" s="0" t="str">
        <f aca="false">IF(H635&gt;I635,"ERRO","OK")</f>
        <v>OK</v>
      </c>
      <c r="M635" s="0" t="str">
        <f aca="false">IF(H635&gt;J635,"ERRO","OK")</f>
        <v>OK</v>
      </c>
      <c r="N635" s="0" t="str">
        <f aca="false">IF(I635&lt;J635,"ERRO","OK")</f>
        <v>OK</v>
      </c>
    </row>
    <row r="636" customFormat="false" ht="25" hidden="false" customHeight="false" outlineLevel="0" collapsed="false">
      <c r="A636" s="0" t="n">
        <v>53</v>
      </c>
      <c r="B636" s="0" t="n">
        <v>2024</v>
      </c>
      <c r="C636" s="3" t="n">
        <v>45434</v>
      </c>
      <c r="D636" s="4" t="s">
        <v>15</v>
      </c>
      <c r="E636" s="5" t="s">
        <v>19</v>
      </c>
      <c r="F636" s="5" t="s">
        <v>17</v>
      </c>
      <c r="G636" s="6"/>
      <c r="H636" s="7" t="n">
        <v>36</v>
      </c>
      <c r="I636" s="7" t="n">
        <v>48</v>
      </c>
      <c r="J636" s="7" t="n">
        <v>42</v>
      </c>
      <c r="K636" s="7" t="n">
        <v>42</v>
      </c>
      <c r="L636" s="0" t="str">
        <f aca="false">IF(H636&gt;I636,"ERRO","OK")</f>
        <v>OK</v>
      </c>
      <c r="M636" s="0" t="str">
        <f aca="false">IF(H636&gt;J636,"ERRO","OK")</f>
        <v>OK</v>
      </c>
      <c r="N636" s="0" t="str">
        <f aca="false">IF(I636&lt;J636,"ERRO","OK")</f>
        <v>OK</v>
      </c>
    </row>
    <row r="637" customFormat="false" ht="25" hidden="false" customHeight="false" outlineLevel="0" collapsed="false">
      <c r="A637" s="0" t="n">
        <v>53</v>
      </c>
      <c r="B637" s="0" t="n">
        <v>2024</v>
      </c>
      <c r="C637" s="3" t="n">
        <v>45434</v>
      </c>
      <c r="D637" s="8" t="s">
        <v>15</v>
      </c>
      <c r="E637" s="9" t="s">
        <v>20</v>
      </c>
      <c r="F637" s="9" t="s">
        <v>17</v>
      </c>
      <c r="G637" s="11" t="n">
        <v>30</v>
      </c>
      <c r="H637" s="11" t="n">
        <v>30</v>
      </c>
      <c r="I637" s="11" t="n">
        <v>30</v>
      </c>
      <c r="J637" s="11" t="n">
        <v>30</v>
      </c>
      <c r="K637" s="11" t="n">
        <v>30</v>
      </c>
      <c r="L637" s="0" t="str">
        <f aca="false">IF(H637&gt;I637,"ERRO","OK")</f>
        <v>OK</v>
      </c>
      <c r="M637" s="0" t="str">
        <f aca="false">IF(H637&gt;J637,"ERRO","OK")</f>
        <v>OK</v>
      </c>
      <c r="N637" s="0" t="str">
        <f aca="false">IF(I637&lt;J637,"ERRO","OK")</f>
        <v>OK</v>
      </c>
    </row>
    <row r="638" customFormat="false" ht="25" hidden="false" customHeight="false" outlineLevel="0" collapsed="false">
      <c r="A638" s="0" t="n">
        <v>53</v>
      </c>
      <c r="B638" s="0" t="n">
        <v>2024</v>
      </c>
      <c r="C638" s="3" t="n">
        <v>45434</v>
      </c>
      <c r="D638" s="4" t="s">
        <v>15</v>
      </c>
      <c r="E638" s="5" t="s">
        <v>21</v>
      </c>
      <c r="F638" s="5" t="s">
        <v>17</v>
      </c>
      <c r="G638" s="7" t="n">
        <v>30</v>
      </c>
      <c r="H638" s="7" t="n">
        <v>24</v>
      </c>
      <c r="I638" s="7" t="n">
        <v>30</v>
      </c>
      <c r="J638" s="7" t="n">
        <v>28</v>
      </c>
      <c r="K638" s="7" t="n">
        <v>30</v>
      </c>
      <c r="L638" s="0" t="str">
        <f aca="false">IF(H638&gt;I638,"ERRO","OK")</f>
        <v>OK</v>
      </c>
      <c r="M638" s="0" t="str">
        <f aca="false">IF(H638&gt;J638,"ERRO","OK")</f>
        <v>OK</v>
      </c>
      <c r="N638" s="0" t="str">
        <f aca="false">IF(I638&lt;J638,"ERRO","OK")</f>
        <v>OK</v>
      </c>
    </row>
    <row r="639" customFormat="false" ht="25" hidden="false" customHeight="false" outlineLevel="0" collapsed="false">
      <c r="A639" s="0" t="n">
        <v>53</v>
      </c>
      <c r="B639" s="0" t="n">
        <v>2024</v>
      </c>
      <c r="C639" s="3" t="n">
        <v>45434</v>
      </c>
      <c r="D639" s="8" t="s">
        <v>15</v>
      </c>
      <c r="E639" s="9" t="s">
        <v>22</v>
      </c>
      <c r="F639" s="9" t="s">
        <v>17</v>
      </c>
      <c r="G639" s="11" t="n">
        <v>60</v>
      </c>
      <c r="H639" s="11" t="n">
        <v>60</v>
      </c>
      <c r="I639" s="11" t="n">
        <v>60</v>
      </c>
      <c r="J639" s="11" t="n">
        <v>60</v>
      </c>
      <c r="K639" s="11" t="n">
        <v>60</v>
      </c>
      <c r="L639" s="0" t="str">
        <f aca="false">IF(H639&gt;I639,"ERRO","OK")</f>
        <v>OK</v>
      </c>
      <c r="M639" s="0" t="str">
        <f aca="false">IF(H639&gt;J639,"ERRO","OK")</f>
        <v>OK</v>
      </c>
      <c r="N639" s="0" t="str">
        <f aca="false">IF(I639&lt;J639,"ERRO","OK")</f>
        <v>OK</v>
      </c>
    </row>
    <row r="640" customFormat="false" ht="25" hidden="false" customHeight="false" outlineLevel="0" collapsed="false">
      <c r="A640" s="0" t="n">
        <v>53</v>
      </c>
      <c r="B640" s="0" t="n">
        <v>2024</v>
      </c>
      <c r="C640" s="3" t="n">
        <v>45434</v>
      </c>
      <c r="D640" s="4" t="s">
        <v>15</v>
      </c>
      <c r="E640" s="5" t="s">
        <v>23</v>
      </c>
      <c r="F640" s="5" t="s">
        <v>17</v>
      </c>
      <c r="G640" s="7" t="n">
        <v>72</v>
      </c>
      <c r="H640" s="7" t="n">
        <v>72</v>
      </c>
      <c r="I640" s="7" t="n">
        <v>78</v>
      </c>
      <c r="J640" s="7" t="n">
        <v>74</v>
      </c>
      <c r="K640" s="7" t="n">
        <v>72</v>
      </c>
      <c r="L640" s="0" t="str">
        <f aca="false">IF(H640&gt;I640,"ERRO","OK")</f>
        <v>OK</v>
      </c>
      <c r="M640" s="0" t="str">
        <f aca="false">IF(H640&gt;J640,"ERRO","OK")</f>
        <v>OK</v>
      </c>
      <c r="N640" s="0" t="str">
        <f aca="false">IF(I640&lt;J640,"ERRO","OK")</f>
        <v>OK</v>
      </c>
    </row>
    <row r="641" customFormat="false" ht="25" hidden="false" customHeight="false" outlineLevel="0" collapsed="false">
      <c r="A641" s="0" t="n">
        <v>53</v>
      </c>
      <c r="B641" s="0" t="n">
        <v>2024</v>
      </c>
      <c r="C641" s="3" t="n">
        <v>45434</v>
      </c>
      <c r="D641" s="8" t="s">
        <v>15</v>
      </c>
      <c r="E641" s="9" t="s">
        <v>24</v>
      </c>
      <c r="F641" s="9" t="s">
        <v>17</v>
      </c>
      <c r="G641" s="11" t="n">
        <v>96</v>
      </c>
      <c r="H641" s="11" t="n">
        <v>72</v>
      </c>
      <c r="I641" s="11" t="n">
        <v>96</v>
      </c>
      <c r="J641" s="11" t="n">
        <v>88</v>
      </c>
      <c r="K641" s="11" t="n">
        <v>96</v>
      </c>
      <c r="L641" s="0" t="str">
        <f aca="false">IF(H641&gt;I641,"ERRO","OK")</f>
        <v>OK</v>
      </c>
      <c r="M641" s="0" t="str">
        <f aca="false">IF(H641&gt;J641,"ERRO","OK")</f>
        <v>OK</v>
      </c>
      <c r="N641" s="0" t="str">
        <f aca="false">IF(I641&lt;J641,"ERRO","OK")</f>
        <v>OK</v>
      </c>
    </row>
    <row r="642" customFormat="false" ht="25" hidden="false" customHeight="false" outlineLevel="0" collapsed="false">
      <c r="A642" s="0" t="n">
        <v>53</v>
      </c>
      <c r="B642" s="0" t="n">
        <v>2024</v>
      </c>
      <c r="C642" s="3" t="n">
        <v>45434</v>
      </c>
      <c r="D642" s="4" t="s">
        <v>15</v>
      </c>
      <c r="E642" s="5" t="s">
        <v>25</v>
      </c>
      <c r="F642" s="5" t="s">
        <v>17</v>
      </c>
      <c r="G642" s="7" t="n">
        <v>24</v>
      </c>
      <c r="H642" s="7" t="n">
        <v>24</v>
      </c>
      <c r="I642" s="7" t="n">
        <v>30</v>
      </c>
      <c r="J642" s="7" t="n">
        <v>26</v>
      </c>
      <c r="K642" s="7" t="n">
        <v>24</v>
      </c>
      <c r="L642" s="0" t="str">
        <f aca="false">IF(H642&gt;I642,"ERRO","OK")</f>
        <v>OK</v>
      </c>
      <c r="M642" s="0" t="str">
        <f aca="false">IF(H642&gt;J642,"ERRO","OK")</f>
        <v>OK</v>
      </c>
      <c r="N642" s="0" t="str">
        <f aca="false">IF(I642&lt;J642,"ERRO","OK")</f>
        <v>OK</v>
      </c>
    </row>
    <row r="643" customFormat="false" ht="25" hidden="false" customHeight="false" outlineLevel="0" collapsed="false">
      <c r="A643" s="0" t="n">
        <v>53</v>
      </c>
      <c r="B643" s="0" t="n">
        <v>2024</v>
      </c>
      <c r="C643" s="3" t="n">
        <v>45434</v>
      </c>
      <c r="D643" s="8" t="s">
        <v>15</v>
      </c>
      <c r="E643" s="9" t="s">
        <v>77</v>
      </c>
      <c r="F643" s="9" t="s">
        <v>17</v>
      </c>
      <c r="G643" s="11" t="n">
        <v>72</v>
      </c>
      <c r="H643" s="11" t="n">
        <v>72</v>
      </c>
      <c r="I643" s="11" t="n">
        <v>84</v>
      </c>
      <c r="J643" s="11" t="n">
        <v>76</v>
      </c>
      <c r="K643" s="11" t="n">
        <v>72</v>
      </c>
      <c r="L643" s="0" t="str">
        <f aca="false">IF(H643&gt;I643,"ERRO","OK")</f>
        <v>OK</v>
      </c>
      <c r="M643" s="0" t="str">
        <f aca="false">IF(H643&gt;J643,"ERRO","OK")</f>
        <v>OK</v>
      </c>
      <c r="N643" s="0" t="str">
        <f aca="false">IF(I643&lt;J643,"ERRO","OK")</f>
        <v>OK</v>
      </c>
    </row>
    <row r="644" customFormat="false" ht="25" hidden="false" customHeight="false" outlineLevel="0" collapsed="false">
      <c r="A644" s="0" t="n">
        <v>53</v>
      </c>
      <c r="B644" s="0" t="n">
        <v>2024</v>
      </c>
      <c r="C644" s="3" t="n">
        <v>45434</v>
      </c>
      <c r="D644" s="4" t="s">
        <v>15</v>
      </c>
      <c r="E644" s="5" t="s">
        <v>27</v>
      </c>
      <c r="F644" s="5" t="s">
        <v>17</v>
      </c>
      <c r="G644" s="7" t="n">
        <v>30</v>
      </c>
      <c r="H644" s="7" t="n">
        <v>30</v>
      </c>
      <c r="I644" s="7" t="n">
        <v>30</v>
      </c>
      <c r="J644" s="7" t="n">
        <v>30</v>
      </c>
      <c r="K644" s="7" t="n">
        <v>30</v>
      </c>
      <c r="L644" s="0" t="str">
        <f aca="false">IF(H644&gt;I644,"ERRO","OK")</f>
        <v>OK</v>
      </c>
      <c r="M644" s="0" t="str">
        <f aca="false">IF(H644&gt;J644,"ERRO","OK")</f>
        <v>OK</v>
      </c>
      <c r="N644" s="0" t="str">
        <f aca="false">IF(I644&lt;J644,"ERRO","OK")</f>
        <v>OK</v>
      </c>
    </row>
    <row r="645" customFormat="false" ht="25" hidden="false" customHeight="false" outlineLevel="0" collapsed="false">
      <c r="A645" s="0" t="n">
        <v>53</v>
      </c>
      <c r="B645" s="0" t="n">
        <v>2024</v>
      </c>
      <c r="C645" s="3" t="n">
        <v>45434</v>
      </c>
      <c r="D645" s="8" t="s">
        <v>15</v>
      </c>
      <c r="E645" s="9" t="s">
        <v>28</v>
      </c>
      <c r="F645" s="9" t="s">
        <v>17</v>
      </c>
      <c r="G645" s="10"/>
      <c r="H645" s="11" t="n">
        <v>78</v>
      </c>
      <c r="I645" s="11" t="n">
        <v>96</v>
      </c>
      <c r="J645" s="11" t="n">
        <v>86</v>
      </c>
      <c r="K645" s="11" t="n">
        <v>84</v>
      </c>
      <c r="L645" s="0" t="str">
        <f aca="false">IF(H645&gt;I645,"ERRO","OK")</f>
        <v>OK</v>
      </c>
      <c r="M645" s="0" t="str">
        <f aca="false">IF(H645&gt;J645,"ERRO","OK")</f>
        <v>OK</v>
      </c>
      <c r="N645" s="0" t="str">
        <f aca="false">IF(I645&lt;J645,"ERRO","OK")</f>
        <v>OK</v>
      </c>
    </row>
    <row r="646" customFormat="false" ht="25" hidden="false" customHeight="false" outlineLevel="0" collapsed="false">
      <c r="A646" s="0" t="n">
        <v>53</v>
      </c>
      <c r="B646" s="0" t="n">
        <v>2024</v>
      </c>
      <c r="C646" s="3" t="n">
        <v>45434</v>
      </c>
      <c r="D646" s="4" t="s">
        <v>15</v>
      </c>
      <c r="E646" s="5" t="s">
        <v>29</v>
      </c>
      <c r="F646" s="5" t="s">
        <v>30</v>
      </c>
      <c r="G646" s="7" t="n">
        <v>60</v>
      </c>
      <c r="H646" s="7" t="n">
        <v>60</v>
      </c>
      <c r="I646" s="7" t="n">
        <v>78</v>
      </c>
      <c r="J646" s="7" t="n">
        <v>66</v>
      </c>
      <c r="K646" s="7" t="n">
        <v>60</v>
      </c>
      <c r="L646" s="0" t="str">
        <f aca="false">IF(H646&gt;I646,"ERRO","OK")</f>
        <v>OK</v>
      </c>
      <c r="M646" s="0" t="str">
        <f aca="false">IF(H646&gt;J646,"ERRO","OK")</f>
        <v>OK</v>
      </c>
      <c r="N646" s="0" t="str">
        <f aca="false">IF(I646&lt;J646,"ERRO","OK")</f>
        <v>OK</v>
      </c>
    </row>
    <row r="647" customFormat="false" ht="25" hidden="false" customHeight="false" outlineLevel="0" collapsed="false">
      <c r="A647" s="0" t="n">
        <v>53</v>
      </c>
      <c r="B647" s="0" t="n">
        <v>2024</v>
      </c>
      <c r="C647" s="3" t="n">
        <v>45434</v>
      </c>
      <c r="D647" s="8" t="s">
        <v>15</v>
      </c>
      <c r="E647" s="9" t="s">
        <v>31</v>
      </c>
      <c r="F647" s="9" t="s">
        <v>17</v>
      </c>
      <c r="G647" s="11" t="n">
        <v>84</v>
      </c>
      <c r="H647" s="11" t="n">
        <v>84</v>
      </c>
      <c r="I647" s="11" t="n">
        <v>96</v>
      </c>
      <c r="J647" s="11" t="n">
        <v>88</v>
      </c>
      <c r="K647" s="11" t="n">
        <v>84</v>
      </c>
      <c r="L647" s="0" t="str">
        <f aca="false">IF(H647&gt;I647,"ERRO","OK")</f>
        <v>OK</v>
      </c>
      <c r="M647" s="0" t="str">
        <f aca="false">IF(H647&gt;J647,"ERRO","OK")</f>
        <v>OK</v>
      </c>
      <c r="N647" s="0" t="str">
        <f aca="false">IF(I647&lt;J647,"ERRO","OK")</f>
        <v>OK</v>
      </c>
    </row>
    <row r="648" customFormat="false" ht="25" hidden="false" customHeight="false" outlineLevel="0" collapsed="false">
      <c r="A648" s="0" t="n">
        <v>53</v>
      </c>
      <c r="B648" s="0" t="n">
        <v>2024</v>
      </c>
      <c r="C648" s="3" t="n">
        <v>45434</v>
      </c>
      <c r="D648" s="4" t="s">
        <v>15</v>
      </c>
      <c r="E648" s="5" t="s">
        <v>32</v>
      </c>
      <c r="F648" s="5" t="s">
        <v>17</v>
      </c>
      <c r="G648" s="7" t="n">
        <v>60</v>
      </c>
      <c r="H648" s="7" t="n">
        <v>60</v>
      </c>
      <c r="I648" s="7" t="n">
        <v>70</v>
      </c>
      <c r="J648" s="7" t="s">
        <v>245</v>
      </c>
      <c r="K648" s="7" t="n">
        <v>60</v>
      </c>
      <c r="L648" s="0" t="str">
        <f aca="false">IF(H648&gt;I648,"ERRO","OK")</f>
        <v>OK</v>
      </c>
      <c r="M648" s="0" t="str">
        <f aca="false">IF(H648&gt;J648,"ERRO","OK")</f>
        <v>OK</v>
      </c>
      <c r="N648" s="0" t="str">
        <f aca="false">IF(I648&lt;J648,"ERRO","OK")</f>
        <v>ERRO</v>
      </c>
    </row>
    <row r="649" customFormat="false" ht="25" hidden="false" customHeight="false" outlineLevel="0" collapsed="false">
      <c r="A649" s="0" t="n">
        <v>53</v>
      </c>
      <c r="B649" s="0" t="n">
        <v>2024</v>
      </c>
      <c r="C649" s="3" t="n">
        <v>45434</v>
      </c>
      <c r="D649" s="8" t="s">
        <v>15</v>
      </c>
      <c r="E649" s="9" t="s">
        <v>33</v>
      </c>
      <c r="F649" s="9" t="s">
        <v>17</v>
      </c>
      <c r="G649" s="11" t="n">
        <v>54</v>
      </c>
      <c r="H649" s="11" t="n">
        <v>48</v>
      </c>
      <c r="I649" s="11" t="n">
        <v>54</v>
      </c>
      <c r="J649" s="11" t="n">
        <v>52</v>
      </c>
      <c r="K649" s="11" t="n">
        <v>54</v>
      </c>
      <c r="L649" s="0" t="str">
        <f aca="false">IF(H649&gt;I649,"ERRO","OK")</f>
        <v>OK</v>
      </c>
      <c r="M649" s="0" t="str">
        <f aca="false">IF(H649&gt;J649,"ERRO","OK")</f>
        <v>OK</v>
      </c>
      <c r="N649" s="0" t="str">
        <f aca="false">IF(I649&lt;J649,"ERRO","OK")</f>
        <v>OK</v>
      </c>
    </row>
    <row r="650" customFormat="false" ht="25" hidden="false" customHeight="false" outlineLevel="0" collapsed="false">
      <c r="A650" s="0" t="n">
        <v>53</v>
      </c>
      <c r="B650" s="0" t="n">
        <v>2024</v>
      </c>
      <c r="C650" s="3" t="n">
        <v>45434</v>
      </c>
      <c r="D650" s="4" t="s">
        <v>34</v>
      </c>
      <c r="E650" s="5" t="s">
        <v>35</v>
      </c>
      <c r="F650" s="5" t="s">
        <v>36</v>
      </c>
      <c r="G650" s="7" t="n">
        <v>5</v>
      </c>
      <c r="H650" s="7" t="n">
        <v>5</v>
      </c>
      <c r="I650" s="7" t="n">
        <v>6</v>
      </c>
      <c r="J650" s="7" t="s">
        <v>246</v>
      </c>
      <c r="K650" s="7" t="n">
        <v>5</v>
      </c>
      <c r="L650" s="0" t="str">
        <f aca="false">IF(H650&gt;I650,"ERRO","OK")</f>
        <v>OK</v>
      </c>
      <c r="M650" s="0" t="str">
        <f aca="false">IF(H650&gt;J650,"ERRO","OK")</f>
        <v>OK</v>
      </c>
      <c r="N650" s="0" t="str">
        <f aca="false">IF(I650&lt;J650,"ERRO","OK")</f>
        <v>ERRO</v>
      </c>
    </row>
    <row r="651" customFormat="false" ht="25" hidden="false" customHeight="false" outlineLevel="0" collapsed="false">
      <c r="A651" s="0" t="n">
        <v>53</v>
      </c>
      <c r="B651" s="0" t="n">
        <v>2024</v>
      </c>
      <c r="C651" s="3" t="n">
        <v>45434</v>
      </c>
      <c r="D651" s="8" t="s">
        <v>34</v>
      </c>
      <c r="E651" s="9" t="s">
        <v>38</v>
      </c>
      <c r="F651" s="9" t="s">
        <v>39</v>
      </c>
      <c r="G651" s="11" t="n">
        <v>25</v>
      </c>
      <c r="H651" s="11" t="n">
        <v>20</v>
      </c>
      <c r="I651" s="11" t="n">
        <v>25</v>
      </c>
      <c r="J651" s="11" t="s">
        <v>114</v>
      </c>
      <c r="K651" s="11" t="n">
        <v>25</v>
      </c>
      <c r="L651" s="0" t="str">
        <f aca="false">IF(H651&gt;I651,"ERRO","OK")</f>
        <v>OK</v>
      </c>
      <c r="M651" s="0" t="str">
        <f aca="false">IF(H651&gt;J651,"ERRO","OK")</f>
        <v>OK</v>
      </c>
      <c r="N651" s="0" t="str">
        <f aca="false">IF(I651&lt;J651,"ERRO","OK")</f>
        <v>ERRO</v>
      </c>
    </row>
    <row r="652" customFormat="false" ht="25" hidden="false" customHeight="false" outlineLevel="0" collapsed="false">
      <c r="A652" s="0" t="n">
        <v>53</v>
      </c>
      <c r="B652" s="0" t="n">
        <v>2024</v>
      </c>
      <c r="C652" s="3" t="n">
        <v>45434</v>
      </c>
      <c r="D652" s="4" t="s">
        <v>34</v>
      </c>
      <c r="E652" s="5" t="s">
        <v>40</v>
      </c>
      <c r="F652" s="5" t="s">
        <v>39</v>
      </c>
      <c r="G652" s="6"/>
      <c r="H652" s="7" t="n">
        <v>25</v>
      </c>
      <c r="I652" s="7" t="n">
        <v>32</v>
      </c>
      <c r="J652" s="7" t="n">
        <v>29</v>
      </c>
      <c r="K652" s="7" t="n">
        <v>30</v>
      </c>
      <c r="L652" s="0" t="str">
        <f aca="false">IF(H652&gt;I652,"ERRO","OK")</f>
        <v>OK</v>
      </c>
      <c r="M652" s="0" t="str">
        <f aca="false">IF(H652&gt;J652,"ERRO","OK")</f>
        <v>OK</v>
      </c>
      <c r="N652" s="0" t="str">
        <f aca="false">IF(I652&lt;J652,"ERRO","OK")</f>
        <v>OK</v>
      </c>
    </row>
    <row r="653" customFormat="false" ht="36.5" hidden="false" customHeight="false" outlineLevel="0" collapsed="false">
      <c r="A653" s="0" t="n">
        <v>53</v>
      </c>
      <c r="B653" s="0" t="n">
        <v>2024</v>
      </c>
      <c r="C653" s="3" t="n">
        <v>45434</v>
      </c>
      <c r="D653" s="8" t="s">
        <v>42</v>
      </c>
      <c r="E653" s="9" t="s">
        <v>157</v>
      </c>
      <c r="F653" s="9" t="s">
        <v>158</v>
      </c>
      <c r="G653" s="10"/>
      <c r="H653" s="11" t="n">
        <v>85</v>
      </c>
      <c r="I653" s="11" t="n">
        <v>90</v>
      </c>
      <c r="J653" s="11" t="s">
        <v>243</v>
      </c>
      <c r="K653" s="11" t="s">
        <v>243</v>
      </c>
      <c r="L653" s="0" t="str">
        <f aca="false">IF(H653&gt;I653,"ERRO","OK")</f>
        <v>OK</v>
      </c>
      <c r="M653" s="0" t="str">
        <f aca="false">IF(H653&gt;J653,"ERRO","OK")</f>
        <v>OK</v>
      </c>
      <c r="N653" s="0" t="str">
        <f aca="false">IF(I653&lt;J653,"ERRO","OK")</f>
        <v>ERRO</v>
      </c>
    </row>
    <row r="654" customFormat="false" ht="36.5" hidden="false" customHeight="false" outlineLevel="0" collapsed="false">
      <c r="A654" s="0" t="n">
        <v>53</v>
      </c>
      <c r="B654" s="0" t="n">
        <v>2024</v>
      </c>
      <c r="C654" s="3" t="n">
        <v>45434</v>
      </c>
      <c r="D654" s="4" t="s">
        <v>42</v>
      </c>
      <c r="E654" s="5" t="s">
        <v>43</v>
      </c>
      <c r="F654" s="5" t="s">
        <v>44</v>
      </c>
      <c r="G654" s="7" t="n">
        <v>70</v>
      </c>
      <c r="H654" s="7" t="n">
        <v>60</v>
      </c>
      <c r="I654" s="7" t="n">
        <v>70</v>
      </c>
      <c r="J654" s="7" t="s">
        <v>88</v>
      </c>
      <c r="K654" s="7" t="n">
        <v>70</v>
      </c>
      <c r="L654" s="0" t="str">
        <f aca="false">IF(H654&gt;I654,"ERRO","OK")</f>
        <v>OK</v>
      </c>
      <c r="M654" s="0" t="str">
        <f aca="false">IF(H654&gt;J654,"ERRO","OK")</f>
        <v>OK</v>
      </c>
      <c r="N654" s="0" t="str">
        <f aca="false">IF(I654&lt;J654,"ERRO","OK")</f>
        <v>ERRO</v>
      </c>
    </row>
    <row r="655" customFormat="false" ht="36.5" hidden="false" customHeight="false" outlineLevel="0" collapsed="false">
      <c r="A655" s="0" t="n">
        <v>53</v>
      </c>
      <c r="B655" s="0" t="n">
        <v>2024</v>
      </c>
      <c r="C655" s="3" t="n">
        <v>45434</v>
      </c>
      <c r="D655" s="8" t="s">
        <v>42</v>
      </c>
      <c r="E655" s="9" t="s">
        <v>46</v>
      </c>
      <c r="F655" s="9" t="s">
        <v>47</v>
      </c>
      <c r="G655" s="11" t="n">
        <v>65</v>
      </c>
      <c r="H655" s="11" t="n">
        <v>45</v>
      </c>
      <c r="I655" s="11" t="n">
        <v>65</v>
      </c>
      <c r="J655" s="11" t="s">
        <v>239</v>
      </c>
      <c r="K655" s="11" t="s">
        <v>45</v>
      </c>
      <c r="L655" s="0" t="str">
        <f aca="false">IF(H655&gt;I655,"ERRO","OK")</f>
        <v>OK</v>
      </c>
      <c r="M655" s="0" t="str">
        <f aca="false">IF(H655&gt;J655,"ERRO","OK")</f>
        <v>OK</v>
      </c>
      <c r="N655" s="0" t="str">
        <f aca="false">IF(I655&lt;J655,"ERRO","OK")</f>
        <v>ERRO</v>
      </c>
    </row>
    <row r="656" customFormat="false" ht="36.5" hidden="false" customHeight="false" outlineLevel="0" collapsed="false">
      <c r="A656" s="0" t="n">
        <v>53</v>
      </c>
      <c r="B656" s="0" t="n">
        <v>2024</v>
      </c>
      <c r="C656" s="3" t="n">
        <v>45434</v>
      </c>
      <c r="D656" s="4" t="s">
        <v>42</v>
      </c>
      <c r="E656" s="5" t="s">
        <v>48</v>
      </c>
      <c r="F656" s="5" t="s">
        <v>49</v>
      </c>
      <c r="G656" s="7" t="n">
        <v>50</v>
      </c>
      <c r="H656" s="7" t="n">
        <v>40</v>
      </c>
      <c r="I656" s="7" t="n">
        <v>50</v>
      </c>
      <c r="J656" s="7" t="s">
        <v>95</v>
      </c>
      <c r="K656" s="7" t="n">
        <v>50</v>
      </c>
      <c r="L656" s="0" t="str">
        <f aca="false">IF(H656&gt;I656,"ERRO","OK")</f>
        <v>OK</v>
      </c>
      <c r="M656" s="0" t="str">
        <f aca="false">IF(H656&gt;J656,"ERRO","OK")</f>
        <v>OK</v>
      </c>
      <c r="N656" s="0" t="str">
        <f aca="false">IF(I656&lt;J656,"ERRO","OK")</f>
        <v>ERRO</v>
      </c>
    </row>
    <row r="657" customFormat="false" ht="36.5" hidden="false" customHeight="false" outlineLevel="0" collapsed="false">
      <c r="A657" s="0" t="n">
        <v>53</v>
      </c>
      <c r="B657" s="0" t="n">
        <v>2024</v>
      </c>
      <c r="C657" s="3" t="n">
        <v>45434</v>
      </c>
      <c r="D657" s="8" t="s">
        <v>42</v>
      </c>
      <c r="E657" s="9" t="s">
        <v>52</v>
      </c>
      <c r="F657" s="9" t="s">
        <v>49</v>
      </c>
      <c r="G657" s="11" t="n">
        <v>100</v>
      </c>
      <c r="H657" s="11" t="n">
        <v>90</v>
      </c>
      <c r="I657" s="11" t="n">
        <v>100</v>
      </c>
      <c r="J657" s="11" t="s">
        <v>188</v>
      </c>
      <c r="K657" s="11" t="n">
        <v>100</v>
      </c>
      <c r="L657" s="0" t="str">
        <f aca="false">IF(H657&gt;I657,"ERRO","OK")</f>
        <v>OK</v>
      </c>
      <c r="M657" s="0" t="str">
        <f aca="false">IF(H657&gt;J657,"ERRO","OK")</f>
        <v>OK</v>
      </c>
      <c r="N657" s="0" t="str">
        <f aca="false">IF(I657&lt;J657,"ERRO","OK")</f>
        <v>ERRO</v>
      </c>
    </row>
    <row r="658" customFormat="false" ht="36.5" hidden="false" customHeight="false" outlineLevel="0" collapsed="false">
      <c r="A658" s="0" t="n">
        <v>53</v>
      </c>
      <c r="B658" s="0" t="n">
        <v>2024</v>
      </c>
      <c r="C658" s="3" t="n">
        <v>45434</v>
      </c>
      <c r="D658" s="4" t="s">
        <v>42</v>
      </c>
      <c r="E658" s="5" t="s">
        <v>53</v>
      </c>
      <c r="F658" s="5" t="s">
        <v>54</v>
      </c>
      <c r="G658" s="7" t="n">
        <v>110</v>
      </c>
      <c r="H658" s="7" t="n">
        <v>110</v>
      </c>
      <c r="I658" s="7" t="n">
        <v>150</v>
      </c>
      <c r="J658" s="7" t="s">
        <v>247</v>
      </c>
      <c r="K658" s="7" t="s">
        <v>244</v>
      </c>
      <c r="L658" s="0" t="str">
        <f aca="false">IF(H658&gt;I658,"ERRO","OK")</f>
        <v>OK</v>
      </c>
      <c r="M658" s="0" t="str">
        <f aca="false">IF(H658&gt;J658,"ERRO","OK")</f>
        <v>OK</v>
      </c>
      <c r="N658" s="0" t="str">
        <f aca="false">IF(I658&lt;J658,"ERRO","OK")</f>
        <v>ERRO</v>
      </c>
    </row>
    <row r="659" customFormat="false" ht="36.5" hidden="false" customHeight="false" outlineLevel="0" collapsed="false">
      <c r="A659" s="0" t="n">
        <v>53</v>
      </c>
      <c r="B659" s="0" t="n">
        <v>2024</v>
      </c>
      <c r="C659" s="3" t="n">
        <v>45434</v>
      </c>
      <c r="D659" s="8" t="s">
        <v>42</v>
      </c>
      <c r="E659" s="9" t="s">
        <v>56</v>
      </c>
      <c r="F659" s="9" t="s">
        <v>47</v>
      </c>
      <c r="G659" s="11" t="n">
        <v>170</v>
      </c>
      <c r="H659" s="11" t="n">
        <v>100</v>
      </c>
      <c r="I659" s="11" t="n">
        <v>170</v>
      </c>
      <c r="J659" s="11" t="n">
        <v>135</v>
      </c>
      <c r="K659" s="11" t="n">
        <v>135</v>
      </c>
      <c r="L659" s="0" t="str">
        <f aca="false">IF(H659&gt;I659,"ERRO","OK")</f>
        <v>OK</v>
      </c>
      <c r="M659" s="0" t="str">
        <f aca="false">IF(H659&gt;J659,"ERRO","OK")</f>
        <v>OK</v>
      </c>
      <c r="N659" s="0" t="str">
        <f aca="false">IF(I659&lt;J659,"ERRO","OK")</f>
        <v>OK</v>
      </c>
    </row>
    <row r="660" customFormat="false" ht="36.5" hidden="false" customHeight="false" outlineLevel="0" collapsed="false">
      <c r="A660" s="0" t="n">
        <v>53</v>
      </c>
      <c r="B660" s="0" t="n">
        <v>2024</v>
      </c>
      <c r="C660" s="3" t="n">
        <v>45434</v>
      </c>
      <c r="D660" s="4" t="s">
        <v>42</v>
      </c>
      <c r="E660" s="5" t="s">
        <v>57</v>
      </c>
      <c r="F660" s="5" t="s">
        <v>47</v>
      </c>
      <c r="G660" s="7" t="n">
        <v>50</v>
      </c>
      <c r="H660" s="7" t="n">
        <v>50</v>
      </c>
      <c r="I660" s="7" t="n">
        <v>60</v>
      </c>
      <c r="J660" s="7" t="n">
        <v>55</v>
      </c>
      <c r="K660" s="7" t="n">
        <v>55</v>
      </c>
      <c r="L660" s="0" t="str">
        <f aca="false">IF(H660&gt;I660,"ERRO","OK")</f>
        <v>OK</v>
      </c>
      <c r="M660" s="0" t="str">
        <f aca="false">IF(H660&gt;J660,"ERRO","OK")</f>
        <v>OK</v>
      </c>
      <c r="N660" s="0" t="str">
        <f aca="false">IF(I660&lt;J660,"ERRO","OK")</f>
        <v>OK</v>
      </c>
    </row>
    <row r="661" customFormat="false" ht="36.5" hidden="false" customHeight="false" outlineLevel="0" collapsed="false">
      <c r="A661" s="0" t="n">
        <v>53</v>
      </c>
      <c r="B661" s="0" t="n">
        <v>2024</v>
      </c>
      <c r="C661" s="3" t="n">
        <v>45434</v>
      </c>
      <c r="D661" s="8" t="s">
        <v>42</v>
      </c>
      <c r="E661" s="9" t="s">
        <v>58</v>
      </c>
      <c r="F661" s="9" t="s">
        <v>44</v>
      </c>
      <c r="G661" s="11" t="n">
        <v>90</v>
      </c>
      <c r="H661" s="11" t="n">
        <v>80</v>
      </c>
      <c r="I661" s="11" t="n">
        <v>90</v>
      </c>
      <c r="J661" s="11" t="s">
        <v>248</v>
      </c>
      <c r="K661" s="11" t="n">
        <v>90</v>
      </c>
      <c r="L661" s="0" t="str">
        <f aca="false">IF(H661&gt;I661,"ERRO","OK")</f>
        <v>OK</v>
      </c>
      <c r="M661" s="0" t="str">
        <f aca="false">IF(H661&gt;J661,"ERRO","OK")</f>
        <v>OK</v>
      </c>
      <c r="N661" s="0" t="str">
        <f aca="false">IF(I661&lt;J661,"ERRO","OK")</f>
        <v>ERRO</v>
      </c>
    </row>
    <row r="662" customFormat="false" ht="36.5" hidden="false" customHeight="false" outlineLevel="0" collapsed="false">
      <c r="A662" s="0" t="n">
        <v>53</v>
      </c>
      <c r="B662" s="0" t="n">
        <v>2024</v>
      </c>
      <c r="C662" s="3" t="n">
        <v>45434</v>
      </c>
      <c r="D662" s="4" t="s">
        <v>42</v>
      </c>
      <c r="E662" s="5" t="s">
        <v>60</v>
      </c>
      <c r="F662" s="5" t="s">
        <v>47</v>
      </c>
      <c r="G662" s="7" t="n">
        <v>75</v>
      </c>
      <c r="H662" s="7" t="n">
        <v>75</v>
      </c>
      <c r="I662" s="7" t="n">
        <v>75</v>
      </c>
      <c r="J662" s="7" t="n">
        <v>75</v>
      </c>
      <c r="K662" s="7" t="n">
        <v>75</v>
      </c>
      <c r="L662" s="0" t="str">
        <f aca="false">IF(H662&gt;I662,"ERRO","OK")</f>
        <v>OK</v>
      </c>
      <c r="M662" s="0" t="str">
        <f aca="false">IF(H662&gt;J662,"ERRO","OK")</f>
        <v>OK</v>
      </c>
      <c r="N662" s="0" t="str">
        <f aca="false">IF(I662&lt;J662,"ERRO","OK")</f>
        <v>OK</v>
      </c>
    </row>
    <row r="663" customFormat="false" ht="36.5" hidden="false" customHeight="false" outlineLevel="0" collapsed="false">
      <c r="A663" s="0" t="n">
        <v>53</v>
      </c>
      <c r="B663" s="0" t="n">
        <v>2024</v>
      </c>
      <c r="C663" s="3" t="n">
        <v>45434</v>
      </c>
      <c r="D663" s="8" t="s">
        <v>42</v>
      </c>
      <c r="E663" s="9" t="s">
        <v>61</v>
      </c>
      <c r="F663" s="9" t="s">
        <v>44</v>
      </c>
      <c r="G663" s="10"/>
      <c r="H663" s="11" t="n">
        <v>50</v>
      </c>
      <c r="I663" s="11" t="n">
        <v>85</v>
      </c>
      <c r="J663" s="11" t="s">
        <v>66</v>
      </c>
      <c r="K663" s="11" t="n">
        <v>70</v>
      </c>
      <c r="L663" s="0" t="str">
        <f aca="false">IF(H663&gt;I663,"ERRO","OK")</f>
        <v>OK</v>
      </c>
      <c r="M663" s="0" t="str">
        <f aca="false">IF(H663&gt;J663,"ERRO","OK")</f>
        <v>OK</v>
      </c>
      <c r="N663" s="0" t="str">
        <f aca="false">IF(I663&lt;J663,"ERRO","OK")</f>
        <v>ERRO</v>
      </c>
    </row>
    <row r="664" customFormat="false" ht="36.5" hidden="false" customHeight="false" outlineLevel="0" collapsed="false">
      <c r="A664" s="0" t="n">
        <v>53</v>
      </c>
      <c r="B664" s="0" t="n">
        <v>2024</v>
      </c>
      <c r="C664" s="3" t="n">
        <v>45434</v>
      </c>
      <c r="D664" s="4" t="s">
        <v>42</v>
      </c>
      <c r="E664" s="5" t="s">
        <v>62</v>
      </c>
      <c r="F664" s="5" t="s">
        <v>44</v>
      </c>
      <c r="G664" s="7" t="n">
        <v>80</v>
      </c>
      <c r="H664" s="7" t="n">
        <v>80</v>
      </c>
      <c r="I664" s="7" t="n">
        <v>150</v>
      </c>
      <c r="J664" s="7" t="n">
        <v>100</v>
      </c>
      <c r="K664" s="7" t="n">
        <v>85</v>
      </c>
      <c r="L664" s="0" t="str">
        <f aca="false">IF(H664&gt;I664,"ERRO","OK")</f>
        <v>OK</v>
      </c>
      <c r="M664" s="0" t="str">
        <f aca="false">IF(H664&gt;J664,"ERRO","OK")</f>
        <v>OK</v>
      </c>
      <c r="N664" s="0" t="str">
        <f aca="false">IF(I664&lt;J664,"ERRO","OK")</f>
        <v>OK</v>
      </c>
    </row>
    <row r="665" customFormat="false" ht="36.5" hidden="false" customHeight="false" outlineLevel="0" collapsed="false">
      <c r="A665" s="0" t="n">
        <v>53</v>
      </c>
      <c r="B665" s="0" t="n">
        <v>2024</v>
      </c>
      <c r="C665" s="3" t="n">
        <v>45434</v>
      </c>
      <c r="D665" s="8" t="s">
        <v>42</v>
      </c>
      <c r="E665" s="9" t="s">
        <v>63</v>
      </c>
      <c r="F665" s="9" t="s">
        <v>49</v>
      </c>
      <c r="G665" s="11" t="n">
        <v>50</v>
      </c>
      <c r="H665" s="11" t="n">
        <v>50</v>
      </c>
      <c r="I665" s="11" t="n">
        <v>65</v>
      </c>
      <c r="J665" s="11" t="n">
        <v>56</v>
      </c>
      <c r="K665" s="11" t="n">
        <v>55</v>
      </c>
      <c r="L665" s="0" t="str">
        <f aca="false">IF(H665&gt;I665,"ERRO","OK")</f>
        <v>OK</v>
      </c>
      <c r="M665" s="0" t="str">
        <f aca="false">IF(H665&gt;J665,"ERRO","OK")</f>
        <v>OK</v>
      </c>
      <c r="N665" s="0" t="str">
        <f aca="false">IF(I665&lt;J665,"ERRO","OK")</f>
        <v>OK</v>
      </c>
    </row>
    <row r="666" customFormat="false" ht="36.5" hidden="false" customHeight="false" outlineLevel="0" collapsed="false">
      <c r="A666" s="0" t="n">
        <v>53</v>
      </c>
      <c r="B666" s="0" t="n">
        <v>2024</v>
      </c>
      <c r="C666" s="3" t="n">
        <v>45434</v>
      </c>
      <c r="D666" s="4" t="s">
        <v>42</v>
      </c>
      <c r="E666" s="5" t="s">
        <v>64</v>
      </c>
      <c r="F666" s="5" t="s">
        <v>65</v>
      </c>
      <c r="G666" s="7" t="n">
        <v>120</v>
      </c>
      <c r="H666" s="7" t="n">
        <v>100</v>
      </c>
      <c r="I666" s="7" t="n">
        <v>120</v>
      </c>
      <c r="J666" s="7" t="s">
        <v>170</v>
      </c>
      <c r="K666" s="7" t="n">
        <v>115</v>
      </c>
      <c r="L666" s="0" t="str">
        <f aca="false">IF(H666&gt;I666,"ERRO","OK")</f>
        <v>OK</v>
      </c>
      <c r="M666" s="0" t="str">
        <f aca="false">IF(H666&gt;J666,"ERRO","OK")</f>
        <v>OK</v>
      </c>
      <c r="N666" s="0" t="str">
        <f aca="false">IF(I666&lt;J666,"ERRO","OK")</f>
        <v>ERRO</v>
      </c>
    </row>
    <row r="667" customFormat="false" ht="36.5" hidden="false" customHeight="false" outlineLevel="0" collapsed="false">
      <c r="A667" s="0" t="n">
        <v>53</v>
      </c>
      <c r="B667" s="0" t="n">
        <v>2024</v>
      </c>
      <c r="C667" s="3" t="n">
        <v>45434</v>
      </c>
      <c r="D667" s="8" t="s">
        <v>42</v>
      </c>
      <c r="E667" s="9" t="s">
        <v>67</v>
      </c>
      <c r="F667" s="9" t="s">
        <v>44</v>
      </c>
      <c r="G667" s="11" t="n">
        <v>140</v>
      </c>
      <c r="H667" s="11" t="n">
        <v>80</v>
      </c>
      <c r="I667" s="11" t="n">
        <v>140</v>
      </c>
      <c r="J667" s="11" t="s">
        <v>249</v>
      </c>
      <c r="K667" s="11" t="n">
        <v>105</v>
      </c>
      <c r="L667" s="0" t="str">
        <f aca="false">IF(H667&gt;I667,"ERRO","OK")</f>
        <v>OK</v>
      </c>
      <c r="M667" s="0" t="str">
        <f aca="false">IF(H667&gt;J667,"ERRO","OK")</f>
        <v>OK</v>
      </c>
      <c r="N667" s="0" t="str">
        <f aca="false">IF(I667&lt;J667,"ERRO","OK")</f>
        <v>ERRO</v>
      </c>
    </row>
    <row r="668" customFormat="false" ht="36.5" hidden="false" customHeight="false" outlineLevel="0" collapsed="false">
      <c r="A668" s="0" t="n">
        <v>53</v>
      </c>
      <c r="B668" s="0" t="n">
        <v>2024</v>
      </c>
      <c r="C668" s="3" t="n">
        <v>45434</v>
      </c>
      <c r="D668" s="4" t="s">
        <v>42</v>
      </c>
      <c r="E668" s="5" t="s">
        <v>68</v>
      </c>
      <c r="F668" s="5" t="s">
        <v>44</v>
      </c>
      <c r="G668" s="7" t="n">
        <v>200</v>
      </c>
      <c r="H668" s="7" t="n">
        <v>170</v>
      </c>
      <c r="I668" s="7" t="n">
        <v>200</v>
      </c>
      <c r="J668" s="7" t="n">
        <v>190</v>
      </c>
      <c r="K668" s="7" t="n">
        <v>200</v>
      </c>
      <c r="L668" s="0" t="str">
        <f aca="false">IF(H668&gt;I668,"ERRO","OK")</f>
        <v>OK</v>
      </c>
      <c r="M668" s="0" t="str">
        <f aca="false">IF(H668&gt;J668,"ERRO","OK")</f>
        <v>OK</v>
      </c>
      <c r="N668" s="0" t="str">
        <f aca="false">IF(I668&lt;J668,"ERRO","OK")</f>
        <v>OK</v>
      </c>
    </row>
    <row r="669" customFormat="false" ht="14.25" hidden="false" customHeight="false" outlineLevel="0" collapsed="false">
      <c r="A669" s="0" t="n">
        <v>53</v>
      </c>
      <c r="B669" s="0" t="n">
        <v>2024</v>
      </c>
      <c r="C669" s="3" t="n">
        <v>45434</v>
      </c>
      <c r="D669" s="8" t="s">
        <v>69</v>
      </c>
      <c r="E669" s="9" t="s">
        <v>70</v>
      </c>
      <c r="F669" s="9" t="s">
        <v>49</v>
      </c>
      <c r="G669" s="10"/>
      <c r="H669" s="11" t="n">
        <v>170</v>
      </c>
      <c r="I669" s="11" t="n">
        <v>170</v>
      </c>
      <c r="J669" s="11" t="n">
        <v>170</v>
      </c>
      <c r="K669" s="11" t="n">
        <v>170</v>
      </c>
      <c r="L669" s="0" t="str">
        <f aca="false">IF(H669&gt;I669,"ERRO","OK")</f>
        <v>OK</v>
      </c>
      <c r="M669" s="0" t="str">
        <f aca="false">IF(H669&gt;J669,"ERRO","OK")</f>
        <v>OK</v>
      </c>
      <c r="N669" s="0" t="str">
        <f aca="false">IF(I669&lt;J669,"ERRO","OK")</f>
        <v>OK</v>
      </c>
    </row>
    <row r="670" customFormat="false" ht="14.25" hidden="false" customHeight="false" outlineLevel="0" collapsed="false">
      <c r="A670" s="0" t="n">
        <v>53</v>
      </c>
      <c r="B670" s="0" t="n">
        <v>2024</v>
      </c>
      <c r="C670" s="3" t="n">
        <v>45434</v>
      </c>
      <c r="D670" s="4" t="s">
        <v>69</v>
      </c>
      <c r="E670" s="5" t="s">
        <v>71</v>
      </c>
      <c r="F670" s="5" t="s">
        <v>49</v>
      </c>
      <c r="G670" s="6"/>
      <c r="H670" s="7" t="n">
        <v>75</v>
      </c>
      <c r="I670" s="7" t="n">
        <v>75</v>
      </c>
      <c r="J670" s="7" t="n">
        <v>75</v>
      </c>
      <c r="K670" s="7" t="n">
        <v>75</v>
      </c>
      <c r="L670" s="0" t="str">
        <f aca="false">IF(H670&gt;I670,"ERRO","OK")</f>
        <v>OK</v>
      </c>
      <c r="M670" s="0" t="str">
        <f aca="false">IF(H670&gt;J670,"ERRO","OK")</f>
        <v>OK</v>
      </c>
      <c r="N670" s="0" t="str">
        <f aca="false">IF(I670&lt;J670,"ERRO","OK")</f>
        <v>OK</v>
      </c>
    </row>
    <row r="671" customFormat="false" ht="14.25" hidden="false" customHeight="false" outlineLevel="0" collapsed="false">
      <c r="A671" s="0" t="n">
        <v>53</v>
      </c>
      <c r="B671" s="0" t="n">
        <v>2024</v>
      </c>
      <c r="C671" s="3" t="n">
        <v>45434</v>
      </c>
      <c r="D671" s="8" t="s">
        <v>69</v>
      </c>
      <c r="E671" s="9" t="s">
        <v>72</v>
      </c>
      <c r="F671" s="9" t="s">
        <v>49</v>
      </c>
      <c r="G671" s="10"/>
      <c r="H671" s="11" t="n">
        <v>0</v>
      </c>
      <c r="I671" s="11" t="n">
        <v>0</v>
      </c>
      <c r="J671" s="10"/>
      <c r="K671" s="10"/>
      <c r="L671" s="0" t="str">
        <f aca="false">IF(H671&gt;I671,"ERRO","OK")</f>
        <v>OK</v>
      </c>
      <c r="M671" s="0" t="str">
        <f aca="false">IF(H671&gt;J671,"ERRO","OK")</f>
        <v>OK</v>
      </c>
      <c r="N671" s="0" t="str">
        <f aca="false">IF(I671&lt;J671,"ERRO","OK")</f>
        <v>OK</v>
      </c>
    </row>
    <row r="672" customFormat="false" ht="14.25" hidden="false" customHeight="false" outlineLevel="0" collapsed="false">
      <c r="A672" s="0" t="n">
        <v>53</v>
      </c>
      <c r="B672" s="0" t="n">
        <v>2024</v>
      </c>
      <c r="C672" s="3" t="n">
        <v>45434</v>
      </c>
      <c r="D672" s="4" t="s">
        <v>69</v>
      </c>
      <c r="E672" s="5" t="s">
        <v>73</v>
      </c>
      <c r="F672" s="5" t="s">
        <v>49</v>
      </c>
      <c r="G672" s="6"/>
      <c r="H672" s="7" t="n">
        <v>50</v>
      </c>
      <c r="I672" s="7" t="n">
        <v>50</v>
      </c>
      <c r="J672" s="7" t="n">
        <v>50</v>
      </c>
      <c r="K672" s="7" t="n">
        <v>50</v>
      </c>
      <c r="L672" s="0" t="str">
        <f aca="false">IF(H672&gt;I672,"ERRO","OK")</f>
        <v>OK</v>
      </c>
      <c r="M672" s="0" t="str">
        <f aca="false">IF(H672&gt;J672,"ERRO","OK")</f>
        <v>OK</v>
      </c>
      <c r="N672" s="0" t="str">
        <f aca="false">IF(I672&lt;J672,"ERRO","OK")</f>
        <v>OK</v>
      </c>
    </row>
    <row r="673" customFormat="false" ht="14.25" hidden="false" customHeight="false" outlineLevel="0" collapsed="false">
      <c r="A673" s="0" t="n">
        <v>53</v>
      </c>
      <c r="B673" s="0" t="n">
        <v>2024</v>
      </c>
      <c r="C673" s="3" t="n">
        <v>45434</v>
      </c>
      <c r="D673" s="8" t="s">
        <v>69</v>
      </c>
      <c r="E673" s="9" t="s">
        <v>74</v>
      </c>
      <c r="F673" s="9" t="s">
        <v>75</v>
      </c>
      <c r="G673" s="10"/>
      <c r="H673" s="11" t="n">
        <v>50</v>
      </c>
      <c r="I673" s="11" t="n">
        <v>60</v>
      </c>
      <c r="J673" s="11" t="n">
        <v>55</v>
      </c>
      <c r="K673" s="11" t="n">
        <v>55</v>
      </c>
      <c r="L673" s="0" t="str">
        <f aca="false">IF(H673&gt;I673,"ERRO","OK")</f>
        <v>OK</v>
      </c>
      <c r="M673" s="0" t="str">
        <f aca="false">IF(H673&gt;J673,"ERRO","OK")</f>
        <v>OK</v>
      </c>
      <c r="N673" s="0" t="str">
        <f aca="false">IF(I673&lt;J673,"ERRO","OK")</f>
        <v>OK</v>
      </c>
    </row>
    <row r="674" customFormat="false" ht="25" hidden="false" customHeight="false" outlineLevel="0" collapsed="false">
      <c r="A674" s="0" t="n">
        <v>54</v>
      </c>
      <c r="B674" s="0" t="n">
        <v>2024</v>
      </c>
      <c r="C674" s="3" t="n">
        <v>45441</v>
      </c>
      <c r="D674" s="4" t="s">
        <v>15</v>
      </c>
      <c r="E674" s="5" t="s">
        <v>16</v>
      </c>
      <c r="F674" s="5" t="s">
        <v>17</v>
      </c>
      <c r="G674" s="7" t="n">
        <v>60</v>
      </c>
      <c r="H674" s="7" t="n">
        <v>48</v>
      </c>
      <c r="I674" s="7" t="n">
        <v>66</v>
      </c>
      <c r="J674" s="7" t="s">
        <v>250</v>
      </c>
      <c r="K674" s="7" t="n">
        <v>60</v>
      </c>
      <c r="L674" s="0" t="str">
        <f aca="false">IF(H674&gt;I674,"ERRO","OK")</f>
        <v>OK</v>
      </c>
      <c r="M674" s="0" t="str">
        <f aca="false">IF(H674&gt;J674,"ERRO","OK")</f>
        <v>OK</v>
      </c>
      <c r="N674" s="0" t="str">
        <f aca="false">IF(I674&lt;J674,"ERRO","OK")</f>
        <v>ERRO</v>
      </c>
    </row>
    <row r="675" customFormat="false" ht="25" hidden="false" customHeight="false" outlineLevel="0" collapsed="false">
      <c r="A675" s="0" t="n">
        <v>54</v>
      </c>
      <c r="B675" s="0" t="n">
        <v>2024</v>
      </c>
      <c r="C675" s="3" t="n">
        <v>45441</v>
      </c>
      <c r="D675" s="8" t="s">
        <v>15</v>
      </c>
      <c r="E675" s="9" t="s">
        <v>18</v>
      </c>
      <c r="F675" s="9" t="s">
        <v>17</v>
      </c>
      <c r="G675" s="11" t="n">
        <v>84</v>
      </c>
      <c r="H675" s="11" t="n">
        <v>60</v>
      </c>
      <c r="I675" s="11" t="n">
        <v>84</v>
      </c>
      <c r="J675" s="11" t="n">
        <v>78</v>
      </c>
      <c r="K675" s="11" t="n">
        <v>84</v>
      </c>
      <c r="L675" s="0" t="str">
        <f aca="false">IF(H675&gt;I675,"ERRO","OK")</f>
        <v>OK</v>
      </c>
      <c r="M675" s="0" t="str">
        <f aca="false">IF(H675&gt;J675,"ERRO","OK")</f>
        <v>OK</v>
      </c>
      <c r="N675" s="0" t="str">
        <f aca="false">IF(I675&lt;J675,"ERRO","OK")</f>
        <v>OK</v>
      </c>
    </row>
    <row r="676" customFormat="false" ht="25" hidden="false" customHeight="false" outlineLevel="0" collapsed="false">
      <c r="A676" s="0" t="n">
        <v>54</v>
      </c>
      <c r="B676" s="0" t="n">
        <v>2024</v>
      </c>
      <c r="C676" s="3" t="n">
        <v>45441</v>
      </c>
      <c r="D676" s="4" t="s">
        <v>15</v>
      </c>
      <c r="E676" s="5" t="s">
        <v>19</v>
      </c>
      <c r="F676" s="5" t="s">
        <v>17</v>
      </c>
      <c r="G676" s="6"/>
      <c r="H676" s="7" t="n">
        <v>36</v>
      </c>
      <c r="I676" s="7" t="n">
        <v>54</v>
      </c>
      <c r="J676" s="7" t="s">
        <v>251</v>
      </c>
      <c r="K676" s="7" t="n">
        <v>44</v>
      </c>
      <c r="L676" s="0" t="str">
        <f aca="false">IF(H676&gt;I676,"ERRO","OK")</f>
        <v>OK</v>
      </c>
      <c r="M676" s="0" t="str">
        <f aca="false">IF(H676&gt;J676,"ERRO","OK")</f>
        <v>OK</v>
      </c>
      <c r="N676" s="0" t="str">
        <f aca="false">IF(I676&lt;J676,"ERRO","OK")</f>
        <v>ERRO</v>
      </c>
    </row>
    <row r="677" customFormat="false" ht="25" hidden="false" customHeight="false" outlineLevel="0" collapsed="false">
      <c r="A677" s="0" t="n">
        <v>54</v>
      </c>
      <c r="B677" s="0" t="n">
        <v>2024</v>
      </c>
      <c r="C677" s="3" t="n">
        <v>45441</v>
      </c>
      <c r="D677" s="8" t="s">
        <v>15</v>
      </c>
      <c r="E677" s="9" t="s">
        <v>20</v>
      </c>
      <c r="F677" s="9" t="s">
        <v>17</v>
      </c>
      <c r="G677" s="11" t="n">
        <v>24</v>
      </c>
      <c r="H677" s="11" t="n">
        <v>24</v>
      </c>
      <c r="I677" s="11" t="n">
        <v>30</v>
      </c>
      <c r="J677" s="11" t="n">
        <v>27</v>
      </c>
      <c r="K677" s="11" t="n">
        <v>27</v>
      </c>
      <c r="L677" s="0" t="str">
        <f aca="false">IF(H677&gt;I677,"ERRO","OK")</f>
        <v>OK</v>
      </c>
      <c r="M677" s="0" t="str">
        <f aca="false">IF(H677&gt;J677,"ERRO","OK")</f>
        <v>OK</v>
      </c>
      <c r="N677" s="0" t="str">
        <f aca="false">IF(I677&lt;J677,"ERRO","OK")</f>
        <v>OK</v>
      </c>
    </row>
    <row r="678" customFormat="false" ht="25" hidden="false" customHeight="false" outlineLevel="0" collapsed="false">
      <c r="A678" s="0" t="n">
        <v>54</v>
      </c>
      <c r="B678" s="0" t="n">
        <v>2024</v>
      </c>
      <c r="C678" s="3" t="n">
        <v>45441</v>
      </c>
      <c r="D678" s="4" t="s">
        <v>15</v>
      </c>
      <c r="E678" s="5" t="s">
        <v>21</v>
      </c>
      <c r="F678" s="5" t="s">
        <v>17</v>
      </c>
      <c r="G678" s="7" t="n">
        <v>24</v>
      </c>
      <c r="H678" s="7" t="n">
        <v>24</v>
      </c>
      <c r="I678" s="7" t="n">
        <v>30</v>
      </c>
      <c r="J678" s="7" t="n">
        <v>27</v>
      </c>
      <c r="K678" s="7" t="n">
        <v>27</v>
      </c>
      <c r="L678" s="0" t="str">
        <f aca="false">IF(H678&gt;I678,"ERRO","OK")</f>
        <v>OK</v>
      </c>
      <c r="M678" s="0" t="str">
        <f aca="false">IF(H678&gt;J678,"ERRO","OK")</f>
        <v>OK</v>
      </c>
      <c r="N678" s="0" t="str">
        <f aca="false">IF(I678&lt;J678,"ERRO","OK")</f>
        <v>OK</v>
      </c>
    </row>
    <row r="679" customFormat="false" ht="25" hidden="false" customHeight="false" outlineLevel="0" collapsed="false">
      <c r="A679" s="0" t="n">
        <v>54</v>
      </c>
      <c r="B679" s="0" t="n">
        <v>2024</v>
      </c>
      <c r="C679" s="3" t="n">
        <v>45441</v>
      </c>
      <c r="D679" s="8" t="s">
        <v>15</v>
      </c>
      <c r="E679" s="9" t="s">
        <v>22</v>
      </c>
      <c r="F679" s="9" t="s">
        <v>17</v>
      </c>
      <c r="G679" s="11" t="n">
        <v>50</v>
      </c>
      <c r="H679" s="11" t="n">
        <v>48</v>
      </c>
      <c r="I679" s="11" t="n">
        <v>60</v>
      </c>
      <c r="J679" s="11" t="n">
        <v>52</v>
      </c>
      <c r="K679" s="11" t="n">
        <v>50</v>
      </c>
      <c r="L679" s="0" t="str">
        <f aca="false">IF(H679&gt;I679,"ERRO","OK")</f>
        <v>OK</v>
      </c>
      <c r="M679" s="0" t="str">
        <f aca="false">IF(H679&gt;J679,"ERRO","OK")</f>
        <v>OK</v>
      </c>
      <c r="N679" s="0" t="str">
        <f aca="false">IF(I679&lt;J679,"ERRO","OK")</f>
        <v>OK</v>
      </c>
    </row>
    <row r="680" customFormat="false" ht="25" hidden="false" customHeight="false" outlineLevel="0" collapsed="false">
      <c r="A680" s="0" t="n">
        <v>54</v>
      </c>
      <c r="B680" s="0" t="n">
        <v>2024</v>
      </c>
      <c r="C680" s="3" t="n">
        <v>45441</v>
      </c>
      <c r="D680" s="4" t="s">
        <v>15</v>
      </c>
      <c r="E680" s="5" t="s">
        <v>23</v>
      </c>
      <c r="F680" s="5" t="s">
        <v>17</v>
      </c>
      <c r="G680" s="7" t="n">
        <v>84</v>
      </c>
      <c r="H680" s="7" t="n">
        <v>84</v>
      </c>
      <c r="I680" s="7" t="n">
        <v>96</v>
      </c>
      <c r="J680" s="7" t="n">
        <v>90</v>
      </c>
      <c r="K680" s="7" t="n">
        <v>90</v>
      </c>
      <c r="L680" s="0" t="str">
        <f aca="false">IF(H680&gt;I680,"ERRO","OK")</f>
        <v>OK</v>
      </c>
      <c r="M680" s="0" t="str">
        <f aca="false">IF(H680&gt;J680,"ERRO","OK")</f>
        <v>OK</v>
      </c>
      <c r="N680" s="0" t="str">
        <f aca="false">IF(I680&lt;J680,"ERRO","OK")</f>
        <v>OK</v>
      </c>
    </row>
    <row r="681" customFormat="false" ht="25" hidden="false" customHeight="false" outlineLevel="0" collapsed="false">
      <c r="A681" s="0" t="n">
        <v>54</v>
      </c>
      <c r="B681" s="0" t="n">
        <v>2024</v>
      </c>
      <c r="C681" s="3" t="n">
        <v>45441</v>
      </c>
      <c r="D681" s="8" t="s">
        <v>15</v>
      </c>
      <c r="E681" s="9" t="s">
        <v>24</v>
      </c>
      <c r="F681" s="9" t="s">
        <v>17</v>
      </c>
      <c r="G681" s="11" t="n">
        <v>96</v>
      </c>
      <c r="H681" s="11" t="n">
        <v>84</v>
      </c>
      <c r="I681" s="11" t="n">
        <v>96</v>
      </c>
      <c r="J681" s="11" t="n">
        <v>93</v>
      </c>
      <c r="K681" s="11" t="n">
        <v>96</v>
      </c>
      <c r="L681" s="0" t="str">
        <f aca="false">IF(H681&gt;I681,"ERRO","OK")</f>
        <v>OK</v>
      </c>
      <c r="M681" s="0" t="str">
        <f aca="false">IF(H681&gt;J681,"ERRO","OK")</f>
        <v>OK</v>
      </c>
      <c r="N681" s="0" t="str">
        <f aca="false">IF(I681&lt;J681,"ERRO","OK")</f>
        <v>OK</v>
      </c>
    </row>
    <row r="682" customFormat="false" ht="25" hidden="false" customHeight="false" outlineLevel="0" collapsed="false">
      <c r="A682" s="0" t="n">
        <v>54</v>
      </c>
      <c r="B682" s="0" t="n">
        <v>2024</v>
      </c>
      <c r="C682" s="3" t="n">
        <v>45441</v>
      </c>
      <c r="D682" s="4" t="s">
        <v>15</v>
      </c>
      <c r="E682" s="5" t="s">
        <v>25</v>
      </c>
      <c r="F682" s="5" t="s">
        <v>17</v>
      </c>
      <c r="G682" s="7" t="n">
        <v>24</v>
      </c>
      <c r="H682" s="7" t="n">
        <v>24</v>
      </c>
      <c r="I682" s="7" t="n">
        <v>30</v>
      </c>
      <c r="J682" s="7" t="n">
        <v>27</v>
      </c>
      <c r="K682" s="7" t="n">
        <v>27</v>
      </c>
      <c r="L682" s="0" t="str">
        <f aca="false">IF(H682&gt;I682,"ERRO","OK")</f>
        <v>OK</v>
      </c>
      <c r="M682" s="0" t="str">
        <f aca="false">IF(H682&gt;J682,"ERRO","OK")</f>
        <v>OK</v>
      </c>
      <c r="N682" s="0" t="str">
        <f aca="false">IF(I682&lt;J682,"ERRO","OK")</f>
        <v>OK</v>
      </c>
    </row>
    <row r="683" customFormat="false" ht="25" hidden="false" customHeight="false" outlineLevel="0" collapsed="false">
      <c r="A683" s="0" t="n">
        <v>54</v>
      </c>
      <c r="B683" s="0" t="n">
        <v>2024</v>
      </c>
      <c r="C683" s="3" t="n">
        <v>45441</v>
      </c>
      <c r="D683" s="8" t="s">
        <v>15</v>
      </c>
      <c r="E683" s="9" t="s">
        <v>77</v>
      </c>
      <c r="F683" s="9" t="s">
        <v>17</v>
      </c>
      <c r="G683" s="11" t="n">
        <v>96</v>
      </c>
      <c r="H683" s="11" t="n">
        <v>96</v>
      </c>
      <c r="I683" s="11" t="n">
        <v>120</v>
      </c>
      <c r="J683" s="11" t="n">
        <v>102</v>
      </c>
      <c r="K683" s="11" t="n">
        <v>96</v>
      </c>
      <c r="L683" s="0" t="str">
        <f aca="false">IF(H683&gt;I683,"ERRO","OK")</f>
        <v>OK</v>
      </c>
      <c r="M683" s="0" t="str">
        <f aca="false">IF(H683&gt;J683,"ERRO","OK")</f>
        <v>OK</v>
      </c>
      <c r="N683" s="0" t="str">
        <f aca="false">IF(I683&lt;J683,"ERRO","OK")</f>
        <v>OK</v>
      </c>
    </row>
    <row r="684" customFormat="false" ht="25" hidden="false" customHeight="false" outlineLevel="0" collapsed="false">
      <c r="A684" s="0" t="n">
        <v>54</v>
      </c>
      <c r="B684" s="0" t="n">
        <v>2024</v>
      </c>
      <c r="C684" s="3" t="n">
        <v>45441</v>
      </c>
      <c r="D684" s="4" t="s">
        <v>15</v>
      </c>
      <c r="E684" s="5" t="s">
        <v>27</v>
      </c>
      <c r="F684" s="5" t="s">
        <v>17</v>
      </c>
      <c r="G684" s="7" t="n">
        <v>24</v>
      </c>
      <c r="H684" s="7" t="n">
        <v>24</v>
      </c>
      <c r="I684" s="7" t="n">
        <v>30</v>
      </c>
      <c r="J684" s="7" t="n">
        <v>27</v>
      </c>
      <c r="K684" s="7" t="n">
        <v>27</v>
      </c>
      <c r="L684" s="0" t="str">
        <f aca="false">IF(H684&gt;I684,"ERRO","OK")</f>
        <v>OK</v>
      </c>
      <c r="M684" s="0" t="str">
        <f aca="false">IF(H684&gt;J684,"ERRO","OK")</f>
        <v>OK</v>
      </c>
      <c r="N684" s="0" t="str">
        <f aca="false">IF(I684&lt;J684,"ERRO","OK")</f>
        <v>OK</v>
      </c>
    </row>
    <row r="685" customFormat="false" ht="25" hidden="false" customHeight="false" outlineLevel="0" collapsed="false">
      <c r="A685" s="0" t="n">
        <v>54</v>
      </c>
      <c r="B685" s="0" t="n">
        <v>2024</v>
      </c>
      <c r="C685" s="3" t="n">
        <v>45441</v>
      </c>
      <c r="D685" s="8" t="s">
        <v>15</v>
      </c>
      <c r="E685" s="9" t="s">
        <v>28</v>
      </c>
      <c r="F685" s="9" t="s">
        <v>17</v>
      </c>
      <c r="G685" s="10"/>
      <c r="H685" s="11" t="n">
        <v>66</v>
      </c>
      <c r="I685" s="11" t="n">
        <v>86</v>
      </c>
      <c r="J685" s="11" t="s">
        <v>252</v>
      </c>
      <c r="K685" s="11" t="n">
        <v>75</v>
      </c>
      <c r="L685" s="0" t="str">
        <f aca="false">IF(H685&gt;I685,"ERRO","OK")</f>
        <v>OK</v>
      </c>
      <c r="M685" s="0" t="str">
        <f aca="false">IF(H685&gt;J685,"ERRO","OK")</f>
        <v>OK</v>
      </c>
      <c r="N685" s="0" t="str">
        <f aca="false">IF(I685&lt;J685,"ERRO","OK")</f>
        <v>ERRO</v>
      </c>
    </row>
    <row r="686" customFormat="false" ht="25" hidden="false" customHeight="false" outlineLevel="0" collapsed="false">
      <c r="A686" s="0" t="n">
        <v>54</v>
      </c>
      <c r="B686" s="0" t="n">
        <v>2024</v>
      </c>
      <c r="C686" s="3" t="n">
        <v>45441</v>
      </c>
      <c r="D686" s="4" t="s">
        <v>15</v>
      </c>
      <c r="E686" s="5" t="s">
        <v>29</v>
      </c>
      <c r="F686" s="5" t="s">
        <v>30</v>
      </c>
      <c r="G686" s="7" t="n">
        <v>48</v>
      </c>
      <c r="H686" s="7" t="n">
        <v>48</v>
      </c>
      <c r="I686" s="7" t="n">
        <v>72</v>
      </c>
      <c r="J686" s="7" t="n">
        <v>57</v>
      </c>
      <c r="K686" s="7" t="n">
        <v>54</v>
      </c>
      <c r="L686" s="0" t="str">
        <f aca="false">IF(H686&gt;I686,"ERRO","OK")</f>
        <v>OK</v>
      </c>
      <c r="M686" s="0" t="str">
        <f aca="false">IF(H686&gt;J686,"ERRO","OK")</f>
        <v>OK</v>
      </c>
      <c r="N686" s="0" t="str">
        <f aca="false">IF(I686&lt;J686,"ERRO","OK")</f>
        <v>OK</v>
      </c>
    </row>
    <row r="687" customFormat="false" ht="25" hidden="false" customHeight="false" outlineLevel="0" collapsed="false">
      <c r="A687" s="0" t="n">
        <v>54</v>
      </c>
      <c r="B687" s="0" t="n">
        <v>2024</v>
      </c>
      <c r="C687" s="3" t="n">
        <v>45441</v>
      </c>
      <c r="D687" s="8" t="s">
        <v>15</v>
      </c>
      <c r="E687" s="9" t="s">
        <v>31</v>
      </c>
      <c r="F687" s="9" t="s">
        <v>17</v>
      </c>
      <c r="G687" s="10"/>
      <c r="H687" s="11" t="n">
        <v>60</v>
      </c>
      <c r="I687" s="11" t="n">
        <v>96</v>
      </c>
      <c r="J687" s="11" t="n">
        <v>78</v>
      </c>
      <c r="K687" s="11" t="n">
        <v>78</v>
      </c>
      <c r="L687" s="0" t="str">
        <f aca="false">IF(H687&gt;I687,"ERRO","OK")</f>
        <v>OK</v>
      </c>
      <c r="M687" s="0" t="str">
        <f aca="false">IF(H687&gt;J687,"ERRO","OK")</f>
        <v>OK</v>
      </c>
      <c r="N687" s="0" t="str">
        <f aca="false">IF(I687&lt;J687,"ERRO","OK")</f>
        <v>OK</v>
      </c>
    </row>
    <row r="688" customFormat="false" ht="25" hidden="false" customHeight="false" outlineLevel="0" collapsed="false">
      <c r="A688" s="0" t="n">
        <v>54</v>
      </c>
      <c r="B688" s="0" t="n">
        <v>2024</v>
      </c>
      <c r="C688" s="3" t="n">
        <v>45441</v>
      </c>
      <c r="D688" s="4" t="s">
        <v>15</v>
      </c>
      <c r="E688" s="5" t="s">
        <v>32</v>
      </c>
      <c r="F688" s="5" t="s">
        <v>17</v>
      </c>
      <c r="G688" s="7" t="n">
        <v>48</v>
      </c>
      <c r="H688" s="7" t="n">
        <v>48</v>
      </c>
      <c r="I688" s="7" t="n">
        <v>72</v>
      </c>
      <c r="J688" s="7" t="s">
        <v>253</v>
      </c>
      <c r="K688" s="7" t="n">
        <v>50</v>
      </c>
      <c r="L688" s="0" t="str">
        <f aca="false">IF(H688&gt;I688,"ERRO","OK")</f>
        <v>OK</v>
      </c>
      <c r="M688" s="0" t="str">
        <f aca="false">IF(H688&gt;J688,"ERRO","OK")</f>
        <v>OK</v>
      </c>
      <c r="N688" s="0" t="str">
        <f aca="false">IF(I688&lt;J688,"ERRO","OK")</f>
        <v>ERRO</v>
      </c>
    </row>
    <row r="689" customFormat="false" ht="25" hidden="false" customHeight="false" outlineLevel="0" collapsed="false">
      <c r="A689" s="0" t="n">
        <v>54</v>
      </c>
      <c r="B689" s="0" t="n">
        <v>2024</v>
      </c>
      <c r="C689" s="3" t="n">
        <v>45441</v>
      </c>
      <c r="D689" s="8" t="s">
        <v>15</v>
      </c>
      <c r="E689" s="9" t="s">
        <v>33</v>
      </c>
      <c r="F689" s="9" t="s">
        <v>17</v>
      </c>
      <c r="G689" s="11" t="n">
        <v>54</v>
      </c>
      <c r="H689" s="11" t="n">
        <v>48</v>
      </c>
      <c r="I689" s="11" t="n">
        <v>60</v>
      </c>
      <c r="J689" s="11" t="n">
        <v>54</v>
      </c>
      <c r="K689" s="11" t="n">
        <v>54</v>
      </c>
      <c r="L689" s="0" t="str">
        <f aca="false">IF(H689&gt;I689,"ERRO","OK")</f>
        <v>OK</v>
      </c>
      <c r="M689" s="0" t="str">
        <f aca="false">IF(H689&gt;J689,"ERRO","OK")</f>
        <v>OK</v>
      </c>
      <c r="N689" s="0" t="str">
        <f aca="false">IF(I689&lt;J689,"ERRO","OK")</f>
        <v>OK</v>
      </c>
    </row>
    <row r="690" customFormat="false" ht="25" hidden="false" customHeight="false" outlineLevel="0" collapsed="false">
      <c r="A690" s="0" t="n">
        <v>54</v>
      </c>
      <c r="B690" s="0" t="n">
        <v>2024</v>
      </c>
      <c r="C690" s="3" t="n">
        <v>45441</v>
      </c>
      <c r="D690" s="4" t="s">
        <v>34</v>
      </c>
      <c r="E690" s="5" t="s">
        <v>35</v>
      </c>
      <c r="F690" s="5" t="s">
        <v>36</v>
      </c>
      <c r="G690" s="7" t="n">
        <v>5</v>
      </c>
      <c r="H690" s="7" t="n">
        <v>5</v>
      </c>
      <c r="I690" s="7" t="n">
        <v>6</v>
      </c>
      <c r="J690" s="7" t="s">
        <v>254</v>
      </c>
      <c r="K690" s="7" t="n">
        <v>5</v>
      </c>
      <c r="L690" s="0" t="str">
        <f aca="false">IF(H690&gt;I690,"ERRO","OK")</f>
        <v>OK</v>
      </c>
      <c r="M690" s="0" t="str">
        <f aca="false">IF(H690&gt;J690,"ERRO","OK")</f>
        <v>OK</v>
      </c>
      <c r="N690" s="0" t="str">
        <f aca="false">IF(I690&lt;J690,"ERRO","OK")</f>
        <v>ERRO</v>
      </c>
    </row>
    <row r="691" customFormat="false" ht="25" hidden="false" customHeight="false" outlineLevel="0" collapsed="false">
      <c r="A691" s="0" t="n">
        <v>54</v>
      </c>
      <c r="B691" s="0" t="n">
        <v>2024</v>
      </c>
      <c r="C691" s="3" t="n">
        <v>45441</v>
      </c>
      <c r="D691" s="8" t="s">
        <v>34</v>
      </c>
      <c r="E691" s="9" t="s">
        <v>38</v>
      </c>
      <c r="F691" s="9" t="s">
        <v>39</v>
      </c>
      <c r="G691" s="11" t="n">
        <v>20</v>
      </c>
      <c r="H691" s="11" t="n">
        <v>15</v>
      </c>
      <c r="I691" s="11" t="n">
        <v>25</v>
      </c>
      <c r="J691" s="11" t="n">
        <v>20</v>
      </c>
      <c r="K691" s="11" t="n">
        <v>20</v>
      </c>
      <c r="L691" s="0" t="str">
        <f aca="false">IF(H691&gt;I691,"ERRO","OK")</f>
        <v>OK</v>
      </c>
      <c r="M691" s="0" t="str">
        <f aca="false">IF(H691&gt;J691,"ERRO","OK")</f>
        <v>OK</v>
      </c>
      <c r="N691" s="0" t="str">
        <f aca="false">IF(I691&lt;J691,"ERRO","OK")</f>
        <v>OK</v>
      </c>
    </row>
    <row r="692" customFormat="false" ht="25" hidden="false" customHeight="false" outlineLevel="0" collapsed="false">
      <c r="A692" s="0" t="n">
        <v>54</v>
      </c>
      <c r="B692" s="0" t="n">
        <v>2024</v>
      </c>
      <c r="C692" s="3" t="n">
        <v>45441</v>
      </c>
      <c r="D692" s="4" t="s">
        <v>34</v>
      </c>
      <c r="E692" s="5" t="s">
        <v>40</v>
      </c>
      <c r="F692" s="5" t="s">
        <v>39</v>
      </c>
      <c r="G692" s="7" t="n">
        <v>25</v>
      </c>
      <c r="H692" s="7" t="n">
        <v>25</v>
      </c>
      <c r="I692" s="7" t="n">
        <v>35</v>
      </c>
      <c r="J692" s="7" t="n">
        <v>30</v>
      </c>
      <c r="K692" s="7" t="n">
        <v>30</v>
      </c>
      <c r="L692" s="0" t="str">
        <f aca="false">IF(H692&gt;I692,"ERRO","OK")</f>
        <v>OK</v>
      </c>
      <c r="M692" s="0" t="str">
        <f aca="false">IF(H692&gt;J692,"ERRO","OK")</f>
        <v>OK</v>
      </c>
      <c r="N692" s="0" t="str">
        <f aca="false">IF(I692&lt;J692,"ERRO","OK")</f>
        <v>OK</v>
      </c>
    </row>
    <row r="693" customFormat="false" ht="36.5" hidden="false" customHeight="false" outlineLevel="0" collapsed="false">
      <c r="A693" s="0" t="n">
        <v>54</v>
      </c>
      <c r="B693" s="0" t="n">
        <v>2024</v>
      </c>
      <c r="C693" s="3" t="n">
        <v>45441</v>
      </c>
      <c r="D693" s="8" t="s">
        <v>42</v>
      </c>
      <c r="E693" s="9" t="s">
        <v>157</v>
      </c>
      <c r="F693" s="9" t="s">
        <v>158</v>
      </c>
      <c r="G693" s="10"/>
      <c r="H693" s="11" t="n">
        <v>85</v>
      </c>
      <c r="I693" s="11" t="n">
        <v>85</v>
      </c>
      <c r="J693" s="11" t="n">
        <v>85</v>
      </c>
      <c r="K693" s="11" t="n">
        <v>85</v>
      </c>
      <c r="L693" s="0" t="str">
        <f aca="false">IF(H693&gt;I693,"ERRO","OK")</f>
        <v>OK</v>
      </c>
      <c r="M693" s="0" t="str">
        <f aca="false">IF(H693&gt;J693,"ERRO","OK")</f>
        <v>OK</v>
      </c>
      <c r="N693" s="0" t="str">
        <f aca="false">IF(I693&lt;J693,"ERRO","OK")</f>
        <v>OK</v>
      </c>
    </row>
    <row r="694" customFormat="false" ht="36.5" hidden="false" customHeight="false" outlineLevel="0" collapsed="false">
      <c r="A694" s="0" t="n">
        <v>54</v>
      </c>
      <c r="B694" s="0" t="n">
        <v>2024</v>
      </c>
      <c r="C694" s="3" t="n">
        <v>45441</v>
      </c>
      <c r="D694" s="4" t="s">
        <v>42</v>
      </c>
      <c r="E694" s="5" t="s">
        <v>43</v>
      </c>
      <c r="F694" s="5" t="s">
        <v>44</v>
      </c>
      <c r="G694" s="7" t="n">
        <v>100</v>
      </c>
      <c r="H694" s="7" t="n">
        <v>80</v>
      </c>
      <c r="I694" s="7" t="n">
        <v>100</v>
      </c>
      <c r="J694" s="7" t="s">
        <v>200</v>
      </c>
      <c r="K694" s="7" t="n">
        <v>100</v>
      </c>
      <c r="L694" s="0" t="str">
        <f aca="false">IF(H694&gt;I694,"ERRO","OK")</f>
        <v>OK</v>
      </c>
      <c r="M694" s="0" t="str">
        <f aca="false">IF(H694&gt;J694,"ERRO","OK")</f>
        <v>OK</v>
      </c>
      <c r="N694" s="0" t="str">
        <f aca="false">IF(I694&lt;J694,"ERRO","OK")</f>
        <v>ERRO</v>
      </c>
    </row>
    <row r="695" customFormat="false" ht="36.5" hidden="false" customHeight="false" outlineLevel="0" collapsed="false">
      <c r="A695" s="0" t="n">
        <v>54</v>
      </c>
      <c r="B695" s="0" t="n">
        <v>2024</v>
      </c>
      <c r="C695" s="3" t="n">
        <v>45441</v>
      </c>
      <c r="D695" s="8" t="s">
        <v>42</v>
      </c>
      <c r="E695" s="9" t="s">
        <v>46</v>
      </c>
      <c r="F695" s="9" t="s">
        <v>47</v>
      </c>
      <c r="G695" s="11" t="n">
        <v>50</v>
      </c>
      <c r="H695" s="11" t="n">
        <v>50</v>
      </c>
      <c r="I695" s="11" t="n">
        <v>70</v>
      </c>
      <c r="J695" s="11" t="n">
        <v>60</v>
      </c>
      <c r="K695" s="11" t="n">
        <v>60</v>
      </c>
      <c r="L695" s="0" t="str">
        <f aca="false">IF(H695&gt;I695,"ERRO","OK")</f>
        <v>OK</v>
      </c>
      <c r="M695" s="0" t="str">
        <f aca="false">IF(H695&gt;J695,"ERRO","OK")</f>
        <v>OK</v>
      </c>
      <c r="N695" s="0" t="str">
        <f aca="false">IF(I695&lt;J695,"ERRO","OK")</f>
        <v>OK</v>
      </c>
    </row>
    <row r="696" customFormat="false" ht="36.5" hidden="false" customHeight="false" outlineLevel="0" collapsed="false">
      <c r="A696" s="0" t="n">
        <v>54</v>
      </c>
      <c r="B696" s="0" t="n">
        <v>2024</v>
      </c>
      <c r="C696" s="3" t="n">
        <v>45441</v>
      </c>
      <c r="D696" s="4" t="s">
        <v>42</v>
      </c>
      <c r="E696" s="5" t="s">
        <v>48</v>
      </c>
      <c r="F696" s="5" t="s">
        <v>49</v>
      </c>
      <c r="G696" s="6"/>
      <c r="H696" s="7" t="n">
        <v>40</v>
      </c>
      <c r="I696" s="7" t="n">
        <v>50</v>
      </c>
      <c r="J696" s="7" t="n">
        <v>45</v>
      </c>
      <c r="K696" s="7" t="n">
        <v>45</v>
      </c>
      <c r="L696" s="0" t="str">
        <f aca="false">IF(H696&gt;I696,"ERRO","OK")</f>
        <v>OK</v>
      </c>
      <c r="M696" s="0" t="str">
        <f aca="false">IF(H696&gt;J696,"ERRO","OK")</f>
        <v>OK</v>
      </c>
      <c r="N696" s="0" t="str">
        <f aca="false">IF(I696&lt;J696,"ERRO","OK")</f>
        <v>OK</v>
      </c>
    </row>
    <row r="697" customFormat="false" ht="36.5" hidden="false" customHeight="false" outlineLevel="0" collapsed="false">
      <c r="A697" s="0" t="n">
        <v>54</v>
      </c>
      <c r="B697" s="0" t="n">
        <v>2024</v>
      </c>
      <c r="C697" s="3" t="n">
        <v>45441</v>
      </c>
      <c r="D697" s="8" t="s">
        <v>42</v>
      </c>
      <c r="E697" s="9" t="s">
        <v>52</v>
      </c>
      <c r="F697" s="9" t="s">
        <v>49</v>
      </c>
      <c r="G697" s="10"/>
      <c r="H697" s="11" t="n">
        <v>100</v>
      </c>
      <c r="I697" s="11" t="n">
        <v>100</v>
      </c>
      <c r="J697" s="11" t="n">
        <v>100</v>
      </c>
      <c r="K697" s="11" t="n">
        <v>100</v>
      </c>
      <c r="L697" s="0" t="str">
        <f aca="false">IF(H697&gt;I697,"ERRO","OK")</f>
        <v>OK</v>
      </c>
      <c r="M697" s="0" t="str">
        <f aca="false">IF(H697&gt;J697,"ERRO","OK")</f>
        <v>OK</v>
      </c>
      <c r="N697" s="0" t="str">
        <f aca="false">IF(I697&lt;J697,"ERRO","OK")</f>
        <v>OK</v>
      </c>
    </row>
    <row r="698" customFormat="false" ht="36.5" hidden="false" customHeight="false" outlineLevel="0" collapsed="false">
      <c r="A698" s="0" t="n">
        <v>54</v>
      </c>
      <c r="B698" s="0" t="n">
        <v>2024</v>
      </c>
      <c r="C698" s="3" t="n">
        <v>45441</v>
      </c>
      <c r="D698" s="4" t="s">
        <v>42</v>
      </c>
      <c r="E698" s="5" t="s">
        <v>53</v>
      </c>
      <c r="F698" s="5" t="s">
        <v>54</v>
      </c>
      <c r="G698" s="7" t="n">
        <v>110</v>
      </c>
      <c r="H698" s="7" t="n">
        <v>110</v>
      </c>
      <c r="I698" s="7" t="n">
        <v>140</v>
      </c>
      <c r="J698" s="7" t="n">
        <v>120</v>
      </c>
      <c r="K698" s="7" t="n">
        <v>110</v>
      </c>
      <c r="L698" s="0" t="str">
        <f aca="false">IF(H698&gt;I698,"ERRO","OK")</f>
        <v>OK</v>
      </c>
      <c r="M698" s="0" t="str">
        <f aca="false">IF(H698&gt;J698,"ERRO","OK")</f>
        <v>OK</v>
      </c>
      <c r="N698" s="0" t="str">
        <f aca="false">IF(I698&lt;J698,"ERRO","OK")</f>
        <v>OK</v>
      </c>
    </row>
    <row r="699" customFormat="false" ht="36.5" hidden="false" customHeight="false" outlineLevel="0" collapsed="false">
      <c r="A699" s="0" t="n">
        <v>54</v>
      </c>
      <c r="B699" s="0" t="n">
        <v>2024</v>
      </c>
      <c r="C699" s="3" t="n">
        <v>45441</v>
      </c>
      <c r="D699" s="8" t="s">
        <v>42</v>
      </c>
      <c r="E699" s="9" t="s">
        <v>56</v>
      </c>
      <c r="F699" s="9" t="s">
        <v>47</v>
      </c>
      <c r="G699" s="10"/>
      <c r="H699" s="11" t="n">
        <v>100</v>
      </c>
      <c r="I699" s="11" t="n">
        <v>170</v>
      </c>
      <c r="J699" s="11" t="s">
        <v>238</v>
      </c>
      <c r="K699" s="11" t="n">
        <v>130</v>
      </c>
      <c r="L699" s="0" t="str">
        <f aca="false">IF(H699&gt;I699,"ERRO","OK")</f>
        <v>OK</v>
      </c>
      <c r="M699" s="0" t="str">
        <f aca="false">IF(H699&gt;J699,"ERRO","OK")</f>
        <v>OK</v>
      </c>
      <c r="N699" s="0" t="str">
        <f aca="false">IF(I699&lt;J699,"ERRO","OK")</f>
        <v>ERRO</v>
      </c>
    </row>
    <row r="700" customFormat="false" ht="36.5" hidden="false" customHeight="false" outlineLevel="0" collapsed="false">
      <c r="A700" s="0" t="n">
        <v>54</v>
      </c>
      <c r="B700" s="0" t="n">
        <v>2024</v>
      </c>
      <c r="C700" s="3" t="n">
        <v>45441</v>
      </c>
      <c r="D700" s="4" t="s">
        <v>42</v>
      </c>
      <c r="E700" s="5" t="s">
        <v>57</v>
      </c>
      <c r="F700" s="5" t="s">
        <v>47</v>
      </c>
      <c r="G700" s="7" t="n">
        <v>70</v>
      </c>
      <c r="H700" s="7" t="n">
        <v>60</v>
      </c>
      <c r="I700" s="7" t="n">
        <v>70</v>
      </c>
      <c r="J700" s="7" t="s">
        <v>106</v>
      </c>
      <c r="K700" s="7" t="n">
        <v>70</v>
      </c>
      <c r="L700" s="0" t="str">
        <f aca="false">IF(H700&gt;I700,"ERRO","OK")</f>
        <v>OK</v>
      </c>
      <c r="M700" s="0" t="str">
        <f aca="false">IF(H700&gt;J700,"ERRO","OK")</f>
        <v>OK</v>
      </c>
      <c r="N700" s="0" t="str">
        <f aca="false">IF(I700&lt;J700,"ERRO","OK")</f>
        <v>ERRO</v>
      </c>
    </row>
    <row r="701" customFormat="false" ht="36.5" hidden="false" customHeight="false" outlineLevel="0" collapsed="false">
      <c r="A701" s="0" t="n">
        <v>54</v>
      </c>
      <c r="B701" s="0" t="n">
        <v>2024</v>
      </c>
      <c r="C701" s="3" t="n">
        <v>45441</v>
      </c>
      <c r="D701" s="8" t="s">
        <v>42</v>
      </c>
      <c r="E701" s="9" t="s">
        <v>58</v>
      </c>
      <c r="F701" s="9" t="s">
        <v>44</v>
      </c>
      <c r="G701" s="10"/>
      <c r="H701" s="11" t="n">
        <v>110</v>
      </c>
      <c r="I701" s="11" t="n">
        <v>120</v>
      </c>
      <c r="J701" s="11" t="n">
        <v>115</v>
      </c>
      <c r="K701" s="11" t="n">
        <v>115</v>
      </c>
      <c r="L701" s="0" t="str">
        <f aca="false">IF(H701&gt;I701,"ERRO","OK")</f>
        <v>OK</v>
      </c>
      <c r="M701" s="0" t="str">
        <f aca="false">IF(H701&gt;J701,"ERRO","OK")</f>
        <v>OK</v>
      </c>
      <c r="N701" s="0" t="str">
        <f aca="false">IF(I701&lt;J701,"ERRO","OK")</f>
        <v>OK</v>
      </c>
    </row>
    <row r="702" customFormat="false" ht="36.5" hidden="false" customHeight="false" outlineLevel="0" collapsed="false">
      <c r="A702" s="0" t="n">
        <v>54</v>
      </c>
      <c r="B702" s="0" t="n">
        <v>2024</v>
      </c>
      <c r="C702" s="3" t="n">
        <v>45441</v>
      </c>
      <c r="D702" s="4" t="s">
        <v>42</v>
      </c>
      <c r="E702" s="5" t="s">
        <v>60</v>
      </c>
      <c r="F702" s="5" t="s">
        <v>47</v>
      </c>
      <c r="G702" s="6"/>
      <c r="H702" s="7" t="n">
        <v>75</v>
      </c>
      <c r="I702" s="7" t="n">
        <v>75</v>
      </c>
      <c r="J702" s="7" t="n">
        <v>75</v>
      </c>
      <c r="K702" s="7" t="n">
        <v>75</v>
      </c>
      <c r="L702" s="0" t="str">
        <f aca="false">IF(H702&gt;I702,"ERRO","OK")</f>
        <v>OK</v>
      </c>
      <c r="M702" s="0" t="str">
        <f aca="false">IF(H702&gt;J702,"ERRO","OK")</f>
        <v>OK</v>
      </c>
      <c r="N702" s="0" t="str">
        <f aca="false">IF(I702&lt;J702,"ERRO","OK")</f>
        <v>OK</v>
      </c>
    </row>
    <row r="703" customFormat="false" ht="36.5" hidden="false" customHeight="false" outlineLevel="0" collapsed="false">
      <c r="A703" s="0" t="n">
        <v>54</v>
      </c>
      <c r="B703" s="0" t="n">
        <v>2024</v>
      </c>
      <c r="C703" s="3" t="n">
        <v>45441</v>
      </c>
      <c r="D703" s="8" t="s">
        <v>42</v>
      </c>
      <c r="E703" s="9" t="s">
        <v>61</v>
      </c>
      <c r="F703" s="9" t="s">
        <v>44</v>
      </c>
      <c r="G703" s="10"/>
      <c r="H703" s="11" t="n">
        <v>80</v>
      </c>
      <c r="I703" s="11" t="n">
        <v>80</v>
      </c>
      <c r="J703" s="11" t="n">
        <v>80</v>
      </c>
      <c r="K703" s="11" t="n">
        <v>80</v>
      </c>
      <c r="L703" s="0" t="str">
        <f aca="false">IF(H703&gt;I703,"ERRO","OK")</f>
        <v>OK</v>
      </c>
      <c r="M703" s="0" t="str">
        <f aca="false">IF(H703&gt;J703,"ERRO","OK")</f>
        <v>OK</v>
      </c>
      <c r="N703" s="0" t="str">
        <f aca="false">IF(I703&lt;J703,"ERRO","OK")</f>
        <v>OK</v>
      </c>
    </row>
    <row r="704" customFormat="false" ht="36.5" hidden="false" customHeight="false" outlineLevel="0" collapsed="false">
      <c r="A704" s="0" t="n">
        <v>54</v>
      </c>
      <c r="B704" s="0" t="n">
        <v>2024</v>
      </c>
      <c r="C704" s="3" t="n">
        <v>45441</v>
      </c>
      <c r="D704" s="4" t="s">
        <v>42</v>
      </c>
      <c r="E704" s="5" t="s">
        <v>62</v>
      </c>
      <c r="F704" s="5" t="s">
        <v>44</v>
      </c>
      <c r="G704" s="6"/>
      <c r="H704" s="7" t="n">
        <v>60</v>
      </c>
      <c r="I704" s="7" t="n">
        <v>100</v>
      </c>
      <c r="J704" s="7" t="s">
        <v>159</v>
      </c>
      <c r="K704" s="7" t="s">
        <v>138</v>
      </c>
      <c r="L704" s="0" t="str">
        <f aca="false">IF(H704&gt;I704,"ERRO","OK")</f>
        <v>OK</v>
      </c>
      <c r="M704" s="0" t="str">
        <f aca="false">IF(H704&gt;J704,"ERRO","OK")</f>
        <v>OK</v>
      </c>
      <c r="N704" s="0" t="str">
        <f aca="false">IF(I704&lt;J704,"ERRO","OK")</f>
        <v>ERRO</v>
      </c>
    </row>
    <row r="705" customFormat="false" ht="36.5" hidden="false" customHeight="false" outlineLevel="0" collapsed="false">
      <c r="A705" s="0" t="n">
        <v>54</v>
      </c>
      <c r="B705" s="0" t="n">
        <v>2024</v>
      </c>
      <c r="C705" s="3" t="n">
        <v>45441</v>
      </c>
      <c r="D705" s="8" t="s">
        <v>42</v>
      </c>
      <c r="E705" s="9" t="s">
        <v>63</v>
      </c>
      <c r="F705" s="9" t="s">
        <v>49</v>
      </c>
      <c r="G705" s="11" t="n">
        <v>60</v>
      </c>
      <c r="H705" s="11" t="n">
        <v>50</v>
      </c>
      <c r="I705" s="11" t="n">
        <v>60</v>
      </c>
      <c r="J705" s="11" t="s">
        <v>239</v>
      </c>
      <c r="K705" s="11" t="s">
        <v>45</v>
      </c>
      <c r="L705" s="0" t="str">
        <f aca="false">IF(H705&gt;I705,"ERRO","OK")</f>
        <v>OK</v>
      </c>
      <c r="M705" s="0" t="str">
        <f aca="false">IF(H705&gt;J705,"ERRO","OK")</f>
        <v>OK</v>
      </c>
      <c r="N705" s="0" t="str">
        <f aca="false">IF(I705&lt;J705,"ERRO","OK")</f>
        <v>ERRO</v>
      </c>
    </row>
    <row r="706" customFormat="false" ht="36.5" hidden="false" customHeight="false" outlineLevel="0" collapsed="false">
      <c r="A706" s="0" t="n">
        <v>54</v>
      </c>
      <c r="B706" s="0" t="n">
        <v>2024</v>
      </c>
      <c r="C706" s="3" t="n">
        <v>45441</v>
      </c>
      <c r="D706" s="4" t="s">
        <v>42</v>
      </c>
      <c r="E706" s="5" t="s">
        <v>64</v>
      </c>
      <c r="F706" s="5" t="s">
        <v>65</v>
      </c>
      <c r="G706" s="6"/>
      <c r="H706" s="7" t="n">
        <v>140</v>
      </c>
      <c r="I706" s="7" t="n">
        <v>150</v>
      </c>
      <c r="J706" s="7" t="n">
        <v>145</v>
      </c>
      <c r="K706" s="7" t="n">
        <v>145</v>
      </c>
      <c r="L706" s="0" t="str">
        <f aca="false">IF(H706&gt;I706,"ERRO","OK")</f>
        <v>OK</v>
      </c>
      <c r="M706" s="0" t="str">
        <f aca="false">IF(H706&gt;J706,"ERRO","OK")</f>
        <v>OK</v>
      </c>
      <c r="N706" s="0" t="str">
        <f aca="false">IF(I706&lt;J706,"ERRO","OK")</f>
        <v>OK</v>
      </c>
    </row>
    <row r="707" customFormat="false" ht="36.5" hidden="false" customHeight="false" outlineLevel="0" collapsed="false">
      <c r="A707" s="0" t="n">
        <v>54</v>
      </c>
      <c r="B707" s="0" t="n">
        <v>2024</v>
      </c>
      <c r="C707" s="3" t="n">
        <v>45441</v>
      </c>
      <c r="D707" s="8" t="s">
        <v>42</v>
      </c>
      <c r="E707" s="9" t="s">
        <v>67</v>
      </c>
      <c r="F707" s="9" t="s">
        <v>44</v>
      </c>
      <c r="G707" s="10"/>
      <c r="H707" s="11" t="n">
        <v>100</v>
      </c>
      <c r="I707" s="11" t="n">
        <v>150</v>
      </c>
      <c r="J707" s="11" t="s">
        <v>255</v>
      </c>
      <c r="K707" s="11" t="n">
        <v>120</v>
      </c>
      <c r="L707" s="0" t="str">
        <f aca="false">IF(H707&gt;I707,"ERRO","OK")</f>
        <v>OK</v>
      </c>
      <c r="M707" s="0" t="str">
        <f aca="false">IF(H707&gt;J707,"ERRO","OK")</f>
        <v>OK</v>
      </c>
      <c r="N707" s="0" t="str">
        <f aca="false">IF(I707&lt;J707,"ERRO","OK")</f>
        <v>ERRO</v>
      </c>
    </row>
    <row r="708" customFormat="false" ht="36.5" hidden="false" customHeight="false" outlineLevel="0" collapsed="false">
      <c r="A708" s="0" t="n">
        <v>54</v>
      </c>
      <c r="B708" s="0" t="n">
        <v>2024</v>
      </c>
      <c r="C708" s="3" t="n">
        <v>45441</v>
      </c>
      <c r="D708" s="4" t="s">
        <v>42</v>
      </c>
      <c r="E708" s="5" t="s">
        <v>68</v>
      </c>
      <c r="F708" s="5" t="s">
        <v>44</v>
      </c>
      <c r="G708" s="7" t="n">
        <v>200</v>
      </c>
      <c r="H708" s="7" t="n">
        <v>200</v>
      </c>
      <c r="I708" s="7" t="n">
        <v>200</v>
      </c>
      <c r="J708" s="7" t="n">
        <v>200</v>
      </c>
      <c r="K708" s="7" t="n">
        <v>200</v>
      </c>
      <c r="L708" s="0" t="str">
        <f aca="false">IF(H708&gt;I708,"ERRO","OK")</f>
        <v>OK</v>
      </c>
      <c r="M708" s="0" t="str">
        <f aca="false">IF(H708&gt;J708,"ERRO","OK")</f>
        <v>OK</v>
      </c>
      <c r="N708" s="0" t="str">
        <f aca="false">IF(I708&lt;J708,"ERRO","OK")</f>
        <v>OK</v>
      </c>
    </row>
    <row r="709" customFormat="false" ht="14.25" hidden="false" customHeight="false" outlineLevel="0" collapsed="false">
      <c r="A709" s="0" t="n">
        <v>54</v>
      </c>
      <c r="B709" s="0" t="n">
        <v>2024</v>
      </c>
      <c r="C709" s="3" t="n">
        <v>45441</v>
      </c>
      <c r="D709" s="8" t="s">
        <v>69</v>
      </c>
      <c r="E709" s="9" t="s">
        <v>70</v>
      </c>
      <c r="F709" s="9" t="s">
        <v>49</v>
      </c>
      <c r="G709" s="10"/>
      <c r="H709" s="11" t="n">
        <v>100</v>
      </c>
      <c r="I709" s="11" t="n">
        <v>100</v>
      </c>
      <c r="J709" s="11" t="n">
        <v>100</v>
      </c>
      <c r="K709" s="11" t="n">
        <v>100</v>
      </c>
      <c r="L709" s="0" t="str">
        <f aca="false">IF(H709&gt;I709,"ERRO","OK")</f>
        <v>OK</v>
      </c>
      <c r="M709" s="0" t="str">
        <f aca="false">IF(H709&gt;J709,"ERRO","OK")</f>
        <v>OK</v>
      </c>
      <c r="N709" s="0" t="str">
        <f aca="false">IF(I709&lt;J709,"ERRO","OK")</f>
        <v>OK</v>
      </c>
    </row>
    <row r="710" customFormat="false" ht="14.25" hidden="false" customHeight="false" outlineLevel="0" collapsed="false">
      <c r="A710" s="0" t="n">
        <v>54</v>
      </c>
      <c r="B710" s="0" t="n">
        <v>2024</v>
      </c>
      <c r="C710" s="3" t="n">
        <v>45441</v>
      </c>
      <c r="D710" s="4" t="s">
        <v>69</v>
      </c>
      <c r="E710" s="5" t="s">
        <v>71</v>
      </c>
      <c r="F710" s="5" t="s">
        <v>49</v>
      </c>
      <c r="G710" s="6"/>
      <c r="H710" s="7" t="n">
        <v>75</v>
      </c>
      <c r="I710" s="7" t="n">
        <v>75</v>
      </c>
      <c r="J710" s="7" t="n">
        <v>75</v>
      </c>
      <c r="K710" s="7" t="n">
        <v>75</v>
      </c>
      <c r="L710" s="0" t="str">
        <f aca="false">IF(H710&gt;I710,"ERRO","OK")</f>
        <v>OK</v>
      </c>
      <c r="M710" s="0" t="str">
        <f aca="false">IF(H710&gt;J710,"ERRO","OK")</f>
        <v>OK</v>
      </c>
      <c r="N710" s="0" t="str">
        <f aca="false">IF(I710&lt;J710,"ERRO","OK")</f>
        <v>OK</v>
      </c>
    </row>
    <row r="711" customFormat="false" ht="14.25" hidden="false" customHeight="false" outlineLevel="0" collapsed="false">
      <c r="A711" s="0" t="n">
        <v>54</v>
      </c>
      <c r="B711" s="0" t="n">
        <v>2024</v>
      </c>
      <c r="C711" s="3" t="n">
        <v>45441</v>
      </c>
      <c r="D711" s="8" t="s">
        <v>69</v>
      </c>
      <c r="E711" s="9" t="s">
        <v>72</v>
      </c>
      <c r="F711" s="9" t="s">
        <v>49</v>
      </c>
      <c r="G711" s="10"/>
      <c r="H711" s="10"/>
      <c r="I711" s="10"/>
      <c r="J711" s="10"/>
      <c r="K711" s="10"/>
      <c r="L711" s="0" t="str">
        <f aca="false">IF(H711&gt;I711,"ERRO","OK")</f>
        <v>OK</v>
      </c>
      <c r="M711" s="0" t="str">
        <f aca="false">IF(H711&gt;J711,"ERRO","OK")</f>
        <v>OK</v>
      </c>
      <c r="N711" s="0" t="str">
        <f aca="false">IF(I711&lt;J711,"ERRO","OK")</f>
        <v>OK</v>
      </c>
    </row>
    <row r="712" customFormat="false" ht="14.25" hidden="false" customHeight="false" outlineLevel="0" collapsed="false">
      <c r="A712" s="0" t="n">
        <v>54</v>
      </c>
      <c r="B712" s="0" t="n">
        <v>2024</v>
      </c>
      <c r="C712" s="3" t="n">
        <v>45441</v>
      </c>
      <c r="D712" s="4" t="s">
        <v>69</v>
      </c>
      <c r="E712" s="5" t="s">
        <v>73</v>
      </c>
      <c r="F712" s="5" t="s">
        <v>49</v>
      </c>
      <c r="G712" s="6"/>
      <c r="H712" s="7" t="n">
        <v>40</v>
      </c>
      <c r="I712" s="7" t="n">
        <v>40</v>
      </c>
      <c r="J712" s="7" t="n">
        <v>40</v>
      </c>
      <c r="K712" s="7" t="n">
        <v>40</v>
      </c>
      <c r="L712" s="0" t="str">
        <f aca="false">IF(H712&gt;I712,"ERRO","OK")</f>
        <v>OK</v>
      </c>
      <c r="M712" s="0" t="str">
        <f aca="false">IF(H712&gt;J712,"ERRO","OK")</f>
        <v>OK</v>
      </c>
      <c r="N712" s="0" t="str">
        <f aca="false">IF(I712&lt;J712,"ERRO","OK")</f>
        <v>OK</v>
      </c>
    </row>
    <row r="713" customFormat="false" ht="14.25" hidden="false" customHeight="false" outlineLevel="0" collapsed="false">
      <c r="A713" s="0" t="n">
        <v>54</v>
      </c>
      <c r="B713" s="0" t="n">
        <v>2024</v>
      </c>
      <c r="C713" s="3" t="n">
        <v>45441</v>
      </c>
      <c r="D713" s="8" t="s">
        <v>69</v>
      </c>
      <c r="E713" s="9" t="s">
        <v>74</v>
      </c>
      <c r="F713" s="9" t="s">
        <v>75</v>
      </c>
      <c r="G713" s="10"/>
      <c r="H713" s="11" t="n">
        <v>55</v>
      </c>
      <c r="I713" s="11" t="n">
        <v>55</v>
      </c>
      <c r="J713" s="11" t="n">
        <v>55</v>
      </c>
      <c r="K713" s="11" t="n">
        <v>55</v>
      </c>
      <c r="L713" s="0" t="str">
        <f aca="false">IF(H713&gt;I713,"ERRO","OK")</f>
        <v>OK</v>
      </c>
      <c r="M713" s="0" t="str">
        <f aca="false">IF(H713&gt;J713,"ERRO","OK")</f>
        <v>OK</v>
      </c>
      <c r="N713" s="0" t="str">
        <f aca="false">IF(I713&lt;J713,"ERRO","OK")</f>
        <v>OK</v>
      </c>
    </row>
    <row r="714" customFormat="false" ht="25" hidden="false" customHeight="false" outlineLevel="0" collapsed="false">
      <c r="A714" s="0" t="n">
        <v>55</v>
      </c>
      <c r="B714" s="0" t="n">
        <v>2024</v>
      </c>
      <c r="C714" s="3" t="n">
        <v>45448</v>
      </c>
      <c r="D714" s="4" t="s">
        <v>15</v>
      </c>
      <c r="E714" s="5" t="s">
        <v>16</v>
      </c>
      <c r="F714" s="5" t="s">
        <v>17</v>
      </c>
      <c r="G714" s="7" t="n">
        <v>72</v>
      </c>
      <c r="H714" s="7" t="n">
        <v>48</v>
      </c>
      <c r="I714" s="7" t="n">
        <v>72</v>
      </c>
      <c r="J714" s="7" t="n">
        <v>64</v>
      </c>
      <c r="K714" s="7" t="n">
        <v>72</v>
      </c>
      <c r="L714" s="0" t="str">
        <f aca="false">IF(H714&gt;I714,"ERRO","OK")</f>
        <v>OK</v>
      </c>
      <c r="M714" s="0" t="str">
        <f aca="false">IF(H714&gt;J714,"ERRO","OK")</f>
        <v>OK</v>
      </c>
      <c r="N714" s="0" t="str">
        <f aca="false">IF(I714&lt;J714,"ERRO","OK")</f>
        <v>OK</v>
      </c>
    </row>
    <row r="715" customFormat="false" ht="25" hidden="false" customHeight="false" outlineLevel="0" collapsed="false">
      <c r="A715" s="0" t="n">
        <v>55</v>
      </c>
      <c r="B715" s="0" t="n">
        <v>2024</v>
      </c>
      <c r="C715" s="3" t="n">
        <v>45448</v>
      </c>
      <c r="D715" s="8" t="s">
        <v>15</v>
      </c>
      <c r="E715" s="9" t="s">
        <v>18</v>
      </c>
      <c r="F715" s="9" t="s">
        <v>17</v>
      </c>
      <c r="G715" s="11" t="n">
        <v>84</v>
      </c>
      <c r="H715" s="11" t="n">
        <v>72</v>
      </c>
      <c r="I715" s="11" t="n">
        <v>84</v>
      </c>
      <c r="J715" s="11" t="n">
        <v>80</v>
      </c>
      <c r="K715" s="11" t="n">
        <v>84</v>
      </c>
      <c r="L715" s="0" t="str">
        <f aca="false">IF(H715&gt;I715,"ERRO","OK")</f>
        <v>OK</v>
      </c>
      <c r="M715" s="0" t="str">
        <f aca="false">IF(H715&gt;J715,"ERRO","OK")</f>
        <v>OK</v>
      </c>
      <c r="N715" s="0" t="str">
        <f aca="false">IF(I715&lt;J715,"ERRO","OK")</f>
        <v>OK</v>
      </c>
    </row>
    <row r="716" customFormat="false" ht="25" hidden="false" customHeight="false" outlineLevel="0" collapsed="false">
      <c r="A716" s="0" t="n">
        <v>55</v>
      </c>
      <c r="B716" s="0" t="n">
        <v>2024</v>
      </c>
      <c r="C716" s="3" t="n">
        <v>45448</v>
      </c>
      <c r="D716" s="4" t="s">
        <v>15</v>
      </c>
      <c r="E716" s="5" t="s">
        <v>19</v>
      </c>
      <c r="F716" s="5" t="s">
        <v>17</v>
      </c>
      <c r="G716" s="6"/>
      <c r="H716" s="7" t="n">
        <v>36</v>
      </c>
      <c r="I716" s="7" t="n">
        <v>54</v>
      </c>
      <c r="J716" s="7" t="n">
        <v>44</v>
      </c>
      <c r="K716" s="7" t="n">
        <v>42</v>
      </c>
      <c r="L716" s="0" t="str">
        <f aca="false">IF(H716&gt;I716,"ERRO","OK")</f>
        <v>OK</v>
      </c>
      <c r="M716" s="0" t="str">
        <f aca="false">IF(H716&gt;J716,"ERRO","OK")</f>
        <v>OK</v>
      </c>
      <c r="N716" s="0" t="str">
        <f aca="false">IF(I716&lt;J716,"ERRO","OK")</f>
        <v>OK</v>
      </c>
    </row>
    <row r="717" customFormat="false" ht="25" hidden="false" customHeight="false" outlineLevel="0" collapsed="false">
      <c r="A717" s="0" t="n">
        <v>55</v>
      </c>
      <c r="B717" s="0" t="n">
        <v>2024</v>
      </c>
      <c r="C717" s="3" t="n">
        <v>45448</v>
      </c>
      <c r="D717" s="8" t="s">
        <v>15</v>
      </c>
      <c r="E717" s="9" t="s">
        <v>20</v>
      </c>
      <c r="F717" s="9" t="s">
        <v>17</v>
      </c>
      <c r="G717" s="11" t="n">
        <v>30</v>
      </c>
      <c r="H717" s="11" t="n">
        <v>24</v>
      </c>
      <c r="I717" s="11" t="n">
        <v>30</v>
      </c>
      <c r="J717" s="11" t="n">
        <v>28</v>
      </c>
      <c r="K717" s="11" t="n">
        <v>30</v>
      </c>
      <c r="L717" s="0" t="str">
        <f aca="false">IF(H717&gt;I717,"ERRO","OK")</f>
        <v>OK</v>
      </c>
      <c r="M717" s="0" t="str">
        <f aca="false">IF(H717&gt;J717,"ERRO","OK")</f>
        <v>OK</v>
      </c>
      <c r="N717" s="0" t="str">
        <f aca="false">IF(I717&lt;J717,"ERRO","OK")</f>
        <v>OK</v>
      </c>
    </row>
    <row r="718" customFormat="false" ht="25" hidden="false" customHeight="false" outlineLevel="0" collapsed="false">
      <c r="A718" s="0" t="n">
        <v>55</v>
      </c>
      <c r="B718" s="0" t="n">
        <v>2024</v>
      </c>
      <c r="C718" s="3" t="n">
        <v>45448</v>
      </c>
      <c r="D718" s="4" t="s">
        <v>15</v>
      </c>
      <c r="E718" s="5" t="s">
        <v>21</v>
      </c>
      <c r="F718" s="5" t="s">
        <v>17</v>
      </c>
      <c r="G718" s="7" t="n">
        <v>30</v>
      </c>
      <c r="H718" s="7" t="n">
        <v>24</v>
      </c>
      <c r="I718" s="7" t="n">
        <v>30</v>
      </c>
      <c r="J718" s="7" t="n">
        <v>28</v>
      </c>
      <c r="K718" s="7" t="n">
        <v>30</v>
      </c>
      <c r="L718" s="0" t="str">
        <f aca="false">IF(H718&gt;I718,"ERRO","OK")</f>
        <v>OK</v>
      </c>
      <c r="M718" s="0" t="str">
        <f aca="false">IF(H718&gt;J718,"ERRO","OK")</f>
        <v>OK</v>
      </c>
      <c r="N718" s="0" t="str">
        <f aca="false">IF(I718&lt;J718,"ERRO","OK")</f>
        <v>OK</v>
      </c>
    </row>
    <row r="719" customFormat="false" ht="25" hidden="false" customHeight="false" outlineLevel="0" collapsed="false">
      <c r="A719" s="0" t="n">
        <v>55</v>
      </c>
      <c r="B719" s="0" t="n">
        <v>2024</v>
      </c>
      <c r="C719" s="3" t="n">
        <v>45448</v>
      </c>
      <c r="D719" s="8" t="s">
        <v>15</v>
      </c>
      <c r="E719" s="9" t="s">
        <v>22</v>
      </c>
      <c r="F719" s="9" t="s">
        <v>17</v>
      </c>
      <c r="G719" s="11" t="n">
        <v>60</v>
      </c>
      <c r="H719" s="11" t="n">
        <v>60</v>
      </c>
      <c r="I719" s="11" t="n">
        <v>60</v>
      </c>
      <c r="J719" s="11" t="n">
        <v>60</v>
      </c>
      <c r="K719" s="11" t="n">
        <v>60</v>
      </c>
      <c r="L719" s="0" t="str">
        <f aca="false">IF(H719&gt;I719,"ERRO","OK")</f>
        <v>OK</v>
      </c>
      <c r="M719" s="0" t="str">
        <f aca="false">IF(H719&gt;J719,"ERRO","OK")</f>
        <v>OK</v>
      </c>
      <c r="N719" s="0" t="str">
        <f aca="false">IF(I719&lt;J719,"ERRO","OK")</f>
        <v>OK</v>
      </c>
    </row>
    <row r="720" customFormat="false" ht="25" hidden="false" customHeight="false" outlineLevel="0" collapsed="false">
      <c r="A720" s="0" t="n">
        <v>55</v>
      </c>
      <c r="B720" s="0" t="n">
        <v>2024</v>
      </c>
      <c r="C720" s="3" t="n">
        <v>45448</v>
      </c>
      <c r="D720" s="4" t="s">
        <v>15</v>
      </c>
      <c r="E720" s="5" t="s">
        <v>23</v>
      </c>
      <c r="F720" s="5" t="s">
        <v>17</v>
      </c>
      <c r="G720" s="7" t="n">
        <v>96</v>
      </c>
      <c r="H720" s="7" t="n">
        <v>96</v>
      </c>
      <c r="I720" s="7" t="n">
        <v>120</v>
      </c>
      <c r="J720" s="7" t="n">
        <v>104</v>
      </c>
      <c r="K720" s="7" t="n">
        <v>96</v>
      </c>
      <c r="L720" s="0" t="str">
        <f aca="false">IF(H720&gt;I720,"ERRO","OK")</f>
        <v>OK</v>
      </c>
      <c r="M720" s="0" t="str">
        <f aca="false">IF(H720&gt;J720,"ERRO","OK")</f>
        <v>OK</v>
      </c>
      <c r="N720" s="0" t="str">
        <f aca="false">IF(I720&lt;J720,"ERRO","OK")</f>
        <v>OK</v>
      </c>
    </row>
    <row r="721" customFormat="false" ht="25" hidden="false" customHeight="false" outlineLevel="0" collapsed="false">
      <c r="A721" s="0" t="n">
        <v>55</v>
      </c>
      <c r="B721" s="0" t="n">
        <v>2024</v>
      </c>
      <c r="C721" s="3" t="n">
        <v>45448</v>
      </c>
      <c r="D721" s="8" t="s">
        <v>15</v>
      </c>
      <c r="E721" s="9" t="s">
        <v>24</v>
      </c>
      <c r="F721" s="9" t="s">
        <v>17</v>
      </c>
      <c r="G721" s="10"/>
      <c r="H721" s="11" t="n">
        <v>84</v>
      </c>
      <c r="I721" s="11" t="n">
        <v>120</v>
      </c>
      <c r="J721" s="11" t="n">
        <v>100</v>
      </c>
      <c r="K721" s="11" t="n">
        <v>96</v>
      </c>
      <c r="L721" s="0" t="str">
        <f aca="false">IF(H721&gt;I721,"ERRO","OK")</f>
        <v>OK</v>
      </c>
      <c r="M721" s="0" t="str">
        <f aca="false">IF(H721&gt;J721,"ERRO","OK")</f>
        <v>OK</v>
      </c>
      <c r="N721" s="0" t="str">
        <f aca="false">IF(I721&lt;J721,"ERRO","OK")</f>
        <v>OK</v>
      </c>
    </row>
    <row r="722" customFormat="false" ht="25" hidden="false" customHeight="false" outlineLevel="0" collapsed="false">
      <c r="A722" s="0" t="n">
        <v>55</v>
      </c>
      <c r="B722" s="0" t="n">
        <v>2024</v>
      </c>
      <c r="C722" s="3" t="n">
        <v>45448</v>
      </c>
      <c r="D722" s="4" t="s">
        <v>15</v>
      </c>
      <c r="E722" s="5" t="s">
        <v>25</v>
      </c>
      <c r="F722" s="5" t="s">
        <v>17</v>
      </c>
      <c r="G722" s="7" t="n">
        <v>24</v>
      </c>
      <c r="H722" s="7" t="n">
        <v>24</v>
      </c>
      <c r="I722" s="7" t="n">
        <v>30</v>
      </c>
      <c r="J722" s="7" t="n">
        <v>26</v>
      </c>
      <c r="K722" s="7" t="n">
        <v>24</v>
      </c>
      <c r="L722" s="0" t="str">
        <f aca="false">IF(H722&gt;I722,"ERRO","OK")</f>
        <v>OK</v>
      </c>
      <c r="M722" s="0" t="str">
        <f aca="false">IF(H722&gt;J722,"ERRO","OK")</f>
        <v>OK</v>
      </c>
      <c r="N722" s="0" t="str">
        <f aca="false">IF(I722&lt;J722,"ERRO","OK")</f>
        <v>OK</v>
      </c>
    </row>
    <row r="723" customFormat="false" ht="25" hidden="false" customHeight="false" outlineLevel="0" collapsed="false">
      <c r="A723" s="0" t="n">
        <v>55</v>
      </c>
      <c r="B723" s="0" t="n">
        <v>2024</v>
      </c>
      <c r="C723" s="3" t="n">
        <v>45448</v>
      </c>
      <c r="D723" s="8" t="s">
        <v>15</v>
      </c>
      <c r="E723" s="9" t="s">
        <v>77</v>
      </c>
      <c r="F723" s="9" t="s">
        <v>17</v>
      </c>
      <c r="G723" s="10"/>
      <c r="H723" s="11" t="n">
        <v>96</v>
      </c>
      <c r="I723" s="11" t="n">
        <v>120</v>
      </c>
      <c r="J723" s="11" t="n">
        <v>106</v>
      </c>
      <c r="K723" s="11" t="n">
        <v>102</v>
      </c>
      <c r="L723" s="0" t="str">
        <f aca="false">IF(H723&gt;I723,"ERRO","OK")</f>
        <v>OK</v>
      </c>
      <c r="M723" s="0" t="str">
        <f aca="false">IF(H723&gt;J723,"ERRO","OK")</f>
        <v>OK</v>
      </c>
      <c r="N723" s="0" t="str">
        <f aca="false">IF(I723&lt;J723,"ERRO","OK")</f>
        <v>OK</v>
      </c>
    </row>
    <row r="724" customFormat="false" ht="25" hidden="false" customHeight="false" outlineLevel="0" collapsed="false">
      <c r="A724" s="0" t="n">
        <v>55</v>
      </c>
      <c r="B724" s="0" t="n">
        <v>2024</v>
      </c>
      <c r="C724" s="3" t="n">
        <v>45448</v>
      </c>
      <c r="D724" s="4" t="s">
        <v>15</v>
      </c>
      <c r="E724" s="5" t="s">
        <v>27</v>
      </c>
      <c r="F724" s="5" t="s">
        <v>17</v>
      </c>
      <c r="G724" s="7" t="n">
        <v>30</v>
      </c>
      <c r="H724" s="7" t="n">
        <v>24</v>
      </c>
      <c r="I724" s="7" t="n">
        <v>30</v>
      </c>
      <c r="J724" s="7" t="n">
        <v>28</v>
      </c>
      <c r="K724" s="7" t="n">
        <v>30</v>
      </c>
      <c r="L724" s="0" t="str">
        <f aca="false">IF(H724&gt;I724,"ERRO","OK")</f>
        <v>OK</v>
      </c>
      <c r="M724" s="0" t="str">
        <f aca="false">IF(H724&gt;J724,"ERRO","OK")</f>
        <v>OK</v>
      </c>
      <c r="N724" s="0" t="str">
        <f aca="false">IF(I724&lt;J724,"ERRO","OK")</f>
        <v>OK</v>
      </c>
    </row>
    <row r="725" customFormat="false" ht="25" hidden="false" customHeight="false" outlineLevel="0" collapsed="false">
      <c r="A725" s="0" t="n">
        <v>55</v>
      </c>
      <c r="B725" s="0" t="n">
        <v>2024</v>
      </c>
      <c r="C725" s="3" t="n">
        <v>45448</v>
      </c>
      <c r="D725" s="8" t="s">
        <v>15</v>
      </c>
      <c r="E725" s="9" t="s">
        <v>28</v>
      </c>
      <c r="F725" s="9" t="s">
        <v>17</v>
      </c>
      <c r="G725" s="11" t="n">
        <v>60</v>
      </c>
      <c r="H725" s="11" t="n">
        <v>60</v>
      </c>
      <c r="I725" s="11" t="n">
        <v>84</v>
      </c>
      <c r="J725" s="11" t="n">
        <v>68</v>
      </c>
      <c r="K725" s="11" t="n">
        <v>60</v>
      </c>
      <c r="L725" s="0" t="str">
        <f aca="false">IF(H725&gt;I725,"ERRO","OK")</f>
        <v>OK</v>
      </c>
      <c r="M725" s="0" t="str">
        <f aca="false">IF(H725&gt;J725,"ERRO","OK")</f>
        <v>OK</v>
      </c>
      <c r="N725" s="0" t="str">
        <f aca="false">IF(I725&lt;J725,"ERRO","OK")</f>
        <v>OK</v>
      </c>
    </row>
    <row r="726" customFormat="false" ht="25" hidden="false" customHeight="false" outlineLevel="0" collapsed="false">
      <c r="A726" s="0" t="n">
        <v>55</v>
      </c>
      <c r="B726" s="0" t="n">
        <v>2024</v>
      </c>
      <c r="C726" s="3" t="n">
        <v>45448</v>
      </c>
      <c r="D726" s="4" t="s">
        <v>15</v>
      </c>
      <c r="E726" s="5" t="s">
        <v>29</v>
      </c>
      <c r="F726" s="5" t="s">
        <v>30</v>
      </c>
      <c r="G726" s="7" t="n">
        <v>60</v>
      </c>
      <c r="H726" s="7" t="n">
        <v>60</v>
      </c>
      <c r="I726" s="7" t="n">
        <v>78</v>
      </c>
      <c r="J726" s="7" t="n">
        <v>66</v>
      </c>
      <c r="K726" s="7" t="n">
        <v>60</v>
      </c>
      <c r="L726" s="0" t="str">
        <f aca="false">IF(H726&gt;I726,"ERRO","OK")</f>
        <v>OK</v>
      </c>
      <c r="M726" s="0" t="str">
        <f aca="false">IF(H726&gt;J726,"ERRO","OK")</f>
        <v>OK</v>
      </c>
      <c r="N726" s="0" t="str">
        <f aca="false">IF(I726&lt;J726,"ERRO","OK")</f>
        <v>OK</v>
      </c>
    </row>
    <row r="727" customFormat="false" ht="25" hidden="false" customHeight="false" outlineLevel="0" collapsed="false">
      <c r="A727" s="0" t="n">
        <v>55</v>
      </c>
      <c r="B727" s="0" t="n">
        <v>2024</v>
      </c>
      <c r="C727" s="3" t="n">
        <v>45448</v>
      </c>
      <c r="D727" s="8" t="s">
        <v>15</v>
      </c>
      <c r="E727" s="9" t="s">
        <v>31</v>
      </c>
      <c r="F727" s="9" t="s">
        <v>17</v>
      </c>
      <c r="G727" s="10"/>
      <c r="H727" s="11" t="n">
        <v>72</v>
      </c>
      <c r="I727" s="11" t="n">
        <v>100</v>
      </c>
      <c r="J727" s="11" t="s">
        <v>256</v>
      </c>
      <c r="K727" s="11" t="n">
        <v>84</v>
      </c>
      <c r="L727" s="0" t="str">
        <f aca="false">IF(H727&gt;I727,"ERRO","OK")</f>
        <v>OK</v>
      </c>
      <c r="M727" s="0" t="str">
        <f aca="false">IF(H727&gt;J727,"ERRO","OK")</f>
        <v>OK</v>
      </c>
      <c r="N727" s="0" t="str">
        <f aca="false">IF(I727&lt;J727,"ERRO","OK")</f>
        <v>ERRO</v>
      </c>
    </row>
    <row r="728" customFormat="false" ht="25" hidden="false" customHeight="false" outlineLevel="0" collapsed="false">
      <c r="A728" s="0" t="n">
        <v>55</v>
      </c>
      <c r="B728" s="0" t="n">
        <v>2024</v>
      </c>
      <c r="C728" s="3" t="n">
        <v>45448</v>
      </c>
      <c r="D728" s="4" t="s">
        <v>15</v>
      </c>
      <c r="E728" s="5" t="s">
        <v>32</v>
      </c>
      <c r="F728" s="5" t="s">
        <v>17</v>
      </c>
      <c r="G728" s="6"/>
      <c r="H728" s="7" t="n">
        <v>48</v>
      </c>
      <c r="I728" s="7" t="n">
        <v>80</v>
      </c>
      <c r="J728" s="7" t="n">
        <v>61</v>
      </c>
      <c r="K728" s="7" t="n">
        <v>55</v>
      </c>
      <c r="L728" s="0" t="str">
        <f aca="false">IF(H728&gt;I728,"ERRO","OK")</f>
        <v>OK</v>
      </c>
      <c r="M728" s="0" t="str">
        <f aca="false">IF(H728&gt;J728,"ERRO","OK")</f>
        <v>OK</v>
      </c>
      <c r="N728" s="0" t="str">
        <f aca="false">IF(I728&lt;J728,"ERRO","OK")</f>
        <v>OK</v>
      </c>
    </row>
    <row r="729" customFormat="false" ht="25" hidden="false" customHeight="false" outlineLevel="0" collapsed="false">
      <c r="A729" s="0" t="n">
        <v>55</v>
      </c>
      <c r="B729" s="0" t="n">
        <v>2024</v>
      </c>
      <c r="C729" s="3" t="n">
        <v>45448</v>
      </c>
      <c r="D729" s="8" t="s">
        <v>15</v>
      </c>
      <c r="E729" s="9" t="s">
        <v>33</v>
      </c>
      <c r="F729" s="9" t="s">
        <v>17</v>
      </c>
      <c r="G729" s="11" t="n">
        <v>54</v>
      </c>
      <c r="H729" s="11" t="n">
        <v>48</v>
      </c>
      <c r="I729" s="11" t="n">
        <v>54</v>
      </c>
      <c r="J729" s="11" t="n">
        <v>52</v>
      </c>
      <c r="K729" s="11" t="n">
        <v>54</v>
      </c>
      <c r="L729" s="0" t="str">
        <f aca="false">IF(H729&gt;I729,"ERRO","OK")</f>
        <v>OK</v>
      </c>
      <c r="M729" s="0" t="str">
        <f aca="false">IF(H729&gt;J729,"ERRO","OK")</f>
        <v>OK</v>
      </c>
      <c r="N729" s="0" t="str">
        <f aca="false">IF(I729&lt;J729,"ERRO","OK")</f>
        <v>OK</v>
      </c>
    </row>
    <row r="730" customFormat="false" ht="25" hidden="false" customHeight="false" outlineLevel="0" collapsed="false">
      <c r="A730" s="0" t="n">
        <v>55</v>
      </c>
      <c r="B730" s="0" t="n">
        <v>2024</v>
      </c>
      <c r="C730" s="3" t="n">
        <v>45448</v>
      </c>
      <c r="D730" s="4" t="s">
        <v>34</v>
      </c>
      <c r="E730" s="5" t="s">
        <v>35</v>
      </c>
      <c r="F730" s="5" t="s">
        <v>36</v>
      </c>
      <c r="G730" s="7" t="n">
        <v>5</v>
      </c>
      <c r="H730" s="7" t="n">
        <v>5</v>
      </c>
      <c r="I730" s="7" t="n">
        <v>6</v>
      </c>
      <c r="J730" s="7" t="s">
        <v>257</v>
      </c>
      <c r="K730" s="7" t="n">
        <v>5</v>
      </c>
      <c r="L730" s="0" t="str">
        <f aca="false">IF(H730&gt;I730,"ERRO","OK")</f>
        <v>OK</v>
      </c>
      <c r="M730" s="0" t="str">
        <f aca="false">IF(H730&gt;J730,"ERRO","OK")</f>
        <v>OK</v>
      </c>
      <c r="N730" s="0" t="str">
        <f aca="false">IF(I730&lt;J730,"ERRO","OK")</f>
        <v>ERRO</v>
      </c>
    </row>
    <row r="731" customFormat="false" ht="25" hidden="false" customHeight="false" outlineLevel="0" collapsed="false">
      <c r="A731" s="0" t="n">
        <v>55</v>
      </c>
      <c r="B731" s="0" t="n">
        <v>2024</v>
      </c>
      <c r="C731" s="3" t="n">
        <v>45448</v>
      </c>
      <c r="D731" s="8" t="s">
        <v>34</v>
      </c>
      <c r="E731" s="9" t="s">
        <v>38</v>
      </c>
      <c r="F731" s="9" t="s">
        <v>39</v>
      </c>
      <c r="G731" s="11" t="n">
        <v>20</v>
      </c>
      <c r="H731" s="11" t="n">
        <v>20</v>
      </c>
      <c r="I731" s="11" t="n">
        <v>20</v>
      </c>
      <c r="J731" s="11" t="n">
        <v>20</v>
      </c>
      <c r="K731" s="11" t="n">
        <v>20</v>
      </c>
      <c r="L731" s="0" t="str">
        <f aca="false">IF(H731&gt;I731,"ERRO","OK")</f>
        <v>OK</v>
      </c>
      <c r="M731" s="0" t="str">
        <f aca="false">IF(H731&gt;J731,"ERRO","OK")</f>
        <v>OK</v>
      </c>
      <c r="N731" s="0" t="str">
        <f aca="false">IF(I731&lt;J731,"ERRO","OK")</f>
        <v>OK</v>
      </c>
    </row>
    <row r="732" customFormat="false" ht="25" hidden="false" customHeight="false" outlineLevel="0" collapsed="false">
      <c r="A732" s="0" t="n">
        <v>55</v>
      </c>
      <c r="B732" s="0" t="n">
        <v>2024</v>
      </c>
      <c r="C732" s="3" t="n">
        <v>45448</v>
      </c>
      <c r="D732" s="4" t="s">
        <v>34</v>
      </c>
      <c r="E732" s="5" t="s">
        <v>40</v>
      </c>
      <c r="F732" s="5" t="s">
        <v>39</v>
      </c>
      <c r="G732" s="6"/>
      <c r="H732" s="7" t="n">
        <v>25</v>
      </c>
      <c r="I732" s="7" t="n">
        <v>35</v>
      </c>
      <c r="J732" s="7" t="n">
        <v>30</v>
      </c>
      <c r="K732" s="7" t="n">
        <v>30</v>
      </c>
      <c r="L732" s="0" t="str">
        <f aca="false">IF(H732&gt;I732,"ERRO","OK")</f>
        <v>OK</v>
      </c>
      <c r="M732" s="0" t="str">
        <f aca="false">IF(H732&gt;J732,"ERRO","OK")</f>
        <v>OK</v>
      </c>
      <c r="N732" s="0" t="str">
        <f aca="false">IF(I732&lt;J732,"ERRO","OK")</f>
        <v>OK</v>
      </c>
    </row>
    <row r="733" customFormat="false" ht="36.5" hidden="false" customHeight="false" outlineLevel="0" collapsed="false">
      <c r="A733" s="0" t="n">
        <v>55</v>
      </c>
      <c r="B733" s="0" t="n">
        <v>2024</v>
      </c>
      <c r="C733" s="3" t="n">
        <v>45448</v>
      </c>
      <c r="D733" s="8" t="s">
        <v>42</v>
      </c>
      <c r="E733" s="9" t="s">
        <v>157</v>
      </c>
      <c r="F733" s="9" t="s">
        <v>158</v>
      </c>
      <c r="G733" s="10"/>
      <c r="H733" s="11" t="n">
        <v>85</v>
      </c>
      <c r="I733" s="11" t="n">
        <v>95</v>
      </c>
      <c r="J733" s="11" t="n">
        <v>90</v>
      </c>
      <c r="K733" s="11" t="n">
        <v>90</v>
      </c>
      <c r="L733" s="0" t="str">
        <f aca="false">IF(H733&gt;I733,"ERRO","OK")</f>
        <v>OK</v>
      </c>
      <c r="M733" s="0" t="str">
        <f aca="false">IF(H733&gt;J733,"ERRO","OK")</f>
        <v>OK</v>
      </c>
      <c r="N733" s="0" t="str">
        <f aca="false">IF(I733&lt;J733,"ERRO","OK")</f>
        <v>OK</v>
      </c>
    </row>
    <row r="734" customFormat="false" ht="36.5" hidden="false" customHeight="false" outlineLevel="0" collapsed="false">
      <c r="A734" s="0" t="n">
        <v>55</v>
      </c>
      <c r="B734" s="0" t="n">
        <v>2024</v>
      </c>
      <c r="C734" s="3" t="n">
        <v>45448</v>
      </c>
      <c r="D734" s="4" t="s">
        <v>42</v>
      </c>
      <c r="E734" s="5" t="s">
        <v>43</v>
      </c>
      <c r="F734" s="5" t="s">
        <v>44</v>
      </c>
      <c r="G734" s="7" t="n">
        <v>120</v>
      </c>
      <c r="H734" s="7" t="n">
        <v>100</v>
      </c>
      <c r="I734" s="7" t="n">
        <v>120</v>
      </c>
      <c r="J734" s="7" t="n">
        <v>116</v>
      </c>
      <c r="K734" s="7" t="n">
        <v>120</v>
      </c>
      <c r="L734" s="0" t="str">
        <f aca="false">IF(H734&gt;I734,"ERRO","OK")</f>
        <v>OK</v>
      </c>
      <c r="M734" s="0" t="str">
        <f aca="false">IF(H734&gt;J734,"ERRO","OK")</f>
        <v>OK</v>
      </c>
      <c r="N734" s="0" t="str">
        <f aca="false">IF(I734&lt;J734,"ERRO","OK")</f>
        <v>OK</v>
      </c>
    </row>
    <row r="735" customFormat="false" ht="36.5" hidden="false" customHeight="false" outlineLevel="0" collapsed="false">
      <c r="A735" s="0" t="n">
        <v>55</v>
      </c>
      <c r="B735" s="0" t="n">
        <v>2024</v>
      </c>
      <c r="C735" s="3" t="n">
        <v>45448</v>
      </c>
      <c r="D735" s="8" t="s">
        <v>42</v>
      </c>
      <c r="E735" s="9" t="s">
        <v>46</v>
      </c>
      <c r="F735" s="9" t="s">
        <v>47</v>
      </c>
      <c r="G735" s="11" t="n">
        <v>60</v>
      </c>
      <c r="H735" s="11" t="n">
        <v>40</v>
      </c>
      <c r="I735" s="11" t="n">
        <v>70</v>
      </c>
      <c r="J735" s="11" t="s">
        <v>45</v>
      </c>
      <c r="K735" s="11" t="n">
        <v>60</v>
      </c>
      <c r="L735" s="0" t="str">
        <f aca="false">IF(H735&gt;I735,"ERRO","OK")</f>
        <v>OK</v>
      </c>
      <c r="M735" s="0" t="str">
        <f aca="false">IF(H735&gt;J735,"ERRO","OK")</f>
        <v>OK</v>
      </c>
      <c r="N735" s="0" t="str">
        <f aca="false">IF(I735&lt;J735,"ERRO","OK")</f>
        <v>ERRO</v>
      </c>
    </row>
    <row r="736" customFormat="false" ht="36.5" hidden="false" customHeight="false" outlineLevel="0" collapsed="false">
      <c r="A736" s="0" t="n">
        <v>55</v>
      </c>
      <c r="B736" s="0" t="n">
        <v>2024</v>
      </c>
      <c r="C736" s="3" t="n">
        <v>45448</v>
      </c>
      <c r="D736" s="4" t="s">
        <v>42</v>
      </c>
      <c r="E736" s="5" t="s">
        <v>48</v>
      </c>
      <c r="F736" s="5" t="s">
        <v>49</v>
      </c>
      <c r="G736" s="7" t="n">
        <v>40</v>
      </c>
      <c r="H736" s="7" t="n">
        <v>35</v>
      </c>
      <c r="I736" s="7" t="n">
        <v>55</v>
      </c>
      <c r="J736" s="7" t="s">
        <v>51</v>
      </c>
      <c r="K736" s="7" t="n">
        <v>40</v>
      </c>
      <c r="L736" s="0" t="str">
        <f aca="false">IF(H736&gt;I736,"ERRO","OK")</f>
        <v>OK</v>
      </c>
      <c r="M736" s="0" t="str">
        <f aca="false">IF(H736&gt;J736,"ERRO","OK")</f>
        <v>OK</v>
      </c>
      <c r="N736" s="0" t="str">
        <f aca="false">IF(I736&lt;J736,"ERRO","OK")</f>
        <v>ERRO</v>
      </c>
    </row>
    <row r="737" customFormat="false" ht="36.5" hidden="false" customHeight="false" outlineLevel="0" collapsed="false">
      <c r="A737" s="0" t="n">
        <v>55</v>
      </c>
      <c r="B737" s="0" t="n">
        <v>2024</v>
      </c>
      <c r="C737" s="3" t="n">
        <v>45448</v>
      </c>
      <c r="D737" s="8" t="s">
        <v>42</v>
      </c>
      <c r="E737" s="9" t="s">
        <v>52</v>
      </c>
      <c r="F737" s="9" t="s">
        <v>49</v>
      </c>
      <c r="G737" s="10"/>
      <c r="H737" s="11" t="n">
        <v>90</v>
      </c>
      <c r="I737" s="11" t="n">
        <v>110</v>
      </c>
      <c r="J737" s="11" t="n">
        <v>100</v>
      </c>
      <c r="K737" s="11" t="n">
        <v>100</v>
      </c>
      <c r="L737" s="0" t="str">
        <f aca="false">IF(H737&gt;I737,"ERRO","OK")</f>
        <v>OK</v>
      </c>
      <c r="M737" s="0" t="str">
        <f aca="false">IF(H737&gt;J737,"ERRO","OK")</f>
        <v>OK</v>
      </c>
      <c r="N737" s="0" t="str">
        <f aca="false">IF(I737&lt;J737,"ERRO","OK")</f>
        <v>OK</v>
      </c>
    </row>
    <row r="738" customFormat="false" ht="36.5" hidden="false" customHeight="false" outlineLevel="0" collapsed="false">
      <c r="A738" s="0" t="n">
        <v>55</v>
      </c>
      <c r="B738" s="0" t="n">
        <v>2024</v>
      </c>
      <c r="C738" s="3" t="n">
        <v>45448</v>
      </c>
      <c r="D738" s="4" t="s">
        <v>42</v>
      </c>
      <c r="E738" s="5" t="s">
        <v>53</v>
      </c>
      <c r="F738" s="5" t="s">
        <v>54</v>
      </c>
      <c r="G738" s="7" t="n">
        <v>120</v>
      </c>
      <c r="H738" s="7" t="n">
        <v>80</v>
      </c>
      <c r="I738" s="7" t="n">
        <v>120</v>
      </c>
      <c r="J738" s="7" t="n">
        <v>110</v>
      </c>
      <c r="K738" s="7" t="n">
        <v>120</v>
      </c>
      <c r="L738" s="0" t="str">
        <f aca="false">IF(H738&gt;I738,"ERRO","OK")</f>
        <v>OK</v>
      </c>
      <c r="M738" s="0" t="str">
        <f aca="false">IF(H738&gt;J738,"ERRO","OK")</f>
        <v>OK</v>
      </c>
      <c r="N738" s="0" t="str">
        <f aca="false">IF(I738&lt;J738,"ERRO","OK")</f>
        <v>OK</v>
      </c>
    </row>
    <row r="739" customFormat="false" ht="36.5" hidden="false" customHeight="false" outlineLevel="0" collapsed="false">
      <c r="A739" s="0" t="n">
        <v>55</v>
      </c>
      <c r="B739" s="0" t="n">
        <v>2024</v>
      </c>
      <c r="C739" s="3" t="n">
        <v>45448</v>
      </c>
      <c r="D739" s="8" t="s">
        <v>42</v>
      </c>
      <c r="E739" s="9" t="s">
        <v>56</v>
      </c>
      <c r="F739" s="9" t="s">
        <v>47</v>
      </c>
      <c r="G739" s="10"/>
      <c r="H739" s="11" t="n">
        <v>60</v>
      </c>
      <c r="I739" s="11" t="n">
        <v>160</v>
      </c>
      <c r="J739" s="11" t="n">
        <v>118</v>
      </c>
      <c r="K739" s="11" t="n">
        <v>130</v>
      </c>
      <c r="L739" s="0" t="str">
        <f aca="false">IF(H739&gt;I739,"ERRO","OK")</f>
        <v>OK</v>
      </c>
      <c r="M739" s="0" t="str">
        <f aca="false">IF(H739&gt;J739,"ERRO","OK")</f>
        <v>OK</v>
      </c>
      <c r="N739" s="0" t="str">
        <f aca="false">IF(I739&lt;J739,"ERRO","OK")</f>
        <v>OK</v>
      </c>
    </row>
    <row r="740" customFormat="false" ht="36.5" hidden="false" customHeight="false" outlineLevel="0" collapsed="false">
      <c r="A740" s="0" t="n">
        <v>55</v>
      </c>
      <c r="B740" s="0" t="n">
        <v>2024</v>
      </c>
      <c r="C740" s="3" t="n">
        <v>45448</v>
      </c>
      <c r="D740" s="4" t="s">
        <v>42</v>
      </c>
      <c r="E740" s="5" t="s">
        <v>57</v>
      </c>
      <c r="F740" s="5" t="s">
        <v>47</v>
      </c>
      <c r="G740" s="7" t="n">
        <v>80</v>
      </c>
      <c r="H740" s="7" t="n">
        <v>75</v>
      </c>
      <c r="I740" s="7" t="n">
        <v>110</v>
      </c>
      <c r="J740" s="7" t="n">
        <v>90</v>
      </c>
      <c r="K740" s="7" t="n">
        <v>80</v>
      </c>
      <c r="L740" s="0" t="str">
        <f aca="false">IF(H740&gt;I740,"ERRO","OK")</f>
        <v>OK</v>
      </c>
      <c r="M740" s="0" t="str">
        <f aca="false">IF(H740&gt;J740,"ERRO","OK")</f>
        <v>OK</v>
      </c>
      <c r="N740" s="0" t="str">
        <f aca="false">IF(I740&lt;J740,"ERRO","OK")</f>
        <v>OK</v>
      </c>
    </row>
    <row r="741" customFormat="false" ht="36.5" hidden="false" customHeight="false" outlineLevel="0" collapsed="false">
      <c r="A741" s="0" t="n">
        <v>55</v>
      </c>
      <c r="B741" s="0" t="n">
        <v>2024</v>
      </c>
      <c r="C741" s="3" t="n">
        <v>45448</v>
      </c>
      <c r="D741" s="8" t="s">
        <v>42</v>
      </c>
      <c r="E741" s="9" t="s">
        <v>58</v>
      </c>
      <c r="F741" s="9" t="s">
        <v>44</v>
      </c>
      <c r="G741" s="11" t="n">
        <v>100</v>
      </c>
      <c r="H741" s="11" t="n">
        <v>70</v>
      </c>
      <c r="I741" s="11" t="n">
        <v>100</v>
      </c>
      <c r="J741" s="11" t="s">
        <v>243</v>
      </c>
      <c r="K741" s="11" t="n">
        <v>90</v>
      </c>
      <c r="L741" s="0" t="str">
        <f aca="false">IF(H741&gt;I741,"ERRO","OK")</f>
        <v>OK</v>
      </c>
      <c r="M741" s="0" t="str">
        <f aca="false">IF(H741&gt;J741,"ERRO","OK")</f>
        <v>OK</v>
      </c>
      <c r="N741" s="0" t="str">
        <f aca="false">IF(I741&lt;J741,"ERRO","OK")</f>
        <v>ERRO</v>
      </c>
    </row>
    <row r="742" customFormat="false" ht="36.5" hidden="false" customHeight="false" outlineLevel="0" collapsed="false">
      <c r="A742" s="0" t="n">
        <v>55</v>
      </c>
      <c r="B742" s="0" t="n">
        <v>2024</v>
      </c>
      <c r="C742" s="3" t="n">
        <v>45448</v>
      </c>
      <c r="D742" s="4" t="s">
        <v>42</v>
      </c>
      <c r="E742" s="5" t="s">
        <v>60</v>
      </c>
      <c r="F742" s="5" t="s">
        <v>47</v>
      </c>
      <c r="G742" s="6"/>
      <c r="H742" s="7" t="n">
        <v>40</v>
      </c>
      <c r="I742" s="7" t="n">
        <v>60</v>
      </c>
      <c r="J742" s="7" t="s">
        <v>258</v>
      </c>
      <c r="K742" s="7" t="s">
        <v>82</v>
      </c>
      <c r="L742" s="0" t="str">
        <f aca="false">IF(H742&gt;I742,"ERRO","OK")</f>
        <v>OK</v>
      </c>
      <c r="M742" s="0" t="str">
        <f aca="false">IF(H742&gt;J742,"ERRO","OK")</f>
        <v>OK</v>
      </c>
      <c r="N742" s="0" t="str">
        <f aca="false">IF(I742&lt;J742,"ERRO","OK")</f>
        <v>ERRO</v>
      </c>
    </row>
    <row r="743" customFormat="false" ht="36.5" hidden="false" customHeight="false" outlineLevel="0" collapsed="false">
      <c r="A743" s="0" t="n">
        <v>55</v>
      </c>
      <c r="B743" s="0" t="n">
        <v>2024</v>
      </c>
      <c r="C743" s="3" t="n">
        <v>45448</v>
      </c>
      <c r="D743" s="8" t="s">
        <v>42</v>
      </c>
      <c r="E743" s="9" t="s">
        <v>61</v>
      </c>
      <c r="F743" s="9" t="s">
        <v>44</v>
      </c>
      <c r="G743" s="11" t="n">
        <v>70</v>
      </c>
      <c r="H743" s="11" t="n">
        <v>65</v>
      </c>
      <c r="I743" s="11" t="n">
        <v>70</v>
      </c>
      <c r="J743" s="11" t="s">
        <v>98</v>
      </c>
      <c r="K743" s="11" t="n">
        <v>70</v>
      </c>
      <c r="L743" s="0" t="str">
        <f aca="false">IF(H743&gt;I743,"ERRO","OK")</f>
        <v>OK</v>
      </c>
      <c r="M743" s="0" t="str">
        <f aca="false">IF(H743&gt;J743,"ERRO","OK")</f>
        <v>OK</v>
      </c>
      <c r="N743" s="0" t="str">
        <f aca="false">IF(I743&lt;J743,"ERRO","OK")</f>
        <v>ERRO</v>
      </c>
    </row>
    <row r="744" customFormat="false" ht="36.5" hidden="false" customHeight="false" outlineLevel="0" collapsed="false">
      <c r="A744" s="0" t="n">
        <v>55</v>
      </c>
      <c r="B744" s="0" t="n">
        <v>2024</v>
      </c>
      <c r="C744" s="3" t="n">
        <v>45448</v>
      </c>
      <c r="D744" s="4" t="s">
        <v>42</v>
      </c>
      <c r="E744" s="5" t="s">
        <v>62</v>
      </c>
      <c r="F744" s="5" t="s">
        <v>44</v>
      </c>
      <c r="G744" s="7" t="n">
        <v>120</v>
      </c>
      <c r="H744" s="7" t="n">
        <v>100</v>
      </c>
      <c r="I744" s="7" t="n">
        <v>125</v>
      </c>
      <c r="J744" s="7" t="s">
        <v>259</v>
      </c>
      <c r="K744" s="7" t="n">
        <v>120</v>
      </c>
      <c r="L744" s="0" t="str">
        <f aca="false">IF(H744&gt;I744,"ERRO","OK")</f>
        <v>OK</v>
      </c>
      <c r="M744" s="0" t="str">
        <f aca="false">IF(H744&gt;J744,"ERRO","OK")</f>
        <v>OK</v>
      </c>
      <c r="N744" s="0" t="str">
        <f aca="false">IF(I744&lt;J744,"ERRO","OK")</f>
        <v>ERRO</v>
      </c>
    </row>
    <row r="745" customFormat="false" ht="36.5" hidden="false" customHeight="false" outlineLevel="0" collapsed="false">
      <c r="A745" s="0" t="n">
        <v>55</v>
      </c>
      <c r="B745" s="0" t="n">
        <v>2024</v>
      </c>
      <c r="C745" s="3" t="n">
        <v>45448</v>
      </c>
      <c r="D745" s="8" t="s">
        <v>42</v>
      </c>
      <c r="E745" s="9" t="s">
        <v>63</v>
      </c>
      <c r="F745" s="9" t="s">
        <v>49</v>
      </c>
      <c r="G745" s="11" t="n">
        <v>50</v>
      </c>
      <c r="H745" s="11" t="n">
        <v>40</v>
      </c>
      <c r="I745" s="11" t="n">
        <v>80</v>
      </c>
      <c r="J745" s="11" t="s">
        <v>246</v>
      </c>
      <c r="K745" s="11" t="n">
        <v>50</v>
      </c>
      <c r="L745" s="0" t="str">
        <f aca="false">IF(H745&gt;I745,"ERRO","OK")</f>
        <v>OK</v>
      </c>
      <c r="M745" s="0" t="str">
        <f aca="false">IF(H745&gt;J745,"ERRO","OK")</f>
        <v>OK</v>
      </c>
      <c r="N745" s="0" t="str">
        <f aca="false">IF(I745&lt;J745,"ERRO","OK")</f>
        <v>ERRO</v>
      </c>
    </row>
    <row r="746" customFormat="false" ht="36.5" hidden="false" customHeight="false" outlineLevel="0" collapsed="false">
      <c r="A746" s="0" t="n">
        <v>55</v>
      </c>
      <c r="B746" s="0" t="n">
        <v>2024</v>
      </c>
      <c r="C746" s="3" t="n">
        <v>45448</v>
      </c>
      <c r="D746" s="4" t="s">
        <v>42</v>
      </c>
      <c r="E746" s="5" t="s">
        <v>64</v>
      </c>
      <c r="F746" s="5" t="s">
        <v>65</v>
      </c>
      <c r="G746" s="6"/>
      <c r="H746" s="7" t="n">
        <v>120</v>
      </c>
      <c r="I746" s="7" t="n">
        <v>200</v>
      </c>
      <c r="J746" s="7" t="n">
        <v>160</v>
      </c>
      <c r="K746" s="7" t="n">
        <v>160</v>
      </c>
      <c r="L746" s="0" t="str">
        <f aca="false">IF(H746&gt;I746,"ERRO","OK")</f>
        <v>OK</v>
      </c>
      <c r="M746" s="0" t="str">
        <f aca="false">IF(H746&gt;J746,"ERRO","OK")</f>
        <v>OK</v>
      </c>
      <c r="N746" s="0" t="str">
        <f aca="false">IF(I746&lt;J746,"ERRO","OK")</f>
        <v>OK</v>
      </c>
    </row>
    <row r="747" customFormat="false" ht="36.5" hidden="false" customHeight="false" outlineLevel="0" collapsed="false">
      <c r="A747" s="0" t="n">
        <v>55</v>
      </c>
      <c r="B747" s="0" t="n">
        <v>2024</v>
      </c>
      <c r="C747" s="3" t="n">
        <v>45448</v>
      </c>
      <c r="D747" s="8" t="s">
        <v>42</v>
      </c>
      <c r="E747" s="9" t="s">
        <v>67</v>
      </c>
      <c r="F747" s="9" t="s">
        <v>44</v>
      </c>
      <c r="G747" s="11" t="n">
        <v>130</v>
      </c>
      <c r="H747" s="11" t="n">
        <v>100</v>
      </c>
      <c r="I747" s="11" t="n">
        <v>170</v>
      </c>
      <c r="J747" s="11" t="n">
        <v>140</v>
      </c>
      <c r="K747" s="11" t="n">
        <v>140</v>
      </c>
      <c r="L747" s="0" t="str">
        <f aca="false">IF(H747&gt;I747,"ERRO","OK")</f>
        <v>OK</v>
      </c>
      <c r="M747" s="0" t="str">
        <f aca="false">IF(H747&gt;J747,"ERRO","OK")</f>
        <v>OK</v>
      </c>
      <c r="N747" s="0" t="str">
        <f aca="false">IF(I747&lt;J747,"ERRO","OK")</f>
        <v>OK</v>
      </c>
    </row>
    <row r="748" customFormat="false" ht="36.5" hidden="false" customHeight="false" outlineLevel="0" collapsed="false">
      <c r="A748" s="0" t="n">
        <v>55</v>
      </c>
      <c r="B748" s="0" t="n">
        <v>2024</v>
      </c>
      <c r="C748" s="3" t="n">
        <v>45448</v>
      </c>
      <c r="D748" s="4" t="s">
        <v>42</v>
      </c>
      <c r="E748" s="5" t="s">
        <v>68</v>
      </c>
      <c r="F748" s="5" t="s">
        <v>44</v>
      </c>
      <c r="G748" s="6"/>
      <c r="H748" s="7" t="n">
        <v>120</v>
      </c>
      <c r="I748" s="7" t="n">
        <v>235</v>
      </c>
      <c r="J748" s="7" t="s">
        <v>260</v>
      </c>
      <c r="K748" s="7" t="n">
        <v>210</v>
      </c>
      <c r="L748" s="0" t="str">
        <f aca="false">IF(H748&gt;I748,"ERRO","OK")</f>
        <v>OK</v>
      </c>
      <c r="M748" s="0" t="str">
        <f aca="false">IF(H748&gt;J748,"ERRO","OK")</f>
        <v>OK</v>
      </c>
      <c r="N748" s="0" t="str">
        <f aca="false">IF(I748&lt;J748,"ERRO","OK")</f>
        <v>ERRO</v>
      </c>
    </row>
    <row r="749" customFormat="false" ht="14.25" hidden="false" customHeight="false" outlineLevel="0" collapsed="false">
      <c r="A749" s="0" t="n">
        <v>55</v>
      </c>
      <c r="B749" s="0" t="n">
        <v>2024</v>
      </c>
      <c r="C749" s="3" t="n">
        <v>45448</v>
      </c>
      <c r="D749" s="8" t="s">
        <v>69</v>
      </c>
      <c r="E749" s="9" t="s">
        <v>70</v>
      </c>
      <c r="F749" s="9" t="s">
        <v>49</v>
      </c>
      <c r="G749" s="10"/>
      <c r="H749" s="10"/>
      <c r="I749" s="10"/>
      <c r="J749" s="10"/>
      <c r="K749" s="10"/>
      <c r="L749" s="0" t="str">
        <f aca="false">IF(H749&gt;I749,"ERRO","OK")</f>
        <v>OK</v>
      </c>
      <c r="M749" s="0" t="str">
        <f aca="false">IF(H749&gt;J749,"ERRO","OK")</f>
        <v>OK</v>
      </c>
      <c r="N749" s="0" t="str">
        <f aca="false">IF(I749&lt;J749,"ERRO","OK")</f>
        <v>OK</v>
      </c>
    </row>
    <row r="750" customFormat="false" ht="14.25" hidden="false" customHeight="false" outlineLevel="0" collapsed="false">
      <c r="A750" s="0" t="n">
        <v>55</v>
      </c>
      <c r="B750" s="0" t="n">
        <v>2024</v>
      </c>
      <c r="C750" s="3" t="n">
        <v>45448</v>
      </c>
      <c r="D750" s="4" t="s">
        <v>69</v>
      </c>
      <c r="E750" s="5" t="s">
        <v>71</v>
      </c>
      <c r="F750" s="5" t="s">
        <v>49</v>
      </c>
      <c r="G750" s="6"/>
      <c r="H750" s="6"/>
      <c r="I750" s="6"/>
      <c r="J750" s="6"/>
      <c r="K750" s="6"/>
      <c r="L750" s="0" t="str">
        <f aca="false">IF(H750&gt;I750,"ERRO","OK")</f>
        <v>OK</v>
      </c>
      <c r="M750" s="0" t="str">
        <f aca="false">IF(H750&gt;J750,"ERRO","OK")</f>
        <v>OK</v>
      </c>
      <c r="N750" s="0" t="str">
        <f aca="false">IF(I750&lt;J750,"ERRO","OK")</f>
        <v>OK</v>
      </c>
    </row>
    <row r="751" customFormat="false" ht="14.25" hidden="false" customHeight="false" outlineLevel="0" collapsed="false">
      <c r="A751" s="0" t="n">
        <v>55</v>
      </c>
      <c r="B751" s="0" t="n">
        <v>2024</v>
      </c>
      <c r="C751" s="3" t="n">
        <v>45448</v>
      </c>
      <c r="D751" s="8" t="s">
        <v>69</v>
      </c>
      <c r="E751" s="9" t="s">
        <v>72</v>
      </c>
      <c r="F751" s="9" t="s">
        <v>49</v>
      </c>
      <c r="G751" s="10"/>
      <c r="H751" s="10"/>
      <c r="I751" s="10"/>
      <c r="J751" s="10"/>
      <c r="K751" s="10"/>
      <c r="L751" s="0" t="str">
        <f aca="false">IF(H751&gt;I751,"ERRO","OK")</f>
        <v>OK</v>
      </c>
      <c r="M751" s="0" t="str">
        <f aca="false">IF(H751&gt;J751,"ERRO","OK")</f>
        <v>OK</v>
      </c>
      <c r="N751" s="0" t="str">
        <f aca="false">IF(I751&lt;J751,"ERRO","OK")</f>
        <v>OK</v>
      </c>
    </row>
    <row r="752" customFormat="false" ht="14.25" hidden="false" customHeight="false" outlineLevel="0" collapsed="false">
      <c r="A752" s="0" t="n">
        <v>55</v>
      </c>
      <c r="B752" s="0" t="n">
        <v>2024</v>
      </c>
      <c r="C752" s="3" t="n">
        <v>45448</v>
      </c>
      <c r="D752" s="4" t="s">
        <v>69</v>
      </c>
      <c r="E752" s="5" t="s">
        <v>73</v>
      </c>
      <c r="F752" s="5" t="s">
        <v>49</v>
      </c>
      <c r="G752" s="6"/>
      <c r="H752" s="7" t="n">
        <v>50</v>
      </c>
      <c r="I752" s="7" t="n">
        <v>50</v>
      </c>
      <c r="J752" s="7" t="n">
        <v>50</v>
      </c>
      <c r="K752" s="7" t="n">
        <v>50</v>
      </c>
      <c r="L752" s="0" t="str">
        <f aca="false">IF(H752&gt;I752,"ERRO","OK")</f>
        <v>OK</v>
      </c>
      <c r="M752" s="0" t="str">
        <f aca="false">IF(H752&gt;J752,"ERRO","OK")</f>
        <v>OK</v>
      </c>
      <c r="N752" s="0" t="str">
        <f aca="false">IF(I752&lt;J752,"ERRO","OK")</f>
        <v>OK</v>
      </c>
    </row>
    <row r="753" customFormat="false" ht="14.25" hidden="false" customHeight="false" outlineLevel="0" collapsed="false">
      <c r="A753" s="0" t="n">
        <v>55</v>
      </c>
      <c r="B753" s="0" t="n">
        <v>2024</v>
      </c>
      <c r="C753" s="3" t="n">
        <v>45448</v>
      </c>
      <c r="D753" s="8" t="s">
        <v>69</v>
      </c>
      <c r="E753" s="9" t="s">
        <v>74</v>
      </c>
      <c r="F753" s="9" t="s">
        <v>75</v>
      </c>
      <c r="G753" s="11" t="n">
        <v>60</v>
      </c>
      <c r="H753" s="11" t="n">
        <v>60</v>
      </c>
      <c r="I753" s="11" t="n">
        <v>60</v>
      </c>
      <c r="J753" s="11" t="n">
        <v>60</v>
      </c>
      <c r="K753" s="11" t="n">
        <v>60</v>
      </c>
      <c r="L753" s="0" t="str">
        <f aca="false">IF(H753&gt;I753,"ERRO","OK")</f>
        <v>OK</v>
      </c>
      <c r="M753" s="0" t="str">
        <f aca="false">IF(H753&gt;J753,"ERRO","OK")</f>
        <v>OK</v>
      </c>
      <c r="N753" s="0" t="str">
        <f aca="false">IF(I753&lt;J753,"ERRO","OK")</f>
        <v>OK</v>
      </c>
    </row>
    <row r="754" customFormat="false" ht="25" hidden="false" customHeight="false" outlineLevel="0" collapsed="false">
      <c r="A754" s="0" t="n">
        <v>56</v>
      </c>
      <c r="B754" s="0" t="n">
        <v>2024</v>
      </c>
      <c r="C754" s="3" t="n">
        <v>45455</v>
      </c>
      <c r="D754" s="4" t="s">
        <v>15</v>
      </c>
      <c r="E754" s="5" t="s">
        <v>16</v>
      </c>
      <c r="F754" s="5" t="s">
        <v>17</v>
      </c>
      <c r="G754" s="6"/>
      <c r="H754" s="6"/>
      <c r="I754" s="6"/>
      <c r="J754" s="6"/>
      <c r="K754" s="6"/>
      <c r="L754" s="0" t="str">
        <f aca="false">IF(H754&gt;I754,"ERRO","OK")</f>
        <v>OK</v>
      </c>
      <c r="M754" s="0" t="str">
        <f aca="false">IF(H754&gt;J754,"ERRO","OK")</f>
        <v>OK</v>
      </c>
      <c r="N754" s="0" t="str">
        <f aca="false">IF(I754&lt;J754,"ERRO","OK")</f>
        <v>OK</v>
      </c>
    </row>
    <row r="755" customFormat="false" ht="25" hidden="false" customHeight="false" outlineLevel="0" collapsed="false">
      <c r="A755" s="0" t="n">
        <v>56</v>
      </c>
      <c r="B755" s="0" t="n">
        <v>2024</v>
      </c>
      <c r="C755" s="3" t="n">
        <v>45455</v>
      </c>
      <c r="D755" s="8" t="s">
        <v>15</v>
      </c>
      <c r="E755" s="9" t="s">
        <v>18</v>
      </c>
      <c r="F755" s="9" t="s">
        <v>17</v>
      </c>
      <c r="G755" s="10"/>
      <c r="H755" s="11" t="n">
        <v>60</v>
      </c>
      <c r="I755" s="11" t="n">
        <v>72</v>
      </c>
      <c r="J755" s="11" t="n">
        <v>66</v>
      </c>
      <c r="K755" s="11" t="n">
        <v>66</v>
      </c>
      <c r="L755" s="0" t="str">
        <f aca="false">IF(H755&gt;I755,"ERRO","OK")</f>
        <v>OK</v>
      </c>
      <c r="M755" s="0" t="str">
        <f aca="false">IF(H755&gt;J755,"ERRO","OK")</f>
        <v>OK</v>
      </c>
      <c r="N755" s="0" t="str">
        <f aca="false">IF(I755&lt;J755,"ERRO","OK")</f>
        <v>OK</v>
      </c>
    </row>
    <row r="756" customFormat="false" ht="25" hidden="false" customHeight="false" outlineLevel="0" collapsed="false">
      <c r="A756" s="0" t="n">
        <v>56</v>
      </c>
      <c r="B756" s="0" t="n">
        <v>2024</v>
      </c>
      <c r="C756" s="3" t="n">
        <v>45455</v>
      </c>
      <c r="D756" s="4" t="s">
        <v>15</v>
      </c>
      <c r="E756" s="5" t="s">
        <v>19</v>
      </c>
      <c r="F756" s="5" t="s">
        <v>17</v>
      </c>
      <c r="G756" s="6"/>
      <c r="H756" s="7" t="n">
        <v>72</v>
      </c>
      <c r="I756" s="7" t="n">
        <v>84</v>
      </c>
      <c r="J756" s="7" t="n">
        <v>78</v>
      </c>
      <c r="K756" s="7" t="n">
        <v>78</v>
      </c>
      <c r="L756" s="0" t="str">
        <f aca="false">IF(H756&gt;I756,"ERRO","OK")</f>
        <v>OK</v>
      </c>
      <c r="M756" s="0" t="str">
        <f aca="false">IF(H756&gt;J756,"ERRO","OK")</f>
        <v>OK</v>
      </c>
      <c r="N756" s="0" t="str">
        <f aca="false">IF(I756&lt;J756,"ERRO","OK")</f>
        <v>OK</v>
      </c>
    </row>
    <row r="757" customFormat="false" ht="25" hidden="false" customHeight="false" outlineLevel="0" collapsed="false">
      <c r="A757" s="0" t="n">
        <v>56</v>
      </c>
      <c r="B757" s="0" t="n">
        <v>2024</v>
      </c>
      <c r="C757" s="3" t="n">
        <v>45455</v>
      </c>
      <c r="D757" s="8" t="s">
        <v>15</v>
      </c>
      <c r="E757" s="9" t="s">
        <v>20</v>
      </c>
      <c r="F757" s="9" t="s">
        <v>17</v>
      </c>
      <c r="G757" s="10"/>
      <c r="H757" s="11" t="n">
        <v>42</v>
      </c>
      <c r="I757" s="11" t="n">
        <v>54</v>
      </c>
      <c r="J757" s="11" t="n">
        <v>48</v>
      </c>
      <c r="K757" s="11" t="n">
        <v>48</v>
      </c>
      <c r="L757" s="0" t="str">
        <f aca="false">IF(H757&gt;I757,"ERRO","OK")</f>
        <v>OK</v>
      </c>
      <c r="M757" s="0" t="str">
        <f aca="false">IF(H757&gt;J757,"ERRO","OK")</f>
        <v>OK</v>
      </c>
      <c r="N757" s="0" t="str">
        <f aca="false">IF(I757&lt;J757,"ERRO","OK")</f>
        <v>OK</v>
      </c>
    </row>
    <row r="758" customFormat="false" ht="25" hidden="false" customHeight="false" outlineLevel="0" collapsed="false">
      <c r="A758" s="0" t="n">
        <v>56</v>
      </c>
      <c r="B758" s="0" t="n">
        <v>2024</v>
      </c>
      <c r="C758" s="3" t="n">
        <v>45455</v>
      </c>
      <c r="D758" s="4" t="s">
        <v>15</v>
      </c>
      <c r="E758" s="5" t="s">
        <v>21</v>
      </c>
      <c r="F758" s="5" t="s">
        <v>17</v>
      </c>
      <c r="G758" s="7" t="n">
        <v>30</v>
      </c>
      <c r="H758" s="7" t="n">
        <v>30</v>
      </c>
      <c r="I758" s="7" t="n">
        <v>30</v>
      </c>
      <c r="J758" s="7" t="n">
        <v>30</v>
      </c>
      <c r="K758" s="7" t="n">
        <v>30</v>
      </c>
      <c r="L758" s="0" t="str">
        <f aca="false">IF(H758&gt;I758,"ERRO","OK")</f>
        <v>OK</v>
      </c>
      <c r="M758" s="0" t="str">
        <f aca="false">IF(H758&gt;J758,"ERRO","OK")</f>
        <v>OK</v>
      </c>
      <c r="N758" s="0" t="str">
        <f aca="false">IF(I758&lt;J758,"ERRO","OK")</f>
        <v>OK</v>
      </c>
    </row>
    <row r="759" customFormat="false" ht="25" hidden="false" customHeight="false" outlineLevel="0" collapsed="false">
      <c r="A759" s="0" t="n">
        <v>56</v>
      </c>
      <c r="B759" s="0" t="n">
        <v>2024</v>
      </c>
      <c r="C759" s="3" t="n">
        <v>45455</v>
      </c>
      <c r="D759" s="8" t="s">
        <v>15</v>
      </c>
      <c r="E759" s="9" t="s">
        <v>22</v>
      </c>
      <c r="F759" s="9" t="s">
        <v>17</v>
      </c>
      <c r="G759" s="11" t="n">
        <v>30</v>
      </c>
      <c r="H759" s="11" t="n">
        <v>30</v>
      </c>
      <c r="I759" s="11" t="n">
        <v>30</v>
      </c>
      <c r="J759" s="11" t="n">
        <v>30</v>
      </c>
      <c r="K759" s="11" t="n">
        <v>30</v>
      </c>
      <c r="L759" s="0" t="str">
        <f aca="false">IF(H759&gt;I759,"ERRO","OK")</f>
        <v>OK</v>
      </c>
      <c r="M759" s="0" t="str">
        <f aca="false">IF(H759&gt;J759,"ERRO","OK")</f>
        <v>OK</v>
      </c>
      <c r="N759" s="0" t="str">
        <f aca="false">IF(I759&lt;J759,"ERRO","OK")</f>
        <v>OK</v>
      </c>
    </row>
    <row r="760" customFormat="false" ht="25" hidden="false" customHeight="false" outlineLevel="0" collapsed="false">
      <c r="A760" s="0" t="n">
        <v>56</v>
      </c>
      <c r="B760" s="0" t="n">
        <v>2024</v>
      </c>
      <c r="C760" s="3" t="n">
        <v>45455</v>
      </c>
      <c r="D760" s="4" t="s">
        <v>15</v>
      </c>
      <c r="E760" s="5" t="s">
        <v>23</v>
      </c>
      <c r="F760" s="5" t="s">
        <v>17</v>
      </c>
      <c r="G760" s="7" t="n">
        <v>60</v>
      </c>
      <c r="H760" s="7" t="n">
        <v>60</v>
      </c>
      <c r="I760" s="7" t="n">
        <v>60</v>
      </c>
      <c r="J760" s="7" t="n">
        <v>60</v>
      </c>
      <c r="K760" s="7" t="n">
        <v>60</v>
      </c>
      <c r="L760" s="0" t="str">
        <f aca="false">IF(H760&gt;I760,"ERRO","OK")</f>
        <v>OK</v>
      </c>
      <c r="M760" s="0" t="str">
        <f aca="false">IF(H760&gt;J760,"ERRO","OK")</f>
        <v>OK</v>
      </c>
      <c r="N760" s="0" t="str">
        <f aca="false">IF(I760&lt;J760,"ERRO","OK")</f>
        <v>OK</v>
      </c>
    </row>
    <row r="761" customFormat="false" ht="25" hidden="false" customHeight="false" outlineLevel="0" collapsed="false">
      <c r="A761" s="0" t="n">
        <v>56</v>
      </c>
      <c r="B761" s="0" t="n">
        <v>2024</v>
      </c>
      <c r="C761" s="3" t="n">
        <v>45455</v>
      </c>
      <c r="D761" s="8" t="s">
        <v>15</v>
      </c>
      <c r="E761" s="9" t="s">
        <v>24</v>
      </c>
      <c r="F761" s="9" t="s">
        <v>17</v>
      </c>
      <c r="G761" s="11" t="n">
        <v>96</v>
      </c>
      <c r="H761" s="11" t="n">
        <v>96</v>
      </c>
      <c r="I761" s="11" t="n">
        <v>96</v>
      </c>
      <c r="J761" s="11" t="n">
        <v>96</v>
      </c>
      <c r="K761" s="11" t="n">
        <v>96</v>
      </c>
      <c r="L761" s="0" t="str">
        <f aca="false">IF(H761&gt;I761,"ERRO","OK")</f>
        <v>OK</v>
      </c>
      <c r="M761" s="0" t="str">
        <f aca="false">IF(H761&gt;J761,"ERRO","OK")</f>
        <v>OK</v>
      </c>
      <c r="N761" s="0" t="str">
        <f aca="false">IF(I761&lt;J761,"ERRO","OK")</f>
        <v>OK</v>
      </c>
    </row>
    <row r="762" customFormat="false" ht="25" hidden="false" customHeight="false" outlineLevel="0" collapsed="false">
      <c r="A762" s="0" t="n">
        <v>56</v>
      </c>
      <c r="B762" s="0" t="n">
        <v>2024</v>
      </c>
      <c r="C762" s="3" t="n">
        <v>45455</v>
      </c>
      <c r="D762" s="4" t="s">
        <v>15</v>
      </c>
      <c r="E762" s="5" t="s">
        <v>25</v>
      </c>
      <c r="F762" s="5" t="s">
        <v>17</v>
      </c>
      <c r="G762" s="6"/>
      <c r="H762" s="7" t="n">
        <v>80</v>
      </c>
      <c r="I762" s="7" t="n">
        <v>84</v>
      </c>
      <c r="J762" s="7" t="n">
        <v>82</v>
      </c>
      <c r="K762" s="7" t="n">
        <v>82</v>
      </c>
      <c r="L762" s="0" t="str">
        <f aca="false">IF(H762&gt;I762,"ERRO","OK")</f>
        <v>OK</v>
      </c>
      <c r="M762" s="0" t="str">
        <f aca="false">IF(H762&gt;J762,"ERRO","OK")</f>
        <v>OK</v>
      </c>
      <c r="N762" s="0" t="str">
        <f aca="false">IF(I762&lt;J762,"ERRO","OK")</f>
        <v>OK</v>
      </c>
    </row>
    <row r="763" customFormat="false" ht="25" hidden="false" customHeight="false" outlineLevel="0" collapsed="false">
      <c r="A763" s="0" t="n">
        <v>56</v>
      </c>
      <c r="B763" s="0" t="n">
        <v>2024</v>
      </c>
      <c r="C763" s="3" t="n">
        <v>45455</v>
      </c>
      <c r="D763" s="8" t="s">
        <v>15</v>
      </c>
      <c r="E763" s="9" t="s">
        <v>77</v>
      </c>
      <c r="F763" s="9" t="s">
        <v>17</v>
      </c>
      <c r="G763" s="10"/>
      <c r="H763" s="11" t="n">
        <v>25</v>
      </c>
      <c r="I763" s="11" t="n">
        <v>30</v>
      </c>
      <c r="J763" s="11" t="s">
        <v>261</v>
      </c>
      <c r="K763" s="11" t="s">
        <v>261</v>
      </c>
      <c r="L763" s="0" t="str">
        <f aca="false">IF(H763&gt;I763,"ERRO","OK")</f>
        <v>OK</v>
      </c>
      <c r="M763" s="0" t="str">
        <f aca="false">IF(H763&gt;J763,"ERRO","OK")</f>
        <v>OK</v>
      </c>
      <c r="N763" s="0" t="str">
        <f aca="false">IF(I763&lt;J763,"ERRO","OK")</f>
        <v>ERRO</v>
      </c>
    </row>
    <row r="764" customFormat="false" ht="25" hidden="false" customHeight="false" outlineLevel="0" collapsed="false">
      <c r="A764" s="0" t="n">
        <v>56</v>
      </c>
      <c r="B764" s="0" t="n">
        <v>2024</v>
      </c>
      <c r="C764" s="3" t="n">
        <v>45455</v>
      </c>
      <c r="D764" s="4" t="s">
        <v>15</v>
      </c>
      <c r="E764" s="5" t="s">
        <v>27</v>
      </c>
      <c r="F764" s="5" t="s">
        <v>17</v>
      </c>
      <c r="G764" s="6"/>
      <c r="H764" s="7" t="n">
        <v>100</v>
      </c>
      <c r="I764" s="7" t="n">
        <v>108</v>
      </c>
      <c r="J764" s="7" t="n">
        <v>104</v>
      </c>
      <c r="K764" s="7" t="n">
        <v>104</v>
      </c>
      <c r="L764" s="0" t="str">
        <f aca="false">IF(H764&gt;I764,"ERRO","OK")</f>
        <v>OK</v>
      </c>
      <c r="M764" s="0" t="str">
        <f aca="false">IF(H764&gt;J764,"ERRO","OK")</f>
        <v>OK</v>
      </c>
      <c r="N764" s="0" t="str">
        <f aca="false">IF(I764&lt;J764,"ERRO","OK")</f>
        <v>OK</v>
      </c>
    </row>
    <row r="765" customFormat="false" ht="25" hidden="false" customHeight="false" outlineLevel="0" collapsed="false">
      <c r="A765" s="0" t="n">
        <v>56</v>
      </c>
      <c r="B765" s="0" t="n">
        <v>2024</v>
      </c>
      <c r="C765" s="3" t="n">
        <v>45455</v>
      </c>
      <c r="D765" s="8" t="s">
        <v>15</v>
      </c>
      <c r="E765" s="9" t="s">
        <v>28</v>
      </c>
      <c r="F765" s="9" t="s">
        <v>17</v>
      </c>
      <c r="G765" s="11" t="n">
        <v>30</v>
      </c>
      <c r="H765" s="11" t="n">
        <v>30</v>
      </c>
      <c r="I765" s="11" t="n">
        <v>30</v>
      </c>
      <c r="J765" s="11" t="n">
        <v>30</v>
      </c>
      <c r="K765" s="11" t="n">
        <v>30</v>
      </c>
      <c r="L765" s="0" t="str">
        <f aca="false">IF(H765&gt;I765,"ERRO","OK")</f>
        <v>OK</v>
      </c>
      <c r="M765" s="0" t="str">
        <f aca="false">IF(H765&gt;J765,"ERRO","OK")</f>
        <v>OK</v>
      </c>
      <c r="N765" s="0" t="str">
        <f aca="false">IF(I765&lt;J765,"ERRO","OK")</f>
        <v>OK</v>
      </c>
    </row>
    <row r="766" customFormat="false" ht="25" hidden="false" customHeight="false" outlineLevel="0" collapsed="false">
      <c r="A766" s="0" t="n">
        <v>56</v>
      </c>
      <c r="B766" s="0" t="n">
        <v>2024</v>
      </c>
      <c r="C766" s="3" t="n">
        <v>45455</v>
      </c>
      <c r="D766" s="4" t="s">
        <v>15</v>
      </c>
      <c r="E766" s="5" t="s">
        <v>29</v>
      </c>
      <c r="F766" s="5" t="s">
        <v>30</v>
      </c>
      <c r="G766" s="7" t="n">
        <v>72</v>
      </c>
      <c r="H766" s="7" t="n">
        <v>72</v>
      </c>
      <c r="I766" s="7" t="n">
        <v>72</v>
      </c>
      <c r="J766" s="7" t="n">
        <v>72</v>
      </c>
      <c r="K766" s="7" t="n">
        <v>72</v>
      </c>
      <c r="L766" s="0" t="str">
        <f aca="false">IF(H766&gt;I766,"ERRO","OK")</f>
        <v>OK</v>
      </c>
      <c r="M766" s="0" t="str">
        <f aca="false">IF(H766&gt;J766,"ERRO","OK")</f>
        <v>OK</v>
      </c>
      <c r="N766" s="0" t="str">
        <f aca="false">IF(I766&lt;J766,"ERRO","OK")</f>
        <v>OK</v>
      </c>
    </row>
    <row r="767" customFormat="false" ht="25" hidden="false" customHeight="false" outlineLevel="0" collapsed="false">
      <c r="A767" s="0" t="n">
        <v>56</v>
      </c>
      <c r="B767" s="0" t="n">
        <v>2024</v>
      </c>
      <c r="C767" s="3" t="n">
        <v>45455</v>
      </c>
      <c r="D767" s="8" t="s">
        <v>15</v>
      </c>
      <c r="E767" s="9" t="s">
        <v>31</v>
      </c>
      <c r="F767" s="9" t="s">
        <v>17</v>
      </c>
      <c r="G767" s="10"/>
      <c r="H767" s="11" t="n">
        <v>60</v>
      </c>
      <c r="I767" s="11" t="n">
        <v>72</v>
      </c>
      <c r="J767" s="11" t="n">
        <v>66</v>
      </c>
      <c r="K767" s="11" t="n">
        <v>66</v>
      </c>
      <c r="L767" s="0" t="str">
        <f aca="false">IF(H767&gt;I767,"ERRO","OK")</f>
        <v>OK</v>
      </c>
      <c r="M767" s="0" t="str">
        <f aca="false">IF(H767&gt;J767,"ERRO","OK")</f>
        <v>OK</v>
      </c>
      <c r="N767" s="0" t="str">
        <f aca="false">IF(I767&lt;J767,"ERRO","OK")</f>
        <v>OK</v>
      </c>
    </row>
    <row r="768" customFormat="false" ht="25" hidden="false" customHeight="false" outlineLevel="0" collapsed="false">
      <c r="A768" s="0" t="n">
        <v>56</v>
      </c>
      <c r="B768" s="0" t="n">
        <v>2024</v>
      </c>
      <c r="C768" s="3" t="n">
        <v>45455</v>
      </c>
      <c r="D768" s="4" t="s">
        <v>15</v>
      </c>
      <c r="E768" s="5" t="s">
        <v>32</v>
      </c>
      <c r="F768" s="5" t="s">
        <v>17</v>
      </c>
      <c r="G768" s="7" t="n">
        <v>96</v>
      </c>
      <c r="H768" s="7" t="n">
        <v>60</v>
      </c>
      <c r="I768" s="7" t="n">
        <v>96</v>
      </c>
      <c r="J768" s="7" t="n">
        <v>84</v>
      </c>
      <c r="K768" s="7" t="n">
        <v>96</v>
      </c>
      <c r="L768" s="0" t="str">
        <f aca="false">IF(H768&gt;I768,"ERRO","OK")</f>
        <v>OK</v>
      </c>
      <c r="M768" s="0" t="str">
        <f aca="false">IF(H768&gt;J768,"ERRO","OK")</f>
        <v>OK</v>
      </c>
      <c r="N768" s="0" t="str">
        <f aca="false">IF(I768&lt;J768,"ERRO","OK")</f>
        <v>OK</v>
      </c>
    </row>
    <row r="769" customFormat="false" ht="25" hidden="false" customHeight="false" outlineLevel="0" collapsed="false">
      <c r="A769" s="0" t="n">
        <v>56</v>
      </c>
      <c r="B769" s="0" t="n">
        <v>2024</v>
      </c>
      <c r="C769" s="3" t="n">
        <v>45455</v>
      </c>
      <c r="D769" s="8" t="s">
        <v>15</v>
      </c>
      <c r="E769" s="9" t="s">
        <v>33</v>
      </c>
      <c r="F769" s="9" t="s">
        <v>17</v>
      </c>
      <c r="G769" s="10"/>
      <c r="H769" s="11" t="n">
        <v>50</v>
      </c>
      <c r="I769" s="11" t="n">
        <v>65</v>
      </c>
      <c r="J769" s="11" t="s">
        <v>262</v>
      </c>
      <c r="K769" s="11" t="n">
        <v>60</v>
      </c>
      <c r="L769" s="0" t="str">
        <f aca="false">IF(H769&gt;I769,"ERRO","OK")</f>
        <v>OK</v>
      </c>
      <c r="M769" s="0" t="str">
        <f aca="false">IF(H769&gt;J769,"ERRO","OK")</f>
        <v>OK</v>
      </c>
      <c r="N769" s="0" t="str">
        <f aca="false">IF(I769&lt;J769,"ERRO","OK")</f>
        <v>ERRO</v>
      </c>
    </row>
    <row r="770" customFormat="false" ht="25" hidden="false" customHeight="false" outlineLevel="0" collapsed="false">
      <c r="A770" s="0" t="n">
        <v>56</v>
      </c>
      <c r="B770" s="0" t="n">
        <v>2024</v>
      </c>
      <c r="C770" s="3" t="n">
        <v>45455</v>
      </c>
      <c r="D770" s="4" t="s">
        <v>34</v>
      </c>
      <c r="E770" s="5" t="s">
        <v>35</v>
      </c>
      <c r="F770" s="5" t="s">
        <v>36</v>
      </c>
      <c r="G770" s="7" t="n">
        <v>5</v>
      </c>
      <c r="H770" s="7" t="n">
        <v>5</v>
      </c>
      <c r="I770" s="7" t="n">
        <v>5</v>
      </c>
      <c r="J770" s="7" t="n">
        <v>5</v>
      </c>
      <c r="K770" s="7" t="n">
        <v>5</v>
      </c>
      <c r="L770" s="0" t="str">
        <f aca="false">IF(H770&gt;I770,"ERRO","OK")</f>
        <v>OK</v>
      </c>
      <c r="M770" s="0" t="str">
        <f aca="false">IF(H770&gt;J770,"ERRO","OK")</f>
        <v>OK</v>
      </c>
      <c r="N770" s="0" t="str">
        <f aca="false">IF(I770&lt;J770,"ERRO","OK")</f>
        <v>OK</v>
      </c>
    </row>
    <row r="771" customFormat="false" ht="25" hidden="false" customHeight="false" outlineLevel="0" collapsed="false">
      <c r="A771" s="0" t="n">
        <v>56</v>
      </c>
      <c r="B771" s="0" t="n">
        <v>2024</v>
      </c>
      <c r="C771" s="3" t="n">
        <v>45455</v>
      </c>
      <c r="D771" s="8" t="s">
        <v>34</v>
      </c>
      <c r="E771" s="9" t="s">
        <v>38</v>
      </c>
      <c r="F771" s="9" t="s">
        <v>39</v>
      </c>
      <c r="G771" s="11" t="n">
        <v>25</v>
      </c>
      <c r="H771" s="11" t="n">
        <v>25</v>
      </c>
      <c r="I771" s="11" t="n">
        <v>25</v>
      </c>
      <c r="J771" s="11" t="n">
        <v>25</v>
      </c>
      <c r="K771" s="11" t="n">
        <v>25</v>
      </c>
      <c r="L771" s="0" t="str">
        <f aca="false">IF(H771&gt;I771,"ERRO","OK")</f>
        <v>OK</v>
      </c>
      <c r="M771" s="0" t="str">
        <f aca="false">IF(H771&gt;J771,"ERRO","OK")</f>
        <v>OK</v>
      </c>
      <c r="N771" s="0" t="str">
        <f aca="false">IF(I771&lt;J771,"ERRO","OK")</f>
        <v>OK</v>
      </c>
    </row>
    <row r="772" customFormat="false" ht="25" hidden="false" customHeight="false" outlineLevel="0" collapsed="false">
      <c r="A772" s="0" t="n">
        <v>56</v>
      </c>
      <c r="B772" s="0" t="n">
        <v>2024</v>
      </c>
      <c r="C772" s="3" t="n">
        <v>45455</v>
      </c>
      <c r="D772" s="4" t="s">
        <v>34</v>
      </c>
      <c r="E772" s="5" t="s">
        <v>40</v>
      </c>
      <c r="F772" s="5" t="s">
        <v>39</v>
      </c>
      <c r="G772" s="7" t="n">
        <v>30</v>
      </c>
      <c r="H772" s="7" t="n">
        <v>30</v>
      </c>
      <c r="I772" s="7" t="n">
        <v>30</v>
      </c>
      <c r="J772" s="7" t="n">
        <v>30</v>
      </c>
      <c r="K772" s="7" t="n">
        <v>30</v>
      </c>
      <c r="L772" s="0" t="str">
        <f aca="false">IF(H772&gt;I772,"ERRO","OK")</f>
        <v>OK</v>
      </c>
      <c r="M772" s="0" t="str">
        <f aca="false">IF(H772&gt;J772,"ERRO","OK")</f>
        <v>OK</v>
      </c>
      <c r="N772" s="0" t="str">
        <f aca="false">IF(I772&lt;J772,"ERRO","OK")</f>
        <v>OK</v>
      </c>
    </row>
    <row r="773" customFormat="false" ht="36.5" hidden="false" customHeight="false" outlineLevel="0" collapsed="false">
      <c r="A773" s="0" t="n">
        <v>56</v>
      </c>
      <c r="B773" s="0" t="n">
        <v>2024</v>
      </c>
      <c r="C773" s="3" t="n">
        <v>45455</v>
      </c>
      <c r="D773" s="8" t="s">
        <v>42</v>
      </c>
      <c r="E773" s="9" t="s">
        <v>157</v>
      </c>
      <c r="F773" s="9" t="s">
        <v>158</v>
      </c>
      <c r="G773" s="10"/>
      <c r="H773" s="11" t="n">
        <v>90</v>
      </c>
      <c r="I773" s="11" t="n">
        <v>110</v>
      </c>
      <c r="J773" s="11" t="s">
        <v>263</v>
      </c>
      <c r="K773" s="11" t="n">
        <v>95</v>
      </c>
      <c r="L773" s="0" t="str">
        <f aca="false">IF(H773&gt;I773,"ERRO","OK")</f>
        <v>OK</v>
      </c>
      <c r="M773" s="0" t="str">
        <f aca="false">IF(H773&gt;J773,"ERRO","OK")</f>
        <v>OK</v>
      </c>
      <c r="N773" s="0" t="str">
        <f aca="false">IF(I773&lt;J773,"ERRO","OK")</f>
        <v>ERRO</v>
      </c>
    </row>
    <row r="774" customFormat="false" ht="36.5" hidden="false" customHeight="false" outlineLevel="0" collapsed="false">
      <c r="A774" s="0" t="n">
        <v>56</v>
      </c>
      <c r="B774" s="0" t="n">
        <v>2024</v>
      </c>
      <c r="C774" s="3" t="n">
        <v>45455</v>
      </c>
      <c r="D774" s="4" t="s">
        <v>42</v>
      </c>
      <c r="E774" s="5" t="s">
        <v>43</v>
      </c>
      <c r="F774" s="5" t="s">
        <v>44</v>
      </c>
      <c r="G774" s="7" t="n">
        <v>90</v>
      </c>
      <c r="H774" s="7" t="n">
        <v>80</v>
      </c>
      <c r="I774" s="7" t="n">
        <v>100</v>
      </c>
      <c r="J774" s="7" t="n">
        <v>92</v>
      </c>
      <c r="K774" s="7" t="n">
        <v>90</v>
      </c>
      <c r="L774" s="0" t="str">
        <f aca="false">IF(H774&gt;I774,"ERRO","OK")</f>
        <v>OK</v>
      </c>
      <c r="M774" s="0" t="str">
        <f aca="false">IF(H774&gt;J774,"ERRO","OK")</f>
        <v>OK</v>
      </c>
      <c r="N774" s="0" t="str">
        <f aca="false">IF(I774&lt;J774,"ERRO","OK")</f>
        <v>OK</v>
      </c>
    </row>
    <row r="775" customFormat="false" ht="36.5" hidden="false" customHeight="false" outlineLevel="0" collapsed="false">
      <c r="A775" s="0" t="n">
        <v>56</v>
      </c>
      <c r="B775" s="0" t="n">
        <v>2024</v>
      </c>
      <c r="C775" s="3" t="n">
        <v>45455</v>
      </c>
      <c r="D775" s="8" t="s">
        <v>42</v>
      </c>
      <c r="E775" s="9" t="s">
        <v>46</v>
      </c>
      <c r="F775" s="9" t="s">
        <v>47</v>
      </c>
      <c r="G775" s="11" t="n">
        <v>65</v>
      </c>
      <c r="H775" s="11" t="n">
        <v>48</v>
      </c>
      <c r="I775" s="11" t="n">
        <v>70</v>
      </c>
      <c r="J775" s="11" t="n">
        <v>63</v>
      </c>
      <c r="K775" s="11" t="n">
        <v>65</v>
      </c>
      <c r="L775" s="0" t="str">
        <f aca="false">IF(H775&gt;I775,"ERRO","OK")</f>
        <v>OK</v>
      </c>
      <c r="M775" s="0" t="str">
        <f aca="false">IF(H775&gt;J775,"ERRO","OK")</f>
        <v>OK</v>
      </c>
      <c r="N775" s="0" t="str">
        <f aca="false">IF(I775&lt;J775,"ERRO","OK")</f>
        <v>OK</v>
      </c>
    </row>
    <row r="776" customFormat="false" ht="36.5" hidden="false" customHeight="false" outlineLevel="0" collapsed="false">
      <c r="A776" s="0" t="n">
        <v>56</v>
      </c>
      <c r="B776" s="0" t="n">
        <v>2024</v>
      </c>
      <c r="C776" s="3" t="n">
        <v>45455</v>
      </c>
      <c r="D776" s="4" t="s">
        <v>42</v>
      </c>
      <c r="E776" s="5" t="s">
        <v>48</v>
      </c>
      <c r="F776" s="5" t="s">
        <v>49</v>
      </c>
      <c r="G776" s="7" t="n">
        <v>40</v>
      </c>
      <c r="H776" s="7" t="n">
        <v>35</v>
      </c>
      <c r="I776" s="7" t="n">
        <v>60</v>
      </c>
      <c r="J776" s="7" t="n">
        <v>45</v>
      </c>
      <c r="K776" s="7" t="s">
        <v>51</v>
      </c>
      <c r="L776" s="0" t="str">
        <f aca="false">IF(H776&gt;I776,"ERRO","OK")</f>
        <v>OK</v>
      </c>
      <c r="M776" s="0" t="str">
        <f aca="false">IF(H776&gt;J776,"ERRO","OK")</f>
        <v>OK</v>
      </c>
      <c r="N776" s="0" t="str">
        <f aca="false">IF(I776&lt;J776,"ERRO","OK")</f>
        <v>OK</v>
      </c>
    </row>
    <row r="777" customFormat="false" ht="36.5" hidden="false" customHeight="false" outlineLevel="0" collapsed="false">
      <c r="A777" s="0" t="n">
        <v>56</v>
      </c>
      <c r="B777" s="0" t="n">
        <v>2024</v>
      </c>
      <c r="C777" s="3" t="n">
        <v>45455</v>
      </c>
      <c r="D777" s="8" t="s">
        <v>42</v>
      </c>
      <c r="E777" s="9" t="s">
        <v>52</v>
      </c>
      <c r="F777" s="9" t="s">
        <v>49</v>
      </c>
      <c r="G777" s="10"/>
      <c r="H777" s="11" t="n">
        <v>100</v>
      </c>
      <c r="I777" s="11" t="n">
        <v>115</v>
      </c>
      <c r="J777" s="11" t="s">
        <v>264</v>
      </c>
      <c r="K777" s="11" t="n">
        <v>110</v>
      </c>
      <c r="L777" s="0" t="str">
        <f aca="false">IF(H777&gt;I777,"ERRO","OK")</f>
        <v>OK</v>
      </c>
      <c r="M777" s="0" t="str">
        <f aca="false">IF(H777&gt;J777,"ERRO","OK")</f>
        <v>OK</v>
      </c>
      <c r="N777" s="0" t="str">
        <f aca="false">IF(I777&lt;J777,"ERRO","OK")</f>
        <v>ERRO</v>
      </c>
    </row>
    <row r="778" customFormat="false" ht="36.5" hidden="false" customHeight="false" outlineLevel="0" collapsed="false">
      <c r="A778" s="0" t="n">
        <v>56</v>
      </c>
      <c r="B778" s="0" t="n">
        <v>2024</v>
      </c>
      <c r="C778" s="3" t="n">
        <v>45455</v>
      </c>
      <c r="D778" s="4" t="s">
        <v>42</v>
      </c>
      <c r="E778" s="5" t="s">
        <v>53</v>
      </c>
      <c r="F778" s="5" t="s">
        <v>54</v>
      </c>
      <c r="G778" s="7" t="n">
        <v>120</v>
      </c>
      <c r="H778" s="7" t="n">
        <v>100</v>
      </c>
      <c r="I778" s="7" t="n">
        <v>120</v>
      </c>
      <c r="J778" s="7" t="n">
        <v>110</v>
      </c>
      <c r="K778" s="7" t="n">
        <v>110</v>
      </c>
      <c r="L778" s="0" t="str">
        <f aca="false">IF(H778&gt;I778,"ERRO","OK")</f>
        <v>OK</v>
      </c>
      <c r="M778" s="0" t="str">
        <f aca="false">IF(H778&gt;J778,"ERRO","OK")</f>
        <v>OK</v>
      </c>
      <c r="N778" s="0" t="str">
        <f aca="false">IF(I778&lt;J778,"ERRO","OK")</f>
        <v>OK</v>
      </c>
    </row>
    <row r="779" customFormat="false" ht="36.5" hidden="false" customHeight="false" outlineLevel="0" collapsed="false">
      <c r="A779" s="0" t="n">
        <v>56</v>
      </c>
      <c r="B779" s="0" t="n">
        <v>2024</v>
      </c>
      <c r="C779" s="3" t="n">
        <v>45455</v>
      </c>
      <c r="D779" s="8" t="s">
        <v>42</v>
      </c>
      <c r="E779" s="9" t="s">
        <v>56</v>
      </c>
      <c r="F779" s="9" t="s">
        <v>47</v>
      </c>
      <c r="G779" s="10"/>
      <c r="H779" s="11" t="n">
        <v>90</v>
      </c>
      <c r="I779" s="11" t="n">
        <v>145</v>
      </c>
      <c r="J779" s="11" t="s">
        <v>265</v>
      </c>
      <c r="K779" s="11" t="n">
        <v>125</v>
      </c>
      <c r="L779" s="0" t="str">
        <f aca="false">IF(H779&gt;I779,"ERRO","OK")</f>
        <v>OK</v>
      </c>
      <c r="M779" s="0" t="str">
        <f aca="false">IF(H779&gt;J779,"ERRO","OK")</f>
        <v>OK</v>
      </c>
      <c r="N779" s="0" t="str">
        <f aca="false">IF(I779&lt;J779,"ERRO","OK")</f>
        <v>ERRO</v>
      </c>
    </row>
    <row r="780" customFormat="false" ht="36.5" hidden="false" customHeight="false" outlineLevel="0" collapsed="false">
      <c r="A780" s="0" t="n">
        <v>56</v>
      </c>
      <c r="B780" s="0" t="n">
        <v>2024</v>
      </c>
      <c r="C780" s="3" t="n">
        <v>45455</v>
      </c>
      <c r="D780" s="4" t="s">
        <v>42</v>
      </c>
      <c r="E780" s="5" t="s">
        <v>57</v>
      </c>
      <c r="F780" s="5" t="s">
        <v>47</v>
      </c>
      <c r="G780" s="7" t="n">
        <v>80</v>
      </c>
      <c r="H780" s="7" t="n">
        <v>60</v>
      </c>
      <c r="I780" s="7" t="n">
        <v>80</v>
      </c>
      <c r="J780" s="7" t="n">
        <v>74</v>
      </c>
      <c r="K780" s="7" t="n">
        <v>75</v>
      </c>
      <c r="L780" s="0" t="str">
        <f aca="false">IF(H780&gt;I780,"ERRO","OK")</f>
        <v>OK</v>
      </c>
      <c r="M780" s="0" t="str">
        <f aca="false">IF(H780&gt;J780,"ERRO","OK")</f>
        <v>OK</v>
      </c>
      <c r="N780" s="0" t="str">
        <f aca="false">IF(I780&lt;J780,"ERRO","OK")</f>
        <v>OK</v>
      </c>
    </row>
    <row r="781" customFormat="false" ht="36.5" hidden="false" customHeight="false" outlineLevel="0" collapsed="false">
      <c r="A781" s="0" t="n">
        <v>56</v>
      </c>
      <c r="B781" s="0" t="n">
        <v>2024</v>
      </c>
      <c r="C781" s="3" t="n">
        <v>45455</v>
      </c>
      <c r="D781" s="8" t="s">
        <v>42</v>
      </c>
      <c r="E781" s="9" t="s">
        <v>58</v>
      </c>
      <c r="F781" s="9" t="s">
        <v>44</v>
      </c>
      <c r="G781" s="10"/>
      <c r="H781" s="11" t="n">
        <v>90</v>
      </c>
      <c r="I781" s="11" t="n">
        <v>130</v>
      </c>
      <c r="J781" s="11" t="n">
        <v>110</v>
      </c>
      <c r="K781" s="11" t="n">
        <v>110</v>
      </c>
      <c r="L781" s="0" t="str">
        <f aca="false">IF(H781&gt;I781,"ERRO","OK")</f>
        <v>OK</v>
      </c>
      <c r="M781" s="0" t="str">
        <f aca="false">IF(H781&gt;J781,"ERRO","OK")</f>
        <v>OK</v>
      </c>
      <c r="N781" s="0" t="str">
        <f aca="false">IF(I781&lt;J781,"ERRO","OK")</f>
        <v>OK</v>
      </c>
    </row>
    <row r="782" customFormat="false" ht="36.5" hidden="false" customHeight="false" outlineLevel="0" collapsed="false">
      <c r="A782" s="0" t="n">
        <v>56</v>
      </c>
      <c r="B782" s="0" t="n">
        <v>2024</v>
      </c>
      <c r="C782" s="3" t="n">
        <v>45455</v>
      </c>
      <c r="D782" s="4" t="s">
        <v>42</v>
      </c>
      <c r="E782" s="5" t="s">
        <v>60</v>
      </c>
      <c r="F782" s="5" t="s">
        <v>47</v>
      </c>
      <c r="G782" s="7" t="n">
        <v>70</v>
      </c>
      <c r="H782" s="7" t="n">
        <v>35</v>
      </c>
      <c r="I782" s="7" t="n">
        <v>70</v>
      </c>
      <c r="J782" s="7" t="s">
        <v>96</v>
      </c>
      <c r="K782" s="7" t="n">
        <v>55</v>
      </c>
      <c r="L782" s="0" t="str">
        <f aca="false">IF(H782&gt;I782,"ERRO","OK")</f>
        <v>OK</v>
      </c>
      <c r="M782" s="0" t="str">
        <f aca="false">IF(H782&gt;J782,"ERRO","OK")</f>
        <v>OK</v>
      </c>
      <c r="N782" s="0" t="str">
        <f aca="false">IF(I782&lt;J782,"ERRO","OK")</f>
        <v>ERRO</v>
      </c>
    </row>
    <row r="783" customFormat="false" ht="36.5" hidden="false" customHeight="false" outlineLevel="0" collapsed="false">
      <c r="A783" s="0" t="n">
        <v>56</v>
      </c>
      <c r="B783" s="0" t="n">
        <v>2024</v>
      </c>
      <c r="C783" s="3" t="n">
        <v>45455</v>
      </c>
      <c r="D783" s="8" t="s">
        <v>42</v>
      </c>
      <c r="E783" s="9" t="s">
        <v>61</v>
      </c>
      <c r="F783" s="9" t="s">
        <v>44</v>
      </c>
      <c r="G783" s="10"/>
      <c r="H783" s="11" t="n">
        <v>70</v>
      </c>
      <c r="I783" s="11" t="n">
        <v>90</v>
      </c>
      <c r="J783" s="11" t="s">
        <v>266</v>
      </c>
      <c r="K783" s="11" t="n">
        <v>75</v>
      </c>
      <c r="L783" s="0" t="str">
        <f aca="false">IF(H783&gt;I783,"ERRO","OK")</f>
        <v>OK</v>
      </c>
      <c r="M783" s="0" t="str">
        <f aca="false">IF(H783&gt;J783,"ERRO","OK")</f>
        <v>OK</v>
      </c>
      <c r="N783" s="0" t="str">
        <f aca="false">IF(I783&lt;J783,"ERRO","OK")</f>
        <v>ERRO</v>
      </c>
    </row>
    <row r="784" customFormat="false" ht="36.5" hidden="false" customHeight="false" outlineLevel="0" collapsed="false">
      <c r="A784" s="0" t="n">
        <v>56</v>
      </c>
      <c r="B784" s="0" t="n">
        <v>2024</v>
      </c>
      <c r="C784" s="3" t="n">
        <v>45455</v>
      </c>
      <c r="D784" s="4" t="s">
        <v>42</v>
      </c>
      <c r="E784" s="5" t="s">
        <v>62</v>
      </c>
      <c r="F784" s="5" t="s">
        <v>44</v>
      </c>
      <c r="G784" s="7" t="n">
        <v>110</v>
      </c>
      <c r="H784" s="7" t="n">
        <v>90</v>
      </c>
      <c r="I784" s="7" t="n">
        <v>130</v>
      </c>
      <c r="J784" s="7" t="s">
        <v>267</v>
      </c>
      <c r="K784" s="7" t="n">
        <v>105</v>
      </c>
      <c r="L784" s="0" t="str">
        <f aca="false">IF(H784&gt;I784,"ERRO","OK")</f>
        <v>OK</v>
      </c>
      <c r="M784" s="0" t="str">
        <f aca="false">IF(H784&gt;J784,"ERRO","OK")</f>
        <v>OK</v>
      </c>
      <c r="N784" s="0" t="str">
        <f aca="false">IF(I784&lt;J784,"ERRO","OK")</f>
        <v>ERRO</v>
      </c>
    </row>
    <row r="785" customFormat="false" ht="36.5" hidden="false" customHeight="false" outlineLevel="0" collapsed="false">
      <c r="A785" s="0" t="n">
        <v>56</v>
      </c>
      <c r="B785" s="0" t="n">
        <v>2024</v>
      </c>
      <c r="C785" s="3" t="n">
        <v>45455</v>
      </c>
      <c r="D785" s="8" t="s">
        <v>42</v>
      </c>
      <c r="E785" s="9" t="s">
        <v>63</v>
      </c>
      <c r="F785" s="9" t="s">
        <v>49</v>
      </c>
      <c r="G785" s="11" t="n">
        <v>60</v>
      </c>
      <c r="H785" s="11" t="n">
        <v>45</v>
      </c>
      <c r="I785" s="11" t="n">
        <v>60</v>
      </c>
      <c r="J785" s="11" t="n">
        <v>54</v>
      </c>
      <c r="K785" s="11" t="n">
        <v>55</v>
      </c>
      <c r="L785" s="0" t="str">
        <f aca="false">IF(H785&gt;I785,"ERRO","OK")</f>
        <v>OK</v>
      </c>
      <c r="M785" s="0" t="str">
        <f aca="false">IF(H785&gt;J785,"ERRO","OK")</f>
        <v>OK</v>
      </c>
      <c r="N785" s="0" t="str">
        <f aca="false">IF(I785&lt;J785,"ERRO","OK")</f>
        <v>OK</v>
      </c>
    </row>
    <row r="786" customFormat="false" ht="36.5" hidden="false" customHeight="false" outlineLevel="0" collapsed="false">
      <c r="A786" s="0" t="n">
        <v>56</v>
      </c>
      <c r="B786" s="0" t="n">
        <v>2024</v>
      </c>
      <c r="C786" s="3" t="n">
        <v>45455</v>
      </c>
      <c r="D786" s="4" t="s">
        <v>42</v>
      </c>
      <c r="E786" s="5" t="s">
        <v>64</v>
      </c>
      <c r="F786" s="5" t="s">
        <v>65</v>
      </c>
      <c r="G786" s="7" t="n">
        <v>200</v>
      </c>
      <c r="H786" s="7" t="n">
        <v>100</v>
      </c>
      <c r="I786" s="7" t="n">
        <v>200</v>
      </c>
      <c r="J786" s="7" t="n">
        <v>160</v>
      </c>
      <c r="K786" s="7" t="n">
        <v>160</v>
      </c>
      <c r="L786" s="0" t="str">
        <f aca="false">IF(H786&gt;I786,"ERRO","OK")</f>
        <v>OK</v>
      </c>
      <c r="M786" s="0" t="str">
        <f aca="false">IF(H786&gt;J786,"ERRO","OK")</f>
        <v>OK</v>
      </c>
      <c r="N786" s="0" t="str">
        <f aca="false">IF(I786&lt;J786,"ERRO","OK")</f>
        <v>OK</v>
      </c>
    </row>
    <row r="787" customFormat="false" ht="36.5" hidden="false" customHeight="false" outlineLevel="0" collapsed="false">
      <c r="A787" s="0" t="n">
        <v>56</v>
      </c>
      <c r="B787" s="0" t="n">
        <v>2024</v>
      </c>
      <c r="C787" s="3" t="n">
        <v>45455</v>
      </c>
      <c r="D787" s="8" t="s">
        <v>42</v>
      </c>
      <c r="E787" s="9" t="s">
        <v>67</v>
      </c>
      <c r="F787" s="9" t="s">
        <v>44</v>
      </c>
      <c r="G787" s="11" t="n">
        <v>180</v>
      </c>
      <c r="H787" s="11" t="n">
        <v>120</v>
      </c>
      <c r="I787" s="11" t="n">
        <v>180</v>
      </c>
      <c r="J787" s="11" t="n">
        <v>158</v>
      </c>
      <c r="K787" s="11" t="n">
        <v>160</v>
      </c>
      <c r="L787" s="0" t="str">
        <f aca="false">IF(H787&gt;I787,"ERRO","OK")</f>
        <v>OK</v>
      </c>
      <c r="M787" s="0" t="str">
        <f aca="false">IF(H787&gt;J787,"ERRO","OK")</f>
        <v>OK</v>
      </c>
      <c r="N787" s="0" t="str">
        <f aca="false">IF(I787&lt;J787,"ERRO","OK")</f>
        <v>OK</v>
      </c>
    </row>
    <row r="788" customFormat="false" ht="36.5" hidden="false" customHeight="false" outlineLevel="0" collapsed="false">
      <c r="A788" s="0" t="n">
        <v>56</v>
      </c>
      <c r="B788" s="0" t="n">
        <v>2024</v>
      </c>
      <c r="C788" s="3" t="n">
        <v>45455</v>
      </c>
      <c r="D788" s="4" t="s">
        <v>42</v>
      </c>
      <c r="E788" s="5" t="s">
        <v>68</v>
      </c>
      <c r="F788" s="5" t="s">
        <v>44</v>
      </c>
      <c r="G788" s="6"/>
      <c r="H788" s="7" t="n">
        <v>200</v>
      </c>
      <c r="I788" s="7" t="n">
        <v>250</v>
      </c>
      <c r="J788" s="7" t="s">
        <v>268</v>
      </c>
      <c r="K788" s="7" t="n">
        <v>220</v>
      </c>
      <c r="L788" s="0" t="str">
        <f aca="false">IF(H788&gt;I788,"ERRO","OK")</f>
        <v>OK</v>
      </c>
      <c r="M788" s="0" t="str">
        <f aca="false">IF(H788&gt;J788,"ERRO","OK")</f>
        <v>OK</v>
      </c>
      <c r="N788" s="0" t="str">
        <f aca="false">IF(I788&lt;J788,"ERRO","OK")</f>
        <v>ERRO</v>
      </c>
    </row>
    <row r="789" customFormat="false" ht="14.25" hidden="false" customHeight="false" outlineLevel="0" collapsed="false">
      <c r="A789" s="0" t="n">
        <v>56</v>
      </c>
      <c r="B789" s="0" t="n">
        <v>2024</v>
      </c>
      <c r="C789" s="3" t="n">
        <v>45455</v>
      </c>
      <c r="D789" s="8" t="s">
        <v>69</v>
      </c>
      <c r="E789" s="9" t="s">
        <v>70</v>
      </c>
      <c r="F789" s="9" t="s">
        <v>49</v>
      </c>
      <c r="G789" s="10"/>
      <c r="H789" s="11" t="n">
        <v>110</v>
      </c>
      <c r="I789" s="11" t="n">
        <v>110</v>
      </c>
      <c r="J789" s="11" t="n">
        <v>110</v>
      </c>
      <c r="K789" s="11" t="n">
        <v>110</v>
      </c>
      <c r="L789" s="0" t="str">
        <f aca="false">IF(H789&gt;I789,"ERRO","OK")</f>
        <v>OK</v>
      </c>
      <c r="M789" s="0" t="str">
        <f aca="false">IF(H789&gt;J789,"ERRO","OK")</f>
        <v>OK</v>
      </c>
      <c r="N789" s="0" t="str">
        <f aca="false">IF(I789&lt;J789,"ERRO","OK")</f>
        <v>OK</v>
      </c>
    </row>
    <row r="790" customFormat="false" ht="14.25" hidden="false" customHeight="false" outlineLevel="0" collapsed="false">
      <c r="A790" s="0" t="n">
        <v>56</v>
      </c>
      <c r="B790" s="0" t="n">
        <v>2024</v>
      </c>
      <c r="C790" s="3" t="n">
        <v>45455</v>
      </c>
      <c r="D790" s="4" t="s">
        <v>69</v>
      </c>
      <c r="E790" s="5" t="s">
        <v>71</v>
      </c>
      <c r="F790" s="5" t="s">
        <v>49</v>
      </c>
      <c r="G790" s="6"/>
      <c r="H790" s="7" t="n">
        <v>110</v>
      </c>
      <c r="I790" s="7" t="n">
        <v>110</v>
      </c>
      <c r="J790" s="7" t="n">
        <v>110</v>
      </c>
      <c r="K790" s="7" t="n">
        <v>110</v>
      </c>
      <c r="L790" s="0" t="str">
        <f aca="false">IF(H790&gt;I790,"ERRO","OK")</f>
        <v>OK</v>
      </c>
      <c r="M790" s="0" t="str">
        <f aca="false">IF(H790&gt;J790,"ERRO","OK")</f>
        <v>OK</v>
      </c>
      <c r="N790" s="0" t="str">
        <f aca="false">IF(I790&lt;J790,"ERRO","OK")</f>
        <v>OK</v>
      </c>
    </row>
    <row r="791" customFormat="false" ht="14.25" hidden="false" customHeight="false" outlineLevel="0" collapsed="false">
      <c r="A791" s="0" t="n">
        <v>56</v>
      </c>
      <c r="B791" s="0" t="n">
        <v>2024</v>
      </c>
      <c r="C791" s="3" t="n">
        <v>45455</v>
      </c>
      <c r="D791" s="8" t="s">
        <v>69</v>
      </c>
      <c r="E791" s="9" t="s">
        <v>72</v>
      </c>
      <c r="F791" s="9" t="s">
        <v>49</v>
      </c>
      <c r="G791" s="10"/>
      <c r="H791" s="10"/>
      <c r="I791" s="10"/>
      <c r="J791" s="10"/>
      <c r="K791" s="10"/>
      <c r="L791" s="0" t="str">
        <f aca="false">IF(H791&gt;I791,"ERRO","OK")</f>
        <v>OK</v>
      </c>
      <c r="M791" s="0" t="str">
        <f aca="false">IF(H791&gt;J791,"ERRO","OK")</f>
        <v>OK</v>
      </c>
      <c r="N791" s="0" t="str">
        <f aca="false">IF(I791&lt;J791,"ERRO","OK")</f>
        <v>OK</v>
      </c>
    </row>
    <row r="792" customFormat="false" ht="14.25" hidden="false" customHeight="false" outlineLevel="0" collapsed="false">
      <c r="A792" s="0" t="n">
        <v>56</v>
      </c>
      <c r="B792" s="0" t="n">
        <v>2024</v>
      </c>
      <c r="C792" s="3" t="n">
        <v>45455</v>
      </c>
      <c r="D792" s="4" t="s">
        <v>69</v>
      </c>
      <c r="E792" s="5" t="s">
        <v>73</v>
      </c>
      <c r="F792" s="5" t="s">
        <v>49</v>
      </c>
      <c r="G792" s="6"/>
      <c r="H792" s="7" t="n">
        <v>48</v>
      </c>
      <c r="I792" s="7" t="n">
        <v>48</v>
      </c>
      <c r="J792" s="7" t="n">
        <v>48</v>
      </c>
      <c r="K792" s="7" t="n">
        <v>48</v>
      </c>
      <c r="L792" s="0" t="str">
        <f aca="false">IF(H792&gt;I792,"ERRO","OK")</f>
        <v>OK</v>
      </c>
      <c r="M792" s="0" t="str">
        <f aca="false">IF(H792&gt;J792,"ERRO","OK")</f>
        <v>OK</v>
      </c>
      <c r="N792" s="0" t="str">
        <f aca="false">IF(I792&lt;J792,"ERRO","OK")</f>
        <v>OK</v>
      </c>
    </row>
    <row r="793" customFormat="false" ht="14.25" hidden="false" customHeight="false" outlineLevel="0" collapsed="false">
      <c r="A793" s="0" t="n">
        <v>56</v>
      </c>
      <c r="B793" s="0" t="n">
        <v>2024</v>
      </c>
      <c r="C793" s="3" t="n">
        <v>45455</v>
      </c>
      <c r="D793" s="8" t="s">
        <v>69</v>
      </c>
      <c r="E793" s="9" t="s">
        <v>74</v>
      </c>
      <c r="F793" s="9" t="s">
        <v>75</v>
      </c>
      <c r="G793" s="10"/>
      <c r="H793" s="11" t="n">
        <v>65</v>
      </c>
      <c r="I793" s="11" t="n">
        <v>65</v>
      </c>
      <c r="J793" s="11" t="n">
        <v>65</v>
      </c>
      <c r="K793" s="11" t="n">
        <v>65</v>
      </c>
      <c r="L793" s="0" t="str">
        <f aca="false">IF(H793&gt;I793,"ERRO","OK")</f>
        <v>OK</v>
      </c>
      <c r="M793" s="0" t="str">
        <f aca="false">IF(H793&gt;J793,"ERRO","OK")</f>
        <v>OK</v>
      </c>
      <c r="N793" s="0" t="str">
        <f aca="false">IF(I793&lt;J793,"ERRO","OK")</f>
        <v>OK</v>
      </c>
    </row>
    <row r="794" customFormat="false" ht="25" hidden="false" customHeight="false" outlineLevel="0" collapsed="false">
      <c r="A794" s="0" t="n">
        <v>57</v>
      </c>
      <c r="B794" s="0" t="n">
        <v>2024</v>
      </c>
      <c r="C794" s="3" t="n">
        <v>45462</v>
      </c>
      <c r="D794" s="4" t="s">
        <v>15</v>
      </c>
      <c r="E794" s="5" t="s">
        <v>16</v>
      </c>
      <c r="F794" s="5" t="s">
        <v>17</v>
      </c>
      <c r="G794" s="6"/>
      <c r="H794" s="7" t="n">
        <v>48</v>
      </c>
      <c r="I794" s="7" t="n">
        <v>60</v>
      </c>
      <c r="J794" s="7" t="n">
        <v>54</v>
      </c>
      <c r="K794" s="7" t="n">
        <v>54</v>
      </c>
      <c r="L794" s="0" t="str">
        <f aca="false">IF(H794&gt;I794,"ERRO","OK")</f>
        <v>OK</v>
      </c>
      <c r="M794" s="0" t="str">
        <f aca="false">IF(H794&gt;J794,"ERRO","OK")</f>
        <v>OK</v>
      </c>
      <c r="N794" s="0" t="str">
        <f aca="false">IF(I794&lt;J794,"ERRO","OK")</f>
        <v>OK</v>
      </c>
    </row>
    <row r="795" customFormat="false" ht="25" hidden="false" customHeight="false" outlineLevel="0" collapsed="false">
      <c r="A795" s="0" t="n">
        <v>57</v>
      </c>
      <c r="B795" s="0" t="n">
        <v>2024</v>
      </c>
      <c r="C795" s="3" t="n">
        <v>45462</v>
      </c>
      <c r="D795" s="8" t="s">
        <v>15</v>
      </c>
      <c r="E795" s="9" t="s">
        <v>18</v>
      </c>
      <c r="F795" s="9" t="s">
        <v>17</v>
      </c>
      <c r="G795" s="11" t="n">
        <v>84</v>
      </c>
      <c r="H795" s="11" t="n">
        <v>84</v>
      </c>
      <c r="I795" s="11" t="n">
        <v>84</v>
      </c>
      <c r="J795" s="11" t="n">
        <v>84</v>
      </c>
      <c r="K795" s="11" t="n">
        <v>84</v>
      </c>
      <c r="L795" s="0" t="str">
        <f aca="false">IF(H795&gt;I795,"ERRO","OK")</f>
        <v>OK</v>
      </c>
      <c r="M795" s="0" t="str">
        <f aca="false">IF(H795&gt;J795,"ERRO","OK")</f>
        <v>OK</v>
      </c>
      <c r="N795" s="0" t="str">
        <f aca="false">IF(I795&lt;J795,"ERRO","OK")</f>
        <v>OK</v>
      </c>
    </row>
    <row r="796" customFormat="false" ht="25" hidden="false" customHeight="false" outlineLevel="0" collapsed="false">
      <c r="A796" s="0" t="n">
        <v>57</v>
      </c>
      <c r="B796" s="0" t="n">
        <v>2024</v>
      </c>
      <c r="C796" s="3" t="n">
        <v>45462</v>
      </c>
      <c r="D796" s="4" t="s">
        <v>15</v>
      </c>
      <c r="E796" s="5" t="s">
        <v>19</v>
      </c>
      <c r="F796" s="5" t="s">
        <v>17</v>
      </c>
      <c r="G796" s="6"/>
      <c r="H796" s="7" t="n">
        <v>36</v>
      </c>
      <c r="I796" s="7" t="n">
        <v>42</v>
      </c>
      <c r="J796" s="7" t="n">
        <v>39</v>
      </c>
      <c r="K796" s="7" t="n">
        <v>39</v>
      </c>
      <c r="L796" s="0" t="str">
        <f aca="false">IF(H796&gt;I796,"ERRO","OK")</f>
        <v>OK</v>
      </c>
      <c r="M796" s="0" t="str">
        <f aca="false">IF(H796&gt;J796,"ERRO","OK")</f>
        <v>OK</v>
      </c>
      <c r="N796" s="0" t="str">
        <f aca="false">IF(I796&lt;J796,"ERRO","OK")</f>
        <v>OK</v>
      </c>
    </row>
    <row r="797" customFormat="false" ht="25" hidden="false" customHeight="false" outlineLevel="0" collapsed="false">
      <c r="A797" s="0" t="n">
        <v>57</v>
      </c>
      <c r="B797" s="0" t="n">
        <v>2024</v>
      </c>
      <c r="C797" s="3" t="n">
        <v>45462</v>
      </c>
      <c r="D797" s="8" t="s">
        <v>15</v>
      </c>
      <c r="E797" s="9" t="s">
        <v>20</v>
      </c>
      <c r="F797" s="9" t="s">
        <v>17</v>
      </c>
      <c r="G797" s="10"/>
      <c r="H797" s="11" t="n">
        <v>20</v>
      </c>
      <c r="I797" s="11" t="n">
        <v>24</v>
      </c>
      <c r="J797" s="11" t="n">
        <v>22</v>
      </c>
      <c r="K797" s="11" t="n">
        <v>22</v>
      </c>
      <c r="L797" s="0" t="str">
        <f aca="false">IF(H797&gt;I797,"ERRO","OK")</f>
        <v>OK</v>
      </c>
      <c r="M797" s="0" t="str">
        <f aca="false">IF(H797&gt;J797,"ERRO","OK")</f>
        <v>OK</v>
      </c>
      <c r="N797" s="0" t="str">
        <f aca="false">IF(I797&lt;J797,"ERRO","OK")</f>
        <v>OK</v>
      </c>
    </row>
    <row r="798" customFormat="false" ht="25" hidden="false" customHeight="false" outlineLevel="0" collapsed="false">
      <c r="A798" s="0" t="n">
        <v>57</v>
      </c>
      <c r="B798" s="0" t="n">
        <v>2024</v>
      </c>
      <c r="C798" s="3" t="n">
        <v>45462</v>
      </c>
      <c r="D798" s="4" t="s">
        <v>15</v>
      </c>
      <c r="E798" s="5" t="s">
        <v>21</v>
      </c>
      <c r="F798" s="5" t="s">
        <v>17</v>
      </c>
      <c r="G798" s="6"/>
      <c r="H798" s="7" t="n">
        <v>20</v>
      </c>
      <c r="I798" s="7" t="n">
        <v>24</v>
      </c>
      <c r="J798" s="7" t="n">
        <v>22</v>
      </c>
      <c r="K798" s="7" t="n">
        <v>22</v>
      </c>
      <c r="L798" s="0" t="str">
        <f aca="false">IF(H798&gt;I798,"ERRO","OK")</f>
        <v>OK</v>
      </c>
      <c r="M798" s="0" t="str">
        <f aca="false">IF(H798&gt;J798,"ERRO","OK")</f>
        <v>OK</v>
      </c>
      <c r="N798" s="0" t="str">
        <f aca="false">IF(I798&lt;J798,"ERRO","OK")</f>
        <v>OK</v>
      </c>
    </row>
    <row r="799" customFormat="false" ht="25" hidden="false" customHeight="false" outlineLevel="0" collapsed="false">
      <c r="A799" s="0" t="n">
        <v>57</v>
      </c>
      <c r="B799" s="0" t="n">
        <v>2024</v>
      </c>
      <c r="C799" s="3" t="n">
        <v>45462</v>
      </c>
      <c r="D799" s="8" t="s">
        <v>15</v>
      </c>
      <c r="E799" s="9" t="s">
        <v>22</v>
      </c>
      <c r="F799" s="9" t="s">
        <v>17</v>
      </c>
      <c r="G799" s="11" t="n">
        <v>60</v>
      </c>
      <c r="H799" s="11" t="n">
        <v>60</v>
      </c>
      <c r="I799" s="11" t="n">
        <v>60</v>
      </c>
      <c r="J799" s="11" t="n">
        <v>60</v>
      </c>
      <c r="K799" s="11" t="n">
        <v>60</v>
      </c>
      <c r="L799" s="0" t="str">
        <f aca="false">IF(H799&gt;I799,"ERRO","OK")</f>
        <v>OK</v>
      </c>
      <c r="M799" s="0" t="str">
        <f aca="false">IF(H799&gt;J799,"ERRO","OK")</f>
        <v>OK</v>
      </c>
      <c r="N799" s="0" t="str">
        <f aca="false">IF(I799&lt;J799,"ERRO","OK")</f>
        <v>OK</v>
      </c>
    </row>
    <row r="800" customFormat="false" ht="25" hidden="false" customHeight="false" outlineLevel="0" collapsed="false">
      <c r="A800" s="0" t="n">
        <v>57</v>
      </c>
      <c r="B800" s="0" t="n">
        <v>2024</v>
      </c>
      <c r="C800" s="3" t="n">
        <v>45462</v>
      </c>
      <c r="D800" s="4" t="s">
        <v>15</v>
      </c>
      <c r="E800" s="5" t="s">
        <v>23</v>
      </c>
      <c r="F800" s="5" t="s">
        <v>17</v>
      </c>
      <c r="G800" s="6"/>
      <c r="H800" s="7" t="n">
        <v>90</v>
      </c>
      <c r="I800" s="7" t="n">
        <v>96</v>
      </c>
      <c r="J800" s="7" t="n">
        <v>93</v>
      </c>
      <c r="K800" s="7" t="n">
        <v>93</v>
      </c>
      <c r="L800" s="0" t="str">
        <f aca="false">IF(H800&gt;I800,"ERRO","OK")</f>
        <v>OK</v>
      </c>
      <c r="M800" s="0" t="str">
        <f aca="false">IF(H800&gt;J800,"ERRO","OK")</f>
        <v>OK</v>
      </c>
      <c r="N800" s="0" t="str">
        <f aca="false">IF(I800&lt;J800,"ERRO","OK")</f>
        <v>OK</v>
      </c>
    </row>
    <row r="801" customFormat="false" ht="25" hidden="false" customHeight="false" outlineLevel="0" collapsed="false">
      <c r="A801" s="0" t="n">
        <v>57</v>
      </c>
      <c r="B801" s="0" t="n">
        <v>2024</v>
      </c>
      <c r="C801" s="3" t="n">
        <v>45462</v>
      </c>
      <c r="D801" s="8" t="s">
        <v>15</v>
      </c>
      <c r="E801" s="9" t="s">
        <v>24</v>
      </c>
      <c r="F801" s="9" t="s">
        <v>17</v>
      </c>
      <c r="G801" s="11" t="n">
        <v>84</v>
      </c>
      <c r="H801" s="11" t="n">
        <v>84</v>
      </c>
      <c r="I801" s="11" t="n">
        <v>84</v>
      </c>
      <c r="J801" s="11" t="n">
        <v>84</v>
      </c>
      <c r="K801" s="11" t="n">
        <v>84</v>
      </c>
      <c r="L801" s="0" t="str">
        <f aca="false">IF(H801&gt;I801,"ERRO","OK")</f>
        <v>OK</v>
      </c>
      <c r="M801" s="0" t="str">
        <f aca="false">IF(H801&gt;J801,"ERRO","OK")</f>
        <v>OK</v>
      </c>
      <c r="N801" s="0" t="str">
        <f aca="false">IF(I801&lt;J801,"ERRO","OK")</f>
        <v>OK</v>
      </c>
    </row>
    <row r="802" customFormat="false" ht="25" hidden="false" customHeight="false" outlineLevel="0" collapsed="false">
      <c r="A802" s="0" t="n">
        <v>57</v>
      </c>
      <c r="B802" s="0" t="n">
        <v>2024</v>
      </c>
      <c r="C802" s="3" t="n">
        <v>45462</v>
      </c>
      <c r="D802" s="4" t="s">
        <v>15</v>
      </c>
      <c r="E802" s="5" t="s">
        <v>25</v>
      </c>
      <c r="F802" s="5" t="s">
        <v>17</v>
      </c>
      <c r="G802" s="6"/>
      <c r="H802" s="7" t="n">
        <v>24</v>
      </c>
      <c r="I802" s="7" t="n">
        <v>30</v>
      </c>
      <c r="J802" s="7" t="n">
        <v>27</v>
      </c>
      <c r="K802" s="7" t="n">
        <v>27</v>
      </c>
      <c r="L802" s="0" t="str">
        <f aca="false">IF(H802&gt;I802,"ERRO","OK")</f>
        <v>OK</v>
      </c>
      <c r="M802" s="0" t="str">
        <f aca="false">IF(H802&gt;J802,"ERRO","OK")</f>
        <v>OK</v>
      </c>
      <c r="N802" s="0" t="str">
        <f aca="false">IF(I802&lt;J802,"ERRO","OK")</f>
        <v>OK</v>
      </c>
    </row>
    <row r="803" customFormat="false" ht="25" hidden="false" customHeight="false" outlineLevel="0" collapsed="false">
      <c r="A803" s="0" t="n">
        <v>57</v>
      </c>
      <c r="B803" s="0" t="n">
        <v>2024</v>
      </c>
      <c r="C803" s="3" t="n">
        <v>45462</v>
      </c>
      <c r="D803" s="8" t="s">
        <v>15</v>
      </c>
      <c r="E803" s="9" t="s">
        <v>77</v>
      </c>
      <c r="F803" s="9" t="s">
        <v>17</v>
      </c>
      <c r="G803" s="10"/>
      <c r="H803" s="11" t="n">
        <v>96</v>
      </c>
      <c r="I803" s="11" t="n">
        <v>108</v>
      </c>
      <c r="J803" s="11" t="n">
        <v>102</v>
      </c>
      <c r="K803" s="11" t="n">
        <v>102</v>
      </c>
      <c r="L803" s="0" t="str">
        <f aca="false">IF(H803&gt;I803,"ERRO","OK")</f>
        <v>OK</v>
      </c>
      <c r="M803" s="0" t="str">
        <f aca="false">IF(H803&gt;J803,"ERRO","OK")</f>
        <v>OK</v>
      </c>
      <c r="N803" s="0" t="str">
        <f aca="false">IF(I803&lt;J803,"ERRO","OK")</f>
        <v>OK</v>
      </c>
    </row>
    <row r="804" customFormat="false" ht="25" hidden="false" customHeight="false" outlineLevel="0" collapsed="false">
      <c r="A804" s="0" t="n">
        <v>57</v>
      </c>
      <c r="B804" s="0" t="n">
        <v>2024</v>
      </c>
      <c r="C804" s="3" t="n">
        <v>45462</v>
      </c>
      <c r="D804" s="4" t="s">
        <v>15</v>
      </c>
      <c r="E804" s="5" t="s">
        <v>27</v>
      </c>
      <c r="F804" s="5" t="s">
        <v>17</v>
      </c>
      <c r="G804" s="6"/>
      <c r="H804" s="7" t="n">
        <v>20</v>
      </c>
      <c r="I804" s="7" t="n">
        <v>24</v>
      </c>
      <c r="J804" s="7" t="n">
        <v>22</v>
      </c>
      <c r="K804" s="7" t="n">
        <v>22</v>
      </c>
      <c r="L804" s="0" t="str">
        <f aca="false">IF(H804&gt;I804,"ERRO","OK")</f>
        <v>OK</v>
      </c>
      <c r="M804" s="0" t="str">
        <f aca="false">IF(H804&gt;J804,"ERRO","OK")</f>
        <v>OK</v>
      </c>
      <c r="N804" s="0" t="str">
        <f aca="false">IF(I804&lt;J804,"ERRO","OK")</f>
        <v>OK</v>
      </c>
    </row>
    <row r="805" customFormat="false" ht="25" hidden="false" customHeight="false" outlineLevel="0" collapsed="false">
      <c r="A805" s="0" t="n">
        <v>57</v>
      </c>
      <c r="B805" s="0" t="n">
        <v>2024</v>
      </c>
      <c r="C805" s="3" t="n">
        <v>45462</v>
      </c>
      <c r="D805" s="8" t="s">
        <v>15</v>
      </c>
      <c r="E805" s="9" t="s">
        <v>28</v>
      </c>
      <c r="F805" s="9" t="s">
        <v>17</v>
      </c>
      <c r="G805" s="10"/>
      <c r="H805" s="11" t="n">
        <v>72</v>
      </c>
      <c r="I805" s="11" t="n">
        <v>78</v>
      </c>
      <c r="J805" s="11" t="n">
        <v>75</v>
      </c>
      <c r="K805" s="11" t="n">
        <v>75</v>
      </c>
      <c r="L805" s="0" t="str">
        <f aca="false">IF(H805&gt;I805,"ERRO","OK")</f>
        <v>OK</v>
      </c>
      <c r="M805" s="0" t="str">
        <f aca="false">IF(H805&gt;J805,"ERRO","OK")</f>
        <v>OK</v>
      </c>
      <c r="N805" s="0" t="str">
        <f aca="false">IF(I805&lt;J805,"ERRO","OK")</f>
        <v>OK</v>
      </c>
    </row>
    <row r="806" customFormat="false" ht="25" hidden="false" customHeight="false" outlineLevel="0" collapsed="false">
      <c r="A806" s="0" t="n">
        <v>57</v>
      </c>
      <c r="B806" s="0" t="n">
        <v>2024</v>
      </c>
      <c r="C806" s="3" t="n">
        <v>45462</v>
      </c>
      <c r="D806" s="4" t="s">
        <v>15</v>
      </c>
      <c r="E806" s="5" t="s">
        <v>29</v>
      </c>
      <c r="F806" s="5" t="s">
        <v>30</v>
      </c>
      <c r="G806" s="7" t="n">
        <v>60</v>
      </c>
      <c r="H806" s="7" t="n">
        <v>60</v>
      </c>
      <c r="I806" s="7" t="n">
        <v>60</v>
      </c>
      <c r="J806" s="7" t="n">
        <v>60</v>
      </c>
      <c r="K806" s="7" t="n">
        <v>60</v>
      </c>
      <c r="L806" s="0" t="str">
        <f aca="false">IF(H806&gt;I806,"ERRO","OK")</f>
        <v>OK</v>
      </c>
      <c r="M806" s="0" t="str">
        <f aca="false">IF(H806&gt;J806,"ERRO","OK")</f>
        <v>OK</v>
      </c>
      <c r="N806" s="0" t="str">
        <f aca="false">IF(I806&lt;J806,"ERRO","OK")</f>
        <v>OK</v>
      </c>
    </row>
    <row r="807" customFormat="false" ht="25" hidden="false" customHeight="false" outlineLevel="0" collapsed="false">
      <c r="A807" s="0" t="n">
        <v>57</v>
      </c>
      <c r="B807" s="0" t="n">
        <v>2024</v>
      </c>
      <c r="C807" s="3" t="n">
        <v>45462</v>
      </c>
      <c r="D807" s="8" t="s">
        <v>15</v>
      </c>
      <c r="E807" s="9" t="s">
        <v>31</v>
      </c>
      <c r="F807" s="9" t="s">
        <v>17</v>
      </c>
      <c r="G807" s="10"/>
      <c r="H807" s="11" t="n">
        <v>66</v>
      </c>
      <c r="I807" s="11" t="n">
        <v>72</v>
      </c>
      <c r="J807" s="11" t="n">
        <v>69</v>
      </c>
      <c r="K807" s="11" t="n">
        <v>69</v>
      </c>
      <c r="L807" s="0" t="str">
        <f aca="false">IF(H807&gt;I807,"ERRO","OK")</f>
        <v>OK</v>
      </c>
      <c r="M807" s="0" t="str">
        <f aca="false">IF(H807&gt;J807,"ERRO","OK")</f>
        <v>OK</v>
      </c>
      <c r="N807" s="0" t="str">
        <f aca="false">IF(I807&lt;J807,"ERRO","OK")</f>
        <v>OK</v>
      </c>
    </row>
    <row r="808" customFormat="false" ht="25" hidden="false" customHeight="false" outlineLevel="0" collapsed="false">
      <c r="A808" s="0" t="n">
        <v>57</v>
      </c>
      <c r="B808" s="0" t="n">
        <v>2024</v>
      </c>
      <c r="C808" s="3" t="n">
        <v>45462</v>
      </c>
      <c r="D808" s="4" t="s">
        <v>15</v>
      </c>
      <c r="E808" s="5" t="s">
        <v>32</v>
      </c>
      <c r="F808" s="5" t="s">
        <v>17</v>
      </c>
      <c r="G808" s="6"/>
      <c r="H808" s="7" t="n">
        <v>45</v>
      </c>
      <c r="I808" s="7" t="n">
        <v>48</v>
      </c>
      <c r="J808" s="7" t="s">
        <v>178</v>
      </c>
      <c r="K808" s="7" t="s">
        <v>178</v>
      </c>
      <c r="L808" s="0" t="str">
        <f aca="false">IF(H808&gt;I808,"ERRO","OK")</f>
        <v>OK</v>
      </c>
      <c r="M808" s="0" t="str">
        <f aca="false">IF(H808&gt;J808,"ERRO","OK")</f>
        <v>OK</v>
      </c>
      <c r="N808" s="0" t="str">
        <f aca="false">IF(I808&lt;J808,"ERRO","OK")</f>
        <v>ERRO</v>
      </c>
    </row>
    <row r="809" customFormat="false" ht="25" hidden="false" customHeight="false" outlineLevel="0" collapsed="false">
      <c r="A809" s="0" t="n">
        <v>57</v>
      </c>
      <c r="B809" s="0" t="n">
        <v>2024</v>
      </c>
      <c r="C809" s="3" t="n">
        <v>45462</v>
      </c>
      <c r="D809" s="8" t="s">
        <v>15</v>
      </c>
      <c r="E809" s="9" t="s">
        <v>33</v>
      </c>
      <c r="F809" s="9" t="s">
        <v>17</v>
      </c>
      <c r="G809" s="10"/>
      <c r="H809" s="11" t="n">
        <v>48</v>
      </c>
      <c r="I809" s="11" t="n">
        <v>54</v>
      </c>
      <c r="J809" s="11" t="n">
        <v>51</v>
      </c>
      <c r="K809" s="11" t="n">
        <v>51</v>
      </c>
      <c r="L809" s="0" t="str">
        <f aca="false">IF(H809&gt;I809,"ERRO","OK")</f>
        <v>OK</v>
      </c>
      <c r="M809" s="0" t="str">
        <f aca="false">IF(H809&gt;J809,"ERRO","OK")</f>
        <v>OK</v>
      </c>
      <c r="N809" s="0" t="str">
        <f aca="false">IF(I809&lt;J809,"ERRO","OK")</f>
        <v>OK</v>
      </c>
    </row>
    <row r="810" customFormat="false" ht="25" hidden="false" customHeight="false" outlineLevel="0" collapsed="false">
      <c r="A810" s="0" t="n">
        <v>57</v>
      </c>
      <c r="B810" s="0" t="n">
        <v>2024</v>
      </c>
      <c r="C810" s="3" t="n">
        <v>45462</v>
      </c>
      <c r="D810" s="4" t="s">
        <v>34</v>
      </c>
      <c r="E810" s="5" t="s">
        <v>35</v>
      </c>
      <c r="F810" s="5" t="s">
        <v>36</v>
      </c>
      <c r="G810" s="7" t="n">
        <v>5</v>
      </c>
      <c r="H810" s="7" t="n">
        <v>5</v>
      </c>
      <c r="I810" s="7" t="n">
        <v>5</v>
      </c>
      <c r="J810" s="7" t="n">
        <v>5</v>
      </c>
      <c r="K810" s="7" t="n">
        <v>5</v>
      </c>
      <c r="L810" s="0" t="str">
        <f aca="false">IF(H810&gt;I810,"ERRO","OK")</f>
        <v>OK</v>
      </c>
      <c r="M810" s="0" t="str">
        <f aca="false">IF(H810&gt;J810,"ERRO","OK")</f>
        <v>OK</v>
      </c>
      <c r="N810" s="0" t="str">
        <f aca="false">IF(I810&lt;J810,"ERRO","OK")</f>
        <v>OK</v>
      </c>
    </row>
    <row r="811" customFormat="false" ht="25" hidden="false" customHeight="false" outlineLevel="0" collapsed="false">
      <c r="A811" s="0" t="n">
        <v>57</v>
      </c>
      <c r="B811" s="0" t="n">
        <v>2024</v>
      </c>
      <c r="C811" s="3" t="n">
        <v>45462</v>
      </c>
      <c r="D811" s="8" t="s">
        <v>34</v>
      </c>
      <c r="E811" s="9" t="s">
        <v>38</v>
      </c>
      <c r="F811" s="9" t="s">
        <v>39</v>
      </c>
      <c r="G811" s="11" t="n">
        <v>20</v>
      </c>
      <c r="H811" s="11" t="n">
        <v>20</v>
      </c>
      <c r="I811" s="11" t="n">
        <v>20</v>
      </c>
      <c r="J811" s="11" t="n">
        <v>20</v>
      </c>
      <c r="K811" s="11" t="n">
        <v>20</v>
      </c>
      <c r="L811" s="0" t="str">
        <f aca="false">IF(H811&gt;I811,"ERRO","OK")</f>
        <v>OK</v>
      </c>
      <c r="M811" s="0" t="str">
        <f aca="false">IF(H811&gt;J811,"ERRO","OK")</f>
        <v>OK</v>
      </c>
      <c r="N811" s="0" t="str">
        <f aca="false">IF(I811&lt;J811,"ERRO","OK")</f>
        <v>OK</v>
      </c>
    </row>
    <row r="812" customFormat="false" ht="25" hidden="false" customHeight="false" outlineLevel="0" collapsed="false">
      <c r="A812" s="0" t="n">
        <v>57</v>
      </c>
      <c r="B812" s="0" t="n">
        <v>2024</v>
      </c>
      <c r="C812" s="3" t="n">
        <v>45462</v>
      </c>
      <c r="D812" s="4" t="s">
        <v>34</v>
      </c>
      <c r="E812" s="5" t="s">
        <v>40</v>
      </c>
      <c r="F812" s="5" t="s">
        <v>39</v>
      </c>
      <c r="G812" s="6"/>
      <c r="H812" s="7" t="n">
        <v>25</v>
      </c>
      <c r="I812" s="7" t="n">
        <v>35</v>
      </c>
      <c r="J812" s="7" t="n">
        <v>30</v>
      </c>
      <c r="K812" s="7" t="n">
        <v>30</v>
      </c>
      <c r="L812" s="0" t="str">
        <f aca="false">IF(H812&gt;I812,"ERRO","OK")</f>
        <v>OK</v>
      </c>
      <c r="M812" s="0" t="str">
        <f aca="false">IF(H812&gt;J812,"ERRO","OK")</f>
        <v>OK</v>
      </c>
      <c r="N812" s="0" t="str">
        <f aca="false">IF(I812&lt;J812,"ERRO","OK")</f>
        <v>OK</v>
      </c>
    </row>
    <row r="813" customFormat="false" ht="36.5" hidden="false" customHeight="false" outlineLevel="0" collapsed="false">
      <c r="A813" s="0" t="n">
        <v>57</v>
      </c>
      <c r="B813" s="0" t="n">
        <v>2024</v>
      </c>
      <c r="C813" s="3" t="n">
        <v>45462</v>
      </c>
      <c r="D813" s="8" t="s">
        <v>42</v>
      </c>
      <c r="E813" s="9" t="s">
        <v>157</v>
      </c>
      <c r="F813" s="9" t="s">
        <v>158</v>
      </c>
      <c r="G813" s="10"/>
      <c r="H813" s="11" t="n">
        <v>80</v>
      </c>
      <c r="I813" s="11" t="n">
        <v>95</v>
      </c>
      <c r="J813" s="11" t="s">
        <v>243</v>
      </c>
      <c r="K813" s="11" t="s">
        <v>243</v>
      </c>
      <c r="L813" s="0" t="str">
        <f aca="false">IF(H813&gt;I813,"ERRO","OK")</f>
        <v>OK</v>
      </c>
      <c r="M813" s="0" t="str">
        <f aca="false">IF(H813&gt;J813,"ERRO","OK")</f>
        <v>OK</v>
      </c>
      <c r="N813" s="0" t="str">
        <f aca="false">IF(I813&lt;J813,"ERRO","OK")</f>
        <v>ERRO</v>
      </c>
    </row>
    <row r="814" customFormat="false" ht="36.5" hidden="false" customHeight="false" outlineLevel="0" collapsed="false">
      <c r="A814" s="0" t="n">
        <v>57</v>
      </c>
      <c r="B814" s="0" t="n">
        <v>2024</v>
      </c>
      <c r="C814" s="3" t="n">
        <v>45462</v>
      </c>
      <c r="D814" s="4" t="s">
        <v>42</v>
      </c>
      <c r="E814" s="5" t="s">
        <v>43</v>
      </c>
      <c r="F814" s="5" t="s">
        <v>44</v>
      </c>
      <c r="G814" s="7" t="n">
        <v>50</v>
      </c>
      <c r="H814" s="7" t="n">
        <v>50</v>
      </c>
      <c r="I814" s="7" t="n">
        <v>60</v>
      </c>
      <c r="J814" s="7" t="n">
        <v>54</v>
      </c>
      <c r="K814" s="7" t="n">
        <v>50</v>
      </c>
      <c r="L814" s="0" t="str">
        <f aca="false">IF(H814&gt;I814,"ERRO","OK")</f>
        <v>OK</v>
      </c>
      <c r="M814" s="0" t="str">
        <f aca="false">IF(H814&gt;J814,"ERRO","OK")</f>
        <v>OK</v>
      </c>
      <c r="N814" s="0" t="str">
        <f aca="false">IF(I814&lt;J814,"ERRO","OK")</f>
        <v>OK</v>
      </c>
    </row>
    <row r="815" customFormat="false" ht="36.5" hidden="false" customHeight="false" outlineLevel="0" collapsed="false">
      <c r="A815" s="0" t="n">
        <v>57</v>
      </c>
      <c r="B815" s="0" t="n">
        <v>2024</v>
      </c>
      <c r="C815" s="3" t="n">
        <v>45462</v>
      </c>
      <c r="D815" s="8" t="s">
        <v>42</v>
      </c>
      <c r="E815" s="9" t="s">
        <v>46</v>
      </c>
      <c r="F815" s="9" t="s">
        <v>47</v>
      </c>
      <c r="G815" s="11" t="n">
        <v>65</v>
      </c>
      <c r="H815" s="11" t="n">
        <v>45</v>
      </c>
      <c r="I815" s="11" t="n">
        <v>65</v>
      </c>
      <c r="J815" s="11" t="n">
        <v>57</v>
      </c>
      <c r="K815" s="11" t="n">
        <v>60</v>
      </c>
      <c r="L815" s="0" t="str">
        <f aca="false">IF(H815&gt;I815,"ERRO","OK")</f>
        <v>OK</v>
      </c>
      <c r="M815" s="0" t="str">
        <f aca="false">IF(H815&gt;J815,"ERRO","OK")</f>
        <v>OK</v>
      </c>
      <c r="N815" s="0" t="str">
        <f aca="false">IF(I815&lt;J815,"ERRO","OK")</f>
        <v>OK</v>
      </c>
    </row>
    <row r="816" customFormat="false" ht="36.5" hidden="false" customHeight="false" outlineLevel="0" collapsed="false">
      <c r="A816" s="0" t="n">
        <v>57</v>
      </c>
      <c r="B816" s="0" t="n">
        <v>2024</v>
      </c>
      <c r="C816" s="3" t="n">
        <v>45462</v>
      </c>
      <c r="D816" s="4" t="s">
        <v>42</v>
      </c>
      <c r="E816" s="5" t="s">
        <v>48</v>
      </c>
      <c r="F816" s="5" t="s">
        <v>49</v>
      </c>
      <c r="G816" s="6"/>
      <c r="H816" s="7" t="n">
        <v>40</v>
      </c>
      <c r="I816" s="7" t="n">
        <v>55</v>
      </c>
      <c r="J816" s="7" t="s">
        <v>95</v>
      </c>
      <c r="K816" s="7" t="s">
        <v>95</v>
      </c>
      <c r="L816" s="0" t="str">
        <f aca="false">IF(H816&gt;I816,"ERRO","OK")</f>
        <v>OK</v>
      </c>
      <c r="M816" s="0" t="str">
        <f aca="false">IF(H816&gt;J816,"ERRO","OK")</f>
        <v>OK</v>
      </c>
      <c r="N816" s="0" t="str">
        <f aca="false">IF(I816&lt;J816,"ERRO","OK")</f>
        <v>ERRO</v>
      </c>
    </row>
    <row r="817" customFormat="false" ht="36.5" hidden="false" customHeight="false" outlineLevel="0" collapsed="false">
      <c r="A817" s="0" t="n">
        <v>57</v>
      </c>
      <c r="B817" s="0" t="n">
        <v>2024</v>
      </c>
      <c r="C817" s="3" t="n">
        <v>45462</v>
      </c>
      <c r="D817" s="8" t="s">
        <v>42</v>
      </c>
      <c r="E817" s="9" t="s">
        <v>52</v>
      </c>
      <c r="F817" s="9" t="s">
        <v>49</v>
      </c>
      <c r="G817" s="10"/>
      <c r="H817" s="11" t="n">
        <v>90</v>
      </c>
      <c r="I817" s="11" t="n">
        <v>110</v>
      </c>
      <c r="J817" s="11" t="n">
        <v>100</v>
      </c>
      <c r="K817" s="11" t="n">
        <v>100</v>
      </c>
      <c r="L817" s="0" t="str">
        <f aca="false">IF(H817&gt;I817,"ERRO","OK")</f>
        <v>OK</v>
      </c>
      <c r="M817" s="0" t="str">
        <f aca="false">IF(H817&gt;J817,"ERRO","OK")</f>
        <v>OK</v>
      </c>
      <c r="N817" s="0" t="str">
        <f aca="false">IF(I817&lt;J817,"ERRO","OK")</f>
        <v>OK</v>
      </c>
    </row>
    <row r="818" customFormat="false" ht="36.5" hidden="false" customHeight="false" outlineLevel="0" collapsed="false">
      <c r="A818" s="0" t="n">
        <v>57</v>
      </c>
      <c r="B818" s="0" t="n">
        <v>2024</v>
      </c>
      <c r="C818" s="3" t="n">
        <v>45462</v>
      </c>
      <c r="D818" s="4" t="s">
        <v>42</v>
      </c>
      <c r="E818" s="5" t="s">
        <v>53</v>
      </c>
      <c r="F818" s="5" t="s">
        <v>54</v>
      </c>
      <c r="G818" s="7" t="n">
        <v>110</v>
      </c>
      <c r="H818" s="7" t="n">
        <v>90</v>
      </c>
      <c r="I818" s="7" t="n">
        <v>110</v>
      </c>
      <c r="J818" s="7" t="s">
        <v>187</v>
      </c>
      <c r="K818" s="7" t="n">
        <v>105</v>
      </c>
      <c r="L818" s="0" t="str">
        <f aca="false">IF(H818&gt;I818,"ERRO","OK")</f>
        <v>OK</v>
      </c>
      <c r="M818" s="0" t="str">
        <f aca="false">IF(H818&gt;J818,"ERRO","OK")</f>
        <v>OK</v>
      </c>
      <c r="N818" s="0" t="str">
        <f aca="false">IF(I818&lt;J818,"ERRO","OK")</f>
        <v>ERRO</v>
      </c>
    </row>
    <row r="819" customFormat="false" ht="36.5" hidden="false" customHeight="false" outlineLevel="0" collapsed="false">
      <c r="A819" s="0" t="n">
        <v>57</v>
      </c>
      <c r="B819" s="0" t="n">
        <v>2024</v>
      </c>
      <c r="C819" s="3" t="n">
        <v>45462</v>
      </c>
      <c r="D819" s="8" t="s">
        <v>42</v>
      </c>
      <c r="E819" s="9" t="s">
        <v>56</v>
      </c>
      <c r="F819" s="9" t="s">
        <v>47</v>
      </c>
      <c r="G819" s="11" t="n">
        <v>80</v>
      </c>
      <c r="H819" s="11" t="n">
        <v>70</v>
      </c>
      <c r="I819" s="11" t="n">
        <v>100</v>
      </c>
      <c r="J819" s="11" t="n">
        <v>84</v>
      </c>
      <c r="K819" s="11" t="n">
        <v>80</v>
      </c>
      <c r="L819" s="0" t="str">
        <f aca="false">IF(H819&gt;I819,"ERRO","OK")</f>
        <v>OK</v>
      </c>
      <c r="M819" s="0" t="str">
        <f aca="false">IF(H819&gt;J819,"ERRO","OK")</f>
        <v>OK</v>
      </c>
      <c r="N819" s="0" t="str">
        <f aca="false">IF(I819&lt;J819,"ERRO","OK")</f>
        <v>OK</v>
      </c>
    </row>
    <row r="820" customFormat="false" ht="36.5" hidden="false" customHeight="false" outlineLevel="0" collapsed="false">
      <c r="A820" s="0" t="n">
        <v>57</v>
      </c>
      <c r="B820" s="0" t="n">
        <v>2024</v>
      </c>
      <c r="C820" s="3" t="n">
        <v>45462</v>
      </c>
      <c r="D820" s="4" t="s">
        <v>42</v>
      </c>
      <c r="E820" s="5" t="s">
        <v>57</v>
      </c>
      <c r="F820" s="5" t="s">
        <v>47</v>
      </c>
      <c r="G820" s="6"/>
      <c r="H820" s="7" t="n">
        <v>50</v>
      </c>
      <c r="I820" s="7" t="n">
        <v>85</v>
      </c>
      <c r="J820" s="7" t="s">
        <v>269</v>
      </c>
      <c r="K820" s="7" t="n">
        <v>65</v>
      </c>
      <c r="L820" s="0" t="str">
        <f aca="false">IF(H820&gt;I820,"ERRO","OK")</f>
        <v>OK</v>
      </c>
      <c r="M820" s="0" t="str">
        <f aca="false">IF(H820&gt;J820,"ERRO","OK")</f>
        <v>OK</v>
      </c>
      <c r="N820" s="0" t="str">
        <f aca="false">IF(I820&lt;J820,"ERRO","OK")</f>
        <v>ERRO</v>
      </c>
    </row>
    <row r="821" customFormat="false" ht="36.5" hidden="false" customHeight="false" outlineLevel="0" collapsed="false">
      <c r="A821" s="0" t="n">
        <v>57</v>
      </c>
      <c r="B821" s="0" t="n">
        <v>2024</v>
      </c>
      <c r="C821" s="3" t="n">
        <v>45462</v>
      </c>
      <c r="D821" s="8" t="s">
        <v>42</v>
      </c>
      <c r="E821" s="9" t="s">
        <v>58</v>
      </c>
      <c r="F821" s="9" t="s">
        <v>44</v>
      </c>
      <c r="G821" s="11" t="n">
        <v>100</v>
      </c>
      <c r="H821" s="11" t="n">
        <v>100</v>
      </c>
      <c r="I821" s="11" t="n">
        <v>100</v>
      </c>
      <c r="J821" s="11" t="n">
        <v>100</v>
      </c>
      <c r="K821" s="11" t="n">
        <v>100</v>
      </c>
      <c r="L821" s="0" t="str">
        <f aca="false">IF(H821&gt;I821,"ERRO","OK")</f>
        <v>OK</v>
      </c>
      <c r="M821" s="0" t="str">
        <f aca="false">IF(H821&gt;J821,"ERRO","OK")</f>
        <v>OK</v>
      </c>
      <c r="N821" s="0" t="str">
        <f aca="false">IF(I821&lt;J821,"ERRO","OK")</f>
        <v>OK</v>
      </c>
    </row>
    <row r="822" customFormat="false" ht="36.5" hidden="false" customHeight="false" outlineLevel="0" collapsed="false">
      <c r="A822" s="0" t="n">
        <v>57</v>
      </c>
      <c r="B822" s="0" t="n">
        <v>2024</v>
      </c>
      <c r="C822" s="3" t="n">
        <v>45462</v>
      </c>
      <c r="D822" s="4" t="s">
        <v>42</v>
      </c>
      <c r="E822" s="5" t="s">
        <v>60</v>
      </c>
      <c r="F822" s="5" t="s">
        <v>47</v>
      </c>
      <c r="G822" s="6"/>
      <c r="H822" s="7" t="n">
        <v>60</v>
      </c>
      <c r="I822" s="7" t="n">
        <v>70</v>
      </c>
      <c r="J822" s="7" t="n">
        <v>65</v>
      </c>
      <c r="K822" s="7" t="n">
        <v>65</v>
      </c>
      <c r="L822" s="0" t="str">
        <f aca="false">IF(H822&gt;I822,"ERRO","OK")</f>
        <v>OK</v>
      </c>
      <c r="M822" s="0" t="str">
        <f aca="false">IF(H822&gt;J822,"ERRO","OK")</f>
        <v>OK</v>
      </c>
      <c r="N822" s="0" t="str">
        <f aca="false">IF(I822&lt;J822,"ERRO","OK")</f>
        <v>OK</v>
      </c>
    </row>
    <row r="823" customFormat="false" ht="36.5" hidden="false" customHeight="false" outlineLevel="0" collapsed="false">
      <c r="A823" s="0" t="n">
        <v>57</v>
      </c>
      <c r="B823" s="0" t="n">
        <v>2024</v>
      </c>
      <c r="C823" s="3" t="n">
        <v>45462</v>
      </c>
      <c r="D823" s="8" t="s">
        <v>42</v>
      </c>
      <c r="E823" s="9" t="s">
        <v>61</v>
      </c>
      <c r="F823" s="9" t="s">
        <v>44</v>
      </c>
      <c r="G823" s="11" t="n">
        <v>80</v>
      </c>
      <c r="H823" s="11" t="n">
        <v>80</v>
      </c>
      <c r="I823" s="11" t="n">
        <v>80</v>
      </c>
      <c r="J823" s="11" t="n">
        <v>80</v>
      </c>
      <c r="K823" s="11" t="n">
        <v>80</v>
      </c>
      <c r="L823" s="0" t="str">
        <f aca="false">IF(H823&gt;I823,"ERRO","OK")</f>
        <v>OK</v>
      </c>
      <c r="M823" s="0" t="str">
        <f aca="false">IF(H823&gt;J823,"ERRO","OK")</f>
        <v>OK</v>
      </c>
      <c r="N823" s="0" t="str">
        <f aca="false">IF(I823&lt;J823,"ERRO","OK")</f>
        <v>OK</v>
      </c>
    </row>
    <row r="824" customFormat="false" ht="36.5" hidden="false" customHeight="false" outlineLevel="0" collapsed="false">
      <c r="A824" s="0" t="n">
        <v>57</v>
      </c>
      <c r="B824" s="0" t="n">
        <v>2024</v>
      </c>
      <c r="C824" s="3" t="n">
        <v>45462</v>
      </c>
      <c r="D824" s="4" t="s">
        <v>42</v>
      </c>
      <c r="E824" s="5" t="s">
        <v>62</v>
      </c>
      <c r="F824" s="5" t="s">
        <v>44</v>
      </c>
      <c r="G824" s="7" t="n">
        <v>80</v>
      </c>
      <c r="H824" s="7" t="n">
        <v>65</v>
      </c>
      <c r="I824" s="7" t="n">
        <v>80</v>
      </c>
      <c r="J824" s="7" t="n">
        <v>75</v>
      </c>
      <c r="K824" s="7" t="n">
        <v>80</v>
      </c>
      <c r="L824" s="0" t="str">
        <f aca="false">IF(H824&gt;I824,"ERRO","OK")</f>
        <v>OK</v>
      </c>
      <c r="M824" s="0" t="str">
        <f aca="false">IF(H824&gt;J824,"ERRO","OK")</f>
        <v>OK</v>
      </c>
      <c r="N824" s="0" t="str">
        <f aca="false">IF(I824&lt;J824,"ERRO","OK")</f>
        <v>OK</v>
      </c>
    </row>
    <row r="825" customFormat="false" ht="36.5" hidden="false" customHeight="false" outlineLevel="0" collapsed="false">
      <c r="A825" s="0" t="n">
        <v>57</v>
      </c>
      <c r="B825" s="0" t="n">
        <v>2024</v>
      </c>
      <c r="C825" s="3" t="n">
        <v>45462</v>
      </c>
      <c r="D825" s="8" t="s">
        <v>42</v>
      </c>
      <c r="E825" s="9" t="s">
        <v>63</v>
      </c>
      <c r="F825" s="9" t="s">
        <v>49</v>
      </c>
      <c r="G825" s="11" t="n">
        <v>60</v>
      </c>
      <c r="H825" s="11" t="n">
        <v>50</v>
      </c>
      <c r="I825" s="11" t="n">
        <v>60</v>
      </c>
      <c r="J825" s="11" t="s">
        <v>239</v>
      </c>
      <c r="K825" s="11" t="s">
        <v>45</v>
      </c>
      <c r="L825" s="0" t="str">
        <f aca="false">IF(H825&gt;I825,"ERRO","OK")</f>
        <v>OK</v>
      </c>
      <c r="M825" s="0" t="str">
        <f aca="false">IF(H825&gt;J825,"ERRO","OK")</f>
        <v>OK</v>
      </c>
      <c r="N825" s="0" t="str">
        <f aca="false">IF(I825&lt;J825,"ERRO","OK")</f>
        <v>ERRO</v>
      </c>
    </row>
    <row r="826" customFormat="false" ht="36.5" hidden="false" customHeight="false" outlineLevel="0" collapsed="false">
      <c r="A826" s="0" t="n">
        <v>57</v>
      </c>
      <c r="B826" s="0" t="n">
        <v>2024</v>
      </c>
      <c r="C826" s="3" t="n">
        <v>45462</v>
      </c>
      <c r="D826" s="4" t="s">
        <v>42</v>
      </c>
      <c r="E826" s="5" t="s">
        <v>64</v>
      </c>
      <c r="F826" s="5" t="s">
        <v>65</v>
      </c>
      <c r="G826" s="7" t="n">
        <v>180</v>
      </c>
      <c r="H826" s="7" t="n">
        <v>180</v>
      </c>
      <c r="I826" s="7" t="n">
        <v>180</v>
      </c>
      <c r="J826" s="7" t="n">
        <v>180</v>
      </c>
      <c r="K826" s="7" t="n">
        <v>180</v>
      </c>
      <c r="L826" s="0" t="str">
        <f aca="false">IF(H826&gt;I826,"ERRO","OK")</f>
        <v>OK</v>
      </c>
      <c r="M826" s="0" t="str">
        <f aca="false">IF(H826&gt;J826,"ERRO","OK")</f>
        <v>OK</v>
      </c>
      <c r="N826" s="0" t="str">
        <f aca="false">IF(I826&lt;J826,"ERRO","OK")</f>
        <v>OK</v>
      </c>
    </row>
    <row r="827" customFormat="false" ht="36.5" hidden="false" customHeight="false" outlineLevel="0" collapsed="false">
      <c r="A827" s="0" t="n">
        <v>57</v>
      </c>
      <c r="B827" s="0" t="n">
        <v>2024</v>
      </c>
      <c r="C827" s="3" t="n">
        <v>45462</v>
      </c>
      <c r="D827" s="8" t="s">
        <v>42</v>
      </c>
      <c r="E827" s="9" t="s">
        <v>67</v>
      </c>
      <c r="F827" s="9" t="s">
        <v>44</v>
      </c>
      <c r="G827" s="11" t="n">
        <v>90</v>
      </c>
      <c r="H827" s="11" t="n">
        <v>80</v>
      </c>
      <c r="I827" s="11" t="n">
        <v>100</v>
      </c>
      <c r="J827" s="11" t="n">
        <v>92</v>
      </c>
      <c r="K827" s="11" t="n">
        <v>90</v>
      </c>
      <c r="L827" s="0" t="str">
        <f aca="false">IF(H827&gt;I827,"ERRO","OK")</f>
        <v>OK</v>
      </c>
      <c r="M827" s="0" t="str">
        <f aca="false">IF(H827&gt;J827,"ERRO","OK")</f>
        <v>OK</v>
      </c>
      <c r="N827" s="0" t="str">
        <f aca="false">IF(I827&lt;J827,"ERRO","OK")</f>
        <v>OK</v>
      </c>
    </row>
    <row r="828" customFormat="false" ht="36.5" hidden="false" customHeight="false" outlineLevel="0" collapsed="false">
      <c r="A828" s="0" t="n">
        <v>57</v>
      </c>
      <c r="B828" s="0" t="n">
        <v>2024</v>
      </c>
      <c r="C828" s="3" t="n">
        <v>45462</v>
      </c>
      <c r="D828" s="4" t="s">
        <v>42</v>
      </c>
      <c r="E828" s="5" t="s">
        <v>68</v>
      </c>
      <c r="F828" s="5" t="s">
        <v>44</v>
      </c>
      <c r="G828" s="6"/>
      <c r="H828" s="7" t="n">
        <v>150</v>
      </c>
      <c r="I828" s="7" t="n">
        <v>220</v>
      </c>
      <c r="J828" s="7" t="s">
        <v>270</v>
      </c>
      <c r="K828" s="7" t="n">
        <v>160</v>
      </c>
      <c r="L828" s="0" t="str">
        <f aca="false">IF(H828&gt;I828,"ERRO","OK")</f>
        <v>OK</v>
      </c>
      <c r="M828" s="0" t="str">
        <f aca="false">IF(H828&gt;J828,"ERRO","OK")</f>
        <v>OK</v>
      </c>
      <c r="N828" s="0" t="str">
        <f aca="false">IF(I828&lt;J828,"ERRO","OK")</f>
        <v>ERRO</v>
      </c>
    </row>
    <row r="829" customFormat="false" ht="14.25" hidden="false" customHeight="false" outlineLevel="0" collapsed="false">
      <c r="A829" s="0" t="n">
        <v>57</v>
      </c>
      <c r="B829" s="0" t="n">
        <v>2024</v>
      </c>
      <c r="C829" s="3" t="n">
        <v>45462</v>
      </c>
      <c r="D829" s="8" t="s">
        <v>69</v>
      </c>
      <c r="E829" s="9" t="s">
        <v>70</v>
      </c>
      <c r="F829" s="9" t="s">
        <v>49</v>
      </c>
      <c r="G829" s="10"/>
      <c r="H829" s="11" t="n">
        <v>120</v>
      </c>
      <c r="I829" s="11" t="n">
        <v>120</v>
      </c>
      <c r="J829" s="11" t="n">
        <v>120</v>
      </c>
      <c r="K829" s="11" t="n">
        <v>120</v>
      </c>
      <c r="L829" s="0" t="str">
        <f aca="false">IF(H829&gt;I829,"ERRO","OK")</f>
        <v>OK</v>
      </c>
      <c r="M829" s="0" t="str">
        <f aca="false">IF(H829&gt;J829,"ERRO","OK")</f>
        <v>OK</v>
      </c>
      <c r="N829" s="0" t="str">
        <f aca="false">IF(I829&lt;J829,"ERRO","OK")</f>
        <v>OK</v>
      </c>
    </row>
    <row r="830" customFormat="false" ht="14.25" hidden="false" customHeight="false" outlineLevel="0" collapsed="false">
      <c r="A830" s="0" t="n">
        <v>57</v>
      </c>
      <c r="B830" s="0" t="n">
        <v>2024</v>
      </c>
      <c r="C830" s="3" t="n">
        <v>45462</v>
      </c>
      <c r="D830" s="4" t="s">
        <v>69</v>
      </c>
      <c r="E830" s="5" t="s">
        <v>71</v>
      </c>
      <c r="F830" s="5" t="s">
        <v>49</v>
      </c>
      <c r="G830" s="6"/>
      <c r="H830" s="6"/>
      <c r="I830" s="6"/>
      <c r="J830" s="6"/>
      <c r="K830" s="6"/>
      <c r="L830" s="0" t="str">
        <f aca="false">IF(H830&gt;I830,"ERRO","OK")</f>
        <v>OK</v>
      </c>
      <c r="M830" s="0" t="str">
        <f aca="false">IF(H830&gt;J830,"ERRO","OK")</f>
        <v>OK</v>
      </c>
      <c r="N830" s="0" t="str">
        <f aca="false">IF(I830&lt;J830,"ERRO","OK")</f>
        <v>OK</v>
      </c>
    </row>
    <row r="831" customFormat="false" ht="14.25" hidden="false" customHeight="false" outlineLevel="0" collapsed="false">
      <c r="A831" s="0" t="n">
        <v>57</v>
      </c>
      <c r="B831" s="0" t="n">
        <v>2024</v>
      </c>
      <c r="C831" s="3" t="n">
        <v>45462</v>
      </c>
      <c r="D831" s="8" t="s">
        <v>69</v>
      </c>
      <c r="E831" s="9" t="s">
        <v>72</v>
      </c>
      <c r="F831" s="9" t="s">
        <v>49</v>
      </c>
      <c r="G831" s="10"/>
      <c r="H831" s="10"/>
      <c r="I831" s="10"/>
      <c r="J831" s="10"/>
      <c r="K831" s="10"/>
      <c r="L831" s="0" t="str">
        <f aca="false">IF(H831&gt;I831,"ERRO","OK")</f>
        <v>OK</v>
      </c>
      <c r="M831" s="0" t="str">
        <f aca="false">IF(H831&gt;J831,"ERRO","OK")</f>
        <v>OK</v>
      </c>
      <c r="N831" s="0" t="str">
        <f aca="false">IF(I831&lt;J831,"ERRO","OK")</f>
        <v>OK</v>
      </c>
    </row>
    <row r="832" customFormat="false" ht="14.25" hidden="false" customHeight="false" outlineLevel="0" collapsed="false">
      <c r="A832" s="0" t="n">
        <v>57</v>
      </c>
      <c r="B832" s="0" t="n">
        <v>2024</v>
      </c>
      <c r="C832" s="3" t="n">
        <v>45462</v>
      </c>
      <c r="D832" s="4" t="s">
        <v>69</v>
      </c>
      <c r="E832" s="5" t="s">
        <v>73</v>
      </c>
      <c r="F832" s="5" t="s">
        <v>49</v>
      </c>
      <c r="G832" s="6"/>
      <c r="H832" s="7" t="n">
        <v>50</v>
      </c>
      <c r="I832" s="7" t="n">
        <v>50</v>
      </c>
      <c r="J832" s="7" t="n">
        <v>50</v>
      </c>
      <c r="K832" s="7" t="n">
        <v>50</v>
      </c>
      <c r="L832" s="0" t="str">
        <f aca="false">IF(H832&gt;I832,"ERRO","OK")</f>
        <v>OK</v>
      </c>
      <c r="M832" s="0" t="str">
        <f aca="false">IF(H832&gt;J832,"ERRO","OK")</f>
        <v>OK</v>
      </c>
      <c r="N832" s="0" t="str">
        <f aca="false">IF(I832&lt;J832,"ERRO","OK")</f>
        <v>OK</v>
      </c>
    </row>
    <row r="833" customFormat="false" ht="14.25" hidden="false" customHeight="false" outlineLevel="0" collapsed="false">
      <c r="A833" s="0" t="n">
        <v>57</v>
      </c>
      <c r="B833" s="0" t="n">
        <v>2024</v>
      </c>
      <c r="C833" s="3" t="n">
        <v>45462</v>
      </c>
      <c r="D833" s="8" t="s">
        <v>69</v>
      </c>
      <c r="E833" s="9" t="s">
        <v>74</v>
      </c>
      <c r="F833" s="9" t="s">
        <v>75</v>
      </c>
      <c r="G833" s="10"/>
      <c r="H833" s="11" t="n">
        <v>60</v>
      </c>
      <c r="I833" s="11" t="n">
        <v>60</v>
      </c>
      <c r="J833" s="11" t="n">
        <v>60</v>
      </c>
      <c r="K833" s="11" t="n">
        <v>60</v>
      </c>
      <c r="L833" s="0" t="str">
        <f aca="false">IF(H833&gt;I833,"ERRO","OK")</f>
        <v>OK</v>
      </c>
      <c r="M833" s="0" t="str">
        <f aca="false">IF(H833&gt;J833,"ERRO","OK")</f>
        <v>OK</v>
      </c>
      <c r="N833" s="0" t="str">
        <f aca="false">IF(I833&lt;J833,"ERRO","OK")</f>
        <v>OK</v>
      </c>
    </row>
    <row r="834" customFormat="false" ht="25" hidden="false" customHeight="false" outlineLevel="0" collapsed="false">
      <c r="A834" s="0" t="n">
        <v>58</v>
      </c>
      <c r="B834" s="0" t="n">
        <v>2024</v>
      </c>
      <c r="C834" s="3" t="n">
        <v>45469</v>
      </c>
      <c r="D834" s="4" t="s">
        <v>15</v>
      </c>
      <c r="E834" s="5" t="s">
        <v>16</v>
      </c>
      <c r="F834" s="5" t="s">
        <v>17</v>
      </c>
      <c r="G834" s="7" t="n">
        <v>60</v>
      </c>
      <c r="H834" s="7" t="n">
        <v>60</v>
      </c>
      <c r="I834" s="7" t="n">
        <v>60</v>
      </c>
      <c r="J834" s="7" t="n">
        <v>60</v>
      </c>
      <c r="K834" s="7" t="n">
        <v>60</v>
      </c>
      <c r="L834" s="0" t="str">
        <f aca="false">IF(H834&gt;I834,"ERRO","OK")</f>
        <v>OK</v>
      </c>
      <c r="M834" s="0" t="str">
        <f aca="false">IF(H834&gt;J834,"ERRO","OK")</f>
        <v>OK</v>
      </c>
      <c r="N834" s="0" t="str">
        <f aca="false">IF(I834&lt;J834,"ERRO","OK")</f>
        <v>OK</v>
      </c>
    </row>
    <row r="835" customFormat="false" ht="25" hidden="false" customHeight="false" outlineLevel="0" collapsed="false">
      <c r="A835" s="0" t="n">
        <v>58</v>
      </c>
      <c r="B835" s="0" t="n">
        <v>2024</v>
      </c>
      <c r="C835" s="3" t="n">
        <v>45469</v>
      </c>
      <c r="D835" s="8" t="s">
        <v>15</v>
      </c>
      <c r="E835" s="9" t="s">
        <v>18</v>
      </c>
      <c r="F835" s="9" t="s">
        <v>17</v>
      </c>
      <c r="G835" s="11" t="n">
        <v>84</v>
      </c>
      <c r="H835" s="11" t="n">
        <v>84</v>
      </c>
      <c r="I835" s="11" t="n">
        <v>84</v>
      </c>
      <c r="J835" s="11" t="n">
        <v>84</v>
      </c>
      <c r="K835" s="11" t="n">
        <v>84</v>
      </c>
      <c r="L835" s="0" t="str">
        <f aca="false">IF(H835&gt;I835,"ERRO","OK")</f>
        <v>OK</v>
      </c>
      <c r="M835" s="0" t="str">
        <f aca="false">IF(H835&gt;J835,"ERRO","OK")</f>
        <v>OK</v>
      </c>
      <c r="N835" s="0" t="str">
        <f aca="false">IF(I835&lt;J835,"ERRO","OK")</f>
        <v>OK</v>
      </c>
    </row>
    <row r="836" customFormat="false" ht="25" hidden="false" customHeight="false" outlineLevel="0" collapsed="false">
      <c r="A836" s="0" t="n">
        <v>58</v>
      </c>
      <c r="B836" s="0" t="n">
        <v>2024</v>
      </c>
      <c r="C836" s="3" t="n">
        <v>45469</v>
      </c>
      <c r="D836" s="4" t="s">
        <v>15</v>
      </c>
      <c r="E836" s="5" t="s">
        <v>19</v>
      </c>
      <c r="F836" s="5" t="s">
        <v>17</v>
      </c>
      <c r="G836" s="6"/>
      <c r="H836" s="7" t="n">
        <v>36</v>
      </c>
      <c r="I836" s="7" t="n">
        <v>40</v>
      </c>
      <c r="J836" s="7" t="n">
        <v>38</v>
      </c>
      <c r="K836" s="7" t="n">
        <v>38</v>
      </c>
      <c r="L836" s="0" t="str">
        <f aca="false">IF(H836&gt;I836,"ERRO","OK")</f>
        <v>OK</v>
      </c>
      <c r="M836" s="0" t="str">
        <f aca="false">IF(H836&gt;J836,"ERRO","OK")</f>
        <v>OK</v>
      </c>
      <c r="N836" s="0" t="str">
        <f aca="false">IF(I836&lt;J836,"ERRO","OK")</f>
        <v>OK</v>
      </c>
    </row>
    <row r="837" customFormat="false" ht="25" hidden="false" customHeight="false" outlineLevel="0" collapsed="false">
      <c r="A837" s="0" t="n">
        <v>58</v>
      </c>
      <c r="B837" s="0" t="n">
        <v>2024</v>
      </c>
      <c r="C837" s="3" t="n">
        <v>45469</v>
      </c>
      <c r="D837" s="8" t="s">
        <v>15</v>
      </c>
      <c r="E837" s="9" t="s">
        <v>20</v>
      </c>
      <c r="F837" s="9" t="s">
        <v>17</v>
      </c>
      <c r="G837" s="10"/>
      <c r="H837" s="11" t="n">
        <v>20</v>
      </c>
      <c r="I837" s="11" t="n">
        <v>24</v>
      </c>
      <c r="J837" s="11" t="n">
        <v>22</v>
      </c>
      <c r="K837" s="11" t="n">
        <v>22</v>
      </c>
      <c r="L837" s="0" t="str">
        <f aca="false">IF(H837&gt;I837,"ERRO","OK")</f>
        <v>OK</v>
      </c>
      <c r="M837" s="0" t="str">
        <f aca="false">IF(H837&gt;J837,"ERRO","OK")</f>
        <v>OK</v>
      </c>
      <c r="N837" s="0" t="str">
        <f aca="false">IF(I837&lt;J837,"ERRO","OK")</f>
        <v>OK</v>
      </c>
    </row>
    <row r="838" customFormat="false" ht="25" hidden="false" customHeight="false" outlineLevel="0" collapsed="false">
      <c r="A838" s="0" t="n">
        <v>58</v>
      </c>
      <c r="B838" s="0" t="n">
        <v>2024</v>
      </c>
      <c r="C838" s="3" t="n">
        <v>45469</v>
      </c>
      <c r="D838" s="4" t="s">
        <v>15</v>
      </c>
      <c r="E838" s="5" t="s">
        <v>21</v>
      </c>
      <c r="F838" s="5" t="s">
        <v>17</v>
      </c>
      <c r="G838" s="6"/>
      <c r="H838" s="7" t="n">
        <v>20</v>
      </c>
      <c r="I838" s="7" t="n">
        <v>24</v>
      </c>
      <c r="J838" s="7" t="n">
        <v>22</v>
      </c>
      <c r="K838" s="7" t="n">
        <v>22</v>
      </c>
      <c r="L838" s="0" t="str">
        <f aca="false">IF(H838&gt;I838,"ERRO","OK")</f>
        <v>OK</v>
      </c>
      <c r="M838" s="0" t="str">
        <f aca="false">IF(H838&gt;J838,"ERRO","OK")</f>
        <v>OK</v>
      </c>
      <c r="N838" s="0" t="str">
        <f aca="false">IF(I838&lt;J838,"ERRO","OK")</f>
        <v>OK</v>
      </c>
    </row>
    <row r="839" customFormat="false" ht="25" hidden="false" customHeight="false" outlineLevel="0" collapsed="false">
      <c r="A839" s="0" t="n">
        <v>58</v>
      </c>
      <c r="B839" s="0" t="n">
        <v>2024</v>
      </c>
      <c r="C839" s="3" t="n">
        <v>45469</v>
      </c>
      <c r="D839" s="8" t="s">
        <v>15</v>
      </c>
      <c r="E839" s="9" t="s">
        <v>22</v>
      </c>
      <c r="F839" s="9" t="s">
        <v>17</v>
      </c>
      <c r="G839" s="11" t="n">
        <v>60</v>
      </c>
      <c r="H839" s="11" t="n">
        <v>60</v>
      </c>
      <c r="I839" s="11" t="n">
        <v>60</v>
      </c>
      <c r="J839" s="11" t="n">
        <v>60</v>
      </c>
      <c r="K839" s="11" t="n">
        <v>60</v>
      </c>
      <c r="L839" s="0" t="str">
        <f aca="false">IF(H839&gt;I839,"ERRO","OK")</f>
        <v>OK</v>
      </c>
      <c r="M839" s="0" t="str">
        <f aca="false">IF(H839&gt;J839,"ERRO","OK")</f>
        <v>OK</v>
      </c>
      <c r="N839" s="0" t="str">
        <f aca="false">IF(I839&lt;J839,"ERRO","OK")</f>
        <v>OK</v>
      </c>
    </row>
    <row r="840" customFormat="false" ht="25" hidden="false" customHeight="false" outlineLevel="0" collapsed="false">
      <c r="A840" s="0" t="n">
        <v>58</v>
      </c>
      <c r="B840" s="0" t="n">
        <v>2024</v>
      </c>
      <c r="C840" s="3" t="n">
        <v>45469</v>
      </c>
      <c r="D840" s="4" t="s">
        <v>15</v>
      </c>
      <c r="E840" s="5" t="s">
        <v>23</v>
      </c>
      <c r="F840" s="5" t="s">
        <v>17</v>
      </c>
      <c r="G840" s="7" t="n">
        <v>84</v>
      </c>
      <c r="H840" s="7" t="n">
        <v>60</v>
      </c>
      <c r="I840" s="7" t="n">
        <v>84</v>
      </c>
      <c r="J840" s="7" t="n">
        <v>76</v>
      </c>
      <c r="K840" s="7" t="n">
        <v>84</v>
      </c>
      <c r="L840" s="0" t="str">
        <f aca="false">IF(H840&gt;I840,"ERRO","OK")</f>
        <v>OK</v>
      </c>
      <c r="M840" s="0" t="str">
        <f aca="false">IF(H840&gt;J840,"ERRO","OK")</f>
        <v>OK</v>
      </c>
      <c r="N840" s="0" t="str">
        <f aca="false">IF(I840&lt;J840,"ERRO","OK")</f>
        <v>OK</v>
      </c>
    </row>
    <row r="841" customFormat="false" ht="25" hidden="false" customHeight="false" outlineLevel="0" collapsed="false">
      <c r="A841" s="0" t="n">
        <v>58</v>
      </c>
      <c r="B841" s="0" t="n">
        <v>2024</v>
      </c>
      <c r="C841" s="3" t="n">
        <v>45469</v>
      </c>
      <c r="D841" s="8" t="s">
        <v>15</v>
      </c>
      <c r="E841" s="9" t="s">
        <v>24</v>
      </c>
      <c r="F841" s="9" t="s">
        <v>17</v>
      </c>
      <c r="G841" s="10"/>
      <c r="H841" s="11" t="n">
        <v>84</v>
      </c>
      <c r="I841" s="11" t="n">
        <v>96</v>
      </c>
      <c r="J841" s="11" t="n">
        <v>90</v>
      </c>
      <c r="K841" s="11" t="n">
        <v>90</v>
      </c>
      <c r="L841" s="0" t="str">
        <f aca="false">IF(H841&gt;I841,"ERRO","OK")</f>
        <v>OK</v>
      </c>
      <c r="M841" s="0" t="str">
        <f aca="false">IF(H841&gt;J841,"ERRO","OK")</f>
        <v>OK</v>
      </c>
      <c r="N841" s="0" t="str">
        <f aca="false">IF(I841&lt;J841,"ERRO","OK")</f>
        <v>OK</v>
      </c>
    </row>
    <row r="842" customFormat="false" ht="25" hidden="false" customHeight="false" outlineLevel="0" collapsed="false">
      <c r="A842" s="0" t="n">
        <v>58</v>
      </c>
      <c r="B842" s="0" t="n">
        <v>2024</v>
      </c>
      <c r="C842" s="3" t="n">
        <v>45469</v>
      </c>
      <c r="D842" s="4" t="s">
        <v>15</v>
      </c>
      <c r="E842" s="5" t="s">
        <v>25</v>
      </c>
      <c r="F842" s="5" t="s">
        <v>17</v>
      </c>
      <c r="G842" s="7" t="n">
        <v>24</v>
      </c>
      <c r="H842" s="7" t="n">
        <v>24</v>
      </c>
      <c r="I842" s="7" t="n">
        <v>30</v>
      </c>
      <c r="J842" s="7" t="n">
        <v>26</v>
      </c>
      <c r="K842" s="7" t="n">
        <v>24</v>
      </c>
      <c r="L842" s="0" t="str">
        <f aca="false">IF(H842&gt;I842,"ERRO","OK")</f>
        <v>OK</v>
      </c>
      <c r="M842" s="0" t="str">
        <f aca="false">IF(H842&gt;J842,"ERRO","OK")</f>
        <v>OK</v>
      </c>
      <c r="N842" s="0" t="str">
        <f aca="false">IF(I842&lt;J842,"ERRO","OK")</f>
        <v>OK</v>
      </c>
    </row>
    <row r="843" customFormat="false" ht="25" hidden="false" customHeight="false" outlineLevel="0" collapsed="false">
      <c r="A843" s="0" t="n">
        <v>58</v>
      </c>
      <c r="B843" s="0" t="n">
        <v>2024</v>
      </c>
      <c r="C843" s="3" t="n">
        <v>45469</v>
      </c>
      <c r="D843" s="8" t="s">
        <v>15</v>
      </c>
      <c r="E843" s="9" t="s">
        <v>77</v>
      </c>
      <c r="F843" s="9" t="s">
        <v>17</v>
      </c>
      <c r="G843" s="10"/>
      <c r="H843" s="11" t="n">
        <v>84</v>
      </c>
      <c r="I843" s="11" t="n">
        <v>96</v>
      </c>
      <c r="J843" s="11" t="n">
        <v>90</v>
      </c>
      <c r="K843" s="11" t="n">
        <v>90</v>
      </c>
      <c r="L843" s="0" t="str">
        <f aca="false">IF(H843&gt;I843,"ERRO","OK")</f>
        <v>OK</v>
      </c>
      <c r="M843" s="0" t="str">
        <f aca="false">IF(H843&gt;J843,"ERRO","OK")</f>
        <v>OK</v>
      </c>
      <c r="N843" s="0" t="str">
        <f aca="false">IF(I843&lt;J843,"ERRO","OK")</f>
        <v>OK</v>
      </c>
    </row>
    <row r="844" customFormat="false" ht="25" hidden="false" customHeight="false" outlineLevel="0" collapsed="false">
      <c r="A844" s="0" t="n">
        <v>58</v>
      </c>
      <c r="B844" s="0" t="n">
        <v>2024</v>
      </c>
      <c r="C844" s="3" t="n">
        <v>45469</v>
      </c>
      <c r="D844" s="4" t="s">
        <v>15</v>
      </c>
      <c r="E844" s="5" t="s">
        <v>27</v>
      </c>
      <c r="F844" s="5" t="s">
        <v>17</v>
      </c>
      <c r="G844" s="6"/>
      <c r="H844" s="7" t="n">
        <v>20</v>
      </c>
      <c r="I844" s="7" t="n">
        <v>24</v>
      </c>
      <c r="J844" s="7" t="n">
        <v>22</v>
      </c>
      <c r="K844" s="7" t="n">
        <v>22</v>
      </c>
      <c r="L844" s="0" t="str">
        <f aca="false">IF(H844&gt;I844,"ERRO","OK")</f>
        <v>OK</v>
      </c>
      <c r="M844" s="0" t="str">
        <f aca="false">IF(H844&gt;J844,"ERRO","OK")</f>
        <v>OK</v>
      </c>
      <c r="N844" s="0" t="str">
        <f aca="false">IF(I844&lt;J844,"ERRO","OK")</f>
        <v>OK</v>
      </c>
    </row>
    <row r="845" customFormat="false" ht="25" hidden="false" customHeight="false" outlineLevel="0" collapsed="false">
      <c r="A845" s="0" t="n">
        <v>58</v>
      </c>
      <c r="B845" s="0" t="n">
        <v>2024</v>
      </c>
      <c r="C845" s="3" t="n">
        <v>45469</v>
      </c>
      <c r="D845" s="8" t="s">
        <v>15</v>
      </c>
      <c r="E845" s="9" t="s">
        <v>28</v>
      </c>
      <c r="F845" s="9" t="s">
        <v>17</v>
      </c>
      <c r="G845" s="11" t="n">
        <v>72</v>
      </c>
      <c r="H845" s="11" t="n">
        <v>72</v>
      </c>
      <c r="I845" s="11" t="n">
        <v>72</v>
      </c>
      <c r="J845" s="11" t="n">
        <v>72</v>
      </c>
      <c r="K845" s="11" t="n">
        <v>72</v>
      </c>
      <c r="L845" s="0" t="str">
        <f aca="false">IF(H845&gt;I845,"ERRO","OK")</f>
        <v>OK</v>
      </c>
      <c r="M845" s="0" t="str">
        <f aca="false">IF(H845&gt;J845,"ERRO","OK")</f>
        <v>OK</v>
      </c>
      <c r="N845" s="0" t="str">
        <f aca="false">IF(I845&lt;J845,"ERRO","OK")</f>
        <v>OK</v>
      </c>
    </row>
    <row r="846" customFormat="false" ht="25" hidden="false" customHeight="false" outlineLevel="0" collapsed="false">
      <c r="A846" s="0" t="n">
        <v>58</v>
      </c>
      <c r="B846" s="0" t="n">
        <v>2024</v>
      </c>
      <c r="C846" s="3" t="n">
        <v>45469</v>
      </c>
      <c r="D846" s="4" t="s">
        <v>15</v>
      </c>
      <c r="E846" s="5" t="s">
        <v>29</v>
      </c>
      <c r="F846" s="5" t="s">
        <v>30</v>
      </c>
      <c r="G846" s="6"/>
      <c r="H846" s="7" t="n">
        <v>60</v>
      </c>
      <c r="I846" s="7" t="n">
        <v>72</v>
      </c>
      <c r="J846" s="7" t="n">
        <v>66</v>
      </c>
      <c r="K846" s="7" t="n">
        <v>66</v>
      </c>
      <c r="L846" s="0" t="str">
        <f aca="false">IF(H846&gt;I846,"ERRO","OK")</f>
        <v>OK</v>
      </c>
      <c r="M846" s="0" t="str">
        <f aca="false">IF(H846&gt;J846,"ERRO","OK")</f>
        <v>OK</v>
      </c>
      <c r="N846" s="0" t="str">
        <f aca="false">IF(I846&lt;J846,"ERRO","OK")</f>
        <v>OK</v>
      </c>
    </row>
    <row r="847" customFormat="false" ht="25" hidden="false" customHeight="false" outlineLevel="0" collapsed="false">
      <c r="A847" s="0" t="n">
        <v>58</v>
      </c>
      <c r="B847" s="0" t="n">
        <v>2024</v>
      </c>
      <c r="C847" s="3" t="n">
        <v>45469</v>
      </c>
      <c r="D847" s="8" t="s">
        <v>15</v>
      </c>
      <c r="E847" s="9" t="s">
        <v>31</v>
      </c>
      <c r="F847" s="9" t="s">
        <v>17</v>
      </c>
      <c r="G847" s="10"/>
      <c r="H847" s="11" t="n">
        <v>65</v>
      </c>
      <c r="I847" s="11" t="n">
        <v>72</v>
      </c>
      <c r="J847" s="11" t="s">
        <v>271</v>
      </c>
      <c r="K847" s="11" t="s">
        <v>271</v>
      </c>
      <c r="L847" s="0" t="str">
        <f aca="false">IF(H847&gt;I847,"ERRO","OK")</f>
        <v>OK</v>
      </c>
      <c r="M847" s="0" t="str">
        <f aca="false">IF(H847&gt;J847,"ERRO","OK")</f>
        <v>OK</v>
      </c>
      <c r="N847" s="0" t="str">
        <f aca="false">IF(I847&lt;J847,"ERRO","OK")</f>
        <v>ERRO</v>
      </c>
    </row>
    <row r="848" customFormat="false" ht="25" hidden="false" customHeight="false" outlineLevel="0" collapsed="false">
      <c r="A848" s="0" t="n">
        <v>58</v>
      </c>
      <c r="B848" s="0" t="n">
        <v>2024</v>
      </c>
      <c r="C848" s="3" t="n">
        <v>45469</v>
      </c>
      <c r="D848" s="4" t="s">
        <v>15</v>
      </c>
      <c r="E848" s="5" t="s">
        <v>32</v>
      </c>
      <c r="F848" s="5" t="s">
        <v>17</v>
      </c>
      <c r="G848" s="7" t="n">
        <v>60</v>
      </c>
      <c r="H848" s="7" t="n">
        <v>50</v>
      </c>
      <c r="I848" s="7" t="n">
        <v>60</v>
      </c>
      <c r="J848" s="7" t="s">
        <v>59</v>
      </c>
      <c r="K848" s="7" t="n">
        <v>60</v>
      </c>
      <c r="L848" s="0" t="str">
        <f aca="false">IF(H848&gt;I848,"ERRO","OK")</f>
        <v>OK</v>
      </c>
      <c r="M848" s="0" t="str">
        <f aca="false">IF(H848&gt;J848,"ERRO","OK")</f>
        <v>OK</v>
      </c>
      <c r="N848" s="0" t="str">
        <f aca="false">IF(I848&lt;J848,"ERRO","OK")</f>
        <v>ERRO</v>
      </c>
    </row>
    <row r="849" customFormat="false" ht="25" hidden="false" customHeight="false" outlineLevel="0" collapsed="false">
      <c r="A849" s="0" t="n">
        <v>58</v>
      </c>
      <c r="B849" s="0" t="n">
        <v>2024</v>
      </c>
      <c r="C849" s="3" t="n">
        <v>45469</v>
      </c>
      <c r="D849" s="8" t="s">
        <v>15</v>
      </c>
      <c r="E849" s="9" t="s">
        <v>33</v>
      </c>
      <c r="F849" s="9" t="s">
        <v>17</v>
      </c>
      <c r="G849" s="10"/>
      <c r="H849" s="11" t="n">
        <v>54</v>
      </c>
      <c r="I849" s="11" t="n">
        <v>72</v>
      </c>
      <c r="J849" s="11" t="n">
        <v>62</v>
      </c>
      <c r="K849" s="11" t="n">
        <v>60</v>
      </c>
      <c r="L849" s="0" t="str">
        <f aca="false">IF(H849&gt;I849,"ERRO","OK")</f>
        <v>OK</v>
      </c>
      <c r="M849" s="0" t="str">
        <f aca="false">IF(H849&gt;J849,"ERRO","OK")</f>
        <v>OK</v>
      </c>
      <c r="N849" s="0" t="str">
        <f aca="false">IF(I849&lt;J849,"ERRO","OK")</f>
        <v>OK</v>
      </c>
    </row>
    <row r="850" customFormat="false" ht="25" hidden="false" customHeight="false" outlineLevel="0" collapsed="false">
      <c r="A850" s="0" t="n">
        <v>58</v>
      </c>
      <c r="B850" s="0" t="n">
        <v>2024</v>
      </c>
      <c r="C850" s="3" t="n">
        <v>45469</v>
      </c>
      <c r="D850" s="4" t="s">
        <v>34</v>
      </c>
      <c r="E850" s="5" t="s">
        <v>35</v>
      </c>
      <c r="F850" s="5" t="s">
        <v>36</v>
      </c>
      <c r="G850" s="7" t="n">
        <v>5</v>
      </c>
      <c r="H850" s="7" t="n">
        <v>5</v>
      </c>
      <c r="I850" s="7" t="n">
        <v>5</v>
      </c>
      <c r="J850" s="7" t="n">
        <v>5</v>
      </c>
      <c r="K850" s="7" t="n">
        <v>5</v>
      </c>
      <c r="L850" s="0" t="str">
        <f aca="false">IF(H850&gt;I850,"ERRO","OK")</f>
        <v>OK</v>
      </c>
      <c r="M850" s="0" t="str">
        <f aca="false">IF(H850&gt;J850,"ERRO","OK")</f>
        <v>OK</v>
      </c>
      <c r="N850" s="0" t="str">
        <f aca="false">IF(I850&lt;J850,"ERRO","OK")</f>
        <v>OK</v>
      </c>
    </row>
    <row r="851" customFormat="false" ht="25" hidden="false" customHeight="false" outlineLevel="0" collapsed="false">
      <c r="A851" s="0" t="n">
        <v>58</v>
      </c>
      <c r="B851" s="0" t="n">
        <v>2024</v>
      </c>
      <c r="C851" s="3" t="n">
        <v>45469</v>
      </c>
      <c r="D851" s="8" t="s">
        <v>34</v>
      </c>
      <c r="E851" s="9" t="s">
        <v>38</v>
      </c>
      <c r="F851" s="9" t="s">
        <v>39</v>
      </c>
      <c r="G851" s="11" t="n">
        <v>20</v>
      </c>
      <c r="H851" s="11" t="n">
        <v>20</v>
      </c>
      <c r="I851" s="11" t="n">
        <v>20</v>
      </c>
      <c r="J851" s="11" t="n">
        <v>20</v>
      </c>
      <c r="K851" s="11" t="n">
        <v>20</v>
      </c>
      <c r="L851" s="0" t="str">
        <f aca="false">IF(H851&gt;I851,"ERRO","OK")</f>
        <v>OK</v>
      </c>
      <c r="M851" s="0" t="str">
        <f aca="false">IF(H851&gt;J851,"ERRO","OK")</f>
        <v>OK</v>
      </c>
      <c r="N851" s="0" t="str">
        <f aca="false">IF(I851&lt;J851,"ERRO","OK")</f>
        <v>OK</v>
      </c>
    </row>
    <row r="852" customFormat="false" ht="25" hidden="false" customHeight="false" outlineLevel="0" collapsed="false">
      <c r="A852" s="0" t="n">
        <v>58</v>
      </c>
      <c r="B852" s="0" t="n">
        <v>2024</v>
      </c>
      <c r="C852" s="3" t="n">
        <v>45469</v>
      </c>
      <c r="D852" s="4" t="s">
        <v>34</v>
      </c>
      <c r="E852" s="5" t="s">
        <v>40</v>
      </c>
      <c r="F852" s="5" t="s">
        <v>39</v>
      </c>
      <c r="G852" s="6"/>
      <c r="H852" s="7" t="n">
        <v>15</v>
      </c>
      <c r="I852" s="7" t="n">
        <v>35</v>
      </c>
      <c r="J852" s="7" t="n">
        <v>25</v>
      </c>
      <c r="K852" s="7" t="n">
        <v>25</v>
      </c>
      <c r="L852" s="0" t="str">
        <f aca="false">IF(H852&gt;I852,"ERRO","OK")</f>
        <v>OK</v>
      </c>
      <c r="M852" s="0" t="str">
        <f aca="false">IF(H852&gt;J852,"ERRO","OK")</f>
        <v>OK</v>
      </c>
      <c r="N852" s="0" t="str">
        <f aca="false">IF(I852&lt;J852,"ERRO","OK")</f>
        <v>OK</v>
      </c>
    </row>
    <row r="853" customFormat="false" ht="36.5" hidden="false" customHeight="false" outlineLevel="0" collapsed="false">
      <c r="A853" s="0" t="n">
        <v>58</v>
      </c>
      <c r="B853" s="0" t="n">
        <v>2024</v>
      </c>
      <c r="C853" s="3" t="n">
        <v>45469</v>
      </c>
      <c r="D853" s="8" t="s">
        <v>42</v>
      </c>
      <c r="E853" s="9" t="s">
        <v>157</v>
      </c>
      <c r="F853" s="9" t="s">
        <v>158</v>
      </c>
      <c r="G853" s="10"/>
      <c r="H853" s="11" t="n">
        <v>70</v>
      </c>
      <c r="I853" s="11" t="n">
        <v>90</v>
      </c>
      <c r="J853" s="11" t="n">
        <v>80</v>
      </c>
      <c r="K853" s="11" t="n">
        <v>80</v>
      </c>
      <c r="L853" s="0" t="str">
        <f aca="false">IF(H853&gt;I853,"ERRO","OK")</f>
        <v>OK</v>
      </c>
      <c r="M853" s="0" t="str">
        <f aca="false">IF(H853&gt;J853,"ERRO","OK")</f>
        <v>OK</v>
      </c>
      <c r="N853" s="0" t="str">
        <f aca="false">IF(I853&lt;J853,"ERRO","OK")</f>
        <v>OK</v>
      </c>
    </row>
    <row r="854" customFormat="false" ht="36.5" hidden="false" customHeight="false" outlineLevel="0" collapsed="false">
      <c r="A854" s="0" t="n">
        <v>58</v>
      </c>
      <c r="B854" s="0" t="n">
        <v>2024</v>
      </c>
      <c r="C854" s="3" t="n">
        <v>45469</v>
      </c>
      <c r="D854" s="4" t="s">
        <v>42</v>
      </c>
      <c r="E854" s="5" t="s">
        <v>43</v>
      </c>
      <c r="F854" s="5" t="s">
        <v>44</v>
      </c>
      <c r="G854" s="7" t="n">
        <v>45</v>
      </c>
      <c r="H854" s="7" t="n">
        <v>40</v>
      </c>
      <c r="I854" s="7" t="n">
        <v>100</v>
      </c>
      <c r="J854" s="7" t="s">
        <v>246</v>
      </c>
      <c r="K854" s="7" t="n">
        <v>45</v>
      </c>
      <c r="L854" s="0" t="str">
        <f aca="false">IF(H854&gt;I854,"ERRO","OK")</f>
        <v>OK</v>
      </c>
      <c r="M854" s="0" t="str">
        <f aca="false">IF(H854&gt;J854,"ERRO","OK")</f>
        <v>OK</v>
      </c>
      <c r="N854" s="0" t="str">
        <f aca="false">IF(I854&lt;J854,"ERRO","OK")</f>
        <v>ERRO</v>
      </c>
    </row>
    <row r="855" customFormat="false" ht="36.5" hidden="false" customHeight="false" outlineLevel="0" collapsed="false">
      <c r="A855" s="0" t="n">
        <v>58</v>
      </c>
      <c r="B855" s="0" t="n">
        <v>2024</v>
      </c>
      <c r="C855" s="3" t="n">
        <v>45469</v>
      </c>
      <c r="D855" s="8" t="s">
        <v>42</v>
      </c>
      <c r="E855" s="9" t="s">
        <v>46</v>
      </c>
      <c r="F855" s="9" t="s">
        <v>47</v>
      </c>
      <c r="G855" s="11" t="n">
        <v>65</v>
      </c>
      <c r="H855" s="11" t="n">
        <v>45</v>
      </c>
      <c r="I855" s="11" t="n">
        <v>70</v>
      </c>
      <c r="J855" s="11" t="s">
        <v>272</v>
      </c>
      <c r="K855" s="11" t="s">
        <v>84</v>
      </c>
      <c r="L855" s="0" t="str">
        <f aca="false">IF(H855&gt;I855,"ERRO","OK")</f>
        <v>OK</v>
      </c>
      <c r="M855" s="0" t="str">
        <f aca="false">IF(H855&gt;J855,"ERRO","OK")</f>
        <v>OK</v>
      </c>
      <c r="N855" s="0" t="str">
        <f aca="false">IF(I855&lt;J855,"ERRO","OK")</f>
        <v>ERRO</v>
      </c>
    </row>
    <row r="856" customFormat="false" ht="36.5" hidden="false" customHeight="false" outlineLevel="0" collapsed="false">
      <c r="A856" s="0" t="n">
        <v>58</v>
      </c>
      <c r="B856" s="0" t="n">
        <v>2024</v>
      </c>
      <c r="C856" s="3" t="n">
        <v>45469</v>
      </c>
      <c r="D856" s="4" t="s">
        <v>42</v>
      </c>
      <c r="E856" s="5" t="s">
        <v>48</v>
      </c>
      <c r="F856" s="5" t="s">
        <v>49</v>
      </c>
      <c r="G856" s="7" t="n">
        <v>40</v>
      </c>
      <c r="H856" s="7" t="n">
        <v>40</v>
      </c>
      <c r="I856" s="7" t="n">
        <v>55</v>
      </c>
      <c r="J856" s="7" t="s">
        <v>94</v>
      </c>
      <c r="K856" s="7" t="n">
        <v>45</v>
      </c>
      <c r="L856" s="0" t="str">
        <f aca="false">IF(H856&gt;I856,"ERRO","OK")</f>
        <v>OK</v>
      </c>
      <c r="M856" s="0" t="str">
        <f aca="false">IF(H856&gt;J856,"ERRO","OK")</f>
        <v>OK</v>
      </c>
      <c r="N856" s="0" t="str">
        <f aca="false">IF(I856&lt;J856,"ERRO","OK")</f>
        <v>ERRO</v>
      </c>
    </row>
    <row r="857" customFormat="false" ht="36.5" hidden="false" customHeight="false" outlineLevel="0" collapsed="false">
      <c r="A857" s="0" t="n">
        <v>58</v>
      </c>
      <c r="B857" s="0" t="n">
        <v>2024</v>
      </c>
      <c r="C857" s="3" t="n">
        <v>45469</v>
      </c>
      <c r="D857" s="8" t="s">
        <v>42</v>
      </c>
      <c r="E857" s="9" t="s">
        <v>52</v>
      </c>
      <c r="F857" s="9" t="s">
        <v>49</v>
      </c>
      <c r="G857" s="10"/>
      <c r="H857" s="11" t="n">
        <v>45</v>
      </c>
      <c r="I857" s="11" t="n">
        <v>115</v>
      </c>
      <c r="J857" s="11" t="s">
        <v>159</v>
      </c>
      <c r="K857" s="11" t="s">
        <v>138</v>
      </c>
      <c r="L857" s="0" t="str">
        <f aca="false">IF(H857&gt;I857,"ERRO","OK")</f>
        <v>OK</v>
      </c>
      <c r="M857" s="0" t="str">
        <f aca="false">IF(H857&gt;J857,"ERRO","OK")</f>
        <v>OK</v>
      </c>
      <c r="N857" s="0" t="str">
        <f aca="false">IF(I857&lt;J857,"ERRO","OK")</f>
        <v>ERRO</v>
      </c>
    </row>
    <row r="858" customFormat="false" ht="36.5" hidden="false" customHeight="false" outlineLevel="0" collapsed="false">
      <c r="A858" s="0" t="n">
        <v>58</v>
      </c>
      <c r="B858" s="0" t="n">
        <v>2024</v>
      </c>
      <c r="C858" s="3" t="n">
        <v>45469</v>
      </c>
      <c r="D858" s="4" t="s">
        <v>42</v>
      </c>
      <c r="E858" s="5" t="s">
        <v>53</v>
      </c>
      <c r="F858" s="5" t="s">
        <v>54</v>
      </c>
      <c r="G858" s="7" t="n">
        <v>80</v>
      </c>
      <c r="H858" s="7" t="n">
        <v>70</v>
      </c>
      <c r="I858" s="7" t="n">
        <v>100</v>
      </c>
      <c r="J858" s="7" t="n">
        <v>85</v>
      </c>
      <c r="K858" s="7" t="n">
        <v>80</v>
      </c>
      <c r="L858" s="0" t="str">
        <f aca="false">IF(H858&gt;I858,"ERRO","OK")</f>
        <v>OK</v>
      </c>
      <c r="M858" s="0" t="str">
        <f aca="false">IF(H858&gt;J858,"ERRO","OK")</f>
        <v>OK</v>
      </c>
      <c r="N858" s="0" t="str">
        <f aca="false">IF(I858&lt;J858,"ERRO","OK")</f>
        <v>OK</v>
      </c>
    </row>
    <row r="859" customFormat="false" ht="36.5" hidden="false" customHeight="false" outlineLevel="0" collapsed="false">
      <c r="A859" s="0" t="n">
        <v>58</v>
      </c>
      <c r="B859" s="0" t="n">
        <v>2024</v>
      </c>
      <c r="C859" s="3" t="n">
        <v>45469</v>
      </c>
      <c r="D859" s="8" t="s">
        <v>42</v>
      </c>
      <c r="E859" s="9" t="s">
        <v>56</v>
      </c>
      <c r="F859" s="9" t="s">
        <v>47</v>
      </c>
      <c r="G859" s="11" t="n">
        <v>90</v>
      </c>
      <c r="H859" s="11" t="n">
        <v>65</v>
      </c>
      <c r="I859" s="11" t="n">
        <v>90</v>
      </c>
      <c r="J859" s="11" t="n">
        <v>81</v>
      </c>
      <c r="K859" s="11" t="n">
        <v>90</v>
      </c>
      <c r="L859" s="0" t="str">
        <f aca="false">IF(H859&gt;I859,"ERRO","OK")</f>
        <v>OK</v>
      </c>
      <c r="M859" s="0" t="str">
        <f aca="false">IF(H859&gt;J859,"ERRO","OK")</f>
        <v>OK</v>
      </c>
      <c r="N859" s="0" t="str">
        <f aca="false">IF(I859&lt;J859,"ERRO","OK")</f>
        <v>OK</v>
      </c>
    </row>
    <row r="860" customFormat="false" ht="36.5" hidden="false" customHeight="false" outlineLevel="0" collapsed="false">
      <c r="A860" s="0" t="n">
        <v>58</v>
      </c>
      <c r="B860" s="0" t="n">
        <v>2024</v>
      </c>
      <c r="C860" s="3" t="n">
        <v>45469</v>
      </c>
      <c r="D860" s="4" t="s">
        <v>42</v>
      </c>
      <c r="E860" s="5" t="s">
        <v>57</v>
      </c>
      <c r="F860" s="5" t="s">
        <v>47</v>
      </c>
      <c r="G860" s="6"/>
      <c r="H860" s="7" t="n">
        <v>55</v>
      </c>
      <c r="I860" s="7" t="n">
        <v>80</v>
      </c>
      <c r="J860" s="7" t="s">
        <v>269</v>
      </c>
      <c r="K860" s="7" t="n">
        <v>65</v>
      </c>
      <c r="L860" s="0" t="str">
        <f aca="false">IF(H860&gt;I860,"ERRO","OK")</f>
        <v>OK</v>
      </c>
      <c r="M860" s="0" t="str">
        <f aca="false">IF(H860&gt;J860,"ERRO","OK")</f>
        <v>OK</v>
      </c>
      <c r="N860" s="0" t="str">
        <f aca="false">IF(I860&lt;J860,"ERRO","OK")</f>
        <v>ERRO</v>
      </c>
    </row>
    <row r="861" customFormat="false" ht="36.5" hidden="false" customHeight="false" outlineLevel="0" collapsed="false">
      <c r="A861" s="0" t="n">
        <v>58</v>
      </c>
      <c r="B861" s="0" t="n">
        <v>2024</v>
      </c>
      <c r="C861" s="3" t="n">
        <v>45469</v>
      </c>
      <c r="D861" s="8" t="s">
        <v>42</v>
      </c>
      <c r="E861" s="9" t="s">
        <v>58</v>
      </c>
      <c r="F861" s="9" t="s">
        <v>44</v>
      </c>
      <c r="G861" s="11" t="n">
        <v>100</v>
      </c>
      <c r="H861" s="11" t="n">
        <v>80</v>
      </c>
      <c r="I861" s="11" t="n">
        <v>100</v>
      </c>
      <c r="J861" s="11" t="n">
        <v>95</v>
      </c>
      <c r="K861" s="11" t="n">
        <v>100</v>
      </c>
      <c r="L861" s="0" t="str">
        <f aca="false">IF(H861&gt;I861,"ERRO","OK")</f>
        <v>OK</v>
      </c>
      <c r="M861" s="0" t="str">
        <f aca="false">IF(H861&gt;J861,"ERRO","OK")</f>
        <v>OK</v>
      </c>
      <c r="N861" s="0" t="str">
        <f aca="false">IF(I861&lt;J861,"ERRO","OK")</f>
        <v>OK</v>
      </c>
    </row>
    <row r="862" customFormat="false" ht="36.5" hidden="false" customHeight="false" outlineLevel="0" collapsed="false">
      <c r="A862" s="0" t="n">
        <v>58</v>
      </c>
      <c r="B862" s="0" t="n">
        <v>2024</v>
      </c>
      <c r="C862" s="3" t="n">
        <v>45469</v>
      </c>
      <c r="D862" s="4" t="s">
        <v>42</v>
      </c>
      <c r="E862" s="5" t="s">
        <v>60</v>
      </c>
      <c r="F862" s="5" t="s">
        <v>47</v>
      </c>
      <c r="G862" s="6"/>
      <c r="H862" s="7" t="n">
        <v>40</v>
      </c>
      <c r="I862" s="7" t="n">
        <v>60</v>
      </c>
      <c r="J862" s="7" t="s">
        <v>258</v>
      </c>
      <c r="K862" s="7" t="s">
        <v>82</v>
      </c>
      <c r="L862" s="0" t="str">
        <f aca="false">IF(H862&gt;I862,"ERRO","OK")</f>
        <v>OK</v>
      </c>
      <c r="M862" s="0" t="str">
        <f aca="false">IF(H862&gt;J862,"ERRO","OK")</f>
        <v>OK</v>
      </c>
      <c r="N862" s="0" t="str">
        <f aca="false">IF(I862&lt;J862,"ERRO","OK")</f>
        <v>ERRO</v>
      </c>
    </row>
    <row r="863" customFormat="false" ht="36.5" hidden="false" customHeight="false" outlineLevel="0" collapsed="false">
      <c r="A863" s="0" t="n">
        <v>58</v>
      </c>
      <c r="B863" s="0" t="n">
        <v>2024</v>
      </c>
      <c r="C863" s="3" t="n">
        <v>45469</v>
      </c>
      <c r="D863" s="8" t="s">
        <v>42</v>
      </c>
      <c r="E863" s="9" t="s">
        <v>61</v>
      </c>
      <c r="F863" s="9" t="s">
        <v>44</v>
      </c>
      <c r="G863" s="10"/>
      <c r="H863" s="11" t="n">
        <v>50</v>
      </c>
      <c r="I863" s="11" t="n">
        <v>70</v>
      </c>
      <c r="J863" s="11" t="s">
        <v>135</v>
      </c>
      <c r="K863" s="11" t="n">
        <v>65</v>
      </c>
      <c r="L863" s="0" t="str">
        <f aca="false">IF(H863&gt;I863,"ERRO","OK")</f>
        <v>OK</v>
      </c>
      <c r="M863" s="0" t="str">
        <f aca="false">IF(H863&gt;J863,"ERRO","OK")</f>
        <v>OK</v>
      </c>
      <c r="N863" s="0" t="str">
        <f aca="false">IF(I863&lt;J863,"ERRO","OK")</f>
        <v>ERRO</v>
      </c>
    </row>
    <row r="864" customFormat="false" ht="36.5" hidden="false" customHeight="false" outlineLevel="0" collapsed="false">
      <c r="A864" s="0" t="n">
        <v>58</v>
      </c>
      <c r="B864" s="0" t="n">
        <v>2024</v>
      </c>
      <c r="C864" s="3" t="n">
        <v>45469</v>
      </c>
      <c r="D864" s="4" t="s">
        <v>42</v>
      </c>
      <c r="E864" s="5" t="s">
        <v>62</v>
      </c>
      <c r="F864" s="5" t="s">
        <v>44</v>
      </c>
      <c r="G864" s="7" t="n">
        <v>60</v>
      </c>
      <c r="H864" s="7" t="n">
        <v>60</v>
      </c>
      <c r="I864" s="7" t="n">
        <v>70</v>
      </c>
      <c r="J864" s="7" t="n">
        <v>65</v>
      </c>
      <c r="K864" s="7" t="n">
        <v>65</v>
      </c>
      <c r="L864" s="0" t="str">
        <f aca="false">IF(H864&gt;I864,"ERRO","OK")</f>
        <v>OK</v>
      </c>
      <c r="M864" s="0" t="str">
        <f aca="false">IF(H864&gt;J864,"ERRO","OK")</f>
        <v>OK</v>
      </c>
      <c r="N864" s="0" t="str">
        <f aca="false">IF(I864&lt;J864,"ERRO","OK")</f>
        <v>OK</v>
      </c>
    </row>
    <row r="865" customFormat="false" ht="36.5" hidden="false" customHeight="false" outlineLevel="0" collapsed="false">
      <c r="A865" s="0" t="n">
        <v>58</v>
      </c>
      <c r="B865" s="0" t="n">
        <v>2024</v>
      </c>
      <c r="C865" s="3" t="n">
        <v>45469</v>
      </c>
      <c r="D865" s="8" t="s">
        <v>42</v>
      </c>
      <c r="E865" s="9" t="s">
        <v>63</v>
      </c>
      <c r="F865" s="9" t="s">
        <v>49</v>
      </c>
      <c r="G865" s="11" t="n">
        <v>45</v>
      </c>
      <c r="H865" s="11" t="n">
        <v>40</v>
      </c>
      <c r="I865" s="11" t="n">
        <v>60</v>
      </c>
      <c r="J865" s="11" t="s">
        <v>116</v>
      </c>
      <c r="K865" s="11" t="n">
        <v>50</v>
      </c>
      <c r="L865" s="0" t="str">
        <f aca="false">IF(H865&gt;I865,"ERRO","OK")</f>
        <v>OK</v>
      </c>
      <c r="M865" s="0" t="str">
        <f aca="false">IF(H865&gt;J865,"ERRO","OK")</f>
        <v>OK</v>
      </c>
      <c r="N865" s="0" t="str">
        <f aca="false">IF(I865&lt;J865,"ERRO","OK")</f>
        <v>ERRO</v>
      </c>
    </row>
    <row r="866" customFormat="false" ht="36.5" hidden="false" customHeight="false" outlineLevel="0" collapsed="false">
      <c r="A866" s="0" t="n">
        <v>58</v>
      </c>
      <c r="B866" s="0" t="n">
        <v>2024</v>
      </c>
      <c r="C866" s="3" t="n">
        <v>45469</v>
      </c>
      <c r="D866" s="4" t="s">
        <v>42</v>
      </c>
      <c r="E866" s="5" t="s">
        <v>64</v>
      </c>
      <c r="F866" s="5" t="s">
        <v>65</v>
      </c>
      <c r="G866" s="6"/>
      <c r="H866" s="7" t="n">
        <v>120</v>
      </c>
      <c r="I866" s="7" t="n">
        <v>180</v>
      </c>
      <c r="J866" s="7" t="s">
        <v>273</v>
      </c>
      <c r="K866" s="7" t="n">
        <v>130</v>
      </c>
      <c r="L866" s="0" t="str">
        <f aca="false">IF(H866&gt;I866,"ERRO","OK")</f>
        <v>OK</v>
      </c>
      <c r="M866" s="0" t="str">
        <f aca="false">IF(H866&gt;J866,"ERRO","OK")</f>
        <v>OK</v>
      </c>
      <c r="N866" s="0" t="str">
        <f aca="false">IF(I866&lt;J866,"ERRO","OK")</f>
        <v>ERRO</v>
      </c>
    </row>
    <row r="867" customFormat="false" ht="36.5" hidden="false" customHeight="false" outlineLevel="0" collapsed="false">
      <c r="A867" s="0" t="n">
        <v>58</v>
      </c>
      <c r="B867" s="0" t="n">
        <v>2024</v>
      </c>
      <c r="C867" s="3" t="n">
        <v>45469</v>
      </c>
      <c r="D867" s="8" t="s">
        <v>42</v>
      </c>
      <c r="E867" s="9" t="s">
        <v>67</v>
      </c>
      <c r="F867" s="9" t="s">
        <v>44</v>
      </c>
      <c r="G867" s="11" t="n">
        <v>70</v>
      </c>
      <c r="H867" s="11" t="n">
        <v>70</v>
      </c>
      <c r="I867" s="11" t="n">
        <v>100</v>
      </c>
      <c r="J867" s="11" t="s">
        <v>274</v>
      </c>
      <c r="K867" s="11" t="n">
        <v>80</v>
      </c>
      <c r="L867" s="0" t="str">
        <f aca="false">IF(H867&gt;I867,"ERRO","OK")</f>
        <v>OK</v>
      </c>
      <c r="M867" s="0" t="str">
        <f aca="false">IF(H867&gt;J867,"ERRO","OK")</f>
        <v>OK</v>
      </c>
      <c r="N867" s="0" t="str">
        <f aca="false">IF(I867&lt;J867,"ERRO","OK")</f>
        <v>ERRO</v>
      </c>
    </row>
    <row r="868" customFormat="false" ht="36.5" hidden="false" customHeight="false" outlineLevel="0" collapsed="false">
      <c r="A868" s="0" t="n">
        <v>58</v>
      </c>
      <c r="B868" s="0" t="n">
        <v>2024</v>
      </c>
      <c r="C868" s="3" t="n">
        <v>45469</v>
      </c>
      <c r="D868" s="4" t="s">
        <v>42</v>
      </c>
      <c r="E868" s="5" t="s">
        <v>68</v>
      </c>
      <c r="F868" s="5" t="s">
        <v>44</v>
      </c>
      <c r="G868" s="7" t="n">
        <v>120</v>
      </c>
      <c r="H868" s="7" t="n">
        <v>100</v>
      </c>
      <c r="I868" s="7" t="n">
        <v>200</v>
      </c>
      <c r="J868" s="7" t="n">
        <v>135</v>
      </c>
      <c r="K868" s="7" t="n">
        <v>120</v>
      </c>
      <c r="L868" s="0" t="str">
        <f aca="false">IF(H868&gt;I868,"ERRO","OK")</f>
        <v>OK</v>
      </c>
      <c r="M868" s="0" t="str">
        <f aca="false">IF(H868&gt;J868,"ERRO","OK")</f>
        <v>OK</v>
      </c>
      <c r="N868" s="0" t="str">
        <f aca="false">IF(I868&lt;J868,"ERRO","OK")</f>
        <v>OK</v>
      </c>
    </row>
    <row r="869" customFormat="false" ht="14.25" hidden="false" customHeight="false" outlineLevel="0" collapsed="false">
      <c r="A869" s="0" t="n">
        <v>58</v>
      </c>
      <c r="B869" s="0" t="n">
        <v>2024</v>
      </c>
      <c r="C869" s="3" t="n">
        <v>45469</v>
      </c>
      <c r="D869" s="8" t="s">
        <v>69</v>
      </c>
      <c r="E869" s="9" t="s">
        <v>70</v>
      </c>
      <c r="F869" s="9" t="s">
        <v>49</v>
      </c>
      <c r="G869" s="10"/>
      <c r="H869" s="11" t="n">
        <v>130</v>
      </c>
      <c r="I869" s="11" t="n">
        <v>130</v>
      </c>
      <c r="J869" s="11" t="n">
        <v>130</v>
      </c>
      <c r="K869" s="11" t="n">
        <v>130</v>
      </c>
      <c r="L869" s="0" t="str">
        <f aca="false">IF(H869&gt;I869,"ERRO","OK")</f>
        <v>OK</v>
      </c>
      <c r="M869" s="0" t="str">
        <f aca="false">IF(H869&gt;J869,"ERRO","OK")</f>
        <v>OK</v>
      </c>
      <c r="N869" s="0" t="str">
        <f aca="false">IF(I869&lt;J869,"ERRO","OK")</f>
        <v>OK</v>
      </c>
    </row>
    <row r="870" customFormat="false" ht="14.25" hidden="false" customHeight="false" outlineLevel="0" collapsed="false">
      <c r="A870" s="0" t="n">
        <v>58</v>
      </c>
      <c r="B870" s="0" t="n">
        <v>2024</v>
      </c>
      <c r="C870" s="3" t="n">
        <v>45469</v>
      </c>
      <c r="D870" s="4" t="s">
        <v>69</v>
      </c>
      <c r="E870" s="5" t="s">
        <v>71</v>
      </c>
      <c r="F870" s="5" t="s">
        <v>49</v>
      </c>
      <c r="G870" s="6"/>
      <c r="H870" s="6"/>
      <c r="I870" s="6"/>
      <c r="J870" s="6"/>
      <c r="K870" s="6"/>
      <c r="L870" s="0" t="str">
        <f aca="false">IF(H870&gt;I870,"ERRO","OK")</f>
        <v>OK</v>
      </c>
      <c r="M870" s="0" t="str">
        <f aca="false">IF(H870&gt;J870,"ERRO","OK")</f>
        <v>OK</v>
      </c>
      <c r="N870" s="0" t="str">
        <f aca="false">IF(I870&lt;J870,"ERRO","OK")</f>
        <v>OK</v>
      </c>
    </row>
    <row r="871" customFormat="false" ht="14.25" hidden="false" customHeight="false" outlineLevel="0" collapsed="false">
      <c r="A871" s="0" t="n">
        <v>58</v>
      </c>
      <c r="B871" s="0" t="n">
        <v>2024</v>
      </c>
      <c r="C871" s="3" t="n">
        <v>45469</v>
      </c>
      <c r="D871" s="8" t="s">
        <v>69</v>
      </c>
      <c r="E871" s="9" t="s">
        <v>72</v>
      </c>
      <c r="F871" s="9" t="s">
        <v>49</v>
      </c>
      <c r="G871" s="10"/>
      <c r="H871" s="10"/>
      <c r="I871" s="10"/>
      <c r="J871" s="10"/>
      <c r="K871" s="10"/>
      <c r="L871" s="0" t="str">
        <f aca="false">IF(H871&gt;I871,"ERRO","OK")</f>
        <v>OK</v>
      </c>
      <c r="M871" s="0" t="str">
        <f aca="false">IF(H871&gt;J871,"ERRO","OK")</f>
        <v>OK</v>
      </c>
      <c r="N871" s="0" t="str">
        <f aca="false">IF(I871&lt;J871,"ERRO","OK")</f>
        <v>OK</v>
      </c>
    </row>
    <row r="872" customFormat="false" ht="14.25" hidden="false" customHeight="false" outlineLevel="0" collapsed="false">
      <c r="A872" s="0" t="n">
        <v>58</v>
      </c>
      <c r="B872" s="0" t="n">
        <v>2024</v>
      </c>
      <c r="C872" s="3" t="n">
        <v>45469</v>
      </c>
      <c r="D872" s="4" t="s">
        <v>69</v>
      </c>
      <c r="E872" s="5" t="s">
        <v>73</v>
      </c>
      <c r="F872" s="5" t="s">
        <v>49</v>
      </c>
      <c r="G872" s="6"/>
      <c r="H872" s="7" t="n">
        <v>50</v>
      </c>
      <c r="I872" s="7" t="n">
        <v>50</v>
      </c>
      <c r="J872" s="7" t="n">
        <v>50</v>
      </c>
      <c r="K872" s="7" t="n">
        <v>50</v>
      </c>
      <c r="L872" s="0" t="str">
        <f aca="false">IF(H872&gt;I872,"ERRO","OK")</f>
        <v>OK</v>
      </c>
      <c r="M872" s="0" t="str">
        <f aca="false">IF(H872&gt;J872,"ERRO","OK")</f>
        <v>OK</v>
      </c>
      <c r="N872" s="0" t="str">
        <f aca="false">IF(I872&lt;J872,"ERRO","OK")</f>
        <v>OK</v>
      </c>
    </row>
    <row r="873" customFormat="false" ht="14.25" hidden="false" customHeight="false" outlineLevel="0" collapsed="false">
      <c r="A873" s="0" t="n">
        <v>58</v>
      </c>
      <c r="B873" s="0" t="n">
        <v>2024</v>
      </c>
      <c r="C873" s="3" t="n">
        <v>45469</v>
      </c>
      <c r="D873" s="8" t="s">
        <v>69</v>
      </c>
      <c r="E873" s="9" t="s">
        <v>74</v>
      </c>
      <c r="F873" s="9" t="s">
        <v>75</v>
      </c>
      <c r="G873" s="10"/>
      <c r="H873" s="11" t="n">
        <v>60</v>
      </c>
      <c r="I873" s="11" t="n">
        <v>65</v>
      </c>
      <c r="J873" s="11" t="s">
        <v>84</v>
      </c>
      <c r="K873" s="11" t="s">
        <v>84</v>
      </c>
      <c r="L873" s="0" t="str">
        <f aca="false">IF(H873&gt;I873,"ERRO","OK")</f>
        <v>OK</v>
      </c>
      <c r="M873" s="0" t="str">
        <f aca="false">IF(H873&gt;J873,"ERRO","OK")</f>
        <v>OK</v>
      </c>
      <c r="N873" s="0" t="str">
        <f aca="false">IF(I873&lt;J873,"ERRO","OK")</f>
        <v>ERRO</v>
      </c>
    </row>
    <row r="874" customFormat="false" ht="25" hidden="false" customHeight="false" outlineLevel="0" collapsed="false">
      <c r="A874" s="0" t="n">
        <v>59</v>
      </c>
      <c r="B874" s="0" t="n">
        <v>2024</v>
      </c>
      <c r="C874" s="3" t="n">
        <v>45476</v>
      </c>
      <c r="D874" s="4" t="s">
        <v>15</v>
      </c>
      <c r="E874" s="5" t="s">
        <v>16</v>
      </c>
      <c r="F874" s="5" t="s">
        <v>17</v>
      </c>
      <c r="G874" s="7" t="n">
        <v>60</v>
      </c>
      <c r="H874" s="7" t="n">
        <v>48</v>
      </c>
      <c r="I874" s="7" t="n">
        <v>60</v>
      </c>
      <c r="J874" s="7" t="n">
        <v>57</v>
      </c>
      <c r="K874" s="7" t="n">
        <v>60</v>
      </c>
      <c r="L874" s="0" t="str">
        <f aca="false">IF(H874&gt;I874,"ERRO","OK")</f>
        <v>OK</v>
      </c>
      <c r="M874" s="0" t="str">
        <f aca="false">IF(H874&gt;J874,"ERRO","OK")</f>
        <v>OK</v>
      </c>
      <c r="N874" s="0" t="str">
        <f aca="false">IF(I874&lt;J874,"ERRO","OK")</f>
        <v>OK</v>
      </c>
    </row>
    <row r="875" customFormat="false" ht="25" hidden="false" customHeight="false" outlineLevel="0" collapsed="false">
      <c r="A875" s="0" t="n">
        <v>59</v>
      </c>
      <c r="B875" s="0" t="n">
        <v>2024</v>
      </c>
      <c r="C875" s="3" t="n">
        <v>45476</v>
      </c>
      <c r="D875" s="8" t="s">
        <v>15</v>
      </c>
      <c r="E875" s="9" t="s">
        <v>18</v>
      </c>
      <c r="F875" s="9" t="s">
        <v>17</v>
      </c>
      <c r="G875" s="11" t="n">
        <v>72</v>
      </c>
      <c r="H875" s="11" t="n">
        <v>72</v>
      </c>
      <c r="I875" s="11" t="n">
        <v>84</v>
      </c>
      <c r="J875" s="11" t="n">
        <v>75</v>
      </c>
      <c r="K875" s="11" t="n">
        <v>72</v>
      </c>
      <c r="L875" s="0" t="str">
        <f aca="false">IF(H875&gt;I875,"ERRO","OK")</f>
        <v>OK</v>
      </c>
      <c r="M875" s="0" t="str">
        <f aca="false">IF(H875&gt;J875,"ERRO","OK")</f>
        <v>OK</v>
      </c>
      <c r="N875" s="0" t="str">
        <f aca="false">IF(I875&lt;J875,"ERRO","OK")</f>
        <v>OK</v>
      </c>
    </row>
    <row r="876" customFormat="false" ht="25" hidden="false" customHeight="false" outlineLevel="0" collapsed="false">
      <c r="A876" s="0" t="n">
        <v>59</v>
      </c>
      <c r="B876" s="0" t="n">
        <v>2024</v>
      </c>
      <c r="C876" s="3" t="n">
        <v>45476</v>
      </c>
      <c r="D876" s="4" t="s">
        <v>15</v>
      </c>
      <c r="E876" s="5" t="s">
        <v>19</v>
      </c>
      <c r="F876" s="5" t="s">
        <v>17</v>
      </c>
      <c r="G876" s="6"/>
      <c r="H876" s="7" t="n">
        <v>30</v>
      </c>
      <c r="I876" s="7" t="n">
        <v>48</v>
      </c>
      <c r="J876" s="7" t="n">
        <v>39</v>
      </c>
      <c r="K876" s="7" t="n">
        <v>39</v>
      </c>
      <c r="L876" s="0" t="str">
        <f aca="false">IF(H876&gt;I876,"ERRO","OK")</f>
        <v>OK</v>
      </c>
      <c r="M876" s="0" t="str">
        <f aca="false">IF(H876&gt;J876,"ERRO","OK")</f>
        <v>OK</v>
      </c>
      <c r="N876" s="0" t="str">
        <f aca="false">IF(I876&lt;J876,"ERRO","OK")</f>
        <v>OK</v>
      </c>
    </row>
    <row r="877" customFormat="false" ht="25" hidden="false" customHeight="false" outlineLevel="0" collapsed="false">
      <c r="A877" s="0" t="n">
        <v>59</v>
      </c>
      <c r="B877" s="0" t="n">
        <v>2024</v>
      </c>
      <c r="C877" s="3" t="n">
        <v>45476</v>
      </c>
      <c r="D877" s="8" t="s">
        <v>15</v>
      </c>
      <c r="E877" s="9" t="s">
        <v>20</v>
      </c>
      <c r="F877" s="9" t="s">
        <v>17</v>
      </c>
      <c r="G877" s="11" t="n">
        <v>30</v>
      </c>
      <c r="H877" s="11" t="n">
        <v>20</v>
      </c>
      <c r="I877" s="11" t="n">
        <v>30</v>
      </c>
      <c r="J877" s="11" t="n">
        <v>26</v>
      </c>
      <c r="K877" s="11" t="n">
        <v>27</v>
      </c>
      <c r="L877" s="0" t="str">
        <f aca="false">IF(H877&gt;I877,"ERRO","OK")</f>
        <v>OK</v>
      </c>
      <c r="M877" s="0" t="str">
        <f aca="false">IF(H877&gt;J877,"ERRO","OK")</f>
        <v>OK</v>
      </c>
      <c r="N877" s="0" t="str">
        <f aca="false">IF(I877&lt;J877,"ERRO","OK")</f>
        <v>OK</v>
      </c>
    </row>
    <row r="878" customFormat="false" ht="25" hidden="false" customHeight="false" outlineLevel="0" collapsed="false">
      <c r="A878" s="0" t="n">
        <v>59</v>
      </c>
      <c r="B878" s="0" t="n">
        <v>2024</v>
      </c>
      <c r="C878" s="3" t="n">
        <v>45476</v>
      </c>
      <c r="D878" s="4" t="s">
        <v>15</v>
      </c>
      <c r="E878" s="5" t="s">
        <v>21</v>
      </c>
      <c r="F878" s="5" t="s">
        <v>17</v>
      </c>
      <c r="G878" s="7" t="n">
        <v>30</v>
      </c>
      <c r="H878" s="7" t="n">
        <v>18</v>
      </c>
      <c r="I878" s="7" t="n">
        <v>30</v>
      </c>
      <c r="J878" s="7" t="s">
        <v>275</v>
      </c>
      <c r="K878" s="7" t="n">
        <v>25</v>
      </c>
      <c r="L878" s="0" t="str">
        <f aca="false">IF(H878&gt;I878,"ERRO","OK")</f>
        <v>OK</v>
      </c>
      <c r="M878" s="0" t="str">
        <f aca="false">IF(H878&gt;J878,"ERRO","OK")</f>
        <v>OK</v>
      </c>
      <c r="N878" s="0" t="str">
        <f aca="false">IF(I878&lt;J878,"ERRO","OK")</f>
        <v>ERRO</v>
      </c>
    </row>
    <row r="879" customFormat="false" ht="25" hidden="false" customHeight="false" outlineLevel="0" collapsed="false">
      <c r="A879" s="0" t="n">
        <v>59</v>
      </c>
      <c r="B879" s="0" t="n">
        <v>2024</v>
      </c>
      <c r="C879" s="3" t="n">
        <v>45476</v>
      </c>
      <c r="D879" s="8" t="s">
        <v>15</v>
      </c>
      <c r="E879" s="9" t="s">
        <v>22</v>
      </c>
      <c r="F879" s="9" t="s">
        <v>17</v>
      </c>
      <c r="G879" s="11" t="n">
        <v>60</v>
      </c>
      <c r="H879" s="11" t="n">
        <v>48</v>
      </c>
      <c r="I879" s="11" t="n">
        <v>60</v>
      </c>
      <c r="J879" s="11" t="n">
        <v>57</v>
      </c>
      <c r="K879" s="11" t="n">
        <v>60</v>
      </c>
      <c r="L879" s="0" t="str">
        <f aca="false">IF(H879&gt;I879,"ERRO","OK")</f>
        <v>OK</v>
      </c>
      <c r="M879" s="0" t="str">
        <f aca="false">IF(H879&gt;J879,"ERRO","OK")</f>
        <v>OK</v>
      </c>
      <c r="N879" s="0" t="str">
        <f aca="false">IF(I879&lt;J879,"ERRO","OK")</f>
        <v>OK</v>
      </c>
    </row>
    <row r="880" customFormat="false" ht="25" hidden="false" customHeight="false" outlineLevel="0" collapsed="false">
      <c r="A880" s="0" t="n">
        <v>59</v>
      </c>
      <c r="B880" s="0" t="n">
        <v>2024</v>
      </c>
      <c r="C880" s="3" t="n">
        <v>45476</v>
      </c>
      <c r="D880" s="4" t="s">
        <v>15</v>
      </c>
      <c r="E880" s="5" t="s">
        <v>23</v>
      </c>
      <c r="F880" s="5" t="s">
        <v>17</v>
      </c>
      <c r="G880" s="7" t="n">
        <v>60</v>
      </c>
      <c r="H880" s="7" t="n">
        <v>60</v>
      </c>
      <c r="I880" s="7" t="n">
        <v>76</v>
      </c>
      <c r="J880" s="7" t="n">
        <v>64</v>
      </c>
      <c r="K880" s="7" t="n">
        <v>60</v>
      </c>
      <c r="L880" s="0" t="str">
        <f aca="false">IF(H880&gt;I880,"ERRO","OK")</f>
        <v>OK</v>
      </c>
      <c r="M880" s="0" t="str">
        <f aca="false">IF(H880&gt;J880,"ERRO","OK")</f>
        <v>OK</v>
      </c>
      <c r="N880" s="0" t="str">
        <f aca="false">IF(I880&lt;J880,"ERRO","OK")</f>
        <v>OK</v>
      </c>
    </row>
    <row r="881" customFormat="false" ht="25" hidden="false" customHeight="false" outlineLevel="0" collapsed="false">
      <c r="A881" s="0" t="n">
        <v>59</v>
      </c>
      <c r="B881" s="0" t="n">
        <v>2024</v>
      </c>
      <c r="C881" s="3" t="n">
        <v>45476</v>
      </c>
      <c r="D881" s="8" t="s">
        <v>15</v>
      </c>
      <c r="E881" s="9" t="s">
        <v>24</v>
      </c>
      <c r="F881" s="9" t="s">
        <v>17</v>
      </c>
      <c r="G881" s="11" t="n">
        <v>84</v>
      </c>
      <c r="H881" s="11" t="n">
        <v>72</v>
      </c>
      <c r="I881" s="11" t="n">
        <v>84</v>
      </c>
      <c r="J881" s="11" t="n">
        <v>80</v>
      </c>
      <c r="K881" s="11" t="n">
        <v>82</v>
      </c>
      <c r="L881" s="0" t="str">
        <f aca="false">IF(H881&gt;I881,"ERRO","OK")</f>
        <v>OK</v>
      </c>
      <c r="M881" s="0" t="str">
        <f aca="false">IF(H881&gt;J881,"ERRO","OK")</f>
        <v>OK</v>
      </c>
      <c r="N881" s="0" t="str">
        <f aca="false">IF(I881&lt;J881,"ERRO","OK")</f>
        <v>OK</v>
      </c>
    </row>
    <row r="882" customFormat="false" ht="25" hidden="false" customHeight="false" outlineLevel="0" collapsed="false">
      <c r="A882" s="0" t="n">
        <v>59</v>
      </c>
      <c r="B882" s="0" t="n">
        <v>2024</v>
      </c>
      <c r="C882" s="3" t="n">
        <v>45476</v>
      </c>
      <c r="D882" s="4" t="s">
        <v>15</v>
      </c>
      <c r="E882" s="5" t="s">
        <v>25</v>
      </c>
      <c r="F882" s="5" t="s">
        <v>17</v>
      </c>
      <c r="G882" s="7" t="n">
        <v>24</v>
      </c>
      <c r="H882" s="7" t="n">
        <v>20</v>
      </c>
      <c r="I882" s="7" t="n">
        <v>30</v>
      </c>
      <c r="J882" s="7" t="s">
        <v>275</v>
      </c>
      <c r="K882" s="7" t="n">
        <v>24</v>
      </c>
      <c r="L882" s="0" t="str">
        <f aca="false">IF(H882&gt;I882,"ERRO","OK")</f>
        <v>OK</v>
      </c>
      <c r="M882" s="0" t="str">
        <f aca="false">IF(H882&gt;J882,"ERRO","OK")</f>
        <v>OK</v>
      </c>
      <c r="N882" s="0" t="str">
        <f aca="false">IF(I882&lt;J882,"ERRO","OK")</f>
        <v>ERRO</v>
      </c>
    </row>
    <row r="883" customFormat="false" ht="25" hidden="false" customHeight="false" outlineLevel="0" collapsed="false">
      <c r="A883" s="0" t="n">
        <v>59</v>
      </c>
      <c r="B883" s="0" t="n">
        <v>2024</v>
      </c>
      <c r="C883" s="3" t="n">
        <v>45476</v>
      </c>
      <c r="D883" s="8" t="s">
        <v>15</v>
      </c>
      <c r="E883" s="9" t="s">
        <v>77</v>
      </c>
      <c r="F883" s="9" t="s">
        <v>17</v>
      </c>
      <c r="G883" s="10"/>
      <c r="H883" s="11" t="n">
        <v>60</v>
      </c>
      <c r="I883" s="11" t="n">
        <v>84</v>
      </c>
      <c r="J883" s="11" t="s">
        <v>276</v>
      </c>
      <c r="K883" s="11" t="n">
        <v>71</v>
      </c>
      <c r="L883" s="0" t="str">
        <f aca="false">IF(H883&gt;I883,"ERRO","OK")</f>
        <v>OK</v>
      </c>
      <c r="M883" s="0" t="str">
        <f aca="false">IF(H883&gt;J883,"ERRO","OK")</f>
        <v>OK</v>
      </c>
      <c r="N883" s="0" t="str">
        <f aca="false">IF(I883&lt;J883,"ERRO","OK")</f>
        <v>ERRO</v>
      </c>
    </row>
    <row r="884" customFormat="false" ht="25" hidden="false" customHeight="false" outlineLevel="0" collapsed="false">
      <c r="A884" s="0" t="n">
        <v>59</v>
      </c>
      <c r="B884" s="0" t="n">
        <v>2024</v>
      </c>
      <c r="C884" s="3" t="n">
        <v>45476</v>
      </c>
      <c r="D884" s="4" t="s">
        <v>15</v>
      </c>
      <c r="E884" s="5" t="s">
        <v>27</v>
      </c>
      <c r="F884" s="5" t="s">
        <v>17</v>
      </c>
      <c r="G884" s="7" t="n">
        <v>24</v>
      </c>
      <c r="H884" s="7" t="n">
        <v>24</v>
      </c>
      <c r="I884" s="7" t="n">
        <v>30</v>
      </c>
      <c r="J884" s="7" t="n">
        <v>27</v>
      </c>
      <c r="K884" s="7" t="n">
        <v>27</v>
      </c>
      <c r="L884" s="0" t="str">
        <f aca="false">IF(H884&gt;I884,"ERRO","OK")</f>
        <v>OK</v>
      </c>
      <c r="M884" s="0" t="str">
        <f aca="false">IF(H884&gt;J884,"ERRO","OK")</f>
        <v>OK</v>
      </c>
      <c r="N884" s="0" t="str">
        <f aca="false">IF(I884&lt;J884,"ERRO","OK")</f>
        <v>OK</v>
      </c>
    </row>
    <row r="885" customFormat="false" ht="25" hidden="false" customHeight="false" outlineLevel="0" collapsed="false">
      <c r="A885" s="0" t="n">
        <v>59</v>
      </c>
      <c r="B885" s="0" t="n">
        <v>2024</v>
      </c>
      <c r="C885" s="3" t="n">
        <v>45476</v>
      </c>
      <c r="D885" s="8" t="s">
        <v>15</v>
      </c>
      <c r="E885" s="9" t="s">
        <v>28</v>
      </c>
      <c r="F885" s="9" t="s">
        <v>17</v>
      </c>
      <c r="G885" s="11" t="n">
        <v>72</v>
      </c>
      <c r="H885" s="11" t="n">
        <v>60</v>
      </c>
      <c r="I885" s="11" t="n">
        <v>72</v>
      </c>
      <c r="J885" s="11" t="n">
        <v>69</v>
      </c>
      <c r="K885" s="11" t="n">
        <v>72</v>
      </c>
      <c r="L885" s="0" t="str">
        <f aca="false">IF(H885&gt;I885,"ERRO","OK")</f>
        <v>OK</v>
      </c>
      <c r="M885" s="0" t="str">
        <f aca="false">IF(H885&gt;J885,"ERRO","OK")</f>
        <v>OK</v>
      </c>
      <c r="N885" s="0" t="str">
        <f aca="false">IF(I885&lt;J885,"ERRO","OK")</f>
        <v>OK</v>
      </c>
    </row>
    <row r="886" customFormat="false" ht="25" hidden="false" customHeight="false" outlineLevel="0" collapsed="false">
      <c r="A886" s="0" t="n">
        <v>59</v>
      </c>
      <c r="B886" s="0" t="n">
        <v>2024</v>
      </c>
      <c r="C886" s="3" t="n">
        <v>45476</v>
      </c>
      <c r="D886" s="4" t="s">
        <v>15</v>
      </c>
      <c r="E886" s="5" t="s">
        <v>29</v>
      </c>
      <c r="F886" s="5" t="s">
        <v>30</v>
      </c>
      <c r="G886" s="7" t="n">
        <v>60</v>
      </c>
      <c r="H886" s="7" t="n">
        <v>60</v>
      </c>
      <c r="I886" s="7" t="n">
        <v>60</v>
      </c>
      <c r="J886" s="7" t="n">
        <v>60</v>
      </c>
      <c r="K886" s="7" t="n">
        <v>60</v>
      </c>
      <c r="L886" s="0" t="str">
        <f aca="false">IF(H886&gt;I886,"ERRO","OK")</f>
        <v>OK</v>
      </c>
      <c r="M886" s="0" t="str">
        <f aca="false">IF(H886&gt;J886,"ERRO","OK")</f>
        <v>OK</v>
      </c>
      <c r="N886" s="0" t="str">
        <f aca="false">IF(I886&lt;J886,"ERRO","OK")</f>
        <v>OK</v>
      </c>
    </row>
    <row r="887" customFormat="false" ht="25" hidden="false" customHeight="false" outlineLevel="0" collapsed="false">
      <c r="A887" s="0" t="n">
        <v>59</v>
      </c>
      <c r="B887" s="0" t="n">
        <v>2024</v>
      </c>
      <c r="C887" s="3" t="n">
        <v>45476</v>
      </c>
      <c r="D887" s="8" t="s">
        <v>15</v>
      </c>
      <c r="E887" s="9" t="s">
        <v>31</v>
      </c>
      <c r="F887" s="9" t="s">
        <v>17</v>
      </c>
      <c r="G887" s="10"/>
      <c r="H887" s="11" t="n">
        <v>60</v>
      </c>
      <c r="I887" s="11" t="n">
        <v>84</v>
      </c>
      <c r="J887" s="11" t="n">
        <v>72</v>
      </c>
      <c r="K887" s="11" t="n">
        <v>72</v>
      </c>
      <c r="L887" s="0" t="str">
        <f aca="false">IF(H887&gt;I887,"ERRO","OK")</f>
        <v>OK</v>
      </c>
      <c r="M887" s="0" t="str">
        <f aca="false">IF(H887&gt;J887,"ERRO","OK")</f>
        <v>OK</v>
      </c>
      <c r="N887" s="0" t="str">
        <f aca="false">IF(I887&lt;J887,"ERRO","OK")</f>
        <v>OK</v>
      </c>
    </row>
    <row r="888" customFormat="false" ht="25" hidden="false" customHeight="false" outlineLevel="0" collapsed="false">
      <c r="A888" s="0" t="n">
        <v>59</v>
      </c>
      <c r="B888" s="0" t="n">
        <v>2024</v>
      </c>
      <c r="C888" s="3" t="n">
        <v>45476</v>
      </c>
      <c r="D888" s="4" t="s">
        <v>15</v>
      </c>
      <c r="E888" s="5" t="s">
        <v>32</v>
      </c>
      <c r="F888" s="5" t="s">
        <v>17</v>
      </c>
      <c r="G888" s="6"/>
      <c r="H888" s="7" t="n">
        <v>36</v>
      </c>
      <c r="I888" s="7" t="n">
        <v>54</v>
      </c>
      <c r="J888" s="7" t="n">
        <v>47</v>
      </c>
      <c r="K888" s="7" t="n">
        <v>49</v>
      </c>
      <c r="L888" s="0" t="str">
        <f aca="false">IF(H888&gt;I888,"ERRO","OK")</f>
        <v>OK</v>
      </c>
      <c r="M888" s="0" t="str">
        <f aca="false">IF(H888&gt;J888,"ERRO","OK")</f>
        <v>OK</v>
      </c>
      <c r="N888" s="0" t="str">
        <f aca="false">IF(I888&lt;J888,"ERRO","OK")</f>
        <v>OK</v>
      </c>
    </row>
    <row r="889" customFormat="false" ht="25" hidden="false" customHeight="false" outlineLevel="0" collapsed="false">
      <c r="A889" s="0" t="n">
        <v>59</v>
      </c>
      <c r="B889" s="0" t="n">
        <v>2024</v>
      </c>
      <c r="C889" s="3" t="n">
        <v>45476</v>
      </c>
      <c r="D889" s="8" t="s">
        <v>15</v>
      </c>
      <c r="E889" s="9" t="s">
        <v>33</v>
      </c>
      <c r="F889" s="9" t="s">
        <v>17</v>
      </c>
      <c r="G889" s="11" t="n">
        <v>54</v>
      </c>
      <c r="H889" s="11" t="n">
        <v>48</v>
      </c>
      <c r="I889" s="11" t="n">
        <v>60</v>
      </c>
      <c r="J889" s="11" t="n">
        <v>54</v>
      </c>
      <c r="K889" s="11" t="n">
        <v>54</v>
      </c>
      <c r="L889" s="0" t="str">
        <f aca="false">IF(H889&gt;I889,"ERRO","OK")</f>
        <v>OK</v>
      </c>
      <c r="M889" s="0" t="str">
        <f aca="false">IF(H889&gt;J889,"ERRO","OK")</f>
        <v>OK</v>
      </c>
      <c r="N889" s="0" t="str">
        <f aca="false">IF(I889&lt;J889,"ERRO","OK")</f>
        <v>OK</v>
      </c>
    </row>
    <row r="890" customFormat="false" ht="25" hidden="false" customHeight="false" outlineLevel="0" collapsed="false">
      <c r="A890" s="0" t="n">
        <v>59</v>
      </c>
      <c r="B890" s="0" t="n">
        <v>2024</v>
      </c>
      <c r="C890" s="3" t="n">
        <v>45476</v>
      </c>
      <c r="D890" s="4" t="s">
        <v>34</v>
      </c>
      <c r="E890" s="5" t="s">
        <v>35</v>
      </c>
      <c r="F890" s="5" t="s">
        <v>36</v>
      </c>
      <c r="G890" s="7" t="n">
        <v>5</v>
      </c>
      <c r="H890" s="7" t="n">
        <v>5</v>
      </c>
      <c r="I890" s="7" t="n">
        <v>5</v>
      </c>
      <c r="J890" s="7" t="n">
        <v>5</v>
      </c>
      <c r="K890" s="7" t="n">
        <v>5</v>
      </c>
      <c r="L890" s="0" t="str">
        <f aca="false">IF(H890&gt;I890,"ERRO","OK")</f>
        <v>OK</v>
      </c>
      <c r="M890" s="0" t="str">
        <f aca="false">IF(H890&gt;J890,"ERRO","OK")</f>
        <v>OK</v>
      </c>
      <c r="N890" s="0" t="str">
        <f aca="false">IF(I890&lt;J890,"ERRO","OK")</f>
        <v>OK</v>
      </c>
    </row>
    <row r="891" customFormat="false" ht="25" hidden="false" customHeight="false" outlineLevel="0" collapsed="false">
      <c r="A891" s="0" t="n">
        <v>59</v>
      </c>
      <c r="B891" s="0" t="n">
        <v>2024</v>
      </c>
      <c r="C891" s="3" t="n">
        <v>45476</v>
      </c>
      <c r="D891" s="8" t="s">
        <v>34</v>
      </c>
      <c r="E891" s="9" t="s">
        <v>38</v>
      </c>
      <c r="F891" s="9" t="s">
        <v>39</v>
      </c>
      <c r="G891" s="11" t="n">
        <v>18</v>
      </c>
      <c r="H891" s="11" t="n">
        <v>15</v>
      </c>
      <c r="I891" s="11" t="n">
        <v>18</v>
      </c>
      <c r="J891" s="11" t="s">
        <v>277</v>
      </c>
      <c r="K891" s="11" t="n">
        <v>18</v>
      </c>
      <c r="L891" s="0" t="str">
        <f aca="false">IF(H891&gt;I891,"ERRO","OK")</f>
        <v>OK</v>
      </c>
      <c r="M891" s="0" t="str">
        <f aca="false">IF(H891&gt;J891,"ERRO","OK")</f>
        <v>OK</v>
      </c>
      <c r="N891" s="0" t="str">
        <f aca="false">IF(I891&lt;J891,"ERRO","OK")</f>
        <v>ERRO</v>
      </c>
    </row>
    <row r="892" customFormat="false" ht="25" hidden="false" customHeight="false" outlineLevel="0" collapsed="false">
      <c r="A892" s="0" t="n">
        <v>59</v>
      </c>
      <c r="B892" s="0" t="n">
        <v>2024</v>
      </c>
      <c r="C892" s="3" t="n">
        <v>45476</v>
      </c>
      <c r="D892" s="4" t="s">
        <v>34</v>
      </c>
      <c r="E892" s="5" t="s">
        <v>40</v>
      </c>
      <c r="F892" s="5" t="s">
        <v>39</v>
      </c>
      <c r="G892" s="7" t="n">
        <v>25</v>
      </c>
      <c r="H892" s="7" t="n">
        <v>25</v>
      </c>
      <c r="I892" s="7" t="n">
        <v>30</v>
      </c>
      <c r="J892" s="7" t="s">
        <v>155</v>
      </c>
      <c r="K892" s="7" t="n">
        <v>25</v>
      </c>
      <c r="L892" s="0" t="str">
        <f aca="false">IF(H892&gt;I892,"ERRO","OK")</f>
        <v>OK</v>
      </c>
      <c r="M892" s="0" t="str">
        <f aca="false">IF(H892&gt;J892,"ERRO","OK")</f>
        <v>OK</v>
      </c>
      <c r="N892" s="0" t="str">
        <f aca="false">IF(I892&lt;J892,"ERRO","OK")</f>
        <v>ERRO</v>
      </c>
    </row>
    <row r="893" customFormat="false" ht="36.5" hidden="false" customHeight="false" outlineLevel="0" collapsed="false">
      <c r="A893" s="0" t="n">
        <v>59</v>
      </c>
      <c r="B893" s="0" t="n">
        <v>2024</v>
      </c>
      <c r="C893" s="3" t="n">
        <v>45476</v>
      </c>
      <c r="D893" s="8" t="s">
        <v>42</v>
      </c>
      <c r="E893" s="9" t="s">
        <v>157</v>
      </c>
      <c r="F893" s="9" t="s">
        <v>158</v>
      </c>
      <c r="G893" s="10"/>
      <c r="H893" s="11" t="n">
        <v>80</v>
      </c>
      <c r="I893" s="11" t="n">
        <v>90</v>
      </c>
      <c r="J893" s="11" t="n">
        <v>85</v>
      </c>
      <c r="K893" s="11" t="n">
        <v>85</v>
      </c>
      <c r="L893" s="0" t="str">
        <f aca="false">IF(H893&gt;I893,"ERRO","OK")</f>
        <v>OK</v>
      </c>
      <c r="M893" s="0" t="str">
        <f aca="false">IF(H893&gt;J893,"ERRO","OK")</f>
        <v>OK</v>
      </c>
      <c r="N893" s="0" t="str">
        <f aca="false">IF(I893&lt;J893,"ERRO","OK")</f>
        <v>OK</v>
      </c>
    </row>
    <row r="894" customFormat="false" ht="36.5" hidden="false" customHeight="false" outlineLevel="0" collapsed="false">
      <c r="A894" s="0" t="n">
        <v>59</v>
      </c>
      <c r="B894" s="0" t="n">
        <v>2024</v>
      </c>
      <c r="C894" s="3" t="n">
        <v>45476</v>
      </c>
      <c r="D894" s="4" t="s">
        <v>42</v>
      </c>
      <c r="E894" s="5" t="s">
        <v>43</v>
      </c>
      <c r="F894" s="5" t="s">
        <v>44</v>
      </c>
      <c r="G894" s="7" t="n">
        <v>50</v>
      </c>
      <c r="H894" s="7" t="n">
        <v>40</v>
      </c>
      <c r="I894" s="7" t="n">
        <v>55</v>
      </c>
      <c r="J894" s="7" t="s">
        <v>141</v>
      </c>
      <c r="K894" s="7" t="n">
        <v>50</v>
      </c>
      <c r="L894" s="0" t="str">
        <f aca="false">IF(H894&gt;I894,"ERRO","OK")</f>
        <v>OK</v>
      </c>
      <c r="M894" s="0" t="str">
        <f aca="false">IF(H894&gt;J894,"ERRO","OK")</f>
        <v>OK</v>
      </c>
      <c r="N894" s="0" t="str">
        <f aca="false">IF(I894&lt;J894,"ERRO","OK")</f>
        <v>ERRO</v>
      </c>
    </row>
    <row r="895" customFormat="false" ht="36.5" hidden="false" customHeight="false" outlineLevel="0" collapsed="false">
      <c r="A895" s="0" t="n">
        <v>59</v>
      </c>
      <c r="B895" s="0" t="n">
        <v>2024</v>
      </c>
      <c r="C895" s="3" t="n">
        <v>45476</v>
      </c>
      <c r="D895" s="8" t="s">
        <v>42</v>
      </c>
      <c r="E895" s="9" t="s">
        <v>46</v>
      </c>
      <c r="F895" s="9" t="s">
        <v>47</v>
      </c>
      <c r="G895" s="10"/>
      <c r="H895" s="11" t="n">
        <v>45</v>
      </c>
      <c r="I895" s="11" t="n">
        <v>70</v>
      </c>
      <c r="J895" s="11" t="n">
        <v>58</v>
      </c>
      <c r="K895" s="11" t="n">
        <v>60</v>
      </c>
      <c r="L895" s="0" t="str">
        <f aca="false">IF(H895&gt;I895,"ERRO","OK")</f>
        <v>OK</v>
      </c>
      <c r="M895" s="0" t="str">
        <f aca="false">IF(H895&gt;J895,"ERRO","OK")</f>
        <v>OK</v>
      </c>
      <c r="N895" s="0" t="str">
        <f aca="false">IF(I895&lt;J895,"ERRO","OK")</f>
        <v>OK</v>
      </c>
    </row>
    <row r="896" customFormat="false" ht="36.5" hidden="false" customHeight="false" outlineLevel="0" collapsed="false">
      <c r="A896" s="0" t="n">
        <v>59</v>
      </c>
      <c r="B896" s="0" t="n">
        <v>2024</v>
      </c>
      <c r="C896" s="3" t="n">
        <v>45476</v>
      </c>
      <c r="D896" s="4" t="s">
        <v>42</v>
      </c>
      <c r="E896" s="5" t="s">
        <v>48</v>
      </c>
      <c r="F896" s="5" t="s">
        <v>49</v>
      </c>
      <c r="G896" s="7" t="n">
        <v>40</v>
      </c>
      <c r="H896" s="7" t="n">
        <v>40</v>
      </c>
      <c r="I896" s="7" t="n">
        <v>48</v>
      </c>
      <c r="J896" s="7" t="n">
        <v>42</v>
      </c>
      <c r="K896" s="7" t="n">
        <v>40</v>
      </c>
      <c r="L896" s="0" t="str">
        <f aca="false">IF(H896&gt;I896,"ERRO","OK")</f>
        <v>OK</v>
      </c>
      <c r="M896" s="0" t="str">
        <f aca="false">IF(H896&gt;J896,"ERRO","OK")</f>
        <v>OK</v>
      </c>
      <c r="N896" s="0" t="str">
        <f aca="false">IF(I896&lt;J896,"ERRO","OK")</f>
        <v>OK</v>
      </c>
    </row>
    <row r="897" customFormat="false" ht="36.5" hidden="false" customHeight="false" outlineLevel="0" collapsed="false">
      <c r="A897" s="0" t="n">
        <v>59</v>
      </c>
      <c r="B897" s="0" t="n">
        <v>2024</v>
      </c>
      <c r="C897" s="3" t="n">
        <v>45476</v>
      </c>
      <c r="D897" s="8" t="s">
        <v>42</v>
      </c>
      <c r="E897" s="9" t="s">
        <v>52</v>
      </c>
      <c r="F897" s="9" t="s">
        <v>49</v>
      </c>
      <c r="G897" s="10"/>
      <c r="H897" s="11" t="n">
        <v>100</v>
      </c>
      <c r="I897" s="11" t="n">
        <v>100</v>
      </c>
      <c r="J897" s="11" t="n">
        <v>100</v>
      </c>
      <c r="K897" s="11" t="n">
        <v>100</v>
      </c>
      <c r="L897" s="0" t="str">
        <f aca="false">IF(H897&gt;I897,"ERRO","OK")</f>
        <v>OK</v>
      </c>
      <c r="M897" s="0" t="str">
        <f aca="false">IF(H897&gt;J897,"ERRO","OK")</f>
        <v>OK</v>
      </c>
      <c r="N897" s="0" t="str">
        <f aca="false">IF(I897&lt;J897,"ERRO","OK")</f>
        <v>OK</v>
      </c>
    </row>
    <row r="898" customFormat="false" ht="36.5" hidden="false" customHeight="false" outlineLevel="0" collapsed="false">
      <c r="A898" s="0" t="n">
        <v>59</v>
      </c>
      <c r="B898" s="0" t="n">
        <v>2024</v>
      </c>
      <c r="C898" s="3" t="n">
        <v>45476</v>
      </c>
      <c r="D898" s="4" t="s">
        <v>42</v>
      </c>
      <c r="E898" s="5" t="s">
        <v>53</v>
      </c>
      <c r="F898" s="5" t="s">
        <v>54</v>
      </c>
      <c r="G898" s="6"/>
      <c r="H898" s="7" t="n">
        <v>75</v>
      </c>
      <c r="I898" s="7" t="n">
        <v>100</v>
      </c>
      <c r="J898" s="7" t="n">
        <v>86</v>
      </c>
      <c r="K898" s="7" t="n">
        <v>85</v>
      </c>
      <c r="L898" s="0" t="str">
        <f aca="false">IF(H898&gt;I898,"ERRO","OK")</f>
        <v>OK</v>
      </c>
      <c r="M898" s="0" t="str">
        <f aca="false">IF(H898&gt;J898,"ERRO","OK")</f>
        <v>OK</v>
      </c>
      <c r="N898" s="0" t="str">
        <f aca="false">IF(I898&lt;J898,"ERRO","OK")</f>
        <v>OK</v>
      </c>
    </row>
    <row r="899" customFormat="false" ht="36.5" hidden="false" customHeight="false" outlineLevel="0" collapsed="false">
      <c r="A899" s="0" t="n">
        <v>59</v>
      </c>
      <c r="B899" s="0" t="n">
        <v>2024</v>
      </c>
      <c r="C899" s="3" t="n">
        <v>45476</v>
      </c>
      <c r="D899" s="8" t="s">
        <v>42</v>
      </c>
      <c r="E899" s="9" t="s">
        <v>56</v>
      </c>
      <c r="F899" s="9" t="s">
        <v>47</v>
      </c>
      <c r="G899" s="11" t="n">
        <v>65</v>
      </c>
      <c r="H899" s="11" t="n">
        <v>65</v>
      </c>
      <c r="I899" s="11" t="n">
        <v>80</v>
      </c>
      <c r="J899" s="11" t="s">
        <v>278</v>
      </c>
      <c r="K899" s="11" t="n">
        <v>70</v>
      </c>
      <c r="L899" s="0" t="str">
        <f aca="false">IF(H899&gt;I899,"ERRO","OK")</f>
        <v>OK</v>
      </c>
      <c r="M899" s="0" t="str">
        <f aca="false">IF(H899&gt;J899,"ERRO","OK")</f>
        <v>OK</v>
      </c>
      <c r="N899" s="0" t="str">
        <f aca="false">IF(I899&lt;J899,"ERRO","OK")</f>
        <v>ERRO</v>
      </c>
    </row>
    <row r="900" customFormat="false" ht="36.5" hidden="false" customHeight="false" outlineLevel="0" collapsed="false">
      <c r="A900" s="0" t="n">
        <v>59</v>
      </c>
      <c r="B900" s="0" t="n">
        <v>2024</v>
      </c>
      <c r="C900" s="3" t="n">
        <v>45476</v>
      </c>
      <c r="D900" s="4" t="s">
        <v>42</v>
      </c>
      <c r="E900" s="5" t="s">
        <v>57</v>
      </c>
      <c r="F900" s="5" t="s">
        <v>47</v>
      </c>
      <c r="G900" s="6"/>
      <c r="H900" s="7" t="n">
        <v>50</v>
      </c>
      <c r="I900" s="7" t="n">
        <v>70</v>
      </c>
      <c r="J900" s="7" t="s">
        <v>229</v>
      </c>
      <c r="K900" s="7" t="s">
        <v>84</v>
      </c>
      <c r="L900" s="0" t="str">
        <f aca="false">IF(H900&gt;I900,"ERRO","OK")</f>
        <v>OK</v>
      </c>
      <c r="M900" s="0" t="str">
        <f aca="false">IF(H900&gt;J900,"ERRO","OK")</f>
        <v>OK</v>
      </c>
      <c r="N900" s="0" t="str">
        <f aca="false">IF(I900&lt;J900,"ERRO","OK")</f>
        <v>ERRO</v>
      </c>
    </row>
    <row r="901" customFormat="false" ht="36.5" hidden="false" customHeight="false" outlineLevel="0" collapsed="false">
      <c r="A901" s="0" t="n">
        <v>59</v>
      </c>
      <c r="B901" s="0" t="n">
        <v>2024</v>
      </c>
      <c r="C901" s="3" t="n">
        <v>45476</v>
      </c>
      <c r="D901" s="8" t="s">
        <v>42</v>
      </c>
      <c r="E901" s="9" t="s">
        <v>58</v>
      </c>
      <c r="F901" s="9" t="s">
        <v>44</v>
      </c>
      <c r="G901" s="11" t="n">
        <v>100</v>
      </c>
      <c r="H901" s="11" t="n">
        <v>80</v>
      </c>
      <c r="I901" s="11" t="n">
        <v>100</v>
      </c>
      <c r="J901" s="11" t="s">
        <v>200</v>
      </c>
      <c r="K901" s="11" t="n">
        <v>100</v>
      </c>
      <c r="L901" s="0" t="str">
        <f aca="false">IF(H901&gt;I901,"ERRO","OK")</f>
        <v>OK</v>
      </c>
      <c r="M901" s="0" t="str">
        <f aca="false">IF(H901&gt;J901,"ERRO","OK")</f>
        <v>OK</v>
      </c>
      <c r="N901" s="0" t="str">
        <f aca="false">IF(I901&lt;J901,"ERRO","OK")</f>
        <v>ERRO</v>
      </c>
    </row>
    <row r="902" customFormat="false" ht="36.5" hidden="false" customHeight="false" outlineLevel="0" collapsed="false">
      <c r="A902" s="0" t="n">
        <v>59</v>
      </c>
      <c r="B902" s="0" t="n">
        <v>2024</v>
      </c>
      <c r="C902" s="3" t="n">
        <v>45476</v>
      </c>
      <c r="D902" s="4" t="s">
        <v>42</v>
      </c>
      <c r="E902" s="5" t="s">
        <v>60</v>
      </c>
      <c r="F902" s="5" t="s">
        <v>47</v>
      </c>
      <c r="G902" s="6"/>
      <c r="H902" s="7" t="n">
        <v>50</v>
      </c>
      <c r="I902" s="7" t="n">
        <v>53</v>
      </c>
      <c r="J902" s="7" t="s">
        <v>279</v>
      </c>
      <c r="K902" s="7" t="s">
        <v>279</v>
      </c>
      <c r="L902" s="0" t="str">
        <f aca="false">IF(H902&gt;I902,"ERRO","OK")</f>
        <v>OK</v>
      </c>
      <c r="M902" s="0" t="str">
        <f aca="false">IF(H902&gt;J902,"ERRO","OK")</f>
        <v>OK</v>
      </c>
      <c r="N902" s="0" t="str">
        <f aca="false">IF(I902&lt;J902,"ERRO","OK")</f>
        <v>ERRO</v>
      </c>
    </row>
    <row r="903" customFormat="false" ht="36.5" hidden="false" customHeight="false" outlineLevel="0" collapsed="false">
      <c r="A903" s="0" t="n">
        <v>59</v>
      </c>
      <c r="B903" s="0" t="n">
        <v>2024</v>
      </c>
      <c r="C903" s="3" t="n">
        <v>45476</v>
      </c>
      <c r="D903" s="8" t="s">
        <v>42</v>
      </c>
      <c r="E903" s="9" t="s">
        <v>61</v>
      </c>
      <c r="F903" s="9" t="s">
        <v>44</v>
      </c>
      <c r="G903" s="10"/>
      <c r="H903" s="11" t="n">
        <v>50</v>
      </c>
      <c r="I903" s="11" t="n">
        <v>65</v>
      </c>
      <c r="J903" s="11" t="s">
        <v>262</v>
      </c>
      <c r="K903" s="11" t="n">
        <v>60</v>
      </c>
      <c r="L903" s="0" t="str">
        <f aca="false">IF(H903&gt;I903,"ERRO","OK")</f>
        <v>OK</v>
      </c>
      <c r="M903" s="0" t="str">
        <f aca="false">IF(H903&gt;J903,"ERRO","OK")</f>
        <v>OK</v>
      </c>
      <c r="N903" s="0" t="str">
        <f aca="false">IF(I903&lt;J903,"ERRO","OK")</f>
        <v>ERRO</v>
      </c>
    </row>
    <row r="904" customFormat="false" ht="36.5" hidden="false" customHeight="false" outlineLevel="0" collapsed="false">
      <c r="A904" s="0" t="n">
        <v>59</v>
      </c>
      <c r="B904" s="0" t="n">
        <v>2024</v>
      </c>
      <c r="C904" s="3" t="n">
        <v>45476</v>
      </c>
      <c r="D904" s="4" t="s">
        <v>42</v>
      </c>
      <c r="E904" s="5" t="s">
        <v>62</v>
      </c>
      <c r="F904" s="5" t="s">
        <v>44</v>
      </c>
      <c r="G904" s="7" t="n">
        <v>60</v>
      </c>
      <c r="H904" s="7" t="n">
        <v>60</v>
      </c>
      <c r="I904" s="7" t="n">
        <v>70</v>
      </c>
      <c r="J904" s="7" t="n">
        <v>63</v>
      </c>
      <c r="K904" s="7" t="n">
        <v>60</v>
      </c>
      <c r="L904" s="0" t="str">
        <f aca="false">IF(H904&gt;I904,"ERRO","OK")</f>
        <v>OK</v>
      </c>
      <c r="M904" s="0" t="str">
        <f aca="false">IF(H904&gt;J904,"ERRO","OK")</f>
        <v>OK</v>
      </c>
      <c r="N904" s="0" t="str">
        <f aca="false">IF(I904&lt;J904,"ERRO","OK")</f>
        <v>OK</v>
      </c>
    </row>
    <row r="905" customFormat="false" ht="36.5" hidden="false" customHeight="false" outlineLevel="0" collapsed="false">
      <c r="A905" s="0" t="n">
        <v>59</v>
      </c>
      <c r="B905" s="0" t="n">
        <v>2024</v>
      </c>
      <c r="C905" s="3" t="n">
        <v>45476</v>
      </c>
      <c r="D905" s="8" t="s">
        <v>42</v>
      </c>
      <c r="E905" s="9" t="s">
        <v>63</v>
      </c>
      <c r="F905" s="9" t="s">
        <v>49</v>
      </c>
      <c r="G905" s="11" t="n">
        <v>50</v>
      </c>
      <c r="H905" s="11" t="n">
        <v>40</v>
      </c>
      <c r="I905" s="11" t="n">
        <v>55</v>
      </c>
      <c r="J905" s="11" t="n">
        <v>50</v>
      </c>
      <c r="K905" s="11" t="n">
        <v>50</v>
      </c>
      <c r="L905" s="0" t="str">
        <f aca="false">IF(H905&gt;I905,"ERRO","OK")</f>
        <v>OK</v>
      </c>
      <c r="M905" s="0" t="str">
        <f aca="false">IF(H905&gt;J905,"ERRO","OK")</f>
        <v>OK</v>
      </c>
      <c r="N905" s="0" t="str">
        <f aca="false">IF(I905&lt;J905,"ERRO","OK")</f>
        <v>OK</v>
      </c>
    </row>
    <row r="906" customFormat="false" ht="36.5" hidden="false" customHeight="false" outlineLevel="0" collapsed="false">
      <c r="A906" s="0" t="n">
        <v>59</v>
      </c>
      <c r="B906" s="0" t="n">
        <v>2024</v>
      </c>
      <c r="C906" s="3" t="n">
        <v>45476</v>
      </c>
      <c r="D906" s="4" t="s">
        <v>42</v>
      </c>
      <c r="E906" s="5" t="s">
        <v>64</v>
      </c>
      <c r="F906" s="5" t="s">
        <v>65</v>
      </c>
      <c r="G906" s="7" t="n">
        <v>100</v>
      </c>
      <c r="H906" s="7" t="n">
        <v>90</v>
      </c>
      <c r="I906" s="7" t="n">
        <v>120</v>
      </c>
      <c r="J906" s="7" t="s">
        <v>187</v>
      </c>
      <c r="K906" s="7" t="n">
        <v>100</v>
      </c>
      <c r="L906" s="0" t="str">
        <f aca="false">IF(H906&gt;I906,"ERRO","OK")</f>
        <v>OK</v>
      </c>
      <c r="M906" s="0" t="str">
        <f aca="false">IF(H906&gt;J906,"ERRO","OK")</f>
        <v>OK</v>
      </c>
      <c r="N906" s="0" t="str">
        <f aca="false">IF(I906&lt;J906,"ERRO","OK")</f>
        <v>ERRO</v>
      </c>
    </row>
    <row r="907" customFormat="false" ht="36.5" hidden="false" customHeight="false" outlineLevel="0" collapsed="false">
      <c r="A907" s="0" t="n">
        <v>59</v>
      </c>
      <c r="B907" s="0" t="n">
        <v>2024</v>
      </c>
      <c r="C907" s="3" t="n">
        <v>45476</v>
      </c>
      <c r="D907" s="8" t="s">
        <v>42</v>
      </c>
      <c r="E907" s="9" t="s">
        <v>67</v>
      </c>
      <c r="F907" s="9" t="s">
        <v>44</v>
      </c>
      <c r="G907" s="10"/>
      <c r="H907" s="11" t="n">
        <v>65</v>
      </c>
      <c r="I907" s="11" t="n">
        <v>100</v>
      </c>
      <c r="J907" s="11" t="n">
        <v>78</v>
      </c>
      <c r="K907" s="11" t="n">
        <v>75</v>
      </c>
      <c r="L907" s="0" t="str">
        <f aca="false">IF(H907&gt;I907,"ERRO","OK")</f>
        <v>OK</v>
      </c>
      <c r="M907" s="0" t="str">
        <f aca="false">IF(H907&gt;J907,"ERRO","OK")</f>
        <v>OK</v>
      </c>
      <c r="N907" s="0" t="str">
        <f aca="false">IF(I907&lt;J907,"ERRO","OK")</f>
        <v>OK</v>
      </c>
    </row>
    <row r="908" customFormat="false" ht="36.5" hidden="false" customHeight="false" outlineLevel="0" collapsed="false">
      <c r="A908" s="0" t="n">
        <v>59</v>
      </c>
      <c r="B908" s="0" t="n">
        <v>2024</v>
      </c>
      <c r="C908" s="3" t="n">
        <v>45476</v>
      </c>
      <c r="D908" s="4" t="s">
        <v>42</v>
      </c>
      <c r="E908" s="5" t="s">
        <v>68</v>
      </c>
      <c r="F908" s="5" t="s">
        <v>44</v>
      </c>
      <c r="G908" s="7" t="n">
        <v>100</v>
      </c>
      <c r="H908" s="7" t="n">
        <v>100</v>
      </c>
      <c r="I908" s="7" t="n">
        <v>120</v>
      </c>
      <c r="J908" s="7" t="s">
        <v>267</v>
      </c>
      <c r="K908" s="7" t="n">
        <v>100</v>
      </c>
      <c r="L908" s="0" t="str">
        <f aca="false">IF(H908&gt;I908,"ERRO","OK")</f>
        <v>OK</v>
      </c>
      <c r="M908" s="0" t="str">
        <f aca="false">IF(H908&gt;J908,"ERRO","OK")</f>
        <v>OK</v>
      </c>
      <c r="N908" s="0" t="str">
        <f aca="false">IF(I908&lt;J908,"ERRO","OK")</f>
        <v>ERRO</v>
      </c>
    </row>
    <row r="909" customFormat="false" ht="14.25" hidden="false" customHeight="false" outlineLevel="0" collapsed="false">
      <c r="A909" s="0" t="n">
        <v>59</v>
      </c>
      <c r="B909" s="0" t="n">
        <v>2024</v>
      </c>
      <c r="C909" s="3" t="n">
        <v>45476</v>
      </c>
      <c r="D909" s="8" t="s">
        <v>69</v>
      </c>
      <c r="E909" s="9" t="s">
        <v>70</v>
      </c>
      <c r="F909" s="9" t="s">
        <v>49</v>
      </c>
      <c r="G909" s="10"/>
      <c r="H909" s="10"/>
      <c r="I909" s="10"/>
      <c r="J909" s="10"/>
      <c r="K909" s="10"/>
      <c r="L909" s="0" t="str">
        <f aca="false">IF(H909&gt;I909,"ERRO","OK")</f>
        <v>OK</v>
      </c>
      <c r="M909" s="0" t="str">
        <f aca="false">IF(H909&gt;J909,"ERRO","OK")</f>
        <v>OK</v>
      </c>
      <c r="N909" s="0" t="str">
        <f aca="false">IF(I909&lt;J909,"ERRO","OK")</f>
        <v>OK</v>
      </c>
    </row>
    <row r="910" customFormat="false" ht="14.25" hidden="false" customHeight="false" outlineLevel="0" collapsed="false">
      <c r="A910" s="0" t="n">
        <v>59</v>
      </c>
      <c r="B910" s="0" t="n">
        <v>2024</v>
      </c>
      <c r="C910" s="3" t="n">
        <v>45476</v>
      </c>
      <c r="D910" s="4" t="s">
        <v>69</v>
      </c>
      <c r="E910" s="5" t="s">
        <v>71</v>
      </c>
      <c r="F910" s="5" t="s">
        <v>49</v>
      </c>
      <c r="G910" s="6"/>
      <c r="H910" s="6"/>
      <c r="I910" s="6"/>
      <c r="J910" s="6"/>
      <c r="K910" s="6"/>
      <c r="L910" s="0" t="str">
        <f aca="false">IF(H910&gt;I910,"ERRO","OK")</f>
        <v>OK</v>
      </c>
      <c r="M910" s="0" t="str">
        <f aca="false">IF(H910&gt;J910,"ERRO","OK")</f>
        <v>OK</v>
      </c>
      <c r="N910" s="0" t="str">
        <f aca="false">IF(I910&lt;J910,"ERRO","OK")</f>
        <v>OK</v>
      </c>
    </row>
    <row r="911" customFormat="false" ht="14.25" hidden="false" customHeight="false" outlineLevel="0" collapsed="false">
      <c r="A911" s="0" t="n">
        <v>59</v>
      </c>
      <c r="B911" s="0" t="n">
        <v>2024</v>
      </c>
      <c r="C911" s="3" t="n">
        <v>45476</v>
      </c>
      <c r="D911" s="8" t="s">
        <v>69</v>
      </c>
      <c r="E911" s="9" t="s">
        <v>72</v>
      </c>
      <c r="F911" s="9" t="s">
        <v>49</v>
      </c>
      <c r="G911" s="10"/>
      <c r="H911" s="10"/>
      <c r="I911" s="10"/>
      <c r="J911" s="10"/>
      <c r="K911" s="10"/>
      <c r="L911" s="0" t="str">
        <f aca="false">IF(H911&gt;I911,"ERRO","OK")</f>
        <v>OK</v>
      </c>
      <c r="M911" s="0" t="str">
        <f aca="false">IF(H911&gt;J911,"ERRO","OK")</f>
        <v>OK</v>
      </c>
      <c r="N911" s="0" t="str">
        <f aca="false">IF(I911&lt;J911,"ERRO","OK")</f>
        <v>OK</v>
      </c>
    </row>
    <row r="912" customFormat="false" ht="14.25" hidden="false" customHeight="false" outlineLevel="0" collapsed="false">
      <c r="A912" s="0" t="n">
        <v>59</v>
      </c>
      <c r="B912" s="0" t="n">
        <v>2024</v>
      </c>
      <c r="C912" s="3" t="n">
        <v>45476</v>
      </c>
      <c r="D912" s="4" t="s">
        <v>69</v>
      </c>
      <c r="E912" s="5" t="s">
        <v>73</v>
      </c>
      <c r="F912" s="5" t="s">
        <v>49</v>
      </c>
      <c r="G912" s="6"/>
      <c r="H912" s="7" t="n">
        <v>50</v>
      </c>
      <c r="I912" s="7" t="n">
        <v>50</v>
      </c>
      <c r="J912" s="7" t="n">
        <v>50</v>
      </c>
      <c r="K912" s="7" t="n">
        <v>50</v>
      </c>
      <c r="L912" s="0" t="str">
        <f aca="false">IF(H912&gt;I912,"ERRO","OK")</f>
        <v>OK</v>
      </c>
      <c r="M912" s="0" t="str">
        <f aca="false">IF(H912&gt;J912,"ERRO","OK")</f>
        <v>OK</v>
      </c>
      <c r="N912" s="0" t="str">
        <f aca="false">IF(I912&lt;J912,"ERRO","OK")</f>
        <v>OK</v>
      </c>
    </row>
    <row r="913" customFormat="false" ht="14.25" hidden="false" customHeight="false" outlineLevel="0" collapsed="false">
      <c r="A913" s="0" t="n">
        <v>59</v>
      </c>
      <c r="B913" s="0" t="n">
        <v>2024</v>
      </c>
      <c r="C913" s="3" t="n">
        <v>45476</v>
      </c>
      <c r="D913" s="8" t="s">
        <v>69</v>
      </c>
      <c r="E913" s="9" t="s">
        <v>74</v>
      </c>
      <c r="F913" s="9" t="s">
        <v>75</v>
      </c>
      <c r="G913" s="10"/>
      <c r="H913" s="11" t="n">
        <v>65</v>
      </c>
      <c r="I913" s="11" t="n">
        <v>65</v>
      </c>
      <c r="J913" s="11" t="n">
        <v>65</v>
      </c>
      <c r="K913" s="11" t="n">
        <v>65</v>
      </c>
      <c r="L913" s="0" t="str">
        <f aca="false">IF(H913&gt;I913,"ERRO","OK")</f>
        <v>OK</v>
      </c>
      <c r="M913" s="0" t="str">
        <f aca="false">IF(H913&gt;J913,"ERRO","OK")</f>
        <v>OK</v>
      </c>
      <c r="N913" s="0" t="str">
        <f aca="false">IF(I913&lt;J913,"ERRO","OK")</f>
        <v>OK</v>
      </c>
    </row>
    <row r="914" customFormat="false" ht="25" hidden="false" customHeight="false" outlineLevel="0" collapsed="false">
      <c r="A914" s="0" t="n">
        <v>60</v>
      </c>
      <c r="B914" s="0" t="n">
        <v>2024</v>
      </c>
      <c r="C914" s="3" t="n">
        <v>45483</v>
      </c>
      <c r="D914" s="4" t="s">
        <v>15</v>
      </c>
      <c r="E914" s="5" t="s">
        <v>16</v>
      </c>
      <c r="F914" s="5" t="s">
        <v>17</v>
      </c>
      <c r="G914" s="7" t="n">
        <v>48</v>
      </c>
      <c r="H914" s="7" t="n">
        <v>48</v>
      </c>
      <c r="I914" s="7" t="n">
        <v>60</v>
      </c>
      <c r="J914" s="7" t="n">
        <v>54</v>
      </c>
      <c r="K914" s="7" t="n">
        <v>54</v>
      </c>
      <c r="L914" s="0" t="str">
        <f aca="false">IF(H914&gt;I914,"ERRO","OK")</f>
        <v>OK</v>
      </c>
      <c r="M914" s="0" t="str">
        <f aca="false">IF(H914&gt;J914,"ERRO","OK")</f>
        <v>OK</v>
      </c>
      <c r="N914" s="0" t="str">
        <f aca="false">IF(I914&lt;J914,"ERRO","OK")</f>
        <v>OK</v>
      </c>
    </row>
    <row r="915" customFormat="false" ht="25" hidden="false" customHeight="false" outlineLevel="0" collapsed="false">
      <c r="A915" s="0" t="n">
        <v>60</v>
      </c>
      <c r="B915" s="0" t="n">
        <v>2024</v>
      </c>
      <c r="C915" s="3" t="n">
        <v>45483</v>
      </c>
      <c r="D915" s="8" t="s">
        <v>15</v>
      </c>
      <c r="E915" s="9" t="s">
        <v>18</v>
      </c>
      <c r="F915" s="9" t="s">
        <v>17</v>
      </c>
      <c r="G915" s="11" t="n">
        <v>72</v>
      </c>
      <c r="H915" s="11" t="n">
        <v>72</v>
      </c>
      <c r="I915" s="11" t="n">
        <v>84</v>
      </c>
      <c r="J915" s="11" t="n">
        <v>78</v>
      </c>
      <c r="K915" s="11" t="n">
        <v>78</v>
      </c>
      <c r="L915" s="0" t="str">
        <f aca="false">IF(H915&gt;I915,"ERRO","OK")</f>
        <v>OK</v>
      </c>
      <c r="M915" s="0" t="str">
        <f aca="false">IF(H915&gt;J915,"ERRO","OK")</f>
        <v>OK</v>
      </c>
      <c r="N915" s="0" t="str">
        <f aca="false">IF(I915&lt;J915,"ERRO","OK")</f>
        <v>OK</v>
      </c>
    </row>
    <row r="916" customFormat="false" ht="25" hidden="false" customHeight="false" outlineLevel="0" collapsed="false">
      <c r="A916" s="0" t="n">
        <v>60</v>
      </c>
      <c r="B916" s="0" t="n">
        <v>2024</v>
      </c>
      <c r="C916" s="3" t="n">
        <v>45483</v>
      </c>
      <c r="D916" s="4" t="s">
        <v>15</v>
      </c>
      <c r="E916" s="5" t="s">
        <v>19</v>
      </c>
      <c r="F916" s="5" t="s">
        <v>17</v>
      </c>
      <c r="G916" s="7" t="n">
        <v>36</v>
      </c>
      <c r="H916" s="7" t="n">
        <v>36</v>
      </c>
      <c r="I916" s="7" t="n">
        <v>48</v>
      </c>
      <c r="J916" s="7" t="n">
        <v>40</v>
      </c>
      <c r="K916" s="7" t="n">
        <v>38</v>
      </c>
      <c r="L916" s="0" t="str">
        <f aca="false">IF(H916&gt;I916,"ERRO","OK")</f>
        <v>OK</v>
      </c>
      <c r="M916" s="0" t="str">
        <f aca="false">IF(H916&gt;J916,"ERRO","OK")</f>
        <v>OK</v>
      </c>
      <c r="N916" s="0" t="str">
        <f aca="false">IF(I916&lt;J916,"ERRO","OK")</f>
        <v>OK</v>
      </c>
    </row>
    <row r="917" customFormat="false" ht="25" hidden="false" customHeight="false" outlineLevel="0" collapsed="false">
      <c r="A917" s="0" t="n">
        <v>60</v>
      </c>
      <c r="B917" s="0" t="n">
        <v>2024</v>
      </c>
      <c r="C917" s="3" t="n">
        <v>45483</v>
      </c>
      <c r="D917" s="8" t="s">
        <v>15</v>
      </c>
      <c r="E917" s="9" t="s">
        <v>20</v>
      </c>
      <c r="F917" s="9" t="s">
        <v>17</v>
      </c>
      <c r="G917" s="11" t="n">
        <v>24</v>
      </c>
      <c r="H917" s="11" t="n">
        <v>20</v>
      </c>
      <c r="I917" s="11" t="n">
        <v>24</v>
      </c>
      <c r="J917" s="11" t="n">
        <v>23</v>
      </c>
      <c r="K917" s="11" t="n">
        <v>24</v>
      </c>
      <c r="L917" s="0" t="str">
        <f aca="false">IF(H917&gt;I917,"ERRO","OK")</f>
        <v>OK</v>
      </c>
      <c r="M917" s="0" t="str">
        <f aca="false">IF(H917&gt;J917,"ERRO","OK")</f>
        <v>OK</v>
      </c>
      <c r="N917" s="0" t="str">
        <f aca="false">IF(I917&lt;J917,"ERRO","OK")</f>
        <v>OK</v>
      </c>
    </row>
    <row r="918" customFormat="false" ht="25" hidden="false" customHeight="false" outlineLevel="0" collapsed="false">
      <c r="A918" s="0" t="n">
        <v>60</v>
      </c>
      <c r="B918" s="0" t="n">
        <v>2024</v>
      </c>
      <c r="C918" s="3" t="n">
        <v>45483</v>
      </c>
      <c r="D918" s="4" t="s">
        <v>15</v>
      </c>
      <c r="E918" s="5" t="s">
        <v>21</v>
      </c>
      <c r="F918" s="5" t="s">
        <v>17</v>
      </c>
      <c r="G918" s="7" t="n">
        <v>24</v>
      </c>
      <c r="H918" s="7" t="n">
        <v>20</v>
      </c>
      <c r="I918" s="7" t="n">
        <v>24</v>
      </c>
      <c r="J918" s="7" t="n">
        <v>23</v>
      </c>
      <c r="K918" s="7" t="n">
        <v>24</v>
      </c>
      <c r="L918" s="0" t="str">
        <f aca="false">IF(H918&gt;I918,"ERRO","OK")</f>
        <v>OK</v>
      </c>
      <c r="M918" s="0" t="str">
        <f aca="false">IF(H918&gt;J918,"ERRO","OK")</f>
        <v>OK</v>
      </c>
      <c r="N918" s="0" t="str">
        <f aca="false">IF(I918&lt;J918,"ERRO","OK")</f>
        <v>OK</v>
      </c>
    </row>
    <row r="919" customFormat="false" ht="25" hidden="false" customHeight="false" outlineLevel="0" collapsed="false">
      <c r="A919" s="0" t="n">
        <v>60</v>
      </c>
      <c r="B919" s="0" t="n">
        <v>2024</v>
      </c>
      <c r="C919" s="3" t="n">
        <v>45483</v>
      </c>
      <c r="D919" s="8" t="s">
        <v>15</v>
      </c>
      <c r="E919" s="9" t="s">
        <v>22</v>
      </c>
      <c r="F919" s="9" t="s">
        <v>17</v>
      </c>
      <c r="G919" s="11" t="n">
        <v>60</v>
      </c>
      <c r="H919" s="11" t="n">
        <v>60</v>
      </c>
      <c r="I919" s="11" t="n">
        <v>60</v>
      </c>
      <c r="J919" s="11" t="n">
        <v>60</v>
      </c>
      <c r="K919" s="11" t="n">
        <v>60</v>
      </c>
      <c r="L919" s="0" t="str">
        <f aca="false">IF(H919&gt;I919,"ERRO","OK")</f>
        <v>OK</v>
      </c>
      <c r="M919" s="0" t="str">
        <f aca="false">IF(H919&gt;J919,"ERRO","OK")</f>
        <v>OK</v>
      </c>
      <c r="N919" s="0" t="str">
        <f aca="false">IF(I919&lt;J919,"ERRO","OK")</f>
        <v>OK</v>
      </c>
    </row>
    <row r="920" customFormat="false" ht="25" hidden="false" customHeight="false" outlineLevel="0" collapsed="false">
      <c r="A920" s="0" t="n">
        <v>60</v>
      </c>
      <c r="B920" s="0" t="n">
        <v>2024</v>
      </c>
      <c r="C920" s="3" t="n">
        <v>45483</v>
      </c>
      <c r="D920" s="4" t="s">
        <v>15</v>
      </c>
      <c r="E920" s="5" t="s">
        <v>23</v>
      </c>
      <c r="F920" s="5" t="s">
        <v>17</v>
      </c>
      <c r="G920" s="7" t="n">
        <v>60</v>
      </c>
      <c r="H920" s="7" t="n">
        <v>54</v>
      </c>
      <c r="I920" s="7" t="n">
        <v>60</v>
      </c>
      <c r="J920" s="7" t="s">
        <v>250</v>
      </c>
      <c r="K920" s="7" t="n">
        <v>60</v>
      </c>
      <c r="L920" s="0" t="str">
        <f aca="false">IF(H920&gt;I920,"ERRO","OK")</f>
        <v>OK</v>
      </c>
      <c r="M920" s="0" t="str">
        <f aca="false">IF(H920&gt;J920,"ERRO","OK")</f>
        <v>OK</v>
      </c>
      <c r="N920" s="0" t="str">
        <f aca="false">IF(I920&lt;J920,"ERRO","OK")</f>
        <v>ERRO</v>
      </c>
    </row>
    <row r="921" customFormat="false" ht="25" hidden="false" customHeight="false" outlineLevel="0" collapsed="false">
      <c r="A921" s="0" t="n">
        <v>60</v>
      </c>
      <c r="B921" s="0" t="n">
        <v>2024</v>
      </c>
      <c r="C921" s="3" t="n">
        <v>45483</v>
      </c>
      <c r="D921" s="8" t="s">
        <v>15</v>
      </c>
      <c r="E921" s="9" t="s">
        <v>24</v>
      </c>
      <c r="F921" s="9" t="s">
        <v>17</v>
      </c>
      <c r="G921" s="11" t="n">
        <v>84</v>
      </c>
      <c r="H921" s="11" t="n">
        <v>72</v>
      </c>
      <c r="I921" s="11" t="n">
        <v>96</v>
      </c>
      <c r="J921" s="11" t="n">
        <v>84</v>
      </c>
      <c r="K921" s="11" t="n">
        <v>84</v>
      </c>
      <c r="L921" s="0" t="str">
        <f aca="false">IF(H921&gt;I921,"ERRO","OK")</f>
        <v>OK</v>
      </c>
      <c r="M921" s="0" t="str">
        <f aca="false">IF(H921&gt;J921,"ERRO","OK")</f>
        <v>OK</v>
      </c>
      <c r="N921" s="0" t="str">
        <f aca="false">IF(I921&lt;J921,"ERRO","OK")</f>
        <v>OK</v>
      </c>
    </row>
    <row r="922" customFormat="false" ht="25" hidden="false" customHeight="false" outlineLevel="0" collapsed="false">
      <c r="A922" s="0" t="n">
        <v>60</v>
      </c>
      <c r="B922" s="0" t="n">
        <v>2024</v>
      </c>
      <c r="C922" s="3" t="n">
        <v>45483</v>
      </c>
      <c r="D922" s="4" t="s">
        <v>15</v>
      </c>
      <c r="E922" s="5" t="s">
        <v>25</v>
      </c>
      <c r="F922" s="5" t="s">
        <v>17</v>
      </c>
      <c r="G922" s="7" t="n">
        <v>24</v>
      </c>
      <c r="H922" s="7" t="n">
        <v>24</v>
      </c>
      <c r="I922" s="7" t="n">
        <v>30</v>
      </c>
      <c r="J922" s="7" t="s">
        <v>280</v>
      </c>
      <c r="K922" s="7" t="n">
        <v>24</v>
      </c>
      <c r="L922" s="0" t="str">
        <f aca="false">IF(H922&gt;I922,"ERRO","OK")</f>
        <v>OK</v>
      </c>
      <c r="M922" s="0" t="str">
        <f aca="false">IF(H922&gt;J922,"ERRO","OK")</f>
        <v>OK</v>
      </c>
      <c r="N922" s="0" t="str">
        <f aca="false">IF(I922&lt;J922,"ERRO","OK")</f>
        <v>ERRO</v>
      </c>
    </row>
    <row r="923" customFormat="false" ht="25" hidden="false" customHeight="false" outlineLevel="0" collapsed="false">
      <c r="A923" s="0" t="n">
        <v>60</v>
      </c>
      <c r="B923" s="0" t="n">
        <v>2024</v>
      </c>
      <c r="C923" s="3" t="n">
        <v>45483</v>
      </c>
      <c r="D923" s="8" t="s">
        <v>15</v>
      </c>
      <c r="E923" s="9" t="s">
        <v>77</v>
      </c>
      <c r="F923" s="9" t="s">
        <v>17</v>
      </c>
      <c r="G923" s="11" t="n">
        <v>60</v>
      </c>
      <c r="H923" s="11" t="n">
        <v>60</v>
      </c>
      <c r="I923" s="11" t="n">
        <v>72</v>
      </c>
      <c r="J923" s="11" t="n">
        <v>63</v>
      </c>
      <c r="K923" s="11" t="n">
        <v>60</v>
      </c>
      <c r="L923" s="0" t="str">
        <f aca="false">IF(H923&gt;I923,"ERRO","OK")</f>
        <v>OK</v>
      </c>
      <c r="M923" s="0" t="str">
        <f aca="false">IF(H923&gt;J923,"ERRO","OK")</f>
        <v>OK</v>
      </c>
      <c r="N923" s="0" t="str">
        <f aca="false">IF(I923&lt;J923,"ERRO","OK")</f>
        <v>OK</v>
      </c>
    </row>
    <row r="924" customFormat="false" ht="25" hidden="false" customHeight="false" outlineLevel="0" collapsed="false">
      <c r="A924" s="0" t="n">
        <v>60</v>
      </c>
      <c r="B924" s="0" t="n">
        <v>2024</v>
      </c>
      <c r="C924" s="3" t="n">
        <v>45483</v>
      </c>
      <c r="D924" s="4" t="s">
        <v>15</v>
      </c>
      <c r="E924" s="5" t="s">
        <v>27</v>
      </c>
      <c r="F924" s="5" t="s">
        <v>17</v>
      </c>
      <c r="G924" s="7" t="n">
        <v>24</v>
      </c>
      <c r="H924" s="7" t="n">
        <v>20</v>
      </c>
      <c r="I924" s="7" t="n">
        <v>24</v>
      </c>
      <c r="J924" s="7" t="n">
        <v>23</v>
      </c>
      <c r="K924" s="7" t="n">
        <v>24</v>
      </c>
      <c r="L924" s="0" t="str">
        <f aca="false">IF(H924&gt;I924,"ERRO","OK")</f>
        <v>OK</v>
      </c>
      <c r="M924" s="0" t="str">
        <f aca="false">IF(H924&gt;J924,"ERRO","OK")</f>
        <v>OK</v>
      </c>
      <c r="N924" s="0" t="str">
        <f aca="false">IF(I924&lt;J924,"ERRO","OK")</f>
        <v>OK</v>
      </c>
    </row>
    <row r="925" customFormat="false" ht="25" hidden="false" customHeight="false" outlineLevel="0" collapsed="false">
      <c r="A925" s="0" t="n">
        <v>60</v>
      </c>
      <c r="B925" s="0" t="n">
        <v>2024</v>
      </c>
      <c r="C925" s="3" t="n">
        <v>45483</v>
      </c>
      <c r="D925" s="8" t="s">
        <v>15</v>
      </c>
      <c r="E925" s="9" t="s">
        <v>28</v>
      </c>
      <c r="F925" s="9" t="s">
        <v>17</v>
      </c>
      <c r="G925" s="11" t="n">
        <v>60</v>
      </c>
      <c r="H925" s="11" t="n">
        <v>60</v>
      </c>
      <c r="I925" s="11" t="n">
        <v>78</v>
      </c>
      <c r="J925" s="11" t="s">
        <v>182</v>
      </c>
      <c r="K925" s="11" t="n">
        <v>60</v>
      </c>
      <c r="L925" s="0" t="str">
        <f aca="false">IF(H925&gt;I925,"ERRO","OK")</f>
        <v>OK</v>
      </c>
      <c r="M925" s="0" t="str">
        <f aca="false">IF(H925&gt;J925,"ERRO","OK")</f>
        <v>OK</v>
      </c>
      <c r="N925" s="0" t="str">
        <f aca="false">IF(I925&lt;J925,"ERRO","OK")</f>
        <v>ERRO</v>
      </c>
    </row>
    <row r="926" customFormat="false" ht="25" hidden="false" customHeight="false" outlineLevel="0" collapsed="false">
      <c r="A926" s="0" t="n">
        <v>60</v>
      </c>
      <c r="B926" s="0" t="n">
        <v>2024</v>
      </c>
      <c r="C926" s="3" t="n">
        <v>45483</v>
      </c>
      <c r="D926" s="4" t="s">
        <v>15</v>
      </c>
      <c r="E926" s="5" t="s">
        <v>29</v>
      </c>
      <c r="F926" s="5" t="s">
        <v>30</v>
      </c>
      <c r="G926" s="7" t="n">
        <v>60</v>
      </c>
      <c r="H926" s="7" t="n">
        <v>60</v>
      </c>
      <c r="I926" s="7" t="n">
        <v>60</v>
      </c>
      <c r="J926" s="7" t="n">
        <v>60</v>
      </c>
      <c r="K926" s="7" t="n">
        <v>60</v>
      </c>
      <c r="L926" s="0" t="str">
        <f aca="false">IF(H926&gt;I926,"ERRO","OK")</f>
        <v>OK</v>
      </c>
      <c r="M926" s="0" t="str">
        <f aca="false">IF(H926&gt;J926,"ERRO","OK")</f>
        <v>OK</v>
      </c>
      <c r="N926" s="0" t="str">
        <f aca="false">IF(I926&lt;J926,"ERRO","OK")</f>
        <v>OK</v>
      </c>
    </row>
    <row r="927" customFormat="false" ht="25" hidden="false" customHeight="false" outlineLevel="0" collapsed="false">
      <c r="A927" s="0" t="n">
        <v>60</v>
      </c>
      <c r="B927" s="0" t="n">
        <v>2024</v>
      </c>
      <c r="C927" s="3" t="n">
        <v>45483</v>
      </c>
      <c r="D927" s="8" t="s">
        <v>15</v>
      </c>
      <c r="E927" s="9" t="s">
        <v>31</v>
      </c>
      <c r="F927" s="9" t="s">
        <v>17</v>
      </c>
      <c r="G927" s="10"/>
      <c r="H927" s="11" t="n">
        <v>50</v>
      </c>
      <c r="I927" s="11" t="n">
        <v>84</v>
      </c>
      <c r="J927" s="11" t="s">
        <v>281</v>
      </c>
      <c r="K927" s="11" t="n">
        <v>66</v>
      </c>
      <c r="L927" s="0" t="str">
        <f aca="false">IF(H927&gt;I927,"ERRO","OK")</f>
        <v>OK</v>
      </c>
      <c r="M927" s="0" t="str">
        <f aca="false">IF(H927&gt;J927,"ERRO","OK")</f>
        <v>OK</v>
      </c>
      <c r="N927" s="0" t="str">
        <f aca="false">IF(I927&lt;J927,"ERRO","OK")</f>
        <v>ERRO</v>
      </c>
    </row>
    <row r="928" customFormat="false" ht="25" hidden="false" customHeight="false" outlineLevel="0" collapsed="false">
      <c r="A928" s="0" t="n">
        <v>60</v>
      </c>
      <c r="B928" s="0" t="n">
        <v>2024</v>
      </c>
      <c r="C928" s="3" t="n">
        <v>45483</v>
      </c>
      <c r="D928" s="4" t="s">
        <v>15</v>
      </c>
      <c r="E928" s="5" t="s">
        <v>32</v>
      </c>
      <c r="F928" s="5" t="s">
        <v>17</v>
      </c>
      <c r="G928" s="7" t="n">
        <v>45</v>
      </c>
      <c r="H928" s="7" t="n">
        <v>40</v>
      </c>
      <c r="I928" s="7" t="n">
        <v>48</v>
      </c>
      <c r="J928" s="7" t="s">
        <v>251</v>
      </c>
      <c r="K928" s="7" t="n">
        <v>45</v>
      </c>
      <c r="L928" s="0" t="str">
        <f aca="false">IF(H928&gt;I928,"ERRO","OK")</f>
        <v>OK</v>
      </c>
      <c r="M928" s="0" t="str">
        <f aca="false">IF(H928&gt;J928,"ERRO","OK")</f>
        <v>OK</v>
      </c>
      <c r="N928" s="0" t="str">
        <f aca="false">IF(I928&lt;J928,"ERRO","OK")</f>
        <v>ERRO</v>
      </c>
    </row>
    <row r="929" customFormat="false" ht="25" hidden="false" customHeight="false" outlineLevel="0" collapsed="false">
      <c r="A929" s="0" t="n">
        <v>60</v>
      </c>
      <c r="B929" s="0" t="n">
        <v>2024</v>
      </c>
      <c r="C929" s="3" t="n">
        <v>45483</v>
      </c>
      <c r="D929" s="8" t="s">
        <v>15</v>
      </c>
      <c r="E929" s="9" t="s">
        <v>33</v>
      </c>
      <c r="F929" s="9" t="s">
        <v>17</v>
      </c>
      <c r="G929" s="11" t="n">
        <v>48</v>
      </c>
      <c r="H929" s="11" t="n">
        <v>48</v>
      </c>
      <c r="I929" s="11" t="n">
        <v>54</v>
      </c>
      <c r="J929" s="11" t="s">
        <v>177</v>
      </c>
      <c r="K929" s="11" t="n">
        <v>48</v>
      </c>
      <c r="L929" s="0" t="str">
        <f aca="false">IF(H929&gt;I929,"ERRO","OK")</f>
        <v>OK</v>
      </c>
      <c r="M929" s="0" t="str">
        <f aca="false">IF(H929&gt;J929,"ERRO","OK")</f>
        <v>OK</v>
      </c>
      <c r="N929" s="0" t="str">
        <f aca="false">IF(I929&lt;J929,"ERRO","OK")</f>
        <v>ERRO</v>
      </c>
    </row>
    <row r="930" customFormat="false" ht="25" hidden="false" customHeight="false" outlineLevel="0" collapsed="false">
      <c r="A930" s="0" t="n">
        <v>60</v>
      </c>
      <c r="B930" s="0" t="n">
        <v>2024</v>
      </c>
      <c r="C930" s="3" t="n">
        <v>45483</v>
      </c>
      <c r="D930" s="4" t="s">
        <v>34</v>
      </c>
      <c r="E930" s="5" t="s">
        <v>35</v>
      </c>
      <c r="F930" s="5" t="s">
        <v>36</v>
      </c>
      <c r="G930" s="7" t="n">
        <v>5</v>
      </c>
      <c r="H930" s="7" t="n">
        <v>5</v>
      </c>
      <c r="I930" s="7" t="n">
        <v>5</v>
      </c>
      <c r="J930" s="7" t="n">
        <v>5</v>
      </c>
      <c r="K930" s="7" t="n">
        <v>5</v>
      </c>
      <c r="L930" s="0" t="str">
        <f aca="false">IF(H930&gt;I930,"ERRO","OK")</f>
        <v>OK</v>
      </c>
      <c r="M930" s="0" t="str">
        <f aca="false">IF(H930&gt;J930,"ERRO","OK")</f>
        <v>OK</v>
      </c>
      <c r="N930" s="0" t="str">
        <f aca="false">IF(I930&lt;J930,"ERRO","OK")</f>
        <v>OK</v>
      </c>
    </row>
    <row r="931" customFormat="false" ht="25" hidden="false" customHeight="false" outlineLevel="0" collapsed="false">
      <c r="A931" s="0" t="n">
        <v>60</v>
      </c>
      <c r="B931" s="0" t="n">
        <v>2024</v>
      </c>
      <c r="C931" s="3" t="n">
        <v>45483</v>
      </c>
      <c r="D931" s="8" t="s">
        <v>34</v>
      </c>
      <c r="E931" s="9" t="s">
        <v>38</v>
      </c>
      <c r="F931" s="9" t="s">
        <v>39</v>
      </c>
      <c r="G931" s="11" t="n">
        <v>15</v>
      </c>
      <c r="H931" s="11" t="n">
        <v>10</v>
      </c>
      <c r="I931" s="11" t="n">
        <v>15</v>
      </c>
      <c r="J931" s="11" t="n">
        <v>13</v>
      </c>
      <c r="K931" s="11" t="s">
        <v>282</v>
      </c>
      <c r="L931" s="0" t="str">
        <f aca="false">IF(H931&gt;I931,"ERRO","OK")</f>
        <v>OK</v>
      </c>
      <c r="M931" s="0" t="str">
        <f aca="false">IF(H931&gt;J931,"ERRO","OK")</f>
        <v>OK</v>
      </c>
      <c r="N931" s="0" t="str">
        <f aca="false">IF(I931&lt;J931,"ERRO","OK")</f>
        <v>OK</v>
      </c>
    </row>
    <row r="932" customFormat="false" ht="25" hidden="false" customHeight="false" outlineLevel="0" collapsed="false">
      <c r="A932" s="0" t="n">
        <v>60</v>
      </c>
      <c r="B932" s="0" t="n">
        <v>2024</v>
      </c>
      <c r="C932" s="3" t="n">
        <v>45483</v>
      </c>
      <c r="D932" s="4" t="s">
        <v>34</v>
      </c>
      <c r="E932" s="5" t="s">
        <v>40</v>
      </c>
      <c r="F932" s="5" t="s">
        <v>39</v>
      </c>
      <c r="G932" s="7" t="n">
        <v>25</v>
      </c>
      <c r="H932" s="7" t="n">
        <v>20</v>
      </c>
      <c r="I932" s="7" t="n">
        <v>30</v>
      </c>
      <c r="J932" s="7" t="n">
        <v>25</v>
      </c>
      <c r="K932" s="7" t="n">
        <v>25</v>
      </c>
      <c r="L932" s="0" t="str">
        <f aca="false">IF(H932&gt;I932,"ERRO","OK")</f>
        <v>OK</v>
      </c>
      <c r="M932" s="0" t="str">
        <f aca="false">IF(H932&gt;J932,"ERRO","OK")</f>
        <v>OK</v>
      </c>
      <c r="N932" s="0" t="str">
        <f aca="false">IF(I932&lt;J932,"ERRO","OK")</f>
        <v>OK</v>
      </c>
    </row>
    <row r="933" customFormat="false" ht="36.5" hidden="false" customHeight="false" outlineLevel="0" collapsed="false">
      <c r="A933" s="0" t="n">
        <v>60</v>
      </c>
      <c r="B933" s="0" t="n">
        <v>2024</v>
      </c>
      <c r="C933" s="3" t="n">
        <v>45483</v>
      </c>
      <c r="D933" s="8" t="s">
        <v>42</v>
      </c>
      <c r="E933" s="9" t="s">
        <v>157</v>
      </c>
      <c r="F933" s="9" t="s">
        <v>158</v>
      </c>
      <c r="G933" s="10"/>
      <c r="H933" s="11" t="n">
        <v>65</v>
      </c>
      <c r="I933" s="11" t="n">
        <v>80</v>
      </c>
      <c r="J933" s="11" t="s">
        <v>283</v>
      </c>
      <c r="K933" s="11" t="n">
        <v>70</v>
      </c>
      <c r="L933" s="0" t="str">
        <f aca="false">IF(H933&gt;I933,"ERRO","OK")</f>
        <v>OK</v>
      </c>
      <c r="M933" s="0" t="str">
        <f aca="false">IF(H933&gt;J933,"ERRO","OK")</f>
        <v>OK</v>
      </c>
      <c r="N933" s="0" t="str">
        <f aca="false">IF(I933&lt;J933,"ERRO","OK")</f>
        <v>ERRO</v>
      </c>
    </row>
    <row r="934" customFormat="false" ht="36.5" hidden="false" customHeight="false" outlineLevel="0" collapsed="false">
      <c r="A934" s="0" t="n">
        <v>60</v>
      </c>
      <c r="B934" s="0" t="n">
        <v>2024</v>
      </c>
      <c r="C934" s="3" t="n">
        <v>45483</v>
      </c>
      <c r="D934" s="4" t="s">
        <v>42</v>
      </c>
      <c r="E934" s="5" t="s">
        <v>43</v>
      </c>
      <c r="F934" s="5" t="s">
        <v>44</v>
      </c>
      <c r="G934" s="7" t="n">
        <v>60</v>
      </c>
      <c r="H934" s="7" t="n">
        <v>45</v>
      </c>
      <c r="I934" s="7" t="n">
        <v>70</v>
      </c>
      <c r="J934" s="7" t="n">
        <v>59</v>
      </c>
      <c r="K934" s="7" t="n">
        <v>60</v>
      </c>
      <c r="L934" s="0" t="str">
        <f aca="false">IF(H934&gt;I934,"ERRO","OK")</f>
        <v>OK</v>
      </c>
      <c r="M934" s="0" t="str">
        <f aca="false">IF(H934&gt;J934,"ERRO","OK")</f>
        <v>OK</v>
      </c>
      <c r="N934" s="0" t="str">
        <f aca="false">IF(I934&lt;J934,"ERRO","OK")</f>
        <v>OK</v>
      </c>
    </row>
    <row r="935" customFormat="false" ht="36.5" hidden="false" customHeight="false" outlineLevel="0" collapsed="false">
      <c r="A935" s="0" t="n">
        <v>60</v>
      </c>
      <c r="B935" s="0" t="n">
        <v>2024</v>
      </c>
      <c r="C935" s="3" t="n">
        <v>45483</v>
      </c>
      <c r="D935" s="8" t="s">
        <v>42</v>
      </c>
      <c r="E935" s="9" t="s">
        <v>46</v>
      </c>
      <c r="F935" s="9" t="s">
        <v>47</v>
      </c>
      <c r="G935" s="11" t="n">
        <v>70</v>
      </c>
      <c r="H935" s="11" t="n">
        <v>45</v>
      </c>
      <c r="I935" s="11" t="n">
        <v>70</v>
      </c>
      <c r="J935" s="11" t="n">
        <v>64</v>
      </c>
      <c r="K935" s="11" t="n">
        <v>70</v>
      </c>
      <c r="L935" s="0" t="str">
        <f aca="false">IF(H935&gt;I935,"ERRO","OK")</f>
        <v>OK</v>
      </c>
      <c r="M935" s="0" t="str">
        <f aca="false">IF(H935&gt;J935,"ERRO","OK")</f>
        <v>OK</v>
      </c>
      <c r="N935" s="0" t="str">
        <f aca="false">IF(I935&lt;J935,"ERRO","OK")</f>
        <v>OK</v>
      </c>
    </row>
    <row r="936" customFormat="false" ht="36.5" hidden="false" customHeight="false" outlineLevel="0" collapsed="false">
      <c r="A936" s="0" t="n">
        <v>60</v>
      </c>
      <c r="B936" s="0" t="n">
        <v>2024</v>
      </c>
      <c r="C936" s="3" t="n">
        <v>45483</v>
      </c>
      <c r="D936" s="4" t="s">
        <v>42</v>
      </c>
      <c r="E936" s="5" t="s">
        <v>48</v>
      </c>
      <c r="F936" s="5" t="s">
        <v>49</v>
      </c>
      <c r="G936" s="7" t="n">
        <v>50</v>
      </c>
      <c r="H936" s="7" t="n">
        <v>30</v>
      </c>
      <c r="I936" s="7" t="n">
        <v>50</v>
      </c>
      <c r="J936" s="7" t="n">
        <v>45</v>
      </c>
      <c r="K936" s="7" t="n">
        <v>50</v>
      </c>
      <c r="L936" s="0" t="str">
        <f aca="false">IF(H936&gt;I936,"ERRO","OK")</f>
        <v>OK</v>
      </c>
      <c r="M936" s="0" t="str">
        <f aca="false">IF(H936&gt;J936,"ERRO","OK")</f>
        <v>OK</v>
      </c>
      <c r="N936" s="0" t="str">
        <f aca="false">IF(I936&lt;J936,"ERRO","OK")</f>
        <v>OK</v>
      </c>
    </row>
    <row r="937" customFormat="false" ht="36.5" hidden="false" customHeight="false" outlineLevel="0" collapsed="false">
      <c r="A937" s="0" t="n">
        <v>60</v>
      </c>
      <c r="B937" s="0" t="n">
        <v>2024</v>
      </c>
      <c r="C937" s="3" t="n">
        <v>45483</v>
      </c>
      <c r="D937" s="8" t="s">
        <v>42</v>
      </c>
      <c r="E937" s="9" t="s">
        <v>52</v>
      </c>
      <c r="F937" s="9" t="s">
        <v>49</v>
      </c>
      <c r="G937" s="10"/>
      <c r="H937" s="11" t="n">
        <v>40</v>
      </c>
      <c r="I937" s="11" t="n">
        <v>110</v>
      </c>
      <c r="J937" s="11" t="n">
        <v>85</v>
      </c>
      <c r="K937" s="11" t="n">
        <v>95</v>
      </c>
      <c r="L937" s="0" t="str">
        <f aca="false">IF(H937&gt;I937,"ERRO","OK")</f>
        <v>OK</v>
      </c>
      <c r="M937" s="0" t="str">
        <f aca="false">IF(H937&gt;J937,"ERRO","OK")</f>
        <v>OK</v>
      </c>
      <c r="N937" s="0" t="str">
        <f aca="false">IF(I937&lt;J937,"ERRO","OK")</f>
        <v>OK</v>
      </c>
    </row>
    <row r="938" customFormat="false" ht="36.5" hidden="false" customHeight="false" outlineLevel="0" collapsed="false">
      <c r="A938" s="0" t="n">
        <v>60</v>
      </c>
      <c r="B938" s="0" t="n">
        <v>2024</v>
      </c>
      <c r="C938" s="3" t="n">
        <v>45483</v>
      </c>
      <c r="D938" s="4" t="s">
        <v>42</v>
      </c>
      <c r="E938" s="5" t="s">
        <v>53</v>
      </c>
      <c r="F938" s="5" t="s">
        <v>54</v>
      </c>
      <c r="G938" s="7" t="n">
        <v>70</v>
      </c>
      <c r="H938" s="7" t="n">
        <v>70</v>
      </c>
      <c r="I938" s="7" t="n">
        <v>90</v>
      </c>
      <c r="J938" s="7" t="n">
        <v>79</v>
      </c>
      <c r="K938" s="7" t="n">
        <v>80</v>
      </c>
      <c r="L938" s="0" t="str">
        <f aca="false">IF(H938&gt;I938,"ERRO","OK")</f>
        <v>OK</v>
      </c>
      <c r="M938" s="0" t="str">
        <f aca="false">IF(H938&gt;J938,"ERRO","OK")</f>
        <v>OK</v>
      </c>
      <c r="N938" s="0" t="str">
        <f aca="false">IF(I938&lt;J938,"ERRO","OK")</f>
        <v>OK</v>
      </c>
    </row>
    <row r="939" customFormat="false" ht="36.5" hidden="false" customHeight="false" outlineLevel="0" collapsed="false">
      <c r="A939" s="0" t="n">
        <v>60</v>
      </c>
      <c r="B939" s="0" t="n">
        <v>2024</v>
      </c>
      <c r="C939" s="3" t="n">
        <v>45483</v>
      </c>
      <c r="D939" s="8" t="s">
        <v>42</v>
      </c>
      <c r="E939" s="9" t="s">
        <v>56</v>
      </c>
      <c r="F939" s="9" t="s">
        <v>47</v>
      </c>
      <c r="G939" s="11" t="n">
        <v>60</v>
      </c>
      <c r="H939" s="11" t="n">
        <v>40</v>
      </c>
      <c r="I939" s="11" t="n">
        <v>80</v>
      </c>
      <c r="J939" s="11" t="s">
        <v>245</v>
      </c>
      <c r="K939" s="11" t="s">
        <v>84</v>
      </c>
      <c r="L939" s="0" t="str">
        <f aca="false">IF(H939&gt;I939,"ERRO","OK")</f>
        <v>OK</v>
      </c>
      <c r="M939" s="0" t="str">
        <f aca="false">IF(H939&gt;J939,"ERRO","OK")</f>
        <v>OK</v>
      </c>
      <c r="N939" s="0" t="str">
        <f aca="false">IF(I939&lt;J939,"ERRO","OK")</f>
        <v>ERRO</v>
      </c>
    </row>
    <row r="940" customFormat="false" ht="36.5" hidden="false" customHeight="false" outlineLevel="0" collapsed="false">
      <c r="A940" s="0" t="n">
        <v>60</v>
      </c>
      <c r="B940" s="0" t="n">
        <v>2024</v>
      </c>
      <c r="C940" s="3" t="n">
        <v>45483</v>
      </c>
      <c r="D940" s="4" t="s">
        <v>42</v>
      </c>
      <c r="E940" s="5" t="s">
        <v>57</v>
      </c>
      <c r="F940" s="5" t="s">
        <v>47</v>
      </c>
      <c r="G940" s="7" t="n">
        <v>65</v>
      </c>
      <c r="H940" s="7" t="n">
        <v>45</v>
      </c>
      <c r="I940" s="7" t="n">
        <v>65</v>
      </c>
      <c r="J940" s="7" t="n">
        <v>57</v>
      </c>
      <c r="K940" s="7" t="n">
        <v>60</v>
      </c>
      <c r="L940" s="0" t="str">
        <f aca="false">IF(H940&gt;I940,"ERRO","OK")</f>
        <v>OK</v>
      </c>
      <c r="M940" s="0" t="str">
        <f aca="false">IF(H940&gt;J940,"ERRO","OK")</f>
        <v>OK</v>
      </c>
      <c r="N940" s="0" t="str">
        <f aca="false">IF(I940&lt;J940,"ERRO","OK")</f>
        <v>OK</v>
      </c>
    </row>
    <row r="941" customFormat="false" ht="36.5" hidden="false" customHeight="false" outlineLevel="0" collapsed="false">
      <c r="A941" s="0" t="n">
        <v>60</v>
      </c>
      <c r="B941" s="0" t="n">
        <v>2024</v>
      </c>
      <c r="C941" s="3" t="n">
        <v>45483</v>
      </c>
      <c r="D941" s="8" t="s">
        <v>42</v>
      </c>
      <c r="E941" s="9" t="s">
        <v>58</v>
      </c>
      <c r="F941" s="9" t="s">
        <v>44</v>
      </c>
      <c r="G941" s="11" t="n">
        <v>90</v>
      </c>
      <c r="H941" s="11" t="n">
        <v>60</v>
      </c>
      <c r="I941" s="11" t="n">
        <v>100</v>
      </c>
      <c r="J941" s="11" t="s">
        <v>274</v>
      </c>
      <c r="K941" s="11" t="n">
        <v>85</v>
      </c>
      <c r="L941" s="0" t="str">
        <f aca="false">IF(H941&gt;I941,"ERRO","OK")</f>
        <v>OK</v>
      </c>
      <c r="M941" s="0" t="str">
        <f aca="false">IF(H941&gt;J941,"ERRO","OK")</f>
        <v>OK</v>
      </c>
      <c r="N941" s="0" t="str">
        <f aca="false">IF(I941&lt;J941,"ERRO","OK")</f>
        <v>ERRO</v>
      </c>
    </row>
    <row r="942" customFormat="false" ht="36.5" hidden="false" customHeight="false" outlineLevel="0" collapsed="false">
      <c r="A942" s="0" t="n">
        <v>60</v>
      </c>
      <c r="B942" s="0" t="n">
        <v>2024</v>
      </c>
      <c r="C942" s="3" t="n">
        <v>45483</v>
      </c>
      <c r="D942" s="4" t="s">
        <v>42</v>
      </c>
      <c r="E942" s="5" t="s">
        <v>60</v>
      </c>
      <c r="F942" s="5" t="s">
        <v>47</v>
      </c>
      <c r="G942" s="7" t="n">
        <v>50</v>
      </c>
      <c r="H942" s="7" t="n">
        <v>50</v>
      </c>
      <c r="I942" s="7" t="n">
        <v>60</v>
      </c>
      <c r="J942" s="7" t="s">
        <v>96</v>
      </c>
      <c r="K942" s="7" t="s">
        <v>82</v>
      </c>
      <c r="L942" s="0" t="str">
        <f aca="false">IF(H942&gt;I942,"ERRO","OK")</f>
        <v>OK</v>
      </c>
      <c r="M942" s="0" t="str">
        <f aca="false">IF(H942&gt;J942,"ERRO","OK")</f>
        <v>OK</v>
      </c>
      <c r="N942" s="0" t="str">
        <f aca="false">IF(I942&lt;J942,"ERRO","OK")</f>
        <v>ERRO</v>
      </c>
    </row>
    <row r="943" customFormat="false" ht="36.5" hidden="false" customHeight="false" outlineLevel="0" collapsed="false">
      <c r="A943" s="0" t="n">
        <v>60</v>
      </c>
      <c r="B943" s="0" t="n">
        <v>2024</v>
      </c>
      <c r="C943" s="3" t="n">
        <v>45483</v>
      </c>
      <c r="D943" s="8" t="s">
        <v>42</v>
      </c>
      <c r="E943" s="9" t="s">
        <v>61</v>
      </c>
      <c r="F943" s="9" t="s">
        <v>44</v>
      </c>
      <c r="G943" s="11" t="n">
        <v>60</v>
      </c>
      <c r="H943" s="11" t="n">
        <v>40</v>
      </c>
      <c r="I943" s="11" t="n">
        <v>60</v>
      </c>
      <c r="J943" s="11" t="s">
        <v>82</v>
      </c>
      <c r="K943" s="11" t="n">
        <v>55</v>
      </c>
      <c r="L943" s="0" t="str">
        <f aca="false">IF(H943&gt;I943,"ERRO","OK")</f>
        <v>OK</v>
      </c>
      <c r="M943" s="0" t="str">
        <f aca="false">IF(H943&gt;J943,"ERRO","OK")</f>
        <v>OK</v>
      </c>
      <c r="N943" s="0" t="str">
        <f aca="false">IF(I943&lt;J943,"ERRO","OK")</f>
        <v>ERRO</v>
      </c>
    </row>
    <row r="944" customFormat="false" ht="36.5" hidden="false" customHeight="false" outlineLevel="0" collapsed="false">
      <c r="A944" s="0" t="n">
        <v>60</v>
      </c>
      <c r="B944" s="0" t="n">
        <v>2024</v>
      </c>
      <c r="C944" s="3" t="n">
        <v>45483</v>
      </c>
      <c r="D944" s="4" t="s">
        <v>42</v>
      </c>
      <c r="E944" s="5" t="s">
        <v>62</v>
      </c>
      <c r="F944" s="5" t="s">
        <v>44</v>
      </c>
      <c r="G944" s="7" t="n">
        <v>80</v>
      </c>
      <c r="H944" s="7" t="n">
        <v>70</v>
      </c>
      <c r="I944" s="7" t="n">
        <v>80</v>
      </c>
      <c r="J944" s="7" t="n">
        <v>77</v>
      </c>
      <c r="K944" s="7" t="n">
        <v>80</v>
      </c>
      <c r="L944" s="0" t="str">
        <f aca="false">IF(H944&gt;I944,"ERRO","OK")</f>
        <v>OK</v>
      </c>
      <c r="M944" s="0" t="str">
        <f aca="false">IF(H944&gt;J944,"ERRO","OK")</f>
        <v>OK</v>
      </c>
      <c r="N944" s="0" t="str">
        <f aca="false">IF(I944&lt;J944,"ERRO","OK")</f>
        <v>OK</v>
      </c>
    </row>
    <row r="945" customFormat="false" ht="36.5" hidden="false" customHeight="false" outlineLevel="0" collapsed="false">
      <c r="A945" s="0" t="n">
        <v>60</v>
      </c>
      <c r="B945" s="0" t="n">
        <v>2024</v>
      </c>
      <c r="C945" s="3" t="n">
        <v>45483</v>
      </c>
      <c r="D945" s="8" t="s">
        <v>42</v>
      </c>
      <c r="E945" s="9" t="s">
        <v>63</v>
      </c>
      <c r="F945" s="9" t="s">
        <v>49</v>
      </c>
      <c r="G945" s="11" t="n">
        <v>50</v>
      </c>
      <c r="H945" s="11" t="n">
        <v>50</v>
      </c>
      <c r="I945" s="11" t="n">
        <v>60</v>
      </c>
      <c r="J945" s="11" t="n">
        <v>53</v>
      </c>
      <c r="K945" s="11" t="n">
        <v>50</v>
      </c>
      <c r="L945" s="0" t="str">
        <f aca="false">IF(H945&gt;I945,"ERRO","OK")</f>
        <v>OK</v>
      </c>
      <c r="M945" s="0" t="str">
        <f aca="false">IF(H945&gt;J945,"ERRO","OK")</f>
        <v>OK</v>
      </c>
      <c r="N945" s="0" t="str">
        <f aca="false">IF(I945&lt;J945,"ERRO","OK")</f>
        <v>OK</v>
      </c>
    </row>
    <row r="946" customFormat="false" ht="36.5" hidden="false" customHeight="false" outlineLevel="0" collapsed="false">
      <c r="A946" s="0" t="n">
        <v>60</v>
      </c>
      <c r="B946" s="0" t="n">
        <v>2024</v>
      </c>
      <c r="C946" s="3" t="n">
        <v>45483</v>
      </c>
      <c r="D946" s="4" t="s">
        <v>42</v>
      </c>
      <c r="E946" s="5" t="s">
        <v>64</v>
      </c>
      <c r="F946" s="5" t="s">
        <v>65</v>
      </c>
      <c r="G946" s="7" t="n">
        <v>100</v>
      </c>
      <c r="H946" s="7" t="n">
        <v>90</v>
      </c>
      <c r="I946" s="7" t="n">
        <v>120</v>
      </c>
      <c r="J946" s="7" t="s">
        <v>187</v>
      </c>
      <c r="K946" s="7" t="n">
        <v>100</v>
      </c>
      <c r="L946" s="0" t="str">
        <f aca="false">IF(H946&gt;I946,"ERRO","OK")</f>
        <v>OK</v>
      </c>
      <c r="M946" s="0" t="str">
        <f aca="false">IF(H946&gt;J946,"ERRO","OK")</f>
        <v>OK</v>
      </c>
      <c r="N946" s="0" t="str">
        <f aca="false">IF(I946&lt;J946,"ERRO","OK")</f>
        <v>ERRO</v>
      </c>
    </row>
    <row r="947" customFormat="false" ht="36.5" hidden="false" customHeight="false" outlineLevel="0" collapsed="false">
      <c r="A947" s="0" t="n">
        <v>60</v>
      </c>
      <c r="B947" s="0" t="n">
        <v>2024</v>
      </c>
      <c r="C947" s="3" t="n">
        <v>45483</v>
      </c>
      <c r="D947" s="8" t="s">
        <v>42</v>
      </c>
      <c r="E947" s="9" t="s">
        <v>67</v>
      </c>
      <c r="F947" s="9" t="s">
        <v>44</v>
      </c>
      <c r="G947" s="10"/>
      <c r="H947" s="11" t="n">
        <v>30</v>
      </c>
      <c r="I947" s="11" t="n">
        <v>90</v>
      </c>
      <c r="J947" s="11" t="s">
        <v>88</v>
      </c>
      <c r="K947" s="11" t="s">
        <v>204</v>
      </c>
      <c r="L947" s="0" t="str">
        <f aca="false">IF(H947&gt;I947,"ERRO","OK")</f>
        <v>OK</v>
      </c>
      <c r="M947" s="0" t="str">
        <f aca="false">IF(H947&gt;J947,"ERRO","OK")</f>
        <v>OK</v>
      </c>
      <c r="N947" s="0" t="str">
        <f aca="false">IF(I947&lt;J947,"ERRO","OK")</f>
        <v>ERRO</v>
      </c>
    </row>
    <row r="948" customFormat="false" ht="36.5" hidden="false" customHeight="false" outlineLevel="0" collapsed="false">
      <c r="A948" s="0" t="n">
        <v>60</v>
      </c>
      <c r="B948" s="0" t="n">
        <v>2024</v>
      </c>
      <c r="C948" s="3" t="n">
        <v>45483</v>
      </c>
      <c r="D948" s="4" t="s">
        <v>42</v>
      </c>
      <c r="E948" s="5" t="s">
        <v>68</v>
      </c>
      <c r="F948" s="5" t="s">
        <v>44</v>
      </c>
      <c r="G948" s="7" t="n">
        <v>120</v>
      </c>
      <c r="H948" s="7" t="n">
        <v>120</v>
      </c>
      <c r="I948" s="7" t="n">
        <v>150</v>
      </c>
      <c r="J948" s="7" t="n">
        <v>130</v>
      </c>
      <c r="K948" s="7" t="n">
        <v>125</v>
      </c>
      <c r="L948" s="0" t="str">
        <f aca="false">IF(H948&gt;I948,"ERRO","OK")</f>
        <v>OK</v>
      </c>
      <c r="M948" s="0" t="str">
        <f aca="false">IF(H948&gt;J948,"ERRO","OK")</f>
        <v>OK</v>
      </c>
      <c r="N948" s="0" t="str">
        <f aca="false">IF(I948&lt;J948,"ERRO","OK")</f>
        <v>OK</v>
      </c>
    </row>
    <row r="949" customFormat="false" ht="14.25" hidden="false" customHeight="false" outlineLevel="0" collapsed="false">
      <c r="A949" s="0" t="n">
        <v>60</v>
      </c>
      <c r="B949" s="0" t="n">
        <v>2024</v>
      </c>
      <c r="C949" s="3" t="n">
        <v>45483</v>
      </c>
      <c r="D949" s="8" t="s">
        <v>69</v>
      </c>
      <c r="E949" s="9" t="s">
        <v>70</v>
      </c>
      <c r="F949" s="9" t="s">
        <v>49</v>
      </c>
      <c r="G949" s="10"/>
      <c r="H949" s="10"/>
      <c r="I949" s="10"/>
      <c r="J949" s="10"/>
      <c r="K949" s="10"/>
      <c r="L949" s="0" t="str">
        <f aca="false">IF(H949&gt;I949,"ERRO","OK")</f>
        <v>OK</v>
      </c>
      <c r="M949" s="0" t="str">
        <f aca="false">IF(H949&gt;J949,"ERRO","OK")</f>
        <v>OK</v>
      </c>
      <c r="N949" s="0" t="str">
        <f aca="false">IF(I949&lt;J949,"ERRO","OK")</f>
        <v>OK</v>
      </c>
    </row>
    <row r="950" customFormat="false" ht="14.25" hidden="false" customHeight="false" outlineLevel="0" collapsed="false">
      <c r="A950" s="0" t="n">
        <v>60</v>
      </c>
      <c r="B950" s="0" t="n">
        <v>2024</v>
      </c>
      <c r="C950" s="3" t="n">
        <v>45483</v>
      </c>
      <c r="D950" s="4" t="s">
        <v>69</v>
      </c>
      <c r="E950" s="5" t="s">
        <v>71</v>
      </c>
      <c r="F950" s="5" t="s">
        <v>49</v>
      </c>
      <c r="G950" s="6"/>
      <c r="H950" s="6"/>
      <c r="I950" s="6"/>
      <c r="J950" s="6"/>
      <c r="K950" s="6"/>
      <c r="L950" s="0" t="str">
        <f aca="false">IF(H950&gt;I950,"ERRO","OK")</f>
        <v>OK</v>
      </c>
      <c r="M950" s="0" t="str">
        <f aca="false">IF(H950&gt;J950,"ERRO","OK")</f>
        <v>OK</v>
      </c>
      <c r="N950" s="0" t="str">
        <f aca="false">IF(I950&lt;J950,"ERRO","OK")</f>
        <v>OK</v>
      </c>
    </row>
    <row r="951" customFormat="false" ht="14.25" hidden="false" customHeight="false" outlineLevel="0" collapsed="false">
      <c r="A951" s="0" t="n">
        <v>60</v>
      </c>
      <c r="B951" s="0" t="n">
        <v>2024</v>
      </c>
      <c r="C951" s="3" t="n">
        <v>45483</v>
      </c>
      <c r="D951" s="8" t="s">
        <v>69</v>
      </c>
      <c r="E951" s="9" t="s">
        <v>72</v>
      </c>
      <c r="F951" s="9" t="s">
        <v>49</v>
      </c>
      <c r="G951" s="10"/>
      <c r="H951" s="10"/>
      <c r="I951" s="10"/>
      <c r="J951" s="10"/>
      <c r="K951" s="10"/>
      <c r="L951" s="0" t="str">
        <f aca="false">IF(H951&gt;I951,"ERRO","OK")</f>
        <v>OK</v>
      </c>
      <c r="M951" s="0" t="str">
        <f aca="false">IF(H951&gt;J951,"ERRO","OK")</f>
        <v>OK</v>
      </c>
      <c r="N951" s="0" t="str">
        <f aca="false">IF(I951&lt;J951,"ERRO","OK")</f>
        <v>OK</v>
      </c>
    </row>
    <row r="952" customFormat="false" ht="14.25" hidden="false" customHeight="false" outlineLevel="0" collapsed="false">
      <c r="A952" s="0" t="n">
        <v>60</v>
      </c>
      <c r="B952" s="0" t="n">
        <v>2024</v>
      </c>
      <c r="C952" s="3" t="n">
        <v>45483</v>
      </c>
      <c r="D952" s="4" t="s">
        <v>69</v>
      </c>
      <c r="E952" s="5" t="s">
        <v>73</v>
      </c>
      <c r="F952" s="5" t="s">
        <v>49</v>
      </c>
      <c r="G952" s="7" t="n">
        <v>48</v>
      </c>
      <c r="H952" s="7" t="n">
        <v>48</v>
      </c>
      <c r="I952" s="7" t="n">
        <v>48</v>
      </c>
      <c r="J952" s="7" t="n">
        <v>48</v>
      </c>
      <c r="K952" s="7" t="n">
        <v>48</v>
      </c>
      <c r="L952" s="0" t="str">
        <f aca="false">IF(H952&gt;I952,"ERRO","OK")</f>
        <v>OK</v>
      </c>
      <c r="M952" s="0" t="str">
        <f aca="false">IF(H952&gt;J952,"ERRO","OK")</f>
        <v>OK</v>
      </c>
      <c r="N952" s="0" t="str">
        <f aca="false">IF(I952&lt;J952,"ERRO","OK")</f>
        <v>OK</v>
      </c>
    </row>
    <row r="953" customFormat="false" ht="14.25" hidden="false" customHeight="false" outlineLevel="0" collapsed="false">
      <c r="A953" s="0" t="n">
        <v>60</v>
      </c>
      <c r="B953" s="0" t="n">
        <v>2024</v>
      </c>
      <c r="C953" s="3" t="n">
        <v>45483</v>
      </c>
      <c r="D953" s="8" t="s">
        <v>69</v>
      </c>
      <c r="E953" s="9" t="s">
        <v>74</v>
      </c>
      <c r="F953" s="9" t="s">
        <v>75</v>
      </c>
      <c r="G953" s="11" t="n">
        <v>70</v>
      </c>
      <c r="H953" s="11" t="n">
        <v>65</v>
      </c>
      <c r="I953" s="11" t="n">
        <v>70</v>
      </c>
      <c r="J953" s="11" t="s">
        <v>66</v>
      </c>
      <c r="K953" s="11" t="n">
        <v>70</v>
      </c>
      <c r="L953" s="0" t="str">
        <f aca="false">IF(H953&gt;I953,"ERRO","OK")</f>
        <v>OK</v>
      </c>
      <c r="M953" s="0" t="str">
        <f aca="false">IF(H953&gt;J953,"ERRO","OK")</f>
        <v>OK</v>
      </c>
      <c r="N953" s="0" t="str">
        <f aca="false">IF(I953&lt;J953,"ERRO","OK")</f>
        <v>ERRO</v>
      </c>
    </row>
    <row r="954" customFormat="false" ht="25" hidden="false" customHeight="false" outlineLevel="0" collapsed="false">
      <c r="A954" s="0" t="n">
        <v>62</v>
      </c>
      <c r="B954" s="0" t="n">
        <v>2024</v>
      </c>
      <c r="C954" s="3" t="n">
        <v>45497</v>
      </c>
      <c r="D954" s="4" t="s">
        <v>15</v>
      </c>
      <c r="E954" s="5" t="s">
        <v>16</v>
      </c>
      <c r="F954" s="5" t="s">
        <v>17</v>
      </c>
      <c r="G954" s="7" t="n">
        <v>60</v>
      </c>
      <c r="H954" s="7" t="n">
        <v>48</v>
      </c>
      <c r="I954" s="7" t="n">
        <v>60</v>
      </c>
      <c r="J954" s="7" t="n">
        <v>54</v>
      </c>
      <c r="K954" s="7" t="n">
        <v>54</v>
      </c>
      <c r="L954" s="0" t="str">
        <f aca="false">IF(H954&gt;I954,"ERRO","OK")</f>
        <v>OK</v>
      </c>
      <c r="M954" s="0" t="str">
        <f aca="false">IF(H954&gt;J954,"ERRO","OK")</f>
        <v>OK</v>
      </c>
      <c r="N954" s="0" t="str">
        <f aca="false">IF(I954&lt;J954,"ERRO","OK")</f>
        <v>OK</v>
      </c>
    </row>
    <row r="955" customFormat="false" ht="25" hidden="false" customHeight="false" outlineLevel="0" collapsed="false">
      <c r="A955" s="0" t="n">
        <v>62</v>
      </c>
      <c r="B955" s="0" t="n">
        <v>2024</v>
      </c>
      <c r="C955" s="3" t="n">
        <v>45497</v>
      </c>
      <c r="D955" s="8" t="s">
        <v>15</v>
      </c>
      <c r="E955" s="9" t="s">
        <v>18</v>
      </c>
      <c r="F955" s="9" t="s">
        <v>17</v>
      </c>
      <c r="G955" s="11" t="n">
        <v>84</v>
      </c>
      <c r="H955" s="11" t="n">
        <v>60</v>
      </c>
      <c r="I955" s="11" t="n">
        <v>84</v>
      </c>
      <c r="J955" s="11" t="s">
        <v>284</v>
      </c>
      <c r="K955" s="11" t="n">
        <v>72</v>
      </c>
      <c r="L955" s="0" t="str">
        <f aca="false">IF(H955&gt;I955,"ERRO","OK")</f>
        <v>OK</v>
      </c>
      <c r="M955" s="0" t="str">
        <f aca="false">IF(H955&gt;J955,"ERRO","OK")</f>
        <v>OK</v>
      </c>
      <c r="N955" s="0" t="str">
        <f aca="false">IF(I955&lt;J955,"ERRO","OK")</f>
        <v>ERRO</v>
      </c>
    </row>
    <row r="956" customFormat="false" ht="25" hidden="false" customHeight="false" outlineLevel="0" collapsed="false">
      <c r="A956" s="0" t="n">
        <v>62</v>
      </c>
      <c r="B956" s="0" t="n">
        <v>2024</v>
      </c>
      <c r="C956" s="3" t="n">
        <v>45497</v>
      </c>
      <c r="D956" s="4" t="s">
        <v>15</v>
      </c>
      <c r="E956" s="5" t="s">
        <v>19</v>
      </c>
      <c r="F956" s="5" t="s">
        <v>17</v>
      </c>
      <c r="G956" s="7" t="n">
        <v>36</v>
      </c>
      <c r="H956" s="7" t="n">
        <v>30</v>
      </c>
      <c r="I956" s="7" t="n">
        <v>48</v>
      </c>
      <c r="J956" s="7" t="n">
        <v>36</v>
      </c>
      <c r="K956" s="7" t="n">
        <v>36</v>
      </c>
      <c r="L956" s="0" t="str">
        <f aca="false">IF(H956&gt;I956,"ERRO","OK")</f>
        <v>OK</v>
      </c>
      <c r="M956" s="0" t="str">
        <f aca="false">IF(H956&gt;J956,"ERRO","OK")</f>
        <v>OK</v>
      </c>
      <c r="N956" s="0" t="str">
        <f aca="false">IF(I956&lt;J956,"ERRO","OK")</f>
        <v>OK</v>
      </c>
    </row>
    <row r="957" customFormat="false" ht="25" hidden="false" customHeight="false" outlineLevel="0" collapsed="false">
      <c r="A957" s="0" t="n">
        <v>62</v>
      </c>
      <c r="B957" s="0" t="n">
        <v>2024</v>
      </c>
      <c r="C957" s="3" t="n">
        <v>45497</v>
      </c>
      <c r="D957" s="8" t="s">
        <v>15</v>
      </c>
      <c r="E957" s="9" t="s">
        <v>20</v>
      </c>
      <c r="F957" s="9" t="s">
        <v>17</v>
      </c>
      <c r="G957" s="11" t="n">
        <v>24</v>
      </c>
      <c r="H957" s="11" t="n">
        <v>18</v>
      </c>
      <c r="I957" s="11" t="n">
        <v>30</v>
      </c>
      <c r="J957" s="11" t="s">
        <v>285</v>
      </c>
      <c r="K957" s="11" t="n">
        <v>24</v>
      </c>
      <c r="L957" s="0" t="str">
        <f aca="false">IF(H957&gt;I957,"ERRO","OK")</f>
        <v>OK</v>
      </c>
      <c r="M957" s="0" t="str">
        <f aca="false">IF(H957&gt;J957,"ERRO","OK")</f>
        <v>OK</v>
      </c>
      <c r="N957" s="0" t="str">
        <f aca="false">IF(I957&lt;J957,"ERRO","OK")</f>
        <v>ERRO</v>
      </c>
    </row>
    <row r="958" customFormat="false" ht="25" hidden="false" customHeight="false" outlineLevel="0" collapsed="false">
      <c r="A958" s="0" t="n">
        <v>62</v>
      </c>
      <c r="B958" s="0" t="n">
        <v>2024</v>
      </c>
      <c r="C958" s="3" t="n">
        <v>45497</v>
      </c>
      <c r="D958" s="4" t="s">
        <v>15</v>
      </c>
      <c r="E958" s="5" t="s">
        <v>21</v>
      </c>
      <c r="F958" s="5" t="s">
        <v>17</v>
      </c>
      <c r="G958" s="7" t="n">
        <v>30</v>
      </c>
      <c r="H958" s="7" t="n">
        <v>18</v>
      </c>
      <c r="I958" s="7" t="n">
        <v>30</v>
      </c>
      <c r="J958" s="7" t="s">
        <v>286</v>
      </c>
      <c r="K958" s="7" t="n">
        <v>24</v>
      </c>
      <c r="L958" s="0" t="str">
        <f aca="false">IF(H958&gt;I958,"ERRO","OK")</f>
        <v>OK</v>
      </c>
      <c r="M958" s="0" t="str">
        <f aca="false">IF(H958&gt;J958,"ERRO","OK")</f>
        <v>OK</v>
      </c>
      <c r="N958" s="0" t="str">
        <f aca="false">IF(I958&lt;J958,"ERRO","OK")</f>
        <v>ERRO</v>
      </c>
    </row>
    <row r="959" customFormat="false" ht="25" hidden="false" customHeight="false" outlineLevel="0" collapsed="false">
      <c r="A959" s="0" t="n">
        <v>62</v>
      </c>
      <c r="B959" s="0" t="n">
        <v>2024</v>
      </c>
      <c r="C959" s="3" t="n">
        <v>45497</v>
      </c>
      <c r="D959" s="8" t="s">
        <v>15</v>
      </c>
      <c r="E959" s="9" t="s">
        <v>22</v>
      </c>
      <c r="F959" s="9" t="s">
        <v>17</v>
      </c>
      <c r="G959" s="11" t="n">
        <v>60</v>
      </c>
      <c r="H959" s="11" t="n">
        <v>60</v>
      </c>
      <c r="I959" s="11" t="n">
        <v>60</v>
      </c>
      <c r="J959" s="11" t="n">
        <v>60</v>
      </c>
      <c r="K959" s="11" t="n">
        <v>60</v>
      </c>
      <c r="L959" s="0" t="str">
        <f aca="false">IF(H959&gt;I959,"ERRO","OK")</f>
        <v>OK</v>
      </c>
      <c r="M959" s="0" t="str">
        <f aca="false">IF(H959&gt;J959,"ERRO","OK")</f>
        <v>OK</v>
      </c>
      <c r="N959" s="0" t="str">
        <f aca="false">IF(I959&lt;J959,"ERRO","OK")</f>
        <v>OK</v>
      </c>
    </row>
    <row r="960" customFormat="false" ht="25" hidden="false" customHeight="false" outlineLevel="0" collapsed="false">
      <c r="A960" s="0" t="n">
        <v>62</v>
      </c>
      <c r="B960" s="0" t="n">
        <v>2024</v>
      </c>
      <c r="C960" s="3" t="n">
        <v>45497</v>
      </c>
      <c r="D960" s="4" t="s">
        <v>15</v>
      </c>
      <c r="E960" s="5" t="s">
        <v>23</v>
      </c>
      <c r="F960" s="5" t="s">
        <v>17</v>
      </c>
      <c r="G960" s="7" t="n">
        <v>60</v>
      </c>
      <c r="H960" s="7" t="n">
        <v>60</v>
      </c>
      <c r="I960" s="7" t="n">
        <v>72</v>
      </c>
      <c r="J960" s="7" t="s">
        <v>287</v>
      </c>
      <c r="K960" s="7" t="n">
        <v>60</v>
      </c>
      <c r="L960" s="0" t="str">
        <f aca="false">IF(H960&gt;I960,"ERRO","OK")</f>
        <v>OK</v>
      </c>
      <c r="M960" s="0" t="str">
        <f aca="false">IF(H960&gt;J960,"ERRO","OK")</f>
        <v>OK</v>
      </c>
      <c r="N960" s="0" t="str">
        <f aca="false">IF(I960&lt;J960,"ERRO","OK")</f>
        <v>ERRO</v>
      </c>
    </row>
    <row r="961" customFormat="false" ht="25" hidden="false" customHeight="false" outlineLevel="0" collapsed="false">
      <c r="A961" s="0" t="n">
        <v>62</v>
      </c>
      <c r="B961" s="0" t="n">
        <v>2024</v>
      </c>
      <c r="C961" s="3" t="n">
        <v>45497</v>
      </c>
      <c r="D961" s="8" t="s">
        <v>15</v>
      </c>
      <c r="E961" s="9" t="s">
        <v>24</v>
      </c>
      <c r="F961" s="9" t="s">
        <v>17</v>
      </c>
      <c r="G961" s="11" t="n">
        <v>84</v>
      </c>
      <c r="H961" s="11" t="n">
        <v>72</v>
      </c>
      <c r="I961" s="11" t="n">
        <v>96</v>
      </c>
      <c r="J961" s="11" t="n">
        <v>84</v>
      </c>
      <c r="K961" s="11" t="n">
        <v>84</v>
      </c>
      <c r="L961" s="0" t="str">
        <f aca="false">IF(H961&gt;I961,"ERRO","OK")</f>
        <v>OK</v>
      </c>
      <c r="M961" s="0" t="str">
        <f aca="false">IF(H961&gt;J961,"ERRO","OK")</f>
        <v>OK</v>
      </c>
      <c r="N961" s="0" t="str">
        <f aca="false">IF(I961&lt;J961,"ERRO","OK")</f>
        <v>OK</v>
      </c>
    </row>
    <row r="962" customFormat="false" ht="25" hidden="false" customHeight="false" outlineLevel="0" collapsed="false">
      <c r="A962" s="0" t="n">
        <v>62</v>
      </c>
      <c r="B962" s="0" t="n">
        <v>2024</v>
      </c>
      <c r="C962" s="3" t="n">
        <v>45497</v>
      </c>
      <c r="D962" s="4" t="s">
        <v>15</v>
      </c>
      <c r="E962" s="5" t="s">
        <v>25</v>
      </c>
      <c r="F962" s="5" t="s">
        <v>17</v>
      </c>
      <c r="G962" s="7" t="n">
        <v>24</v>
      </c>
      <c r="H962" s="7" t="n">
        <v>18</v>
      </c>
      <c r="I962" s="7" t="n">
        <v>30</v>
      </c>
      <c r="J962" s="7" t="s">
        <v>285</v>
      </c>
      <c r="K962" s="7" t="n">
        <v>24</v>
      </c>
      <c r="L962" s="0" t="str">
        <f aca="false">IF(H962&gt;I962,"ERRO","OK")</f>
        <v>OK</v>
      </c>
      <c r="M962" s="0" t="str">
        <f aca="false">IF(H962&gt;J962,"ERRO","OK")</f>
        <v>OK</v>
      </c>
      <c r="N962" s="0" t="str">
        <f aca="false">IF(I962&lt;J962,"ERRO","OK")</f>
        <v>ERRO</v>
      </c>
    </row>
    <row r="963" customFormat="false" ht="25" hidden="false" customHeight="false" outlineLevel="0" collapsed="false">
      <c r="A963" s="0" t="n">
        <v>62</v>
      </c>
      <c r="B963" s="0" t="n">
        <v>2024</v>
      </c>
      <c r="C963" s="3" t="n">
        <v>45497</v>
      </c>
      <c r="D963" s="8" t="s">
        <v>15</v>
      </c>
      <c r="E963" s="9" t="s">
        <v>77</v>
      </c>
      <c r="F963" s="9" t="s">
        <v>17</v>
      </c>
      <c r="G963" s="11" t="n">
        <v>72</v>
      </c>
      <c r="H963" s="11" t="n">
        <v>72</v>
      </c>
      <c r="I963" s="11" t="n">
        <v>84</v>
      </c>
      <c r="J963" s="11" t="n">
        <v>75</v>
      </c>
      <c r="K963" s="11" t="n">
        <v>72</v>
      </c>
      <c r="L963" s="0" t="str">
        <f aca="false">IF(H963&gt;I963,"ERRO","OK")</f>
        <v>OK</v>
      </c>
      <c r="M963" s="0" t="str">
        <f aca="false">IF(H963&gt;J963,"ERRO","OK")</f>
        <v>OK</v>
      </c>
      <c r="N963" s="0" t="str">
        <f aca="false">IF(I963&lt;J963,"ERRO","OK")</f>
        <v>OK</v>
      </c>
    </row>
    <row r="964" customFormat="false" ht="25" hidden="false" customHeight="false" outlineLevel="0" collapsed="false">
      <c r="A964" s="0" t="n">
        <v>62</v>
      </c>
      <c r="B964" s="0" t="n">
        <v>2024</v>
      </c>
      <c r="C964" s="3" t="n">
        <v>45497</v>
      </c>
      <c r="D964" s="4" t="s">
        <v>15</v>
      </c>
      <c r="E964" s="5" t="s">
        <v>27</v>
      </c>
      <c r="F964" s="5" t="s">
        <v>17</v>
      </c>
      <c r="G964" s="7" t="n">
        <v>30</v>
      </c>
      <c r="H964" s="7" t="n">
        <v>18</v>
      </c>
      <c r="I964" s="7" t="n">
        <v>30</v>
      </c>
      <c r="J964" s="7" t="s">
        <v>286</v>
      </c>
      <c r="K964" s="7" t="n">
        <v>24</v>
      </c>
      <c r="L964" s="0" t="str">
        <f aca="false">IF(H964&gt;I964,"ERRO","OK")</f>
        <v>OK</v>
      </c>
      <c r="M964" s="0" t="str">
        <f aca="false">IF(H964&gt;J964,"ERRO","OK")</f>
        <v>OK</v>
      </c>
      <c r="N964" s="0" t="str">
        <f aca="false">IF(I964&lt;J964,"ERRO","OK")</f>
        <v>ERRO</v>
      </c>
    </row>
    <row r="965" customFormat="false" ht="25" hidden="false" customHeight="false" outlineLevel="0" collapsed="false">
      <c r="A965" s="0" t="n">
        <v>62</v>
      </c>
      <c r="B965" s="0" t="n">
        <v>2024</v>
      </c>
      <c r="C965" s="3" t="n">
        <v>45497</v>
      </c>
      <c r="D965" s="8" t="s">
        <v>15</v>
      </c>
      <c r="E965" s="9" t="s">
        <v>28</v>
      </c>
      <c r="F965" s="9" t="s">
        <v>17</v>
      </c>
      <c r="G965" s="11" t="n">
        <v>60</v>
      </c>
      <c r="H965" s="11" t="n">
        <v>60</v>
      </c>
      <c r="I965" s="11" t="n">
        <v>60</v>
      </c>
      <c r="J965" s="11" t="n">
        <v>60</v>
      </c>
      <c r="K965" s="11" t="n">
        <v>60</v>
      </c>
      <c r="L965" s="0" t="str">
        <f aca="false">IF(H965&gt;I965,"ERRO","OK")</f>
        <v>OK</v>
      </c>
      <c r="M965" s="0" t="str">
        <f aca="false">IF(H965&gt;J965,"ERRO","OK")</f>
        <v>OK</v>
      </c>
      <c r="N965" s="0" t="str">
        <f aca="false">IF(I965&lt;J965,"ERRO","OK")</f>
        <v>OK</v>
      </c>
    </row>
    <row r="966" customFormat="false" ht="25" hidden="false" customHeight="false" outlineLevel="0" collapsed="false">
      <c r="A966" s="0" t="n">
        <v>62</v>
      </c>
      <c r="B966" s="0" t="n">
        <v>2024</v>
      </c>
      <c r="C966" s="3" t="n">
        <v>45497</v>
      </c>
      <c r="D966" s="4" t="s">
        <v>15</v>
      </c>
      <c r="E966" s="5" t="s">
        <v>29</v>
      </c>
      <c r="F966" s="5" t="s">
        <v>30</v>
      </c>
      <c r="G966" s="7" t="n">
        <v>60</v>
      </c>
      <c r="H966" s="7" t="n">
        <v>48</v>
      </c>
      <c r="I966" s="7" t="n">
        <v>60</v>
      </c>
      <c r="J966" s="7" t="n">
        <v>54</v>
      </c>
      <c r="K966" s="7" t="n">
        <v>54</v>
      </c>
      <c r="L966" s="0" t="str">
        <f aca="false">IF(H966&gt;I966,"ERRO","OK")</f>
        <v>OK</v>
      </c>
      <c r="M966" s="0" t="str">
        <f aca="false">IF(H966&gt;J966,"ERRO","OK")</f>
        <v>OK</v>
      </c>
      <c r="N966" s="0" t="str">
        <f aca="false">IF(I966&lt;J966,"ERRO","OK")</f>
        <v>OK</v>
      </c>
    </row>
    <row r="967" customFormat="false" ht="25" hidden="false" customHeight="false" outlineLevel="0" collapsed="false">
      <c r="A967" s="0" t="n">
        <v>62</v>
      </c>
      <c r="B967" s="0" t="n">
        <v>2024</v>
      </c>
      <c r="C967" s="3" t="n">
        <v>45497</v>
      </c>
      <c r="D967" s="8" t="s">
        <v>15</v>
      </c>
      <c r="E967" s="9" t="s">
        <v>31</v>
      </c>
      <c r="F967" s="9" t="s">
        <v>17</v>
      </c>
      <c r="G967" s="11" t="n">
        <v>60</v>
      </c>
      <c r="H967" s="11" t="n">
        <v>60</v>
      </c>
      <c r="I967" s="11" t="n">
        <v>96</v>
      </c>
      <c r="J967" s="11" t="n">
        <v>75</v>
      </c>
      <c r="K967" s="11" t="n">
        <v>72</v>
      </c>
      <c r="L967" s="0" t="str">
        <f aca="false">IF(H967&gt;I967,"ERRO","OK")</f>
        <v>OK</v>
      </c>
      <c r="M967" s="0" t="str">
        <f aca="false">IF(H967&gt;J967,"ERRO","OK")</f>
        <v>OK</v>
      </c>
      <c r="N967" s="0" t="str">
        <f aca="false">IF(I967&lt;J967,"ERRO","OK")</f>
        <v>OK</v>
      </c>
    </row>
    <row r="968" customFormat="false" ht="25" hidden="false" customHeight="false" outlineLevel="0" collapsed="false">
      <c r="A968" s="0" t="n">
        <v>62</v>
      </c>
      <c r="B968" s="0" t="n">
        <v>2024</v>
      </c>
      <c r="C968" s="3" t="n">
        <v>45497</v>
      </c>
      <c r="D968" s="4" t="s">
        <v>15</v>
      </c>
      <c r="E968" s="5" t="s">
        <v>32</v>
      </c>
      <c r="F968" s="5" t="s">
        <v>17</v>
      </c>
      <c r="G968" s="7" t="n">
        <v>48</v>
      </c>
      <c r="H968" s="7" t="n">
        <v>25</v>
      </c>
      <c r="I968" s="7" t="n">
        <v>60</v>
      </c>
      <c r="J968" s="7" t="s">
        <v>288</v>
      </c>
      <c r="K968" s="7" t="n">
        <v>48</v>
      </c>
      <c r="L968" s="0" t="str">
        <f aca="false">IF(H968&gt;I968,"ERRO","OK")</f>
        <v>OK</v>
      </c>
      <c r="M968" s="0" t="str">
        <f aca="false">IF(H968&gt;J968,"ERRO","OK")</f>
        <v>OK</v>
      </c>
      <c r="N968" s="0" t="str">
        <f aca="false">IF(I968&lt;J968,"ERRO","OK")</f>
        <v>ERRO</v>
      </c>
    </row>
    <row r="969" customFormat="false" ht="25" hidden="false" customHeight="false" outlineLevel="0" collapsed="false">
      <c r="A969" s="0" t="n">
        <v>62</v>
      </c>
      <c r="B969" s="0" t="n">
        <v>2024</v>
      </c>
      <c r="C969" s="3" t="n">
        <v>45497</v>
      </c>
      <c r="D969" s="8" t="s">
        <v>15</v>
      </c>
      <c r="E969" s="9" t="s">
        <v>33</v>
      </c>
      <c r="F969" s="9" t="s">
        <v>17</v>
      </c>
      <c r="G969" s="11" t="n">
        <v>54</v>
      </c>
      <c r="H969" s="11" t="n">
        <v>48</v>
      </c>
      <c r="I969" s="11" t="n">
        <v>54</v>
      </c>
      <c r="J969" s="11" t="n">
        <v>51</v>
      </c>
      <c r="K969" s="11" t="n">
        <v>51</v>
      </c>
      <c r="L969" s="0" t="str">
        <f aca="false">IF(H969&gt;I969,"ERRO","OK")</f>
        <v>OK</v>
      </c>
      <c r="M969" s="0" t="str">
        <f aca="false">IF(H969&gt;J969,"ERRO","OK")</f>
        <v>OK</v>
      </c>
      <c r="N969" s="0" t="str">
        <f aca="false">IF(I969&lt;J969,"ERRO","OK")</f>
        <v>OK</v>
      </c>
    </row>
    <row r="970" customFormat="false" ht="25" hidden="false" customHeight="false" outlineLevel="0" collapsed="false">
      <c r="A970" s="0" t="n">
        <v>62</v>
      </c>
      <c r="B970" s="0" t="n">
        <v>2024</v>
      </c>
      <c r="C970" s="3" t="n">
        <v>45497</v>
      </c>
      <c r="D970" s="4" t="s">
        <v>34</v>
      </c>
      <c r="E970" s="5" t="s">
        <v>35</v>
      </c>
      <c r="F970" s="5" t="s">
        <v>36</v>
      </c>
      <c r="G970" s="7" t="n">
        <v>5</v>
      </c>
      <c r="H970" s="7" t="n">
        <v>5</v>
      </c>
      <c r="I970" s="7" t="n">
        <v>5</v>
      </c>
      <c r="J970" s="7" t="n">
        <v>5</v>
      </c>
      <c r="K970" s="7" t="n">
        <v>5</v>
      </c>
      <c r="L970" s="0" t="str">
        <f aca="false">IF(H970&gt;I970,"ERRO","OK")</f>
        <v>OK</v>
      </c>
      <c r="M970" s="0" t="str">
        <f aca="false">IF(H970&gt;J970,"ERRO","OK")</f>
        <v>OK</v>
      </c>
      <c r="N970" s="0" t="str">
        <f aca="false">IF(I970&lt;J970,"ERRO","OK")</f>
        <v>OK</v>
      </c>
    </row>
    <row r="971" customFormat="false" ht="25" hidden="false" customHeight="false" outlineLevel="0" collapsed="false">
      <c r="A971" s="0" t="n">
        <v>62</v>
      </c>
      <c r="B971" s="0" t="n">
        <v>2024</v>
      </c>
      <c r="C971" s="3" t="n">
        <v>45497</v>
      </c>
      <c r="D971" s="8" t="s">
        <v>34</v>
      </c>
      <c r="E971" s="9" t="s">
        <v>38</v>
      </c>
      <c r="F971" s="9" t="s">
        <v>39</v>
      </c>
      <c r="G971" s="11" t="n">
        <v>15</v>
      </c>
      <c r="H971" s="11" t="n">
        <v>10</v>
      </c>
      <c r="I971" s="11" t="n">
        <v>15</v>
      </c>
      <c r="J971" s="11" t="s">
        <v>289</v>
      </c>
      <c r="K971" s="11" t="n">
        <v>12</v>
      </c>
      <c r="L971" s="0" t="str">
        <f aca="false">IF(H971&gt;I971,"ERRO","OK")</f>
        <v>OK</v>
      </c>
      <c r="M971" s="0" t="str">
        <f aca="false">IF(H971&gt;J971,"ERRO","OK")</f>
        <v>OK</v>
      </c>
      <c r="N971" s="0" t="str">
        <f aca="false">IF(I971&lt;J971,"ERRO","OK")</f>
        <v>ERRO</v>
      </c>
    </row>
    <row r="972" customFormat="false" ht="25" hidden="false" customHeight="false" outlineLevel="0" collapsed="false">
      <c r="A972" s="0" t="n">
        <v>62</v>
      </c>
      <c r="B972" s="0" t="n">
        <v>2024</v>
      </c>
      <c r="C972" s="3" t="n">
        <v>45497</v>
      </c>
      <c r="D972" s="4" t="s">
        <v>34</v>
      </c>
      <c r="E972" s="5" t="s">
        <v>40</v>
      </c>
      <c r="F972" s="5" t="s">
        <v>39</v>
      </c>
      <c r="G972" s="7" t="n">
        <v>20</v>
      </c>
      <c r="H972" s="7" t="n">
        <v>20</v>
      </c>
      <c r="I972" s="7" t="n">
        <v>35</v>
      </c>
      <c r="J972" s="7" t="n">
        <v>26</v>
      </c>
      <c r="K972" s="7" t="n">
        <v>25</v>
      </c>
      <c r="L972" s="0" t="str">
        <f aca="false">IF(H972&gt;I972,"ERRO","OK")</f>
        <v>OK</v>
      </c>
      <c r="M972" s="0" t="str">
        <f aca="false">IF(H972&gt;J972,"ERRO","OK")</f>
        <v>OK</v>
      </c>
      <c r="N972" s="0" t="str">
        <f aca="false">IF(I972&lt;J972,"ERRO","OK")</f>
        <v>OK</v>
      </c>
    </row>
    <row r="973" customFormat="false" ht="36.5" hidden="false" customHeight="false" outlineLevel="0" collapsed="false">
      <c r="A973" s="0" t="n">
        <v>62</v>
      </c>
      <c r="B973" s="0" t="n">
        <v>2024</v>
      </c>
      <c r="C973" s="3" t="n">
        <v>45497</v>
      </c>
      <c r="D973" s="8" t="s">
        <v>42</v>
      </c>
      <c r="E973" s="9" t="s">
        <v>157</v>
      </c>
      <c r="F973" s="9" t="s">
        <v>158</v>
      </c>
      <c r="G973" s="10"/>
      <c r="H973" s="11" t="n">
        <v>85</v>
      </c>
      <c r="I973" s="11" t="n">
        <v>85</v>
      </c>
      <c r="J973" s="11" t="n">
        <v>85</v>
      </c>
      <c r="K973" s="11" t="n">
        <v>85</v>
      </c>
      <c r="L973" s="0" t="str">
        <f aca="false">IF(H973&gt;I973,"ERRO","OK")</f>
        <v>OK</v>
      </c>
      <c r="M973" s="0" t="str">
        <f aca="false">IF(H973&gt;J973,"ERRO","OK")</f>
        <v>OK</v>
      </c>
      <c r="N973" s="0" t="str">
        <f aca="false">IF(I973&lt;J973,"ERRO","OK")</f>
        <v>OK</v>
      </c>
    </row>
    <row r="974" customFormat="false" ht="36.5" hidden="false" customHeight="false" outlineLevel="0" collapsed="false">
      <c r="A974" s="0" t="n">
        <v>62</v>
      </c>
      <c r="B974" s="0" t="n">
        <v>2024</v>
      </c>
      <c r="C974" s="3" t="n">
        <v>45497</v>
      </c>
      <c r="D974" s="4" t="s">
        <v>42</v>
      </c>
      <c r="E974" s="5" t="s">
        <v>43</v>
      </c>
      <c r="F974" s="5" t="s">
        <v>44</v>
      </c>
      <c r="G974" s="7" t="n">
        <v>60</v>
      </c>
      <c r="H974" s="7" t="n">
        <v>50</v>
      </c>
      <c r="I974" s="7" t="n">
        <v>60</v>
      </c>
      <c r="J974" s="7" t="s">
        <v>239</v>
      </c>
      <c r="K974" s="7" t="s">
        <v>45</v>
      </c>
      <c r="L974" s="0" t="str">
        <f aca="false">IF(H974&gt;I974,"ERRO","OK")</f>
        <v>OK</v>
      </c>
      <c r="M974" s="0" t="str">
        <f aca="false">IF(H974&gt;J974,"ERRO","OK")</f>
        <v>OK</v>
      </c>
      <c r="N974" s="0" t="str">
        <f aca="false">IF(I974&lt;J974,"ERRO","OK")</f>
        <v>ERRO</v>
      </c>
    </row>
    <row r="975" customFormat="false" ht="36.5" hidden="false" customHeight="false" outlineLevel="0" collapsed="false">
      <c r="A975" s="0" t="n">
        <v>62</v>
      </c>
      <c r="B975" s="0" t="n">
        <v>2024</v>
      </c>
      <c r="C975" s="3" t="n">
        <v>45497</v>
      </c>
      <c r="D975" s="8" t="s">
        <v>42</v>
      </c>
      <c r="E975" s="9" t="s">
        <v>46</v>
      </c>
      <c r="F975" s="9" t="s">
        <v>47</v>
      </c>
      <c r="G975" s="11" t="n">
        <v>70</v>
      </c>
      <c r="H975" s="11" t="n">
        <v>45</v>
      </c>
      <c r="I975" s="11" t="n">
        <v>70</v>
      </c>
      <c r="J975" s="11" t="s">
        <v>290</v>
      </c>
      <c r="K975" s="11" t="n">
        <v>70</v>
      </c>
      <c r="L975" s="0" t="str">
        <f aca="false">IF(H975&gt;I975,"ERRO","OK")</f>
        <v>OK</v>
      </c>
      <c r="M975" s="0" t="str">
        <f aca="false">IF(H975&gt;J975,"ERRO","OK")</f>
        <v>OK</v>
      </c>
      <c r="N975" s="0" t="str">
        <f aca="false">IF(I975&lt;J975,"ERRO","OK")</f>
        <v>ERRO</v>
      </c>
    </row>
    <row r="976" customFormat="false" ht="36.5" hidden="false" customHeight="false" outlineLevel="0" collapsed="false">
      <c r="A976" s="0" t="n">
        <v>62</v>
      </c>
      <c r="B976" s="0" t="n">
        <v>2024</v>
      </c>
      <c r="C976" s="3" t="n">
        <v>45497</v>
      </c>
      <c r="D976" s="4" t="s">
        <v>42</v>
      </c>
      <c r="E976" s="5" t="s">
        <v>48</v>
      </c>
      <c r="F976" s="5" t="s">
        <v>49</v>
      </c>
      <c r="G976" s="7" t="n">
        <v>45</v>
      </c>
      <c r="H976" s="7" t="n">
        <v>40</v>
      </c>
      <c r="I976" s="7" t="n">
        <v>50</v>
      </c>
      <c r="J976" s="7" t="n">
        <v>46</v>
      </c>
      <c r="K976" s="7" t="n">
        <v>45</v>
      </c>
      <c r="L976" s="0" t="str">
        <f aca="false">IF(H976&gt;I976,"ERRO","OK")</f>
        <v>OK</v>
      </c>
      <c r="M976" s="0" t="str">
        <f aca="false">IF(H976&gt;J976,"ERRO","OK")</f>
        <v>OK</v>
      </c>
      <c r="N976" s="0" t="str">
        <f aca="false">IF(I976&lt;J976,"ERRO","OK")</f>
        <v>OK</v>
      </c>
    </row>
    <row r="977" customFormat="false" ht="36.5" hidden="false" customHeight="false" outlineLevel="0" collapsed="false">
      <c r="A977" s="0" t="n">
        <v>62</v>
      </c>
      <c r="B977" s="0" t="n">
        <v>2024</v>
      </c>
      <c r="C977" s="3" t="n">
        <v>45497</v>
      </c>
      <c r="D977" s="8" t="s">
        <v>42</v>
      </c>
      <c r="E977" s="9" t="s">
        <v>52</v>
      </c>
      <c r="F977" s="9" t="s">
        <v>49</v>
      </c>
      <c r="G977" s="10"/>
      <c r="H977" s="11" t="n">
        <v>90</v>
      </c>
      <c r="I977" s="11" t="n">
        <v>90</v>
      </c>
      <c r="J977" s="11" t="n">
        <v>90</v>
      </c>
      <c r="K977" s="11" t="n">
        <v>90</v>
      </c>
      <c r="L977" s="0" t="str">
        <f aca="false">IF(H977&gt;I977,"ERRO","OK")</f>
        <v>OK</v>
      </c>
      <c r="M977" s="0" t="str">
        <f aca="false">IF(H977&gt;J977,"ERRO","OK")</f>
        <v>OK</v>
      </c>
      <c r="N977" s="0" t="str">
        <f aca="false">IF(I977&lt;J977,"ERRO","OK")</f>
        <v>OK</v>
      </c>
    </row>
    <row r="978" customFormat="false" ht="36.5" hidden="false" customHeight="false" outlineLevel="0" collapsed="false">
      <c r="A978" s="0" t="n">
        <v>62</v>
      </c>
      <c r="B978" s="0" t="n">
        <v>2024</v>
      </c>
      <c r="C978" s="3" t="n">
        <v>45497</v>
      </c>
      <c r="D978" s="4" t="s">
        <v>42</v>
      </c>
      <c r="E978" s="5" t="s">
        <v>53</v>
      </c>
      <c r="F978" s="5" t="s">
        <v>54</v>
      </c>
      <c r="G978" s="7" t="n">
        <v>65</v>
      </c>
      <c r="H978" s="7" t="n">
        <v>60</v>
      </c>
      <c r="I978" s="7" t="n">
        <v>65</v>
      </c>
      <c r="J978" s="7" t="s">
        <v>84</v>
      </c>
      <c r="K978" s="7" t="s">
        <v>84</v>
      </c>
      <c r="L978" s="0" t="str">
        <f aca="false">IF(H978&gt;I978,"ERRO","OK")</f>
        <v>OK</v>
      </c>
      <c r="M978" s="0" t="str">
        <f aca="false">IF(H978&gt;J978,"ERRO","OK")</f>
        <v>OK</v>
      </c>
      <c r="N978" s="0" t="str">
        <f aca="false">IF(I978&lt;J978,"ERRO","OK")</f>
        <v>ERRO</v>
      </c>
    </row>
    <row r="979" customFormat="false" ht="36.5" hidden="false" customHeight="false" outlineLevel="0" collapsed="false">
      <c r="A979" s="0" t="n">
        <v>62</v>
      </c>
      <c r="B979" s="0" t="n">
        <v>2024</v>
      </c>
      <c r="C979" s="3" t="n">
        <v>45497</v>
      </c>
      <c r="D979" s="8" t="s">
        <v>42</v>
      </c>
      <c r="E979" s="9" t="s">
        <v>56</v>
      </c>
      <c r="F979" s="9" t="s">
        <v>47</v>
      </c>
      <c r="G979" s="10"/>
      <c r="H979" s="11" t="n">
        <v>40</v>
      </c>
      <c r="I979" s="11" t="n">
        <v>65</v>
      </c>
      <c r="J979" s="11" t="s">
        <v>82</v>
      </c>
      <c r="K979" s="11" t="s">
        <v>82</v>
      </c>
      <c r="L979" s="0" t="str">
        <f aca="false">IF(H979&gt;I979,"ERRO","OK")</f>
        <v>OK</v>
      </c>
      <c r="M979" s="0" t="str">
        <f aca="false">IF(H979&gt;J979,"ERRO","OK")</f>
        <v>OK</v>
      </c>
      <c r="N979" s="0" t="str">
        <f aca="false">IF(I979&lt;J979,"ERRO","OK")</f>
        <v>ERRO</v>
      </c>
    </row>
    <row r="980" customFormat="false" ht="36.5" hidden="false" customHeight="false" outlineLevel="0" collapsed="false">
      <c r="A980" s="0" t="n">
        <v>62</v>
      </c>
      <c r="B980" s="0" t="n">
        <v>2024</v>
      </c>
      <c r="C980" s="3" t="n">
        <v>45497</v>
      </c>
      <c r="D980" s="4" t="s">
        <v>42</v>
      </c>
      <c r="E980" s="5" t="s">
        <v>57</v>
      </c>
      <c r="F980" s="5" t="s">
        <v>47</v>
      </c>
      <c r="G980" s="7" t="n">
        <v>40</v>
      </c>
      <c r="H980" s="7" t="n">
        <v>40</v>
      </c>
      <c r="I980" s="7" t="n">
        <v>60</v>
      </c>
      <c r="J980" s="7" t="n">
        <v>46</v>
      </c>
      <c r="K980" s="7" t="n">
        <v>40</v>
      </c>
      <c r="L980" s="0" t="str">
        <f aca="false">IF(H980&gt;I980,"ERRO","OK")</f>
        <v>OK</v>
      </c>
      <c r="M980" s="0" t="str">
        <f aca="false">IF(H980&gt;J980,"ERRO","OK")</f>
        <v>OK</v>
      </c>
      <c r="N980" s="0" t="str">
        <f aca="false">IF(I980&lt;J980,"ERRO","OK")</f>
        <v>OK</v>
      </c>
    </row>
    <row r="981" customFormat="false" ht="36.5" hidden="false" customHeight="false" outlineLevel="0" collapsed="false">
      <c r="A981" s="0" t="n">
        <v>62</v>
      </c>
      <c r="B981" s="0" t="n">
        <v>2024</v>
      </c>
      <c r="C981" s="3" t="n">
        <v>45497</v>
      </c>
      <c r="D981" s="8" t="s">
        <v>42</v>
      </c>
      <c r="E981" s="9" t="s">
        <v>58</v>
      </c>
      <c r="F981" s="9" t="s">
        <v>44</v>
      </c>
      <c r="G981" s="10"/>
      <c r="H981" s="11" t="n">
        <v>85</v>
      </c>
      <c r="I981" s="11" t="n">
        <v>100</v>
      </c>
      <c r="J981" s="11" t="s">
        <v>234</v>
      </c>
      <c r="K981" s="11" t="n">
        <v>90</v>
      </c>
      <c r="L981" s="0" t="str">
        <f aca="false">IF(H981&gt;I981,"ERRO","OK")</f>
        <v>OK</v>
      </c>
      <c r="M981" s="0" t="str">
        <f aca="false">IF(H981&gt;J981,"ERRO","OK")</f>
        <v>OK</v>
      </c>
      <c r="N981" s="0" t="str">
        <f aca="false">IF(I981&lt;J981,"ERRO","OK")</f>
        <v>ERRO</v>
      </c>
    </row>
    <row r="982" customFormat="false" ht="36.5" hidden="false" customHeight="false" outlineLevel="0" collapsed="false">
      <c r="A982" s="0" t="n">
        <v>62</v>
      </c>
      <c r="B982" s="0" t="n">
        <v>2024</v>
      </c>
      <c r="C982" s="3" t="n">
        <v>45497</v>
      </c>
      <c r="D982" s="4" t="s">
        <v>42</v>
      </c>
      <c r="E982" s="5" t="s">
        <v>60</v>
      </c>
      <c r="F982" s="5" t="s">
        <v>47</v>
      </c>
      <c r="G982" s="6"/>
      <c r="H982" s="7" t="n">
        <v>45</v>
      </c>
      <c r="I982" s="7" t="n">
        <v>60</v>
      </c>
      <c r="J982" s="7" t="s">
        <v>82</v>
      </c>
      <c r="K982" s="7" t="s">
        <v>82</v>
      </c>
      <c r="L982" s="0" t="str">
        <f aca="false">IF(H982&gt;I982,"ERRO","OK")</f>
        <v>OK</v>
      </c>
      <c r="M982" s="0" t="str">
        <f aca="false">IF(H982&gt;J982,"ERRO","OK")</f>
        <v>OK</v>
      </c>
      <c r="N982" s="0" t="str">
        <f aca="false">IF(I982&lt;J982,"ERRO","OK")</f>
        <v>ERRO</v>
      </c>
    </row>
    <row r="983" customFormat="false" ht="36.5" hidden="false" customHeight="false" outlineLevel="0" collapsed="false">
      <c r="A983" s="0" t="n">
        <v>62</v>
      </c>
      <c r="B983" s="0" t="n">
        <v>2024</v>
      </c>
      <c r="C983" s="3" t="n">
        <v>45497</v>
      </c>
      <c r="D983" s="8" t="s">
        <v>42</v>
      </c>
      <c r="E983" s="9" t="s">
        <v>61</v>
      </c>
      <c r="F983" s="9" t="s">
        <v>44</v>
      </c>
      <c r="G983" s="11" t="n">
        <v>50</v>
      </c>
      <c r="H983" s="11" t="n">
        <v>50</v>
      </c>
      <c r="I983" s="11" t="n">
        <v>60</v>
      </c>
      <c r="J983" s="11" t="s">
        <v>246</v>
      </c>
      <c r="K983" s="11" t="n">
        <v>50</v>
      </c>
      <c r="L983" s="0" t="str">
        <f aca="false">IF(H983&gt;I983,"ERRO","OK")</f>
        <v>OK</v>
      </c>
      <c r="M983" s="0" t="str">
        <f aca="false">IF(H983&gt;J983,"ERRO","OK")</f>
        <v>OK</v>
      </c>
      <c r="N983" s="0" t="str">
        <f aca="false">IF(I983&lt;J983,"ERRO","OK")</f>
        <v>ERRO</v>
      </c>
    </row>
    <row r="984" customFormat="false" ht="36.5" hidden="false" customHeight="false" outlineLevel="0" collapsed="false">
      <c r="A984" s="0" t="n">
        <v>62</v>
      </c>
      <c r="B984" s="0" t="n">
        <v>2024</v>
      </c>
      <c r="C984" s="3" t="n">
        <v>45497</v>
      </c>
      <c r="D984" s="4" t="s">
        <v>42</v>
      </c>
      <c r="E984" s="5" t="s">
        <v>62</v>
      </c>
      <c r="F984" s="5" t="s">
        <v>44</v>
      </c>
      <c r="G984" s="7" t="n">
        <v>80</v>
      </c>
      <c r="H984" s="7" t="n">
        <v>70</v>
      </c>
      <c r="I984" s="7" t="n">
        <v>80</v>
      </c>
      <c r="J984" s="7" t="n">
        <v>75</v>
      </c>
      <c r="K984" s="7" t="n">
        <v>75</v>
      </c>
      <c r="L984" s="0" t="str">
        <f aca="false">IF(H984&gt;I984,"ERRO","OK")</f>
        <v>OK</v>
      </c>
      <c r="M984" s="0" t="str">
        <f aca="false">IF(H984&gt;J984,"ERRO","OK")</f>
        <v>OK</v>
      </c>
      <c r="N984" s="0" t="str">
        <f aca="false">IF(I984&lt;J984,"ERRO","OK")</f>
        <v>OK</v>
      </c>
    </row>
    <row r="985" customFormat="false" ht="36.5" hidden="false" customHeight="false" outlineLevel="0" collapsed="false">
      <c r="A985" s="0" t="n">
        <v>62</v>
      </c>
      <c r="B985" s="0" t="n">
        <v>2024</v>
      </c>
      <c r="C985" s="3" t="n">
        <v>45497</v>
      </c>
      <c r="D985" s="8" t="s">
        <v>42</v>
      </c>
      <c r="E985" s="9" t="s">
        <v>63</v>
      </c>
      <c r="F985" s="9" t="s">
        <v>49</v>
      </c>
      <c r="G985" s="10"/>
      <c r="H985" s="11" t="n">
        <v>40</v>
      </c>
      <c r="I985" s="11" t="n">
        <v>60</v>
      </c>
      <c r="J985" s="11" t="s">
        <v>258</v>
      </c>
      <c r="K985" s="11" t="s">
        <v>82</v>
      </c>
      <c r="L985" s="0" t="str">
        <f aca="false">IF(H985&gt;I985,"ERRO","OK")</f>
        <v>OK</v>
      </c>
      <c r="M985" s="0" t="str">
        <f aca="false">IF(H985&gt;J985,"ERRO","OK")</f>
        <v>OK</v>
      </c>
      <c r="N985" s="0" t="str">
        <f aca="false">IF(I985&lt;J985,"ERRO","OK")</f>
        <v>ERRO</v>
      </c>
    </row>
    <row r="986" customFormat="false" ht="36.5" hidden="false" customHeight="false" outlineLevel="0" collapsed="false">
      <c r="A986" s="0" t="n">
        <v>62</v>
      </c>
      <c r="B986" s="0" t="n">
        <v>2024</v>
      </c>
      <c r="C986" s="3" t="n">
        <v>45497</v>
      </c>
      <c r="D986" s="4" t="s">
        <v>42</v>
      </c>
      <c r="E986" s="5" t="s">
        <v>64</v>
      </c>
      <c r="F986" s="5" t="s">
        <v>65</v>
      </c>
      <c r="G986" s="6"/>
      <c r="H986" s="7" t="n">
        <v>130</v>
      </c>
      <c r="I986" s="7" t="n">
        <v>150</v>
      </c>
      <c r="J986" s="7" t="n">
        <v>140</v>
      </c>
      <c r="K986" s="7" t="n">
        <v>140</v>
      </c>
      <c r="L986" s="0" t="str">
        <f aca="false">IF(H986&gt;I986,"ERRO","OK")</f>
        <v>OK</v>
      </c>
      <c r="M986" s="0" t="str">
        <f aca="false">IF(H986&gt;J986,"ERRO","OK")</f>
        <v>OK</v>
      </c>
      <c r="N986" s="0" t="str">
        <f aca="false">IF(I986&lt;J986,"ERRO","OK")</f>
        <v>OK</v>
      </c>
    </row>
    <row r="987" customFormat="false" ht="36.5" hidden="false" customHeight="false" outlineLevel="0" collapsed="false">
      <c r="A987" s="0" t="n">
        <v>62</v>
      </c>
      <c r="B987" s="0" t="n">
        <v>2024</v>
      </c>
      <c r="C987" s="3" t="n">
        <v>45497</v>
      </c>
      <c r="D987" s="8" t="s">
        <v>42</v>
      </c>
      <c r="E987" s="9" t="s">
        <v>67</v>
      </c>
      <c r="F987" s="9" t="s">
        <v>44</v>
      </c>
      <c r="G987" s="11" t="n">
        <v>70</v>
      </c>
      <c r="H987" s="11" t="n">
        <v>70</v>
      </c>
      <c r="I987" s="11" t="n">
        <v>100</v>
      </c>
      <c r="J987" s="11" t="n">
        <v>84</v>
      </c>
      <c r="K987" s="11" t="n">
        <v>90</v>
      </c>
      <c r="L987" s="0" t="str">
        <f aca="false">IF(H987&gt;I987,"ERRO","OK")</f>
        <v>OK</v>
      </c>
      <c r="M987" s="0" t="str">
        <f aca="false">IF(H987&gt;J987,"ERRO","OK")</f>
        <v>OK</v>
      </c>
      <c r="N987" s="0" t="str">
        <f aca="false">IF(I987&lt;J987,"ERRO","OK")</f>
        <v>OK</v>
      </c>
    </row>
    <row r="988" customFormat="false" ht="36.5" hidden="false" customHeight="false" outlineLevel="0" collapsed="false">
      <c r="A988" s="0" t="n">
        <v>62</v>
      </c>
      <c r="B988" s="0" t="n">
        <v>2024</v>
      </c>
      <c r="C988" s="3" t="n">
        <v>45497</v>
      </c>
      <c r="D988" s="4" t="s">
        <v>42</v>
      </c>
      <c r="E988" s="5" t="s">
        <v>68</v>
      </c>
      <c r="F988" s="5" t="s">
        <v>44</v>
      </c>
      <c r="G988" s="7" t="n">
        <v>140</v>
      </c>
      <c r="H988" s="7" t="n">
        <v>120</v>
      </c>
      <c r="I988" s="7" t="n">
        <v>140</v>
      </c>
      <c r="J988" s="7" t="s">
        <v>291</v>
      </c>
      <c r="K988" s="7" t="n">
        <v>140</v>
      </c>
      <c r="L988" s="0" t="str">
        <f aca="false">IF(H988&gt;I988,"ERRO","OK")</f>
        <v>OK</v>
      </c>
      <c r="M988" s="0" t="str">
        <f aca="false">IF(H988&gt;J988,"ERRO","OK")</f>
        <v>OK</v>
      </c>
      <c r="N988" s="0" t="str">
        <f aca="false">IF(I988&lt;J988,"ERRO","OK")</f>
        <v>ERRO</v>
      </c>
    </row>
    <row r="989" customFormat="false" ht="14.25" hidden="false" customHeight="false" outlineLevel="0" collapsed="false">
      <c r="A989" s="0" t="n">
        <v>62</v>
      </c>
      <c r="B989" s="0" t="n">
        <v>2024</v>
      </c>
      <c r="C989" s="3" t="n">
        <v>45497</v>
      </c>
      <c r="D989" s="8" t="s">
        <v>69</v>
      </c>
      <c r="E989" s="9" t="s">
        <v>70</v>
      </c>
      <c r="F989" s="9" t="s">
        <v>49</v>
      </c>
      <c r="G989" s="10"/>
      <c r="H989" s="10"/>
      <c r="I989" s="10"/>
      <c r="J989" s="10"/>
      <c r="K989" s="10"/>
      <c r="L989" s="0" t="str">
        <f aca="false">IF(H989&gt;I989,"ERRO","OK")</f>
        <v>OK</v>
      </c>
      <c r="M989" s="0" t="str">
        <f aca="false">IF(H989&gt;J989,"ERRO","OK")</f>
        <v>OK</v>
      </c>
      <c r="N989" s="0" t="str">
        <f aca="false">IF(I989&lt;J989,"ERRO","OK")</f>
        <v>OK</v>
      </c>
    </row>
    <row r="990" customFormat="false" ht="14.25" hidden="false" customHeight="false" outlineLevel="0" collapsed="false">
      <c r="A990" s="0" t="n">
        <v>62</v>
      </c>
      <c r="B990" s="0" t="n">
        <v>2024</v>
      </c>
      <c r="C990" s="3" t="n">
        <v>45497</v>
      </c>
      <c r="D990" s="4" t="s">
        <v>69</v>
      </c>
      <c r="E990" s="5" t="s">
        <v>71</v>
      </c>
      <c r="F990" s="5" t="s">
        <v>49</v>
      </c>
      <c r="G990" s="6"/>
      <c r="H990" s="6"/>
      <c r="I990" s="6"/>
      <c r="J990" s="6"/>
      <c r="K990" s="6"/>
      <c r="L990" s="0" t="str">
        <f aca="false">IF(H990&gt;I990,"ERRO","OK")</f>
        <v>OK</v>
      </c>
      <c r="M990" s="0" t="str">
        <f aca="false">IF(H990&gt;J990,"ERRO","OK")</f>
        <v>OK</v>
      </c>
      <c r="N990" s="0" t="str">
        <f aca="false">IF(I990&lt;J990,"ERRO","OK")</f>
        <v>OK</v>
      </c>
    </row>
    <row r="991" customFormat="false" ht="14.25" hidden="false" customHeight="false" outlineLevel="0" collapsed="false">
      <c r="A991" s="0" t="n">
        <v>62</v>
      </c>
      <c r="B991" s="0" t="n">
        <v>2024</v>
      </c>
      <c r="C991" s="3" t="n">
        <v>45497</v>
      </c>
      <c r="D991" s="8" t="s">
        <v>69</v>
      </c>
      <c r="E991" s="9" t="s">
        <v>72</v>
      </c>
      <c r="F991" s="9" t="s">
        <v>49</v>
      </c>
      <c r="G991" s="10"/>
      <c r="H991" s="10"/>
      <c r="I991" s="10"/>
      <c r="J991" s="10"/>
      <c r="K991" s="10"/>
      <c r="L991" s="0" t="str">
        <f aca="false">IF(H991&gt;I991,"ERRO","OK")</f>
        <v>OK</v>
      </c>
      <c r="M991" s="0" t="str">
        <f aca="false">IF(H991&gt;J991,"ERRO","OK")</f>
        <v>OK</v>
      </c>
      <c r="N991" s="0" t="str">
        <f aca="false">IF(I991&lt;J991,"ERRO","OK")</f>
        <v>OK</v>
      </c>
    </row>
    <row r="992" customFormat="false" ht="14.25" hidden="false" customHeight="false" outlineLevel="0" collapsed="false">
      <c r="A992" s="0" t="n">
        <v>62</v>
      </c>
      <c r="B992" s="0" t="n">
        <v>2024</v>
      </c>
      <c r="C992" s="3" t="n">
        <v>45497</v>
      </c>
      <c r="D992" s="4" t="s">
        <v>69</v>
      </c>
      <c r="E992" s="5" t="s">
        <v>73</v>
      </c>
      <c r="F992" s="5" t="s">
        <v>49</v>
      </c>
      <c r="G992" s="6"/>
      <c r="H992" s="7" t="n">
        <v>60</v>
      </c>
      <c r="I992" s="7" t="n">
        <v>60</v>
      </c>
      <c r="J992" s="7" t="n">
        <v>60</v>
      </c>
      <c r="K992" s="7" t="n">
        <v>60</v>
      </c>
      <c r="L992" s="0" t="str">
        <f aca="false">IF(H992&gt;I992,"ERRO","OK")</f>
        <v>OK</v>
      </c>
      <c r="M992" s="0" t="str">
        <f aca="false">IF(H992&gt;J992,"ERRO","OK")</f>
        <v>OK</v>
      </c>
      <c r="N992" s="0" t="str">
        <f aca="false">IF(I992&lt;J992,"ERRO","OK")</f>
        <v>OK</v>
      </c>
    </row>
    <row r="993" customFormat="false" ht="14.25" hidden="false" customHeight="false" outlineLevel="0" collapsed="false">
      <c r="A993" s="0" t="n">
        <v>62</v>
      </c>
      <c r="B993" s="0" t="n">
        <v>2024</v>
      </c>
      <c r="C993" s="3" t="n">
        <v>45497</v>
      </c>
      <c r="D993" s="8" t="s">
        <v>69</v>
      </c>
      <c r="E993" s="9" t="s">
        <v>74</v>
      </c>
      <c r="F993" s="9" t="s">
        <v>75</v>
      </c>
      <c r="G993" s="10"/>
      <c r="H993" s="11" t="n">
        <v>80</v>
      </c>
      <c r="I993" s="11" t="n">
        <v>80</v>
      </c>
      <c r="J993" s="11" t="n">
        <v>80</v>
      </c>
      <c r="K993" s="11" t="n">
        <v>80</v>
      </c>
      <c r="L993" s="0" t="str">
        <f aca="false">IF(H993&gt;I993,"ERRO","OK")</f>
        <v>OK</v>
      </c>
      <c r="M993" s="0" t="str">
        <f aca="false">IF(H993&gt;J993,"ERRO","OK")</f>
        <v>OK</v>
      </c>
      <c r="N993" s="0" t="str">
        <f aca="false">IF(I993&lt;J993,"ERRO","OK")</f>
        <v>OK</v>
      </c>
    </row>
    <row r="994" customFormat="false" ht="24" hidden="false" customHeight="false" outlineLevel="0" collapsed="false">
      <c r="A994" s="12" t="n">
        <v>63</v>
      </c>
      <c r="B994" s="12" t="n">
        <v>2024</v>
      </c>
      <c r="C994" s="13" t="n">
        <v>45505</v>
      </c>
      <c r="D994" s="14" t="s">
        <v>15</v>
      </c>
      <c r="E994" s="14" t="s">
        <v>16</v>
      </c>
      <c r="F994" s="14" t="s">
        <v>17</v>
      </c>
      <c r="G994" s="15" t="n">
        <v>60</v>
      </c>
      <c r="H994" s="15" t="n">
        <v>48</v>
      </c>
      <c r="I994" s="15" t="n">
        <v>48</v>
      </c>
      <c r="J994" s="15" t="n">
        <v>60</v>
      </c>
      <c r="K994" s="15" t="n">
        <v>52.8</v>
      </c>
      <c r="L994" s="0" t="str">
        <f aca="false">IF(H994&gt;I994,"ERRO","OK")</f>
        <v>OK</v>
      </c>
      <c r="M994" s="0" t="str">
        <f aca="false">IF(H994&gt;J994,"ERRO","OK")</f>
        <v>OK</v>
      </c>
      <c r="N994" s="0" t="str">
        <f aca="false">IF(I994&lt;J994,"ERRO","OK")</f>
        <v>ERRO</v>
      </c>
    </row>
    <row r="995" customFormat="false" ht="24" hidden="false" customHeight="false" outlineLevel="0" collapsed="false">
      <c r="A995" s="12" t="n">
        <v>63</v>
      </c>
      <c r="B995" s="12" t="n">
        <v>2024</v>
      </c>
      <c r="C995" s="13" t="n">
        <v>45505</v>
      </c>
      <c r="D995" s="14" t="s">
        <v>15</v>
      </c>
      <c r="E995" s="14" t="s">
        <v>18</v>
      </c>
      <c r="F995" s="14" t="s">
        <v>17</v>
      </c>
      <c r="G995" s="15" t="n">
        <v>84</v>
      </c>
      <c r="H995" s="15" t="n">
        <v>72</v>
      </c>
      <c r="I995" s="15" t="n">
        <v>72</v>
      </c>
      <c r="J995" s="15" t="n">
        <v>84</v>
      </c>
      <c r="K995" s="15" t="n">
        <v>78</v>
      </c>
      <c r="L995" s="0" t="str">
        <f aca="false">IF(H995&gt;I995,"ERRO","OK")</f>
        <v>OK</v>
      </c>
      <c r="M995" s="0" t="str">
        <f aca="false">IF(H995&gt;J995,"ERRO","OK")</f>
        <v>OK</v>
      </c>
      <c r="N995" s="0" t="str">
        <f aca="false">IF(I995&lt;J995,"ERRO","OK")</f>
        <v>ERRO</v>
      </c>
    </row>
    <row r="996" customFormat="false" ht="24" hidden="false" customHeight="false" outlineLevel="0" collapsed="false">
      <c r="A996" s="12" t="n">
        <v>63</v>
      </c>
      <c r="B996" s="12" t="n">
        <v>2024</v>
      </c>
      <c r="C996" s="13" t="n">
        <v>45505</v>
      </c>
      <c r="D996" s="14" t="s">
        <v>15</v>
      </c>
      <c r="E996" s="14" t="s">
        <v>19</v>
      </c>
      <c r="F996" s="14" t="s">
        <v>17</v>
      </c>
      <c r="G996" s="15" t="n">
        <v>36</v>
      </c>
      <c r="H996" s="15" t="n">
        <v>36</v>
      </c>
      <c r="I996" s="15" t="n">
        <v>30</v>
      </c>
      <c r="J996" s="15" t="n">
        <v>42</v>
      </c>
      <c r="K996" s="15" t="n">
        <v>35.8</v>
      </c>
      <c r="L996" s="0" t="str">
        <f aca="false">IF(H996&gt;I996,"ERRO","OK")</f>
        <v>ERRO</v>
      </c>
      <c r="M996" s="0" t="str">
        <f aca="false">IF(H996&gt;J996,"ERRO","OK")</f>
        <v>OK</v>
      </c>
      <c r="N996" s="0" t="str">
        <f aca="false">IF(I996&lt;J996,"ERRO","OK")</f>
        <v>ERRO</v>
      </c>
      <c r="O996" s="0" t="s">
        <v>292</v>
      </c>
    </row>
    <row r="997" customFormat="false" ht="24" hidden="false" customHeight="false" outlineLevel="0" collapsed="false">
      <c r="A997" s="12" t="n">
        <v>63</v>
      </c>
      <c r="B997" s="12" t="n">
        <v>2024</v>
      </c>
      <c r="C997" s="13" t="n">
        <v>45505</v>
      </c>
      <c r="D997" s="14" t="s">
        <v>15</v>
      </c>
      <c r="E997" s="14" t="s">
        <v>20</v>
      </c>
      <c r="F997" s="14" t="s">
        <v>17</v>
      </c>
      <c r="G997" s="15" t="n">
        <v>24</v>
      </c>
      <c r="H997" s="15" t="n">
        <v>18</v>
      </c>
      <c r="I997" s="15" t="n">
        <v>18</v>
      </c>
      <c r="J997" s="15" t="n">
        <v>24</v>
      </c>
      <c r="K997" s="15" t="n">
        <v>20.8</v>
      </c>
      <c r="L997" s="0" t="str">
        <f aca="false">IF(H997&gt;I997,"ERRO","OK")</f>
        <v>OK</v>
      </c>
      <c r="M997" s="0" t="str">
        <f aca="false">IF(H997&gt;J997,"ERRO","OK")</f>
        <v>OK</v>
      </c>
      <c r="N997" s="0" t="str">
        <f aca="false">IF(I997&lt;J997,"ERRO","OK")</f>
        <v>ERRO</v>
      </c>
    </row>
    <row r="998" customFormat="false" ht="24" hidden="false" customHeight="false" outlineLevel="0" collapsed="false">
      <c r="A998" s="12" t="n">
        <v>63</v>
      </c>
      <c r="B998" s="12" t="n">
        <v>2024</v>
      </c>
      <c r="C998" s="13" t="n">
        <v>45505</v>
      </c>
      <c r="D998" s="14" t="s">
        <v>15</v>
      </c>
      <c r="E998" s="14" t="s">
        <v>21</v>
      </c>
      <c r="F998" s="14" t="s">
        <v>17</v>
      </c>
      <c r="G998" s="15" t="n">
        <v>30</v>
      </c>
      <c r="H998" s="15" t="n">
        <v>24</v>
      </c>
      <c r="I998" s="15" t="n">
        <v>18</v>
      </c>
      <c r="J998" s="15" t="n">
        <v>24</v>
      </c>
      <c r="K998" s="15" t="n">
        <v>21.5</v>
      </c>
      <c r="L998" s="0" t="str">
        <f aca="false">IF(H998&gt;I998,"ERRO","OK")</f>
        <v>ERRO</v>
      </c>
      <c r="M998" s="0" t="str">
        <f aca="false">IF(H998&gt;J998,"ERRO","OK")</f>
        <v>OK</v>
      </c>
      <c r="N998" s="0" t="str">
        <f aca="false">IF(I998&lt;J998,"ERRO","OK")</f>
        <v>ERRO</v>
      </c>
    </row>
    <row r="999" customFormat="false" ht="24" hidden="false" customHeight="false" outlineLevel="0" collapsed="false">
      <c r="A999" s="12" t="n">
        <v>63</v>
      </c>
      <c r="B999" s="12" t="n">
        <v>2024</v>
      </c>
      <c r="C999" s="13" t="n">
        <v>45505</v>
      </c>
      <c r="D999" s="14" t="s">
        <v>15</v>
      </c>
      <c r="E999" s="14" t="s">
        <v>22</v>
      </c>
      <c r="F999" s="14" t="s">
        <v>17</v>
      </c>
      <c r="G999" s="15" t="n">
        <v>60</v>
      </c>
      <c r="H999" s="15" t="n">
        <v>60</v>
      </c>
      <c r="I999" s="15" t="n">
        <v>60</v>
      </c>
      <c r="J999" s="15" t="n">
        <v>60</v>
      </c>
      <c r="K999" s="15" t="n">
        <v>60</v>
      </c>
      <c r="L999" s="0" t="str">
        <f aca="false">IF(H999&gt;I999,"ERRO","OK")</f>
        <v>OK</v>
      </c>
      <c r="M999" s="0" t="str">
        <f aca="false">IF(H999&gt;J999,"ERRO","OK")</f>
        <v>OK</v>
      </c>
      <c r="N999" s="0" t="str">
        <f aca="false">IF(I999&lt;J999,"ERRO","OK")</f>
        <v>OK</v>
      </c>
    </row>
    <row r="1000" customFormat="false" ht="24" hidden="false" customHeight="false" outlineLevel="0" collapsed="false">
      <c r="A1000" s="12" t="n">
        <v>63</v>
      </c>
      <c r="B1000" s="12" t="n">
        <v>2024</v>
      </c>
      <c r="C1000" s="13" t="n">
        <v>45505</v>
      </c>
      <c r="D1000" s="14" t="s">
        <v>15</v>
      </c>
      <c r="E1000" s="14" t="s">
        <v>23</v>
      </c>
      <c r="F1000" s="14" t="s">
        <v>17</v>
      </c>
      <c r="G1000" s="15" t="n">
        <v>60</v>
      </c>
      <c r="H1000" s="15" t="n">
        <v>48</v>
      </c>
      <c r="I1000" s="15" t="n">
        <v>48</v>
      </c>
      <c r="J1000" s="15" t="n">
        <v>60</v>
      </c>
      <c r="K1000" s="15" t="n">
        <v>54</v>
      </c>
      <c r="L1000" s="0" t="str">
        <f aca="false">IF(H1000&gt;I1000,"ERRO","OK")</f>
        <v>OK</v>
      </c>
      <c r="M1000" s="0" t="str">
        <f aca="false">IF(H1000&gt;J1000,"ERRO","OK")</f>
        <v>OK</v>
      </c>
      <c r="N1000" s="0" t="str">
        <f aca="false">IF(I1000&lt;J1000,"ERRO","OK")</f>
        <v>ERRO</v>
      </c>
    </row>
    <row r="1001" customFormat="false" ht="24" hidden="false" customHeight="false" outlineLevel="0" collapsed="false">
      <c r="A1001" s="12" t="n">
        <v>63</v>
      </c>
      <c r="B1001" s="12" t="n">
        <v>2024</v>
      </c>
      <c r="C1001" s="13" t="n">
        <v>45505</v>
      </c>
      <c r="D1001" s="14" t="s">
        <v>15</v>
      </c>
      <c r="E1001" s="14" t="s">
        <v>24</v>
      </c>
      <c r="F1001" s="14" t="s">
        <v>17</v>
      </c>
      <c r="G1001" s="15" t="n">
        <v>84</v>
      </c>
      <c r="H1001" s="15" t="n">
        <v>60</v>
      </c>
      <c r="I1001" s="15" t="n">
        <v>60</v>
      </c>
      <c r="J1001" s="15" t="n">
        <v>84</v>
      </c>
      <c r="K1001" s="15" t="n">
        <v>72</v>
      </c>
      <c r="L1001" s="0" t="str">
        <f aca="false">IF(H1001&gt;I1001,"ERRO","OK")</f>
        <v>OK</v>
      </c>
      <c r="M1001" s="0" t="str">
        <f aca="false">IF(H1001&gt;J1001,"ERRO","OK")</f>
        <v>OK</v>
      </c>
      <c r="N1001" s="0" t="str">
        <f aca="false">IF(I1001&lt;J1001,"ERRO","OK")</f>
        <v>ERRO</v>
      </c>
    </row>
    <row r="1002" customFormat="false" ht="24" hidden="false" customHeight="false" outlineLevel="0" collapsed="false">
      <c r="A1002" s="12" t="n">
        <v>63</v>
      </c>
      <c r="B1002" s="12" t="n">
        <v>2024</v>
      </c>
      <c r="C1002" s="13" t="n">
        <v>45505</v>
      </c>
      <c r="D1002" s="14" t="s">
        <v>15</v>
      </c>
      <c r="E1002" s="14" t="s">
        <v>25</v>
      </c>
      <c r="F1002" s="14" t="s">
        <v>17</v>
      </c>
      <c r="G1002" s="15" t="n">
        <v>24</v>
      </c>
      <c r="H1002" s="15" t="n">
        <v>18</v>
      </c>
      <c r="I1002" s="15" t="n">
        <v>18</v>
      </c>
      <c r="J1002" s="15" t="n">
        <v>25</v>
      </c>
      <c r="K1002" s="15" t="n">
        <v>21.8</v>
      </c>
      <c r="L1002" s="0" t="str">
        <f aca="false">IF(H1002&gt;I1002,"ERRO","OK")</f>
        <v>OK</v>
      </c>
      <c r="M1002" s="0" t="str">
        <f aca="false">IF(H1002&gt;J1002,"ERRO","OK")</f>
        <v>OK</v>
      </c>
      <c r="N1002" s="0" t="str">
        <f aca="false">IF(I1002&lt;J1002,"ERRO","OK")</f>
        <v>ERRO</v>
      </c>
    </row>
    <row r="1003" customFormat="false" ht="24" hidden="false" customHeight="false" outlineLevel="0" collapsed="false">
      <c r="A1003" s="12" t="n">
        <v>63</v>
      </c>
      <c r="B1003" s="12" t="n">
        <v>2024</v>
      </c>
      <c r="C1003" s="13" t="n">
        <v>45505</v>
      </c>
      <c r="D1003" s="14" t="s">
        <v>15</v>
      </c>
      <c r="E1003" s="14" t="s">
        <v>77</v>
      </c>
      <c r="F1003" s="14" t="s">
        <v>17</v>
      </c>
      <c r="G1003" s="15" t="n">
        <v>72</v>
      </c>
      <c r="H1003" s="15" t="n">
        <v>60</v>
      </c>
      <c r="I1003" s="15" t="n">
        <v>60</v>
      </c>
      <c r="J1003" s="15" t="n">
        <v>84</v>
      </c>
      <c r="K1003" s="15" t="n">
        <v>72</v>
      </c>
      <c r="L1003" s="0" t="str">
        <f aca="false">IF(H1003&gt;I1003,"ERRO","OK")</f>
        <v>OK</v>
      </c>
      <c r="M1003" s="0" t="str">
        <f aca="false">IF(H1003&gt;J1003,"ERRO","OK")</f>
        <v>OK</v>
      </c>
      <c r="N1003" s="0" t="str">
        <f aca="false">IF(I1003&lt;J1003,"ERRO","OK")</f>
        <v>ERRO</v>
      </c>
    </row>
    <row r="1004" customFormat="false" ht="24" hidden="false" customHeight="false" outlineLevel="0" collapsed="false">
      <c r="A1004" s="12" t="n">
        <v>63</v>
      </c>
      <c r="B1004" s="12" t="n">
        <v>2024</v>
      </c>
      <c r="C1004" s="13" t="n">
        <v>45505</v>
      </c>
      <c r="D1004" s="14" t="s">
        <v>15</v>
      </c>
      <c r="E1004" s="14" t="s">
        <v>27</v>
      </c>
      <c r="F1004" s="14" t="s">
        <v>17</v>
      </c>
      <c r="G1004" s="15" t="n">
        <v>30</v>
      </c>
      <c r="H1004" s="15" t="n">
        <v>24</v>
      </c>
      <c r="I1004" s="15" t="n">
        <v>18</v>
      </c>
      <c r="J1004" s="15" t="n">
        <v>24</v>
      </c>
      <c r="K1004" s="15" t="n">
        <v>22</v>
      </c>
      <c r="L1004" s="0" t="str">
        <f aca="false">IF(H1004&gt;I1004,"ERRO","OK")</f>
        <v>ERRO</v>
      </c>
      <c r="M1004" s="0" t="str">
        <f aca="false">IF(H1004&gt;J1004,"ERRO","OK")</f>
        <v>OK</v>
      </c>
      <c r="N1004" s="0" t="str">
        <f aca="false">IF(I1004&lt;J1004,"ERRO","OK")</f>
        <v>ERRO</v>
      </c>
    </row>
    <row r="1005" customFormat="false" ht="24" hidden="false" customHeight="false" outlineLevel="0" collapsed="false">
      <c r="A1005" s="12" t="n">
        <v>63</v>
      </c>
      <c r="B1005" s="12" t="n">
        <v>2024</v>
      </c>
      <c r="C1005" s="13" t="n">
        <v>45505</v>
      </c>
      <c r="D1005" s="14" t="s">
        <v>15</v>
      </c>
      <c r="E1005" s="14" t="s">
        <v>28</v>
      </c>
      <c r="F1005" s="14" t="s">
        <v>17</v>
      </c>
      <c r="G1005" s="15" t="n">
        <v>60</v>
      </c>
      <c r="H1005" s="15" t="n">
        <v>60</v>
      </c>
      <c r="I1005" s="15" t="n">
        <v>60</v>
      </c>
      <c r="J1005" s="15" t="n">
        <v>72</v>
      </c>
      <c r="K1005" s="15" t="n">
        <v>66</v>
      </c>
      <c r="L1005" s="0" t="str">
        <f aca="false">IF(H1005&gt;I1005,"ERRO","OK")</f>
        <v>OK</v>
      </c>
      <c r="M1005" s="0" t="str">
        <f aca="false">IF(H1005&gt;J1005,"ERRO","OK")</f>
        <v>OK</v>
      </c>
      <c r="N1005" s="0" t="str">
        <f aca="false">IF(I1005&lt;J1005,"ERRO","OK")</f>
        <v>ERRO</v>
      </c>
    </row>
    <row r="1006" customFormat="false" ht="24" hidden="false" customHeight="false" outlineLevel="0" collapsed="false">
      <c r="A1006" s="12" t="n">
        <v>63</v>
      </c>
      <c r="B1006" s="12" t="n">
        <v>2024</v>
      </c>
      <c r="C1006" s="13" t="n">
        <v>45505</v>
      </c>
      <c r="D1006" s="14" t="s">
        <v>15</v>
      </c>
      <c r="E1006" s="14" t="s">
        <v>29</v>
      </c>
      <c r="F1006" s="14" t="s">
        <v>30</v>
      </c>
      <c r="G1006" s="15" t="n">
        <v>60</v>
      </c>
      <c r="H1006" s="15" t="n">
        <v>60</v>
      </c>
      <c r="I1006" s="15" t="n">
        <v>48</v>
      </c>
      <c r="J1006" s="15" t="n">
        <v>60</v>
      </c>
      <c r="K1006" s="15" t="n">
        <v>55.2</v>
      </c>
      <c r="L1006" s="0" t="str">
        <f aca="false">IF(H1006&gt;I1006,"ERRO","OK")</f>
        <v>ERRO</v>
      </c>
      <c r="M1006" s="0" t="str">
        <f aca="false">IF(H1006&gt;J1006,"ERRO","OK")</f>
        <v>OK</v>
      </c>
      <c r="N1006" s="0" t="str">
        <f aca="false">IF(I1006&lt;J1006,"ERRO","OK")</f>
        <v>ERRO</v>
      </c>
    </row>
    <row r="1007" customFormat="false" ht="24" hidden="false" customHeight="false" outlineLevel="0" collapsed="false">
      <c r="A1007" s="12" t="n">
        <v>63</v>
      </c>
      <c r="B1007" s="12" t="n">
        <v>2024</v>
      </c>
      <c r="C1007" s="13" t="n">
        <v>45505</v>
      </c>
      <c r="D1007" s="14" t="s">
        <v>15</v>
      </c>
      <c r="E1007" s="14" t="s">
        <v>31</v>
      </c>
      <c r="F1007" s="14" t="s">
        <v>17</v>
      </c>
      <c r="G1007" s="15" t="n">
        <v>60</v>
      </c>
      <c r="H1007" s="15" t="n">
        <v>48</v>
      </c>
      <c r="I1007" s="15" t="n">
        <v>48</v>
      </c>
      <c r="J1007" s="15" t="n">
        <v>78</v>
      </c>
      <c r="K1007" s="15" t="n">
        <v>59</v>
      </c>
      <c r="L1007" s="0" t="str">
        <f aca="false">IF(H1007&gt;I1007,"ERRO","OK")</f>
        <v>OK</v>
      </c>
      <c r="M1007" s="0" t="str">
        <f aca="false">IF(H1007&gt;J1007,"ERRO","OK")</f>
        <v>OK</v>
      </c>
      <c r="N1007" s="0" t="str">
        <f aca="false">IF(I1007&lt;J1007,"ERRO","OK")</f>
        <v>ERRO</v>
      </c>
    </row>
    <row r="1008" customFormat="false" ht="24" hidden="false" customHeight="false" outlineLevel="0" collapsed="false">
      <c r="A1008" s="12" t="n">
        <v>63</v>
      </c>
      <c r="B1008" s="12" t="n">
        <v>2024</v>
      </c>
      <c r="C1008" s="13" t="n">
        <v>45505</v>
      </c>
      <c r="D1008" s="14" t="s">
        <v>15</v>
      </c>
      <c r="E1008" s="14" t="s">
        <v>32</v>
      </c>
      <c r="F1008" s="14" t="s">
        <v>17</v>
      </c>
      <c r="G1008" s="15" t="n">
        <v>48</v>
      </c>
      <c r="H1008" s="15" t="n">
        <v>48</v>
      </c>
      <c r="I1008" s="15" t="n">
        <v>36</v>
      </c>
      <c r="J1008" s="15" t="n">
        <v>48</v>
      </c>
      <c r="K1008" s="15" t="n">
        <v>41.6</v>
      </c>
      <c r="L1008" s="0" t="str">
        <f aca="false">IF(H1008&gt;I1008,"ERRO","OK")</f>
        <v>ERRO</v>
      </c>
      <c r="M1008" s="0" t="str">
        <f aca="false">IF(H1008&gt;J1008,"ERRO","OK")</f>
        <v>OK</v>
      </c>
      <c r="N1008" s="0" t="str">
        <f aca="false">IF(I1008&lt;J1008,"ERRO","OK")</f>
        <v>ERRO</v>
      </c>
    </row>
    <row r="1009" customFormat="false" ht="24" hidden="false" customHeight="false" outlineLevel="0" collapsed="false">
      <c r="A1009" s="12" t="n">
        <v>63</v>
      </c>
      <c r="B1009" s="12" t="n">
        <v>2024</v>
      </c>
      <c r="C1009" s="13" t="n">
        <v>45505</v>
      </c>
      <c r="D1009" s="14" t="s">
        <v>15</v>
      </c>
      <c r="E1009" s="14" t="s">
        <v>33</v>
      </c>
      <c r="F1009" s="14" t="s">
        <v>17</v>
      </c>
      <c r="G1009" s="15" t="n">
        <v>54</v>
      </c>
      <c r="H1009" s="14"/>
      <c r="I1009" s="15" t="n">
        <v>48</v>
      </c>
      <c r="J1009" s="15" t="n">
        <v>54</v>
      </c>
      <c r="K1009" s="15" t="n">
        <v>50.4</v>
      </c>
      <c r="L1009" s="0" t="str">
        <f aca="false">IF(H1009&gt;I1009,"ERRO","OK")</f>
        <v>OK</v>
      </c>
      <c r="M1009" s="0" t="str">
        <f aca="false">IF(H1009&gt;J1009,"ERRO","OK")</f>
        <v>OK</v>
      </c>
      <c r="N1009" s="0" t="str">
        <f aca="false">IF(I1009&lt;J1009,"ERRO","OK")</f>
        <v>ERRO</v>
      </c>
    </row>
    <row r="1010" customFormat="false" ht="24" hidden="false" customHeight="false" outlineLevel="0" collapsed="false">
      <c r="A1010" s="12" t="n">
        <v>63</v>
      </c>
      <c r="B1010" s="12" t="n">
        <v>2024</v>
      </c>
      <c r="C1010" s="13" t="n">
        <v>45505</v>
      </c>
      <c r="D1010" s="14" t="s">
        <v>34</v>
      </c>
      <c r="E1010" s="14" t="s">
        <v>35</v>
      </c>
      <c r="F1010" s="14" t="s">
        <v>36</v>
      </c>
      <c r="G1010" s="15" t="n">
        <v>5</v>
      </c>
      <c r="H1010" s="15" t="n">
        <v>4</v>
      </c>
      <c r="I1010" s="15" t="n">
        <v>5</v>
      </c>
      <c r="J1010" s="15" t="n">
        <v>4.8</v>
      </c>
      <c r="K1010" s="15" t="n">
        <v>5</v>
      </c>
      <c r="L1010" s="0" t="str">
        <f aca="false">IF(H1010&gt;I1010,"ERRO","OK")</f>
        <v>OK</v>
      </c>
      <c r="M1010" s="0" t="str">
        <f aca="false">IF(H1010&gt;J1010,"ERRO","OK")</f>
        <v>OK</v>
      </c>
      <c r="N1010" s="0" t="str">
        <f aca="false">IF(I1010&lt;J1010,"ERRO","OK")</f>
        <v>OK</v>
      </c>
    </row>
    <row r="1011" customFormat="false" ht="24" hidden="false" customHeight="false" outlineLevel="0" collapsed="false">
      <c r="A1011" s="12" t="n">
        <v>63</v>
      </c>
      <c r="B1011" s="12" t="n">
        <v>2024</v>
      </c>
      <c r="C1011" s="13" t="n">
        <v>45505</v>
      </c>
      <c r="D1011" s="14" t="s">
        <v>34</v>
      </c>
      <c r="E1011" s="14" t="s">
        <v>38</v>
      </c>
      <c r="F1011" s="14" t="s">
        <v>39</v>
      </c>
      <c r="G1011" s="15" t="n">
        <v>12</v>
      </c>
      <c r="H1011" s="15" t="n">
        <v>10</v>
      </c>
      <c r="I1011" s="15" t="n">
        <v>12</v>
      </c>
      <c r="J1011" s="15" t="n">
        <v>11.2</v>
      </c>
      <c r="K1011" s="15" t="n">
        <v>12</v>
      </c>
      <c r="L1011" s="0" t="str">
        <f aca="false">IF(H1011&gt;I1011,"ERRO","OK")</f>
        <v>OK</v>
      </c>
      <c r="M1011" s="0" t="str">
        <f aca="false">IF(H1011&gt;J1011,"ERRO","OK")</f>
        <v>OK</v>
      </c>
      <c r="N1011" s="0" t="str">
        <f aca="false">IF(I1011&lt;J1011,"ERRO","OK")</f>
        <v>OK</v>
      </c>
    </row>
    <row r="1012" customFormat="false" ht="24" hidden="false" customHeight="false" outlineLevel="0" collapsed="false">
      <c r="A1012" s="12" t="n">
        <v>63</v>
      </c>
      <c r="B1012" s="12" t="n">
        <v>2024</v>
      </c>
      <c r="C1012" s="13" t="n">
        <v>45505</v>
      </c>
      <c r="D1012" s="14" t="s">
        <v>34</v>
      </c>
      <c r="E1012" s="14" t="s">
        <v>40</v>
      </c>
      <c r="F1012" s="14" t="s">
        <v>39</v>
      </c>
      <c r="G1012" s="15" t="n">
        <v>20</v>
      </c>
      <c r="H1012" s="15" t="n">
        <v>20</v>
      </c>
      <c r="I1012" s="15" t="n">
        <v>30</v>
      </c>
      <c r="J1012" s="15" t="n">
        <v>24</v>
      </c>
      <c r="K1012" s="15" t="n">
        <v>20</v>
      </c>
      <c r="L1012" s="0" t="str">
        <f aca="false">IF(H1012&gt;I1012,"ERRO","OK")</f>
        <v>OK</v>
      </c>
      <c r="M1012" s="0" t="str">
        <f aca="false">IF(H1012&gt;J1012,"ERRO","OK")</f>
        <v>OK</v>
      </c>
      <c r="N1012" s="0" t="str">
        <f aca="false">IF(I1012&lt;J1012,"ERRO","OK")</f>
        <v>OK</v>
      </c>
    </row>
    <row r="1013" customFormat="false" ht="14.25" hidden="false" customHeight="false" outlineLevel="0" collapsed="false">
      <c r="A1013" s="12" t="n">
        <v>63</v>
      </c>
      <c r="B1013" s="12" t="n">
        <v>2024</v>
      </c>
      <c r="C1013" s="13" t="n">
        <v>45505</v>
      </c>
      <c r="D1013" s="14" t="s">
        <v>293</v>
      </c>
      <c r="E1013" s="14" t="s">
        <v>157</v>
      </c>
      <c r="F1013" s="14" t="s">
        <v>158</v>
      </c>
      <c r="G1013" s="14"/>
      <c r="H1013" s="15" t="n">
        <v>80</v>
      </c>
      <c r="I1013" s="15" t="n">
        <v>80</v>
      </c>
      <c r="J1013" s="15" t="n">
        <v>80</v>
      </c>
      <c r="K1013" s="15" t="n">
        <v>80</v>
      </c>
      <c r="L1013" s="0" t="str">
        <f aca="false">IF(H1013&gt;I1013,"ERRO","OK")</f>
        <v>OK</v>
      </c>
      <c r="M1013" s="0" t="str">
        <f aca="false">IF(H1013&gt;J1013,"ERRO","OK")</f>
        <v>OK</v>
      </c>
      <c r="N1013" s="0" t="str">
        <f aca="false">IF(I1013&lt;J1013,"ERRO","OK")</f>
        <v>OK</v>
      </c>
    </row>
    <row r="1014" customFormat="false" ht="14.25" hidden="false" customHeight="false" outlineLevel="0" collapsed="false">
      <c r="A1014" s="12" t="n">
        <v>63</v>
      </c>
      <c r="B1014" s="12" t="n">
        <v>2024</v>
      </c>
      <c r="C1014" s="13" t="n">
        <v>45505</v>
      </c>
      <c r="D1014" s="14" t="s">
        <v>293</v>
      </c>
      <c r="E1014" s="14" t="s">
        <v>43</v>
      </c>
      <c r="F1014" s="14" t="s">
        <v>44</v>
      </c>
      <c r="G1014" s="15" t="n">
        <v>60</v>
      </c>
      <c r="H1014" s="15" t="n">
        <v>40</v>
      </c>
      <c r="I1014" s="15" t="n">
        <v>75</v>
      </c>
      <c r="J1014" s="15" t="s">
        <v>262</v>
      </c>
      <c r="K1014" s="15" t="n">
        <v>60</v>
      </c>
      <c r="L1014" s="0" t="str">
        <f aca="false">IF(H1014&gt;I1014,"ERRO","OK")</f>
        <v>OK</v>
      </c>
      <c r="M1014" s="0" t="str">
        <f aca="false">IF(H1014&gt;J1014,"ERRO","OK")</f>
        <v>OK</v>
      </c>
      <c r="N1014" s="0" t="str">
        <f aca="false">IF(I1014&lt;J1014,"ERRO","OK")</f>
        <v>ERRO</v>
      </c>
    </row>
    <row r="1015" customFormat="false" ht="14.25" hidden="false" customHeight="false" outlineLevel="0" collapsed="false">
      <c r="A1015" s="12" t="n">
        <v>63</v>
      </c>
      <c r="B1015" s="12" t="n">
        <v>2024</v>
      </c>
      <c r="C1015" s="13" t="n">
        <v>45505</v>
      </c>
      <c r="D1015" s="14" t="s">
        <v>293</v>
      </c>
      <c r="E1015" s="14" t="s">
        <v>46</v>
      </c>
      <c r="F1015" s="14" t="s">
        <v>47</v>
      </c>
      <c r="G1015" s="15" t="n">
        <v>70</v>
      </c>
      <c r="H1015" s="15" t="n">
        <v>45</v>
      </c>
      <c r="I1015" s="15" t="n">
        <v>75</v>
      </c>
      <c r="J1015" s="15" t="s">
        <v>135</v>
      </c>
      <c r="K1015" s="15" t="n">
        <v>65</v>
      </c>
      <c r="L1015" s="0" t="str">
        <f aca="false">IF(H1015&gt;I1015,"ERRO","OK")</f>
        <v>OK</v>
      </c>
      <c r="M1015" s="0" t="str">
        <f aca="false">IF(H1015&gt;J1015,"ERRO","OK")</f>
        <v>OK</v>
      </c>
      <c r="N1015" s="0" t="str">
        <f aca="false">IF(I1015&lt;J1015,"ERRO","OK")</f>
        <v>ERRO</v>
      </c>
    </row>
    <row r="1016" customFormat="false" ht="14.25" hidden="false" customHeight="false" outlineLevel="0" collapsed="false">
      <c r="A1016" s="12" t="n">
        <v>63</v>
      </c>
      <c r="B1016" s="12" t="n">
        <v>2024</v>
      </c>
      <c r="C1016" s="13" t="n">
        <v>45505</v>
      </c>
      <c r="D1016" s="14" t="s">
        <v>293</v>
      </c>
      <c r="E1016" s="14" t="s">
        <v>48</v>
      </c>
      <c r="F1016" s="14" t="s">
        <v>49</v>
      </c>
      <c r="G1016" s="15" t="n">
        <v>40</v>
      </c>
      <c r="H1016" s="15" t="n">
        <v>40</v>
      </c>
      <c r="I1016" s="15" t="n">
        <v>50</v>
      </c>
      <c r="J1016" s="15" t="s">
        <v>237</v>
      </c>
      <c r="K1016" s="15" t="s">
        <v>51</v>
      </c>
      <c r="L1016" s="0" t="str">
        <f aca="false">IF(H1016&gt;I1016,"ERRO","OK")</f>
        <v>OK</v>
      </c>
      <c r="M1016" s="0" t="str">
        <f aca="false">IF(H1016&gt;J1016,"ERRO","OK")</f>
        <v>OK</v>
      </c>
      <c r="N1016" s="0" t="str">
        <f aca="false">IF(I1016&lt;J1016,"ERRO","OK")</f>
        <v>ERRO</v>
      </c>
    </row>
    <row r="1017" customFormat="false" ht="14.25" hidden="false" customHeight="false" outlineLevel="0" collapsed="false">
      <c r="A1017" s="12" t="n">
        <v>63</v>
      </c>
      <c r="B1017" s="12" t="n">
        <v>2024</v>
      </c>
      <c r="C1017" s="13" t="n">
        <v>45505</v>
      </c>
      <c r="D1017" s="14" t="s">
        <v>293</v>
      </c>
      <c r="E1017" s="14" t="s">
        <v>52</v>
      </c>
      <c r="F1017" s="14" t="s">
        <v>49</v>
      </c>
      <c r="G1017" s="14"/>
      <c r="H1017" s="15" t="n">
        <v>90</v>
      </c>
      <c r="I1017" s="15" t="n">
        <v>105</v>
      </c>
      <c r="J1017" s="15" t="s">
        <v>160</v>
      </c>
      <c r="K1017" s="15" t="s">
        <v>160</v>
      </c>
      <c r="L1017" s="0" t="str">
        <f aca="false">IF(H1017&gt;I1017,"ERRO","OK")</f>
        <v>OK</v>
      </c>
      <c r="M1017" s="0" t="str">
        <f aca="false">IF(H1017&gt;J1017,"ERRO","OK")</f>
        <v>OK</v>
      </c>
      <c r="N1017" s="0" t="str">
        <f aca="false">IF(I1017&lt;J1017,"ERRO","OK")</f>
        <v>ERRO</v>
      </c>
    </row>
    <row r="1018" customFormat="false" ht="14.25" hidden="false" customHeight="false" outlineLevel="0" collapsed="false">
      <c r="A1018" s="12" t="n">
        <v>63</v>
      </c>
      <c r="B1018" s="12" t="n">
        <v>2024</v>
      </c>
      <c r="C1018" s="13" t="n">
        <v>45505</v>
      </c>
      <c r="D1018" s="14" t="s">
        <v>293</v>
      </c>
      <c r="E1018" s="14" t="s">
        <v>53</v>
      </c>
      <c r="F1018" s="14" t="s">
        <v>54</v>
      </c>
      <c r="G1018" s="15" t="n">
        <v>55</v>
      </c>
      <c r="H1018" s="15" t="n">
        <v>55</v>
      </c>
      <c r="I1018" s="15" t="n">
        <v>60</v>
      </c>
      <c r="J1018" s="15" t="s">
        <v>59</v>
      </c>
      <c r="K1018" s="15" t="n">
        <v>55</v>
      </c>
      <c r="L1018" s="0" t="str">
        <f aca="false">IF(H1018&gt;I1018,"ERRO","OK")</f>
        <v>OK</v>
      </c>
      <c r="M1018" s="0" t="str">
        <f aca="false">IF(H1018&gt;J1018,"ERRO","OK")</f>
        <v>OK</v>
      </c>
      <c r="N1018" s="0" t="str">
        <f aca="false">IF(I1018&lt;J1018,"ERRO","OK")</f>
        <v>ERRO</v>
      </c>
    </row>
    <row r="1019" customFormat="false" ht="14.25" hidden="false" customHeight="false" outlineLevel="0" collapsed="false">
      <c r="A1019" s="12" t="n">
        <v>63</v>
      </c>
      <c r="B1019" s="12" t="n">
        <v>2024</v>
      </c>
      <c r="C1019" s="13" t="n">
        <v>45505</v>
      </c>
      <c r="D1019" s="14" t="s">
        <v>293</v>
      </c>
      <c r="E1019" s="14" t="s">
        <v>56</v>
      </c>
      <c r="F1019" s="14" t="s">
        <v>47</v>
      </c>
      <c r="G1019" s="15" t="n">
        <v>60</v>
      </c>
      <c r="H1019" s="15" t="n">
        <v>45</v>
      </c>
      <c r="I1019" s="15" t="n">
        <v>60</v>
      </c>
      <c r="J1019" s="15" t="s">
        <v>246</v>
      </c>
      <c r="K1019" s="15" t="n">
        <v>55</v>
      </c>
      <c r="L1019" s="0" t="str">
        <f aca="false">IF(H1019&gt;I1019,"ERRO","OK")</f>
        <v>OK</v>
      </c>
      <c r="M1019" s="0" t="str">
        <f aca="false">IF(H1019&gt;J1019,"ERRO","OK")</f>
        <v>OK</v>
      </c>
      <c r="N1019" s="0" t="str">
        <f aca="false">IF(I1019&lt;J1019,"ERRO","OK")</f>
        <v>ERRO</v>
      </c>
    </row>
    <row r="1020" customFormat="false" ht="14.25" hidden="false" customHeight="false" outlineLevel="0" collapsed="false">
      <c r="A1020" s="12" t="n">
        <v>63</v>
      </c>
      <c r="B1020" s="12" t="n">
        <v>2024</v>
      </c>
      <c r="C1020" s="13" t="n">
        <v>45505</v>
      </c>
      <c r="D1020" s="14" t="s">
        <v>293</v>
      </c>
      <c r="E1020" s="14" t="s">
        <v>57</v>
      </c>
      <c r="F1020" s="14" t="s">
        <v>47</v>
      </c>
      <c r="G1020" s="15" t="n">
        <v>60</v>
      </c>
      <c r="H1020" s="15" t="n">
        <v>45</v>
      </c>
      <c r="I1020" s="15" t="n">
        <v>65</v>
      </c>
      <c r="J1020" s="15" t="s">
        <v>262</v>
      </c>
      <c r="K1020" s="15" t="n">
        <v>60</v>
      </c>
      <c r="L1020" s="0" t="str">
        <f aca="false">IF(H1020&gt;I1020,"ERRO","OK")</f>
        <v>OK</v>
      </c>
      <c r="M1020" s="0" t="str">
        <f aca="false">IF(H1020&gt;J1020,"ERRO","OK")</f>
        <v>OK</v>
      </c>
      <c r="N1020" s="0" t="str">
        <f aca="false">IF(I1020&lt;J1020,"ERRO","OK")</f>
        <v>ERRO</v>
      </c>
    </row>
    <row r="1021" customFormat="false" ht="14.25" hidden="false" customHeight="false" outlineLevel="0" collapsed="false">
      <c r="A1021" s="12" t="n">
        <v>63</v>
      </c>
      <c r="B1021" s="12" t="n">
        <v>2024</v>
      </c>
      <c r="C1021" s="13" t="n">
        <v>45505</v>
      </c>
      <c r="D1021" s="14" t="s">
        <v>293</v>
      </c>
      <c r="E1021" s="14" t="s">
        <v>58</v>
      </c>
      <c r="F1021" s="14" t="s">
        <v>44</v>
      </c>
      <c r="G1021" s="15" t="n">
        <v>90</v>
      </c>
      <c r="H1021" s="15" t="n">
        <v>60</v>
      </c>
      <c r="I1021" s="15" t="n">
        <v>100</v>
      </c>
      <c r="J1021" s="15" t="n">
        <v>86</v>
      </c>
      <c r="K1021" s="15" t="n">
        <v>90</v>
      </c>
      <c r="L1021" s="0" t="str">
        <f aca="false">IF(H1021&gt;I1021,"ERRO","OK")</f>
        <v>OK</v>
      </c>
      <c r="M1021" s="0" t="str">
        <f aca="false">IF(H1021&gt;J1021,"ERRO","OK")</f>
        <v>OK</v>
      </c>
      <c r="N1021" s="0" t="str">
        <f aca="false">IF(I1021&lt;J1021,"ERRO","OK")</f>
        <v>OK</v>
      </c>
    </row>
    <row r="1022" customFormat="false" ht="14.25" hidden="false" customHeight="false" outlineLevel="0" collapsed="false">
      <c r="A1022" s="12" t="n">
        <v>63</v>
      </c>
      <c r="B1022" s="12" t="n">
        <v>2024</v>
      </c>
      <c r="C1022" s="13" t="n">
        <v>45505</v>
      </c>
      <c r="D1022" s="14" t="s">
        <v>293</v>
      </c>
      <c r="E1022" s="14" t="s">
        <v>60</v>
      </c>
      <c r="F1022" s="14" t="s">
        <v>47</v>
      </c>
      <c r="G1022" s="15" t="n">
        <v>60</v>
      </c>
      <c r="H1022" s="15" t="n">
        <v>60</v>
      </c>
      <c r="I1022" s="15" t="n">
        <v>60</v>
      </c>
      <c r="J1022" s="15" t="n">
        <v>60</v>
      </c>
      <c r="K1022" s="15" t="n">
        <v>60</v>
      </c>
      <c r="L1022" s="0" t="str">
        <f aca="false">IF(H1022&gt;I1022,"ERRO","OK")</f>
        <v>OK</v>
      </c>
      <c r="M1022" s="0" t="str">
        <f aca="false">IF(H1022&gt;J1022,"ERRO","OK")</f>
        <v>OK</v>
      </c>
      <c r="N1022" s="0" t="str">
        <f aca="false">IF(I1022&lt;J1022,"ERRO","OK")</f>
        <v>OK</v>
      </c>
    </row>
    <row r="1023" customFormat="false" ht="14.25" hidden="false" customHeight="false" outlineLevel="0" collapsed="false">
      <c r="A1023" s="12" t="n">
        <v>63</v>
      </c>
      <c r="B1023" s="12" t="n">
        <v>2024</v>
      </c>
      <c r="C1023" s="13" t="n">
        <v>45505</v>
      </c>
      <c r="D1023" s="14" t="s">
        <v>293</v>
      </c>
      <c r="E1023" s="14" t="s">
        <v>61</v>
      </c>
      <c r="F1023" s="14" t="s">
        <v>44</v>
      </c>
      <c r="G1023" s="15" t="n">
        <v>65</v>
      </c>
      <c r="H1023" s="15" t="n">
        <v>50</v>
      </c>
      <c r="I1023" s="15" t="n">
        <v>65</v>
      </c>
      <c r="J1023" s="15" t="n">
        <v>60</v>
      </c>
      <c r="K1023" s="15" t="s">
        <v>84</v>
      </c>
      <c r="L1023" s="0" t="str">
        <f aca="false">IF(H1023&gt;I1023,"ERRO","OK")</f>
        <v>OK</v>
      </c>
      <c r="M1023" s="0" t="str">
        <f aca="false">IF(H1023&gt;J1023,"ERRO","OK")</f>
        <v>OK</v>
      </c>
      <c r="N1023" s="0" t="str">
        <f aca="false">IF(I1023&lt;J1023,"ERRO","OK")</f>
        <v>OK</v>
      </c>
    </row>
    <row r="1024" customFormat="false" ht="14.25" hidden="false" customHeight="false" outlineLevel="0" collapsed="false">
      <c r="A1024" s="12" t="n">
        <v>63</v>
      </c>
      <c r="B1024" s="12" t="n">
        <v>2024</v>
      </c>
      <c r="C1024" s="13" t="n">
        <v>45505</v>
      </c>
      <c r="D1024" s="14" t="s">
        <v>293</v>
      </c>
      <c r="E1024" s="14" t="s">
        <v>62</v>
      </c>
      <c r="F1024" s="14" t="s">
        <v>44</v>
      </c>
      <c r="G1024" s="15" t="n">
        <v>90</v>
      </c>
      <c r="H1024" s="15" t="n">
        <v>50</v>
      </c>
      <c r="I1024" s="15" t="n">
        <v>90</v>
      </c>
      <c r="J1024" s="15" t="s">
        <v>162</v>
      </c>
      <c r="K1024" s="15" t="n">
        <v>80</v>
      </c>
      <c r="L1024" s="0" t="str">
        <f aca="false">IF(H1024&gt;I1024,"ERRO","OK")</f>
        <v>OK</v>
      </c>
      <c r="M1024" s="0" t="str">
        <f aca="false">IF(H1024&gt;J1024,"ERRO","OK")</f>
        <v>OK</v>
      </c>
      <c r="N1024" s="0" t="str">
        <f aca="false">IF(I1024&lt;J1024,"ERRO","OK")</f>
        <v>ERRO</v>
      </c>
    </row>
    <row r="1025" customFormat="false" ht="14.25" hidden="false" customHeight="false" outlineLevel="0" collapsed="false">
      <c r="A1025" s="12" t="n">
        <v>63</v>
      </c>
      <c r="B1025" s="12" t="n">
        <v>2024</v>
      </c>
      <c r="C1025" s="13" t="n">
        <v>45505</v>
      </c>
      <c r="D1025" s="14" t="s">
        <v>293</v>
      </c>
      <c r="E1025" s="14" t="s">
        <v>63</v>
      </c>
      <c r="F1025" s="14" t="s">
        <v>49</v>
      </c>
      <c r="G1025" s="15" t="n">
        <v>50</v>
      </c>
      <c r="H1025" s="15" t="n">
        <v>40</v>
      </c>
      <c r="I1025" s="15" t="n">
        <v>80</v>
      </c>
      <c r="J1025" s="15" t="n">
        <v>55</v>
      </c>
      <c r="K1025" s="15" t="n">
        <v>50</v>
      </c>
      <c r="L1025" s="0" t="str">
        <f aca="false">IF(H1025&gt;I1025,"ERRO","OK")</f>
        <v>OK</v>
      </c>
      <c r="M1025" s="0" t="str">
        <f aca="false">IF(H1025&gt;J1025,"ERRO","OK")</f>
        <v>OK</v>
      </c>
      <c r="N1025" s="0" t="str">
        <f aca="false">IF(I1025&lt;J1025,"ERRO","OK")</f>
        <v>OK</v>
      </c>
    </row>
    <row r="1026" customFormat="false" ht="14.25" hidden="false" customHeight="false" outlineLevel="0" collapsed="false">
      <c r="A1026" s="12" t="n">
        <v>63</v>
      </c>
      <c r="B1026" s="12" t="n">
        <v>2024</v>
      </c>
      <c r="C1026" s="13" t="n">
        <v>45505</v>
      </c>
      <c r="D1026" s="14" t="s">
        <v>293</v>
      </c>
      <c r="E1026" s="14" t="s">
        <v>64</v>
      </c>
      <c r="F1026" s="14" t="s">
        <v>65</v>
      </c>
      <c r="G1026" s="15" t="n">
        <v>120</v>
      </c>
      <c r="H1026" s="15" t="n">
        <v>100</v>
      </c>
      <c r="I1026" s="15" t="n">
        <v>150</v>
      </c>
      <c r="J1026" s="15" t="n">
        <v>125</v>
      </c>
      <c r="K1026" s="15" t="n">
        <v>125</v>
      </c>
      <c r="L1026" s="0" t="str">
        <f aca="false">IF(H1026&gt;I1026,"ERRO","OK")</f>
        <v>OK</v>
      </c>
      <c r="M1026" s="0" t="str">
        <f aca="false">IF(H1026&gt;J1026,"ERRO","OK")</f>
        <v>OK</v>
      </c>
      <c r="N1026" s="0" t="str">
        <f aca="false">IF(I1026&lt;J1026,"ERRO","OK")</f>
        <v>OK</v>
      </c>
    </row>
    <row r="1027" customFormat="false" ht="14.25" hidden="false" customHeight="false" outlineLevel="0" collapsed="false">
      <c r="A1027" s="12" t="n">
        <v>63</v>
      </c>
      <c r="B1027" s="12" t="n">
        <v>2024</v>
      </c>
      <c r="C1027" s="13" t="n">
        <v>45505</v>
      </c>
      <c r="D1027" s="14" t="s">
        <v>293</v>
      </c>
      <c r="E1027" s="14" t="s">
        <v>67</v>
      </c>
      <c r="F1027" s="14" t="s">
        <v>44</v>
      </c>
      <c r="G1027" s="15" t="n">
        <v>80</v>
      </c>
      <c r="H1027" s="15" t="n">
        <v>50</v>
      </c>
      <c r="I1027" s="15" t="n">
        <v>90</v>
      </c>
      <c r="J1027" s="15" t="s">
        <v>136</v>
      </c>
      <c r="K1027" s="15" t="n">
        <v>75</v>
      </c>
      <c r="L1027" s="0" t="str">
        <f aca="false">IF(H1027&gt;I1027,"ERRO","OK")</f>
        <v>OK</v>
      </c>
      <c r="M1027" s="0" t="str">
        <f aca="false">IF(H1027&gt;J1027,"ERRO","OK")</f>
        <v>OK</v>
      </c>
      <c r="N1027" s="0" t="str">
        <f aca="false">IF(I1027&lt;J1027,"ERRO","OK")</f>
        <v>ERRO</v>
      </c>
    </row>
    <row r="1028" customFormat="false" ht="14.25" hidden="false" customHeight="false" outlineLevel="0" collapsed="false">
      <c r="A1028" s="12" t="n">
        <v>63</v>
      </c>
      <c r="B1028" s="12" t="n">
        <v>2024</v>
      </c>
      <c r="C1028" s="13" t="n">
        <v>45505</v>
      </c>
      <c r="D1028" s="14" t="s">
        <v>293</v>
      </c>
      <c r="E1028" s="14" t="s">
        <v>68</v>
      </c>
      <c r="F1028" s="14" t="s">
        <v>44</v>
      </c>
      <c r="G1028" s="14"/>
      <c r="H1028" s="15" t="n">
        <v>85</v>
      </c>
      <c r="I1028" s="15" t="n">
        <v>190</v>
      </c>
      <c r="J1028" s="15" t="s">
        <v>294</v>
      </c>
      <c r="K1028" s="15" t="n">
        <v>150</v>
      </c>
      <c r="L1028" s="0" t="str">
        <f aca="false">IF(H1028&gt;I1028,"ERRO","OK")</f>
        <v>OK</v>
      </c>
      <c r="M1028" s="0" t="str">
        <f aca="false">IF(H1028&gt;J1028,"ERRO","OK")</f>
        <v>OK</v>
      </c>
      <c r="N1028" s="0" t="str">
        <f aca="false">IF(I1028&lt;J1028,"ERRO","OK")</f>
        <v>ERRO</v>
      </c>
    </row>
    <row r="1029" customFormat="false" ht="14.25" hidden="false" customHeight="false" outlineLevel="0" collapsed="false">
      <c r="A1029" s="12" t="n">
        <v>63</v>
      </c>
      <c r="B1029" s="12" t="n">
        <v>2024</v>
      </c>
      <c r="C1029" s="13" t="n">
        <v>45505</v>
      </c>
      <c r="D1029" s="14" t="s">
        <v>69</v>
      </c>
      <c r="E1029" s="14" t="s">
        <v>70</v>
      </c>
      <c r="F1029" s="14" t="s">
        <v>49</v>
      </c>
      <c r="G1029" s="14"/>
      <c r="H1029" s="14"/>
      <c r="I1029" s="14"/>
      <c r="J1029" s="14"/>
      <c r="K1029" s="14"/>
      <c r="L1029" s="0" t="str">
        <f aca="false">IF(H1029&gt;I1029,"ERRO","OK")</f>
        <v>OK</v>
      </c>
      <c r="M1029" s="0" t="str">
        <f aca="false">IF(H1029&gt;J1029,"ERRO","OK")</f>
        <v>OK</v>
      </c>
      <c r="N1029" s="0" t="str">
        <f aca="false">IF(I1029&lt;J1029,"ERRO","OK")</f>
        <v>OK</v>
      </c>
    </row>
    <row r="1030" customFormat="false" ht="14.25" hidden="false" customHeight="false" outlineLevel="0" collapsed="false">
      <c r="A1030" s="12" t="n">
        <v>63</v>
      </c>
      <c r="B1030" s="12" t="n">
        <v>2024</v>
      </c>
      <c r="C1030" s="13" t="n">
        <v>45505</v>
      </c>
      <c r="D1030" s="14" t="s">
        <v>69</v>
      </c>
      <c r="E1030" s="14" t="s">
        <v>71</v>
      </c>
      <c r="F1030" s="14" t="s">
        <v>49</v>
      </c>
      <c r="G1030" s="14"/>
      <c r="H1030" s="14"/>
      <c r="I1030" s="14"/>
      <c r="J1030" s="14"/>
      <c r="K1030" s="14"/>
      <c r="L1030" s="0" t="str">
        <f aca="false">IF(H1030&gt;I1030,"ERRO","OK")</f>
        <v>OK</v>
      </c>
      <c r="M1030" s="0" t="str">
        <f aca="false">IF(H1030&gt;J1030,"ERRO","OK")</f>
        <v>OK</v>
      </c>
      <c r="N1030" s="0" t="str">
        <f aca="false">IF(I1030&lt;J1030,"ERRO","OK")</f>
        <v>OK</v>
      </c>
    </row>
    <row r="1031" customFormat="false" ht="14.25" hidden="false" customHeight="false" outlineLevel="0" collapsed="false">
      <c r="A1031" s="12" t="n">
        <v>63</v>
      </c>
      <c r="B1031" s="12" t="n">
        <v>2024</v>
      </c>
      <c r="C1031" s="13" t="n">
        <v>45505</v>
      </c>
      <c r="D1031" s="14" t="s">
        <v>69</v>
      </c>
      <c r="E1031" s="14" t="s">
        <v>72</v>
      </c>
      <c r="F1031" s="14" t="s">
        <v>49</v>
      </c>
      <c r="G1031" s="14"/>
      <c r="H1031" s="14"/>
      <c r="I1031" s="14"/>
      <c r="J1031" s="14"/>
      <c r="K1031" s="14"/>
      <c r="L1031" s="0" t="str">
        <f aca="false">IF(H1031&gt;I1031,"ERRO","OK")</f>
        <v>OK</v>
      </c>
      <c r="M1031" s="0" t="str">
        <f aca="false">IF(H1031&gt;J1031,"ERRO","OK")</f>
        <v>OK</v>
      </c>
      <c r="N1031" s="0" t="str">
        <f aca="false">IF(I1031&lt;J1031,"ERRO","OK")</f>
        <v>OK</v>
      </c>
    </row>
    <row r="1032" customFormat="false" ht="14.25" hidden="false" customHeight="false" outlineLevel="0" collapsed="false">
      <c r="A1032" s="12" t="n">
        <v>63</v>
      </c>
      <c r="B1032" s="12" t="n">
        <v>2024</v>
      </c>
      <c r="C1032" s="13" t="n">
        <v>45505</v>
      </c>
      <c r="D1032" s="14" t="s">
        <v>69</v>
      </c>
      <c r="E1032" s="14" t="s">
        <v>73</v>
      </c>
      <c r="F1032" s="14" t="s">
        <v>49</v>
      </c>
      <c r="G1032" s="15" t="n">
        <v>65</v>
      </c>
      <c r="H1032" s="15" t="n">
        <v>65</v>
      </c>
      <c r="I1032" s="15" t="n">
        <v>65</v>
      </c>
      <c r="J1032" s="15" t="n">
        <v>65</v>
      </c>
      <c r="K1032" s="15" t="n">
        <v>65</v>
      </c>
      <c r="L1032" s="0" t="str">
        <f aca="false">IF(H1032&gt;I1032,"ERRO","OK")</f>
        <v>OK</v>
      </c>
      <c r="M1032" s="0" t="str">
        <f aca="false">IF(H1032&gt;J1032,"ERRO","OK")</f>
        <v>OK</v>
      </c>
      <c r="N1032" s="0" t="str">
        <f aca="false">IF(I1032&lt;J1032,"ERRO","OK")</f>
        <v>OK</v>
      </c>
    </row>
    <row r="1033" customFormat="false" ht="14.25" hidden="false" customHeight="false" outlineLevel="0" collapsed="false">
      <c r="A1033" s="12" t="n">
        <v>63</v>
      </c>
      <c r="B1033" s="12" t="n">
        <v>2024</v>
      </c>
      <c r="C1033" s="13" t="n">
        <v>45505</v>
      </c>
      <c r="D1033" s="14" t="s">
        <v>69</v>
      </c>
      <c r="E1033" s="14" t="s">
        <v>74</v>
      </c>
      <c r="F1033" s="14" t="s">
        <v>75</v>
      </c>
      <c r="G1033" s="15" t="n">
        <v>50</v>
      </c>
      <c r="H1033" s="15" t="n">
        <v>50</v>
      </c>
      <c r="I1033" s="15" t="n">
        <v>50</v>
      </c>
      <c r="J1033" s="15" t="n">
        <v>50</v>
      </c>
      <c r="K1033" s="15" t="n">
        <v>50</v>
      </c>
      <c r="L1033" s="0" t="str">
        <f aca="false">IF(H1033&gt;I1033,"ERRO","OK")</f>
        <v>OK</v>
      </c>
      <c r="M1033" s="0" t="str">
        <f aca="false">IF(H1033&gt;J1033,"ERRO","OK")</f>
        <v>OK</v>
      </c>
      <c r="N1033" s="0" t="str">
        <f aca="false">IF(I1033&lt;J1033,"ERRO","OK")</f>
        <v>OK</v>
      </c>
    </row>
    <row r="1034" customFormat="false" ht="25" hidden="false" customHeight="false" outlineLevel="0" collapsed="false">
      <c r="A1034" s="0" t="n">
        <v>64</v>
      </c>
      <c r="B1034" s="0" t="n">
        <v>2024</v>
      </c>
      <c r="C1034" s="3" t="n">
        <v>45513</v>
      </c>
      <c r="D1034" s="4" t="s">
        <v>15</v>
      </c>
      <c r="E1034" s="5" t="s">
        <v>16</v>
      </c>
      <c r="F1034" s="5" t="s">
        <v>17</v>
      </c>
      <c r="G1034" s="6"/>
      <c r="H1034" s="7" t="n">
        <v>48</v>
      </c>
      <c r="I1034" s="7" t="n">
        <v>60</v>
      </c>
      <c r="J1034" s="7" t="n">
        <v>54</v>
      </c>
      <c r="K1034" s="7" t="n">
        <v>54</v>
      </c>
      <c r="L1034" s="0" t="str">
        <f aca="false">IF(H1034&gt;I1034,"ERRO","OK")</f>
        <v>OK</v>
      </c>
      <c r="M1034" s="0" t="str">
        <f aca="false">IF(H1034&gt;J1034,"ERRO","OK")</f>
        <v>OK</v>
      </c>
      <c r="N1034" s="0" t="str">
        <f aca="false">IF(I1034&lt;J1034,"ERRO","OK")</f>
        <v>OK</v>
      </c>
    </row>
    <row r="1035" customFormat="false" ht="25" hidden="false" customHeight="false" outlineLevel="0" collapsed="false">
      <c r="A1035" s="0" t="n">
        <v>64</v>
      </c>
      <c r="B1035" s="0" t="n">
        <v>2024</v>
      </c>
      <c r="C1035" s="3" t="n">
        <v>45513</v>
      </c>
      <c r="D1035" s="8" t="s">
        <v>15</v>
      </c>
      <c r="E1035" s="9" t="s">
        <v>18</v>
      </c>
      <c r="F1035" s="9" t="s">
        <v>17</v>
      </c>
      <c r="G1035" s="10"/>
      <c r="H1035" s="11" t="n">
        <v>60</v>
      </c>
      <c r="I1035" s="11" t="n">
        <v>84</v>
      </c>
      <c r="J1035" s="11" t="n">
        <v>72</v>
      </c>
      <c r="K1035" s="11" t="n">
        <v>72</v>
      </c>
      <c r="L1035" s="0" t="str">
        <f aca="false">IF(H1035&gt;I1035,"ERRO","OK")</f>
        <v>OK</v>
      </c>
      <c r="M1035" s="0" t="str">
        <f aca="false">IF(H1035&gt;J1035,"ERRO","OK")</f>
        <v>OK</v>
      </c>
      <c r="N1035" s="0" t="str">
        <f aca="false">IF(I1035&lt;J1035,"ERRO","OK")</f>
        <v>OK</v>
      </c>
    </row>
    <row r="1036" customFormat="false" ht="25" hidden="false" customHeight="false" outlineLevel="0" collapsed="false">
      <c r="A1036" s="0" t="n">
        <v>64</v>
      </c>
      <c r="B1036" s="0" t="n">
        <v>2024</v>
      </c>
      <c r="C1036" s="3" t="n">
        <v>45513</v>
      </c>
      <c r="D1036" s="4" t="s">
        <v>15</v>
      </c>
      <c r="E1036" s="5" t="s">
        <v>19</v>
      </c>
      <c r="F1036" s="5" t="s">
        <v>17</v>
      </c>
      <c r="G1036" s="6"/>
      <c r="H1036" s="7" t="n">
        <v>30</v>
      </c>
      <c r="I1036" s="7" t="n">
        <v>36</v>
      </c>
      <c r="J1036" s="7" t="s">
        <v>212</v>
      </c>
      <c r="K1036" s="7" t="n">
        <v>35</v>
      </c>
      <c r="L1036" s="0" t="str">
        <f aca="false">IF(H1036&gt;I1036,"ERRO","OK")</f>
        <v>OK</v>
      </c>
      <c r="M1036" s="0" t="str">
        <f aca="false">IF(H1036&gt;J1036,"ERRO","OK")</f>
        <v>OK</v>
      </c>
      <c r="N1036" s="0" t="str">
        <f aca="false">IF(I1036&lt;J1036,"ERRO","OK")</f>
        <v>ERRO</v>
      </c>
    </row>
    <row r="1037" customFormat="false" ht="25" hidden="false" customHeight="false" outlineLevel="0" collapsed="false">
      <c r="A1037" s="0" t="n">
        <v>64</v>
      </c>
      <c r="B1037" s="0" t="n">
        <v>2024</v>
      </c>
      <c r="C1037" s="3" t="n">
        <v>45513</v>
      </c>
      <c r="D1037" s="8" t="s">
        <v>15</v>
      </c>
      <c r="E1037" s="9" t="s">
        <v>20</v>
      </c>
      <c r="F1037" s="9" t="s">
        <v>17</v>
      </c>
      <c r="G1037" s="11" t="n">
        <v>18</v>
      </c>
      <c r="H1037" s="11" t="n">
        <v>15</v>
      </c>
      <c r="I1037" s="11" t="n">
        <v>18</v>
      </c>
      <c r="J1037" s="11" t="n">
        <v>17</v>
      </c>
      <c r="K1037" s="11" t="n">
        <v>18</v>
      </c>
      <c r="L1037" s="0" t="str">
        <f aca="false">IF(H1037&gt;I1037,"ERRO","OK")</f>
        <v>OK</v>
      </c>
      <c r="M1037" s="0" t="str">
        <f aca="false">IF(H1037&gt;J1037,"ERRO","OK")</f>
        <v>OK</v>
      </c>
      <c r="N1037" s="0" t="str">
        <f aca="false">IF(I1037&lt;J1037,"ERRO","OK")</f>
        <v>OK</v>
      </c>
    </row>
    <row r="1038" customFormat="false" ht="25" hidden="false" customHeight="false" outlineLevel="0" collapsed="false">
      <c r="A1038" s="0" t="n">
        <v>64</v>
      </c>
      <c r="B1038" s="0" t="n">
        <v>2024</v>
      </c>
      <c r="C1038" s="3" t="n">
        <v>45513</v>
      </c>
      <c r="D1038" s="4" t="s">
        <v>15</v>
      </c>
      <c r="E1038" s="5" t="s">
        <v>21</v>
      </c>
      <c r="F1038" s="5" t="s">
        <v>17</v>
      </c>
      <c r="G1038" s="6"/>
      <c r="H1038" s="7" t="n">
        <v>15</v>
      </c>
      <c r="I1038" s="7" t="n">
        <v>60</v>
      </c>
      <c r="J1038" s="7" t="s">
        <v>90</v>
      </c>
      <c r="K1038" s="7" t="s">
        <v>90</v>
      </c>
      <c r="L1038" s="0" t="str">
        <f aca="false">IF(H1038&gt;I1038,"ERRO","OK")</f>
        <v>OK</v>
      </c>
      <c r="M1038" s="0" t="str">
        <f aca="false">IF(H1038&gt;J1038,"ERRO","OK")</f>
        <v>OK</v>
      </c>
      <c r="N1038" s="0" t="str">
        <f aca="false">IF(I1038&lt;J1038,"ERRO","OK")</f>
        <v>ERRO</v>
      </c>
    </row>
    <row r="1039" customFormat="false" ht="25" hidden="false" customHeight="false" outlineLevel="0" collapsed="false">
      <c r="A1039" s="0" t="n">
        <v>64</v>
      </c>
      <c r="B1039" s="0" t="n">
        <v>2024</v>
      </c>
      <c r="C1039" s="3" t="n">
        <v>45513</v>
      </c>
      <c r="D1039" s="8" t="s">
        <v>15</v>
      </c>
      <c r="E1039" s="9" t="s">
        <v>22</v>
      </c>
      <c r="F1039" s="9" t="s">
        <v>17</v>
      </c>
      <c r="G1039" s="11" t="n">
        <v>60</v>
      </c>
      <c r="H1039" s="11" t="n">
        <v>60</v>
      </c>
      <c r="I1039" s="11" t="n">
        <v>60</v>
      </c>
      <c r="J1039" s="11" t="n">
        <v>60</v>
      </c>
      <c r="K1039" s="11" t="n">
        <v>60</v>
      </c>
      <c r="L1039" s="0" t="str">
        <f aca="false">IF(H1039&gt;I1039,"ERRO","OK")</f>
        <v>OK</v>
      </c>
      <c r="M1039" s="0" t="str">
        <f aca="false">IF(H1039&gt;J1039,"ERRO","OK")</f>
        <v>OK</v>
      </c>
      <c r="N1039" s="0" t="str">
        <f aca="false">IF(I1039&lt;J1039,"ERRO","OK")</f>
        <v>OK</v>
      </c>
    </row>
    <row r="1040" customFormat="false" ht="25" hidden="false" customHeight="false" outlineLevel="0" collapsed="false">
      <c r="A1040" s="0" t="n">
        <v>64</v>
      </c>
      <c r="B1040" s="0" t="n">
        <v>2024</v>
      </c>
      <c r="C1040" s="3" t="n">
        <v>45513</v>
      </c>
      <c r="D1040" s="4" t="s">
        <v>15</v>
      </c>
      <c r="E1040" s="5" t="s">
        <v>23</v>
      </c>
      <c r="F1040" s="5" t="s">
        <v>17</v>
      </c>
      <c r="G1040" s="6"/>
      <c r="H1040" s="7" t="n">
        <v>60</v>
      </c>
      <c r="I1040" s="7" t="n">
        <v>72</v>
      </c>
      <c r="J1040" s="7" t="n">
        <v>66</v>
      </c>
      <c r="K1040" s="7" t="n">
        <v>66</v>
      </c>
      <c r="L1040" s="0" t="str">
        <f aca="false">IF(H1040&gt;I1040,"ERRO","OK")</f>
        <v>OK</v>
      </c>
      <c r="M1040" s="0" t="str">
        <f aca="false">IF(H1040&gt;J1040,"ERRO","OK")</f>
        <v>OK</v>
      </c>
      <c r="N1040" s="0" t="str">
        <f aca="false">IF(I1040&lt;J1040,"ERRO","OK")</f>
        <v>OK</v>
      </c>
    </row>
    <row r="1041" customFormat="false" ht="25" hidden="false" customHeight="false" outlineLevel="0" collapsed="false">
      <c r="A1041" s="0" t="n">
        <v>64</v>
      </c>
      <c r="B1041" s="0" t="n">
        <v>2024</v>
      </c>
      <c r="C1041" s="3" t="n">
        <v>45513</v>
      </c>
      <c r="D1041" s="8" t="s">
        <v>15</v>
      </c>
      <c r="E1041" s="9" t="s">
        <v>24</v>
      </c>
      <c r="F1041" s="9" t="s">
        <v>17</v>
      </c>
      <c r="G1041" s="11" t="n">
        <v>72</v>
      </c>
      <c r="H1041" s="11" t="n">
        <v>72</v>
      </c>
      <c r="I1041" s="11" t="n">
        <v>72</v>
      </c>
      <c r="J1041" s="11" t="n">
        <v>72</v>
      </c>
      <c r="K1041" s="11" t="n">
        <v>72</v>
      </c>
      <c r="L1041" s="0" t="str">
        <f aca="false">IF(H1041&gt;I1041,"ERRO","OK")</f>
        <v>OK</v>
      </c>
      <c r="M1041" s="0" t="str">
        <f aca="false">IF(H1041&gt;J1041,"ERRO","OK")</f>
        <v>OK</v>
      </c>
      <c r="N1041" s="0" t="str">
        <f aca="false">IF(I1041&lt;J1041,"ERRO","OK")</f>
        <v>OK</v>
      </c>
    </row>
    <row r="1042" customFormat="false" ht="25" hidden="false" customHeight="false" outlineLevel="0" collapsed="false">
      <c r="A1042" s="0" t="n">
        <v>64</v>
      </c>
      <c r="B1042" s="0" t="n">
        <v>2024</v>
      </c>
      <c r="C1042" s="3" t="n">
        <v>45513</v>
      </c>
      <c r="D1042" s="4" t="s">
        <v>15</v>
      </c>
      <c r="E1042" s="5" t="s">
        <v>25</v>
      </c>
      <c r="F1042" s="5" t="s">
        <v>17</v>
      </c>
      <c r="G1042" s="7" t="n">
        <v>18</v>
      </c>
      <c r="H1042" s="7" t="n">
        <v>18</v>
      </c>
      <c r="I1042" s="7" t="n">
        <v>24</v>
      </c>
      <c r="J1042" s="7" t="n">
        <v>20</v>
      </c>
      <c r="K1042" s="7" t="n">
        <v>18</v>
      </c>
      <c r="L1042" s="0" t="str">
        <f aca="false">IF(H1042&gt;I1042,"ERRO","OK")</f>
        <v>OK</v>
      </c>
      <c r="M1042" s="0" t="str">
        <f aca="false">IF(H1042&gt;J1042,"ERRO","OK")</f>
        <v>OK</v>
      </c>
      <c r="N1042" s="0" t="str">
        <f aca="false">IF(I1042&lt;J1042,"ERRO","OK")</f>
        <v>OK</v>
      </c>
    </row>
    <row r="1043" customFormat="false" ht="25" hidden="false" customHeight="false" outlineLevel="0" collapsed="false">
      <c r="A1043" s="0" t="n">
        <v>64</v>
      </c>
      <c r="B1043" s="0" t="n">
        <v>2024</v>
      </c>
      <c r="C1043" s="3" t="n">
        <v>45513</v>
      </c>
      <c r="D1043" s="8" t="s">
        <v>15</v>
      </c>
      <c r="E1043" s="9" t="s">
        <v>77</v>
      </c>
      <c r="F1043" s="9" t="s">
        <v>17</v>
      </c>
      <c r="G1043" s="10"/>
      <c r="H1043" s="11" t="n">
        <v>72</v>
      </c>
      <c r="I1043" s="11" t="n">
        <v>84</v>
      </c>
      <c r="J1043" s="11" t="n">
        <v>78</v>
      </c>
      <c r="K1043" s="11" t="n">
        <v>78</v>
      </c>
      <c r="L1043" s="0" t="str">
        <f aca="false">IF(H1043&gt;I1043,"ERRO","OK")</f>
        <v>OK</v>
      </c>
      <c r="M1043" s="0" t="str">
        <f aca="false">IF(H1043&gt;J1043,"ERRO","OK")</f>
        <v>OK</v>
      </c>
      <c r="N1043" s="0" t="str">
        <f aca="false">IF(I1043&lt;J1043,"ERRO","OK")</f>
        <v>OK</v>
      </c>
    </row>
    <row r="1044" customFormat="false" ht="25" hidden="false" customHeight="false" outlineLevel="0" collapsed="false">
      <c r="A1044" s="0" t="n">
        <v>64</v>
      </c>
      <c r="B1044" s="0" t="n">
        <v>2024</v>
      </c>
      <c r="C1044" s="3" t="n">
        <v>45513</v>
      </c>
      <c r="D1044" s="4" t="s">
        <v>15</v>
      </c>
      <c r="E1044" s="5" t="s">
        <v>27</v>
      </c>
      <c r="F1044" s="5" t="s">
        <v>17</v>
      </c>
      <c r="G1044" s="6"/>
      <c r="H1044" s="7" t="n">
        <v>15</v>
      </c>
      <c r="I1044" s="7" t="n">
        <v>24</v>
      </c>
      <c r="J1044" s="7" t="n">
        <v>19</v>
      </c>
      <c r="K1044" s="7" t="n">
        <v>18</v>
      </c>
      <c r="L1044" s="0" t="str">
        <f aca="false">IF(H1044&gt;I1044,"ERRO","OK")</f>
        <v>OK</v>
      </c>
      <c r="M1044" s="0" t="str">
        <f aca="false">IF(H1044&gt;J1044,"ERRO","OK")</f>
        <v>OK</v>
      </c>
      <c r="N1044" s="0" t="str">
        <f aca="false">IF(I1044&lt;J1044,"ERRO","OK")</f>
        <v>OK</v>
      </c>
    </row>
    <row r="1045" customFormat="false" ht="25" hidden="false" customHeight="false" outlineLevel="0" collapsed="false">
      <c r="A1045" s="0" t="n">
        <v>64</v>
      </c>
      <c r="B1045" s="0" t="n">
        <v>2024</v>
      </c>
      <c r="C1045" s="3" t="n">
        <v>45513</v>
      </c>
      <c r="D1045" s="8" t="s">
        <v>15</v>
      </c>
      <c r="E1045" s="9" t="s">
        <v>28</v>
      </c>
      <c r="F1045" s="9" t="s">
        <v>17</v>
      </c>
      <c r="G1045" s="10"/>
      <c r="H1045" s="11" t="n">
        <v>48</v>
      </c>
      <c r="I1045" s="11" t="n">
        <v>72</v>
      </c>
      <c r="J1045" s="11" t="n">
        <v>60</v>
      </c>
      <c r="K1045" s="11" t="n">
        <v>60</v>
      </c>
      <c r="L1045" s="0" t="str">
        <f aca="false">IF(H1045&gt;I1045,"ERRO","OK")</f>
        <v>OK</v>
      </c>
      <c r="M1045" s="0" t="str">
        <f aca="false">IF(H1045&gt;J1045,"ERRO","OK")</f>
        <v>OK</v>
      </c>
      <c r="N1045" s="0" t="str">
        <f aca="false">IF(I1045&lt;J1045,"ERRO","OK")</f>
        <v>OK</v>
      </c>
    </row>
    <row r="1046" customFormat="false" ht="25" hidden="false" customHeight="false" outlineLevel="0" collapsed="false">
      <c r="A1046" s="0" t="n">
        <v>64</v>
      </c>
      <c r="B1046" s="0" t="n">
        <v>2024</v>
      </c>
      <c r="C1046" s="3" t="n">
        <v>45513</v>
      </c>
      <c r="D1046" s="4" t="s">
        <v>15</v>
      </c>
      <c r="E1046" s="5" t="s">
        <v>29</v>
      </c>
      <c r="F1046" s="5" t="s">
        <v>30</v>
      </c>
      <c r="G1046" s="7" t="n">
        <v>60</v>
      </c>
      <c r="H1046" s="7" t="n">
        <v>48</v>
      </c>
      <c r="I1046" s="7" t="n">
        <v>60</v>
      </c>
      <c r="J1046" s="7" t="n">
        <v>56</v>
      </c>
      <c r="K1046" s="7" t="n">
        <v>60</v>
      </c>
      <c r="L1046" s="0" t="str">
        <f aca="false">IF(H1046&gt;I1046,"ERRO","OK")</f>
        <v>OK</v>
      </c>
      <c r="M1046" s="0" t="str">
        <f aca="false">IF(H1046&gt;J1046,"ERRO","OK")</f>
        <v>OK</v>
      </c>
      <c r="N1046" s="0" t="str">
        <f aca="false">IF(I1046&lt;J1046,"ERRO","OK")</f>
        <v>OK</v>
      </c>
    </row>
    <row r="1047" customFormat="false" ht="25" hidden="false" customHeight="false" outlineLevel="0" collapsed="false">
      <c r="A1047" s="0" t="n">
        <v>64</v>
      </c>
      <c r="B1047" s="0" t="n">
        <v>2024</v>
      </c>
      <c r="C1047" s="3" t="n">
        <v>45513</v>
      </c>
      <c r="D1047" s="8" t="s">
        <v>15</v>
      </c>
      <c r="E1047" s="9" t="s">
        <v>31</v>
      </c>
      <c r="F1047" s="9" t="s">
        <v>17</v>
      </c>
      <c r="G1047" s="10"/>
      <c r="H1047" s="11" t="n">
        <v>45</v>
      </c>
      <c r="I1047" s="11" t="n">
        <v>60</v>
      </c>
      <c r="J1047" s="11" t="s">
        <v>82</v>
      </c>
      <c r="K1047" s="11" t="s">
        <v>82</v>
      </c>
      <c r="L1047" s="0" t="str">
        <f aca="false">IF(H1047&gt;I1047,"ERRO","OK")</f>
        <v>OK</v>
      </c>
      <c r="M1047" s="0" t="str">
        <f aca="false">IF(H1047&gt;J1047,"ERRO","OK")</f>
        <v>OK</v>
      </c>
      <c r="N1047" s="0" t="str">
        <f aca="false">IF(I1047&lt;J1047,"ERRO","OK")</f>
        <v>ERRO</v>
      </c>
    </row>
    <row r="1048" customFormat="false" ht="25" hidden="false" customHeight="false" outlineLevel="0" collapsed="false">
      <c r="A1048" s="0" t="n">
        <v>64</v>
      </c>
      <c r="B1048" s="0" t="n">
        <v>2024</v>
      </c>
      <c r="C1048" s="3" t="n">
        <v>45513</v>
      </c>
      <c r="D1048" s="4" t="s">
        <v>15</v>
      </c>
      <c r="E1048" s="5" t="s">
        <v>32</v>
      </c>
      <c r="F1048" s="5" t="s">
        <v>17</v>
      </c>
      <c r="G1048" s="6"/>
      <c r="H1048" s="7" t="n">
        <v>36</v>
      </c>
      <c r="I1048" s="7" t="n">
        <v>40</v>
      </c>
      <c r="J1048" s="7" t="n">
        <v>38</v>
      </c>
      <c r="K1048" s="7" t="n">
        <v>38</v>
      </c>
      <c r="L1048" s="0" t="str">
        <f aca="false">IF(H1048&gt;I1048,"ERRO","OK")</f>
        <v>OK</v>
      </c>
      <c r="M1048" s="0" t="str">
        <f aca="false">IF(H1048&gt;J1048,"ERRO","OK")</f>
        <v>OK</v>
      </c>
      <c r="N1048" s="0" t="str">
        <f aca="false">IF(I1048&lt;J1048,"ERRO","OK")</f>
        <v>OK</v>
      </c>
    </row>
    <row r="1049" customFormat="false" ht="25" hidden="false" customHeight="false" outlineLevel="0" collapsed="false">
      <c r="A1049" s="0" t="n">
        <v>64</v>
      </c>
      <c r="B1049" s="0" t="n">
        <v>2024</v>
      </c>
      <c r="C1049" s="3" t="n">
        <v>45513</v>
      </c>
      <c r="D1049" s="8" t="s">
        <v>15</v>
      </c>
      <c r="E1049" s="9" t="s">
        <v>33</v>
      </c>
      <c r="F1049" s="9" t="s">
        <v>17</v>
      </c>
      <c r="G1049" s="10"/>
      <c r="H1049" s="11" t="n">
        <v>42</v>
      </c>
      <c r="I1049" s="11" t="n">
        <v>54</v>
      </c>
      <c r="J1049" s="11" t="n">
        <v>48</v>
      </c>
      <c r="K1049" s="11" t="n">
        <v>48</v>
      </c>
      <c r="L1049" s="0" t="str">
        <f aca="false">IF(H1049&gt;I1049,"ERRO","OK")</f>
        <v>OK</v>
      </c>
      <c r="M1049" s="0" t="str">
        <f aca="false">IF(H1049&gt;J1049,"ERRO","OK")</f>
        <v>OK</v>
      </c>
      <c r="N1049" s="0" t="str">
        <f aca="false">IF(I1049&lt;J1049,"ERRO","OK")</f>
        <v>OK</v>
      </c>
    </row>
    <row r="1050" customFormat="false" ht="25" hidden="false" customHeight="false" outlineLevel="0" collapsed="false">
      <c r="A1050" s="0" t="n">
        <v>64</v>
      </c>
      <c r="B1050" s="0" t="n">
        <v>2024</v>
      </c>
      <c r="C1050" s="3" t="n">
        <v>45513</v>
      </c>
      <c r="D1050" s="4" t="s">
        <v>34</v>
      </c>
      <c r="E1050" s="5" t="s">
        <v>35</v>
      </c>
      <c r="F1050" s="5" t="s">
        <v>36</v>
      </c>
      <c r="G1050" s="7" t="n">
        <v>5</v>
      </c>
      <c r="H1050" s="7" t="n">
        <v>5</v>
      </c>
      <c r="I1050" s="7" t="n">
        <v>5</v>
      </c>
      <c r="J1050" s="7" t="n">
        <v>5</v>
      </c>
      <c r="K1050" s="7" t="n">
        <v>5</v>
      </c>
      <c r="L1050" s="0" t="str">
        <f aca="false">IF(H1050&gt;I1050,"ERRO","OK")</f>
        <v>OK</v>
      </c>
      <c r="M1050" s="0" t="str">
        <f aca="false">IF(H1050&gt;J1050,"ERRO","OK")</f>
        <v>OK</v>
      </c>
      <c r="N1050" s="0" t="str">
        <f aca="false">IF(I1050&lt;J1050,"ERRO","OK")</f>
        <v>OK</v>
      </c>
    </row>
    <row r="1051" customFormat="false" ht="25" hidden="false" customHeight="false" outlineLevel="0" collapsed="false">
      <c r="A1051" s="0" t="n">
        <v>64</v>
      </c>
      <c r="B1051" s="0" t="n">
        <v>2024</v>
      </c>
      <c r="C1051" s="3" t="n">
        <v>45513</v>
      </c>
      <c r="D1051" s="8" t="s">
        <v>34</v>
      </c>
      <c r="E1051" s="9" t="s">
        <v>38</v>
      </c>
      <c r="F1051" s="9" t="s">
        <v>39</v>
      </c>
      <c r="G1051" s="11" t="n">
        <v>12</v>
      </c>
      <c r="H1051" s="11" t="n">
        <v>10</v>
      </c>
      <c r="I1051" s="11" t="n">
        <v>12</v>
      </c>
      <c r="J1051" s="11" t="s">
        <v>295</v>
      </c>
      <c r="K1051" s="11" t="n">
        <v>12</v>
      </c>
      <c r="L1051" s="0" t="str">
        <f aca="false">IF(H1051&gt;I1051,"ERRO","OK")</f>
        <v>OK</v>
      </c>
      <c r="M1051" s="0" t="str">
        <f aca="false">IF(H1051&gt;J1051,"ERRO","OK")</f>
        <v>OK</v>
      </c>
      <c r="N1051" s="0" t="str">
        <f aca="false">IF(I1051&lt;J1051,"ERRO","OK")</f>
        <v>ERRO</v>
      </c>
    </row>
    <row r="1052" customFormat="false" ht="25" hidden="false" customHeight="false" outlineLevel="0" collapsed="false">
      <c r="A1052" s="0" t="n">
        <v>64</v>
      </c>
      <c r="B1052" s="0" t="n">
        <v>2024</v>
      </c>
      <c r="C1052" s="3" t="n">
        <v>45513</v>
      </c>
      <c r="D1052" s="4" t="s">
        <v>34</v>
      </c>
      <c r="E1052" s="5" t="s">
        <v>40</v>
      </c>
      <c r="F1052" s="5" t="s">
        <v>39</v>
      </c>
      <c r="G1052" s="6"/>
      <c r="H1052" s="7" t="n">
        <v>15</v>
      </c>
      <c r="I1052" s="7" t="n">
        <v>30</v>
      </c>
      <c r="J1052" s="7" t="s">
        <v>296</v>
      </c>
      <c r="K1052" s="7" t="n">
        <v>20</v>
      </c>
      <c r="L1052" s="0" t="str">
        <f aca="false">IF(H1052&gt;I1052,"ERRO","OK")</f>
        <v>OK</v>
      </c>
      <c r="M1052" s="0" t="str">
        <f aca="false">IF(H1052&gt;J1052,"ERRO","OK")</f>
        <v>OK</v>
      </c>
      <c r="N1052" s="0" t="str">
        <f aca="false">IF(I1052&lt;J1052,"ERRO","OK")</f>
        <v>ERRO</v>
      </c>
    </row>
    <row r="1053" customFormat="false" ht="36.5" hidden="false" customHeight="false" outlineLevel="0" collapsed="false">
      <c r="A1053" s="0" t="n">
        <v>64</v>
      </c>
      <c r="B1053" s="0" t="n">
        <v>2024</v>
      </c>
      <c r="C1053" s="3" t="n">
        <v>45513</v>
      </c>
      <c r="D1053" s="8" t="s">
        <v>42</v>
      </c>
      <c r="E1053" s="9" t="s">
        <v>157</v>
      </c>
      <c r="F1053" s="9" t="s">
        <v>158</v>
      </c>
      <c r="G1053" s="10"/>
      <c r="H1053" s="11" t="n">
        <v>75</v>
      </c>
      <c r="I1053" s="11" t="n">
        <v>80</v>
      </c>
      <c r="J1053" s="11" t="s">
        <v>138</v>
      </c>
      <c r="K1053" s="11" t="s">
        <v>138</v>
      </c>
      <c r="L1053" s="0" t="str">
        <f aca="false">IF(H1053&gt;I1053,"ERRO","OK")</f>
        <v>OK</v>
      </c>
      <c r="M1053" s="0" t="str">
        <f aca="false">IF(H1053&gt;J1053,"ERRO","OK")</f>
        <v>OK</v>
      </c>
      <c r="N1053" s="0" t="str">
        <f aca="false">IF(I1053&lt;J1053,"ERRO","OK")</f>
        <v>ERRO</v>
      </c>
    </row>
    <row r="1054" customFormat="false" ht="36.5" hidden="false" customHeight="false" outlineLevel="0" collapsed="false">
      <c r="A1054" s="0" t="n">
        <v>64</v>
      </c>
      <c r="B1054" s="0" t="n">
        <v>2024</v>
      </c>
      <c r="C1054" s="3" t="n">
        <v>45513</v>
      </c>
      <c r="D1054" s="4" t="s">
        <v>42</v>
      </c>
      <c r="E1054" s="5" t="s">
        <v>43</v>
      </c>
      <c r="F1054" s="5" t="s">
        <v>44</v>
      </c>
      <c r="G1054" s="7" t="n">
        <v>50</v>
      </c>
      <c r="H1054" s="7" t="n">
        <v>40</v>
      </c>
      <c r="I1054" s="7" t="n">
        <v>60</v>
      </c>
      <c r="J1054" s="7" t="n">
        <v>51</v>
      </c>
      <c r="K1054" s="7" t="n">
        <v>50</v>
      </c>
      <c r="L1054" s="0" t="str">
        <f aca="false">IF(H1054&gt;I1054,"ERRO","OK")</f>
        <v>OK</v>
      </c>
      <c r="M1054" s="0" t="str">
        <f aca="false">IF(H1054&gt;J1054,"ERRO","OK")</f>
        <v>OK</v>
      </c>
      <c r="N1054" s="0" t="str">
        <f aca="false">IF(I1054&lt;J1054,"ERRO","OK")</f>
        <v>OK</v>
      </c>
    </row>
    <row r="1055" customFormat="false" ht="36.5" hidden="false" customHeight="false" outlineLevel="0" collapsed="false">
      <c r="A1055" s="0" t="n">
        <v>64</v>
      </c>
      <c r="B1055" s="0" t="n">
        <v>2024</v>
      </c>
      <c r="C1055" s="3" t="n">
        <v>45513</v>
      </c>
      <c r="D1055" s="8" t="s">
        <v>42</v>
      </c>
      <c r="E1055" s="9" t="s">
        <v>46</v>
      </c>
      <c r="F1055" s="9" t="s">
        <v>47</v>
      </c>
      <c r="G1055" s="11" t="n">
        <v>70</v>
      </c>
      <c r="H1055" s="11" t="n">
        <v>40</v>
      </c>
      <c r="I1055" s="11" t="n">
        <v>70</v>
      </c>
      <c r="J1055" s="11" t="n">
        <v>55</v>
      </c>
      <c r="K1055" s="11" t="n">
        <v>50</v>
      </c>
      <c r="L1055" s="0" t="str">
        <f aca="false">IF(H1055&gt;I1055,"ERRO","OK")</f>
        <v>OK</v>
      </c>
      <c r="M1055" s="0" t="str">
        <f aca="false">IF(H1055&gt;J1055,"ERRO","OK")</f>
        <v>OK</v>
      </c>
      <c r="N1055" s="0" t="str">
        <f aca="false">IF(I1055&lt;J1055,"ERRO","OK")</f>
        <v>OK</v>
      </c>
    </row>
    <row r="1056" customFormat="false" ht="36.5" hidden="false" customHeight="false" outlineLevel="0" collapsed="false">
      <c r="A1056" s="0" t="n">
        <v>64</v>
      </c>
      <c r="B1056" s="0" t="n">
        <v>2024</v>
      </c>
      <c r="C1056" s="3" t="n">
        <v>45513</v>
      </c>
      <c r="D1056" s="4" t="s">
        <v>42</v>
      </c>
      <c r="E1056" s="5" t="s">
        <v>48</v>
      </c>
      <c r="F1056" s="5" t="s">
        <v>49</v>
      </c>
      <c r="G1056" s="7" t="n">
        <v>50</v>
      </c>
      <c r="H1056" s="7" t="n">
        <v>35</v>
      </c>
      <c r="I1056" s="7" t="n">
        <v>50</v>
      </c>
      <c r="J1056" s="7" t="n">
        <v>44</v>
      </c>
      <c r="K1056" s="7" t="n">
        <v>45</v>
      </c>
      <c r="L1056" s="0" t="str">
        <f aca="false">IF(H1056&gt;I1056,"ERRO","OK")</f>
        <v>OK</v>
      </c>
      <c r="M1056" s="0" t="str">
        <f aca="false">IF(H1056&gt;J1056,"ERRO","OK")</f>
        <v>OK</v>
      </c>
      <c r="N1056" s="0" t="str">
        <f aca="false">IF(I1056&lt;J1056,"ERRO","OK")</f>
        <v>OK</v>
      </c>
    </row>
    <row r="1057" customFormat="false" ht="36.5" hidden="false" customHeight="false" outlineLevel="0" collapsed="false">
      <c r="A1057" s="0" t="n">
        <v>64</v>
      </c>
      <c r="B1057" s="0" t="n">
        <v>2024</v>
      </c>
      <c r="C1057" s="3" t="n">
        <v>45513</v>
      </c>
      <c r="D1057" s="8" t="s">
        <v>42</v>
      </c>
      <c r="E1057" s="9" t="s">
        <v>52</v>
      </c>
      <c r="F1057" s="9" t="s">
        <v>49</v>
      </c>
      <c r="G1057" s="10"/>
      <c r="H1057" s="11" t="n">
        <v>90</v>
      </c>
      <c r="I1057" s="11" t="n">
        <v>100</v>
      </c>
      <c r="J1057" s="11" t="n">
        <v>95</v>
      </c>
      <c r="K1057" s="11" t="n">
        <v>95</v>
      </c>
      <c r="L1057" s="0" t="str">
        <f aca="false">IF(H1057&gt;I1057,"ERRO","OK")</f>
        <v>OK</v>
      </c>
      <c r="M1057" s="0" t="str">
        <f aca="false">IF(H1057&gt;J1057,"ERRO","OK")</f>
        <v>OK</v>
      </c>
      <c r="N1057" s="0" t="str">
        <f aca="false">IF(I1057&lt;J1057,"ERRO","OK")</f>
        <v>OK</v>
      </c>
    </row>
    <row r="1058" customFormat="false" ht="36.5" hidden="false" customHeight="false" outlineLevel="0" collapsed="false">
      <c r="A1058" s="0" t="n">
        <v>64</v>
      </c>
      <c r="B1058" s="0" t="n">
        <v>2024</v>
      </c>
      <c r="C1058" s="3" t="n">
        <v>45513</v>
      </c>
      <c r="D1058" s="4" t="s">
        <v>42</v>
      </c>
      <c r="E1058" s="5" t="s">
        <v>53</v>
      </c>
      <c r="F1058" s="5" t="s">
        <v>54</v>
      </c>
      <c r="G1058" s="7" t="n">
        <v>60</v>
      </c>
      <c r="H1058" s="7" t="n">
        <v>57</v>
      </c>
      <c r="I1058" s="7" t="n">
        <v>60</v>
      </c>
      <c r="J1058" s="7" t="s">
        <v>297</v>
      </c>
      <c r="K1058" s="7" t="n">
        <v>60</v>
      </c>
      <c r="L1058" s="0" t="str">
        <f aca="false">IF(H1058&gt;I1058,"ERRO","OK")</f>
        <v>OK</v>
      </c>
      <c r="M1058" s="0" t="str">
        <f aca="false">IF(H1058&gt;J1058,"ERRO","OK")</f>
        <v>OK</v>
      </c>
      <c r="N1058" s="0" t="str">
        <f aca="false">IF(I1058&lt;J1058,"ERRO","OK")</f>
        <v>ERRO</v>
      </c>
    </row>
    <row r="1059" customFormat="false" ht="36.5" hidden="false" customHeight="false" outlineLevel="0" collapsed="false">
      <c r="A1059" s="0" t="n">
        <v>64</v>
      </c>
      <c r="B1059" s="0" t="n">
        <v>2024</v>
      </c>
      <c r="C1059" s="3" t="n">
        <v>45513</v>
      </c>
      <c r="D1059" s="8" t="s">
        <v>42</v>
      </c>
      <c r="E1059" s="9" t="s">
        <v>56</v>
      </c>
      <c r="F1059" s="9" t="s">
        <v>47</v>
      </c>
      <c r="G1059" s="11" t="n">
        <v>60</v>
      </c>
      <c r="H1059" s="11" t="n">
        <v>40</v>
      </c>
      <c r="I1059" s="11" t="n">
        <v>60</v>
      </c>
      <c r="J1059" s="11" t="n">
        <v>55</v>
      </c>
      <c r="K1059" s="11" t="n">
        <v>60</v>
      </c>
      <c r="L1059" s="0" t="str">
        <f aca="false">IF(H1059&gt;I1059,"ERRO","OK")</f>
        <v>OK</v>
      </c>
      <c r="M1059" s="0" t="str">
        <f aca="false">IF(H1059&gt;J1059,"ERRO","OK")</f>
        <v>OK</v>
      </c>
      <c r="N1059" s="0" t="str">
        <f aca="false">IF(I1059&lt;J1059,"ERRO","OK")</f>
        <v>OK</v>
      </c>
    </row>
    <row r="1060" customFormat="false" ht="36.5" hidden="false" customHeight="false" outlineLevel="0" collapsed="false">
      <c r="A1060" s="0" t="n">
        <v>64</v>
      </c>
      <c r="B1060" s="0" t="n">
        <v>2024</v>
      </c>
      <c r="C1060" s="3" t="n">
        <v>45513</v>
      </c>
      <c r="D1060" s="4" t="s">
        <v>42</v>
      </c>
      <c r="E1060" s="5" t="s">
        <v>57</v>
      </c>
      <c r="F1060" s="5" t="s">
        <v>47</v>
      </c>
      <c r="G1060" s="7" t="n">
        <v>45</v>
      </c>
      <c r="H1060" s="7" t="n">
        <v>45</v>
      </c>
      <c r="I1060" s="7" t="n">
        <v>75</v>
      </c>
      <c r="J1060" s="7" t="n">
        <v>57</v>
      </c>
      <c r="K1060" s="7" t="n">
        <v>60</v>
      </c>
      <c r="L1060" s="0" t="str">
        <f aca="false">IF(H1060&gt;I1060,"ERRO","OK")</f>
        <v>OK</v>
      </c>
      <c r="M1060" s="0" t="str">
        <f aca="false">IF(H1060&gt;J1060,"ERRO","OK")</f>
        <v>OK</v>
      </c>
      <c r="N1060" s="0" t="str">
        <f aca="false">IF(I1060&lt;J1060,"ERRO","OK")</f>
        <v>OK</v>
      </c>
    </row>
    <row r="1061" customFormat="false" ht="36.5" hidden="false" customHeight="false" outlineLevel="0" collapsed="false">
      <c r="A1061" s="0" t="n">
        <v>64</v>
      </c>
      <c r="B1061" s="0" t="n">
        <v>2024</v>
      </c>
      <c r="C1061" s="3" t="n">
        <v>45513</v>
      </c>
      <c r="D1061" s="8" t="s">
        <v>42</v>
      </c>
      <c r="E1061" s="9" t="s">
        <v>58</v>
      </c>
      <c r="F1061" s="9" t="s">
        <v>44</v>
      </c>
      <c r="G1061" s="10"/>
      <c r="H1061" s="11" t="n">
        <v>70</v>
      </c>
      <c r="I1061" s="11" t="n">
        <v>100</v>
      </c>
      <c r="J1061" s="11" t="n">
        <v>85</v>
      </c>
      <c r="K1061" s="11" t="n">
        <v>85</v>
      </c>
      <c r="L1061" s="0" t="str">
        <f aca="false">IF(H1061&gt;I1061,"ERRO","OK")</f>
        <v>OK</v>
      </c>
      <c r="M1061" s="0" t="str">
        <f aca="false">IF(H1061&gt;J1061,"ERRO","OK")</f>
        <v>OK</v>
      </c>
      <c r="N1061" s="0" t="str">
        <f aca="false">IF(I1061&lt;J1061,"ERRO","OK")</f>
        <v>OK</v>
      </c>
    </row>
    <row r="1062" customFormat="false" ht="36.5" hidden="false" customHeight="false" outlineLevel="0" collapsed="false">
      <c r="A1062" s="0" t="n">
        <v>64</v>
      </c>
      <c r="B1062" s="0" t="n">
        <v>2024</v>
      </c>
      <c r="C1062" s="3" t="n">
        <v>45513</v>
      </c>
      <c r="D1062" s="4" t="s">
        <v>42</v>
      </c>
      <c r="E1062" s="5" t="s">
        <v>60</v>
      </c>
      <c r="F1062" s="5" t="s">
        <v>47</v>
      </c>
      <c r="G1062" s="6"/>
      <c r="H1062" s="7" t="n">
        <v>60</v>
      </c>
      <c r="I1062" s="7" t="n">
        <v>65</v>
      </c>
      <c r="J1062" s="7" t="s">
        <v>84</v>
      </c>
      <c r="K1062" s="7" t="s">
        <v>84</v>
      </c>
      <c r="L1062" s="0" t="str">
        <f aca="false">IF(H1062&gt;I1062,"ERRO","OK")</f>
        <v>OK</v>
      </c>
      <c r="M1062" s="0" t="str">
        <f aca="false">IF(H1062&gt;J1062,"ERRO","OK")</f>
        <v>OK</v>
      </c>
      <c r="N1062" s="0" t="str">
        <f aca="false">IF(I1062&lt;J1062,"ERRO","OK")</f>
        <v>ERRO</v>
      </c>
    </row>
    <row r="1063" customFormat="false" ht="36.5" hidden="false" customHeight="false" outlineLevel="0" collapsed="false">
      <c r="A1063" s="0" t="n">
        <v>64</v>
      </c>
      <c r="B1063" s="0" t="n">
        <v>2024</v>
      </c>
      <c r="C1063" s="3" t="n">
        <v>45513</v>
      </c>
      <c r="D1063" s="8" t="s">
        <v>42</v>
      </c>
      <c r="E1063" s="9" t="s">
        <v>61</v>
      </c>
      <c r="F1063" s="9" t="s">
        <v>44</v>
      </c>
      <c r="G1063" s="11" t="n">
        <v>50</v>
      </c>
      <c r="H1063" s="11" t="n">
        <v>50</v>
      </c>
      <c r="I1063" s="11" t="n">
        <v>60</v>
      </c>
      <c r="J1063" s="11" t="s">
        <v>96</v>
      </c>
      <c r="K1063" s="11" t="s">
        <v>82</v>
      </c>
      <c r="L1063" s="0" t="str">
        <f aca="false">IF(H1063&gt;I1063,"ERRO","OK")</f>
        <v>OK</v>
      </c>
      <c r="M1063" s="0" t="str">
        <f aca="false">IF(H1063&gt;J1063,"ERRO","OK")</f>
        <v>OK</v>
      </c>
      <c r="N1063" s="0" t="str">
        <f aca="false">IF(I1063&lt;J1063,"ERRO","OK")</f>
        <v>ERRO</v>
      </c>
    </row>
    <row r="1064" customFormat="false" ht="36.5" hidden="false" customHeight="false" outlineLevel="0" collapsed="false">
      <c r="A1064" s="0" t="n">
        <v>64</v>
      </c>
      <c r="B1064" s="0" t="n">
        <v>2024</v>
      </c>
      <c r="C1064" s="3" t="n">
        <v>45513</v>
      </c>
      <c r="D1064" s="4" t="s">
        <v>42</v>
      </c>
      <c r="E1064" s="5" t="s">
        <v>62</v>
      </c>
      <c r="F1064" s="5" t="s">
        <v>44</v>
      </c>
      <c r="G1064" s="7" t="n">
        <v>80</v>
      </c>
      <c r="H1064" s="7" t="n">
        <v>70</v>
      </c>
      <c r="I1064" s="7" t="n">
        <v>80</v>
      </c>
      <c r="J1064" s="7" t="n">
        <v>77</v>
      </c>
      <c r="K1064" s="7" t="n">
        <v>80</v>
      </c>
      <c r="L1064" s="0" t="str">
        <f aca="false">IF(H1064&gt;I1064,"ERRO","OK")</f>
        <v>OK</v>
      </c>
      <c r="M1064" s="0" t="str">
        <f aca="false">IF(H1064&gt;J1064,"ERRO","OK")</f>
        <v>OK</v>
      </c>
      <c r="N1064" s="0" t="str">
        <f aca="false">IF(I1064&lt;J1064,"ERRO","OK")</f>
        <v>OK</v>
      </c>
    </row>
    <row r="1065" customFormat="false" ht="36.5" hidden="false" customHeight="false" outlineLevel="0" collapsed="false">
      <c r="A1065" s="0" t="n">
        <v>64</v>
      </c>
      <c r="B1065" s="0" t="n">
        <v>2024</v>
      </c>
      <c r="C1065" s="3" t="n">
        <v>45513</v>
      </c>
      <c r="D1065" s="8" t="s">
        <v>42</v>
      </c>
      <c r="E1065" s="9" t="s">
        <v>63</v>
      </c>
      <c r="F1065" s="9" t="s">
        <v>49</v>
      </c>
      <c r="G1065" s="11" t="n">
        <v>50</v>
      </c>
      <c r="H1065" s="11" t="n">
        <v>45</v>
      </c>
      <c r="I1065" s="11" t="n">
        <v>70</v>
      </c>
      <c r="J1065" s="11" t="n">
        <v>54</v>
      </c>
      <c r="K1065" s="11" t="n">
        <v>50</v>
      </c>
      <c r="L1065" s="0" t="str">
        <f aca="false">IF(H1065&gt;I1065,"ERRO","OK")</f>
        <v>OK</v>
      </c>
      <c r="M1065" s="0" t="str">
        <f aca="false">IF(H1065&gt;J1065,"ERRO","OK")</f>
        <v>OK</v>
      </c>
      <c r="N1065" s="0" t="str">
        <f aca="false">IF(I1065&lt;J1065,"ERRO","OK")</f>
        <v>OK</v>
      </c>
    </row>
    <row r="1066" customFormat="false" ht="36.5" hidden="false" customHeight="false" outlineLevel="0" collapsed="false">
      <c r="A1066" s="0" t="n">
        <v>64</v>
      </c>
      <c r="B1066" s="0" t="n">
        <v>2024</v>
      </c>
      <c r="C1066" s="3" t="n">
        <v>45513</v>
      </c>
      <c r="D1066" s="4" t="s">
        <v>42</v>
      </c>
      <c r="E1066" s="5" t="s">
        <v>64</v>
      </c>
      <c r="F1066" s="5" t="s">
        <v>65</v>
      </c>
      <c r="G1066" s="7" t="n">
        <v>110</v>
      </c>
      <c r="H1066" s="7" t="n">
        <v>100</v>
      </c>
      <c r="I1066" s="7" t="n">
        <v>155</v>
      </c>
      <c r="J1066" s="7" t="s">
        <v>298</v>
      </c>
      <c r="K1066" s="7" t="n">
        <v>110</v>
      </c>
      <c r="L1066" s="0" t="str">
        <f aca="false">IF(H1066&gt;I1066,"ERRO","OK")</f>
        <v>OK</v>
      </c>
      <c r="M1066" s="0" t="str">
        <f aca="false">IF(H1066&gt;J1066,"ERRO","OK")</f>
        <v>OK</v>
      </c>
      <c r="N1066" s="0" t="str">
        <f aca="false">IF(I1066&lt;J1066,"ERRO","OK")</f>
        <v>ERRO</v>
      </c>
    </row>
    <row r="1067" customFormat="false" ht="36.5" hidden="false" customHeight="false" outlineLevel="0" collapsed="false">
      <c r="A1067" s="0" t="n">
        <v>64</v>
      </c>
      <c r="B1067" s="0" t="n">
        <v>2024</v>
      </c>
      <c r="C1067" s="3" t="n">
        <v>45513</v>
      </c>
      <c r="D1067" s="8" t="s">
        <v>42</v>
      </c>
      <c r="E1067" s="9" t="s">
        <v>67</v>
      </c>
      <c r="F1067" s="9" t="s">
        <v>44</v>
      </c>
      <c r="G1067" s="11" t="n">
        <v>60</v>
      </c>
      <c r="H1067" s="11" t="n">
        <v>60</v>
      </c>
      <c r="I1067" s="11" t="n">
        <v>80</v>
      </c>
      <c r="J1067" s="11" t="n">
        <v>66</v>
      </c>
      <c r="K1067" s="11" t="n">
        <v>60</v>
      </c>
      <c r="L1067" s="0" t="str">
        <f aca="false">IF(H1067&gt;I1067,"ERRO","OK")</f>
        <v>OK</v>
      </c>
      <c r="M1067" s="0" t="str">
        <f aca="false">IF(H1067&gt;J1067,"ERRO","OK")</f>
        <v>OK</v>
      </c>
      <c r="N1067" s="0" t="str">
        <f aca="false">IF(I1067&lt;J1067,"ERRO","OK")</f>
        <v>OK</v>
      </c>
    </row>
    <row r="1068" customFormat="false" ht="36.5" hidden="false" customHeight="false" outlineLevel="0" collapsed="false">
      <c r="A1068" s="0" t="n">
        <v>64</v>
      </c>
      <c r="B1068" s="0" t="n">
        <v>2024</v>
      </c>
      <c r="C1068" s="3" t="n">
        <v>45513</v>
      </c>
      <c r="D1068" s="4" t="s">
        <v>42</v>
      </c>
      <c r="E1068" s="5" t="s">
        <v>68</v>
      </c>
      <c r="F1068" s="5" t="s">
        <v>44</v>
      </c>
      <c r="G1068" s="6"/>
      <c r="H1068" s="7" t="n">
        <v>150</v>
      </c>
      <c r="I1068" s="7" t="n">
        <v>160</v>
      </c>
      <c r="J1068" s="7" t="n">
        <v>155</v>
      </c>
      <c r="K1068" s="7" t="n">
        <v>155</v>
      </c>
      <c r="L1068" s="0" t="str">
        <f aca="false">IF(H1068&gt;I1068,"ERRO","OK")</f>
        <v>OK</v>
      </c>
      <c r="M1068" s="0" t="str">
        <f aca="false">IF(H1068&gt;J1068,"ERRO","OK")</f>
        <v>OK</v>
      </c>
      <c r="N1068" s="0" t="str">
        <f aca="false">IF(I1068&lt;J1068,"ERRO","OK")</f>
        <v>OK</v>
      </c>
    </row>
    <row r="1069" customFormat="false" ht="14.25" hidden="false" customHeight="false" outlineLevel="0" collapsed="false">
      <c r="A1069" s="0" t="n">
        <v>64</v>
      </c>
      <c r="B1069" s="0" t="n">
        <v>2024</v>
      </c>
      <c r="C1069" s="3" t="n">
        <v>45513</v>
      </c>
      <c r="D1069" s="8" t="s">
        <v>69</v>
      </c>
      <c r="E1069" s="9" t="s">
        <v>70</v>
      </c>
      <c r="F1069" s="9" t="s">
        <v>49</v>
      </c>
      <c r="G1069" s="10"/>
      <c r="H1069" s="10"/>
      <c r="I1069" s="10"/>
      <c r="J1069" s="10"/>
      <c r="K1069" s="10"/>
      <c r="L1069" s="0" t="str">
        <f aca="false">IF(H1069&gt;I1069,"ERRO","OK")</f>
        <v>OK</v>
      </c>
      <c r="M1069" s="0" t="str">
        <f aca="false">IF(H1069&gt;J1069,"ERRO","OK")</f>
        <v>OK</v>
      </c>
      <c r="N1069" s="0" t="str">
        <f aca="false">IF(I1069&lt;J1069,"ERRO","OK")</f>
        <v>OK</v>
      </c>
    </row>
    <row r="1070" customFormat="false" ht="14.25" hidden="false" customHeight="false" outlineLevel="0" collapsed="false">
      <c r="A1070" s="0" t="n">
        <v>64</v>
      </c>
      <c r="B1070" s="0" t="n">
        <v>2024</v>
      </c>
      <c r="C1070" s="3" t="n">
        <v>45513</v>
      </c>
      <c r="D1070" s="4" t="s">
        <v>69</v>
      </c>
      <c r="E1070" s="5" t="s">
        <v>71</v>
      </c>
      <c r="F1070" s="5" t="s">
        <v>49</v>
      </c>
      <c r="G1070" s="6"/>
      <c r="H1070" s="6"/>
      <c r="I1070" s="6"/>
      <c r="J1070" s="6"/>
      <c r="K1070" s="6"/>
      <c r="L1070" s="0" t="str">
        <f aca="false">IF(H1070&gt;I1070,"ERRO","OK")</f>
        <v>OK</v>
      </c>
      <c r="M1070" s="0" t="str">
        <f aca="false">IF(H1070&gt;J1070,"ERRO","OK")</f>
        <v>OK</v>
      </c>
      <c r="N1070" s="0" t="str">
        <f aca="false">IF(I1070&lt;J1070,"ERRO","OK")</f>
        <v>OK</v>
      </c>
    </row>
    <row r="1071" customFormat="false" ht="14.25" hidden="false" customHeight="false" outlineLevel="0" collapsed="false">
      <c r="A1071" s="0" t="n">
        <v>64</v>
      </c>
      <c r="B1071" s="0" t="n">
        <v>2024</v>
      </c>
      <c r="C1071" s="3" t="n">
        <v>45513</v>
      </c>
      <c r="D1071" s="8" t="s">
        <v>69</v>
      </c>
      <c r="E1071" s="9" t="s">
        <v>72</v>
      </c>
      <c r="F1071" s="9" t="s">
        <v>49</v>
      </c>
      <c r="G1071" s="10"/>
      <c r="H1071" s="10"/>
      <c r="I1071" s="10"/>
      <c r="J1071" s="10"/>
      <c r="K1071" s="10"/>
      <c r="L1071" s="0" t="str">
        <f aca="false">IF(H1071&gt;I1071,"ERRO","OK")</f>
        <v>OK</v>
      </c>
      <c r="M1071" s="0" t="str">
        <f aca="false">IF(H1071&gt;J1071,"ERRO","OK")</f>
        <v>OK</v>
      </c>
      <c r="N1071" s="0" t="str">
        <f aca="false">IF(I1071&lt;J1071,"ERRO","OK")</f>
        <v>OK</v>
      </c>
    </row>
    <row r="1072" customFormat="false" ht="14.25" hidden="false" customHeight="false" outlineLevel="0" collapsed="false">
      <c r="A1072" s="0" t="n">
        <v>64</v>
      </c>
      <c r="B1072" s="0" t="n">
        <v>2024</v>
      </c>
      <c r="C1072" s="3" t="n">
        <v>45513</v>
      </c>
      <c r="D1072" s="4" t="s">
        <v>69</v>
      </c>
      <c r="E1072" s="5" t="s">
        <v>73</v>
      </c>
      <c r="F1072" s="5" t="s">
        <v>49</v>
      </c>
      <c r="G1072" s="6"/>
      <c r="H1072" s="7" t="n">
        <v>60</v>
      </c>
      <c r="I1072" s="7" t="n">
        <v>60</v>
      </c>
      <c r="J1072" s="7" t="n">
        <v>60</v>
      </c>
      <c r="K1072" s="7" t="n">
        <v>60</v>
      </c>
      <c r="L1072" s="0" t="str">
        <f aca="false">IF(H1072&gt;I1072,"ERRO","OK")</f>
        <v>OK</v>
      </c>
      <c r="M1072" s="0" t="str">
        <f aca="false">IF(H1072&gt;J1072,"ERRO","OK")</f>
        <v>OK</v>
      </c>
      <c r="N1072" s="0" t="str">
        <f aca="false">IF(I1072&lt;J1072,"ERRO","OK")</f>
        <v>OK</v>
      </c>
    </row>
    <row r="1073" customFormat="false" ht="14.25" hidden="false" customHeight="false" outlineLevel="0" collapsed="false">
      <c r="A1073" s="0" t="n">
        <v>64</v>
      </c>
      <c r="B1073" s="0" t="n">
        <v>2024</v>
      </c>
      <c r="C1073" s="3" t="n">
        <v>45513</v>
      </c>
      <c r="D1073" s="8" t="s">
        <v>69</v>
      </c>
      <c r="E1073" s="9" t="s">
        <v>74</v>
      </c>
      <c r="F1073" s="9" t="s">
        <v>75</v>
      </c>
      <c r="G1073" s="10"/>
      <c r="H1073" s="10"/>
      <c r="I1073" s="10"/>
      <c r="J1073" s="10"/>
      <c r="K1073" s="10"/>
      <c r="L1073" s="0" t="str">
        <f aca="false">IF(H1073&gt;I1073,"ERRO","OK")</f>
        <v>OK</v>
      </c>
      <c r="M1073" s="0" t="str">
        <f aca="false">IF(H1073&gt;J1073,"ERRO","OK")</f>
        <v>OK</v>
      </c>
      <c r="N1073" s="0" t="str">
        <f aca="false">IF(I1073&lt;J1073,"ERRO","OK")</f>
        <v>OK</v>
      </c>
    </row>
    <row r="1074" customFormat="false" ht="25" hidden="false" customHeight="false" outlineLevel="0" collapsed="false">
      <c r="A1074" s="0" t="n">
        <v>65</v>
      </c>
      <c r="B1074" s="0" t="n">
        <v>2024</v>
      </c>
      <c r="C1074" s="3" t="n">
        <v>45520</v>
      </c>
      <c r="D1074" s="4" t="s">
        <v>15</v>
      </c>
      <c r="E1074" s="5" t="s">
        <v>16</v>
      </c>
      <c r="F1074" s="5" t="s">
        <v>17</v>
      </c>
      <c r="G1074" s="7" t="n">
        <v>48</v>
      </c>
      <c r="H1074" s="7" t="n">
        <v>48</v>
      </c>
      <c r="I1074" s="7" t="n">
        <v>80</v>
      </c>
      <c r="J1074" s="7" t="n">
        <v>56</v>
      </c>
      <c r="K1074" s="7" t="n">
        <v>48</v>
      </c>
      <c r="L1074" s="0" t="str">
        <f aca="false">IF(H1074&gt;I1074,"ERRO","OK")</f>
        <v>OK</v>
      </c>
      <c r="M1074" s="0" t="str">
        <f aca="false">IF(H1074&gt;J1074,"ERRO","OK")</f>
        <v>OK</v>
      </c>
      <c r="N1074" s="0" t="str">
        <f aca="false">IF(I1074&lt;J1074,"ERRO","OK")</f>
        <v>OK</v>
      </c>
    </row>
    <row r="1075" customFormat="false" ht="25" hidden="false" customHeight="false" outlineLevel="0" collapsed="false">
      <c r="A1075" s="0" t="n">
        <v>65</v>
      </c>
      <c r="B1075" s="0" t="n">
        <v>2024</v>
      </c>
      <c r="C1075" s="3" t="n">
        <v>45520</v>
      </c>
      <c r="D1075" s="8" t="s">
        <v>15</v>
      </c>
      <c r="E1075" s="9" t="s">
        <v>18</v>
      </c>
      <c r="F1075" s="9" t="s">
        <v>17</v>
      </c>
      <c r="G1075" s="11" t="n">
        <v>72</v>
      </c>
      <c r="H1075" s="11" t="n">
        <v>72</v>
      </c>
      <c r="I1075" s="11" t="n">
        <v>84</v>
      </c>
      <c r="J1075" s="11" t="n">
        <v>77</v>
      </c>
      <c r="K1075" s="11" t="n">
        <v>76</v>
      </c>
      <c r="L1075" s="0" t="str">
        <f aca="false">IF(H1075&gt;I1075,"ERRO","OK")</f>
        <v>OK</v>
      </c>
      <c r="M1075" s="0" t="str">
        <f aca="false">IF(H1075&gt;J1075,"ERRO","OK")</f>
        <v>OK</v>
      </c>
      <c r="N1075" s="0" t="str">
        <f aca="false">IF(I1075&lt;J1075,"ERRO","OK")</f>
        <v>OK</v>
      </c>
    </row>
    <row r="1076" customFormat="false" ht="25" hidden="false" customHeight="false" outlineLevel="0" collapsed="false">
      <c r="A1076" s="0" t="n">
        <v>65</v>
      </c>
      <c r="B1076" s="0" t="n">
        <v>2024</v>
      </c>
      <c r="C1076" s="3" t="n">
        <v>45520</v>
      </c>
      <c r="D1076" s="4" t="s">
        <v>15</v>
      </c>
      <c r="E1076" s="5" t="s">
        <v>19</v>
      </c>
      <c r="F1076" s="5" t="s">
        <v>17</v>
      </c>
      <c r="G1076" s="7" t="n">
        <v>36</v>
      </c>
      <c r="H1076" s="7" t="n">
        <v>30</v>
      </c>
      <c r="I1076" s="7" t="n">
        <v>142</v>
      </c>
      <c r="J1076" s="7" t="s">
        <v>299</v>
      </c>
      <c r="K1076" s="7" t="n">
        <v>36</v>
      </c>
      <c r="L1076" s="0" t="str">
        <f aca="false">IF(H1076&gt;I1076,"ERRO","OK")</f>
        <v>OK</v>
      </c>
      <c r="M1076" s="0" t="str">
        <f aca="false">IF(H1076&gt;J1076,"ERRO","OK")</f>
        <v>OK</v>
      </c>
      <c r="N1076" s="0" t="str">
        <f aca="false">IF(I1076&lt;J1076,"ERRO","OK")</f>
        <v>ERRO</v>
      </c>
    </row>
    <row r="1077" customFormat="false" ht="25" hidden="false" customHeight="false" outlineLevel="0" collapsed="false">
      <c r="A1077" s="0" t="n">
        <v>65</v>
      </c>
      <c r="B1077" s="0" t="n">
        <v>2024</v>
      </c>
      <c r="C1077" s="3" t="n">
        <v>45520</v>
      </c>
      <c r="D1077" s="8" t="s">
        <v>15</v>
      </c>
      <c r="E1077" s="9" t="s">
        <v>20</v>
      </c>
      <c r="F1077" s="9" t="s">
        <v>17</v>
      </c>
      <c r="G1077" s="11" t="n">
        <v>24</v>
      </c>
      <c r="H1077" s="11" t="n">
        <v>18</v>
      </c>
      <c r="I1077" s="11" t="n">
        <v>36</v>
      </c>
      <c r="J1077" s="11" t="s">
        <v>286</v>
      </c>
      <c r="K1077" s="11" t="n">
        <v>24</v>
      </c>
      <c r="L1077" s="0" t="str">
        <f aca="false">IF(H1077&gt;I1077,"ERRO","OK")</f>
        <v>OK</v>
      </c>
      <c r="M1077" s="0" t="str">
        <f aca="false">IF(H1077&gt;J1077,"ERRO","OK")</f>
        <v>OK</v>
      </c>
      <c r="N1077" s="0" t="str">
        <f aca="false">IF(I1077&lt;J1077,"ERRO","OK")</f>
        <v>ERRO</v>
      </c>
    </row>
    <row r="1078" customFormat="false" ht="25" hidden="false" customHeight="false" outlineLevel="0" collapsed="false">
      <c r="A1078" s="0" t="n">
        <v>65</v>
      </c>
      <c r="B1078" s="0" t="n">
        <v>2024</v>
      </c>
      <c r="C1078" s="3" t="n">
        <v>45520</v>
      </c>
      <c r="D1078" s="4" t="s">
        <v>15</v>
      </c>
      <c r="E1078" s="5" t="s">
        <v>21</v>
      </c>
      <c r="F1078" s="5" t="s">
        <v>17</v>
      </c>
      <c r="G1078" s="7" t="n">
        <v>24</v>
      </c>
      <c r="H1078" s="7" t="n">
        <v>18</v>
      </c>
      <c r="I1078" s="7" t="n">
        <v>24</v>
      </c>
      <c r="J1078" s="7" t="s">
        <v>285</v>
      </c>
      <c r="K1078" s="7" t="n">
        <v>24</v>
      </c>
      <c r="L1078" s="0" t="str">
        <f aca="false">IF(H1078&gt;I1078,"ERRO","OK")</f>
        <v>OK</v>
      </c>
      <c r="M1078" s="0" t="str">
        <f aca="false">IF(H1078&gt;J1078,"ERRO","OK")</f>
        <v>OK</v>
      </c>
      <c r="N1078" s="0" t="str">
        <f aca="false">IF(I1078&lt;J1078,"ERRO","OK")</f>
        <v>ERRO</v>
      </c>
    </row>
    <row r="1079" customFormat="false" ht="25" hidden="false" customHeight="false" outlineLevel="0" collapsed="false">
      <c r="A1079" s="0" t="n">
        <v>65</v>
      </c>
      <c r="B1079" s="0" t="n">
        <v>2024</v>
      </c>
      <c r="C1079" s="3" t="n">
        <v>45520</v>
      </c>
      <c r="D1079" s="8" t="s">
        <v>15</v>
      </c>
      <c r="E1079" s="9" t="s">
        <v>22</v>
      </c>
      <c r="F1079" s="9" t="s">
        <v>17</v>
      </c>
      <c r="G1079" s="11" t="n">
        <v>60</v>
      </c>
      <c r="H1079" s="11" t="n">
        <v>60</v>
      </c>
      <c r="I1079" s="11" t="n">
        <v>60</v>
      </c>
      <c r="J1079" s="11" t="n">
        <v>60</v>
      </c>
      <c r="K1079" s="11" t="n">
        <v>60</v>
      </c>
      <c r="L1079" s="0" t="str">
        <f aca="false">IF(H1079&gt;I1079,"ERRO","OK")</f>
        <v>OK</v>
      </c>
      <c r="M1079" s="0" t="str">
        <f aca="false">IF(H1079&gt;J1079,"ERRO","OK")</f>
        <v>OK</v>
      </c>
      <c r="N1079" s="0" t="str">
        <f aca="false">IF(I1079&lt;J1079,"ERRO","OK")</f>
        <v>OK</v>
      </c>
    </row>
    <row r="1080" customFormat="false" ht="25" hidden="false" customHeight="false" outlineLevel="0" collapsed="false">
      <c r="A1080" s="0" t="n">
        <v>65</v>
      </c>
      <c r="B1080" s="0" t="n">
        <v>2024</v>
      </c>
      <c r="C1080" s="3" t="n">
        <v>45520</v>
      </c>
      <c r="D1080" s="4" t="s">
        <v>15</v>
      </c>
      <c r="E1080" s="5" t="s">
        <v>23</v>
      </c>
      <c r="F1080" s="5" t="s">
        <v>17</v>
      </c>
      <c r="G1080" s="7" t="n">
        <v>72</v>
      </c>
      <c r="H1080" s="7" t="n">
        <v>60</v>
      </c>
      <c r="I1080" s="7" t="n">
        <v>84</v>
      </c>
      <c r="J1080" s="7" t="n">
        <v>72</v>
      </c>
      <c r="K1080" s="7" t="n">
        <v>72</v>
      </c>
      <c r="L1080" s="0" t="str">
        <f aca="false">IF(H1080&gt;I1080,"ERRO","OK")</f>
        <v>OK</v>
      </c>
      <c r="M1080" s="0" t="str">
        <f aca="false">IF(H1080&gt;J1080,"ERRO","OK")</f>
        <v>OK</v>
      </c>
      <c r="N1080" s="0" t="str">
        <f aca="false">IF(I1080&lt;J1080,"ERRO","OK")</f>
        <v>OK</v>
      </c>
    </row>
    <row r="1081" customFormat="false" ht="25" hidden="false" customHeight="false" outlineLevel="0" collapsed="false">
      <c r="A1081" s="0" t="n">
        <v>65</v>
      </c>
      <c r="B1081" s="0" t="n">
        <v>2024</v>
      </c>
      <c r="C1081" s="3" t="n">
        <v>45520</v>
      </c>
      <c r="D1081" s="8" t="s">
        <v>15</v>
      </c>
      <c r="E1081" s="9" t="s">
        <v>24</v>
      </c>
      <c r="F1081" s="9" t="s">
        <v>17</v>
      </c>
      <c r="G1081" s="11" t="n">
        <v>84</v>
      </c>
      <c r="H1081" s="11" t="n">
        <v>60</v>
      </c>
      <c r="I1081" s="11" t="n">
        <v>84</v>
      </c>
      <c r="J1081" s="11" t="s">
        <v>284</v>
      </c>
      <c r="K1081" s="11" t="n">
        <v>72</v>
      </c>
      <c r="L1081" s="0" t="str">
        <f aca="false">IF(H1081&gt;I1081,"ERRO","OK")</f>
        <v>OK</v>
      </c>
      <c r="M1081" s="0" t="str">
        <f aca="false">IF(H1081&gt;J1081,"ERRO","OK")</f>
        <v>OK</v>
      </c>
      <c r="N1081" s="0" t="str">
        <f aca="false">IF(I1081&lt;J1081,"ERRO","OK")</f>
        <v>ERRO</v>
      </c>
    </row>
    <row r="1082" customFormat="false" ht="25" hidden="false" customHeight="false" outlineLevel="0" collapsed="false">
      <c r="A1082" s="0" t="n">
        <v>65</v>
      </c>
      <c r="B1082" s="0" t="n">
        <v>2024</v>
      </c>
      <c r="C1082" s="3" t="n">
        <v>45520</v>
      </c>
      <c r="D1082" s="4" t="s">
        <v>15</v>
      </c>
      <c r="E1082" s="5" t="s">
        <v>25</v>
      </c>
      <c r="F1082" s="5" t="s">
        <v>17</v>
      </c>
      <c r="G1082" s="7" t="n">
        <v>24</v>
      </c>
      <c r="H1082" s="7" t="n">
        <v>18</v>
      </c>
      <c r="I1082" s="7" t="n">
        <v>25</v>
      </c>
      <c r="J1082" s="7" t="s">
        <v>300</v>
      </c>
      <c r="K1082" s="7" t="n">
        <v>24</v>
      </c>
      <c r="L1082" s="0" t="str">
        <f aca="false">IF(H1082&gt;I1082,"ERRO","OK")</f>
        <v>OK</v>
      </c>
      <c r="M1082" s="0" t="str">
        <f aca="false">IF(H1082&gt;J1082,"ERRO","OK")</f>
        <v>OK</v>
      </c>
      <c r="N1082" s="0" t="str">
        <f aca="false">IF(I1082&lt;J1082,"ERRO","OK")</f>
        <v>ERRO</v>
      </c>
    </row>
    <row r="1083" customFormat="false" ht="25" hidden="false" customHeight="false" outlineLevel="0" collapsed="false">
      <c r="A1083" s="0" t="n">
        <v>65</v>
      </c>
      <c r="B1083" s="0" t="n">
        <v>2024</v>
      </c>
      <c r="C1083" s="3" t="n">
        <v>45520</v>
      </c>
      <c r="D1083" s="8" t="s">
        <v>15</v>
      </c>
      <c r="E1083" s="9" t="s">
        <v>77</v>
      </c>
      <c r="F1083" s="9" t="s">
        <v>17</v>
      </c>
      <c r="G1083" s="11" t="n">
        <v>72</v>
      </c>
      <c r="H1083" s="11" t="n">
        <v>72</v>
      </c>
      <c r="I1083" s="11" t="n">
        <v>84</v>
      </c>
      <c r="J1083" s="11" t="n">
        <v>75</v>
      </c>
      <c r="K1083" s="11" t="n">
        <v>72</v>
      </c>
      <c r="L1083" s="0" t="str">
        <f aca="false">IF(H1083&gt;I1083,"ERRO","OK")</f>
        <v>OK</v>
      </c>
      <c r="M1083" s="0" t="str">
        <f aca="false">IF(H1083&gt;J1083,"ERRO","OK")</f>
        <v>OK</v>
      </c>
      <c r="N1083" s="0" t="str">
        <f aca="false">IF(I1083&lt;J1083,"ERRO","OK")</f>
        <v>OK</v>
      </c>
    </row>
    <row r="1084" customFormat="false" ht="25" hidden="false" customHeight="false" outlineLevel="0" collapsed="false">
      <c r="A1084" s="0" t="n">
        <v>65</v>
      </c>
      <c r="B1084" s="0" t="n">
        <v>2024</v>
      </c>
      <c r="C1084" s="3" t="n">
        <v>45520</v>
      </c>
      <c r="D1084" s="4" t="s">
        <v>15</v>
      </c>
      <c r="E1084" s="5" t="s">
        <v>27</v>
      </c>
      <c r="F1084" s="5" t="s">
        <v>17</v>
      </c>
      <c r="G1084" s="7" t="n">
        <v>24</v>
      </c>
      <c r="H1084" s="7" t="n">
        <v>18</v>
      </c>
      <c r="I1084" s="7" t="n">
        <v>24</v>
      </c>
      <c r="J1084" s="7" t="s">
        <v>285</v>
      </c>
      <c r="K1084" s="7" t="n">
        <v>24</v>
      </c>
      <c r="L1084" s="0" t="str">
        <f aca="false">IF(H1084&gt;I1084,"ERRO","OK")</f>
        <v>OK</v>
      </c>
      <c r="M1084" s="0" t="str">
        <f aca="false">IF(H1084&gt;J1084,"ERRO","OK")</f>
        <v>OK</v>
      </c>
      <c r="N1084" s="0" t="str">
        <f aca="false">IF(I1084&lt;J1084,"ERRO","OK")</f>
        <v>ERRO</v>
      </c>
    </row>
    <row r="1085" customFormat="false" ht="25" hidden="false" customHeight="false" outlineLevel="0" collapsed="false">
      <c r="A1085" s="0" t="n">
        <v>65</v>
      </c>
      <c r="B1085" s="0" t="n">
        <v>2024</v>
      </c>
      <c r="C1085" s="3" t="n">
        <v>45520</v>
      </c>
      <c r="D1085" s="8" t="s">
        <v>15</v>
      </c>
      <c r="E1085" s="9" t="s">
        <v>28</v>
      </c>
      <c r="F1085" s="9" t="s">
        <v>17</v>
      </c>
      <c r="G1085" s="11" t="n">
        <v>60</v>
      </c>
      <c r="H1085" s="11" t="n">
        <v>60</v>
      </c>
      <c r="I1085" s="11" t="n">
        <v>72</v>
      </c>
      <c r="J1085" s="11" t="n">
        <v>63</v>
      </c>
      <c r="K1085" s="11" t="n">
        <v>60</v>
      </c>
      <c r="L1085" s="0" t="str">
        <f aca="false">IF(H1085&gt;I1085,"ERRO","OK")</f>
        <v>OK</v>
      </c>
      <c r="M1085" s="0" t="str">
        <f aca="false">IF(H1085&gt;J1085,"ERRO","OK")</f>
        <v>OK</v>
      </c>
      <c r="N1085" s="0" t="str">
        <f aca="false">IF(I1085&lt;J1085,"ERRO","OK")</f>
        <v>OK</v>
      </c>
    </row>
    <row r="1086" customFormat="false" ht="25" hidden="false" customHeight="false" outlineLevel="0" collapsed="false">
      <c r="A1086" s="0" t="n">
        <v>65</v>
      </c>
      <c r="B1086" s="0" t="n">
        <v>2024</v>
      </c>
      <c r="C1086" s="3" t="n">
        <v>45520</v>
      </c>
      <c r="D1086" s="4" t="s">
        <v>15</v>
      </c>
      <c r="E1086" s="5" t="s">
        <v>29</v>
      </c>
      <c r="F1086" s="5" t="s">
        <v>30</v>
      </c>
      <c r="G1086" s="7" t="n">
        <v>60</v>
      </c>
      <c r="H1086" s="7" t="n">
        <v>48</v>
      </c>
      <c r="I1086" s="7" t="n">
        <v>60</v>
      </c>
      <c r="J1086" s="7" t="s">
        <v>301</v>
      </c>
      <c r="K1086" s="7" t="n">
        <v>60</v>
      </c>
      <c r="L1086" s="0" t="str">
        <f aca="false">IF(H1086&gt;I1086,"ERRO","OK")</f>
        <v>OK</v>
      </c>
      <c r="M1086" s="0" t="str">
        <f aca="false">IF(H1086&gt;J1086,"ERRO","OK")</f>
        <v>OK</v>
      </c>
      <c r="N1086" s="0" t="str">
        <f aca="false">IF(I1086&lt;J1086,"ERRO","OK")</f>
        <v>ERRO</v>
      </c>
    </row>
    <row r="1087" customFormat="false" ht="25" hidden="false" customHeight="false" outlineLevel="0" collapsed="false">
      <c r="A1087" s="0" t="n">
        <v>65</v>
      </c>
      <c r="B1087" s="0" t="n">
        <v>2024</v>
      </c>
      <c r="C1087" s="3" t="n">
        <v>45520</v>
      </c>
      <c r="D1087" s="8" t="s">
        <v>15</v>
      </c>
      <c r="E1087" s="9" t="s">
        <v>31</v>
      </c>
      <c r="F1087" s="9" t="s">
        <v>17</v>
      </c>
      <c r="G1087" s="11" t="n">
        <v>48</v>
      </c>
      <c r="H1087" s="11" t="n">
        <v>45</v>
      </c>
      <c r="I1087" s="11" t="n">
        <v>72</v>
      </c>
      <c r="J1087" s="11" t="s">
        <v>302</v>
      </c>
      <c r="K1087" s="11" t="n">
        <v>48</v>
      </c>
      <c r="L1087" s="0" t="str">
        <f aca="false">IF(H1087&gt;I1087,"ERRO","OK")</f>
        <v>OK</v>
      </c>
      <c r="M1087" s="0" t="str">
        <f aca="false">IF(H1087&gt;J1087,"ERRO","OK")</f>
        <v>OK</v>
      </c>
      <c r="N1087" s="0" t="str">
        <f aca="false">IF(I1087&lt;J1087,"ERRO","OK")</f>
        <v>ERRO</v>
      </c>
    </row>
    <row r="1088" customFormat="false" ht="25" hidden="false" customHeight="false" outlineLevel="0" collapsed="false">
      <c r="A1088" s="0" t="n">
        <v>65</v>
      </c>
      <c r="B1088" s="0" t="n">
        <v>2024</v>
      </c>
      <c r="C1088" s="3" t="n">
        <v>45520</v>
      </c>
      <c r="D1088" s="4" t="s">
        <v>15</v>
      </c>
      <c r="E1088" s="5" t="s">
        <v>32</v>
      </c>
      <c r="F1088" s="5" t="s">
        <v>17</v>
      </c>
      <c r="G1088" s="7" t="n">
        <v>40</v>
      </c>
      <c r="H1088" s="7" t="n">
        <v>36</v>
      </c>
      <c r="I1088" s="7" t="n">
        <v>42</v>
      </c>
      <c r="J1088" s="7" t="s">
        <v>303</v>
      </c>
      <c r="K1088" s="7" t="n">
        <v>40</v>
      </c>
      <c r="L1088" s="0" t="str">
        <f aca="false">IF(H1088&gt;I1088,"ERRO","OK")</f>
        <v>OK</v>
      </c>
      <c r="M1088" s="0" t="str">
        <f aca="false">IF(H1088&gt;J1088,"ERRO","OK")</f>
        <v>OK</v>
      </c>
      <c r="N1088" s="0" t="str">
        <f aca="false">IF(I1088&lt;J1088,"ERRO","OK")</f>
        <v>ERRO</v>
      </c>
    </row>
    <row r="1089" customFormat="false" ht="25" hidden="false" customHeight="false" outlineLevel="0" collapsed="false">
      <c r="A1089" s="0" t="n">
        <v>65</v>
      </c>
      <c r="B1089" s="0" t="n">
        <v>2024</v>
      </c>
      <c r="C1089" s="3" t="n">
        <v>45520</v>
      </c>
      <c r="D1089" s="8" t="s">
        <v>15</v>
      </c>
      <c r="E1089" s="9" t="s">
        <v>33</v>
      </c>
      <c r="F1089" s="9" t="s">
        <v>17</v>
      </c>
      <c r="G1089" s="11" t="n">
        <v>48</v>
      </c>
      <c r="H1089" s="11" t="n">
        <v>48</v>
      </c>
      <c r="I1089" s="11" t="n">
        <v>54</v>
      </c>
      <c r="J1089" s="11" t="s">
        <v>304</v>
      </c>
      <c r="K1089" s="11" t="n">
        <v>48</v>
      </c>
      <c r="L1089" s="0" t="str">
        <f aca="false">IF(H1089&gt;I1089,"ERRO","OK")</f>
        <v>OK</v>
      </c>
      <c r="M1089" s="0" t="str">
        <f aca="false">IF(H1089&gt;J1089,"ERRO","OK")</f>
        <v>OK</v>
      </c>
      <c r="N1089" s="0" t="str">
        <f aca="false">IF(I1089&lt;J1089,"ERRO","OK")</f>
        <v>ERRO</v>
      </c>
    </row>
    <row r="1090" customFormat="false" ht="25" hidden="false" customHeight="false" outlineLevel="0" collapsed="false">
      <c r="A1090" s="0" t="n">
        <v>65</v>
      </c>
      <c r="B1090" s="0" t="n">
        <v>2024</v>
      </c>
      <c r="C1090" s="3" t="n">
        <v>45520</v>
      </c>
      <c r="D1090" s="4" t="s">
        <v>15</v>
      </c>
      <c r="E1090" s="5" t="s">
        <v>35</v>
      </c>
      <c r="F1090" s="5" t="s">
        <v>36</v>
      </c>
      <c r="G1090" s="7" t="n">
        <v>48</v>
      </c>
      <c r="H1090" s="7" t="n">
        <v>48</v>
      </c>
      <c r="I1090" s="7" t="n">
        <v>80</v>
      </c>
      <c r="J1090" s="7" t="n">
        <v>56</v>
      </c>
      <c r="K1090" s="7" t="n">
        <v>48</v>
      </c>
      <c r="L1090" s="0" t="str">
        <f aca="false">IF(H1090&gt;I1090,"ERRO","OK")</f>
        <v>OK</v>
      </c>
      <c r="M1090" s="0" t="str">
        <f aca="false">IF(H1090&gt;J1090,"ERRO","OK")</f>
        <v>OK</v>
      </c>
      <c r="N1090" s="0" t="str">
        <f aca="false">IF(I1090&lt;J1090,"ERRO","OK")</f>
        <v>OK</v>
      </c>
    </row>
    <row r="1091" customFormat="false" ht="25" hidden="false" customHeight="false" outlineLevel="0" collapsed="false">
      <c r="A1091" s="0" t="n">
        <v>65</v>
      </c>
      <c r="B1091" s="0" t="n">
        <v>2024</v>
      </c>
      <c r="C1091" s="3" t="n">
        <v>45520</v>
      </c>
      <c r="D1091" s="8" t="s">
        <v>15</v>
      </c>
      <c r="E1091" s="9" t="s">
        <v>38</v>
      </c>
      <c r="F1091" s="9" t="s">
        <v>39</v>
      </c>
      <c r="G1091" s="11" t="n">
        <v>72</v>
      </c>
      <c r="H1091" s="11" t="n">
        <v>72</v>
      </c>
      <c r="I1091" s="11" t="n">
        <v>84</v>
      </c>
      <c r="J1091" s="11" t="n">
        <v>77</v>
      </c>
      <c r="K1091" s="11" t="n">
        <v>76</v>
      </c>
      <c r="L1091" s="0" t="str">
        <f aca="false">IF(H1091&gt;I1091,"ERRO","OK")</f>
        <v>OK</v>
      </c>
      <c r="M1091" s="0" t="str">
        <f aca="false">IF(H1091&gt;J1091,"ERRO","OK")</f>
        <v>OK</v>
      </c>
      <c r="N1091" s="0" t="str">
        <f aca="false">IF(I1091&lt;J1091,"ERRO","OK")</f>
        <v>OK</v>
      </c>
    </row>
    <row r="1092" customFormat="false" ht="25" hidden="false" customHeight="false" outlineLevel="0" collapsed="false">
      <c r="A1092" s="0" t="n">
        <v>65</v>
      </c>
      <c r="B1092" s="0" t="n">
        <v>2024</v>
      </c>
      <c r="C1092" s="3" t="n">
        <v>45520</v>
      </c>
      <c r="D1092" s="4" t="s">
        <v>15</v>
      </c>
      <c r="E1092" s="5" t="s">
        <v>40</v>
      </c>
      <c r="F1092" s="5" t="s">
        <v>39</v>
      </c>
      <c r="G1092" s="7" t="n">
        <v>36</v>
      </c>
      <c r="H1092" s="7" t="n">
        <v>30</v>
      </c>
      <c r="I1092" s="7" t="n">
        <v>142</v>
      </c>
      <c r="J1092" s="7" t="s">
        <v>299</v>
      </c>
      <c r="K1092" s="7" t="n">
        <v>36</v>
      </c>
      <c r="L1092" s="0" t="str">
        <f aca="false">IF(H1092&gt;I1092,"ERRO","OK")</f>
        <v>OK</v>
      </c>
      <c r="M1092" s="0" t="str">
        <f aca="false">IF(H1092&gt;J1092,"ERRO","OK")</f>
        <v>OK</v>
      </c>
      <c r="N1092" s="0" t="str">
        <f aca="false">IF(I1092&lt;J1092,"ERRO","OK")</f>
        <v>ERRO</v>
      </c>
    </row>
    <row r="1093" customFormat="false" ht="36.5" hidden="false" customHeight="false" outlineLevel="0" collapsed="false">
      <c r="A1093" s="0" t="n">
        <v>65</v>
      </c>
      <c r="B1093" s="0" t="n">
        <v>2024</v>
      </c>
      <c r="C1093" s="3" t="n">
        <v>45520</v>
      </c>
      <c r="D1093" s="8" t="s">
        <v>42</v>
      </c>
      <c r="E1093" s="9" t="s">
        <v>157</v>
      </c>
      <c r="F1093" s="9" t="s">
        <v>158</v>
      </c>
      <c r="G1093" s="10"/>
      <c r="H1093" s="11" t="n">
        <v>70</v>
      </c>
      <c r="I1093" s="11" t="n">
        <v>70</v>
      </c>
      <c r="J1093" s="11" t="n">
        <v>70</v>
      </c>
      <c r="K1093" s="11" t="n">
        <v>70</v>
      </c>
      <c r="L1093" s="0" t="str">
        <f aca="false">IF(H1093&gt;I1093,"ERRO","OK")</f>
        <v>OK</v>
      </c>
      <c r="M1093" s="0" t="str">
        <f aca="false">IF(H1093&gt;J1093,"ERRO","OK")</f>
        <v>OK</v>
      </c>
      <c r="N1093" s="0" t="str">
        <f aca="false">IF(I1093&lt;J1093,"ERRO","OK")</f>
        <v>OK</v>
      </c>
    </row>
    <row r="1094" customFormat="false" ht="36.5" hidden="false" customHeight="false" outlineLevel="0" collapsed="false">
      <c r="A1094" s="0" t="n">
        <v>65</v>
      </c>
      <c r="B1094" s="0" t="n">
        <v>2024</v>
      </c>
      <c r="C1094" s="3" t="n">
        <v>45520</v>
      </c>
      <c r="D1094" s="4" t="s">
        <v>42</v>
      </c>
      <c r="E1094" s="5" t="s">
        <v>43</v>
      </c>
      <c r="F1094" s="5" t="s">
        <v>44</v>
      </c>
      <c r="G1094" s="7" t="n">
        <v>80</v>
      </c>
      <c r="H1094" s="7" t="n">
        <v>70</v>
      </c>
      <c r="I1094" s="7" t="n">
        <v>80</v>
      </c>
      <c r="J1094" s="7" t="n">
        <v>75</v>
      </c>
      <c r="K1094" s="7" t="n">
        <v>75</v>
      </c>
      <c r="L1094" s="0" t="str">
        <f aca="false">IF(H1094&gt;I1094,"ERRO","OK")</f>
        <v>OK</v>
      </c>
      <c r="M1094" s="0" t="str">
        <f aca="false">IF(H1094&gt;J1094,"ERRO","OK")</f>
        <v>OK</v>
      </c>
      <c r="N1094" s="0" t="str">
        <f aca="false">IF(I1094&lt;J1094,"ERRO","OK")</f>
        <v>OK</v>
      </c>
    </row>
    <row r="1095" customFormat="false" ht="36.5" hidden="false" customHeight="false" outlineLevel="0" collapsed="false">
      <c r="A1095" s="0" t="n">
        <v>65</v>
      </c>
      <c r="B1095" s="0" t="n">
        <v>2024</v>
      </c>
      <c r="C1095" s="3" t="n">
        <v>45520</v>
      </c>
      <c r="D1095" s="8" t="s">
        <v>42</v>
      </c>
      <c r="E1095" s="9" t="s">
        <v>46</v>
      </c>
      <c r="F1095" s="9" t="s">
        <v>47</v>
      </c>
      <c r="G1095" s="11" t="n">
        <v>70</v>
      </c>
      <c r="H1095" s="11" t="n">
        <v>30</v>
      </c>
      <c r="I1095" s="11" t="n">
        <v>70</v>
      </c>
      <c r="J1095" s="11" t="n">
        <v>53</v>
      </c>
      <c r="K1095" s="11" t="n">
        <v>50</v>
      </c>
      <c r="L1095" s="0" t="str">
        <f aca="false">IF(H1095&gt;I1095,"ERRO","OK")</f>
        <v>OK</v>
      </c>
      <c r="M1095" s="0" t="str">
        <f aca="false">IF(H1095&gt;J1095,"ERRO","OK")</f>
        <v>OK</v>
      </c>
      <c r="N1095" s="0" t="str">
        <f aca="false">IF(I1095&lt;J1095,"ERRO","OK")</f>
        <v>OK</v>
      </c>
    </row>
    <row r="1096" customFormat="false" ht="36.5" hidden="false" customHeight="false" outlineLevel="0" collapsed="false">
      <c r="A1096" s="0" t="n">
        <v>65</v>
      </c>
      <c r="B1096" s="0" t="n">
        <v>2024</v>
      </c>
      <c r="C1096" s="3" t="n">
        <v>45520</v>
      </c>
      <c r="D1096" s="4" t="s">
        <v>42</v>
      </c>
      <c r="E1096" s="5" t="s">
        <v>48</v>
      </c>
      <c r="F1096" s="5" t="s">
        <v>49</v>
      </c>
      <c r="G1096" s="7" t="n">
        <v>50</v>
      </c>
      <c r="H1096" s="7" t="n">
        <v>45</v>
      </c>
      <c r="I1096" s="7" t="n">
        <v>60</v>
      </c>
      <c r="J1096" s="7" t="s">
        <v>258</v>
      </c>
      <c r="K1096" s="7" t="n">
        <v>50</v>
      </c>
      <c r="L1096" s="0" t="str">
        <f aca="false">IF(H1096&gt;I1096,"ERRO","OK")</f>
        <v>OK</v>
      </c>
      <c r="M1096" s="0" t="str">
        <f aca="false">IF(H1096&gt;J1096,"ERRO","OK")</f>
        <v>OK</v>
      </c>
      <c r="N1096" s="0" t="str">
        <f aca="false">IF(I1096&lt;J1096,"ERRO","OK")</f>
        <v>ERRO</v>
      </c>
    </row>
    <row r="1097" customFormat="false" ht="36.5" hidden="false" customHeight="false" outlineLevel="0" collapsed="false">
      <c r="A1097" s="0" t="n">
        <v>65</v>
      </c>
      <c r="B1097" s="0" t="n">
        <v>2024</v>
      </c>
      <c r="C1097" s="3" t="n">
        <v>45520</v>
      </c>
      <c r="D1097" s="8" t="s">
        <v>42</v>
      </c>
      <c r="E1097" s="9" t="s">
        <v>52</v>
      </c>
      <c r="F1097" s="9" t="s">
        <v>49</v>
      </c>
      <c r="G1097" s="10"/>
      <c r="H1097" s="11" t="n">
        <v>90</v>
      </c>
      <c r="I1097" s="11" t="n">
        <v>100</v>
      </c>
      <c r="J1097" s="11" t="n">
        <v>95</v>
      </c>
      <c r="K1097" s="11" t="n">
        <v>95</v>
      </c>
      <c r="L1097" s="0" t="str">
        <f aca="false">IF(H1097&gt;I1097,"ERRO","OK")</f>
        <v>OK</v>
      </c>
      <c r="M1097" s="0" t="str">
        <f aca="false">IF(H1097&gt;J1097,"ERRO","OK")</f>
        <v>OK</v>
      </c>
      <c r="N1097" s="0" t="str">
        <f aca="false">IF(I1097&lt;J1097,"ERRO","OK")</f>
        <v>OK</v>
      </c>
    </row>
    <row r="1098" customFormat="false" ht="36.5" hidden="false" customHeight="false" outlineLevel="0" collapsed="false">
      <c r="A1098" s="0" t="n">
        <v>65</v>
      </c>
      <c r="B1098" s="0" t="n">
        <v>2024</v>
      </c>
      <c r="C1098" s="3" t="n">
        <v>45520</v>
      </c>
      <c r="D1098" s="4" t="s">
        <v>42</v>
      </c>
      <c r="E1098" s="5" t="s">
        <v>53</v>
      </c>
      <c r="F1098" s="5" t="s">
        <v>54</v>
      </c>
      <c r="G1098" s="7" t="n">
        <v>70</v>
      </c>
      <c r="H1098" s="7" t="n">
        <v>60</v>
      </c>
      <c r="I1098" s="7" t="n">
        <v>70</v>
      </c>
      <c r="J1098" s="7" t="n">
        <v>65</v>
      </c>
      <c r="K1098" s="7" t="n">
        <v>65</v>
      </c>
      <c r="L1098" s="0" t="str">
        <f aca="false">IF(H1098&gt;I1098,"ERRO","OK")</f>
        <v>OK</v>
      </c>
      <c r="M1098" s="0" t="str">
        <f aca="false">IF(H1098&gt;J1098,"ERRO","OK")</f>
        <v>OK</v>
      </c>
      <c r="N1098" s="0" t="str">
        <f aca="false">IF(I1098&lt;J1098,"ERRO","OK")</f>
        <v>OK</v>
      </c>
    </row>
    <row r="1099" customFormat="false" ht="36.5" hidden="false" customHeight="false" outlineLevel="0" collapsed="false">
      <c r="A1099" s="0" t="n">
        <v>65</v>
      </c>
      <c r="B1099" s="0" t="n">
        <v>2024</v>
      </c>
      <c r="C1099" s="3" t="n">
        <v>45520</v>
      </c>
      <c r="D1099" s="8" t="s">
        <v>42</v>
      </c>
      <c r="E1099" s="9" t="s">
        <v>56</v>
      </c>
      <c r="F1099" s="9" t="s">
        <v>47</v>
      </c>
      <c r="G1099" s="11" t="n">
        <v>60</v>
      </c>
      <c r="H1099" s="11" t="n">
        <v>45</v>
      </c>
      <c r="I1099" s="11" t="n">
        <v>60</v>
      </c>
      <c r="J1099" s="11" t="s">
        <v>96</v>
      </c>
      <c r="K1099" s="11" t="n">
        <v>55</v>
      </c>
      <c r="L1099" s="0" t="str">
        <f aca="false">IF(H1099&gt;I1099,"ERRO","OK")</f>
        <v>OK</v>
      </c>
      <c r="M1099" s="0" t="str">
        <f aca="false">IF(H1099&gt;J1099,"ERRO","OK")</f>
        <v>OK</v>
      </c>
      <c r="N1099" s="0" t="str">
        <f aca="false">IF(I1099&lt;J1099,"ERRO","OK")</f>
        <v>ERRO</v>
      </c>
    </row>
    <row r="1100" customFormat="false" ht="36.5" hidden="false" customHeight="false" outlineLevel="0" collapsed="false">
      <c r="A1100" s="0" t="n">
        <v>65</v>
      </c>
      <c r="B1100" s="0" t="n">
        <v>2024</v>
      </c>
      <c r="C1100" s="3" t="n">
        <v>45520</v>
      </c>
      <c r="D1100" s="4" t="s">
        <v>42</v>
      </c>
      <c r="E1100" s="5" t="s">
        <v>57</v>
      </c>
      <c r="F1100" s="5" t="s">
        <v>47</v>
      </c>
      <c r="G1100" s="6"/>
      <c r="H1100" s="7" t="n">
        <v>50</v>
      </c>
      <c r="I1100" s="7" t="n">
        <v>70</v>
      </c>
      <c r="J1100" s="7" t="s">
        <v>229</v>
      </c>
      <c r="K1100" s="7" t="s">
        <v>84</v>
      </c>
      <c r="L1100" s="0" t="str">
        <f aca="false">IF(H1100&gt;I1100,"ERRO","OK")</f>
        <v>OK</v>
      </c>
      <c r="M1100" s="0" t="str">
        <f aca="false">IF(H1100&gt;J1100,"ERRO","OK")</f>
        <v>OK</v>
      </c>
      <c r="N1100" s="0" t="str">
        <f aca="false">IF(I1100&lt;J1100,"ERRO","OK")</f>
        <v>ERRO</v>
      </c>
    </row>
    <row r="1101" customFormat="false" ht="36.5" hidden="false" customHeight="false" outlineLevel="0" collapsed="false">
      <c r="A1101" s="0" t="n">
        <v>65</v>
      </c>
      <c r="B1101" s="0" t="n">
        <v>2024</v>
      </c>
      <c r="C1101" s="3" t="n">
        <v>45520</v>
      </c>
      <c r="D1101" s="8" t="s">
        <v>42</v>
      </c>
      <c r="E1101" s="9" t="s">
        <v>58</v>
      </c>
      <c r="F1101" s="9" t="s">
        <v>44</v>
      </c>
      <c r="G1101" s="10"/>
      <c r="H1101" s="11" t="n">
        <v>70</v>
      </c>
      <c r="I1101" s="11" t="n">
        <v>100</v>
      </c>
      <c r="J1101" s="11" t="s">
        <v>248</v>
      </c>
      <c r="K1101" s="11" t="n">
        <v>90</v>
      </c>
      <c r="L1101" s="0" t="str">
        <f aca="false">IF(H1101&gt;I1101,"ERRO","OK")</f>
        <v>OK</v>
      </c>
      <c r="M1101" s="0" t="str">
        <f aca="false">IF(H1101&gt;J1101,"ERRO","OK")</f>
        <v>OK</v>
      </c>
      <c r="N1101" s="0" t="str">
        <f aca="false">IF(I1101&lt;J1101,"ERRO","OK")</f>
        <v>ERRO</v>
      </c>
    </row>
    <row r="1102" customFormat="false" ht="36.5" hidden="false" customHeight="false" outlineLevel="0" collapsed="false">
      <c r="A1102" s="0" t="n">
        <v>65</v>
      </c>
      <c r="B1102" s="0" t="n">
        <v>2024</v>
      </c>
      <c r="C1102" s="3" t="n">
        <v>45520</v>
      </c>
      <c r="D1102" s="4" t="s">
        <v>42</v>
      </c>
      <c r="E1102" s="5" t="s">
        <v>60</v>
      </c>
      <c r="F1102" s="5" t="s">
        <v>47</v>
      </c>
      <c r="G1102" s="6"/>
      <c r="H1102" s="7" t="n">
        <v>60</v>
      </c>
      <c r="I1102" s="7" t="n">
        <v>65</v>
      </c>
      <c r="J1102" s="7" t="s">
        <v>84</v>
      </c>
      <c r="K1102" s="7" t="s">
        <v>84</v>
      </c>
      <c r="L1102" s="0" t="str">
        <f aca="false">IF(H1102&gt;I1102,"ERRO","OK")</f>
        <v>OK</v>
      </c>
      <c r="M1102" s="0" t="str">
        <f aca="false">IF(H1102&gt;J1102,"ERRO","OK")</f>
        <v>OK</v>
      </c>
      <c r="N1102" s="0" t="str">
        <f aca="false">IF(I1102&lt;J1102,"ERRO","OK")</f>
        <v>ERRO</v>
      </c>
    </row>
    <row r="1103" customFormat="false" ht="36.5" hidden="false" customHeight="false" outlineLevel="0" collapsed="false">
      <c r="A1103" s="0" t="n">
        <v>65</v>
      </c>
      <c r="B1103" s="0" t="n">
        <v>2024</v>
      </c>
      <c r="C1103" s="3" t="n">
        <v>45520</v>
      </c>
      <c r="D1103" s="8" t="s">
        <v>42</v>
      </c>
      <c r="E1103" s="9" t="s">
        <v>61</v>
      </c>
      <c r="F1103" s="9" t="s">
        <v>44</v>
      </c>
      <c r="G1103" s="10"/>
      <c r="H1103" s="11" t="n">
        <v>55</v>
      </c>
      <c r="I1103" s="11" t="n">
        <v>80</v>
      </c>
      <c r="J1103" s="11" t="s">
        <v>269</v>
      </c>
      <c r="K1103" s="11" t="n">
        <v>65</v>
      </c>
      <c r="L1103" s="0" t="str">
        <f aca="false">IF(H1103&gt;I1103,"ERRO","OK")</f>
        <v>OK</v>
      </c>
      <c r="M1103" s="0" t="str">
        <f aca="false">IF(H1103&gt;J1103,"ERRO","OK")</f>
        <v>OK</v>
      </c>
      <c r="N1103" s="0" t="str">
        <f aca="false">IF(I1103&lt;J1103,"ERRO","OK")</f>
        <v>ERRO</v>
      </c>
    </row>
    <row r="1104" customFormat="false" ht="36.5" hidden="false" customHeight="false" outlineLevel="0" collapsed="false">
      <c r="A1104" s="0" t="n">
        <v>65</v>
      </c>
      <c r="B1104" s="0" t="n">
        <v>2024</v>
      </c>
      <c r="C1104" s="3" t="n">
        <v>45520</v>
      </c>
      <c r="D1104" s="4" t="s">
        <v>42</v>
      </c>
      <c r="E1104" s="5" t="s">
        <v>62</v>
      </c>
      <c r="F1104" s="5" t="s">
        <v>44</v>
      </c>
      <c r="G1104" s="7" t="n">
        <v>90</v>
      </c>
      <c r="H1104" s="7" t="n">
        <v>70</v>
      </c>
      <c r="I1104" s="7" t="n">
        <v>100</v>
      </c>
      <c r="J1104" s="7" t="n">
        <v>86</v>
      </c>
      <c r="K1104" s="7" t="n">
        <v>90</v>
      </c>
      <c r="L1104" s="0" t="str">
        <f aca="false">IF(H1104&gt;I1104,"ERRO","OK")</f>
        <v>OK</v>
      </c>
      <c r="M1104" s="0" t="str">
        <f aca="false">IF(H1104&gt;J1104,"ERRO","OK")</f>
        <v>OK</v>
      </c>
      <c r="N1104" s="0" t="str">
        <f aca="false">IF(I1104&lt;J1104,"ERRO","OK")</f>
        <v>OK</v>
      </c>
    </row>
    <row r="1105" customFormat="false" ht="36.5" hidden="false" customHeight="false" outlineLevel="0" collapsed="false">
      <c r="A1105" s="0" t="n">
        <v>65</v>
      </c>
      <c r="B1105" s="0" t="n">
        <v>2024</v>
      </c>
      <c r="C1105" s="3" t="n">
        <v>45520</v>
      </c>
      <c r="D1105" s="8" t="s">
        <v>42</v>
      </c>
      <c r="E1105" s="9" t="s">
        <v>63</v>
      </c>
      <c r="F1105" s="9" t="s">
        <v>49</v>
      </c>
      <c r="G1105" s="11" t="n">
        <v>50</v>
      </c>
      <c r="H1105" s="11" t="n">
        <v>30</v>
      </c>
      <c r="I1105" s="11" t="n">
        <v>50</v>
      </c>
      <c r="J1105" s="11" t="n">
        <v>45</v>
      </c>
      <c r="K1105" s="11" t="n">
        <v>50</v>
      </c>
      <c r="L1105" s="0" t="str">
        <f aca="false">IF(H1105&gt;I1105,"ERRO","OK")</f>
        <v>OK</v>
      </c>
      <c r="M1105" s="0" t="str">
        <f aca="false">IF(H1105&gt;J1105,"ERRO","OK")</f>
        <v>OK</v>
      </c>
      <c r="N1105" s="0" t="str">
        <f aca="false">IF(I1105&lt;J1105,"ERRO","OK")</f>
        <v>OK</v>
      </c>
    </row>
    <row r="1106" customFormat="false" ht="36.5" hidden="false" customHeight="false" outlineLevel="0" collapsed="false">
      <c r="A1106" s="0" t="n">
        <v>65</v>
      </c>
      <c r="B1106" s="0" t="n">
        <v>2024</v>
      </c>
      <c r="C1106" s="3" t="n">
        <v>45520</v>
      </c>
      <c r="D1106" s="4" t="s">
        <v>42</v>
      </c>
      <c r="E1106" s="5" t="s">
        <v>64</v>
      </c>
      <c r="F1106" s="5" t="s">
        <v>65</v>
      </c>
      <c r="G1106" s="6"/>
      <c r="H1106" s="7" t="n">
        <v>100</v>
      </c>
      <c r="I1106" s="7" t="n">
        <v>200</v>
      </c>
      <c r="J1106" s="7" t="s">
        <v>305</v>
      </c>
      <c r="K1106" s="7" t="n">
        <v>165</v>
      </c>
      <c r="L1106" s="0" t="str">
        <f aca="false">IF(H1106&gt;I1106,"ERRO","OK")</f>
        <v>OK</v>
      </c>
      <c r="M1106" s="0" t="str">
        <f aca="false">IF(H1106&gt;J1106,"ERRO","OK")</f>
        <v>OK</v>
      </c>
      <c r="N1106" s="0" t="str">
        <f aca="false">IF(I1106&lt;J1106,"ERRO","OK")</f>
        <v>ERRO</v>
      </c>
    </row>
    <row r="1107" customFormat="false" ht="36.5" hidden="false" customHeight="false" outlineLevel="0" collapsed="false">
      <c r="A1107" s="0" t="n">
        <v>65</v>
      </c>
      <c r="B1107" s="0" t="n">
        <v>2024</v>
      </c>
      <c r="C1107" s="3" t="n">
        <v>45520</v>
      </c>
      <c r="D1107" s="8" t="s">
        <v>42</v>
      </c>
      <c r="E1107" s="9" t="s">
        <v>67</v>
      </c>
      <c r="F1107" s="9" t="s">
        <v>44</v>
      </c>
      <c r="G1107" s="11" t="n">
        <v>90</v>
      </c>
      <c r="H1107" s="11" t="n">
        <v>50</v>
      </c>
      <c r="I1107" s="11" t="n">
        <v>90</v>
      </c>
      <c r="J1107" s="11" t="n">
        <v>70</v>
      </c>
      <c r="K1107" s="11" t="n">
        <v>60</v>
      </c>
      <c r="L1107" s="0" t="str">
        <f aca="false">IF(H1107&gt;I1107,"ERRO","OK")</f>
        <v>OK</v>
      </c>
      <c r="M1107" s="0" t="str">
        <f aca="false">IF(H1107&gt;J1107,"ERRO","OK")</f>
        <v>OK</v>
      </c>
      <c r="N1107" s="0" t="str">
        <f aca="false">IF(I1107&lt;J1107,"ERRO","OK")</f>
        <v>OK</v>
      </c>
    </row>
    <row r="1108" customFormat="false" ht="36.5" hidden="false" customHeight="false" outlineLevel="0" collapsed="false">
      <c r="A1108" s="0" t="n">
        <v>65</v>
      </c>
      <c r="B1108" s="0" t="n">
        <v>2024</v>
      </c>
      <c r="C1108" s="3" t="n">
        <v>45520</v>
      </c>
      <c r="D1108" s="4" t="s">
        <v>42</v>
      </c>
      <c r="E1108" s="5" t="s">
        <v>68</v>
      </c>
      <c r="F1108" s="5" t="s">
        <v>44</v>
      </c>
      <c r="G1108" s="7" t="n">
        <v>150</v>
      </c>
      <c r="H1108" s="7" t="n">
        <v>100</v>
      </c>
      <c r="I1108" s="7" t="n">
        <v>200</v>
      </c>
      <c r="J1108" s="7" t="n">
        <v>150</v>
      </c>
      <c r="K1108" s="7" t="n">
        <v>150</v>
      </c>
      <c r="L1108" s="0" t="str">
        <f aca="false">IF(H1108&gt;I1108,"ERRO","OK")</f>
        <v>OK</v>
      </c>
      <c r="M1108" s="0" t="str">
        <f aca="false">IF(H1108&gt;J1108,"ERRO","OK")</f>
        <v>OK</v>
      </c>
      <c r="N1108" s="0" t="str">
        <f aca="false">IF(I1108&lt;J1108,"ERRO","OK")</f>
        <v>OK</v>
      </c>
    </row>
    <row r="1109" customFormat="false" ht="14.25" hidden="false" customHeight="false" outlineLevel="0" collapsed="false">
      <c r="A1109" s="0" t="n">
        <v>65</v>
      </c>
      <c r="B1109" s="0" t="n">
        <v>2024</v>
      </c>
      <c r="C1109" s="3" t="n">
        <v>45520</v>
      </c>
      <c r="D1109" s="8" t="s">
        <v>69</v>
      </c>
      <c r="E1109" s="9" t="s">
        <v>70</v>
      </c>
      <c r="F1109" s="9" t="s">
        <v>49</v>
      </c>
      <c r="G1109" s="10"/>
      <c r="H1109" s="10"/>
      <c r="I1109" s="10"/>
      <c r="J1109" s="10"/>
      <c r="K1109" s="10"/>
      <c r="L1109" s="0" t="str">
        <f aca="false">IF(H1109&gt;I1109,"ERRO","OK")</f>
        <v>OK</v>
      </c>
      <c r="M1109" s="0" t="str">
        <f aca="false">IF(H1109&gt;J1109,"ERRO","OK")</f>
        <v>OK</v>
      </c>
      <c r="N1109" s="0" t="str">
        <f aca="false">IF(I1109&lt;J1109,"ERRO","OK")</f>
        <v>OK</v>
      </c>
    </row>
    <row r="1110" customFormat="false" ht="14.25" hidden="false" customHeight="false" outlineLevel="0" collapsed="false">
      <c r="A1110" s="0" t="n">
        <v>65</v>
      </c>
      <c r="B1110" s="0" t="n">
        <v>2024</v>
      </c>
      <c r="C1110" s="3" t="n">
        <v>45520</v>
      </c>
      <c r="D1110" s="4" t="s">
        <v>69</v>
      </c>
      <c r="E1110" s="5" t="s">
        <v>71</v>
      </c>
      <c r="F1110" s="5" t="s">
        <v>49</v>
      </c>
      <c r="G1110" s="6"/>
      <c r="H1110" s="6"/>
      <c r="I1110" s="6"/>
      <c r="J1110" s="6"/>
      <c r="K1110" s="6"/>
      <c r="L1110" s="0" t="str">
        <f aca="false">IF(H1110&gt;I1110,"ERRO","OK")</f>
        <v>OK</v>
      </c>
      <c r="M1110" s="0" t="str">
        <f aca="false">IF(H1110&gt;J1110,"ERRO","OK")</f>
        <v>OK</v>
      </c>
      <c r="N1110" s="0" t="str">
        <f aca="false">IF(I1110&lt;J1110,"ERRO","OK")</f>
        <v>OK</v>
      </c>
    </row>
    <row r="1111" customFormat="false" ht="14.25" hidden="false" customHeight="false" outlineLevel="0" collapsed="false">
      <c r="A1111" s="0" t="n">
        <v>65</v>
      </c>
      <c r="B1111" s="0" t="n">
        <v>2024</v>
      </c>
      <c r="C1111" s="3" t="n">
        <v>45520</v>
      </c>
      <c r="D1111" s="8" t="s">
        <v>69</v>
      </c>
      <c r="E1111" s="9" t="s">
        <v>72</v>
      </c>
      <c r="F1111" s="9" t="s">
        <v>49</v>
      </c>
      <c r="G1111" s="10"/>
      <c r="H1111" s="10"/>
      <c r="I1111" s="10"/>
      <c r="J1111" s="10"/>
      <c r="K1111" s="10"/>
      <c r="L1111" s="0" t="str">
        <f aca="false">IF(H1111&gt;I1111,"ERRO","OK")</f>
        <v>OK</v>
      </c>
      <c r="M1111" s="0" t="str">
        <f aca="false">IF(H1111&gt;J1111,"ERRO","OK")</f>
        <v>OK</v>
      </c>
      <c r="N1111" s="0" t="str">
        <f aca="false">IF(I1111&lt;J1111,"ERRO","OK")</f>
        <v>OK</v>
      </c>
    </row>
    <row r="1112" customFormat="false" ht="14.25" hidden="false" customHeight="false" outlineLevel="0" collapsed="false">
      <c r="A1112" s="0" t="n">
        <v>65</v>
      </c>
      <c r="B1112" s="0" t="n">
        <v>2024</v>
      </c>
      <c r="C1112" s="3" t="n">
        <v>45520</v>
      </c>
      <c r="D1112" s="4" t="s">
        <v>69</v>
      </c>
      <c r="E1112" s="5" t="s">
        <v>73</v>
      </c>
      <c r="F1112" s="5" t="s">
        <v>49</v>
      </c>
      <c r="G1112" s="6"/>
      <c r="H1112" s="7" t="n">
        <v>60</v>
      </c>
      <c r="I1112" s="7" t="n">
        <v>60</v>
      </c>
      <c r="J1112" s="7" t="n">
        <v>60</v>
      </c>
      <c r="K1112" s="7" t="n">
        <v>60</v>
      </c>
      <c r="L1112" s="0" t="str">
        <f aca="false">IF(H1112&gt;I1112,"ERRO","OK")</f>
        <v>OK</v>
      </c>
      <c r="M1112" s="0" t="str">
        <f aca="false">IF(H1112&gt;J1112,"ERRO","OK")</f>
        <v>OK</v>
      </c>
      <c r="N1112" s="0" t="str">
        <f aca="false">IF(I1112&lt;J1112,"ERRO","OK")</f>
        <v>OK</v>
      </c>
    </row>
    <row r="1113" customFormat="false" ht="14.25" hidden="false" customHeight="false" outlineLevel="0" collapsed="false">
      <c r="A1113" s="0" t="n">
        <v>65</v>
      </c>
      <c r="B1113" s="0" t="n">
        <v>2024</v>
      </c>
      <c r="C1113" s="3" t="n">
        <v>45520</v>
      </c>
      <c r="D1113" s="8" t="s">
        <v>69</v>
      </c>
      <c r="E1113" s="9" t="s">
        <v>74</v>
      </c>
      <c r="F1113" s="9" t="s">
        <v>75</v>
      </c>
      <c r="G1113" s="10"/>
      <c r="H1113" s="10"/>
      <c r="I1113" s="10"/>
      <c r="J1113" s="10"/>
      <c r="K1113" s="10"/>
      <c r="L1113" s="0" t="str">
        <f aca="false">IF(H1113&gt;I1113,"ERRO","OK")</f>
        <v>OK</v>
      </c>
      <c r="M1113" s="0" t="str">
        <f aca="false">IF(H1113&gt;J1113,"ERRO","OK")</f>
        <v>OK</v>
      </c>
      <c r="N1113" s="0" t="str">
        <f aca="false">IF(I1113&lt;J1113,"ERRO","OK")</f>
        <v>OK</v>
      </c>
    </row>
    <row r="1114" customFormat="false" ht="25" hidden="false" customHeight="false" outlineLevel="0" collapsed="false">
      <c r="A1114" s="0" t="n">
        <v>66</v>
      </c>
      <c r="B1114" s="0" t="n">
        <v>2024</v>
      </c>
      <c r="C1114" s="3" t="n">
        <v>45527</v>
      </c>
      <c r="D1114" s="4" t="s">
        <v>15</v>
      </c>
      <c r="E1114" s="5" t="s">
        <v>16</v>
      </c>
      <c r="F1114" s="5" t="s">
        <v>17</v>
      </c>
      <c r="G1114" s="6"/>
      <c r="H1114" s="7" t="n">
        <v>36</v>
      </c>
      <c r="I1114" s="7" t="n">
        <v>60</v>
      </c>
      <c r="J1114" s="7" t="n">
        <v>48</v>
      </c>
      <c r="K1114" s="7" t="n">
        <v>48</v>
      </c>
      <c r="L1114" s="0" t="str">
        <f aca="false">IF(H1114&gt;I1114,"ERRO","OK")</f>
        <v>OK</v>
      </c>
      <c r="M1114" s="0" t="str">
        <f aca="false">IF(H1114&gt;J1114,"ERRO","OK")</f>
        <v>OK</v>
      </c>
      <c r="N1114" s="0" t="str">
        <f aca="false">IF(I1114&lt;J1114,"ERRO","OK")</f>
        <v>OK</v>
      </c>
    </row>
    <row r="1115" customFormat="false" ht="25" hidden="false" customHeight="false" outlineLevel="0" collapsed="false">
      <c r="A1115" s="0" t="n">
        <v>66</v>
      </c>
      <c r="B1115" s="0" t="n">
        <v>2024</v>
      </c>
      <c r="C1115" s="3" t="n">
        <v>45527</v>
      </c>
      <c r="D1115" s="8" t="s">
        <v>15</v>
      </c>
      <c r="E1115" s="9" t="s">
        <v>18</v>
      </c>
      <c r="F1115" s="9" t="s">
        <v>17</v>
      </c>
      <c r="G1115" s="11" t="n">
        <v>72</v>
      </c>
      <c r="H1115" s="11" t="n">
        <v>72</v>
      </c>
      <c r="I1115" s="11" t="n">
        <v>84</v>
      </c>
      <c r="J1115" s="11" t="n">
        <v>76</v>
      </c>
      <c r="K1115" s="11" t="n">
        <v>72</v>
      </c>
      <c r="L1115" s="0" t="str">
        <f aca="false">IF(H1115&gt;I1115,"ERRO","OK")</f>
        <v>OK</v>
      </c>
      <c r="M1115" s="0" t="str">
        <f aca="false">IF(H1115&gt;J1115,"ERRO","OK")</f>
        <v>OK</v>
      </c>
      <c r="N1115" s="0" t="str">
        <f aca="false">IF(I1115&lt;J1115,"ERRO","OK")</f>
        <v>OK</v>
      </c>
    </row>
    <row r="1116" customFormat="false" ht="25" hidden="false" customHeight="false" outlineLevel="0" collapsed="false">
      <c r="A1116" s="0" t="n">
        <v>66</v>
      </c>
      <c r="B1116" s="0" t="n">
        <v>2024</v>
      </c>
      <c r="C1116" s="3" t="n">
        <v>45527</v>
      </c>
      <c r="D1116" s="4" t="s">
        <v>15</v>
      </c>
      <c r="E1116" s="5" t="s">
        <v>19</v>
      </c>
      <c r="F1116" s="5" t="s">
        <v>17</v>
      </c>
      <c r="G1116" s="7" t="n">
        <v>36</v>
      </c>
      <c r="H1116" s="7" t="n">
        <v>30</v>
      </c>
      <c r="I1116" s="7" t="n">
        <v>42</v>
      </c>
      <c r="J1116" s="7" t="n">
        <v>36</v>
      </c>
      <c r="K1116" s="7" t="n">
        <v>36</v>
      </c>
      <c r="L1116" s="0" t="str">
        <f aca="false">IF(H1116&gt;I1116,"ERRO","OK")</f>
        <v>OK</v>
      </c>
      <c r="M1116" s="0" t="str">
        <f aca="false">IF(H1116&gt;J1116,"ERRO","OK")</f>
        <v>OK</v>
      </c>
      <c r="N1116" s="0" t="str">
        <f aca="false">IF(I1116&lt;J1116,"ERRO","OK")</f>
        <v>OK</v>
      </c>
    </row>
    <row r="1117" customFormat="false" ht="25" hidden="false" customHeight="false" outlineLevel="0" collapsed="false">
      <c r="A1117" s="0" t="n">
        <v>66</v>
      </c>
      <c r="B1117" s="0" t="n">
        <v>2024</v>
      </c>
      <c r="C1117" s="3" t="n">
        <v>45527</v>
      </c>
      <c r="D1117" s="8" t="s">
        <v>15</v>
      </c>
      <c r="E1117" s="9" t="s">
        <v>20</v>
      </c>
      <c r="F1117" s="9" t="s">
        <v>17</v>
      </c>
      <c r="G1117" s="11" t="n">
        <v>18</v>
      </c>
      <c r="H1117" s="11" t="n">
        <v>18</v>
      </c>
      <c r="I1117" s="11" t="n">
        <v>24</v>
      </c>
      <c r="J1117" s="11" t="n">
        <v>21</v>
      </c>
      <c r="K1117" s="11" t="n">
        <v>21</v>
      </c>
      <c r="L1117" s="0" t="str">
        <f aca="false">IF(H1117&gt;I1117,"ERRO","OK")</f>
        <v>OK</v>
      </c>
      <c r="M1117" s="0" t="str">
        <f aca="false">IF(H1117&gt;J1117,"ERRO","OK")</f>
        <v>OK</v>
      </c>
      <c r="N1117" s="0" t="str">
        <f aca="false">IF(I1117&lt;J1117,"ERRO","OK")</f>
        <v>OK</v>
      </c>
    </row>
    <row r="1118" customFormat="false" ht="25" hidden="false" customHeight="false" outlineLevel="0" collapsed="false">
      <c r="A1118" s="0" t="n">
        <v>66</v>
      </c>
      <c r="B1118" s="0" t="n">
        <v>2024</v>
      </c>
      <c r="C1118" s="3" t="n">
        <v>45527</v>
      </c>
      <c r="D1118" s="4" t="s">
        <v>15</v>
      </c>
      <c r="E1118" s="5" t="s">
        <v>21</v>
      </c>
      <c r="F1118" s="5" t="s">
        <v>17</v>
      </c>
      <c r="G1118" s="7" t="n">
        <v>24</v>
      </c>
      <c r="H1118" s="7" t="n">
        <v>18</v>
      </c>
      <c r="I1118" s="7" t="n">
        <v>24</v>
      </c>
      <c r="J1118" s="7" t="n">
        <v>22</v>
      </c>
      <c r="K1118" s="7" t="n">
        <v>24</v>
      </c>
      <c r="L1118" s="0" t="str">
        <f aca="false">IF(H1118&gt;I1118,"ERRO","OK")</f>
        <v>OK</v>
      </c>
      <c r="M1118" s="0" t="str">
        <f aca="false">IF(H1118&gt;J1118,"ERRO","OK")</f>
        <v>OK</v>
      </c>
      <c r="N1118" s="0" t="str">
        <f aca="false">IF(I1118&lt;J1118,"ERRO","OK")</f>
        <v>OK</v>
      </c>
    </row>
    <row r="1119" customFormat="false" ht="25" hidden="false" customHeight="false" outlineLevel="0" collapsed="false">
      <c r="A1119" s="0" t="n">
        <v>66</v>
      </c>
      <c r="B1119" s="0" t="n">
        <v>2024</v>
      </c>
      <c r="C1119" s="3" t="n">
        <v>45527</v>
      </c>
      <c r="D1119" s="8" t="s">
        <v>15</v>
      </c>
      <c r="E1119" s="9" t="s">
        <v>22</v>
      </c>
      <c r="F1119" s="9" t="s">
        <v>17</v>
      </c>
      <c r="G1119" s="11" t="n">
        <v>60</v>
      </c>
      <c r="H1119" s="11" t="n">
        <v>60</v>
      </c>
      <c r="I1119" s="11" t="n">
        <v>60</v>
      </c>
      <c r="J1119" s="11" t="n">
        <v>60</v>
      </c>
      <c r="K1119" s="11" t="n">
        <v>60</v>
      </c>
      <c r="L1119" s="0" t="str">
        <f aca="false">IF(H1119&gt;I1119,"ERRO","OK")</f>
        <v>OK</v>
      </c>
      <c r="M1119" s="0" t="str">
        <f aca="false">IF(H1119&gt;J1119,"ERRO","OK")</f>
        <v>OK</v>
      </c>
      <c r="N1119" s="0" t="str">
        <f aca="false">IF(I1119&lt;J1119,"ERRO","OK")</f>
        <v>OK</v>
      </c>
    </row>
    <row r="1120" customFormat="false" ht="25" hidden="false" customHeight="false" outlineLevel="0" collapsed="false">
      <c r="A1120" s="0" t="n">
        <v>66</v>
      </c>
      <c r="B1120" s="0" t="n">
        <v>2024</v>
      </c>
      <c r="C1120" s="3" t="n">
        <v>45527</v>
      </c>
      <c r="D1120" s="4" t="s">
        <v>15</v>
      </c>
      <c r="E1120" s="5" t="s">
        <v>23</v>
      </c>
      <c r="F1120" s="5" t="s">
        <v>17</v>
      </c>
      <c r="G1120" s="7" t="n">
        <v>60</v>
      </c>
      <c r="H1120" s="7" t="n">
        <v>48</v>
      </c>
      <c r="I1120" s="7" t="n">
        <v>66</v>
      </c>
      <c r="J1120" s="7" t="s">
        <v>250</v>
      </c>
      <c r="K1120" s="7" t="n">
        <v>60</v>
      </c>
      <c r="L1120" s="0" t="str">
        <f aca="false">IF(H1120&gt;I1120,"ERRO","OK")</f>
        <v>OK</v>
      </c>
      <c r="M1120" s="0" t="str">
        <f aca="false">IF(H1120&gt;J1120,"ERRO","OK")</f>
        <v>OK</v>
      </c>
      <c r="N1120" s="0" t="str">
        <f aca="false">IF(I1120&lt;J1120,"ERRO","OK")</f>
        <v>ERRO</v>
      </c>
    </row>
    <row r="1121" customFormat="false" ht="25" hidden="false" customHeight="false" outlineLevel="0" collapsed="false">
      <c r="A1121" s="0" t="n">
        <v>66</v>
      </c>
      <c r="B1121" s="0" t="n">
        <v>2024</v>
      </c>
      <c r="C1121" s="3" t="n">
        <v>45527</v>
      </c>
      <c r="D1121" s="8" t="s">
        <v>15</v>
      </c>
      <c r="E1121" s="9" t="s">
        <v>24</v>
      </c>
      <c r="F1121" s="9" t="s">
        <v>17</v>
      </c>
      <c r="G1121" s="11" t="n">
        <v>60</v>
      </c>
      <c r="H1121" s="11" t="n">
        <v>60</v>
      </c>
      <c r="I1121" s="11" t="n">
        <v>72</v>
      </c>
      <c r="J1121" s="11" t="n">
        <v>66</v>
      </c>
      <c r="K1121" s="11" t="n">
        <v>66</v>
      </c>
      <c r="L1121" s="0" t="str">
        <f aca="false">IF(H1121&gt;I1121,"ERRO","OK")</f>
        <v>OK</v>
      </c>
      <c r="M1121" s="0" t="str">
        <f aca="false">IF(H1121&gt;J1121,"ERRO","OK")</f>
        <v>OK</v>
      </c>
      <c r="N1121" s="0" t="str">
        <f aca="false">IF(I1121&lt;J1121,"ERRO","OK")</f>
        <v>OK</v>
      </c>
    </row>
    <row r="1122" customFormat="false" ht="25" hidden="false" customHeight="false" outlineLevel="0" collapsed="false">
      <c r="A1122" s="0" t="n">
        <v>66</v>
      </c>
      <c r="B1122" s="0" t="n">
        <v>2024</v>
      </c>
      <c r="C1122" s="3" t="n">
        <v>45527</v>
      </c>
      <c r="D1122" s="4" t="s">
        <v>15</v>
      </c>
      <c r="E1122" s="5" t="s">
        <v>25</v>
      </c>
      <c r="F1122" s="5" t="s">
        <v>17</v>
      </c>
      <c r="G1122" s="7" t="n">
        <v>18</v>
      </c>
      <c r="H1122" s="7" t="n">
        <v>18</v>
      </c>
      <c r="I1122" s="7" t="n">
        <v>24</v>
      </c>
      <c r="J1122" s="7" t="n">
        <v>20</v>
      </c>
      <c r="K1122" s="7" t="n">
        <v>19</v>
      </c>
      <c r="L1122" s="0" t="str">
        <f aca="false">IF(H1122&gt;I1122,"ERRO","OK")</f>
        <v>OK</v>
      </c>
      <c r="M1122" s="0" t="str">
        <f aca="false">IF(H1122&gt;J1122,"ERRO","OK")</f>
        <v>OK</v>
      </c>
      <c r="N1122" s="0" t="str">
        <f aca="false">IF(I1122&lt;J1122,"ERRO","OK")</f>
        <v>OK</v>
      </c>
    </row>
    <row r="1123" customFormat="false" ht="25" hidden="false" customHeight="false" outlineLevel="0" collapsed="false">
      <c r="A1123" s="0" t="n">
        <v>66</v>
      </c>
      <c r="B1123" s="0" t="n">
        <v>2024</v>
      </c>
      <c r="C1123" s="3" t="n">
        <v>45527</v>
      </c>
      <c r="D1123" s="8" t="s">
        <v>15</v>
      </c>
      <c r="E1123" s="9" t="s">
        <v>77</v>
      </c>
      <c r="F1123" s="9" t="s">
        <v>17</v>
      </c>
      <c r="G1123" s="10"/>
      <c r="H1123" s="11" t="n">
        <v>48</v>
      </c>
      <c r="I1123" s="11" t="n">
        <v>72</v>
      </c>
      <c r="J1123" s="11" t="s">
        <v>59</v>
      </c>
      <c r="K1123" s="11" t="n">
        <v>50</v>
      </c>
      <c r="L1123" s="0" t="str">
        <f aca="false">IF(H1123&gt;I1123,"ERRO","OK")</f>
        <v>OK</v>
      </c>
      <c r="M1123" s="0" t="str">
        <f aca="false">IF(H1123&gt;J1123,"ERRO","OK")</f>
        <v>OK</v>
      </c>
      <c r="N1123" s="0" t="str">
        <f aca="false">IF(I1123&lt;J1123,"ERRO","OK")</f>
        <v>ERRO</v>
      </c>
    </row>
    <row r="1124" customFormat="false" ht="25" hidden="false" customHeight="false" outlineLevel="0" collapsed="false">
      <c r="A1124" s="0" t="n">
        <v>66</v>
      </c>
      <c r="B1124" s="0" t="n">
        <v>2024</v>
      </c>
      <c r="C1124" s="3" t="n">
        <v>45527</v>
      </c>
      <c r="D1124" s="4" t="s">
        <v>15</v>
      </c>
      <c r="E1124" s="5" t="s">
        <v>27</v>
      </c>
      <c r="F1124" s="5" t="s">
        <v>17</v>
      </c>
      <c r="G1124" s="7" t="n">
        <v>18</v>
      </c>
      <c r="H1124" s="7" t="n">
        <v>18</v>
      </c>
      <c r="I1124" s="7" t="n">
        <v>24</v>
      </c>
      <c r="J1124" s="7" t="n">
        <v>21</v>
      </c>
      <c r="K1124" s="7" t="n">
        <v>21</v>
      </c>
      <c r="L1124" s="0" t="str">
        <f aca="false">IF(H1124&gt;I1124,"ERRO","OK")</f>
        <v>OK</v>
      </c>
      <c r="M1124" s="0" t="str">
        <f aca="false">IF(H1124&gt;J1124,"ERRO","OK")</f>
        <v>OK</v>
      </c>
      <c r="N1124" s="0" t="str">
        <f aca="false">IF(I1124&lt;J1124,"ERRO","OK")</f>
        <v>OK</v>
      </c>
    </row>
    <row r="1125" customFormat="false" ht="25" hidden="false" customHeight="false" outlineLevel="0" collapsed="false">
      <c r="A1125" s="0" t="n">
        <v>66</v>
      </c>
      <c r="B1125" s="0" t="n">
        <v>2024</v>
      </c>
      <c r="C1125" s="3" t="n">
        <v>45527</v>
      </c>
      <c r="D1125" s="8" t="s">
        <v>15</v>
      </c>
      <c r="E1125" s="9" t="s">
        <v>28</v>
      </c>
      <c r="F1125" s="9" t="s">
        <v>17</v>
      </c>
      <c r="G1125" s="11" t="n">
        <v>60</v>
      </c>
      <c r="H1125" s="11" t="n">
        <v>48</v>
      </c>
      <c r="I1125" s="11" t="n">
        <v>60</v>
      </c>
      <c r="J1125" s="11" t="n">
        <v>56</v>
      </c>
      <c r="K1125" s="11" t="n">
        <v>60</v>
      </c>
      <c r="L1125" s="0" t="str">
        <f aca="false">IF(H1125&gt;I1125,"ERRO","OK")</f>
        <v>OK</v>
      </c>
      <c r="M1125" s="0" t="str">
        <f aca="false">IF(H1125&gt;J1125,"ERRO","OK")</f>
        <v>OK</v>
      </c>
      <c r="N1125" s="0" t="str">
        <f aca="false">IF(I1125&lt;J1125,"ERRO","OK")</f>
        <v>OK</v>
      </c>
    </row>
    <row r="1126" customFormat="false" ht="25" hidden="false" customHeight="false" outlineLevel="0" collapsed="false">
      <c r="A1126" s="0" t="n">
        <v>66</v>
      </c>
      <c r="B1126" s="0" t="n">
        <v>2024</v>
      </c>
      <c r="C1126" s="3" t="n">
        <v>45527</v>
      </c>
      <c r="D1126" s="4" t="s">
        <v>15</v>
      </c>
      <c r="E1126" s="5" t="s">
        <v>29</v>
      </c>
      <c r="F1126" s="5" t="s">
        <v>30</v>
      </c>
      <c r="G1126" s="7" t="n">
        <v>48</v>
      </c>
      <c r="H1126" s="7" t="n">
        <v>48</v>
      </c>
      <c r="I1126" s="7" t="n">
        <v>60</v>
      </c>
      <c r="J1126" s="7" t="n">
        <v>54</v>
      </c>
      <c r="K1126" s="7" t="n">
        <v>54</v>
      </c>
      <c r="L1126" s="0" t="str">
        <f aca="false">IF(H1126&gt;I1126,"ERRO","OK")</f>
        <v>OK</v>
      </c>
      <c r="M1126" s="0" t="str">
        <f aca="false">IF(H1126&gt;J1126,"ERRO","OK")</f>
        <v>OK</v>
      </c>
      <c r="N1126" s="0" t="str">
        <f aca="false">IF(I1126&lt;J1126,"ERRO","OK")</f>
        <v>OK</v>
      </c>
    </row>
    <row r="1127" customFormat="false" ht="25" hidden="false" customHeight="false" outlineLevel="0" collapsed="false">
      <c r="A1127" s="0" t="n">
        <v>66</v>
      </c>
      <c r="B1127" s="0" t="n">
        <v>2024</v>
      </c>
      <c r="C1127" s="3" t="n">
        <v>45527</v>
      </c>
      <c r="D1127" s="8" t="s">
        <v>15</v>
      </c>
      <c r="E1127" s="9" t="s">
        <v>31</v>
      </c>
      <c r="F1127" s="9" t="s">
        <v>17</v>
      </c>
      <c r="G1127" s="11" t="n">
        <v>60</v>
      </c>
      <c r="H1127" s="11" t="n">
        <v>48</v>
      </c>
      <c r="I1127" s="11" t="n">
        <v>60</v>
      </c>
      <c r="J1127" s="11" t="n">
        <v>56</v>
      </c>
      <c r="K1127" s="11" t="n">
        <v>60</v>
      </c>
      <c r="L1127" s="0" t="str">
        <f aca="false">IF(H1127&gt;I1127,"ERRO","OK")</f>
        <v>OK</v>
      </c>
      <c r="M1127" s="0" t="str">
        <f aca="false">IF(H1127&gt;J1127,"ERRO","OK")</f>
        <v>OK</v>
      </c>
      <c r="N1127" s="0" t="str">
        <f aca="false">IF(I1127&lt;J1127,"ERRO","OK")</f>
        <v>OK</v>
      </c>
    </row>
    <row r="1128" customFormat="false" ht="25" hidden="false" customHeight="false" outlineLevel="0" collapsed="false">
      <c r="A1128" s="0" t="n">
        <v>66</v>
      </c>
      <c r="B1128" s="0" t="n">
        <v>2024</v>
      </c>
      <c r="C1128" s="3" t="n">
        <v>45527</v>
      </c>
      <c r="D1128" s="4" t="s">
        <v>15</v>
      </c>
      <c r="E1128" s="5" t="s">
        <v>32</v>
      </c>
      <c r="F1128" s="5" t="s">
        <v>17</v>
      </c>
      <c r="G1128" s="7" t="n">
        <v>36</v>
      </c>
      <c r="H1128" s="7" t="n">
        <v>36</v>
      </c>
      <c r="I1128" s="7" t="n">
        <v>45</v>
      </c>
      <c r="J1128" s="7" t="s">
        <v>306</v>
      </c>
      <c r="K1128" s="7" t="n">
        <v>38</v>
      </c>
      <c r="L1128" s="0" t="str">
        <f aca="false">IF(H1128&gt;I1128,"ERRO","OK")</f>
        <v>OK</v>
      </c>
      <c r="M1128" s="0" t="str">
        <f aca="false">IF(H1128&gt;J1128,"ERRO","OK")</f>
        <v>OK</v>
      </c>
      <c r="N1128" s="0" t="str">
        <f aca="false">IF(I1128&lt;J1128,"ERRO","OK")</f>
        <v>ERRO</v>
      </c>
    </row>
    <row r="1129" customFormat="false" ht="25" hidden="false" customHeight="false" outlineLevel="0" collapsed="false">
      <c r="A1129" s="0" t="n">
        <v>66</v>
      </c>
      <c r="B1129" s="0" t="n">
        <v>2024</v>
      </c>
      <c r="C1129" s="3" t="n">
        <v>45527</v>
      </c>
      <c r="D1129" s="8" t="s">
        <v>15</v>
      </c>
      <c r="E1129" s="9" t="s">
        <v>33</v>
      </c>
      <c r="F1129" s="9" t="s">
        <v>17</v>
      </c>
      <c r="G1129" s="11" t="n">
        <v>48</v>
      </c>
      <c r="H1129" s="11" t="n">
        <v>42</v>
      </c>
      <c r="I1129" s="11" t="n">
        <v>48</v>
      </c>
      <c r="J1129" s="11" t="s">
        <v>178</v>
      </c>
      <c r="K1129" s="11" t="n">
        <v>48</v>
      </c>
      <c r="L1129" s="0" t="str">
        <f aca="false">IF(H1129&gt;I1129,"ERRO","OK")</f>
        <v>OK</v>
      </c>
      <c r="M1129" s="0" t="str">
        <f aca="false">IF(H1129&gt;J1129,"ERRO","OK")</f>
        <v>OK</v>
      </c>
      <c r="N1129" s="0" t="str">
        <f aca="false">IF(I1129&lt;J1129,"ERRO","OK")</f>
        <v>ERRO</v>
      </c>
    </row>
    <row r="1130" customFormat="false" ht="25" hidden="false" customHeight="false" outlineLevel="0" collapsed="false">
      <c r="A1130" s="0" t="n">
        <v>66</v>
      </c>
      <c r="B1130" s="0" t="n">
        <v>2024</v>
      </c>
      <c r="C1130" s="3" t="n">
        <v>45527</v>
      </c>
      <c r="D1130" s="4" t="s">
        <v>15</v>
      </c>
      <c r="E1130" s="5" t="s">
        <v>35</v>
      </c>
      <c r="F1130" s="5" t="s">
        <v>36</v>
      </c>
      <c r="G1130" s="7" t="n">
        <v>5</v>
      </c>
      <c r="H1130" s="7" t="n">
        <v>5</v>
      </c>
      <c r="I1130" s="7" t="s">
        <v>216</v>
      </c>
      <c r="J1130" s="7" t="s">
        <v>307</v>
      </c>
      <c r="K1130" s="7" t="n">
        <v>5</v>
      </c>
      <c r="L1130" s="0" t="str">
        <f aca="false">IF(H1130&gt;I1130,"ERRO","OK")</f>
        <v>OK</v>
      </c>
      <c r="M1130" s="0" t="str">
        <f aca="false">IF(H1130&gt;J1130,"ERRO","OK")</f>
        <v>OK</v>
      </c>
      <c r="N1130" s="0" t="str">
        <f aca="false">IF(I1130&lt;J1130,"ERRO","OK")</f>
        <v>OK</v>
      </c>
    </row>
    <row r="1131" customFormat="false" ht="25" hidden="false" customHeight="false" outlineLevel="0" collapsed="false">
      <c r="A1131" s="0" t="n">
        <v>66</v>
      </c>
      <c r="B1131" s="0" t="n">
        <v>2024</v>
      </c>
      <c r="C1131" s="3" t="n">
        <v>45527</v>
      </c>
      <c r="D1131" s="8" t="s">
        <v>15</v>
      </c>
      <c r="E1131" s="9" t="s">
        <v>38</v>
      </c>
      <c r="F1131" s="9" t="s">
        <v>39</v>
      </c>
      <c r="G1131" s="11" t="n">
        <v>12</v>
      </c>
      <c r="H1131" s="11" t="n">
        <v>10</v>
      </c>
      <c r="I1131" s="11" t="n">
        <v>12</v>
      </c>
      <c r="J1131" s="11" t="n">
        <v>11</v>
      </c>
      <c r="K1131" s="11" t="n">
        <v>11</v>
      </c>
      <c r="L1131" s="0" t="str">
        <f aca="false">IF(H1131&gt;I1131,"ERRO","OK")</f>
        <v>OK</v>
      </c>
      <c r="M1131" s="0" t="str">
        <f aca="false">IF(H1131&gt;J1131,"ERRO","OK")</f>
        <v>OK</v>
      </c>
      <c r="N1131" s="0" t="str">
        <f aca="false">IF(I1131&lt;J1131,"ERRO","OK")</f>
        <v>OK</v>
      </c>
    </row>
    <row r="1132" customFormat="false" ht="25" hidden="false" customHeight="false" outlineLevel="0" collapsed="false">
      <c r="A1132" s="0" t="n">
        <v>66</v>
      </c>
      <c r="B1132" s="0" t="n">
        <v>2024</v>
      </c>
      <c r="C1132" s="3" t="n">
        <v>45527</v>
      </c>
      <c r="D1132" s="4" t="s">
        <v>15</v>
      </c>
      <c r="E1132" s="5" t="s">
        <v>40</v>
      </c>
      <c r="F1132" s="5" t="s">
        <v>39</v>
      </c>
      <c r="G1132" s="6"/>
      <c r="H1132" s="7" t="n">
        <v>10</v>
      </c>
      <c r="I1132" s="7" t="n">
        <v>30</v>
      </c>
      <c r="J1132" s="7" t="s">
        <v>308</v>
      </c>
      <c r="K1132" s="7" t="s">
        <v>309</v>
      </c>
      <c r="L1132" s="0" t="str">
        <f aca="false">IF(H1132&gt;I1132,"ERRO","OK")</f>
        <v>OK</v>
      </c>
      <c r="M1132" s="0" t="str">
        <f aca="false">IF(H1132&gt;J1132,"ERRO","OK")</f>
        <v>OK</v>
      </c>
      <c r="N1132" s="0" t="str">
        <f aca="false">IF(I1132&lt;J1132,"ERRO","OK")</f>
        <v>ERRO</v>
      </c>
    </row>
    <row r="1133" customFormat="false" ht="36.5" hidden="false" customHeight="false" outlineLevel="0" collapsed="false">
      <c r="A1133" s="0" t="n">
        <v>66</v>
      </c>
      <c r="B1133" s="0" t="n">
        <v>2024</v>
      </c>
      <c r="C1133" s="3" t="n">
        <v>45527</v>
      </c>
      <c r="D1133" s="8" t="s">
        <v>42</v>
      </c>
      <c r="E1133" s="9" t="s">
        <v>157</v>
      </c>
      <c r="F1133" s="9" t="s">
        <v>158</v>
      </c>
      <c r="G1133" s="10"/>
      <c r="H1133" s="11" t="n">
        <v>75</v>
      </c>
      <c r="I1133" s="11" t="n">
        <v>75</v>
      </c>
      <c r="J1133" s="11" t="n">
        <v>75</v>
      </c>
      <c r="K1133" s="11" t="n">
        <v>75</v>
      </c>
      <c r="L1133" s="0" t="str">
        <f aca="false">IF(H1133&gt;I1133,"ERRO","OK")</f>
        <v>OK</v>
      </c>
      <c r="M1133" s="0" t="str">
        <f aca="false">IF(H1133&gt;J1133,"ERRO","OK")</f>
        <v>OK</v>
      </c>
      <c r="N1133" s="0" t="str">
        <f aca="false">IF(I1133&lt;J1133,"ERRO","OK")</f>
        <v>OK</v>
      </c>
    </row>
    <row r="1134" customFormat="false" ht="36.5" hidden="false" customHeight="false" outlineLevel="0" collapsed="false">
      <c r="A1134" s="0" t="n">
        <v>66</v>
      </c>
      <c r="B1134" s="0" t="n">
        <v>2024</v>
      </c>
      <c r="C1134" s="3" t="n">
        <v>45527</v>
      </c>
      <c r="D1134" s="4" t="s">
        <v>42</v>
      </c>
      <c r="E1134" s="5" t="s">
        <v>43</v>
      </c>
      <c r="F1134" s="5" t="s">
        <v>44</v>
      </c>
      <c r="G1134" s="7" t="n">
        <v>60</v>
      </c>
      <c r="H1134" s="7" t="n">
        <v>50</v>
      </c>
      <c r="I1134" s="7" t="n">
        <v>60</v>
      </c>
      <c r="J1134" s="7" t="n">
        <v>57</v>
      </c>
      <c r="K1134" s="7" t="n">
        <v>60</v>
      </c>
      <c r="L1134" s="0" t="str">
        <f aca="false">IF(H1134&gt;I1134,"ERRO","OK")</f>
        <v>OK</v>
      </c>
      <c r="M1134" s="0" t="str">
        <f aca="false">IF(H1134&gt;J1134,"ERRO","OK")</f>
        <v>OK</v>
      </c>
      <c r="N1134" s="0" t="str">
        <f aca="false">IF(I1134&lt;J1134,"ERRO","OK")</f>
        <v>OK</v>
      </c>
    </row>
    <row r="1135" customFormat="false" ht="36.5" hidden="false" customHeight="false" outlineLevel="0" collapsed="false">
      <c r="A1135" s="0" t="n">
        <v>66</v>
      </c>
      <c r="B1135" s="0" t="n">
        <v>2024</v>
      </c>
      <c r="C1135" s="3" t="n">
        <v>45527</v>
      </c>
      <c r="D1135" s="8" t="s">
        <v>42</v>
      </c>
      <c r="E1135" s="9" t="s">
        <v>46</v>
      </c>
      <c r="F1135" s="9" t="s">
        <v>47</v>
      </c>
      <c r="G1135" s="11" t="n">
        <v>70</v>
      </c>
      <c r="H1135" s="11" t="n">
        <v>45</v>
      </c>
      <c r="I1135" s="11" t="n">
        <v>70</v>
      </c>
      <c r="J1135" s="11" t="n">
        <v>63</v>
      </c>
      <c r="K1135" s="11" t="n">
        <v>70</v>
      </c>
      <c r="L1135" s="0" t="str">
        <f aca="false">IF(H1135&gt;I1135,"ERRO","OK")</f>
        <v>OK</v>
      </c>
      <c r="M1135" s="0" t="str">
        <f aca="false">IF(H1135&gt;J1135,"ERRO","OK")</f>
        <v>OK</v>
      </c>
      <c r="N1135" s="0" t="str">
        <f aca="false">IF(I1135&lt;J1135,"ERRO","OK")</f>
        <v>OK</v>
      </c>
    </row>
    <row r="1136" customFormat="false" ht="36.5" hidden="false" customHeight="false" outlineLevel="0" collapsed="false">
      <c r="A1136" s="0" t="n">
        <v>66</v>
      </c>
      <c r="B1136" s="0" t="n">
        <v>2024</v>
      </c>
      <c r="C1136" s="3" t="n">
        <v>45527</v>
      </c>
      <c r="D1136" s="4" t="s">
        <v>42</v>
      </c>
      <c r="E1136" s="5" t="s">
        <v>48</v>
      </c>
      <c r="F1136" s="5" t="s">
        <v>49</v>
      </c>
      <c r="G1136" s="7" t="n">
        <v>50</v>
      </c>
      <c r="H1136" s="7" t="n">
        <v>45</v>
      </c>
      <c r="I1136" s="7" t="n">
        <v>60</v>
      </c>
      <c r="J1136" s="7" t="n">
        <v>52</v>
      </c>
      <c r="K1136" s="7" t="n">
        <v>50</v>
      </c>
      <c r="L1136" s="0" t="str">
        <f aca="false">IF(H1136&gt;I1136,"ERRO","OK")</f>
        <v>OK</v>
      </c>
      <c r="M1136" s="0" t="str">
        <f aca="false">IF(H1136&gt;J1136,"ERRO","OK")</f>
        <v>OK</v>
      </c>
      <c r="N1136" s="0" t="str">
        <f aca="false">IF(I1136&lt;J1136,"ERRO","OK")</f>
        <v>OK</v>
      </c>
    </row>
    <row r="1137" customFormat="false" ht="36.5" hidden="false" customHeight="false" outlineLevel="0" collapsed="false">
      <c r="A1137" s="0" t="n">
        <v>66</v>
      </c>
      <c r="B1137" s="0" t="n">
        <v>2024</v>
      </c>
      <c r="C1137" s="3" t="n">
        <v>45527</v>
      </c>
      <c r="D1137" s="8" t="s">
        <v>42</v>
      </c>
      <c r="E1137" s="9" t="s">
        <v>52</v>
      </c>
      <c r="F1137" s="9" t="s">
        <v>49</v>
      </c>
      <c r="G1137" s="10"/>
      <c r="H1137" s="11" t="n">
        <v>90</v>
      </c>
      <c r="I1137" s="11" t="n">
        <v>90</v>
      </c>
      <c r="J1137" s="11" t="n">
        <v>90</v>
      </c>
      <c r="K1137" s="11" t="n">
        <v>90</v>
      </c>
      <c r="L1137" s="0" t="str">
        <f aca="false">IF(H1137&gt;I1137,"ERRO","OK")</f>
        <v>OK</v>
      </c>
      <c r="M1137" s="0" t="str">
        <f aca="false">IF(H1137&gt;J1137,"ERRO","OK")</f>
        <v>OK</v>
      </c>
      <c r="N1137" s="0" t="str">
        <f aca="false">IF(I1137&lt;J1137,"ERRO","OK")</f>
        <v>OK</v>
      </c>
    </row>
    <row r="1138" customFormat="false" ht="36.5" hidden="false" customHeight="false" outlineLevel="0" collapsed="false">
      <c r="A1138" s="0" t="n">
        <v>66</v>
      </c>
      <c r="B1138" s="0" t="n">
        <v>2024</v>
      </c>
      <c r="C1138" s="3" t="n">
        <v>45527</v>
      </c>
      <c r="D1138" s="4" t="s">
        <v>42</v>
      </c>
      <c r="E1138" s="5" t="s">
        <v>53</v>
      </c>
      <c r="F1138" s="5" t="s">
        <v>54</v>
      </c>
      <c r="G1138" s="7" t="n">
        <v>70</v>
      </c>
      <c r="H1138" s="7" t="n">
        <v>60</v>
      </c>
      <c r="I1138" s="7" t="n">
        <v>70</v>
      </c>
      <c r="J1138" s="7" t="n">
        <v>65</v>
      </c>
      <c r="K1138" s="7" t="n">
        <v>65</v>
      </c>
      <c r="L1138" s="0" t="str">
        <f aca="false">IF(H1138&gt;I1138,"ERRO","OK")</f>
        <v>OK</v>
      </c>
      <c r="M1138" s="0" t="str">
        <f aca="false">IF(H1138&gt;J1138,"ERRO","OK")</f>
        <v>OK</v>
      </c>
      <c r="N1138" s="0" t="str">
        <f aca="false">IF(I1138&lt;J1138,"ERRO","OK")</f>
        <v>OK</v>
      </c>
    </row>
    <row r="1139" customFormat="false" ht="36.5" hidden="false" customHeight="false" outlineLevel="0" collapsed="false">
      <c r="A1139" s="0" t="n">
        <v>66</v>
      </c>
      <c r="B1139" s="0" t="n">
        <v>2024</v>
      </c>
      <c r="C1139" s="3" t="n">
        <v>45527</v>
      </c>
      <c r="D1139" s="8" t="s">
        <v>42</v>
      </c>
      <c r="E1139" s="9" t="s">
        <v>56</v>
      </c>
      <c r="F1139" s="9" t="s">
        <v>47</v>
      </c>
      <c r="G1139" s="11" t="n">
        <v>60</v>
      </c>
      <c r="H1139" s="11" t="n">
        <v>45</v>
      </c>
      <c r="I1139" s="11" t="n">
        <v>65</v>
      </c>
      <c r="J1139" s="11" t="n">
        <v>57</v>
      </c>
      <c r="K1139" s="11" t="n">
        <v>60</v>
      </c>
      <c r="L1139" s="0" t="str">
        <f aca="false">IF(H1139&gt;I1139,"ERRO","OK")</f>
        <v>OK</v>
      </c>
      <c r="M1139" s="0" t="str">
        <f aca="false">IF(H1139&gt;J1139,"ERRO","OK")</f>
        <v>OK</v>
      </c>
      <c r="N1139" s="0" t="str">
        <f aca="false">IF(I1139&lt;J1139,"ERRO","OK")</f>
        <v>OK</v>
      </c>
    </row>
    <row r="1140" customFormat="false" ht="36.5" hidden="false" customHeight="false" outlineLevel="0" collapsed="false">
      <c r="A1140" s="0" t="n">
        <v>66</v>
      </c>
      <c r="B1140" s="0" t="n">
        <v>2024</v>
      </c>
      <c r="C1140" s="3" t="n">
        <v>45527</v>
      </c>
      <c r="D1140" s="4" t="s">
        <v>42</v>
      </c>
      <c r="E1140" s="5" t="s">
        <v>57</v>
      </c>
      <c r="F1140" s="5" t="s">
        <v>47</v>
      </c>
      <c r="G1140" s="7" t="n">
        <v>60</v>
      </c>
      <c r="H1140" s="7" t="n">
        <v>55</v>
      </c>
      <c r="I1140" s="7" t="n">
        <v>80</v>
      </c>
      <c r="J1140" s="7" t="n">
        <v>66</v>
      </c>
      <c r="K1140" s="7" t="n">
        <v>60</v>
      </c>
      <c r="L1140" s="0" t="str">
        <f aca="false">IF(H1140&gt;I1140,"ERRO","OK")</f>
        <v>OK</v>
      </c>
      <c r="M1140" s="0" t="str">
        <f aca="false">IF(H1140&gt;J1140,"ERRO","OK")</f>
        <v>OK</v>
      </c>
      <c r="N1140" s="0" t="str">
        <f aca="false">IF(I1140&lt;J1140,"ERRO","OK")</f>
        <v>OK</v>
      </c>
    </row>
    <row r="1141" customFormat="false" ht="36.5" hidden="false" customHeight="false" outlineLevel="0" collapsed="false">
      <c r="A1141" s="0" t="n">
        <v>66</v>
      </c>
      <c r="B1141" s="0" t="n">
        <v>2024</v>
      </c>
      <c r="C1141" s="3" t="n">
        <v>45527</v>
      </c>
      <c r="D1141" s="8" t="s">
        <v>42</v>
      </c>
      <c r="E1141" s="9" t="s">
        <v>58</v>
      </c>
      <c r="F1141" s="9" t="s">
        <v>44</v>
      </c>
      <c r="G1141" s="11" t="n">
        <v>90</v>
      </c>
      <c r="H1141" s="11" t="n">
        <v>90</v>
      </c>
      <c r="I1141" s="11" t="n">
        <v>100</v>
      </c>
      <c r="J1141" s="11" t="s">
        <v>310</v>
      </c>
      <c r="K1141" s="11" t="s">
        <v>311</v>
      </c>
      <c r="L1141" s="0" t="str">
        <f aca="false">IF(H1141&gt;I1141,"ERRO","OK")</f>
        <v>OK</v>
      </c>
      <c r="M1141" s="0" t="str">
        <f aca="false">IF(H1141&gt;J1141,"ERRO","OK")</f>
        <v>OK</v>
      </c>
      <c r="N1141" s="0" t="str">
        <f aca="false">IF(I1141&lt;J1141,"ERRO","OK")</f>
        <v>ERRO</v>
      </c>
    </row>
    <row r="1142" customFormat="false" ht="36.5" hidden="false" customHeight="false" outlineLevel="0" collapsed="false">
      <c r="A1142" s="0" t="n">
        <v>66</v>
      </c>
      <c r="B1142" s="0" t="n">
        <v>2024</v>
      </c>
      <c r="C1142" s="3" t="n">
        <v>45527</v>
      </c>
      <c r="D1142" s="4" t="s">
        <v>42</v>
      </c>
      <c r="E1142" s="5" t="s">
        <v>60</v>
      </c>
      <c r="F1142" s="5" t="s">
        <v>47</v>
      </c>
      <c r="G1142" s="6"/>
      <c r="H1142" s="7" t="n">
        <v>50</v>
      </c>
      <c r="I1142" s="7" t="n">
        <v>65</v>
      </c>
      <c r="J1142" s="7" t="s">
        <v>45</v>
      </c>
      <c r="K1142" s="7" t="s">
        <v>45</v>
      </c>
      <c r="L1142" s="0" t="str">
        <f aca="false">IF(H1142&gt;I1142,"ERRO","OK")</f>
        <v>OK</v>
      </c>
      <c r="M1142" s="0" t="str">
        <f aca="false">IF(H1142&gt;J1142,"ERRO","OK")</f>
        <v>OK</v>
      </c>
      <c r="N1142" s="0" t="str">
        <f aca="false">IF(I1142&lt;J1142,"ERRO","OK")</f>
        <v>ERRO</v>
      </c>
    </row>
    <row r="1143" customFormat="false" ht="36.5" hidden="false" customHeight="false" outlineLevel="0" collapsed="false">
      <c r="A1143" s="0" t="n">
        <v>66</v>
      </c>
      <c r="B1143" s="0" t="n">
        <v>2024</v>
      </c>
      <c r="C1143" s="3" t="n">
        <v>45527</v>
      </c>
      <c r="D1143" s="8" t="s">
        <v>42</v>
      </c>
      <c r="E1143" s="9" t="s">
        <v>61</v>
      </c>
      <c r="F1143" s="9" t="s">
        <v>44</v>
      </c>
      <c r="G1143" s="10"/>
      <c r="H1143" s="11" t="n">
        <v>60</v>
      </c>
      <c r="I1143" s="11" t="n">
        <v>85</v>
      </c>
      <c r="J1143" s="11" t="s">
        <v>278</v>
      </c>
      <c r="K1143" s="11" t="n">
        <v>70</v>
      </c>
      <c r="L1143" s="0" t="str">
        <f aca="false">IF(H1143&gt;I1143,"ERRO","OK")</f>
        <v>OK</v>
      </c>
      <c r="M1143" s="0" t="str">
        <f aca="false">IF(H1143&gt;J1143,"ERRO","OK")</f>
        <v>OK</v>
      </c>
      <c r="N1143" s="0" t="str">
        <f aca="false">IF(I1143&lt;J1143,"ERRO","OK")</f>
        <v>ERRO</v>
      </c>
    </row>
    <row r="1144" customFormat="false" ht="36.5" hidden="false" customHeight="false" outlineLevel="0" collapsed="false">
      <c r="A1144" s="0" t="n">
        <v>66</v>
      </c>
      <c r="B1144" s="0" t="n">
        <v>2024</v>
      </c>
      <c r="C1144" s="3" t="n">
        <v>45527</v>
      </c>
      <c r="D1144" s="4" t="s">
        <v>42</v>
      </c>
      <c r="E1144" s="5" t="s">
        <v>62</v>
      </c>
      <c r="F1144" s="5" t="s">
        <v>44</v>
      </c>
      <c r="G1144" s="7" t="n">
        <v>90</v>
      </c>
      <c r="H1144" s="7" t="n">
        <v>80</v>
      </c>
      <c r="I1144" s="7" t="n">
        <v>100</v>
      </c>
      <c r="J1144" s="7" t="n">
        <v>90</v>
      </c>
      <c r="K1144" s="7" t="n">
        <v>90</v>
      </c>
      <c r="L1144" s="0" t="str">
        <f aca="false">IF(H1144&gt;I1144,"ERRO","OK")</f>
        <v>OK</v>
      </c>
      <c r="M1144" s="0" t="str">
        <f aca="false">IF(H1144&gt;J1144,"ERRO","OK")</f>
        <v>OK</v>
      </c>
      <c r="N1144" s="0" t="str">
        <f aca="false">IF(I1144&lt;J1144,"ERRO","OK")</f>
        <v>OK</v>
      </c>
    </row>
    <row r="1145" customFormat="false" ht="36.5" hidden="false" customHeight="false" outlineLevel="0" collapsed="false">
      <c r="A1145" s="0" t="n">
        <v>66</v>
      </c>
      <c r="B1145" s="0" t="n">
        <v>2024</v>
      </c>
      <c r="C1145" s="3" t="n">
        <v>45527</v>
      </c>
      <c r="D1145" s="8" t="s">
        <v>42</v>
      </c>
      <c r="E1145" s="9" t="s">
        <v>63</v>
      </c>
      <c r="F1145" s="9" t="s">
        <v>49</v>
      </c>
      <c r="G1145" s="11" t="n">
        <v>55</v>
      </c>
      <c r="H1145" s="11" t="n">
        <v>50</v>
      </c>
      <c r="I1145" s="11" t="n">
        <v>70</v>
      </c>
      <c r="J1145" s="11" t="n">
        <v>56</v>
      </c>
      <c r="K1145" s="11" t="n">
        <v>55</v>
      </c>
      <c r="L1145" s="0" t="str">
        <f aca="false">IF(H1145&gt;I1145,"ERRO","OK")</f>
        <v>OK</v>
      </c>
      <c r="M1145" s="0" t="str">
        <f aca="false">IF(H1145&gt;J1145,"ERRO","OK")</f>
        <v>OK</v>
      </c>
      <c r="N1145" s="0" t="str">
        <f aca="false">IF(I1145&lt;J1145,"ERRO","OK")</f>
        <v>OK</v>
      </c>
    </row>
    <row r="1146" customFormat="false" ht="36.5" hidden="false" customHeight="false" outlineLevel="0" collapsed="false">
      <c r="A1146" s="0" t="n">
        <v>66</v>
      </c>
      <c r="B1146" s="0" t="n">
        <v>2024</v>
      </c>
      <c r="C1146" s="3" t="n">
        <v>45527</v>
      </c>
      <c r="D1146" s="4" t="s">
        <v>42</v>
      </c>
      <c r="E1146" s="5" t="s">
        <v>64</v>
      </c>
      <c r="F1146" s="5" t="s">
        <v>65</v>
      </c>
      <c r="G1146" s="7" t="n">
        <v>130</v>
      </c>
      <c r="H1146" s="7" t="n">
        <v>130</v>
      </c>
      <c r="I1146" s="7" t="n">
        <v>150</v>
      </c>
      <c r="J1146" s="7" t="s">
        <v>174</v>
      </c>
      <c r="K1146" s="7" t="n">
        <v>135</v>
      </c>
      <c r="L1146" s="0" t="str">
        <f aca="false">IF(H1146&gt;I1146,"ERRO","OK")</f>
        <v>OK</v>
      </c>
      <c r="M1146" s="0" t="str">
        <f aca="false">IF(H1146&gt;J1146,"ERRO","OK")</f>
        <v>OK</v>
      </c>
      <c r="N1146" s="0" t="str">
        <f aca="false">IF(I1146&lt;J1146,"ERRO","OK")</f>
        <v>ERRO</v>
      </c>
    </row>
    <row r="1147" customFormat="false" ht="36.5" hidden="false" customHeight="false" outlineLevel="0" collapsed="false">
      <c r="A1147" s="0" t="n">
        <v>66</v>
      </c>
      <c r="B1147" s="0" t="n">
        <v>2024</v>
      </c>
      <c r="C1147" s="3" t="n">
        <v>45527</v>
      </c>
      <c r="D1147" s="8" t="s">
        <v>42</v>
      </c>
      <c r="E1147" s="9" t="s">
        <v>67</v>
      </c>
      <c r="F1147" s="9" t="s">
        <v>44</v>
      </c>
      <c r="G1147" s="11" t="n">
        <v>60</v>
      </c>
      <c r="H1147" s="11" t="n">
        <v>45</v>
      </c>
      <c r="I1147" s="11" t="n">
        <v>65</v>
      </c>
      <c r="J1147" s="11" t="n">
        <v>58</v>
      </c>
      <c r="K1147" s="11" t="n">
        <v>60</v>
      </c>
      <c r="L1147" s="0" t="str">
        <f aca="false">IF(H1147&gt;I1147,"ERRO","OK")</f>
        <v>OK</v>
      </c>
      <c r="M1147" s="0" t="str">
        <f aca="false">IF(H1147&gt;J1147,"ERRO","OK")</f>
        <v>OK</v>
      </c>
      <c r="N1147" s="0" t="str">
        <f aca="false">IF(I1147&lt;J1147,"ERRO","OK")</f>
        <v>OK</v>
      </c>
    </row>
    <row r="1148" customFormat="false" ht="36.5" hidden="false" customHeight="false" outlineLevel="0" collapsed="false">
      <c r="A1148" s="0" t="n">
        <v>66</v>
      </c>
      <c r="B1148" s="0" t="n">
        <v>2024</v>
      </c>
      <c r="C1148" s="3" t="n">
        <v>45527</v>
      </c>
      <c r="D1148" s="4" t="s">
        <v>42</v>
      </c>
      <c r="E1148" s="5" t="s">
        <v>68</v>
      </c>
      <c r="F1148" s="5" t="s">
        <v>44</v>
      </c>
      <c r="G1148" s="7" t="n">
        <v>150</v>
      </c>
      <c r="H1148" s="7" t="n">
        <v>140</v>
      </c>
      <c r="I1148" s="7" t="n">
        <v>150</v>
      </c>
      <c r="J1148" s="7" t="s">
        <v>312</v>
      </c>
      <c r="K1148" s="7" t="n">
        <v>150</v>
      </c>
      <c r="L1148" s="0" t="str">
        <f aca="false">IF(H1148&gt;I1148,"ERRO","OK")</f>
        <v>OK</v>
      </c>
      <c r="M1148" s="0" t="str">
        <f aca="false">IF(H1148&gt;J1148,"ERRO","OK")</f>
        <v>OK</v>
      </c>
      <c r="N1148" s="0" t="str">
        <f aca="false">IF(I1148&lt;J1148,"ERRO","OK")</f>
        <v>ERRO</v>
      </c>
    </row>
    <row r="1149" customFormat="false" ht="14.25" hidden="false" customHeight="false" outlineLevel="0" collapsed="false">
      <c r="A1149" s="0" t="n">
        <v>66</v>
      </c>
      <c r="B1149" s="0" t="n">
        <v>2024</v>
      </c>
      <c r="C1149" s="3" t="n">
        <v>45527</v>
      </c>
      <c r="D1149" s="8" t="s">
        <v>69</v>
      </c>
      <c r="E1149" s="9" t="s">
        <v>70</v>
      </c>
      <c r="F1149" s="9" t="s">
        <v>49</v>
      </c>
      <c r="G1149" s="10"/>
      <c r="H1149" s="10"/>
      <c r="I1149" s="10"/>
      <c r="J1149" s="10"/>
      <c r="K1149" s="10"/>
      <c r="L1149" s="0" t="str">
        <f aca="false">IF(H1149&gt;I1149,"ERRO","OK")</f>
        <v>OK</v>
      </c>
      <c r="M1149" s="0" t="str">
        <f aca="false">IF(H1149&gt;J1149,"ERRO","OK")</f>
        <v>OK</v>
      </c>
      <c r="N1149" s="0" t="str">
        <f aca="false">IF(I1149&lt;J1149,"ERRO","OK")</f>
        <v>OK</v>
      </c>
    </row>
    <row r="1150" customFormat="false" ht="14.25" hidden="false" customHeight="false" outlineLevel="0" collapsed="false">
      <c r="A1150" s="0" t="n">
        <v>66</v>
      </c>
      <c r="B1150" s="0" t="n">
        <v>2024</v>
      </c>
      <c r="C1150" s="3" t="n">
        <v>45527</v>
      </c>
      <c r="D1150" s="4" t="s">
        <v>69</v>
      </c>
      <c r="E1150" s="5" t="s">
        <v>71</v>
      </c>
      <c r="F1150" s="5" t="s">
        <v>49</v>
      </c>
      <c r="G1150" s="6"/>
      <c r="H1150" s="6"/>
      <c r="I1150" s="6"/>
      <c r="J1150" s="6"/>
      <c r="K1150" s="6"/>
      <c r="L1150" s="0" t="str">
        <f aca="false">IF(H1150&gt;I1150,"ERRO","OK")</f>
        <v>OK</v>
      </c>
      <c r="M1150" s="0" t="str">
        <f aca="false">IF(H1150&gt;J1150,"ERRO","OK")</f>
        <v>OK</v>
      </c>
      <c r="N1150" s="0" t="str">
        <f aca="false">IF(I1150&lt;J1150,"ERRO","OK")</f>
        <v>OK</v>
      </c>
    </row>
    <row r="1151" customFormat="false" ht="14.25" hidden="false" customHeight="false" outlineLevel="0" collapsed="false">
      <c r="A1151" s="0" t="n">
        <v>66</v>
      </c>
      <c r="B1151" s="0" t="n">
        <v>2024</v>
      </c>
      <c r="C1151" s="3" t="n">
        <v>45527</v>
      </c>
      <c r="D1151" s="8" t="s">
        <v>69</v>
      </c>
      <c r="E1151" s="9" t="s">
        <v>72</v>
      </c>
      <c r="F1151" s="9" t="s">
        <v>49</v>
      </c>
      <c r="G1151" s="10"/>
      <c r="H1151" s="10"/>
      <c r="I1151" s="10"/>
      <c r="J1151" s="10"/>
      <c r="K1151" s="10"/>
      <c r="L1151" s="0" t="str">
        <f aca="false">IF(H1151&gt;I1151,"ERRO","OK")</f>
        <v>OK</v>
      </c>
      <c r="M1151" s="0" t="str">
        <f aca="false">IF(H1151&gt;J1151,"ERRO","OK")</f>
        <v>OK</v>
      </c>
      <c r="N1151" s="0" t="str">
        <f aca="false">IF(I1151&lt;J1151,"ERRO","OK")</f>
        <v>OK</v>
      </c>
    </row>
    <row r="1152" customFormat="false" ht="14.25" hidden="false" customHeight="false" outlineLevel="0" collapsed="false">
      <c r="A1152" s="0" t="n">
        <v>66</v>
      </c>
      <c r="B1152" s="0" t="n">
        <v>2024</v>
      </c>
      <c r="C1152" s="3" t="n">
        <v>45527</v>
      </c>
      <c r="D1152" s="4" t="s">
        <v>69</v>
      </c>
      <c r="E1152" s="5" t="s">
        <v>73</v>
      </c>
      <c r="F1152" s="5" t="s">
        <v>49</v>
      </c>
      <c r="G1152" s="6"/>
      <c r="H1152" s="7" t="n">
        <v>60</v>
      </c>
      <c r="I1152" s="7" t="n">
        <v>60</v>
      </c>
      <c r="J1152" s="7" t="n">
        <v>60</v>
      </c>
      <c r="K1152" s="7" t="n">
        <v>60</v>
      </c>
      <c r="L1152" s="0" t="str">
        <f aca="false">IF(H1152&gt;I1152,"ERRO","OK")</f>
        <v>OK</v>
      </c>
      <c r="M1152" s="0" t="str">
        <f aca="false">IF(H1152&gt;J1152,"ERRO","OK")</f>
        <v>OK</v>
      </c>
      <c r="N1152" s="0" t="str">
        <f aca="false">IF(I1152&lt;J1152,"ERRO","OK")</f>
        <v>OK</v>
      </c>
    </row>
    <row r="1153" customFormat="false" ht="14.25" hidden="false" customHeight="false" outlineLevel="0" collapsed="false">
      <c r="A1153" s="0" t="n">
        <v>66</v>
      </c>
      <c r="B1153" s="0" t="n">
        <v>2024</v>
      </c>
      <c r="C1153" s="3" t="n">
        <v>45527</v>
      </c>
      <c r="D1153" s="8" t="s">
        <v>69</v>
      </c>
      <c r="E1153" s="9" t="s">
        <v>74</v>
      </c>
      <c r="F1153" s="9" t="s">
        <v>75</v>
      </c>
      <c r="G1153" s="10"/>
      <c r="H1153" s="10"/>
      <c r="I1153" s="10"/>
      <c r="J1153" s="10"/>
      <c r="K1153" s="10"/>
      <c r="L1153" s="0" t="str">
        <f aca="false">IF(H1153&gt;I1153,"ERRO","OK")</f>
        <v>OK</v>
      </c>
      <c r="M1153" s="0" t="str">
        <f aca="false">IF(H1153&gt;J1153,"ERRO","OK")</f>
        <v>OK</v>
      </c>
      <c r="N1153" s="0" t="str">
        <f aca="false">IF(I1153&lt;J1153,"ERRO","OK")</f>
        <v>OK</v>
      </c>
    </row>
    <row r="1154" customFormat="false" ht="25" hidden="false" customHeight="false" outlineLevel="0" collapsed="false">
      <c r="A1154" s="0" t="n">
        <v>67</v>
      </c>
      <c r="B1154" s="0" t="n">
        <v>2024</v>
      </c>
      <c r="C1154" s="3" t="n">
        <v>45534</v>
      </c>
      <c r="D1154" s="4" t="s">
        <v>15</v>
      </c>
      <c r="E1154" s="5" t="s">
        <v>16</v>
      </c>
      <c r="F1154" s="5" t="s">
        <v>17</v>
      </c>
      <c r="G1154" s="7" t="n">
        <v>48</v>
      </c>
      <c r="H1154" s="7" t="n">
        <v>48</v>
      </c>
      <c r="I1154" s="7" t="n">
        <v>48</v>
      </c>
      <c r="J1154" s="7" t="n">
        <v>48</v>
      </c>
      <c r="K1154" s="7" t="n">
        <v>48</v>
      </c>
      <c r="L1154" s="0" t="str">
        <f aca="false">IF(H1154&gt;I1154,"ERRO","OK")</f>
        <v>OK</v>
      </c>
      <c r="M1154" s="0" t="str">
        <f aca="false">IF(H1154&gt;J1154,"ERRO","OK")</f>
        <v>OK</v>
      </c>
      <c r="N1154" s="0" t="str">
        <f aca="false">IF(I1154&lt;J1154,"ERRO","OK")</f>
        <v>OK</v>
      </c>
    </row>
    <row r="1155" customFormat="false" ht="25" hidden="false" customHeight="false" outlineLevel="0" collapsed="false">
      <c r="A1155" s="0" t="n">
        <v>67</v>
      </c>
      <c r="B1155" s="0" t="n">
        <v>2024</v>
      </c>
      <c r="C1155" s="3" t="n">
        <v>45534</v>
      </c>
      <c r="D1155" s="8" t="s">
        <v>15</v>
      </c>
      <c r="E1155" s="9" t="s">
        <v>18</v>
      </c>
      <c r="F1155" s="9" t="s">
        <v>17</v>
      </c>
      <c r="G1155" s="10"/>
      <c r="H1155" s="11" t="n">
        <v>60</v>
      </c>
      <c r="I1155" s="11" t="n">
        <v>84</v>
      </c>
      <c r="J1155" s="11" t="n">
        <v>72</v>
      </c>
      <c r="K1155" s="11" t="n">
        <v>72</v>
      </c>
      <c r="L1155" s="0" t="str">
        <f aca="false">IF(H1155&gt;I1155,"ERRO","OK")</f>
        <v>OK</v>
      </c>
      <c r="M1155" s="0" t="str">
        <f aca="false">IF(H1155&gt;J1155,"ERRO","OK")</f>
        <v>OK</v>
      </c>
      <c r="N1155" s="0" t="str">
        <f aca="false">IF(I1155&lt;J1155,"ERRO","OK")</f>
        <v>OK</v>
      </c>
    </row>
    <row r="1156" customFormat="false" ht="25" hidden="false" customHeight="false" outlineLevel="0" collapsed="false">
      <c r="A1156" s="0" t="n">
        <v>67</v>
      </c>
      <c r="B1156" s="0" t="n">
        <v>2024</v>
      </c>
      <c r="C1156" s="3" t="n">
        <v>45534</v>
      </c>
      <c r="D1156" s="4" t="s">
        <v>15</v>
      </c>
      <c r="E1156" s="5" t="s">
        <v>19</v>
      </c>
      <c r="F1156" s="5" t="s">
        <v>17</v>
      </c>
      <c r="G1156" s="7" t="n">
        <v>30</v>
      </c>
      <c r="H1156" s="7" t="n">
        <v>30</v>
      </c>
      <c r="I1156" s="7" t="n">
        <v>42</v>
      </c>
      <c r="J1156" s="7" t="s">
        <v>313</v>
      </c>
      <c r="K1156" s="7" t="n">
        <v>33</v>
      </c>
      <c r="L1156" s="0" t="str">
        <f aca="false">IF(H1156&gt;I1156,"ERRO","OK")</f>
        <v>OK</v>
      </c>
      <c r="M1156" s="0" t="str">
        <f aca="false">IF(H1156&gt;J1156,"ERRO","OK")</f>
        <v>OK</v>
      </c>
      <c r="N1156" s="0" t="str">
        <f aca="false">IF(I1156&lt;J1156,"ERRO","OK")</f>
        <v>ERRO</v>
      </c>
    </row>
    <row r="1157" customFormat="false" ht="25" hidden="false" customHeight="false" outlineLevel="0" collapsed="false">
      <c r="A1157" s="0" t="n">
        <v>67</v>
      </c>
      <c r="B1157" s="0" t="n">
        <v>2024</v>
      </c>
      <c r="C1157" s="3" t="n">
        <v>45534</v>
      </c>
      <c r="D1157" s="8" t="s">
        <v>15</v>
      </c>
      <c r="E1157" s="9" t="s">
        <v>20</v>
      </c>
      <c r="F1157" s="9" t="s">
        <v>17</v>
      </c>
      <c r="G1157" s="11" t="n">
        <v>24</v>
      </c>
      <c r="H1157" s="11" t="n">
        <v>18</v>
      </c>
      <c r="I1157" s="11" t="n">
        <v>24</v>
      </c>
      <c r="J1157" s="11" t="n">
        <v>21</v>
      </c>
      <c r="K1157" s="11" t="n">
        <v>21</v>
      </c>
      <c r="L1157" s="0" t="str">
        <f aca="false">IF(H1157&gt;I1157,"ERRO","OK")</f>
        <v>OK</v>
      </c>
      <c r="M1157" s="0" t="str">
        <f aca="false">IF(H1157&gt;J1157,"ERRO","OK")</f>
        <v>OK</v>
      </c>
      <c r="N1157" s="0" t="str">
        <f aca="false">IF(I1157&lt;J1157,"ERRO","OK")</f>
        <v>OK</v>
      </c>
    </row>
    <row r="1158" customFormat="false" ht="25" hidden="false" customHeight="false" outlineLevel="0" collapsed="false">
      <c r="A1158" s="0" t="n">
        <v>67</v>
      </c>
      <c r="B1158" s="0" t="n">
        <v>2024</v>
      </c>
      <c r="C1158" s="3" t="n">
        <v>45534</v>
      </c>
      <c r="D1158" s="4" t="s">
        <v>15</v>
      </c>
      <c r="E1158" s="5" t="s">
        <v>21</v>
      </c>
      <c r="F1158" s="5" t="s">
        <v>17</v>
      </c>
      <c r="G1158" s="7" t="n">
        <v>24</v>
      </c>
      <c r="H1158" s="7" t="n">
        <v>18</v>
      </c>
      <c r="I1158" s="7" t="n">
        <v>24</v>
      </c>
      <c r="J1158" s="7" t="n">
        <v>22</v>
      </c>
      <c r="K1158" s="7" t="n">
        <v>24</v>
      </c>
      <c r="L1158" s="0" t="str">
        <f aca="false">IF(H1158&gt;I1158,"ERRO","OK")</f>
        <v>OK</v>
      </c>
      <c r="M1158" s="0" t="str">
        <f aca="false">IF(H1158&gt;J1158,"ERRO","OK")</f>
        <v>OK</v>
      </c>
      <c r="N1158" s="0" t="str">
        <f aca="false">IF(I1158&lt;J1158,"ERRO","OK")</f>
        <v>OK</v>
      </c>
    </row>
    <row r="1159" customFormat="false" ht="25" hidden="false" customHeight="false" outlineLevel="0" collapsed="false">
      <c r="A1159" s="0" t="n">
        <v>67</v>
      </c>
      <c r="B1159" s="0" t="n">
        <v>2024</v>
      </c>
      <c r="C1159" s="3" t="n">
        <v>45534</v>
      </c>
      <c r="D1159" s="8" t="s">
        <v>15</v>
      </c>
      <c r="E1159" s="9" t="s">
        <v>22</v>
      </c>
      <c r="F1159" s="9" t="s">
        <v>17</v>
      </c>
      <c r="G1159" s="11" t="n">
        <v>60</v>
      </c>
      <c r="H1159" s="11" t="n">
        <v>48</v>
      </c>
      <c r="I1159" s="11" t="n">
        <v>60</v>
      </c>
      <c r="J1159" s="11" t="n">
        <v>56</v>
      </c>
      <c r="K1159" s="11" t="n">
        <v>60</v>
      </c>
      <c r="L1159" s="0" t="str">
        <f aca="false">IF(H1159&gt;I1159,"ERRO","OK")</f>
        <v>OK</v>
      </c>
      <c r="M1159" s="0" t="str">
        <f aca="false">IF(H1159&gt;J1159,"ERRO","OK")</f>
        <v>OK</v>
      </c>
      <c r="N1159" s="0" t="str">
        <f aca="false">IF(I1159&lt;J1159,"ERRO","OK")</f>
        <v>OK</v>
      </c>
    </row>
    <row r="1160" customFormat="false" ht="25" hidden="false" customHeight="false" outlineLevel="0" collapsed="false">
      <c r="A1160" s="0" t="n">
        <v>67</v>
      </c>
      <c r="B1160" s="0" t="n">
        <v>2024</v>
      </c>
      <c r="C1160" s="3" t="n">
        <v>45534</v>
      </c>
      <c r="D1160" s="4" t="s">
        <v>15</v>
      </c>
      <c r="E1160" s="5" t="s">
        <v>23</v>
      </c>
      <c r="F1160" s="5" t="s">
        <v>17</v>
      </c>
      <c r="G1160" s="7" t="n">
        <v>60</v>
      </c>
      <c r="H1160" s="7" t="n">
        <v>60</v>
      </c>
      <c r="I1160" s="7" t="n">
        <v>60</v>
      </c>
      <c r="J1160" s="7" t="n">
        <v>60</v>
      </c>
      <c r="K1160" s="7" t="n">
        <v>60</v>
      </c>
      <c r="L1160" s="0" t="str">
        <f aca="false">IF(H1160&gt;I1160,"ERRO","OK")</f>
        <v>OK</v>
      </c>
      <c r="M1160" s="0" t="str">
        <f aca="false">IF(H1160&gt;J1160,"ERRO","OK")</f>
        <v>OK</v>
      </c>
      <c r="N1160" s="0" t="str">
        <f aca="false">IF(I1160&lt;J1160,"ERRO","OK")</f>
        <v>OK</v>
      </c>
    </row>
    <row r="1161" customFormat="false" ht="25" hidden="false" customHeight="false" outlineLevel="0" collapsed="false">
      <c r="A1161" s="0" t="n">
        <v>67</v>
      </c>
      <c r="B1161" s="0" t="n">
        <v>2024</v>
      </c>
      <c r="C1161" s="3" t="n">
        <v>45534</v>
      </c>
      <c r="D1161" s="8" t="s">
        <v>15</v>
      </c>
      <c r="E1161" s="9" t="s">
        <v>24</v>
      </c>
      <c r="F1161" s="9" t="s">
        <v>17</v>
      </c>
      <c r="G1161" s="11" t="n">
        <v>72</v>
      </c>
      <c r="H1161" s="11" t="n">
        <v>40</v>
      </c>
      <c r="I1161" s="11" t="n">
        <v>72</v>
      </c>
      <c r="J1161" s="11" t="n">
        <v>64</v>
      </c>
      <c r="K1161" s="11" t="n">
        <v>72</v>
      </c>
      <c r="L1161" s="0" t="str">
        <f aca="false">IF(H1161&gt;I1161,"ERRO","OK")</f>
        <v>OK</v>
      </c>
      <c r="M1161" s="0" t="str">
        <f aca="false">IF(H1161&gt;J1161,"ERRO","OK")</f>
        <v>OK</v>
      </c>
      <c r="N1161" s="0" t="str">
        <f aca="false">IF(I1161&lt;J1161,"ERRO","OK")</f>
        <v>OK</v>
      </c>
    </row>
    <row r="1162" customFormat="false" ht="25" hidden="false" customHeight="false" outlineLevel="0" collapsed="false">
      <c r="A1162" s="0" t="n">
        <v>67</v>
      </c>
      <c r="B1162" s="0" t="n">
        <v>2024</v>
      </c>
      <c r="C1162" s="3" t="n">
        <v>45534</v>
      </c>
      <c r="D1162" s="4" t="s">
        <v>15</v>
      </c>
      <c r="E1162" s="5" t="s">
        <v>25</v>
      </c>
      <c r="F1162" s="5" t="s">
        <v>17</v>
      </c>
      <c r="G1162" s="7" t="n">
        <v>24</v>
      </c>
      <c r="H1162" s="7" t="n">
        <v>15</v>
      </c>
      <c r="I1162" s="7" t="n">
        <v>24</v>
      </c>
      <c r="J1162" s="7" t="s">
        <v>124</v>
      </c>
      <c r="K1162" s="7" t="n">
        <v>21</v>
      </c>
      <c r="L1162" s="0" t="str">
        <f aca="false">IF(H1162&gt;I1162,"ERRO","OK")</f>
        <v>OK</v>
      </c>
      <c r="M1162" s="0" t="str">
        <f aca="false">IF(H1162&gt;J1162,"ERRO","OK")</f>
        <v>OK</v>
      </c>
      <c r="N1162" s="0" t="str">
        <f aca="false">IF(I1162&lt;J1162,"ERRO","OK")</f>
        <v>ERRO</v>
      </c>
    </row>
    <row r="1163" customFormat="false" ht="25" hidden="false" customHeight="false" outlineLevel="0" collapsed="false">
      <c r="A1163" s="0" t="n">
        <v>67</v>
      </c>
      <c r="B1163" s="0" t="n">
        <v>2024</v>
      </c>
      <c r="C1163" s="3" t="n">
        <v>45534</v>
      </c>
      <c r="D1163" s="8" t="s">
        <v>15</v>
      </c>
      <c r="E1163" s="9" t="s">
        <v>77</v>
      </c>
      <c r="F1163" s="9" t="s">
        <v>17</v>
      </c>
      <c r="G1163" s="11" t="n">
        <v>60</v>
      </c>
      <c r="H1163" s="11" t="n">
        <v>60</v>
      </c>
      <c r="I1163" s="11" t="n">
        <v>72</v>
      </c>
      <c r="J1163" s="11" t="n">
        <v>64</v>
      </c>
      <c r="K1163" s="11" t="n">
        <v>60</v>
      </c>
      <c r="L1163" s="0" t="str">
        <f aca="false">IF(H1163&gt;I1163,"ERRO","OK")</f>
        <v>OK</v>
      </c>
      <c r="M1163" s="0" t="str">
        <f aca="false">IF(H1163&gt;J1163,"ERRO","OK")</f>
        <v>OK</v>
      </c>
      <c r="N1163" s="0" t="str">
        <f aca="false">IF(I1163&lt;J1163,"ERRO","OK")</f>
        <v>OK</v>
      </c>
    </row>
    <row r="1164" customFormat="false" ht="25" hidden="false" customHeight="false" outlineLevel="0" collapsed="false">
      <c r="A1164" s="0" t="n">
        <v>67</v>
      </c>
      <c r="B1164" s="0" t="n">
        <v>2024</v>
      </c>
      <c r="C1164" s="3" t="n">
        <v>45534</v>
      </c>
      <c r="D1164" s="4" t="s">
        <v>15</v>
      </c>
      <c r="E1164" s="5" t="s">
        <v>27</v>
      </c>
      <c r="F1164" s="5" t="s">
        <v>17</v>
      </c>
      <c r="G1164" s="7" t="n">
        <v>24</v>
      </c>
      <c r="H1164" s="7" t="n">
        <v>18</v>
      </c>
      <c r="I1164" s="7" t="n">
        <v>24</v>
      </c>
      <c r="J1164" s="7" t="s">
        <v>41</v>
      </c>
      <c r="K1164" s="7" t="n">
        <v>24</v>
      </c>
      <c r="L1164" s="0" t="str">
        <f aca="false">IF(H1164&gt;I1164,"ERRO","OK")</f>
        <v>OK</v>
      </c>
      <c r="M1164" s="0" t="str">
        <f aca="false">IF(H1164&gt;J1164,"ERRO","OK")</f>
        <v>OK</v>
      </c>
      <c r="N1164" s="0" t="str">
        <f aca="false">IF(I1164&lt;J1164,"ERRO","OK")</f>
        <v>ERRO</v>
      </c>
    </row>
    <row r="1165" customFormat="false" ht="25" hidden="false" customHeight="false" outlineLevel="0" collapsed="false">
      <c r="A1165" s="0" t="n">
        <v>67</v>
      </c>
      <c r="B1165" s="0" t="n">
        <v>2024</v>
      </c>
      <c r="C1165" s="3" t="n">
        <v>45534</v>
      </c>
      <c r="D1165" s="8" t="s">
        <v>15</v>
      </c>
      <c r="E1165" s="9" t="s">
        <v>28</v>
      </c>
      <c r="F1165" s="9" t="s">
        <v>17</v>
      </c>
      <c r="G1165" s="11" t="n">
        <v>60</v>
      </c>
      <c r="H1165" s="11" t="n">
        <v>48</v>
      </c>
      <c r="I1165" s="11" t="n">
        <v>60</v>
      </c>
      <c r="J1165" s="11" t="n">
        <v>56</v>
      </c>
      <c r="K1165" s="11" t="n">
        <v>60</v>
      </c>
      <c r="L1165" s="0" t="str">
        <f aca="false">IF(H1165&gt;I1165,"ERRO","OK")</f>
        <v>OK</v>
      </c>
      <c r="M1165" s="0" t="str">
        <f aca="false">IF(H1165&gt;J1165,"ERRO","OK")</f>
        <v>OK</v>
      </c>
      <c r="N1165" s="0" t="str">
        <f aca="false">IF(I1165&lt;J1165,"ERRO","OK")</f>
        <v>OK</v>
      </c>
    </row>
    <row r="1166" customFormat="false" ht="25" hidden="false" customHeight="false" outlineLevel="0" collapsed="false">
      <c r="A1166" s="0" t="n">
        <v>67</v>
      </c>
      <c r="B1166" s="0" t="n">
        <v>2024</v>
      </c>
      <c r="C1166" s="3" t="n">
        <v>45534</v>
      </c>
      <c r="D1166" s="4" t="s">
        <v>15</v>
      </c>
      <c r="E1166" s="5" t="s">
        <v>29</v>
      </c>
      <c r="F1166" s="5" t="s">
        <v>30</v>
      </c>
      <c r="G1166" s="7" t="n">
        <v>48</v>
      </c>
      <c r="H1166" s="7" t="n">
        <v>42</v>
      </c>
      <c r="I1166" s="7" t="n">
        <v>48</v>
      </c>
      <c r="J1166" s="7" t="s">
        <v>178</v>
      </c>
      <c r="K1166" s="7" t="n">
        <v>48</v>
      </c>
      <c r="L1166" s="0" t="str">
        <f aca="false">IF(H1166&gt;I1166,"ERRO","OK")</f>
        <v>OK</v>
      </c>
      <c r="M1166" s="0" t="str">
        <f aca="false">IF(H1166&gt;J1166,"ERRO","OK")</f>
        <v>OK</v>
      </c>
      <c r="N1166" s="0" t="str">
        <f aca="false">IF(I1166&lt;J1166,"ERRO","OK")</f>
        <v>ERRO</v>
      </c>
    </row>
    <row r="1167" customFormat="false" ht="25" hidden="false" customHeight="false" outlineLevel="0" collapsed="false">
      <c r="A1167" s="0" t="n">
        <v>67</v>
      </c>
      <c r="B1167" s="0" t="n">
        <v>2024</v>
      </c>
      <c r="C1167" s="3" t="n">
        <v>45534</v>
      </c>
      <c r="D1167" s="8" t="s">
        <v>15</v>
      </c>
      <c r="E1167" s="9" t="s">
        <v>31</v>
      </c>
      <c r="F1167" s="9" t="s">
        <v>17</v>
      </c>
      <c r="G1167" s="11" t="n">
        <v>60</v>
      </c>
      <c r="H1167" s="11" t="n">
        <v>60</v>
      </c>
      <c r="I1167" s="11" t="n">
        <v>60</v>
      </c>
      <c r="J1167" s="11" t="n">
        <v>60</v>
      </c>
      <c r="K1167" s="11" t="n">
        <v>60</v>
      </c>
      <c r="L1167" s="0" t="str">
        <f aca="false">IF(H1167&gt;I1167,"ERRO","OK")</f>
        <v>OK</v>
      </c>
      <c r="M1167" s="0" t="str">
        <f aca="false">IF(H1167&gt;J1167,"ERRO","OK")</f>
        <v>OK</v>
      </c>
      <c r="N1167" s="0" t="str">
        <f aca="false">IF(I1167&lt;J1167,"ERRO","OK")</f>
        <v>OK</v>
      </c>
    </row>
    <row r="1168" customFormat="false" ht="25" hidden="false" customHeight="false" outlineLevel="0" collapsed="false">
      <c r="A1168" s="0" t="n">
        <v>67</v>
      </c>
      <c r="B1168" s="0" t="n">
        <v>2024</v>
      </c>
      <c r="C1168" s="3" t="n">
        <v>45534</v>
      </c>
      <c r="D1168" s="4" t="s">
        <v>15</v>
      </c>
      <c r="E1168" s="5" t="s">
        <v>32</v>
      </c>
      <c r="F1168" s="5" t="s">
        <v>17</v>
      </c>
      <c r="G1168" s="7" t="n">
        <v>36</v>
      </c>
      <c r="H1168" s="7" t="n">
        <v>30</v>
      </c>
      <c r="I1168" s="7" t="n">
        <v>36</v>
      </c>
      <c r="J1168" s="7" t="s">
        <v>110</v>
      </c>
      <c r="K1168" s="7" t="s">
        <v>149</v>
      </c>
      <c r="L1168" s="0" t="str">
        <f aca="false">IF(H1168&gt;I1168,"ERRO","OK")</f>
        <v>OK</v>
      </c>
      <c r="M1168" s="0" t="str">
        <f aca="false">IF(H1168&gt;J1168,"ERRO","OK")</f>
        <v>OK</v>
      </c>
      <c r="N1168" s="0" t="str">
        <f aca="false">IF(I1168&lt;J1168,"ERRO","OK")</f>
        <v>ERRO</v>
      </c>
    </row>
    <row r="1169" customFormat="false" ht="25" hidden="false" customHeight="false" outlineLevel="0" collapsed="false">
      <c r="A1169" s="0" t="n">
        <v>67</v>
      </c>
      <c r="B1169" s="0" t="n">
        <v>2024</v>
      </c>
      <c r="C1169" s="3" t="n">
        <v>45534</v>
      </c>
      <c r="D1169" s="8" t="s">
        <v>15</v>
      </c>
      <c r="E1169" s="9" t="s">
        <v>33</v>
      </c>
      <c r="F1169" s="9" t="s">
        <v>17</v>
      </c>
      <c r="G1169" s="11" t="n">
        <v>48</v>
      </c>
      <c r="H1169" s="11" t="n">
        <v>48</v>
      </c>
      <c r="I1169" s="11" t="n">
        <v>54</v>
      </c>
      <c r="J1169" s="11" t="s">
        <v>177</v>
      </c>
      <c r="K1169" s="11" t="n">
        <v>48</v>
      </c>
      <c r="L1169" s="0" t="str">
        <f aca="false">IF(H1169&gt;I1169,"ERRO","OK")</f>
        <v>OK</v>
      </c>
      <c r="M1169" s="0" t="str">
        <f aca="false">IF(H1169&gt;J1169,"ERRO","OK")</f>
        <v>OK</v>
      </c>
      <c r="N1169" s="0" t="str">
        <f aca="false">IF(I1169&lt;J1169,"ERRO","OK")</f>
        <v>ERRO</v>
      </c>
    </row>
    <row r="1170" customFormat="false" ht="25" hidden="false" customHeight="false" outlineLevel="0" collapsed="false">
      <c r="A1170" s="0" t="n">
        <v>67</v>
      </c>
      <c r="B1170" s="0" t="n">
        <v>2024</v>
      </c>
      <c r="C1170" s="3" t="n">
        <v>45534</v>
      </c>
      <c r="D1170" s="4" t="s">
        <v>15</v>
      </c>
      <c r="E1170" s="5" t="s">
        <v>35</v>
      </c>
      <c r="F1170" s="5" t="s">
        <v>36</v>
      </c>
      <c r="G1170" s="7" t="n">
        <v>5</v>
      </c>
      <c r="H1170" s="7" t="n">
        <v>5</v>
      </c>
      <c r="I1170" s="7" t="n">
        <v>5</v>
      </c>
      <c r="J1170" s="7" t="n">
        <v>5</v>
      </c>
      <c r="K1170" s="7" t="n">
        <v>5</v>
      </c>
      <c r="L1170" s="0" t="str">
        <f aca="false">IF(H1170&gt;I1170,"ERRO","OK")</f>
        <v>OK</v>
      </c>
      <c r="M1170" s="0" t="str">
        <f aca="false">IF(H1170&gt;J1170,"ERRO","OK")</f>
        <v>OK</v>
      </c>
      <c r="N1170" s="0" t="str">
        <f aca="false">IF(I1170&lt;J1170,"ERRO","OK")</f>
        <v>OK</v>
      </c>
    </row>
    <row r="1171" customFormat="false" ht="25" hidden="false" customHeight="false" outlineLevel="0" collapsed="false">
      <c r="A1171" s="0" t="n">
        <v>67</v>
      </c>
      <c r="B1171" s="0" t="n">
        <v>2024</v>
      </c>
      <c r="C1171" s="3" t="n">
        <v>45534</v>
      </c>
      <c r="D1171" s="8" t="s">
        <v>15</v>
      </c>
      <c r="E1171" s="9" t="s">
        <v>38</v>
      </c>
      <c r="F1171" s="9" t="s">
        <v>39</v>
      </c>
      <c r="G1171" s="11" t="n">
        <v>10</v>
      </c>
      <c r="H1171" s="11" t="n">
        <v>10</v>
      </c>
      <c r="I1171" s="11" t="n">
        <v>10</v>
      </c>
      <c r="J1171" s="11" t="n">
        <v>10</v>
      </c>
      <c r="K1171" s="11" t="n">
        <v>10</v>
      </c>
      <c r="L1171" s="0" t="str">
        <f aca="false">IF(H1171&gt;I1171,"ERRO","OK")</f>
        <v>OK</v>
      </c>
      <c r="M1171" s="0" t="str">
        <f aca="false">IF(H1171&gt;J1171,"ERRO","OK")</f>
        <v>OK</v>
      </c>
      <c r="N1171" s="0" t="str">
        <f aca="false">IF(I1171&lt;J1171,"ERRO","OK")</f>
        <v>OK</v>
      </c>
    </row>
    <row r="1172" customFormat="false" ht="25" hidden="false" customHeight="false" outlineLevel="0" collapsed="false">
      <c r="A1172" s="0" t="n">
        <v>67</v>
      </c>
      <c r="B1172" s="0" t="n">
        <v>2024</v>
      </c>
      <c r="C1172" s="3" t="n">
        <v>45534</v>
      </c>
      <c r="D1172" s="4" t="s">
        <v>15</v>
      </c>
      <c r="E1172" s="5" t="s">
        <v>40</v>
      </c>
      <c r="F1172" s="5" t="s">
        <v>39</v>
      </c>
      <c r="G1172" s="7" t="n">
        <v>20</v>
      </c>
      <c r="H1172" s="7" t="n">
        <v>20</v>
      </c>
      <c r="I1172" s="7" t="n">
        <v>30</v>
      </c>
      <c r="J1172" s="7" t="s">
        <v>314</v>
      </c>
      <c r="K1172" s="7" t="s">
        <v>41</v>
      </c>
      <c r="L1172" s="0" t="str">
        <f aca="false">IF(H1172&gt;I1172,"ERRO","OK")</f>
        <v>OK</v>
      </c>
      <c r="M1172" s="0" t="str">
        <f aca="false">IF(H1172&gt;J1172,"ERRO","OK")</f>
        <v>OK</v>
      </c>
      <c r="N1172" s="0" t="str">
        <f aca="false">IF(I1172&lt;J1172,"ERRO","OK")</f>
        <v>ERRO</v>
      </c>
    </row>
    <row r="1173" customFormat="false" ht="36.5" hidden="false" customHeight="false" outlineLevel="0" collapsed="false">
      <c r="A1173" s="0" t="n">
        <v>67</v>
      </c>
      <c r="B1173" s="0" t="n">
        <v>2024</v>
      </c>
      <c r="C1173" s="3" t="n">
        <v>45534</v>
      </c>
      <c r="D1173" s="8" t="s">
        <v>42</v>
      </c>
      <c r="E1173" s="9" t="s">
        <v>157</v>
      </c>
      <c r="F1173" s="9" t="s">
        <v>158</v>
      </c>
      <c r="G1173" s="10"/>
      <c r="H1173" s="11" t="n">
        <v>70</v>
      </c>
      <c r="I1173" s="11" t="n">
        <v>80</v>
      </c>
      <c r="J1173" s="11" t="n">
        <v>75</v>
      </c>
      <c r="K1173" s="11" t="n">
        <v>75</v>
      </c>
      <c r="L1173" s="0" t="str">
        <f aca="false">IF(H1173&gt;I1173,"ERRO","OK")</f>
        <v>OK</v>
      </c>
      <c r="M1173" s="0" t="str">
        <f aca="false">IF(H1173&gt;J1173,"ERRO","OK")</f>
        <v>OK</v>
      </c>
      <c r="N1173" s="0" t="str">
        <f aca="false">IF(I1173&lt;J1173,"ERRO","OK")</f>
        <v>OK</v>
      </c>
    </row>
    <row r="1174" customFormat="false" ht="36.5" hidden="false" customHeight="false" outlineLevel="0" collapsed="false">
      <c r="A1174" s="0" t="n">
        <v>67</v>
      </c>
      <c r="B1174" s="0" t="n">
        <v>2024</v>
      </c>
      <c r="C1174" s="3" t="n">
        <v>45534</v>
      </c>
      <c r="D1174" s="4" t="s">
        <v>42</v>
      </c>
      <c r="E1174" s="5" t="s">
        <v>43</v>
      </c>
      <c r="F1174" s="5" t="s">
        <v>44</v>
      </c>
      <c r="G1174" s="7" t="n">
        <v>60</v>
      </c>
      <c r="H1174" s="7" t="n">
        <v>50</v>
      </c>
      <c r="I1174" s="7" t="n">
        <v>60</v>
      </c>
      <c r="J1174" s="7" t="s">
        <v>45</v>
      </c>
      <c r="K1174" s="7" t="n">
        <v>60</v>
      </c>
      <c r="L1174" s="0" t="str">
        <f aca="false">IF(H1174&gt;I1174,"ERRO","OK")</f>
        <v>OK</v>
      </c>
      <c r="M1174" s="0" t="str">
        <f aca="false">IF(H1174&gt;J1174,"ERRO","OK")</f>
        <v>OK</v>
      </c>
      <c r="N1174" s="0" t="str">
        <f aca="false">IF(I1174&lt;J1174,"ERRO","OK")</f>
        <v>ERRO</v>
      </c>
    </row>
    <row r="1175" customFormat="false" ht="36.5" hidden="false" customHeight="false" outlineLevel="0" collapsed="false">
      <c r="A1175" s="0" t="n">
        <v>67</v>
      </c>
      <c r="B1175" s="0" t="n">
        <v>2024</v>
      </c>
      <c r="C1175" s="3" t="n">
        <v>45534</v>
      </c>
      <c r="D1175" s="8" t="s">
        <v>42</v>
      </c>
      <c r="E1175" s="9" t="s">
        <v>46</v>
      </c>
      <c r="F1175" s="9" t="s">
        <v>47</v>
      </c>
      <c r="G1175" s="10"/>
      <c r="H1175" s="11" t="n">
        <v>35</v>
      </c>
      <c r="I1175" s="11" t="n">
        <v>80</v>
      </c>
      <c r="J1175" s="11" t="n">
        <v>56</v>
      </c>
      <c r="K1175" s="11" t="n">
        <v>50</v>
      </c>
      <c r="L1175" s="0" t="str">
        <f aca="false">IF(H1175&gt;I1175,"ERRO","OK")</f>
        <v>OK</v>
      </c>
      <c r="M1175" s="0" t="str">
        <f aca="false">IF(H1175&gt;J1175,"ERRO","OK")</f>
        <v>OK</v>
      </c>
      <c r="N1175" s="0" t="str">
        <f aca="false">IF(I1175&lt;J1175,"ERRO","OK")</f>
        <v>OK</v>
      </c>
    </row>
    <row r="1176" customFormat="false" ht="36.5" hidden="false" customHeight="false" outlineLevel="0" collapsed="false">
      <c r="A1176" s="0" t="n">
        <v>67</v>
      </c>
      <c r="B1176" s="0" t="n">
        <v>2024</v>
      </c>
      <c r="C1176" s="3" t="n">
        <v>45534</v>
      </c>
      <c r="D1176" s="4" t="s">
        <v>42</v>
      </c>
      <c r="E1176" s="5" t="s">
        <v>48</v>
      </c>
      <c r="F1176" s="5" t="s">
        <v>49</v>
      </c>
      <c r="G1176" s="7" t="n">
        <v>45</v>
      </c>
      <c r="H1176" s="7" t="n">
        <v>45</v>
      </c>
      <c r="I1176" s="7" t="n">
        <v>60</v>
      </c>
      <c r="J1176" s="7" t="n">
        <v>50</v>
      </c>
      <c r="K1176" s="7" t="s">
        <v>95</v>
      </c>
      <c r="L1176" s="0" t="str">
        <f aca="false">IF(H1176&gt;I1176,"ERRO","OK")</f>
        <v>OK</v>
      </c>
      <c r="M1176" s="0" t="str">
        <f aca="false">IF(H1176&gt;J1176,"ERRO","OK")</f>
        <v>OK</v>
      </c>
      <c r="N1176" s="0" t="str">
        <f aca="false">IF(I1176&lt;J1176,"ERRO","OK")</f>
        <v>OK</v>
      </c>
    </row>
    <row r="1177" customFormat="false" ht="36.5" hidden="false" customHeight="false" outlineLevel="0" collapsed="false">
      <c r="A1177" s="0" t="n">
        <v>67</v>
      </c>
      <c r="B1177" s="0" t="n">
        <v>2024</v>
      </c>
      <c r="C1177" s="3" t="n">
        <v>45534</v>
      </c>
      <c r="D1177" s="8" t="s">
        <v>42</v>
      </c>
      <c r="E1177" s="9" t="s">
        <v>52</v>
      </c>
      <c r="F1177" s="9" t="s">
        <v>49</v>
      </c>
      <c r="G1177" s="10"/>
      <c r="H1177" s="10"/>
      <c r="I1177" s="10"/>
      <c r="J1177" s="10"/>
      <c r="K1177" s="10"/>
      <c r="L1177" s="0" t="str">
        <f aca="false">IF(H1177&gt;I1177,"ERRO","OK")</f>
        <v>OK</v>
      </c>
      <c r="M1177" s="0" t="str">
        <f aca="false">IF(H1177&gt;J1177,"ERRO","OK")</f>
        <v>OK</v>
      </c>
      <c r="N1177" s="0" t="str">
        <f aca="false">IF(I1177&lt;J1177,"ERRO","OK")</f>
        <v>OK</v>
      </c>
    </row>
    <row r="1178" customFormat="false" ht="36.5" hidden="false" customHeight="false" outlineLevel="0" collapsed="false">
      <c r="A1178" s="0" t="n">
        <v>67</v>
      </c>
      <c r="B1178" s="0" t="n">
        <v>2024</v>
      </c>
      <c r="C1178" s="3" t="n">
        <v>45534</v>
      </c>
      <c r="D1178" s="4" t="s">
        <v>42</v>
      </c>
      <c r="E1178" s="5" t="s">
        <v>53</v>
      </c>
      <c r="F1178" s="5" t="s">
        <v>54</v>
      </c>
      <c r="G1178" s="7" t="n">
        <v>60</v>
      </c>
      <c r="H1178" s="7" t="n">
        <v>35</v>
      </c>
      <c r="I1178" s="7" t="n">
        <v>70</v>
      </c>
      <c r="J1178" s="7" t="n">
        <v>57</v>
      </c>
      <c r="K1178" s="7" t="n">
        <v>60</v>
      </c>
      <c r="L1178" s="0" t="str">
        <f aca="false">IF(H1178&gt;I1178,"ERRO","OK")</f>
        <v>OK</v>
      </c>
      <c r="M1178" s="0" t="str">
        <f aca="false">IF(H1178&gt;J1178,"ERRO","OK")</f>
        <v>OK</v>
      </c>
      <c r="N1178" s="0" t="str">
        <f aca="false">IF(I1178&lt;J1178,"ERRO","OK")</f>
        <v>OK</v>
      </c>
    </row>
    <row r="1179" customFormat="false" ht="36.5" hidden="false" customHeight="false" outlineLevel="0" collapsed="false">
      <c r="A1179" s="0" t="n">
        <v>67</v>
      </c>
      <c r="B1179" s="0" t="n">
        <v>2024</v>
      </c>
      <c r="C1179" s="3" t="n">
        <v>45534</v>
      </c>
      <c r="D1179" s="8" t="s">
        <v>42</v>
      </c>
      <c r="E1179" s="9" t="s">
        <v>56</v>
      </c>
      <c r="F1179" s="9" t="s">
        <v>47</v>
      </c>
      <c r="G1179" s="11" t="n">
        <v>60</v>
      </c>
      <c r="H1179" s="11" t="n">
        <v>35</v>
      </c>
      <c r="I1179" s="11" t="n">
        <v>60</v>
      </c>
      <c r="J1179" s="11" t="n">
        <v>46</v>
      </c>
      <c r="K1179" s="11" t="n">
        <v>40</v>
      </c>
      <c r="L1179" s="0" t="str">
        <f aca="false">IF(H1179&gt;I1179,"ERRO","OK")</f>
        <v>OK</v>
      </c>
      <c r="M1179" s="0" t="str">
        <f aca="false">IF(H1179&gt;J1179,"ERRO","OK")</f>
        <v>OK</v>
      </c>
      <c r="N1179" s="0" t="str">
        <f aca="false">IF(I1179&lt;J1179,"ERRO","OK")</f>
        <v>OK</v>
      </c>
    </row>
    <row r="1180" customFormat="false" ht="36.5" hidden="false" customHeight="false" outlineLevel="0" collapsed="false">
      <c r="A1180" s="0" t="n">
        <v>67</v>
      </c>
      <c r="B1180" s="0" t="n">
        <v>2024</v>
      </c>
      <c r="C1180" s="3" t="n">
        <v>45534</v>
      </c>
      <c r="D1180" s="4" t="s">
        <v>42</v>
      </c>
      <c r="E1180" s="5" t="s">
        <v>57</v>
      </c>
      <c r="F1180" s="5" t="s">
        <v>47</v>
      </c>
      <c r="G1180" s="6"/>
      <c r="H1180" s="7" t="n">
        <v>50</v>
      </c>
      <c r="I1180" s="7" t="n">
        <v>80</v>
      </c>
      <c r="J1180" s="7" t="n">
        <v>65</v>
      </c>
      <c r="K1180" s="7" t="n">
        <v>65</v>
      </c>
      <c r="L1180" s="0" t="str">
        <f aca="false">IF(H1180&gt;I1180,"ERRO","OK")</f>
        <v>OK</v>
      </c>
      <c r="M1180" s="0" t="str">
        <f aca="false">IF(H1180&gt;J1180,"ERRO","OK")</f>
        <v>OK</v>
      </c>
      <c r="N1180" s="0" t="str">
        <f aca="false">IF(I1180&lt;J1180,"ERRO","OK")</f>
        <v>OK</v>
      </c>
    </row>
    <row r="1181" customFormat="false" ht="36.5" hidden="false" customHeight="false" outlineLevel="0" collapsed="false">
      <c r="A1181" s="0" t="n">
        <v>67</v>
      </c>
      <c r="B1181" s="0" t="n">
        <v>2024</v>
      </c>
      <c r="C1181" s="3" t="n">
        <v>45534</v>
      </c>
      <c r="D1181" s="8" t="s">
        <v>42</v>
      </c>
      <c r="E1181" s="9" t="s">
        <v>58</v>
      </c>
      <c r="F1181" s="9" t="s">
        <v>44</v>
      </c>
      <c r="G1181" s="10"/>
      <c r="H1181" s="11" t="n">
        <v>80</v>
      </c>
      <c r="I1181" s="11" t="n">
        <v>110</v>
      </c>
      <c r="J1181" s="11" t="n">
        <v>95</v>
      </c>
      <c r="K1181" s="11" t="n">
        <v>95</v>
      </c>
      <c r="L1181" s="0" t="str">
        <f aca="false">IF(H1181&gt;I1181,"ERRO","OK")</f>
        <v>OK</v>
      </c>
      <c r="M1181" s="0" t="str">
        <f aca="false">IF(H1181&gt;J1181,"ERRO","OK")</f>
        <v>OK</v>
      </c>
      <c r="N1181" s="0" t="str">
        <f aca="false">IF(I1181&lt;J1181,"ERRO","OK")</f>
        <v>OK</v>
      </c>
    </row>
    <row r="1182" customFormat="false" ht="36.5" hidden="false" customHeight="false" outlineLevel="0" collapsed="false">
      <c r="A1182" s="0" t="n">
        <v>67</v>
      </c>
      <c r="B1182" s="0" t="n">
        <v>2024</v>
      </c>
      <c r="C1182" s="3" t="n">
        <v>45534</v>
      </c>
      <c r="D1182" s="4" t="s">
        <v>42</v>
      </c>
      <c r="E1182" s="5" t="s">
        <v>60</v>
      </c>
      <c r="F1182" s="5" t="s">
        <v>47</v>
      </c>
      <c r="G1182" s="6"/>
      <c r="H1182" s="6"/>
      <c r="I1182" s="6"/>
      <c r="J1182" s="6"/>
      <c r="K1182" s="6"/>
      <c r="L1182" s="0" t="str">
        <f aca="false">IF(H1182&gt;I1182,"ERRO","OK")</f>
        <v>OK</v>
      </c>
      <c r="M1182" s="0" t="str">
        <f aca="false">IF(H1182&gt;J1182,"ERRO","OK")</f>
        <v>OK</v>
      </c>
      <c r="N1182" s="0" t="str">
        <f aca="false">IF(I1182&lt;J1182,"ERRO","OK")</f>
        <v>OK</v>
      </c>
    </row>
    <row r="1183" customFormat="false" ht="36.5" hidden="false" customHeight="false" outlineLevel="0" collapsed="false">
      <c r="A1183" s="0" t="n">
        <v>67</v>
      </c>
      <c r="B1183" s="0" t="n">
        <v>2024</v>
      </c>
      <c r="C1183" s="3" t="n">
        <v>45534</v>
      </c>
      <c r="D1183" s="8" t="s">
        <v>42</v>
      </c>
      <c r="E1183" s="9" t="s">
        <v>61</v>
      </c>
      <c r="F1183" s="9" t="s">
        <v>44</v>
      </c>
      <c r="G1183" s="10"/>
      <c r="H1183" s="11" t="n">
        <v>25</v>
      </c>
      <c r="I1183" s="11" t="n">
        <v>80</v>
      </c>
      <c r="J1183" s="11" t="s">
        <v>262</v>
      </c>
      <c r="K1183" s="11" t="n">
        <v>70</v>
      </c>
      <c r="L1183" s="0" t="str">
        <f aca="false">IF(H1183&gt;I1183,"ERRO","OK")</f>
        <v>OK</v>
      </c>
      <c r="M1183" s="0" t="str">
        <f aca="false">IF(H1183&gt;J1183,"ERRO","OK")</f>
        <v>OK</v>
      </c>
      <c r="N1183" s="0" t="str">
        <f aca="false">IF(I1183&lt;J1183,"ERRO","OK")</f>
        <v>ERRO</v>
      </c>
    </row>
    <row r="1184" customFormat="false" ht="36.5" hidden="false" customHeight="false" outlineLevel="0" collapsed="false">
      <c r="A1184" s="0" t="n">
        <v>67</v>
      </c>
      <c r="B1184" s="0" t="n">
        <v>2024</v>
      </c>
      <c r="C1184" s="3" t="n">
        <v>45534</v>
      </c>
      <c r="D1184" s="4" t="s">
        <v>42</v>
      </c>
      <c r="E1184" s="5" t="s">
        <v>62</v>
      </c>
      <c r="F1184" s="5" t="s">
        <v>44</v>
      </c>
      <c r="G1184" s="6"/>
      <c r="H1184" s="7" t="n">
        <v>70</v>
      </c>
      <c r="I1184" s="7" t="n">
        <v>120</v>
      </c>
      <c r="J1184" s="7" t="n">
        <v>90</v>
      </c>
      <c r="K1184" s="7" t="n">
        <v>80</v>
      </c>
      <c r="L1184" s="0" t="str">
        <f aca="false">IF(H1184&gt;I1184,"ERRO","OK")</f>
        <v>OK</v>
      </c>
      <c r="M1184" s="0" t="str">
        <f aca="false">IF(H1184&gt;J1184,"ERRO","OK")</f>
        <v>OK</v>
      </c>
      <c r="N1184" s="0" t="str">
        <f aca="false">IF(I1184&lt;J1184,"ERRO","OK")</f>
        <v>OK</v>
      </c>
    </row>
    <row r="1185" customFormat="false" ht="36.5" hidden="false" customHeight="false" outlineLevel="0" collapsed="false">
      <c r="A1185" s="0" t="n">
        <v>67</v>
      </c>
      <c r="B1185" s="0" t="n">
        <v>2024</v>
      </c>
      <c r="C1185" s="3" t="n">
        <v>45534</v>
      </c>
      <c r="D1185" s="8" t="s">
        <v>42</v>
      </c>
      <c r="E1185" s="9" t="s">
        <v>63</v>
      </c>
      <c r="F1185" s="9" t="s">
        <v>49</v>
      </c>
      <c r="G1185" s="11" t="n">
        <v>50</v>
      </c>
      <c r="H1185" s="11" t="n">
        <v>25</v>
      </c>
      <c r="I1185" s="11" t="n">
        <v>60</v>
      </c>
      <c r="J1185" s="11" t="n">
        <v>48</v>
      </c>
      <c r="K1185" s="11" t="n">
        <v>50</v>
      </c>
      <c r="L1185" s="0" t="str">
        <f aca="false">IF(H1185&gt;I1185,"ERRO","OK")</f>
        <v>OK</v>
      </c>
      <c r="M1185" s="0" t="str">
        <f aca="false">IF(H1185&gt;J1185,"ERRO","OK")</f>
        <v>OK</v>
      </c>
      <c r="N1185" s="0" t="str">
        <f aca="false">IF(I1185&lt;J1185,"ERRO","OK")</f>
        <v>OK</v>
      </c>
    </row>
    <row r="1186" customFormat="false" ht="36.5" hidden="false" customHeight="false" outlineLevel="0" collapsed="false">
      <c r="A1186" s="0" t="n">
        <v>67</v>
      </c>
      <c r="B1186" s="0" t="n">
        <v>2024</v>
      </c>
      <c r="C1186" s="3" t="n">
        <v>45534</v>
      </c>
      <c r="D1186" s="4" t="s">
        <v>42</v>
      </c>
      <c r="E1186" s="5" t="s">
        <v>64</v>
      </c>
      <c r="F1186" s="5" t="s">
        <v>65</v>
      </c>
      <c r="G1186" s="6"/>
      <c r="H1186" s="7" t="n">
        <v>120</v>
      </c>
      <c r="I1186" s="7" t="n">
        <v>140</v>
      </c>
      <c r="J1186" s="7" t="n">
        <v>130</v>
      </c>
      <c r="K1186" s="7" t="n">
        <v>130</v>
      </c>
      <c r="L1186" s="0" t="str">
        <f aca="false">IF(H1186&gt;I1186,"ERRO","OK")</f>
        <v>OK</v>
      </c>
      <c r="M1186" s="0" t="str">
        <f aca="false">IF(H1186&gt;J1186,"ERRO","OK")</f>
        <v>OK</v>
      </c>
      <c r="N1186" s="0" t="str">
        <f aca="false">IF(I1186&lt;J1186,"ERRO","OK")</f>
        <v>OK</v>
      </c>
    </row>
    <row r="1187" customFormat="false" ht="36.5" hidden="false" customHeight="false" outlineLevel="0" collapsed="false">
      <c r="A1187" s="0" t="n">
        <v>67</v>
      </c>
      <c r="B1187" s="0" t="n">
        <v>2024</v>
      </c>
      <c r="C1187" s="3" t="n">
        <v>45534</v>
      </c>
      <c r="D1187" s="8" t="s">
        <v>42</v>
      </c>
      <c r="E1187" s="9" t="s">
        <v>67</v>
      </c>
      <c r="F1187" s="9" t="s">
        <v>44</v>
      </c>
      <c r="G1187" s="11" t="n">
        <v>60</v>
      </c>
      <c r="H1187" s="11" t="n">
        <v>45</v>
      </c>
      <c r="I1187" s="11" t="n">
        <v>60</v>
      </c>
      <c r="J1187" s="11" t="s">
        <v>96</v>
      </c>
      <c r="K1187" s="11" t="n">
        <v>55</v>
      </c>
      <c r="L1187" s="0" t="str">
        <f aca="false">IF(H1187&gt;I1187,"ERRO","OK")</f>
        <v>OK</v>
      </c>
      <c r="M1187" s="0" t="str">
        <f aca="false">IF(H1187&gt;J1187,"ERRO","OK")</f>
        <v>OK</v>
      </c>
      <c r="N1187" s="0" t="str">
        <f aca="false">IF(I1187&lt;J1187,"ERRO","OK")</f>
        <v>ERRO</v>
      </c>
    </row>
    <row r="1188" customFormat="false" ht="36.5" hidden="false" customHeight="false" outlineLevel="0" collapsed="false">
      <c r="A1188" s="0" t="n">
        <v>67</v>
      </c>
      <c r="B1188" s="0" t="n">
        <v>2024</v>
      </c>
      <c r="C1188" s="3" t="n">
        <v>45534</v>
      </c>
      <c r="D1188" s="4" t="s">
        <v>42</v>
      </c>
      <c r="E1188" s="5" t="s">
        <v>68</v>
      </c>
      <c r="F1188" s="5" t="s">
        <v>44</v>
      </c>
      <c r="G1188" s="6"/>
      <c r="H1188" s="7" t="n">
        <v>120</v>
      </c>
      <c r="I1188" s="7" t="n">
        <v>120</v>
      </c>
      <c r="J1188" s="7" t="n">
        <v>120</v>
      </c>
      <c r="K1188" s="7" t="n">
        <v>120</v>
      </c>
      <c r="L1188" s="0" t="str">
        <f aca="false">IF(H1188&gt;I1188,"ERRO","OK")</f>
        <v>OK</v>
      </c>
      <c r="M1188" s="0" t="str">
        <f aca="false">IF(H1188&gt;J1188,"ERRO","OK")</f>
        <v>OK</v>
      </c>
      <c r="N1188" s="0" t="str">
        <f aca="false">IF(I1188&lt;J1188,"ERRO","OK")</f>
        <v>OK</v>
      </c>
    </row>
    <row r="1189" customFormat="false" ht="14.25" hidden="false" customHeight="false" outlineLevel="0" collapsed="false">
      <c r="A1189" s="0" t="n">
        <v>67</v>
      </c>
      <c r="B1189" s="0" t="n">
        <v>2024</v>
      </c>
      <c r="C1189" s="3" t="n">
        <v>45534</v>
      </c>
      <c r="D1189" s="8" t="s">
        <v>69</v>
      </c>
      <c r="E1189" s="9" t="s">
        <v>70</v>
      </c>
      <c r="F1189" s="9" t="s">
        <v>49</v>
      </c>
      <c r="G1189" s="10"/>
      <c r="H1189" s="10"/>
      <c r="I1189" s="10"/>
      <c r="J1189" s="10"/>
      <c r="K1189" s="10"/>
      <c r="L1189" s="0" t="str">
        <f aca="false">IF(H1189&gt;I1189,"ERRO","OK")</f>
        <v>OK</v>
      </c>
      <c r="M1189" s="0" t="str">
        <f aca="false">IF(H1189&gt;J1189,"ERRO","OK")</f>
        <v>OK</v>
      </c>
      <c r="N1189" s="0" t="str">
        <f aca="false">IF(I1189&lt;J1189,"ERRO","OK")</f>
        <v>OK</v>
      </c>
    </row>
    <row r="1190" customFormat="false" ht="14.25" hidden="false" customHeight="false" outlineLevel="0" collapsed="false">
      <c r="A1190" s="0" t="n">
        <v>67</v>
      </c>
      <c r="B1190" s="0" t="n">
        <v>2024</v>
      </c>
      <c r="C1190" s="3" t="n">
        <v>45534</v>
      </c>
      <c r="D1190" s="4" t="s">
        <v>69</v>
      </c>
      <c r="E1190" s="5" t="s">
        <v>71</v>
      </c>
      <c r="F1190" s="5" t="s">
        <v>49</v>
      </c>
      <c r="G1190" s="6"/>
      <c r="H1190" s="6"/>
      <c r="I1190" s="6"/>
      <c r="J1190" s="6"/>
      <c r="K1190" s="6"/>
      <c r="L1190" s="0" t="str">
        <f aca="false">IF(H1190&gt;I1190,"ERRO","OK")</f>
        <v>OK</v>
      </c>
      <c r="M1190" s="0" t="str">
        <f aca="false">IF(H1190&gt;J1190,"ERRO","OK")</f>
        <v>OK</v>
      </c>
      <c r="N1190" s="0" t="str">
        <f aca="false">IF(I1190&lt;J1190,"ERRO","OK")</f>
        <v>OK</v>
      </c>
    </row>
    <row r="1191" customFormat="false" ht="14.25" hidden="false" customHeight="false" outlineLevel="0" collapsed="false">
      <c r="A1191" s="0" t="n">
        <v>67</v>
      </c>
      <c r="B1191" s="0" t="n">
        <v>2024</v>
      </c>
      <c r="C1191" s="3" t="n">
        <v>45534</v>
      </c>
      <c r="D1191" s="8" t="s">
        <v>69</v>
      </c>
      <c r="E1191" s="9" t="s">
        <v>72</v>
      </c>
      <c r="F1191" s="9" t="s">
        <v>49</v>
      </c>
      <c r="G1191" s="10"/>
      <c r="H1191" s="10"/>
      <c r="I1191" s="10"/>
      <c r="J1191" s="10"/>
      <c r="K1191" s="10"/>
      <c r="L1191" s="0" t="str">
        <f aca="false">IF(H1191&gt;I1191,"ERRO","OK")</f>
        <v>OK</v>
      </c>
      <c r="M1191" s="0" t="str">
        <f aca="false">IF(H1191&gt;J1191,"ERRO","OK")</f>
        <v>OK</v>
      </c>
      <c r="N1191" s="0" t="str">
        <f aca="false">IF(I1191&lt;J1191,"ERRO","OK")</f>
        <v>OK</v>
      </c>
    </row>
    <row r="1192" customFormat="false" ht="14.25" hidden="false" customHeight="false" outlineLevel="0" collapsed="false">
      <c r="A1192" s="0" t="n">
        <v>67</v>
      </c>
      <c r="B1192" s="0" t="n">
        <v>2024</v>
      </c>
      <c r="C1192" s="3" t="n">
        <v>45534</v>
      </c>
      <c r="D1192" s="4" t="s">
        <v>69</v>
      </c>
      <c r="E1192" s="5" t="s">
        <v>73</v>
      </c>
      <c r="F1192" s="5" t="s">
        <v>49</v>
      </c>
      <c r="G1192" s="6"/>
      <c r="H1192" s="7" t="n">
        <v>60</v>
      </c>
      <c r="I1192" s="7" t="n">
        <v>60</v>
      </c>
      <c r="J1192" s="7" t="n">
        <v>60</v>
      </c>
      <c r="K1192" s="7" t="n">
        <v>60</v>
      </c>
      <c r="L1192" s="0" t="str">
        <f aca="false">IF(H1192&gt;I1192,"ERRO","OK")</f>
        <v>OK</v>
      </c>
      <c r="M1192" s="0" t="str">
        <f aca="false">IF(H1192&gt;J1192,"ERRO","OK")</f>
        <v>OK</v>
      </c>
      <c r="N1192" s="0" t="str">
        <f aca="false">IF(I1192&lt;J1192,"ERRO","OK")</f>
        <v>OK</v>
      </c>
    </row>
    <row r="1193" customFormat="false" ht="14.25" hidden="false" customHeight="false" outlineLevel="0" collapsed="false">
      <c r="A1193" s="0" t="n">
        <v>67</v>
      </c>
      <c r="B1193" s="0" t="n">
        <v>2024</v>
      </c>
      <c r="C1193" s="3" t="n">
        <v>45534</v>
      </c>
      <c r="D1193" s="8" t="s">
        <v>69</v>
      </c>
      <c r="E1193" s="9" t="s">
        <v>74</v>
      </c>
      <c r="F1193" s="9" t="s">
        <v>75</v>
      </c>
      <c r="G1193" s="10"/>
      <c r="H1193" s="11" t="n">
        <v>80</v>
      </c>
      <c r="I1193" s="11" t="n">
        <v>80</v>
      </c>
      <c r="J1193" s="11" t="n">
        <v>80</v>
      </c>
      <c r="K1193" s="11" t="n">
        <v>80</v>
      </c>
      <c r="L1193" s="0" t="str">
        <f aca="false">IF(H1193&gt;I1193,"ERRO","OK")</f>
        <v>OK</v>
      </c>
      <c r="M1193" s="0" t="str">
        <f aca="false">IF(H1193&gt;J1193,"ERRO","OK")</f>
        <v>OK</v>
      </c>
      <c r="N1193" s="0" t="str">
        <f aca="false">IF(I1193&lt;J1193,"ERRO","OK")</f>
        <v>OK</v>
      </c>
    </row>
    <row r="1194" customFormat="false" ht="25" hidden="false" customHeight="false" outlineLevel="0" collapsed="false">
      <c r="A1194" s="0" t="n">
        <v>68</v>
      </c>
      <c r="B1194" s="0" t="n">
        <v>2024</v>
      </c>
      <c r="C1194" s="3" t="n">
        <v>45541</v>
      </c>
      <c r="D1194" s="4" t="s">
        <v>15</v>
      </c>
      <c r="E1194" s="5" t="s">
        <v>16</v>
      </c>
      <c r="F1194" s="5" t="s">
        <v>17</v>
      </c>
      <c r="G1194" s="7" t="n">
        <v>48</v>
      </c>
      <c r="H1194" s="7" t="n">
        <v>48</v>
      </c>
      <c r="I1194" s="7" t="n">
        <v>60</v>
      </c>
      <c r="J1194" s="7" t="s">
        <v>315</v>
      </c>
      <c r="K1194" s="7" t="n">
        <v>48</v>
      </c>
      <c r="L1194" s="0" t="str">
        <f aca="false">IF(H1194&gt;I1194,"ERRO","OK")</f>
        <v>OK</v>
      </c>
      <c r="M1194" s="0" t="str">
        <f aca="false">IF(H1194&gt;J1194,"ERRO","OK")</f>
        <v>OK</v>
      </c>
      <c r="N1194" s="0" t="str">
        <f aca="false">IF(I1194&lt;J1194,"ERRO","OK")</f>
        <v>ERRO</v>
      </c>
    </row>
    <row r="1195" customFormat="false" ht="25" hidden="false" customHeight="false" outlineLevel="0" collapsed="false">
      <c r="A1195" s="0" t="n">
        <v>68</v>
      </c>
      <c r="B1195" s="0" t="n">
        <v>2024</v>
      </c>
      <c r="C1195" s="3" t="n">
        <v>45541</v>
      </c>
      <c r="D1195" s="8" t="s">
        <v>15</v>
      </c>
      <c r="E1195" s="9" t="s">
        <v>18</v>
      </c>
      <c r="F1195" s="9" t="s">
        <v>17</v>
      </c>
      <c r="G1195" s="11" t="n">
        <v>72</v>
      </c>
      <c r="H1195" s="11" t="n">
        <v>72</v>
      </c>
      <c r="I1195" s="11" t="n">
        <v>96</v>
      </c>
      <c r="J1195" s="11" t="n">
        <v>81</v>
      </c>
      <c r="K1195" s="11" t="n">
        <v>78</v>
      </c>
      <c r="L1195" s="0" t="str">
        <f aca="false">IF(H1195&gt;I1195,"ERRO","OK")</f>
        <v>OK</v>
      </c>
      <c r="M1195" s="0" t="str">
        <f aca="false">IF(H1195&gt;J1195,"ERRO","OK")</f>
        <v>OK</v>
      </c>
      <c r="N1195" s="0" t="str">
        <f aca="false">IF(I1195&lt;J1195,"ERRO","OK")</f>
        <v>OK</v>
      </c>
    </row>
    <row r="1196" customFormat="false" ht="25" hidden="false" customHeight="false" outlineLevel="0" collapsed="false">
      <c r="A1196" s="0" t="n">
        <v>68</v>
      </c>
      <c r="B1196" s="0" t="n">
        <v>2024</v>
      </c>
      <c r="C1196" s="3" t="n">
        <v>45541</v>
      </c>
      <c r="D1196" s="4" t="s">
        <v>15</v>
      </c>
      <c r="E1196" s="5" t="s">
        <v>19</v>
      </c>
      <c r="F1196" s="5" t="s">
        <v>17</v>
      </c>
      <c r="G1196" s="7" t="n">
        <v>36</v>
      </c>
      <c r="H1196" s="7" t="n">
        <v>25</v>
      </c>
      <c r="I1196" s="7" t="n">
        <v>42</v>
      </c>
      <c r="J1196" s="7" t="n">
        <v>35</v>
      </c>
      <c r="K1196" s="7" t="n">
        <v>36</v>
      </c>
      <c r="L1196" s="0" t="str">
        <f aca="false">IF(H1196&gt;I1196,"ERRO","OK")</f>
        <v>OK</v>
      </c>
      <c r="M1196" s="0" t="str">
        <f aca="false">IF(H1196&gt;J1196,"ERRO","OK")</f>
        <v>OK</v>
      </c>
      <c r="N1196" s="0" t="str">
        <f aca="false">IF(I1196&lt;J1196,"ERRO","OK")</f>
        <v>OK</v>
      </c>
    </row>
    <row r="1197" customFormat="false" ht="25" hidden="false" customHeight="false" outlineLevel="0" collapsed="false">
      <c r="A1197" s="0" t="n">
        <v>68</v>
      </c>
      <c r="B1197" s="0" t="n">
        <v>2024</v>
      </c>
      <c r="C1197" s="3" t="n">
        <v>45541</v>
      </c>
      <c r="D1197" s="8" t="s">
        <v>15</v>
      </c>
      <c r="E1197" s="9" t="s">
        <v>20</v>
      </c>
      <c r="F1197" s="9" t="s">
        <v>17</v>
      </c>
      <c r="G1197" s="11" t="n">
        <v>24</v>
      </c>
      <c r="H1197" s="11" t="n">
        <v>18</v>
      </c>
      <c r="I1197" s="11" t="n">
        <v>24</v>
      </c>
      <c r="J1197" s="11" t="s">
        <v>122</v>
      </c>
      <c r="K1197" s="11" t="n">
        <v>24</v>
      </c>
      <c r="L1197" s="0" t="str">
        <f aca="false">IF(H1197&gt;I1197,"ERRO","OK")</f>
        <v>OK</v>
      </c>
      <c r="M1197" s="0" t="str">
        <f aca="false">IF(H1197&gt;J1197,"ERRO","OK")</f>
        <v>OK</v>
      </c>
      <c r="N1197" s="0" t="str">
        <f aca="false">IF(I1197&lt;J1197,"ERRO","OK")</f>
        <v>ERRO</v>
      </c>
    </row>
    <row r="1198" customFormat="false" ht="25" hidden="false" customHeight="false" outlineLevel="0" collapsed="false">
      <c r="A1198" s="0" t="n">
        <v>68</v>
      </c>
      <c r="B1198" s="0" t="n">
        <v>2024</v>
      </c>
      <c r="C1198" s="3" t="n">
        <v>45541</v>
      </c>
      <c r="D1198" s="4" t="s">
        <v>15</v>
      </c>
      <c r="E1198" s="5" t="s">
        <v>21</v>
      </c>
      <c r="F1198" s="5" t="s">
        <v>17</v>
      </c>
      <c r="G1198" s="7" t="n">
        <v>24</v>
      </c>
      <c r="H1198" s="7" t="n">
        <v>18</v>
      </c>
      <c r="I1198" s="7" t="n">
        <v>24</v>
      </c>
      <c r="J1198" s="7" t="n">
        <v>21</v>
      </c>
      <c r="K1198" s="7" t="n">
        <v>21</v>
      </c>
      <c r="L1198" s="0" t="str">
        <f aca="false">IF(H1198&gt;I1198,"ERRO","OK")</f>
        <v>OK</v>
      </c>
      <c r="M1198" s="0" t="str">
        <f aca="false">IF(H1198&gt;J1198,"ERRO","OK")</f>
        <v>OK</v>
      </c>
      <c r="N1198" s="0" t="str">
        <f aca="false">IF(I1198&lt;J1198,"ERRO","OK")</f>
        <v>OK</v>
      </c>
    </row>
    <row r="1199" customFormat="false" ht="25" hidden="false" customHeight="false" outlineLevel="0" collapsed="false">
      <c r="A1199" s="0" t="n">
        <v>68</v>
      </c>
      <c r="B1199" s="0" t="n">
        <v>2024</v>
      </c>
      <c r="C1199" s="3" t="n">
        <v>45541</v>
      </c>
      <c r="D1199" s="8" t="s">
        <v>15</v>
      </c>
      <c r="E1199" s="9" t="s">
        <v>22</v>
      </c>
      <c r="F1199" s="9" t="s">
        <v>17</v>
      </c>
      <c r="G1199" s="11" t="n">
        <v>60</v>
      </c>
      <c r="H1199" s="11" t="n">
        <v>48</v>
      </c>
      <c r="I1199" s="11" t="n">
        <v>60</v>
      </c>
      <c r="J1199" s="11" t="n">
        <v>54</v>
      </c>
      <c r="K1199" s="11" t="n">
        <v>54</v>
      </c>
      <c r="L1199" s="0" t="str">
        <f aca="false">IF(H1199&gt;I1199,"ERRO","OK")</f>
        <v>OK</v>
      </c>
      <c r="M1199" s="0" t="str">
        <f aca="false">IF(H1199&gt;J1199,"ERRO","OK")</f>
        <v>OK</v>
      </c>
      <c r="N1199" s="0" t="str">
        <f aca="false">IF(I1199&lt;J1199,"ERRO","OK")</f>
        <v>OK</v>
      </c>
    </row>
    <row r="1200" customFormat="false" ht="25" hidden="false" customHeight="false" outlineLevel="0" collapsed="false">
      <c r="A1200" s="0" t="n">
        <v>68</v>
      </c>
      <c r="B1200" s="0" t="n">
        <v>2024</v>
      </c>
      <c r="C1200" s="3" t="n">
        <v>45541</v>
      </c>
      <c r="D1200" s="4" t="s">
        <v>15</v>
      </c>
      <c r="E1200" s="5" t="s">
        <v>23</v>
      </c>
      <c r="F1200" s="5" t="s">
        <v>17</v>
      </c>
      <c r="G1200" s="7" t="n">
        <v>60</v>
      </c>
      <c r="H1200" s="7" t="n">
        <v>48</v>
      </c>
      <c r="I1200" s="7" t="n">
        <v>72</v>
      </c>
      <c r="J1200" s="7" t="n">
        <v>60</v>
      </c>
      <c r="K1200" s="7" t="n">
        <v>60</v>
      </c>
      <c r="L1200" s="0" t="str">
        <f aca="false">IF(H1200&gt;I1200,"ERRO","OK")</f>
        <v>OK</v>
      </c>
      <c r="M1200" s="0" t="str">
        <f aca="false">IF(H1200&gt;J1200,"ERRO","OK")</f>
        <v>OK</v>
      </c>
      <c r="N1200" s="0" t="str">
        <f aca="false">IF(I1200&lt;J1200,"ERRO","OK")</f>
        <v>OK</v>
      </c>
    </row>
    <row r="1201" customFormat="false" ht="25" hidden="false" customHeight="false" outlineLevel="0" collapsed="false">
      <c r="A1201" s="0" t="n">
        <v>68</v>
      </c>
      <c r="B1201" s="0" t="n">
        <v>2024</v>
      </c>
      <c r="C1201" s="3" t="n">
        <v>45541</v>
      </c>
      <c r="D1201" s="8" t="s">
        <v>15</v>
      </c>
      <c r="E1201" s="9" t="s">
        <v>24</v>
      </c>
      <c r="F1201" s="9" t="s">
        <v>17</v>
      </c>
      <c r="G1201" s="11" t="n">
        <v>72</v>
      </c>
      <c r="H1201" s="11" t="n">
        <v>60</v>
      </c>
      <c r="I1201" s="11" t="n">
        <v>72</v>
      </c>
      <c r="J1201" s="11" t="s">
        <v>316</v>
      </c>
      <c r="K1201" s="11" t="n">
        <v>72</v>
      </c>
      <c r="L1201" s="0" t="str">
        <f aca="false">IF(H1201&gt;I1201,"ERRO","OK")</f>
        <v>OK</v>
      </c>
      <c r="M1201" s="0" t="str">
        <f aca="false">IF(H1201&gt;J1201,"ERRO","OK")</f>
        <v>OK</v>
      </c>
      <c r="N1201" s="0" t="str">
        <f aca="false">IF(I1201&lt;J1201,"ERRO","OK")</f>
        <v>ERRO</v>
      </c>
    </row>
    <row r="1202" customFormat="false" ht="25" hidden="false" customHeight="false" outlineLevel="0" collapsed="false">
      <c r="A1202" s="0" t="n">
        <v>68</v>
      </c>
      <c r="B1202" s="0" t="n">
        <v>2024</v>
      </c>
      <c r="C1202" s="3" t="n">
        <v>45541</v>
      </c>
      <c r="D1202" s="4" t="s">
        <v>15</v>
      </c>
      <c r="E1202" s="5" t="s">
        <v>25</v>
      </c>
      <c r="F1202" s="5" t="s">
        <v>17</v>
      </c>
      <c r="G1202" s="7" t="n">
        <v>18</v>
      </c>
      <c r="H1202" s="7" t="n">
        <v>18</v>
      </c>
      <c r="I1202" s="7" t="n">
        <v>24</v>
      </c>
      <c r="J1202" s="7" t="s">
        <v>317</v>
      </c>
      <c r="K1202" s="7" t="n">
        <v>18</v>
      </c>
      <c r="L1202" s="0" t="str">
        <f aca="false">IF(H1202&gt;I1202,"ERRO","OK")</f>
        <v>OK</v>
      </c>
      <c r="M1202" s="0" t="str">
        <f aca="false">IF(H1202&gt;J1202,"ERRO","OK")</f>
        <v>OK</v>
      </c>
      <c r="N1202" s="0" t="str">
        <f aca="false">IF(I1202&lt;J1202,"ERRO","OK")</f>
        <v>ERRO</v>
      </c>
    </row>
    <row r="1203" customFormat="false" ht="25" hidden="false" customHeight="false" outlineLevel="0" collapsed="false">
      <c r="A1203" s="0" t="n">
        <v>68</v>
      </c>
      <c r="B1203" s="0" t="n">
        <v>2024</v>
      </c>
      <c r="C1203" s="3" t="n">
        <v>45541</v>
      </c>
      <c r="D1203" s="8" t="s">
        <v>15</v>
      </c>
      <c r="E1203" s="9" t="s">
        <v>77</v>
      </c>
      <c r="F1203" s="9" t="s">
        <v>17</v>
      </c>
      <c r="G1203" s="11" t="n">
        <v>60</v>
      </c>
      <c r="H1203" s="11" t="n">
        <v>60</v>
      </c>
      <c r="I1203" s="11" t="n">
        <v>78</v>
      </c>
      <c r="J1203" s="11" t="s">
        <v>182</v>
      </c>
      <c r="K1203" s="11" t="n">
        <v>60</v>
      </c>
      <c r="L1203" s="0" t="str">
        <f aca="false">IF(H1203&gt;I1203,"ERRO","OK")</f>
        <v>OK</v>
      </c>
      <c r="M1203" s="0" t="str">
        <f aca="false">IF(H1203&gt;J1203,"ERRO","OK")</f>
        <v>OK</v>
      </c>
      <c r="N1203" s="0" t="str">
        <f aca="false">IF(I1203&lt;J1203,"ERRO","OK")</f>
        <v>ERRO</v>
      </c>
    </row>
    <row r="1204" customFormat="false" ht="25" hidden="false" customHeight="false" outlineLevel="0" collapsed="false">
      <c r="A1204" s="0" t="n">
        <v>68</v>
      </c>
      <c r="B1204" s="0" t="n">
        <v>2024</v>
      </c>
      <c r="C1204" s="3" t="n">
        <v>45541</v>
      </c>
      <c r="D1204" s="4" t="s">
        <v>15</v>
      </c>
      <c r="E1204" s="5" t="s">
        <v>27</v>
      </c>
      <c r="F1204" s="5" t="s">
        <v>17</v>
      </c>
      <c r="G1204" s="7" t="n">
        <v>24</v>
      </c>
      <c r="H1204" s="7" t="n">
        <v>18</v>
      </c>
      <c r="I1204" s="7" t="n">
        <v>24</v>
      </c>
      <c r="J1204" s="7" t="s">
        <v>285</v>
      </c>
      <c r="K1204" s="7" t="n">
        <v>24</v>
      </c>
      <c r="L1204" s="0" t="str">
        <f aca="false">IF(H1204&gt;I1204,"ERRO","OK")</f>
        <v>OK</v>
      </c>
      <c r="M1204" s="0" t="str">
        <f aca="false">IF(H1204&gt;J1204,"ERRO","OK")</f>
        <v>OK</v>
      </c>
      <c r="N1204" s="0" t="str">
        <f aca="false">IF(I1204&lt;J1204,"ERRO","OK")</f>
        <v>ERRO</v>
      </c>
    </row>
    <row r="1205" customFormat="false" ht="25" hidden="false" customHeight="false" outlineLevel="0" collapsed="false">
      <c r="A1205" s="0" t="n">
        <v>68</v>
      </c>
      <c r="B1205" s="0" t="n">
        <v>2024</v>
      </c>
      <c r="C1205" s="3" t="n">
        <v>45541</v>
      </c>
      <c r="D1205" s="8" t="s">
        <v>15</v>
      </c>
      <c r="E1205" s="9" t="s">
        <v>28</v>
      </c>
      <c r="F1205" s="9" t="s">
        <v>17</v>
      </c>
      <c r="G1205" s="11" t="n">
        <v>60</v>
      </c>
      <c r="H1205" s="11" t="n">
        <v>48</v>
      </c>
      <c r="I1205" s="11" t="n">
        <v>60</v>
      </c>
      <c r="J1205" s="11" t="n">
        <v>54</v>
      </c>
      <c r="K1205" s="11" t="n">
        <v>54</v>
      </c>
      <c r="L1205" s="0" t="str">
        <f aca="false">IF(H1205&gt;I1205,"ERRO","OK")</f>
        <v>OK</v>
      </c>
      <c r="M1205" s="0" t="str">
        <f aca="false">IF(H1205&gt;J1205,"ERRO","OK")</f>
        <v>OK</v>
      </c>
      <c r="N1205" s="0" t="str">
        <f aca="false">IF(I1205&lt;J1205,"ERRO","OK")</f>
        <v>OK</v>
      </c>
    </row>
    <row r="1206" customFormat="false" ht="25" hidden="false" customHeight="false" outlineLevel="0" collapsed="false">
      <c r="A1206" s="0" t="n">
        <v>68</v>
      </c>
      <c r="B1206" s="0" t="n">
        <v>2024</v>
      </c>
      <c r="C1206" s="3" t="n">
        <v>45541</v>
      </c>
      <c r="D1206" s="4" t="s">
        <v>15</v>
      </c>
      <c r="E1206" s="5" t="s">
        <v>29</v>
      </c>
      <c r="F1206" s="5" t="s">
        <v>30</v>
      </c>
      <c r="G1206" s="7" t="n">
        <v>48</v>
      </c>
      <c r="H1206" s="7" t="n">
        <v>42</v>
      </c>
      <c r="I1206" s="7" t="n">
        <v>60</v>
      </c>
      <c r="J1206" s="7" t="s">
        <v>304</v>
      </c>
      <c r="K1206" s="7" t="n">
        <v>48</v>
      </c>
      <c r="L1206" s="0" t="str">
        <f aca="false">IF(H1206&gt;I1206,"ERRO","OK")</f>
        <v>OK</v>
      </c>
      <c r="M1206" s="0" t="str">
        <f aca="false">IF(H1206&gt;J1206,"ERRO","OK")</f>
        <v>OK</v>
      </c>
      <c r="N1206" s="0" t="str">
        <f aca="false">IF(I1206&lt;J1206,"ERRO","OK")</f>
        <v>ERRO</v>
      </c>
    </row>
    <row r="1207" customFormat="false" ht="25" hidden="false" customHeight="false" outlineLevel="0" collapsed="false">
      <c r="A1207" s="0" t="n">
        <v>68</v>
      </c>
      <c r="B1207" s="0" t="n">
        <v>2024</v>
      </c>
      <c r="C1207" s="3" t="n">
        <v>45541</v>
      </c>
      <c r="D1207" s="8" t="s">
        <v>15</v>
      </c>
      <c r="E1207" s="9" t="s">
        <v>31</v>
      </c>
      <c r="F1207" s="9" t="s">
        <v>17</v>
      </c>
      <c r="G1207" s="11" t="n">
        <v>48</v>
      </c>
      <c r="H1207" s="11" t="n">
        <v>48</v>
      </c>
      <c r="I1207" s="11" t="n">
        <v>84</v>
      </c>
      <c r="J1207" s="11" t="n">
        <v>60</v>
      </c>
      <c r="K1207" s="11" t="n">
        <v>54</v>
      </c>
      <c r="L1207" s="0" t="str">
        <f aca="false">IF(H1207&gt;I1207,"ERRO","OK")</f>
        <v>OK</v>
      </c>
      <c r="M1207" s="0" t="str">
        <f aca="false">IF(H1207&gt;J1207,"ERRO","OK")</f>
        <v>OK</v>
      </c>
      <c r="N1207" s="0" t="str">
        <f aca="false">IF(I1207&lt;J1207,"ERRO","OK")</f>
        <v>OK</v>
      </c>
    </row>
    <row r="1208" customFormat="false" ht="25" hidden="false" customHeight="false" outlineLevel="0" collapsed="false">
      <c r="A1208" s="0" t="n">
        <v>68</v>
      </c>
      <c r="B1208" s="0" t="n">
        <v>2024</v>
      </c>
      <c r="C1208" s="3" t="n">
        <v>45541</v>
      </c>
      <c r="D1208" s="4" t="s">
        <v>15</v>
      </c>
      <c r="E1208" s="5" t="s">
        <v>32</v>
      </c>
      <c r="F1208" s="5" t="s">
        <v>17</v>
      </c>
      <c r="G1208" s="7" t="n">
        <v>36</v>
      </c>
      <c r="H1208" s="7" t="n">
        <v>20</v>
      </c>
      <c r="I1208" s="7" t="n">
        <v>40</v>
      </c>
      <c r="J1208" s="7" t="s">
        <v>318</v>
      </c>
      <c r="K1208" s="7" t="n">
        <v>36</v>
      </c>
      <c r="L1208" s="0" t="str">
        <f aca="false">IF(H1208&gt;I1208,"ERRO","OK")</f>
        <v>OK</v>
      </c>
      <c r="M1208" s="0" t="str">
        <f aca="false">IF(H1208&gt;J1208,"ERRO","OK")</f>
        <v>OK</v>
      </c>
      <c r="N1208" s="0" t="str">
        <f aca="false">IF(I1208&lt;J1208,"ERRO","OK")</f>
        <v>ERRO</v>
      </c>
    </row>
    <row r="1209" customFormat="false" ht="25" hidden="false" customHeight="false" outlineLevel="0" collapsed="false">
      <c r="A1209" s="0" t="n">
        <v>68</v>
      </c>
      <c r="B1209" s="0" t="n">
        <v>2024</v>
      </c>
      <c r="C1209" s="3" t="n">
        <v>45541</v>
      </c>
      <c r="D1209" s="8" t="s">
        <v>15</v>
      </c>
      <c r="E1209" s="9" t="s">
        <v>33</v>
      </c>
      <c r="F1209" s="9" t="s">
        <v>17</v>
      </c>
      <c r="G1209" s="11" t="n">
        <v>48</v>
      </c>
      <c r="H1209" s="11" t="n">
        <v>48</v>
      </c>
      <c r="I1209" s="11" t="n">
        <v>54</v>
      </c>
      <c r="J1209" s="11" t="s">
        <v>304</v>
      </c>
      <c r="K1209" s="11" t="n">
        <v>48</v>
      </c>
      <c r="L1209" s="0" t="str">
        <f aca="false">IF(H1209&gt;I1209,"ERRO","OK")</f>
        <v>OK</v>
      </c>
      <c r="M1209" s="0" t="str">
        <f aca="false">IF(H1209&gt;J1209,"ERRO","OK")</f>
        <v>OK</v>
      </c>
      <c r="N1209" s="0" t="str">
        <f aca="false">IF(I1209&lt;J1209,"ERRO","OK")</f>
        <v>ERRO</v>
      </c>
    </row>
    <row r="1210" customFormat="false" ht="25" hidden="false" customHeight="false" outlineLevel="0" collapsed="false">
      <c r="A1210" s="0" t="n">
        <v>68</v>
      </c>
      <c r="B1210" s="0" t="n">
        <v>2024</v>
      </c>
      <c r="C1210" s="3" t="n">
        <v>45541</v>
      </c>
      <c r="D1210" s="4" t="s">
        <v>15</v>
      </c>
      <c r="E1210" s="5" t="s">
        <v>35</v>
      </c>
      <c r="F1210" s="5" t="s">
        <v>36</v>
      </c>
      <c r="G1210" s="7" t="n">
        <v>5</v>
      </c>
      <c r="H1210" s="7" t="n">
        <v>5</v>
      </c>
      <c r="I1210" s="7" t="n">
        <v>5</v>
      </c>
      <c r="J1210" s="7" t="n">
        <v>5</v>
      </c>
      <c r="K1210" s="7" t="n">
        <v>5</v>
      </c>
      <c r="L1210" s="0" t="str">
        <f aca="false">IF(H1210&gt;I1210,"ERRO","OK")</f>
        <v>OK</v>
      </c>
      <c r="M1210" s="0" t="str">
        <f aca="false">IF(H1210&gt;J1210,"ERRO","OK")</f>
        <v>OK</v>
      </c>
      <c r="N1210" s="0" t="str">
        <f aca="false">IF(I1210&lt;J1210,"ERRO","OK")</f>
        <v>OK</v>
      </c>
    </row>
    <row r="1211" customFormat="false" ht="25" hidden="false" customHeight="false" outlineLevel="0" collapsed="false">
      <c r="A1211" s="0" t="n">
        <v>68</v>
      </c>
      <c r="B1211" s="0" t="n">
        <v>2024</v>
      </c>
      <c r="C1211" s="3" t="n">
        <v>45541</v>
      </c>
      <c r="D1211" s="8" t="s">
        <v>15</v>
      </c>
      <c r="E1211" s="9" t="s">
        <v>38</v>
      </c>
      <c r="F1211" s="9" t="s">
        <v>39</v>
      </c>
      <c r="G1211" s="11" t="n">
        <v>10</v>
      </c>
      <c r="H1211" s="11" t="n">
        <v>10</v>
      </c>
      <c r="I1211" s="11" t="n">
        <v>10</v>
      </c>
      <c r="J1211" s="11" t="n">
        <v>10</v>
      </c>
      <c r="K1211" s="11" t="n">
        <v>10</v>
      </c>
      <c r="L1211" s="0" t="str">
        <f aca="false">IF(H1211&gt;I1211,"ERRO","OK")</f>
        <v>OK</v>
      </c>
      <c r="M1211" s="0" t="str">
        <f aca="false">IF(H1211&gt;J1211,"ERRO","OK")</f>
        <v>OK</v>
      </c>
      <c r="N1211" s="0" t="str">
        <f aca="false">IF(I1211&lt;J1211,"ERRO","OK")</f>
        <v>OK</v>
      </c>
    </row>
    <row r="1212" customFormat="false" ht="25" hidden="false" customHeight="false" outlineLevel="0" collapsed="false">
      <c r="A1212" s="0" t="n">
        <v>68</v>
      </c>
      <c r="B1212" s="0" t="n">
        <v>2024</v>
      </c>
      <c r="C1212" s="3" t="n">
        <v>45541</v>
      </c>
      <c r="D1212" s="4" t="s">
        <v>15</v>
      </c>
      <c r="E1212" s="5" t="s">
        <v>40</v>
      </c>
      <c r="F1212" s="5" t="s">
        <v>39</v>
      </c>
      <c r="G1212" s="7" t="n">
        <v>15</v>
      </c>
      <c r="H1212" s="7" t="n">
        <v>15</v>
      </c>
      <c r="I1212" s="7" t="n">
        <v>30</v>
      </c>
      <c r="J1212" s="7" t="n">
        <v>21</v>
      </c>
      <c r="K1212" s="7" t="n">
        <v>20</v>
      </c>
      <c r="L1212" s="0" t="str">
        <f aca="false">IF(H1212&gt;I1212,"ERRO","OK")</f>
        <v>OK</v>
      </c>
      <c r="M1212" s="0" t="str">
        <f aca="false">IF(H1212&gt;J1212,"ERRO","OK")</f>
        <v>OK</v>
      </c>
      <c r="N1212" s="0" t="str">
        <f aca="false">IF(I1212&lt;J1212,"ERRO","OK")</f>
        <v>OK</v>
      </c>
    </row>
    <row r="1213" customFormat="false" ht="36.5" hidden="false" customHeight="false" outlineLevel="0" collapsed="false">
      <c r="A1213" s="0" t="n">
        <v>68</v>
      </c>
      <c r="B1213" s="0" t="n">
        <v>2024</v>
      </c>
      <c r="C1213" s="3" t="n">
        <v>45541</v>
      </c>
      <c r="D1213" s="8" t="s">
        <v>42</v>
      </c>
      <c r="E1213" s="9" t="s">
        <v>157</v>
      </c>
      <c r="F1213" s="9" t="s">
        <v>158</v>
      </c>
      <c r="G1213" s="11" t="n">
        <v>75</v>
      </c>
      <c r="H1213" s="11" t="n">
        <v>75</v>
      </c>
      <c r="I1213" s="11" t="n">
        <v>75</v>
      </c>
      <c r="J1213" s="11" t="n">
        <v>75</v>
      </c>
      <c r="K1213" s="11" t="n">
        <v>75</v>
      </c>
      <c r="L1213" s="0" t="str">
        <f aca="false">IF(H1213&gt;I1213,"ERRO","OK")</f>
        <v>OK</v>
      </c>
      <c r="M1213" s="0" t="str">
        <f aca="false">IF(H1213&gt;J1213,"ERRO","OK")</f>
        <v>OK</v>
      </c>
      <c r="N1213" s="0" t="str">
        <f aca="false">IF(I1213&lt;J1213,"ERRO","OK")</f>
        <v>OK</v>
      </c>
    </row>
    <row r="1214" customFormat="false" ht="36.5" hidden="false" customHeight="false" outlineLevel="0" collapsed="false">
      <c r="A1214" s="0" t="n">
        <v>68</v>
      </c>
      <c r="B1214" s="0" t="n">
        <v>2024</v>
      </c>
      <c r="C1214" s="3" t="n">
        <v>45541</v>
      </c>
      <c r="D1214" s="4" t="s">
        <v>42</v>
      </c>
      <c r="E1214" s="5" t="s">
        <v>43</v>
      </c>
      <c r="F1214" s="5" t="s">
        <v>44</v>
      </c>
      <c r="G1214" s="7" t="n">
        <v>45</v>
      </c>
      <c r="H1214" s="7" t="n">
        <v>30</v>
      </c>
      <c r="I1214" s="7" t="n">
        <v>50</v>
      </c>
      <c r="J1214" s="7" t="n">
        <v>42</v>
      </c>
      <c r="K1214" s="7" t="n">
        <v>45</v>
      </c>
      <c r="L1214" s="0" t="str">
        <f aca="false">IF(H1214&gt;I1214,"ERRO","OK")</f>
        <v>OK</v>
      </c>
      <c r="M1214" s="0" t="str">
        <f aca="false">IF(H1214&gt;J1214,"ERRO","OK")</f>
        <v>OK</v>
      </c>
      <c r="N1214" s="0" t="str">
        <f aca="false">IF(I1214&lt;J1214,"ERRO","OK")</f>
        <v>OK</v>
      </c>
    </row>
    <row r="1215" customFormat="false" ht="36.5" hidden="false" customHeight="false" outlineLevel="0" collapsed="false">
      <c r="A1215" s="0" t="n">
        <v>68</v>
      </c>
      <c r="B1215" s="0" t="n">
        <v>2024</v>
      </c>
      <c r="C1215" s="3" t="n">
        <v>45541</v>
      </c>
      <c r="D1215" s="8" t="s">
        <v>42</v>
      </c>
      <c r="E1215" s="9" t="s">
        <v>46</v>
      </c>
      <c r="F1215" s="9" t="s">
        <v>47</v>
      </c>
      <c r="G1215" s="11" t="n">
        <v>70</v>
      </c>
      <c r="H1215" s="11" t="n">
        <v>45</v>
      </c>
      <c r="I1215" s="11" t="n">
        <v>70</v>
      </c>
      <c r="J1215" s="11" t="n">
        <v>60</v>
      </c>
      <c r="K1215" s="11" t="n">
        <v>65</v>
      </c>
      <c r="L1215" s="0" t="str">
        <f aca="false">IF(H1215&gt;I1215,"ERRO","OK")</f>
        <v>OK</v>
      </c>
      <c r="M1215" s="0" t="str">
        <f aca="false">IF(H1215&gt;J1215,"ERRO","OK")</f>
        <v>OK</v>
      </c>
      <c r="N1215" s="0" t="str">
        <f aca="false">IF(I1215&lt;J1215,"ERRO","OK")</f>
        <v>OK</v>
      </c>
    </row>
    <row r="1216" customFormat="false" ht="36.5" hidden="false" customHeight="false" outlineLevel="0" collapsed="false">
      <c r="A1216" s="0" t="n">
        <v>68</v>
      </c>
      <c r="B1216" s="0" t="n">
        <v>2024</v>
      </c>
      <c r="C1216" s="3" t="n">
        <v>45541</v>
      </c>
      <c r="D1216" s="4" t="s">
        <v>42</v>
      </c>
      <c r="E1216" s="5" t="s">
        <v>48</v>
      </c>
      <c r="F1216" s="5" t="s">
        <v>49</v>
      </c>
      <c r="G1216" s="7" t="n">
        <v>50</v>
      </c>
      <c r="H1216" s="7" t="n">
        <v>40</v>
      </c>
      <c r="I1216" s="7" t="n">
        <v>50</v>
      </c>
      <c r="J1216" s="7" t="n">
        <v>46</v>
      </c>
      <c r="K1216" s="7" t="n">
        <v>50</v>
      </c>
      <c r="L1216" s="0" t="str">
        <f aca="false">IF(H1216&gt;I1216,"ERRO","OK")</f>
        <v>OK</v>
      </c>
      <c r="M1216" s="0" t="str">
        <f aca="false">IF(H1216&gt;J1216,"ERRO","OK")</f>
        <v>OK</v>
      </c>
      <c r="N1216" s="0" t="str">
        <f aca="false">IF(I1216&lt;J1216,"ERRO","OK")</f>
        <v>OK</v>
      </c>
    </row>
    <row r="1217" customFormat="false" ht="36.5" hidden="false" customHeight="false" outlineLevel="0" collapsed="false">
      <c r="A1217" s="0" t="n">
        <v>68</v>
      </c>
      <c r="B1217" s="0" t="n">
        <v>2024</v>
      </c>
      <c r="C1217" s="3" t="n">
        <v>45541</v>
      </c>
      <c r="D1217" s="8" t="s">
        <v>42</v>
      </c>
      <c r="E1217" s="9" t="s">
        <v>52</v>
      </c>
      <c r="F1217" s="9" t="s">
        <v>49</v>
      </c>
      <c r="G1217" s="10"/>
      <c r="H1217" s="11" t="n">
        <v>90</v>
      </c>
      <c r="I1217" s="11" t="n">
        <v>100</v>
      </c>
      <c r="J1217" s="11" t="n">
        <v>95</v>
      </c>
      <c r="K1217" s="11" t="n">
        <v>95</v>
      </c>
      <c r="L1217" s="0" t="str">
        <f aca="false">IF(H1217&gt;I1217,"ERRO","OK")</f>
        <v>OK</v>
      </c>
      <c r="M1217" s="0" t="str">
        <f aca="false">IF(H1217&gt;J1217,"ERRO","OK")</f>
        <v>OK</v>
      </c>
      <c r="N1217" s="0" t="str">
        <f aca="false">IF(I1217&lt;J1217,"ERRO","OK")</f>
        <v>OK</v>
      </c>
    </row>
    <row r="1218" customFormat="false" ht="36.5" hidden="false" customHeight="false" outlineLevel="0" collapsed="false">
      <c r="A1218" s="0" t="n">
        <v>68</v>
      </c>
      <c r="B1218" s="0" t="n">
        <v>2024</v>
      </c>
      <c r="C1218" s="3" t="n">
        <v>45541</v>
      </c>
      <c r="D1218" s="4" t="s">
        <v>42</v>
      </c>
      <c r="E1218" s="5" t="s">
        <v>53</v>
      </c>
      <c r="F1218" s="5" t="s">
        <v>54</v>
      </c>
      <c r="G1218" s="7" t="n">
        <v>60</v>
      </c>
      <c r="H1218" s="7" t="n">
        <v>60</v>
      </c>
      <c r="I1218" s="7" t="n">
        <v>65</v>
      </c>
      <c r="J1218" s="7" t="n">
        <v>62</v>
      </c>
      <c r="K1218" s="7" t="n">
        <v>60</v>
      </c>
      <c r="L1218" s="0" t="str">
        <f aca="false">IF(H1218&gt;I1218,"ERRO","OK")</f>
        <v>OK</v>
      </c>
      <c r="M1218" s="0" t="str">
        <f aca="false">IF(H1218&gt;J1218,"ERRO","OK")</f>
        <v>OK</v>
      </c>
      <c r="N1218" s="0" t="str">
        <f aca="false">IF(I1218&lt;J1218,"ERRO","OK")</f>
        <v>OK</v>
      </c>
    </row>
    <row r="1219" customFormat="false" ht="36.5" hidden="false" customHeight="false" outlineLevel="0" collapsed="false">
      <c r="A1219" s="0" t="n">
        <v>68</v>
      </c>
      <c r="B1219" s="0" t="n">
        <v>2024</v>
      </c>
      <c r="C1219" s="3" t="n">
        <v>45541</v>
      </c>
      <c r="D1219" s="8" t="s">
        <v>42</v>
      </c>
      <c r="E1219" s="9" t="s">
        <v>56</v>
      </c>
      <c r="F1219" s="9" t="s">
        <v>47</v>
      </c>
      <c r="G1219" s="11" t="n">
        <v>55</v>
      </c>
      <c r="H1219" s="11" t="n">
        <v>35</v>
      </c>
      <c r="I1219" s="11" t="n">
        <v>60</v>
      </c>
      <c r="J1219" s="11" t="n">
        <v>51</v>
      </c>
      <c r="K1219" s="11" t="n">
        <v>55</v>
      </c>
      <c r="L1219" s="0" t="str">
        <f aca="false">IF(H1219&gt;I1219,"ERRO","OK")</f>
        <v>OK</v>
      </c>
      <c r="M1219" s="0" t="str">
        <f aca="false">IF(H1219&gt;J1219,"ERRO","OK")</f>
        <v>OK</v>
      </c>
      <c r="N1219" s="0" t="str">
        <f aca="false">IF(I1219&lt;J1219,"ERRO","OK")</f>
        <v>OK</v>
      </c>
    </row>
    <row r="1220" customFormat="false" ht="36.5" hidden="false" customHeight="false" outlineLevel="0" collapsed="false">
      <c r="A1220" s="0" t="n">
        <v>68</v>
      </c>
      <c r="B1220" s="0" t="n">
        <v>2024</v>
      </c>
      <c r="C1220" s="3" t="n">
        <v>45541</v>
      </c>
      <c r="D1220" s="4" t="s">
        <v>42</v>
      </c>
      <c r="E1220" s="5" t="s">
        <v>57</v>
      </c>
      <c r="F1220" s="5" t="s">
        <v>47</v>
      </c>
      <c r="G1220" s="7" t="n">
        <v>65</v>
      </c>
      <c r="H1220" s="7" t="n">
        <v>50</v>
      </c>
      <c r="I1220" s="7" t="n">
        <v>65</v>
      </c>
      <c r="J1220" s="7" t="n">
        <v>58</v>
      </c>
      <c r="K1220" s="7" t="n">
        <v>60</v>
      </c>
      <c r="L1220" s="0" t="str">
        <f aca="false">IF(H1220&gt;I1220,"ERRO","OK")</f>
        <v>OK</v>
      </c>
      <c r="M1220" s="0" t="str">
        <f aca="false">IF(H1220&gt;J1220,"ERRO","OK")</f>
        <v>OK</v>
      </c>
      <c r="N1220" s="0" t="str">
        <f aca="false">IF(I1220&lt;J1220,"ERRO","OK")</f>
        <v>OK</v>
      </c>
    </row>
    <row r="1221" customFormat="false" ht="36.5" hidden="false" customHeight="false" outlineLevel="0" collapsed="false">
      <c r="A1221" s="0" t="n">
        <v>68</v>
      </c>
      <c r="B1221" s="0" t="n">
        <v>2024</v>
      </c>
      <c r="C1221" s="3" t="n">
        <v>45541</v>
      </c>
      <c r="D1221" s="8" t="s">
        <v>42</v>
      </c>
      <c r="E1221" s="9" t="s">
        <v>58</v>
      </c>
      <c r="F1221" s="9" t="s">
        <v>44</v>
      </c>
      <c r="G1221" s="11" t="n">
        <v>90</v>
      </c>
      <c r="H1221" s="11" t="n">
        <v>70</v>
      </c>
      <c r="I1221" s="11" t="n">
        <v>100</v>
      </c>
      <c r="J1221" s="11" t="s">
        <v>243</v>
      </c>
      <c r="K1221" s="11" t="n">
        <v>90</v>
      </c>
      <c r="L1221" s="0" t="str">
        <f aca="false">IF(H1221&gt;I1221,"ERRO","OK")</f>
        <v>OK</v>
      </c>
      <c r="M1221" s="0" t="str">
        <f aca="false">IF(H1221&gt;J1221,"ERRO","OK")</f>
        <v>OK</v>
      </c>
      <c r="N1221" s="0" t="str">
        <f aca="false">IF(I1221&lt;J1221,"ERRO","OK")</f>
        <v>ERRO</v>
      </c>
    </row>
    <row r="1222" customFormat="false" ht="36.5" hidden="false" customHeight="false" outlineLevel="0" collapsed="false">
      <c r="A1222" s="0" t="n">
        <v>68</v>
      </c>
      <c r="B1222" s="0" t="n">
        <v>2024</v>
      </c>
      <c r="C1222" s="3" t="n">
        <v>45541</v>
      </c>
      <c r="D1222" s="4" t="s">
        <v>42</v>
      </c>
      <c r="E1222" s="5" t="s">
        <v>60</v>
      </c>
      <c r="F1222" s="5" t="s">
        <v>47</v>
      </c>
      <c r="G1222" s="6"/>
      <c r="H1222" s="7" t="n">
        <v>60</v>
      </c>
      <c r="I1222" s="7" t="n">
        <v>60</v>
      </c>
      <c r="J1222" s="7" t="n">
        <v>60</v>
      </c>
      <c r="K1222" s="7" t="n">
        <v>60</v>
      </c>
      <c r="L1222" s="0" t="str">
        <f aca="false">IF(H1222&gt;I1222,"ERRO","OK")</f>
        <v>OK</v>
      </c>
      <c r="M1222" s="0" t="str">
        <f aca="false">IF(H1222&gt;J1222,"ERRO","OK")</f>
        <v>OK</v>
      </c>
      <c r="N1222" s="0" t="str">
        <f aca="false">IF(I1222&lt;J1222,"ERRO","OK")</f>
        <v>OK</v>
      </c>
    </row>
    <row r="1223" customFormat="false" ht="36.5" hidden="false" customHeight="false" outlineLevel="0" collapsed="false">
      <c r="A1223" s="0" t="n">
        <v>68</v>
      </c>
      <c r="B1223" s="0" t="n">
        <v>2024</v>
      </c>
      <c r="C1223" s="3" t="n">
        <v>45541</v>
      </c>
      <c r="D1223" s="8" t="s">
        <v>42</v>
      </c>
      <c r="E1223" s="9" t="s">
        <v>61</v>
      </c>
      <c r="F1223" s="9" t="s">
        <v>44</v>
      </c>
      <c r="G1223" s="10"/>
      <c r="H1223" s="11" t="n">
        <v>70</v>
      </c>
      <c r="I1223" s="11" t="n">
        <v>85</v>
      </c>
      <c r="J1223" s="11" t="s">
        <v>138</v>
      </c>
      <c r="K1223" s="11" t="s">
        <v>138</v>
      </c>
      <c r="L1223" s="0" t="str">
        <f aca="false">IF(H1223&gt;I1223,"ERRO","OK")</f>
        <v>OK</v>
      </c>
      <c r="M1223" s="0" t="str">
        <f aca="false">IF(H1223&gt;J1223,"ERRO","OK")</f>
        <v>OK</v>
      </c>
      <c r="N1223" s="0" t="str">
        <f aca="false">IF(I1223&lt;J1223,"ERRO","OK")</f>
        <v>ERRO</v>
      </c>
    </row>
    <row r="1224" customFormat="false" ht="36.5" hidden="false" customHeight="false" outlineLevel="0" collapsed="false">
      <c r="A1224" s="0" t="n">
        <v>68</v>
      </c>
      <c r="B1224" s="0" t="n">
        <v>2024</v>
      </c>
      <c r="C1224" s="3" t="n">
        <v>45541</v>
      </c>
      <c r="D1224" s="4" t="s">
        <v>42</v>
      </c>
      <c r="E1224" s="5" t="s">
        <v>62</v>
      </c>
      <c r="F1224" s="5" t="s">
        <v>44</v>
      </c>
      <c r="G1224" s="7" t="n">
        <v>120</v>
      </c>
      <c r="H1224" s="7" t="n">
        <v>80</v>
      </c>
      <c r="I1224" s="7" t="n">
        <v>120</v>
      </c>
      <c r="J1224" s="7" t="n">
        <v>103</v>
      </c>
      <c r="K1224" s="7" t="n">
        <v>110</v>
      </c>
      <c r="L1224" s="0" t="str">
        <f aca="false">IF(H1224&gt;I1224,"ERRO","OK")</f>
        <v>OK</v>
      </c>
      <c r="M1224" s="0" t="str">
        <f aca="false">IF(H1224&gt;J1224,"ERRO","OK")</f>
        <v>OK</v>
      </c>
      <c r="N1224" s="0" t="str">
        <f aca="false">IF(I1224&lt;J1224,"ERRO","OK")</f>
        <v>OK</v>
      </c>
    </row>
    <row r="1225" customFormat="false" ht="36.5" hidden="false" customHeight="false" outlineLevel="0" collapsed="false">
      <c r="A1225" s="0" t="n">
        <v>68</v>
      </c>
      <c r="B1225" s="0" t="n">
        <v>2024</v>
      </c>
      <c r="C1225" s="3" t="n">
        <v>45541</v>
      </c>
      <c r="D1225" s="8" t="s">
        <v>42</v>
      </c>
      <c r="E1225" s="9" t="s">
        <v>63</v>
      </c>
      <c r="F1225" s="9" t="s">
        <v>49</v>
      </c>
      <c r="G1225" s="11" t="n">
        <v>50</v>
      </c>
      <c r="H1225" s="11" t="n">
        <v>50</v>
      </c>
      <c r="I1225" s="11" t="n">
        <v>60</v>
      </c>
      <c r="J1225" s="11" t="n">
        <v>53</v>
      </c>
      <c r="K1225" s="11" t="n">
        <v>50</v>
      </c>
      <c r="L1225" s="0" t="str">
        <f aca="false">IF(H1225&gt;I1225,"ERRO","OK")</f>
        <v>OK</v>
      </c>
      <c r="M1225" s="0" t="str">
        <f aca="false">IF(H1225&gt;J1225,"ERRO","OK")</f>
        <v>OK</v>
      </c>
      <c r="N1225" s="0" t="str">
        <f aca="false">IF(I1225&lt;J1225,"ERRO","OK")</f>
        <v>OK</v>
      </c>
    </row>
    <row r="1226" customFormat="false" ht="36.5" hidden="false" customHeight="false" outlineLevel="0" collapsed="false">
      <c r="A1226" s="0" t="n">
        <v>68</v>
      </c>
      <c r="B1226" s="0" t="n">
        <v>2024</v>
      </c>
      <c r="C1226" s="3" t="n">
        <v>45541</v>
      </c>
      <c r="D1226" s="4" t="s">
        <v>42</v>
      </c>
      <c r="E1226" s="5" t="s">
        <v>64</v>
      </c>
      <c r="F1226" s="5" t="s">
        <v>65</v>
      </c>
      <c r="G1226" s="6"/>
      <c r="H1226" s="7" t="n">
        <v>110</v>
      </c>
      <c r="I1226" s="7" t="n">
        <v>160</v>
      </c>
      <c r="J1226" s="7" t="n">
        <v>137</v>
      </c>
      <c r="K1226" s="7" t="n">
        <v>140</v>
      </c>
      <c r="L1226" s="0" t="str">
        <f aca="false">IF(H1226&gt;I1226,"ERRO","OK")</f>
        <v>OK</v>
      </c>
      <c r="M1226" s="0" t="str">
        <f aca="false">IF(H1226&gt;J1226,"ERRO","OK")</f>
        <v>OK</v>
      </c>
      <c r="N1226" s="0" t="str">
        <f aca="false">IF(I1226&lt;J1226,"ERRO","OK")</f>
        <v>OK</v>
      </c>
    </row>
    <row r="1227" customFormat="false" ht="36.5" hidden="false" customHeight="false" outlineLevel="0" collapsed="false">
      <c r="A1227" s="0" t="n">
        <v>68</v>
      </c>
      <c r="B1227" s="0" t="n">
        <v>2024</v>
      </c>
      <c r="C1227" s="3" t="n">
        <v>45541</v>
      </c>
      <c r="D1227" s="8" t="s">
        <v>42</v>
      </c>
      <c r="E1227" s="9" t="s">
        <v>67</v>
      </c>
      <c r="F1227" s="9" t="s">
        <v>44</v>
      </c>
      <c r="G1227" s="11" t="n">
        <v>60</v>
      </c>
      <c r="H1227" s="11" t="n">
        <v>45</v>
      </c>
      <c r="I1227" s="11" t="n">
        <v>60</v>
      </c>
      <c r="J1227" s="11" t="n">
        <v>53</v>
      </c>
      <c r="K1227" s="11" t="n">
        <v>50</v>
      </c>
      <c r="L1227" s="0" t="str">
        <f aca="false">IF(H1227&gt;I1227,"ERRO","OK")</f>
        <v>OK</v>
      </c>
      <c r="M1227" s="0" t="str">
        <f aca="false">IF(H1227&gt;J1227,"ERRO","OK")</f>
        <v>OK</v>
      </c>
      <c r="N1227" s="0" t="str">
        <f aca="false">IF(I1227&lt;J1227,"ERRO","OK")</f>
        <v>OK</v>
      </c>
    </row>
    <row r="1228" customFormat="false" ht="36.5" hidden="false" customHeight="false" outlineLevel="0" collapsed="false">
      <c r="A1228" s="0" t="n">
        <v>68</v>
      </c>
      <c r="B1228" s="0" t="n">
        <v>2024</v>
      </c>
      <c r="C1228" s="3" t="n">
        <v>45541</v>
      </c>
      <c r="D1228" s="4" t="s">
        <v>42</v>
      </c>
      <c r="E1228" s="5" t="s">
        <v>68</v>
      </c>
      <c r="F1228" s="5" t="s">
        <v>44</v>
      </c>
      <c r="G1228" s="6"/>
      <c r="H1228" s="7" t="n">
        <v>120</v>
      </c>
      <c r="I1228" s="7" t="n">
        <v>150</v>
      </c>
      <c r="J1228" s="7" t="n">
        <v>135</v>
      </c>
      <c r="K1228" s="7" t="n">
        <v>135</v>
      </c>
      <c r="L1228" s="0" t="str">
        <f aca="false">IF(H1228&gt;I1228,"ERRO","OK")</f>
        <v>OK</v>
      </c>
      <c r="M1228" s="0" t="str">
        <f aca="false">IF(H1228&gt;J1228,"ERRO","OK")</f>
        <v>OK</v>
      </c>
      <c r="N1228" s="0" t="str">
        <f aca="false">IF(I1228&lt;J1228,"ERRO","OK")</f>
        <v>OK</v>
      </c>
    </row>
    <row r="1229" customFormat="false" ht="14.25" hidden="false" customHeight="false" outlineLevel="0" collapsed="false">
      <c r="A1229" s="0" t="n">
        <v>68</v>
      </c>
      <c r="B1229" s="0" t="n">
        <v>2024</v>
      </c>
      <c r="C1229" s="3" t="n">
        <v>45541</v>
      </c>
      <c r="D1229" s="8" t="s">
        <v>69</v>
      </c>
      <c r="E1229" s="9" t="s">
        <v>70</v>
      </c>
      <c r="F1229" s="9" t="s">
        <v>49</v>
      </c>
      <c r="G1229" s="10"/>
      <c r="H1229" s="10"/>
      <c r="I1229" s="10"/>
      <c r="J1229" s="10"/>
      <c r="K1229" s="10"/>
      <c r="L1229" s="0" t="str">
        <f aca="false">IF(H1229&gt;I1229,"ERRO","OK")</f>
        <v>OK</v>
      </c>
      <c r="M1229" s="0" t="str">
        <f aca="false">IF(H1229&gt;J1229,"ERRO","OK")</f>
        <v>OK</v>
      </c>
      <c r="N1229" s="0" t="str">
        <f aca="false">IF(I1229&lt;J1229,"ERRO","OK")</f>
        <v>OK</v>
      </c>
    </row>
    <row r="1230" customFormat="false" ht="14.25" hidden="false" customHeight="false" outlineLevel="0" collapsed="false">
      <c r="A1230" s="0" t="n">
        <v>68</v>
      </c>
      <c r="B1230" s="0" t="n">
        <v>2024</v>
      </c>
      <c r="C1230" s="3" t="n">
        <v>45541</v>
      </c>
      <c r="D1230" s="4" t="s">
        <v>69</v>
      </c>
      <c r="E1230" s="5" t="s">
        <v>71</v>
      </c>
      <c r="F1230" s="5" t="s">
        <v>49</v>
      </c>
      <c r="G1230" s="6"/>
      <c r="H1230" s="6"/>
      <c r="I1230" s="6"/>
      <c r="J1230" s="6"/>
      <c r="K1230" s="6"/>
      <c r="L1230" s="0" t="str">
        <f aca="false">IF(H1230&gt;I1230,"ERRO","OK")</f>
        <v>OK</v>
      </c>
      <c r="M1230" s="0" t="str">
        <f aca="false">IF(H1230&gt;J1230,"ERRO","OK")</f>
        <v>OK</v>
      </c>
      <c r="N1230" s="0" t="str">
        <f aca="false">IF(I1230&lt;J1230,"ERRO","OK")</f>
        <v>OK</v>
      </c>
    </row>
    <row r="1231" customFormat="false" ht="14.25" hidden="false" customHeight="false" outlineLevel="0" collapsed="false">
      <c r="A1231" s="0" t="n">
        <v>68</v>
      </c>
      <c r="B1231" s="0" t="n">
        <v>2024</v>
      </c>
      <c r="C1231" s="3" t="n">
        <v>45541</v>
      </c>
      <c r="D1231" s="8" t="s">
        <v>69</v>
      </c>
      <c r="E1231" s="9" t="s">
        <v>72</v>
      </c>
      <c r="F1231" s="9" t="s">
        <v>49</v>
      </c>
      <c r="G1231" s="10"/>
      <c r="H1231" s="10"/>
      <c r="I1231" s="10"/>
      <c r="J1231" s="10"/>
      <c r="K1231" s="10"/>
      <c r="L1231" s="0" t="str">
        <f aca="false">IF(H1231&gt;I1231,"ERRO","OK")</f>
        <v>OK</v>
      </c>
      <c r="M1231" s="0" t="str">
        <f aca="false">IF(H1231&gt;J1231,"ERRO","OK")</f>
        <v>OK</v>
      </c>
      <c r="N1231" s="0" t="str">
        <f aca="false">IF(I1231&lt;J1231,"ERRO","OK")</f>
        <v>OK</v>
      </c>
    </row>
    <row r="1232" customFormat="false" ht="14.25" hidden="false" customHeight="false" outlineLevel="0" collapsed="false">
      <c r="A1232" s="0" t="n">
        <v>68</v>
      </c>
      <c r="B1232" s="0" t="n">
        <v>2024</v>
      </c>
      <c r="C1232" s="3" t="n">
        <v>45541</v>
      </c>
      <c r="D1232" s="4" t="s">
        <v>69</v>
      </c>
      <c r="E1232" s="5" t="s">
        <v>73</v>
      </c>
      <c r="F1232" s="5" t="s">
        <v>49</v>
      </c>
      <c r="G1232" s="6"/>
      <c r="H1232" s="7" t="n">
        <v>60</v>
      </c>
      <c r="I1232" s="7" t="n">
        <v>60</v>
      </c>
      <c r="J1232" s="7" t="n">
        <v>60</v>
      </c>
      <c r="K1232" s="7" t="n">
        <v>60</v>
      </c>
      <c r="L1232" s="0" t="str">
        <f aca="false">IF(H1232&gt;I1232,"ERRO","OK")</f>
        <v>OK</v>
      </c>
      <c r="M1232" s="0" t="str">
        <f aca="false">IF(H1232&gt;J1232,"ERRO","OK")</f>
        <v>OK</v>
      </c>
      <c r="N1232" s="0" t="str">
        <f aca="false">IF(I1232&lt;J1232,"ERRO","OK")</f>
        <v>OK</v>
      </c>
    </row>
    <row r="1233" customFormat="false" ht="14.25" hidden="false" customHeight="false" outlineLevel="0" collapsed="false">
      <c r="A1233" s="0" t="n">
        <v>68</v>
      </c>
      <c r="B1233" s="0" t="n">
        <v>2024</v>
      </c>
      <c r="C1233" s="3" t="n">
        <v>45541</v>
      </c>
      <c r="D1233" s="8" t="s">
        <v>69</v>
      </c>
      <c r="E1233" s="9" t="s">
        <v>74</v>
      </c>
      <c r="F1233" s="9" t="s">
        <v>75</v>
      </c>
      <c r="G1233" s="10"/>
      <c r="H1233" s="10"/>
      <c r="I1233" s="10"/>
      <c r="J1233" s="10"/>
      <c r="K1233" s="10"/>
      <c r="L1233" s="0" t="str">
        <f aca="false">IF(H1233&gt;I1233,"ERRO","OK")</f>
        <v>OK</v>
      </c>
      <c r="M1233" s="0" t="str">
        <f aca="false">IF(H1233&gt;J1233,"ERRO","OK")</f>
        <v>OK</v>
      </c>
      <c r="N1233" s="0" t="str">
        <f aca="false">IF(I1233&lt;J1233,"ERRO","OK")</f>
        <v>OK</v>
      </c>
    </row>
    <row r="1234" customFormat="false" ht="25" hidden="false" customHeight="false" outlineLevel="0" collapsed="false">
      <c r="A1234" s="0" t="n">
        <v>69</v>
      </c>
      <c r="B1234" s="0" t="n">
        <v>2024</v>
      </c>
      <c r="C1234" s="3" t="n">
        <v>45548</v>
      </c>
      <c r="D1234" s="4" t="s">
        <v>15</v>
      </c>
      <c r="E1234" s="5" t="s">
        <v>16</v>
      </c>
      <c r="F1234" s="5" t="s">
        <v>17</v>
      </c>
      <c r="G1234" s="7" t="n">
        <v>48</v>
      </c>
      <c r="H1234" s="7" t="n">
        <v>5</v>
      </c>
      <c r="I1234" s="7" t="n">
        <v>48</v>
      </c>
      <c r="J1234" s="7" t="s">
        <v>319</v>
      </c>
      <c r="K1234" s="7" t="n">
        <v>36</v>
      </c>
      <c r="L1234" s="0" t="str">
        <f aca="false">IF(H1234&gt;I1234,"ERRO","OK")</f>
        <v>OK</v>
      </c>
      <c r="M1234" s="0" t="str">
        <f aca="false">IF(H1234&gt;J1234,"ERRO","OK")</f>
        <v>OK</v>
      </c>
      <c r="N1234" s="0" t="str">
        <f aca="false">IF(I1234&lt;J1234,"ERRO","OK")</f>
        <v>ERRO</v>
      </c>
    </row>
    <row r="1235" customFormat="false" ht="25" hidden="false" customHeight="false" outlineLevel="0" collapsed="false">
      <c r="A1235" s="0" t="n">
        <v>69</v>
      </c>
      <c r="B1235" s="0" t="n">
        <v>2024</v>
      </c>
      <c r="C1235" s="3" t="n">
        <v>45548</v>
      </c>
      <c r="D1235" s="8" t="s">
        <v>15</v>
      </c>
      <c r="E1235" s="9" t="s">
        <v>18</v>
      </c>
      <c r="F1235" s="9" t="s">
        <v>17</v>
      </c>
      <c r="G1235" s="11" t="n">
        <v>60</v>
      </c>
      <c r="H1235" s="11" t="n">
        <v>7</v>
      </c>
      <c r="I1235" s="11" t="n">
        <v>72</v>
      </c>
      <c r="J1235" s="11" t="s">
        <v>320</v>
      </c>
      <c r="K1235" s="11" t="n">
        <v>60</v>
      </c>
      <c r="L1235" s="0" t="str">
        <f aca="false">IF(H1235&gt;I1235,"ERRO","OK")</f>
        <v>OK</v>
      </c>
      <c r="M1235" s="0" t="str">
        <f aca="false">IF(H1235&gt;J1235,"ERRO","OK")</f>
        <v>OK</v>
      </c>
      <c r="N1235" s="0" t="str">
        <f aca="false">IF(I1235&lt;J1235,"ERRO","OK")</f>
        <v>ERRO</v>
      </c>
    </row>
    <row r="1236" customFormat="false" ht="25" hidden="false" customHeight="false" outlineLevel="0" collapsed="false">
      <c r="A1236" s="0" t="n">
        <v>69</v>
      </c>
      <c r="B1236" s="0" t="n">
        <v>2024</v>
      </c>
      <c r="C1236" s="3" t="n">
        <v>45548</v>
      </c>
      <c r="D1236" s="4" t="s">
        <v>15</v>
      </c>
      <c r="E1236" s="5" t="s">
        <v>19</v>
      </c>
      <c r="F1236" s="5" t="s">
        <v>17</v>
      </c>
      <c r="G1236" s="7" t="n">
        <v>30</v>
      </c>
      <c r="H1236" s="7" t="n">
        <v>30</v>
      </c>
      <c r="I1236" s="7" t="n">
        <v>36</v>
      </c>
      <c r="J1236" s="7" t="n">
        <v>31</v>
      </c>
      <c r="K1236" s="7" t="n">
        <v>30</v>
      </c>
      <c r="L1236" s="0" t="str">
        <f aca="false">IF(H1236&gt;I1236,"ERRO","OK")</f>
        <v>OK</v>
      </c>
      <c r="M1236" s="0" t="str">
        <f aca="false">IF(H1236&gt;J1236,"ERRO","OK")</f>
        <v>OK</v>
      </c>
      <c r="N1236" s="0" t="str">
        <f aca="false">IF(I1236&lt;J1236,"ERRO","OK")</f>
        <v>OK</v>
      </c>
    </row>
    <row r="1237" customFormat="false" ht="25" hidden="false" customHeight="false" outlineLevel="0" collapsed="false">
      <c r="A1237" s="0" t="n">
        <v>69</v>
      </c>
      <c r="B1237" s="0" t="n">
        <v>2024</v>
      </c>
      <c r="C1237" s="3" t="n">
        <v>45548</v>
      </c>
      <c r="D1237" s="8" t="s">
        <v>15</v>
      </c>
      <c r="E1237" s="9" t="s">
        <v>20</v>
      </c>
      <c r="F1237" s="9" t="s">
        <v>17</v>
      </c>
      <c r="G1237" s="11" t="n">
        <v>18</v>
      </c>
      <c r="H1237" s="11" t="n">
        <v>15</v>
      </c>
      <c r="I1237" s="11" t="n">
        <v>24</v>
      </c>
      <c r="J1237" s="11" t="n">
        <v>19</v>
      </c>
      <c r="K1237" s="11" t="n">
        <v>18</v>
      </c>
      <c r="L1237" s="0" t="str">
        <f aca="false">IF(H1237&gt;I1237,"ERRO","OK")</f>
        <v>OK</v>
      </c>
      <c r="M1237" s="0" t="str">
        <f aca="false">IF(H1237&gt;J1237,"ERRO","OK")</f>
        <v>OK</v>
      </c>
      <c r="N1237" s="0" t="str">
        <f aca="false">IF(I1237&lt;J1237,"ERRO","OK")</f>
        <v>OK</v>
      </c>
    </row>
    <row r="1238" customFormat="false" ht="25" hidden="false" customHeight="false" outlineLevel="0" collapsed="false">
      <c r="A1238" s="0" t="n">
        <v>69</v>
      </c>
      <c r="B1238" s="0" t="n">
        <v>2024</v>
      </c>
      <c r="C1238" s="3" t="n">
        <v>45548</v>
      </c>
      <c r="D1238" s="4" t="s">
        <v>15</v>
      </c>
      <c r="E1238" s="5" t="s">
        <v>21</v>
      </c>
      <c r="F1238" s="5" t="s">
        <v>17</v>
      </c>
      <c r="G1238" s="7" t="n">
        <v>24</v>
      </c>
      <c r="H1238" s="7" t="n">
        <v>15</v>
      </c>
      <c r="I1238" s="7" t="n">
        <v>24</v>
      </c>
      <c r="J1238" s="7" t="s">
        <v>317</v>
      </c>
      <c r="K1238" s="7" t="n">
        <v>24</v>
      </c>
      <c r="L1238" s="0" t="str">
        <f aca="false">IF(H1238&gt;I1238,"ERRO","OK")</f>
        <v>OK</v>
      </c>
      <c r="M1238" s="0" t="str">
        <f aca="false">IF(H1238&gt;J1238,"ERRO","OK")</f>
        <v>OK</v>
      </c>
      <c r="N1238" s="0" t="str">
        <f aca="false">IF(I1238&lt;J1238,"ERRO","OK")</f>
        <v>ERRO</v>
      </c>
    </row>
    <row r="1239" customFormat="false" ht="25" hidden="false" customHeight="false" outlineLevel="0" collapsed="false">
      <c r="A1239" s="0" t="n">
        <v>69</v>
      </c>
      <c r="B1239" s="0" t="n">
        <v>2024</v>
      </c>
      <c r="C1239" s="3" t="n">
        <v>45548</v>
      </c>
      <c r="D1239" s="8" t="s">
        <v>15</v>
      </c>
      <c r="E1239" s="9" t="s">
        <v>22</v>
      </c>
      <c r="F1239" s="9" t="s">
        <v>17</v>
      </c>
      <c r="G1239" s="11" t="n">
        <v>60</v>
      </c>
      <c r="H1239" s="11" t="n">
        <v>5</v>
      </c>
      <c r="I1239" s="11" t="n">
        <v>60</v>
      </c>
      <c r="J1239" s="11" t="s">
        <v>321</v>
      </c>
      <c r="K1239" s="11" t="n">
        <v>60</v>
      </c>
      <c r="L1239" s="0" t="str">
        <f aca="false">IF(H1239&gt;I1239,"ERRO","OK")</f>
        <v>OK</v>
      </c>
      <c r="M1239" s="0" t="str">
        <f aca="false">IF(H1239&gt;J1239,"ERRO","OK")</f>
        <v>OK</v>
      </c>
      <c r="N1239" s="0" t="str">
        <f aca="false">IF(I1239&lt;J1239,"ERRO","OK")</f>
        <v>ERRO</v>
      </c>
    </row>
    <row r="1240" customFormat="false" ht="25" hidden="false" customHeight="false" outlineLevel="0" collapsed="false">
      <c r="A1240" s="0" t="n">
        <v>69</v>
      </c>
      <c r="B1240" s="0" t="n">
        <v>2024</v>
      </c>
      <c r="C1240" s="3" t="n">
        <v>45548</v>
      </c>
      <c r="D1240" s="4" t="s">
        <v>15</v>
      </c>
      <c r="E1240" s="5" t="s">
        <v>23</v>
      </c>
      <c r="F1240" s="5" t="s">
        <v>17</v>
      </c>
      <c r="G1240" s="6"/>
      <c r="H1240" s="7" t="n">
        <v>6</v>
      </c>
      <c r="I1240" s="7" t="n">
        <v>60</v>
      </c>
      <c r="J1240" s="7" t="n">
        <v>42</v>
      </c>
      <c r="K1240" s="7" t="n">
        <v>48</v>
      </c>
      <c r="L1240" s="0" t="str">
        <f aca="false">IF(H1240&gt;I1240,"ERRO","OK")</f>
        <v>OK</v>
      </c>
      <c r="M1240" s="0" t="str">
        <f aca="false">IF(H1240&gt;J1240,"ERRO","OK")</f>
        <v>OK</v>
      </c>
      <c r="N1240" s="0" t="str">
        <f aca="false">IF(I1240&lt;J1240,"ERRO","OK")</f>
        <v>OK</v>
      </c>
    </row>
    <row r="1241" customFormat="false" ht="25" hidden="false" customHeight="false" outlineLevel="0" collapsed="false">
      <c r="A1241" s="0" t="n">
        <v>69</v>
      </c>
      <c r="B1241" s="0" t="n">
        <v>2024</v>
      </c>
      <c r="C1241" s="3" t="n">
        <v>45548</v>
      </c>
      <c r="D1241" s="8" t="s">
        <v>15</v>
      </c>
      <c r="E1241" s="9" t="s">
        <v>24</v>
      </c>
      <c r="F1241" s="9" t="s">
        <v>17</v>
      </c>
      <c r="G1241" s="11" t="n">
        <v>72</v>
      </c>
      <c r="H1241" s="11" t="n">
        <v>7</v>
      </c>
      <c r="I1241" s="11" t="n">
        <v>96</v>
      </c>
      <c r="J1241" s="11" t="s">
        <v>322</v>
      </c>
      <c r="K1241" s="11" t="n">
        <v>66</v>
      </c>
      <c r="L1241" s="0" t="str">
        <f aca="false">IF(H1241&gt;I1241,"ERRO","OK")</f>
        <v>OK</v>
      </c>
      <c r="M1241" s="0" t="str">
        <f aca="false">IF(H1241&gt;J1241,"ERRO","OK")</f>
        <v>OK</v>
      </c>
      <c r="N1241" s="0" t="str">
        <f aca="false">IF(I1241&lt;J1241,"ERRO","OK")</f>
        <v>ERRO</v>
      </c>
    </row>
    <row r="1242" customFormat="false" ht="25" hidden="false" customHeight="false" outlineLevel="0" collapsed="false">
      <c r="A1242" s="0" t="n">
        <v>69</v>
      </c>
      <c r="B1242" s="0" t="n">
        <v>2024</v>
      </c>
      <c r="C1242" s="3" t="n">
        <v>45548</v>
      </c>
      <c r="D1242" s="4" t="s">
        <v>15</v>
      </c>
      <c r="E1242" s="5" t="s">
        <v>25</v>
      </c>
      <c r="F1242" s="5" t="s">
        <v>17</v>
      </c>
      <c r="G1242" s="7" t="n">
        <v>24</v>
      </c>
      <c r="H1242" s="7" t="n">
        <v>2</v>
      </c>
      <c r="I1242" s="7" t="n">
        <v>24</v>
      </c>
      <c r="J1242" s="7" t="s">
        <v>323</v>
      </c>
      <c r="K1242" s="7" t="n">
        <v>21</v>
      </c>
      <c r="L1242" s="0" t="str">
        <f aca="false">IF(H1242&gt;I1242,"ERRO","OK")</f>
        <v>OK</v>
      </c>
      <c r="M1242" s="0" t="str">
        <f aca="false">IF(H1242&gt;J1242,"ERRO","OK")</f>
        <v>OK</v>
      </c>
      <c r="N1242" s="0" t="str">
        <f aca="false">IF(I1242&lt;J1242,"ERRO","OK")</f>
        <v>ERRO</v>
      </c>
    </row>
    <row r="1243" customFormat="false" ht="25" hidden="false" customHeight="false" outlineLevel="0" collapsed="false">
      <c r="A1243" s="0" t="n">
        <v>69</v>
      </c>
      <c r="B1243" s="0" t="n">
        <v>2024</v>
      </c>
      <c r="C1243" s="3" t="n">
        <v>45548</v>
      </c>
      <c r="D1243" s="8" t="s">
        <v>15</v>
      </c>
      <c r="E1243" s="9" t="s">
        <v>77</v>
      </c>
      <c r="F1243" s="9" t="s">
        <v>17</v>
      </c>
      <c r="G1243" s="11" t="n">
        <v>60</v>
      </c>
      <c r="H1243" s="11" t="n">
        <v>15</v>
      </c>
      <c r="I1243" s="11" t="n">
        <v>60</v>
      </c>
      <c r="J1243" s="11" t="s">
        <v>324</v>
      </c>
      <c r="K1243" s="11" t="n">
        <v>48</v>
      </c>
      <c r="L1243" s="0" t="str">
        <f aca="false">IF(H1243&gt;I1243,"ERRO","OK")</f>
        <v>OK</v>
      </c>
      <c r="M1243" s="0" t="str">
        <f aca="false">IF(H1243&gt;J1243,"ERRO","OK")</f>
        <v>OK</v>
      </c>
      <c r="N1243" s="0" t="str">
        <f aca="false">IF(I1243&lt;J1243,"ERRO","OK")</f>
        <v>ERRO</v>
      </c>
    </row>
    <row r="1244" customFormat="false" ht="25" hidden="false" customHeight="false" outlineLevel="0" collapsed="false">
      <c r="A1244" s="0" t="n">
        <v>69</v>
      </c>
      <c r="B1244" s="0" t="n">
        <v>2024</v>
      </c>
      <c r="C1244" s="3" t="n">
        <v>45548</v>
      </c>
      <c r="D1244" s="4" t="s">
        <v>15</v>
      </c>
      <c r="E1244" s="5" t="s">
        <v>27</v>
      </c>
      <c r="F1244" s="5" t="s">
        <v>17</v>
      </c>
      <c r="G1244" s="7" t="n">
        <v>24</v>
      </c>
      <c r="H1244" s="7" t="n">
        <v>6</v>
      </c>
      <c r="I1244" s="7" t="n">
        <v>60</v>
      </c>
      <c r="J1244" s="7" t="n">
        <v>27</v>
      </c>
      <c r="K1244" s="7" t="n">
        <v>24</v>
      </c>
      <c r="L1244" s="0" t="str">
        <f aca="false">IF(H1244&gt;I1244,"ERRO","OK")</f>
        <v>OK</v>
      </c>
      <c r="M1244" s="0" t="str">
        <f aca="false">IF(H1244&gt;J1244,"ERRO","OK")</f>
        <v>OK</v>
      </c>
      <c r="N1244" s="0" t="str">
        <f aca="false">IF(I1244&lt;J1244,"ERRO","OK")</f>
        <v>OK</v>
      </c>
    </row>
    <row r="1245" customFormat="false" ht="25" hidden="false" customHeight="false" outlineLevel="0" collapsed="false">
      <c r="A1245" s="0" t="n">
        <v>69</v>
      </c>
      <c r="B1245" s="0" t="n">
        <v>2024</v>
      </c>
      <c r="C1245" s="3" t="n">
        <v>45548</v>
      </c>
      <c r="D1245" s="8" t="s">
        <v>15</v>
      </c>
      <c r="E1245" s="9" t="s">
        <v>28</v>
      </c>
      <c r="F1245" s="9" t="s">
        <v>17</v>
      </c>
      <c r="G1245" s="11" t="n">
        <v>48</v>
      </c>
      <c r="H1245" s="11" t="n">
        <v>5</v>
      </c>
      <c r="I1245" s="11" t="n">
        <v>60</v>
      </c>
      <c r="J1245" s="11" t="s">
        <v>325</v>
      </c>
      <c r="K1245" s="11" t="n">
        <v>48</v>
      </c>
      <c r="L1245" s="0" t="str">
        <f aca="false">IF(H1245&gt;I1245,"ERRO","OK")</f>
        <v>OK</v>
      </c>
      <c r="M1245" s="0" t="str">
        <f aca="false">IF(H1245&gt;J1245,"ERRO","OK")</f>
        <v>OK</v>
      </c>
      <c r="N1245" s="0" t="str">
        <f aca="false">IF(I1245&lt;J1245,"ERRO","OK")</f>
        <v>ERRO</v>
      </c>
    </row>
    <row r="1246" customFormat="false" ht="25" hidden="false" customHeight="false" outlineLevel="0" collapsed="false">
      <c r="A1246" s="0" t="n">
        <v>69</v>
      </c>
      <c r="B1246" s="0" t="n">
        <v>2024</v>
      </c>
      <c r="C1246" s="3" t="n">
        <v>45548</v>
      </c>
      <c r="D1246" s="4" t="s">
        <v>15</v>
      </c>
      <c r="E1246" s="5" t="s">
        <v>29</v>
      </c>
      <c r="F1246" s="5" t="s">
        <v>30</v>
      </c>
      <c r="G1246" s="7" t="n">
        <v>48</v>
      </c>
      <c r="H1246" s="7" t="n">
        <v>7</v>
      </c>
      <c r="I1246" s="7" t="n">
        <v>60</v>
      </c>
      <c r="J1246" s="7" t="s">
        <v>326</v>
      </c>
      <c r="K1246" s="7" t="n">
        <v>48</v>
      </c>
      <c r="L1246" s="0" t="str">
        <f aca="false">IF(H1246&gt;I1246,"ERRO","OK")</f>
        <v>OK</v>
      </c>
      <c r="M1246" s="0" t="str">
        <f aca="false">IF(H1246&gt;J1246,"ERRO","OK")</f>
        <v>OK</v>
      </c>
      <c r="N1246" s="0" t="str">
        <f aca="false">IF(I1246&lt;J1246,"ERRO","OK")</f>
        <v>ERRO</v>
      </c>
    </row>
    <row r="1247" customFormat="false" ht="25" hidden="false" customHeight="false" outlineLevel="0" collapsed="false">
      <c r="A1247" s="0" t="n">
        <v>69</v>
      </c>
      <c r="B1247" s="0" t="n">
        <v>2024</v>
      </c>
      <c r="C1247" s="3" t="n">
        <v>45548</v>
      </c>
      <c r="D1247" s="8" t="s">
        <v>15</v>
      </c>
      <c r="E1247" s="9" t="s">
        <v>31</v>
      </c>
      <c r="F1247" s="9" t="s">
        <v>17</v>
      </c>
      <c r="G1247" s="11" t="n">
        <v>48</v>
      </c>
      <c r="H1247" s="11" t="n">
        <v>20</v>
      </c>
      <c r="I1247" s="11" t="n">
        <v>60</v>
      </c>
      <c r="J1247" s="11" t="s">
        <v>327</v>
      </c>
      <c r="K1247" s="11" t="n">
        <v>48</v>
      </c>
      <c r="L1247" s="0" t="str">
        <f aca="false">IF(H1247&gt;I1247,"ERRO","OK")</f>
        <v>OK</v>
      </c>
      <c r="M1247" s="0" t="str">
        <f aca="false">IF(H1247&gt;J1247,"ERRO","OK")</f>
        <v>OK</v>
      </c>
      <c r="N1247" s="0" t="str">
        <f aca="false">IF(I1247&lt;J1247,"ERRO","OK")</f>
        <v>ERRO</v>
      </c>
    </row>
    <row r="1248" customFormat="false" ht="25" hidden="false" customHeight="false" outlineLevel="0" collapsed="false">
      <c r="A1248" s="0" t="n">
        <v>69</v>
      </c>
      <c r="B1248" s="0" t="n">
        <v>2024</v>
      </c>
      <c r="C1248" s="3" t="n">
        <v>45548</v>
      </c>
      <c r="D1248" s="4" t="s">
        <v>15</v>
      </c>
      <c r="E1248" s="5" t="s">
        <v>32</v>
      </c>
      <c r="F1248" s="5" t="s">
        <v>17</v>
      </c>
      <c r="G1248" s="7" t="n">
        <v>36</v>
      </c>
      <c r="H1248" s="7" t="n">
        <v>4</v>
      </c>
      <c r="I1248" s="7" t="n">
        <v>50</v>
      </c>
      <c r="J1248" s="7" t="n">
        <v>33</v>
      </c>
      <c r="K1248" s="7" t="n">
        <v>36</v>
      </c>
      <c r="L1248" s="0" t="str">
        <f aca="false">IF(H1248&gt;I1248,"ERRO","OK")</f>
        <v>OK</v>
      </c>
      <c r="M1248" s="0" t="str">
        <f aca="false">IF(H1248&gt;J1248,"ERRO","OK")</f>
        <v>OK</v>
      </c>
      <c r="N1248" s="0" t="str">
        <f aca="false">IF(I1248&lt;J1248,"ERRO","OK")</f>
        <v>OK</v>
      </c>
    </row>
    <row r="1249" customFormat="false" ht="25" hidden="false" customHeight="false" outlineLevel="0" collapsed="false">
      <c r="A1249" s="0" t="n">
        <v>69</v>
      </c>
      <c r="B1249" s="0" t="n">
        <v>2024</v>
      </c>
      <c r="C1249" s="3" t="n">
        <v>45548</v>
      </c>
      <c r="D1249" s="8" t="s">
        <v>15</v>
      </c>
      <c r="E1249" s="9" t="s">
        <v>33</v>
      </c>
      <c r="F1249" s="9" t="s">
        <v>17</v>
      </c>
      <c r="G1249" s="11" t="n">
        <v>48</v>
      </c>
      <c r="H1249" s="11" t="s">
        <v>101</v>
      </c>
      <c r="I1249" s="11" t="n">
        <v>60</v>
      </c>
      <c r="J1249" s="11" t="s">
        <v>328</v>
      </c>
      <c r="K1249" s="11" t="n">
        <v>48</v>
      </c>
      <c r="L1249" s="0" t="str">
        <f aca="false">IF(H1249&gt;I1249,"ERRO","OK")</f>
        <v>ERRO</v>
      </c>
      <c r="M1249" s="0" t="str">
        <f aca="false">IF(H1249&gt;J1249,"ERRO","OK")</f>
        <v>OK</v>
      </c>
      <c r="N1249" s="0" t="str">
        <f aca="false">IF(I1249&lt;J1249,"ERRO","OK")</f>
        <v>ERRO</v>
      </c>
    </row>
    <row r="1250" customFormat="false" ht="25" hidden="false" customHeight="false" outlineLevel="0" collapsed="false">
      <c r="A1250" s="0" t="n">
        <v>69</v>
      </c>
      <c r="B1250" s="0" t="n">
        <v>2024</v>
      </c>
      <c r="C1250" s="3" t="n">
        <v>45548</v>
      </c>
      <c r="D1250" s="4" t="s">
        <v>15</v>
      </c>
      <c r="E1250" s="5" t="s">
        <v>35</v>
      </c>
      <c r="F1250" s="5" t="s">
        <v>36</v>
      </c>
      <c r="G1250" s="7" t="n">
        <v>5</v>
      </c>
      <c r="H1250" s="7" t="n">
        <v>4</v>
      </c>
      <c r="I1250" s="7" t="n">
        <v>5</v>
      </c>
      <c r="J1250" s="7" t="s">
        <v>329</v>
      </c>
      <c r="K1250" s="7" t="n">
        <v>5</v>
      </c>
      <c r="L1250" s="0" t="str">
        <f aca="false">IF(H1250&gt;I1250,"ERRO","OK")</f>
        <v>OK</v>
      </c>
      <c r="M1250" s="0" t="str">
        <f aca="false">IF(H1250&gt;J1250,"ERRO","OK")</f>
        <v>OK</v>
      </c>
      <c r="N1250" s="0" t="str">
        <f aca="false">IF(I1250&lt;J1250,"ERRO","OK")</f>
        <v>ERRO</v>
      </c>
    </row>
    <row r="1251" customFormat="false" ht="25" hidden="false" customHeight="false" outlineLevel="0" collapsed="false">
      <c r="A1251" s="0" t="n">
        <v>69</v>
      </c>
      <c r="B1251" s="0" t="n">
        <v>2024</v>
      </c>
      <c r="C1251" s="3" t="n">
        <v>45548</v>
      </c>
      <c r="D1251" s="8" t="s">
        <v>15</v>
      </c>
      <c r="E1251" s="9" t="s">
        <v>38</v>
      </c>
      <c r="F1251" s="9" t="s">
        <v>39</v>
      </c>
      <c r="G1251" s="11" t="n">
        <v>10</v>
      </c>
      <c r="H1251" s="11" t="n">
        <v>8</v>
      </c>
      <c r="I1251" s="11" t="n">
        <v>12</v>
      </c>
      <c r="J1251" s="11" t="n">
        <v>10</v>
      </c>
      <c r="K1251" s="11" t="n">
        <v>10</v>
      </c>
      <c r="L1251" s="0" t="str">
        <f aca="false">IF(H1251&gt;I1251,"ERRO","OK")</f>
        <v>OK</v>
      </c>
      <c r="M1251" s="0" t="str">
        <f aca="false">IF(H1251&gt;J1251,"ERRO","OK")</f>
        <v>OK</v>
      </c>
      <c r="N1251" s="0" t="str">
        <f aca="false">IF(I1251&lt;J1251,"ERRO","OK")</f>
        <v>OK</v>
      </c>
    </row>
    <row r="1252" customFormat="false" ht="25" hidden="false" customHeight="false" outlineLevel="0" collapsed="false">
      <c r="A1252" s="0" t="n">
        <v>69</v>
      </c>
      <c r="B1252" s="0" t="n">
        <v>2024</v>
      </c>
      <c r="C1252" s="3" t="n">
        <v>45548</v>
      </c>
      <c r="D1252" s="4" t="s">
        <v>15</v>
      </c>
      <c r="E1252" s="5" t="s">
        <v>40</v>
      </c>
      <c r="F1252" s="5" t="s">
        <v>39</v>
      </c>
      <c r="G1252" s="7" t="n">
        <v>30</v>
      </c>
      <c r="H1252" s="7" t="n">
        <v>10</v>
      </c>
      <c r="I1252" s="7" t="n">
        <v>30</v>
      </c>
      <c r="J1252" s="7" t="n">
        <v>21</v>
      </c>
      <c r="K1252" s="7" t="n">
        <v>20</v>
      </c>
      <c r="L1252" s="0" t="str">
        <f aca="false">IF(H1252&gt;I1252,"ERRO","OK")</f>
        <v>OK</v>
      </c>
      <c r="M1252" s="0" t="str">
        <f aca="false">IF(H1252&gt;J1252,"ERRO","OK")</f>
        <v>OK</v>
      </c>
      <c r="N1252" s="0" t="str">
        <f aca="false">IF(I1252&lt;J1252,"ERRO","OK")</f>
        <v>OK</v>
      </c>
    </row>
    <row r="1253" customFormat="false" ht="36.5" hidden="false" customHeight="false" outlineLevel="0" collapsed="false">
      <c r="A1253" s="0" t="n">
        <v>69</v>
      </c>
      <c r="B1253" s="0" t="n">
        <v>2024</v>
      </c>
      <c r="C1253" s="3" t="n">
        <v>45548</v>
      </c>
      <c r="D1253" s="8" t="s">
        <v>42</v>
      </c>
      <c r="E1253" s="9" t="s">
        <v>157</v>
      </c>
      <c r="F1253" s="9" t="s">
        <v>158</v>
      </c>
      <c r="G1253" s="11" t="n">
        <v>70</v>
      </c>
      <c r="H1253" s="11" t="n">
        <v>65</v>
      </c>
      <c r="I1253" s="11" t="n">
        <v>70</v>
      </c>
      <c r="J1253" s="11" t="s">
        <v>66</v>
      </c>
      <c r="K1253" s="11" t="n">
        <v>70</v>
      </c>
      <c r="L1253" s="0" t="str">
        <f aca="false">IF(H1253&gt;I1253,"ERRO","OK")</f>
        <v>OK</v>
      </c>
      <c r="M1253" s="0" t="str">
        <f aca="false">IF(H1253&gt;J1253,"ERRO","OK")</f>
        <v>OK</v>
      </c>
      <c r="N1253" s="0" t="str">
        <f aca="false">IF(I1253&lt;J1253,"ERRO","OK")</f>
        <v>ERRO</v>
      </c>
    </row>
    <row r="1254" customFormat="false" ht="36.5" hidden="false" customHeight="false" outlineLevel="0" collapsed="false">
      <c r="A1254" s="0" t="n">
        <v>69</v>
      </c>
      <c r="B1254" s="0" t="n">
        <v>2024</v>
      </c>
      <c r="C1254" s="3" t="n">
        <v>45548</v>
      </c>
      <c r="D1254" s="4" t="s">
        <v>42</v>
      </c>
      <c r="E1254" s="5" t="s">
        <v>43</v>
      </c>
      <c r="F1254" s="5" t="s">
        <v>44</v>
      </c>
      <c r="G1254" s="7" t="n">
        <v>50</v>
      </c>
      <c r="H1254" s="7" t="n">
        <v>25</v>
      </c>
      <c r="I1254" s="7" t="n">
        <v>50</v>
      </c>
      <c r="J1254" s="7" t="n">
        <v>40</v>
      </c>
      <c r="K1254" s="7" t="n">
        <v>40</v>
      </c>
      <c r="L1254" s="0" t="str">
        <f aca="false">IF(H1254&gt;I1254,"ERRO","OK")</f>
        <v>OK</v>
      </c>
      <c r="M1254" s="0" t="str">
        <f aca="false">IF(H1254&gt;J1254,"ERRO","OK")</f>
        <v>OK</v>
      </c>
      <c r="N1254" s="0" t="str">
        <f aca="false">IF(I1254&lt;J1254,"ERRO","OK")</f>
        <v>OK</v>
      </c>
    </row>
    <row r="1255" customFormat="false" ht="36.5" hidden="false" customHeight="false" outlineLevel="0" collapsed="false">
      <c r="A1255" s="0" t="n">
        <v>69</v>
      </c>
      <c r="B1255" s="0" t="n">
        <v>2024</v>
      </c>
      <c r="C1255" s="3" t="n">
        <v>45548</v>
      </c>
      <c r="D1255" s="8" t="s">
        <v>42</v>
      </c>
      <c r="E1255" s="9" t="s">
        <v>46</v>
      </c>
      <c r="F1255" s="9" t="s">
        <v>47</v>
      </c>
      <c r="G1255" s="11" t="n">
        <v>80</v>
      </c>
      <c r="H1255" s="11" t="n">
        <v>45</v>
      </c>
      <c r="I1255" s="11" t="n">
        <v>80</v>
      </c>
      <c r="J1255" s="11" t="n">
        <v>68</v>
      </c>
      <c r="K1255" s="11" t="n">
        <v>70</v>
      </c>
      <c r="L1255" s="0" t="str">
        <f aca="false">IF(H1255&gt;I1255,"ERRO","OK")</f>
        <v>OK</v>
      </c>
      <c r="M1255" s="0" t="str">
        <f aca="false">IF(H1255&gt;J1255,"ERRO","OK")</f>
        <v>OK</v>
      </c>
      <c r="N1255" s="0" t="str">
        <f aca="false">IF(I1255&lt;J1255,"ERRO","OK")</f>
        <v>OK</v>
      </c>
    </row>
    <row r="1256" customFormat="false" ht="36.5" hidden="false" customHeight="false" outlineLevel="0" collapsed="false">
      <c r="A1256" s="0" t="n">
        <v>69</v>
      </c>
      <c r="B1256" s="0" t="n">
        <v>2024</v>
      </c>
      <c r="C1256" s="3" t="n">
        <v>45548</v>
      </c>
      <c r="D1256" s="4" t="s">
        <v>42</v>
      </c>
      <c r="E1256" s="5" t="s">
        <v>48</v>
      </c>
      <c r="F1256" s="5" t="s">
        <v>49</v>
      </c>
      <c r="G1256" s="7" t="n">
        <v>50</v>
      </c>
      <c r="H1256" s="7" t="n">
        <v>45</v>
      </c>
      <c r="I1256" s="7" t="n">
        <v>60</v>
      </c>
      <c r="J1256" s="7" t="n">
        <v>51</v>
      </c>
      <c r="K1256" s="7" t="n">
        <v>50</v>
      </c>
      <c r="L1256" s="0" t="str">
        <f aca="false">IF(H1256&gt;I1256,"ERRO","OK")</f>
        <v>OK</v>
      </c>
      <c r="M1256" s="0" t="str">
        <f aca="false">IF(H1256&gt;J1256,"ERRO","OK")</f>
        <v>OK</v>
      </c>
      <c r="N1256" s="0" t="str">
        <f aca="false">IF(I1256&lt;J1256,"ERRO","OK")</f>
        <v>OK</v>
      </c>
    </row>
    <row r="1257" customFormat="false" ht="36.5" hidden="false" customHeight="false" outlineLevel="0" collapsed="false">
      <c r="A1257" s="0" t="n">
        <v>69</v>
      </c>
      <c r="B1257" s="0" t="n">
        <v>2024</v>
      </c>
      <c r="C1257" s="3" t="n">
        <v>45548</v>
      </c>
      <c r="D1257" s="8" t="s">
        <v>42</v>
      </c>
      <c r="E1257" s="9" t="s">
        <v>52</v>
      </c>
      <c r="F1257" s="9" t="s">
        <v>49</v>
      </c>
      <c r="G1257" s="11" t="n">
        <v>90</v>
      </c>
      <c r="H1257" s="11" t="n">
        <v>90</v>
      </c>
      <c r="I1257" s="11" t="n">
        <v>100</v>
      </c>
      <c r="J1257" s="11" t="s">
        <v>200</v>
      </c>
      <c r="K1257" s="11" t="n">
        <v>90</v>
      </c>
      <c r="L1257" s="0" t="str">
        <f aca="false">IF(H1257&gt;I1257,"ERRO","OK")</f>
        <v>OK</v>
      </c>
      <c r="M1257" s="0" t="str">
        <f aca="false">IF(H1257&gt;J1257,"ERRO","OK")</f>
        <v>OK</v>
      </c>
      <c r="N1257" s="0" t="str">
        <f aca="false">IF(I1257&lt;J1257,"ERRO","OK")</f>
        <v>ERRO</v>
      </c>
    </row>
    <row r="1258" customFormat="false" ht="36.5" hidden="false" customHeight="false" outlineLevel="0" collapsed="false">
      <c r="A1258" s="0" t="n">
        <v>69</v>
      </c>
      <c r="B1258" s="0" t="n">
        <v>2024</v>
      </c>
      <c r="C1258" s="3" t="n">
        <v>45548</v>
      </c>
      <c r="D1258" s="4" t="s">
        <v>42</v>
      </c>
      <c r="E1258" s="5" t="s">
        <v>53</v>
      </c>
      <c r="F1258" s="5" t="s">
        <v>54</v>
      </c>
      <c r="G1258" s="7" t="n">
        <v>60</v>
      </c>
      <c r="H1258" s="7" t="n">
        <v>60</v>
      </c>
      <c r="I1258" s="7" t="n">
        <v>80</v>
      </c>
      <c r="J1258" s="7" t="n">
        <v>68</v>
      </c>
      <c r="K1258" s="7" t="n">
        <v>70</v>
      </c>
      <c r="L1258" s="0" t="str">
        <f aca="false">IF(H1258&gt;I1258,"ERRO","OK")</f>
        <v>OK</v>
      </c>
      <c r="M1258" s="0" t="str">
        <f aca="false">IF(H1258&gt;J1258,"ERRO","OK")</f>
        <v>OK</v>
      </c>
      <c r="N1258" s="0" t="str">
        <f aca="false">IF(I1258&lt;J1258,"ERRO","OK")</f>
        <v>OK</v>
      </c>
    </row>
    <row r="1259" customFormat="false" ht="36.5" hidden="false" customHeight="false" outlineLevel="0" collapsed="false">
      <c r="A1259" s="0" t="n">
        <v>69</v>
      </c>
      <c r="B1259" s="0" t="n">
        <v>2024</v>
      </c>
      <c r="C1259" s="3" t="n">
        <v>45548</v>
      </c>
      <c r="D1259" s="8" t="s">
        <v>42</v>
      </c>
      <c r="E1259" s="9" t="s">
        <v>56</v>
      </c>
      <c r="F1259" s="9" t="s">
        <v>47</v>
      </c>
      <c r="G1259" s="11" t="n">
        <v>55</v>
      </c>
      <c r="H1259" s="11" t="n">
        <v>40</v>
      </c>
      <c r="I1259" s="11" t="n">
        <v>55</v>
      </c>
      <c r="J1259" s="11" t="n">
        <v>48</v>
      </c>
      <c r="K1259" s="11" t="n">
        <v>50</v>
      </c>
      <c r="L1259" s="0" t="str">
        <f aca="false">IF(H1259&gt;I1259,"ERRO","OK")</f>
        <v>OK</v>
      </c>
      <c r="M1259" s="0" t="str">
        <f aca="false">IF(H1259&gt;J1259,"ERRO","OK")</f>
        <v>OK</v>
      </c>
      <c r="N1259" s="0" t="str">
        <f aca="false">IF(I1259&lt;J1259,"ERRO","OK")</f>
        <v>OK</v>
      </c>
    </row>
    <row r="1260" customFormat="false" ht="36.5" hidden="false" customHeight="false" outlineLevel="0" collapsed="false">
      <c r="A1260" s="0" t="n">
        <v>69</v>
      </c>
      <c r="B1260" s="0" t="n">
        <v>2024</v>
      </c>
      <c r="C1260" s="3" t="n">
        <v>45548</v>
      </c>
      <c r="D1260" s="4" t="s">
        <v>42</v>
      </c>
      <c r="E1260" s="5" t="s">
        <v>57</v>
      </c>
      <c r="F1260" s="5" t="s">
        <v>47</v>
      </c>
      <c r="G1260" s="7" t="n">
        <v>50</v>
      </c>
      <c r="H1260" s="7" t="n">
        <v>50</v>
      </c>
      <c r="I1260" s="7" t="n">
        <v>80</v>
      </c>
      <c r="J1260" s="7" t="n">
        <v>57</v>
      </c>
      <c r="K1260" s="7" t="n">
        <v>50</v>
      </c>
      <c r="L1260" s="0" t="str">
        <f aca="false">IF(H1260&gt;I1260,"ERRO","OK")</f>
        <v>OK</v>
      </c>
      <c r="M1260" s="0" t="str">
        <f aca="false">IF(H1260&gt;J1260,"ERRO","OK")</f>
        <v>OK</v>
      </c>
      <c r="N1260" s="0" t="str">
        <f aca="false">IF(I1260&lt;J1260,"ERRO","OK")</f>
        <v>OK</v>
      </c>
    </row>
    <row r="1261" customFormat="false" ht="36.5" hidden="false" customHeight="false" outlineLevel="0" collapsed="false">
      <c r="A1261" s="0" t="n">
        <v>69</v>
      </c>
      <c r="B1261" s="0" t="n">
        <v>2024</v>
      </c>
      <c r="C1261" s="3" t="n">
        <v>45548</v>
      </c>
      <c r="D1261" s="8" t="s">
        <v>42</v>
      </c>
      <c r="E1261" s="9" t="s">
        <v>58</v>
      </c>
      <c r="F1261" s="9" t="s">
        <v>44</v>
      </c>
      <c r="G1261" s="11" t="n">
        <v>90</v>
      </c>
      <c r="H1261" s="11" t="n">
        <v>70</v>
      </c>
      <c r="I1261" s="11" t="n">
        <v>100</v>
      </c>
      <c r="J1261" s="11" t="s">
        <v>243</v>
      </c>
      <c r="K1261" s="11" t="n">
        <v>90</v>
      </c>
      <c r="L1261" s="0" t="str">
        <f aca="false">IF(H1261&gt;I1261,"ERRO","OK")</f>
        <v>OK</v>
      </c>
      <c r="M1261" s="0" t="str">
        <f aca="false">IF(H1261&gt;J1261,"ERRO","OK")</f>
        <v>OK</v>
      </c>
      <c r="N1261" s="0" t="str">
        <f aca="false">IF(I1261&lt;J1261,"ERRO","OK")</f>
        <v>ERRO</v>
      </c>
    </row>
    <row r="1262" customFormat="false" ht="36.5" hidden="false" customHeight="false" outlineLevel="0" collapsed="false">
      <c r="A1262" s="0" t="n">
        <v>69</v>
      </c>
      <c r="B1262" s="0" t="n">
        <v>2024</v>
      </c>
      <c r="C1262" s="3" t="n">
        <v>45548</v>
      </c>
      <c r="D1262" s="4" t="s">
        <v>42</v>
      </c>
      <c r="E1262" s="5" t="s">
        <v>60</v>
      </c>
      <c r="F1262" s="5" t="s">
        <v>47</v>
      </c>
      <c r="G1262" s="6"/>
      <c r="H1262" s="7" t="n">
        <v>35</v>
      </c>
      <c r="I1262" s="7" t="n">
        <v>50</v>
      </c>
      <c r="J1262" s="7" t="s">
        <v>330</v>
      </c>
      <c r="K1262" s="7" t="n">
        <v>40</v>
      </c>
      <c r="L1262" s="0" t="str">
        <f aca="false">IF(H1262&gt;I1262,"ERRO","OK")</f>
        <v>OK</v>
      </c>
      <c r="M1262" s="0" t="str">
        <f aca="false">IF(H1262&gt;J1262,"ERRO","OK")</f>
        <v>OK</v>
      </c>
      <c r="N1262" s="0" t="str">
        <f aca="false">IF(I1262&lt;J1262,"ERRO","OK")</f>
        <v>ERRO</v>
      </c>
    </row>
    <row r="1263" customFormat="false" ht="36.5" hidden="false" customHeight="false" outlineLevel="0" collapsed="false">
      <c r="A1263" s="0" t="n">
        <v>69</v>
      </c>
      <c r="B1263" s="0" t="n">
        <v>2024</v>
      </c>
      <c r="C1263" s="3" t="n">
        <v>45548</v>
      </c>
      <c r="D1263" s="8" t="s">
        <v>42</v>
      </c>
      <c r="E1263" s="9" t="s">
        <v>61</v>
      </c>
      <c r="F1263" s="9" t="s">
        <v>44</v>
      </c>
      <c r="G1263" s="10"/>
      <c r="H1263" s="11" t="n">
        <v>85</v>
      </c>
      <c r="I1263" s="11" t="n">
        <v>100</v>
      </c>
      <c r="J1263" s="11" t="s">
        <v>234</v>
      </c>
      <c r="K1263" s="11" t="n">
        <v>90</v>
      </c>
      <c r="L1263" s="0" t="str">
        <f aca="false">IF(H1263&gt;I1263,"ERRO","OK")</f>
        <v>OK</v>
      </c>
      <c r="M1263" s="0" t="str">
        <f aca="false">IF(H1263&gt;J1263,"ERRO","OK")</f>
        <v>OK</v>
      </c>
      <c r="N1263" s="0" t="str">
        <f aca="false">IF(I1263&lt;J1263,"ERRO","OK")</f>
        <v>ERRO</v>
      </c>
    </row>
    <row r="1264" customFormat="false" ht="36.5" hidden="false" customHeight="false" outlineLevel="0" collapsed="false">
      <c r="A1264" s="0" t="n">
        <v>69</v>
      </c>
      <c r="B1264" s="0" t="n">
        <v>2024</v>
      </c>
      <c r="C1264" s="3" t="n">
        <v>45548</v>
      </c>
      <c r="D1264" s="4" t="s">
        <v>42</v>
      </c>
      <c r="E1264" s="5" t="s">
        <v>62</v>
      </c>
      <c r="F1264" s="5" t="s">
        <v>44</v>
      </c>
      <c r="G1264" s="7" t="n">
        <v>100</v>
      </c>
      <c r="H1264" s="7" t="n">
        <v>100</v>
      </c>
      <c r="I1264" s="7" t="n">
        <v>135</v>
      </c>
      <c r="J1264" s="7" t="n">
        <v>117</v>
      </c>
      <c r="K1264" s="7" t="n">
        <v>120</v>
      </c>
      <c r="L1264" s="0" t="str">
        <f aca="false">IF(H1264&gt;I1264,"ERRO","OK")</f>
        <v>OK</v>
      </c>
      <c r="M1264" s="0" t="str">
        <f aca="false">IF(H1264&gt;J1264,"ERRO","OK")</f>
        <v>OK</v>
      </c>
      <c r="N1264" s="0" t="str">
        <f aca="false">IF(I1264&lt;J1264,"ERRO","OK")</f>
        <v>OK</v>
      </c>
    </row>
    <row r="1265" customFormat="false" ht="36.5" hidden="false" customHeight="false" outlineLevel="0" collapsed="false">
      <c r="A1265" s="0" t="n">
        <v>69</v>
      </c>
      <c r="B1265" s="0" t="n">
        <v>2024</v>
      </c>
      <c r="C1265" s="3" t="n">
        <v>45548</v>
      </c>
      <c r="D1265" s="8" t="s">
        <v>42</v>
      </c>
      <c r="E1265" s="9" t="s">
        <v>63</v>
      </c>
      <c r="F1265" s="9" t="s">
        <v>49</v>
      </c>
      <c r="G1265" s="11" t="n">
        <v>60</v>
      </c>
      <c r="H1265" s="11" t="n">
        <v>40</v>
      </c>
      <c r="I1265" s="11" t="n">
        <v>60</v>
      </c>
      <c r="J1265" s="11" t="n">
        <v>53</v>
      </c>
      <c r="K1265" s="11" t="n">
        <v>55</v>
      </c>
      <c r="L1265" s="0" t="str">
        <f aca="false">IF(H1265&gt;I1265,"ERRO","OK")</f>
        <v>OK</v>
      </c>
      <c r="M1265" s="0" t="str">
        <f aca="false">IF(H1265&gt;J1265,"ERRO","OK")</f>
        <v>OK</v>
      </c>
      <c r="N1265" s="0" t="str">
        <f aca="false">IF(I1265&lt;J1265,"ERRO","OK")</f>
        <v>OK</v>
      </c>
    </row>
    <row r="1266" customFormat="false" ht="36.5" hidden="false" customHeight="false" outlineLevel="0" collapsed="false">
      <c r="A1266" s="0" t="n">
        <v>69</v>
      </c>
      <c r="B1266" s="0" t="n">
        <v>2024</v>
      </c>
      <c r="C1266" s="3" t="n">
        <v>45548</v>
      </c>
      <c r="D1266" s="4" t="s">
        <v>42</v>
      </c>
      <c r="E1266" s="5" t="s">
        <v>64</v>
      </c>
      <c r="F1266" s="5" t="s">
        <v>65</v>
      </c>
      <c r="G1266" s="7" t="n">
        <v>150</v>
      </c>
      <c r="H1266" s="7" t="n">
        <v>140</v>
      </c>
      <c r="I1266" s="7" t="n">
        <v>150</v>
      </c>
      <c r="J1266" s="7" t="n">
        <v>146</v>
      </c>
      <c r="K1266" s="7" t="n">
        <v>150</v>
      </c>
      <c r="L1266" s="0" t="str">
        <f aca="false">IF(H1266&gt;I1266,"ERRO","OK")</f>
        <v>OK</v>
      </c>
      <c r="M1266" s="0" t="str">
        <f aca="false">IF(H1266&gt;J1266,"ERRO","OK")</f>
        <v>OK</v>
      </c>
      <c r="N1266" s="0" t="str">
        <f aca="false">IF(I1266&lt;J1266,"ERRO","OK")</f>
        <v>OK</v>
      </c>
    </row>
    <row r="1267" customFormat="false" ht="36.5" hidden="false" customHeight="false" outlineLevel="0" collapsed="false">
      <c r="A1267" s="0" t="n">
        <v>69</v>
      </c>
      <c r="B1267" s="0" t="n">
        <v>2024</v>
      </c>
      <c r="C1267" s="3" t="n">
        <v>45548</v>
      </c>
      <c r="D1267" s="8" t="s">
        <v>42</v>
      </c>
      <c r="E1267" s="9" t="s">
        <v>67</v>
      </c>
      <c r="F1267" s="9" t="s">
        <v>44</v>
      </c>
      <c r="G1267" s="11" t="n">
        <v>70</v>
      </c>
      <c r="H1267" s="11" t="n">
        <v>60</v>
      </c>
      <c r="I1267" s="11" t="n">
        <v>80</v>
      </c>
      <c r="J1267" s="11" t="n">
        <v>69</v>
      </c>
      <c r="K1267" s="11" t="n">
        <v>70</v>
      </c>
      <c r="L1267" s="0" t="str">
        <f aca="false">IF(H1267&gt;I1267,"ERRO","OK")</f>
        <v>OK</v>
      </c>
      <c r="M1267" s="0" t="str">
        <f aca="false">IF(H1267&gt;J1267,"ERRO","OK")</f>
        <v>OK</v>
      </c>
      <c r="N1267" s="0" t="str">
        <f aca="false">IF(I1267&lt;J1267,"ERRO","OK")</f>
        <v>OK</v>
      </c>
    </row>
    <row r="1268" customFormat="false" ht="36.5" hidden="false" customHeight="false" outlineLevel="0" collapsed="false">
      <c r="A1268" s="0" t="n">
        <v>69</v>
      </c>
      <c r="B1268" s="0" t="n">
        <v>2024</v>
      </c>
      <c r="C1268" s="3" t="n">
        <v>45548</v>
      </c>
      <c r="D1268" s="4" t="s">
        <v>42</v>
      </c>
      <c r="E1268" s="5" t="s">
        <v>68</v>
      </c>
      <c r="F1268" s="5" t="s">
        <v>44</v>
      </c>
      <c r="G1268" s="7" t="n">
        <v>150</v>
      </c>
      <c r="H1268" s="7" t="n">
        <v>120</v>
      </c>
      <c r="I1268" s="7" t="n">
        <v>150</v>
      </c>
      <c r="J1268" s="7" t="n">
        <v>140</v>
      </c>
      <c r="K1268" s="7" t="n">
        <v>150</v>
      </c>
      <c r="L1268" s="0" t="str">
        <f aca="false">IF(H1268&gt;I1268,"ERRO","OK")</f>
        <v>OK</v>
      </c>
      <c r="M1268" s="0" t="str">
        <f aca="false">IF(H1268&gt;J1268,"ERRO","OK")</f>
        <v>OK</v>
      </c>
      <c r="N1268" s="0" t="str">
        <f aca="false">IF(I1268&lt;J1268,"ERRO","OK")</f>
        <v>OK</v>
      </c>
    </row>
    <row r="1269" customFormat="false" ht="14.25" hidden="false" customHeight="false" outlineLevel="0" collapsed="false">
      <c r="A1269" s="0" t="n">
        <v>69</v>
      </c>
      <c r="B1269" s="0" t="n">
        <v>2024</v>
      </c>
      <c r="C1269" s="3" t="n">
        <v>45548</v>
      </c>
      <c r="D1269" s="8" t="s">
        <v>69</v>
      </c>
      <c r="E1269" s="9" t="s">
        <v>70</v>
      </c>
      <c r="F1269" s="9" t="s">
        <v>49</v>
      </c>
      <c r="G1269" s="10"/>
      <c r="H1269" s="10"/>
      <c r="I1269" s="10"/>
      <c r="J1269" s="10"/>
      <c r="K1269" s="10"/>
      <c r="L1269" s="0" t="str">
        <f aca="false">IF(H1269&gt;I1269,"ERRO","OK")</f>
        <v>OK</v>
      </c>
      <c r="M1269" s="0" t="str">
        <f aca="false">IF(H1269&gt;J1269,"ERRO","OK")</f>
        <v>OK</v>
      </c>
      <c r="N1269" s="0" t="str">
        <f aca="false">IF(I1269&lt;J1269,"ERRO","OK")</f>
        <v>OK</v>
      </c>
    </row>
    <row r="1270" customFormat="false" ht="14.25" hidden="false" customHeight="false" outlineLevel="0" collapsed="false">
      <c r="A1270" s="0" t="n">
        <v>69</v>
      </c>
      <c r="B1270" s="0" t="n">
        <v>2024</v>
      </c>
      <c r="C1270" s="3" t="n">
        <v>45548</v>
      </c>
      <c r="D1270" s="4" t="s">
        <v>69</v>
      </c>
      <c r="E1270" s="5" t="s">
        <v>71</v>
      </c>
      <c r="F1270" s="5" t="s">
        <v>49</v>
      </c>
      <c r="G1270" s="6"/>
      <c r="H1270" s="6"/>
      <c r="I1270" s="6"/>
      <c r="J1270" s="6"/>
      <c r="K1270" s="6"/>
      <c r="L1270" s="0" t="str">
        <f aca="false">IF(H1270&gt;I1270,"ERRO","OK")</f>
        <v>OK</v>
      </c>
      <c r="M1270" s="0" t="str">
        <f aca="false">IF(H1270&gt;J1270,"ERRO","OK")</f>
        <v>OK</v>
      </c>
      <c r="N1270" s="0" t="str">
        <f aca="false">IF(I1270&lt;J1270,"ERRO","OK")</f>
        <v>OK</v>
      </c>
    </row>
    <row r="1271" customFormat="false" ht="14.25" hidden="false" customHeight="false" outlineLevel="0" collapsed="false">
      <c r="A1271" s="0" t="n">
        <v>69</v>
      </c>
      <c r="B1271" s="0" t="n">
        <v>2024</v>
      </c>
      <c r="C1271" s="3" t="n">
        <v>45548</v>
      </c>
      <c r="D1271" s="8" t="s">
        <v>69</v>
      </c>
      <c r="E1271" s="9" t="s">
        <v>72</v>
      </c>
      <c r="F1271" s="9" t="s">
        <v>49</v>
      </c>
      <c r="G1271" s="10"/>
      <c r="H1271" s="10"/>
      <c r="I1271" s="10"/>
      <c r="J1271" s="10"/>
      <c r="K1271" s="10"/>
      <c r="L1271" s="0" t="str">
        <f aca="false">IF(H1271&gt;I1271,"ERRO","OK")</f>
        <v>OK</v>
      </c>
      <c r="M1271" s="0" t="str">
        <f aca="false">IF(H1271&gt;J1271,"ERRO","OK")</f>
        <v>OK</v>
      </c>
      <c r="N1271" s="0" t="str">
        <f aca="false">IF(I1271&lt;J1271,"ERRO","OK")</f>
        <v>OK</v>
      </c>
    </row>
    <row r="1272" customFormat="false" ht="14.25" hidden="false" customHeight="false" outlineLevel="0" collapsed="false">
      <c r="A1272" s="0" t="n">
        <v>69</v>
      </c>
      <c r="B1272" s="0" t="n">
        <v>2024</v>
      </c>
      <c r="C1272" s="3" t="n">
        <v>45548</v>
      </c>
      <c r="D1272" s="4" t="s">
        <v>69</v>
      </c>
      <c r="E1272" s="5" t="s">
        <v>73</v>
      </c>
      <c r="F1272" s="5" t="s">
        <v>49</v>
      </c>
      <c r="G1272" s="6"/>
      <c r="H1272" s="7" t="n">
        <v>50</v>
      </c>
      <c r="I1272" s="7" t="n">
        <v>50</v>
      </c>
      <c r="J1272" s="7" t="n">
        <v>50</v>
      </c>
      <c r="K1272" s="7" t="n">
        <v>50</v>
      </c>
      <c r="L1272" s="0" t="str">
        <f aca="false">IF(H1272&gt;I1272,"ERRO","OK")</f>
        <v>OK</v>
      </c>
      <c r="M1272" s="0" t="str">
        <f aca="false">IF(H1272&gt;J1272,"ERRO","OK")</f>
        <v>OK</v>
      </c>
      <c r="N1272" s="0" t="str">
        <f aca="false">IF(I1272&lt;J1272,"ERRO","OK")</f>
        <v>OK</v>
      </c>
    </row>
    <row r="1273" customFormat="false" ht="14.25" hidden="false" customHeight="false" outlineLevel="0" collapsed="false">
      <c r="A1273" s="0" t="n">
        <v>69</v>
      </c>
      <c r="B1273" s="0" t="n">
        <v>2024</v>
      </c>
      <c r="C1273" s="3" t="n">
        <v>45548</v>
      </c>
      <c r="D1273" s="8" t="s">
        <v>69</v>
      </c>
      <c r="E1273" s="9" t="s">
        <v>74</v>
      </c>
      <c r="F1273" s="9" t="s">
        <v>75</v>
      </c>
      <c r="G1273" s="10"/>
      <c r="H1273" s="10"/>
      <c r="I1273" s="10"/>
      <c r="J1273" s="10"/>
      <c r="K1273" s="10"/>
      <c r="L1273" s="0" t="str">
        <f aca="false">IF(H1273&gt;I1273,"ERRO","OK")</f>
        <v>OK</v>
      </c>
      <c r="M1273" s="0" t="str">
        <f aca="false">IF(H1273&gt;J1273,"ERRO","OK")</f>
        <v>OK</v>
      </c>
      <c r="N1273" s="0" t="str">
        <f aca="false">IF(I1273&lt;J1273,"ERRO","OK")</f>
        <v>OK</v>
      </c>
    </row>
    <row r="1274" customFormat="false" ht="25" hidden="false" customHeight="false" outlineLevel="0" collapsed="false">
      <c r="A1274" s="0" t="n">
        <v>70</v>
      </c>
      <c r="B1274" s="0" t="n">
        <v>2024</v>
      </c>
      <c r="C1274" s="3" t="n">
        <v>45555</v>
      </c>
      <c r="D1274" s="4" t="s">
        <v>15</v>
      </c>
      <c r="E1274" s="5" t="s">
        <v>16</v>
      </c>
      <c r="F1274" s="5" t="s">
        <v>17</v>
      </c>
      <c r="G1274" s="7" t="n">
        <v>48</v>
      </c>
      <c r="H1274" s="7" t="n">
        <v>48</v>
      </c>
      <c r="I1274" s="7" t="n">
        <v>60</v>
      </c>
      <c r="J1274" s="7" t="n">
        <v>51</v>
      </c>
      <c r="K1274" s="7" t="n">
        <v>48</v>
      </c>
      <c r="L1274" s="0" t="str">
        <f aca="false">IF(H1274&gt;I1274,"ERRO","OK")</f>
        <v>OK</v>
      </c>
      <c r="M1274" s="0" t="str">
        <f aca="false">IF(H1274&gt;J1274,"ERRO","OK")</f>
        <v>OK</v>
      </c>
      <c r="N1274" s="0" t="str">
        <f aca="false">IF(I1274&lt;J1274,"ERRO","OK")</f>
        <v>OK</v>
      </c>
    </row>
    <row r="1275" customFormat="false" ht="25" hidden="false" customHeight="false" outlineLevel="0" collapsed="false">
      <c r="A1275" s="0" t="n">
        <v>70</v>
      </c>
      <c r="B1275" s="0" t="n">
        <v>2024</v>
      </c>
      <c r="C1275" s="3" t="n">
        <v>45555</v>
      </c>
      <c r="D1275" s="8" t="s">
        <v>15</v>
      </c>
      <c r="E1275" s="9" t="s">
        <v>18</v>
      </c>
      <c r="F1275" s="9" t="s">
        <v>17</v>
      </c>
      <c r="G1275" s="11" t="n">
        <v>84</v>
      </c>
      <c r="H1275" s="11" t="n">
        <v>60</v>
      </c>
      <c r="I1275" s="11" t="n">
        <v>84</v>
      </c>
      <c r="J1275" s="11" t="n">
        <v>75</v>
      </c>
      <c r="K1275" s="11" t="n">
        <v>78</v>
      </c>
      <c r="L1275" s="0" t="str">
        <f aca="false">IF(H1275&gt;I1275,"ERRO","OK")</f>
        <v>OK</v>
      </c>
      <c r="M1275" s="0" t="str">
        <f aca="false">IF(H1275&gt;J1275,"ERRO","OK")</f>
        <v>OK</v>
      </c>
      <c r="N1275" s="0" t="str">
        <f aca="false">IF(I1275&lt;J1275,"ERRO","OK")</f>
        <v>OK</v>
      </c>
    </row>
    <row r="1276" customFormat="false" ht="25" hidden="false" customHeight="false" outlineLevel="0" collapsed="false">
      <c r="A1276" s="0" t="n">
        <v>70</v>
      </c>
      <c r="B1276" s="0" t="n">
        <v>2024</v>
      </c>
      <c r="C1276" s="3" t="n">
        <v>45555</v>
      </c>
      <c r="D1276" s="4" t="s">
        <v>15</v>
      </c>
      <c r="E1276" s="5" t="s">
        <v>19</v>
      </c>
      <c r="F1276" s="5" t="s">
        <v>17</v>
      </c>
      <c r="G1276" s="7" t="n">
        <v>36</v>
      </c>
      <c r="H1276" s="7" t="n">
        <v>36</v>
      </c>
      <c r="I1276" s="7" t="n">
        <v>48</v>
      </c>
      <c r="J1276" s="7" t="s">
        <v>331</v>
      </c>
      <c r="K1276" s="7" t="n">
        <v>36</v>
      </c>
      <c r="L1276" s="0" t="str">
        <f aca="false">IF(H1276&gt;I1276,"ERRO","OK")</f>
        <v>OK</v>
      </c>
      <c r="M1276" s="0" t="str">
        <f aca="false">IF(H1276&gt;J1276,"ERRO","OK")</f>
        <v>OK</v>
      </c>
      <c r="N1276" s="0" t="str">
        <f aca="false">IF(I1276&lt;J1276,"ERRO","OK")</f>
        <v>ERRO</v>
      </c>
    </row>
    <row r="1277" customFormat="false" ht="25" hidden="false" customHeight="false" outlineLevel="0" collapsed="false">
      <c r="A1277" s="0" t="n">
        <v>70</v>
      </c>
      <c r="B1277" s="0" t="n">
        <v>2024</v>
      </c>
      <c r="C1277" s="3" t="n">
        <v>45555</v>
      </c>
      <c r="D1277" s="8" t="s">
        <v>15</v>
      </c>
      <c r="E1277" s="9" t="s">
        <v>20</v>
      </c>
      <c r="F1277" s="9" t="s">
        <v>17</v>
      </c>
      <c r="G1277" s="11" t="n">
        <v>24</v>
      </c>
      <c r="H1277" s="11" t="n">
        <v>15</v>
      </c>
      <c r="I1277" s="11" t="n">
        <v>36</v>
      </c>
      <c r="J1277" s="11" t="s">
        <v>332</v>
      </c>
      <c r="K1277" s="11" t="n">
        <v>24</v>
      </c>
      <c r="L1277" s="0" t="str">
        <f aca="false">IF(H1277&gt;I1277,"ERRO","OK")</f>
        <v>OK</v>
      </c>
      <c r="M1277" s="0" t="str">
        <f aca="false">IF(H1277&gt;J1277,"ERRO","OK")</f>
        <v>OK</v>
      </c>
      <c r="N1277" s="0" t="str">
        <f aca="false">IF(I1277&lt;J1277,"ERRO","OK")</f>
        <v>ERRO</v>
      </c>
    </row>
    <row r="1278" customFormat="false" ht="25" hidden="false" customHeight="false" outlineLevel="0" collapsed="false">
      <c r="A1278" s="0" t="n">
        <v>70</v>
      </c>
      <c r="B1278" s="0" t="n">
        <v>2024</v>
      </c>
      <c r="C1278" s="3" t="n">
        <v>45555</v>
      </c>
      <c r="D1278" s="4" t="s">
        <v>15</v>
      </c>
      <c r="E1278" s="5" t="s">
        <v>21</v>
      </c>
      <c r="F1278" s="5" t="s">
        <v>17</v>
      </c>
      <c r="G1278" s="7" t="n">
        <v>24</v>
      </c>
      <c r="H1278" s="7" t="n">
        <v>15</v>
      </c>
      <c r="I1278" s="7" t="n">
        <v>36</v>
      </c>
      <c r="J1278" s="7" t="s">
        <v>123</v>
      </c>
      <c r="K1278" s="7" t="n">
        <v>24</v>
      </c>
      <c r="L1278" s="0" t="str">
        <f aca="false">IF(H1278&gt;I1278,"ERRO","OK")</f>
        <v>OK</v>
      </c>
      <c r="M1278" s="0" t="str">
        <f aca="false">IF(H1278&gt;J1278,"ERRO","OK")</f>
        <v>OK</v>
      </c>
      <c r="N1278" s="0" t="str">
        <f aca="false">IF(I1278&lt;J1278,"ERRO","OK")</f>
        <v>ERRO</v>
      </c>
    </row>
    <row r="1279" customFormat="false" ht="25" hidden="false" customHeight="false" outlineLevel="0" collapsed="false">
      <c r="A1279" s="0" t="n">
        <v>70</v>
      </c>
      <c r="B1279" s="0" t="n">
        <v>2024</v>
      </c>
      <c r="C1279" s="3" t="n">
        <v>45555</v>
      </c>
      <c r="D1279" s="8" t="s">
        <v>15</v>
      </c>
      <c r="E1279" s="9" t="s">
        <v>22</v>
      </c>
      <c r="F1279" s="9" t="s">
        <v>17</v>
      </c>
      <c r="G1279" s="11" t="n">
        <v>60</v>
      </c>
      <c r="H1279" s="11" t="n">
        <v>60</v>
      </c>
      <c r="I1279" s="11" t="n">
        <v>60</v>
      </c>
      <c r="J1279" s="11" t="n">
        <v>60</v>
      </c>
      <c r="K1279" s="11" t="n">
        <v>60</v>
      </c>
      <c r="L1279" s="0" t="str">
        <f aca="false">IF(H1279&gt;I1279,"ERRO","OK")</f>
        <v>OK</v>
      </c>
      <c r="M1279" s="0" t="str">
        <f aca="false">IF(H1279&gt;J1279,"ERRO","OK")</f>
        <v>OK</v>
      </c>
      <c r="N1279" s="0" t="str">
        <f aca="false">IF(I1279&lt;J1279,"ERRO","OK")</f>
        <v>OK</v>
      </c>
    </row>
    <row r="1280" customFormat="false" ht="25" hidden="false" customHeight="false" outlineLevel="0" collapsed="false">
      <c r="A1280" s="0" t="n">
        <v>70</v>
      </c>
      <c r="B1280" s="0" t="n">
        <v>2024</v>
      </c>
      <c r="C1280" s="3" t="n">
        <v>45555</v>
      </c>
      <c r="D1280" s="4" t="s">
        <v>15</v>
      </c>
      <c r="E1280" s="5" t="s">
        <v>23</v>
      </c>
      <c r="F1280" s="5" t="s">
        <v>17</v>
      </c>
      <c r="G1280" s="7" t="n">
        <v>48</v>
      </c>
      <c r="H1280" s="7" t="n">
        <v>48</v>
      </c>
      <c r="I1280" s="7" t="n">
        <v>72</v>
      </c>
      <c r="J1280" s="7" t="n">
        <v>57</v>
      </c>
      <c r="K1280" s="7" t="n">
        <v>54</v>
      </c>
      <c r="L1280" s="0" t="str">
        <f aca="false">IF(H1280&gt;I1280,"ERRO","OK")</f>
        <v>OK</v>
      </c>
      <c r="M1280" s="0" t="str">
        <f aca="false">IF(H1280&gt;J1280,"ERRO","OK")</f>
        <v>OK</v>
      </c>
      <c r="N1280" s="0" t="str">
        <f aca="false">IF(I1280&lt;J1280,"ERRO","OK")</f>
        <v>OK</v>
      </c>
    </row>
    <row r="1281" customFormat="false" ht="25" hidden="false" customHeight="false" outlineLevel="0" collapsed="false">
      <c r="A1281" s="0" t="n">
        <v>70</v>
      </c>
      <c r="B1281" s="0" t="n">
        <v>2024</v>
      </c>
      <c r="C1281" s="3" t="n">
        <v>45555</v>
      </c>
      <c r="D1281" s="8" t="s">
        <v>15</v>
      </c>
      <c r="E1281" s="9" t="s">
        <v>24</v>
      </c>
      <c r="F1281" s="9" t="s">
        <v>17</v>
      </c>
      <c r="G1281" s="11" t="n">
        <v>72</v>
      </c>
      <c r="H1281" s="11" t="n">
        <v>60</v>
      </c>
      <c r="I1281" s="11" t="n">
        <v>72</v>
      </c>
      <c r="J1281" s="11" t="s">
        <v>333</v>
      </c>
      <c r="K1281" s="11" t="n">
        <v>72</v>
      </c>
      <c r="L1281" s="0" t="str">
        <f aca="false">IF(H1281&gt;I1281,"ERRO","OK")</f>
        <v>OK</v>
      </c>
      <c r="M1281" s="0" t="str">
        <f aca="false">IF(H1281&gt;J1281,"ERRO","OK")</f>
        <v>OK</v>
      </c>
      <c r="N1281" s="0" t="str">
        <f aca="false">IF(I1281&lt;J1281,"ERRO","OK")</f>
        <v>ERRO</v>
      </c>
    </row>
    <row r="1282" customFormat="false" ht="25" hidden="false" customHeight="false" outlineLevel="0" collapsed="false">
      <c r="A1282" s="0" t="n">
        <v>70</v>
      </c>
      <c r="B1282" s="0" t="n">
        <v>2024</v>
      </c>
      <c r="C1282" s="3" t="n">
        <v>45555</v>
      </c>
      <c r="D1282" s="4" t="s">
        <v>15</v>
      </c>
      <c r="E1282" s="5" t="s">
        <v>25</v>
      </c>
      <c r="F1282" s="5" t="s">
        <v>17</v>
      </c>
      <c r="G1282" s="7" t="n">
        <v>24</v>
      </c>
      <c r="H1282" s="7" t="n">
        <v>18</v>
      </c>
      <c r="I1282" s="7" t="n">
        <v>24</v>
      </c>
      <c r="J1282" s="7" t="s">
        <v>122</v>
      </c>
      <c r="K1282" s="7" t="n">
        <v>24</v>
      </c>
      <c r="L1282" s="0" t="str">
        <f aca="false">IF(H1282&gt;I1282,"ERRO","OK")</f>
        <v>OK</v>
      </c>
      <c r="M1282" s="0" t="str">
        <f aca="false">IF(H1282&gt;J1282,"ERRO","OK")</f>
        <v>OK</v>
      </c>
      <c r="N1282" s="0" t="str">
        <f aca="false">IF(I1282&lt;J1282,"ERRO","OK")</f>
        <v>ERRO</v>
      </c>
    </row>
    <row r="1283" customFormat="false" ht="25" hidden="false" customHeight="false" outlineLevel="0" collapsed="false">
      <c r="A1283" s="0" t="n">
        <v>70</v>
      </c>
      <c r="B1283" s="0" t="n">
        <v>2024</v>
      </c>
      <c r="C1283" s="3" t="n">
        <v>45555</v>
      </c>
      <c r="D1283" s="8" t="s">
        <v>15</v>
      </c>
      <c r="E1283" s="9" t="s">
        <v>77</v>
      </c>
      <c r="F1283" s="9" t="s">
        <v>17</v>
      </c>
      <c r="G1283" s="11" t="n">
        <v>60</v>
      </c>
      <c r="H1283" s="11" t="n">
        <v>60</v>
      </c>
      <c r="I1283" s="11" t="n">
        <v>72</v>
      </c>
      <c r="J1283" s="11" t="s">
        <v>334</v>
      </c>
      <c r="K1283" s="11" t="n">
        <v>65</v>
      </c>
      <c r="L1283" s="0" t="str">
        <f aca="false">IF(H1283&gt;I1283,"ERRO","OK")</f>
        <v>OK</v>
      </c>
      <c r="M1283" s="0" t="str">
        <f aca="false">IF(H1283&gt;J1283,"ERRO","OK")</f>
        <v>OK</v>
      </c>
      <c r="N1283" s="0" t="str">
        <f aca="false">IF(I1283&lt;J1283,"ERRO","OK")</f>
        <v>ERRO</v>
      </c>
    </row>
    <row r="1284" customFormat="false" ht="25" hidden="false" customHeight="false" outlineLevel="0" collapsed="false">
      <c r="A1284" s="0" t="n">
        <v>70</v>
      </c>
      <c r="B1284" s="0" t="n">
        <v>2024</v>
      </c>
      <c r="C1284" s="3" t="n">
        <v>45555</v>
      </c>
      <c r="D1284" s="4" t="s">
        <v>15</v>
      </c>
      <c r="E1284" s="5" t="s">
        <v>27</v>
      </c>
      <c r="F1284" s="5" t="s">
        <v>17</v>
      </c>
      <c r="G1284" s="7" t="n">
        <v>24</v>
      </c>
      <c r="H1284" s="7" t="n">
        <v>15</v>
      </c>
      <c r="I1284" s="7" t="n">
        <v>24</v>
      </c>
      <c r="J1284" s="7" t="n">
        <v>21</v>
      </c>
      <c r="K1284" s="7" t="n">
        <v>24</v>
      </c>
      <c r="L1284" s="0" t="str">
        <f aca="false">IF(H1284&gt;I1284,"ERRO","OK")</f>
        <v>OK</v>
      </c>
      <c r="M1284" s="0" t="str">
        <f aca="false">IF(H1284&gt;J1284,"ERRO","OK")</f>
        <v>OK</v>
      </c>
      <c r="N1284" s="0" t="str">
        <f aca="false">IF(I1284&lt;J1284,"ERRO","OK")</f>
        <v>OK</v>
      </c>
    </row>
    <row r="1285" customFormat="false" ht="25" hidden="false" customHeight="false" outlineLevel="0" collapsed="false">
      <c r="A1285" s="0" t="n">
        <v>70</v>
      </c>
      <c r="B1285" s="0" t="n">
        <v>2024</v>
      </c>
      <c r="C1285" s="3" t="n">
        <v>45555</v>
      </c>
      <c r="D1285" s="8" t="s">
        <v>15</v>
      </c>
      <c r="E1285" s="9" t="s">
        <v>28</v>
      </c>
      <c r="F1285" s="9" t="s">
        <v>17</v>
      </c>
      <c r="G1285" s="11" t="n">
        <v>48</v>
      </c>
      <c r="H1285" s="11" t="n">
        <v>48</v>
      </c>
      <c r="I1285" s="11" t="n">
        <v>72</v>
      </c>
      <c r="J1285" s="11" t="n">
        <v>57</v>
      </c>
      <c r="K1285" s="11" t="n">
        <v>54</v>
      </c>
      <c r="L1285" s="0" t="str">
        <f aca="false">IF(H1285&gt;I1285,"ERRO","OK")</f>
        <v>OK</v>
      </c>
      <c r="M1285" s="0" t="str">
        <f aca="false">IF(H1285&gt;J1285,"ERRO","OK")</f>
        <v>OK</v>
      </c>
      <c r="N1285" s="0" t="str">
        <f aca="false">IF(I1285&lt;J1285,"ERRO","OK")</f>
        <v>OK</v>
      </c>
    </row>
    <row r="1286" customFormat="false" ht="25" hidden="false" customHeight="false" outlineLevel="0" collapsed="false">
      <c r="A1286" s="0" t="n">
        <v>70</v>
      </c>
      <c r="B1286" s="0" t="n">
        <v>2024</v>
      </c>
      <c r="C1286" s="3" t="n">
        <v>45555</v>
      </c>
      <c r="D1286" s="4" t="s">
        <v>15</v>
      </c>
      <c r="E1286" s="5" t="s">
        <v>29</v>
      </c>
      <c r="F1286" s="5" t="s">
        <v>30</v>
      </c>
      <c r="G1286" s="7" t="n">
        <v>48</v>
      </c>
      <c r="H1286" s="7" t="n">
        <v>36</v>
      </c>
      <c r="I1286" s="7" t="n">
        <v>60</v>
      </c>
      <c r="J1286" s="7" t="s">
        <v>315</v>
      </c>
      <c r="K1286" s="7" t="n">
        <v>48</v>
      </c>
      <c r="L1286" s="0" t="str">
        <f aca="false">IF(H1286&gt;I1286,"ERRO","OK")</f>
        <v>OK</v>
      </c>
      <c r="M1286" s="0" t="str">
        <f aca="false">IF(H1286&gt;J1286,"ERRO","OK")</f>
        <v>OK</v>
      </c>
      <c r="N1286" s="0" t="str">
        <f aca="false">IF(I1286&lt;J1286,"ERRO","OK")</f>
        <v>ERRO</v>
      </c>
    </row>
    <row r="1287" customFormat="false" ht="25" hidden="false" customHeight="false" outlineLevel="0" collapsed="false">
      <c r="A1287" s="0" t="n">
        <v>70</v>
      </c>
      <c r="B1287" s="0" t="n">
        <v>2024</v>
      </c>
      <c r="C1287" s="3" t="n">
        <v>45555</v>
      </c>
      <c r="D1287" s="8" t="s">
        <v>15</v>
      </c>
      <c r="E1287" s="9" t="s">
        <v>31</v>
      </c>
      <c r="F1287" s="9" t="s">
        <v>17</v>
      </c>
      <c r="G1287" s="11" t="n">
        <v>60</v>
      </c>
      <c r="H1287" s="11" t="n">
        <v>48</v>
      </c>
      <c r="I1287" s="11" t="n">
        <v>60</v>
      </c>
      <c r="J1287" s="11" t="n">
        <v>54</v>
      </c>
      <c r="K1287" s="11" t="n">
        <v>54</v>
      </c>
      <c r="L1287" s="0" t="str">
        <f aca="false">IF(H1287&gt;I1287,"ERRO","OK")</f>
        <v>OK</v>
      </c>
      <c r="M1287" s="0" t="str">
        <f aca="false">IF(H1287&gt;J1287,"ERRO","OK")</f>
        <v>OK</v>
      </c>
      <c r="N1287" s="0" t="str">
        <f aca="false">IF(I1287&lt;J1287,"ERRO","OK")</f>
        <v>OK</v>
      </c>
    </row>
    <row r="1288" customFormat="false" ht="25" hidden="false" customHeight="false" outlineLevel="0" collapsed="false">
      <c r="A1288" s="0" t="n">
        <v>70</v>
      </c>
      <c r="B1288" s="0" t="n">
        <v>2024</v>
      </c>
      <c r="C1288" s="3" t="n">
        <v>45555</v>
      </c>
      <c r="D1288" s="4" t="s">
        <v>15</v>
      </c>
      <c r="E1288" s="5" t="s">
        <v>32</v>
      </c>
      <c r="F1288" s="5" t="s">
        <v>17</v>
      </c>
      <c r="G1288" s="7" t="n">
        <v>36</v>
      </c>
      <c r="H1288" s="7" t="n">
        <v>20</v>
      </c>
      <c r="I1288" s="7" t="n">
        <v>36</v>
      </c>
      <c r="J1288" s="7" t="s">
        <v>335</v>
      </c>
      <c r="K1288" s="7" t="n">
        <v>36</v>
      </c>
      <c r="L1288" s="0" t="str">
        <f aca="false">IF(H1288&gt;I1288,"ERRO","OK")</f>
        <v>OK</v>
      </c>
      <c r="M1288" s="0" t="str">
        <f aca="false">IF(H1288&gt;J1288,"ERRO","OK")</f>
        <v>OK</v>
      </c>
      <c r="N1288" s="0" t="str">
        <f aca="false">IF(I1288&lt;J1288,"ERRO","OK")</f>
        <v>ERRO</v>
      </c>
    </row>
    <row r="1289" customFormat="false" ht="25" hidden="false" customHeight="false" outlineLevel="0" collapsed="false">
      <c r="A1289" s="0" t="n">
        <v>70</v>
      </c>
      <c r="B1289" s="0" t="n">
        <v>2024</v>
      </c>
      <c r="C1289" s="3" t="n">
        <v>45555</v>
      </c>
      <c r="D1289" s="8" t="s">
        <v>15</v>
      </c>
      <c r="E1289" s="9" t="s">
        <v>33</v>
      </c>
      <c r="F1289" s="9" t="s">
        <v>17</v>
      </c>
      <c r="G1289" s="11" t="n">
        <v>48</v>
      </c>
      <c r="H1289" s="11" t="n">
        <v>48</v>
      </c>
      <c r="I1289" s="11" t="n">
        <v>54</v>
      </c>
      <c r="J1289" s="11" t="s">
        <v>304</v>
      </c>
      <c r="K1289" s="11" t="n">
        <v>48</v>
      </c>
      <c r="L1289" s="0" t="str">
        <f aca="false">IF(H1289&gt;I1289,"ERRO","OK")</f>
        <v>OK</v>
      </c>
      <c r="M1289" s="0" t="str">
        <f aca="false">IF(H1289&gt;J1289,"ERRO","OK")</f>
        <v>OK</v>
      </c>
      <c r="N1289" s="0" t="str">
        <f aca="false">IF(I1289&lt;J1289,"ERRO","OK")</f>
        <v>ERRO</v>
      </c>
    </row>
    <row r="1290" customFormat="false" ht="25" hidden="false" customHeight="false" outlineLevel="0" collapsed="false">
      <c r="A1290" s="0" t="n">
        <v>70</v>
      </c>
      <c r="B1290" s="0" t="n">
        <v>2024</v>
      </c>
      <c r="C1290" s="3" t="n">
        <v>45555</v>
      </c>
      <c r="D1290" s="4" t="s">
        <v>15</v>
      </c>
      <c r="E1290" s="5" t="s">
        <v>35</v>
      </c>
      <c r="F1290" s="5" t="s">
        <v>36</v>
      </c>
      <c r="G1290" s="7" t="n">
        <v>5</v>
      </c>
      <c r="H1290" s="7" t="n">
        <v>5</v>
      </c>
      <c r="I1290" s="7" t="n">
        <v>5</v>
      </c>
      <c r="J1290" s="7" t="n">
        <v>5</v>
      </c>
      <c r="K1290" s="7" t="n">
        <v>5</v>
      </c>
      <c r="L1290" s="0" t="str">
        <f aca="false">IF(H1290&gt;I1290,"ERRO","OK")</f>
        <v>OK</v>
      </c>
      <c r="M1290" s="0" t="str">
        <f aca="false">IF(H1290&gt;J1290,"ERRO","OK")</f>
        <v>OK</v>
      </c>
      <c r="N1290" s="0" t="str">
        <f aca="false">IF(I1290&lt;J1290,"ERRO","OK")</f>
        <v>OK</v>
      </c>
    </row>
    <row r="1291" customFormat="false" ht="25" hidden="false" customHeight="false" outlineLevel="0" collapsed="false">
      <c r="A1291" s="0" t="n">
        <v>70</v>
      </c>
      <c r="B1291" s="0" t="n">
        <v>2024</v>
      </c>
      <c r="C1291" s="3" t="n">
        <v>45555</v>
      </c>
      <c r="D1291" s="8" t="s">
        <v>15</v>
      </c>
      <c r="E1291" s="9" t="s">
        <v>38</v>
      </c>
      <c r="F1291" s="9" t="s">
        <v>39</v>
      </c>
      <c r="G1291" s="11" t="n">
        <v>10</v>
      </c>
      <c r="H1291" s="11" t="n">
        <v>10</v>
      </c>
      <c r="I1291" s="11" t="n">
        <v>12</v>
      </c>
      <c r="J1291" s="11" t="s">
        <v>336</v>
      </c>
      <c r="K1291" s="11" t="n">
        <v>10</v>
      </c>
      <c r="L1291" s="0" t="str">
        <f aca="false">IF(H1291&gt;I1291,"ERRO","OK")</f>
        <v>OK</v>
      </c>
      <c r="M1291" s="0" t="str">
        <f aca="false">IF(H1291&gt;J1291,"ERRO","OK")</f>
        <v>OK</v>
      </c>
      <c r="N1291" s="0" t="str">
        <f aca="false">IF(I1291&lt;J1291,"ERRO","OK")</f>
        <v>ERRO</v>
      </c>
    </row>
    <row r="1292" customFormat="false" ht="25" hidden="false" customHeight="false" outlineLevel="0" collapsed="false">
      <c r="A1292" s="0" t="n">
        <v>70</v>
      </c>
      <c r="B1292" s="0" t="n">
        <v>2024</v>
      </c>
      <c r="C1292" s="3" t="n">
        <v>45555</v>
      </c>
      <c r="D1292" s="4" t="s">
        <v>15</v>
      </c>
      <c r="E1292" s="5" t="s">
        <v>40</v>
      </c>
      <c r="F1292" s="5" t="s">
        <v>39</v>
      </c>
      <c r="G1292" s="7" t="n">
        <v>30</v>
      </c>
      <c r="H1292" s="7" t="n">
        <v>15</v>
      </c>
      <c r="I1292" s="7" t="n">
        <v>30</v>
      </c>
      <c r="J1292" s="7" t="n">
        <v>25</v>
      </c>
      <c r="K1292" s="7" t="n">
        <v>30</v>
      </c>
      <c r="L1292" s="0" t="str">
        <f aca="false">IF(H1292&gt;I1292,"ERRO","OK")</f>
        <v>OK</v>
      </c>
      <c r="M1292" s="0" t="str">
        <f aca="false">IF(H1292&gt;J1292,"ERRO","OK")</f>
        <v>OK</v>
      </c>
      <c r="N1292" s="0" t="str">
        <f aca="false">IF(I1292&lt;J1292,"ERRO","OK")</f>
        <v>OK</v>
      </c>
    </row>
    <row r="1293" customFormat="false" ht="36.5" hidden="false" customHeight="false" outlineLevel="0" collapsed="false">
      <c r="A1293" s="0" t="n">
        <v>70</v>
      </c>
      <c r="B1293" s="0" t="n">
        <v>2024</v>
      </c>
      <c r="C1293" s="3" t="n">
        <v>45555</v>
      </c>
      <c r="D1293" s="8" t="s">
        <v>42</v>
      </c>
      <c r="E1293" s="9" t="s">
        <v>157</v>
      </c>
      <c r="F1293" s="9" t="s">
        <v>158</v>
      </c>
      <c r="G1293" s="10"/>
      <c r="H1293" s="11" t="n">
        <v>70</v>
      </c>
      <c r="I1293" s="11" t="n">
        <v>80</v>
      </c>
      <c r="J1293" s="11" t="n">
        <v>75</v>
      </c>
      <c r="K1293" s="11" t="n">
        <v>75</v>
      </c>
      <c r="L1293" s="0" t="str">
        <f aca="false">IF(H1293&gt;I1293,"ERRO","OK")</f>
        <v>OK</v>
      </c>
      <c r="M1293" s="0" t="str">
        <f aca="false">IF(H1293&gt;J1293,"ERRO","OK")</f>
        <v>OK</v>
      </c>
      <c r="N1293" s="0" t="str">
        <f aca="false">IF(I1293&lt;J1293,"ERRO","OK")</f>
        <v>OK</v>
      </c>
    </row>
    <row r="1294" customFormat="false" ht="36.5" hidden="false" customHeight="false" outlineLevel="0" collapsed="false">
      <c r="A1294" s="0" t="n">
        <v>70</v>
      </c>
      <c r="B1294" s="0" t="n">
        <v>2024</v>
      </c>
      <c r="C1294" s="3" t="n">
        <v>45555</v>
      </c>
      <c r="D1294" s="4" t="s">
        <v>42</v>
      </c>
      <c r="E1294" s="5" t="s">
        <v>43</v>
      </c>
      <c r="F1294" s="5" t="s">
        <v>44</v>
      </c>
      <c r="G1294" s="7" t="n">
        <v>40</v>
      </c>
      <c r="H1294" s="7" t="n">
        <v>40</v>
      </c>
      <c r="I1294" s="7" t="n">
        <v>50</v>
      </c>
      <c r="J1294" s="7" t="n">
        <v>45</v>
      </c>
      <c r="K1294" s="7" t="n">
        <v>45</v>
      </c>
      <c r="L1294" s="0" t="str">
        <f aca="false">IF(H1294&gt;I1294,"ERRO","OK")</f>
        <v>OK</v>
      </c>
      <c r="M1294" s="0" t="str">
        <f aca="false">IF(H1294&gt;J1294,"ERRO","OK")</f>
        <v>OK</v>
      </c>
      <c r="N1294" s="0" t="str">
        <f aca="false">IF(I1294&lt;J1294,"ERRO","OK")</f>
        <v>OK</v>
      </c>
    </row>
    <row r="1295" customFormat="false" ht="36.5" hidden="false" customHeight="false" outlineLevel="0" collapsed="false">
      <c r="A1295" s="0" t="n">
        <v>70</v>
      </c>
      <c r="B1295" s="0" t="n">
        <v>2024</v>
      </c>
      <c r="C1295" s="3" t="n">
        <v>45555</v>
      </c>
      <c r="D1295" s="8" t="s">
        <v>42</v>
      </c>
      <c r="E1295" s="9" t="s">
        <v>46</v>
      </c>
      <c r="F1295" s="9" t="s">
        <v>47</v>
      </c>
      <c r="G1295" s="11" t="n">
        <v>70</v>
      </c>
      <c r="H1295" s="11" t="n">
        <v>45</v>
      </c>
      <c r="I1295" s="11" t="n">
        <v>70</v>
      </c>
      <c r="J1295" s="11" t="s">
        <v>262</v>
      </c>
      <c r="K1295" s="11" t="s">
        <v>45</v>
      </c>
      <c r="L1295" s="0" t="str">
        <f aca="false">IF(H1295&gt;I1295,"ERRO","OK")</f>
        <v>OK</v>
      </c>
      <c r="M1295" s="0" t="str">
        <f aca="false">IF(H1295&gt;J1295,"ERRO","OK")</f>
        <v>OK</v>
      </c>
      <c r="N1295" s="0" t="str">
        <f aca="false">IF(I1295&lt;J1295,"ERRO","OK")</f>
        <v>ERRO</v>
      </c>
    </row>
    <row r="1296" customFormat="false" ht="36.5" hidden="false" customHeight="false" outlineLevel="0" collapsed="false">
      <c r="A1296" s="0" t="n">
        <v>70</v>
      </c>
      <c r="B1296" s="0" t="n">
        <v>2024</v>
      </c>
      <c r="C1296" s="3" t="n">
        <v>45555</v>
      </c>
      <c r="D1296" s="4" t="s">
        <v>42</v>
      </c>
      <c r="E1296" s="5" t="s">
        <v>48</v>
      </c>
      <c r="F1296" s="5" t="s">
        <v>49</v>
      </c>
      <c r="G1296" s="7" t="n">
        <v>50</v>
      </c>
      <c r="H1296" s="7" t="n">
        <v>50</v>
      </c>
      <c r="I1296" s="7" t="n">
        <v>90</v>
      </c>
      <c r="J1296" s="7" t="n">
        <v>59</v>
      </c>
      <c r="K1296" s="7" t="n">
        <v>50</v>
      </c>
      <c r="L1296" s="0" t="str">
        <f aca="false">IF(H1296&gt;I1296,"ERRO","OK")</f>
        <v>OK</v>
      </c>
      <c r="M1296" s="0" t="str">
        <f aca="false">IF(H1296&gt;J1296,"ERRO","OK")</f>
        <v>OK</v>
      </c>
      <c r="N1296" s="0" t="str">
        <f aca="false">IF(I1296&lt;J1296,"ERRO","OK")</f>
        <v>OK</v>
      </c>
    </row>
    <row r="1297" customFormat="false" ht="36.5" hidden="false" customHeight="false" outlineLevel="0" collapsed="false">
      <c r="A1297" s="0" t="n">
        <v>70</v>
      </c>
      <c r="B1297" s="0" t="n">
        <v>2024</v>
      </c>
      <c r="C1297" s="3" t="n">
        <v>45555</v>
      </c>
      <c r="D1297" s="8" t="s">
        <v>42</v>
      </c>
      <c r="E1297" s="9" t="s">
        <v>52</v>
      </c>
      <c r="F1297" s="9" t="s">
        <v>49</v>
      </c>
      <c r="G1297" s="10"/>
      <c r="H1297" s="11" t="n">
        <v>45</v>
      </c>
      <c r="I1297" s="11" t="n">
        <v>100</v>
      </c>
      <c r="J1297" s="11" t="s">
        <v>266</v>
      </c>
      <c r="K1297" s="11" t="n">
        <v>90</v>
      </c>
      <c r="L1297" s="0" t="str">
        <f aca="false">IF(H1297&gt;I1297,"ERRO","OK")</f>
        <v>OK</v>
      </c>
      <c r="M1297" s="0" t="str">
        <f aca="false">IF(H1297&gt;J1297,"ERRO","OK")</f>
        <v>OK</v>
      </c>
      <c r="N1297" s="0" t="str">
        <f aca="false">IF(I1297&lt;J1297,"ERRO","OK")</f>
        <v>ERRO</v>
      </c>
    </row>
    <row r="1298" customFormat="false" ht="36.5" hidden="false" customHeight="false" outlineLevel="0" collapsed="false">
      <c r="A1298" s="0" t="n">
        <v>70</v>
      </c>
      <c r="B1298" s="0" t="n">
        <v>2024</v>
      </c>
      <c r="C1298" s="3" t="n">
        <v>45555</v>
      </c>
      <c r="D1298" s="4" t="s">
        <v>42</v>
      </c>
      <c r="E1298" s="5" t="s">
        <v>53</v>
      </c>
      <c r="F1298" s="5" t="s">
        <v>54</v>
      </c>
      <c r="G1298" s="7" t="n">
        <v>60</v>
      </c>
      <c r="H1298" s="7" t="n">
        <v>60</v>
      </c>
      <c r="I1298" s="7" t="n">
        <v>70</v>
      </c>
      <c r="J1298" s="7" t="s">
        <v>337</v>
      </c>
      <c r="K1298" s="7" t="s">
        <v>84</v>
      </c>
      <c r="L1298" s="0" t="str">
        <f aca="false">IF(H1298&gt;I1298,"ERRO","OK")</f>
        <v>OK</v>
      </c>
      <c r="M1298" s="0" t="str">
        <f aca="false">IF(H1298&gt;J1298,"ERRO","OK")</f>
        <v>OK</v>
      </c>
      <c r="N1298" s="0" t="str">
        <f aca="false">IF(I1298&lt;J1298,"ERRO","OK")</f>
        <v>ERRO</v>
      </c>
    </row>
    <row r="1299" customFormat="false" ht="36.5" hidden="false" customHeight="false" outlineLevel="0" collapsed="false">
      <c r="A1299" s="0" t="n">
        <v>70</v>
      </c>
      <c r="B1299" s="0" t="n">
        <v>2024</v>
      </c>
      <c r="C1299" s="3" t="n">
        <v>45555</v>
      </c>
      <c r="D1299" s="8" t="s">
        <v>42</v>
      </c>
      <c r="E1299" s="9" t="s">
        <v>56</v>
      </c>
      <c r="F1299" s="9" t="s">
        <v>47</v>
      </c>
      <c r="G1299" s="11" t="n">
        <v>55</v>
      </c>
      <c r="H1299" s="11" t="n">
        <v>40</v>
      </c>
      <c r="I1299" s="11" t="n">
        <v>60</v>
      </c>
      <c r="J1299" s="11" t="s">
        <v>338</v>
      </c>
      <c r="K1299" s="11" t="s">
        <v>82</v>
      </c>
      <c r="L1299" s="0" t="str">
        <f aca="false">IF(H1299&gt;I1299,"ERRO","OK")</f>
        <v>OK</v>
      </c>
      <c r="M1299" s="0" t="str">
        <f aca="false">IF(H1299&gt;J1299,"ERRO","OK")</f>
        <v>OK</v>
      </c>
      <c r="N1299" s="0" t="str">
        <f aca="false">IF(I1299&lt;J1299,"ERRO","OK")</f>
        <v>ERRO</v>
      </c>
    </row>
    <row r="1300" customFormat="false" ht="36.5" hidden="false" customHeight="false" outlineLevel="0" collapsed="false">
      <c r="A1300" s="0" t="n">
        <v>70</v>
      </c>
      <c r="B1300" s="0" t="n">
        <v>2024</v>
      </c>
      <c r="C1300" s="3" t="n">
        <v>45555</v>
      </c>
      <c r="D1300" s="4" t="s">
        <v>42</v>
      </c>
      <c r="E1300" s="5" t="s">
        <v>57</v>
      </c>
      <c r="F1300" s="5" t="s">
        <v>47</v>
      </c>
      <c r="G1300" s="7" t="n">
        <v>60</v>
      </c>
      <c r="H1300" s="7" t="n">
        <v>50</v>
      </c>
      <c r="I1300" s="7" t="n">
        <v>70</v>
      </c>
      <c r="J1300" s="7" t="s">
        <v>84</v>
      </c>
      <c r="K1300" s="7" t="s">
        <v>84</v>
      </c>
      <c r="L1300" s="0" t="str">
        <f aca="false">IF(H1300&gt;I1300,"ERRO","OK")</f>
        <v>OK</v>
      </c>
      <c r="M1300" s="0" t="str">
        <f aca="false">IF(H1300&gt;J1300,"ERRO","OK")</f>
        <v>OK</v>
      </c>
      <c r="N1300" s="0" t="str">
        <f aca="false">IF(I1300&lt;J1300,"ERRO","OK")</f>
        <v>ERRO</v>
      </c>
    </row>
    <row r="1301" customFormat="false" ht="36.5" hidden="false" customHeight="false" outlineLevel="0" collapsed="false">
      <c r="A1301" s="0" t="n">
        <v>70</v>
      </c>
      <c r="B1301" s="0" t="n">
        <v>2024</v>
      </c>
      <c r="C1301" s="3" t="n">
        <v>45555</v>
      </c>
      <c r="D1301" s="8" t="s">
        <v>42</v>
      </c>
      <c r="E1301" s="9" t="s">
        <v>58</v>
      </c>
      <c r="F1301" s="9" t="s">
        <v>44</v>
      </c>
      <c r="G1301" s="11" t="n">
        <v>100</v>
      </c>
      <c r="H1301" s="11" t="n">
        <v>80</v>
      </c>
      <c r="I1301" s="11" t="n">
        <v>120</v>
      </c>
      <c r="J1301" s="11" t="n">
        <v>98</v>
      </c>
      <c r="K1301" s="11" t="n">
        <v>100</v>
      </c>
      <c r="L1301" s="0" t="str">
        <f aca="false">IF(H1301&gt;I1301,"ERRO","OK")</f>
        <v>OK</v>
      </c>
      <c r="M1301" s="0" t="str">
        <f aca="false">IF(H1301&gt;J1301,"ERRO","OK")</f>
        <v>OK</v>
      </c>
      <c r="N1301" s="0" t="str">
        <f aca="false">IF(I1301&lt;J1301,"ERRO","OK")</f>
        <v>OK</v>
      </c>
    </row>
    <row r="1302" customFormat="false" ht="36.5" hidden="false" customHeight="false" outlineLevel="0" collapsed="false">
      <c r="A1302" s="0" t="n">
        <v>70</v>
      </c>
      <c r="B1302" s="0" t="n">
        <v>2024</v>
      </c>
      <c r="C1302" s="3" t="n">
        <v>45555</v>
      </c>
      <c r="D1302" s="4" t="s">
        <v>42</v>
      </c>
      <c r="E1302" s="5" t="s">
        <v>60</v>
      </c>
      <c r="F1302" s="5" t="s">
        <v>47</v>
      </c>
      <c r="G1302" s="6"/>
      <c r="H1302" s="7" t="n">
        <v>40</v>
      </c>
      <c r="I1302" s="7" t="n">
        <v>50</v>
      </c>
      <c r="J1302" s="7" t="n">
        <v>45</v>
      </c>
      <c r="K1302" s="7" t="n">
        <v>45</v>
      </c>
      <c r="L1302" s="0" t="str">
        <f aca="false">IF(H1302&gt;I1302,"ERRO","OK")</f>
        <v>OK</v>
      </c>
      <c r="M1302" s="0" t="str">
        <f aca="false">IF(H1302&gt;J1302,"ERRO","OK")</f>
        <v>OK</v>
      </c>
      <c r="N1302" s="0" t="str">
        <f aca="false">IF(I1302&lt;J1302,"ERRO","OK")</f>
        <v>OK</v>
      </c>
    </row>
    <row r="1303" customFormat="false" ht="36.5" hidden="false" customHeight="false" outlineLevel="0" collapsed="false">
      <c r="A1303" s="0" t="n">
        <v>70</v>
      </c>
      <c r="B1303" s="0" t="n">
        <v>2024</v>
      </c>
      <c r="C1303" s="3" t="n">
        <v>45555</v>
      </c>
      <c r="D1303" s="8" t="s">
        <v>42</v>
      </c>
      <c r="E1303" s="9" t="s">
        <v>61</v>
      </c>
      <c r="F1303" s="9" t="s">
        <v>44</v>
      </c>
      <c r="G1303" s="11" t="n">
        <v>100</v>
      </c>
      <c r="H1303" s="11" t="n">
        <v>90</v>
      </c>
      <c r="I1303" s="11" t="n">
        <v>100</v>
      </c>
      <c r="J1303" s="11" t="s">
        <v>188</v>
      </c>
      <c r="K1303" s="11" t="n">
        <v>100</v>
      </c>
      <c r="L1303" s="0" t="str">
        <f aca="false">IF(H1303&gt;I1303,"ERRO","OK")</f>
        <v>OK</v>
      </c>
      <c r="M1303" s="0" t="str">
        <f aca="false">IF(H1303&gt;J1303,"ERRO","OK")</f>
        <v>OK</v>
      </c>
      <c r="N1303" s="0" t="str">
        <f aca="false">IF(I1303&lt;J1303,"ERRO","OK")</f>
        <v>ERRO</v>
      </c>
    </row>
    <row r="1304" customFormat="false" ht="36.5" hidden="false" customHeight="false" outlineLevel="0" collapsed="false">
      <c r="A1304" s="0" t="n">
        <v>70</v>
      </c>
      <c r="B1304" s="0" t="n">
        <v>2024</v>
      </c>
      <c r="C1304" s="3" t="n">
        <v>45555</v>
      </c>
      <c r="D1304" s="4" t="s">
        <v>42</v>
      </c>
      <c r="E1304" s="5" t="s">
        <v>62</v>
      </c>
      <c r="F1304" s="5" t="s">
        <v>44</v>
      </c>
      <c r="G1304" s="7" t="n">
        <v>140</v>
      </c>
      <c r="H1304" s="7" t="n">
        <v>80</v>
      </c>
      <c r="I1304" s="7" t="n">
        <v>140</v>
      </c>
      <c r="J1304" s="7" t="s">
        <v>339</v>
      </c>
      <c r="K1304" s="7" t="n">
        <v>135</v>
      </c>
      <c r="L1304" s="0" t="str">
        <f aca="false">IF(H1304&gt;I1304,"ERRO","OK")</f>
        <v>OK</v>
      </c>
      <c r="M1304" s="0" t="str">
        <f aca="false">IF(H1304&gt;J1304,"ERRO","OK")</f>
        <v>OK</v>
      </c>
      <c r="N1304" s="0" t="str">
        <f aca="false">IF(I1304&lt;J1304,"ERRO","OK")</f>
        <v>ERRO</v>
      </c>
    </row>
    <row r="1305" customFormat="false" ht="36.5" hidden="false" customHeight="false" outlineLevel="0" collapsed="false">
      <c r="A1305" s="0" t="n">
        <v>70</v>
      </c>
      <c r="B1305" s="0" t="n">
        <v>2024</v>
      </c>
      <c r="C1305" s="3" t="n">
        <v>45555</v>
      </c>
      <c r="D1305" s="8" t="s">
        <v>42</v>
      </c>
      <c r="E1305" s="9" t="s">
        <v>63</v>
      </c>
      <c r="F1305" s="9" t="s">
        <v>49</v>
      </c>
      <c r="G1305" s="11" t="n">
        <v>50</v>
      </c>
      <c r="H1305" s="11" t="n">
        <v>50</v>
      </c>
      <c r="I1305" s="11" t="n">
        <v>80</v>
      </c>
      <c r="J1305" s="11" t="s">
        <v>93</v>
      </c>
      <c r="K1305" s="11" t="n">
        <v>50</v>
      </c>
      <c r="L1305" s="0" t="str">
        <f aca="false">IF(H1305&gt;I1305,"ERRO","OK")</f>
        <v>OK</v>
      </c>
      <c r="M1305" s="0" t="str">
        <f aca="false">IF(H1305&gt;J1305,"ERRO","OK")</f>
        <v>OK</v>
      </c>
      <c r="N1305" s="0" t="str">
        <f aca="false">IF(I1305&lt;J1305,"ERRO","OK")</f>
        <v>ERRO</v>
      </c>
    </row>
    <row r="1306" customFormat="false" ht="36.5" hidden="false" customHeight="false" outlineLevel="0" collapsed="false">
      <c r="A1306" s="0" t="n">
        <v>70</v>
      </c>
      <c r="B1306" s="0" t="n">
        <v>2024</v>
      </c>
      <c r="C1306" s="3" t="n">
        <v>45555</v>
      </c>
      <c r="D1306" s="4" t="s">
        <v>42</v>
      </c>
      <c r="E1306" s="5" t="s">
        <v>64</v>
      </c>
      <c r="F1306" s="5" t="s">
        <v>65</v>
      </c>
      <c r="G1306" s="7" t="n">
        <v>140</v>
      </c>
      <c r="H1306" s="7" t="n">
        <v>50</v>
      </c>
      <c r="I1306" s="7" t="n">
        <v>150</v>
      </c>
      <c r="J1306" s="7" t="s">
        <v>255</v>
      </c>
      <c r="K1306" s="7" t="n">
        <v>135</v>
      </c>
      <c r="L1306" s="0" t="str">
        <f aca="false">IF(H1306&gt;I1306,"ERRO","OK")</f>
        <v>OK</v>
      </c>
      <c r="M1306" s="0" t="str">
        <f aca="false">IF(H1306&gt;J1306,"ERRO","OK")</f>
        <v>OK</v>
      </c>
      <c r="N1306" s="0" t="str">
        <f aca="false">IF(I1306&lt;J1306,"ERRO","OK")</f>
        <v>ERRO</v>
      </c>
    </row>
    <row r="1307" customFormat="false" ht="36.5" hidden="false" customHeight="false" outlineLevel="0" collapsed="false">
      <c r="A1307" s="0" t="n">
        <v>70</v>
      </c>
      <c r="B1307" s="0" t="n">
        <v>2024</v>
      </c>
      <c r="C1307" s="3" t="n">
        <v>45555</v>
      </c>
      <c r="D1307" s="8" t="s">
        <v>42</v>
      </c>
      <c r="E1307" s="9" t="s">
        <v>67</v>
      </c>
      <c r="F1307" s="9" t="s">
        <v>44</v>
      </c>
      <c r="G1307" s="11" t="n">
        <v>70</v>
      </c>
      <c r="H1307" s="11" t="n">
        <v>50</v>
      </c>
      <c r="I1307" s="11" t="n">
        <v>80</v>
      </c>
      <c r="J1307" s="11" t="n">
        <v>65</v>
      </c>
      <c r="K1307" s="11" t="s">
        <v>88</v>
      </c>
      <c r="L1307" s="0" t="str">
        <f aca="false">IF(H1307&gt;I1307,"ERRO","OK")</f>
        <v>OK</v>
      </c>
      <c r="M1307" s="0" t="str">
        <f aca="false">IF(H1307&gt;J1307,"ERRO","OK")</f>
        <v>OK</v>
      </c>
      <c r="N1307" s="0" t="str">
        <f aca="false">IF(I1307&lt;J1307,"ERRO","OK")</f>
        <v>OK</v>
      </c>
    </row>
    <row r="1308" customFormat="false" ht="36.5" hidden="false" customHeight="false" outlineLevel="0" collapsed="false">
      <c r="A1308" s="0" t="n">
        <v>70</v>
      </c>
      <c r="B1308" s="0" t="n">
        <v>2024</v>
      </c>
      <c r="C1308" s="3" t="n">
        <v>45555</v>
      </c>
      <c r="D1308" s="4" t="s">
        <v>42</v>
      </c>
      <c r="E1308" s="5" t="s">
        <v>68</v>
      </c>
      <c r="F1308" s="5" t="s">
        <v>44</v>
      </c>
      <c r="G1308" s="7" t="n">
        <v>130</v>
      </c>
      <c r="H1308" s="7" t="n">
        <v>120</v>
      </c>
      <c r="I1308" s="7" t="n">
        <v>150</v>
      </c>
      <c r="J1308" s="7" t="n">
        <v>130</v>
      </c>
      <c r="K1308" s="7" t="n">
        <v>130</v>
      </c>
      <c r="L1308" s="0" t="str">
        <f aca="false">IF(H1308&gt;I1308,"ERRO","OK")</f>
        <v>OK</v>
      </c>
      <c r="M1308" s="0" t="str">
        <f aca="false">IF(H1308&gt;J1308,"ERRO","OK")</f>
        <v>OK</v>
      </c>
      <c r="N1308" s="0" t="str">
        <f aca="false">IF(I1308&lt;J1308,"ERRO","OK")</f>
        <v>OK</v>
      </c>
    </row>
    <row r="1309" customFormat="false" ht="14.25" hidden="false" customHeight="false" outlineLevel="0" collapsed="false">
      <c r="A1309" s="0" t="n">
        <v>70</v>
      </c>
      <c r="B1309" s="0" t="n">
        <v>2024</v>
      </c>
      <c r="C1309" s="3" t="n">
        <v>45555</v>
      </c>
      <c r="D1309" s="8" t="s">
        <v>69</v>
      </c>
      <c r="E1309" s="9" t="s">
        <v>70</v>
      </c>
      <c r="F1309" s="9" t="s">
        <v>49</v>
      </c>
      <c r="G1309" s="10"/>
      <c r="H1309" s="10"/>
      <c r="I1309" s="10"/>
      <c r="J1309" s="10"/>
      <c r="K1309" s="10"/>
      <c r="L1309" s="0" t="str">
        <f aca="false">IF(H1309&gt;I1309,"ERRO","OK")</f>
        <v>OK</v>
      </c>
      <c r="M1309" s="0" t="str">
        <f aca="false">IF(H1309&gt;J1309,"ERRO","OK")</f>
        <v>OK</v>
      </c>
      <c r="N1309" s="0" t="str">
        <f aca="false">IF(I1309&lt;J1309,"ERRO","OK")</f>
        <v>OK</v>
      </c>
    </row>
    <row r="1310" customFormat="false" ht="14.25" hidden="false" customHeight="false" outlineLevel="0" collapsed="false">
      <c r="A1310" s="0" t="n">
        <v>70</v>
      </c>
      <c r="B1310" s="0" t="n">
        <v>2024</v>
      </c>
      <c r="C1310" s="3" t="n">
        <v>45555</v>
      </c>
      <c r="D1310" s="4" t="s">
        <v>69</v>
      </c>
      <c r="E1310" s="5" t="s">
        <v>71</v>
      </c>
      <c r="F1310" s="5" t="s">
        <v>49</v>
      </c>
      <c r="G1310" s="6"/>
      <c r="H1310" s="6"/>
      <c r="I1310" s="6"/>
      <c r="J1310" s="6"/>
      <c r="K1310" s="6"/>
      <c r="L1310" s="0" t="str">
        <f aca="false">IF(H1310&gt;I1310,"ERRO","OK")</f>
        <v>OK</v>
      </c>
      <c r="M1310" s="0" t="str">
        <f aca="false">IF(H1310&gt;J1310,"ERRO","OK")</f>
        <v>OK</v>
      </c>
      <c r="N1310" s="0" t="str">
        <f aca="false">IF(I1310&lt;J1310,"ERRO","OK")</f>
        <v>OK</v>
      </c>
    </row>
    <row r="1311" customFormat="false" ht="14.25" hidden="false" customHeight="false" outlineLevel="0" collapsed="false">
      <c r="A1311" s="0" t="n">
        <v>70</v>
      </c>
      <c r="B1311" s="0" t="n">
        <v>2024</v>
      </c>
      <c r="C1311" s="3" t="n">
        <v>45555</v>
      </c>
      <c r="D1311" s="8" t="s">
        <v>69</v>
      </c>
      <c r="E1311" s="9" t="s">
        <v>72</v>
      </c>
      <c r="F1311" s="9" t="s">
        <v>49</v>
      </c>
      <c r="G1311" s="10"/>
      <c r="H1311" s="10"/>
      <c r="I1311" s="10"/>
      <c r="J1311" s="10"/>
      <c r="K1311" s="10"/>
      <c r="L1311" s="0" t="str">
        <f aca="false">IF(H1311&gt;I1311,"ERRO","OK")</f>
        <v>OK</v>
      </c>
      <c r="M1311" s="0" t="str">
        <f aca="false">IF(H1311&gt;J1311,"ERRO","OK")</f>
        <v>OK</v>
      </c>
      <c r="N1311" s="0" t="str">
        <f aca="false">IF(I1311&lt;J1311,"ERRO","OK")</f>
        <v>OK</v>
      </c>
    </row>
    <row r="1312" customFormat="false" ht="14.25" hidden="false" customHeight="false" outlineLevel="0" collapsed="false">
      <c r="A1312" s="0" t="n">
        <v>70</v>
      </c>
      <c r="B1312" s="0" t="n">
        <v>2024</v>
      </c>
      <c r="C1312" s="3" t="n">
        <v>45555</v>
      </c>
      <c r="D1312" s="4" t="s">
        <v>69</v>
      </c>
      <c r="E1312" s="5" t="s">
        <v>73</v>
      </c>
      <c r="F1312" s="5" t="s">
        <v>49</v>
      </c>
      <c r="G1312" s="6"/>
      <c r="H1312" s="7" t="n">
        <v>50</v>
      </c>
      <c r="I1312" s="7" t="n">
        <v>50</v>
      </c>
      <c r="J1312" s="7" t="n">
        <v>50</v>
      </c>
      <c r="K1312" s="7" t="n">
        <v>50</v>
      </c>
      <c r="L1312" s="0" t="str">
        <f aca="false">IF(H1312&gt;I1312,"ERRO","OK")</f>
        <v>OK</v>
      </c>
      <c r="M1312" s="0" t="str">
        <f aca="false">IF(H1312&gt;J1312,"ERRO","OK")</f>
        <v>OK</v>
      </c>
      <c r="N1312" s="0" t="str">
        <f aca="false">IF(I1312&lt;J1312,"ERRO","OK")</f>
        <v>OK</v>
      </c>
    </row>
    <row r="1313" customFormat="false" ht="14.25" hidden="false" customHeight="false" outlineLevel="0" collapsed="false">
      <c r="A1313" s="0" t="n">
        <v>70</v>
      </c>
      <c r="B1313" s="0" t="n">
        <v>2024</v>
      </c>
      <c r="C1313" s="3" t="n">
        <v>45555</v>
      </c>
      <c r="D1313" s="8" t="s">
        <v>69</v>
      </c>
      <c r="E1313" s="9" t="s">
        <v>74</v>
      </c>
      <c r="F1313" s="9" t="s">
        <v>75</v>
      </c>
      <c r="G1313" s="10"/>
      <c r="H1313" s="10"/>
      <c r="I1313" s="10"/>
      <c r="J1313" s="10"/>
      <c r="K1313" s="10"/>
      <c r="L1313" s="0" t="str">
        <f aca="false">IF(H1313&gt;I1313,"ERRO","OK")</f>
        <v>OK</v>
      </c>
      <c r="M1313" s="0" t="str">
        <f aca="false">IF(H1313&gt;J1313,"ERRO","OK")</f>
        <v>OK</v>
      </c>
      <c r="N1313" s="0" t="str">
        <f aca="false">IF(I1313&lt;J1313,"ERRO","OK")</f>
        <v>OK</v>
      </c>
    </row>
    <row r="1314" customFormat="false" ht="25" hidden="false" customHeight="false" outlineLevel="0" collapsed="false">
      <c r="A1314" s="0" t="n">
        <v>71</v>
      </c>
      <c r="B1314" s="0" t="n">
        <v>2024</v>
      </c>
      <c r="C1314" s="3" t="n">
        <v>45562</v>
      </c>
      <c r="D1314" s="4" t="s">
        <v>15</v>
      </c>
      <c r="E1314" s="5" t="s">
        <v>16</v>
      </c>
      <c r="F1314" s="5" t="s">
        <v>17</v>
      </c>
      <c r="G1314" s="7" t="n">
        <v>36</v>
      </c>
      <c r="H1314" s="7" t="n">
        <v>30</v>
      </c>
      <c r="I1314" s="7" t="n">
        <v>48</v>
      </c>
      <c r="J1314" s="7" t="s">
        <v>340</v>
      </c>
      <c r="K1314" s="7" t="n">
        <v>36</v>
      </c>
      <c r="L1314" s="0" t="str">
        <f aca="false">IF(H1314&gt;I1314,"ERRO","OK")</f>
        <v>OK</v>
      </c>
      <c r="M1314" s="0" t="str">
        <f aca="false">IF(H1314&gt;J1314,"ERRO","OK")</f>
        <v>OK</v>
      </c>
      <c r="N1314" s="0" t="str">
        <f aca="false">IF(I1314&lt;J1314,"ERRO","OK")</f>
        <v>ERRO</v>
      </c>
    </row>
    <row r="1315" customFormat="false" ht="25" hidden="false" customHeight="false" outlineLevel="0" collapsed="false">
      <c r="A1315" s="0" t="n">
        <v>71</v>
      </c>
      <c r="B1315" s="0" t="n">
        <v>2024</v>
      </c>
      <c r="C1315" s="3" t="n">
        <v>45562</v>
      </c>
      <c r="D1315" s="8" t="s">
        <v>15</v>
      </c>
      <c r="E1315" s="9" t="s">
        <v>18</v>
      </c>
      <c r="F1315" s="9" t="s">
        <v>17</v>
      </c>
      <c r="G1315" s="11" t="n">
        <v>60</v>
      </c>
      <c r="H1315" s="11" t="n">
        <v>60</v>
      </c>
      <c r="I1315" s="11" t="n">
        <v>72</v>
      </c>
      <c r="J1315" s="11" t="n">
        <v>64</v>
      </c>
      <c r="K1315" s="11" t="n">
        <v>60</v>
      </c>
      <c r="L1315" s="0" t="str">
        <f aca="false">IF(H1315&gt;I1315,"ERRO","OK")</f>
        <v>OK</v>
      </c>
      <c r="M1315" s="0" t="str">
        <f aca="false">IF(H1315&gt;J1315,"ERRO","OK")</f>
        <v>OK</v>
      </c>
      <c r="N1315" s="0" t="str">
        <f aca="false">IF(I1315&lt;J1315,"ERRO","OK")</f>
        <v>OK</v>
      </c>
    </row>
    <row r="1316" customFormat="false" ht="25" hidden="false" customHeight="false" outlineLevel="0" collapsed="false">
      <c r="A1316" s="0" t="n">
        <v>71</v>
      </c>
      <c r="B1316" s="0" t="n">
        <v>2024</v>
      </c>
      <c r="C1316" s="3" t="n">
        <v>45562</v>
      </c>
      <c r="D1316" s="4" t="s">
        <v>15</v>
      </c>
      <c r="E1316" s="5" t="s">
        <v>19</v>
      </c>
      <c r="F1316" s="5" t="s">
        <v>17</v>
      </c>
      <c r="G1316" s="7" t="n">
        <v>30</v>
      </c>
      <c r="H1316" s="7" t="n">
        <v>25</v>
      </c>
      <c r="I1316" s="7" t="n">
        <v>36</v>
      </c>
      <c r="J1316" s="7" t="s">
        <v>341</v>
      </c>
      <c r="K1316" s="7" t="n">
        <v>30</v>
      </c>
      <c r="L1316" s="0" t="str">
        <f aca="false">IF(H1316&gt;I1316,"ERRO","OK")</f>
        <v>OK</v>
      </c>
      <c r="M1316" s="0" t="str">
        <f aca="false">IF(H1316&gt;J1316,"ERRO","OK")</f>
        <v>OK</v>
      </c>
      <c r="N1316" s="0" t="str">
        <f aca="false">IF(I1316&lt;J1316,"ERRO","OK")</f>
        <v>ERRO</v>
      </c>
    </row>
    <row r="1317" customFormat="false" ht="25" hidden="false" customHeight="false" outlineLevel="0" collapsed="false">
      <c r="A1317" s="0" t="n">
        <v>71</v>
      </c>
      <c r="B1317" s="0" t="n">
        <v>2024</v>
      </c>
      <c r="C1317" s="3" t="n">
        <v>45562</v>
      </c>
      <c r="D1317" s="8" t="s">
        <v>15</v>
      </c>
      <c r="E1317" s="9" t="s">
        <v>20</v>
      </c>
      <c r="F1317" s="9" t="s">
        <v>17</v>
      </c>
      <c r="G1317" s="11" t="n">
        <v>18</v>
      </c>
      <c r="H1317" s="11" t="n">
        <v>18</v>
      </c>
      <c r="I1317" s="11" t="n">
        <v>30</v>
      </c>
      <c r="J1317" s="11" t="s">
        <v>41</v>
      </c>
      <c r="K1317" s="11" t="n">
        <v>21</v>
      </c>
      <c r="L1317" s="0" t="str">
        <f aca="false">IF(H1317&gt;I1317,"ERRO","OK")</f>
        <v>OK</v>
      </c>
      <c r="M1317" s="0" t="str">
        <f aca="false">IF(H1317&gt;J1317,"ERRO","OK")</f>
        <v>OK</v>
      </c>
      <c r="N1317" s="0" t="str">
        <f aca="false">IF(I1317&lt;J1317,"ERRO","OK")</f>
        <v>ERRO</v>
      </c>
    </row>
    <row r="1318" customFormat="false" ht="25" hidden="false" customHeight="false" outlineLevel="0" collapsed="false">
      <c r="A1318" s="0" t="n">
        <v>71</v>
      </c>
      <c r="B1318" s="0" t="n">
        <v>2024</v>
      </c>
      <c r="C1318" s="3" t="n">
        <v>45562</v>
      </c>
      <c r="D1318" s="4" t="s">
        <v>15</v>
      </c>
      <c r="E1318" s="5" t="s">
        <v>21</v>
      </c>
      <c r="F1318" s="5" t="s">
        <v>17</v>
      </c>
      <c r="G1318" s="7" t="n">
        <v>18</v>
      </c>
      <c r="H1318" s="7" t="n">
        <v>18</v>
      </c>
      <c r="I1318" s="7" t="n">
        <v>30</v>
      </c>
      <c r="J1318" s="7" t="s">
        <v>41</v>
      </c>
      <c r="K1318" s="7" t="n">
        <v>21</v>
      </c>
      <c r="L1318" s="0" t="str">
        <f aca="false">IF(H1318&gt;I1318,"ERRO","OK")</f>
        <v>OK</v>
      </c>
      <c r="M1318" s="0" t="str">
        <f aca="false">IF(H1318&gt;J1318,"ERRO","OK")</f>
        <v>OK</v>
      </c>
      <c r="N1318" s="0" t="str">
        <f aca="false">IF(I1318&lt;J1318,"ERRO","OK")</f>
        <v>ERRO</v>
      </c>
    </row>
    <row r="1319" customFormat="false" ht="25" hidden="false" customHeight="false" outlineLevel="0" collapsed="false">
      <c r="A1319" s="0" t="n">
        <v>71</v>
      </c>
      <c r="B1319" s="0" t="n">
        <v>2024</v>
      </c>
      <c r="C1319" s="3" t="n">
        <v>45562</v>
      </c>
      <c r="D1319" s="8" t="s">
        <v>15</v>
      </c>
      <c r="E1319" s="9" t="s">
        <v>22</v>
      </c>
      <c r="F1319" s="9" t="s">
        <v>17</v>
      </c>
      <c r="G1319" s="11" t="n">
        <v>60</v>
      </c>
      <c r="H1319" s="11" t="n">
        <v>48</v>
      </c>
      <c r="I1319" s="11" t="n">
        <v>60</v>
      </c>
      <c r="J1319" s="11" t="n">
        <v>54</v>
      </c>
      <c r="K1319" s="11" t="n">
        <v>54</v>
      </c>
      <c r="L1319" s="0" t="str">
        <f aca="false">IF(H1319&gt;I1319,"ERRO","OK")</f>
        <v>OK</v>
      </c>
      <c r="M1319" s="0" t="str">
        <f aca="false">IF(H1319&gt;J1319,"ERRO","OK")</f>
        <v>OK</v>
      </c>
      <c r="N1319" s="0" t="str">
        <f aca="false">IF(I1319&lt;J1319,"ERRO","OK")</f>
        <v>OK</v>
      </c>
    </row>
    <row r="1320" customFormat="false" ht="25" hidden="false" customHeight="false" outlineLevel="0" collapsed="false">
      <c r="A1320" s="0" t="n">
        <v>71</v>
      </c>
      <c r="B1320" s="0" t="n">
        <v>2024</v>
      </c>
      <c r="C1320" s="3" t="n">
        <v>45562</v>
      </c>
      <c r="D1320" s="4" t="s">
        <v>15</v>
      </c>
      <c r="E1320" s="5" t="s">
        <v>23</v>
      </c>
      <c r="F1320" s="5" t="s">
        <v>17</v>
      </c>
      <c r="G1320" s="6"/>
      <c r="H1320" s="7" t="n">
        <v>48</v>
      </c>
      <c r="I1320" s="7" t="n">
        <v>72</v>
      </c>
      <c r="J1320" s="7" t="n">
        <v>58</v>
      </c>
      <c r="K1320" s="7" t="n">
        <v>54</v>
      </c>
      <c r="L1320" s="0" t="str">
        <f aca="false">IF(H1320&gt;I1320,"ERRO","OK")</f>
        <v>OK</v>
      </c>
      <c r="M1320" s="0" t="str">
        <f aca="false">IF(H1320&gt;J1320,"ERRO","OK")</f>
        <v>OK</v>
      </c>
      <c r="N1320" s="0" t="str">
        <f aca="false">IF(I1320&lt;J1320,"ERRO","OK")</f>
        <v>OK</v>
      </c>
    </row>
    <row r="1321" customFormat="false" ht="25" hidden="false" customHeight="false" outlineLevel="0" collapsed="false">
      <c r="A1321" s="0" t="n">
        <v>71</v>
      </c>
      <c r="B1321" s="0" t="n">
        <v>2024</v>
      </c>
      <c r="C1321" s="3" t="n">
        <v>45562</v>
      </c>
      <c r="D1321" s="8" t="s">
        <v>15</v>
      </c>
      <c r="E1321" s="9" t="s">
        <v>24</v>
      </c>
      <c r="F1321" s="9" t="s">
        <v>17</v>
      </c>
      <c r="G1321" s="11" t="n">
        <v>60</v>
      </c>
      <c r="H1321" s="11" t="n">
        <v>60</v>
      </c>
      <c r="I1321" s="11" t="n">
        <v>60</v>
      </c>
      <c r="J1321" s="11" t="n">
        <v>60</v>
      </c>
      <c r="K1321" s="11" t="n">
        <v>60</v>
      </c>
      <c r="L1321" s="0" t="str">
        <f aca="false">IF(H1321&gt;I1321,"ERRO","OK")</f>
        <v>OK</v>
      </c>
      <c r="M1321" s="0" t="str">
        <f aca="false">IF(H1321&gt;J1321,"ERRO","OK")</f>
        <v>OK</v>
      </c>
      <c r="N1321" s="0" t="str">
        <f aca="false">IF(I1321&lt;J1321,"ERRO","OK")</f>
        <v>OK</v>
      </c>
    </row>
    <row r="1322" customFormat="false" ht="25" hidden="false" customHeight="false" outlineLevel="0" collapsed="false">
      <c r="A1322" s="0" t="n">
        <v>71</v>
      </c>
      <c r="B1322" s="0" t="n">
        <v>2024</v>
      </c>
      <c r="C1322" s="3" t="n">
        <v>45562</v>
      </c>
      <c r="D1322" s="4" t="s">
        <v>15</v>
      </c>
      <c r="E1322" s="5" t="s">
        <v>25</v>
      </c>
      <c r="F1322" s="5" t="s">
        <v>17</v>
      </c>
      <c r="G1322" s="7" t="n">
        <v>18</v>
      </c>
      <c r="H1322" s="7" t="n">
        <v>18</v>
      </c>
      <c r="I1322" s="7" t="n">
        <v>48</v>
      </c>
      <c r="J1322" s="7" t="s">
        <v>342</v>
      </c>
      <c r="K1322" s="7" t="n">
        <v>20</v>
      </c>
      <c r="L1322" s="0" t="str">
        <f aca="false">IF(H1322&gt;I1322,"ERRO","OK")</f>
        <v>OK</v>
      </c>
      <c r="M1322" s="0" t="str">
        <f aca="false">IF(H1322&gt;J1322,"ERRO","OK")</f>
        <v>OK</v>
      </c>
      <c r="N1322" s="0" t="str">
        <f aca="false">IF(I1322&lt;J1322,"ERRO","OK")</f>
        <v>ERRO</v>
      </c>
    </row>
    <row r="1323" customFormat="false" ht="25" hidden="false" customHeight="false" outlineLevel="0" collapsed="false">
      <c r="A1323" s="0" t="n">
        <v>71</v>
      </c>
      <c r="B1323" s="0" t="n">
        <v>2024</v>
      </c>
      <c r="C1323" s="3" t="n">
        <v>45562</v>
      </c>
      <c r="D1323" s="8" t="s">
        <v>15</v>
      </c>
      <c r="E1323" s="9" t="s">
        <v>77</v>
      </c>
      <c r="F1323" s="9" t="s">
        <v>17</v>
      </c>
      <c r="G1323" s="11" t="n">
        <v>60</v>
      </c>
      <c r="H1323" s="11" t="n">
        <v>60</v>
      </c>
      <c r="I1323" s="11" t="n">
        <v>60</v>
      </c>
      <c r="J1323" s="11" t="n">
        <v>60</v>
      </c>
      <c r="K1323" s="11" t="n">
        <v>60</v>
      </c>
      <c r="L1323" s="0" t="str">
        <f aca="false">IF(H1323&gt;I1323,"ERRO","OK")</f>
        <v>OK</v>
      </c>
      <c r="M1323" s="0" t="str">
        <f aca="false">IF(H1323&gt;J1323,"ERRO","OK")</f>
        <v>OK</v>
      </c>
      <c r="N1323" s="0" t="str">
        <f aca="false">IF(I1323&lt;J1323,"ERRO","OK")</f>
        <v>OK</v>
      </c>
    </row>
    <row r="1324" customFormat="false" ht="25" hidden="false" customHeight="false" outlineLevel="0" collapsed="false">
      <c r="A1324" s="0" t="n">
        <v>71</v>
      </c>
      <c r="B1324" s="0" t="n">
        <v>2024</v>
      </c>
      <c r="C1324" s="3" t="n">
        <v>45562</v>
      </c>
      <c r="D1324" s="4" t="s">
        <v>15</v>
      </c>
      <c r="E1324" s="5" t="s">
        <v>27</v>
      </c>
      <c r="F1324" s="5" t="s">
        <v>17</v>
      </c>
      <c r="G1324" s="7" t="n">
        <v>18</v>
      </c>
      <c r="H1324" s="7" t="n">
        <v>18</v>
      </c>
      <c r="I1324" s="7" t="n">
        <v>24</v>
      </c>
      <c r="J1324" s="7" t="s">
        <v>343</v>
      </c>
      <c r="K1324" s="7" t="n">
        <v>18</v>
      </c>
      <c r="L1324" s="0" t="str">
        <f aca="false">IF(H1324&gt;I1324,"ERRO","OK")</f>
        <v>OK</v>
      </c>
      <c r="M1324" s="0" t="str">
        <f aca="false">IF(H1324&gt;J1324,"ERRO","OK")</f>
        <v>OK</v>
      </c>
      <c r="N1324" s="0" t="str">
        <f aca="false">IF(I1324&lt;J1324,"ERRO","OK")</f>
        <v>ERRO</v>
      </c>
    </row>
    <row r="1325" customFormat="false" ht="25" hidden="false" customHeight="false" outlineLevel="0" collapsed="false">
      <c r="A1325" s="0" t="n">
        <v>71</v>
      </c>
      <c r="B1325" s="0" t="n">
        <v>2024</v>
      </c>
      <c r="C1325" s="3" t="n">
        <v>45562</v>
      </c>
      <c r="D1325" s="8" t="s">
        <v>15</v>
      </c>
      <c r="E1325" s="9" t="s">
        <v>28</v>
      </c>
      <c r="F1325" s="9" t="s">
        <v>17</v>
      </c>
      <c r="G1325" s="11" t="n">
        <v>48</v>
      </c>
      <c r="H1325" s="11" t="n">
        <v>48</v>
      </c>
      <c r="I1325" s="11" t="n">
        <v>72</v>
      </c>
      <c r="J1325" s="11" t="n">
        <v>56</v>
      </c>
      <c r="K1325" s="11" t="n">
        <v>48</v>
      </c>
      <c r="L1325" s="0" t="str">
        <f aca="false">IF(H1325&gt;I1325,"ERRO","OK")</f>
        <v>OK</v>
      </c>
      <c r="M1325" s="0" t="str">
        <f aca="false">IF(H1325&gt;J1325,"ERRO","OK")</f>
        <v>OK</v>
      </c>
      <c r="N1325" s="0" t="str">
        <f aca="false">IF(I1325&lt;J1325,"ERRO","OK")</f>
        <v>OK</v>
      </c>
    </row>
    <row r="1326" customFormat="false" ht="25" hidden="false" customHeight="false" outlineLevel="0" collapsed="false">
      <c r="A1326" s="0" t="n">
        <v>71</v>
      </c>
      <c r="B1326" s="0" t="n">
        <v>2024</v>
      </c>
      <c r="C1326" s="3" t="n">
        <v>45562</v>
      </c>
      <c r="D1326" s="4" t="s">
        <v>15</v>
      </c>
      <c r="E1326" s="5" t="s">
        <v>29</v>
      </c>
      <c r="F1326" s="5" t="s">
        <v>30</v>
      </c>
      <c r="G1326" s="7" t="n">
        <v>48</v>
      </c>
      <c r="H1326" s="7" t="n">
        <v>48</v>
      </c>
      <c r="I1326" s="7" t="n">
        <v>60</v>
      </c>
      <c r="J1326" s="7" t="n">
        <v>51</v>
      </c>
      <c r="K1326" s="7" t="n">
        <v>48</v>
      </c>
      <c r="L1326" s="0" t="str">
        <f aca="false">IF(H1326&gt;I1326,"ERRO","OK")</f>
        <v>OK</v>
      </c>
      <c r="M1326" s="0" t="str">
        <f aca="false">IF(H1326&gt;J1326,"ERRO","OK")</f>
        <v>OK</v>
      </c>
      <c r="N1326" s="0" t="str">
        <f aca="false">IF(I1326&lt;J1326,"ERRO","OK")</f>
        <v>OK</v>
      </c>
    </row>
    <row r="1327" customFormat="false" ht="25" hidden="false" customHeight="false" outlineLevel="0" collapsed="false">
      <c r="A1327" s="0" t="n">
        <v>71</v>
      </c>
      <c r="B1327" s="0" t="n">
        <v>2024</v>
      </c>
      <c r="C1327" s="3" t="n">
        <v>45562</v>
      </c>
      <c r="D1327" s="8" t="s">
        <v>15</v>
      </c>
      <c r="E1327" s="9" t="s">
        <v>31</v>
      </c>
      <c r="F1327" s="9" t="s">
        <v>17</v>
      </c>
      <c r="G1327" s="11" t="n">
        <v>48</v>
      </c>
      <c r="H1327" s="11" t="n">
        <v>48</v>
      </c>
      <c r="I1327" s="11" t="n">
        <v>72</v>
      </c>
      <c r="J1327" s="11" t="n">
        <v>57</v>
      </c>
      <c r="K1327" s="11" t="n">
        <v>54</v>
      </c>
      <c r="L1327" s="0" t="str">
        <f aca="false">IF(H1327&gt;I1327,"ERRO","OK")</f>
        <v>OK</v>
      </c>
      <c r="M1327" s="0" t="str">
        <f aca="false">IF(H1327&gt;J1327,"ERRO","OK")</f>
        <v>OK</v>
      </c>
      <c r="N1327" s="0" t="str">
        <f aca="false">IF(I1327&lt;J1327,"ERRO","OK")</f>
        <v>OK</v>
      </c>
    </row>
    <row r="1328" customFormat="false" ht="25" hidden="false" customHeight="false" outlineLevel="0" collapsed="false">
      <c r="A1328" s="0" t="n">
        <v>71</v>
      </c>
      <c r="B1328" s="0" t="n">
        <v>2024</v>
      </c>
      <c r="C1328" s="3" t="n">
        <v>45562</v>
      </c>
      <c r="D1328" s="4" t="s">
        <v>15</v>
      </c>
      <c r="E1328" s="5" t="s">
        <v>32</v>
      </c>
      <c r="F1328" s="5" t="s">
        <v>17</v>
      </c>
      <c r="G1328" s="7" t="n">
        <v>36</v>
      </c>
      <c r="H1328" s="7" t="n">
        <v>24</v>
      </c>
      <c r="I1328" s="7" t="n">
        <v>40</v>
      </c>
      <c r="J1328" s="7" t="n">
        <v>32</v>
      </c>
      <c r="K1328" s="7" t="n">
        <v>36</v>
      </c>
      <c r="L1328" s="0" t="str">
        <f aca="false">IF(H1328&gt;I1328,"ERRO","OK")</f>
        <v>OK</v>
      </c>
      <c r="M1328" s="0" t="str">
        <f aca="false">IF(H1328&gt;J1328,"ERRO","OK")</f>
        <v>OK</v>
      </c>
      <c r="N1328" s="0" t="str">
        <f aca="false">IF(I1328&lt;J1328,"ERRO","OK")</f>
        <v>OK</v>
      </c>
    </row>
    <row r="1329" customFormat="false" ht="25" hidden="false" customHeight="false" outlineLevel="0" collapsed="false">
      <c r="A1329" s="0" t="n">
        <v>71</v>
      </c>
      <c r="B1329" s="0" t="n">
        <v>2024</v>
      </c>
      <c r="C1329" s="3" t="n">
        <v>45562</v>
      </c>
      <c r="D1329" s="8" t="s">
        <v>15</v>
      </c>
      <c r="E1329" s="9" t="s">
        <v>33</v>
      </c>
      <c r="F1329" s="9" t="s">
        <v>17</v>
      </c>
      <c r="G1329" s="11" t="n">
        <v>48</v>
      </c>
      <c r="H1329" s="11" t="n">
        <v>42</v>
      </c>
      <c r="I1329" s="11" t="n">
        <v>48</v>
      </c>
      <c r="J1329" s="11" t="s">
        <v>178</v>
      </c>
      <c r="K1329" s="11" t="n">
        <v>48</v>
      </c>
      <c r="L1329" s="0" t="str">
        <f aca="false">IF(H1329&gt;I1329,"ERRO","OK")</f>
        <v>OK</v>
      </c>
      <c r="M1329" s="0" t="str">
        <f aca="false">IF(H1329&gt;J1329,"ERRO","OK")</f>
        <v>OK</v>
      </c>
      <c r="N1329" s="0" t="str">
        <f aca="false">IF(I1329&lt;J1329,"ERRO","OK")</f>
        <v>ERRO</v>
      </c>
    </row>
    <row r="1330" customFormat="false" ht="25" hidden="false" customHeight="false" outlineLevel="0" collapsed="false">
      <c r="A1330" s="0" t="n">
        <v>71</v>
      </c>
      <c r="B1330" s="0" t="n">
        <v>2024</v>
      </c>
      <c r="C1330" s="3" t="n">
        <v>45562</v>
      </c>
      <c r="D1330" s="4" t="s">
        <v>15</v>
      </c>
      <c r="E1330" s="5" t="s">
        <v>35</v>
      </c>
      <c r="F1330" s="5" t="s">
        <v>36</v>
      </c>
      <c r="G1330" s="7" t="n">
        <v>5</v>
      </c>
      <c r="H1330" s="7" t="n">
        <v>4</v>
      </c>
      <c r="I1330" s="7" t="n">
        <v>5</v>
      </c>
      <c r="J1330" s="7" t="s">
        <v>344</v>
      </c>
      <c r="K1330" s="7" t="n">
        <v>5</v>
      </c>
      <c r="L1330" s="0" t="str">
        <f aca="false">IF(H1330&gt;I1330,"ERRO","OK")</f>
        <v>OK</v>
      </c>
      <c r="M1330" s="0" t="str">
        <f aca="false">IF(H1330&gt;J1330,"ERRO","OK")</f>
        <v>OK</v>
      </c>
      <c r="N1330" s="0" t="str">
        <f aca="false">IF(I1330&lt;J1330,"ERRO","OK")</f>
        <v>ERRO</v>
      </c>
    </row>
    <row r="1331" customFormat="false" ht="25" hidden="false" customHeight="false" outlineLevel="0" collapsed="false">
      <c r="A1331" s="0" t="n">
        <v>71</v>
      </c>
      <c r="B1331" s="0" t="n">
        <v>2024</v>
      </c>
      <c r="C1331" s="3" t="n">
        <v>45562</v>
      </c>
      <c r="D1331" s="8" t="s">
        <v>15</v>
      </c>
      <c r="E1331" s="9" t="s">
        <v>38</v>
      </c>
      <c r="F1331" s="9" t="s">
        <v>39</v>
      </c>
      <c r="G1331" s="11" t="n">
        <v>10</v>
      </c>
      <c r="H1331" s="11" t="n">
        <v>10</v>
      </c>
      <c r="I1331" s="11" t="n">
        <v>15</v>
      </c>
      <c r="J1331" s="11" t="s">
        <v>345</v>
      </c>
      <c r="K1331" s="11" t="n">
        <v>11</v>
      </c>
      <c r="L1331" s="0" t="str">
        <f aca="false">IF(H1331&gt;I1331,"ERRO","OK")</f>
        <v>OK</v>
      </c>
      <c r="M1331" s="0" t="str">
        <f aca="false">IF(H1331&gt;J1331,"ERRO","OK")</f>
        <v>OK</v>
      </c>
      <c r="N1331" s="0" t="str">
        <f aca="false">IF(I1331&lt;J1331,"ERRO","OK")</f>
        <v>ERRO</v>
      </c>
    </row>
    <row r="1332" customFormat="false" ht="25" hidden="false" customHeight="false" outlineLevel="0" collapsed="false">
      <c r="A1332" s="0" t="n">
        <v>71</v>
      </c>
      <c r="B1332" s="0" t="n">
        <v>2024</v>
      </c>
      <c r="C1332" s="3" t="n">
        <v>45562</v>
      </c>
      <c r="D1332" s="4" t="s">
        <v>15</v>
      </c>
      <c r="E1332" s="5" t="s">
        <v>40</v>
      </c>
      <c r="F1332" s="5" t="s">
        <v>39</v>
      </c>
      <c r="G1332" s="7" t="n">
        <v>20</v>
      </c>
      <c r="H1332" s="7" t="n">
        <v>20</v>
      </c>
      <c r="I1332" s="7" t="n">
        <v>25</v>
      </c>
      <c r="J1332" s="7" t="s">
        <v>346</v>
      </c>
      <c r="K1332" s="7" t="n">
        <v>20</v>
      </c>
      <c r="L1332" s="0" t="str">
        <f aca="false">IF(H1332&gt;I1332,"ERRO","OK")</f>
        <v>OK</v>
      </c>
      <c r="M1332" s="0" t="str">
        <f aca="false">IF(H1332&gt;J1332,"ERRO","OK")</f>
        <v>OK</v>
      </c>
      <c r="N1332" s="0" t="str">
        <f aca="false">IF(I1332&lt;J1332,"ERRO","OK")</f>
        <v>ERRO</v>
      </c>
    </row>
    <row r="1333" customFormat="false" ht="36.5" hidden="false" customHeight="false" outlineLevel="0" collapsed="false">
      <c r="A1333" s="0" t="n">
        <v>71</v>
      </c>
      <c r="B1333" s="0" t="n">
        <v>2024</v>
      </c>
      <c r="C1333" s="3" t="n">
        <v>45562</v>
      </c>
      <c r="D1333" s="8" t="s">
        <v>42</v>
      </c>
      <c r="E1333" s="9" t="s">
        <v>157</v>
      </c>
      <c r="F1333" s="9" t="s">
        <v>158</v>
      </c>
      <c r="G1333" s="10"/>
      <c r="H1333" s="11" t="n">
        <v>80</v>
      </c>
      <c r="I1333" s="11" t="n">
        <v>85</v>
      </c>
      <c r="J1333" s="11" t="s">
        <v>172</v>
      </c>
      <c r="K1333" s="11" t="s">
        <v>172</v>
      </c>
      <c r="L1333" s="0" t="str">
        <f aca="false">IF(H1333&gt;I1333,"ERRO","OK")</f>
        <v>OK</v>
      </c>
      <c r="M1333" s="0" t="str">
        <f aca="false">IF(H1333&gt;J1333,"ERRO","OK")</f>
        <v>OK</v>
      </c>
      <c r="N1333" s="0" t="str">
        <f aca="false">IF(I1333&lt;J1333,"ERRO","OK")</f>
        <v>ERRO</v>
      </c>
    </row>
    <row r="1334" customFormat="false" ht="36.5" hidden="false" customHeight="false" outlineLevel="0" collapsed="false">
      <c r="A1334" s="0" t="n">
        <v>71</v>
      </c>
      <c r="B1334" s="0" t="n">
        <v>2024</v>
      </c>
      <c r="C1334" s="3" t="n">
        <v>45562</v>
      </c>
      <c r="D1334" s="4" t="s">
        <v>42</v>
      </c>
      <c r="E1334" s="5" t="s">
        <v>43</v>
      </c>
      <c r="F1334" s="5" t="s">
        <v>44</v>
      </c>
      <c r="G1334" s="7" t="n">
        <v>35</v>
      </c>
      <c r="H1334" s="7" t="n">
        <v>35</v>
      </c>
      <c r="I1334" s="7" t="n">
        <v>50</v>
      </c>
      <c r="J1334" s="7" t="n">
        <v>42</v>
      </c>
      <c r="K1334" s="7" t="n">
        <v>45</v>
      </c>
      <c r="L1334" s="0" t="str">
        <f aca="false">IF(H1334&gt;I1334,"ERRO","OK")</f>
        <v>OK</v>
      </c>
      <c r="M1334" s="0" t="str">
        <f aca="false">IF(H1334&gt;J1334,"ERRO","OK")</f>
        <v>OK</v>
      </c>
      <c r="N1334" s="0" t="str">
        <f aca="false">IF(I1334&lt;J1334,"ERRO","OK")</f>
        <v>OK</v>
      </c>
    </row>
    <row r="1335" customFormat="false" ht="36.5" hidden="false" customHeight="false" outlineLevel="0" collapsed="false">
      <c r="A1335" s="0" t="n">
        <v>71</v>
      </c>
      <c r="B1335" s="0" t="n">
        <v>2024</v>
      </c>
      <c r="C1335" s="3" t="n">
        <v>45562</v>
      </c>
      <c r="D1335" s="8" t="s">
        <v>42</v>
      </c>
      <c r="E1335" s="9" t="s">
        <v>46</v>
      </c>
      <c r="F1335" s="9" t="s">
        <v>47</v>
      </c>
      <c r="G1335" s="11" t="n">
        <v>70</v>
      </c>
      <c r="H1335" s="11" t="n">
        <v>45</v>
      </c>
      <c r="I1335" s="11" t="n">
        <v>70</v>
      </c>
      <c r="J1335" s="11" t="n">
        <v>64</v>
      </c>
      <c r="K1335" s="11" t="n">
        <v>70</v>
      </c>
      <c r="L1335" s="0" t="str">
        <f aca="false">IF(H1335&gt;I1335,"ERRO","OK")</f>
        <v>OK</v>
      </c>
      <c r="M1335" s="0" t="str">
        <f aca="false">IF(H1335&gt;J1335,"ERRO","OK")</f>
        <v>OK</v>
      </c>
      <c r="N1335" s="0" t="str">
        <f aca="false">IF(I1335&lt;J1335,"ERRO","OK")</f>
        <v>OK</v>
      </c>
    </row>
    <row r="1336" customFormat="false" ht="36.5" hidden="false" customHeight="false" outlineLevel="0" collapsed="false">
      <c r="A1336" s="0" t="n">
        <v>71</v>
      </c>
      <c r="B1336" s="0" t="n">
        <v>2024</v>
      </c>
      <c r="C1336" s="3" t="n">
        <v>45562</v>
      </c>
      <c r="D1336" s="4" t="s">
        <v>42</v>
      </c>
      <c r="E1336" s="5" t="s">
        <v>48</v>
      </c>
      <c r="F1336" s="5" t="s">
        <v>49</v>
      </c>
      <c r="G1336" s="6"/>
      <c r="H1336" s="7" t="n">
        <v>45</v>
      </c>
      <c r="I1336" s="7" t="n">
        <v>60</v>
      </c>
      <c r="J1336" s="7" t="s">
        <v>142</v>
      </c>
      <c r="K1336" s="7" t="n">
        <v>50</v>
      </c>
      <c r="L1336" s="0" t="str">
        <f aca="false">IF(H1336&gt;I1336,"ERRO","OK")</f>
        <v>OK</v>
      </c>
      <c r="M1336" s="0" t="str">
        <f aca="false">IF(H1336&gt;J1336,"ERRO","OK")</f>
        <v>OK</v>
      </c>
      <c r="N1336" s="0" t="str">
        <f aca="false">IF(I1336&lt;J1336,"ERRO","OK")</f>
        <v>ERRO</v>
      </c>
    </row>
    <row r="1337" customFormat="false" ht="36.5" hidden="false" customHeight="false" outlineLevel="0" collapsed="false">
      <c r="A1337" s="0" t="n">
        <v>71</v>
      </c>
      <c r="B1337" s="0" t="n">
        <v>2024</v>
      </c>
      <c r="C1337" s="3" t="n">
        <v>45562</v>
      </c>
      <c r="D1337" s="8" t="s">
        <v>42</v>
      </c>
      <c r="E1337" s="9" t="s">
        <v>52</v>
      </c>
      <c r="F1337" s="9" t="s">
        <v>49</v>
      </c>
      <c r="G1337" s="10"/>
      <c r="H1337" s="11" t="n">
        <v>50</v>
      </c>
      <c r="I1337" s="11" t="n">
        <v>110</v>
      </c>
      <c r="J1337" s="11" t="s">
        <v>274</v>
      </c>
      <c r="K1337" s="11" t="n">
        <v>90</v>
      </c>
      <c r="L1337" s="0" t="str">
        <f aca="false">IF(H1337&gt;I1337,"ERRO","OK")</f>
        <v>OK</v>
      </c>
      <c r="M1337" s="0" t="str">
        <f aca="false">IF(H1337&gt;J1337,"ERRO","OK")</f>
        <v>OK</v>
      </c>
      <c r="N1337" s="0" t="str">
        <f aca="false">IF(I1337&lt;J1337,"ERRO","OK")</f>
        <v>ERRO</v>
      </c>
    </row>
    <row r="1338" customFormat="false" ht="36.5" hidden="false" customHeight="false" outlineLevel="0" collapsed="false">
      <c r="A1338" s="0" t="n">
        <v>71</v>
      </c>
      <c r="B1338" s="0" t="n">
        <v>2024</v>
      </c>
      <c r="C1338" s="3" t="n">
        <v>45562</v>
      </c>
      <c r="D1338" s="4" t="s">
        <v>42</v>
      </c>
      <c r="E1338" s="5" t="s">
        <v>53</v>
      </c>
      <c r="F1338" s="5" t="s">
        <v>54</v>
      </c>
      <c r="G1338" s="7" t="n">
        <v>70</v>
      </c>
      <c r="H1338" s="7" t="n">
        <v>60</v>
      </c>
      <c r="I1338" s="7" t="n">
        <v>70</v>
      </c>
      <c r="J1338" s="7" t="n">
        <v>65</v>
      </c>
      <c r="K1338" s="7" t="n">
        <v>65</v>
      </c>
      <c r="L1338" s="0" t="str">
        <f aca="false">IF(H1338&gt;I1338,"ERRO","OK")</f>
        <v>OK</v>
      </c>
      <c r="M1338" s="0" t="str">
        <f aca="false">IF(H1338&gt;J1338,"ERRO","OK")</f>
        <v>OK</v>
      </c>
      <c r="N1338" s="0" t="str">
        <f aca="false">IF(I1338&lt;J1338,"ERRO","OK")</f>
        <v>OK</v>
      </c>
    </row>
    <row r="1339" customFormat="false" ht="36.5" hidden="false" customHeight="false" outlineLevel="0" collapsed="false">
      <c r="A1339" s="0" t="n">
        <v>71</v>
      </c>
      <c r="B1339" s="0" t="n">
        <v>2024</v>
      </c>
      <c r="C1339" s="3" t="n">
        <v>45562</v>
      </c>
      <c r="D1339" s="8" t="s">
        <v>42</v>
      </c>
      <c r="E1339" s="9" t="s">
        <v>56</v>
      </c>
      <c r="F1339" s="9" t="s">
        <v>47</v>
      </c>
      <c r="G1339" s="11" t="n">
        <v>60</v>
      </c>
      <c r="H1339" s="11" t="n">
        <v>35</v>
      </c>
      <c r="I1339" s="11" t="n">
        <v>60</v>
      </c>
      <c r="J1339" s="11" t="n">
        <v>50</v>
      </c>
      <c r="K1339" s="11" t="n">
        <v>55</v>
      </c>
      <c r="L1339" s="0" t="str">
        <f aca="false">IF(H1339&gt;I1339,"ERRO","OK")</f>
        <v>OK</v>
      </c>
      <c r="M1339" s="0" t="str">
        <f aca="false">IF(H1339&gt;J1339,"ERRO","OK")</f>
        <v>OK</v>
      </c>
      <c r="N1339" s="0" t="str">
        <f aca="false">IF(I1339&lt;J1339,"ERRO","OK")</f>
        <v>OK</v>
      </c>
    </row>
    <row r="1340" customFormat="false" ht="36.5" hidden="false" customHeight="false" outlineLevel="0" collapsed="false">
      <c r="A1340" s="0" t="n">
        <v>71</v>
      </c>
      <c r="B1340" s="0" t="n">
        <v>2024</v>
      </c>
      <c r="C1340" s="3" t="n">
        <v>45562</v>
      </c>
      <c r="D1340" s="4" t="s">
        <v>42</v>
      </c>
      <c r="E1340" s="5" t="s">
        <v>57</v>
      </c>
      <c r="F1340" s="5" t="s">
        <v>47</v>
      </c>
      <c r="G1340" s="7" t="n">
        <v>60</v>
      </c>
      <c r="H1340" s="7" t="n">
        <v>60</v>
      </c>
      <c r="I1340" s="7" t="n">
        <v>80</v>
      </c>
      <c r="J1340" s="7" t="n">
        <v>68</v>
      </c>
      <c r="K1340" s="7" t="n">
        <v>70</v>
      </c>
      <c r="L1340" s="0" t="str">
        <f aca="false">IF(H1340&gt;I1340,"ERRO","OK")</f>
        <v>OK</v>
      </c>
      <c r="M1340" s="0" t="str">
        <f aca="false">IF(H1340&gt;J1340,"ERRO","OK")</f>
        <v>OK</v>
      </c>
      <c r="N1340" s="0" t="str">
        <f aca="false">IF(I1340&lt;J1340,"ERRO","OK")</f>
        <v>OK</v>
      </c>
    </row>
    <row r="1341" customFormat="false" ht="36.5" hidden="false" customHeight="false" outlineLevel="0" collapsed="false">
      <c r="A1341" s="0" t="n">
        <v>71</v>
      </c>
      <c r="B1341" s="0" t="n">
        <v>2024</v>
      </c>
      <c r="C1341" s="3" t="n">
        <v>45562</v>
      </c>
      <c r="D1341" s="8" t="s">
        <v>42</v>
      </c>
      <c r="E1341" s="9" t="s">
        <v>58</v>
      </c>
      <c r="F1341" s="9" t="s">
        <v>44</v>
      </c>
      <c r="G1341" s="10"/>
      <c r="H1341" s="11" t="n">
        <v>90</v>
      </c>
      <c r="I1341" s="11" t="n">
        <v>120</v>
      </c>
      <c r="J1341" s="11" t="n">
        <v>105</v>
      </c>
      <c r="K1341" s="11" t="n">
        <v>105</v>
      </c>
      <c r="L1341" s="0" t="str">
        <f aca="false">IF(H1341&gt;I1341,"ERRO","OK")</f>
        <v>OK</v>
      </c>
      <c r="M1341" s="0" t="str">
        <f aca="false">IF(H1341&gt;J1341,"ERRO","OK")</f>
        <v>OK</v>
      </c>
      <c r="N1341" s="0" t="str">
        <f aca="false">IF(I1341&lt;J1341,"ERRO","OK")</f>
        <v>OK</v>
      </c>
    </row>
    <row r="1342" customFormat="false" ht="36.5" hidden="false" customHeight="false" outlineLevel="0" collapsed="false">
      <c r="A1342" s="0" t="n">
        <v>71</v>
      </c>
      <c r="B1342" s="0" t="n">
        <v>2024</v>
      </c>
      <c r="C1342" s="3" t="n">
        <v>45562</v>
      </c>
      <c r="D1342" s="4" t="s">
        <v>42</v>
      </c>
      <c r="E1342" s="5" t="s">
        <v>60</v>
      </c>
      <c r="F1342" s="5" t="s">
        <v>47</v>
      </c>
      <c r="G1342" s="6"/>
      <c r="H1342" s="7" t="n">
        <v>65</v>
      </c>
      <c r="I1342" s="7" t="n">
        <v>65</v>
      </c>
      <c r="J1342" s="7" t="n">
        <v>65</v>
      </c>
      <c r="K1342" s="7" t="n">
        <v>65</v>
      </c>
      <c r="L1342" s="0" t="str">
        <f aca="false">IF(H1342&gt;I1342,"ERRO","OK")</f>
        <v>OK</v>
      </c>
      <c r="M1342" s="0" t="str">
        <f aca="false">IF(H1342&gt;J1342,"ERRO","OK")</f>
        <v>OK</v>
      </c>
      <c r="N1342" s="0" t="str">
        <f aca="false">IF(I1342&lt;J1342,"ERRO","OK")</f>
        <v>OK</v>
      </c>
    </row>
    <row r="1343" customFormat="false" ht="36.5" hidden="false" customHeight="false" outlineLevel="0" collapsed="false">
      <c r="A1343" s="0" t="n">
        <v>71</v>
      </c>
      <c r="B1343" s="0" t="n">
        <v>2024</v>
      </c>
      <c r="C1343" s="3" t="n">
        <v>45562</v>
      </c>
      <c r="D1343" s="8" t="s">
        <v>42</v>
      </c>
      <c r="E1343" s="9" t="s">
        <v>61</v>
      </c>
      <c r="F1343" s="9" t="s">
        <v>44</v>
      </c>
      <c r="G1343" s="11" t="n">
        <v>100</v>
      </c>
      <c r="H1343" s="11" t="n">
        <v>80</v>
      </c>
      <c r="I1343" s="11" t="n">
        <v>100</v>
      </c>
      <c r="J1343" s="11" t="s">
        <v>200</v>
      </c>
      <c r="K1343" s="11" t="n">
        <v>100</v>
      </c>
      <c r="L1343" s="0" t="str">
        <f aca="false">IF(H1343&gt;I1343,"ERRO","OK")</f>
        <v>OK</v>
      </c>
      <c r="M1343" s="0" t="str">
        <f aca="false">IF(H1343&gt;J1343,"ERRO","OK")</f>
        <v>OK</v>
      </c>
      <c r="N1343" s="0" t="str">
        <f aca="false">IF(I1343&lt;J1343,"ERRO","OK")</f>
        <v>ERRO</v>
      </c>
    </row>
    <row r="1344" customFormat="false" ht="36.5" hidden="false" customHeight="false" outlineLevel="0" collapsed="false">
      <c r="A1344" s="0" t="n">
        <v>71</v>
      </c>
      <c r="B1344" s="0" t="n">
        <v>2024</v>
      </c>
      <c r="C1344" s="3" t="n">
        <v>45562</v>
      </c>
      <c r="D1344" s="4" t="s">
        <v>42</v>
      </c>
      <c r="E1344" s="5" t="s">
        <v>62</v>
      </c>
      <c r="F1344" s="5" t="s">
        <v>44</v>
      </c>
      <c r="G1344" s="6"/>
      <c r="H1344" s="7" t="n">
        <v>100</v>
      </c>
      <c r="I1344" s="7" t="n">
        <v>145</v>
      </c>
      <c r="J1344" s="7" t="s">
        <v>347</v>
      </c>
      <c r="K1344" s="7" t="n">
        <v>130</v>
      </c>
      <c r="L1344" s="0" t="str">
        <f aca="false">IF(H1344&gt;I1344,"ERRO","OK")</f>
        <v>OK</v>
      </c>
      <c r="M1344" s="0" t="str">
        <f aca="false">IF(H1344&gt;J1344,"ERRO","OK")</f>
        <v>OK</v>
      </c>
      <c r="N1344" s="0" t="str">
        <f aca="false">IF(I1344&lt;J1344,"ERRO","OK")</f>
        <v>ERRO</v>
      </c>
    </row>
    <row r="1345" customFormat="false" ht="36.5" hidden="false" customHeight="false" outlineLevel="0" collapsed="false">
      <c r="A1345" s="0" t="n">
        <v>71</v>
      </c>
      <c r="B1345" s="0" t="n">
        <v>2024</v>
      </c>
      <c r="C1345" s="3" t="n">
        <v>45562</v>
      </c>
      <c r="D1345" s="8" t="s">
        <v>42</v>
      </c>
      <c r="E1345" s="9" t="s">
        <v>63</v>
      </c>
      <c r="F1345" s="9" t="s">
        <v>49</v>
      </c>
      <c r="G1345" s="11" t="n">
        <v>55</v>
      </c>
      <c r="H1345" s="11" t="n">
        <v>40</v>
      </c>
      <c r="I1345" s="11" t="n">
        <v>55</v>
      </c>
      <c r="J1345" s="11" t="n">
        <v>49</v>
      </c>
      <c r="K1345" s="11" t="n">
        <v>50</v>
      </c>
      <c r="L1345" s="0" t="str">
        <f aca="false">IF(H1345&gt;I1345,"ERRO","OK")</f>
        <v>OK</v>
      </c>
      <c r="M1345" s="0" t="str">
        <f aca="false">IF(H1345&gt;J1345,"ERRO","OK")</f>
        <v>OK</v>
      </c>
      <c r="N1345" s="0" t="str">
        <f aca="false">IF(I1345&lt;J1345,"ERRO","OK")</f>
        <v>OK</v>
      </c>
    </row>
    <row r="1346" customFormat="false" ht="36.5" hidden="false" customHeight="false" outlineLevel="0" collapsed="false">
      <c r="A1346" s="0" t="n">
        <v>71</v>
      </c>
      <c r="B1346" s="0" t="n">
        <v>2024</v>
      </c>
      <c r="C1346" s="3" t="n">
        <v>45562</v>
      </c>
      <c r="D1346" s="4" t="s">
        <v>42</v>
      </c>
      <c r="E1346" s="5" t="s">
        <v>64</v>
      </c>
      <c r="F1346" s="5" t="s">
        <v>65</v>
      </c>
      <c r="G1346" s="7" t="n">
        <v>140</v>
      </c>
      <c r="H1346" s="7" t="n">
        <v>140</v>
      </c>
      <c r="I1346" s="7" t="n">
        <v>150</v>
      </c>
      <c r="J1346" s="7" t="n">
        <v>144</v>
      </c>
      <c r="K1346" s="7" t="n">
        <v>140</v>
      </c>
      <c r="L1346" s="0" t="str">
        <f aca="false">IF(H1346&gt;I1346,"ERRO","OK")</f>
        <v>OK</v>
      </c>
      <c r="M1346" s="0" t="str">
        <f aca="false">IF(H1346&gt;J1346,"ERRO","OK")</f>
        <v>OK</v>
      </c>
      <c r="N1346" s="0" t="str">
        <f aca="false">IF(I1346&lt;J1346,"ERRO","OK")</f>
        <v>OK</v>
      </c>
    </row>
    <row r="1347" customFormat="false" ht="36.5" hidden="false" customHeight="false" outlineLevel="0" collapsed="false">
      <c r="A1347" s="0" t="n">
        <v>71</v>
      </c>
      <c r="B1347" s="0" t="n">
        <v>2024</v>
      </c>
      <c r="C1347" s="3" t="n">
        <v>45562</v>
      </c>
      <c r="D1347" s="8" t="s">
        <v>42</v>
      </c>
      <c r="E1347" s="9" t="s">
        <v>67</v>
      </c>
      <c r="F1347" s="9" t="s">
        <v>44</v>
      </c>
      <c r="G1347" s="11" t="n">
        <v>60</v>
      </c>
      <c r="H1347" s="11" t="n">
        <v>50</v>
      </c>
      <c r="I1347" s="11" t="n">
        <v>90</v>
      </c>
      <c r="J1347" s="11" t="n">
        <v>66</v>
      </c>
      <c r="K1347" s="11" t="n">
        <v>60</v>
      </c>
      <c r="L1347" s="0" t="str">
        <f aca="false">IF(H1347&gt;I1347,"ERRO","OK")</f>
        <v>OK</v>
      </c>
      <c r="M1347" s="0" t="str">
        <f aca="false">IF(H1347&gt;J1347,"ERRO","OK")</f>
        <v>OK</v>
      </c>
      <c r="N1347" s="0" t="str">
        <f aca="false">IF(I1347&lt;J1347,"ERRO","OK")</f>
        <v>OK</v>
      </c>
    </row>
    <row r="1348" customFormat="false" ht="36.5" hidden="false" customHeight="false" outlineLevel="0" collapsed="false">
      <c r="A1348" s="0" t="n">
        <v>71</v>
      </c>
      <c r="B1348" s="0" t="n">
        <v>2024</v>
      </c>
      <c r="C1348" s="3" t="n">
        <v>45562</v>
      </c>
      <c r="D1348" s="4" t="s">
        <v>42</v>
      </c>
      <c r="E1348" s="5" t="s">
        <v>68</v>
      </c>
      <c r="F1348" s="5" t="s">
        <v>44</v>
      </c>
      <c r="G1348" s="6"/>
      <c r="H1348" s="7" t="n">
        <v>100</v>
      </c>
      <c r="I1348" s="7" t="n">
        <v>130</v>
      </c>
      <c r="J1348" s="7" t="s">
        <v>205</v>
      </c>
      <c r="K1348" s="7" t="n">
        <v>120</v>
      </c>
      <c r="L1348" s="0" t="str">
        <f aca="false">IF(H1348&gt;I1348,"ERRO","OK")</f>
        <v>OK</v>
      </c>
      <c r="M1348" s="0" t="str">
        <f aca="false">IF(H1348&gt;J1348,"ERRO","OK")</f>
        <v>OK</v>
      </c>
      <c r="N1348" s="0" t="str">
        <f aca="false">IF(I1348&lt;J1348,"ERRO","OK")</f>
        <v>ERRO</v>
      </c>
    </row>
    <row r="1349" customFormat="false" ht="14.25" hidden="false" customHeight="false" outlineLevel="0" collapsed="false">
      <c r="A1349" s="0" t="n">
        <v>71</v>
      </c>
      <c r="B1349" s="0" t="n">
        <v>2024</v>
      </c>
      <c r="C1349" s="3" t="n">
        <v>45562</v>
      </c>
      <c r="D1349" s="8" t="s">
        <v>69</v>
      </c>
      <c r="E1349" s="9" t="s">
        <v>70</v>
      </c>
      <c r="F1349" s="9" t="s">
        <v>49</v>
      </c>
      <c r="G1349" s="10"/>
      <c r="H1349" s="10"/>
      <c r="I1349" s="10"/>
      <c r="J1349" s="10"/>
      <c r="K1349" s="10"/>
      <c r="L1349" s="0" t="str">
        <f aca="false">IF(H1349&gt;I1349,"ERRO","OK")</f>
        <v>OK</v>
      </c>
      <c r="M1349" s="0" t="str">
        <f aca="false">IF(H1349&gt;J1349,"ERRO","OK")</f>
        <v>OK</v>
      </c>
      <c r="N1349" s="0" t="str">
        <f aca="false">IF(I1349&lt;J1349,"ERRO","OK")</f>
        <v>OK</v>
      </c>
    </row>
    <row r="1350" customFormat="false" ht="14.25" hidden="false" customHeight="false" outlineLevel="0" collapsed="false">
      <c r="A1350" s="0" t="n">
        <v>71</v>
      </c>
      <c r="B1350" s="0" t="n">
        <v>2024</v>
      </c>
      <c r="C1350" s="3" t="n">
        <v>45562</v>
      </c>
      <c r="D1350" s="4" t="s">
        <v>69</v>
      </c>
      <c r="E1350" s="5" t="s">
        <v>71</v>
      </c>
      <c r="F1350" s="5" t="s">
        <v>49</v>
      </c>
      <c r="G1350" s="6"/>
      <c r="H1350" s="6"/>
      <c r="I1350" s="6"/>
      <c r="J1350" s="6"/>
      <c r="K1350" s="6"/>
      <c r="L1350" s="0" t="str">
        <f aca="false">IF(H1350&gt;I1350,"ERRO","OK")</f>
        <v>OK</v>
      </c>
      <c r="M1350" s="0" t="str">
        <f aca="false">IF(H1350&gt;J1350,"ERRO","OK")</f>
        <v>OK</v>
      </c>
      <c r="N1350" s="0" t="str">
        <f aca="false">IF(I1350&lt;J1350,"ERRO","OK")</f>
        <v>OK</v>
      </c>
    </row>
    <row r="1351" customFormat="false" ht="14.25" hidden="false" customHeight="false" outlineLevel="0" collapsed="false">
      <c r="A1351" s="0" t="n">
        <v>71</v>
      </c>
      <c r="B1351" s="0" t="n">
        <v>2024</v>
      </c>
      <c r="C1351" s="3" t="n">
        <v>45562</v>
      </c>
      <c r="D1351" s="8" t="s">
        <v>69</v>
      </c>
      <c r="E1351" s="9" t="s">
        <v>72</v>
      </c>
      <c r="F1351" s="9" t="s">
        <v>49</v>
      </c>
      <c r="G1351" s="10"/>
      <c r="H1351" s="10"/>
      <c r="I1351" s="10"/>
      <c r="J1351" s="10"/>
      <c r="K1351" s="10"/>
      <c r="L1351" s="0" t="str">
        <f aca="false">IF(H1351&gt;I1351,"ERRO","OK")</f>
        <v>OK</v>
      </c>
      <c r="M1351" s="0" t="str">
        <f aca="false">IF(H1351&gt;J1351,"ERRO","OK")</f>
        <v>OK</v>
      </c>
      <c r="N1351" s="0" t="str">
        <f aca="false">IF(I1351&lt;J1351,"ERRO","OK")</f>
        <v>OK</v>
      </c>
    </row>
    <row r="1352" customFormat="false" ht="14.25" hidden="false" customHeight="false" outlineLevel="0" collapsed="false">
      <c r="A1352" s="0" t="n">
        <v>71</v>
      </c>
      <c r="B1352" s="0" t="n">
        <v>2024</v>
      </c>
      <c r="C1352" s="3" t="n">
        <v>45562</v>
      </c>
      <c r="D1352" s="4" t="s">
        <v>69</v>
      </c>
      <c r="E1352" s="5" t="s">
        <v>73</v>
      </c>
      <c r="F1352" s="5" t="s">
        <v>49</v>
      </c>
      <c r="G1352" s="6"/>
      <c r="H1352" s="7" t="n">
        <v>50</v>
      </c>
      <c r="I1352" s="7" t="n">
        <v>50</v>
      </c>
      <c r="J1352" s="7" t="n">
        <v>50</v>
      </c>
      <c r="K1352" s="7" t="n">
        <v>50</v>
      </c>
      <c r="L1352" s="0" t="str">
        <f aca="false">IF(H1352&gt;I1352,"ERRO","OK")</f>
        <v>OK</v>
      </c>
      <c r="M1352" s="0" t="str">
        <f aca="false">IF(H1352&gt;J1352,"ERRO","OK")</f>
        <v>OK</v>
      </c>
      <c r="N1352" s="0" t="str">
        <f aca="false">IF(I1352&lt;J1352,"ERRO","OK")</f>
        <v>OK</v>
      </c>
    </row>
    <row r="1353" customFormat="false" ht="14.25" hidden="false" customHeight="false" outlineLevel="0" collapsed="false">
      <c r="A1353" s="0" t="n">
        <v>71</v>
      </c>
      <c r="B1353" s="0" t="n">
        <v>2024</v>
      </c>
      <c r="C1353" s="3" t="n">
        <v>45562</v>
      </c>
      <c r="D1353" s="8" t="s">
        <v>69</v>
      </c>
      <c r="E1353" s="9" t="s">
        <v>74</v>
      </c>
      <c r="F1353" s="9" t="s">
        <v>75</v>
      </c>
      <c r="G1353" s="10"/>
      <c r="H1353" s="10"/>
      <c r="I1353" s="10"/>
      <c r="J1353" s="10"/>
      <c r="K1353" s="10"/>
      <c r="L1353" s="0" t="str">
        <f aca="false">IF(H1353&gt;I1353,"ERRO","OK")</f>
        <v>OK</v>
      </c>
      <c r="M1353" s="0" t="str">
        <f aca="false">IF(H1353&gt;J1353,"ERRO","OK")</f>
        <v>OK</v>
      </c>
      <c r="N1353" s="0" t="str">
        <f aca="false">IF(I1353&lt;J1353,"ERRO","OK")</f>
        <v>OK</v>
      </c>
    </row>
    <row r="1354" customFormat="false" ht="25" hidden="false" customHeight="false" outlineLevel="0" collapsed="false">
      <c r="A1354" s="0" t="n">
        <v>72</v>
      </c>
      <c r="B1354" s="0" t="n">
        <v>2024</v>
      </c>
      <c r="C1354" s="3" t="n">
        <v>45569</v>
      </c>
      <c r="D1354" s="4" t="s">
        <v>15</v>
      </c>
      <c r="E1354" s="5" t="s">
        <v>16</v>
      </c>
      <c r="F1354" s="5" t="s">
        <v>17</v>
      </c>
      <c r="G1354" s="7" t="n">
        <v>48</v>
      </c>
      <c r="H1354" s="7" t="n">
        <v>48</v>
      </c>
      <c r="I1354" s="7" t="n">
        <v>60</v>
      </c>
      <c r="J1354" s="7" t="n">
        <v>51</v>
      </c>
      <c r="K1354" s="7" t="n">
        <v>48</v>
      </c>
      <c r="L1354" s="0" t="str">
        <f aca="false">IF(H1354&gt;I1354,"ERRO","OK")</f>
        <v>OK</v>
      </c>
      <c r="M1354" s="0" t="str">
        <f aca="false">IF(H1354&gt;J1354,"ERRO","OK")</f>
        <v>OK</v>
      </c>
      <c r="N1354" s="0" t="str">
        <f aca="false">IF(I1354&lt;J1354,"ERRO","OK")</f>
        <v>OK</v>
      </c>
    </row>
    <row r="1355" customFormat="false" ht="25" hidden="false" customHeight="false" outlineLevel="0" collapsed="false">
      <c r="A1355" s="0" t="n">
        <v>72</v>
      </c>
      <c r="B1355" s="0" t="n">
        <v>2024</v>
      </c>
      <c r="C1355" s="3" t="n">
        <v>45569</v>
      </c>
      <c r="D1355" s="8" t="s">
        <v>15</v>
      </c>
      <c r="E1355" s="9" t="s">
        <v>18</v>
      </c>
      <c r="F1355" s="9" t="s">
        <v>17</v>
      </c>
      <c r="G1355" s="11" t="n">
        <v>72</v>
      </c>
      <c r="H1355" s="11" t="n">
        <v>72</v>
      </c>
      <c r="I1355" s="11" t="n">
        <v>84</v>
      </c>
      <c r="J1355" s="11" t="n">
        <v>76</v>
      </c>
      <c r="K1355" s="11" t="n">
        <v>72</v>
      </c>
      <c r="L1355" s="0" t="str">
        <f aca="false">IF(H1355&gt;I1355,"ERRO","OK")</f>
        <v>OK</v>
      </c>
      <c r="M1355" s="0" t="str">
        <f aca="false">IF(H1355&gt;J1355,"ERRO","OK")</f>
        <v>OK</v>
      </c>
      <c r="N1355" s="0" t="str">
        <f aca="false">IF(I1355&lt;J1355,"ERRO","OK")</f>
        <v>OK</v>
      </c>
    </row>
    <row r="1356" customFormat="false" ht="25" hidden="false" customHeight="false" outlineLevel="0" collapsed="false">
      <c r="A1356" s="0" t="n">
        <v>72</v>
      </c>
      <c r="B1356" s="0" t="n">
        <v>2024</v>
      </c>
      <c r="C1356" s="3" t="n">
        <v>45569</v>
      </c>
      <c r="D1356" s="4" t="s">
        <v>15</v>
      </c>
      <c r="E1356" s="5" t="s">
        <v>19</v>
      </c>
      <c r="F1356" s="5" t="s">
        <v>17</v>
      </c>
      <c r="G1356" s="7" t="n">
        <v>30</v>
      </c>
      <c r="H1356" s="7" t="n">
        <v>30</v>
      </c>
      <c r="I1356" s="7" t="n">
        <v>36</v>
      </c>
      <c r="J1356" s="7" t="n">
        <v>33</v>
      </c>
      <c r="K1356" s="7" t="n">
        <v>33</v>
      </c>
      <c r="L1356" s="0" t="str">
        <f aca="false">IF(H1356&gt;I1356,"ERRO","OK")</f>
        <v>OK</v>
      </c>
      <c r="M1356" s="0" t="str">
        <f aca="false">IF(H1356&gt;J1356,"ERRO","OK")</f>
        <v>OK</v>
      </c>
      <c r="N1356" s="0" t="str">
        <f aca="false">IF(I1356&lt;J1356,"ERRO","OK")</f>
        <v>OK</v>
      </c>
    </row>
    <row r="1357" customFormat="false" ht="25" hidden="false" customHeight="false" outlineLevel="0" collapsed="false">
      <c r="A1357" s="0" t="n">
        <v>72</v>
      </c>
      <c r="B1357" s="0" t="n">
        <v>2024</v>
      </c>
      <c r="C1357" s="3" t="n">
        <v>45569</v>
      </c>
      <c r="D1357" s="8" t="s">
        <v>15</v>
      </c>
      <c r="E1357" s="9" t="s">
        <v>20</v>
      </c>
      <c r="F1357" s="9" t="s">
        <v>17</v>
      </c>
      <c r="G1357" s="11" t="n">
        <v>24</v>
      </c>
      <c r="H1357" s="11" t="n">
        <v>18</v>
      </c>
      <c r="I1357" s="11" t="n">
        <v>24</v>
      </c>
      <c r="J1357" s="11" t="s">
        <v>76</v>
      </c>
      <c r="K1357" s="11" t="n">
        <v>22</v>
      </c>
      <c r="L1357" s="0" t="str">
        <f aca="false">IF(H1357&gt;I1357,"ERRO","OK")</f>
        <v>OK</v>
      </c>
      <c r="M1357" s="0" t="str">
        <f aca="false">IF(H1357&gt;J1357,"ERRO","OK")</f>
        <v>OK</v>
      </c>
      <c r="N1357" s="0" t="str">
        <f aca="false">IF(I1357&lt;J1357,"ERRO","OK")</f>
        <v>ERRO</v>
      </c>
    </row>
    <row r="1358" customFormat="false" ht="25" hidden="false" customHeight="false" outlineLevel="0" collapsed="false">
      <c r="A1358" s="0" t="n">
        <v>72</v>
      </c>
      <c r="B1358" s="0" t="n">
        <v>2024</v>
      </c>
      <c r="C1358" s="3" t="n">
        <v>45569</v>
      </c>
      <c r="D1358" s="4" t="s">
        <v>15</v>
      </c>
      <c r="E1358" s="5" t="s">
        <v>21</v>
      </c>
      <c r="F1358" s="5" t="s">
        <v>17</v>
      </c>
      <c r="G1358" s="7" t="n">
        <v>24</v>
      </c>
      <c r="H1358" s="7" t="n">
        <v>18</v>
      </c>
      <c r="I1358" s="7" t="n">
        <v>24</v>
      </c>
      <c r="J1358" s="7" t="s">
        <v>76</v>
      </c>
      <c r="K1358" s="7" t="n">
        <v>22</v>
      </c>
      <c r="L1358" s="0" t="str">
        <f aca="false">IF(H1358&gt;I1358,"ERRO","OK")</f>
        <v>OK</v>
      </c>
      <c r="M1358" s="0" t="str">
        <f aca="false">IF(H1358&gt;J1358,"ERRO","OK")</f>
        <v>OK</v>
      </c>
      <c r="N1358" s="0" t="str">
        <f aca="false">IF(I1358&lt;J1358,"ERRO","OK")</f>
        <v>ERRO</v>
      </c>
    </row>
    <row r="1359" customFormat="false" ht="25" hidden="false" customHeight="false" outlineLevel="0" collapsed="false">
      <c r="A1359" s="0" t="n">
        <v>72</v>
      </c>
      <c r="B1359" s="0" t="n">
        <v>2024</v>
      </c>
      <c r="C1359" s="3" t="n">
        <v>45569</v>
      </c>
      <c r="D1359" s="8" t="s">
        <v>15</v>
      </c>
      <c r="E1359" s="9" t="s">
        <v>22</v>
      </c>
      <c r="F1359" s="9" t="s">
        <v>17</v>
      </c>
      <c r="G1359" s="11" t="n">
        <v>48</v>
      </c>
      <c r="H1359" s="11" t="n">
        <v>48</v>
      </c>
      <c r="I1359" s="11" t="n">
        <v>60</v>
      </c>
      <c r="J1359" s="11" t="n">
        <v>52</v>
      </c>
      <c r="K1359" s="11" t="n">
        <v>48</v>
      </c>
      <c r="L1359" s="0" t="str">
        <f aca="false">IF(H1359&gt;I1359,"ERRO","OK")</f>
        <v>OK</v>
      </c>
      <c r="M1359" s="0" t="str">
        <f aca="false">IF(H1359&gt;J1359,"ERRO","OK")</f>
        <v>OK</v>
      </c>
      <c r="N1359" s="0" t="str">
        <f aca="false">IF(I1359&lt;J1359,"ERRO","OK")</f>
        <v>OK</v>
      </c>
    </row>
    <row r="1360" customFormat="false" ht="25" hidden="false" customHeight="false" outlineLevel="0" collapsed="false">
      <c r="A1360" s="0" t="n">
        <v>72</v>
      </c>
      <c r="B1360" s="0" t="n">
        <v>2024</v>
      </c>
      <c r="C1360" s="3" t="n">
        <v>45569</v>
      </c>
      <c r="D1360" s="4" t="s">
        <v>15</v>
      </c>
      <c r="E1360" s="5" t="s">
        <v>23</v>
      </c>
      <c r="F1360" s="5" t="s">
        <v>17</v>
      </c>
      <c r="G1360" s="6"/>
      <c r="H1360" s="7" t="n">
        <v>48</v>
      </c>
      <c r="I1360" s="7" t="n">
        <v>60</v>
      </c>
      <c r="J1360" s="7" t="n">
        <v>54</v>
      </c>
      <c r="K1360" s="7" t="n">
        <v>54</v>
      </c>
      <c r="L1360" s="0" t="str">
        <f aca="false">IF(H1360&gt;I1360,"ERRO","OK")</f>
        <v>OK</v>
      </c>
      <c r="M1360" s="0" t="str">
        <f aca="false">IF(H1360&gt;J1360,"ERRO","OK")</f>
        <v>OK</v>
      </c>
      <c r="N1360" s="0" t="str">
        <f aca="false">IF(I1360&lt;J1360,"ERRO","OK")</f>
        <v>OK</v>
      </c>
    </row>
    <row r="1361" customFormat="false" ht="25" hidden="false" customHeight="false" outlineLevel="0" collapsed="false">
      <c r="A1361" s="0" t="n">
        <v>72</v>
      </c>
      <c r="B1361" s="0" t="n">
        <v>2024</v>
      </c>
      <c r="C1361" s="3" t="n">
        <v>45569</v>
      </c>
      <c r="D1361" s="8" t="s">
        <v>15</v>
      </c>
      <c r="E1361" s="9" t="s">
        <v>24</v>
      </c>
      <c r="F1361" s="9" t="s">
        <v>17</v>
      </c>
      <c r="G1361" s="11" t="n">
        <v>72</v>
      </c>
      <c r="H1361" s="11" t="n">
        <v>72</v>
      </c>
      <c r="I1361" s="11" t="n">
        <v>72</v>
      </c>
      <c r="J1361" s="11" t="n">
        <v>72</v>
      </c>
      <c r="K1361" s="11" t="n">
        <v>72</v>
      </c>
      <c r="L1361" s="0" t="str">
        <f aca="false">IF(H1361&gt;I1361,"ERRO","OK")</f>
        <v>OK</v>
      </c>
      <c r="M1361" s="0" t="str">
        <f aca="false">IF(H1361&gt;J1361,"ERRO","OK")</f>
        <v>OK</v>
      </c>
      <c r="N1361" s="0" t="str">
        <f aca="false">IF(I1361&lt;J1361,"ERRO","OK")</f>
        <v>OK</v>
      </c>
    </row>
    <row r="1362" customFormat="false" ht="25" hidden="false" customHeight="false" outlineLevel="0" collapsed="false">
      <c r="A1362" s="0" t="n">
        <v>72</v>
      </c>
      <c r="B1362" s="0" t="n">
        <v>2024</v>
      </c>
      <c r="C1362" s="3" t="n">
        <v>45569</v>
      </c>
      <c r="D1362" s="4" t="s">
        <v>15</v>
      </c>
      <c r="E1362" s="5" t="s">
        <v>25</v>
      </c>
      <c r="F1362" s="5" t="s">
        <v>17</v>
      </c>
      <c r="G1362" s="7" t="n">
        <v>24</v>
      </c>
      <c r="H1362" s="7" t="n">
        <v>18</v>
      </c>
      <c r="I1362" s="7" t="n">
        <v>24</v>
      </c>
      <c r="J1362" s="7" t="s">
        <v>41</v>
      </c>
      <c r="K1362" s="7" t="n">
        <v>24</v>
      </c>
      <c r="L1362" s="0" t="str">
        <f aca="false">IF(H1362&gt;I1362,"ERRO","OK")</f>
        <v>OK</v>
      </c>
      <c r="M1362" s="0" t="str">
        <f aca="false">IF(H1362&gt;J1362,"ERRO","OK")</f>
        <v>OK</v>
      </c>
      <c r="N1362" s="0" t="str">
        <f aca="false">IF(I1362&lt;J1362,"ERRO","OK")</f>
        <v>ERRO</v>
      </c>
    </row>
    <row r="1363" customFormat="false" ht="25" hidden="false" customHeight="false" outlineLevel="0" collapsed="false">
      <c r="A1363" s="0" t="n">
        <v>72</v>
      </c>
      <c r="B1363" s="0" t="n">
        <v>2024</v>
      </c>
      <c r="C1363" s="3" t="n">
        <v>45569</v>
      </c>
      <c r="D1363" s="8" t="s">
        <v>15</v>
      </c>
      <c r="E1363" s="9" t="s">
        <v>77</v>
      </c>
      <c r="F1363" s="9" t="s">
        <v>17</v>
      </c>
      <c r="G1363" s="11" t="n">
        <v>60</v>
      </c>
      <c r="H1363" s="11" t="n">
        <v>50</v>
      </c>
      <c r="I1363" s="11" t="n">
        <v>60</v>
      </c>
      <c r="J1363" s="11" t="s">
        <v>59</v>
      </c>
      <c r="K1363" s="11" t="n">
        <v>60</v>
      </c>
      <c r="L1363" s="0" t="str">
        <f aca="false">IF(H1363&gt;I1363,"ERRO","OK")</f>
        <v>OK</v>
      </c>
      <c r="M1363" s="0" t="str">
        <f aca="false">IF(H1363&gt;J1363,"ERRO","OK")</f>
        <v>OK</v>
      </c>
      <c r="N1363" s="0" t="str">
        <f aca="false">IF(I1363&lt;J1363,"ERRO","OK")</f>
        <v>ERRO</v>
      </c>
    </row>
    <row r="1364" customFormat="false" ht="25" hidden="false" customHeight="false" outlineLevel="0" collapsed="false">
      <c r="A1364" s="0" t="n">
        <v>72</v>
      </c>
      <c r="B1364" s="0" t="n">
        <v>2024</v>
      </c>
      <c r="C1364" s="3" t="n">
        <v>45569</v>
      </c>
      <c r="D1364" s="4" t="s">
        <v>15</v>
      </c>
      <c r="E1364" s="5" t="s">
        <v>27</v>
      </c>
      <c r="F1364" s="5" t="s">
        <v>17</v>
      </c>
      <c r="G1364" s="7" t="n">
        <v>24</v>
      </c>
      <c r="H1364" s="7" t="n">
        <v>20</v>
      </c>
      <c r="I1364" s="7" t="n">
        <v>24</v>
      </c>
      <c r="J1364" s="7" t="n">
        <v>23</v>
      </c>
      <c r="K1364" s="7" t="n">
        <v>24</v>
      </c>
      <c r="L1364" s="0" t="str">
        <f aca="false">IF(H1364&gt;I1364,"ERRO","OK")</f>
        <v>OK</v>
      </c>
      <c r="M1364" s="0" t="str">
        <f aca="false">IF(H1364&gt;J1364,"ERRO","OK")</f>
        <v>OK</v>
      </c>
      <c r="N1364" s="0" t="str">
        <f aca="false">IF(I1364&lt;J1364,"ERRO","OK")</f>
        <v>OK</v>
      </c>
    </row>
    <row r="1365" customFormat="false" ht="25" hidden="false" customHeight="false" outlineLevel="0" collapsed="false">
      <c r="A1365" s="0" t="n">
        <v>72</v>
      </c>
      <c r="B1365" s="0" t="n">
        <v>2024</v>
      </c>
      <c r="C1365" s="3" t="n">
        <v>45569</v>
      </c>
      <c r="D1365" s="8" t="s">
        <v>15</v>
      </c>
      <c r="E1365" s="9" t="s">
        <v>28</v>
      </c>
      <c r="F1365" s="9" t="s">
        <v>17</v>
      </c>
      <c r="G1365" s="11" t="n">
        <v>48</v>
      </c>
      <c r="H1365" s="11" t="n">
        <v>48</v>
      </c>
      <c r="I1365" s="11" t="n">
        <v>72</v>
      </c>
      <c r="J1365" s="11" t="n">
        <v>56</v>
      </c>
      <c r="K1365" s="11" t="n">
        <v>48</v>
      </c>
      <c r="L1365" s="0" t="str">
        <f aca="false">IF(H1365&gt;I1365,"ERRO","OK")</f>
        <v>OK</v>
      </c>
      <c r="M1365" s="0" t="str">
        <f aca="false">IF(H1365&gt;J1365,"ERRO","OK")</f>
        <v>OK</v>
      </c>
      <c r="N1365" s="0" t="str">
        <f aca="false">IF(I1365&lt;J1365,"ERRO","OK")</f>
        <v>OK</v>
      </c>
    </row>
    <row r="1366" customFormat="false" ht="25" hidden="false" customHeight="false" outlineLevel="0" collapsed="false">
      <c r="A1366" s="0" t="n">
        <v>72</v>
      </c>
      <c r="B1366" s="0" t="n">
        <v>2024</v>
      </c>
      <c r="C1366" s="3" t="n">
        <v>45569</v>
      </c>
      <c r="D1366" s="4" t="s">
        <v>15</v>
      </c>
      <c r="E1366" s="5" t="s">
        <v>29</v>
      </c>
      <c r="F1366" s="5" t="s">
        <v>30</v>
      </c>
      <c r="G1366" s="7" t="n">
        <v>60</v>
      </c>
      <c r="H1366" s="7" t="n">
        <v>48</v>
      </c>
      <c r="I1366" s="7" t="n">
        <v>60</v>
      </c>
      <c r="J1366" s="7" t="n">
        <v>54</v>
      </c>
      <c r="K1366" s="7" t="n">
        <v>54</v>
      </c>
      <c r="L1366" s="0" t="str">
        <f aca="false">IF(H1366&gt;I1366,"ERRO","OK")</f>
        <v>OK</v>
      </c>
      <c r="M1366" s="0" t="str">
        <f aca="false">IF(H1366&gt;J1366,"ERRO","OK")</f>
        <v>OK</v>
      </c>
      <c r="N1366" s="0" t="str">
        <f aca="false">IF(I1366&lt;J1366,"ERRO","OK")</f>
        <v>OK</v>
      </c>
    </row>
    <row r="1367" customFormat="false" ht="25" hidden="false" customHeight="false" outlineLevel="0" collapsed="false">
      <c r="A1367" s="0" t="n">
        <v>72</v>
      </c>
      <c r="B1367" s="0" t="n">
        <v>2024</v>
      </c>
      <c r="C1367" s="3" t="n">
        <v>45569</v>
      </c>
      <c r="D1367" s="8" t="s">
        <v>15</v>
      </c>
      <c r="E1367" s="9" t="s">
        <v>31</v>
      </c>
      <c r="F1367" s="9" t="s">
        <v>17</v>
      </c>
      <c r="G1367" s="11" t="n">
        <v>48</v>
      </c>
      <c r="H1367" s="11" t="n">
        <v>35</v>
      </c>
      <c r="I1367" s="11" t="n">
        <v>48</v>
      </c>
      <c r="J1367" s="11" t="s">
        <v>348</v>
      </c>
      <c r="K1367" s="11" t="n">
        <v>48</v>
      </c>
      <c r="L1367" s="0" t="str">
        <f aca="false">IF(H1367&gt;I1367,"ERRO","OK")</f>
        <v>OK</v>
      </c>
      <c r="M1367" s="0" t="str">
        <f aca="false">IF(H1367&gt;J1367,"ERRO","OK")</f>
        <v>OK</v>
      </c>
      <c r="N1367" s="0" t="str">
        <f aca="false">IF(I1367&lt;J1367,"ERRO","OK")</f>
        <v>ERRO</v>
      </c>
    </row>
    <row r="1368" customFormat="false" ht="25" hidden="false" customHeight="false" outlineLevel="0" collapsed="false">
      <c r="A1368" s="0" t="n">
        <v>72</v>
      </c>
      <c r="B1368" s="0" t="n">
        <v>2024</v>
      </c>
      <c r="C1368" s="3" t="n">
        <v>45569</v>
      </c>
      <c r="D1368" s="4" t="s">
        <v>15</v>
      </c>
      <c r="E1368" s="5" t="s">
        <v>32</v>
      </c>
      <c r="F1368" s="5" t="s">
        <v>17</v>
      </c>
      <c r="G1368" s="7" t="n">
        <v>30</v>
      </c>
      <c r="H1368" s="7" t="n">
        <v>24</v>
      </c>
      <c r="I1368" s="7" t="n">
        <v>36</v>
      </c>
      <c r="J1368" s="7" t="n">
        <v>30</v>
      </c>
      <c r="K1368" s="7" t="n">
        <v>30</v>
      </c>
      <c r="L1368" s="0" t="str">
        <f aca="false">IF(H1368&gt;I1368,"ERRO","OK")</f>
        <v>OK</v>
      </c>
      <c r="M1368" s="0" t="str">
        <f aca="false">IF(H1368&gt;J1368,"ERRO","OK")</f>
        <v>OK</v>
      </c>
      <c r="N1368" s="0" t="str">
        <f aca="false">IF(I1368&lt;J1368,"ERRO","OK")</f>
        <v>OK</v>
      </c>
    </row>
    <row r="1369" customFormat="false" ht="25" hidden="false" customHeight="false" outlineLevel="0" collapsed="false">
      <c r="A1369" s="0" t="n">
        <v>72</v>
      </c>
      <c r="B1369" s="0" t="n">
        <v>2024</v>
      </c>
      <c r="C1369" s="3" t="n">
        <v>45569</v>
      </c>
      <c r="D1369" s="8" t="s">
        <v>15</v>
      </c>
      <c r="E1369" s="9" t="s">
        <v>33</v>
      </c>
      <c r="F1369" s="9" t="s">
        <v>17</v>
      </c>
      <c r="G1369" s="11" t="n">
        <v>48</v>
      </c>
      <c r="H1369" s="11" t="n">
        <v>48</v>
      </c>
      <c r="I1369" s="11" t="n">
        <v>54</v>
      </c>
      <c r="J1369" s="11" t="s">
        <v>177</v>
      </c>
      <c r="K1369" s="11" t="n">
        <v>48</v>
      </c>
      <c r="L1369" s="0" t="str">
        <f aca="false">IF(H1369&gt;I1369,"ERRO","OK")</f>
        <v>OK</v>
      </c>
      <c r="M1369" s="0" t="str">
        <f aca="false">IF(H1369&gt;J1369,"ERRO","OK")</f>
        <v>OK</v>
      </c>
      <c r="N1369" s="0" t="str">
        <f aca="false">IF(I1369&lt;J1369,"ERRO","OK")</f>
        <v>ERRO</v>
      </c>
    </row>
    <row r="1370" customFormat="false" ht="25" hidden="false" customHeight="false" outlineLevel="0" collapsed="false">
      <c r="A1370" s="0" t="n">
        <v>72</v>
      </c>
      <c r="B1370" s="0" t="n">
        <v>2024</v>
      </c>
      <c r="C1370" s="3" t="n">
        <v>45569</v>
      </c>
      <c r="D1370" s="4" t="s">
        <v>15</v>
      </c>
      <c r="E1370" s="5" t="s">
        <v>35</v>
      </c>
      <c r="F1370" s="5" t="s">
        <v>36</v>
      </c>
      <c r="G1370" s="7" t="n">
        <v>5</v>
      </c>
      <c r="H1370" s="7" t="n">
        <v>4</v>
      </c>
      <c r="I1370" s="7" t="n">
        <v>5</v>
      </c>
      <c r="J1370" s="7" t="s">
        <v>154</v>
      </c>
      <c r="K1370" s="7" t="n">
        <v>5</v>
      </c>
      <c r="L1370" s="0" t="str">
        <f aca="false">IF(H1370&gt;I1370,"ERRO","OK")</f>
        <v>OK</v>
      </c>
      <c r="M1370" s="0" t="str">
        <f aca="false">IF(H1370&gt;J1370,"ERRO","OK")</f>
        <v>OK</v>
      </c>
      <c r="N1370" s="0" t="str">
        <f aca="false">IF(I1370&lt;J1370,"ERRO","OK")</f>
        <v>ERRO</v>
      </c>
    </row>
    <row r="1371" customFormat="false" ht="25" hidden="false" customHeight="false" outlineLevel="0" collapsed="false">
      <c r="A1371" s="0" t="n">
        <v>72</v>
      </c>
      <c r="B1371" s="0" t="n">
        <v>2024</v>
      </c>
      <c r="C1371" s="3" t="n">
        <v>45569</v>
      </c>
      <c r="D1371" s="8" t="s">
        <v>15</v>
      </c>
      <c r="E1371" s="9" t="s">
        <v>38</v>
      </c>
      <c r="F1371" s="9" t="s">
        <v>39</v>
      </c>
      <c r="G1371" s="11" t="n">
        <v>12</v>
      </c>
      <c r="H1371" s="11" t="n">
        <v>12</v>
      </c>
      <c r="I1371" s="11" t="n">
        <v>15</v>
      </c>
      <c r="J1371" s="11" t="s">
        <v>349</v>
      </c>
      <c r="K1371" s="11" t="n">
        <v>12</v>
      </c>
      <c r="L1371" s="0" t="str">
        <f aca="false">IF(H1371&gt;I1371,"ERRO","OK")</f>
        <v>OK</v>
      </c>
      <c r="M1371" s="0" t="str">
        <f aca="false">IF(H1371&gt;J1371,"ERRO","OK")</f>
        <v>OK</v>
      </c>
      <c r="N1371" s="0" t="str">
        <f aca="false">IF(I1371&lt;J1371,"ERRO","OK")</f>
        <v>ERRO</v>
      </c>
    </row>
    <row r="1372" customFormat="false" ht="25" hidden="false" customHeight="false" outlineLevel="0" collapsed="false">
      <c r="A1372" s="0" t="n">
        <v>72</v>
      </c>
      <c r="B1372" s="0" t="n">
        <v>2024</v>
      </c>
      <c r="C1372" s="3" t="n">
        <v>45569</v>
      </c>
      <c r="D1372" s="4" t="s">
        <v>15</v>
      </c>
      <c r="E1372" s="5" t="s">
        <v>40</v>
      </c>
      <c r="F1372" s="5" t="s">
        <v>39</v>
      </c>
      <c r="G1372" s="7" t="n">
        <v>20</v>
      </c>
      <c r="H1372" s="7" t="n">
        <v>20</v>
      </c>
      <c r="I1372" s="7" t="n">
        <v>30</v>
      </c>
      <c r="J1372" s="7" t="s">
        <v>314</v>
      </c>
      <c r="K1372" s="7" t="s">
        <v>41</v>
      </c>
      <c r="L1372" s="0" t="str">
        <f aca="false">IF(H1372&gt;I1372,"ERRO","OK")</f>
        <v>OK</v>
      </c>
      <c r="M1372" s="0" t="str">
        <f aca="false">IF(H1372&gt;J1372,"ERRO","OK")</f>
        <v>OK</v>
      </c>
      <c r="N1372" s="0" t="str">
        <f aca="false">IF(I1372&lt;J1372,"ERRO","OK")</f>
        <v>ERRO</v>
      </c>
    </row>
    <row r="1373" customFormat="false" ht="36.5" hidden="false" customHeight="false" outlineLevel="0" collapsed="false">
      <c r="A1373" s="0" t="n">
        <v>72</v>
      </c>
      <c r="B1373" s="0" t="n">
        <v>2024</v>
      </c>
      <c r="C1373" s="3" t="n">
        <v>45569</v>
      </c>
      <c r="D1373" s="8" t="s">
        <v>42</v>
      </c>
      <c r="E1373" s="9" t="s">
        <v>157</v>
      </c>
      <c r="F1373" s="9" t="s">
        <v>158</v>
      </c>
      <c r="G1373" s="11" t="n">
        <v>80</v>
      </c>
      <c r="H1373" s="11" t="n">
        <v>75</v>
      </c>
      <c r="I1373" s="11" t="n">
        <v>80</v>
      </c>
      <c r="J1373" s="11" t="s">
        <v>266</v>
      </c>
      <c r="K1373" s="11" t="n">
        <v>80</v>
      </c>
      <c r="L1373" s="0" t="str">
        <f aca="false">IF(H1373&gt;I1373,"ERRO","OK")</f>
        <v>OK</v>
      </c>
      <c r="M1373" s="0" t="str">
        <f aca="false">IF(H1373&gt;J1373,"ERRO","OK")</f>
        <v>OK</v>
      </c>
      <c r="N1373" s="0" t="str">
        <f aca="false">IF(I1373&lt;J1373,"ERRO","OK")</f>
        <v>ERRO</v>
      </c>
    </row>
    <row r="1374" customFormat="false" ht="36.5" hidden="false" customHeight="false" outlineLevel="0" collapsed="false">
      <c r="A1374" s="0" t="n">
        <v>72</v>
      </c>
      <c r="B1374" s="0" t="n">
        <v>2024</v>
      </c>
      <c r="C1374" s="3" t="n">
        <v>45569</v>
      </c>
      <c r="D1374" s="4" t="s">
        <v>42</v>
      </c>
      <c r="E1374" s="5" t="s">
        <v>43</v>
      </c>
      <c r="F1374" s="5" t="s">
        <v>44</v>
      </c>
      <c r="G1374" s="7" t="n">
        <v>35</v>
      </c>
      <c r="H1374" s="7" t="n">
        <v>35</v>
      </c>
      <c r="I1374" s="7" t="n">
        <v>50</v>
      </c>
      <c r="J1374" s="7" t="s">
        <v>350</v>
      </c>
      <c r="K1374" s="7" t="n">
        <v>40</v>
      </c>
      <c r="L1374" s="0" t="str">
        <f aca="false">IF(H1374&gt;I1374,"ERRO","OK")</f>
        <v>OK</v>
      </c>
      <c r="M1374" s="0" t="str">
        <f aca="false">IF(H1374&gt;J1374,"ERRO","OK")</f>
        <v>OK</v>
      </c>
      <c r="N1374" s="0" t="str">
        <f aca="false">IF(I1374&lt;J1374,"ERRO","OK")</f>
        <v>ERRO</v>
      </c>
    </row>
    <row r="1375" customFormat="false" ht="36.5" hidden="false" customHeight="false" outlineLevel="0" collapsed="false">
      <c r="A1375" s="0" t="n">
        <v>72</v>
      </c>
      <c r="B1375" s="0" t="n">
        <v>2024</v>
      </c>
      <c r="C1375" s="3" t="n">
        <v>45569</v>
      </c>
      <c r="D1375" s="8" t="s">
        <v>42</v>
      </c>
      <c r="E1375" s="9" t="s">
        <v>46</v>
      </c>
      <c r="F1375" s="9" t="s">
        <v>47</v>
      </c>
      <c r="G1375" s="11" t="n">
        <v>70</v>
      </c>
      <c r="H1375" s="11" t="n">
        <v>45</v>
      </c>
      <c r="I1375" s="11" t="n">
        <v>70</v>
      </c>
      <c r="J1375" s="11" t="s">
        <v>84</v>
      </c>
      <c r="K1375" s="11" t="s">
        <v>88</v>
      </c>
      <c r="L1375" s="0" t="str">
        <f aca="false">IF(H1375&gt;I1375,"ERRO","OK")</f>
        <v>OK</v>
      </c>
      <c r="M1375" s="0" t="str">
        <f aca="false">IF(H1375&gt;J1375,"ERRO","OK")</f>
        <v>OK</v>
      </c>
      <c r="N1375" s="0" t="str">
        <f aca="false">IF(I1375&lt;J1375,"ERRO","OK")</f>
        <v>ERRO</v>
      </c>
    </row>
    <row r="1376" customFormat="false" ht="36.5" hidden="false" customHeight="false" outlineLevel="0" collapsed="false">
      <c r="A1376" s="0" t="n">
        <v>72</v>
      </c>
      <c r="B1376" s="0" t="n">
        <v>2024</v>
      </c>
      <c r="C1376" s="3" t="n">
        <v>45569</v>
      </c>
      <c r="D1376" s="4" t="s">
        <v>42</v>
      </c>
      <c r="E1376" s="5" t="s">
        <v>48</v>
      </c>
      <c r="F1376" s="5" t="s">
        <v>49</v>
      </c>
      <c r="G1376" s="7" t="n">
        <v>60</v>
      </c>
      <c r="H1376" s="7" t="n">
        <v>50</v>
      </c>
      <c r="I1376" s="7" t="n">
        <v>60</v>
      </c>
      <c r="J1376" s="7" t="s">
        <v>45</v>
      </c>
      <c r="K1376" s="7" t="n">
        <v>60</v>
      </c>
      <c r="L1376" s="0" t="str">
        <f aca="false">IF(H1376&gt;I1376,"ERRO","OK")</f>
        <v>OK</v>
      </c>
      <c r="M1376" s="0" t="str">
        <f aca="false">IF(H1376&gt;J1376,"ERRO","OK")</f>
        <v>OK</v>
      </c>
      <c r="N1376" s="0" t="str">
        <f aca="false">IF(I1376&lt;J1376,"ERRO","OK")</f>
        <v>ERRO</v>
      </c>
    </row>
    <row r="1377" customFormat="false" ht="36.5" hidden="false" customHeight="false" outlineLevel="0" collapsed="false">
      <c r="A1377" s="0" t="n">
        <v>72</v>
      </c>
      <c r="B1377" s="0" t="n">
        <v>2024</v>
      </c>
      <c r="C1377" s="3" t="n">
        <v>45569</v>
      </c>
      <c r="D1377" s="8" t="s">
        <v>42</v>
      </c>
      <c r="E1377" s="9" t="s">
        <v>52</v>
      </c>
      <c r="F1377" s="9" t="s">
        <v>49</v>
      </c>
      <c r="G1377" s="10"/>
      <c r="H1377" s="11" t="n">
        <v>75</v>
      </c>
      <c r="I1377" s="11" t="n">
        <v>120</v>
      </c>
      <c r="J1377" s="11" t="s">
        <v>160</v>
      </c>
      <c r="K1377" s="11" t="s">
        <v>160</v>
      </c>
      <c r="L1377" s="0" t="str">
        <f aca="false">IF(H1377&gt;I1377,"ERRO","OK")</f>
        <v>OK</v>
      </c>
      <c r="M1377" s="0" t="str">
        <f aca="false">IF(H1377&gt;J1377,"ERRO","OK")</f>
        <v>OK</v>
      </c>
      <c r="N1377" s="0" t="str">
        <f aca="false">IF(I1377&lt;J1377,"ERRO","OK")</f>
        <v>ERRO</v>
      </c>
    </row>
    <row r="1378" customFormat="false" ht="36.5" hidden="false" customHeight="false" outlineLevel="0" collapsed="false">
      <c r="A1378" s="0" t="n">
        <v>72</v>
      </c>
      <c r="B1378" s="0" t="n">
        <v>2024</v>
      </c>
      <c r="C1378" s="3" t="n">
        <v>45569</v>
      </c>
      <c r="D1378" s="4" t="s">
        <v>42</v>
      </c>
      <c r="E1378" s="5" t="s">
        <v>53</v>
      </c>
      <c r="F1378" s="5" t="s">
        <v>54</v>
      </c>
      <c r="G1378" s="6"/>
      <c r="H1378" s="7" t="n">
        <v>60</v>
      </c>
      <c r="I1378" s="7" t="n">
        <v>80</v>
      </c>
      <c r="J1378" s="7" t="s">
        <v>98</v>
      </c>
      <c r="K1378" s="7" t="s">
        <v>88</v>
      </c>
      <c r="L1378" s="0" t="str">
        <f aca="false">IF(H1378&gt;I1378,"ERRO","OK")</f>
        <v>OK</v>
      </c>
      <c r="M1378" s="0" t="str">
        <f aca="false">IF(H1378&gt;J1378,"ERRO","OK")</f>
        <v>OK</v>
      </c>
      <c r="N1378" s="0" t="str">
        <f aca="false">IF(I1378&lt;J1378,"ERRO","OK")</f>
        <v>ERRO</v>
      </c>
    </row>
    <row r="1379" customFormat="false" ht="36.5" hidden="false" customHeight="false" outlineLevel="0" collapsed="false">
      <c r="A1379" s="0" t="n">
        <v>72</v>
      </c>
      <c r="B1379" s="0" t="n">
        <v>2024</v>
      </c>
      <c r="C1379" s="3" t="n">
        <v>45569</v>
      </c>
      <c r="D1379" s="8" t="s">
        <v>42</v>
      </c>
      <c r="E1379" s="9" t="s">
        <v>56</v>
      </c>
      <c r="F1379" s="9" t="s">
        <v>47</v>
      </c>
      <c r="G1379" s="11" t="n">
        <v>55</v>
      </c>
      <c r="H1379" s="11" t="n">
        <v>30</v>
      </c>
      <c r="I1379" s="11" t="n">
        <v>60</v>
      </c>
      <c r="J1379" s="11" t="n">
        <v>50</v>
      </c>
      <c r="K1379" s="11" t="n">
        <v>55</v>
      </c>
      <c r="L1379" s="0" t="str">
        <f aca="false">IF(H1379&gt;I1379,"ERRO","OK")</f>
        <v>OK</v>
      </c>
      <c r="M1379" s="0" t="str">
        <f aca="false">IF(H1379&gt;J1379,"ERRO","OK")</f>
        <v>OK</v>
      </c>
      <c r="N1379" s="0" t="str">
        <f aca="false">IF(I1379&lt;J1379,"ERRO","OK")</f>
        <v>OK</v>
      </c>
    </row>
    <row r="1380" customFormat="false" ht="36.5" hidden="false" customHeight="false" outlineLevel="0" collapsed="false">
      <c r="A1380" s="0" t="n">
        <v>72</v>
      </c>
      <c r="B1380" s="0" t="n">
        <v>2024</v>
      </c>
      <c r="C1380" s="3" t="n">
        <v>45569</v>
      </c>
      <c r="D1380" s="4" t="s">
        <v>42</v>
      </c>
      <c r="E1380" s="5" t="s">
        <v>57</v>
      </c>
      <c r="F1380" s="5" t="s">
        <v>47</v>
      </c>
      <c r="G1380" s="7" t="n">
        <v>60</v>
      </c>
      <c r="H1380" s="7" t="n">
        <v>60</v>
      </c>
      <c r="I1380" s="7" t="n">
        <v>85</v>
      </c>
      <c r="J1380" s="7" t="s">
        <v>88</v>
      </c>
      <c r="K1380" s="7" t="s">
        <v>84</v>
      </c>
      <c r="L1380" s="0" t="str">
        <f aca="false">IF(H1380&gt;I1380,"ERRO","OK")</f>
        <v>OK</v>
      </c>
      <c r="M1380" s="0" t="str">
        <f aca="false">IF(H1380&gt;J1380,"ERRO","OK")</f>
        <v>OK</v>
      </c>
      <c r="N1380" s="0" t="str">
        <f aca="false">IF(I1380&lt;J1380,"ERRO","OK")</f>
        <v>ERRO</v>
      </c>
    </row>
    <row r="1381" customFormat="false" ht="36.5" hidden="false" customHeight="false" outlineLevel="0" collapsed="false">
      <c r="A1381" s="0" t="n">
        <v>72</v>
      </c>
      <c r="B1381" s="0" t="n">
        <v>2024</v>
      </c>
      <c r="C1381" s="3" t="n">
        <v>45569</v>
      </c>
      <c r="D1381" s="8" t="s">
        <v>42</v>
      </c>
      <c r="E1381" s="9" t="s">
        <v>58</v>
      </c>
      <c r="F1381" s="9" t="s">
        <v>44</v>
      </c>
      <c r="G1381" s="11" t="n">
        <v>120</v>
      </c>
      <c r="H1381" s="11" t="n">
        <v>120</v>
      </c>
      <c r="I1381" s="11" t="n">
        <v>120</v>
      </c>
      <c r="J1381" s="11" t="n">
        <v>120</v>
      </c>
      <c r="K1381" s="11" t="n">
        <v>120</v>
      </c>
      <c r="L1381" s="0" t="str">
        <f aca="false">IF(H1381&gt;I1381,"ERRO","OK")</f>
        <v>OK</v>
      </c>
      <c r="M1381" s="0" t="str">
        <f aca="false">IF(H1381&gt;J1381,"ERRO","OK")</f>
        <v>OK</v>
      </c>
      <c r="N1381" s="0" t="str">
        <f aca="false">IF(I1381&lt;J1381,"ERRO","OK")</f>
        <v>OK</v>
      </c>
    </row>
    <row r="1382" customFormat="false" ht="36.5" hidden="false" customHeight="false" outlineLevel="0" collapsed="false">
      <c r="A1382" s="0" t="n">
        <v>72</v>
      </c>
      <c r="B1382" s="0" t="n">
        <v>2024</v>
      </c>
      <c r="C1382" s="3" t="n">
        <v>45569</v>
      </c>
      <c r="D1382" s="4" t="s">
        <v>42</v>
      </c>
      <c r="E1382" s="5" t="s">
        <v>60</v>
      </c>
      <c r="F1382" s="5" t="s">
        <v>47</v>
      </c>
      <c r="G1382" s="6"/>
      <c r="H1382" s="7" t="n">
        <v>50</v>
      </c>
      <c r="I1382" s="7" t="n">
        <v>50</v>
      </c>
      <c r="J1382" s="7" t="n">
        <v>50</v>
      </c>
      <c r="K1382" s="7" t="n">
        <v>50</v>
      </c>
      <c r="L1382" s="0" t="str">
        <f aca="false">IF(H1382&gt;I1382,"ERRO","OK")</f>
        <v>OK</v>
      </c>
      <c r="M1382" s="0" t="str">
        <f aca="false">IF(H1382&gt;J1382,"ERRO","OK")</f>
        <v>OK</v>
      </c>
      <c r="N1382" s="0" t="str">
        <f aca="false">IF(I1382&lt;J1382,"ERRO","OK")</f>
        <v>OK</v>
      </c>
    </row>
    <row r="1383" customFormat="false" ht="36.5" hidden="false" customHeight="false" outlineLevel="0" collapsed="false">
      <c r="A1383" s="0" t="n">
        <v>72</v>
      </c>
      <c r="B1383" s="0" t="n">
        <v>2024</v>
      </c>
      <c r="C1383" s="3" t="n">
        <v>45569</v>
      </c>
      <c r="D1383" s="8" t="s">
        <v>42</v>
      </c>
      <c r="E1383" s="9" t="s">
        <v>61</v>
      </c>
      <c r="F1383" s="9" t="s">
        <v>44</v>
      </c>
      <c r="G1383" s="11" t="n">
        <v>100</v>
      </c>
      <c r="H1383" s="11" t="n">
        <v>100</v>
      </c>
      <c r="I1383" s="11" t="n">
        <v>100</v>
      </c>
      <c r="J1383" s="11" t="n">
        <v>100</v>
      </c>
      <c r="K1383" s="11" t="n">
        <v>100</v>
      </c>
      <c r="L1383" s="0" t="str">
        <f aca="false">IF(H1383&gt;I1383,"ERRO","OK")</f>
        <v>OK</v>
      </c>
      <c r="M1383" s="0" t="str">
        <f aca="false">IF(H1383&gt;J1383,"ERRO","OK")</f>
        <v>OK</v>
      </c>
      <c r="N1383" s="0" t="str">
        <f aca="false">IF(I1383&lt;J1383,"ERRO","OK")</f>
        <v>OK</v>
      </c>
    </row>
    <row r="1384" customFormat="false" ht="36.5" hidden="false" customHeight="false" outlineLevel="0" collapsed="false">
      <c r="A1384" s="0" t="n">
        <v>72</v>
      </c>
      <c r="B1384" s="0" t="n">
        <v>2024</v>
      </c>
      <c r="C1384" s="3" t="n">
        <v>45569</v>
      </c>
      <c r="D1384" s="4" t="s">
        <v>42</v>
      </c>
      <c r="E1384" s="5" t="s">
        <v>62</v>
      </c>
      <c r="F1384" s="5" t="s">
        <v>44</v>
      </c>
      <c r="G1384" s="7" t="n">
        <v>120</v>
      </c>
      <c r="H1384" s="7" t="n">
        <v>120</v>
      </c>
      <c r="I1384" s="7" t="n">
        <v>140</v>
      </c>
      <c r="J1384" s="7" t="s">
        <v>244</v>
      </c>
      <c r="K1384" s="7" t="n">
        <v>125</v>
      </c>
      <c r="L1384" s="0" t="str">
        <f aca="false">IF(H1384&gt;I1384,"ERRO","OK")</f>
        <v>OK</v>
      </c>
      <c r="M1384" s="0" t="str">
        <f aca="false">IF(H1384&gt;J1384,"ERRO","OK")</f>
        <v>OK</v>
      </c>
      <c r="N1384" s="0" t="str">
        <f aca="false">IF(I1384&lt;J1384,"ERRO","OK")</f>
        <v>ERRO</v>
      </c>
    </row>
    <row r="1385" customFormat="false" ht="36.5" hidden="false" customHeight="false" outlineLevel="0" collapsed="false">
      <c r="A1385" s="0" t="n">
        <v>72</v>
      </c>
      <c r="B1385" s="0" t="n">
        <v>2024</v>
      </c>
      <c r="C1385" s="3" t="n">
        <v>45569</v>
      </c>
      <c r="D1385" s="8" t="s">
        <v>42</v>
      </c>
      <c r="E1385" s="9" t="s">
        <v>63</v>
      </c>
      <c r="F1385" s="9" t="s">
        <v>49</v>
      </c>
      <c r="G1385" s="10"/>
      <c r="H1385" s="11" t="n">
        <v>45</v>
      </c>
      <c r="I1385" s="11" t="n">
        <v>80</v>
      </c>
      <c r="J1385" s="11" t="n">
        <v>60</v>
      </c>
      <c r="K1385" s="11" t="s">
        <v>45</v>
      </c>
      <c r="L1385" s="0" t="str">
        <f aca="false">IF(H1385&gt;I1385,"ERRO","OK")</f>
        <v>OK</v>
      </c>
      <c r="M1385" s="0" t="str">
        <f aca="false">IF(H1385&gt;J1385,"ERRO","OK")</f>
        <v>OK</v>
      </c>
      <c r="N1385" s="0" t="str">
        <f aca="false">IF(I1385&lt;J1385,"ERRO","OK")</f>
        <v>OK</v>
      </c>
    </row>
    <row r="1386" customFormat="false" ht="36.5" hidden="false" customHeight="false" outlineLevel="0" collapsed="false">
      <c r="A1386" s="0" t="n">
        <v>72</v>
      </c>
      <c r="B1386" s="0" t="n">
        <v>2024</v>
      </c>
      <c r="C1386" s="3" t="n">
        <v>45569</v>
      </c>
      <c r="D1386" s="4" t="s">
        <v>42</v>
      </c>
      <c r="E1386" s="5" t="s">
        <v>64</v>
      </c>
      <c r="F1386" s="5" t="s">
        <v>65</v>
      </c>
      <c r="G1386" s="7" t="n">
        <v>140</v>
      </c>
      <c r="H1386" s="7" t="n">
        <v>140</v>
      </c>
      <c r="I1386" s="7" t="n">
        <v>175</v>
      </c>
      <c r="J1386" s="7" t="s">
        <v>351</v>
      </c>
      <c r="K1386" s="7" t="n">
        <v>145</v>
      </c>
      <c r="L1386" s="0" t="str">
        <f aca="false">IF(H1386&gt;I1386,"ERRO","OK")</f>
        <v>OK</v>
      </c>
      <c r="M1386" s="0" t="str">
        <f aca="false">IF(H1386&gt;J1386,"ERRO","OK")</f>
        <v>OK</v>
      </c>
      <c r="N1386" s="0" t="str">
        <f aca="false">IF(I1386&lt;J1386,"ERRO","OK")</f>
        <v>ERRO</v>
      </c>
    </row>
    <row r="1387" customFormat="false" ht="36.5" hidden="false" customHeight="false" outlineLevel="0" collapsed="false">
      <c r="A1387" s="0" t="n">
        <v>72</v>
      </c>
      <c r="B1387" s="0" t="n">
        <v>2024</v>
      </c>
      <c r="C1387" s="3" t="n">
        <v>45569</v>
      </c>
      <c r="D1387" s="8" t="s">
        <v>42</v>
      </c>
      <c r="E1387" s="9" t="s">
        <v>67</v>
      </c>
      <c r="F1387" s="9" t="s">
        <v>44</v>
      </c>
      <c r="G1387" s="11" t="n">
        <v>80</v>
      </c>
      <c r="H1387" s="11" t="n">
        <v>45</v>
      </c>
      <c r="I1387" s="11" t="n">
        <v>90</v>
      </c>
      <c r="J1387" s="11" t="s">
        <v>352</v>
      </c>
      <c r="K1387" s="11" t="n">
        <v>80</v>
      </c>
      <c r="L1387" s="0" t="str">
        <f aca="false">IF(H1387&gt;I1387,"ERRO","OK")</f>
        <v>OK</v>
      </c>
      <c r="M1387" s="0" t="str">
        <f aca="false">IF(H1387&gt;J1387,"ERRO","OK")</f>
        <v>OK</v>
      </c>
      <c r="N1387" s="0" t="str">
        <f aca="false">IF(I1387&lt;J1387,"ERRO","OK")</f>
        <v>ERRO</v>
      </c>
    </row>
    <row r="1388" customFormat="false" ht="36.5" hidden="false" customHeight="false" outlineLevel="0" collapsed="false">
      <c r="A1388" s="0" t="n">
        <v>72</v>
      </c>
      <c r="B1388" s="0" t="n">
        <v>2024</v>
      </c>
      <c r="C1388" s="3" t="n">
        <v>45569</v>
      </c>
      <c r="D1388" s="4" t="s">
        <v>42</v>
      </c>
      <c r="E1388" s="5" t="s">
        <v>68</v>
      </c>
      <c r="F1388" s="5" t="s">
        <v>44</v>
      </c>
      <c r="G1388" s="7" t="n">
        <v>110</v>
      </c>
      <c r="H1388" s="7" t="n">
        <v>110</v>
      </c>
      <c r="I1388" s="7" t="n">
        <v>120</v>
      </c>
      <c r="J1388" s="7" t="s">
        <v>218</v>
      </c>
      <c r="K1388" s="7" t="n">
        <v>110</v>
      </c>
      <c r="L1388" s="0" t="str">
        <f aca="false">IF(H1388&gt;I1388,"ERRO","OK")</f>
        <v>OK</v>
      </c>
      <c r="M1388" s="0" t="str">
        <f aca="false">IF(H1388&gt;J1388,"ERRO","OK")</f>
        <v>OK</v>
      </c>
      <c r="N1388" s="0" t="str">
        <f aca="false">IF(I1388&lt;J1388,"ERRO","OK")</f>
        <v>ERRO</v>
      </c>
    </row>
    <row r="1389" customFormat="false" ht="14.25" hidden="false" customHeight="false" outlineLevel="0" collapsed="false">
      <c r="A1389" s="0" t="n">
        <v>72</v>
      </c>
      <c r="B1389" s="0" t="n">
        <v>2024</v>
      </c>
      <c r="C1389" s="3" t="n">
        <v>45569</v>
      </c>
      <c r="D1389" s="8" t="s">
        <v>69</v>
      </c>
      <c r="E1389" s="9" t="s">
        <v>70</v>
      </c>
      <c r="F1389" s="9" t="s">
        <v>49</v>
      </c>
      <c r="G1389" s="10"/>
      <c r="H1389" s="10"/>
      <c r="I1389" s="10"/>
      <c r="J1389" s="10"/>
      <c r="K1389" s="10"/>
      <c r="L1389" s="0" t="str">
        <f aca="false">IF(H1389&gt;I1389,"ERRO","OK")</f>
        <v>OK</v>
      </c>
      <c r="M1389" s="0" t="str">
        <f aca="false">IF(H1389&gt;J1389,"ERRO","OK")</f>
        <v>OK</v>
      </c>
      <c r="N1389" s="0" t="str">
        <f aca="false">IF(I1389&lt;J1389,"ERRO","OK")</f>
        <v>OK</v>
      </c>
    </row>
    <row r="1390" customFormat="false" ht="14.25" hidden="false" customHeight="false" outlineLevel="0" collapsed="false">
      <c r="A1390" s="0" t="n">
        <v>72</v>
      </c>
      <c r="B1390" s="0" t="n">
        <v>2024</v>
      </c>
      <c r="C1390" s="3" t="n">
        <v>45569</v>
      </c>
      <c r="D1390" s="4" t="s">
        <v>69</v>
      </c>
      <c r="E1390" s="5" t="s">
        <v>71</v>
      </c>
      <c r="F1390" s="5" t="s">
        <v>49</v>
      </c>
      <c r="G1390" s="6"/>
      <c r="H1390" s="6"/>
      <c r="I1390" s="6"/>
      <c r="J1390" s="6"/>
      <c r="K1390" s="6"/>
      <c r="L1390" s="0" t="str">
        <f aca="false">IF(H1390&gt;I1390,"ERRO","OK")</f>
        <v>OK</v>
      </c>
      <c r="M1390" s="0" t="str">
        <f aca="false">IF(H1390&gt;J1390,"ERRO","OK")</f>
        <v>OK</v>
      </c>
      <c r="N1390" s="0" t="str">
        <f aca="false">IF(I1390&lt;J1390,"ERRO","OK")</f>
        <v>OK</v>
      </c>
    </row>
    <row r="1391" customFormat="false" ht="14.25" hidden="false" customHeight="false" outlineLevel="0" collapsed="false">
      <c r="A1391" s="0" t="n">
        <v>72</v>
      </c>
      <c r="B1391" s="0" t="n">
        <v>2024</v>
      </c>
      <c r="C1391" s="3" t="n">
        <v>45569</v>
      </c>
      <c r="D1391" s="8" t="s">
        <v>69</v>
      </c>
      <c r="E1391" s="9" t="s">
        <v>72</v>
      </c>
      <c r="F1391" s="9" t="s">
        <v>49</v>
      </c>
      <c r="G1391" s="10"/>
      <c r="H1391" s="10"/>
      <c r="I1391" s="10"/>
      <c r="J1391" s="10"/>
      <c r="K1391" s="10"/>
      <c r="L1391" s="0" t="str">
        <f aca="false">IF(H1391&gt;I1391,"ERRO","OK")</f>
        <v>OK</v>
      </c>
      <c r="M1391" s="0" t="str">
        <f aca="false">IF(H1391&gt;J1391,"ERRO","OK")</f>
        <v>OK</v>
      </c>
      <c r="N1391" s="0" t="str">
        <f aca="false">IF(I1391&lt;J1391,"ERRO","OK")</f>
        <v>OK</v>
      </c>
    </row>
    <row r="1392" customFormat="false" ht="14.25" hidden="false" customHeight="false" outlineLevel="0" collapsed="false">
      <c r="A1392" s="0" t="n">
        <v>72</v>
      </c>
      <c r="B1392" s="0" t="n">
        <v>2024</v>
      </c>
      <c r="C1392" s="3" t="n">
        <v>45569</v>
      </c>
      <c r="D1392" s="4" t="s">
        <v>69</v>
      </c>
      <c r="E1392" s="5" t="s">
        <v>73</v>
      </c>
      <c r="F1392" s="5" t="s">
        <v>49</v>
      </c>
      <c r="G1392" s="6"/>
      <c r="H1392" s="7" t="n">
        <v>60</v>
      </c>
      <c r="I1392" s="7" t="n">
        <v>60</v>
      </c>
      <c r="J1392" s="7" t="n">
        <v>60</v>
      </c>
      <c r="K1392" s="7" t="n">
        <v>60</v>
      </c>
      <c r="L1392" s="0" t="str">
        <f aca="false">IF(H1392&gt;I1392,"ERRO","OK")</f>
        <v>OK</v>
      </c>
      <c r="M1392" s="0" t="str">
        <f aca="false">IF(H1392&gt;J1392,"ERRO","OK")</f>
        <v>OK</v>
      </c>
      <c r="N1392" s="0" t="str">
        <f aca="false">IF(I1392&lt;J1392,"ERRO","OK")</f>
        <v>OK</v>
      </c>
    </row>
    <row r="1393" customFormat="false" ht="14.25" hidden="false" customHeight="false" outlineLevel="0" collapsed="false">
      <c r="A1393" s="0" t="n">
        <v>72</v>
      </c>
      <c r="B1393" s="0" t="n">
        <v>2024</v>
      </c>
      <c r="C1393" s="3" t="n">
        <v>45569</v>
      </c>
      <c r="D1393" s="8" t="s">
        <v>69</v>
      </c>
      <c r="E1393" s="9" t="s">
        <v>74</v>
      </c>
      <c r="F1393" s="9" t="s">
        <v>75</v>
      </c>
      <c r="G1393" s="10"/>
      <c r="H1393" s="10"/>
      <c r="I1393" s="10"/>
      <c r="J1393" s="10"/>
      <c r="K1393" s="10"/>
      <c r="L1393" s="0" t="str">
        <f aca="false">IF(H1393&gt;I1393,"ERRO","OK")</f>
        <v>OK</v>
      </c>
      <c r="M1393" s="0" t="str">
        <f aca="false">IF(H1393&gt;J1393,"ERRO","OK")</f>
        <v>OK</v>
      </c>
      <c r="N1393" s="0" t="str">
        <f aca="false">IF(I1393&lt;J1393,"ERRO","OK")</f>
        <v>OK</v>
      </c>
    </row>
    <row r="1394" customFormat="false" ht="25" hidden="false" customHeight="false" outlineLevel="0" collapsed="false">
      <c r="A1394" s="0" t="n">
        <v>73</v>
      </c>
      <c r="B1394" s="0" t="n">
        <v>2024</v>
      </c>
      <c r="C1394" s="3" t="n">
        <v>45576</v>
      </c>
      <c r="D1394" s="4" t="s">
        <v>15</v>
      </c>
      <c r="E1394" s="5" t="s">
        <v>16</v>
      </c>
      <c r="F1394" s="5" t="s">
        <v>17</v>
      </c>
      <c r="G1394" s="7" t="n">
        <v>48</v>
      </c>
      <c r="H1394" s="7" t="n">
        <v>36</v>
      </c>
      <c r="I1394" s="7" t="n">
        <v>60</v>
      </c>
      <c r="J1394" s="7" t="n">
        <v>48</v>
      </c>
      <c r="K1394" s="7" t="n">
        <v>48</v>
      </c>
      <c r="L1394" s="0" t="str">
        <f aca="false">IF(H1394&gt;I1394,"ERRO","OK")</f>
        <v>OK</v>
      </c>
      <c r="M1394" s="0" t="str">
        <f aca="false">IF(H1394&gt;J1394,"ERRO","OK")</f>
        <v>OK</v>
      </c>
      <c r="N1394" s="0" t="str">
        <f aca="false">IF(I1394&lt;J1394,"ERRO","OK")</f>
        <v>OK</v>
      </c>
    </row>
    <row r="1395" customFormat="false" ht="25" hidden="false" customHeight="false" outlineLevel="0" collapsed="false">
      <c r="A1395" s="0" t="n">
        <v>73</v>
      </c>
      <c r="B1395" s="0" t="n">
        <v>2024</v>
      </c>
      <c r="C1395" s="3" t="n">
        <v>45576</v>
      </c>
      <c r="D1395" s="8" t="s">
        <v>15</v>
      </c>
      <c r="E1395" s="9" t="s">
        <v>18</v>
      </c>
      <c r="F1395" s="9" t="s">
        <v>17</v>
      </c>
      <c r="G1395" s="11" t="n">
        <v>84</v>
      </c>
      <c r="H1395" s="11" t="n">
        <v>72</v>
      </c>
      <c r="I1395" s="11" t="n">
        <v>84</v>
      </c>
      <c r="J1395" s="11" t="n">
        <v>80</v>
      </c>
      <c r="K1395" s="11" t="n">
        <v>84</v>
      </c>
      <c r="L1395" s="0" t="str">
        <f aca="false">IF(H1395&gt;I1395,"ERRO","OK")</f>
        <v>OK</v>
      </c>
      <c r="M1395" s="0" t="str">
        <f aca="false">IF(H1395&gt;J1395,"ERRO","OK")</f>
        <v>OK</v>
      </c>
      <c r="N1395" s="0" t="str">
        <f aca="false">IF(I1395&lt;J1395,"ERRO","OK")</f>
        <v>OK</v>
      </c>
    </row>
    <row r="1396" customFormat="false" ht="25" hidden="false" customHeight="false" outlineLevel="0" collapsed="false">
      <c r="A1396" s="0" t="n">
        <v>73</v>
      </c>
      <c r="B1396" s="0" t="n">
        <v>2024</v>
      </c>
      <c r="C1396" s="3" t="n">
        <v>45576</v>
      </c>
      <c r="D1396" s="4" t="s">
        <v>15</v>
      </c>
      <c r="E1396" s="5" t="s">
        <v>19</v>
      </c>
      <c r="F1396" s="5" t="s">
        <v>17</v>
      </c>
      <c r="G1396" s="7" t="n">
        <v>36</v>
      </c>
      <c r="H1396" s="7" t="n">
        <v>25</v>
      </c>
      <c r="I1396" s="7" t="n">
        <v>42</v>
      </c>
      <c r="J1396" s="7" t="s">
        <v>353</v>
      </c>
      <c r="K1396" s="7" t="n">
        <v>36</v>
      </c>
      <c r="L1396" s="0" t="str">
        <f aca="false">IF(H1396&gt;I1396,"ERRO","OK")</f>
        <v>OK</v>
      </c>
      <c r="M1396" s="0" t="str">
        <f aca="false">IF(H1396&gt;J1396,"ERRO","OK")</f>
        <v>OK</v>
      </c>
      <c r="N1396" s="0" t="str">
        <f aca="false">IF(I1396&lt;J1396,"ERRO","OK")</f>
        <v>ERRO</v>
      </c>
    </row>
    <row r="1397" customFormat="false" ht="25" hidden="false" customHeight="false" outlineLevel="0" collapsed="false">
      <c r="A1397" s="0" t="n">
        <v>73</v>
      </c>
      <c r="B1397" s="0" t="n">
        <v>2024</v>
      </c>
      <c r="C1397" s="3" t="n">
        <v>45576</v>
      </c>
      <c r="D1397" s="8" t="s">
        <v>15</v>
      </c>
      <c r="E1397" s="9" t="s">
        <v>20</v>
      </c>
      <c r="F1397" s="9" t="s">
        <v>17</v>
      </c>
      <c r="G1397" s="11" t="n">
        <v>18</v>
      </c>
      <c r="H1397" s="11" t="n">
        <v>18</v>
      </c>
      <c r="I1397" s="11" t="n">
        <v>24</v>
      </c>
      <c r="J1397" s="11" t="n">
        <v>21</v>
      </c>
      <c r="K1397" s="11" t="n">
        <v>21</v>
      </c>
      <c r="L1397" s="0" t="str">
        <f aca="false">IF(H1397&gt;I1397,"ERRO","OK")</f>
        <v>OK</v>
      </c>
      <c r="M1397" s="0" t="str">
        <f aca="false">IF(H1397&gt;J1397,"ERRO","OK")</f>
        <v>OK</v>
      </c>
      <c r="N1397" s="0" t="str">
        <f aca="false">IF(I1397&lt;J1397,"ERRO","OK")</f>
        <v>OK</v>
      </c>
    </row>
    <row r="1398" customFormat="false" ht="25" hidden="false" customHeight="false" outlineLevel="0" collapsed="false">
      <c r="A1398" s="0" t="n">
        <v>73</v>
      </c>
      <c r="B1398" s="0" t="n">
        <v>2024</v>
      </c>
      <c r="C1398" s="3" t="n">
        <v>45576</v>
      </c>
      <c r="D1398" s="4" t="s">
        <v>15</v>
      </c>
      <c r="E1398" s="5" t="s">
        <v>21</v>
      </c>
      <c r="F1398" s="5" t="s">
        <v>17</v>
      </c>
      <c r="G1398" s="7" t="n">
        <v>18</v>
      </c>
      <c r="H1398" s="7" t="n">
        <v>18</v>
      </c>
      <c r="I1398" s="7" t="n">
        <v>24</v>
      </c>
      <c r="J1398" s="7" t="n">
        <v>21</v>
      </c>
      <c r="K1398" s="7" t="n">
        <v>21</v>
      </c>
      <c r="L1398" s="0" t="str">
        <f aca="false">IF(H1398&gt;I1398,"ERRO","OK")</f>
        <v>OK</v>
      </c>
      <c r="M1398" s="0" t="str">
        <f aca="false">IF(H1398&gt;J1398,"ERRO","OK")</f>
        <v>OK</v>
      </c>
      <c r="N1398" s="0" t="str">
        <f aca="false">IF(I1398&lt;J1398,"ERRO","OK")</f>
        <v>OK</v>
      </c>
    </row>
    <row r="1399" customFormat="false" ht="25" hidden="false" customHeight="false" outlineLevel="0" collapsed="false">
      <c r="A1399" s="0" t="n">
        <v>73</v>
      </c>
      <c r="B1399" s="0" t="n">
        <v>2024</v>
      </c>
      <c r="C1399" s="3" t="n">
        <v>45576</v>
      </c>
      <c r="D1399" s="8" t="s">
        <v>15</v>
      </c>
      <c r="E1399" s="9" t="s">
        <v>22</v>
      </c>
      <c r="F1399" s="9" t="s">
        <v>17</v>
      </c>
      <c r="G1399" s="11" t="n">
        <v>60</v>
      </c>
      <c r="H1399" s="11" t="n">
        <v>60</v>
      </c>
      <c r="I1399" s="11" t="n">
        <v>60</v>
      </c>
      <c r="J1399" s="11" t="n">
        <v>60</v>
      </c>
      <c r="K1399" s="11" t="n">
        <v>60</v>
      </c>
      <c r="L1399" s="0" t="str">
        <f aca="false">IF(H1399&gt;I1399,"ERRO","OK")</f>
        <v>OK</v>
      </c>
      <c r="M1399" s="0" t="str">
        <f aca="false">IF(H1399&gt;J1399,"ERRO","OK")</f>
        <v>OK</v>
      </c>
      <c r="N1399" s="0" t="str">
        <f aca="false">IF(I1399&lt;J1399,"ERRO","OK")</f>
        <v>OK</v>
      </c>
    </row>
    <row r="1400" customFormat="false" ht="25" hidden="false" customHeight="false" outlineLevel="0" collapsed="false">
      <c r="A1400" s="0" t="n">
        <v>73</v>
      </c>
      <c r="B1400" s="0" t="n">
        <v>2024</v>
      </c>
      <c r="C1400" s="3" t="n">
        <v>45576</v>
      </c>
      <c r="D1400" s="4" t="s">
        <v>15</v>
      </c>
      <c r="E1400" s="5" t="s">
        <v>23</v>
      </c>
      <c r="F1400" s="5" t="s">
        <v>17</v>
      </c>
      <c r="G1400" s="6"/>
      <c r="H1400" s="7" t="n">
        <v>42</v>
      </c>
      <c r="I1400" s="7" t="n">
        <v>72</v>
      </c>
      <c r="J1400" s="7" t="n">
        <v>58</v>
      </c>
      <c r="K1400" s="7" t="n">
        <v>60</v>
      </c>
      <c r="L1400" s="0" t="str">
        <f aca="false">IF(H1400&gt;I1400,"ERRO","OK")</f>
        <v>OK</v>
      </c>
      <c r="M1400" s="0" t="str">
        <f aca="false">IF(H1400&gt;J1400,"ERRO","OK")</f>
        <v>OK</v>
      </c>
      <c r="N1400" s="0" t="str">
        <f aca="false">IF(I1400&lt;J1400,"ERRO","OK")</f>
        <v>OK</v>
      </c>
    </row>
    <row r="1401" customFormat="false" ht="25" hidden="false" customHeight="false" outlineLevel="0" collapsed="false">
      <c r="A1401" s="0" t="n">
        <v>73</v>
      </c>
      <c r="B1401" s="0" t="n">
        <v>2024</v>
      </c>
      <c r="C1401" s="3" t="n">
        <v>45576</v>
      </c>
      <c r="D1401" s="8" t="s">
        <v>15</v>
      </c>
      <c r="E1401" s="9" t="s">
        <v>24</v>
      </c>
      <c r="F1401" s="9" t="s">
        <v>17</v>
      </c>
      <c r="G1401" s="11" t="n">
        <v>72</v>
      </c>
      <c r="H1401" s="11" t="n">
        <v>60</v>
      </c>
      <c r="I1401" s="11" t="n">
        <v>72</v>
      </c>
      <c r="J1401" s="11" t="n">
        <v>69</v>
      </c>
      <c r="K1401" s="11" t="n">
        <v>72</v>
      </c>
      <c r="L1401" s="0" t="str">
        <f aca="false">IF(H1401&gt;I1401,"ERRO","OK")</f>
        <v>OK</v>
      </c>
      <c r="M1401" s="0" t="str">
        <f aca="false">IF(H1401&gt;J1401,"ERRO","OK")</f>
        <v>OK</v>
      </c>
      <c r="N1401" s="0" t="str">
        <f aca="false">IF(I1401&lt;J1401,"ERRO","OK")</f>
        <v>OK</v>
      </c>
    </row>
    <row r="1402" customFormat="false" ht="25" hidden="false" customHeight="false" outlineLevel="0" collapsed="false">
      <c r="A1402" s="0" t="n">
        <v>73</v>
      </c>
      <c r="B1402" s="0" t="n">
        <v>2024</v>
      </c>
      <c r="C1402" s="3" t="n">
        <v>45576</v>
      </c>
      <c r="D1402" s="4" t="s">
        <v>15</v>
      </c>
      <c r="E1402" s="5" t="s">
        <v>25</v>
      </c>
      <c r="F1402" s="5" t="s">
        <v>17</v>
      </c>
      <c r="G1402" s="7" t="n">
        <v>18</v>
      </c>
      <c r="H1402" s="7" t="n">
        <v>18</v>
      </c>
      <c r="I1402" s="7" t="n">
        <v>24</v>
      </c>
      <c r="J1402" s="7" t="n">
        <v>21</v>
      </c>
      <c r="K1402" s="7" t="n">
        <v>21</v>
      </c>
      <c r="L1402" s="0" t="str">
        <f aca="false">IF(H1402&gt;I1402,"ERRO","OK")</f>
        <v>OK</v>
      </c>
      <c r="M1402" s="0" t="str">
        <f aca="false">IF(H1402&gt;J1402,"ERRO","OK")</f>
        <v>OK</v>
      </c>
      <c r="N1402" s="0" t="str">
        <f aca="false">IF(I1402&lt;J1402,"ERRO","OK")</f>
        <v>OK</v>
      </c>
    </row>
    <row r="1403" customFormat="false" ht="25" hidden="false" customHeight="false" outlineLevel="0" collapsed="false">
      <c r="A1403" s="0" t="n">
        <v>73</v>
      </c>
      <c r="B1403" s="0" t="n">
        <v>2024</v>
      </c>
      <c r="C1403" s="3" t="n">
        <v>45576</v>
      </c>
      <c r="D1403" s="8" t="s">
        <v>15</v>
      </c>
      <c r="E1403" s="9" t="s">
        <v>77</v>
      </c>
      <c r="F1403" s="9" t="s">
        <v>17</v>
      </c>
      <c r="G1403" s="10"/>
      <c r="H1403" s="11" t="n">
        <v>50</v>
      </c>
      <c r="I1403" s="11" t="n">
        <v>78</v>
      </c>
      <c r="J1403" s="11" t="s">
        <v>176</v>
      </c>
      <c r="K1403" s="11" t="n">
        <v>60</v>
      </c>
      <c r="L1403" s="0" t="str">
        <f aca="false">IF(H1403&gt;I1403,"ERRO","OK")</f>
        <v>OK</v>
      </c>
      <c r="M1403" s="0" t="str">
        <f aca="false">IF(H1403&gt;J1403,"ERRO","OK")</f>
        <v>OK</v>
      </c>
      <c r="N1403" s="0" t="str">
        <f aca="false">IF(I1403&lt;J1403,"ERRO","OK")</f>
        <v>ERRO</v>
      </c>
    </row>
    <row r="1404" customFormat="false" ht="25" hidden="false" customHeight="false" outlineLevel="0" collapsed="false">
      <c r="A1404" s="0" t="n">
        <v>73</v>
      </c>
      <c r="B1404" s="0" t="n">
        <v>2024</v>
      </c>
      <c r="C1404" s="3" t="n">
        <v>45576</v>
      </c>
      <c r="D1404" s="4" t="s">
        <v>15</v>
      </c>
      <c r="E1404" s="5" t="s">
        <v>27</v>
      </c>
      <c r="F1404" s="5" t="s">
        <v>17</v>
      </c>
      <c r="G1404" s="7" t="n">
        <v>18</v>
      </c>
      <c r="H1404" s="7" t="n">
        <v>18</v>
      </c>
      <c r="I1404" s="7" t="n">
        <v>24</v>
      </c>
      <c r="J1404" s="7" t="n">
        <v>21</v>
      </c>
      <c r="K1404" s="7" t="n">
        <v>21</v>
      </c>
      <c r="L1404" s="0" t="str">
        <f aca="false">IF(H1404&gt;I1404,"ERRO","OK")</f>
        <v>OK</v>
      </c>
      <c r="M1404" s="0" t="str">
        <f aca="false">IF(H1404&gt;J1404,"ERRO","OK")</f>
        <v>OK</v>
      </c>
      <c r="N1404" s="0" t="str">
        <f aca="false">IF(I1404&lt;J1404,"ERRO","OK")</f>
        <v>OK</v>
      </c>
    </row>
    <row r="1405" customFormat="false" ht="25" hidden="false" customHeight="false" outlineLevel="0" collapsed="false">
      <c r="A1405" s="0" t="n">
        <v>73</v>
      </c>
      <c r="B1405" s="0" t="n">
        <v>2024</v>
      </c>
      <c r="C1405" s="3" t="n">
        <v>45576</v>
      </c>
      <c r="D1405" s="8" t="s">
        <v>15</v>
      </c>
      <c r="E1405" s="9" t="s">
        <v>28</v>
      </c>
      <c r="F1405" s="9" t="s">
        <v>17</v>
      </c>
      <c r="G1405" s="11" t="n">
        <v>60</v>
      </c>
      <c r="H1405" s="11" t="n">
        <v>48</v>
      </c>
      <c r="I1405" s="11" t="n">
        <v>60</v>
      </c>
      <c r="J1405" s="11" t="n">
        <v>56</v>
      </c>
      <c r="K1405" s="11" t="n">
        <v>60</v>
      </c>
      <c r="L1405" s="0" t="str">
        <f aca="false">IF(H1405&gt;I1405,"ERRO","OK")</f>
        <v>OK</v>
      </c>
      <c r="M1405" s="0" t="str">
        <f aca="false">IF(H1405&gt;J1405,"ERRO","OK")</f>
        <v>OK</v>
      </c>
      <c r="N1405" s="0" t="str">
        <f aca="false">IF(I1405&lt;J1405,"ERRO","OK")</f>
        <v>OK</v>
      </c>
    </row>
    <row r="1406" customFormat="false" ht="25" hidden="false" customHeight="false" outlineLevel="0" collapsed="false">
      <c r="A1406" s="0" t="n">
        <v>73</v>
      </c>
      <c r="B1406" s="0" t="n">
        <v>2024</v>
      </c>
      <c r="C1406" s="3" t="n">
        <v>45576</v>
      </c>
      <c r="D1406" s="4" t="s">
        <v>15</v>
      </c>
      <c r="E1406" s="5" t="s">
        <v>29</v>
      </c>
      <c r="F1406" s="5" t="s">
        <v>30</v>
      </c>
      <c r="G1406" s="7" t="n">
        <v>60</v>
      </c>
      <c r="H1406" s="7" t="n">
        <v>36</v>
      </c>
      <c r="I1406" s="7" t="n">
        <v>60</v>
      </c>
      <c r="J1406" s="7" t="n">
        <v>51</v>
      </c>
      <c r="K1406" s="7" t="n">
        <v>54</v>
      </c>
      <c r="L1406" s="0" t="str">
        <f aca="false">IF(H1406&gt;I1406,"ERRO","OK")</f>
        <v>OK</v>
      </c>
      <c r="M1406" s="0" t="str">
        <f aca="false">IF(H1406&gt;J1406,"ERRO","OK")</f>
        <v>OK</v>
      </c>
      <c r="N1406" s="0" t="str">
        <f aca="false">IF(I1406&lt;J1406,"ERRO","OK")</f>
        <v>OK</v>
      </c>
    </row>
    <row r="1407" customFormat="false" ht="25" hidden="false" customHeight="false" outlineLevel="0" collapsed="false">
      <c r="A1407" s="0" t="n">
        <v>73</v>
      </c>
      <c r="B1407" s="0" t="n">
        <v>2024</v>
      </c>
      <c r="C1407" s="3" t="n">
        <v>45576</v>
      </c>
      <c r="D1407" s="8" t="s">
        <v>15</v>
      </c>
      <c r="E1407" s="9" t="s">
        <v>31</v>
      </c>
      <c r="F1407" s="9" t="s">
        <v>17</v>
      </c>
      <c r="G1407" s="10"/>
      <c r="H1407" s="11" t="n">
        <v>48</v>
      </c>
      <c r="I1407" s="11" t="n">
        <v>72</v>
      </c>
      <c r="J1407" s="11" t="n">
        <v>60</v>
      </c>
      <c r="K1407" s="11" t="n">
        <v>60</v>
      </c>
      <c r="L1407" s="0" t="str">
        <f aca="false">IF(H1407&gt;I1407,"ERRO","OK")</f>
        <v>OK</v>
      </c>
      <c r="M1407" s="0" t="str">
        <f aca="false">IF(H1407&gt;J1407,"ERRO","OK")</f>
        <v>OK</v>
      </c>
      <c r="N1407" s="0" t="str">
        <f aca="false">IF(I1407&lt;J1407,"ERRO","OK")</f>
        <v>OK</v>
      </c>
    </row>
    <row r="1408" customFormat="false" ht="25" hidden="false" customHeight="false" outlineLevel="0" collapsed="false">
      <c r="A1408" s="0" t="n">
        <v>73</v>
      </c>
      <c r="B1408" s="0" t="n">
        <v>2024</v>
      </c>
      <c r="C1408" s="3" t="n">
        <v>45576</v>
      </c>
      <c r="D1408" s="4" t="s">
        <v>15</v>
      </c>
      <c r="E1408" s="5" t="s">
        <v>32</v>
      </c>
      <c r="F1408" s="5" t="s">
        <v>17</v>
      </c>
      <c r="G1408" s="7" t="n">
        <v>24</v>
      </c>
      <c r="H1408" s="7" t="n">
        <v>24</v>
      </c>
      <c r="I1408" s="7" t="n">
        <v>36</v>
      </c>
      <c r="J1408" s="7" t="s">
        <v>183</v>
      </c>
      <c r="K1408" s="7" t="n">
        <v>27</v>
      </c>
      <c r="L1408" s="0" t="str">
        <f aca="false">IF(H1408&gt;I1408,"ERRO","OK")</f>
        <v>OK</v>
      </c>
      <c r="M1408" s="0" t="str">
        <f aca="false">IF(H1408&gt;J1408,"ERRO","OK")</f>
        <v>OK</v>
      </c>
      <c r="N1408" s="0" t="str">
        <f aca="false">IF(I1408&lt;J1408,"ERRO","OK")</f>
        <v>ERRO</v>
      </c>
    </row>
    <row r="1409" customFormat="false" ht="25" hidden="false" customHeight="false" outlineLevel="0" collapsed="false">
      <c r="A1409" s="0" t="n">
        <v>73</v>
      </c>
      <c r="B1409" s="0" t="n">
        <v>2024</v>
      </c>
      <c r="C1409" s="3" t="n">
        <v>45576</v>
      </c>
      <c r="D1409" s="8" t="s">
        <v>34</v>
      </c>
      <c r="E1409" s="9" t="s">
        <v>35</v>
      </c>
      <c r="F1409" s="9" t="s">
        <v>36</v>
      </c>
      <c r="G1409" s="11" t="n">
        <v>5</v>
      </c>
      <c r="H1409" s="11" t="n">
        <v>5</v>
      </c>
      <c r="I1409" s="11" t="n">
        <v>5</v>
      </c>
      <c r="J1409" s="11" t="n">
        <v>5</v>
      </c>
      <c r="K1409" s="11" t="n">
        <v>5</v>
      </c>
      <c r="L1409" s="0" t="str">
        <f aca="false">IF(H1409&gt;I1409,"ERRO","OK")</f>
        <v>OK</v>
      </c>
      <c r="M1409" s="0" t="str">
        <f aca="false">IF(H1409&gt;J1409,"ERRO","OK")</f>
        <v>OK</v>
      </c>
      <c r="N1409" s="0" t="str">
        <f aca="false">IF(I1409&lt;J1409,"ERRO","OK")</f>
        <v>OK</v>
      </c>
    </row>
    <row r="1410" customFormat="false" ht="25" hidden="false" customHeight="false" outlineLevel="0" collapsed="false">
      <c r="A1410" s="0" t="n">
        <v>73</v>
      </c>
      <c r="B1410" s="0" t="n">
        <v>2024</v>
      </c>
      <c r="C1410" s="3" t="n">
        <v>45576</v>
      </c>
      <c r="D1410" s="4" t="s">
        <v>34</v>
      </c>
      <c r="E1410" s="5" t="s">
        <v>38</v>
      </c>
      <c r="F1410" s="5" t="s">
        <v>39</v>
      </c>
      <c r="G1410" s="7" t="n">
        <v>12</v>
      </c>
      <c r="H1410" s="7" t="n">
        <v>12</v>
      </c>
      <c r="I1410" s="7" t="n">
        <v>15</v>
      </c>
      <c r="J1410" s="7" t="s">
        <v>282</v>
      </c>
      <c r="K1410" s="7" t="s">
        <v>282</v>
      </c>
      <c r="L1410" s="0" t="str">
        <f aca="false">IF(H1410&gt;I1410,"ERRO","OK")</f>
        <v>OK</v>
      </c>
      <c r="M1410" s="0" t="str">
        <f aca="false">IF(H1410&gt;J1410,"ERRO","OK")</f>
        <v>OK</v>
      </c>
      <c r="N1410" s="0" t="str">
        <f aca="false">IF(I1410&lt;J1410,"ERRO","OK")</f>
        <v>ERRO</v>
      </c>
    </row>
    <row r="1411" customFormat="false" ht="25" hidden="false" customHeight="false" outlineLevel="0" collapsed="false">
      <c r="A1411" s="0" t="n">
        <v>73</v>
      </c>
      <c r="B1411" s="0" t="n">
        <v>2024</v>
      </c>
      <c r="C1411" s="3" t="n">
        <v>45576</v>
      </c>
      <c r="D1411" s="8" t="s">
        <v>34</v>
      </c>
      <c r="E1411" s="9" t="s">
        <v>40</v>
      </c>
      <c r="F1411" s="9" t="s">
        <v>39</v>
      </c>
      <c r="G1411" s="10"/>
      <c r="H1411" s="11" t="n">
        <v>35</v>
      </c>
      <c r="I1411" s="11" t="n">
        <v>20</v>
      </c>
      <c r="J1411" s="11" t="n">
        <v>35</v>
      </c>
      <c r="K1411" s="11" t="s">
        <v>354</v>
      </c>
      <c r="L1411" s="0" t="str">
        <f aca="false">IF(H1411&gt;I1411,"ERRO","OK")</f>
        <v>ERRO</v>
      </c>
      <c r="M1411" s="0" t="str">
        <f aca="false">IF(H1411&gt;J1411,"ERRO","OK")</f>
        <v>OK</v>
      </c>
      <c r="N1411" s="0" t="str">
        <f aca="false">IF(I1411&lt;J1411,"ERRO","OK")</f>
        <v>ERRO</v>
      </c>
    </row>
    <row r="1412" customFormat="false" ht="36.5" hidden="false" customHeight="false" outlineLevel="0" collapsed="false">
      <c r="A1412" s="0" t="n">
        <v>73</v>
      </c>
      <c r="B1412" s="0" t="n">
        <v>2024</v>
      </c>
      <c r="C1412" s="3" t="n">
        <v>45576</v>
      </c>
      <c r="D1412" s="4" t="s">
        <v>42</v>
      </c>
      <c r="E1412" s="5" t="s">
        <v>157</v>
      </c>
      <c r="F1412" s="5" t="s">
        <v>158</v>
      </c>
      <c r="G1412" s="6"/>
      <c r="H1412" s="7" t="n">
        <v>80</v>
      </c>
      <c r="I1412" s="7" t="n">
        <v>80</v>
      </c>
      <c r="J1412" s="7" t="n">
        <v>80</v>
      </c>
      <c r="K1412" s="7" t="n">
        <v>80</v>
      </c>
      <c r="L1412" s="0" t="str">
        <f aca="false">IF(H1412&gt;I1412,"ERRO","OK")</f>
        <v>OK</v>
      </c>
      <c r="M1412" s="0" t="str">
        <f aca="false">IF(H1412&gt;J1412,"ERRO","OK")</f>
        <v>OK</v>
      </c>
      <c r="N1412" s="0" t="str">
        <f aca="false">IF(I1412&lt;J1412,"ERRO","OK")</f>
        <v>OK</v>
      </c>
    </row>
    <row r="1413" customFormat="false" ht="36.5" hidden="false" customHeight="false" outlineLevel="0" collapsed="false">
      <c r="A1413" s="0" t="n">
        <v>73</v>
      </c>
      <c r="B1413" s="0" t="n">
        <v>2024</v>
      </c>
      <c r="C1413" s="3" t="n">
        <v>45576</v>
      </c>
      <c r="D1413" s="8" t="s">
        <v>42</v>
      </c>
      <c r="E1413" s="9" t="s">
        <v>43</v>
      </c>
      <c r="F1413" s="9" t="s">
        <v>44</v>
      </c>
      <c r="G1413" s="11" t="n">
        <v>40</v>
      </c>
      <c r="H1413" s="11" t="n">
        <v>30</v>
      </c>
      <c r="I1413" s="11" t="n">
        <v>40</v>
      </c>
      <c r="J1413" s="11" t="n">
        <v>35</v>
      </c>
      <c r="K1413" s="11" t="n">
        <v>35</v>
      </c>
      <c r="L1413" s="0" t="str">
        <f aca="false">IF(H1413&gt;I1413,"ERRO","OK")</f>
        <v>OK</v>
      </c>
      <c r="M1413" s="0" t="str">
        <f aca="false">IF(H1413&gt;J1413,"ERRO","OK")</f>
        <v>OK</v>
      </c>
      <c r="N1413" s="0" t="str">
        <f aca="false">IF(I1413&lt;J1413,"ERRO","OK")</f>
        <v>OK</v>
      </c>
    </row>
    <row r="1414" customFormat="false" ht="36.5" hidden="false" customHeight="false" outlineLevel="0" collapsed="false">
      <c r="A1414" s="0" t="n">
        <v>73</v>
      </c>
      <c r="B1414" s="0" t="n">
        <v>2024</v>
      </c>
      <c r="C1414" s="3" t="n">
        <v>45576</v>
      </c>
      <c r="D1414" s="4" t="s">
        <v>42</v>
      </c>
      <c r="E1414" s="5" t="s">
        <v>46</v>
      </c>
      <c r="F1414" s="5" t="s">
        <v>47</v>
      </c>
      <c r="G1414" s="7" t="n">
        <v>45</v>
      </c>
      <c r="H1414" s="7" t="n">
        <v>45</v>
      </c>
      <c r="I1414" s="7" t="n">
        <v>70</v>
      </c>
      <c r="J1414" s="7" t="s">
        <v>239</v>
      </c>
      <c r="K1414" s="7" t="n">
        <v>55</v>
      </c>
      <c r="L1414" s="0" t="str">
        <f aca="false">IF(H1414&gt;I1414,"ERRO","OK")</f>
        <v>OK</v>
      </c>
      <c r="M1414" s="0" t="str">
        <f aca="false">IF(H1414&gt;J1414,"ERRO","OK")</f>
        <v>OK</v>
      </c>
      <c r="N1414" s="0" t="str">
        <f aca="false">IF(I1414&lt;J1414,"ERRO","OK")</f>
        <v>ERRO</v>
      </c>
    </row>
    <row r="1415" customFormat="false" ht="36.5" hidden="false" customHeight="false" outlineLevel="0" collapsed="false">
      <c r="A1415" s="0" t="n">
        <v>73</v>
      </c>
      <c r="B1415" s="0" t="n">
        <v>2024</v>
      </c>
      <c r="C1415" s="3" t="n">
        <v>45576</v>
      </c>
      <c r="D1415" s="8" t="s">
        <v>42</v>
      </c>
      <c r="E1415" s="9" t="s">
        <v>48</v>
      </c>
      <c r="F1415" s="9" t="s">
        <v>49</v>
      </c>
      <c r="G1415" s="10"/>
      <c r="H1415" s="11" t="n">
        <v>50</v>
      </c>
      <c r="I1415" s="11" t="n">
        <v>70</v>
      </c>
      <c r="J1415" s="11" t="n">
        <v>60</v>
      </c>
      <c r="K1415" s="11" t="n">
        <v>60</v>
      </c>
      <c r="L1415" s="0" t="str">
        <f aca="false">IF(H1415&gt;I1415,"ERRO","OK")</f>
        <v>OK</v>
      </c>
      <c r="M1415" s="0" t="str">
        <f aca="false">IF(H1415&gt;J1415,"ERRO","OK")</f>
        <v>OK</v>
      </c>
      <c r="N1415" s="0" t="str">
        <f aca="false">IF(I1415&lt;J1415,"ERRO","OK")</f>
        <v>OK</v>
      </c>
    </row>
    <row r="1416" customFormat="false" ht="36.5" hidden="false" customHeight="false" outlineLevel="0" collapsed="false">
      <c r="A1416" s="0" t="n">
        <v>73</v>
      </c>
      <c r="B1416" s="0" t="n">
        <v>2024</v>
      </c>
      <c r="C1416" s="3" t="n">
        <v>45576</v>
      </c>
      <c r="D1416" s="4" t="s">
        <v>42</v>
      </c>
      <c r="E1416" s="5" t="s">
        <v>52</v>
      </c>
      <c r="F1416" s="5" t="s">
        <v>49</v>
      </c>
      <c r="G1416" s="6"/>
      <c r="H1416" s="7" t="n">
        <v>45</v>
      </c>
      <c r="I1416" s="7" t="n">
        <v>110</v>
      </c>
      <c r="J1416" s="7" t="s">
        <v>355</v>
      </c>
      <c r="K1416" s="7" t="n">
        <v>90</v>
      </c>
      <c r="L1416" s="0" t="str">
        <f aca="false">IF(H1416&gt;I1416,"ERRO","OK")</f>
        <v>OK</v>
      </c>
      <c r="M1416" s="0" t="str">
        <f aca="false">IF(H1416&gt;J1416,"ERRO","OK")</f>
        <v>OK</v>
      </c>
      <c r="N1416" s="0" t="str">
        <f aca="false">IF(I1416&lt;J1416,"ERRO","OK")</f>
        <v>ERRO</v>
      </c>
    </row>
    <row r="1417" customFormat="false" ht="36.5" hidden="false" customHeight="false" outlineLevel="0" collapsed="false">
      <c r="A1417" s="0" t="n">
        <v>73</v>
      </c>
      <c r="B1417" s="0" t="n">
        <v>2024</v>
      </c>
      <c r="C1417" s="3" t="n">
        <v>45576</v>
      </c>
      <c r="D1417" s="8" t="s">
        <v>42</v>
      </c>
      <c r="E1417" s="9" t="s">
        <v>56</v>
      </c>
      <c r="F1417" s="9" t="s">
        <v>47</v>
      </c>
      <c r="G1417" s="11" t="n">
        <v>55</v>
      </c>
      <c r="H1417" s="11" t="n">
        <v>40</v>
      </c>
      <c r="I1417" s="11" t="n">
        <v>55</v>
      </c>
      <c r="J1417" s="11" t="s">
        <v>141</v>
      </c>
      <c r="K1417" s="11" t="n">
        <v>50</v>
      </c>
      <c r="L1417" s="0" t="str">
        <f aca="false">IF(H1417&gt;I1417,"ERRO","OK")</f>
        <v>OK</v>
      </c>
      <c r="M1417" s="0" t="str">
        <f aca="false">IF(H1417&gt;J1417,"ERRO","OK")</f>
        <v>OK</v>
      </c>
      <c r="N1417" s="0" t="str">
        <f aca="false">IF(I1417&lt;J1417,"ERRO","OK")</f>
        <v>ERRO</v>
      </c>
    </row>
    <row r="1418" customFormat="false" ht="36.5" hidden="false" customHeight="false" outlineLevel="0" collapsed="false">
      <c r="A1418" s="0" t="n">
        <v>73</v>
      </c>
      <c r="B1418" s="0" t="n">
        <v>2024</v>
      </c>
      <c r="C1418" s="3" t="n">
        <v>45576</v>
      </c>
      <c r="D1418" s="4" t="s">
        <v>42</v>
      </c>
      <c r="E1418" s="5" t="s">
        <v>57</v>
      </c>
      <c r="F1418" s="5" t="s">
        <v>47</v>
      </c>
      <c r="G1418" s="6"/>
      <c r="H1418" s="7" t="n">
        <v>55</v>
      </c>
      <c r="I1418" s="7" t="n">
        <v>85</v>
      </c>
      <c r="J1418" s="7" t="s">
        <v>98</v>
      </c>
      <c r="K1418" s="7" t="s">
        <v>88</v>
      </c>
      <c r="L1418" s="0" t="str">
        <f aca="false">IF(H1418&gt;I1418,"ERRO","OK")</f>
        <v>OK</v>
      </c>
      <c r="M1418" s="0" t="str">
        <f aca="false">IF(H1418&gt;J1418,"ERRO","OK")</f>
        <v>OK</v>
      </c>
      <c r="N1418" s="0" t="str">
        <f aca="false">IF(I1418&lt;J1418,"ERRO","OK")</f>
        <v>ERRO</v>
      </c>
    </row>
    <row r="1419" customFormat="false" ht="36.5" hidden="false" customHeight="false" outlineLevel="0" collapsed="false">
      <c r="A1419" s="0" t="n">
        <v>73</v>
      </c>
      <c r="B1419" s="0" t="n">
        <v>2024</v>
      </c>
      <c r="C1419" s="3" t="n">
        <v>45576</v>
      </c>
      <c r="D1419" s="8" t="s">
        <v>42</v>
      </c>
      <c r="E1419" s="9" t="s">
        <v>58</v>
      </c>
      <c r="F1419" s="9" t="s">
        <v>44</v>
      </c>
      <c r="G1419" s="10"/>
      <c r="H1419" s="11" t="n">
        <v>90</v>
      </c>
      <c r="I1419" s="11" t="n">
        <v>100</v>
      </c>
      <c r="J1419" s="11" t="n">
        <v>95</v>
      </c>
      <c r="K1419" s="11" t="n">
        <v>95</v>
      </c>
      <c r="L1419" s="0" t="str">
        <f aca="false">IF(H1419&gt;I1419,"ERRO","OK")</f>
        <v>OK</v>
      </c>
      <c r="M1419" s="0" t="str">
        <f aca="false">IF(H1419&gt;J1419,"ERRO","OK")</f>
        <v>OK</v>
      </c>
      <c r="N1419" s="0" t="str">
        <f aca="false">IF(I1419&lt;J1419,"ERRO","OK")</f>
        <v>OK</v>
      </c>
    </row>
    <row r="1420" customFormat="false" ht="36.5" hidden="false" customHeight="false" outlineLevel="0" collapsed="false">
      <c r="A1420" s="0" t="n">
        <v>73</v>
      </c>
      <c r="B1420" s="0" t="n">
        <v>2024</v>
      </c>
      <c r="C1420" s="3" t="n">
        <v>45576</v>
      </c>
      <c r="D1420" s="4" t="s">
        <v>42</v>
      </c>
      <c r="E1420" s="5" t="s">
        <v>60</v>
      </c>
      <c r="F1420" s="5" t="s">
        <v>47</v>
      </c>
      <c r="G1420" s="6"/>
      <c r="H1420" s="7" t="n">
        <v>70</v>
      </c>
      <c r="I1420" s="7" t="n">
        <v>70</v>
      </c>
      <c r="J1420" s="7" t="n">
        <v>70</v>
      </c>
      <c r="K1420" s="7" t="n">
        <v>70</v>
      </c>
      <c r="L1420" s="0" t="str">
        <f aca="false">IF(H1420&gt;I1420,"ERRO","OK")</f>
        <v>OK</v>
      </c>
      <c r="M1420" s="0" t="str">
        <f aca="false">IF(H1420&gt;J1420,"ERRO","OK")</f>
        <v>OK</v>
      </c>
      <c r="N1420" s="0" t="str">
        <f aca="false">IF(I1420&lt;J1420,"ERRO","OK")</f>
        <v>OK</v>
      </c>
    </row>
    <row r="1421" customFormat="false" ht="36.5" hidden="false" customHeight="false" outlineLevel="0" collapsed="false">
      <c r="A1421" s="0" t="n">
        <v>73</v>
      </c>
      <c r="B1421" s="0" t="n">
        <v>2024</v>
      </c>
      <c r="C1421" s="3" t="n">
        <v>45576</v>
      </c>
      <c r="D1421" s="8" t="s">
        <v>42</v>
      </c>
      <c r="E1421" s="9" t="s">
        <v>61</v>
      </c>
      <c r="F1421" s="9" t="s">
        <v>44</v>
      </c>
      <c r="G1421" s="10"/>
      <c r="H1421" s="11" t="n">
        <v>70</v>
      </c>
      <c r="I1421" s="11" t="n">
        <v>80</v>
      </c>
      <c r="J1421" s="11" t="n">
        <v>75</v>
      </c>
      <c r="K1421" s="11" t="n">
        <v>75</v>
      </c>
      <c r="L1421" s="0" t="str">
        <f aca="false">IF(H1421&gt;I1421,"ERRO","OK")</f>
        <v>OK</v>
      </c>
      <c r="M1421" s="0" t="str">
        <f aca="false">IF(H1421&gt;J1421,"ERRO","OK")</f>
        <v>OK</v>
      </c>
      <c r="N1421" s="0" t="str">
        <f aca="false">IF(I1421&lt;J1421,"ERRO","OK")</f>
        <v>OK</v>
      </c>
    </row>
    <row r="1422" customFormat="false" ht="36.5" hidden="false" customHeight="false" outlineLevel="0" collapsed="false">
      <c r="A1422" s="0" t="n">
        <v>73</v>
      </c>
      <c r="B1422" s="0" t="n">
        <v>2024</v>
      </c>
      <c r="C1422" s="3" t="n">
        <v>45576</v>
      </c>
      <c r="D1422" s="4" t="s">
        <v>42</v>
      </c>
      <c r="E1422" s="5" t="s">
        <v>62</v>
      </c>
      <c r="F1422" s="5" t="s">
        <v>44</v>
      </c>
      <c r="G1422" s="7" t="n">
        <v>100</v>
      </c>
      <c r="H1422" s="7" t="n">
        <v>75</v>
      </c>
      <c r="I1422" s="7" t="n">
        <v>100</v>
      </c>
      <c r="J1422" s="7" t="s">
        <v>356</v>
      </c>
      <c r="K1422" s="7" t="n">
        <v>90</v>
      </c>
      <c r="L1422" s="0" t="str">
        <f aca="false">IF(H1422&gt;I1422,"ERRO","OK")</f>
        <v>OK</v>
      </c>
      <c r="M1422" s="0" t="str">
        <f aca="false">IF(H1422&gt;J1422,"ERRO","OK")</f>
        <v>OK</v>
      </c>
      <c r="N1422" s="0" t="str">
        <f aca="false">IF(I1422&lt;J1422,"ERRO","OK")</f>
        <v>ERRO</v>
      </c>
    </row>
    <row r="1423" customFormat="false" ht="36.5" hidden="false" customHeight="false" outlineLevel="0" collapsed="false">
      <c r="A1423" s="0" t="n">
        <v>73</v>
      </c>
      <c r="B1423" s="0" t="n">
        <v>2024</v>
      </c>
      <c r="C1423" s="3" t="n">
        <v>45576</v>
      </c>
      <c r="D1423" s="8" t="s">
        <v>42</v>
      </c>
      <c r="E1423" s="9" t="s">
        <v>63</v>
      </c>
      <c r="F1423" s="9" t="s">
        <v>49</v>
      </c>
      <c r="G1423" s="11" t="n">
        <v>45</v>
      </c>
      <c r="H1423" s="11" t="n">
        <v>45</v>
      </c>
      <c r="I1423" s="11" t="n">
        <v>85</v>
      </c>
      <c r="J1423" s="11" t="s">
        <v>45</v>
      </c>
      <c r="K1423" s="11" t="n">
        <v>50</v>
      </c>
      <c r="L1423" s="0" t="str">
        <f aca="false">IF(H1423&gt;I1423,"ERRO","OK")</f>
        <v>OK</v>
      </c>
      <c r="M1423" s="0" t="str">
        <f aca="false">IF(H1423&gt;J1423,"ERRO","OK")</f>
        <v>OK</v>
      </c>
      <c r="N1423" s="0" t="str">
        <f aca="false">IF(I1423&lt;J1423,"ERRO","OK")</f>
        <v>ERRO</v>
      </c>
    </row>
    <row r="1424" customFormat="false" ht="36.5" hidden="false" customHeight="false" outlineLevel="0" collapsed="false">
      <c r="A1424" s="0" t="n">
        <v>73</v>
      </c>
      <c r="B1424" s="0" t="n">
        <v>2024</v>
      </c>
      <c r="C1424" s="3" t="n">
        <v>45576</v>
      </c>
      <c r="D1424" s="4" t="s">
        <v>42</v>
      </c>
      <c r="E1424" s="5" t="s">
        <v>64</v>
      </c>
      <c r="F1424" s="5" t="s">
        <v>65</v>
      </c>
      <c r="G1424" s="7" t="n">
        <v>160</v>
      </c>
      <c r="H1424" s="7" t="n">
        <v>150</v>
      </c>
      <c r="I1424" s="7" t="n">
        <v>180</v>
      </c>
      <c r="J1424" s="7" t="s">
        <v>357</v>
      </c>
      <c r="K1424" s="7" t="n">
        <v>160</v>
      </c>
      <c r="L1424" s="0" t="str">
        <f aca="false">IF(H1424&gt;I1424,"ERRO","OK")</f>
        <v>OK</v>
      </c>
      <c r="M1424" s="0" t="str">
        <f aca="false">IF(H1424&gt;J1424,"ERRO","OK")</f>
        <v>OK</v>
      </c>
      <c r="N1424" s="0" t="str">
        <f aca="false">IF(I1424&lt;J1424,"ERRO","OK")</f>
        <v>ERRO</v>
      </c>
    </row>
    <row r="1425" customFormat="false" ht="36.5" hidden="false" customHeight="false" outlineLevel="0" collapsed="false">
      <c r="A1425" s="0" t="n">
        <v>73</v>
      </c>
      <c r="B1425" s="0" t="n">
        <v>2024</v>
      </c>
      <c r="C1425" s="3" t="n">
        <v>45576</v>
      </c>
      <c r="D1425" s="8" t="s">
        <v>42</v>
      </c>
      <c r="E1425" s="9" t="s">
        <v>67</v>
      </c>
      <c r="F1425" s="9" t="s">
        <v>44</v>
      </c>
      <c r="G1425" s="10"/>
      <c r="H1425" s="11" t="n">
        <v>50</v>
      </c>
      <c r="I1425" s="11" t="n">
        <v>80</v>
      </c>
      <c r="J1425" s="11" t="n">
        <v>65</v>
      </c>
      <c r="K1425" s="11" t="n">
        <v>65</v>
      </c>
      <c r="L1425" s="0" t="str">
        <f aca="false">IF(H1425&gt;I1425,"ERRO","OK")</f>
        <v>OK</v>
      </c>
      <c r="M1425" s="0" t="str">
        <f aca="false">IF(H1425&gt;J1425,"ERRO","OK")</f>
        <v>OK</v>
      </c>
      <c r="N1425" s="0" t="str">
        <f aca="false">IF(I1425&lt;J1425,"ERRO","OK")</f>
        <v>OK</v>
      </c>
    </row>
    <row r="1426" customFormat="false" ht="36.5" hidden="false" customHeight="false" outlineLevel="0" collapsed="false">
      <c r="A1426" s="0" t="n">
        <v>73</v>
      </c>
      <c r="B1426" s="0" t="n">
        <v>2024</v>
      </c>
      <c r="C1426" s="3" t="n">
        <v>45576</v>
      </c>
      <c r="D1426" s="4" t="s">
        <v>42</v>
      </c>
      <c r="E1426" s="5" t="s">
        <v>68</v>
      </c>
      <c r="F1426" s="5" t="s">
        <v>44</v>
      </c>
      <c r="G1426" s="6"/>
      <c r="H1426" s="6"/>
      <c r="I1426" s="7" t="n">
        <v>90</v>
      </c>
      <c r="J1426" s="7" t="n">
        <v>120</v>
      </c>
      <c r="K1426" s="7" t="s">
        <v>118</v>
      </c>
      <c r="L1426" s="0" t="str">
        <f aca="false">IF(H1426&gt;I1426,"ERRO","OK")</f>
        <v>OK</v>
      </c>
      <c r="M1426" s="0" t="str">
        <f aca="false">IF(H1426&gt;J1426,"ERRO","OK")</f>
        <v>OK</v>
      </c>
      <c r="N1426" s="0" t="str">
        <f aca="false">IF(I1426&lt;J1426,"ERRO","OK")</f>
        <v>ERRO</v>
      </c>
    </row>
    <row r="1427" customFormat="false" ht="14.25" hidden="false" customHeight="false" outlineLevel="0" collapsed="false">
      <c r="A1427" s="0" t="n">
        <v>73</v>
      </c>
      <c r="B1427" s="0" t="n">
        <v>2024</v>
      </c>
      <c r="C1427" s="3" t="n">
        <v>45576</v>
      </c>
      <c r="D1427" s="8" t="s">
        <v>69</v>
      </c>
      <c r="E1427" s="9" t="s">
        <v>70</v>
      </c>
      <c r="F1427" s="9" t="s">
        <v>49</v>
      </c>
      <c r="G1427" s="10"/>
      <c r="H1427" s="10"/>
      <c r="I1427" s="10"/>
      <c r="J1427" s="10"/>
      <c r="K1427" s="10"/>
      <c r="L1427" s="0" t="str">
        <f aca="false">IF(H1427&gt;I1427,"ERRO","OK")</f>
        <v>OK</v>
      </c>
      <c r="M1427" s="0" t="str">
        <f aca="false">IF(H1427&gt;J1427,"ERRO","OK")</f>
        <v>OK</v>
      </c>
      <c r="N1427" s="0" t="str">
        <f aca="false">IF(I1427&lt;J1427,"ERRO","OK")</f>
        <v>OK</v>
      </c>
    </row>
    <row r="1428" customFormat="false" ht="14.25" hidden="false" customHeight="false" outlineLevel="0" collapsed="false">
      <c r="A1428" s="0" t="n">
        <v>73</v>
      </c>
      <c r="B1428" s="0" t="n">
        <v>2024</v>
      </c>
      <c r="C1428" s="3" t="n">
        <v>45576</v>
      </c>
      <c r="D1428" s="4" t="s">
        <v>69</v>
      </c>
      <c r="E1428" s="5" t="s">
        <v>71</v>
      </c>
      <c r="F1428" s="5" t="s">
        <v>49</v>
      </c>
      <c r="G1428" s="6"/>
      <c r="H1428" s="6"/>
      <c r="I1428" s="6"/>
      <c r="J1428" s="6"/>
      <c r="K1428" s="6"/>
      <c r="L1428" s="0" t="str">
        <f aca="false">IF(H1428&gt;I1428,"ERRO","OK")</f>
        <v>OK</v>
      </c>
      <c r="M1428" s="0" t="str">
        <f aca="false">IF(H1428&gt;J1428,"ERRO","OK")</f>
        <v>OK</v>
      </c>
      <c r="N1428" s="0" t="str">
        <f aca="false">IF(I1428&lt;J1428,"ERRO","OK")</f>
        <v>OK</v>
      </c>
    </row>
    <row r="1429" customFormat="false" ht="14.25" hidden="false" customHeight="false" outlineLevel="0" collapsed="false">
      <c r="A1429" s="0" t="n">
        <v>73</v>
      </c>
      <c r="B1429" s="0" t="n">
        <v>2024</v>
      </c>
      <c r="C1429" s="3" t="n">
        <v>45576</v>
      </c>
      <c r="D1429" s="8" t="s">
        <v>69</v>
      </c>
      <c r="E1429" s="9" t="s">
        <v>72</v>
      </c>
      <c r="F1429" s="9" t="s">
        <v>49</v>
      </c>
      <c r="G1429" s="10"/>
      <c r="H1429" s="10"/>
      <c r="I1429" s="10"/>
      <c r="J1429" s="10"/>
      <c r="K1429" s="10"/>
      <c r="L1429" s="0" t="str">
        <f aca="false">IF(H1429&gt;I1429,"ERRO","OK")</f>
        <v>OK</v>
      </c>
      <c r="M1429" s="0" t="str">
        <f aca="false">IF(H1429&gt;J1429,"ERRO","OK")</f>
        <v>OK</v>
      </c>
      <c r="N1429" s="0" t="str">
        <f aca="false">IF(I1429&lt;J1429,"ERRO","OK")</f>
        <v>OK</v>
      </c>
    </row>
    <row r="1430" customFormat="false" ht="14.25" hidden="false" customHeight="false" outlineLevel="0" collapsed="false">
      <c r="A1430" s="0" t="n">
        <v>73</v>
      </c>
      <c r="B1430" s="0" t="n">
        <v>2024</v>
      </c>
      <c r="C1430" s="3" t="n">
        <v>45576</v>
      </c>
      <c r="D1430" s="4" t="s">
        <v>69</v>
      </c>
      <c r="E1430" s="5" t="s">
        <v>73</v>
      </c>
      <c r="F1430" s="5" t="s">
        <v>49</v>
      </c>
      <c r="G1430" s="6"/>
      <c r="H1430" s="7" t="n">
        <v>70</v>
      </c>
      <c r="I1430" s="7" t="n">
        <v>70</v>
      </c>
      <c r="J1430" s="7" t="n">
        <v>70</v>
      </c>
      <c r="K1430" s="7" t="n">
        <v>70</v>
      </c>
      <c r="L1430" s="0" t="str">
        <f aca="false">IF(H1430&gt;I1430,"ERRO","OK")</f>
        <v>OK</v>
      </c>
      <c r="M1430" s="0" t="str">
        <f aca="false">IF(H1430&gt;J1430,"ERRO","OK")</f>
        <v>OK</v>
      </c>
      <c r="N1430" s="0" t="str">
        <f aca="false">IF(I1430&lt;J1430,"ERRO","OK")</f>
        <v>OK</v>
      </c>
    </row>
    <row r="1431" customFormat="false" ht="14.25" hidden="false" customHeight="false" outlineLevel="0" collapsed="false">
      <c r="A1431" s="0" t="n">
        <v>73</v>
      </c>
      <c r="B1431" s="0" t="n">
        <v>2024</v>
      </c>
      <c r="C1431" s="3" t="n">
        <v>45576</v>
      </c>
      <c r="D1431" s="4" t="s">
        <v>69</v>
      </c>
      <c r="E1431" s="16" t="s">
        <v>74</v>
      </c>
      <c r="F1431" s="16" t="s">
        <v>75</v>
      </c>
      <c r="G1431" s="17"/>
      <c r="H1431" s="18"/>
      <c r="I1431" s="18"/>
      <c r="J1431" s="18"/>
      <c r="K1431" s="18"/>
      <c r="L1431" s="0" t="str">
        <f aca="false">IF(H1431&gt;I1431,"ERRO","OK")</f>
        <v>OK</v>
      </c>
      <c r="M1431" s="0" t="str">
        <f aca="false">IF(H1431&gt;J1431,"ERRO","OK")</f>
        <v>OK</v>
      </c>
      <c r="N1431" s="0" t="str">
        <f aca="false">IF(I1431&lt;J1431,"ERRO","OK")</f>
        <v>OK</v>
      </c>
    </row>
    <row r="1432" customFormat="false" ht="14.25" hidden="false" customHeight="false" outlineLevel="0" collapsed="false">
      <c r="A1432" s="0" t="n">
        <v>74</v>
      </c>
      <c r="B1432" s="0" t="n">
        <v>2024</v>
      </c>
      <c r="C1432" s="3"/>
      <c r="D1432" s="19"/>
      <c r="E1432" s="20" t="s">
        <v>16</v>
      </c>
      <c r="F1432" s="21" t="s">
        <v>17</v>
      </c>
      <c r="G1432" s="22" t="n">
        <v>48</v>
      </c>
      <c r="H1432" s="22" t="n">
        <v>36</v>
      </c>
      <c r="I1432" s="22" t="n">
        <v>60</v>
      </c>
      <c r="J1432" s="22" t="n">
        <v>48</v>
      </c>
      <c r="K1432" s="22" t="n">
        <v>48</v>
      </c>
      <c r="L1432" s="0" t="str">
        <f aca="false">IF(H1432&gt;I1432,"ERRO","OK")</f>
        <v>OK</v>
      </c>
      <c r="M1432" s="0" t="str">
        <f aca="false">IF(H1432&gt;J1432,"ERRO","OK")</f>
        <v>OK</v>
      </c>
      <c r="N1432" s="0" t="str">
        <f aca="false">IF(I1432&lt;J1432,"ERRO","OK")</f>
        <v>OK</v>
      </c>
    </row>
    <row r="1433" customFormat="false" ht="14.25" hidden="false" customHeight="false" outlineLevel="0" collapsed="false">
      <c r="A1433" s="0" t="n">
        <v>74</v>
      </c>
      <c r="B1433" s="0" t="n">
        <v>2024</v>
      </c>
      <c r="C1433" s="3"/>
      <c r="D1433" s="19"/>
      <c r="E1433" s="20" t="s">
        <v>18</v>
      </c>
      <c r="F1433" s="21" t="s">
        <v>17</v>
      </c>
      <c r="G1433" s="22" t="n">
        <v>84</v>
      </c>
      <c r="H1433" s="22" t="n">
        <v>72</v>
      </c>
      <c r="I1433" s="22" t="n">
        <v>84</v>
      </c>
      <c r="J1433" s="22" t="n">
        <v>80</v>
      </c>
      <c r="K1433" s="22" t="n">
        <v>84</v>
      </c>
      <c r="L1433" s="0" t="str">
        <f aca="false">IF(H1433&gt;I1433,"ERRO","OK")</f>
        <v>OK</v>
      </c>
      <c r="M1433" s="0" t="str">
        <f aca="false">IF(H1433&gt;J1433,"ERRO","OK")</f>
        <v>OK</v>
      </c>
      <c r="N1433" s="0" t="str">
        <f aca="false">IF(I1433&lt;J1433,"ERRO","OK")</f>
        <v>OK</v>
      </c>
    </row>
    <row r="1434" customFormat="false" ht="14.25" hidden="false" customHeight="false" outlineLevel="0" collapsed="false">
      <c r="A1434" s="0" t="n">
        <v>74</v>
      </c>
      <c r="B1434" s="0" t="n">
        <v>2024</v>
      </c>
      <c r="C1434" s="3"/>
      <c r="D1434" s="19"/>
      <c r="E1434" s="20" t="s">
        <v>19</v>
      </c>
      <c r="F1434" s="21" t="s">
        <v>17</v>
      </c>
      <c r="G1434" s="22" t="n">
        <v>36</v>
      </c>
      <c r="H1434" s="22" t="n">
        <v>25</v>
      </c>
      <c r="I1434" s="22" t="n">
        <v>42</v>
      </c>
      <c r="J1434" s="22" t="s">
        <v>353</v>
      </c>
      <c r="K1434" s="22" t="n">
        <v>36</v>
      </c>
      <c r="L1434" s="0" t="str">
        <f aca="false">IF(H1434&gt;I1434,"ERRO","OK")</f>
        <v>OK</v>
      </c>
      <c r="M1434" s="0" t="str">
        <f aca="false">IF(H1434&gt;J1434,"ERRO","OK")</f>
        <v>OK</v>
      </c>
      <c r="N1434" s="0" t="str">
        <f aca="false">IF(I1434&lt;J1434,"ERRO","OK")</f>
        <v>ERRO</v>
      </c>
    </row>
    <row r="1435" customFormat="false" ht="14.25" hidden="false" customHeight="false" outlineLevel="0" collapsed="false">
      <c r="A1435" s="0" t="n">
        <v>74</v>
      </c>
      <c r="B1435" s="0" t="n">
        <v>2024</v>
      </c>
      <c r="C1435" s="3"/>
      <c r="D1435" s="19"/>
      <c r="E1435" s="20" t="s">
        <v>20</v>
      </c>
      <c r="F1435" s="21" t="s">
        <v>17</v>
      </c>
      <c r="G1435" s="22" t="n">
        <v>18</v>
      </c>
      <c r="H1435" s="22" t="n">
        <v>18</v>
      </c>
      <c r="I1435" s="22" t="n">
        <v>24</v>
      </c>
      <c r="J1435" s="22" t="n">
        <v>21</v>
      </c>
      <c r="K1435" s="22" t="n">
        <v>21</v>
      </c>
      <c r="L1435" s="0" t="str">
        <f aca="false">IF(H1435&gt;I1435,"ERRO","OK")</f>
        <v>OK</v>
      </c>
      <c r="M1435" s="0" t="str">
        <f aca="false">IF(H1435&gt;J1435,"ERRO","OK")</f>
        <v>OK</v>
      </c>
      <c r="N1435" s="0" t="str">
        <f aca="false">IF(I1435&lt;J1435,"ERRO","OK")</f>
        <v>OK</v>
      </c>
    </row>
    <row r="1436" customFormat="false" ht="14.25" hidden="false" customHeight="false" outlineLevel="0" collapsed="false">
      <c r="A1436" s="0" t="n">
        <v>74</v>
      </c>
      <c r="B1436" s="0" t="n">
        <v>2024</v>
      </c>
      <c r="C1436" s="3"/>
      <c r="D1436" s="19"/>
      <c r="E1436" s="20" t="s">
        <v>21</v>
      </c>
      <c r="F1436" s="21" t="s">
        <v>17</v>
      </c>
      <c r="G1436" s="22" t="n">
        <v>18</v>
      </c>
      <c r="H1436" s="22" t="n">
        <v>18</v>
      </c>
      <c r="I1436" s="22" t="n">
        <v>24</v>
      </c>
      <c r="J1436" s="22" t="n">
        <v>21</v>
      </c>
      <c r="K1436" s="22" t="n">
        <v>21</v>
      </c>
      <c r="L1436" s="0" t="str">
        <f aca="false">IF(H1436&gt;I1436,"ERRO","OK")</f>
        <v>OK</v>
      </c>
      <c r="M1436" s="0" t="str">
        <f aca="false">IF(H1436&gt;J1436,"ERRO","OK")</f>
        <v>OK</v>
      </c>
      <c r="N1436" s="0" t="str">
        <f aca="false">IF(I1436&lt;J1436,"ERRO","OK")</f>
        <v>OK</v>
      </c>
    </row>
    <row r="1437" customFormat="false" ht="14.25" hidden="false" customHeight="false" outlineLevel="0" collapsed="false">
      <c r="A1437" s="0" t="n">
        <v>74</v>
      </c>
      <c r="B1437" s="0" t="n">
        <v>2024</v>
      </c>
      <c r="C1437" s="3"/>
      <c r="D1437" s="19"/>
      <c r="E1437" s="20" t="s">
        <v>22</v>
      </c>
      <c r="F1437" s="21" t="s">
        <v>17</v>
      </c>
      <c r="G1437" s="22" t="n">
        <v>60</v>
      </c>
      <c r="H1437" s="22" t="n">
        <v>60</v>
      </c>
      <c r="I1437" s="22" t="n">
        <v>60</v>
      </c>
      <c r="J1437" s="22" t="n">
        <v>60</v>
      </c>
      <c r="K1437" s="22" t="n">
        <v>60</v>
      </c>
      <c r="L1437" s="0" t="str">
        <f aca="false">IF(H1437&gt;I1437,"ERRO","OK")</f>
        <v>OK</v>
      </c>
      <c r="M1437" s="0" t="str">
        <f aca="false">IF(H1437&gt;J1437,"ERRO","OK")</f>
        <v>OK</v>
      </c>
      <c r="N1437" s="0" t="str">
        <f aca="false">IF(I1437&lt;J1437,"ERRO","OK")</f>
        <v>OK</v>
      </c>
    </row>
    <row r="1438" customFormat="false" ht="14.25" hidden="false" customHeight="false" outlineLevel="0" collapsed="false">
      <c r="A1438" s="0" t="n">
        <v>74</v>
      </c>
      <c r="B1438" s="0" t="n">
        <v>2024</v>
      </c>
      <c r="C1438" s="3"/>
      <c r="D1438" s="19"/>
      <c r="E1438" s="20" t="s">
        <v>23</v>
      </c>
      <c r="F1438" s="21" t="s">
        <v>17</v>
      </c>
      <c r="G1438" s="21"/>
      <c r="H1438" s="22" t="n">
        <v>42</v>
      </c>
      <c r="I1438" s="22" t="n">
        <v>72</v>
      </c>
      <c r="J1438" s="22" t="n">
        <v>58</v>
      </c>
      <c r="K1438" s="22" t="n">
        <v>60</v>
      </c>
      <c r="L1438" s="0" t="str">
        <f aca="false">IF(H1438&gt;I1438,"ERRO","OK")</f>
        <v>OK</v>
      </c>
      <c r="M1438" s="0" t="str">
        <f aca="false">IF(H1438&gt;J1438,"ERRO","OK")</f>
        <v>OK</v>
      </c>
      <c r="N1438" s="0" t="str">
        <f aca="false">IF(I1438&lt;J1438,"ERRO","OK")</f>
        <v>OK</v>
      </c>
    </row>
    <row r="1439" customFormat="false" ht="14.25" hidden="false" customHeight="false" outlineLevel="0" collapsed="false">
      <c r="A1439" s="0" t="n">
        <v>74</v>
      </c>
      <c r="B1439" s="0" t="n">
        <v>2024</v>
      </c>
      <c r="C1439" s="3"/>
      <c r="D1439" s="19"/>
      <c r="E1439" s="20" t="s">
        <v>24</v>
      </c>
      <c r="F1439" s="21" t="s">
        <v>17</v>
      </c>
      <c r="G1439" s="22" t="n">
        <v>72</v>
      </c>
      <c r="H1439" s="22" t="n">
        <v>60</v>
      </c>
      <c r="I1439" s="22" t="n">
        <v>72</v>
      </c>
      <c r="J1439" s="22" t="n">
        <v>69</v>
      </c>
      <c r="K1439" s="22" t="n">
        <v>72</v>
      </c>
      <c r="L1439" s="0" t="str">
        <f aca="false">IF(H1439&gt;I1439,"ERRO","OK")</f>
        <v>OK</v>
      </c>
      <c r="M1439" s="0" t="str">
        <f aca="false">IF(H1439&gt;J1439,"ERRO","OK")</f>
        <v>OK</v>
      </c>
      <c r="N1439" s="0" t="str">
        <f aca="false">IF(I1439&lt;J1439,"ERRO","OK")</f>
        <v>OK</v>
      </c>
    </row>
    <row r="1440" customFormat="false" ht="14.25" hidden="false" customHeight="false" outlineLevel="0" collapsed="false">
      <c r="A1440" s="0" t="n">
        <v>74</v>
      </c>
      <c r="B1440" s="0" t="n">
        <v>2024</v>
      </c>
      <c r="C1440" s="3"/>
      <c r="D1440" s="19"/>
      <c r="E1440" s="20" t="s">
        <v>358</v>
      </c>
      <c r="F1440" s="21" t="s">
        <v>17</v>
      </c>
      <c r="G1440" s="22" t="n">
        <v>18</v>
      </c>
      <c r="H1440" s="22" t="n">
        <v>18</v>
      </c>
      <c r="I1440" s="22" t="n">
        <v>24</v>
      </c>
      <c r="J1440" s="22" t="n">
        <v>21</v>
      </c>
      <c r="K1440" s="22" t="n">
        <v>21</v>
      </c>
      <c r="L1440" s="0" t="str">
        <f aca="false">IF(H1440&gt;I1440,"ERRO","OK")</f>
        <v>OK</v>
      </c>
      <c r="M1440" s="0" t="str">
        <f aca="false">IF(H1440&gt;J1440,"ERRO","OK")</f>
        <v>OK</v>
      </c>
      <c r="N1440" s="0" t="str">
        <f aca="false">IF(I1440&lt;J1440,"ERRO","OK")</f>
        <v>OK</v>
      </c>
    </row>
    <row r="1441" customFormat="false" ht="14.25" hidden="false" customHeight="false" outlineLevel="0" collapsed="false">
      <c r="A1441" s="0" t="n">
        <v>74</v>
      </c>
      <c r="B1441" s="0" t="n">
        <v>2024</v>
      </c>
      <c r="C1441" s="3"/>
      <c r="D1441" s="19"/>
      <c r="E1441" s="20" t="s">
        <v>359</v>
      </c>
      <c r="F1441" s="21" t="s">
        <v>17</v>
      </c>
      <c r="G1441" s="21"/>
      <c r="H1441" s="22" t="n">
        <v>50</v>
      </c>
      <c r="I1441" s="22" t="n">
        <v>78</v>
      </c>
      <c r="J1441" s="22" t="s">
        <v>176</v>
      </c>
      <c r="K1441" s="22" t="n">
        <v>60</v>
      </c>
      <c r="L1441" s="0" t="str">
        <f aca="false">IF(H1441&gt;I1441,"ERRO","OK")</f>
        <v>OK</v>
      </c>
      <c r="M1441" s="0" t="str">
        <f aca="false">IF(H1441&gt;J1441,"ERRO","OK")</f>
        <v>OK</v>
      </c>
      <c r="N1441" s="0" t="str">
        <f aca="false">IF(I1441&lt;J1441,"ERRO","OK")</f>
        <v>ERRO</v>
      </c>
    </row>
    <row r="1442" customFormat="false" ht="14.25" hidden="false" customHeight="false" outlineLevel="0" collapsed="false">
      <c r="A1442" s="0" t="n">
        <v>74</v>
      </c>
      <c r="B1442" s="0" t="n">
        <v>2024</v>
      </c>
      <c r="C1442" s="3"/>
      <c r="D1442" s="19"/>
      <c r="E1442" s="20" t="s">
        <v>27</v>
      </c>
      <c r="F1442" s="21" t="s">
        <v>17</v>
      </c>
      <c r="G1442" s="22" t="n">
        <v>18</v>
      </c>
      <c r="H1442" s="22" t="n">
        <v>18</v>
      </c>
      <c r="I1442" s="22" t="n">
        <v>24</v>
      </c>
      <c r="J1442" s="22" t="n">
        <v>21</v>
      </c>
      <c r="K1442" s="22" t="n">
        <v>21</v>
      </c>
      <c r="L1442" s="0" t="str">
        <f aca="false">IF(H1442&gt;I1442,"ERRO","OK")</f>
        <v>OK</v>
      </c>
      <c r="M1442" s="0" t="str">
        <f aca="false">IF(H1442&gt;J1442,"ERRO","OK")</f>
        <v>OK</v>
      </c>
      <c r="N1442" s="0" t="str">
        <f aca="false">IF(I1442&lt;J1442,"ERRO","OK")</f>
        <v>OK</v>
      </c>
    </row>
    <row r="1443" customFormat="false" ht="14.25" hidden="false" customHeight="false" outlineLevel="0" collapsed="false">
      <c r="A1443" s="0" t="n">
        <v>74</v>
      </c>
      <c r="B1443" s="0" t="n">
        <v>2024</v>
      </c>
      <c r="C1443" s="3"/>
      <c r="D1443" s="19"/>
      <c r="E1443" s="20" t="s">
        <v>28</v>
      </c>
      <c r="F1443" s="21" t="s">
        <v>17</v>
      </c>
      <c r="G1443" s="22" t="n">
        <v>60</v>
      </c>
      <c r="H1443" s="22" t="n">
        <v>48</v>
      </c>
      <c r="I1443" s="22" t="n">
        <v>60</v>
      </c>
      <c r="J1443" s="22" t="n">
        <v>56</v>
      </c>
      <c r="K1443" s="22" t="n">
        <v>60</v>
      </c>
      <c r="L1443" s="0" t="str">
        <f aca="false">IF(H1443&gt;I1443,"ERRO","OK")</f>
        <v>OK</v>
      </c>
      <c r="M1443" s="0" t="str">
        <f aca="false">IF(H1443&gt;J1443,"ERRO","OK")</f>
        <v>OK</v>
      </c>
      <c r="N1443" s="0" t="str">
        <f aca="false">IF(I1443&lt;J1443,"ERRO","OK")</f>
        <v>OK</v>
      </c>
    </row>
    <row r="1444" customFormat="false" ht="14.25" hidden="false" customHeight="false" outlineLevel="0" collapsed="false">
      <c r="A1444" s="0" t="n">
        <v>74</v>
      </c>
      <c r="B1444" s="0" t="n">
        <v>2024</v>
      </c>
      <c r="C1444" s="3"/>
      <c r="D1444" s="19"/>
      <c r="E1444" s="20" t="s">
        <v>29</v>
      </c>
      <c r="F1444" s="21" t="s">
        <v>30</v>
      </c>
      <c r="G1444" s="22" t="n">
        <v>60</v>
      </c>
      <c r="H1444" s="22" t="n">
        <v>36</v>
      </c>
      <c r="I1444" s="22" t="n">
        <v>60</v>
      </c>
      <c r="J1444" s="22" t="n">
        <v>51</v>
      </c>
      <c r="K1444" s="22" t="n">
        <v>54</v>
      </c>
      <c r="L1444" s="0" t="str">
        <f aca="false">IF(H1444&gt;I1444,"ERRO","OK")</f>
        <v>OK</v>
      </c>
      <c r="M1444" s="0" t="str">
        <f aca="false">IF(H1444&gt;J1444,"ERRO","OK")</f>
        <v>OK</v>
      </c>
      <c r="N1444" s="0" t="str">
        <f aca="false">IF(I1444&lt;J1444,"ERRO","OK")</f>
        <v>OK</v>
      </c>
    </row>
    <row r="1445" customFormat="false" ht="14.25" hidden="false" customHeight="false" outlineLevel="0" collapsed="false">
      <c r="A1445" s="0" t="n">
        <v>74</v>
      </c>
      <c r="B1445" s="0" t="n">
        <v>2024</v>
      </c>
      <c r="C1445" s="3"/>
      <c r="D1445" s="19"/>
      <c r="E1445" s="20" t="s">
        <v>31</v>
      </c>
      <c r="F1445" s="21" t="s">
        <v>17</v>
      </c>
      <c r="G1445" s="21"/>
      <c r="H1445" s="22" t="n">
        <v>48</v>
      </c>
      <c r="I1445" s="22" t="n">
        <v>72</v>
      </c>
      <c r="J1445" s="22" t="n">
        <v>60</v>
      </c>
      <c r="K1445" s="22" t="n">
        <v>60</v>
      </c>
      <c r="L1445" s="0" t="str">
        <f aca="false">IF(H1445&gt;I1445,"ERRO","OK")</f>
        <v>OK</v>
      </c>
      <c r="M1445" s="0" t="str">
        <f aca="false">IF(H1445&gt;J1445,"ERRO","OK")</f>
        <v>OK</v>
      </c>
      <c r="N1445" s="0" t="str">
        <f aca="false">IF(I1445&lt;J1445,"ERRO","OK")</f>
        <v>OK</v>
      </c>
    </row>
    <row r="1446" customFormat="false" ht="14.25" hidden="false" customHeight="false" outlineLevel="0" collapsed="false">
      <c r="A1446" s="0" t="n">
        <v>74</v>
      </c>
      <c r="B1446" s="0" t="n">
        <v>2024</v>
      </c>
      <c r="C1446" s="3"/>
      <c r="D1446" s="19"/>
      <c r="E1446" s="20" t="s">
        <v>32</v>
      </c>
      <c r="F1446" s="21" t="s">
        <v>17</v>
      </c>
      <c r="G1446" s="22" t="n">
        <v>24</v>
      </c>
      <c r="H1446" s="22" t="n">
        <v>24</v>
      </c>
      <c r="I1446" s="22" t="n">
        <v>36</v>
      </c>
      <c r="J1446" s="22" t="s">
        <v>183</v>
      </c>
      <c r="K1446" s="22" t="n">
        <v>27</v>
      </c>
      <c r="L1446" s="0" t="str">
        <f aca="false">IF(H1446&gt;I1446,"ERRO","OK")</f>
        <v>OK</v>
      </c>
      <c r="M1446" s="0" t="str">
        <f aca="false">IF(H1446&gt;J1446,"ERRO","OK")</f>
        <v>OK</v>
      </c>
      <c r="N1446" s="0" t="str">
        <f aca="false">IF(I1446&lt;J1446,"ERRO","OK")</f>
        <v>ERRO</v>
      </c>
    </row>
    <row r="1447" customFormat="false" ht="14.25" hidden="false" customHeight="false" outlineLevel="0" collapsed="false">
      <c r="A1447" s="0" t="n">
        <v>74</v>
      </c>
      <c r="B1447" s="0" t="n">
        <v>2024</v>
      </c>
      <c r="C1447" s="3"/>
      <c r="D1447" s="19"/>
      <c r="E1447" s="20" t="s">
        <v>33</v>
      </c>
      <c r="F1447" s="21" t="s">
        <v>17</v>
      </c>
      <c r="G1447" s="22" t="n">
        <v>48</v>
      </c>
      <c r="H1447" s="22" t="n">
        <v>48</v>
      </c>
      <c r="I1447" s="22" t="n">
        <v>48</v>
      </c>
      <c r="J1447" s="22" t="n">
        <v>48</v>
      </c>
      <c r="K1447" s="22" t="n">
        <v>48</v>
      </c>
      <c r="L1447" s="0" t="str">
        <f aca="false">IF(H1447&gt;I1447,"ERRO","OK")</f>
        <v>OK</v>
      </c>
      <c r="M1447" s="0" t="str">
        <f aca="false">IF(H1447&gt;J1447,"ERRO","OK")</f>
        <v>OK</v>
      </c>
      <c r="N1447" s="0" t="str">
        <f aca="false">IF(I1447&lt;J1447,"ERRO","OK")</f>
        <v>OK</v>
      </c>
    </row>
    <row r="1448" customFormat="false" ht="14.25" hidden="false" customHeight="false" outlineLevel="0" collapsed="false">
      <c r="A1448" s="0" t="n">
        <v>74</v>
      </c>
      <c r="B1448" s="0" t="n">
        <v>2024</v>
      </c>
      <c r="C1448" s="3"/>
      <c r="D1448" s="19"/>
      <c r="E1448" s="20" t="s">
        <v>35</v>
      </c>
      <c r="F1448" s="21" t="s">
        <v>36</v>
      </c>
      <c r="G1448" s="22" t="n">
        <v>5</v>
      </c>
      <c r="H1448" s="22" t="n">
        <v>5</v>
      </c>
      <c r="I1448" s="22" t="n">
        <v>5</v>
      </c>
      <c r="J1448" s="22" t="n">
        <v>5</v>
      </c>
      <c r="K1448" s="22" t="n">
        <v>5</v>
      </c>
      <c r="L1448" s="0" t="str">
        <f aca="false">IF(H1448&gt;I1448,"ERRO","OK")</f>
        <v>OK</v>
      </c>
      <c r="M1448" s="0" t="str">
        <f aca="false">IF(H1448&gt;J1448,"ERRO","OK")</f>
        <v>OK</v>
      </c>
      <c r="N1448" s="0" t="str">
        <f aca="false">IF(I1448&lt;J1448,"ERRO","OK")</f>
        <v>OK</v>
      </c>
    </row>
    <row r="1449" customFormat="false" ht="14.25" hidden="false" customHeight="false" outlineLevel="0" collapsed="false">
      <c r="A1449" s="0" t="n">
        <v>74</v>
      </c>
      <c r="B1449" s="0" t="n">
        <v>2024</v>
      </c>
      <c r="C1449" s="3"/>
      <c r="D1449" s="19"/>
      <c r="E1449" s="20" t="s">
        <v>38</v>
      </c>
      <c r="F1449" s="21" t="s">
        <v>39</v>
      </c>
      <c r="G1449" s="22" t="n">
        <v>12</v>
      </c>
      <c r="H1449" s="22" t="n">
        <v>12</v>
      </c>
      <c r="I1449" s="22" t="n">
        <v>15</v>
      </c>
      <c r="J1449" s="22" t="s">
        <v>282</v>
      </c>
      <c r="K1449" s="22" t="s">
        <v>282</v>
      </c>
      <c r="L1449" s="0" t="str">
        <f aca="false">IF(H1449&gt;I1449,"ERRO","OK")</f>
        <v>OK</v>
      </c>
      <c r="M1449" s="0" t="str">
        <f aca="false">IF(H1449&gt;J1449,"ERRO","OK")</f>
        <v>OK</v>
      </c>
      <c r="N1449" s="0" t="str">
        <f aca="false">IF(I1449&lt;J1449,"ERRO","OK")</f>
        <v>ERRO</v>
      </c>
    </row>
    <row r="1450" customFormat="false" ht="14.25" hidden="false" customHeight="false" outlineLevel="0" collapsed="false">
      <c r="A1450" s="0" t="n">
        <v>74</v>
      </c>
      <c r="B1450" s="0" t="n">
        <v>2024</v>
      </c>
      <c r="C1450" s="3"/>
      <c r="D1450" s="19"/>
      <c r="E1450" s="20" t="s">
        <v>40</v>
      </c>
      <c r="F1450" s="21" t="s">
        <v>39</v>
      </c>
      <c r="G1450" s="22" t="n">
        <v>35</v>
      </c>
      <c r="H1450" s="22" t="n">
        <v>20</v>
      </c>
      <c r="I1450" s="22" t="n">
        <v>35</v>
      </c>
      <c r="J1450" s="22" t="s">
        <v>354</v>
      </c>
      <c r="K1450" s="22" t="n">
        <v>30</v>
      </c>
      <c r="L1450" s="0" t="str">
        <f aca="false">IF(H1450&gt;I1450,"ERRO","OK")</f>
        <v>OK</v>
      </c>
      <c r="M1450" s="0" t="str">
        <f aca="false">IF(H1450&gt;J1450,"ERRO","OK")</f>
        <v>OK</v>
      </c>
      <c r="N1450" s="0" t="str">
        <f aca="false">IF(I1450&lt;J1450,"ERRO","OK")</f>
        <v>ERRO</v>
      </c>
    </row>
    <row r="1451" customFormat="false" ht="14.25" hidden="false" customHeight="false" outlineLevel="0" collapsed="false">
      <c r="A1451" s="0" t="n">
        <v>74</v>
      </c>
      <c r="B1451" s="0" t="n">
        <v>2024</v>
      </c>
      <c r="C1451" s="3"/>
      <c r="D1451" s="19"/>
      <c r="E1451" s="20" t="s">
        <v>360</v>
      </c>
      <c r="F1451" s="21" t="s">
        <v>158</v>
      </c>
      <c r="G1451" s="21"/>
      <c r="H1451" s="22" t="n">
        <v>80</v>
      </c>
      <c r="I1451" s="22" t="n">
        <v>80</v>
      </c>
      <c r="J1451" s="22" t="n">
        <v>80</v>
      </c>
      <c r="K1451" s="22" t="n">
        <v>80</v>
      </c>
      <c r="L1451" s="0" t="str">
        <f aca="false">IF(H1451&gt;I1451,"ERRO","OK")</f>
        <v>OK</v>
      </c>
      <c r="M1451" s="0" t="str">
        <f aca="false">IF(H1451&gt;J1451,"ERRO","OK")</f>
        <v>OK</v>
      </c>
      <c r="N1451" s="0" t="str">
        <f aca="false">IF(I1451&lt;J1451,"ERRO","OK")</f>
        <v>OK</v>
      </c>
    </row>
    <row r="1452" customFormat="false" ht="14.25" hidden="false" customHeight="false" outlineLevel="0" collapsed="false">
      <c r="A1452" s="0" t="n">
        <v>74</v>
      </c>
      <c r="B1452" s="0" t="n">
        <v>2024</v>
      </c>
      <c r="C1452" s="3"/>
      <c r="D1452" s="19"/>
      <c r="E1452" s="20" t="s">
        <v>43</v>
      </c>
      <c r="F1452" s="21" t="s">
        <v>44</v>
      </c>
      <c r="G1452" s="22" t="n">
        <v>40</v>
      </c>
      <c r="H1452" s="22" t="n">
        <v>30</v>
      </c>
      <c r="I1452" s="22" t="n">
        <v>40</v>
      </c>
      <c r="J1452" s="22" t="n">
        <v>35</v>
      </c>
      <c r="K1452" s="22" t="n">
        <v>35</v>
      </c>
      <c r="L1452" s="0" t="str">
        <f aca="false">IF(H1452&gt;I1452,"ERRO","OK")</f>
        <v>OK</v>
      </c>
      <c r="M1452" s="0" t="str">
        <f aca="false">IF(H1452&gt;J1452,"ERRO","OK")</f>
        <v>OK</v>
      </c>
      <c r="N1452" s="0" t="str">
        <f aca="false">IF(I1452&lt;J1452,"ERRO","OK")</f>
        <v>OK</v>
      </c>
    </row>
    <row r="1453" customFormat="false" ht="14.25" hidden="false" customHeight="false" outlineLevel="0" collapsed="false">
      <c r="A1453" s="0" t="n">
        <v>74</v>
      </c>
      <c r="B1453" s="0" t="n">
        <v>2024</v>
      </c>
      <c r="C1453" s="3"/>
      <c r="D1453" s="19"/>
      <c r="E1453" s="20" t="s">
        <v>361</v>
      </c>
      <c r="F1453" s="21" t="s">
        <v>47</v>
      </c>
      <c r="G1453" s="22" t="n">
        <v>45</v>
      </c>
      <c r="H1453" s="22" t="n">
        <v>45</v>
      </c>
      <c r="I1453" s="22" t="n">
        <v>70</v>
      </c>
      <c r="J1453" s="22" t="s">
        <v>239</v>
      </c>
      <c r="K1453" s="22" t="n">
        <v>55</v>
      </c>
      <c r="L1453" s="0" t="str">
        <f aca="false">IF(H1453&gt;I1453,"ERRO","OK")</f>
        <v>OK</v>
      </c>
      <c r="M1453" s="0" t="str">
        <f aca="false">IF(H1453&gt;J1453,"ERRO","OK")</f>
        <v>OK</v>
      </c>
      <c r="N1453" s="0" t="str">
        <f aca="false">IF(I1453&lt;J1453,"ERRO","OK")</f>
        <v>ERRO</v>
      </c>
    </row>
    <row r="1454" customFormat="false" ht="14.25" hidden="false" customHeight="false" outlineLevel="0" collapsed="false">
      <c r="A1454" s="0" t="n">
        <v>74</v>
      </c>
      <c r="B1454" s="0" t="n">
        <v>2024</v>
      </c>
      <c r="C1454" s="3"/>
      <c r="D1454" s="19"/>
      <c r="E1454" s="20" t="s">
        <v>48</v>
      </c>
      <c r="F1454" s="21" t="s">
        <v>49</v>
      </c>
      <c r="G1454" s="21"/>
      <c r="H1454" s="22" t="n">
        <v>50</v>
      </c>
      <c r="I1454" s="22" t="n">
        <v>70</v>
      </c>
      <c r="J1454" s="22" t="n">
        <v>60</v>
      </c>
      <c r="K1454" s="22" t="n">
        <v>60</v>
      </c>
      <c r="L1454" s="0" t="str">
        <f aca="false">IF(H1454&gt;I1454,"ERRO","OK")</f>
        <v>OK</v>
      </c>
      <c r="M1454" s="0" t="str">
        <f aca="false">IF(H1454&gt;J1454,"ERRO","OK")</f>
        <v>OK</v>
      </c>
      <c r="N1454" s="0" t="str">
        <f aca="false">IF(I1454&lt;J1454,"ERRO","OK")</f>
        <v>OK</v>
      </c>
    </row>
    <row r="1455" customFormat="false" ht="14.25" hidden="false" customHeight="false" outlineLevel="0" collapsed="false">
      <c r="A1455" s="0" t="n">
        <v>74</v>
      </c>
      <c r="B1455" s="0" t="n">
        <v>2024</v>
      </c>
      <c r="C1455" s="3"/>
      <c r="D1455" s="19"/>
      <c r="E1455" s="20" t="s">
        <v>52</v>
      </c>
      <c r="F1455" s="21" t="s">
        <v>49</v>
      </c>
      <c r="G1455" s="21"/>
      <c r="H1455" s="22" t="n">
        <v>45</v>
      </c>
      <c r="I1455" s="22" t="n">
        <v>110</v>
      </c>
      <c r="J1455" s="22" t="s">
        <v>355</v>
      </c>
      <c r="K1455" s="22" t="n">
        <v>90</v>
      </c>
      <c r="L1455" s="0" t="str">
        <f aca="false">IF(H1455&gt;I1455,"ERRO","OK")</f>
        <v>OK</v>
      </c>
      <c r="M1455" s="0" t="str">
        <f aca="false">IF(H1455&gt;J1455,"ERRO","OK")</f>
        <v>OK</v>
      </c>
      <c r="N1455" s="0" t="str">
        <f aca="false">IF(I1455&lt;J1455,"ERRO","OK")</f>
        <v>ERRO</v>
      </c>
    </row>
    <row r="1456" customFormat="false" ht="14.25" hidden="false" customHeight="false" outlineLevel="0" collapsed="false">
      <c r="A1456" s="0" t="n">
        <v>74</v>
      </c>
      <c r="B1456" s="0" t="n">
        <v>2024</v>
      </c>
      <c r="C1456" s="3"/>
      <c r="D1456" s="19"/>
      <c r="E1456" s="20" t="s">
        <v>53</v>
      </c>
      <c r="F1456" s="21" t="s">
        <v>54</v>
      </c>
      <c r="G1456" s="21"/>
      <c r="H1456" s="22" t="n">
        <v>55</v>
      </c>
      <c r="I1456" s="22" t="n">
        <v>70</v>
      </c>
      <c r="J1456" s="22" t="s">
        <v>84</v>
      </c>
      <c r="K1456" s="22" t="s">
        <v>84</v>
      </c>
      <c r="L1456" s="0" t="str">
        <f aca="false">IF(H1456&gt;I1456,"ERRO","OK")</f>
        <v>OK</v>
      </c>
      <c r="M1456" s="0" t="str">
        <f aca="false">IF(H1456&gt;J1456,"ERRO","OK")</f>
        <v>OK</v>
      </c>
      <c r="N1456" s="0" t="str">
        <f aca="false">IF(I1456&lt;J1456,"ERRO","OK")</f>
        <v>ERRO</v>
      </c>
    </row>
    <row r="1457" customFormat="false" ht="14.25" hidden="false" customHeight="false" outlineLevel="0" collapsed="false">
      <c r="A1457" s="0" t="n">
        <v>74</v>
      </c>
      <c r="B1457" s="0" t="n">
        <v>2024</v>
      </c>
      <c r="C1457" s="3"/>
      <c r="D1457" s="19"/>
      <c r="E1457" s="20" t="s">
        <v>56</v>
      </c>
      <c r="F1457" s="21" t="s">
        <v>47</v>
      </c>
      <c r="G1457" s="22" t="n">
        <v>55</v>
      </c>
      <c r="H1457" s="22" t="n">
        <v>40</v>
      </c>
      <c r="I1457" s="22" t="n">
        <v>55</v>
      </c>
      <c r="J1457" s="22" t="s">
        <v>141</v>
      </c>
      <c r="K1457" s="22" t="n">
        <v>50</v>
      </c>
      <c r="L1457" s="0" t="str">
        <f aca="false">IF(H1457&gt;I1457,"ERRO","OK")</f>
        <v>OK</v>
      </c>
      <c r="M1457" s="0" t="str">
        <f aca="false">IF(H1457&gt;J1457,"ERRO","OK")</f>
        <v>OK</v>
      </c>
      <c r="N1457" s="0" t="str">
        <f aca="false">IF(I1457&lt;J1457,"ERRO","OK")</f>
        <v>ERRO</v>
      </c>
    </row>
    <row r="1458" customFormat="false" ht="14.25" hidden="false" customHeight="false" outlineLevel="0" collapsed="false">
      <c r="A1458" s="0" t="n">
        <v>74</v>
      </c>
      <c r="B1458" s="0" t="n">
        <v>2024</v>
      </c>
      <c r="C1458" s="3"/>
      <c r="D1458" s="19"/>
      <c r="E1458" s="20" t="s">
        <v>57</v>
      </c>
      <c r="F1458" s="21" t="s">
        <v>47</v>
      </c>
      <c r="G1458" s="21"/>
      <c r="H1458" s="22" t="n">
        <v>55</v>
      </c>
      <c r="I1458" s="22" t="n">
        <v>85</v>
      </c>
      <c r="J1458" s="22" t="s">
        <v>98</v>
      </c>
      <c r="K1458" s="22" t="s">
        <v>88</v>
      </c>
      <c r="L1458" s="0" t="str">
        <f aca="false">IF(H1458&gt;I1458,"ERRO","OK")</f>
        <v>OK</v>
      </c>
      <c r="M1458" s="0" t="str">
        <f aca="false">IF(H1458&gt;J1458,"ERRO","OK")</f>
        <v>OK</v>
      </c>
      <c r="N1458" s="0" t="str">
        <f aca="false">IF(I1458&lt;J1458,"ERRO","OK")</f>
        <v>ERRO</v>
      </c>
    </row>
    <row r="1459" customFormat="false" ht="14.25" hidden="false" customHeight="false" outlineLevel="0" collapsed="false">
      <c r="A1459" s="0" t="n">
        <v>74</v>
      </c>
      <c r="B1459" s="0" t="n">
        <v>2024</v>
      </c>
      <c r="C1459" s="3"/>
      <c r="D1459" s="19"/>
      <c r="E1459" s="20" t="s">
        <v>58</v>
      </c>
      <c r="F1459" s="21" t="s">
        <v>44</v>
      </c>
      <c r="G1459" s="21"/>
      <c r="H1459" s="22" t="n">
        <v>90</v>
      </c>
      <c r="I1459" s="22" t="n">
        <v>100</v>
      </c>
      <c r="J1459" s="22" t="n">
        <v>95</v>
      </c>
      <c r="K1459" s="22" t="n">
        <v>95</v>
      </c>
      <c r="L1459" s="0" t="str">
        <f aca="false">IF(H1459&gt;I1459,"ERRO","OK")</f>
        <v>OK</v>
      </c>
      <c r="M1459" s="0" t="str">
        <f aca="false">IF(H1459&gt;J1459,"ERRO","OK")</f>
        <v>OK</v>
      </c>
      <c r="N1459" s="0" t="str">
        <f aca="false">IF(I1459&lt;J1459,"ERRO","OK")</f>
        <v>OK</v>
      </c>
    </row>
    <row r="1460" customFormat="false" ht="14.25" hidden="false" customHeight="false" outlineLevel="0" collapsed="false">
      <c r="A1460" s="0" t="n">
        <v>74</v>
      </c>
      <c r="B1460" s="0" t="n">
        <v>2024</v>
      </c>
      <c r="C1460" s="3"/>
      <c r="D1460" s="19"/>
      <c r="E1460" s="20" t="s">
        <v>60</v>
      </c>
      <c r="F1460" s="21" t="s">
        <v>47</v>
      </c>
      <c r="G1460" s="21"/>
      <c r="H1460" s="22" t="n">
        <v>70</v>
      </c>
      <c r="I1460" s="22" t="n">
        <v>70</v>
      </c>
      <c r="J1460" s="22" t="n">
        <v>70</v>
      </c>
      <c r="K1460" s="22" t="n">
        <v>70</v>
      </c>
      <c r="L1460" s="0" t="str">
        <f aca="false">IF(H1460&gt;I1460,"ERRO","OK")</f>
        <v>OK</v>
      </c>
      <c r="M1460" s="0" t="str">
        <f aca="false">IF(H1460&gt;J1460,"ERRO","OK")</f>
        <v>OK</v>
      </c>
      <c r="N1460" s="0" t="str">
        <f aca="false">IF(I1460&lt;J1460,"ERRO","OK")</f>
        <v>OK</v>
      </c>
    </row>
    <row r="1461" customFormat="false" ht="14.25" hidden="false" customHeight="false" outlineLevel="0" collapsed="false">
      <c r="A1461" s="0" t="n">
        <v>74</v>
      </c>
      <c r="B1461" s="0" t="n">
        <v>2024</v>
      </c>
      <c r="C1461" s="3"/>
      <c r="D1461" s="19"/>
      <c r="E1461" s="20" t="s">
        <v>61</v>
      </c>
      <c r="F1461" s="21" t="s">
        <v>44</v>
      </c>
      <c r="G1461" s="21"/>
      <c r="H1461" s="22" t="n">
        <v>70</v>
      </c>
      <c r="I1461" s="22" t="n">
        <v>80</v>
      </c>
      <c r="J1461" s="22" t="n">
        <v>75</v>
      </c>
      <c r="K1461" s="22" t="n">
        <v>75</v>
      </c>
      <c r="L1461" s="0" t="str">
        <f aca="false">IF(H1461&gt;I1461,"ERRO","OK")</f>
        <v>OK</v>
      </c>
      <c r="M1461" s="0" t="str">
        <f aca="false">IF(H1461&gt;J1461,"ERRO","OK")</f>
        <v>OK</v>
      </c>
      <c r="N1461" s="0" t="str">
        <f aca="false">IF(I1461&lt;J1461,"ERRO","OK")</f>
        <v>OK</v>
      </c>
    </row>
    <row r="1462" customFormat="false" ht="14.25" hidden="false" customHeight="false" outlineLevel="0" collapsed="false">
      <c r="A1462" s="0" t="n">
        <v>74</v>
      </c>
      <c r="B1462" s="0" t="n">
        <v>2024</v>
      </c>
      <c r="C1462" s="3"/>
      <c r="D1462" s="19"/>
      <c r="E1462" s="20" t="s">
        <v>62</v>
      </c>
      <c r="F1462" s="21" t="s">
        <v>44</v>
      </c>
      <c r="G1462" s="22" t="n">
        <v>100</v>
      </c>
      <c r="H1462" s="22" t="n">
        <v>75</v>
      </c>
      <c r="I1462" s="22" t="n">
        <v>100</v>
      </c>
      <c r="J1462" s="22" t="s">
        <v>356</v>
      </c>
      <c r="K1462" s="22" t="n">
        <v>90</v>
      </c>
      <c r="L1462" s="0" t="str">
        <f aca="false">IF(H1462&gt;I1462,"ERRO","OK")</f>
        <v>OK</v>
      </c>
      <c r="M1462" s="0" t="str">
        <f aca="false">IF(H1462&gt;J1462,"ERRO","OK")</f>
        <v>OK</v>
      </c>
      <c r="N1462" s="0" t="str">
        <f aca="false">IF(I1462&lt;J1462,"ERRO","OK")</f>
        <v>ERRO</v>
      </c>
    </row>
    <row r="1463" customFormat="false" ht="14.25" hidden="false" customHeight="false" outlineLevel="0" collapsed="false">
      <c r="A1463" s="0" t="n">
        <v>74</v>
      </c>
      <c r="B1463" s="0" t="n">
        <v>2024</v>
      </c>
      <c r="C1463" s="3"/>
      <c r="D1463" s="19"/>
      <c r="E1463" s="20" t="s">
        <v>63</v>
      </c>
      <c r="F1463" s="21" t="s">
        <v>49</v>
      </c>
      <c r="G1463" s="22" t="n">
        <v>45</v>
      </c>
      <c r="H1463" s="22" t="n">
        <v>45</v>
      </c>
      <c r="I1463" s="22" t="n">
        <v>85</v>
      </c>
      <c r="J1463" s="22" t="s">
        <v>45</v>
      </c>
      <c r="K1463" s="22" t="n">
        <v>50</v>
      </c>
      <c r="L1463" s="0" t="str">
        <f aca="false">IF(H1463&gt;I1463,"ERRO","OK")</f>
        <v>OK</v>
      </c>
      <c r="M1463" s="0" t="str">
        <f aca="false">IF(H1463&gt;J1463,"ERRO","OK")</f>
        <v>OK</v>
      </c>
      <c r="N1463" s="0" t="str">
        <f aca="false">IF(I1463&lt;J1463,"ERRO","OK")</f>
        <v>ERRO</v>
      </c>
    </row>
    <row r="1464" customFormat="false" ht="14.25" hidden="false" customHeight="false" outlineLevel="0" collapsed="false">
      <c r="A1464" s="0" t="n">
        <v>74</v>
      </c>
      <c r="B1464" s="0" t="n">
        <v>2024</v>
      </c>
      <c r="C1464" s="3"/>
      <c r="D1464" s="19"/>
      <c r="E1464" s="20" t="s">
        <v>64</v>
      </c>
      <c r="F1464" s="21" t="s">
        <v>65</v>
      </c>
      <c r="G1464" s="22" t="n">
        <v>160</v>
      </c>
      <c r="H1464" s="22" t="n">
        <v>150</v>
      </c>
      <c r="I1464" s="22" t="n">
        <v>180</v>
      </c>
      <c r="J1464" s="22" t="s">
        <v>357</v>
      </c>
      <c r="K1464" s="22" t="n">
        <v>160</v>
      </c>
      <c r="L1464" s="0" t="str">
        <f aca="false">IF(H1464&gt;I1464,"ERRO","OK")</f>
        <v>OK</v>
      </c>
      <c r="M1464" s="0" t="str">
        <f aca="false">IF(H1464&gt;J1464,"ERRO","OK")</f>
        <v>OK</v>
      </c>
      <c r="N1464" s="0" t="str">
        <f aca="false">IF(I1464&lt;J1464,"ERRO","OK")</f>
        <v>ERRO</v>
      </c>
    </row>
    <row r="1465" customFormat="false" ht="14.25" hidden="false" customHeight="false" outlineLevel="0" collapsed="false">
      <c r="A1465" s="0" t="n">
        <v>74</v>
      </c>
      <c r="B1465" s="0" t="n">
        <v>2024</v>
      </c>
      <c r="C1465" s="3"/>
      <c r="D1465" s="19"/>
      <c r="E1465" s="20" t="s">
        <v>67</v>
      </c>
      <c r="F1465" s="21" t="s">
        <v>44</v>
      </c>
      <c r="G1465" s="21"/>
      <c r="H1465" s="22" t="n">
        <v>50</v>
      </c>
      <c r="I1465" s="22" t="n">
        <v>80</v>
      </c>
      <c r="J1465" s="22" t="n">
        <v>65</v>
      </c>
      <c r="K1465" s="22" t="n">
        <v>65</v>
      </c>
      <c r="L1465" s="0" t="str">
        <f aca="false">IF(H1465&gt;I1465,"ERRO","OK")</f>
        <v>OK</v>
      </c>
      <c r="M1465" s="0" t="str">
        <f aca="false">IF(H1465&gt;J1465,"ERRO","OK")</f>
        <v>OK</v>
      </c>
      <c r="N1465" s="0" t="str">
        <f aca="false">IF(I1465&lt;J1465,"ERRO","OK")</f>
        <v>OK</v>
      </c>
    </row>
    <row r="1466" customFormat="false" ht="14.25" hidden="false" customHeight="false" outlineLevel="0" collapsed="false">
      <c r="A1466" s="0" t="n">
        <v>74</v>
      </c>
      <c r="B1466" s="0" t="n">
        <v>2024</v>
      </c>
      <c r="C1466" s="3"/>
      <c r="D1466" s="19"/>
      <c r="E1466" s="20" t="s">
        <v>68</v>
      </c>
      <c r="F1466" s="21" t="s">
        <v>44</v>
      </c>
      <c r="G1466" s="21"/>
      <c r="H1466" s="22" t="n">
        <v>90</v>
      </c>
      <c r="I1466" s="22" t="n">
        <v>120</v>
      </c>
      <c r="J1466" s="22" t="s">
        <v>118</v>
      </c>
      <c r="K1466" s="22" t="n">
        <v>100</v>
      </c>
      <c r="L1466" s="0" t="str">
        <f aca="false">IF(H1466&gt;I1466,"ERRO","OK")</f>
        <v>OK</v>
      </c>
      <c r="M1466" s="0" t="str">
        <f aca="false">IF(H1466&gt;J1466,"ERRO","OK")</f>
        <v>OK</v>
      </c>
      <c r="N1466" s="0" t="str">
        <f aca="false">IF(I1466&lt;J1466,"ERRO","OK")</f>
        <v>ERRO</v>
      </c>
    </row>
    <row r="1467" customFormat="false" ht="14.25" hidden="false" customHeight="false" outlineLevel="0" collapsed="false">
      <c r="A1467" s="0" t="n">
        <v>74</v>
      </c>
      <c r="B1467" s="0" t="n">
        <v>2024</v>
      </c>
      <c r="C1467" s="3"/>
      <c r="D1467" s="19"/>
      <c r="E1467" s="20" t="s">
        <v>70</v>
      </c>
      <c r="F1467" s="21" t="s">
        <v>49</v>
      </c>
      <c r="G1467" s="21"/>
      <c r="H1467" s="21"/>
      <c r="I1467" s="21"/>
      <c r="J1467" s="21"/>
      <c r="K1467" s="21"/>
      <c r="L1467" s="0" t="str">
        <f aca="false">IF(H1467&gt;I1467,"ERRO","OK")</f>
        <v>OK</v>
      </c>
      <c r="M1467" s="0" t="str">
        <f aca="false">IF(H1467&gt;J1467,"ERRO","OK")</f>
        <v>OK</v>
      </c>
      <c r="N1467" s="0" t="str">
        <f aca="false">IF(I1467&lt;J1467,"ERRO","OK")</f>
        <v>OK</v>
      </c>
    </row>
    <row r="1468" customFormat="false" ht="14.25" hidden="false" customHeight="false" outlineLevel="0" collapsed="false">
      <c r="A1468" s="0" t="n">
        <v>74</v>
      </c>
      <c r="B1468" s="0" t="n">
        <v>2024</v>
      </c>
      <c r="C1468" s="3"/>
      <c r="D1468" s="19"/>
      <c r="E1468" s="20" t="s">
        <v>71</v>
      </c>
      <c r="F1468" s="21" t="s">
        <v>49</v>
      </c>
      <c r="G1468" s="21"/>
      <c r="H1468" s="21"/>
      <c r="I1468" s="21"/>
      <c r="J1468" s="21"/>
      <c r="K1468" s="21"/>
      <c r="L1468" s="0" t="str">
        <f aca="false">IF(H1468&gt;I1468,"ERRO","OK")</f>
        <v>OK</v>
      </c>
      <c r="M1468" s="0" t="str">
        <f aca="false">IF(H1468&gt;J1468,"ERRO","OK")</f>
        <v>OK</v>
      </c>
      <c r="N1468" s="0" t="str">
        <f aca="false">IF(I1468&lt;J1468,"ERRO","OK")</f>
        <v>OK</v>
      </c>
    </row>
    <row r="1469" customFormat="false" ht="14.25" hidden="false" customHeight="false" outlineLevel="0" collapsed="false">
      <c r="A1469" s="0" t="n">
        <v>74</v>
      </c>
      <c r="B1469" s="0" t="n">
        <v>2024</v>
      </c>
      <c r="C1469" s="3"/>
      <c r="D1469" s="19"/>
      <c r="E1469" s="20" t="s">
        <v>72</v>
      </c>
      <c r="F1469" s="21" t="s">
        <v>49</v>
      </c>
      <c r="G1469" s="21"/>
      <c r="H1469" s="21"/>
      <c r="I1469" s="21"/>
      <c r="J1469" s="21"/>
      <c r="K1469" s="21"/>
      <c r="L1469" s="0" t="str">
        <f aca="false">IF(H1469&gt;I1469,"ERRO","OK")</f>
        <v>OK</v>
      </c>
      <c r="M1469" s="0" t="str">
        <f aca="false">IF(H1469&gt;J1469,"ERRO","OK")</f>
        <v>OK</v>
      </c>
      <c r="N1469" s="0" t="str">
        <f aca="false">IF(I1469&lt;J1469,"ERRO","OK")</f>
        <v>OK</v>
      </c>
    </row>
    <row r="1470" customFormat="false" ht="14.25" hidden="false" customHeight="false" outlineLevel="0" collapsed="false">
      <c r="A1470" s="0" t="n">
        <v>74</v>
      </c>
      <c r="B1470" s="0" t="n">
        <v>2024</v>
      </c>
      <c r="C1470" s="3"/>
      <c r="D1470" s="19"/>
      <c r="E1470" s="20" t="s">
        <v>73</v>
      </c>
      <c r="F1470" s="21" t="s">
        <v>49</v>
      </c>
      <c r="G1470" s="21"/>
      <c r="H1470" s="22" t="n">
        <v>70</v>
      </c>
      <c r="I1470" s="22" t="n">
        <v>70</v>
      </c>
      <c r="J1470" s="22" t="n">
        <v>70</v>
      </c>
      <c r="K1470" s="22" t="n">
        <v>70</v>
      </c>
      <c r="L1470" s="0" t="str">
        <f aca="false">IF(H1470&gt;I1470,"ERRO","OK")</f>
        <v>OK</v>
      </c>
      <c r="M1470" s="0" t="str">
        <f aca="false">IF(H1470&gt;J1470,"ERRO","OK")</f>
        <v>OK</v>
      </c>
      <c r="N1470" s="0" t="str">
        <f aca="false">IF(I1470&lt;J1470,"ERRO","OK")</f>
        <v>OK</v>
      </c>
    </row>
    <row r="1471" customFormat="false" ht="14.25" hidden="false" customHeight="false" outlineLevel="0" collapsed="false">
      <c r="A1471" s="0" t="n">
        <v>74</v>
      </c>
      <c r="B1471" s="0" t="n">
        <v>2024</v>
      </c>
      <c r="C1471" s="3"/>
      <c r="D1471" s="19"/>
      <c r="E1471" s="20" t="s">
        <v>74</v>
      </c>
      <c r="F1471" s="21" t="s">
        <v>75</v>
      </c>
      <c r="G1471" s="21"/>
      <c r="H1471" s="21"/>
      <c r="I1471" s="21"/>
      <c r="J1471" s="21"/>
      <c r="K1471" s="21"/>
      <c r="L1471" s="0" t="str">
        <f aca="false">IF(H1471&gt;I1471,"ERRO","OK")</f>
        <v>OK</v>
      </c>
      <c r="M1471" s="0" t="str">
        <f aca="false">IF(H1471&gt;J1471,"ERRO","OK")</f>
        <v>OK</v>
      </c>
      <c r="N1471" s="0" t="str">
        <f aca="false">IF(I1471&lt;J1471,"ERRO","OK")</f>
        <v>OK</v>
      </c>
    </row>
    <row r="1472" customFormat="false" ht="14.25" hidden="false" customHeight="false" outlineLevel="0" collapsed="false">
      <c r="A1472" s="0" t="n">
        <v>75</v>
      </c>
      <c r="B1472" s="0" t="n">
        <v>2024</v>
      </c>
      <c r="C1472" s="3"/>
      <c r="D1472" s="19"/>
      <c r="E1472" s="20" t="s">
        <v>16</v>
      </c>
      <c r="F1472" s="21" t="s">
        <v>17</v>
      </c>
      <c r="G1472" s="21"/>
      <c r="H1472" s="22" t="n">
        <v>36</v>
      </c>
      <c r="I1472" s="22" t="n">
        <v>60</v>
      </c>
      <c r="J1472" s="22" t="n">
        <v>48</v>
      </c>
      <c r="K1472" s="22" t="n">
        <v>48</v>
      </c>
      <c r="L1472" s="0" t="str">
        <f aca="false">IF(H1472&gt;I1472,"ERRO","OK")</f>
        <v>OK</v>
      </c>
      <c r="M1472" s="0" t="str">
        <f aca="false">IF(H1472&gt;J1472,"ERRO","OK")</f>
        <v>OK</v>
      </c>
      <c r="N1472" s="0" t="str">
        <f aca="false">IF(I1472&lt;J1472,"ERRO","OK")</f>
        <v>OK</v>
      </c>
    </row>
    <row r="1473" customFormat="false" ht="14.25" hidden="false" customHeight="false" outlineLevel="0" collapsed="false">
      <c r="A1473" s="0" t="n">
        <v>75</v>
      </c>
      <c r="B1473" s="0" t="n">
        <v>2024</v>
      </c>
      <c r="C1473" s="3"/>
      <c r="D1473" s="19"/>
      <c r="E1473" s="20" t="s">
        <v>18</v>
      </c>
      <c r="F1473" s="21" t="s">
        <v>17</v>
      </c>
      <c r="G1473" s="22" t="n">
        <v>72</v>
      </c>
      <c r="H1473" s="22" t="n">
        <v>78</v>
      </c>
      <c r="I1473" s="22" t="n">
        <v>84</v>
      </c>
      <c r="J1473" s="22" t="n">
        <v>78</v>
      </c>
      <c r="K1473" s="22" t="n">
        <v>78</v>
      </c>
      <c r="L1473" s="0" t="str">
        <f aca="false">IF(H1473&gt;I1473,"ERRO","OK")</f>
        <v>OK</v>
      </c>
      <c r="M1473" s="0" t="str">
        <f aca="false">IF(H1473&gt;J1473,"ERRO","OK")</f>
        <v>OK</v>
      </c>
      <c r="N1473" s="0" t="str">
        <f aca="false">IF(I1473&lt;J1473,"ERRO","OK")</f>
        <v>OK</v>
      </c>
    </row>
    <row r="1474" customFormat="false" ht="14.25" hidden="false" customHeight="false" outlineLevel="0" collapsed="false">
      <c r="A1474" s="0" t="n">
        <v>75</v>
      </c>
      <c r="B1474" s="0" t="n">
        <v>2024</v>
      </c>
      <c r="C1474" s="3"/>
      <c r="D1474" s="19"/>
      <c r="E1474" s="20" t="s">
        <v>19</v>
      </c>
      <c r="F1474" s="21" t="s">
        <v>17</v>
      </c>
      <c r="G1474" s="22" t="n">
        <v>30</v>
      </c>
      <c r="H1474" s="22" t="n">
        <v>30</v>
      </c>
      <c r="I1474" s="22" t="n">
        <v>30</v>
      </c>
      <c r="J1474" s="22" t="n">
        <v>30</v>
      </c>
      <c r="K1474" s="22" t="n">
        <v>30</v>
      </c>
      <c r="L1474" s="0" t="str">
        <f aca="false">IF(H1474&gt;I1474,"ERRO","OK")</f>
        <v>OK</v>
      </c>
      <c r="M1474" s="0" t="str">
        <f aca="false">IF(H1474&gt;J1474,"ERRO","OK")</f>
        <v>OK</v>
      </c>
      <c r="N1474" s="0" t="str">
        <f aca="false">IF(I1474&lt;J1474,"ERRO","OK")</f>
        <v>OK</v>
      </c>
    </row>
    <row r="1475" customFormat="false" ht="14.25" hidden="false" customHeight="false" outlineLevel="0" collapsed="false">
      <c r="A1475" s="0" t="n">
        <v>75</v>
      </c>
      <c r="B1475" s="0" t="n">
        <v>2024</v>
      </c>
      <c r="C1475" s="3"/>
      <c r="D1475" s="19"/>
      <c r="E1475" s="20" t="s">
        <v>20</v>
      </c>
      <c r="F1475" s="21" t="s">
        <v>17</v>
      </c>
      <c r="G1475" s="22" t="n">
        <v>18</v>
      </c>
      <c r="H1475" s="22" t="n">
        <v>18</v>
      </c>
      <c r="I1475" s="22" t="n">
        <v>20</v>
      </c>
      <c r="J1475" s="22" t="s">
        <v>362</v>
      </c>
      <c r="K1475" s="22" t="n">
        <v>18</v>
      </c>
      <c r="L1475" s="0" t="str">
        <f aca="false">IF(H1475&gt;I1475,"ERRO","OK")</f>
        <v>OK</v>
      </c>
      <c r="M1475" s="0" t="str">
        <f aca="false">IF(H1475&gt;J1475,"ERRO","OK")</f>
        <v>OK</v>
      </c>
      <c r="N1475" s="0" t="str">
        <f aca="false">IF(I1475&lt;J1475,"ERRO","OK")</f>
        <v>ERRO</v>
      </c>
    </row>
    <row r="1476" customFormat="false" ht="14.25" hidden="false" customHeight="false" outlineLevel="0" collapsed="false">
      <c r="A1476" s="0" t="n">
        <v>75</v>
      </c>
      <c r="B1476" s="0" t="n">
        <v>2024</v>
      </c>
      <c r="C1476" s="3"/>
      <c r="D1476" s="19"/>
      <c r="E1476" s="20" t="s">
        <v>21</v>
      </c>
      <c r="F1476" s="21" t="s">
        <v>17</v>
      </c>
      <c r="G1476" s="22" t="n">
        <v>18</v>
      </c>
      <c r="H1476" s="22" t="n">
        <v>18</v>
      </c>
      <c r="I1476" s="22" t="n">
        <v>20</v>
      </c>
      <c r="J1476" s="22" t="s">
        <v>362</v>
      </c>
      <c r="K1476" s="22" t="n">
        <v>18</v>
      </c>
      <c r="L1476" s="0" t="str">
        <f aca="false">IF(H1476&gt;I1476,"ERRO","OK")</f>
        <v>OK</v>
      </c>
      <c r="M1476" s="0" t="str">
        <f aca="false">IF(H1476&gt;J1476,"ERRO","OK")</f>
        <v>OK</v>
      </c>
      <c r="N1476" s="0" t="str">
        <f aca="false">IF(I1476&lt;J1476,"ERRO","OK")</f>
        <v>ERRO</v>
      </c>
    </row>
    <row r="1477" customFormat="false" ht="14.25" hidden="false" customHeight="false" outlineLevel="0" collapsed="false">
      <c r="A1477" s="0" t="n">
        <v>75</v>
      </c>
      <c r="B1477" s="0" t="n">
        <v>2024</v>
      </c>
      <c r="C1477" s="3"/>
      <c r="D1477" s="19"/>
      <c r="E1477" s="20" t="s">
        <v>22</v>
      </c>
      <c r="F1477" s="21" t="s">
        <v>17</v>
      </c>
      <c r="G1477" s="22" t="n">
        <v>48</v>
      </c>
      <c r="H1477" s="21"/>
      <c r="I1477" s="22" t="n">
        <v>60</v>
      </c>
      <c r="J1477" s="22" t="n">
        <v>54</v>
      </c>
      <c r="K1477" s="22" t="n">
        <v>54</v>
      </c>
      <c r="L1477" s="0" t="str">
        <f aca="false">IF(H1477&gt;I1477,"ERRO","OK")</f>
        <v>OK</v>
      </c>
      <c r="M1477" s="0" t="str">
        <f aca="false">IF(H1477&gt;J1477,"ERRO","OK")</f>
        <v>OK</v>
      </c>
      <c r="N1477" s="0" t="str">
        <f aca="false">IF(I1477&lt;J1477,"ERRO","OK")</f>
        <v>OK</v>
      </c>
    </row>
    <row r="1478" customFormat="false" ht="14.25" hidden="false" customHeight="false" outlineLevel="0" collapsed="false">
      <c r="A1478" s="0" t="n">
        <v>75</v>
      </c>
      <c r="B1478" s="0" t="n">
        <v>2024</v>
      </c>
      <c r="C1478" s="3"/>
      <c r="D1478" s="19"/>
      <c r="E1478" s="20" t="s">
        <v>23</v>
      </c>
      <c r="F1478" s="21" t="s">
        <v>17</v>
      </c>
      <c r="G1478" s="22" t="n">
        <v>60</v>
      </c>
      <c r="H1478" s="21"/>
      <c r="I1478" s="22" t="n">
        <v>72</v>
      </c>
      <c r="J1478" s="22" t="n">
        <v>66</v>
      </c>
      <c r="K1478" s="22" t="n">
        <v>66</v>
      </c>
      <c r="L1478" s="0" t="str">
        <f aca="false">IF(H1478&gt;I1478,"ERRO","OK")</f>
        <v>OK</v>
      </c>
      <c r="M1478" s="0" t="str">
        <f aca="false">IF(H1478&gt;J1478,"ERRO","OK")</f>
        <v>OK</v>
      </c>
      <c r="N1478" s="0" t="str">
        <f aca="false">IF(I1478&lt;J1478,"ERRO","OK")</f>
        <v>OK</v>
      </c>
    </row>
    <row r="1479" customFormat="false" ht="14.25" hidden="false" customHeight="false" outlineLevel="0" collapsed="false">
      <c r="A1479" s="0" t="n">
        <v>75</v>
      </c>
      <c r="B1479" s="0" t="n">
        <v>2024</v>
      </c>
      <c r="C1479" s="3"/>
      <c r="D1479" s="19"/>
      <c r="E1479" s="20" t="s">
        <v>24</v>
      </c>
      <c r="F1479" s="21" t="s">
        <v>17</v>
      </c>
      <c r="G1479" s="22" t="n">
        <v>72</v>
      </c>
      <c r="H1479" s="22" t="n">
        <v>72</v>
      </c>
      <c r="I1479" s="22" t="n">
        <v>72</v>
      </c>
      <c r="J1479" s="22" t="n">
        <v>72</v>
      </c>
      <c r="K1479" s="22" t="n">
        <v>72</v>
      </c>
      <c r="L1479" s="0" t="str">
        <f aca="false">IF(H1479&gt;I1479,"ERRO","OK")</f>
        <v>OK</v>
      </c>
      <c r="M1479" s="0" t="str">
        <f aca="false">IF(H1479&gt;J1479,"ERRO","OK")</f>
        <v>OK</v>
      </c>
      <c r="N1479" s="0" t="str">
        <f aca="false">IF(I1479&lt;J1479,"ERRO","OK")</f>
        <v>OK</v>
      </c>
    </row>
    <row r="1480" customFormat="false" ht="14.25" hidden="false" customHeight="false" outlineLevel="0" collapsed="false">
      <c r="A1480" s="0" t="n">
        <v>75</v>
      </c>
      <c r="B1480" s="0" t="n">
        <v>2024</v>
      </c>
      <c r="C1480" s="3"/>
      <c r="D1480" s="19"/>
      <c r="E1480" s="20" t="s">
        <v>358</v>
      </c>
      <c r="F1480" s="21" t="s">
        <v>17</v>
      </c>
      <c r="G1480" s="22" t="n">
        <v>18</v>
      </c>
      <c r="H1480" s="22" t="n">
        <v>18</v>
      </c>
      <c r="I1480" s="22" t="n">
        <v>25</v>
      </c>
      <c r="J1480" s="22" t="s">
        <v>363</v>
      </c>
      <c r="K1480" s="22" t="n">
        <v>18</v>
      </c>
      <c r="L1480" s="0" t="str">
        <f aca="false">IF(H1480&gt;I1480,"ERRO","OK")</f>
        <v>OK</v>
      </c>
      <c r="M1480" s="0" t="str">
        <f aca="false">IF(H1480&gt;J1480,"ERRO","OK")</f>
        <v>OK</v>
      </c>
      <c r="N1480" s="0" t="str">
        <f aca="false">IF(I1480&lt;J1480,"ERRO","OK")</f>
        <v>ERRO</v>
      </c>
    </row>
    <row r="1481" customFormat="false" ht="14.25" hidden="false" customHeight="false" outlineLevel="0" collapsed="false">
      <c r="A1481" s="0" t="n">
        <v>75</v>
      </c>
      <c r="B1481" s="0" t="n">
        <v>2024</v>
      </c>
      <c r="C1481" s="3"/>
      <c r="D1481" s="19"/>
      <c r="E1481" s="20" t="s">
        <v>359</v>
      </c>
      <c r="F1481" s="21" t="s">
        <v>17</v>
      </c>
      <c r="G1481" s="22" t="n">
        <v>72</v>
      </c>
      <c r="H1481" s="22" t="n">
        <v>72</v>
      </c>
      <c r="I1481" s="22" t="n">
        <v>72</v>
      </c>
      <c r="J1481" s="22" t="n">
        <v>72</v>
      </c>
      <c r="K1481" s="22" t="n">
        <v>72</v>
      </c>
      <c r="L1481" s="0" t="str">
        <f aca="false">IF(H1481&gt;I1481,"ERRO","OK")</f>
        <v>OK</v>
      </c>
      <c r="M1481" s="0" t="str">
        <f aca="false">IF(H1481&gt;J1481,"ERRO","OK")</f>
        <v>OK</v>
      </c>
      <c r="N1481" s="0" t="str">
        <f aca="false">IF(I1481&lt;J1481,"ERRO","OK")</f>
        <v>OK</v>
      </c>
    </row>
    <row r="1482" customFormat="false" ht="14.25" hidden="false" customHeight="false" outlineLevel="0" collapsed="false">
      <c r="A1482" s="0" t="n">
        <v>75</v>
      </c>
      <c r="B1482" s="0" t="n">
        <v>2024</v>
      </c>
      <c r="C1482" s="3"/>
      <c r="D1482" s="19"/>
      <c r="E1482" s="20" t="s">
        <v>27</v>
      </c>
      <c r="F1482" s="21" t="s">
        <v>17</v>
      </c>
      <c r="G1482" s="22" t="n">
        <v>18</v>
      </c>
      <c r="H1482" s="22" t="n">
        <v>18</v>
      </c>
      <c r="I1482" s="22" t="n">
        <v>20</v>
      </c>
      <c r="J1482" s="22" t="s">
        <v>362</v>
      </c>
      <c r="K1482" s="22" t="n">
        <v>18</v>
      </c>
      <c r="L1482" s="0" t="str">
        <f aca="false">IF(H1482&gt;I1482,"ERRO","OK")</f>
        <v>OK</v>
      </c>
      <c r="M1482" s="0" t="str">
        <f aca="false">IF(H1482&gt;J1482,"ERRO","OK")</f>
        <v>OK</v>
      </c>
      <c r="N1482" s="0" t="str">
        <f aca="false">IF(I1482&lt;J1482,"ERRO","OK")</f>
        <v>ERRO</v>
      </c>
    </row>
    <row r="1483" customFormat="false" ht="14.25" hidden="false" customHeight="false" outlineLevel="0" collapsed="false">
      <c r="A1483" s="0" t="n">
        <v>75</v>
      </c>
      <c r="B1483" s="0" t="n">
        <v>2024</v>
      </c>
      <c r="C1483" s="3"/>
      <c r="D1483" s="19"/>
      <c r="E1483" s="20" t="s">
        <v>28</v>
      </c>
      <c r="F1483" s="21" t="s">
        <v>17</v>
      </c>
      <c r="G1483" s="22" t="n">
        <v>48</v>
      </c>
      <c r="H1483" s="22" t="n">
        <v>48</v>
      </c>
      <c r="I1483" s="22" t="n">
        <v>72</v>
      </c>
      <c r="J1483" s="22" t="n">
        <v>60</v>
      </c>
      <c r="K1483" s="22" t="n">
        <v>60</v>
      </c>
      <c r="L1483" s="0" t="str">
        <f aca="false">IF(H1483&gt;I1483,"ERRO","OK")</f>
        <v>OK</v>
      </c>
      <c r="M1483" s="0" t="str">
        <f aca="false">IF(H1483&gt;J1483,"ERRO","OK")</f>
        <v>OK</v>
      </c>
      <c r="N1483" s="0" t="str">
        <f aca="false">IF(I1483&lt;J1483,"ERRO","OK")</f>
        <v>OK</v>
      </c>
    </row>
    <row r="1484" customFormat="false" ht="14.25" hidden="false" customHeight="false" outlineLevel="0" collapsed="false">
      <c r="A1484" s="0" t="n">
        <v>75</v>
      </c>
      <c r="B1484" s="0" t="n">
        <v>2024</v>
      </c>
      <c r="C1484" s="3"/>
      <c r="D1484" s="19"/>
      <c r="E1484" s="20" t="s">
        <v>29</v>
      </c>
      <c r="F1484" s="21" t="s">
        <v>30</v>
      </c>
      <c r="G1484" s="22" t="n">
        <v>48</v>
      </c>
      <c r="H1484" s="22" t="n">
        <v>40</v>
      </c>
      <c r="I1484" s="22" t="n">
        <v>60</v>
      </c>
      <c r="J1484" s="22" t="n">
        <v>52</v>
      </c>
      <c r="K1484" s="22" t="n">
        <v>50</v>
      </c>
      <c r="L1484" s="0" t="str">
        <f aca="false">IF(H1484&gt;I1484,"ERRO","OK")</f>
        <v>OK</v>
      </c>
      <c r="M1484" s="0" t="str">
        <f aca="false">IF(H1484&gt;J1484,"ERRO","OK")</f>
        <v>OK</v>
      </c>
      <c r="N1484" s="0" t="str">
        <f aca="false">IF(I1484&lt;J1484,"ERRO","OK")</f>
        <v>OK</v>
      </c>
    </row>
    <row r="1485" customFormat="false" ht="14.25" hidden="false" customHeight="false" outlineLevel="0" collapsed="false">
      <c r="A1485" s="0" t="n">
        <v>75</v>
      </c>
      <c r="B1485" s="0" t="n">
        <v>2024</v>
      </c>
      <c r="C1485" s="3"/>
      <c r="D1485" s="19"/>
      <c r="E1485" s="20" t="s">
        <v>31</v>
      </c>
      <c r="F1485" s="21" t="s">
        <v>17</v>
      </c>
      <c r="G1485" s="22" t="n">
        <v>48</v>
      </c>
      <c r="H1485" s="21"/>
      <c r="I1485" s="22" t="n">
        <v>60</v>
      </c>
      <c r="J1485" s="22" t="n">
        <v>50</v>
      </c>
      <c r="K1485" s="21"/>
      <c r="L1485" s="0" t="str">
        <f aca="false">IF(H1485&gt;I1485,"ERRO","OK")</f>
        <v>OK</v>
      </c>
      <c r="M1485" s="0" t="str">
        <f aca="false">IF(H1485&gt;J1485,"ERRO","OK")</f>
        <v>OK</v>
      </c>
      <c r="N1485" s="0" t="str">
        <f aca="false">IF(I1485&lt;J1485,"ERRO","OK")</f>
        <v>OK</v>
      </c>
    </row>
    <row r="1486" customFormat="false" ht="14.25" hidden="false" customHeight="false" outlineLevel="0" collapsed="false">
      <c r="A1486" s="0" t="n">
        <v>75</v>
      </c>
      <c r="B1486" s="0" t="n">
        <v>2024</v>
      </c>
      <c r="C1486" s="3"/>
      <c r="D1486" s="19"/>
      <c r="E1486" s="20" t="s">
        <v>32</v>
      </c>
      <c r="F1486" s="21" t="s">
        <v>17</v>
      </c>
      <c r="G1486" s="22" t="n">
        <v>30</v>
      </c>
      <c r="H1486" s="22" t="n">
        <v>24</v>
      </c>
      <c r="I1486" s="22" t="n">
        <v>30</v>
      </c>
      <c r="J1486" s="22" t="n">
        <v>28</v>
      </c>
      <c r="K1486" s="22" t="n">
        <v>30</v>
      </c>
      <c r="L1486" s="0" t="str">
        <f aca="false">IF(H1486&gt;I1486,"ERRO","OK")</f>
        <v>OK</v>
      </c>
      <c r="M1486" s="0" t="str">
        <f aca="false">IF(H1486&gt;J1486,"ERRO","OK")</f>
        <v>OK</v>
      </c>
      <c r="N1486" s="0" t="str">
        <f aca="false">IF(I1486&lt;J1486,"ERRO","OK")</f>
        <v>OK</v>
      </c>
    </row>
    <row r="1487" customFormat="false" ht="14.25" hidden="false" customHeight="false" outlineLevel="0" collapsed="false">
      <c r="A1487" s="0" t="n">
        <v>75</v>
      </c>
      <c r="B1487" s="0" t="n">
        <v>2024</v>
      </c>
      <c r="C1487" s="3"/>
      <c r="D1487" s="19"/>
      <c r="E1487" s="20" t="s">
        <v>33</v>
      </c>
      <c r="F1487" s="21" t="s">
        <v>17</v>
      </c>
      <c r="G1487" s="22" t="n">
        <v>48</v>
      </c>
      <c r="H1487" s="21"/>
      <c r="I1487" s="22" t="n">
        <v>60</v>
      </c>
      <c r="J1487" s="22" t="n">
        <v>54</v>
      </c>
      <c r="K1487" s="22" t="n">
        <v>54</v>
      </c>
      <c r="L1487" s="0" t="str">
        <f aca="false">IF(H1487&gt;I1487,"ERRO","OK")</f>
        <v>OK</v>
      </c>
      <c r="M1487" s="0" t="str">
        <f aca="false">IF(H1487&gt;J1487,"ERRO","OK")</f>
        <v>OK</v>
      </c>
      <c r="N1487" s="0" t="str">
        <f aca="false">IF(I1487&lt;J1487,"ERRO","OK")</f>
        <v>OK</v>
      </c>
    </row>
    <row r="1488" customFormat="false" ht="14.25" hidden="false" customHeight="false" outlineLevel="0" collapsed="false">
      <c r="A1488" s="0" t="n">
        <v>75</v>
      </c>
      <c r="B1488" s="0" t="n">
        <v>2024</v>
      </c>
      <c r="C1488" s="3"/>
      <c r="D1488" s="19"/>
      <c r="E1488" s="20" t="s">
        <v>35</v>
      </c>
      <c r="F1488" s="21" t="s">
        <v>36</v>
      </c>
      <c r="G1488" s="22" t="n">
        <v>5</v>
      </c>
      <c r="H1488" s="22" t="n">
        <v>5</v>
      </c>
      <c r="I1488" s="22" t="n">
        <v>5</v>
      </c>
      <c r="J1488" s="22" t="n">
        <v>5</v>
      </c>
      <c r="K1488" s="22" t="n">
        <v>5</v>
      </c>
      <c r="L1488" s="0" t="str">
        <f aca="false">IF(H1488&gt;I1488,"ERRO","OK")</f>
        <v>OK</v>
      </c>
      <c r="M1488" s="0" t="str">
        <f aca="false">IF(H1488&gt;J1488,"ERRO","OK")</f>
        <v>OK</v>
      </c>
      <c r="N1488" s="0" t="str">
        <f aca="false">IF(I1488&lt;J1488,"ERRO","OK")</f>
        <v>OK</v>
      </c>
    </row>
    <row r="1489" customFormat="false" ht="14.25" hidden="false" customHeight="false" outlineLevel="0" collapsed="false">
      <c r="A1489" s="0" t="n">
        <v>75</v>
      </c>
      <c r="B1489" s="0" t="n">
        <v>2024</v>
      </c>
      <c r="C1489" s="3"/>
      <c r="D1489" s="19"/>
      <c r="E1489" s="20" t="s">
        <v>38</v>
      </c>
      <c r="F1489" s="21" t="s">
        <v>39</v>
      </c>
      <c r="G1489" s="22" t="n">
        <v>15</v>
      </c>
      <c r="H1489" s="22" t="n">
        <v>12</v>
      </c>
      <c r="I1489" s="22" t="n">
        <v>15</v>
      </c>
      <c r="J1489" s="22" t="n">
        <v>14</v>
      </c>
      <c r="K1489" s="22" t="n">
        <v>15</v>
      </c>
      <c r="L1489" s="0" t="str">
        <f aca="false">IF(H1489&gt;I1489,"ERRO","OK")</f>
        <v>OK</v>
      </c>
      <c r="M1489" s="0" t="str">
        <f aca="false">IF(H1489&gt;J1489,"ERRO","OK")</f>
        <v>OK</v>
      </c>
      <c r="N1489" s="0" t="str">
        <f aca="false">IF(I1489&lt;J1489,"ERRO","OK")</f>
        <v>OK</v>
      </c>
    </row>
    <row r="1490" customFormat="false" ht="14.25" hidden="false" customHeight="false" outlineLevel="0" collapsed="false">
      <c r="A1490" s="0" t="n">
        <v>75</v>
      </c>
      <c r="B1490" s="0" t="n">
        <v>2024</v>
      </c>
      <c r="C1490" s="3"/>
      <c r="D1490" s="19"/>
      <c r="E1490" s="20" t="s">
        <v>40</v>
      </c>
      <c r="F1490" s="21" t="s">
        <v>39</v>
      </c>
      <c r="G1490" s="22" t="n">
        <v>25</v>
      </c>
      <c r="H1490" s="22" t="n">
        <v>25</v>
      </c>
      <c r="I1490" s="22" t="n">
        <v>30</v>
      </c>
      <c r="J1490" s="22" t="s">
        <v>140</v>
      </c>
      <c r="K1490" s="22" t="n">
        <v>25</v>
      </c>
      <c r="L1490" s="0" t="str">
        <f aca="false">IF(H1490&gt;I1490,"ERRO","OK")</f>
        <v>OK</v>
      </c>
      <c r="M1490" s="0" t="str">
        <f aca="false">IF(H1490&gt;J1490,"ERRO","OK")</f>
        <v>OK</v>
      </c>
      <c r="N1490" s="0" t="str">
        <f aca="false">IF(I1490&lt;J1490,"ERRO","OK")</f>
        <v>ERRO</v>
      </c>
    </row>
    <row r="1491" customFormat="false" ht="14.25" hidden="false" customHeight="false" outlineLevel="0" collapsed="false">
      <c r="A1491" s="0" t="n">
        <v>75</v>
      </c>
      <c r="B1491" s="0" t="n">
        <v>2024</v>
      </c>
      <c r="C1491" s="3"/>
      <c r="D1491" s="19"/>
      <c r="E1491" s="20" t="s">
        <v>360</v>
      </c>
      <c r="F1491" s="21" t="s">
        <v>158</v>
      </c>
      <c r="G1491" s="22" t="n">
        <v>75</v>
      </c>
      <c r="H1491" s="22" t="n">
        <v>75</v>
      </c>
      <c r="I1491" s="22" t="n">
        <v>80</v>
      </c>
      <c r="J1491" s="22" t="s">
        <v>162</v>
      </c>
      <c r="K1491" s="22" t="n">
        <v>75</v>
      </c>
      <c r="L1491" s="0" t="str">
        <f aca="false">IF(H1491&gt;I1491,"ERRO","OK")</f>
        <v>OK</v>
      </c>
      <c r="M1491" s="0" t="str">
        <f aca="false">IF(H1491&gt;J1491,"ERRO","OK")</f>
        <v>OK</v>
      </c>
      <c r="N1491" s="0" t="str">
        <f aca="false">IF(I1491&lt;J1491,"ERRO","OK")</f>
        <v>ERRO</v>
      </c>
    </row>
    <row r="1492" customFormat="false" ht="14.25" hidden="false" customHeight="false" outlineLevel="0" collapsed="false">
      <c r="A1492" s="0" t="n">
        <v>75</v>
      </c>
      <c r="B1492" s="0" t="n">
        <v>2024</v>
      </c>
      <c r="C1492" s="3"/>
      <c r="D1492" s="19"/>
      <c r="E1492" s="20" t="s">
        <v>43</v>
      </c>
      <c r="F1492" s="21" t="s">
        <v>44</v>
      </c>
      <c r="G1492" s="22" t="n">
        <v>25</v>
      </c>
      <c r="H1492" s="22" t="n">
        <v>25</v>
      </c>
      <c r="I1492" s="22" t="n">
        <v>40</v>
      </c>
      <c r="J1492" s="22" t="s">
        <v>364</v>
      </c>
      <c r="K1492" s="22" t="n">
        <v>25</v>
      </c>
      <c r="L1492" s="0" t="str">
        <f aca="false">IF(H1492&gt;I1492,"ERRO","OK")</f>
        <v>OK</v>
      </c>
      <c r="M1492" s="0" t="str">
        <f aca="false">IF(H1492&gt;J1492,"ERRO","OK")</f>
        <v>OK</v>
      </c>
      <c r="N1492" s="0" t="str">
        <f aca="false">IF(I1492&lt;J1492,"ERRO","OK")</f>
        <v>ERRO</v>
      </c>
    </row>
    <row r="1493" customFormat="false" ht="14.25" hidden="false" customHeight="false" outlineLevel="0" collapsed="false">
      <c r="A1493" s="0" t="n">
        <v>75</v>
      </c>
      <c r="B1493" s="0" t="n">
        <v>2024</v>
      </c>
      <c r="C1493" s="3"/>
      <c r="D1493" s="19"/>
      <c r="E1493" s="20" t="s">
        <v>361</v>
      </c>
      <c r="F1493" s="21" t="s">
        <v>47</v>
      </c>
      <c r="G1493" s="22" t="n">
        <v>70</v>
      </c>
      <c r="H1493" s="22" t="n">
        <v>45</v>
      </c>
      <c r="I1493" s="22" t="n">
        <v>70</v>
      </c>
      <c r="J1493" s="22" t="s">
        <v>272</v>
      </c>
      <c r="K1493" s="22" t="s">
        <v>88</v>
      </c>
      <c r="L1493" s="0" t="str">
        <f aca="false">IF(H1493&gt;I1493,"ERRO","OK")</f>
        <v>OK</v>
      </c>
      <c r="M1493" s="0" t="str">
        <f aca="false">IF(H1493&gt;J1493,"ERRO","OK")</f>
        <v>OK</v>
      </c>
      <c r="N1493" s="0" t="str">
        <f aca="false">IF(I1493&lt;J1493,"ERRO","OK")</f>
        <v>ERRO</v>
      </c>
    </row>
    <row r="1494" customFormat="false" ht="14.25" hidden="false" customHeight="false" outlineLevel="0" collapsed="false">
      <c r="A1494" s="0" t="n">
        <v>75</v>
      </c>
      <c r="B1494" s="0" t="n">
        <v>2024</v>
      </c>
      <c r="C1494" s="3"/>
      <c r="D1494" s="19"/>
      <c r="E1494" s="20" t="s">
        <v>48</v>
      </c>
      <c r="F1494" s="21" t="s">
        <v>49</v>
      </c>
      <c r="G1494" s="22" t="n">
        <v>50</v>
      </c>
      <c r="H1494" s="22" t="n">
        <v>50</v>
      </c>
      <c r="I1494" s="22" t="n">
        <v>65</v>
      </c>
      <c r="J1494" s="22" t="n">
        <v>56</v>
      </c>
      <c r="K1494" s="22" t="n">
        <v>55</v>
      </c>
      <c r="L1494" s="0" t="str">
        <f aca="false">IF(H1494&gt;I1494,"ERRO","OK")</f>
        <v>OK</v>
      </c>
      <c r="M1494" s="0" t="str">
        <f aca="false">IF(H1494&gt;J1494,"ERRO","OK")</f>
        <v>OK</v>
      </c>
      <c r="N1494" s="0" t="str">
        <f aca="false">IF(I1494&lt;J1494,"ERRO","OK")</f>
        <v>OK</v>
      </c>
    </row>
    <row r="1495" customFormat="false" ht="14.25" hidden="false" customHeight="false" outlineLevel="0" collapsed="false">
      <c r="A1495" s="0" t="n">
        <v>75</v>
      </c>
      <c r="B1495" s="0" t="n">
        <v>2024</v>
      </c>
      <c r="C1495" s="3"/>
      <c r="D1495" s="19"/>
      <c r="E1495" s="20" t="s">
        <v>52</v>
      </c>
      <c r="F1495" s="21" t="s">
        <v>49</v>
      </c>
      <c r="G1495" s="22" t="n">
        <v>45</v>
      </c>
      <c r="H1495" s="21"/>
      <c r="I1495" s="22" t="n">
        <v>80</v>
      </c>
      <c r="J1495" s="22" t="s">
        <v>106</v>
      </c>
      <c r="K1495" s="22" t="n">
        <v>75</v>
      </c>
      <c r="L1495" s="0" t="str">
        <f aca="false">IF(H1495&gt;I1495,"ERRO","OK")</f>
        <v>OK</v>
      </c>
      <c r="M1495" s="0" t="str">
        <f aca="false">IF(H1495&gt;J1495,"ERRO","OK")</f>
        <v>OK</v>
      </c>
      <c r="N1495" s="0" t="str">
        <f aca="false">IF(I1495&lt;J1495,"ERRO","OK")</f>
        <v>ERRO</v>
      </c>
    </row>
    <row r="1496" customFormat="false" ht="14.25" hidden="false" customHeight="false" outlineLevel="0" collapsed="false">
      <c r="A1496" s="0" t="n">
        <v>75</v>
      </c>
      <c r="B1496" s="0" t="n">
        <v>2024</v>
      </c>
      <c r="C1496" s="3"/>
      <c r="D1496" s="19"/>
      <c r="E1496" s="20" t="s">
        <v>53</v>
      </c>
      <c r="F1496" s="21" t="s">
        <v>54</v>
      </c>
      <c r="G1496" s="22" t="n">
        <v>50</v>
      </c>
      <c r="H1496" s="22" t="n">
        <v>50</v>
      </c>
      <c r="I1496" s="22" t="n">
        <v>65</v>
      </c>
      <c r="J1496" s="22" t="s">
        <v>45</v>
      </c>
      <c r="K1496" s="22" t="s">
        <v>59</v>
      </c>
      <c r="L1496" s="0" t="str">
        <f aca="false">IF(H1496&gt;I1496,"ERRO","OK")</f>
        <v>OK</v>
      </c>
      <c r="M1496" s="0" t="str">
        <f aca="false">IF(H1496&gt;J1496,"ERRO","OK")</f>
        <v>OK</v>
      </c>
      <c r="N1496" s="0" t="str">
        <f aca="false">IF(I1496&lt;J1496,"ERRO","OK")</f>
        <v>ERRO</v>
      </c>
    </row>
    <row r="1497" customFormat="false" ht="14.25" hidden="false" customHeight="false" outlineLevel="0" collapsed="false">
      <c r="A1497" s="0" t="n">
        <v>75</v>
      </c>
      <c r="B1497" s="0" t="n">
        <v>2024</v>
      </c>
      <c r="C1497" s="3"/>
      <c r="D1497" s="19"/>
      <c r="E1497" s="20" t="s">
        <v>56</v>
      </c>
      <c r="F1497" s="21" t="s">
        <v>47</v>
      </c>
      <c r="G1497" s="22" t="n">
        <v>45</v>
      </c>
      <c r="H1497" s="22" t="n">
        <v>40</v>
      </c>
      <c r="I1497" s="22" t="n">
        <v>60</v>
      </c>
      <c r="J1497" s="22" t="s">
        <v>365</v>
      </c>
      <c r="K1497" s="22" t="n">
        <v>45</v>
      </c>
      <c r="L1497" s="0" t="str">
        <f aca="false">IF(H1497&gt;I1497,"ERRO","OK")</f>
        <v>OK</v>
      </c>
      <c r="M1497" s="0" t="str">
        <f aca="false">IF(H1497&gt;J1497,"ERRO","OK")</f>
        <v>OK</v>
      </c>
      <c r="N1497" s="0" t="str">
        <f aca="false">IF(I1497&lt;J1497,"ERRO","OK")</f>
        <v>ERRO</v>
      </c>
    </row>
    <row r="1498" customFormat="false" ht="14.25" hidden="false" customHeight="false" outlineLevel="0" collapsed="false">
      <c r="A1498" s="0" t="n">
        <v>75</v>
      </c>
      <c r="B1498" s="0" t="n">
        <v>2024</v>
      </c>
      <c r="C1498" s="3"/>
      <c r="D1498" s="19"/>
      <c r="E1498" s="20" t="s">
        <v>57</v>
      </c>
      <c r="F1498" s="21" t="s">
        <v>47</v>
      </c>
      <c r="G1498" s="22" t="n">
        <v>40</v>
      </c>
      <c r="H1498" s="22" t="n">
        <v>55</v>
      </c>
      <c r="I1498" s="22" t="n">
        <v>55</v>
      </c>
      <c r="J1498" s="22" t="s">
        <v>366</v>
      </c>
      <c r="K1498" s="22" t="n">
        <v>55</v>
      </c>
      <c r="L1498" s="0" t="str">
        <f aca="false">IF(H1498&gt;I1498,"ERRO","OK")</f>
        <v>OK</v>
      </c>
      <c r="M1498" s="0" t="str">
        <f aca="false">IF(H1498&gt;J1498,"ERRO","OK")</f>
        <v>OK</v>
      </c>
      <c r="N1498" s="0" t="str">
        <f aca="false">IF(I1498&lt;J1498,"ERRO","OK")</f>
        <v>ERRO</v>
      </c>
    </row>
    <row r="1499" customFormat="false" ht="14.25" hidden="false" customHeight="false" outlineLevel="0" collapsed="false">
      <c r="A1499" s="0" t="n">
        <v>75</v>
      </c>
      <c r="B1499" s="0" t="n">
        <v>2024</v>
      </c>
      <c r="C1499" s="3"/>
      <c r="D1499" s="19"/>
      <c r="E1499" s="20" t="s">
        <v>58</v>
      </c>
      <c r="F1499" s="21" t="s">
        <v>44</v>
      </c>
      <c r="G1499" s="22" t="n">
        <v>100</v>
      </c>
      <c r="H1499" s="22" t="n">
        <v>120</v>
      </c>
      <c r="I1499" s="22" t="n">
        <v>130</v>
      </c>
      <c r="J1499" s="22" t="n">
        <v>116</v>
      </c>
      <c r="K1499" s="22" t="n">
        <v>120</v>
      </c>
      <c r="L1499" s="0" t="str">
        <f aca="false">IF(H1499&gt;I1499,"ERRO","OK")</f>
        <v>OK</v>
      </c>
      <c r="M1499" s="0" t="str">
        <f aca="false">IF(H1499&gt;J1499,"ERRO","OK")</f>
        <v>ERRO</v>
      </c>
      <c r="N1499" s="0" t="str">
        <f aca="false">IF(I1499&lt;J1499,"ERRO","OK")</f>
        <v>OK</v>
      </c>
    </row>
    <row r="1500" customFormat="false" ht="14.25" hidden="false" customHeight="false" outlineLevel="0" collapsed="false">
      <c r="A1500" s="0" t="n">
        <v>75</v>
      </c>
      <c r="B1500" s="0" t="n">
        <v>2024</v>
      </c>
      <c r="C1500" s="3"/>
      <c r="D1500" s="19"/>
      <c r="E1500" s="20" t="s">
        <v>60</v>
      </c>
      <c r="F1500" s="21" t="s">
        <v>47</v>
      </c>
      <c r="G1500" s="22" t="n">
        <v>55</v>
      </c>
      <c r="H1500" s="21"/>
      <c r="I1500" s="22" t="n">
        <v>55</v>
      </c>
      <c r="J1500" s="22" t="n">
        <v>55</v>
      </c>
      <c r="K1500" s="22" t="n">
        <v>55</v>
      </c>
      <c r="L1500" s="0" t="str">
        <f aca="false">IF(H1500&gt;I1500,"ERRO","OK")</f>
        <v>OK</v>
      </c>
      <c r="M1500" s="0" t="str">
        <f aca="false">IF(H1500&gt;J1500,"ERRO","OK")</f>
        <v>OK</v>
      </c>
      <c r="N1500" s="0" t="str">
        <f aca="false">IF(I1500&lt;J1500,"ERRO","OK")</f>
        <v>OK</v>
      </c>
    </row>
    <row r="1501" customFormat="false" ht="14.25" hidden="false" customHeight="false" outlineLevel="0" collapsed="false">
      <c r="A1501" s="0" t="n">
        <v>75</v>
      </c>
      <c r="B1501" s="0" t="n">
        <v>2024</v>
      </c>
      <c r="C1501" s="3"/>
      <c r="D1501" s="19"/>
      <c r="E1501" s="20" t="s">
        <v>61</v>
      </c>
      <c r="F1501" s="21" t="s">
        <v>44</v>
      </c>
      <c r="G1501" s="22" t="n">
        <v>60</v>
      </c>
      <c r="H1501" s="22" t="n">
        <v>50</v>
      </c>
      <c r="I1501" s="22" t="n">
        <v>85</v>
      </c>
      <c r="J1501" s="22" t="n">
        <v>60</v>
      </c>
      <c r="K1501" s="22" t="s">
        <v>290</v>
      </c>
      <c r="L1501" s="0" t="str">
        <f aca="false">IF(H1501&gt;I1501,"ERRO","OK")</f>
        <v>OK</v>
      </c>
      <c r="M1501" s="0" t="str">
        <f aca="false">IF(H1501&gt;J1501,"ERRO","OK")</f>
        <v>OK</v>
      </c>
      <c r="N1501" s="0" t="str">
        <f aca="false">IF(I1501&lt;J1501,"ERRO","OK")</f>
        <v>OK</v>
      </c>
    </row>
    <row r="1502" customFormat="false" ht="14.25" hidden="false" customHeight="false" outlineLevel="0" collapsed="false">
      <c r="A1502" s="0" t="n">
        <v>75</v>
      </c>
      <c r="B1502" s="0" t="n">
        <v>2024</v>
      </c>
      <c r="C1502" s="3"/>
      <c r="D1502" s="19"/>
      <c r="E1502" s="20" t="s">
        <v>62</v>
      </c>
      <c r="F1502" s="21" t="s">
        <v>44</v>
      </c>
      <c r="G1502" s="22" t="n">
        <v>75</v>
      </c>
      <c r="H1502" s="21"/>
      <c r="I1502" s="22" t="n">
        <v>100</v>
      </c>
      <c r="J1502" s="22" t="s">
        <v>243</v>
      </c>
      <c r="K1502" s="22" t="s">
        <v>243</v>
      </c>
      <c r="L1502" s="0" t="str">
        <f aca="false">IF(H1502&gt;I1502,"ERRO","OK")</f>
        <v>OK</v>
      </c>
      <c r="M1502" s="0" t="str">
        <f aca="false">IF(H1502&gt;J1502,"ERRO","OK")</f>
        <v>OK</v>
      </c>
      <c r="N1502" s="0" t="str">
        <f aca="false">IF(I1502&lt;J1502,"ERRO","OK")</f>
        <v>ERRO</v>
      </c>
    </row>
    <row r="1503" customFormat="false" ht="14.25" hidden="false" customHeight="false" outlineLevel="0" collapsed="false">
      <c r="A1503" s="0" t="n">
        <v>75</v>
      </c>
      <c r="B1503" s="0" t="n">
        <v>2024</v>
      </c>
      <c r="C1503" s="3"/>
      <c r="D1503" s="19"/>
      <c r="E1503" s="20" t="s">
        <v>63</v>
      </c>
      <c r="F1503" s="21" t="s">
        <v>49</v>
      </c>
      <c r="G1503" s="22" t="n">
        <v>40</v>
      </c>
      <c r="H1503" s="22" t="n">
        <v>50</v>
      </c>
      <c r="I1503" s="22" t="n">
        <v>70</v>
      </c>
      <c r="J1503" s="22" t="s">
        <v>367</v>
      </c>
      <c r="K1503" s="22" t="n">
        <v>50</v>
      </c>
      <c r="L1503" s="0" t="str">
        <f aca="false">IF(H1503&gt;I1503,"ERRO","OK")</f>
        <v>OK</v>
      </c>
      <c r="M1503" s="0" t="str">
        <f aca="false">IF(H1503&gt;J1503,"ERRO","OK")</f>
        <v>OK</v>
      </c>
      <c r="N1503" s="0" t="str">
        <f aca="false">IF(I1503&lt;J1503,"ERRO","OK")</f>
        <v>ERRO</v>
      </c>
    </row>
    <row r="1504" customFormat="false" ht="14.25" hidden="false" customHeight="false" outlineLevel="0" collapsed="false">
      <c r="A1504" s="0" t="n">
        <v>75</v>
      </c>
      <c r="B1504" s="0" t="n">
        <v>2024</v>
      </c>
      <c r="C1504" s="3"/>
      <c r="D1504" s="19"/>
      <c r="E1504" s="20" t="s">
        <v>64</v>
      </c>
      <c r="F1504" s="21" t="s">
        <v>65</v>
      </c>
      <c r="G1504" s="22" t="n">
        <v>180</v>
      </c>
      <c r="H1504" s="22" t="n">
        <v>150</v>
      </c>
      <c r="I1504" s="22" t="n">
        <v>180</v>
      </c>
      <c r="J1504" s="22" t="s">
        <v>368</v>
      </c>
      <c r="K1504" s="22" t="n">
        <v>165</v>
      </c>
      <c r="L1504" s="0" t="str">
        <f aca="false">IF(H1504&gt;I1504,"ERRO","OK")</f>
        <v>OK</v>
      </c>
      <c r="M1504" s="0" t="str">
        <f aca="false">IF(H1504&gt;J1504,"ERRO","OK")</f>
        <v>OK</v>
      </c>
      <c r="N1504" s="0" t="str">
        <f aca="false">IF(I1504&lt;J1504,"ERRO","OK")</f>
        <v>ERRO</v>
      </c>
    </row>
    <row r="1505" customFormat="false" ht="14.25" hidden="false" customHeight="false" outlineLevel="0" collapsed="false">
      <c r="A1505" s="0" t="n">
        <v>75</v>
      </c>
      <c r="B1505" s="0" t="n">
        <v>2024</v>
      </c>
      <c r="C1505" s="3"/>
      <c r="D1505" s="19"/>
      <c r="E1505" s="20" t="s">
        <v>67</v>
      </c>
      <c r="F1505" s="21" t="s">
        <v>44</v>
      </c>
      <c r="G1505" s="22" t="n">
        <v>60</v>
      </c>
      <c r="H1505" s="22" t="n">
        <v>70</v>
      </c>
      <c r="I1505" s="22" t="n">
        <v>80</v>
      </c>
      <c r="J1505" s="22" t="s">
        <v>134</v>
      </c>
      <c r="K1505" s="22" t="n">
        <v>70</v>
      </c>
      <c r="L1505" s="0" t="str">
        <f aca="false">IF(H1505&gt;I1505,"ERRO","OK")</f>
        <v>OK</v>
      </c>
      <c r="M1505" s="0" t="str">
        <f aca="false">IF(H1505&gt;J1505,"ERRO","OK")</f>
        <v>OK</v>
      </c>
      <c r="N1505" s="0" t="str">
        <f aca="false">IF(I1505&lt;J1505,"ERRO","OK")</f>
        <v>ERRO</v>
      </c>
    </row>
    <row r="1506" customFormat="false" ht="14.25" hidden="false" customHeight="false" outlineLevel="0" collapsed="false">
      <c r="A1506" s="0" t="n">
        <v>75</v>
      </c>
      <c r="B1506" s="0" t="n">
        <v>2024</v>
      </c>
      <c r="C1506" s="3"/>
      <c r="D1506" s="19"/>
      <c r="E1506" s="20" t="s">
        <v>68</v>
      </c>
      <c r="F1506" s="21" t="s">
        <v>44</v>
      </c>
      <c r="G1506" s="22" t="n">
        <v>80</v>
      </c>
      <c r="H1506" s="21"/>
      <c r="I1506" s="22" t="n">
        <v>120</v>
      </c>
      <c r="J1506" s="22" t="n">
        <v>95</v>
      </c>
      <c r="K1506" s="22" t="s">
        <v>160</v>
      </c>
      <c r="L1506" s="0" t="str">
        <f aca="false">IF(H1506&gt;I1506,"ERRO","OK")</f>
        <v>OK</v>
      </c>
      <c r="M1506" s="0" t="str">
        <f aca="false">IF(H1506&gt;J1506,"ERRO","OK")</f>
        <v>OK</v>
      </c>
      <c r="N1506" s="0" t="str">
        <f aca="false">IF(I1506&lt;J1506,"ERRO","OK")</f>
        <v>OK</v>
      </c>
    </row>
    <row r="1507" customFormat="false" ht="14.25" hidden="false" customHeight="false" outlineLevel="0" collapsed="false">
      <c r="A1507" s="0" t="n">
        <v>75</v>
      </c>
      <c r="B1507" s="0" t="n">
        <v>2024</v>
      </c>
      <c r="C1507" s="3"/>
      <c r="D1507" s="19"/>
      <c r="E1507" s="20" t="s">
        <v>70</v>
      </c>
      <c r="F1507" s="21" t="s">
        <v>49</v>
      </c>
      <c r="G1507" s="21"/>
      <c r="H1507" s="21"/>
      <c r="I1507" s="21"/>
      <c r="J1507" s="21"/>
      <c r="K1507" s="21"/>
      <c r="L1507" s="0" t="str">
        <f aca="false">IF(H1507&gt;I1507,"ERRO","OK")</f>
        <v>OK</v>
      </c>
      <c r="M1507" s="0" t="str">
        <f aca="false">IF(H1507&gt;J1507,"ERRO","OK")</f>
        <v>OK</v>
      </c>
      <c r="N1507" s="0" t="str">
        <f aca="false">IF(I1507&lt;J1507,"ERRO","OK")</f>
        <v>OK</v>
      </c>
    </row>
    <row r="1508" customFormat="false" ht="14.25" hidden="false" customHeight="false" outlineLevel="0" collapsed="false">
      <c r="A1508" s="0" t="n">
        <v>75</v>
      </c>
      <c r="B1508" s="0" t="n">
        <v>2024</v>
      </c>
      <c r="C1508" s="3"/>
      <c r="D1508" s="19"/>
      <c r="E1508" s="20" t="s">
        <v>71</v>
      </c>
      <c r="F1508" s="21" t="s">
        <v>49</v>
      </c>
      <c r="G1508" s="21"/>
      <c r="H1508" s="21"/>
      <c r="I1508" s="21"/>
      <c r="J1508" s="21"/>
      <c r="K1508" s="21"/>
      <c r="L1508" s="0" t="str">
        <f aca="false">IF(H1508&gt;I1508,"ERRO","OK")</f>
        <v>OK</v>
      </c>
      <c r="M1508" s="0" t="str">
        <f aca="false">IF(H1508&gt;J1508,"ERRO","OK")</f>
        <v>OK</v>
      </c>
      <c r="N1508" s="0" t="str">
        <f aca="false">IF(I1508&lt;J1508,"ERRO","OK")</f>
        <v>OK</v>
      </c>
    </row>
    <row r="1509" customFormat="false" ht="14.25" hidden="false" customHeight="false" outlineLevel="0" collapsed="false">
      <c r="A1509" s="0" t="n">
        <v>75</v>
      </c>
      <c r="B1509" s="0" t="n">
        <v>2024</v>
      </c>
      <c r="C1509" s="3"/>
      <c r="D1509" s="19"/>
      <c r="E1509" s="20" t="s">
        <v>72</v>
      </c>
      <c r="F1509" s="21" t="s">
        <v>49</v>
      </c>
      <c r="G1509" s="21"/>
      <c r="H1509" s="21"/>
      <c r="I1509" s="21"/>
      <c r="J1509" s="21"/>
      <c r="K1509" s="21"/>
      <c r="L1509" s="0" t="str">
        <f aca="false">IF(H1509&gt;I1509,"ERRO","OK")</f>
        <v>OK</v>
      </c>
      <c r="M1509" s="0" t="str">
        <f aca="false">IF(H1509&gt;J1509,"ERRO","OK")</f>
        <v>OK</v>
      </c>
      <c r="N1509" s="0" t="str">
        <f aca="false">IF(I1509&lt;J1509,"ERRO","OK")</f>
        <v>OK</v>
      </c>
    </row>
    <row r="1510" customFormat="false" ht="14.25" hidden="false" customHeight="false" outlineLevel="0" collapsed="false">
      <c r="A1510" s="0" t="n">
        <v>75</v>
      </c>
      <c r="B1510" s="0" t="n">
        <v>2024</v>
      </c>
      <c r="C1510" s="3"/>
      <c r="D1510" s="19"/>
      <c r="E1510" s="20" t="s">
        <v>73</v>
      </c>
      <c r="F1510" s="21" t="s">
        <v>49</v>
      </c>
      <c r="G1510" s="21"/>
      <c r="H1510" s="21"/>
      <c r="I1510" s="21"/>
      <c r="J1510" s="21"/>
      <c r="K1510" s="21"/>
      <c r="L1510" s="0" t="str">
        <f aca="false">IF(H1510&gt;I1510,"ERRO","OK")</f>
        <v>OK</v>
      </c>
      <c r="M1510" s="0" t="str">
        <f aca="false">IF(H1510&gt;J1510,"ERRO","OK")</f>
        <v>OK</v>
      </c>
      <c r="N1510" s="0" t="str">
        <f aca="false">IF(I1510&lt;J1510,"ERRO","OK")</f>
        <v>OK</v>
      </c>
    </row>
    <row r="1511" customFormat="false" ht="14.25" hidden="false" customHeight="false" outlineLevel="0" collapsed="false">
      <c r="A1511" s="0" t="n">
        <v>75</v>
      </c>
      <c r="B1511" s="0" t="n">
        <v>2024</v>
      </c>
      <c r="C1511" s="3"/>
      <c r="D1511" s="19"/>
      <c r="E1511" s="20" t="s">
        <v>74</v>
      </c>
      <c r="F1511" s="21" t="s">
        <v>75</v>
      </c>
      <c r="G1511" s="21"/>
      <c r="H1511" s="21"/>
      <c r="I1511" s="21"/>
      <c r="J1511" s="21"/>
      <c r="K1511" s="21"/>
      <c r="L1511" s="0" t="str">
        <f aca="false">IF(H1511&gt;I1511,"ERRO","OK")</f>
        <v>OK</v>
      </c>
      <c r="M1511" s="0" t="str">
        <f aca="false">IF(H1511&gt;J1511,"ERRO","OK")</f>
        <v>OK</v>
      </c>
      <c r="N1511" s="0" t="str">
        <f aca="false">IF(I1511&lt;J1511,"ERRO","OK")</f>
        <v>OK</v>
      </c>
    </row>
    <row r="1512" customFormat="false" ht="14.25" hidden="false" customHeight="false" outlineLevel="0" collapsed="false">
      <c r="A1512" s="0" t="n">
        <v>76</v>
      </c>
      <c r="B1512" s="0" t="n">
        <v>2024</v>
      </c>
      <c r="C1512" s="3" t="n">
        <v>45597</v>
      </c>
      <c r="E1512" s="0" t="s">
        <v>16</v>
      </c>
      <c r="F1512" s="0" t="s">
        <v>17</v>
      </c>
      <c r="G1512" s="0" t="s">
        <v>369</v>
      </c>
      <c r="H1512" s="0" t="s">
        <v>369</v>
      </c>
      <c r="I1512" s="0" t="s">
        <v>370</v>
      </c>
      <c r="J1512" s="0" t="s">
        <v>371</v>
      </c>
      <c r="K1512" s="0" t="s">
        <v>371</v>
      </c>
      <c r="L1512" s="0" t="str">
        <f aca="false">IF(H1512&gt;I1512,"ERRO","OK")</f>
        <v>OK</v>
      </c>
      <c r="M1512" s="0" t="str">
        <f aca="false">IF(H1512&gt;J1512,"ERRO","OK")</f>
        <v>OK</v>
      </c>
      <c r="N1512" s="0" t="str">
        <f aca="false">IF(I1512&lt;J1512,"ERRO","OK")</f>
        <v>OK</v>
      </c>
    </row>
    <row r="1513" customFormat="false" ht="14.25" hidden="false" customHeight="false" outlineLevel="0" collapsed="false">
      <c r="A1513" s="0" t="n">
        <v>76</v>
      </c>
      <c r="B1513" s="0" t="n">
        <v>2024</v>
      </c>
      <c r="C1513" s="3" t="n">
        <v>45597</v>
      </c>
      <c r="E1513" s="0" t="s">
        <v>18</v>
      </c>
      <c r="F1513" s="0" t="s">
        <v>17</v>
      </c>
      <c r="G1513" s="0" t="s">
        <v>372</v>
      </c>
      <c r="H1513" s="0" t="s">
        <v>370</v>
      </c>
      <c r="I1513" s="0" t="s">
        <v>373</v>
      </c>
      <c r="J1513" s="0" t="s">
        <v>372</v>
      </c>
      <c r="K1513" s="0" t="s">
        <v>372</v>
      </c>
      <c r="L1513" s="0" t="str">
        <f aca="false">IF(H1513&gt;I1513,"ERRO","OK")</f>
        <v>OK</v>
      </c>
      <c r="M1513" s="0" t="str">
        <f aca="false">IF(H1513&gt;J1513,"ERRO","OK")</f>
        <v>OK</v>
      </c>
      <c r="N1513" s="0" t="str">
        <f aca="false">IF(I1513&lt;J1513,"ERRO","OK")</f>
        <v>OK</v>
      </c>
    </row>
    <row r="1514" customFormat="false" ht="14.25" hidden="false" customHeight="false" outlineLevel="0" collapsed="false">
      <c r="A1514" s="0" t="n">
        <v>76</v>
      </c>
      <c r="B1514" s="0" t="n">
        <v>2024</v>
      </c>
      <c r="C1514" s="3" t="n">
        <v>45597</v>
      </c>
      <c r="E1514" s="0" t="s">
        <v>19</v>
      </c>
      <c r="F1514" s="0" t="s">
        <v>17</v>
      </c>
      <c r="G1514" s="0" t="s">
        <v>374</v>
      </c>
      <c r="H1514" s="0" t="s">
        <v>374</v>
      </c>
      <c r="I1514" s="0" t="s">
        <v>375</v>
      </c>
      <c r="J1514" s="0" t="s">
        <v>376</v>
      </c>
      <c r="K1514" s="0" t="s">
        <v>377</v>
      </c>
      <c r="L1514" s="0" t="str">
        <f aca="false">IF(H1514&gt;I1514,"ERRO","OK")</f>
        <v>OK</v>
      </c>
      <c r="M1514" s="0" t="str">
        <f aca="false">IF(H1514&gt;J1514,"ERRO","OK")</f>
        <v>OK</v>
      </c>
      <c r="N1514" s="0" t="str">
        <f aca="false">IF(I1514&lt;J1514,"ERRO","OK")</f>
        <v>OK</v>
      </c>
    </row>
    <row r="1515" customFormat="false" ht="14.25" hidden="false" customHeight="false" outlineLevel="0" collapsed="false">
      <c r="A1515" s="0" t="n">
        <v>76</v>
      </c>
      <c r="B1515" s="0" t="n">
        <v>2024</v>
      </c>
      <c r="C1515" s="3" t="n">
        <v>45597</v>
      </c>
      <c r="E1515" s="0" t="s">
        <v>20</v>
      </c>
      <c r="F1515" s="0" t="s">
        <v>17</v>
      </c>
      <c r="G1515" s="0" t="s">
        <v>378</v>
      </c>
      <c r="H1515" s="0" t="s">
        <v>379</v>
      </c>
      <c r="I1515" s="0" t="s">
        <v>378</v>
      </c>
      <c r="J1515" s="0" t="s">
        <v>380</v>
      </c>
      <c r="K1515" s="0" t="s">
        <v>378</v>
      </c>
      <c r="L1515" s="0" t="str">
        <f aca="false">IF(H1515&gt;I1515,"ERRO","OK")</f>
        <v>OK</v>
      </c>
      <c r="M1515" s="0" t="str">
        <f aca="false">IF(H1515&gt;J1515,"ERRO","OK")</f>
        <v>OK</v>
      </c>
      <c r="N1515" s="0" t="str">
        <f aca="false">IF(I1515&lt;J1515,"ERRO","OK")</f>
        <v>OK</v>
      </c>
    </row>
    <row r="1516" customFormat="false" ht="14.25" hidden="false" customHeight="false" outlineLevel="0" collapsed="false">
      <c r="A1516" s="0" t="n">
        <v>76</v>
      </c>
      <c r="B1516" s="0" t="n">
        <v>2024</v>
      </c>
      <c r="C1516" s="3" t="n">
        <v>45597</v>
      </c>
      <c r="E1516" s="0" t="s">
        <v>21</v>
      </c>
      <c r="F1516" s="0" t="s">
        <v>17</v>
      </c>
      <c r="G1516" s="0" t="s">
        <v>378</v>
      </c>
      <c r="H1516" s="0" t="s">
        <v>378</v>
      </c>
      <c r="I1516" s="0" t="s">
        <v>370</v>
      </c>
      <c r="J1516" s="0" t="s">
        <v>377</v>
      </c>
      <c r="K1516" s="0" t="s">
        <v>378</v>
      </c>
      <c r="L1516" s="0" t="str">
        <f aca="false">IF(H1516&gt;I1516,"ERRO","OK")</f>
        <v>OK</v>
      </c>
      <c r="M1516" s="0" t="str">
        <f aca="false">IF(H1516&gt;J1516,"ERRO","OK")</f>
        <v>OK</v>
      </c>
      <c r="N1516" s="0" t="str">
        <f aca="false">IF(I1516&lt;J1516,"ERRO","OK")</f>
        <v>OK</v>
      </c>
    </row>
    <row r="1517" customFormat="false" ht="14.25" hidden="false" customHeight="false" outlineLevel="0" collapsed="false">
      <c r="A1517" s="0" t="n">
        <v>76</v>
      </c>
      <c r="B1517" s="0" t="n">
        <v>2024</v>
      </c>
      <c r="C1517" s="3" t="n">
        <v>45597</v>
      </c>
      <c r="E1517" s="0" t="s">
        <v>22</v>
      </c>
      <c r="F1517" s="0" t="s">
        <v>17</v>
      </c>
      <c r="G1517" s="0" t="s">
        <v>370</v>
      </c>
      <c r="H1517" s="0" t="s">
        <v>370</v>
      </c>
      <c r="I1517" s="0" t="s">
        <v>370</v>
      </c>
      <c r="J1517" s="0" t="s">
        <v>370</v>
      </c>
      <c r="K1517" s="0" t="s">
        <v>370</v>
      </c>
      <c r="L1517" s="0" t="str">
        <f aca="false">IF(H1517&gt;I1517,"ERRO","OK")</f>
        <v>OK</v>
      </c>
      <c r="M1517" s="0" t="str">
        <f aca="false">IF(H1517&gt;J1517,"ERRO","OK")</f>
        <v>OK</v>
      </c>
      <c r="N1517" s="0" t="str">
        <f aca="false">IF(I1517&lt;J1517,"ERRO","OK")</f>
        <v>OK</v>
      </c>
    </row>
    <row r="1518" customFormat="false" ht="14.25" hidden="false" customHeight="false" outlineLevel="0" collapsed="false">
      <c r="A1518" s="0" t="n">
        <v>76</v>
      </c>
      <c r="B1518" s="0" t="n">
        <v>2024</v>
      </c>
      <c r="C1518" s="3" t="n">
        <v>45597</v>
      </c>
      <c r="E1518" s="0" t="s">
        <v>23</v>
      </c>
      <c r="F1518" s="0" t="s">
        <v>17</v>
      </c>
      <c r="G1518" s="0" t="s">
        <v>370</v>
      </c>
      <c r="H1518" s="0" t="s">
        <v>370</v>
      </c>
      <c r="I1518" s="0" t="s">
        <v>372</v>
      </c>
      <c r="J1518" s="0" t="s">
        <v>381</v>
      </c>
      <c r="K1518" s="0" t="s">
        <v>370</v>
      </c>
      <c r="L1518" s="0" t="str">
        <f aca="false">IF(H1518&gt;I1518,"ERRO","OK")</f>
        <v>OK</v>
      </c>
      <c r="M1518" s="0" t="str">
        <f aca="false">IF(H1518&gt;J1518,"ERRO","OK")</f>
        <v>OK</v>
      </c>
      <c r="N1518" s="0" t="str">
        <f aca="false">IF(I1518&lt;J1518,"ERRO","OK")</f>
        <v>OK</v>
      </c>
    </row>
    <row r="1519" customFormat="false" ht="14.25" hidden="false" customHeight="false" outlineLevel="0" collapsed="false">
      <c r="A1519" s="0" t="n">
        <v>76</v>
      </c>
      <c r="B1519" s="0" t="n">
        <v>2024</v>
      </c>
      <c r="C1519" s="3" t="n">
        <v>45597</v>
      </c>
      <c r="E1519" s="0" t="s">
        <v>24</v>
      </c>
      <c r="F1519" s="0" t="s">
        <v>17</v>
      </c>
      <c r="G1519" s="0" t="s">
        <v>372</v>
      </c>
      <c r="H1519" s="0" t="s">
        <v>382</v>
      </c>
      <c r="I1519" s="0" t="s">
        <v>372</v>
      </c>
      <c r="J1519" s="0" t="s">
        <v>383</v>
      </c>
      <c r="K1519" s="0" t="s">
        <v>372</v>
      </c>
      <c r="L1519" s="0" t="str">
        <f aca="false">IF(H1519&gt;I1519,"ERRO","OK")</f>
        <v>OK</v>
      </c>
      <c r="M1519" s="0" t="str">
        <f aca="false">IF(H1519&gt;J1519,"ERRO","OK")</f>
        <v>OK</v>
      </c>
      <c r="N1519" s="0" t="str">
        <f aca="false">IF(I1519&lt;J1519,"ERRO","OK")</f>
        <v>OK</v>
      </c>
    </row>
    <row r="1520" customFormat="false" ht="14.25" hidden="false" customHeight="false" outlineLevel="0" collapsed="false">
      <c r="A1520" s="0" t="n">
        <v>76</v>
      </c>
      <c r="B1520" s="0" t="n">
        <v>2024</v>
      </c>
      <c r="C1520" s="3" t="n">
        <v>45597</v>
      </c>
      <c r="E1520" s="0" t="s">
        <v>25</v>
      </c>
      <c r="F1520" s="0" t="s">
        <v>17</v>
      </c>
      <c r="G1520" s="0" t="s">
        <v>378</v>
      </c>
      <c r="H1520" s="0" t="s">
        <v>379</v>
      </c>
      <c r="I1520" s="0" t="s">
        <v>378</v>
      </c>
      <c r="J1520" s="0" t="s">
        <v>384</v>
      </c>
      <c r="K1520" s="0" t="s">
        <v>385</v>
      </c>
      <c r="L1520" s="0" t="str">
        <f aca="false">IF(H1520&gt;I1520,"ERRO","OK")</f>
        <v>OK</v>
      </c>
      <c r="M1520" s="0" t="str">
        <f aca="false">IF(H1520&gt;J1520,"ERRO","OK")</f>
        <v>OK</v>
      </c>
      <c r="N1520" s="0" t="str">
        <f aca="false">IF(I1520&lt;J1520,"ERRO","OK")</f>
        <v>OK</v>
      </c>
    </row>
    <row r="1521" customFormat="false" ht="14.25" hidden="false" customHeight="false" outlineLevel="0" collapsed="false">
      <c r="A1521" s="0" t="n">
        <v>76</v>
      </c>
      <c r="B1521" s="0" t="n">
        <v>2024</v>
      </c>
      <c r="C1521" s="3" t="n">
        <v>45597</v>
      </c>
      <c r="E1521" s="0" t="s">
        <v>77</v>
      </c>
      <c r="F1521" s="0" t="s">
        <v>17</v>
      </c>
      <c r="G1521" s="0" t="s">
        <v>370</v>
      </c>
      <c r="H1521" s="0" t="s">
        <v>370</v>
      </c>
      <c r="I1521" s="0" t="s">
        <v>382</v>
      </c>
      <c r="J1521" s="0" t="s">
        <v>386</v>
      </c>
      <c r="K1521" s="0" t="s">
        <v>370</v>
      </c>
      <c r="L1521" s="0" t="str">
        <f aca="false">IF(H1521&gt;I1521,"ERRO","OK")</f>
        <v>OK</v>
      </c>
      <c r="M1521" s="0" t="str">
        <f aca="false">IF(H1521&gt;J1521,"ERRO","OK")</f>
        <v>OK</v>
      </c>
      <c r="N1521" s="0" t="str">
        <f aca="false">IF(I1521&lt;J1521,"ERRO","OK")</f>
        <v>OK</v>
      </c>
    </row>
    <row r="1522" customFormat="false" ht="14.25" hidden="false" customHeight="false" outlineLevel="0" collapsed="false">
      <c r="A1522" s="0" t="n">
        <v>76</v>
      </c>
      <c r="B1522" s="0" t="n">
        <v>2024</v>
      </c>
      <c r="C1522" s="3" t="n">
        <v>45597</v>
      </c>
      <c r="E1522" s="0" t="s">
        <v>27</v>
      </c>
      <c r="F1522" s="0" t="s">
        <v>17</v>
      </c>
      <c r="G1522" s="0" t="s">
        <v>378</v>
      </c>
      <c r="H1522" s="0" t="s">
        <v>379</v>
      </c>
      <c r="I1522" s="0" t="s">
        <v>378</v>
      </c>
      <c r="J1522" s="0" t="s">
        <v>380</v>
      </c>
      <c r="K1522" s="0" t="s">
        <v>378</v>
      </c>
      <c r="L1522" s="0" t="str">
        <f aca="false">IF(H1522&gt;I1522,"ERRO","OK")</f>
        <v>OK</v>
      </c>
      <c r="M1522" s="0" t="str">
        <f aca="false">IF(H1522&gt;J1522,"ERRO","OK")</f>
        <v>OK</v>
      </c>
      <c r="N1522" s="0" t="str">
        <f aca="false">IF(I1522&lt;J1522,"ERRO","OK")</f>
        <v>OK</v>
      </c>
    </row>
    <row r="1523" customFormat="false" ht="14.25" hidden="false" customHeight="false" outlineLevel="0" collapsed="false">
      <c r="A1523" s="0" t="n">
        <v>76</v>
      </c>
      <c r="B1523" s="0" t="n">
        <v>2024</v>
      </c>
      <c r="C1523" s="3" t="n">
        <v>45597</v>
      </c>
      <c r="E1523" s="0" t="s">
        <v>28</v>
      </c>
      <c r="F1523" s="0" t="s">
        <v>17</v>
      </c>
      <c r="G1523" s="0" t="s">
        <v>370</v>
      </c>
      <c r="H1523" s="0" t="s">
        <v>370</v>
      </c>
      <c r="I1523" s="0" t="s">
        <v>372</v>
      </c>
      <c r="J1523" s="0" t="s">
        <v>387</v>
      </c>
      <c r="K1523" s="0" t="s">
        <v>370</v>
      </c>
      <c r="L1523" s="0" t="str">
        <f aca="false">IF(H1523&gt;I1523,"ERRO","OK")</f>
        <v>OK</v>
      </c>
      <c r="M1523" s="0" t="str">
        <f aca="false">IF(H1523&gt;J1523,"ERRO","OK")</f>
        <v>OK</v>
      </c>
      <c r="N1523" s="0" t="str">
        <f aca="false">IF(I1523&lt;J1523,"ERRO","OK")</f>
        <v>OK</v>
      </c>
    </row>
    <row r="1524" customFormat="false" ht="14.25" hidden="false" customHeight="false" outlineLevel="0" collapsed="false">
      <c r="A1524" s="0" t="n">
        <v>76</v>
      </c>
      <c r="B1524" s="0" t="n">
        <v>2024</v>
      </c>
      <c r="C1524" s="3" t="n">
        <v>45597</v>
      </c>
      <c r="E1524" s="0" t="s">
        <v>29</v>
      </c>
      <c r="F1524" s="0" t="s">
        <v>30</v>
      </c>
      <c r="G1524" s="0" t="s">
        <v>369</v>
      </c>
      <c r="H1524" s="0" t="s">
        <v>369</v>
      </c>
      <c r="I1524" s="0" t="s">
        <v>370</v>
      </c>
      <c r="J1524" s="0" t="s">
        <v>371</v>
      </c>
      <c r="K1524" s="0" t="s">
        <v>371</v>
      </c>
      <c r="L1524" s="0" t="str">
        <f aca="false">IF(H1524&gt;I1524,"ERRO","OK")</f>
        <v>OK</v>
      </c>
      <c r="M1524" s="0" t="str">
        <f aca="false">IF(H1524&gt;J1524,"ERRO","OK")</f>
        <v>OK</v>
      </c>
      <c r="N1524" s="0" t="str">
        <f aca="false">IF(I1524&lt;J1524,"ERRO","OK")</f>
        <v>OK</v>
      </c>
    </row>
    <row r="1525" customFormat="false" ht="14.25" hidden="false" customHeight="false" outlineLevel="0" collapsed="false">
      <c r="A1525" s="0" t="n">
        <v>76</v>
      </c>
      <c r="B1525" s="0" t="n">
        <v>2024</v>
      </c>
      <c r="C1525" s="3" t="n">
        <v>45597</v>
      </c>
      <c r="E1525" s="0" t="s">
        <v>31</v>
      </c>
      <c r="F1525" s="0" t="s">
        <v>17</v>
      </c>
      <c r="G1525" s="0" t="s">
        <v>372</v>
      </c>
      <c r="H1525" s="0" t="s">
        <v>369</v>
      </c>
      <c r="I1525" s="0" t="s">
        <v>372</v>
      </c>
      <c r="J1525" s="0" t="s">
        <v>381</v>
      </c>
      <c r="K1525" s="0" t="s">
        <v>372</v>
      </c>
      <c r="L1525" s="0" t="str">
        <f aca="false">IF(H1525&gt;I1525,"ERRO","OK")</f>
        <v>OK</v>
      </c>
      <c r="M1525" s="0" t="str">
        <f aca="false">IF(H1525&gt;J1525,"ERRO","OK")</f>
        <v>OK</v>
      </c>
      <c r="N1525" s="0" t="str">
        <f aca="false">IF(I1525&lt;J1525,"ERRO","OK")</f>
        <v>OK</v>
      </c>
    </row>
    <row r="1526" customFormat="false" ht="14.25" hidden="false" customHeight="false" outlineLevel="0" collapsed="false">
      <c r="A1526" s="0" t="n">
        <v>76</v>
      </c>
      <c r="B1526" s="0" t="n">
        <v>2024</v>
      </c>
      <c r="C1526" s="3" t="n">
        <v>45597</v>
      </c>
      <c r="E1526" s="0" t="s">
        <v>32</v>
      </c>
      <c r="F1526" s="0" t="s">
        <v>17</v>
      </c>
      <c r="G1526" s="0" t="s">
        <v>378</v>
      </c>
      <c r="H1526" s="0" t="s">
        <v>378</v>
      </c>
      <c r="I1526" s="0" t="s">
        <v>374</v>
      </c>
      <c r="J1526" s="0" t="s">
        <v>388</v>
      </c>
      <c r="K1526" s="0" t="s">
        <v>378</v>
      </c>
      <c r="L1526" s="0" t="str">
        <f aca="false">IF(H1526&gt;I1526,"ERRO","OK")</f>
        <v>OK</v>
      </c>
      <c r="M1526" s="0" t="str">
        <f aca="false">IF(H1526&gt;J1526,"ERRO","OK")</f>
        <v>OK</v>
      </c>
      <c r="N1526" s="0" t="str">
        <f aca="false">IF(I1526&lt;J1526,"ERRO","OK")</f>
        <v>OK</v>
      </c>
    </row>
    <row r="1527" customFormat="false" ht="14.25" hidden="false" customHeight="false" outlineLevel="0" collapsed="false">
      <c r="A1527" s="0" t="n">
        <v>76</v>
      </c>
      <c r="B1527" s="0" t="n">
        <v>2024</v>
      </c>
      <c r="C1527" s="3" t="n">
        <v>45597</v>
      </c>
      <c r="E1527" s="0" t="s">
        <v>33</v>
      </c>
      <c r="F1527" s="0" t="s">
        <v>17</v>
      </c>
      <c r="G1527" s="0" t="s">
        <v>369</v>
      </c>
      <c r="H1527" s="0" t="s">
        <v>369</v>
      </c>
      <c r="I1527" s="0" t="s">
        <v>370</v>
      </c>
      <c r="J1527" s="0" t="s">
        <v>389</v>
      </c>
      <c r="K1527" s="0" t="s">
        <v>369</v>
      </c>
      <c r="L1527" s="0" t="str">
        <f aca="false">IF(H1527&gt;I1527,"ERRO","OK")</f>
        <v>OK</v>
      </c>
      <c r="M1527" s="0" t="str">
        <f aca="false">IF(H1527&gt;J1527,"ERRO","OK")</f>
        <v>OK</v>
      </c>
      <c r="N1527" s="0" t="str">
        <f aca="false">IF(I1527&lt;J1527,"ERRO","OK")</f>
        <v>OK</v>
      </c>
    </row>
    <row r="1528" customFormat="false" ht="14.25" hidden="false" customHeight="false" outlineLevel="0" collapsed="false">
      <c r="A1528" s="0" t="n">
        <v>76</v>
      </c>
      <c r="B1528" s="0" t="n">
        <v>2024</v>
      </c>
      <c r="C1528" s="3" t="n">
        <v>45597</v>
      </c>
      <c r="E1528" s="0" t="s">
        <v>35</v>
      </c>
      <c r="F1528" s="0" t="s">
        <v>36</v>
      </c>
      <c r="G1528" s="0" t="s">
        <v>390</v>
      </c>
      <c r="H1528" s="0" t="s">
        <v>390</v>
      </c>
      <c r="I1528" s="0" t="s">
        <v>390</v>
      </c>
      <c r="J1528" s="0" t="s">
        <v>390</v>
      </c>
      <c r="K1528" s="0" t="s">
        <v>390</v>
      </c>
      <c r="L1528" s="0" t="str">
        <f aca="false">IF(H1528&gt;I1528,"ERRO","OK")</f>
        <v>OK</v>
      </c>
      <c r="M1528" s="0" t="str">
        <f aca="false">IF(H1528&gt;J1528,"ERRO","OK")</f>
        <v>OK</v>
      </c>
      <c r="N1528" s="0" t="str">
        <f aca="false">IF(I1528&lt;J1528,"ERRO","OK")</f>
        <v>OK</v>
      </c>
    </row>
    <row r="1529" customFormat="false" ht="14.25" hidden="false" customHeight="false" outlineLevel="0" collapsed="false">
      <c r="A1529" s="0" t="n">
        <v>76</v>
      </c>
      <c r="B1529" s="0" t="n">
        <v>2024</v>
      </c>
      <c r="C1529" s="3" t="n">
        <v>45597</v>
      </c>
      <c r="E1529" s="0" t="s">
        <v>38</v>
      </c>
      <c r="F1529" s="0" t="s">
        <v>39</v>
      </c>
      <c r="G1529" s="0" t="s">
        <v>391</v>
      </c>
      <c r="H1529" s="0" t="s">
        <v>392</v>
      </c>
      <c r="I1529" s="0" t="s">
        <v>391</v>
      </c>
      <c r="J1529" s="0" t="s">
        <v>393</v>
      </c>
      <c r="K1529" s="0" t="s">
        <v>391</v>
      </c>
      <c r="L1529" s="0" t="str">
        <f aca="false">IF(H1529&gt;I1529,"ERRO","OK")</f>
        <v>OK</v>
      </c>
      <c r="M1529" s="0" t="str">
        <f aca="false">IF(H1529&gt;J1529,"ERRO","OK")</f>
        <v>OK</v>
      </c>
      <c r="N1529" s="0" t="str">
        <f aca="false">IF(I1529&lt;J1529,"ERRO","OK")</f>
        <v>OK</v>
      </c>
    </row>
    <row r="1530" customFormat="false" ht="14.25" hidden="false" customHeight="false" outlineLevel="0" collapsed="false">
      <c r="A1530" s="0" t="n">
        <v>76</v>
      </c>
      <c r="B1530" s="0" t="n">
        <v>2024</v>
      </c>
      <c r="C1530" s="3" t="n">
        <v>45597</v>
      </c>
      <c r="E1530" s="0" t="s">
        <v>40</v>
      </c>
      <c r="F1530" s="0" t="s">
        <v>39</v>
      </c>
      <c r="G1530" s="0" t="s">
        <v>374</v>
      </c>
      <c r="H1530" s="0" t="s">
        <v>394</v>
      </c>
      <c r="I1530" s="0" t="s">
        <v>374</v>
      </c>
      <c r="J1530" s="0" t="s">
        <v>395</v>
      </c>
      <c r="K1530" s="0" t="s">
        <v>396</v>
      </c>
      <c r="L1530" s="0" t="str">
        <f aca="false">IF(H1530&gt;I1530,"ERRO","OK")</f>
        <v>OK</v>
      </c>
      <c r="M1530" s="0" t="str">
        <f aca="false">IF(H1530&gt;J1530,"ERRO","OK")</f>
        <v>OK</v>
      </c>
      <c r="N1530" s="0" t="str">
        <f aca="false">IF(I1530&lt;J1530,"ERRO","OK")</f>
        <v>OK</v>
      </c>
    </row>
    <row r="1531" customFormat="false" ht="14.25" hidden="false" customHeight="false" outlineLevel="0" collapsed="false">
      <c r="A1531" s="0" t="n">
        <v>76</v>
      </c>
      <c r="B1531" s="0" t="n">
        <v>2024</v>
      </c>
      <c r="C1531" s="3" t="n">
        <v>45597</v>
      </c>
      <c r="E1531" s="0" t="s">
        <v>157</v>
      </c>
      <c r="F1531" s="0" t="s">
        <v>158</v>
      </c>
      <c r="H1531" s="0" t="s">
        <v>397</v>
      </c>
      <c r="I1531" s="0" t="s">
        <v>398</v>
      </c>
      <c r="J1531" s="0" t="s">
        <v>399</v>
      </c>
      <c r="K1531" s="0" t="s">
        <v>399</v>
      </c>
      <c r="L1531" s="0" t="str">
        <f aca="false">IF(H1531&gt;I1531,"ERRO","OK")</f>
        <v>OK</v>
      </c>
      <c r="M1531" s="0" t="str">
        <f aca="false">IF(H1531&gt;J1531,"ERRO","OK")</f>
        <v>OK</v>
      </c>
      <c r="N1531" s="0" t="str">
        <f aca="false">IF(I1531&lt;J1531,"ERRO","OK")</f>
        <v>OK</v>
      </c>
    </row>
    <row r="1532" customFormat="false" ht="14.25" hidden="false" customHeight="false" outlineLevel="0" collapsed="false">
      <c r="A1532" s="0" t="n">
        <v>76</v>
      </c>
      <c r="B1532" s="0" t="n">
        <v>2024</v>
      </c>
      <c r="C1532" s="3" t="n">
        <v>45597</v>
      </c>
      <c r="E1532" s="0" t="s">
        <v>43</v>
      </c>
      <c r="F1532" s="0" t="s">
        <v>44</v>
      </c>
      <c r="G1532" s="0" t="s">
        <v>400</v>
      </c>
      <c r="H1532" s="0" t="s">
        <v>374</v>
      </c>
      <c r="I1532" s="0" t="s">
        <v>400</v>
      </c>
      <c r="J1532" s="0" t="s">
        <v>401</v>
      </c>
      <c r="K1532" s="0" t="s">
        <v>400</v>
      </c>
      <c r="L1532" s="0" t="str">
        <f aca="false">IF(H1532&gt;I1532,"ERRO","OK")</f>
        <v>OK</v>
      </c>
      <c r="M1532" s="0" t="str">
        <f aca="false">IF(H1532&gt;J1532,"ERRO","OK")</f>
        <v>OK</v>
      </c>
      <c r="N1532" s="0" t="str">
        <f aca="false">IF(I1532&lt;J1532,"ERRO","OK")</f>
        <v>OK</v>
      </c>
    </row>
    <row r="1533" customFormat="false" ht="14.25" hidden="false" customHeight="false" outlineLevel="0" collapsed="false">
      <c r="A1533" s="0" t="n">
        <v>76</v>
      </c>
      <c r="B1533" s="0" t="n">
        <v>2024</v>
      </c>
      <c r="C1533" s="3" t="n">
        <v>45597</v>
      </c>
      <c r="E1533" s="0" t="s">
        <v>46</v>
      </c>
      <c r="F1533" s="0" t="s">
        <v>47</v>
      </c>
      <c r="H1533" s="0" t="s">
        <v>402</v>
      </c>
      <c r="I1533" s="0" t="s">
        <v>382</v>
      </c>
      <c r="J1533" s="0" t="s">
        <v>370</v>
      </c>
      <c r="K1533" s="0" t="s">
        <v>403</v>
      </c>
      <c r="L1533" s="0" t="str">
        <f aca="false">IF(H1533&gt;I1533,"ERRO","OK")</f>
        <v>OK</v>
      </c>
      <c r="M1533" s="0" t="str">
        <f aca="false">IF(H1533&gt;J1533,"ERRO","OK")</f>
        <v>OK</v>
      </c>
      <c r="N1533" s="0" t="str">
        <f aca="false">IF(I1533&lt;J1533,"ERRO","OK")</f>
        <v>OK</v>
      </c>
    </row>
    <row r="1534" customFormat="false" ht="14.25" hidden="false" customHeight="false" outlineLevel="0" collapsed="false">
      <c r="A1534" s="0" t="n">
        <v>76</v>
      </c>
      <c r="B1534" s="0" t="n">
        <v>2024</v>
      </c>
      <c r="C1534" s="3" t="n">
        <v>45597</v>
      </c>
      <c r="E1534" s="0" t="s">
        <v>48</v>
      </c>
      <c r="F1534" s="0" t="s">
        <v>49</v>
      </c>
      <c r="H1534" s="0" t="s">
        <v>402</v>
      </c>
      <c r="I1534" s="0" t="s">
        <v>370</v>
      </c>
      <c r="J1534" s="0" t="s">
        <v>404</v>
      </c>
      <c r="K1534" s="0" t="s">
        <v>405</v>
      </c>
      <c r="L1534" s="0" t="str">
        <f aca="false">IF(H1534&gt;I1534,"ERRO","OK")</f>
        <v>OK</v>
      </c>
      <c r="M1534" s="0" t="str">
        <f aca="false">IF(H1534&gt;J1534,"ERRO","OK")</f>
        <v>OK</v>
      </c>
      <c r="N1534" s="0" t="str">
        <f aca="false">IF(I1534&lt;J1534,"ERRO","OK")</f>
        <v>OK</v>
      </c>
    </row>
    <row r="1535" customFormat="false" ht="14.25" hidden="false" customHeight="false" outlineLevel="0" collapsed="false">
      <c r="A1535" s="0" t="n">
        <v>76</v>
      </c>
      <c r="B1535" s="0" t="n">
        <v>2024</v>
      </c>
      <c r="C1535" s="3" t="n">
        <v>45597</v>
      </c>
      <c r="E1535" s="0" t="s">
        <v>52</v>
      </c>
      <c r="F1535" s="0" t="s">
        <v>49</v>
      </c>
      <c r="H1535" s="0" t="s">
        <v>370</v>
      </c>
      <c r="I1535" s="0" t="s">
        <v>370</v>
      </c>
      <c r="J1535" s="0" t="s">
        <v>370</v>
      </c>
      <c r="K1535" s="0" t="s">
        <v>370</v>
      </c>
      <c r="L1535" s="0" t="str">
        <f aca="false">IF(H1535&gt;I1535,"ERRO","OK")</f>
        <v>OK</v>
      </c>
      <c r="M1535" s="0" t="str">
        <f aca="false">IF(H1535&gt;J1535,"ERRO","OK")</f>
        <v>OK</v>
      </c>
      <c r="N1535" s="0" t="str">
        <f aca="false">IF(I1535&lt;J1535,"ERRO","OK")</f>
        <v>OK</v>
      </c>
    </row>
    <row r="1536" customFormat="false" ht="14.25" hidden="false" customHeight="false" outlineLevel="0" collapsed="false">
      <c r="A1536" s="0" t="n">
        <v>76</v>
      </c>
      <c r="B1536" s="0" t="n">
        <v>2024</v>
      </c>
      <c r="C1536" s="3" t="n">
        <v>45597</v>
      </c>
      <c r="E1536" s="0" t="s">
        <v>53</v>
      </c>
      <c r="F1536" s="0" t="s">
        <v>54</v>
      </c>
      <c r="G1536" s="0" t="s">
        <v>405</v>
      </c>
      <c r="H1536" s="0" t="s">
        <v>405</v>
      </c>
      <c r="I1536" s="0" t="s">
        <v>406</v>
      </c>
      <c r="J1536" s="0" t="s">
        <v>407</v>
      </c>
      <c r="K1536" s="0" t="s">
        <v>408</v>
      </c>
      <c r="L1536" s="0" t="str">
        <f aca="false">IF(H1536&gt;I1536,"ERRO","OK")</f>
        <v>OK</v>
      </c>
      <c r="M1536" s="0" t="str">
        <f aca="false">IF(H1536&gt;J1536,"ERRO","OK")</f>
        <v>OK</v>
      </c>
      <c r="N1536" s="0" t="str">
        <f aca="false">IF(I1536&lt;J1536,"ERRO","OK")</f>
        <v>OK</v>
      </c>
    </row>
    <row r="1537" customFormat="false" ht="14.25" hidden="false" customHeight="false" outlineLevel="0" collapsed="false">
      <c r="A1537" s="0" t="n">
        <v>76</v>
      </c>
      <c r="B1537" s="0" t="n">
        <v>2024</v>
      </c>
      <c r="C1537" s="3" t="n">
        <v>45597</v>
      </c>
      <c r="E1537" s="0" t="s">
        <v>56</v>
      </c>
      <c r="F1537" s="0" t="s">
        <v>47</v>
      </c>
      <c r="G1537" s="0" t="s">
        <v>408</v>
      </c>
      <c r="H1537" s="0" t="s">
        <v>409</v>
      </c>
      <c r="I1537" s="0" t="s">
        <v>408</v>
      </c>
      <c r="J1537" s="0" t="s">
        <v>410</v>
      </c>
      <c r="K1537" s="0" t="s">
        <v>405</v>
      </c>
      <c r="L1537" s="0" t="str">
        <f aca="false">IF(H1537&gt;I1537,"ERRO","OK")</f>
        <v>OK</v>
      </c>
      <c r="M1537" s="0" t="str">
        <f aca="false">IF(H1537&gt;J1537,"ERRO","OK")</f>
        <v>OK</v>
      </c>
      <c r="N1537" s="0" t="str">
        <f aca="false">IF(I1537&lt;J1537,"ERRO","OK")</f>
        <v>OK</v>
      </c>
    </row>
    <row r="1538" customFormat="false" ht="14.25" hidden="false" customHeight="false" outlineLevel="0" collapsed="false">
      <c r="A1538" s="0" t="n">
        <v>76</v>
      </c>
      <c r="B1538" s="0" t="n">
        <v>2024</v>
      </c>
      <c r="C1538" s="3" t="n">
        <v>45597</v>
      </c>
      <c r="E1538" s="0" t="s">
        <v>57</v>
      </c>
      <c r="F1538" s="0" t="s">
        <v>47</v>
      </c>
      <c r="G1538" s="0" t="s">
        <v>405</v>
      </c>
      <c r="H1538" s="0" t="s">
        <v>405</v>
      </c>
      <c r="I1538" s="0" t="s">
        <v>397</v>
      </c>
      <c r="J1538" s="0" t="s">
        <v>411</v>
      </c>
      <c r="K1538" s="0" t="s">
        <v>412</v>
      </c>
      <c r="L1538" s="0" t="str">
        <f aca="false">IF(H1538&gt;I1538,"ERRO","OK")</f>
        <v>OK</v>
      </c>
      <c r="M1538" s="0" t="str">
        <f aca="false">IF(H1538&gt;J1538,"ERRO","OK")</f>
        <v>OK</v>
      </c>
      <c r="N1538" s="0" t="str">
        <f aca="false">IF(I1538&lt;J1538,"ERRO","OK")</f>
        <v>OK</v>
      </c>
    </row>
    <row r="1539" customFormat="false" ht="14.25" hidden="false" customHeight="false" outlineLevel="0" collapsed="false">
      <c r="A1539" s="0" t="n">
        <v>76</v>
      </c>
      <c r="B1539" s="0" t="n">
        <v>2024</v>
      </c>
      <c r="C1539" s="3" t="n">
        <v>45597</v>
      </c>
      <c r="E1539" s="0" t="s">
        <v>58</v>
      </c>
      <c r="F1539" s="0" t="s">
        <v>44</v>
      </c>
      <c r="H1539" s="0" t="s">
        <v>398</v>
      </c>
      <c r="I1539" s="0" t="s">
        <v>413</v>
      </c>
      <c r="J1539" s="0" t="s">
        <v>414</v>
      </c>
      <c r="K1539" s="0" t="s">
        <v>415</v>
      </c>
      <c r="L1539" s="0" t="str">
        <f aca="false">IF(H1539&gt;I1539,"ERRO","OK")</f>
        <v>ERRO</v>
      </c>
      <c r="M1539" s="0" t="str">
        <f aca="false">IF(H1539&gt;J1539,"ERRO","OK")</f>
        <v>ERRO</v>
      </c>
      <c r="N1539" s="0" t="str">
        <f aca="false">IF(I1539&lt;J1539,"ERRO","OK")</f>
        <v>OK</v>
      </c>
    </row>
    <row r="1540" customFormat="false" ht="14.25" hidden="false" customHeight="false" outlineLevel="0" collapsed="false">
      <c r="A1540" s="0" t="n">
        <v>76</v>
      </c>
      <c r="B1540" s="0" t="n">
        <v>2024</v>
      </c>
      <c r="C1540" s="3" t="n">
        <v>45597</v>
      </c>
      <c r="E1540" s="0" t="s">
        <v>60</v>
      </c>
      <c r="F1540" s="0" t="s">
        <v>47</v>
      </c>
      <c r="H1540" s="0" t="s">
        <v>405</v>
      </c>
      <c r="I1540" s="0" t="s">
        <v>370</v>
      </c>
      <c r="J1540" s="0" t="s">
        <v>408</v>
      </c>
      <c r="K1540" s="0" t="s">
        <v>408</v>
      </c>
      <c r="L1540" s="0" t="str">
        <f aca="false">IF(H1540&gt;I1540,"ERRO","OK")</f>
        <v>OK</v>
      </c>
      <c r="M1540" s="0" t="str">
        <f aca="false">IF(H1540&gt;J1540,"ERRO","OK")</f>
        <v>OK</v>
      </c>
      <c r="N1540" s="0" t="str">
        <f aca="false">IF(I1540&lt;J1540,"ERRO","OK")</f>
        <v>OK</v>
      </c>
    </row>
    <row r="1541" customFormat="false" ht="14.25" hidden="false" customHeight="false" outlineLevel="0" collapsed="false">
      <c r="A1541" s="0" t="n">
        <v>76</v>
      </c>
      <c r="B1541" s="0" t="n">
        <v>2024</v>
      </c>
      <c r="C1541" s="3" t="n">
        <v>45597</v>
      </c>
      <c r="E1541" s="0" t="s">
        <v>61</v>
      </c>
      <c r="F1541" s="0" t="s">
        <v>44</v>
      </c>
      <c r="G1541" s="0" t="s">
        <v>405</v>
      </c>
      <c r="H1541" s="0" t="s">
        <v>409</v>
      </c>
      <c r="I1541" s="0" t="s">
        <v>405</v>
      </c>
      <c r="J1541" s="0" t="s">
        <v>416</v>
      </c>
      <c r="K1541" s="0" t="s">
        <v>405</v>
      </c>
      <c r="L1541" s="0" t="str">
        <f aca="false">IF(H1541&gt;I1541,"ERRO","OK")</f>
        <v>OK</v>
      </c>
      <c r="M1541" s="0" t="str">
        <f aca="false">IF(H1541&gt;J1541,"ERRO","OK")</f>
        <v>OK</v>
      </c>
      <c r="N1541" s="0" t="str">
        <f aca="false">IF(I1541&lt;J1541,"ERRO","OK")</f>
        <v>OK</v>
      </c>
    </row>
    <row r="1542" customFormat="false" ht="14.25" hidden="false" customHeight="false" outlineLevel="0" collapsed="false">
      <c r="A1542" s="0" t="n">
        <v>76</v>
      </c>
      <c r="B1542" s="0" t="n">
        <v>2024</v>
      </c>
      <c r="C1542" s="3" t="n">
        <v>45597</v>
      </c>
      <c r="E1542" s="0" t="s">
        <v>62</v>
      </c>
      <c r="F1542" s="0" t="s">
        <v>44</v>
      </c>
      <c r="G1542" s="0" t="s">
        <v>382</v>
      </c>
      <c r="H1542" s="0" t="s">
        <v>406</v>
      </c>
      <c r="I1542" s="0" t="s">
        <v>417</v>
      </c>
      <c r="J1542" s="0" t="s">
        <v>418</v>
      </c>
      <c r="K1542" s="0" t="s">
        <v>382</v>
      </c>
      <c r="L1542" s="0" t="str">
        <f aca="false">IF(H1542&gt;I1542,"ERRO","OK")</f>
        <v>OK</v>
      </c>
      <c r="M1542" s="0" t="str">
        <f aca="false">IF(H1542&gt;J1542,"ERRO","OK")</f>
        <v>OK</v>
      </c>
      <c r="N1542" s="0" t="str">
        <f aca="false">IF(I1542&lt;J1542,"ERRO","OK")</f>
        <v>OK</v>
      </c>
    </row>
    <row r="1543" customFormat="false" ht="14.25" hidden="false" customHeight="false" outlineLevel="0" collapsed="false">
      <c r="A1543" s="0" t="n">
        <v>76</v>
      </c>
      <c r="B1543" s="0" t="n">
        <v>2024</v>
      </c>
      <c r="C1543" s="3" t="n">
        <v>45597</v>
      </c>
      <c r="E1543" s="0" t="s">
        <v>63</v>
      </c>
      <c r="F1543" s="0" t="s">
        <v>49</v>
      </c>
      <c r="G1543" s="0" t="s">
        <v>405</v>
      </c>
      <c r="H1543" s="0" t="s">
        <v>409</v>
      </c>
      <c r="I1543" s="0" t="s">
        <v>405</v>
      </c>
      <c r="J1543" s="0" t="s">
        <v>419</v>
      </c>
      <c r="K1543" s="0" t="s">
        <v>416</v>
      </c>
      <c r="L1543" s="0" t="str">
        <f aca="false">IF(H1543&gt;I1543,"ERRO","OK")</f>
        <v>OK</v>
      </c>
      <c r="M1543" s="0" t="str">
        <f aca="false">IF(H1543&gt;J1543,"ERRO","OK")</f>
        <v>OK</v>
      </c>
      <c r="N1543" s="0" t="str">
        <f aca="false">IF(I1543&lt;J1543,"ERRO","OK")</f>
        <v>OK</v>
      </c>
    </row>
    <row r="1544" customFormat="false" ht="14.25" hidden="false" customHeight="false" outlineLevel="0" collapsed="false">
      <c r="A1544" s="0" t="n">
        <v>76</v>
      </c>
      <c r="B1544" s="0" t="n">
        <v>2024</v>
      </c>
      <c r="C1544" s="3" t="n">
        <v>45597</v>
      </c>
      <c r="E1544" s="0" t="s">
        <v>64</v>
      </c>
      <c r="F1544" s="0" t="s">
        <v>65</v>
      </c>
      <c r="H1544" s="0" t="s">
        <v>420</v>
      </c>
      <c r="I1544" s="0" t="s">
        <v>421</v>
      </c>
      <c r="J1544" s="0" t="s">
        <v>422</v>
      </c>
      <c r="K1544" s="0" t="s">
        <v>423</v>
      </c>
      <c r="L1544" s="0" t="str">
        <f aca="false">IF(H1544&gt;I1544,"ERRO","OK")</f>
        <v>OK</v>
      </c>
      <c r="M1544" s="0" t="str">
        <f aca="false">IF(H1544&gt;J1544,"ERRO","OK")</f>
        <v>OK</v>
      </c>
      <c r="N1544" s="0" t="str">
        <f aca="false">IF(I1544&lt;J1544,"ERRO","OK")</f>
        <v>OK</v>
      </c>
    </row>
    <row r="1545" customFormat="false" ht="14.25" hidden="false" customHeight="false" outlineLevel="0" collapsed="false">
      <c r="A1545" s="0" t="n">
        <v>76</v>
      </c>
      <c r="B1545" s="0" t="n">
        <v>2024</v>
      </c>
      <c r="C1545" s="3" t="n">
        <v>45597</v>
      </c>
      <c r="E1545" s="0" t="s">
        <v>67</v>
      </c>
      <c r="F1545" s="0" t="s">
        <v>44</v>
      </c>
      <c r="G1545" s="0" t="s">
        <v>398</v>
      </c>
      <c r="H1545" s="0" t="s">
        <v>382</v>
      </c>
      <c r="I1545" s="0" t="s">
        <v>424</v>
      </c>
      <c r="J1545" s="0" t="s">
        <v>425</v>
      </c>
      <c r="K1545" s="0" t="s">
        <v>398</v>
      </c>
      <c r="L1545" s="0" t="str">
        <f aca="false">IF(H1545&gt;I1545,"ERRO","OK")</f>
        <v>OK</v>
      </c>
      <c r="M1545" s="0" t="str">
        <f aca="false">IF(H1545&gt;J1545,"ERRO","OK")</f>
        <v>OK</v>
      </c>
      <c r="N1545" s="0" t="str">
        <f aca="false">IF(I1545&lt;J1545,"ERRO","OK")</f>
        <v>OK</v>
      </c>
    </row>
    <row r="1546" customFormat="false" ht="14.25" hidden="false" customHeight="false" outlineLevel="0" collapsed="false">
      <c r="A1546" s="0" t="n">
        <v>76</v>
      </c>
      <c r="B1546" s="0" t="n">
        <v>2024</v>
      </c>
      <c r="C1546" s="3" t="n">
        <v>45597</v>
      </c>
      <c r="E1546" s="0" t="s">
        <v>68</v>
      </c>
      <c r="F1546" s="0" t="s">
        <v>44</v>
      </c>
      <c r="H1546" s="0" t="s">
        <v>417</v>
      </c>
      <c r="I1546" s="0" t="s">
        <v>421</v>
      </c>
      <c r="J1546" s="0" t="s">
        <v>426</v>
      </c>
      <c r="K1546" s="0" t="s">
        <v>427</v>
      </c>
      <c r="L1546" s="0" t="str">
        <f aca="false">IF(H1546&gt;I1546,"ERRO","OK")</f>
        <v>ERRO</v>
      </c>
      <c r="M1546" s="0" t="str">
        <f aca="false">IF(H1546&gt;J1546,"ERRO","OK")</f>
        <v>ERRO</v>
      </c>
      <c r="N1546" s="0" t="str">
        <f aca="false">IF(I1546&lt;J1546,"ERRO","OK")</f>
        <v>OK</v>
      </c>
    </row>
    <row r="1547" customFormat="false" ht="14.25" hidden="false" customHeight="false" outlineLevel="0" collapsed="false">
      <c r="A1547" s="0" t="n">
        <v>76</v>
      </c>
      <c r="B1547" s="0" t="n">
        <v>2024</v>
      </c>
      <c r="C1547" s="3" t="n">
        <v>45597</v>
      </c>
      <c r="E1547" s="0" t="s">
        <v>70</v>
      </c>
      <c r="F1547" s="0" t="s">
        <v>49</v>
      </c>
      <c r="L1547" s="0" t="str">
        <f aca="false">IF(H1547&gt;I1547,"ERRO","OK")</f>
        <v>OK</v>
      </c>
      <c r="M1547" s="0" t="str">
        <f aca="false">IF(H1547&gt;J1547,"ERRO","OK")</f>
        <v>OK</v>
      </c>
      <c r="N1547" s="0" t="str">
        <f aca="false">IF(I1547&lt;J1547,"ERRO","OK")</f>
        <v>OK</v>
      </c>
    </row>
    <row r="1548" customFormat="false" ht="14.25" hidden="false" customHeight="false" outlineLevel="0" collapsed="false">
      <c r="A1548" s="0" t="n">
        <v>76</v>
      </c>
      <c r="B1548" s="0" t="n">
        <v>2024</v>
      </c>
      <c r="C1548" s="3" t="n">
        <v>45597</v>
      </c>
      <c r="E1548" s="0" t="s">
        <v>71</v>
      </c>
      <c r="F1548" s="0" t="s">
        <v>49</v>
      </c>
      <c r="L1548" s="0" t="str">
        <f aca="false">IF(H1548&gt;I1548,"ERRO","OK")</f>
        <v>OK</v>
      </c>
      <c r="M1548" s="0" t="str">
        <f aca="false">IF(H1548&gt;J1548,"ERRO","OK")</f>
        <v>OK</v>
      </c>
      <c r="N1548" s="0" t="str">
        <f aca="false">IF(I1548&lt;J1548,"ERRO","OK")</f>
        <v>OK</v>
      </c>
    </row>
    <row r="1549" customFormat="false" ht="14.25" hidden="false" customHeight="false" outlineLevel="0" collapsed="false">
      <c r="A1549" s="0" t="n">
        <v>76</v>
      </c>
      <c r="B1549" s="0" t="n">
        <v>2024</v>
      </c>
      <c r="C1549" s="3" t="n">
        <v>45597</v>
      </c>
      <c r="E1549" s="0" t="s">
        <v>72</v>
      </c>
      <c r="F1549" s="0" t="s">
        <v>49</v>
      </c>
      <c r="L1549" s="0" t="str">
        <f aca="false">IF(H1549&gt;I1549,"ERRO","OK")</f>
        <v>OK</v>
      </c>
      <c r="M1549" s="0" t="str">
        <f aca="false">IF(H1549&gt;J1549,"ERRO","OK")</f>
        <v>OK</v>
      </c>
      <c r="N1549" s="0" t="str">
        <f aca="false">IF(I1549&lt;J1549,"ERRO","OK")</f>
        <v>OK</v>
      </c>
    </row>
    <row r="1550" customFormat="false" ht="14.25" hidden="false" customHeight="false" outlineLevel="0" collapsed="false">
      <c r="A1550" s="0" t="n">
        <v>76</v>
      </c>
      <c r="B1550" s="0" t="n">
        <v>2024</v>
      </c>
      <c r="C1550" s="3" t="n">
        <v>45597</v>
      </c>
      <c r="E1550" s="0" t="s">
        <v>73</v>
      </c>
      <c r="F1550" s="0" t="s">
        <v>49</v>
      </c>
      <c r="H1550" s="0" t="s">
        <v>382</v>
      </c>
      <c r="I1550" s="0" t="s">
        <v>382</v>
      </c>
      <c r="J1550" s="0" t="s">
        <v>382</v>
      </c>
      <c r="K1550" s="0" t="s">
        <v>382</v>
      </c>
      <c r="L1550" s="0" t="str">
        <f aca="false">IF(H1550&gt;I1550,"ERRO","OK")</f>
        <v>OK</v>
      </c>
      <c r="M1550" s="0" t="str">
        <f aca="false">IF(H1550&gt;J1550,"ERRO","OK")</f>
        <v>OK</v>
      </c>
      <c r="N1550" s="0" t="str">
        <f aca="false">IF(I1550&lt;J1550,"ERRO","OK")</f>
        <v>OK</v>
      </c>
    </row>
    <row r="1551" customFormat="false" ht="14.25" hidden="false" customHeight="false" outlineLevel="0" collapsed="false">
      <c r="A1551" s="0" t="n">
        <v>76</v>
      </c>
      <c r="B1551" s="0" t="n">
        <v>2024</v>
      </c>
      <c r="C1551" s="3" t="n">
        <v>45597</v>
      </c>
      <c r="E1551" s="0" t="s">
        <v>74</v>
      </c>
      <c r="F1551" s="21" t="s">
        <v>75</v>
      </c>
      <c r="L1551" s="0" t="str">
        <f aca="false">IF(H1551&gt;I1551,"ERRO","OK")</f>
        <v>OK</v>
      </c>
      <c r="M1551" s="0" t="str">
        <f aca="false">IF(H1551&gt;J1551,"ERRO","OK")</f>
        <v>OK</v>
      </c>
      <c r="N1551" s="0" t="str">
        <f aca="false">IF(I1551&lt;J1551,"ERRO","OK")</f>
        <v>OK</v>
      </c>
    </row>
    <row r="1552" customFormat="false" ht="14.25" hidden="false" customHeight="false" outlineLevel="0" collapsed="false">
      <c r="A1552" s="0" t="n">
        <v>77</v>
      </c>
      <c r="B1552" s="0" t="n">
        <v>2024</v>
      </c>
      <c r="C1552" s="3" t="n">
        <v>45604</v>
      </c>
      <c r="E1552" s="0" t="s">
        <v>16</v>
      </c>
      <c r="F1552" s="0" t="s">
        <v>17</v>
      </c>
      <c r="G1552" s="0" t="s">
        <v>369</v>
      </c>
      <c r="H1552" s="0" t="s">
        <v>369</v>
      </c>
      <c r="I1552" s="0" t="s">
        <v>370</v>
      </c>
      <c r="J1552" s="0" t="s">
        <v>371</v>
      </c>
      <c r="K1552" s="0" t="s">
        <v>371</v>
      </c>
      <c r="L1552" s="0" t="str">
        <f aca="false">IF(H1552&gt;I1552,"ERRO","OK")</f>
        <v>OK</v>
      </c>
      <c r="M1552" s="0" t="str">
        <f aca="false">IF(H1552&gt;J1552,"ERRO","OK")</f>
        <v>OK</v>
      </c>
      <c r="N1552" s="0" t="str">
        <f aca="false">IF(I1552&lt;J1552,"ERRO","OK")</f>
        <v>OK</v>
      </c>
    </row>
    <row r="1553" customFormat="false" ht="14.25" hidden="false" customHeight="false" outlineLevel="0" collapsed="false">
      <c r="A1553" s="0" t="n">
        <v>77</v>
      </c>
      <c r="B1553" s="0" t="n">
        <v>2024</v>
      </c>
      <c r="C1553" s="3" t="n">
        <v>45604</v>
      </c>
      <c r="E1553" s="0" t="s">
        <v>18</v>
      </c>
      <c r="F1553" s="0" t="s">
        <v>17</v>
      </c>
      <c r="G1553" s="0" t="s">
        <v>372</v>
      </c>
      <c r="H1553" s="0" t="s">
        <v>372</v>
      </c>
      <c r="I1553" s="0" t="s">
        <v>372</v>
      </c>
      <c r="J1553" s="0" t="s">
        <v>372</v>
      </c>
      <c r="K1553" s="0" t="s">
        <v>372</v>
      </c>
      <c r="L1553" s="0" t="str">
        <f aca="false">IF(H1553&gt;I1553,"ERRO","OK")</f>
        <v>OK</v>
      </c>
      <c r="M1553" s="0" t="str">
        <f aca="false">IF(H1553&gt;J1553,"ERRO","OK")</f>
        <v>OK</v>
      </c>
      <c r="N1553" s="0" t="str">
        <f aca="false">IF(I1553&lt;J1553,"ERRO","OK")</f>
        <v>OK</v>
      </c>
    </row>
    <row r="1554" customFormat="false" ht="14.25" hidden="false" customHeight="false" outlineLevel="0" collapsed="false">
      <c r="A1554" s="0" t="n">
        <v>77</v>
      </c>
      <c r="B1554" s="0" t="n">
        <v>2024</v>
      </c>
      <c r="C1554" s="3" t="n">
        <v>45604</v>
      </c>
      <c r="E1554" s="0" t="s">
        <v>19</v>
      </c>
      <c r="F1554" s="0" t="s">
        <v>17</v>
      </c>
      <c r="G1554" s="0" t="s">
        <v>375</v>
      </c>
      <c r="H1554" s="0" t="s">
        <v>375</v>
      </c>
      <c r="I1554" s="0" t="s">
        <v>369</v>
      </c>
      <c r="J1554" s="0" t="s">
        <v>402</v>
      </c>
      <c r="K1554" s="0" t="s">
        <v>402</v>
      </c>
      <c r="L1554" s="0" t="str">
        <f aca="false">IF(H1554&gt;I1554,"ERRO","OK")</f>
        <v>OK</v>
      </c>
      <c r="M1554" s="0" t="str">
        <f aca="false">IF(H1554&gt;J1554,"ERRO","OK")</f>
        <v>OK</v>
      </c>
      <c r="N1554" s="0" t="str">
        <f aca="false">IF(I1554&lt;J1554,"ERRO","OK")</f>
        <v>OK</v>
      </c>
    </row>
    <row r="1555" customFormat="false" ht="14.25" hidden="false" customHeight="false" outlineLevel="0" collapsed="false">
      <c r="A1555" s="0" t="n">
        <v>77</v>
      </c>
      <c r="B1555" s="0" t="n">
        <v>2024</v>
      </c>
      <c r="C1555" s="3" t="n">
        <v>45604</v>
      </c>
      <c r="E1555" s="0" t="s">
        <v>20</v>
      </c>
      <c r="F1555" s="0" t="s">
        <v>17</v>
      </c>
      <c r="G1555" s="0" t="s">
        <v>374</v>
      </c>
      <c r="H1555" s="0" t="s">
        <v>374</v>
      </c>
      <c r="I1555" s="0" t="s">
        <v>374</v>
      </c>
      <c r="J1555" s="0" t="s">
        <v>374</v>
      </c>
      <c r="K1555" s="0" t="s">
        <v>374</v>
      </c>
      <c r="L1555" s="0" t="str">
        <f aca="false">IF(H1555&gt;I1555,"ERRO","OK")</f>
        <v>OK</v>
      </c>
      <c r="M1555" s="0" t="str">
        <f aca="false">IF(H1555&gt;J1555,"ERRO","OK")</f>
        <v>OK</v>
      </c>
      <c r="N1555" s="0" t="str">
        <f aca="false">IF(I1555&lt;J1555,"ERRO","OK")</f>
        <v>OK</v>
      </c>
    </row>
    <row r="1556" customFormat="false" ht="14.25" hidden="false" customHeight="false" outlineLevel="0" collapsed="false">
      <c r="A1556" s="0" t="n">
        <v>77</v>
      </c>
      <c r="B1556" s="0" t="n">
        <v>2024</v>
      </c>
      <c r="C1556" s="3" t="n">
        <v>45604</v>
      </c>
      <c r="E1556" s="0" t="s">
        <v>21</v>
      </c>
      <c r="F1556" s="0" t="s">
        <v>17</v>
      </c>
      <c r="G1556" s="0" t="s">
        <v>374</v>
      </c>
      <c r="H1556" s="0" t="s">
        <v>374</v>
      </c>
      <c r="I1556" s="0" t="s">
        <v>374</v>
      </c>
      <c r="J1556" s="0" t="s">
        <v>374</v>
      </c>
      <c r="K1556" s="0" t="s">
        <v>374</v>
      </c>
      <c r="L1556" s="0" t="str">
        <f aca="false">IF(H1556&gt;I1556,"ERRO","OK")</f>
        <v>OK</v>
      </c>
      <c r="M1556" s="0" t="str">
        <f aca="false">IF(H1556&gt;J1556,"ERRO","OK")</f>
        <v>OK</v>
      </c>
      <c r="N1556" s="0" t="str">
        <f aca="false">IF(I1556&lt;J1556,"ERRO","OK")</f>
        <v>OK</v>
      </c>
    </row>
    <row r="1557" customFormat="false" ht="14.25" hidden="false" customHeight="false" outlineLevel="0" collapsed="false">
      <c r="A1557" s="0" t="n">
        <v>77</v>
      </c>
      <c r="B1557" s="0" t="n">
        <v>2024</v>
      </c>
      <c r="C1557" s="3" t="n">
        <v>45604</v>
      </c>
      <c r="E1557" s="0" t="s">
        <v>22</v>
      </c>
      <c r="F1557" s="0" t="s">
        <v>17</v>
      </c>
      <c r="G1557" s="0" t="s">
        <v>370</v>
      </c>
      <c r="H1557" s="0" t="s">
        <v>370</v>
      </c>
      <c r="I1557" s="0" t="s">
        <v>370</v>
      </c>
      <c r="J1557" s="0" t="s">
        <v>370</v>
      </c>
      <c r="K1557" s="0" t="s">
        <v>370</v>
      </c>
      <c r="L1557" s="0" t="str">
        <f aca="false">IF(H1557&gt;I1557,"ERRO","OK")</f>
        <v>OK</v>
      </c>
      <c r="M1557" s="0" t="str">
        <f aca="false">IF(H1557&gt;J1557,"ERRO","OK")</f>
        <v>OK</v>
      </c>
      <c r="N1557" s="0" t="str">
        <f aca="false">IF(I1557&lt;J1557,"ERRO","OK")</f>
        <v>OK</v>
      </c>
    </row>
    <row r="1558" customFormat="false" ht="14.25" hidden="false" customHeight="false" outlineLevel="0" collapsed="false">
      <c r="A1558" s="0" t="n">
        <v>77</v>
      </c>
      <c r="B1558" s="0" t="n">
        <v>2024</v>
      </c>
      <c r="C1558" s="3" t="n">
        <v>45604</v>
      </c>
      <c r="E1558" s="0" t="s">
        <v>23</v>
      </c>
      <c r="F1558" s="0" t="s">
        <v>17</v>
      </c>
      <c r="G1558" s="0" t="s">
        <v>428</v>
      </c>
      <c r="H1558" s="0" t="s">
        <v>428</v>
      </c>
      <c r="I1558" s="0" t="s">
        <v>373</v>
      </c>
      <c r="J1558" s="0" t="s">
        <v>397</v>
      </c>
      <c r="K1558" s="0" t="s">
        <v>397</v>
      </c>
      <c r="L1558" s="0" t="str">
        <f aca="false">IF(H1558&gt;I1558,"ERRO","OK")</f>
        <v>OK</v>
      </c>
      <c r="M1558" s="0" t="str">
        <f aca="false">IF(H1558&gt;J1558,"ERRO","OK")</f>
        <v>OK</v>
      </c>
      <c r="N1558" s="0" t="str">
        <f aca="false">IF(I1558&lt;J1558,"ERRO","OK")</f>
        <v>OK</v>
      </c>
    </row>
    <row r="1559" customFormat="false" ht="14.25" hidden="false" customHeight="false" outlineLevel="0" collapsed="false">
      <c r="A1559" s="0" t="n">
        <v>77</v>
      </c>
      <c r="B1559" s="0" t="n">
        <v>2024</v>
      </c>
      <c r="C1559" s="3" t="n">
        <v>45604</v>
      </c>
      <c r="E1559" s="0" t="s">
        <v>24</v>
      </c>
      <c r="F1559" s="0" t="s">
        <v>17</v>
      </c>
      <c r="G1559" s="0" t="s">
        <v>370</v>
      </c>
      <c r="H1559" s="0" t="s">
        <v>370</v>
      </c>
      <c r="I1559" s="0" t="s">
        <v>372</v>
      </c>
      <c r="J1559" s="0" t="s">
        <v>428</v>
      </c>
      <c r="K1559" s="0" t="s">
        <v>428</v>
      </c>
      <c r="L1559" s="0" t="str">
        <f aca="false">IF(H1559&gt;I1559,"ERRO","OK")</f>
        <v>OK</v>
      </c>
      <c r="M1559" s="0" t="str">
        <f aca="false">IF(H1559&gt;J1559,"ERRO","OK")</f>
        <v>OK</v>
      </c>
      <c r="N1559" s="0" t="str">
        <f aca="false">IF(I1559&lt;J1559,"ERRO","OK")</f>
        <v>OK</v>
      </c>
    </row>
    <row r="1560" customFormat="false" ht="14.25" hidden="false" customHeight="false" outlineLevel="0" collapsed="false">
      <c r="A1560" s="0" t="n">
        <v>77</v>
      </c>
      <c r="B1560" s="0" t="n">
        <v>2024</v>
      </c>
      <c r="C1560" s="3" t="n">
        <v>45604</v>
      </c>
      <c r="E1560" s="0" t="s">
        <v>25</v>
      </c>
      <c r="F1560" s="0" t="s">
        <v>17</v>
      </c>
      <c r="G1560" s="0" t="s">
        <v>378</v>
      </c>
      <c r="H1560" s="0" t="s">
        <v>378</v>
      </c>
      <c r="I1560" s="0" t="s">
        <v>378</v>
      </c>
      <c r="J1560" s="0" t="s">
        <v>378</v>
      </c>
      <c r="K1560" s="0" t="s">
        <v>378</v>
      </c>
      <c r="L1560" s="0" t="str">
        <f aca="false">IF(H1560&gt;I1560,"ERRO","OK")</f>
        <v>OK</v>
      </c>
      <c r="M1560" s="0" t="str">
        <f aca="false">IF(H1560&gt;J1560,"ERRO","OK")</f>
        <v>OK</v>
      </c>
      <c r="N1560" s="0" t="str">
        <f aca="false">IF(I1560&lt;J1560,"ERRO","OK")</f>
        <v>OK</v>
      </c>
    </row>
    <row r="1561" customFormat="false" ht="14.25" hidden="false" customHeight="false" outlineLevel="0" collapsed="false">
      <c r="A1561" s="0" t="n">
        <v>77</v>
      </c>
      <c r="B1561" s="0" t="n">
        <v>2024</v>
      </c>
      <c r="C1561" s="3" t="n">
        <v>45604</v>
      </c>
      <c r="E1561" s="0" t="s">
        <v>77</v>
      </c>
      <c r="F1561" s="0" t="s">
        <v>17</v>
      </c>
      <c r="G1561" s="0" t="s">
        <v>370</v>
      </c>
      <c r="H1561" s="0" t="s">
        <v>370</v>
      </c>
      <c r="I1561" s="0" t="s">
        <v>429</v>
      </c>
      <c r="J1561" s="0" t="s">
        <v>430</v>
      </c>
      <c r="K1561" s="0" t="s">
        <v>430</v>
      </c>
      <c r="L1561" s="0" t="str">
        <f aca="false">IF(H1561&gt;I1561,"ERRO","OK")</f>
        <v>OK</v>
      </c>
      <c r="M1561" s="0" t="str">
        <f aca="false">IF(H1561&gt;J1561,"ERRO","OK")</f>
        <v>OK</v>
      </c>
      <c r="N1561" s="0" t="str">
        <f aca="false">IF(I1561&lt;J1561,"ERRO","OK")</f>
        <v>OK</v>
      </c>
    </row>
    <row r="1562" customFormat="false" ht="14.25" hidden="false" customHeight="false" outlineLevel="0" collapsed="false">
      <c r="A1562" s="0" t="n">
        <v>77</v>
      </c>
      <c r="B1562" s="0" t="n">
        <v>2024</v>
      </c>
      <c r="C1562" s="3" t="n">
        <v>45604</v>
      </c>
      <c r="E1562" s="0" t="s">
        <v>27</v>
      </c>
      <c r="F1562" s="0" t="s">
        <v>17</v>
      </c>
      <c r="G1562" s="0" t="s">
        <v>374</v>
      </c>
      <c r="H1562" s="0" t="s">
        <v>374</v>
      </c>
      <c r="I1562" s="0" t="s">
        <v>374</v>
      </c>
      <c r="J1562" s="0" t="s">
        <v>374</v>
      </c>
      <c r="K1562" s="0" t="s">
        <v>374</v>
      </c>
      <c r="L1562" s="0" t="str">
        <f aca="false">IF(H1562&gt;I1562,"ERRO","OK")</f>
        <v>OK</v>
      </c>
      <c r="M1562" s="0" t="str">
        <f aca="false">IF(H1562&gt;J1562,"ERRO","OK")</f>
        <v>OK</v>
      </c>
      <c r="N1562" s="0" t="str">
        <f aca="false">IF(I1562&lt;J1562,"ERRO","OK")</f>
        <v>OK</v>
      </c>
    </row>
    <row r="1563" customFormat="false" ht="14.25" hidden="false" customHeight="false" outlineLevel="0" collapsed="false">
      <c r="A1563" s="0" t="n">
        <v>77</v>
      </c>
      <c r="B1563" s="0" t="n">
        <v>2024</v>
      </c>
      <c r="C1563" s="3" t="n">
        <v>45604</v>
      </c>
      <c r="E1563" s="0" t="s">
        <v>28</v>
      </c>
      <c r="F1563" s="0" t="s">
        <v>17</v>
      </c>
      <c r="G1563" s="0" t="s">
        <v>405</v>
      </c>
      <c r="H1563" s="0" t="s">
        <v>405</v>
      </c>
      <c r="I1563" s="0" t="s">
        <v>370</v>
      </c>
      <c r="J1563" s="0" t="s">
        <v>408</v>
      </c>
      <c r="K1563" s="0" t="s">
        <v>408</v>
      </c>
      <c r="L1563" s="0" t="str">
        <f aca="false">IF(H1563&gt;I1563,"ERRO","OK")</f>
        <v>OK</v>
      </c>
      <c r="M1563" s="0" t="str">
        <f aca="false">IF(H1563&gt;J1563,"ERRO","OK")</f>
        <v>OK</v>
      </c>
      <c r="N1563" s="0" t="str">
        <f aca="false">IF(I1563&lt;J1563,"ERRO","OK")</f>
        <v>OK</v>
      </c>
    </row>
    <row r="1564" customFormat="false" ht="14.25" hidden="false" customHeight="false" outlineLevel="0" collapsed="false">
      <c r="A1564" s="0" t="n">
        <v>77</v>
      </c>
      <c r="B1564" s="0" t="n">
        <v>2024</v>
      </c>
      <c r="C1564" s="3" t="n">
        <v>45604</v>
      </c>
      <c r="E1564" s="0" t="s">
        <v>29</v>
      </c>
      <c r="F1564" s="0" t="s">
        <v>30</v>
      </c>
      <c r="G1564" s="0" t="s">
        <v>370</v>
      </c>
      <c r="H1564" s="0" t="s">
        <v>370</v>
      </c>
      <c r="I1564" s="0" t="s">
        <v>372</v>
      </c>
      <c r="J1564" s="0" t="s">
        <v>428</v>
      </c>
      <c r="K1564" s="0" t="s">
        <v>428</v>
      </c>
      <c r="L1564" s="0" t="str">
        <f aca="false">IF(H1564&gt;I1564,"ERRO","OK")</f>
        <v>OK</v>
      </c>
      <c r="M1564" s="0" t="str">
        <f aca="false">IF(H1564&gt;J1564,"ERRO","OK")</f>
        <v>OK</v>
      </c>
      <c r="N1564" s="0" t="str">
        <f aca="false">IF(I1564&lt;J1564,"ERRO","OK")</f>
        <v>OK</v>
      </c>
    </row>
    <row r="1565" customFormat="false" ht="14.25" hidden="false" customHeight="false" outlineLevel="0" collapsed="false">
      <c r="A1565" s="0" t="n">
        <v>77</v>
      </c>
      <c r="B1565" s="0" t="n">
        <v>2024</v>
      </c>
      <c r="C1565" s="3" t="n">
        <v>45604</v>
      </c>
      <c r="E1565" s="0" t="s">
        <v>31</v>
      </c>
      <c r="F1565" s="0" t="s">
        <v>17</v>
      </c>
      <c r="G1565" s="0" t="s">
        <v>372</v>
      </c>
      <c r="H1565" s="0" t="s">
        <v>372</v>
      </c>
      <c r="I1565" s="0" t="s">
        <v>372</v>
      </c>
      <c r="J1565" s="0" t="s">
        <v>372</v>
      </c>
      <c r="K1565" s="0" t="s">
        <v>372</v>
      </c>
      <c r="L1565" s="0" t="str">
        <f aca="false">IF(H1565&gt;I1565,"ERRO","OK")</f>
        <v>OK</v>
      </c>
      <c r="M1565" s="0" t="str">
        <f aca="false">IF(H1565&gt;J1565,"ERRO","OK")</f>
        <v>OK</v>
      </c>
      <c r="N1565" s="0" t="str">
        <f aca="false">IF(I1565&lt;J1565,"ERRO","OK")</f>
        <v>OK</v>
      </c>
    </row>
    <row r="1566" customFormat="false" ht="14.25" hidden="false" customHeight="false" outlineLevel="0" collapsed="false">
      <c r="A1566" s="0" t="n">
        <v>77</v>
      </c>
      <c r="B1566" s="0" t="n">
        <v>2024</v>
      </c>
      <c r="C1566" s="3" t="n">
        <v>45604</v>
      </c>
      <c r="E1566" s="0" t="s">
        <v>32</v>
      </c>
      <c r="F1566" s="0" t="s">
        <v>17</v>
      </c>
      <c r="G1566" s="0" t="s">
        <v>431</v>
      </c>
      <c r="H1566" s="0" t="s">
        <v>431</v>
      </c>
      <c r="I1566" s="0" t="s">
        <v>374</v>
      </c>
      <c r="J1566" s="0" t="s">
        <v>396</v>
      </c>
      <c r="K1566" s="0" t="s">
        <v>396</v>
      </c>
      <c r="L1566" s="0" t="str">
        <f aca="false">IF(H1566&gt;I1566,"ERRO","OK")</f>
        <v>OK</v>
      </c>
      <c r="M1566" s="0" t="str">
        <f aca="false">IF(H1566&gt;J1566,"ERRO","OK")</f>
        <v>OK</v>
      </c>
      <c r="N1566" s="0" t="str">
        <f aca="false">IF(I1566&lt;J1566,"ERRO","OK")</f>
        <v>OK</v>
      </c>
    </row>
    <row r="1567" customFormat="false" ht="14.25" hidden="false" customHeight="false" outlineLevel="0" collapsed="false">
      <c r="A1567" s="0" t="n">
        <v>77</v>
      </c>
      <c r="B1567" s="0" t="n">
        <v>2024</v>
      </c>
      <c r="C1567" s="3" t="n">
        <v>45604</v>
      </c>
      <c r="E1567" s="0" t="s">
        <v>33</v>
      </c>
      <c r="F1567" s="0" t="s">
        <v>17</v>
      </c>
      <c r="G1567" s="0" t="s">
        <v>369</v>
      </c>
      <c r="H1567" s="0" t="s">
        <v>369</v>
      </c>
      <c r="I1567" s="0" t="s">
        <v>369</v>
      </c>
      <c r="J1567" s="0" t="s">
        <v>369</v>
      </c>
      <c r="K1567" s="0" t="s">
        <v>369</v>
      </c>
      <c r="L1567" s="0" t="str">
        <f aca="false">IF(H1567&gt;I1567,"ERRO","OK")</f>
        <v>OK</v>
      </c>
      <c r="M1567" s="0" t="str">
        <f aca="false">IF(H1567&gt;J1567,"ERRO","OK")</f>
        <v>OK</v>
      </c>
      <c r="N1567" s="0" t="str">
        <f aca="false">IF(I1567&lt;J1567,"ERRO","OK")</f>
        <v>OK</v>
      </c>
    </row>
    <row r="1568" customFormat="false" ht="14.25" hidden="false" customHeight="false" outlineLevel="0" collapsed="false">
      <c r="A1568" s="0" t="n">
        <v>77</v>
      </c>
      <c r="B1568" s="0" t="n">
        <v>2024</v>
      </c>
      <c r="C1568" s="3" t="n">
        <v>45604</v>
      </c>
      <c r="E1568" s="0" t="s">
        <v>35</v>
      </c>
      <c r="F1568" s="0" t="s">
        <v>36</v>
      </c>
      <c r="G1568" s="0" t="s">
        <v>390</v>
      </c>
      <c r="H1568" s="0" t="s">
        <v>390</v>
      </c>
      <c r="I1568" s="0" t="s">
        <v>390</v>
      </c>
      <c r="J1568" s="0" t="s">
        <v>390</v>
      </c>
      <c r="K1568" s="0" t="s">
        <v>390</v>
      </c>
      <c r="L1568" s="0" t="str">
        <f aca="false">IF(H1568&gt;I1568,"ERRO","OK")</f>
        <v>OK</v>
      </c>
      <c r="M1568" s="0" t="str">
        <f aca="false">IF(H1568&gt;J1568,"ERRO","OK")</f>
        <v>OK</v>
      </c>
      <c r="N1568" s="0" t="str">
        <f aca="false">IF(I1568&lt;J1568,"ERRO","OK")</f>
        <v>OK</v>
      </c>
    </row>
    <row r="1569" customFormat="false" ht="14.25" hidden="false" customHeight="false" outlineLevel="0" collapsed="false">
      <c r="A1569" s="0" t="n">
        <v>77</v>
      </c>
      <c r="B1569" s="0" t="n">
        <v>2024</v>
      </c>
      <c r="C1569" s="3" t="n">
        <v>45604</v>
      </c>
      <c r="E1569" s="0" t="s">
        <v>38</v>
      </c>
      <c r="F1569" s="0" t="s">
        <v>39</v>
      </c>
      <c r="G1569" s="0" t="s">
        <v>391</v>
      </c>
      <c r="H1569" s="0" t="s">
        <v>391</v>
      </c>
      <c r="I1569" s="0" t="s">
        <v>394</v>
      </c>
      <c r="J1569" s="0" t="s">
        <v>432</v>
      </c>
      <c r="K1569" s="0" t="s">
        <v>432</v>
      </c>
      <c r="L1569" s="0" t="str">
        <f aca="false">IF(H1569&gt;I1569,"ERRO","OK")</f>
        <v>OK</v>
      </c>
      <c r="M1569" s="0" t="str">
        <f aca="false">IF(H1569&gt;J1569,"ERRO","OK")</f>
        <v>OK</v>
      </c>
      <c r="N1569" s="0" t="str">
        <f aca="false">IF(I1569&lt;J1569,"ERRO","OK")</f>
        <v>OK</v>
      </c>
    </row>
    <row r="1570" customFormat="false" ht="14.25" hidden="false" customHeight="false" outlineLevel="0" collapsed="false">
      <c r="A1570" s="0" t="n">
        <v>77</v>
      </c>
      <c r="B1570" s="0" t="n">
        <v>2024</v>
      </c>
      <c r="C1570" s="3" t="n">
        <v>45604</v>
      </c>
      <c r="E1570" s="0" t="s">
        <v>40</v>
      </c>
      <c r="F1570" s="0" t="s">
        <v>39</v>
      </c>
      <c r="G1570" s="0" t="s">
        <v>374</v>
      </c>
      <c r="H1570" s="0" t="s">
        <v>374</v>
      </c>
      <c r="I1570" s="0" t="s">
        <v>374</v>
      </c>
      <c r="J1570" s="0" t="s">
        <v>374</v>
      </c>
      <c r="K1570" s="0" t="s">
        <v>374</v>
      </c>
      <c r="L1570" s="0" t="str">
        <f aca="false">IF(H1570&gt;I1570,"ERRO","OK")</f>
        <v>OK</v>
      </c>
      <c r="M1570" s="0" t="str">
        <f aca="false">IF(H1570&gt;J1570,"ERRO","OK")</f>
        <v>OK</v>
      </c>
      <c r="N1570" s="0" t="str">
        <f aca="false">IF(I1570&lt;J1570,"ERRO","OK")</f>
        <v>OK</v>
      </c>
    </row>
    <row r="1571" customFormat="false" ht="14.25" hidden="false" customHeight="false" outlineLevel="0" collapsed="false">
      <c r="A1571" s="0" t="n">
        <v>77</v>
      </c>
      <c r="B1571" s="0" t="n">
        <v>2024</v>
      </c>
      <c r="C1571" s="3" t="n">
        <v>45604</v>
      </c>
      <c r="E1571" s="0" t="s">
        <v>157</v>
      </c>
      <c r="F1571" s="0" t="s">
        <v>158</v>
      </c>
      <c r="G1571" s="0" t="s">
        <v>398</v>
      </c>
      <c r="H1571" s="0" t="s">
        <v>398</v>
      </c>
      <c r="I1571" s="0" t="s">
        <v>398</v>
      </c>
      <c r="J1571" s="0" t="s">
        <v>398</v>
      </c>
      <c r="K1571" s="0" t="s">
        <v>398</v>
      </c>
      <c r="L1571" s="0" t="str">
        <f aca="false">IF(H1571&gt;I1571,"ERRO","OK")</f>
        <v>OK</v>
      </c>
      <c r="M1571" s="0" t="str">
        <f aca="false">IF(H1571&gt;J1571,"ERRO","OK")</f>
        <v>OK</v>
      </c>
      <c r="N1571" s="0" t="str">
        <f aca="false">IF(I1571&lt;J1571,"ERRO","OK")</f>
        <v>OK</v>
      </c>
    </row>
    <row r="1572" customFormat="false" ht="14.25" hidden="false" customHeight="false" outlineLevel="0" collapsed="false">
      <c r="A1572" s="0" t="n">
        <v>77</v>
      </c>
      <c r="B1572" s="0" t="n">
        <v>2024</v>
      </c>
      <c r="C1572" s="3" t="n">
        <v>45604</v>
      </c>
      <c r="E1572" s="0" t="s">
        <v>43</v>
      </c>
      <c r="F1572" s="0" t="s">
        <v>44</v>
      </c>
      <c r="G1572" s="0" t="s">
        <v>374</v>
      </c>
      <c r="H1572" s="0" t="s">
        <v>374</v>
      </c>
      <c r="I1572" s="0" t="s">
        <v>405</v>
      </c>
      <c r="J1572" s="0" t="s">
        <v>409</v>
      </c>
      <c r="K1572" s="0" t="s">
        <v>409</v>
      </c>
      <c r="L1572" s="0" t="str">
        <f aca="false">IF(H1572&gt;I1572,"ERRO","OK")</f>
        <v>OK</v>
      </c>
      <c r="M1572" s="0" t="str">
        <f aca="false">IF(H1572&gt;J1572,"ERRO","OK")</f>
        <v>OK</v>
      </c>
      <c r="N1572" s="0" t="str">
        <f aca="false">IF(I1572&lt;J1572,"ERRO","OK")</f>
        <v>OK</v>
      </c>
    </row>
    <row r="1573" customFormat="false" ht="14.25" hidden="false" customHeight="false" outlineLevel="0" collapsed="false">
      <c r="A1573" s="0" t="n">
        <v>77</v>
      </c>
      <c r="B1573" s="0" t="n">
        <v>2024</v>
      </c>
      <c r="C1573" s="3" t="n">
        <v>45604</v>
      </c>
      <c r="E1573" s="0" t="s">
        <v>46</v>
      </c>
      <c r="F1573" s="0" t="s">
        <v>47</v>
      </c>
      <c r="G1573" s="0" t="s">
        <v>402</v>
      </c>
      <c r="H1573" s="0" t="s">
        <v>402</v>
      </c>
      <c r="I1573" s="0" t="s">
        <v>397</v>
      </c>
      <c r="J1573" s="0" t="s">
        <v>433</v>
      </c>
      <c r="K1573" s="0" t="s">
        <v>406</v>
      </c>
      <c r="L1573" s="0" t="str">
        <f aca="false">IF(H1573&gt;I1573,"ERRO","OK")</f>
        <v>OK</v>
      </c>
      <c r="M1573" s="0" t="str">
        <f aca="false">IF(H1573&gt;J1573,"ERRO","OK")</f>
        <v>OK</v>
      </c>
      <c r="N1573" s="0" t="str">
        <f aca="false">IF(I1573&lt;J1573,"ERRO","OK")</f>
        <v>OK</v>
      </c>
    </row>
    <row r="1574" customFormat="false" ht="14.25" hidden="false" customHeight="false" outlineLevel="0" collapsed="false">
      <c r="A1574" s="0" t="n">
        <v>77</v>
      </c>
      <c r="B1574" s="0" t="n">
        <v>2024</v>
      </c>
      <c r="C1574" s="3" t="n">
        <v>45604</v>
      </c>
      <c r="E1574" s="0" t="s">
        <v>48</v>
      </c>
      <c r="F1574" s="0" t="s">
        <v>49</v>
      </c>
      <c r="G1574" s="0" t="s">
        <v>402</v>
      </c>
      <c r="H1574" s="0" t="s">
        <v>402</v>
      </c>
      <c r="I1574" s="0" t="s">
        <v>370</v>
      </c>
      <c r="J1574" s="0" t="s">
        <v>434</v>
      </c>
      <c r="K1574" s="0" t="s">
        <v>405</v>
      </c>
      <c r="L1574" s="0" t="str">
        <f aca="false">IF(H1574&gt;I1574,"ERRO","OK")</f>
        <v>OK</v>
      </c>
      <c r="M1574" s="0" t="str">
        <f aca="false">IF(H1574&gt;J1574,"ERRO","OK")</f>
        <v>OK</v>
      </c>
      <c r="N1574" s="0" t="str">
        <f aca="false">IF(I1574&lt;J1574,"ERRO","OK")</f>
        <v>OK</v>
      </c>
    </row>
    <row r="1575" customFormat="false" ht="14.25" hidden="false" customHeight="false" outlineLevel="0" collapsed="false">
      <c r="A1575" s="0" t="n">
        <v>77</v>
      </c>
      <c r="B1575" s="0" t="n">
        <v>2024</v>
      </c>
      <c r="C1575" s="3" t="n">
        <v>45604</v>
      </c>
      <c r="E1575" s="0" t="s">
        <v>52</v>
      </c>
      <c r="F1575" s="0" t="s">
        <v>49</v>
      </c>
      <c r="G1575" s="0" t="s">
        <v>406</v>
      </c>
      <c r="H1575" s="0" t="s">
        <v>406</v>
      </c>
      <c r="I1575" s="0" t="s">
        <v>406</v>
      </c>
      <c r="J1575" s="0" t="s">
        <v>406</v>
      </c>
      <c r="K1575" s="0" t="s">
        <v>406</v>
      </c>
      <c r="L1575" s="0" t="str">
        <f aca="false">IF(H1575&gt;I1575,"ERRO","OK")</f>
        <v>OK</v>
      </c>
      <c r="M1575" s="0" t="str">
        <f aca="false">IF(H1575&gt;J1575,"ERRO","OK")</f>
        <v>OK</v>
      </c>
      <c r="N1575" s="0" t="str">
        <f aca="false">IF(I1575&lt;J1575,"ERRO","OK")</f>
        <v>OK</v>
      </c>
    </row>
    <row r="1576" customFormat="false" ht="14.25" hidden="false" customHeight="false" outlineLevel="0" collapsed="false">
      <c r="A1576" s="0" t="n">
        <v>77</v>
      </c>
      <c r="B1576" s="0" t="n">
        <v>2024</v>
      </c>
      <c r="C1576" s="3" t="n">
        <v>45604</v>
      </c>
      <c r="E1576" s="0" t="s">
        <v>53</v>
      </c>
      <c r="F1576" s="0" t="s">
        <v>54</v>
      </c>
      <c r="G1576" s="0" t="s">
        <v>405</v>
      </c>
      <c r="H1576" s="0" t="s">
        <v>405</v>
      </c>
      <c r="I1576" s="0" t="s">
        <v>382</v>
      </c>
      <c r="J1576" s="0" t="s">
        <v>435</v>
      </c>
      <c r="K1576" s="0" t="s">
        <v>370</v>
      </c>
      <c r="L1576" s="0" t="str">
        <f aca="false">IF(H1576&gt;I1576,"ERRO","OK")</f>
        <v>OK</v>
      </c>
      <c r="M1576" s="0" t="str">
        <f aca="false">IF(H1576&gt;J1576,"ERRO","OK")</f>
        <v>OK</v>
      </c>
      <c r="N1576" s="0" t="str">
        <f aca="false">IF(I1576&lt;J1576,"ERRO","OK")</f>
        <v>OK</v>
      </c>
    </row>
    <row r="1577" customFormat="false" ht="14.25" hidden="false" customHeight="false" outlineLevel="0" collapsed="false">
      <c r="A1577" s="0" t="n">
        <v>77</v>
      </c>
      <c r="B1577" s="0" t="n">
        <v>2024</v>
      </c>
      <c r="C1577" s="3" t="n">
        <v>45604</v>
      </c>
      <c r="E1577" s="0" t="s">
        <v>56</v>
      </c>
      <c r="F1577" s="0" t="s">
        <v>47</v>
      </c>
      <c r="G1577" s="0" t="s">
        <v>405</v>
      </c>
      <c r="H1577" s="0" t="s">
        <v>409</v>
      </c>
      <c r="I1577" s="0" t="s">
        <v>408</v>
      </c>
      <c r="J1577" s="0" t="s">
        <v>410</v>
      </c>
      <c r="K1577" s="0" t="s">
        <v>405</v>
      </c>
      <c r="L1577" s="0" t="str">
        <f aca="false">IF(H1577&gt;I1577,"ERRO","OK")</f>
        <v>OK</v>
      </c>
      <c r="M1577" s="0" t="str">
        <f aca="false">IF(H1577&gt;J1577,"ERRO","OK")</f>
        <v>OK</v>
      </c>
      <c r="N1577" s="0" t="str">
        <f aca="false">IF(I1577&lt;J1577,"ERRO","OK")</f>
        <v>OK</v>
      </c>
    </row>
    <row r="1578" customFormat="false" ht="14.25" hidden="false" customHeight="false" outlineLevel="0" collapsed="false">
      <c r="A1578" s="0" t="n">
        <v>77</v>
      </c>
      <c r="B1578" s="0" t="n">
        <v>2024</v>
      </c>
      <c r="C1578" s="3" t="n">
        <v>45604</v>
      </c>
      <c r="E1578" s="0" t="s">
        <v>57</v>
      </c>
      <c r="F1578" s="0" t="s">
        <v>47</v>
      </c>
      <c r="G1578" s="0" t="s">
        <v>400</v>
      </c>
      <c r="H1578" s="0" t="s">
        <v>400</v>
      </c>
      <c r="I1578" s="0" t="s">
        <v>406</v>
      </c>
      <c r="J1578" s="0" t="s">
        <v>405</v>
      </c>
      <c r="K1578" s="0" t="s">
        <v>405</v>
      </c>
      <c r="L1578" s="0" t="str">
        <f aca="false">IF(H1578&gt;I1578,"ERRO","OK")</f>
        <v>OK</v>
      </c>
      <c r="M1578" s="0" t="str">
        <f aca="false">IF(H1578&gt;J1578,"ERRO","OK")</f>
        <v>OK</v>
      </c>
      <c r="N1578" s="0" t="str">
        <f aca="false">IF(I1578&lt;J1578,"ERRO","OK")</f>
        <v>OK</v>
      </c>
    </row>
    <row r="1579" customFormat="false" ht="14.25" hidden="false" customHeight="false" outlineLevel="0" collapsed="false">
      <c r="A1579" s="0" t="n">
        <v>77</v>
      </c>
      <c r="B1579" s="0" t="n">
        <v>2024</v>
      </c>
      <c r="C1579" s="3" t="n">
        <v>45604</v>
      </c>
      <c r="E1579" s="0" t="s">
        <v>58</v>
      </c>
      <c r="F1579" s="0" t="s">
        <v>44</v>
      </c>
      <c r="G1579" s="0" t="s">
        <v>413</v>
      </c>
      <c r="H1579" s="0" t="s">
        <v>427</v>
      </c>
      <c r="I1579" s="0" t="s">
        <v>413</v>
      </c>
      <c r="J1579" s="0" t="s">
        <v>436</v>
      </c>
      <c r="K1579" s="0" t="s">
        <v>413</v>
      </c>
      <c r="L1579" s="0" t="str">
        <f aca="false">IF(H1579&gt;I1579,"ERRO","OK")</f>
        <v>OK</v>
      </c>
      <c r="M1579" s="0" t="str">
        <f aca="false">IF(H1579&gt;J1579,"ERRO","OK")</f>
        <v>OK</v>
      </c>
      <c r="N1579" s="0" t="str">
        <f aca="false">IF(I1579&lt;J1579,"ERRO","OK")</f>
        <v>OK</v>
      </c>
    </row>
    <row r="1580" customFormat="false" ht="14.25" hidden="false" customHeight="false" outlineLevel="0" collapsed="false">
      <c r="A1580" s="0" t="n">
        <v>77</v>
      </c>
      <c r="B1580" s="0" t="n">
        <v>2024</v>
      </c>
      <c r="C1580" s="3" t="n">
        <v>45604</v>
      </c>
      <c r="E1580" s="0" t="s">
        <v>60</v>
      </c>
      <c r="F1580" s="0" t="s">
        <v>47</v>
      </c>
      <c r="G1580" s="0" t="s">
        <v>405</v>
      </c>
      <c r="H1580" s="0" t="s">
        <v>405</v>
      </c>
      <c r="I1580" s="0" t="s">
        <v>405</v>
      </c>
      <c r="J1580" s="0" t="s">
        <v>405</v>
      </c>
      <c r="K1580" s="0" t="s">
        <v>405</v>
      </c>
      <c r="L1580" s="0" t="str">
        <f aca="false">IF(H1580&gt;I1580,"ERRO","OK")</f>
        <v>OK</v>
      </c>
      <c r="M1580" s="0" t="str">
        <f aca="false">IF(H1580&gt;J1580,"ERRO","OK")</f>
        <v>OK</v>
      </c>
      <c r="N1580" s="0" t="str">
        <f aca="false">IF(I1580&lt;J1580,"ERRO","OK")</f>
        <v>OK</v>
      </c>
    </row>
    <row r="1581" customFormat="false" ht="14.25" hidden="false" customHeight="false" outlineLevel="0" collapsed="false">
      <c r="A1581" s="0" t="n">
        <v>77</v>
      </c>
      <c r="B1581" s="0" t="n">
        <v>2024</v>
      </c>
      <c r="C1581" s="3" t="n">
        <v>45604</v>
      </c>
      <c r="E1581" s="0" t="s">
        <v>61</v>
      </c>
      <c r="F1581" s="0" t="s">
        <v>44</v>
      </c>
      <c r="G1581" s="0" t="s">
        <v>402</v>
      </c>
      <c r="H1581" s="0" t="s">
        <v>402</v>
      </c>
      <c r="I1581" s="0" t="s">
        <v>408</v>
      </c>
      <c r="J1581" s="0" t="s">
        <v>405</v>
      </c>
      <c r="K1581" s="0" t="s">
        <v>405</v>
      </c>
      <c r="L1581" s="0" t="str">
        <f aca="false">IF(H1581&gt;I1581,"ERRO","OK")</f>
        <v>OK</v>
      </c>
      <c r="M1581" s="0" t="str">
        <f aca="false">IF(H1581&gt;J1581,"ERRO","OK")</f>
        <v>OK</v>
      </c>
      <c r="N1581" s="0" t="str">
        <f aca="false">IF(I1581&lt;J1581,"ERRO","OK")</f>
        <v>OK</v>
      </c>
    </row>
    <row r="1582" customFormat="false" ht="14.25" hidden="false" customHeight="false" outlineLevel="0" collapsed="false">
      <c r="A1582" s="0" t="n">
        <v>77</v>
      </c>
      <c r="B1582" s="0" t="n">
        <v>2024</v>
      </c>
      <c r="C1582" s="3" t="n">
        <v>45604</v>
      </c>
      <c r="E1582" s="0" t="s">
        <v>62</v>
      </c>
      <c r="F1582" s="0" t="s">
        <v>44</v>
      </c>
      <c r="G1582" s="0" t="s">
        <v>382</v>
      </c>
      <c r="H1582" s="0" t="s">
        <v>406</v>
      </c>
      <c r="I1582" s="0" t="s">
        <v>417</v>
      </c>
      <c r="J1582" s="0" t="s">
        <v>397</v>
      </c>
      <c r="K1582" s="0" t="s">
        <v>382</v>
      </c>
      <c r="L1582" s="0" t="str">
        <f aca="false">IF(H1582&gt;I1582,"ERRO","OK")</f>
        <v>OK</v>
      </c>
      <c r="M1582" s="0" t="str">
        <f aca="false">IF(H1582&gt;J1582,"ERRO","OK")</f>
        <v>OK</v>
      </c>
      <c r="N1582" s="0" t="str">
        <f aca="false">IF(I1582&lt;J1582,"ERRO","OK")</f>
        <v>OK</v>
      </c>
    </row>
    <row r="1583" customFormat="false" ht="14.25" hidden="false" customHeight="false" outlineLevel="0" collapsed="false">
      <c r="A1583" s="0" t="n">
        <v>77</v>
      </c>
      <c r="B1583" s="0" t="n">
        <v>2024</v>
      </c>
      <c r="C1583" s="3" t="n">
        <v>45604</v>
      </c>
      <c r="E1583" s="0" t="s">
        <v>63</v>
      </c>
      <c r="F1583" s="0" t="s">
        <v>49</v>
      </c>
      <c r="G1583" s="0" t="s">
        <v>405</v>
      </c>
      <c r="H1583" s="0" t="s">
        <v>409</v>
      </c>
      <c r="I1583" s="0" t="s">
        <v>408</v>
      </c>
      <c r="J1583" s="0" t="s">
        <v>369</v>
      </c>
      <c r="K1583" s="0" t="s">
        <v>405</v>
      </c>
      <c r="L1583" s="0" t="str">
        <f aca="false">IF(H1583&gt;I1583,"ERRO","OK")</f>
        <v>OK</v>
      </c>
      <c r="M1583" s="0" t="str">
        <f aca="false">IF(H1583&gt;J1583,"ERRO","OK")</f>
        <v>OK</v>
      </c>
      <c r="N1583" s="0" t="str">
        <f aca="false">IF(I1583&lt;J1583,"ERRO","OK")</f>
        <v>OK</v>
      </c>
    </row>
    <row r="1584" customFormat="false" ht="14.25" hidden="false" customHeight="false" outlineLevel="0" collapsed="false">
      <c r="A1584" s="0" t="n">
        <v>77</v>
      </c>
      <c r="B1584" s="0" t="n">
        <v>2024</v>
      </c>
      <c r="C1584" s="3" t="n">
        <v>45604</v>
      </c>
      <c r="E1584" s="0" t="s">
        <v>64</v>
      </c>
      <c r="F1584" s="0" t="s">
        <v>65</v>
      </c>
      <c r="G1584" s="0" t="s">
        <v>421</v>
      </c>
      <c r="H1584" s="0" t="s">
        <v>423</v>
      </c>
      <c r="I1584" s="0" t="s">
        <v>437</v>
      </c>
      <c r="J1584" s="0" t="s">
        <v>438</v>
      </c>
      <c r="K1584" s="0" t="s">
        <v>421</v>
      </c>
      <c r="L1584" s="0" t="str">
        <f aca="false">IF(H1584&gt;I1584,"ERRO","OK")</f>
        <v>OK</v>
      </c>
      <c r="M1584" s="0" t="str">
        <f aca="false">IF(H1584&gt;J1584,"ERRO","OK")</f>
        <v>OK</v>
      </c>
      <c r="N1584" s="0" t="str">
        <f aca="false">IF(I1584&lt;J1584,"ERRO","OK")</f>
        <v>OK</v>
      </c>
    </row>
    <row r="1585" customFormat="false" ht="14.25" hidden="false" customHeight="false" outlineLevel="0" collapsed="false">
      <c r="A1585" s="0" t="n">
        <v>77</v>
      </c>
      <c r="B1585" s="0" t="n">
        <v>2024</v>
      </c>
      <c r="C1585" s="3" t="n">
        <v>45604</v>
      </c>
      <c r="E1585" s="0" t="s">
        <v>67</v>
      </c>
      <c r="F1585" s="0" t="s">
        <v>44</v>
      </c>
      <c r="G1585" s="0" t="s">
        <v>406</v>
      </c>
      <c r="H1585" s="0" t="s">
        <v>370</v>
      </c>
      <c r="I1585" s="0" t="s">
        <v>382</v>
      </c>
      <c r="J1585" s="0" t="s">
        <v>406</v>
      </c>
      <c r="K1585" s="0" t="s">
        <v>406</v>
      </c>
      <c r="L1585" s="0" t="str">
        <f aca="false">IF(H1585&gt;I1585,"ERRO","OK")</f>
        <v>OK</v>
      </c>
      <c r="M1585" s="0" t="str">
        <f aca="false">IF(H1585&gt;J1585,"ERRO","OK")</f>
        <v>OK</v>
      </c>
      <c r="N1585" s="0" t="str">
        <f aca="false">IF(I1585&lt;J1585,"ERRO","OK")</f>
        <v>OK</v>
      </c>
    </row>
    <row r="1586" customFormat="false" ht="14.25" hidden="false" customHeight="false" outlineLevel="0" collapsed="false">
      <c r="A1586" s="0" t="n">
        <v>77</v>
      </c>
      <c r="B1586" s="0" t="n">
        <v>2024</v>
      </c>
      <c r="C1586" s="3" t="n">
        <v>45604</v>
      </c>
      <c r="E1586" s="0" t="s">
        <v>68</v>
      </c>
      <c r="F1586" s="0" t="s">
        <v>44</v>
      </c>
      <c r="G1586" s="0" t="s">
        <v>427</v>
      </c>
      <c r="H1586" s="0" t="s">
        <v>405</v>
      </c>
      <c r="I1586" s="0" t="s">
        <v>427</v>
      </c>
      <c r="J1586" s="0" t="s">
        <v>439</v>
      </c>
      <c r="K1586" s="0" t="s">
        <v>427</v>
      </c>
      <c r="L1586" s="0" t="str">
        <f aca="false">IF(H1586&gt;I1586,"ERRO","OK")</f>
        <v>ERRO</v>
      </c>
      <c r="M1586" s="0" t="str">
        <f aca="false">IF(H1586&gt;J1586,"ERRO","OK")</f>
        <v>OK</v>
      </c>
      <c r="N1586" s="0" t="str">
        <f aca="false">IF(I1586&lt;J1586,"ERRO","OK")</f>
        <v>ERRO</v>
      </c>
    </row>
    <row r="1587" customFormat="false" ht="14.25" hidden="false" customHeight="false" outlineLevel="0" collapsed="false">
      <c r="A1587" s="0" t="n">
        <v>77</v>
      </c>
      <c r="B1587" s="0" t="n">
        <v>2024</v>
      </c>
      <c r="C1587" s="3" t="n">
        <v>45604</v>
      </c>
      <c r="E1587" s="0" t="s">
        <v>70</v>
      </c>
      <c r="F1587" s="0" t="s">
        <v>49</v>
      </c>
      <c r="L1587" s="0" t="str">
        <f aca="false">IF(H1587&gt;I1587,"ERRO","OK")</f>
        <v>OK</v>
      </c>
      <c r="M1587" s="0" t="str">
        <f aca="false">IF(H1587&gt;J1587,"ERRO","OK")</f>
        <v>OK</v>
      </c>
      <c r="N1587" s="0" t="str">
        <f aca="false">IF(I1587&lt;J1587,"ERRO","OK")</f>
        <v>OK</v>
      </c>
    </row>
    <row r="1588" customFormat="false" ht="14.25" hidden="false" customHeight="false" outlineLevel="0" collapsed="false">
      <c r="A1588" s="0" t="n">
        <v>77</v>
      </c>
      <c r="B1588" s="0" t="n">
        <v>2024</v>
      </c>
      <c r="C1588" s="3" t="n">
        <v>45604</v>
      </c>
      <c r="E1588" s="0" t="s">
        <v>71</v>
      </c>
      <c r="F1588" s="0" t="s">
        <v>49</v>
      </c>
      <c r="L1588" s="0" t="str">
        <f aca="false">IF(H1588&gt;I1588,"ERRO","OK")</f>
        <v>OK</v>
      </c>
      <c r="M1588" s="0" t="str">
        <f aca="false">IF(H1588&gt;J1588,"ERRO","OK")</f>
        <v>OK</v>
      </c>
      <c r="N1588" s="0" t="str">
        <f aca="false">IF(I1588&lt;J1588,"ERRO","OK")</f>
        <v>OK</v>
      </c>
    </row>
    <row r="1589" customFormat="false" ht="14.25" hidden="false" customHeight="false" outlineLevel="0" collapsed="false">
      <c r="A1589" s="0" t="n">
        <v>77</v>
      </c>
      <c r="B1589" s="0" t="n">
        <v>2024</v>
      </c>
      <c r="C1589" s="3" t="n">
        <v>45604</v>
      </c>
      <c r="E1589" s="0" t="s">
        <v>72</v>
      </c>
      <c r="F1589" s="0" t="s">
        <v>49</v>
      </c>
      <c r="L1589" s="0" t="str">
        <f aca="false">IF(H1589&gt;I1589,"ERRO","OK")</f>
        <v>OK</v>
      </c>
      <c r="M1589" s="0" t="str">
        <f aca="false">IF(H1589&gt;J1589,"ERRO","OK")</f>
        <v>OK</v>
      </c>
      <c r="N1589" s="0" t="str">
        <f aca="false">IF(I1589&lt;J1589,"ERRO","OK")</f>
        <v>OK</v>
      </c>
    </row>
    <row r="1590" customFormat="false" ht="14.25" hidden="false" customHeight="false" outlineLevel="0" collapsed="false">
      <c r="A1590" s="0" t="n">
        <v>77</v>
      </c>
      <c r="B1590" s="0" t="n">
        <v>2024</v>
      </c>
      <c r="C1590" s="3" t="n">
        <v>45604</v>
      </c>
      <c r="E1590" s="0" t="s">
        <v>73</v>
      </c>
      <c r="F1590" s="0" t="s">
        <v>49</v>
      </c>
      <c r="G1590" s="0" t="s">
        <v>382</v>
      </c>
      <c r="H1590" s="0" t="s">
        <v>382</v>
      </c>
      <c r="I1590" s="0" t="s">
        <v>382</v>
      </c>
      <c r="J1590" s="0" t="s">
        <v>382</v>
      </c>
      <c r="K1590" s="0" t="s">
        <v>382</v>
      </c>
      <c r="L1590" s="0" t="str">
        <f aca="false">IF(H1590&gt;I1590,"ERRO","OK")</f>
        <v>OK</v>
      </c>
      <c r="M1590" s="0" t="str">
        <f aca="false">IF(H1590&gt;J1590,"ERRO","OK")</f>
        <v>OK</v>
      </c>
      <c r="N1590" s="0" t="str">
        <f aca="false">IF(I1590&lt;J1590,"ERRO","OK")</f>
        <v>OK</v>
      </c>
    </row>
    <row r="1591" customFormat="false" ht="14.25" hidden="false" customHeight="false" outlineLevel="0" collapsed="false">
      <c r="A1591" s="0" t="n">
        <v>77</v>
      </c>
      <c r="B1591" s="0" t="n">
        <v>2024</v>
      </c>
      <c r="C1591" s="3" t="n">
        <v>45604</v>
      </c>
      <c r="E1591" s="0" t="s">
        <v>74</v>
      </c>
      <c r="F1591" s="21" t="s">
        <v>75</v>
      </c>
      <c r="L1591" s="0" t="str">
        <f aca="false">IF(H1591&gt;I1591,"ERRO","OK")</f>
        <v>OK</v>
      </c>
      <c r="M1591" s="0" t="str">
        <f aca="false">IF(H1591&gt;J1591,"ERRO","OK")</f>
        <v>OK</v>
      </c>
      <c r="N1591" s="0" t="str">
        <f aca="false">IF(I1591&lt;J1591,"ERRO","OK")</f>
        <v>OK</v>
      </c>
    </row>
    <row r="1592" customFormat="false" ht="14.25" hidden="false" customHeight="false" outlineLevel="0" collapsed="false">
      <c r="A1592" s="0" t="n">
        <v>78</v>
      </c>
      <c r="B1592" s="0" t="n">
        <v>2024</v>
      </c>
      <c r="C1592" s="3" t="n">
        <v>45611</v>
      </c>
      <c r="E1592" s="0" t="s">
        <v>16</v>
      </c>
      <c r="F1592" s="0" t="s">
        <v>17</v>
      </c>
      <c r="G1592" s="0" t="s">
        <v>369</v>
      </c>
      <c r="H1592" s="0" t="s">
        <v>369</v>
      </c>
      <c r="I1592" s="0" t="s">
        <v>370</v>
      </c>
      <c r="J1592" s="0" t="s">
        <v>440</v>
      </c>
      <c r="K1592" s="0" t="s">
        <v>369</v>
      </c>
      <c r="L1592" s="0" t="str">
        <f aca="false">IF(H1592&gt;I1592,"ERRO","OK")</f>
        <v>OK</v>
      </c>
      <c r="M1592" s="0" t="str">
        <f aca="false">IF(H1592&gt;J1592,"ERRO","OK")</f>
        <v>OK</v>
      </c>
      <c r="N1592" s="0" t="str">
        <f aca="false">IF(I1592&lt;J1592,"ERRO","OK")</f>
        <v>OK</v>
      </c>
    </row>
    <row r="1593" customFormat="false" ht="14.25" hidden="false" customHeight="false" outlineLevel="0" collapsed="false">
      <c r="A1593" s="0" t="n">
        <v>78</v>
      </c>
      <c r="B1593" s="0" t="n">
        <v>2024</v>
      </c>
      <c r="C1593" s="3" t="n">
        <v>45611</v>
      </c>
      <c r="E1593" s="0" t="s">
        <v>18</v>
      </c>
      <c r="F1593" s="0" t="s">
        <v>17</v>
      </c>
      <c r="G1593" s="0" t="s">
        <v>370</v>
      </c>
      <c r="H1593" s="0" t="s">
        <v>370</v>
      </c>
      <c r="I1593" s="0" t="s">
        <v>373</v>
      </c>
      <c r="J1593" s="0" t="s">
        <v>441</v>
      </c>
      <c r="K1593" s="0" t="s">
        <v>370</v>
      </c>
      <c r="L1593" s="0" t="str">
        <f aca="false">IF(H1593&gt;I1593,"ERRO","OK")</f>
        <v>OK</v>
      </c>
      <c r="M1593" s="0" t="str">
        <f aca="false">IF(H1593&gt;J1593,"ERRO","OK")</f>
        <v>OK</v>
      </c>
      <c r="N1593" s="0" t="str">
        <f aca="false">IF(I1593&lt;J1593,"ERRO","OK")</f>
        <v>OK</v>
      </c>
    </row>
    <row r="1594" customFormat="false" ht="14.25" hidden="false" customHeight="false" outlineLevel="0" collapsed="false">
      <c r="A1594" s="0" t="n">
        <v>78</v>
      </c>
      <c r="B1594" s="0" t="n">
        <v>2024</v>
      </c>
      <c r="C1594" s="3" t="n">
        <v>45611</v>
      </c>
      <c r="E1594" s="0" t="s">
        <v>19</v>
      </c>
      <c r="F1594" s="0" t="s">
        <v>17</v>
      </c>
      <c r="G1594" s="0" t="s">
        <v>442</v>
      </c>
      <c r="H1594" s="0" t="s">
        <v>374</v>
      </c>
      <c r="I1594" s="0" t="s">
        <v>442</v>
      </c>
      <c r="J1594" s="0" t="s">
        <v>376</v>
      </c>
      <c r="K1594" s="0" t="s">
        <v>442</v>
      </c>
      <c r="L1594" s="0" t="str">
        <f aca="false">IF(H1594&gt;I1594,"ERRO","OK")</f>
        <v>OK</v>
      </c>
      <c r="M1594" s="0" t="str">
        <f aca="false">IF(H1594&gt;J1594,"ERRO","OK")</f>
        <v>OK</v>
      </c>
      <c r="N1594" s="0" t="str">
        <f aca="false">IF(I1594&lt;J1594,"ERRO","OK")</f>
        <v>OK</v>
      </c>
    </row>
    <row r="1595" customFormat="false" ht="14.25" hidden="false" customHeight="false" outlineLevel="0" collapsed="false">
      <c r="A1595" s="0" t="n">
        <v>78</v>
      </c>
      <c r="B1595" s="0" t="n">
        <v>2024</v>
      </c>
      <c r="C1595" s="3" t="n">
        <v>45611</v>
      </c>
      <c r="E1595" s="0" t="s">
        <v>20</v>
      </c>
      <c r="F1595" s="0" t="s">
        <v>17</v>
      </c>
      <c r="G1595" s="0" t="s">
        <v>374</v>
      </c>
      <c r="H1595" s="0" t="s">
        <v>378</v>
      </c>
      <c r="I1595" s="0" t="s">
        <v>374</v>
      </c>
      <c r="J1595" s="0" t="s">
        <v>443</v>
      </c>
      <c r="K1595" s="0" t="s">
        <v>396</v>
      </c>
      <c r="L1595" s="0" t="str">
        <f aca="false">IF(H1595&gt;I1595,"ERRO","OK")</f>
        <v>OK</v>
      </c>
      <c r="M1595" s="0" t="str">
        <f aca="false">IF(H1595&gt;J1595,"ERRO","OK")</f>
        <v>OK</v>
      </c>
      <c r="N1595" s="0" t="str">
        <f aca="false">IF(I1595&lt;J1595,"ERRO","OK")</f>
        <v>OK</v>
      </c>
    </row>
    <row r="1596" customFormat="false" ht="14.25" hidden="false" customHeight="false" outlineLevel="0" collapsed="false">
      <c r="A1596" s="0" t="n">
        <v>78</v>
      </c>
      <c r="B1596" s="0" t="n">
        <v>2024</v>
      </c>
      <c r="C1596" s="3" t="n">
        <v>45611</v>
      </c>
      <c r="E1596" s="0" t="s">
        <v>21</v>
      </c>
      <c r="F1596" s="0" t="s">
        <v>17</v>
      </c>
      <c r="G1596" s="0" t="s">
        <v>374</v>
      </c>
      <c r="H1596" s="0" t="s">
        <v>378</v>
      </c>
      <c r="I1596" s="0" t="s">
        <v>374</v>
      </c>
      <c r="J1596" s="0" t="s">
        <v>444</v>
      </c>
      <c r="K1596" s="0" t="s">
        <v>431</v>
      </c>
      <c r="L1596" s="0" t="str">
        <f aca="false">IF(H1596&gt;I1596,"ERRO","OK")</f>
        <v>OK</v>
      </c>
      <c r="M1596" s="0" t="str">
        <f aca="false">IF(H1596&gt;J1596,"ERRO","OK")</f>
        <v>OK</v>
      </c>
      <c r="N1596" s="0" t="str">
        <f aca="false">IF(I1596&lt;J1596,"ERRO","OK")</f>
        <v>OK</v>
      </c>
    </row>
    <row r="1597" customFormat="false" ht="14.25" hidden="false" customHeight="false" outlineLevel="0" collapsed="false">
      <c r="A1597" s="0" t="n">
        <v>78</v>
      </c>
      <c r="B1597" s="0" t="n">
        <v>2024</v>
      </c>
      <c r="C1597" s="3" t="n">
        <v>45611</v>
      </c>
      <c r="E1597" s="0" t="s">
        <v>22</v>
      </c>
      <c r="F1597" s="0" t="s">
        <v>17</v>
      </c>
      <c r="G1597" s="0" t="s">
        <v>370</v>
      </c>
      <c r="H1597" s="0" t="s">
        <v>369</v>
      </c>
      <c r="I1597" s="0" t="s">
        <v>370</v>
      </c>
      <c r="J1597" s="0" t="s">
        <v>445</v>
      </c>
      <c r="K1597" s="0" t="s">
        <v>370</v>
      </c>
      <c r="L1597" s="0" t="str">
        <f aca="false">IF(H1597&gt;I1597,"ERRO","OK")</f>
        <v>OK</v>
      </c>
      <c r="M1597" s="0" t="str">
        <f aca="false">IF(H1597&gt;J1597,"ERRO","OK")</f>
        <v>OK</v>
      </c>
      <c r="N1597" s="0" t="str">
        <f aca="false">IF(I1597&lt;J1597,"ERRO","OK")</f>
        <v>OK</v>
      </c>
    </row>
    <row r="1598" customFormat="false" ht="14.25" hidden="false" customHeight="false" outlineLevel="0" collapsed="false">
      <c r="A1598" s="0" t="n">
        <v>78</v>
      </c>
      <c r="B1598" s="0" t="n">
        <v>2024</v>
      </c>
      <c r="C1598" s="3" t="n">
        <v>45611</v>
      </c>
      <c r="E1598" s="0" t="s">
        <v>23</v>
      </c>
      <c r="F1598" s="0" t="s">
        <v>17</v>
      </c>
      <c r="G1598" s="0" t="s">
        <v>370</v>
      </c>
      <c r="H1598" s="0" t="s">
        <v>370</v>
      </c>
      <c r="I1598" s="0" t="s">
        <v>429</v>
      </c>
      <c r="J1598" s="0" t="s">
        <v>446</v>
      </c>
      <c r="K1598" s="0" t="s">
        <v>428</v>
      </c>
      <c r="L1598" s="0" t="str">
        <f aca="false">IF(H1598&gt;I1598,"ERRO","OK")</f>
        <v>OK</v>
      </c>
      <c r="M1598" s="0" t="str">
        <f aca="false">IF(H1598&gt;J1598,"ERRO","OK")</f>
        <v>OK</v>
      </c>
      <c r="N1598" s="0" t="str">
        <f aca="false">IF(I1598&lt;J1598,"ERRO","OK")</f>
        <v>OK</v>
      </c>
    </row>
    <row r="1599" customFormat="false" ht="14.25" hidden="false" customHeight="false" outlineLevel="0" collapsed="false">
      <c r="A1599" s="0" t="n">
        <v>78</v>
      </c>
      <c r="B1599" s="0" t="n">
        <v>2024</v>
      </c>
      <c r="C1599" s="3" t="n">
        <v>45611</v>
      </c>
      <c r="E1599" s="0" t="s">
        <v>24</v>
      </c>
      <c r="F1599" s="0" t="s">
        <v>17</v>
      </c>
      <c r="G1599" s="0" t="s">
        <v>372</v>
      </c>
      <c r="H1599" s="0" t="s">
        <v>370</v>
      </c>
      <c r="I1599" s="0" t="s">
        <v>372</v>
      </c>
      <c r="J1599" s="0" t="s">
        <v>430</v>
      </c>
      <c r="K1599" s="0" t="s">
        <v>372</v>
      </c>
      <c r="L1599" s="0" t="str">
        <f aca="false">IF(H1599&gt;I1599,"ERRO","OK")</f>
        <v>OK</v>
      </c>
      <c r="M1599" s="0" t="str">
        <f aca="false">IF(H1599&gt;J1599,"ERRO","OK")</f>
        <v>OK</v>
      </c>
      <c r="N1599" s="0" t="str">
        <f aca="false">IF(I1599&lt;J1599,"ERRO","OK")</f>
        <v>OK</v>
      </c>
    </row>
    <row r="1600" customFormat="false" ht="14.25" hidden="false" customHeight="false" outlineLevel="0" collapsed="false">
      <c r="A1600" s="0" t="n">
        <v>78</v>
      </c>
      <c r="B1600" s="0" t="n">
        <v>2024</v>
      </c>
      <c r="C1600" s="3" t="n">
        <v>45611</v>
      </c>
      <c r="E1600" s="0" t="s">
        <v>25</v>
      </c>
      <c r="F1600" s="0" t="s">
        <v>17</v>
      </c>
      <c r="G1600" s="0" t="s">
        <v>378</v>
      </c>
      <c r="H1600" s="0" t="s">
        <v>379</v>
      </c>
      <c r="I1600" s="0" t="s">
        <v>378</v>
      </c>
      <c r="J1600" s="0" t="s">
        <v>384</v>
      </c>
      <c r="K1600" s="0" t="s">
        <v>385</v>
      </c>
      <c r="L1600" s="0" t="str">
        <f aca="false">IF(H1600&gt;I1600,"ERRO","OK")</f>
        <v>OK</v>
      </c>
      <c r="M1600" s="0" t="str">
        <f aca="false">IF(H1600&gt;J1600,"ERRO","OK")</f>
        <v>OK</v>
      </c>
      <c r="N1600" s="0" t="str">
        <f aca="false">IF(I1600&lt;J1600,"ERRO","OK")</f>
        <v>OK</v>
      </c>
    </row>
    <row r="1601" customFormat="false" ht="14.25" hidden="false" customHeight="false" outlineLevel="0" collapsed="false">
      <c r="A1601" s="0" t="n">
        <v>78</v>
      </c>
      <c r="B1601" s="0" t="n">
        <v>2024</v>
      </c>
      <c r="C1601" s="3" t="n">
        <v>45611</v>
      </c>
      <c r="E1601" s="0" t="s">
        <v>77</v>
      </c>
      <c r="F1601" s="0" t="s">
        <v>17</v>
      </c>
      <c r="G1601" s="0" t="s">
        <v>370</v>
      </c>
      <c r="H1601" s="0" t="s">
        <v>370</v>
      </c>
      <c r="I1601" s="0" t="s">
        <v>370</v>
      </c>
      <c r="J1601" s="0" t="s">
        <v>370</v>
      </c>
      <c r="K1601" s="0" t="s">
        <v>370</v>
      </c>
      <c r="L1601" s="0" t="str">
        <f aca="false">IF(H1601&gt;I1601,"ERRO","OK")</f>
        <v>OK</v>
      </c>
      <c r="M1601" s="0" t="str">
        <f aca="false">IF(H1601&gt;J1601,"ERRO","OK")</f>
        <v>OK</v>
      </c>
      <c r="N1601" s="0" t="str">
        <f aca="false">IF(I1601&lt;J1601,"ERRO","OK")</f>
        <v>OK</v>
      </c>
    </row>
    <row r="1602" customFormat="false" ht="14.25" hidden="false" customHeight="false" outlineLevel="0" collapsed="false">
      <c r="A1602" s="0" t="n">
        <v>78</v>
      </c>
      <c r="B1602" s="0" t="n">
        <v>2024</v>
      </c>
      <c r="C1602" s="3" t="n">
        <v>45611</v>
      </c>
      <c r="E1602" s="0" t="s">
        <v>27</v>
      </c>
      <c r="F1602" s="0" t="s">
        <v>17</v>
      </c>
      <c r="G1602" s="0" t="s">
        <v>374</v>
      </c>
      <c r="H1602" s="0" t="s">
        <v>379</v>
      </c>
      <c r="I1602" s="0" t="s">
        <v>374</v>
      </c>
      <c r="J1602" s="0" t="s">
        <v>447</v>
      </c>
      <c r="K1602" s="0" t="s">
        <v>448</v>
      </c>
      <c r="L1602" s="0" t="str">
        <f aca="false">IF(H1602&gt;I1602,"ERRO","OK")</f>
        <v>OK</v>
      </c>
      <c r="M1602" s="0" t="str">
        <f aca="false">IF(H1602&gt;J1602,"ERRO","OK")</f>
        <v>OK</v>
      </c>
      <c r="N1602" s="0" t="str">
        <f aca="false">IF(I1602&lt;J1602,"ERRO","OK")</f>
        <v>OK</v>
      </c>
    </row>
    <row r="1603" customFormat="false" ht="14.25" hidden="false" customHeight="false" outlineLevel="0" collapsed="false">
      <c r="A1603" s="0" t="n">
        <v>78</v>
      </c>
      <c r="B1603" s="0" t="n">
        <v>2024</v>
      </c>
      <c r="C1603" s="3" t="n">
        <v>45611</v>
      </c>
      <c r="E1603" s="0" t="s">
        <v>28</v>
      </c>
      <c r="F1603" s="0" t="s">
        <v>17</v>
      </c>
      <c r="G1603" s="0" t="s">
        <v>370</v>
      </c>
      <c r="H1603" s="0" t="s">
        <v>369</v>
      </c>
      <c r="I1603" s="0" t="s">
        <v>370</v>
      </c>
      <c r="J1603" s="0" t="s">
        <v>445</v>
      </c>
      <c r="K1603" s="0" t="s">
        <v>370</v>
      </c>
      <c r="L1603" s="0" t="str">
        <f aca="false">IF(H1603&gt;I1603,"ERRO","OK")</f>
        <v>OK</v>
      </c>
      <c r="M1603" s="0" t="str">
        <f aca="false">IF(H1603&gt;J1603,"ERRO","OK")</f>
        <v>OK</v>
      </c>
      <c r="N1603" s="0" t="str">
        <f aca="false">IF(I1603&lt;J1603,"ERRO","OK")</f>
        <v>OK</v>
      </c>
    </row>
    <row r="1604" customFormat="false" ht="14.25" hidden="false" customHeight="false" outlineLevel="0" collapsed="false">
      <c r="A1604" s="0" t="n">
        <v>78</v>
      </c>
      <c r="B1604" s="0" t="n">
        <v>2024</v>
      </c>
      <c r="C1604" s="3" t="n">
        <v>45611</v>
      </c>
      <c r="E1604" s="0" t="s">
        <v>29</v>
      </c>
      <c r="F1604" s="0" t="s">
        <v>30</v>
      </c>
      <c r="G1604" s="0" t="s">
        <v>369</v>
      </c>
      <c r="H1604" s="0" t="s">
        <v>369</v>
      </c>
      <c r="I1604" s="0" t="s">
        <v>370</v>
      </c>
      <c r="J1604" s="0" t="s">
        <v>371</v>
      </c>
      <c r="K1604" s="0" t="s">
        <v>371</v>
      </c>
      <c r="L1604" s="0" t="str">
        <f aca="false">IF(H1604&gt;I1604,"ERRO","OK")</f>
        <v>OK</v>
      </c>
      <c r="M1604" s="0" t="str">
        <f aca="false">IF(H1604&gt;J1604,"ERRO","OK")</f>
        <v>OK</v>
      </c>
      <c r="N1604" s="0" t="str">
        <f aca="false">IF(I1604&lt;J1604,"ERRO","OK")</f>
        <v>OK</v>
      </c>
    </row>
    <row r="1605" customFormat="false" ht="14.25" hidden="false" customHeight="false" outlineLevel="0" collapsed="false">
      <c r="A1605" s="0" t="n">
        <v>78</v>
      </c>
      <c r="B1605" s="0" t="n">
        <v>2024</v>
      </c>
      <c r="C1605" s="3" t="n">
        <v>45611</v>
      </c>
      <c r="E1605" s="0" t="s">
        <v>31</v>
      </c>
      <c r="F1605" s="0" t="s">
        <v>17</v>
      </c>
      <c r="G1605" s="0" t="s">
        <v>369</v>
      </c>
      <c r="H1605" s="0" t="s">
        <v>442</v>
      </c>
      <c r="I1605" s="0" t="s">
        <v>369</v>
      </c>
      <c r="J1605" s="0" t="s">
        <v>449</v>
      </c>
      <c r="K1605" s="0" t="s">
        <v>369</v>
      </c>
      <c r="L1605" s="0" t="str">
        <f aca="false">IF(H1605&gt;I1605,"ERRO","OK")</f>
        <v>OK</v>
      </c>
      <c r="M1605" s="0" t="str">
        <f aca="false">IF(H1605&gt;J1605,"ERRO","OK")</f>
        <v>OK</v>
      </c>
      <c r="N1605" s="0" t="str">
        <f aca="false">IF(I1605&lt;J1605,"ERRO","OK")</f>
        <v>OK</v>
      </c>
    </row>
    <row r="1606" customFormat="false" ht="14.25" hidden="false" customHeight="false" outlineLevel="0" collapsed="false">
      <c r="A1606" s="0" t="n">
        <v>78</v>
      </c>
      <c r="B1606" s="0" t="n">
        <v>2024</v>
      </c>
      <c r="C1606" s="3" t="n">
        <v>45611</v>
      </c>
      <c r="E1606" s="0" t="s">
        <v>32</v>
      </c>
      <c r="F1606" s="0" t="s">
        <v>17</v>
      </c>
      <c r="G1606" s="0" t="s">
        <v>374</v>
      </c>
      <c r="H1606" s="0" t="s">
        <v>378</v>
      </c>
      <c r="I1606" s="0" t="s">
        <v>374</v>
      </c>
      <c r="J1606" s="0" t="s">
        <v>450</v>
      </c>
      <c r="K1606" s="0" t="s">
        <v>374</v>
      </c>
      <c r="L1606" s="0" t="str">
        <f aca="false">IF(H1606&gt;I1606,"ERRO","OK")</f>
        <v>OK</v>
      </c>
      <c r="M1606" s="0" t="str">
        <f aca="false">IF(H1606&gt;J1606,"ERRO","OK")</f>
        <v>OK</v>
      </c>
      <c r="N1606" s="0" t="str">
        <f aca="false">IF(I1606&lt;J1606,"ERRO","OK")</f>
        <v>OK</v>
      </c>
    </row>
    <row r="1607" customFormat="false" ht="14.25" hidden="false" customHeight="false" outlineLevel="0" collapsed="false">
      <c r="A1607" s="0" t="n">
        <v>78</v>
      </c>
      <c r="B1607" s="0" t="n">
        <v>2024</v>
      </c>
      <c r="C1607" s="3" t="n">
        <v>45611</v>
      </c>
      <c r="E1607" s="0" t="s">
        <v>33</v>
      </c>
      <c r="F1607" s="0" t="s">
        <v>17</v>
      </c>
      <c r="G1607" s="0" t="s">
        <v>369</v>
      </c>
      <c r="H1607" s="0" t="s">
        <v>375</v>
      </c>
      <c r="I1607" s="0" t="s">
        <v>370</v>
      </c>
      <c r="J1607" s="0" t="s">
        <v>451</v>
      </c>
      <c r="K1607" s="0" t="s">
        <v>369</v>
      </c>
      <c r="L1607" s="0" t="str">
        <f aca="false">IF(H1607&gt;I1607,"ERRO","OK")</f>
        <v>OK</v>
      </c>
      <c r="M1607" s="0" t="str">
        <f aca="false">IF(H1607&gt;J1607,"ERRO","OK")</f>
        <v>OK</v>
      </c>
      <c r="N1607" s="0" t="str">
        <f aca="false">IF(I1607&lt;J1607,"ERRO","OK")</f>
        <v>OK</v>
      </c>
    </row>
    <row r="1608" customFormat="false" ht="14.25" hidden="false" customHeight="false" outlineLevel="0" collapsed="false">
      <c r="A1608" s="0" t="n">
        <v>78</v>
      </c>
      <c r="B1608" s="0" t="n">
        <v>2024</v>
      </c>
      <c r="C1608" s="3" t="n">
        <v>45611</v>
      </c>
      <c r="E1608" s="0" t="s">
        <v>35</v>
      </c>
      <c r="F1608" s="0" t="s">
        <v>36</v>
      </c>
      <c r="G1608" s="0" t="s">
        <v>390</v>
      </c>
      <c r="H1608" s="0" t="s">
        <v>390</v>
      </c>
      <c r="I1608" s="0" t="s">
        <v>390</v>
      </c>
      <c r="J1608" s="0" t="s">
        <v>390</v>
      </c>
      <c r="K1608" s="0" t="s">
        <v>390</v>
      </c>
      <c r="L1608" s="0" t="str">
        <f aca="false">IF(H1608&gt;I1608,"ERRO","OK")</f>
        <v>OK</v>
      </c>
      <c r="M1608" s="0" t="str">
        <f aca="false">IF(H1608&gt;J1608,"ERRO","OK")</f>
        <v>OK</v>
      </c>
      <c r="N1608" s="0" t="str">
        <f aca="false">IF(I1608&lt;J1608,"ERRO","OK")</f>
        <v>OK</v>
      </c>
    </row>
    <row r="1609" customFormat="false" ht="14.25" hidden="false" customHeight="false" outlineLevel="0" collapsed="false">
      <c r="A1609" s="0" t="n">
        <v>78</v>
      </c>
      <c r="B1609" s="0" t="n">
        <v>2024</v>
      </c>
      <c r="C1609" s="3" t="n">
        <v>45611</v>
      </c>
      <c r="E1609" s="0" t="s">
        <v>38</v>
      </c>
      <c r="F1609" s="0" t="s">
        <v>39</v>
      </c>
      <c r="G1609" s="0" t="s">
        <v>391</v>
      </c>
      <c r="H1609" s="0" t="s">
        <v>391</v>
      </c>
      <c r="I1609" s="0" t="s">
        <v>394</v>
      </c>
      <c r="J1609" s="0" t="s">
        <v>432</v>
      </c>
      <c r="K1609" s="0" t="s">
        <v>432</v>
      </c>
      <c r="L1609" s="0" t="str">
        <f aca="false">IF(H1609&gt;I1609,"ERRO","OK")</f>
        <v>OK</v>
      </c>
      <c r="M1609" s="0" t="str">
        <f aca="false">IF(H1609&gt;J1609,"ERRO","OK")</f>
        <v>OK</v>
      </c>
      <c r="N1609" s="0" t="str">
        <f aca="false">IF(I1609&lt;J1609,"ERRO","OK")</f>
        <v>OK</v>
      </c>
    </row>
    <row r="1610" customFormat="false" ht="14.25" hidden="false" customHeight="false" outlineLevel="0" collapsed="false">
      <c r="A1610" s="0" t="n">
        <v>78</v>
      </c>
      <c r="B1610" s="0" t="n">
        <v>2024</v>
      </c>
      <c r="C1610" s="3" t="n">
        <v>45611</v>
      </c>
      <c r="E1610" s="0" t="s">
        <v>40</v>
      </c>
      <c r="F1610" s="0" t="s">
        <v>39</v>
      </c>
      <c r="G1610" s="0" t="s">
        <v>369</v>
      </c>
      <c r="H1610" s="0" t="s">
        <v>375</v>
      </c>
      <c r="I1610" s="0" t="s">
        <v>370</v>
      </c>
      <c r="J1610" s="0" t="s">
        <v>451</v>
      </c>
      <c r="K1610" s="0" t="s">
        <v>369</v>
      </c>
      <c r="L1610" s="0" t="str">
        <f aca="false">IF(H1610&gt;I1610,"ERRO","OK")</f>
        <v>OK</v>
      </c>
      <c r="M1610" s="0" t="str">
        <f aca="false">IF(H1610&gt;J1610,"ERRO","OK")</f>
        <v>OK</v>
      </c>
      <c r="N1610" s="0" t="str">
        <f aca="false">IF(I1610&lt;J1610,"ERRO","OK")</f>
        <v>OK</v>
      </c>
    </row>
    <row r="1611" customFormat="false" ht="14.25" hidden="false" customHeight="false" outlineLevel="0" collapsed="false">
      <c r="A1611" s="0" t="n">
        <v>78</v>
      </c>
      <c r="B1611" s="0" t="n">
        <v>2024</v>
      </c>
      <c r="C1611" s="3" t="n">
        <v>45611</v>
      </c>
      <c r="E1611" s="0" t="s">
        <v>157</v>
      </c>
      <c r="F1611" s="0" t="s">
        <v>158</v>
      </c>
      <c r="G1611" s="0" t="s">
        <v>397</v>
      </c>
      <c r="H1611" s="0" t="s">
        <v>397</v>
      </c>
      <c r="I1611" s="0" t="s">
        <v>398</v>
      </c>
      <c r="J1611" s="0" t="s">
        <v>399</v>
      </c>
      <c r="K1611" s="0" t="s">
        <v>399</v>
      </c>
      <c r="L1611" s="0" t="str">
        <f aca="false">IF(H1611&gt;I1611,"ERRO","OK")</f>
        <v>OK</v>
      </c>
      <c r="M1611" s="0" t="str">
        <f aca="false">IF(H1611&gt;J1611,"ERRO","OK")</f>
        <v>OK</v>
      </c>
      <c r="N1611" s="0" t="str">
        <f aca="false">IF(I1611&lt;J1611,"ERRO","OK")</f>
        <v>OK</v>
      </c>
    </row>
    <row r="1612" customFormat="false" ht="14.25" hidden="false" customHeight="false" outlineLevel="0" collapsed="false">
      <c r="A1612" s="0" t="n">
        <v>78</v>
      </c>
      <c r="B1612" s="0" t="n">
        <v>2024</v>
      </c>
      <c r="C1612" s="3" t="n">
        <v>45611</v>
      </c>
      <c r="E1612" s="0" t="s">
        <v>43</v>
      </c>
      <c r="F1612" s="0" t="s">
        <v>44</v>
      </c>
      <c r="G1612" s="0" t="s">
        <v>406</v>
      </c>
      <c r="H1612" s="0" t="s">
        <v>405</v>
      </c>
      <c r="I1612" s="0" t="s">
        <v>406</v>
      </c>
      <c r="J1612" s="0" t="s">
        <v>370</v>
      </c>
      <c r="K1612" s="0" t="s">
        <v>403</v>
      </c>
      <c r="L1612" s="0" t="str">
        <f aca="false">IF(H1612&gt;I1612,"ERRO","OK")</f>
        <v>OK</v>
      </c>
      <c r="M1612" s="0" t="str">
        <f aca="false">IF(H1612&gt;J1612,"ERRO","OK")</f>
        <v>OK</v>
      </c>
      <c r="N1612" s="0" t="str">
        <f aca="false">IF(I1612&lt;J1612,"ERRO","OK")</f>
        <v>OK</v>
      </c>
    </row>
    <row r="1613" customFormat="false" ht="14.25" hidden="false" customHeight="false" outlineLevel="0" collapsed="false">
      <c r="A1613" s="0" t="n">
        <v>78</v>
      </c>
      <c r="B1613" s="0" t="n">
        <v>2024</v>
      </c>
      <c r="C1613" s="3" t="n">
        <v>45611</v>
      </c>
      <c r="E1613" s="0" t="s">
        <v>46</v>
      </c>
      <c r="F1613" s="0" t="s">
        <v>47</v>
      </c>
      <c r="G1613" s="0" t="s">
        <v>382</v>
      </c>
      <c r="H1613" s="0" t="s">
        <v>402</v>
      </c>
      <c r="I1613" s="0" t="s">
        <v>382</v>
      </c>
      <c r="J1613" s="0" t="s">
        <v>411</v>
      </c>
      <c r="K1613" s="0" t="s">
        <v>411</v>
      </c>
      <c r="L1613" s="0" t="str">
        <f aca="false">IF(H1613&gt;I1613,"ERRO","OK")</f>
        <v>OK</v>
      </c>
      <c r="M1613" s="0" t="str">
        <f aca="false">IF(H1613&gt;J1613,"ERRO","OK")</f>
        <v>OK</v>
      </c>
      <c r="N1613" s="0" t="str">
        <f aca="false">IF(I1613&lt;J1613,"ERRO","OK")</f>
        <v>OK</v>
      </c>
    </row>
    <row r="1614" customFormat="false" ht="14.25" hidden="false" customHeight="false" outlineLevel="0" collapsed="false">
      <c r="A1614" s="0" t="n">
        <v>78</v>
      </c>
      <c r="B1614" s="0" t="n">
        <v>2024</v>
      </c>
      <c r="C1614" s="3" t="n">
        <v>45611</v>
      </c>
      <c r="E1614" s="0" t="s">
        <v>48</v>
      </c>
      <c r="F1614" s="0" t="s">
        <v>49</v>
      </c>
      <c r="G1614" s="0" t="s">
        <v>405</v>
      </c>
      <c r="H1614" s="0" t="s">
        <v>402</v>
      </c>
      <c r="I1614" s="0" t="s">
        <v>408</v>
      </c>
      <c r="J1614" s="0" t="s">
        <v>405</v>
      </c>
      <c r="K1614" s="0" t="s">
        <v>405</v>
      </c>
      <c r="L1614" s="0" t="str">
        <f aca="false">IF(H1614&gt;I1614,"ERRO","OK")</f>
        <v>OK</v>
      </c>
      <c r="M1614" s="0" t="str">
        <f aca="false">IF(H1614&gt;J1614,"ERRO","OK")</f>
        <v>OK</v>
      </c>
      <c r="N1614" s="0" t="str">
        <f aca="false">IF(I1614&lt;J1614,"ERRO","OK")</f>
        <v>OK</v>
      </c>
    </row>
    <row r="1615" customFormat="false" ht="14.25" hidden="false" customHeight="false" outlineLevel="0" collapsed="false">
      <c r="A1615" s="0" t="n">
        <v>78</v>
      </c>
      <c r="B1615" s="0" t="n">
        <v>2024</v>
      </c>
      <c r="C1615" s="3" t="n">
        <v>45611</v>
      </c>
      <c r="E1615" s="0" t="s">
        <v>52</v>
      </c>
      <c r="F1615" s="0" t="s">
        <v>49</v>
      </c>
      <c r="G1615" s="0" t="s">
        <v>417</v>
      </c>
      <c r="H1615" s="0" t="s">
        <v>417</v>
      </c>
      <c r="I1615" s="0" t="s">
        <v>417</v>
      </c>
      <c r="J1615" s="0" t="s">
        <v>417</v>
      </c>
      <c r="K1615" s="0" t="s">
        <v>417</v>
      </c>
      <c r="L1615" s="0" t="str">
        <f aca="false">IF(H1615&gt;I1615,"ERRO","OK")</f>
        <v>OK</v>
      </c>
      <c r="M1615" s="0" t="str">
        <f aca="false">IF(H1615&gt;J1615,"ERRO","OK")</f>
        <v>OK</v>
      </c>
      <c r="N1615" s="0" t="str">
        <f aca="false">IF(I1615&lt;J1615,"ERRO","OK")</f>
        <v>OK</v>
      </c>
    </row>
    <row r="1616" customFormat="false" ht="14.25" hidden="false" customHeight="false" outlineLevel="0" collapsed="false">
      <c r="A1616" s="0" t="n">
        <v>78</v>
      </c>
      <c r="B1616" s="0" t="n">
        <v>2024</v>
      </c>
      <c r="C1616" s="3" t="n">
        <v>45611</v>
      </c>
      <c r="E1616" s="0" t="s">
        <v>53</v>
      </c>
      <c r="F1616" s="0" t="s">
        <v>54</v>
      </c>
      <c r="G1616" s="0" t="s">
        <v>405</v>
      </c>
      <c r="H1616" s="0" t="s">
        <v>405</v>
      </c>
      <c r="I1616" s="0" t="s">
        <v>370</v>
      </c>
      <c r="J1616" s="0" t="s">
        <v>408</v>
      </c>
      <c r="K1616" s="0" t="s">
        <v>408</v>
      </c>
      <c r="L1616" s="0" t="str">
        <f aca="false">IF(H1616&gt;I1616,"ERRO","OK")</f>
        <v>OK</v>
      </c>
      <c r="M1616" s="0" t="str">
        <f aca="false">IF(H1616&gt;J1616,"ERRO","OK")</f>
        <v>OK</v>
      </c>
      <c r="N1616" s="0" t="str">
        <f aca="false">IF(I1616&lt;J1616,"ERRO","OK")</f>
        <v>OK</v>
      </c>
    </row>
    <row r="1617" customFormat="false" ht="14.25" hidden="false" customHeight="false" outlineLevel="0" collapsed="false">
      <c r="A1617" s="0" t="n">
        <v>78</v>
      </c>
      <c r="B1617" s="0" t="n">
        <v>2024</v>
      </c>
      <c r="C1617" s="3" t="n">
        <v>45611</v>
      </c>
      <c r="E1617" s="0" t="s">
        <v>56</v>
      </c>
      <c r="F1617" s="0" t="s">
        <v>47</v>
      </c>
      <c r="G1617" s="0" t="s">
        <v>402</v>
      </c>
      <c r="H1617" s="0" t="s">
        <v>402</v>
      </c>
      <c r="I1617" s="0" t="s">
        <v>406</v>
      </c>
      <c r="J1617" s="0" t="s">
        <v>407</v>
      </c>
      <c r="K1617" s="0" t="s">
        <v>411</v>
      </c>
      <c r="L1617" s="0" t="str">
        <f aca="false">IF(H1617&gt;I1617,"ERRO","OK")</f>
        <v>OK</v>
      </c>
      <c r="M1617" s="0" t="str">
        <f aca="false">IF(H1617&gt;J1617,"ERRO","OK")</f>
        <v>OK</v>
      </c>
      <c r="N1617" s="0" t="str">
        <f aca="false">IF(I1617&lt;J1617,"ERRO","OK")</f>
        <v>OK</v>
      </c>
    </row>
    <row r="1618" customFormat="false" ht="14.25" hidden="false" customHeight="false" outlineLevel="0" collapsed="false">
      <c r="A1618" s="0" t="n">
        <v>78</v>
      </c>
      <c r="B1618" s="0" t="n">
        <v>2024</v>
      </c>
      <c r="C1618" s="3" t="n">
        <v>45611</v>
      </c>
      <c r="E1618" s="0" t="s">
        <v>57</v>
      </c>
      <c r="F1618" s="0" t="s">
        <v>47</v>
      </c>
      <c r="G1618" s="0" t="s">
        <v>409</v>
      </c>
      <c r="H1618" s="0" t="s">
        <v>409</v>
      </c>
      <c r="I1618" s="0" t="s">
        <v>370</v>
      </c>
      <c r="J1618" s="0" t="s">
        <v>419</v>
      </c>
      <c r="K1618" s="0" t="s">
        <v>452</v>
      </c>
      <c r="L1618" s="0" t="str">
        <f aca="false">IF(H1618&gt;I1618,"ERRO","OK")</f>
        <v>OK</v>
      </c>
      <c r="M1618" s="0" t="str">
        <f aca="false">IF(H1618&gt;J1618,"ERRO","OK")</f>
        <v>OK</v>
      </c>
      <c r="N1618" s="0" t="str">
        <f aca="false">IF(I1618&lt;J1618,"ERRO","OK")</f>
        <v>OK</v>
      </c>
    </row>
    <row r="1619" customFormat="false" ht="14.25" hidden="false" customHeight="false" outlineLevel="0" collapsed="false">
      <c r="A1619" s="0" t="n">
        <v>78</v>
      </c>
      <c r="B1619" s="0" t="n">
        <v>2024</v>
      </c>
      <c r="C1619" s="3" t="n">
        <v>45611</v>
      </c>
      <c r="E1619" s="0" t="s">
        <v>58</v>
      </c>
      <c r="F1619" s="0" t="s">
        <v>44</v>
      </c>
      <c r="G1619" s="0" t="s">
        <v>427</v>
      </c>
      <c r="H1619" s="0" t="s">
        <v>427</v>
      </c>
      <c r="I1619" s="0" t="s">
        <v>413</v>
      </c>
      <c r="J1619" s="0" t="s">
        <v>415</v>
      </c>
      <c r="K1619" s="0" t="s">
        <v>415</v>
      </c>
      <c r="L1619" s="0" t="str">
        <f aca="false">IF(H1619&gt;I1619,"ERRO","OK")</f>
        <v>OK</v>
      </c>
      <c r="M1619" s="0" t="str">
        <f aca="false">IF(H1619&gt;J1619,"ERRO","OK")</f>
        <v>OK</v>
      </c>
      <c r="N1619" s="0" t="str">
        <f aca="false">IF(I1619&lt;J1619,"ERRO","OK")</f>
        <v>OK</v>
      </c>
    </row>
    <row r="1620" customFormat="false" ht="14.25" hidden="false" customHeight="false" outlineLevel="0" collapsed="false">
      <c r="A1620" s="0" t="n">
        <v>78</v>
      </c>
      <c r="B1620" s="0" t="n">
        <v>2024</v>
      </c>
      <c r="C1620" s="3" t="n">
        <v>45611</v>
      </c>
      <c r="E1620" s="0" t="s">
        <v>60</v>
      </c>
      <c r="F1620" s="0" t="s">
        <v>47</v>
      </c>
      <c r="G1620" s="0" t="s">
        <v>406</v>
      </c>
      <c r="H1620" s="0" t="s">
        <v>406</v>
      </c>
      <c r="I1620" s="0" t="s">
        <v>406</v>
      </c>
      <c r="J1620" s="0" t="s">
        <v>406</v>
      </c>
      <c r="K1620" s="0" t="s">
        <v>406</v>
      </c>
      <c r="L1620" s="0" t="str">
        <f aca="false">IF(H1620&gt;I1620,"ERRO","OK")</f>
        <v>OK</v>
      </c>
      <c r="M1620" s="0" t="str">
        <f aca="false">IF(H1620&gt;J1620,"ERRO","OK")</f>
        <v>OK</v>
      </c>
      <c r="N1620" s="0" t="str">
        <f aca="false">IF(I1620&lt;J1620,"ERRO","OK")</f>
        <v>OK</v>
      </c>
    </row>
    <row r="1621" customFormat="false" ht="14.25" hidden="false" customHeight="false" outlineLevel="0" collapsed="false">
      <c r="A1621" s="0" t="n">
        <v>78</v>
      </c>
      <c r="B1621" s="0" t="n">
        <v>2024</v>
      </c>
      <c r="C1621" s="3" t="n">
        <v>45611</v>
      </c>
      <c r="E1621" s="0" t="s">
        <v>61</v>
      </c>
      <c r="F1621" s="0" t="s">
        <v>44</v>
      </c>
      <c r="G1621" s="0" t="s">
        <v>402</v>
      </c>
      <c r="H1621" s="0" t="s">
        <v>402</v>
      </c>
      <c r="I1621" s="0" t="s">
        <v>382</v>
      </c>
      <c r="J1621" s="0" t="s">
        <v>453</v>
      </c>
      <c r="K1621" s="0" t="s">
        <v>402</v>
      </c>
      <c r="L1621" s="0" t="str">
        <f aca="false">IF(H1621&gt;I1621,"ERRO","OK")</f>
        <v>OK</v>
      </c>
      <c r="M1621" s="0" t="str">
        <f aca="false">IF(H1621&gt;J1621,"ERRO","OK")</f>
        <v>OK</v>
      </c>
      <c r="N1621" s="0" t="str">
        <f aca="false">IF(I1621&lt;J1621,"ERRO","OK")</f>
        <v>OK</v>
      </c>
    </row>
    <row r="1622" customFormat="false" ht="14.25" hidden="false" customHeight="false" outlineLevel="0" collapsed="false">
      <c r="A1622" s="0" t="n">
        <v>78</v>
      </c>
      <c r="B1622" s="0" t="n">
        <v>2024</v>
      </c>
      <c r="C1622" s="3" t="n">
        <v>45611</v>
      </c>
      <c r="E1622" s="0" t="s">
        <v>62</v>
      </c>
      <c r="F1622" s="0" t="s">
        <v>44</v>
      </c>
      <c r="G1622" s="0" t="s">
        <v>370</v>
      </c>
      <c r="H1622" s="0" t="s">
        <v>405</v>
      </c>
      <c r="I1622" s="0" t="s">
        <v>370</v>
      </c>
      <c r="J1622" s="0" t="s">
        <v>411</v>
      </c>
      <c r="K1622" s="0" t="s">
        <v>370</v>
      </c>
      <c r="L1622" s="0" t="str">
        <f aca="false">IF(H1622&gt;I1622,"ERRO","OK")</f>
        <v>OK</v>
      </c>
      <c r="M1622" s="0" t="str">
        <f aca="false">IF(H1622&gt;J1622,"ERRO","OK")</f>
        <v>OK</v>
      </c>
      <c r="N1622" s="0" t="str">
        <f aca="false">IF(I1622&lt;J1622,"ERRO","OK")</f>
        <v>OK</v>
      </c>
    </row>
    <row r="1623" customFormat="false" ht="14.25" hidden="false" customHeight="false" outlineLevel="0" collapsed="false">
      <c r="A1623" s="0" t="n">
        <v>78</v>
      </c>
      <c r="B1623" s="0" t="n">
        <v>2024</v>
      </c>
      <c r="C1623" s="3" t="n">
        <v>45611</v>
      </c>
      <c r="E1623" s="0" t="s">
        <v>63</v>
      </c>
      <c r="F1623" s="0" t="s">
        <v>49</v>
      </c>
      <c r="G1623" s="0" t="s">
        <v>405</v>
      </c>
      <c r="H1623" s="0" t="s">
        <v>402</v>
      </c>
      <c r="I1623" s="0" t="s">
        <v>405</v>
      </c>
      <c r="J1623" s="0" t="s">
        <v>410</v>
      </c>
      <c r="K1623" s="0" t="s">
        <v>405</v>
      </c>
      <c r="L1623" s="0" t="str">
        <f aca="false">IF(H1623&gt;I1623,"ERRO","OK")</f>
        <v>OK</v>
      </c>
      <c r="M1623" s="0" t="str">
        <f aca="false">IF(H1623&gt;J1623,"ERRO","OK")</f>
        <v>OK</v>
      </c>
      <c r="N1623" s="0" t="str">
        <f aca="false">IF(I1623&lt;J1623,"ERRO","OK")</f>
        <v>OK</v>
      </c>
    </row>
    <row r="1624" customFormat="false" ht="14.25" hidden="false" customHeight="false" outlineLevel="0" collapsed="false">
      <c r="A1624" s="0" t="n">
        <v>78</v>
      </c>
      <c r="B1624" s="0" t="n">
        <v>2024</v>
      </c>
      <c r="C1624" s="3" t="n">
        <v>45611</v>
      </c>
      <c r="E1624" s="0" t="s">
        <v>64</v>
      </c>
      <c r="F1624" s="0" t="s">
        <v>65</v>
      </c>
      <c r="G1624" s="0" t="s">
        <v>421</v>
      </c>
      <c r="H1624" s="0" t="s">
        <v>421</v>
      </c>
      <c r="I1624" s="0" t="s">
        <v>421</v>
      </c>
      <c r="J1624" s="0" t="s">
        <v>421</v>
      </c>
      <c r="K1624" s="0" t="s">
        <v>421</v>
      </c>
      <c r="L1624" s="0" t="str">
        <f aca="false">IF(H1624&gt;I1624,"ERRO","OK")</f>
        <v>OK</v>
      </c>
      <c r="M1624" s="0" t="str">
        <f aca="false">IF(H1624&gt;J1624,"ERRO","OK")</f>
        <v>OK</v>
      </c>
      <c r="N1624" s="0" t="str">
        <f aca="false">IF(I1624&lt;J1624,"ERRO","OK")</f>
        <v>OK</v>
      </c>
    </row>
    <row r="1625" customFormat="false" ht="14.25" hidden="false" customHeight="false" outlineLevel="0" collapsed="false">
      <c r="A1625" s="0" t="n">
        <v>78</v>
      </c>
      <c r="B1625" s="0" t="n">
        <v>2024</v>
      </c>
      <c r="C1625" s="3" t="n">
        <v>45611</v>
      </c>
      <c r="E1625" s="0" t="s">
        <v>67</v>
      </c>
      <c r="F1625" s="0" t="s">
        <v>44</v>
      </c>
      <c r="G1625" s="0" t="s">
        <v>406</v>
      </c>
      <c r="H1625" s="0" t="s">
        <v>406</v>
      </c>
      <c r="I1625" s="0" t="s">
        <v>398</v>
      </c>
      <c r="J1625" s="0" t="s">
        <v>382</v>
      </c>
      <c r="K1625" s="0" t="s">
        <v>446</v>
      </c>
      <c r="L1625" s="0" t="str">
        <f aca="false">IF(H1625&gt;I1625,"ERRO","OK")</f>
        <v>OK</v>
      </c>
      <c r="M1625" s="0" t="str">
        <f aca="false">IF(H1625&gt;J1625,"ERRO","OK")</f>
        <v>OK</v>
      </c>
      <c r="N1625" s="0" t="str">
        <f aca="false">IF(I1625&lt;J1625,"ERRO","OK")</f>
        <v>OK</v>
      </c>
    </row>
    <row r="1626" customFormat="false" ht="14.25" hidden="false" customHeight="false" outlineLevel="0" collapsed="false">
      <c r="A1626" s="0" t="n">
        <v>78</v>
      </c>
      <c r="B1626" s="0" t="n">
        <v>2024</v>
      </c>
      <c r="C1626" s="3" t="n">
        <v>45611</v>
      </c>
      <c r="E1626" s="0" t="s">
        <v>68</v>
      </c>
      <c r="F1626" s="0" t="s">
        <v>44</v>
      </c>
      <c r="G1626" s="0" t="s">
        <v>405</v>
      </c>
      <c r="H1626" s="0" t="s">
        <v>405</v>
      </c>
      <c r="I1626" s="0" t="s">
        <v>398</v>
      </c>
      <c r="J1626" s="0" t="s">
        <v>370</v>
      </c>
      <c r="K1626" s="0" t="s">
        <v>408</v>
      </c>
      <c r="L1626" s="0" t="str">
        <f aca="false">IF(H1626&gt;I1626,"ERRO","OK")</f>
        <v>OK</v>
      </c>
      <c r="M1626" s="0" t="str">
        <f aca="false">IF(H1626&gt;J1626,"ERRO","OK")</f>
        <v>OK</v>
      </c>
      <c r="N1626" s="0" t="str">
        <f aca="false">IF(I1626&lt;J1626,"ERRO","OK")</f>
        <v>OK</v>
      </c>
    </row>
    <row r="1627" customFormat="false" ht="14.25" hidden="false" customHeight="false" outlineLevel="0" collapsed="false">
      <c r="A1627" s="0" t="n">
        <v>78</v>
      </c>
      <c r="B1627" s="0" t="n">
        <v>2024</v>
      </c>
      <c r="C1627" s="3" t="n">
        <v>45611</v>
      </c>
      <c r="E1627" s="0" t="s">
        <v>70</v>
      </c>
      <c r="F1627" s="0" t="s">
        <v>49</v>
      </c>
      <c r="L1627" s="0" t="str">
        <f aca="false">IF(H1627&gt;I1627,"ERRO","OK")</f>
        <v>OK</v>
      </c>
      <c r="M1627" s="0" t="str">
        <f aca="false">IF(H1627&gt;J1627,"ERRO","OK")</f>
        <v>OK</v>
      </c>
      <c r="N1627" s="0" t="str">
        <f aca="false">IF(I1627&lt;J1627,"ERRO","OK")</f>
        <v>OK</v>
      </c>
    </row>
    <row r="1628" customFormat="false" ht="14.25" hidden="false" customHeight="false" outlineLevel="0" collapsed="false">
      <c r="A1628" s="0" t="n">
        <v>78</v>
      </c>
      <c r="B1628" s="0" t="n">
        <v>2024</v>
      </c>
      <c r="C1628" s="3" t="n">
        <v>45611</v>
      </c>
      <c r="E1628" s="0" t="s">
        <v>71</v>
      </c>
      <c r="F1628" s="0" t="s">
        <v>49</v>
      </c>
      <c r="L1628" s="0" t="str">
        <f aca="false">IF(H1628&gt;I1628,"ERRO","OK")</f>
        <v>OK</v>
      </c>
      <c r="M1628" s="0" t="str">
        <f aca="false">IF(H1628&gt;J1628,"ERRO","OK")</f>
        <v>OK</v>
      </c>
      <c r="N1628" s="0" t="str">
        <f aca="false">IF(I1628&lt;J1628,"ERRO","OK")</f>
        <v>OK</v>
      </c>
    </row>
    <row r="1629" customFormat="false" ht="14.25" hidden="false" customHeight="false" outlineLevel="0" collapsed="false">
      <c r="A1629" s="0" t="n">
        <v>78</v>
      </c>
      <c r="B1629" s="0" t="n">
        <v>2024</v>
      </c>
      <c r="C1629" s="3" t="n">
        <v>45611</v>
      </c>
      <c r="E1629" s="0" t="s">
        <v>72</v>
      </c>
      <c r="F1629" s="0" t="s">
        <v>49</v>
      </c>
      <c r="L1629" s="0" t="str">
        <f aca="false">IF(H1629&gt;I1629,"ERRO","OK")</f>
        <v>OK</v>
      </c>
      <c r="M1629" s="0" t="str">
        <f aca="false">IF(H1629&gt;J1629,"ERRO","OK")</f>
        <v>OK</v>
      </c>
      <c r="N1629" s="0" t="str">
        <f aca="false">IF(I1629&lt;J1629,"ERRO","OK")</f>
        <v>OK</v>
      </c>
    </row>
    <row r="1630" customFormat="false" ht="14.25" hidden="false" customHeight="false" outlineLevel="0" collapsed="false">
      <c r="A1630" s="0" t="n">
        <v>78</v>
      </c>
      <c r="B1630" s="0" t="n">
        <v>2024</v>
      </c>
      <c r="C1630" s="3" t="n">
        <v>45611</v>
      </c>
      <c r="E1630" s="0" t="s">
        <v>73</v>
      </c>
      <c r="F1630" s="0" t="s">
        <v>49</v>
      </c>
      <c r="G1630" s="0" t="s">
        <v>370</v>
      </c>
      <c r="H1630" s="0" t="s">
        <v>370</v>
      </c>
      <c r="I1630" s="0" t="s">
        <v>370</v>
      </c>
      <c r="J1630" s="0" t="s">
        <v>370</v>
      </c>
      <c r="K1630" s="0" t="s">
        <v>370</v>
      </c>
      <c r="L1630" s="0" t="str">
        <f aca="false">IF(H1630&gt;I1630,"ERRO","OK")</f>
        <v>OK</v>
      </c>
      <c r="M1630" s="0" t="str">
        <f aca="false">IF(H1630&gt;J1630,"ERRO","OK")</f>
        <v>OK</v>
      </c>
      <c r="N1630" s="0" t="str">
        <f aca="false">IF(I1630&lt;J1630,"ERRO","OK")</f>
        <v>OK</v>
      </c>
    </row>
    <row r="1631" customFormat="false" ht="14.25" hidden="false" customHeight="false" outlineLevel="0" collapsed="false">
      <c r="A1631" s="0" t="n">
        <v>78</v>
      </c>
      <c r="B1631" s="0" t="n">
        <v>2024</v>
      </c>
      <c r="C1631" s="3" t="n">
        <v>45611</v>
      </c>
      <c r="E1631" s="0" t="s">
        <v>74</v>
      </c>
      <c r="F1631" s="21" t="s">
        <v>75</v>
      </c>
      <c r="L1631" s="0" t="str">
        <f aca="false">IF(H1631&gt;I1631,"ERRO","OK")</f>
        <v>OK</v>
      </c>
      <c r="M1631" s="0" t="str">
        <f aca="false">IF(H1631&gt;J1631,"ERRO","OK")</f>
        <v>OK</v>
      </c>
      <c r="N1631" s="0" t="str">
        <f aca="false">IF(I1631&lt;J1631,"ERRO","OK")</f>
        <v>OK</v>
      </c>
    </row>
    <row r="1632" customFormat="false" ht="14.25" hidden="false" customHeight="false" outlineLevel="0" collapsed="false">
      <c r="A1632" s="0" t="n">
        <v>79</v>
      </c>
      <c r="B1632" s="0" t="n">
        <v>24</v>
      </c>
      <c r="C1632" s="3" t="n">
        <v>45618</v>
      </c>
      <c r="E1632" s="0" t="s">
        <v>16</v>
      </c>
      <c r="F1632" s="21" t="s">
        <v>17</v>
      </c>
      <c r="G1632" s="0" t="n">
        <v>60</v>
      </c>
      <c r="H1632" s="0" t="n">
        <v>48</v>
      </c>
      <c r="I1632" s="0" t="n">
        <v>60</v>
      </c>
      <c r="J1632" s="0" t="n">
        <v>56</v>
      </c>
      <c r="K1632" s="0" t="n">
        <v>60</v>
      </c>
      <c r="L1632" s="0" t="str">
        <f aca="false">IF(H1632&gt;I1632,"ERRO","OK")</f>
        <v>OK</v>
      </c>
      <c r="M1632" s="0" t="str">
        <f aca="false">IF(H1632&gt;J1632,"ERRO","OK")</f>
        <v>OK</v>
      </c>
      <c r="N1632" s="0" t="str">
        <f aca="false">IF(I1632&lt;J1632,"ERRO","OK")</f>
        <v>OK</v>
      </c>
    </row>
    <row r="1633" customFormat="false" ht="14.25" hidden="false" customHeight="false" outlineLevel="0" collapsed="false">
      <c r="A1633" s="0" t="n">
        <v>79</v>
      </c>
      <c r="B1633" s="0" t="n">
        <v>24</v>
      </c>
      <c r="C1633" s="3" t="n">
        <v>45618</v>
      </c>
      <c r="E1633" s="0" t="s">
        <v>18</v>
      </c>
      <c r="F1633" s="21" t="s">
        <v>17</v>
      </c>
      <c r="H1633" s="0" t="n">
        <v>84</v>
      </c>
      <c r="I1633" s="0" t="n">
        <v>90</v>
      </c>
      <c r="J1633" s="0" t="n">
        <v>87</v>
      </c>
      <c r="K1633" s="0" t="n">
        <v>87</v>
      </c>
      <c r="L1633" s="0" t="str">
        <f aca="false">IF(H1633&gt;I1633,"ERRO","OK")</f>
        <v>OK</v>
      </c>
      <c r="M1633" s="0" t="str">
        <f aca="false">IF(H1633&gt;J1633,"ERRO","OK")</f>
        <v>OK</v>
      </c>
      <c r="N1633" s="0" t="str">
        <f aca="false">IF(I1633&lt;J1633,"ERRO","OK")</f>
        <v>OK</v>
      </c>
    </row>
    <row r="1634" customFormat="false" ht="14.25" hidden="false" customHeight="false" outlineLevel="0" collapsed="false">
      <c r="A1634" s="0" t="n">
        <v>79</v>
      </c>
      <c r="B1634" s="0" t="n">
        <v>24</v>
      </c>
      <c r="C1634" s="3" t="n">
        <v>45618</v>
      </c>
      <c r="E1634" s="0" t="s">
        <v>19</v>
      </c>
      <c r="F1634" s="21" t="s">
        <v>17</v>
      </c>
      <c r="H1634" s="0" t="n">
        <v>45</v>
      </c>
      <c r="I1634" s="0" t="n">
        <v>60</v>
      </c>
      <c r="J1634" s="0" t="n">
        <v>51</v>
      </c>
      <c r="K1634" s="0" t="n">
        <v>48</v>
      </c>
      <c r="L1634" s="0" t="str">
        <f aca="false">IF(H1634&gt;I1634,"ERRO","OK")</f>
        <v>OK</v>
      </c>
      <c r="M1634" s="0" t="str">
        <f aca="false">IF(H1634&gt;J1634,"ERRO","OK")</f>
        <v>OK</v>
      </c>
      <c r="N1634" s="0" t="str">
        <f aca="false">IF(I1634&lt;J1634,"ERRO","OK")</f>
        <v>OK</v>
      </c>
    </row>
    <row r="1635" customFormat="false" ht="14.25" hidden="false" customHeight="false" outlineLevel="0" collapsed="false">
      <c r="A1635" s="0" t="n">
        <v>79</v>
      </c>
      <c r="B1635" s="0" t="n">
        <v>24</v>
      </c>
      <c r="C1635" s="3" t="n">
        <v>45618</v>
      </c>
      <c r="E1635" s="0" t="s">
        <v>20</v>
      </c>
      <c r="F1635" s="21" t="s">
        <v>17</v>
      </c>
      <c r="H1635" s="0" t="n">
        <v>30</v>
      </c>
      <c r="I1635" s="0" t="n">
        <v>36</v>
      </c>
      <c r="J1635" s="23" t="n">
        <v>33666667</v>
      </c>
      <c r="K1635" s="0" t="n">
        <v>35</v>
      </c>
      <c r="L1635" s="0" t="str">
        <f aca="false">IF(H1635&gt;I1635,"ERRO","OK")</f>
        <v>OK</v>
      </c>
      <c r="M1635" s="0" t="str">
        <f aca="false">IF(H1635&gt;J1635,"ERRO","OK")</f>
        <v>OK</v>
      </c>
      <c r="N1635" s="0" t="str">
        <f aca="false">IF(I1635&lt;J1635,"ERRO","OK")</f>
        <v>ERRO</v>
      </c>
    </row>
    <row r="1636" customFormat="false" ht="14.25" hidden="false" customHeight="false" outlineLevel="0" collapsed="false">
      <c r="A1636" s="0" t="n">
        <v>79</v>
      </c>
      <c r="B1636" s="0" t="n">
        <v>24</v>
      </c>
      <c r="C1636" s="3" t="n">
        <v>45618</v>
      </c>
      <c r="E1636" s="0" t="s">
        <v>21</v>
      </c>
      <c r="F1636" s="21" t="s">
        <v>17</v>
      </c>
      <c r="H1636" s="0" t="n">
        <v>35</v>
      </c>
      <c r="I1636" s="0" t="n">
        <v>36</v>
      </c>
      <c r="J1636" s="0" t="s">
        <v>149</v>
      </c>
      <c r="K1636" s="0" t="s">
        <v>149</v>
      </c>
      <c r="L1636" s="0" t="str">
        <f aca="false">IF(H1636&gt;I1636,"ERRO","OK")</f>
        <v>OK</v>
      </c>
      <c r="M1636" s="0" t="str">
        <f aca="false">IF(H1636&gt;J1636,"ERRO","OK")</f>
        <v>OK</v>
      </c>
      <c r="N1636" s="0" t="str">
        <f aca="false">IF(I1636&lt;J1636,"ERRO","OK")</f>
        <v>ERRO</v>
      </c>
    </row>
    <row r="1637" customFormat="false" ht="14.25" hidden="false" customHeight="false" outlineLevel="0" collapsed="false">
      <c r="A1637" s="0" t="n">
        <v>79</v>
      </c>
      <c r="B1637" s="0" t="n">
        <v>24</v>
      </c>
      <c r="C1637" s="3" t="n">
        <v>45618</v>
      </c>
      <c r="E1637" s="0" t="s">
        <v>22</v>
      </c>
      <c r="F1637" s="21" t="s">
        <v>17</v>
      </c>
      <c r="H1637" s="0" t="n">
        <v>66</v>
      </c>
      <c r="I1637" s="0" t="n">
        <v>72</v>
      </c>
      <c r="J1637" s="0" t="n">
        <v>69</v>
      </c>
      <c r="K1637" s="0" t="n">
        <v>69</v>
      </c>
      <c r="L1637" s="0" t="str">
        <f aca="false">IF(H1637&gt;I1637,"ERRO","OK")</f>
        <v>OK</v>
      </c>
      <c r="M1637" s="0" t="str">
        <f aca="false">IF(H1637&gt;J1637,"ERRO","OK")</f>
        <v>OK</v>
      </c>
      <c r="N1637" s="0" t="str">
        <f aca="false">IF(I1637&lt;J1637,"ERRO","OK")</f>
        <v>OK</v>
      </c>
    </row>
    <row r="1638" customFormat="false" ht="14.25" hidden="false" customHeight="false" outlineLevel="0" collapsed="false">
      <c r="A1638" s="0" t="n">
        <v>79</v>
      </c>
      <c r="B1638" s="0" t="n">
        <v>24</v>
      </c>
      <c r="C1638" s="3" t="n">
        <v>45618</v>
      </c>
      <c r="E1638" s="0" t="s">
        <v>23</v>
      </c>
      <c r="F1638" s="21" t="s">
        <v>17</v>
      </c>
      <c r="G1638" s="0" t="n">
        <v>60</v>
      </c>
      <c r="H1638" s="0" t="n">
        <v>60</v>
      </c>
      <c r="I1638" s="0" t="n">
        <v>78</v>
      </c>
      <c r="J1638" s="0" t="n">
        <v>66</v>
      </c>
      <c r="K1638" s="0" t="n">
        <v>60</v>
      </c>
      <c r="L1638" s="0" t="str">
        <f aca="false">IF(H1638&gt;I1638,"ERRO","OK")</f>
        <v>OK</v>
      </c>
      <c r="M1638" s="0" t="str">
        <f aca="false">IF(H1638&gt;J1638,"ERRO","OK")</f>
        <v>OK</v>
      </c>
      <c r="N1638" s="0" t="str">
        <f aca="false">IF(I1638&lt;J1638,"ERRO","OK")</f>
        <v>OK</v>
      </c>
    </row>
    <row r="1639" customFormat="false" ht="14.25" hidden="false" customHeight="false" outlineLevel="0" collapsed="false">
      <c r="A1639" s="0" t="n">
        <v>79</v>
      </c>
      <c r="B1639" s="0" t="n">
        <v>24</v>
      </c>
      <c r="C1639" s="3" t="n">
        <v>45618</v>
      </c>
      <c r="E1639" s="0" t="s">
        <v>24</v>
      </c>
      <c r="F1639" s="21" t="s">
        <v>17</v>
      </c>
      <c r="G1639" s="0" t="n">
        <v>72</v>
      </c>
      <c r="H1639" s="0" t="n">
        <v>72</v>
      </c>
      <c r="I1639" s="0" t="n">
        <v>84</v>
      </c>
      <c r="J1639" s="0" t="n">
        <v>76</v>
      </c>
      <c r="K1639" s="0" t="n">
        <v>72</v>
      </c>
      <c r="L1639" s="0" t="str">
        <f aca="false">IF(H1639&gt;I1639,"ERRO","OK")</f>
        <v>OK</v>
      </c>
      <c r="M1639" s="0" t="str">
        <f aca="false">IF(H1639&gt;J1639,"ERRO","OK")</f>
        <v>OK</v>
      </c>
      <c r="N1639" s="0" t="str">
        <f aca="false">IF(I1639&lt;J1639,"ERRO","OK")</f>
        <v>OK</v>
      </c>
    </row>
    <row r="1640" customFormat="false" ht="14.25" hidden="false" customHeight="false" outlineLevel="0" collapsed="false">
      <c r="A1640" s="0" t="n">
        <v>79</v>
      </c>
      <c r="B1640" s="0" t="n">
        <v>24</v>
      </c>
      <c r="C1640" s="3" t="n">
        <v>45618</v>
      </c>
      <c r="E1640" s="0" t="s">
        <v>358</v>
      </c>
      <c r="F1640" s="21" t="s">
        <v>17</v>
      </c>
      <c r="G1640" s="0" t="n">
        <v>24</v>
      </c>
      <c r="H1640" s="0" t="n">
        <v>18</v>
      </c>
      <c r="I1640" s="0" t="n">
        <v>24</v>
      </c>
      <c r="J1640" s="0" t="n">
        <v>22</v>
      </c>
      <c r="K1640" s="0" t="n">
        <v>24</v>
      </c>
      <c r="L1640" s="0" t="str">
        <f aca="false">IF(H1640&gt;I1640,"ERRO","OK")</f>
        <v>OK</v>
      </c>
      <c r="M1640" s="0" t="str">
        <f aca="false">IF(H1640&gt;J1640,"ERRO","OK")</f>
        <v>OK</v>
      </c>
      <c r="N1640" s="0" t="str">
        <f aca="false">IF(I1640&lt;J1640,"ERRO","OK")</f>
        <v>OK</v>
      </c>
    </row>
    <row r="1641" customFormat="false" ht="14.25" hidden="false" customHeight="false" outlineLevel="0" collapsed="false">
      <c r="A1641" s="0" t="n">
        <v>79</v>
      </c>
      <c r="B1641" s="0" t="n">
        <v>24</v>
      </c>
      <c r="C1641" s="3" t="n">
        <v>45618</v>
      </c>
      <c r="E1641" s="0" t="s">
        <v>359</v>
      </c>
      <c r="F1641" s="21" t="s">
        <v>17</v>
      </c>
      <c r="H1641" s="0" t="n">
        <v>72</v>
      </c>
      <c r="I1641" s="0" t="n">
        <v>84</v>
      </c>
      <c r="J1641" s="0" t="n">
        <v>78</v>
      </c>
      <c r="K1641" s="0" t="n">
        <v>78</v>
      </c>
      <c r="L1641" s="0" t="str">
        <f aca="false">IF(H1641&gt;I1641,"ERRO","OK")</f>
        <v>OK</v>
      </c>
      <c r="M1641" s="0" t="str">
        <f aca="false">IF(H1641&gt;J1641,"ERRO","OK")</f>
        <v>OK</v>
      </c>
      <c r="N1641" s="0" t="str">
        <f aca="false">IF(I1641&lt;J1641,"ERRO","OK")</f>
        <v>OK</v>
      </c>
    </row>
    <row r="1642" customFormat="false" ht="14.25" hidden="false" customHeight="false" outlineLevel="0" collapsed="false">
      <c r="A1642" s="0" t="n">
        <v>79</v>
      </c>
      <c r="B1642" s="0" t="n">
        <v>24</v>
      </c>
      <c r="C1642" s="3" t="n">
        <v>45618</v>
      </c>
      <c r="E1642" s="0" t="s">
        <v>27</v>
      </c>
      <c r="F1642" s="21" t="s">
        <v>17</v>
      </c>
      <c r="H1642" s="0" t="n">
        <v>24</v>
      </c>
      <c r="I1642" s="0" t="n">
        <v>36</v>
      </c>
      <c r="J1642" s="23" t="n">
        <v>31666667</v>
      </c>
      <c r="K1642" s="0" t="n">
        <v>35</v>
      </c>
      <c r="L1642" s="0" t="str">
        <f aca="false">IF(H1642&gt;I1642,"ERRO","OK")</f>
        <v>OK</v>
      </c>
      <c r="M1642" s="0" t="str">
        <f aca="false">IF(H1642&gt;J1642,"ERRO","OK")</f>
        <v>OK</v>
      </c>
      <c r="N1642" s="0" t="str">
        <f aca="false">IF(I1642&lt;J1642,"ERRO","OK")</f>
        <v>ERRO</v>
      </c>
    </row>
    <row r="1643" customFormat="false" ht="14.25" hidden="false" customHeight="false" outlineLevel="0" collapsed="false">
      <c r="A1643" s="0" t="n">
        <v>79</v>
      </c>
      <c r="B1643" s="0" t="n">
        <v>24</v>
      </c>
      <c r="C1643" s="3" t="n">
        <v>45618</v>
      </c>
      <c r="E1643" s="0" t="s">
        <v>28</v>
      </c>
      <c r="F1643" s="21" t="s">
        <v>17</v>
      </c>
      <c r="H1643" s="0" t="n">
        <v>72</v>
      </c>
      <c r="I1643" s="0" t="n">
        <v>84</v>
      </c>
      <c r="J1643" s="0" t="n">
        <v>78</v>
      </c>
      <c r="K1643" s="0" t="n">
        <v>78</v>
      </c>
      <c r="L1643" s="0" t="str">
        <f aca="false">IF(H1643&gt;I1643,"ERRO","OK")</f>
        <v>OK</v>
      </c>
      <c r="M1643" s="0" t="str">
        <f aca="false">IF(H1643&gt;J1643,"ERRO","OK")</f>
        <v>OK</v>
      </c>
      <c r="N1643" s="0" t="str">
        <f aca="false">IF(I1643&lt;J1643,"ERRO","OK")</f>
        <v>OK</v>
      </c>
    </row>
    <row r="1644" customFormat="false" ht="14.25" hidden="false" customHeight="false" outlineLevel="0" collapsed="false">
      <c r="A1644" s="0" t="n">
        <v>79</v>
      </c>
      <c r="B1644" s="0" t="n">
        <v>24</v>
      </c>
      <c r="C1644" s="3" t="n">
        <v>45618</v>
      </c>
      <c r="E1644" s="0" t="s">
        <v>29</v>
      </c>
      <c r="F1644" s="21" t="s">
        <v>30</v>
      </c>
      <c r="H1644" s="0" t="n">
        <v>60</v>
      </c>
      <c r="I1644" s="0" t="n">
        <v>78</v>
      </c>
      <c r="J1644" s="0" t="n">
        <v>70</v>
      </c>
      <c r="K1644" s="0" t="n">
        <v>72</v>
      </c>
      <c r="L1644" s="0" t="str">
        <f aca="false">IF(H1644&gt;I1644,"ERRO","OK")</f>
        <v>OK</v>
      </c>
      <c r="M1644" s="0" t="str">
        <f aca="false">IF(H1644&gt;J1644,"ERRO","OK")</f>
        <v>OK</v>
      </c>
      <c r="N1644" s="0" t="str">
        <f aca="false">IF(I1644&lt;J1644,"ERRO","OK")</f>
        <v>OK</v>
      </c>
    </row>
    <row r="1645" customFormat="false" ht="14.25" hidden="false" customHeight="false" outlineLevel="0" collapsed="false">
      <c r="A1645" s="0" t="n">
        <v>79</v>
      </c>
      <c r="B1645" s="0" t="n">
        <v>24</v>
      </c>
      <c r="C1645" s="3" t="n">
        <v>45618</v>
      </c>
      <c r="E1645" s="0" t="s">
        <v>31</v>
      </c>
      <c r="F1645" s="21" t="s">
        <v>17</v>
      </c>
      <c r="H1645" s="0" t="n">
        <v>40</v>
      </c>
      <c r="I1645" s="0" t="n">
        <v>72</v>
      </c>
      <c r="J1645" s="0" t="n">
        <v>56</v>
      </c>
      <c r="K1645" s="0" t="n">
        <v>56</v>
      </c>
      <c r="L1645" s="0" t="str">
        <f aca="false">IF(H1645&gt;I1645,"ERRO","OK")</f>
        <v>OK</v>
      </c>
      <c r="M1645" s="0" t="str">
        <f aca="false">IF(H1645&gt;J1645,"ERRO","OK")</f>
        <v>OK</v>
      </c>
      <c r="N1645" s="0" t="str">
        <f aca="false">IF(I1645&lt;J1645,"ERRO","OK")</f>
        <v>OK</v>
      </c>
    </row>
    <row r="1646" customFormat="false" ht="14.25" hidden="false" customHeight="false" outlineLevel="0" collapsed="false">
      <c r="A1646" s="0" t="n">
        <v>79</v>
      </c>
      <c r="B1646" s="0" t="n">
        <v>24</v>
      </c>
      <c r="C1646" s="3" t="n">
        <v>45618</v>
      </c>
      <c r="E1646" s="0" t="s">
        <v>32</v>
      </c>
      <c r="F1646" s="21" t="s">
        <v>17</v>
      </c>
      <c r="G1646" s="0" t="n">
        <v>30</v>
      </c>
      <c r="H1646" s="0" t="n">
        <v>30</v>
      </c>
      <c r="I1646" s="0" t="n">
        <v>35</v>
      </c>
      <c r="J1646" s="23" t="n">
        <v>31666667</v>
      </c>
      <c r="K1646" s="0" t="n">
        <v>30</v>
      </c>
      <c r="L1646" s="0" t="str">
        <f aca="false">IF(H1646&gt;I1646,"ERRO","OK")</f>
        <v>OK</v>
      </c>
      <c r="M1646" s="0" t="str">
        <f aca="false">IF(H1646&gt;J1646,"ERRO","OK")</f>
        <v>OK</v>
      </c>
      <c r="N1646" s="0" t="str">
        <f aca="false">IF(I1646&lt;J1646,"ERRO","OK")</f>
        <v>ERRO</v>
      </c>
    </row>
    <row r="1647" customFormat="false" ht="14.25" hidden="false" customHeight="false" outlineLevel="0" collapsed="false">
      <c r="A1647" s="0" t="n">
        <v>79</v>
      </c>
      <c r="B1647" s="0" t="n">
        <v>24</v>
      </c>
      <c r="C1647" s="3" t="n">
        <v>45618</v>
      </c>
      <c r="E1647" s="0" t="s">
        <v>33</v>
      </c>
      <c r="F1647" s="21" t="s">
        <v>17</v>
      </c>
      <c r="G1647" s="0" t="n">
        <v>54</v>
      </c>
      <c r="H1647" s="0" t="n">
        <v>54</v>
      </c>
      <c r="I1647" s="0" t="n">
        <v>60</v>
      </c>
      <c r="J1647" s="0" t="n">
        <v>56</v>
      </c>
      <c r="K1647" s="0" t="n">
        <v>54</v>
      </c>
      <c r="L1647" s="0" t="str">
        <f aca="false">IF(H1647&gt;I1647,"ERRO","OK")</f>
        <v>OK</v>
      </c>
      <c r="M1647" s="0" t="str">
        <f aca="false">IF(H1647&gt;J1647,"ERRO","OK")</f>
        <v>OK</v>
      </c>
      <c r="N1647" s="0" t="str">
        <f aca="false">IF(I1647&lt;J1647,"ERRO","OK")</f>
        <v>OK</v>
      </c>
    </row>
    <row r="1648" customFormat="false" ht="14.25" hidden="false" customHeight="false" outlineLevel="0" collapsed="false">
      <c r="A1648" s="0" t="n">
        <v>79</v>
      </c>
      <c r="B1648" s="0" t="n">
        <v>24</v>
      </c>
      <c r="C1648" s="3" t="n">
        <v>45618</v>
      </c>
      <c r="E1648" s="0" t="s">
        <v>35</v>
      </c>
      <c r="F1648" s="21" t="s">
        <v>36</v>
      </c>
      <c r="G1648" s="0" t="n">
        <v>5</v>
      </c>
      <c r="H1648" s="0" t="n">
        <v>5</v>
      </c>
      <c r="I1648" s="0" t="n">
        <v>5</v>
      </c>
      <c r="J1648" s="0" t="n">
        <v>5</v>
      </c>
      <c r="K1648" s="0" t="n">
        <v>5</v>
      </c>
      <c r="L1648" s="0" t="str">
        <f aca="false">IF(H1648&gt;I1648,"ERRO","OK")</f>
        <v>OK</v>
      </c>
      <c r="M1648" s="0" t="str">
        <f aca="false">IF(H1648&gt;J1648,"ERRO","OK")</f>
        <v>OK</v>
      </c>
      <c r="N1648" s="0" t="str">
        <f aca="false">IF(I1648&lt;J1648,"ERRO","OK")</f>
        <v>OK</v>
      </c>
    </row>
    <row r="1649" customFormat="false" ht="14.25" hidden="false" customHeight="false" outlineLevel="0" collapsed="false">
      <c r="A1649" s="0" t="n">
        <v>79</v>
      </c>
      <c r="B1649" s="0" t="n">
        <v>24</v>
      </c>
      <c r="C1649" s="3" t="n">
        <v>45618</v>
      </c>
      <c r="E1649" s="0" t="s">
        <v>38</v>
      </c>
      <c r="F1649" s="21" t="s">
        <v>39</v>
      </c>
      <c r="G1649" s="0" t="n">
        <v>20</v>
      </c>
      <c r="H1649" s="0" t="n">
        <v>20</v>
      </c>
      <c r="I1649" s="0" t="n">
        <v>20</v>
      </c>
      <c r="J1649" s="0" t="n">
        <v>20</v>
      </c>
      <c r="K1649" s="0" t="n">
        <v>20</v>
      </c>
      <c r="L1649" s="0" t="str">
        <f aca="false">IF(H1649&gt;I1649,"ERRO","OK")</f>
        <v>OK</v>
      </c>
      <c r="M1649" s="0" t="str">
        <f aca="false">IF(H1649&gt;J1649,"ERRO","OK")</f>
        <v>OK</v>
      </c>
      <c r="N1649" s="0" t="str">
        <f aca="false">IF(I1649&lt;J1649,"ERRO","OK")</f>
        <v>OK</v>
      </c>
    </row>
    <row r="1650" customFormat="false" ht="14.25" hidden="false" customHeight="false" outlineLevel="0" collapsed="false">
      <c r="A1650" s="0" t="n">
        <v>79</v>
      </c>
      <c r="B1650" s="0" t="n">
        <v>24</v>
      </c>
      <c r="C1650" s="3" t="n">
        <v>45618</v>
      </c>
      <c r="E1650" s="0" t="s">
        <v>40</v>
      </c>
      <c r="F1650" s="21" t="s">
        <v>39</v>
      </c>
      <c r="G1650" s="0" t="n">
        <v>30</v>
      </c>
      <c r="H1650" s="0" t="n">
        <v>25</v>
      </c>
      <c r="I1650" s="0" t="n">
        <v>30</v>
      </c>
      <c r="J1650" s="23" t="n">
        <v>28333333</v>
      </c>
      <c r="K1650" s="0" t="n">
        <v>30</v>
      </c>
      <c r="L1650" s="0" t="str">
        <f aca="false">IF(H1650&gt;I1650,"ERRO","OK")</f>
        <v>OK</v>
      </c>
      <c r="M1650" s="0" t="str">
        <f aca="false">IF(H1650&gt;J1650,"ERRO","OK")</f>
        <v>OK</v>
      </c>
      <c r="N1650" s="0" t="str">
        <f aca="false">IF(I1650&lt;J1650,"ERRO","OK")</f>
        <v>ERRO</v>
      </c>
    </row>
    <row r="1651" customFormat="false" ht="14.25" hidden="false" customHeight="false" outlineLevel="0" collapsed="false">
      <c r="A1651" s="0" t="n">
        <v>79</v>
      </c>
      <c r="B1651" s="0" t="n">
        <v>24</v>
      </c>
      <c r="C1651" s="3" t="n">
        <v>45618</v>
      </c>
      <c r="E1651" s="0" t="s">
        <v>157</v>
      </c>
      <c r="F1651" s="21" t="s">
        <v>158</v>
      </c>
      <c r="G1651" s="0" t="n">
        <v>80</v>
      </c>
      <c r="H1651" s="0" t="n">
        <v>75</v>
      </c>
      <c r="I1651" s="0" t="n">
        <v>80</v>
      </c>
      <c r="J1651" s="23" t="n">
        <v>78333333</v>
      </c>
      <c r="K1651" s="0" t="n">
        <v>80</v>
      </c>
      <c r="L1651" s="0" t="str">
        <f aca="false">IF(H1651&gt;I1651,"ERRO","OK")</f>
        <v>OK</v>
      </c>
      <c r="M1651" s="0" t="str">
        <f aca="false">IF(H1651&gt;J1651,"ERRO","OK")</f>
        <v>OK</v>
      </c>
      <c r="N1651" s="0" t="str">
        <f aca="false">IF(I1651&lt;J1651,"ERRO","OK")</f>
        <v>ERRO</v>
      </c>
    </row>
    <row r="1652" customFormat="false" ht="14.25" hidden="false" customHeight="false" outlineLevel="0" collapsed="false">
      <c r="A1652" s="0" t="n">
        <v>79</v>
      </c>
      <c r="B1652" s="0" t="n">
        <v>24</v>
      </c>
      <c r="C1652" s="3" t="n">
        <v>45618</v>
      </c>
      <c r="E1652" s="0" t="s">
        <v>43</v>
      </c>
      <c r="F1652" s="21" t="s">
        <v>44</v>
      </c>
      <c r="H1652" s="0" t="n">
        <v>40</v>
      </c>
      <c r="I1652" s="0" t="n">
        <v>80</v>
      </c>
      <c r="J1652" s="23" t="n">
        <v>58333333</v>
      </c>
      <c r="K1652" s="0" t="s">
        <v>45</v>
      </c>
      <c r="L1652" s="0" t="str">
        <f aca="false">IF(H1652&gt;I1652,"ERRO","OK")</f>
        <v>OK</v>
      </c>
      <c r="M1652" s="0" t="str">
        <f aca="false">IF(H1652&gt;J1652,"ERRO","OK")</f>
        <v>OK</v>
      </c>
      <c r="N1652" s="0" t="str">
        <f aca="false">IF(I1652&lt;J1652,"ERRO","OK")</f>
        <v>ERRO</v>
      </c>
    </row>
    <row r="1653" customFormat="false" ht="14.25" hidden="false" customHeight="false" outlineLevel="0" collapsed="false">
      <c r="A1653" s="0" t="n">
        <v>79</v>
      </c>
      <c r="B1653" s="0" t="n">
        <v>24</v>
      </c>
      <c r="C1653" s="3" t="n">
        <v>45618</v>
      </c>
      <c r="E1653" s="0" t="s">
        <v>361</v>
      </c>
      <c r="F1653" s="21" t="s">
        <v>47</v>
      </c>
      <c r="G1653" s="0" t="n">
        <v>65</v>
      </c>
      <c r="H1653" s="0" t="n">
        <v>45</v>
      </c>
      <c r="I1653" s="0" t="n">
        <v>70</v>
      </c>
      <c r="J1653" s="0" t="n">
        <v>60</v>
      </c>
      <c r="K1653" s="0" t="n">
        <v>65</v>
      </c>
      <c r="L1653" s="0" t="str">
        <f aca="false">IF(H1653&gt;I1653,"ERRO","OK")</f>
        <v>OK</v>
      </c>
      <c r="M1653" s="0" t="str">
        <f aca="false">IF(H1653&gt;J1653,"ERRO","OK")</f>
        <v>OK</v>
      </c>
      <c r="N1653" s="0" t="str">
        <f aca="false">IF(I1653&lt;J1653,"ERRO","OK")</f>
        <v>OK</v>
      </c>
    </row>
    <row r="1654" customFormat="false" ht="14.25" hidden="false" customHeight="false" outlineLevel="0" collapsed="false">
      <c r="A1654" s="0" t="n">
        <v>79</v>
      </c>
      <c r="B1654" s="0" t="n">
        <v>24</v>
      </c>
      <c r="C1654" s="3" t="n">
        <v>45618</v>
      </c>
      <c r="E1654" s="0" t="s">
        <v>48</v>
      </c>
      <c r="F1654" s="21" t="s">
        <v>49</v>
      </c>
      <c r="G1654" s="0" t="n">
        <v>55</v>
      </c>
      <c r="H1654" s="0" t="n">
        <v>50</v>
      </c>
      <c r="I1654" s="0" t="n">
        <v>60</v>
      </c>
      <c r="J1654" s="23" t="n">
        <v>54166667</v>
      </c>
      <c r="K1654" s="0" t="n">
        <v>55</v>
      </c>
      <c r="L1654" s="0" t="str">
        <f aca="false">IF(H1654&gt;I1654,"ERRO","OK")</f>
        <v>OK</v>
      </c>
      <c r="M1654" s="0" t="str">
        <f aca="false">IF(H1654&gt;J1654,"ERRO","OK")</f>
        <v>OK</v>
      </c>
      <c r="N1654" s="0" t="str">
        <f aca="false">IF(I1654&lt;J1654,"ERRO","OK")</f>
        <v>ERRO</v>
      </c>
    </row>
    <row r="1655" customFormat="false" ht="14.25" hidden="false" customHeight="false" outlineLevel="0" collapsed="false">
      <c r="A1655" s="0" t="n">
        <v>79</v>
      </c>
      <c r="B1655" s="0" t="n">
        <v>24</v>
      </c>
      <c r="C1655" s="3" t="n">
        <v>45618</v>
      </c>
      <c r="E1655" s="0" t="s">
        <v>52</v>
      </c>
      <c r="F1655" s="21" t="s">
        <v>49</v>
      </c>
      <c r="H1655" s="0" t="n">
        <v>90</v>
      </c>
      <c r="I1655" s="0" t="n">
        <v>120</v>
      </c>
      <c r="J1655" s="0" t="n">
        <v>105</v>
      </c>
      <c r="K1655" s="0" t="n">
        <v>105</v>
      </c>
      <c r="L1655" s="0" t="str">
        <f aca="false">IF(H1655&gt;I1655,"ERRO","OK")</f>
        <v>OK</v>
      </c>
      <c r="M1655" s="0" t="str">
        <f aca="false">IF(H1655&gt;J1655,"ERRO","OK")</f>
        <v>OK</v>
      </c>
      <c r="N1655" s="0" t="str">
        <f aca="false">IF(I1655&lt;J1655,"ERRO","OK")</f>
        <v>OK</v>
      </c>
    </row>
    <row r="1656" customFormat="false" ht="14.25" hidden="false" customHeight="false" outlineLevel="0" collapsed="false">
      <c r="A1656" s="0" t="n">
        <v>79</v>
      </c>
      <c r="B1656" s="0" t="n">
        <v>24</v>
      </c>
      <c r="C1656" s="3" t="n">
        <v>45618</v>
      </c>
      <c r="E1656" s="0" t="s">
        <v>53</v>
      </c>
      <c r="F1656" s="21" t="s">
        <v>54</v>
      </c>
      <c r="G1656" s="0" t="n">
        <v>60</v>
      </c>
      <c r="H1656" s="0" t="n">
        <v>50</v>
      </c>
      <c r="I1656" s="0" t="n">
        <v>65</v>
      </c>
      <c r="J1656" s="23" t="n">
        <v>58333333</v>
      </c>
      <c r="K1656" s="0" t="n">
        <v>60</v>
      </c>
      <c r="L1656" s="0" t="str">
        <f aca="false">IF(H1656&gt;I1656,"ERRO","OK")</f>
        <v>OK</v>
      </c>
      <c r="M1656" s="0" t="str">
        <f aca="false">IF(H1656&gt;J1656,"ERRO","OK")</f>
        <v>OK</v>
      </c>
      <c r="N1656" s="0" t="str">
        <f aca="false">IF(I1656&lt;J1656,"ERRO","OK")</f>
        <v>ERRO</v>
      </c>
    </row>
    <row r="1657" customFormat="false" ht="14.25" hidden="false" customHeight="false" outlineLevel="0" collapsed="false">
      <c r="A1657" s="0" t="n">
        <v>79</v>
      </c>
      <c r="B1657" s="0" t="n">
        <v>24</v>
      </c>
      <c r="C1657" s="3" t="n">
        <v>45618</v>
      </c>
      <c r="E1657" s="0" t="s">
        <v>56</v>
      </c>
      <c r="F1657" s="21" t="s">
        <v>47</v>
      </c>
      <c r="G1657" s="0" t="n">
        <v>50</v>
      </c>
      <c r="H1657" s="0" t="n">
        <v>50</v>
      </c>
      <c r="I1657" s="0" t="n">
        <v>65</v>
      </c>
      <c r="J1657" s="23" t="n">
        <v>56666667</v>
      </c>
      <c r="K1657" s="0" t="s">
        <v>45</v>
      </c>
      <c r="L1657" s="0" t="str">
        <f aca="false">IF(H1657&gt;I1657,"ERRO","OK")</f>
        <v>OK</v>
      </c>
      <c r="M1657" s="0" t="str">
        <f aca="false">IF(H1657&gt;J1657,"ERRO","OK")</f>
        <v>OK</v>
      </c>
      <c r="N1657" s="0" t="str">
        <f aca="false">IF(I1657&lt;J1657,"ERRO","OK")</f>
        <v>ERRO</v>
      </c>
    </row>
    <row r="1658" customFormat="false" ht="14.25" hidden="false" customHeight="false" outlineLevel="0" collapsed="false">
      <c r="A1658" s="0" t="n">
        <v>79</v>
      </c>
      <c r="B1658" s="0" t="n">
        <v>24</v>
      </c>
      <c r="C1658" s="3" t="n">
        <v>45618</v>
      </c>
      <c r="E1658" s="0" t="s">
        <v>57</v>
      </c>
      <c r="F1658" s="21" t="s">
        <v>47</v>
      </c>
      <c r="G1658" s="0" t="n">
        <v>40</v>
      </c>
      <c r="H1658" s="0" t="n">
        <v>35</v>
      </c>
      <c r="I1658" s="0" t="n">
        <v>50</v>
      </c>
      <c r="J1658" s="23" t="n">
        <v>41666667</v>
      </c>
      <c r="K1658" s="0" t="n">
        <v>40</v>
      </c>
      <c r="L1658" s="0" t="str">
        <f aca="false">IF(H1658&gt;I1658,"ERRO","OK")</f>
        <v>OK</v>
      </c>
      <c r="M1658" s="0" t="str">
        <f aca="false">IF(H1658&gt;J1658,"ERRO","OK")</f>
        <v>OK</v>
      </c>
      <c r="N1658" s="0" t="str">
        <f aca="false">IF(I1658&lt;J1658,"ERRO","OK")</f>
        <v>ERRO</v>
      </c>
    </row>
    <row r="1659" customFormat="false" ht="14.25" hidden="false" customHeight="false" outlineLevel="0" collapsed="false">
      <c r="A1659" s="0" t="n">
        <v>79</v>
      </c>
      <c r="B1659" s="0" t="n">
        <v>24</v>
      </c>
      <c r="C1659" s="3" t="n">
        <v>45618</v>
      </c>
      <c r="E1659" s="0" t="s">
        <v>58</v>
      </c>
      <c r="F1659" s="21" t="s">
        <v>44</v>
      </c>
      <c r="G1659" s="0" t="n">
        <v>110</v>
      </c>
      <c r="H1659" s="0" t="n">
        <v>110</v>
      </c>
      <c r="I1659" s="0" t="n">
        <v>130</v>
      </c>
      <c r="J1659" s="0" t="n">
        <v>118</v>
      </c>
      <c r="K1659" s="0" t="n">
        <v>120</v>
      </c>
      <c r="L1659" s="0" t="str">
        <f aca="false">IF(H1659&gt;I1659,"ERRO","OK")</f>
        <v>OK</v>
      </c>
      <c r="M1659" s="0" t="str">
        <f aca="false">IF(H1659&gt;J1659,"ERRO","OK")</f>
        <v>OK</v>
      </c>
      <c r="N1659" s="0" t="str">
        <f aca="false">IF(I1659&lt;J1659,"ERRO","OK")</f>
        <v>OK</v>
      </c>
    </row>
    <row r="1660" customFormat="false" ht="14.25" hidden="false" customHeight="false" outlineLevel="0" collapsed="false">
      <c r="A1660" s="0" t="n">
        <v>79</v>
      </c>
      <c r="B1660" s="0" t="n">
        <v>24</v>
      </c>
      <c r="C1660" s="3" t="n">
        <v>45618</v>
      </c>
      <c r="E1660" s="0" t="s">
        <v>60</v>
      </c>
      <c r="F1660" s="21" t="s">
        <v>47</v>
      </c>
      <c r="H1660" s="0" t="n">
        <v>70</v>
      </c>
      <c r="I1660" s="0" t="n">
        <v>70</v>
      </c>
      <c r="J1660" s="0" t="n">
        <v>70</v>
      </c>
      <c r="K1660" s="0" t="n">
        <v>70</v>
      </c>
      <c r="L1660" s="0" t="str">
        <f aca="false">IF(H1660&gt;I1660,"ERRO","OK")</f>
        <v>OK</v>
      </c>
      <c r="M1660" s="0" t="str">
        <f aca="false">IF(H1660&gt;J1660,"ERRO","OK")</f>
        <v>OK</v>
      </c>
      <c r="N1660" s="0" t="str">
        <f aca="false">IF(I1660&lt;J1660,"ERRO","OK")</f>
        <v>OK</v>
      </c>
    </row>
    <row r="1661" customFormat="false" ht="14.25" hidden="false" customHeight="false" outlineLevel="0" collapsed="false">
      <c r="A1661" s="0" t="n">
        <v>79</v>
      </c>
      <c r="B1661" s="0" t="n">
        <v>24</v>
      </c>
      <c r="C1661" s="3" t="n">
        <v>45618</v>
      </c>
      <c r="E1661" s="0" t="s">
        <v>61</v>
      </c>
      <c r="F1661" s="21" t="s">
        <v>44</v>
      </c>
      <c r="G1661" s="0" t="n">
        <v>50</v>
      </c>
      <c r="H1661" s="0" t="n">
        <v>40</v>
      </c>
      <c r="I1661" s="0" t="n">
        <v>50</v>
      </c>
      <c r="J1661" s="0" t="s">
        <v>95</v>
      </c>
      <c r="K1661" s="0" t="n">
        <v>50</v>
      </c>
      <c r="L1661" s="0" t="str">
        <f aca="false">IF(H1661&gt;I1661,"ERRO","OK")</f>
        <v>OK</v>
      </c>
      <c r="M1661" s="0" t="str">
        <f aca="false">IF(H1661&gt;J1661,"ERRO","OK")</f>
        <v>OK</v>
      </c>
      <c r="N1661" s="0" t="str">
        <f aca="false">IF(I1661&lt;J1661,"ERRO","OK")</f>
        <v>ERRO</v>
      </c>
    </row>
    <row r="1662" customFormat="false" ht="14.25" hidden="false" customHeight="false" outlineLevel="0" collapsed="false">
      <c r="A1662" s="0" t="n">
        <v>79</v>
      </c>
      <c r="B1662" s="0" t="n">
        <v>24</v>
      </c>
      <c r="C1662" s="3" t="n">
        <v>45618</v>
      </c>
      <c r="E1662" s="0" t="s">
        <v>62</v>
      </c>
      <c r="F1662" s="21" t="s">
        <v>44</v>
      </c>
      <c r="G1662" s="0" t="n">
        <v>60</v>
      </c>
      <c r="H1662" s="0" t="n">
        <v>45</v>
      </c>
      <c r="I1662" s="0" t="n">
        <v>70</v>
      </c>
      <c r="J1662" s="23" t="n">
        <v>58333333</v>
      </c>
      <c r="K1662" s="0" t="n">
        <v>60</v>
      </c>
      <c r="L1662" s="0" t="str">
        <f aca="false">IF(H1662&gt;I1662,"ERRO","OK")</f>
        <v>OK</v>
      </c>
      <c r="M1662" s="0" t="str">
        <f aca="false">IF(H1662&gt;J1662,"ERRO","OK")</f>
        <v>OK</v>
      </c>
      <c r="N1662" s="0" t="str">
        <f aca="false">IF(I1662&lt;J1662,"ERRO","OK")</f>
        <v>ERRO</v>
      </c>
    </row>
    <row r="1663" customFormat="false" ht="14.25" hidden="false" customHeight="false" outlineLevel="0" collapsed="false">
      <c r="A1663" s="0" t="n">
        <v>79</v>
      </c>
      <c r="B1663" s="0" t="n">
        <v>24</v>
      </c>
      <c r="C1663" s="3" t="n">
        <v>45618</v>
      </c>
      <c r="E1663" s="0" t="s">
        <v>63</v>
      </c>
      <c r="F1663" s="21" t="s">
        <v>49</v>
      </c>
      <c r="G1663" s="0" t="n">
        <v>55</v>
      </c>
      <c r="H1663" s="0" t="n">
        <v>40</v>
      </c>
      <c r="I1663" s="0" t="n">
        <v>55</v>
      </c>
      <c r="J1663" s="23" t="n">
        <v>49166667</v>
      </c>
      <c r="K1663" s="0" t="n">
        <v>50</v>
      </c>
      <c r="L1663" s="0" t="str">
        <f aca="false">IF(H1663&gt;I1663,"ERRO","OK")</f>
        <v>OK</v>
      </c>
      <c r="M1663" s="0" t="str">
        <f aca="false">IF(H1663&gt;J1663,"ERRO","OK")</f>
        <v>OK</v>
      </c>
      <c r="N1663" s="0" t="str">
        <f aca="false">IF(I1663&lt;J1663,"ERRO","OK")</f>
        <v>ERRO</v>
      </c>
    </row>
    <row r="1664" customFormat="false" ht="14.25" hidden="false" customHeight="false" outlineLevel="0" collapsed="false">
      <c r="A1664" s="0" t="n">
        <v>79</v>
      </c>
      <c r="B1664" s="0" t="n">
        <v>24</v>
      </c>
      <c r="C1664" s="3" t="n">
        <v>45618</v>
      </c>
      <c r="E1664" s="0" t="s">
        <v>64</v>
      </c>
      <c r="F1664" s="21" t="s">
        <v>65</v>
      </c>
      <c r="G1664" s="0" t="n">
        <v>170</v>
      </c>
      <c r="H1664" s="0" t="n">
        <v>140</v>
      </c>
      <c r="I1664" s="0" t="n">
        <v>180</v>
      </c>
      <c r="J1664" s="23" t="n">
        <v>16333333</v>
      </c>
      <c r="K1664" s="0" t="n">
        <v>165</v>
      </c>
      <c r="L1664" s="0" t="str">
        <f aca="false">IF(H1664&gt;I1664,"ERRO","OK")</f>
        <v>OK</v>
      </c>
      <c r="M1664" s="0" t="str">
        <f aca="false">IF(H1664&gt;J1664,"ERRO","OK")</f>
        <v>OK</v>
      </c>
      <c r="N1664" s="0" t="str">
        <f aca="false">IF(I1664&lt;J1664,"ERRO","OK")</f>
        <v>ERRO</v>
      </c>
    </row>
    <row r="1665" customFormat="false" ht="14.25" hidden="false" customHeight="false" outlineLevel="0" collapsed="false">
      <c r="A1665" s="0" t="n">
        <v>79</v>
      </c>
      <c r="B1665" s="0" t="n">
        <v>24</v>
      </c>
      <c r="C1665" s="3" t="n">
        <v>45618</v>
      </c>
      <c r="E1665" s="0" t="s">
        <v>67</v>
      </c>
      <c r="F1665" s="21" t="s">
        <v>44</v>
      </c>
      <c r="G1665" s="0" t="n">
        <v>60</v>
      </c>
      <c r="H1665" s="0" t="n">
        <v>50</v>
      </c>
      <c r="I1665" s="0" t="n">
        <v>90</v>
      </c>
      <c r="J1665" s="23" t="n">
        <v>65833333</v>
      </c>
      <c r="K1665" s="0" t="s">
        <v>84</v>
      </c>
      <c r="L1665" s="0" t="str">
        <f aca="false">IF(H1665&gt;I1665,"ERRO","OK")</f>
        <v>OK</v>
      </c>
      <c r="M1665" s="0" t="str">
        <f aca="false">IF(H1665&gt;J1665,"ERRO","OK")</f>
        <v>OK</v>
      </c>
      <c r="N1665" s="0" t="str">
        <f aca="false">IF(I1665&lt;J1665,"ERRO","OK")</f>
        <v>ERRO</v>
      </c>
    </row>
    <row r="1666" customFormat="false" ht="14.25" hidden="false" customHeight="false" outlineLevel="0" collapsed="false">
      <c r="A1666" s="0" t="n">
        <v>79</v>
      </c>
      <c r="B1666" s="0" t="n">
        <v>24</v>
      </c>
      <c r="C1666" s="3" t="n">
        <v>45618</v>
      </c>
      <c r="E1666" s="0" t="s">
        <v>68</v>
      </c>
      <c r="F1666" s="21" t="s">
        <v>44</v>
      </c>
      <c r="G1666" s="0" t="n">
        <v>50</v>
      </c>
      <c r="H1666" s="0" t="n">
        <v>50</v>
      </c>
      <c r="I1666" s="0" t="n">
        <v>80</v>
      </c>
      <c r="J1666" s="0" t="n">
        <v>58</v>
      </c>
      <c r="K1666" s="0" t="n">
        <v>50</v>
      </c>
      <c r="L1666" s="0" t="str">
        <f aca="false">IF(H1666&gt;I1666,"ERRO","OK")</f>
        <v>OK</v>
      </c>
      <c r="M1666" s="0" t="str">
        <f aca="false">IF(H1666&gt;J1666,"ERRO","OK")</f>
        <v>OK</v>
      </c>
      <c r="N1666" s="0" t="str">
        <f aca="false">IF(I1666&lt;J1666,"ERRO","OK")</f>
        <v>OK</v>
      </c>
    </row>
    <row r="1667" customFormat="false" ht="14.25" hidden="false" customHeight="false" outlineLevel="0" collapsed="false">
      <c r="A1667" s="0" t="n">
        <v>79</v>
      </c>
      <c r="B1667" s="0" t="n">
        <v>24</v>
      </c>
      <c r="C1667" s="3" t="n">
        <v>45618</v>
      </c>
      <c r="E1667" s="0" t="s">
        <v>70</v>
      </c>
      <c r="F1667" s="21" t="s">
        <v>49</v>
      </c>
      <c r="H1667" s="0" t="s">
        <v>454</v>
      </c>
      <c r="I1667" s="0" t="s">
        <v>454</v>
      </c>
      <c r="L1667" s="0" t="str">
        <f aca="false">IF(H1667&gt;I1667,"ERRO","OK")</f>
        <v>OK</v>
      </c>
      <c r="M1667" s="0" t="str">
        <f aca="false">IF(H1667&gt;J1667,"ERRO","OK")</f>
        <v>ERRO</v>
      </c>
      <c r="N1667" s="0" t="str">
        <f aca="false">IF(I1667&lt;J1667,"ERRO","OK")</f>
        <v>OK</v>
      </c>
    </row>
    <row r="1668" customFormat="false" ht="14.25" hidden="false" customHeight="false" outlineLevel="0" collapsed="false">
      <c r="A1668" s="0" t="n">
        <v>79</v>
      </c>
      <c r="B1668" s="0" t="n">
        <v>24</v>
      </c>
      <c r="C1668" s="3" t="n">
        <v>45618</v>
      </c>
      <c r="E1668" s="0" t="s">
        <v>71</v>
      </c>
      <c r="F1668" s="21" t="s">
        <v>49</v>
      </c>
      <c r="H1668" s="0" t="s">
        <v>454</v>
      </c>
      <c r="I1668" s="0" t="s">
        <v>454</v>
      </c>
      <c r="L1668" s="0" t="str">
        <f aca="false">IF(H1668&gt;I1668,"ERRO","OK")</f>
        <v>OK</v>
      </c>
      <c r="M1668" s="0" t="str">
        <f aca="false">IF(H1668&gt;J1668,"ERRO","OK")</f>
        <v>ERRO</v>
      </c>
      <c r="N1668" s="0" t="str">
        <f aca="false">IF(I1668&lt;J1668,"ERRO","OK")</f>
        <v>OK</v>
      </c>
    </row>
    <row r="1669" customFormat="false" ht="14.25" hidden="false" customHeight="false" outlineLevel="0" collapsed="false">
      <c r="A1669" s="0" t="n">
        <v>79</v>
      </c>
      <c r="B1669" s="0" t="n">
        <v>24</v>
      </c>
      <c r="C1669" s="3" t="n">
        <v>45618</v>
      </c>
      <c r="E1669" s="0" t="s">
        <v>72</v>
      </c>
      <c r="F1669" s="21" t="s">
        <v>49</v>
      </c>
      <c r="H1669" s="0" t="s">
        <v>454</v>
      </c>
      <c r="I1669" s="0" t="s">
        <v>454</v>
      </c>
      <c r="L1669" s="0" t="str">
        <f aca="false">IF(H1669&gt;I1669,"ERRO","OK")</f>
        <v>OK</v>
      </c>
      <c r="M1669" s="0" t="str">
        <f aca="false">IF(H1669&gt;J1669,"ERRO","OK")</f>
        <v>ERRO</v>
      </c>
      <c r="N1669" s="0" t="str">
        <f aca="false">IF(I1669&lt;J1669,"ERRO","OK")</f>
        <v>OK</v>
      </c>
    </row>
    <row r="1670" customFormat="false" ht="14.25" hidden="false" customHeight="false" outlineLevel="0" collapsed="false">
      <c r="A1670" s="0" t="n">
        <v>79</v>
      </c>
      <c r="B1670" s="0" t="n">
        <v>24</v>
      </c>
      <c r="C1670" s="3" t="n">
        <v>45618</v>
      </c>
      <c r="E1670" s="0" t="s">
        <v>73</v>
      </c>
      <c r="F1670" s="21" t="s">
        <v>49</v>
      </c>
      <c r="H1670" s="24" t="n">
        <v>70</v>
      </c>
      <c r="I1670" s="24" t="n">
        <v>70</v>
      </c>
      <c r="J1670" s="24" t="n">
        <v>70</v>
      </c>
      <c r="K1670" s="24" t="n">
        <v>70</v>
      </c>
      <c r="L1670" s="0" t="str">
        <f aca="false">IF(H1670&gt;I1670,"ERRO","OK")</f>
        <v>OK</v>
      </c>
      <c r="M1670" s="0" t="str">
        <f aca="false">IF(H1670&gt;J1670,"ERRO","OK")</f>
        <v>OK</v>
      </c>
      <c r="N1670" s="0" t="str">
        <f aca="false">IF(I1670&lt;J1670,"ERRO","OK")</f>
        <v>OK</v>
      </c>
    </row>
    <row r="1671" customFormat="false" ht="14.25" hidden="false" customHeight="false" outlineLevel="0" collapsed="false">
      <c r="A1671" s="0" t="n">
        <v>79</v>
      </c>
      <c r="B1671" s="0" t="n">
        <v>24</v>
      </c>
      <c r="C1671" s="3" t="n">
        <v>45618</v>
      </c>
      <c r="E1671" s="0" t="s">
        <v>74</v>
      </c>
      <c r="F1671" s="21" t="s">
        <v>75</v>
      </c>
      <c r="H1671" s="0" t="s">
        <v>454</v>
      </c>
      <c r="I1671" s="0" t="s">
        <v>454</v>
      </c>
      <c r="L1671" s="0" t="str">
        <f aca="false">IF(H1671&gt;I1671,"ERRO","OK")</f>
        <v>OK</v>
      </c>
      <c r="M1671" s="0" t="str">
        <f aca="false">IF(H1671&gt;J1671,"ERRO","OK")</f>
        <v>ERRO</v>
      </c>
      <c r="N1671" s="0" t="str">
        <f aca="false">IF(I1671&lt;J1671,"ERRO","OK")</f>
        <v>OK</v>
      </c>
    </row>
    <row r="1672" customFormat="false" ht="14.25" hidden="false" customHeight="false" outlineLevel="0" collapsed="false">
      <c r="A1672" s="0" t="n">
        <v>80</v>
      </c>
      <c r="B1672" s="0" t="n">
        <v>2024</v>
      </c>
      <c r="C1672" s="3" t="n">
        <v>45625</v>
      </c>
      <c r="E1672" s="0" t="s">
        <v>16</v>
      </c>
      <c r="F1672" s="0" t="s">
        <v>17</v>
      </c>
      <c r="G1672" s="0" t="s">
        <v>372</v>
      </c>
      <c r="H1672" s="0" t="s">
        <v>372</v>
      </c>
      <c r="I1672" s="0" t="s">
        <v>372</v>
      </c>
      <c r="J1672" s="0" t="s">
        <v>372</v>
      </c>
      <c r="K1672" s="0" t="s">
        <v>372</v>
      </c>
      <c r="L1672" s="0" t="str">
        <f aca="false">IF(H1672&gt;I1672,"ERRO","OK")</f>
        <v>OK</v>
      </c>
      <c r="M1672" s="0" t="str">
        <f aca="false">IF(H1672&gt;J1672,"ERRO","OK")</f>
        <v>OK</v>
      </c>
      <c r="N1672" s="0" t="str">
        <f aca="false">IF(I1672&lt;J1672,"ERRO","OK")</f>
        <v>OK</v>
      </c>
    </row>
    <row r="1673" customFormat="false" ht="14.25" hidden="false" customHeight="false" outlineLevel="0" collapsed="false">
      <c r="A1673" s="0" t="n">
        <v>80</v>
      </c>
      <c r="B1673" s="0" t="n">
        <v>2024</v>
      </c>
      <c r="C1673" s="3" t="n">
        <v>45625</v>
      </c>
      <c r="E1673" s="0" t="s">
        <v>18</v>
      </c>
      <c r="F1673" s="0" t="s">
        <v>17</v>
      </c>
      <c r="G1673" s="0" t="s">
        <v>373</v>
      </c>
      <c r="H1673" s="0" t="s">
        <v>373</v>
      </c>
      <c r="I1673" s="0" t="s">
        <v>373</v>
      </c>
      <c r="J1673" s="0" t="s">
        <v>373</v>
      </c>
      <c r="K1673" s="0" t="s">
        <v>373</v>
      </c>
      <c r="L1673" s="0" t="str">
        <f aca="false">IF(H1673&gt;I1673,"ERRO","OK")</f>
        <v>OK</v>
      </c>
      <c r="M1673" s="0" t="str">
        <f aca="false">IF(H1673&gt;J1673,"ERRO","OK")</f>
        <v>OK</v>
      </c>
      <c r="N1673" s="0" t="str">
        <f aca="false">IF(I1673&lt;J1673,"ERRO","OK")</f>
        <v>OK</v>
      </c>
    </row>
    <row r="1674" customFormat="false" ht="14.25" hidden="false" customHeight="false" outlineLevel="0" collapsed="false">
      <c r="A1674" s="0" t="n">
        <v>80</v>
      </c>
      <c r="B1674" s="0" t="n">
        <v>2024</v>
      </c>
      <c r="C1674" s="3" t="n">
        <v>45625</v>
      </c>
      <c r="E1674" s="0" t="s">
        <v>19</v>
      </c>
      <c r="F1674" s="0" t="s">
        <v>17</v>
      </c>
      <c r="H1674" s="0" t="s">
        <v>369</v>
      </c>
      <c r="I1674" s="0" t="s">
        <v>370</v>
      </c>
      <c r="J1674" s="0" t="s">
        <v>455</v>
      </c>
      <c r="K1674" s="0" t="s">
        <v>405</v>
      </c>
      <c r="L1674" s="0" t="str">
        <f aca="false">IF(H1674&gt;I1674,"ERRO","OK")</f>
        <v>OK</v>
      </c>
      <c r="M1674" s="0" t="str">
        <f aca="false">IF(H1674&gt;J1674,"ERRO","OK")</f>
        <v>OK</v>
      </c>
      <c r="N1674" s="0" t="str">
        <f aca="false">IF(I1674&lt;J1674,"ERRO","OK")</f>
        <v>OK</v>
      </c>
    </row>
    <row r="1675" customFormat="false" ht="14.25" hidden="false" customHeight="false" outlineLevel="0" collapsed="false">
      <c r="A1675" s="0" t="n">
        <v>80</v>
      </c>
      <c r="B1675" s="0" t="n">
        <v>2024</v>
      </c>
      <c r="C1675" s="3" t="n">
        <v>45625</v>
      </c>
      <c r="E1675" s="0" t="s">
        <v>20</v>
      </c>
      <c r="F1675" s="0" t="s">
        <v>17</v>
      </c>
      <c r="H1675" s="0" t="s">
        <v>374</v>
      </c>
      <c r="I1675" s="0" t="s">
        <v>370</v>
      </c>
      <c r="J1675" s="0" t="s">
        <v>375</v>
      </c>
      <c r="K1675" s="0" t="s">
        <v>442</v>
      </c>
      <c r="L1675" s="0" t="str">
        <f aca="false">IF(H1675&gt;I1675,"ERRO","OK")</f>
        <v>OK</v>
      </c>
      <c r="M1675" s="0" t="str">
        <f aca="false">IF(H1675&gt;J1675,"ERRO","OK")</f>
        <v>OK</v>
      </c>
      <c r="N1675" s="0" t="str">
        <f aca="false">IF(I1675&lt;J1675,"ERRO","OK")</f>
        <v>OK</v>
      </c>
    </row>
    <row r="1676" customFormat="false" ht="14.25" hidden="false" customHeight="false" outlineLevel="0" collapsed="false">
      <c r="A1676" s="0" t="n">
        <v>80</v>
      </c>
      <c r="B1676" s="0" t="n">
        <v>2024</v>
      </c>
      <c r="C1676" s="3" t="n">
        <v>45625</v>
      </c>
      <c r="E1676" s="0" t="s">
        <v>21</v>
      </c>
      <c r="F1676" s="0" t="s">
        <v>17</v>
      </c>
      <c r="H1676" s="0" t="s">
        <v>442</v>
      </c>
      <c r="I1676" s="0" t="s">
        <v>370</v>
      </c>
      <c r="J1676" s="0" t="s">
        <v>369</v>
      </c>
      <c r="K1676" s="0" t="s">
        <v>369</v>
      </c>
      <c r="L1676" s="0" t="str">
        <f aca="false">IF(H1676&gt;I1676,"ERRO","OK")</f>
        <v>OK</v>
      </c>
      <c r="M1676" s="0" t="str">
        <f aca="false">IF(H1676&gt;J1676,"ERRO","OK")</f>
        <v>OK</v>
      </c>
      <c r="N1676" s="0" t="str">
        <f aca="false">IF(I1676&lt;J1676,"ERRO","OK")</f>
        <v>OK</v>
      </c>
    </row>
    <row r="1677" customFormat="false" ht="14.25" hidden="false" customHeight="false" outlineLevel="0" collapsed="false">
      <c r="A1677" s="0" t="n">
        <v>80</v>
      </c>
      <c r="B1677" s="0" t="n">
        <v>2024</v>
      </c>
      <c r="C1677" s="3" t="n">
        <v>45625</v>
      </c>
      <c r="E1677" s="0" t="s">
        <v>22</v>
      </c>
      <c r="F1677" s="0" t="s">
        <v>17</v>
      </c>
      <c r="H1677" s="0" t="s">
        <v>428</v>
      </c>
      <c r="I1677" s="0" t="s">
        <v>372</v>
      </c>
      <c r="J1677" s="0" t="s">
        <v>430</v>
      </c>
      <c r="K1677" s="0" t="s">
        <v>430</v>
      </c>
      <c r="L1677" s="0" t="str">
        <f aca="false">IF(H1677&gt;I1677,"ERRO","OK")</f>
        <v>OK</v>
      </c>
      <c r="M1677" s="0" t="str">
        <f aca="false">IF(H1677&gt;J1677,"ERRO","OK")</f>
        <v>OK</v>
      </c>
      <c r="N1677" s="0" t="str">
        <f aca="false">IF(I1677&lt;J1677,"ERRO","OK")</f>
        <v>OK</v>
      </c>
    </row>
    <row r="1678" customFormat="false" ht="14.25" hidden="false" customHeight="false" outlineLevel="0" collapsed="false">
      <c r="A1678" s="0" t="n">
        <v>80</v>
      </c>
      <c r="B1678" s="0" t="n">
        <v>2024</v>
      </c>
      <c r="C1678" s="3" t="n">
        <v>45625</v>
      </c>
      <c r="E1678" s="0" t="s">
        <v>23</v>
      </c>
      <c r="F1678" s="0" t="s">
        <v>17</v>
      </c>
      <c r="G1678" s="0" t="s">
        <v>371</v>
      </c>
      <c r="H1678" s="0" t="s">
        <v>429</v>
      </c>
      <c r="I1678" s="0" t="s">
        <v>428</v>
      </c>
      <c r="J1678" s="0" t="s">
        <v>428</v>
      </c>
      <c r="L1678" s="0" t="str">
        <f aca="false">IF(H1678&gt;I1678,"ERRO","OK")</f>
        <v>ERRO</v>
      </c>
      <c r="M1678" s="0" t="str">
        <f aca="false">IF(H1678&gt;J1678,"ERRO","OK")</f>
        <v>ERRO</v>
      </c>
      <c r="N1678" s="0" t="str">
        <f aca="false">IF(I1678&lt;J1678,"ERRO","OK")</f>
        <v>OK</v>
      </c>
    </row>
    <row r="1679" customFormat="false" ht="14.25" hidden="false" customHeight="false" outlineLevel="0" collapsed="false">
      <c r="A1679" s="0" t="n">
        <v>80</v>
      </c>
      <c r="B1679" s="0" t="n">
        <v>2024</v>
      </c>
      <c r="C1679" s="3" t="n">
        <v>45625</v>
      </c>
      <c r="E1679" s="0" t="s">
        <v>24</v>
      </c>
      <c r="F1679" s="0" t="s">
        <v>17</v>
      </c>
      <c r="G1679" s="0" t="s">
        <v>372</v>
      </c>
      <c r="H1679" s="0" t="s">
        <v>372</v>
      </c>
      <c r="I1679" s="0" t="s">
        <v>429</v>
      </c>
      <c r="J1679" s="0" t="s">
        <v>456</v>
      </c>
      <c r="K1679" s="0" t="s">
        <v>372</v>
      </c>
      <c r="L1679" s="0" t="str">
        <f aca="false">IF(H1679&gt;I1679,"ERRO","OK")</f>
        <v>OK</v>
      </c>
      <c r="M1679" s="0" t="str">
        <f aca="false">IF(H1679&gt;J1679,"ERRO","OK")</f>
        <v>OK</v>
      </c>
      <c r="N1679" s="0" t="str">
        <f aca="false">IF(I1679&lt;J1679,"ERRO","OK")</f>
        <v>OK</v>
      </c>
    </row>
    <row r="1680" customFormat="false" ht="14.25" hidden="false" customHeight="false" outlineLevel="0" collapsed="false">
      <c r="A1680" s="0" t="n">
        <v>80</v>
      </c>
      <c r="B1680" s="0" t="n">
        <v>2024</v>
      </c>
      <c r="C1680" s="3" t="n">
        <v>45625</v>
      </c>
      <c r="E1680" s="0" t="s">
        <v>25</v>
      </c>
      <c r="F1680" s="0" t="s">
        <v>17</v>
      </c>
      <c r="G1680" s="0" t="s">
        <v>378</v>
      </c>
      <c r="H1680" s="0" t="s">
        <v>379</v>
      </c>
      <c r="I1680" s="0" t="s">
        <v>378</v>
      </c>
      <c r="J1680" s="0" t="s">
        <v>385</v>
      </c>
      <c r="K1680" s="0" t="s">
        <v>378</v>
      </c>
      <c r="L1680" s="0" t="str">
        <f aca="false">IF(H1680&gt;I1680,"ERRO","OK")</f>
        <v>OK</v>
      </c>
      <c r="M1680" s="0" t="str">
        <f aca="false">IF(H1680&gt;J1680,"ERRO","OK")</f>
        <v>OK</v>
      </c>
      <c r="N1680" s="0" t="str">
        <f aca="false">IF(I1680&lt;J1680,"ERRO","OK")</f>
        <v>OK</v>
      </c>
    </row>
    <row r="1681" customFormat="false" ht="14.25" hidden="false" customHeight="false" outlineLevel="0" collapsed="false">
      <c r="A1681" s="0" t="n">
        <v>80</v>
      </c>
      <c r="B1681" s="0" t="n">
        <v>2024</v>
      </c>
      <c r="C1681" s="3" t="n">
        <v>45625</v>
      </c>
      <c r="E1681" s="0" t="s">
        <v>77</v>
      </c>
      <c r="F1681" s="0" t="s">
        <v>17</v>
      </c>
      <c r="H1681" s="0" t="s">
        <v>382</v>
      </c>
      <c r="I1681" s="0" t="s">
        <v>429</v>
      </c>
      <c r="J1681" s="0" t="s">
        <v>456</v>
      </c>
      <c r="K1681" s="0" t="s">
        <v>456</v>
      </c>
      <c r="L1681" s="0" t="str">
        <f aca="false">IF(H1681&gt;I1681,"ERRO","OK")</f>
        <v>OK</v>
      </c>
      <c r="M1681" s="0" t="str">
        <f aca="false">IF(H1681&gt;J1681,"ERRO","OK")</f>
        <v>OK</v>
      </c>
      <c r="N1681" s="0" t="str">
        <f aca="false">IF(I1681&lt;J1681,"ERRO","OK")</f>
        <v>OK</v>
      </c>
    </row>
    <row r="1682" customFormat="false" ht="14.25" hidden="false" customHeight="false" outlineLevel="0" collapsed="false">
      <c r="A1682" s="0" t="n">
        <v>80</v>
      </c>
      <c r="B1682" s="0" t="n">
        <v>2024</v>
      </c>
      <c r="C1682" s="3" t="n">
        <v>45625</v>
      </c>
      <c r="E1682" s="0" t="s">
        <v>27</v>
      </c>
      <c r="F1682" s="0" t="s">
        <v>17</v>
      </c>
      <c r="H1682" s="0" t="s">
        <v>378</v>
      </c>
      <c r="I1682" s="0" t="s">
        <v>370</v>
      </c>
      <c r="J1682" s="0" t="s">
        <v>409</v>
      </c>
      <c r="K1682" s="0" t="s">
        <v>442</v>
      </c>
      <c r="L1682" s="0" t="str">
        <f aca="false">IF(H1682&gt;I1682,"ERRO","OK")</f>
        <v>OK</v>
      </c>
      <c r="M1682" s="0" t="str">
        <f aca="false">IF(H1682&gt;J1682,"ERRO","OK")</f>
        <v>OK</v>
      </c>
      <c r="N1682" s="0" t="str">
        <f aca="false">IF(I1682&lt;J1682,"ERRO","OK")</f>
        <v>OK</v>
      </c>
    </row>
    <row r="1683" customFormat="false" ht="14.25" hidden="false" customHeight="false" outlineLevel="0" collapsed="false">
      <c r="A1683" s="0" t="n">
        <v>80</v>
      </c>
      <c r="B1683" s="0" t="n">
        <v>2024</v>
      </c>
      <c r="C1683" s="3" t="n">
        <v>45625</v>
      </c>
      <c r="E1683" s="0" t="s">
        <v>28</v>
      </c>
      <c r="F1683" s="0" t="s">
        <v>17</v>
      </c>
      <c r="H1683" s="0" t="s">
        <v>372</v>
      </c>
      <c r="I1683" s="0" t="s">
        <v>373</v>
      </c>
      <c r="J1683" s="0" t="s">
        <v>429</v>
      </c>
      <c r="K1683" s="0" t="s">
        <v>429</v>
      </c>
      <c r="L1683" s="0" t="str">
        <f aca="false">IF(H1683&gt;I1683,"ERRO","OK")</f>
        <v>OK</v>
      </c>
      <c r="M1683" s="0" t="str">
        <f aca="false">IF(H1683&gt;J1683,"ERRO","OK")</f>
        <v>OK</v>
      </c>
      <c r="N1683" s="0" t="str">
        <f aca="false">IF(I1683&lt;J1683,"ERRO","OK")</f>
        <v>OK</v>
      </c>
    </row>
    <row r="1684" customFormat="false" ht="14.25" hidden="false" customHeight="false" outlineLevel="0" collapsed="false">
      <c r="A1684" s="0" t="n">
        <v>80</v>
      </c>
      <c r="B1684" s="0" t="n">
        <v>2024</v>
      </c>
      <c r="C1684" s="3" t="n">
        <v>45625</v>
      </c>
      <c r="E1684" s="0" t="s">
        <v>29</v>
      </c>
      <c r="F1684" s="0" t="s">
        <v>30</v>
      </c>
      <c r="H1684" s="0" t="s">
        <v>370</v>
      </c>
      <c r="I1684" s="0" t="s">
        <v>429</v>
      </c>
      <c r="J1684" s="0" t="s">
        <v>382</v>
      </c>
      <c r="K1684" s="0" t="s">
        <v>372</v>
      </c>
      <c r="L1684" s="0" t="str">
        <f aca="false">IF(H1684&gt;I1684,"ERRO","OK")</f>
        <v>OK</v>
      </c>
      <c r="M1684" s="0" t="str">
        <f aca="false">IF(H1684&gt;J1684,"ERRO","OK")</f>
        <v>OK</v>
      </c>
      <c r="N1684" s="0" t="str">
        <f aca="false">IF(I1684&lt;J1684,"ERRO","OK")</f>
        <v>OK</v>
      </c>
    </row>
    <row r="1685" customFormat="false" ht="14.25" hidden="false" customHeight="false" outlineLevel="0" collapsed="false">
      <c r="A1685" s="0" t="n">
        <v>80</v>
      </c>
      <c r="B1685" s="0" t="n">
        <v>2024</v>
      </c>
      <c r="C1685" s="3" t="n">
        <v>45625</v>
      </c>
      <c r="E1685" s="0" t="s">
        <v>31</v>
      </c>
      <c r="F1685" s="0" t="s">
        <v>17</v>
      </c>
      <c r="H1685" s="0" t="s">
        <v>409</v>
      </c>
      <c r="I1685" s="0" t="s">
        <v>370</v>
      </c>
      <c r="J1685" s="0" t="s">
        <v>405</v>
      </c>
      <c r="K1685" s="0" t="s">
        <v>405</v>
      </c>
      <c r="L1685" s="0" t="str">
        <f aca="false">IF(H1685&gt;I1685,"ERRO","OK")</f>
        <v>OK</v>
      </c>
      <c r="M1685" s="0" t="str">
        <f aca="false">IF(H1685&gt;J1685,"ERRO","OK")</f>
        <v>OK</v>
      </c>
      <c r="N1685" s="0" t="str">
        <f aca="false">IF(I1685&lt;J1685,"ERRO","OK")</f>
        <v>OK</v>
      </c>
    </row>
    <row r="1686" customFormat="false" ht="14.25" hidden="false" customHeight="false" outlineLevel="0" collapsed="false">
      <c r="A1686" s="0" t="n">
        <v>80</v>
      </c>
      <c r="B1686" s="0" t="n">
        <v>2024</v>
      </c>
      <c r="C1686" s="3" t="n">
        <v>45625</v>
      </c>
      <c r="E1686" s="0" t="s">
        <v>32</v>
      </c>
      <c r="F1686" s="0" t="s">
        <v>17</v>
      </c>
      <c r="H1686" s="0" t="s">
        <v>378</v>
      </c>
      <c r="I1686" s="0" t="s">
        <v>442</v>
      </c>
      <c r="J1686" s="0" t="s">
        <v>374</v>
      </c>
      <c r="K1686" s="0" t="s">
        <v>374</v>
      </c>
      <c r="L1686" s="0" t="str">
        <f aca="false">IF(H1686&gt;I1686,"ERRO","OK")</f>
        <v>OK</v>
      </c>
      <c r="M1686" s="0" t="str">
        <f aca="false">IF(H1686&gt;J1686,"ERRO","OK")</f>
        <v>OK</v>
      </c>
      <c r="N1686" s="0" t="str">
        <f aca="false">IF(I1686&lt;J1686,"ERRO","OK")</f>
        <v>OK</v>
      </c>
    </row>
    <row r="1687" customFormat="false" ht="14.25" hidden="false" customHeight="false" outlineLevel="0" collapsed="false">
      <c r="A1687" s="0" t="n">
        <v>80</v>
      </c>
      <c r="B1687" s="0" t="n">
        <v>2024</v>
      </c>
      <c r="C1687" s="3" t="n">
        <v>45625</v>
      </c>
      <c r="E1687" s="0" t="s">
        <v>33</v>
      </c>
      <c r="F1687" s="0" t="s">
        <v>17</v>
      </c>
      <c r="H1687" s="0" t="s">
        <v>375</v>
      </c>
      <c r="I1687" s="0" t="s">
        <v>370</v>
      </c>
      <c r="J1687" s="0" t="s">
        <v>440</v>
      </c>
      <c r="K1687" s="0" t="s">
        <v>371</v>
      </c>
      <c r="L1687" s="0" t="str">
        <f aca="false">IF(H1687&gt;I1687,"ERRO","OK")</f>
        <v>OK</v>
      </c>
      <c r="M1687" s="0" t="str">
        <f aca="false">IF(H1687&gt;J1687,"ERRO","OK")</f>
        <v>OK</v>
      </c>
      <c r="N1687" s="0" t="str">
        <f aca="false">IF(I1687&lt;J1687,"ERRO","OK")</f>
        <v>OK</v>
      </c>
    </row>
    <row r="1688" customFormat="false" ht="14.25" hidden="false" customHeight="false" outlineLevel="0" collapsed="false">
      <c r="A1688" s="0" t="n">
        <v>80</v>
      </c>
      <c r="B1688" s="0" t="n">
        <v>2024</v>
      </c>
      <c r="C1688" s="3" t="n">
        <v>45625</v>
      </c>
      <c r="E1688" s="0" t="s">
        <v>35</v>
      </c>
      <c r="F1688" s="0" t="s">
        <v>36</v>
      </c>
      <c r="G1688" s="0" t="s">
        <v>390</v>
      </c>
      <c r="H1688" s="0" t="s">
        <v>390</v>
      </c>
      <c r="I1688" s="0" t="s">
        <v>390</v>
      </c>
      <c r="J1688" s="0" t="s">
        <v>390</v>
      </c>
      <c r="K1688" s="0" t="s">
        <v>390</v>
      </c>
      <c r="L1688" s="0" t="str">
        <f aca="false">IF(H1688&gt;I1688,"ERRO","OK")</f>
        <v>OK</v>
      </c>
      <c r="M1688" s="0" t="str">
        <f aca="false">IF(H1688&gt;J1688,"ERRO","OK")</f>
        <v>OK</v>
      </c>
      <c r="N1688" s="0" t="str">
        <f aca="false">IF(I1688&lt;J1688,"ERRO","OK")</f>
        <v>OK</v>
      </c>
    </row>
    <row r="1689" customFormat="false" ht="14.25" hidden="false" customHeight="false" outlineLevel="0" collapsed="false">
      <c r="A1689" s="0" t="n">
        <v>80</v>
      </c>
      <c r="B1689" s="0" t="n">
        <v>2024</v>
      </c>
      <c r="C1689" s="3" t="n">
        <v>45625</v>
      </c>
      <c r="E1689" s="0" t="s">
        <v>38</v>
      </c>
      <c r="F1689" s="0" t="s">
        <v>39</v>
      </c>
      <c r="G1689" s="0" t="s">
        <v>394</v>
      </c>
      <c r="H1689" s="0" t="s">
        <v>394</v>
      </c>
      <c r="I1689" s="0" t="s">
        <v>394</v>
      </c>
      <c r="J1689" s="0" t="s">
        <v>394</v>
      </c>
      <c r="K1689" s="0" t="s">
        <v>394</v>
      </c>
      <c r="L1689" s="0" t="str">
        <f aca="false">IF(H1689&gt;I1689,"ERRO","OK")</f>
        <v>OK</v>
      </c>
      <c r="M1689" s="0" t="str">
        <f aca="false">IF(H1689&gt;J1689,"ERRO","OK")</f>
        <v>OK</v>
      </c>
      <c r="N1689" s="0" t="str">
        <f aca="false">IF(I1689&lt;J1689,"ERRO","OK")</f>
        <v>OK</v>
      </c>
    </row>
    <row r="1690" customFormat="false" ht="14.25" hidden="false" customHeight="false" outlineLevel="0" collapsed="false">
      <c r="A1690" s="0" t="n">
        <v>80</v>
      </c>
      <c r="B1690" s="0" t="n">
        <v>2024</v>
      </c>
      <c r="C1690" s="3" t="n">
        <v>45625</v>
      </c>
      <c r="E1690" s="0" t="s">
        <v>40</v>
      </c>
      <c r="F1690" s="0" t="s">
        <v>39</v>
      </c>
      <c r="H1690" s="0" t="s">
        <v>431</v>
      </c>
      <c r="I1690" s="0" t="s">
        <v>400</v>
      </c>
      <c r="J1690" s="0" t="s">
        <v>374</v>
      </c>
      <c r="K1690" s="0" t="s">
        <v>374</v>
      </c>
      <c r="L1690" s="0" t="str">
        <f aca="false">IF(H1690&gt;I1690,"ERRO","OK")</f>
        <v>OK</v>
      </c>
      <c r="M1690" s="0" t="str">
        <f aca="false">IF(H1690&gt;J1690,"ERRO","OK")</f>
        <v>OK</v>
      </c>
      <c r="N1690" s="0" t="str">
        <f aca="false">IF(I1690&lt;J1690,"ERRO","OK")</f>
        <v>OK</v>
      </c>
    </row>
    <row r="1691" customFormat="false" ht="14.25" hidden="false" customHeight="false" outlineLevel="0" collapsed="false">
      <c r="A1691" s="0" t="n">
        <v>80</v>
      </c>
      <c r="B1691" s="0" t="n">
        <v>2024</v>
      </c>
      <c r="C1691" s="3" t="n">
        <v>45625</v>
      </c>
      <c r="E1691" s="0" t="s">
        <v>157</v>
      </c>
      <c r="F1691" s="0" t="s">
        <v>158</v>
      </c>
      <c r="G1691" s="0" t="s">
        <v>398</v>
      </c>
      <c r="H1691" s="0" t="s">
        <v>397</v>
      </c>
      <c r="I1691" s="0" t="s">
        <v>398</v>
      </c>
      <c r="J1691" s="0" t="s">
        <v>457</v>
      </c>
      <c r="K1691" s="0" t="s">
        <v>398</v>
      </c>
      <c r="L1691" s="0" t="str">
        <f aca="false">IF(H1691&gt;I1691,"ERRO","OK")</f>
        <v>OK</v>
      </c>
      <c r="M1691" s="0" t="str">
        <f aca="false">IF(H1691&gt;J1691,"ERRO","OK")</f>
        <v>OK</v>
      </c>
      <c r="N1691" s="0" t="str">
        <f aca="false">IF(I1691&lt;J1691,"ERRO","OK")</f>
        <v>OK</v>
      </c>
    </row>
    <row r="1692" customFormat="false" ht="14.25" hidden="false" customHeight="false" outlineLevel="0" collapsed="false">
      <c r="A1692" s="0" t="n">
        <v>80</v>
      </c>
      <c r="B1692" s="0" t="n">
        <v>2024</v>
      </c>
      <c r="C1692" s="3" t="n">
        <v>45625</v>
      </c>
      <c r="E1692" s="0" t="s">
        <v>43</v>
      </c>
      <c r="F1692" s="0" t="s">
        <v>44</v>
      </c>
      <c r="G1692" s="0" t="s">
        <v>405</v>
      </c>
      <c r="H1692" s="0" t="s">
        <v>400</v>
      </c>
      <c r="I1692" s="0" t="s">
        <v>405</v>
      </c>
      <c r="J1692" s="0" t="s">
        <v>402</v>
      </c>
      <c r="K1692" s="0" t="s">
        <v>405</v>
      </c>
      <c r="L1692" s="0" t="str">
        <f aca="false">IF(H1692&gt;I1692,"ERRO","OK")</f>
        <v>OK</v>
      </c>
      <c r="M1692" s="0" t="str">
        <f aca="false">IF(H1692&gt;J1692,"ERRO","OK")</f>
        <v>OK</v>
      </c>
      <c r="N1692" s="0" t="str">
        <f aca="false">IF(I1692&lt;J1692,"ERRO","OK")</f>
        <v>OK</v>
      </c>
    </row>
    <row r="1693" customFormat="false" ht="14.25" hidden="false" customHeight="false" outlineLevel="0" collapsed="false">
      <c r="A1693" s="0" t="n">
        <v>80</v>
      </c>
      <c r="B1693" s="0" t="n">
        <v>2024</v>
      </c>
      <c r="C1693" s="3" t="n">
        <v>45625</v>
      </c>
      <c r="E1693" s="0" t="s">
        <v>46</v>
      </c>
      <c r="F1693" s="0" t="s">
        <v>47</v>
      </c>
      <c r="G1693" s="0" t="s">
        <v>402</v>
      </c>
      <c r="H1693" s="0" t="s">
        <v>402</v>
      </c>
      <c r="I1693" s="0" t="s">
        <v>382</v>
      </c>
      <c r="J1693" s="0" t="s">
        <v>458</v>
      </c>
      <c r="K1693" s="0" t="s">
        <v>406</v>
      </c>
      <c r="L1693" s="0" t="str">
        <f aca="false">IF(H1693&gt;I1693,"ERRO","OK")</f>
        <v>OK</v>
      </c>
      <c r="M1693" s="0" t="str">
        <f aca="false">IF(H1693&gt;J1693,"ERRO","OK")</f>
        <v>OK</v>
      </c>
      <c r="N1693" s="0" t="str">
        <f aca="false">IF(I1693&lt;J1693,"ERRO","OK")</f>
        <v>OK</v>
      </c>
    </row>
    <row r="1694" customFormat="false" ht="14.25" hidden="false" customHeight="false" outlineLevel="0" collapsed="false">
      <c r="A1694" s="0" t="n">
        <v>80</v>
      </c>
      <c r="B1694" s="0" t="n">
        <v>2024</v>
      </c>
      <c r="C1694" s="3" t="n">
        <v>45625</v>
      </c>
      <c r="E1694" s="0" t="s">
        <v>48</v>
      </c>
      <c r="F1694" s="0" t="s">
        <v>49</v>
      </c>
      <c r="G1694" s="0" t="s">
        <v>405</v>
      </c>
      <c r="H1694" s="0" t="s">
        <v>405</v>
      </c>
      <c r="I1694" s="0" t="s">
        <v>408</v>
      </c>
      <c r="J1694" s="0" t="s">
        <v>440</v>
      </c>
      <c r="K1694" s="0" t="s">
        <v>405</v>
      </c>
      <c r="L1694" s="0" t="str">
        <f aca="false">IF(H1694&gt;I1694,"ERRO","OK")</f>
        <v>OK</v>
      </c>
      <c r="M1694" s="0" t="str">
        <f aca="false">IF(H1694&gt;J1694,"ERRO","OK")</f>
        <v>OK</v>
      </c>
      <c r="N1694" s="0" t="str">
        <f aca="false">IF(I1694&lt;J1694,"ERRO","OK")</f>
        <v>OK</v>
      </c>
    </row>
    <row r="1695" customFormat="false" ht="14.25" hidden="false" customHeight="false" outlineLevel="0" collapsed="false">
      <c r="A1695" s="0" t="n">
        <v>80</v>
      </c>
      <c r="B1695" s="0" t="n">
        <v>2024</v>
      </c>
      <c r="C1695" s="3" t="n">
        <v>45625</v>
      </c>
      <c r="E1695" s="0" t="s">
        <v>52</v>
      </c>
      <c r="F1695" s="0" t="s">
        <v>49</v>
      </c>
      <c r="H1695" s="0" t="s">
        <v>417</v>
      </c>
      <c r="I1695" s="0" t="s">
        <v>413</v>
      </c>
      <c r="J1695" s="0" t="s">
        <v>459</v>
      </c>
      <c r="K1695" s="0" t="s">
        <v>459</v>
      </c>
      <c r="L1695" s="0" t="str">
        <f aca="false">IF(H1695&gt;I1695,"ERRO","OK")</f>
        <v>ERRO</v>
      </c>
      <c r="M1695" s="0" t="str">
        <f aca="false">IF(H1695&gt;J1695,"ERRO","OK")</f>
        <v>ERRO</v>
      </c>
      <c r="N1695" s="0" t="str">
        <f aca="false">IF(I1695&lt;J1695,"ERRO","OK")</f>
        <v>OK</v>
      </c>
    </row>
    <row r="1696" customFormat="false" ht="14.25" hidden="false" customHeight="false" outlineLevel="0" collapsed="false">
      <c r="A1696" s="0" t="n">
        <v>80</v>
      </c>
      <c r="B1696" s="0" t="n">
        <v>2024</v>
      </c>
      <c r="C1696" s="3" t="n">
        <v>45625</v>
      </c>
      <c r="E1696" s="0" t="s">
        <v>53</v>
      </c>
      <c r="F1696" s="0" t="s">
        <v>54</v>
      </c>
      <c r="G1696" s="0" t="s">
        <v>370</v>
      </c>
      <c r="H1696" s="0" t="s">
        <v>405</v>
      </c>
      <c r="I1696" s="0" t="s">
        <v>382</v>
      </c>
      <c r="J1696" s="0" t="s">
        <v>460</v>
      </c>
      <c r="K1696" s="0" t="s">
        <v>370</v>
      </c>
      <c r="L1696" s="0" t="str">
        <f aca="false">IF(H1696&gt;I1696,"ERRO","OK")</f>
        <v>OK</v>
      </c>
      <c r="M1696" s="0" t="str">
        <f aca="false">IF(H1696&gt;J1696,"ERRO","OK")</f>
        <v>OK</v>
      </c>
      <c r="N1696" s="0" t="str">
        <f aca="false">IF(I1696&lt;J1696,"ERRO","OK")</f>
        <v>OK</v>
      </c>
    </row>
    <row r="1697" customFormat="false" ht="14.25" hidden="false" customHeight="false" outlineLevel="0" collapsed="false">
      <c r="A1697" s="0" t="n">
        <v>80</v>
      </c>
      <c r="B1697" s="0" t="n">
        <v>2024</v>
      </c>
      <c r="C1697" s="3" t="n">
        <v>45625</v>
      </c>
      <c r="E1697" s="0" t="s">
        <v>56</v>
      </c>
      <c r="F1697" s="0" t="s">
        <v>47</v>
      </c>
      <c r="G1697" s="0" t="s">
        <v>382</v>
      </c>
      <c r="H1697" s="0" t="s">
        <v>405</v>
      </c>
      <c r="I1697" s="0" t="s">
        <v>382</v>
      </c>
      <c r="J1697" s="0" t="s">
        <v>433</v>
      </c>
      <c r="K1697" s="0" t="s">
        <v>370</v>
      </c>
      <c r="L1697" s="0" t="str">
        <f aca="false">IF(H1697&gt;I1697,"ERRO","OK")</f>
        <v>OK</v>
      </c>
      <c r="M1697" s="0" t="str">
        <f aca="false">IF(H1697&gt;J1697,"ERRO","OK")</f>
        <v>OK</v>
      </c>
      <c r="N1697" s="0" t="str">
        <f aca="false">IF(I1697&lt;J1697,"ERRO","OK")</f>
        <v>OK</v>
      </c>
    </row>
    <row r="1698" customFormat="false" ht="14.25" hidden="false" customHeight="false" outlineLevel="0" collapsed="false">
      <c r="A1698" s="0" t="n">
        <v>80</v>
      </c>
      <c r="B1698" s="0" t="n">
        <v>2024</v>
      </c>
      <c r="C1698" s="3" t="n">
        <v>45625</v>
      </c>
      <c r="E1698" s="0" t="s">
        <v>57</v>
      </c>
      <c r="F1698" s="0" t="s">
        <v>47</v>
      </c>
      <c r="G1698" s="0" t="s">
        <v>405</v>
      </c>
      <c r="H1698" s="0" t="s">
        <v>400</v>
      </c>
      <c r="I1698" s="0" t="s">
        <v>405</v>
      </c>
      <c r="J1698" s="0" t="s">
        <v>449</v>
      </c>
      <c r="K1698" s="0" t="s">
        <v>402</v>
      </c>
      <c r="L1698" s="0" t="str">
        <f aca="false">IF(H1698&gt;I1698,"ERRO","OK")</f>
        <v>OK</v>
      </c>
      <c r="M1698" s="0" t="str">
        <f aca="false">IF(H1698&gt;J1698,"ERRO","OK")</f>
        <v>OK</v>
      </c>
      <c r="N1698" s="0" t="str">
        <f aca="false">IF(I1698&lt;J1698,"ERRO","OK")</f>
        <v>OK</v>
      </c>
    </row>
    <row r="1699" customFormat="false" ht="14.25" hidden="false" customHeight="false" outlineLevel="0" collapsed="false">
      <c r="A1699" s="0" t="n">
        <v>80</v>
      </c>
      <c r="B1699" s="0" t="n">
        <v>2024</v>
      </c>
      <c r="C1699" s="3" t="n">
        <v>45625</v>
      </c>
      <c r="E1699" s="0" t="s">
        <v>58</v>
      </c>
      <c r="F1699" s="0" t="s">
        <v>44</v>
      </c>
      <c r="G1699" s="0" t="s">
        <v>427</v>
      </c>
      <c r="H1699" s="0" t="s">
        <v>398</v>
      </c>
      <c r="I1699" s="0" t="s">
        <v>427</v>
      </c>
      <c r="J1699" s="0" t="s">
        <v>461</v>
      </c>
      <c r="K1699" s="0" t="s">
        <v>427</v>
      </c>
      <c r="L1699" s="0" t="str">
        <f aca="false">IF(H1699&gt;I1699,"ERRO","OK")</f>
        <v>ERRO</v>
      </c>
      <c r="M1699" s="0" t="str">
        <f aca="false">IF(H1699&gt;J1699,"ERRO","OK")</f>
        <v>OK</v>
      </c>
      <c r="N1699" s="0" t="str">
        <f aca="false">IF(I1699&lt;J1699,"ERRO","OK")</f>
        <v>ERRO</v>
      </c>
    </row>
    <row r="1700" customFormat="false" ht="14.25" hidden="false" customHeight="false" outlineLevel="0" collapsed="false">
      <c r="A1700" s="0" t="n">
        <v>80</v>
      </c>
      <c r="B1700" s="0" t="n">
        <v>2024</v>
      </c>
      <c r="C1700" s="3" t="n">
        <v>45625</v>
      </c>
      <c r="E1700" s="0" t="s">
        <v>60</v>
      </c>
      <c r="F1700" s="0" t="s">
        <v>47</v>
      </c>
      <c r="H1700" s="0" t="s">
        <v>405</v>
      </c>
      <c r="I1700" s="0" t="s">
        <v>382</v>
      </c>
      <c r="J1700" s="0" t="s">
        <v>370</v>
      </c>
      <c r="K1700" s="0" t="s">
        <v>370</v>
      </c>
      <c r="L1700" s="0" t="str">
        <f aca="false">IF(H1700&gt;I1700,"ERRO","OK")</f>
        <v>OK</v>
      </c>
      <c r="M1700" s="0" t="str">
        <f aca="false">IF(H1700&gt;J1700,"ERRO","OK")</f>
        <v>OK</v>
      </c>
      <c r="N1700" s="0" t="str">
        <f aca="false">IF(I1700&lt;J1700,"ERRO","OK")</f>
        <v>OK</v>
      </c>
    </row>
    <row r="1701" customFormat="false" ht="14.25" hidden="false" customHeight="false" outlineLevel="0" collapsed="false">
      <c r="A1701" s="0" t="n">
        <v>80</v>
      </c>
      <c r="B1701" s="0" t="n">
        <v>2024</v>
      </c>
      <c r="C1701" s="3" t="n">
        <v>45625</v>
      </c>
      <c r="E1701" s="0" t="s">
        <v>61</v>
      </c>
      <c r="F1701" s="0" t="s">
        <v>44</v>
      </c>
      <c r="G1701" s="0" t="s">
        <v>405</v>
      </c>
      <c r="H1701" s="0" t="s">
        <v>400</v>
      </c>
      <c r="I1701" s="0" t="s">
        <v>405</v>
      </c>
      <c r="J1701" s="0" t="s">
        <v>462</v>
      </c>
      <c r="K1701" s="0" t="s">
        <v>402</v>
      </c>
      <c r="L1701" s="0" t="str">
        <f aca="false">IF(H1701&gt;I1701,"ERRO","OK")</f>
        <v>OK</v>
      </c>
      <c r="M1701" s="0" t="str">
        <f aca="false">IF(H1701&gt;J1701,"ERRO","OK")</f>
        <v>OK</v>
      </c>
      <c r="N1701" s="0" t="str">
        <f aca="false">IF(I1701&lt;J1701,"ERRO","OK")</f>
        <v>OK</v>
      </c>
    </row>
    <row r="1702" customFormat="false" ht="14.25" hidden="false" customHeight="false" outlineLevel="0" collapsed="false">
      <c r="A1702" s="0" t="n">
        <v>80</v>
      </c>
      <c r="B1702" s="0" t="n">
        <v>2024</v>
      </c>
      <c r="C1702" s="3" t="n">
        <v>45625</v>
      </c>
      <c r="E1702" s="0" t="s">
        <v>62</v>
      </c>
      <c r="F1702" s="0" t="s">
        <v>44</v>
      </c>
      <c r="G1702" s="0" t="s">
        <v>405</v>
      </c>
      <c r="H1702" s="0" t="s">
        <v>409</v>
      </c>
      <c r="I1702" s="0" t="s">
        <v>382</v>
      </c>
      <c r="J1702" s="0" t="s">
        <v>371</v>
      </c>
      <c r="K1702" s="0" t="s">
        <v>405</v>
      </c>
      <c r="L1702" s="0" t="str">
        <f aca="false">IF(H1702&gt;I1702,"ERRO","OK")</f>
        <v>OK</v>
      </c>
      <c r="M1702" s="0" t="str">
        <f aca="false">IF(H1702&gt;J1702,"ERRO","OK")</f>
        <v>OK</v>
      </c>
      <c r="N1702" s="0" t="str">
        <f aca="false">IF(I1702&lt;J1702,"ERRO","OK")</f>
        <v>OK</v>
      </c>
    </row>
    <row r="1703" customFormat="false" ht="14.25" hidden="false" customHeight="false" outlineLevel="0" collapsed="false">
      <c r="A1703" s="0" t="n">
        <v>80</v>
      </c>
      <c r="B1703" s="0" t="n">
        <v>2024</v>
      </c>
      <c r="C1703" s="3" t="n">
        <v>45625</v>
      </c>
      <c r="E1703" s="0" t="s">
        <v>63</v>
      </c>
      <c r="F1703" s="0" t="s">
        <v>49</v>
      </c>
      <c r="G1703" s="0" t="s">
        <v>405</v>
      </c>
      <c r="H1703" s="0" t="s">
        <v>409</v>
      </c>
      <c r="I1703" s="0" t="s">
        <v>408</v>
      </c>
      <c r="J1703" s="0" t="s">
        <v>463</v>
      </c>
      <c r="K1703" s="0" t="s">
        <v>405</v>
      </c>
      <c r="L1703" s="0" t="str">
        <f aca="false">IF(H1703&gt;I1703,"ERRO","OK")</f>
        <v>OK</v>
      </c>
      <c r="M1703" s="0" t="str">
        <f aca="false">IF(H1703&gt;J1703,"ERRO","OK")</f>
        <v>OK</v>
      </c>
      <c r="N1703" s="0" t="str">
        <f aca="false">IF(I1703&lt;J1703,"ERRO","OK")</f>
        <v>OK</v>
      </c>
    </row>
    <row r="1704" customFormat="false" ht="14.25" hidden="false" customHeight="false" outlineLevel="0" collapsed="false">
      <c r="A1704" s="0" t="n">
        <v>80</v>
      </c>
      <c r="B1704" s="0" t="n">
        <v>2024</v>
      </c>
      <c r="C1704" s="3" t="n">
        <v>45625</v>
      </c>
      <c r="E1704" s="0" t="s">
        <v>64</v>
      </c>
      <c r="F1704" s="0" t="s">
        <v>65</v>
      </c>
      <c r="G1704" s="0" t="s">
        <v>464</v>
      </c>
      <c r="H1704" s="0" t="s">
        <v>413</v>
      </c>
      <c r="I1704" s="0" t="s">
        <v>421</v>
      </c>
      <c r="J1704" s="0" t="s">
        <v>465</v>
      </c>
      <c r="K1704" s="0" t="s">
        <v>464</v>
      </c>
      <c r="L1704" s="0" t="str">
        <f aca="false">IF(H1704&gt;I1704,"ERRO","OK")</f>
        <v>OK</v>
      </c>
      <c r="M1704" s="0" t="str">
        <f aca="false">IF(H1704&gt;J1704,"ERRO","OK")</f>
        <v>OK</v>
      </c>
      <c r="N1704" s="0" t="str">
        <f aca="false">IF(I1704&lt;J1704,"ERRO","OK")</f>
        <v>OK</v>
      </c>
    </row>
    <row r="1705" customFormat="false" ht="14.25" hidden="false" customHeight="false" outlineLevel="0" collapsed="false">
      <c r="A1705" s="0" t="n">
        <v>80</v>
      </c>
      <c r="B1705" s="0" t="n">
        <v>2024</v>
      </c>
      <c r="C1705" s="3" t="n">
        <v>45625</v>
      </c>
      <c r="E1705" s="0" t="s">
        <v>67</v>
      </c>
      <c r="F1705" s="0" t="s">
        <v>44</v>
      </c>
      <c r="G1705" s="0" t="s">
        <v>398</v>
      </c>
      <c r="H1705" s="0" t="s">
        <v>406</v>
      </c>
      <c r="I1705" s="0" t="s">
        <v>427</v>
      </c>
      <c r="J1705" s="0" t="s">
        <v>466</v>
      </c>
      <c r="K1705" s="0" t="s">
        <v>398</v>
      </c>
      <c r="L1705" s="0" t="str">
        <f aca="false">IF(H1705&gt;I1705,"ERRO","OK")</f>
        <v>ERRO</v>
      </c>
      <c r="M1705" s="0" t="str">
        <f aca="false">IF(H1705&gt;J1705,"ERRO","OK")</f>
        <v>OK</v>
      </c>
      <c r="N1705" s="0" t="str">
        <f aca="false">IF(I1705&lt;J1705,"ERRO","OK")</f>
        <v>ERRO</v>
      </c>
    </row>
    <row r="1706" customFormat="false" ht="14.25" hidden="false" customHeight="false" outlineLevel="0" collapsed="false">
      <c r="A1706" s="0" t="n">
        <v>80</v>
      </c>
      <c r="B1706" s="0" t="n">
        <v>2024</v>
      </c>
      <c r="C1706" s="3" t="n">
        <v>45625</v>
      </c>
      <c r="E1706" s="0" t="s">
        <v>68</v>
      </c>
      <c r="F1706" s="0" t="s">
        <v>44</v>
      </c>
      <c r="G1706" s="0" t="s">
        <v>405</v>
      </c>
      <c r="H1706" s="0" t="s">
        <v>405</v>
      </c>
      <c r="I1706" s="0" t="s">
        <v>382</v>
      </c>
      <c r="J1706" s="0" t="s">
        <v>411</v>
      </c>
      <c r="K1706" s="0" t="s">
        <v>408</v>
      </c>
      <c r="L1706" s="0" t="str">
        <f aca="false">IF(H1706&gt;I1706,"ERRO","OK")</f>
        <v>OK</v>
      </c>
      <c r="M1706" s="0" t="str">
        <f aca="false">IF(H1706&gt;J1706,"ERRO","OK")</f>
        <v>OK</v>
      </c>
      <c r="N1706" s="0" t="str">
        <f aca="false">IF(I1706&lt;J1706,"ERRO","OK")</f>
        <v>OK</v>
      </c>
    </row>
    <row r="1707" customFormat="false" ht="14.25" hidden="false" customHeight="false" outlineLevel="0" collapsed="false">
      <c r="A1707" s="0" t="n">
        <v>80</v>
      </c>
      <c r="B1707" s="0" t="n">
        <v>2024</v>
      </c>
      <c r="C1707" s="3" t="n">
        <v>45625</v>
      </c>
      <c r="E1707" s="0" t="s">
        <v>70</v>
      </c>
      <c r="F1707" s="0" t="s">
        <v>49</v>
      </c>
      <c r="L1707" s="0" t="str">
        <f aca="false">IF(H1707&gt;I1707,"ERRO","OK")</f>
        <v>OK</v>
      </c>
      <c r="M1707" s="0" t="str">
        <f aca="false">IF(H1707&gt;J1707,"ERRO","OK")</f>
        <v>OK</v>
      </c>
      <c r="N1707" s="0" t="str">
        <f aca="false">IF(I1707&lt;J1707,"ERRO","OK")</f>
        <v>OK</v>
      </c>
    </row>
    <row r="1708" customFormat="false" ht="14.25" hidden="false" customHeight="false" outlineLevel="0" collapsed="false">
      <c r="A1708" s="0" t="n">
        <v>80</v>
      </c>
      <c r="B1708" s="0" t="n">
        <v>2024</v>
      </c>
      <c r="C1708" s="3" t="n">
        <v>45625</v>
      </c>
      <c r="E1708" s="0" t="s">
        <v>71</v>
      </c>
      <c r="F1708" s="0" t="s">
        <v>49</v>
      </c>
      <c r="L1708" s="0" t="str">
        <f aca="false">IF(H1708&gt;I1708,"ERRO","OK")</f>
        <v>OK</v>
      </c>
      <c r="M1708" s="0" t="str">
        <f aca="false">IF(H1708&gt;J1708,"ERRO","OK")</f>
        <v>OK</v>
      </c>
      <c r="N1708" s="0" t="str">
        <f aca="false">IF(I1708&lt;J1708,"ERRO","OK")</f>
        <v>OK</v>
      </c>
    </row>
    <row r="1709" customFormat="false" ht="14.25" hidden="false" customHeight="false" outlineLevel="0" collapsed="false">
      <c r="A1709" s="0" t="n">
        <v>80</v>
      </c>
      <c r="B1709" s="0" t="n">
        <v>2024</v>
      </c>
      <c r="C1709" s="3" t="n">
        <v>45625</v>
      </c>
      <c r="E1709" s="0" t="s">
        <v>72</v>
      </c>
      <c r="F1709" s="0" t="s">
        <v>49</v>
      </c>
      <c r="L1709" s="0" t="str">
        <f aca="false">IF(H1709&gt;I1709,"ERRO","OK")</f>
        <v>OK</v>
      </c>
      <c r="M1709" s="0" t="str">
        <f aca="false">IF(H1709&gt;J1709,"ERRO","OK")</f>
        <v>OK</v>
      </c>
      <c r="N1709" s="0" t="str">
        <f aca="false">IF(I1709&lt;J1709,"ERRO","OK")</f>
        <v>OK</v>
      </c>
    </row>
    <row r="1710" customFormat="false" ht="14.25" hidden="false" customHeight="false" outlineLevel="0" collapsed="false">
      <c r="A1710" s="0" t="n">
        <v>80</v>
      </c>
      <c r="B1710" s="0" t="n">
        <v>2024</v>
      </c>
      <c r="C1710" s="3" t="n">
        <v>45625</v>
      </c>
      <c r="E1710" s="0" t="s">
        <v>73</v>
      </c>
      <c r="F1710" s="0" t="s">
        <v>49</v>
      </c>
      <c r="H1710" s="0" t="s">
        <v>405</v>
      </c>
      <c r="I1710" s="0" t="s">
        <v>405</v>
      </c>
      <c r="J1710" s="0" t="s">
        <v>405</v>
      </c>
      <c r="K1710" s="0" t="s">
        <v>405</v>
      </c>
      <c r="L1710" s="0" t="str">
        <f aca="false">IF(H1710&gt;I1710,"ERRO","OK")</f>
        <v>OK</v>
      </c>
      <c r="M1710" s="0" t="str">
        <f aca="false">IF(H1710&gt;J1710,"ERRO","OK")</f>
        <v>OK</v>
      </c>
      <c r="N1710" s="0" t="str">
        <f aca="false">IF(I1710&lt;J1710,"ERRO","OK")</f>
        <v>OK</v>
      </c>
    </row>
    <row r="1711" customFormat="false" ht="14.25" hidden="false" customHeight="false" outlineLevel="0" collapsed="false">
      <c r="A1711" s="0" t="n">
        <v>80</v>
      </c>
      <c r="B1711" s="0" t="n">
        <v>2024</v>
      </c>
      <c r="C1711" s="3" t="n">
        <v>45625</v>
      </c>
      <c r="E1711" s="0" t="s">
        <v>74</v>
      </c>
      <c r="F1711" s="21" t="s">
        <v>75</v>
      </c>
      <c r="L1711" s="0" t="str">
        <f aca="false">IF(H1711&gt;I1711,"ERRO","OK")</f>
        <v>OK</v>
      </c>
      <c r="M1711" s="0" t="str">
        <f aca="false">IF(H1711&gt;J1711,"ERRO","OK")</f>
        <v>OK</v>
      </c>
      <c r="N1711" s="0" t="str">
        <f aca="false">IF(I1711&lt;J1711,"ERRO","OK")</f>
        <v>OK</v>
      </c>
    </row>
    <row r="1712" customFormat="false" ht="14.25" hidden="false" customHeight="false" outlineLevel="0" collapsed="false">
      <c r="A1712" s="0" t="n">
        <v>81</v>
      </c>
      <c r="B1712" s="0" t="n">
        <v>2024</v>
      </c>
      <c r="C1712" s="3" t="n">
        <v>45632</v>
      </c>
      <c r="E1712" s="0" t="s">
        <v>16</v>
      </c>
      <c r="F1712" s="0" t="s">
        <v>17</v>
      </c>
      <c r="G1712" s="0" t="s">
        <v>442</v>
      </c>
      <c r="H1712" s="0" t="s">
        <v>442</v>
      </c>
      <c r="I1712" s="0" t="s">
        <v>369</v>
      </c>
      <c r="J1712" s="0" t="s">
        <v>467</v>
      </c>
      <c r="K1712" s="0" t="s">
        <v>442</v>
      </c>
      <c r="L1712" s="0" t="str">
        <f aca="false">IF(H1712&gt;I1712,"ERRO","OK")</f>
        <v>OK</v>
      </c>
      <c r="M1712" s="0" t="str">
        <f aca="false">IF(H1712&gt;J1712,"ERRO","OK")</f>
        <v>OK</v>
      </c>
      <c r="N1712" s="0" t="str">
        <f aca="false">IF(I1712&lt;J1712,"ERRO","OK")</f>
        <v>OK</v>
      </c>
    </row>
    <row r="1713" customFormat="false" ht="14.25" hidden="false" customHeight="false" outlineLevel="0" collapsed="false">
      <c r="A1713" s="0" t="n">
        <v>81</v>
      </c>
      <c r="B1713" s="0" t="n">
        <v>2024</v>
      </c>
      <c r="C1713" s="3" t="n">
        <v>45632</v>
      </c>
      <c r="E1713" s="0" t="s">
        <v>18</v>
      </c>
      <c r="F1713" s="0" t="s">
        <v>17</v>
      </c>
      <c r="G1713" s="0" t="s">
        <v>373</v>
      </c>
      <c r="H1713" s="0" t="s">
        <v>370</v>
      </c>
      <c r="I1713" s="0" t="s">
        <v>373</v>
      </c>
      <c r="J1713" s="0" t="s">
        <v>397</v>
      </c>
      <c r="K1713" s="0" t="s">
        <v>429</v>
      </c>
      <c r="L1713" s="0" t="str">
        <f aca="false">IF(H1713&gt;I1713,"ERRO","OK")</f>
        <v>OK</v>
      </c>
      <c r="M1713" s="0" t="str">
        <f aca="false">IF(H1713&gt;J1713,"ERRO","OK")</f>
        <v>OK</v>
      </c>
      <c r="N1713" s="0" t="str">
        <f aca="false">IF(I1713&lt;J1713,"ERRO","OK")</f>
        <v>OK</v>
      </c>
    </row>
    <row r="1714" customFormat="false" ht="14.25" hidden="false" customHeight="false" outlineLevel="0" collapsed="false">
      <c r="A1714" s="0" t="n">
        <v>81</v>
      </c>
      <c r="B1714" s="0" t="n">
        <v>2024</v>
      </c>
      <c r="C1714" s="3" t="n">
        <v>45632</v>
      </c>
      <c r="E1714" s="0" t="s">
        <v>19</v>
      </c>
      <c r="F1714" s="0" t="s">
        <v>17</v>
      </c>
      <c r="H1714" s="0" t="s">
        <v>374</v>
      </c>
      <c r="I1714" s="0" t="s">
        <v>370</v>
      </c>
      <c r="J1714" s="0" t="s">
        <v>402</v>
      </c>
      <c r="K1714" s="0" t="s">
        <v>402</v>
      </c>
      <c r="L1714" s="0" t="str">
        <f aca="false">IF(H1714&gt;I1714,"ERRO","OK")</f>
        <v>OK</v>
      </c>
      <c r="M1714" s="0" t="str">
        <f aca="false">IF(H1714&gt;J1714,"ERRO","OK")</f>
        <v>OK</v>
      </c>
      <c r="N1714" s="0" t="str">
        <f aca="false">IF(I1714&lt;J1714,"ERRO","OK")</f>
        <v>OK</v>
      </c>
    </row>
    <row r="1715" customFormat="false" ht="14.25" hidden="false" customHeight="false" outlineLevel="0" collapsed="false">
      <c r="A1715" s="0" t="n">
        <v>81</v>
      </c>
      <c r="B1715" s="0" t="n">
        <v>2024</v>
      </c>
      <c r="C1715" s="3" t="n">
        <v>45632</v>
      </c>
      <c r="E1715" s="0" t="s">
        <v>20</v>
      </c>
      <c r="F1715" s="0" t="s">
        <v>17</v>
      </c>
      <c r="G1715" s="0" t="s">
        <v>374</v>
      </c>
      <c r="H1715" s="0" t="s">
        <v>374</v>
      </c>
      <c r="I1715" s="0" t="s">
        <v>442</v>
      </c>
      <c r="J1715" s="0" t="s">
        <v>468</v>
      </c>
      <c r="K1715" s="0" t="s">
        <v>374</v>
      </c>
      <c r="L1715" s="0" t="str">
        <f aca="false">IF(H1715&gt;I1715,"ERRO","OK")</f>
        <v>OK</v>
      </c>
      <c r="M1715" s="0" t="str">
        <f aca="false">IF(H1715&gt;J1715,"ERRO","OK")</f>
        <v>OK</v>
      </c>
      <c r="N1715" s="0" t="str">
        <f aca="false">IF(I1715&lt;J1715,"ERRO","OK")</f>
        <v>OK</v>
      </c>
    </row>
    <row r="1716" customFormat="false" ht="14.25" hidden="false" customHeight="false" outlineLevel="0" collapsed="false">
      <c r="A1716" s="0" t="n">
        <v>81</v>
      </c>
      <c r="B1716" s="0" t="n">
        <v>2024</v>
      </c>
      <c r="C1716" s="3" t="n">
        <v>45632</v>
      </c>
      <c r="E1716" s="0" t="s">
        <v>21</v>
      </c>
      <c r="F1716" s="0" t="s">
        <v>17</v>
      </c>
      <c r="G1716" s="0" t="s">
        <v>374</v>
      </c>
      <c r="H1716" s="0" t="s">
        <v>374</v>
      </c>
      <c r="I1716" s="0" t="s">
        <v>442</v>
      </c>
      <c r="J1716" s="0" t="s">
        <v>468</v>
      </c>
      <c r="K1716" s="0" t="s">
        <v>374</v>
      </c>
      <c r="L1716" s="0" t="str">
        <f aca="false">IF(H1716&gt;I1716,"ERRO","OK")</f>
        <v>OK</v>
      </c>
      <c r="M1716" s="0" t="str">
        <f aca="false">IF(H1716&gt;J1716,"ERRO","OK")</f>
        <v>OK</v>
      </c>
      <c r="N1716" s="0" t="str">
        <f aca="false">IF(I1716&lt;J1716,"ERRO","OK")</f>
        <v>OK</v>
      </c>
    </row>
    <row r="1717" customFormat="false" ht="14.25" hidden="false" customHeight="false" outlineLevel="0" collapsed="false">
      <c r="A1717" s="0" t="n">
        <v>81</v>
      </c>
      <c r="B1717" s="0" t="n">
        <v>2024</v>
      </c>
      <c r="C1717" s="3" t="n">
        <v>45632</v>
      </c>
      <c r="E1717" s="0" t="s">
        <v>22</v>
      </c>
      <c r="F1717" s="0" t="s">
        <v>17</v>
      </c>
      <c r="G1717" s="0" t="s">
        <v>370</v>
      </c>
      <c r="H1717" s="0" t="s">
        <v>370</v>
      </c>
      <c r="I1717" s="0" t="s">
        <v>428</v>
      </c>
      <c r="J1717" s="0" t="s">
        <v>469</v>
      </c>
      <c r="K1717" s="0" t="s">
        <v>370</v>
      </c>
      <c r="L1717" s="0" t="str">
        <f aca="false">IF(H1717&gt;I1717,"ERRO","OK")</f>
        <v>OK</v>
      </c>
      <c r="M1717" s="0" t="str">
        <f aca="false">IF(H1717&gt;J1717,"ERRO","OK")</f>
        <v>OK</v>
      </c>
      <c r="N1717" s="0" t="str">
        <f aca="false">IF(I1717&lt;J1717,"ERRO","OK")</f>
        <v>OK</v>
      </c>
    </row>
    <row r="1718" customFormat="false" ht="14.25" hidden="false" customHeight="false" outlineLevel="0" collapsed="false">
      <c r="A1718" s="0" t="n">
        <v>81</v>
      </c>
      <c r="B1718" s="0" t="n">
        <v>2024</v>
      </c>
      <c r="C1718" s="3" t="n">
        <v>45632</v>
      </c>
      <c r="E1718" s="0" t="s">
        <v>23</v>
      </c>
      <c r="F1718" s="0" t="s">
        <v>17</v>
      </c>
      <c r="G1718" s="0" t="s">
        <v>373</v>
      </c>
      <c r="H1718" s="0" t="s">
        <v>369</v>
      </c>
      <c r="I1718" s="0" t="s">
        <v>372</v>
      </c>
      <c r="J1718" s="0" t="s">
        <v>470</v>
      </c>
      <c r="K1718" s="0" t="s">
        <v>471</v>
      </c>
      <c r="L1718" s="0" t="str">
        <f aca="false">IF(H1718&gt;I1718,"ERRO","OK")</f>
        <v>OK</v>
      </c>
      <c r="M1718" s="0" t="str">
        <f aca="false">IF(H1718&gt;J1718,"ERRO","OK")</f>
        <v>OK</v>
      </c>
      <c r="N1718" s="0" t="str">
        <f aca="false">IF(I1718&lt;J1718,"ERRO","OK")</f>
        <v>OK</v>
      </c>
    </row>
    <row r="1719" customFormat="false" ht="14.25" hidden="false" customHeight="false" outlineLevel="0" collapsed="false">
      <c r="A1719" s="0" t="n">
        <v>81</v>
      </c>
      <c r="B1719" s="0" t="n">
        <v>2024</v>
      </c>
      <c r="C1719" s="3" t="n">
        <v>45632</v>
      </c>
      <c r="E1719" s="0" t="s">
        <v>24</v>
      </c>
      <c r="F1719" s="0" t="s">
        <v>17</v>
      </c>
      <c r="H1719" s="0" t="s">
        <v>372</v>
      </c>
      <c r="I1719" s="0" t="s">
        <v>373</v>
      </c>
      <c r="J1719" s="0" t="s">
        <v>429</v>
      </c>
      <c r="K1719" s="0" t="s">
        <v>429</v>
      </c>
      <c r="L1719" s="0" t="str">
        <f aca="false">IF(H1719&gt;I1719,"ERRO","OK")</f>
        <v>OK</v>
      </c>
      <c r="M1719" s="0" t="str">
        <f aca="false">IF(H1719&gt;J1719,"ERRO","OK")</f>
        <v>OK</v>
      </c>
      <c r="N1719" s="0" t="str">
        <f aca="false">IF(I1719&lt;J1719,"ERRO","OK")</f>
        <v>OK</v>
      </c>
    </row>
    <row r="1720" customFormat="false" ht="14.25" hidden="false" customHeight="false" outlineLevel="0" collapsed="false">
      <c r="A1720" s="0" t="n">
        <v>81</v>
      </c>
      <c r="B1720" s="0" t="n">
        <v>2024</v>
      </c>
      <c r="C1720" s="3" t="n">
        <v>45632</v>
      </c>
      <c r="E1720" s="0" t="s">
        <v>25</v>
      </c>
      <c r="F1720" s="0" t="s">
        <v>17</v>
      </c>
      <c r="G1720" s="0" t="s">
        <v>378</v>
      </c>
      <c r="H1720" s="0" t="s">
        <v>394</v>
      </c>
      <c r="I1720" s="0" t="s">
        <v>378</v>
      </c>
      <c r="J1720" s="0" t="s">
        <v>472</v>
      </c>
      <c r="K1720" s="0" t="s">
        <v>378</v>
      </c>
      <c r="L1720" s="0" t="str">
        <f aca="false">IF(H1720&gt;I1720,"ERRO","OK")</f>
        <v>OK</v>
      </c>
      <c r="M1720" s="0" t="str">
        <f aca="false">IF(H1720&gt;J1720,"ERRO","OK")</f>
        <v>OK</v>
      </c>
      <c r="N1720" s="0" t="str">
        <f aca="false">IF(I1720&lt;J1720,"ERRO","OK")</f>
        <v>OK</v>
      </c>
    </row>
    <row r="1721" customFormat="false" ht="14.25" hidden="false" customHeight="false" outlineLevel="0" collapsed="false">
      <c r="A1721" s="0" t="n">
        <v>81</v>
      </c>
      <c r="B1721" s="0" t="n">
        <v>2024</v>
      </c>
      <c r="C1721" s="3" t="n">
        <v>45632</v>
      </c>
      <c r="E1721" s="0" t="s">
        <v>77</v>
      </c>
      <c r="F1721" s="0" t="s">
        <v>17</v>
      </c>
      <c r="G1721" s="0" t="s">
        <v>372</v>
      </c>
      <c r="H1721" s="0" t="s">
        <v>372</v>
      </c>
      <c r="I1721" s="0" t="s">
        <v>429</v>
      </c>
      <c r="J1721" s="0" t="s">
        <v>397</v>
      </c>
      <c r="K1721" s="0" t="s">
        <v>397</v>
      </c>
      <c r="L1721" s="0" t="str">
        <f aca="false">IF(H1721&gt;I1721,"ERRO","OK")</f>
        <v>OK</v>
      </c>
      <c r="M1721" s="0" t="str">
        <f aca="false">IF(H1721&gt;J1721,"ERRO","OK")</f>
        <v>OK</v>
      </c>
      <c r="N1721" s="0" t="str">
        <f aca="false">IF(I1721&lt;J1721,"ERRO","OK")</f>
        <v>OK</v>
      </c>
    </row>
    <row r="1722" customFormat="false" ht="14.25" hidden="false" customHeight="false" outlineLevel="0" collapsed="false">
      <c r="A1722" s="0" t="n">
        <v>81</v>
      </c>
      <c r="B1722" s="0" t="n">
        <v>2024</v>
      </c>
      <c r="C1722" s="3" t="n">
        <v>45632</v>
      </c>
      <c r="E1722" s="0" t="s">
        <v>27</v>
      </c>
      <c r="F1722" s="0" t="s">
        <v>17</v>
      </c>
      <c r="G1722" s="0" t="s">
        <v>374</v>
      </c>
      <c r="H1722" s="0" t="s">
        <v>374</v>
      </c>
      <c r="I1722" s="0" t="s">
        <v>442</v>
      </c>
      <c r="J1722" s="0" t="s">
        <v>468</v>
      </c>
      <c r="K1722" s="0" t="s">
        <v>374</v>
      </c>
      <c r="L1722" s="0" t="str">
        <f aca="false">IF(H1722&gt;I1722,"ERRO","OK")</f>
        <v>OK</v>
      </c>
      <c r="M1722" s="0" t="str">
        <f aca="false">IF(H1722&gt;J1722,"ERRO","OK")</f>
        <v>OK</v>
      </c>
      <c r="N1722" s="0" t="str">
        <f aca="false">IF(I1722&lt;J1722,"ERRO","OK")</f>
        <v>OK</v>
      </c>
    </row>
    <row r="1723" customFormat="false" ht="14.25" hidden="false" customHeight="false" outlineLevel="0" collapsed="false">
      <c r="A1723" s="0" t="n">
        <v>81</v>
      </c>
      <c r="B1723" s="0" t="n">
        <v>2024</v>
      </c>
      <c r="C1723" s="3" t="n">
        <v>45632</v>
      </c>
      <c r="E1723" s="0" t="s">
        <v>28</v>
      </c>
      <c r="F1723" s="0" t="s">
        <v>17</v>
      </c>
      <c r="G1723" s="0" t="s">
        <v>370</v>
      </c>
      <c r="H1723" s="0" t="s">
        <v>370</v>
      </c>
      <c r="I1723" s="0" t="s">
        <v>370</v>
      </c>
      <c r="J1723" s="0" t="s">
        <v>370</v>
      </c>
      <c r="K1723" s="0" t="s">
        <v>370</v>
      </c>
      <c r="L1723" s="0" t="str">
        <f aca="false">IF(H1723&gt;I1723,"ERRO","OK")</f>
        <v>OK</v>
      </c>
      <c r="M1723" s="0" t="str">
        <f aca="false">IF(H1723&gt;J1723,"ERRO","OK")</f>
        <v>OK</v>
      </c>
      <c r="N1723" s="0" t="str">
        <f aca="false">IF(I1723&lt;J1723,"ERRO","OK")</f>
        <v>OK</v>
      </c>
    </row>
    <row r="1724" customFormat="false" ht="14.25" hidden="false" customHeight="false" outlineLevel="0" collapsed="false">
      <c r="A1724" s="0" t="n">
        <v>81</v>
      </c>
      <c r="B1724" s="0" t="n">
        <v>2024</v>
      </c>
      <c r="C1724" s="3" t="n">
        <v>45632</v>
      </c>
      <c r="E1724" s="0" t="s">
        <v>29</v>
      </c>
      <c r="F1724" s="0" t="s">
        <v>30</v>
      </c>
      <c r="G1724" s="0" t="s">
        <v>370</v>
      </c>
      <c r="H1724" s="0" t="s">
        <v>369</v>
      </c>
      <c r="I1724" s="0" t="s">
        <v>370</v>
      </c>
      <c r="J1724" s="0" t="s">
        <v>471</v>
      </c>
      <c r="K1724" s="0" t="s">
        <v>370</v>
      </c>
      <c r="L1724" s="0" t="str">
        <f aca="false">IF(H1724&gt;I1724,"ERRO","OK")</f>
        <v>OK</v>
      </c>
      <c r="M1724" s="0" t="str">
        <f aca="false">IF(H1724&gt;J1724,"ERRO","OK")</f>
        <v>OK</v>
      </c>
      <c r="N1724" s="0" t="str">
        <f aca="false">IF(I1724&lt;J1724,"ERRO","OK")</f>
        <v>OK</v>
      </c>
    </row>
    <row r="1725" customFormat="false" ht="14.25" hidden="false" customHeight="false" outlineLevel="0" collapsed="false">
      <c r="A1725" s="0" t="n">
        <v>81</v>
      </c>
      <c r="B1725" s="0" t="n">
        <v>2024</v>
      </c>
      <c r="C1725" s="3" t="n">
        <v>45632</v>
      </c>
      <c r="E1725" s="0" t="s">
        <v>31</v>
      </c>
      <c r="F1725" s="0" t="s">
        <v>17</v>
      </c>
      <c r="G1725" s="0" t="s">
        <v>372</v>
      </c>
      <c r="H1725" s="0" t="s">
        <v>369</v>
      </c>
      <c r="I1725" s="0" t="s">
        <v>372</v>
      </c>
      <c r="J1725" s="0" t="s">
        <v>387</v>
      </c>
      <c r="K1725" s="0" t="s">
        <v>428</v>
      </c>
      <c r="L1725" s="0" t="str">
        <f aca="false">IF(H1725&gt;I1725,"ERRO","OK")</f>
        <v>OK</v>
      </c>
      <c r="M1725" s="0" t="str">
        <f aca="false">IF(H1725&gt;J1725,"ERRO","OK")</f>
        <v>OK</v>
      </c>
      <c r="N1725" s="0" t="str">
        <f aca="false">IF(I1725&lt;J1725,"ERRO","OK")</f>
        <v>OK</v>
      </c>
    </row>
    <row r="1726" customFormat="false" ht="14.25" hidden="false" customHeight="false" outlineLevel="0" collapsed="false">
      <c r="A1726" s="0" t="n">
        <v>81</v>
      </c>
      <c r="B1726" s="0" t="n">
        <v>2024</v>
      </c>
      <c r="C1726" s="3" t="n">
        <v>45632</v>
      </c>
      <c r="E1726" s="0" t="s">
        <v>32</v>
      </c>
      <c r="F1726" s="0" t="s">
        <v>17</v>
      </c>
      <c r="G1726" s="0" t="s">
        <v>374</v>
      </c>
      <c r="H1726" s="0" t="s">
        <v>374</v>
      </c>
      <c r="I1726" s="0" t="s">
        <v>442</v>
      </c>
      <c r="J1726" s="0" t="s">
        <v>377</v>
      </c>
      <c r="K1726" s="0" t="s">
        <v>377</v>
      </c>
      <c r="L1726" s="0" t="str">
        <f aca="false">IF(H1726&gt;I1726,"ERRO","OK")</f>
        <v>OK</v>
      </c>
      <c r="M1726" s="0" t="str">
        <f aca="false">IF(H1726&gt;J1726,"ERRO","OK")</f>
        <v>OK</v>
      </c>
      <c r="N1726" s="0" t="str">
        <f aca="false">IF(I1726&lt;J1726,"ERRO","OK")</f>
        <v>OK</v>
      </c>
    </row>
    <row r="1727" customFormat="false" ht="14.25" hidden="false" customHeight="false" outlineLevel="0" collapsed="false">
      <c r="A1727" s="0" t="n">
        <v>81</v>
      </c>
      <c r="B1727" s="0" t="n">
        <v>2024</v>
      </c>
      <c r="C1727" s="3" t="n">
        <v>45632</v>
      </c>
      <c r="E1727" s="0" t="s">
        <v>33</v>
      </c>
      <c r="F1727" s="0" t="s">
        <v>17</v>
      </c>
      <c r="G1727" s="0" t="s">
        <v>369</v>
      </c>
      <c r="H1727" s="0" t="s">
        <v>369</v>
      </c>
      <c r="I1727" s="0" t="s">
        <v>371</v>
      </c>
      <c r="J1727" s="0" t="s">
        <v>451</v>
      </c>
      <c r="K1727" s="0" t="s">
        <v>369</v>
      </c>
      <c r="L1727" s="0" t="str">
        <f aca="false">IF(H1727&gt;I1727,"ERRO","OK")</f>
        <v>OK</v>
      </c>
      <c r="M1727" s="0" t="str">
        <f aca="false">IF(H1727&gt;J1727,"ERRO","OK")</f>
        <v>OK</v>
      </c>
      <c r="N1727" s="0" t="str">
        <f aca="false">IF(I1727&lt;J1727,"ERRO","OK")</f>
        <v>OK</v>
      </c>
    </row>
    <row r="1728" customFormat="false" ht="14.25" hidden="false" customHeight="false" outlineLevel="0" collapsed="false">
      <c r="A1728" s="0" t="n">
        <v>81</v>
      </c>
      <c r="B1728" s="0" t="n">
        <v>2024</v>
      </c>
      <c r="C1728" s="3" t="n">
        <v>45632</v>
      </c>
      <c r="E1728" s="0" t="s">
        <v>35</v>
      </c>
      <c r="F1728" s="0" t="s">
        <v>36</v>
      </c>
      <c r="G1728" s="0" t="s">
        <v>390</v>
      </c>
      <c r="H1728" s="0" t="s">
        <v>473</v>
      </c>
      <c r="I1728" s="0" t="s">
        <v>390</v>
      </c>
      <c r="J1728" s="0" t="s">
        <v>474</v>
      </c>
      <c r="K1728" s="0" t="s">
        <v>390</v>
      </c>
      <c r="L1728" s="0" t="str">
        <f aca="false">IF(H1728&gt;I1728,"ERRO","OK")</f>
        <v>OK</v>
      </c>
      <c r="M1728" s="0" t="str">
        <f aca="false">IF(H1728&gt;J1728,"ERRO","OK")</f>
        <v>OK</v>
      </c>
      <c r="N1728" s="0" t="str">
        <f aca="false">IF(I1728&lt;J1728,"ERRO","OK")</f>
        <v>OK</v>
      </c>
    </row>
    <row r="1729" customFormat="false" ht="14.25" hidden="false" customHeight="false" outlineLevel="0" collapsed="false">
      <c r="A1729" s="0" t="n">
        <v>81</v>
      </c>
      <c r="B1729" s="0" t="n">
        <v>2024</v>
      </c>
      <c r="C1729" s="3" t="n">
        <v>45632</v>
      </c>
      <c r="E1729" s="0" t="s">
        <v>38</v>
      </c>
      <c r="F1729" s="0" t="s">
        <v>39</v>
      </c>
      <c r="G1729" s="0" t="s">
        <v>391</v>
      </c>
      <c r="H1729" s="0" t="s">
        <v>391</v>
      </c>
      <c r="I1729" s="0" t="s">
        <v>394</v>
      </c>
      <c r="J1729" s="0" t="s">
        <v>475</v>
      </c>
      <c r="K1729" s="0" t="s">
        <v>476</v>
      </c>
      <c r="L1729" s="0" t="str">
        <f aca="false">IF(H1729&gt;I1729,"ERRO","OK")</f>
        <v>OK</v>
      </c>
      <c r="M1729" s="0" t="str">
        <f aca="false">IF(H1729&gt;J1729,"ERRO","OK")</f>
        <v>OK</v>
      </c>
      <c r="N1729" s="0" t="str">
        <f aca="false">IF(I1729&lt;J1729,"ERRO","OK")</f>
        <v>OK</v>
      </c>
    </row>
    <row r="1730" customFormat="false" ht="14.25" hidden="false" customHeight="false" outlineLevel="0" collapsed="false">
      <c r="A1730" s="0" t="n">
        <v>81</v>
      </c>
      <c r="B1730" s="0" t="n">
        <v>2024</v>
      </c>
      <c r="C1730" s="3" t="n">
        <v>45632</v>
      </c>
      <c r="E1730" s="0" t="s">
        <v>40</v>
      </c>
      <c r="F1730" s="0" t="s">
        <v>39</v>
      </c>
      <c r="G1730" s="0" t="s">
        <v>394</v>
      </c>
      <c r="H1730" s="0" t="s">
        <v>394</v>
      </c>
      <c r="I1730" s="0" t="s">
        <v>374</v>
      </c>
      <c r="J1730" s="0" t="s">
        <v>431</v>
      </c>
      <c r="K1730" s="0" t="s">
        <v>431</v>
      </c>
      <c r="L1730" s="0" t="str">
        <f aca="false">IF(H1730&gt;I1730,"ERRO","OK")</f>
        <v>OK</v>
      </c>
      <c r="M1730" s="0" t="str">
        <f aca="false">IF(H1730&gt;J1730,"ERRO","OK")</f>
        <v>OK</v>
      </c>
      <c r="N1730" s="0" t="str">
        <f aca="false">IF(I1730&lt;J1730,"ERRO","OK")</f>
        <v>OK</v>
      </c>
    </row>
    <row r="1731" customFormat="false" ht="14.25" hidden="false" customHeight="false" outlineLevel="0" collapsed="false">
      <c r="A1731" s="0" t="n">
        <v>81</v>
      </c>
      <c r="B1731" s="0" t="n">
        <v>2024</v>
      </c>
      <c r="C1731" s="3" t="n">
        <v>45632</v>
      </c>
      <c r="E1731" s="0" t="s">
        <v>157</v>
      </c>
      <c r="F1731" s="0" t="s">
        <v>158</v>
      </c>
      <c r="H1731" s="0" t="s">
        <v>382</v>
      </c>
      <c r="I1731" s="0" t="s">
        <v>382</v>
      </c>
      <c r="J1731" s="0" t="s">
        <v>382</v>
      </c>
      <c r="K1731" s="0" t="s">
        <v>382</v>
      </c>
      <c r="L1731" s="0" t="str">
        <f aca="false">IF(H1731&gt;I1731,"ERRO","OK")</f>
        <v>OK</v>
      </c>
      <c r="M1731" s="0" t="str">
        <f aca="false">IF(H1731&gt;J1731,"ERRO","OK")</f>
        <v>OK</v>
      </c>
      <c r="N1731" s="0" t="str">
        <f aca="false">IF(I1731&lt;J1731,"ERRO","OK")</f>
        <v>OK</v>
      </c>
    </row>
    <row r="1732" customFormat="false" ht="14.25" hidden="false" customHeight="false" outlineLevel="0" collapsed="false">
      <c r="A1732" s="0" t="n">
        <v>81</v>
      </c>
      <c r="B1732" s="0" t="n">
        <v>2024</v>
      </c>
      <c r="C1732" s="3" t="n">
        <v>45632</v>
      </c>
      <c r="E1732" s="0" t="s">
        <v>43</v>
      </c>
      <c r="F1732" s="0" t="s">
        <v>44</v>
      </c>
      <c r="G1732" s="0" t="s">
        <v>409</v>
      </c>
      <c r="H1732" s="0" t="s">
        <v>374</v>
      </c>
      <c r="I1732" s="0" t="s">
        <v>370</v>
      </c>
      <c r="J1732" s="0" t="s">
        <v>477</v>
      </c>
      <c r="K1732" s="0" t="s">
        <v>452</v>
      </c>
      <c r="L1732" s="0" t="str">
        <f aca="false">IF(H1732&gt;I1732,"ERRO","OK")</f>
        <v>OK</v>
      </c>
      <c r="M1732" s="0" t="str">
        <f aca="false">IF(H1732&gt;J1732,"ERRO","OK")</f>
        <v>OK</v>
      </c>
      <c r="N1732" s="0" t="str">
        <f aca="false">IF(I1732&lt;J1732,"ERRO","OK")</f>
        <v>OK</v>
      </c>
    </row>
    <row r="1733" customFormat="false" ht="14.25" hidden="false" customHeight="false" outlineLevel="0" collapsed="false">
      <c r="A1733" s="0" t="n">
        <v>81</v>
      </c>
      <c r="B1733" s="0" t="n">
        <v>2024</v>
      </c>
      <c r="C1733" s="3" t="n">
        <v>45632</v>
      </c>
      <c r="E1733" s="0" t="s">
        <v>46</v>
      </c>
      <c r="F1733" s="0" t="s">
        <v>47</v>
      </c>
      <c r="G1733" s="0" t="s">
        <v>382</v>
      </c>
      <c r="H1733" s="0" t="s">
        <v>374</v>
      </c>
      <c r="I1733" s="0" t="s">
        <v>382</v>
      </c>
      <c r="J1733" s="0" t="s">
        <v>453</v>
      </c>
      <c r="K1733" s="0" t="s">
        <v>408</v>
      </c>
      <c r="L1733" s="0" t="str">
        <f aca="false">IF(H1733&gt;I1733,"ERRO","OK")</f>
        <v>OK</v>
      </c>
      <c r="M1733" s="0" t="str">
        <f aca="false">IF(H1733&gt;J1733,"ERRO","OK")</f>
        <v>OK</v>
      </c>
      <c r="N1733" s="0" t="str">
        <f aca="false">IF(I1733&lt;J1733,"ERRO","OK")</f>
        <v>OK</v>
      </c>
    </row>
    <row r="1734" customFormat="false" ht="14.25" hidden="false" customHeight="false" outlineLevel="0" collapsed="false">
      <c r="A1734" s="0" t="n">
        <v>81</v>
      </c>
      <c r="B1734" s="0" t="n">
        <v>2024</v>
      </c>
      <c r="C1734" s="3" t="n">
        <v>45632</v>
      </c>
      <c r="E1734" s="0" t="s">
        <v>48</v>
      </c>
      <c r="F1734" s="0" t="s">
        <v>49</v>
      </c>
      <c r="G1734" s="0" t="s">
        <v>409</v>
      </c>
      <c r="H1734" s="0" t="s">
        <v>409</v>
      </c>
      <c r="I1734" s="0" t="s">
        <v>370</v>
      </c>
      <c r="J1734" s="0" t="s">
        <v>478</v>
      </c>
      <c r="K1734" s="0" t="s">
        <v>402</v>
      </c>
      <c r="L1734" s="0" t="str">
        <f aca="false">IF(H1734&gt;I1734,"ERRO","OK")</f>
        <v>OK</v>
      </c>
      <c r="M1734" s="0" t="str">
        <f aca="false">IF(H1734&gt;J1734,"ERRO","OK")</f>
        <v>OK</v>
      </c>
      <c r="N1734" s="0" t="str">
        <f aca="false">IF(I1734&lt;J1734,"ERRO","OK")</f>
        <v>OK</v>
      </c>
    </row>
    <row r="1735" customFormat="false" ht="14.25" hidden="false" customHeight="false" outlineLevel="0" collapsed="false">
      <c r="A1735" s="0" t="n">
        <v>81</v>
      </c>
      <c r="B1735" s="0" t="n">
        <v>2024</v>
      </c>
      <c r="C1735" s="3" t="n">
        <v>45632</v>
      </c>
      <c r="E1735" s="0" t="s">
        <v>52</v>
      </c>
      <c r="F1735" s="0" t="s">
        <v>49</v>
      </c>
      <c r="H1735" s="0" t="s">
        <v>398</v>
      </c>
      <c r="I1735" s="0" t="s">
        <v>398</v>
      </c>
      <c r="J1735" s="0" t="s">
        <v>398</v>
      </c>
      <c r="K1735" s="0" t="s">
        <v>398</v>
      </c>
      <c r="L1735" s="0" t="str">
        <f aca="false">IF(H1735&gt;I1735,"ERRO","OK")</f>
        <v>OK</v>
      </c>
      <c r="M1735" s="0" t="str">
        <f aca="false">IF(H1735&gt;J1735,"ERRO","OK")</f>
        <v>OK</v>
      </c>
      <c r="N1735" s="0" t="str">
        <f aca="false">IF(I1735&lt;J1735,"ERRO","OK")</f>
        <v>OK</v>
      </c>
    </row>
    <row r="1736" customFormat="false" ht="14.25" hidden="false" customHeight="false" outlineLevel="0" collapsed="false">
      <c r="A1736" s="0" t="n">
        <v>81</v>
      </c>
      <c r="B1736" s="0" t="n">
        <v>2024</v>
      </c>
      <c r="C1736" s="3" t="n">
        <v>45632</v>
      </c>
      <c r="E1736" s="0" t="s">
        <v>53</v>
      </c>
      <c r="F1736" s="0" t="s">
        <v>54</v>
      </c>
      <c r="G1736" s="0" t="s">
        <v>370</v>
      </c>
      <c r="H1736" s="0" t="s">
        <v>408</v>
      </c>
      <c r="I1736" s="0" t="s">
        <v>370</v>
      </c>
      <c r="J1736" s="0" t="s">
        <v>479</v>
      </c>
      <c r="K1736" s="0" t="s">
        <v>370</v>
      </c>
      <c r="L1736" s="0" t="str">
        <f aca="false">IF(H1736&gt;I1736,"ERRO","OK")</f>
        <v>OK</v>
      </c>
      <c r="M1736" s="0" t="str">
        <f aca="false">IF(H1736&gt;J1736,"ERRO","OK")</f>
        <v>OK</v>
      </c>
      <c r="N1736" s="0" t="str">
        <f aca="false">IF(I1736&lt;J1736,"ERRO","OK")</f>
        <v>OK</v>
      </c>
    </row>
    <row r="1737" customFormat="false" ht="14.25" hidden="false" customHeight="false" outlineLevel="0" collapsed="false">
      <c r="A1737" s="0" t="n">
        <v>81</v>
      </c>
      <c r="B1737" s="0" t="n">
        <v>2024</v>
      </c>
      <c r="C1737" s="3" t="n">
        <v>45632</v>
      </c>
      <c r="E1737" s="0" t="s">
        <v>56</v>
      </c>
      <c r="F1737" s="0" t="s">
        <v>47</v>
      </c>
      <c r="G1737" s="0" t="s">
        <v>370</v>
      </c>
      <c r="H1737" s="0" t="s">
        <v>409</v>
      </c>
      <c r="I1737" s="0" t="s">
        <v>382</v>
      </c>
      <c r="J1737" s="0" t="s">
        <v>453</v>
      </c>
      <c r="K1737" s="0" t="s">
        <v>408</v>
      </c>
      <c r="L1737" s="0" t="str">
        <f aca="false">IF(H1737&gt;I1737,"ERRO","OK")</f>
        <v>OK</v>
      </c>
      <c r="M1737" s="0" t="str">
        <f aca="false">IF(H1737&gt;J1737,"ERRO","OK")</f>
        <v>OK</v>
      </c>
      <c r="N1737" s="0" t="str">
        <f aca="false">IF(I1737&lt;J1737,"ERRO","OK")</f>
        <v>OK</v>
      </c>
    </row>
    <row r="1738" customFormat="false" ht="14.25" hidden="false" customHeight="false" outlineLevel="0" collapsed="false">
      <c r="A1738" s="0" t="n">
        <v>81</v>
      </c>
      <c r="B1738" s="0" t="n">
        <v>2024</v>
      </c>
      <c r="C1738" s="3" t="n">
        <v>45632</v>
      </c>
      <c r="E1738" s="0" t="s">
        <v>57</v>
      </c>
      <c r="F1738" s="0" t="s">
        <v>47</v>
      </c>
      <c r="G1738" s="0" t="s">
        <v>409</v>
      </c>
      <c r="H1738" s="0" t="s">
        <v>394</v>
      </c>
      <c r="I1738" s="0" t="s">
        <v>409</v>
      </c>
      <c r="J1738" s="0" t="s">
        <v>480</v>
      </c>
      <c r="K1738" s="0" t="s">
        <v>400</v>
      </c>
      <c r="L1738" s="0" t="str">
        <f aca="false">IF(H1738&gt;I1738,"ERRO","OK")</f>
        <v>OK</v>
      </c>
      <c r="M1738" s="0" t="str">
        <f aca="false">IF(H1738&gt;J1738,"ERRO","OK")</f>
        <v>OK</v>
      </c>
      <c r="N1738" s="0" t="str">
        <f aca="false">IF(I1738&lt;J1738,"ERRO","OK")</f>
        <v>OK</v>
      </c>
    </row>
    <row r="1739" customFormat="false" ht="14.25" hidden="false" customHeight="false" outlineLevel="0" collapsed="false">
      <c r="A1739" s="0" t="n">
        <v>81</v>
      </c>
      <c r="B1739" s="0" t="n">
        <v>2024</v>
      </c>
      <c r="C1739" s="3" t="n">
        <v>45632</v>
      </c>
      <c r="E1739" s="0" t="s">
        <v>58</v>
      </c>
      <c r="F1739" s="0" t="s">
        <v>44</v>
      </c>
      <c r="G1739" s="0" t="s">
        <v>417</v>
      </c>
      <c r="H1739" s="0" t="s">
        <v>398</v>
      </c>
      <c r="I1739" s="0" t="s">
        <v>427</v>
      </c>
      <c r="J1739" s="0" t="s">
        <v>481</v>
      </c>
      <c r="K1739" s="0" t="s">
        <v>417</v>
      </c>
      <c r="L1739" s="0" t="str">
        <f aca="false">IF(H1739&gt;I1739,"ERRO","OK")</f>
        <v>ERRO</v>
      </c>
      <c r="M1739" s="0" t="str">
        <f aca="false">IF(H1739&gt;J1739,"ERRO","OK")</f>
        <v>OK</v>
      </c>
      <c r="N1739" s="0" t="str">
        <f aca="false">IF(I1739&lt;J1739,"ERRO","OK")</f>
        <v>ERRO</v>
      </c>
    </row>
    <row r="1740" customFormat="false" ht="14.25" hidden="false" customHeight="false" outlineLevel="0" collapsed="false">
      <c r="A1740" s="0" t="n">
        <v>81</v>
      </c>
      <c r="B1740" s="0" t="n">
        <v>2024</v>
      </c>
      <c r="C1740" s="3" t="n">
        <v>45632</v>
      </c>
      <c r="E1740" s="0" t="s">
        <v>60</v>
      </c>
      <c r="F1740" s="0" t="s">
        <v>47</v>
      </c>
      <c r="H1740" s="0" t="s">
        <v>405</v>
      </c>
      <c r="I1740" s="0" t="s">
        <v>406</v>
      </c>
      <c r="J1740" s="0" t="s">
        <v>411</v>
      </c>
      <c r="K1740" s="0" t="s">
        <v>411</v>
      </c>
      <c r="L1740" s="0" t="str">
        <f aca="false">IF(H1740&gt;I1740,"ERRO","OK")</f>
        <v>OK</v>
      </c>
      <c r="M1740" s="0" t="str">
        <f aca="false">IF(H1740&gt;J1740,"ERRO","OK")</f>
        <v>OK</v>
      </c>
      <c r="N1740" s="0" t="str">
        <f aca="false">IF(I1740&lt;J1740,"ERRO","OK")</f>
        <v>OK</v>
      </c>
    </row>
    <row r="1741" customFormat="false" ht="14.25" hidden="false" customHeight="false" outlineLevel="0" collapsed="false">
      <c r="A1741" s="0" t="n">
        <v>81</v>
      </c>
      <c r="B1741" s="0" t="n">
        <v>2024</v>
      </c>
      <c r="C1741" s="3" t="n">
        <v>45632</v>
      </c>
      <c r="E1741" s="0" t="s">
        <v>61</v>
      </c>
      <c r="F1741" s="0" t="s">
        <v>44</v>
      </c>
      <c r="G1741" s="0" t="s">
        <v>409</v>
      </c>
      <c r="H1741" s="0" t="s">
        <v>400</v>
      </c>
      <c r="I1741" s="0" t="s">
        <v>370</v>
      </c>
      <c r="J1741" s="0" t="s">
        <v>482</v>
      </c>
      <c r="K1741" s="0" t="s">
        <v>409</v>
      </c>
      <c r="L1741" s="0" t="str">
        <f aca="false">IF(H1741&gt;I1741,"ERRO","OK")</f>
        <v>OK</v>
      </c>
      <c r="M1741" s="0" t="str">
        <f aca="false">IF(H1741&gt;J1741,"ERRO","OK")</f>
        <v>OK</v>
      </c>
      <c r="N1741" s="0" t="str">
        <f aca="false">IF(I1741&lt;J1741,"ERRO","OK")</f>
        <v>OK</v>
      </c>
    </row>
    <row r="1742" customFormat="false" ht="14.25" hidden="false" customHeight="false" outlineLevel="0" collapsed="false">
      <c r="A1742" s="0" t="n">
        <v>81</v>
      </c>
      <c r="B1742" s="0" t="n">
        <v>2024</v>
      </c>
      <c r="C1742" s="3" t="n">
        <v>45632</v>
      </c>
      <c r="E1742" s="0" t="s">
        <v>62</v>
      </c>
      <c r="F1742" s="0" t="s">
        <v>44</v>
      </c>
      <c r="G1742" s="0" t="s">
        <v>409</v>
      </c>
      <c r="H1742" s="0" t="s">
        <v>409</v>
      </c>
      <c r="I1742" s="0" t="s">
        <v>370</v>
      </c>
      <c r="J1742" s="0" t="s">
        <v>483</v>
      </c>
      <c r="K1742" s="0" t="s">
        <v>402</v>
      </c>
      <c r="L1742" s="0" t="str">
        <f aca="false">IF(H1742&gt;I1742,"ERRO","OK")</f>
        <v>OK</v>
      </c>
      <c r="M1742" s="0" t="str">
        <f aca="false">IF(H1742&gt;J1742,"ERRO","OK")</f>
        <v>OK</v>
      </c>
      <c r="N1742" s="0" t="str">
        <f aca="false">IF(I1742&lt;J1742,"ERRO","OK")</f>
        <v>OK</v>
      </c>
    </row>
    <row r="1743" customFormat="false" ht="14.25" hidden="false" customHeight="false" outlineLevel="0" collapsed="false">
      <c r="A1743" s="0" t="n">
        <v>81</v>
      </c>
      <c r="B1743" s="0" t="n">
        <v>2024</v>
      </c>
      <c r="C1743" s="3" t="n">
        <v>45632</v>
      </c>
      <c r="E1743" s="0" t="s">
        <v>63</v>
      </c>
      <c r="F1743" s="0" t="s">
        <v>49</v>
      </c>
      <c r="G1743" s="0" t="s">
        <v>409</v>
      </c>
      <c r="H1743" s="0" t="s">
        <v>409</v>
      </c>
      <c r="I1743" s="0" t="s">
        <v>405</v>
      </c>
      <c r="J1743" s="0" t="s">
        <v>452</v>
      </c>
      <c r="K1743" s="0" t="s">
        <v>409</v>
      </c>
      <c r="L1743" s="0" t="str">
        <f aca="false">IF(H1743&gt;I1743,"ERRO","OK")</f>
        <v>OK</v>
      </c>
      <c r="M1743" s="0" t="str">
        <f aca="false">IF(H1743&gt;J1743,"ERRO","OK")</f>
        <v>OK</v>
      </c>
      <c r="N1743" s="0" t="str">
        <f aca="false">IF(I1743&lt;J1743,"ERRO","OK")</f>
        <v>OK</v>
      </c>
    </row>
    <row r="1744" customFormat="false" ht="14.25" hidden="false" customHeight="false" outlineLevel="0" collapsed="false">
      <c r="A1744" s="0" t="n">
        <v>81</v>
      </c>
      <c r="B1744" s="0" t="n">
        <v>2024</v>
      </c>
      <c r="C1744" s="3" t="n">
        <v>45632</v>
      </c>
      <c r="E1744" s="0" t="s">
        <v>64</v>
      </c>
      <c r="F1744" s="0" t="s">
        <v>65</v>
      </c>
      <c r="H1744" s="0" t="s">
        <v>382</v>
      </c>
      <c r="I1744" s="0" t="s">
        <v>413</v>
      </c>
      <c r="J1744" s="0" t="s">
        <v>481</v>
      </c>
      <c r="K1744" s="0" t="s">
        <v>417</v>
      </c>
      <c r="L1744" s="0" t="str">
        <f aca="false">IF(H1744&gt;I1744,"ERRO","OK")</f>
        <v>ERRO</v>
      </c>
      <c r="M1744" s="0" t="str">
        <f aca="false">IF(H1744&gt;J1744,"ERRO","OK")</f>
        <v>OK</v>
      </c>
      <c r="N1744" s="0" t="str">
        <f aca="false">IF(I1744&lt;J1744,"ERRO","OK")</f>
        <v>ERRO</v>
      </c>
    </row>
    <row r="1745" customFormat="false" ht="14.25" hidden="false" customHeight="false" outlineLevel="0" collapsed="false">
      <c r="A1745" s="0" t="n">
        <v>81</v>
      </c>
      <c r="B1745" s="0" t="n">
        <v>2024</v>
      </c>
      <c r="C1745" s="3" t="n">
        <v>45632</v>
      </c>
      <c r="E1745" s="0" t="s">
        <v>67</v>
      </c>
      <c r="F1745" s="0" t="s">
        <v>44</v>
      </c>
      <c r="G1745" s="0" t="s">
        <v>409</v>
      </c>
      <c r="H1745" s="0" t="s">
        <v>409</v>
      </c>
      <c r="I1745" s="0" t="s">
        <v>370</v>
      </c>
      <c r="J1745" s="0" t="s">
        <v>484</v>
      </c>
      <c r="K1745" s="0" t="s">
        <v>405</v>
      </c>
      <c r="L1745" s="0" t="str">
        <f aca="false">IF(H1745&gt;I1745,"ERRO","OK")</f>
        <v>OK</v>
      </c>
      <c r="M1745" s="0" t="str">
        <f aca="false">IF(H1745&gt;J1745,"ERRO","OK")</f>
        <v>OK</v>
      </c>
      <c r="N1745" s="0" t="str">
        <f aca="false">IF(I1745&lt;J1745,"ERRO","OK")</f>
        <v>OK</v>
      </c>
    </row>
    <row r="1746" customFormat="false" ht="14.25" hidden="false" customHeight="false" outlineLevel="0" collapsed="false">
      <c r="A1746" s="0" t="n">
        <v>81</v>
      </c>
      <c r="B1746" s="0" t="n">
        <v>2024</v>
      </c>
      <c r="C1746" s="3" t="n">
        <v>45632</v>
      </c>
      <c r="E1746" s="0" t="s">
        <v>68</v>
      </c>
      <c r="F1746" s="0" t="s">
        <v>44</v>
      </c>
      <c r="G1746" s="0" t="s">
        <v>370</v>
      </c>
      <c r="H1746" s="0" t="s">
        <v>405</v>
      </c>
      <c r="I1746" s="0" t="s">
        <v>370</v>
      </c>
      <c r="J1746" s="0" t="s">
        <v>408</v>
      </c>
      <c r="K1746" s="0" t="s">
        <v>408</v>
      </c>
      <c r="L1746" s="0" t="str">
        <f aca="false">IF(H1746&gt;I1746,"ERRO","OK")</f>
        <v>OK</v>
      </c>
      <c r="M1746" s="0" t="str">
        <f aca="false">IF(H1746&gt;J1746,"ERRO","OK")</f>
        <v>OK</v>
      </c>
      <c r="N1746" s="0" t="str">
        <f aca="false">IF(I1746&lt;J1746,"ERRO","OK")</f>
        <v>OK</v>
      </c>
    </row>
    <row r="1747" customFormat="false" ht="14.25" hidden="false" customHeight="false" outlineLevel="0" collapsed="false">
      <c r="A1747" s="0" t="n">
        <v>81</v>
      </c>
      <c r="B1747" s="0" t="n">
        <v>2024</v>
      </c>
      <c r="C1747" s="3" t="n">
        <v>45632</v>
      </c>
      <c r="E1747" s="0" t="s">
        <v>70</v>
      </c>
      <c r="F1747" s="0" t="s">
        <v>49</v>
      </c>
      <c r="L1747" s="0" t="str">
        <f aca="false">IF(H1747&gt;I1747,"ERRO","OK")</f>
        <v>OK</v>
      </c>
      <c r="M1747" s="0" t="str">
        <f aca="false">IF(H1747&gt;J1747,"ERRO","OK")</f>
        <v>OK</v>
      </c>
      <c r="N1747" s="0" t="str">
        <f aca="false">IF(I1747&lt;J1747,"ERRO","OK")</f>
        <v>OK</v>
      </c>
    </row>
    <row r="1748" customFormat="false" ht="14.25" hidden="false" customHeight="false" outlineLevel="0" collapsed="false">
      <c r="A1748" s="0" t="n">
        <v>81</v>
      </c>
      <c r="B1748" s="0" t="n">
        <v>2024</v>
      </c>
      <c r="C1748" s="3" t="n">
        <v>45632</v>
      </c>
      <c r="E1748" s="0" t="s">
        <v>71</v>
      </c>
      <c r="F1748" s="0" t="s">
        <v>49</v>
      </c>
      <c r="L1748" s="0" t="str">
        <f aca="false">IF(H1748&gt;I1748,"ERRO","OK")</f>
        <v>OK</v>
      </c>
      <c r="M1748" s="0" t="str">
        <f aca="false">IF(H1748&gt;J1748,"ERRO","OK")</f>
        <v>OK</v>
      </c>
      <c r="N1748" s="0" t="str">
        <f aca="false">IF(I1748&lt;J1748,"ERRO","OK")</f>
        <v>OK</v>
      </c>
    </row>
    <row r="1749" customFormat="false" ht="14.25" hidden="false" customHeight="false" outlineLevel="0" collapsed="false">
      <c r="A1749" s="0" t="n">
        <v>81</v>
      </c>
      <c r="B1749" s="0" t="n">
        <v>2024</v>
      </c>
      <c r="C1749" s="3" t="n">
        <v>45632</v>
      </c>
      <c r="E1749" s="0" t="s">
        <v>72</v>
      </c>
      <c r="F1749" s="0" t="s">
        <v>49</v>
      </c>
      <c r="L1749" s="0" t="str">
        <f aca="false">IF(H1749&gt;I1749,"ERRO","OK")</f>
        <v>OK</v>
      </c>
      <c r="M1749" s="0" t="str">
        <f aca="false">IF(H1749&gt;J1749,"ERRO","OK")</f>
        <v>OK</v>
      </c>
      <c r="N1749" s="0" t="str">
        <f aca="false">IF(I1749&lt;J1749,"ERRO","OK")</f>
        <v>OK</v>
      </c>
    </row>
    <row r="1750" customFormat="false" ht="14.25" hidden="false" customHeight="false" outlineLevel="0" collapsed="false">
      <c r="A1750" s="0" t="n">
        <v>81</v>
      </c>
      <c r="B1750" s="0" t="n">
        <v>2024</v>
      </c>
      <c r="C1750" s="3" t="n">
        <v>45632</v>
      </c>
      <c r="E1750" s="0" t="s">
        <v>73</v>
      </c>
      <c r="F1750" s="0" t="s">
        <v>49</v>
      </c>
      <c r="H1750" s="0" t="s">
        <v>408</v>
      </c>
      <c r="I1750" s="0" t="s">
        <v>408</v>
      </c>
      <c r="J1750" s="0" t="s">
        <v>408</v>
      </c>
      <c r="K1750" s="0" t="s">
        <v>408</v>
      </c>
      <c r="L1750" s="0" t="str">
        <f aca="false">IF(H1750&gt;I1750,"ERRO","OK")</f>
        <v>OK</v>
      </c>
      <c r="M1750" s="0" t="str">
        <f aca="false">IF(H1750&gt;J1750,"ERRO","OK")</f>
        <v>OK</v>
      </c>
      <c r="N1750" s="0" t="str">
        <f aca="false">IF(I1750&lt;J1750,"ERRO","OK")</f>
        <v>OK</v>
      </c>
    </row>
    <row r="1751" customFormat="false" ht="14.25" hidden="false" customHeight="false" outlineLevel="0" collapsed="false">
      <c r="A1751" s="0" t="n">
        <v>81</v>
      </c>
      <c r="B1751" s="0" t="n">
        <v>2024</v>
      </c>
      <c r="C1751" s="3" t="n">
        <v>45632</v>
      </c>
      <c r="E1751" s="0" t="s">
        <v>74</v>
      </c>
      <c r="F1751" s="21" t="s">
        <v>75</v>
      </c>
      <c r="L1751" s="0" t="str">
        <f aca="false">IF(H1751&gt;I1751,"ERRO","OK")</f>
        <v>OK</v>
      </c>
      <c r="M1751" s="0" t="str">
        <f aca="false">IF(H1751&gt;J1751,"ERRO","OK")</f>
        <v>OK</v>
      </c>
      <c r="N1751" s="0" t="str">
        <f aca="false">IF(I1751&lt;J1751,"ERRO","OK")</f>
        <v>OK</v>
      </c>
    </row>
    <row r="1752" customFormat="false" ht="14.25" hidden="false" customHeight="false" outlineLevel="0" collapsed="false">
      <c r="A1752" s="0" t="n">
        <v>82</v>
      </c>
      <c r="B1752" s="0" t="n">
        <v>2024</v>
      </c>
      <c r="C1752" s="3" t="n">
        <v>45639</v>
      </c>
      <c r="E1752" s="0" t="s">
        <v>16</v>
      </c>
      <c r="F1752" s="0" t="s">
        <v>17</v>
      </c>
      <c r="G1752" s="0" t="s">
        <v>442</v>
      </c>
      <c r="H1752" s="0" t="s">
        <v>372</v>
      </c>
      <c r="I1752" s="0" t="s">
        <v>372</v>
      </c>
      <c r="J1752" s="0" t="s">
        <v>471</v>
      </c>
      <c r="K1752" s="0" t="s">
        <v>370</v>
      </c>
      <c r="L1752" s="0" t="str">
        <f aca="false">IF(H1752&gt;I1752,"ERRO","OK")</f>
        <v>OK</v>
      </c>
      <c r="M1752" s="0" t="str">
        <f aca="false">IF(H1752&gt;J1752,"ERRO","OK")</f>
        <v>ERRO</v>
      </c>
      <c r="N1752" s="0" t="str">
        <f aca="false">IF(I1752&lt;J1752,"ERRO","OK")</f>
        <v>OK</v>
      </c>
    </row>
    <row r="1753" customFormat="false" ht="14.25" hidden="false" customHeight="false" outlineLevel="0" collapsed="false">
      <c r="A1753" s="0" t="n">
        <v>82</v>
      </c>
      <c r="B1753" s="0" t="n">
        <v>2024</v>
      </c>
      <c r="C1753" s="3" t="n">
        <v>45639</v>
      </c>
      <c r="E1753" s="0" t="s">
        <v>18</v>
      </c>
      <c r="F1753" s="0" t="s">
        <v>17</v>
      </c>
      <c r="H1753" s="0" t="s">
        <v>369</v>
      </c>
      <c r="I1753" s="0" t="s">
        <v>485</v>
      </c>
      <c r="J1753" s="0" t="s">
        <v>486</v>
      </c>
      <c r="K1753" s="0" t="s">
        <v>487</v>
      </c>
      <c r="L1753" s="0" t="str">
        <f aca="false">IF(H1753&gt;I1753,"ERRO","OK")</f>
        <v>OK</v>
      </c>
      <c r="M1753" s="0" t="str">
        <f aca="false">IF(H1753&gt;J1753,"ERRO","OK")</f>
        <v>OK</v>
      </c>
      <c r="N1753" s="0" t="str">
        <f aca="false">IF(I1753&lt;J1753,"ERRO","OK")</f>
        <v>OK</v>
      </c>
    </row>
    <row r="1754" customFormat="false" ht="14.25" hidden="false" customHeight="false" outlineLevel="0" collapsed="false">
      <c r="A1754" s="0" t="n">
        <v>82</v>
      </c>
      <c r="B1754" s="0" t="n">
        <v>2024</v>
      </c>
      <c r="C1754" s="3" t="n">
        <v>45639</v>
      </c>
      <c r="E1754" s="0" t="s">
        <v>19</v>
      </c>
      <c r="F1754" s="0" t="s">
        <v>17</v>
      </c>
      <c r="H1754" s="0" t="s">
        <v>370</v>
      </c>
      <c r="I1754" s="0" t="s">
        <v>369</v>
      </c>
      <c r="J1754" s="0" t="s">
        <v>369</v>
      </c>
      <c r="K1754" s="0" t="s">
        <v>369</v>
      </c>
      <c r="L1754" s="0" t="str">
        <f aca="false">IF(H1754&gt;I1754,"ERRO","OK")</f>
        <v>ERRO</v>
      </c>
      <c r="M1754" s="0" t="str">
        <f aca="false">IF(H1754&gt;J1754,"ERRO","OK")</f>
        <v>ERRO</v>
      </c>
      <c r="N1754" s="0" t="str">
        <f aca="false">IF(I1754&lt;J1754,"ERRO","OK")</f>
        <v>OK</v>
      </c>
    </row>
    <row r="1755" customFormat="false" ht="14.25" hidden="false" customHeight="false" outlineLevel="0" collapsed="false">
      <c r="A1755" s="0" t="n">
        <v>82</v>
      </c>
      <c r="B1755" s="0" t="n">
        <v>2024</v>
      </c>
      <c r="C1755" s="3" t="n">
        <v>45639</v>
      </c>
      <c r="E1755" s="0" t="s">
        <v>20</v>
      </c>
      <c r="F1755" s="0" t="s">
        <v>17</v>
      </c>
      <c r="G1755" s="0" t="s">
        <v>442</v>
      </c>
      <c r="H1755" s="0" t="s">
        <v>442</v>
      </c>
      <c r="I1755" s="0" t="s">
        <v>442</v>
      </c>
      <c r="J1755" s="0" t="s">
        <v>378</v>
      </c>
      <c r="K1755" s="0" t="s">
        <v>488</v>
      </c>
      <c r="L1755" s="0" t="str">
        <f aca="false">IF(H1755&gt;I1755,"ERRO","OK")</f>
        <v>OK</v>
      </c>
      <c r="M1755" s="0" t="str">
        <f aca="false">IF(H1755&gt;J1755,"ERRO","OK")</f>
        <v>ERRO</v>
      </c>
      <c r="N1755" s="0" t="str">
        <f aca="false">IF(I1755&lt;J1755,"ERRO","OK")</f>
        <v>OK</v>
      </c>
    </row>
    <row r="1756" customFormat="false" ht="14.25" hidden="false" customHeight="false" outlineLevel="0" collapsed="false">
      <c r="A1756" s="0" t="n">
        <v>82</v>
      </c>
      <c r="B1756" s="0" t="n">
        <v>2024</v>
      </c>
      <c r="C1756" s="3" t="n">
        <v>45639</v>
      </c>
      <c r="E1756" s="0" t="s">
        <v>21</v>
      </c>
      <c r="F1756" s="0" t="s">
        <v>17</v>
      </c>
      <c r="G1756" s="0" t="s">
        <v>374</v>
      </c>
      <c r="H1756" s="0" t="s">
        <v>431</v>
      </c>
      <c r="I1756" s="0" t="s">
        <v>442</v>
      </c>
      <c r="J1756" s="0" t="s">
        <v>489</v>
      </c>
      <c r="K1756" s="0" t="s">
        <v>374</v>
      </c>
      <c r="L1756" s="0" t="str">
        <f aca="false">IF(H1756&gt;I1756,"ERRO","OK")</f>
        <v>OK</v>
      </c>
      <c r="M1756" s="0" t="str">
        <f aca="false">IF(H1756&gt;J1756,"ERRO","OK")</f>
        <v>OK</v>
      </c>
      <c r="N1756" s="0" t="str">
        <f aca="false">IF(I1756&lt;J1756,"ERRO","OK")</f>
        <v>OK</v>
      </c>
    </row>
    <row r="1757" customFormat="false" ht="14.25" hidden="false" customHeight="false" outlineLevel="0" collapsed="false">
      <c r="A1757" s="0" t="n">
        <v>82</v>
      </c>
      <c r="B1757" s="0" t="n">
        <v>2024</v>
      </c>
      <c r="C1757" s="3" t="n">
        <v>45639</v>
      </c>
      <c r="E1757" s="0" t="s">
        <v>22</v>
      </c>
      <c r="F1757" s="0" t="s">
        <v>17</v>
      </c>
      <c r="G1757" s="0" t="s">
        <v>370</v>
      </c>
      <c r="H1757" s="0" t="s">
        <v>370</v>
      </c>
      <c r="I1757" s="0" t="s">
        <v>428</v>
      </c>
      <c r="J1757" s="0" t="s">
        <v>487</v>
      </c>
      <c r="K1757" s="0" t="s">
        <v>370</v>
      </c>
      <c r="L1757" s="0" t="str">
        <f aca="false">IF(H1757&gt;I1757,"ERRO","OK")</f>
        <v>OK</v>
      </c>
      <c r="M1757" s="0" t="str">
        <f aca="false">IF(H1757&gt;J1757,"ERRO","OK")</f>
        <v>OK</v>
      </c>
      <c r="N1757" s="0" t="str">
        <f aca="false">IF(I1757&lt;J1757,"ERRO","OK")</f>
        <v>OK</v>
      </c>
    </row>
    <row r="1758" customFormat="false" ht="14.25" hidden="false" customHeight="false" outlineLevel="0" collapsed="false">
      <c r="A1758" s="0" t="n">
        <v>82</v>
      </c>
      <c r="B1758" s="0" t="n">
        <v>2024</v>
      </c>
      <c r="C1758" s="3" t="n">
        <v>45639</v>
      </c>
      <c r="E1758" s="0" t="s">
        <v>23</v>
      </c>
      <c r="F1758" s="0" t="s">
        <v>17</v>
      </c>
      <c r="G1758" s="0" t="s">
        <v>370</v>
      </c>
      <c r="H1758" s="0" t="s">
        <v>370</v>
      </c>
      <c r="I1758" s="0" t="s">
        <v>371</v>
      </c>
      <c r="J1758" s="0" t="s">
        <v>470</v>
      </c>
      <c r="K1758" s="0" t="s">
        <v>370</v>
      </c>
      <c r="L1758" s="0" t="str">
        <f aca="false">IF(H1758&gt;I1758,"ERRO","OK")</f>
        <v>ERRO</v>
      </c>
      <c r="M1758" s="0" t="str">
        <f aca="false">IF(H1758&gt;J1758,"ERRO","OK")</f>
        <v>ERRO</v>
      </c>
      <c r="N1758" s="0" t="str">
        <f aca="false">IF(I1758&lt;J1758,"ERRO","OK")</f>
        <v>ERRO</v>
      </c>
    </row>
    <row r="1759" customFormat="false" ht="14.25" hidden="false" customHeight="false" outlineLevel="0" collapsed="false">
      <c r="A1759" s="0" t="n">
        <v>82</v>
      </c>
      <c r="B1759" s="0" t="n">
        <v>2024</v>
      </c>
      <c r="C1759" s="3" t="n">
        <v>45639</v>
      </c>
      <c r="E1759" s="0" t="s">
        <v>24</v>
      </c>
      <c r="F1759" s="0" t="s">
        <v>17</v>
      </c>
      <c r="G1759" s="0" t="s">
        <v>372</v>
      </c>
      <c r="H1759" s="0" t="s">
        <v>372</v>
      </c>
      <c r="I1759" s="0" t="s">
        <v>372</v>
      </c>
      <c r="J1759" s="0" t="s">
        <v>372</v>
      </c>
      <c r="K1759" s="0" t="s">
        <v>372</v>
      </c>
      <c r="L1759" s="0" t="str">
        <f aca="false">IF(H1759&gt;I1759,"ERRO","OK")</f>
        <v>OK</v>
      </c>
      <c r="M1759" s="0" t="str">
        <f aca="false">IF(H1759&gt;J1759,"ERRO","OK")</f>
        <v>OK</v>
      </c>
      <c r="N1759" s="0" t="str">
        <f aca="false">IF(I1759&lt;J1759,"ERRO","OK")</f>
        <v>OK</v>
      </c>
    </row>
    <row r="1760" customFormat="false" ht="14.25" hidden="false" customHeight="false" outlineLevel="0" collapsed="false">
      <c r="A1760" s="0" t="n">
        <v>82</v>
      </c>
      <c r="B1760" s="0" t="n">
        <v>2024</v>
      </c>
      <c r="C1760" s="3" t="n">
        <v>45639</v>
      </c>
      <c r="E1760" s="0" t="s">
        <v>25</v>
      </c>
      <c r="F1760" s="0" t="s">
        <v>17</v>
      </c>
      <c r="G1760" s="0" t="s">
        <v>394</v>
      </c>
      <c r="H1760" s="0" t="s">
        <v>378</v>
      </c>
      <c r="I1760" s="0" t="s">
        <v>379</v>
      </c>
      <c r="J1760" s="0" t="s">
        <v>490</v>
      </c>
      <c r="K1760" s="0" t="s">
        <v>394</v>
      </c>
      <c r="L1760" s="0" t="str">
        <f aca="false">IF(H1760&gt;I1760,"ERRO","OK")</f>
        <v>ERRO</v>
      </c>
      <c r="M1760" s="0" t="str">
        <f aca="false">IF(H1760&gt;J1760,"ERRO","OK")</f>
        <v>ERRO</v>
      </c>
      <c r="N1760" s="0" t="str">
        <f aca="false">IF(I1760&lt;J1760,"ERRO","OK")</f>
        <v>ERRO</v>
      </c>
    </row>
    <row r="1761" customFormat="false" ht="14.25" hidden="false" customHeight="false" outlineLevel="0" collapsed="false">
      <c r="A1761" s="0" t="n">
        <v>82</v>
      </c>
      <c r="B1761" s="0" t="n">
        <v>2024</v>
      </c>
      <c r="C1761" s="3" t="n">
        <v>45639</v>
      </c>
      <c r="E1761" s="0" t="s">
        <v>77</v>
      </c>
      <c r="F1761" s="0" t="s">
        <v>17</v>
      </c>
      <c r="G1761" s="0" t="s">
        <v>373</v>
      </c>
      <c r="H1761" s="0" t="s">
        <v>372</v>
      </c>
      <c r="I1761" s="0" t="s">
        <v>373</v>
      </c>
      <c r="J1761" s="0" t="s">
        <v>466</v>
      </c>
      <c r="K1761" s="0" t="s">
        <v>398</v>
      </c>
      <c r="L1761" s="0" t="str">
        <f aca="false">IF(H1761&gt;I1761,"ERRO","OK")</f>
        <v>OK</v>
      </c>
      <c r="M1761" s="0" t="str">
        <f aca="false">IF(H1761&gt;J1761,"ERRO","OK")</f>
        <v>OK</v>
      </c>
      <c r="N1761" s="0" t="str">
        <f aca="false">IF(I1761&lt;J1761,"ERRO","OK")</f>
        <v>OK</v>
      </c>
    </row>
    <row r="1762" customFormat="false" ht="14.25" hidden="false" customHeight="false" outlineLevel="0" collapsed="false">
      <c r="A1762" s="0" t="n">
        <v>82</v>
      </c>
      <c r="B1762" s="0" t="n">
        <v>2024</v>
      </c>
      <c r="C1762" s="3" t="n">
        <v>45639</v>
      </c>
      <c r="E1762" s="0" t="s">
        <v>27</v>
      </c>
      <c r="F1762" s="0" t="s">
        <v>17</v>
      </c>
      <c r="G1762" s="0" t="s">
        <v>374</v>
      </c>
      <c r="H1762" s="0" t="s">
        <v>374</v>
      </c>
      <c r="I1762" s="0" t="s">
        <v>442</v>
      </c>
      <c r="J1762" s="0" t="s">
        <v>377</v>
      </c>
      <c r="K1762" s="0" t="s">
        <v>377</v>
      </c>
      <c r="L1762" s="0" t="str">
        <f aca="false">IF(H1762&gt;I1762,"ERRO","OK")</f>
        <v>OK</v>
      </c>
      <c r="M1762" s="0" t="str">
        <f aca="false">IF(H1762&gt;J1762,"ERRO","OK")</f>
        <v>OK</v>
      </c>
      <c r="N1762" s="0" t="str">
        <f aca="false">IF(I1762&lt;J1762,"ERRO","OK")</f>
        <v>OK</v>
      </c>
    </row>
    <row r="1763" customFormat="false" ht="14.25" hidden="false" customHeight="false" outlineLevel="0" collapsed="false">
      <c r="A1763" s="0" t="n">
        <v>82</v>
      </c>
      <c r="B1763" s="0" t="n">
        <v>2024</v>
      </c>
      <c r="C1763" s="3" t="n">
        <v>45639</v>
      </c>
      <c r="E1763" s="0" t="s">
        <v>28</v>
      </c>
      <c r="F1763" s="0" t="s">
        <v>17</v>
      </c>
      <c r="G1763" s="0" t="s">
        <v>370</v>
      </c>
      <c r="H1763" s="0" t="s">
        <v>370</v>
      </c>
      <c r="I1763" s="0" t="s">
        <v>370</v>
      </c>
      <c r="J1763" s="0" t="s">
        <v>370</v>
      </c>
      <c r="K1763" s="0" t="s">
        <v>370</v>
      </c>
      <c r="L1763" s="0" t="str">
        <f aca="false">IF(H1763&gt;I1763,"ERRO","OK")</f>
        <v>OK</v>
      </c>
      <c r="M1763" s="0" t="str">
        <f aca="false">IF(H1763&gt;J1763,"ERRO","OK")</f>
        <v>OK</v>
      </c>
      <c r="N1763" s="0" t="str">
        <f aca="false">IF(I1763&lt;J1763,"ERRO","OK")</f>
        <v>OK</v>
      </c>
    </row>
    <row r="1764" customFormat="false" ht="14.25" hidden="false" customHeight="false" outlineLevel="0" collapsed="false">
      <c r="A1764" s="0" t="n">
        <v>82</v>
      </c>
      <c r="B1764" s="0" t="n">
        <v>2024</v>
      </c>
      <c r="C1764" s="3" t="n">
        <v>45639</v>
      </c>
      <c r="E1764" s="0" t="s">
        <v>29</v>
      </c>
      <c r="F1764" s="0" t="s">
        <v>30</v>
      </c>
      <c r="G1764" s="0" t="s">
        <v>370</v>
      </c>
      <c r="H1764" s="0" t="s">
        <v>370</v>
      </c>
      <c r="I1764" s="0" t="s">
        <v>369</v>
      </c>
      <c r="J1764" s="0" t="s">
        <v>370</v>
      </c>
      <c r="K1764" s="0" t="s">
        <v>491</v>
      </c>
      <c r="L1764" s="0" t="str">
        <f aca="false">IF(H1764&gt;I1764,"ERRO","OK")</f>
        <v>ERRO</v>
      </c>
      <c r="M1764" s="0" t="str">
        <f aca="false">IF(H1764&gt;J1764,"ERRO","OK")</f>
        <v>OK</v>
      </c>
      <c r="N1764" s="0" t="str">
        <f aca="false">IF(I1764&lt;J1764,"ERRO","OK")</f>
        <v>ERRO</v>
      </c>
    </row>
    <row r="1765" customFormat="false" ht="14.25" hidden="false" customHeight="false" outlineLevel="0" collapsed="false">
      <c r="A1765" s="0" t="n">
        <v>82</v>
      </c>
      <c r="B1765" s="0" t="n">
        <v>2024</v>
      </c>
      <c r="C1765" s="3" t="n">
        <v>45639</v>
      </c>
      <c r="E1765" s="0" t="s">
        <v>31</v>
      </c>
      <c r="F1765" s="0" t="s">
        <v>17</v>
      </c>
      <c r="G1765" s="0" t="s">
        <v>417</v>
      </c>
      <c r="H1765" s="0" t="s">
        <v>369</v>
      </c>
      <c r="I1765" s="0" t="s">
        <v>369</v>
      </c>
      <c r="J1765" s="0" t="s">
        <v>430</v>
      </c>
      <c r="K1765" s="0" t="s">
        <v>430</v>
      </c>
      <c r="L1765" s="0" t="str">
        <f aca="false">IF(H1765&gt;I1765,"ERRO","OK")</f>
        <v>OK</v>
      </c>
      <c r="M1765" s="0" t="str">
        <f aca="false">IF(H1765&gt;J1765,"ERRO","OK")</f>
        <v>OK</v>
      </c>
      <c r="N1765" s="0" t="str">
        <f aca="false">IF(I1765&lt;J1765,"ERRO","OK")</f>
        <v>ERRO</v>
      </c>
    </row>
    <row r="1766" customFormat="false" ht="14.25" hidden="false" customHeight="false" outlineLevel="0" collapsed="false">
      <c r="A1766" s="0" t="n">
        <v>82</v>
      </c>
      <c r="B1766" s="0" t="n">
        <v>2024</v>
      </c>
      <c r="C1766" s="3" t="n">
        <v>45639</v>
      </c>
      <c r="E1766" s="0" t="s">
        <v>32</v>
      </c>
      <c r="F1766" s="0" t="s">
        <v>17</v>
      </c>
      <c r="H1766" s="0" t="s">
        <v>374</v>
      </c>
      <c r="I1766" s="0" t="s">
        <v>442</v>
      </c>
      <c r="J1766" s="0" t="s">
        <v>492</v>
      </c>
      <c r="K1766" s="0" t="s">
        <v>442</v>
      </c>
      <c r="L1766" s="0" t="str">
        <f aca="false">IF(H1766&gt;I1766,"ERRO","OK")</f>
        <v>OK</v>
      </c>
      <c r="M1766" s="0" t="str">
        <f aca="false">IF(H1766&gt;J1766,"ERRO","OK")</f>
        <v>OK</v>
      </c>
      <c r="N1766" s="0" t="str">
        <f aca="false">IF(I1766&lt;J1766,"ERRO","OK")</f>
        <v>ERRO</v>
      </c>
    </row>
    <row r="1767" customFormat="false" ht="14.25" hidden="false" customHeight="false" outlineLevel="0" collapsed="false">
      <c r="A1767" s="0" t="n">
        <v>82</v>
      </c>
      <c r="B1767" s="0" t="n">
        <v>2024</v>
      </c>
      <c r="C1767" s="3" t="n">
        <v>45639</v>
      </c>
      <c r="E1767" s="0" t="s">
        <v>33</v>
      </c>
      <c r="F1767" s="0" t="s">
        <v>17</v>
      </c>
      <c r="G1767" s="0" t="s">
        <v>370</v>
      </c>
      <c r="H1767" s="0" t="s">
        <v>369</v>
      </c>
      <c r="I1767" s="0" t="s">
        <v>369</v>
      </c>
      <c r="J1767" s="0" t="s">
        <v>493</v>
      </c>
      <c r="K1767" s="0" t="s">
        <v>369</v>
      </c>
      <c r="L1767" s="0" t="str">
        <f aca="false">IF(H1767&gt;I1767,"ERRO","OK")</f>
        <v>OK</v>
      </c>
      <c r="M1767" s="0" t="str">
        <f aca="false">IF(H1767&gt;J1767,"ERRO","OK")</f>
        <v>OK</v>
      </c>
      <c r="N1767" s="0" t="str">
        <f aca="false">IF(I1767&lt;J1767,"ERRO","OK")</f>
        <v>ERRO</v>
      </c>
    </row>
    <row r="1768" customFormat="false" ht="14.25" hidden="false" customHeight="false" outlineLevel="0" collapsed="false">
      <c r="A1768" s="0" t="n">
        <v>82</v>
      </c>
      <c r="B1768" s="0" t="n">
        <v>2024</v>
      </c>
      <c r="C1768" s="3" t="n">
        <v>45639</v>
      </c>
      <c r="E1768" s="0" t="s">
        <v>35</v>
      </c>
      <c r="F1768" s="0" t="s">
        <v>36</v>
      </c>
      <c r="G1768" s="0" t="s">
        <v>473</v>
      </c>
      <c r="H1768" s="0" t="s">
        <v>390</v>
      </c>
      <c r="I1768" s="0" t="s">
        <v>390</v>
      </c>
      <c r="J1768" s="0" t="s">
        <v>494</v>
      </c>
      <c r="K1768" s="0" t="s">
        <v>390</v>
      </c>
      <c r="L1768" s="0" t="str">
        <f aca="false">IF(H1768&gt;I1768,"ERRO","OK")</f>
        <v>OK</v>
      </c>
      <c r="M1768" s="0" t="str">
        <f aca="false">IF(H1768&gt;J1768,"ERRO","OK")</f>
        <v>ERRO</v>
      </c>
      <c r="N1768" s="0" t="str">
        <f aca="false">IF(I1768&lt;J1768,"ERRO","OK")</f>
        <v>OK</v>
      </c>
    </row>
    <row r="1769" customFormat="false" ht="14.25" hidden="false" customHeight="false" outlineLevel="0" collapsed="false">
      <c r="A1769" s="0" t="n">
        <v>82</v>
      </c>
      <c r="B1769" s="0" t="n">
        <v>2024</v>
      </c>
      <c r="C1769" s="3" t="n">
        <v>45639</v>
      </c>
      <c r="E1769" s="0" t="s">
        <v>38</v>
      </c>
      <c r="F1769" s="0" t="s">
        <v>39</v>
      </c>
      <c r="G1769" s="0" t="s">
        <v>394</v>
      </c>
      <c r="H1769" s="0" t="s">
        <v>391</v>
      </c>
      <c r="I1769" s="0" t="s">
        <v>391</v>
      </c>
      <c r="J1769" s="0" t="s">
        <v>495</v>
      </c>
      <c r="K1769" s="0" t="s">
        <v>391</v>
      </c>
      <c r="L1769" s="0" t="str">
        <f aca="false">IF(H1769&gt;I1769,"ERRO","OK")</f>
        <v>OK</v>
      </c>
      <c r="M1769" s="0" t="str">
        <f aca="false">IF(H1769&gt;J1769,"ERRO","OK")</f>
        <v>OK</v>
      </c>
      <c r="N1769" s="0" t="str">
        <f aca="false">IF(I1769&lt;J1769,"ERRO","OK")</f>
        <v>ERRO</v>
      </c>
    </row>
    <row r="1770" customFormat="false" ht="14.25" hidden="false" customHeight="false" outlineLevel="0" collapsed="false">
      <c r="A1770" s="0" t="n">
        <v>82</v>
      </c>
      <c r="B1770" s="0" t="n">
        <v>2024</v>
      </c>
      <c r="C1770" s="3" t="n">
        <v>45639</v>
      </c>
      <c r="E1770" s="0" t="s">
        <v>40</v>
      </c>
      <c r="F1770" s="0" t="s">
        <v>39</v>
      </c>
      <c r="G1770" s="0" t="s">
        <v>374</v>
      </c>
      <c r="H1770" s="0" t="s">
        <v>394</v>
      </c>
      <c r="I1770" s="0" t="s">
        <v>394</v>
      </c>
      <c r="J1770" s="0" t="s">
        <v>472</v>
      </c>
      <c r="K1770" s="0" t="s">
        <v>394</v>
      </c>
      <c r="L1770" s="0" t="str">
        <f aca="false">IF(H1770&gt;I1770,"ERRO","OK")</f>
        <v>OK</v>
      </c>
      <c r="M1770" s="0" t="str">
        <f aca="false">IF(H1770&gt;J1770,"ERRO","OK")</f>
        <v>OK</v>
      </c>
      <c r="N1770" s="0" t="str">
        <f aca="false">IF(I1770&lt;J1770,"ERRO","OK")</f>
        <v>ERRO</v>
      </c>
    </row>
    <row r="1771" customFormat="false" ht="14.25" hidden="false" customHeight="false" outlineLevel="0" collapsed="false">
      <c r="A1771" s="0" t="n">
        <v>82</v>
      </c>
      <c r="B1771" s="0" t="n">
        <v>2024</v>
      </c>
      <c r="C1771" s="3" t="n">
        <v>45639</v>
      </c>
      <c r="E1771" s="0" t="s">
        <v>157</v>
      </c>
      <c r="F1771" s="0" t="s">
        <v>158</v>
      </c>
      <c r="G1771" s="0" t="s">
        <v>397</v>
      </c>
      <c r="H1771" s="0" t="s">
        <v>397</v>
      </c>
      <c r="I1771" s="0" t="s">
        <v>406</v>
      </c>
      <c r="J1771" s="0" t="s">
        <v>496</v>
      </c>
      <c r="K1771" s="0" t="s">
        <v>397</v>
      </c>
      <c r="L1771" s="0" t="str">
        <f aca="false">IF(H1771&gt;I1771,"ERRO","OK")</f>
        <v>ERRO</v>
      </c>
      <c r="M1771" s="0" t="str">
        <f aca="false">IF(H1771&gt;J1771,"ERRO","OK")</f>
        <v>ERRO</v>
      </c>
      <c r="N1771" s="0" t="str">
        <f aca="false">IF(I1771&lt;J1771,"ERRO","OK")</f>
        <v>ERRO</v>
      </c>
    </row>
    <row r="1772" customFormat="false" ht="14.25" hidden="false" customHeight="false" outlineLevel="0" collapsed="false">
      <c r="A1772" s="0" t="n">
        <v>82</v>
      </c>
      <c r="B1772" s="0" t="n">
        <v>2024</v>
      </c>
      <c r="C1772" s="3" t="n">
        <v>45639</v>
      </c>
      <c r="E1772" s="0" t="s">
        <v>43</v>
      </c>
      <c r="F1772" s="0" t="s">
        <v>44</v>
      </c>
      <c r="G1772" s="0" t="s">
        <v>370</v>
      </c>
      <c r="H1772" s="0" t="s">
        <v>370</v>
      </c>
      <c r="I1772" s="0" t="s">
        <v>398</v>
      </c>
      <c r="J1772" s="0" t="s">
        <v>430</v>
      </c>
      <c r="K1772" s="0" t="s">
        <v>382</v>
      </c>
      <c r="L1772" s="0" t="str">
        <f aca="false">IF(H1772&gt;I1772,"ERRO","OK")</f>
        <v>OK</v>
      </c>
      <c r="M1772" s="0" t="str">
        <f aca="false">IF(H1772&gt;J1772,"ERRO","OK")</f>
        <v>OK</v>
      </c>
      <c r="N1772" s="0" t="str">
        <f aca="false">IF(I1772&lt;J1772,"ERRO","OK")</f>
        <v>OK</v>
      </c>
    </row>
    <row r="1773" customFormat="false" ht="14.25" hidden="false" customHeight="false" outlineLevel="0" collapsed="false">
      <c r="A1773" s="0" t="n">
        <v>82</v>
      </c>
      <c r="B1773" s="0" t="n">
        <v>2024</v>
      </c>
      <c r="C1773" s="3" t="n">
        <v>45639</v>
      </c>
      <c r="E1773" s="0" t="s">
        <v>46</v>
      </c>
      <c r="F1773" s="0" t="s">
        <v>47</v>
      </c>
      <c r="G1773" s="0" t="s">
        <v>382</v>
      </c>
      <c r="H1773" s="0" t="s">
        <v>402</v>
      </c>
      <c r="I1773" s="0" t="s">
        <v>382</v>
      </c>
      <c r="J1773" s="0" t="s">
        <v>370</v>
      </c>
      <c r="K1773" s="0" t="s">
        <v>406</v>
      </c>
      <c r="L1773" s="0" t="str">
        <f aca="false">IF(H1773&gt;I1773,"ERRO","OK")</f>
        <v>OK</v>
      </c>
      <c r="M1773" s="0" t="str">
        <f aca="false">IF(H1773&gt;J1773,"ERRO","OK")</f>
        <v>OK</v>
      </c>
      <c r="N1773" s="0" t="str">
        <f aca="false">IF(I1773&lt;J1773,"ERRO","OK")</f>
        <v>OK</v>
      </c>
    </row>
    <row r="1774" customFormat="false" ht="14.25" hidden="false" customHeight="false" outlineLevel="0" collapsed="false">
      <c r="A1774" s="0" t="n">
        <v>82</v>
      </c>
      <c r="B1774" s="0" t="n">
        <v>2024</v>
      </c>
      <c r="C1774" s="3" t="n">
        <v>45639</v>
      </c>
      <c r="E1774" s="0" t="s">
        <v>48</v>
      </c>
      <c r="F1774" s="0" t="s">
        <v>49</v>
      </c>
      <c r="G1774" s="0" t="s">
        <v>405</v>
      </c>
      <c r="H1774" s="0" t="s">
        <v>405</v>
      </c>
      <c r="I1774" s="0" t="s">
        <v>405</v>
      </c>
      <c r="J1774" s="0" t="s">
        <v>405</v>
      </c>
      <c r="K1774" s="0" t="s">
        <v>405</v>
      </c>
      <c r="L1774" s="0" t="str">
        <f aca="false">IF(H1774&gt;I1774,"ERRO","OK")</f>
        <v>OK</v>
      </c>
      <c r="M1774" s="0" t="str">
        <f aca="false">IF(H1774&gt;J1774,"ERRO","OK")</f>
        <v>OK</v>
      </c>
      <c r="N1774" s="0" t="str">
        <f aca="false">IF(I1774&lt;J1774,"ERRO","OK")</f>
        <v>OK</v>
      </c>
    </row>
    <row r="1775" customFormat="false" ht="14.25" hidden="false" customHeight="false" outlineLevel="0" collapsed="false">
      <c r="A1775" s="0" t="n">
        <v>82</v>
      </c>
      <c r="B1775" s="0" t="n">
        <v>2024</v>
      </c>
      <c r="C1775" s="3" t="n">
        <v>45639</v>
      </c>
      <c r="E1775" s="0" t="s">
        <v>52</v>
      </c>
      <c r="F1775" s="0" t="s">
        <v>49</v>
      </c>
      <c r="H1775" s="0" t="s">
        <v>397</v>
      </c>
      <c r="I1775" s="0" t="s">
        <v>397</v>
      </c>
      <c r="J1775" s="0" t="s">
        <v>397</v>
      </c>
      <c r="K1775" s="0" t="s">
        <v>397</v>
      </c>
      <c r="L1775" s="0" t="str">
        <f aca="false">IF(H1775&gt;I1775,"ERRO","OK")</f>
        <v>OK</v>
      </c>
      <c r="M1775" s="0" t="str">
        <f aca="false">IF(H1775&gt;J1775,"ERRO","OK")</f>
        <v>OK</v>
      </c>
      <c r="N1775" s="0" t="str">
        <f aca="false">IF(I1775&lt;J1775,"ERRO","OK")</f>
        <v>OK</v>
      </c>
    </row>
    <row r="1776" customFormat="false" ht="14.25" hidden="false" customHeight="false" outlineLevel="0" collapsed="false">
      <c r="A1776" s="0" t="n">
        <v>82</v>
      </c>
      <c r="B1776" s="0" t="n">
        <v>2024</v>
      </c>
      <c r="C1776" s="3" t="n">
        <v>45639</v>
      </c>
      <c r="E1776" s="0" t="s">
        <v>53</v>
      </c>
      <c r="F1776" s="0" t="s">
        <v>54</v>
      </c>
      <c r="G1776" s="0" t="s">
        <v>382</v>
      </c>
      <c r="H1776" s="0" t="s">
        <v>405</v>
      </c>
      <c r="I1776" s="0" t="s">
        <v>405</v>
      </c>
      <c r="J1776" s="0" t="s">
        <v>471</v>
      </c>
      <c r="K1776" s="0" t="s">
        <v>408</v>
      </c>
      <c r="L1776" s="0" t="str">
        <f aca="false">IF(H1776&gt;I1776,"ERRO","OK")</f>
        <v>OK</v>
      </c>
      <c r="M1776" s="0" t="str">
        <f aca="false">IF(H1776&gt;J1776,"ERRO","OK")</f>
        <v>OK</v>
      </c>
      <c r="N1776" s="0" t="str">
        <f aca="false">IF(I1776&lt;J1776,"ERRO","OK")</f>
        <v>ERRO</v>
      </c>
    </row>
    <row r="1777" customFormat="false" ht="14.25" hidden="false" customHeight="false" outlineLevel="0" collapsed="false">
      <c r="A1777" s="0" t="n">
        <v>82</v>
      </c>
      <c r="B1777" s="0" t="n">
        <v>2024</v>
      </c>
      <c r="C1777" s="3" t="n">
        <v>45639</v>
      </c>
      <c r="E1777" s="0" t="s">
        <v>56</v>
      </c>
      <c r="F1777" s="0" t="s">
        <v>47</v>
      </c>
      <c r="G1777" s="0" t="s">
        <v>382</v>
      </c>
      <c r="H1777" s="0" t="s">
        <v>409</v>
      </c>
      <c r="I1777" s="0" t="s">
        <v>405</v>
      </c>
      <c r="J1777" s="0" t="s">
        <v>371</v>
      </c>
      <c r="K1777" s="0" t="s">
        <v>405</v>
      </c>
      <c r="L1777" s="0" t="str">
        <f aca="false">IF(H1777&gt;I1777,"ERRO","OK")</f>
        <v>OK</v>
      </c>
      <c r="M1777" s="0" t="str">
        <f aca="false">IF(H1777&gt;J1777,"ERRO","OK")</f>
        <v>OK</v>
      </c>
      <c r="N1777" s="0" t="str">
        <f aca="false">IF(I1777&lt;J1777,"ERRO","OK")</f>
        <v>ERRO</v>
      </c>
    </row>
    <row r="1778" customFormat="false" ht="14.25" hidden="false" customHeight="false" outlineLevel="0" collapsed="false">
      <c r="A1778" s="0" t="n">
        <v>82</v>
      </c>
      <c r="B1778" s="0" t="n">
        <v>2024</v>
      </c>
      <c r="C1778" s="3" t="n">
        <v>45639</v>
      </c>
      <c r="E1778" s="0" t="s">
        <v>57</v>
      </c>
      <c r="F1778" s="0" t="s">
        <v>47</v>
      </c>
      <c r="G1778" s="0" t="s">
        <v>405</v>
      </c>
      <c r="H1778" s="0" t="s">
        <v>409</v>
      </c>
      <c r="I1778" s="0" t="s">
        <v>370</v>
      </c>
      <c r="J1778" s="0" t="s">
        <v>405</v>
      </c>
      <c r="K1778" s="0" t="s">
        <v>405</v>
      </c>
      <c r="L1778" s="0" t="str">
        <f aca="false">IF(H1778&gt;I1778,"ERRO","OK")</f>
        <v>OK</v>
      </c>
      <c r="M1778" s="0" t="str">
        <f aca="false">IF(H1778&gt;J1778,"ERRO","OK")</f>
        <v>OK</v>
      </c>
      <c r="N1778" s="0" t="str">
        <f aca="false">IF(I1778&lt;J1778,"ERRO","OK")</f>
        <v>OK</v>
      </c>
    </row>
    <row r="1779" customFormat="false" ht="14.25" hidden="false" customHeight="false" outlineLevel="0" collapsed="false">
      <c r="A1779" s="0" t="n">
        <v>82</v>
      </c>
      <c r="B1779" s="0" t="n">
        <v>2024</v>
      </c>
      <c r="C1779" s="3" t="n">
        <v>45639</v>
      </c>
      <c r="E1779" s="0" t="s">
        <v>58</v>
      </c>
      <c r="F1779" s="0" t="s">
        <v>44</v>
      </c>
      <c r="G1779" s="0" t="s">
        <v>417</v>
      </c>
      <c r="H1779" s="0" t="s">
        <v>398</v>
      </c>
      <c r="I1779" s="0" t="s">
        <v>398</v>
      </c>
      <c r="J1779" s="0" t="s">
        <v>497</v>
      </c>
      <c r="K1779" s="0" t="s">
        <v>497</v>
      </c>
      <c r="L1779" s="0" t="str">
        <f aca="false">IF(H1779&gt;I1779,"ERRO","OK")</f>
        <v>OK</v>
      </c>
      <c r="M1779" s="0" t="str">
        <f aca="false">IF(H1779&gt;J1779,"ERRO","OK")</f>
        <v>OK</v>
      </c>
      <c r="N1779" s="0" t="str">
        <f aca="false">IF(I1779&lt;J1779,"ERRO","OK")</f>
        <v>ERRO</v>
      </c>
    </row>
    <row r="1780" customFormat="false" ht="14.25" hidden="false" customHeight="false" outlineLevel="0" collapsed="false">
      <c r="A1780" s="0" t="n">
        <v>82</v>
      </c>
      <c r="B1780" s="0" t="n">
        <v>2024</v>
      </c>
      <c r="C1780" s="3" t="n">
        <v>45639</v>
      </c>
      <c r="E1780" s="0" t="s">
        <v>60</v>
      </c>
      <c r="F1780" s="0" t="s">
        <v>47</v>
      </c>
      <c r="H1780" s="0" t="s">
        <v>398</v>
      </c>
      <c r="I1780" s="0" t="s">
        <v>382</v>
      </c>
      <c r="J1780" s="0" t="s">
        <v>397</v>
      </c>
      <c r="K1780" s="0" t="s">
        <v>397</v>
      </c>
      <c r="L1780" s="0" t="str">
        <f aca="false">IF(H1780&gt;I1780,"ERRO","OK")</f>
        <v>ERRO</v>
      </c>
      <c r="M1780" s="0" t="str">
        <f aca="false">IF(H1780&gt;J1780,"ERRO","OK")</f>
        <v>ERRO</v>
      </c>
      <c r="N1780" s="0" t="str">
        <f aca="false">IF(I1780&lt;J1780,"ERRO","OK")</f>
        <v>ERRO</v>
      </c>
    </row>
    <row r="1781" customFormat="false" ht="14.25" hidden="false" customHeight="false" outlineLevel="0" collapsed="false">
      <c r="A1781" s="0" t="n">
        <v>82</v>
      </c>
      <c r="B1781" s="0" t="n">
        <v>2024</v>
      </c>
      <c r="C1781" s="3" t="n">
        <v>45639</v>
      </c>
      <c r="E1781" s="0" t="s">
        <v>61</v>
      </c>
      <c r="F1781" s="0" t="s">
        <v>44</v>
      </c>
      <c r="H1781" s="0" t="s">
        <v>370</v>
      </c>
      <c r="I1781" s="0" t="s">
        <v>409</v>
      </c>
      <c r="J1781" s="0" t="s">
        <v>405</v>
      </c>
      <c r="K1781" s="0" t="s">
        <v>405</v>
      </c>
      <c r="L1781" s="0" t="str">
        <f aca="false">IF(H1781&gt;I1781,"ERRO","OK")</f>
        <v>ERRO</v>
      </c>
      <c r="M1781" s="0" t="str">
        <f aca="false">IF(H1781&gt;J1781,"ERRO","OK")</f>
        <v>ERRO</v>
      </c>
      <c r="N1781" s="0" t="str">
        <f aca="false">IF(I1781&lt;J1781,"ERRO","OK")</f>
        <v>ERRO</v>
      </c>
    </row>
    <row r="1782" customFormat="false" ht="14.25" hidden="false" customHeight="false" outlineLevel="0" collapsed="false">
      <c r="A1782" s="0" t="n">
        <v>82</v>
      </c>
      <c r="B1782" s="0" t="n">
        <v>2024</v>
      </c>
      <c r="C1782" s="3" t="n">
        <v>45639</v>
      </c>
      <c r="E1782" s="0" t="s">
        <v>62</v>
      </c>
      <c r="F1782" s="0" t="s">
        <v>44</v>
      </c>
      <c r="G1782" s="0" t="s">
        <v>398</v>
      </c>
      <c r="H1782" s="0" t="s">
        <v>382</v>
      </c>
      <c r="I1782" s="0" t="s">
        <v>402</v>
      </c>
      <c r="J1782" s="0" t="s">
        <v>487</v>
      </c>
      <c r="K1782" s="0" t="s">
        <v>382</v>
      </c>
      <c r="L1782" s="0" t="str">
        <f aca="false">IF(H1782&gt;I1782,"ERRO","OK")</f>
        <v>ERRO</v>
      </c>
      <c r="M1782" s="0" t="str">
        <f aca="false">IF(H1782&gt;J1782,"ERRO","OK")</f>
        <v>ERRO</v>
      </c>
      <c r="N1782" s="0" t="str">
        <f aca="false">IF(I1782&lt;J1782,"ERRO","OK")</f>
        <v>ERRO</v>
      </c>
    </row>
    <row r="1783" customFormat="false" ht="14.25" hidden="false" customHeight="false" outlineLevel="0" collapsed="false">
      <c r="A1783" s="0" t="n">
        <v>82</v>
      </c>
      <c r="B1783" s="0" t="n">
        <v>2024</v>
      </c>
      <c r="C1783" s="3" t="n">
        <v>45639</v>
      </c>
      <c r="E1783" s="0" t="s">
        <v>63</v>
      </c>
      <c r="F1783" s="0" t="s">
        <v>49</v>
      </c>
      <c r="G1783" s="0" t="s">
        <v>405</v>
      </c>
      <c r="H1783" s="0" t="s">
        <v>405</v>
      </c>
      <c r="I1783" s="0" t="s">
        <v>409</v>
      </c>
      <c r="J1783" s="0" t="s">
        <v>498</v>
      </c>
      <c r="K1783" s="0" t="s">
        <v>402</v>
      </c>
      <c r="L1783" s="0" t="str">
        <f aca="false">IF(H1783&gt;I1783,"ERRO","OK")</f>
        <v>ERRO</v>
      </c>
      <c r="M1783" s="0" t="str">
        <f aca="false">IF(H1783&gt;J1783,"ERRO","OK")</f>
        <v>ERRO</v>
      </c>
      <c r="N1783" s="0" t="str">
        <f aca="false">IF(I1783&lt;J1783,"ERRO","OK")</f>
        <v>ERRO</v>
      </c>
    </row>
    <row r="1784" customFormat="false" ht="14.25" hidden="false" customHeight="false" outlineLevel="0" collapsed="false">
      <c r="A1784" s="0" t="n">
        <v>82</v>
      </c>
      <c r="B1784" s="0" t="n">
        <v>2024</v>
      </c>
      <c r="C1784" s="3" t="n">
        <v>45639</v>
      </c>
      <c r="E1784" s="0" t="s">
        <v>64</v>
      </c>
      <c r="F1784" s="0" t="s">
        <v>65</v>
      </c>
      <c r="G1784" s="0" t="s">
        <v>427</v>
      </c>
      <c r="H1784" s="0" t="s">
        <v>497</v>
      </c>
      <c r="I1784" s="0" t="s">
        <v>427</v>
      </c>
      <c r="J1784" s="0" t="s">
        <v>424</v>
      </c>
      <c r="K1784" s="0" t="s">
        <v>427</v>
      </c>
      <c r="L1784" s="0" t="str">
        <f aca="false">IF(H1784&gt;I1784,"ERRO","OK")</f>
        <v>ERRO</v>
      </c>
      <c r="M1784" s="0" t="str">
        <f aca="false">IF(H1784&gt;J1784,"ERRO","OK")</f>
        <v>OK</v>
      </c>
      <c r="N1784" s="0" t="str">
        <f aca="false">IF(I1784&lt;J1784,"ERRO","OK")</f>
        <v>ERRO</v>
      </c>
    </row>
    <row r="1785" customFormat="false" ht="14.25" hidden="false" customHeight="false" outlineLevel="0" collapsed="false">
      <c r="A1785" s="0" t="n">
        <v>82</v>
      </c>
      <c r="B1785" s="0" t="n">
        <v>2024</v>
      </c>
      <c r="C1785" s="3" t="n">
        <v>45639</v>
      </c>
      <c r="E1785" s="0" t="s">
        <v>67</v>
      </c>
      <c r="F1785" s="0" t="s">
        <v>44</v>
      </c>
      <c r="G1785" s="0" t="s">
        <v>405</v>
      </c>
      <c r="H1785" s="0" t="s">
        <v>405</v>
      </c>
      <c r="I1785" s="0" t="s">
        <v>382</v>
      </c>
      <c r="J1785" s="0" t="s">
        <v>471</v>
      </c>
      <c r="K1785" s="0" t="s">
        <v>408</v>
      </c>
      <c r="L1785" s="0" t="str">
        <f aca="false">IF(H1785&gt;I1785,"ERRO","OK")</f>
        <v>OK</v>
      </c>
      <c r="M1785" s="0" t="str">
        <f aca="false">IF(H1785&gt;J1785,"ERRO","OK")</f>
        <v>OK</v>
      </c>
      <c r="N1785" s="0" t="str">
        <f aca="false">IF(I1785&lt;J1785,"ERRO","OK")</f>
        <v>OK</v>
      </c>
    </row>
    <row r="1786" customFormat="false" ht="14.25" hidden="false" customHeight="false" outlineLevel="0" collapsed="false">
      <c r="A1786" s="0" t="n">
        <v>82</v>
      </c>
      <c r="B1786" s="0" t="n">
        <v>2024</v>
      </c>
      <c r="C1786" s="3" t="n">
        <v>45639</v>
      </c>
      <c r="E1786" s="0" t="s">
        <v>68</v>
      </c>
      <c r="F1786" s="0" t="s">
        <v>44</v>
      </c>
      <c r="G1786" s="0" t="s">
        <v>382</v>
      </c>
      <c r="H1786" s="0" t="s">
        <v>382</v>
      </c>
      <c r="I1786" s="0" t="s">
        <v>370</v>
      </c>
      <c r="J1786" s="0" t="s">
        <v>428</v>
      </c>
      <c r="K1786" s="0" t="s">
        <v>382</v>
      </c>
      <c r="L1786" s="0" t="str">
        <f aca="false">IF(H1786&gt;I1786,"ERRO","OK")</f>
        <v>ERRO</v>
      </c>
      <c r="M1786" s="0" t="str">
        <f aca="false">IF(H1786&gt;J1786,"ERRO","OK")</f>
        <v>ERRO</v>
      </c>
      <c r="N1786" s="0" t="str">
        <f aca="false">IF(I1786&lt;J1786,"ERRO","OK")</f>
        <v>ERRO</v>
      </c>
    </row>
    <row r="1787" customFormat="false" ht="14.25" hidden="false" customHeight="false" outlineLevel="0" collapsed="false">
      <c r="A1787" s="0" t="n">
        <v>82</v>
      </c>
      <c r="B1787" s="0" t="n">
        <v>2024</v>
      </c>
      <c r="C1787" s="3" t="n">
        <v>45639</v>
      </c>
      <c r="E1787" s="0" t="s">
        <v>70</v>
      </c>
      <c r="F1787" s="0" t="s">
        <v>49</v>
      </c>
      <c r="L1787" s="0" t="str">
        <f aca="false">IF(H1787&gt;I1787,"ERRO","OK")</f>
        <v>OK</v>
      </c>
      <c r="M1787" s="0" t="str">
        <f aca="false">IF(H1787&gt;J1787,"ERRO","OK")</f>
        <v>OK</v>
      </c>
      <c r="N1787" s="0" t="str">
        <f aca="false">IF(I1787&lt;J1787,"ERRO","OK")</f>
        <v>OK</v>
      </c>
    </row>
    <row r="1788" customFormat="false" ht="14.25" hidden="false" customHeight="false" outlineLevel="0" collapsed="false">
      <c r="A1788" s="0" t="n">
        <v>82</v>
      </c>
      <c r="B1788" s="0" t="n">
        <v>2024</v>
      </c>
      <c r="C1788" s="3" t="n">
        <v>45639</v>
      </c>
      <c r="E1788" s="0" t="s">
        <v>71</v>
      </c>
      <c r="F1788" s="0" t="s">
        <v>49</v>
      </c>
      <c r="L1788" s="0" t="str">
        <f aca="false">IF(H1788&gt;I1788,"ERRO","OK")</f>
        <v>OK</v>
      </c>
      <c r="M1788" s="0" t="str">
        <f aca="false">IF(H1788&gt;J1788,"ERRO","OK")</f>
        <v>OK</v>
      </c>
      <c r="N1788" s="0" t="str">
        <f aca="false">IF(I1788&lt;J1788,"ERRO","OK")</f>
        <v>OK</v>
      </c>
    </row>
    <row r="1789" customFormat="false" ht="14.25" hidden="false" customHeight="false" outlineLevel="0" collapsed="false">
      <c r="A1789" s="0" t="n">
        <v>82</v>
      </c>
      <c r="B1789" s="0" t="n">
        <v>2024</v>
      </c>
      <c r="C1789" s="3" t="n">
        <v>45639</v>
      </c>
      <c r="E1789" s="0" t="s">
        <v>72</v>
      </c>
      <c r="F1789" s="0" t="s">
        <v>49</v>
      </c>
      <c r="L1789" s="0" t="str">
        <f aca="false">IF(H1789&gt;I1789,"ERRO","OK")</f>
        <v>OK</v>
      </c>
      <c r="M1789" s="0" t="str">
        <f aca="false">IF(H1789&gt;J1789,"ERRO","OK")</f>
        <v>OK</v>
      </c>
      <c r="N1789" s="0" t="str">
        <f aca="false">IF(I1789&lt;J1789,"ERRO","OK")</f>
        <v>OK</v>
      </c>
    </row>
    <row r="1790" customFormat="false" ht="14.25" hidden="false" customHeight="false" outlineLevel="0" collapsed="false">
      <c r="A1790" s="0" t="n">
        <v>82</v>
      </c>
      <c r="B1790" s="0" t="n">
        <v>2024</v>
      </c>
      <c r="C1790" s="3" t="n">
        <v>45639</v>
      </c>
      <c r="E1790" s="0" t="s">
        <v>73</v>
      </c>
      <c r="F1790" s="0" t="s">
        <v>49</v>
      </c>
      <c r="H1790" s="0" t="s">
        <v>370</v>
      </c>
      <c r="I1790" s="0" t="s">
        <v>370</v>
      </c>
      <c r="J1790" s="0" t="s">
        <v>370</v>
      </c>
      <c r="K1790" s="0" t="s">
        <v>370</v>
      </c>
      <c r="L1790" s="0" t="str">
        <f aca="false">IF(H1790&gt;I1790,"ERRO","OK")</f>
        <v>OK</v>
      </c>
      <c r="M1790" s="0" t="str">
        <f aca="false">IF(H1790&gt;J1790,"ERRO","OK")</f>
        <v>OK</v>
      </c>
      <c r="N1790" s="0" t="str">
        <f aca="false">IF(I1790&lt;J1790,"ERRO","OK")</f>
        <v>OK</v>
      </c>
    </row>
    <row r="1791" customFormat="false" ht="14.25" hidden="false" customHeight="false" outlineLevel="0" collapsed="false">
      <c r="A1791" s="0" t="n">
        <v>82</v>
      </c>
      <c r="B1791" s="0" t="n">
        <v>2024</v>
      </c>
      <c r="C1791" s="3" t="n">
        <v>45639</v>
      </c>
      <c r="E1791" s="0" t="s">
        <v>74</v>
      </c>
      <c r="F1791" s="21" t="s">
        <v>75</v>
      </c>
      <c r="L1791" s="0" t="str">
        <f aca="false">IF(H1791&gt;I1791,"ERRO","OK")</f>
        <v>OK</v>
      </c>
      <c r="M1791" s="0" t="str">
        <f aca="false">IF(H1791&gt;J1791,"ERRO","OK")</f>
        <v>OK</v>
      </c>
      <c r="N1791" s="0" t="str">
        <f aca="false">IF(I1791&lt;J1791,"ERRO","OK")</f>
        <v>OK</v>
      </c>
    </row>
    <row r="1792" customFormat="false" ht="14.25" hidden="false" customHeight="false" outlineLevel="0" collapsed="false">
      <c r="A1792" s="0" t="n">
        <v>83</v>
      </c>
      <c r="B1792" s="0" t="n">
        <v>2024</v>
      </c>
      <c r="C1792" s="3" t="n">
        <v>45646</v>
      </c>
      <c r="E1792" s="0" t="s">
        <v>16</v>
      </c>
      <c r="F1792" s="0" t="s">
        <v>17</v>
      </c>
      <c r="G1792" s="0" t="s">
        <v>370</v>
      </c>
      <c r="H1792" s="0" t="s">
        <v>372</v>
      </c>
      <c r="I1792" s="0" t="s">
        <v>372</v>
      </c>
      <c r="J1792" s="0" t="s">
        <v>441</v>
      </c>
      <c r="K1792" s="0" t="s">
        <v>372</v>
      </c>
      <c r="L1792" s="0" t="str">
        <f aca="false">IF(H1792&gt;I1792,"ERRO","OK")</f>
        <v>OK</v>
      </c>
      <c r="M1792" s="0" t="str">
        <f aca="false">IF(H1792&gt;J1792,"ERRO","OK")</f>
        <v>ERRO</v>
      </c>
      <c r="N1792" s="0" t="str">
        <f aca="false">IF(I1792&lt;J1792,"ERRO","OK")</f>
        <v>OK</v>
      </c>
    </row>
    <row r="1793" customFormat="false" ht="14.25" hidden="false" customHeight="false" outlineLevel="0" collapsed="false">
      <c r="A1793" s="0" t="n">
        <v>83</v>
      </c>
      <c r="B1793" s="0" t="n">
        <v>2024</v>
      </c>
      <c r="C1793" s="3" t="n">
        <v>45646</v>
      </c>
      <c r="E1793" s="0" t="s">
        <v>18</v>
      </c>
      <c r="F1793" s="0" t="s">
        <v>17</v>
      </c>
      <c r="G1793" s="0" t="s">
        <v>372</v>
      </c>
      <c r="H1793" s="0" t="s">
        <v>373</v>
      </c>
      <c r="I1793" s="0" t="s">
        <v>373</v>
      </c>
      <c r="J1793" s="0" t="s">
        <v>398</v>
      </c>
      <c r="K1793" s="0" t="s">
        <v>373</v>
      </c>
      <c r="L1793" s="0" t="str">
        <f aca="false">IF(H1793&gt;I1793,"ERRO","OK")</f>
        <v>OK</v>
      </c>
      <c r="M1793" s="0" t="str">
        <f aca="false">IF(H1793&gt;J1793,"ERRO","OK")</f>
        <v>ERRO</v>
      </c>
      <c r="N1793" s="0" t="str">
        <f aca="false">IF(I1793&lt;J1793,"ERRO","OK")</f>
        <v>OK</v>
      </c>
    </row>
    <row r="1794" customFormat="false" ht="14.25" hidden="false" customHeight="false" outlineLevel="0" collapsed="false">
      <c r="A1794" s="0" t="n">
        <v>83</v>
      </c>
      <c r="B1794" s="0" t="n">
        <v>2024</v>
      </c>
      <c r="C1794" s="3" t="n">
        <v>45646</v>
      </c>
      <c r="E1794" s="0" t="s">
        <v>19</v>
      </c>
      <c r="F1794" s="0" t="s">
        <v>17</v>
      </c>
      <c r="G1794" s="0" t="s">
        <v>442</v>
      </c>
      <c r="H1794" s="0" t="s">
        <v>402</v>
      </c>
      <c r="I1794" s="0" t="s">
        <v>370</v>
      </c>
      <c r="J1794" s="0" t="s">
        <v>499</v>
      </c>
      <c r="K1794" s="0" t="s">
        <v>402</v>
      </c>
      <c r="L1794" s="0" t="str">
        <f aca="false">IF(H1794&gt;I1794,"ERRO","OK")</f>
        <v>OK</v>
      </c>
      <c r="M1794" s="0" t="str">
        <f aca="false">IF(H1794&gt;J1794,"ERRO","OK")</f>
        <v>OK</v>
      </c>
      <c r="N1794" s="0" t="str">
        <f aca="false">IF(I1794&lt;J1794,"ERRO","OK")</f>
        <v>OK</v>
      </c>
    </row>
    <row r="1795" customFormat="false" ht="14.25" hidden="false" customHeight="false" outlineLevel="0" collapsed="false">
      <c r="A1795" s="0" t="n">
        <v>83</v>
      </c>
      <c r="B1795" s="0" t="n">
        <v>2024</v>
      </c>
      <c r="C1795" s="3" t="n">
        <v>45646</v>
      </c>
      <c r="E1795" s="0" t="s">
        <v>20</v>
      </c>
      <c r="F1795" s="0" t="s">
        <v>17</v>
      </c>
      <c r="G1795" s="0" t="s">
        <v>378</v>
      </c>
      <c r="H1795" s="0" t="s">
        <v>374</v>
      </c>
      <c r="I1795" s="0" t="s">
        <v>374</v>
      </c>
      <c r="J1795" s="0" t="s">
        <v>443</v>
      </c>
      <c r="K1795" s="0" t="s">
        <v>396</v>
      </c>
      <c r="L1795" s="0" t="str">
        <f aca="false">IF(H1795&gt;I1795,"ERRO","OK")</f>
        <v>OK</v>
      </c>
      <c r="M1795" s="0" t="str">
        <f aca="false">IF(H1795&gt;J1795,"ERRO","OK")</f>
        <v>ERRO</v>
      </c>
      <c r="N1795" s="0" t="str">
        <f aca="false">IF(I1795&lt;J1795,"ERRO","OK")</f>
        <v>OK</v>
      </c>
    </row>
    <row r="1796" customFormat="false" ht="14.25" hidden="false" customHeight="false" outlineLevel="0" collapsed="false">
      <c r="A1796" s="0" t="n">
        <v>83</v>
      </c>
      <c r="B1796" s="0" t="n">
        <v>2024</v>
      </c>
      <c r="C1796" s="3" t="n">
        <v>45646</v>
      </c>
      <c r="E1796" s="0" t="s">
        <v>21</v>
      </c>
      <c r="F1796" s="0" t="s">
        <v>17</v>
      </c>
      <c r="G1796" s="0" t="s">
        <v>431</v>
      </c>
      <c r="H1796" s="0" t="s">
        <v>374</v>
      </c>
      <c r="I1796" s="0" t="s">
        <v>374</v>
      </c>
      <c r="J1796" s="0" t="s">
        <v>500</v>
      </c>
      <c r="K1796" s="0" t="s">
        <v>374</v>
      </c>
      <c r="L1796" s="0" t="str">
        <f aca="false">IF(H1796&gt;I1796,"ERRO","OK")</f>
        <v>OK</v>
      </c>
      <c r="M1796" s="0" t="str">
        <f aca="false">IF(H1796&gt;J1796,"ERRO","OK")</f>
        <v>ERRO</v>
      </c>
      <c r="N1796" s="0" t="str">
        <f aca="false">IF(I1796&lt;J1796,"ERRO","OK")</f>
        <v>OK</v>
      </c>
    </row>
    <row r="1797" customFormat="false" ht="14.25" hidden="false" customHeight="false" outlineLevel="0" collapsed="false">
      <c r="A1797" s="0" t="n">
        <v>83</v>
      </c>
      <c r="B1797" s="0" t="n">
        <v>2024</v>
      </c>
      <c r="C1797" s="3" t="n">
        <v>45646</v>
      </c>
      <c r="E1797" s="0" t="s">
        <v>22</v>
      </c>
      <c r="F1797" s="0" t="s">
        <v>17</v>
      </c>
      <c r="G1797" s="0" t="s">
        <v>370</v>
      </c>
      <c r="H1797" s="0" t="s">
        <v>370</v>
      </c>
      <c r="I1797" s="0" t="s">
        <v>428</v>
      </c>
      <c r="J1797" s="0" t="s">
        <v>487</v>
      </c>
      <c r="K1797" s="0" t="s">
        <v>370</v>
      </c>
      <c r="L1797" s="0" t="str">
        <f aca="false">IF(H1797&gt;I1797,"ERRO","OK")</f>
        <v>OK</v>
      </c>
      <c r="M1797" s="0" t="str">
        <f aca="false">IF(H1797&gt;J1797,"ERRO","OK")</f>
        <v>OK</v>
      </c>
      <c r="N1797" s="0" t="str">
        <f aca="false">IF(I1797&lt;J1797,"ERRO","OK")</f>
        <v>OK</v>
      </c>
    </row>
    <row r="1798" customFormat="false" ht="14.25" hidden="false" customHeight="false" outlineLevel="0" collapsed="false">
      <c r="A1798" s="0" t="n">
        <v>83</v>
      </c>
      <c r="B1798" s="0" t="n">
        <v>2024</v>
      </c>
      <c r="C1798" s="3" t="n">
        <v>45646</v>
      </c>
      <c r="E1798" s="0" t="s">
        <v>23</v>
      </c>
      <c r="F1798" s="0" t="s">
        <v>17</v>
      </c>
      <c r="G1798" s="0" t="s">
        <v>382</v>
      </c>
      <c r="H1798" s="0" t="s">
        <v>372</v>
      </c>
      <c r="I1798" s="0" t="s">
        <v>372</v>
      </c>
      <c r="J1798" s="0" t="s">
        <v>501</v>
      </c>
      <c r="K1798" s="0" t="s">
        <v>372</v>
      </c>
      <c r="L1798" s="0" t="str">
        <f aca="false">IF(H1798&gt;I1798,"ERRO","OK")</f>
        <v>OK</v>
      </c>
      <c r="M1798" s="0" t="str">
        <f aca="false">IF(H1798&gt;J1798,"ERRO","OK")</f>
        <v>ERRO</v>
      </c>
      <c r="N1798" s="0" t="str">
        <f aca="false">IF(I1798&lt;J1798,"ERRO","OK")</f>
        <v>OK</v>
      </c>
    </row>
    <row r="1799" customFormat="false" ht="14.25" hidden="false" customHeight="false" outlineLevel="0" collapsed="false">
      <c r="A1799" s="0" t="n">
        <v>83</v>
      </c>
      <c r="B1799" s="0" t="n">
        <v>2024</v>
      </c>
      <c r="C1799" s="3" t="n">
        <v>45646</v>
      </c>
      <c r="E1799" s="0" t="s">
        <v>24</v>
      </c>
      <c r="F1799" s="0" t="s">
        <v>17</v>
      </c>
      <c r="G1799" s="0" t="s">
        <v>370</v>
      </c>
      <c r="H1799" s="0" t="s">
        <v>372</v>
      </c>
      <c r="I1799" s="0" t="s">
        <v>372</v>
      </c>
      <c r="J1799" s="0" t="s">
        <v>430</v>
      </c>
      <c r="K1799" s="0" t="s">
        <v>372</v>
      </c>
      <c r="L1799" s="0" t="str">
        <f aca="false">IF(H1799&gt;I1799,"ERRO","OK")</f>
        <v>OK</v>
      </c>
      <c r="M1799" s="0" t="str">
        <f aca="false">IF(H1799&gt;J1799,"ERRO","OK")</f>
        <v>ERRO</v>
      </c>
      <c r="N1799" s="0" t="str">
        <f aca="false">IF(I1799&lt;J1799,"ERRO","OK")</f>
        <v>OK</v>
      </c>
    </row>
    <row r="1800" customFormat="false" ht="14.25" hidden="false" customHeight="false" outlineLevel="0" collapsed="false">
      <c r="A1800" s="0" t="n">
        <v>83</v>
      </c>
      <c r="B1800" s="0" t="n">
        <v>2024</v>
      </c>
      <c r="C1800" s="3" t="n">
        <v>45646</v>
      </c>
      <c r="E1800" s="0" t="s">
        <v>25</v>
      </c>
      <c r="F1800" s="0" t="s">
        <v>17</v>
      </c>
      <c r="G1800" s="0" t="s">
        <v>379</v>
      </c>
      <c r="H1800" s="0" t="s">
        <v>394</v>
      </c>
      <c r="I1800" s="0" t="s">
        <v>378</v>
      </c>
      <c r="J1800" s="0" t="s">
        <v>502</v>
      </c>
      <c r="K1800" s="0" t="s">
        <v>394</v>
      </c>
      <c r="L1800" s="0" t="str">
        <f aca="false">IF(H1800&gt;I1800,"ERRO","OK")</f>
        <v>OK</v>
      </c>
      <c r="M1800" s="0" t="str">
        <f aca="false">IF(H1800&gt;J1800,"ERRO","OK")</f>
        <v>OK</v>
      </c>
      <c r="N1800" s="0" t="str">
        <f aca="false">IF(I1800&lt;J1800,"ERRO","OK")</f>
        <v>OK</v>
      </c>
    </row>
    <row r="1801" customFormat="false" ht="14.25" hidden="false" customHeight="false" outlineLevel="0" collapsed="false">
      <c r="A1801" s="0" t="n">
        <v>83</v>
      </c>
      <c r="B1801" s="0" t="n">
        <v>2024</v>
      </c>
      <c r="C1801" s="3" t="n">
        <v>45646</v>
      </c>
      <c r="E1801" s="0" t="s">
        <v>77</v>
      </c>
      <c r="F1801" s="0" t="s">
        <v>17</v>
      </c>
      <c r="G1801" s="0" t="s">
        <v>370</v>
      </c>
      <c r="H1801" s="0" t="s">
        <v>373</v>
      </c>
      <c r="I1801" s="0" t="s">
        <v>373</v>
      </c>
      <c r="J1801" s="0" t="s">
        <v>503</v>
      </c>
      <c r="K1801" s="0" t="s">
        <v>373</v>
      </c>
      <c r="L1801" s="0" t="str">
        <f aca="false">IF(H1801&gt;I1801,"ERRO","OK")</f>
        <v>OK</v>
      </c>
      <c r="M1801" s="0" t="str">
        <f aca="false">IF(H1801&gt;J1801,"ERRO","OK")</f>
        <v>ERRO</v>
      </c>
      <c r="N1801" s="0" t="str">
        <f aca="false">IF(I1801&lt;J1801,"ERRO","OK")</f>
        <v>OK</v>
      </c>
    </row>
    <row r="1802" customFormat="false" ht="14.25" hidden="false" customHeight="false" outlineLevel="0" collapsed="false">
      <c r="A1802" s="0" t="n">
        <v>83</v>
      </c>
      <c r="B1802" s="0" t="n">
        <v>2024</v>
      </c>
      <c r="C1802" s="3" t="n">
        <v>45646</v>
      </c>
      <c r="E1802" s="0" t="s">
        <v>27</v>
      </c>
      <c r="F1802" s="0" t="s">
        <v>17</v>
      </c>
      <c r="G1802" s="0" t="s">
        <v>378</v>
      </c>
      <c r="H1802" s="0" t="s">
        <v>374</v>
      </c>
      <c r="I1802" s="0" t="s">
        <v>374</v>
      </c>
      <c r="J1802" s="0" t="s">
        <v>443</v>
      </c>
      <c r="K1802" s="0" t="s">
        <v>396</v>
      </c>
      <c r="L1802" s="0" t="str">
        <f aca="false">IF(H1802&gt;I1802,"ERRO","OK")</f>
        <v>OK</v>
      </c>
      <c r="M1802" s="0" t="str">
        <f aca="false">IF(H1802&gt;J1802,"ERRO","OK")</f>
        <v>ERRO</v>
      </c>
      <c r="N1802" s="0" t="str">
        <f aca="false">IF(I1802&lt;J1802,"ERRO","OK")</f>
        <v>OK</v>
      </c>
    </row>
    <row r="1803" customFormat="false" ht="14.25" hidden="false" customHeight="false" outlineLevel="0" collapsed="false">
      <c r="A1803" s="0" t="n">
        <v>83</v>
      </c>
      <c r="B1803" s="0" t="n">
        <v>2024</v>
      </c>
      <c r="C1803" s="3" t="n">
        <v>45646</v>
      </c>
      <c r="E1803" s="0" t="s">
        <v>28</v>
      </c>
      <c r="F1803" s="0" t="s">
        <v>17</v>
      </c>
      <c r="G1803" s="0" t="s">
        <v>370</v>
      </c>
      <c r="H1803" s="0" t="s">
        <v>370</v>
      </c>
      <c r="I1803" s="0" t="s">
        <v>370</v>
      </c>
      <c r="J1803" s="0" t="s">
        <v>370</v>
      </c>
      <c r="K1803" s="0" t="s">
        <v>370</v>
      </c>
      <c r="L1803" s="0" t="str">
        <f aca="false">IF(H1803&gt;I1803,"ERRO","OK")</f>
        <v>OK</v>
      </c>
      <c r="M1803" s="0" t="str">
        <f aca="false">IF(H1803&gt;J1803,"ERRO","OK")</f>
        <v>OK</v>
      </c>
      <c r="N1803" s="0" t="str">
        <f aca="false">IF(I1803&lt;J1803,"ERRO","OK")</f>
        <v>OK</v>
      </c>
    </row>
    <row r="1804" customFormat="false" ht="14.25" hidden="false" customHeight="false" outlineLevel="0" collapsed="false">
      <c r="A1804" s="0" t="n">
        <v>83</v>
      </c>
      <c r="B1804" s="0" t="n">
        <v>2024</v>
      </c>
      <c r="C1804" s="3" t="n">
        <v>45646</v>
      </c>
      <c r="E1804" s="0" t="s">
        <v>29</v>
      </c>
      <c r="F1804" s="0" t="s">
        <v>30</v>
      </c>
      <c r="G1804" s="0" t="s">
        <v>370</v>
      </c>
      <c r="H1804" s="0" t="s">
        <v>370</v>
      </c>
      <c r="I1804" s="0" t="s">
        <v>370</v>
      </c>
      <c r="J1804" s="0" t="s">
        <v>370</v>
      </c>
      <c r="K1804" s="0" t="s">
        <v>370</v>
      </c>
      <c r="L1804" s="0" t="str">
        <f aca="false">IF(H1804&gt;I1804,"ERRO","OK")</f>
        <v>OK</v>
      </c>
      <c r="M1804" s="0" t="str">
        <f aca="false">IF(H1804&gt;J1804,"ERRO","OK")</f>
        <v>OK</v>
      </c>
      <c r="N1804" s="0" t="str">
        <f aca="false">IF(I1804&lt;J1804,"ERRO","OK")</f>
        <v>OK</v>
      </c>
    </row>
    <row r="1805" customFormat="false" ht="14.25" hidden="false" customHeight="false" outlineLevel="0" collapsed="false">
      <c r="A1805" s="0" t="n">
        <v>83</v>
      </c>
      <c r="B1805" s="0" t="n">
        <v>2024</v>
      </c>
      <c r="C1805" s="3" t="n">
        <v>45646</v>
      </c>
      <c r="E1805" s="0" t="s">
        <v>31</v>
      </c>
      <c r="F1805" s="0" t="s">
        <v>17</v>
      </c>
      <c r="G1805" s="0" t="s">
        <v>405</v>
      </c>
      <c r="H1805" s="0" t="s">
        <v>504</v>
      </c>
      <c r="I1805" s="0" t="s">
        <v>372</v>
      </c>
      <c r="J1805" s="0" t="s">
        <v>371</v>
      </c>
      <c r="K1805" s="0" t="s">
        <v>370</v>
      </c>
      <c r="L1805" s="0" t="str">
        <f aca="false">IF(H1805&gt;I1805,"ERRO","OK")</f>
        <v>OK</v>
      </c>
      <c r="M1805" s="0" t="str">
        <f aca="false">IF(H1805&gt;J1805,"ERRO","OK")</f>
        <v>ERRO</v>
      </c>
      <c r="N1805" s="0" t="str">
        <f aca="false">IF(I1805&lt;J1805,"ERRO","OK")</f>
        <v>OK</v>
      </c>
    </row>
    <row r="1806" customFormat="false" ht="14.25" hidden="false" customHeight="false" outlineLevel="0" collapsed="false">
      <c r="A1806" s="0" t="n">
        <v>83</v>
      </c>
      <c r="B1806" s="0" t="n">
        <v>2024</v>
      </c>
      <c r="C1806" s="3" t="n">
        <v>45646</v>
      </c>
      <c r="E1806" s="0" t="s">
        <v>32</v>
      </c>
      <c r="F1806" s="0" t="s">
        <v>17</v>
      </c>
      <c r="G1806" s="0" t="s">
        <v>442</v>
      </c>
      <c r="H1806" s="0" t="s">
        <v>467</v>
      </c>
      <c r="I1806" s="0" t="s">
        <v>369</v>
      </c>
      <c r="J1806" s="0" t="s">
        <v>442</v>
      </c>
      <c r="K1806" s="0" t="s">
        <v>442</v>
      </c>
      <c r="L1806" s="0" t="str">
        <f aca="false">IF(H1806&gt;I1806,"ERRO","OK")</f>
        <v>OK</v>
      </c>
      <c r="M1806" s="0" t="str">
        <f aca="false">IF(H1806&gt;J1806,"ERRO","OK")</f>
        <v>ERRO</v>
      </c>
      <c r="N1806" s="0" t="str">
        <f aca="false">IF(I1806&lt;J1806,"ERRO","OK")</f>
        <v>OK</v>
      </c>
    </row>
    <row r="1807" customFormat="false" ht="14.25" hidden="false" customHeight="false" outlineLevel="0" collapsed="false">
      <c r="A1807" s="0" t="n">
        <v>83</v>
      </c>
      <c r="B1807" s="0" t="n">
        <v>2024</v>
      </c>
      <c r="C1807" s="3" t="n">
        <v>45646</v>
      </c>
      <c r="E1807" s="0" t="s">
        <v>33</v>
      </c>
      <c r="F1807" s="0" t="s">
        <v>17</v>
      </c>
      <c r="G1807" s="0" t="s">
        <v>375</v>
      </c>
      <c r="H1807" s="0" t="s">
        <v>369</v>
      </c>
      <c r="I1807" s="0" t="s">
        <v>369</v>
      </c>
      <c r="J1807" s="0" t="s">
        <v>498</v>
      </c>
      <c r="K1807" s="0" t="s">
        <v>369</v>
      </c>
      <c r="L1807" s="0" t="str">
        <f aca="false">IF(H1807&gt;I1807,"ERRO","OK")</f>
        <v>OK</v>
      </c>
      <c r="M1807" s="0" t="str">
        <f aca="false">IF(H1807&gt;J1807,"ERRO","OK")</f>
        <v>ERRO</v>
      </c>
      <c r="N1807" s="0" t="str">
        <f aca="false">IF(I1807&lt;J1807,"ERRO","OK")</f>
        <v>OK</v>
      </c>
    </row>
    <row r="1808" customFormat="false" ht="14.25" hidden="false" customHeight="false" outlineLevel="0" collapsed="false">
      <c r="A1808" s="0" t="n">
        <v>83</v>
      </c>
      <c r="B1808" s="0" t="n">
        <v>2024</v>
      </c>
      <c r="C1808" s="3" t="n">
        <v>45646</v>
      </c>
      <c r="E1808" s="0" t="s">
        <v>35</v>
      </c>
      <c r="F1808" s="0" t="s">
        <v>36</v>
      </c>
      <c r="G1808" s="0" t="s">
        <v>390</v>
      </c>
      <c r="H1808" s="0" t="s">
        <v>390</v>
      </c>
      <c r="I1808" s="0" t="s">
        <v>390</v>
      </c>
      <c r="J1808" s="0" t="s">
        <v>390</v>
      </c>
      <c r="K1808" s="0" t="s">
        <v>390</v>
      </c>
      <c r="L1808" s="0" t="str">
        <f aca="false">IF(H1808&gt;I1808,"ERRO","OK")</f>
        <v>OK</v>
      </c>
      <c r="M1808" s="0" t="str">
        <f aca="false">IF(H1808&gt;J1808,"ERRO","OK")</f>
        <v>OK</v>
      </c>
      <c r="N1808" s="0" t="str">
        <f aca="false">IF(I1808&lt;J1808,"ERRO","OK")</f>
        <v>OK</v>
      </c>
    </row>
    <row r="1809" customFormat="false" ht="14.25" hidden="false" customHeight="false" outlineLevel="0" collapsed="false">
      <c r="A1809" s="0" t="n">
        <v>83</v>
      </c>
      <c r="B1809" s="0" t="n">
        <v>2024</v>
      </c>
      <c r="C1809" s="3" t="n">
        <v>45646</v>
      </c>
      <c r="E1809" s="0" t="s">
        <v>38</v>
      </c>
      <c r="F1809" s="0" t="s">
        <v>39</v>
      </c>
      <c r="G1809" s="0" t="s">
        <v>391</v>
      </c>
      <c r="H1809" s="0" t="s">
        <v>391</v>
      </c>
      <c r="I1809" s="0" t="s">
        <v>379</v>
      </c>
      <c r="J1809" s="0" t="s">
        <v>505</v>
      </c>
      <c r="K1809" s="0" t="s">
        <v>391</v>
      </c>
      <c r="L1809" s="0" t="str">
        <f aca="false">IF(H1809&gt;I1809,"ERRO","OK")</f>
        <v>OK</v>
      </c>
      <c r="M1809" s="0" t="str">
        <f aca="false">IF(H1809&gt;J1809,"ERRO","OK")</f>
        <v>OK</v>
      </c>
      <c r="N1809" s="0" t="str">
        <f aca="false">IF(I1809&lt;J1809,"ERRO","OK")</f>
        <v>OK</v>
      </c>
    </row>
    <row r="1810" customFormat="false" ht="14.25" hidden="false" customHeight="false" outlineLevel="0" collapsed="false">
      <c r="A1810" s="0" t="n">
        <v>83</v>
      </c>
      <c r="B1810" s="0" t="n">
        <v>2024</v>
      </c>
      <c r="C1810" s="3" t="n">
        <v>45646</v>
      </c>
      <c r="E1810" s="0" t="s">
        <v>40</v>
      </c>
      <c r="F1810" s="0" t="s">
        <v>39</v>
      </c>
      <c r="G1810" s="0" t="s">
        <v>394</v>
      </c>
      <c r="H1810" s="0" t="s">
        <v>431</v>
      </c>
      <c r="I1810" s="0" t="s">
        <v>374</v>
      </c>
      <c r="J1810" s="0" t="s">
        <v>431</v>
      </c>
      <c r="K1810" s="0" t="s">
        <v>431</v>
      </c>
      <c r="L1810" s="0" t="str">
        <f aca="false">IF(H1810&gt;I1810,"ERRO","OK")</f>
        <v>OK</v>
      </c>
      <c r="M1810" s="0" t="str">
        <f aca="false">IF(H1810&gt;J1810,"ERRO","OK")</f>
        <v>OK</v>
      </c>
      <c r="N1810" s="0" t="str">
        <f aca="false">IF(I1810&lt;J1810,"ERRO","OK")</f>
        <v>OK</v>
      </c>
    </row>
    <row r="1811" customFormat="false" ht="14.25" hidden="false" customHeight="false" outlineLevel="0" collapsed="false">
      <c r="A1811" s="0" t="n">
        <v>83</v>
      </c>
      <c r="B1811" s="0" t="n">
        <v>2024</v>
      </c>
      <c r="C1811" s="3" t="n">
        <v>45646</v>
      </c>
      <c r="E1811" s="0" t="s">
        <v>157</v>
      </c>
      <c r="F1811" s="0" t="s">
        <v>158</v>
      </c>
      <c r="G1811" s="0" t="s">
        <v>406</v>
      </c>
      <c r="H1811" s="0" t="s">
        <v>397</v>
      </c>
      <c r="I1811" s="0" t="s">
        <v>398</v>
      </c>
      <c r="J1811" s="0" t="s">
        <v>418</v>
      </c>
      <c r="K1811" s="0" t="s">
        <v>397</v>
      </c>
      <c r="L1811" s="0" t="str">
        <f aca="false">IF(H1811&gt;I1811,"ERRO","OK")</f>
        <v>OK</v>
      </c>
      <c r="M1811" s="0" t="str">
        <f aca="false">IF(H1811&gt;J1811,"ERRO","OK")</f>
        <v>ERRO</v>
      </c>
      <c r="N1811" s="0" t="str">
        <f aca="false">IF(I1811&lt;J1811,"ERRO","OK")</f>
        <v>OK</v>
      </c>
    </row>
    <row r="1812" customFormat="false" ht="14.25" hidden="false" customHeight="false" outlineLevel="0" collapsed="false">
      <c r="A1812" s="0" t="n">
        <v>83</v>
      </c>
      <c r="B1812" s="0" t="n">
        <v>2024</v>
      </c>
      <c r="C1812" s="3" t="n">
        <v>45646</v>
      </c>
      <c r="E1812" s="0" t="s">
        <v>43</v>
      </c>
      <c r="F1812" s="0" t="s">
        <v>44</v>
      </c>
      <c r="G1812" s="0" t="s">
        <v>400</v>
      </c>
      <c r="H1812" s="0" t="s">
        <v>405</v>
      </c>
      <c r="I1812" s="0" t="s">
        <v>370</v>
      </c>
      <c r="J1812" s="0" t="s">
        <v>405</v>
      </c>
      <c r="K1812" s="0" t="s">
        <v>405</v>
      </c>
      <c r="L1812" s="0" t="str">
        <f aca="false">IF(H1812&gt;I1812,"ERRO","OK")</f>
        <v>OK</v>
      </c>
      <c r="M1812" s="0" t="str">
        <f aca="false">IF(H1812&gt;J1812,"ERRO","OK")</f>
        <v>OK</v>
      </c>
      <c r="N1812" s="0" t="str">
        <f aca="false">IF(I1812&lt;J1812,"ERRO","OK")</f>
        <v>OK</v>
      </c>
    </row>
    <row r="1813" customFormat="false" ht="14.25" hidden="false" customHeight="false" outlineLevel="0" collapsed="false">
      <c r="A1813" s="0" t="n">
        <v>83</v>
      </c>
      <c r="B1813" s="0" t="n">
        <v>2024</v>
      </c>
      <c r="C1813" s="3" t="n">
        <v>45646</v>
      </c>
      <c r="E1813" s="0" t="s">
        <v>46</v>
      </c>
      <c r="F1813" s="0" t="s">
        <v>47</v>
      </c>
      <c r="G1813" s="0" t="s">
        <v>402</v>
      </c>
      <c r="H1813" s="0" t="s">
        <v>382</v>
      </c>
      <c r="I1813" s="0" t="s">
        <v>382</v>
      </c>
      <c r="J1813" s="0" t="s">
        <v>506</v>
      </c>
      <c r="K1813" s="0" t="s">
        <v>446</v>
      </c>
      <c r="L1813" s="0" t="str">
        <f aca="false">IF(H1813&gt;I1813,"ERRO","OK")</f>
        <v>OK</v>
      </c>
      <c r="M1813" s="0" t="str">
        <f aca="false">IF(H1813&gt;J1813,"ERRO","OK")</f>
        <v>ERRO</v>
      </c>
      <c r="N1813" s="0" t="str">
        <f aca="false">IF(I1813&lt;J1813,"ERRO","OK")</f>
        <v>OK</v>
      </c>
    </row>
    <row r="1814" customFormat="false" ht="14.25" hidden="false" customHeight="false" outlineLevel="0" collapsed="false">
      <c r="A1814" s="0" t="n">
        <v>83</v>
      </c>
      <c r="B1814" s="0" t="n">
        <v>2024</v>
      </c>
      <c r="C1814" s="3" t="n">
        <v>45646</v>
      </c>
      <c r="E1814" s="0" t="s">
        <v>48</v>
      </c>
      <c r="F1814" s="0" t="s">
        <v>49</v>
      </c>
      <c r="G1814" s="0" t="s">
        <v>402</v>
      </c>
      <c r="H1814" s="0" t="s">
        <v>405</v>
      </c>
      <c r="I1814" s="0" t="s">
        <v>405</v>
      </c>
      <c r="J1814" s="0" t="s">
        <v>507</v>
      </c>
      <c r="K1814" s="0" t="s">
        <v>405</v>
      </c>
      <c r="L1814" s="0" t="str">
        <f aca="false">IF(H1814&gt;I1814,"ERRO","OK")</f>
        <v>OK</v>
      </c>
      <c r="M1814" s="0" t="str">
        <f aca="false">IF(H1814&gt;J1814,"ERRO","OK")</f>
        <v>ERRO</v>
      </c>
      <c r="N1814" s="0" t="str">
        <f aca="false">IF(I1814&lt;J1814,"ERRO","OK")</f>
        <v>OK</v>
      </c>
    </row>
    <row r="1815" customFormat="false" ht="14.25" hidden="false" customHeight="false" outlineLevel="0" collapsed="false">
      <c r="A1815" s="0" t="n">
        <v>83</v>
      </c>
      <c r="B1815" s="0" t="n">
        <v>2024</v>
      </c>
      <c r="C1815" s="3" t="n">
        <v>45646</v>
      </c>
      <c r="E1815" s="0" t="s">
        <v>52</v>
      </c>
      <c r="F1815" s="0" t="s">
        <v>49</v>
      </c>
      <c r="G1815" s="0" t="s">
        <v>370</v>
      </c>
      <c r="H1815" s="0" t="s">
        <v>382</v>
      </c>
      <c r="I1815" s="0" t="s">
        <v>398</v>
      </c>
      <c r="J1815" s="0" t="s">
        <v>382</v>
      </c>
      <c r="K1815" s="0" t="s">
        <v>382</v>
      </c>
      <c r="L1815" s="0" t="str">
        <f aca="false">IF(H1815&gt;I1815,"ERRO","OK")</f>
        <v>OK</v>
      </c>
      <c r="M1815" s="0" t="str">
        <f aca="false">IF(H1815&gt;J1815,"ERRO","OK")</f>
        <v>OK</v>
      </c>
      <c r="N1815" s="0" t="str">
        <f aca="false">IF(I1815&lt;J1815,"ERRO","OK")</f>
        <v>OK</v>
      </c>
    </row>
    <row r="1816" customFormat="false" ht="14.25" hidden="false" customHeight="false" outlineLevel="0" collapsed="false">
      <c r="A1816" s="0" t="n">
        <v>83</v>
      </c>
      <c r="B1816" s="0" t="n">
        <v>2024</v>
      </c>
      <c r="C1816" s="3" t="n">
        <v>45646</v>
      </c>
      <c r="E1816" s="0" t="s">
        <v>53</v>
      </c>
      <c r="F1816" s="0" t="s">
        <v>54</v>
      </c>
      <c r="G1816" s="0" t="s">
        <v>400</v>
      </c>
      <c r="H1816" s="0" t="s">
        <v>405</v>
      </c>
      <c r="I1816" s="0" t="s">
        <v>370</v>
      </c>
      <c r="J1816" s="0" t="s">
        <v>508</v>
      </c>
      <c r="K1816" s="0" t="s">
        <v>412</v>
      </c>
      <c r="L1816" s="0" t="str">
        <f aca="false">IF(H1816&gt;I1816,"ERRO","OK")</f>
        <v>OK</v>
      </c>
      <c r="M1816" s="0" t="str">
        <f aca="false">IF(H1816&gt;J1816,"ERRO","OK")</f>
        <v>OK</v>
      </c>
      <c r="N1816" s="0" t="str">
        <f aca="false">IF(I1816&lt;J1816,"ERRO","OK")</f>
        <v>OK</v>
      </c>
    </row>
    <row r="1817" customFormat="false" ht="14.25" hidden="false" customHeight="false" outlineLevel="0" collapsed="false">
      <c r="A1817" s="0" t="n">
        <v>83</v>
      </c>
      <c r="B1817" s="0" t="n">
        <v>2024</v>
      </c>
      <c r="C1817" s="3" t="n">
        <v>45646</v>
      </c>
      <c r="E1817" s="0" t="s">
        <v>56</v>
      </c>
      <c r="F1817" s="0" t="s">
        <v>47</v>
      </c>
      <c r="G1817" s="0" t="s">
        <v>402</v>
      </c>
      <c r="H1817" s="0" t="s">
        <v>405</v>
      </c>
      <c r="I1817" s="0" t="s">
        <v>398</v>
      </c>
      <c r="J1817" s="0" t="s">
        <v>370</v>
      </c>
      <c r="K1817" s="0" t="s">
        <v>408</v>
      </c>
      <c r="L1817" s="0" t="str">
        <f aca="false">IF(H1817&gt;I1817,"ERRO","OK")</f>
        <v>OK</v>
      </c>
      <c r="M1817" s="0" t="str">
        <f aca="false">IF(H1817&gt;J1817,"ERRO","OK")</f>
        <v>OK</v>
      </c>
      <c r="N1817" s="0" t="str">
        <f aca="false">IF(I1817&lt;J1817,"ERRO","OK")</f>
        <v>OK</v>
      </c>
    </row>
    <row r="1818" customFormat="false" ht="14.25" hidden="false" customHeight="false" outlineLevel="0" collapsed="false">
      <c r="A1818" s="0" t="n">
        <v>83</v>
      </c>
      <c r="B1818" s="0" t="n">
        <v>2024</v>
      </c>
      <c r="C1818" s="3" t="n">
        <v>45646</v>
      </c>
      <c r="E1818" s="0" t="s">
        <v>57</v>
      </c>
      <c r="F1818" s="0" t="s">
        <v>47</v>
      </c>
      <c r="G1818" s="0" t="s">
        <v>400</v>
      </c>
      <c r="H1818" s="0" t="s">
        <v>409</v>
      </c>
      <c r="I1818" s="0" t="s">
        <v>370</v>
      </c>
      <c r="J1818" s="0" t="s">
        <v>509</v>
      </c>
      <c r="K1818" s="0" t="s">
        <v>409</v>
      </c>
      <c r="L1818" s="0" t="str">
        <f aca="false">IF(H1818&gt;I1818,"ERRO","OK")</f>
        <v>OK</v>
      </c>
      <c r="M1818" s="0" t="str">
        <f aca="false">IF(H1818&gt;J1818,"ERRO","OK")</f>
        <v>OK</v>
      </c>
      <c r="N1818" s="0" t="str">
        <f aca="false">IF(I1818&lt;J1818,"ERRO","OK")</f>
        <v>OK</v>
      </c>
    </row>
    <row r="1819" customFormat="false" ht="14.25" hidden="false" customHeight="false" outlineLevel="0" collapsed="false">
      <c r="A1819" s="0" t="n">
        <v>83</v>
      </c>
      <c r="B1819" s="0" t="n">
        <v>2024</v>
      </c>
      <c r="C1819" s="3" t="n">
        <v>45646</v>
      </c>
      <c r="E1819" s="0" t="s">
        <v>58</v>
      </c>
      <c r="F1819" s="0" t="s">
        <v>44</v>
      </c>
      <c r="G1819" s="0" t="s">
        <v>382</v>
      </c>
      <c r="H1819" s="0" t="s">
        <v>398</v>
      </c>
      <c r="I1819" s="0" t="s">
        <v>415</v>
      </c>
      <c r="J1819" s="0" t="s">
        <v>510</v>
      </c>
      <c r="K1819" s="0" t="s">
        <v>398</v>
      </c>
      <c r="L1819" s="0" t="str">
        <f aca="false">IF(H1819&gt;I1819,"ERRO","OK")</f>
        <v>ERRO</v>
      </c>
      <c r="M1819" s="0" t="str">
        <f aca="false">IF(H1819&gt;J1819,"ERRO","OK")</f>
        <v>OK</v>
      </c>
      <c r="N1819" s="0" t="str">
        <f aca="false">IF(I1819&lt;J1819,"ERRO","OK")</f>
        <v>ERRO</v>
      </c>
    </row>
    <row r="1820" customFormat="false" ht="14.25" hidden="false" customHeight="false" outlineLevel="0" collapsed="false">
      <c r="A1820" s="0" t="n">
        <v>83</v>
      </c>
      <c r="B1820" s="0" t="n">
        <v>2024</v>
      </c>
      <c r="C1820" s="3" t="n">
        <v>45646</v>
      </c>
      <c r="E1820" s="0" t="s">
        <v>60</v>
      </c>
      <c r="F1820" s="0" t="s">
        <v>47</v>
      </c>
      <c r="G1820" s="0" t="s">
        <v>397</v>
      </c>
      <c r="H1820" s="0" t="s">
        <v>397</v>
      </c>
      <c r="I1820" s="0" t="s">
        <v>397</v>
      </c>
      <c r="J1820" s="0" t="s">
        <v>397</v>
      </c>
      <c r="K1820" s="0" t="s">
        <v>397</v>
      </c>
      <c r="L1820" s="0" t="str">
        <f aca="false">IF(H1820&gt;I1820,"ERRO","OK")</f>
        <v>OK</v>
      </c>
      <c r="M1820" s="0" t="str">
        <f aca="false">IF(H1820&gt;J1820,"ERRO","OK")</f>
        <v>OK</v>
      </c>
      <c r="N1820" s="0" t="str">
        <f aca="false">IF(I1820&lt;J1820,"ERRO","OK")</f>
        <v>OK</v>
      </c>
    </row>
    <row r="1821" customFormat="false" ht="14.25" hidden="false" customHeight="false" outlineLevel="0" collapsed="false">
      <c r="A1821" s="0" t="n">
        <v>83</v>
      </c>
      <c r="B1821" s="0" t="n">
        <v>2024</v>
      </c>
      <c r="C1821" s="3" t="n">
        <v>45646</v>
      </c>
      <c r="E1821" s="0" t="s">
        <v>61</v>
      </c>
      <c r="F1821" s="0" t="s">
        <v>44</v>
      </c>
      <c r="G1821" s="0" t="s">
        <v>402</v>
      </c>
      <c r="H1821" s="0" t="s">
        <v>405</v>
      </c>
      <c r="I1821" s="0" t="s">
        <v>370</v>
      </c>
      <c r="J1821" s="0" t="s">
        <v>511</v>
      </c>
      <c r="K1821" s="0" t="s">
        <v>405</v>
      </c>
      <c r="L1821" s="0" t="str">
        <f aca="false">IF(H1821&gt;I1821,"ERRO","OK")</f>
        <v>OK</v>
      </c>
      <c r="M1821" s="0" t="str">
        <f aca="false">IF(H1821&gt;J1821,"ERRO","OK")</f>
        <v>OK</v>
      </c>
      <c r="N1821" s="0" t="str">
        <f aca="false">IF(I1821&lt;J1821,"ERRO","OK")</f>
        <v>OK</v>
      </c>
    </row>
    <row r="1822" customFormat="false" ht="14.25" hidden="false" customHeight="false" outlineLevel="0" collapsed="false">
      <c r="A1822" s="0" t="n">
        <v>83</v>
      </c>
      <c r="B1822" s="0" t="n">
        <v>2024</v>
      </c>
      <c r="C1822" s="3" t="n">
        <v>45646</v>
      </c>
      <c r="E1822" s="0" t="s">
        <v>62</v>
      </c>
      <c r="F1822" s="0" t="s">
        <v>44</v>
      </c>
      <c r="G1822" s="0" t="s">
        <v>398</v>
      </c>
      <c r="H1822" s="0" t="s">
        <v>398</v>
      </c>
      <c r="I1822" s="0" t="s">
        <v>417</v>
      </c>
      <c r="J1822" s="0" t="s">
        <v>497</v>
      </c>
      <c r="K1822" s="0" t="s">
        <v>497</v>
      </c>
      <c r="L1822" s="0" t="str">
        <f aca="false">IF(H1822&gt;I1822,"ERRO","OK")</f>
        <v>OK</v>
      </c>
      <c r="M1822" s="0" t="str">
        <f aca="false">IF(H1822&gt;J1822,"ERRO","OK")</f>
        <v>OK</v>
      </c>
      <c r="N1822" s="0" t="str">
        <f aca="false">IF(I1822&lt;J1822,"ERRO","OK")</f>
        <v>OK</v>
      </c>
    </row>
    <row r="1823" customFormat="false" ht="14.25" hidden="false" customHeight="false" outlineLevel="0" collapsed="false">
      <c r="A1823" s="0" t="n">
        <v>83</v>
      </c>
      <c r="B1823" s="0" t="n">
        <v>2024</v>
      </c>
      <c r="C1823" s="3" t="n">
        <v>45646</v>
      </c>
      <c r="E1823" s="0" t="s">
        <v>63</v>
      </c>
      <c r="F1823" s="0" t="s">
        <v>49</v>
      </c>
      <c r="G1823" s="0" t="s">
        <v>374</v>
      </c>
      <c r="H1823" s="0" t="s">
        <v>409</v>
      </c>
      <c r="I1823" s="0" t="s">
        <v>405</v>
      </c>
      <c r="J1823" s="0" t="s">
        <v>452</v>
      </c>
      <c r="K1823" s="0" t="s">
        <v>452</v>
      </c>
      <c r="L1823" s="0" t="str">
        <f aca="false">IF(H1823&gt;I1823,"ERRO","OK")</f>
        <v>OK</v>
      </c>
      <c r="M1823" s="0" t="str">
        <f aca="false">IF(H1823&gt;J1823,"ERRO","OK")</f>
        <v>OK</v>
      </c>
      <c r="N1823" s="0" t="str">
        <f aca="false">IF(I1823&lt;J1823,"ERRO","OK")</f>
        <v>OK</v>
      </c>
    </row>
    <row r="1824" customFormat="false" ht="14.25" hidden="false" customHeight="false" outlineLevel="0" collapsed="false">
      <c r="A1824" s="0" t="n">
        <v>83</v>
      </c>
      <c r="B1824" s="0" t="n">
        <v>2024</v>
      </c>
      <c r="C1824" s="3" t="n">
        <v>45646</v>
      </c>
      <c r="E1824" s="0" t="s">
        <v>64</v>
      </c>
      <c r="F1824" s="0" t="s">
        <v>65</v>
      </c>
      <c r="G1824" s="0" t="s">
        <v>417</v>
      </c>
      <c r="H1824" s="0" t="s">
        <v>413</v>
      </c>
      <c r="I1824" s="0" t="s">
        <v>512</v>
      </c>
      <c r="J1824" s="0" t="s">
        <v>513</v>
      </c>
      <c r="K1824" s="0" t="s">
        <v>413</v>
      </c>
      <c r="L1824" s="0" t="str">
        <f aca="false">IF(H1824&gt;I1824,"ERRO","OK")</f>
        <v>OK</v>
      </c>
      <c r="M1824" s="0" t="str">
        <f aca="false">IF(H1824&gt;J1824,"ERRO","OK")</f>
        <v>ERRO</v>
      </c>
      <c r="N1824" s="0" t="str">
        <f aca="false">IF(I1824&lt;J1824,"ERRO","OK")</f>
        <v>OK</v>
      </c>
    </row>
    <row r="1825" customFormat="false" ht="14.25" hidden="false" customHeight="false" outlineLevel="0" collapsed="false">
      <c r="A1825" s="0" t="n">
        <v>83</v>
      </c>
      <c r="B1825" s="0" t="n">
        <v>2024</v>
      </c>
      <c r="C1825" s="3" t="n">
        <v>45646</v>
      </c>
      <c r="E1825" s="0" t="s">
        <v>67</v>
      </c>
      <c r="F1825" s="0" t="s">
        <v>44</v>
      </c>
      <c r="G1825" s="0" t="s">
        <v>370</v>
      </c>
      <c r="H1825" s="0" t="s">
        <v>370</v>
      </c>
      <c r="I1825" s="0" t="s">
        <v>398</v>
      </c>
      <c r="J1825" s="0" t="s">
        <v>446</v>
      </c>
      <c r="K1825" s="0" t="s">
        <v>446</v>
      </c>
      <c r="L1825" s="0" t="str">
        <f aca="false">IF(H1825&gt;I1825,"ERRO","OK")</f>
        <v>OK</v>
      </c>
      <c r="M1825" s="0" t="str">
        <f aca="false">IF(H1825&gt;J1825,"ERRO","OK")</f>
        <v>OK</v>
      </c>
      <c r="N1825" s="0" t="str">
        <f aca="false">IF(I1825&lt;J1825,"ERRO","OK")</f>
        <v>OK</v>
      </c>
    </row>
    <row r="1826" customFormat="false" ht="14.25" hidden="false" customHeight="false" outlineLevel="0" collapsed="false">
      <c r="A1826" s="0" t="n">
        <v>83</v>
      </c>
      <c r="B1826" s="0" t="n">
        <v>2024</v>
      </c>
      <c r="C1826" s="3" t="n">
        <v>45646</v>
      </c>
      <c r="E1826" s="0" t="s">
        <v>68</v>
      </c>
      <c r="F1826" s="0" t="s">
        <v>44</v>
      </c>
      <c r="G1826" s="0" t="s">
        <v>415</v>
      </c>
      <c r="H1826" s="0" t="s">
        <v>512</v>
      </c>
      <c r="I1826" s="0" t="s">
        <v>423</v>
      </c>
      <c r="J1826" s="0" t="s">
        <v>514</v>
      </c>
      <c r="K1826" s="0" t="s">
        <v>512</v>
      </c>
      <c r="L1826" s="0" t="str">
        <f aca="false">IF(H1826&gt;I1826,"ERRO","OK")</f>
        <v>OK</v>
      </c>
      <c r="M1826" s="0" t="str">
        <f aca="false">IF(H1826&gt;J1826,"ERRO","OK")</f>
        <v>ERRO</v>
      </c>
      <c r="N1826" s="0" t="str">
        <f aca="false">IF(I1826&lt;J1826,"ERRO","OK")</f>
        <v>OK</v>
      </c>
    </row>
    <row r="1827" customFormat="false" ht="14.25" hidden="false" customHeight="false" outlineLevel="0" collapsed="false">
      <c r="A1827" s="0" t="n">
        <v>83</v>
      </c>
      <c r="B1827" s="0" t="n">
        <v>2024</v>
      </c>
      <c r="C1827" s="3" t="n">
        <v>45646</v>
      </c>
      <c r="E1827" s="0" t="s">
        <v>70</v>
      </c>
      <c r="F1827" s="0" t="s">
        <v>49</v>
      </c>
      <c r="L1827" s="0" t="str">
        <f aca="false">IF(H1827&gt;I1827,"ERRO","OK")</f>
        <v>OK</v>
      </c>
      <c r="M1827" s="0" t="str">
        <f aca="false">IF(H1827&gt;J1827,"ERRO","OK")</f>
        <v>OK</v>
      </c>
      <c r="N1827" s="0" t="str">
        <f aca="false">IF(I1827&lt;J1827,"ERRO","OK")</f>
        <v>OK</v>
      </c>
    </row>
    <row r="1828" customFormat="false" ht="14.25" hidden="false" customHeight="false" outlineLevel="0" collapsed="false">
      <c r="A1828" s="0" t="n">
        <v>83</v>
      </c>
      <c r="B1828" s="0" t="n">
        <v>2024</v>
      </c>
      <c r="C1828" s="3" t="n">
        <v>45646</v>
      </c>
      <c r="E1828" s="0" t="s">
        <v>71</v>
      </c>
      <c r="F1828" s="0" t="s">
        <v>49</v>
      </c>
      <c r="L1828" s="0" t="str">
        <f aca="false">IF(H1828&gt;I1828,"ERRO","OK")</f>
        <v>OK</v>
      </c>
      <c r="M1828" s="0" t="str">
        <f aca="false">IF(H1828&gt;J1828,"ERRO","OK")</f>
        <v>OK</v>
      </c>
      <c r="N1828" s="0" t="str">
        <f aca="false">IF(I1828&lt;J1828,"ERRO","OK")</f>
        <v>OK</v>
      </c>
    </row>
    <row r="1829" customFormat="false" ht="14.25" hidden="false" customHeight="false" outlineLevel="0" collapsed="false">
      <c r="A1829" s="0" t="n">
        <v>83</v>
      </c>
      <c r="B1829" s="0" t="n">
        <v>2024</v>
      </c>
      <c r="C1829" s="3" t="n">
        <v>45646</v>
      </c>
      <c r="E1829" s="0" t="s">
        <v>72</v>
      </c>
      <c r="F1829" s="0" t="s">
        <v>49</v>
      </c>
      <c r="L1829" s="0" t="str">
        <f aca="false">IF(H1829&gt;I1829,"ERRO","OK")</f>
        <v>OK</v>
      </c>
      <c r="M1829" s="0" t="str">
        <f aca="false">IF(H1829&gt;J1829,"ERRO","OK")</f>
        <v>OK</v>
      </c>
      <c r="N1829" s="0" t="str">
        <f aca="false">IF(I1829&lt;J1829,"ERRO","OK")</f>
        <v>OK</v>
      </c>
    </row>
    <row r="1830" customFormat="false" ht="14.25" hidden="false" customHeight="false" outlineLevel="0" collapsed="false">
      <c r="A1830" s="0" t="n">
        <v>83</v>
      </c>
      <c r="B1830" s="0" t="n">
        <v>2024</v>
      </c>
      <c r="C1830" s="3" t="n">
        <v>45646</v>
      </c>
      <c r="E1830" s="0" t="s">
        <v>73</v>
      </c>
      <c r="F1830" s="0" t="s">
        <v>49</v>
      </c>
      <c r="G1830" s="0" t="s">
        <v>370</v>
      </c>
      <c r="H1830" s="0" t="s">
        <v>370</v>
      </c>
      <c r="I1830" s="0" t="s">
        <v>370</v>
      </c>
      <c r="J1830" s="0" t="s">
        <v>370</v>
      </c>
      <c r="K1830" s="0" t="s">
        <v>370</v>
      </c>
      <c r="L1830" s="0" t="str">
        <f aca="false">IF(H1830&gt;I1830,"ERRO","OK")</f>
        <v>OK</v>
      </c>
      <c r="M1830" s="0" t="str">
        <f aca="false">IF(H1830&gt;J1830,"ERRO","OK")</f>
        <v>OK</v>
      </c>
      <c r="N1830" s="0" t="str">
        <f aca="false">IF(I1830&lt;J1830,"ERRO","OK")</f>
        <v>OK</v>
      </c>
    </row>
    <row r="1831" customFormat="false" ht="14.25" hidden="false" customHeight="false" outlineLevel="0" collapsed="false">
      <c r="A1831" s="0" t="n">
        <v>83</v>
      </c>
      <c r="B1831" s="0" t="n">
        <v>2024</v>
      </c>
      <c r="C1831" s="3" t="n">
        <v>45646</v>
      </c>
      <c r="E1831" s="0" t="s">
        <v>74</v>
      </c>
      <c r="F1831" s="21" t="s">
        <v>75</v>
      </c>
      <c r="L1831" s="0" t="str">
        <f aca="false">IF(H1831&gt;I1831,"ERRO","OK")</f>
        <v>OK</v>
      </c>
      <c r="M1831" s="0" t="str">
        <f aca="false">IF(H1831&gt;J1831,"ERRO","OK")</f>
        <v>OK</v>
      </c>
      <c r="N1831" s="0" t="str">
        <f aca="false">IF(I1831&lt;J1831,"ERRO","OK")</f>
        <v>OK</v>
      </c>
    </row>
    <row r="1832" customFormat="false" ht="14.25" hidden="false" customHeight="false" outlineLevel="0" collapsed="false">
      <c r="A1832" s="0" t="n">
        <v>84</v>
      </c>
      <c r="B1832" s="0" t="n">
        <v>2024</v>
      </c>
      <c r="C1832" s="3" t="n">
        <v>45653</v>
      </c>
      <c r="E1832" s="0" t="s">
        <v>16</v>
      </c>
      <c r="F1832" s="0" t="s">
        <v>17</v>
      </c>
      <c r="G1832" s="0" t="s">
        <v>369</v>
      </c>
      <c r="H1832" s="0" t="s">
        <v>369</v>
      </c>
      <c r="I1832" s="0" t="s">
        <v>372</v>
      </c>
      <c r="J1832" s="0" t="s">
        <v>370</v>
      </c>
      <c r="K1832" s="0" t="s">
        <v>370</v>
      </c>
      <c r="L1832" s="0" t="str">
        <f aca="false">IF(H1832&gt;I1832,"ERRO","OK")</f>
        <v>OK</v>
      </c>
      <c r="M1832" s="0" t="str">
        <f aca="false">IF(H1832&gt;J1832,"ERRO","OK")</f>
        <v>OK</v>
      </c>
      <c r="N1832" s="0" t="str">
        <f aca="false">IF(I1832&lt;J1832,"ERRO","OK")</f>
        <v>OK</v>
      </c>
    </row>
    <row r="1833" customFormat="false" ht="14.25" hidden="false" customHeight="false" outlineLevel="0" collapsed="false">
      <c r="A1833" s="0" t="n">
        <v>84</v>
      </c>
      <c r="B1833" s="0" t="n">
        <v>2024</v>
      </c>
      <c r="C1833" s="3" t="n">
        <v>45653</v>
      </c>
      <c r="E1833" s="0" t="s">
        <v>18</v>
      </c>
      <c r="F1833" s="0" t="s">
        <v>17</v>
      </c>
      <c r="G1833" s="0" t="s">
        <v>372</v>
      </c>
      <c r="H1833" s="0" t="s">
        <v>372</v>
      </c>
      <c r="I1833" s="0" t="s">
        <v>485</v>
      </c>
      <c r="J1833" s="0" t="s">
        <v>515</v>
      </c>
      <c r="K1833" s="0" t="s">
        <v>429</v>
      </c>
      <c r="L1833" s="0" t="str">
        <f aca="false">IF(H1833&gt;I1833,"ERRO","OK")</f>
        <v>OK</v>
      </c>
      <c r="M1833" s="0" t="str">
        <f aca="false">IF(H1833&gt;J1833,"ERRO","OK")</f>
        <v>OK</v>
      </c>
      <c r="N1833" s="0" t="str">
        <f aca="false">IF(I1833&lt;J1833,"ERRO","OK")</f>
        <v>OK</v>
      </c>
    </row>
    <row r="1834" customFormat="false" ht="14.25" hidden="false" customHeight="false" outlineLevel="0" collapsed="false">
      <c r="A1834" s="0" t="n">
        <v>84</v>
      </c>
      <c r="B1834" s="0" t="n">
        <v>2024</v>
      </c>
      <c r="C1834" s="3" t="n">
        <v>45653</v>
      </c>
      <c r="E1834" s="0" t="s">
        <v>19</v>
      </c>
      <c r="F1834" s="0" t="s">
        <v>17</v>
      </c>
      <c r="G1834" s="0" t="s">
        <v>442</v>
      </c>
      <c r="H1834" s="0" t="s">
        <v>369</v>
      </c>
      <c r="I1834" s="0" t="s">
        <v>370</v>
      </c>
      <c r="J1834" s="0" t="s">
        <v>516</v>
      </c>
      <c r="K1834" s="0" t="s">
        <v>369</v>
      </c>
      <c r="L1834" s="0" t="str">
        <f aca="false">IF(H1834&gt;I1834,"ERRO","OK")</f>
        <v>OK</v>
      </c>
      <c r="M1834" s="0" t="str">
        <f aca="false">IF(H1834&gt;J1834,"ERRO","OK")</f>
        <v>ERRO</v>
      </c>
      <c r="N1834" s="0" t="str">
        <f aca="false">IF(I1834&lt;J1834,"ERRO","OK")</f>
        <v>OK</v>
      </c>
    </row>
    <row r="1835" customFormat="false" ht="14.25" hidden="false" customHeight="false" outlineLevel="0" collapsed="false">
      <c r="A1835" s="0" t="n">
        <v>84</v>
      </c>
      <c r="B1835" s="0" t="n">
        <v>2024</v>
      </c>
      <c r="C1835" s="3" t="n">
        <v>45653</v>
      </c>
      <c r="E1835" s="0" t="s">
        <v>20</v>
      </c>
      <c r="F1835" s="0" t="s">
        <v>17</v>
      </c>
      <c r="G1835" s="0" t="s">
        <v>378</v>
      </c>
      <c r="H1835" s="0" t="s">
        <v>374</v>
      </c>
      <c r="I1835" s="0" t="s">
        <v>442</v>
      </c>
      <c r="J1835" s="0" t="s">
        <v>374</v>
      </c>
      <c r="K1835" s="0" t="s">
        <v>374</v>
      </c>
      <c r="L1835" s="0" t="str">
        <f aca="false">IF(H1835&gt;I1835,"ERRO","OK")</f>
        <v>OK</v>
      </c>
      <c r="M1835" s="0" t="str">
        <f aca="false">IF(H1835&gt;J1835,"ERRO","OK")</f>
        <v>OK</v>
      </c>
      <c r="N1835" s="0" t="str">
        <f aca="false">IF(I1835&lt;J1835,"ERRO","OK")</f>
        <v>OK</v>
      </c>
    </row>
    <row r="1836" customFormat="false" ht="14.25" hidden="false" customHeight="false" outlineLevel="0" collapsed="false">
      <c r="A1836" s="0" t="n">
        <v>84</v>
      </c>
      <c r="B1836" s="0" t="n">
        <v>2024</v>
      </c>
      <c r="C1836" s="3" t="n">
        <v>45653</v>
      </c>
      <c r="E1836" s="0" t="s">
        <v>21</v>
      </c>
      <c r="F1836" s="0" t="s">
        <v>17</v>
      </c>
      <c r="G1836" s="0" t="s">
        <v>431</v>
      </c>
      <c r="H1836" s="0" t="s">
        <v>374</v>
      </c>
      <c r="I1836" s="0" t="s">
        <v>442</v>
      </c>
      <c r="J1836" s="0" t="s">
        <v>489</v>
      </c>
      <c r="K1836" s="0" t="s">
        <v>374</v>
      </c>
      <c r="L1836" s="0" t="str">
        <f aca="false">IF(H1836&gt;I1836,"ERRO","OK")</f>
        <v>OK</v>
      </c>
      <c r="M1836" s="0" t="str">
        <f aca="false">IF(H1836&gt;J1836,"ERRO","OK")</f>
        <v>OK</v>
      </c>
      <c r="N1836" s="0" t="str">
        <f aca="false">IF(I1836&lt;J1836,"ERRO","OK")</f>
        <v>OK</v>
      </c>
    </row>
    <row r="1837" customFormat="false" ht="14.25" hidden="false" customHeight="false" outlineLevel="0" collapsed="false">
      <c r="A1837" s="0" t="n">
        <v>84</v>
      </c>
      <c r="B1837" s="0" t="n">
        <v>2024</v>
      </c>
      <c r="C1837" s="3" t="n">
        <v>45653</v>
      </c>
      <c r="E1837" s="0" t="s">
        <v>22</v>
      </c>
      <c r="F1837" s="0" t="s">
        <v>17</v>
      </c>
      <c r="G1837" s="0" t="s">
        <v>370</v>
      </c>
      <c r="H1837" s="0" t="s">
        <v>370</v>
      </c>
      <c r="I1837" s="0" t="s">
        <v>370</v>
      </c>
      <c r="J1837" s="0" t="s">
        <v>370</v>
      </c>
      <c r="K1837" s="0" t="s">
        <v>370</v>
      </c>
      <c r="L1837" s="0" t="str">
        <f aca="false">IF(H1837&gt;I1837,"ERRO","OK")</f>
        <v>OK</v>
      </c>
      <c r="M1837" s="0" t="str">
        <f aca="false">IF(H1837&gt;J1837,"ERRO","OK")</f>
        <v>OK</v>
      </c>
      <c r="N1837" s="0" t="str">
        <f aca="false">IF(I1837&lt;J1837,"ERRO","OK")</f>
        <v>OK</v>
      </c>
    </row>
    <row r="1838" customFormat="false" ht="14.25" hidden="false" customHeight="false" outlineLevel="0" collapsed="false">
      <c r="A1838" s="0" t="n">
        <v>84</v>
      </c>
      <c r="B1838" s="0" t="n">
        <v>2024</v>
      </c>
      <c r="C1838" s="3" t="n">
        <v>45653</v>
      </c>
      <c r="E1838" s="0" t="s">
        <v>23</v>
      </c>
      <c r="F1838" s="0" t="s">
        <v>17</v>
      </c>
      <c r="G1838" s="0" t="s">
        <v>372</v>
      </c>
      <c r="H1838" s="0" t="s">
        <v>372</v>
      </c>
      <c r="I1838" s="0" t="s">
        <v>372</v>
      </c>
      <c r="J1838" s="0" t="s">
        <v>372</v>
      </c>
      <c r="K1838" s="0" t="s">
        <v>372</v>
      </c>
      <c r="L1838" s="0" t="str">
        <f aca="false">IF(H1838&gt;I1838,"ERRO","OK")</f>
        <v>OK</v>
      </c>
      <c r="M1838" s="0" t="str">
        <f aca="false">IF(H1838&gt;J1838,"ERRO","OK")</f>
        <v>OK</v>
      </c>
      <c r="N1838" s="0" t="str">
        <f aca="false">IF(I1838&lt;J1838,"ERRO","OK")</f>
        <v>OK</v>
      </c>
    </row>
    <row r="1839" customFormat="false" ht="14.25" hidden="false" customHeight="false" outlineLevel="0" collapsed="false">
      <c r="A1839" s="0" t="n">
        <v>84</v>
      </c>
      <c r="B1839" s="0" t="n">
        <v>2024</v>
      </c>
      <c r="C1839" s="3" t="n">
        <v>45653</v>
      </c>
      <c r="E1839" s="0" t="s">
        <v>24</v>
      </c>
      <c r="F1839" s="0" t="s">
        <v>17</v>
      </c>
      <c r="G1839" s="0" t="s">
        <v>370</v>
      </c>
      <c r="H1839" s="0" t="s">
        <v>372</v>
      </c>
      <c r="I1839" s="0" t="s">
        <v>372</v>
      </c>
      <c r="J1839" s="0" t="s">
        <v>517</v>
      </c>
      <c r="K1839" s="0" t="s">
        <v>372</v>
      </c>
      <c r="L1839" s="0" t="str">
        <f aca="false">IF(H1839&gt;I1839,"ERRO","OK")</f>
        <v>OK</v>
      </c>
      <c r="M1839" s="0" t="str">
        <f aca="false">IF(H1839&gt;J1839,"ERRO","OK")</f>
        <v>ERRO</v>
      </c>
      <c r="N1839" s="0" t="str">
        <f aca="false">IF(I1839&lt;J1839,"ERRO","OK")</f>
        <v>OK</v>
      </c>
    </row>
    <row r="1840" customFormat="false" ht="14.25" hidden="false" customHeight="false" outlineLevel="0" collapsed="false">
      <c r="A1840" s="0" t="n">
        <v>84</v>
      </c>
      <c r="B1840" s="0" t="n">
        <v>2024</v>
      </c>
      <c r="C1840" s="3" t="n">
        <v>45653</v>
      </c>
      <c r="E1840" s="0" t="s">
        <v>25</v>
      </c>
      <c r="F1840" s="0" t="s">
        <v>17</v>
      </c>
      <c r="G1840" s="0" t="s">
        <v>379</v>
      </c>
      <c r="H1840" s="0" t="s">
        <v>394</v>
      </c>
      <c r="I1840" s="0" t="s">
        <v>378</v>
      </c>
      <c r="J1840" s="0" t="s">
        <v>490</v>
      </c>
      <c r="K1840" s="0" t="s">
        <v>394</v>
      </c>
      <c r="L1840" s="0" t="str">
        <f aca="false">IF(H1840&gt;I1840,"ERRO","OK")</f>
        <v>OK</v>
      </c>
      <c r="M1840" s="0" t="str">
        <f aca="false">IF(H1840&gt;J1840,"ERRO","OK")</f>
        <v>OK</v>
      </c>
      <c r="N1840" s="0" t="str">
        <f aca="false">IF(I1840&lt;J1840,"ERRO","OK")</f>
        <v>OK</v>
      </c>
    </row>
    <row r="1841" customFormat="false" ht="14.25" hidden="false" customHeight="false" outlineLevel="0" collapsed="false">
      <c r="A1841" s="0" t="n">
        <v>84</v>
      </c>
      <c r="B1841" s="0" t="n">
        <v>2024</v>
      </c>
      <c r="C1841" s="3" t="n">
        <v>45653</v>
      </c>
      <c r="E1841" s="0" t="s">
        <v>77</v>
      </c>
      <c r="F1841" s="0" t="s">
        <v>17</v>
      </c>
      <c r="G1841" s="0" t="s">
        <v>370</v>
      </c>
      <c r="H1841" s="0" t="s">
        <v>398</v>
      </c>
      <c r="I1841" s="0" t="s">
        <v>485</v>
      </c>
      <c r="J1841" s="0" t="s">
        <v>398</v>
      </c>
      <c r="K1841" s="0" t="s">
        <v>518</v>
      </c>
      <c r="L1841" s="0" t="str">
        <f aca="false">IF(H1841&gt;I1841,"ERRO","OK")</f>
        <v>OK</v>
      </c>
      <c r="M1841" s="0" t="str">
        <f aca="false">IF(H1841&gt;J1841,"ERRO","OK")</f>
        <v>OK</v>
      </c>
      <c r="N1841" s="0" t="str">
        <f aca="false">IF(I1841&lt;J1841,"ERRO","OK")</f>
        <v>OK</v>
      </c>
    </row>
    <row r="1842" customFormat="false" ht="14.25" hidden="false" customHeight="false" outlineLevel="0" collapsed="false">
      <c r="A1842" s="0" t="n">
        <v>84</v>
      </c>
      <c r="B1842" s="0" t="n">
        <v>2024</v>
      </c>
      <c r="C1842" s="3" t="n">
        <v>45653</v>
      </c>
      <c r="E1842" s="0" t="s">
        <v>27</v>
      </c>
      <c r="F1842" s="0" t="s">
        <v>17</v>
      </c>
      <c r="G1842" s="0" t="s">
        <v>374</v>
      </c>
      <c r="H1842" s="0" t="s">
        <v>378</v>
      </c>
      <c r="I1842" s="0" t="s">
        <v>442</v>
      </c>
      <c r="J1842" s="0" t="s">
        <v>519</v>
      </c>
      <c r="K1842" s="0" t="s">
        <v>374</v>
      </c>
      <c r="L1842" s="0" t="str">
        <f aca="false">IF(H1842&gt;I1842,"ERRO","OK")</f>
        <v>OK</v>
      </c>
      <c r="M1842" s="0" t="str">
        <f aca="false">IF(H1842&gt;J1842,"ERRO","OK")</f>
        <v>OK</v>
      </c>
      <c r="N1842" s="0" t="str">
        <f aca="false">IF(I1842&lt;J1842,"ERRO","OK")</f>
        <v>OK</v>
      </c>
    </row>
    <row r="1843" customFormat="false" ht="14.25" hidden="false" customHeight="false" outlineLevel="0" collapsed="false">
      <c r="A1843" s="0" t="n">
        <v>84</v>
      </c>
      <c r="B1843" s="0" t="n">
        <v>2024</v>
      </c>
      <c r="C1843" s="3" t="n">
        <v>45653</v>
      </c>
      <c r="E1843" s="0" t="s">
        <v>28</v>
      </c>
      <c r="F1843" s="0" t="s">
        <v>17</v>
      </c>
      <c r="G1843" s="0" t="s">
        <v>370</v>
      </c>
      <c r="H1843" s="0" t="s">
        <v>370</v>
      </c>
      <c r="I1843" s="0" t="s">
        <v>372</v>
      </c>
      <c r="J1843" s="0" t="s">
        <v>387</v>
      </c>
      <c r="K1843" s="0" t="s">
        <v>370</v>
      </c>
      <c r="L1843" s="0" t="str">
        <f aca="false">IF(H1843&gt;I1843,"ERRO","OK")</f>
        <v>OK</v>
      </c>
      <c r="M1843" s="0" t="str">
        <f aca="false">IF(H1843&gt;J1843,"ERRO","OK")</f>
        <v>OK</v>
      </c>
      <c r="N1843" s="0" t="str">
        <f aca="false">IF(I1843&lt;J1843,"ERRO","OK")</f>
        <v>OK</v>
      </c>
    </row>
    <row r="1844" customFormat="false" ht="14.25" hidden="false" customHeight="false" outlineLevel="0" collapsed="false">
      <c r="A1844" s="0" t="n">
        <v>84</v>
      </c>
      <c r="B1844" s="0" t="n">
        <v>2024</v>
      </c>
      <c r="C1844" s="3" t="n">
        <v>45653</v>
      </c>
      <c r="E1844" s="0" t="s">
        <v>29</v>
      </c>
      <c r="F1844" s="0" t="s">
        <v>30</v>
      </c>
      <c r="G1844" s="0" t="s">
        <v>370</v>
      </c>
      <c r="H1844" s="0" t="s">
        <v>369</v>
      </c>
      <c r="I1844" s="0" t="s">
        <v>370</v>
      </c>
      <c r="J1844" s="0" t="s">
        <v>491</v>
      </c>
      <c r="K1844" s="0" t="s">
        <v>370</v>
      </c>
      <c r="L1844" s="0" t="str">
        <f aca="false">IF(H1844&gt;I1844,"ERRO","OK")</f>
        <v>OK</v>
      </c>
      <c r="M1844" s="0" t="str">
        <f aca="false">IF(H1844&gt;J1844,"ERRO","OK")</f>
        <v>OK</v>
      </c>
      <c r="N1844" s="0" t="str">
        <f aca="false">IF(I1844&lt;J1844,"ERRO","OK")</f>
        <v>OK</v>
      </c>
    </row>
    <row r="1845" customFormat="false" ht="14.25" hidden="false" customHeight="false" outlineLevel="0" collapsed="false">
      <c r="A1845" s="0" t="n">
        <v>84</v>
      </c>
      <c r="B1845" s="0" t="n">
        <v>2024</v>
      </c>
      <c r="C1845" s="3" t="n">
        <v>45653</v>
      </c>
      <c r="E1845" s="0" t="s">
        <v>31</v>
      </c>
      <c r="F1845" s="0" t="s">
        <v>17</v>
      </c>
      <c r="G1845" s="0" t="s">
        <v>370</v>
      </c>
      <c r="H1845" s="0" t="s">
        <v>372</v>
      </c>
      <c r="I1845" s="0" t="s">
        <v>372</v>
      </c>
      <c r="J1845" s="0" t="s">
        <v>520</v>
      </c>
      <c r="K1845" s="0" t="s">
        <v>521</v>
      </c>
      <c r="L1845" s="0" t="str">
        <f aca="false">IF(H1845&gt;I1845,"ERRO","OK")</f>
        <v>OK</v>
      </c>
      <c r="M1845" s="0" t="str">
        <f aca="false">IF(H1845&gt;J1845,"ERRO","OK")</f>
        <v>ERRO</v>
      </c>
      <c r="N1845" s="0" t="str">
        <f aca="false">IF(I1845&lt;J1845,"ERRO","OK")</f>
        <v>OK</v>
      </c>
    </row>
    <row r="1846" customFormat="false" ht="14.25" hidden="false" customHeight="false" outlineLevel="0" collapsed="false">
      <c r="A1846" s="0" t="n">
        <v>84</v>
      </c>
      <c r="B1846" s="0" t="n">
        <v>2024</v>
      </c>
      <c r="C1846" s="3" t="n">
        <v>45653</v>
      </c>
      <c r="E1846" s="0" t="s">
        <v>32</v>
      </c>
      <c r="F1846" s="0" t="s">
        <v>17</v>
      </c>
      <c r="G1846" s="0" t="s">
        <v>400</v>
      </c>
      <c r="H1846" s="0" t="s">
        <v>442</v>
      </c>
      <c r="I1846" s="0" t="s">
        <v>370</v>
      </c>
      <c r="J1846" s="0" t="s">
        <v>522</v>
      </c>
      <c r="K1846" s="0" t="s">
        <v>442</v>
      </c>
      <c r="L1846" s="0" t="str">
        <f aca="false">IF(H1846&gt;I1846,"ERRO","OK")</f>
        <v>OK</v>
      </c>
      <c r="M1846" s="0" t="str">
        <f aca="false">IF(H1846&gt;J1846,"ERRO","OK")</f>
        <v>ERRO</v>
      </c>
      <c r="N1846" s="0" t="str">
        <f aca="false">IF(I1846&lt;J1846,"ERRO","OK")</f>
        <v>OK</v>
      </c>
    </row>
    <row r="1847" customFormat="false" ht="14.25" hidden="false" customHeight="false" outlineLevel="0" collapsed="false">
      <c r="A1847" s="0" t="n">
        <v>84</v>
      </c>
      <c r="B1847" s="0" t="n">
        <v>2024</v>
      </c>
      <c r="C1847" s="3" t="n">
        <v>45653</v>
      </c>
      <c r="E1847" s="0" t="s">
        <v>33</v>
      </c>
      <c r="F1847" s="0" t="s">
        <v>17</v>
      </c>
      <c r="G1847" s="0" t="s">
        <v>375</v>
      </c>
      <c r="H1847" s="0" t="s">
        <v>370</v>
      </c>
      <c r="I1847" s="0" t="s">
        <v>370</v>
      </c>
      <c r="J1847" s="0" t="s">
        <v>523</v>
      </c>
      <c r="K1847" s="0" t="s">
        <v>370</v>
      </c>
      <c r="L1847" s="0" t="str">
        <f aca="false">IF(H1847&gt;I1847,"ERRO","OK")</f>
        <v>OK</v>
      </c>
      <c r="M1847" s="0" t="str">
        <f aca="false">IF(H1847&gt;J1847,"ERRO","OK")</f>
        <v>ERRO</v>
      </c>
      <c r="N1847" s="0" t="str">
        <f aca="false">IF(I1847&lt;J1847,"ERRO","OK")</f>
        <v>OK</v>
      </c>
    </row>
    <row r="1848" customFormat="false" ht="14.25" hidden="false" customHeight="false" outlineLevel="0" collapsed="false">
      <c r="A1848" s="0" t="n">
        <v>84</v>
      </c>
      <c r="B1848" s="0" t="n">
        <v>2024</v>
      </c>
      <c r="C1848" s="3" t="n">
        <v>45653</v>
      </c>
      <c r="E1848" s="0" t="s">
        <v>35</v>
      </c>
      <c r="F1848" s="0" t="s">
        <v>36</v>
      </c>
      <c r="G1848" s="0" t="s">
        <v>390</v>
      </c>
      <c r="H1848" s="0" t="s">
        <v>390</v>
      </c>
      <c r="I1848" s="0" t="s">
        <v>390</v>
      </c>
      <c r="J1848" s="0" t="s">
        <v>390</v>
      </c>
      <c r="K1848" s="0" t="s">
        <v>390</v>
      </c>
      <c r="L1848" s="0" t="str">
        <f aca="false">IF(H1848&gt;I1848,"ERRO","OK")</f>
        <v>OK</v>
      </c>
      <c r="M1848" s="0" t="str">
        <f aca="false">IF(H1848&gt;J1848,"ERRO","OK")</f>
        <v>OK</v>
      </c>
      <c r="N1848" s="0" t="str">
        <f aca="false">IF(I1848&lt;J1848,"ERRO","OK")</f>
        <v>OK</v>
      </c>
    </row>
    <row r="1849" customFormat="false" ht="14.25" hidden="false" customHeight="false" outlineLevel="0" collapsed="false">
      <c r="A1849" s="0" t="n">
        <v>84</v>
      </c>
      <c r="B1849" s="0" t="n">
        <v>2024</v>
      </c>
      <c r="C1849" s="3" t="n">
        <v>45653</v>
      </c>
      <c r="E1849" s="0" t="s">
        <v>38</v>
      </c>
      <c r="F1849" s="0" t="s">
        <v>39</v>
      </c>
      <c r="G1849" s="0" t="s">
        <v>394</v>
      </c>
      <c r="H1849" s="0" t="s">
        <v>379</v>
      </c>
      <c r="I1849" s="0" t="s">
        <v>394</v>
      </c>
      <c r="J1849" s="0" t="s">
        <v>524</v>
      </c>
      <c r="K1849" s="0" t="s">
        <v>394</v>
      </c>
      <c r="L1849" s="0" t="str">
        <f aca="false">IF(H1849&gt;I1849,"ERRO","OK")</f>
        <v>OK</v>
      </c>
      <c r="M1849" s="0" t="str">
        <f aca="false">IF(H1849&gt;J1849,"ERRO","OK")</f>
        <v>OK</v>
      </c>
      <c r="N1849" s="0" t="str">
        <f aca="false">IF(I1849&lt;J1849,"ERRO","OK")</f>
        <v>OK</v>
      </c>
    </row>
    <row r="1850" customFormat="false" ht="14.25" hidden="false" customHeight="false" outlineLevel="0" collapsed="false">
      <c r="A1850" s="0" t="n">
        <v>84</v>
      </c>
      <c r="B1850" s="0" t="n">
        <v>2024</v>
      </c>
      <c r="C1850" s="3" t="n">
        <v>45653</v>
      </c>
      <c r="E1850" s="0" t="s">
        <v>40</v>
      </c>
      <c r="F1850" s="0" t="s">
        <v>39</v>
      </c>
      <c r="G1850" s="0" t="s">
        <v>431</v>
      </c>
      <c r="H1850" s="0" t="s">
        <v>394</v>
      </c>
      <c r="I1850" s="0" t="s">
        <v>374</v>
      </c>
      <c r="J1850" s="0" t="s">
        <v>431</v>
      </c>
      <c r="K1850" s="0" t="s">
        <v>431</v>
      </c>
      <c r="L1850" s="0" t="str">
        <f aca="false">IF(H1850&gt;I1850,"ERRO","OK")</f>
        <v>OK</v>
      </c>
      <c r="M1850" s="0" t="str">
        <f aca="false">IF(H1850&gt;J1850,"ERRO","OK")</f>
        <v>OK</v>
      </c>
      <c r="N1850" s="0" t="str">
        <f aca="false">IF(I1850&lt;J1850,"ERRO","OK")</f>
        <v>OK</v>
      </c>
    </row>
    <row r="1851" customFormat="false" ht="14.25" hidden="false" customHeight="false" outlineLevel="0" collapsed="false">
      <c r="A1851" s="0" t="n">
        <v>84</v>
      </c>
      <c r="B1851" s="0" t="n">
        <v>2024</v>
      </c>
      <c r="C1851" s="3" t="n">
        <v>45653</v>
      </c>
      <c r="E1851" s="0" t="s">
        <v>157</v>
      </c>
      <c r="F1851" s="0" t="s">
        <v>158</v>
      </c>
      <c r="G1851" s="0" t="s">
        <v>398</v>
      </c>
      <c r="H1851" s="0" t="s">
        <v>398</v>
      </c>
      <c r="I1851" s="0" t="s">
        <v>398</v>
      </c>
      <c r="J1851" s="0" t="s">
        <v>398</v>
      </c>
      <c r="K1851" s="0" t="s">
        <v>398</v>
      </c>
      <c r="L1851" s="0" t="str">
        <f aca="false">IF(H1851&gt;I1851,"ERRO","OK")</f>
        <v>OK</v>
      </c>
      <c r="M1851" s="0" t="str">
        <f aca="false">IF(H1851&gt;J1851,"ERRO","OK")</f>
        <v>OK</v>
      </c>
      <c r="N1851" s="0" t="str">
        <f aca="false">IF(I1851&lt;J1851,"ERRO","OK")</f>
        <v>OK</v>
      </c>
    </row>
    <row r="1852" customFormat="false" ht="14.25" hidden="false" customHeight="false" outlineLevel="0" collapsed="false">
      <c r="A1852" s="0" t="n">
        <v>84</v>
      </c>
      <c r="B1852" s="0" t="n">
        <v>2024</v>
      </c>
      <c r="C1852" s="3" t="n">
        <v>45653</v>
      </c>
      <c r="E1852" s="0" t="s">
        <v>43</v>
      </c>
      <c r="F1852" s="0" t="s">
        <v>44</v>
      </c>
      <c r="G1852" s="0" t="s">
        <v>402</v>
      </c>
      <c r="H1852" s="0" t="s">
        <v>405</v>
      </c>
      <c r="I1852" s="0" t="s">
        <v>405</v>
      </c>
      <c r="J1852" s="0" t="s">
        <v>410</v>
      </c>
      <c r="K1852" s="0" t="s">
        <v>405</v>
      </c>
      <c r="L1852" s="0" t="str">
        <f aca="false">IF(H1852&gt;I1852,"ERRO","OK")</f>
        <v>OK</v>
      </c>
      <c r="M1852" s="0" t="str">
        <f aca="false">IF(H1852&gt;J1852,"ERRO","OK")</f>
        <v>ERRO</v>
      </c>
      <c r="N1852" s="0" t="str">
        <f aca="false">IF(I1852&lt;J1852,"ERRO","OK")</f>
        <v>OK</v>
      </c>
    </row>
    <row r="1853" customFormat="false" ht="14.25" hidden="false" customHeight="false" outlineLevel="0" collapsed="false">
      <c r="A1853" s="0" t="n">
        <v>84</v>
      </c>
      <c r="B1853" s="0" t="n">
        <v>2024</v>
      </c>
      <c r="C1853" s="3" t="n">
        <v>45653</v>
      </c>
      <c r="E1853" s="0" t="s">
        <v>46</v>
      </c>
      <c r="F1853" s="0" t="s">
        <v>47</v>
      </c>
      <c r="G1853" s="0" t="s">
        <v>402</v>
      </c>
      <c r="H1853" s="0" t="s">
        <v>411</v>
      </c>
      <c r="I1853" s="0" t="s">
        <v>382</v>
      </c>
      <c r="J1853" s="0" t="s">
        <v>411</v>
      </c>
      <c r="K1853" s="0" t="s">
        <v>411</v>
      </c>
      <c r="L1853" s="0" t="str">
        <f aca="false">IF(H1853&gt;I1853,"ERRO","OK")</f>
        <v>OK</v>
      </c>
      <c r="M1853" s="0" t="str">
        <f aca="false">IF(H1853&gt;J1853,"ERRO","OK")</f>
        <v>OK</v>
      </c>
      <c r="N1853" s="0" t="str">
        <f aca="false">IF(I1853&lt;J1853,"ERRO","OK")</f>
        <v>OK</v>
      </c>
    </row>
    <row r="1854" customFormat="false" ht="14.25" hidden="false" customHeight="false" outlineLevel="0" collapsed="false">
      <c r="A1854" s="0" t="n">
        <v>84</v>
      </c>
      <c r="B1854" s="0" t="n">
        <v>2024</v>
      </c>
      <c r="C1854" s="3" t="n">
        <v>45653</v>
      </c>
      <c r="E1854" s="0" t="s">
        <v>48</v>
      </c>
      <c r="F1854" s="0" t="s">
        <v>49</v>
      </c>
      <c r="G1854" s="0" t="s">
        <v>405</v>
      </c>
      <c r="H1854" s="0" t="s">
        <v>405</v>
      </c>
      <c r="I1854" s="0" t="s">
        <v>408</v>
      </c>
      <c r="J1854" s="0" t="s">
        <v>511</v>
      </c>
      <c r="K1854" s="0" t="s">
        <v>405</v>
      </c>
      <c r="L1854" s="0" t="str">
        <f aca="false">IF(H1854&gt;I1854,"ERRO","OK")</f>
        <v>OK</v>
      </c>
      <c r="M1854" s="0" t="str">
        <f aca="false">IF(H1854&gt;J1854,"ERRO","OK")</f>
        <v>OK</v>
      </c>
      <c r="N1854" s="0" t="str">
        <f aca="false">IF(I1854&lt;J1854,"ERRO","OK")</f>
        <v>OK</v>
      </c>
    </row>
    <row r="1855" customFormat="false" ht="14.25" hidden="false" customHeight="false" outlineLevel="0" collapsed="false">
      <c r="A1855" s="0" t="n">
        <v>84</v>
      </c>
      <c r="B1855" s="0" t="n">
        <v>2024</v>
      </c>
      <c r="C1855" s="3" t="n">
        <v>45653</v>
      </c>
      <c r="E1855" s="0" t="s">
        <v>52</v>
      </c>
      <c r="F1855" s="0" t="s">
        <v>49</v>
      </c>
      <c r="G1855" s="0" t="s">
        <v>398</v>
      </c>
      <c r="H1855" s="0" t="s">
        <v>398</v>
      </c>
      <c r="I1855" s="0" t="s">
        <v>398</v>
      </c>
      <c r="J1855" s="0" t="s">
        <v>398</v>
      </c>
      <c r="K1855" s="0" t="s">
        <v>398</v>
      </c>
      <c r="L1855" s="0" t="str">
        <f aca="false">IF(H1855&gt;I1855,"ERRO","OK")</f>
        <v>OK</v>
      </c>
      <c r="M1855" s="0" t="str">
        <f aca="false">IF(H1855&gt;J1855,"ERRO","OK")</f>
        <v>OK</v>
      </c>
      <c r="N1855" s="0" t="str">
        <f aca="false">IF(I1855&lt;J1855,"ERRO","OK")</f>
        <v>OK</v>
      </c>
    </row>
    <row r="1856" customFormat="false" ht="14.25" hidden="false" customHeight="false" outlineLevel="0" collapsed="false">
      <c r="A1856" s="0" t="n">
        <v>84</v>
      </c>
      <c r="B1856" s="0" t="n">
        <v>2024</v>
      </c>
      <c r="C1856" s="3" t="n">
        <v>45653</v>
      </c>
      <c r="E1856" s="0" t="s">
        <v>53</v>
      </c>
      <c r="F1856" s="0" t="s">
        <v>54</v>
      </c>
      <c r="G1856" s="0" t="s">
        <v>408</v>
      </c>
      <c r="H1856" s="0" t="s">
        <v>370</v>
      </c>
      <c r="I1856" s="0" t="s">
        <v>406</v>
      </c>
      <c r="J1856" s="0" t="s">
        <v>370</v>
      </c>
      <c r="K1856" s="0" t="s">
        <v>370</v>
      </c>
      <c r="L1856" s="0" t="str">
        <f aca="false">IF(H1856&gt;I1856,"ERRO","OK")</f>
        <v>OK</v>
      </c>
      <c r="M1856" s="0" t="str">
        <f aca="false">IF(H1856&gt;J1856,"ERRO","OK")</f>
        <v>OK</v>
      </c>
      <c r="N1856" s="0" t="str">
        <f aca="false">IF(I1856&lt;J1856,"ERRO","OK")</f>
        <v>OK</v>
      </c>
    </row>
    <row r="1857" customFormat="false" ht="14.25" hidden="false" customHeight="false" outlineLevel="0" collapsed="false">
      <c r="A1857" s="0" t="n">
        <v>84</v>
      </c>
      <c r="B1857" s="0" t="n">
        <v>2024</v>
      </c>
      <c r="C1857" s="3" t="n">
        <v>45653</v>
      </c>
      <c r="E1857" s="0" t="s">
        <v>56</v>
      </c>
      <c r="F1857" s="0" t="s">
        <v>47</v>
      </c>
      <c r="G1857" s="0" t="s">
        <v>405</v>
      </c>
      <c r="H1857" s="0" t="s">
        <v>497</v>
      </c>
      <c r="I1857" s="0" t="s">
        <v>406</v>
      </c>
      <c r="J1857" s="0" t="s">
        <v>406</v>
      </c>
      <c r="K1857" s="0" t="s">
        <v>403</v>
      </c>
      <c r="L1857" s="0" t="str">
        <f aca="false">IF(H1857&gt;I1857,"ERRO","OK")</f>
        <v>ERRO</v>
      </c>
      <c r="M1857" s="0" t="str">
        <f aca="false">IF(H1857&gt;J1857,"ERRO","OK")</f>
        <v>ERRO</v>
      </c>
      <c r="N1857" s="0" t="str">
        <f aca="false">IF(I1857&lt;J1857,"ERRO","OK")</f>
        <v>OK</v>
      </c>
    </row>
    <row r="1858" customFormat="false" ht="14.25" hidden="false" customHeight="false" outlineLevel="0" collapsed="false">
      <c r="A1858" s="0" t="n">
        <v>84</v>
      </c>
      <c r="B1858" s="0" t="n">
        <v>2024</v>
      </c>
      <c r="C1858" s="3" t="n">
        <v>45653</v>
      </c>
      <c r="E1858" s="0" t="s">
        <v>57</v>
      </c>
      <c r="F1858" s="0" t="s">
        <v>47</v>
      </c>
      <c r="G1858" s="0" t="s">
        <v>370</v>
      </c>
      <c r="H1858" s="0" t="s">
        <v>374</v>
      </c>
      <c r="I1858" s="0" t="s">
        <v>370</v>
      </c>
      <c r="J1858" s="0" t="s">
        <v>410</v>
      </c>
      <c r="K1858" s="0" t="s">
        <v>412</v>
      </c>
      <c r="L1858" s="0" t="str">
        <f aca="false">IF(H1858&gt;I1858,"ERRO","OK")</f>
        <v>OK</v>
      </c>
      <c r="M1858" s="0" t="str">
        <f aca="false">IF(H1858&gt;J1858,"ERRO","OK")</f>
        <v>OK</v>
      </c>
      <c r="N1858" s="0" t="str">
        <f aca="false">IF(I1858&lt;J1858,"ERRO","OK")</f>
        <v>OK</v>
      </c>
    </row>
    <row r="1859" customFormat="false" ht="14.25" hidden="false" customHeight="false" outlineLevel="0" collapsed="false">
      <c r="A1859" s="0" t="n">
        <v>84</v>
      </c>
      <c r="B1859" s="0" t="n">
        <v>2024</v>
      </c>
      <c r="C1859" s="3" t="n">
        <v>45653</v>
      </c>
      <c r="E1859" s="0" t="s">
        <v>58</v>
      </c>
      <c r="F1859" s="0" t="s">
        <v>44</v>
      </c>
      <c r="G1859" s="0" t="s">
        <v>382</v>
      </c>
      <c r="H1859" s="0" t="s">
        <v>382</v>
      </c>
      <c r="I1859" s="0" t="s">
        <v>415</v>
      </c>
      <c r="J1859" s="0" t="s">
        <v>497</v>
      </c>
      <c r="K1859" s="0" t="s">
        <v>398</v>
      </c>
      <c r="L1859" s="0" t="str">
        <f aca="false">IF(H1859&gt;I1859,"ERRO","OK")</f>
        <v>ERRO</v>
      </c>
      <c r="M1859" s="0" t="str">
        <f aca="false">IF(H1859&gt;J1859,"ERRO","OK")</f>
        <v>OK</v>
      </c>
      <c r="N1859" s="0" t="str">
        <f aca="false">IF(I1859&lt;J1859,"ERRO","OK")</f>
        <v>ERRO</v>
      </c>
    </row>
    <row r="1860" customFormat="false" ht="14.25" hidden="false" customHeight="false" outlineLevel="0" collapsed="false">
      <c r="A1860" s="0" t="n">
        <v>84</v>
      </c>
      <c r="B1860" s="0" t="n">
        <v>2024</v>
      </c>
      <c r="C1860" s="3" t="n">
        <v>45653</v>
      </c>
      <c r="E1860" s="0" t="s">
        <v>60</v>
      </c>
      <c r="F1860" s="0" t="s">
        <v>47</v>
      </c>
      <c r="G1860" s="0" t="s">
        <v>406</v>
      </c>
      <c r="H1860" s="0" t="s">
        <v>406</v>
      </c>
      <c r="I1860" s="0" t="s">
        <v>406</v>
      </c>
      <c r="J1860" s="0" t="s">
        <v>406</v>
      </c>
      <c r="K1860" s="0" t="s">
        <v>406</v>
      </c>
      <c r="L1860" s="0" t="str">
        <f aca="false">IF(H1860&gt;I1860,"ERRO","OK")</f>
        <v>OK</v>
      </c>
      <c r="M1860" s="0" t="str">
        <f aca="false">IF(H1860&gt;J1860,"ERRO","OK")</f>
        <v>OK</v>
      </c>
      <c r="N1860" s="0" t="str">
        <f aca="false">IF(I1860&lt;J1860,"ERRO","OK")</f>
        <v>OK</v>
      </c>
    </row>
    <row r="1861" customFormat="false" ht="14.25" hidden="false" customHeight="false" outlineLevel="0" collapsed="false">
      <c r="A1861" s="0" t="n">
        <v>84</v>
      </c>
      <c r="B1861" s="0" t="n">
        <v>2024</v>
      </c>
      <c r="C1861" s="3" t="n">
        <v>45653</v>
      </c>
      <c r="E1861" s="0" t="s">
        <v>61</v>
      </c>
      <c r="F1861" s="0" t="s">
        <v>44</v>
      </c>
      <c r="G1861" s="0" t="s">
        <v>402</v>
      </c>
      <c r="H1861" s="0" t="s">
        <v>382</v>
      </c>
      <c r="I1861" s="0" t="s">
        <v>382</v>
      </c>
      <c r="J1861" s="0" t="s">
        <v>525</v>
      </c>
      <c r="K1861" s="0" t="s">
        <v>382</v>
      </c>
      <c r="L1861" s="0" t="str">
        <f aca="false">IF(H1861&gt;I1861,"ERRO","OK")</f>
        <v>OK</v>
      </c>
      <c r="M1861" s="0" t="str">
        <f aca="false">IF(H1861&gt;J1861,"ERRO","OK")</f>
        <v>ERRO</v>
      </c>
      <c r="N1861" s="0" t="str">
        <f aca="false">IF(I1861&lt;J1861,"ERRO","OK")</f>
        <v>OK</v>
      </c>
    </row>
    <row r="1862" customFormat="false" ht="14.25" hidden="false" customHeight="false" outlineLevel="0" collapsed="false">
      <c r="A1862" s="0" t="n">
        <v>84</v>
      </c>
      <c r="B1862" s="0" t="n">
        <v>2024</v>
      </c>
      <c r="C1862" s="3" t="n">
        <v>45653</v>
      </c>
      <c r="E1862" s="0" t="s">
        <v>62</v>
      </c>
      <c r="F1862" s="0" t="s">
        <v>44</v>
      </c>
      <c r="G1862" s="0" t="s">
        <v>398</v>
      </c>
      <c r="H1862" s="0" t="s">
        <v>398</v>
      </c>
      <c r="I1862" s="0" t="s">
        <v>424</v>
      </c>
      <c r="J1862" s="0" t="s">
        <v>526</v>
      </c>
      <c r="K1862" s="0" t="s">
        <v>398</v>
      </c>
      <c r="L1862" s="0" t="str">
        <f aca="false">IF(H1862&gt;I1862,"ERRO","OK")</f>
        <v>OK</v>
      </c>
      <c r="M1862" s="0" t="str">
        <f aca="false">IF(H1862&gt;J1862,"ERRO","OK")</f>
        <v>OK</v>
      </c>
      <c r="N1862" s="0" t="str">
        <f aca="false">IF(I1862&lt;J1862,"ERRO","OK")</f>
        <v>OK</v>
      </c>
    </row>
    <row r="1863" customFormat="false" ht="14.25" hidden="false" customHeight="false" outlineLevel="0" collapsed="false">
      <c r="A1863" s="0" t="n">
        <v>84</v>
      </c>
      <c r="B1863" s="0" t="n">
        <v>2024</v>
      </c>
      <c r="C1863" s="3" t="n">
        <v>45653</v>
      </c>
      <c r="E1863" s="0" t="s">
        <v>63</v>
      </c>
      <c r="F1863" s="0" t="s">
        <v>49</v>
      </c>
      <c r="G1863" s="0" t="s">
        <v>400</v>
      </c>
      <c r="H1863" s="0" t="s">
        <v>408</v>
      </c>
      <c r="I1863" s="0" t="s">
        <v>419</v>
      </c>
      <c r="J1863" s="0" t="s">
        <v>416</v>
      </c>
      <c r="K1863" s="0" t="s">
        <v>416</v>
      </c>
      <c r="L1863" s="0" t="str">
        <f aca="false">IF(H1863&gt;I1863,"ERRO","OK")</f>
        <v>ERRO</v>
      </c>
      <c r="M1863" s="0" t="str">
        <f aca="false">IF(H1863&gt;J1863,"ERRO","OK")</f>
        <v>ERRO</v>
      </c>
      <c r="N1863" s="0" t="str">
        <f aca="false">IF(I1863&lt;J1863,"ERRO","OK")</f>
        <v>ERRO</v>
      </c>
    </row>
    <row r="1864" customFormat="false" ht="14.25" hidden="false" customHeight="false" outlineLevel="0" collapsed="false">
      <c r="A1864" s="0" t="n">
        <v>84</v>
      </c>
      <c r="B1864" s="0" t="n">
        <v>2024</v>
      </c>
      <c r="C1864" s="3" t="n">
        <v>45653</v>
      </c>
      <c r="E1864" s="0" t="s">
        <v>64</v>
      </c>
      <c r="F1864" s="0" t="s">
        <v>65</v>
      </c>
      <c r="G1864" s="0" t="s">
        <v>417</v>
      </c>
      <c r="H1864" s="0" t="s">
        <v>417</v>
      </c>
      <c r="I1864" s="0" t="s">
        <v>427</v>
      </c>
      <c r="J1864" s="0" t="s">
        <v>424</v>
      </c>
      <c r="K1864" s="0" t="s">
        <v>424</v>
      </c>
      <c r="L1864" s="0" t="str">
        <f aca="false">IF(H1864&gt;I1864,"ERRO","OK")</f>
        <v>ERRO</v>
      </c>
      <c r="M1864" s="0" t="str">
        <f aca="false">IF(H1864&gt;J1864,"ERRO","OK")</f>
        <v>OK</v>
      </c>
      <c r="N1864" s="0" t="str">
        <f aca="false">IF(I1864&lt;J1864,"ERRO","OK")</f>
        <v>ERRO</v>
      </c>
    </row>
    <row r="1865" customFormat="false" ht="14.25" hidden="false" customHeight="false" outlineLevel="0" collapsed="false">
      <c r="A1865" s="0" t="n">
        <v>84</v>
      </c>
      <c r="B1865" s="0" t="n">
        <v>2024</v>
      </c>
      <c r="C1865" s="3" t="n">
        <v>45653</v>
      </c>
      <c r="E1865" s="0" t="s">
        <v>67</v>
      </c>
      <c r="F1865" s="0" t="s">
        <v>44</v>
      </c>
      <c r="G1865" s="0" t="s">
        <v>497</v>
      </c>
      <c r="H1865" s="0" t="s">
        <v>413</v>
      </c>
      <c r="I1865" s="0" t="s">
        <v>413</v>
      </c>
      <c r="J1865" s="0" t="s">
        <v>527</v>
      </c>
      <c r="K1865" s="0" t="s">
        <v>415</v>
      </c>
      <c r="L1865" s="0" t="str">
        <f aca="false">IF(H1865&gt;I1865,"ERRO","OK")</f>
        <v>OK</v>
      </c>
      <c r="M1865" s="0" t="str">
        <f aca="false">IF(H1865&gt;J1865,"ERRO","OK")</f>
        <v>ERRO</v>
      </c>
      <c r="N1865" s="0" t="str">
        <f aca="false">IF(I1865&lt;J1865,"ERRO","OK")</f>
        <v>OK</v>
      </c>
    </row>
    <row r="1866" customFormat="false" ht="14.25" hidden="false" customHeight="false" outlineLevel="0" collapsed="false">
      <c r="A1866" s="0" t="n">
        <v>84</v>
      </c>
      <c r="B1866" s="0" t="n">
        <v>2024</v>
      </c>
      <c r="C1866" s="3" t="n">
        <v>45653</v>
      </c>
      <c r="E1866" s="0" t="s">
        <v>68</v>
      </c>
      <c r="F1866" s="0" t="s">
        <v>44</v>
      </c>
      <c r="G1866" s="0" t="s">
        <v>413</v>
      </c>
      <c r="H1866" s="0" t="s">
        <v>437</v>
      </c>
      <c r="I1866" s="0" t="s">
        <v>528</v>
      </c>
      <c r="J1866" s="0" t="s">
        <v>421</v>
      </c>
      <c r="K1866" s="0" t="s">
        <v>421</v>
      </c>
      <c r="L1866" s="0" t="str">
        <f aca="false">IF(H1866&gt;I1866,"ERRO","OK")</f>
        <v>ERRO</v>
      </c>
      <c r="M1866" s="0" t="str">
        <f aca="false">IF(H1866&gt;J1866,"ERRO","OK")</f>
        <v>ERRO</v>
      </c>
      <c r="N1866" s="0" t="str">
        <f aca="false">IF(I1866&lt;J1866,"ERRO","OK")</f>
        <v>ERRO</v>
      </c>
    </row>
    <row r="1867" customFormat="false" ht="14.25" hidden="false" customHeight="false" outlineLevel="0" collapsed="false">
      <c r="A1867" s="0" t="n">
        <v>84</v>
      </c>
      <c r="B1867" s="0" t="n">
        <v>2024</v>
      </c>
      <c r="C1867" s="3" t="n">
        <v>45653</v>
      </c>
      <c r="E1867" s="0" t="s">
        <v>70</v>
      </c>
      <c r="F1867" s="0" t="s">
        <v>49</v>
      </c>
      <c r="L1867" s="0" t="str">
        <f aca="false">IF(H1867&gt;I1867,"ERRO","OK")</f>
        <v>OK</v>
      </c>
      <c r="M1867" s="0" t="str">
        <f aca="false">IF(H1867&gt;J1867,"ERRO","OK")</f>
        <v>OK</v>
      </c>
      <c r="N1867" s="0" t="str">
        <f aca="false">IF(I1867&lt;J1867,"ERRO","OK")</f>
        <v>OK</v>
      </c>
    </row>
    <row r="1868" customFormat="false" ht="14.25" hidden="false" customHeight="false" outlineLevel="0" collapsed="false">
      <c r="A1868" s="0" t="n">
        <v>84</v>
      </c>
      <c r="B1868" s="0" t="n">
        <v>2024</v>
      </c>
      <c r="C1868" s="3" t="n">
        <v>45653</v>
      </c>
      <c r="E1868" s="0" t="s">
        <v>71</v>
      </c>
      <c r="F1868" s="0" t="s">
        <v>49</v>
      </c>
      <c r="L1868" s="0" t="str">
        <f aca="false">IF(H1868&gt;I1868,"ERRO","OK")</f>
        <v>OK</v>
      </c>
      <c r="M1868" s="0" t="str">
        <f aca="false">IF(H1868&gt;J1868,"ERRO","OK")</f>
        <v>OK</v>
      </c>
      <c r="N1868" s="0" t="str">
        <f aca="false">IF(I1868&lt;J1868,"ERRO","OK")</f>
        <v>OK</v>
      </c>
    </row>
    <row r="1869" customFormat="false" ht="14.25" hidden="false" customHeight="false" outlineLevel="0" collapsed="false">
      <c r="A1869" s="0" t="n">
        <v>84</v>
      </c>
      <c r="B1869" s="0" t="n">
        <v>2024</v>
      </c>
      <c r="C1869" s="3" t="n">
        <v>45653</v>
      </c>
      <c r="E1869" s="0" t="s">
        <v>72</v>
      </c>
      <c r="F1869" s="0" t="s">
        <v>49</v>
      </c>
      <c r="L1869" s="0" t="str">
        <f aca="false">IF(H1869&gt;I1869,"ERRO","OK")</f>
        <v>OK</v>
      </c>
      <c r="M1869" s="0" t="str">
        <f aca="false">IF(H1869&gt;J1869,"ERRO","OK")</f>
        <v>OK</v>
      </c>
      <c r="N1869" s="0" t="str">
        <f aca="false">IF(I1869&lt;J1869,"ERRO","OK")</f>
        <v>OK</v>
      </c>
    </row>
    <row r="1870" customFormat="false" ht="14.25" hidden="false" customHeight="false" outlineLevel="0" collapsed="false">
      <c r="A1870" s="0" t="n">
        <v>84</v>
      </c>
      <c r="B1870" s="0" t="n">
        <v>2024</v>
      </c>
      <c r="C1870" s="3" t="n">
        <v>45653</v>
      </c>
      <c r="E1870" s="0" t="s">
        <v>73</v>
      </c>
      <c r="F1870" s="0" t="s">
        <v>49</v>
      </c>
      <c r="G1870" s="0" t="s">
        <v>370</v>
      </c>
      <c r="H1870" s="0" t="s">
        <v>370</v>
      </c>
      <c r="I1870" s="0" t="s">
        <v>370</v>
      </c>
      <c r="J1870" s="0" t="s">
        <v>370</v>
      </c>
      <c r="K1870" s="0" t="s">
        <v>370</v>
      </c>
      <c r="L1870" s="0" t="str">
        <f aca="false">IF(H1870&gt;I1870,"ERRO","OK")</f>
        <v>OK</v>
      </c>
      <c r="M1870" s="0" t="str">
        <f aca="false">IF(H1870&gt;J1870,"ERRO","OK")</f>
        <v>OK</v>
      </c>
      <c r="N1870" s="0" t="str">
        <f aca="false">IF(I1870&lt;J1870,"ERRO","OK")</f>
        <v>OK</v>
      </c>
    </row>
    <row r="1871" customFormat="false" ht="14.25" hidden="false" customHeight="false" outlineLevel="0" collapsed="false">
      <c r="A1871" s="0" t="n">
        <v>84</v>
      </c>
      <c r="B1871" s="0" t="n">
        <v>2024</v>
      </c>
      <c r="C1871" s="3" t="n">
        <v>45653</v>
      </c>
      <c r="E1871" s="0" t="s">
        <v>74</v>
      </c>
      <c r="F1871" s="21" t="s">
        <v>75</v>
      </c>
      <c r="L1871" s="0" t="str">
        <f aca="false">IF(H1871&gt;I1871,"ERRO","OK")</f>
        <v>OK</v>
      </c>
      <c r="M1871" s="0" t="str">
        <f aca="false">IF(H1871&gt;J1871,"ERRO","OK")</f>
        <v>OK</v>
      </c>
      <c r="N1871" s="0" t="str">
        <f aca="false">IF(I1871&lt;J1871,"ERRO","OK")</f>
        <v>OK</v>
      </c>
    </row>
    <row r="1872" customFormat="false" ht="14.25" hidden="false" customHeight="false" outlineLevel="0" collapsed="false">
      <c r="A1872" s="0" t="n">
        <v>85</v>
      </c>
      <c r="B1872" s="0" t="n">
        <v>2024</v>
      </c>
      <c r="C1872" s="3" t="n">
        <v>45681</v>
      </c>
      <c r="E1872" s="20" t="s">
        <v>16</v>
      </c>
      <c r="F1872" s="21" t="s">
        <v>17</v>
      </c>
      <c r="G1872" s="21"/>
      <c r="H1872" s="22" t="n">
        <v>36</v>
      </c>
      <c r="I1872" s="22" t="n">
        <v>72</v>
      </c>
      <c r="J1872" s="22" t="n">
        <v>54</v>
      </c>
      <c r="K1872" s="22" t="n">
        <v>54</v>
      </c>
      <c r="L1872" s="0" t="str">
        <f aca="false">IF(H1872&gt;I1872,"ERRO","OK")</f>
        <v>OK</v>
      </c>
      <c r="M1872" s="0" t="str">
        <f aca="false">IF(H1872&gt;J1872,"ERRO","OK")</f>
        <v>OK</v>
      </c>
      <c r="N1872" s="0" t="str">
        <f aca="false">IF(I1872&lt;J1872,"ERRO","OK")</f>
        <v>OK</v>
      </c>
    </row>
    <row r="1873" customFormat="false" ht="14.25" hidden="false" customHeight="false" outlineLevel="0" collapsed="false">
      <c r="A1873" s="0" t="n">
        <v>85</v>
      </c>
      <c r="B1873" s="0" t="n">
        <v>2024</v>
      </c>
      <c r="C1873" s="3" t="n">
        <v>45681</v>
      </c>
      <c r="E1873" s="20" t="s">
        <v>18</v>
      </c>
      <c r="F1873" s="21" t="s">
        <v>17</v>
      </c>
      <c r="G1873" s="22" t="n">
        <v>96</v>
      </c>
      <c r="H1873" s="22" t="n">
        <v>54</v>
      </c>
      <c r="I1873" s="22" t="n">
        <v>96</v>
      </c>
      <c r="J1873" s="22" t="s">
        <v>172</v>
      </c>
      <c r="K1873" s="22" t="n">
        <v>90</v>
      </c>
      <c r="L1873" s="0" t="str">
        <f aca="false">IF(H1873&gt;I1873,"ERRO","OK")</f>
        <v>OK</v>
      </c>
      <c r="M1873" s="0" t="str">
        <f aca="false">IF(H1873&gt;J1873,"ERRO","OK")</f>
        <v>OK</v>
      </c>
      <c r="N1873" s="0" t="str">
        <f aca="false">IF(I1873&lt;J1873,"ERRO","OK")</f>
        <v>ERRO</v>
      </c>
    </row>
    <row r="1874" customFormat="false" ht="14.25" hidden="false" customHeight="false" outlineLevel="0" collapsed="false">
      <c r="A1874" s="0" t="n">
        <v>85</v>
      </c>
      <c r="B1874" s="0" t="n">
        <v>2024</v>
      </c>
      <c r="C1874" s="3" t="n">
        <v>45681</v>
      </c>
      <c r="E1874" s="20" t="s">
        <v>19</v>
      </c>
      <c r="F1874" s="21" t="s">
        <v>17</v>
      </c>
      <c r="G1874" s="21"/>
      <c r="H1874" s="22" t="n">
        <v>40</v>
      </c>
      <c r="I1874" s="22" t="n">
        <v>60</v>
      </c>
      <c r="J1874" s="22" t="s">
        <v>529</v>
      </c>
      <c r="K1874" s="22" t="s">
        <v>178</v>
      </c>
      <c r="L1874" s="0" t="str">
        <f aca="false">IF(H1874&gt;I1874,"ERRO","OK")</f>
        <v>OK</v>
      </c>
      <c r="M1874" s="0" t="str">
        <f aca="false">IF(H1874&gt;J1874,"ERRO","OK")</f>
        <v>OK</v>
      </c>
      <c r="N1874" s="0" t="str">
        <f aca="false">IF(I1874&lt;J1874,"ERRO","OK")</f>
        <v>ERRO</v>
      </c>
    </row>
    <row r="1875" customFormat="false" ht="14.25" hidden="false" customHeight="false" outlineLevel="0" collapsed="false">
      <c r="A1875" s="0" t="n">
        <v>85</v>
      </c>
      <c r="B1875" s="0" t="n">
        <v>2024</v>
      </c>
      <c r="C1875" s="3" t="n">
        <v>45681</v>
      </c>
      <c r="E1875" s="20" t="s">
        <v>20</v>
      </c>
      <c r="F1875" s="21" t="s">
        <v>17</v>
      </c>
      <c r="G1875" s="22" t="n">
        <v>30</v>
      </c>
      <c r="H1875" s="22" t="n">
        <v>25</v>
      </c>
      <c r="I1875" s="22" t="n">
        <v>50</v>
      </c>
      <c r="J1875" s="22" t="s">
        <v>217</v>
      </c>
      <c r="K1875" s="22" t="n">
        <v>30</v>
      </c>
      <c r="L1875" s="0" t="str">
        <f aca="false">IF(H1875&gt;I1875,"ERRO","OK")</f>
        <v>OK</v>
      </c>
      <c r="M1875" s="0" t="str">
        <f aca="false">IF(H1875&gt;J1875,"ERRO","OK")</f>
        <v>OK</v>
      </c>
      <c r="N1875" s="0" t="str">
        <f aca="false">IF(I1875&lt;J1875,"ERRO","OK")</f>
        <v>ERRO</v>
      </c>
    </row>
    <row r="1876" customFormat="false" ht="14.25" hidden="false" customHeight="false" outlineLevel="0" collapsed="false">
      <c r="A1876" s="0" t="n">
        <v>85</v>
      </c>
      <c r="B1876" s="0" t="n">
        <v>2024</v>
      </c>
      <c r="C1876" s="3" t="n">
        <v>45681</v>
      </c>
      <c r="E1876" s="20" t="s">
        <v>21</v>
      </c>
      <c r="F1876" s="21" t="s">
        <v>17</v>
      </c>
      <c r="G1876" s="22" t="n">
        <v>30</v>
      </c>
      <c r="H1876" s="22" t="n">
        <v>25</v>
      </c>
      <c r="I1876" s="22" t="n">
        <v>50</v>
      </c>
      <c r="J1876" s="22" t="s">
        <v>217</v>
      </c>
      <c r="K1876" s="22" t="n">
        <v>30</v>
      </c>
      <c r="L1876" s="0" t="str">
        <f aca="false">IF(H1876&gt;I1876,"ERRO","OK")</f>
        <v>OK</v>
      </c>
      <c r="M1876" s="0" t="str">
        <f aca="false">IF(H1876&gt;J1876,"ERRO","OK")</f>
        <v>OK</v>
      </c>
      <c r="N1876" s="0" t="str">
        <f aca="false">IF(I1876&lt;J1876,"ERRO","OK")</f>
        <v>ERRO</v>
      </c>
    </row>
    <row r="1877" customFormat="false" ht="14.25" hidden="false" customHeight="false" outlineLevel="0" collapsed="false">
      <c r="A1877" s="0" t="n">
        <v>85</v>
      </c>
      <c r="B1877" s="0" t="n">
        <v>2024</v>
      </c>
      <c r="C1877" s="3" t="n">
        <v>45681</v>
      </c>
      <c r="E1877" s="20" t="s">
        <v>22</v>
      </c>
      <c r="F1877" s="21" t="s">
        <v>17</v>
      </c>
      <c r="G1877" s="22" t="n">
        <v>60</v>
      </c>
      <c r="H1877" s="22" t="n">
        <v>60</v>
      </c>
      <c r="I1877" s="22" t="n">
        <v>120</v>
      </c>
      <c r="J1877" s="22" t="s">
        <v>530</v>
      </c>
      <c r="K1877" s="22" t="n">
        <v>63</v>
      </c>
      <c r="L1877" s="0" t="str">
        <f aca="false">IF(H1877&gt;I1877,"ERRO","OK")</f>
        <v>OK</v>
      </c>
      <c r="M1877" s="0" t="str">
        <f aca="false">IF(H1877&gt;J1877,"ERRO","OK")</f>
        <v>OK</v>
      </c>
      <c r="N1877" s="0" t="str">
        <f aca="false">IF(I1877&lt;J1877,"ERRO","OK")</f>
        <v>ERRO</v>
      </c>
    </row>
    <row r="1878" customFormat="false" ht="14.25" hidden="false" customHeight="false" outlineLevel="0" collapsed="false">
      <c r="A1878" s="0" t="n">
        <v>85</v>
      </c>
      <c r="B1878" s="0" t="n">
        <v>2024</v>
      </c>
      <c r="C1878" s="3" t="n">
        <v>45681</v>
      </c>
      <c r="E1878" s="20" t="s">
        <v>23</v>
      </c>
      <c r="F1878" s="21" t="s">
        <v>17</v>
      </c>
      <c r="G1878" s="22" t="n">
        <v>84</v>
      </c>
      <c r="H1878" s="22" t="n">
        <v>78</v>
      </c>
      <c r="I1878" s="22" t="n">
        <v>84</v>
      </c>
      <c r="J1878" s="22" t="n">
        <v>81</v>
      </c>
      <c r="K1878" s="22" t="n">
        <v>81</v>
      </c>
      <c r="L1878" s="0" t="str">
        <f aca="false">IF(H1878&gt;I1878,"ERRO","OK")</f>
        <v>OK</v>
      </c>
      <c r="M1878" s="0" t="str">
        <f aca="false">IF(H1878&gt;J1878,"ERRO","OK")</f>
        <v>OK</v>
      </c>
      <c r="N1878" s="0" t="str">
        <f aca="false">IF(I1878&lt;J1878,"ERRO","OK")</f>
        <v>OK</v>
      </c>
    </row>
    <row r="1879" customFormat="false" ht="14.25" hidden="false" customHeight="false" outlineLevel="0" collapsed="false">
      <c r="A1879" s="0" t="n">
        <v>85</v>
      </c>
      <c r="B1879" s="0" t="n">
        <v>2024</v>
      </c>
      <c r="C1879" s="3" t="n">
        <v>45681</v>
      </c>
      <c r="E1879" s="20" t="s">
        <v>24</v>
      </c>
      <c r="F1879" s="21" t="s">
        <v>17</v>
      </c>
      <c r="G1879" s="22" t="n">
        <v>84</v>
      </c>
      <c r="H1879" s="22" t="n">
        <v>72</v>
      </c>
      <c r="I1879" s="22" t="n">
        <v>96</v>
      </c>
      <c r="J1879" s="22" t="n">
        <v>84</v>
      </c>
      <c r="K1879" s="22" t="n">
        <v>84</v>
      </c>
      <c r="L1879" s="0" t="str">
        <f aca="false">IF(H1879&gt;I1879,"ERRO","OK")</f>
        <v>OK</v>
      </c>
      <c r="M1879" s="0" t="str">
        <f aca="false">IF(H1879&gt;J1879,"ERRO","OK")</f>
        <v>OK</v>
      </c>
      <c r="N1879" s="0" t="str">
        <f aca="false">IF(I1879&lt;J1879,"ERRO","OK")</f>
        <v>OK</v>
      </c>
    </row>
    <row r="1880" customFormat="false" ht="14.25" hidden="false" customHeight="false" outlineLevel="0" collapsed="false">
      <c r="A1880" s="0" t="n">
        <v>85</v>
      </c>
      <c r="B1880" s="0" t="n">
        <v>2024</v>
      </c>
      <c r="C1880" s="3" t="n">
        <v>45681</v>
      </c>
      <c r="E1880" s="20" t="s">
        <v>25</v>
      </c>
      <c r="F1880" s="21" t="s">
        <v>17</v>
      </c>
      <c r="G1880" s="22" t="n">
        <v>24</v>
      </c>
      <c r="H1880" s="22" t="n">
        <v>24</v>
      </c>
      <c r="I1880" s="22" t="n">
        <v>30</v>
      </c>
      <c r="J1880" s="22" t="s">
        <v>280</v>
      </c>
      <c r="K1880" s="22" t="n">
        <v>24</v>
      </c>
      <c r="L1880" s="0" t="str">
        <f aca="false">IF(H1880&gt;I1880,"ERRO","OK")</f>
        <v>OK</v>
      </c>
      <c r="M1880" s="0" t="str">
        <f aca="false">IF(H1880&gt;J1880,"ERRO","OK")</f>
        <v>OK</v>
      </c>
      <c r="N1880" s="0" t="str">
        <f aca="false">IF(I1880&lt;J1880,"ERRO","OK")</f>
        <v>ERRO</v>
      </c>
    </row>
    <row r="1881" customFormat="false" ht="14.25" hidden="false" customHeight="false" outlineLevel="0" collapsed="false">
      <c r="A1881" s="0" t="n">
        <v>85</v>
      </c>
      <c r="B1881" s="0" t="n">
        <v>2024</v>
      </c>
      <c r="C1881" s="3" t="n">
        <v>45681</v>
      </c>
      <c r="E1881" s="20" t="s">
        <v>77</v>
      </c>
      <c r="F1881" s="21" t="s">
        <v>17</v>
      </c>
      <c r="G1881" s="22" t="n">
        <v>96</v>
      </c>
      <c r="H1881" s="22" t="n">
        <v>72</v>
      </c>
      <c r="I1881" s="22" t="n">
        <v>96</v>
      </c>
      <c r="J1881" s="22" t="n">
        <v>87</v>
      </c>
      <c r="K1881" s="22" t="n">
        <v>90</v>
      </c>
      <c r="L1881" s="0" t="str">
        <f aca="false">IF(H1881&gt;I1881,"ERRO","OK")</f>
        <v>OK</v>
      </c>
      <c r="M1881" s="0" t="str">
        <f aca="false">IF(H1881&gt;J1881,"ERRO","OK")</f>
        <v>OK</v>
      </c>
      <c r="N1881" s="0" t="str">
        <f aca="false">IF(I1881&lt;J1881,"ERRO","OK")</f>
        <v>OK</v>
      </c>
    </row>
    <row r="1882" customFormat="false" ht="14.25" hidden="false" customHeight="false" outlineLevel="0" collapsed="false">
      <c r="A1882" s="0" t="n">
        <v>85</v>
      </c>
      <c r="B1882" s="0" t="n">
        <v>2024</v>
      </c>
      <c r="C1882" s="3" t="n">
        <v>45681</v>
      </c>
      <c r="E1882" s="20" t="s">
        <v>27</v>
      </c>
      <c r="F1882" s="21" t="s">
        <v>17</v>
      </c>
      <c r="G1882" s="22" t="n">
        <v>30</v>
      </c>
      <c r="H1882" s="22" t="n">
        <v>25</v>
      </c>
      <c r="I1882" s="22" t="n">
        <v>36</v>
      </c>
      <c r="J1882" s="22" t="s">
        <v>341</v>
      </c>
      <c r="K1882" s="22" t="n">
        <v>30</v>
      </c>
      <c r="L1882" s="0" t="str">
        <f aca="false">IF(H1882&gt;I1882,"ERRO","OK")</f>
        <v>OK</v>
      </c>
      <c r="M1882" s="0" t="str">
        <f aca="false">IF(H1882&gt;J1882,"ERRO","OK")</f>
        <v>OK</v>
      </c>
      <c r="N1882" s="0" t="str">
        <f aca="false">IF(I1882&lt;J1882,"ERRO","OK")</f>
        <v>ERRO</v>
      </c>
    </row>
    <row r="1883" customFormat="false" ht="14.25" hidden="false" customHeight="false" outlineLevel="0" collapsed="false">
      <c r="A1883" s="0" t="n">
        <v>85</v>
      </c>
      <c r="B1883" s="0" t="n">
        <v>2024</v>
      </c>
      <c r="C1883" s="3" t="n">
        <v>45681</v>
      </c>
      <c r="E1883" s="20" t="s">
        <v>28</v>
      </c>
      <c r="F1883" s="21" t="s">
        <v>17</v>
      </c>
      <c r="G1883" s="22" t="n">
        <v>72</v>
      </c>
      <c r="H1883" s="22" t="n">
        <v>60</v>
      </c>
      <c r="I1883" s="22" t="n">
        <v>84</v>
      </c>
      <c r="J1883" s="22" t="n">
        <v>72</v>
      </c>
      <c r="K1883" s="22" t="n">
        <v>72</v>
      </c>
      <c r="L1883" s="0" t="str">
        <f aca="false">IF(H1883&gt;I1883,"ERRO","OK")</f>
        <v>OK</v>
      </c>
      <c r="M1883" s="0" t="str">
        <f aca="false">IF(H1883&gt;J1883,"ERRO","OK")</f>
        <v>OK</v>
      </c>
      <c r="N1883" s="0" t="str">
        <f aca="false">IF(I1883&lt;J1883,"ERRO","OK")</f>
        <v>OK</v>
      </c>
    </row>
    <row r="1884" customFormat="false" ht="14.25" hidden="false" customHeight="false" outlineLevel="0" collapsed="false">
      <c r="A1884" s="0" t="n">
        <v>85</v>
      </c>
      <c r="B1884" s="0" t="n">
        <v>2024</v>
      </c>
      <c r="C1884" s="3" t="n">
        <v>45681</v>
      </c>
      <c r="E1884" s="20" t="s">
        <v>29</v>
      </c>
      <c r="F1884" s="21" t="s">
        <v>30</v>
      </c>
      <c r="G1884" s="22" t="n">
        <v>72</v>
      </c>
      <c r="H1884" s="22" t="n">
        <v>60</v>
      </c>
      <c r="I1884" s="22" t="n">
        <v>96</v>
      </c>
      <c r="J1884" s="22" t="n">
        <v>75</v>
      </c>
      <c r="K1884" s="22" t="n">
        <v>72</v>
      </c>
      <c r="L1884" s="0" t="str">
        <f aca="false">IF(H1884&gt;I1884,"ERRO","OK")</f>
        <v>OK</v>
      </c>
      <c r="M1884" s="0" t="str">
        <f aca="false">IF(H1884&gt;J1884,"ERRO","OK")</f>
        <v>OK</v>
      </c>
      <c r="N1884" s="0" t="str">
        <f aca="false">IF(I1884&lt;J1884,"ERRO","OK")</f>
        <v>OK</v>
      </c>
    </row>
    <row r="1885" customFormat="false" ht="14.25" hidden="false" customHeight="false" outlineLevel="0" collapsed="false">
      <c r="A1885" s="0" t="n">
        <v>85</v>
      </c>
      <c r="B1885" s="0" t="n">
        <v>2024</v>
      </c>
      <c r="C1885" s="3" t="n">
        <v>45681</v>
      </c>
      <c r="E1885" s="20" t="s">
        <v>31</v>
      </c>
      <c r="F1885" s="21" t="s">
        <v>17</v>
      </c>
      <c r="G1885" s="22" t="n">
        <v>60</v>
      </c>
      <c r="H1885" s="22" t="n">
        <v>54</v>
      </c>
      <c r="I1885" s="22" t="n">
        <v>72</v>
      </c>
      <c r="J1885" s="22" t="s">
        <v>145</v>
      </c>
      <c r="K1885" s="22" t="n">
        <v>60</v>
      </c>
      <c r="L1885" s="0" t="str">
        <f aca="false">IF(H1885&gt;I1885,"ERRO","OK")</f>
        <v>OK</v>
      </c>
      <c r="M1885" s="0" t="str">
        <f aca="false">IF(H1885&gt;J1885,"ERRO","OK")</f>
        <v>OK</v>
      </c>
      <c r="N1885" s="0" t="str">
        <f aca="false">IF(I1885&lt;J1885,"ERRO","OK")</f>
        <v>ERRO</v>
      </c>
    </row>
    <row r="1886" customFormat="false" ht="14.25" hidden="false" customHeight="false" outlineLevel="0" collapsed="false">
      <c r="A1886" s="0" t="n">
        <v>85</v>
      </c>
      <c r="B1886" s="0" t="n">
        <v>2024</v>
      </c>
      <c r="C1886" s="3" t="n">
        <v>45681</v>
      </c>
      <c r="E1886" s="20" t="s">
        <v>32</v>
      </c>
      <c r="F1886" s="21" t="s">
        <v>17</v>
      </c>
      <c r="G1886" s="22" t="n">
        <v>48</v>
      </c>
      <c r="H1886" s="22" t="n">
        <v>36</v>
      </c>
      <c r="I1886" s="22" t="n">
        <v>48</v>
      </c>
      <c r="J1886" s="22" t="n">
        <v>42</v>
      </c>
      <c r="K1886" s="22" t="n">
        <v>42</v>
      </c>
      <c r="L1886" s="0" t="str">
        <f aca="false">IF(H1886&gt;I1886,"ERRO","OK")</f>
        <v>OK</v>
      </c>
      <c r="M1886" s="0" t="str">
        <f aca="false">IF(H1886&gt;J1886,"ERRO","OK")</f>
        <v>OK</v>
      </c>
      <c r="N1886" s="0" t="str">
        <f aca="false">IF(I1886&lt;J1886,"ERRO","OK")</f>
        <v>OK</v>
      </c>
    </row>
    <row r="1887" customFormat="false" ht="14.25" hidden="false" customHeight="false" outlineLevel="0" collapsed="false">
      <c r="A1887" s="0" t="n">
        <v>85</v>
      </c>
      <c r="B1887" s="0" t="n">
        <v>2024</v>
      </c>
      <c r="C1887" s="3" t="n">
        <v>45681</v>
      </c>
      <c r="E1887" s="20" t="s">
        <v>33</v>
      </c>
      <c r="F1887" s="21" t="s">
        <v>17</v>
      </c>
      <c r="G1887" s="22" t="n">
        <v>54</v>
      </c>
      <c r="H1887" s="22" t="n">
        <v>48</v>
      </c>
      <c r="I1887" s="22" t="n">
        <v>60</v>
      </c>
      <c r="J1887" s="22" t="n">
        <v>54</v>
      </c>
      <c r="K1887" s="22" t="n">
        <v>54</v>
      </c>
      <c r="L1887" s="0" t="str">
        <f aca="false">IF(H1887&gt;I1887,"ERRO","OK")</f>
        <v>OK</v>
      </c>
      <c r="M1887" s="0" t="str">
        <f aca="false">IF(H1887&gt;J1887,"ERRO","OK")</f>
        <v>OK</v>
      </c>
      <c r="N1887" s="0" t="str">
        <f aca="false">IF(I1887&lt;J1887,"ERRO","OK")</f>
        <v>OK</v>
      </c>
    </row>
    <row r="1888" customFormat="false" ht="14.25" hidden="false" customHeight="false" outlineLevel="0" collapsed="false">
      <c r="A1888" s="0" t="n">
        <v>85</v>
      </c>
      <c r="B1888" s="0" t="n">
        <v>2024</v>
      </c>
      <c r="C1888" s="3" t="n">
        <v>45681</v>
      </c>
      <c r="E1888" s="20" t="s">
        <v>35</v>
      </c>
      <c r="F1888" s="21" t="s">
        <v>36</v>
      </c>
      <c r="G1888" s="22" t="n">
        <v>5</v>
      </c>
      <c r="H1888" s="22" t="n">
        <v>5</v>
      </c>
      <c r="I1888" s="22" t="n">
        <v>5</v>
      </c>
      <c r="J1888" s="22" t="n">
        <v>5</v>
      </c>
      <c r="K1888" s="22" t="n">
        <v>5</v>
      </c>
      <c r="L1888" s="0" t="str">
        <f aca="false">IF(H1888&gt;I1888,"ERRO","OK")</f>
        <v>OK</v>
      </c>
      <c r="M1888" s="0" t="str">
        <f aca="false">IF(H1888&gt;J1888,"ERRO","OK")</f>
        <v>OK</v>
      </c>
      <c r="N1888" s="0" t="str">
        <f aca="false">IF(I1888&lt;J1888,"ERRO","OK")</f>
        <v>OK</v>
      </c>
    </row>
    <row r="1889" customFormat="false" ht="14.25" hidden="false" customHeight="false" outlineLevel="0" collapsed="false">
      <c r="A1889" s="0" t="n">
        <v>85</v>
      </c>
      <c r="B1889" s="0" t="n">
        <v>2024</v>
      </c>
      <c r="C1889" s="3" t="n">
        <v>45681</v>
      </c>
      <c r="E1889" s="20" t="s">
        <v>38</v>
      </c>
      <c r="F1889" s="21" t="s">
        <v>39</v>
      </c>
      <c r="G1889" s="22" t="n">
        <v>20</v>
      </c>
      <c r="H1889" s="22" t="n">
        <v>20</v>
      </c>
      <c r="I1889" s="22" t="n">
        <v>25</v>
      </c>
      <c r="J1889" s="22" t="s">
        <v>41</v>
      </c>
      <c r="K1889" s="22" t="s">
        <v>41</v>
      </c>
      <c r="L1889" s="0" t="str">
        <f aca="false">IF(H1889&gt;I1889,"ERRO","OK")</f>
        <v>OK</v>
      </c>
      <c r="M1889" s="0" t="str">
        <f aca="false">IF(H1889&gt;J1889,"ERRO","OK")</f>
        <v>OK</v>
      </c>
      <c r="N1889" s="0" t="str">
        <f aca="false">IF(I1889&lt;J1889,"ERRO","OK")</f>
        <v>ERRO</v>
      </c>
    </row>
    <row r="1890" customFormat="false" ht="14.25" hidden="false" customHeight="false" outlineLevel="0" collapsed="false">
      <c r="A1890" s="0" t="n">
        <v>85</v>
      </c>
      <c r="B1890" s="0" t="n">
        <v>2024</v>
      </c>
      <c r="C1890" s="3" t="n">
        <v>45681</v>
      </c>
      <c r="E1890" s="20" t="s">
        <v>40</v>
      </c>
      <c r="F1890" s="21" t="s">
        <v>39</v>
      </c>
      <c r="G1890" s="22" t="n">
        <v>25</v>
      </c>
      <c r="H1890" s="22" t="n">
        <v>25</v>
      </c>
      <c r="I1890" s="22" t="n">
        <v>30</v>
      </c>
      <c r="J1890" s="22" t="s">
        <v>261</v>
      </c>
      <c r="K1890" s="22" t="s">
        <v>261</v>
      </c>
      <c r="L1890" s="0" t="str">
        <f aca="false">IF(H1890&gt;I1890,"ERRO","OK")</f>
        <v>OK</v>
      </c>
      <c r="M1890" s="0" t="str">
        <f aca="false">IF(H1890&gt;J1890,"ERRO","OK")</f>
        <v>OK</v>
      </c>
      <c r="N1890" s="0" t="str">
        <f aca="false">IF(I1890&lt;J1890,"ERRO","OK")</f>
        <v>ERRO</v>
      </c>
    </row>
    <row r="1891" customFormat="false" ht="14.25" hidden="false" customHeight="false" outlineLevel="0" collapsed="false">
      <c r="A1891" s="0" t="n">
        <v>85</v>
      </c>
      <c r="B1891" s="0" t="n">
        <v>2024</v>
      </c>
      <c r="C1891" s="3" t="n">
        <v>45681</v>
      </c>
      <c r="E1891" s="20" t="s">
        <v>360</v>
      </c>
      <c r="F1891" s="21" t="s">
        <v>158</v>
      </c>
      <c r="G1891" s="22" t="n">
        <v>70</v>
      </c>
      <c r="H1891" s="22" t="n">
        <v>70</v>
      </c>
      <c r="I1891" s="22" t="n">
        <v>75</v>
      </c>
      <c r="J1891" s="22" t="s">
        <v>283</v>
      </c>
      <c r="K1891" s="22" t="n">
        <v>70</v>
      </c>
      <c r="L1891" s="0" t="str">
        <f aca="false">IF(H1891&gt;I1891,"ERRO","OK")</f>
        <v>OK</v>
      </c>
      <c r="M1891" s="0" t="str">
        <f aca="false">IF(H1891&gt;J1891,"ERRO","OK")</f>
        <v>OK</v>
      </c>
      <c r="N1891" s="0" t="str">
        <f aca="false">IF(I1891&lt;J1891,"ERRO","OK")</f>
        <v>ERRO</v>
      </c>
    </row>
    <row r="1892" customFormat="false" ht="14.25" hidden="false" customHeight="false" outlineLevel="0" collapsed="false">
      <c r="A1892" s="0" t="n">
        <v>85</v>
      </c>
      <c r="B1892" s="0" t="n">
        <v>2024</v>
      </c>
      <c r="C1892" s="3" t="n">
        <v>45681</v>
      </c>
      <c r="E1892" s="20" t="s">
        <v>43</v>
      </c>
      <c r="F1892" s="21" t="s">
        <v>44</v>
      </c>
      <c r="G1892" s="22" t="n">
        <v>50</v>
      </c>
      <c r="H1892" s="22" t="n">
        <v>50</v>
      </c>
      <c r="I1892" s="22" t="n">
        <v>60</v>
      </c>
      <c r="J1892" s="22" t="s">
        <v>246</v>
      </c>
      <c r="K1892" s="22" t="n">
        <v>50</v>
      </c>
      <c r="L1892" s="0" t="str">
        <f aca="false">IF(H1892&gt;I1892,"ERRO","OK")</f>
        <v>OK</v>
      </c>
      <c r="M1892" s="0" t="str">
        <f aca="false">IF(H1892&gt;J1892,"ERRO","OK")</f>
        <v>OK</v>
      </c>
      <c r="N1892" s="0" t="str">
        <f aca="false">IF(I1892&lt;J1892,"ERRO","OK")</f>
        <v>ERRO</v>
      </c>
    </row>
    <row r="1893" customFormat="false" ht="14.25" hidden="false" customHeight="false" outlineLevel="0" collapsed="false">
      <c r="A1893" s="0" t="n">
        <v>85</v>
      </c>
      <c r="B1893" s="0" t="n">
        <v>2024</v>
      </c>
      <c r="C1893" s="3" t="n">
        <v>45681</v>
      </c>
      <c r="E1893" s="20" t="s">
        <v>46</v>
      </c>
      <c r="F1893" s="21" t="s">
        <v>47</v>
      </c>
      <c r="G1893" s="22" t="n">
        <v>70</v>
      </c>
      <c r="H1893" s="22" t="n">
        <v>45</v>
      </c>
      <c r="I1893" s="22" t="n">
        <v>70</v>
      </c>
      <c r="J1893" s="22" t="s">
        <v>84</v>
      </c>
      <c r="K1893" s="22" t="s">
        <v>88</v>
      </c>
      <c r="L1893" s="0" t="str">
        <f aca="false">IF(H1893&gt;I1893,"ERRO","OK")</f>
        <v>OK</v>
      </c>
      <c r="M1893" s="0" t="str">
        <f aca="false">IF(H1893&gt;J1893,"ERRO","OK")</f>
        <v>OK</v>
      </c>
      <c r="N1893" s="0" t="str">
        <f aca="false">IF(I1893&lt;J1893,"ERRO","OK")</f>
        <v>ERRO</v>
      </c>
    </row>
    <row r="1894" customFormat="false" ht="14.25" hidden="false" customHeight="false" outlineLevel="0" collapsed="false">
      <c r="A1894" s="0" t="n">
        <v>85</v>
      </c>
      <c r="B1894" s="0" t="n">
        <v>2024</v>
      </c>
      <c r="C1894" s="3" t="n">
        <v>45681</v>
      </c>
      <c r="E1894" s="20" t="s">
        <v>48</v>
      </c>
      <c r="F1894" s="21" t="s">
        <v>49</v>
      </c>
      <c r="G1894" s="21"/>
      <c r="H1894" s="22" t="n">
        <v>40</v>
      </c>
      <c r="I1894" s="22" t="n">
        <v>65</v>
      </c>
      <c r="J1894" s="22" t="s">
        <v>96</v>
      </c>
      <c r="K1894" s="22" t="n">
        <v>55</v>
      </c>
      <c r="L1894" s="0" t="str">
        <f aca="false">IF(H1894&gt;I1894,"ERRO","OK")</f>
        <v>OK</v>
      </c>
      <c r="M1894" s="0" t="str">
        <f aca="false">IF(H1894&gt;J1894,"ERRO","OK")</f>
        <v>OK</v>
      </c>
      <c r="N1894" s="0" t="str">
        <f aca="false">IF(I1894&lt;J1894,"ERRO","OK")</f>
        <v>ERRO</v>
      </c>
    </row>
    <row r="1895" customFormat="false" ht="14.25" hidden="false" customHeight="false" outlineLevel="0" collapsed="false">
      <c r="A1895" s="0" t="n">
        <v>85</v>
      </c>
      <c r="B1895" s="0" t="n">
        <v>2024</v>
      </c>
      <c r="C1895" s="3" t="n">
        <v>45681</v>
      </c>
      <c r="E1895" s="20" t="s">
        <v>52</v>
      </c>
      <c r="F1895" s="21" t="s">
        <v>49</v>
      </c>
      <c r="G1895" s="21"/>
      <c r="H1895" s="22" t="n">
        <v>65</v>
      </c>
      <c r="I1895" s="22" t="n">
        <v>75</v>
      </c>
      <c r="J1895" s="22" t="n">
        <v>70</v>
      </c>
      <c r="K1895" s="22" t="n">
        <v>70</v>
      </c>
      <c r="L1895" s="0" t="str">
        <f aca="false">IF(H1895&gt;I1895,"ERRO","OK")</f>
        <v>OK</v>
      </c>
      <c r="M1895" s="0" t="str">
        <f aca="false">IF(H1895&gt;J1895,"ERRO","OK")</f>
        <v>OK</v>
      </c>
      <c r="N1895" s="0" t="str">
        <f aca="false">IF(I1895&lt;J1895,"ERRO","OK")</f>
        <v>OK</v>
      </c>
    </row>
    <row r="1896" customFormat="false" ht="14.25" hidden="false" customHeight="false" outlineLevel="0" collapsed="false">
      <c r="A1896" s="0" t="n">
        <v>85</v>
      </c>
      <c r="B1896" s="0" t="n">
        <v>2024</v>
      </c>
      <c r="C1896" s="3" t="n">
        <v>45681</v>
      </c>
      <c r="E1896" s="20" t="s">
        <v>53</v>
      </c>
      <c r="F1896" s="21" t="s">
        <v>54</v>
      </c>
      <c r="G1896" s="22" t="n">
        <v>60</v>
      </c>
      <c r="H1896" s="22" t="n">
        <v>50</v>
      </c>
      <c r="I1896" s="22" t="n">
        <v>60</v>
      </c>
      <c r="J1896" s="22" t="n">
        <v>55</v>
      </c>
      <c r="K1896" s="22" t="n">
        <v>55</v>
      </c>
      <c r="L1896" s="0" t="str">
        <f aca="false">IF(H1896&gt;I1896,"ERRO","OK")</f>
        <v>OK</v>
      </c>
      <c r="M1896" s="0" t="str">
        <f aca="false">IF(H1896&gt;J1896,"ERRO","OK")</f>
        <v>OK</v>
      </c>
      <c r="N1896" s="0" t="str">
        <f aca="false">IF(I1896&lt;J1896,"ERRO","OK")</f>
        <v>OK</v>
      </c>
    </row>
    <row r="1897" customFormat="false" ht="14.25" hidden="false" customHeight="false" outlineLevel="0" collapsed="false">
      <c r="A1897" s="0" t="n">
        <v>85</v>
      </c>
      <c r="B1897" s="0" t="n">
        <v>2024</v>
      </c>
      <c r="C1897" s="3" t="n">
        <v>45681</v>
      </c>
      <c r="E1897" s="20" t="s">
        <v>56</v>
      </c>
      <c r="F1897" s="21" t="s">
        <v>47</v>
      </c>
      <c r="G1897" s="21"/>
      <c r="H1897" s="22" t="n">
        <v>60</v>
      </c>
      <c r="I1897" s="22" t="n">
        <v>100</v>
      </c>
      <c r="J1897" s="22" t="n">
        <v>80</v>
      </c>
      <c r="K1897" s="22" t="n">
        <v>80</v>
      </c>
      <c r="L1897" s="0" t="str">
        <f aca="false">IF(H1897&gt;I1897,"ERRO","OK")</f>
        <v>OK</v>
      </c>
      <c r="M1897" s="0" t="str">
        <f aca="false">IF(H1897&gt;J1897,"ERRO","OK")</f>
        <v>OK</v>
      </c>
      <c r="N1897" s="0" t="str">
        <f aca="false">IF(I1897&lt;J1897,"ERRO","OK")</f>
        <v>OK</v>
      </c>
    </row>
    <row r="1898" customFormat="false" ht="14.25" hidden="false" customHeight="false" outlineLevel="0" collapsed="false">
      <c r="A1898" s="0" t="n">
        <v>85</v>
      </c>
      <c r="B1898" s="0" t="n">
        <v>2024</v>
      </c>
      <c r="C1898" s="3" t="n">
        <v>45681</v>
      </c>
      <c r="E1898" s="20" t="s">
        <v>57</v>
      </c>
      <c r="F1898" s="21" t="s">
        <v>47</v>
      </c>
      <c r="G1898" s="21"/>
      <c r="H1898" s="22" t="n">
        <v>45</v>
      </c>
      <c r="I1898" s="22" t="n">
        <v>90</v>
      </c>
      <c r="J1898" s="22" t="s">
        <v>290</v>
      </c>
      <c r="K1898" s="22" t="n">
        <v>60</v>
      </c>
      <c r="L1898" s="0" t="str">
        <f aca="false">IF(H1898&gt;I1898,"ERRO","OK")</f>
        <v>OK</v>
      </c>
      <c r="M1898" s="0" t="str">
        <f aca="false">IF(H1898&gt;J1898,"ERRO","OK")</f>
        <v>OK</v>
      </c>
      <c r="N1898" s="0" t="str">
        <f aca="false">IF(I1898&lt;J1898,"ERRO","OK")</f>
        <v>ERRO</v>
      </c>
    </row>
    <row r="1899" customFormat="false" ht="14.25" hidden="false" customHeight="false" outlineLevel="0" collapsed="false">
      <c r="A1899" s="0" t="n">
        <v>85</v>
      </c>
      <c r="B1899" s="0" t="n">
        <v>2024</v>
      </c>
      <c r="C1899" s="3" t="n">
        <v>45681</v>
      </c>
      <c r="E1899" s="20" t="s">
        <v>58</v>
      </c>
      <c r="F1899" s="21" t="s">
        <v>44</v>
      </c>
      <c r="G1899" s="21"/>
      <c r="H1899" s="22" t="n">
        <v>70</v>
      </c>
      <c r="I1899" s="22" t="n">
        <v>100</v>
      </c>
      <c r="J1899" s="22" t="n">
        <v>85</v>
      </c>
      <c r="K1899" s="22" t="n">
        <v>85</v>
      </c>
      <c r="L1899" s="0" t="str">
        <f aca="false">IF(H1899&gt;I1899,"ERRO","OK")</f>
        <v>OK</v>
      </c>
      <c r="M1899" s="0" t="str">
        <f aca="false">IF(H1899&gt;J1899,"ERRO","OK")</f>
        <v>OK</v>
      </c>
      <c r="N1899" s="0" t="str">
        <f aca="false">IF(I1899&lt;J1899,"ERRO","OK")</f>
        <v>OK</v>
      </c>
    </row>
    <row r="1900" customFormat="false" ht="14.25" hidden="false" customHeight="false" outlineLevel="0" collapsed="false">
      <c r="A1900" s="0" t="n">
        <v>85</v>
      </c>
      <c r="B1900" s="0" t="n">
        <v>2024</v>
      </c>
      <c r="C1900" s="3" t="n">
        <v>45681</v>
      </c>
      <c r="E1900" s="20" t="s">
        <v>60</v>
      </c>
      <c r="F1900" s="21" t="s">
        <v>47</v>
      </c>
      <c r="G1900" s="21"/>
      <c r="H1900" s="22" t="n">
        <v>50</v>
      </c>
      <c r="I1900" s="22" t="n">
        <v>75</v>
      </c>
      <c r="J1900" s="22" t="s">
        <v>84</v>
      </c>
      <c r="K1900" s="22" t="s">
        <v>84</v>
      </c>
      <c r="L1900" s="0" t="str">
        <f aca="false">IF(H1900&gt;I1900,"ERRO","OK")</f>
        <v>OK</v>
      </c>
      <c r="M1900" s="0" t="str">
        <f aca="false">IF(H1900&gt;J1900,"ERRO","OK")</f>
        <v>OK</v>
      </c>
      <c r="N1900" s="0" t="str">
        <f aca="false">IF(I1900&lt;J1900,"ERRO","OK")</f>
        <v>ERRO</v>
      </c>
    </row>
    <row r="1901" customFormat="false" ht="14.25" hidden="false" customHeight="false" outlineLevel="0" collapsed="false">
      <c r="A1901" s="0" t="n">
        <v>85</v>
      </c>
      <c r="B1901" s="0" t="n">
        <v>2024</v>
      </c>
      <c r="C1901" s="3" t="n">
        <v>45681</v>
      </c>
      <c r="E1901" s="20" t="s">
        <v>61</v>
      </c>
      <c r="F1901" s="21" t="s">
        <v>44</v>
      </c>
      <c r="G1901" s="22" t="n">
        <v>80</v>
      </c>
      <c r="H1901" s="22" t="n">
        <v>45</v>
      </c>
      <c r="I1901" s="22" t="n">
        <v>80</v>
      </c>
      <c r="J1901" s="22" t="s">
        <v>66</v>
      </c>
      <c r="K1901" s="22" t="n">
        <v>80</v>
      </c>
      <c r="L1901" s="0" t="str">
        <f aca="false">IF(H1901&gt;I1901,"ERRO","OK")</f>
        <v>OK</v>
      </c>
      <c r="M1901" s="0" t="str">
        <f aca="false">IF(H1901&gt;J1901,"ERRO","OK")</f>
        <v>OK</v>
      </c>
      <c r="N1901" s="0" t="str">
        <f aca="false">IF(I1901&lt;J1901,"ERRO","OK")</f>
        <v>ERRO</v>
      </c>
    </row>
    <row r="1902" customFormat="false" ht="14.25" hidden="false" customHeight="false" outlineLevel="0" collapsed="false">
      <c r="A1902" s="0" t="n">
        <v>85</v>
      </c>
      <c r="B1902" s="0" t="n">
        <v>2024</v>
      </c>
      <c r="C1902" s="3" t="n">
        <v>45681</v>
      </c>
      <c r="E1902" s="20" t="s">
        <v>62</v>
      </c>
      <c r="F1902" s="21" t="s">
        <v>44</v>
      </c>
      <c r="G1902" s="22" t="n">
        <v>90</v>
      </c>
      <c r="H1902" s="22" t="n">
        <v>80</v>
      </c>
      <c r="I1902" s="22" t="n">
        <v>120</v>
      </c>
      <c r="J1902" s="22" t="n">
        <v>95</v>
      </c>
      <c r="K1902" s="22" t="n">
        <v>90</v>
      </c>
      <c r="L1902" s="0" t="str">
        <f aca="false">IF(H1902&gt;I1902,"ERRO","OK")</f>
        <v>OK</v>
      </c>
      <c r="M1902" s="0" t="str">
        <f aca="false">IF(H1902&gt;J1902,"ERRO","OK")</f>
        <v>OK</v>
      </c>
      <c r="N1902" s="0" t="str">
        <f aca="false">IF(I1902&lt;J1902,"ERRO","OK")</f>
        <v>OK</v>
      </c>
    </row>
    <row r="1903" customFormat="false" ht="14.25" hidden="false" customHeight="false" outlineLevel="0" collapsed="false">
      <c r="A1903" s="0" t="n">
        <v>85</v>
      </c>
      <c r="B1903" s="0" t="n">
        <v>2024</v>
      </c>
      <c r="C1903" s="3" t="n">
        <v>45681</v>
      </c>
      <c r="E1903" s="20" t="s">
        <v>63</v>
      </c>
      <c r="F1903" s="21" t="s">
        <v>49</v>
      </c>
      <c r="G1903" s="22" t="n">
        <v>30</v>
      </c>
      <c r="H1903" s="22" t="n">
        <v>20</v>
      </c>
      <c r="I1903" s="22" t="n">
        <v>40</v>
      </c>
      <c r="J1903" s="22" t="n">
        <v>30</v>
      </c>
      <c r="K1903" s="22" t="n">
        <v>30</v>
      </c>
      <c r="L1903" s="0" t="str">
        <f aca="false">IF(H1903&gt;I1903,"ERRO","OK")</f>
        <v>OK</v>
      </c>
      <c r="M1903" s="0" t="str">
        <f aca="false">IF(H1903&gt;J1903,"ERRO","OK")</f>
        <v>OK</v>
      </c>
      <c r="N1903" s="0" t="str">
        <f aca="false">IF(I1903&lt;J1903,"ERRO","OK")</f>
        <v>OK</v>
      </c>
    </row>
    <row r="1904" customFormat="false" ht="14.25" hidden="false" customHeight="false" outlineLevel="0" collapsed="false">
      <c r="A1904" s="0" t="n">
        <v>85</v>
      </c>
      <c r="B1904" s="0" t="n">
        <v>2024</v>
      </c>
      <c r="C1904" s="3" t="n">
        <v>45681</v>
      </c>
      <c r="E1904" s="20" t="s">
        <v>64</v>
      </c>
      <c r="F1904" s="21" t="s">
        <v>65</v>
      </c>
      <c r="G1904" s="22" t="n">
        <v>90</v>
      </c>
      <c r="H1904" s="22" t="n">
        <v>50</v>
      </c>
      <c r="I1904" s="22" t="n">
        <v>90</v>
      </c>
      <c r="J1904" s="22" t="s">
        <v>159</v>
      </c>
      <c r="K1904" s="22" t="s">
        <v>243</v>
      </c>
      <c r="L1904" s="0" t="str">
        <f aca="false">IF(H1904&gt;I1904,"ERRO","OK")</f>
        <v>OK</v>
      </c>
      <c r="M1904" s="0" t="str">
        <f aca="false">IF(H1904&gt;J1904,"ERRO","OK")</f>
        <v>OK</v>
      </c>
      <c r="N1904" s="0" t="str">
        <f aca="false">IF(I1904&lt;J1904,"ERRO","OK")</f>
        <v>ERRO</v>
      </c>
    </row>
    <row r="1905" customFormat="false" ht="14.25" hidden="false" customHeight="false" outlineLevel="0" collapsed="false">
      <c r="A1905" s="0" t="n">
        <v>85</v>
      </c>
      <c r="B1905" s="0" t="n">
        <v>2024</v>
      </c>
      <c r="C1905" s="3" t="n">
        <v>45681</v>
      </c>
      <c r="E1905" s="20" t="s">
        <v>67</v>
      </c>
      <c r="F1905" s="21" t="s">
        <v>44</v>
      </c>
      <c r="G1905" s="21"/>
      <c r="H1905" s="22" t="n">
        <v>60</v>
      </c>
      <c r="I1905" s="22" t="n">
        <v>120</v>
      </c>
      <c r="J1905" s="22" t="s">
        <v>311</v>
      </c>
      <c r="K1905" s="22" t="n">
        <v>95</v>
      </c>
      <c r="L1905" s="0" t="str">
        <f aca="false">IF(H1905&gt;I1905,"ERRO","OK")</f>
        <v>OK</v>
      </c>
      <c r="M1905" s="0" t="str">
        <f aca="false">IF(H1905&gt;J1905,"ERRO","OK")</f>
        <v>OK</v>
      </c>
      <c r="N1905" s="0" t="str">
        <f aca="false">IF(I1905&lt;J1905,"ERRO","OK")</f>
        <v>ERRO</v>
      </c>
    </row>
    <row r="1906" customFormat="false" ht="14.25" hidden="false" customHeight="false" outlineLevel="0" collapsed="false">
      <c r="A1906" s="0" t="n">
        <v>85</v>
      </c>
      <c r="B1906" s="0" t="n">
        <v>2024</v>
      </c>
      <c r="C1906" s="3" t="n">
        <v>45681</v>
      </c>
      <c r="E1906" s="20" t="s">
        <v>68</v>
      </c>
      <c r="F1906" s="21" t="s">
        <v>44</v>
      </c>
      <c r="G1906" s="22" t="n">
        <v>50</v>
      </c>
      <c r="H1906" s="22" t="n">
        <v>50</v>
      </c>
      <c r="I1906" s="22" t="n">
        <v>70</v>
      </c>
      <c r="J1906" s="22" t="s">
        <v>59</v>
      </c>
      <c r="K1906" s="22" t="n">
        <v>50</v>
      </c>
      <c r="L1906" s="0" t="str">
        <f aca="false">IF(H1906&gt;I1906,"ERRO","OK")</f>
        <v>OK</v>
      </c>
      <c r="M1906" s="0" t="str">
        <f aca="false">IF(H1906&gt;J1906,"ERRO","OK")</f>
        <v>OK</v>
      </c>
      <c r="N1906" s="0" t="str">
        <f aca="false">IF(I1906&lt;J1906,"ERRO","OK")</f>
        <v>ERRO</v>
      </c>
    </row>
    <row r="1907" customFormat="false" ht="14.25" hidden="false" customHeight="false" outlineLevel="0" collapsed="false">
      <c r="A1907" s="0" t="n">
        <v>85</v>
      </c>
      <c r="B1907" s="0" t="n">
        <v>2024</v>
      </c>
      <c r="C1907" s="3" t="n">
        <v>45681</v>
      </c>
      <c r="E1907" s="20" t="s">
        <v>70</v>
      </c>
      <c r="F1907" s="21" t="s">
        <v>49</v>
      </c>
      <c r="G1907" s="21"/>
      <c r="H1907" s="21"/>
      <c r="I1907" s="21"/>
      <c r="J1907" s="21"/>
      <c r="K1907" s="21"/>
      <c r="L1907" s="0" t="str">
        <f aca="false">IF(H1907&gt;I1907,"ERRO","OK")</f>
        <v>OK</v>
      </c>
      <c r="M1907" s="0" t="str">
        <f aca="false">IF(H1907&gt;J1907,"ERRO","OK")</f>
        <v>OK</v>
      </c>
      <c r="N1907" s="0" t="str">
        <f aca="false">IF(I1907&lt;J1907,"ERRO","OK")</f>
        <v>OK</v>
      </c>
    </row>
    <row r="1908" customFormat="false" ht="14.25" hidden="false" customHeight="false" outlineLevel="0" collapsed="false">
      <c r="A1908" s="0" t="n">
        <v>85</v>
      </c>
      <c r="B1908" s="0" t="n">
        <v>2024</v>
      </c>
      <c r="C1908" s="3" t="n">
        <v>45681</v>
      </c>
      <c r="E1908" s="20" t="s">
        <v>71</v>
      </c>
      <c r="F1908" s="21" t="s">
        <v>49</v>
      </c>
      <c r="G1908" s="21"/>
      <c r="H1908" s="21"/>
      <c r="I1908" s="21"/>
      <c r="J1908" s="21"/>
      <c r="K1908" s="21"/>
      <c r="L1908" s="0" t="str">
        <f aca="false">IF(H1908&gt;I1908,"ERRO","OK")</f>
        <v>OK</v>
      </c>
      <c r="M1908" s="0" t="str">
        <f aca="false">IF(H1908&gt;J1908,"ERRO","OK")</f>
        <v>OK</v>
      </c>
      <c r="N1908" s="0" t="str">
        <f aca="false">IF(I1908&lt;J1908,"ERRO","OK")</f>
        <v>OK</v>
      </c>
    </row>
    <row r="1909" customFormat="false" ht="14.25" hidden="false" customHeight="false" outlineLevel="0" collapsed="false">
      <c r="A1909" s="0" t="n">
        <v>85</v>
      </c>
      <c r="B1909" s="0" t="n">
        <v>2024</v>
      </c>
      <c r="C1909" s="3" t="n">
        <v>45681</v>
      </c>
      <c r="E1909" s="20" t="s">
        <v>72</v>
      </c>
      <c r="F1909" s="21" t="s">
        <v>49</v>
      </c>
      <c r="G1909" s="21"/>
      <c r="H1909" s="21"/>
      <c r="I1909" s="21"/>
      <c r="J1909" s="21"/>
      <c r="K1909" s="21"/>
      <c r="L1909" s="0" t="str">
        <f aca="false">IF(H1909&gt;I1909,"ERRO","OK")</f>
        <v>OK</v>
      </c>
      <c r="M1909" s="0" t="str">
        <f aca="false">IF(H1909&gt;J1909,"ERRO","OK")</f>
        <v>OK</v>
      </c>
      <c r="N1909" s="0" t="str">
        <f aca="false">IF(I1909&lt;J1909,"ERRO","OK")</f>
        <v>OK</v>
      </c>
    </row>
    <row r="1910" customFormat="false" ht="14.25" hidden="false" customHeight="false" outlineLevel="0" collapsed="false">
      <c r="A1910" s="0" t="n">
        <v>85</v>
      </c>
      <c r="B1910" s="0" t="n">
        <v>2024</v>
      </c>
      <c r="C1910" s="3" t="n">
        <v>45681</v>
      </c>
      <c r="E1910" s="20" t="s">
        <v>73</v>
      </c>
      <c r="F1910" s="21" t="s">
        <v>49</v>
      </c>
      <c r="G1910" s="21"/>
      <c r="H1910" s="21"/>
      <c r="I1910" s="21"/>
      <c r="J1910" s="21"/>
      <c r="K1910" s="21"/>
      <c r="L1910" s="0" t="str">
        <f aca="false">IF(H1910&gt;I1910,"ERRO","OK")</f>
        <v>OK</v>
      </c>
      <c r="M1910" s="0" t="str">
        <f aca="false">IF(H1910&gt;J1910,"ERRO","OK")</f>
        <v>OK</v>
      </c>
      <c r="N1910" s="0" t="str">
        <f aca="false">IF(I1910&lt;J1910,"ERRO","OK")</f>
        <v>OK</v>
      </c>
    </row>
    <row r="1911" customFormat="false" ht="14.25" hidden="false" customHeight="false" outlineLevel="0" collapsed="false">
      <c r="A1911" s="0" t="n">
        <v>85</v>
      </c>
      <c r="B1911" s="0" t="n">
        <v>2024</v>
      </c>
      <c r="C1911" s="3" t="n">
        <v>45681</v>
      </c>
      <c r="E1911" s="20" t="s">
        <v>74</v>
      </c>
      <c r="F1911" s="21" t="s">
        <v>75</v>
      </c>
      <c r="G1911" s="21"/>
      <c r="H1911" s="21"/>
      <c r="I1911" s="21"/>
      <c r="J1911" s="21"/>
      <c r="K1911" s="21"/>
      <c r="L1911" s="0" t="str">
        <f aca="false">IF(H1911&gt;I1911,"ERRO","OK")</f>
        <v>OK</v>
      </c>
      <c r="M1911" s="0" t="str">
        <f aca="false">IF(H1911&gt;J1911,"ERRO","OK")</f>
        <v>OK</v>
      </c>
      <c r="N1911" s="0" t="str">
        <f aca="false">IF(I1911&lt;J1911,"ERRO","OK")</f>
        <v>OK</v>
      </c>
    </row>
    <row r="1912" customFormat="false" ht="14.25" hidden="false" customHeight="false" outlineLevel="0" collapsed="false">
      <c r="A1912" s="0" t="n">
        <v>86</v>
      </c>
      <c r="B1912" s="0" t="n">
        <v>2024</v>
      </c>
      <c r="C1912" s="3" t="n">
        <v>45667</v>
      </c>
      <c r="E1912" s="0" t="s">
        <v>16</v>
      </c>
      <c r="F1912" s="0" t="s">
        <v>17</v>
      </c>
      <c r="G1912" s="0" t="s">
        <v>442</v>
      </c>
      <c r="H1912" s="0" t="s">
        <v>372</v>
      </c>
      <c r="I1912" s="0" t="s">
        <v>372</v>
      </c>
      <c r="J1912" s="0" t="s">
        <v>370</v>
      </c>
      <c r="K1912" s="0" t="s">
        <v>471</v>
      </c>
      <c r="L1912" s="0" t="str">
        <f aca="false">IF(H1912&gt;I1912,"ERRO","OK")</f>
        <v>OK</v>
      </c>
      <c r="M1912" s="0" t="str">
        <f aca="false">IF(H1912&gt;J1912,"ERRO","OK")</f>
        <v>ERRO</v>
      </c>
      <c r="N1912" s="0" t="str">
        <f aca="false">IF(I1912&lt;J1912,"ERRO","OK")</f>
        <v>OK</v>
      </c>
    </row>
    <row r="1913" customFormat="false" ht="14.25" hidden="false" customHeight="false" outlineLevel="0" collapsed="false">
      <c r="A1913" s="0" t="n">
        <v>86</v>
      </c>
      <c r="B1913" s="0" t="n">
        <v>2024</v>
      </c>
      <c r="C1913" s="3" t="n">
        <v>45667</v>
      </c>
      <c r="E1913" s="0" t="s">
        <v>18</v>
      </c>
      <c r="F1913" s="0" t="s">
        <v>17</v>
      </c>
      <c r="G1913" s="0" t="s">
        <v>373</v>
      </c>
      <c r="H1913" s="0" t="s">
        <v>373</v>
      </c>
      <c r="I1913" s="0" t="s">
        <v>485</v>
      </c>
      <c r="J1913" s="0" t="s">
        <v>373</v>
      </c>
      <c r="K1913" s="0" t="s">
        <v>531</v>
      </c>
      <c r="L1913" s="0" t="str">
        <f aca="false">IF(H1913&gt;I1913,"ERRO","OK")</f>
        <v>OK</v>
      </c>
      <c r="M1913" s="0" t="str">
        <f aca="false">IF(H1913&gt;J1913,"ERRO","OK")</f>
        <v>OK</v>
      </c>
      <c r="N1913" s="0" t="str">
        <f aca="false">IF(I1913&lt;J1913,"ERRO","OK")</f>
        <v>OK</v>
      </c>
    </row>
    <row r="1914" customFormat="false" ht="14.25" hidden="false" customHeight="false" outlineLevel="0" collapsed="false">
      <c r="A1914" s="0" t="n">
        <v>86</v>
      </c>
      <c r="B1914" s="0" t="n">
        <v>2024</v>
      </c>
      <c r="C1914" s="3" t="n">
        <v>45667</v>
      </c>
      <c r="E1914" s="0" t="s">
        <v>19</v>
      </c>
      <c r="F1914" s="0" t="s">
        <v>17</v>
      </c>
      <c r="G1914" s="0" t="s">
        <v>402</v>
      </c>
      <c r="H1914" s="0" t="s">
        <v>442</v>
      </c>
      <c r="I1914" s="0" t="s">
        <v>370</v>
      </c>
      <c r="J1914" s="0" t="s">
        <v>532</v>
      </c>
      <c r="K1914" s="0" t="s">
        <v>402</v>
      </c>
      <c r="L1914" s="0" t="str">
        <f aca="false">IF(H1914&gt;I1914,"ERRO","OK")</f>
        <v>OK</v>
      </c>
      <c r="M1914" s="0" t="str">
        <f aca="false">IF(H1914&gt;J1914,"ERRO","OK")</f>
        <v>OK</v>
      </c>
      <c r="N1914" s="0" t="str">
        <f aca="false">IF(I1914&lt;J1914,"ERRO","OK")</f>
        <v>OK</v>
      </c>
    </row>
    <row r="1915" customFormat="false" ht="14.25" hidden="false" customHeight="false" outlineLevel="0" collapsed="false">
      <c r="A1915" s="0" t="n">
        <v>86</v>
      </c>
      <c r="B1915" s="0" t="n">
        <v>2024</v>
      </c>
      <c r="C1915" s="3" t="n">
        <v>45667</v>
      </c>
      <c r="E1915" s="0" t="s">
        <v>20</v>
      </c>
      <c r="F1915" s="0" t="s">
        <v>17</v>
      </c>
      <c r="G1915" s="0" t="s">
        <v>374</v>
      </c>
      <c r="H1915" s="0" t="s">
        <v>378</v>
      </c>
      <c r="I1915" s="0" t="s">
        <v>369</v>
      </c>
      <c r="J1915" s="0" t="s">
        <v>533</v>
      </c>
      <c r="K1915" s="0" t="s">
        <v>374</v>
      </c>
      <c r="L1915" s="0" t="str">
        <f aca="false">IF(H1915&gt;I1915,"ERRO","OK")</f>
        <v>OK</v>
      </c>
      <c r="M1915" s="0" t="str">
        <f aca="false">IF(H1915&gt;J1915,"ERRO","OK")</f>
        <v>OK</v>
      </c>
      <c r="N1915" s="0" t="str">
        <f aca="false">IF(I1915&lt;J1915,"ERRO","OK")</f>
        <v>OK</v>
      </c>
    </row>
    <row r="1916" customFormat="false" ht="14.25" hidden="false" customHeight="false" outlineLevel="0" collapsed="false">
      <c r="A1916" s="0" t="n">
        <v>86</v>
      </c>
      <c r="B1916" s="0" t="n">
        <v>2024</v>
      </c>
      <c r="C1916" s="3" t="n">
        <v>45667</v>
      </c>
      <c r="E1916" s="0" t="s">
        <v>21</v>
      </c>
      <c r="F1916" s="0" t="s">
        <v>17</v>
      </c>
      <c r="H1916" s="0" t="s">
        <v>378</v>
      </c>
      <c r="I1916" s="0" t="s">
        <v>369</v>
      </c>
      <c r="J1916" s="0" t="s">
        <v>534</v>
      </c>
      <c r="K1916" s="0" t="s">
        <v>396</v>
      </c>
      <c r="L1916" s="0" t="str">
        <f aca="false">IF(H1916&gt;I1916,"ERRO","OK")</f>
        <v>OK</v>
      </c>
      <c r="M1916" s="0" t="str">
        <f aca="false">IF(H1916&gt;J1916,"ERRO","OK")</f>
        <v>OK</v>
      </c>
      <c r="N1916" s="0" t="str">
        <f aca="false">IF(I1916&lt;J1916,"ERRO","OK")</f>
        <v>OK</v>
      </c>
    </row>
    <row r="1917" customFormat="false" ht="14.25" hidden="false" customHeight="false" outlineLevel="0" collapsed="false">
      <c r="A1917" s="0" t="n">
        <v>86</v>
      </c>
      <c r="B1917" s="0" t="n">
        <v>2024</v>
      </c>
      <c r="C1917" s="3" t="n">
        <v>45667</v>
      </c>
      <c r="E1917" s="0" t="s">
        <v>22</v>
      </c>
      <c r="F1917" s="0" t="s">
        <v>17</v>
      </c>
      <c r="G1917" s="0" t="s">
        <v>370</v>
      </c>
      <c r="H1917" s="0" t="s">
        <v>370</v>
      </c>
      <c r="I1917" s="0" t="s">
        <v>428</v>
      </c>
      <c r="J1917" s="0" t="s">
        <v>469</v>
      </c>
      <c r="K1917" s="0" t="s">
        <v>370</v>
      </c>
      <c r="L1917" s="0" t="str">
        <f aca="false">IF(H1917&gt;I1917,"ERRO","OK")</f>
        <v>OK</v>
      </c>
      <c r="M1917" s="0" t="str">
        <f aca="false">IF(H1917&gt;J1917,"ERRO","OK")</f>
        <v>OK</v>
      </c>
      <c r="N1917" s="0" t="str">
        <f aca="false">IF(I1917&lt;J1917,"ERRO","OK")</f>
        <v>OK</v>
      </c>
    </row>
    <row r="1918" customFormat="false" ht="14.25" hidden="false" customHeight="false" outlineLevel="0" collapsed="false">
      <c r="A1918" s="0" t="n">
        <v>86</v>
      </c>
      <c r="B1918" s="0" t="n">
        <v>2024</v>
      </c>
      <c r="C1918" s="3" t="n">
        <v>45667</v>
      </c>
      <c r="E1918" s="0" t="s">
        <v>23</v>
      </c>
      <c r="F1918" s="0" t="s">
        <v>17</v>
      </c>
      <c r="H1918" s="0" t="s">
        <v>369</v>
      </c>
      <c r="I1918" s="0" t="s">
        <v>429</v>
      </c>
      <c r="J1918" s="0" t="s">
        <v>469</v>
      </c>
      <c r="K1918" s="0" t="s">
        <v>370</v>
      </c>
      <c r="L1918" s="0" t="str">
        <f aca="false">IF(H1918&gt;I1918,"ERRO","OK")</f>
        <v>OK</v>
      </c>
      <c r="M1918" s="0" t="str">
        <f aca="false">IF(H1918&gt;J1918,"ERRO","OK")</f>
        <v>OK</v>
      </c>
      <c r="N1918" s="0" t="str">
        <f aca="false">IF(I1918&lt;J1918,"ERRO","OK")</f>
        <v>OK</v>
      </c>
    </row>
    <row r="1919" customFormat="false" ht="14.25" hidden="false" customHeight="false" outlineLevel="0" collapsed="false">
      <c r="A1919" s="0" t="n">
        <v>86</v>
      </c>
      <c r="B1919" s="0" t="n">
        <v>2024</v>
      </c>
      <c r="C1919" s="3" t="n">
        <v>45667</v>
      </c>
      <c r="E1919" s="0" t="s">
        <v>24</v>
      </c>
      <c r="F1919" s="0" t="s">
        <v>17</v>
      </c>
      <c r="G1919" s="0" t="s">
        <v>374</v>
      </c>
      <c r="H1919" s="0" t="s">
        <v>372</v>
      </c>
      <c r="I1919" s="0" t="s">
        <v>373</v>
      </c>
      <c r="J1919" s="0" t="s">
        <v>372</v>
      </c>
      <c r="K1919" s="0" t="s">
        <v>535</v>
      </c>
      <c r="L1919" s="0" t="str">
        <f aca="false">IF(H1919&gt;I1919,"ERRO","OK")</f>
        <v>OK</v>
      </c>
      <c r="M1919" s="0" t="str">
        <f aca="false">IF(H1919&gt;J1919,"ERRO","OK")</f>
        <v>OK</v>
      </c>
      <c r="N1919" s="0" t="str">
        <f aca="false">IF(I1919&lt;J1919,"ERRO","OK")</f>
        <v>OK</v>
      </c>
    </row>
    <row r="1920" customFormat="false" ht="14.25" hidden="false" customHeight="false" outlineLevel="0" collapsed="false">
      <c r="A1920" s="0" t="n">
        <v>86</v>
      </c>
      <c r="B1920" s="0" t="n">
        <v>2024</v>
      </c>
      <c r="C1920" s="3" t="n">
        <v>45667</v>
      </c>
      <c r="E1920" s="0" t="s">
        <v>25</v>
      </c>
      <c r="F1920" s="0" t="s">
        <v>17</v>
      </c>
      <c r="G1920" s="0" t="s">
        <v>378</v>
      </c>
      <c r="H1920" s="0" t="s">
        <v>378</v>
      </c>
      <c r="I1920" s="0" t="s">
        <v>374</v>
      </c>
      <c r="J1920" s="0" t="s">
        <v>536</v>
      </c>
      <c r="K1920" s="0" t="s">
        <v>378</v>
      </c>
      <c r="L1920" s="0" t="str">
        <f aca="false">IF(H1920&gt;I1920,"ERRO","OK")</f>
        <v>OK</v>
      </c>
      <c r="M1920" s="0" t="str">
        <f aca="false">IF(H1920&gt;J1920,"ERRO","OK")</f>
        <v>OK</v>
      </c>
      <c r="N1920" s="0" t="str">
        <f aca="false">IF(I1920&lt;J1920,"ERRO","OK")</f>
        <v>OK</v>
      </c>
    </row>
    <row r="1921" customFormat="false" ht="14.25" hidden="false" customHeight="false" outlineLevel="0" collapsed="false">
      <c r="A1921" s="0" t="n">
        <v>86</v>
      </c>
      <c r="B1921" s="0" t="n">
        <v>2024</v>
      </c>
      <c r="C1921" s="3" t="n">
        <v>45667</v>
      </c>
      <c r="E1921" s="0" t="s">
        <v>77</v>
      </c>
      <c r="F1921" s="0" t="s">
        <v>17</v>
      </c>
      <c r="G1921" s="0" t="s">
        <v>373</v>
      </c>
      <c r="H1921" s="0" t="s">
        <v>372</v>
      </c>
      <c r="I1921" s="0" t="s">
        <v>485</v>
      </c>
      <c r="J1921" s="0" t="s">
        <v>373</v>
      </c>
      <c r="K1921" s="0" t="s">
        <v>373</v>
      </c>
      <c r="L1921" s="0" t="str">
        <f aca="false">IF(H1921&gt;I1921,"ERRO","OK")</f>
        <v>OK</v>
      </c>
      <c r="M1921" s="0" t="str">
        <f aca="false">IF(H1921&gt;J1921,"ERRO","OK")</f>
        <v>OK</v>
      </c>
      <c r="N1921" s="0" t="str">
        <f aca="false">IF(I1921&lt;J1921,"ERRO","OK")</f>
        <v>OK</v>
      </c>
    </row>
    <row r="1922" customFormat="false" ht="14.25" hidden="false" customHeight="false" outlineLevel="0" collapsed="false">
      <c r="A1922" s="0" t="n">
        <v>86</v>
      </c>
      <c r="B1922" s="0" t="n">
        <v>2024</v>
      </c>
      <c r="C1922" s="3" t="n">
        <v>45667</v>
      </c>
      <c r="E1922" s="0" t="s">
        <v>27</v>
      </c>
      <c r="F1922" s="0" t="s">
        <v>17</v>
      </c>
      <c r="H1922" s="0" t="s">
        <v>378</v>
      </c>
      <c r="I1922" s="0" t="s">
        <v>370</v>
      </c>
      <c r="J1922" s="0" t="s">
        <v>374</v>
      </c>
      <c r="K1922" s="0" t="s">
        <v>400</v>
      </c>
      <c r="L1922" s="0" t="str">
        <f aca="false">IF(H1922&gt;I1922,"ERRO","OK")</f>
        <v>OK</v>
      </c>
      <c r="M1922" s="0" t="str">
        <f aca="false">IF(H1922&gt;J1922,"ERRO","OK")</f>
        <v>OK</v>
      </c>
      <c r="N1922" s="0" t="str">
        <f aca="false">IF(I1922&lt;J1922,"ERRO","OK")</f>
        <v>OK</v>
      </c>
    </row>
    <row r="1923" customFormat="false" ht="14.25" hidden="false" customHeight="false" outlineLevel="0" collapsed="false">
      <c r="A1923" s="0" t="n">
        <v>86</v>
      </c>
      <c r="B1923" s="0" t="n">
        <v>2024</v>
      </c>
      <c r="C1923" s="3" t="n">
        <v>45667</v>
      </c>
      <c r="E1923" s="0" t="s">
        <v>28</v>
      </c>
      <c r="F1923" s="0" t="s">
        <v>17</v>
      </c>
      <c r="G1923" s="0" t="s">
        <v>372</v>
      </c>
      <c r="H1923" s="0" t="s">
        <v>370</v>
      </c>
      <c r="I1923" s="0" t="s">
        <v>373</v>
      </c>
      <c r="J1923" s="0" t="s">
        <v>372</v>
      </c>
      <c r="K1923" s="0" t="s">
        <v>372</v>
      </c>
      <c r="L1923" s="0" t="str">
        <f aca="false">IF(H1923&gt;I1923,"ERRO","OK")</f>
        <v>OK</v>
      </c>
      <c r="M1923" s="0" t="str">
        <f aca="false">IF(H1923&gt;J1923,"ERRO","OK")</f>
        <v>OK</v>
      </c>
      <c r="N1923" s="0" t="str">
        <f aca="false">IF(I1923&lt;J1923,"ERRO","OK")</f>
        <v>OK</v>
      </c>
    </row>
    <row r="1924" customFormat="false" ht="14.25" hidden="false" customHeight="false" outlineLevel="0" collapsed="false">
      <c r="A1924" s="0" t="n">
        <v>86</v>
      </c>
      <c r="B1924" s="0" t="n">
        <v>2024</v>
      </c>
      <c r="C1924" s="3" t="n">
        <v>45667</v>
      </c>
      <c r="E1924" s="0" t="s">
        <v>29</v>
      </c>
      <c r="F1924" s="0" t="s">
        <v>30</v>
      </c>
      <c r="G1924" s="0" t="s">
        <v>369</v>
      </c>
      <c r="H1924" s="0" t="s">
        <v>372</v>
      </c>
      <c r="I1924" s="0" t="s">
        <v>372</v>
      </c>
      <c r="J1924" s="0" t="s">
        <v>537</v>
      </c>
      <c r="K1924" s="0" t="s">
        <v>370</v>
      </c>
      <c r="L1924" s="0" t="str">
        <f aca="false">IF(H1924&gt;I1924,"ERRO","OK")</f>
        <v>OK</v>
      </c>
      <c r="M1924" s="0" t="str">
        <f aca="false">IF(H1924&gt;J1924,"ERRO","OK")</f>
        <v>ERRO</v>
      </c>
      <c r="N1924" s="0" t="str">
        <f aca="false">IF(I1924&lt;J1924,"ERRO","OK")</f>
        <v>OK</v>
      </c>
    </row>
    <row r="1925" customFormat="false" ht="14.25" hidden="false" customHeight="false" outlineLevel="0" collapsed="false">
      <c r="A1925" s="0" t="n">
        <v>86</v>
      </c>
      <c r="B1925" s="0" t="n">
        <v>2024</v>
      </c>
      <c r="C1925" s="3" t="n">
        <v>45667</v>
      </c>
      <c r="E1925" s="0" t="s">
        <v>31</v>
      </c>
      <c r="F1925" s="0" t="s">
        <v>17</v>
      </c>
      <c r="G1925" s="0" t="s">
        <v>405</v>
      </c>
      <c r="H1925" s="0" t="s">
        <v>370</v>
      </c>
      <c r="I1925" s="0" t="s">
        <v>372</v>
      </c>
      <c r="J1925" s="0" t="s">
        <v>405</v>
      </c>
      <c r="K1925" s="0" t="s">
        <v>538</v>
      </c>
      <c r="L1925" s="0" t="str">
        <f aca="false">IF(H1925&gt;I1925,"ERRO","OK")</f>
        <v>OK</v>
      </c>
      <c r="M1925" s="0" t="str">
        <f aca="false">IF(H1925&gt;J1925,"ERRO","OK")</f>
        <v>ERRO</v>
      </c>
      <c r="N1925" s="0" t="str">
        <f aca="false">IF(I1925&lt;J1925,"ERRO","OK")</f>
        <v>OK</v>
      </c>
    </row>
    <row r="1926" customFormat="false" ht="14.25" hidden="false" customHeight="false" outlineLevel="0" collapsed="false">
      <c r="A1926" s="0" t="n">
        <v>86</v>
      </c>
      <c r="B1926" s="0" t="n">
        <v>2024</v>
      </c>
      <c r="C1926" s="3" t="n">
        <v>45667</v>
      </c>
      <c r="E1926" s="0" t="s">
        <v>32</v>
      </c>
      <c r="F1926" s="0" t="s">
        <v>17</v>
      </c>
      <c r="G1926" s="0" t="s">
        <v>402</v>
      </c>
      <c r="H1926" s="0" t="s">
        <v>442</v>
      </c>
      <c r="I1926" s="0" t="s">
        <v>369</v>
      </c>
      <c r="J1926" s="0" t="s">
        <v>375</v>
      </c>
      <c r="K1926" s="0" t="s">
        <v>402</v>
      </c>
      <c r="L1926" s="0" t="str">
        <f aca="false">IF(H1926&gt;I1926,"ERRO","OK")</f>
        <v>OK</v>
      </c>
      <c r="M1926" s="0" t="str">
        <f aca="false">IF(H1926&gt;J1926,"ERRO","OK")</f>
        <v>OK</v>
      </c>
      <c r="N1926" s="0" t="str">
        <f aca="false">IF(I1926&lt;J1926,"ERRO","OK")</f>
        <v>OK</v>
      </c>
    </row>
    <row r="1927" customFormat="false" ht="14.25" hidden="false" customHeight="false" outlineLevel="0" collapsed="false">
      <c r="A1927" s="0" t="n">
        <v>86</v>
      </c>
      <c r="B1927" s="0" t="n">
        <v>2024</v>
      </c>
      <c r="C1927" s="3" t="n">
        <v>45667</v>
      </c>
      <c r="E1927" s="0" t="s">
        <v>33</v>
      </c>
      <c r="F1927" s="0" t="s">
        <v>17</v>
      </c>
      <c r="G1927" s="0" t="s">
        <v>369</v>
      </c>
      <c r="H1927" s="0" t="s">
        <v>371</v>
      </c>
      <c r="I1927" s="0" t="s">
        <v>370</v>
      </c>
      <c r="J1927" s="0" t="s">
        <v>523</v>
      </c>
      <c r="K1927" s="0" t="s">
        <v>371</v>
      </c>
      <c r="L1927" s="0" t="str">
        <f aca="false">IF(H1927&gt;I1927,"ERRO","OK")</f>
        <v>OK</v>
      </c>
      <c r="M1927" s="0" t="str">
        <f aca="false">IF(H1927&gt;J1927,"ERRO","OK")</f>
        <v>OK</v>
      </c>
      <c r="N1927" s="0" t="str">
        <f aca="false">IF(I1927&lt;J1927,"ERRO","OK")</f>
        <v>OK</v>
      </c>
    </row>
    <row r="1928" customFormat="false" ht="14.25" hidden="false" customHeight="false" outlineLevel="0" collapsed="false">
      <c r="A1928" s="0" t="n">
        <v>86</v>
      </c>
      <c r="B1928" s="0" t="n">
        <v>2024</v>
      </c>
      <c r="C1928" s="3" t="n">
        <v>45667</v>
      </c>
      <c r="E1928" s="0" t="s">
        <v>35</v>
      </c>
      <c r="F1928" s="0" t="s">
        <v>36</v>
      </c>
      <c r="G1928" s="0" t="s">
        <v>473</v>
      </c>
      <c r="H1928" s="0" t="s">
        <v>390</v>
      </c>
      <c r="I1928" s="0" t="s">
        <v>390</v>
      </c>
      <c r="J1928" s="0" t="s">
        <v>390</v>
      </c>
      <c r="K1928" s="0" t="s">
        <v>494</v>
      </c>
      <c r="L1928" s="0" t="str">
        <f aca="false">IF(H1928&gt;I1928,"ERRO","OK")</f>
        <v>OK</v>
      </c>
      <c r="M1928" s="0" t="str">
        <f aca="false">IF(H1928&gt;J1928,"ERRO","OK")</f>
        <v>OK</v>
      </c>
      <c r="N1928" s="0" t="str">
        <f aca="false">IF(I1928&lt;J1928,"ERRO","OK")</f>
        <v>OK</v>
      </c>
    </row>
    <row r="1929" customFormat="false" ht="14.25" hidden="false" customHeight="false" outlineLevel="0" collapsed="false">
      <c r="A1929" s="0" t="n">
        <v>86</v>
      </c>
      <c r="B1929" s="0" t="n">
        <v>2024</v>
      </c>
      <c r="C1929" s="3" t="n">
        <v>45667</v>
      </c>
      <c r="E1929" s="0" t="s">
        <v>38</v>
      </c>
      <c r="F1929" s="0" t="s">
        <v>39</v>
      </c>
      <c r="G1929" s="0" t="s">
        <v>394</v>
      </c>
      <c r="H1929" s="0" t="s">
        <v>394</v>
      </c>
      <c r="I1929" s="0" t="s">
        <v>431</v>
      </c>
      <c r="J1929" s="0" t="s">
        <v>385</v>
      </c>
      <c r="K1929" s="0" t="s">
        <v>394</v>
      </c>
      <c r="L1929" s="0" t="str">
        <f aca="false">IF(H1929&gt;I1929,"ERRO","OK")</f>
        <v>OK</v>
      </c>
      <c r="M1929" s="0" t="str">
        <f aca="false">IF(H1929&gt;J1929,"ERRO","OK")</f>
        <v>OK</v>
      </c>
      <c r="N1929" s="0" t="str">
        <f aca="false">IF(I1929&lt;J1929,"ERRO","OK")</f>
        <v>OK</v>
      </c>
    </row>
    <row r="1930" customFormat="false" ht="14.25" hidden="false" customHeight="false" outlineLevel="0" collapsed="false">
      <c r="A1930" s="0" t="n">
        <v>86</v>
      </c>
      <c r="B1930" s="0" t="n">
        <v>2024</v>
      </c>
      <c r="C1930" s="3" t="n">
        <v>45667</v>
      </c>
      <c r="E1930" s="0" t="s">
        <v>40</v>
      </c>
      <c r="F1930" s="0" t="s">
        <v>39</v>
      </c>
      <c r="G1930" s="0" t="s">
        <v>431</v>
      </c>
      <c r="H1930" s="0" t="s">
        <v>374</v>
      </c>
      <c r="I1930" s="0" t="s">
        <v>374</v>
      </c>
      <c r="J1930" s="0" t="s">
        <v>374</v>
      </c>
      <c r="K1930" s="0" t="s">
        <v>539</v>
      </c>
      <c r="L1930" s="0" t="str">
        <f aca="false">IF(H1930&gt;I1930,"ERRO","OK")</f>
        <v>OK</v>
      </c>
      <c r="M1930" s="0" t="str">
        <f aca="false">IF(H1930&gt;J1930,"ERRO","OK")</f>
        <v>OK</v>
      </c>
      <c r="N1930" s="0" t="str">
        <f aca="false">IF(I1930&lt;J1930,"ERRO","OK")</f>
        <v>OK</v>
      </c>
    </row>
    <row r="1931" customFormat="false" ht="14.25" hidden="false" customHeight="false" outlineLevel="0" collapsed="false">
      <c r="A1931" s="0" t="n">
        <v>86</v>
      </c>
      <c r="B1931" s="0" t="n">
        <v>2024</v>
      </c>
      <c r="C1931" s="3" t="n">
        <v>45667</v>
      </c>
      <c r="E1931" s="0" t="s">
        <v>157</v>
      </c>
      <c r="F1931" s="0" t="s">
        <v>158</v>
      </c>
      <c r="G1931" s="0" t="s">
        <v>382</v>
      </c>
      <c r="H1931" s="0" t="s">
        <v>382</v>
      </c>
      <c r="I1931" s="0" t="s">
        <v>382</v>
      </c>
      <c r="J1931" s="0" t="s">
        <v>382</v>
      </c>
      <c r="K1931" s="0" t="s">
        <v>382</v>
      </c>
      <c r="L1931" s="0" t="str">
        <f aca="false">IF(H1931&gt;I1931,"ERRO","OK")</f>
        <v>OK</v>
      </c>
      <c r="M1931" s="0" t="str">
        <f aca="false">IF(H1931&gt;J1931,"ERRO","OK")</f>
        <v>OK</v>
      </c>
      <c r="N1931" s="0" t="str">
        <f aca="false">IF(I1931&lt;J1931,"ERRO","OK")</f>
        <v>OK</v>
      </c>
    </row>
    <row r="1932" customFormat="false" ht="14.25" hidden="false" customHeight="false" outlineLevel="0" collapsed="false">
      <c r="A1932" s="0" t="n">
        <v>86</v>
      </c>
      <c r="B1932" s="0" t="n">
        <v>2024</v>
      </c>
      <c r="C1932" s="3" t="n">
        <v>45667</v>
      </c>
      <c r="E1932" s="0" t="s">
        <v>43</v>
      </c>
      <c r="F1932" s="0" t="s">
        <v>44</v>
      </c>
      <c r="G1932" s="0" t="s">
        <v>417</v>
      </c>
      <c r="H1932" s="0" t="s">
        <v>427</v>
      </c>
      <c r="I1932" s="0" t="s">
        <v>427</v>
      </c>
      <c r="J1932" s="0" t="s">
        <v>427</v>
      </c>
      <c r="K1932" s="0" t="s">
        <v>540</v>
      </c>
      <c r="L1932" s="0" t="str">
        <f aca="false">IF(H1932&gt;I1932,"ERRO","OK")</f>
        <v>OK</v>
      </c>
      <c r="M1932" s="0" t="str">
        <f aca="false">IF(H1932&gt;J1932,"ERRO","OK")</f>
        <v>OK</v>
      </c>
      <c r="N1932" s="0" t="str">
        <f aca="false">IF(I1932&lt;J1932,"ERRO","OK")</f>
        <v>OK</v>
      </c>
    </row>
    <row r="1933" customFormat="false" ht="14.25" hidden="false" customHeight="false" outlineLevel="0" collapsed="false">
      <c r="A1933" s="0" t="n">
        <v>86</v>
      </c>
      <c r="B1933" s="0" t="n">
        <v>2024</v>
      </c>
      <c r="C1933" s="3" t="n">
        <v>45667</v>
      </c>
      <c r="E1933" s="0" t="s">
        <v>46</v>
      </c>
      <c r="F1933" s="0" t="s">
        <v>47</v>
      </c>
      <c r="H1933" s="0" t="s">
        <v>402</v>
      </c>
      <c r="I1933" s="0" t="s">
        <v>382</v>
      </c>
      <c r="J1933" s="0" t="s">
        <v>411</v>
      </c>
      <c r="K1933" s="0" t="s">
        <v>411</v>
      </c>
      <c r="L1933" s="0" t="str">
        <f aca="false">IF(H1933&gt;I1933,"ERRO","OK")</f>
        <v>OK</v>
      </c>
      <c r="M1933" s="0" t="str">
        <f aca="false">IF(H1933&gt;J1933,"ERRO","OK")</f>
        <v>OK</v>
      </c>
      <c r="N1933" s="0" t="str">
        <f aca="false">IF(I1933&lt;J1933,"ERRO","OK")</f>
        <v>OK</v>
      </c>
    </row>
    <row r="1934" customFormat="false" ht="14.25" hidden="false" customHeight="false" outlineLevel="0" collapsed="false">
      <c r="A1934" s="0" t="n">
        <v>86</v>
      </c>
      <c r="B1934" s="0" t="n">
        <v>2024</v>
      </c>
      <c r="C1934" s="3" t="n">
        <v>45667</v>
      </c>
      <c r="E1934" s="0" t="s">
        <v>48</v>
      </c>
      <c r="F1934" s="0" t="s">
        <v>49</v>
      </c>
      <c r="G1934" s="0" t="s">
        <v>405</v>
      </c>
      <c r="H1934" s="0" t="s">
        <v>409</v>
      </c>
      <c r="I1934" s="0" t="s">
        <v>405</v>
      </c>
      <c r="J1934" s="0" t="s">
        <v>416</v>
      </c>
      <c r="K1934" s="0" t="s">
        <v>405</v>
      </c>
      <c r="L1934" s="0" t="str">
        <f aca="false">IF(H1934&gt;I1934,"ERRO","OK")</f>
        <v>OK</v>
      </c>
      <c r="M1934" s="0" t="str">
        <f aca="false">IF(H1934&gt;J1934,"ERRO","OK")</f>
        <v>OK</v>
      </c>
      <c r="N1934" s="0" t="str">
        <f aca="false">IF(I1934&lt;J1934,"ERRO","OK")</f>
        <v>OK</v>
      </c>
    </row>
    <row r="1935" customFormat="false" ht="14.25" hidden="false" customHeight="false" outlineLevel="0" collapsed="false">
      <c r="A1935" s="0" t="n">
        <v>86</v>
      </c>
      <c r="B1935" s="0" t="n">
        <v>2024</v>
      </c>
      <c r="C1935" s="3" t="n">
        <v>45667</v>
      </c>
      <c r="E1935" s="0" t="s">
        <v>52</v>
      </c>
      <c r="F1935" s="0" t="s">
        <v>49</v>
      </c>
      <c r="L1935" s="0" t="str">
        <f aca="false">IF(H1935&gt;I1935,"ERRO","OK")</f>
        <v>OK</v>
      </c>
      <c r="M1935" s="0" t="str">
        <f aca="false">IF(H1935&gt;J1935,"ERRO","OK")</f>
        <v>OK</v>
      </c>
      <c r="N1935" s="0" t="str">
        <f aca="false">IF(I1935&lt;J1935,"ERRO","OK")</f>
        <v>OK</v>
      </c>
    </row>
    <row r="1936" customFormat="false" ht="14.25" hidden="false" customHeight="false" outlineLevel="0" collapsed="false">
      <c r="A1936" s="0" t="n">
        <v>86</v>
      </c>
      <c r="B1936" s="0" t="n">
        <v>2024</v>
      </c>
      <c r="C1936" s="3" t="n">
        <v>45667</v>
      </c>
      <c r="E1936" s="0" t="s">
        <v>53</v>
      </c>
      <c r="F1936" s="0" t="s">
        <v>54</v>
      </c>
      <c r="G1936" s="0" t="s">
        <v>405</v>
      </c>
      <c r="H1936" s="0" t="s">
        <v>382</v>
      </c>
      <c r="I1936" s="0" t="s">
        <v>382</v>
      </c>
      <c r="J1936" s="0" t="s">
        <v>406</v>
      </c>
      <c r="K1936" s="0" t="s">
        <v>403</v>
      </c>
      <c r="L1936" s="0" t="str">
        <f aca="false">IF(H1936&gt;I1936,"ERRO","OK")</f>
        <v>OK</v>
      </c>
      <c r="M1936" s="0" t="str">
        <f aca="false">IF(H1936&gt;J1936,"ERRO","OK")</f>
        <v>ERRO</v>
      </c>
      <c r="N1936" s="0" t="str">
        <f aca="false">IF(I1936&lt;J1936,"ERRO","OK")</f>
        <v>OK</v>
      </c>
    </row>
    <row r="1937" customFormat="false" ht="14.25" hidden="false" customHeight="false" outlineLevel="0" collapsed="false">
      <c r="A1937" s="0" t="n">
        <v>86</v>
      </c>
      <c r="B1937" s="0" t="n">
        <v>2024</v>
      </c>
      <c r="C1937" s="3" t="n">
        <v>45667</v>
      </c>
      <c r="E1937" s="0" t="s">
        <v>56</v>
      </c>
      <c r="F1937" s="0" t="s">
        <v>47</v>
      </c>
      <c r="H1937" s="0" t="s">
        <v>370</v>
      </c>
      <c r="I1937" s="0" t="s">
        <v>459</v>
      </c>
      <c r="J1937" s="0" t="s">
        <v>399</v>
      </c>
      <c r="K1937" s="0" t="s">
        <v>541</v>
      </c>
      <c r="L1937" s="0" t="str">
        <f aca="false">IF(H1937&gt;I1937,"ERRO","OK")</f>
        <v>ERRO</v>
      </c>
      <c r="M1937" s="0" t="str">
        <f aca="false">IF(H1937&gt;J1937,"ERRO","OK")</f>
        <v>OK</v>
      </c>
      <c r="N1937" s="0" t="str">
        <f aca="false">IF(I1937&lt;J1937,"ERRO","OK")</f>
        <v>ERRO</v>
      </c>
    </row>
    <row r="1938" customFormat="false" ht="14.25" hidden="false" customHeight="false" outlineLevel="0" collapsed="false">
      <c r="A1938" s="0" t="n">
        <v>86</v>
      </c>
      <c r="B1938" s="0" t="n">
        <v>2024</v>
      </c>
      <c r="C1938" s="3" t="n">
        <v>45667</v>
      </c>
      <c r="E1938" s="0" t="s">
        <v>57</v>
      </c>
      <c r="F1938" s="0" t="s">
        <v>47</v>
      </c>
      <c r="G1938" s="0" t="s">
        <v>370</v>
      </c>
      <c r="H1938" s="0" t="s">
        <v>405</v>
      </c>
      <c r="I1938" s="0" t="s">
        <v>382</v>
      </c>
      <c r="J1938" s="0" t="s">
        <v>370</v>
      </c>
      <c r="K1938" s="0" t="s">
        <v>370</v>
      </c>
      <c r="L1938" s="0" t="str">
        <f aca="false">IF(H1938&gt;I1938,"ERRO","OK")</f>
        <v>OK</v>
      </c>
      <c r="M1938" s="0" t="str">
        <f aca="false">IF(H1938&gt;J1938,"ERRO","OK")</f>
        <v>OK</v>
      </c>
      <c r="N1938" s="0" t="str">
        <f aca="false">IF(I1938&lt;J1938,"ERRO","OK")</f>
        <v>OK</v>
      </c>
    </row>
    <row r="1939" customFormat="false" ht="14.25" hidden="false" customHeight="false" outlineLevel="0" collapsed="false">
      <c r="A1939" s="0" t="n">
        <v>86</v>
      </c>
      <c r="B1939" s="0" t="n">
        <v>2024</v>
      </c>
      <c r="C1939" s="3" t="n">
        <v>45667</v>
      </c>
      <c r="E1939" s="0" t="s">
        <v>58</v>
      </c>
      <c r="F1939" s="0" t="s">
        <v>44</v>
      </c>
      <c r="G1939" s="0" t="s">
        <v>370</v>
      </c>
      <c r="H1939" s="0" t="s">
        <v>370</v>
      </c>
      <c r="I1939" s="0" t="s">
        <v>398</v>
      </c>
      <c r="J1939" s="0" t="s">
        <v>370</v>
      </c>
      <c r="K1939" s="0" t="s">
        <v>542</v>
      </c>
      <c r="L1939" s="0" t="str">
        <f aca="false">IF(H1939&gt;I1939,"ERRO","OK")</f>
        <v>OK</v>
      </c>
      <c r="M1939" s="0" t="str">
        <f aca="false">IF(H1939&gt;J1939,"ERRO","OK")</f>
        <v>OK</v>
      </c>
      <c r="N1939" s="0" t="str">
        <f aca="false">IF(I1939&lt;J1939,"ERRO","OK")</f>
        <v>OK</v>
      </c>
    </row>
    <row r="1940" customFormat="false" ht="14.25" hidden="false" customHeight="false" outlineLevel="0" collapsed="false">
      <c r="A1940" s="0" t="n">
        <v>86</v>
      </c>
      <c r="B1940" s="0" t="n">
        <v>2024</v>
      </c>
      <c r="C1940" s="3" t="n">
        <v>45667</v>
      </c>
      <c r="E1940" s="0" t="s">
        <v>60</v>
      </c>
      <c r="F1940" s="0" t="s">
        <v>47</v>
      </c>
      <c r="H1940" s="0" t="s">
        <v>370</v>
      </c>
      <c r="I1940" s="0" t="s">
        <v>370</v>
      </c>
      <c r="J1940" s="0" t="s">
        <v>370</v>
      </c>
      <c r="K1940" s="0" t="s">
        <v>370</v>
      </c>
      <c r="L1940" s="0" t="str">
        <f aca="false">IF(H1940&gt;I1940,"ERRO","OK")</f>
        <v>OK</v>
      </c>
      <c r="M1940" s="0" t="str">
        <f aca="false">IF(H1940&gt;J1940,"ERRO","OK")</f>
        <v>OK</v>
      </c>
      <c r="N1940" s="0" t="str">
        <f aca="false">IF(I1940&lt;J1940,"ERRO","OK")</f>
        <v>OK</v>
      </c>
    </row>
    <row r="1941" customFormat="false" ht="14.25" hidden="false" customHeight="false" outlineLevel="0" collapsed="false">
      <c r="A1941" s="0" t="n">
        <v>86</v>
      </c>
      <c r="B1941" s="0" t="n">
        <v>2024</v>
      </c>
      <c r="C1941" s="3" t="n">
        <v>45667</v>
      </c>
      <c r="E1941" s="0" t="s">
        <v>61</v>
      </c>
      <c r="F1941" s="0" t="s">
        <v>44</v>
      </c>
      <c r="G1941" s="0" t="s">
        <v>382</v>
      </c>
      <c r="H1941" s="0" t="s">
        <v>417</v>
      </c>
      <c r="I1941" s="0" t="s">
        <v>398</v>
      </c>
      <c r="J1941" s="0" t="s">
        <v>417</v>
      </c>
      <c r="K1941" s="0" t="s">
        <v>497</v>
      </c>
      <c r="L1941" s="0" t="str">
        <f aca="false">IF(H1941&gt;I1941,"ERRO","OK")</f>
        <v>ERRO</v>
      </c>
      <c r="M1941" s="0" t="str">
        <f aca="false">IF(H1941&gt;J1941,"ERRO","OK")</f>
        <v>OK</v>
      </c>
      <c r="N1941" s="0" t="str">
        <f aca="false">IF(I1941&lt;J1941,"ERRO","OK")</f>
        <v>ERRO</v>
      </c>
    </row>
    <row r="1942" customFormat="false" ht="14.25" hidden="false" customHeight="false" outlineLevel="0" collapsed="false">
      <c r="A1942" s="0" t="n">
        <v>86</v>
      </c>
      <c r="B1942" s="0" t="n">
        <v>2024</v>
      </c>
      <c r="C1942" s="3" t="n">
        <v>45667</v>
      </c>
      <c r="E1942" s="0" t="s">
        <v>62</v>
      </c>
      <c r="F1942" s="0" t="s">
        <v>44</v>
      </c>
      <c r="H1942" s="0" t="s">
        <v>417</v>
      </c>
      <c r="I1942" s="0" t="s">
        <v>417</v>
      </c>
      <c r="J1942" s="0" t="s">
        <v>417</v>
      </c>
      <c r="K1942" s="0" t="s">
        <v>417</v>
      </c>
      <c r="L1942" s="0" t="str">
        <f aca="false">IF(H1942&gt;I1942,"ERRO","OK")</f>
        <v>OK</v>
      </c>
      <c r="M1942" s="0" t="str">
        <f aca="false">IF(H1942&gt;J1942,"ERRO","OK")</f>
        <v>OK</v>
      </c>
      <c r="N1942" s="0" t="str">
        <f aca="false">IF(I1942&lt;J1942,"ERRO","OK")</f>
        <v>OK</v>
      </c>
    </row>
    <row r="1943" customFormat="false" ht="14.25" hidden="false" customHeight="false" outlineLevel="0" collapsed="false">
      <c r="A1943" s="0" t="n">
        <v>86</v>
      </c>
      <c r="B1943" s="0" t="n">
        <v>2024</v>
      </c>
      <c r="C1943" s="3" t="n">
        <v>45667</v>
      </c>
      <c r="E1943" s="0" t="s">
        <v>63</v>
      </c>
      <c r="F1943" s="0" t="s">
        <v>49</v>
      </c>
      <c r="G1943" s="0" t="s">
        <v>374</v>
      </c>
      <c r="H1943" s="0" t="s">
        <v>374</v>
      </c>
      <c r="I1943" s="0" t="s">
        <v>402</v>
      </c>
      <c r="J1943" s="0" t="s">
        <v>543</v>
      </c>
      <c r="K1943" s="0" t="s">
        <v>400</v>
      </c>
      <c r="L1943" s="0" t="str">
        <f aca="false">IF(H1943&gt;I1943,"ERRO","OK")</f>
        <v>OK</v>
      </c>
      <c r="M1943" s="0" t="str">
        <f aca="false">IF(H1943&gt;J1943,"ERRO","OK")</f>
        <v>OK</v>
      </c>
      <c r="N1943" s="0" t="str">
        <f aca="false">IF(I1943&lt;J1943,"ERRO","OK")</f>
        <v>OK</v>
      </c>
    </row>
    <row r="1944" customFormat="false" ht="14.25" hidden="false" customHeight="false" outlineLevel="0" collapsed="false">
      <c r="A1944" s="0" t="n">
        <v>86</v>
      </c>
      <c r="B1944" s="0" t="n">
        <v>2024</v>
      </c>
      <c r="C1944" s="3" t="n">
        <v>45667</v>
      </c>
      <c r="E1944" s="0" t="s">
        <v>64</v>
      </c>
      <c r="F1944" s="0" t="s">
        <v>65</v>
      </c>
      <c r="G1944" s="0" t="s">
        <v>427</v>
      </c>
      <c r="H1944" s="0" t="s">
        <v>397</v>
      </c>
      <c r="I1944" s="0" t="s">
        <v>427</v>
      </c>
      <c r="J1944" s="0" t="s">
        <v>417</v>
      </c>
      <c r="K1944" s="0" t="s">
        <v>544</v>
      </c>
      <c r="L1944" s="0" t="str">
        <f aca="false">IF(H1944&gt;I1944,"ERRO","OK")</f>
        <v>ERRO</v>
      </c>
      <c r="M1944" s="0" t="str">
        <f aca="false">IF(H1944&gt;J1944,"ERRO","OK")</f>
        <v>OK</v>
      </c>
      <c r="N1944" s="0" t="str">
        <f aca="false">IF(I1944&lt;J1944,"ERRO","OK")</f>
        <v>ERRO</v>
      </c>
    </row>
    <row r="1945" customFormat="false" ht="14.25" hidden="false" customHeight="false" outlineLevel="0" collapsed="false">
      <c r="A1945" s="0" t="n">
        <v>86</v>
      </c>
      <c r="B1945" s="0" t="n">
        <v>2024</v>
      </c>
      <c r="C1945" s="3" t="n">
        <v>45667</v>
      </c>
      <c r="E1945" s="0" t="s">
        <v>67</v>
      </c>
      <c r="F1945" s="0" t="s">
        <v>44</v>
      </c>
      <c r="G1945" s="0" t="s">
        <v>382</v>
      </c>
      <c r="H1945" s="0" t="s">
        <v>405</v>
      </c>
      <c r="I1945" s="0" t="s">
        <v>382</v>
      </c>
      <c r="J1945" s="0" t="s">
        <v>403</v>
      </c>
      <c r="K1945" s="0" t="s">
        <v>406</v>
      </c>
      <c r="L1945" s="0" t="str">
        <f aca="false">IF(H1945&gt;I1945,"ERRO","OK")</f>
        <v>OK</v>
      </c>
      <c r="M1945" s="0" t="str">
        <f aca="false">IF(H1945&gt;J1945,"ERRO","OK")</f>
        <v>OK</v>
      </c>
      <c r="N1945" s="0" t="str">
        <f aca="false">IF(I1945&lt;J1945,"ERRO","OK")</f>
        <v>OK</v>
      </c>
    </row>
    <row r="1946" customFormat="false" ht="14.25" hidden="false" customHeight="false" outlineLevel="0" collapsed="false">
      <c r="A1946" s="0" t="n">
        <v>86</v>
      </c>
      <c r="B1946" s="0" t="n">
        <v>2024</v>
      </c>
      <c r="C1946" s="3" t="n">
        <v>45667</v>
      </c>
      <c r="E1946" s="0" t="s">
        <v>68</v>
      </c>
      <c r="F1946" s="0" t="s">
        <v>44</v>
      </c>
      <c r="H1946" s="0" t="s">
        <v>405</v>
      </c>
      <c r="I1946" s="0" t="s">
        <v>398</v>
      </c>
      <c r="J1946" s="0" t="s">
        <v>542</v>
      </c>
      <c r="K1946" s="0" t="s">
        <v>382</v>
      </c>
      <c r="L1946" s="0" t="str">
        <f aca="false">IF(H1946&gt;I1946,"ERRO","OK")</f>
        <v>OK</v>
      </c>
      <c r="M1946" s="0" t="str">
        <f aca="false">IF(H1946&gt;J1946,"ERRO","OK")</f>
        <v>OK</v>
      </c>
      <c r="N1946" s="0" t="str">
        <f aca="false">IF(I1946&lt;J1946,"ERRO","OK")</f>
        <v>OK</v>
      </c>
    </row>
    <row r="1947" customFormat="false" ht="14.25" hidden="false" customHeight="false" outlineLevel="0" collapsed="false">
      <c r="A1947" s="0" t="n">
        <v>86</v>
      </c>
      <c r="B1947" s="0" t="n">
        <v>2024</v>
      </c>
      <c r="C1947" s="3" t="n">
        <v>45667</v>
      </c>
      <c r="E1947" s="20" t="s">
        <v>70</v>
      </c>
      <c r="F1947" s="21" t="s">
        <v>49</v>
      </c>
      <c r="L1947" s="0" t="str">
        <f aca="false">IF(H1947&gt;I1947,"ERRO","OK")</f>
        <v>OK</v>
      </c>
      <c r="M1947" s="0" t="str">
        <f aca="false">IF(H1947&gt;J1947,"ERRO","OK")</f>
        <v>OK</v>
      </c>
      <c r="N1947" s="0" t="str">
        <f aca="false">IF(I1947&lt;J1947,"ERRO","OK")</f>
        <v>OK</v>
      </c>
    </row>
    <row r="1948" customFormat="false" ht="14.25" hidden="false" customHeight="false" outlineLevel="0" collapsed="false">
      <c r="A1948" s="0" t="n">
        <v>86</v>
      </c>
      <c r="B1948" s="0" t="n">
        <v>2024</v>
      </c>
      <c r="C1948" s="3" t="n">
        <v>45667</v>
      </c>
      <c r="E1948" s="20" t="s">
        <v>71</v>
      </c>
      <c r="F1948" s="21" t="s">
        <v>49</v>
      </c>
      <c r="L1948" s="0" t="str">
        <f aca="false">IF(H1948&gt;I1948,"ERRO","OK")</f>
        <v>OK</v>
      </c>
      <c r="M1948" s="0" t="str">
        <f aca="false">IF(H1948&gt;J1948,"ERRO","OK")</f>
        <v>OK</v>
      </c>
      <c r="N1948" s="0" t="str">
        <f aca="false">IF(I1948&lt;J1948,"ERRO","OK")</f>
        <v>OK</v>
      </c>
    </row>
    <row r="1949" customFormat="false" ht="14.25" hidden="false" customHeight="false" outlineLevel="0" collapsed="false">
      <c r="A1949" s="0" t="n">
        <v>86</v>
      </c>
      <c r="B1949" s="0" t="n">
        <v>2024</v>
      </c>
      <c r="C1949" s="3" t="n">
        <v>45667</v>
      </c>
      <c r="E1949" s="20" t="s">
        <v>72</v>
      </c>
      <c r="F1949" s="21" t="s">
        <v>49</v>
      </c>
      <c r="L1949" s="0" t="str">
        <f aca="false">IF(H1949&gt;I1949,"ERRO","OK")</f>
        <v>OK</v>
      </c>
      <c r="M1949" s="0" t="str">
        <f aca="false">IF(H1949&gt;J1949,"ERRO","OK")</f>
        <v>OK</v>
      </c>
      <c r="N1949" s="0" t="str">
        <f aca="false">IF(I1949&lt;J1949,"ERRO","OK")</f>
        <v>OK</v>
      </c>
    </row>
    <row r="1950" customFormat="false" ht="14.25" hidden="false" customHeight="false" outlineLevel="0" collapsed="false">
      <c r="A1950" s="0" t="n">
        <v>86</v>
      </c>
      <c r="B1950" s="0" t="n">
        <v>2024</v>
      </c>
      <c r="C1950" s="3" t="n">
        <v>45667</v>
      </c>
      <c r="E1950" s="20" t="s">
        <v>73</v>
      </c>
      <c r="F1950" s="21" t="s">
        <v>49</v>
      </c>
      <c r="L1950" s="0" t="str">
        <f aca="false">IF(H1950&gt;I1950,"ERRO","OK")</f>
        <v>OK</v>
      </c>
      <c r="M1950" s="0" t="str">
        <f aca="false">IF(H1950&gt;J1950,"ERRO","OK")</f>
        <v>OK</v>
      </c>
      <c r="N1950" s="0" t="str">
        <f aca="false">IF(I1950&lt;J1950,"ERRO","OK")</f>
        <v>OK</v>
      </c>
    </row>
    <row r="1951" customFormat="false" ht="14.25" hidden="false" customHeight="false" outlineLevel="0" collapsed="false">
      <c r="A1951" s="0" t="n">
        <v>86</v>
      </c>
      <c r="B1951" s="0" t="n">
        <v>2024</v>
      </c>
      <c r="C1951" s="3" t="n">
        <v>45667</v>
      </c>
      <c r="E1951" s="20" t="s">
        <v>74</v>
      </c>
      <c r="F1951" s="21" t="s">
        <v>75</v>
      </c>
      <c r="L1951" s="0" t="str">
        <f aca="false">IF(H1951&gt;I1951,"ERRO","OK")</f>
        <v>OK</v>
      </c>
      <c r="M1951" s="0" t="str">
        <f aca="false">IF(H1951&gt;J1951,"ERRO","OK")</f>
        <v>OK</v>
      </c>
      <c r="N1951" s="0" t="str">
        <f aca="false">IF(I1951&lt;J1951,"ERRO","OK")</f>
        <v>OK</v>
      </c>
    </row>
    <row r="1952" customFormat="false" ht="14.25" hidden="false" customHeight="false" outlineLevel="0" collapsed="false">
      <c r="A1952" s="0" t="n">
        <v>87</v>
      </c>
      <c r="B1952" s="0" t="n">
        <v>2025</v>
      </c>
      <c r="C1952" s="3" t="n">
        <v>45674</v>
      </c>
      <c r="E1952" s="0" t="s">
        <v>16</v>
      </c>
      <c r="F1952" s="0" t="s">
        <v>17</v>
      </c>
      <c r="H1952" s="0" t="s">
        <v>442</v>
      </c>
      <c r="I1952" s="0" t="s">
        <v>372</v>
      </c>
      <c r="J1952" s="0" t="s">
        <v>371</v>
      </c>
      <c r="K1952" s="0" t="s">
        <v>371</v>
      </c>
      <c r="L1952" s="0" t="str">
        <f aca="false">IF(H1952&gt;I1952,"ERRO","OK")</f>
        <v>OK</v>
      </c>
      <c r="M1952" s="0" t="str">
        <f aca="false">IF(H1952&gt;J1952,"ERRO","OK")</f>
        <v>OK</v>
      </c>
      <c r="N1952" s="0" t="str">
        <f aca="false">IF(I1952&lt;J1952,"ERRO","OK")</f>
        <v>OK</v>
      </c>
    </row>
    <row r="1953" customFormat="false" ht="14.25" hidden="false" customHeight="false" outlineLevel="0" collapsed="false">
      <c r="A1953" s="0" t="n">
        <v>87</v>
      </c>
      <c r="B1953" s="0" t="n">
        <v>2025</v>
      </c>
      <c r="C1953" s="3" t="n">
        <v>45674</v>
      </c>
      <c r="E1953" s="0" t="s">
        <v>18</v>
      </c>
      <c r="F1953" s="0" t="s">
        <v>17</v>
      </c>
      <c r="G1953" s="0" t="s">
        <v>485</v>
      </c>
      <c r="H1953" s="0" t="s">
        <v>371</v>
      </c>
      <c r="I1953" s="0" t="s">
        <v>413</v>
      </c>
      <c r="J1953" s="0" t="s">
        <v>545</v>
      </c>
      <c r="K1953" s="0" t="s">
        <v>485</v>
      </c>
      <c r="L1953" s="0" t="str">
        <f aca="false">IF(H1953&gt;I1953,"ERRO","OK")</f>
        <v>ERRO</v>
      </c>
      <c r="M1953" s="0" t="str">
        <f aca="false">IF(H1953&gt;J1953,"ERRO","OK")</f>
        <v>OK</v>
      </c>
      <c r="N1953" s="0" t="str">
        <f aca="false">IF(I1953&lt;J1953,"ERRO","OK")</f>
        <v>ERRO</v>
      </c>
    </row>
    <row r="1954" customFormat="false" ht="14.25" hidden="false" customHeight="false" outlineLevel="0" collapsed="false">
      <c r="A1954" s="0" t="n">
        <v>87</v>
      </c>
      <c r="B1954" s="0" t="n">
        <v>2025</v>
      </c>
      <c r="C1954" s="3" t="n">
        <v>45674</v>
      </c>
      <c r="E1954" s="0" t="s">
        <v>19</v>
      </c>
      <c r="F1954" s="0" t="s">
        <v>17</v>
      </c>
      <c r="G1954" s="0" t="s">
        <v>369</v>
      </c>
      <c r="H1954" s="0" t="s">
        <v>375</v>
      </c>
      <c r="I1954" s="0" t="s">
        <v>370</v>
      </c>
      <c r="J1954" s="0" t="s">
        <v>546</v>
      </c>
      <c r="K1954" s="0" t="s">
        <v>369</v>
      </c>
      <c r="L1954" s="0" t="str">
        <f aca="false">IF(H1954&gt;I1954,"ERRO","OK")</f>
        <v>OK</v>
      </c>
      <c r="M1954" s="0" t="str">
        <f aca="false">IF(H1954&gt;J1954,"ERRO","OK")</f>
        <v>OK</v>
      </c>
      <c r="N1954" s="0" t="str">
        <f aca="false">IF(I1954&lt;J1954,"ERRO","OK")</f>
        <v>OK</v>
      </c>
    </row>
    <row r="1955" customFormat="false" ht="14.25" hidden="false" customHeight="false" outlineLevel="0" collapsed="false">
      <c r="A1955" s="0" t="n">
        <v>87</v>
      </c>
      <c r="B1955" s="0" t="n">
        <v>2025</v>
      </c>
      <c r="C1955" s="3" t="n">
        <v>45674</v>
      </c>
      <c r="E1955" s="0" t="s">
        <v>20</v>
      </c>
      <c r="F1955" s="0" t="s">
        <v>17</v>
      </c>
      <c r="G1955" s="0" t="s">
        <v>378</v>
      </c>
      <c r="H1955" s="0" t="s">
        <v>405</v>
      </c>
      <c r="I1955" s="0" t="s">
        <v>378</v>
      </c>
      <c r="J1955" s="0" t="s">
        <v>547</v>
      </c>
      <c r="K1955" s="0" t="s">
        <v>374</v>
      </c>
      <c r="L1955" s="0" t="str">
        <f aca="false">IF(H1955&gt;I1955,"ERRO","OK")</f>
        <v>ERRO</v>
      </c>
      <c r="M1955" s="0" t="str">
        <f aca="false">IF(H1955&gt;J1955,"ERRO","OK")</f>
        <v>ERRO</v>
      </c>
      <c r="N1955" s="0" t="str">
        <f aca="false">IF(I1955&lt;J1955,"ERRO","OK")</f>
        <v>ERRO</v>
      </c>
    </row>
    <row r="1956" customFormat="false" ht="14.25" hidden="false" customHeight="false" outlineLevel="0" collapsed="false">
      <c r="A1956" s="0" t="n">
        <v>87</v>
      </c>
      <c r="B1956" s="0" t="n">
        <v>2025</v>
      </c>
      <c r="C1956" s="3" t="n">
        <v>45674</v>
      </c>
      <c r="E1956" s="0" t="s">
        <v>21</v>
      </c>
      <c r="F1956" s="0" t="s">
        <v>17</v>
      </c>
      <c r="G1956" s="0" t="s">
        <v>374</v>
      </c>
      <c r="H1956" s="0" t="s">
        <v>374</v>
      </c>
      <c r="I1956" s="0" t="s">
        <v>378</v>
      </c>
      <c r="J1956" s="0" t="s">
        <v>548</v>
      </c>
      <c r="K1956" s="0" t="s">
        <v>374</v>
      </c>
      <c r="L1956" s="0" t="str">
        <f aca="false">IF(H1956&gt;I1956,"ERRO","OK")</f>
        <v>ERRO</v>
      </c>
      <c r="M1956" s="0" t="str">
        <f aca="false">IF(H1956&gt;J1956,"ERRO","OK")</f>
        <v>ERRO</v>
      </c>
      <c r="N1956" s="0" t="str">
        <f aca="false">IF(I1956&lt;J1956,"ERRO","OK")</f>
        <v>ERRO</v>
      </c>
    </row>
    <row r="1957" customFormat="false" ht="14.25" hidden="false" customHeight="false" outlineLevel="0" collapsed="false">
      <c r="A1957" s="0" t="n">
        <v>87</v>
      </c>
      <c r="B1957" s="0" t="n">
        <v>2025</v>
      </c>
      <c r="C1957" s="3" t="n">
        <v>45674</v>
      </c>
      <c r="E1957" s="0" t="s">
        <v>22</v>
      </c>
      <c r="F1957" s="0" t="s">
        <v>17</v>
      </c>
      <c r="G1957" s="0" t="s">
        <v>370</v>
      </c>
      <c r="H1957" s="0" t="s">
        <v>370</v>
      </c>
      <c r="I1957" s="0" t="s">
        <v>428</v>
      </c>
      <c r="J1957" s="0" t="s">
        <v>469</v>
      </c>
      <c r="K1957" s="0" t="s">
        <v>370</v>
      </c>
      <c r="L1957" s="0" t="str">
        <f aca="false">IF(H1957&gt;I1957,"ERRO","OK")</f>
        <v>OK</v>
      </c>
      <c r="M1957" s="0" t="str">
        <f aca="false">IF(H1957&gt;J1957,"ERRO","OK")</f>
        <v>OK</v>
      </c>
      <c r="N1957" s="0" t="str">
        <f aca="false">IF(I1957&lt;J1957,"ERRO","OK")</f>
        <v>OK</v>
      </c>
    </row>
    <row r="1958" customFormat="false" ht="14.25" hidden="false" customHeight="false" outlineLevel="0" collapsed="false">
      <c r="A1958" s="0" t="n">
        <v>87</v>
      </c>
      <c r="B1958" s="0" t="n">
        <v>2025</v>
      </c>
      <c r="C1958" s="3" t="n">
        <v>45674</v>
      </c>
      <c r="E1958" s="0" t="s">
        <v>23</v>
      </c>
      <c r="F1958" s="0" t="s">
        <v>17</v>
      </c>
      <c r="G1958" s="0" t="s">
        <v>370</v>
      </c>
      <c r="H1958" s="0" t="s">
        <v>370</v>
      </c>
      <c r="I1958" s="0" t="s">
        <v>372</v>
      </c>
      <c r="J1958" s="0" t="s">
        <v>428</v>
      </c>
      <c r="K1958" s="0" t="s">
        <v>428</v>
      </c>
      <c r="L1958" s="0" t="str">
        <f aca="false">IF(H1958&gt;I1958,"ERRO","OK")</f>
        <v>OK</v>
      </c>
      <c r="M1958" s="0" t="str">
        <f aca="false">IF(H1958&gt;J1958,"ERRO","OK")</f>
        <v>OK</v>
      </c>
      <c r="N1958" s="0" t="str">
        <f aca="false">IF(I1958&lt;J1958,"ERRO","OK")</f>
        <v>OK</v>
      </c>
    </row>
    <row r="1959" customFormat="false" ht="14.25" hidden="false" customHeight="false" outlineLevel="0" collapsed="false">
      <c r="A1959" s="0" t="n">
        <v>87</v>
      </c>
      <c r="B1959" s="0" t="n">
        <v>2025</v>
      </c>
      <c r="C1959" s="3" t="n">
        <v>45674</v>
      </c>
      <c r="E1959" s="0" t="s">
        <v>24</v>
      </c>
      <c r="F1959" s="0" t="s">
        <v>17</v>
      </c>
      <c r="G1959" s="0" t="s">
        <v>373</v>
      </c>
      <c r="H1959" s="0" t="s">
        <v>485</v>
      </c>
      <c r="I1959" s="0" t="s">
        <v>372</v>
      </c>
      <c r="J1959" s="0" t="s">
        <v>549</v>
      </c>
      <c r="K1959" s="0" t="s">
        <v>373</v>
      </c>
      <c r="L1959" s="0" t="str">
        <f aca="false">IF(H1959&gt;I1959,"ERRO","OK")</f>
        <v>ERRO</v>
      </c>
      <c r="M1959" s="0" t="str">
        <f aca="false">IF(H1959&gt;J1959,"ERRO","OK")</f>
        <v>ERRO</v>
      </c>
      <c r="N1959" s="0" t="str">
        <f aca="false">IF(I1959&lt;J1959,"ERRO","OK")</f>
        <v>ERRO</v>
      </c>
    </row>
    <row r="1960" customFormat="false" ht="14.25" hidden="false" customHeight="false" outlineLevel="0" collapsed="false">
      <c r="A1960" s="0" t="n">
        <v>87</v>
      </c>
      <c r="B1960" s="0" t="n">
        <v>2025</v>
      </c>
      <c r="C1960" s="3" t="n">
        <v>45674</v>
      </c>
      <c r="E1960" s="0" t="s">
        <v>25</v>
      </c>
      <c r="F1960" s="0" t="s">
        <v>17</v>
      </c>
      <c r="G1960" s="0" t="s">
        <v>378</v>
      </c>
      <c r="H1960" s="0" t="s">
        <v>394</v>
      </c>
      <c r="I1960" s="0" t="s">
        <v>374</v>
      </c>
      <c r="J1960" s="0" t="s">
        <v>550</v>
      </c>
      <c r="K1960" s="0" t="s">
        <v>378</v>
      </c>
      <c r="L1960" s="0" t="str">
        <f aca="false">IF(H1960&gt;I1960,"ERRO","OK")</f>
        <v>OK</v>
      </c>
      <c r="M1960" s="0" t="str">
        <f aca="false">IF(H1960&gt;J1960,"ERRO","OK")</f>
        <v>OK</v>
      </c>
      <c r="N1960" s="0" t="str">
        <f aca="false">IF(I1960&lt;J1960,"ERRO","OK")</f>
        <v>OK</v>
      </c>
    </row>
    <row r="1961" customFormat="false" ht="14.25" hidden="false" customHeight="false" outlineLevel="0" collapsed="false">
      <c r="A1961" s="0" t="n">
        <v>87</v>
      </c>
      <c r="B1961" s="0" t="n">
        <v>2025</v>
      </c>
      <c r="C1961" s="3" t="n">
        <v>45674</v>
      </c>
      <c r="E1961" s="0" t="s">
        <v>77</v>
      </c>
      <c r="F1961" s="0" t="s">
        <v>17</v>
      </c>
      <c r="G1961" s="0" t="s">
        <v>485</v>
      </c>
      <c r="H1961" s="0" t="s">
        <v>417</v>
      </c>
      <c r="I1961" s="0" t="s">
        <v>427</v>
      </c>
      <c r="J1961" s="0" t="s">
        <v>551</v>
      </c>
      <c r="K1961" s="0" t="s">
        <v>485</v>
      </c>
      <c r="L1961" s="0" t="str">
        <f aca="false">IF(H1961&gt;I1961,"ERRO","OK")</f>
        <v>ERRO</v>
      </c>
      <c r="M1961" s="0" t="str">
        <f aca="false">IF(H1961&gt;J1961,"ERRO","OK")</f>
        <v>OK</v>
      </c>
      <c r="N1961" s="0" t="str">
        <f aca="false">IF(I1961&lt;J1961,"ERRO","OK")</f>
        <v>ERRO</v>
      </c>
    </row>
    <row r="1962" customFormat="false" ht="14.25" hidden="false" customHeight="false" outlineLevel="0" collapsed="false">
      <c r="A1962" s="0" t="n">
        <v>87</v>
      </c>
      <c r="B1962" s="0" t="n">
        <v>2025</v>
      </c>
      <c r="C1962" s="3" t="n">
        <v>45674</v>
      </c>
      <c r="E1962" s="0" t="s">
        <v>27</v>
      </c>
      <c r="F1962" s="0" t="s">
        <v>17</v>
      </c>
      <c r="G1962" s="0" t="s">
        <v>378</v>
      </c>
      <c r="H1962" s="0" t="s">
        <v>405</v>
      </c>
      <c r="I1962" s="0" t="s">
        <v>378</v>
      </c>
      <c r="J1962" s="0" t="s">
        <v>547</v>
      </c>
      <c r="K1962" s="0" t="s">
        <v>374</v>
      </c>
      <c r="L1962" s="0" t="str">
        <f aca="false">IF(H1962&gt;I1962,"ERRO","OK")</f>
        <v>ERRO</v>
      </c>
      <c r="M1962" s="0" t="str">
        <f aca="false">IF(H1962&gt;J1962,"ERRO","OK")</f>
        <v>ERRO</v>
      </c>
      <c r="N1962" s="0" t="str">
        <f aca="false">IF(I1962&lt;J1962,"ERRO","OK")</f>
        <v>ERRO</v>
      </c>
    </row>
    <row r="1963" customFormat="false" ht="14.25" hidden="false" customHeight="false" outlineLevel="0" collapsed="false">
      <c r="A1963" s="0" t="n">
        <v>87</v>
      </c>
      <c r="B1963" s="0" t="n">
        <v>2025</v>
      </c>
      <c r="C1963" s="3" t="n">
        <v>45674</v>
      </c>
      <c r="E1963" s="0" t="s">
        <v>28</v>
      </c>
      <c r="F1963" s="0" t="s">
        <v>17</v>
      </c>
      <c r="G1963" s="0" t="s">
        <v>370</v>
      </c>
      <c r="H1963" s="0" t="s">
        <v>370</v>
      </c>
      <c r="I1963" s="0" t="s">
        <v>485</v>
      </c>
      <c r="J1963" s="0" t="s">
        <v>372</v>
      </c>
      <c r="K1963" s="0" t="s">
        <v>428</v>
      </c>
      <c r="L1963" s="0" t="str">
        <f aca="false">IF(H1963&gt;I1963,"ERRO","OK")</f>
        <v>OK</v>
      </c>
      <c r="M1963" s="0" t="str">
        <f aca="false">IF(H1963&gt;J1963,"ERRO","OK")</f>
        <v>OK</v>
      </c>
      <c r="N1963" s="0" t="str">
        <f aca="false">IF(I1963&lt;J1963,"ERRO","OK")</f>
        <v>OK</v>
      </c>
    </row>
    <row r="1964" customFormat="false" ht="14.25" hidden="false" customHeight="false" outlineLevel="0" collapsed="false">
      <c r="A1964" s="0" t="n">
        <v>87</v>
      </c>
      <c r="B1964" s="0" t="n">
        <v>2025</v>
      </c>
      <c r="C1964" s="3" t="n">
        <v>45674</v>
      </c>
      <c r="E1964" s="0" t="s">
        <v>29</v>
      </c>
      <c r="F1964" s="0" t="s">
        <v>30</v>
      </c>
      <c r="G1964" s="0" t="s">
        <v>370</v>
      </c>
      <c r="H1964" s="0" t="s">
        <v>369</v>
      </c>
      <c r="I1964" s="0" t="s">
        <v>372</v>
      </c>
      <c r="J1964" s="0" t="s">
        <v>491</v>
      </c>
      <c r="K1964" s="0" t="s">
        <v>370</v>
      </c>
      <c r="L1964" s="0" t="str">
        <f aca="false">IF(H1964&gt;I1964,"ERRO","OK")</f>
        <v>OK</v>
      </c>
      <c r="M1964" s="0" t="str">
        <f aca="false">IF(H1964&gt;J1964,"ERRO","OK")</f>
        <v>OK</v>
      </c>
      <c r="N1964" s="0" t="str">
        <f aca="false">IF(I1964&lt;J1964,"ERRO","OK")</f>
        <v>OK</v>
      </c>
    </row>
    <row r="1965" customFormat="false" ht="14.25" hidden="false" customHeight="false" outlineLevel="0" collapsed="false">
      <c r="A1965" s="0" t="n">
        <v>87</v>
      </c>
      <c r="B1965" s="0" t="n">
        <v>2025</v>
      </c>
      <c r="C1965" s="3" t="n">
        <v>45674</v>
      </c>
      <c r="E1965" s="0" t="s">
        <v>31</v>
      </c>
      <c r="F1965" s="0" t="s">
        <v>17</v>
      </c>
      <c r="H1965" s="0" t="s">
        <v>369</v>
      </c>
      <c r="I1965" s="0" t="s">
        <v>397</v>
      </c>
      <c r="J1965" s="0" t="s">
        <v>552</v>
      </c>
      <c r="K1965" s="0" t="s">
        <v>440</v>
      </c>
      <c r="L1965" s="0" t="str">
        <f aca="false">IF(H1965&gt;I1965,"ERRO","OK")</f>
        <v>OK</v>
      </c>
      <c r="M1965" s="0" t="str">
        <f aca="false">IF(H1965&gt;J1965,"ERRO","OK")</f>
        <v>OK</v>
      </c>
      <c r="N1965" s="0" t="str">
        <f aca="false">IF(I1965&lt;J1965,"ERRO","OK")</f>
        <v>OK</v>
      </c>
    </row>
    <row r="1966" customFormat="false" ht="14.25" hidden="false" customHeight="false" outlineLevel="0" collapsed="false">
      <c r="A1966" s="0" t="n">
        <v>87</v>
      </c>
      <c r="B1966" s="0" t="n">
        <v>2025</v>
      </c>
      <c r="C1966" s="3" t="n">
        <v>45674</v>
      </c>
      <c r="E1966" s="0" t="s">
        <v>32</v>
      </c>
      <c r="F1966" s="0" t="s">
        <v>17</v>
      </c>
      <c r="G1966" s="0" t="s">
        <v>375</v>
      </c>
      <c r="H1966" s="0" t="s">
        <v>369</v>
      </c>
      <c r="I1966" s="0" t="s">
        <v>442</v>
      </c>
      <c r="J1966" s="0" t="s">
        <v>553</v>
      </c>
      <c r="K1966" s="0" t="s">
        <v>375</v>
      </c>
      <c r="L1966" s="0" t="str">
        <f aca="false">IF(H1966&gt;I1966,"ERRO","OK")</f>
        <v>ERRO</v>
      </c>
      <c r="M1966" s="0" t="str">
        <f aca="false">IF(H1966&gt;J1966,"ERRO","OK")</f>
        <v>ERRO</v>
      </c>
      <c r="N1966" s="0" t="str">
        <f aca="false">IF(I1966&lt;J1966,"ERRO","OK")</f>
        <v>ERRO</v>
      </c>
    </row>
    <row r="1967" customFormat="false" ht="14.25" hidden="false" customHeight="false" outlineLevel="0" collapsed="false">
      <c r="A1967" s="0" t="n">
        <v>87</v>
      </c>
      <c r="B1967" s="0" t="n">
        <v>2025</v>
      </c>
      <c r="C1967" s="3" t="n">
        <v>45674</v>
      </c>
      <c r="E1967" s="0" t="s">
        <v>33</v>
      </c>
      <c r="F1967" s="0" t="s">
        <v>17</v>
      </c>
      <c r="G1967" s="0" t="s">
        <v>370</v>
      </c>
      <c r="H1967" s="0" t="s">
        <v>370</v>
      </c>
      <c r="I1967" s="0" t="s">
        <v>369</v>
      </c>
      <c r="J1967" s="0" t="s">
        <v>554</v>
      </c>
      <c r="K1967" s="0" t="s">
        <v>471</v>
      </c>
      <c r="L1967" s="0" t="str">
        <f aca="false">IF(H1967&gt;I1967,"ERRO","OK")</f>
        <v>ERRO</v>
      </c>
      <c r="M1967" s="0" t="str">
        <f aca="false">IF(H1967&gt;J1967,"ERRO","OK")</f>
        <v>ERRO</v>
      </c>
      <c r="N1967" s="0" t="str">
        <f aca="false">IF(I1967&lt;J1967,"ERRO","OK")</f>
        <v>ERRO</v>
      </c>
    </row>
    <row r="1968" customFormat="false" ht="14.25" hidden="false" customHeight="false" outlineLevel="0" collapsed="false">
      <c r="A1968" s="0" t="n">
        <v>87</v>
      </c>
      <c r="B1968" s="0" t="n">
        <v>2025</v>
      </c>
      <c r="C1968" s="3" t="n">
        <v>45674</v>
      </c>
      <c r="E1968" s="0" t="s">
        <v>35</v>
      </c>
      <c r="F1968" s="0" t="s">
        <v>36</v>
      </c>
      <c r="G1968" s="0" t="s">
        <v>390</v>
      </c>
      <c r="H1968" s="0" t="s">
        <v>473</v>
      </c>
      <c r="I1968" s="0" t="s">
        <v>390</v>
      </c>
      <c r="J1968" s="0" t="s">
        <v>494</v>
      </c>
      <c r="K1968" s="0" t="s">
        <v>390</v>
      </c>
      <c r="L1968" s="0" t="str">
        <f aca="false">IF(H1968&gt;I1968,"ERRO","OK")</f>
        <v>OK</v>
      </c>
      <c r="M1968" s="0" t="str">
        <f aca="false">IF(H1968&gt;J1968,"ERRO","OK")</f>
        <v>OK</v>
      </c>
      <c r="N1968" s="0" t="str">
        <f aca="false">IF(I1968&lt;J1968,"ERRO","OK")</f>
        <v>OK</v>
      </c>
    </row>
    <row r="1969" customFormat="false" ht="14.25" hidden="false" customHeight="false" outlineLevel="0" collapsed="false">
      <c r="A1969" s="0" t="n">
        <v>87</v>
      </c>
      <c r="B1969" s="0" t="n">
        <v>2025</v>
      </c>
      <c r="C1969" s="3" t="n">
        <v>45674</v>
      </c>
      <c r="E1969" s="0" t="s">
        <v>38</v>
      </c>
      <c r="F1969" s="0" t="s">
        <v>39</v>
      </c>
      <c r="G1969" s="0" t="s">
        <v>431</v>
      </c>
      <c r="H1969" s="0" t="s">
        <v>394</v>
      </c>
      <c r="I1969" s="0" t="s">
        <v>431</v>
      </c>
      <c r="J1969" s="0" t="s">
        <v>472</v>
      </c>
      <c r="K1969" s="0" t="s">
        <v>431</v>
      </c>
      <c r="L1969" s="0" t="str">
        <f aca="false">IF(H1969&gt;I1969,"ERRO","OK")</f>
        <v>OK</v>
      </c>
      <c r="M1969" s="0" t="str">
        <f aca="false">IF(H1969&gt;J1969,"ERRO","OK")</f>
        <v>OK</v>
      </c>
      <c r="N1969" s="0" t="str">
        <f aca="false">IF(I1969&lt;J1969,"ERRO","OK")</f>
        <v>OK</v>
      </c>
    </row>
    <row r="1970" customFormat="false" ht="14.25" hidden="false" customHeight="false" outlineLevel="0" collapsed="false">
      <c r="A1970" s="0" t="n">
        <v>87</v>
      </c>
      <c r="B1970" s="0" t="n">
        <v>2025</v>
      </c>
      <c r="C1970" s="3" t="n">
        <v>45674</v>
      </c>
      <c r="E1970" s="0" t="s">
        <v>40</v>
      </c>
      <c r="F1970" s="0" t="s">
        <v>39</v>
      </c>
      <c r="G1970" s="0" t="s">
        <v>431</v>
      </c>
      <c r="H1970" s="0" t="s">
        <v>394</v>
      </c>
      <c r="I1970" s="0" t="s">
        <v>374</v>
      </c>
      <c r="J1970" s="0" t="s">
        <v>431</v>
      </c>
      <c r="K1970" s="0" t="s">
        <v>431</v>
      </c>
      <c r="L1970" s="0" t="str">
        <f aca="false">IF(H1970&gt;I1970,"ERRO","OK")</f>
        <v>OK</v>
      </c>
      <c r="M1970" s="0" t="str">
        <f aca="false">IF(H1970&gt;J1970,"ERRO","OK")</f>
        <v>OK</v>
      </c>
      <c r="N1970" s="0" t="str">
        <f aca="false">IF(I1970&lt;J1970,"ERRO","OK")</f>
        <v>OK</v>
      </c>
    </row>
    <row r="1971" customFormat="false" ht="14.25" hidden="false" customHeight="false" outlineLevel="0" collapsed="false">
      <c r="A1971" s="0" t="n">
        <v>87</v>
      </c>
      <c r="B1971" s="0" t="n">
        <v>2025</v>
      </c>
      <c r="C1971" s="3" t="n">
        <v>45674</v>
      </c>
      <c r="E1971" s="0" t="s">
        <v>157</v>
      </c>
      <c r="F1971" s="0" t="s">
        <v>158</v>
      </c>
      <c r="H1971" s="0" t="s">
        <v>382</v>
      </c>
      <c r="I1971" s="0" t="s">
        <v>382</v>
      </c>
      <c r="J1971" s="0" t="s">
        <v>382</v>
      </c>
      <c r="K1971" s="0" t="s">
        <v>382</v>
      </c>
      <c r="L1971" s="0" t="str">
        <f aca="false">IF(H1971&gt;I1971,"ERRO","OK")</f>
        <v>OK</v>
      </c>
      <c r="M1971" s="0" t="str">
        <f aca="false">IF(H1971&gt;J1971,"ERRO","OK")</f>
        <v>OK</v>
      </c>
      <c r="N1971" s="0" t="str">
        <f aca="false">IF(I1971&lt;J1971,"ERRO","OK")</f>
        <v>OK</v>
      </c>
    </row>
    <row r="1972" customFormat="false" ht="14.25" hidden="false" customHeight="false" outlineLevel="0" collapsed="false">
      <c r="A1972" s="0" t="n">
        <v>87</v>
      </c>
      <c r="B1972" s="0" t="n">
        <v>2025</v>
      </c>
      <c r="C1972" s="3" t="n">
        <v>45674</v>
      </c>
      <c r="E1972" s="0" t="s">
        <v>43</v>
      </c>
      <c r="F1972" s="0" t="s">
        <v>44</v>
      </c>
      <c r="H1972" s="0" t="s">
        <v>382</v>
      </c>
      <c r="I1972" s="0" t="s">
        <v>417</v>
      </c>
      <c r="J1972" s="0" t="s">
        <v>398</v>
      </c>
      <c r="K1972" s="0" t="s">
        <v>398</v>
      </c>
      <c r="L1972" s="0" t="str">
        <f aca="false">IF(H1972&gt;I1972,"ERRO","OK")</f>
        <v>OK</v>
      </c>
      <c r="M1972" s="0" t="str">
        <f aca="false">IF(H1972&gt;J1972,"ERRO","OK")</f>
        <v>OK</v>
      </c>
      <c r="N1972" s="0" t="str">
        <f aca="false">IF(I1972&lt;J1972,"ERRO","OK")</f>
        <v>OK</v>
      </c>
    </row>
    <row r="1973" customFormat="false" ht="14.25" hidden="false" customHeight="false" outlineLevel="0" collapsed="false">
      <c r="A1973" s="0" t="n">
        <v>87</v>
      </c>
      <c r="B1973" s="0" t="n">
        <v>2025</v>
      </c>
      <c r="C1973" s="3" t="n">
        <v>45674</v>
      </c>
      <c r="E1973" s="0" t="s">
        <v>46</v>
      </c>
      <c r="F1973" s="0" t="s">
        <v>47</v>
      </c>
      <c r="H1973" s="0" t="s">
        <v>406</v>
      </c>
      <c r="I1973" s="0" t="s">
        <v>402</v>
      </c>
      <c r="J1973" s="0" t="s">
        <v>453</v>
      </c>
      <c r="K1973" s="0" t="s">
        <v>405</v>
      </c>
      <c r="L1973" s="0" t="str">
        <f aca="false">IF(H1973&gt;I1973,"ERRO","OK")</f>
        <v>ERRO</v>
      </c>
      <c r="M1973" s="0" t="str">
        <f aca="false">IF(H1973&gt;J1973,"ERRO","OK")</f>
        <v>ERRO</v>
      </c>
      <c r="N1973" s="0" t="str">
        <f aca="false">IF(I1973&lt;J1973,"ERRO","OK")</f>
        <v>ERRO</v>
      </c>
    </row>
    <row r="1974" customFormat="false" ht="14.25" hidden="false" customHeight="false" outlineLevel="0" collapsed="false">
      <c r="A1974" s="0" t="n">
        <v>87</v>
      </c>
      <c r="B1974" s="0" t="n">
        <v>2025</v>
      </c>
      <c r="C1974" s="3" t="n">
        <v>45674</v>
      </c>
      <c r="E1974" s="0" t="s">
        <v>48</v>
      </c>
      <c r="F1974" s="0" t="s">
        <v>49</v>
      </c>
      <c r="G1974" s="0" t="s">
        <v>405</v>
      </c>
      <c r="H1974" s="0" t="s">
        <v>405</v>
      </c>
      <c r="I1974" s="0" t="s">
        <v>405</v>
      </c>
      <c r="J1974" s="0" t="s">
        <v>405</v>
      </c>
      <c r="K1974" s="0" t="s">
        <v>405</v>
      </c>
      <c r="L1974" s="0" t="str">
        <f aca="false">IF(H1974&gt;I1974,"ERRO","OK")</f>
        <v>OK</v>
      </c>
      <c r="M1974" s="0" t="str">
        <f aca="false">IF(H1974&gt;J1974,"ERRO","OK")</f>
        <v>OK</v>
      </c>
      <c r="N1974" s="0" t="str">
        <f aca="false">IF(I1974&lt;J1974,"ERRO","OK")</f>
        <v>OK</v>
      </c>
    </row>
    <row r="1975" customFormat="false" ht="14.25" hidden="false" customHeight="false" outlineLevel="0" collapsed="false">
      <c r="A1975" s="0" t="n">
        <v>87</v>
      </c>
      <c r="B1975" s="0" t="n">
        <v>2025</v>
      </c>
      <c r="C1975" s="3" t="n">
        <v>45674</v>
      </c>
      <c r="E1975" s="0" t="s">
        <v>52</v>
      </c>
      <c r="F1975" s="0" t="s">
        <v>49</v>
      </c>
      <c r="L1975" s="0" t="str">
        <f aca="false">IF(H1975&gt;I1975,"ERRO","OK")</f>
        <v>OK</v>
      </c>
      <c r="M1975" s="0" t="str">
        <f aca="false">IF(H1975&gt;J1975,"ERRO","OK")</f>
        <v>OK</v>
      </c>
      <c r="N1975" s="0" t="str">
        <f aca="false">IF(I1975&lt;J1975,"ERRO","OK")</f>
        <v>OK</v>
      </c>
    </row>
    <row r="1976" customFormat="false" ht="14.25" hidden="false" customHeight="false" outlineLevel="0" collapsed="false">
      <c r="A1976" s="0" t="n">
        <v>87</v>
      </c>
      <c r="B1976" s="0" t="n">
        <v>2025</v>
      </c>
      <c r="C1976" s="3" t="n">
        <v>45674</v>
      </c>
      <c r="E1976" s="0" t="s">
        <v>53</v>
      </c>
      <c r="F1976" s="0" t="s">
        <v>54</v>
      </c>
      <c r="G1976" s="0" t="s">
        <v>406</v>
      </c>
      <c r="H1976" s="0" t="s">
        <v>406</v>
      </c>
      <c r="I1976" s="0" t="s">
        <v>382</v>
      </c>
      <c r="J1976" s="0" t="s">
        <v>542</v>
      </c>
      <c r="K1976" s="0" t="s">
        <v>406</v>
      </c>
      <c r="L1976" s="0" t="str">
        <f aca="false">IF(H1976&gt;I1976,"ERRO","OK")</f>
        <v>OK</v>
      </c>
      <c r="M1976" s="0" t="str">
        <f aca="false">IF(H1976&gt;J1976,"ERRO","OK")</f>
        <v>OK</v>
      </c>
      <c r="N1976" s="0" t="str">
        <f aca="false">IF(I1976&lt;J1976,"ERRO","OK")</f>
        <v>OK</v>
      </c>
    </row>
    <row r="1977" customFormat="false" ht="14.25" hidden="false" customHeight="false" outlineLevel="0" collapsed="false">
      <c r="A1977" s="0" t="n">
        <v>87</v>
      </c>
      <c r="B1977" s="0" t="n">
        <v>2025</v>
      </c>
      <c r="C1977" s="3" t="n">
        <v>45674</v>
      </c>
      <c r="E1977" s="0" t="s">
        <v>56</v>
      </c>
      <c r="F1977" s="0" t="s">
        <v>47</v>
      </c>
      <c r="H1977" s="0" t="s">
        <v>406</v>
      </c>
      <c r="I1977" s="0" t="s">
        <v>417</v>
      </c>
      <c r="J1977" s="0" t="s">
        <v>397</v>
      </c>
      <c r="K1977" s="0" t="s">
        <v>382</v>
      </c>
      <c r="L1977" s="0" t="str">
        <f aca="false">IF(H1977&gt;I1977,"ERRO","OK")</f>
        <v>OK</v>
      </c>
      <c r="M1977" s="0" t="str">
        <f aca="false">IF(H1977&gt;J1977,"ERRO","OK")</f>
        <v>OK</v>
      </c>
      <c r="N1977" s="0" t="str">
        <f aca="false">IF(I1977&lt;J1977,"ERRO","OK")</f>
        <v>OK</v>
      </c>
    </row>
    <row r="1978" customFormat="false" ht="14.25" hidden="false" customHeight="false" outlineLevel="0" collapsed="false">
      <c r="A1978" s="0" t="n">
        <v>87</v>
      </c>
      <c r="B1978" s="0" t="n">
        <v>2025</v>
      </c>
      <c r="C1978" s="3" t="n">
        <v>45674</v>
      </c>
      <c r="E1978" s="0" t="s">
        <v>57</v>
      </c>
      <c r="F1978" s="0" t="s">
        <v>47</v>
      </c>
      <c r="H1978" s="0" t="s">
        <v>398</v>
      </c>
      <c r="I1978" s="0" t="s">
        <v>427</v>
      </c>
      <c r="J1978" s="0" t="s">
        <v>417</v>
      </c>
      <c r="K1978" s="0" t="s">
        <v>417</v>
      </c>
      <c r="L1978" s="0" t="str">
        <f aca="false">IF(H1978&gt;I1978,"ERRO","OK")</f>
        <v>ERRO</v>
      </c>
      <c r="M1978" s="0" t="str">
        <f aca="false">IF(H1978&gt;J1978,"ERRO","OK")</f>
        <v>OK</v>
      </c>
      <c r="N1978" s="0" t="str">
        <f aca="false">IF(I1978&lt;J1978,"ERRO","OK")</f>
        <v>ERRO</v>
      </c>
    </row>
    <row r="1979" customFormat="false" ht="14.25" hidden="false" customHeight="false" outlineLevel="0" collapsed="false">
      <c r="A1979" s="0" t="n">
        <v>87</v>
      </c>
      <c r="B1979" s="0" t="n">
        <v>2025</v>
      </c>
      <c r="C1979" s="3" t="n">
        <v>45674</v>
      </c>
      <c r="E1979" s="0" t="s">
        <v>58</v>
      </c>
      <c r="F1979" s="0" t="s">
        <v>44</v>
      </c>
      <c r="G1979" s="0" t="s">
        <v>382</v>
      </c>
      <c r="H1979" s="0" t="s">
        <v>382</v>
      </c>
      <c r="I1979" s="0" t="s">
        <v>382</v>
      </c>
      <c r="J1979" s="0" t="s">
        <v>382</v>
      </c>
      <c r="K1979" s="0" t="s">
        <v>382</v>
      </c>
      <c r="L1979" s="0" t="str">
        <f aca="false">IF(H1979&gt;I1979,"ERRO","OK")</f>
        <v>OK</v>
      </c>
      <c r="M1979" s="0" t="str">
        <f aca="false">IF(H1979&gt;J1979,"ERRO","OK")</f>
        <v>OK</v>
      </c>
      <c r="N1979" s="0" t="str">
        <f aca="false">IF(I1979&lt;J1979,"ERRO","OK")</f>
        <v>OK</v>
      </c>
    </row>
    <row r="1980" customFormat="false" ht="14.25" hidden="false" customHeight="false" outlineLevel="0" collapsed="false">
      <c r="A1980" s="0" t="n">
        <v>87</v>
      </c>
      <c r="B1980" s="0" t="n">
        <v>2025</v>
      </c>
      <c r="C1980" s="3" t="n">
        <v>45674</v>
      </c>
      <c r="E1980" s="0" t="s">
        <v>60</v>
      </c>
      <c r="F1980" s="0" t="s">
        <v>47</v>
      </c>
      <c r="H1980" s="0" t="s">
        <v>397</v>
      </c>
      <c r="I1980" s="0" t="s">
        <v>397</v>
      </c>
      <c r="J1980" s="0" t="s">
        <v>397</v>
      </c>
      <c r="K1980" s="0" t="s">
        <v>397</v>
      </c>
      <c r="L1980" s="0" t="str">
        <f aca="false">IF(H1980&gt;I1980,"ERRO","OK")</f>
        <v>OK</v>
      </c>
      <c r="M1980" s="0" t="str">
        <f aca="false">IF(H1980&gt;J1980,"ERRO","OK")</f>
        <v>OK</v>
      </c>
      <c r="N1980" s="0" t="str">
        <f aca="false">IF(I1980&lt;J1980,"ERRO","OK")</f>
        <v>OK</v>
      </c>
    </row>
    <row r="1981" customFormat="false" ht="14.25" hidden="false" customHeight="false" outlineLevel="0" collapsed="false">
      <c r="A1981" s="0" t="n">
        <v>87</v>
      </c>
      <c r="B1981" s="0" t="n">
        <v>2025</v>
      </c>
      <c r="C1981" s="3" t="n">
        <v>45674</v>
      </c>
      <c r="E1981" s="0" t="s">
        <v>61</v>
      </c>
      <c r="F1981" s="0" t="s">
        <v>44</v>
      </c>
      <c r="H1981" s="0" t="s">
        <v>398</v>
      </c>
      <c r="I1981" s="0" t="s">
        <v>398</v>
      </c>
      <c r="J1981" s="0" t="s">
        <v>398</v>
      </c>
      <c r="K1981" s="0" t="s">
        <v>398</v>
      </c>
      <c r="L1981" s="0" t="str">
        <f aca="false">IF(H1981&gt;I1981,"ERRO","OK")</f>
        <v>OK</v>
      </c>
      <c r="M1981" s="0" t="str">
        <f aca="false">IF(H1981&gt;J1981,"ERRO","OK")</f>
        <v>OK</v>
      </c>
      <c r="N1981" s="0" t="str">
        <f aca="false">IF(I1981&lt;J1981,"ERRO","OK")</f>
        <v>OK</v>
      </c>
    </row>
    <row r="1982" customFormat="false" ht="14.25" hidden="false" customHeight="false" outlineLevel="0" collapsed="false">
      <c r="A1982" s="0" t="n">
        <v>87</v>
      </c>
      <c r="B1982" s="0" t="n">
        <v>2025</v>
      </c>
      <c r="C1982" s="3" t="n">
        <v>45674</v>
      </c>
      <c r="E1982" s="0" t="s">
        <v>62</v>
      </c>
      <c r="F1982" s="0" t="s">
        <v>44</v>
      </c>
      <c r="H1982" s="0" t="s">
        <v>497</v>
      </c>
      <c r="I1982" s="0" t="s">
        <v>413</v>
      </c>
      <c r="J1982" s="0" t="s">
        <v>555</v>
      </c>
      <c r="K1982" s="0" t="s">
        <v>427</v>
      </c>
      <c r="L1982" s="0" t="str">
        <f aca="false">IF(H1982&gt;I1982,"ERRO","OK")</f>
        <v>ERRO</v>
      </c>
      <c r="M1982" s="0" t="str">
        <f aca="false">IF(H1982&gt;J1982,"ERRO","OK")</f>
        <v>ERRO</v>
      </c>
      <c r="N1982" s="0" t="str">
        <f aca="false">IF(I1982&lt;J1982,"ERRO","OK")</f>
        <v>OK</v>
      </c>
    </row>
    <row r="1983" customFormat="false" ht="14.25" hidden="false" customHeight="false" outlineLevel="0" collapsed="false">
      <c r="A1983" s="0" t="n">
        <v>87</v>
      </c>
      <c r="B1983" s="0" t="n">
        <v>2025</v>
      </c>
      <c r="C1983" s="3" t="n">
        <v>45674</v>
      </c>
      <c r="E1983" s="0" t="s">
        <v>63</v>
      </c>
      <c r="F1983" s="0" t="s">
        <v>49</v>
      </c>
      <c r="H1983" s="0" t="s">
        <v>374</v>
      </c>
      <c r="I1983" s="0" t="s">
        <v>405</v>
      </c>
      <c r="J1983" s="0" t="s">
        <v>409</v>
      </c>
      <c r="K1983" s="0" t="s">
        <v>409</v>
      </c>
      <c r="L1983" s="0" t="str">
        <f aca="false">IF(H1983&gt;I1983,"ERRO","OK")</f>
        <v>OK</v>
      </c>
      <c r="M1983" s="0" t="str">
        <f aca="false">IF(H1983&gt;J1983,"ERRO","OK")</f>
        <v>OK</v>
      </c>
      <c r="N1983" s="0" t="str">
        <f aca="false">IF(I1983&lt;J1983,"ERRO","OK")</f>
        <v>OK</v>
      </c>
    </row>
    <row r="1984" customFormat="false" ht="14.25" hidden="false" customHeight="false" outlineLevel="0" collapsed="false">
      <c r="A1984" s="0" t="n">
        <v>87</v>
      </c>
      <c r="B1984" s="0" t="n">
        <v>2025</v>
      </c>
      <c r="C1984" s="3" t="n">
        <v>45674</v>
      </c>
      <c r="E1984" s="0" t="s">
        <v>64</v>
      </c>
      <c r="F1984" s="0" t="s">
        <v>65</v>
      </c>
      <c r="G1984" s="0" t="s">
        <v>464</v>
      </c>
      <c r="H1984" s="0" t="s">
        <v>415</v>
      </c>
      <c r="I1984" s="0" t="s">
        <v>464</v>
      </c>
      <c r="J1984" s="0" t="s">
        <v>426</v>
      </c>
      <c r="K1984" s="0" t="s">
        <v>464</v>
      </c>
      <c r="L1984" s="0" t="str">
        <f aca="false">IF(H1984&gt;I1984,"ERRO","OK")</f>
        <v>OK</v>
      </c>
      <c r="M1984" s="0" t="str">
        <f aca="false">IF(H1984&gt;J1984,"ERRO","OK")</f>
        <v>OK</v>
      </c>
      <c r="N1984" s="0" t="str">
        <f aca="false">IF(I1984&lt;J1984,"ERRO","OK")</f>
        <v>OK</v>
      </c>
    </row>
    <row r="1985" customFormat="false" ht="14.25" hidden="false" customHeight="false" outlineLevel="0" collapsed="false">
      <c r="A1985" s="0" t="n">
        <v>87</v>
      </c>
      <c r="B1985" s="0" t="n">
        <v>2025</v>
      </c>
      <c r="C1985" s="3" t="n">
        <v>45674</v>
      </c>
      <c r="E1985" s="0" t="s">
        <v>67</v>
      </c>
      <c r="F1985" s="0" t="s">
        <v>44</v>
      </c>
      <c r="G1985" s="0" t="s">
        <v>370</v>
      </c>
      <c r="H1985" s="0" t="s">
        <v>370</v>
      </c>
      <c r="I1985" s="0" t="s">
        <v>398</v>
      </c>
      <c r="J1985" s="0" t="s">
        <v>542</v>
      </c>
      <c r="K1985" s="0" t="s">
        <v>370</v>
      </c>
      <c r="L1985" s="0" t="str">
        <f aca="false">IF(H1985&gt;I1985,"ERRO","OK")</f>
        <v>OK</v>
      </c>
      <c r="M1985" s="0" t="str">
        <f aca="false">IF(H1985&gt;J1985,"ERRO","OK")</f>
        <v>OK</v>
      </c>
      <c r="N1985" s="0" t="str">
        <f aca="false">IF(I1985&lt;J1985,"ERRO","OK")</f>
        <v>OK</v>
      </c>
    </row>
    <row r="1986" customFormat="false" ht="14.25" hidden="false" customHeight="false" outlineLevel="0" collapsed="false">
      <c r="A1986" s="0" t="n">
        <v>87</v>
      </c>
      <c r="B1986" s="0" t="n">
        <v>2025</v>
      </c>
      <c r="C1986" s="3" t="n">
        <v>45674</v>
      </c>
      <c r="E1986" s="0" t="s">
        <v>68</v>
      </c>
      <c r="F1986" s="0" t="s">
        <v>44</v>
      </c>
      <c r="H1986" s="0" t="s">
        <v>423</v>
      </c>
      <c r="I1986" s="0" t="s">
        <v>417</v>
      </c>
      <c r="J1986" s="0" t="s">
        <v>513</v>
      </c>
      <c r="K1986" s="0" t="s">
        <v>427</v>
      </c>
      <c r="L1986" s="0" t="str">
        <f aca="false">IF(H1986&gt;I1986,"ERRO","OK")</f>
        <v>OK</v>
      </c>
      <c r="M1986" s="0" t="str">
        <f aca="false">IF(H1986&gt;J1986,"ERRO","OK")</f>
        <v>ERRO</v>
      </c>
      <c r="N1986" s="0" t="str">
        <f aca="false">IF(I1986&lt;J1986,"ERRO","OK")</f>
        <v>OK</v>
      </c>
    </row>
    <row r="1987" customFormat="false" ht="14.25" hidden="false" customHeight="false" outlineLevel="0" collapsed="false">
      <c r="A1987" s="0" t="n">
        <v>87</v>
      </c>
      <c r="B1987" s="0" t="n">
        <v>2025</v>
      </c>
      <c r="C1987" s="3" t="n">
        <v>45674</v>
      </c>
      <c r="E1987" s="20" t="s">
        <v>70</v>
      </c>
      <c r="F1987" s="21" t="s">
        <v>49</v>
      </c>
      <c r="L1987" s="0" t="str">
        <f aca="false">IF(H1987&gt;I1987,"ERRO","OK")</f>
        <v>OK</v>
      </c>
      <c r="M1987" s="0" t="str">
        <f aca="false">IF(H1987&gt;J1987,"ERRO","OK")</f>
        <v>OK</v>
      </c>
      <c r="N1987" s="0" t="str">
        <f aca="false">IF(I1987&lt;J1987,"ERRO","OK")</f>
        <v>OK</v>
      </c>
    </row>
    <row r="1988" customFormat="false" ht="14.25" hidden="false" customHeight="false" outlineLevel="0" collapsed="false">
      <c r="A1988" s="0" t="n">
        <v>87</v>
      </c>
      <c r="B1988" s="0" t="n">
        <v>2025</v>
      </c>
      <c r="C1988" s="3" t="n">
        <v>45674</v>
      </c>
      <c r="E1988" s="20" t="s">
        <v>71</v>
      </c>
      <c r="F1988" s="21" t="s">
        <v>49</v>
      </c>
      <c r="L1988" s="0" t="str">
        <f aca="false">IF(H1988&gt;I1988,"ERRO","OK")</f>
        <v>OK</v>
      </c>
      <c r="M1988" s="0" t="str">
        <f aca="false">IF(H1988&gt;J1988,"ERRO","OK")</f>
        <v>OK</v>
      </c>
      <c r="N1988" s="0" t="str">
        <f aca="false">IF(I1988&lt;J1988,"ERRO","OK")</f>
        <v>OK</v>
      </c>
    </row>
    <row r="1989" customFormat="false" ht="14.25" hidden="false" customHeight="false" outlineLevel="0" collapsed="false">
      <c r="A1989" s="0" t="n">
        <v>87</v>
      </c>
      <c r="B1989" s="0" t="n">
        <v>2025</v>
      </c>
      <c r="C1989" s="3" t="n">
        <v>45674</v>
      </c>
      <c r="E1989" s="20" t="s">
        <v>72</v>
      </c>
      <c r="F1989" s="21" t="s">
        <v>49</v>
      </c>
      <c r="L1989" s="0" t="str">
        <f aca="false">IF(H1989&gt;I1989,"ERRO","OK")</f>
        <v>OK</v>
      </c>
      <c r="M1989" s="0" t="str">
        <f aca="false">IF(H1989&gt;J1989,"ERRO","OK")</f>
        <v>OK</v>
      </c>
      <c r="N1989" s="0" t="str">
        <f aca="false">IF(I1989&lt;J1989,"ERRO","OK")</f>
        <v>OK</v>
      </c>
    </row>
    <row r="1990" customFormat="false" ht="14.25" hidden="false" customHeight="false" outlineLevel="0" collapsed="false">
      <c r="A1990" s="0" t="n">
        <v>87</v>
      </c>
      <c r="B1990" s="0" t="n">
        <v>2025</v>
      </c>
      <c r="C1990" s="3" t="n">
        <v>45674</v>
      </c>
      <c r="E1990" s="20" t="s">
        <v>73</v>
      </c>
      <c r="F1990" s="21" t="s">
        <v>49</v>
      </c>
      <c r="L1990" s="0" t="str">
        <f aca="false">IF(H1990&gt;I1990,"ERRO","OK")</f>
        <v>OK</v>
      </c>
      <c r="M1990" s="0" t="str">
        <f aca="false">IF(H1990&gt;J1990,"ERRO","OK")</f>
        <v>OK</v>
      </c>
      <c r="N1990" s="0" t="str">
        <f aca="false">IF(I1990&lt;J1990,"ERRO","OK")</f>
        <v>OK</v>
      </c>
    </row>
    <row r="1991" customFormat="false" ht="14.25" hidden="false" customHeight="false" outlineLevel="0" collapsed="false">
      <c r="A1991" s="0" t="n">
        <v>87</v>
      </c>
      <c r="B1991" s="0" t="n">
        <v>2025</v>
      </c>
      <c r="C1991" s="3" t="n">
        <v>45674</v>
      </c>
      <c r="E1991" s="20" t="s">
        <v>74</v>
      </c>
      <c r="F1991" s="21" t="s">
        <v>75</v>
      </c>
      <c r="L1991" s="0" t="str">
        <f aca="false">IF(H1991&gt;I1991,"ERRO","OK")</f>
        <v>OK</v>
      </c>
      <c r="M1991" s="0" t="str">
        <f aca="false">IF(H1991&gt;J1991,"ERRO","OK")</f>
        <v>OK</v>
      </c>
      <c r="N1991" s="0" t="str">
        <f aca="false">IF(I1991&lt;J1991,"ERRO","OK")</f>
        <v>OK</v>
      </c>
    </row>
    <row r="1992" customFormat="false" ht="14.25" hidden="false" customHeight="false" outlineLevel="0" collapsed="false">
      <c r="A1992" s="0" t="n">
        <v>88</v>
      </c>
      <c r="B1992" s="0" t="n">
        <v>2025</v>
      </c>
      <c r="C1992" s="3" t="n">
        <v>45681</v>
      </c>
      <c r="E1992" s="20" t="s">
        <v>16</v>
      </c>
      <c r="F1992" s="21" t="s">
        <v>17</v>
      </c>
      <c r="G1992" s="21"/>
      <c r="H1992" s="22" t="n">
        <v>36</v>
      </c>
      <c r="I1992" s="22" t="n">
        <v>72</v>
      </c>
      <c r="J1992" s="22" t="n">
        <v>54</v>
      </c>
      <c r="K1992" s="22" t="n">
        <v>54</v>
      </c>
      <c r="L1992" s="0" t="str">
        <f aca="false">IF(H1992&gt;I1992,"ERRO","OK")</f>
        <v>OK</v>
      </c>
      <c r="M1992" s="0" t="str">
        <f aca="false">IF(H1992&gt;J1992,"ERRO","OK")</f>
        <v>OK</v>
      </c>
      <c r="N1992" s="0" t="str">
        <f aca="false">IF(I1992&lt;J1992,"ERRO","OK")</f>
        <v>OK</v>
      </c>
    </row>
    <row r="1993" customFormat="false" ht="14.25" hidden="false" customHeight="false" outlineLevel="0" collapsed="false">
      <c r="A1993" s="0" t="n">
        <v>88</v>
      </c>
      <c r="B1993" s="0" t="n">
        <v>2025</v>
      </c>
      <c r="C1993" s="3" t="n">
        <v>45681</v>
      </c>
      <c r="E1993" s="20" t="s">
        <v>18</v>
      </c>
      <c r="F1993" s="21" t="s">
        <v>17</v>
      </c>
      <c r="G1993" s="22" t="n">
        <v>96</v>
      </c>
      <c r="H1993" s="22" t="n">
        <v>54</v>
      </c>
      <c r="I1993" s="22" t="n">
        <v>96</v>
      </c>
      <c r="J1993" s="22" t="s">
        <v>172</v>
      </c>
      <c r="K1993" s="22" t="n">
        <v>90</v>
      </c>
      <c r="L1993" s="0" t="str">
        <f aca="false">IF(H1993&gt;I1993,"ERRO","OK")</f>
        <v>OK</v>
      </c>
      <c r="M1993" s="0" t="str">
        <f aca="false">IF(H1993&gt;J1993,"ERRO","OK")</f>
        <v>OK</v>
      </c>
      <c r="N1993" s="0" t="str">
        <f aca="false">IF(I1993&lt;J1993,"ERRO","OK")</f>
        <v>ERRO</v>
      </c>
    </row>
    <row r="1994" customFormat="false" ht="14.25" hidden="false" customHeight="false" outlineLevel="0" collapsed="false">
      <c r="A1994" s="0" t="n">
        <v>88</v>
      </c>
      <c r="B1994" s="0" t="n">
        <v>2025</v>
      </c>
      <c r="C1994" s="3" t="n">
        <v>45681</v>
      </c>
      <c r="E1994" s="20" t="s">
        <v>19</v>
      </c>
      <c r="F1994" s="21" t="s">
        <v>17</v>
      </c>
      <c r="G1994" s="21"/>
      <c r="H1994" s="22" t="n">
        <v>40</v>
      </c>
      <c r="I1994" s="22" t="n">
        <v>60</v>
      </c>
      <c r="J1994" s="22" t="s">
        <v>529</v>
      </c>
      <c r="K1994" s="22" t="s">
        <v>178</v>
      </c>
      <c r="L1994" s="0" t="str">
        <f aca="false">IF(H1994&gt;I1994,"ERRO","OK")</f>
        <v>OK</v>
      </c>
      <c r="M1994" s="0" t="str">
        <f aca="false">IF(H1994&gt;J1994,"ERRO","OK")</f>
        <v>OK</v>
      </c>
      <c r="N1994" s="0" t="str">
        <f aca="false">IF(I1994&lt;J1994,"ERRO","OK")</f>
        <v>ERRO</v>
      </c>
    </row>
    <row r="1995" customFormat="false" ht="14.25" hidden="false" customHeight="false" outlineLevel="0" collapsed="false">
      <c r="A1995" s="0" t="n">
        <v>88</v>
      </c>
      <c r="B1995" s="0" t="n">
        <v>2025</v>
      </c>
      <c r="C1995" s="3" t="n">
        <v>45681</v>
      </c>
      <c r="E1995" s="20" t="s">
        <v>20</v>
      </c>
      <c r="F1995" s="21" t="s">
        <v>17</v>
      </c>
      <c r="G1995" s="22" t="n">
        <v>30</v>
      </c>
      <c r="H1995" s="22" t="n">
        <v>25</v>
      </c>
      <c r="I1995" s="22" t="n">
        <v>50</v>
      </c>
      <c r="J1995" s="22" t="s">
        <v>217</v>
      </c>
      <c r="K1995" s="22" t="n">
        <v>30</v>
      </c>
      <c r="L1995" s="0" t="str">
        <f aca="false">IF(H1995&gt;I1995,"ERRO","OK")</f>
        <v>OK</v>
      </c>
      <c r="M1995" s="0" t="str">
        <f aca="false">IF(H1995&gt;J1995,"ERRO","OK")</f>
        <v>OK</v>
      </c>
      <c r="N1995" s="0" t="str">
        <f aca="false">IF(I1995&lt;J1995,"ERRO","OK")</f>
        <v>ERRO</v>
      </c>
    </row>
    <row r="1996" customFormat="false" ht="14.25" hidden="false" customHeight="false" outlineLevel="0" collapsed="false">
      <c r="A1996" s="0" t="n">
        <v>88</v>
      </c>
      <c r="B1996" s="0" t="n">
        <v>2025</v>
      </c>
      <c r="C1996" s="3" t="n">
        <v>45681</v>
      </c>
      <c r="E1996" s="20" t="s">
        <v>21</v>
      </c>
      <c r="F1996" s="21" t="s">
        <v>17</v>
      </c>
      <c r="G1996" s="22" t="n">
        <v>30</v>
      </c>
      <c r="H1996" s="22" t="n">
        <v>25</v>
      </c>
      <c r="I1996" s="22" t="n">
        <v>50</v>
      </c>
      <c r="J1996" s="22" t="s">
        <v>217</v>
      </c>
      <c r="K1996" s="22" t="n">
        <v>30</v>
      </c>
      <c r="L1996" s="0" t="str">
        <f aca="false">IF(H1996&gt;I1996,"ERRO","OK")</f>
        <v>OK</v>
      </c>
      <c r="M1996" s="0" t="str">
        <f aca="false">IF(H1996&gt;J1996,"ERRO","OK")</f>
        <v>OK</v>
      </c>
      <c r="N1996" s="0" t="str">
        <f aca="false">IF(I1996&lt;J1996,"ERRO","OK")</f>
        <v>ERRO</v>
      </c>
    </row>
    <row r="1997" customFormat="false" ht="14.25" hidden="false" customHeight="false" outlineLevel="0" collapsed="false">
      <c r="A1997" s="0" t="n">
        <v>88</v>
      </c>
      <c r="B1997" s="0" t="n">
        <v>2025</v>
      </c>
      <c r="C1997" s="3" t="n">
        <v>45681</v>
      </c>
      <c r="E1997" s="20" t="s">
        <v>22</v>
      </c>
      <c r="F1997" s="21" t="s">
        <v>17</v>
      </c>
      <c r="G1997" s="22" t="n">
        <v>60</v>
      </c>
      <c r="H1997" s="22" t="n">
        <v>60</v>
      </c>
      <c r="I1997" s="22" t="n">
        <v>120</v>
      </c>
      <c r="J1997" s="22" t="s">
        <v>530</v>
      </c>
      <c r="K1997" s="22" t="n">
        <v>63</v>
      </c>
      <c r="L1997" s="0" t="str">
        <f aca="false">IF(H1997&gt;I1997,"ERRO","OK")</f>
        <v>OK</v>
      </c>
      <c r="M1997" s="0" t="str">
        <f aca="false">IF(H1997&gt;J1997,"ERRO","OK")</f>
        <v>OK</v>
      </c>
      <c r="N1997" s="0" t="str">
        <f aca="false">IF(I1997&lt;J1997,"ERRO","OK")</f>
        <v>ERRO</v>
      </c>
    </row>
    <row r="1998" customFormat="false" ht="14.25" hidden="false" customHeight="false" outlineLevel="0" collapsed="false">
      <c r="A1998" s="0" t="n">
        <v>88</v>
      </c>
      <c r="B1998" s="0" t="n">
        <v>2025</v>
      </c>
      <c r="C1998" s="3" t="n">
        <v>45681</v>
      </c>
      <c r="E1998" s="20" t="s">
        <v>23</v>
      </c>
      <c r="F1998" s="21" t="s">
        <v>17</v>
      </c>
      <c r="G1998" s="22" t="n">
        <v>84</v>
      </c>
      <c r="H1998" s="22" t="n">
        <v>78</v>
      </c>
      <c r="I1998" s="22" t="n">
        <v>84</v>
      </c>
      <c r="J1998" s="22" t="n">
        <v>81</v>
      </c>
      <c r="K1998" s="22" t="n">
        <v>81</v>
      </c>
      <c r="L1998" s="0" t="str">
        <f aca="false">IF(H1998&gt;I1998,"ERRO","OK")</f>
        <v>OK</v>
      </c>
      <c r="M1998" s="0" t="str">
        <f aca="false">IF(H1998&gt;J1998,"ERRO","OK")</f>
        <v>OK</v>
      </c>
      <c r="N1998" s="0" t="str">
        <f aca="false">IF(I1998&lt;J1998,"ERRO","OK")</f>
        <v>OK</v>
      </c>
    </row>
    <row r="1999" customFormat="false" ht="14.25" hidden="false" customHeight="false" outlineLevel="0" collapsed="false">
      <c r="A1999" s="0" t="n">
        <v>88</v>
      </c>
      <c r="B1999" s="0" t="n">
        <v>2025</v>
      </c>
      <c r="C1999" s="3" t="n">
        <v>45681</v>
      </c>
      <c r="E1999" s="20" t="s">
        <v>24</v>
      </c>
      <c r="F1999" s="21" t="s">
        <v>17</v>
      </c>
      <c r="G1999" s="22" t="n">
        <v>84</v>
      </c>
      <c r="H1999" s="22" t="n">
        <v>72</v>
      </c>
      <c r="I1999" s="22" t="n">
        <v>96</v>
      </c>
      <c r="J1999" s="22" t="n">
        <v>84</v>
      </c>
      <c r="K1999" s="22" t="n">
        <v>84</v>
      </c>
      <c r="L1999" s="0" t="str">
        <f aca="false">IF(H1999&gt;I1999,"ERRO","OK")</f>
        <v>OK</v>
      </c>
      <c r="M1999" s="0" t="str">
        <f aca="false">IF(H1999&gt;J1999,"ERRO","OK")</f>
        <v>OK</v>
      </c>
      <c r="N1999" s="0" t="str">
        <f aca="false">IF(I1999&lt;J1999,"ERRO","OK")</f>
        <v>OK</v>
      </c>
    </row>
    <row r="2000" customFormat="false" ht="14.25" hidden="false" customHeight="false" outlineLevel="0" collapsed="false">
      <c r="A2000" s="0" t="n">
        <v>88</v>
      </c>
      <c r="B2000" s="0" t="n">
        <v>2025</v>
      </c>
      <c r="C2000" s="3" t="n">
        <v>45681</v>
      </c>
      <c r="E2000" s="20" t="s">
        <v>25</v>
      </c>
      <c r="F2000" s="21" t="s">
        <v>17</v>
      </c>
      <c r="G2000" s="22" t="n">
        <v>24</v>
      </c>
      <c r="H2000" s="22" t="n">
        <v>24</v>
      </c>
      <c r="I2000" s="22" t="n">
        <v>30</v>
      </c>
      <c r="J2000" s="22" t="s">
        <v>280</v>
      </c>
      <c r="K2000" s="22" t="n">
        <v>24</v>
      </c>
      <c r="L2000" s="0" t="str">
        <f aca="false">IF(H2000&gt;I2000,"ERRO","OK")</f>
        <v>OK</v>
      </c>
      <c r="M2000" s="0" t="str">
        <f aca="false">IF(H2000&gt;J2000,"ERRO","OK")</f>
        <v>OK</v>
      </c>
      <c r="N2000" s="0" t="str">
        <f aca="false">IF(I2000&lt;J2000,"ERRO","OK")</f>
        <v>ERRO</v>
      </c>
    </row>
    <row r="2001" customFormat="false" ht="14.25" hidden="false" customHeight="false" outlineLevel="0" collapsed="false">
      <c r="A2001" s="0" t="n">
        <v>88</v>
      </c>
      <c r="B2001" s="0" t="n">
        <v>2025</v>
      </c>
      <c r="C2001" s="3" t="n">
        <v>45681</v>
      </c>
      <c r="E2001" s="20" t="s">
        <v>77</v>
      </c>
      <c r="F2001" s="21" t="s">
        <v>17</v>
      </c>
      <c r="G2001" s="22" t="n">
        <v>96</v>
      </c>
      <c r="H2001" s="22" t="n">
        <v>72</v>
      </c>
      <c r="I2001" s="22" t="n">
        <v>96</v>
      </c>
      <c r="J2001" s="22" t="n">
        <v>87</v>
      </c>
      <c r="K2001" s="22" t="n">
        <v>90</v>
      </c>
      <c r="L2001" s="0" t="str">
        <f aca="false">IF(H2001&gt;I2001,"ERRO","OK")</f>
        <v>OK</v>
      </c>
      <c r="M2001" s="0" t="str">
        <f aca="false">IF(H2001&gt;J2001,"ERRO","OK")</f>
        <v>OK</v>
      </c>
      <c r="N2001" s="0" t="str">
        <f aca="false">IF(I2001&lt;J2001,"ERRO","OK")</f>
        <v>OK</v>
      </c>
    </row>
    <row r="2002" customFormat="false" ht="14.25" hidden="false" customHeight="false" outlineLevel="0" collapsed="false">
      <c r="A2002" s="0" t="n">
        <v>88</v>
      </c>
      <c r="B2002" s="0" t="n">
        <v>2025</v>
      </c>
      <c r="C2002" s="3" t="n">
        <v>45681</v>
      </c>
      <c r="E2002" s="20" t="s">
        <v>27</v>
      </c>
      <c r="F2002" s="21" t="s">
        <v>17</v>
      </c>
      <c r="G2002" s="22" t="n">
        <v>30</v>
      </c>
      <c r="H2002" s="22" t="n">
        <v>25</v>
      </c>
      <c r="I2002" s="22" t="n">
        <v>36</v>
      </c>
      <c r="J2002" s="22" t="s">
        <v>341</v>
      </c>
      <c r="K2002" s="22" t="n">
        <v>30</v>
      </c>
      <c r="L2002" s="0" t="str">
        <f aca="false">IF(H2002&gt;I2002,"ERRO","OK")</f>
        <v>OK</v>
      </c>
      <c r="M2002" s="0" t="str">
        <f aca="false">IF(H2002&gt;J2002,"ERRO","OK")</f>
        <v>OK</v>
      </c>
      <c r="N2002" s="0" t="str">
        <f aca="false">IF(I2002&lt;J2002,"ERRO","OK")</f>
        <v>ERRO</v>
      </c>
    </row>
    <row r="2003" customFormat="false" ht="14.25" hidden="false" customHeight="false" outlineLevel="0" collapsed="false">
      <c r="A2003" s="0" t="n">
        <v>88</v>
      </c>
      <c r="B2003" s="0" t="n">
        <v>2025</v>
      </c>
      <c r="C2003" s="3" t="n">
        <v>45681</v>
      </c>
      <c r="E2003" s="20" t="s">
        <v>28</v>
      </c>
      <c r="F2003" s="21" t="s">
        <v>17</v>
      </c>
      <c r="G2003" s="22" t="n">
        <v>72</v>
      </c>
      <c r="H2003" s="22" t="n">
        <v>60</v>
      </c>
      <c r="I2003" s="22" t="n">
        <v>84</v>
      </c>
      <c r="J2003" s="22" t="n">
        <v>72</v>
      </c>
      <c r="K2003" s="22" t="n">
        <v>72</v>
      </c>
      <c r="L2003" s="0" t="str">
        <f aca="false">IF(H2003&gt;I2003,"ERRO","OK")</f>
        <v>OK</v>
      </c>
      <c r="M2003" s="0" t="str">
        <f aca="false">IF(H2003&gt;J2003,"ERRO","OK")</f>
        <v>OK</v>
      </c>
      <c r="N2003" s="0" t="str">
        <f aca="false">IF(I2003&lt;J2003,"ERRO","OK")</f>
        <v>OK</v>
      </c>
    </row>
    <row r="2004" customFormat="false" ht="14.25" hidden="false" customHeight="false" outlineLevel="0" collapsed="false">
      <c r="A2004" s="0" t="n">
        <v>88</v>
      </c>
      <c r="B2004" s="0" t="n">
        <v>2025</v>
      </c>
      <c r="C2004" s="3" t="n">
        <v>45681</v>
      </c>
      <c r="E2004" s="20" t="s">
        <v>29</v>
      </c>
      <c r="F2004" s="21" t="s">
        <v>30</v>
      </c>
      <c r="G2004" s="22" t="n">
        <v>72</v>
      </c>
      <c r="H2004" s="22" t="n">
        <v>60</v>
      </c>
      <c r="I2004" s="22" t="n">
        <v>96</v>
      </c>
      <c r="J2004" s="22" t="n">
        <v>75</v>
      </c>
      <c r="K2004" s="22" t="n">
        <v>72</v>
      </c>
      <c r="L2004" s="0" t="str">
        <f aca="false">IF(H2004&gt;I2004,"ERRO","OK")</f>
        <v>OK</v>
      </c>
      <c r="M2004" s="0" t="str">
        <f aca="false">IF(H2004&gt;J2004,"ERRO","OK")</f>
        <v>OK</v>
      </c>
      <c r="N2004" s="0" t="str">
        <f aca="false">IF(I2004&lt;J2004,"ERRO","OK")</f>
        <v>OK</v>
      </c>
    </row>
    <row r="2005" customFormat="false" ht="14.25" hidden="false" customHeight="false" outlineLevel="0" collapsed="false">
      <c r="A2005" s="0" t="n">
        <v>88</v>
      </c>
      <c r="B2005" s="0" t="n">
        <v>2025</v>
      </c>
      <c r="C2005" s="3" t="n">
        <v>45681</v>
      </c>
      <c r="E2005" s="20" t="s">
        <v>31</v>
      </c>
      <c r="F2005" s="21" t="s">
        <v>17</v>
      </c>
      <c r="G2005" s="22" t="n">
        <v>60</v>
      </c>
      <c r="H2005" s="22" t="n">
        <v>54</v>
      </c>
      <c r="I2005" s="22" t="n">
        <v>72</v>
      </c>
      <c r="J2005" s="22" t="s">
        <v>145</v>
      </c>
      <c r="K2005" s="22" t="n">
        <v>60</v>
      </c>
      <c r="L2005" s="0" t="str">
        <f aca="false">IF(H2005&gt;I2005,"ERRO","OK")</f>
        <v>OK</v>
      </c>
      <c r="M2005" s="0" t="str">
        <f aca="false">IF(H2005&gt;J2005,"ERRO","OK")</f>
        <v>OK</v>
      </c>
      <c r="N2005" s="0" t="str">
        <f aca="false">IF(I2005&lt;J2005,"ERRO","OK")</f>
        <v>ERRO</v>
      </c>
    </row>
    <row r="2006" customFormat="false" ht="14.25" hidden="false" customHeight="false" outlineLevel="0" collapsed="false">
      <c r="A2006" s="0" t="n">
        <v>88</v>
      </c>
      <c r="B2006" s="0" t="n">
        <v>2025</v>
      </c>
      <c r="C2006" s="3" t="n">
        <v>45681</v>
      </c>
      <c r="E2006" s="20" t="s">
        <v>32</v>
      </c>
      <c r="F2006" s="21" t="s">
        <v>17</v>
      </c>
      <c r="G2006" s="22" t="n">
        <v>48</v>
      </c>
      <c r="H2006" s="22" t="n">
        <v>36</v>
      </c>
      <c r="I2006" s="22" t="n">
        <v>48</v>
      </c>
      <c r="J2006" s="22" t="n">
        <v>42</v>
      </c>
      <c r="K2006" s="22" t="n">
        <v>42</v>
      </c>
      <c r="L2006" s="0" t="str">
        <f aca="false">IF(H2006&gt;I2006,"ERRO","OK")</f>
        <v>OK</v>
      </c>
      <c r="M2006" s="0" t="str">
        <f aca="false">IF(H2006&gt;J2006,"ERRO","OK")</f>
        <v>OK</v>
      </c>
      <c r="N2006" s="0" t="str">
        <f aca="false">IF(I2006&lt;J2006,"ERRO","OK")</f>
        <v>OK</v>
      </c>
    </row>
    <row r="2007" customFormat="false" ht="14.25" hidden="false" customHeight="false" outlineLevel="0" collapsed="false">
      <c r="A2007" s="0" t="n">
        <v>88</v>
      </c>
      <c r="B2007" s="0" t="n">
        <v>2025</v>
      </c>
      <c r="C2007" s="3" t="n">
        <v>45681</v>
      </c>
      <c r="E2007" s="20" t="s">
        <v>33</v>
      </c>
      <c r="F2007" s="21" t="s">
        <v>17</v>
      </c>
      <c r="G2007" s="22" t="n">
        <v>54</v>
      </c>
      <c r="H2007" s="22" t="n">
        <v>48</v>
      </c>
      <c r="I2007" s="22" t="n">
        <v>60</v>
      </c>
      <c r="J2007" s="22" t="n">
        <v>54</v>
      </c>
      <c r="K2007" s="22" t="n">
        <v>54</v>
      </c>
      <c r="L2007" s="0" t="str">
        <f aca="false">IF(H2007&gt;I2007,"ERRO","OK")</f>
        <v>OK</v>
      </c>
      <c r="M2007" s="0" t="str">
        <f aca="false">IF(H2007&gt;J2007,"ERRO","OK")</f>
        <v>OK</v>
      </c>
      <c r="N2007" s="0" t="str">
        <f aca="false">IF(I2007&lt;J2007,"ERRO","OK")</f>
        <v>OK</v>
      </c>
    </row>
    <row r="2008" customFormat="false" ht="14.25" hidden="false" customHeight="false" outlineLevel="0" collapsed="false">
      <c r="A2008" s="0" t="n">
        <v>88</v>
      </c>
      <c r="B2008" s="0" t="n">
        <v>2025</v>
      </c>
      <c r="C2008" s="3" t="n">
        <v>45681</v>
      </c>
      <c r="E2008" s="20" t="s">
        <v>35</v>
      </c>
      <c r="F2008" s="21" t="s">
        <v>36</v>
      </c>
      <c r="G2008" s="22" t="n">
        <v>5</v>
      </c>
      <c r="H2008" s="22" t="n">
        <v>5</v>
      </c>
      <c r="I2008" s="22" t="n">
        <v>5</v>
      </c>
      <c r="J2008" s="22" t="n">
        <v>5</v>
      </c>
      <c r="K2008" s="22" t="n">
        <v>5</v>
      </c>
      <c r="L2008" s="0" t="str">
        <f aca="false">IF(H2008&gt;I2008,"ERRO","OK")</f>
        <v>OK</v>
      </c>
      <c r="M2008" s="0" t="str">
        <f aca="false">IF(H2008&gt;J2008,"ERRO","OK")</f>
        <v>OK</v>
      </c>
      <c r="N2008" s="0" t="str">
        <f aca="false">IF(I2008&lt;J2008,"ERRO","OK")</f>
        <v>OK</v>
      </c>
    </row>
    <row r="2009" customFormat="false" ht="14.25" hidden="false" customHeight="false" outlineLevel="0" collapsed="false">
      <c r="A2009" s="0" t="n">
        <v>88</v>
      </c>
      <c r="B2009" s="0" t="n">
        <v>2025</v>
      </c>
      <c r="C2009" s="3" t="n">
        <v>45681</v>
      </c>
      <c r="E2009" s="20" t="s">
        <v>38</v>
      </c>
      <c r="F2009" s="21" t="s">
        <v>39</v>
      </c>
      <c r="G2009" s="22" t="n">
        <v>20</v>
      </c>
      <c r="H2009" s="22" t="n">
        <v>20</v>
      </c>
      <c r="I2009" s="22" t="n">
        <v>25</v>
      </c>
      <c r="J2009" s="22" t="s">
        <v>41</v>
      </c>
      <c r="K2009" s="22" t="s">
        <v>41</v>
      </c>
      <c r="L2009" s="0" t="str">
        <f aca="false">IF(H2009&gt;I2009,"ERRO","OK")</f>
        <v>OK</v>
      </c>
      <c r="M2009" s="0" t="str">
        <f aca="false">IF(H2009&gt;J2009,"ERRO","OK")</f>
        <v>OK</v>
      </c>
      <c r="N2009" s="0" t="str">
        <f aca="false">IF(I2009&lt;J2009,"ERRO","OK")</f>
        <v>ERRO</v>
      </c>
    </row>
    <row r="2010" customFormat="false" ht="14.25" hidden="false" customHeight="false" outlineLevel="0" collapsed="false">
      <c r="A2010" s="0" t="n">
        <v>88</v>
      </c>
      <c r="B2010" s="0" t="n">
        <v>2025</v>
      </c>
      <c r="C2010" s="3" t="n">
        <v>45681</v>
      </c>
      <c r="E2010" s="20" t="s">
        <v>40</v>
      </c>
      <c r="F2010" s="21" t="s">
        <v>39</v>
      </c>
      <c r="G2010" s="22" t="n">
        <v>25</v>
      </c>
      <c r="H2010" s="22" t="n">
        <v>25</v>
      </c>
      <c r="I2010" s="22" t="n">
        <v>30</v>
      </c>
      <c r="J2010" s="22" t="s">
        <v>261</v>
      </c>
      <c r="K2010" s="22" t="s">
        <v>261</v>
      </c>
      <c r="L2010" s="0" t="str">
        <f aca="false">IF(H2010&gt;I2010,"ERRO","OK")</f>
        <v>OK</v>
      </c>
      <c r="M2010" s="0" t="str">
        <f aca="false">IF(H2010&gt;J2010,"ERRO","OK")</f>
        <v>OK</v>
      </c>
      <c r="N2010" s="0" t="str">
        <f aca="false">IF(I2010&lt;J2010,"ERRO","OK")</f>
        <v>ERRO</v>
      </c>
    </row>
    <row r="2011" customFormat="false" ht="14.25" hidden="false" customHeight="false" outlineLevel="0" collapsed="false">
      <c r="A2011" s="0" t="n">
        <v>88</v>
      </c>
      <c r="B2011" s="0" t="n">
        <v>2025</v>
      </c>
      <c r="C2011" s="3" t="n">
        <v>45681</v>
      </c>
      <c r="E2011" s="20" t="s">
        <v>360</v>
      </c>
      <c r="F2011" s="21" t="s">
        <v>158</v>
      </c>
      <c r="G2011" s="22" t="n">
        <v>70</v>
      </c>
      <c r="H2011" s="22" t="n">
        <v>70</v>
      </c>
      <c r="I2011" s="22" t="n">
        <v>75</v>
      </c>
      <c r="J2011" s="22" t="s">
        <v>283</v>
      </c>
      <c r="K2011" s="22" t="n">
        <v>70</v>
      </c>
      <c r="L2011" s="0" t="str">
        <f aca="false">IF(H2011&gt;I2011,"ERRO","OK")</f>
        <v>OK</v>
      </c>
      <c r="M2011" s="0" t="str">
        <f aca="false">IF(H2011&gt;J2011,"ERRO","OK")</f>
        <v>OK</v>
      </c>
      <c r="N2011" s="0" t="str">
        <f aca="false">IF(I2011&lt;J2011,"ERRO","OK")</f>
        <v>ERRO</v>
      </c>
    </row>
    <row r="2012" customFormat="false" ht="14.25" hidden="false" customHeight="false" outlineLevel="0" collapsed="false">
      <c r="A2012" s="0" t="n">
        <v>88</v>
      </c>
      <c r="B2012" s="0" t="n">
        <v>2025</v>
      </c>
      <c r="C2012" s="3" t="n">
        <v>45681</v>
      </c>
      <c r="E2012" s="20" t="s">
        <v>43</v>
      </c>
      <c r="F2012" s="21" t="s">
        <v>44</v>
      </c>
      <c r="G2012" s="22" t="n">
        <v>50</v>
      </c>
      <c r="H2012" s="22" t="n">
        <v>50</v>
      </c>
      <c r="I2012" s="22" t="n">
        <v>60</v>
      </c>
      <c r="J2012" s="22" t="s">
        <v>246</v>
      </c>
      <c r="K2012" s="22" t="n">
        <v>50</v>
      </c>
      <c r="L2012" s="0" t="str">
        <f aca="false">IF(H2012&gt;I2012,"ERRO","OK")</f>
        <v>OK</v>
      </c>
      <c r="M2012" s="0" t="str">
        <f aca="false">IF(H2012&gt;J2012,"ERRO","OK")</f>
        <v>OK</v>
      </c>
      <c r="N2012" s="0" t="str">
        <f aca="false">IF(I2012&lt;J2012,"ERRO","OK")</f>
        <v>ERRO</v>
      </c>
    </row>
    <row r="2013" customFormat="false" ht="14.25" hidden="false" customHeight="false" outlineLevel="0" collapsed="false">
      <c r="A2013" s="0" t="n">
        <v>88</v>
      </c>
      <c r="B2013" s="0" t="n">
        <v>2025</v>
      </c>
      <c r="C2013" s="3" t="n">
        <v>45681</v>
      </c>
      <c r="E2013" s="20" t="s">
        <v>46</v>
      </c>
      <c r="F2013" s="21" t="s">
        <v>47</v>
      </c>
      <c r="G2013" s="22" t="n">
        <v>70</v>
      </c>
      <c r="H2013" s="22" t="n">
        <v>45</v>
      </c>
      <c r="I2013" s="22" t="n">
        <v>70</v>
      </c>
      <c r="J2013" s="22" t="s">
        <v>84</v>
      </c>
      <c r="K2013" s="22" t="s">
        <v>88</v>
      </c>
      <c r="L2013" s="0" t="str">
        <f aca="false">IF(H2013&gt;I2013,"ERRO","OK")</f>
        <v>OK</v>
      </c>
      <c r="M2013" s="0" t="str">
        <f aca="false">IF(H2013&gt;J2013,"ERRO","OK")</f>
        <v>OK</v>
      </c>
      <c r="N2013" s="0" t="str">
        <f aca="false">IF(I2013&lt;J2013,"ERRO","OK")</f>
        <v>ERRO</v>
      </c>
    </row>
    <row r="2014" customFormat="false" ht="14.25" hidden="false" customHeight="false" outlineLevel="0" collapsed="false">
      <c r="A2014" s="0" t="n">
        <v>88</v>
      </c>
      <c r="B2014" s="0" t="n">
        <v>2025</v>
      </c>
      <c r="C2014" s="3" t="n">
        <v>45681</v>
      </c>
      <c r="E2014" s="20" t="s">
        <v>48</v>
      </c>
      <c r="F2014" s="21" t="s">
        <v>49</v>
      </c>
      <c r="G2014" s="21"/>
      <c r="H2014" s="22" t="n">
        <v>40</v>
      </c>
      <c r="I2014" s="22" t="n">
        <v>65</v>
      </c>
      <c r="J2014" s="22" t="s">
        <v>96</v>
      </c>
      <c r="K2014" s="22" t="n">
        <v>55</v>
      </c>
      <c r="L2014" s="0" t="str">
        <f aca="false">IF(H2014&gt;I2014,"ERRO","OK")</f>
        <v>OK</v>
      </c>
      <c r="M2014" s="0" t="str">
        <f aca="false">IF(H2014&gt;J2014,"ERRO","OK")</f>
        <v>OK</v>
      </c>
      <c r="N2014" s="0" t="str">
        <f aca="false">IF(I2014&lt;J2014,"ERRO","OK")</f>
        <v>ERRO</v>
      </c>
    </row>
    <row r="2015" customFormat="false" ht="14.25" hidden="false" customHeight="false" outlineLevel="0" collapsed="false">
      <c r="A2015" s="0" t="n">
        <v>88</v>
      </c>
      <c r="B2015" s="0" t="n">
        <v>2025</v>
      </c>
      <c r="C2015" s="3" t="n">
        <v>45681</v>
      </c>
      <c r="E2015" s="20" t="s">
        <v>52</v>
      </c>
      <c r="F2015" s="21" t="s">
        <v>49</v>
      </c>
      <c r="G2015" s="21"/>
      <c r="H2015" s="22" t="n">
        <v>65</v>
      </c>
      <c r="I2015" s="22" t="n">
        <v>75</v>
      </c>
      <c r="J2015" s="22" t="n">
        <v>70</v>
      </c>
      <c r="K2015" s="22" t="n">
        <v>70</v>
      </c>
      <c r="L2015" s="0" t="str">
        <f aca="false">IF(H2015&gt;I2015,"ERRO","OK")</f>
        <v>OK</v>
      </c>
      <c r="M2015" s="0" t="str">
        <f aca="false">IF(H2015&gt;J2015,"ERRO","OK")</f>
        <v>OK</v>
      </c>
      <c r="N2015" s="0" t="str">
        <f aca="false">IF(I2015&lt;J2015,"ERRO","OK")</f>
        <v>OK</v>
      </c>
    </row>
    <row r="2016" customFormat="false" ht="14.25" hidden="false" customHeight="false" outlineLevel="0" collapsed="false">
      <c r="A2016" s="0" t="n">
        <v>88</v>
      </c>
      <c r="B2016" s="0" t="n">
        <v>2025</v>
      </c>
      <c r="C2016" s="3" t="n">
        <v>45681</v>
      </c>
      <c r="E2016" s="20" t="s">
        <v>53</v>
      </c>
      <c r="F2016" s="21" t="s">
        <v>54</v>
      </c>
      <c r="G2016" s="22" t="n">
        <v>60</v>
      </c>
      <c r="H2016" s="22" t="n">
        <v>50</v>
      </c>
      <c r="I2016" s="22" t="n">
        <v>60</v>
      </c>
      <c r="J2016" s="22" t="n">
        <v>55</v>
      </c>
      <c r="K2016" s="22" t="n">
        <v>55</v>
      </c>
      <c r="L2016" s="0" t="str">
        <f aca="false">IF(H2016&gt;I2016,"ERRO","OK")</f>
        <v>OK</v>
      </c>
      <c r="M2016" s="0" t="str">
        <f aca="false">IF(H2016&gt;J2016,"ERRO","OK")</f>
        <v>OK</v>
      </c>
      <c r="N2016" s="0" t="str">
        <f aca="false">IF(I2016&lt;J2016,"ERRO","OK")</f>
        <v>OK</v>
      </c>
    </row>
    <row r="2017" customFormat="false" ht="14.25" hidden="false" customHeight="false" outlineLevel="0" collapsed="false">
      <c r="A2017" s="0" t="n">
        <v>88</v>
      </c>
      <c r="B2017" s="0" t="n">
        <v>2025</v>
      </c>
      <c r="C2017" s="3" t="n">
        <v>45681</v>
      </c>
      <c r="E2017" s="20" t="s">
        <v>56</v>
      </c>
      <c r="F2017" s="21" t="s">
        <v>47</v>
      </c>
      <c r="G2017" s="21"/>
      <c r="H2017" s="22" t="n">
        <v>60</v>
      </c>
      <c r="I2017" s="22" t="n">
        <v>100</v>
      </c>
      <c r="J2017" s="22" t="n">
        <v>80</v>
      </c>
      <c r="K2017" s="22" t="n">
        <v>80</v>
      </c>
      <c r="L2017" s="0" t="str">
        <f aca="false">IF(H2017&gt;I2017,"ERRO","OK")</f>
        <v>OK</v>
      </c>
      <c r="M2017" s="0" t="str">
        <f aca="false">IF(H2017&gt;J2017,"ERRO","OK")</f>
        <v>OK</v>
      </c>
      <c r="N2017" s="0" t="str">
        <f aca="false">IF(I2017&lt;J2017,"ERRO","OK")</f>
        <v>OK</v>
      </c>
    </row>
    <row r="2018" customFormat="false" ht="14.25" hidden="false" customHeight="false" outlineLevel="0" collapsed="false">
      <c r="A2018" s="0" t="n">
        <v>88</v>
      </c>
      <c r="B2018" s="0" t="n">
        <v>2025</v>
      </c>
      <c r="C2018" s="3" t="n">
        <v>45681</v>
      </c>
      <c r="E2018" s="20" t="s">
        <v>57</v>
      </c>
      <c r="F2018" s="21" t="s">
        <v>47</v>
      </c>
      <c r="G2018" s="21"/>
      <c r="H2018" s="22" t="n">
        <v>45</v>
      </c>
      <c r="I2018" s="22" t="n">
        <v>90</v>
      </c>
      <c r="J2018" s="22" t="s">
        <v>290</v>
      </c>
      <c r="K2018" s="22" t="n">
        <v>60</v>
      </c>
      <c r="L2018" s="0" t="str">
        <f aca="false">IF(H2018&gt;I2018,"ERRO","OK")</f>
        <v>OK</v>
      </c>
      <c r="M2018" s="0" t="str">
        <f aca="false">IF(H2018&gt;J2018,"ERRO","OK")</f>
        <v>OK</v>
      </c>
      <c r="N2018" s="0" t="str">
        <f aca="false">IF(I2018&lt;J2018,"ERRO","OK")</f>
        <v>ERRO</v>
      </c>
    </row>
    <row r="2019" customFormat="false" ht="14.25" hidden="false" customHeight="false" outlineLevel="0" collapsed="false">
      <c r="A2019" s="0" t="n">
        <v>88</v>
      </c>
      <c r="B2019" s="0" t="n">
        <v>2025</v>
      </c>
      <c r="C2019" s="3" t="n">
        <v>45681</v>
      </c>
      <c r="E2019" s="20" t="s">
        <v>58</v>
      </c>
      <c r="F2019" s="21" t="s">
        <v>44</v>
      </c>
      <c r="G2019" s="21"/>
      <c r="H2019" s="22" t="n">
        <v>70</v>
      </c>
      <c r="I2019" s="22" t="n">
        <v>100</v>
      </c>
      <c r="J2019" s="22" t="n">
        <v>85</v>
      </c>
      <c r="K2019" s="22" t="n">
        <v>85</v>
      </c>
      <c r="L2019" s="0" t="str">
        <f aca="false">IF(H2019&gt;I2019,"ERRO","OK")</f>
        <v>OK</v>
      </c>
      <c r="M2019" s="0" t="str">
        <f aca="false">IF(H2019&gt;J2019,"ERRO","OK")</f>
        <v>OK</v>
      </c>
      <c r="N2019" s="0" t="str">
        <f aca="false">IF(I2019&lt;J2019,"ERRO","OK")</f>
        <v>OK</v>
      </c>
    </row>
    <row r="2020" customFormat="false" ht="14.25" hidden="false" customHeight="false" outlineLevel="0" collapsed="false">
      <c r="A2020" s="0" t="n">
        <v>88</v>
      </c>
      <c r="B2020" s="0" t="n">
        <v>2025</v>
      </c>
      <c r="C2020" s="3" t="n">
        <v>45681</v>
      </c>
      <c r="E2020" s="20" t="s">
        <v>60</v>
      </c>
      <c r="F2020" s="21" t="s">
        <v>47</v>
      </c>
      <c r="G2020" s="21"/>
      <c r="H2020" s="22" t="n">
        <v>50</v>
      </c>
      <c r="I2020" s="22" t="n">
        <v>75</v>
      </c>
      <c r="J2020" s="22" t="s">
        <v>84</v>
      </c>
      <c r="K2020" s="22" t="s">
        <v>84</v>
      </c>
      <c r="L2020" s="0" t="str">
        <f aca="false">IF(H2020&gt;I2020,"ERRO","OK")</f>
        <v>OK</v>
      </c>
      <c r="M2020" s="0" t="str">
        <f aca="false">IF(H2020&gt;J2020,"ERRO","OK")</f>
        <v>OK</v>
      </c>
      <c r="N2020" s="0" t="str">
        <f aca="false">IF(I2020&lt;J2020,"ERRO","OK")</f>
        <v>ERRO</v>
      </c>
    </row>
    <row r="2021" customFormat="false" ht="14.25" hidden="false" customHeight="false" outlineLevel="0" collapsed="false">
      <c r="A2021" s="0" t="n">
        <v>88</v>
      </c>
      <c r="B2021" s="0" t="n">
        <v>2025</v>
      </c>
      <c r="C2021" s="3" t="n">
        <v>45681</v>
      </c>
      <c r="E2021" s="20" t="s">
        <v>61</v>
      </c>
      <c r="F2021" s="21" t="s">
        <v>44</v>
      </c>
      <c r="G2021" s="22" t="n">
        <v>80</v>
      </c>
      <c r="H2021" s="22" t="n">
        <v>45</v>
      </c>
      <c r="I2021" s="22" t="n">
        <v>80</v>
      </c>
      <c r="J2021" s="22" t="s">
        <v>66</v>
      </c>
      <c r="K2021" s="22" t="n">
        <v>80</v>
      </c>
      <c r="L2021" s="0" t="str">
        <f aca="false">IF(H2021&gt;I2021,"ERRO","OK")</f>
        <v>OK</v>
      </c>
      <c r="M2021" s="0" t="str">
        <f aca="false">IF(H2021&gt;J2021,"ERRO","OK")</f>
        <v>OK</v>
      </c>
      <c r="N2021" s="0" t="str">
        <f aca="false">IF(I2021&lt;J2021,"ERRO","OK")</f>
        <v>ERRO</v>
      </c>
    </row>
    <row r="2022" customFormat="false" ht="14.25" hidden="false" customHeight="false" outlineLevel="0" collapsed="false">
      <c r="A2022" s="0" t="n">
        <v>88</v>
      </c>
      <c r="B2022" s="0" t="n">
        <v>2025</v>
      </c>
      <c r="C2022" s="3" t="n">
        <v>45681</v>
      </c>
      <c r="E2022" s="20" t="s">
        <v>62</v>
      </c>
      <c r="F2022" s="21" t="s">
        <v>44</v>
      </c>
      <c r="G2022" s="22" t="n">
        <v>90</v>
      </c>
      <c r="H2022" s="22" t="n">
        <v>80</v>
      </c>
      <c r="I2022" s="22" t="n">
        <v>120</v>
      </c>
      <c r="J2022" s="22" t="n">
        <v>95</v>
      </c>
      <c r="K2022" s="22" t="n">
        <v>90</v>
      </c>
      <c r="L2022" s="0" t="str">
        <f aca="false">IF(H2022&gt;I2022,"ERRO","OK")</f>
        <v>OK</v>
      </c>
      <c r="M2022" s="0" t="str">
        <f aca="false">IF(H2022&gt;J2022,"ERRO","OK")</f>
        <v>OK</v>
      </c>
      <c r="N2022" s="0" t="str">
        <f aca="false">IF(I2022&lt;J2022,"ERRO","OK")</f>
        <v>OK</v>
      </c>
    </row>
    <row r="2023" customFormat="false" ht="14.25" hidden="false" customHeight="false" outlineLevel="0" collapsed="false">
      <c r="A2023" s="0" t="n">
        <v>88</v>
      </c>
      <c r="B2023" s="0" t="n">
        <v>2025</v>
      </c>
      <c r="C2023" s="3" t="n">
        <v>45681</v>
      </c>
      <c r="E2023" s="20" t="s">
        <v>63</v>
      </c>
      <c r="F2023" s="21" t="s">
        <v>49</v>
      </c>
      <c r="G2023" s="22" t="n">
        <v>30</v>
      </c>
      <c r="H2023" s="22" t="n">
        <v>20</v>
      </c>
      <c r="I2023" s="22" t="n">
        <v>40</v>
      </c>
      <c r="J2023" s="22" t="n">
        <v>30</v>
      </c>
      <c r="K2023" s="22" t="n">
        <v>30</v>
      </c>
      <c r="L2023" s="0" t="str">
        <f aca="false">IF(H2023&gt;I2023,"ERRO","OK")</f>
        <v>OK</v>
      </c>
      <c r="M2023" s="0" t="str">
        <f aca="false">IF(H2023&gt;J2023,"ERRO","OK")</f>
        <v>OK</v>
      </c>
      <c r="N2023" s="0" t="str">
        <f aca="false">IF(I2023&lt;J2023,"ERRO","OK")</f>
        <v>OK</v>
      </c>
    </row>
    <row r="2024" customFormat="false" ht="14.25" hidden="false" customHeight="false" outlineLevel="0" collapsed="false">
      <c r="A2024" s="0" t="n">
        <v>88</v>
      </c>
      <c r="B2024" s="0" t="n">
        <v>2025</v>
      </c>
      <c r="C2024" s="3" t="n">
        <v>45681</v>
      </c>
      <c r="E2024" s="20" t="s">
        <v>64</v>
      </c>
      <c r="F2024" s="21" t="s">
        <v>65</v>
      </c>
      <c r="G2024" s="22" t="n">
        <v>90</v>
      </c>
      <c r="H2024" s="22" t="n">
        <v>50</v>
      </c>
      <c r="I2024" s="22" t="n">
        <v>90</v>
      </c>
      <c r="J2024" s="22" t="s">
        <v>159</v>
      </c>
      <c r="K2024" s="22" t="s">
        <v>243</v>
      </c>
      <c r="L2024" s="0" t="str">
        <f aca="false">IF(H2024&gt;I2024,"ERRO","OK")</f>
        <v>OK</v>
      </c>
      <c r="M2024" s="0" t="str">
        <f aca="false">IF(H2024&gt;J2024,"ERRO","OK")</f>
        <v>OK</v>
      </c>
      <c r="N2024" s="0" t="str">
        <f aca="false">IF(I2024&lt;J2024,"ERRO","OK")</f>
        <v>ERRO</v>
      </c>
    </row>
    <row r="2025" customFormat="false" ht="14.25" hidden="false" customHeight="false" outlineLevel="0" collapsed="false">
      <c r="A2025" s="0" t="n">
        <v>88</v>
      </c>
      <c r="B2025" s="0" t="n">
        <v>2025</v>
      </c>
      <c r="C2025" s="3" t="n">
        <v>45681</v>
      </c>
      <c r="E2025" s="20" t="s">
        <v>67</v>
      </c>
      <c r="F2025" s="21" t="s">
        <v>44</v>
      </c>
      <c r="G2025" s="21" t="s">
        <v>556</v>
      </c>
      <c r="H2025" s="22" t="n">
        <v>60</v>
      </c>
      <c r="I2025" s="22" t="n">
        <v>120</v>
      </c>
      <c r="J2025" s="22" t="s">
        <v>311</v>
      </c>
      <c r="K2025" s="22" t="n">
        <v>95</v>
      </c>
      <c r="L2025" s="0" t="str">
        <f aca="false">IF(H2025&gt;I2025,"ERRO","OK")</f>
        <v>OK</v>
      </c>
      <c r="M2025" s="0" t="str">
        <f aca="false">IF(H2025&gt;J2025,"ERRO","OK")</f>
        <v>OK</v>
      </c>
      <c r="N2025" s="0" t="str">
        <f aca="false">IF(I2025&lt;J2025,"ERRO","OK")</f>
        <v>ERRO</v>
      </c>
    </row>
    <row r="2026" customFormat="false" ht="14.25" hidden="false" customHeight="false" outlineLevel="0" collapsed="false">
      <c r="A2026" s="0" t="n">
        <v>88</v>
      </c>
      <c r="B2026" s="0" t="n">
        <v>2025</v>
      </c>
      <c r="C2026" s="3" t="n">
        <v>45681</v>
      </c>
      <c r="E2026" s="20" t="s">
        <v>68</v>
      </c>
      <c r="F2026" s="21" t="s">
        <v>44</v>
      </c>
      <c r="G2026" s="22" t="n">
        <v>50</v>
      </c>
      <c r="H2026" s="22" t="n">
        <v>50</v>
      </c>
      <c r="I2026" s="22" t="n">
        <v>70</v>
      </c>
      <c r="J2026" s="22" t="s">
        <v>59</v>
      </c>
      <c r="K2026" s="22" t="n">
        <v>50</v>
      </c>
      <c r="L2026" s="0" t="str">
        <f aca="false">IF(H2026&gt;I2026,"ERRO","OK")</f>
        <v>OK</v>
      </c>
      <c r="M2026" s="0" t="str">
        <f aca="false">IF(H2026&gt;J2026,"ERRO","OK")</f>
        <v>OK</v>
      </c>
      <c r="N2026" s="0" t="str">
        <f aca="false">IF(I2026&lt;J2026,"ERRO","OK")</f>
        <v>ERRO</v>
      </c>
    </row>
    <row r="2027" customFormat="false" ht="14.25" hidden="false" customHeight="false" outlineLevel="0" collapsed="false">
      <c r="A2027" s="0" t="n">
        <v>88</v>
      </c>
      <c r="B2027" s="0" t="n">
        <v>2025</v>
      </c>
      <c r="C2027" s="3" t="n">
        <v>45681</v>
      </c>
      <c r="E2027" s="20" t="s">
        <v>70</v>
      </c>
      <c r="F2027" s="21" t="s">
        <v>49</v>
      </c>
      <c r="G2027" s="22"/>
      <c r="H2027" s="22"/>
      <c r="I2027" s="22"/>
      <c r="J2027" s="22"/>
      <c r="K2027" s="22"/>
      <c r="L2027" s="0" t="str">
        <f aca="false">IF(H2027&gt;I2027,"ERRO","OK")</f>
        <v>OK</v>
      </c>
      <c r="M2027" s="0" t="str">
        <f aca="false">IF(H2027&gt;J2027,"ERRO","OK")</f>
        <v>OK</v>
      </c>
      <c r="N2027" s="0" t="str">
        <f aca="false">IF(I2027&lt;J2027,"ERRO","OK")</f>
        <v>OK</v>
      </c>
    </row>
    <row r="2028" customFormat="false" ht="14.25" hidden="false" customHeight="false" outlineLevel="0" collapsed="false">
      <c r="A2028" s="0" t="n">
        <v>88</v>
      </c>
      <c r="B2028" s="0" t="n">
        <v>2025</v>
      </c>
      <c r="C2028" s="3" t="n">
        <v>45681</v>
      </c>
      <c r="E2028" s="20" t="s">
        <v>71</v>
      </c>
      <c r="F2028" s="21" t="s">
        <v>49</v>
      </c>
      <c r="G2028" s="22"/>
      <c r="H2028" s="22"/>
      <c r="I2028" s="22"/>
      <c r="J2028" s="22"/>
      <c r="K2028" s="22"/>
      <c r="L2028" s="0" t="str">
        <f aca="false">IF(H2028&gt;I2028,"ERRO","OK")</f>
        <v>OK</v>
      </c>
      <c r="M2028" s="0" t="str">
        <f aca="false">IF(H2028&gt;J2028,"ERRO","OK")</f>
        <v>OK</v>
      </c>
      <c r="N2028" s="0" t="str">
        <f aca="false">IF(I2028&lt;J2028,"ERRO","OK")</f>
        <v>OK</v>
      </c>
    </row>
    <row r="2029" customFormat="false" ht="14.25" hidden="false" customHeight="false" outlineLevel="0" collapsed="false">
      <c r="A2029" s="0" t="n">
        <v>88</v>
      </c>
      <c r="B2029" s="0" t="n">
        <v>2025</v>
      </c>
      <c r="C2029" s="3" t="n">
        <v>45681</v>
      </c>
      <c r="E2029" s="20" t="s">
        <v>72</v>
      </c>
      <c r="F2029" s="21" t="s">
        <v>49</v>
      </c>
      <c r="G2029" s="22"/>
      <c r="H2029" s="22"/>
      <c r="I2029" s="22"/>
      <c r="J2029" s="22"/>
      <c r="K2029" s="22"/>
      <c r="L2029" s="0" t="str">
        <f aca="false">IF(H2029&gt;I2029,"ERRO","OK")</f>
        <v>OK</v>
      </c>
      <c r="M2029" s="0" t="str">
        <f aca="false">IF(H2029&gt;J2029,"ERRO","OK")</f>
        <v>OK</v>
      </c>
      <c r="N2029" s="0" t="str">
        <f aca="false">IF(I2029&lt;J2029,"ERRO","OK")</f>
        <v>OK</v>
      </c>
    </row>
    <row r="2030" customFormat="false" ht="14.25" hidden="false" customHeight="false" outlineLevel="0" collapsed="false">
      <c r="A2030" s="0" t="n">
        <v>88</v>
      </c>
      <c r="B2030" s="0" t="n">
        <v>2025</v>
      </c>
      <c r="C2030" s="3" t="n">
        <v>45681</v>
      </c>
      <c r="E2030" s="20" t="s">
        <v>73</v>
      </c>
      <c r="F2030" s="21" t="s">
        <v>49</v>
      </c>
      <c r="G2030" s="22"/>
      <c r="H2030" s="22"/>
      <c r="I2030" s="22"/>
      <c r="J2030" s="22"/>
      <c r="K2030" s="22"/>
      <c r="L2030" s="0" t="str">
        <f aca="false">IF(H2030&gt;I2030,"ERRO","OK")</f>
        <v>OK</v>
      </c>
      <c r="M2030" s="0" t="str">
        <f aca="false">IF(H2030&gt;J2030,"ERRO","OK")</f>
        <v>OK</v>
      </c>
      <c r="N2030" s="0" t="str">
        <f aca="false">IF(I2030&lt;J2030,"ERRO","OK")</f>
        <v>OK</v>
      </c>
    </row>
    <row r="2031" customFormat="false" ht="14.25" hidden="false" customHeight="false" outlineLevel="0" collapsed="false">
      <c r="A2031" s="0" t="n">
        <v>88</v>
      </c>
      <c r="B2031" s="0" t="n">
        <v>2025</v>
      </c>
      <c r="C2031" s="3" t="n">
        <v>45681</v>
      </c>
      <c r="E2031" s="20" t="s">
        <v>74</v>
      </c>
      <c r="F2031" s="21" t="s">
        <v>75</v>
      </c>
      <c r="G2031" s="22"/>
      <c r="H2031" s="22"/>
      <c r="I2031" s="22"/>
      <c r="J2031" s="22"/>
      <c r="K2031" s="22"/>
      <c r="L2031" s="0" t="str">
        <f aca="false">IF(H2031&gt;I2031,"ERRO","OK")</f>
        <v>OK</v>
      </c>
      <c r="M2031" s="0" t="str">
        <f aca="false">IF(H2031&gt;J2031,"ERRO","OK")</f>
        <v>OK</v>
      </c>
      <c r="N2031" s="0" t="str">
        <f aca="false">IF(I2031&lt;J2031,"ERRO","OK")</f>
        <v>OK</v>
      </c>
    </row>
    <row r="2032" customFormat="false" ht="14.25" hidden="false" customHeight="false" outlineLevel="0" collapsed="false">
      <c r="A2032" s="0" t="n">
        <v>89</v>
      </c>
      <c r="B2032" s="0" t="n">
        <v>2025</v>
      </c>
      <c r="C2032" s="3" t="n">
        <v>45688</v>
      </c>
      <c r="E2032" s="0" t="s">
        <v>16</v>
      </c>
      <c r="F2032" s="0" t="s">
        <v>17</v>
      </c>
      <c r="G2032" s="0" t="s">
        <v>370</v>
      </c>
      <c r="H2032" s="0" t="s">
        <v>370</v>
      </c>
      <c r="I2032" s="0" t="s">
        <v>372</v>
      </c>
      <c r="J2032" s="0" t="s">
        <v>381</v>
      </c>
      <c r="K2032" s="0" t="s">
        <v>370</v>
      </c>
      <c r="L2032" s="0" t="str">
        <f aca="false">IF(H2032&gt;I2032,"ERRO","OK")</f>
        <v>OK</v>
      </c>
      <c r="M2032" s="0" t="str">
        <f aca="false">IF(H2032&gt;J2032,"ERRO","OK")</f>
        <v>OK</v>
      </c>
      <c r="N2032" s="0" t="str">
        <f aca="false">IF(I2032&lt;J2032,"ERRO","OK")</f>
        <v>OK</v>
      </c>
    </row>
    <row r="2033" customFormat="false" ht="14.25" hidden="false" customHeight="false" outlineLevel="0" collapsed="false">
      <c r="A2033" s="0" t="n">
        <v>89</v>
      </c>
      <c r="B2033" s="0" t="n">
        <v>2025</v>
      </c>
      <c r="C2033" s="3" t="n">
        <v>45688</v>
      </c>
      <c r="E2033" s="0" t="s">
        <v>18</v>
      </c>
      <c r="F2033" s="0" t="s">
        <v>17</v>
      </c>
      <c r="G2033" s="0" t="s">
        <v>373</v>
      </c>
      <c r="H2033" s="0" t="s">
        <v>373</v>
      </c>
      <c r="I2033" s="0" t="s">
        <v>485</v>
      </c>
      <c r="J2033" s="0" t="s">
        <v>557</v>
      </c>
      <c r="K2033" s="0" t="s">
        <v>373</v>
      </c>
      <c r="L2033" s="0" t="str">
        <f aca="false">IF(H2033&gt;I2033,"ERRO","OK")</f>
        <v>OK</v>
      </c>
      <c r="M2033" s="0" t="str">
        <f aca="false">IF(H2033&gt;J2033,"ERRO","OK")</f>
        <v>OK</v>
      </c>
      <c r="N2033" s="0" t="str">
        <f aca="false">IF(I2033&lt;J2033,"ERRO","OK")</f>
        <v>OK</v>
      </c>
    </row>
    <row r="2034" customFormat="false" ht="14.25" hidden="false" customHeight="false" outlineLevel="0" collapsed="false">
      <c r="A2034" s="0" t="n">
        <v>89</v>
      </c>
      <c r="B2034" s="0" t="n">
        <v>2025</v>
      </c>
      <c r="C2034" s="3" t="n">
        <v>45688</v>
      </c>
      <c r="E2034" s="0" t="s">
        <v>19</v>
      </c>
      <c r="F2034" s="0" t="s">
        <v>17</v>
      </c>
      <c r="H2034" s="0" t="s">
        <v>409</v>
      </c>
      <c r="I2034" s="0" t="s">
        <v>370</v>
      </c>
      <c r="J2034" s="0" t="s">
        <v>558</v>
      </c>
      <c r="K2034" s="0" t="s">
        <v>559</v>
      </c>
      <c r="L2034" s="0" t="str">
        <f aca="false">IF(H2034&gt;I2034,"ERRO","OK")</f>
        <v>OK</v>
      </c>
      <c r="M2034" s="0" t="str">
        <f aca="false">IF(H2034&gt;J2034,"ERRO","OK")</f>
        <v>OK</v>
      </c>
      <c r="N2034" s="0" t="str">
        <f aca="false">IF(I2034&lt;J2034,"ERRO","OK")</f>
        <v>OK</v>
      </c>
    </row>
    <row r="2035" customFormat="false" ht="14.25" hidden="false" customHeight="false" outlineLevel="0" collapsed="false">
      <c r="A2035" s="0" t="n">
        <v>89</v>
      </c>
      <c r="B2035" s="0" t="n">
        <v>2025</v>
      </c>
      <c r="C2035" s="3" t="n">
        <v>45688</v>
      </c>
      <c r="E2035" s="0" t="s">
        <v>20</v>
      </c>
      <c r="F2035" s="0" t="s">
        <v>17</v>
      </c>
      <c r="H2035" s="0" t="s">
        <v>394</v>
      </c>
      <c r="I2035" s="0" t="s">
        <v>369</v>
      </c>
      <c r="J2035" s="0" t="s">
        <v>560</v>
      </c>
      <c r="K2035" s="0" t="s">
        <v>561</v>
      </c>
      <c r="L2035" s="0" t="str">
        <f aca="false">IF(H2035&gt;I2035,"ERRO","OK")</f>
        <v>OK</v>
      </c>
      <c r="M2035" s="0" t="str">
        <f aca="false">IF(H2035&gt;J2035,"ERRO","OK")</f>
        <v>OK</v>
      </c>
      <c r="N2035" s="0" t="str">
        <f aca="false">IF(I2035&lt;J2035,"ERRO","OK")</f>
        <v>OK</v>
      </c>
    </row>
    <row r="2036" customFormat="false" ht="14.25" hidden="false" customHeight="false" outlineLevel="0" collapsed="false">
      <c r="A2036" s="0" t="n">
        <v>89</v>
      </c>
      <c r="B2036" s="0" t="n">
        <v>2025</v>
      </c>
      <c r="C2036" s="3" t="n">
        <v>45688</v>
      </c>
      <c r="E2036" s="0" t="s">
        <v>21</v>
      </c>
      <c r="F2036" s="0" t="s">
        <v>17</v>
      </c>
      <c r="H2036" s="0" t="s">
        <v>394</v>
      </c>
      <c r="I2036" s="0" t="s">
        <v>369</v>
      </c>
      <c r="J2036" s="0" t="s">
        <v>560</v>
      </c>
      <c r="K2036" s="0" t="s">
        <v>561</v>
      </c>
      <c r="L2036" s="0" t="str">
        <f aca="false">IF(H2036&gt;I2036,"ERRO","OK")</f>
        <v>OK</v>
      </c>
      <c r="M2036" s="0" t="str">
        <f aca="false">IF(H2036&gt;J2036,"ERRO","OK")</f>
        <v>OK</v>
      </c>
      <c r="N2036" s="0" t="str">
        <f aca="false">IF(I2036&lt;J2036,"ERRO","OK")</f>
        <v>OK</v>
      </c>
    </row>
    <row r="2037" customFormat="false" ht="14.25" hidden="false" customHeight="false" outlineLevel="0" collapsed="false">
      <c r="A2037" s="0" t="n">
        <v>89</v>
      </c>
      <c r="B2037" s="0" t="n">
        <v>2025</v>
      </c>
      <c r="C2037" s="3" t="n">
        <v>45688</v>
      </c>
      <c r="E2037" s="0" t="s">
        <v>22</v>
      </c>
      <c r="F2037" s="0" t="s">
        <v>17</v>
      </c>
      <c r="G2037" s="0" t="s">
        <v>370</v>
      </c>
      <c r="H2037" s="0" t="s">
        <v>370</v>
      </c>
      <c r="I2037" s="0" t="s">
        <v>428</v>
      </c>
      <c r="J2037" s="0" t="s">
        <v>487</v>
      </c>
      <c r="K2037" s="0" t="s">
        <v>370</v>
      </c>
      <c r="L2037" s="0" t="str">
        <f aca="false">IF(H2037&gt;I2037,"ERRO","OK")</f>
        <v>OK</v>
      </c>
      <c r="M2037" s="0" t="str">
        <f aca="false">IF(H2037&gt;J2037,"ERRO","OK")</f>
        <v>OK</v>
      </c>
      <c r="N2037" s="0" t="str">
        <f aca="false">IF(I2037&lt;J2037,"ERRO","OK")</f>
        <v>OK</v>
      </c>
    </row>
    <row r="2038" customFormat="false" ht="14.25" hidden="false" customHeight="false" outlineLevel="0" collapsed="false">
      <c r="A2038" s="0" t="n">
        <v>89</v>
      </c>
      <c r="B2038" s="0" t="n">
        <v>2025</v>
      </c>
      <c r="C2038" s="3" t="n">
        <v>45688</v>
      </c>
      <c r="E2038" s="0" t="s">
        <v>23</v>
      </c>
      <c r="F2038" s="0" t="s">
        <v>17</v>
      </c>
      <c r="G2038" s="0" t="s">
        <v>429</v>
      </c>
      <c r="H2038" s="0" t="s">
        <v>372</v>
      </c>
      <c r="I2038" s="0" t="s">
        <v>429</v>
      </c>
      <c r="J2038" s="0" t="s">
        <v>503</v>
      </c>
      <c r="K2038" s="0" t="s">
        <v>429</v>
      </c>
      <c r="L2038" s="0" t="str">
        <f aca="false">IF(H2038&gt;I2038,"ERRO","OK")</f>
        <v>OK</v>
      </c>
      <c r="M2038" s="0" t="str">
        <f aca="false">IF(H2038&gt;J2038,"ERRO","OK")</f>
        <v>OK</v>
      </c>
      <c r="N2038" s="0" t="str">
        <f aca="false">IF(I2038&lt;J2038,"ERRO","OK")</f>
        <v>OK</v>
      </c>
    </row>
    <row r="2039" customFormat="false" ht="14.25" hidden="false" customHeight="false" outlineLevel="0" collapsed="false">
      <c r="A2039" s="0" t="n">
        <v>89</v>
      </c>
      <c r="B2039" s="0" t="n">
        <v>2025</v>
      </c>
      <c r="C2039" s="3" t="n">
        <v>45688</v>
      </c>
      <c r="E2039" s="0" t="s">
        <v>24</v>
      </c>
      <c r="F2039" s="0" t="s">
        <v>17</v>
      </c>
      <c r="G2039" s="0" t="s">
        <v>373</v>
      </c>
      <c r="H2039" s="0" t="s">
        <v>373</v>
      </c>
      <c r="I2039" s="0" t="s">
        <v>373</v>
      </c>
      <c r="J2039" s="0" t="s">
        <v>373</v>
      </c>
      <c r="K2039" s="0" t="s">
        <v>373</v>
      </c>
      <c r="L2039" s="0" t="str">
        <f aca="false">IF(H2039&gt;I2039,"ERRO","OK")</f>
        <v>OK</v>
      </c>
      <c r="M2039" s="0" t="str">
        <f aca="false">IF(H2039&gt;J2039,"ERRO","OK")</f>
        <v>OK</v>
      </c>
      <c r="N2039" s="0" t="str">
        <f aca="false">IF(I2039&lt;J2039,"ERRO","OK")</f>
        <v>OK</v>
      </c>
    </row>
    <row r="2040" customFormat="false" ht="14.25" hidden="false" customHeight="false" outlineLevel="0" collapsed="false">
      <c r="A2040" s="0" t="n">
        <v>89</v>
      </c>
      <c r="B2040" s="0" t="n">
        <v>2025</v>
      </c>
      <c r="C2040" s="3" t="n">
        <v>45688</v>
      </c>
      <c r="E2040" s="0" t="s">
        <v>25</v>
      </c>
      <c r="F2040" s="0" t="s">
        <v>17</v>
      </c>
      <c r="G2040" s="0" t="s">
        <v>378</v>
      </c>
      <c r="H2040" s="0" t="s">
        <v>378</v>
      </c>
      <c r="I2040" s="0" t="s">
        <v>374</v>
      </c>
      <c r="J2040" s="0" t="s">
        <v>562</v>
      </c>
      <c r="K2040" s="0" t="s">
        <v>448</v>
      </c>
      <c r="L2040" s="0" t="str">
        <f aca="false">IF(H2040&gt;I2040,"ERRO","OK")</f>
        <v>OK</v>
      </c>
      <c r="M2040" s="0" t="str">
        <f aca="false">IF(H2040&gt;J2040,"ERRO","OK")</f>
        <v>OK</v>
      </c>
      <c r="N2040" s="0" t="str">
        <f aca="false">IF(I2040&lt;J2040,"ERRO","OK")</f>
        <v>OK</v>
      </c>
    </row>
    <row r="2041" customFormat="false" ht="14.25" hidden="false" customHeight="false" outlineLevel="0" collapsed="false">
      <c r="A2041" s="0" t="n">
        <v>89</v>
      </c>
      <c r="B2041" s="0" t="n">
        <v>2025</v>
      </c>
      <c r="C2041" s="3" t="n">
        <v>45688</v>
      </c>
      <c r="E2041" s="0" t="s">
        <v>77</v>
      </c>
      <c r="F2041" s="0" t="s">
        <v>17</v>
      </c>
      <c r="H2041" s="0" t="s">
        <v>372</v>
      </c>
      <c r="I2041" s="0" t="s">
        <v>417</v>
      </c>
      <c r="J2041" s="0" t="s">
        <v>518</v>
      </c>
      <c r="K2041" s="0" t="s">
        <v>373</v>
      </c>
      <c r="L2041" s="0" t="str">
        <f aca="false">IF(H2041&gt;I2041,"ERRO","OK")</f>
        <v>OK</v>
      </c>
      <c r="M2041" s="0" t="str">
        <f aca="false">IF(H2041&gt;J2041,"ERRO","OK")</f>
        <v>OK</v>
      </c>
      <c r="N2041" s="0" t="str">
        <f aca="false">IF(I2041&lt;J2041,"ERRO","OK")</f>
        <v>OK</v>
      </c>
    </row>
    <row r="2042" customFormat="false" ht="14.25" hidden="false" customHeight="false" outlineLevel="0" collapsed="false">
      <c r="A2042" s="0" t="n">
        <v>89</v>
      </c>
      <c r="B2042" s="0" t="n">
        <v>2025</v>
      </c>
      <c r="C2042" s="3" t="n">
        <v>45688</v>
      </c>
      <c r="E2042" s="0" t="s">
        <v>27</v>
      </c>
      <c r="F2042" s="0" t="s">
        <v>17</v>
      </c>
      <c r="G2042" s="0" t="s">
        <v>394</v>
      </c>
      <c r="H2042" s="0" t="s">
        <v>378</v>
      </c>
      <c r="I2042" s="0" t="s">
        <v>374</v>
      </c>
      <c r="J2042" s="0" t="s">
        <v>448</v>
      </c>
      <c r="K2042" s="0" t="s">
        <v>378</v>
      </c>
      <c r="L2042" s="0" t="str">
        <f aca="false">IF(H2042&gt;I2042,"ERRO","OK")</f>
        <v>OK</v>
      </c>
      <c r="M2042" s="0" t="str">
        <f aca="false">IF(H2042&gt;J2042,"ERRO","OK")</f>
        <v>OK</v>
      </c>
      <c r="N2042" s="0" t="str">
        <f aca="false">IF(I2042&lt;J2042,"ERRO","OK")</f>
        <v>OK</v>
      </c>
    </row>
    <row r="2043" customFormat="false" ht="14.25" hidden="false" customHeight="false" outlineLevel="0" collapsed="false">
      <c r="A2043" s="0" t="n">
        <v>89</v>
      </c>
      <c r="B2043" s="0" t="n">
        <v>2025</v>
      </c>
      <c r="C2043" s="3" t="n">
        <v>45688</v>
      </c>
      <c r="E2043" s="0" t="s">
        <v>28</v>
      </c>
      <c r="F2043" s="0" t="s">
        <v>17</v>
      </c>
      <c r="G2043" s="0" t="s">
        <v>370</v>
      </c>
      <c r="H2043" s="0" t="s">
        <v>372</v>
      </c>
      <c r="I2043" s="0" t="s">
        <v>372</v>
      </c>
      <c r="J2043" s="0" t="s">
        <v>441</v>
      </c>
      <c r="K2043" s="0" t="s">
        <v>372</v>
      </c>
      <c r="L2043" s="0" t="str">
        <f aca="false">IF(H2043&gt;I2043,"ERRO","OK")</f>
        <v>OK</v>
      </c>
      <c r="M2043" s="0" t="str">
        <f aca="false">IF(H2043&gt;J2043,"ERRO","OK")</f>
        <v>ERRO</v>
      </c>
      <c r="N2043" s="0" t="str">
        <f aca="false">IF(I2043&lt;J2043,"ERRO","OK")</f>
        <v>OK</v>
      </c>
    </row>
    <row r="2044" customFormat="false" ht="14.25" hidden="false" customHeight="false" outlineLevel="0" collapsed="false">
      <c r="A2044" s="0" t="n">
        <v>89</v>
      </c>
      <c r="B2044" s="0" t="n">
        <v>2025</v>
      </c>
      <c r="C2044" s="3" t="n">
        <v>45688</v>
      </c>
      <c r="E2044" s="0" t="s">
        <v>29</v>
      </c>
      <c r="F2044" s="0" t="s">
        <v>30</v>
      </c>
      <c r="G2044" s="0" t="s">
        <v>372</v>
      </c>
      <c r="H2044" s="0" t="s">
        <v>372</v>
      </c>
      <c r="I2044" s="0" t="s">
        <v>372</v>
      </c>
      <c r="J2044" s="0" t="s">
        <v>372</v>
      </c>
      <c r="K2044" s="0" t="s">
        <v>372</v>
      </c>
      <c r="L2044" s="0" t="str">
        <f aca="false">IF(H2044&gt;I2044,"ERRO","OK")</f>
        <v>OK</v>
      </c>
      <c r="M2044" s="0" t="str">
        <f aca="false">IF(H2044&gt;J2044,"ERRO","OK")</f>
        <v>OK</v>
      </c>
      <c r="N2044" s="0" t="str">
        <f aca="false">IF(I2044&lt;J2044,"ERRO","OK")</f>
        <v>OK</v>
      </c>
    </row>
    <row r="2045" customFormat="false" ht="14.25" hidden="false" customHeight="false" outlineLevel="0" collapsed="false">
      <c r="A2045" s="0" t="n">
        <v>89</v>
      </c>
      <c r="B2045" s="0" t="n">
        <v>2025</v>
      </c>
      <c r="C2045" s="3" t="n">
        <v>45688</v>
      </c>
      <c r="E2045" s="0" t="s">
        <v>31</v>
      </c>
      <c r="F2045" s="0" t="s">
        <v>17</v>
      </c>
      <c r="H2045" s="0" t="s">
        <v>370</v>
      </c>
      <c r="I2045" s="0" t="s">
        <v>429</v>
      </c>
      <c r="J2045" s="0" t="s">
        <v>563</v>
      </c>
      <c r="K2045" s="0" t="s">
        <v>406</v>
      </c>
      <c r="L2045" s="0" t="str">
        <f aca="false">IF(H2045&gt;I2045,"ERRO","OK")</f>
        <v>OK</v>
      </c>
      <c r="M2045" s="0" t="str">
        <f aca="false">IF(H2045&gt;J2045,"ERRO","OK")</f>
        <v>OK</v>
      </c>
      <c r="N2045" s="0" t="str">
        <f aca="false">IF(I2045&lt;J2045,"ERRO","OK")</f>
        <v>OK</v>
      </c>
    </row>
    <row r="2046" customFormat="false" ht="14.25" hidden="false" customHeight="false" outlineLevel="0" collapsed="false">
      <c r="A2046" s="0" t="n">
        <v>89</v>
      </c>
      <c r="B2046" s="0" t="n">
        <v>2025</v>
      </c>
      <c r="C2046" s="3" t="n">
        <v>45688</v>
      </c>
      <c r="E2046" s="0" t="s">
        <v>32</v>
      </c>
      <c r="F2046" s="0" t="s">
        <v>17</v>
      </c>
      <c r="G2046" s="0" t="s">
        <v>402</v>
      </c>
      <c r="H2046" s="0" t="s">
        <v>402</v>
      </c>
      <c r="I2046" s="0" t="s">
        <v>369</v>
      </c>
      <c r="J2046" s="0" t="s">
        <v>498</v>
      </c>
      <c r="K2046" s="0" t="s">
        <v>402</v>
      </c>
      <c r="L2046" s="0" t="str">
        <f aca="false">IF(H2046&gt;I2046,"ERRO","OK")</f>
        <v>OK</v>
      </c>
      <c r="M2046" s="0" t="str">
        <f aca="false">IF(H2046&gt;J2046,"ERRO","OK")</f>
        <v>OK</v>
      </c>
      <c r="N2046" s="0" t="str">
        <f aca="false">IF(I2046&lt;J2046,"ERRO","OK")</f>
        <v>OK</v>
      </c>
    </row>
    <row r="2047" customFormat="false" ht="14.25" hidden="false" customHeight="false" outlineLevel="0" collapsed="false">
      <c r="A2047" s="0" t="n">
        <v>89</v>
      </c>
      <c r="B2047" s="0" t="n">
        <v>2025</v>
      </c>
      <c r="C2047" s="3" t="n">
        <v>45688</v>
      </c>
      <c r="E2047" s="0" t="s">
        <v>33</v>
      </c>
      <c r="F2047" s="0" t="s">
        <v>17</v>
      </c>
      <c r="G2047" s="0" t="s">
        <v>369</v>
      </c>
      <c r="H2047" s="0" t="s">
        <v>371</v>
      </c>
      <c r="I2047" s="0" t="s">
        <v>370</v>
      </c>
      <c r="J2047" s="0" t="s">
        <v>371</v>
      </c>
      <c r="K2047" s="0" t="s">
        <v>371</v>
      </c>
      <c r="L2047" s="0" t="str">
        <f aca="false">IF(H2047&gt;I2047,"ERRO","OK")</f>
        <v>OK</v>
      </c>
      <c r="M2047" s="0" t="str">
        <f aca="false">IF(H2047&gt;J2047,"ERRO","OK")</f>
        <v>OK</v>
      </c>
      <c r="N2047" s="0" t="str">
        <f aca="false">IF(I2047&lt;J2047,"ERRO","OK")</f>
        <v>OK</v>
      </c>
    </row>
    <row r="2048" customFormat="false" ht="14.25" hidden="false" customHeight="false" outlineLevel="0" collapsed="false">
      <c r="A2048" s="0" t="n">
        <v>89</v>
      </c>
      <c r="B2048" s="0" t="n">
        <v>2025</v>
      </c>
      <c r="C2048" s="3" t="n">
        <v>45688</v>
      </c>
      <c r="E2048" s="0" t="s">
        <v>35</v>
      </c>
      <c r="F2048" s="0" t="s">
        <v>36</v>
      </c>
      <c r="G2048" s="0" t="s">
        <v>390</v>
      </c>
      <c r="H2048" s="0" t="s">
        <v>390</v>
      </c>
      <c r="I2048" s="0" t="s">
        <v>390</v>
      </c>
      <c r="J2048" s="0" t="s">
        <v>390</v>
      </c>
      <c r="K2048" s="0" t="s">
        <v>390</v>
      </c>
      <c r="L2048" s="0" t="str">
        <f aca="false">IF(H2048&gt;I2048,"ERRO","OK")</f>
        <v>OK</v>
      </c>
      <c r="M2048" s="0" t="str">
        <f aca="false">IF(H2048&gt;J2048,"ERRO","OK")</f>
        <v>OK</v>
      </c>
      <c r="N2048" s="0" t="str">
        <f aca="false">IF(I2048&lt;J2048,"ERRO","OK")</f>
        <v>OK</v>
      </c>
    </row>
    <row r="2049" customFormat="false" ht="14.25" hidden="false" customHeight="false" outlineLevel="0" collapsed="false">
      <c r="A2049" s="0" t="n">
        <v>89</v>
      </c>
      <c r="B2049" s="0" t="n">
        <v>2025</v>
      </c>
      <c r="C2049" s="3" t="n">
        <v>45688</v>
      </c>
      <c r="E2049" s="0" t="s">
        <v>38</v>
      </c>
      <c r="F2049" s="0" t="s">
        <v>39</v>
      </c>
      <c r="G2049" s="0" t="s">
        <v>394</v>
      </c>
      <c r="H2049" s="0" t="s">
        <v>431</v>
      </c>
      <c r="I2049" s="0" t="s">
        <v>431</v>
      </c>
      <c r="J2049" s="0" t="s">
        <v>380</v>
      </c>
      <c r="K2049" s="0" t="s">
        <v>380</v>
      </c>
      <c r="L2049" s="0" t="str">
        <f aca="false">IF(H2049&gt;I2049,"ERRO","OK")</f>
        <v>OK</v>
      </c>
      <c r="M2049" s="0" t="str">
        <f aca="false">IF(H2049&gt;J2049,"ERRO","OK")</f>
        <v>ERRO</v>
      </c>
      <c r="N2049" s="0" t="str">
        <f aca="false">IF(I2049&lt;J2049,"ERRO","OK")</f>
        <v>OK</v>
      </c>
    </row>
    <row r="2050" customFormat="false" ht="14.25" hidden="false" customHeight="false" outlineLevel="0" collapsed="false">
      <c r="A2050" s="0" t="n">
        <v>89</v>
      </c>
      <c r="B2050" s="0" t="n">
        <v>2025</v>
      </c>
      <c r="C2050" s="3" t="n">
        <v>45688</v>
      </c>
      <c r="E2050" s="0" t="s">
        <v>40</v>
      </c>
      <c r="F2050" s="0" t="s">
        <v>39</v>
      </c>
      <c r="G2050" s="0" t="s">
        <v>431</v>
      </c>
      <c r="H2050" s="0" t="s">
        <v>431</v>
      </c>
      <c r="I2050" s="0" t="s">
        <v>400</v>
      </c>
      <c r="J2050" s="0" t="s">
        <v>564</v>
      </c>
      <c r="K2050" s="0" t="s">
        <v>396</v>
      </c>
      <c r="L2050" s="0" t="str">
        <f aca="false">IF(H2050&gt;I2050,"ERRO","OK")</f>
        <v>OK</v>
      </c>
      <c r="M2050" s="0" t="str">
        <f aca="false">IF(H2050&gt;J2050,"ERRO","OK")</f>
        <v>OK</v>
      </c>
      <c r="N2050" s="0" t="str">
        <f aca="false">IF(I2050&lt;J2050,"ERRO","OK")</f>
        <v>OK</v>
      </c>
    </row>
    <row r="2051" customFormat="false" ht="14.25" hidden="false" customHeight="false" outlineLevel="0" collapsed="false">
      <c r="A2051" s="0" t="n">
        <v>89</v>
      </c>
      <c r="B2051" s="0" t="n">
        <v>2025</v>
      </c>
      <c r="C2051" s="3" t="n">
        <v>45688</v>
      </c>
      <c r="E2051" s="0" t="s">
        <v>157</v>
      </c>
      <c r="F2051" s="0" t="s">
        <v>158</v>
      </c>
      <c r="H2051" s="0" t="s">
        <v>370</v>
      </c>
      <c r="I2051" s="0" t="s">
        <v>406</v>
      </c>
      <c r="J2051" s="0" t="s">
        <v>403</v>
      </c>
      <c r="K2051" s="0" t="s">
        <v>403</v>
      </c>
      <c r="L2051" s="0" t="str">
        <f aca="false">IF(H2051&gt;I2051,"ERRO","OK")</f>
        <v>OK</v>
      </c>
      <c r="M2051" s="0" t="str">
        <f aca="false">IF(H2051&gt;J2051,"ERRO","OK")</f>
        <v>OK</v>
      </c>
      <c r="N2051" s="0" t="str">
        <f aca="false">IF(I2051&lt;J2051,"ERRO","OK")</f>
        <v>OK</v>
      </c>
    </row>
    <row r="2052" customFormat="false" ht="14.25" hidden="false" customHeight="false" outlineLevel="0" collapsed="false">
      <c r="A2052" s="0" t="n">
        <v>89</v>
      </c>
      <c r="B2052" s="0" t="n">
        <v>2025</v>
      </c>
      <c r="C2052" s="3" t="n">
        <v>45688</v>
      </c>
      <c r="E2052" s="0" t="s">
        <v>43</v>
      </c>
      <c r="F2052" s="0" t="s">
        <v>44</v>
      </c>
      <c r="G2052" s="0" t="s">
        <v>405</v>
      </c>
      <c r="H2052" s="0" t="s">
        <v>405</v>
      </c>
      <c r="I2052" s="0" t="s">
        <v>406</v>
      </c>
      <c r="J2052" s="0" t="s">
        <v>565</v>
      </c>
      <c r="K2052" s="0" t="s">
        <v>405</v>
      </c>
      <c r="L2052" s="0" t="str">
        <f aca="false">IF(H2052&gt;I2052,"ERRO","OK")</f>
        <v>OK</v>
      </c>
      <c r="M2052" s="0" t="str">
        <f aca="false">IF(H2052&gt;J2052,"ERRO","OK")</f>
        <v>OK</v>
      </c>
      <c r="N2052" s="0" t="str">
        <f aca="false">IF(I2052&lt;J2052,"ERRO","OK")</f>
        <v>OK</v>
      </c>
    </row>
    <row r="2053" customFormat="false" ht="14.25" hidden="false" customHeight="false" outlineLevel="0" collapsed="false">
      <c r="A2053" s="0" t="n">
        <v>89</v>
      </c>
      <c r="B2053" s="0" t="n">
        <v>2025</v>
      </c>
      <c r="C2053" s="3" t="n">
        <v>45688</v>
      </c>
      <c r="E2053" s="0" t="s">
        <v>46</v>
      </c>
      <c r="F2053" s="0" t="s">
        <v>47</v>
      </c>
      <c r="G2053" s="0" t="s">
        <v>406</v>
      </c>
      <c r="H2053" s="0" t="s">
        <v>402</v>
      </c>
      <c r="I2053" s="0" t="s">
        <v>406</v>
      </c>
      <c r="J2053" s="0" t="s">
        <v>411</v>
      </c>
      <c r="K2053" s="0" t="s">
        <v>370</v>
      </c>
      <c r="L2053" s="0" t="str">
        <f aca="false">IF(H2053&gt;I2053,"ERRO","OK")</f>
        <v>OK</v>
      </c>
      <c r="M2053" s="0" t="str">
        <f aca="false">IF(H2053&gt;J2053,"ERRO","OK")</f>
        <v>OK</v>
      </c>
      <c r="N2053" s="0" t="str">
        <f aca="false">IF(I2053&lt;J2053,"ERRO","OK")</f>
        <v>OK</v>
      </c>
    </row>
    <row r="2054" customFormat="false" ht="14.25" hidden="false" customHeight="false" outlineLevel="0" collapsed="false">
      <c r="A2054" s="0" t="n">
        <v>89</v>
      </c>
      <c r="B2054" s="0" t="n">
        <v>2025</v>
      </c>
      <c r="C2054" s="3" t="n">
        <v>45688</v>
      </c>
      <c r="E2054" s="0" t="s">
        <v>48</v>
      </c>
      <c r="F2054" s="0" t="s">
        <v>49</v>
      </c>
      <c r="G2054" s="0" t="s">
        <v>405</v>
      </c>
      <c r="H2054" s="0" t="s">
        <v>405</v>
      </c>
      <c r="I2054" s="0" t="s">
        <v>405</v>
      </c>
      <c r="J2054" s="0" t="s">
        <v>405</v>
      </c>
      <c r="K2054" s="0" t="s">
        <v>405</v>
      </c>
      <c r="L2054" s="0" t="str">
        <f aca="false">IF(H2054&gt;I2054,"ERRO","OK")</f>
        <v>OK</v>
      </c>
      <c r="M2054" s="0" t="str">
        <f aca="false">IF(H2054&gt;J2054,"ERRO","OK")</f>
        <v>OK</v>
      </c>
      <c r="N2054" s="0" t="str">
        <f aca="false">IF(I2054&lt;J2054,"ERRO","OK")</f>
        <v>OK</v>
      </c>
    </row>
    <row r="2055" customFormat="false" ht="14.25" hidden="false" customHeight="false" outlineLevel="0" collapsed="false">
      <c r="A2055" s="0" t="n">
        <v>89</v>
      </c>
      <c r="B2055" s="0" t="n">
        <v>2025</v>
      </c>
      <c r="C2055" s="3" t="n">
        <v>45688</v>
      </c>
      <c r="E2055" s="0" t="s">
        <v>52</v>
      </c>
      <c r="F2055" s="0" t="s">
        <v>49</v>
      </c>
      <c r="H2055" s="0" t="s">
        <v>398</v>
      </c>
      <c r="I2055" s="0" t="s">
        <v>398</v>
      </c>
      <c r="J2055" s="0" t="s">
        <v>398</v>
      </c>
      <c r="K2055" s="0" t="s">
        <v>398</v>
      </c>
      <c r="L2055" s="0" t="str">
        <f aca="false">IF(H2055&gt;I2055,"ERRO","OK")</f>
        <v>OK</v>
      </c>
      <c r="M2055" s="0" t="str">
        <f aca="false">IF(H2055&gt;J2055,"ERRO","OK")</f>
        <v>OK</v>
      </c>
      <c r="N2055" s="0" t="str">
        <f aca="false">IF(I2055&lt;J2055,"ERRO","OK")</f>
        <v>OK</v>
      </c>
    </row>
    <row r="2056" customFormat="false" ht="14.25" hidden="false" customHeight="false" outlineLevel="0" collapsed="false">
      <c r="A2056" s="0" t="n">
        <v>89</v>
      </c>
      <c r="B2056" s="0" t="n">
        <v>2025</v>
      </c>
      <c r="C2056" s="3" t="n">
        <v>45688</v>
      </c>
      <c r="E2056" s="0" t="s">
        <v>53</v>
      </c>
      <c r="F2056" s="0" t="s">
        <v>54</v>
      </c>
      <c r="G2056" s="0" t="s">
        <v>405</v>
      </c>
      <c r="H2056" s="0" t="s">
        <v>370</v>
      </c>
      <c r="I2056" s="0" t="s">
        <v>370</v>
      </c>
      <c r="J2056" s="0" t="s">
        <v>411</v>
      </c>
      <c r="K2056" s="0" t="s">
        <v>370</v>
      </c>
      <c r="L2056" s="0" t="str">
        <f aca="false">IF(H2056&gt;I2056,"ERRO","OK")</f>
        <v>OK</v>
      </c>
      <c r="M2056" s="0" t="str">
        <f aca="false">IF(H2056&gt;J2056,"ERRO","OK")</f>
        <v>ERRO</v>
      </c>
      <c r="N2056" s="0" t="str">
        <f aca="false">IF(I2056&lt;J2056,"ERRO","OK")</f>
        <v>OK</v>
      </c>
    </row>
    <row r="2057" customFormat="false" ht="14.25" hidden="false" customHeight="false" outlineLevel="0" collapsed="false">
      <c r="A2057" s="0" t="n">
        <v>89</v>
      </c>
      <c r="B2057" s="0" t="n">
        <v>2025</v>
      </c>
      <c r="C2057" s="3" t="n">
        <v>45688</v>
      </c>
      <c r="E2057" s="0" t="s">
        <v>56</v>
      </c>
      <c r="F2057" s="0" t="s">
        <v>47</v>
      </c>
      <c r="G2057" s="0" t="s">
        <v>370</v>
      </c>
      <c r="H2057" s="0" t="s">
        <v>370</v>
      </c>
      <c r="I2057" s="0" t="s">
        <v>398</v>
      </c>
      <c r="J2057" s="0" t="s">
        <v>446</v>
      </c>
      <c r="K2057" s="0" t="s">
        <v>406</v>
      </c>
      <c r="L2057" s="0" t="str">
        <f aca="false">IF(H2057&gt;I2057,"ERRO","OK")</f>
        <v>OK</v>
      </c>
      <c r="M2057" s="0" t="str">
        <f aca="false">IF(H2057&gt;J2057,"ERRO","OK")</f>
        <v>OK</v>
      </c>
      <c r="N2057" s="0" t="str">
        <f aca="false">IF(I2057&lt;J2057,"ERRO","OK")</f>
        <v>OK</v>
      </c>
    </row>
    <row r="2058" customFormat="false" ht="14.25" hidden="false" customHeight="false" outlineLevel="0" collapsed="false">
      <c r="A2058" s="0" t="n">
        <v>89</v>
      </c>
      <c r="B2058" s="0" t="n">
        <v>2025</v>
      </c>
      <c r="C2058" s="3" t="n">
        <v>45688</v>
      </c>
      <c r="E2058" s="0" t="s">
        <v>57</v>
      </c>
      <c r="F2058" s="0" t="s">
        <v>47</v>
      </c>
      <c r="H2058" s="0" t="s">
        <v>370</v>
      </c>
      <c r="I2058" s="0" t="s">
        <v>398</v>
      </c>
      <c r="J2058" s="0" t="s">
        <v>382</v>
      </c>
      <c r="K2058" s="0" t="s">
        <v>382</v>
      </c>
      <c r="L2058" s="0" t="str">
        <f aca="false">IF(H2058&gt;I2058,"ERRO","OK")</f>
        <v>OK</v>
      </c>
      <c r="M2058" s="0" t="str">
        <f aca="false">IF(H2058&gt;J2058,"ERRO","OK")</f>
        <v>OK</v>
      </c>
      <c r="N2058" s="0" t="str">
        <f aca="false">IF(I2058&lt;J2058,"ERRO","OK")</f>
        <v>OK</v>
      </c>
    </row>
    <row r="2059" customFormat="false" ht="14.25" hidden="false" customHeight="false" outlineLevel="0" collapsed="false">
      <c r="A2059" s="0" t="n">
        <v>89</v>
      </c>
      <c r="B2059" s="0" t="n">
        <v>2025</v>
      </c>
      <c r="C2059" s="3" t="n">
        <v>45688</v>
      </c>
      <c r="E2059" s="0" t="s">
        <v>58</v>
      </c>
      <c r="F2059" s="0" t="s">
        <v>44</v>
      </c>
      <c r="G2059" s="0" t="s">
        <v>370</v>
      </c>
      <c r="H2059" s="0" t="s">
        <v>370</v>
      </c>
      <c r="I2059" s="0" t="s">
        <v>382</v>
      </c>
      <c r="J2059" s="0" t="s">
        <v>386</v>
      </c>
      <c r="K2059" s="0" t="s">
        <v>370</v>
      </c>
      <c r="L2059" s="0" t="str">
        <f aca="false">IF(H2059&gt;I2059,"ERRO","OK")</f>
        <v>OK</v>
      </c>
      <c r="M2059" s="0" t="str">
        <f aca="false">IF(H2059&gt;J2059,"ERRO","OK")</f>
        <v>OK</v>
      </c>
      <c r="N2059" s="0" t="str">
        <f aca="false">IF(I2059&lt;J2059,"ERRO","OK")</f>
        <v>OK</v>
      </c>
    </row>
    <row r="2060" customFormat="false" ht="14.25" hidden="false" customHeight="false" outlineLevel="0" collapsed="false">
      <c r="A2060" s="0" t="n">
        <v>89</v>
      </c>
      <c r="B2060" s="0" t="n">
        <v>2025</v>
      </c>
      <c r="C2060" s="3" t="n">
        <v>45688</v>
      </c>
      <c r="E2060" s="0" t="s">
        <v>60</v>
      </c>
      <c r="F2060" s="0" t="s">
        <v>47</v>
      </c>
      <c r="H2060" s="0" t="s">
        <v>398</v>
      </c>
      <c r="I2060" s="0" t="s">
        <v>398</v>
      </c>
      <c r="J2060" s="0" t="s">
        <v>398</v>
      </c>
      <c r="K2060" s="0" t="s">
        <v>398</v>
      </c>
      <c r="L2060" s="0" t="str">
        <f aca="false">IF(H2060&gt;I2060,"ERRO","OK")</f>
        <v>OK</v>
      </c>
      <c r="M2060" s="0" t="str">
        <f aca="false">IF(H2060&gt;J2060,"ERRO","OK")</f>
        <v>OK</v>
      </c>
      <c r="N2060" s="0" t="str">
        <f aca="false">IF(I2060&lt;J2060,"ERRO","OK")</f>
        <v>OK</v>
      </c>
    </row>
    <row r="2061" customFormat="false" ht="14.25" hidden="false" customHeight="false" outlineLevel="0" collapsed="false">
      <c r="A2061" s="0" t="n">
        <v>89</v>
      </c>
      <c r="B2061" s="0" t="n">
        <v>2025</v>
      </c>
      <c r="C2061" s="3" t="n">
        <v>45688</v>
      </c>
      <c r="E2061" s="0" t="s">
        <v>61</v>
      </c>
      <c r="F2061" s="0" t="s">
        <v>44</v>
      </c>
      <c r="G2061" s="0" t="s">
        <v>406</v>
      </c>
      <c r="H2061" s="0" t="s">
        <v>406</v>
      </c>
      <c r="I2061" s="0" t="s">
        <v>406</v>
      </c>
      <c r="J2061" s="0" t="s">
        <v>406</v>
      </c>
      <c r="K2061" s="0" t="s">
        <v>406</v>
      </c>
      <c r="L2061" s="0" t="str">
        <f aca="false">IF(H2061&gt;I2061,"ERRO","OK")</f>
        <v>OK</v>
      </c>
      <c r="M2061" s="0" t="str">
        <f aca="false">IF(H2061&gt;J2061,"ERRO","OK")</f>
        <v>OK</v>
      </c>
      <c r="N2061" s="0" t="str">
        <f aca="false">IF(I2061&lt;J2061,"ERRO","OK")</f>
        <v>OK</v>
      </c>
    </row>
    <row r="2062" customFormat="false" ht="14.25" hidden="false" customHeight="false" outlineLevel="0" collapsed="false">
      <c r="A2062" s="0" t="n">
        <v>89</v>
      </c>
      <c r="B2062" s="0" t="n">
        <v>2025</v>
      </c>
      <c r="C2062" s="3" t="n">
        <v>45688</v>
      </c>
      <c r="E2062" s="0" t="s">
        <v>62</v>
      </c>
      <c r="F2062" s="0" t="s">
        <v>44</v>
      </c>
      <c r="H2062" s="0" t="s">
        <v>397</v>
      </c>
      <c r="I2062" s="0" t="s">
        <v>413</v>
      </c>
      <c r="J2062" s="0" t="s">
        <v>566</v>
      </c>
      <c r="K2062" s="0" t="s">
        <v>424</v>
      </c>
      <c r="L2062" s="0" t="str">
        <f aca="false">IF(H2062&gt;I2062,"ERRO","OK")</f>
        <v>ERRO</v>
      </c>
      <c r="M2062" s="0" t="str">
        <f aca="false">IF(H2062&gt;J2062,"ERRO","OK")</f>
        <v>OK</v>
      </c>
      <c r="N2062" s="0" t="str">
        <f aca="false">IF(I2062&lt;J2062,"ERRO","OK")</f>
        <v>ERRO</v>
      </c>
    </row>
    <row r="2063" customFormat="false" ht="14.25" hidden="false" customHeight="false" outlineLevel="0" collapsed="false">
      <c r="A2063" s="0" t="n">
        <v>89</v>
      </c>
      <c r="B2063" s="0" t="n">
        <v>2025</v>
      </c>
      <c r="C2063" s="3" t="n">
        <v>45688</v>
      </c>
      <c r="E2063" s="0" t="s">
        <v>63</v>
      </c>
      <c r="F2063" s="0" t="s">
        <v>49</v>
      </c>
      <c r="H2063" s="0" t="s">
        <v>431</v>
      </c>
      <c r="I2063" s="0" t="s">
        <v>497</v>
      </c>
      <c r="J2063" s="0" t="s">
        <v>402</v>
      </c>
      <c r="K2063" s="0" t="s">
        <v>400</v>
      </c>
      <c r="L2063" s="0" t="str">
        <f aca="false">IF(H2063&gt;I2063,"ERRO","OK")</f>
        <v>OK</v>
      </c>
      <c r="M2063" s="0" t="str">
        <f aca="false">IF(H2063&gt;J2063,"ERRO","OK")</f>
        <v>OK</v>
      </c>
      <c r="N2063" s="0" t="str">
        <f aca="false">IF(I2063&lt;J2063,"ERRO","OK")</f>
        <v>OK</v>
      </c>
    </row>
    <row r="2064" customFormat="false" ht="14.25" hidden="false" customHeight="false" outlineLevel="0" collapsed="false">
      <c r="A2064" s="0" t="n">
        <v>89</v>
      </c>
      <c r="B2064" s="0" t="n">
        <v>2025</v>
      </c>
      <c r="C2064" s="3" t="n">
        <v>45688</v>
      </c>
      <c r="E2064" s="0" t="s">
        <v>64</v>
      </c>
      <c r="F2064" s="0" t="s">
        <v>65</v>
      </c>
      <c r="G2064" s="0" t="s">
        <v>405</v>
      </c>
      <c r="H2064" s="0" t="s">
        <v>405</v>
      </c>
      <c r="I2064" s="0" t="s">
        <v>370</v>
      </c>
      <c r="J2064" s="0" t="s">
        <v>408</v>
      </c>
      <c r="K2064" s="0" t="s">
        <v>408</v>
      </c>
      <c r="L2064" s="0" t="str">
        <f aca="false">IF(H2064&gt;I2064,"ERRO","OK")</f>
        <v>OK</v>
      </c>
      <c r="M2064" s="0" t="str">
        <f aca="false">IF(H2064&gt;J2064,"ERRO","OK")</f>
        <v>OK</v>
      </c>
      <c r="N2064" s="0" t="str">
        <f aca="false">IF(I2064&lt;J2064,"ERRO","OK")</f>
        <v>OK</v>
      </c>
    </row>
    <row r="2065" customFormat="false" ht="14.25" hidden="false" customHeight="false" outlineLevel="0" collapsed="false">
      <c r="A2065" s="0" t="n">
        <v>89</v>
      </c>
      <c r="B2065" s="0" t="n">
        <v>2025</v>
      </c>
      <c r="C2065" s="3" t="n">
        <v>45688</v>
      </c>
      <c r="E2065" s="0" t="s">
        <v>67</v>
      </c>
      <c r="F2065" s="0" t="s">
        <v>44</v>
      </c>
      <c r="G2065" s="0" t="s">
        <v>417</v>
      </c>
      <c r="H2065" s="0" t="s">
        <v>370</v>
      </c>
      <c r="I2065" s="0" t="s">
        <v>417</v>
      </c>
      <c r="J2065" s="0" t="s">
        <v>567</v>
      </c>
      <c r="K2065" s="0" t="s">
        <v>399</v>
      </c>
      <c r="L2065" s="0" t="str">
        <f aca="false">IF(H2065&gt;I2065,"ERRO","OK")</f>
        <v>OK</v>
      </c>
      <c r="M2065" s="0" t="str">
        <f aca="false">IF(H2065&gt;J2065,"ERRO","OK")</f>
        <v>OK</v>
      </c>
      <c r="N2065" s="0" t="str">
        <f aca="false">IF(I2065&lt;J2065,"ERRO","OK")</f>
        <v>OK</v>
      </c>
    </row>
    <row r="2066" customFormat="false" ht="14.25" hidden="false" customHeight="false" outlineLevel="0" collapsed="false">
      <c r="A2066" s="0" t="n">
        <v>89</v>
      </c>
      <c r="B2066" s="0" t="n">
        <v>2025</v>
      </c>
      <c r="C2066" s="3" t="n">
        <v>45688</v>
      </c>
      <c r="E2066" s="0" t="s">
        <v>68</v>
      </c>
      <c r="F2066" s="0" t="s">
        <v>44</v>
      </c>
      <c r="H2066" s="0" t="s">
        <v>370</v>
      </c>
      <c r="I2066" s="0" t="s">
        <v>427</v>
      </c>
      <c r="J2066" s="0" t="s">
        <v>398</v>
      </c>
      <c r="K2066" s="0" t="s">
        <v>398</v>
      </c>
      <c r="L2066" s="0" t="str">
        <f aca="false">IF(H2066&gt;I2066,"ERRO","OK")</f>
        <v>ERRO</v>
      </c>
      <c r="M2066" s="0" t="str">
        <f aca="false">IF(H2066&gt;J2066,"ERRO","OK")</f>
        <v>OK</v>
      </c>
      <c r="N2066" s="0" t="str">
        <f aca="false">IF(I2066&lt;J2066,"ERRO","OK")</f>
        <v>ERRO</v>
      </c>
    </row>
    <row r="2067" customFormat="false" ht="14.25" hidden="false" customHeight="false" outlineLevel="0" collapsed="false">
      <c r="A2067" s="0" t="n">
        <v>89</v>
      </c>
      <c r="B2067" s="0" t="n">
        <v>2025</v>
      </c>
      <c r="C2067" s="3" t="n">
        <v>45688</v>
      </c>
      <c r="E2067" s="20" t="s">
        <v>70</v>
      </c>
      <c r="F2067" s="21" t="s">
        <v>49</v>
      </c>
      <c r="L2067" s="0" t="str">
        <f aca="false">IF(H2067&gt;I2067,"ERRO","OK")</f>
        <v>OK</v>
      </c>
      <c r="M2067" s="0" t="str">
        <f aca="false">IF(H2067&gt;J2067,"ERRO","OK")</f>
        <v>OK</v>
      </c>
      <c r="N2067" s="0" t="str">
        <f aca="false">IF(I2067&lt;J2067,"ERRO","OK")</f>
        <v>OK</v>
      </c>
    </row>
    <row r="2068" customFormat="false" ht="14.25" hidden="false" customHeight="false" outlineLevel="0" collapsed="false">
      <c r="A2068" s="0" t="n">
        <v>89</v>
      </c>
      <c r="B2068" s="0" t="n">
        <v>2025</v>
      </c>
      <c r="C2068" s="3" t="n">
        <v>45688</v>
      </c>
      <c r="E2068" s="20" t="s">
        <v>71</v>
      </c>
      <c r="F2068" s="21" t="s">
        <v>49</v>
      </c>
      <c r="L2068" s="0" t="str">
        <f aca="false">IF(H2068&gt;I2068,"ERRO","OK")</f>
        <v>OK</v>
      </c>
      <c r="M2068" s="0" t="str">
        <f aca="false">IF(H2068&gt;J2068,"ERRO","OK")</f>
        <v>OK</v>
      </c>
      <c r="N2068" s="0" t="str">
        <f aca="false">IF(I2068&lt;J2068,"ERRO","OK")</f>
        <v>OK</v>
      </c>
    </row>
    <row r="2069" customFormat="false" ht="14.25" hidden="false" customHeight="false" outlineLevel="0" collapsed="false">
      <c r="A2069" s="0" t="n">
        <v>89</v>
      </c>
      <c r="B2069" s="0" t="n">
        <v>2025</v>
      </c>
      <c r="C2069" s="3" t="n">
        <v>45688</v>
      </c>
      <c r="E2069" s="20" t="s">
        <v>72</v>
      </c>
      <c r="F2069" s="21" t="s">
        <v>49</v>
      </c>
      <c r="L2069" s="0" t="str">
        <f aca="false">IF(H2069&gt;I2069,"ERRO","OK")</f>
        <v>OK</v>
      </c>
      <c r="M2069" s="0" t="str">
        <f aca="false">IF(H2069&gt;J2069,"ERRO","OK")</f>
        <v>OK</v>
      </c>
      <c r="N2069" s="0" t="str">
        <f aca="false">IF(I2069&lt;J2069,"ERRO","OK")</f>
        <v>OK</v>
      </c>
    </row>
    <row r="2070" customFormat="false" ht="14.25" hidden="false" customHeight="false" outlineLevel="0" collapsed="false">
      <c r="A2070" s="0" t="n">
        <v>89</v>
      </c>
      <c r="B2070" s="0" t="n">
        <v>2025</v>
      </c>
      <c r="C2070" s="3" t="n">
        <v>45688</v>
      </c>
      <c r="E2070" s="20" t="s">
        <v>73</v>
      </c>
      <c r="F2070" s="21" t="s">
        <v>49</v>
      </c>
      <c r="L2070" s="0" t="str">
        <f aca="false">IF(H2070&gt;I2070,"ERRO","OK")</f>
        <v>OK</v>
      </c>
      <c r="M2070" s="0" t="str">
        <f aca="false">IF(H2070&gt;J2070,"ERRO","OK")</f>
        <v>OK</v>
      </c>
      <c r="N2070" s="0" t="str">
        <f aca="false">IF(I2070&lt;J2070,"ERRO","OK")</f>
        <v>OK</v>
      </c>
    </row>
    <row r="2071" customFormat="false" ht="14.25" hidden="false" customHeight="false" outlineLevel="0" collapsed="false">
      <c r="A2071" s="0" t="n">
        <v>89</v>
      </c>
      <c r="B2071" s="0" t="n">
        <v>2025</v>
      </c>
      <c r="C2071" s="3" t="n">
        <v>45688</v>
      </c>
      <c r="E2071" s="20" t="s">
        <v>74</v>
      </c>
      <c r="F2071" s="21" t="s">
        <v>75</v>
      </c>
      <c r="L2071" s="0" t="str">
        <f aca="false">IF(H2071&gt;I2071,"ERRO","OK")</f>
        <v>OK</v>
      </c>
      <c r="M2071" s="0" t="str">
        <f aca="false">IF(H2071&gt;J2071,"ERRO","OK")</f>
        <v>OK</v>
      </c>
      <c r="N2071" s="0" t="str">
        <f aca="false">IF(I2071&lt;J2071,"ERRO","OK")</f>
        <v>OK</v>
      </c>
    </row>
    <row r="2072" customFormat="false" ht="14.25" hidden="false" customHeight="false" outlineLevel="0" collapsed="false">
      <c r="A2072" s="0" t="n">
        <v>90</v>
      </c>
      <c r="B2072" s="0" t="n">
        <v>2025</v>
      </c>
      <c r="C2072" s="3" t="n">
        <v>45695</v>
      </c>
      <c r="E2072" s="0" t="s">
        <v>16</v>
      </c>
      <c r="F2072" s="0" t="s">
        <v>17</v>
      </c>
      <c r="H2072" s="0" t="s">
        <v>375</v>
      </c>
      <c r="I2072" s="0" t="s">
        <v>372</v>
      </c>
      <c r="J2072" s="0" t="s">
        <v>371</v>
      </c>
      <c r="K2072" s="0" t="s">
        <v>389</v>
      </c>
      <c r="L2072" s="0" t="str">
        <f aca="false">IF(H2072&gt;I2072,"ERRO","OK")</f>
        <v>OK</v>
      </c>
      <c r="M2072" s="0" t="str">
        <f aca="false">IF(H2072&gt;J2072,"ERRO","OK")</f>
        <v>OK</v>
      </c>
      <c r="N2072" s="0" t="str">
        <f aca="false">IF(I2072&lt;J2072,"ERRO","OK")</f>
        <v>OK</v>
      </c>
    </row>
    <row r="2073" customFormat="false" ht="14.25" hidden="false" customHeight="false" outlineLevel="0" collapsed="false">
      <c r="A2073" s="0" t="n">
        <v>90</v>
      </c>
      <c r="B2073" s="0" t="n">
        <v>2025</v>
      </c>
      <c r="C2073" s="3" t="n">
        <v>45695</v>
      </c>
      <c r="E2073" s="0" t="s">
        <v>18</v>
      </c>
      <c r="F2073" s="0" t="s">
        <v>17</v>
      </c>
      <c r="G2073" s="0" t="s">
        <v>373</v>
      </c>
      <c r="H2073" s="0" t="s">
        <v>373</v>
      </c>
      <c r="I2073" s="0" t="s">
        <v>485</v>
      </c>
      <c r="J2073" s="0" t="s">
        <v>417</v>
      </c>
      <c r="K2073" s="0" t="s">
        <v>417</v>
      </c>
      <c r="L2073" s="0" t="str">
        <f aca="false">IF(H2073&gt;I2073,"ERRO","OK")</f>
        <v>OK</v>
      </c>
      <c r="M2073" s="0" t="str">
        <f aca="false">IF(H2073&gt;J2073,"ERRO","OK")</f>
        <v>OK</v>
      </c>
      <c r="N2073" s="0" t="str">
        <f aca="false">IF(I2073&lt;J2073,"ERRO","OK")</f>
        <v>OK</v>
      </c>
    </row>
    <row r="2074" customFormat="false" ht="14.25" hidden="false" customHeight="false" outlineLevel="0" collapsed="false">
      <c r="A2074" s="0" t="n">
        <v>90</v>
      </c>
      <c r="B2074" s="0" t="n">
        <v>2025</v>
      </c>
      <c r="C2074" s="3" t="n">
        <v>45695</v>
      </c>
      <c r="E2074" s="0" t="s">
        <v>19</v>
      </c>
      <c r="F2074" s="0" t="s">
        <v>17</v>
      </c>
      <c r="H2074" s="0" t="s">
        <v>409</v>
      </c>
      <c r="I2074" s="0" t="s">
        <v>370</v>
      </c>
      <c r="J2074" s="0" t="s">
        <v>568</v>
      </c>
      <c r="K2074" s="0" t="s">
        <v>499</v>
      </c>
      <c r="L2074" s="0" t="str">
        <f aca="false">IF(H2074&gt;I2074,"ERRO","OK")</f>
        <v>OK</v>
      </c>
      <c r="M2074" s="0" t="str">
        <f aca="false">IF(H2074&gt;J2074,"ERRO","OK")</f>
        <v>OK</v>
      </c>
      <c r="N2074" s="0" t="str">
        <f aca="false">IF(I2074&lt;J2074,"ERRO","OK")</f>
        <v>OK</v>
      </c>
    </row>
    <row r="2075" customFormat="false" ht="14.25" hidden="false" customHeight="false" outlineLevel="0" collapsed="false">
      <c r="A2075" s="0" t="n">
        <v>90</v>
      </c>
      <c r="B2075" s="0" t="n">
        <v>2025</v>
      </c>
      <c r="C2075" s="3" t="n">
        <v>45695</v>
      </c>
      <c r="E2075" s="0" t="s">
        <v>20</v>
      </c>
      <c r="F2075" s="0" t="s">
        <v>17</v>
      </c>
      <c r="G2075" s="0" t="s">
        <v>377</v>
      </c>
      <c r="H2075" s="0" t="s">
        <v>374</v>
      </c>
      <c r="I2075" s="0" t="s">
        <v>370</v>
      </c>
      <c r="J2075" s="0" t="s">
        <v>467</v>
      </c>
      <c r="K2075" s="0" t="s">
        <v>377</v>
      </c>
      <c r="L2075" s="0" t="str">
        <f aca="false">IF(H2075&gt;I2075,"ERRO","OK")</f>
        <v>OK</v>
      </c>
      <c r="M2075" s="0" t="str">
        <f aca="false">IF(H2075&gt;J2075,"ERRO","OK")</f>
        <v>OK</v>
      </c>
      <c r="N2075" s="0" t="str">
        <f aca="false">IF(I2075&lt;J2075,"ERRO","OK")</f>
        <v>OK</v>
      </c>
    </row>
    <row r="2076" customFormat="false" ht="14.25" hidden="false" customHeight="false" outlineLevel="0" collapsed="false">
      <c r="A2076" s="0" t="n">
        <v>90</v>
      </c>
      <c r="B2076" s="0" t="n">
        <v>2025</v>
      </c>
      <c r="C2076" s="3" t="n">
        <v>45695</v>
      </c>
      <c r="E2076" s="0" t="s">
        <v>21</v>
      </c>
      <c r="F2076" s="0" t="s">
        <v>17</v>
      </c>
      <c r="G2076" s="0" t="s">
        <v>377</v>
      </c>
      <c r="H2076" s="0" t="s">
        <v>374</v>
      </c>
      <c r="I2076" s="0" t="s">
        <v>370</v>
      </c>
      <c r="J2076" s="0" t="s">
        <v>467</v>
      </c>
      <c r="K2076" s="0" t="s">
        <v>377</v>
      </c>
      <c r="L2076" s="0" t="str">
        <f aca="false">IF(H2076&gt;I2076,"ERRO","OK")</f>
        <v>OK</v>
      </c>
      <c r="M2076" s="0" t="str">
        <f aca="false">IF(H2076&gt;J2076,"ERRO","OK")</f>
        <v>OK</v>
      </c>
      <c r="N2076" s="0" t="str">
        <f aca="false">IF(I2076&lt;J2076,"ERRO","OK")</f>
        <v>OK</v>
      </c>
    </row>
    <row r="2077" customFormat="false" ht="14.25" hidden="false" customHeight="false" outlineLevel="0" collapsed="false">
      <c r="A2077" s="0" t="n">
        <v>90</v>
      </c>
      <c r="B2077" s="0" t="n">
        <v>2025</v>
      </c>
      <c r="C2077" s="3" t="n">
        <v>45695</v>
      </c>
      <c r="E2077" s="0" t="s">
        <v>22</v>
      </c>
      <c r="F2077" s="0" t="s">
        <v>17</v>
      </c>
      <c r="G2077" s="0" t="s">
        <v>370</v>
      </c>
      <c r="H2077" s="0" t="s">
        <v>370</v>
      </c>
      <c r="I2077" s="0" t="s">
        <v>372</v>
      </c>
      <c r="J2077" s="0" t="s">
        <v>569</v>
      </c>
      <c r="K2077" s="0" t="s">
        <v>387</v>
      </c>
      <c r="L2077" s="0" t="str">
        <f aca="false">IF(H2077&gt;I2077,"ERRO","OK")</f>
        <v>OK</v>
      </c>
      <c r="M2077" s="0" t="str">
        <f aca="false">IF(H2077&gt;J2077,"ERRO","OK")</f>
        <v>OK</v>
      </c>
      <c r="N2077" s="0" t="str">
        <f aca="false">IF(I2077&lt;J2077,"ERRO","OK")</f>
        <v>OK</v>
      </c>
    </row>
    <row r="2078" customFormat="false" ht="14.25" hidden="false" customHeight="false" outlineLevel="0" collapsed="false">
      <c r="A2078" s="0" t="n">
        <v>90</v>
      </c>
      <c r="B2078" s="0" t="n">
        <v>2025</v>
      </c>
      <c r="C2078" s="3" t="n">
        <v>45695</v>
      </c>
      <c r="E2078" s="0" t="s">
        <v>23</v>
      </c>
      <c r="F2078" s="0" t="s">
        <v>17</v>
      </c>
      <c r="G2078" s="0" t="s">
        <v>485</v>
      </c>
      <c r="H2078" s="0" t="s">
        <v>485</v>
      </c>
      <c r="I2078" s="0" t="s">
        <v>485</v>
      </c>
      <c r="J2078" s="0" t="s">
        <v>485</v>
      </c>
      <c r="K2078" s="0" t="s">
        <v>485</v>
      </c>
      <c r="L2078" s="0" t="str">
        <f aca="false">IF(H2078&gt;I2078,"ERRO","OK")</f>
        <v>OK</v>
      </c>
      <c r="M2078" s="0" t="str">
        <f aca="false">IF(H2078&gt;J2078,"ERRO","OK")</f>
        <v>OK</v>
      </c>
      <c r="N2078" s="0" t="str">
        <f aca="false">IF(I2078&lt;J2078,"ERRO","OK")</f>
        <v>OK</v>
      </c>
    </row>
    <row r="2079" customFormat="false" ht="14.25" hidden="false" customHeight="false" outlineLevel="0" collapsed="false">
      <c r="A2079" s="0" t="n">
        <v>90</v>
      </c>
      <c r="B2079" s="0" t="n">
        <v>2025</v>
      </c>
      <c r="C2079" s="3" t="n">
        <v>45695</v>
      </c>
      <c r="E2079" s="0" t="s">
        <v>24</v>
      </c>
      <c r="F2079" s="0" t="s">
        <v>17</v>
      </c>
      <c r="G2079" s="0" t="s">
        <v>372</v>
      </c>
      <c r="H2079" s="0" t="s">
        <v>372</v>
      </c>
      <c r="I2079" s="0" t="s">
        <v>485</v>
      </c>
      <c r="J2079" s="0" t="s">
        <v>510</v>
      </c>
      <c r="K2079" s="0" t="s">
        <v>515</v>
      </c>
      <c r="L2079" s="0" t="str">
        <f aca="false">IF(H2079&gt;I2079,"ERRO","OK")</f>
        <v>OK</v>
      </c>
      <c r="M2079" s="0" t="str">
        <f aca="false">IF(H2079&gt;J2079,"ERRO","OK")</f>
        <v>OK</v>
      </c>
      <c r="N2079" s="0" t="str">
        <f aca="false">IF(I2079&lt;J2079,"ERRO","OK")</f>
        <v>OK</v>
      </c>
    </row>
    <row r="2080" customFormat="false" ht="14.25" hidden="false" customHeight="false" outlineLevel="0" collapsed="false">
      <c r="A2080" s="0" t="n">
        <v>90</v>
      </c>
      <c r="B2080" s="0" t="n">
        <v>2025</v>
      </c>
      <c r="C2080" s="3" t="n">
        <v>45695</v>
      </c>
      <c r="E2080" s="0" t="s">
        <v>25</v>
      </c>
      <c r="F2080" s="0" t="s">
        <v>17</v>
      </c>
      <c r="G2080" s="0" t="s">
        <v>378</v>
      </c>
      <c r="H2080" s="0" t="s">
        <v>378</v>
      </c>
      <c r="I2080" s="0" t="s">
        <v>374</v>
      </c>
      <c r="J2080" s="0" t="s">
        <v>561</v>
      </c>
      <c r="K2080" s="0" t="s">
        <v>561</v>
      </c>
      <c r="L2080" s="0" t="str">
        <f aca="false">IF(H2080&gt;I2080,"ERRO","OK")</f>
        <v>OK</v>
      </c>
      <c r="M2080" s="0" t="str">
        <f aca="false">IF(H2080&gt;J2080,"ERRO","OK")</f>
        <v>OK</v>
      </c>
      <c r="N2080" s="0" t="str">
        <f aca="false">IF(I2080&lt;J2080,"ERRO","OK")</f>
        <v>OK</v>
      </c>
    </row>
    <row r="2081" customFormat="false" ht="14.25" hidden="false" customHeight="false" outlineLevel="0" collapsed="false">
      <c r="A2081" s="0" t="n">
        <v>90</v>
      </c>
      <c r="B2081" s="0" t="n">
        <v>2025</v>
      </c>
      <c r="C2081" s="3" t="n">
        <v>45695</v>
      </c>
      <c r="E2081" s="0" t="s">
        <v>77</v>
      </c>
      <c r="F2081" s="0" t="s">
        <v>17</v>
      </c>
      <c r="G2081" s="0" t="s">
        <v>485</v>
      </c>
      <c r="H2081" s="0" t="s">
        <v>373</v>
      </c>
      <c r="I2081" s="0" t="s">
        <v>485</v>
      </c>
      <c r="J2081" s="0" t="s">
        <v>545</v>
      </c>
      <c r="K2081" s="0" t="s">
        <v>570</v>
      </c>
      <c r="L2081" s="0" t="str">
        <f aca="false">IF(H2081&gt;I2081,"ERRO","OK")</f>
        <v>OK</v>
      </c>
      <c r="M2081" s="0" t="str">
        <f aca="false">IF(H2081&gt;J2081,"ERRO","OK")</f>
        <v>OK</v>
      </c>
      <c r="N2081" s="0" t="str">
        <f aca="false">IF(I2081&lt;J2081,"ERRO","OK")</f>
        <v>OK</v>
      </c>
    </row>
    <row r="2082" customFormat="false" ht="14.25" hidden="false" customHeight="false" outlineLevel="0" collapsed="false">
      <c r="A2082" s="0" t="n">
        <v>90</v>
      </c>
      <c r="B2082" s="0" t="n">
        <v>2025</v>
      </c>
      <c r="C2082" s="3" t="n">
        <v>45695</v>
      </c>
      <c r="E2082" s="0" t="s">
        <v>27</v>
      </c>
      <c r="F2082" s="0" t="s">
        <v>17</v>
      </c>
      <c r="G2082" s="0" t="s">
        <v>374</v>
      </c>
      <c r="H2082" s="0" t="s">
        <v>377</v>
      </c>
      <c r="I2082" s="0" t="s">
        <v>485</v>
      </c>
      <c r="J2082" s="0" t="s">
        <v>369</v>
      </c>
      <c r="K2082" s="0" t="s">
        <v>377</v>
      </c>
      <c r="L2082" s="0" t="str">
        <f aca="false">IF(H2082&gt;I2082,"ERRO","OK")</f>
        <v>OK</v>
      </c>
      <c r="M2082" s="0" t="str">
        <f aca="false">IF(H2082&gt;J2082,"ERRO","OK")</f>
        <v>OK</v>
      </c>
      <c r="N2082" s="0" t="str">
        <f aca="false">IF(I2082&lt;J2082,"ERRO","OK")</f>
        <v>OK</v>
      </c>
    </row>
    <row r="2083" customFormat="false" ht="14.25" hidden="false" customHeight="false" outlineLevel="0" collapsed="false">
      <c r="A2083" s="0" t="n">
        <v>90</v>
      </c>
      <c r="B2083" s="0" t="n">
        <v>2025</v>
      </c>
      <c r="C2083" s="3" t="n">
        <v>45695</v>
      </c>
      <c r="E2083" s="0" t="s">
        <v>28</v>
      </c>
      <c r="F2083" s="0" t="s">
        <v>17</v>
      </c>
      <c r="G2083" s="0" t="s">
        <v>372</v>
      </c>
      <c r="H2083" s="0" t="s">
        <v>372</v>
      </c>
      <c r="I2083" s="0" t="s">
        <v>373</v>
      </c>
      <c r="J2083" s="0" t="s">
        <v>571</v>
      </c>
      <c r="K2083" s="0" t="s">
        <v>397</v>
      </c>
      <c r="L2083" s="0" t="str">
        <f aca="false">IF(H2083&gt;I2083,"ERRO","OK")</f>
        <v>OK</v>
      </c>
      <c r="M2083" s="0" t="str">
        <f aca="false">IF(H2083&gt;J2083,"ERRO","OK")</f>
        <v>OK</v>
      </c>
      <c r="N2083" s="0" t="str">
        <f aca="false">IF(I2083&lt;J2083,"ERRO","OK")</f>
        <v>OK</v>
      </c>
    </row>
    <row r="2084" customFormat="false" ht="14.25" hidden="false" customHeight="false" outlineLevel="0" collapsed="false">
      <c r="A2084" s="0" t="n">
        <v>90</v>
      </c>
      <c r="B2084" s="0" t="n">
        <v>2025</v>
      </c>
      <c r="C2084" s="3" t="n">
        <v>45695</v>
      </c>
      <c r="E2084" s="0" t="s">
        <v>29</v>
      </c>
      <c r="F2084" s="0" t="s">
        <v>30</v>
      </c>
      <c r="G2084" s="0" t="s">
        <v>370</v>
      </c>
      <c r="H2084" s="0" t="s">
        <v>369</v>
      </c>
      <c r="I2084" s="0" t="s">
        <v>372</v>
      </c>
      <c r="J2084" s="0" t="s">
        <v>370</v>
      </c>
      <c r="K2084" s="0" t="s">
        <v>370</v>
      </c>
      <c r="L2084" s="0" t="str">
        <f aca="false">IF(H2084&gt;I2084,"ERRO","OK")</f>
        <v>OK</v>
      </c>
      <c r="M2084" s="0" t="str">
        <f aca="false">IF(H2084&gt;J2084,"ERRO","OK")</f>
        <v>OK</v>
      </c>
      <c r="N2084" s="0" t="str">
        <f aca="false">IF(I2084&lt;J2084,"ERRO","OK")</f>
        <v>OK</v>
      </c>
    </row>
    <row r="2085" customFormat="false" ht="14.25" hidden="false" customHeight="false" outlineLevel="0" collapsed="false">
      <c r="A2085" s="0" t="n">
        <v>90</v>
      </c>
      <c r="B2085" s="0" t="n">
        <v>2025</v>
      </c>
      <c r="C2085" s="3" t="n">
        <v>45695</v>
      </c>
      <c r="E2085" s="0" t="s">
        <v>31</v>
      </c>
      <c r="F2085" s="0" t="s">
        <v>17</v>
      </c>
      <c r="H2085" s="0" t="s">
        <v>370</v>
      </c>
      <c r="I2085" s="0" t="s">
        <v>373</v>
      </c>
      <c r="J2085" s="0" t="s">
        <v>572</v>
      </c>
      <c r="K2085" s="0" t="s">
        <v>397</v>
      </c>
      <c r="L2085" s="0" t="str">
        <f aca="false">IF(H2085&gt;I2085,"ERRO","OK")</f>
        <v>OK</v>
      </c>
      <c r="M2085" s="0" t="str">
        <f aca="false">IF(H2085&gt;J2085,"ERRO","OK")</f>
        <v>OK</v>
      </c>
      <c r="N2085" s="0" t="str">
        <f aca="false">IF(I2085&lt;J2085,"ERRO","OK")</f>
        <v>OK</v>
      </c>
    </row>
    <row r="2086" customFormat="false" ht="14.25" hidden="false" customHeight="false" outlineLevel="0" collapsed="false">
      <c r="A2086" s="0" t="n">
        <v>90</v>
      </c>
      <c r="B2086" s="0" t="n">
        <v>2025</v>
      </c>
      <c r="C2086" s="3" t="n">
        <v>45695</v>
      </c>
      <c r="E2086" s="0" t="s">
        <v>32</v>
      </c>
      <c r="F2086" s="0" t="s">
        <v>17</v>
      </c>
      <c r="G2086" s="0" t="s">
        <v>369</v>
      </c>
      <c r="H2086" s="0" t="s">
        <v>369</v>
      </c>
      <c r="I2086" s="0" t="s">
        <v>370</v>
      </c>
      <c r="J2086" s="0" t="s">
        <v>371</v>
      </c>
      <c r="K2086" s="0" t="s">
        <v>371</v>
      </c>
      <c r="L2086" s="0" t="str">
        <f aca="false">IF(H2086&gt;I2086,"ERRO","OK")</f>
        <v>OK</v>
      </c>
      <c r="M2086" s="0" t="str">
        <f aca="false">IF(H2086&gt;J2086,"ERRO","OK")</f>
        <v>OK</v>
      </c>
      <c r="N2086" s="0" t="str">
        <f aca="false">IF(I2086&lt;J2086,"ERRO","OK")</f>
        <v>OK</v>
      </c>
    </row>
    <row r="2087" customFormat="false" ht="14.25" hidden="false" customHeight="false" outlineLevel="0" collapsed="false">
      <c r="A2087" s="0" t="n">
        <v>90</v>
      </c>
      <c r="B2087" s="0" t="n">
        <v>2025</v>
      </c>
      <c r="C2087" s="3" t="n">
        <v>45695</v>
      </c>
      <c r="E2087" s="0" t="s">
        <v>33</v>
      </c>
      <c r="F2087" s="0" t="s">
        <v>17</v>
      </c>
      <c r="G2087" s="0" t="s">
        <v>371</v>
      </c>
      <c r="H2087" s="0" t="s">
        <v>371</v>
      </c>
      <c r="I2087" s="0" t="s">
        <v>370</v>
      </c>
      <c r="J2087" s="0" t="s">
        <v>554</v>
      </c>
      <c r="K2087" s="0" t="s">
        <v>371</v>
      </c>
      <c r="L2087" s="0" t="str">
        <f aca="false">IF(H2087&gt;I2087,"ERRO","OK")</f>
        <v>OK</v>
      </c>
      <c r="M2087" s="0" t="str">
        <f aca="false">IF(H2087&gt;J2087,"ERRO","OK")</f>
        <v>OK</v>
      </c>
      <c r="N2087" s="0" t="str">
        <f aca="false">IF(I2087&lt;J2087,"ERRO","OK")</f>
        <v>OK</v>
      </c>
    </row>
    <row r="2088" customFormat="false" ht="14.25" hidden="false" customHeight="false" outlineLevel="0" collapsed="false">
      <c r="A2088" s="0" t="n">
        <v>90</v>
      </c>
      <c r="B2088" s="0" t="n">
        <v>2025</v>
      </c>
      <c r="C2088" s="3" t="n">
        <v>45695</v>
      </c>
      <c r="E2088" s="0" t="s">
        <v>35</v>
      </c>
      <c r="F2088" s="0" t="s">
        <v>36</v>
      </c>
      <c r="G2088" s="0" t="s">
        <v>390</v>
      </c>
      <c r="H2088" s="0" t="s">
        <v>390</v>
      </c>
      <c r="I2088" s="0" t="s">
        <v>390</v>
      </c>
      <c r="J2088" s="0" t="s">
        <v>390</v>
      </c>
      <c r="K2088" s="0" t="s">
        <v>390</v>
      </c>
      <c r="L2088" s="0" t="str">
        <f aca="false">IF(H2088&gt;I2088,"ERRO","OK")</f>
        <v>OK</v>
      </c>
      <c r="M2088" s="0" t="str">
        <f aca="false">IF(H2088&gt;J2088,"ERRO","OK")</f>
        <v>OK</v>
      </c>
      <c r="N2088" s="0" t="str">
        <f aca="false">IF(I2088&lt;J2088,"ERRO","OK")</f>
        <v>OK</v>
      </c>
    </row>
    <row r="2089" customFormat="false" ht="14.25" hidden="false" customHeight="false" outlineLevel="0" collapsed="false">
      <c r="A2089" s="0" t="n">
        <v>90</v>
      </c>
      <c r="B2089" s="0" t="n">
        <v>2025</v>
      </c>
      <c r="C2089" s="3" t="n">
        <v>45695</v>
      </c>
      <c r="E2089" s="0" t="s">
        <v>38</v>
      </c>
      <c r="F2089" s="0" t="s">
        <v>39</v>
      </c>
      <c r="H2089" s="0" t="s">
        <v>431</v>
      </c>
      <c r="I2089" s="0" t="s">
        <v>409</v>
      </c>
      <c r="J2089" s="0" t="s">
        <v>573</v>
      </c>
      <c r="K2089" s="0" t="s">
        <v>519</v>
      </c>
      <c r="L2089" s="0" t="str">
        <f aca="false">IF(H2089&gt;I2089,"ERRO","OK")</f>
        <v>OK</v>
      </c>
      <c r="M2089" s="0" t="str">
        <f aca="false">IF(H2089&gt;J2089,"ERRO","OK")</f>
        <v>OK</v>
      </c>
      <c r="N2089" s="0" t="str">
        <f aca="false">IF(I2089&lt;J2089,"ERRO","OK")</f>
        <v>OK</v>
      </c>
    </row>
    <row r="2090" customFormat="false" ht="14.25" hidden="false" customHeight="false" outlineLevel="0" collapsed="false">
      <c r="A2090" s="0" t="n">
        <v>90</v>
      </c>
      <c r="B2090" s="0" t="n">
        <v>2025</v>
      </c>
      <c r="C2090" s="3" t="n">
        <v>45695</v>
      </c>
      <c r="E2090" s="0" t="s">
        <v>40</v>
      </c>
      <c r="F2090" s="0" t="s">
        <v>39</v>
      </c>
      <c r="G2090" s="0" t="s">
        <v>431</v>
      </c>
      <c r="H2090" s="0" t="s">
        <v>431</v>
      </c>
      <c r="I2090" s="0" t="s">
        <v>400</v>
      </c>
      <c r="J2090" s="0" t="s">
        <v>564</v>
      </c>
      <c r="K2090" s="0" t="s">
        <v>396</v>
      </c>
      <c r="L2090" s="0" t="str">
        <f aca="false">IF(H2090&gt;I2090,"ERRO","OK")</f>
        <v>OK</v>
      </c>
      <c r="M2090" s="0" t="str">
        <f aca="false">IF(H2090&gt;J2090,"ERRO","OK")</f>
        <v>OK</v>
      </c>
      <c r="N2090" s="0" t="str">
        <f aca="false">IF(I2090&lt;J2090,"ERRO","OK")</f>
        <v>OK</v>
      </c>
    </row>
    <row r="2091" customFormat="false" ht="14.25" hidden="false" customHeight="false" outlineLevel="0" collapsed="false">
      <c r="A2091" s="0" t="n">
        <v>90</v>
      </c>
      <c r="B2091" s="0" t="n">
        <v>2025</v>
      </c>
      <c r="C2091" s="3" t="n">
        <v>45695</v>
      </c>
      <c r="E2091" s="0" t="s">
        <v>157</v>
      </c>
      <c r="F2091" s="0" t="s">
        <v>158</v>
      </c>
      <c r="G2091" s="0" t="s">
        <v>406</v>
      </c>
      <c r="H2091" s="0" t="s">
        <v>406</v>
      </c>
      <c r="I2091" s="0" t="s">
        <v>406</v>
      </c>
      <c r="J2091" s="0" t="s">
        <v>406</v>
      </c>
      <c r="K2091" s="0" t="s">
        <v>406</v>
      </c>
      <c r="L2091" s="0" t="str">
        <f aca="false">IF(H2091&gt;I2091,"ERRO","OK")</f>
        <v>OK</v>
      </c>
      <c r="M2091" s="0" t="str">
        <f aca="false">IF(H2091&gt;J2091,"ERRO","OK")</f>
        <v>OK</v>
      </c>
      <c r="N2091" s="0" t="str">
        <f aca="false">IF(I2091&lt;J2091,"ERRO","OK")</f>
        <v>OK</v>
      </c>
    </row>
    <row r="2092" customFormat="false" ht="14.25" hidden="false" customHeight="false" outlineLevel="0" collapsed="false">
      <c r="A2092" s="0" t="n">
        <v>90</v>
      </c>
      <c r="B2092" s="0" t="n">
        <v>2025</v>
      </c>
      <c r="C2092" s="3" t="n">
        <v>45695</v>
      </c>
      <c r="E2092" s="0" t="s">
        <v>43</v>
      </c>
      <c r="F2092" s="0" t="s">
        <v>44</v>
      </c>
      <c r="H2092" s="0" t="s">
        <v>397</v>
      </c>
      <c r="I2092" s="0" t="s">
        <v>417</v>
      </c>
      <c r="J2092" s="0" t="s">
        <v>510</v>
      </c>
      <c r="K2092" s="0" t="s">
        <v>510</v>
      </c>
      <c r="L2092" s="0" t="str">
        <f aca="false">IF(H2092&gt;I2092,"ERRO","OK")</f>
        <v>OK</v>
      </c>
      <c r="M2092" s="0" t="str">
        <f aca="false">IF(H2092&gt;J2092,"ERRO","OK")</f>
        <v>OK</v>
      </c>
      <c r="N2092" s="0" t="str">
        <f aca="false">IF(I2092&lt;J2092,"ERRO","OK")</f>
        <v>OK</v>
      </c>
    </row>
    <row r="2093" customFormat="false" ht="14.25" hidden="false" customHeight="false" outlineLevel="0" collapsed="false">
      <c r="A2093" s="0" t="n">
        <v>90</v>
      </c>
      <c r="B2093" s="0" t="n">
        <v>2025</v>
      </c>
      <c r="C2093" s="3" t="n">
        <v>45695</v>
      </c>
      <c r="E2093" s="0" t="s">
        <v>46</v>
      </c>
      <c r="F2093" s="0" t="s">
        <v>47</v>
      </c>
      <c r="G2093" s="0" t="s">
        <v>402</v>
      </c>
      <c r="H2093" s="0" t="s">
        <v>402</v>
      </c>
      <c r="I2093" s="0" t="s">
        <v>382</v>
      </c>
      <c r="J2093" s="0" t="s">
        <v>407</v>
      </c>
      <c r="K2093" s="0" t="s">
        <v>408</v>
      </c>
      <c r="L2093" s="0" t="str">
        <f aca="false">IF(H2093&gt;I2093,"ERRO","OK")</f>
        <v>OK</v>
      </c>
      <c r="M2093" s="0" t="str">
        <f aca="false">IF(H2093&gt;J2093,"ERRO","OK")</f>
        <v>OK</v>
      </c>
      <c r="N2093" s="0" t="str">
        <f aca="false">IF(I2093&lt;J2093,"ERRO","OK")</f>
        <v>OK</v>
      </c>
    </row>
    <row r="2094" customFormat="false" ht="14.25" hidden="false" customHeight="false" outlineLevel="0" collapsed="false">
      <c r="A2094" s="0" t="n">
        <v>90</v>
      </c>
      <c r="B2094" s="0" t="n">
        <v>2025</v>
      </c>
      <c r="C2094" s="3" t="n">
        <v>45695</v>
      </c>
      <c r="E2094" s="0" t="s">
        <v>48</v>
      </c>
      <c r="F2094" s="0" t="s">
        <v>49</v>
      </c>
      <c r="G2094" s="0" t="s">
        <v>409</v>
      </c>
      <c r="H2094" s="0" t="s">
        <v>405</v>
      </c>
      <c r="I2094" s="0" t="s">
        <v>405</v>
      </c>
      <c r="J2094" s="0" t="s">
        <v>416</v>
      </c>
      <c r="K2094" s="0" t="s">
        <v>405</v>
      </c>
      <c r="L2094" s="0" t="str">
        <f aca="false">IF(H2094&gt;I2094,"ERRO","OK")</f>
        <v>OK</v>
      </c>
      <c r="M2094" s="0" t="str">
        <f aca="false">IF(H2094&gt;J2094,"ERRO","OK")</f>
        <v>ERRO</v>
      </c>
      <c r="N2094" s="0" t="str">
        <f aca="false">IF(I2094&lt;J2094,"ERRO","OK")</f>
        <v>OK</v>
      </c>
    </row>
    <row r="2095" customFormat="false" ht="14.25" hidden="false" customHeight="false" outlineLevel="0" collapsed="false">
      <c r="A2095" s="0" t="n">
        <v>90</v>
      </c>
      <c r="B2095" s="0" t="n">
        <v>2025</v>
      </c>
      <c r="C2095" s="3" t="n">
        <v>45695</v>
      </c>
      <c r="E2095" s="0" t="s">
        <v>52</v>
      </c>
      <c r="F2095" s="0" t="s">
        <v>49</v>
      </c>
      <c r="H2095" s="0" t="s">
        <v>398</v>
      </c>
      <c r="I2095" s="0" t="s">
        <v>398</v>
      </c>
      <c r="J2095" s="0" t="s">
        <v>398</v>
      </c>
      <c r="K2095" s="0" t="s">
        <v>398</v>
      </c>
      <c r="L2095" s="0" t="str">
        <f aca="false">IF(H2095&gt;I2095,"ERRO","OK")</f>
        <v>OK</v>
      </c>
      <c r="M2095" s="0" t="str">
        <f aca="false">IF(H2095&gt;J2095,"ERRO","OK")</f>
        <v>OK</v>
      </c>
      <c r="N2095" s="0" t="str">
        <f aca="false">IF(I2095&lt;J2095,"ERRO","OK")</f>
        <v>OK</v>
      </c>
    </row>
    <row r="2096" customFormat="false" ht="14.25" hidden="false" customHeight="false" outlineLevel="0" collapsed="false">
      <c r="A2096" s="0" t="n">
        <v>90</v>
      </c>
      <c r="B2096" s="0" t="n">
        <v>2025</v>
      </c>
      <c r="C2096" s="3" t="n">
        <v>45695</v>
      </c>
      <c r="E2096" s="0" t="s">
        <v>53</v>
      </c>
      <c r="F2096" s="0" t="s">
        <v>54</v>
      </c>
      <c r="G2096" s="0" t="s">
        <v>370</v>
      </c>
      <c r="H2096" s="0" t="s">
        <v>405</v>
      </c>
      <c r="I2096" s="0" t="s">
        <v>370</v>
      </c>
      <c r="J2096" s="0" t="s">
        <v>411</v>
      </c>
      <c r="K2096" s="0" t="s">
        <v>370</v>
      </c>
      <c r="L2096" s="0" t="str">
        <f aca="false">IF(H2096&gt;I2096,"ERRO","OK")</f>
        <v>OK</v>
      </c>
      <c r="M2096" s="0" t="str">
        <f aca="false">IF(H2096&gt;J2096,"ERRO","OK")</f>
        <v>OK</v>
      </c>
      <c r="N2096" s="0" t="str">
        <f aca="false">IF(I2096&lt;J2096,"ERRO","OK")</f>
        <v>OK</v>
      </c>
    </row>
    <row r="2097" customFormat="false" ht="14.25" hidden="false" customHeight="false" outlineLevel="0" collapsed="false">
      <c r="A2097" s="0" t="n">
        <v>90</v>
      </c>
      <c r="B2097" s="0" t="n">
        <v>2025</v>
      </c>
      <c r="C2097" s="3" t="n">
        <v>45695</v>
      </c>
      <c r="E2097" s="0" t="s">
        <v>56</v>
      </c>
      <c r="F2097" s="0" t="s">
        <v>47</v>
      </c>
      <c r="G2097" s="0" t="s">
        <v>398</v>
      </c>
      <c r="H2097" s="0" t="s">
        <v>370</v>
      </c>
      <c r="I2097" s="0" t="s">
        <v>398</v>
      </c>
      <c r="J2097" s="0" t="s">
        <v>541</v>
      </c>
      <c r="K2097" s="0" t="s">
        <v>397</v>
      </c>
      <c r="L2097" s="0" t="str">
        <f aca="false">IF(H2097&gt;I2097,"ERRO","OK")</f>
        <v>OK</v>
      </c>
      <c r="M2097" s="0" t="str">
        <f aca="false">IF(H2097&gt;J2097,"ERRO","OK")</f>
        <v>OK</v>
      </c>
      <c r="N2097" s="0" t="str">
        <f aca="false">IF(I2097&lt;J2097,"ERRO","OK")</f>
        <v>OK</v>
      </c>
    </row>
    <row r="2098" customFormat="false" ht="14.25" hidden="false" customHeight="false" outlineLevel="0" collapsed="false">
      <c r="A2098" s="0" t="n">
        <v>90</v>
      </c>
      <c r="B2098" s="0" t="n">
        <v>2025</v>
      </c>
      <c r="C2098" s="3" t="n">
        <v>45695</v>
      </c>
      <c r="E2098" s="0" t="s">
        <v>57</v>
      </c>
      <c r="F2098" s="0" t="s">
        <v>47</v>
      </c>
      <c r="G2098" s="0" t="s">
        <v>382</v>
      </c>
      <c r="H2098" s="0" t="s">
        <v>382</v>
      </c>
      <c r="I2098" s="0" t="s">
        <v>417</v>
      </c>
      <c r="J2098" s="0" t="s">
        <v>399</v>
      </c>
      <c r="K2098" s="0" t="s">
        <v>397</v>
      </c>
      <c r="L2098" s="0" t="str">
        <f aca="false">IF(H2098&gt;I2098,"ERRO","OK")</f>
        <v>OK</v>
      </c>
      <c r="M2098" s="0" t="str">
        <f aca="false">IF(H2098&gt;J2098,"ERRO","OK")</f>
        <v>OK</v>
      </c>
      <c r="N2098" s="0" t="str">
        <f aca="false">IF(I2098&lt;J2098,"ERRO","OK")</f>
        <v>OK</v>
      </c>
    </row>
    <row r="2099" customFormat="false" ht="14.25" hidden="false" customHeight="false" outlineLevel="0" collapsed="false">
      <c r="A2099" s="0" t="n">
        <v>90</v>
      </c>
      <c r="B2099" s="0" t="n">
        <v>2025</v>
      </c>
      <c r="C2099" s="3" t="n">
        <v>45695</v>
      </c>
      <c r="E2099" s="0" t="s">
        <v>58</v>
      </c>
      <c r="F2099" s="0" t="s">
        <v>44</v>
      </c>
      <c r="G2099" s="0" t="s">
        <v>370</v>
      </c>
      <c r="H2099" s="0" t="s">
        <v>370</v>
      </c>
      <c r="I2099" s="0" t="s">
        <v>397</v>
      </c>
      <c r="J2099" s="0" t="s">
        <v>406</v>
      </c>
      <c r="K2099" s="0" t="s">
        <v>370</v>
      </c>
      <c r="L2099" s="0" t="str">
        <f aca="false">IF(H2099&gt;I2099,"ERRO","OK")</f>
        <v>OK</v>
      </c>
      <c r="M2099" s="0" t="str">
        <f aca="false">IF(H2099&gt;J2099,"ERRO","OK")</f>
        <v>OK</v>
      </c>
      <c r="N2099" s="0" t="str">
        <f aca="false">IF(I2099&lt;J2099,"ERRO","OK")</f>
        <v>OK</v>
      </c>
    </row>
    <row r="2100" customFormat="false" ht="14.25" hidden="false" customHeight="false" outlineLevel="0" collapsed="false">
      <c r="A2100" s="0" t="n">
        <v>90</v>
      </c>
      <c r="B2100" s="0" t="n">
        <v>2025</v>
      </c>
      <c r="C2100" s="3" t="n">
        <v>45695</v>
      </c>
      <c r="E2100" s="0" t="s">
        <v>60</v>
      </c>
      <c r="F2100" s="0" t="s">
        <v>47</v>
      </c>
      <c r="H2100" s="0" t="s">
        <v>397</v>
      </c>
      <c r="I2100" s="0" t="s">
        <v>397</v>
      </c>
      <c r="J2100" s="0" t="s">
        <v>397</v>
      </c>
      <c r="K2100" s="0" t="s">
        <v>397</v>
      </c>
      <c r="L2100" s="0" t="str">
        <f aca="false">IF(H2100&gt;I2100,"ERRO","OK")</f>
        <v>OK</v>
      </c>
      <c r="M2100" s="0" t="str">
        <f aca="false">IF(H2100&gt;J2100,"ERRO","OK")</f>
        <v>OK</v>
      </c>
      <c r="N2100" s="0" t="str">
        <f aca="false">IF(I2100&lt;J2100,"ERRO","OK")</f>
        <v>OK</v>
      </c>
    </row>
    <row r="2101" customFormat="false" ht="14.25" hidden="false" customHeight="false" outlineLevel="0" collapsed="false">
      <c r="A2101" s="0" t="n">
        <v>90</v>
      </c>
      <c r="B2101" s="0" t="n">
        <v>2025</v>
      </c>
      <c r="C2101" s="3" t="n">
        <v>45695</v>
      </c>
      <c r="E2101" s="0" t="s">
        <v>61</v>
      </c>
      <c r="F2101" s="0" t="s">
        <v>44</v>
      </c>
      <c r="H2101" s="0" t="s">
        <v>397</v>
      </c>
      <c r="I2101" s="0" t="s">
        <v>398</v>
      </c>
      <c r="J2101" s="0" t="s">
        <v>399</v>
      </c>
      <c r="K2101" s="0" t="s">
        <v>399</v>
      </c>
      <c r="L2101" s="0" t="str">
        <f aca="false">IF(H2101&gt;I2101,"ERRO","OK")</f>
        <v>OK</v>
      </c>
      <c r="M2101" s="0" t="str">
        <f aca="false">IF(H2101&gt;J2101,"ERRO","OK")</f>
        <v>OK</v>
      </c>
      <c r="N2101" s="0" t="str">
        <f aca="false">IF(I2101&lt;J2101,"ERRO","OK")</f>
        <v>OK</v>
      </c>
    </row>
    <row r="2102" customFormat="false" ht="14.25" hidden="false" customHeight="false" outlineLevel="0" collapsed="false">
      <c r="A2102" s="0" t="n">
        <v>90</v>
      </c>
      <c r="B2102" s="0" t="n">
        <v>2025</v>
      </c>
      <c r="C2102" s="3" t="n">
        <v>45695</v>
      </c>
      <c r="E2102" s="0" t="s">
        <v>62</v>
      </c>
      <c r="F2102" s="0" t="s">
        <v>44</v>
      </c>
      <c r="H2102" s="0" t="s">
        <v>370</v>
      </c>
      <c r="I2102" s="0" t="s">
        <v>415</v>
      </c>
      <c r="J2102" s="0" t="s">
        <v>574</v>
      </c>
      <c r="K2102" s="0" t="s">
        <v>575</v>
      </c>
      <c r="L2102" s="0" t="str">
        <f aca="false">IF(H2102&gt;I2102,"ERRO","OK")</f>
        <v>ERRO</v>
      </c>
      <c r="M2102" s="0" t="str">
        <f aca="false">IF(H2102&gt;J2102,"ERRO","OK")</f>
        <v>OK</v>
      </c>
      <c r="N2102" s="0" t="str">
        <f aca="false">IF(I2102&lt;J2102,"ERRO","OK")</f>
        <v>ERRO</v>
      </c>
    </row>
    <row r="2103" customFormat="false" ht="14.25" hidden="false" customHeight="false" outlineLevel="0" collapsed="false">
      <c r="A2103" s="0" t="n">
        <v>90</v>
      </c>
      <c r="B2103" s="0" t="n">
        <v>2025</v>
      </c>
      <c r="C2103" s="3" t="n">
        <v>45695</v>
      </c>
      <c r="E2103" s="0" t="s">
        <v>63</v>
      </c>
      <c r="F2103" s="0" t="s">
        <v>49</v>
      </c>
      <c r="H2103" s="0" t="s">
        <v>431</v>
      </c>
      <c r="I2103" s="0" t="s">
        <v>497</v>
      </c>
      <c r="J2103" s="0" t="s">
        <v>402</v>
      </c>
      <c r="K2103" s="0" t="s">
        <v>400</v>
      </c>
      <c r="L2103" s="0" t="str">
        <f aca="false">IF(H2103&gt;I2103,"ERRO","OK")</f>
        <v>OK</v>
      </c>
      <c r="M2103" s="0" t="str">
        <f aca="false">IF(H2103&gt;J2103,"ERRO","OK")</f>
        <v>OK</v>
      </c>
      <c r="N2103" s="0" t="str">
        <f aca="false">IF(I2103&lt;J2103,"ERRO","OK")</f>
        <v>OK</v>
      </c>
    </row>
    <row r="2104" customFormat="false" ht="14.25" hidden="false" customHeight="false" outlineLevel="0" collapsed="false">
      <c r="A2104" s="0" t="n">
        <v>90</v>
      </c>
      <c r="B2104" s="0" t="n">
        <v>2025</v>
      </c>
      <c r="C2104" s="3" t="n">
        <v>45695</v>
      </c>
      <c r="E2104" s="0" t="s">
        <v>64</v>
      </c>
      <c r="F2104" s="0" t="s">
        <v>65</v>
      </c>
      <c r="G2104" s="0" t="s">
        <v>382</v>
      </c>
      <c r="H2104" s="0" t="s">
        <v>382</v>
      </c>
      <c r="I2104" s="0" t="s">
        <v>427</v>
      </c>
      <c r="J2104" s="0" t="s">
        <v>398</v>
      </c>
      <c r="K2104" s="0" t="s">
        <v>382</v>
      </c>
      <c r="L2104" s="0" t="str">
        <f aca="false">IF(H2104&gt;I2104,"ERRO","OK")</f>
        <v>ERRO</v>
      </c>
      <c r="M2104" s="0" t="str">
        <f aca="false">IF(H2104&gt;J2104,"ERRO","OK")</f>
        <v>OK</v>
      </c>
      <c r="N2104" s="0" t="str">
        <f aca="false">IF(I2104&lt;J2104,"ERRO","OK")</f>
        <v>ERRO</v>
      </c>
    </row>
    <row r="2105" customFormat="false" ht="14.25" hidden="false" customHeight="false" outlineLevel="0" collapsed="false">
      <c r="A2105" s="0" t="n">
        <v>90</v>
      </c>
      <c r="B2105" s="0" t="n">
        <v>2025</v>
      </c>
      <c r="C2105" s="3" t="n">
        <v>45695</v>
      </c>
      <c r="E2105" s="0" t="s">
        <v>67</v>
      </c>
      <c r="F2105" s="0" t="s">
        <v>44</v>
      </c>
      <c r="H2105" s="0" t="s">
        <v>406</v>
      </c>
      <c r="I2105" s="0" t="s">
        <v>427</v>
      </c>
      <c r="J2105" s="0" t="s">
        <v>526</v>
      </c>
      <c r="K2105" s="0" t="s">
        <v>497</v>
      </c>
      <c r="L2105" s="0" t="str">
        <f aca="false">IF(H2105&gt;I2105,"ERRO","OK")</f>
        <v>ERRO</v>
      </c>
      <c r="M2105" s="0" t="str">
        <f aca="false">IF(H2105&gt;J2105,"ERRO","OK")</f>
        <v>OK</v>
      </c>
      <c r="N2105" s="0" t="str">
        <f aca="false">IF(I2105&lt;J2105,"ERRO","OK")</f>
        <v>ERRO</v>
      </c>
    </row>
    <row r="2106" customFormat="false" ht="14.25" hidden="false" customHeight="false" outlineLevel="0" collapsed="false">
      <c r="A2106" s="0" t="n">
        <v>90</v>
      </c>
      <c r="B2106" s="0" t="n">
        <v>2025</v>
      </c>
      <c r="C2106" s="3" t="n">
        <v>45695</v>
      </c>
      <c r="E2106" s="0" t="s">
        <v>68</v>
      </c>
      <c r="F2106" s="0" t="s">
        <v>44</v>
      </c>
      <c r="H2106" s="0" t="s">
        <v>398</v>
      </c>
      <c r="I2106" s="0" t="s">
        <v>420</v>
      </c>
      <c r="J2106" s="0" t="s">
        <v>576</v>
      </c>
      <c r="K2106" s="0" t="s">
        <v>576</v>
      </c>
      <c r="L2106" s="0" t="str">
        <f aca="false">IF(H2106&gt;I2106,"ERRO","OK")</f>
        <v>ERRO</v>
      </c>
      <c r="M2106" s="0" t="str">
        <f aca="false">IF(H2106&gt;J2106,"ERRO","OK")</f>
        <v>ERRO</v>
      </c>
      <c r="N2106" s="0" t="str">
        <f aca="false">IF(I2106&lt;J2106,"ERRO","OK")</f>
        <v>OK</v>
      </c>
    </row>
    <row r="2107" customFormat="false" ht="14.25" hidden="false" customHeight="false" outlineLevel="0" collapsed="false">
      <c r="A2107" s="0" t="n">
        <v>90</v>
      </c>
      <c r="B2107" s="0" t="n">
        <v>2025</v>
      </c>
      <c r="C2107" s="3" t="n">
        <v>45695</v>
      </c>
      <c r="E2107" s="20" t="s">
        <v>70</v>
      </c>
      <c r="F2107" s="21" t="s">
        <v>49</v>
      </c>
      <c r="L2107" s="0" t="str">
        <f aca="false">IF(H2107&gt;I2107,"ERRO","OK")</f>
        <v>OK</v>
      </c>
      <c r="M2107" s="0" t="str">
        <f aca="false">IF(H2107&gt;J2107,"ERRO","OK")</f>
        <v>OK</v>
      </c>
      <c r="N2107" s="0" t="str">
        <f aca="false">IF(I2107&lt;J2107,"ERRO","OK")</f>
        <v>OK</v>
      </c>
    </row>
    <row r="2108" customFormat="false" ht="14.25" hidden="false" customHeight="false" outlineLevel="0" collapsed="false">
      <c r="A2108" s="0" t="n">
        <v>90</v>
      </c>
      <c r="B2108" s="0" t="n">
        <v>2025</v>
      </c>
      <c r="C2108" s="3" t="n">
        <v>45695</v>
      </c>
      <c r="E2108" s="20" t="s">
        <v>71</v>
      </c>
      <c r="F2108" s="21" t="s">
        <v>49</v>
      </c>
      <c r="L2108" s="0" t="str">
        <f aca="false">IF(H2108&gt;I2108,"ERRO","OK")</f>
        <v>OK</v>
      </c>
      <c r="M2108" s="0" t="str">
        <f aca="false">IF(H2108&gt;J2108,"ERRO","OK")</f>
        <v>OK</v>
      </c>
      <c r="N2108" s="0" t="str">
        <f aca="false">IF(I2108&lt;J2108,"ERRO","OK")</f>
        <v>OK</v>
      </c>
    </row>
    <row r="2109" customFormat="false" ht="14.25" hidden="false" customHeight="false" outlineLevel="0" collapsed="false">
      <c r="A2109" s="0" t="n">
        <v>90</v>
      </c>
      <c r="B2109" s="0" t="n">
        <v>2025</v>
      </c>
      <c r="C2109" s="3" t="n">
        <v>45695</v>
      </c>
      <c r="E2109" s="20" t="s">
        <v>72</v>
      </c>
      <c r="F2109" s="21" t="s">
        <v>49</v>
      </c>
      <c r="L2109" s="0" t="str">
        <f aca="false">IF(H2109&gt;I2109,"ERRO","OK")</f>
        <v>OK</v>
      </c>
      <c r="M2109" s="0" t="str">
        <f aca="false">IF(H2109&gt;J2109,"ERRO","OK")</f>
        <v>OK</v>
      </c>
      <c r="N2109" s="0" t="str">
        <f aca="false">IF(I2109&lt;J2109,"ERRO","OK")</f>
        <v>OK</v>
      </c>
    </row>
    <row r="2110" customFormat="false" ht="14.25" hidden="false" customHeight="false" outlineLevel="0" collapsed="false">
      <c r="A2110" s="0" t="n">
        <v>90</v>
      </c>
      <c r="B2110" s="0" t="n">
        <v>2025</v>
      </c>
      <c r="C2110" s="3" t="n">
        <v>45695</v>
      </c>
      <c r="E2110" s="20" t="s">
        <v>73</v>
      </c>
      <c r="F2110" s="21" t="s">
        <v>49</v>
      </c>
      <c r="L2110" s="0" t="str">
        <f aca="false">IF(H2110&gt;I2110,"ERRO","OK")</f>
        <v>OK</v>
      </c>
      <c r="M2110" s="0" t="str">
        <f aca="false">IF(H2110&gt;J2110,"ERRO","OK")</f>
        <v>OK</v>
      </c>
      <c r="N2110" s="0" t="str">
        <f aca="false">IF(I2110&lt;J2110,"ERRO","OK")</f>
        <v>OK</v>
      </c>
    </row>
    <row r="2111" customFormat="false" ht="14.25" hidden="false" customHeight="false" outlineLevel="0" collapsed="false">
      <c r="A2111" s="0" t="n">
        <v>90</v>
      </c>
      <c r="B2111" s="0" t="n">
        <v>2025</v>
      </c>
      <c r="C2111" s="3" t="n">
        <v>45695</v>
      </c>
      <c r="E2111" s="20" t="s">
        <v>74</v>
      </c>
      <c r="F2111" s="21" t="s">
        <v>75</v>
      </c>
      <c r="L2111" s="0" t="str">
        <f aca="false">IF(H2111&gt;I2111,"ERRO","OK")</f>
        <v>OK</v>
      </c>
      <c r="M2111" s="0" t="str">
        <f aca="false">IF(H2111&gt;J2111,"ERRO","OK")</f>
        <v>OK</v>
      </c>
      <c r="N2111" s="0" t="str">
        <f aca="false">IF(I2111&lt;J2111,"ERRO","OK")</f>
        <v>OK</v>
      </c>
    </row>
    <row r="2112" customFormat="false" ht="14.25" hidden="false" customHeight="false" outlineLevel="0" collapsed="false">
      <c r="A2112" s="0" t="n">
        <v>91</v>
      </c>
      <c r="B2112" s="0" t="n">
        <v>2025</v>
      </c>
      <c r="C2112" s="3" t="n">
        <v>45702</v>
      </c>
      <c r="E2112" s="0" t="s">
        <v>16</v>
      </c>
      <c r="F2112" s="0" t="s">
        <v>17</v>
      </c>
      <c r="H2112" s="0" t="s">
        <v>369</v>
      </c>
      <c r="I2112" s="0" t="s">
        <v>372</v>
      </c>
      <c r="J2112" s="0" t="s">
        <v>370</v>
      </c>
      <c r="K2112" s="0" t="s">
        <v>370</v>
      </c>
      <c r="L2112" s="0" t="str">
        <f aca="false">IF(H2112&gt;I2112,"ERRO","OK")</f>
        <v>OK</v>
      </c>
      <c r="M2112" s="0" t="str">
        <f aca="false">IF(H2112&gt;J2112,"ERRO","OK")</f>
        <v>OK</v>
      </c>
      <c r="N2112" s="0" t="str">
        <f aca="false">IF(I2112&lt;J2112,"ERRO","OK")</f>
        <v>OK</v>
      </c>
    </row>
    <row r="2113" customFormat="false" ht="14.25" hidden="false" customHeight="false" outlineLevel="0" collapsed="false">
      <c r="A2113" s="0" t="n">
        <v>91</v>
      </c>
      <c r="B2113" s="0" t="n">
        <v>2025</v>
      </c>
      <c r="C2113" s="3" t="n">
        <v>45702</v>
      </c>
      <c r="E2113" s="0" t="s">
        <v>18</v>
      </c>
      <c r="F2113" s="0" t="s">
        <v>17</v>
      </c>
      <c r="G2113" s="0" t="s">
        <v>485</v>
      </c>
      <c r="H2113" s="0" t="s">
        <v>371</v>
      </c>
      <c r="I2113" s="0" t="s">
        <v>485</v>
      </c>
      <c r="J2113" s="0" t="s">
        <v>518</v>
      </c>
      <c r="K2113" s="0" t="s">
        <v>485</v>
      </c>
      <c r="L2113" s="0" t="str">
        <f aca="false">IF(H2113&gt;I2113,"ERRO","OK")</f>
        <v>OK</v>
      </c>
      <c r="M2113" s="0" t="str">
        <f aca="false">IF(H2113&gt;J2113,"ERRO","OK")</f>
        <v>OK</v>
      </c>
      <c r="N2113" s="0" t="str">
        <f aca="false">IF(I2113&lt;J2113,"ERRO","OK")</f>
        <v>OK</v>
      </c>
    </row>
    <row r="2114" customFormat="false" ht="14.25" hidden="false" customHeight="false" outlineLevel="0" collapsed="false">
      <c r="A2114" s="0" t="n">
        <v>91</v>
      </c>
      <c r="B2114" s="0" t="n">
        <v>2025</v>
      </c>
      <c r="C2114" s="3" t="n">
        <v>45702</v>
      </c>
      <c r="E2114" s="0" t="s">
        <v>19</v>
      </c>
      <c r="F2114" s="0" t="s">
        <v>17</v>
      </c>
      <c r="G2114" s="0" t="s">
        <v>369</v>
      </c>
      <c r="H2114" s="0" t="s">
        <v>369</v>
      </c>
      <c r="I2114" s="0" t="s">
        <v>370</v>
      </c>
      <c r="J2114" s="0" t="s">
        <v>440</v>
      </c>
      <c r="K2114" s="0" t="s">
        <v>369</v>
      </c>
      <c r="L2114" s="0" t="str">
        <f aca="false">IF(H2114&gt;I2114,"ERRO","OK")</f>
        <v>OK</v>
      </c>
      <c r="M2114" s="0" t="str">
        <f aca="false">IF(H2114&gt;J2114,"ERRO","OK")</f>
        <v>OK</v>
      </c>
      <c r="N2114" s="0" t="str">
        <f aca="false">IF(I2114&lt;J2114,"ERRO","OK")</f>
        <v>OK</v>
      </c>
    </row>
    <row r="2115" customFormat="false" ht="14.25" hidden="false" customHeight="false" outlineLevel="0" collapsed="false">
      <c r="A2115" s="0" t="n">
        <v>91</v>
      </c>
      <c r="B2115" s="0" t="n">
        <v>2025</v>
      </c>
      <c r="C2115" s="3" t="n">
        <v>45702</v>
      </c>
      <c r="E2115" s="0" t="s">
        <v>20</v>
      </c>
      <c r="F2115" s="0" t="s">
        <v>17</v>
      </c>
      <c r="H2115" s="0" t="s">
        <v>374</v>
      </c>
      <c r="I2115" s="0" t="s">
        <v>442</v>
      </c>
      <c r="J2115" s="0" t="s">
        <v>377</v>
      </c>
      <c r="K2115" s="0" t="s">
        <v>377</v>
      </c>
      <c r="L2115" s="0" t="str">
        <f aca="false">IF(H2115&gt;I2115,"ERRO","OK")</f>
        <v>OK</v>
      </c>
      <c r="M2115" s="0" t="str">
        <f aca="false">IF(H2115&gt;J2115,"ERRO","OK")</f>
        <v>OK</v>
      </c>
      <c r="N2115" s="0" t="str">
        <f aca="false">IF(I2115&lt;J2115,"ERRO","OK")</f>
        <v>OK</v>
      </c>
    </row>
    <row r="2116" customFormat="false" ht="14.25" hidden="false" customHeight="false" outlineLevel="0" collapsed="false">
      <c r="A2116" s="0" t="n">
        <v>91</v>
      </c>
      <c r="B2116" s="0" t="n">
        <v>2025</v>
      </c>
      <c r="C2116" s="3" t="n">
        <v>45702</v>
      </c>
      <c r="E2116" s="0" t="s">
        <v>21</v>
      </c>
      <c r="F2116" s="0" t="s">
        <v>17</v>
      </c>
      <c r="G2116" s="0" t="s">
        <v>374</v>
      </c>
      <c r="H2116" s="0" t="s">
        <v>374</v>
      </c>
      <c r="I2116" s="0" t="s">
        <v>377</v>
      </c>
      <c r="J2116" s="0" t="s">
        <v>577</v>
      </c>
      <c r="K2116" s="0" t="s">
        <v>374</v>
      </c>
      <c r="L2116" s="0" t="str">
        <f aca="false">IF(H2116&gt;I2116,"ERRO","OK")</f>
        <v>OK</v>
      </c>
      <c r="M2116" s="0" t="str">
        <f aca="false">IF(H2116&gt;J2116,"ERRO","OK")</f>
        <v>OK</v>
      </c>
      <c r="N2116" s="0" t="str">
        <f aca="false">IF(I2116&lt;J2116,"ERRO","OK")</f>
        <v>OK</v>
      </c>
    </row>
    <row r="2117" customFormat="false" ht="14.25" hidden="false" customHeight="false" outlineLevel="0" collapsed="false">
      <c r="A2117" s="0" t="n">
        <v>91</v>
      </c>
      <c r="B2117" s="0" t="n">
        <v>2025</v>
      </c>
      <c r="C2117" s="3" t="n">
        <v>45702</v>
      </c>
      <c r="E2117" s="0" t="s">
        <v>22</v>
      </c>
      <c r="F2117" s="0" t="s">
        <v>17</v>
      </c>
      <c r="G2117" s="0" t="s">
        <v>370</v>
      </c>
      <c r="H2117" s="0" t="s">
        <v>370</v>
      </c>
      <c r="I2117" s="0" t="s">
        <v>428</v>
      </c>
      <c r="J2117" s="0" t="s">
        <v>487</v>
      </c>
      <c r="K2117" s="0" t="s">
        <v>370</v>
      </c>
      <c r="L2117" s="0" t="str">
        <f aca="false">IF(H2117&gt;I2117,"ERRO","OK")</f>
        <v>OK</v>
      </c>
      <c r="M2117" s="0" t="str">
        <f aca="false">IF(H2117&gt;J2117,"ERRO","OK")</f>
        <v>OK</v>
      </c>
      <c r="N2117" s="0" t="str">
        <f aca="false">IF(I2117&lt;J2117,"ERRO","OK")</f>
        <v>OK</v>
      </c>
    </row>
    <row r="2118" customFormat="false" ht="14.25" hidden="false" customHeight="false" outlineLevel="0" collapsed="false">
      <c r="A2118" s="0" t="n">
        <v>91</v>
      </c>
      <c r="B2118" s="0" t="n">
        <v>2025</v>
      </c>
      <c r="C2118" s="3" t="n">
        <v>45702</v>
      </c>
      <c r="E2118" s="0" t="s">
        <v>23</v>
      </c>
      <c r="F2118" s="0" t="s">
        <v>17</v>
      </c>
      <c r="H2118" s="0" t="s">
        <v>370</v>
      </c>
      <c r="I2118" s="0" t="s">
        <v>578</v>
      </c>
      <c r="J2118" s="0" t="s">
        <v>579</v>
      </c>
      <c r="K2118" s="0" t="s">
        <v>580</v>
      </c>
      <c r="L2118" s="0" t="str">
        <f aca="false">IF(H2118&gt;I2118,"ERRO","OK")</f>
        <v>ERRO</v>
      </c>
      <c r="M2118" s="0" t="str">
        <f aca="false">IF(H2118&gt;J2118,"ERRO","OK")</f>
        <v>ERRO</v>
      </c>
      <c r="N2118" s="0" t="str">
        <f aca="false">IF(I2118&lt;J2118,"ERRO","OK")</f>
        <v>OK</v>
      </c>
    </row>
    <row r="2119" customFormat="false" ht="14.25" hidden="false" customHeight="false" outlineLevel="0" collapsed="false">
      <c r="A2119" s="0" t="n">
        <v>91</v>
      </c>
      <c r="B2119" s="0" t="n">
        <v>2025</v>
      </c>
      <c r="C2119" s="3" t="n">
        <v>45702</v>
      </c>
      <c r="E2119" s="0" t="s">
        <v>24</v>
      </c>
      <c r="F2119" s="0" t="s">
        <v>17</v>
      </c>
      <c r="H2119" s="0" t="s">
        <v>372</v>
      </c>
      <c r="I2119" s="0" t="s">
        <v>413</v>
      </c>
      <c r="J2119" s="0" t="s">
        <v>581</v>
      </c>
      <c r="K2119" s="0" t="s">
        <v>582</v>
      </c>
      <c r="L2119" s="0" t="str">
        <f aca="false">IF(H2119&gt;I2119,"ERRO","OK")</f>
        <v>ERRO</v>
      </c>
      <c r="M2119" s="0" t="str">
        <f aca="false">IF(H2119&gt;J2119,"ERRO","OK")</f>
        <v>OK</v>
      </c>
      <c r="N2119" s="0" t="str">
        <f aca="false">IF(I2119&lt;J2119,"ERRO","OK")</f>
        <v>ERRO</v>
      </c>
    </row>
    <row r="2120" customFormat="false" ht="14.25" hidden="false" customHeight="false" outlineLevel="0" collapsed="false">
      <c r="A2120" s="0" t="n">
        <v>91</v>
      </c>
      <c r="B2120" s="0" t="n">
        <v>2025</v>
      </c>
      <c r="C2120" s="3" t="n">
        <v>45702</v>
      </c>
      <c r="E2120" s="0" t="s">
        <v>25</v>
      </c>
      <c r="F2120" s="0" t="s">
        <v>17</v>
      </c>
      <c r="H2120" s="0" t="s">
        <v>431</v>
      </c>
      <c r="I2120" s="0" t="s">
        <v>375</v>
      </c>
      <c r="J2120" s="0" t="s">
        <v>583</v>
      </c>
      <c r="K2120" s="0" t="s">
        <v>374</v>
      </c>
      <c r="L2120" s="0" t="str">
        <f aca="false">IF(H2120&gt;I2120,"ERRO","OK")</f>
        <v>OK</v>
      </c>
      <c r="M2120" s="0" t="str">
        <f aca="false">IF(H2120&gt;J2120,"ERRO","OK")</f>
        <v>OK</v>
      </c>
      <c r="N2120" s="0" t="str">
        <f aca="false">IF(I2120&lt;J2120,"ERRO","OK")</f>
        <v>OK</v>
      </c>
    </row>
    <row r="2121" customFormat="false" ht="14.25" hidden="false" customHeight="false" outlineLevel="0" collapsed="false">
      <c r="A2121" s="0" t="n">
        <v>91</v>
      </c>
      <c r="B2121" s="0" t="n">
        <v>2025</v>
      </c>
      <c r="C2121" s="3" t="n">
        <v>45702</v>
      </c>
      <c r="E2121" s="0" t="s">
        <v>77</v>
      </c>
      <c r="F2121" s="0" t="s">
        <v>17</v>
      </c>
      <c r="G2121" s="0" t="s">
        <v>413</v>
      </c>
      <c r="H2121" s="0" t="s">
        <v>413</v>
      </c>
      <c r="I2121" s="0" t="s">
        <v>413</v>
      </c>
      <c r="J2121" s="0" t="s">
        <v>413</v>
      </c>
      <c r="K2121" s="0" t="s">
        <v>413</v>
      </c>
      <c r="L2121" s="0" t="str">
        <f aca="false">IF(H2121&gt;I2121,"ERRO","OK")</f>
        <v>OK</v>
      </c>
      <c r="M2121" s="0" t="str">
        <f aca="false">IF(H2121&gt;J2121,"ERRO","OK")</f>
        <v>OK</v>
      </c>
      <c r="N2121" s="0" t="str">
        <f aca="false">IF(I2121&lt;J2121,"ERRO","OK")</f>
        <v>OK</v>
      </c>
    </row>
    <row r="2122" customFormat="false" ht="14.25" hidden="false" customHeight="false" outlineLevel="0" collapsed="false">
      <c r="A2122" s="0" t="n">
        <v>91</v>
      </c>
      <c r="B2122" s="0" t="n">
        <v>2025</v>
      </c>
      <c r="C2122" s="3" t="n">
        <v>45702</v>
      </c>
      <c r="E2122" s="0" t="s">
        <v>27</v>
      </c>
      <c r="F2122" s="0" t="s">
        <v>17</v>
      </c>
      <c r="H2122" s="0" t="s">
        <v>374</v>
      </c>
      <c r="I2122" s="0" t="s">
        <v>442</v>
      </c>
      <c r="J2122" s="0" t="s">
        <v>377</v>
      </c>
      <c r="K2122" s="0" t="s">
        <v>377</v>
      </c>
      <c r="L2122" s="0" t="str">
        <f aca="false">IF(H2122&gt;I2122,"ERRO","OK")</f>
        <v>OK</v>
      </c>
      <c r="M2122" s="0" t="str">
        <f aca="false">IF(H2122&gt;J2122,"ERRO","OK")</f>
        <v>OK</v>
      </c>
      <c r="N2122" s="0" t="str">
        <f aca="false">IF(I2122&lt;J2122,"ERRO","OK")</f>
        <v>OK</v>
      </c>
    </row>
    <row r="2123" customFormat="false" ht="14.25" hidden="false" customHeight="false" outlineLevel="0" collapsed="false">
      <c r="A2123" s="0" t="n">
        <v>91</v>
      </c>
      <c r="B2123" s="0" t="n">
        <v>2025</v>
      </c>
      <c r="C2123" s="3" t="n">
        <v>45702</v>
      </c>
      <c r="E2123" s="0" t="s">
        <v>28</v>
      </c>
      <c r="F2123" s="0" t="s">
        <v>17</v>
      </c>
      <c r="G2123" s="0" t="s">
        <v>372</v>
      </c>
      <c r="H2123" s="0" t="s">
        <v>372</v>
      </c>
      <c r="I2123" s="0" t="s">
        <v>429</v>
      </c>
      <c r="J2123" s="0" t="s">
        <v>456</v>
      </c>
      <c r="K2123" s="0" t="s">
        <v>372</v>
      </c>
      <c r="L2123" s="0" t="str">
        <f aca="false">IF(H2123&gt;I2123,"ERRO","OK")</f>
        <v>OK</v>
      </c>
      <c r="M2123" s="0" t="str">
        <f aca="false">IF(H2123&gt;J2123,"ERRO","OK")</f>
        <v>OK</v>
      </c>
      <c r="N2123" s="0" t="str">
        <f aca="false">IF(I2123&lt;J2123,"ERRO","OK")</f>
        <v>OK</v>
      </c>
    </row>
    <row r="2124" customFormat="false" ht="14.25" hidden="false" customHeight="false" outlineLevel="0" collapsed="false">
      <c r="A2124" s="0" t="n">
        <v>91</v>
      </c>
      <c r="B2124" s="0" t="n">
        <v>2025</v>
      </c>
      <c r="C2124" s="3" t="n">
        <v>45702</v>
      </c>
      <c r="E2124" s="0" t="s">
        <v>29</v>
      </c>
      <c r="F2124" s="0" t="s">
        <v>30</v>
      </c>
      <c r="G2124" s="0" t="s">
        <v>370</v>
      </c>
      <c r="H2124" s="0" t="s">
        <v>370</v>
      </c>
      <c r="I2124" s="0" t="s">
        <v>429</v>
      </c>
      <c r="J2124" s="0" t="s">
        <v>428</v>
      </c>
      <c r="K2124" s="0" t="s">
        <v>370</v>
      </c>
      <c r="L2124" s="0" t="str">
        <f aca="false">IF(H2124&gt;I2124,"ERRO","OK")</f>
        <v>OK</v>
      </c>
      <c r="M2124" s="0" t="str">
        <f aca="false">IF(H2124&gt;J2124,"ERRO","OK")</f>
        <v>OK</v>
      </c>
      <c r="N2124" s="0" t="str">
        <f aca="false">IF(I2124&lt;J2124,"ERRO","OK")</f>
        <v>OK</v>
      </c>
    </row>
    <row r="2125" customFormat="false" ht="14.25" hidden="false" customHeight="false" outlineLevel="0" collapsed="false">
      <c r="A2125" s="0" t="n">
        <v>91</v>
      </c>
      <c r="B2125" s="0" t="n">
        <v>2025</v>
      </c>
      <c r="C2125" s="3" t="n">
        <v>45702</v>
      </c>
      <c r="E2125" s="0" t="s">
        <v>31</v>
      </c>
      <c r="F2125" s="0" t="s">
        <v>17</v>
      </c>
      <c r="G2125" s="0" t="s">
        <v>373</v>
      </c>
      <c r="H2125" s="0" t="s">
        <v>370</v>
      </c>
      <c r="I2125" s="0" t="s">
        <v>373</v>
      </c>
      <c r="J2125" s="0" t="s">
        <v>503</v>
      </c>
      <c r="K2125" s="0" t="s">
        <v>373</v>
      </c>
      <c r="L2125" s="0" t="str">
        <f aca="false">IF(H2125&gt;I2125,"ERRO","OK")</f>
        <v>OK</v>
      </c>
      <c r="M2125" s="0" t="str">
        <f aca="false">IF(H2125&gt;J2125,"ERRO","OK")</f>
        <v>OK</v>
      </c>
      <c r="N2125" s="0" t="str">
        <f aca="false">IF(I2125&lt;J2125,"ERRO","OK")</f>
        <v>OK</v>
      </c>
    </row>
    <row r="2126" customFormat="false" ht="14.25" hidden="false" customHeight="false" outlineLevel="0" collapsed="false">
      <c r="A2126" s="0" t="n">
        <v>91</v>
      </c>
      <c r="B2126" s="0" t="n">
        <v>2025</v>
      </c>
      <c r="C2126" s="3" t="n">
        <v>45702</v>
      </c>
      <c r="E2126" s="0" t="s">
        <v>32</v>
      </c>
      <c r="F2126" s="0" t="s">
        <v>17</v>
      </c>
      <c r="H2126" s="0" t="s">
        <v>402</v>
      </c>
      <c r="I2126" s="0" t="s">
        <v>370</v>
      </c>
      <c r="J2126" s="0" t="s">
        <v>389</v>
      </c>
      <c r="K2126" s="0" t="s">
        <v>369</v>
      </c>
      <c r="L2126" s="0" t="str">
        <f aca="false">IF(H2126&gt;I2126,"ERRO","OK")</f>
        <v>OK</v>
      </c>
      <c r="M2126" s="0" t="str">
        <f aca="false">IF(H2126&gt;J2126,"ERRO","OK")</f>
        <v>OK</v>
      </c>
      <c r="N2126" s="0" t="str">
        <f aca="false">IF(I2126&lt;J2126,"ERRO","OK")</f>
        <v>OK</v>
      </c>
    </row>
    <row r="2127" customFormat="false" ht="14.25" hidden="false" customHeight="false" outlineLevel="0" collapsed="false">
      <c r="A2127" s="0" t="n">
        <v>91</v>
      </c>
      <c r="B2127" s="0" t="n">
        <v>2025</v>
      </c>
      <c r="C2127" s="3" t="n">
        <v>45702</v>
      </c>
      <c r="E2127" s="0" t="s">
        <v>33</v>
      </c>
      <c r="F2127" s="0" t="s">
        <v>17</v>
      </c>
      <c r="G2127" s="0" t="s">
        <v>370</v>
      </c>
      <c r="H2127" s="0" t="s">
        <v>370</v>
      </c>
      <c r="I2127" s="0" t="s">
        <v>370</v>
      </c>
      <c r="J2127" s="0" t="s">
        <v>370</v>
      </c>
      <c r="K2127" s="0" t="s">
        <v>370</v>
      </c>
      <c r="L2127" s="0" t="str">
        <f aca="false">IF(H2127&gt;I2127,"ERRO","OK")</f>
        <v>OK</v>
      </c>
      <c r="M2127" s="0" t="str">
        <f aca="false">IF(H2127&gt;J2127,"ERRO","OK")</f>
        <v>OK</v>
      </c>
      <c r="N2127" s="0" t="str">
        <f aca="false">IF(I2127&lt;J2127,"ERRO","OK")</f>
        <v>OK</v>
      </c>
    </row>
    <row r="2128" customFormat="false" ht="14.25" hidden="false" customHeight="false" outlineLevel="0" collapsed="false">
      <c r="A2128" s="0" t="n">
        <v>91</v>
      </c>
      <c r="B2128" s="0" t="n">
        <v>2025</v>
      </c>
      <c r="C2128" s="3" t="n">
        <v>45702</v>
      </c>
      <c r="E2128" s="0" t="s">
        <v>35</v>
      </c>
      <c r="F2128" s="0" t="s">
        <v>36</v>
      </c>
      <c r="G2128" s="0" t="s">
        <v>390</v>
      </c>
      <c r="H2128" s="0" t="s">
        <v>390</v>
      </c>
      <c r="I2128" s="0" t="s">
        <v>390</v>
      </c>
      <c r="J2128" s="0" t="s">
        <v>390</v>
      </c>
      <c r="K2128" s="0" t="s">
        <v>390</v>
      </c>
      <c r="L2128" s="0" t="str">
        <f aca="false">IF(H2128&gt;I2128,"ERRO","OK")</f>
        <v>OK</v>
      </c>
      <c r="M2128" s="0" t="str">
        <f aca="false">IF(H2128&gt;J2128,"ERRO","OK")</f>
        <v>OK</v>
      </c>
      <c r="N2128" s="0" t="str">
        <f aca="false">IF(I2128&lt;J2128,"ERRO","OK")</f>
        <v>OK</v>
      </c>
    </row>
    <row r="2129" customFormat="false" ht="14.25" hidden="false" customHeight="false" outlineLevel="0" collapsed="false">
      <c r="A2129" s="0" t="n">
        <v>91</v>
      </c>
      <c r="B2129" s="0" t="n">
        <v>2025</v>
      </c>
      <c r="C2129" s="3" t="n">
        <v>45702</v>
      </c>
      <c r="E2129" s="0" t="s">
        <v>38</v>
      </c>
      <c r="F2129" s="0" t="s">
        <v>39</v>
      </c>
      <c r="H2129" s="0" t="s">
        <v>400</v>
      </c>
      <c r="I2129" s="0" t="s">
        <v>402</v>
      </c>
      <c r="J2129" s="0" t="s">
        <v>409</v>
      </c>
      <c r="K2129" s="0" t="s">
        <v>409</v>
      </c>
      <c r="L2129" s="0" t="str">
        <f aca="false">IF(H2129&gt;I2129,"ERRO","OK")</f>
        <v>OK</v>
      </c>
      <c r="M2129" s="0" t="str">
        <f aca="false">IF(H2129&gt;J2129,"ERRO","OK")</f>
        <v>OK</v>
      </c>
      <c r="N2129" s="0" t="str">
        <f aca="false">IF(I2129&lt;J2129,"ERRO","OK")</f>
        <v>OK</v>
      </c>
    </row>
    <row r="2130" customFormat="false" ht="14.25" hidden="false" customHeight="false" outlineLevel="0" collapsed="false">
      <c r="A2130" s="0" t="n">
        <v>91</v>
      </c>
      <c r="B2130" s="0" t="n">
        <v>2025</v>
      </c>
      <c r="C2130" s="3" t="n">
        <v>45702</v>
      </c>
      <c r="E2130" s="0" t="s">
        <v>40</v>
      </c>
      <c r="F2130" s="0" t="s">
        <v>39</v>
      </c>
      <c r="G2130" s="0" t="s">
        <v>400</v>
      </c>
      <c r="H2130" s="0" t="s">
        <v>374</v>
      </c>
      <c r="I2130" s="0" t="s">
        <v>400</v>
      </c>
      <c r="J2130" s="0" t="s">
        <v>480</v>
      </c>
      <c r="K2130" s="0" t="s">
        <v>400</v>
      </c>
      <c r="L2130" s="0" t="str">
        <f aca="false">IF(H2130&gt;I2130,"ERRO","OK")</f>
        <v>OK</v>
      </c>
      <c r="M2130" s="0" t="str">
        <f aca="false">IF(H2130&gt;J2130,"ERRO","OK")</f>
        <v>OK</v>
      </c>
      <c r="N2130" s="0" t="str">
        <f aca="false">IF(I2130&lt;J2130,"ERRO","OK")</f>
        <v>OK</v>
      </c>
    </row>
    <row r="2131" customFormat="false" ht="14.25" hidden="false" customHeight="false" outlineLevel="0" collapsed="false">
      <c r="A2131" s="0" t="n">
        <v>91</v>
      </c>
      <c r="B2131" s="0" t="n">
        <v>2025</v>
      </c>
      <c r="C2131" s="3" t="n">
        <v>45702</v>
      </c>
      <c r="E2131" s="0" t="s">
        <v>157</v>
      </c>
      <c r="F2131" s="0" t="s">
        <v>158</v>
      </c>
      <c r="G2131" s="0" t="s">
        <v>370</v>
      </c>
      <c r="H2131" s="0" t="s">
        <v>370</v>
      </c>
      <c r="I2131" s="0" t="s">
        <v>406</v>
      </c>
      <c r="J2131" s="0" t="s">
        <v>525</v>
      </c>
      <c r="K2131" s="0" t="s">
        <v>370</v>
      </c>
      <c r="L2131" s="0" t="str">
        <f aca="false">IF(H2131&gt;I2131,"ERRO","OK")</f>
        <v>OK</v>
      </c>
      <c r="M2131" s="0" t="str">
        <f aca="false">IF(H2131&gt;J2131,"ERRO","OK")</f>
        <v>OK</v>
      </c>
      <c r="N2131" s="0" t="str">
        <f aca="false">IF(I2131&lt;J2131,"ERRO","OK")</f>
        <v>OK</v>
      </c>
    </row>
    <row r="2132" customFormat="false" ht="14.25" hidden="false" customHeight="false" outlineLevel="0" collapsed="false">
      <c r="A2132" s="0" t="n">
        <v>91</v>
      </c>
      <c r="B2132" s="0" t="n">
        <v>2025</v>
      </c>
      <c r="C2132" s="3" t="n">
        <v>45702</v>
      </c>
      <c r="E2132" s="0" t="s">
        <v>43</v>
      </c>
      <c r="F2132" s="0" t="s">
        <v>44</v>
      </c>
      <c r="G2132" s="0" t="s">
        <v>417</v>
      </c>
      <c r="H2132" s="0" t="s">
        <v>417</v>
      </c>
      <c r="I2132" s="0" t="s">
        <v>415</v>
      </c>
      <c r="J2132" s="0" t="s">
        <v>540</v>
      </c>
      <c r="K2132" s="0" t="s">
        <v>424</v>
      </c>
      <c r="L2132" s="0" t="str">
        <f aca="false">IF(H2132&gt;I2132,"ERRO","OK")</f>
        <v>ERRO</v>
      </c>
      <c r="M2132" s="0" t="str">
        <f aca="false">IF(H2132&gt;J2132,"ERRO","OK")</f>
        <v>OK</v>
      </c>
      <c r="N2132" s="0" t="str">
        <f aca="false">IF(I2132&lt;J2132,"ERRO","OK")</f>
        <v>ERRO</v>
      </c>
    </row>
    <row r="2133" customFormat="false" ht="14.25" hidden="false" customHeight="false" outlineLevel="0" collapsed="false">
      <c r="A2133" s="0" t="n">
        <v>91</v>
      </c>
      <c r="B2133" s="0" t="n">
        <v>2025</v>
      </c>
      <c r="C2133" s="3" t="n">
        <v>45702</v>
      </c>
      <c r="E2133" s="0" t="s">
        <v>46</v>
      </c>
      <c r="F2133" s="0" t="s">
        <v>47</v>
      </c>
      <c r="H2133" s="0" t="s">
        <v>402</v>
      </c>
      <c r="I2133" s="0" t="s">
        <v>382</v>
      </c>
      <c r="J2133" s="0" t="s">
        <v>370</v>
      </c>
      <c r="K2133" s="0" t="s">
        <v>403</v>
      </c>
      <c r="L2133" s="0" t="str">
        <f aca="false">IF(H2133&gt;I2133,"ERRO","OK")</f>
        <v>OK</v>
      </c>
      <c r="M2133" s="0" t="str">
        <f aca="false">IF(H2133&gt;J2133,"ERRO","OK")</f>
        <v>OK</v>
      </c>
      <c r="N2133" s="0" t="str">
        <f aca="false">IF(I2133&lt;J2133,"ERRO","OK")</f>
        <v>OK</v>
      </c>
    </row>
    <row r="2134" customFormat="false" ht="14.25" hidden="false" customHeight="false" outlineLevel="0" collapsed="false">
      <c r="A2134" s="0" t="n">
        <v>91</v>
      </c>
      <c r="B2134" s="0" t="n">
        <v>2025</v>
      </c>
      <c r="C2134" s="3" t="n">
        <v>45702</v>
      </c>
      <c r="E2134" s="0" t="s">
        <v>48</v>
      </c>
      <c r="F2134" s="0" t="s">
        <v>49</v>
      </c>
      <c r="G2134" s="0" t="s">
        <v>405</v>
      </c>
      <c r="H2134" s="0" t="s">
        <v>405</v>
      </c>
      <c r="I2134" s="0" t="s">
        <v>406</v>
      </c>
      <c r="J2134" s="0" t="s">
        <v>408</v>
      </c>
      <c r="K2134" s="0" t="s">
        <v>412</v>
      </c>
      <c r="L2134" s="0" t="str">
        <f aca="false">IF(H2134&gt;I2134,"ERRO","OK")</f>
        <v>OK</v>
      </c>
      <c r="M2134" s="0" t="str">
        <f aca="false">IF(H2134&gt;J2134,"ERRO","OK")</f>
        <v>OK</v>
      </c>
      <c r="N2134" s="0" t="str">
        <f aca="false">IF(I2134&lt;J2134,"ERRO","OK")</f>
        <v>OK</v>
      </c>
    </row>
    <row r="2135" customFormat="false" ht="14.25" hidden="false" customHeight="false" outlineLevel="0" collapsed="false">
      <c r="A2135" s="0" t="n">
        <v>91</v>
      </c>
      <c r="B2135" s="0" t="n">
        <v>2025</v>
      </c>
      <c r="C2135" s="3" t="n">
        <v>45702</v>
      </c>
      <c r="E2135" s="0" t="s">
        <v>52</v>
      </c>
      <c r="F2135" s="0" t="s">
        <v>49</v>
      </c>
      <c r="H2135" s="0" t="s">
        <v>370</v>
      </c>
      <c r="I2135" s="0" t="s">
        <v>398</v>
      </c>
      <c r="J2135" s="0" t="s">
        <v>382</v>
      </c>
      <c r="K2135" s="0" t="s">
        <v>382</v>
      </c>
      <c r="L2135" s="0" t="str">
        <f aca="false">IF(H2135&gt;I2135,"ERRO","OK")</f>
        <v>OK</v>
      </c>
      <c r="M2135" s="0" t="str">
        <f aca="false">IF(H2135&gt;J2135,"ERRO","OK")</f>
        <v>OK</v>
      </c>
      <c r="N2135" s="0" t="str">
        <f aca="false">IF(I2135&lt;J2135,"ERRO","OK")</f>
        <v>OK</v>
      </c>
    </row>
    <row r="2136" customFormat="false" ht="14.25" hidden="false" customHeight="false" outlineLevel="0" collapsed="false">
      <c r="A2136" s="0" t="n">
        <v>91</v>
      </c>
      <c r="B2136" s="0" t="n">
        <v>2025</v>
      </c>
      <c r="C2136" s="3" t="n">
        <v>45702</v>
      </c>
      <c r="E2136" s="0" t="s">
        <v>53</v>
      </c>
      <c r="F2136" s="0" t="s">
        <v>54</v>
      </c>
      <c r="G2136" s="0" t="s">
        <v>405</v>
      </c>
      <c r="H2136" s="0" t="s">
        <v>370</v>
      </c>
      <c r="I2136" s="0" t="s">
        <v>370</v>
      </c>
      <c r="J2136" s="0" t="s">
        <v>471</v>
      </c>
      <c r="K2136" s="0" t="s">
        <v>460</v>
      </c>
      <c r="L2136" s="0" t="str">
        <f aca="false">IF(H2136&gt;I2136,"ERRO","OK")</f>
        <v>OK</v>
      </c>
      <c r="M2136" s="0" t="str">
        <f aca="false">IF(H2136&gt;J2136,"ERRO","OK")</f>
        <v>ERRO</v>
      </c>
      <c r="N2136" s="0" t="str">
        <f aca="false">IF(I2136&lt;J2136,"ERRO","OK")</f>
        <v>OK</v>
      </c>
    </row>
    <row r="2137" customFormat="false" ht="14.25" hidden="false" customHeight="false" outlineLevel="0" collapsed="false">
      <c r="A2137" s="0" t="n">
        <v>91</v>
      </c>
      <c r="B2137" s="0" t="n">
        <v>2025</v>
      </c>
      <c r="C2137" s="3" t="n">
        <v>45702</v>
      </c>
      <c r="E2137" s="0" t="s">
        <v>56</v>
      </c>
      <c r="F2137" s="0" t="s">
        <v>47</v>
      </c>
      <c r="G2137" s="0" t="s">
        <v>406</v>
      </c>
      <c r="H2137" s="0" t="s">
        <v>417</v>
      </c>
      <c r="I2137" s="0" t="s">
        <v>417</v>
      </c>
      <c r="J2137" s="0" t="s">
        <v>425</v>
      </c>
      <c r="K2137" s="0" t="s">
        <v>497</v>
      </c>
      <c r="L2137" s="0" t="str">
        <f aca="false">IF(H2137&gt;I2137,"ERRO","OK")</f>
        <v>OK</v>
      </c>
      <c r="M2137" s="0" t="str">
        <f aca="false">IF(H2137&gt;J2137,"ERRO","OK")</f>
        <v>ERRO</v>
      </c>
      <c r="N2137" s="0" t="str">
        <f aca="false">IF(I2137&lt;J2137,"ERRO","OK")</f>
        <v>OK</v>
      </c>
    </row>
    <row r="2138" customFormat="false" ht="14.25" hidden="false" customHeight="false" outlineLevel="0" collapsed="false">
      <c r="A2138" s="0" t="n">
        <v>91</v>
      </c>
      <c r="B2138" s="0" t="n">
        <v>2025</v>
      </c>
      <c r="C2138" s="3" t="n">
        <v>45702</v>
      </c>
      <c r="E2138" s="0" t="s">
        <v>57</v>
      </c>
      <c r="F2138" s="0" t="s">
        <v>47</v>
      </c>
      <c r="G2138" s="0" t="s">
        <v>382</v>
      </c>
      <c r="H2138" s="0" t="s">
        <v>382</v>
      </c>
      <c r="I2138" s="0" t="s">
        <v>417</v>
      </c>
      <c r="J2138" s="0" t="s">
        <v>399</v>
      </c>
      <c r="K2138" s="0" t="s">
        <v>397</v>
      </c>
      <c r="L2138" s="0" t="str">
        <f aca="false">IF(H2138&gt;I2138,"ERRO","OK")</f>
        <v>OK</v>
      </c>
      <c r="M2138" s="0" t="str">
        <f aca="false">IF(H2138&gt;J2138,"ERRO","OK")</f>
        <v>OK</v>
      </c>
      <c r="N2138" s="0" t="str">
        <f aca="false">IF(I2138&lt;J2138,"ERRO","OK")</f>
        <v>OK</v>
      </c>
    </row>
    <row r="2139" customFormat="false" ht="14.25" hidden="false" customHeight="false" outlineLevel="0" collapsed="false">
      <c r="A2139" s="0" t="n">
        <v>91</v>
      </c>
      <c r="B2139" s="0" t="n">
        <v>2025</v>
      </c>
      <c r="C2139" s="3" t="n">
        <v>45702</v>
      </c>
      <c r="E2139" s="0" t="s">
        <v>58</v>
      </c>
      <c r="F2139" s="0" t="s">
        <v>44</v>
      </c>
      <c r="H2139" s="0" t="s">
        <v>370</v>
      </c>
      <c r="I2139" s="0" t="s">
        <v>427</v>
      </c>
      <c r="J2139" s="0" t="s">
        <v>510</v>
      </c>
      <c r="K2139" s="0" t="s">
        <v>497</v>
      </c>
      <c r="L2139" s="0" t="str">
        <f aca="false">IF(H2139&gt;I2139,"ERRO","OK")</f>
        <v>ERRO</v>
      </c>
      <c r="M2139" s="0" t="str">
        <f aca="false">IF(H2139&gt;J2139,"ERRO","OK")</f>
        <v>OK</v>
      </c>
      <c r="N2139" s="0" t="str">
        <f aca="false">IF(I2139&lt;J2139,"ERRO","OK")</f>
        <v>ERRO</v>
      </c>
    </row>
    <row r="2140" customFormat="false" ht="14.25" hidden="false" customHeight="false" outlineLevel="0" collapsed="false">
      <c r="A2140" s="0" t="n">
        <v>91</v>
      </c>
      <c r="B2140" s="0" t="n">
        <v>2025</v>
      </c>
      <c r="C2140" s="3" t="n">
        <v>45702</v>
      </c>
      <c r="E2140" s="0" t="s">
        <v>60</v>
      </c>
      <c r="F2140" s="0" t="s">
        <v>47</v>
      </c>
      <c r="H2140" s="0" t="s">
        <v>405</v>
      </c>
      <c r="I2140" s="0" t="s">
        <v>497</v>
      </c>
      <c r="J2140" s="0" t="s">
        <v>446</v>
      </c>
      <c r="K2140" s="0" t="s">
        <v>446</v>
      </c>
      <c r="L2140" s="0" t="str">
        <f aca="false">IF(H2140&gt;I2140,"ERRO","OK")</f>
        <v>OK</v>
      </c>
      <c r="M2140" s="0" t="str">
        <f aca="false">IF(H2140&gt;J2140,"ERRO","OK")</f>
        <v>OK</v>
      </c>
      <c r="N2140" s="0" t="str">
        <f aca="false">IF(I2140&lt;J2140,"ERRO","OK")</f>
        <v>OK</v>
      </c>
    </row>
    <row r="2141" customFormat="false" ht="14.25" hidden="false" customHeight="false" outlineLevel="0" collapsed="false">
      <c r="A2141" s="0" t="n">
        <v>91</v>
      </c>
      <c r="B2141" s="0" t="n">
        <v>2025</v>
      </c>
      <c r="C2141" s="3" t="n">
        <v>45702</v>
      </c>
      <c r="E2141" s="0" t="s">
        <v>61</v>
      </c>
      <c r="F2141" s="0" t="s">
        <v>44</v>
      </c>
      <c r="G2141" s="0" t="s">
        <v>382</v>
      </c>
      <c r="H2141" s="0" t="s">
        <v>382</v>
      </c>
      <c r="I2141" s="0" t="s">
        <v>398</v>
      </c>
      <c r="J2141" s="0" t="s">
        <v>584</v>
      </c>
      <c r="K2141" s="0" t="s">
        <v>382</v>
      </c>
      <c r="L2141" s="0" t="str">
        <f aca="false">IF(H2141&gt;I2141,"ERRO","OK")</f>
        <v>OK</v>
      </c>
      <c r="M2141" s="0" t="str">
        <f aca="false">IF(H2141&gt;J2141,"ERRO","OK")</f>
        <v>OK</v>
      </c>
      <c r="N2141" s="0" t="str">
        <f aca="false">IF(I2141&lt;J2141,"ERRO","OK")</f>
        <v>OK</v>
      </c>
    </row>
    <row r="2142" customFormat="false" ht="14.25" hidden="false" customHeight="false" outlineLevel="0" collapsed="false">
      <c r="A2142" s="0" t="n">
        <v>91</v>
      </c>
      <c r="B2142" s="0" t="n">
        <v>2025</v>
      </c>
      <c r="C2142" s="3" t="n">
        <v>45702</v>
      </c>
      <c r="E2142" s="0" t="s">
        <v>62</v>
      </c>
      <c r="F2142" s="0" t="s">
        <v>44</v>
      </c>
      <c r="G2142" s="0" t="s">
        <v>417</v>
      </c>
      <c r="H2142" s="0" t="s">
        <v>413</v>
      </c>
      <c r="I2142" s="0" t="s">
        <v>413</v>
      </c>
      <c r="J2142" s="0" t="s">
        <v>415</v>
      </c>
      <c r="K2142" s="0" t="s">
        <v>576</v>
      </c>
      <c r="L2142" s="0" t="str">
        <f aca="false">IF(H2142&gt;I2142,"ERRO","OK")</f>
        <v>OK</v>
      </c>
      <c r="M2142" s="0" t="str">
        <f aca="false">IF(H2142&gt;J2142,"ERRO","OK")</f>
        <v>ERRO</v>
      </c>
      <c r="N2142" s="0" t="str">
        <f aca="false">IF(I2142&lt;J2142,"ERRO","OK")</f>
        <v>OK</v>
      </c>
    </row>
    <row r="2143" customFormat="false" ht="14.25" hidden="false" customHeight="false" outlineLevel="0" collapsed="false">
      <c r="A2143" s="0" t="n">
        <v>91</v>
      </c>
      <c r="B2143" s="0" t="n">
        <v>2025</v>
      </c>
      <c r="C2143" s="3" t="n">
        <v>45702</v>
      </c>
      <c r="E2143" s="0" t="s">
        <v>63</v>
      </c>
      <c r="F2143" s="0" t="s">
        <v>49</v>
      </c>
      <c r="G2143" s="0" t="s">
        <v>431</v>
      </c>
      <c r="H2143" s="0" t="s">
        <v>409</v>
      </c>
      <c r="I2143" s="0" t="s">
        <v>402</v>
      </c>
      <c r="J2143" s="0" t="s">
        <v>585</v>
      </c>
      <c r="K2143" s="0" t="s">
        <v>409</v>
      </c>
      <c r="L2143" s="0" t="str">
        <f aca="false">IF(H2143&gt;I2143,"ERRO","OK")</f>
        <v>OK</v>
      </c>
      <c r="M2143" s="0" t="str">
        <f aca="false">IF(H2143&gt;J2143,"ERRO","OK")</f>
        <v>ERRO</v>
      </c>
      <c r="N2143" s="0" t="str">
        <f aca="false">IF(I2143&lt;J2143,"ERRO","OK")</f>
        <v>OK</v>
      </c>
    </row>
    <row r="2144" customFormat="false" ht="14.25" hidden="false" customHeight="false" outlineLevel="0" collapsed="false">
      <c r="A2144" s="0" t="n">
        <v>91</v>
      </c>
      <c r="B2144" s="0" t="n">
        <v>2025</v>
      </c>
      <c r="C2144" s="3" t="n">
        <v>45702</v>
      </c>
      <c r="E2144" s="0" t="s">
        <v>64</v>
      </c>
      <c r="F2144" s="0" t="s">
        <v>65</v>
      </c>
      <c r="H2144" s="0" t="s">
        <v>382</v>
      </c>
      <c r="I2144" s="0" t="s">
        <v>427</v>
      </c>
      <c r="J2144" s="0" t="s">
        <v>439</v>
      </c>
      <c r="K2144" s="0" t="s">
        <v>398</v>
      </c>
      <c r="L2144" s="0" t="str">
        <f aca="false">IF(H2144&gt;I2144,"ERRO","OK")</f>
        <v>ERRO</v>
      </c>
      <c r="M2144" s="0" t="str">
        <f aca="false">IF(H2144&gt;J2144,"ERRO","OK")</f>
        <v>OK</v>
      </c>
      <c r="N2144" s="0" t="str">
        <f aca="false">IF(I2144&lt;J2144,"ERRO","OK")</f>
        <v>ERRO</v>
      </c>
    </row>
    <row r="2145" customFormat="false" ht="14.25" hidden="false" customHeight="false" outlineLevel="0" collapsed="false">
      <c r="A2145" s="0" t="n">
        <v>91</v>
      </c>
      <c r="B2145" s="0" t="n">
        <v>2025</v>
      </c>
      <c r="C2145" s="3" t="n">
        <v>45702</v>
      </c>
      <c r="E2145" s="0" t="s">
        <v>67</v>
      </c>
      <c r="F2145" s="0" t="s">
        <v>44</v>
      </c>
      <c r="G2145" s="0" t="s">
        <v>417</v>
      </c>
      <c r="H2145" s="0" t="s">
        <v>413</v>
      </c>
      <c r="I2145" s="0" t="s">
        <v>413</v>
      </c>
      <c r="J2145" s="0" t="s">
        <v>586</v>
      </c>
      <c r="K2145" s="0" t="s">
        <v>415</v>
      </c>
      <c r="L2145" s="0" t="str">
        <f aca="false">IF(H2145&gt;I2145,"ERRO","OK")</f>
        <v>OK</v>
      </c>
      <c r="M2145" s="0" t="str">
        <f aca="false">IF(H2145&gt;J2145,"ERRO","OK")</f>
        <v>ERRO</v>
      </c>
      <c r="N2145" s="0" t="str">
        <f aca="false">IF(I2145&lt;J2145,"ERRO","OK")</f>
        <v>OK</v>
      </c>
    </row>
    <row r="2146" customFormat="false" ht="14.25" hidden="false" customHeight="false" outlineLevel="0" collapsed="false">
      <c r="A2146" s="0" t="n">
        <v>91</v>
      </c>
      <c r="B2146" s="0" t="n">
        <v>2025</v>
      </c>
      <c r="C2146" s="3" t="n">
        <v>45702</v>
      </c>
      <c r="E2146" s="0" t="s">
        <v>68</v>
      </c>
      <c r="F2146" s="0" t="s">
        <v>44</v>
      </c>
      <c r="H2146" s="0" t="s">
        <v>420</v>
      </c>
      <c r="I2146" s="0" t="s">
        <v>587</v>
      </c>
      <c r="J2146" s="0" t="s">
        <v>437</v>
      </c>
      <c r="K2146" s="0" t="s">
        <v>437</v>
      </c>
      <c r="L2146" s="0" t="str">
        <f aca="false">IF(H2146&gt;I2146,"ERRO","OK")</f>
        <v>OK</v>
      </c>
      <c r="M2146" s="0" t="str">
        <f aca="false">IF(H2146&gt;J2146,"ERRO","OK")</f>
        <v>OK</v>
      </c>
      <c r="N2146" s="0" t="str">
        <f aca="false">IF(I2146&lt;J2146,"ERRO","OK")</f>
        <v>OK</v>
      </c>
    </row>
    <row r="2147" customFormat="false" ht="14.25" hidden="false" customHeight="false" outlineLevel="0" collapsed="false">
      <c r="A2147" s="0" t="n">
        <v>91</v>
      </c>
      <c r="B2147" s="0" t="n">
        <v>2025</v>
      </c>
      <c r="C2147" s="3" t="n">
        <v>45702</v>
      </c>
      <c r="E2147" s="20" t="s">
        <v>70</v>
      </c>
      <c r="F2147" s="21" t="s">
        <v>49</v>
      </c>
      <c r="L2147" s="0" t="str">
        <f aca="false">IF(H2147&gt;I2147,"ERRO","OK")</f>
        <v>OK</v>
      </c>
      <c r="M2147" s="0" t="str">
        <f aca="false">IF(H2147&gt;J2147,"ERRO","OK")</f>
        <v>OK</v>
      </c>
      <c r="N2147" s="0" t="str">
        <f aca="false">IF(I2147&lt;J2147,"ERRO","OK")</f>
        <v>OK</v>
      </c>
    </row>
    <row r="2148" customFormat="false" ht="14.25" hidden="false" customHeight="false" outlineLevel="0" collapsed="false">
      <c r="A2148" s="0" t="n">
        <v>91</v>
      </c>
      <c r="B2148" s="0" t="n">
        <v>2025</v>
      </c>
      <c r="C2148" s="3" t="n">
        <v>45702</v>
      </c>
      <c r="E2148" s="20" t="s">
        <v>71</v>
      </c>
      <c r="F2148" s="21" t="s">
        <v>49</v>
      </c>
      <c r="L2148" s="0" t="str">
        <f aca="false">IF(H2148&gt;I2148,"ERRO","OK")</f>
        <v>OK</v>
      </c>
      <c r="M2148" s="0" t="str">
        <f aca="false">IF(H2148&gt;J2148,"ERRO","OK")</f>
        <v>OK</v>
      </c>
      <c r="N2148" s="0" t="str">
        <f aca="false">IF(I2148&lt;J2148,"ERRO","OK")</f>
        <v>OK</v>
      </c>
    </row>
    <row r="2149" customFormat="false" ht="14.25" hidden="false" customHeight="false" outlineLevel="0" collapsed="false">
      <c r="A2149" s="0" t="n">
        <v>91</v>
      </c>
      <c r="B2149" s="0" t="n">
        <v>2025</v>
      </c>
      <c r="C2149" s="3" t="n">
        <v>45702</v>
      </c>
      <c r="E2149" s="20" t="s">
        <v>72</v>
      </c>
      <c r="F2149" s="21" t="s">
        <v>49</v>
      </c>
      <c r="L2149" s="0" t="str">
        <f aca="false">IF(H2149&gt;I2149,"ERRO","OK")</f>
        <v>OK</v>
      </c>
      <c r="M2149" s="0" t="str">
        <f aca="false">IF(H2149&gt;J2149,"ERRO","OK")</f>
        <v>OK</v>
      </c>
      <c r="N2149" s="0" t="str">
        <f aca="false">IF(I2149&lt;J2149,"ERRO","OK")</f>
        <v>OK</v>
      </c>
    </row>
    <row r="2150" customFormat="false" ht="14.25" hidden="false" customHeight="false" outlineLevel="0" collapsed="false">
      <c r="A2150" s="0" t="n">
        <v>91</v>
      </c>
      <c r="B2150" s="0" t="n">
        <v>2025</v>
      </c>
      <c r="C2150" s="3" t="n">
        <v>45702</v>
      </c>
      <c r="E2150" s="20" t="s">
        <v>73</v>
      </c>
      <c r="F2150" s="21" t="s">
        <v>49</v>
      </c>
      <c r="L2150" s="0" t="str">
        <f aca="false">IF(H2150&gt;I2150,"ERRO","OK")</f>
        <v>OK</v>
      </c>
      <c r="M2150" s="0" t="str">
        <f aca="false">IF(H2150&gt;J2150,"ERRO","OK")</f>
        <v>OK</v>
      </c>
      <c r="N2150" s="0" t="str">
        <f aca="false">IF(I2150&lt;J2150,"ERRO","OK")</f>
        <v>OK</v>
      </c>
    </row>
    <row r="2151" customFormat="false" ht="14.25" hidden="false" customHeight="false" outlineLevel="0" collapsed="false">
      <c r="A2151" s="0" t="n">
        <v>91</v>
      </c>
      <c r="B2151" s="0" t="n">
        <v>2025</v>
      </c>
      <c r="C2151" s="3" t="n">
        <v>45702</v>
      </c>
      <c r="E2151" s="20" t="s">
        <v>74</v>
      </c>
      <c r="F2151" s="21" t="s">
        <v>75</v>
      </c>
      <c r="L2151" s="0" t="str">
        <f aca="false">IF(H2151&gt;I2151,"ERRO","OK")</f>
        <v>OK</v>
      </c>
      <c r="M2151" s="0" t="str">
        <f aca="false">IF(H2151&gt;J2151,"ERRO","OK")</f>
        <v>OK</v>
      </c>
      <c r="N2151" s="0" t="str">
        <f aca="false">IF(I2151&lt;J2151,"ERRO","OK")</f>
        <v>OK</v>
      </c>
    </row>
    <row r="2152" customFormat="false" ht="14.25" hidden="false" customHeight="false" outlineLevel="0" collapsed="false">
      <c r="A2152" s="0" t="n">
        <v>92</v>
      </c>
      <c r="B2152" s="0" t="n">
        <v>2025</v>
      </c>
      <c r="C2152" s="3" t="n">
        <v>45709</v>
      </c>
      <c r="E2152" s="0" t="s">
        <v>16</v>
      </c>
      <c r="F2152" s="0" t="s">
        <v>17</v>
      </c>
      <c r="H2152" s="0" t="s">
        <v>369</v>
      </c>
      <c r="I2152" s="0" t="s">
        <v>370</v>
      </c>
      <c r="J2152" s="0" t="s">
        <v>371</v>
      </c>
      <c r="K2152" s="0" t="s">
        <v>371</v>
      </c>
      <c r="L2152" s="0" t="str">
        <f aca="false">IF(H2152&gt;I2152,"ERRO","OK")</f>
        <v>OK</v>
      </c>
      <c r="M2152" s="0" t="str">
        <f aca="false">IF(H2152&gt;J2152,"ERRO","OK")</f>
        <v>OK</v>
      </c>
      <c r="N2152" s="0" t="str">
        <f aca="false">IF(I2152&lt;J2152,"ERRO","OK")</f>
        <v>OK</v>
      </c>
    </row>
    <row r="2153" customFormat="false" ht="14.25" hidden="false" customHeight="false" outlineLevel="0" collapsed="false">
      <c r="A2153" s="0" t="n">
        <v>92</v>
      </c>
      <c r="B2153" s="0" t="n">
        <v>2025</v>
      </c>
      <c r="C2153" s="3" t="n">
        <v>45709</v>
      </c>
      <c r="E2153" s="0" t="s">
        <v>18</v>
      </c>
      <c r="F2153" s="0" t="s">
        <v>17</v>
      </c>
      <c r="G2153" s="0" t="s">
        <v>485</v>
      </c>
      <c r="H2153" s="0" t="s">
        <v>372</v>
      </c>
      <c r="I2153" s="0" t="s">
        <v>485</v>
      </c>
      <c r="J2153" s="0" t="s">
        <v>557</v>
      </c>
      <c r="K2153" s="0" t="s">
        <v>485</v>
      </c>
      <c r="L2153" s="0" t="str">
        <f aca="false">IF(H2153&gt;I2153,"ERRO","OK")</f>
        <v>OK</v>
      </c>
      <c r="M2153" s="0" t="str">
        <f aca="false">IF(H2153&gt;J2153,"ERRO","OK")</f>
        <v>OK</v>
      </c>
      <c r="N2153" s="0" t="str">
        <f aca="false">IF(I2153&lt;J2153,"ERRO","OK")</f>
        <v>OK</v>
      </c>
    </row>
    <row r="2154" customFormat="false" ht="14.25" hidden="false" customHeight="false" outlineLevel="0" collapsed="false">
      <c r="A2154" s="0" t="n">
        <v>92</v>
      </c>
      <c r="B2154" s="0" t="n">
        <v>2025</v>
      </c>
      <c r="C2154" s="3" t="n">
        <v>45709</v>
      </c>
      <c r="E2154" s="0" t="s">
        <v>19</v>
      </c>
      <c r="F2154" s="0" t="s">
        <v>17</v>
      </c>
      <c r="G2154" s="0" t="s">
        <v>369</v>
      </c>
      <c r="H2154" s="0" t="s">
        <v>409</v>
      </c>
      <c r="I2154" s="0" t="s">
        <v>370</v>
      </c>
      <c r="J2154" s="0" t="s">
        <v>463</v>
      </c>
      <c r="K2154" s="0" t="s">
        <v>369</v>
      </c>
      <c r="L2154" s="0" t="str">
        <f aca="false">IF(H2154&gt;I2154,"ERRO","OK")</f>
        <v>OK</v>
      </c>
      <c r="M2154" s="0" t="str">
        <f aca="false">IF(H2154&gt;J2154,"ERRO","OK")</f>
        <v>OK</v>
      </c>
      <c r="N2154" s="0" t="str">
        <f aca="false">IF(I2154&lt;J2154,"ERRO","OK")</f>
        <v>OK</v>
      </c>
    </row>
    <row r="2155" customFormat="false" ht="14.25" hidden="false" customHeight="false" outlineLevel="0" collapsed="false">
      <c r="A2155" s="0" t="n">
        <v>92</v>
      </c>
      <c r="B2155" s="0" t="n">
        <v>2025</v>
      </c>
      <c r="C2155" s="3" t="n">
        <v>45709</v>
      </c>
      <c r="E2155" s="0" t="s">
        <v>20</v>
      </c>
      <c r="F2155" s="0" t="s">
        <v>17</v>
      </c>
      <c r="G2155" s="0" t="s">
        <v>374</v>
      </c>
      <c r="H2155" s="0" t="s">
        <v>374</v>
      </c>
      <c r="I2155" s="0" t="s">
        <v>370</v>
      </c>
      <c r="J2155" s="0" t="s">
        <v>585</v>
      </c>
      <c r="K2155" s="0" t="s">
        <v>374</v>
      </c>
      <c r="L2155" s="0" t="str">
        <f aca="false">IF(H2155&gt;I2155,"ERRO","OK")</f>
        <v>OK</v>
      </c>
      <c r="M2155" s="0" t="str">
        <f aca="false">IF(H2155&gt;J2155,"ERRO","OK")</f>
        <v>OK</v>
      </c>
      <c r="N2155" s="0" t="str">
        <f aca="false">IF(I2155&lt;J2155,"ERRO","OK")</f>
        <v>OK</v>
      </c>
    </row>
    <row r="2156" customFormat="false" ht="14.25" hidden="false" customHeight="false" outlineLevel="0" collapsed="false">
      <c r="A2156" s="0" t="n">
        <v>92</v>
      </c>
      <c r="B2156" s="0" t="n">
        <v>2025</v>
      </c>
      <c r="C2156" s="3" t="n">
        <v>45709</v>
      </c>
      <c r="E2156" s="0" t="s">
        <v>21</v>
      </c>
      <c r="F2156" s="0" t="s">
        <v>17</v>
      </c>
      <c r="G2156" s="0" t="s">
        <v>374</v>
      </c>
      <c r="H2156" s="0" t="s">
        <v>374</v>
      </c>
      <c r="I2156" s="0" t="s">
        <v>370</v>
      </c>
      <c r="J2156" s="0" t="s">
        <v>585</v>
      </c>
      <c r="K2156" s="0" t="s">
        <v>374</v>
      </c>
      <c r="L2156" s="0" t="str">
        <f aca="false">IF(H2156&gt;I2156,"ERRO","OK")</f>
        <v>OK</v>
      </c>
      <c r="M2156" s="0" t="str">
        <f aca="false">IF(H2156&gt;J2156,"ERRO","OK")</f>
        <v>OK</v>
      </c>
      <c r="N2156" s="0" t="str">
        <f aca="false">IF(I2156&lt;J2156,"ERRO","OK")</f>
        <v>OK</v>
      </c>
    </row>
    <row r="2157" customFormat="false" ht="14.25" hidden="false" customHeight="false" outlineLevel="0" collapsed="false">
      <c r="A2157" s="0" t="n">
        <v>92</v>
      </c>
      <c r="B2157" s="0" t="n">
        <v>2025</v>
      </c>
      <c r="C2157" s="3" t="n">
        <v>45709</v>
      </c>
      <c r="E2157" s="0" t="s">
        <v>22</v>
      </c>
      <c r="F2157" s="0" t="s">
        <v>17</v>
      </c>
      <c r="G2157" s="0" t="s">
        <v>370</v>
      </c>
      <c r="H2157" s="0" t="s">
        <v>370</v>
      </c>
      <c r="I2157" s="0" t="s">
        <v>370</v>
      </c>
      <c r="J2157" s="0" t="s">
        <v>370</v>
      </c>
      <c r="K2157" s="0" t="s">
        <v>370</v>
      </c>
      <c r="L2157" s="0" t="str">
        <f aca="false">IF(H2157&gt;I2157,"ERRO","OK")</f>
        <v>OK</v>
      </c>
      <c r="M2157" s="0" t="str">
        <f aca="false">IF(H2157&gt;J2157,"ERRO","OK")</f>
        <v>OK</v>
      </c>
      <c r="N2157" s="0" t="str">
        <f aca="false">IF(I2157&lt;J2157,"ERRO","OK")</f>
        <v>OK</v>
      </c>
    </row>
    <row r="2158" customFormat="false" ht="14.25" hidden="false" customHeight="false" outlineLevel="0" collapsed="false">
      <c r="A2158" s="0" t="n">
        <v>92</v>
      </c>
      <c r="B2158" s="0" t="n">
        <v>2025</v>
      </c>
      <c r="C2158" s="3" t="n">
        <v>45709</v>
      </c>
      <c r="E2158" s="0" t="s">
        <v>23</v>
      </c>
      <c r="F2158" s="0" t="s">
        <v>17</v>
      </c>
      <c r="G2158" s="0" t="s">
        <v>485</v>
      </c>
      <c r="H2158" s="0" t="s">
        <v>485</v>
      </c>
      <c r="I2158" s="0" t="s">
        <v>580</v>
      </c>
      <c r="J2158" s="0" t="s">
        <v>427</v>
      </c>
      <c r="K2158" s="0" t="s">
        <v>485</v>
      </c>
      <c r="L2158" s="0" t="str">
        <f aca="false">IF(H2158&gt;I2158,"ERRO","OK")</f>
        <v>ERRO</v>
      </c>
      <c r="M2158" s="0" t="str">
        <f aca="false">IF(H2158&gt;J2158,"ERRO","OK")</f>
        <v>ERRO</v>
      </c>
      <c r="N2158" s="0" t="str">
        <f aca="false">IF(I2158&lt;J2158,"ERRO","OK")</f>
        <v>OK</v>
      </c>
    </row>
    <row r="2159" customFormat="false" ht="14.25" hidden="false" customHeight="false" outlineLevel="0" collapsed="false">
      <c r="A2159" s="0" t="n">
        <v>92</v>
      </c>
      <c r="B2159" s="0" t="n">
        <v>2025</v>
      </c>
      <c r="C2159" s="3" t="n">
        <v>45709</v>
      </c>
      <c r="E2159" s="0" t="s">
        <v>24</v>
      </c>
      <c r="F2159" s="0" t="s">
        <v>17</v>
      </c>
      <c r="G2159" s="0" t="s">
        <v>373</v>
      </c>
      <c r="H2159" s="0" t="s">
        <v>485</v>
      </c>
      <c r="I2159" s="0" t="s">
        <v>485</v>
      </c>
      <c r="J2159" s="0" t="s">
        <v>545</v>
      </c>
      <c r="K2159" s="0" t="s">
        <v>570</v>
      </c>
      <c r="L2159" s="0" t="str">
        <f aca="false">IF(H2159&gt;I2159,"ERRO","OK")</f>
        <v>OK</v>
      </c>
      <c r="M2159" s="0" t="str">
        <f aca="false">IF(H2159&gt;J2159,"ERRO","OK")</f>
        <v>ERRO</v>
      </c>
      <c r="N2159" s="0" t="str">
        <f aca="false">IF(I2159&lt;J2159,"ERRO","OK")</f>
        <v>OK</v>
      </c>
    </row>
    <row r="2160" customFormat="false" ht="14.25" hidden="false" customHeight="false" outlineLevel="0" collapsed="false">
      <c r="A2160" s="0" t="n">
        <v>92</v>
      </c>
      <c r="B2160" s="0" t="n">
        <v>2025</v>
      </c>
      <c r="C2160" s="3" t="n">
        <v>45709</v>
      </c>
      <c r="E2160" s="0" t="s">
        <v>25</v>
      </c>
      <c r="F2160" s="0" t="s">
        <v>17</v>
      </c>
      <c r="G2160" s="0" t="s">
        <v>374</v>
      </c>
      <c r="H2160" s="0" t="s">
        <v>374</v>
      </c>
      <c r="I2160" s="0" t="s">
        <v>442</v>
      </c>
      <c r="J2160" s="0" t="s">
        <v>468</v>
      </c>
      <c r="K2160" s="0" t="s">
        <v>374</v>
      </c>
      <c r="L2160" s="0" t="str">
        <f aca="false">IF(H2160&gt;I2160,"ERRO","OK")</f>
        <v>OK</v>
      </c>
      <c r="M2160" s="0" t="str">
        <f aca="false">IF(H2160&gt;J2160,"ERRO","OK")</f>
        <v>OK</v>
      </c>
      <c r="N2160" s="0" t="str">
        <f aca="false">IF(I2160&lt;J2160,"ERRO","OK")</f>
        <v>OK</v>
      </c>
    </row>
    <row r="2161" customFormat="false" ht="14.25" hidden="false" customHeight="false" outlineLevel="0" collapsed="false">
      <c r="A2161" s="0" t="n">
        <v>92</v>
      </c>
      <c r="B2161" s="0" t="n">
        <v>2025</v>
      </c>
      <c r="C2161" s="3" t="n">
        <v>45709</v>
      </c>
      <c r="E2161" s="0" t="s">
        <v>77</v>
      </c>
      <c r="F2161" s="0" t="s">
        <v>17</v>
      </c>
      <c r="H2161" s="0" t="s">
        <v>370</v>
      </c>
      <c r="I2161" s="0" t="s">
        <v>413</v>
      </c>
      <c r="J2161" s="0" t="s">
        <v>557</v>
      </c>
      <c r="K2161" s="0" t="s">
        <v>373</v>
      </c>
      <c r="L2161" s="0" t="str">
        <f aca="false">IF(H2161&gt;I2161,"ERRO","OK")</f>
        <v>ERRO</v>
      </c>
      <c r="M2161" s="0" t="str">
        <f aca="false">IF(H2161&gt;J2161,"ERRO","OK")</f>
        <v>OK</v>
      </c>
      <c r="N2161" s="0" t="str">
        <f aca="false">IF(I2161&lt;J2161,"ERRO","OK")</f>
        <v>ERRO</v>
      </c>
    </row>
    <row r="2162" customFormat="false" ht="14.25" hidden="false" customHeight="false" outlineLevel="0" collapsed="false">
      <c r="A2162" s="0" t="n">
        <v>92</v>
      </c>
      <c r="B2162" s="0" t="n">
        <v>2025</v>
      </c>
      <c r="C2162" s="3" t="n">
        <v>45709</v>
      </c>
      <c r="E2162" s="0" t="s">
        <v>27</v>
      </c>
      <c r="F2162" s="0" t="s">
        <v>17</v>
      </c>
      <c r="G2162" s="0" t="s">
        <v>374</v>
      </c>
      <c r="H2162" s="0" t="s">
        <v>374</v>
      </c>
      <c r="I2162" s="0" t="s">
        <v>370</v>
      </c>
      <c r="J2162" s="0" t="s">
        <v>585</v>
      </c>
      <c r="K2162" s="0" t="s">
        <v>374</v>
      </c>
      <c r="L2162" s="0" t="str">
        <f aca="false">IF(H2162&gt;I2162,"ERRO","OK")</f>
        <v>OK</v>
      </c>
      <c r="M2162" s="0" t="str">
        <f aca="false">IF(H2162&gt;J2162,"ERRO","OK")</f>
        <v>OK</v>
      </c>
      <c r="N2162" s="0" t="str">
        <f aca="false">IF(I2162&lt;J2162,"ERRO","OK")</f>
        <v>OK</v>
      </c>
    </row>
    <row r="2163" customFormat="false" ht="14.25" hidden="false" customHeight="false" outlineLevel="0" collapsed="false">
      <c r="A2163" s="0" t="n">
        <v>92</v>
      </c>
      <c r="B2163" s="0" t="n">
        <v>2025</v>
      </c>
      <c r="C2163" s="3" t="n">
        <v>45709</v>
      </c>
      <c r="E2163" s="0" t="s">
        <v>28</v>
      </c>
      <c r="F2163" s="0" t="s">
        <v>17</v>
      </c>
      <c r="G2163" s="0" t="s">
        <v>370</v>
      </c>
      <c r="H2163" s="0" t="s">
        <v>370</v>
      </c>
      <c r="I2163" s="0" t="s">
        <v>373</v>
      </c>
      <c r="J2163" s="0" t="s">
        <v>441</v>
      </c>
      <c r="K2163" s="0" t="s">
        <v>370</v>
      </c>
      <c r="L2163" s="0" t="str">
        <f aca="false">IF(H2163&gt;I2163,"ERRO","OK")</f>
        <v>OK</v>
      </c>
      <c r="M2163" s="0" t="str">
        <f aca="false">IF(H2163&gt;J2163,"ERRO","OK")</f>
        <v>OK</v>
      </c>
      <c r="N2163" s="0" t="str">
        <f aca="false">IF(I2163&lt;J2163,"ERRO","OK")</f>
        <v>OK</v>
      </c>
    </row>
    <row r="2164" customFormat="false" ht="14.25" hidden="false" customHeight="false" outlineLevel="0" collapsed="false">
      <c r="A2164" s="0" t="n">
        <v>92</v>
      </c>
      <c r="B2164" s="0" t="n">
        <v>2025</v>
      </c>
      <c r="C2164" s="3" t="n">
        <v>45709</v>
      </c>
      <c r="E2164" s="0" t="s">
        <v>29</v>
      </c>
      <c r="F2164" s="0" t="s">
        <v>30</v>
      </c>
      <c r="G2164" s="0" t="s">
        <v>370</v>
      </c>
      <c r="H2164" s="0" t="s">
        <v>370</v>
      </c>
      <c r="I2164" s="0" t="s">
        <v>370</v>
      </c>
      <c r="J2164" s="0" t="s">
        <v>370</v>
      </c>
      <c r="K2164" s="0" t="s">
        <v>370</v>
      </c>
      <c r="L2164" s="0" t="str">
        <f aca="false">IF(H2164&gt;I2164,"ERRO","OK")</f>
        <v>OK</v>
      </c>
      <c r="M2164" s="0" t="str">
        <f aca="false">IF(H2164&gt;J2164,"ERRO","OK")</f>
        <v>OK</v>
      </c>
      <c r="N2164" s="0" t="str">
        <f aca="false">IF(I2164&lt;J2164,"ERRO","OK")</f>
        <v>OK</v>
      </c>
    </row>
    <row r="2165" customFormat="false" ht="14.25" hidden="false" customHeight="false" outlineLevel="0" collapsed="false">
      <c r="A2165" s="0" t="n">
        <v>92</v>
      </c>
      <c r="B2165" s="0" t="n">
        <v>2025</v>
      </c>
      <c r="C2165" s="3" t="n">
        <v>45709</v>
      </c>
      <c r="E2165" s="0" t="s">
        <v>31</v>
      </c>
      <c r="F2165" s="0" t="s">
        <v>17</v>
      </c>
      <c r="H2165" s="0" t="s">
        <v>369</v>
      </c>
      <c r="I2165" s="0" t="s">
        <v>373</v>
      </c>
      <c r="J2165" s="0" t="s">
        <v>588</v>
      </c>
      <c r="K2165" s="0" t="s">
        <v>408</v>
      </c>
      <c r="L2165" s="0" t="str">
        <f aca="false">IF(H2165&gt;I2165,"ERRO","OK")</f>
        <v>OK</v>
      </c>
      <c r="M2165" s="0" t="str">
        <f aca="false">IF(H2165&gt;J2165,"ERRO","OK")</f>
        <v>OK</v>
      </c>
      <c r="N2165" s="0" t="str">
        <f aca="false">IF(I2165&lt;J2165,"ERRO","OK")</f>
        <v>OK</v>
      </c>
    </row>
    <row r="2166" customFormat="false" ht="14.25" hidden="false" customHeight="false" outlineLevel="0" collapsed="false">
      <c r="A2166" s="0" t="n">
        <v>92</v>
      </c>
      <c r="B2166" s="0" t="n">
        <v>2025</v>
      </c>
      <c r="C2166" s="3" t="n">
        <v>45709</v>
      </c>
      <c r="E2166" s="0" t="s">
        <v>32</v>
      </c>
      <c r="F2166" s="0" t="s">
        <v>17</v>
      </c>
      <c r="G2166" s="0" t="s">
        <v>370</v>
      </c>
      <c r="H2166" s="0" t="s">
        <v>402</v>
      </c>
      <c r="I2166" s="0" t="s">
        <v>370</v>
      </c>
      <c r="J2166" s="0" t="s">
        <v>565</v>
      </c>
      <c r="K2166" s="0" t="s">
        <v>408</v>
      </c>
      <c r="L2166" s="0" t="str">
        <f aca="false">IF(H2166&gt;I2166,"ERRO","OK")</f>
        <v>OK</v>
      </c>
      <c r="M2166" s="0" t="str">
        <f aca="false">IF(H2166&gt;J2166,"ERRO","OK")</f>
        <v>OK</v>
      </c>
      <c r="N2166" s="0" t="str">
        <f aca="false">IF(I2166&lt;J2166,"ERRO","OK")</f>
        <v>OK</v>
      </c>
    </row>
    <row r="2167" customFormat="false" ht="14.25" hidden="false" customHeight="false" outlineLevel="0" collapsed="false">
      <c r="A2167" s="0" t="n">
        <v>92</v>
      </c>
      <c r="B2167" s="0" t="n">
        <v>2025</v>
      </c>
      <c r="C2167" s="3" t="n">
        <v>45709</v>
      </c>
      <c r="E2167" s="0" t="s">
        <v>33</v>
      </c>
      <c r="F2167" s="0" t="s">
        <v>17</v>
      </c>
      <c r="G2167" s="0" t="s">
        <v>370</v>
      </c>
      <c r="H2167" s="0" t="s">
        <v>371</v>
      </c>
      <c r="I2167" s="0" t="s">
        <v>372</v>
      </c>
      <c r="J2167" s="0" t="s">
        <v>469</v>
      </c>
      <c r="K2167" s="0" t="s">
        <v>370</v>
      </c>
      <c r="L2167" s="0" t="str">
        <f aca="false">IF(H2167&gt;I2167,"ERRO","OK")</f>
        <v>OK</v>
      </c>
      <c r="M2167" s="0" t="str">
        <f aca="false">IF(H2167&gt;J2167,"ERRO","OK")</f>
        <v>OK</v>
      </c>
      <c r="N2167" s="0" t="str">
        <f aca="false">IF(I2167&lt;J2167,"ERRO","OK")</f>
        <v>OK</v>
      </c>
    </row>
    <row r="2168" customFormat="false" ht="14.25" hidden="false" customHeight="false" outlineLevel="0" collapsed="false">
      <c r="A2168" s="0" t="n">
        <v>92</v>
      </c>
      <c r="B2168" s="0" t="n">
        <v>2025</v>
      </c>
      <c r="C2168" s="3" t="n">
        <v>45709</v>
      </c>
      <c r="E2168" s="0" t="s">
        <v>35</v>
      </c>
      <c r="F2168" s="0" t="s">
        <v>36</v>
      </c>
      <c r="G2168" s="0" t="s">
        <v>390</v>
      </c>
      <c r="H2168" s="0" t="s">
        <v>390</v>
      </c>
      <c r="I2168" s="0" t="s">
        <v>390</v>
      </c>
      <c r="J2168" s="0" t="s">
        <v>390</v>
      </c>
      <c r="K2168" s="0" t="s">
        <v>390</v>
      </c>
      <c r="L2168" s="0" t="str">
        <f aca="false">IF(H2168&gt;I2168,"ERRO","OK")</f>
        <v>OK</v>
      </c>
      <c r="M2168" s="0" t="str">
        <f aca="false">IF(H2168&gt;J2168,"ERRO","OK")</f>
        <v>OK</v>
      </c>
      <c r="N2168" s="0" t="str">
        <f aca="false">IF(I2168&lt;J2168,"ERRO","OK")</f>
        <v>OK</v>
      </c>
    </row>
    <row r="2169" customFormat="false" ht="14.25" hidden="false" customHeight="false" outlineLevel="0" collapsed="false">
      <c r="A2169" s="0" t="n">
        <v>92</v>
      </c>
      <c r="B2169" s="0" t="n">
        <v>2025</v>
      </c>
      <c r="C2169" s="3" t="n">
        <v>45709</v>
      </c>
      <c r="E2169" s="0" t="s">
        <v>38</v>
      </c>
      <c r="F2169" s="0" t="s">
        <v>39</v>
      </c>
      <c r="G2169" s="0" t="s">
        <v>402</v>
      </c>
      <c r="H2169" s="0" t="s">
        <v>409</v>
      </c>
      <c r="I2169" s="0" t="s">
        <v>369</v>
      </c>
      <c r="J2169" s="0" t="s">
        <v>589</v>
      </c>
      <c r="K2169" s="0" t="s">
        <v>402</v>
      </c>
      <c r="L2169" s="0" t="str">
        <f aca="false">IF(H2169&gt;I2169,"ERRO","OK")</f>
        <v>OK</v>
      </c>
      <c r="M2169" s="0" t="str">
        <f aca="false">IF(H2169&gt;J2169,"ERRO","OK")</f>
        <v>OK</v>
      </c>
      <c r="N2169" s="0" t="str">
        <f aca="false">IF(I2169&lt;J2169,"ERRO","OK")</f>
        <v>OK</v>
      </c>
    </row>
    <row r="2170" customFormat="false" ht="14.25" hidden="false" customHeight="false" outlineLevel="0" collapsed="false">
      <c r="A2170" s="0" t="n">
        <v>92</v>
      </c>
      <c r="B2170" s="0" t="n">
        <v>2025</v>
      </c>
      <c r="C2170" s="3" t="n">
        <v>45709</v>
      </c>
      <c r="E2170" s="0" t="s">
        <v>40</v>
      </c>
      <c r="F2170" s="0" t="s">
        <v>39</v>
      </c>
      <c r="G2170" s="0" t="s">
        <v>374</v>
      </c>
      <c r="H2170" s="0" t="s">
        <v>374</v>
      </c>
      <c r="I2170" s="0" t="s">
        <v>402</v>
      </c>
      <c r="J2170" s="0" t="s">
        <v>543</v>
      </c>
      <c r="K2170" s="0" t="s">
        <v>400</v>
      </c>
      <c r="L2170" s="0" t="str">
        <f aca="false">IF(H2170&gt;I2170,"ERRO","OK")</f>
        <v>OK</v>
      </c>
      <c r="M2170" s="0" t="str">
        <f aca="false">IF(H2170&gt;J2170,"ERRO","OK")</f>
        <v>OK</v>
      </c>
      <c r="N2170" s="0" t="str">
        <f aca="false">IF(I2170&lt;J2170,"ERRO","OK")</f>
        <v>OK</v>
      </c>
    </row>
    <row r="2171" customFormat="false" ht="14.25" hidden="false" customHeight="false" outlineLevel="0" collapsed="false">
      <c r="A2171" s="0" t="n">
        <v>92</v>
      </c>
      <c r="B2171" s="0" t="n">
        <v>2025</v>
      </c>
      <c r="C2171" s="3" t="n">
        <v>45709</v>
      </c>
      <c r="E2171" s="0" t="s">
        <v>157</v>
      </c>
      <c r="F2171" s="0" t="s">
        <v>158</v>
      </c>
      <c r="H2171" s="0" t="s">
        <v>408</v>
      </c>
      <c r="I2171" s="0" t="s">
        <v>370</v>
      </c>
      <c r="J2171" s="0" t="s">
        <v>411</v>
      </c>
      <c r="K2171" s="0" t="s">
        <v>411</v>
      </c>
      <c r="L2171" s="0" t="str">
        <f aca="false">IF(H2171&gt;I2171,"ERRO","OK")</f>
        <v>OK</v>
      </c>
      <c r="M2171" s="0" t="str">
        <f aca="false">IF(H2171&gt;J2171,"ERRO","OK")</f>
        <v>OK</v>
      </c>
      <c r="N2171" s="0" t="str">
        <f aca="false">IF(I2171&lt;J2171,"ERRO","OK")</f>
        <v>OK</v>
      </c>
    </row>
    <row r="2172" customFormat="false" ht="14.25" hidden="false" customHeight="false" outlineLevel="0" collapsed="false">
      <c r="A2172" s="0" t="n">
        <v>92</v>
      </c>
      <c r="B2172" s="0" t="n">
        <v>2025</v>
      </c>
      <c r="C2172" s="3" t="n">
        <v>45709</v>
      </c>
      <c r="E2172" s="0" t="s">
        <v>43</v>
      </c>
      <c r="F2172" s="0" t="s">
        <v>44</v>
      </c>
      <c r="G2172" s="0" t="s">
        <v>382</v>
      </c>
      <c r="H2172" s="0" t="s">
        <v>382</v>
      </c>
      <c r="I2172" s="0" t="s">
        <v>382</v>
      </c>
      <c r="J2172" s="0" t="s">
        <v>382</v>
      </c>
      <c r="K2172" s="0" t="s">
        <v>382</v>
      </c>
      <c r="L2172" s="0" t="str">
        <f aca="false">IF(H2172&gt;I2172,"ERRO","OK")</f>
        <v>OK</v>
      </c>
      <c r="M2172" s="0" t="str">
        <f aca="false">IF(H2172&gt;J2172,"ERRO","OK")</f>
        <v>OK</v>
      </c>
      <c r="N2172" s="0" t="str">
        <f aca="false">IF(I2172&lt;J2172,"ERRO","OK")</f>
        <v>OK</v>
      </c>
    </row>
    <row r="2173" customFormat="false" ht="14.25" hidden="false" customHeight="false" outlineLevel="0" collapsed="false">
      <c r="A2173" s="0" t="n">
        <v>92</v>
      </c>
      <c r="B2173" s="0" t="n">
        <v>2025</v>
      </c>
      <c r="C2173" s="3" t="n">
        <v>45709</v>
      </c>
      <c r="E2173" s="0" t="s">
        <v>46</v>
      </c>
      <c r="F2173" s="0" t="s">
        <v>47</v>
      </c>
      <c r="H2173" s="0" t="s">
        <v>402</v>
      </c>
      <c r="I2173" s="0" t="s">
        <v>406</v>
      </c>
      <c r="J2173" s="0" t="s">
        <v>408</v>
      </c>
      <c r="K2173" s="0" t="s">
        <v>408</v>
      </c>
      <c r="L2173" s="0" t="str">
        <f aca="false">IF(H2173&gt;I2173,"ERRO","OK")</f>
        <v>OK</v>
      </c>
      <c r="M2173" s="0" t="str">
        <f aca="false">IF(H2173&gt;J2173,"ERRO","OK")</f>
        <v>OK</v>
      </c>
      <c r="N2173" s="0" t="str">
        <f aca="false">IF(I2173&lt;J2173,"ERRO","OK")</f>
        <v>OK</v>
      </c>
    </row>
    <row r="2174" customFormat="false" ht="14.25" hidden="false" customHeight="false" outlineLevel="0" collapsed="false">
      <c r="A2174" s="0" t="n">
        <v>92</v>
      </c>
      <c r="B2174" s="0" t="n">
        <v>2025</v>
      </c>
      <c r="C2174" s="3" t="n">
        <v>45709</v>
      </c>
      <c r="E2174" s="0" t="s">
        <v>48</v>
      </c>
      <c r="F2174" s="0" t="s">
        <v>49</v>
      </c>
      <c r="G2174" s="0" t="s">
        <v>405</v>
      </c>
      <c r="H2174" s="0" t="s">
        <v>405</v>
      </c>
      <c r="I2174" s="0" t="s">
        <v>408</v>
      </c>
      <c r="J2174" s="0" t="s">
        <v>511</v>
      </c>
      <c r="K2174" s="0" t="s">
        <v>405</v>
      </c>
      <c r="L2174" s="0" t="str">
        <f aca="false">IF(H2174&gt;I2174,"ERRO","OK")</f>
        <v>OK</v>
      </c>
      <c r="M2174" s="0" t="str">
        <f aca="false">IF(H2174&gt;J2174,"ERRO","OK")</f>
        <v>OK</v>
      </c>
      <c r="N2174" s="0" t="str">
        <f aca="false">IF(I2174&lt;J2174,"ERRO","OK")</f>
        <v>OK</v>
      </c>
    </row>
    <row r="2175" customFormat="false" ht="14.25" hidden="false" customHeight="false" outlineLevel="0" collapsed="false">
      <c r="A2175" s="0" t="n">
        <v>92</v>
      </c>
      <c r="B2175" s="0" t="n">
        <v>2025</v>
      </c>
      <c r="C2175" s="3" t="n">
        <v>45709</v>
      </c>
      <c r="E2175" s="0" t="s">
        <v>52</v>
      </c>
      <c r="F2175" s="0" t="s">
        <v>49</v>
      </c>
      <c r="H2175" s="0" t="s">
        <v>398</v>
      </c>
      <c r="I2175" s="0" t="s">
        <v>398</v>
      </c>
      <c r="J2175" s="0" t="s">
        <v>398</v>
      </c>
      <c r="K2175" s="0" t="s">
        <v>398</v>
      </c>
      <c r="L2175" s="0" t="str">
        <f aca="false">IF(H2175&gt;I2175,"ERRO","OK")</f>
        <v>OK</v>
      </c>
      <c r="M2175" s="0" t="str">
        <f aca="false">IF(H2175&gt;J2175,"ERRO","OK")</f>
        <v>OK</v>
      </c>
      <c r="N2175" s="0" t="str">
        <f aca="false">IF(I2175&lt;J2175,"ERRO","OK")</f>
        <v>OK</v>
      </c>
    </row>
    <row r="2176" customFormat="false" ht="14.25" hidden="false" customHeight="false" outlineLevel="0" collapsed="false">
      <c r="A2176" s="0" t="n">
        <v>92</v>
      </c>
      <c r="B2176" s="0" t="n">
        <v>2025</v>
      </c>
      <c r="C2176" s="3" t="n">
        <v>45709</v>
      </c>
      <c r="E2176" s="0" t="s">
        <v>53</v>
      </c>
      <c r="F2176" s="0" t="s">
        <v>54</v>
      </c>
      <c r="G2176" s="0" t="s">
        <v>408</v>
      </c>
      <c r="H2176" s="0" t="s">
        <v>370</v>
      </c>
      <c r="I2176" s="0" t="s">
        <v>406</v>
      </c>
      <c r="J2176" s="0" t="s">
        <v>370</v>
      </c>
      <c r="K2176" s="0" t="s">
        <v>370</v>
      </c>
      <c r="L2176" s="0" t="str">
        <f aca="false">IF(H2176&gt;I2176,"ERRO","OK")</f>
        <v>OK</v>
      </c>
      <c r="M2176" s="0" t="str">
        <f aca="false">IF(H2176&gt;J2176,"ERRO","OK")</f>
        <v>OK</v>
      </c>
      <c r="N2176" s="0" t="str">
        <f aca="false">IF(I2176&lt;J2176,"ERRO","OK")</f>
        <v>OK</v>
      </c>
    </row>
    <row r="2177" customFormat="false" ht="14.25" hidden="false" customHeight="false" outlineLevel="0" collapsed="false">
      <c r="A2177" s="0" t="n">
        <v>92</v>
      </c>
      <c r="B2177" s="0" t="n">
        <v>2025</v>
      </c>
      <c r="C2177" s="3" t="n">
        <v>45709</v>
      </c>
      <c r="E2177" s="0" t="s">
        <v>56</v>
      </c>
      <c r="F2177" s="0" t="s">
        <v>47</v>
      </c>
      <c r="G2177" s="0" t="s">
        <v>382</v>
      </c>
      <c r="H2177" s="0" t="s">
        <v>382</v>
      </c>
      <c r="I2177" s="0" t="s">
        <v>459</v>
      </c>
      <c r="J2177" s="0" t="s">
        <v>590</v>
      </c>
      <c r="K2177" s="0" t="s">
        <v>382</v>
      </c>
      <c r="L2177" s="0" t="str">
        <f aca="false">IF(H2177&gt;I2177,"ERRO","OK")</f>
        <v>ERRO</v>
      </c>
      <c r="M2177" s="0" t="str">
        <f aca="false">IF(H2177&gt;J2177,"ERRO","OK")</f>
        <v>OK</v>
      </c>
      <c r="N2177" s="0" t="str">
        <f aca="false">IF(I2177&lt;J2177,"ERRO","OK")</f>
        <v>ERRO</v>
      </c>
    </row>
    <row r="2178" customFormat="false" ht="14.25" hidden="false" customHeight="false" outlineLevel="0" collapsed="false">
      <c r="A2178" s="0" t="n">
        <v>92</v>
      </c>
      <c r="B2178" s="0" t="n">
        <v>2025</v>
      </c>
      <c r="C2178" s="3" t="n">
        <v>45709</v>
      </c>
      <c r="E2178" s="0" t="s">
        <v>57</v>
      </c>
      <c r="F2178" s="0" t="s">
        <v>47</v>
      </c>
      <c r="G2178" s="0" t="s">
        <v>382</v>
      </c>
      <c r="H2178" s="0" t="s">
        <v>382</v>
      </c>
      <c r="I2178" s="0" t="s">
        <v>417</v>
      </c>
      <c r="J2178" s="0" t="s">
        <v>399</v>
      </c>
      <c r="K2178" s="0" t="s">
        <v>397</v>
      </c>
      <c r="L2178" s="0" t="str">
        <f aca="false">IF(H2178&gt;I2178,"ERRO","OK")</f>
        <v>OK</v>
      </c>
      <c r="M2178" s="0" t="str">
        <f aca="false">IF(H2178&gt;J2178,"ERRO","OK")</f>
        <v>OK</v>
      </c>
      <c r="N2178" s="0" t="str">
        <f aca="false">IF(I2178&lt;J2178,"ERRO","OK")</f>
        <v>OK</v>
      </c>
    </row>
    <row r="2179" customFormat="false" ht="14.25" hidden="false" customHeight="false" outlineLevel="0" collapsed="false">
      <c r="A2179" s="0" t="n">
        <v>92</v>
      </c>
      <c r="B2179" s="0" t="n">
        <v>2025</v>
      </c>
      <c r="C2179" s="3" t="n">
        <v>45709</v>
      </c>
      <c r="E2179" s="0" t="s">
        <v>58</v>
      </c>
      <c r="F2179" s="0" t="s">
        <v>44</v>
      </c>
      <c r="G2179" s="0" t="s">
        <v>370</v>
      </c>
      <c r="H2179" s="0" t="s">
        <v>398</v>
      </c>
      <c r="I2179" s="0" t="s">
        <v>398</v>
      </c>
      <c r="J2179" s="0" t="s">
        <v>584</v>
      </c>
      <c r="K2179" s="0" t="s">
        <v>398</v>
      </c>
      <c r="L2179" s="0" t="str">
        <f aca="false">IF(H2179&gt;I2179,"ERRO","OK")</f>
        <v>OK</v>
      </c>
      <c r="M2179" s="0" t="str">
        <f aca="false">IF(H2179&gt;J2179,"ERRO","OK")</f>
        <v>ERRO</v>
      </c>
      <c r="N2179" s="0" t="str">
        <f aca="false">IF(I2179&lt;J2179,"ERRO","OK")</f>
        <v>OK</v>
      </c>
    </row>
    <row r="2180" customFormat="false" ht="14.25" hidden="false" customHeight="false" outlineLevel="0" collapsed="false">
      <c r="A2180" s="0" t="n">
        <v>92</v>
      </c>
      <c r="B2180" s="0" t="n">
        <v>2025</v>
      </c>
      <c r="C2180" s="3" t="n">
        <v>45709</v>
      </c>
      <c r="E2180" s="0" t="s">
        <v>60</v>
      </c>
      <c r="F2180" s="0" t="s">
        <v>47</v>
      </c>
      <c r="H2180" s="0" t="s">
        <v>397</v>
      </c>
      <c r="I2180" s="0" t="s">
        <v>397</v>
      </c>
      <c r="J2180" s="0" t="s">
        <v>397</v>
      </c>
      <c r="K2180" s="0" t="s">
        <v>397</v>
      </c>
      <c r="L2180" s="0" t="str">
        <f aca="false">IF(H2180&gt;I2180,"ERRO","OK")</f>
        <v>OK</v>
      </c>
      <c r="M2180" s="0" t="str">
        <f aca="false">IF(H2180&gt;J2180,"ERRO","OK")</f>
        <v>OK</v>
      </c>
      <c r="N2180" s="0" t="str">
        <f aca="false">IF(I2180&lt;J2180,"ERRO","OK")</f>
        <v>OK</v>
      </c>
    </row>
    <row r="2181" customFormat="false" ht="14.25" hidden="false" customHeight="false" outlineLevel="0" collapsed="false">
      <c r="A2181" s="0" t="n">
        <v>92</v>
      </c>
      <c r="B2181" s="0" t="n">
        <v>2025</v>
      </c>
      <c r="C2181" s="3" t="n">
        <v>45709</v>
      </c>
      <c r="E2181" s="0" t="s">
        <v>61</v>
      </c>
      <c r="F2181" s="0" t="s">
        <v>44</v>
      </c>
      <c r="H2181" s="0" t="s">
        <v>370</v>
      </c>
      <c r="I2181" s="0" t="s">
        <v>382</v>
      </c>
      <c r="J2181" s="0" t="s">
        <v>406</v>
      </c>
      <c r="K2181" s="0" t="s">
        <v>406</v>
      </c>
      <c r="L2181" s="0" t="str">
        <f aca="false">IF(H2181&gt;I2181,"ERRO","OK")</f>
        <v>OK</v>
      </c>
      <c r="M2181" s="0" t="str">
        <f aca="false">IF(H2181&gt;J2181,"ERRO","OK")</f>
        <v>OK</v>
      </c>
      <c r="N2181" s="0" t="str">
        <f aca="false">IF(I2181&lt;J2181,"ERRO","OK")</f>
        <v>OK</v>
      </c>
    </row>
    <row r="2182" customFormat="false" ht="14.25" hidden="false" customHeight="false" outlineLevel="0" collapsed="false">
      <c r="A2182" s="0" t="n">
        <v>92</v>
      </c>
      <c r="B2182" s="0" t="n">
        <v>2025</v>
      </c>
      <c r="C2182" s="3" t="n">
        <v>45709</v>
      </c>
      <c r="E2182" s="0" t="s">
        <v>62</v>
      </c>
      <c r="F2182" s="0" t="s">
        <v>44</v>
      </c>
      <c r="G2182" s="0" t="s">
        <v>398</v>
      </c>
      <c r="H2182" s="0" t="s">
        <v>398</v>
      </c>
      <c r="I2182" s="0" t="s">
        <v>576</v>
      </c>
      <c r="J2182" s="0" t="s">
        <v>566</v>
      </c>
      <c r="K2182" s="0" t="s">
        <v>424</v>
      </c>
      <c r="L2182" s="0" t="str">
        <f aca="false">IF(H2182&gt;I2182,"ERRO","OK")</f>
        <v>ERRO</v>
      </c>
      <c r="M2182" s="0" t="str">
        <f aca="false">IF(H2182&gt;J2182,"ERRO","OK")</f>
        <v>OK</v>
      </c>
      <c r="N2182" s="0" t="str">
        <f aca="false">IF(I2182&lt;J2182,"ERRO","OK")</f>
        <v>ERRO</v>
      </c>
    </row>
    <row r="2183" customFormat="false" ht="14.25" hidden="false" customHeight="false" outlineLevel="0" collapsed="false">
      <c r="A2183" s="0" t="n">
        <v>92</v>
      </c>
      <c r="B2183" s="0" t="n">
        <v>2025</v>
      </c>
      <c r="C2183" s="3" t="n">
        <v>45709</v>
      </c>
      <c r="E2183" s="0" t="s">
        <v>63</v>
      </c>
      <c r="F2183" s="0" t="s">
        <v>49</v>
      </c>
      <c r="G2183" s="0" t="s">
        <v>394</v>
      </c>
      <c r="H2183" s="0" t="s">
        <v>374</v>
      </c>
      <c r="I2183" s="0" t="s">
        <v>397</v>
      </c>
      <c r="J2183" s="0" t="s">
        <v>591</v>
      </c>
      <c r="K2183" s="0" t="s">
        <v>374</v>
      </c>
      <c r="L2183" s="0" t="str">
        <f aca="false">IF(H2183&gt;I2183,"ERRO","OK")</f>
        <v>OK</v>
      </c>
      <c r="M2183" s="0" t="str">
        <f aca="false">IF(H2183&gt;J2183,"ERRO","OK")</f>
        <v>OK</v>
      </c>
      <c r="N2183" s="0" t="str">
        <f aca="false">IF(I2183&lt;J2183,"ERRO","OK")</f>
        <v>OK</v>
      </c>
    </row>
    <row r="2184" customFormat="false" ht="14.25" hidden="false" customHeight="false" outlineLevel="0" collapsed="false">
      <c r="A2184" s="0" t="n">
        <v>92</v>
      </c>
      <c r="B2184" s="0" t="n">
        <v>2025</v>
      </c>
      <c r="C2184" s="3" t="n">
        <v>45709</v>
      </c>
      <c r="E2184" s="0" t="s">
        <v>64</v>
      </c>
      <c r="F2184" s="0" t="s">
        <v>65</v>
      </c>
      <c r="H2184" s="0" t="s">
        <v>406</v>
      </c>
      <c r="I2184" s="0" t="s">
        <v>427</v>
      </c>
      <c r="J2184" s="0" t="s">
        <v>592</v>
      </c>
      <c r="K2184" s="0" t="s">
        <v>397</v>
      </c>
      <c r="L2184" s="0" t="str">
        <f aca="false">IF(H2184&gt;I2184,"ERRO","OK")</f>
        <v>ERRO</v>
      </c>
      <c r="M2184" s="0" t="str">
        <f aca="false">IF(H2184&gt;J2184,"ERRO","OK")</f>
        <v>OK</v>
      </c>
      <c r="N2184" s="0" t="str">
        <f aca="false">IF(I2184&lt;J2184,"ERRO","OK")</f>
        <v>ERRO</v>
      </c>
    </row>
    <row r="2185" customFormat="false" ht="14.25" hidden="false" customHeight="false" outlineLevel="0" collapsed="false">
      <c r="A2185" s="0" t="n">
        <v>92</v>
      </c>
      <c r="B2185" s="0" t="n">
        <v>2025</v>
      </c>
      <c r="C2185" s="3" t="n">
        <v>45709</v>
      </c>
      <c r="E2185" s="0" t="s">
        <v>67</v>
      </c>
      <c r="F2185" s="0" t="s">
        <v>44</v>
      </c>
      <c r="H2185" s="0" t="s">
        <v>382</v>
      </c>
      <c r="I2185" s="0" t="s">
        <v>415</v>
      </c>
      <c r="J2185" s="0" t="s">
        <v>544</v>
      </c>
      <c r="K2185" s="0" t="s">
        <v>575</v>
      </c>
      <c r="L2185" s="0" t="str">
        <f aca="false">IF(H2185&gt;I2185,"ERRO","OK")</f>
        <v>ERRO</v>
      </c>
      <c r="M2185" s="0" t="str">
        <f aca="false">IF(H2185&gt;J2185,"ERRO","OK")</f>
        <v>OK</v>
      </c>
      <c r="N2185" s="0" t="str">
        <f aca="false">IF(I2185&lt;J2185,"ERRO","OK")</f>
        <v>ERRO</v>
      </c>
    </row>
    <row r="2186" customFormat="false" ht="14.25" hidden="false" customHeight="false" outlineLevel="0" collapsed="false">
      <c r="A2186" s="0" t="n">
        <v>92</v>
      </c>
      <c r="B2186" s="0" t="n">
        <v>2025</v>
      </c>
      <c r="C2186" s="3" t="n">
        <v>45709</v>
      </c>
      <c r="E2186" s="0" t="s">
        <v>68</v>
      </c>
      <c r="F2186" s="0" t="s">
        <v>44</v>
      </c>
      <c r="H2186" s="0" t="s">
        <v>382</v>
      </c>
      <c r="I2186" s="0" t="s">
        <v>512</v>
      </c>
      <c r="J2186" s="0" t="s">
        <v>415</v>
      </c>
      <c r="K2186" s="0" t="s">
        <v>413</v>
      </c>
      <c r="L2186" s="0" t="str">
        <f aca="false">IF(H2186&gt;I2186,"ERRO","OK")</f>
        <v>ERRO</v>
      </c>
      <c r="M2186" s="0" t="str">
        <f aca="false">IF(H2186&gt;J2186,"ERRO","OK")</f>
        <v>ERRO</v>
      </c>
      <c r="N2186" s="0" t="str">
        <f aca="false">IF(I2186&lt;J2186,"ERRO","OK")</f>
        <v>OK</v>
      </c>
    </row>
    <row r="2187" customFormat="false" ht="14.25" hidden="false" customHeight="false" outlineLevel="0" collapsed="false">
      <c r="A2187" s="0" t="n">
        <v>92</v>
      </c>
      <c r="B2187" s="0" t="n">
        <v>2025</v>
      </c>
      <c r="C2187" s="3" t="n">
        <v>45709</v>
      </c>
      <c r="E2187" s="20" t="s">
        <v>70</v>
      </c>
      <c r="F2187" s="21" t="s">
        <v>49</v>
      </c>
      <c r="L2187" s="0" t="str">
        <f aca="false">IF(H2187&gt;I2187,"ERRO","OK")</f>
        <v>OK</v>
      </c>
      <c r="M2187" s="0" t="str">
        <f aca="false">IF(H2187&gt;J2187,"ERRO","OK")</f>
        <v>OK</v>
      </c>
      <c r="N2187" s="0" t="str">
        <f aca="false">IF(I2187&lt;J2187,"ERRO","OK")</f>
        <v>OK</v>
      </c>
    </row>
    <row r="2188" customFormat="false" ht="14.25" hidden="false" customHeight="false" outlineLevel="0" collapsed="false">
      <c r="A2188" s="0" t="n">
        <v>92</v>
      </c>
      <c r="B2188" s="0" t="n">
        <v>2025</v>
      </c>
      <c r="C2188" s="3" t="n">
        <v>45709</v>
      </c>
      <c r="E2188" s="20" t="s">
        <v>71</v>
      </c>
      <c r="F2188" s="21" t="s">
        <v>49</v>
      </c>
      <c r="L2188" s="0" t="str">
        <f aca="false">IF(H2188&gt;I2188,"ERRO","OK")</f>
        <v>OK</v>
      </c>
      <c r="M2188" s="0" t="str">
        <f aca="false">IF(H2188&gt;J2188,"ERRO","OK")</f>
        <v>OK</v>
      </c>
      <c r="N2188" s="0" t="str">
        <f aca="false">IF(I2188&lt;J2188,"ERRO","OK")</f>
        <v>OK</v>
      </c>
    </row>
    <row r="2189" customFormat="false" ht="14.25" hidden="false" customHeight="false" outlineLevel="0" collapsed="false">
      <c r="A2189" s="0" t="n">
        <v>92</v>
      </c>
      <c r="B2189" s="0" t="n">
        <v>2025</v>
      </c>
      <c r="C2189" s="3" t="n">
        <v>45709</v>
      </c>
      <c r="E2189" s="20" t="s">
        <v>72</v>
      </c>
      <c r="F2189" s="21" t="s">
        <v>49</v>
      </c>
      <c r="L2189" s="0" t="str">
        <f aca="false">IF(H2189&gt;I2189,"ERRO","OK")</f>
        <v>OK</v>
      </c>
      <c r="M2189" s="0" t="str">
        <f aca="false">IF(H2189&gt;J2189,"ERRO","OK")</f>
        <v>OK</v>
      </c>
      <c r="N2189" s="0" t="str">
        <f aca="false">IF(I2189&lt;J2189,"ERRO","OK")</f>
        <v>OK</v>
      </c>
    </row>
    <row r="2190" customFormat="false" ht="14.25" hidden="false" customHeight="false" outlineLevel="0" collapsed="false">
      <c r="A2190" s="0" t="n">
        <v>92</v>
      </c>
      <c r="B2190" s="0" t="n">
        <v>2025</v>
      </c>
      <c r="C2190" s="3" t="n">
        <v>45709</v>
      </c>
      <c r="E2190" s="20" t="s">
        <v>73</v>
      </c>
      <c r="F2190" s="21" t="s">
        <v>49</v>
      </c>
      <c r="L2190" s="0" t="str">
        <f aca="false">IF(H2190&gt;I2190,"ERRO","OK")</f>
        <v>OK</v>
      </c>
      <c r="M2190" s="0" t="str">
        <f aca="false">IF(H2190&gt;J2190,"ERRO","OK")</f>
        <v>OK</v>
      </c>
      <c r="N2190" s="0" t="str">
        <f aca="false">IF(I2190&lt;J2190,"ERRO","OK")</f>
        <v>OK</v>
      </c>
    </row>
    <row r="2191" customFormat="false" ht="14.25" hidden="false" customHeight="false" outlineLevel="0" collapsed="false">
      <c r="A2191" s="0" t="n">
        <v>92</v>
      </c>
      <c r="B2191" s="0" t="n">
        <v>2025</v>
      </c>
      <c r="C2191" s="3" t="n">
        <v>45709</v>
      </c>
      <c r="E2191" s="20" t="s">
        <v>74</v>
      </c>
      <c r="F2191" s="21" t="s">
        <v>75</v>
      </c>
      <c r="L2191" s="0" t="str">
        <f aca="false">IF(H2191&gt;I2191,"ERRO","OK")</f>
        <v>OK</v>
      </c>
      <c r="M2191" s="0" t="str">
        <f aca="false">IF(H2191&gt;J2191,"ERRO","OK")</f>
        <v>OK</v>
      </c>
      <c r="N2191" s="0" t="str">
        <f aca="false">IF(I2191&lt;J2191,"ERRO","OK")</f>
        <v>OK</v>
      </c>
    </row>
    <row r="2192" customFormat="false" ht="14.25" hidden="false" customHeight="false" outlineLevel="0" collapsed="false">
      <c r="A2192" s="0" t="n">
        <v>93</v>
      </c>
      <c r="B2192" s="0" t="n">
        <v>2025</v>
      </c>
      <c r="C2192" s="3" t="n">
        <v>45716</v>
      </c>
      <c r="E2192" s="0" t="s">
        <v>16</v>
      </c>
      <c r="F2192" s="0" t="s">
        <v>17</v>
      </c>
      <c r="G2192" s="0" t="s">
        <v>370</v>
      </c>
      <c r="H2192" s="0" t="s">
        <v>370</v>
      </c>
      <c r="I2192" s="0" t="s">
        <v>370</v>
      </c>
      <c r="J2192" s="0" t="s">
        <v>370</v>
      </c>
      <c r="K2192" s="0" t="s">
        <v>370</v>
      </c>
      <c r="L2192" s="0" t="str">
        <f aca="false">IF(H2192&gt;I2192,"ERRO","OK")</f>
        <v>OK</v>
      </c>
      <c r="M2192" s="0" t="str">
        <f aca="false">IF(H2192&gt;J2192,"ERRO","OK")</f>
        <v>OK</v>
      </c>
      <c r="N2192" s="0" t="str">
        <f aca="false">IF(I2192&lt;J2192,"ERRO","OK")</f>
        <v>OK</v>
      </c>
    </row>
    <row r="2193" customFormat="false" ht="14.25" hidden="false" customHeight="false" outlineLevel="0" collapsed="false">
      <c r="A2193" s="0" t="n">
        <v>93</v>
      </c>
      <c r="B2193" s="0" t="n">
        <v>2025</v>
      </c>
      <c r="C2193" s="3" t="n">
        <v>45716</v>
      </c>
      <c r="E2193" s="0" t="s">
        <v>18</v>
      </c>
      <c r="F2193" s="0" t="s">
        <v>17</v>
      </c>
      <c r="G2193" s="0" t="s">
        <v>485</v>
      </c>
      <c r="H2193" s="0" t="s">
        <v>370</v>
      </c>
      <c r="I2193" s="0" t="s">
        <v>485</v>
      </c>
      <c r="J2193" s="0" t="s">
        <v>373</v>
      </c>
      <c r="K2193" s="0" t="s">
        <v>485</v>
      </c>
      <c r="L2193" s="0" t="str">
        <f aca="false">IF(H2193&gt;I2193,"ERRO","OK")</f>
        <v>OK</v>
      </c>
      <c r="M2193" s="0" t="str">
        <f aca="false">IF(H2193&gt;J2193,"ERRO","OK")</f>
        <v>OK</v>
      </c>
      <c r="N2193" s="0" t="str">
        <f aca="false">IF(I2193&lt;J2193,"ERRO","OK")</f>
        <v>OK</v>
      </c>
    </row>
    <row r="2194" customFormat="false" ht="14.25" hidden="false" customHeight="false" outlineLevel="0" collapsed="false">
      <c r="A2194" s="0" t="n">
        <v>93</v>
      </c>
      <c r="B2194" s="0" t="n">
        <v>2025</v>
      </c>
      <c r="C2194" s="3" t="n">
        <v>45716</v>
      </c>
      <c r="E2194" s="0" t="s">
        <v>19</v>
      </c>
      <c r="F2194" s="0" t="s">
        <v>17</v>
      </c>
      <c r="G2194" s="0" t="s">
        <v>369</v>
      </c>
      <c r="H2194" s="0" t="s">
        <v>369</v>
      </c>
      <c r="I2194" s="0" t="s">
        <v>371</v>
      </c>
      <c r="J2194" s="0" t="s">
        <v>405</v>
      </c>
      <c r="K2194" s="0" t="s">
        <v>369</v>
      </c>
      <c r="L2194" s="0" t="str">
        <f aca="false">IF(H2194&gt;I2194,"ERRO","OK")</f>
        <v>OK</v>
      </c>
      <c r="M2194" s="0" t="str">
        <f aca="false">IF(H2194&gt;J2194,"ERRO","OK")</f>
        <v>OK</v>
      </c>
      <c r="N2194" s="0" t="str">
        <f aca="false">IF(I2194&lt;J2194,"ERRO","OK")</f>
        <v>OK</v>
      </c>
    </row>
    <row r="2195" customFormat="false" ht="14.25" hidden="false" customHeight="false" outlineLevel="0" collapsed="false">
      <c r="A2195" s="0" t="n">
        <v>93</v>
      </c>
      <c r="B2195" s="0" t="n">
        <v>2025</v>
      </c>
      <c r="C2195" s="3" t="n">
        <v>45716</v>
      </c>
      <c r="E2195" s="0" t="s">
        <v>20</v>
      </c>
      <c r="F2195" s="0" t="s">
        <v>17</v>
      </c>
      <c r="G2195" s="0" t="s">
        <v>374</v>
      </c>
      <c r="H2195" s="0" t="s">
        <v>374</v>
      </c>
      <c r="I2195" s="0" t="s">
        <v>374</v>
      </c>
      <c r="J2195" s="0" t="s">
        <v>374</v>
      </c>
      <c r="K2195" s="0" t="s">
        <v>374</v>
      </c>
      <c r="L2195" s="0" t="str">
        <f aca="false">IF(H2195&gt;I2195,"ERRO","OK")</f>
        <v>OK</v>
      </c>
      <c r="M2195" s="0" t="str">
        <f aca="false">IF(H2195&gt;J2195,"ERRO","OK")</f>
        <v>OK</v>
      </c>
      <c r="N2195" s="0" t="str">
        <f aca="false">IF(I2195&lt;J2195,"ERRO","OK")</f>
        <v>OK</v>
      </c>
    </row>
    <row r="2196" customFormat="false" ht="14.25" hidden="false" customHeight="false" outlineLevel="0" collapsed="false">
      <c r="A2196" s="0" t="n">
        <v>93</v>
      </c>
      <c r="B2196" s="0" t="n">
        <v>2025</v>
      </c>
      <c r="C2196" s="3" t="n">
        <v>45716</v>
      </c>
      <c r="E2196" s="0" t="s">
        <v>21</v>
      </c>
      <c r="F2196" s="0" t="s">
        <v>17</v>
      </c>
      <c r="G2196" s="0" t="s">
        <v>374</v>
      </c>
      <c r="H2196" s="0" t="s">
        <v>374</v>
      </c>
      <c r="I2196" s="0" t="s">
        <v>374</v>
      </c>
      <c r="J2196" s="0" t="s">
        <v>374</v>
      </c>
      <c r="K2196" s="0" t="s">
        <v>374</v>
      </c>
      <c r="L2196" s="0" t="str">
        <f aca="false">IF(H2196&gt;I2196,"ERRO","OK")</f>
        <v>OK</v>
      </c>
      <c r="M2196" s="0" t="str">
        <f aca="false">IF(H2196&gt;J2196,"ERRO","OK")</f>
        <v>OK</v>
      </c>
      <c r="N2196" s="0" t="str">
        <f aca="false">IF(I2196&lt;J2196,"ERRO","OK")</f>
        <v>OK</v>
      </c>
    </row>
    <row r="2197" customFormat="false" ht="14.25" hidden="false" customHeight="false" outlineLevel="0" collapsed="false">
      <c r="A2197" s="0" t="n">
        <v>93</v>
      </c>
      <c r="B2197" s="0" t="n">
        <v>2025</v>
      </c>
      <c r="C2197" s="3" t="n">
        <v>45716</v>
      </c>
      <c r="E2197" s="0" t="s">
        <v>22</v>
      </c>
      <c r="F2197" s="0" t="s">
        <v>17</v>
      </c>
      <c r="G2197" s="0" t="s">
        <v>372</v>
      </c>
      <c r="H2197" s="0" t="s">
        <v>370</v>
      </c>
      <c r="I2197" s="0" t="s">
        <v>372</v>
      </c>
      <c r="J2197" s="0" t="s">
        <v>441</v>
      </c>
      <c r="K2197" s="0" t="s">
        <v>372</v>
      </c>
      <c r="L2197" s="0" t="str">
        <f aca="false">IF(H2197&gt;I2197,"ERRO","OK")</f>
        <v>OK</v>
      </c>
      <c r="M2197" s="0" t="str">
        <f aca="false">IF(H2197&gt;J2197,"ERRO","OK")</f>
        <v>OK</v>
      </c>
      <c r="N2197" s="0" t="str">
        <f aca="false">IF(I2197&lt;J2197,"ERRO","OK")</f>
        <v>OK</v>
      </c>
    </row>
    <row r="2198" customFormat="false" ht="14.25" hidden="false" customHeight="false" outlineLevel="0" collapsed="false">
      <c r="A2198" s="0" t="n">
        <v>93</v>
      </c>
      <c r="B2198" s="0" t="n">
        <v>2025</v>
      </c>
      <c r="C2198" s="3" t="n">
        <v>45716</v>
      </c>
      <c r="E2198" s="0" t="s">
        <v>23</v>
      </c>
      <c r="F2198" s="0" t="s">
        <v>17</v>
      </c>
      <c r="H2198" s="0" t="s">
        <v>424</v>
      </c>
      <c r="I2198" s="0" t="s">
        <v>580</v>
      </c>
      <c r="J2198" s="0" t="s">
        <v>593</v>
      </c>
      <c r="K2198" s="0" t="s">
        <v>485</v>
      </c>
      <c r="L2198" s="0" t="str">
        <f aca="false">IF(H2198&gt;I2198,"ERRO","OK")</f>
        <v>ERRO</v>
      </c>
      <c r="M2198" s="0" t="str">
        <f aca="false">IF(H2198&gt;J2198,"ERRO","OK")</f>
        <v>OK</v>
      </c>
      <c r="N2198" s="0" t="str">
        <f aca="false">IF(I2198&lt;J2198,"ERRO","OK")</f>
        <v>ERRO</v>
      </c>
    </row>
    <row r="2199" customFormat="false" ht="14.25" hidden="false" customHeight="false" outlineLevel="0" collapsed="false">
      <c r="A2199" s="0" t="n">
        <v>93</v>
      </c>
      <c r="B2199" s="0" t="n">
        <v>2025</v>
      </c>
      <c r="C2199" s="3" t="n">
        <v>45716</v>
      </c>
      <c r="E2199" s="0" t="s">
        <v>24</v>
      </c>
      <c r="F2199" s="0" t="s">
        <v>17</v>
      </c>
      <c r="H2199" s="0" t="s">
        <v>373</v>
      </c>
      <c r="I2199" s="0" t="s">
        <v>582</v>
      </c>
      <c r="J2199" s="0" t="s">
        <v>594</v>
      </c>
      <c r="K2199" s="0" t="s">
        <v>427</v>
      </c>
      <c r="L2199" s="0" t="str">
        <f aca="false">IF(H2199&gt;I2199,"ERRO","OK")</f>
        <v>ERRO</v>
      </c>
      <c r="M2199" s="0" t="str">
        <f aca="false">IF(H2199&gt;J2199,"ERRO","OK")</f>
        <v>OK</v>
      </c>
      <c r="N2199" s="0" t="str">
        <f aca="false">IF(I2199&lt;J2199,"ERRO","OK")</f>
        <v>ERRO</v>
      </c>
    </row>
    <row r="2200" customFormat="false" ht="14.25" hidden="false" customHeight="false" outlineLevel="0" collapsed="false">
      <c r="A2200" s="0" t="n">
        <v>93</v>
      </c>
      <c r="B2200" s="0" t="n">
        <v>2025</v>
      </c>
      <c r="C2200" s="3" t="n">
        <v>45716</v>
      </c>
      <c r="E2200" s="0" t="s">
        <v>25</v>
      </c>
      <c r="F2200" s="0" t="s">
        <v>17</v>
      </c>
      <c r="H2200" s="0" t="s">
        <v>374</v>
      </c>
      <c r="I2200" s="0" t="s">
        <v>442</v>
      </c>
      <c r="J2200" s="0" t="s">
        <v>595</v>
      </c>
      <c r="K2200" s="0" t="s">
        <v>596</v>
      </c>
      <c r="L2200" s="0" t="str">
        <f aca="false">IF(H2200&gt;I2200,"ERRO","OK")</f>
        <v>OK</v>
      </c>
      <c r="M2200" s="0" t="str">
        <f aca="false">IF(H2200&gt;J2200,"ERRO","OK")</f>
        <v>OK</v>
      </c>
      <c r="N2200" s="0" t="str">
        <f aca="false">IF(I2200&lt;J2200,"ERRO","OK")</f>
        <v>OK</v>
      </c>
    </row>
    <row r="2201" customFormat="false" ht="14.25" hidden="false" customHeight="false" outlineLevel="0" collapsed="false">
      <c r="A2201" s="0" t="n">
        <v>93</v>
      </c>
      <c r="B2201" s="0" t="n">
        <v>2025</v>
      </c>
      <c r="C2201" s="3" t="n">
        <v>45716</v>
      </c>
      <c r="E2201" s="0" t="s">
        <v>77</v>
      </c>
      <c r="F2201" s="0" t="s">
        <v>17</v>
      </c>
      <c r="H2201" s="0" t="s">
        <v>459</v>
      </c>
      <c r="I2201" s="0" t="s">
        <v>413</v>
      </c>
      <c r="J2201" s="0" t="s">
        <v>597</v>
      </c>
      <c r="K2201" s="0" t="s">
        <v>580</v>
      </c>
      <c r="L2201" s="0" t="str">
        <f aca="false">IF(H2201&gt;I2201,"ERRO","OK")</f>
        <v>OK</v>
      </c>
      <c r="M2201" s="0" t="str">
        <f aca="false">IF(H2201&gt;J2201,"ERRO","OK")</f>
        <v>OK</v>
      </c>
      <c r="N2201" s="0" t="str">
        <f aca="false">IF(I2201&lt;J2201,"ERRO","OK")</f>
        <v>OK</v>
      </c>
    </row>
    <row r="2202" customFormat="false" ht="14.25" hidden="false" customHeight="false" outlineLevel="0" collapsed="false">
      <c r="A2202" s="0" t="n">
        <v>93</v>
      </c>
      <c r="B2202" s="0" t="n">
        <v>2025</v>
      </c>
      <c r="C2202" s="3" t="n">
        <v>45716</v>
      </c>
      <c r="E2202" s="0" t="s">
        <v>27</v>
      </c>
      <c r="F2202" s="0" t="s">
        <v>17</v>
      </c>
      <c r="G2202" s="0" t="s">
        <v>374</v>
      </c>
      <c r="H2202" s="0" t="s">
        <v>374</v>
      </c>
      <c r="I2202" s="0" t="s">
        <v>374</v>
      </c>
      <c r="J2202" s="0" t="s">
        <v>374</v>
      </c>
      <c r="K2202" s="0" t="s">
        <v>374</v>
      </c>
      <c r="L2202" s="0" t="str">
        <f aca="false">IF(H2202&gt;I2202,"ERRO","OK")</f>
        <v>OK</v>
      </c>
      <c r="M2202" s="0" t="str">
        <f aca="false">IF(H2202&gt;J2202,"ERRO","OK")</f>
        <v>OK</v>
      </c>
      <c r="N2202" s="0" t="str">
        <f aca="false">IF(I2202&lt;J2202,"ERRO","OK")</f>
        <v>OK</v>
      </c>
    </row>
    <row r="2203" customFormat="false" ht="14.25" hidden="false" customHeight="false" outlineLevel="0" collapsed="false">
      <c r="A2203" s="0" t="n">
        <v>93</v>
      </c>
      <c r="B2203" s="0" t="n">
        <v>2025</v>
      </c>
      <c r="C2203" s="3" t="n">
        <v>45716</v>
      </c>
      <c r="E2203" s="0" t="s">
        <v>28</v>
      </c>
      <c r="F2203" s="0" t="s">
        <v>17</v>
      </c>
      <c r="G2203" s="0" t="s">
        <v>382</v>
      </c>
      <c r="H2203" s="0" t="s">
        <v>370</v>
      </c>
      <c r="I2203" s="0" t="s">
        <v>382</v>
      </c>
      <c r="J2203" s="0" t="s">
        <v>542</v>
      </c>
      <c r="K2203" s="0" t="s">
        <v>382</v>
      </c>
      <c r="L2203" s="0" t="str">
        <f aca="false">IF(H2203&gt;I2203,"ERRO","OK")</f>
        <v>OK</v>
      </c>
      <c r="M2203" s="0" t="str">
        <f aca="false">IF(H2203&gt;J2203,"ERRO","OK")</f>
        <v>OK</v>
      </c>
      <c r="N2203" s="0" t="str">
        <f aca="false">IF(I2203&lt;J2203,"ERRO","OK")</f>
        <v>OK</v>
      </c>
    </row>
    <row r="2204" customFormat="false" ht="14.25" hidden="false" customHeight="false" outlineLevel="0" collapsed="false">
      <c r="A2204" s="0" t="n">
        <v>93</v>
      </c>
      <c r="B2204" s="0" t="n">
        <v>2025</v>
      </c>
      <c r="C2204" s="3" t="n">
        <v>45716</v>
      </c>
      <c r="E2204" s="0" t="s">
        <v>29</v>
      </c>
      <c r="F2204" s="0" t="s">
        <v>30</v>
      </c>
      <c r="G2204" s="0" t="s">
        <v>370</v>
      </c>
      <c r="H2204" s="0" t="s">
        <v>370</v>
      </c>
      <c r="I2204" s="0" t="s">
        <v>370</v>
      </c>
      <c r="J2204" s="0" t="s">
        <v>370</v>
      </c>
      <c r="K2204" s="0" t="s">
        <v>370</v>
      </c>
      <c r="L2204" s="0" t="str">
        <f aca="false">IF(H2204&gt;I2204,"ERRO","OK")</f>
        <v>OK</v>
      </c>
      <c r="M2204" s="0" t="str">
        <f aca="false">IF(H2204&gt;J2204,"ERRO","OK")</f>
        <v>OK</v>
      </c>
      <c r="N2204" s="0" t="str">
        <f aca="false">IF(I2204&lt;J2204,"ERRO","OK")</f>
        <v>OK</v>
      </c>
    </row>
    <row r="2205" customFormat="false" ht="14.25" hidden="false" customHeight="false" outlineLevel="0" collapsed="false">
      <c r="A2205" s="0" t="n">
        <v>93</v>
      </c>
      <c r="B2205" s="0" t="n">
        <v>2025</v>
      </c>
      <c r="C2205" s="3" t="n">
        <v>45716</v>
      </c>
      <c r="E2205" s="0" t="s">
        <v>31</v>
      </c>
      <c r="F2205" s="0" t="s">
        <v>17</v>
      </c>
      <c r="G2205" s="0" t="s">
        <v>373</v>
      </c>
      <c r="H2205" s="0" t="s">
        <v>373</v>
      </c>
      <c r="I2205" s="0" t="s">
        <v>598</v>
      </c>
      <c r="J2205" s="0" t="s">
        <v>599</v>
      </c>
      <c r="K2205" s="0" t="s">
        <v>373</v>
      </c>
      <c r="L2205" s="0" t="str">
        <f aca="false">IF(H2205&gt;I2205,"ERRO","OK")</f>
        <v>OK</v>
      </c>
      <c r="M2205" s="0" t="str">
        <f aca="false">IF(H2205&gt;J2205,"ERRO","OK")</f>
        <v>OK</v>
      </c>
      <c r="N2205" s="0" t="str">
        <f aca="false">IF(I2205&lt;J2205,"ERRO","OK")</f>
        <v>OK</v>
      </c>
    </row>
    <row r="2206" customFormat="false" ht="14.25" hidden="false" customHeight="false" outlineLevel="0" collapsed="false">
      <c r="A2206" s="0" t="n">
        <v>93</v>
      </c>
      <c r="B2206" s="0" t="n">
        <v>2025</v>
      </c>
      <c r="C2206" s="3" t="n">
        <v>45716</v>
      </c>
      <c r="E2206" s="0" t="s">
        <v>32</v>
      </c>
      <c r="F2206" s="0" t="s">
        <v>17</v>
      </c>
      <c r="G2206" s="0" t="s">
        <v>417</v>
      </c>
      <c r="H2206" s="0" t="s">
        <v>370</v>
      </c>
      <c r="I2206" s="0" t="s">
        <v>417</v>
      </c>
      <c r="J2206" s="0" t="s">
        <v>398</v>
      </c>
      <c r="K2206" s="0" t="s">
        <v>417</v>
      </c>
      <c r="L2206" s="0" t="str">
        <f aca="false">IF(H2206&gt;I2206,"ERRO","OK")</f>
        <v>OK</v>
      </c>
      <c r="M2206" s="0" t="str">
        <f aca="false">IF(H2206&gt;J2206,"ERRO","OK")</f>
        <v>OK</v>
      </c>
      <c r="N2206" s="0" t="str">
        <f aca="false">IF(I2206&lt;J2206,"ERRO","OK")</f>
        <v>OK</v>
      </c>
    </row>
    <row r="2207" customFormat="false" ht="14.25" hidden="false" customHeight="false" outlineLevel="0" collapsed="false">
      <c r="A2207" s="0" t="n">
        <v>93</v>
      </c>
      <c r="B2207" s="0" t="n">
        <v>2025</v>
      </c>
      <c r="C2207" s="3" t="n">
        <v>45716</v>
      </c>
      <c r="E2207" s="0" t="s">
        <v>33</v>
      </c>
      <c r="F2207" s="0" t="s">
        <v>17</v>
      </c>
      <c r="G2207" s="0" t="s">
        <v>370</v>
      </c>
      <c r="H2207" s="0" t="s">
        <v>370</v>
      </c>
      <c r="I2207" s="0" t="s">
        <v>433</v>
      </c>
      <c r="J2207" s="0" t="s">
        <v>600</v>
      </c>
      <c r="K2207" s="0" t="s">
        <v>370</v>
      </c>
      <c r="L2207" s="0" t="str">
        <f aca="false">IF(H2207&gt;I2207,"ERRO","OK")</f>
        <v>OK</v>
      </c>
      <c r="M2207" s="0" t="str">
        <f aca="false">IF(H2207&gt;J2207,"ERRO","OK")</f>
        <v>OK</v>
      </c>
      <c r="N2207" s="0" t="str">
        <f aca="false">IF(I2207&lt;J2207,"ERRO","OK")</f>
        <v>OK</v>
      </c>
    </row>
    <row r="2208" customFormat="false" ht="14.25" hidden="false" customHeight="false" outlineLevel="0" collapsed="false">
      <c r="A2208" s="0" t="n">
        <v>93</v>
      </c>
      <c r="B2208" s="0" t="n">
        <v>2025</v>
      </c>
      <c r="C2208" s="3" t="n">
        <v>45716</v>
      </c>
      <c r="E2208" s="0" t="s">
        <v>35</v>
      </c>
      <c r="F2208" s="0" t="s">
        <v>36</v>
      </c>
      <c r="G2208" s="0" t="s">
        <v>390</v>
      </c>
      <c r="H2208" s="0" t="s">
        <v>390</v>
      </c>
      <c r="I2208" s="0" t="s">
        <v>390</v>
      </c>
      <c r="J2208" s="0" t="s">
        <v>390</v>
      </c>
      <c r="K2208" s="0" t="s">
        <v>390</v>
      </c>
      <c r="L2208" s="0" t="str">
        <f aca="false">IF(H2208&gt;I2208,"ERRO","OK")</f>
        <v>OK</v>
      </c>
      <c r="M2208" s="0" t="str">
        <f aca="false">IF(H2208&gt;J2208,"ERRO","OK")</f>
        <v>OK</v>
      </c>
      <c r="N2208" s="0" t="str">
        <f aca="false">IF(I2208&lt;J2208,"ERRO","OK")</f>
        <v>OK</v>
      </c>
    </row>
    <row r="2209" customFormat="false" ht="14.25" hidden="false" customHeight="false" outlineLevel="0" collapsed="false">
      <c r="A2209" s="0" t="n">
        <v>93</v>
      </c>
      <c r="B2209" s="0" t="n">
        <v>2025</v>
      </c>
      <c r="C2209" s="3" t="n">
        <v>45716</v>
      </c>
      <c r="E2209" s="0" t="s">
        <v>38</v>
      </c>
      <c r="F2209" s="0" t="s">
        <v>39</v>
      </c>
      <c r="G2209" s="0" t="s">
        <v>400</v>
      </c>
      <c r="H2209" s="0" t="s">
        <v>400</v>
      </c>
      <c r="I2209" s="0" t="s">
        <v>409</v>
      </c>
      <c r="J2209" s="0" t="s">
        <v>601</v>
      </c>
      <c r="K2209" s="0" t="s">
        <v>400</v>
      </c>
      <c r="L2209" s="0" t="str">
        <f aca="false">IF(H2209&gt;I2209,"ERRO","OK")</f>
        <v>OK</v>
      </c>
      <c r="M2209" s="0" t="str">
        <f aca="false">IF(H2209&gt;J2209,"ERRO","OK")</f>
        <v>OK</v>
      </c>
      <c r="N2209" s="0" t="str">
        <f aca="false">IF(I2209&lt;J2209,"ERRO","OK")</f>
        <v>OK</v>
      </c>
    </row>
    <row r="2210" customFormat="false" ht="14.25" hidden="false" customHeight="false" outlineLevel="0" collapsed="false">
      <c r="A2210" s="0" t="n">
        <v>93</v>
      </c>
      <c r="B2210" s="0" t="n">
        <v>2025</v>
      </c>
      <c r="C2210" s="3" t="n">
        <v>45716</v>
      </c>
      <c r="E2210" s="0" t="s">
        <v>40</v>
      </c>
      <c r="F2210" s="0" t="s">
        <v>39</v>
      </c>
      <c r="G2210" s="0" t="s">
        <v>402</v>
      </c>
      <c r="H2210" s="0" t="s">
        <v>374</v>
      </c>
      <c r="I2210" s="0" t="s">
        <v>402</v>
      </c>
      <c r="J2210" s="0" t="s">
        <v>409</v>
      </c>
      <c r="K2210" s="0" t="s">
        <v>402</v>
      </c>
      <c r="L2210" s="0" t="str">
        <f aca="false">IF(H2210&gt;I2210,"ERRO","OK")</f>
        <v>OK</v>
      </c>
      <c r="M2210" s="0" t="str">
        <f aca="false">IF(H2210&gt;J2210,"ERRO","OK")</f>
        <v>OK</v>
      </c>
      <c r="N2210" s="0" t="str">
        <f aca="false">IF(I2210&lt;J2210,"ERRO","OK")</f>
        <v>OK</v>
      </c>
    </row>
    <row r="2211" customFormat="false" ht="14.25" hidden="false" customHeight="false" outlineLevel="0" collapsed="false">
      <c r="A2211" s="0" t="n">
        <v>93</v>
      </c>
      <c r="B2211" s="0" t="n">
        <v>2025</v>
      </c>
      <c r="C2211" s="3" t="n">
        <v>45716</v>
      </c>
      <c r="E2211" s="0" t="s">
        <v>157</v>
      </c>
      <c r="F2211" s="0" t="s">
        <v>158</v>
      </c>
      <c r="H2211" s="0" t="s">
        <v>408</v>
      </c>
      <c r="I2211" s="0" t="s">
        <v>406</v>
      </c>
      <c r="J2211" s="0" t="s">
        <v>370</v>
      </c>
      <c r="K2211" s="0" t="s">
        <v>370</v>
      </c>
      <c r="L2211" s="0" t="str">
        <f aca="false">IF(H2211&gt;I2211,"ERRO","OK")</f>
        <v>OK</v>
      </c>
      <c r="M2211" s="0" t="str">
        <f aca="false">IF(H2211&gt;J2211,"ERRO","OK")</f>
        <v>OK</v>
      </c>
      <c r="N2211" s="0" t="str">
        <f aca="false">IF(I2211&lt;J2211,"ERRO","OK")</f>
        <v>OK</v>
      </c>
    </row>
    <row r="2212" customFormat="false" ht="14.25" hidden="false" customHeight="false" outlineLevel="0" collapsed="false">
      <c r="A2212" s="0" t="n">
        <v>93</v>
      </c>
      <c r="B2212" s="0" t="n">
        <v>2025</v>
      </c>
      <c r="C2212" s="3" t="n">
        <v>45716</v>
      </c>
      <c r="E2212" s="0" t="s">
        <v>43</v>
      </c>
      <c r="F2212" s="0" t="s">
        <v>44</v>
      </c>
      <c r="G2212" s="0" t="s">
        <v>382</v>
      </c>
      <c r="H2212" s="0" t="s">
        <v>409</v>
      </c>
      <c r="I2212" s="0" t="s">
        <v>382</v>
      </c>
      <c r="J2212" s="0" t="s">
        <v>433</v>
      </c>
      <c r="K2212" s="0" t="s">
        <v>382</v>
      </c>
      <c r="L2212" s="0" t="str">
        <f aca="false">IF(H2212&gt;I2212,"ERRO","OK")</f>
        <v>OK</v>
      </c>
      <c r="M2212" s="0" t="str">
        <f aca="false">IF(H2212&gt;J2212,"ERRO","OK")</f>
        <v>OK</v>
      </c>
      <c r="N2212" s="0" t="str">
        <f aca="false">IF(I2212&lt;J2212,"ERRO","OK")</f>
        <v>OK</v>
      </c>
    </row>
    <row r="2213" customFormat="false" ht="14.25" hidden="false" customHeight="false" outlineLevel="0" collapsed="false">
      <c r="A2213" s="0" t="n">
        <v>93</v>
      </c>
      <c r="B2213" s="0" t="n">
        <v>2025</v>
      </c>
      <c r="C2213" s="3" t="n">
        <v>45716</v>
      </c>
      <c r="E2213" s="0" t="s">
        <v>46</v>
      </c>
      <c r="F2213" s="0" t="s">
        <v>47</v>
      </c>
      <c r="G2213" s="0" t="s">
        <v>370</v>
      </c>
      <c r="H2213" s="0" t="s">
        <v>402</v>
      </c>
      <c r="I2213" s="0" t="s">
        <v>382</v>
      </c>
      <c r="J2213" s="0" t="s">
        <v>460</v>
      </c>
      <c r="K2213" s="0" t="s">
        <v>370</v>
      </c>
      <c r="L2213" s="0" t="str">
        <f aca="false">IF(H2213&gt;I2213,"ERRO","OK")</f>
        <v>OK</v>
      </c>
      <c r="M2213" s="0" t="str">
        <f aca="false">IF(H2213&gt;J2213,"ERRO","OK")</f>
        <v>OK</v>
      </c>
      <c r="N2213" s="0" t="str">
        <f aca="false">IF(I2213&lt;J2213,"ERRO","OK")</f>
        <v>OK</v>
      </c>
    </row>
    <row r="2214" customFormat="false" ht="14.25" hidden="false" customHeight="false" outlineLevel="0" collapsed="false">
      <c r="A2214" s="0" t="n">
        <v>93</v>
      </c>
      <c r="B2214" s="0" t="n">
        <v>2025</v>
      </c>
      <c r="C2214" s="3" t="n">
        <v>45716</v>
      </c>
      <c r="E2214" s="0" t="s">
        <v>48</v>
      </c>
      <c r="F2214" s="0" t="s">
        <v>49</v>
      </c>
      <c r="H2214" s="0" t="s">
        <v>402</v>
      </c>
      <c r="I2214" s="0" t="s">
        <v>382</v>
      </c>
      <c r="J2214" s="0" t="s">
        <v>445</v>
      </c>
      <c r="K2214" s="0" t="s">
        <v>408</v>
      </c>
      <c r="L2214" s="0" t="str">
        <f aca="false">IF(H2214&gt;I2214,"ERRO","OK")</f>
        <v>OK</v>
      </c>
      <c r="M2214" s="0" t="str">
        <f aca="false">IF(H2214&gt;J2214,"ERRO","OK")</f>
        <v>OK</v>
      </c>
      <c r="N2214" s="0" t="str">
        <f aca="false">IF(I2214&lt;J2214,"ERRO","OK")</f>
        <v>OK</v>
      </c>
    </row>
    <row r="2215" customFormat="false" ht="14.25" hidden="false" customHeight="false" outlineLevel="0" collapsed="false">
      <c r="A2215" s="0" t="n">
        <v>93</v>
      </c>
      <c r="B2215" s="0" t="n">
        <v>2025</v>
      </c>
      <c r="C2215" s="3" t="n">
        <v>45716</v>
      </c>
      <c r="E2215" s="0" t="s">
        <v>52</v>
      </c>
      <c r="F2215" s="0" t="s">
        <v>49</v>
      </c>
      <c r="H2215" s="0" t="s">
        <v>398</v>
      </c>
      <c r="I2215" s="0" t="s">
        <v>417</v>
      </c>
      <c r="J2215" s="0" t="s">
        <v>497</v>
      </c>
      <c r="K2215" s="0" t="s">
        <v>497</v>
      </c>
      <c r="L2215" s="0" t="str">
        <f aca="false">IF(H2215&gt;I2215,"ERRO","OK")</f>
        <v>OK</v>
      </c>
      <c r="M2215" s="0" t="str">
        <f aca="false">IF(H2215&gt;J2215,"ERRO","OK")</f>
        <v>OK</v>
      </c>
      <c r="N2215" s="0" t="str">
        <f aca="false">IF(I2215&lt;J2215,"ERRO","OK")</f>
        <v>OK</v>
      </c>
    </row>
    <row r="2216" customFormat="false" ht="14.25" hidden="false" customHeight="false" outlineLevel="0" collapsed="false">
      <c r="A2216" s="0" t="n">
        <v>93</v>
      </c>
      <c r="B2216" s="0" t="n">
        <v>2025</v>
      </c>
      <c r="C2216" s="3" t="n">
        <v>45716</v>
      </c>
      <c r="E2216" s="0" t="s">
        <v>53</v>
      </c>
      <c r="F2216" s="0" t="s">
        <v>54</v>
      </c>
      <c r="G2216" s="0" t="s">
        <v>370</v>
      </c>
      <c r="H2216" s="0" t="s">
        <v>408</v>
      </c>
      <c r="I2216" s="0" t="s">
        <v>406</v>
      </c>
      <c r="J2216" s="0" t="s">
        <v>370</v>
      </c>
      <c r="K2216" s="0" t="s">
        <v>370</v>
      </c>
      <c r="L2216" s="0" t="str">
        <f aca="false">IF(H2216&gt;I2216,"ERRO","OK")</f>
        <v>OK</v>
      </c>
      <c r="M2216" s="0" t="str">
        <f aca="false">IF(H2216&gt;J2216,"ERRO","OK")</f>
        <v>OK</v>
      </c>
      <c r="N2216" s="0" t="str">
        <f aca="false">IF(I2216&lt;J2216,"ERRO","OK")</f>
        <v>OK</v>
      </c>
    </row>
    <row r="2217" customFormat="false" ht="14.25" hidden="false" customHeight="false" outlineLevel="0" collapsed="false">
      <c r="A2217" s="0" t="n">
        <v>93</v>
      </c>
      <c r="B2217" s="0" t="n">
        <v>2025</v>
      </c>
      <c r="C2217" s="3" t="n">
        <v>45716</v>
      </c>
      <c r="E2217" s="0" t="s">
        <v>56</v>
      </c>
      <c r="F2217" s="0" t="s">
        <v>47</v>
      </c>
      <c r="H2217" s="0" t="s">
        <v>370</v>
      </c>
      <c r="I2217" s="0" t="s">
        <v>415</v>
      </c>
      <c r="J2217" s="0" t="s">
        <v>497</v>
      </c>
      <c r="K2217" s="0" t="s">
        <v>417</v>
      </c>
      <c r="L2217" s="0" t="str">
        <f aca="false">IF(H2217&gt;I2217,"ERRO","OK")</f>
        <v>ERRO</v>
      </c>
      <c r="M2217" s="0" t="str">
        <f aca="false">IF(H2217&gt;J2217,"ERRO","OK")</f>
        <v>OK</v>
      </c>
      <c r="N2217" s="0" t="str">
        <f aca="false">IF(I2217&lt;J2217,"ERRO","OK")</f>
        <v>ERRO</v>
      </c>
    </row>
    <row r="2218" customFormat="false" ht="14.25" hidden="false" customHeight="false" outlineLevel="0" collapsed="false">
      <c r="A2218" s="0" t="n">
        <v>93</v>
      </c>
      <c r="B2218" s="0" t="n">
        <v>2025</v>
      </c>
      <c r="C2218" s="3" t="n">
        <v>45716</v>
      </c>
      <c r="E2218" s="0" t="s">
        <v>57</v>
      </c>
      <c r="F2218" s="0" t="s">
        <v>47</v>
      </c>
      <c r="H2218" s="0" t="s">
        <v>405</v>
      </c>
      <c r="I2218" s="0" t="s">
        <v>398</v>
      </c>
      <c r="J2218" s="0" t="s">
        <v>602</v>
      </c>
      <c r="K2218" s="0" t="s">
        <v>403</v>
      </c>
      <c r="L2218" s="0" t="str">
        <f aca="false">IF(H2218&gt;I2218,"ERRO","OK")</f>
        <v>OK</v>
      </c>
      <c r="M2218" s="0" t="str">
        <f aca="false">IF(H2218&gt;J2218,"ERRO","OK")</f>
        <v>OK</v>
      </c>
      <c r="N2218" s="0" t="str">
        <f aca="false">IF(I2218&lt;J2218,"ERRO","OK")</f>
        <v>OK</v>
      </c>
    </row>
    <row r="2219" customFormat="false" ht="14.25" hidden="false" customHeight="false" outlineLevel="0" collapsed="false">
      <c r="A2219" s="0" t="n">
        <v>93</v>
      </c>
      <c r="B2219" s="0" t="n">
        <v>2025</v>
      </c>
      <c r="C2219" s="3" t="n">
        <v>45716</v>
      </c>
      <c r="E2219" s="0" t="s">
        <v>58</v>
      </c>
      <c r="F2219" s="0" t="s">
        <v>44</v>
      </c>
      <c r="G2219" s="0" t="s">
        <v>417</v>
      </c>
      <c r="H2219" s="0" t="s">
        <v>382</v>
      </c>
      <c r="I2219" s="0" t="s">
        <v>417</v>
      </c>
      <c r="J2219" s="0" t="s">
        <v>510</v>
      </c>
      <c r="K2219" s="0" t="s">
        <v>497</v>
      </c>
      <c r="L2219" s="0" t="str">
        <f aca="false">IF(H2219&gt;I2219,"ERRO","OK")</f>
        <v>OK</v>
      </c>
      <c r="M2219" s="0" t="str">
        <f aca="false">IF(H2219&gt;J2219,"ERRO","OK")</f>
        <v>OK</v>
      </c>
      <c r="N2219" s="0" t="str">
        <f aca="false">IF(I2219&lt;J2219,"ERRO","OK")</f>
        <v>OK</v>
      </c>
    </row>
    <row r="2220" customFormat="false" ht="14.25" hidden="false" customHeight="false" outlineLevel="0" collapsed="false">
      <c r="A2220" s="0" t="n">
        <v>93</v>
      </c>
      <c r="B2220" s="0" t="n">
        <v>2025</v>
      </c>
      <c r="C2220" s="3" t="n">
        <v>45716</v>
      </c>
      <c r="E2220" s="0" t="s">
        <v>60</v>
      </c>
      <c r="F2220" s="0" t="s">
        <v>47</v>
      </c>
      <c r="H2220" s="0" t="s">
        <v>382</v>
      </c>
      <c r="I2220" s="0" t="s">
        <v>397</v>
      </c>
      <c r="J2220" s="0" t="s">
        <v>541</v>
      </c>
      <c r="K2220" s="0" t="s">
        <v>541</v>
      </c>
      <c r="L2220" s="0" t="str">
        <f aca="false">IF(H2220&gt;I2220,"ERRO","OK")</f>
        <v>OK</v>
      </c>
      <c r="M2220" s="0" t="str">
        <f aca="false">IF(H2220&gt;J2220,"ERRO","OK")</f>
        <v>OK</v>
      </c>
      <c r="N2220" s="0" t="str">
        <f aca="false">IF(I2220&lt;J2220,"ERRO","OK")</f>
        <v>OK</v>
      </c>
    </row>
    <row r="2221" customFormat="false" ht="14.25" hidden="false" customHeight="false" outlineLevel="0" collapsed="false">
      <c r="A2221" s="0" t="n">
        <v>93</v>
      </c>
      <c r="B2221" s="0" t="n">
        <v>2025</v>
      </c>
      <c r="C2221" s="3" t="n">
        <v>45716</v>
      </c>
      <c r="E2221" s="0" t="s">
        <v>61</v>
      </c>
      <c r="F2221" s="0" t="s">
        <v>44</v>
      </c>
      <c r="H2221" s="0" t="s">
        <v>382</v>
      </c>
      <c r="I2221" s="0" t="s">
        <v>398</v>
      </c>
      <c r="J2221" s="0" t="s">
        <v>397</v>
      </c>
      <c r="K2221" s="0" t="s">
        <v>397</v>
      </c>
      <c r="L2221" s="0" t="str">
        <f aca="false">IF(H2221&gt;I2221,"ERRO","OK")</f>
        <v>OK</v>
      </c>
      <c r="M2221" s="0" t="str">
        <f aca="false">IF(H2221&gt;J2221,"ERRO","OK")</f>
        <v>OK</v>
      </c>
      <c r="N2221" s="0" t="str">
        <f aca="false">IF(I2221&lt;J2221,"ERRO","OK")</f>
        <v>OK</v>
      </c>
    </row>
    <row r="2222" customFormat="false" ht="14.25" hidden="false" customHeight="false" outlineLevel="0" collapsed="false">
      <c r="A2222" s="0" t="n">
        <v>93</v>
      </c>
      <c r="B2222" s="0" t="n">
        <v>2025</v>
      </c>
      <c r="C2222" s="3" t="n">
        <v>45716</v>
      </c>
      <c r="E2222" s="0" t="s">
        <v>62</v>
      </c>
      <c r="F2222" s="0" t="s">
        <v>44</v>
      </c>
      <c r="G2222" s="0" t="s">
        <v>427</v>
      </c>
      <c r="H2222" s="0" t="s">
        <v>398</v>
      </c>
      <c r="I2222" s="0" t="s">
        <v>413</v>
      </c>
      <c r="J2222" s="0" t="s">
        <v>581</v>
      </c>
      <c r="K2222" s="0" t="s">
        <v>427</v>
      </c>
      <c r="L2222" s="0" t="str">
        <f aca="false">IF(H2222&gt;I2222,"ERRO","OK")</f>
        <v>ERRO</v>
      </c>
      <c r="M2222" s="0" t="str">
        <f aca="false">IF(H2222&gt;J2222,"ERRO","OK")</f>
        <v>OK</v>
      </c>
      <c r="N2222" s="0" t="str">
        <f aca="false">IF(I2222&lt;J2222,"ERRO","OK")</f>
        <v>ERRO</v>
      </c>
    </row>
    <row r="2223" customFormat="false" ht="14.25" hidden="false" customHeight="false" outlineLevel="0" collapsed="false">
      <c r="A2223" s="0" t="n">
        <v>93</v>
      </c>
      <c r="B2223" s="0" t="n">
        <v>2025</v>
      </c>
      <c r="C2223" s="3" t="n">
        <v>45716</v>
      </c>
      <c r="E2223" s="0" t="s">
        <v>63</v>
      </c>
      <c r="F2223" s="0" t="s">
        <v>49</v>
      </c>
      <c r="G2223" s="0" t="s">
        <v>374</v>
      </c>
      <c r="H2223" s="0" t="s">
        <v>374</v>
      </c>
      <c r="I2223" s="0" t="s">
        <v>382</v>
      </c>
      <c r="J2223" s="0" t="s">
        <v>402</v>
      </c>
      <c r="K2223" s="0" t="s">
        <v>409</v>
      </c>
      <c r="L2223" s="0" t="str">
        <f aca="false">IF(H2223&gt;I2223,"ERRO","OK")</f>
        <v>OK</v>
      </c>
      <c r="M2223" s="0" t="str">
        <f aca="false">IF(H2223&gt;J2223,"ERRO","OK")</f>
        <v>OK</v>
      </c>
      <c r="N2223" s="0" t="str">
        <f aca="false">IF(I2223&lt;J2223,"ERRO","OK")</f>
        <v>OK</v>
      </c>
    </row>
    <row r="2224" customFormat="false" ht="14.25" hidden="false" customHeight="false" outlineLevel="0" collapsed="false">
      <c r="A2224" s="0" t="n">
        <v>93</v>
      </c>
      <c r="B2224" s="0" t="n">
        <v>2025</v>
      </c>
      <c r="C2224" s="3" t="n">
        <v>45716</v>
      </c>
      <c r="E2224" s="0" t="s">
        <v>64</v>
      </c>
      <c r="F2224" s="0" t="s">
        <v>65</v>
      </c>
      <c r="G2224" s="0" t="s">
        <v>370</v>
      </c>
      <c r="H2224" s="0" t="s">
        <v>370</v>
      </c>
      <c r="I2224" s="0" t="s">
        <v>427</v>
      </c>
      <c r="J2224" s="0" t="s">
        <v>382</v>
      </c>
      <c r="K2224" s="0" t="s">
        <v>370</v>
      </c>
      <c r="L2224" s="0" t="str">
        <f aca="false">IF(H2224&gt;I2224,"ERRO","OK")</f>
        <v>ERRO</v>
      </c>
      <c r="M2224" s="0" t="str">
        <f aca="false">IF(H2224&gt;J2224,"ERRO","OK")</f>
        <v>OK</v>
      </c>
      <c r="N2224" s="0" t="str">
        <f aca="false">IF(I2224&lt;J2224,"ERRO","OK")</f>
        <v>ERRO</v>
      </c>
    </row>
    <row r="2225" customFormat="false" ht="14.25" hidden="false" customHeight="false" outlineLevel="0" collapsed="false">
      <c r="A2225" s="0" t="n">
        <v>93</v>
      </c>
      <c r="B2225" s="0" t="n">
        <v>2025</v>
      </c>
      <c r="C2225" s="3" t="n">
        <v>45716</v>
      </c>
      <c r="E2225" s="0" t="s">
        <v>67</v>
      </c>
      <c r="F2225" s="0" t="s">
        <v>44</v>
      </c>
      <c r="H2225" s="0" t="s">
        <v>406</v>
      </c>
      <c r="I2225" s="0" t="s">
        <v>413</v>
      </c>
      <c r="J2225" s="0" t="s">
        <v>603</v>
      </c>
      <c r="K2225" s="0" t="s">
        <v>417</v>
      </c>
      <c r="L2225" s="0" t="str">
        <f aca="false">IF(H2225&gt;I2225,"ERRO","OK")</f>
        <v>ERRO</v>
      </c>
      <c r="M2225" s="0" t="str">
        <f aca="false">IF(H2225&gt;J2225,"ERRO","OK")</f>
        <v>OK</v>
      </c>
      <c r="N2225" s="0" t="str">
        <f aca="false">IF(I2225&lt;J2225,"ERRO","OK")</f>
        <v>ERRO</v>
      </c>
    </row>
    <row r="2226" customFormat="false" ht="14.25" hidden="false" customHeight="false" outlineLevel="0" collapsed="false">
      <c r="A2226" s="0" t="n">
        <v>93</v>
      </c>
      <c r="B2226" s="0" t="n">
        <v>2025</v>
      </c>
      <c r="C2226" s="3" t="n">
        <v>45716</v>
      </c>
      <c r="E2226" s="0" t="s">
        <v>68</v>
      </c>
      <c r="F2226" s="0" t="s">
        <v>44</v>
      </c>
      <c r="G2226" s="0" t="s">
        <v>420</v>
      </c>
      <c r="H2226" s="0" t="s">
        <v>417</v>
      </c>
      <c r="I2226" s="0" t="s">
        <v>420</v>
      </c>
      <c r="J2226" s="0" t="s">
        <v>604</v>
      </c>
      <c r="K2226" s="0" t="s">
        <v>605</v>
      </c>
      <c r="L2226" s="0" t="str">
        <f aca="false">IF(H2226&gt;I2226,"ERRO","OK")</f>
        <v>ERRO</v>
      </c>
      <c r="M2226" s="0" t="str">
        <f aca="false">IF(H2226&gt;J2226,"ERRO","OK")</f>
        <v>ERRO</v>
      </c>
      <c r="N2226" s="0" t="str">
        <f aca="false">IF(I2226&lt;J2226,"ERRO","OK")</f>
        <v>OK</v>
      </c>
    </row>
    <row r="2227" customFormat="false" ht="14.25" hidden="false" customHeight="false" outlineLevel="0" collapsed="false">
      <c r="A2227" s="0" t="n">
        <v>93</v>
      </c>
      <c r="B2227" s="0" t="n">
        <v>2025</v>
      </c>
      <c r="C2227" s="3" t="n">
        <v>45716</v>
      </c>
      <c r="E2227" s="20" t="s">
        <v>70</v>
      </c>
      <c r="F2227" s="21" t="s">
        <v>49</v>
      </c>
      <c r="L2227" s="0" t="str">
        <f aca="false">IF(H2227&gt;I2227,"ERRO","OK")</f>
        <v>OK</v>
      </c>
      <c r="M2227" s="0" t="str">
        <f aca="false">IF(H2227&gt;J2227,"ERRO","OK")</f>
        <v>OK</v>
      </c>
      <c r="N2227" s="0" t="str">
        <f aca="false">IF(I2227&lt;J2227,"ERRO","OK")</f>
        <v>OK</v>
      </c>
    </row>
    <row r="2228" customFormat="false" ht="14.25" hidden="false" customHeight="false" outlineLevel="0" collapsed="false">
      <c r="A2228" s="0" t="n">
        <v>93</v>
      </c>
      <c r="B2228" s="0" t="n">
        <v>2025</v>
      </c>
      <c r="C2228" s="3" t="n">
        <v>45716</v>
      </c>
      <c r="E2228" s="20" t="s">
        <v>71</v>
      </c>
      <c r="F2228" s="21" t="s">
        <v>49</v>
      </c>
      <c r="L2228" s="0" t="str">
        <f aca="false">IF(H2228&gt;I2228,"ERRO","OK")</f>
        <v>OK</v>
      </c>
      <c r="M2228" s="0" t="str">
        <f aca="false">IF(H2228&gt;J2228,"ERRO","OK")</f>
        <v>OK</v>
      </c>
      <c r="N2228" s="0" t="str">
        <f aca="false">IF(I2228&lt;J2228,"ERRO","OK")</f>
        <v>OK</v>
      </c>
    </row>
    <row r="2229" customFormat="false" ht="14.25" hidden="false" customHeight="false" outlineLevel="0" collapsed="false">
      <c r="A2229" s="0" t="n">
        <v>93</v>
      </c>
      <c r="B2229" s="0" t="n">
        <v>2025</v>
      </c>
      <c r="C2229" s="3" t="n">
        <v>45716</v>
      </c>
      <c r="E2229" s="20" t="s">
        <v>72</v>
      </c>
      <c r="F2229" s="21" t="s">
        <v>49</v>
      </c>
      <c r="L2229" s="0" t="str">
        <f aca="false">IF(H2229&gt;I2229,"ERRO","OK")</f>
        <v>OK</v>
      </c>
      <c r="M2229" s="0" t="str">
        <f aca="false">IF(H2229&gt;J2229,"ERRO","OK")</f>
        <v>OK</v>
      </c>
      <c r="N2229" s="0" t="str">
        <f aca="false">IF(I2229&lt;J2229,"ERRO","OK")</f>
        <v>OK</v>
      </c>
    </row>
    <row r="2230" customFormat="false" ht="14.25" hidden="false" customHeight="false" outlineLevel="0" collapsed="false">
      <c r="A2230" s="0" t="n">
        <v>93</v>
      </c>
      <c r="B2230" s="0" t="n">
        <v>2025</v>
      </c>
      <c r="C2230" s="3" t="n">
        <v>45716</v>
      </c>
      <c r="E2230" s="20" t="s">
        <v>73</v>
      </c>
      <c r="F2230" s="21" t="s">
        <v>49</v>
      </c>
      <c r="L2230" s="0" t="str">
        <f aca="false">IF(H2230&gt;I2230,"ERRO","OK")</f>
        <v>OK</v>
      </c>
      <c r="M2230" s="0" t="str">
        <f aca="false">IF(H2230&gt;J2230,"ERRO","OK")</f>
        <v>OK</v>
      </c>
      <c r="N2230" s="0" t="str">
        <f aca="false">IF(I2230&lt;J2230,"ERRO","OK")</f>
        <v>OK</v>
      </c>
    </row>
    <row r="2231" customFormat="false" ht="14.25" hidden="false" customHeight="false" outlineLevel="0" collapsed="false">
      <c r="A2231" s="0" t="n">
        <v>93</v>
      </c>
      <c r="B2231" s="0" t="n">
        <v>2025</v>
      </c>
      <c r="C2231" s="3" t="n">
        <v>45716</v>
      </c>
      <c r="E2231" s="20" t="s">
        <v>74</v>
      </c>
      <c r="F2231" s="21" t="s">
        <v>75</v>
      </c>
      <c r="L2231" s="0" t="str">
        <f aca="false">IF(H2231&gt;I2231,"ERRO","OK")</f>
        <v>OK</v>
      </c>
      <c r="M2231" s="0" t="str">
        <f aca="false">IF(H2231&gt;J2231,"ERRO","OK")</f>
        <v>OK</v>
      </c>
      <c r="N2231" s="0" t="str">
        <f aca="false">IF(I2231&lt;J2231,"ERRO","OK")</f>
        <v>OK</v>
      </c>
    </row>
    <row r="2232" customFormat="false" ht="14.25" hidden="false" customHeight="false" outlineLevel="0" collapsed="false">
      <c r="A2232" s="0" t="n">
        <v>94</v>
      </c>
      <c r="B2232" s="0" t="n">
        <v>2025</v>
      </c>
      <c r="C2232" s="3" t="n">
        <v>45723</v>
      </c>
      <c r="E2232" s="0" t="s">
        <v>16</v>
      </c>
      <c r="F2232" s="0" t="s">
        <v>17</v>
      </c>
      <c r="G2232" s="0" t="s">
        <v>370</v>
      </c>
      <c r="H2232" s="0" t="s">
        <v>369</v>
      </c>
      <c r="I2232" s="0" t="s">
        <v>370</v>
      </c>
      <c r="J2232" s="0" t="s">
        <v>445</v>
      </c>
      <c r="K2232" s="0" t="s">
        <v>370</v>
      </c>
      <c r="L2232" s="0" t="str">
        <f aca="false">IF(H2232&gt;I2232,"ERRO","OK")</f>
        <v>OK</v>
      </c>
      <c r="M2232" s="0" t="str">
        <f aca="false">IF(H2232&gt;J2232,"ERRO","OK")</f>
        <v>OK</v>
      </c>
      <c r="N2232" s="0" t="str">
        <f aca="false">IF(I2232&lt;J2232,"ERRO","OK")</f>
        <v>OK</v>
      </c>
    </row>
    <row r="2233" customFormat="false" ht="14.25" hidden="false" customHeight="false" outlineLevel="0" collapsed="false">
      <c r="A2233" s="0" t="n">
        <v>94</v>
      </c>
      <c r="B2233" s="0" t="n">
        <v>2025</v>
      </c>
      <c r="C2233" s="3" t="n">
        <v>45723</v>
      </c>
      <c r="E2233" s="0" t="s">
        <v>18</v>
      </c>
      <c r="F2233" s="0" t="s">
        <v>17</v>
      </c>
      <c r="H2233" s="0" t="s">
        <v>373</v>
      </c>
      <c r="I2233" s="0" t="s">
        <v>485</v>
      </c>
      <c r="J2233" s="0" t="s">
        <v>417</v>
      </c>
      <c r="K2233" s="0" t="s">
        <v>417</v>
      </c>
      <c r="L2233" s="0" t="str">
        <f aca="false">IF(H2233&gt;I2233,"ERRO","OK")</f>
        <v>OK</v>
      </c>
      <c r="M2233" s="0" t="str">
        <f aca="false">IF(H2233&gt;J2233,"ERRO","OK")</f>
        <v>OK</v>
      </c>
      <c r="N2233" s="0" t="str">
        <f aca="false">IF(I2233&lt;J2233,"ERRO","OK")</f>
        <v>OK</v>
      </c>
    </row>
    <row r="2234" customFormat="false" ht="14.25" hidden="false" customHeight="false" outlineLevel="0" collapsed="false">
      <c r="A2234" s="0" t="n">
        <v>94</v>
      </c>
      <c r="B2234" s="0" t="n">
        <v>2025</v>
      </c>
      <c r="C2234" s="3" t="n">
        <v>45723</v>
      </c>
      <c r="E2234" s="0" t="s">
        <v>19</v>
      </c>
      <c r="F2234" s="0" t="s">
        <v>17</v>
      </c>
      <c r="G2234" s="0" t="s">
        <v>369</v>
      </c>
      <c r="H2234" s="0" t="s">
        <v>369</v>
      </c>
      <c r="I2234" s="0" t="s">
        <v>369</v>
      </c>
      <c r="J2234" s="0" t="s">
        <v>369</v>
      </c>
      <c r="K2234" s="0" t="s">
        <v>369</v>
      </c>
      <c r="L2234" s="0" t="str">
        <f aca="false">IF(H2234&gt;I2234,"ERRO","OK")</f>
        <v>OK</v>
      </c>
      <c r="M2234" s="0" t="str">
        <f aca="false">IF(H2234&gt;J2234,"ERRO","OK")</f>
        <v>OK</v>
      </c>
      <c r="N2234" s="0" t="str">
        <f aca="false">IF(I2234&lt;J2234,"ERRO","OK")</f>
        <v>OK</v>
      </c>
    </row>
    <row r="2235" customFormat="false" ht="14.25" hidden="false" customHeight="false" outlineLevel="0" collapsed="false">
      <c r="A2235" s="0" t="n">
        <v>94</v>
      </c>
      <c r="B2235" s="0" t="n">
        <v>2025</v>
      </c>
      <c r="C2235" s="3" t="n">
        <v>45723</v>
      </c>
      <c r="E2235" s="0" t="s">
        <v>20</v>
      </c>
      <c r="F2235" s="0" t="s">
        <v>17</v>
      </c>
      <c r="G2235" s="0" t="s">
        <v>374</v>
      </c>
      <c r="H2235" s="0" t="s">
        <v>374</v>
      </c>
      <c r="I2235" s="0" t="s">
        <v>374</v>
      </c>
      <c r="J2235" s="0" t="s">
        <v>374</v>
      </c>
      <c r="K2235" s="0" t="s">
        <v>374</v>
      </c>
      <c r="L2235" s="0" t="str">
        <f aca="false">IF(H2235&gt;I2235,"ERRO","OK")</f>
        <v>OK</v>
      </c>
      <c r="M2235" s="0" t="str">
        <f aca="false">IF(H2235&gt;J2235,"ERRO","OK")</f>
        <v>OK</v>
      </c>
      <c r="N2235" s="0" t="str">
        <f aca="false">IF(I2235&lt;J2235,"ERRO","OK")</f>
        <v>OK</v>
      </c>
    </row>
    <row r="2236" customFormat="false" ht="14.25" hidden="false" customHeight="false" outlineLevel="0" collapsed="false">
      <c r="A2236" s="0" t="n">
        <v>94</v>
      </c>
      <c r="B2236" s="0" t="n">
        <v>2025</v>
      </c>
      <c r="C2236" s="3" t="n">
        <v>45723</v>
      </c>
      <c r="E2236" s="0" t="s">
        <v>21</v>
      </c>
      <c r="F2236" s="0" t="s">
        <v>17</v>
      </c>
      <c r="G2236" s="0" t="s">
        <v>374</v>
      </c>
      <c r="H2236" s="0" t="s">
        <v>374</v>
      </c>
      <c r="I2236" s="0" t="s">
        <v>374</v>
      </c>
      <c r="J2236" s="0" t="s">
        <v>374</v>
      </c>
      <c r="K2236" s="0" t="s">
        <v>374</v>
      </c>
      <c r="L2236" s="0" t="str">
        <f aca="false">IF(H2236&gt;I2236,"ERRO","OK")</f>
        <v>OK</v>
      </c>
      <c r="M2236" s="0" t="str">
        <f aca="false">IF(H2236&gt;J2236,"ERRO","OK")</f>
        <v>OK</v>
      </c>
      <c r="N2236" s="0" t="str">
        <f aca="false">IF(I2236&lt;J2236,"ERRO","OK")</f>
        <v>OK</v>
      </c>
    </row>
    <row r="2237" customFormat="false" ht="14.25" hidden="false" customHeight="false" outlineLevel="0" collapsed="false">
      <c r="A2237" s="0" t="n">
        <v>94</v>
      </c>
      <c r="B2237" s="0" t="n">
        <v>2025</v>
      </c>
      <c r="C2237" s="3" t="n">
        <v>45723</v>
      </c>
      <c r="E2237" s="0" t="s">
        <v>22</v>
      </c>
      <c r="F2237" s="0" t="s">
        <v>17</v>
      </c>
      <c r="H2237" s="0" t="s">
        <v>372</v>
      </c>
      <c r="I2237" s="0" t="s">
        <v>413</v>
      </c>
      <c r="J2237" s="0" t="s">
        <v>485</v>
      </c>
      <c r="K2237" s="0" t="s">
        <v>485</v>
      </c>
      <c r="L2237" s="0" t="str">
        <f aca="false">IF(H2237&gt;I2237,"ERRO","OK")</f>
        <v>ERRO</v>
      </c>
      <c r="M2237" s="0" t="str">
        <f aca="false">IF(H2237&gt;J2237,"ERRO","OK")</f>
        <v>OK</v>
      </c>
      <c r="N2237" s="0" t="str">
        <f aca="false">IF(I2237&lt;J2237,"ERRO","OK")</f>
        <v>ERRO</v>
      </c>
    </row>
    <row r="2238" customFormat="false" ht="14.25" hidden="false" customHeight="false" outlineLevel="0" collapsed="false">
      <c r="A2238" s="0" t="n">
        <v>94</v>
      </c>
      <c r="B2238" s="0" t="n">
        <v>2025</v>
      </c>
      <c r="C2238" s="3" t="n">
        <v>45723</v>
      </c>
      <c r="E2238" s="0" t="s">
        <v>23</v>
      </c>
      <c r="F2238" s="0" t="s">
        <v>17</v>
      </c>
      <c r="H2238" s="0" t="s">
        <v>429</v>
      </c>
      <c r="I2238" s="0" t="s">
        <v>373</v>
      </c>
      <c r="J2238" s="0" t="s">
        <v>515</v>
      </c>
      <c r="K2238" s="0" t="s">
        <v>515</v>
      </c>
      <c r="L2238" s="0" t="str">
        <f aca="false">IF(H2238&gt;I2238,"ERRO","OK")</f>
        <v>OK</v>
      </c>
      <c r="M2238" s="0" t="str">
        <f aca="false">IF(H2238&gt;J2238,"ERRO","OK")</f>
        <v>OK</v>
      </c>
      <c r="N2238" s="0" t="str">
        <f aca="false">IF(I2238&lt;J2238,"ERRO","OK")</f>
        <v>OK</v>
      </c>
    </row>
    <row r="2239" customFormat="false" ht="14.25" hidden="false" customHeight="false" outlineLevel="0" collapsed="false">
      <c r="A2239" s="0" t="n">
        <v>94</v>
      </c>
      <c r="B2239" s="0" t="n">
        <v>2025</v>
      </c>
      <c r="C2239" s="3" t="n">
        <v>45723</v>
      </c>
      <c r="E2239" s="0" t="s">
        <v>24</v>
      </c>
      <c r="F2239" s="0" t="s">
        <v>17</v>
      </c>
      <c r="H2239" s="0" t="s">
        <v>372</v>
      </c>
      <c r="I2239" s="0" t="s">
        <v>582</v>
      </c>
      <c r="J2239" s="0" t="s">
        <v>557</v>
      </c>
      <c r="K2239" s="0" t="s">
        <v>417</v>
      </c>
      <c r="L2239" s="0" t="str">
        <f aca="false">IF(H2239&gt;I2239,"ERRO","OK")</f>
        <v>ERRO</v>
      </c>
      <c r="M2239" s="0" t="str">
        <f aca="false">IF(H2239&gt;J2239,"ERRO","OK")</f>
        <v>OK</v>
      </c>
      <c r="N2239" s="0" t="str">
        <f aca="false">IF(I2239&lt;J2239,"ERRO","OK")</f>
        <v>ERRO</v>
      </c>
    </row>
    <row r="2240" customFormat="false" ht="14.25" hidden="false" customHeight="false" outlineLevel="0" collapsed="false">
      <c r="A2240" s="0" t="n">
        <v>94</v>
      </c>
      <c r="B2240" s="0" t="n">
        <v>2025</v>
      </c>
      <c r="C2240" s="3" t="n">
        <v>45723</v>
      </c>
      <c r="E2240" s="0" t="s">
        <v>25</v>
      </c>
      <c r="F2240" s="0" t="s">
        <v>17</v>
      </c>
      <c r="H2240" s="0" t="s">
        <v>378</v>
      </c>
      <c r="I2240" s="0" t="s">
        <v>442</v>
      </c>
      <c r="J2240" s="0" t="s">
        <v>539</v>
      </c>
      <c r="K2240" s="0" t="s">
        <v>378</v>
      </c>
      <c r="L2240" s="0" t="str">
        <f aca="false">IF(H2240&gt;I2240,"ERRO","OK")</f>
        <v>OK</v>
      </c>
      <c r="M2240" s="0" t="str">
        <f aca="false">IF(H2240&gt;J2240,"ERRO","OK")</f>
        <v>OK</v>
      </c>
      <c r="N2240" s="0" t="str">
        <f aca="false">IF(I2240&lt;J2240,"ERRO","OK")</f>
        <v>OK</v>
      </c>
    </row>
    <row r="2241" customFormat="false" ht="14.25" hidden="false" customHeight="false" outlineLevel="0" collapsed="false">
      <c r="A2241" s="0" t="n">
        <v>94</v>
      </c>
      <c r="B2241" s="0" t="n">
        <v>2025</v>
      </c>
      <c r="C2241" s="3" t="n">
        <v>45723</v>
      </c>
      <c r="E2241" s="0" t="s">
        <v>77</v>
      </c>
      <c r="F2241" s="0" t="s">
        <v>17</v>
      </c>
      <c r="H2241" s="0" t="s">
        <v>373</v>
      </c>
      <c r="I2241" s="0" t="s">
        <v>413</v>
      </c>
      <c r="J2241" s="0" t="s">
        <v>582</v>
      </c>
      <c r="K2241" s="0" t="s">
        <v>582</v>
      </c>
      <c r="L2241" s="0" t="str">
        <f aca="false">IF(H2241&gt;I2241,"ERRO","OK")</f>
        <v>ERRO</v>
      </c>
      <c r="M2241" s="0" t="str">
        <f aca="false">IF(H2241&gt;J2241,"ERRO","OK")</f>
        <v>ERRO</v>
      </c>
      <c r="N2241" s="0" t="str">
        <f aca="false">IF(I2241&lt;J2241,"ERRO","OK")</f>
        <v>OK</v>
      </c>
    </row>
    <row r="2242" customFormat="false" ht="14.25" hidden="false" customHeight="false" outlineLevel="0" collapsed="false">
      <c r="A2242" s="0" t="n">
        <v>94</v>
      </c>
      <c r="B2242" s="0" t="n">
        <v>2025</v>
      </c>
      <c r="C2242" s="3" t="n">
        <v>45723</v>
      </c>
      <c r="E2242" s="0" t="s">
        <v>27</v>
      </c>
      <c r="F2242" s="0" t="s">
        <v>17</v>
      </c>
      <c r="H2242" s="0" t="s">
        <v>374</v>
      </c>
      <c r="I2242" s="0" t="s">
        <v>374</v>
      </c>
      <c r="J2242" s="0" t="s">
        <v>539</v>
      </c>
      <c r="K2242" s="0" t="s">
        <v>374</v>
      </c>
      <c r="L2242" s="0" t="str">
        <f aca="false">IF(H2242&gt;I2242,"ERRO","OK")</f>
        <v>OK</v>
      </c>
      <c r="M2242" s="0" t="str">
        <f aca="false">IF(H2242&gt;J2242,"ERRO","OK")</f>
        <v>ERRO</v>
      </c>
      <c r="N2242" s="0" t="str">
        <f aca="false">IF(I2242&lt;J2242,"ERRO","OK")</f>
        <v>OK</v>
      </c>
    </row>
    <row r="2243" customFormat="false" ht="14.25" hidden="false" customHeight="false" outlineLevel="0" collapsed="false">
      <c r="A2243" s="0" t="n">
        <v>94</v>
      </c>
      <c r="B2243" s="0" t="n">
        <v>2025</v>
      </c>
      <c r="C2243" s="3" t="n">
        <v>45723</v>
      </c>
      <c r="E2243" s="0" t="s">
        <v>28</v>
      </c>
      <c r="F2243" s="0" t="s">
        <v>17</v>
      </c>
      <c r="H2243" s="0" t="s">
        <v>372</v>
      </c>
      <c r="I2243" s="0" t="s">
        <v>413</v>
      </c>
      <c r="J2243" s="0" t="s">
        <v>485</v>
      </c>
      <c r="K2243" s="0" t="s">
        <v>485</v>
      </c>
      <c r="L2243" s="0" t="str">
        <f aca="false">IF(H2243&gt;I2243,"ERRO","OK")</f>
        <v>ERRO</v>
      </c>
      <c r="M2243" s="0" t="str">
        <f aca="false">IF(H2243&gt;J2243,"ERRO","OK")</f>
        <v>OK</v>
      </c>
      <c r="N2243" s="0" t="str">
        <f aca="false">IF(I2243&lt;J2243,"ERRO","OK")</f>
        <v>ERRO</v>
      </c>
    </row>
    <row r="2244" customFormat="false" ht="14.25" hidden="false" customHeight="false" outlineLevel="0" collapsed="false">
      <c r="A2244" s="0" t="n">
        <v>94</v>
      </c>
      <c r="B2244" s="0" t="n">
        <v>2025</v>
      </c>
      <c r="C2244" s="3" t="n">
        <v>45723</v>
      </c>
      <c r="E2244" s="0" t="s">
        <v>29</v>
      </c>
      <c r="F2244" s="0" t="s">
        <v>30</v>
      </c>
      <c r="H2244" s="0" t="s">
        <v>370</v>
      </c>
      <c r="I2244" s="0" t="s">
        <v>372</v>
      </c>
      <c r="J2244" s="0" t="s">
        <v>381</v>
      </c>
      <c r="K2244" s="0" t="s">
        <v>370</v>
      </c>
      <c r="L2244" s="0" t="str">
        <f aca="false">IF(H2244&gt;I2244,"ERRO","OK")</f>
        <v>OK</v>
      </c>
      <c r="M2244" s="0" t="str">
        <f aca="false">IF(H2244&gt;J2244,"ERRO","OK")</f>
        <v>OK</v>
      </c>
      <c r="N2244" s="0" t="str">
        <f aca="false">IF(I2244&lt;J2244,"ERRO","OK")</f>
        <v>OK</v>
      </c>
    </row>
    <row r="2245" customFormat="false" ht="14.25" hidden="false" customHeight="false" outlineLevel="0" collapsed="false">
      <c r="A2245" s="0" t="n">
        <v>94</v>
      </c>
      <c r="B2245" s="0" t="n">
        <v>2025</v>
      </c>
      <c r="C2245" s="3" t="n">
        <v>45723</v>
      </c>
      <c r="E2245" s="0" t="s">
        <v>31</v>
      </c>
      <c r="F2245" s="0" t="s">
        <v>17</v>
      </c>
      <c r="H2245" s="0" t="s">
        <v>373</v>
      </c>
      <c r="I2245" s="0" t="s">
        <v>373</v>
      </c>
      <c r="J2245" s="0" t="s">
        <v>373</v>
      </c>
      <c r="K2245" s="0" t="s">
        <v>373</v>
      </c>
      <c r="L2245" s="0" t="str">
        <f aca="false">IF(H2245&gt;I2245,"ERRO","OK")</f>
        <v>OK</v>
      </c>
      <c r="M2245" s="0" t="str">
        <f aca="false">IF(H2245&gt;J2245,"ERRO","OK")</f>
        <v>OK</v>
      </c>
      <c r="N2245" s="0" t="str">
        <f aca="false">IF(I2245&lt;J2245,"ERRO","OK")</f>
        <v>OK</v>
      </c>
    </row>
    <row r="2246" customFormat="false" ht="14.25" hidden="false" customHeight="false" outlineLevel="0" collapsed="false">
      <c r="A2246" s="0" t="n">
        <v>94</v>
      </c>
      <c r="B2246" s="0" t="n">
        <v>2025</v>
      </c>
      <c r="C2246" s="3" t="n">
        <v>45723</v>
      </c>
      <c r="E2246" s="0" t="s">
        <v>32</v>
      </c>
      <c r="F2246" s="0" t="s">
        <v>17</v>
      </c>
      <c r="H2246" s="0" t="s">
        <v>405</v>
      </c>
      <c r="I2246" s="0" t="s">
        <v>370</v>
      </c>
      <c r="J2246" s="0" t="s">
        <v>606</v>
      </c>
      <c r="K2246" s="0" t="s">
        <v>370</v>
      </c>
      <c r="L2246" s="0" t="str">
        <f aca="false">IF(H2246&gt;I2246,"ERRO","OK")</f>
        <v>OK</v>
      </c>
      <c r="M2246" s="0" t="str">
        <f aca="false">IF(H2246&gt;J2246,"ERRO","OK")</f>
        <v>OK</v>
      </c>
      <c r="N2246" s="0" t="str">
        <f aca="false">IF(I2246&lt;J2246,"ERRO","OK")</f>
        <v>OK</v>
      </c>
    </row>
    <row r="2247" customFormat="false" ht="14.25" hidden="false" customHeight="false" outlineLevel="0" collapsed="false">
      <c r="A2247" s="0" t="n">
        <v>94</v>
      </c>
      <c r="B2247" s="0" t="n">
        <v>2025</v>
      </c>
      <c r="C2247" s="3" t="n">
        <v>45723</v>
      </c>
      <c r="E2247" s="0" t="s">
        <v>33</v>
      </c>
      <c r="F2247" s="0" t="s">
        <v>17</v>
      </c>
      <c r="G2247" s="0" t="s">
        <v>371</v>
      </c>
      <c r="H2247" s="0" t="s">
        <v>370</v>
      </c>
      <c r="I2247" s="0" t="s">
        <v>370</v>
      </c>
      <c r="J2247" s="0" t="s">
        <v>435</v>
      </c>
      <c r="K2247" s="0" t="s">
        <v>370</v>
      </c>
      <c r="L2247" s="0" t="str">
        <f aca="false">IF(H2247&gt;I2247,"ERRO","OK")</f>
        <v>OK</v>
      </c>
      <c r="M2247" s="0" t="str">
        <f aca="false">IF(H2247&gt;J2247,"ERRO","OK")</f>
        <v>ERRO</v>
      </c>
      <c r="N2247" s="0" t="str">
        <f aca="false">IF(I2247&lt;J2247,"ERRO","OK")</f>
        <v>OK</v>
      </c>
    </row>
    <row r="2248" customFormat="false" ht="14.25" hidden="false" customHeight="false" outlineLevel="0" collapsed="false">
      <c r="A2248" s="0" t="n">
        <v>94</v>
      </c>
      <c r="B2248" s="0" t="n">
        <v>2025</v>
      </c>
      <c r="C2248" s="3" t="n">
        <v>45723</v>
      </c>
      <c r="E2248" s="0" t="s">
        <v>35</v>
      </c>
      <c r="F2248" s="0" t="s">
        <v>36</v>
      </c>
      <c r="G2248" s="0" t="s">
        <v>370</v>
      </c>
      <c r="H2248" s="0" t="s">
        <v>369</v>
      </c>
      <c r="I2248" s="0" t="s">
        <v>370</v>
      </c>
      <c r="J2248" s="0" t="s">
        <v>445</v>
      </c>
      <c r="K2248" s="0" t="s">
        <v>370</v>
      </c>
      <c r="L2248" s="0" t="str">
        <f aca="false">IF(H2248&gt;I2248,"ERRO","OK")</f>
        <v>OK</v>
      </c>
      <c r="M2248" s="0" t="str">
        <f aca="false">IF(H2248&gt;J2248,"ERRO","OK")</f>
        <v>OK</v>
      </c>
      <c r="N2248" s="0" t="str">
        <f aca="false">IF(I2248&lt;J2248,"ERRO","OK")</f>
        <v>OK</v>
      </c>
    </row>
    <row r="2249" customFormat="false" ht="14.25" hidden="false" customHeight="false" outlineLevel="0" collapsed="false">
      <c r="A2249" s="0" t="n">
        <v>94</v>
      </c>
      <c r="B2249" s="0" t="n">
        <v>2025</v>
      </c>
      <c r="C2249" s="3" t="n">
        <v>45723</v>
      </c>
      <c r="E2249" s="0" t="s">
        <v>38</v>
      </c>
      <c r="F2249" s="0" t="s">
        <v>39</v>
      </c>
      <c r="H2249" s="0" t="s">
        <v>373</v>
      </c>
      <c r="I2249" s="0" t="s">
        <v>485</v>
      </c>
      <c r="J2249" s="0" t="s">
        <v>417</v>
      </c>
      <c r="K2249" s="0" t="s">
        <v>417</v>
      </c>
      <c r="L2249" s="0" t="str">
        <f aca="false">IF(H2249&gt;I2249,"ERRO","OK")</f>
        <v>OK</v>
      </c>
      <c r="M2249" s="0" t="str">
        <f aca="false">IF(H2249&gt;J2249,"ERRO","OK")</f>
        <v>OK</v>
      </c>
      <c r="N2249" s="0" t="str">
        <f aca="false">IF(I2249&lt;J2249,"ERRO","OK")</f>
        <v>OK</v>
      </c>
    </row>
    <row r="2250" customFormat="false" ht="14.25" hidden="false" customHeight="false" outlineLevel="0" collapsed="false">
      <c r="A2250" s="0" t="n">
        <v>94</v>
      </c>
      <c r="B2250" s="0" t="n">
        <v>2025</v>
      </c>
      <c r="C2250" s="3" t="n">
        <v>45723</v>
      </c>
      <c r="E2250" s="0" t="s">
        <v>40</v>
      </c>
      <c r="F2250" s="0" t="s">
        <v>39</v>
      </c>
      <c r="G2250" s="0" t="s">
        <v>369</v>
      </c>
      <c r="H2250" s="0" t="s">
        <v>369</v>
      </c>
      <c r="I2250" s="0" t="s">
        <v>369</v>
      </c>
      <c r="J2250" s="0" t="s">
        <v>369</v>
      </c>
      <c r="K2250" s="0" t="s">
        <v>369</v>
      </c>
      <c r="L2250" s="0" t="str">
        <f aca="false">IF(H2250&gt;I2250,"ERRO","OK")</f>
        <v>OK</v>
      </c>
      <c r="M2250" s="0" t="str">
        <f aca="false">IF(H2250&gt;J2250,"ERRO","OK")</f>
        <v>OK</v>
      </c>
      <c r="N2250" s="0" t="str">
        <f aca="false">IF(I2250&lt;J2250,"ERRO","OK")</f>
        <v>OK</v>
      </c>
    </row>
    <row r="2251" customFormat="false" ht="14.25" hidden="false" customHeight="false" outlineLevel="0" collapsed="false">
      <c r="A2251" s="0" t="n">
        <v>94</v>
      </c>
      <c r="B2251" s="0" t="n">
        <v>2025</v>
      </c>
      <c r="C2251" s="3" t="n">
        <v>45723</v>
      </c>
      <c r="E2251" s="0" t="s">
        <v>157</v>
      </c>
      <c r="F2251" s="0" t="s">
        <v>158</v>
      </c>
      <c r="G2251" s="0" t="s">
        <v>370</v>
      </c>
      <c r="H2251" s="0" t="s">
        <v>370</v>
      </c>
      <c r="I2251" s="0" t="s">
        <v>382</v>
      </c>
      <c r="J2251" s="0" t="s">
        <v>386</v>
      </c>
      <c r="K2251" s="0" t="s">
        <v>370</v>
      </c>
      <c r="L2251" s="0" t="str">
        <f aca="false">IF(H2251&gt;I2251,"ERRO","OK")</f>
        <v>OK</v>
      </c>
      <c r="M2251" s="0" t="str">
        <f aca="false">IF(H2251&gt;J2251,"ERRO","OK")</f>
        <v>OK</v>
      </c>
      <c r="N2251" s="0" t="str">
        <f aca="false">IF(I2251&lt;J2251,"ERRO","OK")</f>
        <v>OK</v>
      </c>
    </row>
    <row r="2252" customFormat="false" ht="14.25" hidden="false" customHeight="false" outlineLevel="0" collapsed="false">
      <c r="A2252" s="0" t="n">
        <v>94</v>
      </c>
      <c r="B2252" s="0" t="n">
        <v>2025</v>
      </c>
      <c r="C2252" s="3" t="n">
        <v>45723</v>
      </c>
      <c r="E2252" s="0" t="s">
        <v>43</v>
      </c>
      <c r="F2252" s="0" t="s">
        <v>44</v>
      </c>
      <c r="G2252" s="0" t="s">
        <v>409</v>
      </c>
      <c r="H2252" s="0" t="s">
        <v>405</v>
      </c>
      <c r="I2252" s="0" t="s">
        <v>370</v>
      </c>
      <c r="J2252" s="0" t="s">
        <v>405</v>
      </c>
      <c r="K2252" s="0" t="s">
        <v>405</v>
      </c>
      <c r="L2252" s="0" t="str">
        <f aca="false">IF(H2252&gt;I2252,"ERRO","OK")</f>
        <v>OK</v>
      </c>
      <c r="M2252" s="0" t="str">
        <f aca="false">IF(H2252&gt;J2252,"ERRO","OK")</f>
        <v>OK</v>
      </c>
      <c r="N2252" s="0" t="str">
        <f aca="false">IF(I2252&lt;J2252,"ERRO","OK")</f>
        <v>OK</v>
      </c>
    </row>
    <row r="2253" customFormat="false" ht="14.25" hidden="false" customHeight="false" outlineLevel="0" collapsed="false">
      <c r="A2253" s="0" t="n">
        <v>94</v>
      </c>
      <c r="B2253" s="0" t="n">
        <v>2025</v>
      </c>
      <c r="C2253" s="3" t="n">
        <v>45723</v>
      </c>
      <c r="E2253" s="0" t="s">
        <v>46</v>
      </c>
      <c r="F2253" s="0" t="s">
        <v>47</v>
      </c>
      <c r="G2253" s="0" t="s">
        <v>370</v>
      </c>
      <c r="H2253" s="0" t="s">
        <v>374</v>
      </c>
      <c r="I2253" s="0" t="s">
        <v>406</v>
      </c>
      <c r="J2253" s="0" t="s">
        <v>440</v>
      </c>
      <c r="K2253" s="0" t="s">
        <v>370</v>
      </c>
      <c r="L2253" s="0" t="str">
        <f aca="false">IF(H2253&gt;I2253,"ERRO","OK")</f>
        <v>OK</v>
      </c>
      <c r="M2253" s="0" t="str">
        <f aca="false">IF(H2253&gt;J2253,"ERRO","OK")</f>
        <v>OK</v>
      </c>
      <c r="N2253" s="0" t="str">
        <f aca="false">IF(I2253&lt;J2253,"ERRO","OK")</f>
        <v>OK</v>
      </c>
    </row>
    <row r="2254" customFormat="false" ht="14.25" hidden="false" customHeight="false" outlineLevel="0" collapsed="false">
      <c r="A2254" s="0" t="n">
        <v>94</v>
      </c>
      <c r="B2254" s="0" t="n">
        <v>2025</v>
      </c>
      <c r="C2254" s="3" t="n">
        <v>45723</v>
      </c>
      <c r="E2254" s="0" t="s">
        <v>48</v>
      </c>
      <c r="F2254" s="0" t="s">
        <v>49</v>
      </c>
      <c r="G2254" s="0" t="s">
        <v>408</v>
      </c>
      <c r="H2254" s="0" t="s">
        <v>400</v>
      </c>
      <c r="I2254" s="0" t="s">
        <v>408</v>
      </c>
      <c r="J2254" s="0" t="s">
        <v>416</v>
      </c>
      <c r="K2254" s="0" t="s">
        <v>405</v>
      </c>
      <c r="L2254" s="0" t="str">
        <f aca="false">IF(H2254&gt;I2254,"ERRO","OK")</f>
        <v>OK</v>
      </c>
      <c r="M2254" s="0" t="str">
        <f aca="false">IF(H2254&gt;J2254,"ERRO","OK")</f>
        <v>OK</v>
      </c>
      <c r="N2254" s="0" t="str">
        <f aca="false">IF(I2254&lt;J2254,"ERRO","OK")</f>
        <v>OK</v>
      </c>
    </row>
    <row r="2255" customFormat="false" ht="14.25" hidden="false" customHeight="false" outlineLevel="0" collapsed="false">
      <c r="A2255" s="0" t="n">
        <v>94</v>
      </c>
      <c r="B2255" s="0" t="n">
        <v>2025</v>
      </c>
      <c r="C2255" s="3" t="n">
        <v>45723</v>
      </c>
      <c r="E2255" s="0" t="s">
        <v>52</v>
      </c>
      <c r="F2255" s="0" t="s">
        <v>49</v>
      </c>
      <c r="G2255" s="0" t="s">
        <v>398</v>
      </c>
      <c r="H2255" s="0" t="s">
        <v>398</v>
      </c>
      <c r="I2255" s="0" t="s">
        <v>398</v>
      </c>
      <c r="J2255" s="0" t="s">
        <v>398</v>
      </c>
      <c r="K2255" s="0" t="s">
        <v>398</v>
      </c>
      <c r="L2255" s="0" t="str">
        <f aca="false">IF(H2255&gt;I2255,"ERRO","OK")</f>
        <v>OK</v>
      </c>
      <c r="M2255" s="0" t="str">
        <f aca="false">IF(H2255&gt;J2255,"ERRO","OK")</f>
        <v>OK</v>
      </c>
      <c r="N2255" s="0" t="str">
        <f aca="false">IF(I2255&lt;J2255,"ERRO","OK")</f>
        <v>OK</v>
      </c>
    </row>
    <row r="2256" customFormat="false" ht="14.25" hidden="false" customHeight="false" outlineLevel="0" collapsed="false">
      <c r="A2256" s="0" t="n">
        <v>94</v>
      </c>
      <c r="B2256" s="0" t="n">
        <v>2025</v>
      </c>
      <c r="C2256" s="3" t="n">
        <v>45723</v>
      </c>
      <c r="E2256" s="0" t="s">
        <v>53</v>
      </c>
      <c r="F2256" s="0" t="s">
        <v>54</v>
      </c>
      <c r="G2256" s="0" t="s">
        <v>405</v>
      </c>
      <c r="H2256" s="0" t="s">
        <v>405</v>
      </c>
      <c r="I2256" s="0" t="s">
        <v>406</v>
      </c>
      <c r="J2256" s="0" t="s">
        <v>471</v>
      </c>
      <c r="K2256" s="0" t="s">
        <v>408</v>
      </c>
      <c r="L2256" s="0" t="str">
        <f aca="false">IF(H2256&gt;I2256,"ERRO","OK")</f>
        <v>OK</v>
      </c>
      <c r="M2256" s="0" t="str">
        <f aca="false">IF(H2256&gt;J2256,"ERRO","OK")</f>
        <v>OK</v>
      </c>
      <c r="N2256" s="0" t="str">
        <f aca="false">IF(I2256&lt;J2256,"ERRO","OK")</f>
        <v>OK</v>
      </c>
    </row>
    <row r="2257" customFormat="false" ht="14.25" hidden="false" customHeight="false" outlineLevel="0" collapsed="false">
      <c r="A2257" s="0" t="n">
        <v>94</v>
      </c>
      <c r="B2257" s="0" t="n">
        <v>2025</v>
      </c>
      <c r="C2257" s="3" t="n">
        <v>45723</v>
      </c>
      <c r="E2257" s="0" t="s">
        <v>56</v>
      </c>
      <c r="F2257" s="0" t="s">
        <v>47</v>
      </c>
      <c r="G2257" s="0" t="s">
        <v>405</v>
      </c>
      <c r="H2257" s="0" t="s">
        <v>402</v>
      </c>
      <c r="I2257" s="0" t="s">
        <v>427</v>
      </c>
      <c r="J2257" s="0" t="s">
        <v>399</v>
      </c>
      <c r="K2257" s="0" t="s">
        <v>398</v>
      </c>
      <c r="L2257" s="0" t="str">
        <f aca="false">IF(H2257&gt;I2257,"ERRO","OK")</f>
        <v>ERRO</v>
      </c>
      <c r="M2257" s="0" t="str">
        <f aca="false">IF(H2257&gt;J2257,"ERRO","OK")</f>
        <v>OK</v>
      </c>
      <c r="N2257" s="0" t="str">
        <f aca="false">IF(I2257&lt;J2257,"ERRO","OK")</f>
        <v>ERRO</v>
      </c>
    </row>
    <row r="2258" customFormat="false" ht="14.25" hidden="false" customHeight="false" outlineLevel="0" collapsed="false">
      <c r="A2258" s="0" t="n">
        <v>94</v>
      </c>
      <c r="B2258" s="0" t="n">
        <v>2025</v>
      </c>
      <c r="C2258" s="3" t="n">
        <v>45723</v>
      </c>
      <c r="E2258" s="0" t="s">
        <v>57</v>
      </c>
      <c r="F2258" s="0" t="s">
        <v>47</v>
      </c>
      <c r="G2258" s="0" t="s">
        <v>382</v>
      </c>
      <c r="H2258" s="0" t="s">
        <v>417</v>
      </c>
      <c r="I2258" s="0" t="s">
        <v>398</v>
      </c>
      <c r="J2258" s="0" t="s">
        <v>406</v>
      </c>
      <c r="K2258" s="0" t="s">
        <v>382</v>
      </c>
      <c r="L2258" s="0" t="str">
        <f aca="false">IF(H2258&gt;I2258,"ERRO","OK")</f>
        <v>ERRO</v>
      </c>
      <c r="M2258" s="0" t="str">
        <f aca="false">IF(H2258&gt;J2258,"ERRO","OK")</f>
        <v>ERRO</v>
      </c>
      <c r="N2258" s="0" t="str">
        <f aca="false">IF(I2258&lt;J2258,"ERRO","OK")</f>
        <v>OK</v>
      </c>
    </row>
    <row r="2259" customFormat="false" ht="14.25" hidden="false" customHeight="false" outlineLevel="0" collapsed="false">
      <c r="A2259" s="0" t="n">
        <v>94</v>
      </c>
      <c r="B2259" s="0" t="n">
        <v>2025</v>
      </c>
      <c r="C2259" s="3" t="n">
        <v>45723</v>
      </c>
      <c r="E2259" s="0" t="s">
        <v>58</v>
      </c>
      <c r="F2259" s="0" t="s">
        <v>44</v>
      </c>
      <c r="H2259" s="0" t="s">
        <v>370</v>
      </c>
      <c r="I2259" s="0" t="s">
        <v>427</v>
      </c>
      <c r="J2259" s="0" t="s">
        <v>590</v>
      </c>
      <c r="K2259" s="0" t="s">
        <v>497</v>
      </c>
      <c r="L2259" s="0" t="str">
        <f aca="false">IF(H2259&gt;I2259,"ERRO","OK")</f>
        <v>ERRO</v>
      </c>
      <c r="M2259" s="0" t="str">
        <f aca="false">IF(H2259&gt;J2259,"ERRO","OK")</f>
        <v>OK</v>
      </c>
      <c r="N2259" s="0" t="str">
        <f aca="false">IF(I2259&lt;J2259,"ERRO","OK")</f>
        <v>ERRO</v>
      </c>
    </row>
    <row r="2260" customFormat="false" ht="14.25" hidden="false" customHeight="false" outlineLevel="0" collapsed="false">
      <c r="A2260" s="0" t="n">
        <v>94</v>
      </c>
      <c r="B2260" s="0" t="n">
        <v>2025</v>
      </c>
      <c r="C2260" s="3" t="n">
        <v>45723</v>
      </c>
      <c r="E2260" s="0" t="s">
        <v>60</v>
      </c>
      <c r="F2260" s="0" t="s">
        <v>47</v>
      </c>
      <c r="H2260" s="0" t="s">
        <v>402</v>
      </c>
      <c r="I2260" s="0" t="s">
        <v>398</v>
      </c>
      <c r="J2260" s="0" t="s">
        <v>542</v>
      </c>
      <c r="K2260" s="0" t="s">
        <v>397</v>
      </c>
      <c r="L2260" s="0" t="str">
        <f aca="false">IF(H2260&gt;I2260,"ERRO","OK")</f>
        <v>OK</v>
      </c>
      <c r="M2260" s="0" t="str">
        <f aca="false">IF(H2260&gt;J2260,"ERRO","OK")</f>
        <v>OK</v>
      </c>
      <c r="N2260" s="0" t="str">
        <f aca="false">IF(I2260&lt;J2260,"ERRO","OK")</f>
        <v>OK</v>
      </c>
    </row>
    <row r="2261" customFormat="false" ht="14.25" hidden="false" customHeight="false" outlineLevel="0" collapsed="false">
      <c r="A2261" s="0" t="n">
        <v>94</v>
      </c>
      <c r="B2261" s="0" t="n">
        <v>2025</v>
      </c>
      <c r="C2261" s="3" t="n">
        <v>45723</v>
      </c>
      <c r="E2261" s="0" t="s">
        <v>61</v>
      </c>
      <c r="F2261" s="0" t="s">
        <v>44</v>
      </c>
      <c r="G2261" s="0" t="s">
        <v>382</v>
      </c>
      <c r="H2261" s="0" t="s">
        <v>382</v>
      </c>
      <c r="I2261" s="0" t="s">
        <v>382</v>
      </c>
      <c r="J2261" s="0" t="s">
        <v>382</v>
      </c>
      <c r="K2261" s="0" t="s">
        <v>382</v>
      </c>
      <c r="L2261" s="0" t="str">
        <f aca="false">IF(H2261&gt;I2261,"ERRO","OK")</f>
        <v>OK</v>
      </c>
      <c r="M2261" s="0" t="str">
        <f aca="false">IF(H2261&gt;J2261,"ERRO","OK")</f>
        <v>OK</v>
      </c>
      <c r="N2261" s="0" t="str">
        <f aca="false">IF(I2261&lt;J2261,"ERRO","OK")</f>
        <v>OK</v>
      </c>
    </row>
    <row r="2262" customFormat="false" ht="14.25" hidden="false" customHeight="false" outlineLevel="0" collapsed="false">
      <c r="A2262" s="0" t="n">
        <v>94</v>
      </c>
      <c r="B2262" s="0" t="n">
        <v>2025</v>
      </c>
      <c r="C2262" s="3" t="n">
        <v>45723</v>
      </c>
      <c r="E2262" s="0" t="s">
        <v>62</v>
      </c>
      <c r="F2262" s="0" t="s">
        <v>44</v>
      </c>
      <c r="H2262" s="0" t="s">
        <v>382</v>
      </c>
      <c r="I2262" s="0" t="s">
        <v>427</v>
      </c>
      <c r="J2262" s="0" t="s">
        <v>607</v>
      </c>
      <c r="K2262" s="0" t="s">
        <v>397</v>
      </c>
      <c r="L2262" s="0" t="str">
        <f aca="false">IF(H2262&gt;I2262,"ERRO","OK")</f>
        <v>ERRO</v>
      </c>
      <c r="M2262" s="0" t="str">
        <f aca="false">IF(H2262&gt;J2262,"ERRO","OK")</f>
        <v>OK</v>
      </c>
      <c r="N2262" s="0" t="str">
        <f aca="false">IF(I2262&lt;J2262,"ERRO","OK")</f>
        <v>ERRO</v>
      </c>
    </row>
    <row r="2263" customFormat="false" ht="14.25" hidden="false" customHeight="false" outlineLevel="0" collapsed="false">
      <c r="A2263" s="0" t="n">
        <v>94</v>
      </c>
      <c r="B2263" s="0" t="n">
        <v>2025</v>
      </c>
      <c r="C2263" s="3" t="n">
        <v>45723</v>
      </c>
      <c r="E2263" s="0" t="s">
        <v>63</v>
      </c>
      <c r="F2263" s="0" t="s">
        <v>49</v>
      </c>
      <c r="G2263" s="0" t="s">
        <v>370</v>
      </c>
      <c r="H2263" s="0" t="s">
        <v>370</v>
      </c>
      <c r="I2263" s="0" t="s">
        <v>370</v>
      </c>
      <c r="J2263" s="0" t="s">
        <v>477</v>
      </c>
      <c r="K2263" s="0" t="s">
        <v>452</v>
      </c>
      <c r="L2263" s="0" t="str">
        <f aca="false">IF(H2263&gt;I2263,"ERRO","OK")</f>
        <v>OK</v>
      </c>
      <c r="M2263" s="0" t="str">
        <f aca="false">IF(H2263&gt;J2263,"ERRO","OK")</f>
        <v>ERRO</v>
      </c>
      <c r="N2263" s="0" t="str">
        <f aca="false">IF(I2263&lt;J2263,"ERRO","OK")</f>
        <v>OK</v>
      </c>
    </row>
    <row r="2264" customFormat="false" ht="14.25" hidden="false" customHeight="false" outlineLevel="0" collapsed="false">
      <c r="A2264" s="0" t="n">
        <v>94</v>
      </c>
      <c r="B2264" s="0" t="n">
        <v>2025</v>
      </c>
      <c r="C2264" s="3" t="n">
        <v>45723</v>
      </c>
      <c r="E2264" s="0" t="s">
        <v>64</v>
      </c>
      <c r="F2264" s="0" t="s">
        <v>65</v>
      </c>
      <c r="G2264" s="0" t="s">
        <v>400</v>
      </c>
      <c r="H2264" s="0" t="s">
        <v>400</v>
      </c>
      <c r="I2264" s="0" t="s">
        <v>382</v>
      </c>
      <c r="J2264" s="0" t="s">
        <v>370</v>
      </c>
      <c r="K2264" s="0" t="s">
        <v>370</v>
      </c>
      <c r="L2264" s="0" t="str">
        <f aca="false">IF(H2264&gt;I2264,"ERRO","OK")</f>
        <v>OK</v>
      </c>
      <c r="M2264" s="0" t="str">
        <f aca="false">IF(H2264&gt;J2264,"ERRO","OK")</f>
        <v>OK</v>
      </c>
      <c r="N2264" s="0" t="str">
        <f aca="false">IF(I2264&lt;J2264,"ERRO","OK")</f>
        <v>OK</v>
      </c>
    </row>
    <row r="2265" customFormat="false" ht="14.25" hidden="false" customHeight="false" outlineLevel="0" collapsed="false">
      <c r="A2265" s="0" t="n">
        <v>94</v>
      </c>
      <c r="B2265" s="0" t="n">
        <v>2025</v>
      </c>
      <c r="C2265" s="3" t="n">
        <v>45723</v>
      </c>
      <c r="E2265" s="0" t="s">
        <v>67</v>
      </c>
      <c r="F2265" s="0" t="s">
        <v>44</v>
      </c>
      <c r="G2265" s="0" t="s">
        <v>370</v>
      </c>
      <c r="H2265" s="0" t="s">
        <v>405</v>
      </c>
      <c r="I2265" s="0" t="s">
        <v>464</v>
      </c>
      <c r="J2265" s="0" t="s">
        <v>608</v>
      </c>
      <c r="K2265" s="0" t="s">
        <v>415</v>
      </c>
      <c r="L2265" s="0" t="str">
        <f aca="false">IF(H2265&gt;I2265,"ERRO","OK")</f>
        <v>ERRO</v>
      </c>
      <c r="M2265" s="0" t="str">
        <f aca="false">IF(H2265&gt;J2265,"ERRO","OK")</f>
        <v>ERRO</v>
      </c>
      <c r="N2265" s="0" t="str">
        <f aca="false">IF(I2265&lt;J2265,"ERRO","OK")</f>
        <v>OK</v>
      </c>
    </row>
    <row r="2266" customFormat="false" ht="14.25" hidden="false" customHeight="false" outlineLevel="0" collapsed="false">
      <c r="A2266" s="0" t="n">
        <v>94</v>
      </c>
      <c r="B2266" s="0" t="n">
        <v>2025</v>
      </c>
      <c r="C2266" s="3" t="n">
        <v>45723</v>
      </c>
      <c r="E2266" s="0" t="s">
        <v>68</v>
      </c>
      <c r="F2266" s="0" t="s">
        <v>44</v>
      </c>
      <c r="H2266" s="0" t="s">
        <v>398</v>
      </c>
      <c r="I2266" s="0" t="s">
        <v>420</v>
      </c>
      <c r="J2266" s="0" t="s">
        <v>513</v>
      </c>
      <c r="K2266" s="0" t="s">
        <v>427</v>
      </c>
      <c r="L2266" s="0" t="str">
        <f aca="false">IF(H2266&gt;I2266,"ERRO","OK")</f>
        <v>ERRO</v>
      </c>
      <c r="M2266" s="0" t="str">
        <f aca="false">IF(H2266&gt;J2266,"ERRO","OK")</f>
        <v>ERRO</v>
      </c>
      <c r="N2266" s="0" t="str">
        <f aca="false">IF(I2266&lt;J2266,"ERRO","OK")</f>
        <v>OK</v>
      </c>
    </row>
    <row r="2267" customFormat="false" ht="14.25" hidden="false" customHeight="false" outlineLevel="0" collapsed="false">
      <c r="A2267" s="0" t="n">
        <v>94</v>
      </c>
      <c r="B2267" s="0" t="n">
        <v>2025</v>
      </c>
      <c r="C2267" s="3" t="n">
        <v>45723</v>
      </c>
      <c r="E2267" s="20" t="s">
        <v>70</v>
      </c>
      <c r="F2267" s="21" t="s">
        <v>49</v>
      </c>
      <c r="L2267" s="0" t="str">
        <f aca="false">IF(H2267&gt;I2267,"ERRO","OK")</f>
        <v>OK</v>
      </c>
      <c r="M2267" s="0" t="str">
        <f aca="false">IF(H2267&gt;J2267,"ERRO","OK")</f>
        <v>OK</v>
      </c>
      <c r="N2267" s="0" t="str">
        <f aca="false">IF(I2267&lt;J2267,"ERRO","OK")</f>
        <v>OK</v>
      </c>
    </row>
    <row r="2268" customFormat="false" ht="14.25" hidden="false" customHeight="false" outlineLevel="0" collapsed="false">
      <c r="A2268" s="0" t="n">
        <v>94</v>
      </c>
      <c r="B2268" s="0" t="n">
        <v>2025</v>
      </c>
      <c r="C2268" s="3" t="n">
        <v>45723</v>
      </c>
      <c r="E2268" s="20" t="s">
        <v>71</v>
      </c>
      <c r="F2268" s="21" t="s">
        <v>49</v>
      </c>
      <c r="L2268" s="0" t="str">
        <f aca="false">IF(H2268&gt;I2268,"ERRO","OK")</f>
        <v>OK</v>
      </c>
      <c r="M2268" s="0" t="str">
        <f aca="false">IF(H2268&gt;J2268,"ERRO","OK")</f>
        <v>OK</v>
      </c>
      <c r="N2268" s="0" t="str">
        <f aca="false">IF(I2268&lt;J2268,"ERRO","OK")</f>
        <v>OK</v>
      </c>
    </row>
    <row r="2269" customFormat="false" ht="14.25" hidden="false" customHeight="false" outlineLevel="0" collapsed="false">
      <c r="A2269" s="0" t="n">
        <v>94</v>
      </c>
      <c r="B2269" s="0" t="n">
        <v>2025</v>
      </c>
      <c r="C2269" s="3" t="n">
        <v>45723</v>
      </c>
      <c r="E2269" s="20" t="s">
        <v>72</v>
      </c>
      <c r="F2269" s="21" t="s">
        <v>49</v>
      </c>
      <c r="L2269" s="0" t="str">
        <f aca="false">IF(H2269&gt;I2269,"ERRO","OK")</f>
        <v>OK</v>
      </c>
      <c r="M2269" s="0" t="str">
        <f aca="false">IF(H2269&gt;J2269,"ERRO","OK")</f>
        <v>OK</v>
      </c>
      <c r="N2269" s="0" t="str">
        <f aca="false">IF(I2269&lt;J2269,"ERRO","OK")</f>
        <v>OK</v>
      </c>
    </row>
    <row r="2270" customFormat="false" ht="14.25" hidden="false" customHeight="false" outlineLevel="0" collapsed="false">
      <c r="A2270" s="0" t="n">
        <v>94</v>
      </c>
      <c r="B2270" s="0" t="n">
        <v>2025</v>
      </c>
      <c r="C2270" s="3" t="n">
        <v>45723</v>
      </c>
      <c r="E2270" s="20" t="s">
        <v>73</v>
      </c>
      <c r="F2270" s="21" t="s">
        <v>49</v>
      </c>
      <c r="L2270" s="0" t="str">
        <f aca="false">IF(H2270&gt;I2270,"ERRO","OK")</f>
        <v>OK</v>
      </c>
      <c r="M2270" s="0" t="str">
        <f aca="false">IF(H2270&gt;J2270,"ERRO","OK")</f>
        <v>OK</v>
      </c>
      <c r="N2270" s="0" t="str">
        <f aca="false">IF(I2270&lt;J2270,"ERRO","OK")</f>
        <v>OK</v>
      </c>
    </row>
    <row r="2271" customFormat="false" ht="14.25" hidden="false" customHeight="false" outlineLevel="0" collapsed="false">
      <c r="A2271" s="0" t="n">
        <v>94</v>
      </c>
      <c r="B2271" s="0" t="n">
        <v>2025</v>
      </c>
      <c r="C2271" s="3" t="n">
        <v>45723</v>
      </c>
      <c r="E2271" s="20" t="s">
        <v>74</v>
      </c>
      <c r="F2271" s="21" t="s">
        <v>75</v>
      </c>
      <c r="L2271" s="0" t="str">
        <f aca="false">IF(H2271&gt;I2271,"ERRO","OK")</f>
        <v>OK</v>
      </c>
      <c r="M2271" s="0" t="str">
        <f aca="false">IF(H2271&gt;J2271,"ERRO","OK")</f>
        <v>OK</v>
      </c>
      <c r="N2271" s="0" t="str">
        <f aca="false">IF(I2271&lt;J2271,"ERRO","OK")</f>
        <v>OK</v>
      </c>
    </row>
    <row r="2272" customFormat="false" ht="14.25" hidden="false" customHeight="false" outlineLevel="0" collapsed="false">
      <c r="A2272" s="0" t="n">
        <v>95</v>
      </c>
      <c r="B2272" s="0" t="n">
        <v>2025</v>
      </c>
      <c r="C2272" s="3" t="n">
        <v>45730</v>
      </c>
      <c r="E2272" s="0" t="s">
        <v>16</v>
      </c>
      <c r="F2272" s="0" t="s">
        <v>17</v>
      </c>
      <c r="H2272" s="0" t="s">
        <v>370</v>
      </c>
      <c r="I2272" s="0" t="s">
        <v>428</v>
      </c>
      <c r="J2272" s="0" t="s">
        <v>428</v>
      </c>
      <c r="K2272" s="0" t="s">
        <v>372</v>
      </c>
      <c r="L2272" s="0" t="str">
        <f aca="false">IF(H2272&gt;I2272,"ERRO","OK")</f>
        <v>OK</v>
      </c>
      <c r="M2272" s="0" t="str">
        <f aca="false">IF(H2272&gt;J2272,"ERRO","OK")</f>
        <v>OK</v>
      </c>
      <c r="N2272" s="0" t="str">
        <f aca="false">IF(I2272&lt;J2272,"ERRO","OK")</f>
        <v>OK</v>
      </c>
    </row>
    <row r="2273" customFormat="false" ht="14.25" hidden="false" customHeight="false" outlineLevel="0" collapsed="false">
      <c r="A2273" s="0" t="n">
        <v>95</v>
      </c>
      <c r="B2273" s="0" t="n">
        <v>2025</v>
      </c>
      <c r="C2273" s="3" t="n">
        <v>45730</v>
      </c>
      <c r="E2273" s="0" t="s">
        <v>18</v>
      </c>
      <c r="F2273" s="0" t="s">
        <v>17</v>
      </c>
      <c r="H2273" s="0" t="s">
        <v>369</v>
      </c>
      <c r="I2273" s="0" t="s">
        <v>372</v>
      </c>
      <c r="J2273" s="0" t="s">
        <v>372</v>
      </c>
      <c r="K2273" s="0" t="s">
        <v>485</v>
      </c>
      <c r="L2273" s="0" t="str">
        <f aca="false">IF(H2273&gt;I2273,"ERRO","OK")</f>
        <v>OK</v>
      </c>
      <c r="M2273" s="0" t="str">
        <f aca="false">IF(H2273&gt;J2273,"ERRO","OK")</f>
        <v>OK</v>
      </c>
      <c r="N2273" s="0" t="str">
        <f aca="false">IF(I2273&lt;J2273,"ERRO","OK")</f>
        <v>OK</v>
      </c>
    </row>
    <row r="2274" customFormat="false" ht="14.25" hidden="false" customHeight="false" outlineLevel="0" collapsed="false">
      <c r="A2274" s="0" t="n">
        <v>95</v>
      </c>
      <c r="B2274" s="0" t="n">
        <v>2025</v>
      </c>
      <c r="C2274" s="3" t="n">
        <v>45730</v>
      </c>
      <c r="E2274" s="0" t="s">
        <v>19</v>
      </c>
      <c r="F2274" s="0" t="s">
        <v>17</v>
      </c>
      <c r="G2274" s="0" t="s">
        <v>369</v>
      </c>
      <c r="H2274" s="0" t="s">
        <v>375</v>
      </c>
      <c r="I2274" s="0" t="s">
        <v>498</v>
      </c>
      <c r="J2274" s="0" t="s">
        <v>369</v>
      </c>
      <c r="K2274" s="0" t="s">
        <v>369</v>
      </c>
      <c r="L2274" s="0" t="str">
        <f aca="false">IF(H2274&gt;I2274,"ERRO","OK")</f>
        <v>OK</v>
      </c>
      <c r="M2274" s="0" t="str">
        <f aca="false">IF(H2274&gt;J2274,"ERRO","OK")</f>
        <v>OK</v>
      </c>
      <c r="N2274" s="0" t="str">
        <f aca="false">IF(I2274&lt;J2274,"ERRO","OK")</f>
        <v>ERRO</v>
      </c>
    </row>
    <row r="2275" customFormat="false" ht="14.25" hidden="false" customHeight="false" outlineLevel="0" collapsed="false">
      <c r="A2275" s="0" t="n">
        <v>95</v>
      </c>
      <c r="B2275" s="0" t="n">
        <v>2025</v>
      </c>
      <c r="C2275" s="3" t="n">
        <v>45730</v>
      </c>
      <c r="E2275" s="0" t="s">
        <v>20</v>
      </c>
      <c r="F2275" s="0" t="s">
        <v>17</v>
      </c>
      <c r="G2275" s="0" t="s">
        <v>374</v>
      </c>
      <c r="H2275" s="0" t="s">
        <v>374</v>
      </c>
      <c r="I2275" s="0" t="s">
        <v>596</v>
      </c>
      <c r="J2275" s="0" t="s">
        <v>442</v>
      </c>
      <c r="K2275" s="0" t="s">
        <v>374</v>
      </c>
      <c r="L2275" s="0" t="str">
        <f aca="false">IF(H2275&gt;I2275,"ERRO","OK")</f>
        <v>OK</v>
      </c>
      <c r="M2275" s="0" t="str">
        <f aca="false">IF(H2275&gt;J2275,"ERRO","OK")</f>
        <v>OK</v>
      </c>
      <c r="N2275" s="0" t="str">
        <f aca="false">IF(I2275&lt;J2275,"ERRO","OK")</f>
        <v>ERRO</v>
      </c>
    </row>
    <row r="2276" customFormat="false" ht="14.25" hidden="false" customHeight="false" outlineLevel="0" collapsed="false">
      <c r="A2276" s="0" t="n">
        <v>95</v>
      </c>
      <c r="B2276" s="0" t="n">
        <v>2025</v>
      </c>
      <c r="C2276" s="3" t="n">
        <v>45730</v>
      </c>
      <c r="E2276" s="0" t="s">
        <v>21</v>
      </c>
      <c r="F2276" s="0" t="s">
        <v>17</v>
      </c>
      <c r="G2276" s="0" t="s">
        <v>374</v>
      </c>
      <c r="H2276" s="0" t="s">
        <v>374</v>
      </c>
      <c r="I2276" s="0" t="s">
        <v>374</v>
      </c>
      <c r="J2276" s="0" t="s">
        <v>374</v>
      </c>
      <c r="K2276" s="0" t="s">
        <v>374</v>
      </c>
      <c r="L2276" s="0" t="str">
        <f aca="false">IF(H2276&gt;I2276,"ERRO","OK")</f>
        <v>OK</v>
      </c>
      <c r="M2276" s="0" t="str">
        <f aca="false">IF(H2276&gt;J2276,"ERRO","OK")</f>
        <v>OK</v>
      </c>
      <c r="N2276" s="0" t="str">
        <f aca="false">IF(I2276&lt;J2276,"ERRO","OK")</f>
        <v>OK</v>
      </c>
    </row>
    <row r="2277" customFormat="false" ht="14.25" hidden="false" customHeight="false" outlineLevel="0" collapsed="false">
      <c r="A2277" s="0" t="n">
        <v>95</v>
      </c>
      <c r="B2277" s="0" t="n">
        <v>2025</v>
      </c>
      <c r="C2277" s="3" t="n">
        <v>45730</v>
      </c>
      <c r="E2277" s="0" t="s">
        <v>22</v>
      </c>
      <c r="F2277" s="0" t="s">
        <v>17</v>
      </c>
      <c r="H2277" s="0" t="s">
        <v>370</v>
      </c>
      <c r="I2277" s="0" t="s">
        <v>372</v>
      </c>
      <c r="J2277" s="0" t="s">
        <v>372</v>
      </c>
      <c r="K2277" s="0" t="s">
        <v>373</v>
      </c>
      <c r="L2277" s="0" t="str">
        <f aca="false">IF(H2277&gt;I2277,"ERRO","OK")</f>
        <v>OK</v>
      </c>
      <c r="M2277" s="0" t="str">
        <f aca="false">IF(H2277&gt;J2277,"ERRO","OK")</f>
        <v>OK</v>
      </c>
      <c r="N2277" s="0" t="str">
        <f aca="false">IF(I2277&lt;J2277,"ERRO","OK")</f>
        <v>OK</v>
      </c>
    </row>
    <row r="2278" customFormat="false" ht="14.25" hidden="false" customHeight="false" outlineLevel="0" collapsed="false">
      <c r="A2278" s="0" t="n">
        <v>95</v>
      </c>
      <c r="B2278" s="0" t="n">
        <v>2025</v>
      </c>
      <c r="C2278" s="3" t="n">
        <v>45730</v>
      </c>
      <c r="E2278" s="0" t="s">
        <v>23</v>
      </c>
      <c r="F2278" s="0" t="s">
        <v>17</v>
      </c>
      <c r="H2278" s="0" t="s">
        <v>417</v>
      </c>
      <c r="I2278" s="0" t="s">
        <v>580</v>
      </c>
      <c r="J2278" s="0" t="s">
        <v>609</v>
      </c>
      <c r="K2278" s="0" t="s">
        <v>609</v>
      </c>
      <c r="L2278" s="0" t="str">
        <f aca="false">IF(H2278&gt;I2278,"ERRO","OK")</f>
        <v>ERRO</v>
      </c>
      <c r="M2278" s="0" t="str">
        <f aca="false">IF(H2278&gt;J2278,"ERRO","OK")</f>
        <v>OK</v>
      </c>
      <c r="N2278" s="0" t="str">
        <f aca="false">IF(I2278&lt;J2278,"ERRO","OK")</f>
        <v>ERRO</v>
      </c>
    </row>
    <row r="2279" customFormat="false" ht="14.25" hidden="false" customHeight="false" outlineLevel="0" collapsed="false">
      <c r="A2279" s="0" t="n">
        <v>95</v>
      </c>
      <c r="B2279" s="0" t="n">
        <v>2025</v>
      </c>
      <c r="C2279" s="3" t="n">
        <v>45730</v>
      </c>
      <c r="E2279" s="0" t="s">
        <v>24</v>
      </c>
      <c r="F2279" s="0" t="s">
        <v>17</v>
      </c>
      <c r="H2279" s="0" t="s">
        <v>373</v>
      </c>
      <c r="I2279" s="0" t="s">
        <v>417</v>
      </c>
      <c r="J2279" s="0" t="s">
        <v>582</v>
      </c>
      <c r="K2279" s="0" t="s">
        <v>481</v>
      </c>
      <c r="L2279" s="0" t="str">
        <f aca="false">IF(H2279&gt;I2279,"ERRO","OK")</f>
        <v>OK</v>
      </c>
      <c r="M2279" s="0" t="str">
        <f aca="false">IF(H2279&gt;J2279,"ERRO","OK")</f>
        <v>ERRO</v>
      </c>
      <c r="N2279" s="0" t="str">
        <f aca="false">IF(I2279&lt;J2279,"ERRO","OK")</f>
        <v>OK</v>
      </c>
    </row>
    <row r="2280" customFormat="false" ht="14.25" hidden="false" customHeight="false" outlineLevel="0" collapsed="false">
      <c r="A2280" s="0" t="n">
        <v>95</v>
      </c>
      <c r="B2280" s="0" t="n">
        <v>2025</v>
      </c>
      <c r="C2280" s="3" t="n">
        <v>45730</v>
      </c>
      <c r="E2280" s="0" t="s">
        <v>25</v>
      </c>
      <c r="F2280" s="0" t="s">
        <v>17</v>
      </c>
      <c r="G2280" s="0" t="s">
        <v>374</v>
      </c>
      <c r="H2280" s="0" t="s">
        <v>374</v>
      </c>
      <c r="I2280" s="0" t="s">
        <v>442</v>
      </c>
      <c r="J2280" s="0" t="s">
        <v>596</v>
      </c>
      <c r="K2280" s="0" t="s">
        <v>374</v>
      </c>
      <c r="L2280" s="0" t="str">
        <f aca="false">IF(H2280&gt;I2280,"ERRO","OK")</f>
        <v>OK</v>
      </c>
      <c r="M2280" s="0" t="str">
        <f aca="false">IF(H2280&gt;J2280,"ERRO","OK")</f>
        <v>OK</v>
      </c>
      <c r="N2280" s="0" t="str">
        <f aca="false">IF(I2280&lt;J2280,"ERRO","OK")</f>
        <v>OK</v>
      </c>
    </row>
    <row r="2281" customFormat="false" ht="14.25" hidden="false" customHeight="false" outlineLevel="0" collapsed="false">
      <c r="A2281" s="0" t="n">
        <v>95</v>
      </c>
      <c r="B2281" s="0" t="n">
        <v>2025</v>
      </c>
      <c r="C2281" s="3" t="n">
        <v>45730</v>
      </c>
      <c r="E2281" s="0" t="s">
        <v>77</v>
      </c>
      <c r="F2281" s="0" t="s">
        <v>17</v>
      </c>
      <c r="H2281" s="0" t="s">
        <v>485</v>
      </c>
      <c r="I2281" s="0" t="s">
        <v>413</v>
      </c>
      <c r="J2281" s="0" t="s">
        <v>580</v>
      </c>
      <c r="K2281" s="0" t="s">
        <v>580</v>
      </c>
      <c r="L2281" s="0" t="str">
        <f aca="false">IF(H2281&gt;I2281,"ERRO","OK")</f>
        <v>ERRO</v>
      </c>
      <c r="M2281" s="0" t="str">
        <f aca="false">IF(H2281&gt;J2281,"ERRO","OK")</f>
        <v>ERRO</v>
      </c>
      <c r="N2281" s="0" t="str">
        <f aca="false">IF(I2281&lt;J2281,"ERRO","OK")</f>
        <v>OK</v>
      </c>
    </row>
    <row r="2282" customFormat="false" ht="14.25" hidden="false" customHeight="false" outlineLevel="0" collapsed="false">
      <c r="A2282" s="0" t="n">
        <v>95</v>
      </c>
      <c r="B2282" s="0" t="n">
        <v>2025</v>
      </c>
      <c r="C2282" s="3" t="n">
        <v>45730</v>
      </c>
      <c r="E2282" s="0" t="s">
        <v>27</v>
      </c>
      <c r="F2282" s="0" t="s">
        <v>17</v>
      </c>
      <c r="G2282" s="0" t="s">
        <v>374</v>
      </c>
      <c r="H2282" s="0" t="s">
        <v>374</v>
      </c>
      <c r="I2282" s="0" t="s">
        <v>374</v>
      </c>
      <c r="J2282" s="0" t="s">
        <v>374</v>
      </c>
      <c r="K2282" s="0" t="s">
        <v>374</v>
      </c>
      <c r="L2282" s="0" t="str">
        <f aca="false">IF(H2282&gt;I2282,"ERRO","OK")</f>
        <v>OK</v>
      </c>
      <c r="M2282" s="0" t="str">
        <f aca="false">IF(H2282&gt;J2282,"ERRO","OK")</f>
        <v>OK</v>
      </c>
      <c r="N2282" s="0" t="str">
        <f aca="false">IF(I2282&lt;J2282,"ERRO","OK")</f>
        <v>OK</v>
      </c>
    </row>
    <row r="2283" customFormat="false" ht="14.25" hidden="false" customHeight="false" outlineLevel="0" collapsed="false">
      <c r="A2283" s="0" t="n">
        <v>95</v>
      </c>
      <c r="B2283" s="0" t="n">
        <v>2025</v>
      </c>
      <c r="C2283" s="3" t="n">
        <v>45730</v>
      </c>
      <c r="E2283" s="0" t="s">
        <v>28</v>
      </c>
      <c r="F2283" s="0" t="s">
        <v>17</v>
      </c>
      <c r="H2283" s="0" t="s">
        <v>372</v>
      </c>
      <c r="I2283" s="0" t="s">
        <v>485</v>
      </c>
      <c r="J2283" s="0" t="s">
        <v>373</v>
      </c>
      <c r="K2283" s="0" t="s">
        <v>373</v>
      </c>
      <c r="L2283" s="0" t="str">
        <f aca="false">IF(H2283&gt;I2283,"ERRO","OK")</f>
        <v>OK</v>
      </c>
      <c r="M2283" s="0" t="str">
        <f aca="false">IF(H2283&gt;J2283,"ERRO","OK")</f>
        <v>OK</v>
      </c>
      <c r="N2283" s="0" t="str">
        <f aca="false">IF(I2283&lt;J2283,"ERRO","OK")</f>
        <v>OK</v>
      </c>
    </row>
    <row r="2284" customFormat="false" ht="14.25" hidden="false" customHeight="false" outlineLevel="0" collapsed="false">
      <c r="A2284" s="0" t="n">
        <v>95</v>
      </c>
      <c r="B2284" s="0" t="n">
        <v>2025</v>
      </c>
      <c r="C2284" s="3" t="n">
        <v>45730</v>
      </c>
      <c r="E2284" s="0" t="s">
        <v>29</v>
      </c>
      <c r="F2284" s="0" t="s">
        <v>30</v>
      </c>
      <c r="G2284" s="0" t="s">
        <v>370</v>
      </c>
      <c r="H2284" s="0" t="s">
        <v>370</v>
      </c>
      <c r="I2284" s="0" t="s">
        <v>372</v>
      </c>
      <c r="J2284" s="0" t="s">
        <v>381</v>
      </c>
      <c r="K2284" s="0" t="s">
        <v>370</v>
      </c>
      <c r="L2284" s="0" t="str">
        <f aca="false">IF(H2284&gt;I2284,"ERRO","OK")</f>
        <v>OK</v>
      </c>
      <c r="M2284" s="0" t="str">
        <f aca="false">IF(H2284&gt;J2284,"ERRO","OK")</f>
        <v>OK</v>
      </c>
      <c r="N2284" s="0" t="str">
        <f aca="false">IF(I2284&lt;J2284,"ERRO","OK")</f>
        <v>OK</v>
      </c>
    </row>
    <row r="2285" customFormat="false" ht="14.25" hidden="false" customHeight="false" outlineLevel="0" collapsed="false">
      <c r="A2285" s="0" t="n">
        <v>95</v>
      </c>
      <c r="B2285" s="0" t="n">
        <v>2025</v>
      </c>
      <c r="C2285" s="3" t="n">
        <v>45730</v>
      </c>
      <c r="E2285" s="0" t="s">
        <v>31</v>
      </c>
      <c r="F2285" s="0" t="s">
        <v>17</v>
      </c>
      <c r="H2285" s="0" t="s">
        <v>370</v>
      </c>
      <c r="I2285" s="0" t="s">
        <v>485</v>
      </c>
      <c r="J2285" s="0" t="s">
        <v>429</v>
      </c>
      <c r="K2285" s="0" t="s">
        <v>429</v>
      </c>
      <c r="L2285" s="0" t="str">
        <f aca="false">IF(H2285&gt;I2285,"ERRO","OK")</f>
        <v>OK</v>
      </c>
      <c r="M2285" s="0" t="str">
        <f aca="false">IF(H2285&gt;J2285,"ERRO","OK")</f>
        <v>OK</v>
      </c>
      <c r="N2285" s="0" t="str">
        <f aca="false">IF(I2285&lt;J2285,"ERRO","OK")</f>
        <v>OK</v>
      </c>
    </row>
    <row r="2286" customFormat="false" ht="14.25" hidden="false" customHeight="false" outlineLevel="0" collapsed="false">
      <c r="A2286" s="0" t="n">
        <v>95</v>
      </c>
      <c r="B2286" s="0" t="n">
        <v>2025</v>
      </c>
      <c r="C2286" s="3" t="n">
        <v>45730</v>
      </c>
      <c r="E2286" s="0" t="s">
        <v>32</v>
      </c>
      <c r="F2286" s="0" t="s">
        <v>17</v>
      </c>
      <c r="H2286" s="0" t="s">
        <v>405</v>
      </c>
      <c r="I2286" s="0" t="s">
        <v>406</v>
      </c>
      <c r="J2286" s="0" t="s">
        <v>610</v>
      </c>
      <c r="K2286" s="0" t="s">
        <v>373</v>
      </c>
      <c r="L2286" s="0" t="str">
        <f aca="false">IF(H2286&gt;I2286,"ERRO","OK")</f>
        <v>OK</v>
      </c>
      <c r="M2286" s="0" t="str">
        <f aca="false">IF(H2286&gt;J2286,"ERRO","OK")</f>
        <v>OK</v>
      </c>
      <c r="N2286" s="0" t="str">
        <f aca="false">IF(I2286&lt;J2286,"ERRO","OK")</f>
        <v>ERRO</v>
      </c>
    </row>
    <row r="2287" customFormat="false" ht="14.25" hidden="false" customHeight="false" outlineLevel="0" collapsed="false">
      <c r="A2287" s="0" t="n">
        <v>95</v>
      </c>
      <c r="B2287" s="0" t="n">
        <v>2025</v>
      </c>
      <c r="C2287" s="3" t="n">
        <v>45730</v>
      </c>
      <c r="E2287" s="0" t="s">
        <v>33</v>
      </c>
      <c r="F2287" s="0" t="s">
        <v>17</v>
      </c>
      <c r="H2287" s="0" t="s">
        <v>369</v>
      </c>
      <c r="I2287" s="0" t="s">
        <v>435</v>
      </c>
      <c r="J2287" s="0" t="s">
        <v>371</v>
      </c>
      <c r="K2287" s="0" t="s">
        <v>372</v>
      </c>
      <c r="L2287" s="0" t="str">
        <f aca="false">IF(H2287&gt;I2287,"ERRO","OK")</f>
        <v>OK</v>
      </c>
      <c r="M2287" s="0" t="str">
        <f aca="false">IF(H2287&gt;J2287,"ERRO","OK")</f>
        <v>OK</v>
      </c>
      <c r="N2287" s="0" t="str">
        <f aca="false">IF(I2287&lt;J2287,"ERRO","OK")</f>
        <v>OK</v>
      </c>
    </row>
    <row r="2288" customFormat="false" ht="14.25" hidden="false" customHeight="false" outlineLevel="0" collapsed="false">
      <c r="A2288" s="0" t="n">
        <v>95</v>
      </c>
      <c r="B2288" s="0" t="n">
        <v>2025</v>
      </c>
      <c r="C2288" s="3" t="n">
        <v>45730</v>
      </c>
      <c r="E2288" s="0" t="s">
        <v>35</v>
      </c>
      <c r="F2288" s="0" t="s">
        <v>36</v>
      </c>
      <c r="G2288" s="0" t="s">
        <v>390</v>
      </c>
      <c r="H2288" s="0" t="s">
        <v>390</v>
      </c>
      <c r="I2288" s="0" t="s">
        <v>611</v>
      </c>
      <c r="J2288" s="0" t="s">
        <v>390</v>
      </c>
      <c r="K2288" s="0" t="s">
        <v>612</v>
      </c>
      <c r="L2288" s="0" t="str">
        <f aca="false">IF(H2288&gt;I2288,"ERRO","OK")</f>
        <v>OK</v>
      </c>
      <c r="M2288" s="0" t="str">
        <f aca="false">IF(H2288&gt;J2288,"ERRO","OK")</f>
        <v>OK</v>
      </c>
      <c r="N2288" s="0" t="str">
        <f aca="false">IF(I2288&lt;J2288,"ERRO","OK")</f>
        <v>OK</v>
      </c>
    </row>
    <row r="2289" customFormat="false" ht="14.25" hidden="false" customHeight="false" outlineLevel="0" collapsed="false">
      <c r="A2289" s="0" t="n">
        <v>95</v>
      </c>
      <c r="B2289" s="0" t="n">
        <v>2025</v>
      </c>
      <c r="C2289" s="3" t="n">
        <v>45730</v>
      </c>
      <c r="E2289" s="0" t="s">
        <v>38</v>
      </c>
      <c r="F2289" s="0" t="s">
        <v>39</v>
      </c>
      <c r="G2289" s="0" t="s">
        <v>402</v>
      </c>
      <c r="H2289" s="0" t="s">
        <v>402</v>
      </c>
      <c r="I2289" s="0" t="s">
        <v>402</v>
      </c>
      <c r="J2289" s="0" t="s">
        <v>402</v>
      </c>
      <c r="K2289" s="0" t="s">
        <v>402</v>
      </c>
      <c r="L2289" s="0" t="str">
        <f aca="false">IF(H2289&gt;I2289,"ERRO","OK")</f>
        <v>OK</v>
      </c>
      <c r="M2289" s="0" t="str">
        <f aca="false">IF(H2289&gt;J2289,"ERRO","OK")</f>
        <v>OK</v>
      </c>
      <c r="N2289" s="0" t="str">
        <f aca="false">IF(I2289&lt;J2289,"ERRO","OK")</f>
        <v>OK</v>
      </c>
    </row>
    <row r="2290" customFormat="false" ht="14.25" hidden="false" customHeight="false" outlineLevel="0" collapsed="false">
      <c r="A2290" s="0" t="n">
        <v>95</v>
      </c>
      <c r="B2290" s="0" t="n">
        <v>2025</v>
      </c>
      <c r="C2290" s="3" t="n">
        <v>45730</v>
      </c>
      <c r="E2290" s="0" t="s">
        <v>40</v>
      </c>
      <c r="F2290" s="0" t="s">
        <v>39</v>
      </c>
      <c r="H2290" s="0" t="s">
        <v>374</v>
      </c>
      <c r="I2290" s="0" t="s">
        <v>409</v>
      </c>
      <c r="J2290" s="0" t="s">
        <v>400</v>
      </c>
      <c r="K2290" s="0" t="s">
        <v>400</v>
      </c>
      <c r="L2290" s="0" t="str">
        <f aca="false">IF(H2290&gt;I2290,"ERRO","OK")</f>
        <v>OK</v>
      </c>
      <c r="M2290" s="0" t="str">
        <f aca="false">IF(H2290&gt;J2290,"ERRO","OK")</f>
        <v>OK</v>
      </c>
      <c r="N2290" s="0" t="str">
        <f aca="false">IF(I2290&lt;J2290,"ERRO","OK")</f>
        <v>OK</v>
      </c>
    </row>
    <row r="2291" customFormat="false" ht="14.25" hidden="false" customHeight="false" outlineLevel="0" collapsed="false">
      <c r="A2291" s="0" t="n">
        <v>95</v>
      </c>
      <c r="B2291" s="0" t="n">
        <v>2025</v>
      </c>
      <c r="C2291" s="3" t="n">
        <v>45730</v>
      </c>
      <c r="E2291" s="0" t="s">
        <v>157</v>
      </c>
      <c r="F2291" s="0" t="s">
        <v>158</v>
      </c>
      <c r="G2291" s="0" t="s">
        <v>408</v>
      </c>
      <c r="H2291" s="0" t="s">
        <v>370</v>
      </c>
      <c r="I2291" s="0" t="s">
        <v>370</v>
      </c>
      <c r="J2291" s="0" t="s">
        <v>487</v>
      </c>
      <c r="K2291" s="0" t="s">
        <v>382</v>
      </c>
      <c r="L2291" s="0" t="str">
        <f aca="false">IF(H2291&gt;I2291,"ERRO","OK")</f>
        <v>OK</v>
      </c>
      <c r="M2291" s="0" t="str">
        <f aca="false">IF(H2291&gt;J2291,"ERRO","OK")</f>
        <v>OK</v>
      </c>
      <c r="N2291" s="0" t="str">
        <f aca="false">IF(I2291&lt;J2291,"ERRO","OK")</f>
        <v>ERRO</v>
      </c>
    </row>
    <row r="2292" customFormat="false" ht="14.25" hidden="false" customHeight="false" outlineLevel="0" collapsed="false">
      <c r="A2292" s="0" t="n">
        <v>95</v>
      </c>
      <c r="B2292" s="0" t="n">
        <v>2025</v>
      </c>
      <c r="C2292" s="3" t="n">
        <v>45730</v>
      </c>
      <c r="E2292" s="0" t="s">
        <v>43</v>
      </c>
      <c r="F2292" s="0" t="s">
        <v>44</v>
      </c>
      <c r="G2292" s="0" t="s">
        <v>405</v>
      </c>
      <c r="H2292" s="0" t="s">
        <v>405</v>
      </c>
      <c r="I2292" s="0" t="s">
        <v>371</v>
      </c>
      <c r="J2292" s="0" t="s">
        <v>405</v>
      </c>
      <c r="K2292" s="0" t="s">
        <v>370</v>
      </c>
      <c r="L2292" s="0" t="str">
        <f aca="false">IF(H2292&gt;I2292,"ERRO","OK")</f>
        <v>OK</v>
      </c>
      <c r="M2292" s="0" t="str">
        <f aca="false">IF(H2292&gt;J2292,"ERRO","OK")</f>
        <v>OK</v>
      </c>
      <c r="N2292" s="0" t="str">
        <f aca="false">IF(I2292&lt;J2292,"ERRO","OK")</f>
        <v>OK</v>
      </c>
    </row>
    <row r="2293" customFormat="false" ht="14.25" hidden="false" customHeight="false" outlineLevel="0" collapsed="false">
      <c r="A2293" s="0" t="n">
        <v>95</v>
      </c>
      <c r="B2293" s="0" t="n">
        <v>2025</v>
      </c>
      <c r="C2293" s="3" t="n">
        <v>45730</v>
      </c>
      <c r="E2293" s="0" t="s">
        <v>46</v>
      </c>
      <c r="F2293" s="0" t="s">
        <v>47</v>
      </c>
      <c r="G2293" s="0" t="s">
        <v>370</v>
      </c>
      <c r="H2293" s="0" t="s">
        <v>406</v>
      </c>
      <c r="I2293" s="0" t="s">
        <v>387</v>
      </c>
      <c r="J2293" s="0" t="s">
        <v>406</v>
      </c>
      <c r="K2293" s="0" t="s">
        <v>406</v>
      </c>
      <c r="L2293" s="0" t="str">
        <f aca="false">IF(H2293&gt;I2293,"ERRO","OK")</f>
        <v>ERRO</v>
      </c>
      <c r="M2293" s="0" t="str">
        <f aca="false">IF(H2293&gt;J2293,"ERRO","OK")</f>
        <v>OK</v>
      </c>
      <c r="N2293" s="0" t="str">
        <f aca="false">IF(I2293&lt;J2293,"ERRO","OK")</f>
        <v>ERRO</v>
      </c>
    </row>
    <row r="2294" customFormat="false" ht="14.25" hidden="false" customHeight="false" outlineLevel="0" collapsed="false">
      <c r="A2294" s="0" t="n">
        <v>95</v>
      </c>
      <c r="B2294" s="0" t="n">
        <v>2025</v>
      </c>
      <c r="C2294" s="3" t="n">
        <v>45730</v>
      </c>
      <c r="E2294" s="0" t="s">
        <v>48</v>
      </c>
      <c r="F2294" s="0" t="s">
        <v>49</v>
      </c>
      <c r="G2294" s="0" t="s">
        <v>370</v>
      </c>
      <c r="H2294" s="0" t="s">
        <v>405</v>
      </c>
      <c r="I2294" s="0" t="s">
        <v>406</v>
      </c>
      <c r="J2294" s="0" t="s">
        <v>479</v>
      </c>
      <c r="K2294" s="0" t="s">
        <v>370</v>
      </c>
      <c r="L2294" s="0" t="str">
        <f aca="false">IF(H2294&gt;I2294,"ERRO","OK")</f>
        <v>OK</v>
      </c>
      <c r="M2294" s="0" t="str">
        <f aca="false">IF(H2294&gt;J2294,"ERRO","OK")</f>
        <v>OK</v>
      </c>
      <c r="N2294" s="0" t="str">
        <f aca="false">IF(I2294&lt;J2294,"ERRO","OK")</f>
        <v>OK</v>
      </c>
    </row>
    <row r="2295" customFormat="false" ht="14.25" hidden="false" customHeight="false" outlineLevel="0" collapsed="false">
      <c r="A2295" s="0" t="n">
        <v>95</v>
      </c>
      <c r="B2295" s="0" t="n">
        <v>2025</v>
      </c>
      <c r="C2295" s="3" t="n">
        <v>45730</v>
      </c>
      <c r="E2295" s="0" t="s">
        <v>52</v>
      </c>
      <c r="F2295" s="0" t="s">
        <v>49</v>
      </c>
      <c r="G2295" s="0" t="s">
        <v>398</v>
      </c>
      <c r="H2295" s="0" t="s">
        <v>398</v>
      </c>
      <c r="I2295" s="0" t="s">
        <v>613</v>
      </c>
      <c r="J2295" s="0" t="s">
        <v>413</v>
      </c>
      <c r="K2295" s="0" t="s">
        <v>497</v>
      </c>
      <c r="L2295" s="0" t="str">
        <f aca="false">IF(H2295&gt;I2295,"ERRO","OK")</f>
        <v>OK</v>
      </c>
      <c r="M2295" s="0" t="str">
        <f aca="false">IF(H2295&gt;J2295,"ERRO","OK")</f>
        <v>ERRO</v>
      </c>
      <c r="N2295" s="0" t="str">
        <f aca="false">IF(I2295&lt;J2295,"ERRO","OK")</f>
        <v>OK</v>
      </c>
    </row>
    <row r="2296" customFormat="false" ht="14.25" hidden="false" customHeight="false" outlineLevel="0" collapsed="false">
      <c r="A2296" s="0" t="n">
        <v>95</v>
      </c>
      <c r="B2296" s="0" t="n">
        <v>2025</v>
      </c>
      <c r="C2296" s="3" t="n">
        <v>45730</v>
      </c>
      <c r="E2296" s="0" t="s">
        <v>53</v>
      </c>
      <c r="F2296" s="0" t="s">
        <v>54</v>
      </c>
      <c r="G2296" s="0" t="s">
        <v>408</v>
      </c>
      <c r="H2296" s="0" t="s">
        <v>370</v>
      </c>
      <c r="I2296" s="0" t="s">
        <v>433</v>
      </c>
      <c r="J2296" s="0" t="s">
        <v>406</v>
      </c>
      <c r="K2296" s="0" t="s">
        <v>370</v>
      </c>
      <c r="L2296" s="0" t="str">
        <f aca="false">IF(H2296&gt;I2296,"ERRO","OK")</f>
        <v>OK</v>
      </c>
      <c r="M2296" s="0" t="str">
        <f aca="false">IF(H2296&gt;J2296,"ERRO","OK")</f>
        <v>OK</v>
      </c>
      <c r="N2296" s="0" t="str">
        <f aca="false">IF(I2296&lt;J2296,"ERRO","OK")</f>
        <v>ERRO</v>
      </c>
    </row>
    <row r="2297" customFormat="false" ht="14.25" hidden="false" customHeight="false" outlineLevel="0" collapsed="false">
      <c r="A2297" s="0" t="n">
        <v>95</v>
      </c>
      <c r="B2297" s="0" t="n">
        <v>2025</v>
      </c>
      <c r="C2297" s="3" t="n">
        <v>45730</v>
      </c>
      <c r="E2297" s="0" t="s">
        <v>56</v>
      </c>
      <c r="F2297" s="0" t="s">
        <v>47</v>
      </c>
      <c r="G2297" s="0" t="s">
        <v>417</v>
      </c>
      <c r="H2297" s="0" t="s">
        <v>398</v>
      </c>
      <c r="I2297" s="0" t="s">
        <v>461</v>
      </c>
      <c r="J2297" s="0" t="s">
        <v>415</v>
      </c>
      <c r="K2297" s="0" t="s">
        <v>417</v>
      </c>
      <c r="L2297" s="0" t="str">
        <f aca="false">IF(H2297&gt;I2297,"ERRO","OK")</f>
        <v>OK</v>
      </c>
      <c r="M2297" s="0" t="str">
        <f aca="false">IF(H2297&gt;J2297,"ERRO","OK")</f>
        <v>ERRO</v>
      </c>
      <c r="N2297" s="0" t="str">
        <f aca="false">IF(I2297&lt;J2297,"ERRO","OK")</f>
        <v>OK</v>
      </c>
    </row>
    <row r="2298" customFormat="false" ht="14.25" hidden="false" customHeight="false" outlineLevel="0" collapsed="false">
      <c r="A2298" s="0" t="n">
        <v>95</v>
      </c>
      <c r="B2298" s="0" t="n">
        <v>2025</v>
      </c>
      <c r="C2298" s="3" t="n">
        <v>45730</v>
      </c>
      <c r="E2298" s="0" t="s">
        <v>57</v>
      </c>
      <c r="F2298" s="0" t="s">
        <v>47</v>
      </c>
      <c r="G2298" s="0" t="s">
        <v>370</v>
      </c>
      <c r="H2298" s="0" t="s">
        <v>370</v>
      </c>
      <c r="I2298" s="0" t="s">
        <v>398</v>
      </c>
      <c r="J2298" s="0" t="s">
        <v>446</v>
      </c>
      <c r="K2298" s="0" t="s">
        <v>406</v>
      </c>
      <c r="L2298" s="0" t="str">
        <f aca="false">IF(H2298&gt;I2298,"ERRO","OK")</f>
        <v>OK</v>
      </c>
      <c r="M2298" s="0" t="str">
        <f aca="false">IF(H2298&gt;J2298,"ERRO","OK")</f>
        <v>OK</v>
      </c>
      <c r="N2298" s="0" t="str">
        <f aca="false">IF(I2298&lt;J2298,"ERRO","OK")</f>
        <v>OK</v>
      </c>
    </row>
    <row r="2299" customFormat="false" ht="14.25" hidden="false" customHeight="false" outlineLevel="0" collapsed="false">
      <c r="A2299" s="0" t="n">
        <v>95</v>
      </c>
      <c r="B2299" s="0" t="n">
        <v>2025</v>
      </c>
      <c r="C2299" s="3" t="n">
        <v>45730</v>
      </c>
      <c r="E2299" s="0" t="s">
        <v>58</v>
      </c>
      <c r="F2299" s="0" t="s">
        <v>44</v>
      </c>
      <c r="G2299" s="0" t="s">
        <v>382</v>
      </c>
      <c r="H2299" s="0" t="s">
        <v>382</v>
      </c>
      <c r="I2299" s="0" t="s">
        <v>427</v>
      </c>
      <c r="J2299" s="0" t="s">
        <v>518</v>
      </c>
      <c r="K2299" s="0" t="s">
        <v>398</v>
      </c>
      <c r="L2299" s="0" t="str">
        <f aca="false">IF(H2299&gt;I2299,"ERRO","OK")</f>
        <v>ERRO</v>
      </c>
      <c r="M2299" s="0" t="str">
        <f aca="false">IF(H2299&gt;J2299,"ERRO","OK")</f>
        <v>OK</v>
      </c>
      <c r="N2299" s="0" t="str">
        <f aca="false">IF(I2299&lt;J2299,"ERRO","OK")</f>
        <v>ERRO</v>
      </c>
    </row>
    <row r="2300" customFormat="false" ht="14.25" hidden="false" customHeight="false" outlineLevel="0" collapsed="false">
      <c r="A2300" s="0" t="n">
        <v>95</v>
      </c>
      <c r="B2300" s="0" t="n">
        <v>2025</v>
      </c>
      <c r="C2300" s="3" t="n">
        <v>45730</v>
      </c>
      <c r="E2300" s="0" t="s">
        <v>60</v>
      </c>
      <c r="F2300" s="0" t="s">
        <v>47</v>
      </c>
      <c r="H2300" s="0" t="s">
        <v>405</v>
      </c>
      <c r="I2300" s="0" t="s">
        <v>398</v>
      </c>
      <c r="J2300" s="0" t="s">
        <v>614</v>
      </c>
      <c r="K2300" s="0" t="s">
        <v>397</v>
      </c>
      <c r="L2300" s="0" t="str">
        <f aca="false">IF(H2300&gt;I2300,"ERRO","OK")</f>
        <v>OK</v>
      </c>
      <c r="M2300" s="0" t="str">
        <f aca="false">IF(H2300&gt;J2300,"ERRO","OK")</f>
        <v>OK</v>
      </c>
      <c r="N2300" s="0" t="str">
        <f aca="false">IF(I2300&lt;J2300,"ERRO","OK")</f>
        <v>OK</v>
      </c>
    </row>
    <row r="2301" customFormat="false" ht="14.25" hidden="false" customHeight="false" outlineLevel="0" collapsed="false">
      <c r="A2301" s="0" t="n">
        <v>95</v>
      </c>
      <c r="B2301" s="0" t="n">
        <v>2025</v>
      </c>
      <c r="C2301" s="3" t="n">
        <v>45730</v>
      </c>
      <c r="E2301" s="0" t="s">
        <v>61</v>
      </c>
      <c r="F2301" s="0" t="s">
        <v>44</v>
      </c>
      <c r="H2301" s="0" t="s">
        <v>402</v>
      </c>
      <c r="I2301" s="0" t="s">
        <v>398</v>
      </c>
      <c r="J2301" s="0" t="s">
        <v>403</v>
      </c>
      <c r="K2301" s="0" t="s">
        <v>403</v>
      </c>
      <c r="L2301" s="0" t="str">
        <f aca="false">IF(H2301&gt;I2301,"ERRO","OK")</f>
        <v>OK</v>
      </c>
      <c r="M2301" s="0" t="str">
        <f aca="false">IF(H2301&gt;J2301,"ERRO","OK")</f>
        <v>OK</v>
      </c>
      <c r="N2301" s="0" t="str">
        <f aca="false">IF(I2301&lt;J2301,"ERRO","OK")</f>
        <v>OK</v>
      </c>
    </row>
    <row r="2302" customFormat="false" ht="14.25" hidden="false" customHeight="false" outlineLevel="0" collapsed="false">
      <c r="A2302" s="0" t="n">
        <v>95</v>
      </c>
      <c r="B2302" s="0" t="n">
        <v>2025</v>
      </c>
      <c r="C2302" s="3" t="n">
        <v>45730</v>
      </c>
      <c r="E2302" s="0" t="s">
        <v>62</v>
      </c>
      <c r="F2302" s="0" t="s">
        <v>44</v>
      </c>
      <c r="G2302" s="0" t="s">
        <v>398</v>
      </c>
      <c r="H2302" s="0" t="s">
        <v>427</v>
      </c>
      <c r="I2302" s="0" t="s">
        <v>427</v>
      </c>
      <c r="J2302" s="0" t="s">
        <v>415</v>
      </c>
      <c r="K2302" s="0" t="s">
        <v>615</v>
      </c>
      <c r="L2302" s="0" t="str">
        <f aca="false">IF(H2302&gt;I2302,"ERRO","OK")</f>
        <v>OK</v>
      </c>
      <c r="M2302" s="0" t="str">
        <f aca="false">IF(H2302&gt;J2302,"ERRO","OK")</f>
        <v>OK</v>
      </c>
      <c r="N2302" s="0" t="str">
        <f aca="false">IF(I2302&lt;J2302,"ERRO","OK")</f>
        <v>ERRO</v>
      </c>
    </row>
    <row r="2303" customFormat="false" ht="14.25" hidden="false" customHeight="false" outlineLevel="0" collapsed="false">
      <c r="A2303" s="0" t="n">
        <v>95</v>
      </c>
      <c r="B2303" s="0" t="n">
        <v>2025</v>
      </c>
      <c r="C2303" s="3" t="n">
        <v>45730</v>
      </c>
      <c r="E2303" s="0" t="s">
        <v>63</v>
      </c>
      <c r="F2303" s="0" t="s">
        <v>49</v>
      </c>
      <c r="G2303" s="0" t="s">
        <v>370</v>
      </c>
      <c r="H2303" s="0" t="s">
        <v>409</v>
      </c>
      <c r="I2303" s="0" t="s">
        <v>445</v>
      </c>
      <c r="J2303" s="0" t="s">
        <v>382</v>
      </c>
      <c r="K2303" s="0" t="s">
        <v>370</v>
      </c>
      <c r="L2303" s="0" t="str">
        <f aca="false">IF(H2303&gt;I2303,"ERRO","OK")</f>
        <v>OK</v>
      </c>
      <c r="M2303" s="0" t="str">
        <f aca="false">IF(H2303&gt;J2303,"ERRO","OK")</f>
        <v>OK</v>
      </c>
      <c r="N2303" s="0" t="str">
        <f aca="false">IF(I2303&lt;J2303,"ERRO","OK")</f>
        <v>ERRO</v>
      </c>
    </row>
    <row r="2304" customFormat="false" ht="14.25" hidden="false" customHeight="false" outlineLevel="0" collapsed="false">
      <c r="A2304" s="0" t="n">
        <v>95</v>
      </c>
      <c r="B2304" s="0" t="n">
        <v>2025</v>
      </c>
      <c r="C2304" s="3" t="n">
        <v>45730</v>
      </c>
      <c r="E2304" s="0" t="s">
        <v>64</v>
      </c>
      <c r="F2304" s="0" t="s">
        <v>65</v>
      </c>
      <c r="G2304" s="0" t="s">
        <v>427</v>
      </c>
      <c r="H2304" s="0" t="s">
        <v>398</v>
      </c>
      <c r="I2304" s="0" t="s">
        <v>427</v>
      </c>
      <c r="J2304" s="0" t="s">
        <v>586</v>
      </c>
      <c r="K2304" s="0" t="s">
        <v>420</v>
      </c>
      <c r="L2304" s="0" t="str">
        <f aca="false">IF(H2304&gt;I2304,"ERRO","OK")</f>
        <v>ERRO</v>
      </c>
      <c r="M2304" s="0" t="str">
        <f aca="false">IF(H2304&gt;J2304,"ERRO","OK")</f>
        <v>ERRO</v>
      </c>
      <c r="N2304" s="0" t="str">
        <f aca="false">IF(I2304&lt;J2304,"ERRO","OK")</f>
        <v>ERRO</v>
      </c>
    </row>
    <row r="2305" customFormat="false" ht="14.25" hidden="false" customHeight="false" outlineLevel="0" collapsed="false">
      <c r="A2305" s="0" t="n">
        <v>95</v>
      </c>
      <c r="B2305" s="0" t="n">
        <v>2025</v>
      </c>
      <c r="C2305" s="3" t="n">
        <v>45730</v>
      </c>
      <c r="E2305" s="0" t="s">
        <v>67</v>
      </c>
      <c r="F2305" s="0" t="s">
        <v>44</v>
      </c>
      <c r="H2305" s="0" t="s">
        <v>512</v>
      </c>
      <c r="I2305" s="0" t="s">
        <v>423</v>
      </c>
      <c r="J2305" s="0" t="s">
        <v>421</v>
      </c>
      <c r="K2305" s="0" t="s">
        <v>423</v>
      </c>
      <c r="L2305" s="0" t="str">
        <f aca="false">IF(H2305&gt;I2305,"ERRO","OK")</f>
        <v>OK</v>
      </c>
      <c r="M2305" s="0" t="str">
        <f aca="false">IF(H2305&gt;J2305,"ERRO","OK")</f>
        <v>OK</v>
      </c>
      <c r="N2305" s="0" t="str">
        <f aca="false">IF(I2305&lt;J2305,"ERRO","OK")</f>
        <v>ERRO</v>
      </c>
    </row>
    <row r="2306" customFormat="false" ht="14.25" hidden="false" customHeight="false" outlineLevel="0" collapsed="false">
      <c r="A2306" s="0" t="n">
        <v>95</v>
      </c>
      <c r="B2306" s="0" t="n">
        <v>2025</v>
      </c>
      <c r="C2306" s="3" t="n">
        <v>45730</v>
      </c>
      <c r="E2306" s="0" t="s">
        <v>68</v>
      </c>
      <c r="F2306" s="0" t="s">
        <v>44</v>
      </c>
      <c r="G2306" s="0" t="s">
        <v>427</v>
      </c>
      <c r="H2306" s="0" t="s">
        <v>427</v>
      </c>
      <c r="I2306" s="0" t="s">
        <v>576</v>
      </c>
      <c r="J2306" s="0" t="s">
        <v>512</v>
      </c>
      <c r="K2306" s="0" t="s">
        <v>415</v>
      </c>
      <c r="L2306" s="0" t="str">
        <f aca="false">IF(H2306&gt;I2306,"ERRO","OK")</f>
        <v>OK</v>
      </c>
      <c r="M2306" s="0" t="str">
        <f aca="false">IF(H2306&gt;J2306,"ERRO","OK")</f>
        <v>OK</v>
      </c>
      <c r="N2306" s="0" t="str">
        <f aca="false">IF(I2306&lt;J2306,"ERRO","OK")</f>
        <v>ERRO</v>
      </c>
    </row>
    <row r="2307" customFormat="false" ht="14.25" hidden="false" customHeight="false" outlineLevel="0" collapsed="false">
      <c r="A2307" s="0" t="n">
        <v>95</v>
      </c>
      <c r="B2307" s="0" t="n">
        <v>2025</v>
      </c>
      <c r="C2307" s="3" t="n">
        <v>45730</v>
      </c>
      <c r="E2307" s="20" t="s">
        <v>70</v>
      </c>
      <c r="F2307" s="21" t="s">
        <v>49</v>
      </c>
      <c r="L2307" s="0" t="str">
        <f aca="false">IF(H2307&gt;I2307,"ERRO","OK")</f>
        <v>OK</v>
      </c>
      <c r="M2307" s="0" t="str">
        <f aca="false">IF(H2307&gt;J2307,"ERRO","OK")</f>
        <v>OK</v>
      </c>
      <c r="N2307" s="0" t="str">
        <f aca="false">IF(I2307&lt;J2307,"ERRO","OK")</f>
        <v>OK</v>
      </c>
    </row>
    <row r="2308" customFormat="false" ht="14.25" hidden="false" customHeight="false" outlineLevel="0" collapsed="false">
      <c r="A2308" s="0" t="n">
        <v>95</v>
      </c>
      <c r="B2308" s="0" t="n">
        <v>2025</v>
      </c>
      <c r="C2308" s="3" t="n">
        <v>45730</v>
      </c>
      <c r="E2308" s="20" t="s">
        <v>71</v>
      </c>
      <c r="F2308" s="21" t="s">
        <v>49</v>
      </c>
      <c r="L2308" s="0" t="str">
        <f aca="false">IF(H2308&gt;I2308,"ERRO","OK")</f>
        <v>OK</v>
      </c>
      <c r="M2308" s="0" t="str">
        <f aca="false">IF(H2308&gt;J2308,"ERRO","OK")</f>
        <v>OK</v>
      </c>
      <c r="N2308" s="0" t="str">
        <f aca="false">IF(I2308&lt;J2308,"ERRO","OK")</f>
        <v>OK</v>
      </c>
    </row>
    <row r="2309" customFormat="false" ht="14.25" hidden="false" customHeight="false" outlineLevel="0" collapsed="false">
      <c r="A2309" s="0" t="n">
        <v>95</v>
      </c>
      <c r="B2309" s="0" t="n">
        <v>2025</v>
      </c>
      <c r="C2309" s="3" t="n">
        <v>45730</v>
      </c>
      <c r="E2309" s="20" t="s">
        <v>72</v>
      </c>
      <c r="F2309" s="21" t="s">
        <v>49</v>
      </c>
      <c r="L2309" s="0" t="str">
        <f aca="false">IF(H2309&gt;I2309,"ERRO","OK")</f>
        <v>OK</v>
      </c>
      <c r="M2309" s="0" t="str">
        <f aca="false">IF(H2309&gt;J2309,"ERRO","OK")</f>
        <v>OK</v>
      </c>
      <c r="N2309" s="0" t="str">
        <f aca="false">IF(I2309&lt;J2309,"ERRO","OK")</f>
        <v>OK</v>
      </c>
    </row>
    <row r="2310" customFormat="false" ht="14.25" hidden="false" customHeight="false" outlineLevel="0" collapsed="false">
      <c r="A2310" s="0" t="n">
        <v>95</v>
      </c>
      <c r="B2310" s="0" t="n">
        <v>2025</v>
      </c>
      <c r="C2310" s="3" t="n">
        <v>45730</v>
      </c>
      <c r="E2310" s="20" t="s">
        <v>73</v>
      </c>
      <c r="F2310" s="21" t="s">
        <v>49</v>
      </c>
      <c r="L2310" s="0" t="str">
        <f aca="false">IF(H2310&gt;I2310,"ERRO","OK")</f>
        <v>OK</v>
      </c>
      <c r="M2310" s="0" t="str">
        <f aca="false">IF(H2310&gt;J2310,"ERRO","OK")</f>
        <v>OK</v>
      </c>
      <c r="N2310" s="0" t="str">
        <f aca="false">IF(I2310&lt;J2310,"ERRO","OK")</f>
        <v>OK</v>
      </c>
    </row>
    <row r="2311" customFormat="false" ht="14.25" hidden="false" customHeight="false" outlineLevel="0" collapsed="false">
      <c r="A2311" s="0" t="n">
        <v>95</v>
      </c>
      <c r="B2311" s="0" t="n">
        <v>2025</v>
      </c>
      <c r="C2311" s="3" t="n">
        <v>45730</v>
      </c>
      <c r="E2311" s="20" t="s">
        <v>74</v>
      </c>
      <c r="F2311" s="21" t="s">
        <v>75</v>
      </c>
      <c r="L2311" s="0" t="str">
        <f aca="false">IF(H2311&gt;I2311,"ERRO","OK")</f>
        <v>OK</v>
      </c>
      <c r="M2311" s="0" t="str">
        <f aca="false">IF(H2311&gt;J2311,"ERRO","OK")</f>
        <v>OK</v>
      </c>
      <c r="N2311" s="0" t="str">
        <f aca="false">IF(I2311&lt;J2311,"ERRO","OK")</f>
        <v>OK</v>
      </c>
    </row>
    <row r="2312" customFormat="false" ht="14.25" hidden="false" customHeight="false" outlineLevel="0" collapsed="false">
      <c r="A2312" s="0" t="n">
        <v>96</v>
      </c>
      <c r="B2312" s="0" t="n">
        <v>2025</v>
      </c>
      <c r="C2312" s="3" t="n">
        <v>45737</v>
      </c>
      <c r="E2312" s="0" t="s">
        <v>16</v>
      </c>
      <c r="F2312" s="0" t="s">
        <v>17</v>
      </c>
      <c r="H2312" s="0" t="s">
        <v>370</v>
      </c>
      <c r="I2312" s="0" t="s">
        <v>372</v>
      </c>
      <c r="J2312" s="0" t="s">
        <v>428</v>
      </c>
      <c r="K2312" s="0" t="s">
        <v>428</v>
      </c>
      <c r="L2312" s="0" t="str">
        <f aca="false">IF(H2312&gt;I2312,"ERRO","OK")</f>
        <v>OK</v>
      </c>
      <c r="M2312" s="0" t="str">
        <f aca="false">IF(H2312&gt;J2312,"ERRO","OK")</f>
        <v>OK</v>
      </c>
      <c r="N2312" s="0" t="str">
        <f aca="false">IF(I2312&lt;J2312,"ERRO","OK")</f>
        <v>OK</v>
      </c>
    </row>
    <row r="2313" customFormat="false" ht="14.25" hidden="false" customHeight="false" outlineLevel="0" collapsed="false">
      <c r="A2313" s="0" t="n">
        <v>96</v>
      </c>
      <c r="B2313" s="0" t="n">
        <v>2025</v>
      </c>
      <c r="C2313" s="3" t="n">
        <v>45737</v>
      </c>
      <c r="E2313" s="0" t="s">
        <v>18</v>
      </c>
      <c r="F2313" s="0" t="s">
        <v>17</v>
      </c>
      <c r="H2313" s="0" t="s">
        <v>370</v>
      </c>
      <c r="I2313" s="0" t="s">
        <v>485</v>
      </c>
      <c r="J2313" s="0" t="s">
        <v>429</v>
      </c>
      <c r="K2313" s="0" t="s">
        <v>429</v>
      </c>
      <c r="L2313" s="0" t="str">
        <f aca="false">IF(H2313&gt;I2313,"ERRO","OK")</f>
        <v>OK</v>
      </c>
      <c r="M2313" s="0" t="str">
        <f aca="false">IF(H2313&gt;J2313,"ERRO","OK")</f>
        <v>OK</v>
      </c>
      <c r="N2313" s="0" t="str">
        <f aca="false">IF(I2313&lt;J2313,"ERRO","OK")</f>
        <v>OK</v>
      </c>
    </row>
    <row r="2314" customFormat="false" ht="14.25" hidden="false" customHeight="false" outlineLevel="0" collapsed="false">
      <c r="A2314" s="0" t="n">
        <v>96</v>
      </c>
      <c r="B2314" s="0" t="n">
        <v>2025</v>
      </c>
      <c r="C2314" s="3" t="n">
        <v>45737</v>
      </c>
      <c r="E2314" s="0" t="s">
        <v>19</v>
      </c>
      <c r="F2314" s="0" t="s">
        <v>17</v>
      </c>
      <c r="H2314" s="0" t="s">
        <v>370</v>
      </c>
      <c r="I2314" s="0" t="s">
        <v>375</v>
      </c>
      <c r="J2314" s="0" t="s">
        <v>440</v>
      </c>
      <c r="K2314" s="0" t="s">
        <v>371</v>
      </c>
      <c r="L2314" s="0" t="str">
        <f aca="false">IF(H2314&gt;I2314,"ERRO","OK")</f>
        <v>ERRO</v>
      </c>
      <c r="M2314" s="0" t="str">
        <f aca="false">IF(H2314&gt;J2314,"ERRO","OK")</f>
        <v>ERRO</v>
      </c>
      <c r="N2314" s="0" t="str">
        <f aca="false">IF(I2314&lt;J2314,"ERRO","OK")</f>
        <v>ERRO</v>
      </c>
    </row>
    <row r="2315" customFormat="false" ht="14.25" hidden="false" customHeight="false" outlineLevel="0" collapsed="false">
      <c r="A2315" s="0" t="n">
        <v>96</v>
      </c>
      <c r="B2315" s="0" t="n">
        <v>2025</v>
      </c>
      <c r="C2315" s="3" t="n">
        <v>45737</v>
      </c>
      <c r="E2315" s="0" t="s">
        <v>20</v>
      </c>
      <c r="F2315" s="0" t="s">
        <v>17</v>
      </c>
      <c r="G2315" s="0" t="s">
        <v>374</v>
      </c>
      <c r="H2315" s="0" t="s">
        <v>374</v>
      </c>
      <c r="I2315" s="0" t="s">
        <v>377</v>
      </c>
      <c r="J2315" s="0" t="s">
        <v>577</v>
      </c>
      <c r="K2315" s="0" t="s">
        <v>374</v>
      </c>
      <c r="L2315" s="0" t="str">
        <f aca="false">IF(H2315&gt;I2315,"ERRO","OK")</f>
        <v>OK</v>
      </c>
      <c r="M2315" s="0" t="str">
        <f aca="false">IF(H2315&gt;J2315,"ERRO","OK")</f>
        <v>OK</v>
      </c>
      <c r="N2315" s="0" t="str">
        <f aca="false">IF(I2315&lt;J2315,"ERRO","OK")</f>
        <v>OK</v>
      </c>
    </row>
    <row r="2316" customFormat="false" ht="14.25" hidden="false" customHeight="false" outlineLevel="0" collapsed="false">
      <c r="A2316" s="0" t="n">
        <v>96</v>
      </c>
      <c r="B2316" s="0" t="n">
        <v>2025</v>
      </c>
      <c r="C2316" s="3" t="n">
        <v>45737</v>
      </c>
      <c r="E2316" s="0" t="s">
        <v>21</v>
      </c>
      <c r="F2316" s="0" t="s">
        <v>17</v>
      </c>
      <c r="G2316" s="0" t="s">
        <v>374</v>
      </c>
      <c r="H2316" s="0" t="s">
        <v>377</v>
      </c>
      <c r="I2316" s="0" t="s">
        <v>374</v>
      </c>
      <c r="J2316" s="0" t="s">
        <v>577</v>
      </c>
      <c r="K2316" s="0" t="s">
        <v>374</v>
      </c>
      <c r="L2316" s="0" t="str">
        <f aca="false">IF(H2316&gt;I2316,"ERRO","OK")</f>
        <v>ERRO</v>
      </c>
      <c r="M2316" s="0" t="str">
        <f aca="false">IF(H2316&gt;J2316,"ERRO","OK")</f>
        <v>ERRO</v>
      </c>
      <c r="N2316" s="0" t="str">
        <f aca="false">IF(I2316&lt;J2316,"ERRO","OK")</f>
        <v>ERRO</v>
      </c>
    </row>
    <row r="2317" customFormat="false" ht="14.25" hidden="false" customHeight="false" outlineLevel="0" collapsed="false">
      <c r="A2317" s="0" t="n">
        <v>96</v>
      </c>
      <c r="B2317" s="0" t="n">
        <v>2025</v>
      </c>
      <c r="C2317" s="3" t="n">
        <v>45737</v>
      </c>
      <c r="E2317" s="0" t="s">
        <v>22</v>
      </c>
      <c r="F2317" s="0" t="s">
        <v>17</v>
      </c>
      <c r="H2317" s="0" t="s">
        <v>485</v>
      </c>
      <c r="I2317" s="0" t="s">
        <v>428</v>
      </c>
      <c r="J2317" s="0" t="s">
        <v>515</v>
      </c>
      <c r="K2317" s="0" t="s">
        <v>515</v>
      </c>
      <c r="L2317" s="0" t="str">
        <f aca="false">IF(H2317&gt;I2317,"ERRO","OK")</f>
        <v>ERRO</v>
      </c>
      <c r="M2317" s="0" t="str">
        <f aca="false">IF(H2317&gt;J2317,"ERRO","OK")</f>
        <v>ERRO</v>
      </c>
      <c r="N2317" s="0" t="str">
        <f aca="false">IF(I2317&lt;J2317,"ERRO","OK")</f>
        <v>ERRO</v>
      </c>
    </row>
    <row r="2318" customFormat="false" ht="14.25" hidden="false" customHeight="false" outlineLevel="0" collapsed="false">
      <c r="A2318" s="0" t="n">
        <v>96</v>
      </c>
      <c r="B2318" s="0" t="n">
        <v>2025</v>
      </c>
      <c r="C2318" s="3" t="n">
        <v>45737</v>
      </c>
      <c r="E2318" s="0" t="s">
        <v>23</v>
      </c>
      <c r="F2318" s="0" t="s">
        <v>17</v>
      </c>
      <c r="H2318" s="0" t="s">
        <v>485</v>
      </c>
      <c r="I2318" s="0" t="s">
        <v>616</v>
      </c>
      <c r="J2318" s="0" t="s">
        <v>459</v>
      </c>
      <c r="K2318" s="0" t="s">
        <v>459</v>
      </c>
      <c r="L2318" s="0" t="str">
        <f aca="false">IF(H2318&gt;I2318,"ERRO","OK")</f>
        <v>ERRO</v>
      </c>
      <c r="M2318" s="0" t="str">
        <f aca="false">IF(H2318&gt;J2318,"ERRO","OK")</f>
        <v>ERRO</v>
      </c>
      <c r="N2318" s="0" t="str">
        <f aca="false">IF(I2318&lt;J2318,"ERRO","OK")</f>
        <v>OK</v>
      </c>
    </row>
    <row r="2319" customFormat="false" ht="14.25" hidden="false" customHeight="false" outlineLevel="0" collapsed="false">
      <c r="A2319" s="0" t="n">
        <v>96</v>
      </c>
      <c r="B2319" s="0" t="n">
        <v>2025</v>
      </c>
      <c r="C2319" s="3" t="n">
        <v>45737</v>
      </c>
      <c r="E2319" s="0" t="s">
        <v>24</v>
      </c>
      <c r="F2319" s="0" t="s">
        <v>17</v>
      </c>
      <c r="H2319" s="0" t="s">
        <v>413</v>
      </c>
      <c r="I2319" s="0" t="s">
        <v>373</v>
      </c>
      <c r="J2319" s="0" t="s">
        <v>427</v>
      </c>
      <c r="K2319" s="0" t="s">
        <v>485</v>
      </c>
      <c r="L2319" s="0" t="str">
        <f aca="false">IF(H2319&gt;I2319,"ERRO","OK")</f>
        <v>OK</v>
      </c>
      <c r="M2319" s="0" t="str">
        <f aca="false">IF(H2319&gt;J2319,"ERRO","OK")</f>
        <v>ERRO</v>
      </c>
      <c r="N2319" s="0" t="str">
        <f aca="false">IF(I2319&lt;J2319,"ERRO","OK")</f>
        <v>OK</v>
      </c>
    </row>
    <row r="2320" customFormat="false" ht="14.25" hidden="false" customHeight="false" outlineLevel="0" collapsed="false">
      <c r="A2320" s="0" t="n">
        <v>96</v>
      </c>
      <c r="B2320" s="0" t="n">
        <v>2025</v>
      </c>
      <c r="C2320" s="3" t="n">
        <v>45737</v>
      </c>
      <c r="E2320" s="0" t="s">
        <v>25</v>
      </c>
      <c r="F2320" s="0" t="s">
        <v>17</v>
      </c>
      <c r="H2320" s="0" t="s">
        <v>378</v>
      </c>
      <c r="I2320" s="0" t="s">
        <v>375</v>
      </c>
      <c r="J2320" s="0" t="s">
        <v>596</v>
      </c>
      <c r="K2320" s="0" t="s">
        <v>374</v>
      </c>
      <c r="L2320" s="0" t="str">
        <f aca="false">IF(H2320&gt;I2320,"ERRO","OK")</f>
        <v>OK</v>
      </c>
      <c r="M2320" s="0" t="str">
        <f aca="false">IF(H2320&gt;J2320,"ERRO","OK")</f>
        <v>OK</v>
      </c>
      <c r="N2320" s="0" t="str">
        <f aca="false">IF(I2320&lt;J2320,"ERRO","OK")</f>
        <v>OK</v>
      </c>
    </row>
    <row r="2321" customFormat="false" ht="14.25" hidden="false" customHeight="false" outlineLevel="0" collapsed="false">
      <c r="A2321" s="0" t="n">
        <v>96</v>
      </c>
      <c r="B2321" s="0" t="n">
        <v>2025</v>
      </c>
      <c r="C2321" s="3" t="n">
        <v>45737</v>
      </c>
      <c r="E2321" s="0" t="s">
        <v>77</v>
      </c>
      <c r="F2321" s="0" t="s">
        <v>17</v>
      </c>
      <c r="H2321" s="0" t="s">
        <v>485</v>
      </c>
      <c r="I2321" s="0" t="s">
        <v>413</v>
      </c>
      <c r="J2321" s="0" t="s">
        <v>580</v>
      </c>
      <c r="K2321" s="0" t="s">
        <v>580</v>
      </c>
      <c r="L2321" s="0" t="str">
        <f aca="false">IF(H2321&gt;I2321,"ERRO","OK")</f>
        <v>ERRO</v>
      </c>
      <c r="M2321" s="0" t="str">
        <f aca="false">IF(H2321&gt;J2321,"ERRO","OK")</f>
        <v>ERRO</v>
      </c>
      <c r="N2321" s="0" t="str">
        <f aca="false">IF(I2321&lt;J2321,"ERRO","OK")</f>
        <v>OK</v>
      </c>
    </row>
    <row r="2322" customFormat="false" ht="14.25" hidden="false" customHeight="false" outlineLevel="0" collapsed="false">
      <c r="A2322" s="0" t="n">
        <v>96</v>
      </c>
      <c r="B2322" s="0" t="n">
        <v>2025</v>
      </c>
      <c r="C2322" s="3" t="n">
        <v>45737</v>
      </c>
      <c r="E2322" s="0" t="s">
        <v>27</v>
      </c>
      <c r="F2322" s="0" t="s">
        <v>17</v>
      </c>
      <c r="G2322" s="0" t="s">
        <v>374</v>
      </c>
      <c r="H2322" s="0" t="s">
        <v>374</v>
      </c>
      <c r="I2322" s="0" t="s">
        <v>377</v>
      </c>
      <c r="J2322" s="0" t="s">
        <v>577</v>
      </c>
      <c r="K2322" s="0" t="s">
        <v>374</v>
      </c>
      <c r="L2322" s="0" t="str">
        <f aca="false">IF(H2322&gt;I2322,"ERRO","OK")</f>
        <v>OK</v>
      </c>
      <c r="M2322" s="0" t="str">
        <f aca="false">IF(H2322&gt;J2322,"ERRO","OK")</f>
        <v>OK</v>
      </c>
      <c r="N2322" s="0" t="str">
        <f aca="false">IF(I2322&lt;J2322,"ERRO","OK")</f>
        <v>OK</v>
      </c>
    </row>
    <row r="2323" customFormat="false" ht="14.25" hidden="false" customHeight="false" outlineLevel="0" collapsed="false">
      <c r="A2323" s="0" t="n">
        <v>96</v>
      </c>
      <c r="B2323" s="0" t="n">
        <v>2025</v>
      </c>
      <c r="C2323" s="3" t="n">
        <v>45737</v>
      </c>
      <c r="E2323" s="0" t="s">
        <v>28</v>
      </c>
      <c r="F2323" s="0" t="s">
        <v>17</v>
      </c>
      <c r="H2323" s="0" t="s">
        <v>372</v>
      </c>
      <c r="I2323" s="0" t="s">
        <v>485</v>
      </c>
      <c r="J2323" s="0" t="s">
        <v>373</v>
      </c>
      <c r="K2323" s="0" t="s">
        <v>373</v>
      </c>
      <c r="L2323" s="0" t="str">
        <f aca="false">IF(H2323&gt;I2323,"ERRO","OK")</f>
        <v>OK</v>
      </c>
      <c r="M2323" s="0" t="str">
        <f aca="false">IF(H2323&gt;J2323,"ERRO","OK")</f>
        <v>OK</v>
      </c>
      <c r="N2323" s="0" t="str">
        <f aca="false">IF(I2323&lt;J2323,"ERRO","OK")</f>
        <v>OK</v>
      </c>
    </row>
    <row r="2324" customFormat="false" ht="14.25" hidden="false" customHeight="false" outlineLevel="0" collapsed="false">
      <c r="A2324" s="0" t="n">
        <v>96</v>
      </c>
      <c r="B2324" s="0" t="n">
        <v>2025</v>
      </c>
      <c r="C2324" s="3" t="n">
        <v>45737</v>
      </c>
      <c r="E2324" s="0" t="s">
        <v>29</v>
      </c>
      <c r="F2324" s="0" t="s">
        <v>30</v>
      </c>
      <c r="G2324" s="0" t="s">
        <v>370</v>
      </c>
      <c r="H2324" s="0" t="s">
        <v>370</v>
      </c>
      <c r="I2324" s="0" t="s">
        <v>372</v>
      </c>
      <c r="J2324" s="0" t="s">
        <v>381</v>
      </c>
      <c r="K2324" s="0" t="s">
        <v>370</v>
      </c>
      <c r="L2324" s="0" t="str">
        <f aca="false">IF(H2324&gt;I2324,"ERRO","OK")</f>
        <v>OK</v>
      </c>
      <c r="M2324" s="0" t="str">
        <f aca="false">IF(H2324&gt;J2324,"ERRO","OK")</f>
        <v>OK</v>
      </c>
      <c r="N2324" s="0" t="str">
        <f aca="false">IF(I2324&lt;J2324,"ERRO","OK")</f>
        <v>OK</v>
      </c>
    </row>
    <row r="2325" customFormat="false" ht="14.25" hidden="false" customHeight="false" outlineLevel="0" collapsed="false">
      <c r="A2325" s="0" t="n">
        <v>96</v>
      </c>
      <c r="B2325" s="0" t="n">
        <v>2025</v>
      </c>
      <c r="C2325" s="3" t="n">
        <v>45737</v>
      </c>
      <c r="E2325" s="0" t="s">
        <v>31</v>
      </c>
      <c r="F2325" s="0" t="s">
        <v>17</v>
      </c>
      <c r="H2325" s="0" t="s">
        <v>485</v>
      </c>
      <c r="I2325" s="0" t="s">
        <v>373</v>
      </c>
      <c r="J2325" s="0" t="s">
        <v>417</v>
      </c>
      <c r="K2325" s="0" t="s">
        <v>417</v>
      </c>
      <c r="L2325" s="0" t="str">
        <f aca="false">IF(H2325&gt;I2325,"ERRO","OK")</f>
        <v>ERRO</v>
      </c>
      <c r="M2325" s="0" t="str">
        <f aca="false">IF(H2325&gt;J2325,"ERRO","OK")</f>
        <v>ERRO</v>
      </c>
      <c r="N2325" s="0" t="str">
        <f aca="false">IF(I2325&lt;J2325,"ERRO","OK")</f>
        <v>ERRO</v>
      </c>
    </row>
    <row r="2326" customFormat="false" ht="14.25" hidden="false" customHeight="false" outlineLevel="0" collapsed="false">
      <c r="A2326" s="0" t="n">
        <v>96</v>
      </c>
      <c r="B2326" s="0" t="n">
        <v>2025</v>
      </c>
      <c r="C2326" s="3" t="n">
        <v>45737</v>
      </c>
      <c r="E2326" s="0" t="s">
        <v>32</v>
      </c>
      <c r="F2326" s="0" t="s">
        <v>17</v>
      </c>
      <c r="H2326" s="0" t="s">
        <v>402</v>
      </c>
      <c r="I2326" s="0" t="s">
        <v>373</v>
      </c>
      <c r="J2326" s="0" t="s">
        <v>397</v>
      </c>
      <c r="K2326" s="0" t="s">
        <v>441</v>
      </c>
      <c r="L2326" s="0" t="str">
        <f aca="false">IF(H2326&gt;I2326,"ERRO","OK")</f>
        <v>OK</v>
      </c>
      <c r="M2326" s="0" t="str">
        <f aca="false">IF(H2326&gt;J2326,"ERRO","OK")</f>
        <v>OK</v>
      </c>
      <c r="N2326" s="0" t="str">
        <f aca="false">IF(I2326&lt;J2326,"ERRO","OK")</f>
        <v>OK</v>
      </c>
    </row>
    <row r="2327" customFormat="false" ht="14.25" hidden="false" customHeight="false" outlineLevel="0" collapsed="false">
      <c r="A2327" s="0" t="n">
        <v>96</v>
      </c>
      <c r="B2327" s="0" t="n">
        <v>2025</v>
      </c>
      <c r="C2327" s="3" t="n">
        <v>45737</v>
      </c>
      <c r="E2327" s="0" t="s">
        <v>33</v>
      </c>
      <c r="F2327" s="0" t="s">
        <v>17</v>
      </c>
      <c r="G2327" s="0" t="s">
        <v>370</v>
      </c>
      <c r="H2327" s="0" t="s">
        <v>370</v>
      </c>
      <c r="I2327" s="0" t="s">
        <v>370</v>
      </c>
      <c r="J2327" s="0" t="s">
        <v>370</v>
      </c>
      <c r="K2327" s="0" t="s">
        <v>370</v>
      </c>
      <c r="L2327" s="0" t="str">
        <f aca="false">IF(H2327&gt;I2327,"ERRO","OK")</f>
        <v>OK</v>
      </c>
      <c r="M2327" s="0" t="str">
        <f aca="false">IF(H2327&gt;J2327,"ERRO","OK")</f>
        <v>OK</v>
      </c>
      <c r="N2327" s="0" t="str">
        <f aca="false">IF(I2327&lt;J2327,"ERRO","OK")</f>
        <v>OK</v>
      </c>
    </row>
    <row r="2328" customFormat="false" ht="14.25" hidden="false" customHeight="false" outlineLevel="0" collapsed="false">
      <c r="A2328" s="0" t="n">
        <v>96</v>
      </c>
      <c r="B2328" s="0" t="n">
        <v>2025</v>
      </c>
      <c r="C2328" s="3" t="n">
        <v>45737</v>
      </c>
      <c r="E2328" s="0" t="s">
        <v>35</v>
      </c>
      <c r="F2328" s="0" t="s">
        <v>36</v>
      </c>
      <c r="G2328" s="0" t="s">
        <v>611</v>
      </c>
      <c r="H2328" s="0" t="s">
        <v>390</v>
      </c>
      <c r="I2328" s="0" t="s">
        <v>390</v>
      </c>
      <c r="J2328" s="0" t="s">
        <v>390</v>
      </c>
      <c r="K2328" s="0" t="s">
        <v>612</v>
      </c>
      <c r="L2328" s="0" t="str">
        <f aca="false">IF(H2328&gt;I2328,"ERRO","OK")</f>
        <v>OK</v>
      </c>
      <c r="M2328" s="0" t="str">
        <f aca="false">IF(H2328&gt;J2328,"ERRO","OK")</f>
        <v>OK</v>
      </c>
      <c r="N2328" s="0" t="str">
        <f aca="false">IF(I2328&lt;J2328,"ERRO","OK")</f>
        <v>OK</v>
      </c>
    </row>
    <row r="2329" customFormat="false" ht="14.25" hidden="false" customHeight="false" outlineLevel="0" collapsed="false">
      <c r="A2329" s="0" t="n">
        <v>96</v>
      </c>
      <c r="B2329" s="0" t="n">
        <v>2025</v>
      </c>
      <c r="C2329" s="3" t="n">
        <v>45737</v>
      </c>
      <c r="E2329" s="0" t="s">
        <v>38</v>
      </c>
      <c r="F2329" s="0" t="s">
        <v>39</v>
      </c>
      <c r="G2329" s="0" t="s">
        <v>402</v>
      </c>
      <c r="H2329" s="0" t="s">
        <v>617</v>
      </c>
      <c r="I2329" s="0" t="s">
        <v>402</v>
      </c>
      <c r="J2329" s="0" t="s">
        <v>402</v>
      </c>
      <c r="K2329" s="0" t="s">
        <v>618</v>
      </c>
      <c r="L2329" s="0" t="str">
        <f aca="false">IF(H2329&gt;I2329,"ERRO","OK")</f>
        <v>OK</v>
      </c>
      <c r="M2329" s="0" t="str">
        <f aca="false">IF(H2329&gt;J2329,"ERRO","OK")</f>
        <v>OK</v>
      </c>
      <c r="N2329" s="0" t="str">
        <f aca="false">IF(I2329&lt;J2329,"ERRO","OK")</f>
        <v>OK</v>
      </c>
    </row>
    <row r="2330" customFormat="false" ht="14.25" hidden="false" customHeight="false" outlineLevel="0" collapsed="false">
      <c r="A2330" s="0" t="n">
        <v>96</v>
      </c>
      <c r="B2330" s="0" t="n">
        <v>2025</v>
      </c>
      <c r="C2330" s="3" t="n">
        <v>45737</v>
      </c>
      <c r="E2330" s="0" t="s">
        <v>40</v>
      </c>
      <c r="F2330" s="0" t="s">
        <v>39</v>
      </c>
      <c r="H2330" s="0" t="s">
        <v>431</v>
      </c>
      <c r="I2330" s="0" t="s">
        <v>409</v>
      </c>
      <c r="J2330" s="0" t="s">
        <v>480</v>
      </c>
      <c r="K2330" s="0" t="s">
        <v>400</v>
      </c>
      <c r="L2330" s="0" t="str">
        <f aca="false">IF(H2330&gt;I2330,"ERRO","OK")</f>
        <v>OK</v>
      </c>
      <c r="M2330" s="0" t="str">
        <f aca="false">IF(H2330&gt;J2330,"ERRO","OK")</f>
        <v>OK</v>
      </c>
      <c r="N2330" s="0" t="str">
        <f aca="false">IF(I2330&lt;J2330,"ERRO","OK")</f>
        <v>OK</v>
      </c>
    </row>
    <row r="2331" customFormat="false" ht="14.25" hidden="false" customHeight="false" outlineLevel="0" collapsed="false">
      <c r="A2331" s="0" t="n">
        <v>96</v>
      </c>
      <c r="B2331" s="0" t="n">
        <v>2025</v>
      </c>
      <c r="C2331" s="3" t="n">
        <v>45737</v>
      </c>
      <c r="E2331" s="0" t="s">
        <v>157</v>
      </c>
      <c r="F2331" s="0" t="s">
        <v>158</v>
      </c>
      <c r="H2331" s="0" t="s">
        <v>370</v>
      </c>
      <c r="I2331" s="0" t="s">
        <v>408</v>
      </c>
      <c r="J2331" s="0" t="s">
        <v>411</v>
      </c>
      <c r="K2331" s="0" t="s">
        <v>411</v>
      </c>
      <c r="L2331" s="0" t="str">
        <f aca="false">IF(H2331&gt;I2331,"ERRO","OK")</f>
        <v>ERRO</v>
      </c>
      <c r="M2331" s="0" t="str">
        <f aca="false">IF(H2331&gt;J2331,"ERRO","OK")</f>
        <v>ERRO</v>
      </c>
      <c r="N2331" s="0" t="str">
        <f aca="false">IF(I2331&lt;J2331,"ERRO","OK")</f>
        <v>ERRO</v>
      </c>
    </row>
    <row r="2332" customFormat="false" ht="14.25" hidden="false" customHeight="false" outlineLevel="0" collapsed="false">
      <c r="A2332" s="0" t="n">
        <v>96</v>
      </c>
      <c r="B2332" s="0" t="n">
        <v>2025</v>
      </c>
      <c r="C2332" s="3" t="n">
        <v>45737</v>
      </c>
      <c r="E2332" s="0" t="s">
        <v>43</v>
      </c>
      <c r="F2332" s="0" t="s">
        <v>44</v>
      </c>
      <c r="G2332" s="0" t="s">
        <v>382</v>
      </c>
      <c r="H2332" s="0" t="s">
        <v>382</v>
      </c>
      <c r="I2332" s="0" t="s">
        <v>397</v>
      </c>
      <c r="J2332" s="0" t="s">
        <v>382</v>
      </c>
      <c r="K2332" s="0" t="s">
        <v>496</v>
      </c>
      <c r="L2332" s="0" t="str">
        <f aca="false">IF(H2332&gt;I2332,"ERRO","OK")</f>
        <v>OK</v>
      </c>
      <c r="M2332" s="0" t="str">
        <f aca="false">IF(H2332&gt;J2332,"ERRO","OK")</f>
        <v>OK</v>
      </c>
      <c r="N2332" s="0" t="str">
        <f aca="false">IF(I2332&lt;J2332,"ERRO","OK")</f>
        <v>OK</v>
      </c>
    </row>
    <row r="2333" customFormat="false" ht="14.25" hidden="false" customHeight="false" outlineLevel="0" collapsed="false">
      <c r="A2333" s="0" t="n">
        <v>96</v>
      </c>
      <c r="B2333" s="0" t="n">
        <v>2025</v>
      </c>
      <c r="C2333" s="3" t="n">
        <v>45737</v>
      </c>
      <c r="E2333" s="0" t="s">
        <v>46</v>
      </c>
      <c r="F2333" s="0" t="s">
        <v>47</v>
      </c>
      <c r="H2333" s="0" t="s">
        <v>402</v>
      </c>
      <c r="I2333" s="0" t="s">
        <v>382</v>
      </c>
      <c r="J2333" s="0" t="s">
        <v>370</v>
      </c>
      <c r="K2333" s="0" t="s">
        <v>406</v>
      </c>
      <c r="L2333" s="0" t="str">
        <f aca="false">IF(H2333&gt;I2333,"ERRO","OK")</f>
        <v>OK</v>
      </c>
      <c r="M2333" s="0" t="str">
        <f aca="false">IF(H2333&gt;J2333,"ERRO","OK")</f>
        <v>OK</v>
      </c>
      <c r="N2333" s="0" t="str">
        <f aca="false">IF(I2333&lt;J2333,"ERRO","OK")</f>
        <v>OK</v>
      </c>
    </row>
    <row r="2334" customFormat="false" ht="14.25" hidden="false" customHeight="false" outlineLevel="0" collapsed="false">
      <c r="A2334" s="0" t="n">
        <v>96</v>
      </c>
      <c r="B2334" s="0" t="n">
        <v>2025</v>
      </c>
      <c r="C2334" s="3" t="n">
        <v>45737</v>
      </c>
      <c r="E2334" s="0" t="s">
        <v>48</v>
      </c>
      <c r="F2334" s="0" t="s">
        <v>49</v>
      </c>
      <c r="H2334" s="0" t="s">
        <v>406</v>
      </c>
      <c r="I2334" s="0" t="s">
        <v>409</v>
      </c>
      <c r="J2334" s="0" t="s">
        <v>408</v>
      </c>
      <c r="K2334" s="0" t="s">
        <v>370</v>
      </c>
      <c r="L2334" s="0" t="str">
        <f aca="false">IF(H2334&gt;I2334,"ERRO","OK")</f>
        <v>ERRO</v>
      </c>
      <c r="M2334" s="0" t="str">
        <f aca="false">IF(H2334&gt;J2334,"ERRO","OK")</f>
        <v>ERRO</v>
      </c>
      <c r="N2334" s="0" t="str">
        <f aca="false">IF(I2334&lt;J2334,"ERRO","OK")</f>
        <v>ERRO</v>
      </c>
    </row>
    <row r="2335" customFormat="false" ht="14.25" hidden="false" customHeight="false" outlineLevel="0" collapsed="false">
      <c r="A2335" s="0" t="n">
        <v>96</v>
      </c>
      <c r="B2335" s="0" t="n">
        <v>2025</v>
      </c>
      <c r="C2335" s="3" t="n">
        <v>45737</v>
      </c>
      <c r="E2335" s="0" t="s">
        <v>52</v>
      </c>
      <c r="F2335" s="0" t="s">
        <v>49</v>
      </c>
      <c r="H2335" s="0" t="s">
        <v>398</v>
      </c>
      <c r="I2335" s="0" t="s">
        <v>382</v>
      </c>
      <c r="J2335" s="0" t="s">
        <v>397</v>
      </c>
      <c r="K2335" s="0" t="s">
        <v>397</v>
      </c>
      <c r="L2335" s="0" t="str">
        <f aca="false">IF(H2335&gt;I2335,"ERRO","OK")</f>
        <v>ERRO</v>
      </c>
      <c r="M2335" s="0" t="str">
        <f aca="false">IF(H2335&gt;J2335,"ERRO","OK")</f>
        <v>ERRO</v>
      </c>
      <c r="N2335" s="0" t="str">
        <f aca="false">IF(I2335&lt;J2335,"ERRO","OK")</f>
        <v>ERRO</v>
      </c>
    </row>
    <row r="2336" customFormat="false" ht="14.25" hidden="false" customHeight="false" outlineLevel="0" collapsed="false">
      <c r="A2336" s="0" t="n">
        <v>96</v>
      </c>
      <c r="B2336" s="0" t="n">
        <v>2025</v>
      </c>
      <c r="C2336" s="3" t="n">
        <v>45737</v>
      </c>
      <c r="E2336" s="0" t="s">
        <v>53</v>
      </c>
      <c r="F2336" s="0" t="s">
        <v>54</v>
      </c>
      <c r="G2336" s="0" t="s">
        <v>370</v>
      </c>
      <c r="H2336" s="0" t="s">
        <v>382</v>
      </c>
      <c r="I2336" s="0" t="s">
        <v>370</v>
      </c>
      <c r="J2336" s="0" t="s">
        <v>386</v>
      </c>
      <c r="K2336" s="0" t="s">
        <v>370</v>
      </c>
      <c r="L2336" s="0" t="str">
        <f aca="false">IF(H2336&gt;I2336,"ERRO","OK")</f>
        <v>ERRO</v>
      </c>
      <c r="M2336" s="0" t="str">
        <f aca="false">IF(H2336&gt;J2336,"ERRO","OK")</f>
        <v>ERRO</v>
      </c>
      <c r="N2336" s="0" t="str">
        <f aca="false">IF(I2336&lt;J2336,"ERRO","OK")</f>
        <v>ERRO</v>
      </c>
    </row>
    <row r="2337" customFormat="false" ht="14.25" hidden="false" customHeight="false" outlineLevel="0" collapsed="false">
      <c r="A2337" s="0" t="n">
        <v>96</v>
      </c>
      <c r="B2337" s="0" t="n">
        <v>2025</v>
      </c>
      <c r="C2337" s="3" t="n">
        <v>45737</v>
      </c>
      <c r="E2337" s="0" t="s">
        <v>56</v>
      </c>
      <c r="F2337" s="0" t="s">
        <v>47</v>
      </c>
      <c r="G2337" s="0" t="s">
        <v>382</v>
      </c>
      <c r="H2337" s="0" t="s">
        <v>427</v>
      </c>
      <c r="I2337" s="0" t="s">
        <v>427</v>
      </c>
      <c r="J2337" s="0" t="s">
        <v>417</v>
      </c>
      <c r="K2337" s="0" t="s">
        <v>427</v>
      </c>
      <c r="L2337" s="0" t="str">
        <f aca="false">IF(H2337&gt;I2337,"ERRO","OK")</f>
        <v>OK</v>
      </c>
      <c r="M2337" s="0" t="str">
        <f aca="false">IF(H2337&gt;J2337,"ERRO","OK")</f>
        <v>OK</v>
      </c>
      <c r="N2337" s="0" t="str">
        <f aca="false">IF(I2337&lt;J2337,"ERRO","OK")</f>
        <v>ERRO</v>
      </c>
    </row>
    <row r="2338" customFormat="false" ht="14.25" hidden="false" customHeight="false" outlineLevel="0" collapsed="false">
      <c r="A2338" s="0" t="n">
        <v>96</v>
      </c>
      <c r="B2338" s="0" t="n">
        <v>2025</v>
      </c>
      <c r="C2338" s="3" t="n">
        <v>45737</v>
      </c>
      <c r="E2338" s="0" t="s">
        <v>57</v>
      </c>
      <c r="F2338" s="0" t="s">
        <v>47</v>
      </c>
      <c r="H2338" s="0" t="s">
        <v>405</v>
      </c>
      <c r="I2338" s="0" t="s">
        <v>413</v>
      </c>
      <c r="J2338" s="0" t="s">
        <v>457</v>
      </c>
      <c r="K2338" s="0" t="s">
        <v>406</v>
      </c>
      <c r="L2338" s="0" t="str">
        <f aca="false">IF(H2338&gt;I2338,"ERRO","OK")</f>
        <v>ERRO</v>
      </c>
      <c r="M2338" s="0" t="str">
        <f aca="false">IF(H2338&gt;J2338,"ERRO","OK")</f>
        <v>OK</v>
      </c>
      <c r="N2338" s="0" t="str">
        <f aca="false">IF(I2338&lt;J2338,"ERRO","OK")</f>
        <v>ERRO</v>
      </c>
    </row>
    <row r="2339" customFormat="false" ht="14.25" hidden="false" customHeight="false" outlineLevel="0" collapsed="false">
      <c r="A2339" s="0" t="n">
        <v>96</v>
      </c>
      <c r="B2339" s="0" t="n">
        <v>2025</v>
      </c>
      <c r="C2339" s="3" t="n">
        <v>45737</v>
      </c>
      <c r="E2339" s="0" t="s">
        <v>58</v>
      </c>
      <c r="F2339" s="0" t="s">
        <v>44</v>
      </c>
      <c r="H2339" s="0" t="s">
        <v>417</v>
      </c>
      <c r="I2339" s="0" t="s">
        <v>427</v>
      </c>
      <c r="J2339" s="0" t="s">
        <v>424</v>
      </c>
      <c r="K2339" s="0" t="s">
        <v>424</v>
      </c>
      <c r="L2339" s="0" t="str">
        <f aca="false">IF(H2339&gt;I2339,"ERRO","OK")</f>
        <v>ERRO</v>
      </c>
      <c r="M2339" s="0" t="str">
        <f aca="false">IF(H2339&gt;J2339,"ERRO","OK")</f>
        <v>OK</v>
      </c>
      <c r="N2339" s="0" t="str">
        <f aca="false">IF(I2339&lt;J2339,"ERRO","OK")</f>
        <v>ERRO</v>
      </c>
    </row>
    <row r="2340" customFormat="false" ht="14.25" hidden="false" customHeight="false" outlineLevel="0" collapsed="false">
      <c r="A2340" s="0" t="n">
        <v>96</v>
      </c>
      <c r="B2340" s="0" t="n">
        <v>2025</v>
      </c>
      <c r="C2340" s="3" t="n">
        <v>45737</v>
      </c>
      <c r="E2340" s="0" t="s">
        <v>60</v>
      </c>
      <c r="F2340" s="0" t="s">
        <v>47</v>
      </c>
      <c r="H2340" s="0" t="s">
        <v>405</v>
      </c>
      <c r="I2340" s="0" t="s">
        <v>397</v>
      </c>
      <c r="J2340" s="0" t="s">
        <v>403</v>
      </c>
      <c r="K2340" s="0" t="s">
        <v>403</v>
      </c>
      <c r="L2340" s="0" t="str">
        <f aca="false">IF(H2340&gt;I2340,"ERRO","OK")</f>
        <v>OK</v>
      </c>
      <c r="M2340" s="0" t="str">
        <f aca="false">IF(H2340&gt;J2340,"ERRO","OK")</f>
        <v>OK</v>
      </c>
      <c r="N2340" s="0" t="str">
        <f aca="false">IF(I2340&lt;J2340,"ERRO","OK")</f>
        <v>OK</v>
      </c>
    </row>
    <row r="2341" customFormat="false" ht="14.25" hidden="false" customHeight="false" outlineLevel="0" collapsed="false">
      <c r="A2341" s="0" t="n">
        <v>96</v>
      </c>
      <c r="B2341" s="0" t="n">
        <v>2025</v>
      </c>
      <c r="C2341" s="3" t="n">
        <v>45737</v>
      </c>
      <c r="E2341" s="0" t="s">
        <v>61</v>
      </c>
      <c r="F2341" s="0" t="s">
        <v>44</v>
      </c>
      <c r="H2341" s="0" t="s">
        <v>382</v>
      </c>
      <c r="I2341" s="0" t="s">
        <v>398</v>
      </c>
      <c r="J2341" s="0" t="s">
        <v>397</v>
      </c>
      <c r="K2341" s="0" t="s">
        <v>397</v>
      </c>
      <c r="L2341" s="0" t="str">
        <f aca="false">IF(H2341&gt;I2341,"ERRO","OK")</f>
        <v>OK</v>
      </c>
      <c r="M2341" s="0" t="str">
        <f aca="false">IF(H2341&gt;J2341,"ERRO","OK")</f>
        <v>OK</v>
      </c>
      <c r="N2341" s="0" t="str">
        <f aca="false">IF(I2341&lt;J2341,"ERRO","OK")</f>
        <v>OK</v>
      </c>
    </row>
    <row r="2342" customFormat="false" ht="14.25" hidden="false" customHeight="false" outlineLevel="0" collapsed="false">
      <c r="A2342" s="0" t="n">
        <v>96</v>
      </c>
      <c r="B2342" s="0" t="n">
        <v>2025</v>
      </c>
      <c r="C2342" s="3" t="n">
        <v>45737</v>
      </c>
      <c r="E2342" s="0" t="s">
        <v>62</v>
      </c>
      <c r="F2342" s="0" t="s">
        <v>44</v>
      </c>
      <c r="H2342" s="0" t="s">
        <v>398</v>
      </c>
      <c r="I2342" s="0" t="s">
        <v>413</v>
      </c>
      <c r="J2342" s="0" t="s">
        <v>427</v>
      </c>
      <c r="K2342" s="0" t="s">
        <v>427</v>
      </c>
      <c r="L2342" s="0" t="str">
        <f aca="false">IF(H2342&gt;I2342,"ERRO","OK")</f>
        <v>ERRO</v>
      </c>
      <c r="M2342" s="0" t="str">
        <f aca="false">IF(H2342&gt;J2342,"ERRO","OK")</f>
        <v>ERRO</v>
      </c>
      <c r="N2342" s="0" t="str">
        <f aca="false">IF(I2342&lt;J2342,"ERRO","OK")</f>
        <v>OK</v>
      </c>
    </row>
    <row r="2343" customFormat="false" ht="14.25" hidden="false" customHeight="false" outlineLevel="0" collapsed="false">
      <c r="A2343" s="0" t="n">
        <v>96</v>
      </c>
      <c r="B2343" s="0" t="n">
        <v>2025</v>
      </c>
      <c r="C2343" s="3" t="n">
        <v>45737</v>
      </c>
      <c r="E2343" s="0" t="s">
        <v>63</v>
      </c>
      <c r="F2343" s="0" t="s">
        <v>49</v>
      </c>
      <c r="H2343" s="0" t="s">
        <v>409</v>
      </c>
      <c r="I2343" s="0" t="s">
        <v>382</v>
      </c>
      <c r="J2343" s="0" t="s">
        <v>606</v>
      </c>
      <c r="K2343" s="0" t="s">
        <v>370</v>
      </c>
      <c r="L2343" s="0" t="str">
        <f aca="false">IF(H2343&gt;I2343,"ERRO","OK")</f>
        <v>OK</v>
      </c>
      <c r="M2343" s="0" t="str">
        <f aca="false">IF(H2343&gt;J2343,"ERRO","OK")</f>
        <v>OK</v>
      </c>
      <c r="N2343" s="0" t="str">
        <f aca="false">IF(I2343&lt;J2343,"ERRO","OK")</f>
        <v>OK</v>
      </c>
    </row>
    <row r="2344" customFormat="false" ht="14.25" hidden="false" customHeight="false" outlineLevel="0" collapsed="false">
      <c r="A2344" s="0" t="n">
        <v>96</v>
      </c>
      <c r="B2344" s="0" t="n">
        <v>2025</v>
      </c>
      <c r="C2344" s="3" t="n">
        <v>45737</v>
      </c>
      <c r="E2344" s="0" t="s">
        <v>64</v>
      </c>
      <c r="F2344" s="0" t="s">
        <v>65</v>
      </c>
      <c r="H2344" s="0" t="s">
        <v>421</v>
      </c>
      <c r="I2344" s="0" t="s">
        <v>413</v>
      </c>
      <c r="J2344" s="0" t="s">
        <v>512</v>
      </c>
      <c r="K2344" s="0" t="s">
        <v>619</v>
      </c>
      <c r="L2344" s="0" t="str">
        <f aca="false">IF(H2344&gt;I2344,"ERRO","OK")</f>
        <v>ERRO</v>
      </c>
      <c r="M2344" s="0" t="str">
        <f aca="false">IF(H2344&gt;J2344,"ERRO","OK")</f>
        <v>ERRO</v>
      </c>
      <c r="N2344" s="0" t="str">
        <f aca="false">IF(I2344&lt;J2344,"ERRO","OK")</f>
        <v>ERRO</v>
      </c>
    </row>
    <row r="2345" customFormat="false" ht="14.25" hidden="false" customHeight="false" outlineLevel="0" collapsed="false">
      <c r="A2345" s="0" t="n">
        <v>96</v>
      </c>
      <c r="B2345" s="0" t="n">
        <v>2025</v>
      </c>
      <c r="C2345" s="3" t="n">
        <v>45737</v>
      </c>
      <c r="E2345" s="0" t="s">
        <v>67</v>
      </c>
      <c r="F2345" s="0" t="s">
        <v>44</v>
      </c>
      <c r="H2345" s="0" t="s">
        <v>415</v>
      </c>
      <c r="I2345" s="0" t="s">
        <v>437</v>
      </c>
      <c r="J2345" s="0" t="s">
        <v>620</v>
      </c>
      <c r="K2345" s="0" t="s">
        <v>423</v>
      </c>
      <c r="L2345" s="0" t="str">
        <f aca="false">IF(H2345&gt;I2345,"ERRO","OK")</f>
        <v>OK</v>
      </c>
      <c r="M2345" s="0" t="str">
        <f aca="false">IF(H2345&gt;J2345,"ERRO","OK")</f>
        <v>OK</v>
      </c>
      <c r="N2345" s="0" t="str">
        <f aca="false">IF(I2345&lt;J2345,"ERRO","OK")</f>
        <v>OK</v>
      </c>
    </row>
    <row r="2346" customFormat="false" ht="14.25" hidden="false" customHeight="false" outlineLevel="0" collapsed="false">
      <c r="A2346" s="0" t="n">
        <v>96</v>
      </c>
      <c r="B2346" s="0" t="n">
        <v>2025</v>
      </c>
      <c r="C2346" s="3" t="n">
        <v>45737</v>
      </c>
      <c r="E2346" s="0" t="s">
        <v>68</v>
      </c>
      <c r="F2346" s="0" t="s">
        <v>44</v>
      </c>
      <c r="H2346" s="0" t="s">
        <v>427</v>
      </c>
      <c r="I2346" s="0" t="s">
        <v>420</v>
      </c>
      <c r="J2346" s="0" t="s">
        <v>426</v>
      </c>
      <c r="K2346" s="0" t="s">
        <v>413</v>
      </c>
      <c r="L2346" s="0" t="str">
        <f aca="false">IF(H2346&gt;I2346,"ERRO","OK")</f>
        <v>OK</v>
      </c>
      <c r="M2346" s="0" t="str">
        <f aca="false">IF(H2346&gt;J2346,"ERRO","OK")</f>
        <v>OK</v>
      </c>
      <c r="N2346" s="0" t="str">
        <f aca="false">IF(I2346&lt;J2346,"ERRO","OK")</f>
        <v>OK</v>
      </c>
    </row>
    <row r="2347" customFormat="false" ht="14.25" hidden="false" customHeight="false" outlineLevel="0" collapsed="false">
      <c r="A2347" s="0" t="n">
        <v>96</v>
      </c>
      <c r="B2347" s="0" t="n">
        <v>2025</v>
      </c>
      <c r="C2347" s="3" t="n">
        <v>45737</v>
      </c>
      <c r="E2347" s="20" t="s">
        <v>70</v>
      </c>
      <c r="F2347" s="21" t="s">
        <v>49</v>
      </c>
      <c r="L2347" s="0" t="str">
        <f aca="false">IF(H2347&gt;I2347,"ERRO","OK")</f>
        <v>OK</v>
      </c>
      <c r="M2347" s="0" t="str">
        <f aca="false">IF(H2347&gt;J2347,"ERRO","OK")</f>
        <v>OK</v>
      </c>
      <c r="N2347" s="0" t="str">
        <f aca="false">IF(I2347&lt;J2347,"ERRO","OK")</f>
        <v>OK</v>
      </c>
    </row>
    <row r="2348" customFormat="false" ht="14.25" hidden="false" customHeight="false" outlineLevel="0" collapsed="false">
      <c r="A2348" s="0" t="n">
        <v>96</v>
      </c>
      <c r="B2348" s="0" t="n">
        <v>2025</v>
      </c>
      <c r="C2348" s="3" t="n">
        <v>45737</v>
      </c>
      <c r="E2348" s="20" t="s">
        <v>71</v>
      </c>
      <c r="F2348" s="21" t="s">
        <v>49</v>
      </c>
      <c r="L2348" s="0" t="str">
        <f aca="false">IF(H2348&gt;I2348,"ERRO","OK")</f>
        <v>OK</v>
      </c>
      <c r="M2348" s="0" t="str">
        <f aca="false">IF(H2348&gt;J2348,"ERRO","OK")</f>
        <v>OK</v>
      </c>
      <c r="N2348" s="0" t="str">
        <f aca="false">IF(I2348&lt;J2348,"ERRO","OK")</f>
        <v>OK</v>
      </c>
    </row>
    <row r="2349" customFormat="false" ht="14.25" hidden="false" customHeight="false" outlineLevel="0" collapsed="false">
      <c r="A2349" s="0" t="n">
        <v>96</v>
      </c>
      <c r="B2349" s="0" t="n">
        <v>2025</v>
      </c>
      <c r="C2349" s="3" t="n">
        <v>45737</v>
      </c>
      <c r="E2349" s="20" t="s">
        <v>72</v>
      </c>
      <c r="F2349" s="21" t="s">
        <v>49</v>
      </c>
      <c r="L2349" s="0" t="str">
        <f aca="false">IF(H2349&gt;I2349,"ERRO","OK")</f>
        <v>OK</v>
      </c>
      <c r="M2349" s="0" t="str">
        <f aca="false">IF(H2349&gt;J2349,"ERRO","OK")</f>
        <v>OK</v>
      </c>
      <c r="N2349" s="0" t="str">
        <f aca="false">IF(I2349&lt;J2349,"ERRO","OK")</f>
        <v>OK</v>
      </c>
    </row>
    <row r="2350" customFormat="false" ht="14.25" hidden="false" customHeight="false" outlineLevel="0" collapsed="false">
      <c r="A2350" s="0" t="n">
        <v>96</v>
      </c>
      <c r="B2350" s="0" t="n">
        <v>2025</v>
      </c>
      <c r="C2350" s="3" t="n">
        <v>45737</v>
      </c>
      <c r="E2350" s="20" t="s">
        <v>73</v>
      </c>
      <c r="F2350" s="21" t="s">
        <v>49</v>
      </c>
      <c r="L2350" s="0" t="str">
        <f aca="false">IF(H2350&gt;I2350,"ERRO","OK")</f>
        <v>OK</v>
      </c>
      <c r="M2350" s="0" t="str">
        <f aca="false">IF(H2350&gt;J2350,"ERRO","OK")</f>
        <v>OK</v>
      </c>
      <c r="N2350" s="0" t="str">
        <f aca="false">IF(I2350&lt;J2350,"ERRO","OK")</f>
        <v>OK</v>
      </c>
    </row>
    <row r="2351" customFormat="false" ht="14.25" hidden="false" customHeight="false" outlineLevel="0" collapsed="false">
      <c r="A2351" s="0" t="n">
        <v>96</v>
      </c>
      <c r="B2351" s="0" t="n">
        <v>2025</v>
      </c>
      <c r="C2351" s="3" t="n">
        <v>45737</v>
      </c>
      <c r="E2351" s="20" t="s">
        <v>74</v>
      </c>
      <c r="F2351" s="21" t="s">
        <v>75</v>
      </c>
      <c r="L2351" s="0" t="str">
        <f aca="false">IF(H2351&gt;I2351,"ERRO","OK")</f>
        <v>OK</v>
      </c>
      <c r="M2351" s="0" t="str">
        <f aca="false">IF(H2351&gt;J2351,"ERRO","OK")</f>
        <v>OK</v>
      </c>
      <c r="N2351" s="0" t="str">
        <f aca="false">IF(I2351&lt;J2351,"ERRO","OK")</f>
        <v>OK</v>
      </c>
    </row>
    <row r="2352" customFormat="false" ht="14.25" hidden="false" customHeight="false" outlineLevel="0" collapsed="false">
      <c r="A2352" s="0" t="n">
        <v>97</v>
      </c>
      <c r="B2352" s="0" t="n">
        <v>2025</v>
      </c>
      <c r="C2352" s="3" t="n">
        <v>45744</v>
      </c>
      <c r="E2352" s="0" t="s">
        <v>16</v>
      </c>
      <c r="F2352" s="0" t="s">
        <v>17</v>
      </c>
      <c r="G2352" s="0" t="s">
        <v>370</v>
      </c>
      <c r="H2352" s="0" t="s">
        <v>370</v>
      </c>
      <c r="I2352" s="0" t="s">
        <v>372</v>
      </c>
      <c r="J2352" s="0" t="s">
        <v>381</v>
      </c>
      <c r="K2352" s="0" t="s">
        <v>370</v>
      </c>
      <c r="L2352" s="0" t="str">
        <f aca="false">IF(H2352&gt;I2352,"ERRO","OK")</f>
        <v>OK</v>
      </c>
      <c r="M2352" s="0" t="str">
        <f aca="false">IF(H2352&gt;J2352,"ERRO","OK")</f>
        <v>OK</v>
      </c>
      <c r="N2352" s="0" t="str">
        <f aca="false">IF(I2352&lt;J2352,"ERRO","OK")</f>
        <v>OK</v>
      </c>
    </row>
    <row r="2353" customFormat="false" ht="14.25" hidden="false" customHeight="false" outlineLevel="0" collapsed="false">
      <c r="A2353" s="0" t="n">
        <v>97</v>
      </c>
      <c r="B2353" s="0" t="n">
        <v>2025</v>
      </c>
      <c r="C2353" s="3" t="n">
        <v>45744</v>
      </c>
      <c r="E2353" s="0" t="s">
        <v>18</v>
      </c>
      <c r="F2353" s="0" t="s">
        <v>17</v>
      </c>
      <c r="H2353" s="0" t="s">
        <v>370</v>
      </c>
      <c r="I2353" s="0" t="s">
        <v>580</v>
      </c>
      <c r="J2353" s="0" t="s">
        <v>557</v>
      </c>
      <c r="K2353" s="0" t="s">
        <v>485</v>
      </c>
      <c r="L2353" s="0" t="str">
        <f aca="false">IF(H2353&gt;I2353,"ERRO","OK")</f>
        <v>ERRO</v>
      </c>
      <c r="M2353" s="0" t="str">
        <f aca="false">IF(H2353&gt;J2353,"ERRO","OK")</f>
        <v>OK</v>
      </c>
      <c r="N2353" s="0" t="str">
        <f aca="false">IF(I2353&lt;J2353,"ERRO","OK")</f>
        <v>ERRO</v>
      </c>
    </row>
    <row r="2354" customFormat="false" ht="14.25" hidden="false" customHeight="false" outlineLevel="0" collapsed="false">
      <c r="A2354" s="0" t="n">
        <v>97</v>
      </c>
      <c r="B2354" s="0" t="n">
        <v>2025</v>
      </c>
      <c r="C2354" s="3" t="n">
        <v>45744</v>
      </c>
      <c r="E2354" s="0" t="s">
        <v>19</v>
      </c>
      <c r="F2354" s="0" t="s">
        <v>17</v>
      </c>
      <c r="G2354" s="0" t="s">
        <v>402</v>
      </c>
      <c r="H2354" s="0" t="s">
        <v>369</v>
      </c>
      <c r="I2354" s="0" t="s">
        <v>370</v>
      </c>
      <c r="J2354" s="0" t="s">
        <v>621</v>
      </c>
      <c r="K2354" s="0" t="s">
        <v>369</v>
      </c>
      <c r="L2354" s="0" t="str">
        <f aca="false">IF(H2354&gt;I2354,"ERRO","OK")</f>
        <v>OK</v>
      </c>
      <c r="M2354" s="0" t="str">
        <f aca="false">IF(H2354&gt;J2354,"ERRO","OK")</f>
        <v>OK</v>
      </c>
      <c r="N2354" s="0" t="str">
        <f aca="false">IF(I2354&lt;J2354,"ERRO","OK")</f>
        <v>OK</v>
      </c>
    </row>
    <row r="2355" customFormat="false" ht="14.25" hidden="false" customHeight="false" outlineLevel="0" collapsed="false">
      <c r="A2355" s="0" t="n">
        <v>97</v>
      </c>
      <c r="B2355" s="0" t="n">
        <v>2025</v>
      </c>
      <c r="C2355" s="3" t="n">
        <v>45744</v>
      </c>
      <c r="E2355" s="0" t="s">
        <v>20</v>
      </c>
      <c r="F2355" s="0" t="s">
        <v>17</v>
      </c>
      <c r="G2355" s="0" t="s">
        <v>374</v>
      </c>
      <c r="H2355" s="0" t="s">
        <v>374</v>
      </c>
      <c r="I2355" s="0" t="s">
        <v>374</v>
      </c>
      <c r="J2355" s="0" t="s">
        <v>374</v>
      </c>
      <c r="K2355" s="0" t="s">
        <v>374</v>
      </c>
      <c r="L2355" s="0" t="str">
        <f aca="false">IF(H2355&gt;I2355,"ERRO","OK")</f>
        <v>OK</v>
      </c>
      <c r="M2355" s="0" t="str">
        <f aca="false">IF(H2355&gt;J2355,"ERRO","OK")</f>
        <v>OK</v>
      </c>
      <c r="N2355" s="0" t="str">
        <f aca="false">IF(I2355&lt;J2355,"ERRO","OK")</f>
        <v>OK</v>
      </c>
    </row>
    <row r="2356" customFormat="false" ht="14.25" hidden="false" customHeight="false" outlineLevel="0" collapsed="false">
      <c r="A2356" s="0" t="n">
        <v>97</v>
      </c>
      <c r="B2356" s="0" t="n">
        <v>2025</v>
      </c>
      <c r="C2356" s="3" t="n">
        <v>45744</v>
      </c>
      <c r="E2356" s="0" t="s">
        <v>21</v>
      </c>
      <c r="F2356" s="0" t="s">
        <v>17</v>
      </c>
      <c r="G2356" s="0" t="s">
        <v>374</v>
      </c>
      <c r="H2356" s="0" t="s">
        <v>374</v>
      </c>
      <c r="I2356" s="0" t="s">
        <v>374</v>
      </c>
      <c r="J2356" s="0" t="s">
        <v>374</v>
      </c>
      <c r="K2356" s="0" t="s">
        <v>374</v>
      </c>
      <c r="L2356" s="0" t="str">
        <f aca="false">IF(H2356&gt;I2356,"ERRO","OK")</f>
        <v>OK</v>
      </c>
      <c r="M2356" s="0" t="str">
        <f aca="false">IF(H2356&gt;J2356,"ERRO","OK")</f>
        <v>OK</v>
      </c>
      <c r="N2356" s="0" t="str">
        <f aca="false">IF(I2356&lt;J2356,"ERRO","OK")</f>
        <v>OK</v>
      </c>
    </row>
    <row r="2357" customFormat="false" ht="14.25" hidden="false" customHeight="false" outlineLevel="0" collapsed="false">
      <c r="A2357" s="0" t="n">
        <v>97</v>
      </c>
      <c r="B2357" s="0" t="n">
        <v>2025</v>
      </c>
      <c r="C2357" s="3" t="n">
        <v>45744</v>
      </c>
      <c r="E2357" s="0" t="s">
        <v>22</v>
      </c>
      <c r="F2357" s="0" t="s">
        <v>17</v>
      </c>
      <c r="G2357" s="0" t="s">
        <v>370</v>
      </c>
      <c r="H2357" s="0" t="s">
        <v>370</v>
      </c>
      <c r="I2357" s="0" t="s">
        <v>373</v>
      </c>
      <c r="J2357" s="0" t="s">
        <v>441</v>
      </c>
      <c r="K2357" s="0" t="s">
        <v>370</v>
      </c>
      <c r="L2357" s="0" t="str">
        <f aca="false">IF(H2357&gt;I2357,"ERRO","OK")</f>
        <v>OK</v>
      </c>
      <c r="M2357" s="0" t="str">
        <f aca="false">IF(H2357&gt;J2357,"ERRO","OK")</f>
        <v>OK</v>
      </c>
      <c r="N2357" s="0" t="str">
        <f aca="false">IF(I2357&lt;J2357,"ERRO","OK")</f>
        <v>OK</v>
      </c>
    </row>
    <row r="2358" customFormat="false" ht="14.25" hidden="false" customHeight="false" outlineLevel="0" collapsed="false">
      <c r="A2358" s="0" t="n">
        <v>97</v>
      </c>
      <c r="B2358" s="0" t="n">
        <v>2025</v>
      </c>
      <c r="C2358" s="3" t="n">
        <v>45744</v>
      </c>
      <c r="E2358" s="0" t="s">
        <v>23</v>
      </c>
      <c r="F2358" s="0" t="s">
        <v>17</v>
      </c>
      <c r="H2358" s="0" t="s">
        <v>373</v>
      </c>
      <c r="I2358" s="0" t="s">
        <v>580</v>
      </c>
      <c r="J2358" s="0" t="s">
        <v>485</v>
      </c>
      <c r="K2358" s="0" t="s">
        <v>485</v>
      </c>
      <c r="L2358" s="0" t="str">
        <f aca="false">IF(H2358&gt;I2358,"ERRO","OK")</f>
        <v>ERRO</v>
      </c>
      <c r="M2358" s="0" t="str">
        <f aca="false">IF(H2358&gt;J2358,"ERRO","OK")</f>
        <v>OK</v>
      </c>
      <c r="N2358" s="0" t="str">
        <f aca="false">IF(I2358&lt;J2358,"ERRO","OK")</f>
        <v>ERRO</v>
      </c>
    </row>
    <row r="2359" customFormat="false" ht="14.25" hidden="false" customHeight="false" outlineLevel="0" collapsed="false">
      <c r="A2359" s="0" t="n">
        <v>97</v>
      </c>
      <c r="B2359" s="0" t="n">
        <v>2025</v>
      </c>
      <c r="C2359" s="3" t="n">
        <v>45744</v>
      </c>
      <c r="E2359" s="0" t="s">
        <v>24</v>
      </c>
      <c r="F2359" s="0" t="s">
        <v>17</v>
      </c>
      <c r="H2359" s="0" t="s">
        <v>374</v>
      </c>
      <c r="I2359" s="0" t="s">
        <v>622</v>
      </c>
      <c r="J2359" s="0" t="s">
        <v>623</v>
      </c>
      <c r="K2359" s="0" t="s">
        <v>557</v>
      </c>
      <c r="L2359" s="0" t="str">
        <f aca="false">IF(H2359&gt;I2359,"ERRO","OK")</f>
        <v>ERRO</v>
      </c>
      <c r="M2359" s="0" t="str">
        <f aca="false">IF(H2359&gt;J2359,"ERRO","OK")</f>
        <v>OK</v>
      </c>
      <c r="N2359" s="0" t="str">
        <f aca="false">IF(I2359&lt;J2359,"ERRO","OK")</f>
        <v>ERRO</v>
      </c>
    </row>
    <row r="2360" customFormat="false" ht="14.25" hidden="false" customHeight="false" outlineLevel="0" collapsed="false">
      <c r="A2360" s="0" t="n">
        <v>97</v>
      </c>
      <c r="B2360" s="0" t="n">
        <v>2025</v>
      </c>
      <c r="C2360" s="3" t="n">
        <v>45744</v>
      </c>
      <c r="E2360" s="0" t="s">
        <v>25</v>
      </c>
      <c r="F2360" s="0" t="s">
        <v>17</v>
      </c>
      <c r="G2360" s="0" t="s">
        <v>374</v>
      </c>
      <c r="H2360" s="0" t="s">
        <v>378</v>
      </c>
      <c r="I2360" s="0" t="s">
        <v>442</v>
      </c>
      <c r="J2360" s="0" t="s">
        <v>374</v>
      </c>
      <c r="K2360" s="0" t="s">
        <v>374</v>
      </c>
      <c r="L2360" s="0" t="str">
        <f aca="false">IF(H2360&gt;I2360,"ERRO","OK")</f>
        <v>OK</v>
      </c>
      <c r="M2360" s="0" t="str">
        <f aca="false">IF(H2360&gt;J2360,"ERRO","OK")</f>
        <v>OK</v>
      </c>
      <c r="N2360" s="0" t="str">
        <f aca="false">IF(I2360&lt;J2360,"ERRO","OK")</f>
        <v>OK</v>
      </c>
    </row>
    <row r="2361" customFormat="false" ht="14.25" hidden="false" customHeight="false" outlineLevel="0" collapsed="false">
      <c r="A2361" s="0" t="n">
        <v>97</v>
      </c>
      <c r="B2361" s="0" t="n">
        <v>2025</v>
      </c>
      <c r="C2361" s="3" t="n">
        <v>45744</v>
      </c>
      <c r="E2361" s="0" t="s">
        <v>77</v>
      </c>
      <c r="F2361" s="0" t="s">
        <v>17</v>
      </c>
      <c r="G2361" s="0" t="s">
        <v>398</v>
      </c>
      <c r="H2361" s="0" t="s">
        <v>413</v>
      </c>
      <c r="I2361" s="0" t="s">
        <v>413</v>
      </c>
      <c r="J2361" s="0" t="s">
        <v>624</v>
      </c>
      <c r="K2361" s="0" t="s">
        <v>413</v>
      </c>
      <c r="L2361" s="0" t="str">
        <f aca="false">IF(H2361&gt;I2361,"ERRO","OK")</f>
        <v>OK</v>
      </c>
      <c r="M2361" s="0" t="str">
        <f aca="false">IF(H2361&gt;J2361,"ERRO","OK")</f>
        <v>ERRO</v>
      </c>
      <c r="N2361" s="0" t="str">
        <f aca="false">IF(I2361&lt;J2361,"ERRO","OK")</f>
        <v>OK</v>
      </c>
    </row>
    <row r="2362" customFormat="false" ht="14.25" hidden="false" customHeight="false" outlineLevel="0" collapsed="false">
      <c r="A2362" s="0" t="n">
        <v>97</v>
      </c>
      <c r="B2362" s="0" t="n">
        <v>2025</v>
      </c>
      <c r="C2362" s="3" t="n">
        <v>45744</v>
      </c>
      <c r="E2362" s="0" t="s">
        <v>27</v>
      </c>
      <c r="F2362" s="0" t="s">
        <v>17</v>
      </c>
      <c r="G2362" s="0" t="s">
        <v>378</v>
      </c>
      <c r="H2362" s="0" t="s">
        <v>374</v>
      </c>
      <c r="I2362" s="0" t="s">
        <v>374</v>
      </c>
      <c r="J2362" s="0" t="s">
        <v>450</v>
      </c>
      <c r="K2362" s="0" t="s">
        <v>374</v>
      </c>
      <c r="L2362" s="0" t="str">
        <f aca="false">IF(H2362&gt;I2362,"ERRO","OK")</f>
        <v>OK</v>
      </c>
      <c r="M2362" s="0" t="str">
        <f aca="false">IF(H2362&gt;J2362,"ERRO","OK")</f>
        <v>ERRO</v>
      </c>
      <c r="N2362" s="0" t="str">
        <f aca="false">IF(I2362&lt;J2362,"ERRO","OK")</f>
        <v>OK</v>
      </c>
    </row>
    <row r="2363" customFormat="false" ht="14.25" hidden="false" customHeight="false" outlineLevel="0" collapsed="false">
      <c r="A2363" s="0" t="n">
        <v>97</v>
      </c>
      <c r="B2363" s="0" t="n">
        <v>2025</v>
      </c>
      <c r="C2363" s="3" t="n">
        <v>45744</v>
      </c>
      <c r="E2363" s="0" t="s">
        <v>28</v>
      </c>
      <c r="F2363" s="0" t="s">
        <v>17</v>
      </c>
      <c r="G2363" s="0" t="s">
        <v>370</v>
      </c>
      <c r="H2363" s="0" t="s">
        <v>370</v>
      </c>
      <c r="I2363" s="0" t="s">
        <v>413</v>
      </c>
      <c r="J2363" s="0" t="s">
        <v>398</v>
      </c>
      <c r="K2363" s="0" t="s">
        <v>370</v>
      </c>
      <c r="L2363" s="0" t="str">
        <f aca="false">IF(H2363&gt;I2363,"ERRO","OK")</f>
        <v>ERRO</v>
      </c>
      <c r="M2363" s="0" t="str">
        <f aca="false">IF(H2363&gt;J2363,"ERRO","OK")</f>
        <v>OK</v>
      </c>
      <c r="N2363" s="0" t="str">
        <f aca="false">IF(I2363&lt;J2363,"ERRO","OK")</f>
        <v>ERRO</v>
      </c>
    </row>
    <row r="2364" customFormat="false" ht="14.25" hidden="false" customHeight="false" outlineLevel="0" collapsed="false">
      <c r="A2364" s="0" t="n">
        <v>97</v>
      </c>
      <c r="B2364" s="0" t="n">
        <v>2025</v>
      </c>
      <c r="C2364" s="3" t="n">
        <v>45744</v>
      </c>
      <c r="E2364" s="0" t="s">
        <v>29</v>
      </c>
      <c r="F2364" s="0" t="s">
        <v>30</v>
      </c>
      <c r="G2364" s="0" t="s">
        <v>370</v>
      </c>
      <c r="H2364" s="0" t="s">
        <v>370</v>
      </c>
      <c r="I2364" s="0" t="s">
        <v>372</v>
      </c>
      <c r="J2364" s="0" t="s">
        <v>387</v>
      </c>
      <c r="K2364" s="0" t="s">
        <v>370</v>
      </c>
      <c r="L2364" s="0" t="str">
        <f aca="false">IF(H2364&gt;I2364,"ERRO","OK")</f>
        <v>OK</v>
      </c>
      <c r="M2364" s="0" t="str">
        <f aca="false">IF(H2364&gt;J2364,"ERRO","OK")</f>
        <v>OK</v>
      </c>
      <c r="N2364" s="0" t="str">
        <f aca="false">IF(I2364&lt;J2364,"ERRO","OK")</f>
        <v>OK</v>
      </c>
    </row>
    <row r="2365" customFormat="false" ht="14.25" hidden="false" customHeight="false" outlineLevel="0" collapsed="false">
      <c r="A2365" s="0" t="n">
        <v>97</v>
      </c>
      <c r="B2365" s="0" t="n">
        <v>2025</v>
      </c>
      <c r="C2365" s="3" t="n">
        <v>45744</v>
      </c>
      <c r="E2365" s="0" t="s">
        <v>31</v>
      </c>
      <c r="F2365" s="0" t="s">
        <v>17</v>
      </c>
      <c r="G2365" s="0" t="s">
        <v>373</v>
      </c>
      <c r="H2365" s="0" t="s">
        <v>373</v>
      </c>
      <c r="I2365" s="0" t="s">
        <v>580</v>
      </c>
      <c r="J2365" s="0" t="s">
        <v>481</v>
      </c>
      <c r="K2365" s="0" t="s">
        <v>373</v>
      </c>
      <c r="L2365" s="0" t="str">
        <f aca="false">IF(H2365&gt;I2365,"ERRO","OK")</f>
        <v>ERRO</v>
      </c>
      <c r="M2365" s="0" t="str">
        <f aca="false">IF(H2365&gt;J2365,"ERRO","OK")</f>
        <v>OK</v>
      </c>
      <c r="N2365" s="0" t="str">
        <f aca="false">IF(I2365&lt;J2365,"ERRO","OK")</f>
        <v>ERRO</v>
      </c>
    </row>
    <row r="2366" customFormat="false" ht="14.25" hidden="false" customHeight="false" outlineLevel="0" collapsed="false">
      <c r="A2366" s="0" t="n">
        <v>97</v>
      </c>
      <c r="B2366" s="0" t="n">
        <v>2025</v>
      </c>
      <c r="C2366" s="3" t="n">
        <v>45744</v>
      </c>
      <c r="E2366" s="0" t="s">
        <v>32</v>
      </c>
      <c r="F2366" s="0" t="s">
        <v>17</v>
      </c>
      <c r="G2366" s="0" t="s">
        <v>374</v>
      </c>
      <c r="H2366" s="0" t="s">
        <v>370</v>
      </c>
      <c r="I2366" s="0" t="s">
        <v>373</v>
      </c>
      <c r="J2366" s="0" t="s">
        <v>470</v>
      </c>
      <c r="K2366" s="0" t="s">
        <v>370</v>
      </c>
      <c r="L2366" s="0" t="str">
        <f aca="false">IF(H2366&gt;I2366,"ERRO","OK")</f>
        <v>OK</v>
      </c>
      <c r="M2366" s="0" t="str">
        <f aca="false">IF(H2366&gt;J2366,"ERRO","OK")</f>
        <v>ERRO</v>
      </c>
      <c r="N2366" s="0" t="str">
        <f aca="false">IF(I2366&lt;J2366,"ERRO","OK")</f>
        <v>OK</v>
      </c>
    </row>
    <row r="2367" customFormat="false" ht="14.25" hidden="false" customHeight="false" outlineLevel="0" collapsed="false">
      <c r="A2367" s="0" t="n">
        <v>97</v>
      </c>
      <c r="B2367" s="0" t="n">
        <v>2025</v>
      </c>
      <c r="C2367" s="3" t="n">
        <v>45744</v>
      </c>
      <c r="E2367" s="0" t="s">
        <v>33</v>
      </c>
      <c r="F2367" s="0" t="s">
        <v>17</v>
      </c>
      <c r="G2367" s="0" t="s">
        <v>370</v>
      </c>
      <c r="H2367" s="0" t="s">
        <v>374</v>
      </c>
      <c r="I2367" s="0" t="s">
        <v>381</v>
      </c>
      <c r="J2367" s="0" t="s">
        <v>625</v>
      </c>
      <c r="K2367" s="0" t="s">
        <v>370</v>
      </c>
      <c r="L2367" s="0" t="str">
        <f aca="false">IF(H2367&gt;I2367,"ERRO","OK")</f>
        <v>OK</v>
      </c>
      <c r="M2367" s="0" t="str">
        <f aca="false">IF(H2367&gt;J2367,"ERRO","OK")</f>
        <v>OK</v>
      </c>
      <c r="N2367" s="0" t="str">
        <f aca="false">IF(I2367&lt;J2367,"ERRO","OK")</f>
        <v>OK</v>
      </c>
    </row>
    <row r="2368" customFormat="false" ht="14.25" hidden="false" customHeight="false" outlineLevel="0" collapsed="false">
      <c r="A2368" s="0" t="n">
        <v>97</v>
      </c>
      <c r="B2368" s="0" t="n">
        <v>2025</v>
      </c>
      <c r="C2368" s="3" t="n">
        <v>45744</v>
      </c>
      <c r="E2368" s="0" t="s">
        <v>35</v>
      </c>
      <c r="F2368" s="0" t="s">
        <v>36</v>
      </c>
      <c r="G2368" s="0" t="s">
        <v>390</v>
      </c>
      <c r="H2368" s="0" t="s">
        <v>390</v>
      </c>
      <c r="I2368" s="0" t="s">
        <v>626</v>
      </c>
      <c r="J2368" s="0" t="s">
        <v>627</v>
      </c>
      <c r="K2368" s="0" t="s">
        <v>390</v>
      </c>
      <c r="L2368" s="0" t="str">
        <f aca="false">IF(H2368&gt;I2368,"ERRO","OK")</f>
        <v>OK</v>
      </c>
      <c r="M2368" s="0" t="str">
        <f aca="false">IF(H2368&gt;J2368,"ERRO","OK")</f>
        <v>OK</v>
      </c>
      <c r="N2368" s="0" t="str">
        <f aca="false">IF(I2368&lt;J2368,"ERRO","OK")</f>
        <v>OK</v>
      </c>
    </row>
    <row r="2369" customFormat="false" ht="14.25" hidden="false" customHeight="false" outlineLevel="0" collapsed="false">
      <c r="A2369" s="0" t="n">
        <v>97</v>
      </c>
      <c r="B2369" s="0" t="n">
        <v>2025</v>
      </c>
      <c r="C2369" s="3" t="n">
        <v>45744</v>
      </c>
      <c r="E2369" s="0" t="s">
        <v>38</v>
      </c>
      <c r="F2369" s="0" t="s">
        <v>39</v>
      </c>
      <c r="G2369" s="0" t="s">
        <v>402</v>
      </c>
      <c r="H2369" s="0" t="s">
        <v>405</v>
      </c>
      <c r="I2369" s="0" t="s">
        <v>405</v>
      </c>
      <c r="J2369" s="0" t="s">
        <v>416</v>
      </c>
      <c r="K2369" s="0" t="s">
        <v>416</v>
      </c>
      <c r="L2369" s="0" t="str">
        <f aca="false">IF(H2369&gt;I2369,"ERRO","OK")</f>
        <v>OK</v>
      </c>
      <c r="M2369" s="0" t="str">
        <f aca="false">IF(H2369&gt;J2369,"ERRO","OK")</f>
        <v>ERRO</v>
      </c>
      <c r="N2369" s="0" t="str">
        <f aca="false">IF(I2369&lt;J2369,"ERRO","OK")</f>
        <v>OK</v>
      </c>
    </row>
    <row r="2370" customFormat="false" ht="14.25" hidden="false" customHeight="false" outlineLevel="0" collapsed="false">
      <c r="A2370" s="0" t="n">
        <v>97</v>
      </c>
      <c r="B2370" s="0" t="n">
        <v>2025</v>
      </c>
      <c r="C2370" s="3" t="n">
        <v>45744</v>
      </c>
      <c r="E2370" s="0" t="s">
        <v>40</v>
      </c>
      <c r="F2370" s="0" t="s">
        <v>39</v>
      </c>
      <c r="G2370" s="0" t="s">
        <v>409</v>
      </c>
      <c r="H2370" s="0" t="s">
        <v>374</v>
      </c>
      <c r="I2370" s="0" t="s">
        <v>409</v>
      </c>
      <c r="J2370" s="0" t="s">
        <v>543</v>
      </c>
      <c r="K2370" s="0" t="s">
        <v>585</v>
      </c>
      <c r="L2370" s="0" t="str">
        <f aca="false">IF(H2370&gt;I2370,"ERRO","OK")</f>
        <v>OK</v>
      </c>
      <c r="M2370" s="0" t="str">
        <f aca="false">IF(H2370&gt;J2370,"ERRO","OK")</f>
        <v>OK</v>
      </c>
      <c r="N2370" s="0" t="str">
        <f aca="false">IF(I2370&lt;J2370,"ERRO","OK")</f>
        <v>OK</v>
      </c>
    </row>
    <row r="2371" customFormat="false" ht="14.25" hidden="false" customHeight="false" outlineLevel="0" collapsed="false">
      <c r="A2371" s="0" t="n">
        <v>97</v>
      </c>
      <c r="B2371" s="0" t="n">
        <v>2025</v>
      </c>
      <c r="C2371" s="3" t="n">
        <v>45744</v>
      </c>
      <c r="E2371" s="0" t="s">
        <v>157</v>
      </c>
      <c r="F2371" s="0" t="s">
        <v>158</v>
      </c>
      <c r="G2371" s="0" t="s">
        <v>370</v>
      </c>
      <c r="H2371" s="0" t="s">
        <v>370</v>
      </c>
      <c r="I2371" s="0" t="s">
        <v>406</v>
      </c>
      <c r="J2371" s="0" t="s">
        <v>525</v>
      </c>
      <c r="K2371" s="0" t="s">
        <v>370</v>
      </c>
      <c r="L2371" s="0" t="str">
        <f aca="false">IF(H2371&gt;I2371,"ERRO","OK")</f>
        <v>OK</v>
      </c>
      <c r="M2371" s="0" t="str">
        <f aca="false">IF(H2371&gt;J2371,"ERRO","OK")</f>
        <v>OK</v>
      </c>
      <c r="N2371" s="0" t="str">
        <f aca="false">IF(I2371&lt;J2371,"ERRO","OK")</f>
        <v>OK</v>
      </c>
    </row>
    <row r="2372" customFormat="false" ht="14.25" hidden="false" customHeight="false" outlineLevel="0" collapsed="false">
      <c r="A2372" s="0" t="n">
        <v>97</v>
      </c>
      <c r="B2372" s="0" t="n">
        <v>2025</v>
      </c>
      <c r="C2372" s="3" t="n">
        <v>45744</v>
      </c>
      <c r="E2372" s="0" t="s">
        <v>43</v>
      </c>
      <c r="F2372" s="0" t="s">
        <v>44</v>
      </c>
      <c r="G2372" s="0" t="s">
        <v>370</v>
      </c>
      <c r="H2372" s="0" t="s">
        <v>398</v>
      </c>
      <c r="I2372" s="0" t="s">
        <v>398</v>
      </c>
      <c r="J2372" s="0" t="s">
        <v>584</v>
      </c>
      <c r="K2372" s="0" t="s">
        <v>398</v>
      </c>
      <c r="L2372" s="0" t="str">
        <f aca="false">IF(H2372&gt;I2372,"ERRO","OK")</f>
        <v>OK</v>
      </c>
      <c r="M2372" s="0" t="str">
        <f aca="false">IF(H2372&gt;J2372,"ERRO","OK")</f>
        <v>ERRO</v>
      </c>
      <c r="N2372" s="0" t="str">
        <f aca="false">IF(I2372&lt;J2372,"ERRO","OK")</f>
        <v>OK</v>
      </c>
    </row>
    <row r="2373" customFormat="false" ht="14.25" hidden="false" customHeight="false" outlineLevel="0" collapsed="false">
      <c r="A2373" s="0" t="n">
        <v>97</v>
      </c>
      <c r="B2373" s="0" t="n">
        <v>2025</v>
      </c>
      <c r="C2373" s="3" t="n">
        <v>45744</v>
      </c>
      <c r="E2373" s="0" t="s">
        <v>46</v>
      </c>
      <c r="F2373" s="0" t="s">
        <v>47</v>
      </c>
      <c r="H2373" s="0" t="s">
        <v>402</v>
      </c>
      <c r="I2373" s="0" t="s">
        <v>406</v>
      </c>
      <c r="J2373" s="0" t="s">
        <v>408</v>
      </c>
      <c r="K2373" s="0" t="s">
        <v>408</v>
      </c>
      <c r="L2373" s="0" t="str">
        <f aca="false">IF(H2373&gt;I2373,"ERRO","OK")</f>
        <v>OK</v>
      </c>
      <c r="M2373" s="0" t="str">
        <f aca="false">IF(H2373&gt;J2373,"ERRO","OK")</f>
        <v>OK</v>
      </c>
      <c r="N2373" s="0" t="str">
        <f aca="false">IF(I2373&lt;J2373,"ERRO","OK")</f>
        <v>OK</v>
      </c>
    </row>
    <row r="2374" customFormat="false" ht="14.25" hidden="false" customHeight="false" outlineLevel="0" collapsed="false">
      <c r="A2374" s="0" t="n">
        <v>97</v>
      </c>
      <c r="B2374" s="0" t="n">
        <v>2025</v>
      </c>
      <c r="C2374" s="3" t="n">
        <v>45744</v>
      </c>
      <c r="E2374" s="0" t="s">
        <v>48</v>
      </c>
      <c r="F2374" s="0" t="s">
        <v>49</v>
      </c>
      <c r="G2374" s="0" t="s">
        <v>409</v>
      </c>
      <c r="H2374" s="0" t="s">
        <v>405</v>
      </c>
      <c r="I2374" s="0" t="s">
        <v>408</v>
      </c>
      <c r="J2374" s="0" t="s">
        <v>410</v>
      </c>
      <c r="K2374" s="0" t="s">
        <v>405</v>
      </c>
      <c r="L2374" s="0" t="str">
        <f aca="false">IF(H2374&gt;I2374,"ERRO","OK")</f>
        <v>OK</v>
      </c>
      <c r="M2374" s="0" t="str">
        <f aca="false">IF(H2374&gt;J2374,"ERRO","OK")</f>
        <v>ERRO</v>
      </c>
      <c r="N2374" s="0" t="str">
        <f aca="false">IF(I2374&lt;J2374,"ERRO","OK")</f>
        <v>OK</v>
      </c>
    </row>
    <row r="2375" customFormat="false" ht="14.25" hidden="false" customHeight="false" outlineLevel="0" collapsed="false">
      <c r="A2375" s="0" t="n">
        <v>97</v>
      </c>
      <c r="B2375" s="0" t="n">
        <v>2025</v>
      </c>
      <c r="C2375" s="3" t="n">
        <v>45744</v>
      </c>
      <c r="E2375" s="0" t="s">
        <v>52</v>
      </c>
      <c r="F2375" s="0" t="s">
        <v>49</v>
      </c>
      <c r="H2375" s="0" t="s">
        <v>417</v>
      </c>
      <c r="I2375" s="0" t="s">
        <v>417</v>
      </c>
      <c r="J2375" s="0" t="s">
        <v>417</v>
      </c>
      <c r="K2375" s="0" t="s">
        <v>417</v>
      </c>
      <c r="L2375" s="0" t="str">
        <f aca="false">IF(H2375&gt;I2375,"ERRO","OK")</f>
        <v>OK</v>
      </c>
      <c r="M2375" s="0" t="str">
        <f aca="false">IF(H2375&gt;J2375,"ERRO","OK")</f>
        <v>OK</v>
      </c>
      <c r="N2375" s="0" t="str">
        <f aca="false">IF(I2375&lt;J2375,"ERRO","OK")</f>
        <v>OK</v>
      </c>
    </row>
    <row r="2376" customFormat="false" ht="14.25" hidden="false" customHeight="false" outlineLevel="0" collapsed="false">
      <c r="A2376" s="0" t="n">
        <v>97</v>
      </c>
      <c r="B2376" s="0" t="n">
        <v>2025</v>
      </c>
      <c r="C2376" s="3" t="n">
        <v>45744</v>
      </c>
      <c r="E2376" s="0" t="s">
        <v>53</v>
      </c>
      <c r="F2376" s="0" t="s">
        <v>54</v>
      </c>
      <c r="G2376" s="0" t="s">
        <v>405</v>
      </c>
      <c r="H2376" s="0" t="s">
        <v>370</v>
      </c>
      <c r="I2376" s="0" t="s">
        <v>370</v>
      </c>
      <c r="J2376" s="0" t="s">
        <v>411</v>
      </c>
      <c r="K2376" s="0" t="s">
        <v>370</v>
      </c>
      <c r="L2376" s="0" t="str">
        <f aca="false">IF(H2376&gt;I2376,"ERRO","OK")</f>
        <v>OK</v>
      </c>
      <c r="M2376" s="0" t="str">
        <f aca="false">IF(H2376&gt;J2376,"ERRO","OK")</f>
        <v>ERRO</v>
      </c>
      <c r="N2376" s="0" t="str">
        <f aca="false">IF(I2376&lt;J2376,"ERRO","OK")</f>
        <v>OK</v>
      </c>
    </row>
    <row r="2377" customFormat="false" ht="14.25" hidden="false" customHeight="false" outlineLevel="0" collapsed="false">
      <c r="A2377" s="0" t="n">
        <v>97</v>
      </c>
      <c r="B2377" s="0" t="n">
        <v>2025</v>
      </c>
      <c r="C2377" s="3" t="n">
        <v>45744</v>
      </c>
      <c r="E2377" s="0" t="s">
        <v>56</v>
      </c>
      <c r="F2377" s="0" t="s">
        <v>47</v>
      </c>
      <c r="H2377" s="0" t="s">
        <v>374</v>
      </c>
      <c r="I2377" s="0" t="s">
        <v>417</v>
      </c>
      <c r="J2377" s="0" t="s">
        <v>403</v>
      </c>
      <c r="K2377" s="0" t="s">
        <v>406</v>
      </c>
      <c r="L2377" s="0" t="str">
        <f aca="false">IF(H2377&gt;I2377,"ERRO","OK")</f>
        <v>OK</v>
      </c>
      <c r="M2377" s="0" t="str">
        <f aca="false">IF(H2377&gt;J2377,"ERRO","OK")</f>
        <v>OK</v>
      </c>
      <c r="N2377" s="0" t="str">
        <f aca="false">IF(I2377&lt;J2377,"ERRO","OK")</f>
        <v>OK</v>
      </c>
    </row>
    <row r="2378" customFormat="false" ht="14.25" hidden="false" customHeight="false" outlineLevel="0" collapsed="false">
      <c r="A2378" s="0" t="n">
        <v>97</v>
      </c>
      <c r="B2378" s="0" t="n">
        <v>2025</v>
      </c>
      <c r="C2378" s="3" t="n">
        <v>45744</v>
      </c>
      <c r="E2378" s="0" t="s">
        <v>57</v>
      </c>
      <c r="F2378" s="0" t="s">
        <v>47</v>
      </c>
      <c r="H2378" s="0" t="s">
        <v>382</v>
      </c>
      <c r="I2378" s="0" t="s">
        <v>427</v>
      </c>
      <c r="J2378" s="0" t="s">
        <v>628</v>
      </c>
      <c r="K2378" s="0" t="s">
        <v>417</v>
      </c>
      <c r="L2378" s="0" t="str">
        <f aca="false">IF(H2378&gt;I2378,"ERRO","OK")</f>
        <v>ERRO</v>
      </c>
      <c r="M2378" s="0" t="str">
        <f aca="false">IF(H2378&gt;J2378,"ERRO","OK")</f>
        <v>OK</v>
      </c>
      <c r="N2378" s="0" t="str">
        <f aca="false">IF(I2378&lt;J2378,"ERRO","OK")</f>
        <v>ERRO</v>
      </c>
    </row>
    <row r="2379" customFormat="false" ht="14.25" hidden="false" customHeight="false" outlineLevel="0" collapsed="false">
      <c r="A2379" s="0" t="n">
        <v>97</v>
      </c>
      <c r="B2379" s="0" t="n">
        <v>2025</v>
      </c>
      <c r="C2379" s="3" t="n">
        <v>45744</v>
      </c>
      <c r="E2379" s="0" t="s">
        <v>58</v>
      </c>
      <c r="F2379" s="0" t="s">
        <v>44</v>
      </c>
      <c r="H2379" s="0" t="s">
        <v>382</v>
      </c>
      <c r="I2379" s="0" t="s">
        <v>417</v>
      </c>
      <c r="J2379" s="0" t="s">
        <v>398</v>
      </c>
      <c r="K2379" s="0" t="s">
        <v>398</v>
      </c>
      <c r="L2379" s="0" t="str">
        <f aca="false">IF(H2379&gt;I2379,"ERRO","OK")</f>
        <v>OK</v>
      </c>
      <c r="M2379" s="0" t="str">
        <f aca="false">IF(H2379&gt;J2379,"ERRO","OK")</f>
        <v>OK</v>
      </c>
      <c r="N2379" s="0" t="str">
        <f aca="false">IF(I2379&lt;J2379,"ERRO","OK")</f>
        <v>OK</v>
      </c>
    </row>
    <row r="2380" customFormat="false" ht="14.25" hidden="false" customHeight="false" outlineLevel="0" collapsed="false">
      <c r="A2380" s="0" t="n">
        <v>97</v>
      </c>
      <c r="B2380" s="0" t="n">
        <v>2025</v>
      </c>
      <c r="C2380" s="3" t="n">
        <v>45744</v>
      </c>
      <c r="E2380" s="0" t="s">
        <v>60</v>
      </c>
      <c r="F2380" s="0" t="s">
        <v>47</v>
      </c>
      <c r="G2380" s="0" t="s">
        <v>405</v>
      </c>
      <c r="H2380" s="0" t="s">
        <v>405</v>
      </c>
      <c r="I2380" s="0" t="s">
        <v>405</v>
      </c>
      <c r="J2380" s="0" t="s">
        <v>405</v>
      </c>
      <c r="K2380" s="0" t="s">
        <v>405</v>
      </c>
      <c r="L2380" s="0" t="str">
        <f aca="false">IF(H2380&gt;I2380,"ERRO","OK")</f>
        <v>OK</v>
      </c>
      <c r="M2380" s="0" t="str">
        <f aca="false">IF(H2380&gt;J2380,"ERRO","OK")</f>
        <v>OK</v>
      </c>
      <c r="N2380" s="0" t="str">
        <f aca="false">IF(I2380&lt;J2380,"ERRO","OK")</f>
        <v>OK</v>
      </c>
    </row>
    <row r="2381" customFormat="false" ht="14.25" hidden="false" customHeight="false" outlineLevel="0" collapsed="false">
      <c r="A2381" s="0" t="n">
        <v>97</v>
      </c>
      <c r="B2381" s="0" t="n">
        <v>2025</v>
      </c>
      <c r="C2381" s="3" t="n">
        <v>45744</v>
      </c>
      <c r="E2381" s="0" t="s">
        <v>61</v>
      </c>
      <c r="F2381" s="0" t="s">
        <v>44</v>
      </c>
      <c r="H2381" s="0" t="s">
        <v>370</v>
      </c>
      <c r="I2381" s="0" t="s">
        <v>382</v>
      </c>
      <c r="J2381" s="0" t="s">
        <v>406</v>
      </c>
      <c r="K2381" s="0" t="s">
        <v>406</v>
      </c>
      <c r="L2381" s="0" t="str">
        <f aca="false">IF(H2381&gt;I2381,"ERRO","OK")</f>
        <v>OK</v>
      </c>
      <c r="M2381" s="0" t="str">
        <f aca="false">IF(H2381&gt;J2381,"ERRO","OK")</f>
        <v>OK</v>
      </c>
      <c r="N2381" s="0" t="str">
        <f aca="false">IF(I2381&lt;J2381,"ERRO","OK")</f>
        <v>OK</v>
      </c>
    </row>
    <row r="2382" customFormat="false" ht="14.25" hidden="false" customHeight="false" outlineLevel="0" collapsed="false">
      <c r="A2382" s="0" t="n">
        <v>97</v>
      </c>
      <c r="B2382" s="0" t="n">
        <v>2025</v>
      </c>
      <c r="C2382" s="3" t="n">
        <v>45744</v>
      </c>
      <c r="E2382" s="0" t="s">
        <v>62</v>
      </c>
      <c r="F2382" s="0" t="s">
        <v>44</v>
      </c>
      <c r="G2382" s="0" t="s">
        <v>427</v>
      </c>
      <c r="H2382" s="0" t="s">
        <v>397</v>
      </c>
      <c r="I2382" s="0" t="s">
        <v>427</v>
      </c>
      <c r="J2382" s="0" t="s">
        <v>629</v>
      </c>
      <c r="K2382" s="0" t="s">
        <v>427</v>
      </c>
      <c r="L2382" s="0" t="str">
        <f aca="false">IF(H2382&gt;I2382,"ERRO","OK")</f>
        <v>ERRO</v>
      </c>
      <c r="M2382" s="0" t="str">
        <f aca="false">IF(H2382&gt;J2382,"ERRO","OK")</f>
        <v>OK</v>
      </c>
      <c r="N2382" s="0" t="str">
        <f aca="false">IF(I2382&lt;J2382,"ERRO","OK")</f>
        <v>ERRO</v>
      </c>
    </row>
    <row r="2383" customFormat="false" ht="14.25" hidden="false" customHeight="false" outlineLevel="0" collapsed="false">
      <c r="A2383" s="0" t="n">
        <v>97</v>
      </c>
      <c r="B2383" s="0" t="n">
        <v>2025</v>
      </c>
      <c r="C2383" s="3" t="n">
        <v>45744</v>
      </c>
      <c r="E2383" s="0" t="s">
        <v>63</v>
      </c>
      <c r="F2383" s="0" t="s">
        <v>49</v>
      </c>
      <c r="G2383" s="0" t="s">
        <v>402</v>
      </c>
      <c r="H2383" s="0" t="s">
        <v>400</v>
      </c>
      <c r="I2383" s="0" t="s">
        <v>370</v>
      </c>
      <c r="J2383" s="0" t="s">
        <v>419</v>
      </c>
      <c r="K2383" s="0" t="s">
        <v>402</v>
      </c>
      <c r="L2383" s="0" t="str">
        <f aca="false">IF(H2383&gt;I2383,"ERRO","OK")</f>
        <v>OK</v>
      </c>
      <c r="M2383" s="0" t="str">
        <f aca="false">IF(H2383&gt;J2383,"ERRO","OK")</f>
        <v>OK</v>
      </c>
      <c r="N2383" s="0" t="str">
        <f aca="false">IF(I2383&lt;J2383,"ERRO","OK")</f>
        <v>OK</v>
      </c>
    </row>
    <row r="2384" customFormat="false" ht="14.25" hidden="false" customHeight="false" outlineLevel="0" collapsed="false">
      <c r="A2384" s="0" t="n">
        <v>97</v>
      </c>
      <c r="B2384" s="0" t="n">
        <v>2025</v>
      </c>
      <c r="C2384" s="3" t="n">
        <v>45744</v>
      </c>
      <c r="E2384" s="0" t="s">
        <v>64</v>
      </c>
      <c r="F2384" s="0" t="s">
        <v>65</v>
      </c>
      <c r="G2384" s="0" t="s">
        <v>413</v>
      </c>
      <c r="H2384" s="0" t="s">
        <v>420</v>
      </c>
      <c r="I2384" s="0" t="s">
        <v>420</v>
      </c>
      <c r="J2384" s="0" t="s">
        <v>630</v>
      </c>
      <c r="K2384" s="0" t="s">
        <v>630</v>
      </c>
      <c r="L2384" s="0" t="str">
        <f aca="false">IF(H2384&gt;I2384,"ERRO","OK")</f>
        <v>OK</v>
      </c>
      <c r="M2384" s="0" t="str">
        <f aca="false">IF(H2384&gt;J2384,"ERRO","OK")</f>
        <v>ERRO</v>
      </c>
      <c r="N2384" s="0" t="str">
        <f aca="false">IF(I2384&lt;J2384,"ERRO","OK")</f>
        <v>OK</v>
      </c>
    </row>
    <row r="2385" customFormat="false" ht="14.25" hidden="false" customHeight="false" outlineLevel="0" collapsed="false">
      <c r="A2385" s="0" t="n">
        <v>97</v>
      </c>
      <c r="B2385" s="0" t="n">
        <v>2025</v>
      </c>
      <c r="C2385" s="3" t="n">
        <v>45744</v>
      </c>
      <c r="E2385" s="0" t="s">
        <v>67</v>
      </c>
      <c r="F2385" s="0" t="s">
        <v>44</v>
      </c>
      <c r="G2385" s="0" t="s">
        <v>420</v>
      </c>
      <c r="H2385" s="0" t="s">
        <v>415</v>
      </c>
      <c r="I2385" s="0" t="s">
        <v>437</v>
      </c>
      <c r="J2385" s="0" t="s">
        <v>631</v>
      </c>
      <c r="K2385" s="0" t="s">
        <v>420</v>
      </c>
      <c r="L2385" s="0" t="str">
        <f aca="false">IF(H2385&gt;I2385,"ERRO","OK")</f>
        <v>OK</v>
      </c>
      <c r="M2385" s="0" t="str">
        <f aca="false">IF(H2385&gt;J2385,"ERRO","OK")</f>
        <v>OK</v>
      </c>
      <c r="N2385" s="0" t="str">
        <f aca="false">IF(I2385&lt;J2385,"ERRO","OK")</f>
        <v>OK</v>
      </c>
    </row>
    <row r="2386" customFormat="false" ht="14.25" hidden="false" customHeight="false" outlineLevel="0" collapsed="false">
      <c r="A2386" s="0" t="n">
        <v>97</v>
      </c>
      <c r="B2386" s="0" t="n">
        <v>2025</v>
      </c>
      <c r="C2386" s="3" t="n">
        <v>45744</v>
      </c>
      <c r="E2386" s="0" t="s">
        <v>68</v>
      </c>
      <c r="F2386" s="0" t="s">
        <v>44</v>
      </c>
      <c r="H2386" s="0" t="s">
        <v>413</v>
      </c>
      <c r="I2386" s="0" t="s">
        <v>423</v>
      </c>
      <c r="J2386" s="0" t="s">
        <v>512</v>
      </c>
      <c r="K2386" s="0" t="s">
        <v>512</v>
      </c>
      <c r="L2386" s="0" t="str">
        <f aca="false">IF(H2386&gt;I2386,"ERRO","OK")</f>
        <v>OK</v>
      </c>
      <c r="M2386" s="0" t="str">
        <f aca="false">IF(H2386&gt;J2386,"ERRO","OK")</f>
        <v>OK</v>
      </c>
      <c r="N2386" s="0" t="str">
        <f aca="false">IF(I2386&lt;J2386,"ERRO","OK")</f>
        <v>OK</v>
      </c>
    </row>
    <row r="2387" customFormat="false" ht="14.25" hidden="false" customHeight="false" outlineLevel="0" collapsed="false">
      <c r="A2387" s="0" t="n">
        <v>97</v>
      </c>
      <c r="B2387" s="0" t="n">
        <v>2025</v>
      </c>
      <c r="C2387" s="3" t="n">
        <v>45744</v>
      </c>
      <c r="E2387" s="20" t="s">
        <v>70</v>
      </c>
      <c r="F2387" s="21" t="s">
        <v>49</v>
      </c>
      <c r="L2387" s="0" t="str">
        <f aca="false">IF(H2387&gt;I2387,"ERRO","OK")</f>
        <v>OK</v>
      </c>
      <c r="M2387" s="0" t="str">
        <f aca="false">IF(H2387&gt;J2387,"ERRO","OK")</f>
        <v>OK</v>
      </c>
      <c r="N2387" s="0" t="str">
        <f aca="false">IF(I2387&lt;J2387,"ERRO","OK")</f>
        <v>OK</v>
      </c>
    </row>
    <row r="2388" customFormat="false" ht="14.25" hidden="false" customHeight="false" outlineLevel="0" collapsed="false">
      <c r="A2388" s="0" t="n">
        <v>97</v>
      </c>
      <c r="B2388" s="0" t="n">
        <v>2025</v>
      </c>
      <c r="C2388" s="3" t="n">
        <v>45744</v>
      </c>
      <c r="E2388" s="20" t="s">
        <v>71</v>
      </c>
      <c r="F2388" s="21" t="s">
        <v>49</v>
      </c>
      <c r="L2388" s="0" t="str">
        <f aca="false">IF(H2388&gt;I2388,"ERRO","OK")</f>
        <v>OK</v>
      </c>
      <c r="M2388" s="0" t="str">
        <f aca="false">IF(H2388&gt;J2388,"ERRO","OK")</f>
        <v>OK</v>
      </c>
      <c r="N2388" s="0" t="str">
        <f aca="false">IF(I2388&lt;J2388,"ERRO","OK")</f>
        <v>OK</v>
      </c>
    </row>
    <row r="2389" customFormat="false" ht="14.25" hidden="false" customHeight="false" outlineLevel="0" collapsed="false">
      <c r="A2389" s="0" t="n">
        <v>97</v>
      </c>
      <c r="B2389" s="0" t="n">
        <v>2025</v>
      </c>
      <c r="C2389" s="3" t="n">
        <v>45744</v>
      </c>
      <c r="E2389" s="20" t="s">
        <v>72</v>
      </c>
      <c r="F2389" s="21" t="s">
        <v>49</v>
      </c>
      <c r="L2389" s="0" t="str">
        <f aca="false">IF(H2389&gt;I2389,"ERRO","OK")</f>
        <v>OK</v>
      </c>
      <c r="M2389" s="0" t="str">
        <f aca="false">IF(H2389&gt;J2389,"ERRO","OK")</f>
        <v>OK</v>
      </c>
      <c r="N2389" s="0" t="str">
        <f aca="false">IF(I2389&lt;J2389,"ERRO","OK")</f>
        <v>OK</v>
      </c>
    </row>
    <row r="2390" customFormat="false" ht="14.25" hidden="false" customHeight="false" outlineLevel="0" collapsed="false">
      <c r="A2390" s="0" t="n">
        <v>97</v>
      </c>
      <c r="B2390" s="0" t="n">
        <v>2025</v>
      </c>
      <c r="C2390" s="3" t="n">
        <v>45744</v>
      </c>
      <c r="E2390" s="20" t="s">
        <v>73</v>
      </c>
      <c r="F2390" s="21" t="s">
        <v>49</v>
      </c>
      <c r="L2390" s="0" t="str">
        <f aca="false">IF(H2390&gt;I2390,"ERRO","OK")</f>
        <v>OK</v>
      </c>
      <c r="M2390" s="0" t="str">
        <f aca="false">IF(H2390&gt;J2390,"ERRO","OK")</f>
        <v>OK</v>
      </c>
      <c r="N2390" s="0" t="str">
        <f aca="false">IF(I2390&lt;J2390,"ERRO","OK")</f>
        <v>OK</v>
      </c>
    </row>
    <row r="2391" customFormat="false" ht="14.25" hidden="false" customHeight="false" outlineLevel="0" collapsed="false">
      <c r="A2391" s="0" t="n">
        <v>97</v>
      </c>
      <c r="B2391" s="0" t="n">
        <v>2025</v>
      </c>
      <c r="C2391" s="3" t="n">
        <v>45744</v>
      </c>
      <c r="E2391" s="20" t="s">
        <v>74</v>
      </c>
      <c r="F2391" s="21" t="s">
        <v>75</v>
      </c>
      <c r="L2391" s="0" t="str">
        <f aca="false">IF(H2391&gt;I2391,"ERRO","OK")</f>
        <v>OK</v>
      </c>
      <c r="M2391" s="0" t="str">
        <f aca="false">IF(H2391&gt;J2391,"ERRO","OK")</f>
        <v>OK</v>
      </c>
      <c r="N2391" s="0" t="str">
        <f aca="false">IF(I2391&lt;J2391,"ERRO","OK")</f>
        <v>OK</v>
      </c>
    </row>
    <row r="2392" customFormat="false" ht="14.25" hidden="false" customHeight="false" outlineLevel="0" collapsed="false">
      <c r="A2392" s="0" t="n">
        <v>98</v>
      </c>
      <c r="B2392" s="0" t="n">
        <v>2025</v>
      </c>
      <c r="C2392" s="3" t="n">
        <v>45751</v>
      </c>
      <c r="E2392" s="0" t="s">
        <v>16</v>
      </c>
      <c r="F2392" s="0" t="s">
        <v>17</v>
      </c>
      <c r="G2392" s="0" t="s">
        <v>372</v>
      </c>
      <c r="H2392" s="0" t="s">
        <v>369</v>
      </c>
      <c r="I2392" s="0" t="s">
        <v>372</v>
      </c>
      <c r="J2392" s="0" t="s">
        <v>381</v>
      </c>
      <c r="K2392" s="0" t="s">
        <v>372</v>
      </c>
      <c r="L2392" s="0" t="str">
        <f aca="false">IF(H2392&gt;I2392,"ERRO","OK")</f>
        <v>OK</v>
      </c>
      <c r="M2392" s="0" t="str">
        <f aca="false">IF(H2392&gt;J2392,"ERRO","OK")</f>
        <v>OK</v>
      </c>
      <c r="N2392" s="0" t="str">
        <f aca="false">IF(I2392&lt;J2392,"ERRO","OK")</f>
        <v>OK</v>
      </c>
    </row>
    <row r="2393" customFormat="false" ht="14.25" hidden="false" customHeight="false" outlineLevel="0" collapsed="false">
      <c r="A2393" s="0" t="n">
        <v>98</v>
      </c>
      <c r="B2393" s="0" t="n">
        <v>2025</v>
      </c>
      <c r="C2393" s="3" t="n">
        <v>45751</v>
      </c>
      <c r="E2393" s="0" t="s">
        <v>18</v>
      </c>
      <c r="F2393" s="0" t="s">
        <v>17</v>
      </c>
      <c r="G2393" s="0" t="s">
        <v>373</v>
      </c>
      <c r="H2393" s="0" t="s">
        <v>485</v>
      </c>
      <c r="I2393" s="0" t="s">
        <v>485</v>
      </c>
      <c r="J2393" s="0" t="s">
        <v>481</v>
      </c>
      <c r="K2393" s="0" t="s">
        <v>485</v>
      </c>
      <c r="L2393" s="0" t="str">
        <f aca="false">IF(H2393&gt;I2393,"ERRO","OK")</f>
        <v>OK</v>
      </c>
      <c r="M2393" s="0" t="str">
        <f aca="false">IF(H2393&gt;J2393,"ERRO","OK")</f>
        <v>ERRO</v>
      </c>
      <c r="N2393" s="0" t="str">
        <f aca="false">IF(I2393&lt;J2393,"ERRO","OK")</f>
        <v>OK</v>
      </c>
    </row>
    <row r="2394" customFormat="false" ht="14.25" hidden="false" customHeight="false" outlineLevel="0" collapsed="false">
      <c r="A2394" s="0" t="n">
        <v>98</v>
      </c>
      <c r="B2394" s="0" t="n">
        <v>2025</v>
      </c>
      <c r="C2394" s="3" t="n">
        <v>45751</v>
      </c>
      <c r="E2394" s="0" t="s">
        <v>19</v>
      </c>
      <c r="F2394" s="0" t="s">
        <v>17</v>
      </c>
      <c r="G2394" s="0" t="s">
        <v>442</v>
      </c>
      <c r="H2394" s="0" t="s">
        <v>370</v>
      </c>
      <c r="I2394" s="0" t="s">
        <v>370</v>
      </c>
      <c r="J2394" s="0" t="s">
        <v>440</v>
      </c>
      <c r="K2394" s="0" t="s">
        <v>370</v>
      </c>
      <c r="L2394" s="0" t="str">
        <f aca="false">IF(H2394&gt;I2394,"ERRO","OK")</f>
        <v>OK</v>
      </c>
      <c r="M2394" s="0" t="str">
        <f aca="false">IF(H2394&gt;J2394,"ERRO","OK")</f>
        <v>ERRO</v>
      </c>
      <c r="N2394" s="0" t="str">
        <f aca="false">IF(I2394&lt;J2394,"ERRO","OK")</f>
        <v>OK</v>
      </c>
    </row>
    <row r="2395" customFormat="false" ht="14.25" hidden="false" customHeight="false" outlineLevel="0" collapsed="false">
      <c r="A2395" s="0" t="n">
        <v>98</v>
      </c>
      <c r="B2395" s="0" t="n">
        <v>2025</v>
      </c>
      <c r="C2395" s="3" t="n">
        <v>45751</v>
      </c>
      <c r="E2395" s="0" t="s">
        <v>20</v>
      </c>
      <c r="F2395" s="0" t="s">
        <v>17</v>
      </c>
      <c r="H2395" s="0" t="s">
        <v>378</v>
      </c>
      <c r="I2395" s="0" t="s">
        <v>442</v>
      </c>
      <c r="J2395" s="0" t="s">
        <v>374</v>
      </c>
      <c r="K2395" s="0" t="s">
        <v>374</v>
      </c>
      <c r="L2395" s="0" t="str">
        <f aca="false">IF(H2395&gt;I2395,"ERRO","OK")</f>
        <v>OK</v>
      </c>
      <c r="M2395" s="0" t="str">
        <f aca="false">IF(H2395&gt;J2395,"ERRO","OK")</f>
        <v>OK</v>
      </c>
      <c r="N2395" s="0" t="str">
        <f aca="false">IF(I2395&lt;J2395,"ERRO","OK")</f>
        <v>OK</v>
      </c>
    </row>
    <row r="2396" customFormat="false" ht="14.25" hidden="false" customHeight="false" outlineLevel="0" collapsed="false">
      <c r="A2396" s="0" t="n">
        <v>98</v>
      </c>
      <c r="B2396" s="0" t="n">
        <v>2025</v>
      </c>
      <c r="C2396" s="3" t="n">
        <v>45751</v>
      </c>
      <c r="E2396" s="0" t="s">
        <v>21</v>
      </c>
      <c r="F2396" s="0" t="s">
        <v>17</v>
      </c>
      <c r="H2396" s="0" t="s">
        <v>378</v>
      </c>
      <c r="I2396" s="0" t="s">
        <v>442</v>
      </c>
      <c r="J2396" s="0" t="s">
        <v>374</v>
      </c>
      <c r="K2396" s="0" t="s">
        <v>374</v>
      </c>
      <c r="L2396" s="0" t="str">
        <f aca="false">IF(H2396&gt;I2396,"ERRO","OK")</f>
        <v>OK</v>
      </c>
      <c r="M2396" s="0" t="str">
        <f aca="false">IF(H2396&gt;J2396,"ERRO","OK")</f>
        <v>OK</v>
      </c>
      <c r="N2396" s="0" t="str">
        <f aca="false">IF(I2396&lt;J2396,"ERRO","OK")</f>
        <v>OK</v>
      </c>
    </row>
    <row r="2397" customFormat="false" ht="14.25" hidden="false" customHeight="false" outlineLevel="0" collapsed="false">
      <c r="A2397" s="0" t="n">
        <v>98</v>
      </c>
      <c r="B2397" s="0" t="n">
        <v>2025</v>
      </c>
      <c r="C2397" s="3" t="n">
        <v>45751</v>
      </c>
      <c r="E2397" s="0" t="s">
        <v>22</v>
      </c>
      <c r="F2397" s="0" t="s">
        <v>17</v>
      </c>
      <c r="G2397" s="0" t="s">
        <v>370</v>
      </c>
      <c r="H2397" s="0" t="s">
        <v>370</v>
      </c>
      <c r="I2397" s="0" t="s">
        <v>485</v>
      </c>
      <c r="J2397" s="0" t="s">
        <v>372</v>
      </c>
      <c r="K2397" s="0" t="s">
        <v>370</v>
      </c>
      <c r="L2397" s="0" t="str">
        <f aca="false">IF(H2397&gt;I2397,"ERRO","OK")</f>
        <v>OK</v>
      </c>
      <c r="M2397" s="0" t="str">
        <f aca="false">IF(H2397&gt;J2397,"ERRO","OK")</f>
        <v>OK</v>
      </c>
      <c r="N2397" s="0" t="str">
        <f aca="false">IF(I2397&lt;J2397,"ERRO","OK")</f>
        <v>OK</v>
      </c>
    </row>
    <row r="2398" customFormat="false" ht="14.25" hidden="false" customHeight="false" outlineLevel="0" collapsed="false">
      <c r="A2398" s="0" t="n">
        <v>98</v>
      </c>
      <c r="B2398" s="0" t="n">
        <v>2025</v>
      </c>
      <c r="C2398" s="3" t="n">
        <v>45751</v>
      </c>
      <c r="E2398" s="0" t="s">
        <v>23</v>
      </c>
      <c r="F2398" s="0" t="s">
        <v>17</v>
      </c>
      <c r="G2398" s="0" t="s">
        <v>373</v>
      </c>
      <c r="H2398" s="0" t="s">
        <v>373</v>
      </c>
      <c r="I2398" s="0" t="s">
        <v>582</v>
      </c>
      <c r="J2398" s="0" t="s">
        <v>417</v>
      </c>
      <c r="K2398" s="0" t="s">
        <v>373</v>
      </c>
      <c r="L2398" s="0" t="str">
        <f aca="false">IF(H2398&gt;I2398,"ERRO","OK")</f>
        <v>ERRO</v>
      </c>
      <c r="M2398" s="0" t="str">
        <f aca="false">IF(H2398&gt;J2398,"ERRO","OK")</f>
        <v>OK</v>
      </c>
      <c r="N2398" s="0" t="str">
        <f aca="false">IF(I2398&lt;J2398,"ERRO","OK")</f>
        <v>ERRO</v>
      </c>
    </row>
    <row r="2399" customFormat="false" ht="14.25" hidden="false" customHeight="false" outlineLevel="0" collapsed="false">
      <c r="A2399" s="0" t="n">
        <v>98</v>
      </c>
      <c r="B2399" s="0" t="n">
        <v>2025</v>
      </c>
      <c r="C2399" s="3" t="n">
        <v>45751</v>
      </c>
      <c r="E2399" s="0" t="s">
        <v>24</v>
      </c>
      <c r="F2399" s="0" t="s">
        <v>17</v>
      </c>
      <c r="G2399" s="0" t="s">
        <v>373</v>
      </c>
      <c r="H2399" s="0" t="s">
        <v>485</v>
      </c>
      <c r="I2399" s="0" t="s">
        <v>485</v>
      </c>
      <c r="J2399" s="0" t="s">
        <v>481</v>
      </c>
      <c r="K2399" s="0" t="s">
        <v>485</v>
      </c>
      <c r="L2399" s="0" t="str">
        <f aca="false">IF(H2399&gt;I2399,"ERRO","OK")</f>
        <v>OK</v>
      </c>
      <c r="M2399" s="0" t="str">
        <f aca="false">IF(H2399&gt;J2399,"ERRO","OK")</f>
        <v>ERRO</v>
      </c>
      <c r="N2399" s="0" t="str">
        <f aca="false">IF(I2399&lt;J2399,"ERRO","OK")</f>
        <v>OK</v>
      </c>
    </row>
    <row r="2400" customFormat="false" ht="14.25" hidden="false" customHeight="false" outlineLevel="0" collapsed="false">
      <c r="A2400" s="0" t="n">
        <v>98</v>
      </c>
      <c r="B2400" s="0" t="n">
        <v>2025</v>
      </c>
      <c r="C2400" s="3" t="n">
        <v>45751</v>
      </c>
      <c r="E2400" s="0" t="s">
        <v>25</v>
      </c>
      <c r="F2400" s="0" t="s">
        <v>17</v>
      </c>
      <c r="G2400" s="0" t="s">
        <v>374</v>
      </c>
      <c r="H2400" s="0" t="s">
        <v>374</v>
      </c>
      <c r="I2400" s="0" t="s">
        <v>374</v>
      </c>
      <c r="J2400" s="0" t="s">
        <v>374</v>
      </c>
      <c r="K2400" s="0" t="s">
        <v>374</v>
      </c>
      <c r="L2400" s="0" t="str">
        <f aca="false">IF(H2400&gt;I2400,"ERRO","OK")</f>
        <v>OK</v>
      </c>
      <c r="M2400" s="0" t="str">
        <f aca="false">IF(H2400&gt;J2400,"ERRO","OK")</f>
        <v>OK</v>
      </c>
      <c r="N2400" s="0" t="str">
        <f aca="false">IF(I2400&lt;J2400,"ERRO","OK")</f>
        <v>OK</v>
      </c>
    </row>
    <row r="2401" customFormat="false" ht="14.25" hidden="false" customHeight="false" outlineLevel="0" collapsed="false">
      <c r="A2401" s="0" t="n">
        <v>98</v>
      </c>
      <c r="B2401" s="0" t="n">
        <v>2025</v>
      </c>
      <c r="C2401" s="3" t="n">
        <v>45751</v>
      </c>
      <c r="E2401" s="0" t="s">
        <v>77</v>
      </c>
      <c r="F2401" s="0" t="s">
        <v>17</v>
      </c>
      <c r="H2401" s="0" t="s">
        <v>582</v>
      </c>
      <c r="I2401" s="0" t="s">
        <v>413</v>
      </c>
      <c r="J2401" s="0" t="s">
        <v>415</v>
      </c>
      <c r="K2401" s="0" t="s">
        <v>580</v>
      </c>
      <c r="L2401" s="0" t="str">
        <f aca="false">IF(H2401&gt;I2401,"ERRO","OK")</f>
        <v>OK</v>
      </c>
      <c r="M2401" s="0" t="str">
        <f aca="false">IF(H2401&gt;J2401,"ERRO","OK")</f>
        <v>OK</v>
      </c>
      <c r="N2401" s="0" t="str">
        <f aca="false">IF(I2401&lt;J2401,"ERRO","OK")</f>
        <v>OK</v>
      </c>
    </row>
    <row r="2402" customFormat="false" ht="14.25" hidden="false" customHeight="false" outlineLevel="0" collapsed="false">
      <c r="A2402" s="0" t="n">
        <v>98</v>
      </c>
      <c r="B2402" s="0" t="n">
        <v>2025</v>
      </c>
      <c r="C2402" s="3" t="n">
        <v>45751</v>
      </c>
      <c r="E2402" s="0" t="s">
        <v>27</v>
      </c>
      <c r="F2402" s="0" t="s">
        <v>17</v>
      </c>
      <c r="G2402" s="0" t="s">
        <v>374</v>
      </c>
      <c r="H2402" s="0" t="s">
        <v>374</v>
      </c>
      <c r="I2402" s="0" t="s">
        <v>442</v>
      </c>
      <c r="J2402" s="0" t="s">
        <v>596</v>
      </c>
      <c r="K2402" s="0" t="s">
        <v>374</v>
      </c>
      <c r="L2402" s="0" t="str">
        <f aca="false">IF(H2402&gt;I2402,"ERRO","OK")</f>
        <v>OK</v>
      </c>
      <c r="M2402" s="0" t="str">
        <f aca="false">IF(H2402&gt;J2402,"ERRO","OK")</f>
        <v>OK</v>
      </c>
      <c r="N2402" s="0" t="str">
        <f aca="false">IF(I2402&lt;J2402,"ERRO","OK")</f>
        <v>OK</v>
      </c>
    </row>
    <row r="2403" customFormat="false" ht="14.25" hidden="false" customHeight="false" outlineLevel="0" collapsed="false">
      <c r="A2403" s="0" t="n">
        <v>98</v>
      </c>
      <c r="B2403" s="0" t="n">
        <v>2025</v>
      </c>
      <c r="C2403" s="3" t="n">
        <v>45751</v>
      </c>
      <c r="E2403" s="0" t="s">
        <v>28</v>
      </c>
      <c r="F2403" s="0" t="s">
        <v>17</v>
      </c>
      <c r="H2403" s="0" t="s">
        <v>370</v>
      </c>
      <c r="I2403" s="0" t="s">
        <v>373</v>
      </c>
      <c r="J2403" s="0" t="s">
        <v>372</v>
      </c>
      <c r="K2403" s="0" t="s">
        <v>372</v>
      </c>
      <c r="L2403" s="0" t="str">
        <f aca="false">IF(H2403&gt;I2403,"ERRO","OK")</f>
        <v>OK</v>
      </c>
      <c r="M2403" s="0" t="str">
        <f aca="false">IF(H2403&gt;J2403,"ERRO","OK")</f>
        <v>OK</v>
      </c>
      <c r="N2403" s="0" t="str">
        <f aca="false">IF(I2403&lt;J2403,"ERRO","OK")</f>
        <v>OK</v>
      </c>
    </row>
    <row r="2404" customFormat="false" ht="14.25" hidden="false" customHeight="false" outlineLevel="0" collapsed="false">
      <c r="A2404" s="0" t="n">
        <v>98</v>
      </c>
      <c r="B2404" s="0" t="n">
        <v>2025</v>
      </c>
      <c r="C2404" s="3" t="n">
        <v>45751</v>
      </c>
      <c r="E2404" s="0" t="s">
        <v>29</v>
      </c>
      <c r="F2404" s="0" t="s">
        <v>30</v>
      </c>
      <c r="H2404" s="0" t="s">
        <v>370</v>
      </c>
      <c r="I2404" s="0" t="s">
        <v>373</v>
      </c>
      <c r="J2404" s="0" t="s">
        <v>372</v>
      </c>
      <c r="K2404" s="0" t="s">
        <v>372</v>
      </c>
      <c r="L2404" s="0" t="str">
        <f aca="false">IF(H2404&gt;I2404,"ERRO","OK")</f>
        <v>OK</v>
      </c>
      <c r="M2404" s="0" t="str">
        <f aca="false">IF(H2404&gt;J2404,"ERRO","OK")</f>
        <v>OK</v>
      </c>
      <c r="N2404" s="0" t="str">
        <f aca="false">IF(I2404&lt;J2404,"ERRO","OK")</f>
        <v>OK</v>
      </c>
    </row>
    <row r="2405" customFormat="false" ht="14.25" hidden="false" customHeight="false" outlineLevel="0" collapsed="false">
      <c r="A2405" s="0" t="n">
        <v>98</v>
      </c>
      <c r="B2405" s="0" t="n">
        <v>2025</v>
      </c>
      <c r="C2405" s="3" t="n">
        <v>45751</v>
      </c>
      <c r="E2405" s="0" t="s">
        <v>31</v>
      </c>
      <c r="F2405" s="0" t="s">
        <v>17</v>
      </c>
      <c r="H2405" s="0" t="s">
        <v>372</v>
      </c>
      <c r="I2405" s="0" t="s">
        <v>485</v>
      </c>
      <c r="J2405" s="0" t="s">
        <v>373</v>
      </c>
      <c r="K2405" s="0" t="s">
        <v>373</v>
      </c>
      <c r="L2405" s="0" t="str">
        <f aca="false">IF(H2405&gt;I2405,"ERRO","OK")</f>
        <v>OK</v>
      </c>
      <c r="M2405" s="0" t="str">
        <f aca="false">IF(H2405&gt;J2405,"ERRO","OK")</f>
        <v>OK</v>
      </c>
      <c r="N2405" s="0" t="str">
        <f aca="false">IF(I2405&lt;J2405,"ERRO","OK")</f>
        <v>OK</v>
      </c>
    </row>
    <row r="2406" customFormat="false" ht="14.25" hidden="false" customHeight="false" outlineLevel="0" collapsed="false">
      <c r="A2406" s="0" t="n">
        <v>98</v>
      </c>
      <c r="B2406" s="0" t="n">
        <v>2025</v>
      </c>
      <c r="C2406" s="3" t="n">
        <v>45751</v>
      </c>
      <c r="E2406" s="0" t="s">
        <v>32</v>
      </c>
      <c r="F2406" s="0" t="s">
        <v>17</v>
      </c>
      <c r="H2406" s="0" t="s">
        <v>405</v>
      </c>
      <c r="I2406" s="0" t="s">
        <v>372</v>
      </c>
      <c r="J2406" s="0" t="s">
        <v>632</v>
      </c>
      <c r="K2406" s="0" t="s">
        <v>370</v>
      </c>
      <c r="L2406" s="0" t="str">
        <f aca="false">IF(H2406&gt;I2406,"ERRO","OK")</f>
        <v>OK</v>
      </c>
      <c r="M2406" s="0" t="str">
        <f aca="false">IF(H2406&gt;J2406,"ERRO","OK")</f>
        <v>OK</v>
      </c>
      <c r="N2406" s="0" t="str">
        <f aca="false">IF(I2406&lt;J2406,"ERRO","OK")</f>
        <v>OK</v>
      </c>
    </row>
    <row r="2407" customFormat="false" ht="14.25" hidden="false" customHeight="false" outlineLevel="0" collapsed="false">
      <c r="A2407" s="0" t="n">
        <v>98</v>
      </c>
      <c r="B2407" s="0" t="n">
        <v>2025</v>
      </c>
      <c r="C2407" s="3" t="n">
        <v>45751</v>
      </c>
      <c r="E2407" s="0" t="s">
        <v>33</v>
      </c>
      <c r="F2407" s="0" t="s">
        <v>17</v>
      </c>
      <c r="G2407" s="0" t="s">
        <v>370</v>
      </c>
      <c r="H2407" s="0" t="s">
        <v>369</v>
      </c>
      <c r="I2407" s="0" t="s">
        <v>370</v>
      </c>
      <c r="J2407" s="0" t="s">
        <v>445</v>
      </c>
      <c r="K2407" s="0" t="s">
        <v>370</v>
      </c>
      <c r="L2407" s="0" t="str">
        <f aca="false">IF(H2407&gt;I2407,"ERRO","OK")</f>
        <v>OK</v>
      </c>
      <c r="M2407" s="0" t="str">
        <f aca="false">IF(H2407&gt;J2407,"ERRO","OK")</f>
        <v>OK</v>
      </c>
      <c r="N2407" s="0" t="str">
        <f aca="false">IF(I2407&lt;J2407,"ERRO","OK")</f>
        <v>OK</v>
      </c>
    </row>
    <row r="2408" customFormat="false" ht="14.25" hidden="false" customHeight="false" outlineLevel="0" collapsed="false">
      <c r="A2408" s="0" t="n">
        <v>98</v>
      </c>
      <c r="B2408" s="0" t="n">
        <v>2025</v>
      </c>
      <c r="C2408" s="3" t="n">
        <v>45751</v>
      </c>
      <c r="E2408" s="0" t="s">
        <v>35</v>
      </c>
      <c r="F2408" s="0" t="s">
        <v>36</v>
      </c>
      <c r="G2408" s="0" t="s">
        <v>390</v>
      </c>
      <c r="H2408" s="0" t="s">
        <v>390</v>
      </c>
      <c r="I2408" s="0" t="s">
        <v>626</v>
      </c>
      <c r="J2408" s="0" t="s">
        <v>633</v>
      </c>
      <c r="K2408" s="0" t="s">
        <v>390</v>
      </c>
      <c r="L2408" s="0" t="str">
        <f aca="false">IF(H2408&gt;I2408,"ERRO","OK")</f>
        <v>OK</v>
      </c>
      <c r="M2408" s="0" t="str">
        <f aca="false">IF(H2408&gt;J2408,"ERRO","OK")</f>
        <v>OK</v>
      </c>
      <c r="N2408" s="0" t="str">
        <f aca="false">IF(I2408&lt;J2408,"ERRO","OK")</f>
        <v>OK</v>
      </c>
    </row>
    <row r="2409" customFormat="false" ht="14.25" hidden="false" customHeight="false" outlineLevel="0" collapsed="false">
      <c r="A2409" s="0" t="n">
        <v>98</v>
      </c>
      <c r="B2409" s="0" t="n">
        <v>2025</v>
      </c>
      <c r="C2409" s="3" t="n">
        <v>45751</v>
      </c>
      <c r="E2409" s="0" t="s">
        <v>38</v>
      </c>
      <c r="F2409" s="0" t="s">
        <v>39</v>
      </c>
      <c r="G2409" s="0" t="s">
        <v>400</v>
      </c>
      <c r="H2409" s="0" t="s">
        <v>402</v>
      </c>
      <c r="I2409" s="0" t="s">
        <v>402</v>
      </c>
      <c r="J2409" s="0" t="s">
        <v>634</v>
      </c>
      <c r="K2409" s="0" t="s">
        <v>402</v>
      </c>
      <c r="L2409" s="0" t="str">
        <f aca="false">IF(H2409&gt;I2409,"ERRO","OK")</f>
        <v>OK</v>
      </c>
      <c r="M2409" s="0" t="str">
        <f aca="false">IF(H2409&gt;J2409,"ERRO","OK")</f>
        <v>ERRO</v>
      </c>
      <c r="N2409" s="0" t="str">
        <f aca="false">IF(I2409&lt;J2409,"ERRO","OK")</f>
        <v>OK</v>
      </c>
    </row>
    <row r="2410" customFormat="false" ht="14.25" hidden="false" customHeight="false" outlineLevel="0" collapsed="false">
      <c r="A2410" s="0" t="n">
        <v>98</v>
      </c>
      <c r="B2410" s="0" t="n">
        <v>2025</v>
      </c>
      <c r="C2410" s="3" t="n">
        <v>45751</v>
      </c>
      <c r="E2410" s="0" t="s">
        <v>40</v>
      </c>
      <c r="F2410" s="0" t="s">
        <v>39</v>
      </c>
      <c r="H2410" s="0" t="s">
        <v>431</v>
      </c>
      <c r="I2410" s="0" t="s">
        <v>400</v>
      </c>
      <c r="J2410" s="0" t="s">
        <v>374</v>
      </c>
      <c r="K2410" s="0" t="s">
        <v>374</v>
      </c>
      <c r="L2410" s="0" t="str">
        <f aca="false">IF(H2410&gt;I2410,"ERRO","OK")</f>
        <v>OK</v>
      </c>
      <c r="M2410" s="0" t="str">
        <f aca="false">IF(H2410&gt;J2410,"ERRO","OK")</f>
        <v>OK</v>
      </c>
      <c r="N2410" s="0" t="str">
        <f aca="false">IF(I2410&lt;J2410,"ERRO","OK")</f>
        <v>OK</v>
      </c>
    </row>
    <row r="2411" customFormat="false" ht="14.25" hidden="false" customHeight="false" outlineLevel="0" collapsed="false">
      <c r="A2411" s="0" t="n">
        <v>98</v>
      </c>
      <c r="B2411" s="0" t="n">
        <v>2025</v>
      </c>
      <c r="C2411" s="3" t="n">
        <v>45751</v>
      </c>
      <c r="E2411" s="0" t="s">
        <v>157</v>
      </c>
      <c r="F2411" s="0" t="s">
        <v>158</v>
      </c>
      <c r="H2411" s="0" t="s">
        <v>405</v>
      </c>
      <c r="I2411" s="0" t="s">
        <v>370</v>
      </c>
      <c r="J2411" s="0" t="s">
        <v>408</v>
      </c>
      <c r="K2411" s="0" t="s">
        <v>408</v>
      </c>
      <c r="L2411" s="0" t="str">
        <f aca="false">IF(H2411&gt;I2411,"ERRO","OK")</f>
        <v>OK</v>
      </c>
      <c r="M2411" s="0" t="str">
        <f aca="false">IF(H2411&gt;J2411,"ERRO","OK")</f>
        <v>OK</v>
      </c>
      <c r="N2411" s="0" t="str">
        <f aca="false">IF(I2411&lt;J2411,"ERRO","OK")</f>
        <v>OK</v>
      </c>
    </row>
    <row r="2412" customFormat="false" ht="14.25" hidden="false" customHeight="false" outlineLevel="0" collapsed="false">
      <c r="A2412" s="0" t="n">
        <v>98</v>
      </c>
      <c r="B2412" s="0" t="n">
        <v>2025</v>
      </c>
      <c r="C2412" s="3" t="n">
        <v>45751</v>
      </c>
      <c r="E2412" s="0" t="s">
        <v>43</v>
      </c>
      <c r="F2412" s="0" t="s">
        <v>44</v>
      </c>
      <c r="H2412" s="0" t="s">
        <v>370</v>
      </c>
      <c r="I2412" s="0" t="s">
        <v>398</v>
      </c>
      <c r="J2412" s="0" t="s">
        <v>382</v>
      </c>
      <c r="K2412" s="0" t="s">
        <v>382</v>
      </c>
      <c r="L2412" s="0" t="str">
        <f aca="false">IF(H2412&gt;I2412,"ERRO","OK")</f>
        <v>OK</v>
      </c>
      <c r="M2412" s="0" t="str">
        <f aca="false">IF(H2412&gt;J2412,"ERRO","OK")</f>
        <v>OK</v>
      </c>
      <c r="N2412" s="0" t="str">
        <f aca="false">IF(I2412&lt;J2412,"ERRO","OK")</f>
        <v>OK</v>
      </c>
    </row>
    <row r="2413" customFormat="false" ht="14.25" hidden="false" customHeight="false" outlineLevel="0" collapsed="false">
      <c r="A2413" s="0" t="n">
        <v>98</v>
      </c>
      <c r="B2413" s="0" t="n">
        <v>2025</v>
      </c>
      <c r="C2413" s="3" t="n">
        <v>45751</v>
      </c>
      <c r="E2413" s="0" t="s">
        <v>46</v>
      </c>
      <c r="F2413" s="0" t="s">
        <v>47</v>
      </c>
      <c r="H2413" s="0" t="s">
        <v>402</v>
      </c>
      <c r="I2413" s="0" t="s">
        <v>406</v>
      </c>
      <c r="J2413" s="0" t="s">
        <v>606</v>
      </c>
      <c r="K2413" s="0" t="s">
        <v>370</v>
      </c>
      <c r="L2413" s="0" t="str">
        <f aca="false">IF(H2413&gt;I2413,"ERRO","OK")</f>
        <v>OK</v>
      </c>
      <c r="M2413" s="0" t="str">
        <f aca="false">IF(H2413&gt;J2413,"ERRO","OK")</f>
        <v>OK</v>
      </c>
      <c r="N2413" s="0" t="str">
        <f aca="false">IF(I2413&lt;J2413,"ERRO","OK")</f>
        <v>OK</v>
      </c>
    </row>
    <row r="2414" customFormat="false" ht="14.25" hidden="false" customHeight="false" outlineLevel="0" collapsed="false">
      <c r="A2414" s="0" t="n">
        <v>98</v>
      </c>
      <c r="B2414" s="0" t="n">
        <v>2025</v>
      </c>
      <c r="C2414" s="3" t="n">
        <v>45751</v>
      </c>
      <c r="E2414" s="0" t="s">
        <v>48</v>
      </c>
      <c r="F2414" s="0" t="s">
        <v>49</v>
      </c>
      <c r="H2414" s="0" t="s">
        <v>409</v>
      </c>
      <c r="I2414" s="0" t="s">
        <v>370</v>
      </c>
      <c r="J2414" s="0" t="s">
        <v>507</v>
      </c>
      <c r="K2414" s="0" t="s">
        <v>402</v>
      </c>
      <c r="L2414" s="0" t="str">
        <f aca="false">IF(H2414&gt;I2414,"ERRO","OK")</f>
        <v>OK</v>
      </c>
      <c r="M2414" s="0" t="str">
        <f aca="false">IF(H2414&gt;J2414,"ERRO","OK")</f>
        <v>OK</v>
      </c>
      <c r="N2414" s="0" t="str">
        <f aca="false">IF(I2414&lt;J2414,"ERRO","OK")</f>
        <v>OK</v>
      </c>
    </row>
    <row r="2415" customFormat="false" ht="14.25" hidden="false" customHeight="false" outlineLevel="0" collapsed="false">
      <c r="A2415" s="0" t="n">
        <v>98</v>
      </c>
      <c r="B2415" s="0" t="n">
        <v>2025</v>
      </c>
      <c r="C2415" s="3" t="n">
        <v>45751</v>
      </c>
      <c r="E2415" s="0" t="s">
        <v>52</v>
      </c>
      <c r="F2415" s="0" t="s">
        <v>49</v>
      </c>
      <c r="H2415" s="0" t="s">
        <v>397</v>
      </c>
      <c r="I2415" s="0" t="s">
        <v>397</v>
      </c>
      <c r="J2415" s="0" t="s">
        <v>397</v>
      </c>
      <c r="K2415" s="0" t="s">
        <v>397</v>
      </c>
      <c r="L2415" s="0" t="str">
        <f aca="false">IF(H2415&gt;I2415,"ERRO","OK")</f>
        <v>OK</v>
      </c>
      <c r="M2415" s="0" t="str">
        <f aca="false">IF(H2415&gt;J2415,"ERRO","OK")</f>
        <v>OK</v>
      </c>
      <c r="N2415" s="0" t="str">
        <f aca="false">IF(I2415&lt;J2415,"ERRO","OK")</f>
        <v>OK</v>
      </c>
    </row>
    <row r="2416" customFormat="false" ht="14.25" hidden="false" customHeight="false" outlineLevel="0" collapsed="false">
      <c r="A2416" s="0" t="n">
        <v>98</v>
      </c>
      <c r="B2416" s="0" t="n">
        <v>2025</v>
      </c>
      <c r="C2416" s="3" t="n">
        <v>45751</v>
      </c>
      <c r="E2416" s="0" t="s">
        <v>53</v>
      </c>
      <c r="F2416" s="0" t="s">
        <v>54</v>
      </c>
      <c r="H2416" s="0" t="s">
        <v>405</v>
      </c>
      <c r="I2416" s="0" t="s">
        <v>382</v>
      </c>
      <c r="J2416" s="0" t="s">
        <v>370</v>
      </c>
      <c r="K2416" s="0" t="s">
        <v>370</v>
      </c>
      <c r="L2416" s="0" t="str">
        <f aca="false">IF(H2416&gt;I2416,"ERRO","OK")</f>
        <v>OK</v>
      </c>
      <c r="M2416" s="0" t="str">
        <f aca="false">IF(H2416&gt;J2416,"ERRO","OK")</f>
        <v>OK</v>
      </c>
      <c r="N2416" s="0" t="str">
        <f aca="false">IF(I2416&lt;J2416,"ERRO","OK")</f>
        <v>OK</v>
      </c>
    </row>
    <row r="2417" customFormat="false" ht="14.25" hidden="false" customHeight="false" outlineLevel="0" collapsed="false">
      <c r="A2417" s="0" t="n">
        <v>98</v>
      </c>
      <c r="B2417" s="0" t="n">
        <v>2025</v>
      </c>
      <c r="C2417" s="3" t="n">
        <v>45751</v>
      </c>
      <c r="E2417" s="0" t="s">
        <v>56</v>
      </c>
      <c r="F2417" s="0" t="s">
        <v>47</v>
      </c>
      <c r="G2417" s="0" t="s">
        <v>370</v>
      </c>
      <c r="H2417" s="0" t="s">
        <v>370</v>
      </c>
      <c r="I2417" s="0" t="s">
        <v>497</v>
      </c>
      <c r="J2417" s="0" t="s">
        <v>614</v>
      </c>
      <c r="K2417" s="0" t="s">
        <v>370</v>
      </c>
      <c r="L2417" s="0" t="str">
        <f aca="false">IF(H2417&gt;I2417,"ERRO","OK")</f>
        <v>OK</v>
      </c>
      <c r="M2417" s="0" t="str">
        <f aca="false">IF(H2417&gt;J2417,"ERRO","OK")</f>
        <v>OK</v>
      </c>
      <c r="N2417" s="0" t="str">
        <f aca="false">IF(I2417&lt;J2417,"ERRO","OK")</f>
        <v>OK</v>
      </c>
    </row>
    <row r="2418" customFormat="false" ht="14.25" hidden="false" customHeight="false" outlineLevel="0" collapsed="false">
      <c r="A2418" s="0" t="n">
        <v>98</v>
      </c>
      <c r="B2418" s="0" t="n">
        <v>2025</v>
      </c>
      <c r="C2418" s="3" t="n">
        <v>45751</v>
      </c>
      <c r="E2418" s="0" t="s">
        <v>57</v>
      </c>
      <c r="F2418" s="0" t="s">
        <v>47</v>
      </c>
      <c r="H2418" s="0" t="s">
        <v>382</v>
      </c>
      <c r="I2418" s="0" t="s">
        <v>417</v>
      </c>
      <c r="J2418" s="0" t="s">
        <v>398</v>
      </c>
      <c r="K2418" s="0" t="s">
        <v>398</v>
      </c>
      <c r="L2418" s="0" t="str">
        <f aca="false">IF(H2418&gt;I2418,"ERRO","OK")</f>
        <v>OK</v>
      </c>
      <c r="M2418" s="0" t="str">
        <f aca="false">IF(H2418&gt;J2418,"ERRO","OK")</f>
        <v>OK</v>
      </c>
      <c r="N2418" s="0" t="str">
        <f aca="false">IF(I2418&lt;J2418,"ERRO","OK")</f>
        <v>OK</v>
      </c>
    </row>
    <row r="2419" customFormat="false" ht="14.25" hidden="false" customHeight="false" outlineLevel="0" collapsed="false">
      <c r="A2419" s="0" t="n">
        <v>98</v>
      </c>
      <c r="B2419" s="0" t="n">
        <v>2025</v>
      </c>
      <c r="C2419" s="3" t="n">
        <v>45751</v>
      </c>
      <c r="E2419" s="0" t="s">
        <v>58</v>
      </c>
      <c r="F2419" s="0" t="s">
        <v>44</v>
      </c>
      <c r="G2419" s="0" t="s">
        <v>382</v>
      </c>
      <c r="H2419" s="0" t="s">
        <v>382</v>
      </c>
      <c r="I2419" s="0" t="s">
        <v>382</v>
      </c>
      <c r="J2419" s="0" t="s">
        <v>382</v>
      </c>
      <c r="K2419" s="0" t="s">
        <v>382</v>
      </c>
      <c r="L2419" s="0" t="str">
        <f aca="false">IF(H2419&gt;I2419,"ERRO","OK")</f>
        <v>OK</v>
      </c>
      <c r="M2419" s="0" t="str">
        <f aca="false">IF(H2419&gt;J2419,"ERRO","OK")</f>
        <v>OK</v>
      </c>
      <c r="N2419" s="0" t="str">
        <f aca="false">IF(I2419&lt;J2419,"ERRO","OK")</f>
        <v>OK</v>
      </c>
    </row>
    <row r="2420" customFormat="false" ht="14.25" hidden="false" customHeight="false" outlineLevel="0" collapsed="false">
      <c r="A2420" s="0" t="n">
        <v>98</v>
      </c>
      <c r="B2420" s="0" t="n">
        <v>2025</v>
      </c>
      <c r="C2420" s="3" t="n">
        <v>45751</v>
      </c>
      <c r="E2420" s="0" t="s">
        <v>60</v>
      </c>
      <c r="F2420" s="0" t="s">
        <v>47</v>
      </c>
      <c r="H2420" s="0" t="s">
        <v>397</v>
      </c>
      <c r="I2420" s="0" t="s">
        <v>397</v>
      </c>
      <c r="J2420" s="0" t="s">
        <v>397</v>
      </c>
      <c r="K2420" s="0" t="s">
        <v>397</v>
      </c>
      <c r="L2420" s="0" t="str">
        <f aca="false">IF(H2420&gt;I2420,"ERRO","OK")</f>
        <v>OK</v>
      </c>
      <c r="M2420" s="0" t="str">
        <f aca="false">IF(H2420&gt;J2420,"ERRO","OK")</f>
        <v>OK</v>
      </c>
      <c r="N2420" s="0" t="str">
        <f aca="false">IF(I2420&lt;J2420,"ERRO","OK")</f>
        <v>OK</v>
      </c>
    </row>
    <row r="2421" customFormat="false" ht="14.25" hidden="false" customHeight="false" outlineLevel="0" collapsed="false">
      <c r="A2421" s="0" t="n">
        <v>98</v>
      </c>
      <c r="B2421" s="0" t="n">
        <v>2025</v>
      </c>
      <c r="C2421" s="3" t="n">
        <v>45751</v>
      </c>
      <c r="E2421" s="0" t="s">
        <v>61</v>
      </c>
      <c r="F2421" s="0" t="s">
        <v>44</v>
      </c>
      <c r="H2421" s="0" t="s">
        <v>382</v>
      </c>
      <c r="I2421" s="0" t="s">
        <v>382</v>
      </c>
      <c r="J2421" s="0" t="s">
        <v>382</v>
      </c>
      <c r="K2421" s="0" t="s">
        <v>382</v>
      </c>
      <c r="L2421" s="0" t="str">
        <f aca="false">IF(H2421&gt;I2421,"ERRO","OK")</f>
        <v>OK</v>
      </c>
      <c r="M2421" s="0" t="str">
        <f aca="false">IF(H2421&gt;J2421,"ERRO","OK")</f>
        <v>OK</v>
      </c>
      <c r="N2421" s="0" t="str">
        <f aca="false">IF(I2421&lt;J2421,"ERRO","OK")</f>
        <v>OK</v>
      </c>
    </row>
    <row r="2422" customFormat="false" ht="14.25" hidden="false" customHeight="false" outlineLevel="0" collapsed="false">
      <c r="A2422" s="0" t="n">
        <v>98</v>
      </c>
      <c r="B2422" s="0" t="n">
        <v>2025</v>
      </c>
      <c r="C2422" s="3" t="n">
        <v>45751</v>
      </c>
      <c r="E2422" s="0" t="s">
        <v>62</v>
      </c>
      <c r="F2422" s="0" t="s">
        <v>44</v>
      </c>
      <c r="G2422" s="0" t="s">
        <v>398</v>
      </c>
      <c r="H2422" s="0" t="s">
        <v>398</v>
      </c>
      <c r="I2422" s="0" t="s">
        <v>417</v>
      </c>
      <c r="J2422" s="0" t="s">
        <v>439</v>
      </c>
      <c r="K2422" s="0" t="s">
        <v>398</v>
      </c>
      <c r="L2422" s="0" t="str">
        <f aca="false">IF(H2422&gt;I2422,"ERRO","OK")</f>
        <v>OK</v>
      </c>
      <c r="M2422" s="0" t="str">
        <f aca="false">IF(H2422&gt;J2422,"ERRO","OK")</f>
        <v>OK</v>
      </c>
      <c r="N2422" s="0" t="str">
        <f aca="false">IF(I2422&lt;J2422,"ERRO","OK")</f>
        <v>OK</v>
      </c>
    </row>
    <row r="2423" customFormat="false" ht="14.25" hidden="false" customHeight="false" outlineLevel="0" collapsed="false">
      <c r="A2423" s="0" t="n">
        <v>98</v>
      </c>
      <c r="B2423" s="0" t="n">
        <v>2025</v>
      </c>
      <c r="C2423" s="3" t="n">
        <v>45751</v>
      </c>
      <c r="E2423" s="0" t="s">
        <v>63</v>
      </c>
      <c r="F2423" s="0" t="s">
        <v>49</v>
      </c>
      <c r="H2423" s="0" t="s">
        <v>374</v>
      </c>
      <c r="I2423" s="0" t="s">
        <v>397</v>
      </c>
      <c r="J2423" s="0" t="s">
        <v>405</v>
      </c>
      <c r="K2423" s="0" t="s">
        <v>402</v>
      </c>
      <c r="L2423" s="0" t="str">
        <f aca="false">IF(H2423&gt;I2423,"ERRO","OK")</f>
        <v>OK</v>
      </c>
      <c r="M2423" s="0" t="str">
        <f aca="false">IF(H2423&gt;J2423,"ERRO","OK")</f>
        <v>OK</v>
      </c>
      <c r="N2423" s="0" t="str">
        <f aca="false">IF(I2423&lt;J2423,"ERRO","OK")</f>
        <v>OK</v>
      </c>
    </row>
    <row r="2424" customFormat="false" ht="14.25" hidden="false" customHeight="false" outlineLevel="0" collapsed="false">
      <c r="A2424" s="0" t="n">
        <v>98</v>
      </c>
      <c r="B2424" s="0" t="n">
        <v>2025</v>
      </c>
      <c r="C2424" s="3" t="n">
        <v>45751</v>
      </c>
      <c r="E2424" s="0" t="s">
        <v>64</v>
      </c>
      <c r="F2424" s="0" t="s">
        <v>65</v>
      </c>
      <c r="H2424" s="0" t="s">
        <v>417</v>
      </c>
      <c r="I2424" s="0" t="s">
        <v>464</v>
      </c>
      <c r="J2424" s="0" t="s">
        <v>624</v>
      </c>
      <c r="K2424" s="0" t="s">
        <v>427</v>
      </c>
      <c r="L2424" s="0" t="str">
        <f aca="false">IF(H2424&gt;I2424,"ERRO","OK")</f>
        <v>ERRO</v>
      </c>
      <c r="M2424" s="0" t="str">
        <f aca="false">IF(H2424&gt;J2424,"ERRO","OK")</f>
        <v>ERRO</v>
      </c>
      <c r="N2424" s="0" t="str">
        <f aca="false">IF(I2424&lt;J2424,"ERRO","OK")</f>
        <v>OK</v>
      </c>
    </row>
    <row r="2425" customFormat="false" ht="14.25" hidden="false" customHeight="false" outlineLevel="0" collapsed="false">
      <c r="A2425" s="0" t="n">
        <v>98</v>
      </c>
      <c r="B2425" s="0" t="n">
        <v>2025</v>
      </c>
      <c r="C2425" s="3" t="n">
        <v>45751</v>
      </c>
      <c r="E2425" s="0" t="s">
        <v>67</v>
      </c>
      <c r="F2425" s="0" t="s">
        <v>44</v>
      </c>
      <c r="H2425" s="0" t="s">
        <v>427</v>
      </c>
      <c r="I2425" s="0" t="s">
        <v>635</v>
      </c>
      <c r="J2425" s="0" t="s">
        <v>636</v>
      </c>
      <c r="K2425" s="0" t="s">
        <v>415</v>
      </c>
      <c r="L2425" s="0" t="str">
        <f aca="false">IF(H2425&gt;I2425,"ERRO","OK")</f>
        <v>OK</v>
      </c>
      <c r="M2425" s="0" t="str">
        <f aca="false">IF(H2425&gt;J2425,"ERRO","OK")</f>
        <v>OK</v>
      </c>
      <c r="N2425" s="0" t="str">
        <f aca="false">IF(I2425&lt;J2425,"ERRO","OK")</f>
        <v>OK</v>
      </c>
    </row>
    <row r="2426" customFormat="false" ht="14.25" hidden="false" customHeight="false" outlineLevel="0" collapsed="false">
      <c r="A2426" s="0" t="n">
        <v>98</v>
      </c>
      <c r="B2426" s="0" t="n">
        <v>2025</v>
      </c>
      <c r="C2426" s="3" t="n">
        <v>45751</v>
      </c>
      <c r="E2426" s="0" t="s">
        <v>68</v>
      </c>
      <c r="F2426" s="0" t="s">
        <v>44</v>
      </c>
      <c r="H2426" s="0" t="s">
        <v>420</v>
      </c>
      <c r="I2426" s="0" t="s">
        <v>420</v>
      </c>
      <c r="J2426" s="0" t="s">
        <v>420</v>
      </c>
      <c r="K2426" s="0" t="s">
        <v>420</v>
      </c>
      <c r="L2426" s="0" t="str">
        <f aca="false">IF(H2426&gt;I2426,"ERRO","OK")</f>
        <v>OK</v>
      </c>
      <c r="M2426" s="0" t="str">
        <f aca="false">IF(H2426&gt;J2426,"ERRO","OK")</f>
        <v>OK</v>
      </c>
      <c r="N2426" s="0" t="str">
        <f aca="false">IF(I2426&lt;J2426,"ERRO","OK")</f>
        <v>OK</v>
      </c>
    </row>
    <row r="2427" customFormat="false" ht="14.25" hidden="false" customHeight="false" outlineLevel="0" collapsed="false">
      <c r="A2427" s="0" t="n">
        <v>98</v>
      </c>
      <c r="B2427" s="0" t="n">
        <v>2025</v>
      </c>
      <c r="C2427" s="3" t="n">
        <v>45751</v>
      </c>
      <c r="E2427" s="20" t="s">
        <v>70</v>
      </c>
      <c r="F2427" s="21" t="s">
        <v>49</v>
      </c>
      <c r="L2427" s="0" t="str">
        <f aca="false">IF(H2427&gt;I2427,"ERRO","OK")</f>
        <v>OK</v>
      </c>
      <c r="M2427" s="0" t="str">
        <f aca="false">IF(H2427&gt;J2427,"ERRO","OK")</f>
        <v>OK</v>
      </c>
      <c r="N2427" s="0" t="str">
        <f aca="false">IF(I2427&lt;J2427,"ERRO","OK")</f>
        <v>OK</v>
      </c>
    </row>
    <row r="2428" customFormat="false" ht="14.25" hidden="false" customHeight="false" outlineLevel="0" collapsed="false">
      <c r="A2428" s="0" t="n">
        <v>98</v>
      </c>
      <c r="B2428" s="0" t="n">
        <v>2025</v>
      </c>
      <c r="C2428" s="3" t="n">
        <v>45751</v>
      </c>
      <c r="E2428" s="20" t="s">
        <v>71</v>
      </c>
      <c r="F2428" s="21" t="s">
        <v>49</v>
      </c>
      <c r="L2428" s="0" t="str">
        <f aca="false">IF(H2428&gt;I2428,"ERRO","OK")</f>
        <v>OK</v>
      </c>
      <c r="M2428" s="0" t="str">
        <f aca="false">IF(H2428&gt;J2428,"ERRO","OK")</f>
        <v>OK</v>
      </c>
      <c r="N2428" s="0" t="str">
        <f aca="false">IF(I2428&lt;J2428,"ERRO","OK")</f>
        <v>OK</v>
      </c>
    </row>
    <row r="2429" customFormat="false" ht="14.25" hidden="false" customHeight="false" outlineLevel="0" collapsed="false">
      <c r="A2429" s="0" t="n">
        <v>98</v>
      </c>
      <c r="B2429" s="0" t="n">
        <v>2025</v>
      </c>
      <c r="C2429" s="3" t="n">
        <v>45751</v>
      </c>
      <c r="E2429" s="20" t="s">
        <v>72</v>
      </c>
      <c r="F2429" s="21" t="s">
        <v>49</v>
      </c>
      <c r="L2429" s="0" t="str">
        <f aca="false">IF(H2429&gt;I2429,"ERRO","OK")</f>
        <v>OK</v>
      </c>
      <c r="M2429" s="0" t="str">
        <f aca="false">IF(H2429&gt;J2429,"ERRO","OK")</f>
        <v>OK</v>
      </c>
      <c r="N2429" s="0" t="str">
        <f aca="false">IF(I2429&lt;J2429,"ERRO","OK")</f>
        <v>OK</v>
      </c>
    </row>
    <row r="2430" customFormat="false" ht="14.25" hidden="false" customHeight="false" outlineLevel="0" collapsed="false">
      <c r="A2430" s="0" t="n">
        <v>98</v>
      </c>
      <c r="B2430" s="0" t="n">
        <v>2025</v>
      </c>
      <c r="C2430" s="3" t="n">
        <v>45751</v>
      </c>
      <c r="E2430" s="20" t="s">
        <v>73</v>
      </c>
      <c r="F2430" s="21" t="s">
        <v>49</v>
      </c>
      <c r="L2430" s="0" t="str">
        <f aca="false">IF(H2430&gt;I2430,"ERRO","OK")</f>
        <v>OK</v>
      </c>
      <c r="M2430" s="0" t="str">
        <f aca="false">IF(H2430&gt;J2430,"ERRO","OK")</f>
        <v>OK</v>
      </c>
      <c r="N2430" s="0" t="str">
        <f aca="false">IF(I2430&lt;J2430,"ERRO","OK")</f>
        <v>OK</v>
      </c>
    </row>
    <row r="2431" customFormat="false" ht="14.25" hidden="false" customHeight="false" outlineLevel="0" collapsed="false">
      <c r="A2431" s="0" t="n">
        <v>98</v>
      </c>
      <c r="B2431" s="0" t="n">
        <v>2025</v>
      </c>
      <c r="C2431" s="3" t="n">
        <v>45751</v>
      </c>
      <c r="E2431" s="20" t="s">
        <v>74</v>
      </c>
      <c r="F2431" s="21" t="s">
        <v>75</v>
      </c>
      <c r="L2431" s="0" t="str">
        <f aca="false">IF(H2431&gt;I2431,"ERRO","OK")</f>
        <v>OK</v>
      </c>
      <c r="M2431" s="0" t="str">
        <f aca="false">IF(H2431&gt;J2431,"ERRO","OK")</f>
        <v>OK</v>
      </c>
      <c r="N2431" s="0" t="str">
        <f aca="false">IF(I2431&lt;J2431,"ERRO","OK")</f>
        <v>OK</v>
      </c>
    </row>
    <row r="2432" customFormat="false" ht="14.25" hidden="false" customHeight="false" outlineLevel="0" collapsed="false">
      <c r="A2432" s="0" t="n">
        <v>99</v>
      </c>
      <c r="B2432" s="0" t="n">
        <v>2025</v>
      </c>
      <c r="C2432" s="3" t="n">
        <v>45758</v>
      </c>
      <c r="E2432" s="0" t="s">
        <v>16</v>
      </c>
      <c r="F2432" s="0" t="s">
        <v>17</v>
      </c>
      <c r="H2432" s="0" t="s">
        <v>370</v>
      </c>
      <c r="I2432" s="0" t="s">
        <v>372</v>
      </c>
      <c r="J2432" s="0" t="s">
        <v>637</v>
      </c>
      <c r="K2432" s="0" t="s">
        <v>382</v>
      </c>
      <c r="L2432" s="0" t="str">
        <f aca="false">IF(H2432&gt;I2432,"ERRO","OK")</f>
        <v>OK</v>
      </c>
      <c r="M2432" s="0" t="str">
        <f aca="false">IF(H2432&gt;J2432,"ERRO","OK")</f>
        <v>OK</v>
      </c>
      <c r="N2432" s="0" t="str">
        <f aca="false">IF(I2432&lt;J2432,"ERRO","OK")</f>
        <v>OK</v>
      </c>
    </row>
    <row r="2433" customFormat="false" ht="14.25" hidden="false" customHeight="false" outlineLevel="0" collapsed="false">
      <c r="A2433" s="0" t="n">
        <v>99</v>
      </c>
      <c r="B2433" s="0" t="n">
        <v>2025</v>
      </c>
      <c r="C2433" s="3" t="n">
        <v>45758</v>
      </c>
      <c r="E2433" s="0" t="s">
        <v>18</v>
      </c>
      <c r="F2433" s="0" t="s">
        <v>17</v>
      </c>
      <c r="G2433" s="0" t="s">
        <v>485</v>
      </c>
      <c r="H2433" s="0" t="s">
        <v>485</v>
      </c>
      <c r="I2433" s="0" t="s">
        <v>485</v>
      </c>
      <c r="J2433" s="0" t="s">
        <v>485</v>
      </c>
      <c r="K2433" s="0" t="s">
        <v>485</v>
      </c>
      <c r="L2433" s="0" t="str">
        <f aca="false">IF(H2433&gt;I2433,"ERRO","OK")</f>
        <v>OK</v>
      </c>
      <c r="M2433" s="0" t="str">
        <f aca="false">IF(H2433&gt;J2433,"ERRO","OK")</f>
        <v>OK</v>
      </c>
      <c r="N2433" s="0" t="str">
        <f aca="false">IF(I2433&lt;J2433,"ERRO","OK")</f>
        <v>OK</v>
      </c>
    </row>
    <row r="2434" customFormat="false" ht="14.25" hidden="false" customHeight="false" outlineLevel="0" collapsed="false">
      <c r="A2434" s="0" t="n">
        <v>99</v>
      </c>
      <c r="B2434" s="0" t="n">
        <v>2025</v>
      </c>
      <c r="C2434" s="3" t="n">
        <v>45758</v>
      </c>
      <c r="E2434" s="0" t="s">
        <v>19</v>
      </c>
      <c r="F2434" s="0" t="s">
        <v>17</v>
      </c>
      <c r="G2434" s="0" t="s">
        <v>369</v>
      </c>
      <c r="H2434" s="0" t="s">
        <v>369</v>
      </c>
      <c r="I2434" s="0" t="s">
        <v>369</v>
      </c>
      <c r="J2434" s="0" t="s">
        <v>369</v>
      </c>
      <c r="K2434" s="0" t="s">
        <v>369</v>
      </c>
      <c r="L2434" s="0" t="str">
        <f aca="false">IF(H2434&gt;I2434,"ERRO","OK")</f>
        <v>OK</v>
      </c>
      <c r="M2434" s="0" t="str">
        <f aca="false">IF(H2434&gt;J2434,"ERRO","OK")</f>
        <v>OK</v>
      </c>
      <c r="N2434" s="0" t="str">
        <f aca="false">IF(I2434&lt;J2434,"ERRO","OK")</f>
        <v>OK</v>
      </c>
    </row>
    <row r="2435" customFormat="false" ht="14.25" hidden="false" customHeight="false" outlineLevel="0" collapsed="false">
      <c r="A2435" s="0" t="n">
        <v>99</v>
      </c>
      <c r="B2435" s="0" t="n">
        <v>2025</v>
      </c>
      <c r="C2435" s="3" t="n">
        <v>45758</v>
      </c>
      <c r="E2435" s="0" t="s">
        <v>20</v>
      </c>
      <c r="F2435" s="0" t="s">
        <v>17</v>
      </c>
      <c r="G2435" s="0" t="s">
        <v>374</v>
      </c>
      <c r="H2435" s="0" t="s">
        <v>374</v>
      </c>
      <c r="I2435" s="0" t="s">
        <v>374</v>
      </c>
      <c r="J2435" s="0" t="s">
        <v>374</v>
      </c>
      <c r="K2435" s="0" t="s">
        <v>374</v>
      </c>
      <c r="L2435" s="0" t="str">
        <f aca="false">IF(H2435&gt;I2435,"ERRO","OK")</f>
        <v>OK</v>
      </c>
      <c r="M2435" s="0" t="str">
        <f aca="false">IF(H2435&gt;J2435,"ERRO","OK")</f>
        <v>OK</v>
      </c>
      <c r="N2435" s="0" t="str">
        <f aca="false">IF(I2435&lt;J2435,"ERRO","OK")</f>
        <v>OK</v>
      </c>
    </row>
    <row r="2436" customFormat="false" ht="14.25" hidden="false" customHeight="false" outlineLevel="0" collapsed="false">
      <c r="A2436" s="0" t="n">
        <v>99</v>
      </c>
      <c r="B2436" s="0" t="n">
        <v>2025</v>
      </c>
      <c r="C2436" s="3" t="n">
        <v>45758</v>
      </c>
      <c r="E2436" s="0" t="s">
        <v>21</v>
      </c>
      <c r="F2436" s="0" t="s">
        <v>17</v>
      </c>
      <c r="G2436" s="0" t="s">
        <v>374</v>
      </c>
      <c r="H2436" s="0" t="s">
        <v>374</v>
      </c>
      <c r="I2436" s="0" t="s">
        <v>374</v>
      </c>
      <c r="J2436" s="0" t="s">
        <v>374</v>
      </c>
      <c r="K2436" s="0" t="s">
        <v>374</v>
      </c>
      <c r="L2436" s="0" t="str">
        <f aca="false">IF(H2436&gt;I2436,"ERRO","OK")</f>
        <v>OK</v>
      </c>
      <c r="M2436" s="0" t="str">
        <f aca="false">IF(H2436&gt;J2436,"ERRO","OK")</f>
        <v>OK</v>
      </c>
      <c r="N2436" s="0" t="str">
        <f aca="false">IF(I2436&lt;J2436,"ERRO","OK")</f>
        <v>OK</v>
      </c>
    </row>
    <row r="2437" customFormat="false" ht="14.25" hidden="false" customHeight="false" outlineLevel="0" collapsed="false">
      <c r="A2437" s="0" t="n">
        <v>99</v>
      </c>
      <c r="B2437" s="0" t="n">
        <v>2025</v>
      </c>
      <c r="C2437" s="3" t="n">
        <v>45758</v>
      </c>
      <c r="E2437" s="0" t="s">
        <v>22</v>
      </c>
      <c r="F2437" s="0" t="s">
        <v>17</v>
      </c>
      <c r="H2437" s="0" t="s">
        <v>428</v>
      </c>
      <c r="I2437" s="0" t="s">
        <v>373</v>
      </c>
      <c r="J2437" s="0" t="s">
        <v>397</v>
      </c>
      <c r="K2437" s="0" t="s">
        <v>397</v>
      </c>
      <c r="L2437" s="0" t="str">
        <f aca="false">IF(H2437&gt;I2437,"ERRO","OK")</f>
        <v>OK</v>
      </c>
      <c r="M2437" s="0" t="str">
        <f aca="false">IF(H2437&gt;J2437,"ERRO","OK")</f>
        <v>OK</v>
      </c>
      <c r="N2437" s="0" t="str">
        <f aca="false">IF(I2437&lt;J2437,"ERRO","OK")</f>
        <v>OK</v>
      </c>
    </row>
    <row r="2438" customFormat="false" ht="14.25" hidden="false" customHeight="false" outlineLevel="0" collapsed="false">
      <c r="A2438" s="0" t="n">
        <v>99</v>
      </c>
      <c r="B2438" s="0" t="n">
        <v>2025</v>
      </c>
      <c r="C2438" s="3" t="n">
        <v>45758</v>
      </c>
      <c r="E2438" s="0" t="s">
        <v>23</v>
      </c>
      <c r="F2438" s="0" t="s">
        <v>17</v>
      </c>
      <c r="G2438" s="0" t="s">
        <v>485</v>
      </c>
      <c r="H2438" s="0" t="s">
        <v>485</v>
      </c>
      <c r="I2438" s="0" t="s">
        <v>485</v>
      </c>
      <c r="J2438" s="0" t="s">
        <v>485</v>
      </c>
      <c r="K2438" s="0" t="s">
        <v>485</v>
      </c>
      <c r="L2438" s="0" t="str">
        <f aca="false">IF(H2438&gt;I2438,"ERRO","OK")</f>
        <v>OK</v>
      </c>
      <c r="M2438" s="0" t="str">
        <f aca="false">IF(H2438&gt;J2438,"ERRO","OK")</f>
        <v>OK</v>
      </c>
      <c r="N2438" s="0" t="str">
        <f aca="false">IF(I2438&lt;J2438,"ERRO","OK")</f>
        <v>OK</v>
      </c>
    </row>
    <row r="2439" customFormat="false" ht="14.25" hidden="false" customHeight="false" outlineLevel="0" collapsed="false">
      <c r="A2439" s="0" t="n">
        <v>99</v>
      </c>
      <c r="B2439" s="0" t="n">
        <v>2025</v>
      </c>
      <c r="C2439" s="3" t="n">
        <v>45758</v>
      </c>
      <c r="E2439" s="0" t="s">
        <v>24</v>
      </c>
      <c r="F2439" s="0" t="s">
        <v>17</v>
      </c>
      <c r="G2439" s="0" t="s">
        <v>485</v>
      </c>
      <c r="H2439" s="0" t="s">
        <v>485</v>
      </c>
      <c r="I2439" s="0" t="s">
        <v>485</v>
      </c>
      <c r="J2439" s="0" t="s">
        <v>485</v>
      </c>
      <c r="K2439" s="0" t="s">
        <v>485</v>
      </c>
      <c r="L2439" s="0" t="str">
        <f aca="false">IF(H2439&gt;I2439,"ERRO","OK")</f>
        <v>OK</v>
      </c>
      <c r="M2439" s="0" t="str">
        <f aca="false">IF(H2439&gt;J2439,"ERRO","OK")</f>
        <v>OK</v>
      </c>
      <c r="N2439" s="0" t="str">
        <f aca="false">IF(I2439&lt;J2439,"ERRO","OK")</f>
        <v>OK</v>
      </c>
    </row>
    <row r="2440" customFormat="false" ht="14.25" hidden="false" customHeight="false" outlineLevel="0" collapsed="false">
      <c r="A2440" s="0" t="n">
        <v>99</v>
      </c>
      <c r="B2440" s="0" t="n">
        <v>2025</v>
      </c>
      <c r="C2440" s="3" t="n">
        <v>45758</v>
      </c>
      <c r="E2440" s="0" t="s">
        <v>25</v>
      </c>
      <c r="F2440" s="0" t="s">
        <v>17</v>
      </c>
      <c r="H2440" s="0" t="s">
        <v>519</v>
      </c>
      <c r="I2440" s="0" t="s">
        <v>374</v>
      </c>
      <c r="J2440" s="0" t="s">
        <v>638</v>
      </c>
      <c r="K2440" s="0" t="s">
        <v>374</v>
      </c>
      <c r="L2440" s="0" t="str">
        <f aca="false">IF(H2440&gt;I2440,"ERRO","OK")</f>
        <v>OK</v>
      </c>
      <c r="M2440" s="0" t="str">
        <f aca="false">IF(H2440&gt;J2440,"ERRO","OK")</f>
        <v>OK</v>
      </c>
      <c r="N2440" s="0" t="str">
        <f aca="false">IF(I2440&lt;J2440,"ERRO","OK")</f>
        <v>OK</v>
      </c>
    </row>
    <row r="2441" customFormat="false" ht="14.25" hidden="false" customHeight="false" outlineLevel="0" collapsed="false">
      <c r="A2441" s="0" t="n">
        <v>99</v>
      </c>
      <c r="B2441" s="0" t="n">
        <v>2025</v>
      </c>
      <c r="C2441" s="3" t="n">
        <v>45758</v>
      </c>
      <c r="E2441" s="0" t="s">
        <v>77</v>
      </c>
      <c r="F2441" s="0" t="s">
        <v>17</v>
      </c>
      <c r="H2441" s="0" t="s">
        <v>374</v>
      </c>
      <c r="I2441" s="0" t="s">
        <v>415</v>
      </c>
      <c r="J2441" s="0" t="s">
        <v>639</v>
      </c>
      <c r="K2441" s="0" t="s">
        <v>580</v>
      </c>
      <c r="L2441" s="0" t="str">
        <f aca="false">IF(H2441&gt;I2441,"ERRO","OK")</f>
        <v>ERRO</v>
      </c>
      <c r="M2441" s="0" t="str">
        <f aca="false">IF(H2441&gt;J2441,"ERRO","OK")</f>
        <v>ERRO</v>
      </c>
      <c r="N2441" s="0" t="str">
        <f aca="false">IF(I2441&lt;J2441,"ERRO","OK")</f>
        <v>OK</v>
      </c>
    </row>
    <row r="2442" customFormat="false" ht="14.25" hidden="false" customHeight="false" outlineLevel="0" collapsed="false">
      <c r="A2442" s="0" t="n">
        <v>99</v>
      </c>
      <c r="B2442" s="0" t="n">
        <v>2025</v>
      </c>
      <c r="C2442" s="3" t="n">
        <v>45758</v>
      </c>
      <c r="E2442" s="0" t="s">
        <v>27</v>
      </c>
      <c r="F2442" s="0" t="s">
        <v>17</v>
      </c>
      <c r="H2442" s="0" t="s">
        <v>485</v>
      </c>
      <c r="I2442" s="0" t="s">
        <v>374</v>
      </c>
      <c r="J2442" s="0" t="s">
        <v>374</v>
      </c>
      <c r="K2442" s="0" t="s">
        <v>374</v>
      </c>
      <c r="L2442" s="0" t="str">
        <f aca="false">IF(H2442&gt;I2442,"ERRO","OK")</f>
        <v>ERRO</v>
      </c>
      <c r="M2442" s="0" t="str">
        <f aca="false">IF(H2442&gt;J2442,"ERRO","OK")</f>
        <v>ERRO</v>
      </c>
      <c r="N2442" s="0" t="str">
        <f aca="false">IF(I2442&lt;J2442,"ERRO","OK")</f>
        <v>OK</v>
      </c>
    </row>
    <row r="2443" customFormat="false" ht="14.25" hidden="false" customHeight="false" outlineLevel="0" collapsed="false">
      <c r="A2443" s="0" t="n">
        <v>99</v>
      </c>
      <c r="B2443" s="0" t="n">
        <v>2025</v>
      </c>
      <c r="C2443" s="3" t="n">
        <v>45758</v>
      </c>
      <c r="E2443" s="0" t="s">
        <v>28</v>
      </c>
      <c r="F2443" s="0" t="s">
        <v>17</v>
      </c>
      <c r="H2443" s="0" t="s">
        <v>374</v>
      </c>
      <c r="I2443" s="0" t="s">
        <v>372</v>
      </c>
      <c r="J2443" s="0" t="s">
        <v>428</v>
      </c>
      <c r="K2443" s="0" t="s">
        <v>428</v>
      </c>
      <c r="L2443" s="0" t="str">
        <f aca="false">IF(H2443&gt;I2443,"ERRO","OK")</f>
        <v>OK</v>
      </c>
      <c r="M2443" s="0" t="str">
        <f aca="false">IF(H2443&gt;J2443,"ERRO","OK")</f>
        <v>OK</v>
      </c>
      <c r="N2443" s="0" t="str">
        <f aca="false">IF(I2443&lt;J2443,"ERRO","OK")</f>
        <v>OK</v>
      </c>
    </row>
    <row r="2444" customFormat="false" ht="14.25" hidden="false" customHeight="false" outlineLevel="0" collapsed="false">
      <c r="A2444" s="0" t="n">
        <v>99</v>
      </c>
      <c r="B2444" s="0" t="n">
        <v>2025</v>
      </c>
      <c r="C2444" s="3" t="n">
        <v>45758</v>
      </c>
      <c r="E2444" s="0" t="s">
        <v>29</v>
      </c>
      <c r="F2444" s="0" t="s">
        <v>30</v>
      </c>
      <c r="H2444" s="0" t="s">
        <v>374</v>
      </c>
      <c r="I2444" s="0" t="s">
        <v>373</v>
      </c>
      <c r="J2444" s="0" t="s">
        <v>640</v>
      </c>
      <c r="K2444" s="0" t="s">
        <v>397</v>
      </c>
      <c r="L2444" s="0" t="str">
        <f aca="false">IF(H2444&gt;I2444,"ERRO","OK")</f>
        <v>OK</v>
      </c>
      <c r="M2444" s="0" t="str">
        <f aca="false">IF(H2444&gt;J2444,"ERRO","OK")</f>
        <v>OK</v>
      </c>
      <c r="N2444" s="0" t="str">
        <f aca="false">IF(I2444&lt;J2444,"ERRO","OK")</f>
        <v>OK</v>
      </c>
    </row>
    <row r="2445" customFormat="false" ht="14.25" hidden="false" customHeight="false" outlineLevel="0" collapsed="false">
      <c r="A2445" s="0" t="n">
        <v>99</v>
      </c>
      <c r="B2445" s="0" t="n">
        <v>2025</v>
      </c>
      <c r="C2445" s="3" t="n">
        <v>45758</v>
      </c>
      <c r="E2445" s="0" t="s">
        <v>31</v>
      </c>
      <c r="F2445" s="0" t="s">
        <v>17</v>
      </c>
      <c r="H2445" s="0" t="s">
        <v>370</v>
      </c>
      <c r="I2445" s="0" t="s">
        <v>373</v>
      </c>
      <c r="J2445" s="0" t="s">
        <v>373</v>
      </c>
      <c r="K2445" s="0" t="s">
        <v>373</v>
      </c>
      <c r="L2445" s="0" t="str">
        <f aca="false">IF(H2445&gt;I2445,"ERRO","OK")</f>
        <v>OK</v>
      </c>
      <c r="M2445" s="0" t="str">
        <f aca="false">IF(H2445&gt;J2445,"ERRO","OK")</f>
        <v>OK</v>
      </c>
      <c r="N2445" s="0" t="str">
        <f aca="false">IF(I2445&lt;J2445,"ERRO","OK")</f>
        <v>OK</v>
      </c>
    </row>
    <row r="2446" customFormat="false" ht="14.25" hidden="false" customHeight="false" outlineLevel="0" collapsed="false">
      <c r="A2446" s="0" t="n">
        <v>99</v>
      </c>
      <c r="B2446" s="0" t="n">
        <v>2025</v>
      </c>
      <c r="C2446" s="3" t="n">
        <v>45758</v>
      </c>
      <c r="E2446" s="0" t="s">
        <v>32</v>
      </c>
      <c r="F2446" s="0" t="s">
        <v>17</v>
      </c>
      <c r="H2446" s="0" t="s">
        <v>370</v>
      </c>
      <c r="I2446" s="0" t="s">
        <v>370</v>
      </c>
      <c r="J2446" s="0" t="s">
        <v>641</v>
      </c>
      <c r="K2446" s="0" t="s">
        <v>370</v>
      </c>
      <c r="L2446" s="0" t="str">
        <f aca="false">IF(H2446&gt;I2446,"ERRO","OK")</f>
        <v>OK</v>
      </c>
      <c r="M2446" s="0" t="str">
        <f aca="false">IF(H2446&gt;J2446,"ERRO","OK")</f>
        <v>ERRO</v>
      </c>
      <c r="N2446" s="0" t="str">
        <f aca="false">IF(I2446&lt;J2446,"ERRO","OK")</f>
        <v>OK</v>
      </c>
    </row>
    <row r="2447" customFormat="false" ht="14.25" hidden="false" customHeight="false" outlineLevel="0" collapsed="false">
      <c r="A2447" s="0" t="n">
        <v>99</v>
      </c>
      <c r="B2447" s="0" t="n">
        <v>2025</v>
      </c>
      <c r="C2447" s="3" t="n">
        <v>45758</v>
      </c>
      <c r="E2447" s="0" t="s">
        <v>33</v>
      </c>
      <c r="F2447" s="0" t="s">
        <v>17</v>
      </c>
      <c r="H2447" s="0" t="s">
        <v>369</v>
      </c>
      <c r="I2447" s="0" t="s">
        <v>408</v>
      </c>
      <c r="J2447" s="0" t="s">
        <v>642</v>
      </c>
      <c r="K2447" s="0" t="s">
        <v>371</v>
      </c>
      <c r="L2447" s="0" t="str">
        <f aca="false">IF(H2447&gt;I2447,"ERRO","OK")</f>
        <v>OK</v>
      </c>
      <c r="M2447" s="0" t="str">
        <f aca="false">IF(H2447&gt;J2447,"ERRO","OK")</f>
        <v>OK</v>
      </c>
      <c r="N2447" s="0" t="str">
        <f aca="false">IF(I2447&lt;J2447,"ERRO","OK")</f>
        <v>OK</v>
      </c>
    </row>
    <row r="2448" customFormat="false" ht="14.25" hidden="false" customHeight="false" outlineLevel="0" collapsed="false">
      <c r="A2448" s="0" t="n">
        <v>99</v>
      </c>
      <c r="B2448" s="0" t="n">
        <v>2025</v>
      </c>
      <c r="C2448" s="3" t="n">
        <v>45758</v>
      </c>
      <c r="E2448" s="0" t="s">
        <v>35</v>
      </c>
      <c r="F2448" s="0" t="s">
        <v>36</v>
      </c>
      <c r="H2448" s="0" t="s">
        <v>370</v>
      </c>
      <c r="I2448" s="0" t="s">
        <v>372</v>
      </c>
      <c r="J2448" s="0" t="s">
        <v>637</v>
      </c>
      <c r="K2448" s="0" t="s">
        <v>382</v>
      </c>
      <c r="L2448" s="0" t="str">
        <f aca="false">IF(H2448&gt;I2448,"ERRO","OK")</f>
        <v>OK</v>
      </c>
      <c r="M2448" s="0" t="str">
        <f aca="false">IF(H2448&gt;J2448,"ERRO","OK")</f>
        <v>OK</v>
      </c>
      <c r="N2448" s="0" t="str">
        <f aca="false">IF(I2448&lt;J2448,"ERRO","OK")</f>
        <v>OK</v>
      </c>
    </row>
    <row r="2449" customFormat="false" ht="14.25" hidden="false" customHeight="false" outlineLevel="0" collapsed="false">
      <c r="A2449" s="0" t="n">
        <v>99</v>
      </c>
      <c r="B2449" s="0" t="n">
        <v>2025</v>
      </c>
      <c r="C2449" s="3" t="n">
        <v>45758</v>
      </c>
      <c r="E2449" s="0" t="s">
        <v>38</v>
      </c>
      <c r="F2449" s="0" t="s">
        <v>39</v>
      </c>
      <c r="G2449" s="0" t="s">
        <v>485</v>
      </c>
      <c r="H2449" s="0" t="s">
        <v>485</v>
      </c>
      <c r="I2449" s="0" t="s">
        <v>424</v>
      </c>
      <c r="J2449" s="0" t="s">
        <v>485</v>
      </c>
      <c r="K2449" s="0" t="s">
        <v>485</v>
      </c>
      <c r="L2449" s="0" t="str">
        <f aca="false">IF(H2449&gt;I2449,"ERRO","OK")</f>
        <v>ERRO</v>
      </c>
      <c r="M2449" s="0" t="str">
        <f aca="false">IF(H2449&gt;J2449,"ERRO","OK")</f>
        <v>OK</v>
      </c>
      <c r="N2449" s="0" t="str">
        <f aca="false">IF(I2449&lt;J2449,"ERRO","OK")</f>
        <v>ERRO</v>
      </c>
    </row>
    <row r="2450" customFormat="false" ht="14.25" hidden="false" customHeight="false" outlineLevel="0" collapsed="false">
      <c r="A2450" s="0" t="n">
        <v>99</v>
      </c>
      <c r="B2450" s="0" t="n">
        <v>2025</v>
      </c>
      <c r="C2450" s="3" t="n">
        <v>45758</v>
      </c>
      <c r="E2450" s="0" t="s">
        <v>40</v>
      </c>
      <c r="F2450" s="0" t="s">
        <v>39</v>
      </c>
      <c r="G2450" s="0" t="s">
        <v>369</v>
      </c>
      <c r="H2450" s="0" t="s">
        <v>369</v>
      </c>
      <c r="I2450" s="0" t="s">
        <v>369</v>
      </c>
      <c r="J2450" s="0" t="s">
        <v>369</v>
      </c>
      <c r="K2450" s="0" t="s">
        <v>369</v>
      </c>
      <c r="L2450" s="0" t="str">
        <f aca="false">IF(H2450&gt;I2450,"ERRO","OK")</f>
        <v>OK</v>
      </c>
      <c r="M2450" s="0" t="str">
        <f aca="false">IF(H2450&gt;J2450,"ERRO","OK")</f>
        <v>OK</v>
      </c>
      <c r="N2450" s="0" t="str">
        <f aca="false">IF(I2450&lt;J2450,"ERRO","OK")</f>
        <v>OK</v>
      </c>
    </row>
    <row r="2451" customFormat="false" ht="14.25" hidden="false" customHeight="false" outlineLevel="0" collapsed="false">
      <c r="A2451" s="0" t="n">
        <v>99</v>
      </c>
      <c r="B2451" s="0" t="n">
        <v>2025</v>
      </c>
      <c r="C2451" s="3" t="n">
        <v>45758</v>
      </c>
      <c r="E2451" s="0" t="s">
        <v>157</v>
      </c>
      <c r="F2451" s="0" t="s">
        <v>158</v>
      </c>
      <c r="H2451" s="0" t="s">
        <v>408</v>
      </c>
      <c r="I2451" s="0" t="s">
        <v>408</v>
      </c>
      <c r="J2451" s="0" t="s">
        <v>408</v>
      </c>
      <c r="K2451" s="0" t="s">
        <v>408</v>
      </c>
      <c r="L2451" s="0" t="str">
        <f aca="false">IF(H2451&gt;I2451,"ERRO","OK")</f>
        <v>OK</v>
      </c>
      <c r="M2451" s="0" t="str">
        <f aca="false">IF(H2451&gt;J2451,"ERRO","OK")</f>
        <v>OK</v>
      </c>
      <c r="N2451" s="0" t="str">
        <f aca="false">IF(I2451&lt;J2451,"ERRO","OK")</f>
        <v>OK</v>
      </c>
    </row>
    <row r="2452" customFormat="false" ht="14.25" hidden="false" customHeight="false" outlineLevel="0" collapsed="false">
      <c r="A2452" s="0" t="n">
        <v>99</v>
      </c>
      <c r="B2452" s="0" t="n">
        <v>2025</v>
      </c>
      <c r="C2452" s="3" t="n">
        <v>45758</v>
      </c>
      <c r="E2452" s="0" t="s">
        <v>43</v>
      </c>
      <c r="F2452" s="0" t="s">
        <v>44</v>
      </c>
      <c r="H2452" s="0" t="s">
        <v>413</v>
      </c>
      <c r="I2452" s="0" t="s">
        <v>464</v>
      </c>
      <c r="J2452" s="0" t="s">
        <v>605</v>
      </c>
      <c r="K2452" s="0" t="s">
        <v>605</v>
      </c>
      <c r="L2452" s="0" t="str">
        <f aca="false">IF(H2452&gt;I2452,"ERRO","OK")</f>
        <v>OK</v>
      </c>
      <c r="M2452" s="0" t="str">
        <f aca="false">IF(H2452&gt;J2452,"ERRO","OK")</f>
        <v>OK</v>
      </c>
      <c r="N2452" s="0" t="str">
        <f aca="false">IF(I2452&lt;J2452,"ERRO","OK")</f>
        <v>OK</v>
      </c>
    </row>
    <row r="2453" customFormat="false" ht="14.25" hidden="false" customHeight="false" outlineLevel="0" collapsed="false">
      <c r="A2453" s="0" t="n">
        <v>99</v>
      </c>
      <c r="B2453" s="0" t="n">
        <v>2025</v>
      </c>
      <c r="C2453" s="3" t="n">
        <v>45758</v>
      </c>
      <c r="E2453" s="0" t="s">
        <v>46</v>
      </c>
      <c r="F2453" s="0" t="s">
        <v>47</v>
      </c>
      <c r="H2453" s="0" t="s">
        <v>402</v>
      </c>
      <c r="I2453" s="0" t="s">
        <v>406</v>
      </c>
      <c r="J2453" s="0" t="s">
        <v>408</v>
      </c>
      <c r="K2453" s="0" t="s">
        <v>408</v>
      </c>
      <c r="L2453" s="0" t="str">
        <f aca="false">IF(H2453&gt;I2453,"ERRO","OK")</f>
        <v>OK</v>
      </c>
      <c r="M2453" s="0" t="str">
        <f aca="false">IF(H2453&gt;J2453,"ERRO","OK")</f>
        <v>OK</v>
      </c>
      <c r="N2453" s="0" t="str">
        <f aca="false">IF(I2453&lt;J2453,"ERRO","OK")</f>
        <v>OK</v>
      </c>
    </row>
    <row r="2454" customFormat="false" ht="14.25" hidden="false" customHeight="false" outlineLevel="0" collapsed="false">
      <c r="A2454" s="0" t="n">
        <v>99</v>
      </c>
      <c r="B2454" s="0" t="n">
        <v>2025</v>
      </c>
      <c r="C2454" s="3" t="n">
        <v>45758</v>
      </c>
      <c r="E2454" s="0" t="s">
        <v>48</v>
      </c>
      <c r="F2454" s="0" t="s">
        <v>49</v>
      </c>
      <c r="G2454" s="0" t="s">
        <v>409</v>
      </c>
      <c r="H2454" s="0" t="s">
        <v>405</v>
      </c>
      <c r="I2454" s="0" t="s">
        <v>405</v>
      </c>
      <c r="J2454" s="0" t="s">
        <v>643</v>
      </c>
      <c r="K2454" s="0" t="s">
        <v>405</v>
      </c>
      <c r="L2454" s="0" t="str">
        <f aca="false">IF(H2454&gt;I2454,"ERRO","OK")</f>
        <v>OK</v>
      </c>
      <c r="M2454" s="0" t="str">
        <f aca="false">IF(H2454&gt;J2454,"ERRO","OK")</f>
        <v>ERRO</v>
      </c>
      <c r="N2454" s="0" t="str">
        <f aca="false">IF(I2454&lt;J2454,"ERRO","OK")</f>
        <v>OK</v>
      </c>
    </row>
    <row r="2455" customFormat="false" ht="14.25" hidden="false" customHeight="false" outlineLevel="0" collapsed="false">
      <c r="A2455" s="0" t="n">
        <v>99</v>
      </c>
      <c r="B2455" s="0" t="n">
        <v>2025</v>
      </c>
      <c r="C2455" s="3" t="n">
        <v>45758</v>
      </c>
      <c r="E2455" s="0" t="s">
        <v>52</v>
      </c>
      <c r="F2455" s="0" t="s">
        <v>49</v>
      </c>
      <c r="H2455" s="0" t="s">
        <v>398</v>
      </c>
      <c r="I2455" s="0" t="s">
        <v>398</v>
      </c>
      <c r="J2455" s="0" t="s">
        <v>398</v>
      </c>
      <c r="K2455" s="0" t="s">
        <v>398</v>
      </c>
      <c r="L2455" s="0" t="str">
        <f aca="false">IF(H2455&gt;I2455,"ERRO","OK")</f>
        <v>OK</v>
      </c>
      <c r="M2455" s="0" t="str">
        <f aca="false">IF(H2455&gt;J2455,"ERRO","OK")</f>
        <v>OK</v>
      </c>
      <c r="N2455" s="0" t="str">
        <f aca="false">IF(I2455&lt;J2455,"ERRO","OK")</f>
        <v>OK</v>
      </c>
    </row>
    <row r="2456" customFormat="false" ht="14.25" hidden="false" customHeight="false" outlineLevel="0" collapsed="false">
      <c r="A2456" s="0" t="n">
        <v>99</v>
      </c>
      <c r="B2456" s="0" t="n">
        <v>2025</v>
      </c>
      <c r="C2456" s="3" t="n">
        <v>45758</v>
      </c>
      <c r="E2456" s="0" t="s">
        <v>53</v>
      </c>
      <c r="F2456" s="0" t="s">
        <v>54</v>
      </c>
      <c r="H2456" s="0" t="s">
        <v>408</v>
      </c>
      <c r="I2456" s="0" t="s">
        <v>406</v>
      </c>
      <c r="J2456" s="0" t="s">
        <v>370</v>
      </c>
      <c r="K2456" s="0" t="s">
        <v>370</v>
      </c>
      <c r="L2456" s="0" t="str">
        <f aca="false">IF(H2456&gt;I2456,"ERRO","OK")</f>
        <v>OK</v>
      </c>
      <c r="M2456" s="0" t="str">
        <f aca="false">IF(H2456&gt;J2456,"ERRO","OK")</f>
        <v>OK</v>
      </c>
      <c r="N2456" s="0" t="str">
        <f aca="false">IF(I2456&lt;J2456,"ERRO","OK")</f>
        <v>OK</v>
      </c>
    </row>
    <row r="2457" customFormat="false" ht="14.25" hidden="false" customHeight="false" outlineLevel="0" collapsed="false">
      <c r="A2457" s="0" t="n">
        <v>99</v>
      </c>
      <c r="B2457" s="0" t="n">
        <v>2025</v>
      </c>
      <c r="C2457" s="3" t="n">
        <v>45758</v>
      </c>
      <c r="E2457" s="0" t="s">
        <v>56</v>
      </c>
      <c r="F2457" s="0" t="s">
        <v>47</v>
      </c>
      <c r="H2457" s="0" t="s">
        <v>405</v>
      </c>
      <c r="I2457" s="0" t="s">
        <v>398</v>
      </c>
      <c r="J2457" s="0" t="s">
        <v>386</v>
      </c>
      <c r="K2457" s="0" t="s">
        <v>370</v>
      </c>
      <c r="L2457" s="0" t="str">
        <f aca="false">IF(H2457&gt;I2457,"ERRO","OK")</f>
        <v>OK</v>
      </c>
      <c r="M2457" s="0" t="str">
        <f aca="false">IF(H2457&gt;J2457,"ERRO","OK")</f>
        <v>OK</v>
      </c>
      <c r="N2457" s="0" t="str">
        <f aca="false">IF(I2457&lt;J2457,"ERRO","OK")</f>
        <v>OK</v>
      </c>
    </row>
    <row r="2458" customFormat="false" ht="14.25" hidden="false" customHeight="false" outlineLevel="0" collapsed="false">
      <c r="A2458" s="0" t="n">
        <v>99</v>
      </c>
      <c r="B2458" s="0" t="n">
        <v>2025</v>
      </c>
      <c r="C2458" s="3" t="n">
        <v>45758</v>
      </c>
      <c r="E2458" s="0" t="s">
        <v>57</v>
      </c>
      <c r="F2458" s="0" t="s">
        <v>47</v>
      </c>
      <c r="H2458" s="0" t="s">
        <v>405</v>
      </c>
      <c r="I2458" s="0" t="s">
        <v>398</v>
      </c>
      <c r="J2458" s="0" t="s">
        <v>406</v>
      </c>
      <c r="K2458" s="0" t="s">
        <v>406</v>
      </c>
      <c r="L2458" s="0" t="str">
        <f aca="false">IF(H2458&gt;I2458,"ERRO","OK")</f>
        <v>OK</v>
      </c>
      <c r="M2458" s="0" t="str">
        <f aca="false">IF(H2458&gt;J2458,"ERRO","OK")</f>
        <v>OK</v>
      </c>
      <c r="N2458" s="0" t="str">
        <f aca="false">IF(I2458&lt;J2458,"ERRO","OK")</f>
        <v>OK</v>
      </c>
    </row>
    <row r="2459" customFormat="false" ht="14.25" hidden="false" customHeight="false" outlineLevel="0" collapsed="false">
      <c r="A2459" s="0" t="n">
        <v>99</v>
      </c>
      <c r="B2459" s="0" t="n">
        <v>2025</v>
      </c>
      <c r="C2459" s="3" t="n">
        <v>45758</v>
      </c>
      <c r="E2459" s="0" t="s">
        <v>58</v>
      </c>
      <c r="F2459" s="0" t="s">
        <v>44</v>
      </c>
      <c r="H2459" s="0" t="s">
        <v>370</v>
      </c>
      <c r="I2459" s="0" t="s">
        <v>398</v>
      </c>
      <c r="J2459" s="0" t="s">
        <v>382</v>
      </c>
      <c r="K2459" s="0" t="s">
        <v>382</v>
      </c>
      <c r="L2459" s="0" t="str">
        <f aca="false">IF(H2459&gt;I2459,"ERRO","OK")</f>
        <v>OK</v>
      </c>
      <c r="M2459" s="0" t="str">
        <f aca="false">IF(H2459&gt;J2459,"ERRO","OK")</f>
        <v>OK</v>
      </c>
      <c r="N2459" s="0" t="str">
        <f aca="false">IF(I2459&lt;J2459,"ERRO","OK")</f>
        <v>OK</v>
      </c>
    </row>
    <row r="2460" customFormat="false" ht="14.25" hidden="false" customHeight="false" outlineLevel="0" collapsed="false">
      <c r="A2460" s="0" t="n">
        <v>99</v>
      </c>
      <c r="B2460" s="0" t="n">
        <v>2025</v>
      </c>
      <c r="C2460" s="3" t="n">
        <v>45758</v>
      </c>
      <c r="E2460" s="0" t="s">
        <v>60</v>
      </c>
      <c r="F2460" s="0" t="s">
        <v>47</v>
      </c>
      <c r="H2460" s="0" t="s">
        <v>397</v>
      </c>
      <c r="I2460" s="0" t="s">
        <v>397</v>
      </c>
      <c r="J2460" s="0" t="s">
        <v>397</v>
      </c>
      <c r="K2460" s="0" t="s">
        <v>397</v>
      </c>
      <c r="L2460" s="0" t="str">
        <f aca="false">IF(H2460&gt;I2460,"ERRO","OK")</f>
        <v>OK</v>
      </c>
      <c r="M2460" s="0" t="str">
        <f aca="false">IF(H2460&gt;J2460,"ERRO","OK")</f>
        <v>OK</v>
      </c>
      <c r="N2460" s="0" t="str">
        <f aca="false">IF(I2460&lt;J2460,"ERRO","OK")</f>
        <v>OK</v>
      </c>
    </row>
    <row r="2461" customFormat="false" ht="14.25" hidden="false" customHeight="false" outlineLevel="0" collapsed="false">
      <c r="A2461" s="0" t="n">
        <v>99</v>
      </c>
      <c r="B2461" s="0" t="n">
        <v>2025</v>
      </c>
      <c r="C2461" s="3" t="n">
        <v>45758</v>
      </c>
      <c r="E2461" s="0" t="s">
        <v>61</v>
      </c>
      <c r="F2461" s="0" t="s">
        <v>44</v>
      </c>
      <c r="H2461" s="0" t="s">
        <v>382</v>
      </c>
      <c r="I2461" s="0" t="s">
        <v>382</v>
      </c>
      <c r="J2461" s="0" t="s">
        <v>382</v>
      </c>
      <c r="K2461" s="0" t="s">
        <v>382</v>
      </c>
      <c r="L2461" s="0" t="str">
        <f aca="false">IF(H2461&gt;I2461,"ERRO","OK")</f>
        <v>OK</v>
      </c>
      <c r="M2461" s="0" t="str">
        <f aca="false">IF(H2461&gt;J2461,"ERRO","OK")</f>
        <v>OK</v>
      </c>
      <c r="N2461" s="0" t="str">
        <f aca="false">IF(I2461&lt;J2461,"ERRO","OK")</f>
        <v>OK</v>
      </c>
    </row>
    <row r="2462" customFormat="false" ht="14.25" hidden="false" customHeight="false" outlineLevel="0" collapsed="false">
      <c r="A2462" s="0" t="n">
        <v>99</v>
      </c>
      <c r="B2462" s="0" t="n">
        <v>2025</v>
      </c>
      <c r="C2462" s="3" t="n">
        <v>45758</v>
      </c>
      <c r="E2462" s="0" t="s">
        <v>62</v>
      </c>
      <c r="F2462" s="0" t="s">
        <v>44</v>
      </c>
      <c r="H2462" s="0" t="s">
        <v>397</v>
      </c>
      <c r="I2462" s="0" t="s">
        <v>417</v>
      </c>
      <c r="J2462" s="0" t="s">
        <v>590</v>
      </c>
      <c r="K2462" s="0" t="s">
        <v>398</v>
      </c>
      <c r="L2462" s="0" t="str">
        <f aca="false">IF(H2462&gt;I2462,"ERRO","OK")</f>
        <v>OK</v>
      </c>
      <c r="M2462" s="0" t="str">
        <f aca="false">IF(H2462&gt;J2462,"ERRO","OK")</f>
        <v>OK</v>
      </c>
      <c r="N2462" s="0" t="str">
        <f aca="false">IF(I2462&lt;J2462,"ERRO","OK")</f>
        <v>OK</v>
      </c>
    </row>
    <row r="2463" customFormat="false" ht="14.25" hidden="false" customHeight="false" outlineLevel="0" collapsed="false">
      <c r="A2463" s="0" t="n">
        <v>99</v>
      </c>
      <c r="B2463" s="0" t="n">
        <v>2025</v>
      </c>
      <c r="C2463" s="3" t="n">
        <v>45758</v>
      </c>
      <c r="E2463" s="0" t="s">
        <v>63</v>
      </c>
      <c r="F2463" s="0" t="s">
        <v>49</v>
      </c>
      <c r="H2463" s="0" t="s">
        <v>374</v>
      </c>
      <c r="I2463" s="0" t="s">
        <v>370</v>
      </c>
      <c r="J2463" s="0" t="s">
        <v>643</v>
      </c>
      <c r="K2463" s="0" t="s">
        <v>405</v>
      </c>
      <c r="L2463" s="0" t="str">
        <f aca="false">IF(H2463&gt;I2463,"ERRO","OK")</f>
        <v>OK</v>
      </c>
      <c r="M2463" s="0" t="str">
        <f aca="false">IF(H2463&gt;J2463,"ERRO","OK")</f>
        <v>OK</v>
      </c>
      <c r="N2463" s="0" t="str">
        <f aca="false">IF(I2463&lt;J2463,"ERRO","OK")</f>
        <v>OK</v>
      </c>
    </row>
    <row r="2464" customFormat="false" ht="14.25" hidden="false" customHeight="false" outlineLevel="0" collapsed="false">
      <c r="A2464" s="0" t="n">
        <v>99</v>
      </c>
      <c r="B2464" s="0" t="n">
        <v>2025</v>
      </c>
      <c r="C2464" s="3" t="n">
        <v>45758</v>
      </c>
      <c r="E2464" s="0" t="s">
        <v>64</v>
      </c>
      <c r="F2464" s="0" t="s">
        <v>65</v>
      </c>
      <c r="H2464" s="0" t="s">
        <v>413</v>
      </c>
      <c r="I2464" s="0" t="s">
        <v>423</v>
      </c>
      <c r="J2464" s="0" t="s">
        <v>644</v>
      </c>
      <c r="K2464" s="0" t="s">
        <v>420</v>
      </c>
      <c r="L2464" s="0" t="str">
        <f aca="false">IF(H2464&gt;I2464,"ERRO","OK")</f>
        <v>OK</v>
      </c>
      <c r="M2464" s="0" t="str">
        <f aca="false">IF(H2464&gt;J2464,"ERRO","OK")</f>
        <v>OK</v>
      </c>
      <c r="N2464" s="0" t="str">
        <f aca="false">IF(I2464&lt;J2464,"ERRO","OK")</f>
        <v>OK</v>
      </c>
    </row>
    <row r="2465" customFormat="false" ht="14.25" hidden="false" customHeight="false" outlineLevel="0" collapsed="false">
      <c r="A2465" s="0" t="n">
        <v>99</v>
      </c>
      <c r="B2465" s="0" t="n">
        <v>2025</v>
      </c>
      <c r="C2465" s="3" t="n">
        <v>45758</v>
      </c>
      <c r="E2465" s="0" t="s">
        <v>67</v>
      </c>
      <c r="F2465" s="0" t="s">
        <v>44</v>
      </c>
      <c r="G2465" s="0" t="s">
        <v>415</v>
      </c>
      <c r="H2465" s="0" t="s">
        <v>415</v>
      </c>
      <c r="I2465" s="0" t="s">
        <v>413</v>
      </c>
      <c r="J2465" s="0" t="s">
        <v>436</v>
      </c>
      <c r="K2465" s="0" t="s">
        <v>415</v>
      </c>
      <c r="L2465" s="0" t="str">
        <f aca="false">IF(H2465&gt;I2465,"ERRO","OK")</f>
        <v>OK</v>
      </c>
      <c r="M2465" s="0" t="str">
        <f aca="false">IF(H2465&gt;J2465,"ERRO","OK")</f>
        <v>OK</v>
      </c>
      <c r="N2465" s="0" t="str">
        <f aca="false">IF(I2465&lt;J2465,"ERRO","OK")</f>
        <v>OK</v>
      </c>
    </row>
    <row r="2466" customFormat="false" ht="14.25" hidden="false" customHeight="false" outlineLevel="0" collapsed="false">
      <c r="A2466" s="0" t="n">
        <v>99</v>
      </c>
      <c r="B2466" s="0" t="n">
        <v>2025</v>
      </c>
      <c r="C2466" s="3" t="n">
        <v>45758</v>
      </c>
      <c r="E2466" s="0" t="s">
        <v>68</v>
      </c>
      <c r="F2466" s="0" t="s">
        <v>44</v>
      </c>
      <c r="H2466" s="0" t="s">
        <v>645</v>
      </c>
      <c r="I2466" s="0" t="s">
        <v>645</v>
      </c>
      <c r="J2466" s="0" t="s">
        <v>645</v>
      </c>
      <c r="K2466" s="0" t="s">
        <v>645</v>
      </c>
      <c r="L2466" s="0" t="str">
        <f aca="false">IF(H2466&gt;I2466,"ERRO","OK")</f>
        <v>OK</v>
      </c>
      <c r="M2466" s="0" t="str">
        <f aca="false">IF(H2466&gt;J2466,"ERRO","OK")</f>
        <v>OK</v>
      </c>
      <c r="N2466" s="0" t="str">
        <f aca="false">IF(I2466&lt;J2466,"ERRO","OK")</f>
        <v>OK</v>
      </c>
    </row>
    <row r="2467" customFormat="false" ht="14.25" hidden="false" customHeight="false" outlineLevel="0" collapsed="false">
      <c r="A2467" s="0" t="n">
        <v>99</v>
      </c>
      <c r="B2467" s="0" t="n">
        <v>2025</v>
      </c>
      <c r="C2467" s="3" t="n">
        <v>45758</v>
      </c>
      <c r="E2467" s="20" t="s">
        <v>70</v>
      </c>
      <c r="F2467" s="21" t="s">
        <v>49</v>
      </c>
      <c r="L2467" s="0" t="str">
        <f aca="false">IF(H2467&gt;I2467,"ERRO","OK")</f>
        <v>OK</v>
      </c>
      <c r="M2467" s="0" t="str">
        <f aca="false">IF(H2467&gt;J2467,"ERRO","OK")</f>
        <v>OK</v>
      </c>
      <c r="N2467" s="0" t="str">
        <f aca="false">IF(I2467&lt;J2467,"ERRO","OK")</f>
        <v>OK</v>
      </c>
    </row>
    <row r="2468" customFormat="false" ht="14.25" hidden="false" customHeight="false" outlineLevel="0" collapsed="false">
      <c r="A2468" s="0" t="n">
        <v>99</v>
      </c>
      <c r="B2468" s="0" t="n">
        <v>2025</v>
      </c>
      <c r="C2468" s="3" t="n">
        <v>45758</v>
      </c>
      <c r="E2468" s="20" t="s">
        <v>71</v>
      </c>
      <c r="F2468" s="21" t="s">
        <v>49</v>
      </c>
      <c r="L2468" s="0" t="str">
        <f aca="false">IF(H2468&gt;I2468,"ERRO","OK")</f>
        <v>OK</v>
      </c>
      <c r="M2468" s="0" t="str">
        <f aca="false">IF(H2468&gt;J2468,"ERRO","OK")</f>
        <v>OK</v>
      </c>
      <c r="N2468" s="0" t="str">
        <f aca="false">IF(I2468&lt;J2468,"ERRO","OK")</f>
        <v>OK</v>
      </c>
    </row>
    <row r="2469" customFormat="false" ht="14.25" hidden="false" customHeight="false" outlineLevel="0" collapsed="false">
      <c r="A2469" s="0" t="n">
        <v>99</v>
      </c>
      <c r="B2469" s="0" t="n">
        <v>2025</v>
      </c>
      <c r="C2469" s="3" t="n">
        <v>45758</v>
      </c>
      <c r="E2469" s="20" t="s">
        <v>72</v>
      </c>
      <c r="F2469" s="21" t="s">
        <v>49</v>
      </c>
      <c r="L2469" s="0" t="str">
        <f aca="false">IF(H2469&gt;I2469,"ERRO","OK")</f>
        <v>OK</v>
      </c>
      <c r="M2469" s="0" t="str">
        <f aca="false">IF(H2469&gt;J2469,"ERRO","OK")</f>
        <v>OK</v>
      </c>
      <c r="N2469" s="0" t="str">
        <f aca="false">IF(I2469&lt;J2469,"ERRO","OK")</f>
        <v>OK</v>
      </c>
    </row>
    <row r="2470" customFormat="false" ht="14.25" hidden="false" customHeight="false" outlineLevel="0" collapsed="false">
      <c r="A2470" s="0" t="n">
        <v>99</v>
      </c>
      <c r="B2470" s="0" t="n">
        <v>2025</v>
      </c>
      <c r="C2470" s="3" t="n">
        <v>45758</v>
      </c>
      <c r="E2470" s="20" t="s">
        <v>73</v>
      </c>
      <c r="F2470" s="21" t="s">
        <v>49</v>
      </c>
      <c r="L2470" s="0" t="str">
        <f aca="false">IF(H2470&gt;I2470,"ERRO","OK")</f>
        <v>OK</v>
      </c>
      <c r="M2470" s="0" t="str">
        <f aca="false">IF(H2470&gt;J2470,"ERRO","OK")</f>
        <v>OK</v>
      </c>
      <c r="N2470" s="0" t="str">
        <f aca="false">IF(I2470&lt;J2470,"ERRO","OK")</f>
        <v>OK</v>
      </c>
    </row>
    <row r="2471" customFormat="false" ht="14.25" hidden="false" customHeight="false" outlineLevel="0" collapsed="false">
      <c r="A2471" s="0" t="n">
        <v>99</v>
      </c>
      <c r="B2471" s="0" t="n">
        <v>2025</v>
      </c>
      <c r="C2471" s="3" t="n">
        <v>45758</v>
      </c>
      <c r="D2471" s="25"/>
      <c r="E2471" s="20" t="s">
        <v>74</v>
      </c>
      <c r="F2471" s="21" t="s">
        <v>75</v>
      </c>
      <c r="L2471" s="0" t="str">
        <f aca="false">IF(H2471&gt;I2471,"ERRO","OK")</f>
        <v>OK</v>
      </c>
      <c r="M2471" s="0" t="str">
        <f aca="false">IF(H2471&gt;J2471,"ERRO","OK")</f>
        <v>OK</v>
      </c>
      <c r="N2471" s="0" t="str">
        <f aca="false">IF(I2471&lt;J2471,"ERRO","OK")</f>
        <v>OK</v>
      </c>
    </row>
  </sheetData>
  <autoFilter ref="A1:O2471"/>
  <conditionalFormatting sqref="L2:N2471">
    <cfRule type="cellIs" priority="2" operator="equal" aboveAverage="0" equalAverage="0" bottom="0" percent="0" rank="0" text="" dxfId="7">
      <formula>"ERRO"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5" activeCellId="0" sqref="B185"/>
    </sheetView>
  </sheetViews>
  <sheetFormatPr defaultColWidth="11.5625" defaultRowHeight="14.25" customHeight="false" zeroHeight="false" outlineLevelRow="0" outlineLevelCol="0"/>
  <sheetData>
    <row r="1" customFormat="false" ht="25" hidden="false" customHeight="false" outlineLevel="0" collapsed="false">
      <c r="A1" s="0" t="s">
        <v>646</v>
      </c>
      <c r="B1" s="0" t="s">
        <v>647</v>
      </c>
      <c r="C1" s="20" t="s">
        <v>4</v>
      </c>
      <c r="D1" s="20" t="s">
        <v>648</v>
      </c>
      <c r="E1" s="20" t="s">
        <v>6</v>
      </c>
      <c r="F1" s="20" t="s">
        <v>7</v>
      </c>
      <c r="G1" s="20" t="s">
        <v>8</v>
      </c>
      <c r="H1" s="20" t="s">
        <v>9</v>
      </c>
      <c r="I1" s="20" t="s">
        <v>10</v>
      </c>
    </row>
    <row r="2" customFormat="false" ht="14.25" hidden="false" customHeight="false" outlineLevel="0" collapsed="false">
      <c r="A2" s="0" t="n">
        <v>88</v>
      </c>
      <c r="B2" s="0" t="n">
        <v>2024</v>
      </c>
      <c r="C2" s="20" t="s">
        <v>16</v>
      </c>
      <c r="D2" s="21" t="s">
        <v>17</v>
      </c>
      <c r="E2" s="21" t="s">
        <v>556</v>
      </c>
      <c r="F2" s="22" t="n">
        <v>36</v>
      </c>
      <c r="G2" s="22" t="n">
        <v>72</v>
      </c>
      <c r="H2" s="22" t="n">
        <v>54</v>
      </c>
      <c r="I2" s="22" t="n">
        <v>54</v>
      </c>
    </row>
    <row r="3" customFormat="false" ht="14.25" hidden="false" customHeight="false" outlineLevel="0" collapsed="false">
      <c r="A3" s="0" t="n">
        <v>88</v>
      </c>
      <c r="B3" s="0" t="n">
        <v>2024</v>
      </c>
      <c r="C3" s="20" t="s">
        <v>18</v>
      </c>
      <c r="D3" s="21" t="s">
        <v>17</v>
      </c>
      <c r="E3" s="22" t="n">
        <v>96</v>
      </c>
      <c r="F3" s="22" t="n">
        <v>54</v>
      </c>
      <c r="G3" s="22" t="n">
        <v>96</v>
      </c>
      <c r="H3" s="22" t="n">
        <v>82.5</v>
      </c>
      <c r="I3" s="22" t="n">
        <v>90</v>
      </c>
    </row>
    <row r="4" customFormat="false" ht="25" hidden="false" customHeight="false" outlineLevel="0" collapsed="false">
      <c r="A4" s="0" t="n">
        <v>88</v>
      </c>
      <c r="B4" s="0" t="n">
        <v>2024</v>
      </c>
      <c r="C4" s="20" t="s">
        <v>19</v>
      </c>
      <c r="D4" s="21" t="s">
        <v>17</v>
      </c>
      <c r="E4" s="21" t="s">
        <v>556</v>
      </c>
      <c r="F4" s="22" t="n">
        <v>40</v>
      </c>
      <c r="G4" s="22" t="n">
        <v>60</v>
      </c>
      <c r="H4" s="22" t="n">
        <v>48.25</v>
      </c>
      <c r="I4" s="22" t="n">
        <v>46.5</v>
      </c>
    </row>
    <row r="5" customFormat="false" ht="14.25" hidden="false" customHeight="false" outlineLevel="0" collapsed="false">
      <c r="A5" s="0" t="n">
        <v>88</v>
      </c>
      <c r="B5" s="0" t="n">
        <v>2024</v>
      </c>
      <c r="C5" s="20" t="s">
        <v>20</v>
      </c>
      <c r="D5" s="21" t="s">
        <v>17</v>
      </c>
      <c r="E5" s="22" t="n">
        <v>30</v>
      </c>
      <c r="F5" s="22" t="n">
        <v>25</v>
      </c>
      <c r="G5" s="22" t="n">
        <v>50</v>
      </c>
      <c r="H5" s="22" t="n">
        <v>33.75</v>
      </c>
      <c r="I5" s="22" t="n">
        <v>30</v>
      </c>
    </row>
    <row r="6" customFormat="false" ht="14.25" hidden="false" customHeight="false" outlineLevel="0" collapsed="false">
      <c r="A6" s="0" t="n">
        <v>88</v>
      </c>
      <c r="B6" s="0" t="n">
        <v>2024</v>
      </c>
      <c r="C6" s="20" t="s">
        <v>21</v>
      </c>
      <c r="D6" s="21" t="s">
        <v>17</v>
      </c>
      <c r="E6" s="22" t="n">
        <v>30</v>
      </c>
      <c r="F6" s="22" t="n">
        <v>25</v>
      </c>
      <c r="G6" s="22" t="n">
        <v>50</v>
      </c>
      <c r="H6" s="22" t="n">
        <v>33.75</v>
      </c>
      <c r="I6" s="22" t="n">
        <v>30</v>
      </c>
    </row>
    <row r="7" customFormat="false" ht="14.25" hidden="false" customHeight="false" outlineLevel="0" collapsed="false">
      <c r="A7" s="0" t="n">
        <v>88</v>
      </c>
      <c r="B7" s="0" t="n">
        <v>2024</v>
      </c>
      <c r="C7" s="20" t="s">
        <v>22</v>
      </c>
      <c r="D7" s="21" t="s">
        <v>17</v>
      </c>
      <c r="E7" s="22" t="n">
        <v>60</v>
      </c>
      <c r="F7" s="22" t="n">
        <v>60</v>
      </c>
      <c r="G7" s="22" t="n">
        <v>120</v>
      </c>
      <c r="H7" s="22" t="n">
        <v>76.5</v>
      </c>
      <c r="I7" s="22" t="n">
        <v>63</v>
      </c>
    </row>
    <row r="8" customFormat="false" ht="36.5" hidden="false" customHeight="false" outlineLevel="0" collapsed="false">
      <c r="A8" s="0" t="n">
        <v>88</v>
      </c>
      <c r="B8" s="0" t="n">
        <v>2024</v>
      </c>
      <c r="C8" s="20" t="s">
        <v>23</v>
      </c>
      <c r="D8" s="21" t="s">
        <v>17</v>
      </c>
      <c r="E8" s="22" t="n">
        <v>84</v>
      </c>
      <c r="F8" s="22" t="n">
        <v>78</v>
      </c>
      <c r="G8" s="22" t="n">
        <v>84</v>
      </c>
      <c r="H8" s="22" t="n">
        <v>81</v>
      </c>
      <c r="I8" s="22" t="n">
        <v>81</v>
      </c>
    </row>
    <row r="9" customFormat="false" ht="25" hidden="false" customHeight="false" outlineLevel="0" collapsed="false">
      <c r="A9" s="0" t="n">
        <v>88</v>
      </c>
      <c r="B9" s="0" t="n">
        <v>2024</v>
      </c>
      <c r="C9" s="20" t="s">
        <v>24</v>
      </c>
      <c r="D9" s="21" t="s">
        <v>17</v>
      </c>
      <c r="E9" s="22" t="n">
        <v>84</v>
      </c>
      <c r="F9" s="22" t="n">
        <v>72</v>
      </c>
      <c r="G9" s="22" t="n">
        <v>96</v>
      </c>
      <c r="H9" s="22" t="n">
        <v>84</v>
      </c>
      <c r="I9" s="22" t="n">
        <v>84</v>
      </c>
    </row>
    <row r="10" customFormat="false" ht="25" hidden="false" customHeight="false" outlineLevel="0" collapsed="false">
      <c r="A10" s="0" t="n">
        <v>88</v>
      </c>
      <c r="B10" s="0" t="n">
        <v>2024</v>
      </c>
      <c r="C10" s="20" t="s">
        <v>25</v>
      </c>
      <c r="D10" s="21" t="s">
        <v>17</v>
      </c>
      <c r="E10" s="22" t="n">
        <v>24</v>
      </c>
      <c r="F10" s="22" t="n">
        <v>24</v>
      </c>
      <c r="G10" s="22" t="n">
        <v>30</v>
      </c>
      <c r="H10" s="22" t="n">
        <v>25.5</v>
      </c>
      <c r="I10" s="22" t="n">
        <v>24</v>
      </c>
    </row>
    <row r="11" customFormat="false" ht="14.25" hidden="false" customHeight="false" outlineLevel="0" collapsed="false">
      <c r="A11" s="0" t="n">
        <v>88</v>
      </c>
      <c r="B11" s="0" t="n">
        <v>2024</v>
      </c>
      <c r="C11" s="20" t="s">
        <v>77</v>
      </c>
      <c r="D11" s="21" t="s">
        <v>17</v>
      </c>
      <c r="E11" s="22" t="n">
        <v>96</v>
      </c>
      <c r="F11" s="22" t="n">
        <v>72</v>
      </c>
      <c r="G11" s="22" t="n">
        <v>96</v>
      </c>
      <c r="H11" s="22" t="n">
        <v>87</v>
      </c>
      <c r="I11" s="22" t="n">
        <v>90</v>
      </c>
    </row>
    <row r="12" customFormat="false" ht="14.25" hidden="false" customHeight="false" outlineLevel="0" collapsed="false">
      <c r="A12" s="0" t="n">
        <v>88</v>
      </c>
      <c r="B12" s="0" t="n">
        <v>2024</v>
      </c>
      <c r="C12" s="20" t="s">
        <v>27</v>
      </c>
      <c r="D12" s="21" t="s">
        <v>17</v>
      </c>
      <c r="E12" s="22" t="n">
        <v>30</v>
      </c>
      <c r="F12" s="22" t="n">
        <v>25</v>
      </c>
      <c r="G12" s="22" t="n">
        <v>36</v>
      </c>
      <c r="H12" s="22" t="n">
        <v>30.25</v>
      </c>
      <c r="I12" s="22" t="n">
        <v>30</v>
      </c>
    </row>
    <row r="13" customFormat="false" ht="14.25" hidden="false" customHeight="false" outlineLevel="0" collapsed="false">
      <c r="A13" s="0" t="n">
        <v>88</v>
      </c>
      <c r="B13" s="0" t="n">
        <v>2024</v>
      </c>
      <c r="C13" s="20" t="s">
        <v>28</v>
      </c>
      <c r="D13" s="21" t="s">
        <v>17</v>
      </c>
      <c r="E13" s="22" t="n">
        <v>72</v>
      </c>
      <c r="F13" s="22" t="n">
        <v>60</v>
      </c>
      <c r="G13" s="22" t="n">
        <v>84</v>
      </c>
      <c r="H13" s="22" t="n">
        <v>72</v>
      </c>
      <c r="I13" s="22" t="n">
        <v>72</v>
      </c>
    </row>
    <row r="14" customFormat="false" ht="14.25" hidden="false" customHeight="false" outlineLevel="0" collapsed="false">
      <c r="A14" s="0" t="n">
        <v>88</v>
      </c>
      <c r="B14" s="0" t="n">
        <v>2024</v>
      </c>
      <c r="C14" s="20" t="s">
        <v>29</v>
      </c>
      <c r="D14" s="21" t="s">
        <v>30</v>
      </c>
      <c r="E14" s="22" t="n">
        <v>72</v>
      </c>
      <c r="F14" s="22" t="n">
        <v>60</v>
      </c>
      <c r="G14" s="22" t="n">
        <v>96</v>
      </c>
      <c r="H14" s="22" t="n">
        <v>75</v>
      </c>
      <c r="I14" s="22" t="n">
        <v>72</v>
      </c>
    </row>
    <row r="15" customFormat="false" ht="14.25" hidden="false" customHeight="false" outlineLevel="0" collapsed="false">
      <c r="A15" s="0" t="n">
        <v>88</v>
      </c>
      <c r="B15" s="0" t="n">
        <v>2024</v>
      </c>
      <c r="C15" s="20" t="s">
        <v>31</v>
      </c>
      <c r="D15" s="21" t="s">
        <v>17</v>
      </c>
      <c r="E15" s="22" t="n">
        <v>60</v>
      </c>
      <c r="F15" s="22" t="n">
        <v>54</v>
      </c>
      <c r="G15" s="22" t="n">
        <v>72</v>
      </c>
      <c r="H15" s="22" t="n">
        <v>61.5</v>
      </c>
      <c r="I15" s="22" t="n">
        <v>60</v>
      </c>
    </row>
    <row r="16" customFormat="false" ht="25" hidden="false" customHeight="false" outlineLevel="0" collapsed="false">
      <c r="A16" s="0" t="n">
        <v>88</v>
      </c>
      <c r="B16" s="0" t="n">
        <v>2024</v>
      </c>
      <c r="C16" s="20" t="s">
        <v>32</v>
      </c>
      <c r="D16" s="21" t="s">
        <v>17</v>
      </c>
      <c r="E16" s="22" t="n">
        <v>48</v>
      </c>
      <c r="F16" s="22" t="n">
        <v>36</v>
      </c>
      <c r="G16" s="22" t="n">
        <v>48</v>
      </c>
      <c r="H16" s="22" t="n">
        <v>42</v>
      </c>
      <c r="I16" s="22" t="n">
        <v>42</v>
      </c>
    </row>
    <row r="17" customFormat="false" ht="14.25" hidden="false" customHeight="false" outlineLevel="0" collapsed="false">
      <c r="A17" s="0" t="n">
        <v>88</v>
      </c>
      <c r="B17" s="0" t="n">
        <v>2024</v>
      </c>
      <c r="C17" s="20" t="s">
        <v>33</v>
      </c>
      <c r="D17" s="21" t="s">
        <v>17</v>
      </c>
      <c r="E17" s="22" t="n">
        <v>54</v>
      </c>
      <c r="F17" s="22" t="n">
        <v>48</v>
      </c>
      <c r="G17" s="22" t="n">
        <v>60</v>
      </c>
      <c r="H17" s="22" t="n">
        <v>54</v>
      </c>
      <c r="I17" s="22" t="n">
        <v>54</v>
      </c>
    </row>
    <row r="18" customFormat="false" ht="14.25" hidden="false" customHeight="false" outlineLevel="0" collapsed="false">
      <c r="A18" s="0" t="n">
        <v>88</v>
      </c>
      <c r="B18" s="0" t="n">
        <v>2024</v>
      </c>
      <c r="C18" s="20" t="s">
        <v>35</v>
      </c>
      <c r="D18" s="21" t="s">
        <v>36</v>
      </c>
      <c r="E18" s="22" t="n">
        <v>5</v>
      </c>
      <c r="F18" s="22" t="n">
        <v>5</v>
      </c>
      <c r="G18" s="22" t="n">
        <v>5</v>
      </c>
      <c r="H18" s="22" t="n">
        <v>5</v>
      </c>
      <c r="I18" s="22" t="n">
        <v>5</v>
      </c>
    </row>
    <row r="19" customFormat="false" ht="14.25" hidden="false" customHeight="false" outlineLevel="0" collapsed="false">
      <c r="A19" s="0" t="n">
        <v>88</v>
      </c>
      <c r="B19" s="0" t="n">
        <v>2024</v>
      </c>
      <c r="C19" s="20" t="s">
        <v>38</v>
      </c>
      <c r="D19" s="21" t="s">
        <v>39</v>
      </c>
      <c r="E19" s="22" t="n">
        <v>20</v>
      </c>
      <c r="F19" s="22" t="n">
        <v>20</v>
      </c>
      <c r="G19" s="22" t="n">
        <v>25</v>
      </c>
      <c r="H19" s="22" t="n">
        <v>22.5</v>
      </c>
      <c r="I19" s="22" t="n">
        <v>22.5</v>
      </c>
    </row>
    <row r="20" customFormat="false" ht="14.25" hidden="false" customHeight="false" outlineLevel="0" collapsed="false">
      <c r="A20" s="0" t="n">
        <v>88</v>
      </c>
      <c r="B20" s="0" t="n">
        <v>2024</v>
      </c>
      <c r="C20" s="20" t="s">
        <v>40</v>
      </c>
      <c r="D20" s="21" t="s">
        <v>39</v>
      </c>
      <c r="E20" s="22" t="n">
        <v>25</v>
      </c>
      <c r="F20" s="22" t="n">
        <v>25</v>
      </c>
      <c r="G20" s="22" t="n">
        <v>30</v>
      </c>
      <c r="H20" s="22" t="n">
        <v>27.5</v>
      </c>
      <c r="I20" s="22" t="n">
        <v>27.5</v>
      </c>
    </row>
    <row r="21" customFormat="false" ht="25" hidden="false" customHeight="false" outlineLevel="0" collapsed="false">
      <c r="A21" s="0" t="n">
        <v>88</v>
      </c>
      <c r="B21" s="0" t="n">
        <v>2024</v>
      </c>
      <c r="C21" s="20" t="s">
        <v>360</v>
      </c>
      <c r="D21" s="21" t="s">
        <v>158</v>
      </c>
      <c r="E21" s="22" t="n">
        <v>70</v>
      </c>
      <c r="F21" s="22" t="n">
        <v>70</v>
      </c>
      <c r="G21" s="22" t="n">
        <v>75</v>
      </c>
      <c r="H21" s="22" t="n">
        <v>71.67</v>
      </c>
      <c r="I21" s="22" t="n">
        <v>70</v>
      </c>
    </row>
    <row r="22" customFormat="false" ht="25" hidden="false" customHeight="false" outlineLevel="0" collapsed="false">
      <c r="A22" s="0" t="n">
        <v>88</v>
      </c>
      <c r="B22" s="0" t="n">
        <v>2024</v>
      </c>
      <c r="C22" s="20" t="s">
        <v>43</v>
      </c>
      <c r="D22" s="21" t="s">
        <v>44</v>
      </c>
      <c r="E22" s="22" t="n">
        <v>50</v>
      </c>
      <c r="F22" s="22" t="n">
        <v>50</v>
      </c>
      <c r="G22" s="22" t="n">
        <v>60</v>
      </c>
      <c r="H22" s="22" t="n">
        <v>53.33</v>
      </c>
      <c r="I22" s="22" t="n">
        <v>50</v>
      </c>
    </row>
    <row r="23" customFormat="false" ht="14.25" hidden="false" customHeight="false" outlineLevel="0" collapsed="false">
      <c r="A23" s="0" t="n">
        <v>88</v>
      </c>
      <c r="B23" s="0" t="n">
        <v>2024</v>
      </c>
      <c r="C23" s="20" t="s">
        <v>46</v>
      </c>
      <c r="D23" s="21" t="s">
        <v>47</v>
      </c>
      <c r="E23" s="22" t="n">
        <v>70</v>
      </c>
      <c r="F23" s="22" t="n">
        <v>45</v>
      </c>
      <c r="G23" s="22" t="n">
        <v>70</v>
      </c>
      <c r="H23" s="22" t="n">
        <v>62.5</v>
      </c>
      <c r="I23" s="22" t="n">
        <v>67.5</v>
      </c>
    </row>
    <row r="24" customFormat="false" ht="25" hidden="false" customHeight="false" outlineLevel="0" collapsed="false">
      <c r="A24" s="0" t="n">
        <v>88</v>
      </c>
      <c r="B24" s="0" t="n">
        <v>2024</v>
      </c>
      <c r="C24" s="20" t="s">
        <v>48</v>
      </c>
      <c r="D24" s="21" t="s">
        <v>49</v>
      </c>
      <c r="E24" s="21" t="s">
        <v>556</v>
      </c>
      <c r="F24" s="22" t="n">
        <v>40</v>
      </c>
      <c r="G24" s="22" t="n">
        <v>65</v>
      </c>
      <c r="H24" s="22" t="n">
        <v>53.75</v>
      </c>
      <c r="I24" s="22" t="n">
        <v>55</v>
      </c>
    </row>
    <row r="25" customFormat="false" ht="25" hidden="false" customHeight="false" outlineLevel="0" collapsed="false">
      <c r="A25" s="0" t="n">
        <v>88</v>
      </c>
      <c r="B25" s="0" t="n">
        <v>2024</v>
      </c>
      <c r="C25" s="20" t="s">
        <v>52</v>
      </c>
      <c r="D25" s="21" t="s">
        <v>49</v>
      </c>
      <c r="E25" s="21" t="s">
        <v>556</v>
      </c>
      <c r="F25" s="22" t="n">
        <v>65</v>
      </c>
      <c r="G25" s="22" t="n">
        <v>75</v>
      </c>
      <c r="H25" s="22" t="n">
        <v>70</v>
      </c>
      <c r="I25" s="22" t="n">
        <v>70</v>
      </c>
    </row>
    <row r="26" customFormat="false" ht="14.25" hidden="false" customHeight="false" outlineLevel="0" collapsed="false">
      <c r="A26" s="0" t="n">
        <v>88</v>
      </c>
      <c r="B26" s="0" t="n">
        <v>2024</v>
      </c>
      <c r="C26" s="20" t="s">
        <v>53</v>
      </c>
      <c r="D26" s="21" t="s">
        <v>54</v>
      </c>
      <c r="E26" s="22" t="n">
        <v>60</v>
      </c>
      <c r="F26" s="22" t="n">
        <v>50</v>
      </c>
      <c r="G26" s="22" t="n">
        <v>60</v>
      </c>
      <c r="H26" s="22" t="n">
        <v>55</v>
      </c>
      <c r="I26" s="22" t="n">
        <v>55</v>
      </c>
    </row>
    <row r="27" customFormat="false" ht="14.25" hidden="false" customHeight="false" outlineLevel="0" collapsed="false">
      <c r="A27" s="0" t="n">
        <v>88</v>
      </c>
      <c r="B27" s="0" t="n">
        <v>2024</v>
      </c>
      <c r="C27" s="20" t="s">
        <v>56</v>
      </c>
      <c r="D27" s="21" t="s">
        <v>47</v>
      </c>
      <c r="E27" s="21" t="s">
        <v>556</v>
      </c>
      <c r="F27" s="22" t="n">
        <v>60</v>
      </c>
      <c r="G27" s="22" t="n">
        <v>100</v>
      </c>
      <c r="H27" s="22" t="n">
        <v>80</v>
      </c>
      <c r="I27" s="22" t="n">
        <v>80</v>
      </c>
    </row>
    <row r="28" customFormat="false" ht="14.25" hidden="false" customHeight="false" outlineLevel="0" collapsed="false">
      <c r="A28" s="0" t="n">
        <v>88</v>
      </c>
      <c r="B28" s="0" t="n">
        <v>2024</v>
      </c>
      <c r="C28" s="20" t="s">
        <v>57</v>
      </c>
      <c r="D28" s="21" t="s">
        <v>47</v>
      </c>
      <c r="E28" s="21" t="s">
        <v>556</v>
      </c>
      <c r="F28" s="22" t="n">
        <v>45</v>
      </c>
      <c r="G28" s="22" t="n">
        <v>90</v>
      </c>
      <c r="H28" s="22" t="n">
        <v>63.75</v>
      </c>
      <c r="I28" s="22" t="n">
        <v>60</v>
      </c>
    </row>
    <row r="29" customFormat="false" ht="14.25" hidden="false" customHeight="false" outlineLevel="0" collapsed="false">
      <c r="A29" s="0" t="n">
        <v>88</v>
      </c>
      <c r="B29" s="0" t="n">
        <v>2024</v>
      </c>
      <c r="C29" s="20" t="s">
        <v>58</v>
      </c>
      <c r="D29" s="21" t="s">
        <v>44</v>
      </c>
      <c r="E29" s="21" t="s">
        <v>556</v>
      </c>
      <c r="F29" s="22" t="n">
        <v>70</v>
      </c>
      <c r="G29" s="22" t="n">
        <v>100</v>
      </c>
      <c r="H29" s="22" t="n">
        <v>85</v>
      </c>
      <c r="I29" s="22" t="n">
        <v>85</v>
      </c>
    </row>
    <row r="30" customFormat="false" ht="14.25" hidden="false" customHeight="false" outlineLevel="0" collapsed="false">
      <c r="A30" s="0" t="n">
        <v>88</v>
      </c>
      <c r="B30" s="0" t="n">
        <v>2024</v>
      </c>
      <c r="C30" s="20" t="s">
        <v>60</v>
      </c>
      <c r="D30" s="21" t="s">
        <v>47</v>
      </c>
      <c r="E30" s="21" t="s">
        <v>556</v>
      </c>
      <c r="F30" s="22" t="n">
        <v>50</v>
      </c>
      <c r="G30" s="22" t="n">
        <v>75</v>
      </c>
      <c r="H30" s="22" t="n">
        <v>62.5</v>
      </c>
      <c r="I30" s="22" t="n">
        <v>62.5</v>
      </c>
    </row>
    <row r="31" customFormat="false" ht="25" hidden="false" customHeight="false" outlineLevel="0" collapsed="false">
      <c r="A31" s="0" t="n">
        <v>88</v>
      </c>
      <c r="B31" s="0" t="n">
        <v>2024</v>
      </c>
      <c r="C31" s="20" t="s">
        <v>61</v>
      </c>
      <c r="D31" s="21" t="s">
        <v>44</v>
      </c>
      <c r="E31" s="22" t="n">
        <v>80</v>
      </c>
      <c r="F31" s="22" t="n">
        <v>45</v>
      </c>
      <c r="G31" s="22" t="n">
        <v>80</v>
      </c>
      <c r="H31" s="22" t="n">
        <v>68.33</v>
      </c>
      <c r="I31" s="22" t="n">
        <v>80</v>
      </c>
    </row>
    <row r="32" customFormat="false" ht="25" hidden="false" customHeight="false" outlineLevel="0" collapsed="false">
      <c r="A32" s="0" t="n">
        <v>88</v>
      </c>
      <c r="B32" s="0" t="n">
        <v>2024</v>
      </c>
      <c r="C32" s="20" t="s">
        <v>62</v>
      </c>
      <c r="D32" s="21" t="s">
        <v>44</v>
      </c>
      <c r="E32" s="22" t="n">
        <v>90</v>
      </c>
      <c r="F32" s="22" t="n">
        <v>80</v>
      </c>
      <c r="G32" s="22" t="n">
        <v>120</v>
      </c>
      <c r="H32" s="22" t="n">
        <v>95</v>
      </c>
      <c r="I32" s="22" t="n">
        <v>90</v>
      </c>
    </row>
    <row r="33" customFormat="false" ht="25" hidden="false" customHeight="false" outlineLevel="0" collapsed="false">
      <c r="A33" s="0" t="n">
        <v>88</v>
      </c>
      <c r="B33" s="0" t="n">
        <v>2024</v>
      </c>
      <c r="C33" s="20" t="s">
        <v>63</v>
      </c>
      <c r="D33" s="21" t="s">
        <v>49</v>
      </c>
      <c r="E33" s="22" t="n">
        <v>30</v>
      </c>
      <c r="F33" s="22" t="n">
        <v>20</v>
      </c>
      <c r="G33" s="22" t="n">
        <v>40</v>
      </c>
      <c r="H33" s="22" t="n">
        <v>30</v>
      </c>
      <c r="I33" s="22" t="n">
        <v>30</v>
      </c>
    </row>
    <row r="34" customFormat="false" ht="14.25" hidden="false" customHeight="false" outlineLevel="0" collapsed="false">
      <c r="A34" s="0" t="n">
        <v>88</v>
      </c>
      <c r="B34" s="0" t="n">
        <v>2024</v>
      </c>
      <c r="C34" s="20" t="s">
        <v>64</v>
      </c>
      <c r="D34" s="21" t="s">
        <v>65</v>
      </c>
      <c r="E34" s="22" t="n">
        <v>90</v>
      </c>
      <c r="F34" s="22" t="n">
        <v>50</v>
      </c>
      <c r="G34" s="22" t="n">
        <v>90</v>
      </c>
      <c r="H34" s="22" t="n">
        <v>78.75</v>
      </c>
      <c r="I34" s="22" t="n">
        <v>87.5</v>
      </c>
    </row>
    <row r="35" customFormat="false" ht="25" hidden="false" customHeight="false" outlineLevel="0" collapsed="false">
      <c r="A35" s="0" t="n">
        <v>88</v>
      </c>
      <c r="B35" s="0" t="n">
        <v>2024</v>
      </c>
      <c r="C35" s="20" t="s">
        <v>67</v>
      </c>
      <c r="D35" s="21" t="s">
        <v>44</v>
      </c>
      <c r="E35" s="21" t="s">
        <v>556</v>
      </c>
      <c r="F35" s="22" t="n">
        <v>60</v>
      </c>
      <c r="G35" s="22" t="n">
        <v>120</v>
      </c>
      <c r="H35" s="22" t="n">
        <v>92.5</v>
      </c>
      <c r="I35" s="22" t="n">
        <v>95</v>
      </c>
    </row>
    <row r="36" customFormat="false" ht="25" hidden="false" customHeight="false" outlineLevel="0" collapsed="false">
      <c r="A36" s="0" t="n">
        <v>88</v>
      </c>
      <c r="B36" s="0" t="n">
        <v>2024</v>
      </c>
      <c r="C36" s="20" t="s">
        <v>68</v>
      </c>
      <c r="D36" s="21" t="s">
        <v>44</v>
      </c>
      <c r="E36" s="22" t="n">
        <v>50</v>
      </c>
      <c r="F36" s="22" t="n">
        <v>50</v>
      </c>
      <c r="G36" s="22" t="n">
        <v>70</v>
      </c>
      <c r="H36" s="22" t="n">
        <v>56.67</v>
      </c>
      <c r="I36" s="22" t="n">
        <v>50</v>
      </c>
    </row>
    <row r="37" customFormat="false" ht="14.25" hidden="false" customHeight="false" outlineLevel="0" collapsed="false">
      <c r="A37" s="0" t="n">
        <v>88</v>
      </c>
      <c r="B37" s="0" t="n">
        <v>2024</v>
      </c>
      <c r="C37" s="20" t="s">
        <v>70</v>
      </c>
      <c r="D37" s="21" t="s">
        <v>49</v>
      </c>
      <c r="E37" s="21" t="s">
        <v>556</v>
      </c>
      <c r="F37" s="21" t="s">
        <v>556</v>
      </c>
      <c r="G37" s="21" t="s">
        <v>556</v>
      </c>
      <c r="H37" s="21" t="s">
        <v>556</v>
      </c>
      <c r="I37" s="21" t="s">
        <v>556</v>
      </c>
    </row>
    <row r="38" customFormat="false" ht="25" hidden="false" customHeight="false" outlineLevel="0" collapsed="false">
      <c r="A38" s="0" t="n">
        <v>88</v>
      </c>
      <c r="B38" s="0" t="n">
        <v>2024</v>
      </c>
      <c r="C38" s="20" t="s">
        <v>71</v>
      </c>
      <c r="D38" s="21" t="s">
        <v>49</v>
      </c>
      <c r="E38" s="21" t="s">
        <v>556</v>
      </c>
      <c r="F38" s="21" t="s">
        <v>556</v>
      </c>
      <c r="G38" s="21" t="s">
        <v>556</v>
      </c>
      <c r="H38" s="21" t="s">
        <v>556</v>
      </c>
      <c r="I38" s="21" t="s">
        <v>556</v>
      </c>
    </row>
    <row r="39" customFormat="false" ht="25" hidden="false" customHeight="false" outlineLevel="0" collapsed="false">
      <c r="A39" s="0" t="n">
        <v>88</v>
      </c>
      <c r="B39" s="0" t="n">
        <v>2024</v>
      </c>
      <c r="C39" s="20" t="s">
        <v>72</v>
      </c>
      <c r="D39" s="21" t="s">
        <v>49</v>
      </c>
      <c r="E39" s="21" t="s">
        <v>556</v>
      </c>
      <c r="F39" s="21" t="s">
        <v>556</v>
      </c>
      <c r="G39" s="21" t="s">
        <v>556</v>
      </c>
      <c r="H39" s="21" t="s">
        <v>556</v>
      </c>
      <c r="I39" s="21" t="s">
        <v>556</v>
      </c>
    </row>
    <row r="40" customFormat="false" ht="14.25" hidden="false" customHeight="false" outlineLevel="0" collapsed="false">
      <c r="A40" s="0" t="n">
        <v>88</v>
      </c>
      <c r="B40" s="0" t="n">
        <v>2024</v>
      </c>
      <c r="C40" s="20" t="s">
        <v>73</v>
      </c>
      <c r="D40" s="21" t="s">
        <v>49</v>
      </c>
      <c r="E40" s="21" t="s">
        <v>556</v>
      </c>
      <c r="F40" s="21" t="s">
        <v>556</v>
      </c>
      <c r="G40" s="21" t="s">
        <v>556</v>
      </c>
      <c r="H40" s="21" t="s">
        <v>556</v>
      </c>
      <c r="I40" s="21" t="s">
        <v>556</v>
      </c>
    </row>
    <row r="41" customFormat="false" ht="25" hidden="false" customHeight="false" outlineLevel="0" collapsed="false">
      <c r="A41" s="0" t="n">
        <v>88</v>
      </c>
      <c r="B41" s="0" t="n">
        <v>2024</v>
      </c>
      <c r="C41" s="20" t="s">
        <v>74</v>
      </c>
      <c r="D41" s="21" t="s">
        <v>75</v>
      </c>
      <c r="E41" s="21" t="s">
        <v>556</v>
      </c>
      <c r="F41" s="21" t="s">
        <v>556</v>
      </c>
      <c r="G41" s="21" t="s">
        <v>556</v>
      </c>
      <c r="H41" s="21" t="s">
        <v>556</v>
      </c>
      <c r="I41" s="21" t="s">
        <v>556</v>
      </c>
    </row>
    <row r="42" customFormat="false" ht="14.25" hidden="false" customHeight="false" outlineLevel="0" collapsed="false">
      <c r="A42" s="0" t="n">
        <v>85</v>
      </c>
      <c r="B42" s="0" t="n">
        <v>2024</v>
      </c>
      <c r="C42" s="20" t="s">
        <v>16</v>
      </c>
      <c r="D42" s="21" t="s">
        <v>17</v>
      </c>
      <c r="E42" s="21" t="s">
        <v>556</v>
      </c>
      <c r="F42" s="22" t="n">
        <v>36</v>
      </c>
      <c r="G42" s="22" t="n">
        <v>72</v>
      </c>
      <c r="H42" s="22" t="n">
        <v>54</v>
      </c>
      <c r="I42" s="22" t="n">
        <v>54</v>
      </c>
    </row>
    <row r="43" customFormat="false" ht="14.25" hidden="false" customHeight="false" outlineLevel="0" collapsed="false">
      <c r="A43" s="0" t="n">
        <v>85</v>
      </c>
      <c r="B43" s="0" t="n">
        <v>2024</v>
      </c>
      <c r="C43" s="20" t="s">
        <v>18</v>
      </c>
      <c r="D43" s="21" t="s">
        <v>17</v>
      </c>
      <c r="E43" s="22" t="n">
        <v>96</v>
      </c>
      <c r="F43" s="22" t="n">
        <v>54</v>
      </c>
      <c r="G43" s="22" t="n">
        <v>96</v>
      </c>
      <c r="H43" s="22" t="n">
        <v>82.5</v>
      </c>
      <c r="I43" s="22" t="n">
        <v>90</v>
      </c>
    </row>
    <row r="44" customFormat="false" ht="25" hidden="false" customHeight="false" outlineLevel="0" collapsed="false">
      <c r="A44" s="0" t="n">
        <v>85</v>
      </c>
      <c r="B44" s="0" t="n">
        <v>2024</v>
      </c>
      <c r="C44" s="20" t="s">
        <v>19</v>
      </c>
      <c r="D44" s="21" t="s">
        <v>17</v>
      </c>
      <c r="E44" s="21" t="s">
        <v>556</v>
      </c>
      <c r="F44" s="22" t="n">
        <v>40</v>
      </c>
      <c r="G44" s="22" t="n">
        <v>60</v>
      </c>
      <c r="H44" s="22" t="n">
        <v>48.25</v>
      </c>
      <c r="I44" s="22" t="n">
        <v>46.5</v>
      </c>
    </row>
    <row r="45" customFormat="false" ht="14.25" hidden="false" customHeight="false" outlineLevel="0" collapsed="false">
      <c r="A45" s="0" t="n">
        <v>85</v>
      </c>
      <c r="B45" s="0" t="n">
        <v>2024</v>
      </c>
      <c r="C45" s="20" t="s">
        <v>20</v>
      </c>
      <c r="D45" s="21" t="s">
        <v>17</v>
      </c>
      <c r="E45" s="22" t="n">
        <v>30</v>
      </c>
      <c r="F45" s="22" t="n">
        <v>25</v>
      </c>
      <c r="G45" s="22" t="n">
        <v>50</v>
      </c>
      <c r="H45" s="22" t="n">
        <v>33.75</v>
      </c>
      <c r="I45" s="22" t="n">
        <v>30</v>
      </c>
    </row>
    <row r="46" customFormat="false" ht="14.25" hidden="false" customHeight="false" outlineLevel="0" collapsed="false">
      <c r="A46" s="0" t="n">
        <v>85</v>
      </c>
      <c r="B46" s="0" t="n">
        <v>2024</v>
      </c>
      <c r="C46" s="20" t="s">
        <v>21</v>
      </c>
      <c r="D46" s="21" t="s">
        <v>17</v>
      </c>
      <c r="E46" s="22" t="n">
        <v>30</v>
      </c>
      <c r="F46" s="22" t="n">
        <v>25</v>
      </c>
      <c r="G46" s="22" t="n">
        <v>50</v>
      </c>
      <c r="H46" s="22" t="n">
        <v>33.75</v>
      </c>
      <c r="I46" s="22" t="n">
        <v>30</v>
      </c>
    </row>
    <row r="47" customFormat="false" ht="14.25" hidden="false" customHeight="false" outlineLevel="0" collapsed="false">
      <c r="A47" s="0" t="n">
        <v>85</v>
      </c>
      <c r="B47" s="0" t="n">
        <v>2024</v>
      </c>
      <c r="C47" s="20" t="s">
        <v>22</v>
      </c>
      <c r="D47" s="21" t="s">
        <v>17</v>
      </c>
      <c r="E47" s="22" t="n">
        <v>60</v>
      </c>
      <c r="F47" s="22" t="n">
        <v>60</v>
      </c>
      <c r="G47" s="22" t="n">
        <v>120</v>
      </c>
      <c r="H47" s="22" t="n">
        <v>76.5</v>
      </c>
      <c r="I47" s="22" t="n">
        <v>63</v>
      </c>
    </row>
    <row r="48" customFormat="false" ht="36.5" hidden="false" customHeight="false" outlineLevel="0" collapsed="false">
      <c r="A48" s="0" t="n">
        <v>85</v>
      </c>
      <c r="B48" s="0" t="n">
        <v>2024</v>
      </c>
      <c r="C48" s="20" t="s">
        <v>23</v>
      </c>
      <c r="D48" s="21" t="s">
        <v>17</v>
      </c>
      <c r="E48" s="22" t="n">
        <v>84</v>
      </c>
      <c r="F48" s="22" t="n">
        <v>78</v>
      </c>
      <c r="G48" s="22" t="n">
        <v>84</v>
      </c>
      <c r="H48" s="22" t="n">
        <v>81</v>
      </c>
      <c r="I48" s="22" t="n">
        <v>81</v>
      </c>
    </row>
    <row r="49" customFormat="false" ht="25" hidden="false" customHeight="false" outlineLevel="0" collapsed="false">
      <c r="A49" s="0" t="n">
        <v>85</v>
      </c>
      <c r="B49" s="0" t="n">
        <v>2024</v>
      </c>
      <c r="C49" s="20" t="s">
        <v>24</v>
      </c>
      <c r="D49" s="21" t="s">
        <v>17</v>
      </c>
      <c r="E49" s="22" t="n">
        <v>84</v>
      </c>
      <c r="F49" s="22" t="n">
        <v>72</v>
      </c>
      <c r="G49" s="22" t="n">
        <v>96</v>
      </c>
      <c r="H49" s="22" t="n">
        <v>84</v>
      </c>
      <c r="I49" s="22" t="n">
        <v>84</v>
      </c>
    </row>
    <row r="50" customFormat="false" ht="25" hidden="false" customHeight="false" outlineLevel="0" collapsed="false">
      <c r="A50" s="0" t="n">
        <v>85</v>
      </c>
      <c r="B50" s="0" t="n">
        <v>2024</v>
      </c>
      <c r="C50" s="20" t="s">
        <v>25</v>
      </c>
      <c r="D50" s="21" t="s">
        <v>17</v>
      </c>
      <c r="E50" s="22" t="n">
        <v>24</v>
      </c>
      <c r="F50" s="22" t="n">
        <v>24</v>
      </c>
      <c r="G50" s="22" t="n">
        <v>30</v>
      </c>
      <c r="H50" s="22" t="n">
        <v>25.5</v>
      </c>
      <c r="I50" s="22" t="n">
        <v>24</v>
      </c>
    </row>
    <row r="51" customFormat="false" ht="14.25" hidden="false" customHeight="false" outlineLevel="0" collapsed="false">
      <c r="A51" s="0" t="n">
        <v>85</v>
      </c>
      <c r="B51" s="0" t="n">
        <v>2024</v>
      </c>
      <c r="C51" s="20" t="s">
        <v>77</v>
      </c>
      <c r="D51" s="21" t="s">
        <v>17</v>
      </c>
      <c r="E51" s="22" t="n">
        <v>96</v>
      </c>
      <c r="F51" s="22" t="n">
        <v>72</v>
      </c>
      <c r="G51" s="22" t="n">
        <v>96</v>
      </c>
      <c r="H51" s="22" t="n">
        <v>87</v>
      </c>
      <c r="I51" s="22" t="n">
        <v>90</v>
      </c>
    </row>
    <row r="52" customFormat="false" ht="14.25" hidden="false" customHeight="false" outlineLevel="0" collapsed="false">
      <c r="A52" s="0" t="n">
        <v>85</v>
      </c>
      <c r="B52" s="0" t="n">
        <v>2024</v>
      </c>
      <c r="C52" s="20" t="s">
        <v>27</v>
      </c>
      <c r="D52" s="21" t="s">
        <v>17</v>
      </c>
      <c r="E52" s="22" t="n">
        <v>30</v>
      </c>
      <c r="F52" s="22" t="n">
        <v>25</v>
      </c>
      <c r="G52" s="22" t="n">
        <v>36</v>
      </c>
      <c r="H52" s="22" t="n">
        <v>30.25</v>
      </c>
      <c r="I52" s="22" t="n">
        <v>30</v>
      </c>
    </row>
    <row r="53" customFormat="false" ht="14.25" hidden="false" customHeight="false" outlineLevel="0" collapsed="false">
      <c r="A53" s="0" t="n">
        <v>85</v>
      </c>
      <c r="B53" s="0" t="n">
        <v>2024</v>
      </c>
      <c r="C53" s="20" t="s">
        <v>28</v>
      </c>
      <c r="D53" s="21" t="s">
        <v>17</v>
      </c>
      <c r="E53" s="22" t="n">
        <v>72</v>
      </c>
      <c r="F53" s="22" t="n">
        <v>60</v>
      </c>
      <c r="G53" s="22" t="n">
        <v>84</v>
      </c>
      <c r="H53" s="22" t="n">
        <v>72</v>
      </c>
      <c r="I53" s="22" t="n">
        <v>72</v>
      </c>
    </row>
    <row r="54" customFormat="false" ht="14.25" hidden="false" customHeight="false" outlineLevel="0" collapsed="false">
      <c r="A54" s="0" t="n">
        <v>85</v>
      </c>
      <c r="B54" s="0" t="n">
        <v>2024</v>
      </c>
      <c r="C54" s="20" t="s">
        <v>29</v>
      </c>
      <c r="D54" s="21" t="s">
        <v>30</v>
      </c>
      <c r="E54" s="22" t="n">
        <v>72</v>
      </c>
      <c r="F54" s="22" t="n">
        <v>60</v>
      </c>
      <c r="G54" s="22" t="n">
        <v>96</v>
      </c>
      <c r="H54" s="22" t="n">
        <v>75</v>
      </c>
      <c r="I54" s="22" t="n">
        <v>72</v>
      </c>
    </row>
    <row r="55" customFormat="false" ht="14.25" hidden="false" customHeight="false" outlineLevel="0" collapsed="false">
      <c r="A55" s="0" t="n">
        <v>85</v>
      </c>
      <c r="B55" s="0" t="n">
        <v>2024</v>
      </c>
      <c r="C55" s="20" t="s">
        <v>31</v>
      </c>
      <c r="D55" s="21" t="s">
        <v>17</v>
      </c>
      <c r="E55" s="22" t="n">
        <v>60</v>
      </c>
      <c r="F55" s="22" t="n">
        <v>54</v>
      </c>
      <c r="G55" s="22" t="n">
        <v>72</v>
      </c>
      <c r="H55" s="22" t="n">
        <v>61.5</v>
      </c>
      <c r="I55" s="22" t="n">
        <v>60</v>
      </c>
    </row>
    <row r="56" customFormat="false" ht="25" hidden="false" customHeight="false" outlineLevel="0" collapsed="false">
      <c r="A56" s="0" t="n">
        <v>85</v>
      </c>
      <c r="B56" s="0" t="n">
        <v>2024</v>
      </c>
      <c r="C56" s="20" t="s">
        <v>32</v>
      </c>
      <c r="D56" s="21" t="s">
        <v>17</v>
      </c>
      <c r="E56" s="22" t="n">
        <v>48</v>
      </c>
      <c r="F56" s="22" t="n">
        <v>36</v>
      </c>
      <c r="G56" s="22" t="n">
        <v>48</v>
      </c>
      <c r="H56" s="22" t="n">
        <v>42</v>
      </c>
      <c r="I56" s="22" t="n">
        <v>42</v>
      </c>
    </row>
    <row r="57" customFormat="false" ht="14.25" hidden="false" customHeight="false" outlineLevel="0" collapsed="false">
      <c r="A57" s="0" t="n">
        <v>85</v>
      </c>
      <c r="B57" s="0" t="n">
        <v>2024</v>
      </c>
      <c r="C57" s="20" t="s">
        <v>33</v>
      </c>
      <c r="D57" s="21" t="s">
        <v>17</v>
      </c>
      <c r="E57" s="22" t="n">
        <v>54</v>
      </c>
      <c r="F57" s="22" t="n">
        <v>48</v>
      </c>
      <c r="G57" s="22" t="n">
        <v>60</v>
      </c>
      <c r="H57" s="22" t="n">
        <v>54</v>
      </c>
      <c r="I57" s="22" t="n">
        <v>54</v>
      </c>
    </row>
    <row r="58" customFormat="false" ht="14.25" hidden="false" customHeight="false" outlineLevel="0" collapsed="false">
      <c r="A58" s="0" t="n">
        <v>85</v>
      </c>
      <c r="B58" s="0" t="n">
        <v>2024</v>
      </c>
      <c r="C58" s="20" t="s">
        <v>35</v>
      </c>
      <c r="D58" s="21" t="s">
        <v>36</v>
      </c>
      <c r="E58" s="22" t="n">
        <v>5</v>
      </c>
      <c r="F58" s="22" t="n">
        <v>5</v>
      </c>
      <c r="G58" s="22" t="n">
        <v>5</v>
      </c>
      <c r="H58" s="22" t="n">
        <v>5</v>
      </c>
      <c r="I58" s="22" t="n">
        <v>5</v>
      </c>
    </row>
    <row r="59" customFormat="false" ht="14.25" hidden="false" customHeight="false" outlineLevel="0" collapsed="false">
      <c r="A59" s="0" t="n">
        <v>85</v>
      </c>
      <c r="B59" s="0" t="n">
        <v>2024</v>
      </c>
      <c r="C59" s="20" t="s">
        <v>38</v>
      </c>
      <c r="D59" s="21" t="s">
        <v>39</v>
      </c>
      <c r="E59" s="22" t="n">
        <v>20</v>
      </c>
      <c r="F59" s="22" t="n">
        <v>20</v>
      </c>
      <c r="G59" s="22" t="n">
        <v>25</v>
      </c>
      <c r="H59" s="22" t="n">
        <v>22.5</v>
      </c>
      <c r="I59" s="22" t="n">
        <v>22.5</v>
      </c>
    </row>
    <row r="60" customFormat="false" ht="14.25" hidden="false" customHeight="false" outlineLevel="0" collapsed="false">
      <c r="A60" s="0" t="n">
        <v>85</v>
      </c>
      <c r="B60" s="0" t="n">
        <v>2024</v>
      </c>
      <c r="C60" s="20" t="s">
        <v>40</v>
      </c>
      <c r="D60" s="21" t="s">
        <v>39</v>
      </c>
      <c r="E60" s="22" t="n">
        <v>25</v>
      </c>
      <c r="F60" s="22" t="n">
        <v>25</v>
      </c>
      <c r="G60" s="22" t="n">
        <v>30</v>
      </c>
      <c r="H60" s="22" t="n">
        <v>27.5</v>
      </c>
      <c r="I60" s="22" t="n">
        <v>27.5</v>
      </c>
    </row>
    <row r="61" customFormat="false" ht="25" hidden="false" customHeight="false" outlineLevel="0" collapsed="false">
      <c r="A61" s="0" t="n">
        <v>85</v>
      </c>
      <c r="B61" s="0" t="n">
        <v>2024</v>
      </c>
      <c r="C61" s="20" t="s">
        <v>360</v>
      </c>
      <c r="D61" s="21" t="s">
        <v>158</v>
      </c>
      <c r="E61" s="22" t="n">
        <v>70</v>
      </c>
      <c r="F61" s="22" t="n">
        <v>70</v>
      </c>
      <c r="G61" s="22" t="n">
        <v>75</v>
      </c>
      <c r="H61" s="22" t="n">
        <v>71.67</v>
      </c>
      <c r="I61" s="22" t="n">
        <v>70</v>
      </c>
    </row>
    <row r="62" customFormat="false" ht="25" hidden="false" customHeight="false" outlineLevel="0" collapsed="false">
      <c r="A62" s="0" t="n">
        <v>85</v>
      </c>
      <c r="B62" s="0" t="n">
        <v>2024</v>
      </c>
      <c r="C62" s="20" t="s">
        <v>43</v>
      </c>
      <c r="D62" s="21" t="s">
        <v>44</v>
      </c>
      <c r="E62" s="22" t="n">
        <v>50</v>
      </c>
      <c r="F62" s="22" t="n">
        <v>50</v>
      </c>
      <c r="G62" s="22" t="n">
        <v>60</v>
      </c>
      <c r="H62" s="22" t="n">
        <v>53.33</v>
      </c>
      <c r="I62" s="22" t="n">
        <v>50</v>
      </c>
    </row>
    <row r="63" customFormat="false" ht="14.25" hidden="false" customHeight="false" outlineLevel="0" collapsed="false">
      <c r="A63" s="0" t="n">
        <v>85</v>
      </c>
      <c r="B63" s="0" t="n">
        <v>2024</v>
      </c>
      <c r="C63" s="20" t="s">
        <v>46</v>
      </c>
      <c r="D63" s="21" t="s">
        <v>47</v>
      </c>
      <c r="E63" s="22" t="n">
        <v>70</v>
      </c>
      <c r="F63" s="22" t="n">
        <v>45</v>
      </c>
      <c r="G63" s="22" t="n">
        <v>70</v>
      </c>
      <c r="H63" s="22" t="n">
        <v>62.5</v>
      </c>
      <c r="I63" s="22" t="n">
        <v>67.5</v>
      </c>
    </row>
    <row r="64" customFormat="false" ht="25" hidden="false" customHeight="false" outlineLevel="0" collapsed="false">
      <c r="A64" s="0" t="n">
        <v>85</v>
      </c>
      <c r="B64" s="0" t="n">
        <v>2024</v>
      </c>
      <c r="C64" s="20" t="s">
        <v>48</v>
      </c>
      <c r="D64" s="21" t="s">
        <v>49</v>
      </c>
      <c r="E64" s="21" t="s">
        <v>556</v>
      </c>
      <c r="F64" s="22" t="n">
        <v>40</v>
      </c>
      <c r="G64" s="22" t="n">
        <v>65</v>
      </c>
      <c r="H64" s="22" t="n">
        <v>53.75</v>
      </c>
      <c r="I64" s="22" t="n">
        <v>55</v>
      </c>
    </row>
    <row r="65" customFormat="false" ht="25" hidden="false" customHeight="false" outlineLevel="0" collapsed="false">
      <c r="A65" s="0" t="n">
        <v>85</v>
      </c>
      <c r="B65" s="0" t="n">
        <v>2024</v>
      </c>
      <c r="C65" s="20" t="s">
        <v>52</v>
      </c>
      <c r="D65" s="21" t="s">
        <v>49</v>
      </c>
      <c r="E65" s="21" t="s">
        <v>556</v>
      </c>
      <c r="F65" s="22" t="n">
        <v>65</v>
      </c>
      <c r="G65" s="22" t="n">
        <v>75</v>
      </c>
      <c r="H65" s="22" t="n">
        <v>70</v>
      </c>
      <c r="I65" s="22" t="n">
        <v>70</v>
      </c>
    </row>
    <row r="66" customFormat="false" ht="14.25" hidden="false" customHeight="false" outlineLevel="0" collapsed="false">
      <c r="A66" s="0" t="n">
        <v>85</v>
      </c>
      <c r="B66" s="0" t="n">
        <v>2024</v>
      </c>
      <c r="C66" s="20" t="s">
        <v>53</v>
      </c>
      <c r="D66" s="21" t="s">
        <v>54</v>
      </c>
      <c r="E66" s="22" t="n">
        <v>60</v>
      </c>
      <c r="F66" s="22" t="n">
        <v>50</v>
      </c>
      <c r="G66" s="22" t="n">
        <v>60</v>
      </c>
      <c r="H66" s="22" t="n">
        <v>55</v>
      </c>
      <c r="I66" s="22" t="n">
        <v>55</v>
      </c>
    </row>
    <row r="67" customFormat="false" ht="14.25" hidden="false" customHeight="false" outlineLevel="0" collapsed="false">
      <c r="A67" s="0" t="n">
        <v>85</v>
      </c>
      <c r="B67" s="0" t="n">
        <v>2024</v>
      </c>
      <c r="C67" s="20" t="s">
        <v>56</v>
      </c>
      <c r="D67" s="21" t="s">
        <v>47</v>
      </c>
      <c r="E67" s="21" t="s">
        <v>556</v>
      </c>
      <c r="F67" s="22" t="n">
        <v>60</v>
      </c>
      <c r="G67" s="22" t="n">
        <v>100</v>
      </c>
      <c r="H67" s="22" t="n">
        <v>80</v>
      </c>
      <c r="I67" s="22" t="n">
        <v>80</v>
      </c>
    </row>
    <row r="68" customFormat="false" ht="14.25" hidden="false" customHeight="false" outlineLevel="0" collapsed="false">
      <c r="A68" s="0" t="n">
        <v>85</v>
      </c>
      <c r="B68" s="0" t="n">
        <v>2024</v>
      </c>
      <c r="C68" s="20" t="s">
        <v>57</v>
      </c>
      <c r="D68" s="21" t="s">
        <v>47</v>
      </c>
      <c r="E68" s="21" t="s">
        <v>556</v>
      </c>
      <c r="F68" s="22" t="n">
        <v>45</v>
      </c>
      <c r="G68" s="22" t="n">
        <v>90</v>
      </c>
      <c r="H68" s="22" t="n">
        <v>63.75</v>
      </c>
      <c r="I68" s="22" t="n">
        <v>60</v>
      </c>
    </row>
    <row r="69" customFormat="false" ht="14.25" hidden="false" customHeight="false" outlineLevel="0" collapsed="false">
      <c r="A69" s="0" t="n">
        <v>85</v>
      </c>
      <c r="B69" s="0" t="n">
        <v>2024</v>
      </c>
      <c r="C69" s="20" t="s">
        <v>58</v>
      </c>
      <c r="D69" s="21" t="s">
        <v>44</v>
      </c>
      <c r="E69" s="21" t="s">
        <v>556</v>
      </c>
      <c r="F69" s="22" t="n">
        <v>70</v>
      </c>
      <c r="G69" s="22" t="n">
        <v>100</v>
      </c>
      <c r="H69" s="22" t="n">
        <v>85</v>
      </c>
      <c r="I69" s="22" t="n">
        <v>85</v>
      </c>
    </row>
    <row r="70" customFormat="false" ht="14.25" hidden="false" customHeight="false" outlineLevel="0" collapsed="false">
      <c r="A70" s="0" t="n">
        <v>85</v>
      </c>
      <c r="B70" s="0" t="n">
        <v>2024</v>
      </c>
      <c r="C70" s="20" t="s">
        <v>60</v>
      </c>
      <c r="D70" s="21" t="s">
        <v>47</v>
      </c>
      <c r="E70" s="21" t="s">
        <v>556</v>
      </c>
      <c r="F70" s="22" t="n">
        <v>50</v>
      </c>
      <c r="G70" s="22" t="n">
        <v>75</v>
      </c>
      <c r="H70" s="22" t="n">
        <v>62.5</v>
      </c>
      <c r="I70" s="22" t="n">
        <v>62.5</v>
      </c>
    </row>
    <row r="71" customFormat="false" ht="25" hidden="false" customHeight="false" outlineLevel="0" collapsed="false">
      <c r="A71" s="0" t="n">
        <v>85</v>
      </c>
      <c r="B71" s="0" t="n">
        <v>2024</v>
      </c>
      <c r="C71" s="20" t="s">
        <v>61</v>
      </c>
      <c r="D71" s="21" t="s">
        <v>44</v>
      </c>
      <c r="E71" s="22" t="n">
        <v>80</v>
      </c>
      <c r="F71" s="22" t="n">
        <v>45</v>
      </c>
      <c r="G71" s="22" t="n">
        <v>80</v>
      </c>
      <c r="H71" s="22" t="n">
        <v>68.33</v>
      </c>
      <c r="I71" s="22" t="n">
        <v>80</v>
      </c>
    </row>
    <row r="72" customFormat="false" ht="25" hidden="false" customHeight="false" outlineLevel="0" collapsed="false">
      <c r="A72" s="0" t="n">
        <v>85</v>
      </c>
      <c r="B72" s="0" t="n">
        <v>2024</v>
      </c>
      <c r="C72" s="20" t="s">
        <v>62</v>
      </c>
      <c r="D72" s="21" t="s">
        <v>44</v>
      </c>
      <c r="E72" s="22" t="n">
        <v>90</v>
      </c>
      <c r="F72" s="22" t="n">
        <v>80</v>
      </c>
      <c r="G72" s="22" t="n">
        <v>120</v>
      </c>
      <c r="H72" s="22" t="n">
        <v>95</v>
      </c>
      <c r="I72" s="22" t="n">
        <v>90</v>
      </c>
    </row>
    <row r="73" customFormat="false" ht="25" hidden="false" customHeight="false" outlineLevel="0" collapsed="false">
      <c r="A73" s="0" t="n">
        <v>85</v>
      </c>
      <c r="B73" s="0" t="n">
        <v>2024</v>
      </c>
      <c r="C73" s="20" t="s">
        <v>63</v>
      </c>
      <c r="D73" s="21" t="s">
        <v>49</v>
      </c>
      <c r="E73" s="22" t="n">
        <v>30</v>
      </c>
      <c r="F73" s="22" t="n">
        <v>20</v>
      </c>
      <c r="G73" s="22" t="n">
        <v>40</v>
      </c>
      <c r="H73" s="22" t="n">
        <v>30</v>
      </c>
      <c r="I73" s="22" t="n">
        <v>30</v>
      </c>
    </row>
    <row r="74" customFormat="false" ht="14.25" hidden="false" customHeight="false" outlineLevel="0" collapsed="false">
      <c r="A74" s="0" t="n">
        <v>85</v>
      </c>
      <c r="B74" s="0" t="n">
        <v>2024</v>
      </c>
      <c r="C74" s="20" t="s">
        <v>64</v>
      </c>
      <c r="D74" s="21" t="s">
        <v>65</v>
      </c>
      <c r="E74" s="22" t="n">
        <v>90</v>
      </c>
      <c r="F74" s="22" t="n">
        <v>50</v>
      </c>
      <c r="G74" s="22" t="n">
        <v>90</v>
      </c>
      <c r="H74" s="22" t="n">
        <v>78.75</v>
      </c>
      <c r="I74" s="22" t="n">
        <v>87.5</v>
      </c>
    </row>
    <row r="75" customFormat="false" ht="25" hidden="false" customHeight="false" outlineLevel="0" collapsed="false">
      <c r="A75" s="0" t="n">
        <v>85</v>
      </c>
      <c r="B75" s="0" t="n">
        <v>2024</v>
      </c>
      <c r="C75" s="20" t="s">
        <v>67</v>
      </c>
      <c r="D75" s="21" t="s">
        <v>44</v>
      </c>
      <c r="E75" s="21" t="s">
        <v>556</v>
      </c>
      <c r="F75" s="22" t="n">
        <v>60</v>
      </c>
      <c r="G75" s="22" t="n">
        <v>120</v>
      </c>
      <c r="H75" s="22" t="n">
        <v>92.5</v>
      </c>
      <c r="I75" s="22" t="n">
        <v>95</v>
      </c>
    </row>
    <row r="76" customFormat="false" ht="25" hidden="false" customHeight="false" outlineLevel="0" collapsed="false">
      <c r="A76" s="0" t="n">
        <v>85</v>
      </c>
      <c r="B76" s="0" t="n">
        <v>2024</v>
      </c>
      <c r="C76" s="20" t="s">
        <v>68</v>
      </c>
      <c r="D76" s="21" t="s">
        <v>44</v>
      </c>
      <c r="E76" s="22" t="n">
        <v>50</v>
      </c>
      <c r="F76" s="22" t="n">
        <v>50</v>
      </c>
      <c r="G76" s="22" t="n">
        <v>70</v>
      </c>
      <c r="H76" s="22" t="n">
        <v>56.67</v>
      </c>
      <c r="I76" s="22" t="n">
        <v>50</v>
      </c>
    </row>
    <row r="77" customFormat="false" ht="14.25" hidden="false" customHeight="false" outlineLevel="0" collapsed="false">
      <c r="A77" s="0" t="n">
        <v>85</v>
      </c>
      <c r="B77" s="0" t="n">
        <v>2024</v>
      </c>
      <c r="C77" s="20" t="s">
        <v>70</v>
      </c>
      <c r="D77" s="21" t="s">
        <v>49</v>
      </c>
      <c r="E77" s="21" t="s">
        <v>556</v>
      </c>
      <c r="F77" s="21" t="s">
        <v>556</v>
      </c>
      <c r="G77" s="21" t="s">
        <v>556</v>
      </c>
      <c r="H77" s="21" t="s">
        <v>556</v>
      </c>
      <c r="I77" s="21" t="s">
        <v>556</v>
      </c>
    </row>
    <row r="78" customFormat="false" ht="25" hidden="false" customHeight="false" outlineLevel="0" collapsed="false">
      <c r="A78" s="0" t="n">
        <v>85</v>
      </c>
      <c r="B78" s="0" t="n">
        <v>2024</v>
      </c>
      <c r="C78" s="20" t="s">
        <v>71</v>
      </c>
      <c r="D78" s="21" t="s">
        <v>49</v>
      </c>
      <c r="E78" s="21" t="s">
        <v>556</v>
      </c>
      <c r="F78" s="21" t="s">
        <v>556</v>
      </c>
      <c r="G78" s="21" t="s">
        <v>556</v>
      </c>
      <c r="H78" s="21" t="s">
        <v>556</v>
      </c>
      <c r="I78" s="21" t="s">
        <v>556</v>
      </c>
    </row>
    <row r="79" customFormat="false" ht="25" hidden="false" customHeight="false" outlineLevel="0" collapsed="false">
      <c r="A79" s="0" t="n">
        <v>85</v>
      </c>
      <c r="B79" s="0" t="n">
        <v>2024</v>
      </c>
      <c r="C79" s="20" t="s">
        <v>72</v>
      </c>
      <c r="D79" s="21" t="s">
        <v>49</v>
      </c>
      <c r="E79" s="21" t="s">
        <v>556</v>
      </c>
      <c r="F79" s="21" t="s">
        <v>556</v>
      </c>
      <c r="G79" s="21" t="s">
        <v>556</v>
      </c>
      <c r="H79" s="21" t="s">
        <v>556</v>
      </c>
      <c r="I79" s="21" t="s">
        <v>556</v>
      </c>
    </row>
    <row r="80" customFormat="false" ht="14.25" hidden="false" customHeight="false" outlineLevel="0" collapsed="false">
      <c r="A80" s="0" t="n">
        <v>85</v>
      </c>
      <c r="B80" s="0" t="n">
        <v>2024</v>
      </c>
      <c r="C80" s="20" t="s">
        <v>73</v>
      </c>
      <c r="D80" s="21" t="s">
        <v>49</v>
      </c>
      <c r="E80" s="21" t="s">
        <v>556</v>
      </c>
      <c r="F80" s="21" t="s">
        <v>556</v>
      </c>
      <c r="G80" s="21" t="s">
        <v>556</v>
      </c>
      <c r="H80" s="21" t="s">
        <v>556</v>
      </c>
      <c r="I80" s="21" t="s">
        <v>556</v>
      </c>
    </row>
    <row r="81" customFormat="false" ht="25" hidden="false" customHeight="false" outlineLevel="0" collapsed="false">
      <c r="A81" s="0" t="n">
        <v>85</v>
      </c>
      <c r="B81" s="0" t="n">
        <v>2024</v>
      </c>
      <c r="C81" s="20" t="s">
        <v>74</v>
      </c>
      <c r="D81" s="21" t="s">
        <v>75</v>
      </c>
      <c r="E81" s="21" t="s">
        <v>556</v>
      </c>
      <c r="F81" s="21" t="s">
        <v>556</v>
      </c>
      <c r="G81" s="21" t="s">
        <v>556</v>
      </c>
      <c r="H81" s="21" t="s">
        <v>556</v>
      </c>
      <c r="I81" s="21" t="s">
        <v>556</v>
      </c>
    </row>
    <row r="82" customFormat="false" ht="14.25" hidden="false" customHeight="false" outlineLevel="0" collapsed="false">
      <c r="A82" s="0" t="n">
        <v>61</v>
      </c>
      <c r="B82" s="0" t="n">
        <v>2024</v>
      </c>
      <c r="C82" s="20" t="s">
        <v>16</v>
      </c>
      <c r="D82" s="21" t="s">
        <v>17</v>
      </c>
      <c r="E82" s="22" t="n">
        <v>60</v>
      </c>
      <c r="F82" s="22" t="n">
        <v>48</v>
      </c>
      <c r="G82" s="22" t="n">
        <v>60</v>
      </c>
      <c r="H82" s="22" t="n">
        <v>54</v>
      </c>
      <c r="I82" s="22" t="n">
        <v>54</v>
      </c>
    </row>
    <row r="83" customFormat="false" ht="14.25" hidden="false" customHeight="false" outlineLevel="0" collapsed="false">
      <c r="A83" s="0" t="n">
        <v>61</v>
      </c>
      <c r="B83" s="0" t="n">
        <v>2024</v>
      </c>
      <c r="C83" s="20" t="s">
        <v>18</v>
      </c>
      <c r="D83" s="21" t="s">
        <v>17</v>
      </c>
      <c r="E83" s="22" t="n">
        <v>84</v>
      </c>
      <c r="F83" s="22" t="n">
        <v>72</v>
      </c>
      <c r="G83" s="22" t="n">
        <v>84</v>
      </c>
      <c r="H83" s="22" t="n">
        <v>78</v>
      </c>
      <c r="I83" s="22" t="n">
        <v>78</v>
      </c>
    </row>
    <row r="84" customFormat="false" ht="25" hidden="false" customHeight="false" outlineLevel="0" collapsed="false">
      <c r="A84" s="0" t="n">
        <v>61</v>
      </c>
      <c r="B84" s="0" t="n">
        <v>2024</v>
      </c>
      <c r="C84" s="20" t="s">
        <v>19</v>
      </c>
      <c r="D84" s="21" t="s">
        <v>17</v>
      </c>
      <c r="E84" s="22" t="n">
        <v>36</v>
      </c>
      <c r="F84" s="22" t="n">
        <v>35</v>
      </c>
      <c r="G84" s="22" t="n">
        <v>42</v>
      </c>
      <c r="H84" s="22" t="n">
        <v>37.25</v>
      </c>
      <c r="I84" s="22" t="n">
        <v>36</v>
      </c>
    </row>
    <row r="85" customFormat="false" ht="14.25" hidden="false" customHeight="false" outlineLevel="0" collapsed="false">
      <c r="A85" s="0" t="n">
        <v>61</v>
      </c>
      <c r="B85" s="0" t="n">
        <v>2024</v>
      </c>
      <c r="C85" s="20" t="s">
        <v>20</v>
      </c>
      <c r="D85" s="21" t="s">
        <v>17</v>
      </c>
      <c r="E85" s="22" t="n">
        <v>18</v>
      </c>
      <c r="F85" s="22" t="n">
        <v>18</v>
      </c>
      <c r="G85" s="22" t="n">
        <v>24</v>
      </c>
      <c r="H85" s="22" t="n">
        <v>21</v>
      </c>
      <c r="I85" s="22" t="n">
        <v>21</v>
      </c>
    </row>
    <row r="86" customFormat="false" ht="14.25" hidden="false" customHeight="false" outlineLevel="0" collapsed="false">
      <c r="A86" s="0" t="n">
        <v>61</v>
      </c>
      <c r="B86" s="0" t="n">
        <v>2024</v>
      </c>
      <c r="C86" s="20" t="s">
        <v>21</v>
      </c>
      <c r="D86" s="21" t="s">
        <v>17</v>
      </c>
      <c r="E86" s="22" t="n">
        <v>18</v>
      </c>
      <c r="F86" s="22" t="n">
        <v>18</v>
      </c>
      <c r="G86" s="22" t="n">
        <v>24</v>
      </c>
      <c r="H86" s="22" t="n">
        <v>21</v>
      </c>
      <c r="I86" s="22" t="n">
        <v>21</v>
      </c>
    </row>
    <row r="87" customFormat="false" ht="14.25" hidden="false" customHeight="false" outlineLevel="0" collapsed="false">
      <c r="A87" s="0" t="n">
        <v>61</v>
      </c>
      <c r="B87" s="0" t="n">
        <v>2024</v>
      </c>
      <c r="C87" s="20" t="s">
        <v>22</v>
      </c>
      <c r="D87" s="21" t="s">
        <v>17</v>
      </c>
      <c r="E87" s="22" t="n">
        <v>60</v>
      </c>
      <c r="F87" s="22" t="n">
        <v>60</v>
      </c>
      <c r="G87" s="22" t="n">
        <v>60</v>
      </c>
      <c r="H87" s="22" t="n">
        <v>60</v>
      </c>
      <c r="I87" s="22" t="n">
        <v>60</v>
      </c>
    </row>
    <row r="88" customFormat="false" ht="36.5" hidden="false" customHeight="false" outlineLevel="0" collapsed="false">
      <c r="A88" s="0" t="n">
        <v>61</v>
      </c>
      <c r="B88" s="0" t="n">
        <v>2024</v>
      </c>
      <c r="C88" s="20" t="s">
        <v>23</v>
      </c>
      <c r="D88" s="21" t="s">
        <v>17</v>
      </c>
      <c r="E88" s="22" t="n">
        <v>60</v>
      </c>
      <c r="F88" s="22" t="n">
        <v>48</v>
      </c>
      <c r="G88" s="22" t="n">
        <v>60</v>
      </c>
      <c r="H88" s="22" t="n">
        <v>57</v>
      </c>
      <c r="I88" s="22" t="n">
        <v>60</v>
      </c>
    </row>
    <row r="89" customFormat="false" ht="25" hidden="false" customHeight="false" outlineLevel="0" collapsed="false">
      <c r="A89" s="0" t="n">
        <v>61</v>
      </c>
      <c r="B89" s="0" t="n">
        <v>2024</v>
      </c>
      <c r="C89" s="20" t="s">
        <v>24</v>
      </c>
      <c r="D89" s="21" t="s">
        <v>17</v>
      </c>
      <c r="E89" s="22" t="n">
        <v>72</v>
      </c>
      <c r="F89" s="22" t="n">
        <v>72</v>
      </c>
      <c r="G89" s="22" t="n">
        <v>84</v>
      </c>
      <c r="H89" s="22" t="n">
        <v>78</v>
      </c>
      <c r="I89" s="22" t="n">
        <v>78</v>
      </c>
    </row>
    <row r="90" customFormat="false" ht="25" hidden="false" customHeight="false" outlineLevel="0" collapsed="false">
      <c r="A90" s="0" t="n">
        <v>61</v>
      </c>
      <c r="B90" s="0" t="n">
        <v>2024</v>
      </c>
      <c r="C90" s="20" t="s">
        <v>25</v>
      </c>
      <c r="D90" s="21" t="s">
        <v>17</v>
      </c>
      <c r="E90" s="22" t="n">
        <v>24</v>
      </c>
      <c r="F90" s="22" t="n">
        <v>24</v>
      </c>
      <c r="G90" s="22" t="n">
        <v>25</v>
      </c>
      <c r="H90" s="22" t="n">
        <v>24.25</v>
      </c>
      <c r="I90" s="22" t="n">
        <v>24</v>
      </c>
    </row>
    <row r="91" customFormat="false" ht="14.25" hidden="false" customHeight="false" outlineLevel="0" collapsed="false">
      <c r="A91" s="0" t="n">
        <v>61</v>
      </c>
      <c r="B91" s="0" t="n">
        <v>2024</v>
      </c>
      <c r="C91" s="20" t="s">
        <v>77</v>
      </c>
      <c r="D91" s="21" t="s">
        <v>17</v>
      </c>
      <c r="E91" s="21" t="s">
        <v>556</v>
      </c>
      <c r="F91" s="22" t="n">
        <v>50</v>
      </c>
      <c r="G91" s="22" t="n">
        <v>84</v>
      </c>
      <c r="H91" s="22" t="n">
        <v>66.5</v>
      </c>
      <c r="I91" s="22" t="n">
        <v>66</v>
      </c>
    </row>
    <row r="92" customFormat="false" ht="14.25" hidden="false" customHeight="false" outlineLevel="0" collapsed="false">
      <c r="A92" s="0" t="n">
        <v>61</v>
      </c>
      <c r="B92" s="0" t="n">
        <v>2024</v>
      </c>
      <c r="C92" s="20" t="s">
        <v>27</v>
      </c>
      <c r="D92" s="21" t="s">
        <v>17</v>
      </c>
      <c r="E92" s="22" t="n">
        <v>18</v>
      </c>
      <c r="F92" s="22" t="n">
        <v>18</v>
      </c>
      <c r="G92" s="22" t="n">
        <v>24</v>
      </c>
      <c r="H92" s="22" t="n">
        <v>21</v>
      </c>
      <c r="I92" s="22" t="n">
        <v>21</v>
      </c>
    </row>
    <row r="93" customFormat="false" ht="14.25" hidden="false" customHeight="false" outlineLevel="0" collapsed="false">
      <c r="A93" s="0" t="n">
        <v>61</v>
      </c>
      <c r="B93" s="0" t="n">
        <v>2024</v>
      </c>
      <c r="C93" s="20" t="s">
        <v>28</v>
      </c>
      <c r="D93" s="21" t="s">
        <v>17</v>
      </c>
      <c r="E93" s="22" t="n">
        <v>60</v>
      </c>
      <c r="F93" s="22" t="n">
        <v>60</v>
      </c>
      <c r="G93" s="22" t="n">
        <v>72</v>
      </c>
      <c r="H93" s="22" t="n">
        <v>63</v>
      </c>
      <c r="I93" s="22" t="n">
        <v>60</v>
      </c>
    </row>
    <row r="94" customFormat="false" ht="14.25" hidden="false" customHeight="false" outlineLevel="0" collapsed="false">
      <c r="A94" s="0" t="n">
        <v>61</v>
      </c>
      <c r="B94" s="0" t="n">
        <v>2024</v>
      </c>
      <c r="C94" s="20" t="s">
        <v>29</v>
      </c>
      <c r="D94" s="21" t="s">
        <v>30</v>
      </c>
      <c r="E94" s="22" t="n">
        <v>60</v>
      </c>
      <c r="F94" s="22" t="n">
        <v>60</v>
      </c>
      <c r="G94" s="22" t="n">
        <v>60</v>
      </c>
      <c r="H94" s="22" t="n">
        <v>60</v>
      </c>
      <c r="I94" s="22" t="n">
        <v>60</v>
      </c>
    </row>
    <row r="95" customFormat="false" ht="14.25" hidden="false" customHeight="false" outlineLevel="0" collapsed="false">
      <c r="A95" s="0" t="n">
        <v>61</v>
      </c>
      <c r="B95" s="0" t="n">
        <v>2024</v>
      </c>
      <c r="C95" s="20" t="s">
        <v>31</v>
      </c>
      <c r="D95" s="21" t="s">
        <v>17</v>
      </c>
      <c r="E95" s="21" t="s">
        <v>556</v>
      </c>
      <c r="F95" s="22" t="n">
        <v>45</v>
      </c>
      <c r="G95" s="22" t="n">
        <v>72</v>
      </c>
      <c r="H95" s="22" t="n">
        <v>56.25</v>
      </c>
      <c r="I95" s="22" t="n">
        <v>54</v>
      </c>
    </row>
    <row r="96" customFormat="false" ht="25" hidden="false" customHeight="false" outlineLevel="0" collapsed="false">
      <c r="A96" s="0" t="n">
        <v>61</v>
      </c>
      <c r="B96" s="0" t="n">
        <v>2024</v>
      </c>
      <c r="C96" s="20" t="s">
        <v>32</v>
      </c>
      <c r="D96" s="21" t="s">
        <v>17</v>
      </c>
      <c r="E96" s="22" t="n">
        <v>48</v>
      </c>
      <c r="F96" s="22" t="n">
        <v>40</v>
      </c>
      <c r="G96" s="22" t="n">
        <v>48</v>
      </c>
      <c r="H96" s="22" t="n">
        <v>46</v>
      </c>
      <c r="I96" s="22" t="n">
        <v>48</v>
      </c>
    </row>
    <row r="97" customFormat="false" ht="14.25" hidden="false" customHeight="false" outlineLevel="0" collapsed="false">
      <c r="A97" s="0" t="n">
        <v>61</v>
      </c>
      <c r="B97" s="0" t="n">
        <v>2024</v>
      </c>
      <c r="C97" s="20" t="s">
        <v>33</v>
      </c>
      <c r="D97" s="21" t="s">
        <v>17</v>
      </c>
      <c r="E97" s="22" t="n">
        <v>54</v>
      </c>
      <c r="F97" s="22" t="n">
        <v>48</v>
      </c>
      <c r="G97" s="22" t="n">
        <v>54</v>
      </c>
      <c r="H97" s="22" t="n">
        <v>51</v>
      </c>
      <c r="I97" s="22" t="n">
        <v>51</v>
      </c>
    </row>
    <row r="98" customFormat="false" ht="14.25" hidden="false" customHeight="false" outlineLevel="0" collapsed="false">
      <c r="A98" s="0" t="n">
        <v>61</v>
      </c>
      <c r="B98" s="0" t="n">
        <v>2024</v>
      </c>
      <c r="C98" s="20" t="s">
        <v>35</v>
      </c>
      <c r="D98" s="21" t="s">
        <v>36</v>
      </c>
      <c r="E98" s="22" t="n">
        <v>5</v>
      </c>
      <c r="F98" s="22" t="n">
        <v>4</v>
      </c>
      <c r="G98" s="22" t="n">
        <v>5</v>
      </c>
      <c r="H98" s="22" t="n">
        <v>4.75</v>
      </c>
      <c r="I98" s="22" t="n">
        <v>5</v>
      </c>
    </row>
    <row r="99" customFormat="false" ht="14.25" hidden="false" customHeight="false" outlineLevel="0" collapsed="false">
      <c r="A99" s="0" t="n">
        <v>61</v>
      </c>
      <c r="B99" s="0" t="n">
        <v>2024</v>
      </c>
      <c r="C99" s="20" t="s">
        <v>38</v>
      </c>
      <c r="D99" s="21" t="s">
        <v>39</v>
      </c>
      <c r="E99" s="22" t="n">
        <v>15</v>
      </c>
      <c r="F99" s="22" t="n">
        <v>12</v>
      </c>
      <c r="G99" s="22" t="n">
        <v>15</v>
      </c>
      <c r="H99" s="22" t="n">
        <v>14.25</v>
      </c>
      <c r="I99" s="22" t="n">
        <v>15</v>
      </c>
    </row>
    <row r="100" customFormat="false" ht="14.25" hidden="false" customHeight="false" outlineLevel="0" collapsed="false">
      <c r="A100" s="0" t="n">
        <v>61</v>
      </c>
      <c r="B100" s="0" t="n">
        <v>2024</v>
      </c>
      <c r="C100" s="20" t="s">
        <v>40</v>
      </c>
      <c r="D100" s="21" t="s">
        <v>39</v>
      </c>
      <c r="E100" s="22" t="n">
        <v>30</v>
      </c>
      <c r="F100" s="22" t="n">
        <v>20</v>
      </c>
      <c r="G100" s="22" t="n">
        <v>30</v>
      </c>
      <c r="H100" s="22" t="n">
        <v>26.25</v>
      </c>
      <c r="I100" s="22" t="n">
        <v>27.5</v>
      </c>
    </row>
    <row r="101" customFormat="false" ht="25" hidden="false" customHeight="false" outlineLevel="0" collapsed="false">
      <c r="A101" s="0" t="n">
        <v>61</v>
      </c>
      <c r="B101" s="0" t="n">
        <v>2024</v>
      </c>
      <c r="C101" s="20" t="s">
        <v>360</v>
      </c>
      <c r="D101" s="21" t="s">
        <v>158</v>
      </c>
      <c r="E101" s="21" t="s">
        <v>556</v>
      </c>
      <c r="F101" s="21" t="s">
        <v>556</v>
      </c>
      <c r="G101" s="21" t="s">
        <v>556</v>
      </c>
      <c r="H101" s="21" t="s">
        <v>556</v>
      </c>
      <c r="I101" s="21" t="s">
        <v>556</v>
      </c>
    </row>
    <row r="102" customFormat="false" ht="25" hidden="false" customHeight="false" outlineLevel="0" collapsed="false">
      <c r="A102" s="0" t="n">
        <v>61</v>
      </c>
      <c r="B102" s="0" t="n">
        <v>2024</v>
      </c>
      <c r="C102" s="20" t="s">
        <v>43</v>
      </c>
      <c r="D102" s="21" t="s">
        <v>44</v>
      </c>
      <c r="E102" s="21" t="s">
        <v>556</v>
      </c>
      <c r="F102" s="22" t="n">
        <v>35</v>
      </c>
      <c r="G102" s="22" t="n">
        <v>75</v>
      </c>
      <c r="H102" s="22" t="n">
        <v>55.71</v>
      </c>
      <c r="I102" s="22" t="n">
        <v>55</v>
      </c>
    </row>
    <row r="103" customFormat="false" ht="14.25" hidden="false" customHeight="false" outlineLevel="0" collapsed="false">
      <c r="A103" s="0" t="n">
        <v>61</v>
      </c>
      <c r="B103" s="0" t="n">
        <v>2024</v>
      </c>
      <c r="C103" s="20" t="s">
        <v>46</v>
      </c>
      <c r="D103" s="21" t="s">
        <v>47</v>
      </c>
      <c r="E103" s="22" t="n">
        <v>70</v>
      </c>
      <c r="F103" s="22" t="n">
        <v>45</v>
      </c>
      <c r="G103" s="22" t="n">
        <v>70</v>
      </c>
      <c r="H103" s="22" t="n">
        <v>58.75</v>
      </c>
      <c r="I103" s="22" t="n">
        <v>60</v>
      </c>
    </row>
    <row r="104" customFormat="false" ht="25" hidden="false" customHeight="false" outlineLevel="0" collapsed="false">
      <c r="A104" s="0" t="n">
        <v>61</v>
      </c>
      <c r="B104" s="0" t="n">
        <v>2024</v>
      </c>
      <c r="C104" s="20" t="s">
        <v>48</v>
      </c>
      <c r="D104" s="21" t="s">
        <v>49</v>
      </c>
      <c r="E104" s="22" t="n">
        <v>60</v>
      </c>
      <c r="F104" s="22" t="n">
        <v>30</v>
      </c>
      <c r="G104" s="22" t="n">
        <v>60</v>
      </c>
      <c r="H104" s="22" t="n">
        <v>48</v>
      </c>
      <c r="I104" s="22" t="n">
        <v>50</v>
      </c>
    </row>
    <row r="105" customFormat="false" ht="25" hidden="false" customHeight="false" outlineLevel="0" collapsed="false">
      <c r="A105" s="0" t="n">
        <v>61</v>
      </c>
      <c r="B105" s="0" t="n">
        <v>2024</v>
      </c>
      <c r="C105" s="20" t="s">
        <v>52</v>
      </c>
      <c r="D105" s="21" t="s">
        <v>49</v>
      </c>
      <c r="E105" s="21" t="s">
        <v>556</v>
      </c>
      <c r="F105" s="22" t="n">
        <v>45</v>
      </c>
      <c r="G105" s="22" t="n">
        <v>65</v>
      </c>
      <c r="H105" s="22" t="n">
        <v>55</v>
      </c>
      <c r="I105" s="22" t="n">
        <v>55</v>
      </c>
    </row>
    <row r="106" customFormat="false" ht="14.25" hidden="false" customHeight="false" outlineLevel="0" collapsed="false">
      <c r="A106" s="0" t="n">
        <v>61</v>
      </c>
      <c r="B106" s="0" t="n">
        <v>2024</v>
      </c>
      <c r="C106" s="20" t="s">
        <v>53</v>
      </c>
      <c r="D106" s="21" t="s">
        <v>54</v>
      </c>
      <c r="E106" s="22" t="n">
        <v>70</v>
      </c>
      <c r="F106" s="22" t="n">
        <v>60</v>
      </c>
      <c r="G106" s="22" t="n">
        <v>90</v>
      </c>
      <c r="H106" s="22" t="n">
        <v>74</v>
      </c>
      <c r="I106" s="22" t="n">
        <v>70</v>
      </c>
    </row>
    <row r="107" customFormat="false" ht="14.25" hidden="false" customHeight="false" outlineLevel="0" collapsed="false">
      <c r="A107" s="0" t="n">
        <v>61</v>
      </c>
      <c r="B107" s="0" t="n">
        <v>2024</v>
      </c>
      <c r="C107" s="20" t="s">
        <v>56</v>
      </c>
      <c r="D107" s="21" t="s">
        <v>47</v>
      </c>
      <c r="E107" s="22" t="n">
        <v>60</v>
      </c>
      <c r="F107" s="22" t="n">
        <v>40</v>
      </c>
      <c r="G107" s="22" t="n">
        <v>65</v>
      </c>
      <c r="H107" s="22" t="n">
        <v>55</v>
      </c>
      <c r="I107" s="22" t="n">
        <v>60</v>
      </c>
    </row>
    <row r="108" customFormat="false" ht="14.25" hidden="false" customHeight="false" outlineLevel="0" collapsed="false">
      <c r="A108" s="0" t="n">
        <v>61</v>
      </c>
      <c r="B108" s="0" t="n">
        <v>2024</v>
      </c>
      <c r="C108" s="20" t="s">
        <v>57</v>
      </c>
      <c r="D108" s="21" t="s">
        <v>47</v>
      </c>
      <c r="E108" s="22" t="n">
        <v>60</v>
      </c>
      <c r="F108" s="22" t="n">
        <v>30</v>
      </c>
      <c r="G108" s="22" t="n">
        <v>60</v>
      </c>
      <c r="H108" s="22" t="n">
        <v>47.5</v>
      </c>
      <c r="I108" s="22" t="n">
        <v>47.5</v>
      </c>
    </row>
    <row r="109" customFormat="false" ht="14.25" hidden="false" customHeight="false" outlineLevel="0" collapsed="false">
      <c r="A109" s="0" t="n">
        <v>61</v>
      </c>
      <c r="B109" s="0" t="n">
        <v>2024</v>
      </c>
      <c r="C109" s="20" t="s">
        <v>58</v>
      </c>
      <c r="D109" s="21" t="s">
        <v>44</v>
      </c>
      <c r="E109" s="22" t="n">
        <v>100</v>
      </c>
      <c r="F109" s="22" t="n">
        <v>80</v>
      </c>
      <c r="G109" s="22" t="n">
        <v>100</v>
      </c>
      <c r="H109" s="22" t="n">
        <v>95</v>
      </c>
      <c r="I109" s="22" t="n">
        <v>100</v>
      </c>
    </row>
    <row r="110" customFormat="false" ht="14.25" hidden="false" customHeight="false" outlineLevel="0" collapsed="false">
      <c r="A110" s="0" t="n">
        <v>61</v>
      </c>
      <c r="B110" s="0" t="n">
        <v>2024</v>
      </c>
      <c r="C110" s="20" t="s">
        <v>60</v>
      </c>
      <c r="D110" s="21" t="s">
        <v>47</v>
      </c>
      <c r="E110" s="21" t="s">
        <v>556</v>
      </c>
      <c r="F110" s="22" t="n">
        <v>65</v>
      </c>
      <c r="G110" s="22" t="n">
        <v>65</v>
      </c>
      <c r="H110" s="22" t="n">
        <v>65</v>
      </c>
      <c r="I110" s="22" t="n">
        <v>65</v>
      </c>
    </row>
    <row r="111" customFormat="false" ht="25" hidden="false" customHeight="false" outlineLevel="0" collapsed="false">
      <c r="A111" s="0" t="n">
        <v>61</v>
      </c>
      <c r="B111" s="0" t="n">
        <v>2024</v>
      </c>
      <c r="C111" s="20" t="s">
        <v>61</v>
      </c>
      <c r="D111" s="21" t="s">
        <v>44</v>
      </c>
      <c r="E111" s="22" t="n">
        <v>50</v>
      </c>
      <c r="F111" s="22" t="n">
        <v>50</v>
      </c>
      <c r="G111" s="22" t="n">
        <v>70</v>
      </c>
      <c r="H111" s="22" t="n">
        <v>57.5</v>
      </c>
      <c r="I111" s="22" t="n">
        <v>55</v>
      </c>
    </row>
    <row r="112" customFormat="false" ht="25" hidden="false" customHeight="false" outlineLevel="0" collapsed="false">
      <c r="A112" s="0" t="n">
        <v>61</v>
      </c>
      <c r="B112" s="0" t="n">
        <v>2024</v>
      </c>
      <c r="C112" s="20" t="s">
        <v>62</v>
      </c>
      <c r="D112" s="21" t="s">
        <v>44</v>
      </c>
      <c r="E112" s="22" t="n">
        <v>80</v>
      </c>
      <c r="F112" s="22" t="n">
        <v>70</v>
      </c>
      <c r="G112" s="22" t="n">
        <v>95</v>
      </c>
      <c r="H112" s="22" t="n">
        <v>81.25</v>
      </c>
      <c r="I112" s="22" t="n">
        <v>80</v>
      </c>
    </row>
    <row r="113" customFormat="false" ht="25" hidden="false" customHeight="false" outlineLevel="0" collapsed="false">
      <c r="A113" s="0" t="n">
        <v>61</v>
      </c>
      <c r="B113" s="0" t="n">
        <v>2024</v>
      </c>
      <c r="C113" s="20" t="s">
        <v>63</v>
      </c>
      <c r="D113" s="21" t="s">
        <v>49</v>
      </c>
      <c r="E113" s="22" t="n">
        <v>60</v>
      </c>
      <c r="F113" s="22" t="n">
        <v>50</v>
      </c>
      <c r="G113" s="22" t="n">
        <v>60</v>
      </c>
      <c r="H113" s="22" t="n">
        <v>57</v>
      </c>
      <c r="I113" s="22" t="n">
        <v>60</v>
      </c>
    </row>
    <row r="114" customFormat="false" ht="14.25" hidden="false" customHeight="false" outlineLevel="0" collapsed="false">
      <c r="A114" s="0" t="n">
        <v>61</v>
      </c>
      <c r="B114" s="0" t="n">
        <v>2024</v>
      </c>
      <c r="C114" s="20" t="s">
        <v>64</v>
      </c>
      <c r="D114" s="21" t="s">
        <v>65</v>
      </c>
      <c r="E114" s="22" t="n">
        <v>100</v>
      </c>
      <c r="F114" s="22" t="n">
        <v>100</v>
      </c>
      <c r="G114" s="22" t="n">
        <v>150</v>
      </c>
      <c r="H114" s="22" t="n">
        <v>116.67</v>
      </c>
      <c r="I114" s="22" t="n">
        <v>100</v>
      </c>
    </row>
    <row r="115" customFormat="false" ht="25" hidden="false" customHeight="false" outlineLevel="0" collapsed="false">
      <c r="A115" s="0" t="n">
        <v>61</v>
      </c>
      <c r="B115" s="0" t="n">
        <v>2024</v>
      </c>
      <c r="C115" s="20" t="s">
        <v>67</v>
      </c>
      <c r="D115" s="21" t="s">
        <v>44</v>
      </c>
      <c r="E115" s="22" t="n">
        <v>80</v>
      </c>
      <c r="F115" s="22" t="n">
        <v>45</v>
      </c>
      <c r="G115" s="22" t="n">
        <v>80</v>
      </c>
      <c r="H115" s="22" t="n">
        <v>65.83</v>
      </c>
      <c r="I115" s="22" t="n">
        <v>65</v>
      </c>
    </row>
    <row r="116" customFormat="false" ht="25" hidden="false" customHeight="false" outlineLevel="0" collapsed="false">
      <c r="A116" s="0" t="n">
        <v>61</v>
      </c>
      <c r="B116" s="0" t="n">
        <v>2024</v>
      </c>
      <c r="C116" s="20" t="s">
        <v>68</v>
      </c>
      <c r="D116" s="21" t="s">
        <v>44</v>
      </c>
      <c r="E116" s="21" t="s">
        <v>556</v>
      </c>
      <c r="F116" s="22" t="n">
        <v>100</v>
      </c>
      <c r="G116" s="22" t="n">
        <v>140</v>
      </c>
      <c r="H116" s="22" t="n">
        <v>120</v>
      </c>
      <c r="I116" s="22" t="n">
        <v>120</v>
      </c>
    </row>
    <row r="117" customFormat="false" ht="14.25" hidden="false" customHeight="false" outlineLevel="0" collapsed="false">
      <c r="A117" s="0" t="n">
        <v>61</v>
      </c>
      <c r="B117" s="0" t="n">
        <v>2024</v>
      </c>
      <c r="C117" s="20" t="s">
        <v>70</v>
      </c>
      <c r="D117" s="21" t="s">
        <v>49</v>
      </c>
      <c r="E117" s="21" t="s">
        <v>556</v>
      </c>
      <c r="F117" s="21" t="s">
        <v>556</v>
      </c>
      <c r="G117" s="21" t="s">
        <v>556</v>
      </c>
      <c r="H117" s="21" t="s">
        <v>556</v>
      </c>
      <c r="I117" s="21" t="s">
        <v>556</v>
      </c>
    </row>
    <row r="118" customFormat="false" ht="25" hidden="false" customHeight="false" outlineLevel="0" collapsed="false">
      <c r="A118" s="0" t="n">
        <v>61</v>
      </c>
      <c r="B118" s="0" t="n">
        <v>2024</v>
      </c>
      <c r="C118" s="20" t="s">
        <v>71</v>
      </c>
      <c r="D118" s="21" t="s">
        <v>49</v>
      </c>
      <c r="E118" s="21" t="s">
        <v>556</v>
      </c>
      <c r="F118" s="21" t="s">
        <v>556</v>
      </c>
      <c r="G118" s="21" t="s">
        <v>556</v>
      </c>
      <c r="H118" s="21" t="s">
        <v>556</v>
      </c>
      <c r="I118" s="21" t="s">
        <v>556</v>
      </c>
    </row>
    <row r="119" customFormat="false" ht="25" hidden="false" customHeight="false" outlineLevel="0" collapsed="false">
      <c r="A119" s="0" t="n">
        <v>61</v>
      </c>
      <c r="B119" s="0" t="n">
        <v>2024</v>
      </c>
      <c r="C119" s="20" t="s">
        <v>72</v>
      </c>
      <c r="D119" s="21" t="s">
        <v>49</v>
      </c>
      <c r="E119" s="21" t="s">
        <v>556</v>
      </c>
      <c r="F119" s="21" t="s">
        <v>556</v>
      </c>
      <c r="G119" s="21" t="s">
        <v>556</v>
      </c>
      <c r="H119" s="21" t="s">
        <v>556</v>
      </c>
      <c r="I119" s="21" t="s">
        <v>556</v>
      </c>
    </row>
    <row r="120" customFormat="false" ht="14.25" hidden="false" customHeight="false" outlineLevel="0" collapsed="false">
      <c r="A120" s="0" t="n">
        <v>61</v>
      </c>
      <c r="B120" s="0" t="n">
        <v>2024</v>
      </c>
      <c r="C120" s="20" t="s">
        <v>73</v>
      </c>
      <c r="D120" s="21" t="s">
        <v>49</v>
      </c>
      <c r="E120" s="21" t="s">
        <v>556</v>
      </c>
      <c r="F120" s="22" t="n">
        <v>50</v>
      </c>
      <c r="G120" s="22" t="n">
        <v>50</v>
      </c>
      <c r="H120" s="22" t="n">
        <v>50</v>
      </c>
      <c r="I120" s="22" t="n">
        <v>50</v>
      </c>
    </row>
    <row r="121" customFormat="false" ht="25" hidden="false" customHeight="false" outlineLevel="0" collapsed="false">
      <c r="A121" s="0" t="n">
        <v>61</v>
      </c>
      <c r="B121" s="0" t="n">
        <v>2024</v>
      </c>
      <c r="C121" s="20" t="s">
        <v>74</v>
      </c>
      <c r="D121" s="21" t="s">
        <v>75</v>
      </c>
      <c r="E121" s="21" t="s">
        <v>556</v>
      </c>
      <c r="F121" s="22" t="n">
        <v>75</v>
      </c>
      <c r="G121" s="22" t="n">
        <v>75</v>
      </c>
      <c r="H121" s="22" t="n">
        <v>75</v>
      </c>
      <c r="I121" s="22" t="n">
        <v>75</v>
      </c>
    </row>
    <row r="122" customFormat="false" ht="14.25" hidden="false" customHeight="false" outlineLevel="0" collapsed="false">
      <c r="A122" s="0" t="n">
        <v>74</v>
      </c>
      <c r="B122" s="0" t="n">
        <v>2024</v>
      </c>
      <c r="C122" s="20" t="s">
        <v>16</v>
      </c>
      <c r="D122" s="21" t="s">
        <v>17</v>
      </c>
      <c r="E122" s="22" t="n">
        <v>48</v>
      </c>
      <c r="F122" s="22" t="n">
        <v>36</v>
      </c>
      <c r="G122" s="22" t="n">
        <v>60</v>
      </c>
      <c r="H122" s="22" t="n">
        <v>48</v>
      </c>
      <c r="I122" s="22" t="n">
        <v>48</v>
      </c>
    </row>
    <row r="123" customFormat="false" ht="14.25" hidden="false" customHeight="false" outlineLevel="0" collapsed="false">
      <c r="A123" s="0" t="n">
        <v>74</v>
      </c>
      <c r="B123" s="0" t="n">
        <v>2024</v>
      </c>
      <c r="C123" s="20" t="s">
        <v>18</v>
      </c>
      <c r="D123" s="21" t="s">
        <v>17</v>
      </c>
      <c r="E123" s="22" t="n">
        <v>84</v>
      </c>
      <c r="F123" s="22" t="n">
        <v>72</v>
      </c>
      <c r="G123" s="22" t="n">
        <v>84</v>
      </c>
      <c r="H123" s="22" t="n">
        <v>80</v>
      </c>
      <c r="I123" s="22" t="n">
        <v>84</v>
      </c>
    </row>
    <row r="124" customFormat="false" ht="25" hidden="false" customHeight="false" outlineLevel="0" collapsed="false">
      <c r="A124" s="0" t="n">
        <v>74</v>
      </c>
      <c r="B124" s="0" t="n">
        <v>2024</v>
      </c>
      <c r="C124" s="20" t="s">
        <v>19</v>
      </c>
      <c r="D124" s="21" t="s">
        <v>17</v>
      </c>
      <c r="E124" s="22" t="n">
        <v>36</v>
      </c>
      <c r="F124" s="22" t="n">
        <v>25</v>
      </c>
      <c r="G124" s="22" t="n">
        <v>42</v>
      </c>
      <c r="H124" s="22" t="n">
        <v>34.75</v>
      </c>
      <c r="I124" s="22" t="n">
        <v>36</v>
      </c>
    </row>
    <row r="125" customFormat="false" ht="14.25" hidden="false" customHeight="false" outlineLevel="0" collapsed="false">
      <c r="A125" s="0" t="n">
        <v>74</v>
      </c>
      <c r="B125" s="0" t="n">
        <v>2024</v>
      </c>
      <c r="C125" s="20" t="s">
        <v>20</v>
      </c>
      <c r="D125" s="21" t="s">
        <v>17</v>
      </c>
      <c r="E125" s="22" t="n">
        <v>18</v>
      </c>
      <c r="F125" s="22" t="n">
        <v>18</v>
      </c>
      <c r="G125" s="22" t="n">
        <v>24</v>
      </c>
      <c r="H125" s="22" t="n">
        <v>21</v>
      </c>
      <c r="I125" s="22" t="n">
        <v>21</v>
      </c>
    </row>
    <row r="126" customFormat="false" ht="14.25" hidden="false" customHeight="false" outlineLevel="0" collapsed="false">
      <c r="A126" s="0" t="n">
        <v>74</v>
      </c>
      <c r="B126" s="0" t="n">
        <v>2024</v>
      </c>
      <c r="C126" s="20" t="s">
        <v>21</v>
      </c>
      <c r="D126" s="21" t="s">
        <v>17</v>
      </c>
      <c r="E126" s="22" t="n">
        <v>18</v>
      </c>
      <c r="F126" s="22" t="n">
        <v>18</v>
      </c>
      <c r="G126" s="22" t="n">
        <v>24</v>
      </c>
      <c r="H126" s="22" t="n">
        <v>21</v>
      </c>
      <c r="I126" s="22" t="n">
        <v>21</v>
      </c>
    </row>
    <row r="127" customFormat="false" ht="14.25" hidden="false" customHeight="false" outlineLevel="0" collapsed="false">
      <c r="A127" s="0" t="n">
        <v>74</v>
      </c>
      <c r="B127" s="0" t="n">
        <v>2024</v>
      </c>
      <c r="C127" s="20" t="s">
        <v>22</v>
      </c>
      <c r="D127" s="21" t="s">
        <v>17</v>
      </c>
      <c r="E127" s="22" t="n">
        <v>60</v>
      </c>
      <c r="F127" s="22" t="n">
        <v>60</v>
      </c>
      <c r="G127" s="22" t="n">
        <v>60</v>
      </c>
      <c r="H127" s="22" t="n">
        <v>60</v>
      </c>
      <c r="I127" s="22" t="n">
        <v>60</v>
      </c>
    </row>
    <row r="128" customFormat="false" ht="36.5" hidden="false" customHeight="false" outlineLevel="0" collapsed="false">
      <c r="A128" s="0" t="n">
        <v>74</v>
      </c>
      <c r="B128" s="0" t="n">
        <v>2024</v>
      </c>
      <c r="C128" s="20" t="s">
        <v>23</v>
      </c>
      <c r="D128" s="21" t="s">
        <v>17</v>
      </c>
      <c r="E128" s="21" t="s">
        <v>556</v>
      </c>
      <c r="F128" s="22" t="n">
        <v>42</v>
      </c>
      <c r="G128" s="22" t="n">
        <v>72</v>
      </c>
      <c r="H128" s="22" t="n">
        <v>58</v>
      </c>
      <c r="I128" s="22" t="n">
        <v>60</v>
      </c>
    </row>
    <row r="129" customFormat="false" ht="25" hidden="false" customHeight="false" outlineLevel="0" collapsed="false">
      <c r="A129" s="0" t="n">
        <v>74</v>
      </c>
      <c r="B129" s="0" t="n">
        <v>2024</v>
      </c>
      <c r="C129" s="20" t="s">
        <v>24</v>
      </c>
      <c r="D129" s="21" t="s">
        <v>17</v>
      </c>
      <c r="E129" s="22" t="n">
        <v>72</v>
      </c>
      <c r="F129" s="22" t="n">
        <v>60</v>
      </c>
      <c r="G129" s="22" t="n">
        <v>72</v>
      </c>
      <c r="H129" s="22" t="n">
        <v>69</v>
      </c>
      <c r="I129" s="22" t="n">
        <v>72</v>
      </c>
    </row>
    <row r="130" customFormat="false" ht="25" hidden="false" customHeight="false" outlineLevel="0" collapsed="false">
      <c r="A130" s="0" t="n">
        <v>74</v>
      </c>
      <c r="B130" s="0" t="n">
        <v>2024</v>
      </c>
      <c r="C130" s="20" t="s">
        <v>25</v>
      </c>
      <c r="D130" s="21" t="s">
        <v>17</v>
      </c>
      <c r="E130" s="22" t="n">
        <v>18</v>
      </c>
      <c r="F130" s="22" t="n">
        <v>18</v>
      </c>
      <c r="G130" s="22" t="n">
        <v>24</v>
      </c>
      <c r="H130" s="22" t="n">
        <v>21</v>
      </c>
      <c r="I130" s="22" t="n">
        <v>21</v>
      </c>
    </row>
    <row r="131" customFormat="false" ht="14.25" hidden="false" customHeight="false" outlineLevel="0" collapsed="false">
      <c r="A131" s="0" t="n">
        <v>74</v>
      </c>
      <c r="B131" s="0" t="n">
        <v>2024</v>
      </c>
      <c r="C131" s="20" t="s">
        <v>77</v>
      </c>
      <c r="D131" s="21" t="s">
        <v>17</v>
      </c>
      <c r="E131" s="21" t="s">
        <v>556</v>
      </c>
      <c r="F131" s="22" t="n">
        <v>50</v>
      </c>
      <c r="G131" s="22" t="n">
        <v>78</v>
      </c>
      <c r="H131" s="22" t="n">
        <v>62.67</v>
      </c>
      <c r="I131" s="22" t="n">
        <v>60</v>
      </c>
    </row>
    <row r="132" customFormat="false" ht="14.25" hidden="false" customHeight="false" outlineLevel="0" collapsed="false">
      <c r="A132" s="0" t="n">
        <v>74</v>
      </c>
      <c r="B132" s="0" t="n">
        <v>2024</v>
      </c>
      <c r="C132" s="20" t="s">
        <v>27</v>
      </c>
      <c r="D132" s="21" t="s">
        <v>17</v>
      </c>
      <c r="E132" s="22" t="n">
        <v>18</v>
      </c>
      <c r="F132" s="22" t="n">
        <v>18</v>
      </c>
      <c r="G132" s="22" t="n">
        <v>24</v>
      </c>
      <c r="H132" s="22" t="n">
        <v>21</v>
      </c>
      <c r="I132" s="22" t="n">
        <v>21</v>
      </c>
    </row>
    <row r="133" customFormat="false" ht="14.25" hidden="false" customHeight="false" outlineLevel="0" collapsed="false">
      <c r="A133" s="0" t="n">
        <v>74</v>
      </c>
      <c r="B133" s="0" t="n">
        <v>2024</v>
      </c>
      <c r="C133" s="20" t="s">
        <v>28</v>
      </c>
      <c r="D133" s="21" t="s">
        <v>17</v>
      </c>
      <c r="E133" s="22" t="n">
        <v>60</v>
      </c>
      <c r="F133" s="22" t="n">
        <v>48</v>
      </c>
      <c r="G133" s="22" t="n">
        <v>60</v>
      </c>
      <c r="H133" s="22" t="n">
        <v>56</v>
      </c>
      <c r="I133" s="22" t="n">
        <v>60</v>
      </c>
    </row>
    <row r="134" customFormat="false" ht="14.25" hidden="false" customHeight="false" outlineLevel="0" collapsed="false">
      <c r="A134" s="0" t="n">
        <v>74</v>
      </c>
      <c r="B134" s="0" t="n">
        <v>2024</v>
      </c>
      <c r="C134" s="20" t="s">
        <v>29</v>
      </c>
      <c r="D134" s="21" t="s">
        <v>30</v>
      </c>
      <c r="E134" s="22" t="n">
        <v>60</v>
      </c>
      <c r="F134" s="22" t="n">
        <v>36</v>
      </c>
      <c r="G134" s="22" t="n">
        <v>60</v>
      </c>
      <c r="H134" s="22" t="n">
        <v>51</v>
      </c>
      <c r="I134" s="22" t="n">
        <v>54</v>
      </c>
    </row>
    <row r="135" customFormat="false" ht="14.25" hidden="false" customHeight="false" outlineLevel="0" collapsed="false">
      <c r="A135" s="0" t="n">
        <v>74</v>
      </c>
      <c r="B135" s="0" t="n">
        <v>2024</v>
      </c>
      <c r="C135" s="20" t="s">
        <v>31</v>
      </c>
      <c r="D135" s="21" t="s">
        <v>17</v>
      </c>
      <c r="E135" s="21" t="s">
        <v>556</v>
      </c>
      <c r="F135" s="22" t="n">
        <v>48</v>
      </c>
      <c r="G135" s="22" t="n">
        <v>72</v>
      </c>
      <c r="H135" s="22" t="n">
        <v>60</v>
      </c>
      <c r="I135" s="22" t="n">
        <v>60</v>
      </c>
    </row>
    <row r="136" customFormat="false" ht="25" hidden="false" customHeight="false" outlineLevel="0" collapsed="false">
      <c r="A136" s="0" t="n">
        <v>74</v>
      </c>
      <c r="B136" s="0" t="n">
        <v>2024</v>
      </c>
      <c r="C136" s="20" t="s">
        <v>32</v>
      </c>
      <c r="D136" s="21" t="s">
        <v>17</v>
      </c>
      <c r="E136" s="22" t="n">
        <v>24</v>
      </c>
      <c r="F136" s="22" t="n">
        <v>24</v>
      </c>
      <c r="G136" s="22" t="n">
        <v>36</v>
      </c>
      <c r="H136" s="22" t="n">
        <v>28.5</v>
      </c>
      <c r="I136" s="22" t="n">
        <v>27</v>
      </c>
    </row>
    <row r="137" customFormat="false" ht="14.25" hidden="false" customHeight="false" outlineLevel="0" collapsed="false">
      <c r="A137" s="0" t="n">
        <v>74</v>
      </c>
      <c r="B137" s="0" t="n">
        <v>2024</v>
      </c>
      <c r="C137" s="20" t="s">
        <v>33</v>
      </c>
      <c r="D137" s="21" t="s">
        <v>17</v>
      </c>
      <c r="E137" s="22" t="n">
        <v>48</v>
      </c>
      <c r="F137" s="22" t="n">
        <v>48</v>
      </c>
      <c r="G137" s="22" t="n">
        <v>48</v>
      </c>
      <c r="H137" s="22" t="n">
        <v>48</v>
      </c>
      <c r="I137" s="22" t="n">
        <v>48</v>
      </c>
    </row>
    <row r="138" customFormat="false" ht="14.25" hidden="false" customHeight="false" outlineLevel="0" collapsed="false">
      <c r="A138" s="0" t="n">
        <v>74</v>
      </c>
      <c r="B138" s="0" t="n">
        <v>2024</v>
      </c>
      <c r="C138" s="20" t="s">
        <v>35</v>
      </c>
      <c r="D138" s="21" t="s">
        <v>36</v>
      </c>
      <c r="E138" s="22" t="n">
        <v>5</v>
      </c>
      <c r="F138" s="22" t="n">
        <v>5</v>
      </c>
      <c r="G138" s="22" t="n">
        <v>5</v>
      </c>
      <c r="H138" s="22" t="n">
        <v>5</v>
      </c>
      <c r="I138" s="22" t="n">
        <v>5</v>
      </c>
    </row>
    <row r="139" customFormat="false" ht="14.25" hidden="false" customHeight="false" outlineLevel="0" collapsed="false">
      <c r="A139" s="0" t="n">
        <v>74</v>
      </c>
      <c r="B139" s="0" t="n">
        <v>2024</v>
      </c>
      <c r="C139" s="20" t="s">
        <v>38</v>
      </c>
      <c r="D139" s="21" t="s">
        <v>39</v>
      </c>
      <c r="E139" s="22" t="n">
        <v>12</v>
      </c>
      <c r="F139" s="22" t="n">
        <v>12</v>
      </c>
      <c r="G139" s="22" t="n">
        <v>15</v>
      </c>
      <c r="H139" s="22" t="n">
        <v>13.5</v>
      </c>
      <c r="I139" s="22" t="n">
        <v>13.5</v>
      </c>
    </row>
    <row r="140" customFormat="false" ht="14.25" hidden="false" customHeight="false" outlineLevel="0" collapsed="false">
      <c r="A140" s="0" t="n">
        <v>74</v>
      </c>
      <c r="B140" s="0" t="n">
        <v>2024</v>
      </c>
      <c r="C140" s="20" t="s">
        <v>40</v>
      </c>
      <c r="D140" s="21" t="s">
        <v>39</v>
      </c>
      <c r="E140" s="22" t="n">
        <v>35</v>
      </c>
      <c r="F140" s="22" t="n">
        <v>20</v>
      </c>
      <c r="G140" s="22" t="n">
        <v>35</v>
      </c>
      <c r="H140" s="22" t="n">
        <v>28.75</v>
      </c>
      <c r="I140" s="22" t="n">
        <v>30</v>
      </c>
    </row>
    <row r="141" customFormat="false" ht="25" hidden="false" customHeight="false" outlineLevel="0" collapsed="false">
      <c r="A141" s="0" t="n">
        <v>74</v>
      </c>
      <c r="B141" s="0" t="n">
        <v>2024</v>
      </c>
      <c r="C141" s="20" t="s">
        <v>360</v>
      </c>
      <c r="D141" s="21" t="s">
        <v>158</v>
      </c>
      <c r="E141" s="21" t="s">
        <v>556</v>
      </c>
      <c r="F141" s="22" t="n">
        <v>80</v>
      </c>
      <c r="G141" s="22" t="n">
        <v>80</v>
      </c>
      <c r="H141" s="22" t="n">
        <v>80</v>
      </c>
      <c r="I141" s="22" t="n">
        <v>80</v>
      </c>
    </row>
    <row r="142" customFormat="false" ht="25" hidden="false" customHeight="false" outlineLevel="0" collapsed="false">
      <c r="A142" s="0" t="n">
        <v>74</v>
      </c>
      <c r="B142" s="0" t="n">
        <v>2024</v>
      </c>
      <c r="C142" s="20" t="s">
        <v>43</v>
      </c>
      <c r="D142" s="21" t="s">
        <v>44</v>
      </c>
      <c r="E142" s="22" t="n">
        <v>40</v>
      </c>
      <c r="F142" s="22" t="n">
        <v>30</v>
      </c>
      <c r="G142" s="22" t="n">
        <v>40</v>
      </c>
      <c r="H142" s="22" t="n">
        <v>35</v>
      </c>
      <c r="I142" s="22" t="n">
        <v>35</v>
      </c>
    </row>
    <row r="143" customFormat="false" ht="14.25" hidden="false" customHeight="false" outlineLevel="0" collapsed="false">
      <c r="A143" s="0" t="n">
        <v>74</v>
      </c>
      <c r="B143" s="0" t="n">
        <v>2024</v>
      </c>
      <c r="C143" s="20" t="s">
        <v>46</v>
      </c>
      <c r="D143" s="21" t="s">
        <v>47</v>
      </c>
      <c r="E143" s="22" t="n">
        <v>45</v>
      </c>
      <c r="F143" s="22" t="n">
        <v>45</v>
      </c>
      <c r="G143" s="22" t="n">
        <v>70</v>
      </c>
      <c r="H143" s="22" t="n">
        <v>56.25</v>
      </c>
      <c r="I143" s="22" t="n">
        <v>55</v>
      </c>
    </row>
    <row r="144" customFormat="false" ht="25" hidden="false" customHeight="false" outlineLevel="0" collapsed="false">
      <c r="A144" s="0" t="n">
        <v>74</v>
      </c>
      <c r="B144" s="0" t="n">
        <v>2024</v>
      </c>
      <c r="C144" s="20" t="s">
        <v>48</v>
      </c>
      <c r="D144" s="21" t="s">
        <v>49</v>
      </c>
      <c r="E144" s="21" t="s">
        <v>556</v>
      </c>
      <c r="F144" s="22" t="n">
        <v>50</v>
      </c>
      <c r="G144" s="22" t="n">
        <v>70</v>
      </c>
      <c r="H144" s="22" t="n">
        <v>60</v>
      </c>
      <c r="I144" s="22" t="n">
        <v>60</v>
      </c>
    </row>
    <row r="145" customFormat="false" ht="25" hidden="false" customHeight="false" outlineLevel="0" collapsed="false">
      <c r="A145" s="0" t="n">
        <v>74</v>
      </c>
      <c r="B145" s="0" t="n">
        <v>2024</v>
      </c>
      <c r="C145" s="20" t="s">
        <v>52</v>
      </c>
      <c r="D145" s="21" t="s">
        <v>49</v>
      </c>
      <c r="E145" s="21" t="s">
        <v>556</v>
      </c>
      <c r="F145" s="22" t="n">
        <v>45</v>
      </c>
      <c r="G145" s="22" t="n">
        <v>110</v>
      </c>
      <c r="H145" s="22" t="n">
        <v>81.67</v>
      </c>
      <c r="I145" s="22" t="n">
        <v>90</v>
      </c>
    </row>
    <row r="146" customFormat="false" ht="14.25" hidden="false" customHeight="false" outlineLevel="0" collapsed="false">
      <c r="A146" s="0" t="n">
        <v>74</v>
      </c>
      <c r="B146" s="0" t="n">
        <v>2024</v>
      </c>
      <c r="C146" s="20" t="s">
        <v>53</v>
      </c>
      <c r="D146" s="21" t="s">
        <v>54</v>
      </c>
      <c r="E146" s="21" t="s">
        <v>556</v>
      </c>
      <c r="F146" s="22" t="n">
        <v>55</v>
      </c>
      <c r="G146" s="22" t="n">
        <v>70</v>
      </c>
      <c r="H146" s="22" t="n">
        <v>62.5</v>
      </c>
      <c r="I146" s="22" t="n">
        <v>62.5</v>
      </c>
    </row>
    <row r="147" customFormat="false" ht="14.25" hidden="false" customHeight="false" outlineLevel="0" collapsed="false">
      <c r="A147" s="0" t="n">
        <v>74</v>
      </c>
      <c r="B147" s="0" t="n">
        <v>2024</v>
      </c>
      <c r="C147" s="20" t="s">
        <v>56</v>
      </c>
      <c r="D147" s="21" t="s">
        <v>47</v>
      </c>
      <c r="E147" s="22" t="n">
        <v>55</v>
      </c>
      <c r="F147" s="22" t="n">
        <v>40</v>
      </c>
      <c r="G147" s="22" t="n">
        <v>55</v>
      </c>
      <c r="H147" s="22" t="n">
        <v>48.75</v>
      </c>
      <c r="I147" s="22" t="n">
        <v>50</v>
      </c>
    </row>
    <row r="148" customFormat="false" ht="14.25" hidden="false" customHeight="false" outlineLevel="0" collapsed="false">
      <c r="A148" s="0" t="n">
        <v>74</v>
      </c>
      <c r="B148" s="0" t="n">
        <v>2024</v>
      </c>
      <c r="C148" s="20" t="s">
        <v>57</v>
      </c>
      <c r="D148" s="21" t="s">
        <v>47</v>
      </c>
      <c r="E148" s="21" t="s">
        <v>556</v>
      </c>
      <c r="F148" s="22" t="n">
        <v>55</v>
      </c>
      <c r="G148" s="22" t="n">
        <v>85</v>
      </c>
      <c r="H148" s="22" t="n">
        <v>68.75</v>
      </c>
      <c r="I148" s="22" t="n">
        <v>67.5</v>
      </c>
    </row>
    <row r="149" customFormat="false" ht="14.25" hidden="false" customHeight="false" outlineLevel="0" collapsed="false">
      <c r="A149" s="0" t="n">
        <v>74</v>
      </c>
      <c r="B149" s="0" t="n">
        <v>2024</v>
      </c>
      <c r="C149" s="20" t="s">
        <v>58</v>
      </c>
      <c r="D149" s="21" t="s">
        <v>44</v>
      </c>
      <c r="E149" s="21" t="s">
        <v>556</v>
      </c>
      <c r="F149" s="22" t="n">
        <v>90</v>
      </c>
      <c r="G149" s="22" t="n">
        <v>100</v>
      </c>
      <c r="H149" s="22" t="n">
        <v>95</v>
      </c>
      <c r="I149" s="22" t="n">
        <v>95</v>
      </c>
    </row>
    <row r="150" customFormat="false" ht="14.25" hidden="false" customHeight="false" outlineLevel="0" collapsed="false">
      <c r="A150" s="0" t="n">
        <v>74</v>
      </c>
      <c r="B150" s="0" t="n">
        <v>2024</v>
      </c>
      <c r="C150" s="20" t="s">
        <v>60</v>
      </c>
      <c r="D150" s="21" t="s">
        <v>47</v>
      </c>
      <c r="E150" s="21" t="s">
        <v>556</v>
      </c>
      <c r="F150" s="22" t="n">
        <v>70</v>
      </c>
      <c r="G150" s="22" t="n">
        <v>70</v>
      </c>
      <c r="H150" s="22" t="n">
        <v>70</v>
      </c>
      <c r="I150" s="22" t="n">
        <v>70</v>
      </c>
    </row>
    <row r="151" customFormat="false" ht="25" hidden="false" customHeight="false" outlineLevel="0" collapsed="false">
      <c r="A151" s="0" t="n">
        <v>74</v>
      </c>
      <c r="B151" s="0" t="n">
        <v>2024</v>
      </c>
      <c r="C151" s="20" t="s">
        <v>61</v>
      </c>
      <c r="D151" s="21" t="s">
        <v>44</v>
      </c>
      <c r="E151" s="21" t="s">
        <v>556</v>
      </c>
      <c r="F151" s="22" t="n">
        <v>70</v>
      </c>
      <c r="G151" s="22" t="n">
        <v>80</v>
      </c>
      <c r="H151" s="22" t="n">
        <v>75</v>
      </c>
      <c r="I151" s="22" t="n">
        <v>75</v>
      </c>
    </row>
    <row r="152" customFormat="false" ht="25" hidden="false" customHeight="false" outlineLevel="0" collapsed="false">
      <c r="A152" s="0" t="n">
        <v>74</v>
      </c>
      <c r="B152" s="0" t="n">
        <v>2024</v>
      </c>
      <c r="C152" s="20" t="s">
        <v>62</v>
      </c>
      <c r="D152" s="21" t="s">
        <v>44</v>
      </c>
      <c r="E152" s="22" t="n">
        <v>100</v>
      </c>
      <c r="F152" s="22" t="n">
        <v>75</v>
      </c>
      <c r="G152" s="22" t="n">
        <v>100</v>
      </c>
      <c r="H152" s="22" t="n">
        <v>88.75</v>
      </c>
      <c r="I152" s="22" t="n">
        <v>90</v>
      </c>
    </row>
    <row r="153" customFormat="false" ht="25" hidden="false" customHeight="false" outlineLevel="0" collapsed="false">
      <c r="A153" s="0" t="n">
        <v>74</v>
      </c>
      <c r="B153" s="0" t="n">
        <v>2024</v>
      </c>
      <c r="C153" s="20" t="s">
        <v>63</v>
      </c>
      <c r="D153" s="21" t="s">
        <v>49</v>
      </c>
      <c r="E153" s="22" t="n">
        <v>45</v>
      </c>
      <c r="F153" s="22" t="n">
        <v>45</v>
      </c>
      <c r="G153" s="22" t="n">
        <v>85</v>
      </c>
      <c r="H153" s="22" t="n">
        <v>57.5</v>
      </c>
      <c r="I153" s="22" t="n">
        <v>50</v>
      </c>
    </row>
    <row r="154" customFormat="false" ht="14.25" hidden="false" customHeight="false" outlineLevel="0" collapsed="false">
      <c r="A154" s="0" t="n">
        <v>74</v>
      </c>
      <c r="B154" s="0" t="n">
        <v>2024</v>
      </c>
      <c r="C154" s="20" t="s">
        <v>64</v>
      </c>
      <c r="D154" s="21" t="s">
        <v>65</v>
      </c>
      <c r="E154" s="22" t="n">
        <v>160</v>
      </c>
      <c r="F154" s="22" t="n">
        <v>150</v>
      </c>
      <c r="G154" s="22" t="n">
        <v>180</v>
      </c>
      <c r="H154" s="22" t="n">
        <v>162.5</v>
      </c>
      <c r="I154" s="22" t="n">
        <v>160</v>
      </c>
    </row>
    <row r="155" customFormat="false" ht="25" hidden="false" customHeight="false" outlineLevel="0" collapsed="false">
      <c r="A155" s="0" t="n">
        <v>74</v>
      </c>
      <c r="B155" s="0" t="n">
        <v>2024</v>
      </c>
      <c r="C155" s="20" t="s">
        <v>67</v>
      </c>
      <c r="D155" s="21" t="s">
        <v>44</v>
      </c>
      <c r="E155" s="21" t="s">
        <v>556</v>
      </c>
      <c r="F155" s="22" t="n">
        <v>50</v>
      </c>
      <c r="G155" s="22" t="n">
        <v>80</v>
      </c>
      <c r="H155" s="22" t="n">
        <v>65</v>
      </c>
      <c r="I155" s="22" t="n">
        <v>65</v>
      </c>
    </row>
    <row r="156" customFormat="false" ht="25" hidden="false" customHeight="false" outlineLevel="0" collapsed="false">
      <c r="A156" s="0" t="n">
        <v>74</v>
      </c>
      <c r="B156" s="0" t="n">
        <v>2024</v>
      </c>
      <c r="C156" s="20" t="s">
        <v>68</v>
      </c>
      <c r="D156" s="21" t="s">
        <v>44</v>
      </c>
      <c r="E156" s="21" t="s">
        <v>556</v>
      </c>
      <c r="F156" s="22" t="n">
        <v>90</v>
      </c>
      <c r="G156" s="22" t="n">
        <v>120</v>
      </c>
      <c r="H156" s="22" t="n">
        <v>103.33</v>
      </c>
      <c r="I156" s="22" t="n">
        <v>100</v>
      </c>
    </row>
    <row r="157" customFormat="false" ht="14.25" hidden="false" customHeight="false" outlineLevel="0" collapsed="false">
      <c r="A157" s="0" t="n">
        <v>74</v>
      </c>
      <c r="B157" s="0" t="n">
        <v>2024</v>
      </c>
      <c r="C157" s="20" t="s">
        <v>70</v>
      </c>
      <c r="D157" s="21" t="s">
        <v>49</v>
      </c>
      <c r="E157" s="21" t="s">
        <v>556</v>
      </c>
      <c r="F157" s="21" t="s">
        <v>556</v>
      </c>
      <c r="G157" s="21" t="s">
        <v>556</v>
      </c>
      <c r="H157" s="21" t="s">
        <v>556</v>
      </c>
      <c r="I157" s="21" t="s">
        <v>556</v>
      </c>
    </row>
    <row r="158" customFormat="false" ht="25" hidden="false" customHeight="false" outlineLevel="0" collapsed="false">
      <c r="A158" s="0" t="n">
        <v>74</v>
      </c>
      <c r="B158" s="0" t="n">
        <v>2024</v>
      </c>
      <c r="C158" s="20" t="s">
        <v>71</v>
      </c>
      <c r="D158" s="21" t="s">
        <v>49</v>
      </c>
      <c r="E158" s="21" t="s">
        <v>556</v>
      </c>
      <c r="F158" s="21" t="s">
        <v>556</v>
      </c>
      <c r="G158" s="21" t="s">
        <v>556</v>
      </c>
      <c r="H158" s="21" t="s">
        <v>556</v>
      </c>
      <c r="I158" s="21" t="s">
        <v>556</v>
      </c>
    </row>
    <row r="159" customFormat="false" ht="25" hidden="false" customHeight="false" outlineLevel="0" collapsed="false">
      <c r="A159" s="0" t="n">
        <v>74</v>
      </c>
      <c r="B159" s="0" t="n">
        <v>2024</v>
      </c>
      <c r="C159" s="20" t="s">
        <v>72</v>
      </c>
      <c r="D159" s="21" t="s">
        <v>49</v>
      </c>
      <c r="E159" s="21" t="s">
        <v>556</v>
      </c>
      <c r="F159" s="21" t="s">
        <v>556</v>
      </c>
      <c r="G159" s="21" t="s">
        <v>556</v>
      </c>
      <c r="H159" s="21" t="s">
        <v>556</v>
      </c>
      <c r="I159" s="21" t="s">
        <v>556</v>
      </c>
    </row>
    <row r="160" customFormat="false" ht="14.25" hidden="false" customHeight="false" outlineLevel="0" collapsed="false">
      <c r="A160" s="0" t="n">
        <v>74</v>
      </c>
      <c r="B160" s="0" t="n">
        <v>2024</v>
      </c>
      <c r="C160" s="20" t="s">
        <v>73</v>
      </c>
      <c r="D160" s="21" t="s">
        <v>49</v>
      </c>
      <c r="E160" s="21" t="s">
        <v>556</v>
      </c>
      <c r="F160" s="22" t="n">
        <v>70</v>
      </c>
      <c r="G160" s="22" t="n">
        <v>70</v>
      </c>
      <c r="H160" s="22" t="n">
        <v>70</v>
      </c>
      <c r="I160" s="22" t="n">
        <v>70</v>
      </c>
    </row>
    <row r="161" customFormat="false" ht="25" hidden="false" customHeight="false" outlineLevel="0" collapsed="false">
      <c r="A161" s="0" t="n">
        <v>74</v>
      </c>
      <c r="B161" s="0" t="n">
        <v>2024</v>
      </c>
      <c r="C161" s="20" t="s">
        <v>74</v>
      </c>
      <c r="D161" s="21" t="s">
        <v>75</v>
      </c>
      <c r="E161" s="21" t="s">
        <v>556</v>
      </c>
      <c r="F161" s="21" t="s">
        <v>556</v>
      </c>
      <c r="G161" s="21" t="s">
        <v>556</v>
      </c>
      <c r="H161" s="21" t="s">
        <v>556</v>
      </c>
      <c r="I161" s="21" t="s">
        <v>556</v>
      </c>
    </row>
    <row r="162" customFormat="false" ht="14.25" hidden="false" customHeight="false" outlineLevel="0" collapsed="false">
      <c r="A162" s="0" t="n">
        <v>75</v>
      </c>
      <c r="B162" s="0" t="n">
        <v>2024</v>
      </c>
      <c r="C162" s="20" t="s">
        <v>16</v>
      </c>
      <c r="D162" s="21" t="s">
        <v>17</v>
      </c>
      <c r="E162" s="21" t="s">
        <v>556</v>
      </c>
      <c r="F162" s="22" t="n">
        <v>36</v>
      </c>
      <c r="G162" s="22" t="n">
        <v>60</v>
      </c>
      <c r="H162" s="22" t="n">
        <v>48</v>
      </c>
      <c r="I162" s="22" t="n">
        <v>48</v>
      </c>
    </row>
    <row r="163" customFormat="false" ht="14.25" hidden="false" customHeight="false" outlineLevel="0" collapsed="false">
      <c r="A163" s="0" t="n">
        <v>75</v>
      </c>
      <c r="B163" s="0" t="n">
        <v>2024</v>
      </c>
      <c r="C163" s="20" t="s">
        <v>18</v>
      </c>
      <c r="D163" s="21" t="s">
        <v>17</v>
      </c>
      <c r="E163" s="22" t="n">
        <v>72</v>
      </c>
      <c r="F163" s="22" t="n">
        <v>78</v>
      </c>
      <c r="G163" s="22" t="n">
        <v>84</v>
      </c>
      <c r="H163" s="22" t="n">
        <v>78</v>
      </c>
      <c r="I163" s="22" t="n">
        <v>78</v>
      </c>
    </row>
    <row r="164" customFormat="false" ht="25" hidden="false" customHeight="false" outlineLevel="0" collapsed="false">
      <c r="A164" s="0" t="n">
        <v>75</v>
      </c>
      <c r="B164" s="0" t="n">
        <v>2024</v>
      </c>
      <c r="C164" s="20" t="s">
        <v>19</v>
      </c>
      <c r="D164" s="21" t="s">
        <v>17</v>
      </c>
      <c r="E164" s="22" t="n">
        <v>30</v>
      </c>
      <c r="F164" s="22" t="n">
        <v>30</v>
      </c>
      <c r="G164" s="22" t="n">
        <v>30</v>
      </c>
      <c r="H164" s="22" t="n">
        <v>30</v>
      </c>
      <c r="I164" s="22" t="n">
        <v>30</v>
      </c>
    </row>
    <row r="165" customFormat="false" ht="14.25" hidden="false" customHeight="false" outlineLevel="0" collapsed="false">
      <c r="A165" s="0" t="n">
        <v>75</v>
      </c>
      <c r="B165" s="0" t="n">
        <v>2024</v>
      </c>
      <c r="C165" s="20" t="s">
        <v>20</v>
      </c>
      <c r="D165" s="21" t="s">
        <v>17</v>
      </c>
      <c r="E165" s="22" t="n">
        <v>18</v>
      </c>
      <c r="F165" s="22" t="n">
        <v>18</v>
      </c>
      <c r="G165" s="22" t="n">
        <v>20</v>
      </c>
      <c r="H165" s="22" t="n">
        <v>18.67</v>
      </c>
      <c r="I165" s="22" t="n">
        <v>18</v>
      </c>
    </row>
    <row r="166" customFormat="false" ht="14.25" hidden="false" customHeight="false" outlineLevel="0" collapsed="false">
      <c r="A166" s="0" t="n">
        <v>75</v>
      </c>
      <c r="B166" s="0" t="n">
        <v>2024</v>
      </c>
      <c r="C166" s="20" t="s">
        <v>21</v>
      </c>
      <c r="D166" s="21" t="s">
        <v>17</v>
      </c>
      <c r="E166" s="22" t="n">
        <v>18</v>
      </c>
      <c r="F166" s="22" t="n">
        <v>18</v>
      </c>
      <c r="G166" s="22" t="n">
        <v>20</v>
      </c>
      <c r="H166" s="22" t="n">
        <v>18.67</v>
      </c>
      <c r="I166" s="22" t="n">
        <v>18</v>
      </c>
    </row>
    <row r="167" customFormat="false" ht="14.25" hidden="false" customHeight="false" outlineLevel="0" collapsed="false">
      <c r="A167" s="0" t="n">
        <v>75</v>
      </c>
      <c r="B167" s="0" t="n">
        <v>2024</v>
      </c>
      <c r="C167" s="20" t="s">
        <v>22</v>
      </c>
      <c r="D167" s="21" t="s">
        <v>17</v>
      </c>
      <c r="E167" s="22" t="n">
        <v>48</v>
      </c>
      <c r="F167" s="21" t="s">
        <v>556</v>
      </c>
      <c r="G167" s="22" t="n">
        <v>60</v>
      </c>
      <c r="H167" s="22" t="n">
        <v>54</v>
      </c>
      <c r="I167" s="22" t="n">
        <v>54</v>
      </c>
    </row>
    <row r="168" customFormat="false" ht="36.5" hidden="false" customHeight="false" outlineLevel="0" collapsed="false">
      <c r="A168" s="0" t="n">
        <v>75</v>
      </c>
      <c r="B168" s="0" t="n">
        <v>2024</v>
      </c>
      <c r="C168" s="20" t="s">
        <v>23</v>
      </c>
      <c r="D168" s="21" t="s">
        <v>17</v>
      </c>
      <c r="E168" s="22" t="n">
        <v>60</v>
      </c>
      <c r="F168" s="21" t="s">
        <v>556</v>
      </c>
      <c r="G168" s="22" t="n">
        <v>72</v>
      </c>
      <c r="H168" s="22" t="n">
        <v>66</v>
      </c>
      <c r="I168" s="22" t="n">
        <v>66</v>
      </c>
    </row>
    <row r="169" customFormat="false" ht="25" hidden="false" customHeight="false" outlineLevel="0" collapsed="false">
      <c r="A169" s="0" t="n">
        <v>75</v>
      </c>
      <c r="B169" s="0" t="n">
        <v>2024</v>
      </c>
      <c r="C169" s="20" t="s">
        <v>24</v>
      </c>
      <c r="D169" s="21" t="s">
        <v>17</v>
      </c>
      <c r="E169" s="22" t="n">
        <v>72</v>
      </c>
      <c r="F169" s="22" t="n">
        <v>72</v>
      </c>
      <c r="G169" s="22" t="n">
        <v>72</v>
      </c>
      <c r="H169" s="22" t="n">
        <v>72</v>
      </c>
      <c r="I169" s="22" t="n">
        <v>72</v>
      </c>
    </row>
    <row r="170" customFormat="false" ht="25" hidden="false" customHeight="false" outlineLevel="0" collapsed="false">
      <c r="A170" s="0" t="n">
        <v>75</v>
      </c>
      <c r="B170" s="0" t="n">
        <v>2024</v>
      </c>
      <c r="C170" s="20" t="s">
        <v>25</v>
      </c>
      <c r="D170" s="21" t="s">
        <v>17</v>
      </c>
      <c r="E170" s="22" t="n">
        <v>18</v>
      </c>
      <c r="F170" s="22" t="n">
        <v>18</v>
      </c>
      <c r="G170" s="22" t="n">
        <v>25</v>
      </c>
      <c r="H170" s="22" t="n">
        <v>20.33</v>
      </c>
      <c r="I170" s="22" t="n">
        <v>18</v>
      </c>
    </row>
    <row r="171" customFormat="false" ht="14.25" hidden="false" customHeight="false" outlineLevel="0" collapsed="false">
      <c r="A171" s="0" t="n">
        <v>75</v>
      </c>
      <c r="B171" s="0" t="n">
        <v>2024</v>
      </c>
      <c r="C171" s="20" t="s">
        <v>77</v>
      </c>
      <c r="D171" s="21" t="s">
        <v>17</v>
      </c>
      <c r="E171" s="22" t="n">
        <v>72</v>
      </c>
      <c r="F171" s="22" t="n">
        <v>72</v>
      </c>
      <c r="G171" s="22" t="n">
        <v>72</v>
      </c>
      <c r="H171" s="22" t="n">
        <v>72</v>
      </c>
      <c r="I171" s="22" t="n">
        <v>72</v>
      </c>
    </row>
    <row r="172" customFormat="false" ht="14.25" hidden="false" customHeight="false" outlineLevel="0" collapsed="false">
      <c r="A172" s="0" t="n">
        <v>75</v>
      </c>
      <c r="B172" s="0" t="n">
        <v>2024</v>
      </c>
      <c r="C172" s="20" t="s">
        <v>27</v>
      </c>
      <c r="D172" s="21" t="s">
        <v>17</v>
      </c>
      <c r="E172" s="22" t="n">
        <v>18</v>
      </c>
      <c r="F172" s="22" t="n">
        <v>18</v>
      </c>
      <c r="G172" s="22" t="n">
        <v>20</v>
      </c>
      <c r="H172" s="22" t="n">
        <v>18.67</v>
      </c>
      <c r="I172" s="22" t="n">
        <v>18</v>
      </c>
    </row>
    <row r="173" customFormat="false" ht="14.25" hidden="false" customHeight="false" outlineLevel="0" collapsed="false">
      <c r="A173" s="0" t="n">
        <v>75</v>
      </c>
      <c r="B173" s="0" t="n">
        <v>2024</v>
      </c>
      <c r="C173" s="20" t="s">
        <v>28</v>
      </c>
      <c r="D173" s="21" t="s">
        <v>17</v>
      </c>
      <c r="E173" s="22" t="n">
        <v>48</v>
      </c>
      <c r="F173" s="22" t="n">
        <v>48</v>
      </c>
      <c r="G173" s="22" t="n">
        <v>72</v>
      </c>
      <c r="H173" s="22" t="n">
        <v>60</v>
      </c>
      <c r="I173" s="22" t="n">
        <v>60</v>
      </c>
    </row>
    <row r="174" customFormat="false" ht="14.25" hidden="false" customHeight="false" outlineLevel="0" collapsed="false">
      <c r="A174" s="0" t="n">
        <v>75</v>
      </c>
      <c r="B174" s="0" t="n">
        <v>2024</v>
      </c>
      <c r="C174" s="20" t="s">
        <v>29</v>
      </c>
      <c r="D174" s="21" t="s">
        <v>30</v>
      </c>
      <c r="E174" s="22" t="n">
        <v>48</v>
      </c>
      <c r="F174" s="22" t="n">
        <v>40</v>
      </c>
      <c r="G174" s="22" t="n">
        <v>60</v>
      </c>
      <c r="H174" s="22" t="n">
        <v>52</v>
      </c>
      <c r="I174" s="22" t="n">
        <v>50</v>
      </c>
    </row>
    <row r="175" customFormat="false" ht="14.25" hidden="false" customHeight="false" outlineLevel="0" collapsed="false">
      <c r="A175" s="0" t="n">
        <v>75</v>
      </c>
      <c r="B175" s="0" t="n">
        <v>2024</v>
      </c>
      <c r="C175" s="20" t="s">
        <v>31</v>
      </c>
      <c r="D175" s="21" t="s">
        <v>17</v>
      </c>
      <c r="E175" s="22" t="n">
        <v>48</v>
      </c>
      <c r="F175" s="21" t="s">
        <v>556</v>
      </c>
      <c r="G175" s="22" t="n">
        <v>60</v>
      </c>
      <c r="H175" s="22" t="n">
        <v>50</v>
      </c>
      <c r="I175" s="21" t="s">
        <v>556</v>
      </c>
    </row>
    <row r="176" customFormat="false" ht="25" hidden="false" customHeight="false" outlineLevel="0" collapsed="false">
      <c r="A176" s="0" t="n">
        <v>75</v>
      </c>
      <c r="B176" s="0" t="n">
        <v>2024</v>
      </c>
      <c r="C176" s="20" t="s">
        <v>32</v>
      </c>
      <c r="D176" s="21" t="s">
        <v>17</v>
      </c>
      <c r="E176" s="22" t="n">
        <v>30</v>
      </c>
      <c r="F176" s="22" t="n">
        <v>24</v>
      </c>
      <c r="G176" s="22" t="n">
        <v>30</v>
      </c>
      <c r="H176" s="22" t="n">
        <v>28</v>
      </c>
      <c r="I176" s="22" t="n">
        <v>30</v>
      </c>
    </row>
    <row r="177" customFormat="false" ht="14.25" hidden="false" customHeight="false" outlineLevel="0" collapsed="false">
      <c r="A177" s="0" t="n">
        <v>75</v>
      </c>
      <c r="B177" s="0" t="n">
        <v>2024</v>
      </c>
      <c r="C177" s="20" t="s">
        <v>33</v>
      </c>
      <c r="D177" s="21" t="s">
        <v>17</v>
      </c>
      <c r="E177" s="22" t="n">
        <v>48</v>
      </c>
      <c r="F177" s="21" t="s">
        <v>556</v>
      </c>
      <c r="G177" s="22" t="n">
        <v>60</v>
      </c>
      <c r="H177" s="22" t="n">
        <v>54</v>
      </c>
      <c r="I177" s="22" t="n">
        <v>54</v>
      </c>
    </row>
    <row r="178" customFormat="false" ht="14.25" hidden="false" customHeight="false" outlineLevel="0" collapsed="false">
      <c r="A178" s="0" t="n">
        <v>75</v>
      </c>
      <c r="B178" s="0" t="n">
        <v>2024</v>
      </c>
      <c r="C178" s="20" t="s">
        <v>35</v>
      </c>
      <c r="D178" s="21" t="s">
        <v>36</v>
      </c>
      <c r="E178" s="22" t="n">
        <v>5</v>
      </c>
      <c r="F178" s="22" t="n">
        <v>5</v>
      </c>
      <c r="G178" s="22" t="n">
        <v>5</v>
      </c>
      <c r="H178" s="22" t="n">
        <v>5</v>
      </c>
      <c r="I178" s="22" t="n">
        <v>5</v>
      </c>
    </row>
    <row r="179" customFormat="false" ht="14.25" hidden="false" customHeight="false" outlineLevel="0" collapsed="false">
      <c r="A179" s="0" t="n">
        <v>75</v>
      </c>
      <c r="B179" s="0" t="n">
        <v>2024</v>
      </c>
      <c r="C179" s="20" t="s">
        <v>38</v>
      </c>
      <c r="D179" s="21" t="s">
        <v>39</v>
      </c>
      <c r="E179" s="22" t="n">
        <v>15</v>
      </c>
      <c r="F179" s="22" t="n">
        <v>12</v>
      </c>
      <c r="G179" s="22" t="n">
        <v>15</v>
      </c>
      <c r="H179" s="22" t="n">
        <v>14</v>
      </c>
      <c r="I179" s="22" t="n">
        <v>15</v>
      </c>
    </row>
    <row r="180" customFormat="false" ht="14.25" hidden="false" customHeight="false" outlineLevel="0" collapsed="false">
      <c r="A180" s="0" t="n">
        <v>75</v>
      </c>
      <c r="B180" s="0" t="n">
        <v>2024</v>
      </c>
      <c r="C180" s="20" t="s">
        <v>40</v>
      </c>
      <c r="D180" s="21" t="s">
        <v>39</v>
      </c>
      <c r="E180" s="22" t="n">
        <v>25</v>
      </c>
      <c r="F180" s="22" t="n">
        <v>25</v>
      </c>
      <c r="G180" s="22" t="n">
        <v>30</v>
      </c>
      <c r="H180" s="22" t="n">
        <v>26.67</v>
      </c>
      <c r="I180" s="22" t="n">
        <v>25</v>
      </c>
    </row>
    <row r="181" customFormat="false" ht="25" hidden="false" customHeight="false" outlineLevel="0" collapsed="false">
      <c r="A181" s="0" t="n">
        <v>75</v>
      </c>
      <c r="B181" s="0" t="n">
        <v>2024</v>
      </c>
      <c r="C181" s="20" t="s">
        <v>360</v>
      </c>
      <c r="D181" s="21" t="s">
        <v>158</v>
      </c>
      <c r="E181" s="22" t="n">
        <v>75</v>
      </c>
      <c r="F181" s="22" t="n">
        <v>75</v>
      </c>
      <c r="G181" s="22" t="n">
        <v>80</v>
      </c>
      <c r="H181" s="22" t="n">
        <v>76.67</v>
      </c>
      <c r="I181" s="22" t="n">
        <v>75</v>
      </c>
    </row>
    <row r="182" customFormat="false" ht="25" hidden="false" customHeight="false" outlineLevel="0" collapsed="false">
      <c r="A182" s="0" t="n">
        <v>75</v>
      </c>
      <c r="B182" s="0" t="n">
        <v>2024</v>
      </c>
      <c r="C182" s="20" t="s">
        <v>43</v>
      </c>
      <c r="D182" s="21" t="s">
        <v>44</v>
      </c>
      <c r="E182" s="22" t="n">
        <v>25</v>
      </c>
      <c r="F182" s="22" t="n">
        <v>25</v>
      </c>
      <c r="G182" s="22" t="n">
        <v>40</v>
      </c>
      <c r="H182" s="22" t="n">
        <v>28.57</v>
      </c>
      <c r="I182" s="22" t="n">
        <v>25</v>
      </c>
    </row>
    <row r="183" customFormat="false" ht="14.25" hidden="false" customHeight="false" outlineLevel="0" collapsed="false">
      <c r="A183" s="0" t="n">
        <v>75</v>
      </c>
      <c r="B183" s="0" t="n">
        <v>2024</v>
      </c>
      <c r="C183" s="20" t="s">
        <v>46</v>
      </c>
      <c r="D183" s="21" t="s">
        <v>47</v>
      </c>
      <c r="E183" s="22" t="n">
        <v>70</v>
      </c>
      <c r="F183" s="22" t="n">
        <v>45</v>
      </c>
      <c r="G183" s="22" t="n">
        <v>70</v>
      </c>
      <c r="H183" s="22" t="n">
        <v>60.83</v>
      </c>
      <c r="I183" s="22" t="n">
        <v>67.5</v>
      </c>
    </row>
    <row r="184" customFormat="false" ht="25" hidden="false" customHeight="false" outlineLevel="0" collapsed="false">
      <c r="A184" s="0" t="n">
        <v>75</v>
      </c>
      <c r="B184" s="0" t="n">
        <v>2024</v>
      </c>
      <c r="C184" s="20" t="s">
        <v>48</v>
      </c>
      <c r="D184" s="21" t="s">
        <v>49</v>
      </c>
      <c r="E184" s="22" t="n">
        <v>50</v>
      </c>
      <c r="F184" s="22" t="n">
        <v>50</v>
      </c>
      <c r="G184" s="22" t="n">
        <v>65</v>
      </c>
      <c r="H184" s="22" t="n">
        <v>56</v>
      </c>
      <c r="I184" s="22" t="n">
        <v>55</v>
      </c>
    </row>
    <row r="185" customFormat="false" ht="25" hidden="false" customHeight="false" outlineLevel="0" collapsed="false">
      <c r="A185" s="0" t="n">
        <v>75</v>
      </c>
      <c r="B185" s="0" t="n">
        <v>2024</v>
      </c>
      <c r="C185" s="20" t="s">
        <v>52</v>
      </c>
      <c r="D185" s="21" t="s">
        <v>49</v>
      </c>
      <c r="E185" s="22" t="n">
        <v>45</v>
      </c>
      <c r="F185" s="21" t="s">
        <v>556</v>
      </c>
      <c r="G185" s="22" t="n">
        <v>80</v>
      </c>
      <c r="H185" s="22" t="n">
        <v>66.67</v>
      </c>
      <c r="I185" s="22" t="n">
        <v>75</v>
      </c>
    </row>
    <row r="186" customFormat="false" ht="14.25" hidden="false" customHeight="false" outlineLevel="0" collapsed="false">
      <c r="A186" s="0" t="n">
        <v>75</v>
      </c>
      <c r="B186" s="0" t="n">
        <v>2024</v>
      </c>
      <c r="C186" s="20" t="s">
        <v>53</v>
      </c>
      <c r="D186" s="21" t="s">
        <v>54</v>
      </c>
      <c r="E186" s="22" t="n">
        <v>50</v>
      </c>
      <c r="F186" s="22" t="n">
        <v>50</v>
      </c>
      <c r="G186" s="22" t="n">
        <v>65</v>
      </c>
      <c r="H186" s="22" t="n">
        <v>57.5</v>
      </c>
      <c r="I186" s="22" t="n">
        <v>56.67</v>
      </c>
    </row>
    <row r="187" customFormat="false" ht="14.25" hidden="false" customHeight="false" outlineLevel="0" collapsed="false">
      <c r="A187" s="0" t="n">
        <v>75</v>
      </c>
      <c r="B187" s="0" t="n">
        <v>2024</v>
      </c>
      <c r="C187" s="20" t="s">
        <v>56</v>
      </c>
      <c r="D187" s="21" t="s">
        <v>47</v>
      </c>
      <c r="E187" s="22" t="n">
        <v>45</v>
      </c>
      <c r="F187" s="22" t="n">
        <v>40</v>
      </c>
      <c r="G187" s="22" t="n">
        <v>60</v>
      </c>
      <c r="H187" s="22" t="n">
        <v>48.57</v>
      </c>
      <c r="I187" s="22" t="n">
        <v>45</v>
      </c>
    </row>
    <row r="188" customFormat="false" ht="14.25" hidden="false" customHeight="false" outlineLevel="0" collapsed="false">
      <c r="A188" s="0" t="n">
        <v>75</v>
      </c>
      <c r="B188" s="0" t="n">
        <v>2024</v>
      </c>
      <c r="C188" s="20" t="s">
        <v>57</v>
      </c>
      <c r="D188" s="21" t="s">
        <v>47</v>
      </c>
      <c r="E188" s="22" t="n">
        <v>40</v>
      </c>
      <c r="F188" s="22" t="n">
        <v>55</v>
      </c>
      <c r="G188" s="22" t="n">
        <v>55</v>
      </c>
      <c r="H188" s="22" t="n">
        <v>51.43</v>
      </c>
      <c r="I188" s="22" t="n">
        <v>55</v>
      </c>
    </row>
    <row r="189" customFormat="false" ht="14.25" hidden="false" customHeight="false" outlineLevel="0" collapsed="false">
      <c r="A189" s="0" t="n">
        <v>75</v>
      </c>
      <c r="B189" s="0" t="n">
        <v>2024</v>
      </c>
      <c r="C189" s="20" t="s">
        <v>58</v>
      </c>
      <c r="D189" s="21" t="s">
        <v>44</v>
      </c>
      <c r="E189" s="22" t="n">
        <v>100</v>
      </c>
      <c r="F189" s="22" t="n">
        <v>120</v>
      </c>
      <c r="G189" s="22" t="n">
        <v>130</v>
      </c>
      <c r="H189" s="22" t="n">
        <v>116</v>
      </c>
      <c r="I189" s="22" t="n">
        <v>120</v>
      </c>
    </row>
    <row r="190" customFormat="false" ht="14.25" hidden="false" customHeight="false" outlineLevel="0" collapsed="false">
      <c r="A190" s="0" t="n">
        <v>75</v>
      </c>
      <c r="B190" s="0" t="n">
        <v>2024</v>
      </c>
      <c r="C190" s="20" t="s">
        <v>60</v>
      </c>
      <c r="D190" s="21" t="s">
        <v>47</v>
      </c>
      <c r="E190" s="22" t="n">
        <v>55</v>
      </c>
      <c r="F190" s="21" t="s">
        <v>556</v>
      </c>
      <c r="G190" s="22" t="n">
        <v>55</v>
      </c>
      <c r="H190" s="22" t="n">
        <v>55</v>
      </c>
      <c r="I190" s="22" t="n">
        <v>55</v>
      </c>
    </row>
    <row r="191" customFormat="false" ht="25" hidden="false" customHeight="false" outlineLevel="0" collapsed="false">
      <c r="A191" s="0" t="n">
        <v>75</v>
      </c>
      <c r="B191" s="0" t="n">
        <v>2024</v>
      </c>
      <c r="C191" s="20" t="s">
        <v>61</v>
      </c>
      <c r="D191" s="21" t="s">
        <v>44</v>
      </c>
      <c r="E191" s="22" t="n">
        <v>60</v>
      </c>
      <c r="F191" s="22" t="n">
        <v>50</v>
      </c>
      <c r="G191" s="22" t="n">
        <v>85</v>
      </c>
      <c r="H191" s="22" t="n">
        <v>60</v>
      </c>
      <c r="I191" s="22" t="n">
        <v>63.75</v>
      </c>
    </row>
    <row r="192" customFormat="false" ht="25" hidden="false" customHeight="false" outlineLevel="0" collapsed="false">
      <c r="A192" s="0" t="n">
        <v>75</v>
      </c>
      <c r="B192" s="0" t="n">
        <v>2024</v>
      </c>
      <c r="C192" s="20" t="s">
        <v>62</v>
      </c>
      <c r="D192" s="21" t="s">
        <v>44</v>
      </c>
      <c r="E192" s="22" t="n">
        <v>75</v>
      </c>
      <c r="F192" s="21" t="s">
        <v>556</v>
      </c>
      <c r="G192" s="22" t="n">
        <v>100</v>
      </c>
      <c r="H192" s="22" t="n">
        <v>87.5</v>
      </c>
      <c r="I192" s="22" t="n">
        <v>87.5</v>
      </c>
    </row>
    <row r="193" customFormat="false" ht="25" hidden="false" customHeight="false" outlineLevel="0" collapsed="false">
      <c r="A193" s="0" t="n">
        <v>75</v>
      </c>
      <c r="B193" s="0" t="n">
        <v>2024</v>
      </c>
      <c r="C193" s="20" t="s">
        <v>63</v>
      </c>
      <c r="D193" s="21" t="s">
        <v>49</v>
      </c>
      <c r="E193" s="22" t="n">
        <v>40</v>
      </c>
      <c r="F193" s="22" t="n">
        <v>50</v>
      </c>
      <c r="G193" s="22" t="n">
        <v>70</v>
      </c>
      <c r="H193" s="22" t="n">
        <v>52.14</v>
      </c>
      <c r="I193" s="22" t="n">
        <v>50</v>
      </c>
    </row>
    <row r="194" customFormat="false" ht="14.25" hidden="false" customHeight="false" outlineLevel="0" collapsed="false">
      <c r="A194" s="0" t="n">
        <v>75</v>
      </c>
      <c r="B194" s="0" t="n">
        <v>2024</v>
      </c>
      <c r="C194" s="20" t="s">
        <v>64</v>
      </c>
      <c r="D194" s="21" t="s">
        <v>65</v>
      </c>
      <c r="E194" s="22" t="n">
        <v>180</v>
      </c>
      <c r="F194" s="22" t="n">
        <v>150</v>
      </c>
      <c r="G194" s="22" t="n">
        <v>180</v>
      </c>
      <c r="H194" s="22" t="n">
        <v>166.67</v>
      </c>
      <c r="I194" s="22" t="n">
        <v>165</v>
      </c>
    </row>
    <row r="195" customFormat="false" ht="25" hidden="false" customHeight="false" outlineLevel="0" collapsed="false">
      <c r="A195" s="0" t="n">
        <v>75</v>
      </c>
      <c r="B195" s="0" t="n">
        <v>2024</v>
      </c>
      <c r="C195" s="20" t="s">
        <v>67</v>
      </c>
      <c r="D195" s="21" t="s">
        <v>44</v>
      </c>
      <c r="E195" s="22" t="n">
        <v>60</v>
      </c>
      <c r="F195" s="22" t="n">
        <v>70</v>
      </c>
      <c r="G195" s="22" t="n">
        <v>80</v>
      </c>
      <c r="H195" s="22" t="n">
        <v>68.57</v>
      </c>
      <c r="I195" s="22" t="n">
        <v>70</v>
      </c>
    </row>
    <row r="196" customFormat="false" ht="25" hidden="false" customHeight="false" outlineLevel="0" collapsed="false">
      <c r="A196" s="0" t="n">
        <v>75</v>
      </c>
      <c r="B196" s="0" t="n">
        <v>2024</v>
      </c>
      <c r="C196" s="20" t="s">
        <v>68</v>
      </c>
      <c r="D196" s="21" t="s">
        <v>44</v>
      </c>
      <c r="E196" s="22" t="n">
        <v>80</v>
      </c>
      <c r="F196" s="21" t="s">
        <v>556</v>
      </c>
      <c r="G196" s="22" t="n">
        <v>120</v>
      </c>
      <c r="H196" s="22" t="n">
        <v>95</v>
      </c>
      <c r="I196" s="22" t="n">
        <v>97.5</v>
      </c>
    </row>
    <row r="197" customFormat="false" ht="14.25" hidden="false" customHeight="false" outlineLevel="0" collapsed="false">
      <c r="A197" s="0" t="n">
        <v>75</v>
      </c>
      <c r="B197" s="0" t="n">
        <v>2024</v>
      </c>
      <c r="C197" s="20" t="s">
        <v>70</v>
      </c>
      <c r="D197" s="21" t="s">
        <v>49</v>
      </c>
      <c r="E197" s="21" t="s">
        <v>556</v>
      </c>
      <c r="F197" s="21" t="s">
        <v>556</v>
      </c>
      <c r="G197" s="21" t="s">
        <v>556</v>
      </c>
      <c r="H197" s="21" t="s">
        <v>556</v>
      </c>
      <c r="I197" s="21" t="s">
        <v>556</v>
      </c>
    </row>
    <row r="198" customFormat="false" ht="25" hidden="false" customHeight="false" outlineLevel="0" collapsed="false">
      <c r="A198" s="0" t="n">
        <v>75</v>
      </c>
      <c r="B198" s="0" t="n">
        <v>2024</v>
      </c>
      <c r="C198" s="20" t="s">
        <v>71</v>
      </c>
      <c r="D198" s="21" t="s">
        <v>49</v>
      </c>
      <c r="E198" s="21" t="s">
        <v>556</v>
      </c>
      <c r="F198" s="21" t="s">
        <v>556</v>
      </c>
      <c r="G198" s="21" t="s">
        <v>556</v>
      </c>
      <c r="H198" s="21" t="s">
        <v>556</v>
      </c>
      <c r="I198" s="21" t="s">
        <v>556</v>
      </c>
    </row>
    <row r="199" customFormat="false" ht="25" hidden="false" customHeight="false" outlineLevel="0" collapsed="false">
      <c r="A199" s="0" t="n">
        <v>75</v>
      </c>
      <c r="B199" s="0" t="n">
        <v>2024</v>
      </c>
      <c r="C199" s="20" t="s">
        <v>72</v>
      </c>
      <c r="D199" s="21" t="s">
        <v>49</v>
      </c>
      <c r="E199" s="21" t="s">
        <v>556</v>
      </c>
      <c r="F199" s="21" t="s">
        <v>556</v>
      </c>
      <c r="G199" s="21" t="s">
        <v>556</v>
      </c>
      <c r="H199" s="21" t="s">
        <v>556</v>
      </c>
      <c r="I199" s="21" t="s">
        <v>556</v>
      </c>
    </row>
    <row r="200" customFormat="false" ht="14.25" hidden="false" customHeight="false" outlineLevel="0" collapsed="false">
      <c r="A200" s="0" t="n">
        <v>75</v>
      </c>
      <c r="B200" s="0" t="n">
        <v>2024</v>
      </c>
      <c r="C200" s="20" t="s">
        <v>73</v>
      </c>
      <c r="D200" s="21" t="s">
        <v>49</v>
      </c>
      <c r="E200" s="21" t="s">
        <v>556</v>
      </c>
      <c r="F200" s="21" t="s">
        <v>556</v>
      </c>
      <c r="G200" s="21" t="s">
        <v>556</v>
      </c>
      <c r="H200" s="21" t="s">
        <v>556</v>
      </c>
      <c r="I200" s="21" t="s">
        <v>556</v>
      </c>
    </row>
    <row r="201" customFormat="false" ht="25" hidden="false" customHeight="false" outlineLevel="0" collapsed="false">
      <c r="A201" s="0" t="n">
        <v>75</v>
      </c>
      <c r="B201" s="0" t="n">
        <v>2024</v>
      </c>
      <c r="C201" s="20" t="s">
        <v>74</v>
      </c>
      <c r="D201" s="21" t="s">
        <v>75</v>
      </c>
      <c r="E201" s="21" t="s">
        <v>556</v>
      </c>
      <c r="F201" s="21" t="s">
        <v>556</v>
      </c>
      <c r="G201" s="21" t="s">
        <v>556</v>
      </c>
      <c r="H201" s="21" t="s">
        <v>556</v>
      </c>
      <c r="I201" s="21" t="s">
        <v>556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56"/>
  <sheetViews>
    <sheetView showFormulas="false" showGridLines="true" showRowColHeaders="true" showZeros="true" rightToLeft="false" tabSelected="true" showOutlineSymbols="true" defaultGridColor="true" view="normal" topLeftCell="A949" colorId="64" zoomScale="100" zoomScaleNormal="100" zoomScalePageLayoutView="100" workbookViewId="0">
      <selection pane="topLeft" activeCell="A957" activeCellId="0" sqref="A957"/>
    </sheetView>
  </sheetViews>
  <sheetFormatPr defaultColWidth="11.53515625" defaultRowHeight="12.8" customHeight="false" zeroHeight="false" outlineLevelRow="0" outlineLevelCol="0"/>
  <sheetData>
    <row r="1" customFormat="false" ht="25" hidden="false" customHeight="false" outlineLevel="0" collapsed="false">
      <c r="A1" s="20" t="s">
        <v>0</v>
      </c>
      <c r="B1" s="20" t="s">
        <v>1</v>
      </c>
      <c r="C1" s="20" t="s">
        <v>2</v>
      </c>
      <c r="D1" s="20" t="s">
        <v>649</v>
      </c>
      <c r="E1" s="20" t="s">
        <v>4</v>
      </c>
      <c r="F1" s="20" t="s">
        <v>648</v>
      </c>
      <c r="G1" s="20" t="s">
        <v>650</v>
      </c>
      <c r="H1" s="20" t="s">
        <v>651</v>
      </c>
      <c r="I1" s="20" t="s">
        <v>652</v>
      </c>
      <c r="J1" s="20" t="s">
        <v>653</v>
      </c>
      <c r="K1" s="20" t="s">
        <v>654</v>
      </c>
    </row>
    <row r="2" customFormat="false" ht="25" hidden="false" customHeight="false" outlineLevel="0" collapsed="false">
      <c r="A2" s="21" t="n">
        <v>1</v>
      </c>
      <c r="B2" s="21" t="n">
        <v>2022</v>
      </c>
      <c r="C2" s="26" t="n">
        <v>44644</v>
      </c>
      <c r="D2" s="21" t="s">
        <v>655</v>
      </c>
      <c r="E2" s="20" t="s">
        <v>656</v>
      </c>
      <c r="F2" s="21" t="s">
        <v>657</v>
      </c>
      <c r="G2" s="27" t="n">
        <v>80</v>
      </c>
      <c r="H2" s="27" t="n">
        <v>120</v>
      </c>
      <c r="I2" s="27" t="n">
        <v>94.29</v>
      </c>
      <c r="J2" s="27" t="n">
        <v>90</v>
      </c>
      <c r="K2" s="27" t="n">
        <v>90</v>
      </c>
    </row>
    <row r="3" customFormat="false" ht="13.8" hidden="false" customHeight="false" outlineLevel="0" collapsed="false">
      <c r="A3" s="21" t="n">
        <v>1</v>
      </c>
      <c r="B3" s="21" t="n">
        <v>2022</v>
      </c>
      <c r="C3" s="26" t="n">
        <v>44644</v>
      </c>
      <c r="D3" s="21" t="s">
        <v>655</v>
      </c>
      <c r="E3" s="20" t="s">
        <v>16</v>
      </c>
      <c r="F3" s="21" t="s">
        <v>658</v>
      </c>
      <c r="G3" s="27" t="n">
        <v>35</v>
      </c>
      <c r="H3" s="27" t="n">
        <v>60</v>
      </c>
      <c r="I3" s="27" t="n">
        <v>42.5</v>
      </c>
      <c r="J3" s="27" t="n">
        <v>35</v>
      </c>
      <c r="K3" s="27" t="n">
        <v>50</v>
      </c>
    </row>
    <row r="4" customFormat="false" ht="13.8" hidden="false" customHeight="false" outlineLevel="0" collapsed="false">
      <c r="A4" s="21" t="n">
        <v>1</v>
      </c>
      <c r="B4" s="21" t="n">
        <v>2022</v>
      </c>
      <c r="C4" s="26" t="n">
        <v>44644</v>
      </c>
      <c r="D4" s="21" t="s">
        <v>655</v>
      </c>
      <c r="E4" s="20" t="s">
        <v>18</v>
      </c>
      <c r="F4" s="21" t="s">
        <v>658</v>
      </c>
      <c r="G4" s="27" t="n">
        <v>60</v>
      </c>
      <c r="H4" s="27" t="n">
        <v>60</v>
      </c>
      <c r="I4" s="27" t="n">
        <v>60</v>
      </c>
      <c r="J4" s="27" t="n">
        <v>60</v>
      </c>
      <c r="K4" s="27" t="n">
        <v>60</v>
      </c>
    </row>
    <row r="5" customFormat="false" ht="25" hidden="false" customHeight="false" outlineLevel="0" collapsed="false">
      <c r="A5" s="21" t="n">
        <v>1</v>
      </c>
      <c r="B5" s="21" t="n">
        <v>2022</v>
      </c>
      <c r="C5" s="26" t="n">
        <v>44644</v>
      </c>
      <c r="D5" s="21" t="s">
        <v>655</v>
      </c>
      <c r="E5" s="20" t="s">
        <v>659</v>
      </c>
      <c r="F5" s="21" t="s">
        <v>658</v>
      </c>
      <c r="G5" s="27" t="n">
        <v>36</v>
      </c>
      <c r="H5" s="27" t="n">
        <v>42</v>
      </c>
      <c r="I5" s="27" t="n">
        <v>39</v>
      </c>
      <c r="J5" s="27" t="n">
        <v>36</v>
      </c>
      <c r="K5" s="27" t="n">
        <v>39</v>
      </c>
    </row>
    <row r="6" customFormat="false" ht="13.8" hidden="false" customHeight="false" outlineLevel="0" collapsed="false">
      <c r="A6" s="21" t="n">
        <v>1</v>
      </c>
      <c r="B6" s="21" t="n">
        <v>2022</v>
      </c>
      <c r="C6" s="26" t="n">
        <v>44644</v>
      </c>
      <c r="D6" s="21" t="s">
        <v>655</v>
      </c>
      <c r="E6" s="20" t="s">
        <v>20</v>
      </c>
      <c r="F6" s="21" t="s">
        <v>658</v>
      </c>
      <c r="G6" s="27" t="n">
        <v>20</v>
      </c>
      <c r="H6" s="27" t="n">
        <v>30</v>
      </c>
      <c r="I6" s="27" t="n">
        <v>25</v>
      </c>
      <c r="J6" s="27" t="n">
        <v>20</v>
      </c>
      <c r="K6" s="27" t="n">
        <v>25</v>
      </c>
    </row>
    <row r="7" customFormat="false" ht="13.8" hidden="false" customHeight="false" outlineLevel="0" collapsed="false">
      <c r="A7" s="21" t="n">
        <v>1</v>
      </c>
      <c r="B7" s="21" t="n">
        <v>2022</v>
      </c>
      <c r="C7" s="26" t="n">
        <v>44644</v>
      </c>
      <c r="D7" s="21" t="s">
        <v>655</v>
      </c>
      <c r="E7" s="20" t="s">
        <v>21</v>
      </c>
      <c r="F7" s="21" t="s">
        <v>658</v>
      </c>
      <c r="G7" s="27" t="n">
        <v>30</v>
      </c>
      <c r="H7" s="27" t="n">
        <v>30</v>
      </c>
      <c r="I7" s="27" t="n">
        <v>30</v>
      </c>
      <c r="J7" s="27" t="n">
        <v>30</v>
      </c>
      <c r="K7" s="27" t="n">
        <v>30</v>
      </c>
    </row>
    <row r="8" customFormat="false" ht="13.8" hidden="false" customHeight="false" outlineLevel="0" collapsed="false">
      <c r="A8" s="21" t="n">
        <v>1</v>
      </c>
      <c r="B8" s="21" t="n">
        <v>2022</v>
      </c>
      <c r="C8" s="26" t="n">
        <v>44644</v>
      </c>
      <c r="D8" s="21" t="s">
        <v>655</v>
      </c>
      <c r="E8" s="20" t="s">
        <v>22</v>
      </c>
      <c r="F8" s="21" t="s">
        <v>658</v>
      </c>
      <c r="G8" s="27" t="n">
        <v>36</v>
      </c>
      <c r="H8" s="27" t="n">
        <v>48</v>
      </c>
      <c r="I8" s="27" t="n">
        <v>42</v>
      </c>
      <c r="J8" s="27" t="n">
        <v>36</v>
      </c>
      <c r="K8" s="27" t="n">
        <v>42</v>
      </c>
    </row>
    <row r="9" customFormat="false" ht="13.8" hidden="false" customHeight="false" outlineLevel="0" collapsed="false">
      <c r="A9" s="21" t="n">
        <v>1</v>
      </c>
      <c r="B9" s="21" t="n">
        <v>2022</v>
      </c>
      <c r="C9" s="26" t="n">
        <v>44644</v>
      </c>
      <c r="D9" s="21" t="s">
        <v>655</v>
      </c>
      <c r="E9" s="20" t="s">
        <v>46</v>
      </c>
      <c r="F9" s="21" t="s">
        <v>660</v>
      </c>
      <c r="G9" s="27" t="n">
        <v>45</v>
      </c>
      <c r="H9" s="27" t="n">
        <v>55</v>
      </c>
      <c r="I9" s="27" t="n">
        <v>51.67</v>
      </c>
      <c r="J9" s="27" t="n">
        <v>55</v>
      </c>
      <c r="K9" s="27" t="n">
        <v>55</v>
      </c>
    </row>
    <row r="10" customFormat="false" ht="25" hidden="false" customHeight="false" outlineLevel="0" collapsed="false">
      <c r="A10" s="21" t="n">
        <v>1</v>
      </c>
      <c r="B10" s="21" t="n">
        <v>2022</v>
      </c>
      <c r="C10" s="26" t="n">
        <v>44644</v>
      </c>
      <c r="D10" s="21" t="s">
        <v>655</v>
      </c>
      <c r="E10" s="20" t="s">
        <v>48</v>
      </c>
      <c r="F10" s="21" t="s">
        <v>661</v>
      </c>
      <c r="G10" s="27" t="n">
        <v>30</v>
      </c>
      <c r="H10" s="27" t="n">
        <v>50</v>
      </c>
      <c r="I10" s="27" t="n">
        <v>43.29</v>
      </c>
      <c r="J10" s="27" t="n">
        <v>40</v>
      </c>
      <c r="K10" s="27" t="n">
        <v>45</v>
      </c>
    </row>
    <row r="11" customFormat="false" ht="25" hidden="false" customHeight="false" outlineLevel="0" collapsed="false">
      <c r="A11" s="21" t="n">
        <v>1</v>
      </c>
      <c r="B11" s="21" t="n">
        <v>2022</v>
      </c>
      <c r="C11" s="26" t="n">
        <v>44644</v>
      </c>
      <c r="D11" s="21" t="s">
        <v>655</v>
      </c>
      <c r="E11" s="20" t="s">
        <v>52</v>
      </c>
      <c r="F11" s="21" t="s">
        <v>661</v>
      </c>
      <c r="G11" s="27" t="n">
        <v>70</v>
      </c>
      <c r="H11" s="27" t="n">
        <v>80</v>
      </c>
      <c r="I11" s="27" t="n">
        <v>75</v>
      </c>
      <c r="J11" s="27" t="n">
        <v>70</v>
      </c>
      <c r="K11" s="27" t="n">
        <v>75</v>
      </c>
    </row>
    <row r="12" customFormat="false" ht="13.8" hidden="false" customHeight="false" outlineLevel="0" collapsed="false">
      <c r="A12" s="21" t="n">
        <v>1</v>
      </c>
      <c r="B12" s="21" t="n">
        <v>2022</v>
      </c>
      <c r="C12" s="26" t="n">
        <v>44644</v>
      </c>
      <c r="D12" s="21" t="s">
        <v>655</v>
      </c>
      <c r="E12" s="20" t="s">
        <v>53</v>
      </c>
      <c r="F12" s="21" t="s">
        <v>662</v>
      </c>
      <c r="G12" s="27" t="n">
        <v>70</v>
      </c>
      <c r="H12" s="27" t="n">
        <v>85</v>
      </c>
      <c r="I12" s="27" t="n">
        <v>79.17</v>
      </c>
      <c r="J12" s="27" t="n">
        <v>80</v>
      </c>
      <c r="K12" s="27" t="n">
        <v>82.5</v>
      </c>
    </row>
    <row r="13" customFormat="false" ht="36.5" hidden="false" customHeight="false" outlineLevel="0" collapsed="false">
      <c r="A13" s="21" t="n">
        <v>1</v>
      </c>
      <c r="B13" s="21" t="n">
        <v>2022</v>
      </c>
      <c r="C13" s="26" t="n">
        <v>44644</v>
      </c>
      <c r="D13" s="21" t="s">
        <v>655</v>
      </c>
      <c r="E13" s="20" t="s">
        <v>663</v>
      </c>
      <c r="F13" s="21" t="s">
        <v>658</v>
      </c>
      <c r="G13" s="27" t="n">
        <v>60</v>
      </c>
      <c r="H13" s="27" t="n">
        <v>84</v>
      </c>
      <c r="I13" s="27" t="n">
        <v>72</v>
      </c>
      <c r="J13" s="27" t="n">
        <v>60</v>
      </c>
      <c r="K13" s="27" t="n">
        <v>72</v>
      </c>
    </row>
    <row r="14" customFormat="false" ht="25" hidden="false" customHeight="false" outlineLevel="0" collapsed="false">
      <c r="A14" s="21" t="n">
        <v>1</v>
      </c>
      <c r="B14" s="21" t="n">
        <v>2022</v>
      </c>
      <c r="C14" s="26" t="n">
        <v>44644</v>
      </c>
      <c r="D14" s="21" t="s">
        <v>655</v>
      </c>
      <c r="E14" s="20" t="s">
        <v>24</v>
      </c>
      <c r="F14" s="21" t="s">
        <v>658</v>
      </c>
      <c r="G14" s="27" t="n">
        <v>60</v>
      </c>
      <c r="H14" s="27" t="n">
        <v>72</v>
      </c>
      <c r="I14" s="27" t="n">
        <v>66</v>
      </c>
      <c r="J14" s="27" t="n">
        <v>60</v>
      </c>
      <c r="K14" s="27" t="n">
        <v>66</v>
      </c>
    </row>
    <row r="15" customFormat="false" ht="13.8" hidden="false" customHeight="false" outlineLevel="0" collapsed="false">
      <c r="A15" s="21" t="n">
        <v>1</v>
      </c>
      <c r="B15" s="21" t="n">
        <v>2022</v>
      </c>
      <c r="C15" s="26" t="n">
        <v>44644</v>
      </c>
      <c r="D15" s="21" t="s">
        <v>655</v>
      </c>
      <c r="E15" s="20" t="s">
        <v>70</v>
      </c>
      <c r="F15" s="21" t="s">
        <v>657</v>
      </c>
      <c r="G15" s="27" t="n">
        <v>45</v>
      </c>
      <c r="H15" s="27" t="n">
        <v>70</v>
      </c>
      <c r="I15" s="27" t="n">
        <v>57.5</v>
      </c>
      <c r="J15" s="27" t="n">
        <v>45</v>
      </c>
      <c r="K15" s="27" t="n">
        <v>57.5</v>
      </c>
    </row>
    <row r="16" customFormat="false" ht="25" hidden="false" customHeight="false" outlineLevel="0" collapsed="false">
      <c r="A16" s="21" t="n">
        <v>1</v>
      </c>
      <c r="B16" s="21" t="n">
        <v>2022</v>
      </c>
      <c r="C16" s="26" t="n">
        <v>44644</v>
      </c>
      <c r="D16" s="21" t="s">
        <v>655</v>
      </c>
      <c r="E16" s="20" t="s">
        <v>71</v>
      </c>
      <c r="F16" s="21" t="s">
        <v>657</v>
      </c>
      <c r="G16" s="27" t="n">
        <v>50</v>
      </c>
      <c r="H16" s="27" t="n">
        <v>70</v>
      </c>
      <c r="I16" s="27" t="n">
        <v>60</v>
      </c>
      <c r="J16" s="27" t="n">
        <v>70</v>
      </c>
      <c r="K16" s="27" t="n">
        <v>60</v>
      </c>
    </row>
    <row r="17" customFormat="false" ht="25" hidden="false" customHeight="false" outlineLevel="0" collapsed="false">
      <c r="A17" s="21" t="n">
        <v>1</v>
      </c>
      <c r="B17" s="21" t="n">
        <v>2022</v>
      </c>
      <c r="C17" s="26" t="n">
        <v>44644</v>
      </c>
      <c r="D17" s="21" t="s">
        <v>655</v>
      </c>
      <c r="E17" s="20" t="s">
        <v>72</v>
      </c>
      <c r="F17" s="21" t="s">
        <v>657</v>
      </c>
      <c r="G17" s="27" t="n">
        <v>35</v>
      </c>
      <c r="H17" s="27" t="n">
        <v>43</v>
      </c>
      <c r="I17" s="27" t="n">
        <v>39</v>
      </c>
      <c r="J17" s="27" t="n">
        <v>43</v>
      </c>
      <c r="K17" s="27" t="n">
        <v>39</v>
      </c>
    </row>
    <row r="18" customFormat="false" ht="13.8" hidden="false" customHeight="false" outlineLevel="0" collapsed="false">
      <c r="A18" s="21" t="n">
        <v>1</v>
      </c>
      <c r="B18" s="21" t="n">
        <v>2022</v>
      </c>
      <c r="C18" s="26" t="n">
        <v>44644</v>
      </c>
      <c r="D18" s="21" t="s">
        <v>655</v>
      </c>
      <c r="E18" s="20" t="s">
        <v>35</v>
      </c>
      <c r="F18" s="21" t="s">
        <v>664</v>
      </c>
      <c r="G18" s="27" t="n">
        <v>3</v>
      </c>
      <c r="H18" s="27" t="n">
        <v>4</v>
      </c>
      <c r="I18" s="27" t="n">
        <v>3.5</v>
      </c>
      <c r="J18" s="27" t="n">
        <v>3</v>
      </c>
      <c r="K18" s="27" t="n">
        <v>3.5</v>
      </c>
    </row>
    <row r="19" customFormat="false" ht="13.8" hidden="false" customHeight="false" outlineLevel="0" collapsed="false">
      <c r="A19" s="21" t="n">
        <v>1</v>
      </c>
      <c r="B19" s="21" t="n">
        <v>2022</v>
      </c>
      <c r="C19" s="26" t="n">
        <v>44644</v>
      </c>
      <c r="D19" s="21" t="s">
        <v>655</v>
      </c>
      <c r="E19" s="20" t="s">
        <v>56</v>
      </c>
      <c r="F19" s="21" t="s">
        <v>660</v>
      </c>
      <c r="G19" s="27" t="n">
        <v>160</v>
      </c>
      <c r="H19" s="27" t="n">
        <v>180</v>
      </c>
      <c r="I19" s="27" t="n">
        <v>170</v>
      </c>
      <c r="J19" s="27" t="n">
        <v>160</v>
      </c>
      <c r="K19" s="27" t="n">
        <v>170</v>
      </c>
    </row>
    <row r="20" customFormat="false" ht="13.8" hidden="false" customHeight="false" outlineLevel="0" collapsed="false">
      <c r="A20" s="21" t="n">
        <v>1</v>
      </c>
      <c r="B20" s="21" t="n">
        <v>2022</v>
      </c>
      <c r="C20" s="26" t="n">
        <v>44644</v>
      </c>
      <c r="D20" s="21" t="s">
        <v>655</v>
      </c>
      <c r="E20" s="20" t="s">
        <v>57</v>
      </c>
      <c r="F20" s="21" t="s">
        <v>665</v>
      </c>
      <c r="G20" s="27" t="n">
        <v>45</v>
      </c>
      <c r="H20" s="27" t="n">
        <v>60</v>
      </c>
      <c r="I20" s="27" t="n">
        <v>51.43</v>
      </c>
      <c r="J20" s="27" t="n">
        <v>45</v>
      </c>
      <c r="K20" s="27" t="n">
        <v>50</v>
      </c>
    </row>
    <row r="21" customFormat="false" ht="13.8" hidden="false" customHeight="false" outlineLevel="0" collapsed="false">
      <c r="A21" s="21" t="n">
        <v>1</v>
      </c>
      <c r="B21" s="21" t="n">
        <v>2022</v>
      </c>
      <c r="C21" s="26" t="n">
        <v>44644</v>
      </c>
      <c r="D21" s="21" t="s">
        <v>655</v>
      </c>
      <c r="E21" s="20" t="s">
        <v>38</v>
      </c>
      <c r="F21" s="21" t="s">
        <v>664</v>
      </c>
      <c r="G21" s="27" t="n">
        <v>20</v>
      </c>
      <c r="H21" s="27" t="n">
        <v>25</v>
      </c>
      <c r="I21" s="27" t="n">
        <v>21.67</v>
      </c>
      <c r="J21" s="27" t="n">
        <v>20</v>
      </c>
      <c r="K21" s="27" t="n">
        <v>20</v>
      </c>
    </row>
    <row r="22" customFormat="false" ht="25" hidden="false" customHeight="false" outlineLevel="0" collapsed="false">
      <c r="A22" s="21" t="n">
        <v>1</v>
      </c>
      <c r="B22" s="21" t="n">
        <v>2022</v>
      </c>
      <c r="C22" s="26" t="n">
        <v>44644</v>
      </c>
      <c r="D22" s="21" t="s">
        <v>655</v>
      </c>
      <c r="E22" s="20" t="s">
        <v>666</v>
      </c>
      <c r="F22" s="21" t="s">
        <v>658</v>
      </c>
      <c r="G22" s="27" t="n">
        <v>18</v>
      </c>
      <c r="H22" s="27" t="n">
        <v>24</v>
      </c>
      <c r="I22" s="27" t="n">
        <v>20.5</v>
      </c>
      <c r="J22" s="27" t="n">
        <v>18</v>
      </c>
      <c r="K22" s="27" t="n">
        <v>20</v>
      </c>
    </row>
    <row r="23" customFormat="false" ht="13.8" hidden="false" customHeight="false" outlineLevel="0" collapsed="false">
      <c r="A23" s="21" t="n">
        <v>1</v>
      </c>
      <c r="B23" s="21" t="n">
        <v>2022</v>
      </c>
      <c r="C23" s="26" t="n">
        <v>44644</v>
      </c>
      <c r="D23" s="21" t="s">
        <v>655</v>
      </c>
      <c r="E23" s="20" t="s">
        <v>77</v>
      </c>
      <c r="F23" s="21" t="s">
        <v>658</v>
      </c>
      <c r="G23" s="27" t="n">
        <v>60</v>
      </c>
      <c r="H23" s="27" t="n">
        <v>84</v>
      </c>
      <c r="I23" s="27" t="n">
        <v>72</v>
      </c>
      <c r="J23" s="27" t="n">
        <v>60</v>
      </c>
      <c r="K23" s="27" t="n">
        <v>72</v>
      </c>
    </row>
    <row r="24" customFormat="false" ht="13.8" hidden="false" customHeight="false" outlineLevel="0" collapsed="false">
      <c r="A24" s="21" t="n">
        <v>1</v>
      </c>
      <c r="B24" s="21" t="n">
        <v>2022</v>
      </c>
      <c r="C24" s="26" t="n">
        <v>44644</v>
      </c>
      <c r="D24" s="21" t="s">
        <v>655</v>
      </c>
      <c r="E24" s="20" t="s">
        <v>27</v>
      </c>
      <c r="F24" s="21" t="s">
        <v>658</v>
      </c>
      <c r="G24" s="27" t="n">
        <v>30</v>
      </c>
      <c r="H24" s="27" t="n">
        <v>30</v>
      </c>
      <c r="I24" s="27" t="n">
        <v>30</v>
      </c>
      <c r="J24" s="27" t="n">
        <v>30</v>
      </c>
      <c r="K24" s="27" t="n">
        <v>30</v>
      </c>
    </row>
    <row r="25" customFormat="false" ht="13.8" hidden="false" customHeight="false" outlineLevel="0" collapsed="false">
      <c r="A25" s="21" t="n">
        <v>1</v>
      </c>
      <c r="B25" s="21" t="n">
        <v>2022</v>
      </c>
      <c r="C25" s="26" t="n">
        <v>44644</v>
      </c>
      <c r="D25" s="21" t="s">
        <v>655</v>
      </c>
      <c r="E25" s="20" t="s">
        <v>28</v>
      </c>
      <c r="F25" s="21" t="s">
        <v>658</v>
      </c>
      <c r="G25" s="27" t="n">
        <v>60</v>
      </c>
      <c r="H25" s="27" t="n">
        <v>60</v>
      </c>
      <c r="I25" s="27" t="n">
        <v>60</v>
      </c>
      <c r="J25" s="27" t="n">
        <v>60</v>
      </c>
      <c r="K25" s="27" t="n">
        <v>60</v>
      </c>
    </row>
    <row r="26" customFormat="false" ht="13.8" hidden="false" customHeight="false" outlineLevel="0" collapsed="false">
      <c r="A26" s="21" t="n">
        <v>1</v>
      </c>
      <c r="B26" s="21" t="n">
        <v>2022</v>
      </c>
      <c r="C26" s="26" t="n">
        <v>44644</v>
      </c>
      <c r="D26" s="21" t="s">
        <v>655</v>
      </c>
      <c r="E26" s="20" t="s">
        <v>73</v>
      </c>
      <c r="F26" s="21" t="s">
        <v>661</v>
      </c>
      <c r="G26" s="27" t="n">
        <v>28</v>
      </c>
      <c r="H26" s="27" t="n">
        <v>28</v>
      </c>
      <c r="I26" s="27" t="n">
        <v>28</v>
      </c>
      <c r="J26" s="27" t="n">
        <v>28</v>
      </c>
      <c r="K26" s="27" t="n">
        <v>28</v>
      </c>
    </row>
    <row r="27" customFormat="false" ht="13.8" hidden="false" customHeight="false" outlineLevel="0" collapsed="false">
      <c r="A27" s="21" t="n">
        <v>1</v>
      </c>
      <c r="B27" s="21" t="n">
        <v>2022</v>
      </c>
      <c r="C27" s="26" t="n">
        <v>44644</v>
      </c>
      <c r="D27" s="21" t="s">
        <v>655</v>
      </c>
      <c r="E27" s="20" t="s">
        <v>58</v>
      </c>
      <c r="F27" s="21" t="s">
        <v>657</v>
      </c>
      <c r="G27" s="27" t="n">
        <v>60</v>
      </c>
      <c r="H27" s="27" t="n">
        <v>80</v>
      </c>
      <c r="I27" s="27" t="n">
        <v>70</v>
      </c>
      <c r="J27" s="27" t="n">
        <v>60</v>
      </c>
      <c r="K27" s="27" t="n">
        <v>70</v>
      </c>
    </row>
    <row r="28" customFormat="false" ht="25" hidden="false" customHeight="false" outlineLevel="0" collapsed="false">
      <c r="A28" s="21" t="n">
        <v>1</v>
      </c>
      <c r="B28" s="21" t="n">
        <v>2022</v>
      </c>
      <c r="C28" s="26" t="n">
        <v>44644</v>
      </c>
      <c r="D28" s="21" t="s">
        <v>655</v>
      </c>
      <c r="E28" s="20" t="s">
        <v>74</v>
      </c>
      <c r="F28" s="21" t="s">
        <v>667</v>
      </c>
      <c r="G28" s="27" t="n">
        <v>60</v>
      </c>
      <c r="H28" s="27" t="n">
        <v>60</v>
      </c>
      <c r="I28" s="27" t="n">
        <v>60</v>
      </c>
      <c r="J28" s="27" t="n">
        <v>60</v>
      </c>
      <c r="K28" s="27" t="n">
        <v>60</v>
      </c>
    </row>
    <row r="29" customFormat="false" ht="25" hidden="false" customHeight="false" outlineLevel="0" collapsed="false">
      <c r="A29" s="21" t="n">
        <v>1</v>
      </c>
      <c r="B29" s="21" t="n">
        <v>2022</v>
      </c>
      <c r="C29" s="26" t="n">
        <v>44644</v>
      </c>
      <c r="D29" s="21" t="s">
        <v>655</v>
      </c>
      <c r="E29" s="20" t="s">
        <v>61</v>
      </c>
      <c r="F29" s="21" t="s">
        <v>657</v>
      </c>
      <c r="G29" s="27" t="n">
        <v>50</v>
      </c>
      <c r="H29" s="27" t="n">
        <v>80</v>
      </c>
      <c r="I29" s="27" t="n">
        <v>62.5</v>
      </c>
      <c r="J29" s="27" t="n">
        <v>50</v>
      </c>
      <c r="K29" s="27" t="n">
        <v>60</v>
      </c>
    </row>
    <row r="30" customFormat="false" ht="25" hidden="false" customHeight="false" outlineLevel="0" collapsed="false">
      <c r="A30" s="21" t="n">
        <v>1</v>
      </c>
      <c r="B30" s="21" t="n">
        <v>2022</v>
      </c>
      <c r="C30" s="26" t="n">
        <v>44644</v>
      </c>
      <c r="D30" s="21" t="s">
        <v>655</v>
      </c>
      <c r="E30" s="20" t="s">
        <v>62</v>
      </c>
      <c r="F30" s="21" t="s">
        <v>657</v>
      </c>
      <c r="G30" s="27" t="n">
        <v>80</v>
      </c>
      <c r="H30" s="27" t="n">
        <v>90</v>
      </c>
      <c r="I30" s="27" t="n">
        <v>87.86</v>
      </c>
      <c r="J30" s="27" t="n">
        <v>85</v>
      </c>
      <c r="K30" s="27" t="n">
        <v>90</v>
      </c>
    </row>
    <row r="31" customFormat="false" ht="25" hidden="false" customHeight="false" outlineLevel="0" collapsed="false">
      <c r="A31" s="21" t="n">
        <v>1</v>
      </c>
      <c r="B31" s="21" t="n">
        <v>2022</v>
      </c>
      <c r="C31" s="26" t="n">
        <v>44644</v>
      </c>
      <c r="D31" s="21" t="s">
        <v>655</v>
      </c>
      <c r="E31" s="20" t="s">
        <v>63</v>
      </c>
      <c r="F31" s="21" t="s">
        <v>661</v>
      </c>
      <c r="G31" s="27" t="n">
        <v>40</v>
      </c>
      <c r="H31" s="27" t="n">
        <v>65</v>
      </c>
      <c r="I31" s="27" t="n">
        <v>48.13</v>
      </c>
      <c r="J31" s="27" t="n">
        <v>40</v>
      </c>
      <c r="K31" s="27" t="n">
        <v>47.5</v>
      </c>
    </row>
    <row r="32" customFormat="false" ht="13.8" hidden="false" customHeight="false" outlineLevel="0" collapsed="false">
      <c r="A32" s="21" t="n">
        <v>1</v>
      </c>
      <c r="B32" s="21" t="n">
        <v>2022</v>
      </c>
      <c r="C32" s="26" t="n">
        <v>44644</v>
      </c>
      <c r="D32" s="21" t="s">
        <v>655</v>
      </c>
      <c r="E32" s="20" t="s">
        <v>64</v>
      </c>
      <c r="F32" s="21" t="s">
        <v>661</v>
      </c>
      <c r="G32" s="27" t="n">
        <v>80</v>
      </c>
      <c r="H32" s="27" t="n">
        <v>80</v>
      </c>
      <c r="I32" s="27" t="n">
        <v>80</v>
      </c>
      <c r="J32" s="27" t="n">
        <v>80</v>
      </c>
      <c r="K32" s="27" t="n">
        <v>80</v>
      </c>
    </row>
    <row r="33" customFormat="false" ht="13.8" hidden="false" customHeight="false" outlineLevel="0" collapsed="false">
      <c r="A33" s="21" t="n">
        <v>1</v>
      </c>
      <c r="B33" s="21" t="n">
        <v>2022</v>
      </c>
      <c r="C33" s="26" t="n">
        <v>44644</v>
      </c>
      <c r="D33" s="21" t="s">
        <v>655</v>
      </c>
      <c r="E33" s="20" t="s">
        <v>29</v>
      </c>
      <c r="F33" s="21" t="s">
        <v>658</v>
      </c>
      <c r="G33" s="27" t="n">
        <v>36</v>
      </c>
      <c r="H33" s="27" t="n">
        <v>54</v>
      </c>
      <c r="I33" s="27" t="n">
        <v>45</v>
      </c>
      <c r="J33" s="27" t="n">
        <v>36</v>
      </c>
      <c r="K33" s="27" t="n">
        <v>45</v>
      </c>
    </row>
    <row r="34" customFormat="false" ht="13.8" hidden="false" customHeight="false" outlineLevel="0" collapsed="false">
      <c r="A34" s="21" t="n">
        <v>1</v>
      </c>
      <c r="B34" s="21" t="n">
        <v>2022</v>
      </c>
      <c r="C34" s="26" t="n">
        <v>44644</v>
      </c>
      <c r="D34" s="21" t="s">
        <v>655</v>
      </c>
      <c r="E34" s="20" t="s">
        <v>31</v>
      </c>
      <c r="F34" s="21" t="s">
        <v>658</v>
      </c>
      <c r="G34" s="27" t="n">
        <v>40</v>
      </c>
      <c r="H34" s="27" t="n">
        <v>90</v>
      </c>
      <c r="I34" s="27" t="n">
        <v>66.67</v>
      </c>
      <c r="J34" s="27" t="n">
        <v>40</v>
      </c>
      <c r="K34" s="27" t="n">
        <v>70</v>
      </c>
    </row>
    <row r="35" customFormat="false" ht="25" hidden="false" customHeight="false" outlineLevel="0" collapsed="false">
      <c r="A35" s="21" t="n">
        <v>1</v>
      </c>
      <c r="B35" s="21" t="n">
        <v>2022</v>
      </c>
      <c r="C35" s="26" t="n">
        <v>44644</v>
      </c>
      <c r="D35" s="21" t="s">
        <v>655</v>
      </c>
      <c r="E35" s="20" t="s">
        <v>668</v>
      </c>
      <c r="F35" s="21" t="s">
        <v>658</v>
      </c>
      <c r="G35" s="27" t="n">
        <v>65</v>
      </c>
      <c r="H35" s="27" t="n">
        <v>84</v>
      </c>
      <c r="I35" s="27" t="n">
        <v>74.5</v>
      </c>
      <c r="J35" s="27" t="n">
        <v>65</v>
      </c>
      <c r="K35" s="27" t="n">
        <v>74.5</v>
      </c>
    </row>
    <row r="36" customFormat="false" ht="13.8" hidden="false" customHeight="false" outlineLevel="0" collapsed="false">
      <c r="A36" s="21" t="n">
        <v>1</v>
      </c>
      <c r="B36" s="21" t="n">
        <v>2022</v>
      </c>
      <c r="C36" s="26" t="n">
        <v>44644</v>
      </c>
      <c r="D36" s="21" t="s">
        <v>655</v>
      </c>
      <c r="E36" s="20" t="s">
        <v>33</v>
      </c>
      <c r="F36" s="21" t="s">
        <v>658</v>
      </c>
      <c r="G36" s="27" t="n">
        <v>30</v>
      </c>
      <c r="H36" s="27" t="n">
        <v>36</v>
      </c>
      <c r="I36" s="27" t="n">
        <v>32</v>
      </c>
      <c r="J36" s="27" t="n">
        <v>30</v>
      </c>
      <c r="K36" s="27" t="n">
        <v>30</v>
      </c>
    </row>
    <row r="37" customFormat="false" ht="13.8" hidden="false" customHeight="false" outlineLevel="0" collapsed="false">
      <c r="A37" s="21" t="n">
        <v>1</v>
      </c>
      <c r="B37" s="21" t="n">
        <v>2022</v>
      </c>
      <c r="C37" s="26" t="n">
        <v>44644</v>
      </c>
      <c r="D37" s="21" t="s">
        <v>655</v>
      </c>
      <c r="E37" s="20" t="s">
        <v>669</v>
      </c>
      <c r="F37" s="21" t="s">
        <v>664</v>
      </c>
      <c r="G37" s="27" t="n">
        <v>20</v>
      </c>
      <c r="H37" s="27" t="n">
        <v>30</v>
      </c>
      <c r="I37" s="27" t="n">
        <v>26.67</v>
      </c>
      <c r="J37" s="27" t="n">
        <v>20</v>
      </c>
      <c r="K37" s="27" t="n">
        <v>30</v>
      </c>
    </row>
    <row r="38" customFormat="false" ht="25" hidden="false" customHeight="false" outlineLevel="0" collapsed="false">
      <c r="A38" s="21" t="n">
        <v>1</v>
      </c>
      <c r="B38" s="21" t="n">
        <v>2022</v>
      </c>
      <c r="C38" s="26" t="n">
        <v>44644</v>
      </c>
      <c r="D38" s="21" t="s">
        <v>655</v>
      </c>
      <c r="E38" s="20" t="s">
        <v>67</v>
      </c>
      <c r="F38" s="21" t="s">
        <v>662</v>
      </c>
      <c r="G38" s="27" t="n">
        <v>110</v>
      </c>
      <c r="H38" s="27" t="n">
        <v>180</v>
      </c>
      <c r="I38" s="27" t="n">
        <v>152.86</v>
      </c>
      <c r="J38" s="27" t="n">
        <v>150</v>
      </c>
      <c r="K38" s="27" t="n">
        <v>150</v>
      </c>
    </row>
    <row r="39" customFormat="false" ht="25" hidden="false" customHeight="false" outlineLevel="0" collapsed="false">
      <c r="A39" s="21" t="n">
        <v>1</v>
      </c>
      <c r="B39" s="21" t="n">
        <v>2022</v>
      </c>
      <c r="C39" s="26" t="n">
        <v>44644</v>
      </c>
      <c r="D39" s="21" t="s">
        <v>655</v>
      </c>
      <c r="E39" s="20" t="s">
        <v>68</v>
      </c>
      <c r="F39" s="21" t="s">
        <v>657</v>
      </c>
      <c r="G39" s="27" t="n">
        <v>120</v>
      </c>
      <c r="H39" s="27" t="n">
        <v>170</v>
      </c>
      <c r="I39" s="27" t="n">
        <v>148</v>
      </c>
      <c r="J39" s="27" t="n">
        <v>120</v>
      </c>
      <c r="K39" s="27" t="n">
        <v>150</v>
      </c>
    </row>
    <row r="40" customFormat="false" ht="25" hidden="false" customHeight="false" outlineLevel="0" collapsed="false">
      <c r="A40" s="21" t="n">
        <v>2</v>
      </c>
      <c r="B40" s="21" t="n">
        <v>2022</v>
      </c>
      <c r="C40" s="26" t="n">
        <v>44651</v>
      </c>
      <c r="D40" s="21" t="s">
        <v>655</v>
      </c>
      <c r="E40" s="20" t="s">
        <v>656</v>
      </c>
      <c r="F40" s="21" t="s">
        <v>657</v>
      </c>
      <c r="G40" s="27" t="n">
        <v>60</v>
      </c>
      <c r="H40" s="27" t="n">
        <v>100</v>
      </c>
      <c r="I40" s="27" t="n">
        <v>72.78</v>
      </c>
      <c r="J40" s="27" t="n">
        <v>70</v>
      </c>
      <c r="K40" s="27" t="n">
        <v>70</v>
      </c>
    </row>
    <row r="41" customFormat="false" ht="13.8" hidden="false" customHeight="false" outlineLevel="0" collapsed="false">
      <c r="A41" s="21" t="n">
        <v>2</v>
      </c>
      <c r="B41" s="21" t="n">
        <v>2022</v>
      </c>
      <c r="C41" s="26" t="n">
        <v>44651</v>
      </c>
      <c r="D41" s="21" t="s">
        <v>655</v>
      </c>
      <c r="E41" s="20" t="s">
        <v>16</v>
      </c>
      <c r="F41" s="21" t="s">
        <v>658</v>
      </c>
      <c r="G41" s="27" t="n">
        <v>35</v>
      </c>
      <c r="H41" s="27" t="n">
        <v>60</v>
      </c>
      <c r="I41" s="27" t="n">
        <v>47.25</v>
      </c>
      <c r="J41" s="21" t="s">
        <v>556</v>
      </c>
      <c r="K41" s="27" t="n">
        <v>47</v>
      </c>
    </row>
    <row r="42" customFormat="false" ht="13.8" hidden="false" customHeight="false" outlineLevel="0" collapsed="false">
      <c r="A42" s="21" t="n">
        <v>2</v>
      </c>
      <c r="B42" s="21" t="n">
        <v>2022</v>
      </c>
      <c r="C42" s="26" t="n">
        <v>44651</v>
      </c>
      <c r="D42" s="21" t="s">
        <v>655</v>
      </c>
      <c r="E42" s="20" t="s">
        <v>18</v>
      </c>
      <c r="F42" s="21" t="s">
        <v>658</v>
      </c>
      <c r="G42" s="27" t="n">
        <v>50</v>
      </c>
      <c r="H42" s="27" t="n">
        <v>60</v>
      </c>
      <c r="I42" s="27" t="n">
        <v>56.67</v>
      </c>
      <c r="J42" s="27" t="n">
        <v>60</v>
      </c>
      <c r="K42" s="27" t="n">
        <v>60</v>
      </c>
    </row>
    <row r="43" customFormat="false" ht="25" hidden="false" customHeight="false" outlineLevel="0" collapsed="false">
      <c r="A43" s="21" t="n">
        <v>2</v>
      </c>
      <c r="B43" s="21" t="n">
        <v>2022</v>
      </c>
      <c r="C43" s="26" t="n">
        <v>44651</v>
      </c>
      <c r="D43" s="21" t="s">
        <v>655</v>
      </c>
      <c r="E43" s="20" t="s">
        <v>659</v>
      </c>
      <c r="F43" s="21" t="s">
        <v>658</v>
      </c>
      <c r="G43" s="27" t="n">
        <v>40</v>
      </c>
      <c r="H43" s="27" t="n">
        <v>42</v>
      </c>
      <c r="I43" s="27" t="n">
        <v>41.33</v>
      </c>
      <c r="J43" s="27" t="n">
        <v>42</v>
      </c>
      <c r="K43" s="27" t="n">
        <v>42</v>
      </c>
    </row>
    <row r="44" customFormat="false" ht="13.8" hidden="false" customHeight="false" outlineLevel="0" collapsed="false">
      <c r="A44" s="21" t="n">
        <v>2</v>
      </c>
      <c r="B44" s="21" t="n">
        <v>2022</v>
      </c>
      <c r="C44" s="26" t="n">
        <v>44651</v>
      </c>
      <c r="D44" s="21" t="s">
        <v>655</v>
      </c>
      <c r="E44" s="20" t="s">
        <v>20</v>
      </c>
      <c r="F44" s="21" t="s">
        <v>658</v>
      </c>
      <c r="G44" s="27" t="n">
        <v>25</v>
      </c>
      <c r="H44" s="27" t="n">
        <v>30</v>
      </c>
      <c r="I44" s="27" t="n">
        <v>28.33</v>
      </c>
      <c r="J44" s="27" t="n">
        <v>30</v>
      </c>
      <c r="K44" s="27" t="n">
        <v>30</v>
      </c>
    </row>
    <row r="45" customFormat="false" ht="13.8" hidden="false" customHeight="false" outlineLevel="0" collapsed="false">
      <c r="A45" s="21" t="n">
        <v>2</v>
      </c>
      <c r="B45" s="21" t="n">
        <v>2022</v>
      </c>
      <c r="C45" s="26" t="n">
        <v>44651</v>
      </c>
      <c r="D45" s="21" t="s">
        <v>655</v>
      </c>
      <c r="E45" s="20" t="s">
        <v>21</v>
      </c>
      <c r="F45" s="21" t="s">
        <v>658</v>
      </c>
      <c r="G45" s="27" t="n">
        <v>25</v>
      </c>
      <c r="H45" s="27" t="n">
        <v>30</v>
      </c>
      <c r="I45" s="27" t="n">
        <v>28.33</v>
      </c>
      <c r="J45" s="27" t="n">
        <v>30</v>
      </c>
      <c r="K45" s="27" t="n">
        <v>30</v>
      </c>
    </row>
    <row r="46" customFormat="false" ht="13.8" hidden="false" customHeight="false" outlineLevel="0" collapsed="false">
      <c r="A46" s="21" t="n">
        <v>2</v>
      </c>
      <c r="B46" s="21" t="n">
        <v>2022</v>
      </c>
      <c r="C46" s="26" t="n">
        <v>44651</v>
      </c>
      <c r="D46" s="21" t="s">
        <v>655</v>
      </c>
      <c r="E46" s="20" t="s">
        <v>22</v>
      </c>
      <c r="F46" s="21" t="s">
        <v>658</v>
      </c>
      <c r="G46" s="27" t="n">
        <v>48</v>
      </c>
      <c r="H46" s="27" t="n">
        <v>48</v>
      </c>
      <c r="I46" s="27" t="n">
        <v>48</v>
      </c>
      <c r="J46" s="27" t="n">
        <v>48</v>
      </c>
      <c r="K46" s="27" t="n">
        <v>48</v>
      </c>
    </row>
    <row r="47" customFormat="false" ht="13.8" hidden="false" customHeight="false" outlineLevel="0" collapsed="false">
      <c r="A47" s="21" t="n">
        <v>2</v>
      </c>
      <c r="B47" s="21" t="n">
        <v>2022</v>
      </c>
      <c r="C47" s="26" t="n">
        <v>44651</v>
      </c>
      <c r="D47" s="21" t="s">
        <v>655</v>
      </c>
      <c r="E47" s="20" t="s">
        <v>46</v>
      </c>
      <c r="F47" s="21" t="s">
        <v>660</v>
      </c>
      <c r="G47" s="27" t="n">
        <v>25</v>
      </c>
      <c r="H47" s="27" t="n">
        <v>70</v>
      </c>
      <c r="I47" s="27" t="n">
        <v>48.75</v>
      </c>
      <c r="J47" s="27" t="n">
        <v>60</v>
      </c>
      <c r="K47" s="27" t="n">
        <v>50</v>
      </c>
    </row>
    <row r="48" customFormat="false" ht="25" hidden="false" customHeight="false" outlineLevel="0" collapsed="false">
      <c r="A48" s="21" t="n">
        <v>2</v>
      </c>
      <c r="B48" s="21" t="n">
        <v>2022</v>
      </c>
      <c r="C48" s="26" t="n">
        <v>44651</v>
      </c>
      <c r="D48" s="21" t="s">
        <v>655</v>
      </c>
      <c r="E48" s="20" t="s">
        <v>48</v>
      </c>
      <c r="F48" s="21" t="s">
        <v>661</v>
      </c>
      <c r="G48" s="27" t="n">
        <v>25</v>
      </c>
      <c r="H48" s="27" t="n">
        <v>50</v>
      </c>
      <c r="I48" s="27" t="n">
        <v>40.56</v>
      </c>
      <c r="J48" s="27" t="n">
        <v>50</v>
      </c>
      <c r="K48" s="27" t="n">
        <v>40</v>
      </c>
    </row>
    <row r="49" customFormat="false" ht="25" hidden="false" customHeight="false" outlineLevel="0" collapsed="false">
      <c r="A49" s="21" t="n">
        <v>2</v>
      </c>
      <c r="B49" s="21" t="n">
        <v>2022</v>
      </c>
      <c r="C49" s="26" t="n">
        <v>44651</v>
      </c>
      <c r="D49" s="21" t="s">
        <v>655</v>
      </c>
      <c r="E49" s="20" t="s">
        <v>52</v>
      </c>
      <c r="F49" s="21" t="s">
        <v>661</v>
      </c>
      <c r="G49" s="27" t="n">
        <v>75</v>
      </c>
      <c r="H49" s="27" t="n">
        <v>80</v>
      </c>
      <c r="I49" s="27" t="n">
        <v>77.5</v>
      </c>
      <c r="J49" s="21" t="s">
        <v>556</v>
      </c>
      <c r="K49" s="27" t="n">
        <v>77.5</v>
      </c>
    </row>
    <row r="50" customFormat="false" ht="13.8" hidden="false" customHeight="false" outlineLevel="0" collapsed="false">
      <c r="A50" s="21" t="n">
        <v>2</v>
      </c>
      <c r="B50" s="21" t="n">
        <v>2022</v>
      </c>
      <c r="C50" s="26" t="n">
        <v>44651</v>
      </c>
      <c r="D50" s="21" t="s">
        <v>655</v>
      </c>
      <c r="E50" s="20" t="s">
        <v>53</v>
      </c>
      <c r="F50" s="21" t="s">
        <v>662</v>
      </c>
      <c r="G50" s="27" t="n">
        <v>60</v>
      </c>
      <c r="H50" s="27" t="n">
        <v>85</v>
      </c>
      <c r="I50" s="27" t="n">
        <v>74.29</v>
      </c>
      <c r="J50" s="27" t="n">
        <v>80</v>
      </c>
      <c r="K50" s="27" t="n">
        <v>80</v>
      </c>
    </row>
    <row r="51" customFormat="false" ht="36.5" hidden="false" customHeight="false" outlineLevel="0" collapsed="false">
      <c r="A51" s="21" t="n">
        <v>2</v>
      </c>
      <c r="B51" s="21" t="n">
        <v>2022</v>
      </c>
      <c r="C51" s="26" t="n">
        <v>44651</v>
      </c>
      <c r="D51" s="21" t="s">
        <v>655</v>
      </c>
      <c r="E51" s="20" t="s">
        <v>663</v>
      </c>
      <c r="F51" s="21" t="s">
        <v>658</v>
      </c>
      <c r="G51" s="27" t="n">
        <v>60</v>
      </c>
      <c r="H51" s="27" t="n">
        <v>90</v>
      </c>
      <c r="I51" s="27" t="n">
        <v>78</v>
      </c>
      <c r="J51" s="21" t="s">
        <v>556</v>
      </c>
      <c r="K51" s="27" t="n">
        <v>84</v>
      </c>
    </row>
    <row r="52" customFormat="false" ht="25" hidden="false" customHeight="false" outlineLevel="0" collapsed="false">
      <c r="A52" s="21" t="n">
        <v>2</v>
      </c>
      <c r="B52" s="21" t="n">
        <v>2022</v>
      </c>
      <c r="C52" s="26" t="n">
        <v>44651</v>
      </c>
      <c r="D52" s="21" t="s">
        <v>655</v>
      </c>
      <c r="E52" s="20" t="s">
        <v>24</v>
      </c>
      <c r="F52" s="21" t="s">
        <v>658</v>
      </c>
      <c r="G52" s="27" t="n">
        <v>50</v>
      </c>
      <c r="H52" s="27" t="n">
        <v>72</v>
      </c>
      <c r="I52" s="27" t="n">
        <v>60.67</v>
      </c>
      <c r="J52" s="27" t="n">
        <v>60</v>
      </c>
      <c r="K52" s="27" t="n">
        <v>60</v>
      </c>
    </row>
    <row r="53" customFormat="false" ht="13.8" hidden="false" customHeight="false" outlineLevel="0" collapsed="false">
      <c r="A53" s="21" t="n">
        <v>2</v>
      </c>
      <c r="B53" s="21" t="n">
        <v>2022</v>
      </c>
      <c r="C53" s="26" t="n">
        <v>44651</v>
      </c>
      <c r="D53" s="21" t="s">
        <v>655</v>
      </c>
      <c r="E53" s="20" t="s">
        <v>70</v>
      </c>
      <c r="F53" s="21" t="s">
        <v>657</v>
      </c>
      <c r="G53" s="27" t="n">
        <v>35</v>
      </c>
      <c r="H53" s="27" t="n">
        <v>35</v>
      </c>
      <c r="I53" s="27" t="n">
        <v>35</v>
      </c>
      <c r="J53" s="27" t="n">
        <v>35</v>
      </c>
      <c r="K53" s="27" t="n">
        <v>35</v>
      </c>
    </row>
    <row r="54" customFormat="false" ht="25" hidden="false" customHeight="false" outlineLevel="0" collapsed="false">
      <c r="A54" s="21" t="n">
        <v>2</v>
      </c>
      <c r="B54" s="21" t="n">
        <v>2022</v>
      </c>
      <c r="C54" s="26" t="n">
        <v>44651</v>
      </c>
      <c r="D54" s="21" t="s">
        <v>655</v>
      </c>
      <c r="E54" s="20" t="s">
        <v>71</v>
      </c>
      <c r="F54" s="21" t="s">
        <v>657</v>
      </c>
      <c r="G54" s="27" t="n">
        <v>35</v>
      </c>
      <c r="H54" s="27" t="n">
        <v>35</v>
      </c>
      <c r="I54" s="27" t="n">
        <v>35</v>
      </c>
      <c r="J54" s="27" t="n">
        <v>35</v>
      </c>
      <c r="K54" s="27" t="n">
        <v>35</v>
      </c>
    </row>
    <row r="55" customFormat="false" ht="25" hidden="false" customHeight="false" outlineLevel="0" collapsed="false">
      <c r="A55" s="21" t="n">
        <v>2</v>
      </c>
      <c r="B55" s="21" t="n">
        <v>2022</v>
      </c>
      <c r="C55" s="26" t="n">
        <v>44651</v>
      </c>
      <c r="D55" s="21" t="s">
        <v>655</v>
      </c>
      <c r="E55" s="20" t="s">
        <v>72</v>
      </c>
      <c r="F55" s="21" t="s">
        <v>657</v>
      </c>
      <c r="G55" s="27" t="n">
        <v>35</v>
      </c>
      <c r="H55" s="27" t="n">
        <v>35</v>
      </c>
      <c r="I55" s="27" t="n">
        <v>35</v>
      </c>
      <c r="J55" s="21" t="s">
        <v>556</v>
      </c>
      <c r="K55" s="27" t="n">
        <v>35</v>
      </c>
    </row>
    <row r="56" customFormat="false" ht="13.8" hidden="false" customHeight="false" outlineLevel="0" collapsed="false">
      <c r="A56" s="21" t="n">
        <v>2</v>
      </c>
      <c r="B56" s="21" t="n">
        <v>2022</v>
      </c>
      <c r="C56" s="26" t="n">
        <v>44651</v>
      </c>
      <c r="D56" s="21" t="s">
        <v>655</v>
      </c>
      <c r="E56" s="20" t="s">
        <v>35</v>
      </c>
      <c r="F56" s="21" t="s">
        <v>670</v>
      </c>
      <c r="G56" s="27" t="n">
        <v>3.5</v>
      </c>
      <c r="H56" s="27" t="n">
        <v>4</v>
      </c>
      <c r="I56" s="27" t="n">
        <v>3.83</v>
      </c>
      <c r="J56" s="27" t="n">
        <v>4</v>
      </c>
      <c r="K56" s="27" t="n">
        <v>4</v>
      </c>
    </row>
    <row r="57" customFormat="false" ht="13.8" hidden="false" customHeight="false" outlineLevel="0" collapsed="false">
      <c r="A57" s="21" t="n">
        <v>2</v>
      </c>
      <c r="B57" s="21" t="n">
        <v>2022</v>
      </c>
      <c r="C57" s="26" t="n">
        <v>44651</v>
      </c>
      <c r="D57" s="21" t="s">
        <v>655</v>
      </c>
      <c r="E57" s="20" t="s">
        <v>56</v>
      </c>
      <c r="F57" s="21" t="s">
        <v>660</v>
      </c>
      <c r="G57" s="27" t="n">
        <v>85</v>
      </c>
      <c r="H57" s="27" t="n">
        <v>160</v>
      </c>
      <c r="I57" s="27" t="n">
        <v>126.67</v>
      </c>
      <c r="J57" s="27" t="n">
        <v>160</v>
      </c>
      <c r="K57" s="27" t="n">
        <v>132.5</v>
      </c>
    </row>
    <row r="58" customFormat="false" ht="13.8" hidden="false" customHeight="false" outlineLevel="0" collapsed="false">
      <c r="A58" s="21" t="n">
        <v>2</v>
      </c>
      <c r="B58" s="21" t="n">
        <v>2022</v>
      </c>
      <c r="C58" s="26" t="n">
        <v>44651</v>
      </c>
      <c r="D58" s="21" t="s">
        <v>655</v>
      </c>
      <c r="E58" s="20" t="s">
        <v>57</v>
      </c>
      <c r="F58" s="21" t="s">
        <v>657</v>
      </c>
      <c r="G58" s="27" t="n">
        <v>35</v>
      </c>
      <c r="H58" s="27" t="n">
        <v>55</v>
      </c>
      <c r="I58" s="27" t="n">
        <v>44.3</v>
      </c>
      <c r="J58" s="27" t="n">
        <v>50</v>
      </c>
      <c r="K58" s="27" t="n">
        <v>42.5</v>
      </c>
    </row>
    <row r="59" customFormat="false" ht="13.8" hidden="false" customHeight="false" outlineLevel="0" collapsed="false">
      <c r="A59" s="21" t="n">
        <v>2</v>
      </c>
      <c r="B59" s="21" t="n">
        <v>2022</v>
      </c>
      <c r="C59" s="26" t="n">
        <v>44651</v>
      </c>
      <c r="D59" s="21" t="s">
        <v>655</v>
      </c>
      <c r="E59" s="20" t="s">
        <v>38</v>
      </c>
      <c r="F59" s="21" t="s">
        <v>664</v>
      </c>
      <c r="G59" s="27" t="n">
        <v>30</v>
      </c>
      <c r="H59" s="27" t="n">
        <v>35</v>
      </c>
      <c r="I59" s="27" t="n">
        <v>31.67</v>
      </c>
      <c r="J59" s="27" t="n">
        <v>30</v>
      </c>
      <c r="K59" s="27" t="n">
        <v>30</v>
      </c>
    </row>
    <row r="60" customFormat="false" ht="25" hidden="false" customHeight="false" outlineLevel="0" collapsed="false">
      <c r="A60" s="21" t="n">
        <v>2</v>
      </c>
      <c r="B60" s="21" t="n">
        <v>2022</v>
      </c>
      <c r="C60" s="26" t="n">
        <v>44651</v>
      </c>
      <c r="D60" s="21" t="s">
        <v>655</v>
      </c>
      <c r="E60" s="20" t="s">
        <v>666</v>
      </c>
      <c r="F60" s="21" t="s">
        <v>658</v>
      </c>
      <c r="G60" s="27" t="n">
        <v>24</v>
      </c>
      <c r="H60" s="27" t="n">
        <v>24</v>
      </c>
      <c r="I60" s="27" t="n">
        <v>24</v>
      </c>
      <c r="J60" s="27" t="n">
        <v>24</v>
      </c>
      <c r="K60" s="27" t="n">
        <v>24</v>
      </c>
    </row>
    <row r="61" customFormat="false" ht="13.8" hidden="false" customHeight="false" outlineLevel="0" collapsed="false">
      <c r="A61" s="21" t="n">
        <v>2</v>
      </c>
      <c r="B61" s="21" t="n">
        <v>2022</v>
      </c>
      <c r="C61" s="26" t="n">
        <v>44651</v>
      </c>
      <c r="D61" s="21" t="s">
        <v>655</v>
      </c>
      <c r="E61" s="20" t="s">
        <v>77</v>
      </c>
      <c r="F61" s="21" t="s">
        <v>658</v>
      </c>
      <c r="G61" s="27" t="n">
        <v>70</v>
      </c>
      <c r="H61" s="27" t="n">
        <v>84</v>
      </c>
      <c r="I61" s="27" t="n">
        <v>75.25</v>
      </c>
      <c r="J61" s="27" t="n">
        <v>73.5</v>
      </c>
      <c r="K61" s="27" t="n">
        <v>73.5</v>
      </c>
    </row>
    <row r="62" customFormat="false" ht="13.8" hidden="false" customHeight="false" outlineLevel="0" collapsed="false">
      <c r="A62" s="21" t="n">
        <v>2</v>
      </c>
      <c r="B62" s="21" t="n">
        <v>2022</v>
      </c>
      <c r="C62" s="26" t="n">
        <v>44651</v>
      </c>
      <c r="D62" s="21" t="s">
        <v>655</v>
      </c>
      <c r="E62" s="20" t="s">
        <v>27</v>
      </c>
      <c r="F62" s="21" t="s">
        <v>658</v>
      </c>
      <c r="G62" s="27" t="n">
        <v>25</v>
      </c>
      <c r="H62" s="27" t="n">
        <v>30</v>
      </c>
      <c r="I62" s="27" t="n">
        <v>28.33</v>
      </c>
      <c r="J62" s="27" t="n">
        <v>30</v>
      </c>
      <c r="K62" s="27" t="n">
        <v>30</v>
      </c>
    </row>
    <row r="63" customFormat="false" ht="13.8" hidden="false" customHeight="false" outlineLevel="0" collapsed="false">
      <c r="A63" s="21" t="n">
        <v>2</v>
      </c>
      <c r="B63" s="21" t="n">
        <v>2022</v>
      </c>
      <c r="C63" s="26" t="n">
        <v>44651</v>
      </c>
      <c r="D63" s="21" t="s">
        <v>655</v>
      </c>
      <c r="E63" s="20" t="s">
        <v>28</v>
      </c>
      <c r="F63" s="21" t="s">
        <v>658</v>
      </c>
      <c r="G63" s="27" t="n">
        <v>60</v>
      </c>
      <c r="H63" s="27" t="n">
        <v>60</v>
      </c>
      <c r="I63" s="27" t="n">
        <v>60</v>
      </c>
      <c r="J63" s="27" t="n">
        <v>60</v>
      </c>
      <c r="K63" s="27" t="n">
        <v>60</v>
      </c>
    </row>
    <row r="64" customFormat="false" ht="13.8" hidden="false" customHeight="false" outlineLevel="0" collapsed="false">
      <c r="A64" s="21" t="n">
        <v>2</v>
      </c>
      <c r="B64" s="21" t="n">
        <v>2022</v>
      </c>
      <c r="C64" s="26" t="n">
        <v>44651</v>
      </c>
      <c r="D64" s="21" t="s">
        <v>655</v>
      </c>
      <c r="E64" s="20" t="s">
        <v>73</v>
      </c>
      <c r="F64" s="21" t="s">
        <v>661</v>
      </c>
      <c r="G64" s="27" t="n">
        <v>28</v>
      </c>
      <c r="H64" s="27" t="n">
        <v>50</v>
      </c>
      <c r="I64" s="27" t="n">
        <v>39</v>
      </c>
      <c r="J64" s="21" t="s">
        <v>556</v>
      </c>
      <c r="K64" s="27" t="n">
        <v>39</v>
      </c>
    </row>
    <row r="65" customFormat="false" ht="13.8" hidden="false" customHeight="false" outlineLevel="0" collapsed="false">
      <c r="A65" s="21" t="n">
        <v>2</v>
      </c>
      <c r="B65" s="21" t="n">
        <v>2022</v>
      </c>
      <c r="C65" s="26" t="n">
        <v>44651</v>
      </c>
      <c r="D65" s="21" t="s">
        <v>655</v>
      </c>
      <c r="E65" s="20" t="s">
        <v>58</v>
      </c>
      <c r="F65" s="21" t="s">
        <v>657</v>
      </c>
      <c r="G65" s="27" t="n">
        <v>50</v>
      </c>
      <c r="H65" s="27" t="n">
        <v>80</v>
      </c>
      <c r="I65" s="27" t="n">
        <v>66.36</v>
      </c>
      <c r="J65" s="27" t="n">
        <v>70</v>
      </c>
      <c r="K65" s="27" t="n">
        <v>70</v>
      </c>
    </row>
    <row r="66" customFormat="false" ht="25" hidden="false" customHeight="false" outlineLevel="0" collapsed="false">
      <c r="A66" s="21" t="n">
        <v>2</v>
      </c>
      <c r="B66" s="21" t="n">
        <v>2022</v>
      </c>
      <c r="C66" s="26" t="n">
        <v>44651</v>
      </c>
      <c r="D66" s="21" t="s">
        <v>655</v>
      </c>
      <c r="E66" s="20" t="s">
        <v>74</v>
      </c>
      <c r="F66" s="21" t="s">
        <v>667</v>
      </c>
      <c r="G66" s="27" t="n">
        <v>70</v>
      </c>
      <c r="H66" s="27" t="n">
        <v>70</v>
      </c>
      <c r="I66" s="27" t="n">
        <v>70</v>
      </c>
      <c r="J66" s="21" t="s">
        <v>556</v>
      </c>
      <c r="K66" s="27" t="n">
        <v>70</v>
      </c>
    </row>
    <row r="67" customFormat="false" ht="25" hidden="false" customHeight="false" outlineLevel="0" collapsed="false">
      <c r="A67" s="21" t="n">
        <v>2</v>
      </c>
      <c r="B67" s="21" t="n">
        <v>2022</v>
      </c>
      <c r="C67" s="26" t="n">
        <v>44651</v>
      </c>
      <c r="D67" s="21" t="s">
        <v>655</v>
      </c>
      <c r="E67" s="20" t="s">
        <v>61</v>
      </c>
      <c r="F67" s="21" t="s">
        <v>657</v>
      </c>
      <c r="G67" s="27" t="n">
        <v>70</v>
      </c>
      <c r="H67" s="27" t="n">
        <v>70</v>
      </c>
      <c r="I67" s="27" t="n">
        <v>70</v>
      </c>
      <c r="J67" s="27" t="n">
        <v>70</v>
      </c>
      <c r="K67" s="27" t="n">
        <v>70</v>
      </c>
    </row>
    <row r="68" customFormat="false" ht="25" hidden="false" customHeight="false" outlineLevel="0" collapsed="false">
      <c r="A68" s="21" t="n">
        <v>2</v>
      </c>
      <c r="B68" s="21" t="n">
        <v>2022</v>
      </c>
      <c r="C68" s="26" t="n">
        <v>44651</v>
      </c>
      <c r="D68" s="21" t="s">
        <v>655</v>
      </c>
      <c r="E68" s="20" t="s">
        <v>62</v>
      </c>
      <c r="F68" s="21" t="s">
        <v>657</v>
      </c>
      <c r="G68" s="27" t="n">
        <v>70</v>
      </c>
      <c r="H68" s="27" t="n">
        <v>110</v>
      </c>
      <c r="I68" s="27" t="n">
        <v>92</v>
      </c>
      <c r="J68" s="27" t="n">
        <v>100</v>
      </c>
      <c r="K68" s="27" t="n">
        <v>95</v>
      </c>
    </row>
    <row r="69" customFormat="false" ht="25" hidden="false" customHeight="false" outlineLevel="0" collapsed="false">
      <c r="A69" s="21" t="n">
        <v>2</v>
      </c>
      <c r="B69" s="21" t="n">
        <v>2022</v>
      </c>
      <c r="C69" s="26" t="n">
        <v>44651</v>
      </c>
      <c r="D69" s="21" t="s">
        <v>655</v>
      </c>
      <c r="E69" s="20" t="s">
        <v>63</v>
      </c>
      <c r="F69" s="21" t="s">
        <v>661</v>
      </c>
      <c r="G69" s="27" t="n">
        <v>30</v>
      </c>
      <c r="H69" s="27" t="n">
        <v>60</v>
      </c>
      <c r="I69" s="27" t="n">
        <v>44.17</v>
      </c>
      <c r="J69" s="27" t="n">
        <v>45</v>
      </c>
      <c r="K69" s="27" t="n">
        <v>45</v>
      </c>
    </row>
    <row r="70" customFormat="false" ht="13.8" hidden="false" customHeight="false" outlineLevel="0" collapsed="false">
      <c r="A70" s="21" t="n">
        <v>2</v>
      </c>
      <c r="B70" s="21" t="n">
        <v>2022</v>
      </c>
      <c r="C70" s="26" t="n">
        <v>44651</v>
      </c>
      <c r="D70" s="21" t="s">
        <v>655</v>
      </c>
      <c r="E70" s="20" t="s">
        <v>64</v>
      </c>
      <c r="F70" s="21" t="s">
        <v>661</v>
      </c>
      <c r="G70" s="27" t="n">
        <v>90</v>
      </c>
      <c r="H70" s="27" t="n">
        <v>130</v>
      </c>
      <c r="I70" s="27" t="n">
        <v>103.75</v>
      </c>
      <c r="J70" s="27" t="n">
        <v>100</v>
      </c>
      <c r="K70" s="27" t="n">
        <v>100</v>
      </c>
    </row>
    <row r="71" customFormat="false" ht="13.8" hidden="false" customHeight="false" outlineLevel="0" collapsed="false">
      <c r="A71" s="21" t="n">
        <v>2</v>
      </c>
      <c r="B71" s="21" t="n">
        <v>2022</v>
      </c>
      <c r="C71" s="26" t="n">
        <v>44651</v>
      </c>
      <c r="D71" s="21" t="s">
        <v>655</v>
      </c>
      <c r="E71" s="20" t="s">
        <v>29</v>
      </c>
      <c r="F71" s="21" t="s">
        <v>658</v>
      </c>
      <c r="G71" s="27" t="n">
        <v>48</v>
      </c>
      <c r="H71" s="27" t="n">
        <v>48</v>
      </c>
      <c r="I71" s="27" t="n">
        <v>48</v>
      </c>
      <c r="J71" s="27" t="n">
        <v>48</v>
      </c>
      <c r="K71" s="27" t="n">
        <v>48</v>
      </c>
    </row>
    <row r="72" customFormat="false" ht="13.8" hidden="false" customHeight="false" outlineLevel="0" collapsed="false">
      <c r="A72" s="21" t="n">
        <v>2</v>
      </c>
      <c r="B72" s="21" t="n">
        <v>2022</v>
      </c>
      <c r="C72" s="26" t="n">
        <v>44651</v>
      </c>
      <c r="D72" s="21" t="s">
        <v>655</v>
      </c>
      <c r="E72" s="20" t="s">
        <v>31</v>
      </c>
      <c r="F72" s="21" t="s">
        <v>658</v>
      </c>
      <c r="G72" s="27" t="n">
        <v>80</v>
      </c>
      <c r="H72" s="27" t="n">
        <v>85</v>
      </c>
      <c r="I72" s="27" t="n">
        <v>83</v>
      </c>
      <c r="J72" s="21" t="s">
        <v>556</v>
      </c>
      <c r="K72" s="27" t="n">
        <v>84</v>
      </c>
    </row>
    <row r="73" customFormat="false" ht="25" hidden="false" customHeight="false" outlineLevel="0" collapsed="false">
      <c r="A73" s="21" t="n">
        <v>2</v>
      </c>
      <c r="B73" s="21" t="n">
        <v>2022</v>
      </c>
      <c r="C73" s="26" t="n">
        <v>44651</v>
      </c>
      <c r="D73" s="21" t="s">
        <v>655</v>
      </c>
      <c r="E73" s="20" t="s">
        <v>668</v>
      </c>
      <c r="F73" s="21" t="s">
        <v>658</v>
      </c>
      <c r="G73" s="27" t="n">
        <v>60</v>
      </c>
      <c r="H73" s="27" t="n">
        <v>84</v>
      </c>
      <c r="I73" s="27" t="n">
        <v>73</v>
      </c>
      <c r="J73" s="27" t="n">
        <v>74</v>
      </c>
      <c r="K73" s="27" t="n">
        <v>74</v>
      </c>
    </row>
    <row r="74" customFormat="false" ht="13.8" hidden="false" customHeight="false" outlineLevel="0" collapsed="false">
      <c r="A74" s="21" t="n">
        <v>2</v>
      </c>
      <c r="B74" s="21" t="n">
        <v>2022</v>
      </c>
      <c r="C74" s="26" t="n">
        <v>44651</v>
      </c>
      <c r="D74" s="21" t="s">
        <v>655</v>
      </c>
      <c r="E74" s="20" t="s">
        <v>33</v>
      </c>
      <c r="F74" s="21" t="s">
        <v>658</v>
      </c>
      <c r="G74" s="27" t="n">
        <v>42</v>
      </c>
      <c r="H74" s="27" t="n">
        <v>42</v>
      </c>
      <c r="I74" s="27" t="n">
        <v>42</v>
      </c>
      <c r="J74" s="27" t="n">
        <v>42</v>
      </c>
      <c r="K74" s="27" t="n">
        <v>42</v>
      </c>
    </row>
    <row r="75" customFormat="false" ht="13.8" hidden="false" customHeight="false" outlineLevel="0" collapsed="false">
      <c r="A75" s="21" t="n">
        <v>2</v>
      </c>
      <c r="B75" s="21" t="n">
        <v>2022</v>
      </c>
      <c r="C75" s="26" t="n">
        <v>44651</v>
      </c>
      <c r="D75" s="21" t="s">
        <v>655</v>
      </c>
      <c r="E75" s="20" t="s">
        <v>669</v>
      </c>
      <c r="F75" s="21" t="s">
        <v>664</v>
      </c>
      <c r="G75" s="27" t="n">
        <v>30</v>
      </c>
      <c r="H75" s="27" t="n">
        <v>40</v>
      </c>
      <c r="I75" s="27" t="n">
        <v>33.33</v>
      </c>
      <c r="J75" s="27" t="n">
        <v>30</v>
      </c>
      <c r="K75" s="27" t="n">
        <v>30</v>
      </c>
    </row>
    <row r="76" customFormat="false" ht="25" hidden="false" customHeight="false" outlineLevel="0" collapsed="false">
      <c r="A76" s="21" t="n">
        <v>2</v>
      </c>
      <c r="B76" s="21" t="n">
        <v>2022</v>
      </c>
      <c r="C76" s="26" t="n">
        <v>44651</v>
      </c>
      <c r="D76" s="21" t="s">
        <v>655</v>
      </c>
      <c r="E76" s="20" t="s">
        <v>67</v>
      </c>
      <c r="F76" s="21" t="s">
        <v>662</v>
      </c>
      <c r="G76" s="27" t="n">
        <v>100</v>
      </c>
      <c r="H76" s="27" t="n">
        <v>160</v>
      </c>
      <c r="I76" s="27" t="n">
        <v>138.89</v>
      </c>
      <c r="J76" s="27" t="n">
        <v>150</v>
      </c>
      <c r="K76" s="27" t="n">
        <v>150</v>
      </c>
    </row>
    <row r="77" customFormat="false" ht="25" hidden="false" customHeight="false" outlineLevel="0" collapsed="false">
      <c r="A77" s="21" t="n">
        <v>2</v>
      </c>
      <c r="B77" s="21" t="n">
        <v>2022</v>
      </c>
      <c r="C77" s="26" t="n">
        <v>44651</v>
      </c>
      <c r="D77" s="21" t="s">
        <v>655</v>
      </c>
      <c r="E77" s="20" t="s">
        <v>68</v>
      </c>
      <c r="F77" s="21" t="s">
        <v>657</v>
      </c>
      <c r="G77" s="27" t="n">
        <v>130</v>
      </c>
      <c r="H77" s="27" t="n">
        <v>170</v>
      </c>
      <c r="I77" s="27" t="n">
        <v>145.71</v>
      </c>
      <c r="J77" s="27" t="n">
        <v>150</v>
      </c>
      <c r="K77" s="27" t="n">
        <v>150</v>
      </c>
    </row>
    <row r="78" customFormat="false" ht="25" hidden="false" customHeight="false" outlineLevel="0" collapsed="false">
      <c r="A78" s="21" t="n">
        <v>3</v>
      </c>
      <c r="B78" s="21" t="n">
        <v>2022</v>
      </c>
      <c r="C78" s="26" t="n">
        <v>44658</v>
      </c>
      <c r="D78" s="21" t="s">
        <v>655</v>
      </c>
      <c r="E78" s="20" t="s">
        <v>656</v>
      </c>
      <c r="F78" s="21" t="s">
        <v>657</v>
      </c>
      <c r="G78" s="27" t="n">
        <v>70</v>
      </c>
      <c r="H78" s="27" t="n">
        <v>100</v>
      </c>
      <c r="I78" s="27" t="n">
        <v>77.5</v>
      </c>
      <c r="J78" s="27" t="n">
        <v>70</v>
      </c>
      <c r="K78" s="27" t="n">
        <v>75</v>
      </c>
    </row>
    <row r="79" customFormat="false" ht="13.8" hidden="false" customHeight="false" outlineLevel="0" collapsed="false">
      <c r="A79" s="21" t="n">
        <v>3</v>
      </c>
      <c r="B79" s="21" t="n">
        <v>2022</v>
      </c>
      <c r="C79" s="26" t="n">
        <v>44658</v>
      </c>
      <c r="D79" s="21" t="s">
        <v>655</v>
      </c>
      <c r="E79" s="20" t="s">
        <v>16</v>
      </c>
      <c r="F79" s="21" t="s">
        <v>658</v>
      </c>
      <c r="G79" s="27" t="n">
        <v>48</v>
      </c>
      <c r="H79" s="27" t="n">
        <v>60</v>
      </c>
      <c r="I79" s="27" t="n">
        <v>54</v>
      </c>
      <c r="J79" s="21" t="s">
        <v>556</v>
      </c>
      <c r="K79" s="27" t="n">
        <v>54</v>
      </c>
    </row>
    <row r="80" customFormat="false" ht="13.8" hidden="false" customHeight="false" outlineLevel="0" collapsed="false">
      <c r="A80" s="21" t="n">
        <v>3</v>
      </c>
      <c r="B80" s="21" t="n">
        <v>2022</v>
      </c>
      <c r="C80" s="26" t="n">
        <v>44658</v>
      </c>
      <c r="D80" s="21" t="s">
        <v>655</v>
      </c>
      <c r="E80" s="20" t="s">
        <v>18</v>
      </c>
      <c r="F80" s="21" t="s">
        <v>658</v>
      </c>
      <c r="G80" s="27" t="n">
        <v>60</v>
      </c>
      <c r="H80" s="27" t="n">
        <v>60</v>
      </c>
      <c r="I80" s="27" t="n">
        <v>60</v>
      </c>
      <c r="J80" s="27" t="n">
        <v>60</v>
      </c>
      <c r="K80" s="27" t="n">
        <v>60</v>
      </c>
    </row>
    <row r="81" customFormat="false" ht="25" hidden="false" customHeight="false" outlineLevel="0" collapsed="false">
      <c r="A81" s="21" t="n">
        <v>3</v>
      </c>
      <c r="B81" s="21" t="n">
        <v>2022</v>
      </c>
      <c r="C81" s="26" t="n">
        <v>44658</v>
      </c>
      <c r="D81" s="21" t="s">
        <v>655</v>
      </c>
      <c r="E81" s="20" t="s">
        <v>659</v>
      </c>
      <c r="F81" s="21" t="s">
        <v>658</v>
      </c>
      <c r="G81" s="27" t="n">
        <v>40</v>
      </c>
      <c r="H81" s="27" t="n">
        <v>42</v>
      </c>
      <c r="I81" s="27" t="n">
        <v>41</v>
      </c>
      <c r="J81" s="21" t="s">
        <v>556</v>
      </c>
      <c r="K81" s="27" t="n">
        <v>41</v>
      </c>
    </row>
    <row r="82" customFormat="false" ht="13.8" hidden="false" customHeight="false" outlineLevel="0" collapsed="false">
      <c r="A82" s="21" t="n">
        <v>3</v>
      </c>
      <c r="B82" s="21" t="n">
        <v>2022</v>
      </c>
      <c r="C82" s="26" t="n">
        <v>44658</v>
      </c>
      <c r="D82" s="21" t="s">
        <v>655</v>
      </c>
      <c r="E82" s="20" t="s">
        <v>20</v>
      </c>
      <c r="F82" s="21" t="s">
        <v>658</v>
      </c>
      <c r="G82" s="27" t="n">
        <v>30</v>
      </c>
      <c r="H82" s="27" t="n">
        <v>30</v>
      </c>
      <c r="I82" s="27" t="n">
        <v>30</v>
      </c>
      <c r="J82" s="27" t="n">
        <v>30</v>
      </c>
      <c r="K82" s="27" t="n">
        <v>30</v>
      </c>
    </row>
    <row r="83" customFormat="false" ht="13.8" hidden="false" customHeight="false" outlineLevel="0" collapsed="false">
      <c r="A83" s="21" t="n">
        <v>3</v>
      </c>
      <c r="B83" s="21" t="n">
        <v>2022</v>
      </c>
      <c r="C83" s="26" t="n">
        <v>44658</v>
      </c>
      <c r="D83" s="21" t="s">
        <v>655</v>
      </c>
      <c r="E83" s="20" t="s">
        <v>21</v>
      </c>
      <c r="F83" s="21" t="s">
        <v>658</v>
      </c>
      <c r="G83" s="27" t="n">
        <v>30</v>
      </c>
      <c r="H83" s="27" t="n">
        <v>30</v>
      </c>
      <c r="I83" s="27" t="n">
        <v>30</v>
      </c>
      <c r="J83" s="27" t="n">
        <v>30</v>
      </c>
      <c r="K83" s="27" t="n">
        <v>30</v>
      </c>
    </row>
    <row r="84" customFormat="false" ht="13.8" hidden="false" customHeight="false" outlineLevel="0" collapsed="false">
      <c r="A84" s="21" t="n">
        <v>3</v>
      </c>
      <c r="B84" s="21" t="n">
        <v>2022</v>
      </c>
      <c r="C84" s="26" t="n">
        <v>44658</v>
      </c>
      <c r="D84" s="21" t="s">
        <v>655</v>
      </c>
      <c r="E84" s="20" t="s">
        <v>22</v>
      </c>
      <c r="F84" s="21" t="s">
        <v>658</v>
      </c>
      <c r="G84" s="27" t="n">
        <v>48</v>
      </c>
      <c r="H84" s="27" t="n">
        <v>48</v>
      </c>
      <c r="I84" s="27" t="n">
        <v>48</v>
      </c>
      <c r="J84" s="27" t="n">
        <v>48</v>
      </c>
      <c r="K84" s="27" t="n">
        <v>48</v>
      </c>
    </row>
    <row r="85" customFormat="false" ht="13.8" hidden="false" customHeight="false" outlineLevel="0" collapsed="false">
      <c r="A85" s="21" t="n">
        <v>3</v>
      </c>
      <c r="B85" s="21" t="n">
        <v>2022</v>
      </c>
      <c r="C85" s="26" t="n">
        <v>44658</v>
      </c>
      <c r="D85" s="21" t="s">
        <v>655</v>
      </c>
      <c r="E85" s="20" t="s">
        <v>46</v>
      </c>
      <c r="F85" s="21" t="s">
        <v>660</v>
      </c>
      <c r="G85" s="27" t="n">
        <v>25</v>
      </c>
      <c r="H85" s="27" t="n">
        <v>70</v>
      </c>
      <c r="I85" s="27" t="n">
        <v>46.5</v>
      </c>
      <c r="J85" s="27" t="n">
        <v>40</v>
      </c>
      <c r="K85" s="27" t="n">
        <v>42.5</v>
      </c>
    </row>
    <row r="86" customFormat="false" ht="25" hidden="false" customHeight="false" outlineLevel="0" collapsed="false">
      <c r="A86" s="21" t="n">
        <v>3</v>
      </c>
      <c r="B86" s="21" t="n">
        <v>2022</v>
      </c>
      <c r="C86" s="26" t="n">
        <v>44658</v>
      </c>
      <c r="D86" s="21" t="s">
        <v>655</v>
      </c>
      <c r="E86" s="20" t="s">
        <v>48</v>
      </c>
      <c r="F86" s="21" t="s">
        <v>661</v>
      </c>
      <c r="G86" s="27" t="n">
        <v>35</v>
      </c>
      <c r="H86" s="27" t="n">
        <v>50</v>
      </c>
      <c r="I86" s="27" t="n">
        <v>44.5</v>
      </c>
      <c r="J86" s="27" t="n">
        <v>45</v>
      </c>
      <c r="K86" s="27" t="n">
        <v>45</v>
      </c>
    </row>
    <row r="87" customFormat="false" ht="25" hidden="false" customHeight="false" outlineLevel="0" collapsed="false">
      <c r="A87" s="21" t="n">
        <v>3</v>
      </c>
      <c r="B87" s="21" t="n">
        <v>2022</v>
      </c>
      <c r="C87" s="26" t="n">
        <v>44658</v>
      </c>
      <c r="D87" s="21" t="s">
        <v>655</v>
      </c>
      <c r="E87" s="20" t="s">
        <v>52</v>
      </c>
      <c r="F87" s="21" t="s">
        <v>661</v>
      </c>
      <c r="G87" s="27" t="n">
        <v>80</v>
      </c>
      <c r="H87" s="27" t="n">
        <v>85</v>
      </c>
      <c r="I87" s="27" t="n">
        <v>81.67</v>
      </c>
      <c r="J87" s="27" t="n">
        <v>80</v>
      </c>
      <c r="K87" s="27" t="n">
        <v>80</v>
      </c>
    </row>
    <row r="88" customFormat="false" ht="13.8" hidden="false" customHeight="false" outlineLevel="0" collapsed="false">
      <c r="A88" s="21" t="n">
        <v>3</v>
      </c>
      <c r="B88" s="21" t="n">
        <v>2022</v>
      </c>
      <c r="C88" s="26" t="n">
        <v>44658</v>
      </c>
      <c r="D88" s="21" t="s">
        <v>655</v>
      </c>
      <c r="E88" s="20" t="s">
        <v>53</v>
      </c>
      <c r="F88" s="21" t="s">
        <v>662</v>
      </c>
      <c r="G88" s="27" t="n">
        <v>60</v>
      </c>
      <c r="H88" s="27" t="n">
        <v>80</v>
      </c>
      <c r="I88" s="27" t="n">
        <v>73.89</v>
      </c>
      <c r="J88" s="27" t="n">
        <v>80</v>
      </c>
      <c r="K88" s="27" t="n">
        <v>80</v>
      </c>
    </row>
    <row r="89" customFormat="false" ht="36.5" hidden="false" customHeight="false" outlineLevel="0" collapsed="false">
      <c r="A89" s="21" t="n">
        <v>3</v>
      </c>
      <c r="B89" s="21" t="n">
        <v>2022</v>
      </c>
      <c r="C89" s="26" t="n">
        <v>44658</v>
      </c>
      <c r="D89" s="21" t="s">
        <v>655</v>
      </c>
      <c r="E89" s="20" t="s">
        <v>663</v>
      </c>
      <c r="F89" s="21" t="s">
        <v>658</v>
      </c>
      <c r="G89" s="27" t="n">
        <v>84</v>
      </c>
      <c r="H89" s="27" t="n">
        <v>90</v>
      </c>
      <c r="I89" s="27" t="n">
        <v>86</v>
      </c>
      <c r="J89" s="27" t="n">
        <v>84</v>
      </c>
      <c r="K89" s="27" t="n">
        <v>84</v>
      </c>
    </row>
    <row r="90" customFormat="false" ht="25" hidden="false" customHeight="false" outlineLevel="0" collapsed="false">
      <c r="A90" s="21" t="n">
        <v>3</v>
      </c>
      <c r="B90" s="21" t="n">
        <v>2022</v>
      </c>
      <c r="C90" s="26" t="n">
        <v>44658</v>
      </c>
      <c r="D90" s="21" t="s">
        <v>655</v>
      </c>
      <c r="E90" s="20" t="s">
        <v>24</v>
      </c>
      <c r="F90" s="21" t="s">
        <v>658</v>
      </c>
      <c r="G90" s="27" t="n">
        <v>72</v>
      </c>
      <c r="H90" s="27" t="n">
        <v>84</v>
      </c>
      <c r="I90" s="27" t="n">
        <v>78</v>
      </c>
      <c r="J90" s="21" t="s">
        <v>556</v>
      </c>
      <c r="K90" s="27" t="n">
        <v>78</v>
      </c>
    </row>
    <row r="91" customFormat="false" ht="13.8" hidden="false" customHeight="false" outlineLevel="0" collapsed="false">
      <c r="A91" s="21" t="n">
        <v>3</v>
      </c>
      <c r="B91" s="21" t="n">
        <v>2022</v>
      </c>
      <c r="C91" s="26" t="n">
        <v>44658</v>
      </c>
      <c r="D91" s="21" t="s">
        <v>655</v>
      </c>
      <c r="E91" s="20" t="s">
        <v>70</v>
      </c>
      <c r="F91" s="21" t="s">
        <v>657</v>
      </c>
      <c r="G91" s="27" t="n">
        <v>50</v>
      </c>
      <c r="H91" s="27" t="n">
        <v>60</v>
      </c>
      <c r="I91" s="27" t="n">
        <v>55</v>
      </c>
      <c r="J91" s="21" t="s">
        <v>556</v>
      </c>
      <c r="K91" s="27" t="n">
        <v>55</v>
      </c>
    </row>
    <row r="92" customFormat="false" ht="25" hidden="false" customHeight="false" outlineLevel="0" collapsed="false">
      <c r="A92" s="21" t="n">
        <v>3</v>
      </c>
      <c r="B92" s="21" t="n">
        <v>2022</v>
      </c>
      <c r="C92" s="26" t="n">
        <v>44658</v>
      </c>
      <c r="D92" s="21" t="s">
        <v>655</v>
      </c>
      <c r="E92" s="20" t="s">
        <v>71</v>
      </c>
      <c r="F92" s="21" t="s">
        <v>657</v>
      </c>
      <c r="G92" s="27" t="n">
        <v>50</v>
      </c>
      <c r="H92" s="27" t="n">
        <v>50</v>
      </c>
      <c r="I92" s="27" t="n">
        <v>50</v>
      </c>
      <c r="J92" s="27" t="n">
        <v>50</v>
      </c>
      <c r="K92" s="27" t="n">
        <v>50</v>
      </c>
    </row>
    <row r="93" customFormat="false" ht="25" hidden="false" customHeight="false" outlineLevel="0" collapsed="false">
      <c r="A93" s="21" t="n">
        <v>3</v>
      </c>
      <c r="B93" s="21" t="n">
        <v>2022</v>
      </c>
      <c r="C93" s="26" t="n">
        <v>44658</v>
      </c>
      <c r="D93" s="21" t="s">
        <v>655</v>
      </c>
      <c r="E93" s="20" t="s">
        <v>72</v>
      </c>
      <c r="F93" s="21" t="s">
        <v>657</v>
      </c>
      <c r="G93" s="27" t="n">
        <v>30</v>
      </c>
      <c r="H93" s="27" t="n">
        <v>35</v>
      </c>
      <c r="I93" s="27" t="n">
        <v>32.5</v>
      </c>
      <c r="J93" s="21" t="s">
        <v>556</v>
      </c>
      <c r="K93" s="27" t="n">
        <v>32.5</v>
      </c>
    </row>
    <row r="94" customFormat="false" ht="13.8" hidden="false" customHeight="false" outlineLevel="0" collapsed="false">
      <c r="A94" s="21" t="n">
        <v>3</v>
      </c>
      <c r="B94" s="21" t="n">
        <v>2022</v>
      </c>
      <c r="C94" s="26" t="n">
        <v>44658</v>
      </c>
      <c r="D94" s="21" t="s">
        <v>655</v>
      </c>
      <c r="E94" s="20" t="s">
        <v>35</v>
      </c>
      <c r="F94" s="21" t="s">
        <v>670</v>
      </c>
      <c r="G94" s="27" t="n">
        <v>4</v>
      </c>
      <c r="H94" s="27" t="n">
        <v>4</v>
      </c>
      <c r="I94" s="27" t="n">
        <v>4</v>
      </c>
      <c r="J94" s="27" t="n">
        <v>4</v>
      </c>
      <c r="K94" s="27" t="n">
        <v>4</v>
      </c>
    </row>
    <row r="95" customFormat="false" ht="13.8" hidden="false" customHeight="false" outlineLevel="0" collapsed="false">
      <c r="A95" s="21" t="n">
        <v>3</v>
      </c>
      <c r="B95" s="21" t="n">
        <v>2022</v>
      </c>
      <c r="C95" s="26" t="n">
        <v>44658</v>
      </c>
      <c r="D95" s="21" t="s">
        <v>655</v>
      </c>
      <c r="E95" s="20" t="s">
        <v>56</v>
      </c>
      <c r="F95" s="21" t="s">
        <v>660</v>
      </c>
      <c r="G95" s="27" t="n">
        <v>90</v>
      </c>
      <c r="H95" s="27" t="n">
        <v>140</v>
      </c>
      <c r="I95" s="27" t="n">
        <v>125.89</v>
      </c>
      <c r="J95" s="27" t="n">
        <v>140</v>
      </c>
      <c r="K95" s="27" t="n">
        <v>130</v>
      </c>
    </row>
    <row r="96" customFormat="false" ht="13.8" hidden="false" customHeight="false" outlineLevel="0" collapsed="false">
      <c r="A96" s="21" t="n">
        <v>3</v>
      </c>
      <c r="B96" s="21" t="n">
        <v>2022</v>
      </c>
      <c r="C96" s="26" t="n">
        <v>44658</v>
      </c>
      <c r="D96" s="21" t="s">
        <v>655</v>
      </c>
      <c r="E96" s="20" t="s">
        <v>57</v>
      </c>
      <c r="F96" s="21" t="s">
        <v>657</v>
      </c>
      <c r="G96" s="27" t="n">
        <v>45</v>
      </c>
      <c r="H96" s="27" t="n">
        <v>60</v>
      </c>
      <c r="I96" s="27" t="n">
        <v>53.33</v>
      </c>
      <c r="J96" s="27" t="n">
        <v>50</v>
      </c>
      <c r="K96" s="27" t="n">
        <v>50</v>
      </c>
    </row>
    <row r="97" customFormat="false" ht="13.8" hidden="false" customHeight="false" outlineLevel="0" collapsed="false">
      <c r="A97" s="21" t="n">
        <v>3</v>
      </c>
      <c r="B97" s="21" t="n">
        <v>2022</v>
      </c>
      <c r="C97" s="26" t="n">
        <v>44658</v>
      </c>
      <c r="D97" s="21" t="s">
        <v>655</v>
      </c>
      <c r="E97" s="20" t="s">
        <v>38</v>
      </c>
      <c r="F97" s="21" t="s">
        <v>664</v>
      </c>
      <c r="G97" s="27" t="n">
        <v>30</v>
      </c>
      <c r="H97" s="27" t="n">
        <v>30</v>
      </c>
      <c r="I97" s="27" t="n">
        <v>30</v>
      </c>
      <c r="J97" s="27" t="n">
        <v>30</v>
      </c>
      <c r="K97" s="27" t="n">
        <v>30</v>
      </c>
    </row>
    <row r="98" customFormat="false" ht="25" hidden="false" customHeight="false" outlineLevel="0" collapsed="false">
      <c r="A98" s="21" t="n">
        <v>3</v>
      </c>
      <c r="B98" s="21" t="n">
        <v>2022</v>
      </c>
      <c r="C98" s="26" t="n">
        <v>44658</v>
      </c>
      <c r="D98" s="21" t="s">
        <v>655</v>
      </c>
      <c r="E98" s="20" t="s">
        <v>666</v>
      </c>
      <c r="F98" s="21" t="s">
        <v>658</v>
      </c>
      <c r="G98" s="27" t="n">
        <v>24</v>
      </c>
      <c r="H98" s="27" t="n">
        <v>30</v>
      </c>
      <c r="I98" s="27" t="n">
        <v>27</v>
      </c>
      <c r="J98" s="21" t="s">
        <v>556</v>
      </c>
      <c r="K98" s="27" t="n">
        <v>27</v>
      </c>
    </row>
    <row r="99" customFormat="false" ht="13.8" hidden="false" customHeight="false" outlineLevel="0" collapsed="false">
      <c r="A99" s="21" t="n">
        <v>3</v>
      </c>
      <c r="B99" s="21" t="n">
        <v>2022</v>
      </c>
      <c r="C99" s="26" t="n">
        <v>44658</v>
      </c>
      <c r="D99" s="21" t="s">
        <v>655</v>
      </c>
      <c r="E99" s="20" t="s">
        <v>77</v>
      </c>
      <c r="F99" s="21" t="s">
        <v>658</v>
      </c>
      <c r="G99" s="27" t="n">
        <v>80</v>
      </c>
      <c r="H99" s="27" t="n">
        <v>84</v>
      </c>
      <c r="I99" s="27" t="n">
        <v>82</v>
      </c>
      <c r="J99" s="27" t="n">
        <v>80</v>
      </c>
      <c r="K99" s="27" t="n">
        <v>82</v>
      </c>
    </row>
    <row r="100" customFormat="false" ht="13.8" hidden="false" customHeight="false" outlineLevel="0" collapsed="false">
      <c r="A100" s="21" t="n">
        <v>3</v>
      </c>
      <c r="B100" s="21" t="n">
        <v>2022</v>
      </c>
      <c r="C100" s="26" t="n">
        <v>44658</v>
      </c>
      <c r="D100" s="21" t="s">
        <v>655</v>
      </c>
      <c r="E100" s="20" t="s">
        <v>27</v>
      </c>
      <c r="F100" s="21" t="s">
        <v>658</v>
      </c>
      <c r="G100" s="27" t="n">
        <v>30</v>
      </c>
      <c r="H100" s="27" t="n">
        <v>30</v>
      </c>
      <c r="I100" s="27" t="n">
        <v>30</v>
      </c>
      <c r="J100" s="27" t="n">
        <v>30</v>
      </c>
      <c r="K100" s="27" t="n">
        <v>30</v>
      </c>
    </row>
    <row r="101" customFormat="false" ht="13.8" hidden="false" customHeight="false" outlineLevel="0" collapsed="false">
      <c r="A101" s="21" t="n">
        <v>3</v>
      </c>
      <c r="B101" s="21" t="n">
        <v>2022</v>
      </c>
      <c r="C101" s="26" t="n">
        <v>44658</v>
      </c>
      <c r="D101" s="21" t="s">
        <v>655</v>
      </c>
      <c r="E101" s="20" t="s">
        <v>28</v>
      </c>
      <c r="F101" s="21" t="s">
        <v>658</v>
      </c>
      <c r="G101" s="27" t="n">
        <v>60</v>
      </c>
      <c r="H101" s="27" t="n">
        <v>60</v>
      </c>
      <c r="I101" s="27" t="n">
        <v>60</v>
      </c>
      <c r="J101" s="27" t="n">
        <v>60</v>
      </c>
      <c r="K101" s="27" t="n">
        <v>60</v>
      </c>
    </row>
    <row r="102" customFormat="false" ht="13.8" hidden="false" customHeight="false" outlineLevel="0" collapsed="false">
      <c r="A102" s="21" t="n">
        <v>3</v>
      </c>
      <c r="B102" s="21" t="n">
        <v>2022</v>
      </c>
      <c r="C102" s="26" t="n">
        <v>44658</v>
      </c>
      <c r="D102" s="21" t="s">
        <v>655</v>
      </c>
      <c r="E102" s="20" t="s">
        <v>73</v>
      </c>
      <c r="F102" s="21" t="s">
        <v>661</v>
      </c>
      <c r="G102" s="27" t="n">
        <v>38</v>
      </c>
      <c r="H102" s="27" t="n">
        <v>38</v>
      </c>
      <c r="I102" s="27" t="n">
        <v>38</v>
      </c>
      <c r="J102" s="21" t="s">
        <v>556</v>
      </c>
      <c r="K102" s="27" t="n">
        <v>38</v>
      </c>
    </row>
    <row r="103" customFormat="false" ht="13.8" hidden="false" customHeight="false" outlineLevel="0" collapsed="false">
      <c r="A103" s="21" t="n">
        <v>3</v>
      </c>
      <c r="B103" s="21" t="n">
        <v>2022</v>
      </c>
      <c r="C103" s="26" t="n">
        <v>44658</v>
      </c>
      <c r="D103" s="21" t="s">
        <v>655</v>
      </c>
      <c r="E103" s="20" t="s">
        <v>58</v>
      </c>
      <c r="F103" s="21" t="s">
        <v>657</v>
      </c>
      <c r="G103" s="27" t="n">
        <v>60</v>
      </c>
      <c r="H103" s="27" t="n">
        <v>80</v>
      </c>
      <c r="I103" s="27" t="n">
        <v>71.67</v>
      </c>
      <c r="J103" s="27" t="n">
        <v>70</v>
      </c>
      <c r="K103" s="27" t="n">
        <v>70</v>
      </c>
    </row>
    <row r="104" customFormat="false" ht="13.8" hidden="false" customHeight="false" outlineLevel="0" collapsed="false">
      <c r="A104" s="21" t="n">
        <v>3</v>
      </c>
      <c r="B104" s="21" t="n">
        <v>2022</v>
      </c>
      <c r="C104" s="26" t="n">
        <v>44658</v>
      </c>
      <c r="D104" s="21" t="s">
        <v>655</v>
      </c>
      <c r="E104" s="20" t="s">
        <v>60</v>
      </c>
      <c r="F104" s="21" t="s">
        <v>671</v>
      </c>
      <c r="G104" s="27" t="n">
        <v>90</v>
      </c>
      <c r="H104" s="27" t="n">
        <v>90</v>
      </c>
      <c r="I104" s="27" t="n">
        <v>90</v>
      </c>
      <c r="J104" s="27" t="n">
        <v>90</v>
      </c>
      <c r="K104" s="27" t="n">
        <v>90</v>
      </c>
    </row>
    <row r="105" customFormat="false" ht="25" hidden="false" customHeight="false" outlineLevel="0" collapsed="false">
      <c r="A105" s="21" t="n">
        <v>3</v>
      </c>
      <c r="B105" s="21" t="n">
        <v>2022</v>
      </c>
      <c r="C105" s="26" t="n">
        <v>44658</v>
      </c>
      <c r="D105" s="21" t="s">
        <v>655</v>
      </c>
      <c r="E105" s="20" t="s">
        <v>74</v>
      </c>
      <c r="F105" s="21" t="s">
        <v>667</v>
      </c>
      <c r="G105" s="27" t="n">
        <v>60</v>
      </c>
      <c r="H105" s="27" t="n">
        <v>60</v>
      </c>
      <c r="I105" s="27" t="n">
        <v>60</v>
      </c>
      <c r="J105" s="21" t="s">
        <v>556</v>
      </c>
      <c r="K105" s="27" t="n">
        <v>60</v>
      </c>
    </row>
    <row r="106" customFormat="false" ht="25" hidden="false" customHeight="false" outlineLevel="0" collapsed="false">
      <c r="A106" s="21" t="n">
        <v>3</v>
      </c>
      <c r="B106" s="21" t="n">
        <v>2022</v>
      </c>
      <c r="C106" s="26" t="n">
        <v>44658</v>
      </c>
      <c r="D106" s="21" t="s">
        <v>655</v>
      </c>
      <c r="E106" s="20" t="s">
        <v>61</v>
      </c>
      <c r="F106" s="21" t="s">
        <v>657</v>
      </c>
      <c r="G106" s="27" t="n">
        <v>45</v>
      </c>
      <c r="H106" s="27" t="n">
        <v>70</v>
      </c>
      <c r="I106" s="27" t="n">
        <v>62.22</v>
      </c>
      <c r="J106" s="27" t="n">
        <v>65</v>
      </c>
      <c r="K106" s="27" t="n">
        <v>65</v>
      </c>
    </row>
    <row r="107" customFormat="false" ht="25" hidden="false" customHeight="false" outlineLevel="0" collapsed="false">
      <c r="A107" s="21" t="n">
        <v>3</v>
      </c>
      <c r="B107" s="21" t="n">
        <v>2022</v>
      </c>
      <c r="C107" s="26" t="n">
        <v>44658</v>
      </c>
      <c r="D107" s="21" t="s">
        <v>655</v>
      </c>
      <c r="E107" s="20" t="s">
        <v>62</v>
      </c>
      <c r="F107" s="21" t="s">
        <v>657</v>
      </c>
      <c r="G107" s="27" t="n">
        <v>120</v>
      </c>
      <c r="H107" s="27" t="n">
        <v>140</v>
      </c>
      <c r="I107" s="27" t="n">
        <v>124.44</v>
      </c>
      <c r="J107" s="27" t="n">
        <v>120</v>
      </c>
      <c r="K107" s="27" t="n">
        <v>120</v>
      </c>
    </row>
    <row r="108" customFormat="false" ht="25" hidden="false" customHeight="false" outlineLevel="0" collapsed="false">
      <c r="A108" s="21" t="n">
        <v>3</v>
      </c>
      <c r="B108" s="21" t="n">
        <v>2022</v>
      </c>
      <c r="C108" s="26" t="n">
        <v>44658</v>
      </c>
      <c r="D108" s="21" t="s">
        <v>655</v>
      </c>
      <c r="E108" s="20" t="s">
        <v>63</v>
      </c>
      <c r="F108" s="21" t="s">
        <v>661</v>
      </c>
      <c r="G108" s="27" t="n">
        <v>40</v>
      </c>
      <c r="H108" s="27" t="n">
        <v>65</v>
      </c>
      <c r="I108" s="27" t="n">
        <v>45.56</v>
      </c>
      <c r="J108" s="27" t="n">
        <v>40</v>
      </c>
      <c r="K108" s="27" t="n">
        <v>40</v>
      </c>
    </row>
    <row r="109" customFormat="false" ht="13.8" hidden="false" customHeight="false" outlineLevel="0" collapsed="false">
      <c r="A109" s="21" t="n">
        <v>3</v>
      </c>
      <c r="B109" s="21" t="n">
        <v>2022</v>
      </c>
      <c r="C109" s="26" t="n">
        <v>44658</v>
      </c>
      <c r="D109" s="21" t="s">
        <v>655</v>
      </c>
      <c r="E109" s="20" t="s">
        <v>64</v>
      </c>
      <c r="F109" s="21" t="s">
        <v>661</v>
      </c>
      <c r="G109" s="27" t="n">
        <v>100</v>
      </c>
      <c r="H109" s="27" t="n">
        <v>130</v>
      </c>
      <c r="I109" s="27" t="n">
        <v>118.89</v>
      </c>
      <c r="J109" s="27" t="n">
        <v>120</v>
      </c>
      <c r="K109" s="27" t="n">
        <v>120</v>
      </c>
    </row>
    <row r="110" customFormat="false" ht="13.8" hidden="false" customHeight="false" outlineLevel="0" collapsed="false">
      <c r="A110" s="21" t="n">
        <v>3</v>
      </c>
      <c r="B110" s="21" t="n">
        <v>2022</v>
      </c>
      <c r="C110" s="26" t="n">
        <v>44658</v>
      </c>
      <c r="D110" s="21" t="s">
        <v>655</v>
      </c>
      <c r="E110" s="20" t="s">
        <v>29</v>
      </c>
      <c r="F110" s="21" t="s">
        <v>658</v>
      </c>
      <c r="G110" s="27" t="n">
        <v>54</v>
      </c>
      <c r="H110" s="27" t="n">
        <v>54</v>
      </c>
      <c r="I110" s="27" t="n">
        <v>54</v>
      </c>
      <c r="J110" s="27" t="n">
        <v>54</v>
      </c>
      <c r="K110" s="27" t="n">
        <v>54</v>
      </c>
    </row>
    <row r="111" customFormat="false" ht="13.8" hidden="false" customHeight="false" outlineLevel="0" collapsed="false">
      <c r="A111" s="21" t="n">
        <v>3</v>
      </c>
      <c r="B111" s="21" t="n">
        <v>2022</v>
      </c>
      <c r="C111" s="26" t="n">
        <v>44658</v>
      </c>
      <c r="D111" s="21" t="s">
        <v>655</v>
      </c>
      <c r="E111" s="20" t="s">
        <v>31</v>
      </c>
      <c r="F111" s="21" t="s">
        <v>658</v>
      </c>
      <c r="G111" s="27" t="n">
        <v>60</v>
      </c>
      <c r="H111" s="27" t="n">
        <v>90</v>
      </c>
      <c r="I111" s="27" t="n">
        <v>77</v>
      </c>
      <c r="J111" s="27" t="n">
        <v>90</v>
      </c>
      <c r="K111" s="27" t="n">
        <v>80</v>
      </c>
    </row>
    <row r="112" customFormat="false" ht="25" hidden="false" customHeight="false" outlineLevel="0" collapsed="false">
      <c r="A112" s="21" t="n">
        <v>3</v>
      </c>
      <c r="B112" s="21" t="n">
        <v>2022</v>
      </c>
      <c r="C112" s="26" t="n">
        <v>44658</v>
      </c>
      <c r="D112" s="21" t="s">
        <v>655</v>
      </c>
      <c r="E112" s="20" t="s">
        <v>668</v>
      </c>
      <c r="F112" s="21" t="s">
        <v>658</v>
      </c>
      <c r="G112" s="27" t="n">
        <v>60</v>
      </c>
      <c r="H112" s="27" t="n">
        <v>84</v>
      </c>
      <c r="I112" s="27" t="n">
        <v>67.8</v>
      </c>
      <c r="J112" s="27" t="n">
        <v>60</v>
      </c>
      <c r="K112" s="27" t="n">
        <v>65</v>
      </c>
    </row>
    <row r="113" customFormat="false" ht="13.8" hidden="false" customHeight="false" outlineLevel="0" collapsed="false">
      <c r="A113" s="21" t="n">
        <v>3</v>
      </c>
      <c r="B113" s="21" t="n">
        <v>2022</v>
      </c>
      <c r="C113" s="26" t="n">
        <v>44658</v>
      </c>
      <c r="D113" s="21" t="s">
        <v>655</v>
      </c>
      <c r="E113" s="20" t="s">
        <v>33</v>
      </c>
      <c r="F113" s="21" t="s">
        <v>658</v>
      </c>
      <c r="G113" s="27" t="n">
        <v>42</v>
      </c>
      <c r="H113" s="27" t="n">
        <v>42</v>
      </c>
      <c r="I113" s="27" t="n">
        <v>42</v>
      </c>
      <c r="J113" s="27" t="n">
        <v>42</v>
      </c>
      <c r="K113" s="27" t="n">
        <v>42</v>
      </c>
    </row>
    <row r="114" customFormat="false" ht="13.8" hidden="false" customHeight="false" outlineLevel="0" collapsed="false">
      <c r="A114" s="21" t="n">
        <v>3</v>
      </c>
      <c r="B114" s="21" t="n">
        <v>2022</v>
      </c>
      <c r="C114" s="26" t="n">
        <v>44658</v>
      </c>
      <c r="D114" s="21" t="s">
        <v>655</v>
      </c>
      <c r="E114" s="20" t="s">
        <v>669</v>
      </c>
      <c r="F114" s="21" t="s">
        <v>664</v>
      </c>
      <c r="G114" s="27" t="n">
        <v>38</v>
      </c>
      <c r="H114" s="27" t="n">
        <v>40</v>
      </c>
      <c r="I114" s="27" t="n">
        <v>39</v>
      </c>
      <c r="J114" s="21" t="s">
        <v>556</v>
      </c>
      <c r="K114" s="27" t="n">
        <v>39</v>
      </c>
    </row>
    <row r="115" customFormat="false" ht="25" hidden="false" customHeight="false" outlineLevel="0" collapsed="false">
      <c r="A115" s="21" t="n">
        <v>3</v>
      </c>
      <c r="B115" s="21" t="n">
        <v>2022</v>
      </c>
      <c r="C115" s="26" t="n">
        <v>44658</v>
      </c>
      <c r="D115" s="21" t="s">
        <v>655</v>
      </c>
      <c r="E115" s="20" t="s">
        <v>67</v>
      </c>
      <c r="F115" s="21" t="s">
        <v>662</v>
      </c>
      <c r="G115" s="27" t="n">
        <v>140</v>
      </c>
      <c r="H115" s="27" t="n">
        <v>180</v>
      </c>
      <c r="I115" s="27" t="n">
        <v>163.33</v>
      </c>
      <c r="J115" s="27" t="n">
        <v>170</v>
      </c>
      <c r="K115" s="27" t="n">
        <v>170</v>
      </c>
    </row>
    <row r="116" customFormat="false" ht="25" hidden="false" customHeight="false" outlineLevel="0" collapsed="false">
      <c r="A116" s="21" t="n">
        <v>3</v>
      </c>
      <c r="B116" s="21" t="n">
        <v>2022</v>
      </c>
      <c r="C116" s="26" t="n">
        <v>44658</v>
      </c>
      <c r="D116" s="21" t="s">
        <v>655</v>
      </c>
      <c r="E116" s="20" t="s">
        <v>672</v>
      </c>
      <c r="F116" s="21" t="s">
        <v>657</v>
      </c>
      <c r="G116" s="27" t="n">
        <v>140</v>
      </c>
      <c r="H116" s="27" t="n">
        <v>200</v>
      </c>
      <c r="I116" s="27" t="n">
        <v>158.89</v>
      </c>
      <c r="J116" s="27" t="n">
        <v>140</v>
      </c>
      <c r="K116" s="27" t="n">
        <v>150</v>
      </c>
    </row>
    <row r="117" customFormat="false" ht="25" hidden="false" customHeight="false" outlineLevel="0" collapsed="false">
      <c r="A117" s="21" t="n">
        <v>4</v>
      </c>
      <c r="B117" s="21" t="n">
        <v>2022</v>
      </c>
      <c r="C117" s="26" t="n">
        <v>44665</v>
      </c>
      <c r="D117" s="21" t="s">
        <v>655</v>
      </c>
      <c r="E117" s="20" t="s">
        <v>656</v>
      </c>
      <c r="F117" s="21" t="s">
        <v>657</v>
      </c>
      <c r="G117" s="27" t="n">
        <v>50</v>
      </c>
      <c r="H117" s="27" t="n">
        <v>80</v>
      </c>
      <c r="I117" s="27" t="n">
        <v>68.13</v>
      </c>
      <c r="J117" s="27" t="n">
        <v>70</v>
      </c>
      <c r="K117" s="27" t="n">
        <v>70</v>
      </c>
    </row>
    <row r="118" customFormat="false" ht="13.8" hidden="false" customHeight="false" outlineLevel="0" collapsed="false">
      <c r="A118" s="21" t="n">
        <v>4</v>
      </c>
      <c r="B118" s="21" t="n">
        <v>2022</v>
      </c>
      <c r="C118" s="26" t="n">
        <v>44665</v>
      </c>
      <c r="D118" s="21" t="s">
        <v>655</v>
      </c>
      <c r="E118" s="20" t="s">
        <v>16</v>
      </c>
      <c r="F118" s="21" t="s">
        <v>658</v>
      </c>
      <c r="G118" s="27" t="n">
        <v>40</v>
      </c>
      <c r="H118" s="27" t="n">
        <v>72</v>
      </c>
      <c r="I118" s="27" t="n">
        <v>58</v>
      </c>
      <c r="J118" s="27" t="n">
        <v>60</v>
      </c>
      <c r="K118" s="27" t="n">
        <v>60</v>
      </c>
    </row>
    <row r="119" customFormat="false" ht="13.8" hidden="false" customHeight="false" outlineLevel="0" collapsed="false">
      <c r="A119" s="21" t="n">
        <v>4</v>
      </c>
      <c r="B119" s="21" t="n">
        <v>2022</v>
      </c>
      <c r="C119" s="26" t="n">
        <v>44665</v>
      </c>
      <c r="D119" s="21" t="s">
        <v>655</v>
      </c>
      <c r="E119" s="20" t="s">
        <v>18</v>
      </c>
      <c r="F119" s="21" t="s">
        <v>658</v>
      </c>
      <c r="G119" s="27" t="n">
        <v>60</v>
      </c>
      <c r="H119" s="27" t="n">
        <v>60</v>
      </c>
      <c r="I119" s="27" t="n">
        <v>60</v>
      </c>
      <c r="J119" s="27" t="n">
        <v>60</v>
      </c>
      <c r="K119" s="27" t="n">
        <v>60</v>
      </c>
    </row>
    <row r="120" customFormat="false" ht="25" hidden="false" customHeight="false" outlineLevel="0" collapsed="false">
      <c r="A120" s="21" t="n">
        <v>4</v>
      </c>
      <c r="B120" s="21" t="n">
        <v>2022</v>
      </c>
      <c r="C120" s="26" t="n">
        <v>44665</v>
      </c>
      <c r="D120" s="21" t="s">
        <v>655</v>
      </c>
      <c r="E120" s="20" t="s">
        <v>659</v>
      </c>
      <c r="F120" s="21" t="s">
        <v>658</v>
      </c>
      <c r="G120" s="27" t="n">
        <v>36</v>
      </c>
      <c r="H120" s="27" t="n">
        <v>54</v>
      </c>
      <c r="I120" s="27" t="n">
        <v>44</v>
      </c>
      <c r="J120" s="21" t="s">
        <v>556</v>
      </c>
      <c r="K120" s="27" t="n">
        <v>42</v>
      </c>
    </row>
    <row r="121" customFormat="false" ht="13.8" hidden="false" customHeight="false" outlineLevel="0" collapsed="false">
      <c r="A121" s="21" t="n">
        <v>4</v>
      </c>
      <c r="B121" s="21" t="n">
        <v>2022</v>
      </c>
      <c r="C121" s="26" t="n">
        <v>44665</v>
      </c>
      <c r="D121" s="21" t="s">
        <v>655</v>
      </c>
      <c r="E121" s="20" t="s">
        <v>20</v>
      </c>
      <c r="F121" s="21" t="s">
        <v>658</v>
      </c>
      <c r="G121" s="27" t="n">
        <v>24</v>
      </c>
      <c r="H121" s="27" t="n">
        <v>30</v>
      </c>
      <c r="I121" s="27" t="n">
        <v>28</v>
      </c>
      <c r="J121" s="27" t="n">
        <v>30</v>
      </c>
      <c r="K121" s="27" t="n">
        <v>30</v>
      </c>
    </row>
    <row r="122" customFormat="false" ht="13.8" hidden="false" customHeight="false" outlineLevel="0" collapsed="false">
      <c r="A122" s="21" t="n">
        <v>4</v>
      </c>
      <c r="B122" s="21" t="n">
        <v>2022</v>
      </c>
      <c r="C122" s="26" t="n">
        <v>44665</v>
      </c>
      <c r="D122" s="21" t="s">
        <v>655</v>
      </c>
      <c r="E122" s="20" t="s">
        <v>21</v>
      </c>
      <c r="F122" s="21" t="s">
        <v>658</v>
      </c>
      <c r="G122" s="27" t="n">
        <v>24</v>
      </c>
      <c r="H122" s="27" t="n">
        <v>30</v>
      </c>
      <c r="I122" s="27" t="n">
        <v>28</v>
      </c>
      <c r="J122" s="27" t="n">
        <v>30</v>
      </c>
      <c r="K122" s="27" t="n">
        <v>30</v>
      </c>
    </row>
    <row r="123" customFormat="false" ht="13.8" hidden="false" customHeight="false" outlineLevel="0" collapsed="false">
      <c r="A123" s="21" t="n">
        <v>4</v>
      </c>
      <c r="B123" s="21" t="n">
        <v>2022</v>
      </c>
      <c r="C123" s="26" t="n">
        <v>44665</v>
      </c>
      <c r="D123" s="21" t="s">
        <v>655</v>
      </c>
      <c r="E123" s="20" t="s">
        <v>22</v>
      </c>
      <c r="F123" s="21" t="s">
        <v>658</v>
      </c>
      <c r="G123" s="27" t="n">
        <v>48</v>
      </c>
      <c r="H123" s="27" t="n">
        <v>48</v>
      </c>
      <c r="I123" s="27" t="n">
        <v>48</v>
      </c>
      <c r="J123" s="27" t="n">
        <v>48</v>
      </c>
      <c r="K123" s="27" t="n">
        <v>48</v>
      </c>
    </row>
    <row r="124" customFormat="false" ht="13.8" hidden="false" customHeight="false" outlineLevel="0" collapsed="false">
      <c r="A124" s="21" t="n">
        <v>4</v>
      </c>
      <c r="B124" s="21" t="n">
        <v>2022</v>
      </c>
      <c r="C124" s="26" t="n">
        <v>44665</v>
      </c>
      <c r="D124" s="21" t="s">
        <v>655</v>
      </c>
      <c r="E124" s="20" t="s">
        <v>46</v>
      </c>
      <c r="F124" s="21" t="s">
        <v>660</v>
      </c>
      <c r="G124" s="27" t="n">
        <v>45</v>
      </c>
      <c r="H124" s="27" t="n">
        <v>55</v>
      </c>
      <c r="I124" s="27" t="n">
        <v>51.25</v>
      </c>
      <c r="J124" s="27" t="n">
        <v>55</v>
      </c>
      <c r="K124" s="27" t="n">
        <v>52.5</v>
      </c>
    </row>
    <row r="125" customFormat="false" ht="25" hidden="false" customHeight="false" outlineLevel="0" collapsed="false">
      <c r="A125" s="21" t="n">
        <v>4</v>
      </c>
      <c r="B125" s="21" t="n">
        <v>2022</v>
      </c>
      <c r="C125" s="26" t="n">
        <v>44665</v>
      </c>
      <c r="D125" s="21" t="s">
        <v>655</v>
      </c>
      <c r="E125" s="20" t="s">
        <v>48</v>
      </c>
      <c r="F125" s="21" t="s">
        <v>661</v>
      </c>
      <c r="G125" s="27" t="n">
        <v>40</v>
      </c>
      <c r="H125" s="27" t="n">
        <v>55</v>
      </c>
      <c r="I125" s="27" t="n">
        <v>47.5</v>
      </c>
      <c r="J125" s="27" t="n">
        <v>50</v>
      </c>
      <c r="K125" s="27" t="n">
        <v>47.5</v>
      </c>
    </row>
    <row r="126" customFormat="false" ht="25" hidden="false" customHeight="false" outlineLevel="0" collapsed="false">
      <c r="A126" s="21" t="n">
        <v>4</v>
      </c>
      <c r="B126" s="21" t="n">
        <v>2022</v>
      </c>
      <c r="C126" s="26" t="n">
        <v>44665</v>
      </c>
      <c r="D126" s="21" t="s">
        <v>655</v>
      </c>
      <c r="E126" s="20" t="s">
        <v>52</v>
      </c>
      <c r="F126" s="21" t="s">
        <v>661</v>
      </c>
      <c r="G126" s="27" t="n">
        <v>80</v>
      </c>
      <c r="H126" s="27" t="n">
        <v>80</v>
      </c>
      <c r="I126" s="27" t="n">
        <v>80</v>
      </c>
      <c r="J126" s="21" t="s">
        <v>556</v>
      </c>
      <c r="K126" s="27" t="n">
        <v>80</v>
      </c>
    </row>
    <row r="127" customFormat="false" ht="13.8" hidden="false" customHeight="false" outlineLevel="0" collapsed="false">
      <c r="A127" s="21" t="n">
        <v>4</v>
      </c>
      <c r="B127" s="21" t="n">
        <v>2022</v>
      </c>
      <c r="C127" s="26" t="n">
        <v>44665</v>
      </c>
      <c r="D127" s="21" t="s">
        <v>655</v>
      </c>
      <c r="E127" s="20" t="s">
        <v>53</v>
      </c>
      <c r="F127" s="21" t="s">
        <v>662</v>
      </c>
      <c r="G127" s="27" t="n">
        <v>60</v>
      </c>
      <c r="H127" s="27" t="n">
        <v>75</v>
      </c>
      <c r="I127" s="27" t="n">
        <v>70</v>
      </c>
      <c r="J127" s="27" t="n">
        <v>70</v>
      </c>
      <c r="K127" s="27" t="n">
        <v>70</v>
      </c>
    </row>
    <row r="128" customFormat="false" ht="36.5" hidden="false" customHeight="false" outlineLevel="0" collapsed="false">
      <c r="A128" s="21" t="n">
        <v>4</v>
      </c>
      <c r="B128" s="21" t="n">
        <v>2022</v>
      </c>
      <c r="C128" s="26" t="n">
        <v>44665</v>
      </c>
      <c r="D128" s="21" t="s">
        <v>655</v>
      </c>
      <c r="E128" s="20" t="s">
        <v>663</v>
      </c>
      <c r="F128" s="21" t="s">
        <v>658</v>
      </c>
      <c r="G128" s="27" t="n">
        <v>80</v>
      </c>
      <c r="H128" s="27" t="n">
        <v>90</v>
      </c>
      <c r="I128" s="27" t="n">
        <v>84.5</v>
      </c>
      <c r="J128" s="27" t="n">
        <v>84</v>
      </c>
      <c r="K128" s="27" t="n">
        <v>84</v>
      </c>
    </row>
    <row r="129" customFormat="false" ht="25" hidden="false" customHeight="false" outlineLevel="0" collapsed="false">
      <c r="A129" s="21" t="n">
        <v>4</v>
      </c>
      <c r="B129" s="21" t="n">
        <v>2022</v>
      </c>
      <c r="C129" s="26" t="n">
        <v>44665</v>
      </c>
      <c r="D129" s="21" t="s">
        <v>655</v>
      </c>
      <c r="E129" s="20" t="s">
        <v>24</v>
      </c>
      <c r="F129" s="21" t="s">
        <v>658</v>
      </c>
      <c r="G129" s="27" t="n">
        <v>70</v>
      </c>
      <c r="H129" s="27" t="n">
        <v>88</v>
      </c>
      <c r="I129" s="27" t="n">
        <v>79</v>
      </c>
      <c r="J129" s="21" t="s">
        <v>556</v>
      </c>
      <c r="K129" s="27" t="n">
        <v>79</v>
      </c>
    </row>
    <row r="130" customFormat="false" ht="13.8" hidden="false" customHeight="false" outlineLevel="0" collapsed="false">
      <c r="A130" s="21" t="n">
        <v>4</v>
      </c>
      <c r="B130" s="21" t="n">
        <v>2022</v>
      </c>
      <c r="C130" s="26" t="n">
        <v>44665</v>
      </c>
      <c r="D130" s="21" t="s">
        <v>655</v>
      </c>
      <c r="E130" s="20" t="s">
        <v>70</v>
      </c>
      <c r="F130" s="21" t="s">
        <v>657</v>
      </c>
      <c r="G130" s="27" t="n">
        <v>70</v>
      </c>
      <c r="H130" s="27" t="n">
        <v>70</v>
      </c>
      <c r="I130" s="27" t="n">
        <v>70</v>
      </c>
      <c r="J130" s="27" t="n">
        <v>70</v>
      </c>
      <c r="K130" s="27" t="n">
        <v>70</v>
      </c>
    </row>
    <row r="131" customFormat="false" ht="25" hidden="false" customHeight="false" outlineLevel="0" collapsed="false">
      <c r="A131" s="21" t="n">
        <v>4</v>
      </c>
      <c r="B131" s="21" t="n">
        <v>2022</v>
      </c>
      <c r="C131" s="26" t="n">
        <v>44665</v>
      </c>
      <c r="D131" s="21" t="s">
        <v>655</v>
      </c>
      <c r="E131" s="20" t="s">
        <v>71</v>
      </c>
      <c r="F131" s="21" t="s">
        <v>657</v>
      </c>
      <c r="G131" s="27" t="n">
        <v>50</v>
      </c>
      <c r="H131" s="27" t="n">
        <v>75</v>
      </c>
      <c r="I131" s="27" t="n">
        <v>62.5</v>
      </c>
      <c r="J131" s="21" t="s">
        <v>556</v>
      </c>
      <c r="K131" s="27" t="n">
        <v>62.5</v>
      </c>
    </row>
    <row r="132" customFormat="false" ht="25" hidden="false" customHeight="false" outlineLevel="0" collapsed="false">
      <c r="A132" s="21" t="n">
        <v>4</v>
      </c>
      <c r="B132" s="21" t="n">
        <v>2022</v>
      </c>
      <c r="C132" s="26" t="n">
        <v>44665</v>
      </c>
      <c r="D132" s="21" t="s">
        <v>655</v>
      </c>
      <c r="E132" s="20" t="s">
        <v>72</v>
      </c>
      <c r="F132" s="21" t="s">
        <v>657</v>
      </c>
      <c r="G132" s="27" t="n">
        <v>30</v>
      </c>
      <c r="H132" s="27" t="n">
        <v>40</v>
      </c>
      <c r="I132" s="27" t="n">
        <v>33.75</v>
      </c>
      <c r="J132" s="27" t="n">
        <v>30</v>
      </c>
      <c r="K132" s="27" t="n">
        <v>32.5</v>
      </c>
    </row>
    <row r="133" customFormat="false" ht="13.8" hidden="false" customHeight="false" outlineLevel="0" collapsed="false">
      <c r="A133" s="21" t="n">
        <v>4</v>
      </c>
      <c r="B133" s="21" t="n">
        <v>2022</v>
      </c>
      <c r="C133" s="26" t="n">
        <v>44665</v>
      </c>
      <c r="D133" s="21" t="s">
        <v>655</v>
      </c>
      <c r="E133" s="20" t="s">
        <v>35</v>
      </c>
      <c r="F133" s="21" t="s">
        <v>670</v>
      </c>
      <c r="G133" s="27" t="n">
        <v>4</v>
      </c>
      <c r="H133" s="27" t="n">
        <v>4</v>
      </c>
      <c r="I133" s="27" t="n">
        <v>4</v>
      </c>
      <c r="J133" s="27" t="n">
        <v>4</v>
      </c>
      <c r="K133" s="27" t="n">
        <v>4</v>
      </c>
    </row>
    <row r="134" customFormat="false" ht="13.8" hidden="false" customHeight="false" outlineLevel="0" collapsed="false">
      <c r="A134" s="21" t="n">
        <v>4</v>
      </c>
      <c r="B134" s="21" t="n">
        <v>2022</v>
      </c>
      <c r="C134" s="26" t="n">
        <v>44665</v>
      </c>
      <c r="D134" s="21" t="s">
        <v>655</v>
      </c>
      <c r="E134" s="20" t="s">
        <v>56</v>
      </c>
      <c r="F134" s="21" t="s">
        <v>660</v>
      </c>
      <c r="G134" s="27" t="n">
        <v>70</v>
      </c>
      <c r="H134" s="27" t="n">
        <v>140</v>
      </c>
      <c r="I134" s="27" t="n">
        <v>101</v>
      </c>
      <c r="J134" s="21" t="s">
        <v>556</v>
      </c>
      <c r="K134" s="27" t="n">
        <v>90</v>
      </c>
    </row>
    <row r="135" customFormat="false" ht="13.8" hidden="false" customHeight="false" outlineLevel="0" collapsed="false">
      <c r="A135" s="21" t="n">
        <v>4</v>
      </c>
      <c r="B135" s="21" t="n">
        <v>2022</v>
      </c>
      <c r="C135" s="26" t="n">
        <v>44665</v>
      </c>
      <c r="D135" s="21" t="s">
        <v>655</v>
      </c>
      <c r="E135" s="20" t="s">
        <v>57</v>
      </c>
      <c r="F135" s="21" t="s">
        <v>657</v>
      </c>
      <c r="G135" s="27" t="n">
        <v>45</v>
      </c>
      <c r="H135" s="27" t="n">
        <v>60</v>
      </c>
      <c r="I135" s="27" t="n">
        <v>54.17</v>
      </c>
      <c r="J135" s="27" t="n">
        <v>55</v>
      </c>
      <c r="K135" s="27" t="n">
        <v>55</v>
      </c>
    </row>
    <row r="136" customFormat="false" ht="13.8" hidden="false" customHeight="false" outlineLevel="0" collapsed="false">
      <c r="A136" s="21" t="n">
        <v>4</v>
      </c>
      <c r="B136" s="21" t="n">
        <v>2022</v>
      </c>
      <c r="C136" s="26" t="n">
        <v>44665</v>
      </c>
      <c r="D136" s="21" t="s">
        <v>655</v>
      </c>
      <c r="E136" s="20" t="s">
        <v>38</v>
      </c>
      <c r="F136" s="21" t="s">
        <v>664</v>
      </c>
      <c r="G136" s="27" t="n">
        <v>30</v>
      </c>
      <c r="H136" s="27" t="n">
        <v>35</v>
      </c>
      <c r="I136" s="27" t="n">
        <v>31.67</v>
      </c>
      <c r="J136" s="27" t="n">
        <v>30</v>
      </c>
      <c r="K136" s="27" t="n">
        <v>30</v>
      </c>
    </row>
    <row r="137" customFormat="false" ht="25" hidden="false" customHeight="false" outlineLevel="0" collapsed="false">
      <c r="A137" s="21" t="n">
        <v>4</v>
      </c>
      <c r="B137" s="21" t="n">
        <v>2022</v>
      </c>
      <c r="C137" s="26" t="n">
        <v>44665</v>
      </c>
      <c r="D137" s="21" t="s">
        <v>655</v>
      </c>
      <c r="E137" s="20" t="s">
        <v>666</v>
      </c>
      <c r="F137" s="21" t="s">
        <v>658</v>
      </c>
      <c r="G137" s="27" t="n">
        <v>24</v>
      </c>
      <c r="H137" s="27" t="n">
        <v>30</v>
      </c>
      <c r="I137" s="27" t="n">
        <v>28</v>
      </c>
      <c r="J137" s="27" t="n">
        <v>30</v>
      </c>
      <c r="K137" s="27" t="n">
        <v>30</v>
      </c>
    </row>
    <row r="138" customFormat="false" ht="13.8" hidden="false" customHeight="false" outlineLevel="0" collapsed="false">
      <c r="A138" s="21" t="n">
        <v>4</v>
      </c>
      <c r="B138" s="21" t="n">
        <v>2022</v>
      </c>
      <c r="C138" s="26" t="n">
        <v>44665</v>
      </c>
      <c r="D138" s="21" t="s">
        <v>655</v>
      </c>
      <c r="E138" s="20" t="s">
        <v>77</v>
      </c>
      <c r="F138" s="21" t="s">
        <v>658</v>
      </c>
      <c r="G138" s="27" t="n">
        <v>70</v>
      </c>
      <c r="H138" s="27" t="n">
        <v>90</v>
      </c>
      <c r="I138" s="27" t="n">
        <v>81.33</v>
      </c>
      <c r="J138" s="21" t="s">
        <v>556</v>
      </c>
      <c r="K138" s="27" t="n">
        <v>84</v>
      </c>
    </row>
    <row r="139" customFormat="false" ht="13.8" hidden="false" customHeight="false" outlineLevel="0" collapsed="false">
      <c r="A139" s="21" t="n">
        <v>4</v>
      </c>
      <c r="B139" s="21" t="n">
        <v>2022</v>
      </c>
      <c r="C139" s="26" t="n">
        <v>44665</v>
      </c>
      <c r="D139" s="21" t="s">
        <v>655</v>
      </c>
      <c r="E139" s="20" t="s">
        <v>27</v>
      </c>
      <c r="F139" s="21" t="s">
        <v>658</v>
      </c>
      <c r="G139" s="27" t="n">
        <v>24</v>
      </c>
      <c r="H139" s="27" t="n">
        <v>30</v>
      </c>
      <c r="I139" s="27" t="n">
        <v>28</v>
      </c>
      <c r="J139" s="27" t="n">
        <v>30</v>
      </c>
      <c r="K139" s="27" t="n">
        <v>30</v>
      </c>
    </row>
    <row r="140" customFormat="false" ht="13.8" hidden="false" customHeight="false" outlineLevel="0" collapsed="false">
      <c r="A140" s="21" t="n">
        <v>4</v>
      </c>
      <c r="B140" s="21" t="n">
        <v>2022</v>
      </c>
      <c r="C140" s="26" t="n">
        <v>44665</v>
      </c>
      <c r="D140" s="21" t="s">
        <v>655</v>
      </c>
      <c r="E140" s="20" t="s">
        <v>28</v>
      </c>
      <c r="F140" s="21" t="s">
        <v>658</v>
      </c>
      <c r="G140" s="27" t="n">
        <v>54</v>
      </c>
      <c r="H140" s="27" t="n">
        <v>60</v>
      </c>
      <c r="I140" s="27" t="n">
        <v>58</v>
      </c>
      <c r="J140" s="27" t="n">
        <v>60</v>
      </c>
      <c r="K140" s="27" t="n">
        <v>60</v>
      </c>
    </row>
    <row r="141" customFormat="false" ht="13.8" hidden="false" customHeight="false" outlineLevel="0" collapsed="false">
      <c r="A141" s="21" t="n">
        <v>4</v>
      </c>
      <c r="B141" s="21" t="n">
        <v>2022</v>
      </c>
      <c r="C141" s="26" t="n">
        <v>44665</v>
      </c>
      <c r="D141" s="21" t="s">
        <v>655</v>
      </c>
      <c r="E141" s="20" t="s">
        <v>73</v>
      </c>
      <c r="F141" s="21" t="s">
        <v>661</v>
      </c>
      <c r="G141" s="27" t="n">
        <v>37</v>
      </c>
      <c r="H141" s="27" t="n">
        <v>37</v>
      </c>
      <c r="I141" s="27" t="n">
        <v>37</v>
      </c>
      <c r="J141" s="21" t="s">
        <v>556</v>
      </c>
      <c r="K141" s="27" t="n">
        <v>37</v>
      </c>
    </row>
    <row r="142" customFormat="false" ht="13.8" hidden="false" customHeight="false" outlineLevel="0" collapsed="false">
      <c r="A142" s="21" t="n">
        <v>4</v>
      </c>
      <c r="B142" s="21" t="n">
        <v>2022</v>
      </c>
      <c r="C142" s="26" t="n">
        <v>44665</v>
      </c>
      <c r="D142" s="21" t="s">
        <v>655</v>
      </c>
      <c r="E142" s="20" t="s">
        <v>58</v>
      </c>
      <c r="F142" s="21" t="s">
        <v>657</v>
      </c>
      <c r="G142" s="27" t="n">
        <v>60</v>
      </c>
      <c r="H142" s="27" t="n">
        <v>80</v>
      </c>
      <c r="I142" s="27" t="n">
        <v>71.25</v>
      </c>
      <c r="J142" s="27" t="n">
        <v>70</v>
      </c>
      <c r="K142" s="27" t="n">
        <v>70</v>
      </c>
    </row>
    <row r="143" customFormat="false" ht="13.8" hidden="false" customHeight="false" outlineLevel="0" collapsed="false">
      <c r="A143" s="21" t="n">
        <v>4</v>
      </c>
      <c r="B143" s="21" t="n">
        <v>2022</v>
      </c>
      <c r="C143" s="26" t="n">
        <v>44665</v>
      </c>
      <c r="D143" s="21" t="s">
        <v>655</v>
      </c>
      <c r="E143" s="20" t="s">
        <v>60</v>
      </c>
      <c r="F143" s="21" t="s">
        <v>671</v>
      </c>
      <c r="G143" s="27" t="n">
        <v>50</v>
      </c>
      <c r="H143" s="27" t="n">
        <v>85</v>
      </c>
      <c r="I143" s="27" t="n">
        <v>63.33</v>
      </c>
      <c r="J143" s="27" t="n">
        <v>60</v>
      </c>
      <c r="K143" s="27" t="n">
        <v>60</v>
      </c>
    </row>
    <row r="144" customFormat="false" ht="25" hidden="false" customHeight="false" outlineLevel="0" collapsed="false">
      <c r="A144" s="21" t="n">
        <v>4</v>
      </c>
      <c r="B144" s="21" t="n">
        <v>2022</v>
      </c>
      <c r="C144" s="26" t="n">
        <v>44665</v>
      </c>
      <c r="D144" s="21" t="s">
        <v>655</v>
      </c>
      <c r="E144" s="20" t="s">
        <v>74</v>
      </c>
      <c r="F144" s="21" t="s">
        <v>667</v>
      </c>
      <c r="G144" s="27" t="n">
        <v>65</v>
      </c>
      <c r="H144" s="27" t="n">
        <v>65</v>
      </c>
      <c r="I144" s="27" t="n">
        <v>65</v>
      </c>
      <c r="J144" s="21" t="s">
        <v>556</v>
      </c>
      <c r="K144" s="27" t="n">
        <v>65</v>
      </c>
    </row>
    <row r="145" customFormat="false" ht="25" hidden="false" customHeight="false" outlineLevel="0" collapsed="false">
      <c r="A145" s="21" t="n">
        <v>4</v>
      </c>
      <c r="B145" s="21" t="n">
        <v>2022</v>
      </c>
      <c r="C145" s="26" t="n">
        <v>44665</v>
      </c>
      <c r="D145" s="21" t="s">
        <v>655</v>
      </c>
      <c r="E145" s="20" t="s">
        <v>61</v>
      </c>
      <c r="F145" s="21" t="s">
        <v>657</v>
      </c>
      <c r="G145" s="27" t="n">
        <v>60</v>
      </c>
      <c r="H145" s="27" t="n">
        <v>70</v>
      </c>
      <c r="I145" s="27" t="n">
        <v>61.67</v>
      </c>
      <c r="J145" s="27" t="n">
        <v>60</v>
      </c>
      <c r="K145" s="27" t="n">
        <v>60</v>
      </c>
    </row>
    <row r="146" customFormat="false" ht="25" hidden="false" customHeight="false" outlineLevel="0" collapsed="false">
      <c r="A146" s="21" t="n">
        <v>4</v>
      </c>
      <c r="B146" s="21" t="n">
        <v>2022</v>
      </c>
      <c r="C146" s="26" t="n">
        <v>44665</v>
      </c>
      <c r="D146" s="21" t="s">
        <v>655</v>
      </c>
      <c r="E146" s="20" t="s">
        <v>62</v>
      </c>
      <c r="F146" s="21" t="s">
        <v>657</v>
      </c>
      <c r="G146" s="27" t="n">
        <v>110</v>
      </c>
      <c r="H146" s="27" t="n">
        <v>140</v>
      </c>
      <c r="I146" s="27" t="n">
        <v>121.43</v>
      </c>
      <c r="J146" s="27" t="n">
        <v>120</v>
      </c>
      <c r="K146" s="27" t="n">
        <v>120</v>
      </c>
    </row>
    <row r="147" customFormat="false" ht="25" hidden="false" customHeight="false" outlineLevel="0" collapsed="false">
      <c r="A147" s="21" t="n">
        <v>4</v>
      </c>
      <c r="B147" s="21" t="n">
        <v>2022</v>
      </c>
      <c r="C147" s="26" t="n">
        <v>44665</v>
      </c>
      <c r="D147" s="21" t="s">
        <v>655</v>
      </c>
      <c r="E147" s="20" t="s">
        <v>63</v>
      </c>
      <c r="F147" s="21" t="s">
        <v>661</v>
      </c>
      <c r="G147" s="27" t="n">
        <v>45</v>
      </c>
      <c r="H147" s="27" t="n">
        <v>70</v>
      </c>
      <c r="I147" s="27" t="n">
        <v>51.43</v>
      </c>
      <c r="J147" s="27" t="n">
        <v>50</v>
      </c>
      <c r="K147" s="27" t="n">
        <v>50</v>
      </c>
    </row>
    <row r="148" customFormat="false" ht="13.8" hidden="false" customHeight="false" outlineLevel="0" collapsed="false">
      <c r="A148" s="21" t="n">
        <v>4</v>
      </c>
      <c r="B148" s="21" t="n">
        <v>2022</v>
      </c>
      <c r="C148" s="26" t="n">
        <v>44665</v>
      </c>
      <c r="D148" s="21" t="s">
        <v>655</v>
      </c>
      <c r="E148" s="20" t="s">
        <v>64</v>
      </c>
      <c r="F148" s="21" t="s">
        <v>661</v>
      </c>
      <c r="G148" s="27" t="n">
        <v>100</v>
      </c>
      <c r="H148" s="27" t="n">
        <v>120</v>
      </c>
      <c r="I148" s="27" t="n">
        <v>115</v>
      </c>
      <c r="J148" s="27" t="n">
        <v>120</v>
      </c>
      <c r="K148" s="27" t="n">
        <v>120</v>
      </c>
    </row>
    <row r="149" customFormat="false" ht="13.8" hidden="false" customHeight="false" outlineLevel="0" collapsed="false">
      <c r="A149" s="21" t="n">
        <v>4</v>
      </c>
      <c r="B149" s="21" t="n">
        <v>2022</v>
      </c>
      <c r="C149" s="26" t="n">
        <v>44665</v>
      </c>
      <c r="D149" s="21" t="s">
        <v>655</v>
      </c>
      <c r="E149" s="20" t="s">
        <v>29</v>
      </c>
      <c r="F149" s="21" t="s">
        <v>658</v>
      </c>
      <c r="G149" s="27" t="n">
        <v>48</v>
      </c>
      <c r="H149" s="27" t="n">
        <v>70</v>
      </c>
      <c r="I149" s="27" t="n">
        <v>59.33</v>
      </c>
      <c r="J149" s="21" t="s">
        <v>556</v>
      </c>
      <c r="K149" s="27" t="n">
        <v>60</v>
      </c>
    </row>
    <row r="150" customFormat="false" ht="13.8" hidden="false" customHeight="false" outlineLevel="0" collapsed="false">
      <c r="A150" s="21" t="n">
        <v>4</v>
      </c>
      <c r="B150" s="21" t="n">
        <v>2022</v>
      </c>
      <c r="C150" s="26" t="n">
        <v>44665</v>
      </c>
      <c r="D150" s="21" t="s">
        <v>655</v>
      </c>
      <c r="E150" s="20" t="s">
        <v>31</v>
      </c>
      <c r="F150" s="21" t="s">
        <v>658</v>
      </c>
      <c r="G150" s="27" t="n">
        <v>60</v>
      </c>
      <c r="H150" s="27" t="n">
        <v>84</v>
      </c>
      <c r="I150" s="27" t="n">
        <v>71.2</v>
      </c>
      <c r="J150" s="21" t="s">
        <v>556</v>
      </c>
      <c r="K150" s="27" t="n">
        <v>72</v>
      </c>
    </row>
    <row r="151" customFormat="false" ht="25" hidden="false" customHeight="false" outlineLevel="0" collapsed="false">
      <c r="A151" s="21" t="n">
        <v>4</v>
      </c>
      <c r="B151" s="21" t="n">
        <v>2022</v>
      </c>
      <c r="C151" s="26" t="n">
        <v>44665</v>
      </c>
      <c r="D151" s="21" t="s">
        <v>655</v>
      </c>
      <c r="E151" s="20" t="s">
        <v>668</v>
      </c>
      <c r="F151" s="21" t="s">
        <v>658</v>
      </c>
      <c r="G151" s="27" t="n">
        <v>60</v>
      </c>
      <c r="H151" s="27" t="n">
        <v>84</v>
      </c>
      <c r="I151" s="27" t="n">
        <v>69.8</v>
      </c>
      <c r="J151" s="27" t="n">
        <v>70</v>
      </c>
      <c r="K151" s="27" t="n">
        <v>70</v>
      </c>
    </row>
    <row r="152" customFormat="false" ht="13.8" hidden="false" customHeight="false" outlineLevel="0" collapsed="false">
      <c r="A152" s="21" t="n">
        <v>4</v>
      </c>
      <c r="B152" s="21" t="n">
        <v>2022</v>
      </c>
      <c r="C152" s="26" t="n">
        <v>44665</v>
      </c>
      <c r="D152" s="21" t="s">
        <v>655</v>
      </c>
      <c r="E152" s="20" t="s">
        <v>33</v>
      </c>
      <c r="F152" s="21" t="s">
        <v>658</v>
      </c>
      <c r="G152" s="27" t="n">
        <v>42</v>
      </c>
      <c r="H152" s="27" t="n">
        <v>48</v>
      </c>
      <c r="I152" s="27" t="n">
        <v>44</v>
      </c>
      <c r="J152" s="27" t="n">
        <v>42</v>
      </c>
      <c r="K152" s="27" t="n">
        <v>42</v>
      </c>
    </row>
    <row r="153" customFormat="false" ht="13.8" hidden="false" customHeight="false" outlineLevel="0" collapsed="false">
      <c r="A153" s="21" t="n">
        <v>4</v>
      </c>
      <c r="B153" s="21" t="n">
        <v>2022</v>
      </c>
      <c r="C153" s="26" t="n">
        <v>44665</v>
      </c>
      <c r="D153" s="21" t="s">
        <v>655</v>
      </c>
      <c r="E153" s="20" t="s">
        <v>669</v>
      </c>
      <c r="F153" s="21" t="s">
        <v>664</v>
      </c>
      <c r="G153" s="27" t="n">
        <v>30</v>
      </c>
      <c r="H153" s="27" t="n">
        <v>42</v>
      </c>
      <c r="I153" s="27" t="n">
        <v>37.33</v>
      </c>
      <c r="J153" s="21" t="s">
        <v>556</v>
      </c>
      <c r="K153" s="27" t="n">
        <v>40</v>
      </c>
    </row>
    <row r="154" customFormat="false" ht="25" hidden="false" customHeight="false" outlineLevel="0" collapsed="false">
      <c r="A154" s="21" t="n">
        <v>4</v>
      </c>
      <c r="B154" s="21" t="n">
        <v>2022</v>
      </c>
      <c r="C154" s="26" t="n">
        <v>44665</v>
      </c>
      <c r="D154" s="21" t="s">
        <v>655</v>
      </c>
      <c r="E154" s="20" t="s">
        <v>67</v>
      </c>
      <c r="F154" s="21" t="s">
        <v>662</v>
      </c>
      <c r="G154" s="27" t="n">
        <v>180</v>
      </c>
      <c r="H154" s="27" t="n">
        <v>200</v>
      </c>
      <c r="I154" s="27" t="n">
        <v>186.25</v>
      </c>
      <c r="J154" s="27" t="n">
        <v>180</v>
      </c>
      <c r="K154" s="27" t="n">
        <v>180</v>
      </c>
    </row>
    <row r="155" customFormat="false" ht="25" hidden="false" customHeight="false" outlineLevel="0" collapsed="false">
      <c r="A155" s="21" t="n">
        <v>4</v>
      </c>
      <c r="B155" s="21" t="n">
        <v>2022</v>
      </c>
      <c r="C155" s="26" t="n">
        <v>44665</v>
      </c>
      <c r="D155" s="21" t="s">
        <v>655</v>
      </c>
      <c r="E155" s="20" t="s">
        <v>672</v>
      </c>
      <c r="F155" s="21" t="s">
        <v>657</v>
      </c>
      <c r="G155" s="27" t="n">
        <v>130</v>
      </c>
      <c r="H155" s="27" t="n">
        <v>200</v>
      </c>
      <c r="I155" s="27" t="n">
        <v>155.71</v>
      </c>
      <c r="J155" s="27" t="n">
        <v>130</v>
      </c>
      <c r="K155" s="27" t="n">
        <v>150</v>
      </c>
    </row>
    <row r="156" customFormat="false" ht="25" hidden="false" customHeight="false" outlineLevel="0" collapsed="false">
      <c r="A156" s="21" t="n">
        <v>5</v>
      </c>
      <c r="B156" s="21" t="n">
        <v>2022</v>
      </c>
      <c r="C156" s="26" t="n">
        <v>44679</v>
      </c>
      <c r="D156" s="21" t="s">
        <v>655</v>
      </c>
      <c r="E156" s="20" t="s">
        <v>656</v>
      </c>
      <c r="F156" s="21" t="s">
        <v>657</v>
      </c>
      <c r="G156" s="27" t="n">
        <v>35</v>
      </c>
      <c r="H156" s="27" t="n">
        <v>90</v>
      </c>
      <c r="I156" s="27" t="n">
        <v>52</v>
      </c>
      <c r="J156" s="27" t="n">
        <v>50</v>
      </c>
      <c r="K156" s="27" t="n">
        <v>50</v>
      </c>
    </row>
    <row r="157" customFormat="false" ht="13.8" hidden="false" customHeight="false" outlineLevel="0" collapsed="false">
      <c r="A157" s="21" t="n">
        <v>5</v>
      </c>
      <c r="B157" s="21" t="n">
        <v>2022</v>
      </c>
      <c r="C157" s="26" t="n">
        <v>44679</v>
      </c>
      <c r="D157" s="21" t="s">
        <v>655</v>
      </c>
      <c r="E157" s="20" t="s">
        <v>16</v>
      </c>
      <c r="F157" s="21" t="s">
        <v>658</v>
      </c>
      <c r="G157" s="27" t="n">
        <v>60</v>
      </c>
      <c r="H157" s="27" t="n">
        <v>72</v>
      </c>
      <c r="I157" s="27" t="n">
        <v>64</v>
      </c>
      <c r="J157" s="27" t="n">
        <v>60</v>
      </c>
      <c r="K157" s="27" t="n">
        <v>60</v>
      </c>
    </row>
    <row r="158" customFormat="false" ht="13.8" hidden="false" customHeight="false" outlineLevel="0" collapsed="false">
      <c r="A158" s="21" t="n">
        <v>5</v>
      </c>
      <c r="B158" s="21" t="n">
        <v>2022</v>
      </c>
      <c r="C158" s="26" t="n">
        <v>44679</v>
      </c>
      <c r="D158" s="21" t="s">
        <v>655</v>
      </c>
      <c r="E158" s="20" t="s">
        <v>18</v>
      </c>
      <c r="F158" s="21" t="s">
        <v>658</v>
      </c>
      <c r="G158" s="27" t="n">
        <v>42</v>
      </c>
      <c r="H158" s="27" t="n">
        <v>65</v>
      </c>
      <c r="I158" s="27" t="n">
        <v>55.67</v>
      </c>
      <c r="J158" s="21" t="s">
        <v>673</v>
      </c>
      <c r="K158" s="27" t="n">
        <v>60</v>
      </c>
    </row>
    <row r="159" customFormat="false" ht="25" hidden="false" customHeight="false" outlineLevel="0" collapsed="false">
      <c r="A159" s="21" t="n">
        <v>5</v>
      </c>
      <c r="B159" s="21" t="n">
        <v>2022</v>
      </c>
      <c r="C159" s="26" t="n">
        <v>44679</v>
      </c>
      <c r="D159" s="21" t="s">
        <v>655</v>
      </c>
      <c r="E159" s="20" t="s">
        <v>659</v>
      </c>
      <c r="F159" s="21" t="s">
        <v>658</v>
      </c>
      <c r="G159" s="27" t="n">
        <v>42</v>
      </c>
      <c r="H159" s="27" t="n">
        <v>48</v>
      </c>
      <c r="I159" s="27" t="n">
        <v>44</v>
      </c>
      <c r="J159" s="27" t="n">
        <v>42</v>
      </c>
      <c r="K159" s="27" t="n">
        <v>42</v>
      </c>
    </row>
    <row r="160" customFormat="false" ht="13.8" hidden="false" customHeight="false" outlineLevel="0" collapsed="false">
      <c r="A160" s="21" t="n">
        <v>5</v>
      </c>
      <c r="B160" s="21" t="n">
        <v>2022</v>
      </c>
      <c r="C160" s="26" t="n">
        <v>44679</v>
      </c>
      <c r="D160" s="21" t="s">
        <v>655</v>
      </c>
      <c r="E160" s="20" t="s">
        <v>20</v>
      </c>
      <c r="F160" s="21" t="s">
        <v>658</v>
      </c>
      <c r="G160" s="27" t="n">
        <v>24</v>
      </c>
      <c r="H160" s="27" t="n">
        <v>30</v>
      </c>
      <c r="I160" s="27" t="n">
        <v>28</v>
      </c>
      <c r="J160" s="27" t="n">
        <v>30</v>
      </c>
      <c r="K160" s="27" t="n">
        <v>30</v>
      </c>
    </row>
    <row r="161" customFormat="false" ht="13.8" hidden="false" customHeight="false" outlineLevel="0" collapsed="false">
      <c r="A161" s="21" t="n">
        <v>5</v>
      </c>
      <c r="B161" s="21" t="n">
        <v>2022</v>
      </c>
      <c r="C161" s="26" t="n">
        <v>44679</v>
      </c>
      <c r="D161" s="21" t="s">
        <v>655</v>
      </c>
      <c r="E161" s="20" t="s">
        <v>21</v>
      </c>
      <c r="F161" s="21" t="s">
        <v>658</v>
      </c>
      <c r="G161" s="27" t="n">
        <v>24</v>
      </c>
      <c r="H161" s="27" t="n">
        <v>30</v>
      </c>
      <c r="I161" s="27" t="n">
        <v>28</v>
      </c>
      <c r="J161" s="27" t="n">
        <v>30</v>
      </c>
      <c r="K161" s="27" t="n">
        <v>30</v>
      </c>
    </row>
    <row r="162" customFormat="false" ht="13.8" hidden="false" customHeight="false" outlineLevel="0" collapsed="false">
      <c r="A162" s="21" t="n">
        <v>5</v>
      </c>
      <c r="B162" s="21" t="n">
        <v>2022</v>
      </c>
      <c r="C162" s="26" t="n">
        <v>44679</v>
      </c>
      <c r="D162" s="21" t="s">
        <v>655</v>
      </c>
      <c r="E162" s="20" t="s">
        <v>22</v>
      </c>
      <c r="F162" s="21" t="s">
        <v>658</v>
      </c>
      <c r="G162" s="27" t="n">
        <v>36</v>
      </c>
      <c r="H162" s="27" t="n">
        <v>48</v>
      </c>
      <c r="I162" s="27" t="n">
        <v>42</v>
      </c>
      <c r="J162" s="21" t="s">
        <v>673</v>
      </c>
      <c r="K162" s="27" t="n">
        <v>42</v>
      </c>
    </row>
    <row r="163" customFormat="false" ht="13.8" hidden="false" customHeight="false" outlineLevel="0" collapsed="false">
      <c r="A163" s="21" t="n">
        <v>5</v>
      </c>
      <c r="B163" s="21" t="n">
        <v>2022</v>
      </c>
      <c r="C163" s="26" t="n">
        <v>44679</v>
      </c>
      <c r="D163" s="21" t="s">
        <v>655</v>
      </c>
      <c r="E163" s="20" t="s">
        <v>46</v>
      </c>
      <c r="F163" s="21" t="s">
        <v>660</v>
      </c>
      <c r="G163" s="27" t="n">
        <v>30</v>
      </c>
      <c r="H163" s="27" t="n">
        <v>60</v>
      </c>
      <c r="I163" s="27" t="n">
        <v>44.55</v>
      </c>
      <c r="J163" s="27" t="n">
        <v>50</v>
      </c>
      <c r="K163" s="27" t="n">
        <v>45</v>
      </c>
    </row>
    <row r="164" customFormat="false" ht="25" hidden="false" customHeight="false" outlineLevel="0" collapsed="false">
      <c r="A164" s="21" t="n">
        <v>5</v>
      </c>
      <c r="B164" s="21" t="n">
        <v>2022</v>
      </c>
      <c r="C164" s="26" t="n">
        <v>44679</v>
      </c>
      <c r="D164" s="21" t="s">
        <v>655</v>
      </c>
      <c r="E164" s="20" t="s">
        <v>48</v>
      </c>
      <c r="F164" s="21" t="s">
        <v>661</v>
      </c>
      <c r="G164" s="27" t="n">
        <v>30</v>
      </c>
      <c r="H164" s="27" t="n">
        <v>55</v>
      </c>
      <c r="I164" s="27" t="n">
        <v>44.23</v>
      </c>
      <c r="J164" s="27" t="n">
        <v>35</v>
      </c>
      <c r="K164" s="27" t="n">
        <v>45</v>
      </c>
    </row>
    <row r="165" customFormat="false" ht="25" hidden="false" customHeight="false" outlineLevel="0" collapsed="false">
      <c r="A165" s="21" t="n">
        <v>5</v>
      </c>
      <c r="B165" s="21" t="n">
        <v>2022</v>
      </c>
      <c r="C165" s="26" t="n">
        <v>44679</v>
      </c>
      <c r="D165" s="21" t="s">
        <v>655</v>
      </c>
      <c r="E165" s="20" t="s">
        <v>52</v>
      </c>
      <c r="F165" s="21" t="s">
        <v>661</v>
      </c>
      <c r="G165" s="27" t="n">
        <v>70</v>
      </c>
      <c r="H165" s="27" t="n">
        <v>100</v>
      </c>
      <c r="I165" s="27" t="n">
        <v>84</v>
      </c>
      <c r="J165" s="27" t="n">
        <v>70</v>
      </c>
      <c r="K165" s="27" t="n">
        <v>80</v>
      </c>
    </row>
    <row r="166" customFormat="false" ht="13.8" hidden="false" customHeight="false" outlineLevel="0" collapsed="false">
      <c r="A166" s="21" t="n">
        <v>5</v>
      </c>
      <c r="B166" s="21" t="n">
        <v>2022</v>
      </c>
      <c r="C166" s="26" t="n">
        <v>44679</v>
      </c>
      <c r="D166" s="21" t="s">
        <v>655</v>
      </c>
      <c r="E166" s="20" t="s">
        <v>53</v>
      </c>
      <c r="F166" s="21" t="s">
        <v>662</v>
      </c>
      <c r="G166" s="27" t="n">
        <v>50</v>
      </c>
      <c r="H166" s="27" t="n">
        <v>90</v>
      </c>
      <c r="I166" s="27" t="n">
        <v>69.09</v>
      </c>
      <c r="J166" s="27" t="n">
        <v>70</v>
      </c>
      <c r="K166" s="27" t="n">
        <v>70</v>
      </c>
    </row>
    <row r="167" customFormat="false" ht="36.5" hidden="false" customHeight="false" outlineLevel="0" collapsed="false">
      <c r="A167" s="21" t="n">
        <v>5</v>
      </c>
      <c r="B167" s="21" t="n">
        <v>2022</v>
      </c>
      <c r="C167" s="26" t="n">
        <v>44679</v>
      </c>
      <c r="D167" s="21" t="s">
        <v>655</v>
      </c>
      <c r="E167" s="20" t="s">
        <v>663</v>
      </c>
      <c r="F167" s="21" t="s">
        <v>658</v>
      </c>
      <c r="G167" s="27" t="n">
        <v>72</v>
      </c>
      <c r="H167" s="27" t="n">
        <v>90</v>
      </c>
      <c r="I167" s="27" t="n">
        <v>82.5</v>
      </c>
      <c r="J167" s="27" t="n">
        <v>84</v>
      </c>
      <c r="K167" s="27" t="n">
        <v>84</v>
      </c>
    </row>
    <row r="168" customFormat="false" ht="25" hidden="false" customHeight="false" outlineLevel="0" collapsed="false">
      <c r="A168" s="21" t="n">
        <v>5</v>
      </c>
      <c r="B168" s="21" t="n">
        <v>2022</v>
      </c>
      <c r="C168" s="26" t="n">
        <v>44679</v>
      </c>
      <c r="D168" s="21" t="s">
        <v>655</v>
      </c>
      <c r="E168" s="20" t="s">
        <v>24</v>
      </c>
      <c r="F168" s="21" t="s">
        <v>658</v>
      </c>
      <c r="G168" s="27" t="n">
        <v>70</v>
      </c>
      <c r="H168" s="27" t="n">
        <v>84</v>
      </c>
      <c r="I168" s="27" t="n">
        <v>78</v>
      </c>
      <c r="J168" s="21" t="s">
        <v>673</v>
      </c>
      <c r="K168" s="27" t="n">
        <v>80</v>
      </c>
    </row>
    <row r="169" customFormat="false" ht="13.8" hidden="false" customHeight="false" outlineLevel="0" collapsed="false">
      <c r="A169" s="21" t="n">
        <v>5</v>
      </c>
      <c r="B169" s="21" t="n">
        <v>2022</v>
      </c>
      <c r="C169" s="26" t="n">
        <v>44679</v>
      </c>
      <c r="D169" s="21" t="s">
        <v>655</v>
      </c>
      <c r="E169" s="20" t="s">
        <v>70</v>
      </c>
      <c r="F169" s="21" t="s">
        <v>657</v>
      </c>
      <c r="G169" s="27" t="n">
        <v>60</v>
      </c>
      <c r="H169" s="27" t="n">
        <v>95</v>
      </c>
      <c r="I169" s="27" t="n">
        <v>77.5</v>
      </c>
      <c r="J169" s="21" t="s">
        <v>673</v>
      </c>
      <c r="K169" s="27" t="n">
        <v>77.5</v>
      </c>
    </row>
    <row r="170" customFormat="false" ht="25" hidden="false" customHeight="false" outlineLevel="0" collapsed="false">
      <c r="A170" s="21" t="n">
        <v>5</v>
      </c>
      <c r="B170" s="21" t="n">
        <v>2022</v>
      </c>
      <c r="C170" s="26" t="n">
        <v>44679</v>
      </c>
      <c r="D170" s="21" t="s">
        <v>655</v>
      </c>
      <c r="E170" s="20" t="s">
        <v>71</v>
      </c>
      <c r="F170" s="21" t="s">
        <v>657</v>
      </c>
      <c r="G170" s="27" t="n">
        <v>50</v>
      </c>
      <c r="H170" s="27" t="n">
        <v>75</v>
      </c>
      <c r="I170" s="27" t="n">
        <v>58.75</v>
      </c>
      <c r="J170" s="27" t="n">
        <v>50</v>
      </c>
      <c r="K170" s="27" t="n">
        <v>55</v>
      </c>
    </row>
    <row r="171" customFormat="false" ht="25" hidden="false" customHeight="false" outlineLevel="0" collapsed="false">
      <c r="A171" s="21" t="n">
        <v>5</v>
      </c>
      <c r="B171" s="21" t="n">
        <v>2022</v>
      </c>
      <c r="C171" s="26" t="n">
        <v>44679</v>
      </c>
      <c r="D171" s="21" t="s">
        <v>655</v>
      </c>
      <c r="E171" s="20" t="s">
        <v>72</v>
      </c>
      <c r="F171" s="21" t="s">
        <v>657</v>
      </c>
      <c r="G171" s="27" t="n">
        <v>15</v>
      </c>
      <c r="H171" s="27" t="n">
        <v>35</v>
      </c>
      <c r="I171" s="27" t="n">
        <v>29</v>
      </c>
      <c r="J171" s="27" t="n">
        <v>30</v>
      </c>
      <c r="K171" s="27" t="n">
        <v>30</v>
      </c>
    </row>
    <row r="172" customFormat="false" ht="13.8" hidden="false" customHeight="false" outlineLevel="0" collapsed="false">
      <c r="A172" s="21" t="n">
        <v>5</v>
      </c>
      <c r="B172" s="21" t="n">
        <v>2022</v>
      </c>
      <c r="C172" s="26" t="n">
        <v>44679</v>
      </c>
      <c r="D172" s="21" t="s">
        <v>655</v>
      </c>
      <c r="E172" s="20" t="s">
        <v>35</v>
      </c>
      <c r="F172" s="21" t="s">
        <v>670</v>
      </c>
      <c r="G172" s="27" t="n">
        <v>3.5</v>
      </c>
      <c r="H172" s="27" t="n">
        <v>4</v>
      </c>
      <c r="I172" s="27" t="n">
        <v>3.83</v>
      </c>
      <c r="J172" s="27" t="n">
        <v>4</v>
      </c>
      <c r="K172" s="27" t="n">
        <v>4</v>
      </c>
    </row>
    <row r="173" customFormat="false" ht="13.8" hidden="false" customHeight="false" outlineLevel="0" collapsed="false">
      <c r="A173" s="21" t="n">
        <v>5</v>
      </c>
      <c r="B173" s="21" t="n">
        <v>2022</v>
      </c>
      <c r="C173" s="26" t="n">
        <v>44679</v>
      </c>
      <c r="D173" s="21" t="s">
        <v>655</v>
      </c>
      <c r="E173" s="20" t="s">
        <v>56</v>
      </c>
      <c r="F173" s="21" t="s">
        <v>660</v>
      </c>
      <c r="G173" s="27" t="n">
        <v>80</v>
      </c>
      <c r="H173" s="27" t="n">
        <v>120</v>
      </c>
      <c r="I173" s="27" t="n">
        <v>96.25</v>
      </c>
      <c r="J173" s="27" t="n">
        <v>80</v>
      </c>
      <c r="K173" s="27" t="n">
        <v>95</v>
      </c>
    </row>
    <row r="174" customFormat="false" ht="13.8" hidden="false" customHeight="false" outlineLevel="0" collapsed="false">
      <c r="A174" s="21" t="n">
        <v>5</v>
      </c>
      <c r="B174" s="21" t="n">
        <v>2022</v>
      </c>
      <c r="C174" s="26" t="n">
        <v>44679</v>
      </c>
      <c r="D174" s="21" t="s">
        <v>655</v>
      </c>
      <c r="E174" s="20" t="s">
        <v>57</v>
      </c>
      <c r="F174" s="21" t="s">
        <v>657</v>
      </c>
      <c r="G174" s="27" t="n">
        <v>35</v>
      </c>
      <c r="H174" s="27" t="n">
        <v>65</v>
      </c>
      <c r="I174" s="27" t="n">
        <v>46.36</v>
      </c>
      <c r="J174" s="27" t="n">
        <v>50</v>
      </c>
      <c r="K174" s="27" t="n">
        <v>45</v>
      </c>
    </row>
    <row r="175" customFormat="false" ht="13.8" hidden="false" customHeight="false" outlineLevel="0" collapsed="false">
      <c r="A175" s="21" t="n">
        <v>5</v>
      </c>
      <c r="B175" s="21" t="n">
        <v>2022</v>
      </c>
      <c r="C175" s="26" t="n">
        <v>44679</v>
      </c>
      <c r="D175" s="21" t="s">
        <v>655</v>
      </c>
      <c r="E175" s="20" t="s">
        <v>38</v>
      </c>
      <c r="F175" s="21" t="s">
        <v>664</v>
      </c>
      <c r="G175" s="27" t="n">
        <v>25</v>
      </c>
      <c r="H175" s="27" t="n">
        <v>30</v>
      </c>
      <c r="I175" s="27" t="n">
        <v>26.25</v>
      </c>
      <c r="J175" s="27" t="n">
        <v>25</v>
      </c>
      <c r="K175" s="27" t="n">
        <v>25</v>
      </c>
    </row>
    <row r="176" customFormat="false" ht="25" hidden="false" customHeight="false" outlineLevel="0" collapsed="false">
      <c r="A176" s="21" t="n">
        <v>5</v>
      </c>
      <c r="B176" s="21" t="n">
        <v>2022</v>
      </c>
      <c r="C176" s="26" t="n">
        <v>44679</v>
      </c>
      <c r="D176" s="21" t="s">
        <v>655</v>
      </c>
      <c r="E176" s="20" t="s">
        <v>666</v>
      </c>
      <c r="F176" s="21" t="s">
        <v>658</v>
      </c>
      <c r="G176" s="27" t="n">
        <v>18</v>
      </c>
      <c r="H176" s="27" t="n">
        <v>30</v>
      </c>
      <c r="I176" s="27" t="n">
        <v>25.75</v>
      </c>
      <c r="J176" s="27" t="n">
        <v>30</v>
      </c>
      <c r="K176" s="27" t="n">
        <v>27.5</v>
      </c>
    </row>
    <row r="177" customFormat="false" ht="13.8" hidden="false" customHeight="false" outlineLevel="0" collapsed="false">
      <c r="A177" s="21" t="n">
        <v>5</v>
      </c>
      <c r="B177" s="21" t="n">
        <v>2022</v>
      </c>
      <c r="C177" s="26" t="n">
        <v>44679</v>
      </c>
      <c r="D177" s="21" t="s">
        <v>655</v>
      </c>
      <c r="E177" s="20" t="s">
        <v>77</v>
      </c>
      <c r="F177" s="21" t="s">
        <v>658</v>
      </c>
      <c r="G177" s="27" t="n">
        <v>80</v>
      </c>
      <c r="H177" s="27" t="n">
        <v>90</v>
      </c>
      <c r="I177" s="27" t="n">
        <v>84.5</v>
      </c>
      <c r="J177" s="27" t="n">
        <v>84</v>
      </c>
      <c r="K177" s="27" t="n">
        <v>84</v>
      </c>
    </row>
    <row r="178" customFormat="false" ht="13.8" hidden="false" customHeight="false" outlineLevel="0" collapsed="false">
      <c r="A178" s="21" t="n">
        <v>5</v>
      </c>
      <c r="B178" s="21" t="n">
        <v>2022</v>
      </c>
      <c r="C178" s="26" t="n">
        <v>44679</v>
      </c>
      <c r="D178" s="21" t="s">
        <v>655</v>
      </c>
      <c r="E178" s="20" t="s">
        <v>27</v>
      </c>
      <c r="F178" s="21" t="s">
        <v>658</v>
      </c>
      <c r="G178" s="27" t="n">
        <v>30</v>
      </c>
      <c r="H178" s="27" t="n">
        <v>30</v>
      </c>
      <c r="I178" s="27" t="n">
        <v>30</v>
      </c>
      <c r="J178" s="27" t="n">
        <v>30</v>
      </c>
      <c r="K178" s="27" t="n">
        <v>30</v>
      </c>
    </row>
    <row r="179" customFormat="false" ht="13.8" hidden="false" customHeight="false" outlineLevel="0" collapsed="false">
      <c r="A179" s="21" t="n">
        <v>5</v>
      </c>
      <c r="B179" s="21" t="n">
        <v>2022</v>
      </c>
      <c r="C179" s="26" t="n">
        <v>44679</v>
      </c>
      <c r="D179" s="21" t="s">
        <v>655</v>
      </c>
      <c r="E179" s="20" t="s">
        <v>28</v>
      </c>
      <c r="F179" s="21" t="s">
        <v>658</v>
      </c>
      <c r="G179" s="27" t="n">
        <v>48</v>
      </c>
      <c r="H179" s="27" t="n">
        <v>60</v>
      </c>
      <c r="I179" s="27" t="n">
        <v>56</v>
      </c>
      <c r="J179" s="27" t="n">
        <v>60</v>
      </c>
      <c r="K179" s="27" t="n">
        <v>60</v>
      </c>
    </row>
    <row r="180" customFormat="false" ht="13.8" hidden="false" customHeight="false" outlineLevel="0" collapsed="false">
      <c r="A180" s="21" t="n">
        <v>5</v>
      </c>
      <c r="B180" s="21" t="n">
        <v>2022</v>
      </c>
      <c r="C180" s="26" t="n">
        <v>44679</v>
      </c>
      <c r="D180" s="21" t="s">
        <v>655</v>
      </c>
      <c r="E180" s="20" t="s">
        <v>73</v>
      </c>
      <c r="F180" s="21" t="s">
        <v>661</v>
      </c>
      <c r="G180" s="27" t="n">
        <v>32.5</v>
      </c>
      <c r="H180" s="27" t="n">
        <v>38</v>
      </c>
      <c r="I180" s="27" t="n">
        <v>35.25</v>
      </c>
      <c r="J180" s="21" t="s">
        <v>673</v>
      </c>
      <c r="K180" s="27" t="n">
        <v>35.25</v>
      </c>
    </row>
    <row r="181" customFormat="false" ht="13.8" hidden="false" customHeight="false" outlineLevel="0" collapsed="false">
      <c r="A181" s="21" t="n">
        <v>5</v>
      </c>
      <c r="B181" s="21" t="n">
        <v>2022</v>
      </c>
      <c r="C181" s="26" t="n">
        <v>44679</v>
      </c>
      <c r="D181" s="21" t="s">
        <v>655</v>
      </c>
      <c r="E181" s="20" t="s">
        <v>58</v>
      </c>
      <c r="F181" s="21" t="s">
        <v>657</v>
      </c>
      <c r="G181" s="27" t="n">
        <v>45</v>
      </c>
      <c r="H181" s="27" t="n">
        <v>85</v>
      </c>
      <c r="I181" s="27" t="n">
        <v>65.45</v>
      </c>
      <c r="J181" s="27" t="n">
        <v>60</v>
      </c>
      <c r="K181" s="27" t="n">
        <v>60</v>
      </c>
    </row>
    <row r="182" customFormat="false" ht="13.8" hidden="false" customHeight="false" outlineLevel="0" collapsed="false">
      <c r="A182" s="21" t="n">
        <v>5</v>
      </c>
      <c r="B182" s="21" t="n">
        <v>2022</v>
      </c>
      <c r="C182" s="26" t="n">
        <v>44679</v>
      </c>
      <c r="D182" s="21" t="s">
        <v>655</v>
      </c>
      <c r="E182" s="20" t="s">
        <v>60</v>
      </c>
      <c r="F182" s="21" t="s">
        <v>671</v>
      </c>
      <c r="G182" s="27" t="n">
        <v>60</v>
      </c>
      <c r="H182" s="27" t="n">
        <v>65</v>
      </c>
      <c r="I182" s="27" t="n">
        <v>62.5</v>
      </c>
      <c r="J182" s="21" t="s">
        <v>673</v>
      </c>
      <c r="K182" s="27" t="n">
        <v>62.5</v>
      </c>
    </row>
    <row r="183" customFormat="false" ht="25" hidden="false" customHeight="false" outlineLevel="0" collapsed="false">
      <c r="A183" s="21" t="n">
        <v>5</v>
      </c>
      <c r="B183" s="21" t="n">
        <v>2022</v>
      </c>
      <c r="C183" s="26" t="n">
        <v>44679</v>
      </c>
      <c r="D183" s="21" t="s">
        <v>655</v>
      </c>
      <c r="E183" s="20" t="s">
        <v>74</v>
      </c>
      <c r="F183" s="21" t="s">
        <v>667</v>
      </c>
      <c r="G183" s="27" t="n">
        <v>30</v>
      </c>
      <c r="H183" s="27" t="n">
        <v>65</v>
      </c>
      <c r="I183" s="27" t="n">
        <v>51.82</v>
      </c>
      <c r="J183" s="27" t="n">
        <v>60</v>
      </c>
      <c r="K183" s="27" t="n">
        <v>50</v>
      </c>
    </row>
    <row r="184" customFormat="false" ht="25" hidden="false" customHeight="false" outlineLevel="0" collapsed="false">
      <c r="A184" s="21" t="n">
        <v>5</v>
      </c>
      <c r="B184" s="21" t="n">
        <v>2022</v>
      </c>
      <c r="C184" s="26" t="n">
        <v>44679</v>
      </c>
      <c r="D184" s="21" t="s">
        <v>655</v>
      </c>
      <c r="E184" s="20" t="s">
        <v>61</v>
      </c>
      <c r="F184" s="21" t="s">
        <v>657</v>
      </c>
      <c r="G184" s="27" t="n">
        <v>80</v>
      </c>
      <c r="H184" s="27" t="n">
        <v>200</v>
      </c>
      <c r="I184" s="27" t="n">
        <v>135</v>
      </c>
      <c r="J184" s="27" t="n">
        <v>160</v>
      </c>
      <c r="K184" s="27" t="n">
        <v>145</v>
      </c>
    </row>
    <row r="185" customFormat="false" ht="25" hidden="false" customHeight="false" outlineLevel="0" collapsed="false">
      <c r="A185" s="21" t="n">
        <v>5</v>
      </c>
      <c r="B185" s="21" t="n">
        <v>2022</v>
      </c>
      <c r="C185" s="26" t="n">
        <v>44679</v>
      </c>
      <c r="D185" s="21" t="s">
        <v>655</v>
      </c>
      <c r="E185" s="20" t="s">
        <v>62</v>
      </c>
      <c r="F185" s="21" t="s">
        <v>657</v>
      </c>
      <c r="G185" s="27" t="n">
        <v>40</v>
      </c>
      <c r="H185" s="27" t="n">
        <v>65</v>
      </c>
      <c r="I185" s="27" t="n">
        <v>50.42</v>
      </c>
      <c r="J185" s="27" t="n">
        <v>50</v>
      </c>
      <c r="K185" s="27" t="n">
        <v>50</v>
      </c>
    </row>
    <row r="186" customFormat="false" ht="25" hidden="false" customHeight="false" outlineLevel="0" collapsed="false">
      <c r="A186" s="21" t="n">
        <v>5</v>
      </c>
      <c r="B186" s="21" t="n">
        <v>2022</v>
      </c>
      <c r="C186" s="26" t="n">
        <v>44679</v>
      </c>
      <c r="D186" s="21" t="s">
        <v>655</v>
      </c>
      <c r="E186" s="20" t="s">
        <v>63</v>
      </c>
      <c r="F186" s="21" t="s">
        <v>661</v>
      </c>
      <c r="G186" s="27" t="n">
        <v>90</v>
      </c>
      <c r="H186" s="27" t="n">
        <v>120</v>
      </c>
      <c r="I186" s="27" t="n">
        <v>101.11</v>
      </c>
      <c r="J186" s="27" t="n">
        <v>100</v>
      </c>
      <c r="K186" s="27" t="n">
        <v>100</v>
      </c>
    </row>
    <row r="187" customFormat="false" ht="13.8" hidden="false" customHeight="false" outlineLevel="0" collapsed="false">
      <c r="A187" s="21" t="n">
        <v>5</v>
      </c>
      <c r="B187" s="21" t="n">
        <v>2022</v>
      </c>
      <c r="C187" s="26" t="n">
        <v>44679</v>
      </c>
      <c r="D187" s="21" t="s">
        <v>655</v>
      </c>
      <c r="E187" s="20" t="s">
        <v>64</v>
      </c>
      <c r="F187" s="21" t="s">
        <v>661</v>
      </c>
      <c r="G187" s="27" t="n">
        <v>48</v>
      </c>
      <c r="H187" s="27" t="n">
        <v>60</v>
      </c>
      <c r="I187" s="27" t="n">
        <v>54</v>
      </c>
      <c r="J187" s="21" t="s">
        <v>673</v>
      </c>
      <c r="K187" s="27" t="n">
        <v>54</v>
      </c>
    </row>
    <row r="188" customFormat="false" ht="13.8" hidden="false" customHeight="false" outlineLevel="0" collapsed="false">
      <c r="A188" s="21" t="n">
        <v>5</v>
      </c>
      <c r="B188" s="21" t="n">
        <v>2022</v>
      </c>
      <c r="C188" s="26" t="n">
        <v>44679</v>
      </c>
      <c r="D188" s="21" t="s">
        <v>655</v>
      </c>
      <c r="E188" s="20" t="s">
        <v>29</v>
      </c>
      <c r="F188" s="21" t="s">
        <v>658</v>
      </c>
      <c r="G188" s="27" t="n">
        <v>65</v>
      </c>
      <c r="H188" s="27" t="n">
        <v>84</v>
      </c>
      <c r="I188" s="27" t="n">
        <v>73.8</v>
      </c>
      <c r="J188" s="27" t="n">
        <v>70</v>
      </c>
      <c r="K188" s="27" t="n">
        <v>70</v>
      </c>
    </row>
    <row r="189" customFormat="false" ht="13.8" hidden="false" customHeight="false" outlineLevel="0" collapsed="false">
      <c r="A189" s="21" t="n">
        <v>5</v>
      </c>
      <c r="B189" s="21" t="n">
        <v>2022</v>
      </c>
      <c r="C189" s="26" t="n">
        <v>44679</v>
      </c>
      <c r="D189" s="21" t="s">
        <v>655</v>
      </c>
      <c r="E189" s="20" t="s">
        <v>31</v>
      </c>
      <c r="F189" s="21" t="s">
        <v>658</v>
      </c>
      <c r="G189" s="27" t="n">
        <v>60</v>
      </c>
      <c r="H189" s="27" t="n">
        <v>84</v>
      </c>
      <c r="I189" s="27" t="n">
        <v>66.8</v>
      </c>
      <c r="J189" s="27" t="n">
        <v>65</v>
      </c>
      <c r="K189" s="27" t="n">
        <v>65</v>
      </c>
    </row>
    <row r="190" customFormat="false" ht="25" hidden="false" customHeight="false" outlineLevel="0" collapsed="false">
      <c r="A190" s="21" t="n">
        <v>5</v>
      </c>
      <c r="B190" s="21" t="n">
        <v>2022</v>
      </c>
      <c r="C190" s="26" t="n">
        <v>44679</v>
      </c>
      <c r="D190" s="21" t="s">
        <v>655</v>
      </c>
      <c r="E190" s="20" t="s">
        <v>668</v>
      </c>
      <c r="F190" s="21" t="s">
        <v>658</v>
      </c>
      <c r="G190" s="27" t="n">
        <v>42</v>
      </c>
      <c r="H190" s="27" t="n">
        <v>54</v>
      </c>
      <c r="I190" s="27" t="n">
        <v>48</v>
      </c>
      <c r="J190" s="21" t="s">
        <v>673</v>
      </c>
      <c r="K190" s="27" t="n">
        <v>48</v>
      </c>
    </row>
    <row r="191" customFormat="false" ht="13.8" hidden="false" customHeight="false" outlineLevel="0" collapsed="false">
      <c r="A191" s="21" t="n">
        <v>5</v>
      </c>
      <c r="B191" s="21" t="n">
        <v>2022</v>
      </c>
      <c r="C191" s="26" t="n">
        <v>44679</v>
      </c>
      <c r="D191" s="21" t="s">
        <v>655</v>
      </c>
      <c r="E191" s="20" t="s">
        <v>33</v>
      </c>
      <c r="F191" s="21" t="s">
        <v>658</v>
      </c>
      <c r="G191" s="27" t="n">
        <v>30</v>
      </c>
      <c r="H191" s="27" t="n">
        <v>35</v>
      </c>
      <c r="I191" s="27" t="n">
        <v>33.75</v>
      </c>
      <c r="J191" s="27" t="n">
        <v>35</v>
      </c>
      <c r="K191" s="27" t="n">
        <v>35</v>
      </c>
    </row>
    <row r="192" customFormat="false" ht="13.8" hidden="false" customHeight="false" outlineLevel="0" collapsed="false">
      <c r="A192" s="21" t="n">
        <v>5</v>
      </c>
      <c r="B192" s="21" t="n">
        <v>2022</v>
      </c>
      <c r="C192" s="26" t="n">
        <v>44679</v>
      </c>
      <c r="D192" s="21" t="s">
        <v>655</v>
      </c>
      <c r="E192" s="20" t="s">
        <v>669</v>
      </c>
      <c r="F192" s="21" t="s">
        <v>664</v>
      </c>
      <c r="G192" s="27" t="n">
        <v>120</v>
      </c>
      <c r="H192" s="27" t="n">
        <v>150</v>
      </c>
      <c r="I192" s="27" t="n">
        <v>130.45</v>
      </c>
      <c r="J192" s="27" t="n">
        <v>120</v>
      </c>
      <c r="K192" s="27" t="n">
        <v>130</v>
      </c>
    </row>
    <row r="193" customFormat="false" ht="25" hidden="false" customHeight="false" outlineLevel="0" collapsed="false">
      <c r="A193" s="21" t="n">
        <v>5</v>
      </c>
      <c r="B193" s="21" t="n">
        <v>2022</v>
      </c>
      <c r="C193" s="26" t="n">
        <v>44679</v>
      </c>
      <c r="D193" s="21" t="s">
        <v>655</v>
      </c>
      <c r="E193" s="20" t="s">
        <v>67</v>
      </c>
      <c r="F193" s="21" t="s">
        <v>662</v>
      </c>
      <c r="G193" s="27" t="n">
        <v>50</v>
      </c>
      <c r="H193" s="27" t="n">
        <v>150</v>
      </c>
      <c r="I193" s="27" t="n">
        <v>88</v>
      </c>
      <c r="J193" s="27" t="n">
        <v>100</v>
      </c>
      <c r="K193" s="27" t="n">
        <v>90</v>
      </c>
    </row>
    <row r="194" customFormat="false" ht="25" hidden="false" customHeight="false" outlineLevel="0" collapsed="false">
      <c r="A194" s="21" t="n">
        <v>5</v>
      </c>
      <c r="B194" s="21" t="n">
        <v>2022</v>
      </c>
      <c r="C194" s="26" t="n">
        <v>44679</v>
      </c>
      <c r="D194" s="21" t="s">
        <v>655</v>
      </c>
      <c r="E194" s="20" t="s">
        <v>672</v>
      </c>
      <c r="F194" s="21" t="s">
        <v>657</v>
      </c>
      <c r="G194" s="27" t="n">
        <v>35</v>
      </c>
      <c r="H194" s="27" t="n">
        <v>90</v>
      </c>
      <c r="I194" s="27" t="n">
        <v>52</v>
      </c>
      <c r="J194" s="27" t="n">
        <v>50</v>
      </c>
      <c r="K194" s="27" t="n">
        <v>50</v>
      </c>
    </row>
    <row r="195" customFormat="false" ht="25" hidden="false" customHeight="false" outlineLevel="0" collapsed="false">
      <c r="A195" s="21" t="n">
        <v>6</v>
      </c>
      <c r="B195" s="21" t="n">
        <v>2022</v>
      </c>
      <c r="C195" s="26" t="n">
        <v>44686</v>
      </c>
      <c r="D195" s="21" t="s">
        <v>674</v>
      </c>
      <c r="E195" s="21" t="s">
        <v>656</v>
      </c>
      <c r="F195" s="21" t="s">
        <v>657</v>
      </c>
      <c r="G195" s="27" t="n">
        <v>50</v>
      </c>
      <c r="H195" s="27" t="n">
        <v>65</v>
      </c>
      <c r="I195" s="27" t="n">
        <v>58.89</v>
      </c>
      <c r="J195" s="27" t="n">
        <v>60</v>
      </c>
      <c r="K195" s="27" t="n">
        <v>60</v>
      </c>
    </row>
    <row r="196" customFormat="false" ht="13.8" hidden="false" customHeight="false" outlineLevel="0" collapsed="false">
      <c r="A196" s="21" t="n">
        <v>6</v>
      </c>
      <c r="B196" s="21" t="n">
        <v>2022</v>
      </c>
      <c r="C196" s="26" t="n">
        <v>44686</v>
      </c>
      <c r="D196" s="21" t="s">
        <v>675</v>
      </c>
      <c r="E196" s="21" t="s">
        <v>16</v>
      </c>
      <c r="F196" s="21" t="s">
        <v>658</v>
      </c>
      <c r="G196" s="27" t="n">
        <v>54</v>
      </c>
      <c r="H196" s="27" t="n">
        <v>60</v>
      </c>
      <c r="I196" s="27" t="n">
        <v>58</v>
      </c>
      <c r="J196" s="27" t="n">
        <v>60</v>
      </c>
      <c r="K196" s="27" t="n">
        <v>60</v>
      </c>
    </row>
    <row r="197" customFormat="false" ht="13.8" hidden="false" customHeight="false" outlineLevel="0" collapsed="false">
      <c r="A197" s="21" t="n">
        <v>6</v>
      </c>
      <c r="B197" s="21" t="n">
        <v>2022</v>
      </c>
      <c r="C197" s="26" t="n">
        <v>44686</v>
      </c>
      <c r="D197" s="21" t="s">
        <v>675</v>
      </c>
      <c r="E197" s="21" t="s">
        <v>18</v>
      </c>
      <c r="F197" s="21" t="s">
        <v>658</v>
      </c>
      <c r="G197" s="27" t="n">
        <v>48</v>
      </c>
      <c r="H197" s="27" t="n">
        <v>60</v>
      </c>
      <c r="I197" s="27" t="n">
        <v>54</v>
      </c>
      <c r="J197" s="21" t="s">
        <v>673</v>
      </c>
      <c r="K197" s="27" t="n">
        <v>54</v>
      </c>
    </row>
    <row r="198" customFormat="false" ht="25" hidden="false" customHeight="false" outlineLevel="0" collapsed="false">
      <c r="A198" s="21" t="n">
        <v>6</v>
      </c>
      <c r="B198" s="21" t="n">
        <v>2022</v>
      </c>
      <c r="C198" s="26" t="n">
        <v>44686</v>
      </c>
      <c r="D198" s="21" t="s">
        <v>675</v>
      </c>
      <c r="E198" s="21" t="s">
        <v>659</v>
      </c>
      <c r="F198" s="21" t="s">
        <v>658</v>
      </c>
      <c r="G198" s="27" t="n">
        <v>36</v>
      </c>
      <c r="H198" s="27" t="n">
        <v>42</v>
      </c>
      <c r="I198" s="27" t="n">
        <v>37.5</v>
      </c>
      <c r="J198" s="27" t="n">
        <v>36</v>
      </c>
      <c r="K198" s="27" t="n">
        <v>36</v>
      </c>
    </row>
    <row r="199" customFormat="false" ht="13.8" hidden="false" customHeight="false" outlineLevel="0" collapsed="false">
      <c r="A199" s="21" t="n">
        <v>6</v>
      </c>
      <c r="B199" s="21" t="n">
        <v>2022</v>
      </c>
      <c r="C199" s="26" t="n">
        <v>44686</v>
      </c>
      <c r="D199" s="21" t="s">
        <v>675</v>
      </c>
      <c r="E199" s="21" t="s">
        <v>20</v>
      </c>
      <c r="F199" s="21" t="s">
        <v>658</v>
      </c>
      <c r="G199" s="27" t="n">
        <v>24</v>
      </c>
      <c r="H199" s="27" t="n">
        <v>30</v>
      </c>
      <c r="I199" s="27" t="n">
        <v>27.8</v>
      </c>
      <c r="J199" s="27" t="n">
        <v>30</v>
      </c>
      <c r="K199" s="27" t="n">
        <v>30</v>
      </c>
    </row>
    <row r="200" customFormat="false" ht="13.8" hidden="false" customHeight="false" outlineLevel="0" collapsed="false">
      <c r="A200" s="21" t="n">
        <v>6</v>
      </c>
      <c r="B200" s="21" t="n">
        <v>2022</v>
      </c>
      <c r="C200" s="26" t="n">
        <v>44686</v>
      </c>
      <c r="D200" s="21" t="s">
        <v>675</v>
      </c>
      <c r="E200" s="21" t="s">
        <v>21</v>
      </c>
      <c r="F200" s="21" t="s">
        <v>658</v>
      </c>
      <c r="G200" s="27" t="n">
        <v>24</v>
      </c>
      <c r="H200" s="27" t="n">
        <v>30</v>
      </c>
      <c r="I200" s="27" t="n">
        <v>27.8</v>
      </c>
      <c r="J200" s="27" t="n">
        <v>30</v>
      </c>
      <c r="K200" s="27" t="n">
        <v>30</v>
      </c>
    </row>
    <row r="201" customFormat="false" ht="13.8" hidden="false" customHeight="false" outlineLevel="0" collapsed="false">
      <c r="A201" s="21" t="n">
        <v>6</v>
      </c>
      <c r="B201" s="21" t="n">
        <v>2022</v>
      </c>
      <c r="C201" s="26" t="n">
        <v>44686</v>
      </c>
      <c r="D201" s="21" t="s">
        <v>675</v>
      </c>
      <c r="E201" s="21" t="s">
        <v>22</v>
      </c>
      <c r="F201" s="21" t="s">
        <v>658</v>
      </c>
      <c r="G201" s="27" t="n">
        <v>24</v>
      </c>
      <c r="H201" s="27" t="n">
        <v>48</v>
      </c>
      <c r="I201" s="27" t="n">
        <v>36</v>
      </c>
      <c r="J201" s="21" t="s">
        <v>673</v>
      </c>
      <c r="K201" s="27" t="n">
        <v>36</v>
      </c>
    </row>
    <row r="202" customFormat="false" ht="25" hidden="false" customHeight="false" outlineLevel="0" collapsed="false">
      <c r="A202" s="21" t="n">
        <v>6</v>
      </c>
      <c r="B202" s="21" t="n">
        <v>2022</v>
      </c>
      <c r="C202" s="26" t="n">
        <v>44686</v>
      </c>
      <c r="D202" s="21" t="s">
        <v>676</v>
      </c>
      <c r="E202" s="21" t="s">
        <v>46</v>
      </c>
      <c r="F202" s="21" t="s">
        <v>660</v>
      </c>
      <c r="G202" s="27" t="n">
        <v>40</v>
      </c>
      <c r="H202" s="27" t="n">
        <v>70</v>
      </c>
      <c r="I202" s="27" t="n">
        <v>52.78</v>
      </c>
      <c r="J202" s="27" t="n">
        <v>60</v>
      </c>
      <c r="K202" s="27" t="n">
        <v>50</v>
      </c>
    </row>
    <row r="203" customFormat="false" ht="25" hidden="false" customHeight="false" outlineLevel="0" collapsed="false">
      <c r="A203" s="21" t="n">
        <v>6</v>
      </c>
      <c r="B203" s="21" t="n">
        <v>2022</v>
      </c>
      <c r="C203" s="26" t="n">
        <v>44686</v>
      </c>
      <c r="D203" s="21" t="s">
        <v>674</v>
      </c>
      <c r="E203" s="21" t="s">
        <v>48</v>
      </c>
      <c r="F203" s="21" t="s">
        <v>661</v>
      </c>
      <c r="G203" s="27" t="n">
        <v>40</v>
      </c>
      <c r="H203" s="27" t="n">
        <v>60</v>
      </c>
      <c r="I203" s="27" t="n">
        <v>50</v>
      </c>
      <c r="J203" s="27" t="n">
        <v>60</v>
      </c>
      <c r="K203" s="27" t="n">
        <v>50</v>
      </c>
    </row>
    <row r="204" customFormat="false" ht="25" hidden="false" customHeight="false" outlineLevel="0" collapsed="false">
      <c r="A204" s="21" t="n">
        <v>6</v>
      </c>
      <c r="B204" s="21" t="n">
        <v>2022</v>
      </c>
      <c r="C204" s="26" t="n">
        <v>44686</v>
      </c>
      <c r="D204" s="21" t="s">
        <v>674</v>
      </c>
      <c r="E204" s="21" t="s">
        <v>52</v>
      </c>
      <c r="F204" s="21" t="s">
        <v>661</v>
      </c>
      <c r="G204" s="27" t="n">
        <v>95</v>
      </c>
      <c r="H204" s="27" t="n">
        <v>95</v>
      </c>
      <c r="I204" s="27" t="n">
        <v>95</v>
      </c>
      <c r="J204" s="21" t="s">
        <v>673</v>
      </c>
      <c r="K204" s="27" t="n">
        <v>95</v>
      </c>
    </row>
    <row r="205" customFormat="false" ht="25" hidden="false" customHeight="false" outlineLevel="0" collapsed="false">
      <c r="A205" s="21" t="n">
        <v>6</v>
      </c>
      <c r="B205" s="21" t="n">
        <v>2022</v>
      </c>
      <c r="C205" s="26" t="n">
        <v>44686</v>
      </c>
      <c r="D205" s="21" t="s">
        <v>676</v>
      </c>
      <c r="E205" s="21" t="s">
        <v>53</v>
      </c>
      <c r="F205" s="21" t="s">
        <v>662</v>
      </c>
      <c r="G205" s="27" t="n">
        <v>55</v>
      </c>
      <c r="H205" s="27" t="n">
        <v>75</v>
      </c>
      <c r="I205" s="27" t="n">
        <v>67</v>
      </c>
      <c r="J205" s="27" t="n">
        <v>60</v>
      </c>
      <c r="K205" s="27" t="n">
        <v>70</v>
      </c>
    </row>
    <row r="206" customFormat="false" ht="36.5" hidden="false" customHeight="false" outlineLevel="0" collapsed="false">
      <c r="A206" s="21" t="n">
        <v>6</v>
      </c>
      <c r="B206" s="21" t="n">
        <v>2022</v>
      </c>
      <c r="C206" s="26" t="n">
        <v>44686</v>
      </c>
      <c r="D206" s="21" t="s">
        <v>675</v>
      </c>
      <c r="E206" s="21" t="s">
        <v>663</v>
      </c>
      <c r="F206" s="21" t="s">
        <v>658</v>
      </c>
      <c r="G206" s="27" t="n">
        <v>72</v>
      </c>
      <c r="H206" s="27" t="n">
        <v>78</v>
      </c>
      <c r="I206" s="27" t="n">
        <v>75</v>
      </c>
      <c r="J206" s="21" t="s">
        <v>673</v>
      </c>
      <c r="K206" s="27" t="n">
        <v>75</v>
      </c>
    </row>
    <row r="207" customFormat="false" ht="25" hidden="false" customHeight="false" outlineLevel="0" collapsed="false">
      <c r="A207" s="21" t="n">
        <v>6</v>
      </c>
      <c r="B207" s="21" t="n">
        <v>2022</v>
      </c>
      <c r="C207" s="26" t="n">
        <v>44686</v>
      </c>
      <c r="D207" s="21" t="s">
        <v>675</v>
      </c>
      <c r="E207" s="21" t="s">
        <v>24</v>
      </c>
      <c r="F207" s="21" t="s">
        <v>658</v>
      </c>
      <c r="G207" s="27" t="n">
        <v>80</v>
      </c>
      <c r="H207" s="27" t="n">
        <v>80</v>
      </c>
      <c r="I207" s="27" t="n">
        <v>80</v>
      </c>
      <c r="J207" s="21" t="s">
        <v>673</v>
      </c>
      <c r="K207" s="27" t="n">
        <v>80</v>
      </c>
    </row>
    <row r="208" customFormat="false" ht="13.8" hidden="false" customHeight="false" outlineLevel="0" collapsed="false">
      <c r="A208" s="21" t="n">
        <v>6</v>
      </c>
      <c r="B208" s="21" t="n">
        <v>2022</v>
      </c>
      <c r="C208" s="26" t="n">
        <v>44686</v>
      </c>
      <c r="D208" s="21" t="s">
        <v>677</v>
      </c>
      <c r="E208" s="21" t="s">
        <v>70</v>
      </c>
      <c r="F208" s="21" t="s">
        <v>657</v>
      </c>
      <c r="G208" s="27" t="n">
        <v>60</v>
      </c>
      <c r="H208" s="27" t="n">
        <v>60</v>
      </c>
      <c r="I208" s="27" t="n">
        <v>60</v>
      </c>
      <c r="J208" s="21" t="s">
        <v>673</v>
      </c>
      <c r="K208" s="27" t="n">
        <v>60</v>
      </c>
    </row>
    <row r="209" customFormat="false" ht="25" hidden="false" customHeight="false" outlineLevel="0" collapsed="false">
      <c r="A209" s="21" t="n">
        <v>6</v>
      </c>
      <c r="B209" s="21" t="n">
        <v>2022</v>
      </c>
      <c r="C209" s="26" t="n">
        <v>44686</v>
      </c>
      <c r="D209" s="21" t="s">
        <v>677</v>
      </c>
      <c r="E209" s="21" t="s">
        <v>71</v>
      </c>
      <c r="F209" s="21" t="s">
        <v>657</v>
      </c>
      <c r="G209" s="27" t="n">
        <v>55</v>
      </c>
      <c r="H209" s="27" t="n">
        <v>60</v>
      </c>
      <c r="I209" s="27" t="n">
        <v>57.5</v>
      </c>
      <c r="J209" s="21" t="s">
        <v>673</v>
      </c>
      <c r="K209" s="27" t="n">
        <v>57.5</v>
      </c>
    </row>
    <row r="210" customFormat="false" ht="25" hidden="false" customHeight="false" outlineLevel="0" collapsed="false">
      <c r="A210" s="21" t="n">
        <v>6</v>
      </c>
      <c r="B210" s="21" t="n">
        <v>2022</v>
      </c>
      <c r="C210" s="26" t="n">
        <v>44686</v>
      </c>
      <c r="D210" s="21" t="s">
        <v>677</v>
      </c>
      <c r="E210" s="21" t="s">
        <v>72</v>
      </c>
      <c r="F210" s="21" t="s">
        <v>657</v>
      </c>
      <c r="G210" s="27" t="n">
        <v>35</v>
      </c>
      <c r="H210" s="27" t="n">
        <v>35</v>
      </c>
      <c r="I210" s="27" t="n">
        <v>35</v>
      </c>
      <c r="J210" s="21" t="s">
        <v>673</v>
      </c>
      <c r="K210" s="27" t="n">
        <v>35</v>
      </c>
    </row>
    <row r="211" customFormat="false" ht="25" hidden="false" customHeight="false" outlineLevel="0" collapsed="false">
      <c r="A211" s="21" t="n">
        <v>6</v>
      </c>
      <c r="B211" s="21" t="n">
        <v>2022</v>
      </c>
      <c r="C211" s="26" t="n">
        <v>44686</v>
      </c>
      <c r="D211" s="21" t="s">
        <v>678</v>
      </c>
      <c r="E211" s="21" t="s">
        <v>35</v>
      </c>
      <c r="F211" s="21" t="s">
        <v>670</v>
      </c>
      <c r="G211" s="27" t="n">
        <v>3</v>
      </c>
      <c r="H211" s="27" t="n">
        <v>4</v>
      </c>
      <c r="I211" s="27" t="n">
        <v>3.5</v>
      </c>
      <c r="J211" s="21" t="s">
        <v>673</v>
      </c>
      <c r="K211" s="27" t="n">
        <v>3.5</v>
      </c>
    </row>
    <row r="212" customFormat="false" ht="25" hidden="false" customHeight="false" outlineLevel="0" collapsed="false">
      <c r="A212" s="21" t="n">
        <v>6</v>
      </c>
      <c r="B212" s="21" t="n">
        <v>2022</v>
      </c>
      <c r="C212" s="26" t="n">
        <v>44686</v>
      </c>
      <c r="D212" s="21" t="s">
        <v>676</v>
      </c>
      <c r="E212" s="21" t="s">
        <v>56</v>
      </c>
      <c r="F212" s="21" t="s">
        <v>660</v>
      </c>
      <c r="G212" s="27" t="n">
        <v>70</v>
      </c>
      <c r="H212" s="27" t="n">
        <v>100</v>
      </c>
      <c r="I212" s="27" t="n">
        <v>77.78</v>
      </c>
      <c r="J212" s="27" t="n">
        <v>70</v>
      </c>
      <c r="K212" s="27" t="n">
        <v>75</v>
      </c>
    </row>
    <row r="213" customFormat="false" ht="13.8" hidden="false" customHeight="false" outlineLevel="0" collapsed="false">
      <c r="A213" s="21" t="n">
        <v>6</v>
      </c>
      <c r="B213" s="21" t="n">
        <v>2022</v>
      </c>
      <c r="C213" s="26" t="n">
        <v>44686</v>
      </c>
      <c r="D213" s="21" t="s">
        <v>674</v>
      </c>
      <c r="E213" s="21" t="s">
        <v>57</v>
      </c>
      <c r="F213" s="21" t="s">
        <v>657</v>
      </c>
      <c r="G213" s="27" t="n">
        <v>30</v>
      </c>
      <c r="H213" s="27" t="n">
        <v>55</v>
      </c>
      <c r="I213" s="27" t="n">
        <v>42</v>
      </c>
      <c r="J213" s="27" t="n">
        <v>40</v>
      </c>
      <c r="K213" s="27" t="n">
        <v>40</v>
      </c>
    </row>
    <row r="214" customFormat="false" ht="25" hidden="false" customHeight="false" outlineLevel="0" collapsed="false">
      <c r="A214" s="21" t="n">
        <v>6</v>
      </c>
      <c r="B214" s="21" t="n">
        <v>2022</v>
      </c>
      <c r="C214" s="26" t="n">
        <v>44686</v>
      </c>
      <c r="D214" s="21" t="s">
        <v>678</v>
      </c>
      <c r="E214" s="21" t="s">
        <v>38</v>
      </c>
      <c r="F214" s="21" t="s">
        <v>664</v>
      </c>
      <c r="G214" s="27" t="n">
        <v>25</v>
      </c>
      <c r="H214" s="27" t="n">
        <v>25</v>
      </c>
      <c r="I214" s="27" t="n">
        <v>25</v>
      </c>
      <c r="J214" s="27" t="n">
        <v>25</v>
      </c>
      <c r="K214" s="27" t="n">
        <v>25</v>
      </c>
    </row>
    <row r="215" customFormat="false" ht="25" hidden="false" customHeight="false" outlineLevel="0" collapsed="false">
      <c r="A215" s="21" t="n">
        <v>6</v>
      </c>
      <c r="B215" s="21" t="n">
        <v>2022</v>
      </c>
      <c r="C215" s="26" t="n">
        <v>44686</v>
      </c>
      <c r="D215" s="21" t="s">
        <v>675</v>
      </c>
      <c r="E215" s="21" t="s">
        <v>666</v>
      </c>
      <c r="F215" s="21" t="s">
        <v>658</v>
      </c>
      <c r="G215" s="27" t="n">
        <v>18</v>
      </c>
      <c r="H215" s="27" t="n">
        <v>30</v>
      </c>
      <c r="I215" s="27" t="n">
        <v>24</v>
      </c>
      <c r="J215" s="27" t="n">
        <v>24</v>
      </c>
      <c r="K215" s="27" t="n">
        <v>24</v>
      </c>
    </row>
    <row r="216" customFormat="false" ht="13.8" hidden="false" customHeight="false" outlineLevel="0" collapsed="false">
      <c r="A216" s="21" t="n">
        <v>6</v>
      </c>
      <c r="B216" s="21" t="n">
        <v>2022</v>
      </c>
      <c r="C216" s="26" t="n">
        <v>44686</v>
      </c>
      <c r="D216" s="21" t="s">
        <v>675</v>
      </c>
      <c r="E216" s="21" t="s">
        <v>77</v>
      </c>
      <c r="F216" s="21" t="s">
        <v>658</v>
      </c>
      <c r="G216" s="27" t="n">
        <v>48</v>
      </c>
      <c r="H216" s="27" t="n">
        <v>72</v>
      </c>
      <c r="I216" s="27" t="n">
        <v>63.33</v>
      </c>
      <c r="J216" s="21" t="s">
        <v>673</v>
      </c>
      <c r="K216" s="27" t="n">
        <v>70</v>
      </c>
    </row>
    <row r="217" customFormat="false" ht="13.8" hidden="false" customHeight="false" outlineLevel="0" collapsed="false">
      <c r="A217" s="21" t="n">
        <v>6</v>
      </c>
      <c r="B217" s="21" t="n">
        <v>2022</v>
      </c>
      <c r="C217" s="26" t="n">
        <v>44686</v>
      </c>
      <c r="D217" s="21" t="s">
        <v>675</v>
      </c>
      <c r="E217" s="21" t="s">
        <v>27</v>
      </c>
      <c r="F217" s="21" t="s">
        <v>658</v>
      </c>
      <c r="G217" s="27" t="n">
        <v>18</v>
      </c>
      <c r="H217" s="27" t="n">
        <v>45</v>
      </c>
      <c r="I217" s="27" t="n">
        <v>30.75</v>
      </c>
      <c r="J217" s="21" t="s">
        <v>673</v>
      </c>
      <c r="K217" s="27" t="n">
        <v>30</v>
      </c>
    </row>
    <row r="218" customFormat="false" ht="13.8" hidden="false" customHeight="false" outlineLevel="0" collapsed="false">
      <c r="A218" s="21" t="n">
        <v>6</v>
      </c>
      <c r="B218" s="21" t="n">
        <v>2022</v>
      </c>
      <c r="C218" s="26" t="n">
        <v>44686</v>
      </c>
      <c r="D218" s="21" t="s">
        <v>675</v>
      </c>
      <c r="E218" s="21" t="s">
        <v>28</v>
      </c>
      <c r="F218" s="21" t="s">
        <v>658</v>
      </c>
      <c r="G218" s="27" t="n">
        <v>48</v>
      </c>
      <c r="H218" s="27" t="n">
        <v>50</v>
      </c>
      <c r="I218" s="27" t="n">
        <v>49</v>
      </c>
      <c r="J218" s="21" t="s">
        <v>673</v>
      </c>
      <c r="K218" s="27" t="n">
        <v>49</v>
      </c>
    </row>
    <row r="219" customFormat="false" ht="13.8" hidden="false" customHeight="false" outlineLevel="0" collapsed="false">
      <c r="A219" s="21" t="n">
        <v>6</v>
      </c>
      <c r="B219" s="21" t="n">
        <v>2022</v>
      </c>
      <c r="C219" s="26" t="n">
        <v>44686</v>
      </c>
      <c r="D219" s="21" t="s">
        <v>677</v>
      </c>
      <c r="E219" s="21" t="s">
        <v>73</v>
      </c>
      <c r="F219" s="21" t="s">
        <v>661</v>
      </c>
      <c r="G219" s="21" t="s">
        <v>556</v>
      </c>
      <c r="H219" s="21" t="s">
        <v>556</v>
      </c>
      <c r="I219" s="21" t="s">
        <v>679</v>
      </c>
      <c r="J219" s="21" t="s">
        <v>673</v>
      </c>
      <c r="K219" s="21" t="s">
        <v>680</v>
      </c>
    </row>
    <row r="220" customFormat="false" ht="13.8" hidden="false" customHeight="false" outlineLevel="0" collapsed="false">
      <c r="A220" s="21" t="n">
        <v>6</v>
      </c>
      <c r="B220" s="21" t="n">
        <v>2022</v>
      </c>
      <c r="C220" s="26" t="n">
        <v>44686</v>
      </c>
      <c r="D220" s="21" t="s">
        <v>674</v>
      </c>
      <c r="E220" s="21" t="s">
        <v>58</v>
      </c>
      <c r="F220" s="21" t="s">
        <v>657</v>
      </c>
      <c r="G220" s="27" t="n">
        <v>60</v>
      </c>
      <c r="H220" s="27" t="n">
        <v>70</v>
      </c>
      <c r="I220" s="27" t="n">
        <v>65</v>
      </c>
      <c r="J220" s="27" t="n">
        <v>70</v>
      </c>
      <c r="K220" s="27" t="n">
        <v>65</v>
      </c>
    </row>
    <row r="221" customFormat="false" ht="25" hidden="false" customHeight="false" outlineLevel="0" collapsed="false">
      <c r="A221" s="21" t="n">
        <v>6</v>
      </c>
      <c r="B221" s="21" t="n">
        <v>2022</v>
      </c>
      <c r="C221" s="26" t="n">
        <v>44686</v>
      </c>
      <c r="D221" s="21" t="s">
        <v>677</v>
      </c>
      <c r="E221" s="21" t="s">
        <v>74</v>
      </c>
      <c r="F221" s="21" t="s">
        <v>667</v>
      </c>
      <c r="G221" s="21" t="s">
        <v>556</v>
      </c>
      <c r="H221" s="21" t="s">
        <v>556</v>
      </c>
      <c r="I221" s="21" t="s">
        <v>679</v>
      </c>
      <c r="J221" s="21" t="s">
        <v>673</v>
      </c>
      <c r="K221" s="21" t="s">
        <v>680</v>
      </c>
    </row>
    <row r="222" customFormat="false" ht="25" hidden="false" customHeight="false" outlineLevel="0" collapsed="false">
      <c r="A222" s="21" t="n">
        <v>6</v>
      </c>
      <c r="B222" s="21" t="n">
        <v>2022</v>
      </c>
      <c r="C222" s="26" t="n">
        <v>44686</v>
      </c>
      <c r="D222" s="21" t="s">
        <v>674</v>
      </c>
      <c r="E222" s="21" t="s">
        <v>61</v>
      </c>
      <c r="F222" s="21" t="s">
        <v>657</v>
      </c>
      <c r="G222" s="27" t="n">
        <v>30</v>
      </c>
      <c r="H222" s="27" t="n">
        <v>65</v>
      </c>
      <c r="I222" s="27" t="n">
        <v>50.45</v>
      </c>
      <c r="J222" s="27" t="n">
        <v>65</v>
      </c>
      <c r="K222" s="27" t="n">
        <v>50</v>
      </c>
    </row>
    <row r="223" customFormat="false" ht="25" hidden="false" customHeight="false" outlineLevel="0" collapsed="false">
      <c r="A223" s="21" t="n">
        <v>6</v>
      </c>
      <c r="B223" s="21" t="n">
        <v>2022</v>
      </c>
      <c r="C223" s="26" t="n">
        <v>44686</v>
      </c>
      <c r="D223" s="21" t="s">
        <v>674</v>
      </c>
      <c r="E223" s="21" t="s">
        <v>62</v>
      </c>
      <c r="F223" s="21" t="s">
        <v>657</v>
      </c>
      <c r="G223" s="27" t="n">
        <v>50</v>
      </c>
      <c r="H223" s="27" t="n">
        <v>90</v>
      </c>
      <c r="I223" s="27" t="n">
        <v>70.42</v>
      </c>
      <c r="J223" s="27" t="n">
        <v>70</v>
      </c>
      <c r="K223" s="27" t="n">
        <v>70</v>
      </c>
    </row>
    <row r="224" customFormat="false" ht="25" hidden="false" customHeight="false" outlineLevel="0" collapsed="false">
      <c r="A224" s="21" t="n">
        <v>6</v>
      </c>
      <c r="B224" s="21" t="n">
        <v>2022</v>
      </c>
      <c r="C224" s="26" t="n">
        <v>44686</v>
      </c>
      <c r="D224" s="21" t="s">
        <v>674</v>
      </c>
      <c r="E224" s="21" t="s">
        <v>63</v>
      </c>
      <c r="F224" s="21" t="s">
        <v>661</v>
      </c>
      <c r="G224" s="27" t="n">
        <v>45</v>
      </c>
      <c r="H224" s="27" t="n">
        <v>70</v>
      </c>
      <c r="I224" s="27" t="n">
        <v>53.5</v>
      </c>
      <c r="J224" s="27" t="n">
        <v>50</v>
      </c>
      <c r="K224" s="27" t="n">
        <v>52.5</v>
      </c>
    </row>
    <row r="225" customFormat="false" ht="25" hidden="false" customHeight="false" outlineLevel="0" collapsed="false">
      <c r="A225" s="21" t="n">
        <v>6</v>
      </c>
      <c r="B225" s="21" t="n">
        <v>2022</v>
      </c>
      <c r="C225" s="26" t="n">
        <v>44686</v>
      </c>
      <c r="D225" s="21" t="s">
        <v>674</v>
      </c>
      <c r="E225" s="21" t="s">
        <v>64</v>
      </c>
      <c r="F225" s="21" t="s">
        <v>661</v>
      </c>
      <c r="G225" s="27" t="n">
        <v>70</v>
      </c>
      <c r="H225" s="27" t="n">
        <v>130</v>
      </c>
      <c r="I225" s="27" t="n">
        <v>99.09</v>
      </c>
      <c r="J225" s="27" t="n">
        <v>100</v>
      </c>
      <c r="K225" s="27" t="n">
        <v>100</v>
      </c>
    </row>
    <row r="226" customFormat="false" ht="25" hidden="false" customHeight="false" outlineLevel="0" collapsed="false">
      <c r="A226" s="21" t="n">
        <v>6</v>
      </c>
      <c r="B226" s="21" t="n">
        <v>2022</v>
      </c>
      <c r="C226" s="26" t="n">
        <v>44686</v>
      </c>
      <c r="D226" s="21" t="s">
        <v>676</v>
      </c>
      <c r="E226" s="21" t="s">
        <v>29</v>
      </c>
      <c r="F226" s="21" t="s">
        <v>658</v>
      </c>
      <c r="G226" s="27" t="n">
        <v>40</v>
      </c>
      <c r="H226" s="27" t="n">
        <v>40</v>
      </c>
      <c r="I226" s="27" t="n">
        <v>40</v>
      </c>
      <c r="J226" s="21" t="s">
        <v>673</v>
      </c>
      <c r="K226" s="27" t="n">
        <v>40</v>
      </c>
    </row>
    <row r="227" customFormat="false" ht="13.8" hidden="false" customHeight="false" outlineLevel="0" collapsed="false">
      <c r="A227" s="21" t="n">
        <v>6</v>
      </c>
      <c r="B227" s="21" t="n">
        <v>2022</v>
      </c>
      <c r="C227" s="26" t="n">
        <v>44686</v>
      </c>
      <c r="D227" s="21" t="s">
        <v>675</v>
      </c>
      <c r="E227" s="21" t="s">
        <v>31</v>
      </c>
      <c r="F227" s="21" t="s">
        <v>658</v>
      </c>
      <c r="G227" s="27" t="n">
        <v>70</v>
      </c>
      <c r="H227" s="27" t="n">
        <v>70</v>
      </c>
      <c r="I227" s="27" t="n">
        <v>70</v>
      </c>
      <c r="J227" s="21" t="s">
        <v>673</v>
      </c>
      <c r="K227" s="27" t="n">
        <v>70</v>
      </c>
    </row>
    <row r="228" customFormat="false" ht="25" hidden="false" customHeight="false" outlineLevel="0" collapsed="false">
      <c r="A228" s="21" t="n">
        <v>6</v>
      </c>
      <c r="B228" s="21" t="n">
        <v>2022</v>
      </c>
      <c r="C228" s="26" t="n">
        <v>44686</v>
      </c>
      <c r="D228" s="21" t="s">
        <v>675</v>
      </c>
      <c r="E228" s="21" t="s">
        <v>668</v>
      </c>
      <c r="F228" s="21" t="s">
        <v>658</v>
      </c>
      <c r="G228" s="27" t="n">
        <v>60</v>
      </c>
      <c r="H228" s="27" t="n">
        <v>60</v>
      </c>
      <c r="I228" s="27" t="n">
        <v>60</v>
      </c>
      <c r="J228" s="27" t="n">
        <v>60</v>
      </c>
      <c r="K228" s="27" t="n">
        <v>60</v>
      </c>
    </row>
    <row r="229" customFormat="false" ht="13.8" hidden="false" customHeight="false" outlineLevel="0" collapsed="false">
      <c r="A229" s="21" t="n">
        <v>6</v>
      </c>
      <c r="B229" s="21" t="n">
        <v>2022</v>
      </c>
      <c r="C229" s="26" t="n">
        <v>44686</v>
      </c>
      <c r="D229" s="21" t="s">
        <v>675</v>
      </c>
      <c r="E229" s="21" t="s">
        <v>33</v>
      </c>
      <c r="F229" s="21" t="s">
        <v>658</v>
      </c>
      <c r="G229" s="27" t="n">
        <v>36</v>
      </c>
      <c r="H229" s="27" t="n">
        <v>48</v>
      </c>
      <c r="I229" s="27" t="n">
        <v>42</v>
      </c>
      <c r="J229" s="21" t="s">
        <v>673</v>
      </c>
      <c r="K229" s="27" t="n">
        <v>42</v>
      </c>
    </row>
    <row r="230" customFormat="false" ht="25" hidden="false" customHeight="false" outlineLevel="0" collapsed="false">
      <c r="A230" s="21" t="n">
        <v>6</v>
      </c>
      <c r="B230" s="21" t="n">
        <v>2022</v>
      </c>
      <c r="C230" s="26" t="n">
        <v>44686</v>
      </c>
      <c r="D230" s="21" t="s">
        <v>678</v>
      </c>
      <c r="E230" s="21" t="s">
        <v>669</v>
      </c>
      <c r="F230" s="21" t="s">
        <v>664</v>
      </c>
      <c r="G230" s="27" t="n">
        <v>20</v>
      </c>
      <c r="H230" s="27" t="n">
        <v>35</v>
      </c>
      <c r="I230" s="27" t="n">
        <v>27.5</v>
      </c>
      <c r="J230" s="21" t="s">
        <v>673</v>
      </c>
      <c r="K230" s="27" t="n">
        <v>27.5</v>
      </c>
    </row>
    <row r="231" customFormat="false" ht="25" hidden="false" customHeight="false" outlineLevel="0" collapsed="false">
      <c r="A231" s="21" t="n">
        <v>6</v>
      </c>
      <c r="B231" s="21" t="n">
        <v>2022</v>
      </c>
      <c r="C231" s="26" t="n">
        <v>44686</v>
      </c>
      <c r="D231" s="21" t="s">
        <v>674</v>
      </c>
      <c r="E231" s="21" t="s">
        <v>67</v>
      </c>
      <c r="F231" s="21" t="s">
        <v>662</v>
      </c>
      <c r="G231" s="27" t="n">
        <v>70</v>
      </c>
      <c r="H231" s="27" t="n">
        <v>110</v>
      </c>
      <c r="I231" s="27" t="n">
        <v>87.5</v>
      </c>
      <c r="J231" s="27" t="n">
        <v>80</v>
      </c>
      <c r="K231" s="27" t="n">
        <v>85</v>
      </c>
    </row>
    <row r="232" customFormat="false" ht="25" hidden="false" customHeight="false" outlineLevel="0" collapsed="false">
      <c r="A232" s="21" t="n">
        <v>6</v>
      </c>
      <c r="B232" s="21" t="n">
        <v>2022</v>
      </c>
      <c r="C232" s="26" t="n">
        <v>44686</v>
      </c>
      <c r="D232" s="21" t="s">
        <v>674</v>
      </c>
      <c r="E232" s="21" t="s">
        <v>672</v>
      </c>
      <c r="F232" s="21" t="s">
        <v>657</v>
      </c>
      <c r="G232" s="27" t="n">
        <v>60</v>
      </c>
      <c r="H232" s="27" t="n">
        <v>100</v>
      </c>
      <c r="I232" s="27" t="n">
        <v>76.82</v>
      </c>
      <c r="J232" s="27" t="n">
        <v>80</v>
      </c>
      <c r="K232" s="27" t="n">
        <v>80</v>
      </c>
    </row>
    <row r="233" customFormat="false" ht="25" hidden="false" customHeight="false" outlineLevel="0" collapsed="false">
      <c r="A233" s="21" t="n">
        <v>7</v>
      </c>
      <c r="B233" s="21" t="n">
        <v>2022</v>
      </c>
      <c r="C233" s="26" t="n">
        <v>44693</v>
      </c>
      <c r="D233" s="21" t="s">
        <v>674</v>
      </c>
      <c r="E233" s="21" t="s">
        <v>656</v>
      </c>
      <c r="F233" s="21" t="s">
        <v>657</v>
      </c>
      <c r="G233" s="27" t="n">
        <v>60</v>
      </c>
      <c r="H233" s="27" t="n">
        <v>100</v>
      </c>
      <c r="I233" s="27" t="n">
        <v>89.44</v>
      </c>
      <c r="J233" s="27" t="n">
        <v>100</v>
      </c>
      <c r="K233" s="27" t="n">
        <v>95</v>
      </c>
    </row>
    <row r="234" customFormat="false" ht="13.8" hidden="false" customHeight="false" outlineLevel="0" collapsed="false">
      <c r="A234" s="21" t="n">
        <v>7</v>
      </c>
      <c r="B234" s="21" t="n">
        <v>2022</v>
      </c>
      <c r="C234" s="26" t="n">
        <v>44693</v>
      </c>
      <c r="D234" s="21" t="s">
        <v>675</v>
      </c>
      <c r="E234" s="21" t="s">
        <v>16</v>
      </c>
      <c r="F234" s="21" t="s">
        <v>658</v>
      </c>
      <c r="G234" s="27" t="n">
        <v>60</v>
      </c>
      <c r="H234" s="27" t="n">
        <v>60</v>
      </c>
      <c r="I234" s="27" t="n">
        <v>60</v>
      </c>
      <c r="J234" s="27" t="n">
        <v>60</v>
      </c>
      <c r="K234" s="27" t="n">
        <v>60</v>
      </c>
    </row>
    <row r="235" customFormat="false" ht="13.8" hidden="false" customHeight="false" outlineLevel="0" collapsed="false">
      <c r="A235" s="21" t="n">
        <v>7</v>
      </c>
      <c r="B235" s="21" t="n">
        <v>2022</v>
      </c>
      <c r="C235" s="26" t="n">
        <v>44693</v>
      </c>
      <c r="D235" s="21" t="s">
        <v>675</v>
      </c>
      <c r="E235" s="21" t="s">
        <v>18</v>
      </c>
      <c r="F235" s="21" t="s">
        <v>658</v>
      </c>
      <c r="G235" s="27" t="n">
        <v>42</v>
      </c>
      <c r="H235" s="27" t="n">
        <v>60</v>
      </c>
      <c r="I235" s="27" t="n">
        <v>50</v>
      </c>
      <c r="J235" s="21" t="s">
        <v>556</v>
      </c>
      <c r="K235" s="27" t="n">
        <v>48</v>
      </c>
    </row>
    <row r="236" customFormat="false" ht="25" hidden="false" customHeight="false" outlineLevel="0" collapsed="false">
      <c r="A236" s="21" t="n">
        <v>7</v>
      </c>
      <c r="B236" s="21" t="n">
        <v>2022</v>
      </c>
      <c r="C236" s="26" t="n">
        <v>44693</v>
      </c>
      <c r="D236" s="21" t="s">
        <v>675</v>
      </c>
      <c r="E236" s="21" t="s">
        <v>659</v>
      </c>
      <c r="F236" s="21" t="s">
        <v>658</v>
      </c>
      <c r="G236" s="27" t="n">
        <v>36</v>
      </c>
      <c r="H236" s="27" t="n">
        <v>40</v>
      </c>
      <c r="I236" s="27" t="n">
        <v>38</v>
      </c>
      <c r="J236" s="27" t="n">
        <v>40</v>
      </c>
      <c r="K236" s="27" t="n">
        <v>38</v>
      </c>
    </row>
    <row r="237" customFormat="false" ht="13.8" hidden="false" customHeight="false" outlineLevel="0" collapsed="false">
      <c r="A237" s="21" t="n">
        <v>7</v>
      </c>
      <c r="B237" s="21" t="n">
        <v>2022</v>
      </c>
      <c r="C237" s="26" t="n">
        <v>44693</v>
      </c>
      <c r="D237" s="21" t="s">
        <v>675</v>
      </c>
      <c r="E237" s="21" t="s">
        <v>20</v>
      </c>
      <c r="F237" s="21" t="s">
        <v>658</v>
      </c>
      <c r="G237" s="27" t="n">
        <v>22.5</v>
      </c>
      <c r="H237" s="27" t="n">
        <v>25</v>
      </c>
      <c r="I237" s="27" t="n">
        <v>23.88</v>
      </c>
      <c r="J237" s="27" t="n">
        <v>24</v>
      </c>
      <c r="K237" s="27" t="n">
        <v>24</v>
      </c>
    </row>
    <row r="238" customFormat="false" ht="13.8" hidden="false" customHeight="false" outlineLevel="0" collapsed="false">
      <c r="A238" s="21" t="n">
        <v>7</v>
      </c>
      <c r="B238" s="21" t="n">
        <v>2022</v>
      </c>
      <c r="C238" s="26" t="n">
        <v>44693</v>
      </c>
      <c r="D238" s="21" t="s">
        <v>675</v>
      </c>
      <c r="E238" s="21" t="s">
        <v>21</v>
      </c>
      <c r="F238" s="21" t="s">
        <v>658</v>
      </c>
      <c r="G238" s="27" t="n">
        <v>22.5</v>
      </c>
      <c r="H238" s="27" t="n">
        <v>44</v>
      </c>
      <c r="I238" s="27" t="n">
        <v>28.63</v>
      </c>
      <c r="J238" s="27" t="n">
        <v>24</v>
      </c>
      <c r="K238" s="27" t="n">
        <v>24</v>
      </c>
    </row>
    <row r="239" customFormat="false" ht="13.8" hidden="false" customHeight="false" outlineLevel="0" collapsed="false">
      <c r="A239" s="21" t="n">
        <v>7</v>
      </c>
      <c r="B239" s="21" t="n">
        <v>2022</v>
      </c>
      <c r="C239" s="26" t="n">
        <v>44693</v>
      </c>
      <c r="D239" s="21" t="s">
        <v>675</v>
      </c>
      <c r="E239" s="21" t="s">
        <v>22</v>
      </c>
      <c r="F239" s="21" t="s">
        <v>658</v>
      </c>
      <c r="G239" s="27" t="n">
        <v>36</v>
      </c>
      <c r="H239" s="27" t="n">
        <v>48</v>
      </c>
      <c r="I239" s="27" t="n">
        <v>44</v>
      </c>
      <c r="J239" s="27" t="n">
        <v>48</v>
      </c>
      <c r="K239" s="27" t="n">
        <v>48</v>
      </c>
    </row>
    <row r="240" customFormat="false" ht="25" hidden="false" customHeight="false" outlineLevel="0" collapsed="false">
      <c r="A240" s="21" t="n">
        <v>7</v>
      </c>
      <c r="B240" s="21" t="n">
        <v>2022</v>
      </c>
      <c r="C240" s="26" t="n">
        <v>44693</v>
      </c>
      <c r="D240" s="21" t="s">
        <v>676</v>
      </c>
      <c r="E240" s="21" t="s">
        <v>46</v>
      </c>
      <c r="F240" s="21" t="s">
        <v>660</v>
      </c>
      <c r="G240" s="27" t="n">
        <v>30</v>
      </c>
      <c r="H240" s="27" t="n">
        <v>110</v>
      </c>
      <c r="I240" s="27" t="n">
        <v>53.5</v>
      </c>
      <c r="J240" s="27" t="n">
        <v>60</v>
      </c>
      <c r="K240" s="27" t="n">
        <v>50</v>
      </c>
    </row>
    <row r="241" customFormat="false" ht="25" hidden="false" customHeight="false" outlineLevel="0" collapsed="false">
      <c r="A241" s="21" t="n">
        <v>7</v>
      </c>
      <c r="B241" s="21" t="n">
        <v>2022</v>
      </c>
      <c r="C241" s="26" t="n">
        <v>44693</v>
      </c>
      <c r="D241" s="21" t="s">
        <v>674</v>
      </c>
      <c r="E241" s="21" t="s">
        <v>48</v>
      </c>
      <c r="F241" s="21" t="s">
        <v>661</v>
      </c>
      <c r="G241" s="27" t="n">
        <v>45</v>
      </c>
      <c r="H241" s="27" t="n">
        <v>60</v>
      </c>
      <c r="I241" s="27" t="n">
        <v>52.5</v>
      </c>
      <c r="J241" s="27" t="n">
        <v>50</v>
      </c>
      <c r="K241" s="27" t="n">
        <v>50</v>
      </c>
    </row>
    <row r="242" customFormat="false" ht="25" hidden="false" customHeight="false" outlineLevel="0" collapsed="false">
      <c r="A242" s="21" t="n">
        <v>7</v>
      </c>
      <c r="B242" s="21" t="n">
        <v>2022</v>
      </c>
      <c r="C242" s="26" t="n">
        <v>44693</v>
      </c>
      <c r="D242" s="21" t="s">
        <v>674</v>
      </c>
      <c r="E242" s="21" t="s">
        <v>52</v>
      </c>
      <c r="F242" s="21" t="s">
        <v>661</v>
      </c>
      <c r="G242" s="27" t="n">
        <v>95</v>
      </c>
      <c r="H242" s="27" t="n">
        <v>100</v>
      </c>
      <c r="I242" s="27" t="n">
        <v>97.5</v>
      </c>
      <c r="J242" s="21" t="s">
        <v>556</v>
      </c>
      <c r="K242" s="27" t="n">
        <v>97.5</v>
      </c>
    </row>
    <row r="243" customFormat="false" ht="25" hidden="false" customHeight="false" outlineLevel="0" collapsed="false">
      <c r="A243" s="21" t="n">
        <v>7</v>
      </c>
      <c r="B243" s="21" t="n">
        <v>2022</v>
      </c>
      <c r="C243" s="26" t="n">
        <v>44693</v>
      </c>
      <c r="D243" s="21" t="s">
        <v>676</v>
      </c>
      <c r="E243" s="21" t="s">
        <v>53</v>
      </c>
      <c r="F243" s="21" t="s">
        <v>662</v>
      </c>
      <c r="G243" s="27" t="n">
        <v>45</v>
      </c>
      <c r="H243" s="27" t="n">
        <v>75</v>
      </c>
      <c r="I243" s="27" t="n">
        <v>64.67</v>
      </c>
      <c r="J243" s="27" t="n">
        <v>70</v>
      </c>
      <c r="K243" s="27" t="n">
        <v>70</v>
      </c>
    </row>
    <row r="244" customFormat="false" ht="36.5" hidden="false" customHeight="false" outlineLevel="0" collapsed="false">
      <c r="A244" s="21" t="n">
        <v>7</v>
      </c>
      <c r="B244" s="21" t="n">
        <v>2022</v>
      </c>
      <c r="C244" s="26" t="n">
        <v>44693</v>
      </c>
      <c r="D244" s="21" t="s">
        <v>675</v>
      </c>
      <c r="E244" s="21" t="s">
        <v>663</v>
      </c>
      <c r="F244" s="21" t="s">
        <v>658</v>
      </c>
      <c r="G244" s="27" t="n">
        <v>66</v>
      </c>
      <c r="H244" s="27" t="n">
        <v>84</v>
      </c>
      <c r="I244" s="27" t="n">
        <v>74</v>
      </c>
      <c r="J244" s="21" t="s">
        <v>556</v>
      </c>
      <c r="K244" s="27" t="n">
        <v>72</v>
      </c>
    </row>
    <row r="245" customFormat="false" ht="25" hidden="false" customHeight="false" outlineLevel="0" collapsed="false">
      <c r="A245" s="21" t="n">
        <v>7</v>
      </c>
      <c r="B245" s="21" t="n">
        <v>2022</v>
      </c>
      <c r="C245" s="26" t="n">
        <v>44693</v>
      </c>
      <c r="D245" s="21" t="s">
        <v>675</v>
      </c>
      <c r="E245" s="21" t="s">
        <v>24</v>
      </c>
      <c r="F245" s="21" t="s">
        <v>658</v>
      </c>
      <c r="G245" s="27" t="n">
        <v>60</v>
      </c>
      <c r="H245" s="27" t="n">
        <v>60</v>
      </c>
      <c r="I245" s="27" t="n">
        <v>60</v>
      </c>
      <c r="J245" s="27" t="n">
        <v>60</v>
      </c>
      <c r="K245" s="27" t="n">
        <v>60</v>
      </c>
    </row>
    <row r="246" customFormat="false" ht="13.8" hidden="false" customHeight="false" outlineLevel="0" collapsed="false">
      <c r="A246" s="21" t="n">
        <v>7</v>
      </c>
      <c r="B246" s="21" t="n">
        <v>2022</v>
      </c>
      <c r="C246" s="26" t="n">
        <v>44693</v>
      </c>
      <c r="D246" s="21" t="s">
        <v>677</v>
      </c>
      <c r="E246" s="21" t="s">
        <v>70</v>
      </c>
      <c r="F246" s="21" t="s">
        <v>657</v>
      </c>
      <c r="G246" s="27" t="n">
        <v>65</v>
      </c>
      <c r="H246" s="27" t="n">
        <v>110</v>
      </c>
      <c r="I246" s="27" t="n">
        <v>87.5</v>
      </c>
      <c r="J246" s="21" t="s">
        <v>556</v>
      </c>
      <c r="K246" s="27" t="n">
        <v>87.5</v>
      </c>
    </row>
    <row r="247" customFormat="false" ht="25" hidden="false" customHeight="false" outlineLevel="0" collapsed="false">
      <c r="A247" s="21" t="n">
        <v>7</v>
      </c>
      <c r="B247" s="21" t="n">
        <v>2022</v>
      </c>
      <c r="C247" s="26" t="n">
        <v>44693</v>
      </c>
      <c r="D247" s="21" t="s">
        <v>677</v>
      </c>
      <c r="E247" s="21" t="s">
        <v>681</v>
      </c>
      <c r="F247" s="21" t="s">
        <v>657</v>
      </c>
      <c r="G247" s="27" t="n">
        <v>45</v>
      </c>
      <c r="H247" s="27" t="n">
        <v>50</v>
      </c>
      <c r="I247" s="27" t="n">
        <v>47.5</v>
      </c>
      <c r="J247" s="21" t="s">
        <v>556</v>
      </c>
      <c r="K247" s="27" t="n">
        <v>47.5</v>
      </c>
    </row>
    <row r="248" customFormat="false" ht="25" hidden="false" customHeight="false" outlineLevel="0" collapsed="false">
      <c r="A248" s="21" t="n">
        <v>7</v>
      </c>
      <c r="B248" s="21" t="n">
        <v>2022</v>
      </c>
      <c r="C248" s="26" t="n">
        <v>44693</v>
      </c>
      <c r="D248" s="21" t="s">
        <v>677</v>
      </c>
      <c r="E248" s="21" t="s">
        <v>72</v>
      </c>
      <c r="F248" s="21" t="s">
        <v>657</v>
      </c>
      <c r="G248" s="27" t="n">
        <v>30</v>
      </c>
      <c r="H248" s="27" t="n">
        <v>38</v>
      </c>
      <c r="I248" s="27" t="n">
        <v>34</v>
      </c>
      <c r="J248" s="21" t="s">
        <v>556</v>
      </c>
      <c r="K248" s="27" t="n">
        <v>34</v>
      </c>
    </row>
    <row r="249" customFormat="false" ht="25" hidden="false" customHeight="false" outlineLevel="0" collapsed="false">
      <c r="A249" s="21" t="n">
        <v>7</v>
      </c>
      <c r="B249" s="21" t="n">
        <v>2022</v>
      </c>
      <c r="C249" s="26" t="n">
        <v>44693</v>
      </c>
      <c r="D249" s="21" t="s">
        <v>678</v>
      </c>
      <c r="E249" s="21" t="s">
        <v>35</v>
      </c>
      <c r="F249" s="21" t="s">
        <v>670</v>
      </c>
      <c r="G249" s="27" t="n">
        <v>2</v>
      </c>
      <c r="H249" s="27" t="n">
        <v>4</v>
      </c>
      <c r="I249" s="27" t="n">
        <v>3.17</v>
      </c>
      <c r="J249" s="21" t="s">
        <v>556</v>
      </c>
      <c r="K249" s="27" t="n">
        <v>3.5</v>
      </c>
    </row>
    <row r="250" customFormat="false" ht="25" hidden="false" customHeight="false" outlineLevel="0" collapsed="false">
      <c r="A250" s="21" t="n">
        <v>7</v>
      </c>
      <c r="B250" s="21" t="n">
        <v>2022</v>
      </c>
      <c r="C250" s="26" t="n">
        <v>44693</v>
      </c>
      <c r="D250" s="21" t="s">
        <v>676</v>
      </c>
      <c r="E250" s="21" t="s">
        <v>56</v>
      </c>
      <c r="F250" s="21" t="s">
        <v>660</v>
      </c>
      <c r="G250" s="27" t="n">
        <v>60</v>
      </c>
      <c r="H250" s="27" t="n">
        <v>115</v>
      </c>
      <c r="I250" s="27" t="n">
        <v>76.67</v>
      </c>
      <c r="J250" s="27" t="n">
        <v>75</v>
      </c>
      <c r="K250" s="27" t="n">
        <v>75</v>
      </c>
    </row>
    <row r="251" customFormat="false" ht="13.8" hidden="false" customHeight="false" outlineLevel="0" collapsed="false">
      <c r="A251" s="21" t="n">
        <v>7</v>
      </c>
      <c r="B251" s="21" t="n">
        <v>2022</v>
      </c>
      <c r="C251" s="26" t="n">
        <v>44693</v>
      </c>
      <c r="D251" s="21" t="s">
        <v>674</v>
      </c>
      <c r="E251" s="21" t="s">
        <v>57</v>
      </c>
      <c r="F251" s="21" t="s">
        <v>665</v>
      </c>
      <c r="G251" s="27" t="n">
        <v>40</v>
      </c>
      <c r="H251" s="27" t="n">
        <v>70</v>
      </c>
      <c r="I251" s="27" t="n">
        <v>49.44</v>
      </c>
      <c r="J251" s="27" t="n">
        <v>45</v>
      </c>
      <c r="K251" s="27" t="n">
        <v>45</v>
      </c>
    </row>
    <row r="252" customFormat="false" ht="25" hidden="false" customHeight="false" outlineLevel="0" collapsed="false">
      <c r="A252" s="21" t="n">
        <v>7</v>
      </c>
      <c r="B252" s="21" t="n">
        <v>2022</v>
      </c>
      <c r="C252" s="26" t="n">
        <v>44693</v>
      </c>
      <c r="D252" s="21" t="s">
        <v>678</v>
      </c>
      <c r="E252" s="21" t="s">
        <v>38</v>
      </c>
      <c r="F252" s="21" t="s">
        <v>682</v>
      </c>
      <c r="G252" s="27" t="n">
        <v>20</v>
      </c>
      <c r="H252" s="27" t="n">
        <v>25</v>
      </c>
      <c r="I252" s="27" t="n">
        <v>23.75</v>
      </c>
      <c r="J252" s="27" t="n">
        <v>25</v>
      </c>
      <c r="K252" s="27" t="n">
        <v>25</v>
      </c>
    </row>
    <row r="253" customFormat="false" ht="25" hidden="false" customHeight="false" outlineLevel="0" collapsed="false">
      <c r="A253" s="21" t="n">
        <v>7</v>
      </c>
      <c r="B253" s="21" t="n">
        <v>2022</v>
      </c>
      <c r="C253" s="26" t="n">
        <v>44693</v>
      </c>
      <c r="D253" s="21" t="s">
        <v>675</v>
      </c>
      <c r="E253" s="21" t="s">
        <v>666</v>
      </c>
      <c r="F253" s="21" t="s">
        <v>658</v>
      </c>
      <c r="G253" s="27" t="n">
        <v>20</v>
      </c>
      <c r="H253" s="27" t="n">
        <v>25</v>
      </c>
      <c r="I253" s="27" t="n">
        <v>23</v>
      </c>
      <c r="J253" s="21" t="s">
        <v>556</v>
      </c>
      <c r="K253" s="27" t="n">
        <v>24</v>
      </c>
    </row>
    <row r="254" customFormat="false" ht="13.8" hidden="false" customHeight="false" outlineLevel="0" collapsed="false">
      <c r="A254" s="21" t="n">
        <v>7</v>
      </c>
      <c r="B254" s="21" t="n">
        <v>2022</v>
      </c>
      <c r="C254" s="26" t="n">
        <v>44693</v>
      </c>
      <c r="D254" s="21" t="s">
        <v>675</v>
      </c>
      <c r="E254" s="21" t="s">
        <v>77</v>
      </c>
      <c r="F254" s="21" t="s">
        <v>658</v>
      </c>
      <c r="G254" s="27" t="n">
        <v>70</v>
      </c>
      <c r="H254" s="27" t="n">
        <v>90</v>
      </c>
      <c r="I254" s="27" t="n">
        <v>81.33</v>
      </c>
      <c r="J254" s="21" t="s">
        <v>556</v>
      </c>
      <c r="K254" s="27" t="n">
        <v>84</v>
      </c>
    </row>
    <row r="255" customFormat="false" ht="13.8" hidden="false" customHeight="false" outlineLevel="0" collapsed="false">
      <c r="A255" s="21" t="n">
        <v>7</v>
      </c>
      <c r="B255" s="21" t="n">
        <v>2022</v>
      </c>
      <c r="C255" s="26" t="n">
        <v>44693</v>
      </c>
      <c r="D255" s="21" t="s">
        <v>675</v>
      </c>
      <c r="E255" s="21" t="s">
        <v>27</v>
      </c>
      <c r="F255" s="21" t="s">
        <v>658</v>
      </c>
      <c r="G255" s="27" t="n">
        <v>22.5</v>
      </c>
      <c r="H255" s="27" t="n">
        <v>25</v>
      </c>
      <c r="I255" s="27" t="n">
        <v>23.88</v>
      </c>
      <c r="J255" s="27" t="n">
        <v>24</v>
      </c>
      <c r="K255" s="27" t="n">
        <v>24</v>
      </c>
    </row>
    <row r="256" customFormat="false" ht="13.8" hidden="false" customHeight="false" outlineLevel="0" collapsed="false">
      <c r="A256" s="21" t="n">
        <v>7</v>
      </c>
      <c r="B256" s="21" t="n">
        <v>2022</v>
      </c>
      <c r="C256" s="26" t="n">
        <v>44693</v>
      </c>
      <c r="D256" s="21" t="s">
        <v>675</v>
      </c>
      <c r="E256" s="21" t="s">
        <v>28</v>
      </c>
      <c r="F256" s="21" t="s">
        <v>658</v>
      </c>
      <c r="G256" s="27" t="n">
        <v>48</v>
      </c>
      <c r="H256" s="27" t="n">
        <v>54</v>
      </c>
      <c r="I256" s="27" t="n">
        <v>50</v>
      </c>
      <c r="J256" s="27" t="n">
        <v>48</v>
      </c>
      <c r="K256" s="27" t="n">
        <v>48</v>
      </c>
    </row>
    <row r="257" customFormat="false" ht="13.8" hidden="false" customHeight="false" outlineLevel="0" collapsed="false">
      <c r="A257" s="21" t="n">
        <v>7</v>
      </c>
      <c r="B257" s="21" t="n">
        <v>2022</v>
      </c>
      <c r="C257" s="26" t="n">
        <v>44693</v>
      </c>
      <c r="D257" s="21" t="s">
        <v>677</v>
      </c>
      <c r="E257" s="21" t="s">
        <v>73</v>
      </c>
      <c r="F257" s="21" t="s">
        <v>661</v>
      </c>
      <c r="G257" s="27" t="n">
        <v>30</v>
      </c>
      <c r="H257" s="27" t="n">
        <v>30</v>
      </c>
      <c r="I257" s="27" t="n">
        <v>30</v>
      </c>
      <c r="J257" s="21" t="s">
        <v>556</v>
      </c>
      <c r="K257" s="27" t="n">
        <v>30</v>
      </c>
    </row>
    <row r="258" customFormat="false" ht="13.8" hidden="false" customHeight="false" outlineLevel="0" collapsed="false">
      <c r="A258" s="21" t="n">
        <v>7</v>
      </c>
      <c r="B258" s="21" t="n">
        <v>2022</v>
      </c>
      <c r="C258" s="26" t="n">
        <v>44693</v>
      </c>
      <c r="D258" s="21" t="s">
        <v>674</v>
      </c>
      <c r="E258" s="21" t="s">
        <v>58</v>
      </c>
      <c r="F258" s="21" t="s">
        <v>657</v>
      </c>
      <c r="G258" s="27" t="n">
        <v>50</v>
      </c>
      <c r="H258" s="27" t="n">
        <v>80</v>
      </c>
      <c r="I258" s="27" t="n">
        <v>65</v>
      </c>
      <c r="J258" s="27" t="n">
        <v>70</v>
      </c>
      <c r="K258" s="27" t="n">
        <v>70</v>
      </c>
    </row>
    <row r="259" customFormat="false" ht="25" hidden="false" customHeight="false" outlineLevel="0" collapsed="false">
      <c r="A259" s="21" t="n">
        <v>7</v>
      </c>
      <c r="B259" s="21" t="n">
        <v>2022</v>
      </c>
      <c r="C259" s="26" t="n">
        <v>44693</v>
      </c>
      <c r="D259" s="21" t="s">
        <v>677</v>
      </c>
      <c r="E259" s="21" t="s">
        <v>74</v>
      </c>
      <c r="F259" s="21" t="s">
        <v>667</v>
      </c>
      <c r="G259" s="27" t="n">
        <v>45</v>
      </c>
      <c r="H259" s="27" t="n">
        <v>65</v>
      </c>
      <c r="I259" s="27" t="n">
        <v>54</v>
      </c>
      <c r="J259" s="21" t="s">
        <v>556</v>
      </c>
      <c r="K259" s="27" t="n">
        <v>52</v>
      </c>
    </row>
    <row r="260" customFormat="false" ht="25" hidden="false" customHeight="false" outlineLevel="0" collapsed="false">
      <c r="A260" s="21" t="n">
        <v>7</v>
      </c>
      <c r="B260" s="21" t="n">
        <v>2022</v>
      </c>
      <c r="C260" s="26" t="n">
        <v>44693</v>
      </c>
      <c r="D260" s="21" t="s">
        <v>674</v>
      </c>
      <c r="E260" s="21" t="s">
        <v>61</v>
      </c>
      <c r="F260" s="21" t="s">
        <v>657</v>
      </c>
      <c r="G260" s="27" t="n">
        <v>50</v>
      </c>
      <c r="H260" s="27" t="n">
        <v>65</v>
      </c>
      <c r="I260" s="27" t="n">
        <v>56.43</v>
      </c>
      <c r="J260" s="27" t="n">
        <v>50</v>
      </c>
      <c r="K260" s="27" t="n">
        <v>60</v>
      </c>
    </row>
    <row r="261" customFormat="false" ht="25" hidden="false" customHeight="false" outlineLevel="0" collapsed="false">
      <c r="A261" s="21" t="n">
        <v>7</v>
      </c>
      <c r="B261" s="21" t="n">
        <v>2022</v>
      </c>
      <c r="C261" s="26" t="n">
        <v>44693</v>
      </c>
      <c r="D261" s="21" t="s">
        <v>674</v>
      </c>
      <c r="E261" s="21" t="s">
        <v>62</v>
      </c>
      <c r="F261" s="21" t="s">
        <v>662</v>
      </c>
      <c r="G261" s="27" t="n">
        <v>80</v>
      </c>
      <c r="H261" s="27" t="n">
        <v>100</v>
      </c>
      <c r="I261" s="27" t="n">
        <v>93.13</v>
      </c>
      <c r="J261" s="27" t="n">
        <v>100</v>
      </c>
      <c r="K261" s="27" t="n">
        <v>92.5</v>
      </c>
    </row>
    <row r="262" customFormat="false" ht="25" hidden="false" customHeight="false" outlineLevel="0" collapsed="false">
      <c r="A262" s="21" t="n">
        <v>7</v>
      </c>
      <c r="B262" s="21" t="n">
        <v>2022</v>
      </c>
      <c r="C262" s="26" t="n">
        <v>44693</v>
      </c>
      <c r="D262" s="21" t="s">
        <v>674</v>
      </c>
      <c r="E262" s="21" t="s">
        <v>63</v>
      </c>
      <c r="F262" s="21" t="s">
        <v>661</v>
      </c>
      <c r="G262" s="27" t="n">
        <v>50</v>
      </c>
      <c r="H262" s="27" t="n">
        <v>80</v>
      </c>
      <c r="I262" s="27" t="n">
        <v>58.33</v>
      </c>
      <c r="J262" s="27" t="n">
        <v>50</v>
      </c>
      <c r="K262" s="27" t="n">
        <v>55</v>
      </c>
    </row>
    <row r="263" customFormat="false" ht="25" hidden="false" customHeight="false" outlineLevel="0" collapsed="false">
      <c r="A263" s="21" t="n">
        <v>7</v>
      </c>
      <c r="B263" s="21" t="n">
        <v>2022</v>
      </c>
      <c r="C263" s="26" t="n">
        <v>44693</v>
      </c>
      <c r="D263" s="21" t="s">
        <v>674</v>
      </c>
      <c r="E263" s="21" t="s">
        <v>64</v>
      </c>
      <c r="F263" s="21" t="s">
        <v>658</v>
      </c>
      <c r="G263" s="27" t="n">
        <v>100</v>
      </c>
      <c r="H263" s="27" t="n">
        <v>140</v>
      </c>
      <c r="I263" s="27" t="n">
        <v>111.11</v>
      </c>
      <c r="J263" s="27" t="n">
        <v>100</v>
      </c>
      <c r="K263" s="27" t="n">
        <v>110</v>
      </c>
    </row>
    <row r="264" customFormat="false" ht="25" hidden="false" customHeight="false" outlineLevel="0" collapsed="false">
      <c r="A264" s="21" t="n">
        <v>7</v>
      </c>
      <c r="B264" s="21" t="n">
        <v>2022</v>
      </c>
      <c r="C264" s="26" t="n">
        <v>44693</v>
      </c>
      <c r="D264" s="21" t="s">
        <v>676</v>
      </c>
      <c r="E264" s="21" t="s">
        <v>29</v>
      </c>
      <c r="F264" s="21" t="s">
        <v>658</v>
      </c>
      <c r="G264" s="27" t="n">
        <v>36</v>
      </c>
      <c r="H264" s="27" t="n">
        <v>42</v>
      </c>
      <c r="I264" s="27" t="n">
        <v>39</v>
      </c>
      <c r="J264" s="21" t="s">
        <v>556</v>
      </c>
      <c r="K264" s="27" t="n">
        <v>39</v>
      </c>
    </row>
    <row r="265" customFormat="false" ht="13.8" hidden="false" customHeight="false" outlineLevel="0" collapsed="false">
      <c r="A265" s="21" t="n">
        <v>7</v>
      </c>
      <c r="B265" s="21" t="n">
        <v>2022</v>
      </c>
      <c r="C265" s="26" t="n">
        <v>44693</v>
      </c>
      <c r="D265" s="21" t="s">
        <v>675</v>
      </c>
      <c r="E265" s="21" t="s">
        <v>31</v>
      </c>
      <c r="F265" s="21" t="s">
        <v>658</v>
      </c>
      <c r="G265" s="27" t="n">
        <v>60</v>
      </c>
      <c r="H265" s="27" t="n">
        <v>70</v>
      </c>
      <c r="I265" s="27" t="n">
        <v>66.67</v>
      </c>
      <c r="J265" s="27" t="n">
        <v>70</v>
      </c>
      <c r="K265" s="27" t="n">
        <v>70</v>
      </c>
    </row>
    <row r="266" customFormat="false" ht="25" hidden="false" customHeight="false" outlineLevel="0" collapsed="false">
      <c r="A266" s="21" t="n">
        <v>7</v>
      </c>
      <c r="B266" s="21" t="n">
        <v>2022</v>
      </c>
      <c r="C266" s="26" t="n">
        <v>44693</v>
      </c>
      <c r="D266" s="21" t="s">
        <v>675</v>
      </c>
      <c r="E266" s="21" t="s">
        <v>668</v>
      </c>
      <c r="F266" s="21" t="s">
        <v>658</v>
      </c>
      <c r="G266" s="27" t="n">
        <v>60</v>
      </c>
      <c r="H266" s="27" t="n">
        <v>70</v>
      </c>
      <c r="I266" s="27" t="n">
        <v>62.5</v>
      </c>
      <c r="J266" s="27" t="n">
        <v>60</v>
      </c>
      <c r="K266" s="27" t="n">
        <v>60</v>
      </c>
    </row>
    <row r="267" customFormat="false" ht="13.8" hidden="false" customHeight="false" outlineLevel="0" collapsed="false">
      <c r="A267" s="21" t="n">
        <v>7</v>
      </c>
      <c r="B267" s="21" t="n">
        <v>2022</v>
      </c>
      <c r="C267" s="26" t="n">
        <v>44693</v>
      </c>
      <c r="D267" s="21" t="s">
        <v>675</v>
      </c>
      <c r="E267" s="21" t="s">
        <v>33</v>
      </c>
      <c r="F267" s="21" t="s">
        <v>658</v>
      </c>
      <c r="G267" s="27" t="n">
        <v>42</v>
      </c>
      <c r="H267" s="27" t="n">
        <v>48</v>
      </c>
      <c r="I267" s="27" t="n">
        <v>46.5</v>
      </c>
      <c r="J267" s="27" t="n">
        <v>48</v>
      </c>
      <c r="K267" s="27" t="n">
        <v>48</v>
      </c>
    </row>
    <row r="268" customFormat="false" ht="25" hidden="false" customHeight="false" outlineLevel="0" collapsed="false">
      <c r="A268" s="21" t="n">
        <v>7</v>
      </c>
      <c r="B268" s="21" t="n">
        <v>2022</v>
      </c>
      <c r="C268" s="26" t="n">
        <v>44693</v>
      </c>
      <c r="D268" s="21" t="s">
        <v>678</v>
      </c>
      <c r="E268" s="21" t="s">
        <v>669</v>
      </c>
      <c r="F268" s="21" t="s">
        <v>682</v>
      </c>
      <c r="G268" s="27" t="n">
        <v>20</v>
      </c>
      <c r="H268" s="27" t="n">
        <v>30</v>
      </c>
      <c r="I268" s="27" t="n">
        <v>25</v>
      </c>
      <c r="J268" s="27" t="n">
        <v>25</v>
      </c>
      <c r="K268" s="27" t="n">
        <v>25</v>
      </c>
    </row>
    <row r="269" customFormat="false" ht="25" hidden="false" customHeight="false" outlineLevel="0" collapsed="false">
      <c r="A269" s="21" t="n">
        <v>7</v>
      </c>
      <c r="B269" s="21" t="n">
        <v>2022</v>
      </c>
      <c r="C269" s="26" t="n">
        <v>44693</v>
      </c>
      <c r="D269" s="21" t="s">
        <v>674</v>
      </c>
      <c r="E269" s="21" t="s">
        <v>67</v>
      </c>
      <c r="F269" s="21" t="s">
        <v>662</v>
      </c>
      <c r="G269" s="27" t="n">
        <v>70</v>
      </c>
      <c r="H269" s="27" t="n">
        <v>90</v>
      </c>
      <c r="I269" s="27" t="n">
        <v>80.71</v>
      </c>
      <c r="J269" s="27" t="n">
        <v>80</v>
      </c>
      <c r="K269" s="27" t="n">
        <v>80</v>
      </c>
    </row>
    <row r="270" customFormat="false" ht="25" hidden="false" customHeight="false" outlineLevel="0" collapsed="false">
      <c r="A270" s="21" t="n">
        <v>7</v>
      </c>
      <c r="B270" s="21" t="n">
        <v>2022</v>
      </c>
      <c r="C270" s="26" t="n">
        <v>44693</v>
      </c>
      <c r="D270" s="21" t="s">
        <v>674</v>
      </c>
      <c r="E270" s="21" t="s">
        <v>68</v>
      </c>
      <c r="F270" s="21" t="s">
        <v>657</v>
      </c>
      <c r="G270" s="27" t="n">
        <v>80</v>
      </c>
      <c r="H270" s="27" t="n">
        <v>100</v>
      </c>
      <c r="I270" s="27" t="n">
        <v>86.88</v>
      </c>
      <c r="J270" s="27" t="n">
        <v>80</v>
      </c>
      <c r="K270" s="27" t="n">
        <v>82.5</v>
      </c>
    </row>
    <row r="271" customFormat="false" ht="25" hidden="false" customHeight="false" outlineLevel="0" collapsed="false">
      <c r="A271" s="21" t="n">
        <v>8</v>
      </c>
      <c r="B271" s="21" t="n">
        <v>2022</v>
      </c>
      <c r="C271" s="26" t="n">
        <v>44700</v>
      </c>
      <c r="D271" s="21" t="s">
        <v>674</v>
      </c>
      <c r="E271" s="21" t="s">
        <v>656</v>
      </c>
      <c r="F271" s="21" t="s">
        <v>657</v>
      </c>
      <c r="G271" s="27" t="n">
        <v>60</v>
      </c>
      <c r="H271" s="27" t="n">
        <v>90</v>
      </c>
      <c r="I271" s="27" t="n">
        <v>82</v>
      </c>
      <c r="J271" s="27" t="n">
        <v>80</v>
      </c>
      <c r="K271" s="27" t="n">
        <v>82.5</v>
      </c>
    </row>
    <row r="272" customFormat="false" ht="13.8" hidden="false" customHeight="false" outlineLevel="0" collapsed="false">
      <c r="A272" s="21" t="n">
        <v>8</v>
      </c>
      <c r="B272" s="21" t="n">
        <v>2022</v>
      </c>
      <c r="C272" s="26" t="n">
        <v>44700</v>
      </c>
      <c r="D272" s="21" t="s">
        <v>675</v>
      </c>
      <c r="E272" s="21" t="s">
        <v>16</v>
      </c>
      <c r="F272" s="21" t="s">
        <v>658</v>
      </c>
      <c r="G272" s="27" t="n">
        <v>60</v>
      </c>
      <c r="H272" s="27" t="n">
        <v>60</v>
      </c>
      <c r="I272" s="27" t="n">
        <v>60</v>
      </c>
      <c r="J272" s="27" t="n">
        <v>60</v>
      </c>
      <c r="K272" s="27" t="n">
        <v>60</v>
      </c>
    </row>
    <row r="273" customFormat="false" ht="13.8" hidden="false" customHeight="false" outlineLevel="0" collapsed="false">
      <c r="A273" s="21" t="n">
        <v>8</v>
      </c>
      <c r="B273" s="21" t="n">
        <v>2022</v>
      </c>
      <c r="C273" s="26" t="n">
        <v>44700</v>
      </c>
      <c r="D273" s="21" t="s">
        <v>675</v>
      </c>
      <c r="E273" s="21" t="s">
        <v>18</v>
      </c>
      <c r="F273" s="21" t="s">
        <v>658</v>
      </c>
      <c r="G273" s="27" t="n">
        <v>48</v>
      </c>
      <c r="H273" s="27" t="n">
        <v>60</v>
      </c>
      <c r="I273" s="27" t="n">
        <v>54</v>
      </c>
      <c r="J273" s="27" t="n">
        <v>54</v>
      </c>
      <c r="K273" s="27" t="n">
        <v>54</v>
      </c>
    </row>
    <row r="274" customFormat="false" ht="25" hidden="false" customHeight="false" outlineLevel="0" collapsed="false">
      <c r="A274" s="21" t="n">
        <v>8</v>
      </c>
      <c r="B274" s="21" t="n">
        <v>2022</v>
      </c>
      <c r="C274" s="26" t="n">
        <v>44700</v>
      </c>
      <c r="D274" s="21" t="s">
        <v>675</v>
      </c>
      <c r="E274" s="21" t="s">
        <v>659</v>
      </c>
      <c r="F274" s="21" t="s">
        <v>658</v>
      </c>
      <c r="G274" s="27" t="n">
        <v>36</v>
      </c>
      <c r="H274" s="27" t="n">
        <v>40</v>
      </c>
      <c r="I274" s="27" t="n">
        <v>38</v>
      </c>
      <c r="J274" s="27" t="n">
        <v>38</v>
      </c>
      <c r="K274" s="27" t="n">
        <v>38</v>
      </c>
    </row>
    <row r="275" customFormat="false" ht="13.8" hidden="false" customHeight="false" outlineLevel="0" collapsed="false">
      <c r="A275" s="21" t="n">
        <v>8</v>
      </c>
      <c r="B275" s="21" t="n">
        <v>2022</v>
      </c>
      <c r="C275" s="26" t="n">
        <v>44700</v>
      </c>
      <c r="D275" s="21" t="s">
        <v>675</v>
      </c>
      <c r="E275" s="21" t="s">
        <v>20</v>
      </c>
      <c r="F275" s="21" t="s">
        <v>658</v>
      </c>
      <c r="G275" s="27" t="n">
        <v>25</v>
      </c>
      <c r="H275" s="27" t="n">
        <v>30</v>
      </c>
      <c r="I275" s="27" t="n">
        <v>27.5</v>
      </c>
      <c r="J275" s="27" t="n">
        <v>27.5</v>
      </c>
      <c r="K275" s="27" t="n">
        <v>27.5</v>
      </c>
    </row>
    <row r="276" customFormat="false" ht="13.8" hidden="false" customHeight="false" outlineLevel="0" collapsed="false">
      <c r="A276" s="21" t="n">
        <v>8</v>
      </c>
      <c r="B276" s="21" t="n">
        <v>2022</v>
      </c>
      <c r="C276" s="26" t="n">
        <v>44700</v>
      </c>
      <c r="D276" s="21" t="s">
        <v>675</v>
      </c>
      <c r="E276" s="21" t="s">
        <v>21</v>
      </c>
      <c r="F276" s="21" t="s">
        <v>658</v>
      </c>
      <c r="G276" s="27" t="n">
        <v>25</v>
      </c>
      <c r="H276" s="27" t="n">
        <v>30</v>
      </c>
      <c r="I276" s="27" t="n">
        <v>27.5</v>
      </c>
      <c r="J276" s="27" t="n">
        <v>27.5</v>
      </c>
      <c r="K276" s="27" t="n">
        <v>27.5</v>
      </c>
    </row>
    <row r="277" customFormat="false" ht="13.8" hidden="false" customHeight="false" outlineLevel="0" collapsed="false">
      <c r="A277" s="21" t="n">
        <v>8</v>
      </c>
      <c r="B277" s="21" t="n">
        <v>2022</v>
      </c>
      <c r="C277" s="26" t="n">
        <v>44700</v>
      </c>
      <c r="D277" s="21" t="s">
        <v>675</v>
      </c>
      <c r="E277" s="21" t="s">
        <v>22</v>
      </c>
      <c r="F277" s="21" t="s">
        <v>658</v>
      </c>
      <c r="G277" s="27" t="n">
        <v>42</v>
      </c>
      <c r="H277" s="27" t="n">
        <v>42</v>
      </c>
      <c r="I277" s="27" t="n">
        <v>42</v>
      </c>
      <c r="J277" s="27" t="n">
        <v>42</v>
      </c>
      <c r="K277" s="27" t="n">
        <v>42</v>
      </c>
    </row>
    <row r="278" customFormat="false" ht="25" hidden="false" customHeight="false" outlineLevel="0" collapsed="false">
      <c r="A278" s="21" t="n">
        <v>8</v>
      </c>
      <c r="B278" s="21" t="n">
        <v>2022</v>
      </c>
      <c r="C278" s="26" t="n">
        <v>44700</v>
      </c>
      <c r="D278" s="21" t="s">
        <v>676</v>
      </c>
      <c r="E278" s="21" t="s">
        <v>46</v>
      </c>
      <c r="F278" s="21" t="s">
        <v>660</v>
      </c>
      <c r="G278" s="27" t="n">
        <v>30</v>
      </c>
      <c r="H278" s="27" t="n">
        <v>60</v>
      </c>
      <c r="I278" s="27" t="n">
        <v>30</v>
      </c>
      <c r="J278" s="27" t="n">
        <v>43.9</v>
      </c>
      <c r="K278" s="27" t="n">
        <v>42.5</v>
      </c>
    </row>
    <row r="279" customFormat="false" ht="25" hidden="false" customHeight="false" outlineLevel="0" collapsed="false">
      <c r="A279" s="21" t="n">
        <v>8</v>
      </c>
      <c r="B279" s="21" t="n">
        <v>2022</v>
      </c>
      <c r="C279" s="26" t="n">
        <v>44700</v>
      </c>
      <c r="D279" s="21" t="s">
        <v>674</v>
      </c>
      <c r="E279" s="21" t="s">
        <v>48</v>
      </c>
      <c r="F279" s="21" t="s">
        <v>661</v>
      </c>
      <c r="G279" s="27" t="n">
        <v>40</v>
      </c>
      <c r="H279" s="27" t="n">
        <v>65</v>
      </c>
      <c r="I279" s="27" t="n">
        <v>50</v>
      </c>
      <c r="J279" s="27" t="n">
        <v>53.89</v>
      </c>
      <c r="K279" s="27" t="n">
        <v>50</v>
      </c>
    </row>
    <row r="280" customFormat="false" ht="25" hidden="false" customHeight="false" outlineLevel="0" collapsed="false">
      <c r="A280" s="21" t="n">
        <v>8</v>
      </c>
      <c r="B280" s="21" t="n">
        <v>2022</v>
      </c>
      <c r="C280" s="26" t="n">
        <v>44700</v>
      </c>
      <c r="D280" s="21" t="s">
        <v>674</v>
      </c>
      <c r="E280" s="21" t="s">
        <v>52</v>
      </c>
      <c r="F280" s="21" t="s">
        <v>661</v>
      </c>
      <c r="G280" s="27" t="n">
        <v>80</v>
      </c>
      <c r="H280" s="27" t="n">
        <v>120</v>
      </c>
      <c r="I280" s="27" t="n">
        <v>100</v>
      </c>
      <c r="J280" s="27" t="n">
        <v>100</v>
      </c>
      <c r="K280" s="27" t="n">
        <v>100</v>
      </c>
    </row>
    <row r="281" customFormat="false" ht="25" hidden="false" customHeight="false" outlineLevel="0" collapsed="false">
      <c r="A281" s="21" t="n">
        <v>8</v>
      </c>
      <c r="B281" s="21" t="n">
        <v>2022</v>
      </c>
      <c r="C281" s="26" t="n">
        <v>44700</v>
      </c>
      <c r="D281" s="21" t="s">
        <v>676</v>
      </c>
      <c r="E281" s="21" t="s">
        <v>53</v>
      </c>
      <c r="F281" s="21" t="s">
        <v>662</v>
      </c>
      <c r="G281" s="27" t="n">
        <v>45</v>
      </c>
      <c r="H281" s="27" t="n">
        <v>70</v>
      </c>
      <c r="I281" s="27" t="n">
        <v>70</v>
      </c>
      <c r="J281" s="27" t="n">
        <v>61.88</v>
      </c>
      <c r="K281" s="27" t="n">
        <v>62.5</v>
      </c>
    </row>
    <row r="282" customFormat="false" ht="36.5" hidden="false" customHeight="false" outlineLevel="0" collapsed="false">
      <c r="A282" s="21" t="n">
        <v>8</v>
      </c>
      <c r="B282" s="21" t="n">
        <v>2022</v>
      </c>
      <c r="C282" s="26" t="n">
        <v>44700</v>
      </c>
      <c r="D282" s="21" t="s">
        <v>675</v>
      </c>
      <c r="E282" s="21" t="s">
        <v>663</v>
      </c>
      <c r="F282" s="21" t="s">
        <v>658</v>
      </c>
      <c r="G282" s="27" t="n">
        <v>72</v>
      </c>
      <c r="H282" s="27" t="n">
        <v>72</v>
      </c>
      <c r="I282" s="27" t="n">
        <v>72</v>
      </c>
      <c r="J282" s="27" t="n">
        <v>72</v>
      </c>
      <c r="K282" s="27" t="n">
        <v>72</v>
      </c>
    </row>
    <row r="283" customFormat="false" ht="25" hidden="false" customHeight="false" outlineLevel="0" collapsed="false">
      <c r="A283" s="21" t="n">
        <v>8</v>
      </c>
      <c r="B283" s="21" t="n">
        <v>2022</v>
      </c>
      <c r="C283" s="26" t="n">
        <v>44700</v>
      </c>
      <c r="D283" s="21" t="s">
        <v>675</v>
      </c>
      <c r="E283" s="21" t="s">
        <v>24</v>
      </c>
      <c r="F283" s="21" t="s">
        <v>658</v>
      </c>
      <c r="G283" s="27" t="n">
        <v>60</v>
      </c>
      <c r="H283" s="27" t="n">
        <v>60</v>
      </c>
      <c r="I283" s="27" t="n">
        <v>60</v>
      </c>
      <c r="J283" s="27" t="n">
        <v>60</v>
      </c>
      <c r="K283" s="27" t="n">
        <v>60</v>
      </c>
    </row>
    <row r="284" customFormat="false" ht="13.8" hidden="false" customHeight="false" outlineLevel="0" collapsed="false">
      <c r="A284" s="21" t="n">
        <v>8</v>
      </c>
      <c r="B284" s="21" t="n">
        <v>2022</v>
      </c>
      <c r="C284" s="26" t="n">
        <v>44700</v>
      </c>
      <c r="D284" s="21" t="s">
        <v>677</v>
      </c>
      <c r="E284" s="21" t="s">
        <v>70</v>
      </c>
      <c r="F284" s="21" t="s">
        <v>657</v>
      </c>
      <c r="G284" s="27" t="n">
        <v>50</v>
      </c>
      <c r="H284" s="27" t="n">
        <v>70</v>
      </c>
      <c r="I284" s="27" t="n">
        <v>60</v>
      </c>
      <c r="J284" s="27" t="n">
        <v>60</v>
      </c>
      <c r="K284" s="27" t="n">
        <v>60</v>
      </c>
    </row>
    <row r="285" customFormat="false" ht="25" hidden="false" customHeight="false" outlineLevel="0" collapsed="false">
      <c r="A285" s="21" t="n">
        <v>8</v>
      </c>
      <c r="B285" s="21" t="n">
        <v>2022</v>
      </c>
      <c r="C285" s="26" t="n">
        <v>44700</v>
      </c>
      <c r="D285" s="21" t="s">
        <v>677</v>
      </c>
      <c r="E285" s="21" t="s">
        <v>681</v>
      </c>
      <c r="F285" s="21" t="s">
        <v>657</v>
      </c>
      <c r="G285" s="27" t="n">
        <v>50</v>
      </c>
      <c r="H285" s="27" t="n">
        <v>55</v>
      </c>
      <c r="I285" s="27" t="n">
        <v>52.5</v>
      </c>
      <c r="J285" s="27" t="n">
        <v>52.5</v>
      </c>
      <c r="K285" s="27" t="n">
        <v>52.5</v>
      </c>
    </row>
    <row r="286" customFormat="false" ht="25" hidden="false" customHeight="false" outlineLevel="0" collapsed="false">
      <c r="A286" s="21" t="n">
        <v>8</v>
      </c>
      <c r="B286" s="21" t="n">
        <v>2022</v>
      </c>
      <c r="C286" s="26" t="n">
        <v>44700</v>
      </c>
      <c r="D286" s="21" t="s">
        <v>677</v>
      </c>
      <c r="E286" s="21" t="s">
        <v>72</v>
      </c>
      <c r="F286" s="21" t="s">
        <v>657</v>
      </c>
      <c r="G286" s="27" t="n">
        <v>30</v>
      </c>
      <c r="H286" s="27" t="n">
        <v>38</v>
      </c>
      <c r="I286" s="27" t="n">
        <v>34</v>
      </c>
      <c r="J286" s="27" t="n">
        <v>34</v>
      </c>
      <c r="K286" s="27" t="n">
        <v>34</v>
      </c>
    </row>
    <row r="287" customFormat="false" ht="25" hidden="false" customHeight="false" outlineLevel="0" collapsed="false">
      <c r="A287" s="21" t="n">
        <v>8</v>
      </c>
      <c r="B287" s="21" t="n">
        <v>2022</v>
      </c>
      <c r="C287" s="26" t="n">
        <v>44700</v>
      </c>
      <c r="D287" s="21" t="s">
        <v>678</v>
      </c>
      <c r="E287" s="21" t="s">
        <v>35</v>
      </c>
      <c r="F287" s="21" t="s">
        <v>670</v>
      </c>
      <c r="G287" s="27" t="n">
        <v>3</v>
      </c>
      <c r="H287" s="27" t="n">
        <v>4</v>
      </c>
      <c r="I287" s="27" t="n">
        <v>3.5</v>
      </c>
      <c r="J287" s="27" t="n">
        <v>3.5</v>
      </c>
      <c r="K287" s="27" t="n">
        <v>3.5</v>
      </c>
    </row>
    <row r="288" customFormat="false" ht="25" hidden="false" customHeight="false" outlineLevel="0" collapsed="false">
      <c r="A288" s="21" t="n">
        <v>8</v>
      </c>
      <c r="B288" s="21" t="n">
        <v>2022</v>
      </c>
      <c r="C288" s="26" t="n">
        <v>44700</v>
      </c>
      <c r="D288" s="21" t="s">
        <v>676</v>
      </c>
      <c r="E288" s="21" t="s">
        <v>56</v>
      </c>
      <c r="F288" s="21" t="s">
        <v>660</v>
      </c>
      <c r="G288" s="27" t="n">
        <v>50</v>
      </c>
      <c r="H288" s="27" t="n">
        <v>80</v>
      </c>
      <c r="I288" s="27" t="n">
        <v>70</v>
      </c>
      <c r="J288" s="27" t="n">
        <v>66.5</v>
      </c>
      <c r="K288" s="27" t="n">
        <v>67.5</v>
      </c>
    </row>
    <row r="289" customFormat="false" ht="13.8" hidden="false" customHeight="false" outlineLevel="0" collapsed="false">
      <c r="A289" s="21" t="n">
        <v>8</v>
      </c>
      <c r="B289" s="21" t="n">
        <v>2022</v>
      </c>
      <c r="C289" s="26" t="n">
        <v>44700</v>
      </c>
      <c r="D289" s="21" t="s">
        <v>674</v>
      </c>
      <c r="E289" s="21" t="s">
        <v>57</v>
      </c>
      <c r="F289" s="21" t="s">
        <v>665</v>
      </c>
      <c r="G289" s="27" t="n">
        <v>30</v>
      </c>
      <c r="H289" s="27" t="n">
        <v>90</v>
      </c>
      <c r="I289" s="27" t="n">
        <v>50</v>
      </c>
      <c r="J289" s="27" t="n">
        <v>48</v>
      </c>
      <c r="K289" s="27" t="n">
        <v>45</v>
      </c>
    </row>
    <row r="290" customFormat="false" ht="25" hidden="false" customHeight="false" outlineLevel="0" collapsed="false">
      <c r="A290" s="21" t="n">
        <v>8</v>
      </c>
      <c r="B290" s="21" t="n">
        <v>2022</v>
      </c>
      <c r="C290" s="26" t="n">
        <v>44700</v>
      </c>
      <c r="D290" s="21" t="s">
        <v>678</v>
      </c>
      <c r="E290" s="21" t="s">
        <v>38</v>
      </c>
      <c r="F290" s="21" t="s">
        <v>682</v>
      </c>
      <c r="G290" s="27" t="n">
        <v>22</v>
      </c>
      <c r="H290" s="27" t="n">
        <v>25</v>
      </c>
      <c r="I290" s="27" t="n">
        <v>23.5</v>
      </c>
      <c r="J290" s="27" t="n">
        <v>23.5</v>
      </c>
      <c r="K290" s="27" t="n">
        <v>23.5</v>
      </c>
    </row>
    <row r="291" customFormat="false" ht="25" hidden="false" customHeight="false" outlineLevel="0" collapsed="false">
      <c r="A291" s="21" t="n">
        <v>8</v>
      </c>
      <c r="B291" s="21" t="n">
        <v>2022</v>
      </c>
      <c r="C291" s="26" t="n">
        <v>44700</v>
      </c>
      <c r="D291" s="21" t="s">
        <v>675</v>
      </c>
      <c r="E291" s="21" t="s">
        <v>666</v>
      </c>
      <c r="F291" s="21" t="s">
        <v>658</v>
      </c>
      <c r="G291" s="27" t="n">
        <v>24</v>
      </c>
      <c r="H291" s="27" t="n">
        <v>30</v>
      </c>
      <c r="I291" s="27" t="n">
        <v>27</v>
      </c>
      <c r="J291" s="27" t="n">
        <v>27</v>
      </c>
      <c r="K291" s="27" t="n">
        <v>27</v>
      </c>
    </row>
    <row r="292" customFormat="false" ht="13.8" hidden="false" customHeight="false" outlineLevel="0" collapsed="false">
      <c r="A292" s="21" t="n">
        <v>8</v>
      </c>
      <c r="B292" s="21" t="n">
        <v>2022</v>
      </c>
      <c r="C292" s="26" t="n">
        <v>44700</v>
      </c>
      <c r="D292" s="21" t="s">
        <v>675</v>
      </c>
      <c r="E292" s="21" t="s">
        <v>77</v>
      </c>
      <c r="F292" s="21" t="s">
        <v>658</v>
      </c>
      <c r="G292" s="27" t="n">
        <v>84</v>
      </c>
      <c r="H292" s="27" t="n">
        <v>84</v>
      </c>
      <c r="I292" s="27" t="n">
        <v>84</v>
      </c>
      <c r="J292" s="27" t="n">
        <v>84</v>
      </c>
      <c r="K292" s="27" t="n">
        <v>84</v>
      </c>
    </row>
    <row r="293" customFormat="false" ht="13.8" hidden="false" customHeight="false" outlineLevel="0" collapsed="false">
      <c r="A293" s="21" t="n">
        <v>8</v>
      </c>
      <c r="B293" s="21" t="n">
        <v>2022</v>
      </c>
      <c r="C293" s="26" t="n">
        <v>44700</v>
      </c>
      <c r="D293" s="21" t="s">
        <v>675</v>
      </c>
      <c r="E293" s="21" t="s">
        <v>27</v>
      </c>
      <c r="F293" s="21" t="s">
        <v>658</v>
      </c>
      <c r="G293" s="27" t="n">
        <v>25</v>
      </c>
      <c r="H293" s="27" t="n">
        <v>30</v>
      </c>
      <c r="I293" s="27" t="n">
        <v>27.5</v>
      </c>
      <c r="J293" s="27" t="n">
        <v>27.5</v>
      </c>
      <c r="K293" s="27" t="n">
        <v>27.5</v>
      </c>
    </row>
    <row r="294" customFormat="false" ht="13.8" hidden="false" customHeight="false" outlineLevel="0" collapsed="false">
      <c r="A294" s="21" t="n">
        <v>8</v>
      </c>
      <c r="B294" s="21" t="n">
        <v>2022</v>
      </c>
      <c r="C294" s="26" t="n">
        <v>44700</v>
      </c>
      <c r="D294" s="21" t="s">
        <v>675</v>
      </c>
      <c r="E294" s="21" t="s">
        <v>28</v>
      </c>
      <c r="F294" s="21" t="s">
        <v>658</v>
      </c>
      <c r="G294" s="27" t="n">
        <v>60</v>
      </c>
      <c r="H294" s="27" t="n">
        <v>60</v>
      </c>
      <c r="I294" s="27" t="n">
        <v>60</v>
      </c>
      <c r="J294" s="27" t="n">
        <v>60</v>
      </c>
      <c r="K294" s="27" t="n">
        <v>60</v>
      </c>
    </row>
    <row r="295" customFormat="false" ht="13.8" hidden="false" customHeight="false" outlineLevel="0" collapsed="false">
      <c r="A295" s="21" t="n">
        <v>8</v>
      </c>
      <c r="B295" s="21" t="n">
        <v>2022</v>
      </c>
      <c r="C295" s="26" t="n">
        <v>44700</v>
      </c>
      <c r="D295" s="21" t="s">
        <v>677</v>
      </c>
      <c r="E295" s="21" t="s">
        <v>73</v>
      </c>
      <c r="F295" s="21" t="s">
        <v>661</v>
      </c>
      <c r="G295" s="27" t="n">
        <v>42</v>
      </c>
      <c r="H295" s="27" t="n">
        <v>42</v>
      </c>
      <c r="I295" s="27" t="n">
        <v>42</v>
      </c>
      <c r="J295" s="27" t="n">
        <v>42</v>
      </c>
      <c r="K295" s="27" t="n">
        <v>42</v>
      </c>
    </row>
    <row r="296" customFormat="false" ht="13.8" hidden="false" customHeight="false" outlineLevel="0" collapsed="false">
      <c r="A296" s="21" t="n">
        <v>8</v>
      </c>
      <c r="B296" s="21" t="n">
        <v>2022</v>
      </c>
      <c r="C296" s="26" t="n">
        <v>44700</v>
      </c>
      <c r="D296" s="21" t="s">
        <v>674</v>
      </c>
      <c r="E296" s="21" t="s">
        <v>58</v>
      </c>
      <c r="F296" s="21" t="s">
        <v>657</v>
      </c>
      <c r="G296" s="27" t="n">
        <v>40</v>
      </c>
      <c r="H296" s="27" t="n">
        <v>80</v>
      </c>
      <c r="I296" s="27" t="n">
        <v>60</v>
      </c>
      <c r="J296" s="27" t="n">
        <v>64.44</v>
      </c>
      <c r="K296" s="27" t="n">
        <v>70</v>
      </c>
    </row>
    <row r="297" customFormat="false" ht="25" hidden="false" customHeight="false" outlineLevel="0" collapsed="false">
      <c r="A297" s="21" t="n">
        <v>8</v>
      </c>
      <c r="B297" s="21" t="n">
        <v>2022</v>
      </c>
      <c r="C297" s="26" t="n">
        <v>44700</v>
      </c>
      <c r="D297" s="21" t="s">
        <v>677</v>
      </c>
      <c r="E297" s="21" t="s">
        <v>74</v>
      </c>
      <c r="F297" s="21" t="s">
        <v>667</v>
      </c>
      <c r="G297" s="27" t="n">
        <v>48</v>
      </c>
      <c r="H297" s="27" t="n">
        <v>48</v>
      </c>
      <c r="I297" s="27" t="n">
        <v>48</v>
      </c>
      <c r="J297" s="27" t="n">
        <v>48</v>
      </c>
      <c r="K297" s="27" t="n">
        <v>48</v>
      </c>
    </row>
    <row r="298" customFormat="false" ht="25" hidden="false" customHeight="false" outlineLevel="0" collapsed="false">
      <c r="A298" s="21" t="n">
        <v>8</v>
      </c>
      <c r="B298" s="21" t="n">
        <v>2022</v>
      </c>
      <c r="C298" s="26" t="n">
        <v>44700</v>
      </c>
      <c r="D298" s="21" t="s">
        <v>674</v>
      </c>
      <c r="E298" s="21" t="s">
        <v>61</v>
      </c>
      <c r="F298" s="21" t="s">
        <v>657</v>
      </c>
      <c r="G298" s="27" t="n">
        <v>50</v>
      </c>
      <c r="H298" s="27" t="n">
        <v>60</v>
      </c>
      <c r="I298" s="27" t="n">
        <v>58.57</v>
      </c>
      <c r="J298" s="27" t="n">
        <v>60</v>
      </c>
      <c r="K298" s="27" t="n">
        <v>60</v>
      </c>
    </row>
    <row r="299" customFormat="false" ht="25" hidden="false" customHeight="false" outlineLevel="0" collapsed="false">
      <c r="A299" s="21" t="n">
        <v>8</v>
      </c>
      <c r="B299" s="21" t="n">
        <v>2022</v>
      </c>
      <c r="C299" s="26" t="n">
        <v>44700</v>
      </c>
      <c r="D299" s="21" t="s">
        <v>674</v>
      </c>
      <c r="E299" s="21" t="s">
        <v>62</v>
      </c>
      <c r="F299" s="21" t="s">
        <v>662</v>
      </c>
      <c r="G299" s="27" t="n">
        <v>40</v>
      </c>
      <c r="H299" s="27" t="n">
        <v>110</v>
      </c>
      <c r="I299" s="27" t="n">
        <v>90</v>
      </c>
      <c r="J299" s="27" t="n">
        <v>85.56</v>
      </c>
      <c r="K299" s="27" t="n">
        <v>90</v>
      </c>
    </row>
    <row r="300" customFormat="false" ht="25" hidden="false" customHeight="false" outlineLevel="0" collapsed="false">
      <c r="A300" s="21" t="n">
        <v>8</v>
      </c>
      <c r="B300" s="21" t="n">
        <v>2022</v>
      </c>
      <c r="C300" s="26" t="n">
        <v>44700</v>
      </c>
      <c r="D300" s="21" t="s">
        <v>674</v>
      </c>
      <c r="E300" s="21" t="s">
        <v>63</v>
      </c>
      <c r="F300" s="21" t="s">
        <v>661</v>
      </c>
      <c r="G300" s="27" t="n">
        <v>30</v>
      </c>
      <c r="H300" s="27" t="n">
        <v>100</v>
      </c>
      <c r="I300" s="27" t="n">
        <v>50</v>
      </c>
      <c r="J300" s="27" t="n">
        <v>56.25</v>
      </c>
      <c r="K300" s="27" t="n">
        <v>50</v>
      </c>
    </row>
    <row r="301" customFormat="false" ht="25" hidden="false" customHeight="false" outlineLevel="0" collapsed="false">
      <c r="A301" s="21" t="n">
        <v>8</v>
      </c>
      <c r="B301" s="21" t="n">
        <v>2022</v>
      </c>
      <c r="C301" s="26" t="n">
        <v>44700</v>
      </c>
      <c r="D301" s="21" t="s">
        <v>674</v>
      </c>
      <c r="E301" s="21" t="s">
        <v>64</v>
      </c>
      <c r="F301" s="21" t="s">
        <v>658</v>
      </c>
      <c r="G301" s="27" t="n">
        <v>100</v>
      </c>
      <c r="H301" s="27" t="n">
        <v>150</v>
      </c>
      <c r="I301" s="27" t="n">
        <v>150</v>
      </c>
      <c r="J301" s="27" t="n">
        <v>134.44</v>
      </c>
      <c r="K301" s="27" t="n">
        <v>140</v>
      </c>
    </row>
    <row r="302" customFormat="false" ht="25" hidden="false" customHeight="false" outlineLevel="0" collapsed="false">
      <c r="A302" s="21" t="n">
        <v>8</v>
      </c>
      <c r="B302" s="21" t="n">
        <v>2022</v>
      </c>
      <c r="C302" s="26" t="n">
        <v>44700</v>
      </c>
      <c r="D302" s="21" t="s">
        <v>676</v>
      </c>
      <c r="E302" s="21" t="s">
        <v>29</v>
      </c>
      <c r="F302" s="21" t="s">
        <v>658</v>
      </c>
      <c r="G302" s="27" t="n">
        <v>54</v>
      </c>
      <c r="H302" s="27" t="n">
        <v>54</v>
      </c>
      <c r="I302" s="27" t="n">
        <v>54</v>
      </c>
      <c r="J302" s="27" t="n">
        <v>54</v>
      </c>
      <c r="K302" s="27" t="n">
        <v>54</v>
      </c>
    </row>
    <row r="303" customFormat="false" ht="13.8" hidden="false" customHeight="false" outlineLevel="0" collapsed="false">
      <c r="A303" s="21" t="n">
        <v>8</v>
      </c>
      <c r="B303" s="21" t="n">
        <v>2022</v>
      </c>
      <c r="C303" s="26" t="n">
        <v>44700</v>
      </c>
      <c r="D303" s="21" t="s">
        <v>675</v>
      </c>
      <c r="E303" s="21" t="s">
        <v>31</v>
      </c>
      <c r="F303" s="21" t="s">
        <v>658</v>
      </c>
      <c r="G303" s="27" t="n">
        <v>60</v>
      </c>
      <c r="H303" s="27" t="n">
        <v>70</v>
      </c>
      <c r="I303" s="27" t="n">
        <v>70</v>
      </c>
      <c r="J303" s="27" t="n">
        <v>66.67</v>
      </c>
      <c r="K303" s="27" t="n">
        <v>70</v>
      </c>
    </row>
    <row r="304" customFormat="false" ht="25" hidden="false" customHeight="false" outlineLevel="0" collapsed="false">
      <c r="A304" s="21" t="n">
        <v>8</v>
      </c>
      <c r="B304" s="21" t="n">
        <v>2022</v>
      </c>
      <c r="C304" s="26" t="n">
        <v>44700</v>
      </c>
      <c r="D304" s="21" t="s">
        <v>675</v>
      </c>
      <c r="E304" s="21" t="s">
        <v>668</v>
      </c>
      <c r="F304" s="21" t="s">
        <v>658</v>
      </c>
      <c r="G304" s="27" t="n">
        <v>55</v>
      </c>
      <c r="H304" s="27" t="n">
        <v>70</v>
      </c>
      <c r="I304" s="27" t="n">
        <v>63.33</v>
      </c>
      <c r="J304" s="27" t="n">
        <v>63.33</v>
      </c>
      <c r="K304" s="27" t="n">
        <v>65</v>
      </c>
    </row>
    <row r="305" customFormat="false" ht="13.8" hidden="false" customHeight="false" outlineLevel="0" collapsed="false">
      <c r="A305" s="21" t="n">
        <v>8</v>
      </c>
      <c r="B305" s="21" t="n">
        <v>2022</v>
      </c>
      <c r="C305" s="26" t="n">
        <v>44700</v>
      </c>
      <c r="D305" s="21" t="s">
        <v>675</v>
      </c>
      <c r="E305" s="21" t="s">
        <v>33</v>
      </c>
      <c r="F305" s="21" t="s">
        <v>658</v>
      </c>
      <c r="G305" s="27" t="n">
        <v>48</v>
      </c>
      <c r="H305" s="27" t="n">
        <v>48</v>
      </c>
      <c r="I305" s="27" t="n">
        <v>48</v>
      </c>
      <c r="J305" s="27" t="n">
        <v>48</v>
      </c>
      <c r="K305" s="27" t="n">
        <v>48</v>
      </c>
    </row>
    <row r="306" customFormat="false" ht="25" hidden="false" customHeight="false" outlineLevel="0" collapsed="false">
      <c r="A306" s="21" t="n">
        <v>8</v>
      </c>
      <c r="B306" s="21" t="n">
        <v>2022</v>
      </c>
      <c r="C306" s="26" t="n">
        <v>44700</v>
      </c>
      <c r="D306" s="21" t="s">
        <v>678</v>
      </c>
      <c r="E306" s="21" t="s">
        <v>669</v>
      </c>
      <c r="F306" s="21" t="s">
        <v>682</v>
      </c>
      <c r="G306" s="27" t="n">
        <v>25</v>
      </c>
      <c r="H306" s="27" t="n">
        <v>30</v>
      </c>
      <c r="I306" s="27" t="n">
        <v>27.5</v>
      </c>
      <c r="J306" s="27" t="n">
        <v>27.5</v>
      </c>
      <c r="K306" s="27" t="n">
        <v>27.5</v>
      </c>
    </row>
    <row r="307" customFormat="false" ht="25" hidden="false" customHeight="false" outlineLevel="0" collapsed="false">
      <c r="A307" s="21" t="n">
        <v>8</v>
      </c>
      <c r="B307" s="21" t="n">
        <v>2022</v>
      </c>
      <c r="C307" s="26" t="n">
        <v>44700</v>
      </c>
      <c r="D307" s="21" t="s">
        <v>674</v>
      </c>
      <c r="E307" s="21" t="s">
        <v>67</v>
      </c>
      <c r="F307" s="21" t="s">
        <v>662</v>
      </c>
      <c r="G307" s="27" t="n">
        <v>80</v>
      </c>
      <c r="H307" s="27" t="n">
        <v>110</v>
      </c>
      <c r="I307" s="27" t="n">
        <v>80</v>
      </c>
      <c r="J307" s="27" t="n">
        <v>90</v>
      </c>
      <c r="K307" s="27" t="n">
        <v>85</v>
      </c>
    </row>
    <row r="308" customFormat="false" ht="25" hidden="false" customHeight="false" outlineLevel="0" collapsed="false">
      <c r="A308" s="21" t="n">
        <v>8</v>
      </c>
      <c r="B308" s="21" t="n">
        <v>2022</v>
      </c>
      <c r="C308" s="26" t="n">
        <v>44700</v>
      </c>
      <c r="D308" s="21" t="s">
        <v>674</v>
      </c>
      <c r="E308" s="21" t="s">
        <v>68</v>
      </c>
      <c r="F308" s="21" t="s">
        <v>657</v>
      </c>
      <c r="G308" s="27" t="n">
        <v>70</v>
      </c>
      <c r="H308" s="27" t="n">
        <v>100</v>
      </c>
      <c r="I308" s="27" t="n">
        <v>100</v>
      </c>
      <c r="J308" s="27" t="n">
        <v>89.44</v>
      </c>
      <c r="K308" s="27" t="n">
        <v>90</v>
      </c>
    </row>
    <row r="309" customFormat="false" ht="25" hidden="false" customHeight="false" outlineLevel="0" collapsed="false">
      <c r="A309" s="21" t="n">
        <v>9</v>
      </c>
      <c r="B309" s="21" t="n">
        <v>2022</v>
      </c>
      <c r="C309" s="26" t="n">
        <v>44707</v>
      </c>
      <c r="D309" s="21" t="s">
        <v>674</v>
      </c>
      <c r="E309" s="21" t="s">
        <v>656</v>
      </c>
      <c r="F309" s="21" t="s">
        <v>657</v>
      </c>
      <c r="G309" s="27" t="n">
        <v>90</v>
      </c>
      <c r="H309" s="27" t="n">
        <v>100</v>
      </c>
      <c r="I309" s="27" t="n">
        <v>98.57</v>
      </c>
      <c r="J309" s="27" t="n">
        <v>100</v>
      </c>
      <c r="K309" s="27" t="n">
        <v>100</v>
      </c>
    </row>
    <row r="310" customFormat="false" ht="13.8" hidden="false" customHeight="false" outlineLevel="0" collapsed="false">
      <c r="A310" s="21" t="n">
        <v>9</v>
      </c>
      <c r="B310" s="21" t="n">
        <v>2022</v>
      </c>
      <c r="C310" s="26" t="n">
        <v>44707</v>
      </c>
      <c r="D310" s="21" t="s">
        <v>675</v>
      </c>
      <c r="E310" s="21" t="s">
        <v>16</v>
      </c>
      <c r="F310" s="21" t="s">
        <v>658</v>
      </c>
      <c r="G310" s="27" t="n">
        <v>48</v>
      </c>
      <c r="H310" s="27" t="n">
        <v>72</v>
      </c>
      <c r="I310" s="27" t="n">
        <v>55.2</v>
      </c>
      <c r="J310" s="27" t="n">
        <v>48</v>
      </c>
      <c r="K310" s="27" t="n">
        <v>48</v>
      </c>
    </row>
    <row r="311" customFormat="false" ht="13.8" hidden="false" customHeight="false" outlineLevel="0" collapsed="false">
      <c r="A311" s="21" t="n">
        <v>9</v>
      </c>
      <c r="B311" s="21" t="n">
        <v>2022</v>
      </c>
      <c r="C311" s="26" t="n">
        <v>44707</v>
      </c>
      <c r="D311" s="21" t="s">
        <v>675</v>
      </c>
      <c r="E311" s="21" t="s">
        <v>18</v>
      </c>
      <c r="F311" s="21" t="s">
        <v>658</v>
      </c>
      <c r="G311" s="27" t="n">
        <v>42</v>
      </c>
      <c r="H311" s="27" t="n">
        <v>60</v>
      </c>
      <c r="I311" s="27" t="n">
        <v>52.5</v>
      </c>
      <c r="J311" s="27" t="n">
        <v>60</v>
      </c>
      <c r="K311" s="27" t="n">
        <v>54</v>
      </c>
    </row>
    <row r="312" customFormat="false" ht="25" hidden="false" customHeight="false" outlineLevel="0" collapsed="false">
      <c r="A312" s="21" t="n">
        <v>9</v>
      </c>
      <c r="B312" s="21" t="n">
        <v>2022</v>
      </c>
      <c r="C312" s="26" t="n">
        <v>44707</v>
      </c>
      <c r="D312" s="21" t="s">
        <v>675</v>
      </c>
      <c r="E312" s="21" t="s">
        <v>659</v>
      </c>
      <c r="F312" s="21" t="s">
        <v>658</v>
      </c>
      <c r="G312" s="27" t="n">
        <v>30</v>
      </c>
      <c r="H312" s="27" t="n">
        <v>48</v>
      </c>
      <c r="I312" s="27" t="n">
        <v>38.4</v>
      </c>
      <c r="J312" s="27" t="n">
        <v>36</v>
      </c>
      <c r="K312" s="27" t="n">
        <v>36</v>
      </c>
    </row>
    <row r="313" customFormat="false" ht="13.8" hidden="false" customHeight="false" outlineLevel="0" collapsed="false">
      <c r="A313" s="21" t="n">
        <v>9</v>
      </c>
      <c r="B313" s="21" t="n">
        <v>2022</v>
      </c>
      <c r="C313" s="26" t="n">
        <v>44707</v>
      </c>
      <c r="D313" s="21" t="s">
        <v>675</v>
      </c>
      <c r="E313" s="21" t="s">
        <v>20</v>
      </c>
      <c r="F313" s="21" t="s">
        <v>658</v>
      </c>
      <c r="G313" s="27" t="n">
        <v>30</v>
      </c>
      <c r="H313" s="27" t="n">
        <v>48</v>
      </c>
      <c r="I313" s="27" t="n">
        <v>36.67</v>
      </c>
      <c r="J313" s="27" t="n">
        <v>48</v>
      </c>
      <c r="K313" s="27" t="n">
        <v>35</v>
      </c>
    </row>
    <row r="314" customFormat="false" ht="13.8" hidden="false" customHeight="false" outlineLevel="0" collapsed="false">
      <c r="A314" s="21" t="n">
        <v>9</v>
      </c>
      <c r="B314" s="21" t="n">
        <v>2022</v>
      </c>
      <c r="C314" s="26" t="n">
        <v>44707</v>
      </c>
      <c r="D314" s="21" t="s">
        <v>675</v>
      </c>
      <c r="E314" s="21" t="s">
        <v>21</v>
      </c>
      <c r="F314" s="21" t="s">
        <v>658</v>
      </c>
      <c r="G314" s="27" t="n">
        <v>30</v>
      </c>
      <c r="H314" s="27" t="n">
        <v>48</v>
      </c>
      <c r="I314" s="27" t="n">
        <v>38</v>
      </c>
      <c r="J314" s="27" t="n">
        <v>48</v>
      </c>
      <c r="K314" s="27" t="n">
        <v>40</v>
      </c>
    </row>
    <row r="315" customFormat="false" ht="13.8" hidden="false" customHeight="false" outlineLevel="0" collapsed="false">
      <c r="A315" s="21" t="n">
        <v>9</v>
      </c>
      <c r="B315" s="21" t="n">
        <v>2022</v>
      </c>
      <c r="C315" s="26" t="n">
        <v>44707</v>
      </c>
      <c r="D315" s="21" t="s">
        <v>675</v>
      </c>
      <c r="E315" s="21" t="s">
        <v>22</v>
      </c>
      <c r="F315" s="21" t="s">
        <v>658</v>
      </c>
      <c r="G315" s="27" t="n">
        <v>30</v>
      </c>
      <c r="H315" s="27" t="n">
        <v>48</v>
      </c>
      <c r="I315" s="27" t="n">
        <v>46.8</v>
      </c>
      <c r="J315" s="27" t="n">
        <v>48</v>
      </c>
      <c r="K315" s="27" t="n">
        <v>48</v>
      </c>
    </row>
    <row r="316" customFormat="false" ht="25" hidden="false" customHeight="false" outlineLevel="0" collapsed="false">
      <c r="A316" s="21" t="n">
        <v>9</v>
      </c>
      <c r="B316" s="21" t="n">
        <v>2022</v>
      </c>
      <c r="C316" s="26" t="n">
        <v>44707</v>
      </c>
      <c r="D316" s="21" t="s">
        <v>676</v>
      </c>
      <c r="E316" s="21" t="s">
        <v>46</v>
      </c>
      <c r="F316" s="21" t="s">
        <v>660</v>
      </c>
      <c r="G316" s="27" t="n">
        <v>42</v>
      </c>
      <c r="H316" s="27" t="n">
        <v>60</v>
      </c>
      <c r="I316" s="27" t="n">
        <v>49.29</v>
      </c>
      <c r="J316" s="27" t="n">
        <v>45</v>
      </c>
      <c r="K316" s="27" t="n">
        <v>50</v>
      </c>
    </row>
    <row r="317" customFormat="false" ht="25" hidden="false" customHeight="false" outlineLevel="0" collapsed="false">
      <c r="A317" s="21" t="n">
        <v>9</v>
      </c>
      <c r="B317" s="21" t="n">
        <v>2022</v>
      </c>
      <c r="C317" s="26" t="n">
        <v>44707</v>
      </c>
      <c r="D317" s="21" t="s">
        <v>674</v>
      </c>
      <c r="E317" s="21" t="s">
        <v>48</v>
      </c>
      <c r="F317" s="21" t="s">
        <v>661</v>
      </c>
      <c r="G317" s="27" t="n">
        <v>45</v>
      </c>
      <c r="H317" s="27" t="n">
        <v>65</v>
      </c>
      <c r="I317" s="27" t="n">
        <v>53.57</v>
      </c>
      <c r="J317" s="27" t="n">
        <v>55</v>
      </c>
      <c r="K317" s="27" t="n">
        <v>55</v>
      </c>
    </row>
    <row r="318" customFormat="false" ht="25" hidden="false" customHeight="false" outlineLevel="0" collapsed="false">
      <c r="A318" s="21" t="n">
        <v>9</v>
      </c>
      <c r="B318" s="21" t="n">
        <v>2022</v>
      </c>
      <c r="C318" s="26" t="n">
        <v>44707</v>
      </c>
      <c r="D318" s="21" t="s">
        <v>674</v>
      </c>
      <c r="E318" s="21" t="s">
        <v>52</v>
      </c>
      <c r="F318" s="21" t="s">
        <v>661</v>
      </c>
      <c r="G318" s="27" t="n">
        <v>55</v>
      </c>
      <c r="H318" s="27" t="n">
        <v>130</v>
      </c>
      <c r="I318" s="27" t="n">
        <v>105</v>
      </c>
      <c r="J318" s="27" t="n">
        <v>105</v>
      </c>
      <c r="K318" s="21" t="s">
        <v>556</v>
      </c>
    </row>
    <row r="319" customFormat="false" ht="25" hidden="false" customHeight="false" outlineLevel="0" collapsed="false">
      <c r="A319" s="21" t="n">
        <v>9</v>
      </c>
      <c r="B319" s="21" t="n">
        <v>2022</v>
      </c>
      <c r="C319" s="26" t="n">
        <v>44707</v>
      </c>
      <c r="D319" s="21" t="s">
        <v>676</v>
      </c>
      <c r="E319" s="21" t="s">
        <v>53</v>
      </c>
      <c r="F319" s="21" t="s">
        <v>662</v>
      </c>
      <c r="G319" s="27" t="n">
        <v>55</v>
      </c>
      <c r="H319" s="27" t="n">
        <v>70</v>
      </c>
      <c r="I319" s="27" t="n">
        <v>64.71</v>
      </c>
      <c r="J319" s="27" t="n">
        <v>70</v>
      </c>
      <c r="K319" s="27" t="n">
        <v>68</v>
      </c>
    </row>
    <row r="320" customFormat="false" ht="36.5" hidden="false" customHeight="false" outlineLevel="0" collapsed="false">
      <c r="A320" s="21" t="n">
        <v>9</v>
      </c>
      <c r="B320" s="21" t="n">
        <v>2022</v>
      </c>
      <c r="C320" s="26" t="n">
        <v>44707</v>
      </c>
      <c r="D320" s="21" t="s">
        <v>675</v>
      </c>
      <c r="E320" s="21" t="s">
        <v>663</v>
      </c>
      <c r="F320" s="21" t="s">
        <v>658</v>
      </c>
      <c r="G320" s="27" t="n">
        <v>55</v>
      </c>
      <c r="H320" s="27" t="n">
        <v>102</v>
      </c>
      <c r="I320" s="27" t="n">
        <v>94</v>
      </c>
      <c r="J320" s="27" t="n">
        <v>96</v>
      </c>
      <c r="K320" s="21" t="s">
        <v>556</v>
      </c>
    </row>
    <row r="321" customFormat="false" ht="25" hidden="false" customHeight="false" outlineLevel="0" collapsed="false">
      <c r="A321" s="21" t="n">
        <v>9</v>
      </c>
      <c r="B321" s="21" t="n">
        <v>2022</v>
      </c>
      <c r="C321" s="26" t="n">
        <v>44707</v>
      </c>
      <c r="D321" s="21" t="s">
        <v>675</v>
      </c>
      <c r="E321" s="21" t="s">
        <v>24</v>
      </c>
      <c r="F321" s="21" t="s">
        <v>658</v>
      </c>
      <c r="G321" s="27" t="n">
        <v>60</v>
      </c>
      <c r="H321" s="27" t="n">
        <v>60</v>
      </c>
      <c r="I321" s="27" t="n">
        <v>60</v>
      </c>
      <c r="J321" s="27" t="n">
        <v>60</v>
      </c>
      <c r="K321" s="21" t="s">
        <v>556</v>
      </c>
    </row>
    <row r="322" customFormat="false" ht="13.8" hidden="false" customHeight="false" outlineLevel="0" collapsed="false">
      <c r="A322" s="21" t="n">
        <v>9</v>
      </c>
      <c r="B322" s="21" t="n">
        <v>2022</v>
      </c>
      <c r="C322" s="26" t="n">
        <v>44707</v>
      </c>
      <c r="D322" s="21" t="s">
        <v>677</v>
      </c>
      <c r="E322" s="21" t="s">
        <v>70</v>
      </c>
      <c r="F322" s="21" t="s">
        <v>657</v>
      </c>
      <c r="G322" s="27" t="n">
        <v>60</v>
      </c>
      <c r="H322" s="27" t="n">
        <v>70</v>
      </c>
      <c r="I322" s="27" t="n">
        <v>70</v>
      </c>
      <c r="J322" s="27" t="n">
        <v>70</v>
      </c>
      <c r="K322" s="21" t="s">
        <v>556</v>
      </c>
    </row>
    <row r="323" customFormat="false" ht="25" hidden="false" customHeight="false" outlineLevel="0" collapsed="false">
      <c r="A323" s="21" t="n">
        <v>9</v>
      </c>
      <c r="B323" s="21" t="n">
        <v>2022</v>
      </c>
      <c r="C323" s="26" t="n">
        <v>44707</v>
      </c>
      <c r="D323" s="21" t="s">
        <v>677</v>
      </c>
      <c r="E323" s="21" t="s">
        <v>681</v>
      </c>
      <c r="F323" s="21" t="s">
        <v>657</v>
      </c>
      <c r="G323" s="27" t="n">
        <v>50</v>
      </c>
      <c r="H323" s="27" t="n">
        <v>55</v>
      </c>
      <c r="I323" s="27" t="n">
        <v>52.5</v>
      </c>
      <c r="J323" s="27" t="n">
        <v>52.5</v>
      </c>
      <c r="K323" s="21" t="s">
        <v>556</v>
      </c>
    </row>
    <row r="324" customFormat="false" ht="25" hidden="false" customHeight="false" outlineLevel="0" collapsed="false">
      <c r="A324" s="21" t="n">
        <v>9</v>
      </c>
      <c r="B324" s="21" t="n">
        <v>2022</v>
      </c>
      <c r="C324" s="26" t="n">
        <v>44707</v>
      </c>
      <c r="D324" s="21" t="s">
        <v>677</v>
      </c>
      <c r="E324" s="21" t="s">
        <v>72</v>
      </c>
      <c r="F324" s="21" t="s">
        <v>657</v>
      </c>
      <c r="G324" s="27" t="n">
        <v>30</v>
      </c>
      <c r="H324" s="27" t="n">
        <v>38</v>
      </c>
      <c r="I324" s="27" t="n">
        <v>34</v>
      </c>
      <c r="J324" s="27" t="n">
        <v>34</v>
      </c>
      <c r="K324" s="21" t="s">
        <v>556</v>
      </c>
    </row>
    <row r="325" customFormat="false" ht="25" hidden="false" customHeight="false" outlineLevel="0" collapsed="false">
      <c r="A325" s="21" t="n">
        <v>9</v>
      </c>
      <c r="B325" s="21" t="n">
        <v>2022</v>
      </c>
      <c r="C325" s="26" t="n">
        <v>44707</v>
      </c>
      <c r="D325" s="21" t="s">
        <v>678</v>
      </c>
      <c r="E325" s="21" t="s">
        <v>35</v>
      </c>
      <c r="F325" s="21" t="s">
        <v>670</v>
      </c>
      <c r="G325" s="27" t="n">
        <v>3.5</v>
      </c>
      <c r="H325" s="27" t="n">
        <v>4</v>
      </c>
      <c r="I325" s="27" t="n">
        <v>3.88</v>
      </c>
      <c r="J325" s="27" t="n">
        <v>4</v>
      </c>
      <c r="K325" s="27" t="n">
        <v>4</v>
      </c>
    </row>
    <row r="326" customFormat="false" ht="25" hidden="false" customHeight="false" outlineLevel="0" collapsed="false">
      <c r="A326" s="21" t="n">
        <v>9</v>
      </c>
      <c r="B326" s="21" t="n">
        <v>2022</v>
      </c>
      <c r="C326" s="26" t="n">
        <v>44707</v>
      </c>
      <c r="D326" s="21" t="s">
        <v>676</v>
      </c>
      <c r="E326" s="21" t="s">
        <v>56</v>
      </c>
      <c r="F326" s="21" t="s">
        <v>660</v>
      </c>
      <c r="G326" s="27" t="n">
        <v>3.5</v>
      </c>
      <c r="H326" s="27" t="n">
        <v>80</v>
      </c>
      <c r="I326" s="27" t="n">
        <v>64.38</v>
      </c>
      <c r="J326" s="27" t="n">
        <v>60</v>
      </c>
      <c r="K326" s="27" t="n">
        <v>62.5</v>
      </c>
    </row>
    <row r="327" customFormat="false" ht="13.8" hidden="false" customHeight="false" outlineLevel="0" collapsed="false">
      <c r="A327" s="21" t="n">
        <v>9</v>
      </c>
      <c r="B327" s="21" t="n">
        <v>2022</v>
      </c>
      <c r="C327" s="26" t="n">
        <v>44707</v>
      </c>
      <c r="D327" s="21" t="s">
        <v>674</v>
      </c>
      <c r="E327" s="21" t="s">
        <v>57</v>
      </c>
      <c r="F327" s="21" t="s">
        <v>665</v>
      </c>
      <c r="G327" s="27" t="n">
        <v>60</v>
      </c>
      <c r="H327" s="27" t="n">
        <v>75</v>
      </c>
      <c r="I327" s="27" t="n">
        <v>55</v>
      </c>
      <c r="J327" s="27" t="n">
        <v>60</v>
      </c>
      <c r="K327" s="27" t="n">
        <v>55</v>
      </c>
    </row>
    <row r="328" customFormat="false" ht="25" hidden="false" customHeight="false" outlineLevel="0" collapsed="false">
      <c r="A328" s="21" t="n">
        <v>9</v>
      </c>
      <c r="B328" s="21" t="n">
        <v>2022</v>
      </c>
      <c r="C328" s="26" t="n">
        <v>44707</v>
      </c>
      <c r="D328" s="21" t="s">
        <v>678</v>
      </c>
      <c r="E328" s="21" t="s">
        <v>38</v>
      </c>
      <c r="F328" s="21" t="s">
        <v>682</v>
      </c>
      <c r="G328" s="27" t="n">
        <v>25</v>
      </c>
      <c r="H328" s="27" t="n">
        <v>35</v>
      </c>
      <c r="I328" s="27" t="n">
        <v>28</v>
      </c>
      <c r="J328" s="27" t="n">
        <v>25</v>
      </c>
      <c r="K328" s="27" t="n">
        <v>25</v>
      </c>
    </row>
    <row r="329" customFormat="false" ht="25" hidden="false" customHeight="false" outlineLevel="0" collapsed="false">
      <c r="A329" s="21" t="n">
        <v>9</v>
      </c>
      <c r="B329" s="21" t="n">
        <v>2022</v>
      </c>
      <c r="C329" s="26" t="n">
        <v>44707</v>
      </c>
      <c r="D329" s="21" t="s">
        <v>675</v>
      </c>
      <c r="E329" s="21" t="s">
        <v>666</v>
      </c>
      <c r="F329" s="21" t="s">
        <v>658</v>
      </c>
      <c r="G329" s="27" t="n">
        <v>25</v>
      </c>
      <c r="H329" s="27" t="n">
        <v>36</v>
      </c>
      <c r="I329" s="27" t="n">
        <v>33.6</v>
      </c>
      <c r="J329" s="27" t="n">
        <v>36</v>
      </c>
      <c r="K329" s="27" t="n">
        <v>36</v>
      </c>
    </row>
    <row r="330" customFormat="false" ht="13.8" hidden="false" customHeight="false" outlineLevel="0" collapsed="false">
      <c r="A330" s="21" t="n">
        <v>9</v>
      </c>
      <c r="B330" s="21" t="n">
        <v>2022</v>
      </c>
      <c r="C330" s="26" t="n">
        <v>44707</v>
      </c>
      <c r="D330" s="21" t="s">
        <v>675</v>
      </c>
      <c r="E330" s="21" t="s">
        <v>77</v>
      </c>
      <c r="F330" s="21" t="s">
        <v>658</v>
      </c>
      <c r="G330" s="27" t="n">
        <v>30</v>
      </c>
      <c r="H330" s="27" t="n">
        <v>84</v>
      </c>
      <c r="I330" s="27" t="n">
        <v>77</v>
      </c>
      <c r="J330" s="27" t="n">
        <v>70</v>
      </c>
      <c r="K330" s="27" t="n">
        <v>77</v>
      </c>
    </row>
    <row r="331" customFormat="false" ht="13.8" hidden="false" customHeight="false" outlineLevel="0" collapsed="false">
      <c r="A331" s="21" t="n">
        <v>9</v>
      </c>
      <c r="B331" s="21" t="n">
        <v>2022</v>
      </c>
      <c r="C331" s="26" t="n">
        <v>44707</v>
      </c>
      <c r="D331" s="21" t="s">
        <v>675</v>
      </c>
      <c r="E331" s="21" t="s">
        <v>27</v>
      </c>
      <c r="F331" s="21" t="s">
        <v>658</v>
      </c>
      <c r="G331" s="27" t="n">
        <v>24</v>
      </c>
      <c r="H331" s="27" t="n">
        <v>48</v>
      </c>
      <c r="I331" s="27" t="n">
        <v>33</v>
      </c>
      <c r="J331" s="27" t="n">
        <v>30</v>
      </c>
      <c r="K331" s="27" t="n">
        <v>30</v>
      </c>
    </row>
    <row r="332" customFormat="false" ht="13.8" hidden="false" customHeight="false" outlineLevel="0" collapsed="false">
      <c r="A332" s="21" t="n">
        <v>9</v>
      </c>
      <c r="B332" s="21" t="n">
        <v>2022</v>
      </c>
      <c r="C332" s="26" t="n">
        <v>44707</v>
      </c>
      <c r="D332" s="21" t="s">
        <v>675</v>
      </c>
      <c r="E332" s="21" t="s">
        <v>28</v>
      </c>
      <c r="F332" s="21" t="s">
        <v>658</v>
      </c>
      <c r="G332" s="27" t="n">
        <v>24</v>
      </c>
      <c r="H332" s="27" t="n">
        <v>60</v>
      </c>
      <c r="I332" s="27" t="n">
        <v>56</v>
      </c>
      <c r="J332" s="27" t="n">
        <v>60</v>
      </c>
      <c r="K332" s="27" t="n">
        <v>60</v>
      </c>
    </row>
    <row r="333" customFormat="false" ht="13.8" hidden="false" customHeight="false" outlineLevel="0" collapsed="false">
      <c r="A333" s="21" t="n">
        <v>9</v>
      </c>
      <c r="B333" s="21" t="n">
        <v>2022</v>
      </c>
      <c r="C333" s="26" t="n">
        <v>44707</v>
      </c>
      <c r="D333" s="21" t="s">
        <v>677</v>
      </c>
      <c r="E333" s="21" t="s">
        <v>73</v>
      </c>
      <c r="F333" s="21" t="s">
        <v>661</v>
      </c>
      <c r="G333" s="27" t="n">
        <v>40</v>
      </c>
      <c r="H333" s="27" t="n">
        <v>40</v>
      </c>
      <c r="I333" s="27" t="n">
        <v>40</v>
      </c>
      <c r="J333" s="27" t="n">
        <v>40</v>
      </c>
      <c r="K333" s="21" t="s">
        <v>556</v>
      </c>
    </row>
    <row r="334" customFormat="false" ht="13.8" hidden="false" customHeight="false" outlineLevel="0" collapsed="false">
      <c r="A334" s="21" t="n">
        <v>9</v>
      </c>
      <c r="B334" s="21" t="n">
        <v>2022</v>
      </c>
      <c r="C334" s="26" t="n">
        <v>44707</v>
      </c>
      <c r="D334" s="21" t="s">
        <v>674</v>
      </c>
      <c r="E334" s="21" t="s">
        <v>58</v>
      </c>
      <c r="F334" s="21" t="s">
        <v>657</v>
      </c>
      <c r="G334" s="27" t="n">
        <v>40</v>
      </c>
      <c r="H334" s="27" t="n">
        <v>100</v>
      </c>
      <c r="I334" s="27" t="n">
        <v>78.33</v>
      </c>
      <c r="J334" s="27" t="n">
        <v>80</v>
      </c>
      <c r="K334" s="27" t="n">
        <v>80</v>
      </c>
    </row>
    <row r="335" customFormat="false" ht="25" hidden="false" customHeight="false" outlineLevel="0" collapsed="false">
      <c r="A335" s="21" t="n">
        <v>9</v>
      </c>
      <c r="B335" s="21" t="n">
        <v>2022</v>
      </c>
      <c r="C335" s="26" t="n">
        <v>44707</v>
      </c>
      <c r="D335" s="21" t="s">
        <v>677</v>
      </c>
      <c r="E335" s="21" t="s">
        <v>74</v>
      </c>
      <c r="F335" s="21" t="s">
        <v>667</v>
      </c>
      <c r="G335" s="27" t="n">
        <v>40</v>
      </c>
      <c r="H335" s="27" t="n">
        <v>40</v>
      </c>
      <c r="I335" s="27" t="n">
        <v>40</v>
      </c>
      <c r="J335" s="27" t="n">
        <v>40</v>
      </c>
      <c r="K335" s="27" t="n">
        <v>40</v>
      </c>
    </row>
    <row r="336" customFormat="false" ht="25" hidden="false" customHeight="false" outlineLevel="0" collapsed="false">
      <c r="A336" s="21" t="n">
        <v>9</v>
      </c>
      <c r="B336" s="21" t="n">
        <v>2022</v>
      </c>
      <c r="C336" s="26" t="n">
        <v>44707</v>
      </c>
      <c r="D336" s="21" t="s">
        <v>674</v>
      </c>
      <c r="E336" s="21" t="s">
        <v>61</v>
      </c>
      <c r="F336" s="21" t="s">
        <v>657</v>
      </c>
      <c r="G336" s="27" t="n">
        <v>40</v>
      </c>
      <c r="H336" s="27" t="n">
        <v>70</v>
      </c>
      <c r="I336" s="27" t="n">
        <v>60</v>
      </c>
      <c r="J336" s="27" t="n">
        <v>60</v>
      </c>
      <c r="K336" s="27" t="n">
        <v>60</v>
      </c>
    </row>
    <row r="337" customFormat="false" ht="25" hidden="false" customHeight="false" outlineLevel="0" collapsed="false">
      <c r="A337" s="21" t="n">
        <v>9</v>
      </c>
      <c r="B337" s="21" t="n">
        <v>2022</v>
      </c>
      <c r="C337" s="26" t="n">
        <v>44707</v>
      </c>
      <c r="D337" s="21" t="s">
        <v>674</v>
      </c>
      <c r="E337" s="21" t="s">
        <v>683</v>
      </c>
      <c r="F337" s="21" t="s">
        <v>662</v>
      </c>
      <c r="G337" s="27" t="n">
        <v>60</v>
      </c>
      <c r="H337" s="27" t="n">
        <v>120</v>
      </c>
      <c r="I337" s="27" t="n">
        <v>110</v>
      </c>
      <c r="J337" s="27" t="n">
        <v>110</v>
      </c>
      <c r="K337" s="27" t="n">
        <v>110</v>
      </c>
    </row>
    <row r="338" customFormat="false" ht="25" hidden="false" customHeight="false" outlineLevel="0" collapsed="false">
      <c r="A338" s="21" t="n">
        <v>9</v>
      </c>
      <c r="B338" s="21" t="n">
        <v>2022</v>
      </c>
      <c r="C338" s="26" t="n">
        <v>44707</v>
      </c>
      <c r="D338" s="21" t="s">
        <v>674</v>
      </c>
      <c r="E338" s="21" t="s">
        <v>684</v>
      </c>
      <c r="F338" s="21" t="s">
        <v>661</v>
      </c>
      <c r="G338" s="27" t="n">
        <v>50</v>
      </c>
      <c r="H338" s="27" t="n">
        <v>70</v>
      </c>
      <c r="I338" s="27" t="n">
        <v>48.13</v>
      </c>
      <c r="J338" s="27" t="n">
        <v>50</v>
      </c>
      <c r="K338" s="27" t="n">
        <v>50</v>
      </c>
    </row>
    <row r="339" customFormat="false" ht="25" hidden="false" customHeight="false" outlineLevel="0" collapsed="false">
      <c r="A339" s="21" t="n">
        <v>9</v>
      </c>
      <c r="B339" s="21" t="n">
        <v>2022</v>
      </c>
      <c r="C339" s="26" t="n">
        <v>44707</v>
      </c>
      <c r="D339" s="21" t="s">
        <v>674</v>
      </c>
      <c r="E339" s="21" t="s">
        <v>64</v>
      </c>
      <c r="F339" s="21" t="s">
        <v>658</v>
      </c>
      <c r="G339" s="27" t="n">
        <v>50</v>
      </c>
      <c r="H339" s="27" t="n">
        <v>200</v>
      </c>
      <c r="I339" s="27" t="n">
        <v>154.29</v>
      </c>
      <c r="J339" s="27" t="n">
        <v>140</v>
      </c>
      <c r="K339" s="27" t="n">
        <v>150</v>
      </c>
    </row>
    <row r="340" customFormat="false" ht="25" hidden="false" customHeight="false" outlineLevel="0" collapsed="false">
      <c r="A340" s="21" t="n">
        <v>9</v>
      </c>
      <c r="B340" s="21" t="n">
        <v>2022</v>
      </c>
      <c r="C340" s="26" t="n">
        <v>44707</v>
      </c>
      <c r="D340" s="21" t="s">
        <v>676</v>
      </c>
      <c r="E340" s="21" t="s">
        <v>29</v>
      </c>
      <c r="F340" s="21" t="s">
        <v>658</v>
      </c>
      <c r="G340" s="27" t="n">
        <v>36</v>
      </c>
      <c r="H340" s="27" t="n">
        <v>60</v>
      </c>
      <c r="I340" s="27" t="n">
        <v>48</v>
      </c>
      <c r="J340" s="27" t="n">
        <v>48</v>
      </c>
      <c r="K340" s="21" t="s">
        <v>556</v>
      </c>
    </row>
    <row r="341" customFormat="false" ht="13.8" hidden="false" customHeight="false" outlineLevel="0" collapsed="false">
      <c r="A341" s="21" t="n">
        <v>9</v>
      </c>
      <c r="B341" s="21" t="n">
        <v>2022</v>
      </c>
      <c r="C341" s="26" t="n">
        <v>44707</v>
      </c>
      <c r="D341" s="21" t="s">
        <v>675</v>
      </c>
      <c r="E341" s="21" t="s">
        <v>31</v>
      </c>
      <c r="F341" s="21" t="s">
        <v>658</v>
      </c>
      <c r="G341" s="27" t="n">
        <v>36</v>
      </c>
      <c r="H341" s="27" t="n">
        <v>84</v>
      </c>
      <c r="I341" s="27" t="n">
        <v>73.5</v>
      </c>
      <c r="J341" s="27" t="n">
        <v>70</v>
      </c>
      <c r="K341" s="27" t="n">
        <v>70</v>
      </c>
    </row>
    <row r="342" customFormat="false" ht="25" hidden="false" customHeight="false" outlineLevel="0" collapsed="false">
      <c r="A342" s="21" t="n">
        <v>9</v>
      </c>
      <c r="B342" s="21" t="n">
        <v>2022</v>
      </c>
      <c r="C342" s="26" t="n">
        <v>44707</v>
      </c>
      <c r="D342" s="21" t="s">
        <v>675</v>
      </c>
      <c r="E342" s="21" t="s">
        <v>668</v>
      </c>
      <c r="F342" s="21" t="s">
        <v>658</v>
      </c>
      <c r="G342" s="27" t="n">
        <v>60</v>
      </c>
      <c r="H342" s="27" t="n">
        <v>84</v>
      </c>
      <c r="I342" s="27" t="n">
        <v>65.8</v>
      </c>
      <c r="J342" s="27" t="n">
        <v>60</v>
      </c>
      <c r="K342" s="27" t="n">
        <v>60</v>
      </c>
    </row>
    <row r="343" customFormat="false" ht="13.8" hidden="false" customHeight="false" outlineLevel="0" collapsed="false">
      <c r="A343" s="21" t="n">
        <v>9</v>
      </c>
      <c r="B343" s="21" t="n">
        <v>2022</v>
      </c>
      <c r="C343" s="26" t="n">
        <v>44707</v>
      </c>
      <c r="D343" s="21" t="s">
        <v>675</v>
      </c>
      <c r="E343" s="21" t="s">
        <v>33</v>
      </c>
      <c r="F343" s="21" t="s">
        <v>658</v>
      </c>
      <c r="G343" s="27" t="n">
        <v>36</v>
      </c>
      <c r="H343" s="27" t="n">
        <v>48</v>
      </c>
      <c r="I343" s="27" t="n">
        <v>42.8</v>
      </c>
      <c r="J343" s="27" t="n">
        <v>48</v>
      </c>
      <c r="K343" s="27" t="n">
        <v>42</v>
      </c>
    </row>
    <row r="344" customFormat="false" ht="25" hidden="false" customHeight="false" outlineLevel="0" collapsed="false">
      <c r="A344" s="21" t="n">
        <v>9</v>
      </c>
      <c r="B344" s="21" t="n">
        <v>2022</v>
      </c>
      <c r="C344" s="26" t="n">
        <v>44707</v>
      </c>
      <c r="D344" s="21" t="s">
        <v>678</v>
      </c>
      <c r="E344" s="21" t="s">
        <v>669</v>
      </c>
      <c r="F344" s="21" t="s">
        <v>682</v>
      </c>
      <c r="G344" s="27" t="n">
        <v>25</v>
      </c>
      <c r="H344" s="27" t="n">
        <v>30</v>
      </c>
      <c r="I344" s="27" t="n">
        <v>26</v>
      </c>
      <c r="J344" s="27" t="n">
        <v>25</v>
      </c>
      <c r="K344" s="27" t="n">
        <v>25</v>
      </c>
    </row>
    <row r="345" customFormat="false" ht="25" hidden="false" customHeight="false" outlineLevel="0" collapsed="false">
      <c r="A345" s="21" t="n">
        <v>9</v>
      </c>
      <c r="B345" s="21" t="n">
        <v>2022</v>
      </c>
      <c r="C345" s="26" t="n">
        <v>44707</v>
      </c>
      <c r="D345" s="21" t="s">
        <v>674</v>
      </c>
      <c r="E345" s="21" t="s">
        <v>67</v>
      </c>
      <c r="F345" s="21" t="s">
        <v>662</v>
      </c>
      <c r="G345" s="27" t="n">
        <v>25</v>
      </c>
      <c r="H345" s="27" t="n">
        <v>130</v>
      </c>
      <c r="I345" s="27" t="n">
        <v>105</v>
      </c>
      <c r="J345" s="27" t="n">
        <v>110</v>
      </c>
      <c r="K345" s="27" t="n">
        <v>105</v>
      </c>
    </row>
    <row r="346" customFormat="false" ht="25" hidden="false" customHeight="false" outlineLevel="0" collapsed="false">
      <c r="A346" s="21" t="n">
        <v>9</v>
      </c>
      <c r="B346" s="21" t="n">
        <v>2022</v>
      </c>
      <c r="C346" s="26" t="n">
        <v>44707</v>
      </c>
      <c r="D346" s="21" t="s">
        <v>674</v>
      </c>
      <c r="E346" s="21" t="s">
        <v>68</v>
      </c>
      <c r="F346" s="21" t="s">
        <v>657</v>
      </c>
      <c r="G346" s="27" t="n">
        <v>80</v>
      </c>
      <c r="H346" s="27" t="n">
        <v>170</v>
      </c>
      <c r="I346" s="27" t="n">
        <v>150</v>
      </c>
      <c r="J346" s="27" t="n">
        <v>140</v>
      </c>
      <c r="K346" s="27" t="n">
        <v>145</v>
      </c>
    </row>
    <row r="347" customFormat="false" ht="25" hidden="false" customHeight="false" outlineLevel="0" collapsed="false">
      <c r="A347" s="21" t="n">
        <v>10</v>
      </c>
      <c r="B347" s="21" t="n">
        <v>2022</v>
      </c>
      <c r="C347" s="26" t="n">
        <v>44714</v>
      </c>
      <c r="D347" s="21" t="s">
        <v>674</v>
      </c>
      <c r="E347" s="21" t="s">
        <v>656</v>
      </c>
      <c r="F347" s="21" t="s">
        <v>657</v>
      </c>
      <c r="G347" s="27" t="n">
        <v>60</v>
      </c>
      <c r="H347" s="27" t="n">
        <v>90</v>
      </c>
      <c r="I347" s="27" t="n">
        <v>75.71</v>
      </c>
      <c r="J347" s="27" t="n">
        <v>80</v>
      </c>
      <c r="K347" s="27" t="n">
        <v>80</v>
      </c>
    </row>
    <row r="348" customFormat="false" ht="13.8" hidden="false" customHeight="false" outlineLevel="0" collapsed="false">
      <c r="A348" s="21" t="n">
        <v>10</v>
      </c>
      <c r="B348" s="21" t="n">
        <v>2022</v>
      </c>
      <c r="C348" s="26" t="n">
        <v>44714</v>
      </c>
      <c r="D348" s="21" t="s">
        <v>675</v>
      </c>
      <c r="E348" s="21" t="s">
        <v>16</v>
      </c>
      <c r="F348" s="21" t="s">
        <v>658</v>
      </c>
      <c r="G348" s="27" t="n">
        <v>60</v>
      </c>
      <c r="H348" s="27" t="n">
        <v>60</v>
      </c>
      <c r="I348" s="27" t="n">
        <v>60</v>
      </c>
      <c r="J348" s="27" t="n">
        <v>60</v>
      </c>
      <c r="K348" s="27" t="n">
        <v>60</v>
      </c>
    </row>
    <row r="349" customFormat="false" ht="13.8" hidden="false" customHeight="false" outlineLevel="0" collapsed="false">
      <c r="A349" s="21" t="n">
        <v>10</v>
      </c>
      <c r="B349" s="21" t="n">
        <v>2022</v>
      </c>
      <c r="C349" s="26" t="n">
        <v>44714</v>
      </c>
      <c r="D349" s="21" t="s">
        <v>675</v>
      </c>
      <c r="E349" s="21" t="s">
        <v>18</v>
      </c>
      <c r="F349" s="21" t="s">
        <v>658</v>
      </c>
      <c r="G349" s="27" t="n">
        <v>60</v>
      </c>
      <c r="H349" s="27" t="n">
        <v>60</v>
      </c>
      <c r="I349" s="27" t="n">
        <v>60</v>
      </c>
      <c r="J349" s="27" t="n">
        <v>60</v>
      </c>
      <c r="K349" s="27" t="n">
        <v>60</v>
      </c>
    </row>
    <row r="350" customFormat="false" ht="25" hidden="false" customHeight="false" outlineLevel="0" collapsed="false">
      <c r="A350" s="21" t="n">
        <v>10</v>
      </c>
      <c r="B350" s="21" t="n">
        <v>2022</v>
      </c>
      <c r="C350" s="26" t="n">
        <v>44714</v>
      </c>
      <c r="D350" s="21" t="s">
        <v>675</v>
      </c>
      <c r="E350" s="21" t="s">
        <v>659</v>
      </c>
      <c r="F350" s="21" t="s">
        <v>658</v>
      </c>
      <c r="G350" s="27" t="n">
        <v>42</v>
      </c>
      <c r="H350" s="27" t="n">
        <v>42</v>
      </c>
      <c r="I350" s="27" t="n">
        <v>42</v>
      </c>
      <c r="J350" s="27" t="n">
        <v>42</v>
      </c>
      <c r="K350" s="27" t="n">
        <v>42</v>
      </c>
    </row>
    <row r="351" customFormat="false" ht="13.8" hidden="false" customHeight="false" outlineLevel="0" collapsed="false">
      <c r="A351" s="21" t="n">
        <v>10</v>
      </c>
      <c r="B351" s="21" t="n">
        <v>2022</v>
      </c>
      <c r="C351" s="26" t="n">
        <v>44714</v>
      </c>
      <c r="D351" s="21" t="s">
        <v>675</v>
      </c>
      <c r="E351" s="21" t="s">
        <v>20</v>
      </c>
      <c r="F351" s="21" t="s">
        <v>658</v>
      </c>
      <c r="G351" s="27" t="n">
        <v>24</v>
      </c>
      <c r="H351" s="27" t="n">
        <v>30</v>
      </c>
      <c r="I351" s="27" t="n">
        <v>28</v>
      </c>
      <c r="J351" s="27" t="n">
        <v>30</v>
      </c>
      <c r="K351" s="27" t="n">
        <v>30</v>
      </c>
    </row>
    <row r="352" customFormat="false" ht="13.8" hidden="false" customHeight="false" outlineLevel="0" collapsed="false">
      <c r="A352" s="21" t="n">
        <v>10</v>
      </c>
      <c r="B352" s="21" t="n">
        <v>2022</v>
      </c>
      <c r="C352" s="26" t="n">
        <v>44714</v>
      </c>
      <c r="D352" s="21" t="s">
        <v>675</v>
      </c>
      <c r="E352" s="21" t="s">
        <v>21</v>
      </c>
      <c r="F352" s="21" t="s">
        <v>658</v>
      </c>
      <c r="G352" s="27" t="n">
        <v>30</v>
      </c>
      <c r="H352" s="27" t="n">
        <v>30</v>
      </c>
      <c r="I352" s="27" t="n">
        <v>30</v>
      </c>
      <c r="J352" s="27" t="n">
        <v>30</v>
      </c>
      <c r="K352" s="27" t="n">
        <v>30</v>
      </c>
    </row>
    <row r="353" customFormat="false" ht="13.8" hidden="false" customHeight="false" outlineLevel="0" collapsed="false">
      <c r="A353" s="21" t="n">
        <v>10</v>
      </c>
      <c r="B353" s="21" t="n">
        <v>2022</v>
      </c>
      <c r="C353" s="26" t="n">
        <v>44714</v>
      </c>
      <c r="D353" s="21" t="s">
        <v>675</v>
      </c>
      <c r="E353" s="21" t="s">
        <v>22</v>
      </c>
      <c r="F353" s="21" t="s">
        <v>658</v>
      </c>
      <c r="G353" s="27" t="n">
        <v>48</v>
      </c>
      <c r="H353" s="27" t="n">
        <v>54</v>
      </c>
      <c r="I353" s="27" t="n">
        <v>51</v>
      </c>
      <c r="J353" s="21" t="s">
        <v>556</v>
      </c>
      <c r="K353" s="27" t="n">
        <v>51</v>
      </c>
    </row>
    <row r="354" customFormat="false" ht="25" hidden="false" customHeight="false" outlineLevel="0" collapsed="false">
      <c r="A354" s="21" t="n">
        <v>10</v>
      </c>
      <c r="B354" s="21" t="n">
        <v>2022</v>
      </c>
      <c r="C354" s="26" t="n">
        <v>44714</v>
      </c>
      <c r="D354" s="21" t="s">
        <v>676</v>
      </c>
      <c r="E354" s="21" t="s">
        <v>46</v>
      </c>
      <c r="F354" s="21" t="s">
        <v>660</v>
      </c>
      <c r="G354" s="27" t="n">
        <v>30</v>
      </c>
      <c r="H354" s="27" t="n">
        <v>60</v>
      </c>
      <c r="I354" s="27" t="n">
        <v>42</v>
      </c>
      <c r="J354" s="27" t="n">
        <v>40</v>
      </c>
      <c r="K354" s="27" t="n">
        <v>40</v>
      </c>
    </row>
    <row r="355" customFormat="false" ht="25" hidden="false" customHeight="false" outlineLevel="0" collapsed="false">
      <c r="A355" s="21" t="n">
        <v>10</v>
      </c>
      <c r="B355" s="21" t="n">
        <v>2022</v>
      </c>
      <c r="C355" s="26" t="n">
        <v>44714</v>
      </c>
      <c r="D355" s="21" t="s">
        <v>674</v>
      </c>
      <c r="E355" s="21" t="s">
        <v>48</v>
      </c>
      <c r="F355" s="21" t="s">
        <v>661</v>
      </c>
      <c r="G355" s="27" t="n">
        <v>45</v>
      </c>
      <c r="H355" s="27" t="n">
        <v>60</v>
      </c>
      <c r="I355" s="27" t="n">
        <v>54.29</v>
      </c>
      <c r="J355" s="27" t="n">
        <v>60</v>
      </c>
      <c r="K355" s="27" t="n">
        <v>55</v>
      </c>
    </row>
    <row r="356" customFormat="false" ht="25" hidden="false" customHeight="false" outlineLevel="0" collapsed="false">
      <c r="A356" s="21" t="n">
        <v>10</v>
      </c>
      <c r="B356" s="21" t="n">
        <v>2022</v>
      </c>
      <c r="C356" s="26" t="n">
        <v>44714</v>
      </c>
      <c r="D356" s="21" t="s">
        <v>674</v>
      </c>
      <c r="E356" s="21" t="s">
        <v>52</v>
      </c>
      <c r="F356" s="21" t="s">
        <v>661</v>
      </c>
      <c r="G356" s="27" t="n">
        <v>60</v>
      </c>
      <c r="H356" s="27" t="n">
        <v>100</v>
      </c>
      <c r="I356" s="27" t="n">
        <v>72.5</v>
      </c>
      <c r="J356" s="27" t="n">
        <v>60</v>
      </c>
      <c r="K356" s="27" t="n">
        <v>65</v>
      </c>
    </row>
    <row r="357" customFormat="false" ht="25" hidden="false" customHeight="false" outlineLevel="0" collapsed="false">
      <c r="A357" s="21" t="n">
        <v>10</v>
      </c>
      <c r="B357" s="21" t="n">
        <v>2022</v>
      </c>
      <c r="C357" s="26" t="n">
        <v>44714</v>
      </c>
      <c r="D357" s="21" t="s">
        <v>676</v>
      </c>
      <c r="E357" s="21" t="s">
        <v>53</v>
      </c>
      <c r="F357" s="21" t="s">
        <v>662</v>
      </c>
      <c r="G357" s="27" t="n">
        <v>45</v>
      </c>
      <c r="H357" s="27" t="n">
        <v>70</v>
      </c>
      <c r="I357" s="27" t="n">
        <v>60</v>
      </c>
      <c r="J357" s="27" t="n">
        <v>60</v>
      </c>
      <c r="K357" s="27" t="n">
        <v>60</v>
      </c>
    </row>
    <row r="358" customFormat="false" ht="36.5" hidden="false" customHeight="false" outlineLevel="0" collapsed="false">
      <c r="A358" s="21" t="n">
        <v>10</v>
      </c>
      <c r="B358" s="21" t="n">
        <v>2022</v>
      </c>
      <c r="C358" s="26" t="n">
        <v>44714</v>
      </c>
      <c r="D358" s="21" t="s">
        <v>675</v>
      </c>
      <c r="E358" s="21" t="s">
        <v>663</v>
      </c>
      <c r="F358" s="21" t="s">
        <v>658</v>
      </c>
      <c r="G358" s="27" t="n">
        <v>65</v>
      </c>
      <c r="H358" s="27" t="n">
        <v>90</v>
      </c>
      <c r="I358" s="27" t="n">
        <v>75</v>
      </c>
      <c r="J358" s="21" t="s">
        <v>556</v>
      </c>
      <c r="K358" s="27" t="n">
        <v>70</v>
      </c>
    </row>
    <row r="359" customFormat="false" ht="25" hidden="false" customHeight="false" outlineLevel="0" collapsed="false">
      <c r="A359" s="21" t="n">
        <v>10</v>
      </c>
      <c r="B359" s="21" t="n">
        <v>2022</v>
      </c>
      <c r="C359" s="26" t="n">
        <v>44714</v>
      </c>
      <c r="D359" s="21" t="s">
        <v>675</v>
      </c>
      <c r="E359" s="21" t="s">
        <v>24</v>
      </c>
      <c r="F359" s="21" t="s">
        <v>658</v>
      </c>
      <c r="G359" s="27" t="n">
        <v>72</v>
      </c>
      <c r="H359" s="27" t="n">
        <v>72</v>
      </c>
      <c r="I359" s="27" t="n">
        <v>72</v>
      </c>
      <c r="J359" s="21" t="s">
        <v>556</v>
      </c>
      <c r="K359" s="27" t="n">
        <v>72</v>
      </c>
    </row>
    <row r="360" customFormat="false" ht="13.8" hidden="false" customHeight="false" outlineLevel="0" collapsed="false">
      <c r="A360" s="21" t="n">
        <v>10</v>
      </c>
      <c r="B360" s="21" t="n">
        <v>2022</v>
      </c>
      <c r="C360" s="26" t="n">
        <v>44714</v>
      </c>
      <c r="D360" s="21" t="s">
        <v>677</v>
      </c>
      <c r="E360" s="21" t="s">
        <v>70</v>
      </c>
      <c r="F360" s="21" t="s">
        <v>657</v>
      </c>
      <c r="G360" s="27" t="n">
        <v>70</v>
      </c>
      <c r="H360" s="27" t="n">
        <v>70</v>
      </c>
      <c r="I360" s="27" t="n">
        <v>70</v>
      </c>
      <c r="J360" s="21" t="s">
        <v>556</v>
      </c>
      <c r="K360" s="27" t="n">
        <v>70</v>
      </c>
    </row>
    <row r="361" customFormat="false" ht="25" hidden="false" customHeight="false" outlineLevel="0" collapsed="false">
      <c r="A361" s="21" t="n">
        <v>10</v>
      </c>
      <c r="B361" s="21" t="n">
        <v>2022</v>
      </c>
      <c r="C361" s="26" t="n">
        <v>44714</v>
      </c>
      <c r="D361" s="21" t="s">
        <v>677</v>
      </c>
      <c r="E361" s="21" t="s">
        <v>681</v>
      </c>
      <c r="F361" s="21" t="s">
        <v>657</v>
      </c>
      <c r="G361" s="27" t="n">
        <v>50</v>
      </c>
      <c r="H361" s="27" t="n">
        <v>70</v>
      </c>
      <c r="I361" s="27" t="n">
        <v>58</v>
      </c>
      <c r="J361" s="27" t="n">
        <v>50</v>
      </c>
      <c r="K361" s="27" t="n">
        <v>55</v>
      </c>
    </row>
    <row r="362" customFormat="false" ht="25" hidden="false" customHeight="false" outlineLevel="0" collapsed="false">
      <c r="A362" s="21" t="n">
        <v>10</v>
      </c>
      <c r="B362" s="21" t="n">
        <v>2022</v>
      </c>
      <c r="C362" s="26" t="n">
        <v>44714</v>
      </c>
      <c r="D362" s="21" t="s">
        <v>677</v>
      </c>
      <c r="E362" s="21" t="s">
        <v>72</v>
      </c>
      <c r="F362" s="21" t="s">
        <v>657</v>
      </c>
      <c r="G362" s="27" t="n">
        <v>35</v>
      </c>
      <c r="H362" s="27" t="n">
        <v>38</v>
      </c>
      <c r="I362" s="27" t="n">
        <v>36</v>
      </c>
      <c r="J362" s="27" t="n">
        <v>35</v>
      </c>
      <c r="K362" s="27" t="n">
        <v>35</v>
      </c>
    </row>
    <row r="363" customFormat="false" ht="25" hidden="false" customHeight="false" outlineLevel="0" collapsed="false">
      <c r="A363" s="21" t="n">
        <v>10</v>
      </c>
      <c r="B363" s="21" t="n">
        <v>2022</v>
      </c>
      <c r="C363" s="26" t="n">
        <v>44714</v>
      </c>
      <c r="D363" s="21" t="s">
        <v>678</v>
      </c>
      <c r="E363" s="21" t="s">
        <v>35</v>
      </c>
      <c r="F363" s="21" t="s">
        <v>670</v>
      </c>
      <c r="G363" s="27" t="n">
        <v>3.5</v>
      </c>
      <c r="H363" s="27" t="n">
        <v>4</v>
      </c>
      <c r="I363" s="27" t="n">
        <v>3.83</v>
      </c>
      <c r="J363" s="27" t="n">
        <v>4</v>
      </c>
      <c r="K363" s="27" t="n">
        <v>4</v>
      </c>
    </row>
    <row r="364" customFormat="false" ht="25" hidden="false" customHeight="false" outlineLevel="0" collapsed="false">
      <c r="A364" s="21" t="n">
        <v>10</v>
      </c>
      <c r="B364" s="21" t="n">
        <v>2022</v>
      </c>
      <c r="C364" s="26" t="n">
        <v>44714</v>
      </c>
      <c r="D364" s="21" t="s">
        <v>676</v>
      </c>
      <c r="E364" s="21" t="s">
        <v>56</v>
      </c>
      <c r="F364" s="21" t="s">
        <v>660</v>
      </c>
      <c r="G364" s="27" t="n">
        <v>50</v>
      </c>
      <c r="H364" s="27" t="n">
        <v>80</v>
      </c>
      <c r="I364" s="27" t="n">
        <v>60</v>
      </c>
      <c r="J364" s="27" t="n">
        <v>64.38</v>
      </c>
      <c r="K364" s="27" t="n">
        <v>62.5</v>
      </c>
    </row>
    <row r="365" customFormat="false" ht="13.8" hidden="false" customHeight="false" outlineLevel="0" collapsed="false">
      <c r="A365" s="21" t="n">
        <v>10</v>
      </c>
      <c r="B365" s="21" t="n">
        <v>2022</v>
      </c>
      <c r="C365" s="26" t="n">
        <v>44714</v>
      </c>
      <c r="D365" s="21" t="s">
        <v>674</v>
      </c>
      <c r="E365" s="21" t="s">
        <v>57</v>
      </c>
      <c r="F365" s="21" t="s">
        <v>665</v>
      </c>
      <c r="G365" s="27" t="n">
        <v>40</v>
      </c>
      <c r="H365" s="27" t="n">
        <v>60</v>
      </c>
      <c r="I365" s="27" t="n">
        <v>45</v>
      </c>
      <c r="J365" s="27" t="n">
        <v>50.71</v>
      </c>
      <c r="K365" s="27" t="n">
        <v>50</v>
      </c>
    </row>
    <row r="366" customFormat="false" ht="25" hidden="false" customHeight="false" outlineLevel="0" collapsed="false">
      <c r="A366" s="21" t="n">
        <v>10</v>
      </c>
      <c r="B366" s="21" t="n">
        <v>2022</v>
      </c>
      <c r="C366" s="26" t="n">
        <v>44714</v>
      </c>
      <c r="D366" s="21" t="s">
        <v>678</v>
      </c>
      <c r="E366" s="21" t="s">
        <v>38</v>
      </c>
      <c r="F366" s="21" t="s">
        <v>682</v>
      </c>
      <c r="G366" s="27" t="n">
        <v>25</v>
      </c>
      <c r="H366" s="27" t="n">
        <v>30</v>
      </c>
      <c r="I366" s="27" t="n">
        <v>26.67</v>
      </c>
      <c r="J366" s="27" t="n">
        <v>25</v>
      </c>
      <c r="K366" s="27" t="n">
        <v>25</v>
      </c>
    </row>
    <row r="367" customFormat="false" ht="25" hidden="false" customHeight="false" outlineLevel="0" collapsed="false">
      <c r="A367" s="21" t="n">
        <v>10</v>
      </c>
      <c r="B367" s="21" t="n">
        <v>2022</v>
      </c>
      <c r="C367" s="26" t="n">
        <v>44714</v>
      </c>
      <c r="D367" s="21" t="s">
        <v>675</v>
      </c>
      <c r="E367" s="21" t="s">
        <v>666</v>
      </c>
      <c r="F367" s="21" t="s">
        <v>658</v>
      </c>
      <c r="G367" s="27" t="n">
        <v>24</v>
      </c>
      <c r="H367" s="27" t="n">
        <v>36</v>
      </c>
      <c r="I367" s="27" t="n">
        <v>30</v>
      </c>
      <c r="J367" s="21" t="s">
        <v>556</v>
      </c>
      <c r="K367" s="27" t="n">
        <v>30</v>
      </c>
    </row>
    <row r="368" customFormat="false" ht="13.8" hidden="false" customHeight="false" outlineLevel="0" collapsed="false">
      <c r="A368" s="21" t="n">
        <v>10</v>
      </c>
      <c r="B368" s="21" t="n">
        <v>2022</v>
      </c>
      <c r="C368" s="26" t="n">
        <v>44714</v>
      </c>
      <c r="D368" s="21" t="s">
        <v>675</v>
      </c>
      <c r="E368" s="21" t="s">
        <v>77</v>
      </c>
      <c r="F368" s="21" t="s">
        <v>658</v>
      </c>
      <c r="G368" s="27" t="n">
        <v>70</v>
      </c>
      <c r="H368" s="27" t="n">
        <v>84</v>
      </c>
      <c r="I368" s="27" t="n">
        <v>75.33</v>
      </c>
      <c r="J368" s="21" t="s">
        <v>556</v>
      </c>
      <c r="K368" s="27" t="n">
        <v>72</v>
      </c>
    </row>
    <row r="369" customFormat="false" ht="13.8" hidden="false" customHeight="false" outlineLevel="0" collapsed="false">
      <c r="A369" s="21" t="n">
        <v>10</v>
      </c>
      <c r="B369" s="21" t="n">
        <v>2022</v>
      </c>
      <c r="C369" s="26" t="n">
        <v>44714</v>
      </c>
      <c r="D369" s="21" t="s">
        <v>675</v>
      </c>
      <c r="E369" s="21" t="s">
        <v>27</v>
      </c>
      <c r="F369" s="21" t="s">
        <v>658</v>
      </c>
      <c r="G369" s="27" t="n">
        <v>30</v>
      </c>
      <c r="H369" s="27" t="n">
        <v>30</v>
      </c>
      <c r="I369" s="27" t="n">
        <v>30</v>
      </c>
      <c r="J369" s="27" t="n">
        <v>30</v>
      </c>
      <c r="K369" s="27" t="n">
        <v>30</v>
      </c>
    </row>
    <row r="370" customFormat="false" ht="13.8" hidden="false" customHeight="false" outlineLevel="0" collapsed="false">
      <c r="A370" s="21" t="n">
        <v>10</v>
      </c>
      <c r="B370" s="21" t="n">
        <v>2022</v>
      </c>
      <c r="C370" s="26" t="n">
        <v>44714</v>
      </c>
      <c r="D370" s="21" t="s">
        <v>675</v>
      </c>
      <c r="E370" s="21" t="s">
        <v>28</v>
      </c>
      <c r="F370" s="21" t="s">
        <v>658</v>
      </c>
      <c r="G370" s="27" t="n">
        <v>54</v>
      </c>
      <c r="H370" s="27" t="n">
        <v>60</v>
      </c>
      <c r="I370" s="27" t="n">
        <v>57</v>
      </c>
      <c r="J370" s="21" t="s">
        <v>556</v>
      </c>
      <c r="K370" s="27" t="n">
        <v>57</v>
      </c>
    </row>
    <row r="371" customFormat="false" ht="13.8" hidden="false" customHeight="false" outlineLevel="0" collapsed="false">
      <c r="A371" s="21" t="n">
        <v>10</v>
      </c>
      <c r="B371" s="21" t="n">
        <v>2022</v>
      </c>
      <c r="C371" s="26" t="n">
        <v>44714</v>
      </c>
      <c r="D371" s="21" t="s">
        <v>677</v>
      </c>
      <c r="E371" s="21" t="s">
        <v>73</v>
      </c>
      <c r="F371" s="21" t="s">
        <v>661</v>
      </c>
      <c r="G371" s="27" t="n">
        <v>45</v>
      </c>
      <c r="H371" s="27" t="n">
        <v>45</v>
      </c>
      <c r="I371" s="27" t="n">
        <v>45</v>
      </c>
      <c r="J371" s="21" t="s">
        <v>556</v>
      </c>
      <c r="K371" s="27" t="n">
        <v>45</v>
      </c>
    </row>
    <row r="372" customFormat="false" ht="13.8" hidden="false" customHeight="false" outlineLevel="0" collapsed="false">
      <c r="A372" s="21" t="n">
        <v>10</v>
      </c>
      <c r="B372" s="21" t="n">
        <v>2022</v>
      </c>
      <c r="C372" s="26" t="n">
        <v>44714</v>
      </c>
      <c r="D372" s="21" t="s">
        <v>674</v>
      </c>
      <c r="E372" s="21" t="s">
        <v>58</v>
      </c>
      <c r="F372" s="21" t="s">
        <v>657</v>
      </c>
      <c r="G372" s="27" t="n">
        <v>60</v>
      </c>
      <c r="H372" s="27" t="n">
        <v>100</v>
      </c>
      <c r="I372" s="27" t="n">
        <v>79.29</v>
      </c>
      <c r="J372" s="27" t="n">
        <v>75</v>
      </c>
      <c r="K372" s="27" t="n">
        <v>75</v>
      </c>
    </row>
    <row r="373" customFormat="false" ht="25" hidden="false" customHeight="false" outlineLevel="0" collapsed="false">
      <c r="A373" s="21" t="n">
        <v>10</v>
      </c>
      <c r="B373" s="21" t="n">
        <v>2022</v>
      </c>
      <c r="C373" s="26" t="n">
        <v>44714</v>
      </c>
      <c r="D373" s="21" t="s">
        <v>677</v>
      </c>
      <c r="E373" s="21" t="s">
        <v>74</v>
      </c>
      <c r="F373" s="21" t="s">
        <v>667</v>
      </c>
      <c r="G373" s="27" t="n">
        <v>35</v>
      </c>
      <c r="H373" s="27" t="n">
        <v>45</v>
      </c>
      <c r="I373" s="27" t="n">
        <v>39.5</v>
      </c>
      <c r="J373" s="21" t="s">
        <v>556</v>
      </c>
      <c r="K373" s="27" t="n">
        <v>39</v>
      </c>
    </row>
    <row r="374" customFormat="false" ht="25" hidden="false" customHeight="false" outlineLevel="0" collapsed="false">
      <c r="A374" s="21" t="n">
        <v>10</v>
      </c>
      <c r="B374" s="21" t="n">
        <v>2022</v>
      </c>
      <c r="C374" s="26" t="n">
        <v>44714</v>
      </c>
      <c r="D374" s="21" t="s">
        <v>674</v>
      </c>
      <c r="E374" s="21" t="s">
        <v>61</v>
      </c>
      <c r="F374" s="21" t="s">
        <v>657</v>
      </c>
      <c r="G374" s="27" t="n">
        <v>45</v>
      </c>
      <c r="H374" s="27" t="n">
        <v>70</v>
      </c>
      <c r="I374" s="27" t="n">
        <v>60</v>
      </c>
      <c r="J374" s="27" t="n">
        <v>60</v>
      </c>
      <c r="K374" s="27" t="n">
        <v>60</v>
      </c>
    </row>
    <row r="375" customFormat="false" ht="25" hidden="false" customHeight="false" outlineLevel="0" collapsed="false">
      <c r="A375" s="21" t="n">
        <v>10</v>
      </c>
      <c r="B375" s="21" t="n">
        <v>2022</v>
      </c>
      <c r="C375" s="26" t="n">
        <v>44714</v>
      </c>
      <c r="D375" s="21" t="s">
        <v>674</v>
      </c>
      <c r="E375" s="21" t="s">
        <v>683</v>
      </c>
      <c r="F375" s="21" t="s">
        <v>662</v>
      </c>
      <c r="G375" s="27" t="n">
        <v>110</v>
      </c>
      <c r="H375" s="27" t="n">
        <v>120</v>
      </c>
      <c r="I375" s="27" t="n">
        <v>115</v>
      </c>
      <c r="J375" s="27" t="n">
        <v>110</v>
      </c>
      <c r="K375" s="27" t="n">
        <v>115</v>
      </c>
    </row>
    <row r="376" customFormat="false" ht="25" hidden="false" customHeight="false" outlineLevel="0" collapsed="false">
      <c r="A376" s="21" t="n">
        <v>10</v>
      </c>
      <c r="B376" s="21" t="n">
        <v>2022</v>
      </c>
      <c r="C376" s="26" t="n">
        <v>44714</v>
      </c>
      <c r="D376" s="21" t="s">
        <v>674</v>
      </c>
      <c r="E376" s="21" t="s">
        <v>684</v>
      </c>
      <c r="F376" s="21" t="s">
        <v>661</v>
      </c>
      <c r="G376" s="27" t="n">
        <v>35</v>
      </c>
      <c r="H376" s="27" t="n">
        <v>50</v>
      </c>
      <c r="I376" s="27" t="n">
        <v>43.57</v>
      </c>
      <c r="J376" s="27" t="n">
        <v>50</v>
      </c>
      <c r="K376" s="27" t="n">
        <v>45</v>
      </c>
    </row>
    <row r="377" customFormat="false" ht="25" hidden="false" customHeight="false" outlineLevel="0" collapsed="false">
      <c r="A377" s="21" t="n">
        <v>10</v>
      </c>
      <c r="B377" s="21" t="n">
        <v>2022</v>
      </c>
      <c r="C377" s="26" t="n">
        <v>44714</v>
      </c>
      <c r="D377" s="21" t="s">
        <v>674</v>
      </c>
      <c r="E377" s="21" t="s">
        <v>64</v>
      </c>
      <c r="F377" s="21" t="s">
        <v>658</v>
      </c>
      <c r="G377" s="27" t="n">
        <v>100</v>
      </c>
      <c r="H377" s="27" t="n">
        <v>150</v>
      </c>
      <c r="I377" s="27" t="n">
        <v>128</v>
      </c>
      <c r="J377" s="21" t="s">
        <v>556</v>
      </c>
      <c r="K377" s="27" t="n">
        <v>130</v>
      </c>
    </row>
    <row r="378" customFormat="false" ht="25" hidden="false" customHeight="false" outlineLevel="0" collapsed="false">
      <c r="A378" s="21" t="n">
        <v>10</v>
      </c>
      <c r="B378" s="21" t="n">
        <v>2022</v>
      </c>
      <c r="C378" s="26" t="n">
        <v>44714</v>
      </c>
      <c r="D378" s="21" t="s">
        <v>676</v>
      </c>
      <c r="E378" s="21" t="s">
        <v>29</v>
      </c>
      <c r="F378" s="21" t="s">
        <v>658</v>
      </c>
      <c r="G378" s="27" t="n">
        <v>36</v>
      </c>
      <c r="H378" s="27" t="n">
        <v>54</v>
      </c>
      <c r="I378" s="27" t="n">
        <v>48</v>
      </c>
      <c r="J378" s="27" t="n">
        <v>54</v>
      </c>
      <c r="K378" s="27" t="n">
        <v>54</v>
      </c>
    </row>
    <row r="379" customFormat="false" ht="13.8" hidden="false" customHeight="false" outlineLevel="0" collapsed="false">
      <c r="A379" s="21" t="n">
        <v>10</v>
      </c>
      <c r="B379" s="21" t="n">
        <v>2022</v>
      </c>
      <c r="C379" s="26" t="n">
        <v>44714</v>
      </c>
      <c r="D379" s="21" t="s">
        <v>675</v>
      </c>
      <c r="E379" s="21" t="s">
        <v>31</v>
      </c>
      <c r="F379" s="21" t="s">
        <v>658</v>
      </c>
      <c r="G379" s="27" t="n">
        <v>60</v>
      </c>
      <c r="H379" s="27" t="n">
        <v>78</v>
      </c>
      <c r="I379" s="27" t="n">
        <v>68.25</v>
      </c>
      <c r="J379" s="21" t="s">
        <v>556</v>
      </c>
      <c r="K379" s="27" t="n">
        <v>67.5</v>
      </c>
    </row>
    <row r="380" customFormat="false" ht="25" hidden="false" customHeight="false" outlineLevel="0" collapsed="false">
      <c r="A380" s="21" t="n">
        <v>10</v>
      </c>
      <c r="B380" s="21" t="n">
        <v>2022</v>
      </c>
      <c r="C380" s="26" t="n">
        <v>44714</v>
      </c>
      <c r="D380" s="21" t="s">
        <v>675</v>
      </c>
      <c r="E380" s="21" t="s">
        <v>668</v>
      </c>
      <c r="F380" s="21" t="s">
        <v>658</v>
      </c>
      <c r="G380" s="27" t="n">
        <v>50</v>
      </c>
      <c r="H380" s="27" t="n">
        <v>72</v>
      </c>
      <c r="I380" s="27" t="n">
        <v>59.4</v>
      </c>
      <c r="J380" s="27" t="n">
        <v>50</v>
      </c>
      <c r="K380" s="27" t="n">
        <v>60</v>
      </c>
    </row>
    <row r="381" customFormat="false" ht="13.8" hidden="false" customHeight="false" outlineLevel="0" collapsed="false">
      <c r="A381" s="21" t="n">
        <v>10</v>
      </c>
      <c r="B381" s="21" t="n">
        <v>2022</v>
      </c>
      <c r="C381" s="26" t="n">
        <v>44714</v>
      </c>
      <c r="D381" s="21" t="s">
        <v>675</v>
      </c>
      <c r="E381" s="21" t="s">
        <v>33</v>
      </c>
      <c r="F381" s="21" t="s">
        <v>658</v>
      </c>
      <c r="G381" s="27" t="n">
        <v>36</v>
      </c>
      <c r="H381" s="27" t="n">
        <v>48</v>
      </c>
      <c r="I381" s="27" t="n">
        <v>42</v>
      </c>
      <c r="J381" s="21" t="s">
        <v>556</v>
      </c>
      <c r="K381" s="27" t="n">
        <v>42</v>
      </c>
    </row>
    <row r="382" customFormat="false" ht="25" hidden="false" customHeight="false" outlineLevel="0" collapsed="false">
      <c r="A382" s="21" t="n">
        <v>10</v>
      </c>
      <c r="B382" s="21" t="n">
        <v>2022</v>
      </c>
      <c r="C382" s="26" t="n">
        <v>44714</v>
      </c>
      <c r="D382" s="21" t="s">
        <v>678</v>
      </c>
      <c r="E382" s="21" t="s">
        <v>669</v>
      </c>
      <c r="F382" s="21" t="s">
        <v>682</v>
      </c>
      <c r="G382" s="27" t="n">
        <v>25</v>
      </c>
      <c r="H382" s="27" t="n">
        <v>30</v>
      </c>
      <c r="I382" s="27" t="n">
        <v>28.33</v>
      </c>
      <c r="J382" s="27" t="n">
        <v>30</v>
      </c>
      <c r="K382" s="27" t="n">
        <v>30</v>
      </c>
    </row>
    <row r="383" customFormat="false" ht="25" hidden="false" customHeight="false" outlineLevel="0" collapsed="false">
      <c r="A383" s="21" t="n">
        <v>10</v>
      </c>
      <c r="B383" s="21" t="n">
        <v>2022</v>
      </c>
      <c r="C383" s="26" t="n">
        <v>44714</v>
      </c>
      <c r="D383" s="21" t="s">
        <v>674</v>
      </c>
      <c r="E383" s="21" t="s">
        <v>67</v>
      </c>
      <c r="F383" s="21" t="s">
        <v>662</v>
      </c>
      <c r="G383" s="27" t="n">
        <v>100</v>
      </c>
      <c r="H383" s="27" t="n">
        <v>150</v>
      </c>
      <c r="I383" s="27" t="n">
        <v>130</v>
      </c>
      <c r="J383" s="27" t="n">
        <v>128.75</v>
      </c>
      <c r="K383" s="27" t="n">
        <v>130</v>
      </c>
    </row>
    <row r="384" customFormat="false" ht="25" hidden="false" customHeight="false" outlineLevel="0" collapsed="false">
      <c r="A384" s="21" t="n">
        <v>10</v>
      </c>
      <c r="B384" s="21" t="n">
        <v>2022</v>
      </c>
      <c r="C384" s="26" t="n">
        <v>44714</v>
      </c>
      <c r="D384" s="21" t="s">
        <v>674</v>
      </c>
      <c r="E384" s="21" t="s">
        <v>68</v>
      </c>
      <c r="F384" s="21" t="s">
        <v>657</v>
      </c>
      <c r="G384" s="27" t="n">
        <v>100</v>
      </c>
      <c r="H384" s="27" t="n">
        <v>140</v>
      </c>
      <c r="I384" s="27" t="n">
        <v>116.67</v>
      </c>
      <c r="J384" s="27" t="n">
        <v>110</v>
      </c>
      <c r="K384" s="27" t="n">
        <v>110</v>
      </c>
    </row>
    <row r="385" customFormat="false" ht="25" hidden="false" customHeight="false" outlineLevel="0" collapsed="false">
      <c r="A385" s="21" t="n">
        <v>11</v>
      </c>
      <c r="B385" s="21" t="n">
        <v>2022</v>
      </c>
      <c r="C385" s="26" t="n">
        <v>44721</v>
      </c>
      <c r="D385" s="21" t="s">
        <v>685</v>
      </c>
      <c r="E385" s="21" t="s">
        <v>656</v>
      </c>
      <c r="F385" s="21" t="s">
        <v>657</v>
      </c>
      <c r="G385" s="27" t="n">
        <v>50</v>
      </c>
      <c r="H385" s="27" t="n">
        <v>90</v>
      </c>
      <c r="I385" s="27" t="n">
        <v>70</v>
      </c>
      <c r="J385" s="27" t="n">
        <v>70</v>
      </c>
      <c r="K385" s="27" t="n">
        <v>70</v>
      </c>
    </row>
    <row r="386" customFormat="false" ht="13.8" hidden="false" customHeight="false" outlineLevel="0" collapsed="false">
      <c r="A386" s="21" t="n">
        <v>11</v>
      </c>
      <c r="B386" s="21" t="n">
        <v>2022</v>
      </c>
      <c r="C386" s="26" t="n">
        <v>44721</v>
      </c>
      <c r="D386" s="21" t="s">
        <v>685</v>
      </c>
      <c r="E386" s="21" t="s">
        <v>16</v>
      </c>
      <c r="F386" s="21" t="s">
        <v>658</v>
      </c>
      <c r="G386" s="27" t="n">
        <v>38</v>
      </c>
      <c r="H386" s="27" t="n">
        <v>60</v>
      </c>
      <c r="I386" s="27" t="n">
        <v>49</v>
      </c>
      <c r="J386" s="21" t="s">
        <v>556</v>
      </c>
      <c r="K386" s="27" t="n">
        <v>49</v>
      </c>
    </row>
    <row r="387" customFormat="false" ht="13.8" hidden="false" customHeight="false" outlineLevel="0" collapsed="false">
      <c r="A387" s="21" t="n">
        <v>11</v>
      </c>
      <c r="B387" s="21" t="n">
        <v>2022</v>
      </c>
      <c r="C387" s="26" t="n">
        <v>44721</v>
      </c>
      <c r="D387" s="21" t="s">
        <v>685</v>
      </c>
      <c r="E387" s="21" t="s">
        <v>18</v>
      </c>
      <c r="F387" s="21" t="s">
        <v>658</v>
      </c>
      <c r="G387" s="27" t="n">
        <v>36</v>
      </c>
      <c r="H387" s="27" t="n">
        <v>60</v>
      </c>
      <c r="I387" s="27" t="n">
        <v>48</v>
      </c>
      <c r="J387" s="21" t="s">
        <v>556</v>
      </c>
      <c r="K387" s="27" t="n">
        <v>48</v>
      </c>
    </row>
    <row r="388" customFormat="false" ht="25" hidden="false" customHeight="false" outlineLevel="0" collapsed="false">
      <c r="A388" s="21" t="n">
        <v>11</v>
      </c>
      <c r="B388" s="21" t="n">
        <v>2022</v>
      </c>
      <c r="C388" s="26" t="n">
        <v>44721</v>
      </c>
      <c r="D388" s="21" t="s">
        <v>685</v>
      </c>
      <c r="E388" s="21" t="s">
        <v>659</v>
      </c>
      <c r="F388" s="21" t="s">
        <v>658</v>
      </c>
      <c r="G388" s="27" t="n">
        <v>30</v>
      </c>
      <c r="H388" s="27" t="n">
        <v>36</v>
      </c>
      <c r="I388" s="27" t="n">
        <v>32</v>
      </c>
      <c r="J388" s="27" t="n">
        <v>30</v>
      </c>
      <c r="K388" s="27" t="n">
        <v>30</v>
      </c>
    </row>
    <row r="389" customFormat="false" ht="13.8" hidden="false" customHeight="false" outlineLevel="0" collapsed="false">
      <c r="A389" s="21" t="n">
        <v>11</v>
      </c>
      <c r="B389" s="21" t="n">
        <v>2022</v>
      </c>
      <c r="C389" s="26" t="n">
        <v>44721</v>
      </c>
      <c r="D389" s="21" t="s">
        <v>685</v>
      </c>
      <c r="E389" s="21" t="s">
        <v>20</v>
      </c>
      <c r="F389" s="21" t="s">
        <v>658</v>
      </c>
      <c r="G389" s="27" t="n">
        <v>24</v>
      </c>
      <c r="H389" s="27" t="n">
        <v>30</v>
      </c>
      <c r="I389" s="27" t="n">
        <v>25.2</v>
      </c>
      <c r="J389" s="27" t="n">
        <v>24</v>
      </c>
      <c r="K389" s="27" t="n">
        <v>24</v>
      </c>
    </row>
    <row r="390" customFormat="false" ht="13.8" hidden="false" customHeight="false" outlineLevel="0" collapsed="false">
      <c r="A390" s="21" t="n">
        <v>11</v>
      </c>
      <c r="B390" s="21" t="n">
        <v>2022</v>
      </c>
      <c r="C390" s="26" t="n">
        <v>44721</v>
      </c>
      <c r="D390" s="21" t="s">
        <v>685</v>
      </c>
      <c r="E390" s="21" t="s">
        <v>21</v>
      </c>
      <c r="F390" s="21" t="s">
        <v>658</v>
      </c>
      <c r="G390" s="27" t="n">
        <v>30</v>
      </c>
      <c r="H390" s="27" t="n">
        <v>30</v>
      </c>
      <c r="I390" s="27" t="n">
        <v>30</v>
      </c>
      <c r="J390" s="27" t="n">
        <v>30</v>
      </c>
      <c r="K390" s="27" t="n">
        <v>30</v>
      </c>
    </row>
    <row r="391" customFormat="false" ht="13.8" hidden="false" customHeight="false" outlineLevel="0" collapsed="false">
      <c r="A391" s="21" t="n">
        <v>11</v>
      </c>
      <c r="B391" s="21" t="n">
        <v>2022</v>
      </c>
      <c r="C391" s="26" t="n">
        <v>44721</v>
      </c>
      <c r="D391" s="21" t="s">
        <v>685</v>
      </c>
      <c r="E391" s="21" t="s">
        <v>22</v>
      </c>
      <c r="F391" s="21" t="s">
        <v>658</v>
      </c>
      <c r="G391" s="27" t="n">
        <v>54</v>
      </c>
      <c r="H391" s="27" t="n">
        <v>54</v>
      </c>
      <c r="I391" s="27" t="n">
        <v>54</v>
      </c>
      <c r="J391" s="21" t="s">
        <v>556</v>
      </c>
      <c r="K391" s="27" t="n">
        <v>54</v>
      </c>
    </row>
    <row r="392" customFormat="false" ht="13.8" hidden="false" customHeight="false" outlineLevel="0" collapsed="false">
      <c r="A392" s="21" t="n">
        <v>11</v>
      </c>
      <c r="B392" s="21" t="n">
        <v>2022</v>
      </c>
      <c r="C392" s="26" t="n">
        <v>44721</v>
      </c>
      <c r="D392" s="21" t="s">
        <v>685</v>
      </c>
      <c r="E392" s="21" t="s">
        <v>46</v>
      </c>
      <c r="F392" s="21" t="s">
        <v>660</v>
      </c>
      <c r="G392" s="27" t="n">
        <v>40</v>
      </c>
      <c r="H392" s="27" t="n">
        <v>60</v>
      </c>
      <c r="I392" s="27" t="n">
        <v>51.67</v>
      </c>
      <c r="J392" s="27" t="n">
        <v>50</v>
      </c>
      <c r="K392" s="27" t="n">
        <v>50</v>
      </c>
    </row>
    <row r="393" customFormat="false" ht="25" hidden="false" customHeight="false" outlineLevel="0" collapsed="false">
      <c r="A393" s="21" t="n">
        <v>11</v>
      </c>
      <c r="B393" s="21" t="n">
        <v>2022</v>
      </c>
      <c r="C393" s="26" t="n">
        <v>44721</v>
      </c>
      <c r="D393" s="21" t="s">
        <v>685</v>
      </c>
      <c r="E393" s="21" t="s">
        <v>48</v>
      </c>
      <c r="F393" s="21" t="s">
        <v>661</v>
      </c>
      <c r="G393" s="27" t="n">
        <v>50</v>
      </c>
      <c r="H393" s="27" t="n">
        <v>60</v>
      </c>
      <c r="I393" s="27" t="n">
        <v>56.67</v>
      </c>
      <c r="J393" s="27" t="n">
        <v>60</v>
      </c>
      <c r="K393" s="27" t="n">
        <v>60</v>
      </c>
    </row>
    <row r="394" customFormat="false" ht="25" hidden="false" customHeight="false" outlineLevel="0" collapsed="false">
      <c r="A394" s="21" t="n">
        <v>11</v>
      </c>
      <c r="B394" s="21" t="n">
        <v>2022</v>
      </c>
      <c r="C394" s="26" t="n">
        <v>44721</v>
      </c>
      <c r="D394" s="21" t="s">
        <v>685</v>
      </c>
      <c r="E394" s="21" t="s">
        <v>52</v>
      </c>
      <c r="F394" s="21" t="s">
        <v>661</v>
      </c>
      <c r="G394" s="27" t="n">
        <v>60</v>
      </c>
      <c r="H394" s="27" t="n">
        <v>125</v>
      </c>
      <c r="I394" s="27" t="n">
        <v>92.5</v>
      </c>
      <c r="J394" s="21" t="s">
        <v>556</v>
      </c>
      <c r="K394" s="27" t="n">
        <v>92.5</v>
      </c>
    </row>
    <row r="395" customFormat="false" ht="13.8" hidden="false" customHeight="false" outlineLevel="0" collapsed="false">
      <c r="A395" s="21" t="n">
        <v>11</v>
      </c>
      <c r="B395" s="21" t="n">
        <v>2022</v>
      </c>
      <c r="C395" s="26" t="n">
        <v>44721</v>
      </c>
      <c r="D395" s="21" t="s">
        <v>685</v>
      </c>
      <c r="E395" s="21" t="s">
        <v>53</v>
      </c>
      <c r="F395" s="21" t="s">
        <v>662</v>
      </c>
      <c r="G395" s="27" t="n">
        <v>45</v>
      </c>
      <c r="H395" s="27" t="n">
        <v>70</v>
      </c>
      <c r="I395" s="27" t="n">
        <v>59.29</v>
      </c>
      <c r="J395" s="27" t="n">
        <v>60</v>
      </c>
      <c r="K395" s="27" t="n">
        <v>60</v>
      </c>
    </row>
    <row r="396" customFormat="false" ht="36.5" hidden="false" customHeight="false" outlineLevel="0" collapsed="false">
      <c r="A396" s="21" t="n">
        <v>11</v>
      </c>
      <c r="B396" s="21" t="n">
        <v>2022</v>
      </c>
      <c r="C396" s="26" t="n">
        <v>44721</v>
      </c>
      <c r="D396" s="21" t="s">
        <v>685</v>
      </c>
      <c r="E396" s="21" t="s">
        <v>663</v>
      </c>
      <c r="F396" s="21" t="s">
        <v>658</v>
      </c>
      <c r="G396" s="27" t="n">
        <v>50</v>
      </c>
      <c r="H396" s="27" t="n">
        <v>70</v>
      </c>
      <c r="I396" s="27" t="n">
        <v>61.2</v>
      </c>
      <c r="J396" s="27" t="n">
        <v>60</v>
      </c>
      <c r="K396" s="27" t="n">
        <v>60</v>
      </c>
    </row>
    <row r="397" customFormat="false" ht="25" hidden="false" customHeight="false" outlineLevel="0" collapsed="false">
      <c r="A397" s="21" t="n">
        <v>11</v>
      </c>
      <c r="B397" s="21" t="n">
        <v>2022</v>
      </c>
      <c r="C397" s="26" t="n">
        <v>44721</v>
      </c>
      <c r="D397" s="21" t="s">
        <v>685</v>
      </c>
      <c r="E397" s="21" t="s">
        <v>24</v>
      </c>
      <c r="F397" s="21" t="s">
        <v>658</v>
      </c>
      <c r="G397" s="27" t="n">
        <v>65</v>
      </c>
      <c r="H397" s="27" t="n">
        <v>84</v>
      </c>
      <c r="I397" s="27" t="n">
        <v>74.5</v>
      </c>
      <c r="J397" s="21" t="s">
        <v>556</v>
      </c>
      <c r="K397" s="27" t="n">
        <v>74.5</v>
      </c>
    </row>
    <row r="398" customFormat="false" ht="13.8" hidden="false" customHeight="false" outlineLevel="0" collapsed="false">
      <c r="A398" s="21" t="n">
        <v>11</v>
      </c>
      <c r="B398" s="21" t="n">
        <v>2022</v>
      </c>
      <c r="C398" s="26" t="n">
        <v>44721</v>
      </c>
      <c r="D398" s="21" t="s">
        <v>685</v>
      </c>
      <c r="E398" s="21" t="s">
        <v>70</v>
      </c>
      <c r="F398" s="21" t="s">
        <v>657</v>
      </c>
      <c r="G398" s="27" t="n">
        <v>95</v>
      </c>
      <c r="H398" s="27" t="n">
        <v>95</v>
      </c>
      <c r="I398" s="27" t="n">
        <v>95</v>
      </c>
      <c r="J398" s="21" t="s">
        <v>556</v>
      </c>
      <c r="K398" s="27" t="n">
        <v>95</v>
      </c>
    </row>
    <row r="399" customFormat="false" ht="25" hidden="false" customHeight="false" outlineLevel="0" collapsed="false">
      <c r="A399" s="21" t="n">
        <v>11</v>
      </c>
      <c r="B399" s="21" t="n">
        <v>2022</v>
      </c>
      <c r="C399" s="26" t="n">
        <v>44721</v>
      </c>
      <c r="D399" s="21" t="s">
        <v>685</v>
      </c>
      <c r="E399" s="21" t="s">
        <v>681</v>
      </c>
      <c r="F399" s="21" t="s">
        <v>657</v>
      </c>
      <c r="G399" s="27" t="n">
        <v>60</v>
      </c>
      <c r="H399" s="27" t="n">
        <v>60</v>
      </c>
      <c r="I399" s="27" t="n">
        <v>60</v>
      </c>
      <c r="J399" s="21" t="s">
        <v>556</v>
      </c>
      <c r="K399" s="27" t="n">
        <v>60</v>
      </c>
    </row>
    <row r="400" customFormat="false" ht="25" hidden="false" customHeight="false" outlineLevel="0" collapsed="false">
      <c r="A400" s="21" t="n">
        <v>11</v>
      </c>
      <c r="B400" s="21" t="n">
        <v>2022</v>
      </c>
      <c r="C400" s="26" t="n">
        <v>44721</v>
      </c>
      <c r="D400" s="21" t="s">
        <v>685</v>
      </c>
      <c r="E400" s="21" t="s">
        <v>72</v>
      </c>
      <c r="F400" s="21" t="s">
        <v>657</v>
      </c>
      <c r="G400" s="27" t="n">
        <v>35</v>
      </c>
      <c r="H400" s="27" t="n">
        <v>35</v>
      </c>
      <c r="I400" s="27" t="n">
        <v>35</v>
      </c>
      <c r="J400" s="21" t="s">
        <v>556</v>
      </c>
      <c r="K400" s="27" t="n">
        <v>35</v>
      </c>
    </row>
    <row r="401" customFormat="false" ht="13.8" hidden="false" customHeight="false" outlineLevel="0" collapsed="false">
      <c r="A401" s="21" t="n">
        <v>11</v>
      </c>
      <c r="B401" s="21" t="n">
        <v>2022</v>
      </c>
      <c r="C401" s="26" t="n">
        <v>44721</v>
      </c>
      <c r="D401" s="21" t="s">
        <v>685</v>
      </c>
      <c r="E401" s="21" t="s">
        <v>35</v>
      </c>
      <c r="F401" s="21" t="s">
        <v>670</v>
      </c>
      <c r="G401" s="27" t="n">
        <v>2</v>
      </c>
      <c r="H401" s="27" t="n">
        <v>4</v>
      </c>
      <c r="I401" s="27" t="n">
        <v>3.38</v>
      </c>
      <c r="J401" s="27" t="n">
        <v>4</v>
      </c>
      <c r="K401" s="27" t="n">
        <v>3.75</v>
      </c>
    </row>
    <row r="402" customFormat="false" ht="13.8" hidden="false" customHeight="false" outlineLevel="0" collapsed="false">
      <c r="A402" s="21" t="n">
        <v>11</v>
      </c>
      <c r="B402" s="21" t="n">
        <v>2022</v>
      </c>
      <c r="C402" s="26" t="n">
        <v>44721</v>
      </c>
      <c r="D402" s="21" t="s">
        <v>685</v>
      </c>
      <c r="E402" s="21" t="s">
        <v>56</v>
      </c>
      <c r="F402" s="21" t="s">
        <v>660</v>
      </c>
      <c r="G402" s="27" t="n">
        <v>45</v>
      </c>
      <c r="H402" s="27" t="n">
        <v>70</v>
      </c>
      <c r="I402" s="27" t="n">
        <v>58.57</v>
      </c>
      <c r="J402" s="27" t="n">
        <v>55</v>
      </c>
      <c r="K402" s="27" t="n">
        <v>55</v>
      </c>
    </row>
    <row r="403" customFormat="false" ht="13.8" hidden="false" customHeight="false" outlineLevel="0" collapsed="false">
      <c r="A403" s="21" t="n">
        <v>11</v>
      </c>
      <c r="B403" s="21" t="n">
        <v>2022</v>
      </c>
      <c r="C403" s="26" t="n">
        <v>44721</v>
      </c>
      <c r="D403" s="21" t="s">
        <v>685</v>
      </c>
      <c r="E403" s="21" t="s">
        <v>57</v>
      </c>
      <c r="F403" s="21" t="s">
        <v>665</v>
      </c>
      <c r="G403" s="27" t="n">
        <v>45</v>
      </c>
      <c r="H403" s="27" t="n">
        <v>60</v>
      </c>
      <c r="I403" s="27" t="n">
        <v>50.71</v>
      </c>
      <c r="J403" s="27" t="n">
        <v>50</v>
      </c>
      <c r="K403" s="27" t="n">
        <v>50</v>
      </c>
    </row>
    <row r="404" customFormat="false" ht="25" hidden="false" customHeight="false" outlineLevel="0" collapsed="false">
      <c r="A404" s="21" t="n">
        <v>11</v>
      </c>
      <c r="B404" s="21" t="n">
        <v>2022</v>
      </c>
      <c r="C404" s="26" t="n">
        <v>44721</v>
      </c>
      <c r="D404" s="21" t="s">
        <v>685</v>
      </c>
      <c r="E404" s="21" t="s">
        <v>38</v>
      </c>
      <c r="F404" s="21" t="s">
        <v>682</v>
      </c>
      <c r="G404" s="27" t="n">
        <v>15</v>
      </c>
      <c r="H404" s="27" t="n">
        <v>25</v>
      </c>
      <c r="I404" s="27" t="n">
        <v>20</v>
      </c>
      <c r="J404" s="27" t="n">
        <v>20</v>
      </c>
      <c r="K404" s="27" t="n">
        <v>20</v>
      </c>
    </row>
    <row r="405" customFormat="false" ht="25" hidden="false" customHeight="false" outlineLevel="0" collapsed="false">
      <c r="A405" s="21" t="n">
        <v>11</v>
      </c>
      <c r="B405" s="21" t="n">
        <v>2022</v>
      </c>
      <c r="C405" s="26" t="n">
        <v>44721</v>
      </c>
      <c r="D405" s="21" t="s">
        <v>685</v>
      </c>
      <c r="E405" s="21" t="s">
        <v>666</v>
      </c>
      <c r="F405" s="21" t="s">
        <v>658</v>
      </c>
      <c r="G405" s="27" t="n">
        <v>24</v>
      </c>
      <c r="H405" s="27" t="n">
        <v>35</v>
      </c>
      <c r="I405" s="27" t="n">
        <v>28.25</v>
      </c>
      <c r="J405" s="27" t="n">
        <v>24</v>
      </c>
      <c r="K405" s="27" t="n">
        <v>27</v>
      </c>
    </row>
    <row r="406" customFormat="false" ht="13.8" hidden="false" customHeight="false" outlineLevel="0" collapsed="false">
      <c r="A406" s="21" t="n">
        <v>11</v>
      </c>
      <c r="B406" s="21" t="n">
        <v>2022</v>
      </c>
      <c r="C406" s="26" t="n">
        <v>44721</v>
      </c>
      <c r="D406" s="21" t="s">
        <v>685</v>
      </c>
      <c r="E406" s="21" t="s">
        <v>77</v>
      </c>
      <c r="F406" s="21" t="s">
        <v>658</v>
      </c>
      <c r="G406" s="27" t="n">
        <v>60</v>
      </c>
      <c r="H406" s="27" t="n">
        <v>75</v>
      </c>
      <c r="I406" s="27" t="n">
        <v>68.33</v>
      </c>
      <c r="J406" s="21" t="s">
        <v>556</v>
      </c>
      <c r="K406" s="27" t="n">
        <v>70</v>
      </c>
    </row>
    <row r="407" customFormat="false" ht="13.8" hidden="false" customHeight="false" outlineLevel="0" collapsed="false">
      <c r="A407" s="21" t="n">
        <v>11</v>
      </c>
      <c r="B407" s="21" t="n">
        <v>2022</v>
      </c>
      <c r="C407" s="26" t="n">
        <v>44721</v>
      </c>
      <c r="D407" s="21" t="s">
        <v>685</v>
      </c>
      <c r="E407" s="21" t="s">
        <v>27</v>
      </c>
      <c r="F407" s="21" t="s">
        <v>658</v>
      </c>
      <c r="G407" s="27" t="n">
        <v>30</v>
      </c>
      <c r="H407" s="27" t="n">
        <v>50</v>
      </c>
      <c r="I407" s="27" t="n">
        <v>40</v>
      </c>
      <c r="J407" s="21" t="s">
        <v>556</v>
      </c>
      <c r="K407" s="27" t="n">
        <v>40</v>
      </c>
    </row>
    <row r="408" customFormat="false" ht="13.8" hidden="false" customHeight="false" outlineLevel="0" collapsed="false">
      <c r="A408" s="21" t="n">
        <v>11</v>
      </c>
      <c r="B408" s="21" t="n">
        <v>2022</v>
      </c>
      <c r="C408" s="26" t="n">
        <v>44721</v>
      </c>
      <c r="D408" s="21" t="s">
        <v>685</v>
      </c>
      <c r="E408" s="21" t="s">
        <v>28</v>
      </c>
      <c r="F408" s="21" t="s">
        <v>658</v>
      </c>
      <c r="G408" s="27" t="n">
        <v>36</v>
      </c>
      <c r="H408" s="27" t="n">
        <v>54</v>
      </c>
      <c r="I408" s="27" t="n">
        <v>45</v>
      </c>
      <c r="J408" s="21" t="s">
        <v>556</v>
      </c>
      <c r="K408" s="27" t="n">
        <v>45</v>
      </c>
    </row>
    <row r="409" customFormat="false" ht="13.8" hidden="false" customHeight="false" outlineLevel="0" collapsed="false">
      <c r="A409" s="21" t="n">
        <v>11</v>
      </c>
      <c r="B409" s="21" t="n">
        <v>2022</v>
      </c>
      <c r="C409" s="26" t="n">
        <v>44721</v>
      </c>
      <c r="D409" s="21" t="s">
        <v>685</v>
      </c>
      <c r="E409" s="21" t="s">
        <v>73</v>
      </c>
      <c r="F409" s="21" t="s">
        <v>661</v>
      </c>
      <c r="G409" s="27" t="n">
        <v>45</v>
      </c>
      <c r="H409" s="27" t="n">
        <v>45</v>
      </c>
      <c r="I409" s="27" t="n">
        <v>45</v>
      </c>
      <c r="J409" s="21" t="s">
        <v>556</v>
      </c>
      <c r="K409" s="27" t="n">
        <v>45</v>
      </c>
    </row>
    <row r="410" customFormat="false" ht="13.8" hidden="false" customHeight="false" outlineLevel="0" collapsed="false">
      <c r="A410" s="21" t="n">
        <v>11</v>
      </c>
      <c r="B410" s="21" t="n">
        <v>2022</v>
      </c>
      <c r="C410" s="26" t="n">
        <v>44721</v>
      </c>
      <c r="D410" s="21" t="s">
        <v>685</v>
      </c>
      <c r="E410" s="21" t="s">
        <v>58</v>
      </c>
      <c r="F410" s="21" t="s">
        <v>657</v>
      </c>
      <c r="G410" s="27" t="n">
        <v>60</v>
      </c>
      <c r="H410" s="27" t="n">
        <v>90</v>
      </c>
      <c r="I410" s="27" t="n">
        <v>75</v>
      </c>
      <c r="J410" s="21" t="s">
        <v>556</v>
      </c>
      <c r="K410" s="27" t="n">
        <v>75</v>
      </c>
    </row>
    <row r="411" customFormat="false" ht="25" hidden="false" customHeight="false" outlineLevel="0" collapsed="false">
      <c r="A411" s="21" t="n">
        <v>11</v>
      </c>
      <c r="B411" s="21" t="n">
        <v>2022</v>
      </c>
      <c r="C411" s="26" t="n">
        <v>44721</v>
      </c>
      <c r="D411" s="21" t="s">
        <v>685</v>
      </c>
      <c r="E411" s="21" t="s">
        <v>74</v>
      </c>
      <c r="F411" s="21" t="s">
        <v>667</v>
      </c>
      <c r="G411" s="27" t="n">
        <v>25</v>
      </c>
      <c r="H411" s="27" t="n">
        <v>40</v>
      </c>
      <c r="I411" s="27" t="n">
        <v>35</v>
      </c>
      <c r="J411" s="27" t="n">
        <v>40</v>
      </c>
      <c r="K411" s="27" t="n">
        <v>40</v>
      </c>
    </row>
    <row r="412" customFormat="false" ht="25" hidden="false" customHeight="false" outlineLevel="0" collapsed="false">
      <c r="A412" s="21" t="n">
        <v>11</v>
      </c>
      <c r="B412" s="21" t="n">
        <v>2022</v>
      </c>
      <c r="C412" s="26" t="n">
        <v>44721</v>
      </c>
      <c r="D412" s="21" t="s">
        <v>685</v>
      </c>
      <c r="E412" s="21" t="s">
        <v>61</v>
      </c>
      <c r="F412" s="21" t="s">
        <v>657</v>
      </c>
      <c r="G412" s="27" t="n">
        <v>45</v>
      </c>
      <c r="H412" s="27" t="n">
        <v>70</v>
      </c>
      <c r="I412" s="27" t="n">
        <v>57</v>
      </c>
      <c r="J412" s="27" t="n">
        <v>60</v>
      </c>
      <c r="K412" s="27" t="n">
        <v>60</v>
      </c>
    </row>
    <row r="413" customFormat="false" ht="25" hidden="false" customHeight="false" outlineLevel="0" collapsed="false">
      <c r="A413" s="21" t="n">
        <v>11</v>
      </c>
      <c r="B413" s="21" t="n">
        <v>2022</v>
      </c>
      <c r="C413" s="26" t="n">
        <v>44721</v>
      </c>
      <c r="D413" s="21" t="s">
        <v>685</v>
      </c>
      <c r="E413" s="21" t="s">
        <v>683</v>
      </c>
      <c r="F413" s="21" t="s">
        <v>662</v>
      </c>
      <c r="G413" s="27" t="n">
        <v>80</v>
      </c>
      <c r="H413" s="27" t="n">
        <v>120</v>
      </c>
      <c r="I413" s="27" t="n">
        <v>108</v>
      </c>
      <c r="J413" s="27" t="n">
        <v>120</v>
      </c>
      <c r="K413" s="27" t="n">
        <v>110</v>
      </c>
    </row>
    <row r="414" customFormat="false" ht="25" hidden="false" customHeight="false" outlineLevel="0" collapsed="false">
      <c r="A414" s="21" t="n">
        <v>11</v>
      </c>
      <c r="B414" s="21" t="n">
        <v>2022</v>
      </c>
      <c r="C414" s="26" t="n">
        <v>44721</v>
      </c>
      <c r="D414" s="21" t="s">
        <v>685</v>
      </c>
      <c r="E414" s="21" t="s">
        <v>684</v>
      </c>
      <c r="F414" s="21" t="s">
        <v>661</v>
      </c>
      <c r="G414" s="27" t="n">
        <v>30</v>
      </c>
      <c r="H414" s="27" t="n">
        <v>60</v>
      </c>
      <c r="I414" s="27" t="n">
        <v>40.83</v>
      </c>
      <c r="J414" s="27" t="n">
        <v>40</v>
      </c>
      <c r="K414" s="27" t="n">
        <v>40</v>
      </c>
    </row>
    <row r="415" customFormat="false" ht="13.8" hidden="false" customHeight="false" outlineLevel="0" collapsed="false">
      <c r="A415" s="21" t="n">
        <v>11</v>
      </c>
      <c r="B415" s="21" t="n">
        <v>2022</v>
      </c>
      <c r="C415" s="26" t="n">
        <v>44721</v>
      </c>
      <c r="D415" s="21" t="s">
        <v>685</v>
      </c>
      <c r="E415" s="21" t="s">
        <v>64</v>
      </c>
      <c r="F415" s="21" t="s">
        <v>658</v>
      </c>
      <c r="G415" s="27" t="n">
        <v>120</v>
      </c>
      <c r="H415" s="27" t="n">
        <v>150</v>
      </c>
      <c r="I415" s="27" t="n">
        <v>130</v>
      </c>
      <c r="J415" s="27" t="n">
        <v>120</v>
      </c>
      <c r="K415" s="27" t="n">
        <v>125</v>
      </c>
    </row>
    <row r="416" customFormat="false" ht="13.8" hidden="false" customHeight="false" outlineLevel="0" collapsed="false">
      <c r="A416" s="21" t="n">
        <v>11</v>
      </c>
      <c r="B416" s="21" t="n">
        <v>2022</v>
      </c>
      <c r="C416" s="26" t="n">
        <v>44721</v>
      </c>
      <c r="D416" s="21" t="s">
        <v>685</v>
      </c>
      <c r="E416" s="21" t="s">
        <v>29</v>
      </c>
      <c r="F416" s="21" t="s">
        <v>658</v>
      </c>
      <c r="G416" s="27" t="n">
        <v>36</v>
      </c>
      <c r="H416" s="27" t="n">
        <v>54</v>
      </c>
      <c r="I416" s="27" t="n">
        <v>45</v>
      </c>
      <c r="J416" s="21" t="s">
        <v>556</v>
      </c>
      <c r="K416" s="27" t="n">
        <v>45</v>
      </c>
    </row>
    <row r="417" customFormat="false" ht="13.8" hidden="false" customHeight="false" outlineLevel="0" collapsed="false">
      <c r="A417" s="21" t="n">
        <v>11</v>
      </c>
      <c r="B417" s="21" t="n">
        <v>2022</v>
      </c>
      <c r="C417" s="26" t="n">
        <v>44721</v>
      </c>
      <c r="D417" s="21" t="s">
        <v>685</v>
      </c>
      <c r="E417" s="21" t="s">
        <v>31</v>
      </c>
      <c r="F417" s="21" t="s">
        <v>658</v>
      </c>
      <c r="G417" s="27" t="n">
        <v>60</v>
      </c>
      <c r="H417" s="27" t="n">
        <v>65</v>
      </c>
      <c r="I417" s="27" t="n">
        <v>61.25</v>
      </c>
      <c r="J417" s="27" t="n">
        <v>60</v>
      </c>
      <c r="K417" s="27" t="n">
        <v>60</v>
      </c>
    </row>
    <row r="418" customFormat="false" ht="25" hidden="false" customHeight="false" outlineLevel="0" collapsed="false">
      <c r="A418" s="21" t="n">
        <v>11</v>
      </c>
      <c r="B418" s="21" t="n">
        <v>2022</v>
      </c>
      <c r="C418" s="26" t="n">
        <v>44721</v>
      </c>
      <c r="D418" s="21" t="s">
        <v>685</v>
      </c>
      <c r="E418" s="21" t="s">
        <v>668</v>
      </c>
      <c r="F418" s="21" t="s">
        <v>658</v>
      </c>
      <c r="G418" s="27" t="n">
        <v>40</v>
      </c>
      <c r="H418" s="27" t="n">
        <v>65</v>
      </c>
      <c r="I418" s="27" t="n">
        <v>49</v>
      </c>
      <c r="J418" s="27" t="n">
        <v>50</v>
      </c>
      <c r="K418" s="27" t="n">
        <v>50</v>
      </c>
    </row>
    <row r="419" customFormat="false" ht="13.8" hidden="false" customHeight="false" outlineLevel="0" collapsed="false">
      <c r="A419" s="21" t="n">
        <v>11</v>
      </c>
      <c r="B419" s="21" t="n">
        <v>2022</v>
      </c>
      <c r="C419" s="26" t="n">
        <v>44721</v>
      </c>
      <c r="D419" s="21" t="s">
        <v>685</v>
      </c>
      <c r="E419" s="21" t="s">
        <v>33</v>
      </c>
      <c r="F419" s="21" t="s">
        <v>658</v>
      </c>
      <c r="G419" s="27" t="n">
        <v>30</v>
      </c>
      <c r="H419" s="27" t="n">
        <v>48</v>
      </c>
      <c r="I419" s="27" t="n">
        <v>38</v>
      </c>
      <c r="J419" s="21" t="s">
        <v>556</v>
      </c>
      <c r="K419" s="27" t="n">
        <v>36</v>
      </c>
    </row>
    <row r="420" customFormat="false" ht="25" hidden="false" customHeight="false" outlineLevel="0" collapsed="false">
      <c r="A420" s="21" t="n">
        <v>11</v>
      </c>
      <c r="B420" s="21" t="n">
        <v>2022</v>
      </c>
      <c r="C420" s="26" t="n">
        <v>44721</v>
      </c>
      <c r="D420" s="21" t="s">
        <v>685</v>
      </c>
      <c r="E420" s="21" t="s">
        <v>669</v>
      </c>
      <c r="F420" s="21" t="s">
        <v>682</v>
      </c>
      <c r="G420" s="27" t="n">
        <v>20</v>
      </c>
      <c r="H420" s="27" t="n">
        <v>25</v>
      </c>
      <c r="I420" s="27" t="n">
        <v>22.5</v>
      </c>
      <c r="J420" s="27" t="n">
        <v>20</v>
      </c>
      <c r="K420" s="27" t="n">
        <v>22.5</v>
      </c>
    </row>
    <row r="421" customFormat="false" ht="25" hidden="false" customHeight="false" outlineLevel="0" collapsed="false">
      <c r="A421" s="21" t="n">
        <v>11</v>
      </c>
      <c r="B421" s="21" t="n">
        <v>2022</v>
      </c>
      <c r="C421" s="26" t="n">
        <v>44721</v>
      </c>
      <c r="D421" s="21" t="s">
        <v>685</v>
      </c>
      <c r="E421" s="21" t="s">
        <v>67</v>
      </c>
      <c r="F421" s="21" t="s">
        <v>662</v>
      </c>
      <c r="G421" s="27" t="n">
        <v>80</v>
      </c>
      <c r="H421" s="27" t="n">
        <v>100</v>
      </c>
      <c r="I421" s="27" t="n">
        <v>92.14</v>
      </c>
      <c r="J421" s="27" t="n">
        <v>100</v>
      </c>
      <c r="K421" s="27" t="n">
        <v>90</v>
      </c>
    </row>
    <row r="422" customFormat="false" ht="25" hidden="false" customHeight="false" outlineLevel="0" collapsed="false">
      <c r="A422" s="21" t="n">
        <v>11</v>
      </c>
      <c r="B422" s="21" t="n">
        <v>2022</v>
      </c>
      <c r="C422" s="26" t="n">
        <v>44721</v>
      </c>
      <c r="D422" s="21" t="s">
        <v>685</v>
      </c>
      <c r="E422" s="21" t="s">
        <v>68</v>
      </c>
      <c r="F422" s="21" t="s">
        <v>657</v>
      </c>
      <c r="G422" s="27" t="n">
        <v>80</v>
      </c>
      <c r="H422" s="27" t="n">
        <v>120</v>
      </c>
      <c r="I422" s="27" t="n">
        <v>97</v>
      </c>
      <c r="J422" s="27" t="n">
        <v>100</v>
      </c>
      <c r="K422" s="27" t="n">
        <v>100</v>
      </c>
    </row>
    <row r="423" customFormat="false" ht="25" hidden="false" customHeight="false" outlineLevel="0" collapsed="false">
      <c r="A423" s="21" t="n">
        <v>12</v>
      </c>
      <c r="B423" s="21" t="n">
        <v>2022</v>
      </c>
      <c r="C423" s="26" t="n">
        <v>44728</v>
      </c>
      <c r="D423" s="21" t="s">
        <v>685</v>
      </c>
      <c r="E423" s="21" t="s">
        <v>656</v>
      </c>
      <c r="F423" s="21" t="s">
        <v>657</v>
      </c>
      <c r="G423" s="27" t="n">
        <v>80</v>
      </c>
      <c r="H423" s="27" t="n">
        <v>90</v>
      </c>
      <c r="I423" s="27" t="n">
        <v>82.14</v>
      </c>
      <c r="J423" s="27" t="n">
        <v>80</v>
      </c>
      <c r="K423" s="27" t="n">
        <v>80</v>
      </c>
    </row>
    <row r="424" customFormat="false" ht="13.8" hidden="false" customHeight="false" outlineLevel="0" collapsed="false">
      <c r="A424" s="21" t="n">
        <v>12</v>
      </c>
      <c r="B424" s="21" t="n">
        <v>2022</v>
      </c>
      <c r="C424" s="26" t="n">
        <v>44728</v>
      </c>
      <c r="D424" s="21" t="s">
        <v>685</v>
      </c>
      <c r="E424" s="21" t="s">
        <v>16</v>
      </c>
      <c r="F424" s="21" t="s">
        <v>658</v>
      </c>
      <c r="G424" s="27" t="n">
        <v>60</v>
      </c>
      <c r="H424" s="27" t="n">
        <v>60</v>
      </c>
      <c r="I424" s="27" t="n">
        <v>60</v>
      </c>
      <c r="J424" s="21" t="s">
        <v>556</v>
      </c>
      <c r="K424" s="27" t="n">
        <v>60</v>
      </c>
    </row>
    <row r="425" customFormat="false" ht="13.8" hidden="false" customHeight="false" outlineLevel="0" collapsed="false">
      <c r="A425" s="21" t="n">
        <v>12</v>
      </c>
      <c r="B425" s="21" t="n">
        <v>2022</v>
      </c>
      <c r="C425" s="26" t="n">
        <v>44728</v>
      </c>
      <c r="D425" s="21" t="s">
        <v>685</v>
      </c>
      <c r="E425" s="21" t="s">
        <v>18</v>
      </c>
      <c r="F425" s="21" t="s">
        <v>658</v>
      </c>
      <c r="G425" s="27" t="n">
        <v>60</v>
      </c>
      <c r="H425" s="27" t="n">
        <v>60</v>
      </c>
      <c r="I425" s="27" t="n">
        <v>60</v>
      </c>
      <c r="J425" s="21" t="s">
        <v>556</v>
      </c>
      <c r="K425" s="27" t="n">
        <v>60</v>
      </c>
    </row>
    <row r="426" customFormat="false" ht="25" hidden="false" customHeight="false" outlineLevel="0" collapsed="false">
      <c r="A426" s="21" t="n">
        <v>12</v>
      </c>
      <c r="B426" s="21" t="n">
        <v>2022</v>
      </c>
      <c r="C426" s="26" t="n">
        <v>44728</v>
      </c>
      <c r="D426" s="21" t="s">
        <v>685</v>
      </c>
      <c r="E426" s="21" t="s">
        <v>659</v>
      </c>
      <c r="F426" s="21" t="s">
        <v>658</v>
      </c>
      <c r="G426" s="27" t="n">
        <v>40</v>
      </c>
      <c r="H426" s="27" t="n">
        <v>40</v>
      </c>
      <c r="I426" s="27" t="n">
        <v>40</v>
      </c>
      <c r="J426" s="21" t="s">
        <v>556</v>
      </c>
      <c r="K426" s="27" t="n">
        <v>40</v>
      </c>
    </row>
    <row r="427" customFormat="false" ht="13.8" hidden="false" customHeight="false" outlineLevel="0" collapsed="false">
      <c r="A427" s="21" t="n">
        <v>12</v>
      </c>
      <c r="B427" s="21" t="n">
        <v>2022</v>
      </c>
      <c r="C427" s="26" t="n">
        <v>44728</v>
      </c>
      <c r="D427" s="21" t="s">
        <v>685</v>
      </c>
      <c r="E427" s="21" t="s">
        <v>20</v>
      </c>
      <c r="F427" s="21" t="s">
        <v>658</v>
      </c>
      <c r="G427" s="27" t="n">
        <v>25</v>
      </c>
      <c r="H427" s="27" t="n">
        <v>25</v>
      </c>
      <c r="I427" s="27" t="n">
        <v>25</v>
      </c>
      <c r="J427" s="21" t="s">
        <v>556</v>
      </c>
      <c r="K427" s="27" t="n">
        <v>25</v>
      </c>
    </row>
    <row r="428" customFormat="false" ht="13.8" hidden="false" customHeight="false" outlineLevel="0" collapsed="false">
      <c r="A428" s="21" t="n">
        <v>12</v>
      </c>
      <c r="B428" s="21" t="n">
        <v>2022</v>
      </c>
      <c r="C428" s="26" t="n">
        <v>44728</v>
      </c>
      <c r="D428" s="21" t="s">
        <v>685</v>
      </c>
      <c r="E428" s="21" t="s">
        <v>21</v>
      </c>
      <c r="F428" s="21" t="s">
        <v>658</v>
      </c>
      <c r="G428" s="27" t="n">
        <v>25</v>
      </c>
      <c r="H428" s="27" t="n">
        <v>25</v>
      </c>
      <c r="I428" s="27" t="n">
        <v>25</v>
      </c>
      <c r="J428" s="21" t="s">
        <v>556</v>
      </c>
      <c r="K428" s="27" t="n">
        <v>25</v>
      </c>
    </row>
    <row r="429" customFormat="false" ht="13.8" hidden="false" customHeight="false" outlineLevel="0" collapsed="false">
      <c r="A429" s="21" t="n">
        <v>12</v>
      </c>
      <c r="B429" s="21" t="n">
        <v>2022</v>
      </c>
      <c r="C429" s="26" t="n">
        <v>44728</v>
      </c>
      <c r="D429" s="21" t="s">
        <v>685</v>
      </c>
      <c r="E429" s="21" t="s">
        <v>22</v>
      </c>
      <c r="F429" s="21" t="s">
        <v>658</v>
      </c>
      <c r="G429" s="27" t="n">
        <v>42</v>
      </c>
      <c r="H429" s="27" t="n">
        <v>42</v>
      </c>
      <c r="I429" s="27" t="n">
        <v>42</v>
      </c>
      <c r="J429" s="21" t="s">
        <v>556</v>
      </c>
      <c r="K429" s="27" t="n">
        <v>42</v>
      </c>
    </row>
    <row r="430" customFormat="false" ht="13.8" hidden="false" customHeight="false" outlineLevel="0" collapsed="false">
      <c r="A430" s="21" t="n">
        <v>12</v>
      </c>
      <c r="B430" s="21" t="n">
        <v>2022</v>
      </c>
      <c r="C430" s="26" t="n">
        <v>44728</v>
      </c>
      <c r="D430" s="21" t="s">
        <v>685</v>
      </c>
      <c r="E430" s="21" t="s">
        <v>46</v>
      </c>
      <c r="F430" s="21" t="s">
        <v>660</v>
      </c>
      <c r="G430" s="27" t="n">
        <v>30</v>
      </c>
      <c r="H430" s="27" t="n">
        <v>60</v>
      </c>
      <c r="I430" s="27" t="n">
        <v>46.11</v>
      </c>
      <c r="J430" s="27" t="n">
        <v>30</v>
      </c>
      <c r="K430" s="27" t="n">
        <v>50</v>
      </c>
    </row>
    <row r="431" customFormat="false" ht="25" hidden="false" customHeight="false" outlineLevel="0" collapsed="false">
      <c r="A431" s="21" t="n">
        <v>12</v>
      </c>
      <c r="B431" s="21" t="n">
        <v>2022</v>
      </c>
      <c r="C431" s="26" t="n">
        <v>44728</v>
      </c>
      <c r="D431" s="21" t="s">
        <v>685</v>
      </c>
      <c r="E431" s="21" t="s">
        <v>48</v>
      </c>
      <c r="F431" s="21" t="s">
        <v>661</v>
      </c>
      <c r="G431" s="27" t="n">
        <v>25</v>
      </c>
      <c r="H431" s="27" t="n">
        <v>60</v>
      </c>
      <c r="I431" s="27" t="n">
        <v>42.78</v>
      </c>
      <c r="J431" s="27" t="n">
        <v>50</v>
      </c>
      <c r="K431" s="27" t="n">
        <v>45</v>
      </c>
    </row>
    <row r="432" customFormat="false" ht="25" hidden="false" customHeight="false" outlineLevel="0" collapsed="false">
      <c r="A432" s="21" t="n">
        <v>12</v>
      </c>
      <c r="B432" s="21" t="n">
        <v>2022</v>
      </c>
      <c r="C432" s="26" t="n">
        <v>44728</v>
      </c>
      <c r="D432" s="21" t="s">
        <v>685</v>
      </c>
      <c r="E432" s="21" t="s">
        <v>52</v>
      </c>
      <c r="F432" s="21" t="s">
        <v>661</v>
      </c>
      <c r="G432" s="27" t="n">
        <v>100</v>
      </c>
      <c r="H432" s="27" t="n">
        <v>130</v>
      </c>
      <c r="I432" s="27" t="n">
        <v>115</v>
      </c>
      <c r="J432" s="21" t="s">
        <v>556</v>
      </c>
      <c r="K432" s="27" t="n">
        <v>115</v>
      </c>
    </row>
    <row r="433" customFormat="false" ht="13.8" hidden="false" customHeight="false" outlineLevel="0" collapsed="false">
      <c r="A433" s="21" t="n">
        <v>12</v>
      </c>
      <c r="B433" s="21" t="n">
        <v>2022</v>
      </c>
      <c r="C433" s="26" t="n">
        <v>44728</v>
      </c>
      <c r="D433" s="21" t="s">
        <v>685</v>
      </c>
      <c r="E433" s="21" t="s">
        <v>53</v>
      </c>
      <c r="F433" s="21" t="s">
        <v>662</v>
      </c>
      <c r="G433" s="27" t="n">
        <v>50</v>
      </c>
      <c r="H433" s="27" t="n">
        <v>60</v>
      </c>
      <c r="I433" s="27" t="n">
        <v>56.88</v>
      </c>
      <c r="J433" s="27" t="n">
        <v>60</v>
      </c>
      <c r="K433" s="27" t="n">
        <v>60</v>
      </c>
    </row>
    <row r="434" customFormat="false" ht="36.5" hidden="false" customHeight="false" outlineLevel="0" collapsed="false">
      <c r="A434" s="21" t="n">
        <v>12</v>
      </c>
      <c r="B434" s="21" t="n">
        <v>2022</v>
      </c>
      <c r="C434" s="26" t="n">
        <v>44728</v>
      </c>
      <c r="D434" s="21" t="s">
        <v>685</v>
      </c>
      <c r="E434" s="21" t="s">
        <v>663</v>
      </c>
      <c r="F434" s="21" t="s">
        <v>658</v>
      </c>
      <c r="G434" s="27" t="n">
        <v>50</v>
      </c>
      <c r="H434" s="27" t="n">
        <v>72</v>
      </c>
      <c r="I434" s="27" t="n">
        <v>60.67</v>
      </c>
      <c r="J434" s="21" t="s">
        <v>556</v>
      </c>
      <c r="K434" s="27" t="n">
        <v>60</v>
      </c>
    </row>
    <row r="435" customFormat="false" ht="25" hidden="false" customHeight="false" outlineLevel="0" collapsed="false">
      <c r="A435" s="21" t="n">
        <v>12</v>
      </c>
      <c r="B435" s="21" t="n">
        <v>2022</v>
      </c>
      <c r="C435" s="26" t="n">
        <v>44728</v>
      </c>
      <c r="D435" s="21" t="s">
        <v>685</v>
      </c>
      <c r="E435" s="21" t="s">
        <v>24</v>
      </c>
      <c r="F435" s="21" t="s">
        <v>658</v>
      </c>
      <c r="G435" s="27" t="n">
        <v>84</v>
      </c>
      <c r="H435" s="27" t="n">
        <v>84</v>
      </c>
      <c r="I435" s="27" t="n">
        <v>84</v>
      </c>
      <c r="J435" s="21" t="s">
        <v>556</v>
      </c>
      <c r="K435" s="27" t="n">
        <v>84</v>
      </c>
    </row>
    <row r="436" customFormat="false" ht="13.8" hidden="false" customHeight="false" outlineLevel="0" collapsed="false">
      <c r="A436" s="21" t="n">
        <v>12</v>
      </c>
      <c r="B436" s="21" t="n">
        <v>2022</v>
      </c>
      <c r="C436" s="26" t="n">
        <v>44728</v>
      </c>
      <c r="D436" s="21" t="s">
        <v>685</v>
      </c>
      <c r="E436" s="21" t="s">
        <v>70</v>
      </c>
      <c r="F436" s="21" t="s">
        <v>657</v>
      </c>
      <c r="G436" s="27" t="n">
        <v>95</v>
      </c>
      <c r="H436" s="27" t="n">
        <v>95</v>
      </c>
      <c r="I436" s="27" t="n">
        <v>95</v>
      </c>
      <c r="J436" s="21" t="s">
        <v>556</v>
      </c>
      <c r="K436" s="27" t="n">
        <v>95</v>
      </c>
    </row>
    <row r="437" customFormat="false" ht="25" hidden="false" customHeight="false" outlineLevel="0" collapsed="false">
      <c r="A437" s="21" t="n">
        <v>12</v>
      </c>
      <c r="B437" s="21" t="n">
        <v>2022</v>
      </c>
      <c r="C437" s="26" t="n">
        <v>44728</v>
      </c>
      <c r="D437" s="21" t="s">
        <v>685</v>
      </c>
      <c r="E437" s="21" t="s">
        <v>681</v>
      </c>
      <c r="F437" s="21" t="s">
        <v>657</v>
      </c>
      <c r="G437" s="27" t="n">
        <v>60</v>
      </c>
      <c r="H437" s="27" t="n">
        <v>68</v>
      </c>
      <c r="I437" s="27" t="n">
        <v>64</v>
      </c>
      <c r="J437" s="21" t="s">
        <v>556</v>
      </c>
      <c r="K437" s="27" t="n">
        <v>64</v>
      </c>
    </row>
    <row r="438" customFormat="false" ht="25" hidden="false" customHeight="false" outlineLevel="0" collapsed="false">
      <c r="A438" s="21" t="n">
        <v>12</v>
      </c>
      <c r="B438" s="21" t="n">
        <v>2022</v>
      </c>
      <c r="C438" s="26" t="n">
        <v>44728</v>
      </c>
      <c r="D438" s="21" t="s">
        <v>685</v>
      </c>
      <c r="E438" s="21" t="s">
        <v>72</v>
      </c>
      <c r="F438" s="21" t="s">
        <v>657</v>
      </c>
      <c r="G438" s="27" t="n">
        <v>35</v>
      </c>
      <c r="H438" s="27" t="n">
        <v>37</v>
      </c>
      <c r="I438" s="27" t="n">
        <v>36</v>
      </c>
      <c r="J438" s="21" t="s">
        <v>556</v>
      </c>
      <c r="K438" s="27" t="n">
        <v>36</v>
      </c>
    </row>
    <row r="439" customFormat="false" ht="13.8" hidden="false" customHeight="false" outlineLevel="0" collapsed="false">
      <c r="A439" s="21" t="n">
        <v>12</v>
      </c>
      <c r="B439" s="21" t="n">
        <v>2022</v>
      </c>
      <c r="C439" s="26" t="n">
        <v>44728</v>
      </c>
      <c r="D439" s="21" t="s">
        <v>685</v>
      </c>
      <c r="E439" s="21" t="s">
        <v>35</v>
      </c>
      <c r="F439" s="21" t="s">
        <v>670</v>
      </c>
      <c r="G439" s="27" t="n">
        <v>4</v>
      </c>
      <c r="H439" s="27" t="n">
        <v>4</v>
      </c>
      <c r="I439" s="27" t="n">
        <v>4</v>
      </c>
      <c r="J439" s="21" t="s">
        <v>556</v>
      </c>
      <c r="K439" s="27" t="n">
        <v>4</v>
      </c>
    </row>
    <row r="440" customFormat="false" ht="13.8" hidden="false" customHeight="false" outlineLevel="0" collapsed="false">
      <c r="A440" s="21" t="n">
        <v>12</v>
      </c>
      <c r="B440" s="21" t="n">
        <v>2022</v>
      </c>
      <c r="C440" s="26" t="n">
        <v>44728</v>
      </c>
      <c r="D440" s="21" t="s">
        <v>685</v>
      </c>
      <c r="E440" s="21" t="s">
        <v>56</v>
      </c>
      <c r="F440" s="21" t="s">
        <v>660</v>
      </c>
      <c r="G440" s="27" t="n">
        <v>40</v>
      </c>
      <c r="H440" s="27" t="n">
        <v>70</v>
      </c>
      <c r="I440" s="27" t="n">
        <v>54.44</v>
      </c>
      <c r="J440" s="27" t="n">
        <v>60</v>
      </c>
      <c r="K440" s="27" t="n">
        <v>55</v>
      </c>
    </row>
    <row r="441" customFormat="false" ht="13.8" hidden="false" customHeight="false" outlineLevel="0" collapsed="false">
      <c r="A441" s="21" t="n">
        <v>12</v>
      </c>
      <c r="B441" s="21" t="n">
        <v>2022</v>
      </c>
      <c r="C441" s="26" t="n">
        <v>44728</v>
      </c>
      <c r="D441" s="21" t="s">
        <v>685</v>
      </c>
      <c r="E441" s="21" t="s">
        <v>57</v>
      </c>
      <c r="F441" s="21" t="s">
        <v>665</v>
      </c>
      <c r="G441" s="27" t="n">
        <v>45</v>
      </c>
      <c r="H441" s="27" t="n">
        <v>60</v>
      </c>
      <c r="I441" s="27" t="n">
        <v>53.75</v>
      </c>
      <c r="J441" s="27" t="n">
        <v>60</v>
      </c>
      <c r="K441" s="27" t="n">
        <v>52.5</v>
      </c>
    </row>
    <row r="442" customFormat="false" ht="25" hidden="false" customHeight="false" outlineLevel="0" collapsed="false">
      <c r="A442" s="21" t="n">
        <v>12</v>
      </c>
      <c r="B442" s="21" t="n">
        <v>2022</v>
      </c>
      <c r="C442" s="26" t="n">
        <v>44728</v>
      </c>
      <c r="D442" s="21" t="s">
        <v>685</v>
      </c>
      <c r="E442" s="21" t="s">
        <v>38</v>
      </c>
      <c r="F442" s="21" t="s">
        <v>682</v>
      </c>
      <c r="G442" s="27" t="n">
        <v>20</v>
      </c>
      <c r="H442" s="27" t="n">
        <v>20</v>
      </c>
      <c r="I442" s="27" t="n">
        <v>20</v>
      </c>
      <c r="J442" s="21" t="s">
        <v>556</v>
      </c>
      <c r="K442" s="27" t="n">
        <v>20</v>
      </c>
    </row>
    <row r="443" customFormat="false" ht="25" hidden="false" customHeight="false" outlineLevel="0" collapsed="false">
      <c r="A443" s="21" t="n">
        <v>12</v>
      </c>
      <c r="B443" s="21" t="n">
        <v>2022</v>
      </c>
      <c r="C443" s="26" t="n">
        <v>44728</v>
      </c>
      <c r="D443" s="21" t="s">
        <v>685</v>
      </c>
      <c r="E443" s="21" t="s">
        <v>666</v>
      </c>
      <c r="F443" s="21" t="s">
        <v>658</v>
      </c>
      <c r="G443" s="27" t="n">
        <v>20</v>
      </c>
      <c r="H443" s="27" t="n">
        <v>36</v>
      </c>
      <c r="I443" s="27" t="n">
        <v>28</v>
      </c>
      <c r="J443" s="21" t="s">
        <v>556</v>
      </c>
      <c r="K443" s="27" t="n">
        <v>28</v>
      </c>
    </row>
    <row r="444" customFormat="false" ht="13.8" hidden="false" customHeight="false" outlineLevel="0" collapsed="false">
      <c r="A444" s="21" t="n">
        <v>12</v>
      </c>
      <c r="B444" s="21" t="n">
        <v>2022</v>
      </c>
      <c r="C444" s="26" t="n">
        <v>44728</v>
      </c>
      <c r="D444" s="21" t="s">
        <v>685</v>
      </c>
      <c r="E444" s="21" t="s">
        <v>77</v>
      </c>
      <c r="F444" s="21" t="s">
        <v>658</v>
      </c>
      <c r="G444" s="27" t="n">
        <v>65</v>
      </c>
      <c r="H444" s="27" t="n">
        <v>84</v>
      </c>
      <c r="I444" s="27" t="n">
        <v>76.33</v>
      </c>
      <c r="J444" s="21" t="s">
        <v>556</v>
      </c>
      <c r="K444" s="27" t="n">
        <v>80</v>
      </c>
    </row>
    <row r="445" customFormat="false" ht="13.8" hidden="false" customHeight="false" outlineLevel="0" collapsed="false">
      <c r="A445" s="21" t="n">
        <v>12</v>
      </c>
      <c r="B445" s="21" t="n">
        <v>2022</v>
      </c>
      <c r="C445" s="26" t="n">
        <v>44728</v>
      </c>
      <c r="D445" s="21" t="s">
        <v>685</v>
      </c>
      <c r="E445" s="21" t="s">
        <v>27</v>
      </c>
      <c r="F445" s="21" t="s">
        <v>658</v>
      </c>
      <c r="G445" s="27" t="n">
        <v>25</v>
      </c>
      <c r="H445" s="27" t="n">
        <v>25</v>
      </c>
      <c r="I445" s="27" t="n">
        <v>25</v>
      </c>
      <c r="J445" s="21" t="s">
        <v>556</v>
      </c>
      <c r="K445" s="27" t="n">
        <v>25</v>
      </c>
    </row>
    <row r="446" customFormat="false" ht="13.8" hidden="false" customHeight="false" outlineLevel="0" collapsed="false">
      <c r="A446" s="21" t="n">
        <v>12</v>
      </c>
      <c r="B446" s="21" t="n">
        <v>2022</v>
      </c>
      <c r="C446" s="26" t="n">
        <v>44728</v>
      </c>
      <c r="D446" s="21" t="s">
        <v>685</v>
      </c>
      <c r="E446" s="21" t="s">
        <v>28</v>
      </c>
      <c r="F446" s="21" t="s">
        <v>658</v>
      </c>
      <c r="G446" s="27" t="n">
        <v>60</v>
      </c>
      <c r="H446" s="27" t="n">
        <v>60</v>
      </c>
      <c r="I446" s="27" t="n">
        <v>60</v>
      </c>
      <c r="J446" s="21" t="s">
        <v>556</v>
      </c>
      <c r="K446" s="27" t="n">
        <v>60</v>
      </c>
    </row>
    <row r="447" customFormat="false" ht="13.8" hidden="false" customHeight="false" outlineLevel="0" collapsed="false">
      <c r="A447" s="21" t="n">
        <v>12</v>
      </c>
      <c r="B447" s="21" t="n">
        <v>2022</v>
      </c>
      <c r="C447" s="26" t="n">
        <v>44728</v>
      </c>
      <c r="D447" s="21" t="s">
        <v>685</v>
      </c>
      <c r="E447" s="21" t="s">
        <v>73</v>
      </c>
      <c r="F447" s="21" t="s">
        <v>661</v>
      </c>
      <c r="G447" s="27" t="n">
        <v>43</v>
      </c>
      <c r="H447" s="27" t="n">
        <v>43</v>
      </c>
      <c r="I447" s="27" t="n">
        <v>43</v>
      </c>
      <c r="J447" s="21" t="s">
        <v>556</v>
      </c>
      <c r="K447" s="27" t="n">
        <v>43</v>
      </c>
    </row>
    <row r="448" customFormat="false" ht="13.8" hidden="false" customHeight="false" outlineLevel="0" collapsed="false">
      <c r="A448" s="21" t="n">
        <v>12</v>
      </c>
      <c r="B448" s="21" t="n">
        <v>2022</v>
      </c>
      <c r="C448" s="26" t="n">
        <v>44728</v>
      </c>
      <c r="D448" s="21" t="s">
        <v>685</v>
      </c>
      <c r="E448" s="21" t="s">
        <v>58</v>
      </c>
      <c r="F448" s="21" t="s">
        <v>657</v>
      </c>
      <c r="G448" s="27" t="n">
        <v>60</v>
      </c>
      <c r="H448" s="27" t="n">
        <v>90</v>
      </c>
      <c r="I448" s="27" t="n">
        <v>73.89</v>
      </c>
      <c r="J448" s="27" t="n">
        <v>70</v>
      </c>
      <c r="K448" s="27" t="n">
        <v>70</v>
      </c>
    </row>
    <row r="449" customFormat="false" ht="25" hidden="false" customHeight="false" outlineLevel="0" collapsed="false">
      <c r="A449" s="21" t="n">
        <v>12</v>
      </c>
      <c r="B449" s="21" t="n">
        <v>2022</v>
      </c>
      <c r="C449" s="26" t="n">
        <v>44728</v>
      </c>
      <c r="D449" s="21" t="s">
        <v>685</v>
      </c>
      <c r="E449" s="21" t="s">
        <v>74</v>
      </c>
      <c r="F449" s="21" t="s">
        <v>667</v>
      </c>
      <c r="G449" s="27" t="n">
        <v>37</v>
      </c>
      <c r="H449" s="27" t="n">
        <v>45</v>
      </c>
      <c r="I449" s="27" t="n">
        <v>40.67</v>
      </c>
      <c r="J449" s="21" t="s">
        <v>556</v>
      </c>
      <c r="K449" s="27" t="n">
        <v>40</v>
      </c>
    </row>
    <row r="450" customFormat="false" ht="25" hidden="false" customHeight="false" outlineLevel="0" collapsed="false">
      <c r="A450" s="21" t="n">
        <v>12</v>
      </c>
      <c r="B450" s="21" t="n">
        <v>2022</v>
      </c>
      <c r="C450" s="26" t="n">
        <v>44728</v>
      </c>
      <c r="D450" s="21" t="s">
        <v>685</v>
      </c>
      <c r="E450" s="21" t="s">
        <v>61</v>
      </c>
      <c r="F450" s="21" t="s">
        <v>657</v>
      </c>
      <c r="G450" s="27" t="n">
        <v>60</v>
      </c>
      <c r="H450" s="27" t="n">
        <v>70</v>
      </c>
      <c r="I450" s="27" t="n">
        <v>61.43</v>
      </c>
      <c r="J450" s="27" t="n">
        <v>60</v>
      </c>
      <c r="K450" s="27" t="n">
        <v>60</v>
      </c>
    </row>
    <row r="451" customFormat="false" ht="25" hidden="false" customHeight="false" outlineLevel="0" collapsed="false">
      <c r="A451" s="21" t="n">
        <v>12</v>
      </c>
      <c r="B451" s="21" t="n">
        <v>2022</v>
      </c>
      <c r="C451" s="26" t="n">
        <v>44728</v>
      </c>
      <c r="D451" s="21" t="s">
        <v>685</v>
      </c>
      <c r="E451" s="21" t="s">
        <v>62</v>
      </c>
      <c r="F451" s="21" t="s">
        <v>662</v>
      </c>
      <c r="G451" s="27" t="n">
        <v>80</v>
      </c>
      <c r="H451" s="27" t="n">
        <v>120</v>
      </c>
      <c r="I451" s="27" t="n">
        <v>103.75</v>
      </c>
      <c r="J451" s="27" t="n">
        <v>100</v>
      </c>
      <c r="K451" s="27" t="n">
        <v>100</v>
      </c>
    </row>
    <row r="452" customFormat="false" ht="25" hidden="false" customHeight="false" outlineLevel="0" collapsed="false">
      <c r="A452" s="21" t="n">
        <v>12</v>
      </c>
      <c r="B452" s="21" t="n">
        <v>2022</v>
      </c>
      <c r="C452" s="26" t="n">
        <v>44728</v>
      </c>
      <c r="D452" s="21" t="s">
        <v>685</v>
      </c>
      <c r="E452" s="21" t="s">
        <v>63</v>
      </c>
      <c r="F452" s="21" t="s">
        <v>661</v>
      </c>
      <c r="G452" s="27" t="n">
        <v>25</v>
      </c>
      <c r="H452" s="27" t="n">
        <v>60</v>
      </c>
      <c r="I452" s="27" t="n">
        <v>42.22</v>
      </c>
      <c r="J452" s="27" t="n">
        <v>40</v>
      </c>
      <c r="K452" s="27" t="n">
        <v>40</v>
      </c>
    </row>
    <row r="453" customFormat="false" ht="13.8" hidden="false" customHeight="false" outlineLevel="0" collapsed="false">
      <c r="A453" s="21" t="n">
        <v>12</v>
      </c>
      <c r="B453" s="21" t="n">
        <v>2022</v>
      </c>
      <c r="C453" s="26" t="n">
        <v>44728</v>
      </c>
      <c r="D453" s="21" t="s">
        <v>685</v>
      </c>
      <c r="E453" s="21" t="s">
        <v>64</v>
      </c>
      <c r="F453" s="21" t="s">
        <v>658</v>
      </c>
      <c r="G453" s="27" t="n">
        <v>80</v>
      </c>
      <c r="H453" s="27" t="n">
        <v>170</v>
      </c>
      <c r="I453" s="27" t="n">
        <v>125</v>
      </c>
      <c r="J453" s="27" t="n">
        <v>120</v>
      </c>
      <c r="K453" s="27" t="n">
        <v>120</v>
      </c>
    </row>
    <row r="454" customFormat="false" ht="13.8" hidden="false" customHeight="false" outlineLevel="0" collapsed="false">
      <c r="A454" s="21" t="n">
        <v>12</v>
      </c>
      <c r="B454" s="21" t="n">
        <v>2022</v>
      </c>
      <c r="C454" s="26" t="n">
        <v>44728</v>
      </c>
      <c r="D454" s="21" t="s">
        <v>685</v>
      </c>
      <c r="E454" s="21" t="s">
        <v>29</v>
      </c>
      <c r="F454" s="21" t="s">
        <v>658</v>
      </c>
      <c r="G454" s="27" t="n">
        <v>42</v>
      </c>
      <c r="H454" s="27" t="n">
        <v>42</v>
      </c>
      <c r="I454" s="27" t="n">
        <v>42</v>
      </c>
      <c r="J454" s="21" t="s">
        <v>556</v>
      </c>
      <c r="K454" s="27" t="n">
        <v>42</v>
      </c>
    </row>
    <row r="455" customFormat="false" ht="13.8" hidden="false" customHeight="false" outlineLevel="0" collapsed="false">
      <c r="A455" s="21" t="n">
        <v>12</v>
      </c>
      <c r="B455" s="21" t="n">
        <v>2022</v>
      </c>
      <c r="C455" s="26" t="n">
        <v>44728</v>
      </c>
      <c r="D455" s="21" t="s">
        <v>685</v>
      </c>
      <c r="E455" s="21" t="s">
        <v>31</v>
      </c>
      <c r="F455" s="21" t="s">
        <v>658</v>
      </c>
      <c r="G455" s="27" t="n">
        <v>50</v>
      </c>
      <c r="H455" s="27" t="n">
        <v>65</v>
      </c>
      <c r="I455" s="27" t="n">
        <v>58.75</v>
      </c>
      <c r="J455" s="27" t="n">
        <v>60</v>
      </c>
      <c r="K455" s="27" t="n">
        <v>60</v>
      </c>
    </row>
    <row r="456" customFormat="false" ht="25" hidden="false" customHeight="false" outlineLevel="0" collapsed="false">
      <c r="A456" s="21" t="n">
        <v>12</v>
      </c>
      <c r="B456" s="21" t="n">
        <v>2022</v>
      </c>
      <c r="C456" s="26" t="n">
        <v>44728</v>
      </c>
      <c r="D456" s="21" t="s">
        <v>685</v>
      </c>
      <c r="E456" s="21" t="s">
        <v>668</v>
      </c>
      <c r="F456" s="21" t="s">
        <v>658</v>
      </c>
      <c r="G456" s="27" t="n">
        <v>50</v>
      </c>
      <c r="H456" s="27" t="n">
        <v>60</v>
      </c>
      <c r="I456" s="27" t="n">
        <v>54</v>
      </c>
      <c r="J456" s="27" t="n">
        <v>50</v>
      </c>
      <c r="K456" s="27" t="n">
        <v>55</v>
      </c>
    </row>
    <row r="457" customFormat="false" ht="13.8" hidden="false" customHeight="false" outlineLevel="0" collapsed="false">
      <c r="A457" s="21" t="n">
        <v>12</v>
      </c>
      <c r="B457" s="21" t="n">
        <v>2022</v>
      </c>
      <c r="C457" s="26" t="n">
        <v>44728</v>
      </c>
      <c r="D457" s="21" t="s">
        <v>685</v>
      </c>
      <c r="E457" s="21" t="s">
        <v>33</v>
      </c>
      <c r="F457" s="21" t="s">
        <v>658</v>
      </c>
      <c r="G457" s="27" t="n">
        <v>48</v>
      </c>
      <c r="H457" s="27" t="n">
        <v>48</v>
      </c>
      <c r="I457" s="27" t="n">
        <v>48</v>
      </c>
      <c r="J457" s="21" t="s">
        <v>556</v>
      </c>
      <c r="K457" s="27" t="n">
        <v>48</v>
      </c>
    </row>
    <row r="458" customFormat="false" ht="25" hidden="false" customHeight="false" outlineLevel="0" collapsed="false">
      <c r="A458" s="21" t="n">
        <v>12</v>
      </c>
      <c r="B458" s="21" t="n">
        <v>2022</v>
      </c>
      <c r="C458" s="26" t="n">
        <v>44728</v>
      </c>
      <c r="D458" s="21" t="s">
        <v>685</v>
      </c>
      <c r="E458" s="21" t="s">
        <v>669</v>
      </c>
      <c r="F458" s="21" t="s">
        <v>682</v>
      </c>
      <c r="G458" s="27" t="n">
        <v>30</v>
      </c>
      <c r="H458" s="27" t="n">
        <v>30</v>
      </c>
      <c r="I458" s="27" t="n">
        <v>30</v>
      </c>
      <c r="J458" s="21" t="s">
        <v>556</v>
      </c>
      <c r="K458" s="27" t="n">
        <v>30</v>
      </c>
    </row>
    <row r="459" customFormat="false" ht="25" hidden="false" customHeight="false" outlineLevel="0" collapsed="false">
      <c r="A459" s="21" t="n">
        <v>12</v>
      </c>
      <c r="B459" s="21" t="n">
        <v>2022</v>
      </c>
      <c r="C459" s="26" t="n">
        <v>44728</v>
      </c>
      <c r="D459" s="21" t="s">
        <v>685</v>
      </c>
      <c r="E459" s="21" t="s">
        <v>67</v>
      </c>
      <c r="F459" s="21" t="s">
        <v>662</v>
      </c>
      <c r="G459" s="27" t="n">
        <v>50</v>
      </c>
      <c r="H459" s="27" t="n">
        <v>80</v>
      </c>
      <c r="I459" s="27" t="n">
        <v>71.11</v>
      </c>
      <c r="J459" s="27" t="n">
        <v>70</v>
      </c>
      <c r="K459" s="27" t="n">
        <v>70</v>
      </c>
    </row>
    <row r="460" customFormat="false" ht="25" hidden="false" customHeight="false" outlineLevel="0" collapsed="false">
      <c r="A460" s="21" t="n">
        <v>12</v>
      </c>
      <c r="B460" s="21" t="n">
        <v>2022</v>
      </c>
      <c r="C460" s="26" t="n">
        <v>44728</v>
      </c>
      <c r="D460" s="21" t="s">
        <v>685</v>
      </c>
      <c r="E460" s="21" t="s">
        <v>68</v>
      </c>
      <c r="F460" s="21" t="s">
        <v>657</v>
      </c>
      <c r="G460" s="27" t="n">
        <v>100</v>
      </c>
      <c r="H460" s="27" t="n">
        <v>160</v>
      </c>
      <c r="I460" s="27" t="n">
        <v>131.11</v>
      </c>
      <c r="J460" s="27" t="n">
        <v>120</v>
      </c>
      <c r="K460" s="27" t="n">
        <v>130</v>
      </c>
    </row>
    <row r="461" customFormat="false" ht="25" hidden="false" customHeight="false" outlineLevel="0" collapsed="false">
      <c r="A461" s="21" t="n">
        <v>13</v>
      </c>
      <c r="B461" s="21" t="n">
        <v>2022</v>
      </c>
      <c r="C461" s="26" t="n">
        <v>44735</v>
      </c>
      <c r="D461" s="21" t="s">
        <v>685</v>
      </c>
      <c r="E461" s="21" t="s">
        <v>656</v>
      </c>
      <c r="F461" s="21" t="s">
        <v>657</v>
      </c>
      <c r="G461" s="27" t="n">
        <v>60</v>
      </c>
      <c r="H461" s="27" t="n">
        <v>80</v>
      </c>
      <c r="I461" s="27" t="n">
        <v>71.67</v>
      </c>
      <c r="J461" s="27" t="n">
        <v>70</v>
      </c>
      <c r="K461" s="27" t="n">
        <v>70</v>
      </c>
    </row>
    <row r="462" customFormat="false" ht="13.8" hidden="false" customHeight="false" outlineLevel="0" collapsed="false">
      <c r="A462" s="21" t="n">
        <v>13</v>
      </c>
      <c r="B462" s="21" t="n">
        <v>2022</v>
      </c>
      <c r="C462" s="26" t="n">
        <v>44735</v>
      </c>
      <c r="D462" s="21" t="s">
        <v>685</v>
      </c>
      <c r="E462" s="21" t="s">
        <v>16</v>
      </c>
      <c r="F462" s="21" t="s">
        <v>658</v>
      </c>
      <c r="G462" s="27" t="n">
        <v>60</v>
      </c>
      <c r="H462" s="27" t="n">
        <v>60</v>
      </c>
      <c r="I462" s="27" t="n">
        <v>60</v>
      </c>
      <c r="J462" s="21" t="s">
        <v>556</v>
      </c>
      <c r="K462" s="27" t="n">
        <v>60</v>
      </c>
    </row>
    <row r="463" customFormat="false" ht="13.8" hidden="false" customHeight="false" outlineLevel="0" collapsed="false">
      <c r="A463" s="21" t="n">
        <v>13</v>
      </c>
      <c r="B463" s="21" t="n">
        <v>2022</v>
      </c>
      <c r="C463" s="26" t="n">
        <v>44735</v>
      </c>
      <c r="D463" s="21" t="s">
        <v>685</v>
      </c>
      <c r="E463" s="21" t="s">
        <v>18</v>
      </c>
      <c r="F463" s="21" t="s">
        <v>658</v>
      </c>
      <c r="G463" s="27" t="n">
        <v>48</v>
      </c>
      <c r="H463" s="27" t="n">
        <v>60</v>
      </c>
      <c r="I463" s="27" t="n">
        <v>54</v>
      </c>
      <c r="J463" s="21" t="s">
        <v>556</v>
      </c>
      <c r="K463" s="27" t="n">
        <v>54</v>
      </c>
    </row>
    <row r="464" customFormat="false" ht="25" hidden="false" customHeight="false" outlineLevel="0" collapsed="false">
      <c r="A464" s="21" t="n">
        <v>13</v>
      </c>
      <c r="B464" s="21" t="n">
        <v>2022</v>
      </c>
      <c r="C464" s="26" t="n">
        <v>44735</v>
      </c>
      <c r="D464" s="21" t="s">
        <v>685</v>
      </c>
      <c r="E464" s="21" t="s">
        <v>659</v>
      </c>
      <c r="F464" s="21" t="s">
        <v>658</v>
      </c>
      <c r="G464" s="27" t="n">
        <v>30</v>
      </c>
      <c r="H464" s="27" t="n">
        <v>40</v>
      </c>
      <c r="I464" s="27" t="n">
        <v>33.33</v>
      </c>
      <c r="J464" s="27" t="n">
        <v>30</v>
      </c>
      <c r="K464" s="27" t="n">
        <v>30</v>
      </c>
    </row>
    <row r="465" customFormat="false" ht="13.8" hidden="false" customHeight="false" outlineLevel="0" collapsed="false">
      <c r="A465" s="21" t="n">
        <v>13</v>
      </c>
      <c r="B465" s="21" t="n">
        <v>2022</v>
      </c>
      <c r="C465" s="26" t="n">
        <v>44735</v>
      </c>
      <c r="D465" s="21" t="s">
        <v>685</v>
      </c>
      <c r="E465" s="21" t="s">
        <v>20</v>
      </c>
      <c r="F465" s="21" t="s">
        <v>658</v>
      </c>
      <c r="G465" s="27" t="n">
        <v>20</v>
      </c>
      <c r="H465" s="27" t="n">
        <v>30</v>
      </c>
      <c r="I465" s="27" t="n">
        <v>24.67</v>
      </c>
      <c r="J465" s="21" t="s">
        <v>556</v>
      </c>
      <c r="K465" s="27" t="n">
        <v>24</v>
      </c>
    </row>
    <row r="466" customFormat="false" ht="13.8" hidden="false" customHeight="false" outlineLevel="0" collapsed="false">
      <c r="A466" s="21" t="n">
        <v>13</v>
      </c>
      <c r="B466" s="21" t="n">
        <v>2022</v>
      </c>
      <c r="C466" s="26" t="n">
        <v>44735</v>
      </c>
      <c r="D466" s="21" t="s">
        <v>685</v>
      </c>
      <c r="E466" s="21" t="s">
        <v>21</v>
      </c>
      <c r="F466" s="21" t="s">
        <v>658</v>
      </c>
      <c r="G466" s="27" t="n">
        <v>20</v>
      </c>
      <c r="H466" s="27" t="n">
        <v>20</v>
      </c>
      <c r="I466" s="27" t="n">
        <v>20</v>
      </c>
      <c r="J466" s="27" t="n">
        <v>20</v>
      </c>
      <c r="K466" s="27" t="n">
        <v>20</v>
      </c>
    </row>
    <row r="467" customFormat="false" ht="13.8" hidden="false" customHeight="false" outlineLevel="0" collapsed="false">
      <c r="A467" s="21" t="n">
        <v>13</v>
      </c>
      <c r="B467" s="21" t="n">
        <v>2022</v>
      </c>
      <c r="C467" s="26" t="n">
        <v>44735</v>
      </c>
      <c r="D467" s="21" t="s">
        <v>685</v>
      </c>
      <c r="E467" s="21" t="s">
        <v>22</v>
      </c>
      <c r="F467" s="21" t="s">
        <v>658</v>
      </c>
      <c r="G467" s="27" t="n">
        <v>36</v>
      </c>
      <c r="H467" s="27" t="n">
        <v>48</v>
      </c>
      <c r="I467" s="27" t="n">
        <v>42</v>
      </c>
      <c r="J467" s="21" t="s">
        <v>556</v>
      </c>
      <c r="K467" s="27" t="n">
        <v>42</v>
      </c>
    </row>
    <row r="468" customFormat="false" ht="13.8" hidden="false" customHeight="false" outlineLevel="0" collapsed="false">
      <c r="A468" s="21" t="n">
        <v>13</v>
      </c>
      <c r="B468" s="21" t="n">
        <v>2022</v>
      </c>
      <c r="C468" s="26" t="n">
        <v>44735</v>
      </c>
      <c r="D468" s="21" t="s">
        <v>685</v>
      </c>
      <c r="E468" s="21" t="s">
        <v>46</v>
      </c>
      <c r="F468" s="21" t="s">
        <v>660</v>
      </c>
      <c r="G468" s="27" t="n">
        <v>25</v>
      </c>
      <c r="H468" s="27" t="n">
        <v>60</v>
      </c>
      <c r="I468" s="27" t="n">
        <v>45</v>
      </c>
      <c r="J468" s="21" t="s">
        <v>556</v>
      </c>
      <c r="K468" s="27" t="n">
        <v>47.5</v>
      </c>
    </row>
    <row r="469" customFormat="false" ht="25" hidden="false" customHeight="false" outlineLevel="0" collapsed="false">
      <c r="A469" s="21" t="n">
        <v>13</v>
      </c>
      <c r="B469" s="21" t="n">
        <v>2022</v>
      </c>
      <c r="C469" s="26" t="n">
        <v>44735</v>
      </c>
      <c r="D469" s="21" t="s">
        <v>685</v>
      </c>
      <c r="E469" s="21" t="s">
        <v>48</v>
      </c>
      <c r="F469" s="21" t="s">
        <v>661</v>
      </c>
      <c r="G469" s="27" t="n">
        <v>35</v>
      </c>
      <c r="H469" s="27" t="n">
        <v>50</v>
      </c>
      <c r="I469" s="27" t="n">
        <v>41.43</v>
      </c>
      <c r="J469" s="27" t="n">
        <v>35</v>
      </c>
      <c r="K469" s="27" t="n">
        <v>40</v>
      </c>
    </row>
    <row r="470" customFormat="false" ht="25" hidden="false" customHeight="false" outlineLevel="0" collapsed="false">
      <c r="A470" s="21" t="n">
        <v>13</v>
      </c>
      <c r="B470" s="21" t="n">
        <v>2022</v>
      </c>
      <c r="C470" s="26" t="n">
        <v>44735</v>
      </c>
      <c r="D470" s="21" t="s">
        <v>685</v>
      </c>
      <c r="E470" s="21" t="s">
        <v>52</v>
      </c>
      <c r="F470" s="21" t="s">
        <v>661</v>
      </c>
      <c r="G470" s="27" t="n">
        <v>120</v>
      </c>
      <c r="H470" s="27" t="n">
        <v>140</v>
      </c>
      <c r="I470" s="27" t="n">
        <v>130</v>
      </c>
      <c r="J470" s="21" t="s">
        <v>556</v>
      </c>
      <c r="K470" s="27" t="n">
        <v>130</v>
      </c>
    </row>
    <row r="471" customFormat="false" ht="13.8" hidden="false" customHeight="false" outlineLevel="0" collapsed="false">
      <c r="A471" s="21" t="n">
        <v>13</v>
      </c>
      <c r="B471" s="21" t="n">
        <v>2022</v>
      </c>
      <c r="C471" s="26" t="n">
        <v>44735</v>
      </c>
      <c r="D471" s="21" t="s">
        <v>685</v>
      </c>
      <c r="E471" s="21" t="s">
        <v>53</v>
      </c>
      <c r="F471" s="21" t="s">
        <v>662</v>
      </c>
      <c r="G471" s="27" t="n">
        <v>50</v>
      </c>
      <c r="H471" s="27" t="n">
        <v>60</v>
      </c>
      <c r="I471" s="27" t="n">
        <v>56.67</v>
      </c>
      <c r="J471" s="27" t="n">
        <v>60</v>
      </c>
      <c r="K471" s="27" t="n">
        <v>60</v>
      </c>
    </row>
    <row r="472" customFormat="false" ht="36.5" hidden="false" customHeight="false" outlineLevel="0" collapsed="false">
      <c r="A472" s="21" t="n">
        <v>13</v>
      </c>
      <c r="B472" s="21" t="n">
        <v>2022</v>
      </c>
      <c r="C472" s="26" t="n">
        <v>44735</v>
      </c>
      <c r="D472" s="21" t="s">
        <v>685</v>
      </c>
      <c r="E472" s="21" t="s">
        <v>663</v>
      </c>
      <c r="F472" s="21" t="s">
        <v>658</v>
      </c>
      <c r="G472" s="27" t="n">
        <v>50</v>
      </c>
      <c r="H472" s="27" t="n">
        <v>72</v>
      </c>
      <c r="I472" s="27" t="n">
        <v>60.5</v>
      </c>
      <c r="J472" s="27" t="n">
        <v>50</v>
      </c>
      <c r="K472" s="27" t="n">
        <v>60</v>
      </c>
    </row>
    <row r="473" customFormat="false" ht="25" hidden="false" customHeight="false" outlineLevel="0" collapsed="false">
      <c r="A473" s="21" t="n">
        <v>13</v>
      </c>
      <c r="B473" s="21" t="n">
        <v>2022</v>
      </c>
      <c r="C473" s="26" t="n">
        <v>44735</v>
      </c>
      <c r="D473" s="21" t="s">
        <v>685</v>
      </c>
      <c r="E473" s="21" t="s">
        <v>24</v>
      </c>
      <c r="F473" s="21" t="s">
        <v>658</v>
      </c>
      <c r="G473" s="27" t="n">
        <v>48</v>
      </c>
      <c r="H473" s="27" t="n">
        <v>80</v>
      </c>
      <c r="I473" s="27" t="n">
        <v>62.5</v>
      </c>
      <c r="J473" s="21" t="s">
        <v>556</v>
      </c>
      <c r="K473" s="27" t="n">
        <v>61</v>
      </c>
    </row>
    <row r="474" customFormat="false" ht="13.8" hidden="false" customHeight="false" outlineLevel="0" collapsed="false">
      <c r="A474" s="21" t="n">
        <v>13</v>
      </c>
      <c r="B474" s="21" t="n">
        <v>2022</v>
      </c>
      <c r="C474" s="26" t="n">
        <v>44735</v>
      </c>
      <c r="D474" s="21" t="s">
        <v>685</v>
      </c>
      <c r="E474" s="21" t="s">
        <v>70</v>
      </c>
      <c r="F474" s="21" t="s">
        <v>657</v>
      </c>
      <c r="G474" s="21" t="s">
        <v>556</v>
      </c>
      <c r="H474" s="21" t="s">
        <v>556</v>
      </c>
      <c r="I474" s="21" t="s">
        <v>556</v>
      </c>
      <c r="J474" s="21" t="s">
        <v>556</v>
      </c>
      <c r="K474" s="21" t="s">
        <v>556</v>
      </c>
    </row>
    <row r="475" customFormat="false" ht="25" hidden="false" customHeight="false" outlineLevel="0" collapsed="false">
      <c r="A475" s="21" t="n">
        <v>13</v>
      </c>
      <c r="B475" s="21" t="n">
        <v>2022</v>
      </c>
      <c r="C475" s="26" t="n">
        <v>44735</v>
      </c>
      <c r="D475" s="21" t="s">
        <v>685</v>
      </c>
      <c r="E475" s="21" t="s">
        <v>681</v>
      </c>
      <c r="F475" s="21" t="s">
        <v>657</v>
      </c>
      <c r="G475" s="21" t="s">
        <v>556</v>
      </c>
      <c r="H475" s="21" t="s">
        <v>556</v>
      </c>
      <c r="I475" s="21" t="s">
        <v>556</v>
      </c>
      <c r="J475" s="21" t="s">
        <v>556</v>
      </c>
      <c r="K475" s="21" t="s">
        <v>556</v>
      </c>
    </row>
    <row r="476" customFormat="false" ht="25" hidden="false" customHeight="false" outlineLevel="0" collapsed="false">
      <c r="A476" s="21" t="n">
        <v>13</v>
      </c>
      <c r="B476" s="21" t="n">
        <v>2022</v>
      </c>
      <c r="C476" s="26" t="n">
        <v>44735</v>
      </c>
      <c r="D476" s="21" t="s">
        <v>685</v>
      </c>
      <c r="E476" s="21" t="s">
        <v>72</v>
      </c>
      <c r="F476" s="21" t="s">
        <v>657</v>
      </c>
      <c r="G476" s="21" t="s">
        <v>556</v>
      </c>
      <c r="H476" s="21" t="s">
        <v>556</v>
      </c>
      <c r="I476" s="21" t="s">
        <v>556</v>
      </c>
      <c r="J476" s="21" t="s">
        <v>556</v>
      </c>
      <c r="K476" s="21" t="s">
        <v>556</v>
      </c>
    </row>
    <row r="477" customFormat="false" ht="13.8" hidden="false" customHeight="false" outlineLevel="0" collapsed="false">
      <c r="A477" s="21" t="n">
        <v>13</v>
      </c>
      <c r="B477" s="21" t="n">
        <v>2022</v>
      </c>
      <c r="C477" s="26" t="n">
        <v>44735</v>
      </c>
      <c r="D477" s="21" t="s">
        <v>685</v>
      </c>
      <c r="E477" s="21" t="s">
        <v>35</v>
      </c>
      <c r="F477" s="21" t="s">
        <v>670</v>
      </c>
      <c r="G477" s="27" t="n">
        <v>3</v>
      </c>
      <c r="H477" s="27" t="n">
        <v>4</v>
      </c>
      <c r="I477" s="27" t="n">
        <v>3.67</v>
      </c>
      <c r="J477" s="27" t="n">
        <v>4</v>
      </c>
      <c r="K477" s="27" t="n">
        <v>4</v>
      </c>
    </row>
    <row r="478" customFormat="false" ht="13.8" hidden="false" customHeight="false" outlineLevel="0" collapsed="false">
      <c r="A478" s="21" t="n">
        <v>13</v>
      </c>
      <c r="B478" s="21" t="n">
        <v>2022</v>
      </c>
      <c r="C478" s="26" t="n">
        <v>44735</v>
      </c>
      <c r="D478" s="21" t="s">
        <v>685</v>
      </c>
      <c r="E478" s="21" t="s">
        <v>56</v>
      </c>
      <c r="F478" s="21" t="s">
        <v>660</v>
      </c>
      <c r="G478" s="27" t="n">
        <v>45</v>
      </c>
      <c r="H478" s="27" t="n">
        <v>65</v>
      </c>
      <c r="I478" s="27" t="n">
        <v>53.57</v>
      </c>
      <c r="J478" s="27" t="n">
        <v>45</v>
      </c>
      <c r="K478" s="27" t="n">
        <v>50</v>
      </c>
    </row>
    <row r="479" customFormat="false" ht="13.8" hidden="false" customHeight="false" outlineLevel="0" collapsed="false">
      <c r="A479" s="21" t="n">
        <v>13</v>
      </c>
      <c r="B479" s="21" t="n">
        <v>2022</v>
      </c>
      <c r="C479" s="26" t="n">
        <v>44735</v>
      </c>
      <c r="D479" s="21" t="s">
        <v>685</v>
      </c>
      <c r="E479" s="21" t="s">
        <v>57</v>
      </c>
      <c r="F479" s="21" t="s">
        <v>665</v>
      </c>
      <c r="G479" s="27" t="n">
        <v>45</v>
      </c>
      <c r="H479" s="27" t="n">
        <v>70</v>
      </c>
      <c r="I479" s="27" t="n">
        <v>56.67</v>
      </c>
      <c r="J479" s="27" t="n">
        <v>50</v>
      </c>
      <c r="K479" s="27" t="n">
        <v>55</v>
      </c>
    </row>
    <row r="480" customFormat="false" ht="25" hidden="false" customHeight="false" outlineLevel="0" collapsed="false">
      <c r="A480" s="21" t="n">
        <v>13</v>
      </c>
      <c r="B480" s="21" t="n">
        <v>2022</v>
      </c>
      <c r="C480" s="26" t="n">
        <v>44735</v>
      </c>
      <c r="D480" s="21" t="s">
        <v>685</v>
      </c>
      <c r="E480" s="21" t="s">
        <v>38</v>
      </c>
      <c r="F480" s="21" t="s">
        <v>682</v>
      </c>
      <c r="G480" s="27" t="n">
        <v>15</v>
      </c>
      <c r="H480" s="27" t="n">
        <v>18</v>
      </c>
      <c r="I480" s="27" t="n">
        <v>16.5</v>
      </c>
      <c r="J480" s="21" t="s">
        <v>556</v>
      </c>
      <c r="K480" s="27" t="n">
        <v>16.5</v>
      </c>
    </row>
    <row r="481" customFormat="false" ht="25" hidden="false" customHeight="false" outlineLevel="0" collapsed="false">
      <c r="A481" s="21" t="n">
        <v>13</v>
      </c>
      <c r="B481" s="21" t="n">
        <v>2022</v>
      </c>
      <c r="C481" s="26" t="n">
        <v>44735</v>
      </c>
      <c r="D481" s="21" t="s">
        <v>685</v>
      </c>
      <c r="E481" s="21" t="s">
        <v>666</v>
      </c>
      <c r="F481" s="21" t="s">
        <v>658</v>
      </c>
      <c r="G481" s="27" t="n">
        <v>24</v>
      </c>
      <c r="H481" s="27" t="n">
        <v>36</v>
      </c>
      <c r="I481" s="27" t="n">
        <v>30</v>
      </c>
      <c r="J481" s="21" t="s">
        <v>556</v>
      </c>
      <c r="K481" s="27" t="n">
        <v>30</v>
      </c>
    </row>
    <row r="482" customFormat="false" ht="13.8" hidden="false" customHeight="false" outlineLevel="0" collapsed="false">
      <c r="A482" s="21" t="n">
        <v>13</v>
      </c>
      <c r="B482" s="21" t="n">
        <v>2022</v>
      </c>
      <c r="C482" s="26" t="n">
        <v>44735</v>
      </c>
      <c r="D482" s="21" t="s">
        <v>685</v>
      </c>
      <c r="E482" s="21" t="s">
        <v>77</v>
      </c>
      <c r="F482" s="21" t="s">
        <v>658</v>
      </c>
      <c r="G482" s="27" t="n">
        <v>65</v>
      </c>
      <c r="H482" s="27" t="n">
        <v>70</v>
      </c>
      <c r="I482" s="27" t="n">
        <v>68</v>
      </c>
      <c r="J482" s="27" t="n">
        <v>70</v>
      </c>
      <c r="K482" s="27" t="n">
        <v>70</v>
      </c>
    </row>
    <row r="483" customFormat="false" ht="13.8" hidden="false" customHeight="false" outlineLevel="0" collapsed="false">
      <c r="A483" s="21" t="n">
        <v>13</v>
      </c>
      <c r="B483" s="21" t="n">
        <v>2022</v>
      </c>
      <c r="C483" s="26" t="n">
        <v>44735</v>
      </c>
      <c r="D483" s="21" t="s">
        <v>685</v>
      </c>
      <c r="E483" s="21" t="s">
        <v>27</v>
      </c>
      <c r="F483" s="21" t="s">
        <v>658</v>
      </c>
      <c r="G483" s="27" t="n">
        <v>20</v>
      </c>
      <c r="H483" s="27" t="n">
        <v>24</v>
      </c>
      <c r="I483" s="27" t="n">
        <v>21.33</v>
      </c>
      <c r="J483" s="27" t="n">
        <v>20</v>
      </c>
      <c r="K483" s="27" t="n">
        <v>20</v>
      </c>
    </row>
    <row r="484" customFormat="false" ht="13.8" hidden="false" customHeight="false" outlineLevel="0" collapsed="false">
      <c r="A484" s="21" t="n">
        <v>13</v>
      </c>
      <c r="B484" s="21" t="n">
        <v>2022</v>
      </c>
      <c r="C484" s="26" t="n">
        <v>44735</v>
      </c>
      <c r="D484" s="21" t="s">
        <v>685</v>
      </c>
      <c r="E484" s="21" t="s">
        <v>28</v>
      </c>
      <c r="F484" s="21" t="s">
        <v>658</v>
      </c>
      <c r="G484" s="27" t="n">
        <v>54</v>
      </c>
      <c r="H484" s="27" t="n">
        <v>54</v>
      </c>
      <c r="I484" s="27" t="n">
        <v>54</v>
      </c>
      <c r="J484" s="21" t="s">
        <v>556</v>
      </c>
      <c r="K484" s="27" t="n">
        <v>54</v>
      </c>
    </row>
    <row r="485" customFormat="false" ht="13.8" hidden="false" customHeight="false" outlineLevel="0" collapsed="false">
      <c r="A485" s="21" t="n">
        <v>13</v>
      </c>
      <c r="B485" s="21" t="n">
        <v>2022</v>
      </c>
      <c r="C485" s="26" t="n">
        <v>44735</v>
      </c>
      <c r="D485" s="21" t="s">
        <v>685</v>
      </c>
      <c r="E485" s="21" t="s">
        <v>73</v>
      </c>
      <c r="F485" s="21" t="s">
        <v>661</v>
      </c>
      <c r="G485" s="21" t="s">
        <v>556</v>
      </c>
      <c r="H485" s="21" t="s">
        <v>556</v>
      </c>
      <c r="I485" s="21" t="s">
        <v>556</v>
      </c>
      <c r="J485" s="21" t="s">
        <v>556</v>
      </c>
      <c r="K485" s="21" t="s">
        <v>556</v>
      </c>
    </row>
    <row r="486" customFormat="false" ht="13.8" hidden="false" customHeight="false" outlineLevel="0" collapsed="false">
      <c r="A486" s="21" t="n">
        <v>13</v>
      </c>
      <c r="B486" s="21" t="n">
        <v>2022</v>
      </c>
      <c r="C486" s="26" t="n">
        <v>44735</v>
      </c>
      <c r="D486" s="21" t="s">
        <v>685</v>
      </c>
      <c r="E486" s="21" t="s">
        <v>58</v>
      </c>
      <c r="F486" s="21" t="s">
        <v>657</v>
      </c>
      <c r="G486" s="27" t="n">
        <v>60</v>
      </c>
      <c r="H486" s="27" t="n">
        <v>110</v>
      </c>
      <c r="I486" s="27" t="n">
        <v>77.5</v>
      </c>
      <c r="J486" s="27" t="n">
        <v>60</v>
      </c>
      <c r="K486" s="27" t="n">
        <v>77.5</v>
      </c>
    </row>
    <row r="487" customFormat="false" ht="25" hidden="false" customHeight="false" outlineLevel="0" collapsed="false">
      <c r="A487" s="21" t="n">
        <v>13</v>
      </c>
      <c r="B487" s="21" t="n">
        <v>2022</v>
      </c>
      <c r="C487" s="26" t="n">
        <v>44735</v>
      </c>
      <c r="D487" s="21" t="s">
        <v>685</v>
      </c>
      <c r="E487" s="21" t="s">
        <v>74</v>
      </c>
      <c r="F487" s="21" t="s">
        <v>667</v>
      </c>
      <c r="G487" s="27" t="n">
        <v>50</v>
      </c>
      <c r="H487" s="27" t="n">
        <v>50</v>
      </c>
      <c r="I487" s="27" t="n">
        <v>50</v>
      </c>
      <c r="J487" s="21" t="s">
        <v>556</v>
      </c>
      <c r="K487" s="27" t="n">
        <v>50</v>
      </c>
    </row>
    <row r="488" customFormat="false" ht="25" hidden="false" customHeight="false" outlineLevel="0" collapsed="false">
      <c r="A488" s="21" t="n">
        <v>13</v>
      </c>
      <c r="B488" s="21" t="n">
        <v>2022</v>
      </c>
      <c r="C488" s="26" t="n">
        <v>44735</v>
      </c>
      <c r="D488" s="21" t="s">
        <v>685</v>
      </c>
      <c r="E488" s="21" t="s">
        <v>61</v>
      </c>
      <c r="F488" s="21" t="s">
        <v>657</v>
      </c>
      <c r="G488" s="27" t="n">
        <v>70</v>
      </c>
      <c r="H488" s="27" t="n">
        <v>75</v>
      </c>
      <c r="I488" s="27" t="n">
        <v>73.75</v>
      </c>
      <c r="J488" s="27" t="n">
        <v>75</v>
      </c>
      <c r="K488" s="27" t="n">
        <v>75</v>
      </c>
    </row>
    <row r="489" customFormat="false" ht="25" hidden="false" customHeight="false" outlineLevel="0" collapsed="false">
      <c r="A489" s="21" t="n">
        <v>13</v>
      </c>
      <c r="B489" s="21" t="n">
        <v>2022</v>
      </c>
      <c r="C489" s="26" t="n">
        <v>44735</v>
      </c>
      <c r="D489" s="21" t="s">
        <v>685</v>
      </c>
      <c r="E489" s="21" t="s">
        <v>62</v>
      </c>
      <c r="F489" s="21" t="s">
        <v>662</v>
      </c>
      <c r="G489" s="27" t="n">
        <v>110</v>
      </c>
      <c r="H489" s="27" t="n">
        <v>130</v>
      </c>
      <c r="I489" s="27" t="n">
        <v>121.25</v>
      </c>
      <c r="J489" s="21" t="s">
        <v>556</v>
      </c>
      <c r="K489" s="27" t="n">
        <v>122.5</v>
      </c>
    </row>
    <row r="490" customFormat="false" ht="25" hidden="false" customHeight="false" outlineLevel="0" collapsed="false">
      <c r="A490" s="21" t="n">
        <v>13</v>
      </c>
      <c r="B490" s="21" t="n">
        <v>2022</v>
      </c>
      <c r="C490" s="26" t="n">
        <v>44735</v>
      </c>
      <c r="D490" s="21" t="s">
        <v>685</v>
      </c>
      <c r="E490" s="21" t="s">
        <v>63</v>
      </c>
      <c r="F490" s="21" t="s">
        <v>661</v>
      </c>
      <c r="G490" s="27" t="n">
        <v>30</v>
      </c>
      <c r="H490" s="27" t="n">
        <v>50</v>
      </c>
      <c r="I490" s="27" t="n">
        <v>40.83</v>
      </c>
      <c r="J490" s="27" t="n">
        <v>50</v>
      </c>
      <c r="K490" s="27" t="n">
        <v>40</v>
      </c>
    </row>
    <row r="491" customFormat="false" ht="13.8" hidden="false" customHeight="false" outlineLevel="0" collapsed="false">
      <c r="A491" s="21" t="n">
        <v>13</v>
      </c>
      <c r="B491" s="21" t="n">
        <v>2022</v>
      </c>
      <c r="C491" s="26" t="n">
        <v>44735</v>
      </c>
      <c r="D491" s="21" t="s">
        <v>685</v>
      </c>
      <c r="E491" s="21" t="s">
        <v>64</v>
      </c>
      <c r="F491" s="21" t="s">
        <v>658</v>
      </c>
      <c r="G491" s="27" t="n">
        <v>100</v>
      </c>
      <c r="H491" s="27" t="n">
        <v>130</v>
      </c>
      <c r="I491" s="27" t="n">
        <v>116.67</v>
      </c>
      <c r="J491" s="27" t="n">
        <v>120</v>
      </c>
      <c r="K491" s="27" t="n">
        <v>120</v>
      </c>
    </row>
    <row r="492" customFormat="false" ht="13.8" hidden="false" customHeight="false" outlineLevel="0" collapsed="false">
      <c r="A492" s="21" t="n">
        <v>13</v>
      </c>
      <c r="B492" s="21" t="n">
        <v>2022</v>
      </c>
      <c r="C492" s="26" t="n">
        <v>44735</v>
      </c>
      <c r="D492" s="21" t="s">
        <v>685</v>
      </c>
      <c r="E492" s="21" t="s">
        <v>29</v>
      </c>
      <c r="F492" s="21" t="s">
        <v>658</v>
      </c>
      <c r="G492" s="27" t="n">
        <v>36</v>
      </c>
      <c r="H492" s="27" t="n">
        <v>42</v>
      </c>
      <c r="I492" s="27" t="n">
        <v>39</v>
      </c>
      <c r="J492" s="21" t="s">
        <v>556</v>
      </c>
      <c r="K492" s="27" t="n">
        <v>39</v>
      </c>
    </row>
    <row r="493" customFormat="false" ht="13.8" hidden="false" customHeight="false" outlineLevel="0" collapsed="false">
      <c r="A493" s="21" t="n">
        <v>13</v>
      </c>
      <c r="B493" s="21" t="n">
        <v>2022</v>
      </c>
      <c r="C493" s="26" t="n">
        <v>44735</v>
      </c>
      <c r="D493" s="21" t="s">
        <v>685</v>
      </c>
      <c r="E493" s="21" t="s">
        <v>31</v>
      </c>
      <c r="F493" s="21" t="s">
        <v>658</v>
      </c>
      <c r="G493" s="27" t="n">
        <v>50</v>
      </c>
      <c r="H493" s="27" t="n">
        <v>60</v>
      </c>
      <c r="I493" s="27" t="n">
        <v>54</v>
      </c>
      <c r="J493" s="27" t="n">
        <v>55</v>
      </c>
      <c r="K493" s="27" t="n">
        <v>55</v>
      </c>
    </row>
    <row r="494" customFormat="false" ht="25" hidden="false" customHeight="false" outlineLevel="0" collapsed="false">
      <c r="A494" s="21" t="n">
        <v>13</v>
      </c>
      <c r="B494" s="21" t="n">
        <v>2022</v>
      </c>
      <c r="C494" s="26" t="n">
        <v>44735</v>
      </c>
      <c r="D494" s="21" t="s">
        <v>685</v>
      </c>
      <c r="E494" s="21" t="s">
        <v>668</v>
      </c>
      <c r="F494" s="21" t="s">
        <v>658</v>
      </c>
      <c r="G494" s="27" t="n">
        <v>35</v>
      </c>
      <c r="H494" s="27" t="n">
        <v>50</v>
      </c>
      <c r="I494" s="27" t="n">
        <v>44</v>
      </c>
      <c r="J494" s="27" t="n">
        <v>50</v>
      </c>
      <c r="K494" s="27" t="n">
        <v>45</v>
      </c>
    </row>
    <row r="495" customFormat="false" ht="13.8" hidden="false" customHeight="false" outlineLevel="0" collapsed="false">
      <c r="A495" s="21" t="n">
        <v>13</v>
      </c>
      <c r="B495" s="21" t="n">
        <v>2022</v>
      </c>
      <c r="C495" s="26" t="n">
        <v>44735</v>
      </c>
      <c r="D495" s="21" t="s">
        <v>685</v>
      </c>
      <c r="E495" s="21" t="s">
        <v>33</v>
      </c>
      <c r="F495" s="21" t="s">
        <v>658</v>
      </c>
      <c r="G495" s="27" t="n">
        <v>36</v>
      </c>
      <c r="H495" s="27" t="n">
        <v>48</v>
      </c>
      <c r="I495" s="27" t="n">
        <v>42</v>
      </c>
      <c r="J495" s="21" t="s">
        <v>556</v>
      </c>
      <c r="K495" s="27" t="n">
        <v>42</v>
      </c>
    </row>
    <row r="496" customFormat="false" ht="25" hidden="false" customHeight="false" outlineLevel="0" collapsed="false">
      <c r="A496" s="21" t="n">
        <v>13</v>
      </c>
      <c r="B496" s="21" t="n">
        <v>2022</v>
      </c>
      <c r="C496" s="26" t="n">
        <v>44735</v>
      </c>
      <c r="D496" s="21" t="s">
        <v>685</v>
      </c>
      <c r="E496" s="21" t="s">
        <v>669</v>
      </c>
      <c r="F496" s="21" t="s">
        <v>682</v>
      </c>
      <c r="G496" s="27" t="n">
        <v>18</v>
      </c>
      <c r="H496" s="27" t="n">
        <v>20</v>
      </c>
      <c r="I496" s="27" t="n">
        <v>19.33</v>
      </c>
      <c r="J496" s="27" t="n">
        <v>20</v>
      </c>
      <c r="K496" s="27" t="n">
        <v>20</v>
      </c>
    </row>
    <row r="497" customFormat="false" ht="25" hidden="false" customHeight="false" outlineLevel="0" collapsed="false">
      <c r="A497" s="21" t="n">
        <v>13</v>
      </c>
      <c r="B497" s="21" t="n">
        <v>2022</v>
      </c>
      <c r="C497" s="26" t="n">
        <v>44735</v>
      </c>
      <c r="D497" s="21" t="s">
        <v>685</v>
      </c>
      <c r="E497" s="21" t="s">
        <v>67</v>
      </c>
      <c r="F497" s="21" t="s">
        <v>662</v>
      </c>
      <c r="G497" s="27" t="n">
        <v>75</v>
      </c>
      <c r="H497" s="27" t="n">
        <v>90</v>
      </c>
      <c r="I497" s="27" t="n">
        <v>82</v>
      </c>
      <c r="J497" s="27" t="n">
        <v>90</v>
      </c>
      <c r="K497" s="27" t="n">
        <v>80</v>
      </c>
    </row>
    <row r="498" customFormat="false" ht="25" hidden="false" customHeight="false" outlineLevel="0" collapsed="false">
      <c r="A498" s="21" t="n">
        <v>13</v>
      </c>
      <c r="B498" s="21" t="n">
        <v>2022</v>
      </c>
      <c r="C498" s="26" t="n">
        <v>44735</v>
      </c>
      <c r="D498" s="21" t="s">
        <v>685</v>
      </c>
      <c r="E498" s="21" t="s">
        <v>68</v>
      </c>
      <c r="F498" s="21" t="s">
        <v>657</v>
      </c>
      <c r="G498" s="27" t="n">
        <v>120</v>
      </c>
      <c r="H498" s="27" t="n">
        <v>180</v>
      </c>
      <c r="I498" s="27" t="n">
        <v>147.5</v>
      </c>
      <c r="J498" s="21" t="s">
        <v>556</v>
      </c>
      <c r="K498" s="27" t="n">
        <v>145</v>
      </c>
    </row>
    <row r="499" customFormat="false" ht="25" hidden="false" customHeight="false" outlineLevel="0" collapsed="false">
      <c r="A499" s="21" t="n">
        <v>14</v>
      </c>
      <c r="B499" s="21" t="n">
        <v>2022</v>
      </c>
      <c r="C499" s="26" t="n">
        <v>44742</v>
      </c>
      <c r="D499" s="21" t="s">
        <v>685</v>
      </c>
      <c r="E499" s="21" t="s">
        <v>656</v>
      </c>
      <c r="F499" s="21" t="s">
        <v>657</v>
      </c>
      <c r="G499" s="27" t="n">
        <v>40</v>
      </c>
      <c r="H499" s="27" t="n">
        <v>70</v>
      </c>
      <c r="I499" s="27" t="n">
        <v>57.14</v>
      </c>
      <c r="J499" s="27" t="n">
        <v>70</v>
      </c>
      <c r="K499" s="27" t="n">
        <v>60</v>
      </c>
    </row>
    <row r="500" customFormat="false" ht="13.8" hidden="false" customHeight="false" outlineLevel="0" collapsed="false">
      <c r="A500" s="21" t="n">
        <v>14</v>
      </c>
      <c r="B500" s="21" t="n">
        <v>2022</v>
      </c>
      <c r="C500" s="26" t="n">
        <v>44742</v>
      </c>
      <c r="D500" s="21" t="s">
        <v>685</v>
      </c>
      <c r="E500" s="21" t="s">
        <v>16</v>
      </c>
      <c r="F500" s="21" t="s">
        <v>658</v>
      </c>
      <c r="G500" s="27" t="n">
        <v>35</v>
      </c>
      <c r="H500" s="27" t="n">
        <v>54</v>
      </c>
      <c r="I500" s="27" t="n">
        <v>45.67</v>
      </c>
      <c r="J500" s="27" t="n">
        <v>48</v>
      </c>
      <c r="K500" s="21" t="s">
        <v>556</v>
      </c>
    </row>
    <row r="501" customFormat="false" ht="13.8" hidden="false" customHeight="false" outlineLevel="0" collapsed="false">
      <c r="A501" s="21" t="n">
        <v>14</v>
      </c>
      <c r="B501" s="21" t="n">
        <v>2022</v>
      </c>
      <c r="C501" s="26" t="n">
        <v>44742</v>
      </c>
      <c r="D501" s="21" t="s">
        <v>685</v>
      </c>
      <c r="E501" s="21" t="s">
        <v>18</v>
      </c>
      <c r="F501" s="21" t="s">
        <v>658</v>
      </c>
      <c r="G501" s="27" t="n">
        <v>42</v>
      </c>
      <c r="H501" s="27" t="n">
        <v>60</v>
      </c>
      <c r="I501" s="27" t="n">
        <v>51</v>
      </c>
      <c r="J501" s="27" t="n">
        <v>51</v>
      </c>
      <c r="K501" s="21" t="s">
        <v>556</v>
      </c>
    </row>
    <row r="502" customFormat="false" ht="25" hidden="false" customHeight="false" outlineLevel="0" collapsed="false">
      <c r="A502" s="21" t="n">
        <v>14</v>
      </c>
      <c r="B502" s="21" t="n">
        <v>2022</v>
      </c>
      <c r="C502" s="26" t="n">
        <v>44742</v>
      </c>
      <c r="D502" s="21" t="s">
        <v>685</v>
      </c>
      <c r="E502" s="21" t="s">
        <v>659</v>
      </c>
      <c r="F502" s="21" t="s">
        <v>658</v>
      </c>
      <c r="G502" s="27" t="n">
        <v>30</v>
      </c>
      <c r="H502" s="27" t="n">
        <v>35</v>
      </c>
      <c r="I502" s="27" t="n">
        <v>31.25</v>
      </c>
      <c r="J502" s="27" t="n">
        <v>30</v>
      </c>
      <c r="K502" s="27" t="n">
        <v>30</v>
      </c>
    </row>
    <row r="503" customFormat="false" ht="13.8" hidden="false" customHeight="false" outlineLevel="0" collapsed="false">
      <c r="A503" s="21" t="n">
        <v>14</v>
      </c>
      <c r="B503" s="21" t="n">
        <v>2022</v>
      </c>
      <c r="C503" s="26" t="n">
        <v>44742</v>
      </c>
      <c r="D503" s="21" t="s">
        <v>685</v>
      </c>
      <c r="E503" s="21" t="s">
        <v>20</v>
      </c>
      <c r="F503" s="21" t="s">
        <v>658</v>
      </c>
      <c r="G503" s="27" t="n">
        <v>18</v>
      </c>
      <c r="H503" s="27" t="n">
        <v>20</v>
      </c>
      <c r="I503" s="27" t="n">
        <v>19</v>
      </c>
      <c r="J503" s="27" t="n">
        <v>20</v>
      </c>
      <c r="K503" s="27" t="n">
        <v>19</v>
      </c>
    </row>
    <row r="504" customFormat="false" ht="13.8" hidden="false" customHeight="false" outlineLevel="0" collapsed="false">
      <c r="A504" s="21" t="n">
        <v>14</v>
      </c>
      <c r="B504" s="21" t="n">
        <v>2022</v>
      </c>
      <c r="C504" s="26" t="n">
        <v>44742</v>
      </c>
      <c r="D504" s="21" t="s">
        <v>685</v>
      </c>
      <c r="E504" s="21" t="s">
        <v>21</v>
      </c>
      <c r="F504" s="21" t="s">
        <v>658</v>
      </c>
      <c r="G504" s="27" t="n">
        <v>18</v>
      </c>
      <c r="H504" s="27" t="n">
        <v>20</v>
      </c>
      <c r="I504" s="27" t="n">
        <v>19</v>
      </c>
      <c r="J504" s="27" t="n">
        <v>20</v>
      </c>
      <c r="K504" s="27" t="n">
        <v>19</v>
      </c>
    </row>
    <row r="505" customFormat="false" ht="13.8" hidden="false" customHeight="false" outlineLevel="0" collapsed="false">
      <c r="A505" s="21" t="n">
        <v>14</v>
      </c>
      <c r="B505" s="21" t="n">
        <v>2022</v>
      </c>
      <c r="C505" s="26" t="n">
        <v>44742</v>
      </c>
      <c r="D505" s="21" t="s">
        <v>685</v>
      </c>
      <c r="E505" s="21" t="s">
        <v>22</v>
      </c>
      <c r="F505" s="21" t="s">
        <v>658</v>
      </c>
      <c r="G505" s="27" t="n">
        <v>36</v>
      </c>
      <c r="H505" s="27" t="n">
        <v>42</v>
      </c>
      <c r="I505" s="27" t="n">
        <v>40</v>
      </c>
      <c r="J505" s="27" t="n">
        <v>42</v>
      </c>
      <c r="K505" s="27" t="n">
        <v>42</v>
      </c>
    </row>
    <row r="506" customFormat="false" ht="13.8" hidden="false" customHeight="false" outlineLevel="0" collapsed="false">
      <c r="A506" s="21" t="n">
        <v>14</v>
      </c>
      <c r="B506" s="21" t="n">
        <v>2022</v>
      </c>
      <c r="C506" s="26" t="n">
        <v>44742</v>
      </c>
      <c r="D506" s="21" t="s">
        <v>685</v>
      </c>
      <c r="E506" s="21" t="s">
        <v>46</v>
      </c>
      <c r="F506" s="21" t="s">
        <v>660</v>
      </c>
      <c r="G506" s="27" t="n">
        <v>30</v>
      </c>
      <c r="H506" s="27" t="n">
        <v>60</v>
      </c>
      <c r="I506" s="27" t="n">
        <v>45</v>
      </c>
      <c r="J506" s="27" t="n">
        <v>45</v>
      </c>
      <c r="K506" s="27" t="n">
        <v>45</v>
      </c>
    </row>
    <row r="507" customFormat="false" ht="25" hidden="false" customHeight="false" outlineLevel="0" collapsed="false">
      <c r="A507" s="21" t="n">
        <v>14</v>
      </c>
      <c r="B507" s="21" t="n">
        <v>2022</v>
      </c>
      <c r="C507" s="26" t="n">
        <v>44742</v>
      </c>
      <c r="D507" s="21" t="s">
        <v>685</v>
      </c>
      <c r="E507" s="21" t="s">
        <v>48</v>
      </c>
      <c r="F507" s="21" t="s">
        <v>661</v>
      </c>
      <c r="G507" s="27" t="n">
        <v>20</v>
      </c>
      <c r="H507" s="27" t="n">
        <v>45</v>
      </c>
      <c r="I507" s="27" t="n">
        <v>35</v>
      </c>
      <c r="J507" s="27" t="n">
        <v>40</v>
      </c>
      <c r="K507" s="27" t="n">
        <v>37.5</v>
      </c>
    </row>
    <row r="508" customFormat="false" ht="25" hidden="false" customHeight="false" outlineLevel="0" collapsed="false">
      <c r="A508" s="21" t="n">
        <v>14</v>
      </c>
      <c r="B508" s="21" t="n">
        <v>2022</v>
      </c>
      <c r="C508" s="26" t="n">
        <v>44742</v>
      </c>
      <c r="D508" s="21" t="s">
        <v>685</v>
      </c>
      <c r="E508" s="21" t="s">
        <v>52</v>
      </c>
      <c r="F508" s="21" t="s">
        <v>661</v>
      </c>
      <c r="G508" s="27" t="n">
        <v>70</v>
      </c>
      <c r="H508" s="27" t="n">
        <v>70</v>
      </c>
      <c r="I508" s="27" t="n">
        <v>70</v>
      </c>
      <c r="J508" s="27" t="n">
        <v>70</v>
      </c>
      <c r="K508" s="21" t="s">
        <v>556</v>
      </c>
    </row>
    <row r="509" customFormat="false" ht="13.8" hidden="false" customHeight="false" outlineLevel="0" collapsed="false">
      <c r="A509" s="21" t="n">
        <v>14</v>
      </c>
      <c r="B509" s="21" t="n">
        <v>2022</v>
      </c>
      <c r="C509" s="26" t="n">
        <v>44742</v>
      </c>
      <c r="D509" s="21" t="s">
        <v>685</v>
      </c>
      <c r="E509" s="21" t="s">
        <v>53</v>
      </c>
      <c r="F509" s="21" t="s">
        <v>662</v>
      </c>
      <c r="G509" s="27" t="n">
        <v>45</v>
      </c>
      <c r="H509" s="27" t="n">
        <v>65</v>
      </c>
      <c r="I509" s="27" t="n">
        <v>51.67</v>
      </c>
      <c r="J509" s="27" t="n">
        <v>45</v>
      </c>
      <c r="K509" s="27" t="n">
        <v>50</v>
      </c>
    </row>
    <row r="510" customFormat="false" ht="36.5" hidden="false" customHeight="false" outlineLevel="0" collapsed="false">
      <c r="A510" s="21" t="n">
        <v>14</v>
      </c>
      <c r="B510" s="21" t="n">
        <v>2022</v>
      </c>
      <c r="C510" s="26" t="n">
        <v>44742</v>
      </c>
      <c r="D510" s="21" t="s">
        <v>685</v>
      </c>
      <c r="E510" s="21" t="s">
        <v>663</v>
      </c>
      <c r="F510" s="21" t="s">
        <v>658</v>
      </c>
      <c r="G510" s="27" t="n">
        <v>60</v>
      </c>
      <c r="H510" s="27" t="n">
        <v>66</v>
      </c>
      <c r="I510" s="27" t="n">
        <v>62</v>
      </c>
      <c r="J510" s="27" t="n">
        <v>60</v>
      </c>
      <c r="K510" s="27" t="n">
        <v>60</v>
      </c>
    </row>
    <row r="511" customFormat="false" ht="25" hidden="false" customHeight="false" outlineLevel="0" collapsed="false">
      <c r="A511" s="21" t="n">
        <v>14</v>
      </c>
      <c r="B511" s="21" t="n">
        <v>2022</v>
      </c>
      <c r="C511" s="26" t="n">
        <v>44742</v>
      </c>
      <c r="D511" s="21" t="s">
        <v>685</v>
      </c>
      <c r="E511" s="21" t="s">
        <v>24</v>
      </c>
      <c r="F511" s="21" t="s">
        <v>658</v>
      </c>
      <c r="G511" s="27" t="n">
        <v>48</v>
      </c>
      <c r="H511" s="27" t="n">
        <v>72</v>
      </c>
      <c r="I511" s="27" t="n">
        <v>56.67</v>
      </c>
      <c r="J511" s="27" t="n">
        <v>50</v>
      </c>
      <c r="K511" s="21" t="s">
        <v>556</v>
      </c>
    </row>
    <row r="512" customFormat="false" ht="13.8" hidden="false" customHeight="false" outlineLevel="0" collapsed="false">
      <c r="A512" s="21" t="n">
        <v>14</v>
      </c>
      <c r="B512" s="21" t="n">
        <v>2022</v>
      </c>
      <c r="C512" s="26" t="n">
        <v>44742</v>
      </c>
      <c r="D512" s="21" t="s">
        <v>685</v>
      </c>
      <c r="E512" s="21" t="s">
        <v>70</v>
      </c>
      <c r="F512" s="21" t="s">
        <v>657</v>
      </c>
      <c r="G512" s="27" t="n">
        <v>60</v>
      </c>
      <c r="H512" s="27" t="n">
        <v>60</v>
      </c>
      <c r="I512" s="27" t="n">
        <v>60</v>
      </c>
      <c r="J512" s="27" t="n">
        <v>60</v>
      </c>
      <c r="K512" s="21" t="s">
        <v>556</v>
      </c>
    </row>
    <row r="513" customFormat="false" ht="25" hidden="false" customHeight="false" outlineLevel="0" collapsed="false">
      <c r="A513" s="21" t="n">
        <v>14</v>
      </c>
      <c r="B513" s="21" t="n">
        <v>2022</v>
      </c>
      <c r="C513" s="26" t="n">
        <v>44742</v>
      </c>
      <c r="D513" s="21" t="s">
        <v>685</v>
      </c>
      <c r="E513" s="21" t="s">
        <v>681</v>
      </c>
      <c r="F513" s="21" t="s">
        <v>657</v>
      </c>
      <c r="G513" s="27" t="n">
        <v>65</v>
      </c>
      <c r="H513" s="27" t="n">
        <v>65</v>
      </c>
      <c r="I513" s="27" t="n">
        <v>65</v>
      </c>
      <c r="J513" s="27" t="n">
        <v>65</v>
      </c>
      <c r="K513" s="21" t="s">
        <v>556</v>
      </c>
    </row>
    <row r="514" customFormat="false" ht="25" hidden="false" customHeight="false" outlineLevel="0" collapsed="false">
      <c r="A514" s="21" t="n">
        <v>14</v>
      </c>
      <c r="B514" s="21" t="n">
        <v>2022</v>
      </c>
      <c r="C514" s="26" t="n">
        <v>44742</v>
      </c>
      <c r="D514" s="21" t="s">
        <v>685</v>
      </c>
      <c r="E514" s="21" t="s">
        <v>72</v>
      </c>
      <c r="F514" s="21" t="s">
        <v>657</v>
      </c>
      <c r="G514" s="27" t="n">
        <v>42</v>
      </c>
      <c r="H514" s="27" t="n">
        <v>42</v>
      </c>
      <c r="I514" s="27" t="n">
        <v>42</v>
      </c>
      <c r="J514" s="27" t="n">
        <v>42</v>
      </c>
      <c r="K514" s="21" t="s">
        <v>556</v>
      </c>
    </row>
    <row r="515" customFormat="false" ht="13.8" hidden="false" customHeight="false" outlineLevel="0" collapsed="false">
      <c r="A515" s="21" t="n">
        <v>14</v>
      </c>
      <c r="B515" s="21" t="n">
        <v>2022</v>
      </c>
      <c r="C515" s="26" t="n">
        <v>44742</v>
      </c>
      <c r="D515" s="21" t="s">
        <v>685</v>
      </c>
      <c r="E515" s="21" t="s">
        <v>35</v>
      </c>
      <c r="F515" s="21" t="s">
        <v>670</v>
      </c>
      <c r="G515" s="27" t="n">
        <v>4</v>
      </c>
      <c r="H515" s="27" t="n">
        <v>4</v>
      </c>
      <c r="I515" s="27" t="n">
        <v>4</v>
      </c>
      <c r="J515" s="27" t="n">
        <v>4</v>
      </c>
      <c r="K515" s="21" t="s">
        <v>556</v>
      </c>
    </row>
    <row r="516" customFormat="false" ht="13.8" hidden="false" customHeight="false" outlineLevel="0" collapsed="false">
      <c r="A516" s="21" t="n">
        <v>14</v>
      </c>
      <c r="B516" s="21" t="n">
        <v>2022</v>
      </c>
      <c r="C516" s="26" t="n">
        <v>44742</v>
      </c>
      <c r="D516" s="21" t="s">
        <v>685</v>
      </c>
      <c r="E516" s="21" t="s">
        <v>56</v>
      </c>
      <c r="F516" s="21" t="s">
        <v>660</v>
      </c>
      <c r="G516" s="27" t="n">
        <v>40</v>
      </c>
      <c r="H516" s="27" t="n">
        <v>65</v>
      </c>
      <c r="I516" s="27" t="n">
        <v>49.29</v>
      </c>
      <c r="J516" s="27" t="n">
        <v>40</v>
      </c>
      <c r="K516" s="27" t="n">
        <v>50</v>
      </c>
    </row>
    <row r="517" customFormat="false" ht="13.8" hidden="false" customHeight="false" outlineLevel="0" collapsed="false">
      <c r="A517" s="21" t="n">
        <v>14</v>
      </c>
      <c r="B517" s="21" t="n">
        <v>2022</v>
      </c>
      <c r="C517" s="26" t="n">
        <v>44742</v>
      </c>
      <c r="D517" s="21" t="s">
        <v>685</v>
      </c>
      <c r="E517" s="21" t="s">
        <v>57</v>
      </c>
      <c r="F517" s="21" t="s">
        <v>665</v>
      </c>
      <c r="G517" s="27" t="n">
        <v>45</v>
      </c>
      <c r="H517" s="27" t="n">
        <v>70</v>
      </c>
      <c r="I517" s="27" t="n">
        <v>54.17</v>
      </c>
      <c r="J517" s="27" t="n">
        <v>45</v>
      </c>
      <c r="K517" s="27" t="n">
        <v>50</v>
      </c>
    </row>
    <row r="518" customFormat="false" ht="25" hidden="false" customHeight="false" outlineLevel="0" collapsed="false">
      <c r="A518" s="21" t="n">
        <v>14</v>
      </c>
      <c r="B518" s="21" t="n">
        <v>2022</v>
      </c>
      <c r="C518" s="26" t="n">
        <v>44742</v>
      </c>
      <c r="D518" s="21" t="s">
        <v>685</v>
      </c>
      <c r="E518" s="21" t="s">
        <v>38</v>
      </c>
      <c r="F518" s="21" t="s">
        <v>682</v>
      </c>
      <c r="G518" s="27" t="n">
        <v>15</v>
      </c>
      <c r="H518" s="27" t="n">
        <v>15</v>
      </c>
      <c r="I518" s="27" t="n">
        <v>15</v>
      </c>
      <c r="J518" s="27" t="n">
        <v>15</v>
      </c>
      <c r="K518" s="27" t="n">
        <v>15</v>
      </c>
    </row>
    <row r="519" customFormat="false" ht="25" hidden="false" customHeight="false" outlineLevel="0" collapsed="false">
      <c r="A519" s="21" t="n">
        <v>14</v>
      </c>
      <c r="B519" s="21" t="n">
        <v>2022</v>
      </c>
      <c r="C519" s="26" t="n">
        <v>44742</v>
      </c>
      <c r="D519" s="21" t="s">
        <v>685</v>
      </c>
      <c r="E519" s="21" t="s">
        <v>666</v>
      </c>
      <c r="F519" s="21" t="s">
        <v>658</v>
      </c>
      <c r="G519" s="27" t="n">
        <v>20</v>
      </c>
      <c r="H519" s="27" t="n">
        <v>30</v>
      </c>
      <c r="I519" s="27" t="n">
        <v>23.5</v>
      </c>
      <c r="J519" s="27" t="n">
        <v>20</v>
      </c>
      <c r="K519" s="27" t="n">
        <v>22</v>
      </c>
    </row>
    <row r="520" customFormat="false" ht="13.8" hidden="false" customHeight="false" outlineLevel="0" collapsed="false">
      <c r="A520" s="21" t="n">
        <v>14</v>
      </c>
      <c r="B520" s="21" t="n">
        <v>2022</v>
      </c>
      <c r="C520" s="26" t="n">
        <v>44742</v>
      </c>
      <c r="D520" s="21" t="s">
        <v>685</v>
      </c>
      <c r="E520" s="21" t="s">
        <v>77</v>
      </c>
      <c r="F520" s="21" t="s">
        <v>658</v>
      </c>
      <c r="G520" s="27" t="n">
        <v>60</v>
      </c>
      <c r="H520" s="27" t="n">
        <v>60</v>
      </c>
      <c r="I520" s="27" t="n">
        <v>60</v>
      </c>
      <c r="J520" s="27" t="n">
        <v>60</v>
      </c>
      <c r="K520" s="27" t="n">
        <v>60</v>
      </c>
    </row>
    <row r="521" customFormat="false" ht="13.8" hidden="false" customHeight="false" outlineLevel="0" collapsed="false">
      <c r="A521" s="21" t="n">
        <v>14</v>
      </c>
      <c r="B521" s="21" t="n">
        <v>2022</v>
      </c>
      <c r="C521" s="26" t="n">
        <v>44742</v>
      </c>
      <c r="D521" s="21" t="s">
        <v>685</v>
      </c>
      <c r="E521" s="21" t="s">
        <v>27</v>
      </c>
      <c r="F521" s="21" t="s">
        <v>658</v>
      </c>
      <c r="G521" s="27" t="n">
        <v>18</v>
      </c>
      <c r="H521" s="27" t="n">
        <v>20</v>
      </c>
      <c r="I521" s="27" t="n">
        <v>19.5</v>
      </c>
      <c r="J521" s="27" t="n">
        <v>20</v>
      </c>
      <c r="K521" s="27" t="n">
        <v>20</v>
      </c>
    </row>
    <row r="522" customFormat="false" ht="13.8" hidden="false" customHeight="false" outlineLevel="0" collapsed="false">
      <c r="A522" s="21" t="n">
        <v>14</v>
      </c>
      <c r="B522" s="21" t="n">
        <v>2022</v>
      </c>
      <c r="C522" s="26" t="n">
        <v>44742</v>
      </c>
      <c r="D522" s="21" t="s">
        <v>685</v>
      </c>
      <c r="E522" s="21" t="s">
        <v>28</v>
      </c>
      <c r="F522" s="21" t="s">
        <v>658</v>
      </c>
      <c r="G522" s="27" t="n">
        <v>42</v>
      </c>
      <c r="H522" s="27" t="n">
        <v>60</v>
      </c>
      <c r="I522" s="27" t="n">
        <v>50</v>
      </c>
      <c r="J522" s="27" t="n">
        <v>48</v>
      </c>
      <c r="K522" s="21" t="s">
        <v>556</v>
      </c>
    </row>
    <row r="523" customFormat="false" ht="13.8" hidden="false" customHeight="false" outlineLevel="0" collapsed="false">
      <c r="A523" s="21" t="n">
        <v>14</v>
      </c>
      <c r="B523" s="21" t="n">
        <v>2022</v>
      </c>
      <c r="C523" s="26" t="n">
        <v>44742</v>
      </c>
      <c r="D523" s="21" t="s">
        <v>685</v>
      </c>
      <c r="E523" s="21" t="s">
        <v>73</v>
      </c>
      <c r="F523" s="21" t="s">
        <v>661</v>
      </c>
      <c r="G523" s="27" t="n">
        <v>42</v>
      </c>
      <c r="H523" s="27" t="n">
        <v>42</v>
      </c>
      <c r="I523" s="27" t="n">
        <v>42</v>
      </c>
      <c r="J523" s="27" t="n">
        <v>42</v>
      </c>
      <c r="K523" s="21" t="s">
        <v>556</v>
      </c>
    </row>
    <row r="524" customFormat="false" ht="13.8" hidden="false" customHeight="false" outlineLevel="0" collapsed="false">
      <c r="A524" s="21" t="n">
        <v>14</v>
      </c>
      <c r="B524" s="21" t="n">
        <v>2022</v>
      </c>
      <c r="C524" s="26" t="n">
        <v>44742</v>
      </c>
      <c r="D524" s="21" t="s">
        <v>685</v>
      </c>
      <c r="E524" s="21" t="s">
        <v>58</v>
      </c>
      <c r="F524" s="21" t="s">
        <v>657</v>
      </c>
      <c r="G524" s="27" t="n">
        <v>80</v>
      </c>
      <c r="H524" s="27" t="n">
        <v>120</v>
      </c>
      <c r="I524" s="27" t="n">
        <v>93.33</v>
      </c>
      <c r="J524" s="27" t="n">
        <v>80</v>
      </c>
      <c r="K524" s="27" t="n">
        <v>90</v>
      </c>
    </row>
    <row r="525" customFormat="false" ht="25" hidden="false" customHeight="false" outlineLevel="0" collapsed="false">
      <c r="A525" s="21" t="n">
        <v>14</v>
      </c>
      <c r="B525" s="21" t="n">
        <v>2022</v>
      </c>
      <c r="C525" s="26" t="n">
        <v>44742</v>
      </c>
      <c r="D525" s="21" t="s">
        <v>685</v>
      </c>
      <c r="E525" s="21" t="s">
        <v>74</v>
      </c>
      <c r="F525" s="21" t="s">
        <v>667</v>
      </c>
      <c r="G525" s="27" t="n">
        <v>40</v>
      </c>
      <c r="H525" s="27" t="n">
        <v>40</v>
      </c>
      <c r="I525" s="27" t="n">
        <v>40</v>
      </c>
      <c r="J525" s="27" t="n">
        <v>40</v>
      </c>
      <c r="K525" s="21" t="s">
        <v>556</v>
      </c>
    </row>
    <row r="526" customFormat="false" ht="25" hidden="false" customHeight="false" outlineLevel="0" collapsed="false">
      <c r="A526" s="21" t="n">
        <v>14</v>
      </c>
      <c r="B526" s="21" t="n">
        <v>2022</v>
      </c>
      <c r="C526" s="26" t="n">
        <v>44742</v>
      </c>
      <c r="D526" s="21" t="s">
        <v>685</v>
      </c>
      <c r="E526" s="21" t="s">
        <v>61</v>
      </c>
      <c r="F526" s="21" t="s">
        <v>657</v>
      </c>
      <c r="G526" s="27" t="n">
        <v>50</v>
      </c>
      <c r="H526" s="27" t="n">
        <v>80</v>
      </c>
      <c r="I526" s="27" t="n">
        <v>70.83</v>
      </c>
      <c r="J526" s="27" t="n">
        <v>80</v>
      </c>
      <c r="K526" s="27" t="n">
        <v>72.5</v>
      </c>
    </row>
    <row r="527" customFormat="false" ht="25" hidden="false" customHeight="false" outlineLevel="0" collapsed="false">
      <c r="A527" s="21" t="n">
        <v>14</v>
      </c>
      <c r="B527" s="21" t="n">
        <v>2022</v>
      </c>
      <c r="C527" s="26" t="n">
        <v>44742</v>
      </c>
      <c r="D527" s="21" t="s">
        <v>685</v>
      </c>
      <c r="E527" s="21" t="s">
        <v>62</v>
      </c>
      <c r="F527" s="21" t="s">
        <v>662</v>
      </c>
      <c r="G527" s="27" t="n">
        <v>55</v>
      </c>
      <c r="H527" s="27" t="n">
        <v>115</v>
      </c>
      <c r="I527" s="27" t="n">
        <v>88.57</v>
      </c>
      <c r="J527" s="27" t="n">
        <v>100</v>
      </c>
      <c r="K527" s="27" t="n">
        <v>90</v>
      </c>
    </row>
    <row r="528" customFormat="false" ht="25" hidden="false" customHeight="false" outlineLevel="0" collapsed="false">
      <c r="A528" s="21" t="n">
        <v>14</v>
      </c>
      <c r="B528" s="21" t="n">
        <v>2022</v>
      </c>
      <c r="C528" s="26" t="n">
        <v>44742</v>
      </c>
      <c r="D528" s="21" t="s">
        <v>685</v>
      </c>
      <c r="E528" s="21" t="s">
        <v>63</v>
      </c>
      <c r="F528" s="21" t="s">
        <v>661</v>
      </c>
      <c r="G528" s="27" t="n">
        <v>30</v>
      </c>
      <c r="H528" s="27" t="n">
        <v>45</v>
      </c>
      <c r="I528" s="27" t="n">
        <v>40</v>
      </c>
      <c r="J528" s="27" t="n">
        <v>45</v>
      </c>
      <c r="K528" s="27" t="n">
        <v>40</v>
      </c>
    </row>
    <row r="529" customFormat="false" ht="13.8" hidden="false" customHeight="false" outlineLevel="0" collapsed="false">
      <c r="A529" s="21" t="n">
        <v>14</v>
      </c>
      <c r="B529" s="21" t="n">
        <v>2022</v>
      </c>
      <c r="C529" s="26" t="n">
        <v>44742</v>
      </c>
      <c r="D529" s="21" t="s">
        <v>685</v>
      </c>
      <c r="E529" s="21" t="s">
        <v>64</v>
      </c>
      <c r="F529" s="21" t="s">
        <v>658</v>
      </c>
      <c r="G529" s="27" t="n">
        <v>80</v>
      </c>
      <c r="H529" s="27" t="n">
        <v>130</v>
      </c>
      <c r="I529" s="27" t="n">
        <v>101.67</v>
      </c>
      <c r="J529" s="27" t="n">
        <v>90</v>
      </c>
      <c r="K529" s="27" t="n">
        <v>95</v>
      </c>
    </row>
    <row r="530" customFormat="false" ht="13.8" hidden="false" customHeight="false" outlineLevel="0" collapsed="false">
      <c r="A530" s="21" t="n">
        <v>14</v>
      </c>
      <c r="B530" s="21" t="n">
        <v>2022</v>
      </c>
      <c r="C530" s="26" t="n">
        <v>44742</v>
      </c>
      <c r="D530" s="21" t="s">
        <v>685</v>
      </c>
      <c r="E530" s="21" t="s">
        <v>29</v>
      </c>
      <c r="F530" s="21" t="s">
        <v>658</v>
      </c>
      <c r="G530" s="27" t="n">
        <v>30</v>
      </c>
      <c r="H530" s="27" t="n">
        <v>42</v>
      </c>
      <c r="I530" s="27" t="n">
        <v>36</v>
      </c>
      <c r="J530" s="27" t="n">
        <v>36</v>
      </c>
      <c r="K530" s="21" t="s">
        <v>556</v>
      </c>
    </row>
    <row r="531" customFormat="false" ht="13.8" hidden="false" customHeight="false" outlineLevel="0" collapsed="false">
      <c r="A531" s="21" t="n">
        <v>14</v>
      </c>
      <c r="B531" s="21" t="n">
        <v>2022</v>
      </c>
      <c r="C531" s="26" t="n">
        <v>44742</v>
      </c>
      <c r="D531" s="21" t="s">
        <v>685</v>
      </c>
      <c r="E531" s="21" t="s">
        <v>31</v>
      </c>
      <c r="F531" s="21" t="s">
        <v>658</v>
      </c>
      <c r="G531" s="27" t="n">
        <v>45</v>
      </c>
      <c r="H531" s="27" t="n">
        <v>60</v>
      </c>
      <c r="I531" s="27" t="n">
        <v>55</v>
      </c>
      <c r="J531" s="27" t="n">
        <v>60</v>
      </c>
      <c r="K531" s="27" t="n">
        <v>60</v>
      </c>
    </row>
    <row r="532" customFormat="false" ht="25" hidden="false" customHeight="false" outlineLevel="0" collapsed="false">
      <c r="A532" s="21" t="n">
        <v>14</v>
      </c>
      <c r="B532" s="21" t="n">
        <v>2022</v>
      </c>
      <c r="C532" s="26" t="n">
        <v>44742</v>
      </c>
      <c r="D532" s="21" t="s">
        <v>685</v>
      </c>
      <c r="E532" s="21" t="s">
        <v>668</v>
      </c>
      <c r="F532" s="21" t="s">
        <v>658</v>
      </c>
      <c r="G532" s="27" t="n">
        <v>35</v>
      </c>
      <c r="H532" s="27" t="n">
        <v>48</v>
      </c>
      <c r="I532" s="27" t="n">
        <v>43.25</v>
      </c>
      <c r="J532" s="27" t="n">
        <v>45</v>
      </c>
      <c r="K532" s="27" t="n">
        <v>45</v>
      </c>
    </row>
    <row r="533" customFormat="false" ht="13.8" hidden="false" customHeight="false" outlineLevel="0" collapsed="false">
      <c r="A533" s="21" t="n">
        <v>14</v>
      </c>
      <c r="B533" s="21" t="n">
        <v>2022</v>
      </c>
      <c r="C533" s="26" t="n">
        <v>44742</v>
      </c>
      <c r="D533" s="21" t="s">
        <v>685</v>
      </c>
      <c r="E533" s="21" t="s">
        <v>33</v>
      </c>
      <c r="F533" s="21" t="s">
        <v>658</v>
      </c>
      <c r="G533" s="27" t="n">
        <v>30</v>
      </c>
      <c r="H533" s="27" t="n">
        <v>48</v>
      </c>
      <c r="I533" s="27" t="n">
        <v>40.5</v>
      </c>
      <c r="J533" s="27" t="n">
        <v>42</v>
      </c>
      <c r="K533" s="27" t="n">
        <v>42</v>
      </c>
    </row>
    <row r="534" customFormat="false" ht="25" hidden="false" customHeight="false" outlineLevel="0" collapsed="false">
      <c r="A534" s="21" t="n">
        <v>14</v>
      </c>
      <c r="B534" s="21" t="n">
        <v>2022</v>
      </c>
      <c r="C534" s="26" t="n">
        <v>44742</v>
      </c>
      <c r="D534" s="21" t="s">
        <v>685</v>
      </c>
      <c r="E534" s="21" t="s">
        <v>669</v>
      </c>
      <c r="F534" s="21" t="s">
        <v>682</v>
      </c>
      <c r="G534" s="27" t="n">
        <v>15</v>
      </c>
      <c r="H534" s="27" t="n">
        <v>20</v>
      </c>
      <c r="I534" s="27" t="n">
        <v>17</v>
      </c>
      <c r="J534" s="27" t="n">
        <v>15</v>
      </c>
      <c r="K534" s="27" t="n">
        <v>16.5</v>
      </c>
    </row>
    <row r="535" customFormat="false" ht="25" hidden="false" customHeight="false" outlineLevel="0" collapsed="false">
      <c r="A535" s="21" t="n">
        <v>14</v>
      </c>
      <c r="B535" s="21" t="n">
        <v>2022</v>
      </c>
      <c r="C535" s="26" t="n">
        <v>44742</v>
      </c>
      <c r="D535" s="21" t="s">
        <v>685</v>
      </c>
      <c r="E535" s="21" t="s">
        <v>67</v>
      </c>
      <c r="F535" s="21" t="s">
        <v>662</v>
      </c>
      <c r="G535" s="27" t="n">
        <v>60</v>
      </c>
      <c r="H535" s="27" t="n">
        <v>75</v>
      </c>
      <c r="I535" s="27" t="n">
        <v>65.83</v>
      </c>
      <c r="J535" s="27" t="n">
        <v>60</v>
      </c>
      <c r="K535" s="27" t="n">
        <v>65</v>
      </c>
    </row>
    <row r="536" customFormat="false" ht="25" hidden="false" customHeight="false" outlineLevel="0" collapsed="false">
      <c r="A536" s="21" t="n">
        <v>14</v>
      </c>
      <c r="B536" s="21" t="n">
        <v>2022</v>
      </c>
      <c r="C536" s="26" t="n">
        <v>44742</v>
      </c>
      <c r="D536" s="21" t="s">
        <v>685</v>
      </c>
      <c r="E536" s="21" t="s">
        <v>68</v>
      </c>
      <c r="F536" s="21" t="s">
        <v>657</v>
      </c>
      <c r="G536" s="27" t="n">
        <v>90</v>
      </c>
      <c r="H536" s="27" t="n">
        <v>150</v>
      </c>
      <c r="I536" s="27" t="n">
        <v>122.86</v>
      </c>
      <c r="J536" s="27" t="n">
        <v>150</v>
      </c>
      <c r="K536" s="27" t="n">
        <v>130</v>
      </c>
    </row>
    <row r="537" customFormat="false" ht="25" hidden="false" customHeight="false" outlineLevel="0" collapsed="false">
      <c r="A537" s="21" t="n">
        <v>15</v>
      </c>
      <c r="B537" s="21" t="n">
        <v>2022</v>
      </c>
      <c r="C537" s="26" t="n">
        <v>44749</v>
      </c>
      <c r="D537" s="21" t="s">
        <v>685</v>
      </c>
      <c r="E537" s="21" t="s">
        <v>656</v>
      </c>
      <c r="F537" s="21" t="s">
        <v>657</v>
      </c>
      <c r="G537" s="27" t="n">
        <v>35</v>
      </c>
      <c r="H537" s="27" t="n">
        <v>50</v>
      </c>
      <c r="I537" s="27" t="n">
        <v>44.29</v>
      </c>
      <c r="J537" s="27" t="n">
        <v>50</v>
      </c>
      <c r="K537" s="27" t="n">
        <v>45</v>
      </c>
    </row>
    <row r="538" customFormat="false" ht="13.8" hidden="false" customHeight="false" outlineLevel="0" collapsed="false">
      <c r="A538" s="21" t="n">
        <v>15</v>
      </c>
      <c r="B538" s="21" t="n">
        <v>2022</v>
      </c>
      <c r="C538" s="26" t="n">
        <v>44749</v>
      </c>
      <c r="D538" s="21" t="s">
        <v>685</v>
      </c>
      <c r="E538" s="21" t="s">
        <v>16</v>
      </c>
      <c r="F538" s="21" t="s">
        <v>658</v>
      </c>
      <c r="G538" s="27" t="n">
        <v>60</v>
      </c>
      <c r="H538" s="27" t="n">
        <v>60</v>
      </c>
      <c r="I538" s="27" t="n">
        <v>60</v>
      </c>
      <c r="J538" s="21" t="s">
        <v>556</v>
      </c>
      <c r="K538" s="27" t="n">
        <v>60</v>
      </c>
    </row>
    <row r="539" customFormat="false" ht="13.8" hidden="false" customHeight="false" outlineLevel="0" collapsed="false">
      <c r="A539" s="21" t="n">
        <v>15</v>
      </c>
      <c r="B539" s="21" t="n">
        <v>2022</v>
      </c>
      <c r="C539" s="26" t="n">
        <v>44749</v>
      </c>
      <c r="D539" s="21" t="s">
        <v>685</v>
      </c>
      <c r="E539" s="21" t="s">
        <v>18</v>
      </c>
      <c r="F539" s="21" t="s">
        <v>658</v>
      </c>
      <c r="G539" s="27" t="n">
        <v>60</v>
      </c>
      <c r="H539" s="27" t="n">
        <v>60</v>
      </c>
      <c r="I539" s="27" t="n">
        <v>60</v>
      </c>
      <c r="J539" s="21" t="s">
        <v>556</v>
      </c>
      <c r="K539" s="27" t="n">
        <v>60</v>
      </c>
    </row>
    <row r="540" customFormat="false" ht="25" hidden="false" customHeight="false" outlineLevel="0" collapsed="false">
      <c r="A540" s="21" t="n">
        <v>15</v>
      </c>
      <c r="B540" s="21" t="n">
        <v>2022</v>
      </c>
      <c r="C540" s="26" t="n">
        <v>44749</v>
      </c>
      <c r="D540" s="21" t="s">
        <v>685</v>
      </c>
      <c r="E540" s="21" t="s">
        <v>659</v>
      </c>
      <c r="F540" s="21" t="s">
        <v>658</v>
      </c>
      <c r="G540" s="27" t="n">
        <v>36</v>
      </c>
      <c r="H540" s="27" t="n">
        <v>42</v>
      </c>
      <c r="I540" s="27" t="n">
        <v>39</v>
      </c>
      <c r="J540" s="21" t="s">
        <v>556</v>
      </c>
      <c r="K540" s="27" t="n">
        <v>39</v>
      </c>
    </row>
    <row r="541" customFormat="false" ht="13.8" hidden="false" customHeight="false" outlineLevel="0" collapsed="false">
      <c r="A541" s="21" t="n">
        <v>15</v>
      </c>
      <c r="B541" s="21" t="n">
        <v>2022</v>
      </c>
      <c r="C541" s="26" t="n">
        <v>44749</v>
      </c>
      <c r="D541" s="21" t="s">
        <v>685</v>
      </c>
      <c r="E541" s="21" t="s">
        <v>20</v>
      </c>
      <c r="F541" s="21" t="s">
        <v>658</v>
      </c>
      <c r="G541" s="27" t="n">
        <v>18</v>
      </c>
      <c r="H541" s="27" t="n">
        <v>24</v>
      </c>
      <c r="I541" s="27" t="n">
        <v>21</v>
      </c>
      <c r="J541" s="21" t="s">
        <v>556</v>
      </c>
      <c r="K541" s="27" t="n">
        <v>21</v>
      </c>
    </row>
    <row r="542" customFormat="false" ht="13.8" hidden="false" customHeight="false" outlineLevel="0" collapsed="false">
      <c r="A542" s="21" t="n">
        <v>15</v>
      </c>
      <c r="B542" s="21" t="n">
        <v>2022</v>
      </c>
      <c r="C542" s="26" t="n">
        <v>44749</v>
      </c>
      <c r="D542" s="21" t="s">
        <v>685</v>
      </c>
      <c r="E542" s="21" t="s">
        <v>21</v>
      </c>
      <c r="F542" s="21" t="s">
        <v>658</v>
      </c>
      <c r="G542" s="27" t="n">
        <v>24</v>
      </c>
      <c r="H542" s="27" t="n">
        <v>24</v>
      </c>
      <c r="I542" s="27" t="n">
        <v>24</v>
      </c>
      <c r="J542" s="27" t="n">
        <v>24</v>
      </c>
      <c r="K542" s="27" t="n">
        <v>24</v>
      </c>
    </row>
    <row r="543" customFormat="false" ht="13.8" hidden="false" customHeight="false" outlineLevel="0" collapsed="false">
      <c r="A543" s="21" t="n">
        <v>15</v>
      </c>
      <c r="B543" s="21" t="n">
        <v>2022</v>
      </c>
      <c r="C543" s="26" t="n">
        <v>44749</v>
      </c>
      <c r="D543" s="21" t="s">
        <v>685</v>
      </c>
      <c r="E543" s="21" t="s">
        <v>22</v>
      </c>
      <c r="F543" s="21" t="s">
        <v>658</v>
      </c>
      <c r="G543" s="27" t="n">
        <v>48</v>
      </c>
      <c r="H543" s="27" t="n">
        <v>48</v>
      </c>
      <c r="I543" s="27" t="n">
        <v>48</v>
      </c>
      <c r="J543" s="21" t="s">
        <v>556</v>
      </c>
      <c r="K543" s="27" t="n">
        <v>48</v>
      </c>
    </row>
    <row r="544" customFormat="false" ht="13.8" hidden="false" customHeight="false" outlineLevel="0" collapsed="false">
      <c r="A544" s="21" t="n">
        <v>15</v>
      </c>
      <c r="B544" s="21" t="n">
        <v>2022</v>
      </c>
      <c r="C544" s="26" t="n">
        <v>44749</v>
      </c>
      <c r="D544" s="21" t="s">
        <v>685</v>
      </c>
      <c r="E544" s="21" t="s">
        <v>46</v>
      </c>
      <c r="F544" s="21" t="s">
        <v>660</v>
      </c>
      <c r="G544" s="27" t="n">
        <v>30</v>
      </c>
      <c r="H544" s="27" t="n">
        <v>60</v>
      </c>
      <c r="I544" s="27" t="n">
        <v>48.75</v>
      </c>
      <c r="J544" s="27" t="n">
        <v>60</v>
      </c>
      <c r="K544" s="27" t="n">
        <v>52.5</v>
      </c>
    </row>
    <row r="545" customFormat="false" ht="25" hidden="false" customHeight="false" outlineLevel="0" collapsed="false">
      <c r="A545" s="21" t="n">
        <v>15</v>
      </c>
      <c r="B545" s="21" t="n">
        <v>2022</v>
      </c>
      <c r="C545" s="26" t="n">
        <v>44749</v>
      </c>
      <c r="D545" s="21" t="s">
        <v>685</v>
      </c>
      <c r="E545" s="21" t="s">
        <v>48</v>
      </c>
      <c r="F545" s="21" t="s">
        <v>661</v>
      </c>
      <c r="G545" s="27" t="n">
        <v>30</v>
      </c>
      <c r="H545" s="27" t="n">
        <v>55</v>
      </c>
      <c r="I545" s="27" t="n">
        <v>38.89</v>
      </c>
      <c r="J545" s="27" t="n">
        <v>40</v>
      </c>
      <c r="K545" s="27" t="n">
        <v>40</v>
      </c>
    </row>
    <row r="546" customFormat="false" ht="25" hidden="false" customHeight="false" outlineLevel="0" collapsed="false">
      <c r="A546" s="21" t="n">
        <v>15</v>
      </c>
      <c r="B546" s="21" t="n">
        <v>2022</v>
      </c>
      <c r="C546" s="26" t="n">
        <v>44749</v>
      </c>
      <c r="D546" s="21" t="s">
        <v>685</v>
      </c>
      <c r="E546" s="21" t="s">
        <v>52</v>
      </c>
      <c r="F546" s="21" t="s">
        <v>661</v>
      </c>
      <c r="G546" s="27" t="n">
        <v>140</v>
      </c>
      <c r="H546" s="27" t="n">
        <v>140</v>
      </c>
      <c r="I546" s="27" t="n">
        <v>140</v>
      </c>
      <c r="J546" s="27" t="n">
        <v>140</v>
      </c>
      <c r="K546" s="27" t="n">
        <v>140</v>
      </c>
    </row>
    <row r="547" customFormat="false" ht="13.8" hidden="false" customHeight="false" outlineLevel="0" collapsed="false">
      <c r="A547" s="21" t="n">
        <v>15</v>
      </c>
      <c r="B547" s="21" t="n">
        <v>2022</v>
      </c>
      <c r="C547" s="26" t="n">
        <v>44749</v>
      </c>
      <c r="D547" s="21" t="s">
        <v>685</v>
      </c>
      <c r="E547" s="21" t="s">
        <v>53</v>
      </c>
      <c r="F547" s="21" t="s">
        <v>662</v>
      </c>
      <c r="G547" s="27" t="n">
        <v>50</v>
      </c>
      <c r="H547" s="27" t="n">
        <v>75</v>
      </c>
      <c r="I547" s="27" t="n">
        <v>61.67</v>
      </c>
      <c r="J547" s="27" t="n">
        <v>60</v>
      </c>
      <c r="K547" s="27" t="n">
        <v>60</v>
      </c>
    </row>
    <row r="548" customFormat="false" ht="36.5" hidden="false" customHeight="false" outlineLevel="0" collapsed="false">
      <c r="A548" s="21" t="n">
        <v>15</v>
      </c>
      <c r="B548" s="21" t="n">
        <v>2022</v>
      </c>
      <c r="C548" s="26" t="n">
        <v>44749</v>
      </c>
      <c r="D548" s="21" t="s">
        <v>685</v>
      </c>
      <c r="E548" s="21" t="s">
        <v>663</v>
      </c>
      <c r="F548" s="21" t="s">
        <v>658</v>
      </c>
      <c r="G548" s="27" t="n">
        <v>72</v>
      </c>
      <c r="H548" s="27" t="n">
        <v>72</v>
      </c>
      <c r="I548" s="27" t="n">
        <v>72</v>
      </c>
      <c r="J548" s="21" t="s">
        <v>556</v>
      </c>
      <c r="K548" s="27" t="n">
        <v>72</v>
      </c>
    </row>
    <row r="549" customFormat="false" ht="25" hidden="false" customHeight="false" outlineLevel="0" collapsed="false">
      <c r="A549" s="21" t="n">
        <v>15</v>
      </c>
      <c r="B549" s="21" t="n">
        <v>2022</v>
      </c>
      <c r="C549" s="26" t="n">
        <v>44749</v>
      </c>
      <c r="D549" s="21" t="s">
        <v>685</v>
      </c>
      <c r="E549" s="21" t="s">
        <v>24</v>
      </c>
      <c r="F549" s="21" t="s">
        <v>658</v>
      </c>
      <c r="G549" s="27" t="n">
        <v>72</v>
      </c>
      <c r="H549" s="27" t="n">
        <v>72</v>
      </c>
      <c r="I549" s="27" t="n">
        <v>72</v>
      </c>
      <c r="J549" s="21" t="s">
        <v>556</v>
      </c>
      <c r="K549" s="27" t="n">
        <v>72</v>
      </c>
    </row>
    <row r="550" customFormat="false" ht="13.8" hidden="false" customHeight="false" outlineLevel="0" collapsed="false">
      <c r="A550" s="21" t="n">
        <v>15</v>
      </c>
      <c r="B550" s="21" t="n">
        <v>2022</v>
      </c>
      <c r="C550" s="26" t="n">
        <v>44749</v>
      </c>
      <c r="D550" s="21" t="s">
        <v>685</v>
      </c>
      <c r="E550" s="21" t="s">
        <v>70</v>
      </c>
      <c r="F550" s="21" t="s">
        <v>657</v>
      </c>
      <c r="G550" s="27" t="n">
        <v>70</v>
      </c>
      <c r="H550" s="27" t="n">
        <v>70</v>
      </c>
      <c r="I550" s="27" t="n">
        <v>70</v>
      </c>
      <c r="J550" s="21" t="s">
        <v>556</v>
      </c>
      <c r="K550" s="27" t="n">
        <v>70</v>
      </c>
    </row>
    <row r="551" customFormat="false" ht="25" hidden="false" customHeight="false" outlineLevel="0" collapsed="false">
      <c r="A551" s="21" t="n">
        <v>15</v>
      </c>
      <c r="B551" s="21" t="n">
        <v>2022</v>
      </c>
      <c r="C551" s="26" t="n">
        <v>44749</v>
      </c>
      <c r="D551" s="21" t="s">
        <v>685</v>
      </c>
      <c r="E551" s="21" t="s">
        <v>681</v>
      </c>
      <c r="F551" s="21" t="s">
        <v>657</v>
      </c>
      <c r="G551" s="21" t="s">
        <v>556</v>
      </c>
      <c r="H551" s="21" t="s">
        <v>556</v>
      </c>
      <c r="I551" s="21" t="s">
        <v>556</v>
      </c>
      <c r="J551" s="21" t="s">
        <v>556</v>
      </c>
      <c r="K551" s="21" t="s">
        <v>556</v>
      </c>
    </row>
    <row r="552" customFormat="false" ht="25" hidden="false" customHeight="false" outlineLevel="0" collapsed="false">
      <c r="A552" s="21" t="n">
        <v>15</v>
      </c>
      <c r="B552" s="21" t="n">
        <v>2022</v>
      </c>
      <c r="C552" s="26" t="n">
        <v>44749</v>
      </c>
      <c r="D552" s="21" t="s">
        <v>685</v>
      </c>
      <c r="E552" s="21" t="s">
        <v>72</v>
      </c>
      <c r="F552" s="21" t="s">
        <v>657</v>
      </c>
      <c r="G552" s="21" t="s">
        <v>556</v>
      </c>
      <c r="H552" s="21" t="s">
        <v>556</v>
      </c>
      <c r="I552" s="21" t="s">
        <v>556</v>
      </c>
      <c r="J552" s="21" t="s">
        <v>556</v>
      </c>
      <c r="K552" s="21" t="s">
        <v>556</v>
      </c>
    </row>
    <row r="553" customFormat="false" ht="13.8" hidden="false" customHeight="false" outlineLevel="0" collapsed="false">
      <c r="A553" s="21" t="n">
        <v>15</v>
      </c>
      <c r="B553" s="21" t="n">
        <v>2022</v>
      </c>
      <c r="C553" s="26" t="n">
        <v>44749</v>
      </c>
      <c r="D553" s="21" t="s">
        <v>685</v>
      </c>
      <c r="E553" s="21" t="s">
        <v>35</v>
      </c>
      <c r="F553" s="21" t="s">
        <v>670</v>
      </c>
      <c r="G553" s="27" t="n">
        <v>3</v>
      </c>
      <c r="H553" s="27" t="n">
        <v>4</v>
      </c>
      <c r="I553" s="27" t="n">
        <v>3.5</v>
      </c>
      <c r="J553" s="21" t="s">
        <v>556</v>
      </c>
      <c r="K553" s="27" t="n">
        <v>3.5</v>
      </c>
    </row>
    <row r="554" customFormat="false" ht="13.8" hidden="false" customHeight="false" outlineLevel="0" collapsed="false">
      <c r="A554" s="21" t="n">
        <v>15</v>
      </c>
      <c r="B554" s="21" t="n">
        <v>2022</v>
      </c>
      <c r="C554" s="26" t="n">
        <v>44749</v>
      </c>
      <c r="D554" s="21" t="s">
        <v>685</v>
      </c>
      <c r="E554" s="21" t="s">
        <v>56</v>
      </c>
      <c r="F554" s="21" t="s">
        <v>660</v>
      </c>
      <c r="G554" s="27" t="n">
        <v>40</v>
      </c>
      <c r="H554" s="27" t="n">
        <v>65</v>
      </c>
      <c r="I554" s="27" t="n">
        <v>53.33</v>
      </c>
      <c r="J554" s="27" t="n">
        <v>55</v>
      </c>
      <c r="K554" s="27" t="n">
        <v>55</v>
      </c>
    </row>
    <row r="555" customFormat="false" ht="13.8" hidden="false" customHeight="false" outlineLevel="0" collapsed="false">
      <c r="A555" s="21" t="n">
        <v>15</v>
      </c>
      <c r="B555" s="21" t="n">
        <v>2022</v>
      </c>
      <c r="C555" s="26" t="n">
        <v>44749</v>
      </c>
      <c r="D555" s="21" t="s">
        <v>685</v>
      </c>
      <c r="E555" s="21" t="s">
        <v>57</v>
      </c>
      <c r="F555" s="21" t="s">
        <v>665</v>
      </c>
      <c r="G555" s="27" t="n">
        <v>50</v>
      </c>
      <c r="H555" s="27" t="n">
        <v>70</v>
      </c>
      <c r="I555" s="27" t="n">
        <v>61.25</v>
      </c>
      <c r="J555" s="27" t="n">
        <v>70</v>
      </c>
      <c r="K555" s="27" t="n">
        <v>60</v>
      </c>
    </row>
    <row r="556" customFormat="false" ht="25" hidden="false" customHeight="false" outlineLevel="0" collapsed="false">
      <c r="A556" s="21" t="n">
        <v>15</v>
      </c>
      <c r="B556" s="21" t="n">
        <v>2022</v>
      </c>
      <c r="C556" s="26" t="n">
        <v>44749</v>
      </c>
      <c r="D556" s="21" t="s">
        <v>685</v>
      </c>
      <c r="E556" s="21" t="s">
        <v>38</v>
      </c>
      <c r="F556" s="21" t="s">
        <v>682</v>
      </c>
      <c r="G556" s="27" t="n">
        <v>15</v>
      </c>
      <c r="H556" s="27" t="n">
        <v>25</v>
      </c>
      <c r="I556" s="27" t="n">
        <v>20</v>
      </c>
      <c r="J556" s="21" t="s">
        <v>556</v>
      </c>
      <c r="K556" s="27" t="n">
        <v>20</v>
      </c>
    </row>
    <row r="557" customFormat="false" ht="25" hidden="false" customHeight="false" outlineLevel="0" collapsed="false">
      <c r="A557" s="21" t="n">
        <v>15</v>
      </c>
      <c r="B557" s="21" t="n">
        <v>2022</v>
      </c>
      <c r="C557" s="26" t="n">
        <v>44749</v>
      </c>
      <c r="D557" s="21" t="s">
        <v>685</v>
      </c>
      <c r="E557" s="21" t="s">
        <v>666</v>
      </c>
      <c r="F557" s="21" t="s">
        <v>658</v>
      </c>
      <c r="G557" s="27" t="n">
        <v>24</v>
      </c>
      <c r="H557" s="27" t="n">
        <v>30</v>
      </c>
      <c r="I557" s="27" t="n">
        <v>27</v>
      </c>
      <c r="J557" s="21" t="s">
        <v>556</v>
      </c>
      <c r="K557" s="27" t="n">
        <v>27</v>
      </c>
    </row>
    <row r="558" customFormat="false" ht="13.8" hidden="false" customHeight="false" outlineLevel="0" collapsed="false">
      <c r="A558" s="21" t="n">
        <v>15</v>
      </c>
      <c r="B558" s="21" t="n">
        <v>2022</v>
      </c>
      <c r="C558" s="26" t="n">
        <v>44749</v>
      </c>
      <c r="D558" s="21" t="s">
        <v>685</v>
      </c>
      <c r="E558" s="21" t="s">
        <v>77</v>
      </c>
      <c r="F558" s="21" t="s">
        <v>658</v>
      </c>
      <c r="G558" s="27" t="n">
        <v>60</v>
      </c>
      <c r="H558" s="27" t="n">
        <v>72</v>
      </c>
      <c r="I558" s="27" t="n">
        <v>64</v>
      </c>
      <c r="J558" s="27" t="n">
        <v>60</v>
      </c>
      <c r="K558" s="27" t="n">
        <v>60</v>
      </c>
    </row>
    <row r="559" customFormat="false" ht="13.8" hidden="false" customHeight="false" outlineLevel="0" collapsed="false">
      <c r="A559" s="21" t="n">
        <v>15</v>
      </c>
      <c r="B559" s="21" t="n">
        <v>2022</v>
      </c>
      <c r="C559" s="26" t="n">
        <v>44749</v>
      </c>
      <c r="D559" s="21" t="s">
        <v>685</v>
      </c>
      <c r="E559" s="21" t="s">
        <v>27</v>
      </c>
      <c r="F559" s="21" t="s">
        <v>658</v>
      </c>
      <c r="G559" s="27" t="n">
        <v>24</v>
      </c>
      <c r="H559" s="27" t="n">
        <v>24</v>
      </c>
      <c r="I559" s="27" t="n">
        <v>24</v>
      </c>
      <c r="J559" s="27" t="n">
        <v>24</v>
      </c>
      <c r="K559" s="27" t="n">
        <v>24</v>
      </c>
    </row>
    <row r="560" customFormat="false" ht="13.8" hidden="false" customHeight="false" outlineLevel="0" collapsed="false">
      <c r="A560" s="21" t="n">
        <v>15</v>
      </c>
      <c r="B560" s="21" t="n">
        <v>2022</v>
      </c>
      <c r="C560" s="26" t="n">
        <v>44749</v>
      </c>
      <c r="D560" s="21" t="s">
        <v>685</v>
      </c>
      <c r="E560" s="21" t="s">
        <v>28</v>
      </c>
      <c r="F560" s="21" t="s">
        <v>658</v>
      </c>
      <c r="G560" s="21" t="s">
        <v>556</v>
      </c>
      <c r="H560" s="21" t="s">
        <v>556</v>
      </c>
      <c r="I560" s="21" t="s">
        <v>556</v>
      </c>
      <c r="J560" s="21" t="s">
        <v>556</v>
      </c>
      <c r="K560" s="21" t="s">
        <v>556</v>
      </c>
    </row>
    <row r="561" customFormat="false" ht="13.8" hidden="false" customHeight="false" outlineLevel="0" collapsed="false">
      <c r="A561" s="21" t="n">
        <v>15</v>
      </c>
      <c r="B561" s="21" t="n">
        <v>2022</v>
      </c>
      <c r="C561" s="26" t="n">
        <v>44749</v>
      </c>
      <c r="D561" s="21" t="s">
        <v>685</v>
      </c>
      <c r="E561" s="21" t="s">
        <v>73</v>
      </c>
      <c r="F561" s="21" t="s">
        <v>661</v>
      </c>
      <c r="G561" s="27" t="n">
        <v>54</v>
      </c>
      <c r="H561" s="27" t="n">
        <v>54</v>
      </c>
      <c r="I561" s="27" t="n">
        <v>54</v>
      </c>
      <c r="J561" s="21" t="s">
        <v>556</v>
      </c>
      <c r="K561" s="27" t="n">
        <v>54</v>
      </c>
    </row>
    <row r="562" customFormat="false" ht="13.8" hidden="false" customHeight="false" outlineLevel="0" collapsed="false">
      <c r="A562" s="21" t="n">
        <v>15</v>
      </c>
      <c r="B562" s="21" t="n">
        <v>2022</v>
      </c>
      <c r="C562" s="26" t="n">
        <v>44749</v>
      </c>
      <c r="D562" s="21" t="s">
        <v>685</v>
      </c>
      <c r="E562" s="21" t="s">
        <v>58</v>
      </c>
      <c r="F562" s="21" t="s">
        <v>657</v>
      </c>
      <c r="G562" s="27" t="n">
        <v>75</v>
      </c>
      <c r="H562" s="27" t="n">
        <v>180</v>
      </c>
      <c r="I562" s="27" t="n">
        <v>110.63</v>
      </c>
      <c r="J562" s="27" t="n">
        <v>100</v>
      </c>
      <c r="K562" s="27" t="n">
        <v>100</v>
      </c>
    </row>
    <row r="563" customFormat="false" ht="25" hidden="false" customHeight="false" outlineLevel="0" collapsed="false">
      <c r="A563" s="21" t="n">
        <v>15</v>
      </c>
      <c r="B563" s="21" t="n">
        <v>2022</v>
      </c>
      <c r="C563" s="26" t="n">
        <v>44749</v>
      </c>
      <c r="D563" s="21" t="s">
        <v>685</v>
      </c>
      <c r="E563" s="21" t="s">
        <v>74</v>
      </c>
      <c r="F563" s="21" t="s">
        <v>667</v>
      </c>
      <c r="G563" s="27" t="n">
        <v>45</v>
      </c>
      <c r="H563" s="27" t="n">
        <v>50</v>
      </c>
      <c r="I563" s="27" t="n">
        <v>47.5</v>
      </c>
      <c r="J563" s="21" t="s">
        <v>556</v>
      </c>
      <c r="K563" s="27" t="n">
        <v>47.5</v>
      </c>
    </row>
    <row r="564" customFormat="false" ht="25" hidden="false" customHeight="false" outlineLevel="0" collapsed="false">
      <c r="A564" s="21" t="n">
        <v>15</v>
      </c>
      <c r="B564" s="21" t="n">
        <v>2022</v>
      </c>
      <c r="C564" s="26" t="n">
        <v>44749</v>
      </c>
      <c r="D564" s="21" t="s">
        <v>685</v>
      </c>
      <c r="E564" s="21" t="s">
        <v>61</v>
      </c>
      <c r="F564" s="21" t="s">
        <v>657</v>
      </c>
      <c r="G564" s="27" t="n">
        <v>70</v>
      </c>
      <c r="H564" s="27" t="n">
        <v>85</v>
      </c>
      <c r="I564" s="27" t="n">
        <v>76.67</v>
      </c>
      <c r="J564" s="27" t="n">
        <v>70</v>
      </c>
      <c r="K564" s="27" t="n">
        <v>77.5</v>
      </c>
    </row>
    <row r="565" customFormat="false" ht="25" hidden="false" customHeight="false" outlineLevel="0" collapsed="false">
      <c r="A565" s="21" t="n">
        <v>15</v>
      </c>
      <c r="B565" s="21" t="n">
        <v>2022</v>
      </c>
      <c r="C565" s="26" t="n">
        <v>44749</v>
      </c>
      <c r="D565" s="21" t="s">
        <v>685</v>
      </c>
      <c r="E565" s="21" t="s">
        <v>62</v>
      </c>
      <c r="F565" s="21" t="s">
        <v>662</v>
      </c>
      <c r="G565" s="27" t="n">
        <v>75</v>
      </c>
      <c r="H565" s="27" t="n">
        <v>110</v>
      </c>
      <c r="I565" s="27" t="n">
        <v>92.86</v>
      </c>
      <c r="J565" s="27" t="n">
        <v>110</v>
      </c>
      <c r="K565" s="27" t="n">
        <v>90</v>
      </c>
    </row>
    <row r="566" customFormat="false" ht="25" hidden="false" customHeight="false" outlineLevel="0" collapsed="false">
      <c r="A566" s="21" t="n">
        <v>15</v>
      </c>
      <c r="B566" s="21" t="n">
        <v>2022</v>
      </c>
      <c r="C566" s="26" t="n">
        <v>44749</v>
      </c>
      <c r="D566" s="21" t="s">
        <v>685</v>
      </c>
      <c r="E566" s="21" t="s">
        <v>63</v>
      </c>
      <c r="F566" s="21" t="s">
        <v>661</v>
      </c>
      <c r="G566" s="27" t="n">
        <v>40</v>
      </c>
      <c r="H566" s="27" t="n">
        <v>55</v>
      </c>
      <c r="I566" s="27" t="n">
        <v>44.17</v>
      </c>
      <c r="J566" s="27" t="n">
        <v>40</v>
      </c>
      <c r="K566" s="27" t="n">
        <v>42.5</v>
      </c>
    </row>
    <row r="567" customFormat="false" ht="13.8" hidden="false" customHeight="false" outlineLevel="0" collapsed="false">
      <c r="A567" s="21" t="n">
        <v>15</v>
      </c>
      <c r="B567" s="21" t="n">
        <v>2022</v>
      </c>
      <c r="C567" s="26" t="n">
        <v>44749</v>
      </c>
      <c r="D567" s="21" t="s">
        <v>685</v>
      </c>
      <c r="E567" s="21" t="s">
        <v>64</v>
      </c>
      <c r="F567" s="21" t="s">
        <v>658</v>
      </c>
      <c r="G567" s="27" t="n">
        <v>100</v>
      </c>
      <c r="H567" s="27" t="n">
        <v>130</v>
      </c>
      <c r="I567" s="27" t="n">
        <v>110</v>
      </c>
      <c r="J567" s="27" t="n">
        <v>110</v>
      </c>
      <c r="K567" s="27" t="n">
        <v>110</v>
      </c>
    </row>
    <row r="568" customFormat="false" ht="13.8" hidden="false" customHeight="false" outlineLevel="0" collapsed="false">
      <c r="A568" s="21" t="n">
        <v>15</v>
      </c>
      <c r="B568" s="21" t="n">
        <v>2022</v>
      </c>
      <c r="C568" s="26" t="n">
        <v>44749</v>
      </c>
      <c r="D568" s="21" t="s">
        <v>685</v>
      </c>
      <c r="E568" s="21" t="s">
        <v>29</v>
      </c>
      <c r="F568" s="21" t="s">
        <v>658</v>
      </c>
      <c r="G568" s="27" t="n">
        <v>36</v>
      </c>
      <c r="H568" s="27" t="n">
        <v>36</v>
      </c>
      <c r="I568" s="27" t="n">
        <v>36</v>
      </c>
      <c r="J568" s="21" t="s">
        <v>556</v>
      </c>
      <c r="K568" s="27" t="n">
        <v>36</v>
      </c>
    </row>
    <row r="569" customFormat="false" ht="13.8" hidden="false" customHeight="false" outlineLevel="0" collapsed="false">
      <c r="A569" s="21" t="n">
        <v>15</v>
      </c>
      <c r="B569" s="21" t="n">
        <v>2022</v>
      </c>
      <c r="C569" s="26" t="n">
        <v>44749</v>
      </c>
      <c r="D569" s="21" t="s">
        <v>685</v>
      </c>
      <c r="E569" s="21" t="s">
        <v>31</v>
      </c>
      <c r="F569" s="21" t="s">
        <v>658</v>
      </c>
      <c r="G569" s="27" t="n">
        <v>50</v>
      </c>
      <c r="H569" s="27" t="n">
        <v>50</v>
      </c>
      <c r="I569" s="27" t="n">
        <v>50</v>
      </c>
      <c r="J569" s="21" t="s">
        <v>556</v>
      </c>
      <c r="K569" s="27" t="n">
        <v>50</v>
      </c>
    </row>
    <row r="570" customFormat="false" ht="25" hidden="false" customHeight="false" outlineLevel="0" collapsed="false">
      <c r="A570" s="21" t="n">
        <v>15</v>
      </c>
      <c r="B570" s="21" t="n">
        <v>2022</v>
      </c>
      <c r="C570" s="26" t="n">
        <v>44749</v>
      </c>
      <c r="D570" s="21" t="s">
        <v>685</v>
      </c>
      <c r="E570" s="21" t="s">
        <v>668</v>
      </c>
      <c r="F570" s="21" t="s">
        <v>658</v>
      </c>
      <c r="G570" s="27" t="n">
        <v>50</v>
      </c>
      <c r="H570" s="27" t="n">
        <v>50</v>
      </c>
      <c r="I570" s="27" t="n">
        <v>50</v>
      </c>
      <c r="J570" s="21" t="s">
        <v>556</v>
      </c>
      <c r="K570" s="27" t="n">
        <v>50</v>
      </c>
    </row>
    <row r="571" customFormat="false" ht="13.8" hidden="false" customHeight="false" outlineLevel="0" collapsed="false">
      <c r="A571" s="21" t="n">
        <v>15</v>
      </c>
      <c r="B571" s="21" t="n">
        <v>2022</v>
      </c>
      <c r="C571" s="26" t="n">
        <v>44749</v>
      </c>
      <c r="D571" s="21" t="s">
        <v>685</v>
      </c>
      <c r="E571" s="21" t="s">
        <v>33</v>
      </c>
      <c r="F571" s="21" t="s">
        <v>658</v>
      </c>
      <c r="G571" s="27" t="n">
        <v>48</v>
      </c>
      <c r="H571" s="27" t="n">
        <v>48</v>
      </c>
      <c r="I571" s="27" t="n">
        <v>48</v>
      </c>
      <c r="J571" s="21" t="s">
        <v>556</v>
      </c>
      <c r="K571" s="27" t="n">
        <v>48</v>
      </c>
    </row>
    <row r="572" customFormat="false" ht="25" hidden="false" customHeight="false" outlineLevel="0" collapsed="false">
      <c r="A572" s="21" t="n">
        <v>15</v>
      </c>
      <c r="B572" s="21" t="n">
        <v>2022</v>
      </c>
      <c r="C572" s="26" t="n">
        <v>44749</v>
      </c>
      <c r="D572" s="21" t="s">
        <v>685</v>
      </c>
      <c r="E572" s="21" t="s">
        <v>669</v>
      </c>
      <c r="F572" s="21" t="s">
        <v>682</v>
      </c>
      <c r="G572" s="27" t="n">
        <v>20</v>
      </c>
      <c r="H572" s="27" t="n">
        <v>30</v>
      </c>
      <c r="I572" s="27" t="n">
        <v>25</v>
      </c>
      <c r="J572" s="21" t="s">
        <v>556</v>
      </c>
      <c r="K572" s="27" t="n">
        <v>25</v>
      </c>
    </row>
    <row r="573" customFormat="false" ht="25" hidden="false" customHeight="false" outlineLevel="0" collapsed="false">
      <c r="A573" s="21" t="n">
        <v>15</v>
      </c>
      <c r="B573" s="21" t="n">
        <v>2022</v>
      </c>
      <c r="C573" s="26" t="n">
        <v>44749</v>
      </c>
      <c r="D573" s="21" t="s">
        <v>685</v>
      </c>
      <c r="E573" s="21" t="s">
        <v>67</v>
      </c>
      <c r="F573" s="21" t="s">
        <v>662</v>
      </c>
      <c r="G573" s="27" t="n">
        <v>50</v>
      </c>
      <c r="H573" s="27" t="n">
        <v>70</v>
      </c>
      <c r="I573" s="27" t="n">
        <v>63.13</v>
      </c>
      <c r="J573" s="27" t="n">
        <v>70</v>
      </c>
      <c r="K573" s="27" t="n">
        <v>62.5</v>
      </c>
    </row>
    <row r="574" customFormat="false" ht="25" hidden="false" customHeight="false" outlineLevel="0" collapsed="false">
      <c r="A574" s="21" t="n">
        <v>15</v>
      </c>
      <c r="B574" s="21" t="n">
        <v>2022</v>
      </c>
      <c r="C574" s="26" t="n">
        <v>44749</v>
      </c>
      <c r="D574" s="21" t="s">
        <v>685</v>
      </c>
      <c r="E574" s="21" t="s">
        <v>68</v>
      </c>
      <c r="F574" s="21" t="s">
        <v>657</v>
      </c>
      <c r="G574" s="27" t="n">
        <v>100</v>
      </c>
      <c r="H574" s="27" t="n">
        <v>160</v>
      </c>
      <c r="I574" s="27" t="n">
        <v>140</v>
      </c>
      <c r="J574" s="27" t="n">
        <v>150</v>
      </c>
      <c r="K574" s="27" t="n">
        <v>150</v>
      </c>
    </row>
    <row r="575" customFormat="false" ht="25" hidden="false" customHeight="false" outlineLevel="0" collapsed="false">
      <c r="A575" s="21" t="n">
        <v>16</v>
      </c>
      <c r="B575" s="21" t="n">
        <v>2022</v>
      </c>
      <c r="C575" s="26" t="n">
        <v>44756</v>
      </c>
      <c r="D575" s="21" t="s">
        <v>686</v>
      </c>
      <c r="E575" s="21" t="s">
        <v>656</v>
      </c>
      <c r="F575" s="21" t="s">
        <v>687</v>
      </c>
      <c r="G575" s="27" t="n">
        <v>40</v>
      </c>
      <c r="H575" s="27" t="n">
        <v>60</v>
      </c>
      <c r="I575" s="27" t="n">
        <v>51.43</v>
      </c>
      <c r="J575" s="27" t="n">
        <v>50</v>
      </c>
      <c r="K575" s="27" t="n">
        <v>50</v>
      </c>
    </row>
    <row r="576" customFormat="false" ht="25" hidden="false" customHeight="false" outlineLevel="0" collapsed="false">
      <c r="A576" s="21" t="n">
        <v>16</v>
      </c>
      <c r="B576" s="21" t="n">
        <v>2022</v>
      </c>
      <c r="C576" s="26" t="n">
        <v>44756</v>
      </c>
      <c r="D576" s="21" t="s">
        <v>688</v>
      </c>
      <c r="E576" s="21" t="s">
        <v>16</v>
      </c>
      <c r="F576" s="21" t="s">
        <v>689</v>
      </c>
      <c r="G576" s="27" t="n">
        <v>36</v>
      </c>
      <c r="H576" s="27" t="n">
        <v>60</v>
      </c>
      <c r="I576" s="27" t="n">
        <v>45</v>
      </c>
      <c r="J576" s="27" t="n">
        <v>42</v>
      </c>
      <c r="K576" s="27" t="n">
        <v>42</v>
      </c>
    </row>
    <row r="577" customFormat="false" ht="25" hidden="false" customHeight="false" outlineLevel="0" collapsed="false">
      <c r="A577" s="21" t="n">
        <v>16</v>
      </c>
      <c r="B577" s="21" t="n">
        <v>2022</v>
      </c>
      <c r="C577" s="26" t="n">
        <v>44756</v>
      </c>
      <c r="D577" s="21" t="s">
        <v>688</v>
      </c>
      <c r="E577" s="21" t="s">
        <v>18</v>
      </c>
      <c r="F577" s="21" t="s">
        <v>687</v>
      </c>
      <c r="G577" s="27" t="n">
        <v>35</v>
      </c>
      <c r="H577" s="27" t="n">
        <v>45</v>
      </c>
      <c r="I577" s="27" t="n">
        <v>41</v>
      </c>
      <c r="J577" s="27" t="n">
        <v>42</v>
      </c>
      <c r="K577" s="27" t="n">
        <v>42</v>
      </c>
    </row>
    <row r="578" customFormat="false" ht="25" hidden="false" customHeight="false" outlineLevel="0" collapsed="false">
      <c r="A578" s="21" t="n">
        <v>16</v>
      </c>
      <c r="B578" s="21" t="n">
        <v>2022</v>
      </c>
      <c r="C578" s="26" t="n">
        <v>44756</v>
      </c>
      <c r="D578" s="21" t="s">
        <v>688</v>
      </c>
      <c r="E578" s="21" t="s">
        <v>659</v>
      </c>
      <c r="F578" s="21" t="s">
        <v>689</v>
      </c>
      <c r="G578" s="27" t="n">
        <v>24</v>
      </c>
      <c r="H578" s="27" t="n">
        <v>42</v>
      </c>
      <c r="I578" s="27" t="n">
        <v>32.2</v>
      </c>
      <c r="J578" s="27" t="n">
        <v>24</v>
      </c>
      <c r="K578" s="27" t="n">
        <v>35</v>
      </c>
    </row>
    <row r="579" customFormat="false" ht="25" hidden="false" customHeight="false" outlineLevel="0" collapsed="false">
      <c r="A579" s="21" t="n">
        <v>16</v>
      </c>
      <c r="B579" s="21" t="n">
        <v>2022</v>
      </c>
      <c r="C579" s="26" t="n">
        <v>44756</v>
      </c>
      <c r="D579" s="21" t="s">
        <v>688</v>
      </c>
      <c r="E579" s="21" t="s">
        <v>20</v>
      </c>
      <c r="F579" s="21" t="s">
        <v>689</v>
      </c>
      <c r="G579" s="27" t="n">
        <v>20</v>
      </c>
      <c r="H579" s="27" t="n">
        <v>30</v>
      </c>
      <c r="I579" s="27" t="n">
        <v>25.33</v>
      </c>
      <c r="J579" s="27" t="n">
        <v>24</v>
      </c>
      <c r="K579" s="27" t="n">
        <v>24</v>
      </c>
    </row>
    <row r="580" customFormat="false" ht="25" hidden="false" customHeight="false" outlineLevel="0" collapsed="false">
      <c r="A580" s="21" t="n">
        <v>16</v>
      </c>
      <c r="B580" s="21" t="n">
        <v>2022</v>
      </c>
      <c r="C580" s="26" t="n">
        <v>44756</v>
      </c>
      <c r="D580" s="21" t="s">
        <v>688</v>
      </c>
      <c r="E580" s="21" t="s">
        <v>21</v>
      </c>
      <c r="F580" s="21" t="s">
        <v>689</v>
      </c>
      <c r="G580" s="27" t="n">
        <v>24</v>
      </c>
      <c r="H580" s="27" t="n">
        <v>30</v>
      </c>
      <c r="I580" s="27" t="n">
        <v>26.4</v>
      </c>
      <c r="J580" s="27" t="n">
        <v>24</v>
      </c>
      <c r="K580" s="27" t="n">
        <v>24</v>
      </c>
    </row>
    <row r="581" customFormat="false" ht="25" hidden="false" customHeight="false" outlineLevel="0" collapsed="false">
      <c r="A581" s="21" t="n">
        <v>16</v>
      </c>
      <c r="B581" s="21" t="n">
        <v>2022</v>
      </c>
      <c r="C581" s="26" t="n">
        <v>44756</v>
      </c>
      <c r="D581" s="21" t="s">
        <v>688</v>
      </c>
      <c r="E581" s="21" t="s">
        <v>22</v>
      </c>
      <c r="F581" s="21" t="s">
        <v>687</v>
      </c>
      <c r="G581" s="27" t="n">
        <v>36</v>
      </c>
      <c r="H581" s="27" t="n">
        <v>48</v>
      </c>
      <c r="I581" s="27" t="n">
        <v>42</v>
      </c>
      <c r="J581" s="21" t="s">
        <v>556</v>
      </c>
      <c r="K581" s="27" t="n">
        <v>42</v>
      </c>
    </row>
    <row r="582" customFormat="false" ht="36.5" hidden="false" customHeight="false" outlineLevel="0" collapsed="false">
      <c r="A582" s="21" t="n">
        <v>16</v>
      </c>
      <c r="B582" s="21" t="n">
        <v>2022</v>
      </c>
      <c r="C582" s="26" t="n">
        <v>44756</v>
      </c>
      <c r="D582" s="21" t="s">
        <v>690</v>
      </c>
      <c r="E582" s="21" t="s">
        <v>46</v>
      </c>
      <c r="F582" s="21" t="s">
        <v>689</v>
      </c>
      <c r="G582" s="27" t="n">
        <v>35</v>
      </c>
      <c r="H582" s="27" t="n">
        <v>60</v>
      </c>
      <c r="I582" s="27" t="n">
        <v>49.17</v>
      </c>
      <c r="J582" s="27" t="n">
        <v>50</v>
      </c>
      <c r="K582" s="27" t="n">
        <v>50</v>
      </c>
    </row>
    <row r="583" customFormat="false" ht="25" hidden="false" customHeight="false" outlineLevel="0" collapsed="false">
      <c r="A583" s="21" t="n">
        <v>16</v>
      </c>
      <c r="B583" s="21" t="n">
        <v>2022</v>
      </c>
      <c r="C583" s="26" t="n">
        <v>44756</v>
      </c>
      <c r="D583" s="21" t="s">
        <v>686</v>
      </c>
      <c r="E583" s="21" t="s">
        <v>48</v>
      </c>
      <c r="F583" s="21" t="s">
        <v>689</v>
      </c>
      <c r="G583" s="27" t="n">
        <v>40</v>
      </c>
      <c r="H583" s="27" t="n">
        <v>55</v>
      </c>
      <c r="I583" s="27" t="n">
        <v>50</v>
      </c>
      <c r="J583" s="27" t="n">
        <v>55</v>
      </c>
      <c r="K583" s="27" t="n">
        <v>50</v>
      </c>
    </row>
    <row r="584" customFormat="false" ht="25" hidden="false" customHeight="false" outlineLevel="0" collapsed="false">
      <c r="A584" s="21" t="n">
        <v>16</v>
      </c>
      <c r="B584" s="21" t="n">
        <v>2022</v>
      </c>
      <c r="C584" s="26" t="n">
        <v>44756</v>
      </c>
      <c r="D584" s="21" t="s">
        <v>686</v>
      </c>
      <c r="E584" s="21" t="s">
        <v>52</v>
      </c>
      <c r="F584" s="21" t="s">
        <v>689</v>
      </c>
      <c r="G584" s="27" t="n">
        <v>120</v>
      </c>
      <c r="H584" s="27" t="n">
        <v>130</v>
      </c>
      <c r="I584" s="27" t="n">
        <v>126.67</v>
      </c>
      <c r="J584" s="27" t="n">
        <v>130</v>
      </c>
      <c r="K584" s="27" t="n">
        <v>130</v>
      </c>
    </row>
    <row r="585" customFormat="false" ht="36.5" hidden="false" customHeight="false" outlineLevel="0" collapsed="false">
      <c r="A585" s="21" t="n">
        <v>16</v>
      </c>
      <c r="B585" s="21" t="n">
        <v>2022</v>
      </c>
      <c r="C585" s="26" t="n">
        <v>44756</v>
      </c>
      <c r="D585" s="21" t="s">
        <v>690</v>
      </c>
      <c r="E585" s="21" t="s">
        <v>53</v>
      </c>
      <c r="F585" s="21" t="s">
        <v>689</v>
      </c>
      <c r="G585" s="27" t="n">
        <v>55</v>
      </c>
      <c r="H585" s="27" t="n">
        <v>65</v>
      </c>
      <c r="I585" s="27" t="n">
        <v>59.6</v>
      </c>
      <c r="J585" s="27" t="n">
        <v>60</v>
      </c>
      <c r="K585" s="27" t="n">
        <v>60</v>
      </c>
    </row>
    <row r="586" customFormat="false" ht="36.5" hidden="false" customHeight="false" outlineLevel="0" collapsed="false">
      <c r="A586" s="21" t="n">
        <v>16</v>
      </c>
      <c r="B586" s="21" t="n">
        <v>2022</v>
      </c>
      <c r="C586" s="26" t="n">
        <v>44756</v>
      </c>
      <c r="D586" s="21" t="s">
        <v>688</v>
      </c>
      <c r="E586" s="21" t="s">
        <v>663</v>
      </c>
      <c r="F586" s="21" t="s">
        <v>689</v>
      </c>
      <c r="G586" s="27" t="n">
        <v>48</v>
      </c>
      <c r="H586" s="27" t="n">
        <v>60</v>
      </c>
      <c r="I586" s="27" t="n">
        <v>57</v>
      </c>
      <c r="J586" s="27" t="n">
        <v>60</v>
      </c>
      <c r="K586" s="27" t="n">
        <v>60</v>
      </c>
    </row>
    <row r="587" customFormat="false" ht="25" hidden="false" customHeight="false" outlineLevel="0" collapsed="false">
      <c r="A587" s="21" t="n">
        <v>16</v>
      </c>
      <c r="B587" s="21" t="n">
        <v>2022</v>
      </c>
      <c r="C587" s="26" t="n">
        <v>44756</v>
      </c>
      <c r="D587" s="21" t="s">
        <v>688</v>
      </c>
      <c r="E587" s="21" t="s">
        <v>24</v>
      </c>
      <c r="F587" s="21" t="s">
        <v>687</v>
      </c>
      <c r="G587" s="27" t="n">
        <v>48</v>
      </c>
      <c r="H587" s="27" t="n">
        <v>72</v>
      </c>
      <c r="I587" s="27" t="n">
        <v>60</v>
      </c>
      <c r="J587" s="21" t="s">
        <v>556</v>
      </c>
      <c r="K587" s="27" t="n">
        <v>60</v>
      </c>
    </row>
    <row r="588" customFormat="false" ht="13.8" hidden="false" customHeight="false" outlineLevel="0" collapsed="false">
      <c r="A588" s="21" t="n">
        <v>16</v>
      </c>
      <c r="B588" s="21" t="n">
        <v>2022</v>
      </c>
      <c r="C588" s="26" t="n">
        <v>44756</v>
      </c>
      <c r="D588" s="21" t="s">
        <v>677</v>
      </c>
      <c r="E588" s="21" t="s">
        <v>70</v>
      </c>
      <c r="F588" s="21" t="s">
        <v>689</v>
      </c>
      <c r="G588" s="27" t="n">
        <v>70</v>
      </c>
      <c r="H588" s="27" t="n">
        <v>70</v>
      </c>
      <c r="I588" s="27" t="n">
        <v>70</v>
      </c>
      <c r="J588" s="21" t="s">
        <v>556</v>
      </c>
      <c r="K588" s="27" t="n">
        <v>70</v>
      </c>
    </row>
    <row r="589" customFormat="false" ht="25" hidden="false" customHeight="false" outlineLevel="0" collapsed="false">
      <c r="A589" s="21" t="n">
        <v>16</v>
      </c>
      <c r="B589" s="21" t="n">
        <v>2022</v>
      </c>
      <c r="C589" s="26" t="n">
        <v>44756</v>
      </c>
      <c r="D589" s="21" t="s">
        <v>677</v>
      </c>
      <c r="E589" s="21" t="s">
        <v>681</v>
      </c>
      <c r="F589" s="21" t="s">
        <v>689</v>
      </c>
      <c r="G589" s="21" t="s">
        <v>556</v>
      </c>
      <c r="H589" s="21" t="s">
        <v>556</v>
      </c>
      <c r="I589" s="21" t="s">
        <v>556</v>
      </c>
      <c r="J589" s="21" t="s">
        <v>556</v>
      </c>
      <c r="K589" s="21" t="s">
        <v>556</v>
      </c>
    </row>
    <row r="590" customFormat="false" ht="25" hidden="false" customHeight="false" outlineLevel="0" collapsed="false">
      <c r="A590" s="21" t="n">
        <v>16</v>
      </c>
      <c r="B590" s="21" t="n">
        <v>2022</v>
      </c>
      <c r="C590" s="26" t="n">
        <v>44756</v>
      </c>
      <c r="D590" s="21" t="s">
        <v>677</v>
      </c>
      <c r="E590" s="21" t="s">
        <v>72</v>
      </c>
      <c r="F590" s="21" t="s">
        <v>689</v>
      </c>
      <c r="G590" s="21" t="s">
        <v>556</v>
      </c>
      <c r="H590" s="21" t="s">
        <v>556</v>
      </c>
      <c r="I590" s="21" t="s">
        <v>556</v>
      </c>
      <c r="J590" s="21" t="s">
        <v>556</v>
      </c>
      <c r="K590" s="21" t="s">
        <v>556</v>
      </c>
    </row>
    <row r="591" customFormat="false" ht="25" hidden="false" customHeight="false" outlineLevel="0" collapsed="false">
      <c r="A591" s="21" t="n">
        <v>16</v>
      </c>
      <c r="B591" s="21" t="n">
        <v>2022</v>
      </c>
      <c r="C591" s="26" t="n">
        <v>44756</v>
      </c>
      <c r="D591" s="21" t="s">
        <v>688</v>
      </c>
      <c r="E591" s="21" t="s">
        <v>35</v>
      </c>
      <c r="F591" s="21" t="s">
        <v>691</v>
      </c>
      <c r="G591" s="27" t="n">
        <v>3</v>
      </c>
      <c r="H591" s="27" t="n">
        <v>4</v>
      </c>
      <c r="I591" s="27" t="n">
        <v>3.67</v>
      </c>
      <c r="J591" s="27" t="n">
        <v>4</v>
      </c>
      <c r="K591" s="27" t="n">
        <v>4</v>
      </c>
    </row>
    <row r="592" customFormat="false" ht="36.5" hidden="false" customHeight="false" outlineLevel="0" collapsed="false">
      <c r="A592" s="21" t="n">
        <v>16</v>
      </c>
      <c r="B592" s="21" t="n">
        <v>2022</v>
      </c>
      <c r="C592" s="26" t="n">
        <v>44756</v>
      </c>
      <c r="D592" s="21" t="s">
        <v>690</v>
      </c>
      <c r="E592" s="21" t="s">
        <v>56</v>
      </c>
      <c r="F592" s="21" t="s">
        <v>689</v>
      </c>
      <c r="G592" s="27" t="n">
        <v>42</v>
      </c>
      <c r="H592" s="27" t="n">
        <v>65</v>
      </c>
      <c r="I592" s="27" t="n">
        <v>52.83</v>
      </c>
      <c r="J592" s="21" t="s">
        <v>556</v>
      </c>
      <c r="K592" s="27" t="n">
        <v>52.5</v>
      </c>
    </row>
    <row r="593" customFormat="false" ht="25" hidden="false" customHeight="false" outlineLevel="0" collapsed="false">
      <c r="A593" s="21" t="n">
        <v>16</v>
      </c>
      <c r="B593" s="21" t="n">
        <v>2022</v>
      </c>
      <c r="C593" s="26" t="n">
        <v>44756</v>
      </c>
      <c r="D593" s="21" t="s">
        <v>686</v>
      </c>
      <c r="E593" s="21" t="s">
        <v>57</v>
      </c>
      <c r="F593" s="21" t="s">
        <v>689</v>
      </c>
      <c r="G593" s="27" t="n">
        <v>45</v>
      </c>
      <c r="H593" s="27" t="n">
        <v>65</v>
      </c>
      <c r="I593" s="27" t="n">
        <v>55</v>
      </c>
      <c r="J593" s="21" t="s">
        <v>556</v>
      </c>
      <c r="K593" s="27" t="n">
        <v>55</v>
      </c>
    </row>
    <row r="594" customFormat="false" ht="25" hidden="false" customHeight="false" outlineLevel="0" collapsed="false">
      <c r="A594" s="21" t="n">
        <v>16</v>
      </c>
      <c r="B594" s="21" t="n">
        <v>2022</v>
      </c>
      <c r="C594" s="26" t="n">
        <v>44756</v>
      </c>
      <c r="D594" s="21" t="s">
        <v>688</v>
      </c>
      <c r="E594" s="21" t="s">
        <v>38</v>
      </c>
      <c r="F594" s="21" t="s">
        <v>691</v>
      </c>
      <c r="G594" s="27" t="n">
        <v>10</v>
      </c>
      <c r="H594" s="27" t="n">
        <v>20</v>
      </c>
      <c r="I594" s="27" t="n">
        <v>14.8</v>
      </c>
      <c r="J594" s="27" t="n">
        <v>12</v>
      </c>
      <c r="K594" s="27" t="n">
        <v>12</v>
      </c>
    </row>
    <row r="595" customFormat="false" ht="25" hidden="false" customHeight="false" outlineLevel="0" collapsed="false">
      <c r="A595" s="21" t="n">
        <v>16</v>
      </c>
      <c r="B595" s="21" t="n">
        <v>2022</v>
      </c>
      <c r="C595" s="26" t="n">
        <v>44756</v>
      </c>
      <c r="D595" s="21" t="s">
        <v>688</v>
      </c>
      <c r="E595" s="21" t="s">
        <v>666</v>
      </c>
      <c r="F595" s="21" t="s">
        <v>687</v>
      </c>
      <c r="G595" s="27" t="n">
        <v>18</v>
      </c>
      <c r="H595" s="27" t="n">
        <v>24</v>
      </c>
      <c r="I595" s="27" t="n">
        <v>21</v>
      </c>
      <c r="J595" s="27" t="n">
        <v>24</v>
      </c>
      <c r="K595" s="27" t="n">
        <v>21</v>
      </c>
    </row>
    <row r="596" customFormat="false" ht="25" hidden="false" customHeight="false" outlineLevel="0" collapsed="false">
      <c r="A596" s="21" t="n">
        <v>16</v>
      </c>
      <c r="B596" s="21" t="n">
        <v>2022</v>
      </c>
      <c r="C596" s="26" t="n">
        <v>44756</v>
      </c>
      <c r="D596" s="21" t="s">
        <v>688</v>
      </c>
      <c r="E596" s="21" t="s">
        <v>77</v>
      </c>
      <c r="F596" s="21" t="s">
        <v>687</v>
      </c>
      <c r="G596" s="27" t="n">
        <v>60</v>
      </c>
      <c r="H596" s="27" t="n">
        <v>72</v>
      </c>
      <c r="I596" s="27" t="n">
        <v>64.5</v>
      </c>
      <c r="J596" s="27" t="n">
        <v>60</v>
      </c>
      <c r="K596" s="27" t="n">
        <v>63</v>
      </c>
    </row>
    <row r="597" customFormat="false" ht="25" hidden="false" customHeight="false" outlineLevel="0" collapsed="false">
      <c r="A597" s="21" t="n">
        <v>16</v>
      </c>
      <c r="B597" s="21" t="n">
        <v>2022</v>
      </c>
      <c r="C597" s="26" t="n">
        <v>44756</v>
      </c>
      <c r="D597" s="21" t="s">
        <v>688</v>
      </c>
      <c r="E597" s="21" t="s">
        <v>27</v>
      </c>
      <c r="F597" s="21" t="s">
        <v>687</v>
      </c>
      <c r="G597" s="27" t="n">
        <v>18</v>
      </c>
      <c r="H597" s="27" t="n">
        <v>48</v>
      </c>
      <c r="I597" s="27" t="n">
        <v>28.5</v>
      </c>
      <c r="J597" s="27" t="n">
        <v>24</v>
      </c>
      <c r="K597" s="27" t="n">
        <v>24</v>
      </c>
    </row>
    <row r="598" customFormat="false" ht="25" hidden="false" customHeight="false" outlineLevel="0" collapsed="false">
      <c r="A598" s="21" t="n">
        <v>16</v>
      </c>
      <c r="B598" s="21" t="n">
        <v>2022</v>
      </c>
      <c r="C598" s="26" t="n">
        <v>44756</v>
      </c>
      <c r="D598" s="21" t="s">
        <v>688</v>
      </c>
      <c r="E598" s="21" t="s">
        <v>28</v>
      </c>
      <c r="F598" s="21" t="s">
        <v>687</v>
      </c>
      <c r="G598" s="27" t="n">
        <v>42</v>
      </c>
      <c r="H598" s="27" t="n">
        <v>54</v>
      </c>
      <c r="I598" s="27" t="n">
        <v>48.5</v>
      </c>
      <c r="J598" s="21" t="s">
        <v>556</v>
      </c>
      <c r="K598" s="27" t="n">
        <v>49</v>
      </c>
    </row>
    <row r="599" customFormat="false" ht="13.8" hidden="false" customHeight="false" outlineLevel="0" collapsed="false">
      <c r="A599" s="21" t="n">
        <v>16</v>
      </c>
      <c r="B599" s="21" t="n">
        <v>2022</v>
      </c>
      <c r="C599" s="26" t="n">
        <v>44756</v>
      </c>
      <c r="D599" s="21" t="s">
        <v>677</v>
      </c>
      <c r="E599" s="21" t="s">
        <v>73</v>
      </c>
      <c r="F599" s="21" t="s">
        <v>689</v>
      </c>
      <c r="G599" s="27" t="n">
        <v>38</v>
      </c>
      <c r="H599" s="27" t="n">
        <v>38</v>
      </c>
      <c r="I599" s="27" t="n">
        <v>38</v>
      </c>
      <c r="J599" s="21" t="s">
        <v>556</v>
      </c>
      <c r="K599" s="27" t="n">
        <v>38</v>
      </c>
    </row>
    <row r="600" customFormat="false" ht="25" hidden="false" customHeight="false" outlineLevel="0" collapsed="false">
      <c r="A600" s="21" t="n">
        <v>16</v>
      </c>
      <c r="B600" s="21" t="n">
        <v>2022</v>
      </c>
      <c r="C600" s="26" t="n">
        <v>44756</v>
      </c>
      <c r="D600" s="21" t="s">
        <v>686</v>
      </c>
      <c r="E600" s="21" t="s">
        <v>58</v>
      </c>
      <c r="F600" s="21" t="s">
        <v>689</v>
      </c>
      <c r="G600" s="27" t="n">
        <v>50</v>
      </c>
      <c r="H600" s="27" t="n">
        <v>120</v>
      </c>
      <c r="I600" s="27" t="n">
        <v>88</v>
      </c>
      <c r="J600" s="27" t="n">
        <v>85</v>
      </c>
      <c r="K600" s="27" t="n">
        <v>85</v>
      </c>
    </row>
    <row r="601" customFormat="false" ht="25" hidden="false" customHeight="false" outlineLevel="0" collapsed="false">
      <c r="A601" s="21" t="n">
        <v>16</v>
      </c>
      <c r="B601" s="21" t="n">
        <v>2022</v>
      </c>
      <c r="C601" s="26" t="n">
        <v>44756</v>
      </c>
      <c r="D601" s="21" t="s">
        <v>677</v>
      </c>
      <c r="E601" s="21" t="s">
        <v>74</v>
      </c>
      <c r="F601" s="21" t="s">
        <v>689</v>
      </c>
      <c r="G601" s="27" t="n">
        <v>50</v>
      </c>
      <c r="H601" s="27" t="n">
        <v>50</v>
      </c>
      <c r="I601" s="27" t="n">
        <v>50</v>
      </c>
      <c r="J601" s="21" t="s">
        <v>556</v>
      </c>
      <c r="K601" s="27" t="n">
        <v>50</v>
      </c>
    </row>
    <row r="602" customFormat="false" ht="25" hidden="false" customHeight="false" outlineLevel="0" collapsed="false">
      <c r="A602" s="21" t="n">
        <v>16</v>
      </c>
      <c r="B602" s="21" t="n">
        <v>2022</v>
      </c>
      <c r="C602" s="26" t="n">
        <v>44756</v>
      </c>
      <c r="D602" s="21" t="s">
        <v>686</v>
      </c>
      <c r="E602" s="21" t="s">
        <v>61</v>
      </c>
      <c r="F602" s="21" t="s">
        <v>689</v>
      </c>
      <c r="G602" s="27" t="n">
        <v>60</v>
      </c>
      <c r="H602" s="27" t="n">
        <v>90</v>
      </c>
      <c r="I602" s="27" t="n">
        <v>73</v>
      </c>
      <c r="J602" s="27" t="n">
        <v>70</v>
      </c>
      <c r="K602" s="27" t="n">
        <v>70</v>
      </c>
    </row>
    <row r="603" customFormat="false" ht="25" hidden="false" customHeight="false" outlineLevel="0" collapsed="false">
      <c r="A603" s="21" t="n">
        <v>16</v>
      </c>
      <c r="B603" s="21" t="n">
        <v>2022</v>
      </c>
      <c r="C603" s="26" t="n">
        <v>44756</v>
      </c>
      <c r="D603" s="21" t="s">
        <v>686</v>
      </c>
      <c r="E603" s="21" t="s">
        <v>62</v>
      </c>
      <c r="F603" s="21" t="s">
        <v>689</v>
      </c>
      <c r="G603" s="27" t="n">
        <v>80</v>
      </c>
      <c r="H603" s="27" t="n">
        <v>90</v>
      </c>
      <c r="I603" s="27" t="n">
        <v>86</v>
      </c>
      <c r="J603" s="27" t="n">
        <v>90</v>
      </c>
      <c r="K603" s="27" t="n">
        <v>90</v>
      </c>
    </row>
    <row r="604" customFormat="false" ht="25" hidden="false" customHeight="false" outlineLevel="0" collapsed="false">
      <c r="A604" s="21" t="n">
        <v>16</v>
      </c>
      <c r="B604" s="21" t="n">
        <v>2022</v>
      </c>
      <c r="C604" s="26" t="n">
        <v>44756</v>
      </c>
      <c r="D604" s="21" t="s">
        <v>686</v>
      </c>
      <c r="E604" s="21" t="s">
        <v>63</v>
      </c>
      <c r="F604" s="21" t="s">
        <v>689</v>
      </c>
      <c r="G604" s="27" t="n">
        <v>40</v>
      </c>
      <c r="H604" s="27" t="n">
        <v>60</v>
      </c>
      <c r="I604" s="27" t="n">
        <v>48.57</v>
      </c>
      <c r="J604" s="27" t="n">
        <v>50</v>
      </c>
      <c r="K604" s="27" t="n">
        <v>50</v>
      </c>
    </row>
    <row r="605" customFormat="false" ht="25" hidden="false" customHeight="false" outlineLevel="0" collapsed="false">
      <c r="A605" s="21" t="n">
        <v>16</v>
      </c>
      <c r="B605" s="21" t="n">
        <v>2022</v>
      </c>
      <c r="C605" s="26" t="n">
        <v>44756</v>
      </c>
      <c r="D605" s="21" t="s">
        <v>686</v>
      </c>
      <c r="E605" s="21" t="s">
        <v>64</v>
      </c>
      <c r="F605" s="21" t="s">
        <v>689</v>
      </c>
      <c r="G605" s="27" t="n">
        <v>90</v>
      </c>
      <c r="H605" s="27" t="n">
        <v>120</v>
      </c>
      <c r="I605" s="27" t="n">
        <v>108.75</v>
      </c>
      <c r="J605" s="21" t="s">
        <v>556</v>
      </c>
      <c r="K605" s="27" t="n">
        <v>112.5</v>
      </c>
    </row>
    <row r="606" customFormat="false" ht="36.5" hidden="false" customHeight="false" outlineLevel="0" collapsed="false">
      <c r="A606" s="21" t="n">
        <v>16</v>
      </c>
      <c r="B606" s="21" t="n">
        <v>2022</v>
      </c>
      <c r="C606" s="26" t="n">
        <v>44756</v>
      </c>
      <c r="D606" s="21" t="s">
        <v>690</v>
      </c>
      <c r="E606" s="21" t="s">
        <v>29</v>
      </c>
      <c r="F606" s="21" t="s">
        <v>687</v>
      </c>
      <c r="G606" s="27" t="n">
        <v>48</v>
      </c>
      <c r="H606" s="27" t="n">
        <v>48</v>
      </c>
      <c r="I606" s="27" t="n">
        <v>48</v>
      </c>
      <c r="J606" s="21" t="s">
        <v>556</v>
      </c>
      <c r="K606" s="27" t="n">
        <v>48</v>
      </c>
    </row>
    <row r="607" customFormat="false" ht="25" hidden="false" customHeight="false" outlineLevel="0" collapsed="false">
      <c r="A607" s="21" t="n">
        <v>16</v>
      </c>
      <c r="B607" s="21" t="n">
        <v>2022</v>
      </c>
      <c r="C607" s="26" t="n">
        <v>44756</v>
      </c>
      <c r="D607" s="21" t="s">
        <v>688</v>
      </c>
      <c r="E607" s="21" t="s">
        <v>31</v>
      </c>
      <c r="F607" s="21" t="s">
        <v>689</v>
      </c>
      <c r="G607" s="27" t="n">
        <v>45</v>
      </c>
      <c r="H607" s="27" t="n">
        <v>84</v>
      </c>
      <c r="I607" s="27" t="n">
        <v>59</v>
      </c>
      <c r="J607" s="21" t="s">
        <v>556</v>
      </c>
      <c r="K607" s="27" t="n">
        <v>48</v>
      </c>
    </row>
    <row r="608" customFormat="false" ht="25" hidden="false" customHeight="false" outlineLevel="0" collapsed="false">
      <c r="A608" s="21" t="n">
        <v>16</v>
      </c>
      <c r="B608" s="21" t="n">
        <v>2022</v>
      </c>
      <c r="C608" s="26" t="n">
        <v>44756</v>
      </c>
      <c r="D608" s="21" t="s">
        <v>688</v>
      </c>
      <c r="E608" s="21" t="s">
        <v>668</v>
      </c>
      <c r="F608" s="21" t="s">
        <v>689</v>
      </c>
      <c r="G608" s="27" t="n">
        <v>30</v>
      </c>
      <c r="H608" s="27" t="n">
        <v>60</v>
      </c>
      <c r="I608" s="27" t="n">
        <v>40</v>
      </c>
      <c r="J608" s="27" t="n">
        <v>30</v>
      </c>
      <c r="K608" s="27" t="n">
        <v>35</v>
      </c>
    </row>
    <row r="609" customFormat="false" ht="25" hidden="false" customHeight="false" outlineLevel="0" collapsed="false">
      <c r="A609" s="21" t="n">
        <v>16</v>
      </c>
      <c r="B609" s="21" t="n">
        <v>2022</v>
      </c>
      <c r="C609" s="26" t="n">
        <v>44756</v>
      </c>
      <c r="D609" s="21" t="s">
        <v>688</v>
      </c>
      <c r="E609" s="21" t="s">
        <v>33</v>
      </c>
      <c r="F609" s="21" t="s">
        <v>687</v>
      </c>
      <c r="G609" s="27" t="n">
        <v>42</v>
      </c>
      <c r="H609" s="27" t="n">
        <v>48</v>
      </c>
      <c r="I609" s="27" t="n">
        <v>43.5</v>
      </c>
      <c r="J609" s="27" t="n">
        <v>42</v>
      </c>
      <c r="K609" s="27" t="n">
        <v>42</v>
      </c>
    </row>
    <row r="610" customFormat="false" ht="25" hidden="false" customHeight="false" outlineLevel="0" collapsed="false">
      <c r="A610" s="21" t="n">
        <v>16</v>
      </c>
      <c r="B610" s="21" t="n">
        <v>2022</v>
      </c>
      <c r="C610" s="26" t="n">
        <v>44756</v>
      </c>
      <c r="D610" s="21" t="s">
        <v>688</v>
      </c>
      <c r="E610" s="21" t="s">
        <v>669</v>
      </c>
      <c r="F610" s="21" t="s">
        <v>691</v>
      </c>
      <c r="G610" s="27" t="n">
        <v>15</v>
      </c>
      <c r="H610" s="27" t="n">
        <v>30</v>
      </c>
      <c r="I610" s="27" t="n">
        <v>20</v>
      </c>
      <c r="J610" s="27" t="n">
        <v>20</v>
      </c>
      <c r="K610" s="27" t="n">
        <v>20</v>
      </c>
    </row>
    <row r="611" customFormat="false" ht="25" hidden="false" customHeight="false" outlineLevel="0" collapsed="false">
      <c r="A611" s="21" t="n">
        <v>16</v>
      </c>
      <c r="B611" s="21" t="n">
        <v>2022</v>
      </c>
      <c r="C611" s="26" t="n">
        <v>44756</v>
      </c>
      <c r="D611" s="21" t="s">
        <v>686</v>
      </c>
      <c r="E611" s="21" t="s">
        <v>67</v>
      </c>
      <c r="F611" s="21" t="s">
        <v>689</v>
      </c>
      <c r="G611" s="27" t="n">
        <v>50</v>
      </c>
      <c r="H611" s="27" t="n">
        <v>90</v>
      </c>
      <c r="I611" s="27" t="n">
        <v>67.5</v>
      </c>
      <c r="J611" s="27" t="n">
        <v>60</v>
      </c>
      <c r="K611" s="27" t="n">
        <v>65</v>
      </c>
    </row>
    <row r="612" customFormat="false" ht="25" hidden="false" customHeight="false" outlineLevel="0" collapsed="false">
      <c r="A612" s="21" t="n">
        <v>16</v>
      </c>
      <c r="B612" s="21" t="n">
        <v>2022</v>
      </c>
      <c r="C612" s="26" t="n">
        <v>44756</v>
      </c>
      <c r="D612" s="21" t="s">
        <v>686</v>
      </c>
      <c r="E612" s="21" t="s">
        <v>68</v>
      </c>
      <c r="F612" s="21" t="s">
        <v>689</v>
      </c>
      <c r="G612" s="27" t="n">
        <v>90</v>
      </c>
      <c r="H612" s="27" t="n">
        <v>130</v>
      </c>
      <c r="I612" s="27" t="n">
        <v>103.33</v>
      </c>
      <c r="J612" s="27" t="n">
        <v>100</v>
      </c>
      <c r="K612" s="27" t="n">
        <v>100</v>
      </c>
    </row>
    <row r="613" customFormat="false" ht="25" hidden="false" customHeight="false" outlineLevel="0" collapsed="false">
      <c r="A613" s="21" t="n">
        <v>17</v>
      </c>
      <c r="B613" s="21" t="n">
        <v>2022</v>
      </c>
      <c r="C613" s="26" t="n">
        <v>44770</v>
      </c>
      <c r="D613" s="21" t="s">
        <v>686</v>
      </c>
      <c r="E613" s="21" t="s">
        <v>656</v>
      </c>
      <c r="F613" s="21" t="s">
        <v>687</v>
      </c>
      <c r="G613" s="27" t="n">
        <v>40</v>
      </c>
      <c r="H613" s="27" t="n">
        <v>40</v>
      </c>
      <c r="I613" s="27" t="n">
        <v>40</v>
      </c>
      <c r="J613" s="21" t="s">
        <v>556</v>
      </c>
      <c r="K613" s="27" t="n">
        <v>40</v>
      </c>
    </row>
    <row r="614" customFormat="false" ht="25" hidden="false" customHeight="false" outlineLevel="0" collapsed="false">
      <c r="A614" s="21" t="n">
        <v>17</v>
      </c>
      <c r="B614" s="21" t="n">
        <v>2022</v>
      </c>
      <c r="C614" s="26" t="n">
        <v>44770</v>
      </c>
      <c r="D614" s="21" t="s">
        <v>688</v>
      </c>
      <c r="E614" s="21" t="s">
        <v>16</v>
      </c>
      <c r="F614" s="21" t="s">
        <v>689</v>
      </c>
      <c r="G614" s="27" t="n">
        <v>30</v>
      </c>
      <c r="H614" s="27" t="n">
        <v>54</v>
      </c>
      <c r="I614" s="27" t="n">
        <v>42</v>
      </c>
      <c r="J614" s="27" t="n">
        <v>48</v>
      </c>
      <c r="K614" s="27" t="n">
        <v>48</v>
      </c>
    </row>
    <row r="615" customFormat="false" ht="25" hidden="false" customHeight="false" outlineLevel="0" collapsed="false">
      <c r="A615" s="21" t="n">
        <v>17</v>
      </c>
      <c r="B615" s="21" t="n">
        <v>2022</v>
      </c>
      <c r="C615" s="26" t="n">
        <v>44770</v>
      </c>
      <c r="D615" s="21" t="s">
        <v>688</v>
      </c>
      <c r="E615" s="21" t="s">
        <v>18</v>
      </c>
      <c r="F615" s="21" t="s">
        <v>687</v>
      </c>
      <c r="G615" s="27" t="n">
        <v>42</v>
      </c>
      <c r="H615" s="27" t="n">
        <v>60</v>
      </c>
      <c r="I615" s="27" t="n">
        <v>54</v>
      </c>
      <c r="J615" s="27" t="n">
        <v>60</v>
      </c>
      <c r="K615" s="27" t="n">
        <v>57</v>
      </c>
    </row>
    <row r="616" customFormat="false" ht="25" hidden="false" customHeight="false" outlineLevel="0" collapsed="false">
      <c r="A616" s="21" t="n">
        <v>17</v>
      </c>
      <c r="B616" s="21" t="n">
        <v>2022</v>
      </c>
      <c r="C616" s="26" t="n">
        <v>44770</v>
      </c>
      <c r="D616" s="21" t="s">
        <v>688</v>
      </c>
      <c r="E616" s="21" t="s">
        <v>659</v>
      </c>
      <c r="F616" s="21" t="s">
        <v>689</v>
      </c>
      <c r="G616" s="27" t="n">
        <v>20</v>
      </c>
      <c r="H616" s="27" t="n">
        <v>42</v>
      </c>
      <c r="I616" s="27" t="n">
        <v>29.2</v>
      </c>
      <c r="J616" s="27" t="n">
        <v>30</v>
      </c>
      <c r="K616" s="27" t="n">
        <v>30</v>
      </c>
    </row>
    <row r="617" customFormat="false" ht="25" hidden="false" customHeight="false" outlineLevel="0" collapsed="false">
      <c r="A617" s="21" t="n">
        <v>17</v>
      </c>
      <c r="B617" s="21" t="n">
        <v>2022</v>
      </c>
      <c r="C617" s="26" t="n">
        <v>44770</v>
      </c>
      <c r="D617" s="21" t="s">
        <v>688</v>
      </c>
      <c r="E617" s="21" t="s">
        <v>20</v>
      </c>
      <c r="F617" s="21" t="s">
        <v>689</v>
      </c>
      <c r="G617" s="27" t="n">
        <v>15</v>
      </c>
      <c r="H617" s="27" t="n">
        <v>24</v>
      </c>
      <c r="I617" s="27" t="n">
        <v>17.4</v>
      </c>
      <c r="J617" s="27" t="n">
        <v>15</v>
      </c>
      <c r="K617" s="27" t="n">
        <v>15</v>
      </c>
    </row>
    <row r="618" customFormat="false" ht="25" hidden="false" customHeight="false" outlineLevel="0" collapsed="false">
      <c r="A618" s="21" t="n">
        <v>17</v>
      </c>
      <c r="B618" s="21" t="n">
        <v>2022</v>
      </c>
      <c r="C618" s="26" t="n">
        <v>44770</v>
      </c>
      <c r="D618" s="21" t="s">
        <v>688</v>
      </c>
      <c r="E618" s="21" t="s">
        <v>21</v>
      </c>
      <c r="F618" s="21" t="s">
        <v>689</v>
      </c>
      <c r="G618" s="27" t="n">
        <v>15</v>
      </c>
      <c r="H618" s="27" t="n">
        <v>24</v>
      </c>
      <c r="I618" s="27" t="n">
        <v>17.4</v>
      </c>
      <c r="J618" s="27" t="n">
        <v>15</v>
      </c>
      <c r="K618" s="27" t="n">
        <v>15</v>
      </c>
    </row>
    <row r="619" customFormat="false" ht="25" hidden="false" customHeight="false" outlineLevel="0" collapsed="false">
      <c r="A619" s="21" t="n">
        <v>17</v>
      </c>
      <c r="B619" s="21" t="n">
        <v>2022</v>
      </c>
      <c r="C619" s="26" t="n">
        <v>44770</v>
      </c>
      <c r="D619" s="21" t="s">
        <v>688</v>
      </c>
      <c r="E619" s="21" t="s">
        <v>22</v>
      </c>
      <c r="F619" s="21" t="s">
        <v>687</v>
      </c>
      <c r="G619" s="27" t="n">
        <v>36</v>
      </c>
      <c r="H619" s="27" t="n">
        <v>48</v>
      </c>
      <c r="I619" s="27" t="n">
        <v>40.5</v>
      </c>
      <c r="J619" s="27" t="n">
        <v>36</v>
      </c>
      <c r="K619" s="27" t="n">
        <v>39</v>
      </c>
    </row>
    <row r="620" customFormat="false" ht="36.5" hidden="false" customHeight="false" outlineLevel="0" collapsed="false">
      <c r="A620" s="21" t="n">
        <v>17</v>
      </c>
      <c r="B620" s="21" t="n">
        <v>2022</v>
      </c>
      <c r="C620" s="26" t="n">
        <v>44770</v>
      </c>
      <c r="D620" s="21" t="s">
        <v>690</v>
      </c>
      <c r="E620" s="21" t="s">
        <v>46</v>
      </c>
      <c r="F620" s="21" t="s">
        <v>689</v>
      </c>
      <c r="G620" s="27" t="n">
        <v>25</v>
      </c>
      <c r="H620" s="27" t="n">
        <v>45</v>
      </c>
      <c r="I620" s="27" t="n">
        <v>35</v>
      </c>
      <c r="J620" s="21" t="s">
        <v>556</v>
      </c>
      <c r="K620" s="27" t="n">
        <v>35</v>
      </c>
    </row>
    <row r="621" customFormat="false" ht="25" hidden="false" customHeight="false" outlineLevel="0" collapsed="false">
      <c r="A621" s="21" t="n">
        <v>17</v>
      </c>
      <c r="B621" s="21" t="n">
        <v>2022</v>
      </c>
      <c r="C621" s="26" t="n">
        <v>44770</v>
      </c>
      <c r="D621" s="21" t="s">
        <v>686</v>
      </c>
      <c r="E621" s="21" t="s">
        <v>48</v>
      </c>
      <c r="F621" s="21" t="s">
        <v>689</v>
      </c>
      <c r="G621" s="27" t="n">
        <v>25</v>
      </c>
      <c r="H621" s="27" t="n">
        <v>35</v>
      </c>
      <c r="I621" s="27" t="n">
        <v>30</v>
      </c>
      <c r="J621" s="21" t="s">
        <v>556</v>
      </c>
      <c r="K621" s="27" t="n">
        <v>30</v>
      </c>
    </row>
    <row r="622" customFormat="false" ht="25" hidden="false" customHeight="false" outlineLevel="0" collapsed="false">
      <c r="A622" s="21" t="n">
        <v>17</v>
      </c>
      <c r="B622" s="21" t="n">
        <v>2022</v>
      </c>
      <c r="C622" s="26" t="n">
        <v>44770</v>
      </c>
      <c r="D622" s="21" t="s">
        <v>686</v>
      </c>
      <c r="E622" s="21" t="s">
        <v>52</v>
      </c>
      <c r="F622" s="21" t="s">
        <v>689</v>
      </c>
      <c r="G622" s="27" t="n">
        <v>120</v>
      </c>
      <c r="H622" s="27" t="n">
        <v>120</v>
      </c>
      <c r="I622" s="27" t="n">
        <v>120</v>
      </c>
      <c r="J622" s="21" t="s">
        <v>556</v>
      </c>
      <c r="K622" s="27" t="n">
        <v>120</v>
      </c>
    </row>
    <row r="623" customFormat="false" ht="36.5" hidden="false" customHeight="false" outlineLevel="0" collapsed="false">
      <c r="A623" s="21" t="n">
        <v>17</v>
      </c>
      <c r="B623" s="21" t="n">
        <v>2022</v>
      </c>
      <c r="C623" s="26" t="n">
        <v>44770</v>
      </c>
      <c r="D623" s="21" t="s">
        <v>690</v>
      </c>
      <c r="E623" s="21" t="s">
        <v>53</v>
      </c>
      <c r="F623" s="21" t="s">
        <v>689</v>
      </c>
      <c r="G623" s="27" t="n">
        <v>45</v>
      </c>
      <c r="H623" s="27" t="n">
        <v>45</v>
      </c>
      <c r="I623" s="27" t="n">
        <v>45</v>
      </c>
      <c r="J623" s="21" t="s">
        <v>556</v>
      </c>
      <c r="K623" s="27" t="n">
        <v>45</v>
      </c>
    </row>
    <row r="624" customFormat="false" ht="36.5" hidden="false" customHeight="false" outlineLevel="0" collapsed="false">
      <c r="A624" s="21" t="n">
        <v>17</v>
      </c>
      <c r="B624" s="21" t="n">
        <v>2022</v>
      </c>
      <c r="C624" s="26" t="n">
        <v>44770</v>
      </c>
      <c r="D624" s="21" t="s">
        <v>688</v>
      </c>
      <c r="E624" s="21" t="s">
        <v>663</v>
      </c>
      <c r="F624" s="21" t="s">
        <v>689</v>
      </c>
      <c r="G624" s="27" t="n">
        <v>42</v>
      </c>
      <c r="H624" s="27" t="n">
        <v>67</v>
      </c>
      <c r="I624" s="27" t="n">
        <v>52.33</v>
      </c>
      <c r="J624" s="21" t="s">
        <v>556</v>
      </c>
      <c r="K624" s="27" t="n">
        <v>48</v>
      </c>
    </row>
    <row r="625" customFormat="false" ht="25" hidden="false" customHeight="false" outlineLevel="0" collapsed="false">
      <c r="A625" s="21" t="n">
        <v>17</v>
      </c>
      <c r="B625" s="21" t="n">
        <v>2022</v>
      </c>
      <c r="C625" s="26" t="n">
        <v>44770</v>
      </c>
      <c r="D625" s="21" t="s">
        <v>688</v>
      </c>
      <c r="E625" s="21" t="s">
        <v>24</v>
      </c>
      <c r="F625" s="21" t="s">
        <v>687</v>
      </c>
      <c r="G625" s="27" t="n">
        <v>48</v>
      </c>
      <c r="H625" s="27" t="n">
        <v>54</v>
      </c>
      <c r="I625" s="27" t="n">
        <v>50</v>
      </c>
      <c r="J625" s="27" t="n">
        <v>48</v>
      </c>
      <c r="K625" s="27" t="n">
        <v>48</v>
      </c>
    </row>
    <row r="626" customFormat="false" ht="13.8" hidden="false" customHeight="false" outlineLevel="0" collapsed="false">
      <c r="A626" s="21" t="n">
        <v>17</v>
      </c>
      <c r="B626" s="21" t="n">
        <v>2022</v>
      </c>
      <c r="C626" s="26" t="n">
        <v>44770</v>
      </c>
      <c r="D626" s="21" t="s">
        <v>677</v>
      </c>
      <c r="E626" s="21" t="s">
        <v>70</v>
      </c>
      <c r="F626" s="21" t="s">
        <v>689</v>
      </c>
      <c r="G626" s="21" t="s">
        <v>556</v>
      </c>
      <c r="H626" s="21" t="s">
        <v>556</v>
      </c>
      <c r="I626" s="21" t="s">
        <v>556</v>
      </c>
      <c r="J626" s="21" t="s">
        <v>556</v>
      </c>
      <c r="K626" s="21" t="s">
        <v>556</v>
      </c>
    </row>
    <row r="627" customFormat="false" ht="25" hidden="false" customHeight="false" outlineLevel="0" collapsed="false">
      <c r="A627" s="21" t="n">
        <v>17</v>
      </c>
      <c r="B627" s="21" t="n">
        <v>2022</v>
      </c>
      <c r="C627" s="26" t="n">
        <v>44770</v>
      </c>
      <c r="D627" s="21" t="s">
        <v>677</v>
      </c>
      <c r="E627" s="21" t="s">
        <v>681</v>
      </c>
      <c r="F627" s="21" t="s">
        <v>689</v>
      </c>
      <c r="G627" s="21" t="s">
        <v>556</v>
      </c>
      <c r="H627" s="21" t="s">
        <v>556</v>
      </c>
      <c r="I627" s="21" t="s">
        <v>556</v>
      </c>
      <c r="J627" s="21" t="s">
        <v>556</v>
      </c>
      <c r="K627" s="21" t="s">
        <v>556</v>
      </c>
    </row>
    <row r="628" customFormat="false" ht="25" hidden="false" customHeight="false" outlineLevel="0" collapsed="false">
      <c r="A628" s="21" t="n">
        <v>17</v>
      </c>
      <c r="B628" s="21" t="n">
        <v>2022</v>
      </c>
      <c r="C628" s="26" t="n">
        <v>44770</v>
      </c>
      <c r="D628" s="21" t="s">
        <v>677</v>
      </c>
      <c r="E628" s="21" t="s">
        <v>72</v>
      </c>
      <c r="F628" s="21" t="s">
        <v>689</v>
      </c>
      <c r="G628" s="21" t="s">
        <v>556</v>
      </c>
      <c r="H628" s="21" t="s">
        <v>556</v>
      </c>
      <c r="I628" s="21" t="s">
        <v>556</v>
      </c>
      <c r="J628" s="21" t="s">
        <v>556</v>
      </c>
      <c r="K628" s="21" t="s">
        <v>556</v>
      </c>
    </row>
    <row r="629" customFormat="false" ht="25" hidden="false" customHeight="false" outlineLevel="0" collapsed="false">
      <c r="A629" s="21" t="n">
        <v>17</v>
      </c>
      <c r="B629" s="21" t="n">
        <v>2022</v>
      </c>
      <c r="C629" s="26" t="n">
        <v>44770</v>
      </c>
      <c r="D629" s="21" t="s">
        <v>688</v>
      </c>
      <c r="E629" s="21" t="s">
        <v>35</v>
      </c>
      <c r="F629" s="21" t="s">
        <v>691</v>
      </c>
      <c r="G629" s="27" t="n">
        <v>3.5</v>
      </c>
      <c r="H629" s="27" t="n">
        <v>5</v>
      </c>
      <c r="I629" s="27" t="n">
        <v>4</v>
      </c>
      <c r="J629" s="27" t="n">
        <v>3.5</v>
      </c>
      <c r="K629" s="27" t="n">
        <v>4</v>
      </c>
    </row>
    <row r="630" customFormat="false" ht="36.5" hidden="false" customHeight="false" outlineLevel="0" collapsed="false">
      <c r="A630" s="21" t="n">
        <v>17</v>
      </c>
      <c r="B630" s="21" t="n">
        <v>2022</v>
      </c>
      <c r="C630" s="26" t="n">
        <v>44770</v>
      </c>
      <c r="D630" s="21" t="s">
        <v>690</v>
      </c>
      <c r="E630" s="21" t="s">
        <v>56</v>
      </c>
      <c r="F630" s="21" t="s">
        <v>689</v>
      </c>
      <c r="G630" s="27" t="n">
        <v>40</v>
      </c>
      <c r="H630" s="27" t="n">
        <v>40</v>
      </c>
      <c r="I630" s="27" t="n">
        <v>40</v>
      </c>
      <c r="J630" s="27" t="n">
        <v>40</v>
      </c>
      <c r="K630" s="27" t="n">
        <v>40</v>
      </c>
    </row>
    <row r="631" customFormat="false" ht="25" hidden="false" customHeight="false" outlineLevel="0" collapsed="false">
      <c r="A631" s="21" t="n">
        <v>17</v>
      </c>
      <c r="B631" s="21" t="n">
        <v>2022</v>
      </c>
      <c r="C631" s="26" t="n">
        <v>44770</v>
      </c>
      <c r="D631" s="21" t="s">
        <v>686</v>
      </c>
      <c r="E631" s="21" t="s">
        <v>57</v>
      </c>
      <c r="F631" s="21" t="s">
        <v>689</v>
      </c>
      <c r="G631" s="27" t="n">
        <v>40</v>
      </c>
      <c r="H631" s="27" t="n">
        <v>40</v>
      </c>
      <c r="I631" s="27" t="n">
        <v>40</v>
      </c>
      <c r="J631" s="21" t="s">
        <v>556</v>
      </c>
      <c r="K631" s="27" t="n">
        <v>40</v>
      </c>
    </row>
    <row r="632" customFormat="false" ht="25" hidden="false" customHeight="false" outlineLevel="0" collapsed="false">
      <c r="A632" s="21" t="n">
        <v>17</v>
      </c>
      <c r="B632" s="21" t="n">
        <v>2022</v>
      </c>
      <c r="C632" s="26" t="n">
        <v>44770</v>
      </c>
      <c r="D632" s="21" t="s">
        <v>688</v>
      </c>
      <c r="E632" s="21" t="s">
        <v>38</v>
      </c>
      <c r="F632" s="21" t="s">
        <v>691</v>
      </c>
      <c r="G632" s="27" t="n">
        <v>8</v>
      </c>
      <c r="H632" s="27" t="n">
        <v>12</v>
      </c>
      <c r="I632" s="27" t="n">
        <v>9.6</v>
      </c>
      <c r="J632" s="27" t="n">
        <v>10</v>
      </c>
      <c r="K632" s="27" t="n">
        <v>10</v>
      </c>
    </row>
    <row r="633" customFormat="false" ht="25" hidden="false" customHeight="false" outlineLevel="0" collapsed="false">
      <c r="A633" s="21" t="n">
        <v>17</v>
      </c>
      <c r="B633" s="21" t="n">
        <v>2022</v>
      </c>
      <c r="C633" s="26" t="n">
        <v>44770</v>
      </c>
      <c r="D633" s="21" t="s">
        <v>688</v>
      </c>
      <c r="E633" s="21" t="s">
        <v>666</v>
      </c>
      <c r="F633" s="21" t="s">
        <v>687</v>
      </c>
      <c r="G633" s="27" t="n">
        <v>8</v>
      </c>
      <c r="H633" s="27" t="n">
        <v>24</v>
      </c>
      <c r="I633" s="27" t="n">
        <v>15</v>
      </c>
      <c r="J633" s="21" t="s">
        <v>556</v>
      </c>
      <c r="K633" s="27" t="n">
        <v>15</v>
      </c>
    </row>
    <row r="634" customFormat="false" ht="25" hidden="false" customHeight="false" outlineLevel="0" collapsed="false">
      <c r="A634" s="21" t="n">
        <v>17</v>
      </c>
      <c r="B634" s="21" t="n">
        <v>2022</v>
      </c>
      <c r="C634" s="26" t="n">
        <v>44770</v>
      </c>
      <c r="D634" s="21" t="s">
        <v>688</v>
      </c>
      <c r="E634" s="21" t="s">
        <v>77</v>
      </c>
      <c r="F634" s="21" t="s">
        <v>687</v>
      </c>
      <c r="G634" s="27" t="n">
        <v>50</v>
      </c>
      <c r="H634" s="27" t="n">
        <v>60</v>
      </c>
      <c r="I634" s="27" t="n">
        <v>54.8</v>
      </c>
      <c r="J634" s="27" t="n">
        <v>60</v>
      </c>
      <c r="K634" s="27" t="n">
        <v>54</v>
      </c>
    </row>
    <row r="635" customFormat="false" ht="25" hidden="false" customHeight="false" outlineLevel="0" collapsed="false">
      <c r="A635" s="21" t="n">
        <v>17</v>
      </c>
      <c r="B635" s="21" t="n">
        <v>2022</v>
      </c>
      <c r="C635" s="26" t="n">
        <v>44770</v>
      </c>
      <c r="D635" s="21" t="s">
        <v>688</v>
      </c>
      <c r="E635" s="21" t="s">
        <v>27</v>
      </c>
      <c r="F635" s="21" t="s">
        <v>687</v>
      </c>
      <c r="G635" s="27" t="n">
        <v>15</v>
      </c>
      <c r="H635" s="27" t="n">
        <v>24</v>
      </c>
      <c r="I635" s="27" t="n">
        <v>17.4</v>
      </c>
      <c r="J635" s="27" t="n">
        <v>15</v>
      </c>
      <c r="K635" s="27" t="n">
        <v>15</v>
      </c>
    </row>
    <row r="636" customFormat="false" ht="25" hidden="false" customHeight="false" outlineLevel="0" collapsed="false">
      <c r="A636" s="21" t="n">
        <v>17</v>
      </c>
      <c r="B636" s="21" t="n">
        <v>2022</v>
      </c>
      <c r="C636" s="26" t="n">
        <v>44770</v>
      </c>
      <c r="D636" s="21" t="s">
        <v>688</v>
      </c>
      <c r="E636" s="21" t="s">
        <v>28</v>
      </c>
      <c r="F636" s="21" t="s">
        <v>687</v>
      </c>
      <c r="G636" s="27" t="n">
        <v>42</v>
      </c>
      <c r="H636" s="27" t="n">
        <v>60</v>
      </c>
      <c r="I636" s="27" t="n">
        <v>50</v>
      </c>
      <c r="J636" s="21" t="s">
        <v>556</v>
      </c>
      <c r="K636" s="27" t="n">
        <v>48</v>
      </c>
    </row>
    <row r="637" customFormat="false" ht="13.8" hidden="false" customHeight="false" outlineLevel="0" collapsed="false">
      <c r="A637" s="21" t="n">
        <v>17</v>
      </c>
      <c r="B637" s="21" t="n">
        <v>2022</v>
      </c>
      <c r="C637" s="26" t="n">
        <v>44770</v>
      </c>
      <c r="D637" s="21" t="s">
        <v>677</v>
      </c>
      <c r="E637" s="21" t="s">
        <v>73</v>
      </c>
      <c r="F637" s="21" t="s">
        <v>689</v>
      </c>
      <c r="G637" s="27" t="n">
        <v>45</v>
      </c>
      <c r="H637" s="27" t="n">
        <v>45</v>
      </c>
      <c r="I637" s="27" t="n">
        <v>45</v>
      </c>
      <c r="J637" s="21" t="s">
        <v>556</v>
      </c>
      <c r="K637" s="27" t="n">
        <v>45</v>
      </c>
    </row>
    <row r="638" customFormat="false" ht="25" hidden="false" customHeight="false" outlineLevel="0" collapsed="false">
      <c r="A638" s="21" t="n">
        <v>17</v>
      </c>
      <c r="B638" s="21" t="n">
        <v>2022</v>
      </c>
      <c r="C638" s="26" t="n">
        <v>44770</v>
      </c>
      <c r="D638" s="21" t="s">
        <v>686</v>
      </c>
      <c r="E638" s="21" t="s">
        <v>58</v>
      </c>
      <c r="F638" s="21" t="s">
        <v>689</v>
      </c>
      <c r="G638" s="27" t="n">
        <v>60</v>
      </c>
      <c r="H638" s="27" t="n">
        <v>90</v>
      </c>
      <c r="I638" s="27" t="n">
        <v>75</v>
      </c>
      <c r="J638" s="21" t="s">
        <v>556</v>
      </c>
      <c r="K638" s="27" t="n">
        <v>75</v>
      </c>
    </row>
    <row r="639" customFormat="false" ht="25" hidden="false" customHeight="false" outlineLevel="0" collapsed="false">
      <c r="A639" s="21" t="n">
        <v>17</v>
      </c>
      <c r="B639" s="21" t="n">
        <v>2022</v>
      </c>
      <c r="C639" s="26" t="n">
        <v>44770</v>
      </c>
      <c r="D639" s="21" t="s">
        <v>677</v>
      </c>
      <c r="E639" s="21" t="s">
        <v>74</v>
      </c>
      <c r="F639" s="21" t="s">
        <v>689</v>
      </c>
      <c r="G639" s="27" t="n">
        <v>55</v>
      </c>
      <c r="H639" s="27" t="n">
        <v>55</v>
      </c>
      <c r="I639" s="27" t="n">
        <v>55</v>
      </c>
      <c r="J639" s="21" t="s">
        <v>556</v>
      </c>
      <c r="K639" s="27" t="n">
        <v>55</v>
      </c>
    </row>
    <row r="640" customFormat="false" ht="25" hidden="false" customHeight="false" outlineLevel="0" collapsed="false">
      <c r="A640" s="21" t="n">
        <v>17</v>
      </c>
      <c r="B640" s="21" t="n">
        <v>2022</v>
      </c>
      <c r="C640" s="26" t="n">
        <v>44770</v>
      </c>
      <c r="D640" s="21" t="s">
        <v>686</v>
      </c>
      <c r="E640" s="21" t="s">
        <v>61</v>
      </c>
      <c r="F640" s="21" t="s">
        <v>689</v>
      </c>
      <c r="G640" s="27" t="n">
        <v>50</v>
      </c>
      <c r="H640" s="27" t="n">
        <v>50</v>
      </c>
      <c r="I640" s="27" t="n">
        <v>50</v>
      </c>
      <c r="J640" s="21" t="s">
        <v>556</v>
      </c>
      <c r="K640" s="27" t="n">
        <v>50</v>
      </c>
    </row>
    <row r="641" customFormat="false" ht="25" hidden="false" customHeight="false" outlineLevel="0" collapsed="false">
      <c r="A641" s="21" t="n">
        <v>17</v>
      </c>
      <c r="B641" s="21" t="n">
        <v>2022</v>
      </c>
      <c r="C641" s="26" t="n">
        <v>44770</v>
      </c>
      <c r="D641" s="21" t="s">
        <v>686</v>
      </c>
      <c r="E641" s="21" t="s">
        <v>62</v>
      </c>
      <c r="F641" s="21" t="s">
        <v>689</v>
      </c>
      <c r="G641" s="27" t="n">
        <v>70</v>
      </c>
      <c r="H641" s="27" t="n">
        <v>70</v>
      </c>
      <c r="I641" s="27" t="n">
        <v>70</v>
      </c>
      <c r="J641" s="21" t="s">
        <v>556</v>
      </c>
      <c r="K641" s="27" t="n">
        <v>70</v>
      </c>
    </row>
    <row r="642" customFormat="false" ht="25" hidden="false" customHeight="false" outlineLevel="0" collapsed="false">
      <c r="A642" s="21" t="n">
        <v>17</v>
      </c>
      <c r="B642" s="21" t="n">
        <v>2022</v>
      </c>
      <c r="C642" s="26" t="n">
        <v>44770</v>
      </c>
      <c r="D642" s="21" t="s">
        <v>686</v>
      </c>
      <c r="E642" s="21" t="s">
        <v>63</v>
      </c>
      <c r="F642" s="21" t="s">
        <v>689</v>
      </c>
      <c r="G642" s="27" t="n">
        <v>40</v>
      </c>
      <c r="H642" s="27" t="n">
        <v>45</v>
      </c>
      <c r="I642" s="27" t="n">
        <v>42.5</v>
      </c>
      <c r="J642" s="21" t="s">
        <v>556</v>
      </c>
      <c r="K642" s="27" t="n">
        <v>42.5</v>
      </c>
    </row>
    <row r="643" customFormat="false" ht="25" hidden="false" customHeight="false" outlineLevel="0" collapsed="false">
      <c r="A643" s="21" t="n">
        <v>17</v>
      </c>
      <c r="B643" s="21" t="n">
        <v>2022</v>
      </c>
      <c r="C643" s="26" t="n">
        <v>44770</v>
      </c>
      <c r="D643" s="21" t="s">
        <v>686</v>
      </c>
      <c r="E643" s="21" t="s">
        <v>64</v>
      </c>
      <c r="F643" s="21" t="s">
        <v>689</v>
      </c>
      <c r="G643" s="27" t="n">
        <v>80</v>
      </c>
      <c r="H643" s="27" t="n">
        <v>80</v>
      </c>
      <c r="I643" s="27" t="n">
        <v>80</v>
      </c>
      <c r="J643" s="27" t="n">
        <v>80</v>
      </c>
      <c r="K643" s="27" t="n">
        <v>80</v>
      </c>
    </row>
    <row r="644" customFormat="false" ht="36.5" hidden="false" customHeight="false" outlineLevel="0" collapsed="false">
      <c r="A644" s="21" t="n">
        <v>17</v>
      </c>
      <c r="B644" s="21" t="n">
        <v>2022</v>
      </c>
      <c r="C644" s="26" t="n">
        <v>44770</v>
      </c>
      <c r="D644" s="21" t="s">
        <v>690</v>
      </c>
      <c r="E644" s="21" t="s">
        <v>29</v>
      </c>
      <c r="F644" s="21" t="s">
        <v>687</v>
      </c>
      <c r="G644" s="27" t="n">
        <v>48</v>
      </c>
      <c r="H644" s="27" t="n">
        <v>54</v>
      </c>
      <c r="I644" s="27" t="n">
        <v>52</v>
      </c>
      <c r="J644" s="27" t="n">
        <v>54</v>
      </c>
      <c r="K644" s="27" t="n">
        <v>54</v>
      </c>
    </row>
    <row r="645" customFormat="false" ht="25" hidden="false" customHeight="false" outlineLevel="0" collapsed="false">
      <c r="A645" s="21" t="n">
        <v>17</v>
      </c>
      <c r="B645" s="21" t="n">
        <v>2022</v>
      </c>
      <c r="C645" s="26" t="n">
        <v>44770</v>
      </c>
      <c r="D645" s="21" t="s">
        <v>688</v>
      </c>
      <c r="E645" s="21" t="s">
        <v>31</v>
      </c>
      <c r="F645" s="21" t="s">
        <v>689</v>
      </c>
      <c r="G645" s="27" t="n">
        <v>40</v>
      </c>
      <c r="H645" s="27" t="n">
        <v>60</v>
      </c>
      <c r="I645" s="27" t="n">
        <v>49.33</v>
      </c>
      <c r="J645" s="21" t="s">
        <v>556</v>
      </c>
      <c r="K645" s="27" t="n">
        <v>48</v>
      </c>
    </row>
    <row r="646" customFormat="false" ht="25" hidden="false" customHeight="false" outlineLevel="0" collapsed="false">
      <c r="A646" s="21" t="n">
        <v>17</v>
      </c>
      <c r="B646" s="21" t="n">
        <v>2022</v>
      </c>
      <c r="C646" s="26" t="n">
        <v>44770</v>
      </c>
      <c r="D646" s="21" t="s">
        <v>688</v>
      </c>
      <c r="E646" s="21" t="s">
        <v>668</v>
      </c>
      <c r="F646" s="21" t="s">
        <v>689</v>
      </c>
      <c r="G646" s="27" t="n">
        <v>30</v>
      </c>
      <c r="H646" s="27" t="n">
        <v>48</v>
      </c>
      <c r="I646" s="27" t="n">
        <v>36</v>
      </c>
      <c r="J646" s="27" t="n">
        <v>30</v>
      </c>
      <c r="K646" s="27" t="n">
        <v>30</v>
      </c>
    </row>
    <row r="647" customFormat="false" ht="25" hidden="false" customHeight="false" outlineLevel="0" collapsed="false">
      <c r="A647" s="21" t="n">
        <v>17</v>
      </c>
      <c r="B647" s="21" t="n">
        <v>2022</v>
      </c>
      <c r="C647" s="26" t="n">
        <v>44770</v>
      </c>
      <c r="D647" s="21" t="s">
        <v>688</v>
      </c>
      <c r="E647" s="21" t="s">
        <v>33</v>
      </c>
      <c r="F647" s="21" t="s">
        <v>687</v>
      </c>
      <c r="G647" s="27" t="n">
        <v>42</v>
      </c>
      <c r="H647" s="27" t="n">
        <v>48</v>
      </c>
      <c r="I647" s="27" t="n">
        <v>44</v>
      </c>
      <c r="J647" s="27" t="n">
        <v>42</v>
      </c>
      <c r="K647" s="27" t="n">
        <v>42</v>
      </c>
    </row>
    <row r="648" customFormat="false" ht="25" hidden="false" customHeight="false" outlineLevel="0" collapsed="false">
      <c r="A648" s="21" t="n">
        <v>17</v>
      </c>
      <c r="B648" s="21" t="n">
        <v>2022</v>
      </c>
      <c r="C648" s="26" t="n">
        <v>44770</v>
      </c>
      <c r="D648" s="21" t="s">
        <v>688</v>
      </c>
      <c r="E648" s="21" t="s">
        <v>669</v>
      </c>
      <c r="F648" s="21" t="s">
        <v>691</v>
      </c>
      <c r="G648" s="27" t="n">
        <v>10</v>
      </c>
      <c r="H648" s="27" t="n">
        <v>20</v>
      </c>
      <c r="I648" s="27" t="n">
        <v>15</v>
      </c>
      <c r="J648" s="21" t="s">
        <v>556</v>
      </c>
      <c r="K648" s="27" t="n">
        <v>15</v>
      </c>
    </row>
    <row r="649" customFormat="false" ht="25" hidden="false" customHeight="false" outlineLevel="0" collapsed="false">
      <c r="A649" s="21" t="n">
        <v>17</v>
      </c>
      <c r="B649" s="21" t="n">
        <v>2022</v>
      </c>
      <c r="C649" s="26" t="n">
        <v>44770</v>
      </c>
      <c r="D649" s="21" t="s">
        <v>686</v>
      </c>
      <c r="E649" s="21" t="s">
        <v>67</v>
      </c>
      <c r="F649" s="21" t="s">
        <v>689</v>
      </c>
      <c r="G649" s="27" t="n">
        <v>40</v>
      </c>
      <c r="H649" s="27" t="n">
        <v>60</v>
      </c>
      <c r="I649" s="27" t="n">
        <v>50</v>
      </c>
      <c r="J649" s="21" t="s">
        <v>556</v>
      </c>
      <c r="K649" s="27" t="n">
        <v>50</v>
      </c>
    </row>
    <row r="650" customFormat="false" ht="25" hidden="false" customHeight="false" outlineLevel="0" collapsed="false">
      <c r="A650" s="21" t="n">
        <v>17</v>
      </c>
      <c r="B650" s="21" t="n">
        <v>2022</v>
      </c>
      <c r="C650" s="26" t="n">
        <v>44770</v>
      </c>
      <c r="D650" s="21" t="s">
        <v>686</v>
      </c>
      <c r="E650" s="21" t="s">
        <v>68</v>
      </c>
      <c r="F650" s="21" t="s">
        <v>689</v>
      </c>
      <c r="G650" s="27" t="n">
        <v>80</v>
      </c>
      <c r="H650" s="27" t="n">
        <v>80</v>
      </c>
      <c r="I650" s="27" t="n">
        <v>80</v>
      </c>
      <c r="J650" s="21" t="s">
        <v>556</v>
      </c>
      <c r="K650" s="27" t="n">
        <v>80</v>
      </c>
    </row>
    <row r="651" customFormat="false" ht="25" hidden="false" customHeight="false" outlineLevel="0" collapsed="false">
      <c r="A651" s="21" t="n">
        <v>18</v>
      </c>
      <c r="B651" s="21" t="n">
        <v>2022</v>
      </c>
      <c r="C651" s="26" t="n">
        <v>44777</v>
      </c>
      <c r="D651" s="21" t="s">
        <v>686</v>
      </c>
      <c r="E651" s="21" t="s">
        <v>656</v>
      </c>
      <c r="F651" s="21" t="s">
        <v>687</v>
      </c>
      <c r="G651" s="27" t="n">
        <v>50</v>
      </c>
      <c r="H651" s="27" t="n">
        <v>60</v>
      </c>
      <c r="I651" s="27" t="n">
        <v>55</v>
      </c>
      <c r="J651" s="27" t="n">
        <v>50</v>
      </c>
      <c r="K651" s="27" t="n">
        <v>55</v>
      </c>
    </row>
    <row r="652" customFormat="false" ht="25" hidden="false" customHeight="false" outlineLevel="0" collapsed="false">
      <c r="A652" s="21" t="n">
        <v>18</v>
      </c>
      <c r="B652" s="21" t="n">
        <v>2022</v>
      </c>
      <c r="C652" s="26" t="n">
        <v>44777</v>
      </c>
      <c r="D652" s="21" t="s">
        <v>688</v>
      </c>
      <c r="E652" s="21" t="s">
        <v>16</v>
      </c>
      <c r="F652" s="21" t="s">
        <v>689</v>
      </c>
      <c r="G652" s="27" t="n">
        <v>42</v>
      </c>
      <c r="H652" s="27" t="n">
        <v>48</v>
      </c>
      <c r="I652" s="27" t="n">
        <v>45</v>
      </c>
      <c r="J652" s="21" t="s">
        <v>556</v>
      </c>
      <c r="K652" s="27" t="n">
        <v>45</v>
      </c>
    </row>
    <row r="653" customFormat="false" ht="25" hidden="false" customHeight="false" outlineLevel="0" collapsed="false">
      <c r="A653" s="21" t="n">
        <v>18</v>
      </c>
      <c r="B653" s="21" t="n">
        <v>2022</v>
      </c>
      <c r="C653" s="26" t="n">
        <v>44777</v>
      </c>
      <c r="D653" s="21" t="s">
        <v>688</v>
      </c>
      <c r="E653" s="21" t="s">
        <v>18</v>
      </c>
      <c r="F653" s="21" t="s">
        <v>687</v>
      </c>
      <c r="G653" s="27" t="n">
        <v>50</v>
      </c>
      <c r="H653" s="27" t="n">
        <v>60</v>
      </c>
      <c r="I653" s="27" t="n">
        <v>55</v>
      </c>
      <c r="J653" s="21" t="s">
        <v>556</v>
      </c>
      <c r="K653" s="27" t="n">
        <v>55</v>
      </c>
    </row>
    <row r="654" customFormat="false" ht="25" hidden="false" customHeight="false" outlineLevel="0" collapsed="false">
      <c r="A654" s="21" t="n">
        <v>18</v>
      </c>
      <c r="B654" s="21" t="n">
        <v>2022</v>
      </c>
      <c r="C654" s="26" t="n">
        <v>44777</v>
      </c>
      <c r="D654" s="21" t="s">
        <v>688</v>
      </c>
      <c r="E654" s="21" t="s">
        <v>659</v>
      </c>
      <c r="F654" s="21" t="s">
        <v>689</v>
      </c>
      <c r="G654" s="27" t="n">
        <v>30</v>
      </c>
      <c r="H654" s="27" t="n">
        <v>42</v>
      </c>
      <c r="I654" s="27" t="n">
        <v>36</v>
      </c>
      <c r="J654" s="21" t="s">
        <v>556</v>
      </c>
      <c r="K654" s="27" t="n">
        <v>36</v>
      </c>
    </row>
    <row r="655" customFormat="false" ht="25" hidden="false" customHeight="false" outlineLevel="0" collapsed="false">
      <c r="A655" s="21" t="n">
        <v>18</v>
      </c>
      <c r="B655" s="21" t="n">
        <v>2022</v>
      </c>
      <c r="C655" s="26" t="n">
        <v>44777</v>
      </c>
      <c r="D655" s="21" t="s">
        <v>688</v>
      </c>
      <c r="E655" s="21" t="s">
        <v>20</v>
      </c>
      <c r="F655" s="21" t="s">
        <v>689</v>
      </c>
      <c r="G655" s="27" t="n">
        <v>15</v>
      </c>
      <c r="H655" s="27" t="n">
        <v>24</v>
      </c>
      <c r="I655" s="27" t="n">
        <v>19.67</v>
      </c>
      <c r="J655" s="21" t="s">
        <v>556</v>
      </c>
      <c r="K655" s="27" t="n">
        <v>20</v>
      </c>
    </row>
    <row r="656" customFormat="false" ht="25" hidden="false" customHeight="false" outlineLevel="0" collapsed="false">
      <c r="A656" s="21" t="n">
        <v>18</v>
      </c>
      <c r="B656" s="21" t="n">
        <v>2022</v>
      </c>
      <c r="C656" s="26" t="n">
        <v>44777</v>
      </c>
      <c r="D656" s="21" t="s">
        <v>688</v>
      </c>
      <c r="E656" s="21" t="s">
        <v>21</v>
      </c>
      <c r="F656" s="21" t="s">
        <v>689</v>
      </c>
      <c r="G656" s="27" t="n">
        <v>15</v>
      </c>
      <c r="H656" s="27" t="n">
        <v>24</v>
      </c>
      <c r="I656" s="27" t="n">
        <v>19.5</v>
      </c>
      <c r="J656" s="21" t="s">
        <v>556</v>
      </c>
      <c r="K656" s="27" t="n">
        <v>19.5</v>
      </c>
    </row>
    <row r="657" customFormat="false" ht="25" hidden="false" customHeight="false" outlineLevel="0" collapsed="false">
      <c r="A657" s="21" t="n">
        <v>18</v>
      </c>
      <c r="B657" s="21" t="n">
        <v>2022</v>
      </c>
      <c r="C657" s="26" t="n">
        <v>44777</v>
      </c>
      <c r="D657" s="21" t="s">
        <v>688</v>
      </c>
      <c r="E657" s="21" t="s">
        <v>22</v>
      </c>
      <c r="F657" s="21" t="s">
        <v>687</v>
      </c>
      <c r="G657" s="27" t="n">
        <v>48</v>
      </c>
      <c r="H657" s="27" t="n">
        <v>48</v>
      </c>
      <c r="I657" s="27" t="n">
        <v>48</v>
      </c>
      <c r="J657" s="27" t="n">
        <v>48</v>
      </c>
      <c r="K657" s="27" t="n">
        <v>48</v>
      </c>
    </row>
    <row r="658" customFormat="false" ht="36.5" hidden="false" customHeight="false" outlineLevel="0" collapsed="false">
      <c r="A658" s="21" t="n">
        <v>18</v>
      </c>
      <c r="B658" s="21" t="n">
        <v>2022</v>
      </c>
      <c r="C658" s="26" t="n">
        <v>44777</v>
      </c>
      <c r="D658" s="21" t="s">
        <v>690</v>
      </c>
      <c r="E658" s="21" t="s">
        <v>46</v>
      </c>
      <c r="F658" s="21" t="s">
        <v>689</v>
      </c>
      <c r="G658" s="27" t="n">
        <v>45</v>
      </c>
      <c r="H658" s="27" t="n">
        <v>60</v>
      </c>
      <c r="I658" s="27" t="n">
        <v>54.17</v>
      </c>
      <c r="J658" s="27" t="n">
        <v>60</v>
      </c>
      <c r="K658" s="27" t="n">
        <v>55</v>
      </c>
    </row>
    <row r="659" customFormat="false" ht="25" hidden="false" customHeight="false" outlineLevel="0" collapsed="false">
      <c r="A659" s="21" t="n">
        <v>18</v>
      </c>
      <c r="B659" s="21" t="n">
        <v>2022</v>
      </c>
      <c r="C659" s="26" t="n">
        <v>44777</v>
      </c>
      <c r="D659" s="21" t="s">
        <v>686</v>
      </c>
      <c r="E659" s="21" t="s">
        <v>48</v>
      </c>
      <c r="F659" s="21" t="s">
        <v>689</v>
      </c>
      <c r="G659" s="27" t="n">
        <v>35</v>
      </c>
      <c r="H659" s="27" t="n">
        <v>50</v>
      </c>
      <c r="I659" s="27" t="n">
        <v>41.67</v>
      </c>
      <c r="J659" s="27" t="n">
        <v>35</v>
      </c>
      <c r="K659" s="27" t="n">
        <v>42.5</v>
      </c>
    </row>
    <row r="660" customFormat="false" ht="25" hidden="false" customHeight="false" outlineLevel="0" collapsed="false">
      <c r="A660" s="21" t="n">
        <v>18</v>
      </c>
      <c r="B660" s="21" t="n">
        <v>2022</v>
      </c>
      <c r="C660" s="26" t="n">
        <v>44777</v>
      </c>
      <c r="D660" s="21" t="s">
        <v>686</v>
      </c>
      <c r="E660" s="21" t="s">
        <v>52</v>
      </c>
      <c r="F660" s="21" t="s">
        <v>689</v>
      </c>
      <c r="G660" s="27" t="n">
        <v>95</v>
      </c>
      <c r="H660" s="27" t="n">
        <v>95</v>
      </c>
      <c r="I660" s="27" t="n">
        <v>95</v>
      </c>
      <c r="J660" s="21" t="s">
        <v>556</v>
      </c>
      <c r="K660" s="27" t="n">
        <v>95</v>
      </c>
    </row>
    <row r="661" customFormat="false" ht="36.5" hidden="false" customHeight="false" outlineLevel="0" collapsed="false">
      <c r="A661" s="21" t="n">
        <v>18</v>
      </c>
      <c r="B661" s="21" t="n">
        <v>2022</v>
      </c>
      <c r="C661" s="26" t="n">
        <v>44777</v>
      </c>
      <c r="D661" s="21" t="s">
        <v>690</v>
      </c>
      <c r="E661" s="21" t="s">
        <v>53</v>
      </c>
      <c r="F661" s="21" t="s">
        <v>689</v>
      </c>
      <c r="G661" s="27" t="n">
        <v>50</v>
      </c>
      <c r="H661" s="27" t="n">
        <v>65</v>
      </c>
      <c r="I661" s="27" t="n">
        <v>57</v>
      </c>
      <c r="J661" s="27" t="n">
        <v>65</v>
      </c>
      <c r="K661" s="27" t="n">
        <v>55</v>
      </c>
    </row>
    <row r="662" customFormat="false" ht="36.5" hidden="false" customHeight="false" outlineLevel="0" collapsed="false">
      <c r="A662" s="21" t="n">
        <v>18</v>
      </c>
      <c r="B662" s="21" t="n">
        <v>2022</v>
      </c>
      <c r="C662" s="26" t="n">
        <v>44777</v>
      </c>
      <c r="D662" s="21" t="s">
        <v>688</v>
      </c>
      <c r="E662" s="21" t="s">
        <v>663</v>
      </c>
      <c r="F662" s="21" t="s">
        <v>689</v>
      </c>
      <c r="G662" s="27" t="n">
        <v>60</v>
      </c>
      <c r="H662" s="27" t="n">
        <v>60</v>
      </c>
      <c r="I662" s="27" t="n">
        <v>60</v>
      </c>
      <c r="J662" s="27" t="n">
        <v>60</v>
      </c>
      <c r="K662" s="27" t="n">
        <v>60</v>
      </c>
    </row>
    <row r="663" customFormat="false" ht="25" hidden="false" customHeight="false" outlineLevel="0" collapsed="false">
      <c r="A663" s="21" t="n">
        <v>18</v>
      </c>
      <c r="B663" s="21" t="n">
        <v>2022</v>
      </c>
      <c r="C663" s="26" t="n">
        <v>44777</v>
      </c>
      <c r="D663" s="21" t="s">
        <v>688</v>
      </c>
      <c r="E663" s="21" t="s">
        <v>24</v>
      </c>
      <c r="F663" s="21" t="s">
        <v>687</v>
      </c>
      <c r="G663" s="27" t="n">
        <v>38</v>
      </c>
      <c r="H663" s="27" t="n">
        <v>60</v>
      </c>
      <c r="I663" s="27" t="n">
        <v>49</v>
      </c>
      <c r="J663" s="21" t="s">
        <v>556</v>
      </c>
      <c r="K663" s="27" t="n">
        <v>49</v>
      </c>
    </row>
    <row r="664" customFormat="false" ht="13.8" hidden="false" customHeight="false" outlineLevel="0" collapsed="false">
      <c r="A664" s="21" t="n">
        <v>18</v>
      </c>
      <c r="B664" s="21" t="n">
        <v>2022</v>
      </c>
      <c r="C664" s="26" t="n">
        <v>44777</v>
      </c>
      <c r="D664" s="21" t="s">
        <v>677</v>
      </c>
      <c r="E664" s="21" t="s">
        <v>70</v>
      </c>
      <c r="F664" s="21" t="s">
        <v>689</v>
      </c>
      <c r="G664" s="27" t="n">
        <v>80</v>
      </c>
      <c r="H664" s="27" t="n">
        <v>80</v>
      </c>
      <c r="I664" s="27" t="n">
        <v>80</v>
      </c>
      <c r="J664" s="21" t="s">
        <v>556</v>
      </c>
      <c r="K664" s="27" t="n">
        <v>80</v>
      </c>
    </row>
    <row r="665" customFormat="false" ht="25" hidden="false" customHeight="false" outlineLevel="0" collapsed="false">
      <c r="A665" s="21" t="n">
        <v>18</v>
      </c>
      <c r="B665" s="21" t="n">
        <v>2022</v>
      </c>
      <c r="C665" s="26" t="n">
        <v>44777</v>
      </c>
      <c r="D665" s="21" t="s">
        <v>677</v>
      </c>
      <c r="E665" s="21" t="s">
        <v>681</v>
      </c>
      <c r="F665" s="21" t="s">
        <v>689</v>
      </c>
      <c r="G665" s="21" t="s">
        <v>556</v>
      </c>
      <c r="H665" s="21" t="s">
        <v>556</v>
      </c>
      <c r="I665" s="21" t="s">
        <v>556</v>
      </c>
      <c r="J665" s="21" t="s">
        <v>556</v>
      </c>
      <c r="K665" s="21" t="s">
        <v>556</v>
      </c>
    </row>
    <row r="666" customFormat="false" ht="25" hidden="false" customHeight="false" outlineLevel="0" collapsed="false">
      <c r="A666" s="21" t="n">
        <v>18</v>
      </c>
      <c r="B666" s="21" t="n">
        <v>2022</v>
      </c>
      <c r="C666" s="26" t="n">
        <v>44777</v>
      </c>
      <c r="D666" s="21" t="s">
        <v>677</v>
      </c>
      <c r="E666" s="21" t="s">
        <v>72</v>
      </c>
      <c r="F666" s="21" t="s">
        <v>689</v>
      </c>
      <c r="G666" s="21" t="s">
        <v>556</v>
      </c>
      <c r="H666" s="21" t="s">
        <v>556</v>
      </c>
      <c r="I666" s="21" t="s">
        <v>556</v>
      </c>
      <c r="J666" s="21" t="s">
        <v>556</v>
      </c>
      <c r="K666" s="21" t="s">
        <v>556</v>
      </c>
    </row>
    <row r="667" customFormat="false" ht="25" hidden="false" customHeight="false" outlineLevel="0" collapsed="false">
      <c r="A667" s="21" t="n">
        <v>18</v>
      </c>
      <c r="B667" s="21" t="n">
        <v>2022</v>
      </c>
      <c r="C667" s="26" t="n">
        <v>44777</v>
      </c>
      <c r="D667" s="21" t="s">
        <v>688</v>
      </c>
      <c r="E667" s="21" t="s">
        <v>35</v>
      </c>
      <c r="F667" s="21" t="s">
        <v>691</v>
      </c>
      <c r="G667" s="27" t="n">
        <v>4</v>
      </c>
      <c r="H667" s="27" t="n">
        <v>5</v>
      </c>
      <c r="I667" s="27" t="n">
        <v>4.5</v>
      </c>
      <c r="J667" s="21" t="s">
        <v>556</v>
      </c>
      <c r="K667" s="27" t="n">
        <v>4.5</v>
      </c>
    </row>
    <row r="668" customFormat="false" ht="36.5" hidden="false" customHeight="false" outlineLevel="0" collapsed="false">
      <c r="A668" s="21" t="n">
        <v>18</v>
      </c>
      <c r="B668" s="21" t="n">
        <v>2022</v>
      </c>
      <c r="C668" s="26" t="n">
        <v>44777</v>
      </c>
      <c r="D668" s="21" t="s">
        <v>690</v>
      </c>
      <c r="E668" s="21" t="s">
        <v>56</v>
      </c>
      <c r="F668" s="21" t="s">
        <v>689</v>
      </c>
      <c r="G668" s="27" t="n">
        <v>40</v>
      </c>
      <c r="H668" s="27" t="n">
        <v>60</v>
      </c>
      <c r="I668" s="27" t="n">
        <v>54.17</v>
      </c>
      <c r="J668" s="27" t="n">
        <v>60</v>
      </c>
      <c r="K668" s="27" t="n">
        <v>57.5</v>
      </c>
    </row>
    <row r="669" customFormat="false" ht="25" hidden="false" customHeight="false" outlineLevel="0" collapsed="false">
      <c r="A669" s="21" t="n">
        <v>18</v>
      </c>
      <c r="B669" s="21" t="n">
        <v>2022</v>
      </c>
      <c r="C669" s="26" t="n">
        <v>44777</v>
      </c>
      <c r="D669" s="21" t="s">
        <v>686</v>
      </c>
      <c r="E669" s="21" t="s">
        <v>57</v>
      </c>
      <c r="F669" s="21" t="s">
        <v>689</v>
      </c>
      <c r="G669" s="27" t="n">
        <v>50</v>
      </c>
      <c r="H669" s="27" t="n">
        <v>160</v>
      </c>
      <c r="I669" s="27" t="n">
        <v>74.17</v>
      </c>
      <c r="J669" s="27" t="n">
        <v>55</v>
      </c>
      <c r="K669" s="27" t="n">
        <v>57.5</v>
      </c>
    </row>
    <row r="670" customFormat="false" ht="25" hidden="false" customHeight="false" outlineLevel="0" collapsed="false">
      <c r="A670" s="21" t="n">
        <v>18</v>
      </c>
      <c r="B670" s="21" t="n">
        <v>2022</v>
      </c>
      <c r="C670" s="26" t="n">
        <v>44777</v>
      </c>
      <c r="D670" s="21" t="s">
        <v>688</v>
      </c>
      <c r="E670" s="21" t="s">
        <v>38</v>
      </c>
      <c r="F670" s="21" t="s">
        <v>691</v>
      </c>
      <c r="G670" s="27" t="n">
        <v>7</v>
      </c>
      <c r="H670" s="27" t="n">
        <v>12</v>
      </c>
      <c r="I670" s="27" t="n">
        <v>9.67</v>
      </c>
      <c r="J670" s="21" t="s">
        <v>556</v>
      </c>
      <c r="K670" s="27" t="n">
        <v>10</v>
      </c>
    </row>
    <row r="671" customFormat="false" ht="25" hidden="false" customHeight="false" outlineLevel="0" collapsed="false">
      <c r="A671" s="21" t="n">
        <v>18</v>
      </c>
      <c r="B671" s="21" t="n">
        <v>2022</v>
      </c>
      <c r="C671" s="26" t="n">
        <v>44777</v>
      </c>
      <c r="D671" s="21" t="s">
        <v>688</v>
      </c>
      <c r="E671" s="21" t="s">
        <v>666</v>
      </c>
      <c r="F671" s="21" t="s">
        <v>687</v>
      </c>
      <c r="G671" s="27" t="n">
        <v>24</v>
      </c>
      <c r="H671" s="27" t="n">
        <v>24</v>
      </c>
      <c r="I671" s="27" t="n">
        <v>24</v>
      </c>
      <c r="J671" s="27" t="n">
        <v>24</v>
      </c>
      <c r="K671" s="27" t="n">
        <v>24</v>
      </c>
    </row>
    <row r="672" customFormat="false" ht="25" hidden="false" customHeight="false" outlineLevel="0" collapsed="false">
      <c r="A672" s="21" t="n">
        <v>18</v>
      </c>
      <c r="B672" s="21" t="n">
        <v>2022</v>
      </c>
      <c r="C672" s="26" t="n">
        <v>44777</v>
      </c>
      <c r="D672" s="21" t="s">
        <v>688</v>
      </c>
      <c r="E672" s="21" t="s">
        <v>77</v>
      </c>
      <c r="F672" s="21" t="s">
        <v>687</v>
      </c>
      <c r="G672" s="27" t="n">
        <v>60</v>
      </c>
      <c r="H672" s="27" t="n">
        <v>66</v>
      </c>
      <c r="I672" s="27" t="n">
        <v>63</v>
      </c>
      <c r="J672" s="21" t="s">
        <v>556</v>
      </c>
      <c r="K672" s="27" t="n">
        <v>63</v>
      </c>
    </row>
    <row r="673" customFormat="false" ht="25" hidden="false" customHeight="false" outlineLevel="0" collapsed="false">
      <c r="A673" s="21" t="n">
        <v>18</v>
      </c>
      <c r="B673" s="21" t="n">
        <v>2022</v>
      </c>
      <c r="C673" s="26" t="n">
        <v>44777</v>
      </c>
      <c r="D673" s="21" t="s">
        <v>688</v>
      </c>
      <c r="E673" s="21" t="s">
        <v>27</v>
      </c>
      <c r="F673" s="21" t="s">
        <v>687</v>
      </c>
      <c r="G673" s="27" t="n">
        <v>15</v>
      </c>
      <c r="H673" s="27" t="n">
        <v>24</v>
      </c>
      <c r="I673" s="27" t="n">
        <v>19.5</v>
      </c>
      <c r="J673" s="21" t="s">
        <v>556</v>
      </c>
      <c r="K673" s="27" t="n">
        <v>19.5</v>
      </c>
    </row>
    <row r="674" customFormat="false" ht="25" hidden="false" customHeight="false" outlineLevel="0" collapsed="false">
      <c r="A674" s="21" t="n">
        <v>18</v>
      </c>
      <c r="B674" s="21" t="n">
        <v>2022</v>
      </c>
      <c r="C674" s="26" t="n">
        <v>44777</v>
      </c>
      <c r="D674" s="21" t="s">
        <v>688</v>
      </c>
      <c r="E674" s="21" t="s">
        <v>28</v>
      </c>
      <c r="F674" s="21" t="s">
        <v>687</v>
      </c>
      <c r="G674" s="27" t="n">
        <v>48</v>
      </c>
      <c r="H674" s="27" t="n">
        <v>60</v>
      </c>
      <c r="I674" s="27" t="n">
        <v>54</v>
      </c>
      <c r="J674" s="21" t="s">
        <v>556</v>
      </c>
      <c r="K674" s="27" t="n">
        <v>54</v>
      </c>
    </row>
    <row r="675" customFormat="false" ht="13.8" hidden="false" customHeight="false" outlineLevel="0" collapsed="false">
      <c r="A675" s="21" t="n">
        <v>18</v>
      </c>
      <c r="B675" s="21" t="n">
        <v>2022</v>
      </c>
      <c r="C675" s="26" t="n">
        <v>44777</v>
      </c>
      <c r="D675" s="21" t="s">
        <v>677</v>
      </c>
      <c r="E675" s="21" t="s">
        <v>73</v>
      </c>
      <c r="F675" s="21" t="s">
        <v>689</v>
      </c>
      <c r="G675" s="27" t="n">
        <v>42</v>
      </c>
      <c r="H675" s="27" t="n">
        <v>42</v>
      </c>
      <c r="I675" s="27" t="n">
        <v>42</v>
      </c>
      <c r="J675" s="21" t="s">
        <v>556</v>
      </c>
      <c r="K675" s="27" t="n">
        <v>42</v>
      </c>
    </row>
    <row r="676" customFormat="false" ht="25" hidden="false" customHeight="false" outlineLevel="0" collapsed="false">
      <c r="A676" s="21" t="n">
        <v>18</v>
      </c>
      <c r="B676" s="21" t="n">
        <v>2022</v>
      </c>
      <c r="C676" s="26" t="n">
        <v>44777</v>
      </c>
      <c r="D676" s="21" t="s">
        <v>686</v>
      </c>
      <c r="E676" s="21" t="s">
        <v>58</v>
      </c>
      <c r="F676" s="21" t="s">
        <v>689</v>
      </c>
      <c r="G676" s="27" t="n">
        <v>70</v>
      </c>
      <c r="H676" s="27" t="n">
        <v>110</v>
      </c>
      <c r="I676" s="27" t="n">
        <v>93</v>
      </c>
      <c r="J676" s="27" t="n">
        <v>90</v>
      </c>
      <c r="K676" s="27" t="n">
        <v>94</v>
      </c>
    </row>
    <row r="677" customFormat="false" ht="25" hidden="false" customHeight="false" outlineLevel="0" collapsed="false">
      <c r="A677" s="21" t="n">
        <v>18</v>
      </c>
      <c r="B677" s="21" t="n">
        <v>2022</v>
      </c>
      <c r="C677" s="26" t="n">
        <v>44777</v>
      </c>
      <c r="D677" s="21" t="s">
        <v>677</v>
      </c>
      <c r="E677" s="21" t="s">
        <v>74</v>
      </c>
      <c r="F677" s="21" t="s">
        <v>689</v>
      </c>
      <c r="G677" s="27" t="n">
        <v>60</v>
      </c>
      <c r="H677" s="27" t="n">
        <v>60</v>
      </c>
      <c r="I677" s="27" t="n">
        <v>60</v>
      </c>
      <c r="J677" s="27" t="n">
        <v>60</v>
      </c>
      <c r="K677" s="27" t="n">
        <v>60</v>
      </c>
    </row>
    <row r="678" customFormat="false" ht="25" hidden="false" customHeight="false" outlineLevel="0" collapsed="false">
      <c r="A678" s="21" t="n">
        <v>18</v>
      </c>
      <c r="B678" s="21" t="n">
        <v>2022</v>
      </c>
      <c r="C678" s="26" t="n">
        <v>44777</v>
      </c>
      <c r="D678" s="21" t="s">
        <v>686</v>
      </c>
      <c r="E678" s="21" t="s">
        <v>61</v>
      </c>
      <c r="F678" s="21" t="s">
        <v>689</v>
      </c>
      <c r="G678" s="27" t="n">
        <v>60</v>
      </c>
      <c r="H678" s="27" t="n">
        <v>85</v>
      </c>
      <c r="I678" s="27" t="n">
        <v>66</v>
      </c>
      <c r="J678" s="27" t="n">
        <v>60</v>
      </c>
      <c r="K678" s="27" t="n">
        <v>60</v>
      </c>
    </row>
    <row r="679" customFormat="false" ht="25" hidden="false" customHeight="false" outlineLevel="0" collapsed="false">
      <c r="A679" s="21" t="n">
        <v>18</v>
      </c>
      <c r="B679" s="21" t="n">
        <v>2022</v>
      </c>
      <c r="C679" s="26" t="n">
        <v>44777</v>
      </c>
      <c r="D679" s="21" t="s">
        <v>686</v>
      </c>
      <c r="E679" s="21" t="s">
        <v>62</v>
      </c>
      <c r="F679" s="21" t="s">
        <v>689</v>
      </c>
      <c r="G679" s="27" t="n">
        <v>70</v>
      </c>
      <c r="H679" s="27" t="n">
        <v>100</v>
      </c>
      <c r="I679" s="27" t="n">
        <v>84</v>
      </c>
      <c r="J679" s="27" t="n">
        <v>80</v>
      </c>
      <c r="K679" s="27" t="n">
        <v>80</v>
      </c>
    </row>
    <row r="680" customFormat="false" ht="25" hidden="false" customHeight="false" outlineLevel="0" collapsed="false">
      <c r="A680" s="21" t="n">
        <v>18</v>
      </c>
      <c r="B680" s="21" t="n">
        <v>2022</v>
      </c>
      <c r="C680" s="26" t="n">
        <v>44777</v>
      </c>
      <c r="D680" s="21" t="s">
        <v>686</v>
      </c>
      <c r="E680" s="21" t="s">
        <v>63</v>
      </c>
      <c r="F680" s="21" t="s">
        <v>689</v>
      </c>
      <c r="G680" s="27" t="n">
        <v>40</v>
      </c>
      <c r="H680" s="27" t="n">
        <v>50</v>
      </c>
      <c r="I680" s="27" t="n">
        <v>43.33</v>
      </c>
      <c r="J680" s="27" t="n">
        <v>40</v>
      </c>
      <c r="K680" s="27" t="n">
        <v>42.5</v>
      </c>
    </row>
    <row r="681" customFormat="false" ht="25" hidden="false" customHeight="false" outlineLevel="0" collapsed="false">
      <c r="A681" s="21" t="n">
        <v>18</v>
      </c>
      <c r="B681" s="21" t="n">
        <v>2022</v>
      </c>
      <c r="C681" s="26" t="n">
        <v>44777</v>
      </c>
      <c r="D681" s="21" t="s">
        <v>686</v>
      </c>
      <c r="E681" s="21" t="s">
        <v>64</v>
      </c>
      <c r="F681" s="21" t="s">
        <v>689</v>
      </c>
      <c r="G681" s="27" t="n">
        <v>80</v>
      </c>
      <c r="H681" s="27" t="n">
        <v>110</v>
      </c>
      <c r="I681" s="27" t="n">
        <v>95</v>
      </c>
      <c r="J681" s="27" t="n">
        <v>100</v>
      </c>
      <c r="K681" s="27" t="n">
        <v>95</v>
      </c>
    </row>
    <row r="682" customFormat="false" ht="36.5" hidden="false" customHeight="false" outlineLevel="0" collapsed="false">
      <c r="A682" s="21" t="n">
        <v>18</v>
      </c>
      <c r="B682" s="21" t="n">
        <v>2022</v>
      </c>
      <c r="C682" s="26" t="n">
        <v>44777</v>
      </c>
      <c r="D682" s="21" t="s">
        <v>690</v>
      </c>
      <c r="E682" s="21" t="s">
        <v>29</v>
      </c>
      <c r="F682" s="21" t="s">
        <v>687</v>
      </c>
      <c r="G682" s="27" t="n">
        <v>42</v>
      </c>
      <c r="H682" s="27" t="n">
        <v>54</v>
      </c>
      <c r="I682" s="27" t="n">
        <v>48</v>
      </c>
      <c r="J682" s="21" t="s">
        <v>556</v>
      </c>
      <c r="K682" s="27" t="n">
        <v>48</v>
      </c>
    </row>
    <row r="683" customFormat="false" ht="25" hidden="false" customHeight="false" outlineLevel="0" collapsed="false">
      <c r="A683" s="21" t="n">
        <v>18</v>
      </c>
      <c r="B683" s="21" t="n">
        <v>2022</v>
      </c>
      <c r="C683" s="26" t="n">
        <v>44777</v>
      </c>
      <c r="D683" s="21" t="s">
        <v>688</v>
      </c>
      <c r="E683" s="21" t="s">
        <v>31</v>
      </c>
      <c r="F683" s="21" t="s">
        <v>689</v>
      </c>
      <c r="G683" s="27" t="n">
        <v>45</v>
      </c>
      <c r="H683" s="27" t="n">
        <v>60</v>
      </c>
      <c r="I683" s="27" t="n">
        <v>52.5</v>
      </c>
      <c r="J683" s="21" t="s">
        <v>556</v>
      </c>
      <c r="K683" s="27" t="n">
        <v>52.5</v>
      </c>
    </row>
    <row r="684" customFormat="false" ht="25" hidden="false" customHeight="false" outlineLevel="0" collapsed="false">
      <c r="A684" s="21" t="n">
        <v>18</v>
      </c>
      <c r="B684" s="21" t="n">
        <v>2022</v>
      </c>
      <c r="C684" s="26" t="n">
        <v>44777</v>
      </c>
      <c r="D684" s="21" t="s">
        <v>688</v>
      </c>
      <c r="E684" s="21" t="s">
        <v>668</v>
      </c>
      <c r="F684" s="21" t="s">
        <v>689</v>
      </c>
      <c r="G684" s="27" t="n">
        <v>30</v>
      </c>
      <c r="H684" s="27" t="n">
        <v>40</v>
      </c>
      <c r="I684" s="27" t="n">
        <v>35</v>
      </c>
      <c r="J684" s="21" t="s">
        <v>556</v>
      </c>
      <c r="K684" s="27" t="n">
        <v>35</v>
      </c>
    </row>
    <row r="685" customFormat="false" ht="25" hidden="false" customHeight="false" outlineLevel="0" collapsed="false">
      <c r="A685" s="21" t="n">
        <v>18</v>
      </c>
      <c r="B685" s="21" t="n">
        <v>2022</v>
      </c>
      <c r="C685" s="26" t="n">
        <v>44777</v>
      </c>
      <c r="D685" s="21" t="s">
        <v>688</v>
      </c>
      <c r="E685" s="21" t="s">
        <v>33</v>
      </c>
      <c r="F685" s="21" t="s">
        <v>687</v>
      </c>
      <c r="G685" s="27" t="n">
        <v>48</v>
      </c>
      <c r="H685" s="27" t="n">
        <v>48</v>
      </c>
      <c r="I685" s="27" t="n">
        <v>48</v>
      </c>
      <c r="J685" s="27" t="n">
        <v>48</v>
      </c>
      <c r="K685" s="27" t="n">
        <v>48</v>
      </c>
    </row>
    <row r="686" customFormat="false" ht="25" hidden="false" customHeight="false" outlineLevel="0" collapsed="false">
      <c r="A686" s="21" t="n">
        <v>18</v>
      </c>
      <c r="B686" s="21" t="n">
        <v>2022</v>
      </c>
      <c r="C686" s="26" t="n">
        <v>44777</v>
      </c>
      <c r="D686" s="21" t="s">
        <v>688</v>
      </c>
      <c r="E686" s="21" t="s">
        <v>669</v>
      </c>
      <c r="F686" s="21" t="s">
        <v>691</v>
      </c>
      <c r="G686" s="27" t="n">
        <v>15</v>
      </c>
      <c r="H686" s="27" t="n">
        <v>20</v>
      </c>
      <c r="I686" s="27" t="n">
        <v>17.5</v>
      </c>
      <c r="J686" s="21" t="s">
        <v>556</v>
      </c>
      <c r="K686" s="27" t="n">
        <v>17.5</v>
      </c>
    </row>
    <row r="687" customFormat="false" ht="25" hidden="false" customHeight="false" outlineLevel="0" collapsed="false">
      <c r="A687" s="21" t="n">
        <v>18</v>
      </c>
      <c r="B687" s="21" t="n">
        <v>2022</v>
      </c>
      <c r="C687" s="26" t="n">
        <v>44777</v>
      </c>
      <c r="D687" s="21" t="s">
        <v>686</v>
      </c>
      <c r="E687" s="21" t="s">
        <v>67</v>
      </c>
      <c r="F687" s="21" t="s">
        <v>689</v>
      </c>
      <c r="G687" s="27" t="n">
        <v>50</v>
      </c>
      <c r="H687" s="27" t="n">
        <v>80</v>
      </c>
      <c r="I687" s="27" t="n">
        <v>69</v>
      </c>
      <c r="J687" s="27" t="n">
        <v>80</v>
      </c>
      <c r="K687" s="27" t="n">
        <v>75</v>
      </c>
    </row>
    <row r="688" customFormat="false" ht="25" hidden="false" customHeight="false" outlineLevel="0" collapsed="false">
      <c r="A688" s="21" t="n">
        <v>18</v>
      </c>
      <c r="B688" s="21" t="n">
        <v>2022</v>
      </c>
      <c r="C688" s="26" t="n">
        <v>44777</v>
      </c>
      <c r="D688" s="21" t="s">
        <v>686</v>
      </c>
      <c r="E688" s="21" t="s">
        <v>68</v>
      </c>
      <c r="F688" s="21" t="s">
        <v>689</v>
      </c>
      <c r="G688" s="27" t="n">
        <v>70</v>
      </c>
      <c r="H688" s="27" t="n">
        <v>110</v>
      </c>
      <c r="I688" s="27" t="n">
        <v>85</v>
      </c>
      <c r="J688" s="27" t="n">
        <v>70</v>
      </c>
      <c r="K688" s="27" t="n">
        <v>80</v>
      </c>
    </row>
    <row r="689" customFormat="false" ht="25" hidden="false" customHeight="false" outlineLevel="0" collapsed="false">
      <c r="A689" s="21" t="n">
        <v>19</v>
      </c>
      <c r="B689" s="21" t="n">
        <v>2022</v>
      </c>
      <c r="C689" s="26" t="n">
        <v>44784</v>
      </c>
      <c r="D689" s="21" t="s">
        <v>686</v>
      </c>
      <c r="E689" s="21" t="s">
        <v>656</v>
      </c>
      <c r="F689" s="21" t="s">
        <v>687</v>
      </c>
      <c r="G689" s="27" t="n">
        <v>45</v>
      </c>
      <c r="H689" s="27" t="n">
        <v>60</v>
      </c>
      <c r="I689" s="27" t="n">
        <v>54</v>
      </c>
      <c r="J689" s="27" t="n">
        <v>60</v>
      </c>
      <c r="K689" s="27" t="n">
        <v>55</v>
      </c>
    </row>
    <row r="690" customFormat="false" ht="25" hidden="false" customHeight="false" outlineLevel="0" collapsed="false">
      <c r="A690" s="21" t="n">
        <v>19</v>
      </c>
      <c r="B690" s="21" t="n">
        <v>2022</v>
      </c>
      <c r="C690" s="26" t="n">
        <v>44784</v>
      </c>
      <c r="D690" s="21" t="s">
        <v>688</v>
      </c>
      <c r="E690" s="21" t="s">
        <v>16</v>
      </c>
      <c r="F690" s="21" t="s">
        <v>689</v>
      </c>
      <c r="G690" s="27" t="n">
        <v>30</v>
      </c>
      <c r="H690" s="27" t="n">
        <v>48</v>
      </c>
      <c r="I690" s="27" t="n">
        <v>42</v>
      </c>
      <c r="J690" s="27" t="n">
        <v>48</v>
      </c>
      <c r="K690" s="27" t="n">
        <v>45</v>
      </c>
    </row>
    <row r="691" customFormat="false" ht="25" hidden="false" customHeight="false" outlineLevel="0" collapsed="false">
      <c r="A691" s="21" t="n">
        <v>19</v>
      </c>
      <c r="B691" s="21" t="n">
        <v>2022</v>
      </c>
      <c r="C691" s="26" t="n">
        <v>44784</v>
      </c>
      <c r="D691" s="21" t="s">
        <v>688</v>
      </c>
      <c r="E691" s="21" t="s">
        <v>18</v>
      </c>
      <c r="F691" s="21" t="s">
        <v>687</v>
      </c>
      <c r="G691" s="27" t="n">
        <v>48</v>
      </c>
      <c r="H691" s="27" t="n">
        <v>60</v>
      </c>
      <c r="I691" s="27" t="n">
        <v>56</v>
      </c>
      <c r="J691" s="27" t="n">
        <v>60</v>
      </c>
      <c r="K691" s="27" t="n">
        <v>60</v>
      </c>
    </row>
    <row r="692" customFormat="false" ht="25" hidden="false" customHeight="false" outlineLevel="0" collapsed="false">
      <c r="A692" s="21" t="n">
        <v>19</v>
      </c>
      <c r="B692" s="21" t="n">
        <v>2022</v>
      </c>
      <c r="C692" s="26" t="n">
        <v>44784</v>
      </c>
      <c r="D692" s="21" t="s">
        <v>688</v>
      </c>
      <c r="E692" s="21" t="s">
        <v>659</v>
      </c>
      <c r="F692" s="21" t="s">
        <v>689</v>
      </c>
      <c r="G692" s="27" t="n">
        <v>24</v>
      </c>
      <c r="H692" s="27" t="n">
        <v>40</v>
      </c>
      <c r="I692" s="27" t="n">
        <v>29.5</v>
      </c>
      <c r="J692" s="27" t="n">
        <v>24</v>
      </c>
      <c r="K692" s="27" t="n">
        <v>27</v>
      </c>
    </row>
    <row r="693" customFormat="false" ht="25" hidden="false" customHeight="false" outlineLevel="0" collapsed="false">
      <c r="A693" s="21" t="n">
        <v>19</v>
      </c>
      <c r="B693" s="21" t="n">
        <v>2022</v>
      </c>
      <c r="C693" s="26" t="n">
        <v>44784</v>
      </c>
      <c r="D693" s="21" t="s">
        <v>688</v>
      </c>
      <c r="E693" s="21" t="s">
        <v>20</v>
      </c>
      <c r="F693" s="21" t="s">
        <v>689</v>
      </c>
      <c r="G693" s="27" t="n">
        <v>15</v>
      </c>
      <c r="H693" s="27" t="n">
        <v>24</v>
      </c>
      <c r="I693" s="27" t="n">
        <v>18</v>
      </c>
      <c r="J693" s="27" t="n">
        <v>15</v>
      </c>
      <c r="K693" s="27" t="n">
        <v>16.5</v>
      </c>
    </row>
    <row r="694" customFormat="false" ht="25" hidden="false" customHeight="false" outlineLevel="0" collapsed="false">
      <c r="A694" s="21" t="n">
        <v>19</v>
      </c>
      <c r="B694" s="21" t="n">
        <v>2022</v>
      </c>
      <c r="C694" s="26" t="n">
        <v>44784</v>
      </c>
      <c r="D694" s="21" t="s">
        <v>688</v>
      </c>
      <c r="E694" s="21" t="s">
        <v>21</v>
      </c>
      <c r="F694" s="21" t="s">
        <v>689</v>
      </c>
      <c r="G694" s="27" t="n">
        <v>15</v>
      </c>
      <c r="H694" s="27" t="n">
        <v>24</v>
      </c>
      <c r="I694" s="27" t="n">
        <v>18</v>
      </c>
      <c r="J694" s="27" t="n">
        <v>15</v>
      </c>
      <c r="K694" s="27" t="n">
        <v>15</v>
      </c>
    </row>
    <row r="695" customFormat="false" ht="25" hidden="false" customHeight="false" outlineLevel="0" collapsed="false">
      <c r="A695" s="21" t="n">
        <v>19</v>
      </c>
      <c r="B695" s="21" t="n">
        <v>2022</v>
      </c>
      <c r="C695" s="26" t="n">
        <v>44784</v>
      </c>
      <c r="D695" s="21" t="s">
        <v>688</v>
      </c>
      <c r="E695" s="21" t="s">
        <v>22</v>
      </c>
      <c r="F695" s="21" t="s">
        <v>687</v>
      </c>
      <c r="G695" s="27" t="n">
        <v>36</v>
      </c>
      <c r="H695" s="27" t="n">
        <v>48</v>
      </c>
      <c r="I695" s="27" t="n">
        <v>44</v>
      </c>
      <c r="J695" s="27" t="n">
        <v>48</v>
      </c>
      <c r="K695" s="27" t="n">
        <v>48</v>
      </c>
    </row>
    <row r="696" customFormat="false" ht="36.5" hidden="false" customHeight="false" outlineLevel="0" collapsed="false">
      <c r="A696" s="21" t="n">
        <v>19</v>
      </c>
      <c r="B696" s="21" t="n">
        <v>2022</v>
      </c>
      <c r="C696" s="26" t="n">
        <v>44784</v>
      </c>
      <c r="D696" s="21" t="s">
        <v>690</v>
      </c>
      <c r="E696" s="21" t="s">
        <v>46</v>
      </c>
      <c r="F696" s="21" t="s">
        <v>689</v>
      </c>
      <c r="G696" s="27" t="n">
        <v>50</v>
      </c>
      <c r="H696" s="27" t="n">
        <v>70</v>
      </c>
      <c r="I696" s="27" t="n">
        <v>61</v>
      </c>
      <c r="J696" s="27" t="n">
        <v>65</v>
      </c>
      <c r="K696" s="27" t="n">
        <v>65</v>
      </c>
    </row>
    <row r="697" customFormat="false" ht="25" hidden="false" customHeight="false" outlineLevel="0" collapsed="false">
      <c r="A697" s="21" t="n">
        <v>19</v>
      </c>
      <c r="B697" s="21" t="n">
        <v>2022</v>
      </c>
      <c r="C697" s="26" t="n">
        <v>44784</v>
      </c>
      <c r="D697" s="21" t="s">
        <v>686</v>
      </c>
      <c r="E697" s="21" t="s">
        <v>48</v>
      </c>
      <c r="F697" s="21" t="s">
        <v>689</v>
      </c>
      <c r="G697" s="27" t="n">
        <v>35</v>
      </c>
      <c r="H697" s="27" t="n">
        <v>45</v>
      </c>
      <c r="I697" s="27" t="n">
        <v>42</v>
      </c>
      <c r="J697" s="27" t="n">
        <v>45</v>
      </c>
      <c r="K697" s="27" t="n">
        <v>45</v>
      </c>
    </row>
    <row r="698" customFormat="false" ht="25" hidden="false" customHeight="false" outlineLevel="0" collapsed="false">
      <c r="A698" s="21" t="n">
        <v>19</v>
      </c>
      <c r="B698" s="21" t="n">
        <v>2022</v>
      </c>
      <c r="C698" s="26" t="n">
        <v>44784</v>
      </c>
      <c r="D698" s="21" t="s">
        <v>686</v>
      </c>
      <c r="E698" s="21" t="s">
        <v>52</v>
      </c>
      <c r="F698" s="21" t="s">
        <v>689</v>
      </c>
      <c r="G698" s="27" t="n">
        <v>85</v>
      </c>
      <c r="H698" s="27" t="n">
        <v>85</v>
      </c>
      <c r="I698" s="27" t="n">
        <v>85</v>
      </c>
      <c r="J698" s="27" t="n">
        <v>85</v>
      </c>
      <c r="K698" s="27" t="n">
        <v>85</v>
      </c>
    </row>
    <row r="699" customFormat="false" ht="36.5" hidden="false" customHeight="false" outlineLevel="0" collapsed="false">
      <c r="A699" s="21" t="n">
        <v>19</v>
      </c>
      <c r="B699" s="21" t="n">
        <v>2022</v>
      </c>
      <c r="C699" s="26" t="n">
        <v>44784</v>
      </c>
      <c r="D699" s="21" t="s">
        <v>690</v>
      </c>
      <c r="E699" s="21" t="s">
        <v>53</v>
      </c>
      <c r="F699" s="21" t="s">
        <v>689</v>
      </c>
      <c r="G699" s="27" t="n">
        <v>50</v>
      </c>
      <c r="H699" s="27" t="n">
        <v>65</v>
      </c>
      <c r="I699" s="27" t="n">
        <v>59</v>
      </c>
      <c r="J699" s="27" t="n">
        <v>65</v>
      </c>
      <c r="K699" s="27" t="n">
        <v>60</v>
      </c>
    </row>
    <row r="700" customFormat="false" ht="36.5" hidden="false" customHeight="false" outlineLevel="0" collapsed="false">
      <c r="A700" s="21" t="n">
        <v>19</v>
      </c>
      <c r="B700" s="21" t="n">
        <v>2022</v>
      </c>
      <c r="C700" s="26" t="n">
        <v>44784</v>
      </c>
      <c r="D700" s="21" t="s">
        <v>688</v>
      </c>
      <c r="E700" s="21" t="s">
        <v>663</v>
      </c>
      <c r="F700" s="21" t="s">
        <v>689</v>
      </c>
      <c r="G700" s="27" t="n">
        <v>40</v>
      </c>
      <c r="H700" s="27" t="n">
        <v>60</v>
      </c>
      <c r="I700" s="27" t="n">
        <v>52.4</v>
      </c>
      <c r="J700" s="27" t="n">
        <v>60</v>
      </c>
      <c r="K700" s="27" t="n">
        <v>54</v>
      </c>
    </row>
    <row r="701" customFormat="false" ht="25" hidden="false" customHeight="false" outlineLevel="0" collapsed="false">
      <c r="A701" s="21" t="n">
        <v>19</v>
      </c>
      <c r="B701" s="21" t="n">
        <v>2022</v>
      </c>
      <c r="C701" s="26" t="n">
        <v>44784</v>
      </c>
      <c r="D701" s="21" t="s">
        <v>688</v>
      </c>
      <c r="E701" s="21" t="s">
        <v>24</v>
      </c>
      <c r="F701" s="21" t="s">
        <v>687</v>
      </c>
      <c r="G701" s="27" t="n">
        <v>48</v>
      </c>
      <c r="H701" s="27" t="n">
        <v>72</v>
      </c>
      <c r="I701" s="27" t="n">
        <v>61.5</v>
      </c>
      <c r="J701" s="27" t="n">
        <v>72</v>
      </c>
      <c r="K701" s="27" t="n">
        <v>63</v>
      </c>
    </row>
    <row r="702" customFormat="false" ht="13.8" hidden="false" customHeight="false" outlineLevel="0" collapsed="false">
      <c r="A702" s="21" t="n">
        <v>19</v>
      </c>
      <c r="B702" s="21" t="n">
        <v>2022</v>
      </c>
      <c r="C702" s="26" t="n">
        <v>44784</v>
      </c>
      <c r="D702" s="21" t="s">
        <v>677</v>
      </c>
      <c r="E702" s="21" t="s">
        <v>70</v>
      </c>
      <c r="F702" s="21" t="s">
        <v>689</v>
      </c>
      <c r="G702" s="21" t="s">
        <v>556</v>
      </c>
      <c r="H702" s="21" t="s">
        <v>556</v>
      </c>
      <c r="I702" s="21" t="s">
        <v>556</v>
      </c>
      <c r="J702" s="21" t="s">
        <v>556</v>
      </c>
      <c r="K702" s="21" t="s">
        <v>556</v>
      </c>
    </row>
    <row r="703" customFormat="false" ht="25" hidden="false" customHeight="false" outlineLevel="0" collapsed="false">
      <c r="A703" s="21" t="n">
        <v>19</v>
      </c>
      <c r="B703" s="21" t="n">
        <v>2022</v>
      </c>
      <c r="C703" s="26" t="n">
        <v>44784</v>
      </c>
      <c r="D703" s="21" t="s">
        <v>677</v>
      </c>
      <c r="E703" s="21" t="s">
        <v>681</v>
      </c>
      <c r="F703" s="21" t="s">
        <v>689</v>
      </c>
      <c r="G703" s="21" t="s">
        <v>556</v>
      </c>
      <c r="H703" s="21" t="s">
        <v>556</v>
      </c>
      <c r="I703" s="21" t="s">
        <v>556</v>
      </c>
      <c r="J703" s="21" t="s">
        <v>556</v>
      </c>
      <c r="K703" s="21" t="s">
        <v>556</v>
      </c>
    </row>
    <row r="704" customFormat="false" ht="25" hidden="false" customHeight="false" outlineLevel="0" collapsed="false">
      <c r="A704" s="21" t="n">
        <v>19</v>
      </c>
      <c r="B704" s="21" t="n">
        <v>2022</v>
      </c>
      <c r="C704" s="26" t="n">
        <v>44784</v>
      </c>
      <c r="D704" s="21" t="s">
        <v>677</v>
      </c>
      <c r="E704" s="21" t="s">
        <v>72</v>
      </c>
      <c r="F704" s="21" t="s">
        <v>689</v>
      </c>
      <c r="G704" s="21" t="s">
        <v>556</v>
      </c>
      <c r="H704" s="21" t="s">
        <v>556</v>
      </c>
      <c r="I704" s="21" t="s">
        <v>556</v>
      </c>
      <c r="J704" s="21" t="s">
        <v>556</v>
      </c>
      <c r="K704" s="21" t="s">
        <v>556</v>
      </c>
    </row>
    <row r="705" customFormat="false" ht="25" hidden="false" customHeight="false" outlineLevel="0" collapsed="false">
      <c r="A705" s="21" t="n">
        <v>19</v>
      </c>
      <c r="B705" s="21" t="n">
        <v>2022</v>
      </c>
      <c r="C705" s="26" t="n">
        <v>44784</v>
      </c>
      <c r="D705" s="21" t="s">
        <v>688</v>
      </c>
      <c r="E705" s="21" t="s">
        <v>35</v>
      </c>
      <c r="F705" s="21" t="s">
        <v>691</v>
      </c>
      <c r="G705" s="27" t="n">
        <v>3</v>
      </c>
      <c r="H705" s="27" t="n">
        <v>5</v>
      </c>
      <c r="I705" s="27" t="n">
        <v>4</v>
      </c>
      <c r="J705" s="27" t="n">
        <v>4</v>
      </c>
      <c r="K705" s="27" t="n">
        <v>4</v>
      </c>
    </row>
    <row r="706" customFormat="false" ht="36.5" hidden="false" customHeight="false" outlineLevel="0" collapsed="false">
      <c r="A706" s="21" t="n">
        <v>19</v>
      </c>
      <c r="B706" s="21" t="n">
        <v>2022</v>
      </c>
      <c r="C706" s="26" t="n">
        <v>44784</v>
      </c>
      <c r="D706" s="21" t="s">
        <v>690</v>
      </c>
      <c r="E706" s="21" t="s">
        <v>56</v>
      </c>
      <c r="F706" s="21" t="s">
        <v>689</v>
      </c>
      <c r="G706" s="27" t="n">
        <v>50</v>
      </c>
      <c r="H706" s="27" t="n">
        <v>65</v>
      </c>
      <c r="I706" s="27" t="n">
        <v>56</v>
      </c>
      <c r="J706" s="27" t="n">
        <v>50</v>
      </c>
      <c r="K706" s="27" t="n">
        <v>55</v>
      </c>
    </row>
    <row r="707" customFormat="false" ht="25" hidden="false" customHeight="false" outlineLevel="0" collapsed="false">
      <c r="A707" s="21" t="n">
        <v>19</v>
      </c>
      <c r="B707" s="21" t="n">
        <v>2022</v>
      </c>
      <c r="C707" s="26" t="n">
        <v>44784</v>
      </c>
      <c r="D707" s="21" t="s">
        <v>686</v>
      </c>
      <c r="E707" s="21" t="s">
        <v>57</v>
      </c>
      <c r="F707" s="21" t="s">
        <v>689</v>
      </c>
      <c r="G707" s="27" t="n">
        <v>50</v>
      </c>
      <c r="H707" s="27" t="n">
        <v>60</v>
      </c>
      <c r="I707" s="27" t="n">
        <v>55</v>
      </c>
      <c r="J707" s="27" t="n">
        <v>50</v>
      </c>
      <c r="K707" s="27" t="n">
        <v>55</v>
      </c>
    </row>
    <row r="708" customFormat="false" ht="25" hidden="false" customHeight="false" outlineLevel="0" collapsed="false">
      <c r="A708" s="21" t="n">
        <v>19</v>
      </c>
      <c r="B708" s="21" t="n">
        <v>2022</v>
      </c>
      <c r="C708" s="26" t="n">
        <v>44784</v>
      </c>
      <c r="D708" s="21" t="s">
        <v>688</v>
      </c>
      <c r="E708" s="21" t="s">
        <v>38</v>
      </c>
      <c r="F708" s="21" t="s">
        <v>691</v>
      </c>
      <c r="G708" s="27" t="n">
        <v>10</v>
      </c>
      <c r="H708" s="27" t="n">
        <v>12</v>
      </c>
      <c r="I708" s="27" t="n">
        <v>10.5</v>
      </c>
      <c r="J708" s="27" t="n">
        <v>10</v>
      </c>
      <c r="K708" s="27" t="n">
        <v>10</v>
      </c>
    </row>
    <row r="709" customFormat="false" ht="25" hidden="false" customHeight="false" outlineLevel="0" collapsed="false">
      <c r="A709" s="21" t="n">
        <v>19</v>
      </c>
      <c r="B709" s="21" t="n">
        <v>2022</v>
      </c>
      <c r="C709" s="26" t="n">
        <v>44784</v>
      </c>
      <c r="D709" s="21" t="s">
        <v>688</v>
      </c>
      <c r="E709" s="21" t="s">
        <v>666</v>
      </c>
      <c r="F709" s="21" t="s">
        <v>687</v>
      </c>
      <c r="G709" s="27" t="n">
        <v>15</v>
      </c>
      <c r="H709" s="27" t="n">
        <v>24</v>
      </c>
      <c r="I709" s="27" t="n">
        <v>19.25</v>
      </c>
      <c r="J709" s="27" t="n">
        <v>19</v>
      </c>
      <c r="K709" s="27" t="n">
        <v>15</v>
      </c>
    </row>
    <row r="710" customFormat="false" ht="25" hidden="false" customHeight="false" outlineLevel="0" collapsed="false">
      <c r="A710" s="21" t="n">
        <v>19</v>
      </c>
      <c r="B710" s="21" t="n">
        <v>2022</v>
      </c>
      <c r="C710" s="26" t="n">
        <v>44784</v>
      </c>
      <c r="D710" s="21" t="s">
        <v>688</v>
      </c>
      <c r="E710" s="21" t="s">
        <v>77</v>
      </c>
      <c r="F710" s="21" t="s">
        <v>687</v>
      </c>
      <c r="G710" s="27" t="n">
        <v>48</v>
      </c>
      <c r="H710" s="27" t="n">
        <v>66</v>
      </c>
      <c r="I710" s="27" t="n">
        <v>57.6</v>
      </c>
      <c r="J710" s="27" t="n">
        <v>60</v>
      </c>
      <c r="K710" s="27" t="n">
        <v>60</v>
      </c>
    </row>
    <row r="711" customFormat="false" ht="25" hidden="false" customHeight="false" outlineLevel="0" collapsed="false">
      <c r="A711" s="21" t="n">
        <v>19</v>
      </c>
      <c r="B711" s="21" t="n">
        <v>2022</v>
      </c>
      <c r="C711" s="26" t="n">
        <v>44784</v>
      </c>
      <c r="D711" s="21" t="s">
        <v>688</v>
      </c>
      <c r="E711" s="21" t="s">
        <v>27</v>
      </c>
      <c r="F711" s="21" t="s">
        <v>687</v>
      </c>
      <c r="G711" s="27" t="n">
        <v>15</v>
      </c>
      <c r="H711" s="27" t="n">
        <v>24</v>
      </c>
      <c r="I711" s="27" t="n">
        <v>17.25</v>
      </c>
      <c r="J711" s="27" t="n">
        <v>15</v>
      </c>
      <c r="K711" s="27" t="n">
        <v>15</v>
      </c>
    </row>
    <row r="712" customFormat="false" ht="25" hidden="false" customHeight="false" outlineLevel="0" collapsed="false">
      <c r="A712" s="21" t="n">
        <v>19</v>
      </c>
      <c r="B712" s="21" t="n">
        <v>2022</v>
      </c>
      <c r="C712" s="26" t="n">
        <v>44784</v>
      </c>
      <c r="D712" s="21" t="s">
        <v>688</v>
      </c>
      <c r="E712" s="21" t="s">
        <v>28</v>
      </c>
      <c r="F712" s="21" t="s">
        <v>687</v>
      </c>
      <c r="G712" s="27" t="n">
        <v>48</v>
      </c>
      <c r="H712" s="27" t="n">
        <v>54</v>
      </c>
      <c r="I712" s="27" t="n">
        <v>52</v>
      </c>
      <c r="J712" s="27" t="n">
        <v>54</v>
      </c>
      <c r="K712" s="27" t="n">
        <v>54</v>
      </c>
    </row>
    <row r="713" customFormat="false" ht="13.8" hidden="false" customHeight="false" outlineLevel="0" collapsed="false">
      <c r="A713" s="21" t="n">
        <v>19</v>
      </c>
      <c r="B713" s="21" t="n">
        <v>2022</v>
      </c>
      <c r="C713" s="26" t="n">
        <v>44784</v>
      </c>
      <c r="D713" s="21" t="s">
        <v>677</v>
      </c>
      <c r="E713" s="21" t="s">
        <v>73</v>
      </c>
      <c r="F713" s="21" t="s">
        <v>689</v>
      </c>
      <c r="G713" s="27" t="n">
        <v>47</v>
      </c>
      <c r="H713" s="27" t="n">
        <v>47</v>
      </c>
      <c r="I713" s="27" t="n">
        <v>47</v>
      </c>
      <c r="J713" s="27" t="n">
        <v>47</v>
      </c>
      <c r="K713" s="27" t="n">
        <v>47</v>
      </c>
    </row>
    <row r="714" customFormat="false" ht="25" hidden="false" customHeight="false" outlineLevel="0" collapsed="false">
      <c r="A714" s="21" t="n">
        <v>19</v>
      </c>
      <c r="B714" s="21" t="n">
        <v>2022</v>
      </c>
      <c r="C714" s="26" t="n">
        <v>44784</v>
      </c>
      <c r="D714" s="21" t="s">
        <v>686</v>
      </c>
      <c r="E714" s="21" t="s">
        <v>58</v>
      </c>
      <c r="F714" s="21" t="s">
        <v>689</v>
      </c>
      <c r="G714" s="27" t="n">
        <v>70</v>
      </c>
      <c r="H714" s="27" t="n">
        <v>100</v>
      </c>
      <c r="I714" s="27" t="n">
        <v>92.5</v>
      </c>
      <c r="J714" s="27" t="n">
        <v>100</v>
      </c>
      <c r="K714" s="27" t="n">
        <v>100</v>
      </c>
    </row>
    <row r="715" customFormat="false" ht="25" hidden="false" customHeight="false" outlineLevel="0" collapsed="false">
      <c r="A715" s="21" t="n">
        <v>19</v>
      </c>
      <c r="B715" s="21" t="n">
        <v>2022</v>
      </c>
      <c r="C715" s="26" t="n">
        <v>44784</v>
      </c>
      <c r="D715" s="21" t="s">
        <v>677</v>
      </c>
      <c r="E715" s="21" t="s">
        <v>74</v>
      </c>
      <c r="F715" s="21" t="s">
        <v>689</v>
      </c>
      <c r="G715" s="27" t="n">
        <v>60</v>
      </c>
      <c r="H715" s="27" t="n">
        <v>80</v>
      </c>
      <c r="I715" s="27" t="n">
        <v>70</v>
      </c>
      <c r="J715" s="27" t="n">
        <v>70</v>
      </c>
      <c r="K715" s="27" t="n">
        <v>60</v>
      </c>
    </row>
    <row r="716" customFormat="false" ht="25" hidden="false" customHeight="false" outlineLevel="0" collapsed="false">
      <c r="A716" s="21" t="n">
        <v>19</v>
      </c>
      <c r="B716" s="21" t="n">
        <v>2022</v>
      </c>
      <c r="C716" s="26" t="n">
        <v>44784</v>
      </c>
      <c r="D716" s="21" t="s">
        <v>686</v>
      </c>
      <c r="E716" s="21" t="s">
        <v>61</v>
      </c>
      <c r="F716" s="21" t="s">
        <v>689</v>
      </c>
      <c r="G716" s="27" t="n">
        <v>60</v>
      </c>
      <c r="H716" s="27" t="n">
        <v>100</v>
      </c>
      <c r="I716" s="27" t="n">
        <v>81</v>
      </c>
      <c r="J716" s="27" t="n">
        <v>80</v>
      </c>
      <c r="K716" s="27" t="n">
        <v>60</v>
      </c>
    </row>
    <row r="717" customFormat="false" ht="25" hidden="false" customHeight="false" outlineLevel="0" collapsed="false">
      <c r="A717" s="21" t="n">
        <v>19</v>
      </c>
      <c r="B717" s="21" t="n">
        <v>2022</v>
      </c>
      <c r="C717" s="26" t="n">
        <v>44784</v>
      </c>
      <c r="D717" s="21" t="s">
        <v>686</v>
      </c>
      <c r="E717" s="21" t="s">
        <v>62</v>
      </c>
      <c r="F717" s="21" t="s">
        <v>689</v>
      </c>
      <c r="G717" s="27" t="n">
        <v>65</v>
      </c>
      <c r="H717" s="27" t="n">
        <v>100</v>
      </c>
      <c r="I717" s="27" t="n">
        <v>89</v>
      </c>
      <c r="J717" s="27" t="n">
        <v>100</v>
      </c>
      <c r="K717" s="27" t="n">
        <v>90</v>
      </c>
    </row>
    <row r="718" customFormat="false" ht="25" hidden="false" customHeight="false" outlineLevel="0" collapsed="false">
      <c r="A718" s="21" t="n">
        <v>19</v>
      </c>
      <c r="B718" s="21" t="n">
        <v>2022</v>
      </c>
      <c r="C718" s="26" t="n">
        <v>44784</v>
      </c>
      <c r="D718" s="21" t="s">
        <v>686</v>
      </c>
      <c r="E718" s="21" t="s">
        <v>63</v>
      </c>
      <c r="F718" s="21" t="s">
        <v>689</v>
      </c>
      <c r="G718" s="27" t="n">
        <v>40</v>
      </c>
      <c r="H718" s="27" t="n">
        <v>100</v>
      </c>
      <c r="I718" s="27" t="n">
        <v>50</v>
      </c>
      <c r="J718" s="27" t="n">
        <v>50</v>
      </c>
      <c r="K718" s="27" t="n">
        <v>50</v>
      </c>
    </row>
    <row r="719" customFormat="false" ht="25" hidden="false" customHeight="false" outlineLevel="0" collapsed="false">
      <c r="A719" s="21" t="n">
        <v>19</v>
      </c>
      <c r="B719" s="21" t="n">
        <v>2022</v>
      </c>
      <c r="C719" s="26" t="n">
        <v>44784</v>
      </c>
      <c r="D719" s="21" t="s">
        <v>686</v>
      </c>
      <c r="E719" s="21" t="s">
        <v>64</v>
      </c>
      <c r="F719" s="21" t="s">
        <v>689</v>
      </c>
      <c r="G719" s="27" t="n">
        <v>90</v>
      </c>
      <c r="H719" s="27" t="n">
        <v>100</v>
      </c>
      <c r="I719" s="27" t="n">
        <v>96.67</v>
      </c>
      <c r="J719" s="27" t="n">
        <v>100</v>
      </c>
      <c r="K719" s="27" t="n">
        <v>100</v>
      </c>
    </row>
    <row r="720" customFormat="false" ht="36.5" hidden="false" customHeight="false" outlineLevel="0" collapsed="false">
      <c r="A720" s="21" t="n">
        <v>19</v>
      </c>
      <c r="B720" s="21" t="n">
        <v>2022</v>
      </c>
      <c r="C720" s="26" t="n">
        <v>44784</v>
      </c>
      <c r="D720" s="21" t="s">
        <v>690</v>
      </c>
      <c r="E720" s="21" t="s">
        <v>29</v>
      </c>
      <c r="F720" s="21" t="s">
        <v>687</v>
      </c>
      <c r="G720" s="27" t="n">
        <v>48</v>
      </c>
      <c r="H720" s="27" t="n">
        <v>54</v>
      </c>
      <c r="I720" s="27" t="n">
        <v>51</v>
      </c>
      <c r="J720" s="27" t="n">
        <v>51</v>
      </c>
      <c r="K720" s="27" t="n">
        <v>48</v>
      </c>
    </row>
    <row r="721" customFormat="false" ht="25" hidden="false" customHeight="false" outlineLevel="0" collapsed="false">
      <c r="A721" s="21" t="n">
        <v>19</v>
      </c>
      <c r="B721" s="21" t="n">
        <v>2022</v>
      </c>
      <c r="C721" s="26" t="n">
        <v>44784</v>
      </c>
      <c r="D721" s="21" t="s">
        <v>688</v>
      </c>
      <c r="E721" s="21" t="s">
        <v>31</v>
      </c>
      <c r="F721" s="21" t="s">
        <v>689</v>
      </c>
      <c r="G721" s="27" t="n">
        <v>30</v>
      </c>
      <c r="H721" s="27" t="n">
        <v>72</v>
      </c>
      <c r="I721" s="27" t="n">
        <v>51.6</v>
      </c>
      <c r="J721" s="27" t="n">
        <v>60</v>
      </c>
      <c r="K721" s="27" t="n">
        <v>60</v>
      </c>
    </row>
    <row r="722" customFormat="false" ht="25" hidden="false" customHeight="false" outlineLevel="0" collapsed="false">
      <c r="A722" s="21" t="n">
        <v>19</v>
      </c>
      <c r="B722" s="21" t="n">
        <v>2022</v>
      </c>
      <c r="C722" s="26" t="n">
        <v>44784</v>
      </c>
      <c r="D722" s="21" t="s">
        <v>688</v>
      </c>
      <c r="E722" s="21" t="s">
        <v>668</v>
      </c>
      <c r="F722" s="21" t="s">
        <v>689</v>
      </c>
      <c r="G722" s="27" t="n">
        <v>24</v>
      </c>
      <c r="H722" s="27" t="n">
        <v>60</v>
      </c>
      <c r="I722" s="27" t="n">
        <v>41.4</v>
      </c>
      <c r="J722" s="27" t="n">
        <v>45</v>
      </c>
      <c r="K722" s="27" t="n">
        <v>24</v>
      </c>
    </row>
    <row r="723" customFormat="false" ht="25" hidden="false" customHeight="false" outlineLevel="0" collapsed="false">
      <c r="A723" s="21" t="n">
        <v>19</v>
      </c>
      <c r="B723" s="21" t="n">
        <v>2022</v>
      </c>
      <c r="C723" s="26" t="n">
        <v>44784</v>
      </c>
      <c r="D723" s="21" t="s">
        <v>688</v>
      </c>
      <c r="E723" s="21" t="s">
        <v>33</v>
      </c>
      <c r="F723" s="21" t="s">
        <v>687</v>
      </c>
      <c r="G723" s="27" t="n">
        <v>24</v>
      </c>
      <c r="H723" s="27" t="n">
        <v>48</v>
      </c>
      <c r="I723" s="27" t="n">
        <v>37.5</v>
      </c>
      <c r="J723" s="27" t="n">
        <v>39</v>
      </c>
      <c r="K723" s="27" t="n">
        <v>24</v>
      </c>
    </row>
    <row r="724" customFormat="false" ht="25" hidden="false" customHeight="false" outlineLevel="0" collapsed="false">
      <c r="A724" s="21" t="n">
        <v>19</v>
      </c>
      <c r="B724" s="21" t="n">
        <v>2022</v>
      </c>
      <c r="C724" s="26" t="n">
        <v>44784</v>
      </c>
      <c r="D724" s="21" t="s">
        <v>688</v>
      </c>
      <c r="E724" s="21" t="s">
        <v>669</v>
      </c>
      <c r="F724" s="21" t="s">
        <v>691</v>
      </c>
      <c r="G724" s="27" t="n">
        <v>12</v>
      </c>
      <c r="H724" s="27" t="n">
        <v>30</v>
      </c>
      <c r="I724" s="27" t="n">
        <v>18</v>
      </c>
      <c r="J724" s="27" t="n">
        <v>15</v>
      </c>
      <c r="K724" s="27" t="n">
        <v>15</v>
      </c>
    </row>
    <row r="725" customFormat="false" ht="25" hidden="false" customHeight="false" outlineLevel="0" collapsed="false">
      <c r="A725" s="21" t="n">
        <v>19</v>
      </c>
      <c r="B725" s="21" t="n">
        <v>2022</v>
      </c>
      <c r="C725" s="26" t="n">
        <v>44784</v>
      </c>
      <c r="D725" s="21" t="s">
        <v>686</v>
      </c>
      <c r="E725" s="21" t="s">
        <v>67</v>
      </c>
      <c r="F725" s="21" t="s">
        <v>689</v>
      </c>
      <c r="G725" s="27" t="n">
        <v>60</v>
      </c>
      <c r="H725" s="27" t="n">
        <v>80</v>
      </c>
      <c r="I725" s="27" t="n">
        <v>70</v>
      </c>
      <c r="J725" s="27" t="n">
        <v>70</v>
      </c>
      <c r="K725" s="27" t="n">
        <v>70</v>
      </c>
    </row>
    <row r="726" customFormat="false" ht="25" hidden="false" customHeight="false" outlineLevel="0" collapsed="false">
      <c r="A726" s="21" t="n">
        <v>19</v>
      </c>
      <c r="B726" s="21" t="n">
        <v>2022</v>
      </c>
      <c r="C726" s="26" t="n">
        <v>44784</v>
      </c>
      <c r="D726" s="21" t="s">
        <v>686</v>
      </c>
      <c r="E726" s="21" t="s">
        <v>68</v>
      </c>
      <c r="F726" s="21" t="s">
        <v>689</v>
      </c>
      <c r="G726" s="27" t="n">
        <v>70</v>
      </c>
      <c r="H726" s="27" t="n">
        <v>100</v>
      </c>
      <c r="I726" s="27" t="n">
        <v>76.67</v>
      </c>
      <c r="J726" s="27" t="n">
        <v>70</v>
      </c>
      <c r="K726" s="27" t="n">
        <v>70</v>
      </c>
    </row>
    <row r="727" customFormat="false" ht="25" hidden="false" customHeight="false" outlineLevel="0" collapsed="false">
      <c r="A727" s="21" t="n">
        <v>20</v>
      </c>
      <c r="B727" s="21" t="n">
        <v>2022</v>
      </c>
      <c r="C727" s="26" t="n">
        <v>44791</v>
      </c>
      <c r="D727" s="21" t="s">
        <v>686</v>
      </c>
      <c r="E727" s="21" t="s">
        <v>656</v>
      </c>
      <c r="F727" s="21" t="s">
        <v>687</v>
      </c>
      <c r="G727" s="27" t="n">
        <v>40</v>
      </c>
      <c r="H727" s="27" t="n">
        <v>70</v>
      </c>
      <c r="I727" s="27" t="n">
        <v>57.14</v>
      </c>
      <c r="J727" s="27" t="n">
        <v>60</v>
      </c>
      <c r="K727" s="27" t="n">
        <v>60</v>
      </c>
    </row>
    <row r="728" customFormat="false" ht="25" hidden="false" customHeight="false" outlineLevel="0" collapsed="false">
      <c r="A728" s="21" t="n">
        <v>20</v>
      </c>
      <c r="B728" s="21" t="n">
        <v>2022</v>
      </c>
      <c r="C728" s="26" t="n">
        <v>44791</v>
      </c>
      <c r="D728" s="21" t="s">
        <v>688</v>
      </c>
      <c r="E728" s="21" t="s">
        <v>16</v>
      </c>
      <c r="F728" s="21" t="s">
        <v>689</v>
      </c>
      <c r="G728" s="27" t="n">
        <v>20</v>
      </c>
      <c r="H728" s="27" t="n">
        <v>35</v>
      </c>
      <c r="I728" s="27" t="n">
        <v>30</v>
      </c>
      <c r="J728" s="27" t="n">
        <v>35</v>
      </c>
      <c r="K728" s="27" t="n">
        <v>32.5</v>
      </c>
    </row>
    <row r="729" customFormat="false" ht="25" hidden="false" customHeight="false" outlineLevel="0" collapsed="false">
      <c r="A729" s="21" t="n">
        <v>20</v>
      </c>
      <c r="B729" s="21" t="n">
        <v>2022</v>
      </c>
      <c r="C729" s="26" t="n">
        <v>44791</v>
      </c>
      <c r="D729" s="21" t="s">
        <v>688</v>
      </c>
      <c r="E729" s="21" t="s">
        <v>18</v>
      </c>
      <c r="F729" s="21" t="s">
        <v>687</v>
      </c>
      <c r="G729" s="27" t="n">
        <v>36</v>
      </c>
      <c r="H729" s="27" t="n">
        <v>54</v>
      </c>
      <c r="I729" s="27" t="n">
        <v>44</v>
      </c>
      <c r="J729" s="21" t="s">
        <v>556</v>
      </c>
      <c r="K729" s="27" t="n">
        <v>42</v>
      </c>
    </row>
    <row r="730" customFormat="false" ht="25" hidden="false" customHeight="false" outlineLevel="0" collapsed="false">
      <c r="A730" s="21" t="n">
        <v>20</v>
      </c>
      <c r="B730" s="21" t="n">
        <v>2022</v>
      </c>
      <c r="C730" s="26" t="n">
        <v>44791</v>
      </c>
      <c r="D730" s="21" t="s">
        <v>688</v>
      </c>
      <c r="E730" s="21" t="s">
        <v>659</v>
      </c>
      <c r="F730" s="21" t="s">
        <v>689</v>
      </c>
      <c r="G730" s="27" t="n">
        <v>18</v>
      </c>
      <c r="H730" s="27" t="n">
        <v>25</v>
      </c>
      <c r="I730" s="27" t="n">
        <v>22.75</v>
      </c>
      <c r="J730" s="27" t="n">
        <v>24</v>
      </c>
      <c r="K730" s="27" t="n">
        <v>24</v>
      </c>
    </row>
    <row r="731" customFormat="false" ht="25" hidden="false" customHeight="false" outlineLevel="0" collapsed="false">
      <c r="A731" s="21" t="n">
        <v>20</v>
      </c>
      <c r="B731" s="21" t="n">
        <v>2022</v>
      </c>
      <c r="C731" s="26" t="n">
        <v>44791</v>
      </c>
      <c r="D731" s="21" t="s">
        <v>688</v>
      </c>
      <c r="E731" s="21" t="s">
        <v>20</v>
      </c>
      <c r="F731" s="21" t="s">
        <v>689</v>
      </c>
      <c r="G731" s="27" t="n">
        <v>15</v>
      </c>
      <c r="H731" s="27" t="n">
        <v>25</v>
      </c>
      <c r="I731" s="27" t="n">
        <v>21</v>
      </c>
      <c r="J731" s="21" t="s">
        <v>556</v>
      </c>
      <c r="K731" s="27" t="n">
        <v>22</v>
      </c>
    </row>
    <row r="732" customFormat="false" ht="25" hidden="false" customHeight="false" outlineLevel="0" collapsed="false">
      <c r="A732" s="21" t="n">
        <v>20</v>
      </c>
      <c r="B732" s="21" t="n">
        <v>2022</v>
      </c>
      <c r="C732" s="26" t="n">
        <v>44791</v>
      </c>
      <c r="D732" s="21" t="s">
        <v>688</v>
      </c>
      <c r="E732" s="21" t="s">
        <v>21</v>
      </c>
      <c r="F732" s="21" t="s">
        <v>689</v>
      </c>
      <c r="G732" s="27" t="n">
        <v>15</v>
      </c>
      <c r="H732" s="27" t="n">
        <v>25</v>
      </c>
      <c r="I732" s="27" t="n">
        <v>21</v>
      </c>
      <c r="J732" s="21" t="s">
        <v>556</v>
      </c>
      <c r="K732" s="27" t="n">
        <v>22</v>
      </c>
    </row>
    <row r="733" customFormat="false" ht="25" hidden="false" customHeight="false" outlineLevel="0" collapsed="false">
      <c r="A733" s="21" t="n">
        <v>20</v>
      </c>
      <c r="B733" s="21" t="n">
        <v>2022</v>
      </c>
      <c r="C733" s="26" t="n">
        <v>44791</v>
      </c>
      <c r="D733" s="21" t="s">
        <v>688</v>
      </c>
      <c r="E733" s="21" t="s">
        <v>22</v>
      </c>
      <c r="F733" s="21" t="s">
        <v>687</v>
      </c>
      <c r="G733" s="27" t="n">
        <v>42</v>
      </c>
      <c r="H733" s="27" t="n">
        <v>54</v>
      </c>
      <c r="I733" s="27" t="n">
        <v>48</v>
      </c>
      <c r="J733" s="21" t="s">
        <v>556</v>
      </c>
      <c r="K733" s="27" t="n">
        <v>48</v>
      </c>
    </row>
    <row r="734" customFormat="false" ht="36.5" hidden="false" customHeight="false" outlineLevel="0" collapsed="false">
      <c r="A734" s="21" t="n">
        <v>20</v>
      </c>
      <c r="B734" s="21" t="n">
        <v>2022</v>
      </c>
      <c r="C734" s="26" t="n">
        <v>44791</v>
      </c>
      <c r="D734" s="21" t="s">
        <v>690</v>
      </c>
      <c r="E734" s="21" t="s">
        <v>46</v>
      </c>
      <c r="F734" s="21" t="s">
        <v>689</v>
      </c>
      <c r="G734" s="27" t="n">
        <v>50</v>
      </c>
      <c r="H734" s="27" t="n">
        <v>70</v>
      </c>
      <c r="I734" s="27" t="n">
        <v>60</v>
      </c>
      <c r="J734" s="27" t="n">
        <v>60</v>
      </c>
      <c r="K734" s="27" t="n">
        <v>60</v>
      </c>
    </row>
    <row r="735" customFormat="false" ht="25" hidden="false" customHeight="false" outlineLevel="0" collapsed="false">
      <c r="A735" s="21" t="n">
        <v>20</v>
      </c>
      <c r="B735" s="21" t="n">
        <v>2022</v>
      </c>
      <c r="C735" s="26" t="n">
        <v>44791</v>
      </c>
      <c r="D735" s="21" t="s">
        <v>686</v>
      </c>
      <c r="E735" s="21" t="s">
        <v>48</v>
      </c>
      <c r="F735" s="21" t="s">
        <v>689</v>
      </c>
      <c r="G735" s="27" t="n">
        <v>30</v>
      </c>
      <c r="H735" s="27" t="n">
        <v>45</v>
      </c>
      <c r="I735" s="27" t="n">
        <v>37.86</v>
      </c>
      <c r="J735" s="27" t="n">
        <v>40</v>
      </c>
      <c r="K735" s="27" t="n">
        <v>37.5</v>
      </c>
    </row>
    <row r="736" customFormat="false" ht="25" hidden="false" customHeight="false" outlineLevel="0" collapsed="false">
      <c r="A736" s="21" t="n">
        <v>20</v>
      </c>
      <c r="B736" s="21" t="n">
        <v>2022</v>
      </c>
      <c r="C736" s="26" t="n">
        <v>44791</v>
      </c>
      <c r="D736" s="21" t="s">
        <v>686</v>
      </c>
      <c r="E736" s="21" t="s">
        <v>52</v>
      </c>
      <c r="F736" s="21" t="s">
        <v>689</v>
      </c>
      <c r="G736" s="27" t="n">
        <v>90</v>
      </c>
      <c r="H736" s="27" t="n">
        <v>100</v>
      </c>
      <c r="I736" s="27" t="n">
        <v>95</v>
      </c>
      <c r="J736" s="21" t="s">
        <v>556</v>
      </c>
      <c r="K736" s="27" t="n">
        <v>95</v>
      </c>
    </row>
    <row r="737" customFormat="false" ht="36.5" hidden="false" customHeight="false" outlineLevel="0" collapsed="false">
      <c r="A737" s="21" t="n">
        <v>20</v>
      </c>
      <c r="B737" s="21" t="n">
        <v>2022</v>
      </c>
      <c r="C737" s="26" t="n">
        <v>44791</v>
      </c>
      <c r="D737" s="21" t="s">
        <v>690</v>
      </c>
      <c r="E737" s="21" t="s">
        <v>53</v>
      </c>
      <c r="F737" s="21" t="s">
        <v>689</v>
      </c>
      <c r="G737" s="27" t="n">
        <v>45</v>
      </c>
      <c r="H737" s="27" t="n">
        <v>65</v>
      </c>
      <c r="I737" s="27" t="n">
        <v>53.14</v>
      </c>
      <c r="J737" s="27" t="n">
        <v>50</v>
      </c>
      <c r="K737" s="27" t="n">
        <v>50</v>
      </c>
    </row>
    <row r="738" customFormat="false" ht="36.5" hidden="false" customHeight="false" outlineLevel="0" collapsed="false">
      <c r="A738" s="21" t="n">
        <v>20</v>
      </c>
      <c r="B738" s="21" t="n">
        <v>2022</v>
      </c>
      <c r="C738" s="26" t="n">
        <v>44791</v>
      </c>
      <c r="D738" s="21" t="s">
        <v>688</v>
      </c>
      <c r="E738" s="21" t="s">
        <v>663</v>
      </c>
      <c r="F738" s="21" t="s">
        <v>689</v>
      </c>
      <c r="G738" s="27" t="n">
        <v>35</v>
      </c>
      <c r="H738" s="27" t="n">
        <v>54</v>
      </c>
      <c r="I738" s="27" t="n">
        <v>44.5</v>
      </c>
      <c r="J738" s="21" t="s">
        <v>556</v>
      </c>
      <c r="K738" s="27" t="n">
        <v>44.5</v>
      </c>
    </row>
    <row r="739" customFormat="false" ht="25" hidden="false" customHeight="false" outlineLevel="0" collapsed="false">
      <c r="A739" s="21" t="n">
        <v>20</v>
      </c>
      <c r="B739" s="21" t="n">
        <v>2022</v>
      </c>
      <c r="C739" s="26" t="n">
        <v>44791</v>
      </c>
      <c r="D739" s="21" t="s">
        <v>688</v>
      </c>
      <c r="E739" s="21" t="s">
        <v>24</v>
      </c>
      <c r="F739" s="21" t="s">
        <v>687</v>
      </c>
      <c r="G739" s="27" t="n">
        <v>54</v>
      </c>
      <c r="H739" s="27" t="n">
        <v>60</v>
      </c>
      <c r="I739" s="27" t="n">
        <v>57</v>
      </c>
      <c r="J739" s="21" t="s">
        <v>556</v>
      </c>
      <c r="K739" s="27" t="n">
        <v>57</v>
      </c>
    </row>
    <row r="740" customFormat="false" ht="13.8" hidden="false" customHeight="false" outlineLevel="0" collapsed="false">
      <c r="A740" s="21" t="n">
        <v>20</v>
      </c>
      <c r="B740" s="21" t="n">
        <v>2022</v>
      </c>
      <c r="C740" s="26" t="n">
        <v>44791</v>
      </c>
      <c r="D740" s="21" t="s">
        <v>677</v>
      </c>
      <c r="E740" s="21" t="s">
        <v>70</v>
      </c>
      <c r="F740" s="21" t="s">
        <v>689</v>
      </c>
      <c r="G740" s="21" t="s">
        <v>556</v>
      </c>
      <c r="H740" s="21" t="s">
        <v>556</v>
      </c>
      <c r="I740" s="21" t="s">
        <v>556</v>
      </c>
      <c r="J740" s="21" t="s">
        <v>556</v>
      </c>
      <c r="K740" s="21" t="s">
        <v>556</v>
      </c>
    </row>
    <row r="741" customFormat="false" ht="25" hidden="false" customHeight="false" outlineLevel="0" collapsed="false">
      <c r="A741" s="21" t="n">
        <v>20</v>
      </c>
      <c r="B741" s="21" t="n">
        <v>2022</v>
      </c>
      <c r="C741" s="26" t="n">
        <v>44791</v>
      </c>
      <c r="D741" s="21" t="s">
        <v>677</v>
      </c>
      <c r="E741" s="21" t="s">
        <v>681</v>
      </c>
      <c r="F741" s="21" t="s">
        <v>689</v>
      </c>
      <c r="G741" s="21" t="s">
        <v>556</v>
      </c>
      <c r="H741" s="21" t="s">
        <v>556</v>
      </c>
      <c r="I741" s="21" t="s">
        <v>556</v>
      </c>
      <c r="J741" s="21" t="s">
        <v>556</v>
      </c>
      <c r="K741" s="21" t="s">
        <v>556</v>
      </c>
    </row>
    <row r="742" customFormat="false" ht="25" hidden="false" customHeight="false" outlineLevel="0" collapsed="false">
      <c r="A742" s="21" t="n">
        <v>20</v>
      </c>
      <c r="B742" s="21" t="n">
        <v>2022</v>
      </c>
      <c r="C742" s="26" t="n">
        <v>44791</v>
      </c>
      <c r="D742" s="21" t="s">
        <v>677</v>
      </c>
      <c r="E742" s="21" t="s">
        <v>72</v>
      </c>
      <c r="F742" s="21" t="s">
        <v>689</v>
      </c>
      <c r="G742" s="21" t="s">
        <v>556</v>
      </c>
      <c r="H742" s="21" t="s">
        <v>556</v>
      </c>
      <c r="I742" s="21" t="s">
        <v>556</v>
      </c>
      <c r="J742" s="21" t="s">
        <v>556</v>
      </c>
      <c r="K742" s="21" t="s">
        <v>556</v>
      </c>
    </row>
    <row r="743" customFormat="false" ht="25" hidden="false" customHeight="false" outlineLevel="0" collapsed="false">
      <c r="A743" s="21" t="n">
        <v>20</v>
      </c>
      <c r="B743" s="21" t="n">
        <v>2022</v>
      </c>
      <c r="C743" s="26" t="n">
        <v>44791</v>
      </c>
      <c r="D743" s="21" t="s">
        <v>688</v>
      </c>
      <c r="E743" s="21" t="s">
        <v>35</v>
      </c>
      <c r="F743" s="21" t="s">
        <v>691</v>
      </c>
      <c r="G743" s="27" t="n">
        <v>3.5</v>
      </c>
      <c r="H743" s="27" t="n">
        <v>5</v>
      </c>
      <c r="I743" s="27" t="n">
        <v>4</v>
      </c>
      <c r="J743" s="27" t="n">
        <v>3.5</v>
      </c>
      <c r="K743" s="27" t="n">
        <v>3.75</v>
      </c>
    </row>
    <row r="744" customFormat="false" ht="36.5" hidden="false" customHeight="false" outlineLevel="0" collapsed="false">
      <c r="A744" s="21" t="n">
        <v>20</v>
      </c>
      <c r="B744" s="21" t="n">
        <v>2022</v>
      </c>
      <c r="C744" s="26" t="n">
        <v>44791</v>
      </c>
      <c r="D744" s="21" t="s">
        <v>690</v>
      </c>
      <c r="E744" s="21" t="s">
        <v>56</v>
      </c>
      <c r="F744" s="21" t="s">
        <v>689</v>
      </c>
      <c r="G744" s="27" t="n">
        <v>45</v>
      </c>
      <c r="H744" s="27" t="n">
        <v>60</v>
      </c>
      <c r="I744" s="27" t="n">
        <v>53.57</v>
      </c>
      <c r="J744" s="27" t="n">
        <v>55</v>
      </c>
      <c r="K744" s="27" t="n">
        <v>52.5</v>
      </c>
    </row>
    <row r="745" customFormat="false" ht="25" hidden="false" customHeight="false" outlineLevel="0" collapsed="false">
      <c r="A745" s="21" t="n">
        <v>20</v>
      </c>
      <c r="B745" s="21" t="n">
        <v>2022</v>
      </c>
      <c r="C745" s="26" t="n">
        <v>44791</v>
      </c>
      <c r="D745" s="21" t="s">
        <v>686</v>
      </c>
      <c r="E745" s="21" t="s">
        <v>57</v>
      </c>
      <c r="F745" s="21" t="s">
        <v>689</v>
      </c>
      <c r="G745" s="27" t="n">
        <v>55</v>
      </c>
      <c r="H745" s="27" t="n">
        <v>70</v>
      </c>
      <c r="I745" s="27" t="n">
        <v>60.71</v>
      </c>
      <c r="J745" s="27" t="n">
        <v>60</v>
      </c>
      <c r="K745" s="27" t="n">
        <v>60</v>
      </c>
    </row>
    <row r="746" customFormat="false" ht="25" hidden="false" customHeight="false" outlineLevel="0" collapsed="false">
      <c r="A746" s="21" t="n">
        <v>20</v>
      </c>
      <c r="B746" s="21" t="n">
        <v>2022</v>
      </c>
      <c r="C746" s="26" t="n">
        <v>44791</v>
      </c>
      <c r="D746" s="21" t="s">
        <v>688</v>
      </c>
      <c r="E746" s="21" t="s">
        <v>38</v>
      </c>
      <c r="F746" s="21" t="s">
        <v>691</v>
      </c>
      <c r="G746" s="27" t="n">
        <v>10</v>
      </c>
      <c r="H746" s="27" t="n">
        <v>12</v>
      </c>
      <c r="I746" s="27" t="n">
        <v>10.5</v>
      </c>
      <c r="J746" s="27" t="n">
        <v>10</v>
      </c>
      <c r="K746" s="27" t="n">
        <v>10</v>
      </c>
    </row>
    <row r="747" customFormat="false" ht="25" hidden="false" customHeight="false" outlineLevel="0" collapsed="false">
      <c r="A747" s="21" t="n">
        <v>20</v>
      </c>
      <c r="B747" s="21" t="n">
        <v>2022</v>
      </c>
      <c r="C747" s="26" t="n">
        <v>44791</v>
      </c>
      <c r="D747" s="21" t="s">
        <v>688</v>
      </c>
      <c r="E747" s="21" t="s">
        <v>666</v>
      </c>
      <c r="F747" s="21" t="s">
        <v>687</v>
      </c>
      <c r="G747" s="27" t="n">
        <v>15</v>
      </c>
      <c r="H747" s="27" t="n">
        <v>24</v>
      </c>
      <c r="I747" s="27" t="n">
        <v>19.5</v>
      </c>
      <c r="J747" s="27" t="n">
        <v>15</v>
      </c>
      <c r="K747" s="27" t="n">
        <v>19.5</v>
      </c>
    </row>
    <row r="748" customFormat="false" ht="25" hidden="false" customHeight="false" outlineLevel="0" collapsed="false">
      <c r="A748" s="21" t="n">
        <v>20</v>
      </c>
      <c r="B748" s="21" t="n">
        <v>2022</v>
      </c>
      <c r="C748" s="26" t="n">
        <v>44791</v>
      </c>
      <c r="D748" s="21" t="s">
        <v>688</v>
      </c>
      <c r="E748" s="21" t="s">
        <v>77</v>
      </c>
      <c r="F748" s="21" t="s">
        <v>687</v>
      </c>
      <c r="G748" s="27" t="n">
        <v>45</v>
      </c>
      <c r="H748" s="27" t="n">
        <v>45</v>
      </c>
      <c r="I748" s="27" t="n">
        <v>45</v>
      </c>
      <c r="J748" s="27" t="n">
        <v>45</v>
      </c>
      <c r="K748" s="27" t="n">
        <v>45</v>
      </c>
    </row>
    <row r="749" customFormat="false" ht="25" hidden="false" customHeight="false" outlineLevel="0" collapsed="false">
      <c r="A749" s="21" t="n">
        <v>20</v>
      </c>
      <c r="B749" s="21" t="n">
        <v>2022</v>
      </c>
      <c r="C749" s="26" t="n">
        <v>44791</v>
      </c>
      <c r="D749" s="21" t="s">
        <v>688</v>
      </c>
      <c r="E749" s="21" t="s">
        <v>27</v>
      </c>
      <c r="F749" s="21" t="s">
        <v>687</v>
      </c>
      <c r="G749" s="27" t="n">
        <v>12</v>
      </c>
      <c r="H749" s="27" t="n">
        <v>30</v>
      </c>
      <c r="I749" s="27" t="n">
        <v>19</v>
      </c>
      <c r="J749" s="21" t="s">
        <v>556</v>
      </c>
      <c r="K749" s="27" t="n">
        <v>15</v>
      </c>
    </row>
    <row r="750" customFormat="false" ht="25" hidden="false" customHeight="false" outlineLevel="0" collapsed="false">
      <c r="A750" s="21" t="n">
        <v>20</v>
      </c>
      <c r="B750" s="21" t="n">
        <v>2022</v>
      </c>
      <c r="C750" s="26" t="n">
        <v>44791</v>
      </c>
      <c r="D750" s="21" t="s">
        <v>688</v>
      </c>
      <c r="E750" s="21" t="s">
        <v>28</v>
      </c>
      <c r="F750" s="21" t="s">
        <v>687</v>
      </c>
      <c r="G750" s="27" t="n">
        <v>15</v>
      </c>
      <c r="H750" s="27" t="n">
        <v>54</v>
      </c>
      <c r="I750" s="27" t="n">
        <v>37</v>
      </c>
      <c r="J750" s="21" t="s">
        <v>556</v>
      </c>
      <c r="K750" s="27" t="n">
        <v>42</v>
      </c>
    </row>
    <row r="751" customFormat="false" ht="13.8" hidden="false" customHeight="false" outlineLevel="0" collapsed="false">
      <c r="A751" s="21" t="n">
        <v>20</v>
      </c>
      <c r="B751" s="21" t="n">
        <v>2022</v>
      </c>
      <c r="C751" s="26" t="n">
        <v>44791</v>
      </c>
      <c r="D751" s="21" t="s">
        <v>677</v>
      </c>
      <c r="E751" s="21" t="s">
        <v>73</v>
      </c>
      <c r="F751" s="21" t="s">
        <v>689</v>
      </c>
      <c r="G751" s="21" t="s">
        <v>556</v>
      </c>
      <c r="H751" s="21" t="s">
        <v>556</v>
      </c>
      <c r="I751" s="21" t="s">
        <v>556</v>
      </c>
      <c r="J751" s="21" t="s">
        <v>556</v>
      </c>
      <c r="K751" s="21" t="s">
        <v>556</v>
      </c>
    </row>
    <row r="752" customFormat="false" ht="25" hidden="false" customHeight="false" outlineLevel="0" collapsed="false">
      <c r="A752" s="21" t="n">
        <v>20</v>
      </c>
      <c r="B752" s="21" t="n">
        <v>2022</v>
      </c>
      <c r="C752" s="26" t="n">
        <v>44791</v>
      </c>
      <c r="D752" s="21" t="s">
        <v>686</v>
      </c>
      <c r="E752" s="21" t="s">
        <v>58</v>
      </c>
      <c r="F752" s="21" t="s">
        <v>689</v>
      </c>
      <c r="G752" s="27" t="n">
        <v>60</v>
      </c>
      <c r="H752" s="27" t="n">
        <v>100</v>
      </c>
      <c r="I752" s="27" t="n">
        <v>78.33</v>
      </c>
      <c r="J752" s="27" t="n">
        <v>60</v>
      </c>
      <c r="K752" s="27" t="n">
        <v>80</v>
      </c>
    </row>
    <row r="753" customFormat="false" ht="25" hidden="false" customHeight="false" outlineLevel="0" collapsed="false">
      <c r="A753" s="21" t="n">
        <v>20</v>
      </c>
      <c r="B753" s="21" t="n">
        <v>2022</v>
      </c>
      <c r="C753" s="26" t="n">
        <v>44791</v>
      </c>
      <c r="D753" s="21" t="s">
        <v>677</v>
      </c>
      <c r="E753" s="21" t="s">
        <v>74</v>
      </c>
      <c r="F753" s="21" t="s">
        <v>689</v>
      </c>
      <c r="G753" s="21" t="s">
        <v>556</v>
      </c>
      <c r="H753" s="21" t="s">
        <v>556</v>
      </c>
      <c r="I753" s="21" t="s">
        <v>556</v>
      </c>
      <c r="J753" s="21" t="s">
        <v>556</v>
      </c>
      <c r="K753" s="21" t="s">
        <v>556</v>
      </c>
    </row>
    <row r="754" customFormat="false" ht="25" hidden="false" customHeight="false" outlineLevel="0" collapsed="false">
      <c r="A754" s="21" t="n">
        <v>20</v>
      </c>
      <c r="B754" s="21" t="n">
        <v>2022</v>
      </c>
      <c r="C754" s="26" t="n">
        <v>44791</v>
      </c>
      <c r="D754" s="21" t="s">
        <v>686</v>
      </c>
      <c r="E754" s="21" t="s">
        <v>61</v>
      </c>
      <c r="F754" s="21" t="s">
        <v>689</v>
      </c>
      <c r="G754" s="27" t="n">
        <v>40</v>
      </c>
      <c r="H754" s="27" t="n">
        <v>80</v>
      </c>
      <c r="I754" s="27" t="n">
        <v>60.71</v>
      </c>
      <c r="J754" s="27" t="n">
        <v>80</v>
      </c>
      <c r="K754" s="27" t="n">
        <v>60</v>
      </c>
    </row>
    <row r="755" customFormat="false" ht="25" hidden="false" customHeight="false" outlineLevel="0" collapsed="false">
      <c r="A755" s="21" t="n">
        <v>20</v>
      </c>
      <c r="B755" s="21" t="n">
        <v>2022</v>
      </c>
      <c r="C755" s="26" t="n">
        <v>44791</v>
      </c>
      <c r="D755" s="21" t="s">
        <v>686</v>
      </c>
      <c r="E755" s="21" t="s">
        <v>62</v>
      </c>
      <c r="F755" s="21" t="s">
        <v>689</v>
      </c>
      <c r="G755" s="27" t="n">
        <v>80</v>
      </c>
      <c r="H755" s="27" t="n">
        <v>100</v>
      </c>
      <c r="I755" s="27" t="n">
        <v>95.71</v>
      </c>
      <c r="J755" s="27" t="n">
        <v>100</v>
      </c>
      <c r="K755" s="27" t="n">
        <v>100</v>
      </c>
    </row>
    <row r="756" customFormat="false" ht="25" hidden="false" customHeight="false" outlineLevel="0" collapsed="false">
      <c r="A756" s="21" t="n">
        <v>20</v>
      </c>
      <c r="B756" s="21" t="n">
        <v>2022</v>
      </c>
      <c r="C756" s="26" t="n">
        <v>44791</v>
      </c>
      <c r="D756" s="21" t="s">
        <v>686</v>
      </c>
      <c r="E756" s="21" t="s">
        <v>63</v>
      </c>
      <c r="F756" s="21" t="s">
        <v>689</v>
      </c>
      <c r="G756" s="27" t="n">
        <v>35</v>
      </c>
      <c r="H756" s="27" t="n">
        <v>70</v>
      </c>
      <c r="I756" s="27" t="n">
        <v>48.57</v>
      </c>
      <c r="J756" s="27" t="n">
        <v>40</v>
      </c>
      <c r="K756" s="27" t="n">
        <v>45</v>
      </c>
    </row>
    <row r="757" customFormat="false" ht="25" hidden="false" customHeight="false" outlineLevel="0" collapsed="false">
      <c r="A757" s="21" t="n">
        <v>20</v>
      </c>
      <c r="B757" s="21" t="n">
        <v>2022</v>
      </c>
      <c r="C757" s="26" t="n">
        <v>44791</v>
      </c>
      <c r="D757" s="21" t="s">
        <v>686</v>
      </c>
      <c r="E757" s="21" t="s">
        <v>64</v>
      </c>
      <c r="F757" s="21" t="s">
        <v>689</v>
      </c>
      <c r="G757" s="27" t="n">
        <v>100</v>
      </c>
      <c r="H757" s="27" t="n">
        <v>120</v>
      </c>
      <c r="I757" s="27" t="n">
        <v>105</v>
      </c>
      <c r="J757" s="27" t="n">
        <v>100</v>
      </c>
      <c r="K757" s="27" t="n">
        <v>100</v>
      </c>
    </row>
    <row r="758" customFormat="false" ht="36.5" hidden="false" customHeight="false" outlineLevel="0" collapsed="false">
      <c r="A758" s="21" t="n">
        <v>20</v>
      </c>
      <c r="B758" s="21" t="n">
        <v>2022</v>
      </c>
      <c r="C758" s="26" t="n">
        <v>44791</v>
      </c>
      <c r="D758" s="21" t="s">
        <v>690</v>
      </c>
      <c r="E758" s="21" t="s">
        <v>29</v>
      </c>
      <c r="F758" s="21" t="s">
        <v>687</v>
      </c>
      <c r="G758" s="27" t="n">
        <v>30</v>
      </c>
      <c r="H758" s="27" t="n">
        <v>54</v>
      </c>
      <c r="I758" s="27" t="n">
        <v>40.8</v>
      </c>
      <c r="J758" s="27" t="n">
        <v>36</v>
      </c>
      <c r="K758" s="27" t="n">
        <v>36</v>
      </c>
    </row>
    <row r="759" customFormat="false" ht="25" hidden="false" customHeight="false" outlineLevel="0" collapsed="false">
      <c r="A759" s="21" t="n">
        <v>20</v>
      </c>
      <c r="B759" s="21" t="n">
        <v>2022</v>
      </c>
      <c r="C759" s="26" t="n">
        <v>44791</v>
      </c>
      <c r="D759" s="21" t="s">
        <v>688</v>
      </c>
      <c r="E759" s="21" t="s">
        <v>31</v>
      </c>
      <c r="F759" s="21" t="s">
        <v>689</v>
      </c>
      <c r="G759" s="27" t="n">
        <v>30</v>
      </c>
      <c r="H759" s="27" t="n">
        <v>50</v>
      </c>
      <c r="I759" s="27" t="n">
        <v>38.4</v>
      </c>
      <c r="J759" s="27" t="n">
        <v>30</v>
      </c>
      <c r="K759" s="27" t="n">
        <v>40</v>
      </c>
    </row>
    <row r="760" customFormat="false" ht="25" hidden="false" customHeight="false" outlineLevel="0" collapsed="false">
      <c r="A760" s="21" t="n">
        <v>20</v>
      </c>
      <c r="B760" s="21" t="n">
        <v>2022</v>
      </c>
      <c r="C760" s="26" t="n">
        <v>44791</v>
      </c>
      <c r="D760" s="21" t="s">
        <v>688</v>
      </c>
      <c r="E760" s="21" t="s">
        <v>668</v>
      </c>
      <c r="F760" s="21" t="s">
        <v>689</v>
      </c>
      <c r="G760" s="27" t="n">
        <v>25</v>
      </c>
      <c r="H760" s="27" t="n">
        <v>30</v>
      </c>
      <c r="I760" s="27" t="n">
        <v>28.33</v>
      </c>
      <c r="J760" s="27" t="n">
        <v>30</v>
      </c>
      <c r="K760" s="27" t="n">
        <v>30</v>
      </c>
    </row>
    <row r="761" customFormat="false" ht="25" hidden="false" customHeight="false" outlineLevel="0" collapsed="false">
      <c r="A761" s="21" t="n">
        <v>20</v>
      </c>
      <c r="B761" s="21" t="n">
        <v>2022</v>
      </c>
      <c r="C761" s="26" t="n">
        <v>44791</v>
      </c>
      <c r="D761" s="21" t="s">
        <v>688</v>
      </c>
      <c r="E761" s="21" t="s">
        <v>33</v>
      </c>
      <c r="F761" s="21" t="s">
        <v>687</v>
      </c>
      <c r="G761" s="27" t="n">
        <v>36</v>
      </c>
      <c r="H761" s="27" t="n">
        <v>54</v>
      </c>
      <c r="I761" s="27" t="n">
        <v>44</v>
      </c>
      <c r="J761" s="21" t="s">
        <v>556</v>
      </c>
      <c r="K761" s="27" t="n">
        <v>42</v>
      </c>
    </row>
    <row r="762" customFormat="false" ht="25" hidden="false" customHeight="false" outlineLevel="0" collapsed="false">
      <c r="A762" s="21" t="n">
        <v>20</v>
      </c>
      <c r="B762" s="21" t="n">
        <v>2022</v>
      </c>
      <c r="C762" s="26" t="n">
        <v>44791</v>
      </c>
      <c r="D762" s="21" t="s">
        <v>688</v>
      </c>
      <c r="E762" s="21" t="s">
        <v>669</v>
      </c>
      <c r="F762" s="21" t="s">
        <v>691</v>
      </c>
      <c r="G762" s="27" t="n">
        <v>12</v>
      </c>
      <c r="H762" s="27" t="n">
        <v>15</v>
      </c>
      <c r="I762" s="27" t="n">
        <v>13</v>
      </c>
      <c r="J762" s="27" t="n">
        <v>12</v>
      </c>
      <c r="K762" s="27" t="n">
        <v>12</v>
      </c>
    </row>
    <row r="763" customFormat="false" ht="25" hidden="false" customHeight="false" outlineLevel="0" collapsed="false">
      <c r="A763" s="21" t="n">
        <v>20</v>
      </c>
      <c r="B763" s="21" t="n">
        <v>2022</v>
      </c>
      <c r="C763" s="26" t="n">
        <v>44791</v>
      </c>
      <c r="D763" s="21" t="s">
        <v>686</v>
      </c>
      <c r="E763" s="21" t="s">
        <v>67</v>
      </c>
      <c r="F763" s="21" t="s">
        <v>689</v>
      </c>
      <c r="G763" s="27" t="n">
        <v>50</v>
      </c>
      <c r="H763" s="27" t="n">
        <v>80</v>
      </c>
      <c r="I763" s="27" t="n">
        <v>70</v>
      </c>
      <c r="J763" s="27" t="n">
        <v>70</v>
      </c>
      <c r="K763" s="27" t="n">
        <v>70</v>
      </c>
    </row>
    <row r="764" customFormat="false" ht="25" hidden="false" customHeight="false" outlineLevel="0" collapsed="false">
      <c r="A764" s="21" t="n">
        <v>20</v>
      </c>
      <c r="B764" s="21" t="n">
        <v>2022</v>
      </c>
      <c r="C764" s="26" t="n">
        <v>44791</v>
      </c>
      <c r="D764" s="21" t="s">
        <v>686</v>
      </c>
      <c r="E764" s="21" t="s">
        <v>68</v>
      </c>
      <c r="F764" s="21" t="s">
        <v>689</v>
      </c>
      <c r="G764" s="27" t="n">
        <v>60</v>
      </c>
      <c r="H764" s="27" t="n">
        <v>100</v>
      </c>
      <c r="I764" s="27" t="n">
        <v>78.57</v>
      </c>
      <c r="J764" s="27" t="n">
        <v>70</v>
      </c>
      <c r="K764" s="27" t="n">
        <v>75</v>
      </c>
    </row>
    <row r="765" customFormat="false" ht="36.5" hidden="false" customHeight="false" outlineLevel="0" collapsed="false">
      <c r="A765" s="21" t="n">
        <v>21</v>
      </c>
      <c r="B765" s="21" t="n">
        <v>2022</v>
      </c>
      <c r="C765" s="26" t="n">
        <v>44812</v>
      </c>
      <c r="D765" s="21" t="s">
        <v>293</v>
      </c>
      <c r="E765" s="21" t="s">
        <v>656</v>
      </c>
      <c r="F765" s="21" t="s">
        <v>657</v>
      </c>
      <c r="G765" s="27" t="n">
        <v>50</v>
      </c>
      <c r="H765" s="27" t="n">
        <v>65</v>
      </c>
      <c r="I765" s="27" t="n">
        <v>56.88</v>
      </c>
      <c r="J765" s="27" t="n">
        <v>60</v>
      </c>
      <c r="K765" s="27" t="n">
        <v>60</v>
      </c>
    </row>
    <row r="766" customFormat="false" ht="25" hidden="false" customHeight="false" outlineLevel="0" collapsed="false">
      <c r="A766" s="21" t="n">
        <v>21</v>
      </c>
      <c r="B766" s="21" t="n">
        <v>2022</v>
      </c>
      <c r="C766" s="26" t="n">
        <v>44812</v>
      </c>
      <c r="D766" s="21" t="s">
        <v>692</v>
      </c>
      <c r="E766" s="21" t="s">
        <v>16</v>
      </c>
      <c r="F766" s="21" t="s">
        <v>658</v>
      </c>
      <c r="G766" s="27" t="n">
        <v>36</v>
      </c>
      <c r="H766" s="27" t="n">
        <v>42</v>
      </c>
      <c r="I766" s="27" t="n">
        <v>39</v>
      </c>
      <c r="J766" s="21" t="s">
        <v>556</v>
      </c>
      <c r="K766" s="27" t="n">
        <v>39</v>
      </c>
    </row>
    <row r="767" customFormat="false" ht="25" hidden="false" customHeight="false" outlineLevel="0" collapsed="false">
      <c r="A767" s="21" t="n">
        <v>21</v>
      </c>
      <c r="B767" s="21" t="n">
        <v>2022</v>
      </c>
      <c r="C767" s="26" t="n">
        <v>44812</v>
      </c>
      <c r="D767" s="21" t="s">
        <v>692</v>
      </c>
      <c r="E767" s="21" t="s">
        <v>18</v>
      </c>
      <c r="F767" s="21" t="s">
        <v>658</v>
      </c>
      <c r="G767" s="27" t="n">
        <v>60</v>
      </c>
      <c r="H767" s="27" t="n">
        <v>60</v>
      </c>
      <c r="I767" s="27" t="n">
        <v>60</v>
      </c>
      <c r="J767" s="21" t="s">
        <v>556</v>
      </c>
      <c r="K767" s="27" t="n">
        <v>60</v>
      </c>
    </row>
    <row r="768" customFormat="false" ht="25" hidden="false" customHeight="false" outlineLevel="0" collapsed="false">
      <c r="A768" s="21" t="n">
        <v>21</v>
      </c>
      <c r="B768" s="21" t="n">
        <v>2022</v>
      </c>
      <c r="C768" s="26" t="n">
        <v>44812</v>
      </c>
      <c r="D768" s="21" t="s">
        <v>692</v>
      </c>
      <c r="E768" s="21" t="s">
        <v>659</v>
      </c>
      <c r="F768" s="21" t="s">
        <v>658</v>
      </c>
      <c r="G768" s="27" t="n">
        <v>18</v>
      </c>
      <c r="H768" s="27" t="n">
        <v>36</v>
      </c>
      <c r="I768" s="27" t="n">
        <v>27</v>
      </c>
      <c r="J768" s="21" t="s">
        <v>556</v>
      </c>
      <c r="K768" s="27" t="n">
        <v>27</v>
      </c>
    </row>
    <row r="769" customFormat="false" ht="25" hidden="false" customHeight="false" outlineLevel="0" collapsed="false">
      <c r="A769" s="21" t="n">
        <v>21</v>
      </c>
      <c r="B769" s="21" t="n">
        <v>2022</v>
      </c>
      <c r="C769" s="26" t="n">
        <v>44812</v>
      </c>
      <c r="D769" s="21" t="s">
        <v>692</v>
      </c>
      <c r="E769" s="21" t="s">
        <v>20</v>
      </c>
      <c r="F769" s="21" t="s">
        <v>658</v>
      </c>
      <c r="G769" s="27" t="n">
        <v>15</v>
      </c>
      <c r="H769" s="27" t="n">
        <v>24</v>
      </c>
      <c r="I769" s="27" t="n">
        <v>19.5</v>
      </c>
      <c r="J769" s="21" t="s">
        <v>556</v>
      </c>
      <c r="K769" s="27" t="n">
        <v>19.5</v>
      </c>
    </row>
    <row r="770" customFormat="false" ht="25" hidden="false" customHeight="false" outlineLevel="0" collapsed="false">
      <c r="A770" s="21" t="n">
        <v>21</v>
      </c>
      <c r="B770" s="21" t="n">
        <v>2022</v>
      </c>
      <c r="C770" s="26" t="n">
        <v>44812</v>
      </c>
      <c r="D770" s="21" t="s">
        <v>692</v>
      </c>
      <c r="E770" s="21" t="s">
        <v>21</v>
      </c>
      <c r="F770" s="21" t="s">
        <v>658</v>
      </c>
      <c r="G770" s="27" t="n">
        <v>24</v>
      </c>
      <c r="H770" s="27" t="n">
        <v>24</v>
      </c>
      <c r="I770" s="27" t="n">
        <v>24</v>
      </c>
      <c r="J770" s="21" t="s">
        <v>556</v>
      </c>
      <c r="K770" s="27" t="n">
        <v>24</v>
      </c>
    </row>
    <row r="771" customFormat="false" ht="25" hidden="false" customHeight="false" outlineLevel="0" collapsed="false">
      <c r="A771" s="21" t="n">
        <v>21</v>
      </c>
      <c r="B771" s="21" t="n">
        <v>2022</v>
      </c>
      <c r="C771" s="26" t="n">
        <v>44812</v>
      </c>
      <c r="D771" s="21" t="s">
        <v>692</v>
      </c>
      <c r="E771" s="21" t="s">
        <v>22</v>
      </c>
      <c r="F771" s="21" t="s">
        <v>658</v>
      </c>
      <c r="G771" s="27" t="n">
        <v>36</v>
      </c>
      <c r="H771" s="27" t="n">
        <v>36</v>
      </c>
      <c r="I771" s="27" t="n">
        <v>36</v>
      </c>
      <c r="J771" s="21" t="s">
        <v>556</v>
      </c>
      <c r="K771" s="27" t="n">
        <v>36</v>
      </c>
    </row>
    <row r="772" customFormat="false" ht="36.5" hidden="false" customHeight="false" outlineLevel="0" collapsed="false">
      <c r="A772" s="21" t="n">
        <v>21</v>
      </c>
      <c r="B772" s="21" t="n">
        <v>2022</v>
      </c>
      <c r="C772" s="26" t="n">
        <v>44812</v>
      </c>
      <c r="D772" s="21" t="s">
        <v>293</v>
      </c>
      <c r="E772" s="21" t="s">
        <v>46</v>
      </c>
      <c r="F772" s="21" t="s">
        <v>660</v>
      </c>
      <c r="G772" s="27" t="n">
        <v>30</v>
      </c>
      <c r="H772" s="27" t="n">
        <v>65</v>
      </c>
      <c r="I772" s="27" t="n">
        <v>51.31</v>
      </c>
      <c r="J772" s="27" t="n">
        <v>65</v>
      </c>
      <c r="K772" s="27" t="n">
        <v>57.5</v>
      </c>
    </row>
    <row r="773" customFormat="false" ht="36.5" hidden="false" customHeight="false" outlineLevel="0" collapsed="false">
      <c r="A773" s="21" t="n">
        <v>21</v>
      </c>
      <c r="B773" s="21" t="n">
        <v>2022</v>
      </c>
      <c r="C773" s="26" t="n">
        <v>44812</v>
      </c>
      <c r="D773" s="21" t="s">
        <v>293</v>
      </c>
      <c r="E773" s="21" t="s">
        <v>48</v>
      </c>
      <c r="F773" s="21" t="s">
        <v>661</v>
      </c>
      <c r="G773" s="27" t="n">
        <v>35.2</v>
      </c>
      <c r="H773" s="27" t="n">
        <v>40</v>
      </c>
      <c r="I773" s="27" t="n">
        <v>39.4</v>
      </c>
      <c r="J773" s="27" t="n">
        <v>40</v>
      </c>
      <c r="K773" s="27" t="n">
        <v>40</v>
      </c>
    </row>
    <row r="774" customFormat="false" ht="36.5" hidden="false" customHeight="false" outlineLevel="0" collapsed="false">
      <c r="A774" s="21" t="n">
        <v>21</v>
      </c>
      <c r="B774" s="21" t="n">
        <v>2022</v>
      </c>
      <c r="C774" s="26" t="n">
        <v>44812</v>
      </c>
      <c r="D774" s="21" t="s">
        <v>293</v>
      </c>
      <c r="E774" s="21" t="s">
        <v>52</v>
      </c>
      <c r="F774" s="21" t="s">
        <v>661</v>
      </c>
      <c r="G774" s="27" t="n">
        <v>100</v>
      </c>
      <c r="H774" s="27" t="n">
        <v>100</v>
      </c>
      <c r="I774" s="27" t="n">
        <v>100</v>
      </c>
      <c r="J774" s="27" t="n">
        <v>100</v>
      </c>
      <c r="K774" s="27" t="n">
        <v>100</v>
      </c>
    </row>
    <row r="775" customFormat="false" ht="36.5" hidden="false" customHeight="false" outlineLevel="0" collapsed="false">
      <c r="A775" s="21" t="n">
        <v>21</v>
      </c>
      <c r="B775" s="21" t="n">
        <v>2022</v>
      </c>
      <c r="C775" s="26" t="n">
        <v>44812</v>
      </c>
      <c r="D775" s="21" t="s">
        <v>293</v>
      </c>
      <c r="E775" s="21" t="s">
        <v>53</v>
      </c>
      <c r="F775" s="21" t="s">
        <v>662</v>
      </c>
      <c r="G775" s="27" t="n">
        <v>50</v>
      </c>
      <c r="H775" s="27" t="n">
        <v>60</v>
      </c>
      <c r="I775" s="27" t="n">
        <v>52.5</v>
      </c>
      <c r="J775" s="27" t="n">
        <v>50</v>
      </c>
      <c r="K775" s="27" t="n">
        <v>50</v>
      </c>
    </row>
    <row r="776" customFormat="false" ht="36.5" hidden="false" customHeight="false" outlineLevel="0" collapsed="false">
      <c r="A776" s="21" t="n">
        <v>21</v>
      </c>
      <c r="B776" s="21" t="n">
        <v>2022</v>
      </c>
      <c r="C776" s="26" t="n">
        <v>44812</v>
      </c>
      <c r="D776" s="21" t="s">
        <v>692</v>
      </c>
      <c r="E776" s="21" t="s">
        <v>663</v>
      </c>
      <c r="F776" s="21" t="s">
        <v>658</v>
      </c>
      <c r="G776" s="27" t="n">
        <v>50</v>
      </c>
      <c r="H776" s="27" t="n">
        <v>54</v>
      </c>
      <c r="I776" s="27" t="n">
        <v>52</v>
      </c>
      <c r="J776" s="21" t="s">
        <v>556</v>
      </c>
      <c r="K776" s="27" t="n">
        <v>52</v>
      </c>
    </row>
    <row r="777" customFormat="false" ht="25" hidden="false" customHeight="false" outlineLevel="0" collapsed="false">
      <c r="A777" s="21" t="n">
        <v>21</v>
      </c>
      <c r="B777" s="21" t="n">
        <v>2022</v>
      </c>
      <c r="C777" s="26" t="n">
        <v>44812</v>
      </c>
      <c r="D777" s="21" t="s">
        <v>692</v>
      </c>
      <c r="E777" s="21" t="s">
        <v>24</v>
      </c>
      <c r="F777" s="21" t="s">
        <v>658</v>
      </c>
      <c r="G777" s="27" t="n">
        <v>60</v>
      </c>
      <c r="H777" s="27" t="n">
        <v>60</v>
      </c>
      <c r="I777" s="27" t="n">
        <v>60</v>
      </c>
      <c r="J777" s="27" t="n">
        <v>60</v>
      </c>
      <c r="K777" s="27" t="n">
        <v>60</v>
      </c>
    </row>
    <row r="778" customFormat="false" ht="25" hidden="false" customHeight="false" outlineLevel="0" collapsed="false">
      <c r="A778" s="21" t="n">
        <v>21</v>
      </c>
      <c r="B778" s="21" t="n">
        <v>2022</v>
      </c>
      <c r="C778" s="26" t="n">
        <v>44812</v>
      </c>
      <c r="D778" s="21" t="s">
        <v>69</v>
      </c>
      <c r="E778" s="21" t="s">
        <v>70</v>
      </c>
      <c r="F778" s="21" t="s">
        <v>657</v>
      </c>
      <c r="G778" s="21" t="s">
        <v>556</v>
      </c>
      <c r="H778" s="21" t="s">
        <v>556</v>
      </c>
      <c r="I778" s="21" t="s">
        <v>556</v>
      </c>
      <c r="J778" s="21" t="s">
        <v>556</v>
      </c>
      <c r="K778" s="21" t="s">
        <v>556</v>
      </c>
    </row>
    <row r="779" customFormat="false" ht="25" hidden="false" customHeight="false" outlineLevel="0" collapsed="false">
      <c r="A779" s="21" t="n">
        <v>21</v>
      </c>
      <c r="B779" s="21" t="n">
        <v>2022</v>
      </c>
      <c r="C779" s="26" t="n">
        <v>44812</v>
      </c>
      <c r="D779" s="21" t="s">
        <v>69</v>
      </c>
      <c r="E779" s="21" t="s">
        <v>681</v>
      </c>
      <c r="F779" s="21" t="s">
        <v>657</v>
      </c>
      <c r="G779" s="21" t="s">
        <v>556</v>
      </c>
      <c r="H779" s="21" t="s">
        <v>556</v>
      </c>
      <c r="I779" s="21" t="s">
        <v>556</v>
      </c>
      <c r="J779" s="21" t="s">
        <v>556</v>
      </c>
      <c r="K779" s="21" t="s">
        <v>556</v>
      </c>
    </row>
    <row r="780" customFormat="false" ht="25" hidden="false" customHeight="false" outlineLevel="0" collapsed="false">
      <c r="A780" s="21" t="n">
        <v>21</v>
      </c>
      <c r="B780" s="21" t="n">
        <v>2022</v>
      </c>
      <c r="C780" s="26" t="n">
        <v>44812</v>
      </c>
      <c r="D780" s="21" t="s">
        <v>69</v>
      </c>
      <c r="E780" s="21" t="s">
        <v>72</v>
      </c>
      <c r="F780" s="21" t="s">
        <v>657</v>
      </c>
      <c r="G780" s="21" t="s">
        <v>556</v>
      </c>
      <c r="H780" s="21" t="s">
        <v>556</v>
      </c>
      <c r="I780" s="21" t="s">
        <v>556</v>
      </c>
      <c r="J780" s="21" t="s">
        <v>556</v>
      </c>
      <c r="K780" s="21" t="s">
        <v>556</v>
      </c>
    </row>
    <row r="781" customFormat="false" ht="48" hidden="false" customHeight="false" outlineLevel="0" collapsed="false">
      <c r="A781" s="21" t="n">
        <v>21</v>
      </c>
      <c r="B781" s="21" t="n">
        <v>2022</v>
      </c>
      <c r="C781" s="26" t="n">
        <v>44812</v>
      </c>
      <c r="D781" s="21" t="s">
        <v>693</v>
      </c>
      <c r="E781" s="21" t="s">
        <v>35</v>
      </c>
      <c r="F781" s="21" t="s">
        <v>664</v>
      </c>
      <c r="G781" s="27" t="n">
        <v>3</v>
      </c>
      <c r="H781" s="27" t="n">
        <v>4</v>
      </c>
      <c r="I781" s="27" t="n">
        <v>3.5</v>
      </c>
      <c r="J781" s="21" t="s">
        <v>556</v>
      </c>
      <c r="K781" s="27" t="n">
        <v>3.5</v>
      </c>
    </row>
    <row r="782" customFormat="false" ht="36.5" hidden="false" customHeight="false" outlineLevel="0" collapsed="false">
      <c r="A782" s="21" t="n">
        <v>21</v>
      </c>
      <c r="B782" s="21" t="n">
        <v>2022</v>
      </c>
      <c r="C782" s="26" t="n">
        <v>44812</v>
      </c>
      <c r="D782" s="21" t="s">
        <v>293</v>
      </c>
      <c r="E782" s="21" t="s">
        <v>56</v>
      </c>
      <c r="F782" s="21" t="s">
        <v>660</v>
      </c>
      <c r="G782" s="27" t="n">
        <v>45</v>
      </c>
      <c r="H782" s="27" t="n">
        <v>60</v>
      </c>
      <c r="I782" s="27" t="n">
        <v>53.13</v>
      </c>
      <c r="J782" s="27" t="n">
        <v>55</v>
      </c>
      <c r="K782" s="27" t="n">
        <v>55</v>
      </c>
    </row>
    <row r="783" customFormat="false" ht="36.5" hidden="false" customHeight="false" outlineLevel="0" collapsed="false">
      <c r="A783" s="21" t="n">
        <v>21</v>
      </c>
      <c r="B783" s="21" t="n">
        <v>2022</v>
      </c>
      <c r="C783" s="26" t="n">
        <v>44812</v>
      </c>
      <c r="D783" s="21" t="s">
        <v>293</v>
      </c>
      <c r="E783" s="21" t="s">
        <v>57</v>
      </c>
      <c r="F783" s="21" t="s">
        <v>665</v>
      </c>
      <c r="G783" s="27" t="n">
        <v>50</v>
      </c>
      <c r="H783" s="27" t="n">
        <v>65</v>
      </c>
      <c r="I783" s="27" t="n">
        <v>58.13</v>
      </c>
      <c r="J783" s="27" t="n">
        <v>60</v>
      </c>
      <c r="K783" s="27" t="n">
        <v>60</v>
      </c>
    </row>
    <row r="784" customFormat="false" ht="48" hidden="false" customHeight="false" outlineLevel="0" collapsed="false">
      <c r="A784" s="21" t="n">
        <v>21</v>
      </c>
      <c r="B784" s="21" t="n">
        <v>2022</v>
      </c>
      <c r="C784" s="26" t="n">
        <v>44812</v>
      </c>
      <c r="D784" s="21" t="s">
        <v>693</v>
      </c>
      <c r="E784" s="21" t="s">
        <v>38</v>
      </c>
      <c r="F784" s="21" t="s">
        <v>694</v>
      </c>
      <c r="G784" s="27" t="n">
        <v>10</v>
      </c>
      <c r="H784" s="27" t="n">
        <v>12</v>
      </c>
      <c r="I784" s="27" t="n">
        <v>11</v>
      </c>
      <c r="J784" s="21" t="s">
        <v>556</v>
      </c>
      <c r="K784" s="27" t="n">
        <v>11</v>
      </c>
    </row>
    <row r="785" customFormat="false" ht="25" hidden="false" customHeight="false" outlineLevel="0" collapsed="false">
      <c r="A785" s="21" t="n">
        <v>21</v>
      </c>
      <c r="B785" s="21" t="n">
        <v>2022</v>
      </c>
      <c r="C785" s="26" t="n">
        <v>44812</v>
      </c>
      <c r="D785" s="21" t="s">
        <v>692</v>
      </c>
      <c r="E785" s="21" t="s">
        <v>666</v>
      </c>
      <c r="F785" s="21" t="s">
        <v>658</v>
      </c>
      <c r="G785" s="27" t="n">
        <v>12.6</v>
      </c>
      <c r="H785" s="27" t="n">
        <v>24</v>
      </c>
      <c r="I785" s="27" t="n">
        <v>18.3</v>
      </c>
      <c r="J785" s="21" t="s">
        <v>556</v>
      </c>
      <c r="K785" s="27" t="n">
        <v>18.3</v>
      </c>
    </row>
    <row r="786" customFormat="false" ht="25" hidden="false" customHeight="false" outlineLevel="0" collapsed="false">
      <c r="A786" s="21" t="n">
        <v>21</v>
      </c>
      <c r="B786" s="21" t="n">
        <v>2022</v>
      </c>
      <c r="C786" s="26" t="n">
        <v>44812</v>
      </c>
      <c r="D786" s="21" t="s">
        <v>692</v>
      </c>
      <c r="E786" s="21" t="s">
        <v>77</v>
      </c>
      <c r="F786" s="21" t="s">
        <v>658</v>
      </c>
      <c r="G786" s="27" t="n">
        <v>55</v>
      </c>
      <c r="H786" s="27" t="n">
        <v>60</v>
      </c>
      <c r="I786" s="27" t="n">
        <v>56.67</v>
      </c>
      <c r="J786" s="27" t="n">
        <v>55</v>
      </c>
      <c r="K786" s="27" t="n">
        <v>55</v>
      </c>
    </row>
    <row r="787" customFormat="false" ht="25" hidden="false" customHeight="false" outlineLevel="0" collapsed="false">
      <c r="A787" s="21" t="n">
        <v>21</v>
      </c>
      <c r="B787" s="21" t="n">
        <v>2022</v>
      </c>
      <c r="C787" s="26" t="n">
        <v>44812</v>
      </c>
      <c r="D787" s="21" t="s">
        <v>692</v>
      </c>
      <c r="E787" s="21" t="s">
        <v>27</v>
      </c>
      <c r="F787" s="21" t="s">
        <v>658</v>
      </c>
      <c r="G787" s="27" t="n">
        <v>15</v>
      </c>
      <c r="H787" s="27" t="n">
        <v>24</v>
      </c>
      <c r="I787" s="27" t="n">
        <v>19.5</v>
      </c>
      <c r="J787" s="21" t="s">
        <v>556</v>
      </c>
      <c r="K787" s="27" t="n">
        <v>19.5</v>
      </c>
    </row>
    <row r="788" customFormat="false" ht="25" hidden="false" customHeight="false" outlineLevel="0" collapsed="false">
      <c r="A788" s="21" t="n">
        <v>21</v>
      </c>
      <c r="B788" s="21" t="n">
        <v>2022</v>
      </c>
      <c r="C788" s="26" t="n">
        <v>44812</v>
      </c>
      <c r="D788" s="21" t="s">
        <v>692</v>
      </c>
      <c r="E788" s="21" t="s">
        <v>28</v>
      </c>
      <c r="F788" s="21" t="s">
        <v>658</v>
      </c>
      <c r="G788" s="27" t="n">
        <v>54</v>
      </c>
      <c r="H788" s="27" t="n">
        <v>54</v>
      </c>
      <c r="I788" s="27" t="n">
        <v>54</v>
      </c>
      <c r="J788" s="27" t="n">
        <v>54</v>
      </c>
      <c r="K788" s="27" t="n">
        <v>54</v>
      </c>
    </row>
    <row r="789" customFormat="false" ht="25" hidden="false" customHeight="false" outlineLevel="0" collapsed="false">
      <c r="A789" s="21" t="n">
        <v>21</v>
      </c>
      <c r="B789" s="21" t="n">
        <v>2022</v>
      </c>
      <c r="C789" s="26" t="n">
        <v>44812</v>
      </c>
      <c r="D789" s="21" t="s">
        <v>69</v>
      </c>
      <c r="E789" s="21" t="s">
        <v>73</v>
      </c>
      <c r="F789" s="21" t="s">
        <v>661</v>
      </c>
      <c r="G789" s="27" t="n">
        <v>55</v>
      </c>
      <c r="H789" s="27" t="n">
        <v>55</v>
      </c>
      <c r="I789" s="27" t="n">
        <v>55</v>
      </c>
      <c r="J789" s="21" t="s">
        <v>556</v>
      </c>
      <c r="K789" s="27" t="n">
        <v>55</v>
      </c>
    </row>
    <row r="790" customFormat="false" ht="36.5" hidden="false" customHeight="false" outlineLevel="0" collapsed="false">
      <c r="A790" s="21" t="n">
        <v>21</v>
      </c>
      <c r="B790" s="21" t="n">
        <v>2022</v>
      </c>
      <c r="C790" s="26" t="n">
        <v>44812</v>
      </c>
      <c r="D790" s="21" t="s">
        <v>293</v>
      </c>
      <c r="E790" s="21" t="s">
        <v>58</v>
      </c>
      <c r="F790" s="21" t="s">
        <v>657</v>
      </c>
      <c r="G790" s="27" t="n">
        <v>60</v>
      </c>
      <c r="H790" s="27" t="n">
        <v>85</v>
      </c>
      <c r="I790" s="27" t="n">
        <v>71.25</v>
      </c>
      <c r="J790" s="27" t="n">
        <v>60</v>
      </c>
      <c r="K790" s="27" t="n">
        <v>70</v>
      </c>
    </row>
    <row r="791" customFormat="false" ht="25" hidden="false" customHeight="false" outlineLevel="0" collapsed="false">
      <c r="A791" s="21" t="n">
        <v>21</v>
      </c>
      <c r="B791" s="21" t="n">
        <v>2022</v>
      </c>
      <c r="C791" s="26" t="n">
        <v>44812</v>
      </c>
      <c r="D791" s="21" t="s">
        <v>69</v>
      </c>
      <c r="E791" s="21" t="s">
        <v>74</v>
      </c>
      <c r="F791" s="21" t="s">
        <v>667</v>
      </c>
      <c r="G791" s="27" t="n">
        <v>62</v>
      </c>
      <c r="H791" s="27" t="n">
        <v>62</v>
      </c>
      <c r="I791" s="27" t="n">
        <v>62</v>
      </c>
      <c r="J791" s="21" t="s">
        <v>556</v>
      </c>
      <c r="K791" s="27" t="n">
        <v>62</v>
      </c>
    </row>
    <row r="792" customFormat="false" ht="36.5" hidden="false" customHeight="false" outlineLevel="0" collapsed="false">
      <c r="A792" s="21" t="n">
        <v>21</v>
      </c>
      <c r="B792" s="21" t="n">
        <v>2022</v>
      </c>
      <c r="C792" s="26" t="n">
        <v>44812</v>
      </c>
      <c r="D792" s="21" t="s">
        <v>293</v>
      </c>
      <c r="E792" s="21" t="s">
        <v>61</v>
      </c>
      <c r="F792" s="21" t="s">
        <v>657</v>
      </c>
      <c r="G792" s="27" t="n">
        <v>40</v>
      </c>
      <c r="H792" s="27" t="n">
        <v>70</v>
      </c>
      <c r="I792" s="27" t="n">
        <v>55</v>
      </c>
      <c r="J792" s="27" t="n">
        <v>60</v>
      </c>
      <c r="K792" s="27" t="n">
        <v>55</v>
      </c>
    </row>
    <row r="793" customFormat="false" ht="36.5" hidden="false" customHeight="false" outlineLevel="0" collapsed="false">
      <c r="A793" s="21" t="n">
        <v>21</v>
      </c>
      <c r="B793" s="21" t="n">
        <v>2022</v>
      </c>
      <c r="C793" s="26" t="n">
        <v>44812</v>
      </c>
      <c r="D793" s="21" t="s">
        <v>293</v>
      </c>
      <c r="E793" s="21" t="s">
        <v>62</v>
      </c>
      <c r="F793" s="21" t="s">
        <v>695</v>
      </c>
      <c r="G793" s="27" t="n">
        <v>85</v>
      </c>
      <c r="H793" s="27" t="n">
        <v>100</v>
      </c>
      <c r="I793" s="27" t="n">
        <v>90</v>
      </c>
      <c r="J793" s="27" t="n">
        <v>90</v>
      </c>
      <c r="K793" s="27" t="n">
        <v>90</v>
      </c>
    </row>
    <row r="794" customFormat="false" ht="36.5" hidden="false" customHeight="false" outlineLevel="0" collapsed="false">
      <c r="A794" s="21" t="n">
        <v>21</v>
      </c>
      <c r="B794" s="21" t="n">
        <v>2022</v>
      </c>
      <c r="C794" s="26" t="n">
        <v>44812</v>
      </c>
      <c r="D794" s="21" t="s">
        <v>293</v>
      </c>
      <c r="E794" s="21" t="s">
        <v>63</v>
      </c>
      <c r="F794" s="21" t="s">
        <v>661</v>
      </c>
      <c r="G794" s="27" t="n">
        <v>35</v>
      </c>
      <c r="H794" s="27" t="n">
        <v>60</v>
      </c>
      <c r="I794" s="27" t="n">
        <v>43.66</v>
      </c>
      <c r="J794" s="27" t="n">
        <v>45</v>
      </c>
      <c r="K794" s="27" t="n">
        <v>45</v>
      </c>
    </row>
    <row r="795" customFormat="false" ht="36.5" hidden="false" customHeight="false" outlineLevel="0" collapsed="false">
      <c r="A795" s="21" t="n">
        <v>21</v>
      </c>
      <c r="B795" s="21" t="n">
        <v>2022</v>
      </c>
      <c r="C795" s="26" t="n">
        <v>44812</v>
      </c>
      <c r="D795" s="21" t="s">
        <v>293</v>
      </c>
      <c r="E795" s="21" t="s">
        <v>64</v>
      </c>
      <c r="F795" s="21" t="s">
        <v>661</v>
      </c>
      <c r="G795" s="27" t="n">
        <v>110</v>
      </c>
      <c r="H795" s="27" t="n">
        <v>150</v>
      </c>
      <c r="I795" s="27" t="n">
        <v>126.25</v>
      </c>
      <c r="J795" s="27" t="n">
        <v>120</v>
      </c>
      <c r="K795" s="27" t="n">
        <v>120</v>
      </c>
    </row>
    <row r="796" customFormat="false" ht="25" hidden="false" customHeight="false" outlineLevel="0" collapsed="false">
      <c r="A796" s="21" t="n">
        <v>21</v>
      </c>
      <c r="B796" s="21" t="n">
        <v>2022</v>
      </c>
      <c r="C796" s="26" t="n">
        <v>44812</v>
      </c>
      <c r="D796" s="21" t="s">
        <v>692</v>
      </c>
      <c r="E796" s="21" t="s">
        <v>29</v>
      </c>
      <c r="F796" s="21" t="s">
        <v>658</v>
      </c>
      <c r="G796" s="27" t="n">
        <v>48</v>
      </c>
      <c r="H796" s="27" t="n">
        <v>48</v>
      </c>
      <c r="I796" s="27" t="n">
        <v>48</v>
      </c>
      <c r="J796" s="21" t="s">
        <v>556</v>
      </c>
      <c r="K796" s="27" t="n">
        <v>48</v>
      </c>
    </row>
    <row r="797" customFormat="false" ht="25" hidden="false" customHeight="false" outlineLevel="0" collapsed="false">
      <c r="A797" s="21" t="n">
        <v>21</v>
      </c>
      <c r="B797" s="21" t="n">
        <v>2022</v>
      </c>
      <c r="C797" s="26" t="n">
        <v>44812</v>
      </c>
      <c r="D797" s="21" t="s">
        <v>692</v>
      </c>
      <c r="E797" s="21" t="s">
        <v>31</v>
      </c>
      <c r="F797" s="21" t="s">
        <v>658</v>
      </c>
      <c r="G797" s="27" t="n">
        <v>30</v>
      </c>
      <c r="H797" s="27" t="n">
        <v>60</v>
      </c>
      <c r="I797" s="27" t="n">
        <v>45</v>
      </c>
      <c r="J797" s="21" t="s">
        <v>556</v>
      </c>
      <c r="K797" s="27" t="n">
        <v>45</v>
      </c>
    </row>
    <row r="798" customFormat="false" ht="25" hidden="false" customHeight="false" outlineLevel="0" collapsed="false">
      <c r="A798" s="21" t="n">
        <v>21</v>
      </c>
      <c r="B798" s="21" t="n">
        <v>2022</v>
      </c>
      <c r="C798" s="26" t="n">
        <v>44812</v>
      </c>
      <c r="D798" s="21" t="s">
        <v>692</v>
      </c>
      <c r="E798" s="21" t="s">
        <v>668</v>
      </c>
      <c r="F798" s="21" t="s">
        <v>658</v>
      </c>
      <c r="G798" s="27" t="n">
        <v>24</v>
      </c>
      <c r="H798" s="27" t="n">
        <v>30</v>
      </c>
      <c r="I798" s="27" t="n">
        <v>26.33</v>
      </c>
      <c r="J798" s="21" t="s">
        <v>556</v>
      </c>
      <c r="K798" s="27" t="n">
        <v>25</v>
      </c>
    </row>
    <row r="799" customFormat="false" ht="25" hidden="false" customHeight="false" outlineLevel="0" collapsed="false">
      <c r="A799" s="21" t="n">
        <v>21</v>
      </c>
      <c r="B799" s="21" t="n">
        <v>2022</v>
      </c>
      <c r="C799" s="26" t="n">
        <v>44812</v>
      </c>
      <c r="D799" s="21" t="s">
        <v>692</v>
      </c>
      <c r="E799" s="21" t="s">
        <v>33</v>
      </c>
      <c r="F799" s="21" t="s">
        <v>658</v>
      </c>
      <c r="G799" s="27" t="n">
        <v>36</v>
      </c>
      <c r="H799" s="27" t="n">
        <v>42</v>
      </c>
      <c r="I799" s="27" t="n">
        <v>39</v>
      </c>
      <c r="J799" s="21" t="s">
        <v>556</v>
      </c>
      <c r="K799" s="27" t="n">
        <v>39</v>
      </c>
    </row>
    <row r="800" customFormat="false" ht="48" hidden="false" customHeight="false" outlineLevel="0" collapsed="false">
      <c r="A800" s="21" t="n">
        <v>21</v>
      </c>
      <c r="B800" s="21" t="n">
        <v>2022</v>
      </c>
      <c r="C800" s="26" t="n">
        <v>44812</v>
      </c>
      <c r="D800" s="21" t="s">
        <v>693</v>
      </c>
      <c r="E800" s="21" t="s">
        <v>669</v>
      </c>
      <c r="F800" s="21" t="s">
        <v>682</v>
      </c>
      <c r="G800" s="27" t="n">
        <v>20</v>
      </c>
      <c r="H800" s="27" t="n">
        <v>20</v>
      </c>
      <c r="I800" s="27" t="n">
        <v>20</v>
      </c>
      <c r="J800" s="27" t="n">
        <v>20</v>
      </c>
      <c r="K800" s="27" t="n">
        <v>20</v>
      </c>
    </row>
    <row r="801" customFormat="false" ht="36.5" hidden="false" customHeight="false" outlineLevel="0" collapsed="false">
      <c r="A801" s="21" t="n">
        <v>21</v>
      </c>
      <c r="B801" s="21" t="n">
        <v>2022</v>
      </c>
      <c r="C801" s="26" t="n">
        <v>44812</v>
      </c>
      <c r="D801" s="21" t="s">
        <v>293</v>
      </c>
      <c r="E801" s="21" t="s">
        <v>67</v>
      </c>
      <c r="F801" s="21" t="s">
        <v>662</v>
      </c>
      <c r="G801" s="27" t="n">
        <v>70</v>
      </c>
      <c r="H801" s="27" t="n">
        <v>85</v>
      </c>
      <c r="I801" s="27" t="n">
        <v>76</v>
      </c>
      <c r="J801" s="27" t="n">
        <v>70</v>
      </c>
      <c r="K801" s="27" t="n">
        <v>75</v>
      </c>
    </row>
    <row r="802" customFormat="false" ht="36.5" hidden="false" customHeight="false" outlineLevel="0" collapsed="false">
      <c r="A802" s="21" t="n">
        <v>21</v>
      </c>
      <c r="B802" s="21" t="n">
        <v>2022</v>
      </c>
      <c r="C802" s="26" t="n">
        <v>44812</v>
      </c>
      <c r="D802" s="21" t="s">
        <v>293</v>
      </c>
      <c r="E802" s="21" t="s">
        <v>68</v>
      </c>
      <c r="F802" s="21" t="s">
        <v>657</v>
      </c>
      <c r="G802" s="27" t="n">
        <v>60</v>
      </c>
      <c r="H802" s="27" t="n">
        <v>100</v>
      </c>
      <c r="I802" s="27" t="n">
        <v>80</v>
      </c>
      <c r="J802" s="27" t="n">
        <v>80</v>
      </c>
      <c r="K802" s="27" t="n">
        <v>80</v>
      </c>
    </row>
    <row r="803" customFormat="false" ht="36.5" hidden="false" customHeight="false" outlineLevel="0" collapsed="false">
      <c r="A803" s="21" t="n">
        <v>22</v>
      </c>
      <c r="B803" s="21" t="n">
        <v>2022</v>
      </c>
      <c r="C803" s="26" t="n">
        <v>44819</v>
      </c>
      <c r="D803" s="21" t="s">
        <v>293</v>
      </c>
      <c r="E803" s="21" t="s">
        <v>656</v>
      </c>
      <c r="F803" s="21" t="s">
        <v>657</v>
      </c>
      <c r="G803" s="27" t="n">
        <v>50</v>
      </c>
      <c r="H803" s="27" t="n">
        <v>70</v>
      </c>
      <c r="I803" s="27" t="n">
        <v>58.57</v>
      </c>
      <c r="J803" s="27" t="n">
        <v>60</v>
      </c>
      <c r="K803" s="27" t="n">
        <v>60</v>
      </c>
    </row>
    <row r="804" customFormat="false" ht="25" hidden="false" customHeight="false" outlineLevel="0" collapsed="false">
      <c r="A804" s="21" t="n">
        <v>22</v>
      </c>
      <c r="B804" s="21" t="n">
        <v>2022</v>
      </c>
      <c r="C804" s="26" t="n">
        <v>44819</v>
      </c>
      <c r="D804" s="21" t="s">
        <v>692</v>
      </c>
      <c r="E804" s="21" t="s">
        <v>16</v>
      </c>
      <c r="F804" s="21" t="s">
        <v>658</v>
      </c>
      <c r="G804" s="27" t="n">
        <v>36</v>
      </c>
      <c r="H804" s="27" t="n">
        <v>40</v>
      </c>
      <c r="I804" s="27" t="n">
        <v>37.33</v>
      </c>
      <c r="J804" s="27" t="n">
        <v>36</v>
      </c>
      <c r="K804" s="27" t="n">
        <v>36</v>
      </c>
    </row>
    <row r="805" customFormat="false" ht="25" hidden="false" customHeight="false" outlineLevel="0" collapsed="false">
      <c r="A805" s="21" t="n">
        <v>22</v>
      </c>
      <c r="B805" s="21" t="n">
        <v>2022</v>
      </c>
      <c r="C805" s="26" t="n">
        <v>44819</v>
      </c>
      <c r="D805" s="21" t="s">
        <v>692</v>
      </c>
      <c r="E805" s="21" t="s">
        <v>18</v>
      </c>
      <c r="F805" s="21" t="s">
        <v>658</v>
      </c>
      <c r="G805" s="27" t="n">
        <v>54</v>
      </c>
      <c r="H805" s="27" t="n">
        <v>60</v>
      </c>
      <c r="I805" s="27" t="n">
        <v>57</v>
      </c>
      <c r="J805" s="21" t="s">
        <v>556</v>
      </c>
      <c r="K805" s="27" t="n">
        <v>57</v>
      </c>
    </row>
    <row r="806" customFormat="false" ht="25" hidden="false" customHeight="false" outlineLevel="0" collapsed="false">
      <c r="A806" s="21" t="n">
        <v>22</v>
      </c>
      <c r="B806" s="21" t="n">
        <v>2022</v>
      </c>
      <c r="C806" s="26" t="n">
        <v>44819</v>
      </c>
      <c r="D806" s="21" t="s">
        <v>692</v>
      </c>
      <c r="E806" s="21" t="s">
        <v>659</v>
      </c>
      <c r="F806" s="21" t="s">
        <v>658</v>
      </c>
      <c r="G806" s="27" t="n">
        <v>24</v>
      </c>
      <c r="H806" s="27" t="n">
        <v>42</v>
      </c>
      <c r="I806" s="27" t="n">
        <v>28.5</v>
      </c>
      <c r="J806" s="27" t="n">
        <v>24</v>
      </c>
      <c r="K806" s="27" t="n">
        <v>24</v>
      </c>
    </row>
    <row r="807" customFormat="false" ht="25" hidden="false" customHeight="false" outlineLevel="0" collapsed="false">
      <c r="A807" s="21" t="n">
        <v>22</v>
      </c>
      <c r="B807" s="21" t="n">
        <v>2022</v>
      </c>
      <c r="C807" s="26" t="n">
        <v>44819</v>
      </c>
      <c r="D807" s="21" t="s">
        <v>692</v>
      </c>
      <c r="E807" s="21" t="s">
        <v>20</v>
      </c>
      <c r="F807" s="21" t="s">
        <v>696</v>
      </c>
      <c r="G807" s="27" t="n">
        <v>15</v>
      </c>
      <c r="H807" s="27" t="n">
        <v>24</v>
      </c>
      <c r="I807" s="27" t="n">
        <v>17.25</v>
      </c>
      <c r="J807" s="27" t="n">
        <v>15</v>
      </c>
      <c r="K807" s="27" t="n">
        <v>15</v>
      </c>
    </row>
    <row r="808" customFormat="false" ht="25" hidden="false" customHeight="false" outlineLevel="0" collapsed="false">
      <c r="A808" s="21" t="n">
        <v>22</v>
      </c>
      <c r="B808" s="21" t="n">
        <v>2022</v>
      </c>
      <c r="C808" s="26" t="n">
        <v>44819</v>
      </c>
      <c r="D808" s="21" t="s">
        <v>692</v>
      </c>
      <c r="E808" s="21" t="s">
        <v>21</v>
      </c>
      <c r="F808" s="21" t="s">
        <v>658</v>
      </c>
      <c r="G808" s="27" t="n">
        <v>15</v>
      </c>
      <c r="H808" s="27" t="n">
        <v>24</v>
      </c>
      <c r="I808" s="27" t="n">
        <v>17.25</v>
      </c>
      <c r="J808" s="27" t="n">
        <v>15</v>
      </c>
      <c r="K808" s="27" t="n">
        <v>15</v>
      </c>
    </row>
    <row r="809" customFormat="false" ht="25" hidden="false" customHeight="false" outlineLevel="0" collapsed="false">
      <c r="A809" s="21" t="n">
        <v>22</v>
      </c>
      <c r="B809" s="21" t="n">
        <v>2022</v>
      </c>
      <c r="C809" s="26" t="n">
        <v>44819</v>
      </c>
      <c r="D809" s="21" t="s">
        <v>692</v>
      </c>
      <c r="E809" s="21" t="s">
        <v>22</v>
      </c>
      <c r="F809" s="21" t="s">
        <v>658</v>
      </c>
      <c r="G809" s="27" t="n">
        <v>45</v>
      </c>
      <c r="H809" s="27" t="n">
        <v>48</v>
      </c>
      <c r="I809" s="27" t="n">
        <v>46</v>
      </c>
      <c r="J809" s="27" t="n">
        <v>45</v>
      </c>
      <c r="K809" s="27" t="n">
        <v>45</v>
      </c>
    </row>
    <row r="810" customFormat="false" ht="36.5" hidden="false" customHeight="false" outlineLevel="0" collapsed="false">
      <c r="A810" s="21" t="n">
        <v>22</v>
      </c>
      <c r="B810" s="21" t="n">
        <v>2022</v>
      </c>
      <c r="C810" s="26" t="n">
        <v>44819</v>
      </c>
      <c r="D810" s="21" t="s">
        <v>293</v>
      </c>
      <c r="E810" s="21" t="s">
        <v>46</v>
      </c>
      <c r="F810" s="21" t="s">
        <v>660</v>
      </c>
      <c r="G810" s="27" t="n">
        <v>35</v>
      </c>
      <c r="H810" s="27" t="n">
        <v>65</v>
      </c>
      <c r="I810" s="27" t="n">
        <v>50.88</v>
      </c>
      <c r="J810" s="27" t="n">
        <v>60</v>
      </c>
      <c r="K810" s="27" t="n">
        <v>52.5</v>
      </c>
    </row>
    <row r="811" customFormat="false" ht="36.5" hidden="false" customHeight="false" outlineLevel="0" collapsed="false">
      <c r="A811" s="21" t="n">
        <v>22</v>
      </c>
      <c r="B811" s="21" t="n">
        <v>2022</v>
      </c>
      <c r="C811" s="26" t="n">
        <v>44819</v>
      </c>
      <c r="D811" s="21" t="s">
        <v>293</v>
      </c>
      <c r="E811" s="21" t="s">
        <v>48</v>
      </c>
      <c r="F811" s="21" t="s">
        <v>661</v>
      </c>
      <c r="G811" s="27" t="n">
        <v>35</v>
      </c>
      <c r="H811" s="27" t="n">
        <v>65</v>
      </c>
      <c r="I811" s="27" t="n">
        <v>43.75</v>
      </c>
      <c r="J811" s="27" t="n">
        <v>40</v>
      </c>
      <c r="K811" s="27" t="n">
        <v>40</v>
      </c>
    </row>
    <row r="812" customFormat="false" ht="36.5" hidden="false" customHeight="false" outlineLevel="0" collapsed="false">
      <c r="A812" s="21" t="n">
        <v>22</v>
      </c>
      <c r="B812" s="21" t="n">
        <v>2022</v>
      </c>
      <c r="C812" s="26" t="n">
        <v>44819</v>
      </c>
      <c r="D812" s="21" t="s">
        <v>293</v>
      </c>
      <c r="E812" s="21" t="s">
        <v>52</v>
      </c>
      <c r="F812" s="21" t="s">
        <v>661</v>
      </c>
      <c r="G812" s="27" t="n">
        <v>100</v>
      </c>
      <c r="H812" s="27" t="n">
        <v>100</v>
      </c>
      <c r="I812" s="27" t="n">
        <v>100</v>
      </c>
      <c r="J812" s="27" t="n">
        <v>100</v>
      </c>
      <c r="K812" s="27" t="n">
        <v>100</v>
      </c>
    </row>
    <row r="813" customFormat="false" ht="36.5" hidden="false" customHeight="false" outlineLevel="0" collapsed="false">
      <c r="A813" s="21" t="n">
        <v>22</v>
      </c>
      <c r="B813" s="21" t="n">
        <v>2022</v>
      </c>
      <c r="C813" s="26" t="n">
        <v>44819</v>
      </c>
      <c r="D813" s="21" t="s">
        <v>293</v>
      </c>
      <c r="E813" s="21" t="s">
        <v>53</v>
      </c>
      <c r="F813" s="21" t="s">
        <v>662</v>
      </c>
      <c r="G813" s="27" t="n">
        <v>40</v>
      </c>
      <c r="H813" s="27" t="n">
        <v>60</v>
      </c>
      <c r="I813" s="27" t="n">
        <v>50</v>
      </c>
      <c r="J813" s="27" t="n">
        <v>50</v>
      </c>
      <c r="K813" s="27" t="n">
        <v>50</v>
      </c>
    </row>
    <row r="814" customFormat="false" ht="36.5" hidden="false" customHeight="false" outlineLevel="0" collapsed="false">
      <c r="A814" s="21" t="n">
        <v>22</v>
      </c>
      <c r="B814" s="21" t="n">
        <v>2022</v>
      </c>
      <c r="C814" s="26" t="n">
        <v>44819</v>
      </c>
      <c r="D814" s="21" t="s">
        <v>692</v>
      </c>
      <c r="E814" s="21" t="s">
        <v>697</v>
      </c>
      <c r="F814" s="21" t="s">
        <v>658</v>
      </c>
      <c r="G814" s="27" t="n">
        <v>60</v>
      </c>
      <c r="H814" s="27" t="n">
        <v>60</v>
      </c>
      <c r="I814" s="27" t="n">
        <v>60</v>
      </c>
      <c r="J814" s="27" t="n">
        <v>60</v>
      </c>
      <c r="K814" s="27" t="n">
        <v>60</v>
      </c>
    </row>
    <row r="815" customFormat="false" ht="25" hidden="false" customHeight="false" outlineLevel="0" collapsed="false">
      <c r="A815" s="21" t="n">
        <v>22</v>
      </c>
      <c r="B815" s="21" t="n">
        <v>2022</v>
      </c>
      <c r="C815" s="26" t="n">
        <v>44819</v>
      </c>
      <c r="D815" s="21" t="s">
        <v>692</v>
      </c>
      <c r="E815" s="21" t="s">
        <v>24</v>
      </c>
      <c r="F815" s="21" t="s">
        <v>658</v>
      </c>
      <c r="G815" s="27" t="n">
        <v>48</v>
      </c>
      <c r="H815" s="27" t="n">
        <v>60</v>
      </c>
      <c r="I815" s="27" t="n">
        <v>57</v>
      </c>
      <c r="J815" s="27" t="n">
        <v>60</v>
      </c>
      <c r="K815" s="27" t="n">
        <v>60</v>
      </c>
    </row>
    <row r="816" customFormat="false" ht="25" hidden="false" customHeight="false" outlineLevel="0" collapsed="false">
      <c r="A816" s="21" t="n">
        <v>22</v>
      </c>
      <c r="B816" s="21" t="n">
        <v>2022</v>
      </c>
      <c r="C816" s="26" t="n">
        <v>44819</v>
      </c>
      <c r="D816" s="21" t="s">
        <v>69</v>
      </c>
      <c r="E816" s="21" t="s">
        <v>70</v>
      </c>
      <c r="F816" s="21" t="s">
        <v>657</v>
      </c>
      <c r="G816" s="21" t="s">
        <v>556</v>
      </c>
      <c r="H816" s="21" t="s">
        <v>556</v>
      </c>
      <c r="I816" s="21" t="s">
        <v>556</v>
      </c>
      <c r="J816" s="21" t="s">
        <v>556</v>
      </c>
      <c r="K816" s="21" t="s">
        <v>556</v>
      </c>
    </row>
    <row r="817" customFormat="false" ht="25" hidden="false" customHeight="false" outlineLevel="0" collapsed="false">
      <c r="A817" s="21" t="n">
        <v>22</v>
      </c>
      <c r="B817" s="21" t="n">
        <v>2022</v>
      </c>
      <c r="C817" s="26" t="n">
        <v>44819</v>
      </c>
      <c r="D817" s="21" t="s">
        <v>69</v>
      </c>
      <c r="E817" s="21" t="s">
        <v>681</v>
      </c>
      <c r="F817" s="21" t="s">
        <v>657</v>
      </c>
      <c r="G817" s="21" t="s">
        <v>556</v>
      </c>
      <c r="H817" s="21" t="s">
        <v>556</v>
      </c>
      <c r="I817" s="21" t="s">
        <v>556</v>
      </c>
      <c r="J817" s="21" t="s">
        <v>556</v>
      </c>
      <c r="K817" s="21" t="s">
        <v>556</v>
      </c>
    </row>
    <row r="818" customFormat="false" ht="25" hidden="false" customHeight="false" outlineLevel="0" collapsed="false">
      <c r="A818" s="21" t="n">
        <v>22</v>
      </c>
      <c r="B818" s="21" t="n">
        <v>2022</v>
      </c>
      <c r="C818" s="26" t="n">
        <v>44819</v>
      </c>
      <c r="D818" s="21" t="s">
        <v>69</v>
      </c>
      <c r="E818" s="21" t="s">
        <v>72</v>
      </c>
      <c r="F818" s="21" t="s">
        <v>657</v>
      </c>
      <c r="G818" s="21" t="s">
        <v>556</v>
      </c>
      <c r="H818" s="21" t="s">
        <v>556</v>
      </c>
      <c r="I818" s="21" t="s">
        <v>556</v>
      </c>
      <c r="J818" s="21" t="s">
        <v>556</v>
      </c>
      <c r="K818" s="21" t="s">
        <v>556</v>
      </c>
    </row>
    <row r="819" customFormat="false" ht="48" hidden="false" customHeight="false" outlineLevel="0" collapsed="false">
      <c r="A819" s="21" t="n">
        <v>22</v>
      </c>
      <c r="B819" s="21" t="n">
        <v>2022</v>
      </c>
      <c r="C819" s="26" t="n">
        <v>44819</v>
      </c>
      <c r="D819" s="21" t="s">
        <v>693</v>
      </c>
      <c r="E819" s="21" t="s">
        <v>35</v>
      </c>
      <c r="F819" s="21" t="s">
        <v>664</v>
      </c>
      <c r="G819" s="27" t="n">
        <v>3</v>
      </c>
      <c r="H819" s="27" t="n">
        <v>4.5</v>
      </c>
      <c r="I819" s="27" t="n">
        <v>3.88</v>
      </c>
      <c r="J819" s="27" t="n">
        <v>4</v>
      </c>
      <c r="K819" s="27" t="n">
        <v>4</v>
      </c>
    </row>
    <row r="820" customFormat="false" ht="36.5" hidden="false" customHeight="false" outlineLevel="0" collapsed="false">
      <c r="A820" s="21" t="n">
        <v>22</v>
      </c>
      <c r="B820" s="21" t="n">
        <v>2022</v>
      </c>
      <c r="C820" s="26" t="n">
        <v>44819</v>
      </c>
      <c r="D820" s="21" t="s">
        <v>293</v>
      </c>
      <c r="E820" s="21" t="s">
        <v>56</v>
      </c>
      <c r="F820" s="21" t="s">
        <v>660</v>
      </c>
      <c r="G820" s="27" t="n">
        <v>45</v>
      </c>
      <c r="H820" s="27" t="n">
        <v>60</v>
      </c>
      <c r="I820" s="27" t="n">
        <v>52.5</v>
      </c>
      <c r="J820" s="27" t="n">
        <v>50</v>
      </c>
      <c r="K820" s="27" t="n">
        <v>50</v>
      </c>
    </row>
    <row r="821" customFormat="false" ht="36.5" hidden="false" customHeight="false" outlineLevel="0" collapsed="false">
      <c r="A821" s="21" t="n">
        <v>22</v>
      </c>
      <c r="B821" s="21" t="n">
        <v>2022</v>
      </c>
      <c r="C821" s="26" t="n">
        <v>44819</v>
      </c>
      <c r="D821" s="21" t="s">
        <v>293</v>
      </c>
      <c r="E821" s="21" t="s">
        <v>57</v>
      </c>
      <c r="F821" s="21" t="s">
        <v>665</v>
      </c>
      <c r="G821" s="27" t="n">
        <v>55</v>
      </c>
      <c r="H821" s="27" t="n">
        <v>70</v>
      </c>
      <c r="I821" s="27" t="n">
        <v>61.43</v>
      </c>
      <c r="J821" s="27" t="n">
        <v>60</v>
      </c>
      <c r="K821" s="27" t="n">
        <v>60</v>
      </c>
    </row>
    <row r="822" customFormat="false" ht="48" hidden="false" customHeight="false" outlineLevel="0" collapsed="false">
      <c r="A822" s="21" t="n">
        <v>22</v>
      </c>
      <c r="B822" s="21" t="n">
        <v>2022</v>
      </c>
      <c r="C822" s="26" t="n">
        <v>44819</v>
      </c>
      <c r="D822" s="21" t="s">
        <v>693</v>
      </c>
      <c r="E822" s="21" t="s">
        <v>38</v>
      </c>
      <c r="F822" s="21" t="s">
        <v>694</v>
      </c>
      <c r="G822" s="27" t="n">
        <v>8</v>
      </c>
      <c r="H822" s="27" t="n">
        <v>12</v>
      </c>
      <c r="I822" s="27" t="n">
        <v>10.5</v>
      </c>
      <c r="J822" s="27" t="n">
        <v>12</v>
      </c>
      <c r="K822" s="27" t="n">
        <v>11</v>
      </c>
    </row>
    <row r="823" customFormat="false" ht="25" hidden="false" customHeight="false" outlineLevel="0" collapsed="false">
      <c r="A823" s="21" t="n">
        <v>22</v>
      </c>
      <c r="B823" s="21" t="n">
        <v>2022</v>
      </c>
      <c r="C823" s="26" t="n">
        <v>44819</v>
      </c>
      <c r="D823" s="21" t="s">
        <v>692</v>
      </c>
      <c r="E823" s="21" t="s">
        <v>666</v>
      </c>
      <c r="F823" s="21" t="s">
        <v>658</v>
      </c>
      <c r="G823" s="27" t="n">
        <v>15</v>
      </c>
      <c r="H823" s="27" t="n">
        <v>24</v>
      </c>
      <c r="I823" s="27" t="n">
        <v>18.5</v>
      </c>
      <c r="J823" s="27" t="n">
        <v>15</v>
      </c>
      <c r="K823" s="27" t="n">
        <v>17.5</v>
      </c>
    </row>
    <row r="824" customFormat="false" ht="25" hidden="false" customHeight="false" outlineLevel="0" collapsed="false">
      <c r="A824" s="21" t="n">
        <v>22</v>
      </c>
      <c r="B824" s="21" t="n">
        <v>2022</v>
      </c>
      <c r="C824" s="26" t="n">
        <v>44819</v>
      </c>
      <c r="D824" s="21" t="s">
        <v>692</v>
      </c>
      <c r="E824" s="21" t="s">
        <v>77</v>
      </c>
      <c r="F824" s="21" t="s">
        <v>658</v>
      </c>
      <c r="G824" s="27" t="n">
        <v>50</v>
      </c>
      <c r="H824" s="27" t="n">
        <v>60</v>
      </c>
      <c r="I824" s="27" t="n">
        <v>54.14</v>
      </c>
      <c r="J824" s="27" t="n">
        <v>50</v>
      </c>
      <c r="K824" s="27" t="n">
        <v>54</v>
      </c>
    </row>
    <row r="825" customFormat="false" ht="25" hidden="false" customHeight="false" outlineLevel="0" collapsed="false">
      <c r="A825" s="21" t="n">
        <v>22</v>
      </c>
      <c r="B825" s="21" t="n">
        <v>2022</v>
      </c>
      <c r="C825" s="26" t="n">
        <v>44819</v>
      </c>
      <c r="D825" s="21" t="s">
        <v>692</v>
      </c>
      <c r="E825" s="21" t="s">
        <v>27</v>
      </c>
      <c r="F825" s="21" t="s">
        <v>696</v>
      </c>
      <c r="G825" s="27" t="n">
        <v>15</v>
      </c>
      <c r="H825" s="27" t="n">
        <v>24</v>
      </c>
      <c r="I825" s="27" t="n">
        <v>18</v>
      </c>
      <c r="J825" s="27" t="n">
        <v>15</v>
      </c>
      <c r="K825" s="27" t="n">
        <v>16.5</v>
      </c>
    </row>
    <row r="826" customFormat="false" ht="25" hidden="false" customHeight="false" outlineLevel="0" collapsed="false">
      <c r="A826" s="21" t="n">
        <v>22</v>
      </c>
      <c r="B826" s="21" t="n">
        <v>2022</v>
      </c>
      <c r="C826" s="26" t="n">
        <v>44819</v>
      </c>
      <c r="D826" s="21" t="s">
        <v>692</v>
      </c>
      <c r="E826" s="21" t="s">
        <v>28</v>
      </c>
      <c r="F826" s="21" t="s">
        <v>658</v>
      </c>
      <c r="G826" s="27" t="n">
        <v>48</v>
      </c>
      <c r="H826" s="27" t="n">
        <v>54</v>
      </c>
      <c r="I826" s="27" t="n">
        <v>51</v>
      </c>
      <c r="J826" s="21" t="s">
        <v>556</v>
      </c>
      <c r="K826" s="27" t="n">
        <v>51</v>
      </c>
    </row>
    <row r="827" customFormat="false" ht="25" hidden="false" customHeight="false" outlineLevel="0" collapsed="false">
      <c r="A827" s="21" t="n">
        <v>22</v>
      </c>
      <c r="B827" s="21" t="n">
        <v>2022</v>
      </c>
      <c r="C827" s="26" t="n">
        <v>44819</v>
      </c>
      <c r="D827" s="21" t="s">
        <v>69</v>
      </c>
      <c r="E827" s="21" t="s">
        <v>73</v>
      </c>
      <c r="F827" s="21" t="s">
        <v>661</v>
      </c>
      <c r="G827" s="27" t="n">
        <v>50</v>
      </c>
      <c r="H827" s="27" t="n">
        <v>50</v>
      </c>
      <c r="I827" s="27" t="n">
        <v>50</v>
      </c>
      <c r="J827" s="21" t="s">
        <v>556</v>
      </c>
      <c r="K827" s="27" t="n">
        <v>50</v>
      </c>
    </row>
    <row r="828" customFormat="false" ht="36.5" hidden="false" customHeight="false" outlineLevel="0" collapsed="false">
      <c r="A828" s="21" t="n">
        <v>22</v>
      </c>
      <c r="B828" s="21" t="n">
        <v>2022</v>
      </c>
      <c r="C828" s="26" t="n">
        <v>44819</v>
      </c>
      <c r="D828" s="21" t="s">
        <v>293</v>
      </c>
      <c r="E828" s="21" t="s">
        <v>58</v>
      </c>
      <c r="F828" s="21" t="s">
        <v>657</v>
      </c>
      <c r="G828" s="27" t="n">
        <v>65</v>
      </c>
      <c r="H828" s="27" t="n">
        <v>80</v>
      </c>
      <c r="I828" s="27" t="n">
        <v>70.71</v>
      </c>
      <c r="J828" s="27" t="n">
        <v>70</v>
      </c>
      <c r="K828" s="27" t="n">
        <v>70</v>
      </c>
    </row>
    <row r="829" customFormat="false" ht="25" hidden="false" customHeight="false" outlineLevel="0" collapsed="false">
      <c r="A829" s="21" t="n">
        <v>22</v>
      </c>
      <c r="B829" s="21" t="n">
        <v>2022</v>
      </c>
      <c r="C829" s="26" t="n">
        <v>44819</v>
      </c>
      <c r="D829" s="21" t="s">
        <v>69</v>
      </c>
      <c r="E829" s="21" t="s">
        <v>74</v>
      </c>
      <c r="F829" s="21" t="s">
        <v>667</v>
      </c>
      <c r="G829" s="21" t="s">
        <v>556</v>
      </c>
      <c r="H829" s="21" t="s">
        <v>556</v>
      </c>
      <c r="I829" s="21" t="s">
        <v>556</v>
      </c>
      <c r="J829" s="21" t="s">
        <v>556</v>
      </c>
      <c r="K829" s="21" t="s">
        <v>556</v>
      </c>
    </row>
    <row r="830" customFormat="false" ht="36.5" hidden="false" customHeight="false" outlineLevel="0" collapsed="false">
      <c r="A830" s="21" t="n">
        <v>22</v>
      </c>
      <c r="B830" s="21" t="n">
        <v>2022</v>
      </c>
      <c r="C830" s="26" t="n">
        <v>44819</v>
      </c>
      <c r="D830" s="21" t="s">
        <v>293</v>
      </c>
      <c r="E830" s="21" t="s">
        <v>61</v>
      </c>
      <c r="F830" s="21" t="s">
        <v>657</v>
      </c>
      <c r="G830" s="27" t="n">
        <v>50</v>
      </c>
      <c r="H830" s="27" t="n">
        <v>80</v>
      </c>
      <c r="I830" s="27" t="n">
        <v>63.57</v>
      </c>
      <c r="J830" s="27" t="n">
        <v>60</v>
      </c>
      <c r="K830" s="27" t="n">
        <v>60</v>
      </c>
    </row>
    <row r="831" customFormat="false" ht="36.5" hidden="false" customHeight="false" outlineLevel="0" collapsed="false">
      <c r="A831" s="21" t="n">
        <v>22</v>
      </c>
      <c r="B831" s="21" t="n">
        <v>2022</v>
      </c>
      <c r="C831" s="26" t="n">
        <v>44819</v>
      </c>
      <c r="D831" s="21" t="s">
        <v>293</v>
      </c>
      <c r="E831" s="21" t="s">
        <v>62</v>
      </c>
      <c r="F831" s="21" t="s">
        <v>695</v>
      </c>
      <c r="G831" s="27" t="n">
        <v>70</v>
      </c>
      <c r="H831" s="27" t="n">
        <v>90</v>
      </c>
      <c r="I831" s="27" t="n">
        <v>82.14</v>
      </c>
      <c r="J831" s="27" t="n">
        <v>80</v>
      </c>
      <c r="K831" s="27" t="n">
        <v>80</v>
      </c>
    </row>
    <row r="832" customFormat="false" ht="36.5" hidden="false" customHeight="false" outlineLevel="0" collapsed="false">
      <c r="A832" s="21" t="n">
        <v>22</v>
      </c>
      <c r="B832" s="21" t="n">
        <v>2022</v>
      </c>
      <c r="C832" s="26" t="n">
        <v>44819</v>
      </c>
      <c r="D832" s="21" t="s">
        <v>293</v>
      </c>
      <c r="E832" s="21" t="s">
        <v>63</v>
      </c>
      <c r="F832" s="21" t="s">
        <v>661</v>
      </c>
      <c r="G832" s="27" t="n">
        <v>40</v>
      </c>
      <c r="H832" s="27" t="n">
        <v>55</v>
      </c>
      <c r="I832" s="27" t="n">
        <v>46.43</v>
      </c>
      <c r="J832" s="27" t="n">
        <v>45</v>
      </c>
      <c r="K832" s="27" t="n">
        <v>45</v>
      </c>
    </row>
    <row r="833" customFormat="false" ht="36.5" hidden="false" customHeight="false" outlineLevel="0" collapsed="false">
      <c r="A833" s="21" t="n">
        <v>22</v>
      </c>
      <c r="B833" s="21" t="n">
        <v>2022</v>
      </c>
      <c r="C833" s="26" t="n">
        <v>44819</v>
      </c>
      <c r="D833" s="21" t="s">
        <v>293</v>
      </c>
      <c r="E833" s="21" t="s">
        <v>64</v>
      </c>
      <c r="F833" s="21" t="s">
        <v>661</v>
      </c>
      <c r="G833" s="27" t="n">
        <v>90</v>
      </c>
      <c r="H833" s="27" t="n">
        <v>120</v>
      </c>
      <c r="I833" s="27" t="n">
        <v>110</v>
      </c>
      <c r="J833" s="27" t="n">
        <v>110</v>
      </c>
      <c r="K833" s="27" t="n">
        <v>110</v>
      </c>
    </row>
    <row r="834" customFormat="false" ht="25" hidden="false" customHeight="false" outlineLevel="0" collapsed="false">
      <c r="A834" s="21" t="n">
        <v>22</v>
      </c>
      <c r="B834" s="21" t="n">
        <v>2022</v>
      </c>
      <c r="C834" s="26" t="n">
        <v>44819</v>
      </c>
      <c r="D834" s="21" t="s">
        <v>692</v>
      </c>
      <c r="E834" s="21" t="s">
        <v>29</v>
      </c>
      <c r="F834" s="21" t="s">
        <v>658</v>
      </c>
      <c r="G834" s="27" t="n">
        <v>42</v>
      </c>
      <c r="H834" s="27" t="n">
        <v>48</v>
      </c>
      <c r="I834" s="27" t="n">
        <v>45</v>
      </c>
      <c r="J834" s="21" t="s">
        <v>556</v>
      </c>
      <c r="K834" s="27" t="n">
        <v>45</v>
      </c>
    </row>
    <row r="835" customFormat="false" ht="25" hidden="false" customHeight="false" outlineLevel="0" collapsed="false">
      <c r="A835" s="21" t="n">
        <v>22</v>
      </c>
      <c r="B835" s="21" t="n">
        <v>2022</v>
      </c>
      <c r="C835" s="26" t="n">
        <v>44819</v>
      </c>
      <c r="D835" s="21" t="s">
        <v>692</v>
      </c>
      <c r="E835" s="21" t="s">
        <v>31</v>
      </c>
      <c r="F835" s="21" t="s">
        <v>658</v>
      </c>
      <c r="G835" s="27" t="n">
        <v>36</v>
      </c>
      <c r="H835" s="27" t="n">
        <v>60</v>
      </c>
      <c r="I835" s="27" t="n">
        <v>45.33</v>
      </c>
      <c r="J835" s="21" t="s">
        <v>556</v>
      </c>
      <c r="K835" s="27" t="n">
        <v>40</v>
      </c>
    </row>
    <row r="836" customFormat="false" ht="25" hidden="false" customHeight="false" outlineLevel="0" collapsed="false">
      <c r="A836" s="21" t="n">
        <v>22</v>
      </c>
      <c r="B836" s="21" t="n">
        <v>2022</v>
      </c>
      <c r="C836" s="26" t="n">
        <v>44819</v>
      </c>
      <c r="D836" s="21" t="s">
        <v>692</v>
      </c>
      <c r="E836" s="21" t="s">
        <v>668</v>
      </c>
      <c r="F836" s="21" t="s">
        <v>658</v>
      </c>
      <c r="G836" s="27" t="n">
        <v>18</v>
      </c>
      <c r="H836" s="27" t="n">
        <v>30</v>
      </c>
      <c r="I836" s="27" t="n">
        <v>24.2</v>
      </c>
      <c r="J836" s="27" t="n">
        <v>24</v>
      </c>
      <c r="K836" s="27" t="n">
        <v>24</v>
      </c>
    </row>
    <row r="837" customFormat="false" ht="25" hidden="false" customHeight="false" outlineLevel="0" collapsed="false">
      <c r="A837" s="21" t="n">
        <v>22</v>
      </c>
      <c r="B837" s="21" t="n">
        <v>2022</v>
      </c>
      <c r="C837" s="26" t="n">
        <v>44819</v>
      </c>
      <c r="D837" s="21" t="s">
        <v>692</v>
      </c>
      <c r="E837" s="21" t="s">
        <v>33</v>
      </c>
      <c r="F837" s="21" t="s">
        <v>658</v>
      </c>
      <c r="G837" s="27" t="n">
        <v>30</v>
      </c>
      <c r="H837" s="27" t="n">
        <v>42</v>
      </c>
      <c r="I837" s="27" t="n">
        <v>38</v>
      </c>
      <c r="J837" s="27" t="n">
        <v>42</v>
      </c>
      <c r="K837" s="27" t="n">
        <v>42</v>
      </c>
    </row>
    <row r="838" customFormat="false" ht="48" hidden="false" customHeight="false" outlineLevel="0" collapsed="false">
      <c r="A838" s="21" t="n">
        <v>22</v>
      </c>
      <c r="B838" s="21" t="n">
        <v>2022</v>
      </c>
      <c r="C838" s="26" t="n">
        <v>44819</v>
      </c>
      <c r="D838" s="21" t="s">
        <v>693</v>
      </c>
      <c r="E838" s="21" t="s">
        <v>669</v>
      </c>
      <c r="F838" s="21" t="s">
        <v>682</v>
      </c>
      <c r="G838" s="27" t="n">
        <v>15</v>
      </c>
      <c r="H838" s="27" t="n">
        <v>20</v>
      </c>
      <c r="I838" s="27" t="n">
        <v>18.33</v>
      </c>
      <c r="J838" s="27" t="n">
        <v>20</v>
      </c>
      <c r="K838" s="27" t="n">
        <v>20</v>
      </c>
    </row>
    <row r="839" customFormat="false" ht="36.5" hidden="false" customHeight="false" outlineLevel="0" collapsed="false">
      <c r="A839" s="21" t="n">
        <v>22</v>
      </c>
      <c r="B839" s="21" t="n">
        <v>2022</v>
      </c>
      <c r="C839" s="26" t="n">
        <v>44819</v>
      </c>
      <c r="D839" s="21" t="s">
        <v>293</v>
      </c>
      <c r="E839" s="21" t="s">
        <v>67</v>
      </c>
      <c r="F839" s="21" t="s">
        <v>662</v>
      </c>
      <c r="G839" s="27" t="n">
        <v>50</v>
      </c>
      <c r="H839" s="27" t="n">
        <v>80</v>
      </c>
      <c r="I839" s="27" t="n">
        <v>63.13</v>
      </c>
      <c r="J839" s="27" t="n">
        <v>60</v>
      </c>
      <c r="K839" s="27" t="n">
        <v>60</v>
      </c>
    </row>
    <row r="840" customFormat="false" ht="36.5" hidden="false" customHeight="false" outlineLevel="0" collapsed="false">
      <c r="A840" s="21" t="n">
        <v>22</v>
      </c>
      <c r="B840" s="21" t="n">
        <v>2022</v>
      </c>
      <c r="C840" s="26" t="n">
        <v>44819</v>
      </c>
      <c r="D840" s="21" t="s">
        <v>293</v>
      </c>
      <c r="E840" s="21" t="s">
        <v>68</v>
      </c>
      <c r="F840" s="21" t="s">
        <v>657</v>
      </c>
      <c r="G840" s="27" t="n">
        <v>80</v>
      </c>
      <c r="H840" s="27" t="n">
        <v>120</v>
      </c>
      <c r="I840" s="27" t="n">
        <v>95.71</v>
      </c>
      <c r="J840" s="27" t="n">
        <v>100</v>
      </c>
      <c r="K840" s="27" t="n">
        <v>100</v>
      </c>
    </row>
    <row r="841" customFormat="false" ht="36.5" hidden="false" customHeight="false" outlineLevel="0" collapsed="false">
      <c r="A841" s="21" t="n">
        <v>23</v>
      </c>
      <c r="B841" s="21" t="n">
        <v>2022</v>
      </c>
      <c r="C841" s="26" t="n">
        <v>44826</v>
      </c>
      <c r="D841" s="21" t="s">
        <v>293</v>
      </c>
      <c r="E841" s="21" t="s">
        <v>656</v>
      </c>
      <c r="F841" s="21" t="s">
        <v>657</v>
      </c>
      <c r="G841" s="27" t="n">
        <v>25</v>
      </c>
      <c r="H841" s="27" t="n">
        <v>70</v>
      </c>
      <c r="I841" s="27" t="n">
        <v>47.86</v>
      </c>
      <c r="J841" s="27" t="n">
        <v>50</v>
      </c>
      <c r="K841" s="27" t="n">
        <v>50</v>
      </c>
    </row>
    <row r="842" customFormat="false" ht="25" hidden="false" customHeight="false" outlineLevel="0" collapsed="false">
      <c r="A842" s="21" t="n">
        <v>23</v>
      </c>
      <c r="B842" s="21" t="n">
        <v>2022</v>
      </c>
      <c r="C842" s="26" t="n">
        <v>44826</v>
      </c>
      <c r="D842" s="21" t="s">
        <v>692</v>
      </c>
      <c r="E842" s="21" t="s">
        <v>16</v>
      </c>
      <c r="F842" s="21" t="s">
        <v>658</v>
      </c>
      <c r="G842" s="27" t="n">
        <v>36</v>
      </c>
      <c r="H842" s="27" t="n">
        <v>54</v>
      </c>
      <c r="I842" s="27" t="n">
        <v>45</v>
      </c>
      <c r="J842" s="21" t="s">
        <v>556</v>
      </c>
      <c r="K842" s="27" t="n">
        <v>45</v>
      </c>
    </row>
    <row r="843" customFormat="false" ht="25" hidden="false" customHeight="false" outlineLevel="0" collapsed="false">
      <c r="A843" s="21" t="n">
        <v>23</v>
      </c>
      <c r="B843" s="21" t="n">
        <v>2022</v>
      </c>
      <c r="C843" s="26" t="n">
        <v>44826</v>
      </c>
      <c r="D843" s="21" t="s">
        <v>692</v>
      </c>
      <c r="E843" s="21" t="s">
        <v>18</v>
      </c>
      <c r="F843" s="21" t="s">
        <v>658</v>
      </c>
      <c r="G843" s="27" t="n">
        <v>42</v>
      </c>
      <c r="H843" s="27" t="n">
        <v>60</v>
      </c>
      <c r="I843" s="27" t="n">
        <v>51</v>
      </c>
      <c r="J843" s="21" t="s">
        <v>556</v>
      </c>
      <c r="K843" s="27" t="n">
        <v>51</v>
      </c>
    </row>
    <row r="844" customFormat="false" ht="25" hidden="false" customHeight="false" outlineLevel="0" collapsed="false">
      <c r="A844" s="21" t="n">
        <v>23</v>
      </c>
      <c r="B844" s="21" t="n">
        <v>2022</v>
      </c>
      <c r="C844" s="26" t="n">
        <v>44826</v>
      </c>
      <c r="D844" s="21" t="s">
        <v>692</v>
      </c>
      <c r="E844" s="21" t="s">
        <v>659</v>
      </c>
      <c r="F844" s="21" t="s">
        <v>658</v>
      </c>
      <c r="G844" s="27" t="n">
        <v>20</v>
      </c>
      <c r="H844" s="27" t="n">
        <v>42</v>
      </c>
      <c r="I844" s="27" t="n">
        <v>31</v>
      </c>
      <c r="J844" s="21" t="s">
        <v>556</v>
      </c>
      <c r="K844" s="27" t="n">
        <v>31</v>
      </c>
    </row>
    <row r="845" customFormat="false" ht="25" hidden="false" customHeight="false" outlineLevel="0" collapsed="false">
      <c r="A845" s="21" t="n">
        <v>23</v>
      </c>
      <c r="B845" s="21" t="n">
        <v>2022</v>
      </c>
      <c r="C845" s="26" t="n">
        <v>44826</v>
      </c>
      <c r="D845" s="21" t="s">
        <v>692</v>
      </c>
      <c r="E845" s="21" t="s">
        <v>20</v>
      </c>
      <c r="F845" s="21" t="s">
        <v>658</v>
      </c>
      <c r="G845" s="27" t="n">
        <v>12.5</v>
      </c>
      <c r="H845" s="27" t="n">
        <v>24</v>
      </c>
      <c r="I845" s="27" t="n">
        <v>18.25</v>
      </c>
      <c r="J845" s="21" t="s">
        <v>556</v>
      </c>
      <c r="K845" s="27" t="n">
        <v>18.25</v>
      </c>
    </row>
    <row r="846" customFormat="false" ht="25" hidden="false" customHeight="false" outlineLevel="0" collapsed="false">
      <c r="A846" s="21" t="n">
        <v>23</v>
      </c>
      <c r="B846" s="21" t="n">
        <v>2022</v>
      </c>
      <c r="C846" s="26" t="n">
        <v>44826</v>
      </c>
      <c r="D846" s="21" t="s">
        <v>692</v>
      </c>
      <c r="E846" s="21" t="s">
        <v>21</v>
      </c>
      <c r="F846" s="21" t="s">
        <v>658</v>
      </c>
      <c r="G846" s="27" t="n">
        <v>12.5</v>
      </c>
      <c r="H846" s="27" t="n">
        <v>24</v>
      </c>
      <c r="I846" s="27" t="n">
        <v>18.25</v>
      </c>
      <c r="J846" s="21" t="s">
        <v>556</v>
      </c>
      <c r="K846" s="27" t="n">
        <v>18.25</v>
      </c>
    </row>
    <row r="847" customFormat="false" ht="25" hidden="false" customHeight="false" outlineLevel="0" collapsed="false">
      <c r="A847" s="21" t="n">
        <v>23</v>
      </c>
      <c r="B847" s="21" t="n">
        <v>2022</v>
      </c>
      <c r="C847" s="26" t="n">
        <v>44826</v>
      </c>
      <c r="D847" s="21" t="s">
        <v>692</v>
      </c>
      <c r="E847" s="21" t="s">
        <v>22</v>
      </c>
      <c r="F847" s="21" t="s">
        <v>658</v>
      </c>
      <c r="G847" s="27" t="n">
        <v>48</v>
      </c>
      <c r="H847" s="27" t="n">
        <v>54</v>
      </c>
      <c r="I847" s="27" t="n">
        <v>51</v>
      </c>
      <c r="J847" s="21" t="s">
        <v>556</v>
      </c>
      <c r="K847" s="27" t="n">
        <v>51</v>
      </c>
    </row>
    <row r="848" customFormat="false" ht="36.5" hidden="false" customHeight="false" outlineLevel="0" collapsed="false">
      <c r="A848" s="21" t="n">
        <v>23</v>
      </c>
      <c r="B848" s="21" t="n">
        <v>2022</v>
      </c>
      <c r="C848" s="26" t="n">
        <v>44826</v>
      </c>
      <c r="D848" s="21" t="s">
        <v>293</v>
      </c>
      <c r="E848" s="21" t="s">
        <v>46</v>
      </c>
      <c r="F848" s="21" t="s">
        <v>660</v>
      </c>
      <c r="G848" s="27" t="n">
        <v>35</v>
      </c>
      <c r="H848" s="27" t="n">
        <v>65</v>
      </c>
      <c r="I848" s="27" t="n">
        <v>52.5</v>
      </c>
      <c r="J848" s="27" t="n">
        <v>60</v>
      </c>
      <c r="K848" s="27" t="n">
        <v>60</v>
      </c>
    </row>
    <row r="849" customFormat="false" ht="36.5" hidden="false" customHeight="false" outlineLevel="0" collapsed="false">
      <c r="A849" s="21" t="n">
        <v>23</v>
      </c>
      <c r="B849" s="21" t="n">
        <v>2022</v>
      </c>
      <c r="C849" s="26" t="n">
        <v>44826</v>
      </c>
      <c r="D849" s="21" t="s">
        <v>293</v>
      </c>
      <c r="E849" s="21" t="s">
        <v>48</v>
      </c>
      <c r="F849" s="21" t="s">
        <v>661</v>
      </c>
      <c r="G849" s="27" t="n">
        <v>35</v>
      </c>
      <c r="H849" s="27" t="n">
        <v>50</v>
      </c>
      <c r="I849" s="27" t="n">
        <v>40.56</v>
      </c>
      <c r="J849" s="27" t="n">
        <v>35</v>
      </c>
      <c r="K849" s="27" t="n">
        <v>40</v>
      </c>
    </row>
    <row r="850" customFormat="false" ht="36.5" hidden="false" customHeight="false" outlineLevel="0" collapsed="false">
      <c r="A850" s="21" t="n">
        <v>23</v>
      </c>
      <c r="B850" s="21" t="n">
        <v>2022</v>
      </c>
      <c r="C850" s="26" t="n">
        <v>44826</v>
      </c>
      <c r="D850" s="21" t="s">
        <v>293</v>
      </c>
      <c r="E850" s="21" t="s">
        <v>52</v>
      </c>
      <c r="F850" s="21" t="s">
        <v>661</v>
      </c>
      <c r="G850" s="27" t="n">
        <v>90</v>
      </c>
      <c r="H850" s="27" t="n">
        <v>100</v>
      </c>
      <c r="I850" s="27" t="n">
        <v>96.67</v>
      </c>
      <c r="J850" s="27" t="n">
        <v>100</v>
      </c>
      <c r="K850" s="27" t="n">
        <v>100</v>
      </c>
    </row>
    <row r="851" customFormat="false" ht="36.5" hidden="false" customHeight="false" outlineLevel="0" collapsed="false">
      <c r="A851" s="21" t="n">
        <v>23</v>
      </c>
      <c r="B851" s="21" t="n">
        <v>2022</v>
      </c>
      <c r="C851" s="26" t="n">
        <v>44826</v>
      </c>
      <c r="D851" s="21" t="s">
        <v>293</v>
      </c>
      <c r="E851" s="21" t="s">
        <v>53</v>
      </c>
      <c r="F851" s="21" t="s">
        <v>662</v>
      </c>
      <c r="G851" s="27" t="n">
        <v>35</v>
      </c>
      <c r="H851" s="27" t="n">
        <v>55</v>
      </c>
      <c r="I851" s="27" t="n">
        <v>48.29</v>
      </c>
      <c r="J851" s="27" t="n">
        <v>50</v>
      </c>
      <c r="K851" s="27" t="n">
        <v>50</v>
      </c>
    </row>
    <row r="852" customFormat="false" ht="36.5" hidden="false" customHeight="false" outlineLevel="0" collapsed="false">
      <c r="A852" s="21" t="n">
        <v>23</v>
      </c>
      <c r="B852" s="21" t="n">
        <v>2022</v>
      </c>
      <c r="C852" s="26" t="n">
        <v>44826</v>
      </c>
      <c r="D852" s="21" t="s">
        <v>692</v>
      </c>
      <c r="E852" s="21" t="s">
        <v>697</v>
      </c>
      <c r="F852" s="21" t="s">
        <v>658</v>
      </c>
      <c r="G852" s="27" t="n">
        <v>54</v>
      </c>
      <c r="H852" s="27" t="n">
        <v>60</v>
      </c>
      <c r="I852" s="27" t="n">
        <v>57</v>
      </c>
      <c r="J852" s="21" t="s">
        <v>556</v>
      </c>
      <c r="K852" s="27" t="n">
        <v>57</v>
      </c>
    </row>
    <row r="853" customFormat="false" ht="25" hidden="false" customHeight="false" outlineLevel="0" collapsed="false">
      <c r="A853" s="21" t="n">
        <v>23</v>
      </c>
      <c r="B853" s="21" t="n">
        <v>2022</v>
      </c>
      <c r="C853" s="26" t="n">
        <v>44826</v>
      </c>
      <c r="D853" s="21" t="s">
        <v>692</v>
      </c>
      <c r="E853" s="21" t="s">
        <v>24</v>
      </c>
      <c r="F853" s="21" t="s">
        <v>658</v>
      </c>
      <c r="G853" s="27" t="n">
        <v>60</v>
      </c>
      <c r="H853" s="27" t="n">
        <v>60</v>
      </c>
      <c r="I853" s="27" t="n">
        <v>60</v>
      </c>
      <c r="J853" s="27" t="n">
        <v>60</v>
      </c>
      <c r="K853" s="27" t="n">
        <v>60</v>
      </c>
    </row>
    <row r="854" customFormat="false" ht="25" hidden="false" customHeight="false" outlineLevel="0" collapsed="false">
      <c r="A854" s="21" t="n">
        <v>23</v>
      </c>
      <c r="B854" s="21" t="n">
        <v>2022</v>
      </c>
      <c r="C854" s="26" t="n">
        <v>44826</v>
      </c>
      <c r="D854" s="21" t="s">
        <v>69</v>
      </c>
      <c r="E854" s="21" t="s">
        <v>70</v>
      </c>
      <c r="F854" s="21" t="s">
        <v>657</v>
      </c>
      <c r="G854" s="21" t="s">
        <v>556</v>
      </c>
      <c r="H854" s="21" t="s">
        <v>556</v>
      </c>
      <c r="I854" s="21" t="s">
        <v>556</v>
      </c>
      <c r="J854" s="21" t="s">
        <v>556</v>
      </c>
      <c r="K854" s="21" t="s">
        <v>556</v>
      </c>
    </row>
    <row r="855" customFormat="false" ht="25" hidden="false" customHeight="false" outlineLevel="0" collapsed="false">
      <c r="A855" s="21" t="n">
        <v>23</v>
      </c>
      <c r="B855" s="21" t="n">
        <v>2022</v>
      </c>
      <c r="C855" s="26" t="n">
        <v>44826</v>
      </c>
      <c r="D855" s="21" t="s">
        <v>69</v>
      </c>
      <c r="E855" s="21" t="s">
        <v>681</v>
      </c>
      <c r="F855" s="21" t="s">
        <v>657</v>
      </c>
      <c r="G855" s="21" t="s">
        <v>556</v>
      </c>
      <c r="H855" s="21" t="s">
        <v>556</v>
      </c>
      <c r="I855" s="21" t="s">
        <v>556</v>
      </c>
      <c r="J855" s="21" t="s">
        <v>556</v>
      </c>
      <c r="K855" s="21" t="s">
        <v>556</v>
      </c>
    </row>
    <row r="856" customFormat="false" ht="25" hidden="false" customHeight="false" outlineLevel="0" collapsed="false">
      <c r="A856" s="21" t="n">
        <v>23</v>
      </c>
      <c r="B856" s="21" t="n">
        <v>2022</v>
      </c>
      <c r="C856" s="26" t="n">
        <v>44826</v>
      </c>
      <c r="D856" s="21" t="s">
        <v>69</v>
      </c>
      <c r="E856" s="21" t="s">
        <v>72</v>
      </c>
      <c r="F856" s="21" t="s">
        <v>657</v>
      </c>
      <c r="G856" s="21" t="s">
        <v>556</v>
      </c>
      <c r="H856" s="21" t="s">
        <v>556</v>
      </c>
      <c r="I856" s="21" t="s">
        <v>556</v>
      </c>
      <c r="J856" s="21" t="s">
        <v>556</v>
      </c>
      <c r="K856" s="21" t="s">
        <v>556</v>
      </c>
    </row>
    <row r="857" customFormat="false" ht="48" hidden="false" customHeight="false" outlineLevel="0" collapsed="false">
      <c r="A857" s="21" t="n">
        <v>23</v>
      </c>
      <c r="B857" s="21" t="n">
        <v>2022</v>
      </c>
      <c r="C857" s="26" t="n">
        <v>44826</v>
      </c>
      <c r="D857" s="21" t="s">
        <v>693</v>
      </c>
      <c r="E857" s="21" t="s">
        <v>35</v>
      </c>
      <c r="F857" s="21" t="s">
        <v>664</v>
      </c>
      <c r="G857" s="27" t="n">
        <v>3.5</v>
      </c>
      <c r="H857" s="27" t="n">
        <v>4</v>
      </c>
      <c r="I857" s="27" t="n">
        <v>3.75</v>
      </c>
      <c r="J857" s="21" t="s">
        <v>556</v>
      </c>
      <c r="K857" s="27" t="n">
        <v>3.75</v>
      </c>
    </row>
    <row r="858" customFormat="false" ht="36.5" hidden="false" customHeight="false" outlineLevel="0" collapsed="false">
      <c r="A858" s="21" t="n">
        <v>23</v>
      </c>
      <c r="B858" s="21" t="n">
        <v>2022</v>
      </c>
      <c r="C858" s="26" t="n">
        <v>44826</v>
      </c>
      <c r="D858" s="21" t="s">
        <v>293</v>
      </c>
      <c r="E858" s="21" t="s">
        <v>56</v>
      </c>
      <c r="F858" s="21" t="s">
        <v>660</v>
      </c>
      <c r="G858" s="27" t="n">
        <v>40</v>
      </c>
      <c r="H858" s="27" t="n">
        <v>75</v>
      </c>
      <c r="I858" s="27" t="n">
        <v>51.11</v>
      </c>
      <c r="J858" s="27" t="n">
        <v>50</v>
      </c>
      <c r="K858" s="27" t="n">
        <v>50</v>
      </c>
    </row>
    <row r="859" customFormat="false" ht="36.5" hidden="false" customHeight="false" outlineLevel="0" collapsed="false">
      <c r="A859" s="21" t="n">
        <v>23</v>
      </c>
      <c r="B859" s="21" t="n">
        <v>2022</v>
      </c>
      <c r="C859" s="26" t="n">
        <v>44826</v>
      </c>
      <c r="D859" s="21" t="s">
        <v>293</v>
      </c>
      <c r="E859" s="21" t="s">
        <v>57</v>
      </c>
      <c r="F859" s="21" t="s">
        <v>665</v>
      </c>
      <c r="G859" s="27" t="n">
        <v>50</v>
      </c>
      <c r="H859" s="27" t="n">
        <v>65</v>
      </c>
      <c r="I859" s="27" t="n">
        <v>55</v>
      </c>
      <c r="J859" s="27" t="n">
        <v>50</v>
      </c>
      <c r="K859" s="27" t="n">
        <v>52.5</v>
      </c>
    </row>
    <row r="860" customFormat="false" ht="48" hidden="false" customHeight="false" outlineLevel="0" collapsed="false">
      <c r="A860" s="21" t="n">
        <v>23</v>
      </c>
      <c r="B860" s="21" t="n">
        <v>2022</v>
      </c>
      <c r="C860" s="26" t="n">
        <v>44826</v>
      </c>
      <c r="D860" s="21" t="s">
        <v>693</v>
      </c>
      <c r="E860" s="21" t="s">
        <v>38</v>
      </c>
      <c r="F860" s="21" t="s">
        <v>694</v>
      </c>
      <c r="G860" s="27" t="n">
        <v>10</v>
      </c>
      <c r="H860" s="27" t="n">
        <v>15</v>
      </c>
      <c r="I860" s="27" t="n">
        <v>12.5</v>
      </c>
      <c r="J860" s="21" t="s">
        <v>556</v>
      </c>
      <c r="K860" s="27" t="n">
        <v>12.5</v>
      </c>
    </row>
    <row r="861" customFormat="false" ht="25" hidden="false" customHeight="false" outlineLevel="0" collapsed="false">
      <c r="A861" s="21" t="n">
        <v>23</v>
      </c>
      <c r="B861" s="21" t="n">
        <v>2022</v>
      </c>
      <c r="C861" s="26" t="n">
        <v>44826</v>
      </c>
      <c r="D861" s="21" t="s">
        <v>692</v>
      </c>
      <c r="E861" s="21" t="s">
        <v>666</v>
      </c>
      <c r="F861" s="21" t="s">
        <v>658</v>
      </c>
      <c r="G861" s="27" t="n">
        <v>20</v>
      </c>
      <c r="H861" s="27" t="n">
        <v>24</v>
      </c>
      <c r="I861" s="27" t="n">
        <v>22</v>
      </c>
      <c r="J861" s="21" t="s">
        <v>556</v>
      </c>
      <c r="K861" s="27" t="n">
        <v>22</v>
      </c>
    </row>
    <row r="862" customFormat="false" ht="25" hidden="false" customHeight="false" outlineLevel="0" collapsed="false">
      <c r="A862" s="21" t="n">
        <v>23</v>
      </c>
      <c r="B862" s="21" t="n">
        <v>2022</v>
      </c>
      <c r="C862" s="26" t="n">
        <v>44826</v>
      </c>
      <c r="D862" s="21" t="s">
        <v>692</v>
      </c>
      <c r="E862" s="21" t="s">
        <v>698</v>
      </c>
      <c r="F862" s="21" t="s">
        <v>658</v>
      </c>
      <c r="G862" s="27" t="n">
        <v>40</v>
      </c>
      <c r="H862" s="27" t="n">
        <v>60</v>
      </c>
      <c r="I862" s="27" t="n">
        <v>51.33</v>
      </c>
      <c r="J862" s="21" t="s">
        <v>556</v>
      </c>
      <c r="K862" s="27" t="n">
        <v>54</v>
      </c>
    </row>
    <row r="863" customFormat="false" ht="25" hidden="false" customHeight="false" outlineLevel="0" collapsed="false">
      <c r="A863" s="21" t="n">
        <v>23</v>
      </c>
      <c r="B863" s="21" t="n">
        <v>2022</v>
      </c>
      <c r="C863" s="26" t="n">
        <v>44826</v>
      </c>
      <c r="D863" s="21" t="s">
        <v>692</v>
      </c>
      <c r="E863" s="21" t="s">
        <v>27</v>
      </c>
      <c r="F863" s="21" t="s">
        <v>658</v>
      </c>
      <c r="G863" s="27" t="n">
        <v>12.5</v>
      </c>
      <c r="H863" s="27" t="n">
        <v>24</v>
      </c>
      <c r="I863" s="27" t="n">
        <v>18.25</v>
      </c>
      <c r="J863" s="21" t="s">
        <v>556</v>
      </c>
      <c r="K863" s="27" t="n">
        <v>18.25</v>
      </c>
    </row>
    <row r="864" customFormat="false" ht="25" hidden="false" customHeight="false" outlineLevel="0" collapsed="false">
      <c r="A864" s="21" t="n">
        <v>23</v>
      </c>
      <c r="B864" s="21" t="n">
        <v>2022</v>
      </c>
      <c r="C864" s="26" t="n">
        <v>44826</v>
      </c>
      <c r="D864" s="21" t="s">
        <v>692</v>
      </c>
      <c r="E864" s="21" t="s">
        <v>28</v>
      </c>
      <c r="F864" s="21" t="s">
        <v>658</v>
      </c>
      <c r="G864" s="27" t="n">
        <v>54</v>
      </c>
      <c r="H864" s="27" t="n">
        <v>54</v>
      </c>
      <c r="I864" s="27" t="n">
        <v>54</v>
      </c>
      <c r="J864" s="27" t="n">
        <v>54</v>
      </c>
      <c r="K864" s="27" t="n">
        <v>54</v>
      </c>
    </row>
    <row r="865" customFormat="false" ht="25" hidden="false" customHeight="false" outlineLevel="0" collapsed="false">
      <c r="A865" s="21" t="n">
        <v>23</v>
      </c>
      <c r="B865" s="21" t="n">
        <v>2022</v>
      </c>
      <c r="C865" s="26" t="n">
        <v>44826</v>
      </c>
      <c r="D865" s="21" t="s">
        <v>69</v>
      </c>
      <c r="E865" s="21" t="s">
        <v>73</v>
      </c>
      <c r="F865" s="21" t="s">
        <v>661</v>
      </c>
      <c r="G865" s="27" t="n">
        <v>40</v>
      </c>
      <c r="H865" s="27" t="n">
        <v>40</v>
      </c>
      <c r="I865" s="27" t="n">
        <v>40</v>
      </c>
      <c r="J865" s="21" t="s">
        <v>556</v>
      </c>
      <c r="K865" s="27" t="n">
        <v>40</v>
      </c>
    </row>
    <row r="866" customFormat="false" ht="36.5" hidden="false" customHeight="false" outlineLevel="0" collapsed="false">
      <c r="A866" s="21" t="n">
        <v>23</v>
      </c>
      <c r="B866" s="21" t="n">
        <v>2022</v>
      </c>
      <c r="C866" s="26" t="n">
        <v>44826</v>
      </c>
      <c r="D866" s="21" t="s">
        <v>293</v>
      </c>
      <c r="E866" s="21" t="s">
        <v>58</v>
      </c>
      <c r="F866" s="21" t="s">
        <v>657</v>
      </c>
      <c r="G866" s="27" t="n">
        <v>70</v>
      </c>
      <c r="H866" s="27" t="n">
        <v>90</v>
      </c>
      <c r="I866" s="27" t="n">
        <v>80.63</v>
      </c>
      <c r="J866" s="27" t="n">
        <v>90</v>
      </c>
      <c r="K866" s="27" t="n">
        <v>80</v>
      </c>
    </row>
    <row r="867" customFormat="false" ht="25" hidden="false" customHeight="false" outlineLevel="0" collapsed="false">
      <c r="A867" s="21" t="n">
        <v>23</v>
      </c>
      <c r="B867" s="21" t="n">
        <v>2022</v>
      </c>
      <c r="C867" s="26" t="n">
        <v>44826</v>
      </c>
      <c r="D867" s="21" t="s">
        <v>69</v>
      </c>
      <c r="E867" s="21" t="s">
        <v>74</v>
      </c>
      <c r="F867" s="21" t="s">
        <v>667</v>
      </c>
      <c r="G867" s="21" t="s">
        <v>556</v>
      </c>
      <c r="H867" s="21" t="s">
        <v>556</v>
      </c>
      <c r="I867" s="21" t="s">
        <v>556</v>
      </c>
      <c r="J867" s="21" t="s">
        <v>556</v>
      </c>
      <c r="K867" s="21" t="s">
        <v>556</v>
      </c>
    </row>
    <row r="868" customFormat="false" ht="36.5" hidden="false" customHeight="false" outlineLevel="0" collapsed="false">
      <c r="A868" s="21" t="n">
        <v>23</v>
      </c>
      <c r="B868" s="21" t="n">
        <v>2022</v>
      </c>
      <c r="C868" s="26" t="n">
        <v>44826</v>
      </c>
      <c r="D868" s="21" t="s">
        <v>293</v>
      </c>
      <c r="E868" s="21" t="s">
        <v>61</v>
      </c>
      <c r="F868" s="21" t="s">
        <v>657</v>
      </c>
      <c r="G868" s="27" t="n">
        <v>50</v>
      </c>
      <c r="H868" s="27" t="n">
        <v>80</v>
      </c>
      <c r="I868" s="27" t="n">
        <v>65</v>
      </c>
      <c r="J868" s="27" t="n">
        <v>70</v>
      </c>
      <c r="K868" s="27" t="n">
        <v>70</v>
      </c>
    </row>
    <row r="869" customFormat="false" ht="36.5" hidden="false" customHeight="false" outlineLevel="0" collapsed="false">
      <c r="A869" s="21" t="n">
        <v>23</v>
      </c>
      <c r="B869" s="21" t="n">
        <v>2022</v>
      </c>
      <c r="C869" s="26" t="n">
        <v>44826</v>
      </c>
      <c r="D869" s="21" t="s">
        <v>293</v>
      </c>
      <c r="E869" s="21" t="s">
        <v>62</v>
      </c>
      <c r="F869" s="21" t="s">
        <v>695</v>
      </c>
      <c r="G869" s="27" t="n">
        <v>30</v>
      </c>
      <c r="H869" s="27" t="n">
        <v>80</v>
      </c>
      <c r="I869" s="27" t="n">
        <v>70</v>
      </c>
      <c r="J869" s="27" t="n">
        <v>80</v>
      </c>
      <c r="K869" s="27" t="n">
        <v>75</v>
      </c>
    </row>
    <row r="870" customFormat="false" ht="36.5" hidden="false" customHeight="false" outlineLevel="0" collapsed="false">
      <c r="A870" s="21" t="n">
        <v>23</v>
      </c>
      <c r="B870" s="21" t="n">
        <v>2022</v>
      </c>
      <c r="C870" s="26" t="n">
        <v>44826</v>
      </c>
      <c r="D870" s="21" t="s">
        <v>293</v>
      </c>
      <c r="E870" s="21" t="s">
        <v>63</v>
      </c>
      <c r="F870" s="21" t="s">
        <v>661</v>
      </c>
      <c r="G870" s="27" t="n">
        <v>35</v>
      </c>
      <c r="H870" s="27" t="n">
        <v>50</v>
      </c>
      <c r="I870" s="27" t="n">
        <v>44.38</v>
      </c>
      <c r="J870" s="27" t="n">
        <v>50</v>
      </c>
      <c r="K870" s="27" t="n">
        <v>45</v>
      </c>
    </row>
    <row r="871" customFormat="false" ht="36.5" hidden="false" customHeight="false" outlineLevel="0" collapsed="false">
      <c r="A871" s="21" t="n">
        <v>23</v>
      </c>
      <c r="B871" s="21" t="n">
        <v>2022</v>
      </c>
      <c r="C871" s="26" t="n">
        <v>44826</v>
      </c>
      <c r="D871" s="21" t="s">
        <v>293</v>
      </c>
      <c r="E871" s="21" t="s">
        <v>64</v>
      </c>
      <c r="F871" s="21" t="s">
        <v>661</v>
      </c>
      <c r="G871" s="27" t="n">
        <v>100</v>
      </c>
      <c r="H871" s="27" t="n">
        <v>120</v>
      </c>
      <c r="I871" s="27" t="n">
        <v>107.14</v>
      </c>
      <c r="J871" s="27" t="n">
        <v>110</v>
      </c>
      <c r="K871" s="27" t="n">
        <v>110</v>
      </c>
    </row>
    <row r="872" customFormat="false" ht="25" hidden="false" customHeight="false" outlineLevel="0" collapsed="false">
      <c r="A872" s="21" t="n">
        <v>23</v>
      </c>
      <c r="B872" s="21" t="n">
        <v>2022</v>
      </c>
      <c r="C872" s="26" t="n">
        <v>44826</v>
      </c>
      <c r="D872" s="21" t="s">
        <v>692</v>
      </c>
      <c r="E872" s="21" t="s">
        <v>29</v>
      </c>
      <c r="F872" s="21" t="s">
        <v>658</v>
      </c>
      <c r="G872" s="27" t="n">
        <v>42</v>
      </c>
      <c r="H872" s="27" t="n">
        <v>54</v>
      </c>
      <c r="I872" s="27" t="n">
        <v>48</v>
      </c>
      <c r="J872" s="21" t="s">
        <v>556</v>
      </c>
      <c r="K872" s="27" t="n">
        <v>48</v>
      </c>
    </row>
    <row r="873" customFormat="false" ht="25" hidden="false" customHeight="false" outlineLevel="0" collapsed="false">
      <c r="A873" s="21" t="n">
        <v>23</v>
      </c>
      <c r="B873" s="21" t="n">
        <v>2022</v>
      </c>
      <c r="C873" s="26" t="n">
        <v>44826</v>
      </c>
      <c r="D873" s="21" t="s">
        <v>692</v>
      </c>
      <c r="E873" s="21" t="s">
        <v>31</v>
      </c>
      <c r="F873" s="21" t="s">
        <v>658</v>
      </c>
      <c r="G873" s="27" t="n">
        <v>36</v>
      </c>
      <c r="H873" s="27" t="n">
        <v>60</v>
      </c>
      <c r="I873" s="27" t="n">
        <v>48</v>
      </c>
      <c r="J873" s="21" t="s">
        <v>556</v>
      </c>
      <c r="K873" s="27" t="n">
        <v>48</v>
      </c>
    </row>
    <row r="874" customFormat="false" ht="25" hidden="false" customHeight="false" outlineLevel="0" collapsed="false">
      <c r="A874" s="21" t="n">
        <v>23</v>
      </c>
      <c r="B874" s="21" t="n">
        <v>2022</v>
      </c>
      <c r="C874" s="26" t="n">
        <v>44826</v>
      </c>
      <c r="D874" s="21" t="s">
        <v>692</v>
      </c>
      <c r="E874" s="21" t="s">
        <v>668</v>
      </c>
      <c r="F874" s="21" t="s">
        <v>658</v>
      </c>
      <c r="G874" s="27" t="n">
        <v>20</v>
      </c>
      <c r="H874" s="27" t="n">
        <v>36</v>
      </c>
      <c r="I874" s="27" t="n">
        <v>28</v>
      </c>
      <c r="J874" s="21" t="s">
        <v>556</v>
      </c>
      <c r="K874" s="27" t="n">
        <v>28</v>
      </c>
    </row>
    <row r="875" customFormat="false" ht="25" hidden="false" customHeight="false" outlineLevel="0" collapsed="false">
      <c r="A875" s="21" t="n">
        <v>23</v>
      </c>
      <c r="B875" s="21" t="n">
        <v>2022</v>
      </c>
      <c r="C875" s="26" t="n">
        <v>44826</v>
      </c>
      <c r="D875" s="21" t="s">
        <v>692</v>
      </c>
      <c r="E875" s="21" t="s">
        <v>33</v>
      </c>
      <c r="F875" s="21" t="s">
        <v>658</v>
      </c>
      <c r="G875" s="27" t="n">
        <v>42</v>
      </c>
      <c r="H875" s="27" t="n">
        <v>42</v>
      </c>
      <c r="I875" s="27" t="n">
        <v>42</v>
      </c>
      <c r="J875" s="27" t="n">
        <v>42</v>
      </c>
      <c r="K875" s="27" t="n">
        <v>42</v>
      </c>
    </row>
    <row r="876" customFormat="false" ht="48" hidden="false" customHeight="false" outlineLevel="0" collapsed="false">
      <c r="A876" s="21" t="n">
        <v>23</v>
      </c>
      <c r="B876" s="21" t="n">
        <v>2022</v>
      </c>
      <c r="C876" s="26" t="n">
        <v>44826</v>
      </c>
      <c r="D876" s="21" t="s">
        <v>693</v>
      </c>
      <c r="E876" s="21" t="s">
        <v>669</v>
      </c>
      <c r="F876" s="21" t="s">
        <v>682</v>
      </c>
      <c r="G876" s="27" t="n">
        <v>20</v>
      </c>
      <c r="H876" s="27" t="n">
        <v>25</v>
      </c>
      <c r="I876" s="27" t="n">
        <v>22.5</v>
      </c>
      <c r="J876" s="21" t="s">
        <v>556</v>
      </c>
      <c r="K876" s="27" t="n">
        <v>22.5</v>
      </c>
    </row>
    <row r="877" customFormat="false" ht="36.5" hidden="false" customHeight="false" outlineLevel="0" collapsed="false">
      <c r="A877" s="21" t="n">
        <v>23</v>
      </c>
      <c r="B877" s="21" t="n">
        <v>2022</v>
      </c>
      <c r="C877" s="26" t="n">
        <v>44826</v>
      </c>
      <c r="D877" s="21" t="s">
        <v>293</v>
      </c>
      <c r="E877" s="21" t="s">
        <v>67</v>
      </c>
      <c r="F877" s="21" t="s">
        <v>662</v>
      </c>
      <c r="G877" s="27" t="n">
        <v>50</v>
      </c>
      <c r="H877" s="27" t="n">
        <v>70</v>
      </c>
      <c r="I877" s="27" t="n">
        <v>59.38</v>
      </c>
      <c r="J877" s="27" t="n">
        <v>60</v>
      </c>
      <c r="K877" s="27" t="n">
        <v>60</v>
      </c>
    </row>
    <row r="878" customFormat="false" ht="36.5" hidden="false" customHeight="false" outlineLevel="0" collapsed="false">
      <c r="A878" s="21" t="n">
        <v>23</v>
      </c>
      <c r="B878" s="21" t="n">
        <v>2022</v>
      </c>
      <c r="C878" s="26" t="n">
        <v>44826</v>
      </c>
      <c r="D878" s="21" t="s">
        <v>293</v>
      </c>
      <c r="E878" s="21" t="s">
        <v>68</v>
      </c>
      <c r="F878" s="21" t="s">
        <v>657</v>
      </c>
      <c r="G878" s="27" t="n">
        <v>90</v>
      </c>
      <c r="H878" s="27" t="n">
        <v>120</v>
      </c>
      <c r="I878" s="27" t="n">
        <v>105.71</v>
      </c>
      <c r="J878" s="27" t="n">
        <v>100</v>
      </c>
      <c r="K878" s="27" t="n">
        <v>100</v>
      </c>
    </row>
    <row r="879" customFormat="false" ht="59.5" hidden="false" customHeight="false" outlineLevel="0" collapsed="false">
      <c r="A879" s="21" t="n">
        <v>24</v>
      </c>
      <c r="B879" s="21" t="n">
        <v>2022</v>
      </c>
      <c r="C879" s="26" t="n">
        <v>44833</v>
      </c>
      <c r="D879" s="21" t="s">
        <v>15</v>
      </c>
      <c r="E879" s="21" t="s">
        <v>16</v>
      </c>
      <c r="F879" s="21" t="s">
        <v>17</v>
      </c>
      <c r="G879" s="27" t="n">
        <v>36</v>
      </c>
      <c r="H879" s="27" t="n">
        <v>12</v>
      </c>
      <c r="I879" s="27" t="n">
        <v>42</v>
      </c>
      <c r="J879" s="27" t="n">
        <v>32.4</v>
      </c>
      <c r="K879" s="27" t="n">
        <v>36</v>
      </c>
    </row>
    <row r="880" customFormat="false" ht="59.5" hidden="false" customHeight="false" outlineLevel="0" collapsed="false">
      <c r="A880" s="21" t="n">
        <v>24</v>
      </c>
      <c r="B880" s="21" t="n">
        <v>2022</v>
      </c>
      <c r="C880" s="26" t="n">
        <v>44833</v>
      </c>
      <c r="D880" s="21" t="s">
        <v>15</v>
      </c>
      <c r="E880" s="21" t="s">
        <v>18</v>
      </c>
      <c r="F880" s="21" t="s">
        <v>17</v>
      </c>
      <c r="G880" s="27" t="n">
        <v>48</v>
      </c>
      <c r="H880" s="27" t="n">
        <v>24</v>
      </c>
      <c r="I880" s="27" t="n">
        <v>60</v>
      </c>
      <c r="J880" s="27" t="n">
        <v>46.8</v>
      </c>
      <c r="K880" s="27" t="n">
        <v>48</v>
      </c>
    </row>
    <row r="881" customFormat="false" ht="59.5" hidden="false" customHeight="false" outlineLevel="0" collapsed="false">
      <c r="A881" s="21" t="n">
        <v>24</v>
      </c>
      <c r="B881" s="21" t="n">
        <v>2022</v>
      </c>
      <c r="C881" s="26" t="n">
        <v>44833</v>
      </c>
      <c r="D881" s="21" t="s">
        <v>15</v>
      </c>
      <c r="E881" s="21" t="s">
        <v>19</v>
      </c>
      <c r="F881" s="21" t="s">
        <v>17</v>
      </c>
      <c r="G881" s="21" t="s">
        <v>556</v>
      </c>
      <c r="H881" s="27" t="n">
        <v>24</v>
      </c>
      <c r="I881" s="27" t="n">
        <v>48</v>
      </c>
      <c r="J881" s="27" t="n">
        <v>32.6</v>
      </c>
      <c r="K881" s="27" t="n">
        <v>30</v>
      </c>
    </row>
    <row r="882" customFormat="false" ht="59.5" hidden="false" customHeight="false" outlineLevel="0" collapsed="false">
      <c r="A882" s="21" t="n">
        <v>24</v>
      </c>
      <c r="B882" s="21" t="n">
        <v>2022</v>
      </c>
      <c r="C882" s="26" t="n">
        <v>44833</v>
      </c>
      <c r="D882" s="21" t="s">
        <v>15</v>
      </c>
      <c r="E882" s="21" t="s">
        <v>20</v>
      </c>
      <c r="F882" s="21" t="s">
        <v>17</v>
      </c>
      <c r="G882" s="27" t="n">
        <v>24</v>
      </c>
      <c r="H882" s="27" t="n">
        <v>12</v>
      </c>
      <c r="I882" s="27" t="n">
        <v>24</v>
      </c>
      <c r="J882" s="27" t="n">
        <v>18.6</v>
      </c>
      <c r="K882" s="27" t="n">
        <v>18</v>
      </c>
    </row>
    <row r="883" customFormat="false" ht="59.5" hidden="false" customHeight="false" outlineLevel="0" collapsed="false">
      <c r="A883" s="21" t="n">
        <v>24</v>
      </c>
      <c r="B883" s="21" t="n">
        <v>2022</v>
      </c>
      <c r="C883" s="26" t="n">
        <v>44833</v>
      </c>
      <c r="D883" s="21" t="s">
        <v>15</v>
      </c>
      <c r="E883" s="21" t="s">
        <v>21</v>
      </c>
      <c r="F883" s="21" t="s">
        <v>17</v>
      </c>
      <c r="G883" s="21" t="s">
        <v>556</v>
      </c>
      <c r="H883" s="27" t="n">
        <v>12</v>
      </c>
      <c r="I883" s="27" t="n">
        <v>24</v>
      </c>
      <c r="J883" s="27" t="n">
        <v>17.25</v>
      </c>
      <c r="K883" s="27" t="n">
        <v>16.5</v>
      </c>
    </row>
    <row r="884" customFormat="false" ht="59.5" hidden="false" customHeight="false" outlineLevel="0" collapsed="false">
      <c r="A884" s="21" t="n">
        <v>24</v>
      </c>
      <c r="B884" s="21" t="n">
        <v>2022</v>
      </c>
      <c r="C884" s="26" t="n">
        <v>44833</v>
      </c>
      <c r="D884" s="21" t="s">
        <v>15</v>
      </c>
      <c r="E884" s="21" t="s">
        <v>22</v>
      </c>
      <c r="F884" s="21" t="s">
        <v>17</v>
      </c>
      <c r="G884" s="21" t="s">
        <v>556</v>
      </c>
      <c r="H884" s="27" t="n">
        <v>12</v>
      </c>
      <c r="I884" s="27" t="n">
        <v>54</v>
      </c>
      <c r="J884" s="27" t="n">
        <v>34</v>
      </c>
      <c r="K884" s="27" t="n">
        <v>36</v>
      </c>
    </row>
    <row r="885" customFormat="false" ht="59.5" hidden="false" customHeight="false" outlineLevel="0" collapsed="false">
      <c r="A885" s="21" t="n">
        <v>24</v>
      </c>
      <c r="B885" s="21" t="n">
        <v>2022</v>
      </c>
      <c r="C885" s="26" t="n">
        <v>44833</v>
      </c>
      <c r="D885" s="21" t="s">
        <v>15</v>
      </c>
      <c r="E885" s="21" t="s">
        <v>23</v>
      </c>
      <c r="F885" s="21" t="s">
        <v>17</v>
      </c>
      <c r="G885" s="27" t="n">
        <v>60</v>
      </c>
      <c r="H885" s="27" t="n">
        <v>40</v>
      </c>
      <c r="I885" s="27" t="n">
        <v>60</v>
      </c>
      <c r="J885" s="27" t="n">
        <v>50.6</v>
      </c>
      <c r="K885" s="27" t="n">
        <v>48</v>
      </c>
    </row>
    <row r="886" customFormat="false" ht="59.5" hidden="false" customHeight="false" outlineLevel="0" collapsed="false">
      <c r="A886" s="21" t="n">
        <v>24</v>
      </c>
      <c r="B886" s="21" t="n">
        <v>2022</v>
      </c>
      <c r="C886" s="26" t="n">
        <v>44833</v>
      </c>
      <c r="D886" s="21" t="s">
        <v>15</v>
      </c>
      <c r="E886" s="21" t="s">
        <v>24</v>
      </c>
      <c r="F886" s="21" t="s">
        <v>17</v>
      </c>
      <c r="G886" s="27" t="n">
        <v>60</v>
      </c>
      <c r="H886" s="27" t="n">
        <v>48</v>
      </c>
      <c r="I886" s="27" t="n">
        <v>60</v>
      </c>
      <c r="J886" s="27" t="n">
        <v>56</v>
      </c>
      <c r="K886" s="27" t="n">
        <v>60</v>
      </c>
    </row>
    <row r="887" customFormat="false" ht="59.5" hidden="false" customHeight="false" outlineLevel="0" collapsed="false">
      <c r="A887" s="21" t="n">
        <v>24</v>
      </c>
      <c r="B887" s="21" t="n">
        <v>2022</v>
      </c>
      <c r="C887" s="26" t="n">
        <v>44833</v>
      </c>
      <c r="D887" s="21" t="s">
        <v>15</v>
      </c>
      <c r="E887" s="21" t="s">
        <v>25</v>
      </c>
      <c r="F887" s="21" t="s">
        <v>17</v>
      </c>
      <c r="G887" s="27" t="n">
        <v>18</v>
      </c>
      <c r="H887" s="27" t="n">
        <v>12</v>
      </c>
      <c r="I887" s="27" t="n">
        <v>24</v>
      </c>
      <c r="J887" s="27" t="n">
        <v>18.4</v>
      </c>
      <c r="K887" s="27" t="n">
        <v>18</v>
      </c>
    </row>
    <row r="888" customFormat="false" ht="59.5" hidden="false" customHeight="false" outlineLevel="0" collapsed="false">
      <c r="A888" s="21" t="n">
        <v>24</v>
      </c>
      <c r="B888" s="21" t="n">
        <v>2022</v>
      </c>
      <c r="C888" s="26" t="n">
        <v>44833</v>
      </c>
      <c r="D888" s="21" t="s">
        <v>15</v>
      </c>
      <c r="E888" s="21" t="s">
        <v>77</v>
      </c>
      <c r="F888" s="21" t="s">
        <v>17</v>
      </c>
      <c r="G888" s="21" t="s">
        <v>556</v>
      </c>
      <c r="H888" s="27" t="n">
        <v>40</v>
      </c>
      <c r="I888" s="27" t="n">
        <v>60</v>
      </c>
      <c r="J888" s="27" t="n">
        <v>50.8</v>
      </c>
      <c r="K888" s="27" t="n">
        <v>54</v>
      </c>
    </row>
    <row r="889" customFormat="false" ht="59.5" hidden="false" customHeight="false" outlineLevel="0" collapsed="false">
      <c r="A889" s="21" t="n">
        <v>24</v>
      </c>
      <c r="B889" s="21" t="n">
        <v>2022</v>
      </c>
      <c r="C889" s="26" t="n">
        <v>44833</v>
      </c>
      <c r="D889" s="21" t="s">
        <v>15</v>
      </c>
      <c r="E889" s="21" t="s">
        <v>27</v>
      </c>
      <c r="F889" s="21" t="s">
        <v>17</v>
      </c>
      <c r="G889" s="27" t="n">
        <v>24</v>
      </c>
      <c r="H889" s="27" t="n">
        <v>15</v>
      </c>
      <c r="I889" s="27" t="n">
        <v>24</v>
      </c>
      <c r="J889" s="27" t="n">
        <v>20.25</v>
      </c>
      <c r="K889" s="27" t="n">
        <v>21</v>
      </c>
    </row>
    <row r="890" customFormat="false" ht="59.5" hidden="false" customHeight="false" outlineLevel="0" collapsed="false">
      <c r="A890" s="21" t="n">
        <v>24</v>
      </c>
      <c r="B890" s="21" t="n">
        <v>2022</v>
      </c>
      <c r="C890" s="26" t="n">
        <v>44833</v>
      </c>
      <c r="D890" s="21" t="s">
        <v>15</v>
      </c>
      <c r="E890" s="21" t="s">
        <v>28</v>
      </c>
      <c r="F890" s="21" t="s">
        <v>17</v>
      </c>
      <c r="G890" s="21" t="s">
        <v>556</v>
      </c>
      <c r="H890" s="27" t="n">
        <v>42</v>
      </c>
      <c r="I890" s="27" t="n">
        <v>54</v>
      </c>
      <c r="J890" s="27" t="n">
        <v>48</v>
      </c>
      <c r="K890" s="27" t="n">
        <v>48</v>
      </c>
    </row>
    <row r="891" customFormat="false" ht="59.5" hidden="false" customHeight="false" outlineLevel="0" collapsed="false">
      <c r="A891" s="21" t="n">
        <v>24</v>
      </c>
      <c r="B891" s="21" t="n">
        <v>2022</v>
      </c>
      <c r="C891" s="26" t="n">
        <v>44833</v>
      </c>
      <c r="D891" s="21" t="s">
        <v>15</v>
      </c>
      <c r="E891" s="21" t="s">
        <v>29</v>
      </c>
      <c r="F891" s="21" t="s">
        <v>30</v>
      </c>
      <c r="G891" s="21" t="s">
        <v>556</v>
      </c>
      <c r="H891" s="27" t="n">
        <v>36</v>
      </c>
      <c r="I891" s="27" t="n">
        <v>48</v>
      </c>
      <c r="J891" s="27" t="n">
        <v>42</v>
      </c>
      <c r="K891" s="27" t="n">
        <v>42</v>
      </c>
    </row>
    <row r="892" customFormat="false" ht="59.5" hidden="false" customHeight="false" outlineLevel="0" collapsed="false">
      <c r="A892" s="21" t="n">
        <v>24</v>
      </c>
      <c r="B892" s="21" t="n">
        <v>2022</v>
      </c>
      <c r="C892" s="26" t="n">
        <v>44833</v>
      </c>
      <c r="D892" s="21" t="s">
        <v>15</v>
      </c>
      <c r="E892" s="21" t="s">
        <v>31</v>
      </c>
      <c r="F892" s="21" t="s">
        <v>17</v>
      </c>
      <c r="G892" s="21" t="s">
        <v>556</v>
      </c>
      <c r="H892" s="27" t="n">
        <v>24</v>
      </c>
      <c r="I892" s="27" t="n">
        <v>60</v>
      </c>
      <c r="J892" s="27" t="n">
        <v>39.67</v>
      </c>
      <c r="K892" s="27" t="n">
        <v>35</v>
      </c>
    </row>
    <row r="893" customFormat="false" ht="59.5" hidden="false" customHeight="false" outlineLevel="0" collapsed="false">
      <c r="A893" s="21" t="n">
        <v>24</v>
      </c>
      <c r="B893" s="21" t="n">
        <v>2022</v>
      </c>
      <c r="C893" s="26" t="n">
        <v>44833</v>
      </c>
      <c r="D893" s="21" t="s">
        <v>15</v>
      </c>
      <c r="E893" s="21" t="s">
        <v>32</v>
      </c>
      <c r="F893" s="21" t="s">
        <v>17</v>
      </c>
      <c r="G893" s="27" t="n">
        <v>30</v>
      </c>
      <c r="H893" s="27" t="n">
        <v>18</v>
      </c>
      <c r="I893" s="27" t="n">
        <v>30</v>
      </c>
      <c r="J893" s="27" t="n">
        <v>23.2</v>
      </c>
      <c r="K893" s="27" t="n">
        <v>20</v>
      </c>
    </row>
    <row r="894" customFormat="false" ht="59.5" hidden="false" customHeight="false" outlineLevel="0" collapsed="false">
      <c r="A894" s="21" t="n">
        <v>24</v>
      </c>
      <c r="B894" s="21" t="n">
        <v>2022</v>
      </c>
      <c r="C894" s="26" t="n">
        <v>44833</v>
      </c>
      <c r="D894" s="21" t="s">
        <v>15</v>
      </c>
      <c r="E894" s="21" t="s">
        <v>33</v>
      </c>
      <c r="F894" s="21" t="s">
        <v>17</v>
      </c>
      <c r="G894" s="27" t="n">
        <v>42</v>
      </c>
      <c r="H894" s="27" t="n">
        <v>24</v>
      </c>
      <c r="I894" s="27" t="n">
        <v>42</v>
      </c>
      <c r="J894" s="27" t="n">
        <v>37.2</v>
      </c>
      <c r="K894" s="27" t="n">
        <v>42</v>
      </c>
    </row>
    <row r="895" customFormat="false" ht="59.5" hidden="false" customHeight="false" outlineLevel="0" collapsed="false">
      <c r="A895" s="21" t="n">
        <v>24</v>
      </c>
      <c r="B895" s="21" t="n">
        <v>2022</v>
      </c>
      <c r="C895" s="26" t="n">
        <v>44833</v>
      </c>
      <c r="D895" s="21" t="s">
        <v>34</v>
      </c>
      <c r="E895" s="21" t="s">
        <v>35</v>
      </c>
      <c r="F895" s="21" t="s">
        <v>36</v>
      </c>
      <c r="G895" s="27" t="n">
        <v>4</v>
      </c>
      <c r="H895" s="27" t="n">
        <v>4</v>
      </c>
      <c r="I895" s="27" t="n">
        <v>5</v>
      </c>
      <c r="J895" s="27" t="n">
        <v>4.33</v>
      </c>
      <c r="K895" s="27" t="n">
        <v>4</v>
      </c>
    </row>
    <row r="896" customFormat="false" ht="59.5" hidden="false" customHeight="false" outlineLevel="0" collapsed="false">
      <c r="A896" s="21" t="n">
        <v>24</v>
      </c>
      <c r="B896" s="21" t="n">
        <v>2022</v>
      </c>
      <c r="C896" s="26" t="n">
        <v>44833</v>
      </c>
      <c r="D896" s="21" t="s">
        <v>34</v>
      </c>
      <c r="E896" s="21" t="s">
        <v>38</v>
      </c>
      <c r="F896" s="21" t="s">
        <v>39</v>
      </c>
      <c r="G896" s="27" t="n">
        <v>10</v>
      </c>
      <c r="H896" s="27" t="n">
        <v>8</v>
      </c>
      <c r="I896" s="27" t="n">
        <v>10</v>
      </c>
      <c r="J896" s="27" t="n">
        <v>9.5</v>
      </c>
      <c r="K896" s="27" t="n">
        <v>10</v>
      </c>
    </row>
    <row r="897" customFormat="false" ht="59.5" hidden="false" customHeight="false" outlineLevel="0" collapsed="false">
      <c r="A897" s="21" t="n">
        <v>24</v>
      </c>
      <c r="B897" s="21" t="n">
        <v>2022</v>
      </c>
      <c r="C897" s="26" t="n">
        <v>44833</v>
      </c>
      <c r="D897" s="21" t="s">
        <v>34</v>
      </c>
      <c r="E897" s="21" t="s">
        <v>40</v>
      </c>
      <c r="F897" s="21" t="s">
        <v>39</v>
      </c>
      <c r="G897" s="21" t="s">
        <v>556</v>
      </c>
      <c r="H897" s="27" t="n">
        <v>9</v>
      </c>
      <c r="I897" s="27" t="n">
        <v>25</v>
      </c>
      <c r="J897" s="27" t="n">
        <v>18</v>
      </c>
      <c r="K897" s="27" t="n">
        <v>19</v>
      </c>
    </row>
    <row r="898" customFormat="false" ht="36.5" hidden="false" customHeight="false" outlineLevel="0" collapsed="false">
      <c r="A898" s="21" t="n">
        <v>24</v>
      </c>
      <c r="B898" s="21" t="n">
        <v>2022</v>
      </c>
      <c r="C898" s="26" t="n">
        <v>44833</v>
      </c>
      <c r="D898" s="21" t="s">
        <v>293</v>
      </c>
      <c r="E898" s="21" t="s">
        <v>43</v>
      </c>
      <c r="F898" s="21" t="s">
        <v>44</v>
      </c>
      <c r="G898" s="27" t="n">
        <v>60</v>
      </c>
      <c r="H898" s="27" t="n">
        <v>45</v>
      </c>
      <c r="I898" s="27" t="n">
        <v>70</v>
      </c>
      <c r="J898" s="27" t="n">
        <v>57.86</v>
      </c>
      <c r="K898" s="27" t="n">
        <v>60</v>
      </c>
    </row>
    <row r="899" customFormat="false" ht="36.5" hidden="false" customHeight="false" outlineLevel="0" collapsed="false">
      <c r="A899" s="21" t="n">
        <v>24</v>
      </c>
      <c r="B899" s="21" t="n">
        <v>2022</v>
      </c>
      <c r="C899" s="26" t="n">
        <v>44833</v>
      </c>
      <c r="D899" s="21" t="s">
        <v>293</v>
      </c>
      <c r="E899" s="21" t="s">
        <v>46</v>
      </c>
      <c r="F899" s="21" t="s">
        <v>47</v>
      </c>
      <c r="G899" s="27" t="n">
        <v>60</v>
      </c>
      <c r="H899" s="27" t="n">
        <v>30</v>
      </c>
      <c r="I899" s="27" t="n">
        <v>65</v>
      </c>
      <c r="J899" s="27" t="n">
        <v>51.88</v>
      </c>
      <c r="K899" s="27" t="n">
        <v>60</v>
      </c>
    </row>
    <row r="900" customFormat="false" ht="36.5" hidden="false" customHeight="false" outlineLevel="0" collapsed="false">
      <c r="A900" s="21" t="n">
        <v>24</v>
      </c>
      <c r="B900" s="21" t="n">
        <v>2022</v>
      </c>
      <c r="C900" s="26" t="n">
        <v>44833</v>
      </c>
      <c r="D900" s="21" t="s">
        <v>293</v>
      </c>
      <c r="E900" s="21" t="s">
        <v>48</v>
      </c>
      <c r="F900" s="21" t="s">
        <v>49</v>
      </c>
      <c r="G900" s="27" t="n">
        <v>55</v>
      </c>
      <c r="H900" s="27" t="n">
        <v>35</v>
      </c>
      <c r="I900" s="27" t="n">
        <v>70</v>
      </c>
      <c r="J900" s="27" t="n">
        <v>48.75</v>
      </c>
      <c r="K900" s="27" t="n">
        <v>47.5</v>
      </c>
    </row>
    <row r="901" customFormat="false" ht="36.5" hidden="false" customHeight="false" outlineLevel="0" collapsed="false">
      <c r="A901" s="21" t="n">
        <v>24</v>
      </c>
      <c r="B901" s="21" t="n">
        <v>2022</v>
      </c>
      <c r="C901" s="26" t="n">
        <v>44833</v>
      </c>
      <c r="D901" s="21" t="s">
        <v>293</v>
      </c>
      <c r="E901" s="21" t="s">
        <v>52</v>
      </c>
      <c r="F901" s="21" t="s">
        <v>49</v>
      </c>
      <c r="G901" s="21" t="s">
        <v>556</v>
      </c>
      <c r="H901" s="27" t="n">
        <v>60</v>
      </c>
      <c r="I901" s="27" t="n">
        <v>110</v>
      </c>
      <c r="J901" s="27" t="n">
        <v>82.5</v>
      </c>
      <c r="K901" s="27" t="n">
        <v>80</v>
      </c>
    </row>
    <row r="902" customFormat="false" ht="36.5" hidden="false" customHeight="false" outlineLevel="0" collapsed="false">
      <c r="A902" s="21" t="n">
        <v>24</v>
      </c>
      <c r="B902" s="21" t="n">
        <v>2022</v>
      </c>
      <c r="C902" s="26" t="n">
        <v>44833</v>
      </c>
      <c r="D902" s="21" t="s">
        <v>293</v>
      </c>
      <c r="E902" s="21" t="s">
        <v>53</v>
      </c>
      <c r="F902" s="21" t="s">
        <v>54</v>
      </c>
      <c r="G902" s="27" t="n">
        <v>45</v>
      </c>
      <c r="H902" s="27" t="n">
        <v>45</v>
      </c>
      <c r="I902" s="27" t="n">
        <v>55</v>
      </c>
      <c r="J902" s="27" t="n">
        <v>47.86</v>
      </c>
      <c r="K902" s="27" t="n">
        <v>45</v>
      </c>
    </row>
    <row r="903" customFormat="false" ht="36.5" hidden="false" customHeight="false" outlineLevel="0" collapsed="false">
      <c r="A903" s="21" t="n">
        <v>24</v>
      </c>
      <c r="B903" s="21" t="n">
        <v>2022</v>
      </c>
      <c r="C903" s="26" t="n">
        <v>44833</v>
      </c>
      <c r="D903" s="21" t="s">
        <v>293</v>
      </c>
      <c r="E903" s="21" t="s">
        <v>56</v>
      </c>
      <c r="F903" s="21" t="s">
        <v>47</v>
      </c>
      <c r="G903" s="27" t="n">
        <v>45</v>
      </c>
      <c r="H903" s="27" t="n">
        <v>45</v>
      </c>
      <c r="I903" s="27" t="n">
        <v>60</v>
      </c>
      <c r="J903" s="27" t="n">
        <v>50.63</v>
      </c>
      <c r="K903" s="27" t="n">
        <v>50</v>
      </c>
    </row>
    <row r="904" customFormat="false" ht="36.5" hidden="false" customHeight="false" outlineLevel="0" collapsed="false">
      <c r="A904" s="21" t="n">
        <v>24</v>
      </c>
      <c r="B904" s="21" t="n">
        <v>2022</v>
      </c>
      <c r="C904" s="26" t="n">
        <v>44833</v>
      </c>
      <c r="D904" s="21" t="s">
        <v>293</v>
      </c>
      <c r="E904" s="21" t="s">
        <v>57</v>
      </c>
      <c r="F904" s="21" t="s">
        <v>47</v>
      </c>
      <c r="G904" s="27" t="n">
        <v>40</v>
      </c>
      <c r="H904" s="27" t="n">
        <v>25</v>
      </c>
      <c r="I904" s="27" t="n">
        <v>60</v>
      </c>
      <c r="J904" s="27" t="n">
        <v>43.75</v>
      </c>
      <c r="K904" s="27" t="n">
        <v>42.5</v>
      </c>
    </row>
    <row r="905" customFormat="false" ht="36.5" hidden="false" customHeight="false" outlineLevel="0" collapsed="false">
      <c r="A905" s="21" t="n">
        <v>24</v>
      </c>
      <c r="B905" s="21" t="n">
        <v>2022</v>
      </c>
      <c r="C905" s="26" t="n">
        <v>44833</v>
      </c>
      <c r="D905" s="21" t="s">
        <v>293</v>
      </c>
      <c r="E905" s="21" t="s">
        <v>58</v>
      </c>
      <c r="F905" s="21" t="s">
        <v>44</v>
      </c>
      <c r="G905" s="27" t="n">
        <v>100</v>
      </c>
      <c r="H905" s="27" t="n">
        <v>90</v>
      </c>
      <c r="I905" s="27" t="n">
        <v>110</v>
      </c>
      <c r="J905" s="27" t="n">
        <v>98.13</v>
      </c>
      <c r="K905" s="27" t="n">
        <v>100</v>
      </c>
    </row>
    <row r="906" customFormat="false" ht="36.5" hidden="false" customHeight="false" outlineLevel="0" collapsed="false">
      <c r="A906" s="21" t="n">
        <v>24</v>
      </c>
      <c r="B906" s="21" t="n">
        <v>2022</v>
      </c>
      <c r="C906" s="26" t="n">
        <v>44833</v>
      </c>
      <c r="D906" s="21" t="s">
        <v>293</v>
      </c>
      <c r="E906" s="21" t="s">
        <v>60</v>
      </c>
      <c r="F906" s="21" t="s">
        <v>47</v>
      </c>
      <c r="G906" s="27" t="n">
        <v>50</v>
      </c>
      <c r="H906" s="27" t="n">
        <v>45</v>
      </c>
      <c r="I906" s="27" t="n">
        <v>60</v>
      </c>
      <c r="J906" s="27" t="n">
        <v>51.25</v>
      </c>
      <c r="K906" s="27" t="n">
        <v>50</v>
      </c>
    </row>
    <row r="907" customFormat="false" ht="36.5" hidden="false" customHeight="false" outlineLevel="0" collapsed="false">
      <c r="A907" s="21" t="n">
        <v>24</v>
      </c>
      <c r="B907" s="21" t="n">
        <v>2022</v>
      </c>
      <c r="C907" s="26" t="n">
        <v>44833</v>
      </c>
      <c r="D907" s="21" t="s">
        <v>293</v>
      </c>
      <c r="E907" s="21" t="s">
        <v>61</v>
      </c>
      <c r="F907" s="21" t="s">
        <v>44</v>
      </c>
      <c r="G907" s="27" t="n">
        <v>60</v>
      </c>
      <c r="H907" s="27" t="n">
        <v>45</v>
      </c>
      <c r="I907" s="27" t="n">
        <v>80</v>
      </c>
      <c r="J907" s="27" t="n">
        <v>59.29</v>
      </c>
      <c r="K907" s="27" t="n">
        <v>60</v>
      </c>
    </row>
    <row r="908" customFormat="false" ht="36.5" hidden="false" customHeight="false" outlineLevel="0" collapsed="false">
      <c r="A908" s="21" t="n">
        <v>24</v>
      </c>
      <c r="B908" s="21" t="n">
        <v>2022</v>
      </c>
      <c r="C908" s="26" t="n">
        <v>44833</v>
      </c>
      <c r="D908" s="21" t="s">
        <v>293</v>
      </c>
      <c r="E908" s="21" t="s">
        <v>62</v>
      </c>
      <c r="F908" s="21" t="s">
        <v>44</v>
      </c>
      <c r="G908" s="27" t="n">
        <v>90</v>
      </c>
      <c r="H908" s="27" t="n">
        <v>45</v>
      </c>
      <c r="I908" s="27" t="n">
        <v>110</v>
      </c>
      <c r="J908" s="27" t="n">
        <v>82.14</v>
      </c>
      <c r="K908" s="27" t="n">
        <v>90</v>
      </c>
    </row>
    <row r="909" customFormat="false" ht="36.5" hidden="false" customHeight="false" outlineLevel="0" collapsed="false">
      <c r="A909" s="21" t="n">
        <v>24</v>
      </c>
      <c r="B909" s="21" t="n">
        <v>2022</v>
      </c>
      <c r="C909" s="26" t="n">
        <v>44833</v>
      </c>
      <c r="D909" s="21" t="s">
        <v>293</v>
      </c>
      <c r="E909" s="21" t="s">
        <v>63</v>
      </c>
      <c r="F909" s="21" t="s">
        <v>49</v>
      </c>
      <c r="G909" s="27" t="n">
        <v>45</v>
      </c>
      <c r="H909" s="27" t="n">
        <v>40</v>
      </c>
      <c r="I909" s="27" t="n">
        <v>55</v>
      </c>
      <c r="J909" s="27" t="n">
        <v>45.56</v>
      </c>
      <c r="K909" s="27" t="n">
        <v>45</v>
      </c>
    </row>
    <row r="910" customFormat="false" ht="36.5" hidden="false" customHeight="false" outlineLevel="0" collapsed="false">
      <c r="A910" s="21" t="n">
        <v>24</v>
      </c>
      <c r="B910" s="21" t="n">
        <v>2022</v>
      </c>
      <c r="C910" s="26" t="n">
        <v>44833</v>
      </c>
      <c r="D910" s="21" t="s">
        <v>293</v>
      </c>
      <c r="E910" s="21" t="s">
        <v>64</v>
      </c>
      <c r="F910" s="21" t="s">
        <v>65</v>
      </c>
      <c r="G910" s="27" t="n">
        <v>120</v>
      </c>
      <c r="H910" s="27" t="n">
        <v>80</v>
      </c>
      <c r="I910" s="27" t="n">
        <v>140</v>
      </c>
      <c r="J910" s="27" t="n">
        <v>117.14</v>
      </c>
      <c r="K910" s="27" t="n">
        <v>120</v>
      </c>
    </row>
    <row r="911" customFormat="false" ht="36.5" hidden="false" customHeight="false" outlineLevel="0" collapsed="false">
      <c r="A911" s="21" t="n">
        <v>24</v>
      </c>
      <c r="B911" s="21" t="n">
        <v>2022</v>
      </c>
      <c r="C911" s="26" t="n">
        <v>44833</v>
      </c>
      <c r="D911" s="21" t="s">
        <v>293</v>
      </c>
      <c r="E911" s="21" t="s">
        <v>67</v>
      </c>
      <c r="F911" s="21" t="s">
        <v>44</v>
      </c>
      <c r="G911" s="27" t="n">
        <v>70</v>
      </c>
      <c r="H911" s="27" t="n">
        <v>55</v>
      </c>
      <c r="I911" s="27" t="n">
        <v>70</v>
      </c>
      <c r="J911" s="27" t="n">
        <v>65</v>
      </c>
      <c r="K911" s="27" t="n">
        <v>65</v>
      </c>
    </row>
    <row r="912" customFormat="false" ht="36.5" hidden="false" customHeight="false" outlineLevel="0" collapsed="false">
      <c r="A912" s="21" t="n">
        <v>24</v>
      </c>
      <c r="B912" s="21" t="n">
        <v>2022</v>
      </c>
      <c r="C912" s="26" t="n">
        <v>44833</v>
      </c>
      <c r="D912" s="21" t="s">
        <v>293</v>
      </c>
      <c r="E912" s="21" t="s">
        <v>68</v>
      </c>
      <c r="F912" s="21" t="s">
        <v>44</v>
      </c>
      <c r="G912" s="27" t="n">
        <v>100</v>
      </c>
      <c r="H912" s="27" t="n">
        <v>100</v>
      </c>
      <c r="I912" s="27" t="n">
        <v>130</v>
      </c>
      <c r="J912" s="27" t="n">
        <v>112.14</v>
      </c>
      <c r="K912" s="27" t="n">
        <v>115</v>
      </c>
    </row>
    <row r="913" customFormat="false" ht="25" hidden="false" customHeight="false" outlineLevel="0" collapsed="false">
      <c r="A913" s="21" t="n">
        <v>24</v>
      </c>
      <c r="B913" s="21" t="n">
        <v>2022</v>
      </c>
      <c r="C913" s="26" t="n">
        <v>44833</v>
      </c>
      <c r="D913" s="21" t="s">
        <v>69</v>
      </c>
      <c r="E913" s="21" t="s">
        <v>70</v>
      </c>
      <c r="F913" s="21" t="s">
        <v>44</v>
      </c>
      <c r="G913" s="21" t="s">
        <v>556</v>
      </c>
      <c r="H913" s="21" t="s">
        <v>556</v>
      </c>
      <c r="I913" s="21" t="s">
        <v>556</v>
      </c>
      <c r="J913" s="21" t="s">
        <v>556</v>
      </c>
      <c r="K913" s="21" t="s">
        <v>556</v>
      </c>
    </row>
    <row r="914" customFormat="false" ht="25" hidden="false" customHeight="false" outlineLevel="0" collapsed="false">
      <c r="A914" s="21" t="n">
        <v>24</v>
      </c>
      <c r="B914" s="21" t="n">
        <v>2022</v>
      </c>
      <c r="C914" s="26" t="n">
        <v>44833</v>
      </c>
      <c r="D914" s="21" t="s">
        <v>69</v>
      </c>
      <c r="E914" s="21" t="s">
        <v>71</v>
      </c>
      <c r="F914" s="21" t="s">
        <v>44</v>
      </c>
      <c r="G914" s="21" t="s">
        <v>556</v>
      </c>
      <c r="H914" s="21" t="s">
        <v>556</v>
      </c>
      <c r="I914" s="21" t="s">
        <v>556</v>
      </c>
      <c r="J914" s="21" t="s">
        <v>556</v>
      </c>
      <c r="K914" s="21" t="s">
        <v>556</v>
      </c>
    </row>
    <row r="915" customFormat="false" ht="25" hidden="false" customHeight="false" outlineLevel="0" collapsed="false">
      <c r="A915" s="21" t="n">
        <v>24</v>
      </c>
      <c r="B915" s="21" t="n">
        <v>2022</v>
      </c>
      <c r="C915" s="26" t="n">
        <v>44833</v>
      </c>
      <c r="D915" s="21" t="s">
        <v>69</v>
      </c>
      <c r="E915" s="21" t="s">
        <v>72</v>
      </c>
      <c r="F915" s="21" t="s">
        <v>44</v>
      </c>
      <c r="G915" s="21" t="s">
        <v>556</v>
      </c>
      <c r="H915" s="21" t="s">
        <v>556</v>
      </c>
      <c r="I915" s="21" t="s">
        <v>556</v>
      </c>
      <c r="J915" s="21" t="s">
        <v>556</v>
      </c>
      <c r="K915" s="21" t="s">
        <v>556</v>
      </c>
    </row>
    <row r="916" customFormat="false" ht="25" hidden="false" customHeight="false" outlineLevel="0" collapsed="false">
      <c r="A916" s="21" t="n">
        <v>24</v>
      </c>
      <c r="B916" s="21" t="n">
        <v>2022</v>
      </c>
      <c r="C916" s="26" t="n">
        <v>44833</v>
      </c>
      <c r="D916" s="21" t="s">
        <v>69</v>
      </c>
      <c r="E916" s="21" t="s">
        <v>73</v>
      </c>
      <c r="F916" s="21" t="s">
        <v>49</v>
      </c>
      <c r="G916" s="21" t="s">
        <v>556</v>
      </c>
      <c r="H916" s="27" t="n">
        <v>52</v>
      </c>
      <c r="I916" s="27" t="n">
        <v>52</v>
      </c>
      <c r="J916" s="27" t="n">
        <v>52</v>
      </c>
      <c r="K916" s="27" t="n">
        <v>52</v>
      </c>
    </row>
    <row r="917" customFormat="false" ht="25" hidden="false" customHeight="false" outlineLevel="0" collapsed="false">
      <c r="A917" s="21" t="n">
        <v>24</v>
      </c>
      <c r="B917" s="21" t="n">
        <v>2022</v>
      </c>
      <c r="C917" s="26" t="n">
        <v>44833</v>
      </c>
      <c r="D917" s="21" t="s">
        <v>69</v>
      </c>
      <c r="E917" s="21" t="s">
        <v>74</v>
      </c>
      <c r="F917" s="21" t="s">
        <v>75</v>
      </c>
      <c r="G917" s="21" t="s">
        <v>556</v>
      </c>
      <c r="H917" s="27" t="n">
        <v>70</v>
      </c>
      <c r="I917" s="27" t="n">
        <v>70</v>
      </c>
      <c r="J917" s="27" t="n">
        <v>70</v>
      </c>
      <c r="K917" s="27" t="n">
        <v>70</v>
      </c>
    </row>
    <row r="918" customFormat="false" ht="59.5" hidden="false" customHeight="false" outlineLevel="0" collapsed="false">
      <c r="A918" s="21" t="n">
        <v>25</v>
      </c>
      <c r="B918" s="21" t="n">
        <v>2022</v>
      </c>
      <c r="C918" s="26" t="n">
        <v>44840</v>
      </c>
      <c r="D918" s="21" t="s">
        <v>15</v>
      </c>
      <c r="E918" s="21" t="s">
        <v>16</v>
      </c>
      <c r="F918" s="21" t="s">
        <v>17</v>
      </c>
      <c r="G918" s="27" t="n">
        <v>36</v>
      </c>
      <c r="H918" s="27" t="n">
        <v>24</v>
      </c>
      <c r="I918" s="27" t="n">
        <v>33</v>
      </c>
      <c r="J918" s="27" t="n">
        <v>36</v>
      </c>
      <c r="K918" s="27" t="n">
        <v>36</v>
      </c>
    </row>
    <row r="919" customFormat="false" ht="59.5" hidden="false" customHeight="false" outlineLevel="0" collapsed="false">
      <c r="A919" s="21" t="n">
        <v>25</v>
      </c>
      <c r="B919" s="21" t="n">
        <v>2022</v>
      </c>
      <c r="C919" s="26" t="n">
        <v>44840</v>
      </c>
      <c r="D919" s="21" t="s">
        <v>15</v>
      </c>
      <c r="E919" s="21" t="s">
        <v>18</v>
      </c>
      <c r="F919" s="21" t="s">
        <v>17</v>
      </c>
      <c r="G919" s="21" t="s">
        <v>556</v>
      </c>
      <c r="H919" s="27" t="n">
        <v>54</v>
      </c>
      <c r="I919" s="27" t="n">
        <v>57</v>
      </c>
      <c r="J919" s="27" t="n">
        <v>60</v>
      </c>
      <c r="K919" s="27" t="n">
        <v>57</v>
      </c>
    </row>
    <row r="920" customFormat="false" ht="59.5" hidden="false" customHeight="false" outlineLevel="0" collapsed="false">
      <c r="A920" s="21" t="n">
        <v>25</v>
      </c>
      <c r="B920" s="21" t="n">
        <v>2022</v>
      </c>
      <c r="C920" s="26" t="n">
        <v>44840</v>
      </c>
      <c r="D920" s="21" t="s">
        <v>15</v>
      </c>
      <c r="E920" s="21" t="s">
        <v>19</v>
      </c>
      <c r="F920" s="21" t="s">
        <v>17</v>
      </c>
      <c r="G920" s="27" t="n">
        <v>30</v>
      </c>
      <c r="H920" s="27" t="n">
        <v>18</v>
      </c>
      <c r="I920" s="27" t="n">
        <v>24.2</v>
      </c>
      <c r="J920" s="27" t="n">
        <v>30</v>
      </c>
      <c r="K920" s="27" t="n">
        <v>25</v>
      </c>
    </row>
    <row r="921" customFormat="false" ht="59.5" hidden="false" customHeight="false" outlineLevel="0" collapsed="false">
      <c r="A921" s="21" t="n">
        <v>25</v>
      </c>
      <c r="B921" s="21" t="n">
        <v>2022</v>
      </c>
      <c r="C921" s="26" t="n">
        <v>44840</v>
      </c>
      <c r="D921" s="21" t="s">
        <v>15</v>
      </c>
      <c r="E921" s="21" t="s">
        <v>20</v>
      </c>
      <c r="F921" s="21" t="s">
        <v>17</v>
      </c>
      <c r="G921" s="27" t="n">
        <v>15</v>
      </c>
      <c r="H921" s="27" t="n">
        <v>12</v>
      </c>
      <c r="I921" s="27" t="n">
        <v>13.5</v>
      </c>
      <c r="J921" s="27" t="n">
        <v>15</v>
      </c>
      <c r="K921" s="27" t="n">
        <v>13.5</v>
      </c>
    </row>
    <row r="922" customFormat="false" ht="59.5" hidden="false" customHeight="false" outlineLevel="0" collapsed="false">
      <c r="A922" s="21" t="n">
        <v>25</v>
      </c>
      <c r="B922" s="21" t="n">
        <v>2022</v>
      </c>
      <c r="C922" s="26" t="n">
        <v>44840</v>
      </c>
      <c r="D922" s="21" t="s">
        <v>15</v>
      </c>
      <c r="E922" s="21" t="s">
        <v>21</v>
      </c>
      <c r="F922" s="21" t="s">
        <v>17</v>
      </c>
      <c r="G922" s="27" t="n">
        <v>15</v>
      </c>
      <c r="H922" s="27" t="n">
        <v>12</v>
      </c>
      <c r="I922" s="27" t="n">
        <v>13.5</v>
      </c>
      <c r="J922" s="27" t="n">
        <v>15</v>
      </c>
      <c r="K922" s="27" t="n">
        <v>13.5</v>
      </c>
    </row>
    <row r="923" customFormat="false" ht="59.5" hidden="false" customHeight="false" outlineLevel="0" collapsed="false">
      <c r="A923" s="21" t="n">
        <v>25</v>
      </c>
      <c r="B923" s="21" t="n">
        <v>2022</v>
      </c>
      <c r="C923" s="26" t="n">
        <v>44840</v>
      </c>
      <c r="D923" s="21" t="s">
        <v>15</v>
      </c>
      <c r="E923" s="21" t="s">
        <v>22</v>
      </c>
      <c r="F923" s="21" t="s">
        <v>17</v>
      </c>
      <c r="G923" s="21" t="s">
        <v>556</v>
      </c>
      <c r="H923" s="27" t="n">
        <v>40</v>
      </c>
      <c r="I923" s="27" t="n">
        <v>47.33</v>
      </c>
      <c r="J923" s="27" t="n">
        <v>54</v>
      </c>
      <c r="K923" s="27" t="n">
        <v>48</v>
      </c>
    </row>
    <row r="924" customFormat="false" ht="59.5" hidden="false" customHeight="false" outlineLevel="0" collapsed="false">
      <c r="A924" s="21" t="n">
        <v>25</v>
      </c>
      <c r="B924" s="21" t="n">
        <v>2022</v>
      </c>
      <c r="C924" s="26" t="n">
        <v>44840</v>
      </c>
      <c r="D924" s="21" t="s">
        <v>15</v>
      </c>
      <c r="E924" s="21" t="s">
        <v>23</v>
      </c>
      <c r="F924" s="21" t="s">
        <v>17</v>
      </c>
      <c r="G924" s="27" t="n">
        <v>60</v>
      </c>
      <c r="H924" s="27" t="n">
        <v>48</v>
      </c>
      <c r="I924" s="27" t="n">
        <v>56</v>
      </c>
      <c r="J924" s="27" t="n">
        <v>60</v>
      </c>
      <c r="K924" s="27" t="n">
        <v>60</v>
      </c>
    </row>
    <row r="925" customFormat="false" ht="59.5" hidden="false" customHeight="false" outlineLevel="0" collapsed="false">
      <c r="A925" s="21" t="n">
        <v>25</v>
      </c>
      <c r="B925" s="21" t="n">
        <v>2022</v>
      </c>
      <c r="C925" s="26" t="n">
        <v>44840</v>
      </c>
      <c r="D925" s="21" t="s">
        <v>15</v>
      </c>
      <c r="E925" s="21" t="s">
        <v>24</v>
      </c>
      <c r="F925" s="21" t="s">
        <v>17</v>
      </c>
      <c r="G925" s="27" t="n">
        <v>48</v>
      </c>
      <c r="H925" s="27" t="n">
        <v>48</v>
      </c>
      <c r="I925" s="27" t="n">
        <v>52.8</v>
      </c>
      <c r="J925" s="27" t="n">
        <v>60</v>
      </c>
      <c r="K925" s="27" t="n">
        <v>48</v>
      </c>
    </row>
    <row r="926" customFormat="false" ht="59.5" hidden="false" customHeight="false" outlineLevel="0" collapsed="false">
      <c r="A926" s="21" t="n">
        <v>25</v>
      </c>
      <c r="B926" s="21" t="n">
        <v>2022</v>
      </c>
      <c r="C926" s="26" t="n">
        <v>44840</v>
      </c>
      <c r="D926" s="21" t="s">
        <v>15</v>
      </c>
      <c r="E926" s="21" t="s">
        <v>25</v>
      </c>
      <c r="F926" s="21" t="s">
        <v>17</v>
      </c>
      <c r="G926" s="27" t="n">
        <v>15</v>
      </c>
      <c r="H926" s="27" t="n">
        <v>12</v>
      </c>
      <c r="I926" s="27" t="n">
        <v>16.8</v>
      </c>
      <c r="J926" s="27" t="n">
        <v>24</v>
      </c>
      <c r="K926" s="27" t="n">
        <v>15</v>
      </c>
    </row>
    <row r="927" customFormat="false" ht="59.5" hidden="false" customHeight="false" outlineLevel="0" collapsed="false">
      <c r="A927" s="21" t="n">
        <v>25</v>
      </c>
      <c r="B927" s="21" t="n">
        <v>2022</v>
      </c>
      <c r="C927" s="26" t="n">
        <v>44840</v>
      </c>
      <c r="D927" s="21" t="s">
        <v>15</v>
      </c>
      <c r="E927" s="21" t="s">
        <v>77</v>
      </c>
      <c r="F927" s="21" t="s">
        <v>17</v>
      </c>
      <c r="G927" s="21" t="s">
        <v>556</v>
      </c>
      <c r="H927" s="27" t="n">
        <v>45</v>
      </c>
      <c r="I927" s="27" t="n">
        <v>52</v>
      </c>
      <c r="J927" s="27" t="n">
        <v>60</v>
      </c>
      <c r="K927" s="27" t="n">
        <v>51.5</v>
      </c>
    </row>
    <row r="928" customFormat="false" ht="59.5" hidden="false" customHeight="false" outlineLevel="0" collapsed="false">
      <c r="A928" s="21" t="n">
        <v>25</v>
      </c>
      <c r="B928" s="21" t="n">
        <v>2022</v>
      </c>
      <c r="C928" s="26" t="n">
        <v>44840</v>
      </c>
      <c r="D928" s="21" t="s">
        <v>15</v>
      </c>
      <c r="E928" s="21" t="s">
        <v>27</v>
      </c>
      <c r="F928" s="21" t="s">
        <v>17</v>
      </c>
      <c r="G928" s="21" t="s">
        <v>556</v>
      </c>
      <c r="H928" s="27" t="n">
        <v>10</v>
      </c>
      <c r="I928" s="27" t="n">
        <v>15.8</v>
      </c>
      <c r="J928" s="27" t="n">
        <v>24</v>
      </c>
      <c r="K928" s="27" t="n">
        <v>15</v>
      </c>
    </row>
    <row r="929" customFormat="false" ht="59.5" hidden="false" customHeight="false" outlineLevel="0" collapsed="false">
      <c r="A929" s="21" t="n">
        <v>25</v>
      </c>
      <c r="B929" s="21" t="n">
        <v>2022</v>
      </c>
      <c r="C929" s="26" t="n">
        <v>44840</v>
      </c>
      <c r="D929" s="21" t="s">
        <v>15</v>
      </c>
      <c r="E929" s="21" t="s">
        <v>28</v>
      </c>
      <c r="F929" s="21" t="s">
        <v>17</v>
      </c>
      <c r="G929" s="27" t="n">
        <v>54</v>
      </c>
      <c r="H929" s="27" t="n">
        <v>48</v>
      </c>
      <c r="I929" s="27" t="n">
        <v>52</v>
      </c>
      <c r="J929" s="27" t="n">
        <v>54</v>
      </c>
      <c r="K929" s="27" t="n">
        <v>54</v>
      </c>
    </row>
    <row r="930" customFormat="false" ht="59.5" hidden="false" customHeight="false" outlineLevel="0" collapsed="false">
      <c r="A930" s="21" t="n">
        <v>25</v>
      </c>
      <c r="B930" s="21" t="n">
        <v>2022</v>
      </c>
      <c r="C930" s="26" t="n">
        <v>44840</v>
      </c>
      <c r="D930" s="21" t="s">
        <v>15</v>
      </c>
      <c r="E930" s="21" t="s">
        <v>29</v>
      </c>
      <c r="F930" s="21" t="s">
        <v>30</v>
      </c>
      <c r="G930" s="27" t="n">
        <v>48</v>
      </c>
      <c r="H930" s="27" t="n">
        <v>36</v>
      </c>
      <c r="I930" s="27" t="n">
        <v>46.5</v>
      </c>
      <c r="J930" s="27" t="n">
        <v>54</v>
      </c>
      <c r="K930" s="27" t="n">
        <v>48</v>
      </c>
    </row>
    <row r="931" customFormat="false" ht="59.5" hidden="false" customHeight="false" outlineLevel="0" collapsed="false">
      <c r="A931" s="21" t="n">
        <v>25</v>
      </c>
      <c r="B931" s="21" t="n">
        <v>2022</v>
      </c>
      <c r="C931" s="26" t="n">
        <v>44840</v>
      </c>
      <c r="D931" s="21" t="s">
        <v>15</v>
      </c>
      <c r="E931" s="21" t="s">
        <v>31</v>
      </c>
      <c r="F931" s="21" t="s">
        <v>17</v>
      </c>
      <c r="G931" s="27" t="n">
        <v>42</v>
      </c>
      <c r="H931" s="27" t="n">
        <v>24</v>
      </c>
      <c r="I931" s="27" t="n">
        <v>35.75</v>
      </c>
      <c r="J931" s="27" t="n">
        <v>42</v>
      </c>
      <c r="K931" s="27" t="n">
        <v>38.5</v>
      </c>
    </row>
    <row r="932" customFormat="false" ht="59.5" hidden="false" customHeight="false" outlineLevel="0" collapsed="false">
      <c r="A932" s="21" t="n">
        <v>25</v>
      </c>
      <c r="B932" s="21" t="n">
        <v>2022</v>
      </c>
      <c r="C932" s="26" t="n">
        <v>44840</v>
      </c>
      <c r="D932" s="21" t="s">
        <v>15</v>
      </c>
      <c r="E932" s="21" t="s">
        <v>32</v>
      </c>
      <c r="F932" s="21" t="s">
        <v>17</v>
      </c>
      <c r="G932" s="27" t="n">
        <v>20</v>
      </c>
      <c r="H932" s="27" t="n">
        <v>20</v>
      </c>
      <c r="I932" s="27" t="n">
        <v>24.8</v>
      </c>
      <c r="J932" s="27" t="n">
        <v>30</v>
      </c>
      <c r="K932" s="27" t="n">
        <v>24</v>
      </c>
    </row>
    <row r="933" customFormat="false" ht="59.5" hidden="false" customHeight="false" outlineLevel="0" collapsed="false">
      <c r="A933" s="21" t="n">
        <v>25</v>
      </c>
      <c r="B933" s="21" t="n">
        <v>2022</v>
      </c>
      <c r="C933" s="26" t="n">
        <v>44840</v>
      </c>
      <c r="D933" s="21" t="s">
        <v>15</v>
      </c>
      <c r="E933" s="21" t="s">
        <v>33</v>
      </c>
      <c r="F933" s="21" t="s">
        <v>17</v>
      </c>
      <c r="G933" s="27" t="n">
        <v>42</v>
      </c>
      <c r="H933" s="27" t="n">
        <v>24</v>
      </c>
      <c r="I933" s="27" t="n">
        <v>35.6</v>
      </c>
      <c r="J933" s="27" t="n">
        <v>42</v>
      </c>
      <c r="K933" s="27" t="n">
        <v>42</v>
      </c>
    </row>
    <row r="934" customFormat="false" ht="59.5" hidden="false" customHeight="false" outlineLevel="0" collapsed="false">
      <c r="A934" s="21" t="n">
        <v>25</v>
      </c>
      <c r="B934" s="21" t="n">
        <v>2022</v>
      </c>
      <c r="C934" s="26" t="n">
        <v>44840</v>
      </c>
      <c r="D934" s="21" t="s">
        <v>34</v>
      </c>
      <c r="E934" s="21" t="s">
        <v>35</v>
      </c>
      <c r="F934" s="21" t="s">
        <v>36</v>
      </c>
      <c r="G934" s="27" t="n">
        <v>4</v>
      </c>
      <c r="H934" s="27" t="n">
        <v>3</v>
      </c>
      <c r="I934" s="27" t="n">
        <v>4</v>
      </c>
      <c r="J934" s="27" t="n">
        <v>5</v>
      </c>
      <c r="K934" s="27" t="n">
        <v>4</v>
      </c>
    </row>
    <row r="935" customFormat="false" ht="59.5" hidden="false" customHeight="false" outlineLevel="0" collapsed="false">
      <c r="A935" s="21" t="n">
        <v>25</v>
      </c>
      <c r="B935" s="21" t="n">
        <v>2022</v>
      </c>
      <c r="C935" s="26" t="n">
        <v>44840</v>
      </c>
      <c r="D935" s="21" t="s">
        <v>34</v>
      </c>
      <c r="E935" s="21" t="s">
        <v>38</v>
      </c>
      <c r="F935" s="21" t="s">
        <v>39</v>
      </c>
      <c r="G935" s="27" t="n">
        <v>10</v>
      </c>
      <c r="H935" s="27" t="n">
        <v>10</v>
      </c>
      <c r="I935" s="27" t="n">
        <v>11.4</v>
      </c>
      <c r="J935" s="27" t="n">
        <v>15</v>
      </c>
      <c r="K935" s="27" t="n">
        <v>10</v>
      </c>
    </row>
    <row r="936" customFormat="false" ht="59.5" hidden="false" customHeight="false" outlineLevel="0" collapsed="false">
      <c r="A936" s="21" t="n">
        <v>25</v>
      </c>
      <c r="B936" s="21" t="n">
        <v>2022</v>
      </c>
      <c r="C936" s="26" t="n">
        <v>44840</v>
      </c>
      <c r="D936" s="21" t="s">
        <v>34</v>
      </c>
      <c r="E936" s="21" t="s">
        <v>40</v>
      </c>
      <c r="F936" s="21" t="s">
        <v>39</v>
      </c>
      <c r="G936" s="27" t="n">
        <v>15</v>
      </c>
      <c r="H936" s="27" t="n">
        <v>15</v>
      </c>
      <c r="I936" s="27" t="n">
        <v>18.25</v>
      </c>
      <c r="J936" s="27" t="n">
        <v>25</v>
      </c>
      <c r="K936" s="27" t="n">
        <v>16.5</v>
      </c>
    </row>
    <row r="937" customFormat="false" ht="36.5" hidden="false" customHeight="false" outlineLevel="0" collapsed="false">
      <c r="A937" s="21" t="n">
        <v>25</v>
      </c>
      <c r="B937" s="21" t="n">
        <v>2022</v>
      </c>
      <c r="C937" s="26" t="n">
        <v>44840</v>
      </c>
      <c r="D937" s="21" t="s">
        <v>293</v>
      </c>
      <c r="E937" s="21" t="s">
        <v>43</v>
      </c>
      <c r="F937" s="21" t="s">
        <v>44</v>
      </c>
      <c r="G937" s="27" t="n">
        <v>50</v>
      </c>
      <c r="H937" s="27" t="n">
        <v>45</v>
      </c>
      <c r="I937" s="27" t="n">
        <v>52.86</v>
      </c>
      <c r="J937" s="27" t="n">
        <v>65</v>
      </c>
      <c r="K937" s="27" t="n">
        <v>50</v>
      </c>
    </row>
    <row r="938" customFormat="false" ht="36.5" hidden="false" customHeight="false" outlineLevel="0" collapsed="false">
      <c r="A938" s="21" t="n">
        <v>25</v>
      </c>
      <c r="B938" s="21" t="n">
        <v>2022</v>
      </c>
      <c r="C938" s="26" t="n">
        <v>44840</v>
      </c>
      <c r="D938" s="21" t="s">
        <v>293</v>
      </c>
      <c r="E938" s="21" t="s">
        <v>46</v>
      </c>
      <c r="F938" s="21" t="s">
        <v>47</v>
      </c>
      <c r="G938" s="27" t="n">
        <v>60</v>
      </c>
      <c r="H938" s="27" t="n">
        <v>50</v>
      </c>
      <c r="I938" s="27" t="n">
        <v>57.5</v>
      </c>
      <c r="J938" s="27" t="n">
        <v>65</v>
      </c>
      <c r="K938" s="27" t="n">
        <v>60</v>
      </c>
    </row>
    <row r="939" customFormat="false" ht="36.5" hidden="false" customHeight="false" outlineLevel="0" collapsed="false">
      <c r="A939" s="21" t="n">
        <v>25</v>
      </c>
      <c r="B939" s="21" t="n">
        <v>2022</v>
      </c>
      <c r="C939" s="26" t="n">
        <v>44840</v>
      </c>
      <c r="D939" s="21" t="s">
        <v>293</v>
      </c>
      <c r="E939" s="21" t="s">
        <v>48</v>
      </c>
      <c r="F939" s="21" t="s">
        <v>49</v>
      </c>
      <c r="G939" s="27" t="n">
        <v>40</v>
      </c>
      <c r="H939" s="27" t="n">
        <v>40</v>
      </c>
      <c r="I939" s="27" t="n">
        <v>47.86</v>
      </c>
      <c r="J939" s="27" t="n">
        <v>60</v>
      </c>
      <c r="K939" s="27" t="n">
        <v>45</v>
      </c>
    </row>
    <row r="940" customFormat="false" ht="36.5" hidden="false" customHeight="false" outlineLevel="0" collapsed="false">
      <c r="A940" s="21" t="n">
        <v>25</v>
      </c>
      <c r="B940" s="21" t="n">
        <v>2022</v>
      </c>
      <c r="C940" s="26" t="n">
        <v>44840</v>
      </c>
      <c r="D940" s="21" t="s">
        <v>293</v>
      </c>
      <c r="E940" s="21" t="s">
        <v>52</v>
      </c>
      <c r="F940" s="21" t="s">
        <v>49</v>
      </c>
      <c r="G940" s="27" t="n">
        <v>100</v>
      </c>
      <c r="H940" s="27" t="n">
        <v>100</v>
      </c>
      <c r="I940" s="27" t="n">
        <v>100</v>
      </c>
      <c r="J940" s="27" t="n">
        <v>100</v>
      </c>
      <c r="K940" s="27" t="n">
        <v>100</v>
      </c>
    </row>
    <row r="941" customFormat="false" ht="36.5" hidden="false" customHeight="false" outlineLevel="0" collapsed="false">
      <c r="A941" s="21" t="n">
        <v>25</v>
      </c>
      <c r="B941" s="21" t="n">
        <v>2022</v>
      </c>
      <c r="C941" s="26" t="n">
        <v>44840</v>
      </c>
      <c r="D941" s="21" t="s">
        <v>293</v>
      </c>
      <c r="E941" s="21" t="s">
        <v>53</v>
      </c>
      <c r="F941" s="21" t="s">
        <v>54</v>
      </c>
      <c r="G941" s="27" t="n">
        <v>50</v>
      </c>
      <c r="H941" s="27" t="n">
        <v>45</v>
      </c>
      <c r="I941" s="27" t="n">
        <v>49</v>
      </c>
      <c r="J941" s="27" t="n">
        <v>55</v>
      </c>
      <c r="K941" s="27" t="n">
        <v>50</v>
      </c>
    </row>
    <row r="942" customFormat="false" ht="36.5" hidden="false" customHeight="false" outlineLevel="0" collapsed="false">
      <c r="A942" s="21" t="n">
        <v>25</v>
      </c>
      <c r="B942" s="21" t="n">
        <v>2022</v>
      </c>
      <c r="C942" s="26" t="n">
        <v>44840</v>
      </c>
      <c r="D942" s="21" t="s">
        <v>293</v>
      </c>
      <c r="E942" s="21" t="s">
        <v>56</v>
      </c>
      <c r="F942" s="21" t="s">
        <v>47</v>
      </c>
      <c r="G942" s="27" t="n">
        <v>50</v>
      </c>
      <c r="H942" s="27" t="n">
        <v>40</v>
      </c>
      <c r="I942" s="27" t="n">
        <v>49.29</v>
      </c>
      <c r="J942" s="27" t="n">
        <v>65</v>
      </c>
      <c r="K942" s="27" t="n">
        <v>50</v>
      </c>
    </row>
    <row r="943" customFormat="false" ht="36.5" hidden="false" customHeight="false" outlineLevel="0" collapsed="false">
      <c r="A943" s="21" t="n">
        <v>25</v>
      </c>
      <c r="B943" s="21" t="n">
        <v>2022</v>
      </c>
      <c r="C943" s="26" t="n">
        <v>44840</v>
      </c>
      <c r="D943" s="21" t="s">
        <v>293</v>
      </c>
      <c r="E943" s="21" t="s">
        <v>57</v>
      </c>
      <c r="F943" s="21" t="s">
        <v>47</v>
      </c>
      <c r="G943" s="27" t="n">
        <v>40</v>
      </c>
      <c r="H943" s="27" t="n">
        <v>35</v>
      </c>
      <c r="I943" s="27" t="n">
        <v>44.29</v>
      </c>
      <c r="J943" s="27" t="n">
        <v>60</v>
      </c>
      <c r="K943" s="27" t="n">
        <v>40</v>
      </c>
    </row>
    <row r="944" customFormat="false" ht="36.5" hidden="false" customHeight="false" outlineLevel="0" collapsed="false">
      <c r="A944" s="21" t="n">
        <v>25</v>
      </c>
      <c r="B944" s="21" t="n">
        <v>2022</v>
      </c>
      <c r="C944" s="26" t="n">
        <v>44840</v>
      </c>
      <c r="D944" s="21" t="s">
        <v>293</v>
      </c>
      <c r="E944" s="21" t="s">
        <v>58</v>
      </c>
      <c r="F944" s="21" t="s">
        <v>44</v>
      </c>
      <c r="G944" s="27" t="n">
        <v>100</v>
      </c>
      <c r="H944" s="27" t="n">
        <v>80</v>
      </c>
      <c r="I944" s="27" t="n">
        <v>92.86</v>
      </c>
      <c r="J944" s="27" t="n">
        <v>100</v>
      </c>
      <c r="K944" s="27" t="n">
        <v>90</v>
      </c>
    </row>
    <row r="945" customFormat="false" ht="36.5" hidden="false" customHeight="false" outlineLevel="0" collapsed="false">
      <c r="A945" s="21" t="n">
        <v>25</v>
      </c>
      <c r="B945" s="21" t="n">
        <v>2022</v>
      </c>
      <c r="C945" s="26" t="n">
        <v>44840</v>
      </c>
      <c r="D945" s="21" t="s">
        <v>293</v>
      </c>
      <c r="E945" s="21" t="s">
        <v>60</v>
      </c>
      <c r="F945" s="21" t="s">
        <v>47</v>
      </c>
      <c r="G945" s="21" t="s">
        <v>556</v>
      </c>
      <c r="H945" s="27" t="n">
        <v>50</v>
      </c>
      <c r="I945" s="27" t="n">
        <v>55</v>
      </c>
      <c r="J945" s="27" t="n">
        <v>60</v>
      </c>
      <c r="K945" s="27" t="n">
        <v>55</v>
      </c>
    </row>
    <row r="946" customFormat="false" ht="36.5" hidden="false" customHeight="false" outlineLevel="0" collapsed="false">
      <c r="A946" s="21" t="n">
        <v>25</v>
      </c>
      <c r="B946" s="21" t="n">
        <v>2022</v>
      </c>
      <c r="C946" s="26" t="n">
        <v>44840</v>
      </c>
      <c r="D946" s="21" t="s">
        <v>293</v>
      </c>
      <c r="E946" s="21" t="s">
        <v>61</v>
      </c>
      <c r="F946" s="21" t="s">
        <v>44</v>
      </c>
      <c r="G946" s="21" t="s">
        <v>556</v>
      </c>
      <c r="H946" s="27" t="n">
        <v>45</v>
      </c>
      <c r="I946" s="27" t="n">
        <v>55</v>
      </c>
      <c r="J946" s="27" t="n">
        <v>65</v>
      </c>
      <c r="K946" s="27" t="n">
        <v>55</v>
      </c>
    </row>
    <row r="947" customFormat="false" ht="36.5" hidden="false" customHeight="false" outlineLevel="0" collapsed="false">
      <c r="A947" s="21" t="n">
        <v>25</v>
      </c>
      <c r="B947" s="21" t="n">
        <v>2022</v>
      </c>
      <c r="C947" s="26" t="n">
        <v>44840</v>
      </c>
      <c r="D947" s="21" t="s">
        <v>293</v>
      </c>
      <c r="E947" s="21" t="s">
        <v>62</v>
      </c>
      <c r="F947" s="21" t="s">
        <v>44</v>
      </c>
      <c r="G947" s="27" t="n">
        <v>95</v>
      </c>
      <c r="H947" s="27" t="n">
        <v>90</v>
      </c>
      <c r="I947" s="27" t="n">
        <v>96</v>
      </c>
      <c r="J947" s="27" t="n">
        <v>100</v>
      </c>
      <c r="K947" s="27" t="n">
        <v>95</v>
      </c>
    </row>
    <row r="948" customFormat="false" ht="36.5" hidden="false" customHeight="false" outlineLevel="0" collapsed="false">
      <c r="A948" s="21" t="n">
        <v>25</v>
      </c>
      <c r="B948" s="21" t="n">
        <v>2022</v>
      </c>
      <c r="C948" s="26" t="n">
        <v>44840</v>
      </c>
      <c r="D948" s="21" t="s">
        <v>293</v>
      </c>
      <c r="E948" s="21" t="s">
        <v>63</v>
      </c>
      <c r="F948" s="21" t="s">
        <v>49</v>
      </c>
      <c r="G948" s="27" t="n">
        <v>40</v>
      </c>
      <c r="H948" s="27" t="n">
        <v>40</v>
      </c>
      <c r="I948" s="27" t="n">
        <v>46.43</v>
      </c>
      <c r="J948" s="27" t="n">
        <v>55</v>
      </c>
      <c r="K948" s="27" t="n">
        <v>45</v>
      </c>
    </row>
    <row r="949" customFormat="false" ht="36.5" hidden="false" customHeight="false" outlineLevel="0" collapsed="false">
      <c r="A949" s="21" t="n">
        <v>25</v>
      </c>
      <c r="B949" s="21" t="n">
        <v>2022</v>
      </c>
      <c r="C949" s="26" t="n">
        <v>44840</v>
      </c>
      <c r="D949" s="21" t="s">
        <v>293</v>
      </c>
      <c r="E949" s="21" t="s">
        <v>64</v>
      </c>
      <c r="F949" s="21" t="s">
        <v>65</v>
      </c>
      <c r="G949" s="27" t="n">
        <v>130</v>
      </c>
      <c r="H949" s="27" t="n">
        <v>100</v>
      </c>
      <c r="I949" s="27" t="n">
        <v>122.86</v>
      </c>
      <c r="J949" s="27" t="n">
        <v>140</v>
      </c>
      <c r="K949" s="27" t="n">
        <v>130</v>
      </c>
    </row>
    <row r="950" customFormat="false" ht="36.5" hidden="false" customHeight="false" outlineLevel="0" collapsed="false">
      <c r="A950" s="21" t="n">
        <v>25</v>
      </c>
      <c r="B950" s="21" t="n">
        <v>2022</v>
      </c>
      <c r="C950" s="26" t="n">
        <v>44840</v>
      </c>
      <c r="D950" s="21" t="s">
        <v>293</v>
      </c>
      <c r="E950" s="21" t="s">
        <v>67</v>
      </c>
      <c r="F950" s="21" t="s">
        <v>44</v>
      </c>
      <c r="G950" s="27" t="n">
        <v>75</v>
      </c>
      <c r="H950" s="27" t="n">
        <v>60</v>
      </c>
      <c r="I950" s="27" t="n">
        <v>72.14</v>
      </c>
      <c r="J950" s="27" t="n">
        <v>80</v>
      </c>
      <c r="K950" s="27" t="n">
        <v>75</v>
      </c>
    </row>
    <row r="951" customFormat="false" ht="36.5" hidden="false" customHeight="false" outlineLevel="0" collapsed="false">
      <c r="A951" s="21" t="n">
        <v>25</v>
      </c>
      <c r="B951" s="21" t="n">
        <v>2022</v>
      </c>
      <c r="C951" s="26" t="n">
        <v>44840</v>
      </c>
      <c r="D951" s="21" t="s">
        <v>293</v>
      </c>
      <c r="E951" s="21" t="s">
        <v>68</v>
      </c>
      <c r="F951" s="21" t="s">
        <v>44</v>
      </c>
      <c r="G951" s="27" t="n">
        <v>120</v>
      </c>
      <c r="H951" s="27" t="n">
        <v>120</v>
      </c>
      <c r="I951" s="27" t="n">
        <v>141.67</v>
      </c>
      <c r="J951" s="27" t="n">
        <v>200</v>
      </c>
      <c r="K951" s="27" t="n">
        <v>130</v>
      </c>
    </row>
    <row r="952" customFormat="false" ht="25" hidden="false" customHeight="false" outlineLevel="0" collapsed="false">
      <c r="A952" s="21" t="n">
        <v>25</v>
      </c>
      <c r="B952" s="21" t="n">
        <v>2022</v>
      </c>
      <c r="C952" s="26" t="n">
        <v>44840</v>
      </c>
      <c r="D952" s="21" t="s">
        <v>69</v>
      </c>
      <c r="E952" s="21" t="s">
        <v>70</v>
      </c>
      <c r="F952" s="21" t="s">
        <v>44</v>
      </c>
      <c r="G952" s="21" t="s">
        <v>556</v>
      </c>
      <c r="H952" s="21" t="s">
        <v>556</v>
      </c>
      <c r="I952" s="21" t="s">
        <v>556</v>
      </c>
      <c r="J952" s="21" t="s">
        <v>556</v>
      </c>
      <c r="K952" s="21" t="s">
        <v>556</v>
      </c>
    </row>
    <row r="953" customFormat="false" ht="25" hidden="false" customHeight="false" outlineLevel="0" collapsed="false">
      <c r="A953" s="21" t="n">
        <v>25</v>
      </c>
      <c r="B953" s="21" t="n">
        <v>2022</v>
      </c>
      <c r="C953" s="26" t="n">
        <v>44840</v>
      </c>
      <c r="D953" s="21" t="s">
        <v>69</v>
      </c>
      <c r="E953" s="21" t="s">
        <v>71</v>
      </c>
      <c r="F953" s="21" t="s">
        <v>44</v>
      </c>
      <c r="G953" s="21" t="s">
        <v>556</v>
      </c>
      <c r="H953" s="21" t="s">
        <v>556</v>
      </c>
      <c r="I953" s="21" t="s">
        <v>556</v>
      </c>
      <c r="J953" s="21" t="s">
        <v>556</v>
      </c>
      <c r="K953" s="21" t="s">
        <v>556</v>
      </c>
    </row>
    <row r="954" customFormat="false" ht="25" hidden="false" customHeight="false" outlineLevel="0" collapsed="false">
      <c r="A954" s="21" t="n">
        <v>25</v>
      </c>
      <c r="B954" s="21" t="n">
        <v>2022</v>
      </c>
      <c r="C954" s="26" t="n">
        <v>44840</v>
      </c>
      <c r="D954" s="21" t="s">
        <v>69</v>
      </c>
      <c r="E954" s="21" t="s">
        <v>72</v>
      </c>
      <c r="F954" s="21" t="s">
        <v>44</v>
      </c>
      <c r="G954" s="21" t="s">
        <v>556</v>
      </c>
      <c r="H954" s="21" t="s">
        <v>556</v>
      </c>
      <c r="I954" s="21" t="s">
        <v>556</v>
      </c>
      <c r="J954" s="21" t="s">
        <v>556</v>
      </c>
      <c r="K954" s="21" t="s">
        <v>556</v>
      </c>
    </row>
    <row r="955" customFormat="false" ht="25" hidden="false" customHeight="false" outlineLevel="0" collapsed="false">
      <c r="A955" s="21" t="n">
        <v>25</v>
      </c>
      <c r="B955" s="21" t="n">
        <v>2022</v>
      </c>
      <c r="C955" s="26" t="n">
        <v>44840</v>
      </c>
      <c r="D955" s="21" t="s">
        <v>69</v>
      </c>
      <c r="E955" s="21" t="s">
        <v>73</v>
      </c>
      <c r="F955" s="21" t="s">
        <v>49</v>
      </c>
      <c r="G955" s="21" t="s">
        <v>556</v>
      </c>
      <c r="H955" s="27" t="n">
        <v>50</v>
      </c>
      <c r="I955" s="27" t="n">
        <v>50</v>
      </c>
      <c r="J955" s="27" t="n">
        <v>50</v>
      </c>
      <c r="K955" s="27" t="n">
        <v>50</v>
      </c>
    </row>
    <row r="956" customFormat="false" ht="25" hidden="false" customHeight="false" outlineLevel="0" collapsed="false">
      <c r="A956" s="21" t="n">
        <v>25</v>
      </c>
      <c r="B956" s="21" t="n">
        <v>2022</v>
      </c>
      <c r="C956" s="26" t="n">
        <v>44840</v>
      </c>
      <c r="D956" s="21" t="s">
        <v>69</v>
      </c>
      <c r="E956" s="21" t="s">
        <v>74</v>
      </c>
      <c r="F956" s="21" t="s">
        <v>75</v>
      </c>
      <c r="G956" s="21" t="s">
        <v>556</v>
      </c>
      <c r="H956" s="21" t="s">
        <v>556</v>
      </c>
      <c r="I956" s="21" t="s">
        <v>556</v>
      </c>
      <c r="J956" s="21" t="s">
        <v>556</v>
      </c>
      <c r="K956" s="21" t="s">
        <v>556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4453125" defaultRowHeight="14.25" customHeight="false" zeroHeight="false" outlineLevelRow="0" outlineLevelCol="0"/>
  <cols>
    <col collapsed="false" customWidth="true" hidden="false" outlineLevel="0" max="2" min="2" style="0" width="9.21"/>
    <col collapsed="false" customWidth="true" hidden="false" outlineLevel="0" max="3" min="3" style="0" width="72.11"/>
  </cols>
  <sheetData>
    <row r="1" customFormat="false" ht="14.25" hidden="false" customHeight="false" outlineLevel="0" collapsed="false">
      <c r="A1" s="0" t="s">
        <v>699</v>
      </c>
      <c r="B1" s="0" t="s">
        <v>649</v>
      </c>
      <c r="C1" s="0" t="s">
        <v>700</v>
      </c>
    </row>
    <row r="2" customFormat="false" ht="14.25" hidden="false" customHeight="false" outlineLevel="0" collapsed="false">
      <c r="A2" s="0" t="n">
        <v>1</v>
      </c>
      <c r="B2" s="0" t="s">
        <v>701</v>
      </c>
      <c r="C2" s="0" t="s">
        <v>702</v>
      </c>
      <c r="D2" s="0" t="str">
        <f aca="false">"INSERT INTO GRUPO_ALIMENTAR (grp_id, grp_nome, grp_desc) VALUES ("&amp;A2&amp;", '"&amp;B2&amp;"', '"&amp;C2&amp;"');"</f>
        <v>INSERT INTO GRUPO_ALIMENTAR (grp_id, grp_nome, grp_desc) VALUES (1, 'A', 'Verduras (folhosas, flores e hastes)');</v>
      </c>
    </row>
    <row r="3" customFormat="false" ht="14.25" hidden="false" customHeight="false" outlineLevel="0" collapsed="false">
      <c r="A3" s="0" t="n">
        <v>2</v>
      </c>
      <c r="B3" s="0" t="s">
        <v>703</v>
      </c>
      <c r="C3" s="0" t="s">
        <v>704</v>
      </c>
      <c r="D3" s="0" t="str">
        <f aca="false">"INSERT INTO GRUPO_ALIMENTAR (grp_id, grp_nome, grp_desc) VALUES ("&amp;A3&amp;", '"&amp;B3&amp;"', '"&amp;C3&amp;"');"</f>
        <v>INSERT INTO GRUPO_ALIMENTAR (grp_id, grp_nome, grp_desc) VALUES (2, 'B', 'Hortaliças condimentares (temperos)');</v>
      </c>
    </row>
    <row r="4" customFormat="false" ht="14.25" hidden="false" customHeight="false" outlineLevel="0" collapsed="false">
      <c r="A4" s="0" t="n">
        <v>3</v>
      </c>
      <c r="B4" s="0" t="s">
        <v>705</v>
      </c>
      <c r="C4" s="0" t="s">
        <v>706</v>
      </c>
      <c r="D4" s="0" t="str">
        <f aca="false">"INSERT INTO GRUPO_ALIMENTAR (grp_id, grp_nome, grp_desc) VALUES ("&amp;A4&amp;", '"&amp;B4&amp;"', '"&amp;C4&amp;"');"</f>
        <v>INSERT INTO GRUPO_ALIMENTAR (grp_id, grp_nome, grp_desc) VALUES (3, 'C', 'Hortaliças legumes (leguminosas (vagens), frutos, raízes tuberosas, tuberculos, bulbos)');</v>
      </c>
    </row>
    <row r="5" customFormat="false" ht="14.25" hidden="false" customHeight="false" outlineLevel="0" collapsed="false">
      <c r="A5" s="0" t="n">
        <v>4</v>
      </c>
      <c r="B5" s="0" t="s">
        <v>707</v>
      </c>
      <c r="C5" s="0" t="s">
        <v>677</v>
      </c>
      <c r="D5" s="0" t="str">
        <f aca="false">"INSERT INTO GRUPO_ALIMENTAR (grp_id, grp_nome, grp_desc) VALUES ("&amp;A5&amp;", '"&amp;B5&amp;"', '"&amp;C5&amp;"');"</f>
        <v>INSERT INTO GRUPO_ALIMENTAR (grp_id, grp_nome, grp_desc) VALUES (4, 'D', 'Frutas');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4453125" defaultRowHeight="14.25" customHeight="false" zeroHeight="false" outlineLevelRow="0" outlineLevelCol="0"/>
  <cols>
    <col collapsed="false" customWidth="true" hidden="false" outlineLevel="0" max="2" min="2" style="0" width="10.21"/>
  </cols>
  <sheetData>
    <row r="1" customFormat="false" ht="14.25" hidden="false" customHeight="false" outlineLevel="0" collapsed="false">
      <c r="A1" s="0" t="s">
        <v>708</v>
      </c>
      <c r="B1" s="0" t="s">
        <v>709</v>
      </c>
      <c r="C1" s="0" t="s">
        <v>710</v>
      </c>
    </row>
    <row r="2" customFormat="false" ht="14.25" hidden="false" customHeight="false" outlineLevel="0" collapsed="false">
      <c r="A2" s="0" t="n">
        <v>1</v>
      </c>
      <c r="B2" s="0" t="s">
        <v>711</v>
      </c>
      <c r="C2" s="0" t="s">
        <v>712</v>
      </c>
      <c r="E2" s="0" t="str">
        <f aca="false">"INSERT INTO UNIDADE_MEDIDA (umd_id, umd_nome, umd_sigla) VALUES ("&amp;A2&amp;", '"&amp;B2&amp;"', '"&amp;C2&amp;"');"</f>
        <v>INSERT INTO UNIDADE_MEDIDA (umd_id, umd_nome, umd_sigla) VALUES (1, 'Quilograma', 'kg');</v>
      </c>
    </row>
    <row r="3" customFormat="false" ht="14.25" hidden="false" customHeight="false" outlineLevel="0" collapsed="false">
      <c r="A3" s="0" t="n">
        <v>1</v>
      </c>
      <c r="B3" s="0" t="s">
        <v>713</v>
      </c>
      <c r="C3" s="0" t="s">
        <v>714</v>
      </c>
      <c r="E3" s="0" t="str">
        <f aca="false">"INSERT INTO UNIDADE_MEDIDA (umd_id, umd_nome, umd_sigla) VALUES ("&amp;A3&amp;", '"&amp;B3&amp;"', '"&amp;C3&amp;"');"</f>
        <v>INSERT INTO UNIDADE_MEDIDA (umd_id, umd_nome, umd_sigla) VALUES (1, 'Grama', 'g');</v>
      </c>
    </row>
    <row r="4" customFormat="false" ht="14.25" hidden="false" customHeight="false" outlineLevel="0" collapsed="false">
      <c r="A4" s="0" t="n">
        <v>1</v>
      </c>
      <c r="B4" s="0" t="s">
        <v>5</v>
      </c>
      <c r="C4" s="0" t="s">
        <v>715</v>
      </c>
      <c r="E4" s="0" t="str">
        <f aca="false">"INSERT INTO UNIDADE_MEDIDA (umd_id, umd_nome, umd_sigla) VALUES ("&amp;A4&amp;", '"&amp;B4&amp;"', '"&amp;C4&amp;"');"</f>
        <v>INSERT INTO UNIDADE_MEDIDA (umd_id, umd_nome, umd_sigla) VALUES (1, 'Unidade', 'un');</v>
      </c>
    </row>
    <row r="5" customFormat="false" ht="14.25" hidden="false" customHeight="false" outlineLevel="0" collapsed="false">
      <c r="A5" s="0" t="n">
        <v>1</v>
      </c>
      <c r="B5" s="0" t="s">
        <v>716</v>
      </c>
      <c r="C5" s="0" t="s">
        <v>717</v>
      </c>
      <c r="E5" s="0" t="str">
        <f aca="false">"INSERT INTO UNIDADE_MEDIDA (umd_id, umd_nome, umd_sigla) VALUES ("&amp;A5&amp;", '"&amp;B5&amp;"', '"&amp;C5&amp;"');"</f>
        <v>INSERT INTO UNIDADE_MEDIDA (umd_id, umd_nome, umd_sigla) VALUES (1, 'Mililitro', 'ml');</v>
      </c>
    </row>
    <row r="6" customFormat="false" ht="14.25" hidden="false" customHeight="false" outlineLevel="0" collapsed="false">
      <c r="A6" s="0" t="n">
        <v>1</v>
      </c>
      <c r="B6" s="0" t="s">
        <v>718</v>
      </c>
      <c r="C6" s="0" t="s">
        <v>719</v>
      </c>
      <c r="E6" s="0" t="str">
        <f aca="false">"INSERT INTO UNIDADE_MEDIDA (umd_id, umd_nome, umd_sigla) VALUES ("&amp;A6&amp;", '"&amp;B6&amp;"', '"&amp;C6&amp;"');"</f>
        <v>INSERT INTO UNIDADE_MEDIDA (umd_id, umd_nome, umd_sigla) VALUES (1, 'Litro', 'L');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9"/>
  <sheetViews>
    <sheetView showFormulas="false" showGridLines="true" showRowColHeaders="true" showZeros="true" rightToLeft="false" tabSelected="false" showOutlineSymbols="true" defaultGridColor="true" view="normal" topLeftCell="A79" colorId="64" zoomScale="115" zoomScaleNormal="115" zoomScalePageLayoutView="100" workbookViewId="0">
      <selection pane="topLeft" activeCell="C86" activeCellId="0" sqref="C86"/>
    </sheetView>
  </sheetViews>
  <sheetFormatPr defaultColWidth="8.4453125" defaultRowHeight="14.25" customHeight="false" zeroHeight="false" outlineLevelRow="0" outlineLevelCol="0"/>
  <cols>
    <col collapsed="false" customWidth="true" hidden="false" outlineLevel="0" max="4" min="4" style="0" width="11.11"/>
    <col collapsed="false" customWidth="true" hidden="false" outlineLevel="0" max="5" min="5" style="0" width="11.56"/>
  </cols>
  <sheetData>
    <row r="1" customFormat="false" ht="14.25" hidden="false" customHeight="false" outlineLevel="0" collapsed="false">
      <c r="A1" s="0" t="s">
        <v>720</v>
      </c>
      <c r="B1" s="0" t="s">
        <v>0</v>
      </c>
      <c r="C1" s="0" t="s">
        <v>1</v>
      </c>
      <c r="D1" s="0" t="s">
        <v>2</v>
      </c>
      <c r="E1" s="0" t="s">
        <v>721</v>
      </c>
    </row>
    <row r="2" customFormat="false" ht="14.25" hidden="false" customHeight="false" outlineLevel="0" collapsed="false">
      <c r="A2" s="0" t="n">
        <v>1</v>
      </c>
      <c r="B2" s="0" t="n">
        <v>1</v>
      </c>
      <c r="C2" s="0" t="n">
        <v>2022</v>
      </c>
      <c r="D2" s="3" t="n">
        <v>44643</v>
      </c>
      <c r="E2" s="28" t="n">
        <f aca="true">TODAY()</f>
        <v>46297</v>
      </c>
      <c r="F2" s="0" t="str">
        <f aca="false">"INSERT INTO BOLETIM (blt_id, blt_numero, blt_ano, blt_data_lev, blt_data_cad) VALUES ("&amp;A2&amp;", "&amp;B2&amp;", "&amp;C2&amp;", TO_DATE('"&amp;TEXT(D2,"DD/MM/AAAA")&amp;"', 'DD/MM/YYYY'), SYSDATE);"</f>
        <v>INSERT INTO BOLETIM (blt_id, blt_numero, blt_ano, blt_data_lev, blt_data_cad) VALUES (1, 1, 2022, TO_DATE('23/03/2022', 'DD/MM/YYYY'), SYSDATE);</v>
      </c>
    </row>
    <row r="3" customFormat="false" ht="14.25" hidden="false" customHeight="false" outlineLevel="0" collapsed="false">
      <c r="A3" s="0" t="n">
        <v>2</v>
      </c>
      <c r="B3" s="0" t="n">
        <v>2</v>
      </c>
      <c r="C3" s="0" t="n">
        <v>2022</v>
      </c>
      <c r="D3" s="3" t="n">
        <v>44651</v>
      </c>
      <c r="E3" s="28" t="n">
        <f aca="true">TODAY()</f>
        <v>46297</v>
      </c>
      <c r="F3" s="0" t="str">
        <f aca="false">"INSERT INTO BOLETIM (blt_id, blt_numero, blt_ano, blt_data_lev, blt_data_cad) VALUES ("&amp;A3&amp;", "&amp;B3&amp;", "&amp;C3&amp;", TO_DATE('"&amp;TEXT(D3,"DD/MM/AAAA")&amp;"', 'DD/MM/YYYY'), SYSDATE);"</f>
        <v>INSERT INTO BOLETIM (blt_id, blt_numero, blt_ano, blt_data_lev, blt_data_cad) VALUES (2, 2, 2022, TO_DATE('31/03/2022', 'DD/MM/YYYY'), SYSDATE);</v>
      </c>
    </row>
    <row r="4" customFormat="false" ht="14.25" hidden="false" customHeight="false" outlineLevel="0" collapsed="false">
      <c r="A4" s="0" t="n">
        <v>3</v>
      </c>
      <c r="B4" s="0" t="n">
        <v>3</v>
      </c>
      <c r="C4" s="0" t="n">
        <v>2022</v>
      </c>
      <c r="D4" s="3" t="n">
        <v>44658</v>
      </c>
      <c r="E4" s="28" t="n">
        <f aca="true">TODAY()</f>
        <v>46297</v>
      </c>
      <c r="F4" s="0" t="str">
        <f aca="false">"INSERT INTO BOLETIM (blt_id, blt_numero, blt_ano, blt_data_lev, blt_data_cad) VALUES ("&amp;A4&amp;", "&amp;B4&amp;", "&amp;C4&amp;", TO_DATE('"&amp;TEXT(D4,"DD/MM/AAAA")&amp;"', 'DD/MM/YYYY'), SYSDATE);"</f>
        <v>INSERT INTO BOLETIM (blt_id, blt_numero, blt_ano, blt_data_lev, blt_data_cad) VALUES (3, 3, 2022, TO_DATE('07/04/2022', 'DD/MM/YYYY'), SYSDATE);</v>
      </c>
    </row>
    <row r="5" customFormat="false" ht="14.25" hidden="false" customHeight="false" outlineLevel="0" collapsed="false">
      <c r="A5" s="0" t="n">
        <v>4</v>
      </c>
      <c r="B5" s="0" t="n">
        <v>4</v>
      </c>
      <c r="C5" s="0" t="n">
        <v>2022</v>
      </c>
      <c r="D5" s="3" t="n">
        <v>44679</v>
      </c>
      <c r="E5" s="28" t="n">
        <f aca="true">TODAY()</f>
        <v>46297</v>
      </c>
      <c r="F5" s="0" t="str">
        <f aca="false">"INSERT INTO BOLETIM (blt_id, blt_numero, blt_ano, blt_data_lev, blt_data_cad) VALUES ("&amp;A5&amp;", "&amp;B5&amp;", "&amp;C5&amp;", TO_DATE('"&amp;TEXT(D5,"DD/MM/AAAA")&amp;"', 'DD/MM/YYYY'), SYSDATE);"</f>
        <v>INSERT INTO BOLETIM (blt_id, blt_numero, blt_ano, blt_data_lev, blt_data_cad) VALUES (4, 4, 2022, TO_DATE('28/04/2022', 'DD/MM/YYYY'), SYSDATE);</v>
      </c>
    </row>
    <row r="6" customFormat="false" ht="14.25" hidden="false" customHeight="false" outlineLevel="0" collapsed="false">
      <c r="A6" s="0" t="n">
        <v>5</v>
      </c>
      <c r="B6" s="0" t="n">
        <v>5</v>
      </c>
      <c r="C6" s="0" t="n">
        <v>2022</v>
      </c>
      <c r="D6" s="3" t="n">
        <v>44686</v>
      </c>
      <c r="E6" s="28" t="n">
        <f aca="true">TODAY()</f>
        <v>46297</v>
      </c>
      <c r="F6" s="0" t="str">
        <f aca="false">"INSERT INTO BOLETIM (blt_id, blt_numero, blt_ano, blt_data_lev, blt_data_cad) VALUES ("&amp;A6&amp;", "&amp;B6&amp;", "&amp;C6&amp;", TO_DATE('"&amp;TEXT(D6,"DD/MM/AAAA")&amp;"', 'DD/MM/YYYY'), SYSDATE);"</f>
        <v>INSERT INTO BOLETIM (blt_id, blt_numero, blt_ano, blt_data_lev, blt_data_cad) VALUES (5, 5, 2022, TO_DATE('05/05/2022', 'DD/MM/YYYY'), SYSDATE);</v>
      </c>
    </row>
    <row r="7" customFormat="false" ht="14.25" hidden="false" customHeight="false" outlineLevel="0" collapsed="false">
      <c r="A7" s="0" t="n">
        <v>6</v>
      </c>
      <c r="B7" s="0" t="n">
        <v>6</v>
      </c>
      <c r="C7" s="0" t="n">
        <v>2022</v>
      </c>
      <c r="D7" s="3" t="n">
        <v>44693</v>
      </c>
      <c r="E7" s="28" t="n">
        <f aca="true">TODAY()</f>
        <v>46297</v>
      </c>
      <c r="F7" s="0" t="str">
        <f aca="false">"INSERT INTO BOLETIM (blt_id, blt_numero, blt_ano, blt_data_lev, blt_data_cad) VALUES ("&amp;A7&amp;", "&amp;B7&amp;", "&amp;C7&amp;", TO_DATE('"&amp;TEXT(D7,"DD/MM/AAAA")&amp;"', 'DD/MM/YYYY'), SYSDATE);"</f>
        <v>INSERT INTO BOLETIM (blt_id, blt_numero, blt_ano, blt_data_lev, blt_data_cad) VALUES (6, 6, 2022, TO_DATE('12/05/2022', 'DD/MM/YYYY'), SYSDATE);</v>
      </c>
    </row>
    <row r="8" customFormat="false" ht="14.25" hidden="false" customHeight="false" outlineLevel="0" collapsed="false">
      <c r="A8" s="0" t="n">
        <v>7</v>
      </c>
      <c r="B8" s="0" t="n">
        <v>7</v>
      </c>
      <c r="C8" s="0" t="n">
        <v>2022</v>
      </c>
      <c r="D8" s="3" t="n">
        <v>44700</v>
      </c>
      <c r="E8" s="28" t="n">
        <f aca="true">TODAY()</f>
        <v>46297</v>
      </c>
      <c r="F8" s="0" t="str">
        <f aca="false">"INSERT INTO BOLETIM (blt_id, blt_numero, blt_ano, blt_data_lev, blt_data_cad) VALUES ("&amp;A8&amp;", "&amp;B8&amp;", "&amp;C8&amp;", TO_DATE('"&amp;TEXT(D8,"DD/MM/AAAA")&amp;"', 'DD/MM/YYYY'), SYSDATE);"</f>
        <v>INSERT INTO BOLETIM (blt_id, blt_numero, blt_ano, blt_data_lev, blt_data_cad) VALUES (7, 7, 2022, TO_DATE('19/05/2022', 'DD/MM/YYYY'), SYSDATE);</v>
      </c>
    </row>
    <row r="9" customFormat="false" ht="14.25" hidden="false" customHeight="false" outlineLevel="0" collapsed="false">
      <c r="A9" s="0" t="n">
        <v>8</v>
      </c>
      <c r="B9" s="0" t="n">
        <v>8</v>
      </c>
      <c r="C9" s="0" t="n">
        <v>2022</v>
      </c>
      <c r="D9" s="3" t="n">
        <v>44707</v>
      </c>
      <c r="E9" s="28" t="n">
        <f aca="true">TODAY()</f>
        <v>46297</v>
      </c>
      <c r="F9" s="0" t="str">
        <f aca="false">"INSERT INTO BOLETIM (blt_id, blt_numero, blt_ano, blt_data_lev, blt_data_cad) VALUES ("&amp;A9&amp;", "&amp;B9&amp;", "&amp;C9&amp;", TO_DATE('"&amp;TEXT(D9,"DD/MM/AAAA")&amp;"', 'DD/MM/YYYY'), SYSDATE);"</f>
        <v>INSERT INTO BOLETIM (blt_id, blt_numero, blt_ano, blt_data_lev, blt_data_cad) VALUES (8, 8, 2022, TO_DATE('26/05/2022', 'DD/MM/YYYY'), SYSDATE);</v>
      </c>
    </row>
    <row r="10" customFormat="false" ht="14.25" hidden="false" customHeight="false" outlineLevel="0" collapsed="false">
      <c r="A10" s="0" t="n">
        <v>9</v>
      </c>
      <c r="B10" s="0" t="n">
        <v>9</v>
      </c>
      <c r="C10" s="0" t="n">
        <v>2022</v>
      </c>
      <c r="D10" s="3" t="n">
        <v>44714</v>
      </c>
      <c r="E10" s="28" t="n">
        <f aca="true">TODAY()</f>
        <v>46297</v>
      </c>
      <c r="F10" s="0" t="str">
        <f aca="false">"INSERT INTO BOLETIM (blt_id, blt_numero, blt_ano, blt_data_lev, blt_data_cad) VALUES ("&amp;A10&amp;", "&amp;B10&amp;", "&amp;C10&amp;", TO_DATE('"&amp;TEXT(D10,"DD/MM/AAAA")&amp;"', 'DD/MM/YYYY'), SYSDATE);"</f>
        <v>INSERT INTO BOLETIM (blt_id, blt_numero, blt_ano, blt_data_lev, blt_data_cad) VALUES (9, 9, 2022, TO_DATE('02/06/2022', 'DD/MM/YYYY'), SYSDATE);</v>
      </c>
    </row>
    <row r="11" customFormat="false" ht="14.25" hidden="false" customHeight="false" outlineLevel="0" collapsed="false">
      <c r="A11" s="0" t="n">
        <v>10</v>
      </c>
      <c r="B11" s="0" t="n">
        <v>10</v>
      </c>
      <c r="C11" s="0" t="n">
        <v>2022</v>
      </c>
      <c r="D11" s="3" t="n">
        <v>44721</v>
      </c>
      <c r="E11" s="28" t="n">
        <f aca="true">TODAY()</f>
        <v>46297</v>
      </c>
      <c r="F11" s="0" t="str">
        <f aca="false">"INSERT INTO BOLETIM (blt_id, blt_numero, blt_ano, blt_data_lev, blt_data_cad) VALUES ("&amp;A11&amp;", "&amp;B11&amp;", "&amp;C11&amp;", TO_DATE('"&amp;TEXT(D11,"DD/MM/AAAA")&amp;"', 'DD/MM/YYYY'), SYSDATE);"</f>
        <v>INSERT INTO BOLETIM (blt_id, blt_numero, blt_ano, blt_data_lev, blt_data_cad) VALUES (10, 10, 2022, TO_DATE('09/06/2022', 'DD/MM/YYYY'), SYSDATE);</v>
      </c>
    </row>
    <row r="12" customFormat="false" ht="14.25" hidden="false" customHeight="false" outlineLevel="0" collapsed="false">
      <c r="A12" s="0" t="n">
        <v>11</v>
      </c>
      <c r="B12" s="0" t="n">
        <v>11</v>
      </c>
      <c r="C12" s="0" t="n">
        <v>2022</v>
      </c>
      <c r="D12" s="3" t="n">
        <v>44728</v>
      </c>
      <c r="E12" s="28" t="n">
        <f aca="true">TODAY()</f>
        <v>46297</v>
      </c>
      <c r="F12" s="0" t="str">
        <f aca="false">"INSERT INTO BOLETIM (blt_id, blt_numero, blt_ano, blt_data_lev, blt_data_cad) VALUES ("&amp;A12&amp;", "&amp;B12&amp;", "&amp;C12&amp;", TO_DATE('"&amp;TEXT(D12,"DD/MM/AAAA")&amp;"', 'DD/MM/YYYY'), SYSDATE);"</f>
        <v>INSERT INTO BOLETIM (blt_id, blt_numero, blt_ano, blt_data_lev, blt_data_cad) VALUES (11, 11, 2022, TO_DATE('16/06/2022', 'DD/MM/YYYY'), SYSDATE);</v>
      </c>
    </row>
    <row r="13" customFormat="false" ht="14.25" hidden="false" customHeight="false" outlineLevel="0" collapsed="false">
      <c r="A13" s="0" t="n">
        <v>12</v>
      </c>
      <c r="B13" s="0" t="n">
        <v>12</v>
      </c>
      <c r="C13" s="0" t="n">
        <v>2022</v>
      </c>
      <c r="D13" s="3" t="n">
        <v>44735</v>
      </c>
      <c r="E13" s="28" t="n">
        <f aca="true">TODAY()</f>
        <v>46297</v>
      </c>
      <c r="F13" s="0" t="str">
        <f aca="false">"INSERT INTO BOLETIM (blt_id, blt_numero, blt_ano, blt_data_lev, blt_data_cad) VALUES ("&amp;A13&amp;", "&amp;B13&amp;", "&amp;C13&amp;", TO_DATE('"&amp;TEXT(D13,"DD/MM/AAAA")&amp;"', 'DD/MM/YYYY'), SYSDATE);"</f>
        <v>INSERT INTO BOLETIM (blt_id, blt_numero, blt_ano, blt_data_lev, blt_data_cad) VALUES (12, 12, 2022, TO_DATE('23/06/2022', 'DD/MM/YYYY'), SYSDATE);</v>
      </c>
    </row>
    <row r="14" customFormat="false" ht="14.25" hidden="false" customHeight="false" outlineLevel="0" collapsed="false">
      <c r="A14" s="0" t="n">
        <v>13</v>
      </c>
      <c r="B14" s="0" t="n">
        <v>13</v>
      </c>
      <c r="C14" s="0" t="n">
        <v>2022</v>
      </c>
      <c r="D14" s="3" t="n">
        <v>44742</v>
      </c>
      <c r="E14" s="28" t="n">
        <f aca="true">TODAY()</f>
        <v>46297</v>
      </c>
      <c r="F14" s="0" t="str">
        <f aca="false">"INSERT INTO BOLETIM (blt_id, blt_numero, blt_ano, blt_data_lev, blt_data_cad) VALUES ("&amp;A14&amp;", "&amp;B14&amp;", "&amp;C14&amp;", TO_DATE('"&amp;TEXT(D14,"DD/MM/AAAA")&amp;"', 'DD/MM/YYYY'), SYSDATE);"</f>
        <v>INSERT INTO BOLETIM (blt_id, blt_numero, blt_ano, blt_data_lev, blt_data_cad) VALUES (13, 13, 2022, TO_DATE('30/06/2022', 'DD/MM/YYYY'), SYSDATE);</v>
      </c>
    </row>
    <row r="15" customFormat="false" ht="14.25" hidden="false" customHeight="false" outlineLevel="0" collapsed="false">
      <c r="A15" s="0" t="n">
        <v>14</v>
      </c>
      <c r="B15" s="0" t="n">
        <v>14</v>
      </c>
      <c r="C15" s="0" t="n">
        <v>2022</v>
      </c>
      <c r="D15" s="3" t="n">
        <v>44749</v>
      </c>
      <c r="E15" s="28" t="n">
        <f aca="true">TODAY()</f>
        <v>46297</v>
      </c>
      <c r="F15" s="0" t="str">
        <f aca="false">"INSERT INTO BOLETIM (blt_id, blt_numero, blt_ano, blt_data_lev, blt_data_cad) VALUES ("&amp;A15&amp;", "&amp;B15&amp;", "&amp;C15&amp;", TO_DATE('"&amp;TEXT(D15,"DD/MM/AAAA")&amp;"', 'DD/MM/YYYY'), SYSDATE);"</f>
        <v>INSERT INTO BOLETIM (blt_id, blt_numero, blt_ano, blt_data_lev, blt_data_cad) VALUES (14, 14, 2022, TO_DATE('07/07/2022', 'DD/MM/YYYY'), SYSDATE);</v>
      </c>
    </row>
    <row r="16" customFormat="false" ht="14.25" hidden="false" customHeight="false" outlineLevel="0" collapsed="false">
      <c r="A16" s="0" t="n">
        <v>15</v>
      </c>
      <c r="B16" s="0" t="n">
        <v>15</v>
      </c>
      <c r="C16" s="0" t="n">
        <v>2022</v>
      </c>
      <c r="D16" s="3" t="n">
        <v>44756</v>
      </c>
      <c r="E16" s="28" t="n">
        <f aca="true">TODAY()</f>
        <v>46297</v>
      </c>
      <c r="F16" s="0" t="str">
        <f aca="false">"INSERT INTO BOLETIM (blt_id, blt_numero, blt_ano, blt_data_lev, blt_data_cad) VALUES ("&amp;A16&amp;", "&amp;B16&amp;", "&amp;C16&amp;", TO_DATE('"&amp;TEXT(D16,"DD/MM/AAAA")&amp;"', 'DD/MM/YYYY'), SYSDATE);"</f>
        <v>INSERT INTO BOLETIM (blt_id, blt_numero, blt_ano, blt_data_lev, blt_data_cad) VALUES (15, 15, 2022, TO_DATE('14/07/2022', 'DD/MM/YYYY'), SYSDATE);</v>
      </c>
    </row>
    <row r="17" customFormat="false" ht="14.25" hidden="false" customHeight="false" outlineLevel="0" collapsed="false">
      <c r="A17" s="0" t="n">
        <v>16</v>
      </c>
      <c r="B17" s="0" t="n">
        <v>16</v>
      </c>
      <c r="C17" s="0" t="n">
        <v>2022</v>
      </c>
      <c r="D17" s="3" t="n">
        <v>44770</v>
      </c>
      <c r="E17" s="28" t="n">
        <f aca="true">TODAY()</f>
        <v>46297</v>
      </c>
      <c r="F17" s="0" t="str">
        <f aca="false">"INSERT INTO BOLETIM (blt_id, blt_numero, blt_ano, blt_data_lev, blt_data_cad) VALUES ("&amp;A17&amp;", "&amp;B17&amp;", "&amp;C17&amp;", TO_DATE('"&amp;TEXT(D17,"DD/MM/AAAA")&amp;"', 'DD/MM/YYYY'), SYSDATE);"</f>
        <v>INSERT INTO BOLETIM (blt_id, blt_numero, blt_ano, blt_data_lev, blt_data_cad) VALUES (16, 16, 2022, TO_DATE('28/07/2022', 'DD/MM/YYYY'), SYSDATE);</v>
      </c>
    </row>
    <row r="18" customFormat="false" ht="14.25" hidden="false" customHeight="false" outlineLevel="0" collapsed="false">
      <c r="A18" s="0" t="n">
        <v>17</v>
      </c>
      <c r="B18" s="0" t="n">
        <v>17</v>
      </c>
      <c r="C18" s="0" t="n">
        <v>2022</v>
      </c>
      <c r="D18" s="3" t="n">
        <v>44777</v>
      </c>
      <c r="E18" s="28" t="n">
        <f aca="true">TODAY()</f>
        <v>46297</v>
      </c>
      <c r="F18" s="0" t="str">
        <f aca="false">"INSERT INTO BOLETIM (blt_id, blt_numero, blt_ano, blt_data_lev, blt_data_cad) VALUES ("&amp;A18&amp;", "&amp;B18&amp;", "&amp;C18&amp;", TO_DATE('"&amp;TEXT(D18,"DD/MM/AAAA")&amp;"', 'DD/MM/YYYY'), SYSDATE);"</f>
        <v>INSERT INTO BOLETIM (blt_id, blt_numero, blt_ano, blt_data_lev, blt_data_cad) VALUES (17, 17, 2022, TO_DATE('04/08/2022', 'DD/MM/YYYY'), SYSDATE);</v>
      </c>
    </row>
    <row r="19" customFormat="false" ht="14.25" hidden="false" customHeight="false" outlineLevel="0" collapsed="false">
      <c r="A19" s="0" t="n">
        <v>18</v>
      </c>
      <c r="B19" s="0" t="n">
        <v>18</v>
      </c>
      <c r="C19" s="0" t="n">
        <v>2022</v>
      </c>
      <c r="D19" s="3" t="n">
        <v>44784</v>
      </c>
      <c r="E19" s="28" t="n">
        <f aca="true">TODAY()</f>
        <v>46297</v>
      </c>
      <c r="F19" s="0" t="str">
        <f aca="false">"INSERT INTO BOLETIM (blt_id, blt_numero, blt_ano, blt_data_lev, blt_data_cad) VALUES ("&amp;A19&amp;", "&amp;B19&amp;", "&amp;C19&amp;", TO_DATE('"&amp;TEXT(D19,"DD/MM/AAAA")&amp;"', 'DD/MM/YYYY'), SYSDATE);"</f>
        <v>INSERT INTO BOLETIM (blt_id, blt_numero, blt_ano, blt_data_lev, blt_data_cad) VALUES (18, 18, 2022, TO_DATE('11/08/2022', 'DD/MM/YYYY'), SYSDATE);</v>
      </c>
    </row>
    <row r="20" customFormat="false" ht="14.25" hidden="false" customHeight="false" outlineLevel="0" collapsed="false">
      <c r="A20" s="0" t="n">
        <v>19</v>
      </c>
      <c r="B20" s="0" t="n">
        <v>19</v>
      </c>
      <c r="C20" s="0" t="n">
        <v>2022</v>
      </c>
      <c r="D20" s="3" t="n">
        <v>44791</v>
      </c>
      <c r="E20" s="28" t="n">
        <f aca="true">TODAY()</f>
        <v>46297</v>
      </c>
      <c r="F20" s="0" t="str">
        <f aca="false">"INSERT INTO BOLETIM (blt_id, blt_numero, blt_ano, blt_data_lev, blt_data_cad) VALUES ("&amp;A20&amp;", "&amp;B20&amp;", "&amp;C20&amp;", TO_DATE('"&amp;TEXT(D20,"DD/MM/AAAA")&amp;"', 'DD/MM/YYYY'), SYSDATE);"</f>
        <v>INSERT INTO BOLETIM (blt_id, blt_numero, blt_ano, blt_data_lev, blt_data_cad) VALUES (19, 19, 2022, TO_DATE('18/08/2022', 'DD/MM/YYYY'), SYSDATE);</v>
      </c>
    </row>
    <row r="21" customFormat="false" ht="14.25" hidden="false" customHeight="false" outlineLevel="0" collapsed="false">
      <c r="A21" s="0" t="n">
        <v>20</v>
      </c>
      <c r="B21" s="0" t="n">
        <v>20</v>
      </c>
      <c r="C21" s="0" t="n">
        <v>2022</v>
      </c>
      <c r="D21" s="3" t="n">
        <v>44812</v>
      </c>
      <c r="E21" s="28" t="n">
        <f aca="true">TODAY()</f>
        <v>46297</v>
      </c>
      <c r="F21" s="0" t="str">
        <f aca="false">"INSERT INTO BOLETIM (blt_id, blt_numero, blt_ano, blt_data_lev, blt_data_cad) VALUES ("&amp;A21&amp;", "&amp;B21&amp;", "&amp;C21&amp;", TO_DATE('"&amp;TEXT(D21,"DD/MM/AAAA")&amp;"', 'DD/MM/YYYY'), SYSDATE);"</f>
        <v>INSERT INTO BOLETIM (blt_id, blt_numero, blt_ano, blt_data_lev, blt_data_cad) VALUES (20, 20, 2022, TO_DATE('08/09/2022', 'DD/MM/YYYY'), SYSDATE);</v>
      </c>
    </row>
    <row r="22" customFormat="false" ht="14.25" hidden="false" customHeight="false" outlineLevel="0" collapsed="false">
      <c r="A22" s="0" t="n">
        <v>21</v>
      </c>
      <c r="B22" s="0" t="n">
        <v>21</v>
      </c>
      <c r="C22" s="0" t="n">
        <v>2022</v>
      </c>
      <c r="D22" s="3" t="n">
        <v>44819</v>
      </c>
      <c r="E22" s="28" t="n">
        <f aca="true">TODAY()</f>
        <v>46297</v>
      </c>
      <c r="F22" s="0" t="str">
        <f aca="false">"INSERT INTO BOLETIM (blt_id, blt_numero, blt_ano, blt_data_lev, blt_data_cad) VALUES ("&amp;A22&amp;", "&amp;B22&amp;", "&amp;C22&amp;", TO_DATE('"&amp;TEXT(D22,"DD/MM/AAAA")&amp;"', 'DD/MM/YYYY'), SYSDATE);"</f>
        <v>INSERT INTO BOLETIM (blt_id, blt_numero, blt_ano, blt_data_lev, blt_data_cad) VALUES (21, 21, 2022, TO_DATE('15/09/2022', 'DD/MM/YYYY'), SYSDATE);</v>
      </c>
    </row>
    <row r="23" customFormat="false" ht="14.25" hidden="false" customHeight="false" outlineLevel="0" collapsed="false">
      <c r="A23" s="0" t="n">
        <v>22</v>
      </c>
      <c r="B23" s="0" t="n">
        <v>22</v>
      </c>
      <c r="C23" s="0" t="n">
        <v>2022</v>
      </c>
      <c r="D23" s="3" t="n">
        <v>44826</v>
      </c>
      <c r="E23" s="28" t="n">
        <f aca="true">TODAY()</f>
        <v>46297</v>
      </c>
      <c r="F23" s="0" t="str">
        <f aca="false">"INSERT INTO BOLETIM (blt_id, blt_numero, blt_ano, blt_data_lev, blt_data_cad) VALUES ("&amp;A23&amp;", "&amp;B23&amp;", "&amp;C23&amp;", TO_DATE('"&amp;TEXT(D23,"DD/MM/AAAA")&amp;"', 'DD/MM/YYYY'), SYSDATE);"</f>
        <v>INSERT INTO BOLETIM (blt_id, blt_numero, blt_ano, blt_data_lev, blt_data_cad) VALUES (22, 22, 2022, TO_DATE('22/09/2022', 'DD/MM/YYYY'), SYSDATE);</v>
      </c>
    </row>
    <row r="24" customFormat="false" ht="14.25" hidden="false" customHeight="false" outlineLevel="0" collapsed="false">
      <c r="A24" s="0" t="n">
        <v>23</v>
      </c>
      <c r="B24" s="0" t="n">
        <v>23</v>
      </c>
      <c r="C24" s="0" t="n">
        <v>2022</v>
      </c>
      <c r="D24" s="3" t="n">
        <v>44833</v>
      </c>
      <c r="E24" s="28" t="n">
        <f aca="true">TODAY()</f>
        <v>46297</v>
      </c>
      <c r="F24" s="0" t="str">
        <f aca="false">"INSERT INTO BOLETIM (blt_id, blt_numero, blt_ano, blt_data_lev, blt_data_cad) VALUES ("&amp;A24&amp;", "&amp;B24&amp;", "&amp;C24&amp;", TO_DATE('"&amp;TEXT(D24,"DD/MM/AAAA")&amp;"', 'DD/MM/YYYY'), SYSDATE);"</f>
        <v>INSERT INTO BOLETIM (blt_id, blt_numero, blt_ano, blt_data_lev, blt_data_cad) VALUES (23, 23, 2022, TO_DATE('29/09/2022', 'DD/MM/YYYY'), SYSDATE);</v>
      </c>
    </row>
    <row r="25" customFormat="false" ht="14.25" hidden="false" customHeight="false" outlineLevel="0" collapsed="false">
      <c r="A25" s="0" t="n">
        <v>24</v>
      </c>
      <c r="B25" s="0" t="n">
        <v>24</v>
      </c>
      <c r="C25" s="0" t="n">
        <v>2022</v>
      </c>
      <c r="D25" s="3" t="n">
        <v>44833</v>
      </c>
      <c r="E25" s="28" t="n">
        <f aca="true">TODAY()</f>
        <v>46297</v>
      </c>
      <c r="F25" s="0" t="str">
        <f aca="false">"INSERT INTO BOLETIM (blt_id, blt_numero, blt_ano, blt_data_lev, blt_data_cad) VALUES ("&amp;A25&amp;", "&amp;B25&amp;", "&amp;C25&amp;", TO_DATE('"&amp;TEXT(D25,"DD/MM/AAAA")&amp;"', 'DD/MM/YYYY'), SYSDATE);"</f>
        <v>INSERT INTO BOLETIM (blt_id, blt_numero, blt_ano, blt_data_lev, blt_data_cad) VALUES (24, 24, 2022, TO_DATE('29/09/2022', 'DD/MM/YYYY'), SYSDATE);</v>
      </c>
    </row>
    <row r="26" customFormat="false" ht="14.25" hidden="false" customHeight="false" outlineLevel="0" collapsed="false">
      <c r="A26" s="0" t="n">
        <v>25</v>
      </c>
      <c r="B26" s="0" t="n">
        <v>25</v>
      </c>
      <c r="C26" s="0" t="n">
        <v>2022</v>
      </c>
      <c r="D26" s="3" t="n">
        <v>44840</v>
      </c>
      <c r="E26" s="28" t="n">
        <f aca="true">TODAY()</f>
        <v>46297</v>
      </c>
      <c r="F26" s="0" t="str">
        <f aca="false">"INSERT INTO BOLETIM (blt_id, blt_numero, blt_ano, blt_data_lev, blt_data_cad) VALUES ("&amp;A26&amp;", "&amp;B26&amp;", "&amp;C26&amp;", TO_DATE('"&amp;TEXT(D26,"DD/MM/AAAA")&amp;"', 'DD/MM/YYYY'), SYSDATE);"</f>
        <v>INSERT INTO BOLETIM (blt_id, blt_numero, blt_ano, blt_data_lev, blt_data_cad) VALUES (25, 25, 2022, TO_DATE('06/10/2022', 'DD/MM/YYYY'), SYSDATE);</v>
      </c>
    </row>
    <row r="27" customFormat="false" ht="14.25" hidden="false" customHeight="false" outlineLevel="0" collapsed="false">
      <c r="A27" s="0" t="n">
        <v>26</v>
      </c>
      <c r="B27" s="0" t="n">
        <v>26</v>
      </c>
      <c r="C27" s="0" t="n">
        <v>2022</v>
      </c>
      <c r="D27" s="3" t="n">
        <v>44847</v>
      </c>
      <c r="E27" s="28" t="n">
        <f aca="true">TODAY()</f>
        <v>46297</v>
      </c>
      <c r="F27" s="0" t="str">
        <f aca="false">"INSERT INTO BOLETIM (blt_id, blt_numero, blt_ano, blt_data_lev, blt_data_cad) VALUES ("&amp;A27&amp;", "&amp;B27&amp;", "&amp;C27&amp;", TO_DATE('"&amp;TEXT(D27,"DD/MM/AAAA")&amp;"', 'DD/MM/YYYY'), SYSDATE);"</f>
        <v>INSERT INTO BOLETIM (blt_id, blt_numero, blt_ano, blt_data_lev, blt_data_cad) VALUES (26, 26, 2022, TO_DATE('13/10/2022', 'DD/MM/YYYY'), SYSDATE);</v>
      </c>
    </row>
    <row r="28" customFormat="false" ht="14.25" hidden="false" customHeight="false" outlineLevel="0" collapsed="false">
      <c r="A28" s="0" t="n">
        <v>27</v>
      </c>
      <c r="B28" s="0" t="n">
        <v>27</v>
      </c>
      <c r="C28" s="0" t="n">
        <v>2022</v>
      </c>
      <c r="D28" s="3" t="n">
        <v>44854</v>
      </c>
      <c r="E28" s="28" t="n">
        <f aca="true">TODAY()</f>
        <v>46297</v>
      </c>
      <c r="F28" s="0" t="str">
        <f aca="false">"INSERT INTO BOLETIM (blt_id, blt_numero, blt_ano, blt_data_lev, blt_data_cad) VALUES ("&amp;A28&amp;", "&amp;B28&amp;", "&amp;C28&amp;", TO_DATE('"&amp;TEXT(D28,"DD/MM/AAAA")&amp;"', 'DD/MM/YYYY'), SYSDATE);"</f>
        <v>INSERT INTO BOLETIM (blt_id, blt_numero, blt_ano, blt_data_lev, blt_data_cad) VALUES (27, 27, 2022, TO_DATE('20/10/2022', 'DD/MM/YYYY'), SYSDATE);</v>
      </c>
    </row>
    <row r="29" customFormat="false" ht="14.25" hidden="false" customHeight="false" outlineLevel="0" collapsed="false">
      <c r="A29" s="0" t="n">
        <v>28</v>
      </c>
      <c r="B29" s="0" t="n">
        <v>28</v>
      </c>
      <c r="C29" s="0" t="n">
        <v>2022</v>
      </c>
      <c r="D29" s="3" t="n">
        <v>44868</v>
      </c>
      <c r="E29" s="28" t="n">
        <f aca="true">TODAY()</f>
        <v>46297</v>
      </c>
      <c r="F29" s="0" t="str">
        <f aca="false">"INSERT INTO BOLETIM (blt_id, blt_numero, blt_ano, blt_data_lev, blt_data_cad) VALUES ("&amp;A29&amp;", "&amp;B29&amp;", "&amp;C29&amp;", TO_DATE('"&amp;TEXT(D29,"DD/MM/AAAA")&amp;"', 'DD/MM/YYYY'), SYSDATE);"</f>
        <v>INSERT INTO BOLETIM (blt_id, blt_numero, blt_ano, blt_data_lev, blt_data_cad) VALUES (28, 28, 2022, TO_DATE('03/11/2022', 'DD/MM/YYYY'), SYSDATE);</v>
      </c>
    </row>
    <row r="30" customFormat="false" ht="14.25" hidden="false" customHeight="false" outlineLevel="0" collapsed="false">
      <c r="A30" s="0" t="n">
        <v>29</v>
      </c>
      <c r="B30" s="0" t="n">
        <v>29</v>
      </c>
      <c r="C30" s="0" t="n">
        <v>2022</v>
      </c>
      <c r="D30" s="3" t="n">
        <v>44875</v>
      </c>
      <c r="E30" s="28" t="n">
        <f aca="true">TODAY()</f>
        <v>46297</v>
      </c>
      <c r="F30" s="0" t="str">
        <f aca="false">"INSERT INTO BOLETIM (blt_id, blt_numero, blt_ano, blt_data_lev, blt_data_cad) VALUES ("&amp;A30&amp;", "&amp;B30&amp;", "&amp;C30&amp;", TO_DATE('"&amp;TEXT(D30,"DD/MM/AAAA")&amp;"', 'DD/MM/YYYY'), SYSDATE);"</f>
        <v>INSERT INTO BOLETIM (blt_id, blt_numero, blt_ano, blt_data_lev, blt_data_cad) VALUES (29, 29, 2022, TO_DATE('10/11/2022', 'DD/MM/YYYY'), SYSDATE);</v>
      </c>
    </row>
    <row r="31" customFormat="false" ht="14.25" hidden="false" customHeight="false" outlineLevel="0" collapsed="false">
      <c r="A31" s="0" t="n">
        <v>30</v>
      </c>
      <c r="B31" s="0" t="n">
        <v>30</v>
      </c>
      <c r="C31" s="0" t="n">
        <v>2022</v>
      </c>
      <c r="D31" s="3" t="n">
        <v>44882</v>
      </c>
      <c r="E31" s="28" t="n">
        <f aca="true">TODAY()</f>
        <v>46297</v>
      </c>
      <c r="F31" s="0" t="str">
        <f aca="false">"INSERT INTO BOLETIM (blt_id, blt_numero, blt_ano, blt_data_lev, blt_data_cad) VALUES ("&amp;A31&amp;", "&amp;B31&amp;", "&amp;C31&amp;", TO_DATE('"&amp;TEXT(D31,"DD/MM/AAAA")&amp;"', 'DD/MM/YYYY'), SYSDATE);"</f>
        <v>INSERT INTO BOLETIM (blt_id, blt_numero, blt_ano, blt_data_lev, blt_data_cad) VALUES (30, 30, 2022, TO_DATE('17/11/2022', 'DD/MM/YYYY'), SYSDATE);</v>
      </c>
    </row>
    <row r="32" customFormat="false" ht="14.25" hidden="false" customHeight="false" outlineLevel="0" collapsed="false">
      <c r="A32" s="0" t="n">
        <v>31</v>
      </c>
      <c r="B32" s="0" t="n">
        <v>31</v>
      </c>
      <c r="C32" s="0" t="n">
        <v>2022</v>
      </c>
      <c r="D32" s="3" t="n">
        <v>44889</v>
      </c>
      <c r="E32" s="28" t="n">
        <f aca="true">TODAY()</f>
        <v>46297</v>
      </c>
      <c r="F32" s="0" t="str">
        <f aca="false">"INSERT INTO BOLETIM (blt_id, blt_numero, blt_ano, blt_data_lev, blt_data_cad) VALUES ("&amp;A32&amp;", "&amp;B32&amp;", "&amp;C32&amp;", TO_DATE('"&amp;TEXT(D32,"DD/MM/AAAA")&amp;"', 'DD/MM/YYYY'), SYSDATE);"</f>
        <v>INSERT INTO BOLETIM (blt_id, blt_numero, blt_ano, blt_data_lev, blt_data_cad) VALUES (31, 31, 2022, TO_DATE('24/11/2022', 'DD/MM/YYYY'), SYSDATE);</v>
      </c>
    </row>
    <row r="33" customFormat="false" ht="14.25" hidden="false" customHeight="false" outlineLevel="0" collapsed="false">
      <c r="A33" s="0" t="n">
        <v>32</v>
      </c>
      <c r="B33" s="0" t="n">
        <v>32</v>
      </c>
      <c r="C33" s="0" t="n">
        <v>2022</v>
      </c>
      <c r="D33" s="3" t="n">
        <v>44896</v>
      </c>
      <c r="E33" s="28" t="n">
        <f aca="true">TODAY()</f>
        <v>46297</v>
      </c>
      <c r="F33" s="0" t="str">
        <f aca="false">"INSERT INTO BOLETIM (blt_id, blt_numero, blt_ano, blt_data_lev, blt_data_cad) VALUES ("&amp;A33&amp;", "&amp;B33&amp;", "&amp;C33&amp;", TO_DATE('"&amp;TEXT(D33,"DD/MM/AAAA")&amp;"', 'DD/MM/YYYY'), SYSDATE);"</f>
        <v>INSERT INTO BOLETIM (blt_id, blt_numero, blt_ano, blt_data_lev, blt_data_cad) VALUES (32, 32, 2022, TO_DATE('01/12/2022', 'DD/MM/YYYY'), SYSDATE);</v>
      </c>
    </row>
    <row r="34" customFormat="false" ht="14.25" hidden="false" customHeight="false" outlineLevel="0" collapsed="false">
      <c r="A34" s="0" t="n">
        <v>33</v>
      </c>
      <c r="B34" s="0" t="n">
        <v>33</v>
      </c>
      <c r="C34" s="0" t="n">
        <v>2022</v>
      </c>
      <c r="D34" s="3" t="n">
        <v>44903</v>
      </c>
      <c r="E34" s="28" t="n">
        <f aca="true">TODAY()</f>
        <v>46297</v>
      </c>
      <c r="F34" s="0" t="str">
        <f aca="false">"INSERT INTO BOLETIM (blt_id, blt_numero, blt_ano, blt_data_lev, blt_data_cad) VALUES ("&amp;A34&amp;", "&amp;B34&amp;", "&amp;C34&amp;", TO_DATE('"&amp;TEXT(D34,"DD/MM/AAAA")&amp;"', 'DD/MM/YYYY'), SYSDATE);"</f>
        <v>INSERT INTO BOLETIM (blt_id, blt_numero, blt_ano, blt_data_lev, blt_data_cad) VALUES (33, 33, 2022, TO_DATE('08/12/2022', 'DD/MM/YYYY'), SYSDATE);</v>
      </c>
    </row>
    <row r="35" customFormat="false" ht="14.25" hidden="false" customHeight="false" outlineLevel="0" collapsed="false">
      <c r="A35" s="0" t="n">
        <v>34</v>
      </c>
      <c r="B35" s="0" t="n">
        <v>34</v>
      </c>
      <c r="C35" s="0" t="n">
        <v>2022</v>
      </c>
      <c r="D35" s="3" t="n">
        <v>44910</v>
      </c>
      <c r="E35" s="28" t="n">
        <f aca="true">TODAY()</f>
        <v>46297</v>
      </c>
      <c r="F35" s="0" t="str">
        <f aca="false">"INSERT INTO BOLETIM (blt_id, blt_numero, blt_ano, blt_data_lev, blt_data_cad) VALUES ("&amp;A35&amp;", "&amp;B35&amp;", "&amp;C35&amp;", TO_DATE('"&amp;TEXT(D35,"DD/MM/AAAA")&amp;"', 'DD/MM/YYYY'), SYSDATE);"</f>
        <v>INSERT INTO BOLETIM (blt_id, blt_numero, blt_ano, blt_data_lev, blt_data_cad) VALUES (34, 34, 2022, TO_DATE('15/12/2022', 'DD/MM/YYYY'), SYSDATE);</v>
      </c>
    </row>
    <row r="36" customFormat="false" ht="14.25" hidden="false" customHeight="false" outlineLevel="0" collapsed="false">
      <c r="A36" s="0" t="n">
        <v>35</v>
      </c>
      <c r="B36" s="0" t="n">
        <v>35</v>
      </c>
      <c r="C36" s="0" t="n">
        <v>2022</v>
      </c>
      <c r="D36" s="3" t="n">
        <v>44917</v>
      </c>
      <c r="E36" s="28" t="n">
        <f aca="true">TODAY()</f>
        <v>46297</v>
      </c>
      <c r="F36" s="0" t="str">
        <f aca="false">"INSERT INTO BOLETIM (blt_id, blt_numero, blt_ano, blt_data_lev, blt_data_cad) VALUES ("&amp;A36&amp;", "&amp;B36&amp;", "&amp;C36&amp;", TO_DATE('"&amp;TEXT(D36,"DD/MM/AAAA")&amp;"', 'DD/MM/YYYY'), SYSDATE);"</f>
        <v>INSERT INTO BOLETIM (blt_id, blt_numero, blt_ano, blt_data_lev, blt_data_cad) VALUES (35, 35, 2022, TO_DATE('22/12/2022', 'DD/MM/YYYY'), SYSDATE);</v>
      </c>
    </row>
    <row r="37" customFormat="false" ht="14.25" hidden="false" customHeight="false" outlineLevel="0" collapsed="false">
      <c r="A37" s="0" t="n">
        <v>36</v>
      </c>
      <c r="B37" s="0" t="n">
        <v>36</v>
      </c>
      <c r="C37" s="0" t="n">
        <v>2022</v>
      </c>
      <c r="D37" s="3" t="n">
        <v>44924</v>
      </c>
      <c r="E37" s="28" t="n">
        <f aca="true">TODAY()</f>
        <v>46297</v>
      </c>
      <c r="F37" s="0" t="str">
        <f aca="false">"INSERT INTO BOLETIM (blt_id, blt_numero, blt_ano, blt_data_lev, blt_data_cad) VALUES ("&amp;A37&amp;", "&amp;B37&amp;", "&amp;C37&amp;", TO_DATE('"&amp;TEXT(D37,"DD/MM/AAAA")&amp;"', 'DD/MM/YYYY'), SYSDATE);"</f>
        <v>INSERT INTO BOLETIM (blt_id, blt_numero, blt_ano, blt_data_lev, blt_data_cad) VALUES (36, 36, 2022, TO_DATE('29/12/2022', 'DD/MM/YYYY'), SYSDATE);</v>
      </c>
    </row>
    <row r="38" customFormat="false" ht="14.25" hidden="false" customHeight="false" outlineLevel="0" collapsed="false">
      <c r="A38" s="0" t="n">
        <v>37</v>
      </c>
      <c r="B38" s="0" t="n">
        <v>37</v>
      </c>
      <c r="C38" s="0" t="n">
        <v>2023</v>
      </c>
      <c r="D38" s="3" t="n">
        <v>44931</v>
      </c>
      <c r="E38" s="28" t="n">
        <f aca="true">TODAY()</f>
        <v>46297</v>
      </c>
      <c r="F38" s="0" t="str">
        <f aca="false">"INSERT INTO BOLETIM (blt_id, blt_numero, blt_ano, blt_data_lev, blt_data_cad) VALUES ("&amp;A38&amp;", "&amp;B38&amp;", "&amp;C38&amp;", TO_DATE('"&amp;TEXT(D38,"DD/MM/AAAA")&amp;"', 'DD/MM/YYYY'), SYSDATE);"</f>
        <v>INSERT INTO BOLETIM (blt_id, blt_numero, blt_ano, blt_data_lev, blt_data_cad) VALUES (37, 37, 2023, TO_DATE('05/01/2023', 'DD/MM/YYYY'), SYSDATE);</v>
      </c>
    </row>
    <row r="39" customFormat="false" ht="14.25" hidden="false" customHeight="false" outlineLevel="0" collapsed="false">
      <c r="A39" s="0" t="n">
        <v>38</v>
      </c>
      <c r="B39" s="0" t="n">
        <v>38</v>
      </c>
      <c r="C39" s="0" t="n">
        <v>2023</v>
      </c>
      <c r="D39" s="3" t="n">
        <v>44938</v>
      </c>
      <c r="E39" s="28" t="n">
        <f aca="true">TODAY()</f>
        <v>46297</v>
      </c>
      <c r="F39" s="0" t="str">
        <f aca="false">"INSERT INTO BOLETIM (blt_id, blt_numero, blt_ano, blt_data_lev, blt_data_cad) VALUES ("&amp;A39&amp;", "&amp;B39&amp;", "&amp;C39&amp;", TO_DATE('"&amp;TEXT(D39,"DD/MM/AAAA")&amp;"', 'DD/MM/YYYY'), SYSDATE);"</f>
        <v>INSERT INTO BOLETIM (blt_id, blt_numero, blt_ano, blt_data_lev, blt_data_cad) VALUES (38, 38, 2023, TO_DATE('12/01/2023', 'DD/MM/YYYY'), SYSDATE);</v>
      </c>
    </row>
    <row r="40" customFormat="false" ht="14.25" hidden="false" customHeight="false" outlineLevel="0" collapsed="false">
      <c r="A40" s="0" t="n">
        <v>39</v>
      </c>
      <c r="B40" s="0" t="n">
        <v>39</v>
      </c>
      <c r="C40" s="0" t="n">
        <v>2023</v>
      </c>
      <c r="D40" s="3" t="n">
        <v>44945</v>
      </c>
      <c r="E40" s="28" t="n">
        <f aca="true">TODAY()</f>
        <v>46297</v>
      </c>
      <c r="F40" s="0" t="str">
        <f aca="false">"INSERT INTO BOLETIM (blt_id, blt_numero, blt_ano, blt_data_lev, blt_data_cad) VALUES ("&amp;A40&amp;", "&amp;B40&amp;", "&amp;C40&amp;", TO_DATE('"&amp;TEXT(D40,"DD/MM/AAAA")&amp;"', 'DD/MM/YYYY'), SYSDATE);"</f>
        <v>INSERT INTO BOLETIM (blt_id, blt_numero, blt_ano, blt_data_lev, blt_data_cad) VALUES (39, 39, 2023, TO_DATE('19/01/2023', 'DD/MM/YYYY'), SYSDATE);</v>
      </c>
    </row>
    <row r="41" customFormat="false" ht="14.25" hidden="false" customHeight="false" outlineLevel="0" collapsed="false">
      <c r="A41" s="0" t="n">
        <v>40</v>
      </c>
      <c r="B41" s="0" t="n">
        <v>40</v>
      </c>
      <c r="C41" s="0" t="n">
        <v>2023</v>
      </c>
      <c r="D41" s="3" t="n">
        <v>44952</v>
      </c>
      <c r="E41" s="28" t="n">
        <f aca="true">TODAY()</f>
        <v>46297</v>
      </c>
      <c r="F41" s="0" t="str">
        <f aca="false">"INSERT INTO BOLETIM (blt_id, blt_numero, blt_ano, blt_data_lev, blt_data_cad) VALUES ("&amp;A41&amp;", "&amp;B41&amp;", "&amp;C41&amp;", TO_DATE('"&amp;TEXT(D41,"DD/MM/AAAA")&amp;"', 'DD/MM/YYYY'), SYSDATE);"</f>
        <v>INSERT INTO BOLETIM (blt_id, blt_numero, blt_ano, blt_data_lev, blt_data_cad) VALUES (40, 40, 2023, TO_DATE('26/01/2023', 'DD/MM/YYYY'), SYSDATE);</v>
      </c>
    </row>
    <row r="42" customFormat="false" ht="14.25" hidden="false" customHeight="false" outlineLevel="0" collapsed="false">
      <c r="A42" s="0" t="n">
        <v>41</v>
      </c>
      <c r="B42" s="0" t="n">
        <v>41</v>
      </c>
      <c r="C42" s="0" t="n">
        <v>2023</v>
      </c>
      <c r="D42" s="3" t="n">
        <v>44959</v>
      </c>
      <c r="E42" s="28" t="n">
        <f aca="true">TODAY()</f>
        <v>46297</v>
      </c>
      <c r="F42" s="0" t="str">
        <f aca="false">"INSERT INTO BOLETIM (blt_id, blt_numero, blt_ano, blt_data_lev, blt_data_cad) VALUES ("&amp;A42&amp;", "&amp;B42&amp;", "&amp;C42&amp;", TO_DATE('"&amp;TEXT(D42,"DD/MM/AAAA")&amp;"', 'DD/MM/YYYY'), SYSDATE);"</f>
        <v>INSERT INTO BOLETIM (blt_id, blt_numero, blt_ano, blt_data_lev, blt_data_cad) VALUES (41, 41, 2023, TO_DATE('02/02/2023', 'DD/MM/YYYY'), SYSDATE);</v>
      </c>
    </row>
    <row r="43" customFormat="false" ht="14.25" hidden="false" customHeight="false" outlineLevel="0" collapsed="false">
      <c r="A43" s="0" t="n">
        <v>42</v>
      </c>
      <c r="B43" s="0" t="n">
        <v>42</v>
      </c>
      <c r="C43" s="0" t="n">
        <v>2023</v>
      </c>
      <c r="D43" s="3" t="n">
        <v>44966</v>
      </c>
      <c r="E43" s="28" t="n">
        <f aca="true">TODAY()</f>
        <v>46297</v>
      </c>
      <c r="F43" s="0" t="str">
        <f aca="false">"INSERT INTO BOLETIM (blt_id, blt_numero, blt_ano, blt_data_lev, blt_data_cad) VALUES ("&amp;A43&amp;", "&amp;B43&amp;", "&amp;C43&amp;", TO_DATE('"&amp;TEXT(D43,"DD/MM/AAAA")&amp;"', 'DD/MM/YYYY'), SYSDATE);"</f>
        <v>INSERT INTO BOLETIM (blt_id, blt_numero, blt_ano, blt_data_lev, blt_data_cad) VALUES (42, 42, 2023, TO_DATE('09/02/2023', 'DD/MM/YYYY'), SYSDATE);</v>
      </c>
    </row>
    <row r="44" customFormat="false" ht="14.25" hidden="false" customHeight="false" outlineLevel="0" collapsed="false">
      <c r="A44" s="0" t="n">
        <v>43</v>
      </c>
      <c r="B44" s="0" t="n">
        <v>43</v>
      </c>
      <c r="C44" s="0" t="n">
        <v>2023</v>
      </c>
      <c r="D44" s="3" t="n">
        <v>44973</v>
      </c>
      <c r="E44" s="28" t="n">
        <f aca="true">TODAY()</f>
        <v>46297</v>
      </c>
      <c r="F44" s="0" t="str">
        <f aca="false">"INSERT INTO BOLETIM (blt_id, blt_numero, blt_ano, blt_data_lev, blt_data_cad) VALUES ("&amp;A44&amp;", "&amp;B44&amp;", "&amp;C44&amp;", TO_DATE('"&amp;TEXT(D44,"DD/MM/AAAA")&amp;"', 'DD/MM/YYYY'), SYSDATE);"</f>
        <v>INSERT INTO BOLETIM (blt_id, blt_numero, blt_ano, blt_data_lev, blt_data_cad) VALUES (43, 43, 2023, TO_DATE('16/02/2023', 'DD/MM/YYYY'), SYSDATE);</v>
      </c>
    </row>
    <row r="45" customFormat="false" ht="14.25" hidden="false" customHeight="false" outlineLevel="0" collapsed="false">
      <c r="A45" s="0" t="n">
        <v>44</v>
      </c>
      <c r="B45" s="0" t="n">
        <v>44</v>
      </c>
      <c r="C45" s="0" t="n">
        <v>2024</v>
      </c>
      <c r="D45" s="3" t="n">
        <v>45357</v>
      </c>
      <c r="E45" s="28" t="n">
        <f aca="true">TODAY()</f>
        <v>46297</v>
      </c>
      <c r="F45" s="0" t="str">
        <f aca="false">"INSERT INTO BOLETIM (blt_id, blt_numero, blt_ano, blt_data_lev, blt_data_cad) VALUES ("&amp;A45&amp;", "&amp;B45&amp;", "&amp;C45&amp;", TO_DATE('"&amp;TEXT(D45,"DD/MM/AAAA")&amp;"', 'DD/MM/YYYY'), SYSDATE);"</f>
        <v>INSERT INTO BOLETIM (blt_id, blt_numero, blt_ano, blt_data_lev, blt_data_cad) VALUES (44, 44, 2024, TO_DATE('06/03/2024', 'DD/MM/YYYY'), SYSDATE);</v>
      </c>
    </row>
    <row r="46" customFormat="false" ht="14.25" hidden="false" customHeight="false" outlineLevel="0" collapsed="false">
      <c r="A46" s="0" t="n">
        <v>45</v>
      </c>
      <c r="B46" s="0" t="n">
        <v>45</v>
      </c>
      <c r="C46" s="0" t="n">
        <v>2024</v>
      </c>
      <c r="D46" s="3" t="n">
        <v>45364</v>
      </c>
      <c r="E46" s="28" t="n">
        <f aca="true">TODAY()</f>
        <v>46297</v>
      </c>
      <c r="F46" s="0" t="str">
        <f aca="false">"INSERT INTO BOLETIM (blt_id, blt_numero, blt_ano, blt_data_lev, blt_data_cad) VALUES ("&amp;A46&amp;", "&amp;B46&amp;", "&amp;C46&amp;", TO_DATE('"&amp;TEXT(D46,"DD/MM/AAAA")&amp;"', 'DD/MM/YYYY'), SYSDATE);"</f>
        <v>INSERT INTO BOLETIM (blt_id, blt_numero, blt_ano, blt_data_lev, blt_data_cad) VALUES (45, 45, 2024, TO_DATE('13/03/2024', 'DD/MM/YYYY'), SYSDATE);</v>
      </c>
    </row>
    <row r="47" customFormat="false" ht="14.25" hidden="false" customHeight="false" outlineLevel="0" collapsed="false">
      <c r="A47" s="0" t="n">
        <v>46</v>
      </c>
      <c r="B47" s="0" t="n">
        <v>46</v>
      </c>
      <c r="C47" s="0" t="n">
        <v>2024</v>
      </c>
      <c r="D47" s="3" t="n">
        <v>45371</v>
      </c>
      <c r="E47" s="28" t="n">
        <f aca="true">TODAY()</f>
        <v>46297</v>
      </c>
      <c r="F47" s="0" t="str">
        <f aca="false">"INSERT INTO BOLETIM (blt_id, blt_numero, blt_ano, blt_data_lev, blt_data_cad) VALUES ("&amp;A47&amp;", "&amp;B47&amp;", "&amp;C47&amp;", TO_DATE('"&amp;TEXT(D47,"DD/MM/AAAA")&amp;"', 'DD/MM/YYYY'), SYSDATE);"</f>
        <v>INSERT INTO BOLETIM (blt_id, blt_numero, blt_ano, blt_data_lev, blt_data_cad) VALUES (46, 46, 2024, TO_DATE('20/03/2024', 'DD/MM/YYYY'), SYSDATE);</v>
      </c>
    </row>
    <row r="48" customFormat="false" ht="14.25" hidden="false" customHeight="false" outlineLevel="0" collapsed="false">
      <c r="A48" s="0" t="n">
        <v>47</v>
      </c>
      <c r="B48" s="0" t="n">
        <v>47</v>
      </c>
      <c r="C48" s="0" t="n">
        <v>2024</v>
      </c>
      <c r="D48" s="3" t="n">
        <v>45385</v>
      </c>
      <c r="E48" s="28" t="n">
        <f aca="true">TODAY()</f>
        <v>46297</v>
      </c>
      <c r="F48" s="0" t="str">
        <f aca="false">"INSERT INTO BOLETIM (blt_id, blt_numero, blt_ano, blt_data_lev, blt_data_cad) VALUES ("&amp;A48&amp;", "&amp;B48&amp;", "&amp;C48&amp;", TO_DATE('"&amp;TEXT(D48,"DD/MM/AAAA")&amp;"', 'DD/MM/YYYY'), SYSDATE);"</f>
        <v>INSERT INTO BOLETIM (blt_id, blt_numero, blt_ano, blt_data_lev, blt_data_cad) VALUES (47, 47, 2024, TO_DATE('03/04/2024', 'DD/MM/YYYY'), SYSDATE);</v>
      </c>
    </row>
    <row r="49" customFormat="false" ht="14.25" hidden="false" customHeight="false" outlineLevel="0" collapsed="false">
      <c r="A49" s="0" t="n">
        <v>48</v>
      </c>
      <c r="B49" s="0" t="n">
        <v>48</v>
      </c>
      <c r="C49" s="0" t="n">
        <v>2024</v>
      </c>
      <c r="D49" s="3" t="n">
        <v>45392</v>
      </c>
      <c r="E49" s="28" t="n">
        <f aca="true">TODAY()</f>
        <v>46297</v>
      </c>
      <c r="F49" s="0" t="str">
        <f aca="false">"INSERT INTO BOLETIM (blt_id, blt_numero, blt_ano, blt_data_lev, blt_data_cad) VALUES ("&amp;A49&amp;", "&amp;B49&amp;", "&amp;C49&amp;", TO_DATE('"&amp;TEXT(D49,"DD/MM/AAAA")&amp;"', 'DD/MM/YYYY'), SYSDATE);"</f>
        <v>INSERT INTO BOLETIM (blt_id, blt_numero, blt_ano, blt_data_lev, blt_data_cad) VALUES (48, 48, 2024, TO_DATE('10/04/2024', 'DD/MM/YYYY'), SYSDATE);</v>
      </c>
    </row>
    <row r="50" customFormat="false" ht="14.25" hidden="false" customHeight="false" outlineLevel="0" collapsed="false">
      <c r="A50" s="0" t="n">
        <v>49</v>
      </c>
      <c r="B50" s="0" t="n">
        <v>49</v>
      </c>
      <c r="C50" s="0" t="n">
        <v>2024</v>
      </c>
      <c r="D50" s="3" t="n">
        <v>45399</v>
      </c>
      <c r="E50" s="28" t="n">
        <f aca="true">TODAY()</f>
        <v>46297</v>
      </c>
      <c r="F50" s="0" t="str">
        <f aca="false">"INSERT INTO BOLETIM (blt_id, blt_numero, blt_ano, blt_data_lev, blt_data_cad) VALUES ("&amp;A50&amp;", "&amp;B50&amp;", "&amp;C50&amp;", TO_DATE('"&amp;TEXT(D50,"DD/MM/AAAA")&amp;"', 'DD/MM/YYYY'), SYSDATE);"</f>
        <v>INSERT INTO BOLETIM (blt_id, blt_numero, blt_ano, blt_data_lev, blt_data_cad) VALUES (49, 49, 2024, TO_DATE('17/04/2024', 'DD/MM/YYYY'), SYSDATE);</v>
      </c>
    </row>
    <row r="51" customFormat="false" ht="14.25" hidden="false" customHeight="false" outlineLevel="0" collapsed="false">
      <c r="A51" s="0" t="n">
        <v>50</v>
      </c>
      <c r="B51" s="0" t="n">
        <v>50</v>
      </c>
      <c r="C51" s="0" t="n">
        <v>2024</v>
      </c>
      <c r="D51" s="3" t="n">
        <v>45406</v>
      </c>
      <c r="E51" s="28" t="n">
        <f aca="true">TODAY()</f>
        <v>46297</v>
      </c>
      <c r="F51" s="0" t="str">
        <f aca="false">"INSERT INTO BOLETIM (blt_id, blt_numero, blt_ano, blt_data_lev, blt_data_cad) VALUES ("&amp;A51&amp;", "&amp;B51&amp;", "&amp;C51&amp;", TO_DATE('"&amp;TEXT(D51,"DD/MM/AAAA")&amp;"', 'DD/MM/YYYY'), SYSDATE);"</f>
        <v>INSERT INTO BOLETIM (blt_id, blt_numero, blt_ano, blt_data_lev, blt_data_cad) VALUES (50, 50, 2024, TO_DATE('24/04/2024', 'DD/MM/YYYY'), SYSDATE);</v>
      </c>
    </row>
    <row r="52" customFormat="false" ht="14.25" hidden="false" customHeight="false" outlineLevel="0" collapsed="false">
      <c r="A52" s="0" t="n">
        <v>51</v>
      </c>
      <c r="B52" s="0" t="n">
        <v>51</v>
      </c>
      <c r="C52" s="0" t="n">
        <v>2024</v>
      </c>
      <c r="D52" s="3" t="n">
        <v>45420</v>
      </c>
      <c r="E52" s="28" t="n">
        <f aca="true">TODAY()</f>
        <v>46297</v>
      </c>
      <c r="F52" s="0" t="str">
        <f aca="false">"INSERT INTO BOLETIM (blt_id, blt_numero, blt_ano, blt_data_lev, blt_data_cad) VALUES ("&amp;A52&amp;", "&amp;B52&amp;", "&amp;C52&amp;", TO_DATE('"&amp;TEXT(D52,"DD/MM/AAAA")&amp;"', 'DD/MM/YYYY'), SYSDATE);"</f>
        <v>INSERT INTO BOLETIM (blt_id, blt_numero, blt_ano, blt_data_lev, blt_data_cad) VALUES (51, 51, 2024, TO_DATE('08/05/2024', 'DD/MM/YYYY'), SYSDATE);</v>
      </c>
    </row>
    <row r="53" customFormat="false" ht="14.25" hidden="false" customHeight="false" outlineLevel="0" collapsed="false">
      <c r="A53" s="0" t="n">
        <v>52</v>
      </c>
      <c r="B53" s="0" t="n">
        <v>52</v>
      </c>
      <c r="C53" s="0" t="n">
        <v>2024</v>
      </c>
      <c r="D53" s="3" t="n">
        <v>45427</v>
      </c>
      <c r="E53" s="28" t="n">
        <f aca="true">TODAY()</f>
        <v>46297</v>
      </c>
      <c r="F53" s="0" t="str">
        <f aca="false">"INSERT INTO BOLETIM (blt_id, blt_numero, blt_ano, blt_data_lev, blt_data_cad) VALUES ("&amp;A53&amp;", "&amp;B53&amp;", "&amp;C53&amp;", TO_DATE('"&amp;TEXT(D53,"DD/MM/AAAA")&amp;"', 'DD/MM/YYYY'), SYSDATE);"</f>
        <v>INSERT INTO BOLETIM (blt_id, blt_numero, blt_ano, blt_data_lev, blt_data_cad) VALUES (52, 52, 2024, TO_DATE('15/05/2024', 'DD/MM/YYYY'), SYSDATE);</v>
      </c>
    </row>
    <row r="54" customFormat="false" ht="14.25" hidden="false" customHeight="false" outlineLevel="0" collapsed="false">
      <c r="A54" s="0" t="n">
        <v>53</v>
      </c>
      <c r="B54" s="0" t="n">
        <v>53</v>
      </c>
      <c r="C54" s="0" t="n">
        <v>2024</v>
      </c>
      <c r="D54" s="3" t="n">
        <v>45434</v>
      </c>
      <c r="E54" s="28" t="n">
        <f aca="true">TODAY()</f>
        <v>46297</v>
      </c>
      <c r="F54" s="0" t="str">
        <f aca="false">"INSERT INTO BOLETIM (blt_id, blt_numero, blt_ano, blt_data_lev, blt_data_cad) VALUES ("&amp;A54&amp;", "&amp;B54&amp;", "&amp;C54&amp;", TO_DATE('"&amp;TEXT(D54,"DD/MM/AAAA")&amp;"', 'DD/MM/YYYY'), SYSDATE);"</f>
        <v>INSERT INTO BOLETIM (blt_id, blt_numero, blt_ano, blt_data_lev, blt_data_cad) VALUES (53, 53, 2024, TO_DATE('22/05/2024', 'DD/MM/YYYY'), SYSDATE);</v>
      </c>
    </row>
    <row r="55" customFormat="false" ht="14.25" hidden="false" customHeight="false" outlineLevel="0" collapsed="false">
      <c r="A55" s="0" t="n">
        <v>54</v>
      </c>
      <c r="B55" s="0" t="n">
        <v>54</v>
      </c>
      <c r="C55" s="0" t="n">
        <v>2024</v>
      </c>
      <c r="D55" s="3" t="n">
        <v>45441</v>
      </c>
      <c r="E55" s="28" t="n">
        <f aca="true">TODAY()</f>
        <v>46297</v>
      </c>
      <c r="F55" s="0" t="str">
        <f aca="false">"INSERT INTO BOLETIM (blt_id, blt_numero, blt_ano, blt_data_lev, blt_data_cad) VALUES ("&amp;A55&amp;", "&amp;B55&amp;", "&amp;C55&amp;", TO_DATE('"&amp;TEXT(D55,"DD/MM/AAAA")&amp;"', 'DD/MM/YYYY'), SYSDATE);"</f>
        <v>INSERT INTO BOLETIM (blt_id, blt_numero, blt_ano, blt_data_lev, blt_data_cad) VALUES (54, 54, 2024, TO_DATE('29/05/2024', 'DD/MM/YYYY'), SYSDATE);</v>
      </c>
    </row>
    <row r="56" customFormat="false" ht="14.25" hidden="false" customHeight="false" outlineLevel="0" collapsed="false">
      <c r="A56" s="0" t="n">
        <v>55</v>
      </c>
      <c r="B56" s="0" t="n">
        <v>55</v>
      </c>
      <c r="C56" s="0" t="n">
        <v>2024</v>
      </c>
      <c r="D56" s="3" t="n">
        <v>45448</v>
      </c>
      <c r="E56" s="28" t="n">
        <f aca="true">TODAY()</f>
        <v>46297</v>
      </c>
      <c r="F56" s="0" t="str">
        <f aca="false">"INSERT INTO BOLETIM (blt_id, blt_numero, blt_ano, blt_data_lev, blt_data_cad) VALUES ("&amp;A56&amp;", "&amp;B56&amp;", "&amp;C56&amp;", TO_DATE('"&amp;TEXT(D56,"DD/MM/AAAA")&amp;"', 'DD/MM/YYYY'), SYSDATE);"</f>
        <v>INSERT INTO BOLETIM (blt_id, blt_numero, blt_ano, blt_data_lev, blt_data_cad) VALUES (55, 55, 2024, TO_DATE('05/06/2024', 'DD/MM/YYYY'), SYSDATE);</v>
      </c>
    </row>
    <row r="57" customFormat="false" ht="14.25" hidden="false" customHeight="false" outlineLevel="0" collapsed="false">
      <c r="A57" s="0" t="n">
        <v>56</v>
      </c>
      <c r="B57" s="0" t="n">
        <v>56</v>
      </c>
      <c r="C57" s="0" t="n">
        <v>2024</v>
      </c>
      <c r="D57" s="3" t="n">
        <v>45455</v>
      </c>
      <c r="E57" s="28" t="n">
        <f aca="true">TODAY()</f>
        <v>46297</v>
      </c>
      <c r="F57" s="0" t="str">
        <f aca="false">"INSERT INTO BOLETIM (blt_id, blt_numero, blt_ano, blt_data_lev, blt_data_cad) VALUES ("&amp;A57&amp;", "&amp;B57&amp;", "&amp;C57&amp;", TO_DATE('"&amp;TEXT(D57,"DD/MM/AAAA")&amp;"', 'DD/MM/YYYY'), SYSDATE);"</f>
        <v>INSERT INTO BOLETIM (blt_id, blt_numero, blt_ano, blt_data_lev, blt_data_cad) VALUES (56, 56, 2024, TO_DATE('12/06/2024', 'DD/MM/YYYY'), SYSDATE);</v>
      </c>
    </row>
    <row r="58" customFormat="false" ht="14.25" hidden="false" customHeight="false" outlineLevel="0" collapsed="false">
      <c r="A58" s="0" t="n">
        <v>57</v>
      </c>
      <c r="B58" s="0" t="n">
        <v>57</v>
      </c>
      <c r="C58" s="0" t="n">
        <v>2024</v>
      </c>
      <c r="D58" s="3" t="n">
        <v>45462</v>
      </c>
      <c r="E58" s="28" t="n">
        <f aca="true">TODAY()</f>
        <v>46297</v>
      </c>
      <c r="F58" s="0" t="str">
        <f aca="false">"INSERT INTO BOLETIM (blt_id, blt_numero, blt_ano, blt_data_lev, blt_data_cad) VALUES ("&amp;A58&amp;", "&amp;B58&amp;", "&amp;C58&amp;", TO_DATE('"&amp;TEXT(D58,"DD/MM/AAAA")&amp;"', 'DD/MM/YYYY'), SYSDATE);"</f>
        <v>INSERT INTO BOLETIM (blt_id, blt_numero, blt_ano, blt_data_lev, blt_data_cad) VALUES (57, 57, 2024, TO_DATE('19/06/2024', 'DD/MM/YYYY'), SYSDATE);</v>
      </c>
    </row>
    <row r="59" customFormat="false" ht="14.25" hidden="false" customHeight="false" outlineLevel="0" collapsed="false">
      <c r="A59" s="0" t="n">
        <v>58</v>
      </c>
      <c r="B59" s="0" t="n">
        <v>58</v>
      </c>
      <c r="C59" s="0" t="n">
        <v>2024</v>
      </c>
      <c r="D59" s="3" t="n">
        <v>45469</v>
      </c>
      <c r="E59" s="28" t="n">
        <f aca="true">TODAY()</f>
        <v>46297</v>
      </c>
      <c r="F59" s="0" t="str">
        <f aca="false">"INSERT INTO BOLETIM (blt_id, blt_numero, blt_ano, blt_data_lev, blt_data_cad) VALUES ("&amp;A59&amp;", "&amp;B59&amp;", "&amp;C59&amp;", TO_DATE('"&amp;TEXT(D59,"DD/MM/AAAA")&amp;"', 'DD/MM/YYYY'), SYSDATE);"</f>
        <v>INSERT INTO BOLETIM (blt_id, blt_numero, blt_ano, blt_data_lev, blt_data_cad) VALUES (58, 58, 2024, TO_DATE('26/06/2024', 'DD/MM/YYYY'), SYSDATE);</v>
      </c>
    </row>
    <row r="60" customFormat="false" ht="14.25" hidden="false" customHeight="false" outlineLevel="0" collapsed="false">
      <c r="A60" s="0" t="n">
        <v>59</v>
      </c>
      <c r="B60" s="0" t="n">
        <v>59</v>
      </c>
      <c r="C60" s="0" t="n">
        <v>2024</v>
      </c>
      <c r="D60" s="3" t="n">
        <v>45476</v>
      </c>
      <c r="E60" s="28" t="n">
        <f aca="true">TODAY()</f>
        <v>46297</v>
      </c>
      <c r="F60" s="0" t="str">
        <f aca="false">"INSERT INTO BOLETIM (blt_id, blt_numero, blt_ano, blt_data_lev, blt_data_cad) VALUES ("&amp;A60&amp;", "&amp;B60&amp;", "&amp;C60&amp;", TO_DATE('"&amp;TEXT(D60,"DD/MM/AAAA")&amp;"', 'DD/MM/YYYY'), SYSDATE);"</f>
        <v>INSERT INTO BOLETIM (blt_id, blt_numero, blt_ano, blt_data_lev, blt_data_cad) VALUES (59, 59, 2024, TO_DATE('03/07/2024', 'DD/MM/YYYY'), SYSDATE);</v>
      </c>
    </row>
    <row r="61" customFormat="false" ht="14.25" hidden="false" customHeight="false" outlineLevel="0" collapsed="false">
      <c r="A61" s="0" t="n">
        <v>60</v>
      </c>
      <c r="B61" s="0" t="n">
        <v>60</v>
      </c>
      <c r="C61" s="0" t="n">
        <v>2024</v>
      </c>
      <c r="D61" s="3" t="n">
        <v>45483</v>
      </c>
      <c r="E61" s="28" t="n">
        <f aca="true">TODAY()</f>
        <v>46297</v>
      </c>
      <c r="F61" s="0" t="str">
        <f aca="false">"INSERT INTO BOLETIM (blt_id, blt_numero, blt_ano, blt_data_lev, blt_data_cad) VALUES ("&amp;A61&amp;", "&amp;B61&amp;", "&amp;C61&amp;", TO_DATE('"&amp;TEXT(D61,"DD/MM/AAAA")&amp;"', 'DD/MM/YYYY'), SYSDATE);"</f>
        <v>INSERT INTO BOLETIM (blt_id, blt_numero, blt_ano, blt_data_lev, blt_data_cad) VALUES (60, 60, 2024, TO_DATE('10/07/2024', 'DD/MM/YYYY'), SYSDATE);</v>
      </c>
    </row>
    <row r="62" customFormat="false" ht="14.25" hidden="false" customHeight="false" outlineLevel="0" collapsed="false">
      <c r="A62" s="0" t="n">
        <v>61</v>
      </c>
      <c r="B62" s="0" t="n">
        <v>61</v>
      </c>
      <c r="C62" s="0" t="n">
        <v>2024</v>
      </c>
      <c r="D62" s="3" t="n">
        <v>45490</v>
      </c>
      <c r="E62" s="28" t="n">
        <f aca="true">TODAY()</f>
        <v>46297</v>
      </c>
      <c r="F62" s="0" t="str">
        <f aca="false">"INSERT INTO BOLETIM (blt_id, blt_numero, blt_ano, blt_data_lev, blt_data_cad) VALUES ("&amp;A62&amp;", "&amp;B62&amp;", "&amp;C62&amp;", TO_DATE('"&amp;TEXT(D62,"DD/MM/AAAA")&amp;"', 'DD/MM/YYYY'), SYSDATE);"</f>
        <v>INSERT INTO BOLETIM (blt_id, blt_numero, blt_ano, blt_data_lev, blt_data_cad) VALUES (61, 61, 2024, TO_DATE('17/07/2024', 'DD/MM/YYYY'), SYSDATE);</v>
      </c>
    </row>
    <row r="63" customFormat="false" ht="14.25" hidden="false" customHeight="false" outlineLevel="0" collapsed="false">
      <c r="A63" s="0" t="n">
        <v>62</v>
      </c>
      <c r="B63" s="0" t="n">
        <v>62</v>
      </c>
      <c r="C63" s="0" t="n">
        <v>2024</v>
      </c>
      <c r="D63" s="3" t="n">
        <v>45497</v>
      </c>
      <c r="E63" s="28" t="n">
        <f aca="true">TODAY()</f>
        <v>46297</v>
      </c>
      <c r="F63" s="0" t="str">
        <f aca="false">"INSERT INTO BOLETIM (blt_id, blt_numero, blt_ano, blt_data_lev, blt_data_cad) VALUES ("&amp;A63&amp;", "&amp;B63&amp;", "&amp;C63&amp;", TO_DATE('"&amp;TEXT(D63,"DD/MM/AAAA")&amp;"', 'DD/MM/YYYY'), SYSDATE);"</f>
        <v>INSERT INTO BOLETIM (blt_id, blt_numero, blt_ano, blt_data_lev, blt_data_cad) VALUES (62, 62, 2024, TO_DATE('24/07/2024', 'DD/MM/YYYY'), SYSDATE);</v>
      </c>
    </row>
    <row r="64" customFormat="false" ht="14.25" hidden="false" customHeight="false" outlineLevel="0" collapsed="false">
      <c r="A64" s="0" t="n">
        <v>63</v>
      </c>
      <c r="B64" s="0" t="n">
        <v>63</v>
      </c>
      <c r="C64" s="0" t="n">
        <v>2024</v>
      </c>
      <c r="D64" s="3" t="n">
        <v>45505</v>
      </c>
      <c r="E64" s="28" t="n">
        <f aca="true">TODAY()</f>
        <v>46297</v>
      </c>
      <c r="F64" s="0" t="str">
        <f aca="false">"INSERT INTO BOLETIM (blt_id, blt_numero, blt_ano, blt_data_lev, blt_data_cad) VALUES ("&amp;A64&amp;", "&amp;B64&amp;", "&amp;C64&amp;", TO_DATE('"&amp;TEXT(D64,"DD/MM/AAAA")&amp;"', 'DD/MM/YYYY'), SYSDATE);"</f>
        <v>INSERT INTO BOLETIM (blt_id, blt_numero, blt_ano, blt_data_lev, blt_data_cad) VALUES (63, 63, 2024, TO_DATE('01/08/2024', 'DD/MM/YYYY'), SYSDATE);</v>
      </c>
    </row>
    <row r="65" customFormat="false" ht="14.25" hidden="false" customHeight="false" outlineLevel="0" collapsed="false">
      <c r="A65" s="0" t="n">
        <v>64</v>
      </c>
      <c r="B65" s="0" t="n">
        <v>64</v>
      </c>
      <c r="C65" s="0" t="n">
        <v>2024</v>
      </c>
      <c r="D65" s="3" t="n">
        <v>45513</v>
      </c>
      <c r="E65" s="28" t="n">
        <f aca="true">TODAY()</f>
        <v>46297</v>
      </c>
      <c r="F65" s="0" t="str">
        <f aca="false">"INSERT INTO BOLETIM (blt_id, blt_numero, blt_ano, blt_data_lev, blt_data_cad) VALUES ("&amp;A65&amp;", "&amp;B65&amp;", "&amp;C65&amp;", TO_DATE('"&amp;TEXT(D65,"DD/MM/AAAA")&amp;"', 'DD/MM/YYYY'), SYSDATE);"</f>
        <v>INSERT INTO BOLETIM (blt_id, blt_numero, blt_ano, blt_data_lev, blt_data_cad) VALUES (64, 64, 2024, TO_DATE('09/08/2024', 'DD/MM/YYYY'), SYSDATE);</v>
      </c>
    </row>
    <row r="66" customFormat="false" ht="14.25" hidden="false" customHeight="false" outlineLevel="0" collapsed="false">
      <c r="A66" s="0" t="n">
        <v>65</v>
      </c>
      <c r="B66" s="0" t="n">
        <v>65</v>
      </c>
      <c r="C66" s="0" t="n">
        <v>2024</v>
      </c>
      <c r="D66" s="3" t="n">
        <v>45520</v>
      </c>
      <c r="E66" s="28" t="n">
        <f aca="true">TODAY()</f>
        <v>46297</v>
      </c>
      <c r="F66" s="0" t="str">
        <f aca="false">"INSERT INTO BOLETIM (blt_id, blt_numero, blt_ano, blt_data_lev, blt_data_cad) VALUES ("&amp;A66&amp;", "&amp;B66&amp;", "&amp;C66&amp;", TO_DATE('"&amp;TEXT(D66,"DD/MM/AAAA")&amp;"', 'DD/MM/YYYY'), SYSDATE);"</f>
        <v>INSERT INTO BOLETIM (blt_id, blt_numero, blt_ano, blt_data_lev, blt_data_cad) VALUES (65, 65, 2024, TO_DATE('16/08/2024', 'DD/MM/YYYY'), SYSDATE);</v>
      </c>
    </row>
    <row r="67" customFormat="false" ht="14.25" hidden="false" customHeight="false" outlineLevel="0" collapsed="false">
      <c r="A67" s="0" t="n">
        <v>66</v>
      </c>
      <c r="B67" s="0" t="n">
        <v>66</v>
      </c>
      <c r="C67" s="0" t="n">
        <v>2024</v>
      </c>
      <c r="D67" s="3" t="n">
        <v>45527</v>
      </c>
      <c r="E67" s="28" t="n">
        <f aca="true">TODAY()</f>
        <v>46297</v>
      </c>
      <c r="F67" s="0" t="str">
        <f aca="false">"INSERT INTO BOLETIM (blt_id, blt_numero, blt_ano, blt_data_lev, blt_data_cad) VALUES ("&amp;A67&amp;", "&amp;B67&amp;", "&amp;C67&amp;", TO_DATE('"&amp;TEXT(D67,"DD/MM/AAAA")&amp;"', 'DD/MM/YYYY'), SYSDATE);"</f>
        <v>INSERT INTO BOLETIM (blt_id, blt_numero, blt_ano, blt_data_lev, blt_data_cad) VALUES (66, 66, 2024, TO_DATE('23/08/2024', 'DD/MM/YYYY'), SYSDATE);</v>
      </c>
    </row>
    <row r="68" customFormat="false" ht="14.25" hidden="false" customHeight="false" outlineLevel="0" collapsed="false">
      <c r="A68" s="0" t="n">
        <v>67</v>
      </c>
      <c r="B68" s="0" t="n">
        <v>67</v>
      </c>
      <c r="C68" s="0" t="n">
        <v>2024</v>
      </c>
      <c r="D68" s="3" t="n">
        <v>45534</v>
      </c>
      <c r="E68" s="28" t="n">
        <f aca="true">TODAY()</f>
        <v>46297</v>
      </c>
      <c r="F68" s="0" t="str">
        <f aca="false">"INSERT INTO BOLETIM (blt_id, blt_numero, blt_ano, blt_data_lev, blt_data_cad) VALUES ("&amp;A68&amp;", "&amp;B68&amp;", "&amp;C68&amp;", TO_DATE('"&amp;TEXT(D68,"DD/MM/AAAA")&amp;"', 'DD/MM/YYYY'), SYSDATE);"</f>
        <v>INSERT INTO BOLETIM (blt_id, blt_numero, blt_ano, blt_data_lev, blt_data_cad) VALUES (67, 67, 2024, TO_DATE('30/08/2024', 'DD/MM/YYYY'), SYSDATE);</v>
      </c>
    </row>
    <row r="69" customFormat="false" ht="14.25" hidden="false" customHeight="false" outlineLevel="0" collapsed="false">
      <c r="A69" s="0" t="n">
        <v>68</v>
      </c>
      <c r="B69" s="0" t="n">
        <v>68</v>
      </c>
      <c r="C69" s="0" t="n">
        <v>2024</v>
      </c>
      <c r="D69" s="3" t="n">
        <v>45541</v>
      </c>
      <c r="E69" s="28" t="n">
        <f aca="true">TODAY()</f>
        <v>46297</v>
      </c>
      <c r="F69" s="0" t="str">
        <f aca="false">"INSERT INTO BOLETIM (blt_id, blt_numero, blt_ano, blt_data_lev, blt_data_cad) VALUES ("&amp;A69&amp;", "&amp;B69&amp;", "&amp;C69&amp;", TO_DATE('"&amp;TEXT(D69,"DD/MM/AAAA")&amp;"', 'DD/MM/YYYY'), SYSDATE);"</f>
        <v>INSERT INTO BOLETIM (blt_id, blt_numero, blt_ano, blt_data_lev, blt_data_cad) VALUES (68, 68, 2024, TO_DATE('06/09/2024', 'DD/MM/YYYY'), SYSDATE);</v>
      </c>
    </row>
    <row r="70" customFormat="false" ht="14.25" hidden="false" customHeight="false" outlineLevel="0" collapsed="false">
      <c r="A70" s="0" t="n">
        <v>69</v>
      </c>
      <c r="B70" s="0" t="n">
        <v>69</v>
      </c>
      <c r="C70" s="0" t="n">
        <v>2024</v>
      </c>
      <c r="D70" s="3" t="n">
        <v>45548</v>
      </c>
      <c r="E70" s="28" t="n">
        <f aca="true">TODAY()</f>
        <v>46297</v>
      </c>
      <c r="F70" s="0" t="str">
        <f aca="false">"INSERT INTO BOLETIM (blt_id, blt_numero, blt_ano, blt_data_lev, blt_data_cad) VALUES ("&amp;A70&amp;", "&amp;B70&amp;", "&amp;C70&amp;", TO_DATE('"&amp;TEXT(D70,"DD/MM/AAAA")&amp;"', 'DD/MM/YYYY'), SYSDATE);"</f>
        <v>INSERT INTO BOLETIM (blt_id, blt_numero, blt_ano, blt_data_lev, blt_data_cad) VALUES (69, 69, 2024, TO_DATE('13/09/2024', 'DD/MM/YYYY'), SYSDATE);</v>
      </c>
    </row>
    <row r="71" customFormat="false" ht="14.25" hidden="false" customHeight="false" outlineLevel="0" collapsed="false">
      <c r="A71" s="0" t="n">
        <v>70</v>
      </c>
      <c r="B71" s="0" t="n">
        <v>70</v>
      </c>
      <c r="C71" s="0" t="n">
        <v>2024</v>
      </c>
      <c r="D71" s="3" t="n">
        <v>45555</v>
      </c>
      <c r="E71" s="28" t="n">
        <f aca="true">TODAY()</f>
        <v>46297</v>
      </c>
      <c r="F71" s="0" t="str">
        <f aca="false">"INSERT INTO BOLETIM (blt_id, blt_numero, blt_ano, blt_data_lev, blt_data_cad) VALUES ("&amp;A71&amp;", "&amp;B71&amp;", "&amp;C71&amp;", TO_DATE('"&amp;TEXT(D71,"DD/MM/AAAA")&amp;"', 'DD/MM/YYYY'), SYSDATE);"</f>
        <v>INSERT INTO BOLETIM (blt_id, blt_numero, blt_ano, blt_data_lev, blt_data_cad) VALUES (70, 70, 2024, TO_DATE('20/09/2024', 'DD/MM/YYYY'), SYSDATE);</v>
      </c>
    </row>
    <row r="72" customFormat="false" ht="14.25" hidden="false" customHeight="false" outlineLevel="0" collapsed="false">
      <c r="A72" s="0" t="n">
        <v>71</v>
      </c>
      <c r="B72" s="0" t="n">
        <v>71</v>
      </c>
      <c r="C72" s="0" t="n">
        <v>2024</v>
      </c>
      <c r="D72" s="3" t="n">
        <v>45562</v>
      </c>
      <c r="E72" s="28" t="n">
        <f aca="true">TODAY()</f>
        <v>46297</v>
      </c>
      <c r="F72" s="0" t="str">
        <f aca="false">"INSERT INTO BOLETIM (blt_id, blt_numero, blt_ano, blt_data_lev, blt_data_cad) VALUES ("&amp;A72&amp;", "&amp;B72&amp;", "&amp;C72&amp;", TO_DATE('"&amp;TEXT(D72,"DD/MM/AAAA")&amp;"', 'DD/MM/YYYY'), SYSDATE);"</f>
        <v>INSERT INTO BOLETIM (blt_id, blt_numero, blt_ano, blt_data_lev, blt_data_cad) VALUES (71, 71, 2024, TO_DATE('27/09/2024', 'DD/MM/YYYY'), SYSDATE);</v>
      </c>
    </row>
    <row r="73" customFormat="false" ht="14.25" hidden="false" customHeight="false" outlineLevel="0" collapsed="false">
      <c r="A73" s="0" t="n">
        <v>72</v>
      </c>
      <c r="B73" s="0" t="n">
        <v>72</v>
      </c>
      <c r="C73" s="0" t="n">
        <v>2024</v>
      </c>
      <c r="D73" s="3" t="n">
        <v>45569</v>
      </c>
      <c r="E73" s="28" t="n">
        <f aca="true">TODAY()</f>
        <v>46297</v>
      </c>
      <c r="F73" s="0" t="str">
        <f aca="false">"INSERT INTO BOLETIM (blt_id, blt_numero, blt_ano, blt_data_lev, blt_data_cad) VALUES ("&amp;A73&amp;", "&amp;B73&amp;", "&amp;C73&amp;", TO_DATE('"&amp;TEXT(D73,"DD/MM/AAAA")&amp;"', 'DD/MM/YYYY'), SYSDATE);"</f>
        <v>INSERT INTO BOLETIM (blt_id, blt_numero, blt_ano, blt_data_lev, blt_data_cad) VALUES (72, 72, 2024, TO_DATE('04/10/2024', 'DD/MM/YYYY'), SYSDATE);</v>
      </c>
    </row>
    <row r="74" customFormat="false" ht="14.25" hidden="false" customHeight="false" outlineLevel="0" collapsed="false">
      <c r="A74" s="0" t="n">
        <v>73</v>
      </c>
      <c r="B74" s="0" t="n">
        <v>73</v>
      </c>
      <c r="C74" s="0" t="n">
        <v>2024</v>
      </c>
      <c r="D74" s="3" t="n">
        <v>45576</v>
      </c>
      <c r="E74" s="28" t="n">
        <f aca="true">TODAY()</f>
        <v>46297</v>
      </c>
      <c r="F74" s="0" t="str">
        <f aca="false">"INSERT INTO BOLETIM (blt_id, blt_numero, blt_ano, blt_data_lev, blt_data_cad) VALUES ("&amp;A74&amp;", "&amp;B74&amp;", "&amp;C74&amp;", TO_DATE('"&amp;TEXT(D74,"DD/MM/AAAA")&amp;"', 'DD/MM/YYYY'), SYSDATE);"</f>
        <v>INSERT INTO BOLETIM (blt_id, blt_numero, blt_ano, blt_data_lev, blt_data_cad) VALUES (73, 73, 2024, TO_DATE('11/10/2024', 'DD/MM/YYYY'), SYSDATE);</v>
      </c>
    </row>
    <row r="75" customFormat="false" ht="14.25" hidden="false" customHeight="false" outlineLevel="0" collapsed="false">
      <c r="A75" s="0" t="n">
        <v>74</v>
      </c>
      <c r="B75" s="0" t="n">
        <v>74</v>
      </c>
      <c r="C75" s="0" t="n">
        <v>2024</v>
      </c>
      <c r="D75" s="3" t="n">
        <v>45583</v>
      </c>
      <c r="E75" s="28" t="n">
        <f aca="true">TODAY()</f>
        <v>46297</v>
      </c>
      <c r="F75" s="0" t="str">
        <f aca="false">"INSERT INTO BOLETIM (blt_id, blt_numero, blt_ano, blt_data_lev, blt_data_cad) VALUES ("&amp;A75&amp;", "&amp;B75&amp;", "&amp;C75&amp;", TO_DATE('"&amp;TEXT(D75,"DD/MM/AAAA")&amp;"', 'DD/MM/YYYY'), SYSDATE);"</f>
        <v>INSERT INTO BOLETIM (blt_id, blt_numero, blt_ano, blt_data_lev, blt_data_cad) VALUES (74, 74, 2024, TO_DATE('18/10/2024', 'DD/MM/YYYY'), SYSDATE);</v>
      </c>
    </row>
    <row r="76" customFormat="false" ht="14.25" hidden="false" customHeight="false" outlineLevel="0" collapsed="false">
      <c r="A76" s="0" t="n">
        <v>75</v>
      </c>
      <c r="B76" s="0" t="n">
        <v>75</v>
      </c>
      <c r="C76" s="0" t="n">
        <v>2024</v>
      </c>
      <c r="D76" s="3" t="n">
        <v>45590</v>
      </c>
      <c r="E76" s="28" t="n">
        <f aca="true">TODAY()</f>
        <v>46297</v>
      </c>
      <c r="F76" s="0" t="str">
        <f aca="false">"INSERT INTO BOLETIM (blt_id, blt_numero, blt_ano, blt_data_lev, blt_data_cad) VALUES ("&amp;A76&amp;", "&amp;B76&amp;", "&amp;C76&amp;", TO_DATE('"&amp;TEXT(D76,"DD/MM/AAAA")&amp;"', 'DD/MM/YYYY'), SYSDATE);"</f>
        <v>INSERT INTO BOLETIM (blt_id, blt_numero, blt_ano, blt_data_lev, blt_data_cad) VALUES (75, 75, 2024, TO_DATE('25/10/2024', 'DD/MM/YYYY'), SYSDATE);</v>
      </c>
    </row>
    <row r="77" customFormat="false" ht="14.25" hidden="false" customHeight="false" outlineLevel="0" collapsed="false">
      <c r="A77" s="0" t="n">
        <v>76</v>
      </c>
      <c r="B77" s="0" t="n">
        <v>76</v>
      </c>
      <c r="C77" s="0" t="n">
        <v>2024</v>
      </c>
      <c r="D77" s="3" t="n">
        <v>45597</v>
      </c>
      <c r="E77" s="28" t="n">
        <f aca="true">TODAY()</f>
        <v>46297</v>
      </c>
      <c r="F77" s="0" t="str">
        <f aca="false">"INSERT INTO BOLETIM (blt_id, blt_numero, blt_ano, blt_data_lev, blt_data_cad) VALUES ("&amp;A77&amp;", "&amp;B77&amp;", "&amp;C77&amp;", TO_DATE('"&amp;TEXT(D77,"DD/MM/AAAA")&amp;"', 'DD/MM/YYYY'), SYSDATE);"</f>
        <v>INSERT INTO BOLETIM (blt_id, blt_numero, blt_ano, blt_data_lev, blt_data_cad) VALUES (76, 76, 2024, TO_DATE('01/11/2024', 'DD/MM/YYYY'), SYSDATE);</v>
      </c>
    </row>
    <row r="78" customFormat="false" ht="14.25" hidden="false" customHeight="false" outlineLevel="0" collapsed="false">
      <c r="A78" s="0" t="n">
        <v>77</v>
      </c>
      <c r="B78" s="0" t="n">
        <v>77</v>
      </c>
      <c r="C78" s="0" t="n">
        <v>2024</v>
      </c>
      <c r="D78" s="3" t="n">
        <v>45604</v>
      </c>
      <c r="E78" s="28" t="n">
        <f aca="true">TODAY()</f>
        <v>46297</v>
      </c>
      <c r="F78" s="0" t="str">
        <f aca="false">"INSERT INTO BOLETIM (blt_id, blt_numero, blt_ano, blt_data_lev, blt_data_cad) VALUES ("&amp;A78&amp;", "&amp;B78&amp;", "&amp;C78&amp;", TO_DATE('"&amp;TEXT(D78,"DD/MM/AAAA")&amp;"', 'DD/MM/YYYY'), SYSDATE);"</f>
        <v>INSERT INTO BOLETIM (blt_id, blt_numero, blt_ano, blt_data_lev, blt_data_cad) VALUES (77, 77, 2024, TO_DATE('08/11/2024', 'DD/MM/YYYY'), SYSDATE);</v>
      </c>
    </row>
    <row r="79" customFormat="false" ht="14.25" hidden="false" customHeight="false" outlineLevel="0" collapsed="false">
      <c r="A79" s="0" t="n">
        <v>78</v>
      </c>
      <c r="B79" s="0" t="n">
        <v>78</v>
      </c>
      <c r="C79" s="0" t="n">
        <v>2024</v>
      </c>
      <c r="D79" s="3" t="n">
        <v>45611</v>
      </c>
      <c r="E79" s="28" t="n">
        <f aca="true">TODAY()</f>
        <v>46297</v>
      </c>
      <c r="F79" s="0" t="str">
        <f aca="false">"INSERT INTO BOLETIM (blt_id, blt_numero, blt_ano, blt_data_lev, blt_data_cad) VALUES ("&amp;A79&amp;", "&amp;B79&amp;", "&amp;C79&amp;", TO_DATE('"&amp;TEXT(D79,"DD/MM/AAAA")&amp;"', 'DD/MM/YYYY'), SYSDATE);"</f>
        <v>INSERT INTO BOLETIM (blt_id, blt_numero, blt_ano, blt_data_lev, blt_data_cad) VALUES (78, 78, 2024, TO_DATE('15/11/2024', 'DD/MM/YYYY'), SYSDATE);</v>
      </c>
    </row>
    <row r="80" customFormat="false" ht="14.25" hidden="false" customHeight="false" outlineLevel="0" collapsed="false">
      <c r="A80" s="0" t="n">
        <v>79</v>
      </c>
      <c r="B80" s="0" t="n">
        <v>79</v>
      </c>
      <c r="C80" s="0" t="n">
        <v>2024</v>
      </c>
      <c r="D80" s="3" t="n">
        <v>45618</v>
      </c>
      <c r="E80" s="28" t="n">
        <f aca="true">TODAY()</f>
        <v>46297</v>
      </c>
      <c r="F80" s="0" t="str">
        <f aca="false">"INSERT INTO BOLETIM (blt_id, blt_numero, blt_ano, blt_data_lev, blt_data_cad) VALUES ("&amp;A80&amp;", "&amp;B80&amp;", "&amp;C80&amp;", TO_DATE('"&amp;TEXT(D80,"DD/MM/AAAA")&amp;"', 'DD/MM/YYYY'), SYSDATE);"</f>
        <v>INSERT INTO BOLETIM (blt_id, blt_numero, blt_ano, blt_data_lev, blt_data_cad) VALUES (79, 79, 2024, TO_DATE('22/11/2024', 'DD/MM/YYYY'), SYSDATE);</v>
      </c>
    </row>
    <row r="81" customFormat="false" ht="14.25" hidden="false" customHeight="false" outlineLevel="0" collapsed="false">
      <c r="A81" s="0" t="n">
        <v>80</v>
      </c>
      <c r="B81" s="0" t="n">
        <v>80</v>
      </c>
      <c r="C81" s="0" t="n">
        <v>2024</v>
      </c>
      <c r="D81" s="3" t="n">
        <v>45625</v>
      </c>
      <c r="E81" s="28" t="n">
        <f aca="true">TODAY()</f>
        <v>46297</v>
      </c>
      <c r="F81" s="0" t="str">
        <f aca="false">"INSERT INTO BOLETIM (blt_id, blt_numero, blt_ano, blt_data_lev, blt_data_cad) VALUES ("&amp;A81&amp;", "&amp;B81&amp;", "&amp;C81&amp;", TO_DATE('"&amp;TEXT(D81,"DD/MM/AAAA")&amp;"', 'DD/MM/YYYY'), SYSDATE);"</f>
        <v>INSERT INTO BOLETIM (blt_id, blt_numero, blt_ano, blt_data_lev, blt_data_cad) VALUES (80, 80, 2024, TO_DATE('29/11/2024', 'DD/MM/YYYY'), SYSDATE);</v>
      </c>
    </row>
    <row r="82" customFormat="false" ht="14.25" hidden="false" customHeight="false" outlineLevel="0" collapsed="false">
      <c r="A82" s="0" t="n">
        <v>81</v>
      </c>
      <c r="B82" s="0" t="n">
        <v>81</v>
      </c>
      <c r="C82" s="0" t="n">
        <v>2024</v>
      </c>
      <c r="D82" s="3" t="n">
        <v>45632</v>
      </c>
      <c r="E82" s="28" t="n">
        <f aca="true">TODAY()</f>
        <v>46297</v>
      </c>
      <c r="F82" s="0" t="str">
        <f aca="false">"INSERT INTO BOLETIM (blt_id, blt_numero, blt_ano, blt_data_lev, blt_data_cad) VALUES ("&amp;A82&amp;", "&amp;B82&amp;", "&amp;C82&amp;", TO_DATE('"&amp;TEXT(D82,"DD/MM/AAAA")&amp;"', 'DD/MM/YYYY'), SYSDATE);"</f>
        <v>INSERT INTO BOLETIM (blt_id, blt_numero, blt_ano, blt_data_lev, blt_data_cad) VALUES (81, 81, 2024, TO_DATE('06/12/2024', 'DD/MM/YYYY'), SYSDATE);</v>
      </c>
    </row>
    <row r="83" customFormat="false" ht="14.25" hidden="false" customHeight="false" outlineLevel="0" collapsed="false">
      <c r="A83" s="0" t="n">
        <v>82</v>
      </c>
      <c r="B83" s="0" t="n">
        <v>82</v>
      </c>
      <c r="C83" s="0" t="n">
        <v>2024</v>
      </c>
      <c r="D83" s="3" t="n">
        <v>45639</v>
      </c>
      <c r="E83" s="28" t="n">
        <f aca="true">TODAY()</f>
        <v>46297</v>
      </c>
      <c r="F83" s="0" t="str">
        <f aca="false">"INSERT INTO BOLETIM (blt_id, blt_numero, blt_ano, blt_data_lev, blt_data_cad) VALUES ("&amp;A83&amp;", "&amp;B83&amp;", "&amp;C83&amp;", TO_DATE('"&amp;TEXT(D83,"DD/MM/AAAA")&amp;"', 'DD/MM/YYYY'), SYSDATE);"</f>
        <v>INSERT INTO BOLETIM (blt_id, blt_numero, blt_ano, blt_data_lev, blt_data_cad) VALUES (82, 82, 2024, TO_DATE('13/12/2024', 'DD/MM/YYYY'), SYSDATE);</v>
      </c>
    </row>
    <row r="84" customFormat="false" ht="14.25" hidden="false" customHeight="false" outlineLevel="0" collapsed="false">
      <c r="A84" s="0" t="n">
        <v>83</v>
      </c>
      <c r="B84" s="0" t="n">
        <v>83</v>
      </c>
      <c r="C84" s="0" t="n">
        <v>2024</v>
      </c>
      <c r="D84" s="3" t="n">
        <v>45646</v>
      </c>
      <c r="E84" s="28" t="n">
        <f aca="true">TODAY()</f>
        <v>46297</v>
      </c>
      <c r="F84" s="0" t="str">
        <f aca="false">"INSERT INTO BOLETIM (blt_id, blt_numero, blt_ano, blt_data_lev, blt_data_cad) VALUES ("&amp;A84&amp;", "&amp;B84&amp;", "&amp;C84&amp;", TO_DATE('"&amp;TEXT(D84,"DD/MM/AAAA")&amp;"', 'DD/MM/YYYY'), SYSDATE);"</f>
        <v>INSERT INTO BOLETIM (blt_id, blt_numero, blt_ano, blt_data_lev, blt_data_cad) VALUES (83, 83, 2024, TO_DATE('20/12/2024', 'DD/MM/YYYY'), SYSDATE);</v>
      </c>
    </row>
    <row r="85" customFormat="false" ht="14.25" hidden="false" customHeight="false" outlineLevel="0" collapsed="false">
      <c r="A85" s="0" t="n">
        <v>84</v>
      </c>
      <c r="B85" s="0" t="n">
        <v>84</v>
      </c>
      <c r="C85" s="0" t="n">
        <v>2024</v>
      </c>
      <c r="D85" s="3" t="n">
        <v>45653</v>
      </c>
      <c r="E85" s="28" t="n">
        <f aca="true">TODAY()</f>
        <v>46297</v>
      </c>
      <c r="F85" s="0" t="str">
        <f aca="false">"INSERT INTO BOLETIM (blt_id, blt_numero, blt_ano, blt_data_lev, blt_data_cad) VALUES ("&amp;A85&amp;", "&amp;B85&amp;", "&amp;C85&amp;", TO_DATE('"&amp;TEXT(D85,"DD/MM/AAAA")&amp;"', 'DD/MM/YYYY'), SYSDATE);"</f>
        <v>INSERT INTO BOLETIM (blt_id, blt_numero, blt_ano, blt_data_lev, blt_data_cad) VALUES (84, 84, 2024, TO_DATE('27/12/2024', 'DD/MM/YYYY'), SYSDATE);</v>
      </c>
    </row>
    <row r="86" customFormat="false" ht="14.25" hidden="false" customHeight="false" outlineLevel="0" collapsed="false">
      <c r="A86" s="0" t="n">
        <v>85</v>
      </c>
      <c r="B86" s="0" t="n">
        <v>85</v>
      </c>
      <c r="C86" s="0" t="n">
        <v>2025</v>
      </c>
      <c r="D86" s="3" t="n">
        <v>45660</v>
      </c>
      <c r="E86" s="28" t="n">
        <f aca="true">TODAY()</f>
        <v>46297</v>
      </c>
      <c r="F86" s="0" t="str">
        <f aca="false">"INSERT INTO BOLETIM (blt_id, blt_numero, blt_ano, blt_data_lev, blt_data_cad) VALUES ("&amp;A86&amp;", "&amp;B86&amp;", "&amp;C86&amp;", TO_DATE('"&amp;TEXT(D86,"DD/MM/AAAA")&amp;"', 'DD/MM/YYYY'), SYSDATE);"</f>
        <v>INSERT INTO BOLETIM (blt_id, blt_numero, blt_ano, blt_data_lev, blt_data_cad) VALUES (85, 85, 2025, TO_DATE('03/01/2025', 'DD/MM/YYYY'), SYSDATE);</v>
      </c>
    </row>
    <row r="87" customFormat="false" ht="14.25" hidden="false" customHeight="false" outlineLevel="0" collapsed="false">
      <c r="A87" s="0" t="n">
        <v>86</v>
      </c>
      <c r="B87" s="0" t="n">
        <v>86</v>
      </c>
      <c r="C87" s="0" t="n">
        <v>2025</v>
      </c>
      <c r="D87" s="3" t="n">
        <v>45667</v>
      </c>
      <c r="E87" s="28" t="n">
        <f aca="true">TODAY()</f>
        <v>46297</v>
      </c>
      <c r="F87" s="0" t="str">
        <f aca="false">"INSERT INTO BOLETIM (blt_id, blt_numero, blt_ano, blt_data_lev, blt_data_cad) VALUES ("&amp;A87&amp;", "&amp;B87&amp;", "&amp;C87&amp;", TO_DATE('"&amp;TEXT(D87,"DD/MM/AAAA")&amp;"', 'DD/MM/YYYY'), SYSDATE);"</f>
        <v>INSERT INTO BOLETIM (blt_id, blt_numero, blt_ano, blt_data_lev, blt_data_cad) VALUES (86, 86, 2025, TO_DATE('10/01/2025', 'DD/MM/YYYY'), SYSDATE);</v>
      </c>
    </row>
    <row r="88" customFormat="false" ht="14.25" hidden="false" customHeight="false" outlineLevel="0" collapsed="false">
      <c r="A88" s="0" t="n">
        <v>87</v>
      </c>
      <c r="B88" s="0" t="n">
        <v>87</v>
      </c>
      <c r="C88" s="0" t="n">
        <v>2025</v>
      </c>
      <c r="D88" s="3" t="n">
        <v>45674</v>
      </c>
      <c r="E88" s="28" t="n">
        <f aca="true">TODAY()</f>
        <v>46297</v>
      </c>
      <c r="F88" s="0" t="str">
        <f aca="false">"INSERT INTO BOLETIM (blt_id, blt_numero, blt_ano, blt_data_lev, blt_data_cad) VALUES ("&amp;A88&amp;", "&amp;B88&amp;", "&amp;C88&amp;", TO_DATE('"&amp;TEXT(D88,"DD/MM/AAAA")&amp;"', 'DD/MM/YYYY'), SYSDATE);"</f>
        <v>INSERT INTO BOLETIM (blt_id, blt_numero, blt_ano, blt_data_lev, blt_data_cad) VALUES (87, 87, 2025, TO_DATE('17/01/2025', 'DD/MM/YYYY'), SYSDATE);</v>
      </c>
    </row>
    <row r="89" customFormat="false" ht="14.25" hidden="false" customHeight="false" outlineLevel="0" collapsed="false">
      <c r="A89" s="0" t="n">
        <v>88</v>
      </c>
      <c r="B89" s="0" t="n">
        <v>88</v>
      </c>
      <c r="C89" s="0" t="n">
        <v>2025</v>
      </c>
      <c r="D89" s="3" t="n">
        <v>45681</v>
      </c>
      <c r="E89" s="28" t="n">
        <f aca="true">TODAY()</f>
        <v>46297</v>
      </c>
      <c r="F89" s="0" t="str">
        <f aca="false">"INSERT INTO BOLETIM (blt_id, blt_numero, blt_ano, blt_data_lev, blt_data_cad) VALUES ("&amp;A89&amp;", "&amp;B89&amp;", "&amp;C89&amp;", TO_DATE('"&amp;TEXT(D89,"DD/MM/AAAA")&amp;"', 'DD/MM/YYYY'), SYSDATE);"</f>
        <v>INSERT INTO BOLETIM (blt_id, blt_numero, blt_ano, blt_data_lev, blt_data_cad) VALUES (88, 88, 2025, TO_DATE('24/01/2025', 'DD/MM/YYYY'), SYSDATE);</v>
      </c>
    </row>
    <row r="90" customFormat="false" ht="14.25" hidden="false" customHeight="false" outlineLevel="0" collapsed="false">
      <c r="A90" s="0" t="n">
        <v>89</v>
      </c>
      <c r="B90" s="0" t="n">
        <v>89</v>
      </c>
      <c r="C90" s="0" t="n">
        <v>2025</v>
      </c>
      <c r="D90" s="3" t="n">
        <v>45688</v>
      </c>
      <c r="E90" s="28" t="n">
        <f aca="true">TODAY()</f>
        <v>46297</v>
      </c>
      <c r="F90" s="0" t="str">
        <f aca="false">"INSERT INTO BOLETIM (blt_id, blt_numero, blt_ano, blt_data_lev, blt_data_cad) VALUES ("&amp;A90&amp;", "&amp;B90&amp;", "&amp;C90&amp;", TO_DATE('"&amp;TEXT(D90,"DD/MM/AAAA")&amp;"', 'DD/MM/YYYY'), SYSDATE);"</f>
        <v>INSERT INTO BOLETIM (blt_id, blt_numero, blt_ano, blt_data_lev, blt_data_cad) VALUES (89, 89, 2025, TO_DATE('31/01/2025', 'DD/MM/YYYY'), SYSDATE);</v>
      </c>
    </row>
    <row r="91" customFormat="false" ht="14.25" hidden="false" customHeight="false" outlineLevel="0" collapsed="false">
      <c r="A91" s="0" t="n">
        <v>90</v>
      </c>
      <c r="B91" s="0" t="n">
        <v>90</v>
      </c>
      <c r="C91" s="0" t="n">
        <v>2025</v>
      </c>
      <c r="D91" s="3" t="n">
        <v>45695</v>
      </c>
      <c r="E91" s="28" t="n">
        <f aca="true">TODAY()</f>
        <v>46297</v>
      </c>
      <c r="F91" s="0" t="str">
        <f aca="false">"INSERT INTO BOLETIM (blt_id, blt_numero, blt_ano, blt_data_lev, blt_data_cad) VALUES ("&amp;A91&amp;", "&amp;B91&amp;", "&amp;C91&amp;", TO_DATE('"&amp;TEXT(D91,"DD/MM/AAAA")&amp;"', 'DD/MM/YYYY'), SYSDATE);"</f>
        <v>INSERT INTO BOLETIM (blt_id, blt_numero, blt_ano, blt_data_lev, blt_data_cad) VALUES (90, 90, 2025, TO_DATE('07/02/2025', 'DD/MM/YYYY'), SYSDATE);</v>
      </c>
    </row>
    <row r="92" customFormat="false" ht="14.25" hidden="false" customHeight="false" outlineLevel="0" collapsed="false">
      <c r="A92" s="0" t="n">
        <v>91</v>
      </c>
      <c r="B92" s="0" t="n">
        <v>91</v>
      </c>
      <c r="C92" s="0" t="n">
        <v>2025</v>
      </c>
      <c r="D92" s="3" t="n">
        <v>45702</v>
      </c>
      <c r="E92" s="28" t="n">
        <f aca="true">TODAY()</f>
        <v>46297</v>
      </c>
      <c r="F92" s="0" t="str">
        <f aca="false">"INSERT INTO BOLETIM (blt_id, blt_numero, blt_ano, blt_data_lev, blt_data_cad) VALUES ("&amp;A92&amp;", "&amp;B92&amp;", "&amp;C92&amp;", TO_DATE('"&amp;TEXT(D92,"DD/MM/AAAA")&amp;"', 'DD/MM/YYYY'), SYSDATE);"</f>
        <v>INSERT INTO BOLETIM (blt_id, blt_numero, blt_ano, blt_data_lev, blt_data_cad) VALUES (91, 91, 2025, TO_DATE('14/02/2025', 'DD/MM/YYYY'), SYSDATE);</v>
      </c>
    </row>
    <row r="93" customFormat="false" ht="14.25" hidden="false" customHeight="false" outlineLevel="0" collapsed="false">
      <c r="A93" s="0" t="n">
        <v>92</v>
      </c>
      <c r="B93" s="0" t="n">
        <v>92</v>
      </c>
      <c r="C93" s="0" t="n">
        <v>2025</v>
      </c>
      <c r="D93" s="3" t="n">
        <v>45709</v>
      </c>
      <c r="E93" s="28" t="n">
        <f aca="true">TODAY()</f>
        <v>46297</v>
      </c>
      <c r="F93" s="0" t="str">
        <f aca="false">"INSERT INTO BOLETIM (blt_id, blt_numero, blt_ano, blt_data_lev, blt_data_cad) VALUES ("&amp;A93&amp;", "&amp;B93&amp;", "&amp;C93&amp;", TO_DATE('"&amp;TEXT(D93,"DD/MM/AAAA")&amp;"', 'DD/MM/YYYY'), SYSDATE);"</f>
        <v>INSERT INTO BOLETIM (blt_id, blt_numero, blt_ano, blt_data_lev, blt_data_cad) VALUES (92, 92, 2025, TO_DATE('21/02/2025', 'DD/MM/YYYY'), SYSDATE);</v>
      </c>
    </row>
    <row r="94" customFormat="false" ht="14.25" hidden="false" customHeight="false" outlineLevel="0" collapsed="false">
      <c r="A94" s="0" t="n">
        <v>93</v>
      </c>
      <c r="B94" s="0" t="n">
        <v>93</v>
      </c>
      <c r="C94" s="0" t="n">
        <v>2025</v>
      </c>
      <c r="D94" s="3" t="n">
        <v>45716</v>
      </c>
      <c r="E94" s="28" t="n">
        <f aca="true">TODAY()</f>
        <v>46297</v>
      </c>
      <c r="F94" s="0" t="str">
        <f aca="false">"INSERT INTO BOLETIM (blt_id, blt_numero, blt_ano, blt_data_lev, blt_data_cad) VALUES ("&amp;A94&amp;", "&amp;B94&amp;", "&amp;C94&amp;", TO_DATE('"&amp;TEXT(D94,"DD/MM/AAAA")&amp;"', 'DD/MM/YYYY'), SYSDATE);"</f>
        <v>INSERT INTO BOLETIM (blt_id, blt_numero, blt_ano, blt_data_lev, blt_data_cad) VALUES (93, 93, 2025, TO_DATE('28/02/2025', 'DD/MM/YYYY'), SYSDATE);</v>
      </c>
    </row>
    <row r="95" customFormat="false" ht="14.25" hidden="false" customHeight="false" outlineLevel="0" collapsed="false">
      <c r="A95" s="0" t="n">
        <v>94</v>
      </c>
      <c r="B95" s="0" t="n">
        <v>94</v>
      </c>
      <c r="C95" s="0" t="n">
        <v>2025</v>
      </c>
      <c r="D95" s="3" t="n">
        <v>45723</v>
      </c>
      <c r="E95" s="28" t="n">
        <f aca="true">TODAY()</f>
        <v>46297</v>
      </c>
      <c r="F95" s="0" t="str">
        <f aca="false">"INSERT INTO BOLETIM (blt_id, blt_numero, blt_ano, blt_data_lev, blt_data_cad) VALUES ("&amp;A95&amp;", "&amp;B95&amp;", "&amp;C95&amp;", TO_DATE('"&amp;TEXT(D95,"DD/MM/AAAA")&amp;"', 'DD/MM/YYYY'), SYSDATE);"</f>
        <v>INSERT INTO BOLETIM (blt_id, blt_numero, blt_ano, blt_data_lev, blt_data_cad) VALUES (94, 94, 2025, TO_DATE('07/03/2025', 'DD/MM/YYYY'), SYSDATE);</v>
      </c>
    </row>
    <row r="96" customFormat="false" ht="14.25" hidden="false" customHeight="false" outlineLevel="0" collapsed="false">
      <c r="A96" s="0" t="n">
        <v>95</v>
      </c>
      <c r="B96" s="0" t="n">
        <v>95</v>
      </c>
      <c r="C96" s="0" t="n">
        <v>2025</v>
      </c>
      <c r="D96" s="3" t="n">
        <v>45730</v>
      </c>
      <c r="E96" s="28" t="n">
        <f aca="true">TODAY()</f>
        <v>46297</v>
      </c>
      <c r="F96" s="0" t="str">
        <f aca="false">"INSERT INTO BOLETIM (blt_id, blt_numero, blt_ano, blt_data_lev, blt_data_cad) VALUES ("&amp;A96&amp;", "&amp;B96&amp;", "&amp;C96&amp;", TO_DATE('"&amp;TEXT(D96,"DD/MM/AAAA")&amp;"', 'DD/MM/YYYY'), SYSDATE);"</f>
        <v>INSERT INTO BOLETIM (blt_id, blt_numero, blt_ano, blt_data_lev, blt_data_cad) VALUES (95, 95, 2025, TO_DATE('14/03/2025', 'DD/MM/YYYY'), SYSDATE);</v>
      </c>
    </row>
    <row r="97" customFormat="false" ht="14.25" hidden="false" customHeight="false" outlineLevel="0" collapsed="false">
      <c r="A97" s="0" t="n">
        <v>96</v>
      </c>
      <c r="B97" s="0" t="n">
        <v>96</v>
      </c>
      <c r="C97" s="0" t="n">
        <v>2025</v>
      </c>
      <c r="D97" s="3" t="n">
        <v>45737</v>
      </c>
      <c r="E97" s="28" t="n">
        <f aca="true">TODAY()</f>
        <v>46297</v>
      </c>
      <c r="F97" s="0" t="str">
        <f aca="false">"INSERT INTO BOLETIM (blt_id, blt_numero, blt_ano, blt_data_lev, blt_data_cad) VALUES ("&amp;A97&amp;", "&amp;B97&amp;", "&amp;C97&amp;", TO_DATE('"&amp;TEXT(D97,"DD/MM/AAAA")&amp;"', 'DD/MM/YYYY'), SYSDATE);"</f>
        <v>INSERT INTO BOLETIM (blt_id, blt_numero, blt_ano, blt_data_lev, blt_data_cad) VALUES (96, 96, 2025, TO_DATE('21/03/2025', 'DD/MM/YYYY'), SYSDATE);</v>
      </c>
    </row>
    <row r="98" customFormat="false" ht="14.25" hidden="false" customHeight="false" outlineLevel="0" collapsed="false">
      <c r="A98" s="0" t="n">
        <v>97</v>
      </c>
      <c r="B98" s="0" t="n">
        <v>97</v>
      </c>
      <c r="C98" s="0" t="n">
        <v>2025</v>
      </c>
      <c r="D98" s="3" t="n">
        <v>45744</v>
      </c>
      <c r="E98" s="28" t="n">
        <f aca="true">TODAY()</f>
        <v>46297</v>
      </c>
      <c r="F98" s="0" t="str">
        <f aca="false">"INSERT INTO BOLETIM (blt_id, blt_numero, blt_ano, blt_data_lev, blt_data_cad) VALUES ("&amp;A98&amp;", "&amp;B98&amp;", "&amp;C98&amp;", TO_DATE('"&amp;TEXT(D98,"DD/MM/AAAA")&amp;"', 'DD/MM/YYYY'), SYSDATE);"</f>
        <v>INSERT INTO BOLETIM (blt_id, blt_numero, blt_ano, blt_data_lev, blt_data_cad) VALUES (97, 97, 2025, TO_DATE('28/03/2025', 'DD/MM/YYYY'), SYSDATE);</v>
      </c>
    </row>
    <row r="99" customFormat="false" ht="14.25" hidden="false" customHeight="false" outlineLevel="0" collapsed="false">
      <c r="A99" s="0" t="n">
        <v>98</v>
      </c>
      <c r="B99" s="0" t="n">
        <v>98</v>
      </c>
      <c r="C99" s="0" t="n">
        <v>2025</v>
      </c>
      <c r="D99" s="3" t="n">
        <v>45751</v>
      </c>
      <c r="E99" s="28" t="n">
        <f aca="true">TODAY()</f>
        <v>46297</v>
      </c>
      <c r="F99" s="0" t="str">
        <f aca="false">"INSERT INTO BOLETIM (blt_id, blt_numero, blt_ano, blt_data_lev, blt_data_cad) VALUES ("&amp;A99&amp;", "&amp;B99&amp;", "&amp;C99&amp;", TO_DATE('"&amp;TEXT(D99,"DD/MM/AAAA")&amp;"', 'DD/MM/YYYY'), SYSDATE);"</f>
        <v>INSERT INTO BOLETIM (blt_id, blt_numero, blt_ano, blt_data_lev, blt_data_cad) VALUES (98, 98, 2025, TO_DATE('04/04/2025', 'DD/MM/YYYY'), SYSDATE);</v>
      </c>
    </row>
    <row r="100" customFormat="false" ht="14.25" hidden="false" customHeight="false" outlineLevel="0" collapsed="false">
      <c r="A100" s="0" t="n">
        <v>99</v>
      </c>
      <c r="B100" s="0" t="n">
        <v>99</v>
      </c>
      <c r="C100" s="0" t="n">
        <v>2025</v>
      </c>
      <c r="D100" s="3" t="n">
        <v>45758</v>
      </c>
      <c r="E100" s="28" t="n">
        <f aca="true">TODAY()</f>
        <v>46297</v>
      </c>
      <c r="F100" s="0" t="str">
        <f aca="false">"INSERT INTO BOLETIM (blt_id, blt_numero, blt_ano, blt_data_lev, blt_data_cad) VALUES ("&amp;A100&amp;", "&amp;B100&amp;", "&amp;C100&amp;", TO_DATE('"&amp;TEXT(D100,"DD/MM/AAAA")&amp;"', 'DD/MM/YYYY'), SYSDATE);"</f>
        <v>INSERT INTO BOLETIM (blt_id, blt_numero, blt_ano, blt_data_lev, blt_data_cad) VALUES (99, 99, 2025, TO_DATE('11/04/2025', 'DD/MM/YYYY'), SYSDATE);</v>
      </c>
    </row>
    <row r="101" customFormat="false" ht="14.25" hidden="false" customHeight="false" outlineLevel="0" collapsed="false">
      <c r="A101" s="0" t="n">
        <v>100</v>
      </c>
      <c r="B101" s="0" t="n">
        <v>100</v>
      </c>
      <c r="C101" s="0" t="n">
        <v>2025</v>
      </c>
      <c r="D101" s="3" t="n">
        <v>45765</v>
      </c>
      <c r="E101" s="28" t="n">
        <f aca="true">TODAY()</f>
        <v>46297</v>
      </c>
      <c r="F101" s="0" t="str">
        <f aca="false">"INSERT INTO BOLETIM (blt_id, blt_numero, blt_ano, blt_data_lev, blt_data_cad) VALUES ("&amp;A101&amp;", "&amp;B101&amp;", "&amp;C101&amp;", TO_DATE('"&amp;TEXT(D101,"DD/MM/AAAA")&amp;"', 'DD/MM/YYYY'), SYSDATE);"</f>
        <v>INSERT INTO BOLETIM (blt_id, blt_numero, blt_ano, blt_data_lev, blt_data_cad) VALUES (100, 100, 2025, TO_DATE('18/04/2025', 'DD/MM/YYYY'), SYSDATE);</v>
      </c>
    </row>
    <row r="102" customFormat="false" ht="14.25" hidden="false" customHeight="false" outlineLevel="0" collapsed="false">
      <c r="A102" s="0" t="n">
        <v>101</v>
      </c>
      <c r="B102" s="0" t="n">
        <v>101</v>
      </c>
      <c r="C102" s="0" t="n">
        <v>2025</v>
      </c>
      <c r="D102" s="3" t="n">
        <v>45772</v>
      </c>
      <c r="E102" s="28" t="n">
        <f aca="true">TODAY()</f>
        <v>46297</v>
      </c>
      <c r="F102" s="0" t="str">
        <f aca="false">"INSERT INTO BOLETIM (blt_id, blt_numero, blt_ano, blt_data_lev, blt_data_cad) VALUES ("&amp;A102&amp;", "&amp;B102&amp;", "&amp;C102&amp;", TO_DATE('"&amp;TEXT(D102,"DD/MM/AAAA")&amp;"', 'DD/MM/YYYY'), SYSDATE);"</f>
        <v>INSERT INTO BOLETIM (blt_id, blt_numero, blt_ano, blt_data_lev, blt_data_cad) VALUES (101, 101, 2025, TO_DATE('25/04/2025', 'DD/MM/YYYY'), SYSDATE);</v>
      </c>
    </row>
    <row r="103" customFormat="false" ht="14.25" hidden="false" customHeight="false" outlineLevel="0" collapsed="false">
      <c r="A103" s="0" t="n">
        <v>102</v>
      </c>
      <c r="B103" s="0" t="n">
        <v>102</v>
      </c>
      <c r="C103" s="0" t="n">
        <v>2025</v>
      </c>
      <c r="D103" s="3" t="n">
        <v>45779</v>
      </c>
      <c r="E103" s="28" t="n">
        <f aca="true">TODAY()</f>
        <v>46297</v>
      </c>
      <c r="F103" s="0" t="str">
        <f aca="false">"INSERT INTO BOLETIM (blt_id, blt_numero, blt_ano, blt_data_lev, blt_data_cad) VALUES ("&amp;A103&amp;", "&amp;B103&amp;", "&amp;C103&amp;", TO_DATE('"&amp;TEXT(D103,"DD/MM/AAAA")&amp;"', 'DD/MM/YYYY'), SYSDATE);"</f>
        <v>INSERT INTO BOLETIM (blt_id, blt_numero, blt_ano, blt_data_lev, blt_data_cad) VALUES (102, 102, 2025, TO_DATE('02/05/2025', 'DD/MM/YYYY'), SYSDATE);</v>
      </c>
    </row>
    <row r="104" customFormat="false" ht="14.25" hidden="false" customHeight="false" outlineLevel="0" collapsed="false">
      <c r="A104" s="0" t="n">
        <v>103</v>
      </c>
      <c r="B104" s="0" t="n">
        <v>103</v>
      </c>
      <c r="C104" s="0" t="n">
        <v>2025</v>
      </c>
      <c r="D104" s="3" t="n">
        <v>45786</v>
      </c>
      <c r="E104" s="28" t="n">
        <f aca="true">TODAY()</f>
        <v>46297</v>
      </c>
      <c r="F104" s="0" t="str">
        <f aca="false">"INSERT INTO BOLETIM (blt_id, blt_numero, blt_ano, blt_data_lev, blt_data_cad) VALUES ("&amp;A104&amp;", "&amp;B104&amp;", "&amp;C104&amp;", TO_DATE('"&amp;TEXT(D104,"DD/MM/AAAA")&amp;"', 'DD/MM/YYYY'), SYSDATE);"</f>
        <v>INSERT INTO BOLETIM (blt_id, blt_numero, blt_ano, blt_data_lev, blt_data_cad) VALUES (103, 103, 2025, TO_DATE('09/05/2025', 'DD/MM/YYYY'), SYSDATE);</v>
      </c>
    </row>
    <row r="105" customFormat="false" ht="14.25" hidden="false" customHeight="false" outlineLevel="0" collapsed="false">
      <c r="A105" s="0" t="n">
        <v>104</v>
      </c>
      <c r="B105" s="0" t="n">
        <v>104</v>
      </c>
      <c r="C105" s="0" t="n">
        <v>2025</v>
      </c>
      <c r="D105" s="3" t="n">
        <v>45793</v>
      </c>
      <c r="E105" s="28" t="n">
        <f aca="true">TODAY()</f>
        <v>46297</v>
      </c>
      <c r="F105" s="0" t="str">
        <f aca="false">"INSERT INTO BOLETIM (blt_id, blt_numero, blt_ano, blt_data_lev, blt_data_cad) VALUES ("&amp;A105&amp;", "&amp;B105&amp;", "&amp;C105&amp;", TO_DATE('"&amp;TEXT(D105,"DD/MM/AAAA")&amp;"', 'DD/MM/YYYY'), SYSDATE);"</f>
        <v>INSERT INTO BOLETIM (blt_id, blt_numero, blt_ano, blt_data_lev, blt_data_cad) VALUES (104, 104, 2025, TO_DATE('16/05/2025', 'DD/MM/YYYY'), SYSDATE);</v>
      </c>
    </row>
    <row r="106" customFormat="false" ht="14.25" hidden="false" customHeight="false" outlineLevel="0" collapsed="false">
      <c r="A106" s="0" t="n">
        <v>105</v>
      </c>
      <c r="B106" s="0" t="n">
        <v>105</v>
      </c>
      <c r="C106" s="0" t="n">
        <v>2025</v>
      </c>
      <c r="D106" s="3" t="n">
        <v>45800</v>
      </c>
      <c r="E106" s="28" t="n">
        <f aca="true">TODAY()</f>
        <v>46297</v>
      </c>
      <c r="F106" s="0" t="str">
        <f aca="false">"INSERT INTO BOLETIM (blt_id, blt_numero, blt_ano, blt_data_lev, blt_data_cad) VALUES ("&amp;A106&amp;", "&amp;B106&amp;", "&amp;C106&amp;", TO_DATE('"&amp;TEXT(D106,"DD/MM/AAAA")&amp;"', 'DD/MM/YYYY'), SYSDATE);"</f>
        <v>INSERT INTO BOLETIM (blt_id, blt_numero, blt_ano, blt_data_lev, blt_data_cad) VALUES (105, 105, 2025, TO_DATE('23/05/2025', 'DD/MM/YYYY'), SYSDATE);</v>
      </c>
    </row>
    <row r="107" customFormat="false" ht="14.25" hidden="false" customHeight="false" outlineLevel="0" collapsed="false">
      <c r="A107" s="0" t="n">
        <v>106</v>
      </c>
      <c r="B107" s="0" t="n">
        <v>106</v>
      </c>
      <c r="C107" s="0" t="n">
        <v>2025</v>
      </c>
      <c r="D107" s="3" t="n">
        <v>45807</v>
      </c>
      <c r="E107" s="28" t="n">
        <f aca="true">TODAY()</f>
        <v>46297</v>
      </c>
      <c r="F107" s="0" t="str">
        <f aca="false">"INSERT INTO BOLETIM (blt_id, blt_numero, blt_ano, blt_data_lev, blt_data_cad) VALUES ("&amp;A107&amp;", "&amp;B107&amp;", "&amp;C107&amp;", TO_DATE('"&amp;TEXT(D107,"DD/MM/AAAA")&amp;"', 'DD/MM/YYYY'), SYSDATE);"</f>
        <v>INSERT INTO BOLETIM (blt_id, blt_numero, blt_ano, blt_data_lev, blt_data_cad) VALUES (106, 106, 2025, TO_DATE('30/05/2025', 'DD/MM/YYYY'), SYSDATE);</v>
      </c>
    </row>
    <row r="108" customFormat="false" ht="14.25" hidden="false" customHeight="false" outlineLevel="0" collapsed="false">
      <c r="A108" s="0" t="n">
        <v>107</v>
      </c>
      <c r="B108" s="0" t="n">
        <v>107</v>
      </c>
      <c r="C108" s="0" t="n">
        <v>2025</v>
      </c>
      <c r="D108" s="3" t="n">
        <v>45814</v>
      </c>
      <c r="E108" s="28" t="n">
        <f aca="true">TODAY()</f>
        <v>46297</v>
      </c>
      <c r="F108" s="0" t="str">
        <f aca="false">"INSERT INTO BOLETIM (blt_id, blt_numero, blt_ano, blt_data_lev, blt_data_cad) VALUES ("&amp;A108&amp;", "&amp;B108&amp;", "&amp;C108&amp;", TO_DATE('"&amp;TEXT(D108,"DD/MM/AAAA")&amp;"', 'DD/MM/YYYY'), SYSDATE);"</f>
        <v>INSERT INTO BOLETIM (blt_id, blt_numero, blt_ano, blt_data_lev, blt_data_cad) VALUES (107, 107, 2025, TO_DATE('06/06/2025', 'DD/MM/YYYY'), SYSDATE);</v>
      </c>
    </row>
    <row r="109" customFormat="false" ht="14.25" hidden="false" customHeight="false" outlineLevel="0" collapsed="false">
      <c r="A109" s="0" t="n">
        <v>108</v>
      </c>
      <c r="B109" s="0" t="n">
        <v>108</v>
      </c>
      <c r="C109" s="0" t="n">
        <v>2025</v>
      </c>
      <c r="D109" s="3" t="n">
        <v>45821</v>
      </c>
      <c r="E109" s="28" t="n">
        <f aca="true">TODAY()</f>
        <v>46297</v>
      </c>
      <c r="F109" s="0" t="str">
        <f aca="false">"INSERT INTO BOLETIM (blt_id, blt_numero, blt_ano, blt_data_lev, blt_data_cad) VALUES ("&amp;A109&amp;", "&amp;B109&amp;", "&amp;C109&amp;", TO_DATE('"&amp;TEXT(D109,"DD/MM/AAAA")&amp;"', 'DD/MM/YYYY'), SYSDATE);"</f>
        <v>INSERT INTO BOLETIM (blt_id, blt_numero, blt_ano, blt_data_lev, blt_data_cad) VALUES (108, 108, 2025, TO_DATE('13/06/2025', 'DD/MM/YYYY'), SYSDATE);</v>
      </c>
    </row>
    <row r="110" customFormat="false" ht="14.25" hidden="false" customHeight="false" outlineLevel="0" collapsed="false">
      <c r="A110" s="0" t="n">
        <v>109</v>
      </c>
      <c r="B110" s="0" t="n">
        <v>109</v>
      </c>
      <c r="C110" s="0" t="n">
        <v>2025</v>
      </c>
      <c r="D110" s="3" t="n">
        <v>45828</v>
      </c>
      <c r="E110" s="28" t="n">
        <f aca="true">TODAY()</f>
        <v>46297</v>
      </c>
      <c r="F110" s="0" t="str">
        <f aca="false">"INSERT INTO BOLETIM (blt_id, blt_numero, blt_ano, blt_data_lev, blt_data_cad) VALUES ("&amp;A110&amp;", "&amp;B110&amp;", "&amp;C110&amp;", TO_DATE('"&amp;TEXT(D110,"DD/MM/AAAA")&amp;"', 'DD/MM/YYYY'), SYSDATE);"</f>
        <v>INSERT INTO BOLETIM (blt_id, blt_numero, blt_ano, blt_data_lev, blt_data_cad) VALUES (109, 109, 2025, TO_DATE('20/06/2025', 'DD/MM/YYYY'), SYSDATE);</v>
      </c>
    </row>
    <row r="111" customFormat="false" ht="14.25" hidden="false" customHeight="false" outlineLevel="0" collapsed="false">
      <c r="A111" s="0" t="n">
        <v>110</v>
      </c>
      <c r="B111" s="0" t="n">
        <v>110</v>
      </c>
      <c r="C111" s="0" t="n">
        <v>2025</v>
      </c>
      <c r="D111" s="3" t="n">
        <v>45835</v>
      </c>
      <c r="E111" s="28" t="n">
        <f aca="true">TODAY()</f>
        <v>46297</v>
      </c>
      <c r="F111" s="0" t="str">
        <f aca="false">"INSERT INTO BOLETIM (blt_id, blt_numero, blt_ano, blt_data_lev, blt_data_cad) VALUES ("&amp;A111&amp;", "&amp;B111&amp;", "&amp;C111&amp;", TO_DATE('"&amp;TEXT(D111,"DD/MM/AAAA")&amp;"', 'DD/MM/YYYY'), SYSDATE);"</f>
        <v>INSERT INTO BOLETIM (blt_id, blt_numero, blt_ano, blt_data_lev, blt_data_cad) VALUES (110, 110, 2025, TO_DATE('27/06/2025', 'DD/MM/YYYY'), SYSDATE);</v>
      </c>
    </row>
    <row r="112" customFormat="false" ht="14.25" hidden="false" customHeight="false" outlineLevel="0" collapsed="false">
      <c r="A112" s="0" t="n">
        <v>111</v>
      </c>
      <c r="B112" s="0" t="n">
        <v>111</v>
      </c>
      <c r="C112" s="0" t="n">
        <v>2025</v>
      </c>
      <c r="D112" s="3" t="n">
        <v>45842</v>
      </c>
      <c r="E112" s="28" t="n">
        <f aca="true">TODAY()</f>
        <v>46297</v>
      </c>
      <c r="F112" s="0" t="str">
        <f aca="false">"INSERT INTO BOLETIM (blt_id, blt_numero, blt_ano, blt_data_lev, blt_data_cad) VALUES ("&amp;A112&amp;", "&amp;B112&amp;", "&amp;C112&amp;", TO_DATE('"&amp;TEXT(D112,"DD/MM/AAAA")&amp;"', 'DD/MM/YYYY'), SYSDATE);"</f>
        <v>INSERT INTO BOLETIM (blt_id, blt_numero, blt_ano, blt_data_lev, blt_data_cad) VALUES (111, 111, 2025, TO_DATE('04/07/2025', 'DD/MM/YYYY'), SYSDATE);</v>
      </c>
    </row>
    <row r="113" customFormat="false" ht="14.25" hidden="false" customHeight="false" outlineLevel="0" collapsed="false">
      <c r="A113" s="0" t="n">
        <v>112</v>
      </c>
      <c r="B113" s="0" t="n">
        <v>112</v>
      </c>
      <c r="C113" s="0" t="n">
        <v>2025</v>
      </c>
      <c r="D113" s="3" t="n">
        <v>45849</v>
      </c>
      <c r="E113" s="28" t="n">
        <f aca="true">TODAY()</f>
        <v>46297</v>
      </c>
      <c r="F113" s="0" t="str">
        <f aca="false">"INSERT INTO BOLETIM (blt_id, blt_numero, blt_ano, blt_data_lev, blt_data_cad) VALUES ("&amp;A113&amp;", "&amp;B113&amp;", "&amp;C113&amp;", TO_DATE('"&amp;TEXT(D113,"DD/MM/AAAA")&amp;"', 'DD/MM/YYYY'), SYSDATE);"</f>
        <v>INSERT INTO BOLETIM (blt_id, blt_numero, blt_ano, blt_data_lev, blt_data_cad) VALUES (112, 112, 2025, TO_DATE('11/07/2025', 'DD/MM/YYYY'), SYSDATE);</v>
      </c>
    </row>
    <row r="114" customFormat="false" ht="14.25" hidden="false" customHeight="false" outlineLevel="0" collapsed="false">
      <c r="A114" s="0" t="n">
        <v>113</v>
      </c>
      <c r="B114" s="0" t="n">
        <v>113</v>
      </c>
      <c r="C114" s="0" t="n">
        <v>2025</v>
      </c>
      <c r="D114" s="3" t="n">
        <v>45856</v>
      </c>
      <c r="E114" s="28" t="n">
        <f aca="true">TODAY()</f>
        <v>46297</v>
      </c>
      <c r="F114" s="0" t="str">
        <f aca="false">"INSERT INTO BOLETIM (blt_id, blt_numero, blt_ano, blt_data_lev, blt_data_cad) VALUES ("&amp;A114&amp;", "&amp;B114&amp;", "&amp;C114&amp;", TO_DATE('"&amp;TEXT(D114,"DD/MM/AAAA")&amp;"', 'DD/MM/YYYY'), SYSDATE);"</f>
        <v>INSERT INTO BOLETIM (blt_id, blt_numero, blt_ano, blt_data_lev, blt_data_cad) VALUES (113, 113, 2025, TO_DATE('18/07/2025', 'DD/MM/YYYY'), SYSDATE);</v>
      </c>
    </row>
    <row r="115" customFormat="false" ht="14.25" hidden="false" customHeight="false" outlineLevel="0" collapsed="false">
      <c r="A115" s="0" t="n">
        <v>114</v>
      </c>
      <c r="B115" s="0" t="n">
        <v>114</v>
      </c>
      <c r="C115" s="0" t="n">
        <v>2025</v>
      </c>
      <c r="D115" s="3" t="n">
        <v>45863</v>
      </c>
      <c r="E115" s="28" t="n">
        <f aca="true">TODAY()</f>
        <v>46297</v>
      </c>
      <c r="F115" s="0" t="str">
        <f aca="false">"INSERT INTO BOLETIM (blt_id, blt_numero, blt_ano, blt_data_lev, blt_data_cad) VALUES ("&amp;A115&amp;", "&amp;B115&amp;", "&amp;C115&amp;", TO_DATE('"&amp;TEXT(D115,"DD/MM/AAAA")&amp;"', 'DD/MM/YYYY'), SYSDATE);"</f>
        <v>INSERT INTO BOLETIM (blt_id, blt_numero, blt_ano, blt_data_lev, blt_data_cad) VALUES (114, 114, 2025, TO_DATE('25/07/2025', 'DD/MM/YYYY'), SYSDATE);</v>
      </c>
    </row>
    <row r="116" customFormat="false" ht="14.25" hidden="false" customHeight="false" outlineLevel="0" collapsed="false">
      <c r="A116" s="0" t="n">
        <v>115</v>
      </c>
      <c r="B116" s="0" t="n">
        <v>115</v>
      </c>
      <c r="C116" s="0" t="n">
        <v>2025</v>
      </c>
      <c r="D116" s="3" t="n">
        <v>45870</v>
      </c>
      <c r="E116" s="28" t="n">
        <f aca="true">TODAY()</f>
        <v>46297</v>
      </c>
      <c r="F116" s="0" t="str">
        <f aca="false">"INSERT INTO BOLETIM (blt_id, blt_numero, blt_ano, blt_data_lev, blt_data_cad) VALUES ("&amp;A116&amp;", "&amp;B116&amp;", "&amp;C116&amp;", TO_DATE('"&amp;TEXT(D116,"DD/MM/AAAA")&amp;"', 'DD/MM/YYYY'), SYSDATE);"</f>
        <v>INSERT INTO BOLETIM (blt_id, blt_numero, blt_ano, blt_data_lev, blt_data_cad) VALUES (115, 115, 2025, TO_DATE('01/08/2025', 'DD/MM/YYYY'), SYSDATE);</v>
      </c>
    </row>
    <row r="117" customFormat="false" ht="14.25" hidden="false" customHeight="false" outlineLevel="0" collapsed="false">
      <c r="A117" s="0" t="n">
        <v>116</v>
      </c>
      <c r="B117" s="0" t="n">
        <v>116</v>
      </c>
      <c r="C117" s="0" t="n">
        <v>2025</v>
      </c>
      <c r="D117" s="3" t="n">
        <v>45877</v>
      </c>
      <c r="E117" s="28" t="n">
        <f aca="true">TODAY()</f>
        <v>46297</v>
      </c>
      <c r="F117" s="0" t="str">
        <f aca="false">"INSERT INTO BOLETIM (blt_id, blt_numero, blt_ano, blt_data_lev, blt_data_cad) VALUES ("&amp;A117&amp;", "&amp;B117&amp;", "&amp;C117&amp;", TO_DATE('"&amp;TEXT(D117,"DD/MM/AAAA")&amp;"', 'DD/MM/YYYY'), SYSDATE);"</f>
        <v>INSERT INTO BOLETIM (blt_id, blt_numero, blt_ano, blt_data_lev, blt_data_cad) VALUES (116, 116, 2025, TO_DATE('08/08/2025', 'DD/MM/YYYY'), SYSDATE);</v>
      </c>
    </row>
    <row r="118" customFormat="false" ht="14.25" hidden="false" customHeight="false" outlineLevel="0" collapsed="false">
      <c r="A118" s="0" t="n">
        <v>117</v>
      </c>
      <c r="B118" s="0" t="n">
        <v>117</v>
      </c>
      <c r="C118" s="0" t="n">
        <v>2025</v>
      </c>
      <c r="D118" s="3" t="n">
        <v>45884</v>
      </c>
      <c r="E118" s="28" t="n">
        <f aca="true">TODAY()</f>
        <v>46297</v>
      </c>
      <c r="F118" s="0" t="str">
        <f aca="false">"INSERT INTO BOLETIM (blt_id, blt_numero, blt_ano, blt_data_lev, blt_data_cad) VALUES ("&amp;A118&amp;", "&amp;B118&amp;", "&amp;C118&amp;", TO_DATE('"&amp;TEXT(D118,"DD/MM/AAAA")&amp;"', 'DD/MM/YYYY'), SYSDATE);"</f>
        <v>INSERT INTO BOLETIM (blt_id, blt_numero, blt_ano, blt_data_lev, blt_data_cad) VALUES (117, 117, 2025, TO_DATE('15/08/2025', 'DD/MM/YYYY'), SYSDATE);</v>
      </c>
    </row>
    <row r="119" customFormat="false" ht="14.25" hidden="false" customHeight="false" outlineLevel="0" collapsed="false">
      <c r="A119" s="0" t="n">
        <v>118</v>
      </c>
      <c r="B119" s="0" t="n">
        <v>118</v>
      </c>
      <c r="C119" s="0" t="n">
        <v>2025</v>
      </c>
      <c r="D119" s="3" t="n">
        <v>45891</v>
      </c>
      <c r="E119" s="28" t="n">
        <f aca="true">TODAY()</f>
        <v>46297</v>
      </c>
      <c r="F119" s="0" t="str">
        <f aca="false">"INSERT INTO BOLETIM (blt_id, blt_numero, blt_ano, blt_data_lev, blt_data_cad) VALUES ("&amp;A119&amp;", "&amp;B119&amp;", "&amp;C119&amp;", TO_DATE('"&amp;TEXT(D119,"DD/MM/AAAA")&amp;"', 'DD/MM/YYYY'), SYSDATE);"</f>
        <v>INSERT INTO BOLETIM (blt_id, blt_numero, blt_ano, blt_data_lev, blt_data_cad) VALUES (118, 118, 2025, TO_DATE('22/08/2025', 'DD/MM/YYYY'), SYSDATE);</v>
      </c>
    </row>
    <row r="120" customFormat="false" ht="14.25" hidden="false" customHeight="false" outlineLevel="0" collapsed="false">
      <c r="A120" s="0" t="n">
        <v>119</v>
      </c>
      <c r="B120" s="0" t="n">
        <v>119</v>
      </c>
      <c r="C120" s="0" t="n">
        <v>2025</v>
      </c>
      <c r="D120" s="3" t="n">
        <v>45898</v>
      </c>
      <c r="E120" s="28" t="n">
        <f aca="true">TODAY()</f>
        <v>46297</v>
      </c>
      <c r="F120" s="0" t="str">
        <f aca="false">"INSERT INTO BOLETIM (blt_id, blt_numero, blt_ano, blt_data_lev, blt_data_cad) VALUES ("&amp;A120&amp;", "&amp;B120&amp;", "&amp;C120&amp;", TO_DATE('"&amp;TEXT(D120,"DD/MM/AAAA")&amp;"', 'DD/MM/YYYY'), SYSDATE);"</f>
        <v>INSERT INTO BOLETIM (blt_id, blt_numero, blt_ano, blt_data_lev, blt_data_cad) VALUES (119, 119, 2025, TO_DATE('29/08/2025', 'DD/MM/YYYY'), SYSDATE);</v>
      </c>
    </row>
    <row r="121" customFormat="false" ht="14.25" hidden="false" customHeight="false" outlineLevel="0" collapsed="false">
      <c r="A121" s="0" t="n">
        <v>120</v>
      </c>
      <c r="B121" s="0" t="n">
        <v>120</v>
      </c>
      <c r="C121" s="0" t="n">
        <v>2025</v>
      </c>
      <c r="D121" s="3" t="n">
        <v>45905</v>
      </c>
      <c r="E121" s="28" t="n">
        <f aca="true">TODAY()</f>
        <v>46297</v>
      </c>
      <c r="F121" s="0" t="str">
        <f aca="false">"INSERT INTO BOLETIM (blt_id, blt_numero, blt_ano, blt_data_lev, blt_data_cad) VALUES ("&amp;A121&amp;", "&amp;B121&amp;", "&amp;C121&amp;", TO_DATE('"&amp;TEXT(D121,"DD/MM/AAAA")&amp;"', 'DD/MM/YYYY'), SYSDATE);"</f>
        <v>INSERT INTO BOLETIM (blt_id, blt_numero, blt_ano, blt_data_lev, blt_data_cad) VALUES (120, 120, 2025, TO_DATE('05/09/2025', 'DD/MM/YYYY'), SYSDATE);</v>
      </c>
    </row>
    <row r="122" customFormat="false" ht="14.25" hidden="false" customHeight="false" outlineLevel="0" collapsed="false">
      <c r="A122" s="0" t="n">
        <v>121</v>
      </c>
      <c r="B122" s="0" t="n">
        <v>121</v>
      </c>
      <c r="C122" s="0" t="n">
        <v>2025</v>
      </c>
      <c r="D122" s="3" t="n">
        <v>45912</v>
      </c>
      <c r="E122" s="28" t="n">
        <f aca="true">TODAY()</f>
        <v>46297</v>
      </c>
      <c r="F122" s="0" t="str">
        <f aca="false">"INSERT INTO BOLETIM (blt_id, blt_numero, blt_ano, blt_data_lev, blt_data_cad) VALUES ("&amp;A122&amp;", "&amp;B122&amp;", "&amp;C122&amp;", TO_DATE('"&amp;TEXT(D122,"DD/MM/AAAA")&amp;"', 'DD/MM/YYYY'), SYSDATE);"</f>
        <v>INSERT INTO BOLETIM (blt_id, blt_numero, blt_ano, blt_data_lev, blt_data_cad) VALUES (121, 121, 2025, TO_DATE('12/09/2025', 'DD/MM/YYYY'), SYSDATE);</v>
      </c>
    </row>
    <row r="123" customFormat="false" ht="14.25" hidden="false" customHeight="false" outlineLevel="0" collapsed="false">
      <c r="A123" s="0" t="n">
        <v>122</v>
      </c>
      <c r="B123" s="0" t="n">
        <v>122</v>
      </c>
      <c r="C123" s="0" t="n">
        <v>2025</v>
      </c>
      <c r="D123" s="3" t="n">
        <v>45919</v>
      </c>
      <c r="E123" s="28" t="n">
        <f aca="true">TODAY()</f>
        <v>46297</v>
      </c>
      <c r="F123" s="0" t="str">
        <f aca="false">"INSERT INTO BOLETIM (blt_id, blt_numero, blt_ano, blt_data_lev, blt_data_cad) VALUES ("&amp;A123&amp;", "&amp;B123&amp;", "&amp;C123&amp;", TO_DATE('"&amp;TEXT(D123,"DD/MM/AAAA")&amp;"', 'DD/MM/YYYY'), SYSDATE);"</f>
        <v>INSERT INTO BOLETIM (blt_id, blt_numero, blt_ano, blt_data_lev, blt_data_cad) VALUES (122, 122, 2025, TO_DATE('19/09/2025', 'DD/MM/YYYY'), SYSDATE);</v>
      </c>
    </row>
    <row r="124" customFormat="false" ht="14.25" hidden="false" customHeight="false" outlineLevel="0" collapsed="false">
      <c r="A124" s="0" t="n">
        <v>123</v>
      </c>
      <c r="B124" s="0" t="n">
        <v>123</v>
      </c>
      <c r="C124" s="0" t="n">
        <v>2025</v>
      </c>
      <c r="D124" s="3" t="n">
        <v>45926</v>
      </c>
      <c r="E124" s="28" t="n">
        <f aca="true">TODAY()</f>
        <v>46297</v>
      </c>
      <c r="F124" s="0" t="str">
        <f aca="false">"INSERT INTO BOLETIM (blt_id, blt_numero, blt_ano, blt_data_lev, blt_data_cad) VALUES ("&amp;A124&amp;", "&amp;B124&amp;", "&amp;C124&amp;", TO_DATE('"&amp;TEXT(D124,"DD/MM/AAAA")&amp;"', 'DD/MM/YYYY'), SYSDATE);"</f>
        <v>INSERT INTO BOLETIM (blt_id, blt_numero, blt_ano, blt_data_lev, blt_data_cad) VALUES (123, 123, 2025, TO_DATE('26/09/2025', 'DD/MM/YYYY'), SYSDATE);</v>
      </c>
    </row>
    <row r="125" customFormat="false" ht="14.25" hidden="false" customHeight="false" outlineLevel="0" collapsed="false">
      <c r="A125" s="0" t="n">
        <v>124</v>
      </c>
      <c r="B125" s="0" t="n">
        <v>124</v>
      </c>
      <c r="C125" s="0" t="n">
        <v>2025</v>
      </c>
      <c r="D125" s="3" t="n">
        <v>45933</v>
      </c>
      <c r="E125" s="28" t="n">
        <f aca="true">TODAY()</f>
        <v>46297</v>
      </c>
      <c r="F125" s="0" t="str">
        <f aca="false">"INSERT INTO BOLETIM (blt_id, blt_numero, blt_ano, blt_data_lev, blt_data_cad) VALUES ("&amp;A125&amp;", "&amp;B125&amp;", "&amp;C125&amp;", TO_DATE('"&amp;TEXT(D125,"DD/MM/AAAA")&amp;"', 'DD/MM/YYYY'), SYSDATE);"</f>
        <v>INSERT INTO BOLETIM (blt_id, blt_numero, blt_ano, blt_data_lev, blt_data_cad) VALUES (124, 124, 2025, TO_DATE('03/10/2025', 'DD/MM/YYYY'), SYSDATE);</v>
      </c>
    </row>
    <row r="126" customFormat="false" ht="14.25" hidden="false" customHeight="false" outlineLevel="0" collapsed="false">
      <c r="A126" s="0" t="n">
        <v>125</v>
      </c>
      <c r="B126" s="0" t="n">
        <v>125</v>
      </c>
      <c r="C126" s="0" t="n">
        <v>2025</v>
      </c>
      <c r="D126" s="3" t="n">
        <v>45940</v>
      </c>
      <c r="E126" s="28" t="n">
        <f aca="true">TODAY()</f>
        <v>46297</v>
      </c>
      <c r="F126" s="0" t="str">
        <f aca="false">"INSERT INTO BOLETIM (blt_id, blt_numero, blt_ano, blt_data_lev, blt_data_cad) VALUES ("&amp;A126&amp;", "&amp;B126&amp;", "&amp;C126&amp;", TO_DATE('"&amp;TEXT(D126,"DD/MM/AAAA")&amp;"', 'DD/MM/YYYY'), SYSDATE);"</f>
        <v>INSERT INTO BOLETIM (blt_id, blt_numero, blt_ano, blt_data_lev, blt_data_cad) VALUES (125, 125, 2025, TO_DATE('10/10/2025', 'DD/MM/YYYY'), SYSDATE);</v>
      </c>
    </row>
    <row r="127" customFormat="false" ht="14.25" hidden="false" customHeight="false" outlineLevel="0" collapsed="false">
      <c r="A127" s="0" t="n">
        <v>126</v>
      </c>
      <c r="B127" s="0" t="n">
        <v>126</v>
      </c>
      <c r="C127" s="0" t="n">
        <v>2025</v>
      </c>
      <c r="D127" s="3" t="n">
        <v>45947</v>
      </c>
      <c r="E127" s="28" t="n">
        <f aca="true">TODAY()</f>
        <v>46297</v>
      </c>
      <c r="F127" s="0" t="str">
        <f aca="false">"INSERT INTO BOLETIM (blt_id, blt_numero, blt_ano, blt_data_lev, blt_data_cad) VALUES ("&amp;A127&amp;", "&amp;B127&amp;", "&amp;C127&amp;", TO_DATE('"&amp;TEXT(D127,"DD/MM/AAAA")&amp;"', 'DD/MM/YYYY'), SYSDATE);"</f>
        <v>INSERT INTO BOLETIM (blt_id, blt_numero, blt_ano, blt_data_lev, blt_data_cad) VALUES (126, 126, 2025, TO_DATE('17/10/2025', 'DD/MM/YYYY'), SYSDATE);</v>
      </c>
    </row>
    <row r="128" customFormat="false" ht="14.25" hidden="false" customHeight="false" outlineLevel="0" collapsed="false">
      <c r="A128" s="0" t="n">
        <v>127</v>
      </c>
      <c r="B128" s="0" t="n">
        <v>127</v>
      </c>
      <c r="C128" s="0" t="n">
        <v>2025</v>
      </c>
      <c r="D128" s="3" t="n">
        <v>45954</v>
      </c>
      <c r="E128" s="28" t="n">
        <f aca="true">TODAY()</f>
        <v>46297</v>
      </c>
      <c r="F128" s="0" t="str">
        <f aca="false">"INSERT INTO BOLETIM (blt_id, blt_numero, blt_ano, blt_data_lev, blt_data_cad) VALUES ("&amp;A128&amp;", "&amp;B128&amp;", "&amp;C128&amp;", TO_DATE('"&amp;TEXT(D128,"DD/MM/AAAA")&amp;"', 'DD/MM/YYYY'), SYSDATE);"</f>
        <v>INSERT INTO BOLETIM (blt_id, blt_numero, blt_ano, blt_data_lev, blt_data_cad) VALUES (127, 127, 2025, TO_DATE('24/10/2025', 'DD/MM/YYYY'), SYSDATE);</v>
      </c>
    </row>
    <row r="129" customFormat="false" ht="14.25" hidden="false" customHeight="false" outlineLevel="0" collapsed="false">
      <c r="A129" s="0" t="n">
        <v>128</v>
      </c>
      <c r="B129" s="0" t="n">
        <v>128</v>
      </c>
      <c r="C129" s="0" t="n">
        <v>2025</v>
      </c>
      <c r="D129" s="3" t="n">
        <v>45961</v>
      </c>
      <c r="E129" s="28" t="n">
        <f aca="true">TODAY()</f>
        <v>46297</v>
      </c>
      <c r="F129" s="0" t="str">
        <f aca="false">"INSERT INTO BOLETIM (blt_id, blt_numero, blt_ano, blt_data_lev, blt_data_cad) VALUES ("&amp;A129&amp;", "&amp;B129&amp;", "&amp;C129&amp;", TO_DATE('"&amp;TEXT(D129,"DD/MM/AAAA")&amp;"', 'DD/MM/YYYY'), SYSDATE);"</f>
        <v>INSERT INTO BOLETIM (blt_id, blt_numero, blt_ano, blt_data_lev, blt_data_cad) VALUES (128, 128, 2025, TO_DATE('31/10/2025', 'DD/MM/YYYY'), SYSDATE);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44531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722</v>
      </c>
      <c r="B1" s="0" t="s">
        <v>723</v>
      </c>
    </row>
    <row r="2" customFormat="false" ht="14.25" hidden="false" customHeight="false" outlineLevel="0" collapsed="false">
      <c r="A2" s="0" t="n">
        <v>1</v>
      </c>
      <c r="B2" s="0" t="s">
        <v>724</v>
      </c>
      <c r="E2" s="0" t="str">
        <f aca="false">"INSERT INTO TIPO_APRESENTACAO (tap_id, tap_nome) VALUES ("&amp;A2&amp;", '"&amp;B2&amp;"');"</f>
        <v>INSERT INTO TIPO_APRESENTACAO (tap_id, tap_nome) VALUES (1, 'caixa');</v>
      </c>
    </row>
    <row r="3" customFormat="false" ht="14.25" hidden="false" customHeight="false" outlineLevel="0" collapsed="false">
      <c r="A3" s="0" t="n">
        <v>2</v>
      </c>
      <c r="B3" s="0" t="s">
        <v>725</v>
      </c>
      <c r="E3" s="0" t="str">
        <f aca="false">"INSERT INTO TIPO_APRESENTACAO (tap_id, tap_nome) VALUES ("&amp;A3&amp;", '"&amp;B3&amp;"');"</f>
        <v>INSERT INTO TIPO_APRESENTACAO (tap_id, tap_nome) VALUES (2, 'maço');</v>
      </c>
    </row>
    <row r="4" customFormat="false" ht="14.25" hidden="false" customHeight="false" outlineLevel="0" collapsed="false">
      <c r="A4" s="0" t="n">
        <v>3</v>
      </c>
      <c r="B4" s="0" t="s">
        <v>726</v>
      </c>
      <c r="E4" s="0" t="str">
        <f aca="false">"INSERT INTO TIPO_APRESENTACAO (tap_id, tap_nome) VALUES ("&amp;A4&amp;", '"&amp;B4&amp;"');"</f>
        <v>INSERT INTO TIPO_APRESENTACAO (tap_id, tap_nome) VALUES (3, 'dúzia');</v>
      </c>
    </row>
    <row r="5" customFormat="false" ht="14.25" hidden="false" customHeight="false" outlineLevel="0" collapsed="false">
      <c r="A5" s="0" t="n">
        <v>4</v>
      </c>
      <c r="B5" s="0" t="s">
        <v>727</v>
      </c>
      <c r="E5" s="0" t="str">
        <f aca="false">"INSERT INTO TIPO_APRESENTACAO (tap_id, tap_nome) VALUES ("&amp;A5&amp;", '"&amp;B5&amp;"');"</f>
        <v>INSERT INTO TIPO_APRESENTACAO (tap_id, tap_nome) VALUES (4, 'saco');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44531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728</v>
      </c>
      <c r="B1" s="0" t="s">
        <v>729</v>
      </c>
      <c r="C1" s="0" t="s">
        <v>730</v>
      </c>
    </row>
    <row r="2" customFormat="false" ht="14.25" hidden="false" customHeight="false" outlineLevel="0" collapsed="false">
      <c r="A2" s="0" t="n">
        <v>1</v>
      </c>
      <c r="B2" s="0" t="n">
        <v>1</v>
      </c>
      <c r="C2" s="0" t="s">
        <v>731</v>
      </c>
      <c r="E2" s="0" t="str">
        <f aca="false">"INSERT INTO CATEGORIA (cat_id, cat_grp_id, cat_nome) VALUES ("&amp;A2&amp;", "&amp;B2&amp;", '"&amp;C2&amp;"');"</f>
        <v>INSERT INTO CATEGORIA (cat_id, cat_grp_id, cat_nome) VALUES (1, 1, 'Folhosas');</v>
      </c>
    </row>
    <row r="3" customFormat="false" ht="14.25" hidden="false" customHeight="false" outlineLevel="0" collapsed="false">
      <c r="A3" s="0" t="n">
        <v>2</v>
      </c>
      <c r="B3" s="0" t="n">
        <v>1</v>
      </c>
      <c r="C3" s="0" t="s">
        <v>732</v>
      </c>
      <c r="E3" s="0" t="str">
        <f aca="false">"INSERT INTO CATEGORIA (cat_id, cat_grp_id, cat_nome) VALUES ("&amp;A3&amp;", "&amp;B3&amp;", '"&amp;C3&amp;"');"</f>
        <v>INSERT INTO CATEGORIA (cat_id, cat_grp_id, cat_nome) VALUES (2, 1, 'Flores');</v>
      </c>
    </row>
    <row r="4" customFormat="false" ht="14.25" hidden="false" customHeight="false" outlineLevel="0" collapsed="false">
      <c r="A4" s="0" t="n">
        <v>3</v>
      </c>
      <c r="B4" s="0" t="n">
        <v>1</v>
      </c>
      <c r="C4" s="0" t="s">
        <v>733</v>
      </c>
      <c r="E4" s="0" t="str">
        <f aca="false">"INSERT INTO CATEGORIA (cat_id, cat_grp_id, cat_nome) VALUES ("&amp;A4&amp;", "&amp;B4&amp;", '"&amp;C4&amp;"');"</f>
        <v>INSERT INTO CATEGORIA (cat_id, cat_grp_id, cat_nome) VALUES (3, 1, 'Hastes');</v>
      </c>
    </row>
    <row r="5" customFormat="false" ht="14.25" hidden="false" customHeight="false" outlineLevel="0" collapsed="false">
      <c r="A5" s="0" t="n">
        <v>4</v>
      </c>
      <c r="B5" s="0" t="n">
        <v>2</v>
      </c>
      <c r="C5" s="0" t="s">
        <v>734</v>
      </c>
      <c r="E5" s="0" t="str">
        <f aca="false">"INSERT INTO CATEGORIA (cat_id, cat_grp_id, cat_nome) VALUES ("&amp;A5&amp;", "&amp;B5&amp;", '"&amp;C5&amp;"');"</f>
        <v>INSERT INTO CATEGORIA (cat_id, cat_grp_id, cat_nome) VALUES (4, 2, 'Temperos');</v>
      </c>
    </row>
    <row r="6" customFormat="false" ht="14.25" hidden="false" customHeight="false" outlineLevel="0" collapsed="false">
      <c r="A6" s="0" t="n">
        <v>5</v>
      </c>
      <c r="B6" s="0" t="n">
        <v>3</v>
      </c>
      <c r="C6" s="0" t="s">
        <v>735</v>
      </c>
      <c r="E6" s="0" t="str">
        <f aca="false">"INSERT INTO CATEGORIA (cat_id, cat_grp_id, cat_nome) VALUES ("&amp;A6&amp;", "&amp;B6&amp;", '"&amp;C6&amp;"');"</f>
        <v>INSERT INTO CATEGORIA (cat_id, cat_grp_id, cat_nome) VALUES (5, 3, 'Leguminosas (vagens)');</v>
      </c>
    </row>
    <row r="7" customFormat="false" ht="14.25" hidden="false" customHeight="false" outlineLevel="0" collapsed="false">
      <c r="A7" s="0" t="n">
        <v>6</v>
      </c>
      <c r="B7" s="0" t="n">
        <v>3</v>
      </c>
      <c r="C7" s="0" t="s">
        <v>736</v>
      </c>
      <c r="E7" s="0" t="str">
        <f aca="false">"INSERT INTO CATEGORIA (cat_id, cat_grp_id, cat_nome) VALUES ("&amp;A7&amp;", "&amp;B7&amp;", '"&amp;C7&amp;"');"</f>
        <v>INSERT INTO CATEGORIA (cat_id, cat_grp_id, cat_nome) VALUES (6, 3, 'Frutos');</v>
      </c>
    </row>
    <row r="8" customFormat="false" ht="14.25" hidden="false" customHeight="false" outlineLevel="0" collapsed="false">
      <c r="A8" s="0" t="n">
        <v>7</v>
      </c>
      <c r="B8" s="0" t="n">
        <v>3</v>
      </c>
      <c r="C8" s="0" t="s">
        <v>737</v>
      </c>
      <c r="E8" s="0" t="str">
        <f aca="false">"INSERT INTO CATEGORIA (cat_id, cat_grp_id, cat_nome) VALUES ("&amp;A8&amp;", "&amp;B8&amp;", '"&amp;C8&amp;"');"</f>
        <v>INSERT INTO CATEGORIA (cat_id, cat_grp_id, cat_nome) VALUES (7, 3, 'Raízes Tuberosas');</v>
      </c>
    </row>
    <row r="9" customFormat="false" ht="14.25" hidden="false" customHeight="false" outlineLevel="0" collapsed="false">
      <c r="A9" s="0" t="n">
        <v>8</v>
      </c>
      <c r="B9" s="0" t="n">
        <v>3</v>
      </c>
      <c r="C9" s="0" t="s">
        <v>738</v>
      </c>
      <c r="E9" s="0" t="str">
        <f aca="false">"INSERT INTO CATEGORIA (cat_id, cat_grp_id, cat_nome) VALUES ("&amp;A9&amp;", "&amp;B9&amp;", '"&amp;C9&amp;"');"</f>
        <v>INSERT INTO CATEGORIA (cat_id, cat_grp_id, cat_nome) VALUES (8, 3, 'Tubérculos');</v>
      </c>
    </row>
    <row r="10" customFormat="false" ht="14.25" hidden="false" customHeight="false" outlineLevel="0" collapsed="false">
      <c r="A10" s="0" t="n">
        <v>9</v>
      </c>
      <c r="B10" s="0" t="n">
        <v>3</v>
      </c>
      <c r="C10" s="0" t="s">
        <v>739</v>
      </c>
      <c r="E10" s="0" t="str">
        <f aca="false">"INSERT INTO CATEGORIA (cat_id, cat_grp_id, cat_nome) VALUES ("&amp;A10&amp;", "&amp;B10&amp;", '"&amp;C10&amp;"');"</f>
        <v>INSERT INTO CATEGORIA (cat_id, cat_grp_id, cat_nome) VALUES (9, 3, 'Bulbos');</v>
      </c>
    </row>
    <row r="11" customFormat="false" ht="14.25" hidden="false" customHeight="false" outlineLevel="0" collapsed="false">
      <c r="A11" s="0" t="n">
        <v>10</v>
      </c>
      <c r="B11" s="0" t="n">
        <v>4</v>
      </c>
      <c r="C11" s="0" t="s">
        <v>677</v>
      </c>
      <c r="E11" s="0" t="str">
        <f aca="false">"INSERT INTO CATEGORIA (cat_id, cat_grp_id, cat_nome) VALUES ("&amp;A11&amp;", "&amp;B11&amp;", '"&amp;C11&amp;"');"</f>
        <v>INSERT INTO CATEGORIA (cat_id, cat_grp_id, cat_nome) VALUES (10, 4, 'Frutas');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" activeCellId="0" sqref="G2"/>
    </sheetView>
  </sheetViews>
  <sheetFormatPr defaultColWidth="8.4453125" defaultRowHeight="14.25" customHeight="false" zeroHeight="false" outlineLevelRow="0" outlineLevelCol="0"/>
  <cols>
    <col collapsed="false" customWidth="true" hidden="false" outlineLevel="0" max="3" min="3" style="0" width="19.88"/>
    <col collapsed="false" customWidth="true" hidden="false" outlineLevel="0" max="4" min="4" style="0" width="12.56"/>
  </cols>
  <sheetData>
    <row r="1" customFormat="false" ht="14.25" hidden="false" customHeight="false" outlineLevel="0" collapsed="false">
      <c r="A1" s="0" t="s">
        <v>740</v>
      </c>
      <c r="B1" s="0" t="s">
        <v>741</v>
      </c>
      <c r="C1" s="0" t="s">
        <v>742</v>
      </c>
      <c r="D1" s="0" t="s">
        <v>743</v>
      </c>
      <c r="E1" s="0" t="s">
        <v>744</v>
      </c>
    </row>
    <row r="2" customFormat="false" ht="14.25" hidden="false" customHeight="false" outlineLevel="0" collapsed="false">
      <c r="A2" s="0" t="n">
        <v>1</v>
      </c>
      <c r="B2" s="0" t="n">
        <v>1</v>
      </c>
      <c r="C2" s="0" t="s">
        <v>16</v>
      </c>
      <c r="E2" s="0" t="n">
        <v>1</v>
      </c>
      <c r="G2" s="0" t="str">
        <f aca="false">"INSERT INTO PRODUTO (prd_id, prd_cat_id, prd_nome, prd_var, prd_atv) VALUES ("&amp;A2&amp;", "&amp;B2&amp;", '"&amp;C2&amp;"', '"&amp;D2&amp;"', "&amp;E2&amp;");"</f>
        <v>INSERT INTO PRODUTO (prd_id, prd_cat_id, prd_nome, prd_var, prd_atv) VALUES (1, 1, 'Acelga', '', 1);</v>
      </c>
    </row>
    <row r="3" customFormat="false" ht="14.25" hidden="false" customHeight="false" outlineLevel="0" collapsed="false">
      <c r="A3" s="0" t="n">
        <v>2</v>
      </c>
      <c r="B3" s="0" t="n">
        <v>1</v>
      </c>
      <c r="C3" s="0" t="s">
        <v>18</v>
      </c>
      <c r="E3" s="0" t="n">
        <v>1</v>
      </c>
      <c r="G3" s="0" t="str">
        <f aca="false">"INSERT INTO PRODUTO (prd_id, prd_cat_id, prd_nome, prd_var, prd_atv) VALUES ("&amp;A3&amp;", "&amp;B3&amp;", '"&amp;C3&amp;"', '"&amp;D3&amp;"', "&amp;E3&amp;");"</f>
        <v>INSERT INTO PRODUTO (prd_id, prd_cat_id, prd_nome, prd_var, prd_atv) VALUES (2, 1, 'Agrião', '', 1);</v>
      </c>
    </row>
    <row r="4" customFormat="false" ht="14.25" hidden="false" customHeight="false" outlineLevel="0" collapsed="false">
      <c r="A4" s="0" t="n">
        <v>3</v>
      </c>
      <c r="B4" s="0" t="n">
        <v>1</v>
      </c>
      <c r="C4" s="0" t="s">
        <v>745</v>
      </c>
      <c r="D4" s="0" t="s">
        <v>746</v>
      </c>
      <c r="E4" s="0" t="n">
        <v>1</v>
      </c>
      <c r="G4" s="0" t="str">
        <f aca="false">"INSERT INTO PRODUTO (prd_id, prd_cat_id, prd_nome, prd_var, prd_atv) VALUES ("&amp;A4&amp;", "&amp;B4&amp;", '"&amp;C4&amp;"', '"&amp;D4&amp;"', "&amp;E4&amp;");"</f>
        <v>INSERT INTO PRODUTO (prd_id, prd_cat_id, prd_nome, prd_var, prd_atv) VALUES (3, 1, 'Alface', 'Americana', 1);</v>
      </c>
    </row>
    <row r="5" customFormat="false" ht="14.25" hidden="false" customHeight="false" outlineLevel="0" collapsed="false">
      <c r="A5" s="0" t="n">
        <v>4</v>
      </c>
      <c r="B5" s="0" t="n">
        <v>1</v>
      </c>
      <c r="C5" s="0" t="s">
        <v>745</v>
      </c>
      <c r="D5" s="0" t="s">
        <v>747</v>
      </c>
      <c r="E5" s="0" t="n">
        <v>1</v>
      </c>
      <c r="G5" s="0" t="str">
        <f aca="false">"INSERT INTO PRODUTO (prd_id, prd_cat_id, prd_nome, prd_var, prd_atv) VALUES ("&amp;A5&amp;", "&amp;B5&amp;", '"&amp;C5&amp;"', '"&amp;D5&amp;"', "&amp;E5&amp;");"</f>
        <v>INSERT INTO PRODUTO (prd_id, prd_cat_id, prd_nome, prd_var, prd_atv) VALUES (4, 1, 'Alface', 'Crespa', 1);</v>
      </c>
    </row>
    <row r="6" customFormat="false" ht="14.25" hidden="false" customHeight="false" outlineLevel="0" collapsed="false">
      <c r="A6" s="0" t="n">
        <v>5</v>
      </c>
      <c r="B6" s="0" t="n">
        <v>1</v>
      </c>
      <c r="C6" s="0" t="s">
        <v>745</v>
      </c>
      <c r="D6" s="0" t="s">
        <v>748</v>
      </c>
      <c r="E6" s="0" t="n">
        <v>1</v>
      </c>
      <c r="G6" s="0" t="str">
        <f aca="false">"INSERT INTO PRODUTO (prd_id, prd_cat_id, prd_nome, prd_var, prd_atv) VALUES ("&amp;A6&amp;", "&amp;B6&amp;", '"&amp;C6&amp;"', '"&amp;D6&amp;"', "&amp;E6&amp;");"</f>
        <v>INSERT INTO PRODUTO (prd_id, prd_cat_id, prd_nome, prd_var, prd_atv) VALUES (5, 1, 'Alface', 'Lisa', 1);</v>
      </c>
    </row>
    <row r="7" customFormat="false" ht="14.25" hidden="false" customHeight="false" outlineLevel="0" collapsed="false">
      <c r="A7" s="0" t="n">
        <v>6</v>
      </c>
      <c r="B7" s="0" t="n">
        <v>1</v>
      </c>
      <c r="C7" s="0" t="s">
        <v>22</v>
      </c>
      <c r="E7" s="0" t="n">
        <v>1</v>
      </c>
      <c r="G7" s="0" t="str">
        <f aca="false">"INSERT INTO PRODUTO (prd_id, prd_cat_id, prd_nome, prd_var, prd_atv) VALUES ("&amp;A7&amp;", "&amp;B7&amp;", '"&amp;C7&amp;"', '"&amp;D7&amp;"', "&amp;E7&amp;");"</f>
        <v>INSERT INTO PRODUTO (prd_id, prd_cat_id, prd_nome, prd_var, prd_atv) VALUES (6, 1, 'Almeirão', '', 1);</v>
      </c>
    </row>
    <row r="8" customFormat="false" ht="14.25" hidden="false" customHeight="false" outlineLevel="0" collapsed="false">
      <c r="A8" s="0" t="n">
        <v>7</v>
      </c>
      <c r="B8" s="0" t="n">
        <v>2</v>
      </c>
      <c r="C8" s="0" t="s">
        <v>749</v>
      </c>
      <c r="D8" s="0" t="s">
        <v>750</v>
      </c>
      <c r="E8" s="0" t="n">
        <v>1</v>
      </c>
      <c r="G8" s="0" t="str">
        <f aca="false">"INSERT INTO PRODUTO (prd_id, prd_cat_id, prd_nome, prd_var, prd_atv) VALUES ("&amp;A8&amp;", "&amp;B8&amp;", '"&amp;C8&amp;"', '"&amp;D8&amp;"', "&amp;E8&amp;");"</f>
        <v>INSERT INTO PRODUTO (prd_id, prd_cat_id, prd_nome, prd_var, prd_atv) VALUES (7, 2, 'Brócolis', 'Ninja/Japonês', 1);</v>
      </c>
    </row>
    <row r="9" customFormat="false" ht="14.25" hidden="false" customHeight="false" outlineLevel="0" collapsed="false">
      <c r="A9" s="0" t="n">
        <v>8</v>
      </c>
      <c r="B9" s="0" t="n">
        <v>2</v>
      </c>
      <c r="C9" s="0" t="s">
        <v>749</v>
      </c>
      <c r="D9" s="0" t="s">
        <v>751</v>
      </c>
      <c r="E9" s="0" t="n">
        <v>1</v>
      </c>
      <c r="G9" s="0" t="str">
        <f aca="false">"INSERT INTO PRODUTO (prd_id, prd_cat_id, prd_nome, prd_var, prd_atv) VALUES ("&amp;A9&amp;", "&amp;B9&amp;", '"&amp;C9&amp;"', '"&amp;D9&amp;"', "&amp;E9&amp;");"</f>
        <v>INSERT INTO PRODUTO (prd_id, prd_cat_id, prd_nome, prd_var, prd_atv) VALUES (8, 2, 'Brócolis', 'Ramoso', 1);</v>
      </c>
    </row>
    <row r="10" customFormat="false" ht="14.25" hidden="false" customHeight="false" outlineLevel="0" collapsed="false">
      <c r="A10" s="0" t="n">
        <v>9</v>
      </c>
      <c r="B10" s="0" t="n">
        <v>1</v>
      </c>
      <c r="C10" s="0" t="s">
        <v>26</v>
      </c>
      <c r="D10" s="0" t="s">
        <v>752</v>
      </c>
      <c r="E10" s="0" t="n">
        <v>1</v>
      </c>
      <c r="G10" s="0" t="str">
        <f aca="false">"INSERT INTO PRODUTO (prd_id, prd_cat_id, prd_nome, prd_var, prd_atv) VALUES ("&amp;A10&amp;", "&amp;B10&amp;", '"&amp;C10&amp;"', '"&amp;D10&amp;"', "&amp;E10&amp;");"</f>
        <v>INSERT INTO PRODUTO (prd_id, prd_cat_id, prd_nome, prd_var, prd_atv) VALUES (9, 1, 'Couve', 'Manteiga', 1);</v>
      </c>
    </row>
    <row r="11" customFormat="false" ht="14.25" hidden="false" customHeight="false" outlineLevel="0" collapsed="false">
      <c r="A11" s="0" t="n">
        <v>10</v>
      </c>
      <c r="B11" s="0" t="n">
        <v>2</v>
      </c>
      <c r="C11" s="0" t="s">
        <v>753</v>
      </c>
      <c r="E11" s="0" t="n">
        <v>1</v>
      </c>
      <c r="G11" s="0" t="str">
        <f aca="false">"INSERT INTO PRODUTO (prd_id, prd_cat_id, prd_nome, prd_var, prd_atv) VALUES ("&amp;A11&amp;", "&amp;B11&amp;", '"&amp;C11&amp;"', '"&amp;D11&amp;"', "&amp;E11&amp;");"</f>
        <v>INSERT INTO PRODUTO (prd_id, prd_cat_id, prd_nome, prd_var, prd_atv) VALUES (10, 2, 'Couve-Flor', '', 1);</v>
      </c>
    </row>
    <row r="12" customFormat="false" ht="14.25" hidden="false" customHeight="false" outlineLevel="0" collapsed="false">
      <c r="A12" s="0" t="n">
        <v>11</v>
      </c>
      <c r="B12" s="0" t="n">
        <v>1</v>
      </c>
      <c r="C12" s="0" t="s">
        <v>27</v>
      </c>
      <c r="E12" s="0" t="n">
        <v>1</v>
      </c>
      <c r="G12" s="0" t="str">
        <f aca="false">"INSERT INTO PRODUTO (prd_id, prd_cat_id, prd_nome, prd_var, prd_atv) VALUES ("&amp;A12&amp;", "&amp;B12&amp;", '"&amp;C12&amp;"', '"&amp;D12&amp;"', "&amp;E12&amp;");"</f>
        <v>INSERT INTO PRODUTO (prd_id, prd_cat_id, prd_nome, prd_var, prd_atv) VALUES (11, 1, 'Escarola', '', 1);</v>
      </c>
    </row>
    <row r="13" customFormat="false" ht="14.25" hidden="false" customHeight="false" outlineLevel="0" collapsed="false">
      <c r="A13" s="0" t="n">
        <v>12</v>
      </c>
      <c r="B13" s="0" t="n">
        <v>1</v>
      </c>
      <c r="C13" s="0" t="s">
        <v>28</v>
      </c>
      <c r="E13" s="0" t="n">
        <v>1</v>
      </c>
      <c r="G13" s="0" t="str">
        <f aca="false">"INSERT INTO PRODUTO (prd_id, prd_cat_id, prd_nome, prd_var, prd_atv) VALUES ("&amp;A13&amp;", "&amp;B13&amp;", '"&amp;C13&amp;"', '"&amp;D13&amp;"', "&amp;E13&amp;");"</f>
        <v>INSERT INTO PRODUTO (prd_id, prd_cat_id, prd_nome, prd_var, prd_atv) VALUES (12, 1, 'Espinafre', '', 1);</v>
      </c>
    </row>
    <row r="14" customFormat="false" ht="14.25" hidden="false" customHeight="false" outlineLevel="0" collapsed="false">
      <c r="A14" s="0" t="n">
        <v>13</v>
      </c>
      <c r="B14" s="0" t="n">
        <v>7</v>
      </c>
      <c r="C14" s="0" t="s">
        <v>29</v>
      </c>
      <c r="E14" s="0" t="n">
        <v>1</v>
      </c>
      <c r="G14" s="0" t="str">
        <f aca="false">"INSERT INTO PRODUTO (prd_id, prd_cat_id, prd_nome, prd_var, prd_atv) VALUES ("&amp;A14&amp;", "&amp;B14&amp;", '"&amp;C14&amp;"', '"&amp;D14&amp;"', "&amp;E14&amp;");"</f>
        <v>INSERT INTO PRODUTO (prd_id, prd_cat_id, prd_nome, prd_var, prd_atv) VALUES (13, 7, 'Rabanete', '', 1);</v>
      </c>
    </row>
    <row r="15" customFormat="false" ht="14.25" hidden="false" customHeight="false" outlineLevel="0" collapsed="false">
      <c r="A15" s="0" t="n">
        <v>14</v>
      </c>
      <c r="B15" s="0" t="n">
        <v>1</v>
      </c>
      <c r="C15" s="0" t="s">
        <v>754</v>
      </c>
      <c r="D15" s="0" t="s">
        <v>755</v>
      </c>
      <c r="E15" s="0" t="n">
        <v>1</v>
      </c>
      <c r="G15" s="0" t="str">
        <f aca="false">"INSERT INTO PRODUTO (prd_id, prd_cat_id, prd_nome, prd_var, prd_atv) VALUES ("&amp;A15&amp;", "&amp;B15&amp;", '"&amp;C15&amp;"', '"&amp;D15&amp;"', "&amp;E15&amp;");"</f>
        <v>INSERT INTO PRODUTO (prd_id, prd_cat_id, prd_nome, prd_var, prd_atv) VALUES (14, 1, 'Repolho', 'Roxo', 1);</v>
      </c>
    </row>
    <row r="16" customFormat="false" ht="14.25" hidden="false" customHeight="false" outlineLevel="0" collapsed="false">
      <c r="A16" s="0" t="n">
        <v>15</v>
      </c>
      <c r="B16" s="0" t="n">
        <v>1</v>
      </c>
      <c r="C16" s="0" t="s">
        <v>754</v>
      </c>
      <c r="D16" s="0" t="s">
        <v>756</v>
      </c>
      <c r="E16" s="0" t="n">
        <v>1</v>
      </c>
      <c r="G16" s="0" t="str">
        <f aca="false">"INSERT INTO PRODUTO (prd_id, prd_cat_id, prd_nome, prd_var, prd_atv) VALUES ("&amp;A16&amp;", "&amp;B16&amp;", '"&amp;C16&amp;"', '"&amp;D16&amp;"', "&amp;E16&amp;");"</f>
        <v>INSERT INTO PRODUTO (prd_id, prd_cat_id, prd_nome, prd_var, prd_atv) VALUES (15, 1, 'Repolho', 'Verde', 1);</v>
      </c>
    </row>
    <row r="17" customFormat="false" ht="14.25" hidden="false" customHeight="false" outlineLevel="0" collapsed="false">
      <c r="A17" s="0" t="n">
        <v>16</v>
      </c>
      <c r="B17" s="0" t="n">
        <v>1</v>
      </c>
      <c r="C17" s="0" t="s">
        <v>33</v>
      </c>
      <c r="E17" s="0" t="n">
        <v>1</v>
      </c>
      <c r="G17" s="0" t="str">
        <f aca="false">"INSERT INTO PRODUTO (prd_id, prd_cat_id, prd_nome, prd_var, prd_atv) VALUES ("&amp;A17&amp;", "&amp;B17&amp;", '"&amp;C17&amp;"', '"&amp;D17&amp;"', "&amp;E17&amp;");"</f>
        <v>INSERT INTO PRODUTO (prd_id, prd_cat_id, prd_nome, prd_var, prd_atv) VALUES (16, 1, 'Rúcula', '', 1);</v>
      </c>
    </row>
    <row r="18" customFormat="false" ht="14.25" hidden="false" customHeight="false" outlineLevel="0" collapsed="false">
      <c r="A18" s="0" t="n">
        <v>17</v>
      </c>
      <c r="B18" s="0" t="n">
        <v>4</v>
      </c>
      <c r="C18" s="0" t="s">
        <v>35</v>
      </c>
      <c r="E18" s="0" t="n">
        <v>1</v>
      </c>
      <c r="G18" s="0" t="str">
        <f aca="false">"INSERT INTO PRODUTO (prd_id, prd_cat_id, prd_nome, prd_var, prd_atv) VALUES ("&amp;A18&amp;", "&amp;B18&amp;", '"&amp;C18&amp;"', '"&amp;D18&amp;"', "&amp;E18&amp;");"</f>
        <v>INSERT INTO PRODUTO (prd_id, prd_cat_id, prd_nome, prd_var, prd_atv) VALUES (17, 4, 'Cebolinha', '', 1);</v>
      </c>
    </row>
    <row r="19" customFormat="false" ht="14.25" hidden="false" customHeight="false" outlineLevel="0" collapsed="false">
      <c r="A19" s="0" t="n">
        <v>18</v>
      </c>
      <c r="B19" s="0" t="n">
        <v>4</v>
      </c>
      <c r="C19" s="0" t="s">
        <v>38</v>
      </c>
      <c r="E19" s="0" t="n">
        <v>1</v>
      </c>
      <c r="G19" s="0" t="str">
        <f aca="false">"INSERT INTO PRODUTO (prd_id, prd_cat_id, prd_nome, prd_var, prd_atv) VALUES ("&amp;A19&amp;", "&amp;B19&amp;", '"&amp;C19&amp;"', '"&amp;D19&amp;"', "&amp;E19&amp;");"</f>
        <v>INSERT INTO PRODUTO (prd_id, prd_cat_id, prd_nome, prd_var, prd_atv) VALUES (18, 4, 'Coentro', '', 1);</v>
      </c>
    </row>
    <row r="20" customFormat="false" ht="14.25" hidden="false" customHeight="false" outlineLevel="0" collapsed="false">
      <c r="A20" s="0" t="n">
        <v>19</v>
      </c>
      <c r="B20" s="0" t="n">
        <v>4</v>
      </c>
      <c r="C20" s="0" t="s">
        <v>40</v>
      </c>
      <c r="E20" s="0" t="n">
        <v>1</v>
      </c>
      <c r="G20" s="0" t="str">
        <f aca="false">"INSERT INTO PRODUTO (prd_id, prd_cat_id, prd_nome, prd_var, prd_atv) VALUES ("&amp;A20&amp;", "&amp;B20&amp;", '"&amp;C20&amp;"', '"&amp;D20&amp;"', "&amp;E20&amp;");"</f>
        <v>INSERT INTO PRODUTO (prd_id, prd_cat_id, prd_nome, prd_var, prd_atv) VALUES (19, 4, 'Salsinha', '', 1);</v>
      </c>
    </row>
    <row r="21" customFormat="false" ht="14.25" hidden="false" customHeight="false" outlineLevel="0" collapsed="false">
      <c r="A21" s="0" t="n">
        <v>20</v>
      </c>
      <c r="B21" s="0" t="n">
        <v>6</v>
      </c>
      <c r="C21" s="0" t="s">
        <v>757</v>
      </c>
      <c r="D21" s="0" t="s">
        <v>758</v>
      </c>
      <c r="E21" s="0" t="n">
        <v>1</v>
      </c>
      <c r="G21" s="0" t="str">
        <f aca="false">"INSERT INTO PRODUTO (prd_id, prd_cat_id, prd_nome, prd_var, prd_atv) VALUES ("&amp;A21&amp;", "&amp;B21&amp;", '"&amp;C21&amp;"', '"&amp;D21&amp;"', "&amp;E21&amp;");"</f>
        <v>INSERT INTO PRODUTO (prd_id, prd_cat_id, prd_nome, prd_var, prd_atv) VALUES (20, 6, 'Abóbora', 'Cabotiá', 1);</v>
      </c>
    </row>
    <row r="22" customFormat="false" ht="14.25" hidden="false" customHeight="false" outlineLevel="0" collapsed="false">
      <c r="A22" s="0" t="n">
        <v>21</v>
      </c>
      <c r="B22" s="0" t="n">
        <v>6</v>
      </c>
      <c r="C22" s="0" t="s">
        <v>759</v>
      </c>
      <c r="D22" s="0" t="s">
        <v>760</v>
      </c>
      <c r="E22" s="0" t="n">
        <v>1</v>
      </c>
      <c r="G22" s="0" t="str">
        <f aca="false">"INSERT INTO PRODUTO (prd_id, prd_cat_id, prd_nome, prd_var, prd_atv) VALUES ("&amp;A22&amp;", "&amp;B22&amp;", '"&amp;C22&amp;"', '"&amp;D22&amp;"', "&amp;E22&amp;");"</f>
        <v>INSERT INTO PRODUTO (prd_id, prd_cat_id, prd_nome, prd_var, prd_atv) VALUES (21, 6, 'Abobrinha', 'Italiana', 1);</v>
      </c>
    </row>
    <row r="23" customFormat="false" ht="14.25" hidden="false" customHeight="false" outlineLevel="0" collapsed="false">
      <c r="A23" s="0" t="n">
        <v>22</v>
      </c>
      <c r="B23" s="0" t="n">
        <v>7</v>
      </c>
      <c r="C23" s="0" t="s">
        <v>46</v>
      </c>
      <c r="E23" s="0" t="n">
        <v>1</v>
      </c>
      <c r="G23" s="0" t="str">
        <f aca="false">"INSERT INTO PRODUTO (prd_id, prd_cat_id, prd_nome, prd_var, prd_atv) VALUES ("&amp;A23&amp;", "&amp;B23&amp;", '"&amp;C23&amp;"', '"&amp;D23&amp;"', "&amp;E23&amp;");"</f>
        <v>INSERT INTO PRODUTO (prd_id, prd_cat_id, prd_nome, prd_var, prd_atv) VALUES (22, 7, 'Batata-doce', '', 1);</v>
      </c>
    </row>
    <row r="24" customFormat="false" ht="14.25" hidden="false" customHeight="false" outlineLevel="0" collapsed="false">
      <c r="A24" s="0" t="n">
        <v>23</v>
      </c>
      <c r="B24" s="0" t="n">
        <v>6</v>
      </c>
      <c r="C24" s="0" t="s">
        <v>761</v>
      </c>
      <c r="D24" s="0" t="s">
        <v>6</v>
      </c>
      <c r="E24" s="0" t="n">
        <v>1</v>
      </c>
      <c r="G24" s="0" t="str">
        <f aca="false">"INSERT INTO PRODUTO (prd_id, prd_cat_id, prd_nome, prd_var, prd_atv) VALUES ("&amp;A24&amp;", "&amp;B24&amp;", '"&amp;C24&amp;"', '"&amp;D24&amp;"', "&amp;E24&amp;");"</f>
        <v>INSERT INTO PRODUTO (prd_id, prd_cat_id, prd_nome, prd_var, prd_atv) VALUES (23, 6, 'Berinjela', 'Comum', 1);</v>
      </c>
    </row>
    <row r="25" customFormat="false" ht="14.25" hidden="false" customHeight="false" outlineLevel="0" collapsed="false">
      <c r="A25" s="0" t="n">
        <v>24</v>
      </c>
      <c r="B25" s="0" t="n">
        <v>6</v>
      </c>
      <c r="C25" s="0" t="s">
        <v>761</v>
      </c>
      <c r="D25" s="0" t="s">
        <v>762</v>
      </c>
      <c r="E25" s="0" t="n">
        <v>1</v>
      </c>
      <c r="G25" s="0" t="str">
        <f aca="false">"INSERT INTO PRODUTO (prd_id, prd_cat_id, prd_nome, prd_var, prd_atv) VALUES ("&amp;A25&amp;", "&amp;B25&amp;", '"&amp;C25&amp;"', '"&amp;D25&amp;"', "&amp;E25&amp;");"</f>
        <v>INSERT INTO PRODUTO (prd_id, prd_cat_id, prd_nome, prd_var, prd_atv) VALUES (24, 6, 'Berinjela', 'Japonesa', 1);</v>
      </c>
    </row>
    <row r="26" customFormat="false" ht="14.25" hidden="false" customHeight="false" outlineLevel="0" collapsed="false">
      <c r="A26" s="0" t="n">
        <v>25</v>
      </c>
      <c r="B26" s="0" t="n">
        <v>7</v>
      </c>
      <c r="C26" s="0" t="s">
        <v>53</v>
      </c>
      <c r="E26" s="0" t="n">
        <v>1</v>
      </c>
      <c r="G26" s="0" t="str">
        <f aca="false">"INSERT INTO PRODUTO (prd_id, prd_cat_id, prd_nome, prd_var, prd_atv) VALUES ("&amp;A26&amp;", "&amp;B26&amp;", '"&amp;C26&amp;"', '"&amp;D26&amp;"', "&amp;E26&amp;");"</f>
        <v>INSERT INTO PRODUTO (prd_id, prd_cat_id, prd_nome, prd_var, prd_atv) VALUES (25, 7, 'Beterraba', '', 1);</v>
      </c>
    </row>
    <row r="27" customFormat="false" ht="14.25" hidden="false" customHeight="false" outlineLevel="0" collapsed="false">
      <c r="A27" s="0" t="n">
        <v>26</v>
      </c>
      <c r="B27" s="0" t="n">
        <v>7</v>
      </c>
      <c r="C27" s="0" t="s">
        <v>56</v>
      </c>
      <c r="E27" s="0" t="n">
        <v>1</v>
      </c>
      <c r="G27" s="0" t="str">
        <f aca="false">"INSERT INTO PRODUTO (prd_id, prd_cat_id, prd_nome, prd_var, prd_atv) VALUES ("&amp;A27&amp;", "&amp;B27&amp;", '"&amp;C27&amp;"', '"&amp;D27&amp;"', "&amp;E27&amp;");"</f>
        <v>INSERT INTO PRODUTO (prd_id, prd_cat_id, prd_nome, prd_var, prd_atv) VALUES (26, 7, 'Cenoura', '', 1);</v>
      </c>
    </row>
    <row r="28" customFormat="false" ht="14.25" hidden="false" customHeight="false" outlineLevel="0" collapsed="false">
      <c r="A28" s="0" t="n">
        <v>27</v>
      </c>
      <c r="B28" s="0" t="n">
        <v>6</v>
      </c>
      <c r="C28" s="0" t="s">
        <v>57</v>
      </c>
      <c r="E28" s="0" t="n">
        <v>1</v>
      </c>
      <c r="G28" s="0" t="str">
        <f aca="false">"INSERT INTO PRODUTO (prd_id, prd_cat_id, prd_nome, prd_var, prd_atv) VALUES ("&amp;A28&amp;", "&amp;B28&amp;", '"&amp;C28&amp;"', '"&amp;D28&amp;"', "&amp;E28&amp;");"</f>
        <v>INSERT INTO PRODUTO (prd_id, prd_cat_id, prd_nome, prd_var, prd_atv) VALUES (27, 6, 'Chuchu', '', 1);</v>
      </c>
    </row>
    <row r="29" customFormat="false" ht="14.25" hidden="false" customHeight="false" outlineLevel="0" collapsed="false">
      <c r="A29" s="0" t="n">
        <v>28</v>
      </c>
      <c r="B29" s="0" t="n">
        <v>6</v>
      </c>
      <c r="C29" s="0" t="s">
        <v>58</v>
      </c>
      <c r="E29" s="0" t="n">
        <v>1</v>
      </c>
      <c r="G29" s="0" t="str">
        <f aca="false">"INSERT INTO PRODUTO (prd_id, prd_cat_id, prd_nome, prd_var, prd_atv) VALUES ("&amp;A29&amp;", "&amp;B29&amp;", '"&amp;C29&amp;"', '"&amp;D29&amp;"', "&amp;E29&amp;");"</f>
        <v>INSERT INTO PRODUTO (prd_id, prd_cat_id, prd_nome, prd_var, prd_atv) VALUES (28, 6, 'Jiló', '', 1);</v>
      </c>
    </row>
    <row r="30" customFormat="false" ht="14.25" hidden="false" customHeight="false" outlineLevel="0" collapsed="false">
      <c r="A30" s="0" t="n">
        <v>29</v>
      </c>
      <c r="B30" s="0" t="n">
        <v>7</v>
      </c>
      <c r="C30" s="0" t="s">
        <v>60</v>
      </c>
      <c r="E30" s="0" t="n">
        <v>1</v>
      </c>
      <c r="G30" s="0" t="str">
        <f aca="false">"INSERT INTO PRODUTO (prd_id, prd_cat_id, prd_nome, prd_var, prd_atv) VALUES ("&amp;A30&amp;", "&amp;B30&amp;", '"&amp;C30&amp;"', '"&amp;D30&amp;"', "&amp;E30&amp;");"</f>
        <v>INSERT INTO PRODUTO (prd_id, prd_cat_id, prd_nome, prd_var, prd_atv) VALUES (29, 7, 'Mandioca', '', 1);</v>
      </c>
    </row>
    <row r="31" customFormat="false" ht="14.25" hidden="false" customHeight="false" outlineLevel="0" collapsed="false">
      <c r="A31" s="0" t="n">
        <v>30</v>
      </c>
      <c r="B31" s="0" t="n">
        <v>6</v>
      </c>
      <c r="C31" s="0" t="s">
        <v>763</v>
      </c>
      <c r="D31" s="0" t="s">
        <v>6</v>
      </c>
      <c r="E31" s="0" t="n">
        <v>1</v>
      </c>
      <c r="G31" s="0" t="str">
        <f aca="false">"INSERT INTO PRODUTO (prd_id, prd_cat_id, prd_nome, prd_var, prd_atv) VALUES ("&amp;A31&amp;", "&amp;B31&amp;", '"&amp;C31&amp;"', '"&amp;D31&amp;"', "&amp;E31&amp;");"</f>
        <v>INSERT INTO PRODUTO (prd_id, prd_cat_id, prd_nome, prd_var, prd_atv) VALUES (30, 6, 'Pepino', 'Comum', 1);</v>
      </c>
    </row>
    <row r="32" customFormat="false" ht="14.25" hidden="false" customHeight="false" outlineLevel="0" collapsed="false">
      <c r="A32" s="0" t="n">
        <v>31</v>
      </c>
      <c r="B32" s="0" t="n">
        <v>6</v>
      </c>
      <c r="C32" s="0" t="s">
        <v>763</v>
      </c>
      <c r="D32" s="0" t="s">
        <v>764</v>
      </c>
      <c r="E32" s="0" t="n">
        <v>1</v>
      </c>
      <c r="G32" s="0" t="str">
        <f aca="false">"INSERT INTO PRODUTO (prd_id, prd_cat_id, prd_nome, prd_var, prd_atv) VALUES ("&amp;A32&amp;", "&amp;B32&amp;", '"&amp;C32&amp;"', '"&amp;D32&amp;"', "&amp;E32&amp;");"</f>
        <v>INSERT INTO PRODUTO (prd_id, prd_cat_id, prd_nome, prd_var, prd_atv) VALUES (31, 6, 'Pepino', 'Japonês', 1);</v>
      </c>
    </row>
    <row r="33" customFormat="false" ht="14.25" hidden="false" customHeight="false" outlineLevel="0" collapsed="false">
      <c r="A33" s="0" t="n">
        <v>32</v>
      </c>
      <c r="B33" s="0" t="n">
        <v>6</v>
      </c>
      <c r="C33" s="0" t="s">
        <v>765</v>
      </c>
      <c r="D33" s="0" t="s">
        <v>756</v>
      </c>
      <c r="E33" s="0" t="n">
        <v>1</v>
      </c>
      <c r="G33" s="0" t="str">
        <f aca="false">"INSERT INTO PRODUTO (prd_id, prd_cat_id, prd_nome, prd_var, prd_atv) VALUES ("&amp;A33&amp;", "&amp;B33&amp;", '"&amp;C33&amp;"', '"&amp;D33&amp;"', "&amp;E33&amp;");"</f>
        <v>INSERT INTO PRODUTO (prd_id, prd_cat_id, prd_nome, prd_var, prd_atv) VALUES (32, 6, 'Pimentão', 'Verde', 1);</v>
      </c>
    </row>
    <row r="34" customFormat="false" ht="14.25" hidden="false" customHeight="false" outlineLevel="0" collapsed="false">
      <c r="A34" s="0" t="n">
        <v>33</v>
      </c>
      <c r="B34" s="0" t="n">
        <v>6</v>
      </c>
      <c r="C34" s="0" t="s">
        <v>64</v>
      </c>
      <c r="E34" s="0" t="n">
        <v>1</v>
      </c>
      <c r="G34" s="0" t="str">
        <f aca="false">"INSERT INTO PRODUTO (prd_id, prd_cat_id, prd_nome, prd_var, prd_atv) VALUES ("&amp;A34&amp;", "&amp;B34&amp;", '"&amp;C34&amp;"', '"&amp;D34&amp;"', "&amp;E34&amp;");"</f>
        <v>INSERT INTO PRODUTO (prd_id, prd_cat_id, prd_nome, prd_var, prd_atv) VALUES (33, 6, 'Quiabo', '', 1);</v>
      </c>
    </row>
    <row r="35" customFormat="false" ht="14.25" hidden="false" customHeight="false" outlineLevel="0" collapsed="false">
      <c r="A35" s="0" t="n">
        <v>34</v>
      </c>
      <c r="B35" s="0" t="n">
        <v>6</v>
      </c>
      <c r="C35" s="0" t="s">
        <v>766</v>
      </c>
      <c r="D35" s="0" t="s">
        <v>767</v>
      </c>
      <c r="E35" s="0" t="n">
        <v>1</v>
      </c>
      <c r="G35" s="0" t="str">
        <f aca="false">"INSERT INTO PRODUTO (prd_id, prd_cat_id, prd_nome, prd_var, prd_atv) VALUES ("&amp;A35&amp;", "&amp;B35&amp;", '"&amp;C35&amp;"', '"&amp;D35&amp;"', "&amp;E35&amp;");"</f>
        <v>INSERT INTO PRODUTO (prd_id, prd_cat_id, prd_nome, prd_var, prd_atv) VALUES (34, 6, 'Tomate', 'Débora', 1);</v>
      </c>
    </row>
    <row r="36" customFormat="false" ht="14.25" hidden="false" customHeight="false" outlineLevel="0" collapsed="false">
      <c r="A36" s="0" t="n">
        <v>35</v>
      </c>
      <c r="B36" s="0" t="n">
        <v>5</v>
      </c>
      <c r="C36" s="0" t="s">
        <v>768</v>
      </c>
      <c r="D36" s="0" t="s">
        <v>769</v>
      </c>
      <c r="E36" s="0" t="n">
        <v>1</v>
      </c>
      <c r="G36" s="0" t="str">
        <f aca="false">"INSERT INTO PRODUTO (prd_id, prd_cat_id, prd_nome, prd_var, prd_atv) VALUES ("&amp;A36&amp;", "&amp;B36&amp;", '"&amp;C36&amp;"', '"&amp;D36&amp;"', "&amp;E36&amp;");"</f>
        <v>INSERT INTO PRODUTO (prd_id, prd_cat_id, prd_nome, prd_var, prd_atv) VALUES (35, 5, 'Vagem', 'Macarrão', 1);</v>
      </c>
    </row>
    <row r="37" customFormat="false" ht="14.25" hidden="false" customHeight="false" outlineLevel="0" collapsed="false">
      <c r="A37" s="0" t="n">
        <v>36</v>
      </c>
      <c r="B37" s="0" t="n">
        <v>10</v>
      </c>
      <c r="C37" s="0" t="s">
        <v>770</v>
      </c>
      <c r="D37" s="0" t="s">
        <v>771</v>
      </c>
      <c r="E37" s="0" t="n">
        <v>1</v>
      </c>
      <c r="G37" s="0" t="str">
        <f aca="false">"INSERT INTO PRODUTO (prd_id, prd_cat_id, prd_nome, prd_var, prd_atv) VALUES ("&amp;A37&amp;", "&amp;B37&amp;", '"&amp;C37&amp;"', '"&amp;D37&amp;"', "&amp;E37&amp;");"</f>
        <v>INSERT INTO PRODUTO (prd_id, prd_cat_id, prd_nome, prd_var, prd_atv) VALUES (36, 10, 'Caqui', 'Fuyu', 1);</v>
      </c>
    </row>
    <row r="38" customFormat="false" ht="14.25" hidden="false" customHeight="false" outlineLevel="0" collapsed="false">
      <c r="A38" s="0" t="n">
        <v>37</v>
      </c>
      <c r="B38" s="0" t="n">
        <v>10</v>
      </c>
      <c r="C38" s="0" t="s">
        <v>770</v>
      </c>
      <c r="D38" s="0" t="s">
        <v>772</v>
      </c>
      <c r="E38" s="0" t="n">
        <v>1</v>
      </c>
      <c r="G38" s="0" t="str">
        <f aca="false">"INSERT INTO PRODUTO (prd_id, prd_cat_id, prd_nome, prd_var, prd_atv) VALUES ("&amp;A38&amp;", "&amp;B38&amp;", '"&amp;C38&amp;"', '"&amp;D38&amp;"', "&amp;E38&amp;");"</f>
        <v>INSERT INTO PRODUTO (prd_id, prd_cat_id, prd_nome, prd_var, prd_atv) VALUES (37, 10, 'Caqui', 'Guiombo', 1);</v>
      </c>
    </row>
    <row r="39" customFormat="false" ht="14.25" hidden="false" customHeight="false" outlineLevel="0" collapsed="false">
      <c r="A39" s="0" t="n">
        <v>38</v>
      </c>
      <c r="B39" s="0" t="n">
        <v>10</v>
      </c>
      <c r="C39" s="0" t="s">
        <v>770</v>
      </c>
      <c r="D39" s="0" t="s">
        <v>773</v>
      </c>
      <c r="E39" s="0" t="n">
        <v>1</v>
      </c>
      <c r="G39" s="0" t="str">
        <f aca="false">"INSERT INTO PRODUTO (prd_id, prd_cat_id, prd_nome, prd_var, prd_atv) VALUES ("&amp;A39&amp;", "&amp;B39&amp;", '"&amp;C39&amp;"', '"&amp;D39&amp;"', "&amp;E39&amp;");"</f>
        <v>INSERT INTO PRODUTO (prd_id, prd_cat_id, prd_nome, prd_var, prd_atv) VALUES (38, 10, 'Caqui', 'Rama Forte', 1);</v>
      </c>
    </row>
    <row r="40" customFormat="false" ht="14.25" hidden="false" customHeight="false" outlineLevel="0" collapsed="false">
      <c r="A40" s="0" t="n">
        <v>39</v>
      </c>
      <c r="B40" s="0" t="n">
        <v>10</v>
      </c>
      <c r="C40" s="0" t="s">
        <v>73</v>
      </c>
      <c r="E40" s="0" t="n">
        <v>1</v>
      </c>
      <c r="G40" s="0" t="str">
        <f aca="false">"INSERT INTO PRODUTO (prd_id, prd_cat_id, prd_nome, prd_var, prd_atv) VALUES ("&amp;A40&amp;", "&amp;B40&amp;", '"&amp;C40&amp;"', '"&amp;D40&amp;"', "&amp;E40&amp;");"</f>
        <v>INSERT INTO PRODUTO (prd_id, prd_cat_id, prd_nome, prd_var, prd_atv) VALUES (39, 10, 'Goiaba', '', 1);</v>
      </c>
    </row>
    <row r="41" customFormat="false" ht="14.25" hidden="false" customHeight="false" outlineLevel="0" collapsed="false">
      <c r="A41" s="0" t="n">
        <v>40</v>
      </c>
      <c r="B41" s="0" t="n">
        <v>10</v>
      </c>
      <c r="C41" s="0" t="s">
        <v>774</v>
      </c>
      <c r="D41" s="0" t="s">
        <v>775</v>
      </c>
      <c r="E41" s="0" t="n">
        <v>1</v>
      </c>
      <c r="G41" s="0" t="str">
        <f aca="false">"INSERT INTO PRODUTO (prd_id, prd_cat_id, prd_nome, prd_var, prd_atv) VALUES ("&amp;A41&amp;", "&amp;B41&amp;", '"&amp;C41&amp;"', '"&amp;D41&amp;"', "&amp;E41&amp;");"</f>
        <v>INSERT INTO PRODUTO (prd_id, prd_cat_id, prd_nome, prd_var, prd_atv) VALUES (40, 10, 'Mexerica', 'Ponkan', 1);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H2" activeCellId="0" sqref="H2"/>
    </sheetView>
  </sheetViews>
  <sheetFormatPr defaultColWidth="8.44531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776</v>
      </c>
      <c r="B1" s="0" t="s">
        <v>777</v>
      </c>
      <c r="C1" s="0" t="s">
        <v>778</v>
      </c>
      <c r="D1" s="0" t="s">
        <v>779</v>
      </c>
      <c r="E1" s="0" t="s">
        <v>780</v>
      </c>
      <c r="F1" s="0" t="s">
        <v>781</v>
      </c>
    </row>
    <row r="2" customFormat="false" ht="14.25" hidden="false" customHeight="false" outlineLevel="0" collapsed="false">
      <c r="A2" s="0" t="n">
        <v>1</v>
      </c>
      <c r="B2" s="0" t="n">
        <v>1</v>
      </c>
      <c r="C2" s="0" t="n">
        <v>3</v>
      </c>
      <c r="D2" s="0" t="n">
        <v>1</v>
      </c>
      <c r="F2" s="25" t="n">
        <v>1</v>
      </c>
      <c r="G2" s="0" t="str">
        <f aca="false">"INSERT INTO PRODUTO_APRESENTACAO (pap_id, pap_prd_id, pap_tap_id, pap_qtd, pap_umd_id, pap_atv) VALUES ("&amp;A2&amp;", "&amp;B2&amp;", "&amp;C2&amp;", "&amp;D2&amp;", "&amp;IF(E2="","NULL",E2)&amp;", "&amp;F2&amp;");"</f>
        <v>INSERT INTO PRODUTO_APRESENTACAO (pap_id, pap_prd_id, pap_tap_id, pap_qtd, pap_umd_id, pap_atv) VALUES (1, 1, 3, 1, NULL, 1);</v>
      </c>
      <c r="H2" s="0" t="str">
        <f aca="false">"UPDATE PRODUTO_APRESENTACAO SET pap_prd_id = "&amp;B2&amp;", pap_tap_id = "&amp;C2&amp;", pap_qtd = "&amp;D2&amp;", pap_umd_id = "&amp;IF(E2="","NULL",E2)&amp;", pap_atv = "&amp;F2&amp;" WHERE pap_id = "&amp;A2&amp;";"</f>
        <v>UPDATE PRODUTO_APRESENTACAO SET pap_prd_id = 1, pap_tap_id = 3, pap_qtd = 1, pap_umd_id = NULL, pap_atv = 1 WHERE pap_id = 1;</v>
      </c>
    </row>
    <row r="3" customFormat="false" ht="14.25" hidden="false" customHeight="false" outlineLevel="0" collapsed="false">
      <c r="A3" s="0" t="n">
        <v>2</v>
      </c>
      <c r="B3" s="0" t="n">
        <v>2</v>
      </c>
      <c r="C3" s="0" t="n">
        <v>3</v>
      </c>
      <c r="D3" s="0" t="n">
        <v>1</v>
      </c>
      <c r="F3" s="0" t="n">
        <v>1</v>
      </c>
      <c r="G3" s="0" t="str">
        <f aca="false">"INSERT INTO PRODUTO_APRESENTACAO (pap_id, pap_prd_id, pap_tap_id, pap_qtd, pap_umd_id, pap_atv) VALUES ("&amp;A3&amp;", "&amp;B3&amp;", "&amp;C3&amp;", "&amp;D3&amp;", "&amp;IF(E3="","NULL",E3)&amp;", "&amp;F3&amp;");"</f>
        <v>INSERT INTO PRODUTO_APRESENTACAO (pap_id, pap_prd_id, pap_tap_id, pap_qtd, pap_umd_id, pap_atv) VALUES (2, 2, 3, 1, NULL, 1);</v>
      </c>
      <c r="H3" s="0" t="str">
        <f aca="false">"UPDATE PRODUTO_APRESENTACAO SET pap_prd_id = "&amp;B3&amp;", pap_tap_id = "&amp;C3&amp;", pap_qtd = "&amp;D3&amp;", pap_umd_id = "&amp;IF(E3="","NULL",E3)&amp;", pap_atv = "&amp;F3&amp;" WHERE pap_id = "&amp;A3&amp;";"</f>
        <v>UPDATE PRODUTO_APRESENTACAO SET pap_prd_id = 2, pap_tap_id = 3, pap_qtd = 1, pap_umd_id = NULL, pap_atv = 1 WHERE pap_id = 2;</v>
      </c>
    </row>
    <row r="4" customFormat="false" ht="14.25" hidden="false" customHeight="false" outlineLevel="0" collapsed="false">
      <c r="A4" s="0" t="n">
        <v>3</v>
      </c>
      <c r="B4" s="0" t="n">
        <v>3</v>
      </c>
      <c r="C4" s="0" t="n">
        <v>3</v>
      </c>
      <c r="D4" s="0" t="n">
        <v>1</v>
      </c>
      <c r="F4" s="0" t="n">
        <v>1</v>
      </c>
      <c r="G4" s="0" t="str">
        <f aca="false">"INSERT INTO PRODUTO_APRESENTACAO (pap_id, pap_prd_id, pap_tap_id, pap_qtd, pap_umd_id, pap_atv) VALUES ("&amp;A4&amp;", "&amp;B4&amp;", "&amp;C4&amp;", "&amp;D4&amp;", "&amp;IF(E4="","NULL",E4)&amp;", "&amp;F4&amp;");"</f>
        <v>INSERT INTO PRODUTO_APRESENTACAO (pap_id, pap_prd_id, pap_tap_id, pap_qtd, pap_umd_id, pap_atv) VALUES (3, 3, 3, 1, NULL, 1);</v>
      </c>
      <c r="H4" s="0" t="str">
        <f aca="false">"UPDATE PRODUTO_APRESENTACAO SET pap_prd_id = "&amp;B4&amp;", pap_tap_id = "&amp;C4&amp;", pap_qtd = "&amp;D4&amp;", pap_umd_id = "&amp;IF(E4="","NULL",E4)&amp;", pap_atv = "&amp;F4&amp;" WHERE pap_id = "&amp;A4&amp;";"</f>
        <v>UPDATE PRODUTO_APRESENTACAO SET pap_prd_id = 3, pap_tap_id = 3, pap_qtd = 1, pap_umd_id = NULL, pap_atv = 1 WHERE pap_id = 3;</v>
      </c>
    </row>
    <row r="5" customFormat="false" ht="14.25" hidden="false" customHeight="false" outlineLevel="0" collapsed="false">
      <c r="A5" s="0" t="n">
        <v>4</v>
      </c>
      <c r="B5" s="0" t="n">
        <v>4</v>
      </c>
      <c r="C5" s="0" t="n">
        <v>3</v>
      </c>
      <c r="D5" s="0" t="n">
        <v>1</v>
      </c>
      <c r="F5" s="0" t="n">
        <v>1</v>
      </c>
      <c r="G5" s="0" t="str">
        <f aca="false">"INSERT INTO PRODUTO_APRESENTACAO (pap_id, pap_prd_id, pap_tap_id, pap_qtd, pap_umd_id, pap_atv) VALUES ("&amp;A5&amp;", "&amp;B5&amp;", "&amp;C5&amp;", "&amp;D5&amp;", "&amp;IF(E5="","NULL",E5)&amp;", "&amp;F5&amp;");"</f>
        <v>INSERT INTO PRODUTO_APRESENTACAO (pap_id, pap_prd_id, pap_tap_id, pap_qtd, pap_umd_id, pap_atv) VALUES (4, 4, 3, 1, NULL, 1);</v>
      </c>
      <c r="H5" s="0" t="str">
        <f aca="false">"UPDATE PRODUTO_APRESENTACAO SET pap_prd_id = "&amp;B5&amp;", pap_tap_id = "&amp;C5&amp;", pap_qtd = "&amp;D5&amp;", pap_umd_id = "&amp;IF(E5="","NULL",E5)&amp;", pap_atv = "&amp;F5&amp;" WHERE pap_id = "&amp;A5&amp;";"</f>
        <v>UPDATE PRODUTO_APRESENTACAO SET pap_prd_id = 4, pap_tap_id = 3, pap_qtd = 1, pap_umd_id = NULL, pap_atv = 1 WHERE pap_id = 4;</v>
      </c>
    </row>
    <row r="6" customFormat="false" ht="14.25" hidden="false" customHeight="false" outlineLevel="0" collapsed="false">
      <c r="A6" s="0" t="n">
        <v>5</v>
      </c>
      <c r="B6" s="0" t="n">
        <v>5</v>
      </c>
      <c r="C6" s="0" t="n">
        <v>3</v>
      </c>
      <c r="D6" s="0" t="n">
        <v>1</v>
      </c>
      <c r="F6" s="0" t="n">
        <v>1</v>
      </c>
      <c r="G6" s="0" t="str">
        <f aca="false">"INSERT INTO PRODUTO_APRESENTACAO (pap_id, pap_prd_id, pap_tap_id, pap_qtd, pap_umd_id, pap_atv) VALUES ("&amp;A6&amp;", "&amp;B6&amp;", "&amp;C6&amp;", "&amp;D6&amp;", "&amp;IF(E6="","NULL",E6)&amp;", "&amp;F6&amp;");"</f>
        <v>INSERT INTO PRODUTO_APRESENTACAO (pap_id, pap_prd_id, pap_tap_id, pap_qtd, pap_umd_id, pap_atv) VALUES (5, 5, 3, 1, NULL, 1);</v>
      </c>
      <c r="H6" s="0" t="str">
        <f aca="false">"UPDATE PRODUTO_APRESENTACAO SET pap_prd_id = "&amp;B6&amp;", pap_tap_id = "&amp;C6&amp;", pap_qtd = "&amp;D6&amp;", pap_umd_id = "&amp;IF(E6="","NULL",E6)&amp;", pap_atv = "&amp;F6&amp;" WHERE pap_id = "&amp;A6&amp;";"</f>
        <v>UPDATE PRODUTO_APRESENTACAO SET pap_prd_id = 5, pap_tap_id = 3, pap_qtd = 1, pap_umd_id = NULL, pap_atv = 1 WHERE pap_id = 5;</v>
      </c>
    </row>
    <row r="7" customFormat="false" ht="14.25" hidden="false" customHeight="false" outlineLevel="0" collapsed="false">
      <c r="A7" s="0" t="n">
        <v>6</v>
      </c>
      <c r="B7" s="0" t="n">
        <v>6</v>
      </c>
      <c r="C7" s="0" t="n">
        <v>3</v>
      </c>
      <c r="D7" s="0" t="n">
        <v>1</v>
      </c>
      <c r="F7" s="0" t="n">
        <v>1</v>
      </c>
      <c r="G7" s="0" t="str">
        <f aca="false">"INSERT INTO PRODUTO_APRESENTACAO (pap_id, pap_prd_id, pap_tap_id, pap_qtd, pap_umd_id, pap_atv) VALUES ("&amp;A7&amp;", "&amp;B7&amp;", "&amp;C7&amp;", "&amp;D7&amp;", "&amp;IF(E7="","NULL",E7)&amp;", "&amp;F7&amp;");"</f>
        <v>INSERT INTO PRODUTO_APRESENTACAO (pap_id, pap_prd_id, pap_tap_id, pap_qtd, pap_umd_id, pap_atv) VALUES (6, 6, 3, 1, NULL, 1);</v>
      </c>
      <c r="H7" s="0" t="str">
        <f aca="false">"UPDATE PRODUTO_APRESENTACAO SET pap_prd_id = "&amp;B7&amp;", pap_tap_id = "&amp;C7&amp;", pap_qtd = "&amp;D7&amp;", pap_umd_id = "&amp;IF(E7="","NULL",E7)&amp;", pap_atv = "&amp;F7&amp;" WHERE pap_id = "&amp;A7&amp;";"</f>
        <v>UPDATE PRODUTO_APRESENTACAO SET pap_prd_id = 6, pap_tap_id = 3, pap_qtd = 1, pap_umd_id = NULL, pap_atv = 1 WHERE pap_id = 6;</v>
      </c>
    </row>
    <row r="8" customFormat="false" ht="14.25" hidden="false" customHeight="false" outlineLevel="0" collapsed="false">
      <c r="A8" s="0" t="n">
        <v>7</v>
      </c>
      <c r="B8" s="0" t="n">
        <v>7</v>
      </c>
      <c r="C8" s="0" t="n">
        <v>3</v>
      </c>
      <c r="D8" s="0" t="n">
        <v>1</v>
      </c>
      <c r="F8" s="0" t="n">
        <v>1</v>
      </c>
      <c r="G8" s="0" t="str">
        <f aca="false">"INSERT INTO PRODUTO_APRESENTACAO (pap_id, pap_prd_id, pap_tap_id, pap_qtd, pap_umd_id, pap_atv) VALUES ("&amp;A8&amp;", "&amp;B8&amp;", "&amp;C8&amp;", "&amp;D8&amp;", "&amp;IF(E8="","NULL",E8)&amp;", "&amp;F8&amp;");"</f>
        <v>INSERT INTO PRODUTO_APRESENTACAO (pap_id, pap_prd_id, pap_tap_id, pap_qtd, pap_umd_id, pap_atv) VALUES (7, 7, 3, 1, NULL, 1);</v>
      </c>
      <c r="H8" s="0" t="str">
        <f aca="false">"UPDATE PRODUTO_APRESENTACAO SET pap_prd_id = "&amp;B8&amp;", pap_tap_id = "&amp;C8&amp;", pap_qtd = "&amp;D8&amp;", pap_umd_id = "&amp;IF(E8="","NULL",E8)&amp;", pap_atv = "&amp;F8&amp;" WHERE pap_id = "&amp;A8&amp;";"</f>
        <v>UPDATE PRODUTO_APRESENTACAO SET pap_prd_id = 7, pap_tap_id = 3, pap_qtd = 1, pap_umd_id = NULL, pap_atv = 1 WHERE pap_id = 7;</v>
      </c>
    </row>
    <row r="9" customFormat="false" ht="14.25" hidden="false" customHeight="false" outlineLevel="0" collapsed="false">
      <c r="A9" s="0" t="n">
        <v>8</v>
      </c>
      <c r="B9" s="0" t="n">
        <v>8</v>
      </c>
      <c r="C9" s="0" t="n">
        <v>3</v>
      </c>
      <c r="D9" s="0" t="n">
        <v>1</v>
      </c>
      <c r="F9" s="0" t="n">
        <v>1</v>
      </c>
      <c r="G9" s="0" t="str">
        <f aca="false">"INSERT INTO PRODUTO_APRESENTACAO (pap_id, pap_prd_id, pap_tap_id, pap_qtd, pap_umd_id, pap_atv) VALUES ("&amp;A9&amp;", "&amp;B9&amp;", "&amp;C9&amp;", "&amp;D9&amp;", "&amp;IF(E9="","NULL",E9)&amp;", "&amp;F9&amp;");"</f>
        <v>INSERT INTO PRODUTO_APRESENTACAO (pap_id, pap_prd_id, pap_tap_id, pap_qtd, pap_umd_id, pap_atv) VALUES (8, 8, 3, 1, NULL, 1);</v>
      </c>
      <c r="H9" s="0" t="str">
        <f aca="false">"UPDATE PRODUTO_APRESENTACAO SET pap_prd_id = "&amp;B9&amp;", pap_tap_id = "&amp;C9&amp;", pap_qtd = "&amp;D9&amp;", pap_umd_id = "&amp;IF(E9="","NULL",E9)&amp;", pap_atv = "&amp;F9&amp;" WHERE pap_id = "&amp;A9&amp;";"</f>
        <v>UPDATE PRODUTO_APRESENTACAO SET pap_prd_id = 8, pap_tap_id = 3, pap_qtd = 1, pap_umd_id = NULL, pap_atv = 1 WHERE pap_id = 8;</v>
      </c>
    </row>
    <row r="10" customFormat="false" ht="14.25" hidden="false" customHeight="false" outlineLevel="0" collapsed="false">
      <c r="A10" s="0" t="n">
        <v>9</v>
      </c>
      <c r="B10" s="0" t="n">
        <v>9</v>
      </c>
      <c r="C10" s="0" t="n">
        <v>3</v>
      </c>
      <c r="D10" s="0" t="n">
        <v>1</v>
      </c>
      <c r="F10" s="0" t="n">
        <v>1</v>
      </c>
      <c r="G10" s="0" t="str">
        <f aca="false">"INSERT INTO PRODUTO_APRESENTACAO (pap_id, pap_prd_id, pap_tap_id, pap_qtd, pap_umd_id, pap_atv) VALUES ("&amp;A10&amp;", "&amp;B10&amp;", "&amp;C10&amp;", "&amp;D10&amp;", "&amp;IF(E10="","NULL",E10)&amp;", "&amp;F10&amp;");"</f>
        <v>INSERT INTO PRODUTO_APRESENTACAO (pap_id, pap_prd_id, pap_tap_id, pap_qtd, pap_umd_id, pap_atv) VALUES (9, 9, 3, 1, NULL, 1);</v>
      </c>
      <c r="H10" s="0" t="str">
        <f aca="false">"UPDATE PRODUTO_APRESENTACAO SET pap_prd_id = "&amp;B10&amp;", pap_tap_id = "&amp;C10&amp;", pap_qtd = "&amp;D10&amp;", pap_umd_id = "&amp;IF(E10="","NULL",E10)&amp;", pap_atv = "&amp;F10&amp;" WHERE pap_id = "&amp;A10&amp;";"</f>
        <v>UPDATE PRODUTO_APRESENTACAO SET pap_prd_id = 9, pap_tap_id = 3, pap_qtd = 1, pap_umd_id = NULL, pap_atv = 1 WHERE pap_id = 9;</v>
      </c>
    </row>
    <row r="11" customFormat="false" ht="14.25" hidden="false" customHeight="false" outlineLevel="0" collapsed="false">
      <c r="A11" s="0" t="n">
        <v>10</v>
      </c>
      <c r="B11" s="0" t="n">
        <v>10</v>
      </c>
      <c r="C11" s="0" t="n">
        <v>3</v>
      </c>
      <c r="D11" s="0" t="n">
        <v>1</v>
      </c>
      <c r="F11" s="0" t="n">
        <v>1</v>
      </c>
      <c r="G11" s="0" t="str">
        <f aca="false">"INSERT INTO PRODUTO_APRESENTACAO (pap_id, pap_prd_id, pap_tap_id, pap_qtd, pap_umd_id, pap_atv) VALUES ("&amp;A11&amp;", "&amp;B11&amp;", "&amp;C11&amp;", "&amp;D11&amp;", "&amp;IF(E11="","NULL",E11)&amp;", "&amp;F11&amp;");"</f>
        <v>INSERT INTO PRODUTO_APRESENTACAO (pap_id, pap_prd_id, pap_tap_id, pap_qtd, pap_umd_id, pap_atv) VALUES (10, 10, 3, 1, NULL, 1);</v>
      </c>
      <c r="H11" s="0" t="str">
        <f aca="false">"UPDATE PRODUTO_APRESENTACAO SET pap_prd_id = "&amp;B11&amp;", pap_tap_id = "&amp;C11&amp;", pap_qtd = "&amp;D11&amp;", pap_umd_id = "&amp;IF(E11="","NULL",E11)&amp;", pap_atv = "&amp;F11&amp;" WHERE pap_id = "&amp;A11&amp;";"</f>
        <v>UPDATE PRODUTO_APRESENTACAO SET pap_prd_id = 10, pap_tap_id = 3, pap_qtd = 1, pap_umd_id = NULL, pap_atv = 1 WHERE pap_id = 10;</v>
      </c>
    </row>
    <row r="12" customFormat="false" ht="14.25" hidden="false" customHeight="false" outlineLevel="0" collapsed="false">
      <c r="A12" s="0" t="n">
        <v>11</v>
      </c>
      <c r="B12" s="0" t="n">
        <v>11</v>
      </c>
      <c r="C12" s="0" t="n">
        <v>3</v>
      </c>
      <c r="D12" s="0" t="n">
        <v>1</v>
      </c>
      <c r="F12" s="0" t="n">
        <v>1</v>
      </c>
      <c r="G12" s="0" t="str">
        <f aca="false">"INSERT INTO PRODUTO_APRESENTACAO (pap_id, pap_prd_id, pap_tap_id, pap_qtd, pap_umd_id, pap_atv) VALUES ("&amp;A12&amp;", "&amp;B12&amp;", "&amp;C12&amp;", "&amp;D12&amp;", "&amp;IF(E12="","NULL",E12)&amp;", "&amp;F12&amp;");"</f>
        <v>INSERT INTO PRODUTO_APRESENTACAO (pap_id, pap_prd_id, pap_tap_id, pap_qtd, pap_umd_id, pap_atv) VALUES (11, 11, 3, 1, NULL, 1);</v>
      </c>
      <c r="H12" s="0" t="str">
        <f aca="false">"UPDATE PRODUTO_APRESENTACAO SET pap_prd_id = "&amp;B12&amp;", pap_tap_id = "&amp;C12&amp;", pap_qtd = "&amp;D12&amp;", pap_umd_id = "&amp;IF(E12="","NULL",E12)&amp;", pap_atv = "&amp;F12&amp;" WHERE pap_id = "&amp;A12&amp;";"</f>
        <v>UPDATE PRODUTO_APRESENTACAO SET pap_prd_id = 11, pap_tap_id = 3, pap_qtd = 1, pap_umd_id = NULL, pap_atv = 1 WHERE pap_id = 11;</v>
      </c>
    </row>
    <row r="13" customFormat="false" ht="14.25" hidden="false" customHeight="false" outlineLevel="0" collapsed="false">
      <c r="A13" s="0" t="n">
        <v>12</v>
      </c>
      <c r="B13" s="0" t="n">
        <v>12</v>
      </c>
      <c r="C13" s="0" t="n">
        <v>3</v>
      </c>
      <c r="D13" s="0" t="n">
        <v>1</v>
      </c>
      <c r="F13" s="0" t="n">
        <v>1</v>
      </c>
      <c r="G13" s="0" t="str">
        <f aca="false">"INSERT INTO PRODUTO_APRESENTACAO (pap_id, pap_prd_id, pap_tap_id, pap_qtd, pap_umd_id, pap_atv) VALUES ("&amp;A13&amp;", "&amp;B13&amp;", "&amp;C13&amp;", "&amp;D13&amp;", "&amp;IF(E13="","NULL",E13)&amp;", "&amp;F13&amp;");"</f>
        <v>INSERT INTO PRODUTO_APRESENTACAO (pap_id, pap_prd_id, pap_tap_id, pap_qtd, pap_umd_id, pap_atv) VALUES (12, 12, 3, 1, NULL, 1);</v>
      </c>
      <c r="H13" s="0" t="str">
        <f aca="false">"UPDATE PRODUTO_APRESENTACAO SET pap_prd_id = "&amp;B13&amp;", pap_tap_id = "&amp;C13&amp;", pap_qtd = "&amp;D13&amp;", pap_umd_id = "&amp;IF(E13="","NULL",E13)&amp;", pap_atv = "&amp;F13&amp;" WHERE pap_id = "&amp;A13&amp;";"</f>
        <v>UPDATE PRODUTO_APRESENTACAO SET pap_prd_id = 12, pap_tap_id = 3, pap_qtd = 1, pap_umd_id = NULL, pap_atv = 1 WHERE pap_id = 12;</v>
      </c>
    </row>
    <row r="14" customFormat="false" ht="14.25" hidden="false" customHeight="false" outlineLevel="0" collapsed="false">
      <c r="A14" s="0" t="n">
        <v>13</v>
      </c>
      <c r="B14" s="0" t="n">
        <v>13</v>
      </c>
      <c r="C14" s="0" t="n">
        <v>2</v>
      </c>
      <c r="D14" s="0" t="n">
        <v>12</v>
      </c>
      <c r="F14" s="0" t="n">
        <v>1</v>
      </c>
      <c r="G14" s="0" t="str">
        <f aca="false">"INSERT INTO PRODUTO_APRESENTACAO (pap_id, pap_prd_id, pap_tap_id, pap_qtd, pap_umd_id, pap_atv) VALUES ("&amp;A14&amp;", "&amp;B14&amp;", "&amp;C14&amp;", "&amp;D14&amp;", "&amp;IF(E14="","NULL",E14)&amp;", "&amp;F14&amp;");"</f>
        <v>INSERT INTO PRODUTO_APRESENTACAO (pap_id, pap_prd_id, pap_tap_id, pap_qtd, pap_umd_id, pap_atv) VALUES (13, 13, 2, 12, NULL, 1);</v>
      </c>
      <c r="H14" s="0" t="str">
        <f aca="false">"UPDATE PRODUTO_APRESENTACAO SET pap_prd_id = "&amp;B14&amp;", pap_tap_id = "&amp;C14&amp;", pap_qtd = "&amp;D14&amp;", pap_umd_id = "&amp;IF(E14="","NULL",E14)&amp;", pap_atv = "&amp;F14&amp;" WHERE pap_id = "&amp;A14&amp;";"</f>
        <v>UPDATE PRODUTO_APRESENTACAO SET pap_prd_id = 13, pap_tap_id = 2, pap_qtd = 12, pap_umd_id = NULL, pap_atv = 1 WHERE pap_id = 13;</v>
      </c>
    </row>
    <row r="15" customFormat="false" ht="14.25" hidden="false" customHeight="false" outlineLevel="0" collapsed="false">
      <c r="A15" s="0" t="n">
        <v>14</v>
      </c>
      <c r="B15" s="0" t="n">
        <v>14</v>
      </c>
      <c r="C15" s="0" t="n">
        <v>3</v>
      </c>
      <c r="D15" s="0" t="n">
        <v>1</v>
      </c>
      <c r="F15" s="0" t="n">
        <v>1</v>
      </c>
      <c r="G15" s="0" t="str">
        <f aca="false">"INSERT INTO PRODUTO_APRESENTACAO (pap_id, pap_prd_id, pap_tap_id, pap_qtd, pap_umd_id, pap_atv) VALUES ("&amp;A15&amp;", "&amp;B15&amp;", "&amp;C15&amp;", "&amp;D15&amp;", "&amp;IF(E15="","NULL",E15)&amp;", "&amp;F15&amp;");"</f>
        <v>INSERT INTO PRODUTO_APRESENTACAO (pap_id, pap_prd_id, pap_tap_id, pap_qtd, pap_umd_id, pap_atv) VALUES (14, 14, 3, 1, NULL, 1);</v>
      </c>
      <c r="H15" s="0" t="str">
        <f aca="false">"UPDATE PRODUTO_APRESENTACAO SET pap_prd_id = "&amp;B15&amp;", pap_tap_id = "&amp;C15&amp;", pap_qtd = "&amp;D15&amp;", pap_umd_id = "&amp;IF(E15="","NULL",E15)&amp;", pap_atv = "&amp;F15&amp;" WHERE pap_id = "&amp;A15&amp;";"</f>
        <v>UPDATE PRODUTO_APRESENTACAO SET pap_prd_id = 14, pap_tap_id = 3, pap_qtd = 1, pap_umd_id = NULL, pap_atv = 1 WHERE pap_id = 14;</v>
      </c>
    </row>
    <row r="16" customFormat="false" ht="14.25" hidden="false" customHeight="false" outlineLevel="0" collapsed="false">
      <c r="A16" s="0" t="n">
        <v>15</v>
      </c>
      <c r="B16" s="0" t="n">
        <v>15</v>
      </c>
      <c r="C16" s="0" t="n">
        <v>3</v>
      </c>
      <c r="D16" s="0" t="n">
        <v>1</v>
      </c>
      <c r="F16" s="0" t="n">
        <v>1</v>
      </c>
      <c r="G16" s="0" t="str">
        <f aca="false">"INSERT INTO PRODUTO_APRESENTACAO (pap_id, pap_prd_id, pap_tap_id, pap_qtd, pap_umd_id, pap_atv) VALUES ("&amp;A16&amp;", "&amp;B16&amp;", "&amp;C16&amp;", "&amp;D16&amp;", "&amp;IF(E16="","NULL",E16)&amp;", "&amp;F16&amp;");"</f>
        <v>INSERT INTO PRODUTO_APRESENTACAO (pap_id, pap_prd_id, pap_tap_id, pap_qtd, pap_umd_id, pap_atv) VALUES (15, 15, 3, 1, NULL, 1);</v>
      </c>
      <c r="H16" s="0" t="str">
        <f aca="false">"UPDATE PRODUTO_APRESENTACAO SET pap_prd_id = "&amp;B16&amp;", pap_tap_id = "&amp;C16&amp;", pap_qtd = "&amp;D16&amp;", pap_umd_id = "&amp;IF(E16="","NULL",E16)&amp;", pap_atv = "&amp;F16&amp;" WHERE pap_id = "&amp;A16&amp;";"</f>
        <v>UPDATE PRODUTO_APRESENTACAO SET pap_prd_id = 15, pap_tap_id = 3, pap_qtd = 1, pap_umd_id = NULL, pap_atv = 1 WHERE pap_id = 15;</v>
      </c>
    </row>
    <row r="17" customFormat="false" ht="14.25" hidden="false" customHeight="false" outlineLevel="0" collapsed="false">
      <c r="A17" s="0" t="n">
        <v>16</v>
      </c>
      <c r="B17" s="0" t="n">
        <v>16</v>
      </c>
      <c r="C17" s="0" t="n">
        <v>3</v>
      </c>
      <c r="D17" s="0" t="n">
        <v>1</v>
      </c>
      <c r="F17" s="0" t="n">
        <v>1</v>
      </c>
      <c r="G17" s="0" t="str">
        <f aca="false">"INSERT INTO PRODUTO_APRESENTACAO (pap_id, pap_prd_id, pap_tap_id, pap_qtd, pap_umd_id, pap_atv) VALUES ("&amp;A17&amp;", "&amp;B17&amp;", "&amp;C17&amp;", "&amp;D17&amp;", "&amp;IF(E17="","NULL",E17)&amp;", "&amp;F17&amp;");"</f>
        <v>INSERT INTO PRODUTO_APRESENTACAO (pap_id, pap_prd_id, pap_tap_id, pap_qtd, pap_umd_id, pap_atv) VALUES (16, 16, 3, 1, NULL, 1);</v>
      </c>
      <c r="H17" s="0" t="str">
        <f aca="false">"UPDATE PRODUTO_APRESENTACAO SET pap_prd_id = "&amp;B17&amp;", pap_tap_id = "&amp;C17&amp;", pap_qtd = "&amp;D17&amp;", pap_umd_id = "&amp;IF(E17="","NULL",E17)&amp;", pap_atv = "&amp;F17&amp;" WHERE pap_id = "&amp;A17&amp;";"</f>
        <v>UPDATE PRODUTO_APRESENTACAO SET pap_prd_id = 16, pap_tap_id = 3, pap_qtd = 1, pap_umd_id = NULL, pap_atv = 1 WHERE pap_id = 16;</v>
      </c>
    </row>
    <row r="18" customFormat="false" ht="14.25" hidden="false" customHeight="false" outlineLevel="0" collapsed="false">
      <c r="A18" s="0" t="n">
        <v>17</v>
      </c>
      <c r="B18" s="0" t="n">
        <v>17</v>
      </c>
      <c r="C18" s="0" t="n">
        <v>2</v>
      </c>
      <c r="D18" s="0" t="s">
        <v>782</v>
      </c>
      <c r="E18" s="0" t="n">
        <v>1</v>
      </c>
      <c r="F18" s="0" t="n">
        <v>1</v>
      </c>
      <c r="G18" s="0" t="str">
        <f aca="false">"INSERT INTO PRODUTO_APRESENTACAO (pap_id, pap_prd_id, pap_tap_id, pap_qtd, pap_umd_id, pap_atv) VALUES ("&amp;A18&amp;", "&amp;B18&amp;", "&amp;C18&amp;", "&amp;D18&amp;", "&amp;IF(E18="","NULL",E18)&amp;", "&amp;F18&amp;");"</f>
        <v>INSERT INTO PRODUTO_APRESENTACAO (pap_id, pap_prd_id, pap_tap_id, pap_qtd, pap_umd_id, pap_atv) VALUES (17, 17, 2, 0.5, 1, 1);</v>
      </c>
      <c r="H18" s="0" t="str">
        <f aca="false">"UPDATE PRODUTO_APRESENTACAO SET pap_prd_id = "&amp;B18&amp;", pap_tap_id = "&amp;C18&amp;", pap_qtd = "&amp;D18&amp;", pap_umd_id = "&amp;IF(E18="","NULL",E18)&amp;", pap_atv = "&amp;F18&amp;" WHERE pap_id = "&amp;A18&amp;";"</f>
        <v>UPDATE PRODUTO_APRESENTACAO SET pap_prd_id = 17, pap_tap_id = 2, pap_qtd = 0.5, pap_umd_id = 1, pap_atv = 1 WHERE pap_id = 17;</v>
      </c>
    </row>
    <row r="19" customFormat="false" ht="14.25" hidden="false" customHeight="false" outlineLevel="0" collapsed="false">
      <c r="A19" s="0" t="n">
        <v>18</v>
      </c>
      <c r="B19" s="0" t="n">
        <v>18</v>
      </c>
      <c r="C19" s="0" t="n">
        <v>2</v>
      </c>
      <c r="D19" s="0" t="n">
        <v>2</v>
      </c>
      <c r="E19" s="0" t="n">
        <v>1</v>
      </c>
      <c r="F19" s="0" t="n">
        <v>1</v>
      </c>
      <c r="G19" s="0" t="str">
        <f aca="false">"INSERT INTO PRODUTO_APRESENTACAO (pap_id, pap_prd_id, pap_tap_id, pap_qtd, pap_umd_id, pap_atv) VALUES ("&amp;A19&amp;", "&amp;B19&amp;", "&amp;C19&amp;", "&amp;D19&amp;", "&amp;IF(E19="","NULL",E19)&amp;", "&amp;F19&amp;");"</f>
        <v>INSERT INTO PRODUTO_APRESENTACAO (pap_id, pap_prd_id, pap_tap_id, pap_qtd, pap_umd_id, pap_atv) VALUES (18, 18, 2, 2, 1, 1);</v>
      </c>
      <c r="H19" s="0" t="str">
        <f aca="false">"UPDATE PRODUTO_APRESENTACAO SET pap_prd_id = "&amp;B19&amp;", pap_tap_id = "&amp;C19&amp;", pap_qtd = "&amp;D19&amp;", pap_umd_id = "&amp;IF(E19="","NULL",E19)&amp;", pap_atv = "&amp;F19&amp;" WHERE pap_id = "&amp;A19&amp;";"</f>
        <v>UPDATE PRODUTO_APRESENTACAO SET pap_prd_id = 18, pap_tap_id = 2, pap_qtd = 2, pap_umd_id = 1, pap_atv = 1 WHERE pap_id = 18;</v>
      </c>
    </row>
    <row r="20" customFormat="false" ht="14.25" hidden="false" customHeight="false" outlineLevel="0" collapsed="false">
      <c r="A20" s="0" t="n">
        <v>19</v>
      </c>
      <c r="B20" s="0" t="n">
        <v>19</v>
      </c>
      <c r="C20" s="0" t="n">
        <v>2</v>
      </c>
      <c r="D20" s="0" t="n">
        <v>2</v>
      </c>
      <c r="E20" s="0" t="n">
        <v>1</v>
      </c>
      <c r="F20" s="0" t="n">
        <v>1</v>
      </c>
      <c r="G20" s="0" t="str">
        <f aca="false">"INSERT INTO PRODUTO_APRESENTACAO (pap_id, pap_prd_id, pap_tap_id, pap_qtd, pap_umd_id, pap_atv) VALUES ("&amp;A20&amp;", "&amp;B20&amp;", "&amp;C20&amp;", "&amp;D20&amp;", "&amp;IF(E20="","NULL",E20)&amp;", "&amp;F20&amp;");"</f>
        <v>INSERT INTO PRODUTO_APRESENTACAO (pap_id, pap_prd_id, pap_tap_id, pap_qtd, pap_umd_id, pap_atv) VALUES (19, 19, 2, 2, 1, 1);</v>
      </c>
      <c r="H20" s="0" t="str">
        <f aca="false">"UPDATE PRODUTO_APRESENTACAO SET pap_prd_id = "&amp;B20&amp;", pap_tap_id = "&amp;C20&amp;", pap_qtd = "&amp;D20&amp;", pap_umd_id = "&amp;IF(E20="","NULL",E20)&amp;", pap_atv = "&amp;F20&amp;" WHERE pap_id = "&amp;A20&amp;";"</f>
        <v>UPDATE PRODUTO_APRESENTACAO SET pap_prd_id = 19, pap_tap_id = 2, pap_qtd = 2, pap_umd_id = 1, pap_atv = 1 WHERE pap_id = 19;</v>
      </c>
    </row>
    <row r="21" customFormat="false" ht="14.25" hidden="false" customHeight="false" outlineLevel="0" collapsed="false">
      <c r="A21" s="0" t="n">
        <v>20</v>
      </c>
      <c r="B21" s="0" t="n">
        <v>20</v>
      </c>
      <c r="C21" s="0" t="n">
        <v>1</v>
      </c>
      <c r="D21" s="0" t="n">
        <v>30</v>
      </c>
      <c r="E21" s="0" t="n">
        <v>1</v>
      </c>
      <c r="F21" s="0" t="n">
        <v>1</v>
      </c>
      <c r="G21" s="0" t="str">
        <f aca="false">"INSERT INTO PRODUTO_APRESENTACAO (pap_id, pap_prd_id, pap_tap_id, pap_qtd, pap_umd_id, pap_atv) VALUES ("&amp;A21&amp;", "&amp;B21&amp;", "&amp;C21&amp;", "&amp;D21&amp;", "&amp;IF(E21="","NULL",E21)&amp;", "&amp;F21&amp;");"</f>
        <v>INSERT INTO PRODUTO_APRESENTACAO (pap_id, pap_prd_id, pap_tap_id, pap_qtd, pap_umd_id, pap_atv) VALUES (20, 20, 1, 30, 1, 1);</v>
      </c>
      <c r="H21" s="0" t="str">
        <f aca="false">"UPDATE PRODUTO_APRESENTACAO SET pap_prd_id = "&amp;B21&amp;", pap_tap_id = "&amp;C21&amp;", pap_qtd = "&amp;D21&amp;", pap_umd_id = "&amp;IF(E21="","NULL",E21)&amp;", pap_atv = "&amp;F21&amp;" WHERE pap_id = "&amp;A21&amp;";"</f>
        <v>UPDATE PRODUTO_APRESENTACAO SET pap_prd_id = 20, pap_tap_id = 1, pap_qtd = 30, pap_umd_id = 1, pap_atv = 1 WHERE pap_id = 20;</v>
      </c>
    </row>
    <row r="22" customFormat="false" ht="14.25" hidden="false" customHeight="false" outlineLevel="0" collapsed="false">
      <c r="A22" s="0" t="n">
        <v>21</v>
      </c>
      <c r="B22" s="0" t="n">
        <v>21</v>
      </c>
      <c r="C22" s="0" t="n">
        <v>1</v>
      </c>
      <c r="D22" s="0" t="n">
        <v>17</v>
      </c>
      <c r="E22" s="0" t="n">
        <v>1</v>
      </c>
      <c r="F22" s="0" t="n">
        <v>1</v>
      </c>
      <c r="G22" s="0" t="str">
        <f aca="false">"INSERT INTO PRODUTO_APRESENTACAO (pap_id, pap_prd_id, pap_tap_id, pap_qtd, pap_umd_id, pap_atv) VALUES ("&amp;A22&amp;", "&amp;B22&amp;", "&amp;C22&amp;", "&amp;D22&amp;", "&amp;IF(E22="","NULL",E22)&amp;", "&amp;F22&amp;");"</f>
        <v>INSERT INTO PRODUTO_APRESENTACAO (pap_id, pap_prd_id, pap_tap_id, pap_qtd, pap_umd_id, pap_atv) VALUES (21, 21, 1, 17, 1, 1);</v>
      </c>
      <c r="H22" s="0" t="str">
        <f aca="false">"UPDATE PRODUTO_APRESENTACAO SET pap_prd_id = "&amp;B22&amp;", pap_tap_id = "&amp;C22&amp;", pap_qtd = "&amp;D22&amp;", pap_umd_id = "&amp;IF(E22="","NULL",E22)&amp;", pap_atv = "&amp;F22&amp;" WHERE pap_id = "&amp;A22&amp;";"</f>
        <v>UPDATE PRODUTO_APRESENTACAO SET pap_prd_id = 21, pap_tap_id = 1, pap_qtd = 17, pap_umd_id = 1, pap_atv = 1 WHERE pap_id = 21;</v>
      </c>
    </row>
    <row r="23" customFormat="false" ht="14.25" hidden="false" customHeight="false" outlineLevel="0" collapsed="false">
      <c r="A23" s="0" t="n">
        <v>22</v>
      </c>
      <c r="B23" s="0" t="n">
        <v>22</v>
      </c>
      <c r="C23" s="0" t="n">
        <v>1</v>
      </c>
      <c r="D23" s="0" t="n">
        <v>18</v>
      </c>
      <c r="E23" s="0" t="n">
        <v>1</v>
      </c>
      <c r="F23" s="0" t="n">
        <v>1</v>
      </c>
      <c r="G23" s="0" t="str">
        <f aca="false">"INSERT INTO PRODUTO_APRESENTACAO (pap_id, pap_prd_id, pap_tap_id, pap_qtd, pap_umd_id, pap_atv) VALUES ("&amp;A23&amp;", "&amp;B23&amp;", "&amp;C23&amp;", "&amp;D23&amp;", "&amp;IF(E23="","NULL",E23)&amp;", "&amp;F23&amp;");"</f>
        <v>INSERT INTO PRODUTO_APRESENTACAO (pap_id, pap_prd_id, pap_tap_id, pap_qtd, pap_umd_id, pap_atv) VALUES (22, 22, 1, 18, 1, 1);</v>
      </c>
      <c r="H23" s="0" t="str">
        <f aca="false">"UPDATE PRODUTO_APRESENTACAO SET pap_prd_id = "&amp;B23&amp;", pap_tap_id = "&amp;C23&amp;", pap_qtd = "&amp;D23&amp;", pap_umd_id = "&amp;IF(E23="","NULL",E23)&amp;", pap_atv = "&amp;F23&amp;" WHERE pap_id = "&amp;A23&amp;";"</f>
        <v>UPDATE PRODUTO_APRESENTACAO SET pap_prd_id = 22, pap_tap_id = 1, pap_qtd = 18, pap_umd_id = 1, pap_atv = 1 WHERE pap_id = 22;</v>
      </c>
    </row>
    <row r="24" customFormat="false" ht="14.25" hidden="false" customHeight="false" outlineLevel="0" collapsed="false">
      <c r="A24" s="0" t="n">
        <v>23</v>
      </c>
      <c r="B24" s="0" t="n">
        <v>23</v>
      </c>
      <c r="C24" s="0" t="n">
        <v>1</v>
      </c>
      <c r="D24" s="0" t="n">
        <v>10</v>
      </c>
      <c r="E24" s="0" t="n">
        <v>1</v>
      </c>
      <c r="F24" s="0" t="n">
        <v>1</v>
      </c>
      <c r="G24" s="0" t="str">
        <f aca="false">"INSERT INTO PRODUTO_APRESENTACAO (pap_id, pap_prd_id, pap_tap_id, pap_qtd, pap_umd_id, pap_atv) VALUES ("&amp;A24&amp;", "&amp;B24&amp;", "&amp;C24&amp;", "&amp;D24&amp;", "&amp;IF(E24="","NULL",E24)&amp;", "&amp;F24&amp;");"</f>
        <v>INSERT INTO PRODUTO_APRESENTACAO (pap_id, pap_prd_id, pap_tap_id, pap_qtd, pap_umd_id, pap_atv) VALUES (23, 23, 1, 10, 1, 1);</v>
      </c>
      <c r="H24" s="0" t="str">
        <f aca="false">"UPDATE PRODUTO_APRESENTACAO SET pap_prd_id = "&amp;B24&amp;", pap_tap_id = "&amp;C24&amp;", pap_qtd = "&amp;D24&amp;", pap_umd_id = "&amp;IF(E24="","NULL",E24)&amp;", pap_atv = "&amp;F24&amp;" WHERE pap_id = "&amp;A24&amp;";"</f>
        <v>UPDATE PRODUTO_APRESENTACAO SET pap_prd_id = 23, pap_tap_id = 1, pap_qtd = 10, pap_umd_id = 1, pap_atv = 1 WHERE pap_id = 23;</v>
      </c>
    </row>
    <row r="25" customFormat="false" ht="14.25" hidden="false" customHeight="false" outlineLevel="0" collapsed="false">
      <c r="A25" s="0" t="n">
        <v>24</v>
      </c>
      <c r="B25" s="0" t="n">
        <v>24</v>
      </c>
      <c r="C25" s="0" t="n">
        <v>1</v>
      </c>
      <c r="D25" s="0" t="n">
        <v>10</v>
      </c>
      <c r="E25" s="0" t="n">
        <v>1</v>
      </c>
      <c r="F25" s="0" t="n">
        <v>1</v>
      </c>
      <c r="G25" s="0" t="str">
        <f aca="false">"INSERT INTO PRODUTO_APRESENTACAO (pap_id, pap_prd_id, pap_tap_id, pap_qtd, pap_umd_id, pap_atv) VALUES ("&amp;A25&amp;", "&amp;B25&amp;", "&amp;C25&amp;", "&amp;D25&amp;", "&amp;IF(E25="","NULL",E25)&amp;", "&amp;F25&amp;");"</f>
        <v>INSERT INTO PRODUTO_APRESENTACAO (pap_id, pap_prd_id, pap_tap_id, pap_qtd, pap_umd_id, pap_atv) VALUES (24, 24, 1, 10, 1, 1);</v>
      </c>
      <c r="H25" s="0" t="str">
        <f aca="false">"UPDATE PRODUTO_APRESENTACAO SET pap_prd_id = "&amp;B25&amp;", pap_tap_id = "&amp;C25&amp;", pap_qtd = "&amp;D25&amp;", pap_umd_id = "&amp;IF(E25="","NULL",E25)&amp;", pap_atv = "&amp;F25&amp;" WHERE pap_id = "&amp;A25&amp;";"</f>
        <v>UPDATE PRODUTO_APRESENTACAO SET pap_prd_id = 24, pap_tap_id = 1, pap_qtd = 10, pap_umd_id = 1, pap_atv = 1 WHERE pap_id = 24;</v>
      </c>
    </row>
    <row r="26" customFormat="false" ht="14.25" hidden="false" customHeight="false" outlineLevel="0" collapsed="false">
      <c r="A26" s="0" t="n">
        <v>25</v>
      </c>
      <c r="B26" s="0" t="n">
        <v>25</v>
      </c>
      <c r="C26" s="0" t="n">
        <v>1</v>
      </c>
      <c r="D26" s="0" t="n">
        <v>20</v>
      </c>
      <c r="E26" s="0" t="n">
        <v>1</v>
      </c>
      <c r="F26" s="0" t="n">
        <v>1</v>
      </c>
      <c r="G26" s="0" t="str">
        <f aca="false">"INSERT INTO PRODUTO_APRESENTACAO (pap_id, pap_prd_id, pap_tap_id, pap_qtd, pap_umd_id, pap_atv) VALUES ("&amp;A26&amp;", "&amp;B26&amp;", "&amp;C26&amp;", "&amp;D26&amp;", "&amp;IF(E26="","NULL",E26)&amp;", "&amp;F26&amp;");"</f>
        <v>INSERT INTO PRODUTO_APRESENTACAO (pap_id, pap_prd_id, pap_tap_id, pap_qtd, pap_umd_id, pap_atv) VALUES (25, 25, 1, 20, 1, 1);</v>
      </c>
      <c r="H26" s="0" t="str">
        <f aca="false">"UPDATE PRODUTO_APRESENTACAO SET pap_prd_id = "&amp;B26&amp;", pap_tap_id = "&amp;C26&amp;", pap_qtd = "&amp;D26&amp;", pap_umd_id = "&amp;IF(E26="","NULL",E26)&amp;", pap_atv = "&amp;F26&amp;" WHERE pap_id = "&amp;A26&amp;";"</f>
        <v>UPDATE PRODUTO_APRESENTACAO SET pap_prd_id = 25, pap_tap_id = 1, pap_qtd = 20, pap_umd_id = 1, pap_atv = 1 WHERE pap_id = 25;</v>
      </c>
    </row>
    <row r="27" customFormat="false" ht="14.25" hidden="false" customHeight="false" outlineLevel="0" collapsed="false">
      <c r="A27" s="0" t="n">
        <v>26</v>
      </c>
      <c r="B27" s="0" t="n">
        <v>26</v>
      </c>
      <c r="C27" s="0" t="n">
        <v>1</v>
      </c>
      <c r="D27" s="0" t="n">
        <v>18</v>
      </c>
      <c r="E27" s="0" t="n">
        <v>1</v>
      </c>
      <c r="F27" s="0" t="n">
        <v>1</v>
      </c>
      <c r="G27" s="0" t="str">
        <f aca="false">"INSERT INTO PRODUTO_APRESENTACAO (pap_id, pap_prd_id, pap_tap_id, pap_qtd, pap_umd_id, pap_atv) VALUES ("&amp;A27&amp;", "&amp;B27&amp;", "&amp;C27&amp;", "&amp;D27&amp;", "&amp;IF(E27="","NULL",E27)&amp;", "&amp;F27&amp;");"</f>
        <v>INSERT INTO PRODUTO_APRESENTACAO (pap_id, pap_prd_id, pap_tap_id, pap_qtd, pap_umd_id, pap_atv) VALUES (26, 26, 1, 18, 1, 1);</v>
      </c>
      <c r="H27" s="0" t="str">
        <f aca="false">"UPDATE PRODUTO_APRESENTACAO SET pap_prd_id = "&amp;B27&amp;", pap_tap_id = "&amp;C27&amp;", pap_qtd = "&amp;D27&amp;", pap_umd_id = "&amp;IF(E27="","NULL",E27)&amp;", pap_atv = "&amp;F27&amp;" WHERE pap_id = "&amp;A27&amp;";"</f>
        <v>UPDATE PRODUTO_APRESENTACAO SET pap_prd_id = 26, pap_tap_id = 1, pap_qtd = 18, pap_umd_id = 1, pap_atv = 1 WHERE pap_id = 26;</v>
      </c>
    </row>
    <row r="28" customFormat="false" ht="14.25" hidden="false" customHeight="false" outlineLevel="0" collapsed="false">
      <c r="A28" s="0" t="n">
        <v>27</v>
      </c>
      <c r="B28" s="0" t="n">
        <v>27</v>
      </c>
      <c r="C28" s="0" t="n">
        <v>1</v>
      </c>
      <c r="D28" s="0" t="n">
        <v>18</v>
      </c>
      <c r="E28" s="0" t="n">
        <v>1</v>
      </c>
      <c r="F28" s="0" t="n">
        <v>1</v>
      </c>
      <c r="G28" s="0" t="str">
        <f aca="false">"INSERT INTO PRODUTO_APRESENTACAO (pap_id, pap_prd_id, pap_tap_id, pap_qtd, pap_umd_id, pap_atv) VALUES ("&amp;A28&amp;", "&amp;B28&amp;", "&amp;C28&amp;", "&amp;D28&amp;", "&amp;IF(E28="","NULL",E28)&amp;", "&amp;F28&amp;");"</f>
        <v>INSERT INTO PRODUTO_APRESENTACAO (pap_id, pap_prd_id, pap_tap_id, pap_qtd, pap_umd_id, pap_atv) VALUES (27, 27, 1, 18, 1, 1);</v>
      </c>
      <c r="H28" s="0" t="str">
        <f aca="false">"UPDATE PRODUTO_APRESENTACAO SET pap_prd_id = "&amp;B28&amp;", pap_tap_id = "&amp;C28&amp;", pap_qtd = "&amp;D28&amp;", pap_umd_id = "&amp;IF(E28="","NULL",E28)&amp;", pap_atv = "&amp;F28&amp;" WHERE pap_id = "&amp;A28&amp;";"</f>
        <v>UPDATE PRODUTO_APRESENTACAO SET pap_prd_id = 27, pap_tap_id = 1, pap_qtd = 18, pap_umd_id = 1, pap_atv = 1 WHERE pap_id = 27;</v>
      </c>
    </row>
    <row r="29" customFormat="false" ht="14.25" hidden="false" customHeight="false" outlineLevel="0" collapsed="false">
      <c r="A29" s="0" t="n">
        <v>28</v>
      </c>
      <c r="B29" s="0" t="n">
        <v>28</v>
      </c>
      <c r="C29" s="0" t="n">
        <v>1</v>
      </c>
      <c r="D29" s="0" t="n">
        <v>17</v>
      </c>
      <c r="E29" s="0" t="n">
        <v>1</v>
      </c>
      <c r="F29" s="0" t="n">
        <v>1</v>
      </c>
      <c r="G29" s="0" t="str">
        <f aca="false">"INSERT INTO PRODUTO_APRESENTACAO (pap_id, pap_prd_id, pap_tap_id, pap_qtd, pap_umd_id, pap_atv) VALUES ("&amp;A29&amp;", "&amp;B29&amp;", "&amp;C29&amp;", "&amp;D29&amp;", "&amp;IF(E29="","NULL",E29)&amp;", "&amp;F29&amp;");"</f>
        <v>INSERT INTO PRODUTO_APRESENTACAO (pap_id, pap_prd_id, pap_tap_id, pap_qtd, pap_umd_id, pap_atv) VALUES (28, 28, 1, 17, 1, 1);</v>
      </c>
      <c r="H29" s="0" t="str">
        <f aca="false">"UPDATE PRODUTO_APRESENTACAO SET pap_prd_id = "&amp;B29&amp;", pap_tap_id = "&amp;C29&amp;", pap_qtd = "&amp;D29&amp;", pap_umd_id = "&amp;IF(E29="","NULL",E29)&amp;", pap_atv = "&amp;F29&amp;" WHERE pap_id = "&amp;A29&amp;";"</f>
        <v>UPDATE PRODUTO_APRESENTACAO SET pap_prd_id = 28, pap_tap_id = 1, pap_qtd = 17, pap_umd_id = 1, pap_atv = 1 WHERE pap_id = 28;</v>
      </c>
    </row>
    <row r="30" customFormat="false" ht="14.25" hidden="false" customHeight="false" outlineLevel="0" collapsed="false">
      <c r="A30" s="0" t="n">
        <v>29</v>
      </c>
      <c r="B30" s="0" t="n">
        <v>29</v>
      </c>
      <c r="C30" s="0" t="n">
        <v>1</v>
      </c>
      <c r="D30" s="0" t="n">
        <v>18</v>
      </c>
      <c r="E30" s="0" t="n">
        <v>1</v>
      </c>
      <c r="F30" s="0" t="n">
        <v>1</v>
      </c>
      <c r="G30" s="0" t="str">
        <f aca="false">"INSERT INTO PRODUTO_APRESENTACAO (pap_id, pap_prd_id, pap_tap_id, pap_qtd, pap_umd_id, pap_atv) VALUES ("&amp;A30&amp;", "&amp;B30&amp;", "&amp;C30&amp;", "&amp;D30&amp;", "&amp;IF(E30="","NULL",E30)&amp;", "&amp;F30&amp;");"</f>
        <v>INSERT INTO PRODUTO_APRESENTACAO (pap_id, pap_prd_id, pap_tap_id, pap_qtd, pap_umd_id, pap_atv) VALUES (29, 29, 1, 18, 1, 1);</v>
      </c>
      <c r="H30" s="0" t="str">
        <f aca="false">"UPDATE PRODUTO_APRESENTACAO SET pap_prd_id = "&amp;B30&amp;", pap_tap_id = "&amp;C30&amp;", pap_qtd = "&amp;D30&amp;", pap_umd_id = "&amp;IF(E30="","NULL",E30)&amp;", pap_atv = "&amp;F30&amp;" WHERE pap_id = "&amp;A30&amp;";"</f>
        <v>UPDATE PRODUTO_APRESENTACAO SET pap_prd_id = 29, pap_tap_id = 1, pap_qtd = 18, pap_umd_id = 1, pap_atv = 1 WHERE pap_id = 29;</v>
      </c>
    </row>
    <row r="31" customFormat="false" ht="14.25" hidden="false" customHeight="false" outlineLevel="0" collapsed="false">
      <c r="A31" s="0" t="n">
        <v>30</v>
      </c>
      <c r="B31" s="0" t="n">
        <v>30</v>
      </c>
      <c r="C31" s="0" t="n">
        <v>1</v>
      </c>
      <c r="D31" s="0" t="n">
        <v>17</v>
      </c>
      <c r="E31" s="0" t="n">
        <v>1</v>
      </c>
      <c r="F31" s="0" t="n">
        <v>1</v>
      </c>
      <c r="G31" s="0" t="str">
        <f aca="false">"INSERT INTO PRODUTO_APRESENTACAO (pap_id, pap_prd_id, pap_tap_id, pap_qtd, pap_umd_id, pap_atv) VALUES ("&amp;A31&amp;", "&amp;B31&amp;", "&amp;C31&amp;", "&amp;D31&amp;", "&amp;IF(E31="","NULL",E31)&amp;", "&amp;F31&amp;");"</f>
        <v>INSERT INTO PRODUTO_APRESENTACAO (pap_id, pap_prd_id, pap_tap_id, pap_qtd, pap_umd_id, pap_atv) VALUES (30, 30, 1, 17, 1, 1);</v>
      </c>
      <c r="H31" s="0" t="str">
        <f aca="false">"UPDATE PRODUTO_APRESENTACAO SET pap_prd_id = "&amp;B31&amp;", pap_tap_id = "&amp;C31&amp;", pap_qtd = "&amp;D31&amp;", pap_umd_id = "&amp;IF(E31="","NULL",E31)&amp;", pap_atv = "&amp;F31&amp;" WHERE pap_id = "&amp;A31&amp;";"</f>
        <v>UPDATE PRODUTO_APRESENTACAO SET pap_prd_id = 30, pap_tap_id = 1, pap_qtd = 17, pap_umd_id = 1, pap_atv = 1 WHERE pap_id = 30;</v>
      </c>
    </row>
    <row r="32" customFormat="false" ht="14.25" hidden="false" customHeight="false" outlineLevel="0" collapsed="false">
      <c r="A32" s="0" t="n">
        <v>31</v>
      </c>
      <c r="B32" s="0" t="n">
        <v>31</v>
      </c>
      <c r="C32" s="0" t="n">
        <v>1</v>
      </c>
      <c r="D32" s="0" t="n">
        <v>17</v>
      </c>
      <c r="E32" s="0" t="n">
        <v>1</v>
      </c>
      <c r="F32" s="0" t="n">
        <v>1</v>
      </c>
      <c r="G32" s="0" t="str">
        <f aca="false">"INSERT INTO PRODUTO_APRESENTACAO (pap_id, pap_prd_id, pap_tap_id, pap_qtd, pap_umd_id, pap_atv) VALUES ("&amp;A32&amp;", "&amp;B32&amp;", "&amp;C32&amp;", "&amp;D32&amp;", "&amp;IF(E32="","NULL",E32)&amp;", "&amp;F32&amp;");"</f>
        <v>INSERT INTO PRODUTO_APRESENTACAO (pap_id, pap_prd_id, pap_tap_id, pap_qtd, pap_umd_id, pap_atv) VALUES (31, 31, 1, 17, 1, 1);</v>
      </c>
      <c r="H32" s="0" t="str">
        <f aca="false">"UPDATE PRODUTO_APRESENTACAO SET pap_prd_id = "&amp;B32&amp;", pap_tap_id = "&amp;C32&amp;", pap_qtd = "&amp;D32&amp;", pap_umd_id = "&amp;IF(E32="","NULL",E32)&amp;", pap_atv = "&amp;F32&amp;" WHERE pap_id = "&amp;A32&amp;";"</f>
        <v>UPDATE PRODUTO_APRESENTACAO SET pap_prd_id = 31, pap_tap_id = 1, pap_qtd = 17, pap_umd_id = 1, pap_atv = 1 WHERE pap_id = 31;</v>
      </c>
    </row>
    <row r="33" customFormat="false" ht="14.25" hidden="false" customHeight="false" outlineLevel="0" collapsed="false">
      <c r="A33" s="0" t="n">
        <v>32</v>
      </c>
      <c r="B33" s="0" t="n">
        <v>32</v>
      </c>
      <c r="C33" s="0" t="n">
        <v>1</v>
      </c>
      <c r="D33" s="0" t="n">
        <v>10</v>
      </c>
      <c r="E33" s="0" t="n">
        <v>1</v>
      </c>
      <c r="F33" s="0" t="n">
        <v>1</v>
      </c>
      <c r="G33" s="0" t="str">
        <f aca="false">"INSERT INTO PRODUTO_APRESENTACAO (pap_id, pap_prd_id, pap_tap_id, pap_qtd, pap_umd_id, pap_atv) VALUES ("&amp;A33&amp;", "&amp;B33&amp;", "&amp;C33&amp;", "&amp;D33&amp;", "&amp;IF(E33="","NULL",E33)&amp;", "&amp;F33&amp;");"</f>
        <v>INSERT INTO PRODUTO_APRESENTACAO (pap_id, pap_prd_id, pap_tap_id, pap_qtd, pap_umd_id, pap_atv) VALUES (32, 32, 1, 10, 1, 1);</v>
      </c>
      <c r="H33" s="0" t="str">
        <f aca="false">"UPDATE PRODUTO_APRESENTACAO SET pap_prd_id = "&amp;B33&amp;", pap_tap_id = "&amp;C33&amp;", pap_qtd = "&amp;D33&amp;", pap_umd_id = "&amp;IF(E33="","NULL",E33)&amp;", pap_atv = "&amp;F33&amp;" WHERE pap_id = "&amp;A33&amp;";"</f>
        <v>UPDATE PRODUTO_APRESENTACAO SET pap_prd_id = 32, pap_tap_id = 1, pap_qtd = 10, pap_umd_id = 1, pap_atv = 1 WHERE pap_id = 32;</v>
      </c>
    </row>
    <row r="34" customFormat="false" ht="14.25" hidden="false" customHeight="false" outlineLevel="0" collapsed="false">
      <c r="A34" s="0" t="n">
        <v>33</v>
      </c>
      <c r="B34" s="0" t="n">
        <v>33</v>
      </c>
      <c r="C34" s="0" t="n">
        <v>1</v>
      </c>
      <c r="D34" s="0" t="n">
        <v>12</v>
      </c>
      <c r="E34" s="0" t="n">
        <v>1</v>
      </c>
      <c r="F34" s="0" t="n">
        <v>1</v>
      </c>
      <c r="G34" s="0" t="str">
        <f aca="false">"INSERT INTO PRODUTO_APRESENTACAO (pap_id, pap_prd_id, pap_tap_id, pap_qtd, pap_umd_id, pap_atv) VALUES ("&amp;A34&amp;", "&amp;B34&amp;", "&amp;C34&amp;", "&amp;D34&amp;", "&amp;IF(E34="","NULL",E34)&amp;", "&amp;F34&amp;");"</f>
        <v>INSERT INTO PRODUTO_APRESENTACAO (pap_id, pap_prd_id, pap_tap_id, pap_qtd, pap_umd_id, pap_atv) VALUES (33, 33, 1, 12, 1, 1);</v>
      </c>
      <c r="H34" s="0" t="str">
        <f aca="false">"UPDATE PRODUTO_APRESENTACAO SET pap_prd_id = "&amp;B34&amp;", pap_tap_id = "&amp;C34&amp;", pap_qtd = "&amp;D34&amp;", pap_umd_id = "&amp;IF(E34="","NULL",E34)&amp;", pap_atv = "&amp;F34&amp;" WHERE pap_id = "&amp;A34&amp;";"</f>
        <v>UPDATE PRODUTO_APRESENTACAO SET pap_prd_id = 33, pap_tap_id = 1, pap_qtd = 12, pap_umd_id = 1, pap_atv = 1 WHERE pap_id = 33;</v>
      </c>
    </row>
    <row r="35" customFormat="false" ht="14.25" hidden="false" customHeight="false" outlineLevel="0" collapsed="false">
      <c r="A35" s="0" t="n">
        <v>34</v>
      </c>
      <c r="B35" s="0" t="n">
        <v>34</v>
      </c>
      <c r="C35" s="0" t="n">
        <v>1</v>
      </c>
      <c r="D35" s="0" t="n">
        <v>17</v>
      </c>
      <c r="E35" s="0" t="n">
        <v>1</v>
      </c>
      <c r="F35" s="0" t="n">
        <v>1</v>
      </c>
      <c r="G35" s="0" t="str">
        <f aca="false">"INSERT INTO PRODUTO_APRESENTACAO (pap_id, pap_prd_id, pap_tap_id, pap_qtd, pap_umd_id, pap_atv) VALUES ("&amp;A35&amp;", "&amp;B35&amp;", "&amp;C35&amp;", "&amp;D35&amp;", "&amp;IF(E35="","NULL",E35)&amp;", "&amp;F35&amp;");"</f>
        <v>INSERT INTO PRODUTO_APRESENTACAO (pap_id, pap_prd_id, pap_tap_id, pap_qtd, pap_umd_id, pap_atv) VALUES (34, 34, 1, 17, 1, 1);</v>
      </c>
      <c r="H35" s="0" t="str">
        <f aca="false">"UPDATE PRODUTO_APRESENTACAO SET pap_prd_id = "&amp;B35&amp;", pap_tap_id = "&amp;C35&amp;", pap_qtd = "&amp;D35&amp;", pap_umd_id = "&amp;IF(E35="","NULL",E35)&amp;", pap_atv = "&amp;F35&amp;" WHERE pap_id = "&amp;A35&amp;";"</f>
        <v>UPDATE PRODUTO_APRESENTACAO SET pap_prd_id = 34, pap_tap_id = 1, pap_qtd = 17, pap_umd_id = 1, pap_atv = 1 WHERE pap_id = 34;</v>
      </c>
    </row>
    <row r="36" customFormat="false" ht="14.25" hidden="false" customHeight="false" outlineLevel="0" collapsed="false">
      <c r="A36" s="0" t="n">
        <v>35</v>
      </c>
      <c r="B36" s="0" t="n">
        <v>35</v>
      </c>
      <c r="C36" s="0" t="n">
        <v>1</v>
      </c>
      <c r="D36" s="0" t="n">
        <v>17</v>
      </c>
      <c r="E36" s="0" t="n">
        <v>1</v>
      </c>
      <c r="F36" s="0" t="n">
        <v>1</v>
      </c>
      <c r="G36" s="0" t="str">
        <f aca="false">"INSERT INTO PRODUTO_APRESENTACAO (pap_id, pap_prd_id, pap_tap_id, pap_qtd, pap_umd_id, pap_atv) VALUES ("&amp;A36&amp;", "&amp;B36&amp;", "&amp;C36&amp;", "&amp;D36&amp;", "&amp;IF(E36="","NULL",E36)&amp;", "&amp;F36&amp;");"</f>
        <v>INSERT INTO PRODUTO_APRESENTACAO (pap_id, pap_prd_id, pap_tap_id, pap_qtd, pap_umd_id, pap_atv) VALUES (35, 35, 1, 17, 1, 1);</v>
      </c>
      <c r="H36" s="0" t="str">
        <f aca="false">"UPDATE PRODUTO_APRESENTACAO SET pap_prd_id = "&amp;B36&amp;", pap_tap_id = "&amp;C36&amp;", pap_qtd = "&amp;D36&amp;", pap_umd_id = "&amp;IF(E36="","NULL",E36)&amp;", pap_atv = "&amp;F36&amp;" WHERE pap_id = "&amp;A36&amp;";"</f>
        <v>UPDATE PRODUTO_APRESENTACAO SET pap_prd_id = 35, pap_tap_id = 1, pap_qtd = 17, pap_umd_id = 1, pap_atv = 1 WHERE pap_id = 35;</v>
      </c>
    </row>
    <row r="37" customFormat="false" ht="14.25" hidden="false" customHeight="false" outlineLevel="0" collapsed="false">
      <c r="A37" s="0" t="n">
        <v>36</v>
      </c>
      <c r="B37" s="0" t="n">
        <v>36</v>
      </c>
      <c r="C37" s="0" t="n">
        <v>1</v>
      </c>
      <c r="D37" s="0" t="n">
        <v>17</v>
      </c>
      <c r="E37" s="0" t="n">
        <v>1</v>
      </c>
      <c r="F37" s="0" t="n">
        <v>1</v>
      </c>
      <c r="G37" s="0" t="str">
        <f aca="false">"INSERT INTO PRODUTO_APRESENTACAO (pap_id, pap_prd_id, pap_tap_id, pap_qtd, pap_umd_id, pap_atv) VALUES ("&amp;A37&amp;", "&amp;B37&amp;", "&amp;C37&amp;", "&amp;D37&amp;", "&amp;IF(E37="","NULL",E37)&amp;", "&amp;F37&amp;");"</f>
        <v>INSERT INTO PRODUTO_APRESENTACAO (pap_id, pap_prd_id, pap_tap_id, pap_qtd, pap_umd_id, pap_atv) VALUES (36, 36, 1, 17, 1, 1);</v>
      </c>
      <c r="H37" s="0" t="str">
        <f aca="false">"UPDATE PRODUTO_APRESENTACAO SET pap_prd_id = "&amp;B37&amp;", pap_tap_id = "&amp;C37&amp;", pap_qtd = "&amp;D37&amp;", pap_umd_id = "&amp;IF(E37="","NULL",E37)&amp;", pap_atv = "&amp;F37&amp;" WHERE pap_id = "&amp;A37&amp;";"</f>
        <v>UPDATE PRODUTO_APRESENTACAO SET pap_prd_id = 36, pap_tap_id = 1, pap_qtd = 17, pap_umd_id = 1, pap_atv = 1 WHERE pap_id = 36;</v>
      </c>
    </row>
    <row r="38" customFormat="false" ht="14.25" hidden="false" customHeight="false" outlineLevel="0" collapsed="false">
      <c r="A38" s="0" t="n">
        <v>37</v>
      </c>
      <c r="B38" s="0" t="n">
        <v>37</v>
      </c>
      <c r="C38" s="0" t="n">
        <v>1</v>
      </c>
      <c r="D38" s="0" t="n">
        <v>17</v>
      </c>
      <c r="E38" s="0" t="n">
        <v>1</v>
      </c>
      <c r="F38" s="0" t="n">
        <v>1</v>
      </c>
      <c r="G38" s="0" t="str">
        <f aca="false">"INSERT INTO PRODUTO_APRESENTACAO (pap_id, pap_prd_id, pap_tap_id, pap_qtd, pap_umd_id, pap_atv) VALUES ("&amp;A38&amp;", "&amp;B38&amp;", "&amp;C38&amp;", "&amp;D38&amp;", "&amp;IF(E38="","NULL",E38)&amp;", "&amp;F38&amp;");"</f>
        <v>INSERT INTO PRODUTO_APRESENTACAO (pap_id, pap_prd_id, pap_tap_id, pap_qtd, pap_umd_id, pap_atv) VALUES (37, 37, 1, 17, 1, 1);</v>
      </c>
      <c r="H38" s="0" t="str">
        <f aca="false">"UPDATE PRODUTO_APRESENTACAO SET pap_prd_id = "&amp;B38&amp;", pap_tap_id = "&amp;C38&amp;", pap_qtd = "&amp;D38&amp;", pap_umd_id = "&amp;IF(E38="","NULL",E38)&amp;", pap_atv = "&amp;F38&amp;" WHERE pap_id = "&amp;A38&amp;";"</f>
        <v>UPDATE PRODUTO_APRESENTACAO SET pap_prd_id = 37, pap_tap_id = 1, pap_qtd = 17, pap_umd_id = 1, pap_atv = 1 WHERE pap_id = 37;</v>
      </c>
    </row>
    <row r="39" customFormat="false" ht="14.25" hidden="false" customHeight="false" outlineLevel="0" collapsed="false">
      <c r="A39" s="0" t="n">
        <v>38</v>
      </c>
      <c r="B39" s="0" t="n">
        <v>38</v>
      </c>
      <c r="C39" s="0" t="n">
        <v>1</v>
      </c>
      <c r="D39" s="0" t="n">
        <v>17</v>
      </c>
      <c r="E39" s="0" t="n">
        <v>1</v>
      </c>
      <c r="F39" s="0" t="n">
        <v>1</v>
      </c>
      <c r="G39" s="0" t="str">
        <f aca="false">"INSERT INTO PRODUTO_APRESENTACAO (pap_id, pap_prd_id, pap_tap_id, pap_qtd, pap_umd_id, pap_atv) VALUES ("&amp;A39&amp;", "&amp;B39&amp;", "&amp;C39&amp;", "&amp;D39&amp;", "&amp;IF(E39="","NULL",E39)&amp;", "&amp;F39&amp;");"</f>
        <v>INSERT INTO PRODUTO_APRESENTACAO (pap_id, pap_prd_id, pap_tap_id, pap_qtd, pap_umd_id, pap_atv) VALUES (38, 38, 1, 17, 1, 1);</v>
      </c>
      <c r="H39" s="0" t="str">
        <f aca="false">"UPDATE PRODUTO_APRESENTACAO SET pap_prd_id = "&amp;B39&amp;", pap_tap_id = "&amp;C39&amp;", pap_qtd = "&amp;D39&amp;", pap_umd_id = "&amp;IF(E39="","NULL",E39)&amp;", pap_atv = "&amp;F39&amp;" WHERE pap_id = "&amp;A39&amp;";"</f>
        <v>UPDATE PRODUTO_APRESENTACAO SET pap_prd_id = 38, pap_tap_id = 1, pap_qtd = 17, pap_umd_id = 1, pap_atv = 1 WHERE pap_id = 38;</v>
      </c>
    </row>
    <row r="40" customFormat="false" ht="14.25" hidden="false" customHeight="false" outlineLevel="0" collapsed="false">
      <c r="A40" s="0" t="n">
        <v>39</v>
      </c>
      <c r="B40" s="0" t="n">
        <v>39</v>
      </c>
      <c r="C40" s="0" t="n">
        <v>1</v>
      </c>
      <c r="D40" s="0" t="n">
        <v>10</v>
      </c>
      <c r="E40" s="0" t="n">
        <v>1</v>
      </c>
      <c r="F40" s="0" t="n">
        <v>1</v>
      </c>
      <c r="G40" s="0" t="str">
        <f aca="false">"INSERT INTO PRODUTO_APRESENTACAO (pap_id, pap_prd_id, pap_tap_id, pap_qtd, pap_umd_id, pap_atv) VALUES ("&amp;A40&amp;", "&amp;B40&amp;", "&amp;C40&amp;", "&amp;D40&amp;", "&amp;IF(E40="","NULL",E40)&amp;", "&amp;F40&amp;");"</f>
        <v>INSERT INTO PRODUTO_APRESENTACAO (pap_id, pap_prd_id, pap_tap_id, pap_qtd, pap_umd_id, pap_atv) VALUES (39, 39, 1, 10, 1, 1);</v>
      </c>
      <c r="H40" s="0" t="str">
        <f aca="false">"UPDATE PRODUTO_APRESENTACAO SET pap_prd_id = "&amp;B40&amp;", pap_tap_id = "&amp;C40&amp;", pap_qtd = "&amp;D40&amp;", pap_umd_id = "&amp;IF(E40="","NULL",E40)&amp;", pap_atv = "&amp;F40&amp;" WHERE pap_id = "&amp;A40&amp;";"</f>
        <v>UPDATE PRODUTO_APRESENTACAO SET pap_prd_id = 39, pap_tap_id = 1, pap_qtd = 10, pap_umd_id = 1, pap_atv = 1 WHERE pap_id = 39;</v>
      </c>
    </row>
    <row r="41" customFormat="false" ht="14.25" hidden="false" customHeight="false" outlineLevel="0" collapsed="false">
      <c r="A41" s="0" t="n">
        <v>40</v>
      </c>
      <c r="B41" s="0" t="n">
        <v>40</v>
      </c>
      <c r="C41" s="0" t="n">
        <v>1</v>
      </c>
      <c r="D41" s="0" t="n">
        <v>22</v>
      </c>
      <c r="E41" s="0" t="n">
        <v>1</v>
      </c>
      <c r="F41" s="0" t="n">
        <v>1</v>
      </c>
      <c r="G41" s="0" t="str">
        <f aca="false">"INSERT INTO PRODUTO_APRESENTACAO (pap_id, pap_prd_id, pap_tap_id, pap_qtd, pap_umd_id, pap_atv) VALUES ("&amp;A41&amp;", "&amp;B41&amp;", "&amp;C41&amp;", "&amp;D41&amp;", "&amp;IF(E41="","NULL",E41)&amp;", "&amp;F41&amp;");"</f>
        <v>INSERT INTO PRODUTO_APRESENTACAO (pap_id, pap_prd_id, pap_tap_id, pap_qtd, pap_umd_id, pap_atv) VALUES (40, 40, 1, 22, 1, 1);</v>
      </c>
      <c r="H41" s="0" t="str">
        <f aca="false">"UPDATE PRODUTO_APRESENTACAO SET pap_prd_id = "&amp;B41&amp;", pap_tap_id = "&amp;C41&amp;", pap_qtd = "&amp;D41&amp;", pap_umd_id = "&amp;IF(E41="","NULL",E41)&amp;", pap_atv = "&amp;F41&amp;" WHERE pap_id = "&amp;A41&amp;";"</f>
        <v>UPDATE PRODUTO_APRESENTACAO SET pap_prd_id = 40, pap_tap_id = 1, pap_qtd = 22, pap_umd_id = 1, pap_atv = 1 WHERE pap_id = 40;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451" activePane="bottomLeft" state="frozen"/>
      <selection pane="topLeft" activeCell="A1" activeCellId="0" sqref="A1"/>
      <selection pane="bottomLeft" activeCell="I2471" activeCellId="0" sqref="I2471"/>
    </sheetView>
  </sheetViews>
  <sheetFormatPr defaultColWidth="8.4453125" defaultRowHeight="14.25" customHeight="false" zeroHeight="false" outlineLevelRow="0" outlineLevelCol="0"/>
  <cols>
    <col collapsed="false" customWidth="true" hidden="false" outlineLevel="0" max="1" min="1" style="0" width="8.34"/>
    <col collapsed="false" customWidth="true" hidden="false" outlineLevel="0" max="2" min="2" style="0" width="7.77"/>
    <col collapsed="false" customWidth="true" hidden="false" outlineLevel="0" max="3" min="3" style="0" width="8.67"/>
    <col collapsed="false" customWidth="true" hidden="false" outlineLevel="0" max="4" min="4" style="0" width="14.44"/>
    <col collapsed="false" customWidth="true" hidden="false" outlineLevel="0" max="5" min="5" style="0" width="11.22"/>
    <col collapsed="false" customWidth="true" hidden="false" outlineLevel="0" max="6" min="6" style="0" width="11.67"/>
    <col collapsed="false" customWidth="true" hidden="false" outlineLevel="0" max="7" min="7" style="0" width="11.77"/>
    <col collapsed="false" customWidth="true" hidden="false" outlineLevel="0" max="8" min="8" style="0" width="15.44"/>
    <col collapsed="false" customWidth="true" hidden="false" outlineLevel="0" max="9" min="9" style="0" width="52.22"/>
  </cols>
  <sheetData>
    <row r="1" customFormat="false" ht="14.25" hidden="false" customHeight="false" outlineLevel="0" collapsed="false">
      <c r="A1" s="29" t="s">
        <v>783</v>
      </c>
      <c r="B1" s="29" t="s">
        <v>784</v>
      </c>
      <c r="C1" s="29" t="s">
        <v>785</v>
      </c>
      <c r="D1" s="29" t="s">
        <v>786</v>
      </c>
      <c r="E1" s="29" t="s">
        <v>787</v>
      </c>
      <c r="F1" s="29" t="s">
        <v>788</v>
      </c>
      <c r="G1" s="29" t="s">
        <v>789</v>
      </c>
      <c r="H1" s="29" t="s">
        <v>790</v>
      </c>
    </row>
    <row r="2" customFormat="false" ht="14.25" hidden="false" customHeight="false" outlineLevel="0" collapsed="false">
      <c r="A2" s="0" t="n">
        <v>1</v>
      </c>
      <c r="B2" s="0" t="n">
        <f aca="false">IF('Boletins Nuppa Site'!A2&lt;&gt;0,'Boletins Nuppa Site'!A2,"NULL")</f>
        <v>37</v>
      </c>
      <c r="C2" s="0" t="n">
        <v>1</v>
      </c>
      <c r="D2" s="0" t="str">
        <f aca="false">IF('Boletins Nuppa Site'!G2&lt;&gt;0,'Boletins Nuppa Site'!G2,"NULL")</f>
        <v>NULL</v>
      </c>
      <c r="E2" s="30" t="n">
        <f aca="false">IF('Boletins Nuppa Site'!H2&lt;&gt;0,'Boletins Nuppa Site'!H2,"NULL")</f>
        <v>32</v>
      </c>
      <c r="F2" s="30" t="n">
        <f aca="false">IF('Boletins Nuppa Site'!I2&lt;&gt;0,'Boletins Nuppa Site'!I2,"NULL")</f>
        <v>32</v>
      </c>
      <c r="G2" s="30" t="n">
        <f aca="false">IF('Boletins Nuppa Site'!J2&lt;&gt;0,'Boletins Nuppa Site'!J2,"NULL")</f>
        <v>32</v>
      </c>
      <c r="H2" s="30" t="n">
        <f aca="false">IF('Boletins Nuppa Site'!K2&lt;&gt;0,'Boletins Nuppa Site'!K2,"NULL")</f>
        <v>32</v>
      </c>
      <c r="I2" s="0" t="str">
        <f aca="false">"INSERT INTO COTACAO (cot_id, cot_blt_id, cot_pap_id, cot_prc_comum, cot_prc_min, cot_prc_max, cot_prc_med, cot_prc_mediana) VALUES ("&amp;A2&amp;", "&amp;B2&amp;", "&amp;C2&amp;", "&amp;D2&amp;", "&amp;E2&amp;", "&amp;F2&amp;", "&amp;G2&amp;", "&amp;H2&amp;");"</f>
        <v>INSERT INTO COTACAO (cot_id, cot_blt_id, cot_pap_id, cot_prc_comum, cot_prc_min, cot_prc_max, cot_prc_med, cot_prc_mediana) VALUES (1, 37, 1, NULL, 32, 32, 32, 32);</v>
      </c>
      <c r="J2" s="0" t="str">
        <f aca="false">"UPDATE COTACAO SET cot_id = "&amp;A2&amp;", cot_blt_id = "&amp;B2&amp;", cot_pap_id = "&amp;C2&amp;", cot_prc_comum = "&amp;D2&amp;", cot_prc_min = "&amp;E2&amp;", cot_prc_max = "&amp;F2&amp;", cot_prc_med = "&amp;G2&amp;", cot_prc_mediana = "&amp;H2&amp;" WHERE cot_id = "&amp;A2&amp;";"</f>
        <v>UPDATE COTACAO SET cot_id = 1, cot_blt_id = 37, cot_pap_id = 1, cot_prc_comum = NULL, cot_prc_min = 32, cot_prc_max = 32, cot_prc_med = 32, cot_prc_mediana = 32 WHERE cot_id = 1;</v>
      </c>
    </row>
    <row r="3" customFormat="false" ht="14.25" hidden="false" customHeight="false" outlineLevel="0" collapsed="false">
      <c r="A3" s="0" t="n">
        <v>2</v>
      </c>
      <c r="B3" s="0" t="n">
        <f aca="false">IF('Boletins Nuppa Site'!A3&lt;&gt;0,'Boletins Nuppa Site'!A3,"NULL")</f>
        <v>37</v>
      </c>
      <c r="C3" s="0" t="n">
        <v>2</v>
      </c>
      <c r="D3" s="0" t="str">
        <f aca="false">IF('Boletins Nuppa Site'!G3&lt;&gt;0,'Boletins Nuppa Site'!G3,"NULL")</f>
        <v>NULL</v>
      </c>
      <c r="E3" s="30" t="n">
        <f aca="false">IF('Boletins Nuppa Site'!H3&lt;&gt;0,'Boletins Nuppa Site'!H3,"NULL")</f>
        <v>60</v>
      </c>
      <c r="F3" s="30" t="n">
        <f aca="false">IF('Boletins Nuppa Site'!I3&lt;&gt;0,'Boletins Nuppa Site'!I3,"NULL")</f>
        <v>60</v>
      </c>
      <c r="G3" s="30" t="n">
        <f aca="false">IF('Boletins Nuppa Site'!J3&lt;&gt;0,'Boletins Nuppa Site'!J3,"NULL")</f>
        <v>60</v>
      </c>
      <c r="H3" s="30" t="n">
        <f aca="false">IF('Boletins Nuppa Site'!K3&lt;&gt;0,'Boletins Nuppa Site'!K3,"NULL")</f>
        <v>60</v>
      </c>
      <c r="I3" s="0" t="str">
        <f aca="false">"INSERT INTO COTACAO (cot_id, cot_blt_id, cot_pap_id, cot_prc_comum, cot_prc_min, cot_prc_max, cot_prc_med, cot_prc_mediana) VALUES ("&amp;A3&amp;", "&amp;B3&amp;", "&amp;C3&amp;", "&amp;D3&amp;", "&amp;E3&amp;", "&amp;F3&amp;", "&amp;G3&amp;", "&amp;H3&amp;");"</f>
        <v>INSERT INTO COTACAO (cot_id, cot_blt_id, cot_pap_id, cot_prc_comum, cot_prc_min, cot_prc_max, cot_prc_med, cot_prc_mediana) VALUES (2, 37, 2, NULL, 60, 60, 60, 60);</v>
      </c>
      <c r="J3" s="0" t="str">
        <f aca="false">"UPDATE COTACAO SET cot_id = "&amp;A3&amp;", cot_blt_id = "&amp;B3&amp;", cot_pap_id = "&amp;C3&amp;", cot_prc_comum = "&amp;D3&amp;", cot_prc_min = "&amp;E3&amp;", cot_prc_max = "&amp;F3&amp;", cot_prc_med = "&amp;G3&amp;", cot_prc_mediana = "&amp;H3&amp;" WHERE cot_id = "&amp;A3&amp;";"</f>
        <v>UPDATE COTACAO SET cot_id = 2, cot_blt_id = 37, cot_pap_id = 2, cot_prc_comum = NULL, cot_prc_min = 60, cot_prc_max = 60, cot_prc_med = 60, cot_prc_mediana = 60 WHERE cot_id = 2;</v>
      </c>
    </row>
    <row r="4" customFormat="false" ht="14.25" hidden="false" customHeight="false" outlineLevel="0" collapsed="false">
      <c r="A4" s="0" t="n">
        <v>3</v>
      </c>
      <c r="B4" s="0" t="n">
        <f aca="false">IF('Boletins Nuppa Site'!A4&lt;&gt;0,'Boletins Nuppa Site'!A4,"NULL")</f>
        <v>37</v>
      </c>
      <c r="C4" s="0" t="n">
        <v>3</v>
      </c>
      <c r="D4" s="0" t="str">
        <f aca="false">IF('Boletins Nuppa Site'!G4&lt;&gt;0,'Boletins Nuppa Site'!G4,"NULL")</f>
        <v>NULL</v>
      </c>
      <c r="E4" s="30" t="n">
        <f aca="false">IF('Boletins Nuppa Site'!H4&lt;&gt;0,'Boletins Nuppa Site'!H4,"NULL")</f>
        <v>24</v>
      </c>
      <c r="F4" s="30" t="n">
        <f aca="false">IF('Boletins Nuppa Site'!I4&lt;&gt;0,'Boletins Nuppa Site'!I4,"NULL")</f>
        <v>36</v>
      </c>
      <c r="G4" s="30" t="n">
        <f aca="false">IF('Boletins Nuppa Site'!J4&lt;&gt;0,'Boletins Nuppa Site'!J4,"NULL")</f>
        <v>30</v>
      </c>
      <c r="H4" s="30" t="n">
        <f aca="false">IF('Boletins Nuppa Site'!K4&lt;&gt;0,'Boletins Nuppa Site'!K4,"NULL")</f>
        <v>30</v>
      </c>
      <c r="I4" s="0" t="str">
        <f aca="false">"INSERT INTO COTACAO (cot_id, cot_blt_id, cot_pap_id, cot_prc_comum, cot_prc_min, cot_prc_max, cot_prc_med, cot_prc_mediana) VALUES ("&amp;A4&amp;", "&amp;B4&amp;", "&amp;C4&amp;", "&amp;D4&amp;", "&amp;E4&amp;", "&amp;F4&amp;", "&amp;G4&amp;", "&amp;H4&amp;");"</f>
        <v>INSERT INTO COTACAO (cot_id, cot_blt_id, cot_pap_id, cot_prc_comum, cot_prc_min, cot_prc_max, cot_prc_med, cot_prc_mediana) VALUES (3, 37, 3, NULL, 24, 36, 30, 30);</v>
      </c>
      <c r="J4" s="0" t="str">
        <f aca="false">"UPDATE COTACAO SET cot_id = "&amp;A4&amp;", cot_blt_id = "&amp;B4&amp;", cot_pap_id = "&amp;C4&amp;", cot_prc_comum = "&amp;D4&amp;", cot_prc_min = "&amp;E4&amp;", cot_prc_max = "&amp;F4&amp;", cot_prc_med = "&amp;G4&amp;", cot_prc_mediana = "&amp;H4&amp;" WHERE cot_id = "&amp;A4&amp;";"</f>
        <v>UPDATE COTACAO SET cot_id = 3, cot_blt_id = 37, cot_pap_id = 3, cot_prc_comum = NULL, cot_prc_min = 24, cot_prc_max = 36, cot_prc_med = 30, cot_prc_mediana = 30 WHERE cot_id = 3;</v>
      </c>
    </row>
    <row r="5" customFormat="false" ht="14.25" hidden="false" customHeight="false" outlineLevel="0" collapsed="false">
      <c r="A5" s="0" t="n">
        <v>4</v>
      </c>
      <c r="B5" s="0" t="n">
        <f aca="false">IF('Boletins Nuppa Site'!A5&lt;&gt;0,'Boletins Nuppa Site'!A5,"NULL")</f>
        <v>37</v>
      </c>
      <c r="C5" s="0" t="n">
        <v>4</v>
      </c>
      <c r="D5" s="0" t="str">
        <f aca="false">IF('Boletins Nuppa Site'!G5&lt;&gt;0,'Boletins Nuppa Site'!G5,"NULL")</f>
        <v>NULL</v>
      </c>
      <c r="E5" s="30" t="n">
        <f aca="false">IF('Boletins Nuppa Site'!H5&lt;&gt;0,'Boletins Nuppa Site'!H5,"NULL")</f>
        <v>18</v>
      </c>
      <c r="F5" s="30" t="n">
        <f aca="false">IF('Boletins Nuppa Site'!I5&lt;&gt;0,'Boletins Nuppa Site'!I5,"NULL")</f>
        <v>30</v>
      </c>
      <c r="G5" s="30" t="n">
        <f aca="false">IF('Boletins Nuppa Site'!J5&lt;&gt;0,'Boletins Nuppa Site'!J5,"NULL")</f>
        <v>24</v>
      </c>
      <c r="H5" s="30" t="n">
        <f aca="false">IF('Boletins Nuppa Site'!K5&lt;&gt;0,'Boletins Nuppa Site'!K5,"NULL")</f>
        <v>24</v>
      </c>
      <c r="I5" s="0" t="str">
        <f aca="false">"INSERT INTO COTACAO (cot_id, cot_blt_id, cot_pap_id, cot_prc_comum, cot_prc_min, cot_prc_max, cot_prc_med, cot_prc_mediana) VALUES ("&amp;A5&amp;", "&amp;B5&amp;", "&amp;C5&amp;", "&amp;D5&amp;", "&amp;E5&amp;", "&amp;F5&amp;", "&amp;G5&amp;", "&amp;H5&amp;");"</f>
        <v>INSERT INTO COTACAO (cot_id, cot_blt_id, cot_pap_id, cot_prc_comum, cot_prc_min, cot_prc_max, cot_prc_med, cot_prc_mediana) VALUES (4, 37, 4, NULL, 18, 30, 24, 24);</v>
      </c>
      <c r="J5" s="0" t="str">
        <f aca="false">"UPDATE COTACAO SET cot_id = "&amp;A5&amp;", cot_blt_id = "&amp;B5&amp;", cot_pap_id = "&amp;C5&amp;", cot_prc_comum = "&amp;D5&amp;", cot_prc_min = "&amp;E5&amp;", cot_prc_max = "&amp;F5&amp;", cot_prc_med = "&amp;G5&amp;", cot_prc_mediana = "&amp;H5&amp;" WHERE cot_id = "&amp;A5&amp;";"</f>
        <v>UPDATE COTACAO SET cot_id = 4, cot_blt_id = 37, cot_pap_id = 4, cot_prc_comum = NULL, cot_prc_min = 18, cot_prc_max = 30, cot_prc_med = 24, cot_prc_mediana = 24 WHERE cot_id = 4;</v>
      </c>
    </row>
    <row r="6" customFormat="false" ht="14.25" hidden="false" customHeight="false" outlineLevel="0" collapsed="false">
      <c r="A6" s="0" t="n">
        <v>5</v>
      </c>
      <c r="B6" s="0" t="n">
        <f aca="false">IF('Boletins Nuppa Site'!A6&lt;&gt;0,'Boletins Nuppa Site'!A6,"NULL")</f>
        <v>37</v>
      </c>
      <c r="C6" s="0" t="n">
        <v>5</v>
      </c>
      <c r="D6" s="0" t="str">
        <f aca="false">IF('Boletins Nuppa Site'!G6&lt;&gt;0,'Boletins Nuppa Site'!G6,"NULL")</f>
        <v>NULL</v>
      </c>
      <c r="E6" s="30" t="n">
        <f aca="false">IF('Boletins Nuppa Site'!H6&lt;&gt;0,'Boletins Nuppa Site'!H6,"NULL")</f>
        <v>18</v>
      </c>
      <c r="F6" s="30" t="n">
        <f aca="false">IF('Boletins Nuppa Site'!I6&lt;&gt;0,'Boletins Nuppa Site'!I6,"NULL")</f>
        <v>30</v>
      </c>
      <c r="G6" s="30" t="n">
        <f aca="false">IF('Boletins Nuppa Site'!J6&lt;&gt;0,'Boletins Nuppa Site'!J6,"NULL")</f>
        <v>24</v>
      </c>
      <c r="H6" s="30" t="n">
        <f aca="false">IF('Boletins Nuppa Site'!K6&lt;&gt;0,'Boletins Nuppa Site'!K6,"NULL")</f>
        <v>24</v>
      </c>
      <c r="I6" s="0" t="str">
        <f aca="false">"INSERT INTO COTACAO (cot_id, cot_blt_id, cot_pap_id, cot_prc_comum, cot_prc_min, cot_prc_max, cot_prc_med, cot_prc_mediana) VALUES ("&amp;A6&amp;", "&amp;B6&amp;", "&amp;C6&amp;", "&amp;D6&amp;", "&amp;E6&amp;", "&amp;F6&amp;", "&amp;G6&amp;", "&amp;H6&amp;");"</f>
        <v>INSERT INTO COTACAO (cot_id, cot_blt_id, cot_pap_id, cot_prc_comum, cot_prc_min, cot_prc_max, cot_prc_med, cot_prc_mediana) VALUES (5, 37, 5, NULL, 18, 30, 24, 24);</v>
      </c>
      <c r="J6" s="0" t="str">
        <f aca="false">"UPDATE COTACAO SET cot_id = "&amp;A6&amp;", cot_blt_id = "&amp;B6&amp;", cot_pap_id = "&amp;C6&amp;", cot_prc_comum = "&amp;D6&amp;", cot_prc_min = "&amp;E6&amp;", cot_prc_max = "&amp;F6&amp;", cot_prc_med = "&amp;G6&amp;", cot_prc_mediana = "&amp;H6&amp;" WHERE cot_id = "&amp;A6&amp;";"</f>
        <v>UPDATE COTACAO SET cot_id = 5, cot_blt_id = 37, cot_pap_id = 5, cot_prc_comum = NULL, cot_prc_min = 18, cot_prc_max = 30, cot_prc_med = 24, cot_prc_mediana = 24 WHERE cot_id = 5;</v>
      </c>
    </row>
    <row r="7" customFormat="false" ht="14.25" hidden="false" customHeight="false" outlineLevel="0" collapsed="false">
      <c r="A7" s="0" t="n">
        <v>6</v>
      </c>
      <c r="B7" s="0" t="n">
        <f aca="false">IF('Boletins Nuppa Site'!A7&lt;&gt;0,'Boletins Nuppa Site'!A7,"NULL")</f>
        <v>37</v>
      </c>
      <c r="C7" s="0" t="n">
        <v>6</v>
      </c>
      <c r="D7" s="0" t="str">
        <f aca="false">IF('Boletins Nuppa Site'!G7&lt;&gt;0,'Boletins Nuppa Site'!G7,"NULL")</f>
        <v>NULL</v>
      </c>
      <c r="E7" s="30" t="n">
        <f aca="false">IF('Boletins Nuppa Site'!H7&lt;&gt;0,'Boletins Nuppa Site'!H7,"NULL")</f>
        <v>48</v>
      </c>
      <c r="F7" s="30" t="n">
        <f aca="false">IF('Boletins Nuppa Site'!I7&lt;&gt;0,'Boletins Nuppa Site'!I7,"NULL")</f>
        <v>48</v>
      </c>
      <c r="G7" s="30" t="n">
        <f aca="false">IF('Boletins Nuppa Site'!J7&lt;&gt;0,'Boletins Nuppa Site'!J7,"NULL")</f>
        <v>48</v>
      </c>
      <c r="H7" s="30" t="n">
        <f aca="false">IF('Boletins Nuppa Site'!K7&lt;&gt;0,'Boletins Nuppa Site'!K7,"NULL")</f>
        <v>48</v>
      </c>
      <c r="I7" s="0" t="str">
        <f aca="false">"INSERT INTO COTACAO (cot_id, cot_blt_id, cot_pap_id, cot_prc_comum, cot_prc_min, cot_prc_max, cot_prc_med, cot_prc_mediana) VALUES ("&amp;A7&amp;", "&amp;B7&amp;", "&amp;C7&amp;", "&amp;D7&amp;", "&amp;E7&amp;", "&amp;F7&amp;", "&amp;G7&amp;", "&amp;H7&amp;");"</f>
        <v>INSERT INTO COTACAO (cot_id, cot_blt_id, cot_pap_id, cot_prc_comum, cot_prc_min, cot_prc_max, cot_prc_med, cot_prc_mediana) VALUES (6, 37, 6, NULL, 48, 48, 48, 48);</v>
      </c>
      <c r="J7" s="0" t="str">
        <f aca="false">"UPDATE COTACAO SET cot_id = "&amp;A7&amp;", cot_blt_id = "&amp;B7&amp;", cot_pap_id = "&amp;C7&amp;", cot_prc_comum = "&amp;D7&amp;", cot_prc_min = "&amp;E7&amp;", cot_prc_max = "&amp;F7&amp;", cot_prc_med = "&amp;G7&amp;", cot_prc_mediana = "&amp;H7&amp;" WHERE cot_id = "&amp;A7&amp;";"</f>
        <v>UPDATE COTACAO SET cot_id = 6, cot_blt_id = 37, cot_pap_id = 6, cot_prc_comum = NULL, cot_prc_min = 48, cot_prc_max = 48, cot_prc_med = 48, cot_prc_mediana = 48 WHERE cot_id = 6;</v>
      </c>
    </row>
    <row r="8" customFormat="false" ht="14.25" hidden="false" customHeight="false" outlineLevel="0" collapsed="false">
      <c r="A8" s="0" t="n">
        <v>7</v>
      </c>
      <c r="B8" s="0" t="n">
        <f aca="false">IF('Boletins Nuppa Site'!A8&lt;&gt;0,'Boletins Nuppa Site'!A8,"NULL")</f>
        <v>37</v>
      </c>
      <c r="C8" s="0" t="n">
        <v>7</v>
      </c>
      <c r="D8" s="0" t="str">
        <f aca="false">IF('Boletins Nuppa Site'!G8&lt;&gt;0,'Boletins Nuppa Site'!G8,"NULL")</f>
        <v>NULL</v>
      </c>
      <c r="E8" s="30" t="n">
        <f aca="false">IF('Boletins Nuppa Site'!H8&lt;&gt;0,'Boletins Nuppa Site'!H8,"NULL")</f>
        <v>60</v>
      </c>
      <c r="F8" s="30" t="n">
        <f aca="false">IF('Boletins Nuppa Site'!I8&lt;&gt;0,'Boletins Nuppa Site'!I8,"NULL")</f>
        <v>60</v>
      </c>
      <c r="G8" s="30" t="n">
        <f aca="false">IF('Boletins Nuppa Site'!J8&lt;&gt;0,'Boletins Nuppa Site'!J8,"NULL")</f>
        <v>60</v>
      </c>
      <c r="H8" s="30" t="n">
        <f aca="false">IF('Boletins Nuppa Site'!K8&lt;&gt;0,'Boletins Nuppa Site'!K8,"NULL")</f>
        <v>60</v>
      </c>
      <c r="I8" s="0" t="str">
        <f aca="false">"INSERT INTO COTACAO (cot_id, cot_blt_id, cot_pap_id, cot_prc_comum, cot_prc_min, cot_prc_max, cot_prc_med, cot_prc_mediana) VALUES ("&amp;A8&amp;", "&amp;B8&amp;", "&amp;C8&amp;", "&amp;D8&amp;", "&amp;E8&amp;", "&amp;F8&amp;", "&amp;G8&amp;", "&amp;H8&amp;");"</f>
        <v>INSERT INTO COTACAO (cot_id, cot_blt_id, cot_pap_id, cot_prc_comum, cot_prc_min, cot_prc_max, cot_prc_med, cot_prc_mediana) VALUES (7, 37, 7, NULL, 60, 60, 60, 60);</v>
      </c>
      <c r="J8" s="0" t="str">
        <f aca="false">"UPDATE COTACAO SET cot_id = "&amp;A8&amp;", cot_blt_id = "&amp;B8&amp;", cot_pap_id = "&amp;C8&amp;", cot_prc_comum = "&amp;D8&amp;", cot_prc_min = "&amp;E8&amp;", cot_prc_max = "&amp;F8&amp;", cot_prc_med = "&amp;G8&amp;", cot_prc_mediana = "&amp;H8&amp;" WHERE cot_id = "&amp;A8&amp;";"</f>
        <v>UPDATE COTACAO SET cot_id = 7, cot_blt_id = 37, cot_pap_id = 7, cot_prc_comum = NULL, cot_prc_min = 60, cot_prc_max = 60, cot_prc_med = 60, cot_prc_mediana = 60 WHERE cot_id = 7;</v>
      </c>
    </row>
    <row r="9" customFormat="false" ht="14.25" hidden="false" customHeight="false" outlineLevel="0" collapsed="false">
      <c r="A9" s="0" t="n">
        <v>8</v>
      </c>
      <c r="B9" s="0" t="n">
        <f aca="false">IF('Boletins Nuppa Site'!A9&lt;&gt;0,'Boletins Nuppa Site'!A9,"NULL")</f>
        <v>37</v>
      </c>
      <c r="C9" s="0" t="n">
        <v>8</v>
      </c>
      <c r="D9" s="30" t="n">
        <f aca="false">IF('Boletins Nuppa Site'!G9&lt;&gt;0,'Boletins Nuppa Site'!G9,"NULL")</f>
        <v>48</v>
      </c>
      <c r="E9" s="30" t="n">
        <f aca="false">IF('Boletins Nuppa Site'!H9&lt;&gt;0,'Boletins Nuppa Site'!H9,"NULL")</f>
        <v>48</v>
      </c>
      <c r="F9" s="30" t="n">
        <f aca="false">IF('Boletins Nuppa Site'!I9&lt;&gt;0,'Boletins Nuppa Site'!I9,"NULL")</f>
        <v>60</v>
      </c>
      <c r="G9" s="30" t="n">
        <f aca="false">IF('Boletins Nuppa Site'!J9&lt;&gt;0,'Boletins Nuppa Site'!J9,"NULL")</f>
        <v>52</v>
      </c>
      <c r="H9" s="30" t="n">
        <f aca="false">IF('Boletins Nuppa Site'!K9&lt;&gt;0,'Boletins Nuppa Site'!K9,"NULL")</f>
        <v>48</v>
      </c>
      <c r="I9" s="0" t="str">
        <f aca="false">"INSERT INTO COTACAO (cot_id, cot_blt_id, cot_pap_id, cot_prc_comum, cot_prc_min, cot_prc_max, cot_prc_med, cot_prc_mediana) VALUES ("&amp;A9&amp;", "&amp;B9&amp;", "&amp;C9&amp;", "&amp;D9&amp;", "&amp;E9&amp;", "&amp;F9&amp;", "&amp;G9&amp;", "&amp;H9&amp;");"</f>
        <v>INSERT INTO COTACAO (cot_id, cot_blt_id, cot_pap_id, cot_prc_comum, cot_prc_min, cot_prc_max, cot_prc_med, cot_prc_mediana) VALUES (8, 37, 8, 48, 48, 60, 52, 48);</v>
      </c>
      <c r="J9" s="0" t="str">
        <f aca="false">"UPDATE COTACAO SET cot_id = "&amp;A9&amp;", cot_blt_id = "&amp;B9&amp;", cot_pap_id = "&amp;C9&amp;", cot_prc_comum = "&amp;D9&amp;", cot_prc_min = "&amp;E9&amp;", cot_prc_max = "&amp;F9&amp;", cot_prc_med = "&amp;G9&amp;", cot_prc_mediana = "&amp;H9&amp;" WHERE cot_id = "&amp;A9&amp;";"</f>
        <v>UPDATE COTACAO SET cot_id = 8, cot_blt_id = 37, cot_pap_id = 8, cot_prc_comum = 48, cot_prc_min = 48, cot_prc_max = 60, cot_prc_med = 52, cot_prc_mediana = 48 WHERE cot_id = 8;</v>
      </c>
    </row>
    <row r="10" customFormat="false" ht="14.25" hidden="false" customHeight="false" outlineLevel="0" collapsed="false">
      <c r="A10" s="0" t="n">
        <v>9</v>
      </c>
      <c r="B10" s="0" t="n">
        <f aca="false">IF('Boletins Nuppa Site'!A10&lt;&gt;0,'Boletins Nuppa Site'!A10,"NULL")</f>
        <v>37</v>
      </c>
      <c r="C10" s="0" t="n">
        <v>9</v>
      </c>
      <c r="D10" s="30" t="n">
        <f aca="false">IF('Boletins Nuppa Site'!G10&lt;&gt;0,'Boletins Nuppa Site'!G10,"NULL")</f>
        <v>15</v>
      </c>
      <c r="E10" s="30" t="n">
        <f aca="false">IF('Boletins Nuppa Site'!H10&lt;&gt;0,'Boletins Nuppa Site'!H10,"NULL")</f>
        <v>15</v>
      </c>
      <c r="F10" s="30" t="n">
        <f aca="false">IF('Boletins Nuppa Site'!I10&lt;&gt;0,'Boletins Nuppa Site'!I10,"NULL")</f>
        <v>24</v>
      </c>
      <c r="G10" s="30" t="n">
        <f aca="false">IF('Boletins Nuppa Site'!J10&lt;&gt;0,'Boletins Nuppa Site'!J10,"NULL")</f>
        <v>18</v>
      </c>
      <c r="H10" s="30" t="n">
        <f aca="false">IF('Boletins Nuppa Site'!K10&lt;&gt;0,'Boletins Nuppa Site'!K10,"NULL")</f>
        <v>15</v>
      </c>
      <c r="I10" s="0" t="str">
        <f aca="false">"INSERT INTO COTACAO (cot_id, cot_blt_id, cot_pap_id, cot_prc_comum, cot_prc_min, cot_prc_max, cot_prc_med, cot_prc_mediana) VALUES ("&amp;A10&amp;", "&amp;B10&amp;", "&amp;C10&amp;", "&amp;D10&amp;", "&amp;E10&amp;", "&amp;F10&amp;", "&amp;G10&amp;", "&amp;H10&amp;");"</f>
        <v>INSERT INTO COTACAO (cot_id, cot_blt_id, cot_pap_id, cot_prc_comum, cot_prc_min, cot_prc_max, cot_prc_med, cot_prc_mediana) VALUES (9, 37, 9, 15, 15, 24, 18, 15);</v>
      </c>
      <c r="J10" s="0" t="str">
        <f aca="false">"UPDATE COTACAO SET cot_id = "&amp;A10&amp;", cot_blt_id = "&amp;B10&amp;", cot_pap_id = "&amp;C10&amp;", cot_prc_comum = "&amp;D10&amp;", cot_prc_min = "&amp;E10&amp;", cot_prc_max = "&amp;F10&amp;", cot_prc_med = "&amp;G10&amp;", cot_prc_mediana = "&amp;H10&amp;" WHERE cot_id = "&amp;A10&amp;";"</f>
        <v>UPDATE COTACAO SET cot_id = 9, cot_blt_id = 37, cot_pap_id = 9, cot_prc_comum = 15, cot_prc_min = 15, cot_prc_max = 24, cot_prc_med = 18, cot_prc_mediana = 15 WHERE cot_id = 9;</v>
      </c>
    </row>
    <row r="11" customFormat="false" ht="14.25" hidden="false" customHeight="false" outlineLevel="0" collapsed="false">
      <c r="A11" s="0" t="n">
        <v>10</v>
      </c>
      <c r="B11" s="0" t="n">
        <f aca="false">IF('Boletins Nuppa Site'!A11&lt;&gt;0,'Boletins Nuppa Site'!A11,"NULL")</f>
        <v>37</v>
      </c>
      <c r="C11" s="0" t="n">
        <v>10</v>
      </c>
      <c r="D11" s="0" t="str">
        <f aca="false">IF('Boletins Nuppa Site'!G11&lt;&gt;0,'Boletins Nuppa Site'!G11,"NULL")</f>
        <v>NULL</v>
      </c>
      <c r="E11" s="30" t="n">
        <f aca="false">IF('Boletins Nuppa Site'!H11&lt;&gt;0,'Boletins Nuppa Site'!H11,"NULL")</f>
        <v>60</v>
      </c>
      <c r="F11" s="30" t="n">
        <f aca="false">IF('Boletins Nuppa Site'!I11&lt;&gt;0,'Boletins Nuppa Site'!I11,"NULL")</f>
        <v>60</v>
      </c>
      <c r="G11" s="30" t="n">
        <f aca="false">IF('Boletins Nuppa Site'!J11&lt;&gt;0,'Boletins Nuppa Site'!J11,"NULL")</f>
        <v>60</v>
      </c>
      <c r="H11" s="30" t="n">
        <f aca="false">IF('Boletins Nuppa Site'!K11&lt;&gt;0,'Boletins Nuppa Site'!K11,"NULL")</f>
        <v>60</v>
      </c>
      <c r="I11" s="0" t="str">
        <f aca="false">"INSERT INTO COTACAO (cot_id, cot_blt_id, cot_pap_id, cot_prc_comum, cot_prc_min, cot_prc_max, cot_prc_med, cot_prc_mediana) VALUES ("&amp;A11&amp;", "&amp;B11&amp;", "&amp;C11&amp;", "&amp;D11&amp;", "&amp;E11&amp;", "&amp;F11&amp;", "&amp;G11&amp;", "&amp;H11&amp;");"</f>
        <v>INSERT INTO COTACAO (cot_id, cot_blt_id, cot_pap_id, cot_prc_comum, cot_prc_min, cot_prc_max, cot_prc_med, cot_prc_mediana) VALUES (10, 37, 10, NULL, 60, 60, 60, 60);</v>
      </c>
      <c r="J11" s="0" t="str">
        <f aca="false">"UPDATE COTACAO SET cot_id = "&amp;A11&amp;", cot_blt_id = "&amp;B11&amp;", cot_pap_id = "&amp;C11&amp;", cot_prc_comum = "&amp;D11&amp;", cot_prc_min = "&amp;E11&amp;", cot_prc_max = "&amp;F11&amp;", cot_prc_med = "&amp;G11&amp;", cot_prc_mediana = "&amp;H11&amp;" WHERE cot_id = "&amp;A11&amp;";"</f>
        <v>UPDATE COTACAO SET cot_id = 10, cot_blt_id = 37, cot_pap_id = 10, cot_prc_comum = NULL, cot_prc_min = 60, cot_prc_max = 60, cot_prc_med = 60, cot_prc_mediana = 60 WHERE cot_id = 10;</v>
      </c>
    </row>
    <row r="12" customFormat="false" ht="14.25" hidden="false" customHeight="false" outlineLevel="0" collapsed="false">
      <c r="A12" s="0" t="n">
        <v>11</v>
      </c>
      <c r="B12" s="0" t="n">
        <f aca="false">IF('Boletins Nuppa Site'!A12&lt;&gt;0,'Boletins Nuppa Site'!A12,"NULL")</f>
        <v>37</v>
      </c>
      <c r="C12" s="0" t="n">
        <v>11</v>
      </c>
      <c r="D12" s="0" t="str">
        <f aca="false">IF('Boletins Nuppa Site'!G12&lt;&gt;0,'Boletins Nuppa Site'!G12,"NULL")</f>
        <v>NULL</v>
      </c>
      <c r="E12" s="30" t="n">
        <f aca="false">IF('Boletins Nuppa Site'!H12&lt;&gt;0,'Boletins Nuppa Site'!H12,"NULL")</f>
        <v>18</v>
      </c>
      <c r="F12" s="30" t="n">
        <f aca="false">IF('Boletins Nuppa Site'!I12&lt;&gt;0,'Boletins Nuppa Site'!I12,"NULL")</f>
        <v>30</v>
      </c>
      <c r="G12" s="30" t="n">
        <f aca="false">IF('Boletins Nuppa Site'!J12&lt;&gt;0,'Boletins Nuppa Site'!J12,"NULL")</f>
        <v>24</v>
      </c>
      <c r="H12" s="30" t="n">
        <f aca="false">IF('Boletins Nuppa Site'!K12&lt;&gt;0,'Boletins Nuppa Site'!K12,"NULL")</f>
        <v>24</v>
      </c>
      <c r="I12" s="0" t="str">
        <f aca="false">"INSERT INTO COTACAO (cot_id, cot_blt_id, cot_pap_id, cot_prc_comum, cot_prc_min, cot_prc_max, cot_prc_med, cot_prc_mediana) VALUES ("&amp;A12&amp;", "&amp;B12&amp;", "&amp;C12&amp;", "&amp;D12&amp;", "&amp;E12&amp;", "&amp;F12&amp;", "&amp;G12&amp;", "&amp;H12&amp;");"</f>
        <v>INSERT INTO COTACAO (cot_id, cot_blt_id, cot_pap_id, cot_prc_comum, cot_prc_min, cot_prc_max, cot_prc_med, cot_prc_mediana) VALUES (11, 37, 11, NULL, 18, 30, 24, 24);</v>
      </c>
      <c r="J12" s="0" t="str">
        <f aca="false">"UPDATE COTACAO SET cot_id = "&amp;A12&amp;", cot_blt_id = "&amp;B12&amp;", cot_pap_id = "&amp;C12&amp;", cot_prc_comum = "&amp;D12&amp;", cot_prc_min = "&amp;E12&amp;", cot_prc_max = "&amp;F12&amp;", cot_prc_med = "&amp;G12&amp;", cot_prc_mediana = "&amp;H12&amp;" WHERE cot_id = "&amp;A12&amp;";"</f>
        <v>UPDATE COTACAO SET cot_id = 11, cot_blt_id = 37, cot_pap_id = 11, cot_prc_comum = NULL, cot_prc_min = 18, cot_prc_max = 30, cot_prc_med = 24, cot_prc_mediana = 24 WHERE cot_id = 11;</v>
      </c>
    </row>
    <row r="13" customFormat="false" ht="14.25" hidden="false" customHeight="false" outlineLevel="0" collapsed="false">
      <c r="A13" s="0" t="n">
        <v>12</v>
      </c>
      <c r="B13" s="0" t="n">
        <f aca="false">IF('Boletins Nuppa Site'!A13&lt;&gt;0,'Boletins Nuppa Site'!A13,"NULL")</f>
        <v>37</v>
      </c>
      <c r="C13" s="0" t="n">
        <v>12</v>
      </c>
      <c r="D13" s="0" t="str">
        <f aca="false">IF('Boletins Nuppa Site'!G13&lt;&gt;0,'Boletins Nuppa Site'!G13,"NULL")</f>
        <v>NULL</v>
      </c>
      <c r="E13" s="30" t="n">
        <f aca="false">IF('Boletins Nuppa Site'!H13&lt;&gt;0,'Boletins Nuppa Site'!H13,"NULL")</f>
        <v>42</v>
      </c>
      <c r="F13" s="30" t="n">
        <f aca="false">IF('Boletins Nuppa Site'!I13&lt;&gt;0,'Boletins Nuppa Site'!I13,"NULL")</f>
        <v>54</v>
      </c>
      <c r="G13" s="30" t="n">
        <f aca="false">IF('Boletins Nuppa Site'!J13&lt;&gt;0,'Boletins Nuppa Site'!J13,"NULL")</f>
        <v>48</v>
      </c>
      <c r="H13" s="30" t="n">
        <f aca="false">IF('Boletins Nuppa Site'!K13&lt;&gt;0,'Boletins Nuppa Site'!K13,"NULL")</f>
        <v>48</v>
      </c>
      <c r="I13" s="0" t="str">
        <f aca="false">"INSERT INTO COTACAO (cot_id, cot_blt_id, cot_pap_id, cot_prc_comum, cot_prc_min, cot_prc_max, cot_prc_med, cot_prc_mediana) VALUES ("&amp;A13&amp;", "&amp;B13&amp;", "&amp;C13&amp;", "&amp;D13&amp;", "&amp;E13&amp;", "&amp;F13&amp;", "&amp;G13&amp;", "&amp;H13&amp;");"</f>
        <v>INSERT INTO COTACAO (cot_id, cot_blt_id, cot_pap_id, cot_prc_comum, cot_prc_min, cot_prc_max, cot_prc_med, cot_prc_mediana) VALUES (12, 37, 12, NULL, 42, 54, 48, 48);</v>
      </c>
      <c r="J13" s="0" t="str">
        <f aca="false">"UPDATE COTACAO SET cot_id = "&amp;A13&amp;", cot_blt_id = "&amp;B13&amp;", cot_pap_id = "&amp;C13&amp;", cot_prc_comum = "&amp;D13&amp;", cot_prc_min = "&amp;E13&amp;", cot_prc_max = "&amp;F13&amp;", cot_prc_med = "&amp;G13&amp;", cot_prc_mediana = "&amp;H13&amp;" WHERE cot_id = "&amp;A13&amp;";"</f>
        <v>UPDATE COTACAO SET cot_id = 12, cot_blt_id = 37, cot_pap_id = 12, cot_prc_comum = NULL, cot_prc_min = 42, cot_prc_max = 54, cot_prc_med = 48, cot_prc_mediana = 48 WHERE cot_id = 12;</v>
      </c>
    </row>
    <row r="14" customFormat="false" ht="14.25" hidden="false" customHeight="false" outlineLevel="0" collapsed="false">
      <c r="A14" s="0" t="n">
        <v>13</v>
      </c>
      <c r="B14" s="0" t="n">
        <f aca="false">IF('Boletins Nuppa Site'!A14&lt;&gt;0,'Boletins Nuppa Site'!A14,"NULL")</f>
        <v>37</v>
      </c>
      <c r="C14" s="0" t="n">
        <v>13</v>
      </c>
      <c r="D14" s="0" t="str">
        <f aca="false">IF('Boletins Nuppa Site'!G14&lt;&gt;0,'Boletins Nuppa Site'!G14,"NULL")</f>
        <v>NULL</v>
      </c>
      <c r="E14" s="30" t="n">
        <f aca="false">IF('Boletins Nuppa Site'!H14&lt;&gt;0,'Boletins Nuppa Site'!H14,"NULL")</f>
        <v>36</v>
      </c>
      <c r="F14" s="30" t="n">
        <f aca="false">IF('Boletins Nuppa Site'!I14&lt;&gt;0,'Boletins Nuppa Site'!I14,"NULL")</f>
        <v>48</v>
      </c>
      <c r="G14" s="30" t="n">
        <f aca="false">IF('Boletins Nuppa Site'!J14&lt;&gt;0,'Boletins Nuppa Site'!J14,"NULL")</f>
        <v>42</v>
      </c>
      <c r="H14" s="30" t="n">
        <f aca="false">IF('Boletins Nuppa Site'!K14&lt;&gt;0,'Boletins Nuppa Site'!K14,"NULL")</f>
        <v>42</v>
      </c>
      <c r="I14" s="0" t="str">
        <f aca="false">"INSERT INTO COTACAO (cot_id, cot_blt_id, cot_pap_id, cot_prc_comum, cot_prc_min, cot_prc_max, cot_prc_med, cot_prc_mediana) VALUES ("&amp;A14&amp;", "&amp;B14&amp;", "&amp;C14&amp;", "&amp;D14&amp;", "&amp;E14&amp;", "&amp;F14&amp;", "&amp;G14&amp;", "&amp;H14&amp;");"</f>
        <v>INSERT INTO COTACAO (cot_id, cot_blt_id, cot_pap_id, cot_prc_comum, cot_prc_min, cot_prc_max, cot_prc_med, cot_prc_mediana) VALUES (13, 37, 13, NULL, 36, 48, 42, 42);</v>
      </c>
      <c r="J14" s="0" t="str">
        <f aca="false">"UPDATE COTACAO SET cot_id = "&amp;A14&amp;", cot_blt_id = "&amp;B14&amp;", cot_pap_id = "&amp;C14&amp;", cot_prc_comum = "&amp;D14&amp;", cot_prc_min = "&amp;E14&amp;", cot_prc_max = "&amp;F14&amp;", cot_prc_med = "&amp;G14&amp;", cot_prc_mediana = "&amp;H14&amp;" WHERE cot_id = "&amp;A14&amp;";"</f>
        <v>UPDATE COTACAO SET cot_id = 13, cot_blt_id = 37, cot_pap_id = 13, cot_prc_comum = NULL, cot_prc_min = 36, cot_prc_max = 48, cot_prc_med = 42, cot_prc_mediana = 42 WHERE cot_id = 13;</v>
      </c>
    </row>
    <row r="15" customFormat="false" ht="14.25" hidden="false" customHeight="false" outlineLevel="0" collapsed="false">
      <c r="A15" s="0" t="n">
        <v>14</v>
      </c>
      <c r="B15" s="0" t="n">
        <f aca="false">IF('Boletins Nuppa Site'!A15&lt;&gt;0,'Boletins Nuppa Site'!A15,"NULL")</f>
        <v>37</v>
      </c>
      <c r="C15" s="0" t="n">
        <v>14</v>
      </c>
      <c r="D15" s="0" t="str">
        <f aca="false">IF('Boletins Nuppa Site'!G15&lt;&gt;0,'Boletins Nuppa Site'!G15,"NULL")</f>
        <v>NULL</v>
      </c>
      <c r="E15" s="30" t="n">
        <f aca="false">IF('Boletins Nuppa Site'!H15&lt;&gt;0,'Boletins Nuppa Site'!H15,"NULL")</f>
        <v>60</v>
      </c>
      <c r="F15" s="30" t="n">
        <f aca="false">IF('Boletins Nuppa Site'!I15&lt;&gt;0,'Boletins Nuppa Site'!I15,"NULL")</f>
        <v>60</v>
      </c>
      <c r="G15" s="30" t="n">
        <f aca="false">IF('Boletins Nuppa Site'!J15&lt;&gt;0,'Boletins Nuppa Site'!J15,"NULL")</f>
        <v>60</v>
      </c>
      <c r="H15" s="30" t="n">
        <f aca="false">IF('Boletins Nuppa Site'!K15&lt;&gt;0,'Boletins Nuppa Site'!K15,"NULL")</f>
        <v>60</v>
      </c>
      <c r="I15" s="0" t="str">
        <f aca="false">"INSERT INTO COTACAO (cot_id, cot_blt_id, cot_pap_id, cot_prc_comum, cot_prc_min, cot_prc_max, cot_prc_med, cot_prc_mediana) VALUES ("&amp;A15&amp;", "&amp;B15&amp;", "&amp;C15&amp;", "&amp;D15&amp;", "&amp;E15&amp;", "&amp;F15&amp;", "&amp;G15&amp;", "&amp;H15&amp;");"</f>
        <v>INSERT INTO COTACAO (cot_id, cot_blt_id, cot_pap_id, cot_prc_comum, cot_prc_min, cot_prc_max, cot_prc_med, cot_prc_mediana) VALUES (14, 37, 14, NULL, 60, 60, 60, 60);</v>
      </c>
      <c r="J15" s="0" t="str">
        <f aca="false">"UPDATE COTACAO SET cot_id = "&amp;A15&amp;", cot_blt_id = "&amp;B15&amp;", cot_pap_id = "&amp;C15&amp;", cot_prc_comum = "&amp;D15&amp;", cot_prc_min = "&amp;E15&amp;", cot_prc_max = "&amp;F15&amp;", cot_prc_med = "&amp;G15&amp;", cot_prc_mediana = "&amp;H15&amp;" WHERE cot_id = "&amp;A15&amp;";"</f>
        <v>UPDATE COTACAO SET cot_id = 14, cot_blt_id = 37, cot_pap_id = 14, cot_prc_comum = NULL, cot_prc_min = 60, cot_prc_max = 60, cot_prc_med = 60, cot_prc_mediana = 60 WHERE cot_id = 14;</v>
      </c>
    </row>
    <row r="16" customFormat="false" ht="14.25" hidden="false" customHeight="false" outlineLevel="0" collapsed="false">
      <c r="A16" s="0" t="n">
        <v>15</v>
      </c>
      <c r="B16" s="0" t="n">
        <f aca="false">IF('Boletins Nuppa Site'!A16&lt;&gt;0,'Boletins Nuppa Site'!A16,"NULL")</f>
        <v>37</v>
      </c>
      <c r="C16" s="0" t="n">
        <v>15</v>
      </c>
      <c r="D16" s="0" t="str">
        <f aca="false">IF('Boletins Nuppa Site'!G16&lt;&gt;0,'Boletins Nuppa Site'!G16,"NULL")</f>
        <v>NULL</v>
      </c>
      <c r="E16" s="30" t="n">
        <f aca="false">IF('Boletins Nuppa Site'!H16&lt;&gt;0,'Boletins Nuppa Site'!H16,"NULL")</f>
        <v>24</v>
      </c>
      <c r="F16" s="30" t="n">
        <f aca="false">IF('Boletins Nuppa Site'!I16&lt;&gt;0,'Boletins Nuppa Site'!I16,"NULL")</f>
        <v>36</v>
      </c>
      <c r="G16" s="30" t="n">
        <f aca="false">IF('Boletins Nuppa Site'!J16&lt;&gt;0,'Boletins Nuppa Site'!J16,"NULL")</f>
        <v>30</v>
      </c>
      <c r="H16" s="30" t="n">
        <f aca="false">IF('Boletins Nuppa Site'!K16&lt;&gt;0,'Boletins Nuppa Site'!K16,"NULL")</f>
        <v>30</v>
      </c>
      <c r="I16" s="0" t="str">
        <f aca="false">"INSERT INTO COTACAO (cot_id, cot_blt_id, cot_pap_id, cot_prc_comum, cot_prc_min, cot_prc_max, cot_prc_med, cot_prc_mediana) VALUES ("&amp;A16&amp;", "&amp;B16&amp;", "&amp;C16&amp;", "&amp;D16&amp;", "&amp;E16&amp;", "&amp;F16&amp;", "&amp;G16&amp;", "&amp;H16&amp;");"</f>
        <v>INSERT INTO COTACAO (cot_id, cot_blt_id, cot_pap_id, cot_prc_comum, cot_prc_min, cot_prc_max, cot_prc_med, cot_prc_mediana) VALUES (15, 37, 15, NULL, 24, 36, 30, 30);</v>
      </c>
      <c r="J16" s="0" t="str">
        <f aca="false">"UPDATE COTACAO SET cot_id = "&amp;A16&amp;", cot_blt_id = "&amp;B16&amp;", cot_pap_id = "&amp;C16&amp;", cot_prc_comum = "&amp;D16&amp;", cot_prc_min = "&amp;E16&amp;", cot_prc_max = "&amp;F16&amp;", cot_prc_med = "&amp;G16&amp;", cot_prc_mediana = "&amp;H16&amp;" WHERE cot_id = "&amp;A16&amp;";"</f>
        <v>UPDATE COTACAO SET cot_id = 15, cot_blt_id = 37, cot_pap_id = 15, cot_prc_comum = NULL, cot_prc_min = 24, cot_prc_max = 36, cot_prc_med = 30, cot_prc_mediana = 30 WHERE cot_id = 15;</v>
      </c>
    </row>
    <row r="17" customFormat="false" ht="14.25" hidden="false" customHeight="false" outlineLevel="0" collapsed="false">
      <c r="A17" s="0" t="n">
        <v>16</v>
      </c>
      <c r="B17" s="0" t="n">
        <f aca="false">IF('Boletins Nuppa Site'!A17&lt;&gt;0,'Boletins Nuppa Site'!A17,"NULL")</f>
        <v>37</v>
      </c>
      <c r="C17" s="0" t="n">
        <v>16</v>
      </c>
      <c r="D17" s="30" t="n">
        <f aca="false">IF('Boletins Nuppa Site'!G17&lt;&gt;0,'Boletins Nuppa Site'!G17,"NULL")</f>
        <v>42</v>
      </c>
      <c r="E17" s="30" t="n">
        <f aca="false">IF('Boletins Nuppa Site'!H17&lt;&gt;0,'Boletins Nuppa Site'!H17,"NULL")</f>
        <v>36</v>
      </c>
      <c r="F17" s="30" t="n">
        <f aca="false">IF('Boletins Nuppa Site'!I17&lt;&gt;0,'Boletins Nuppa Site'!I17,"NULL")</f>
        <v>42</v>
      </c>
      <c r="G17" s="30" t="n">
        <f aca="false">IF('Boletins Nuppa Site'!J17&lt;&gt;0,'Boletins Nuppa Site'!J17,"NULL")</f>
        <v>40</v>
      </c>
      <c r="H17" s="30" t="n">
        <f aca="false">IF('Boletins Nuppa Site'!K17&lt;&gt;0,'Boletins Nuppa Site'!K17,"NULL")</f>
        <v>42</v>
      </c>
      <c r="I17" s="0" t="str">
        <f aca="false">"INSERT INTO COTACAO (cot_id, cot_blt_id, cot_pap_id, cot_prc_comum, cot_prc_min, cot_prc_max, cot_prc_med, cot_prc_mediana) VALUES ("&amp;A17&amp;", "&amp;B17&amp;", "&amp;C17&amp;", "&amp;D17&amp;", "&amp;E17&amp;", "&amp;F17&amp;", "&amp;G17&amp;", "&amp;H17&amp;");"</f>
        <v>INSERT INTO COTACAO (cot_id, cot_blt_id, cot_pap_id, cot_prc_comum, cot_prc_min, cot_prc_max, cot_prc_med, cot_prc_mediana) VALUES (16, 37, 16, 42, 36, 42, 40, 42);</v>
      </c>
      <c r="J17" s="0" t="str">
        <f aca="false">"UPDATE COTACAO SET cot_id = "&amp;A17&amp;", cot_blt_id = "&amp;B17&amp;", cot_pap_id = "&amp;C17&amp;", cot_prc_comum = "&amp;D17&amp;", cot_prc_min = "&amp;E17&amp;", cot_prc_max = "&amp;F17&amp;", cot_prc_med = "&amp;G17&amp;", cot_prc_mediana = "&amp;H17&amp;" WHERE cot_id = "&amp;A17&amp;";"</f>
        <v>UPDATE COTACAO SET cot_id = 16, cot_blt_id = 37, cot_pap_id = 16, cot_prc_comum = 42, cot_prc_min = 36, cot_prc_max = 42, cot_prc_med = 40, cot_prc_mediana = 42 WHERE cot_id = 16;</v>
      </c>
    </row>
    <row r="18" customFormat="false" ht="14.25" hidden="false" customHeight="false" outlineLevel="0" collapsed="false">
      <c r="A18" s="0" t="n">
        <v>17</v>
      </c>
      <c r="B18" s="0" t="n">
        <f aca="false">IF('Boletins Nuppa Site'!A18&lt;&gt;0,'Boletins Nuppa Site'!A18,"NULL")</f>
        <v>37</v>
      </c>
      <c r="C18" s="0" t="n">
        <v>17</v>
      </c>
      <c r="D18" s="30" t="n">
        <f aca="false">IF('Boletins Nuppa Site'!G18&lt;&gt;0,'Boletins Nuppa Site'!G18,"NULL")</f>
        <v>4</v>
      </c>
      <c r="E18" s="30" t="n">
        <f aca="false">IF('Boletins Nuppa Site'!H18&lt;&gt;0,'Boletins Nuppa Site'!H18,"NULL")</f>
        <v>3</v>
      </c>
      <c r="F18" s="30" t="n">
        <f aca="false">IF('Boletins Nuppa Site'!I18&lt;&gt;0,'Boletins Nuppa Site'!I18,"NULL")</f>
        <v>4</v>
      </c>
      <c r="G18" s="0" t="str">
        <f aca="false">IF('Boletins Nuppa Site'!J18&lt;&gt;0,'Boletins Nuppa Site'!J18,"NULL")</f>
        <v>3.67</v>
      </c>
      <c r="H18" s="30" t="n">
        <f aca="false">IF('Boletins Nuppa Site'!K18&lt;&gt;0,'Boletins Nuppa Site'!K18,"NULL")</f>
        <v>4</v>
      </c>
      <c r="I18" s="0" t="str">
        <f aca="false">"INSERT INTO COTACAO (cot_id, cot_blt_id, cot_pap_id, cot_prc_comum, cot_prc_min, cot_prc_max, cot_prc_med, cot_prc_mediana) VALUES ("&amp;A18&amp;", "&amp;B18&amp;", "&amp;C18&amp;", "&amp;D18&amp;", "&amp;E18&amp;", "&amp;F18&amp;", "&amp;G18&amp;", "&amp;H18&amp;");"</f>
        <v>INSERT INTO COTACAO (cot_id, cot_blt_id, cot_pap_id, cot_prc_comum, cot_prc_min, cot_prc_max, cot_prc_med, cot_prc_mediana) VALUES (17, 37, 17, 4, 3, 4, 3.67, 4);</v>
      </c>
      <c r="J18" s="0" t="str">
        <f aca="false">"UPDATE COTACAO SET cot_id = "&amp;A18&amp;", cot_blt_id = "&amp;B18&amp;", cot_pap_id = "&amp;C18&amp;", cot_prc_comum = "&amp;D18&amp;", cot_prc_min = "&amp;E18&amp;", cot_prc_max = "&amp;F18&amp;", cot_prc_med = "&amp;G18&amp;", cot_prc_mediana = "&amp;H18&amp;" WHERE cot_id = "&amp;A18&amp;";"</f>
        <v>UPDATE COTACAO SET cot_id = 17, cot_blt_id = 37, cot_pap_id = 17, cot_prc_comum = 4, cot_prc_min = 3, cot_prc_max = 4, cot_prc_med = 3.67, cot_prc_mediana = 4 WHERE cot_id = 17;</v>
      </c>
    </row>
    <row r="19" customFormat="false" ht="14.25" hidden="false" customHeight="false" outlineLevel="0" collapsed="false">
      <c r="A19" s="0" t="n">
        <v>18</v>
      </c>
      <c r="B19" s="0" t="n">
        <f aca="false">IF('Boletins Nuppa Site'!A19&lt;&gt;0,'Boletins Nuppa Site'!A19,"NULL")</f>
        <v>37</v>
      </c>
      <c r="C19" s="0" t="n">
        <v>18</v>
      </c>
      <c r="D19" s="30" t="n">
        <f aca="false">IF('Boletins Nuppa Site'!G19&lt;&gt;0,'Boletins Nuppa Site'!G19,"NULL")</f>
        <v>25</v>
      </c>
      <c r="E19" s="30" t="n">
        <f aca="false">IF('Boletins Nuppa Site'!H19&lt;&gt;0,'Boletins Nuppa Site'!H19,"NULL")</f>
        <v>25</v>
      </c>
      <c r="F19" s="30" t="n">
        <f aca="false">IF('Boletins Nuppa Site'!I19&lt;&gt;0,'Boletins Nuppa Site'!I19,"NULL")</f>
        <v>25</v>
      </c>
      <c r="G19" s="30" t="n">
        <f aca="false">IF('Boletins Nuppa Site'!J19&lt;&gt;0,'Boletins Nuppa Site'!J19,"NULL")</f>
        <v>25</v>
      </c>
      <c r="H19" s="30" t="n">
        <f aca="false">IF('Boletins Nuppa Site'!K19&lt;&gt;0,'Boletins Nuppa Site'!K19,"NULL")</f>
        <v>25</v>
      </c>
      <c r="I19" s="0" t="str">
        <f aca="false">"INSERT INTO COTACAO (cot_id, cot_blt_id, cot_pap_id, cot_prc_comum, cot_prc_min, cot_prc_max, cot_prc_med, cot_prc_mediana) VALUES ("&amp;A19&amp;", "&amp;B19&amp;", "&amp;C19&amp;", "&amp;D19&amp;", "&amp;E19&amp;", "&amp;F19&amp;", "&amp;G19&amp;", "&amp;H19&amp;");"</f>
        <v>INSERT INTO COTACAO (cot_id, cot_blt_id, cot_pap_id, cot_prc_comum, cot_prc_min, cot_prc_max, cot_prc_med, cot_prc_mediana) VALUES (18, 37, 18, 25, 25, 25, 25, 25);</v>
      </c>
      <c r="J19" s="0" t="str">
        <f aca="false">"UPDATE COTACAO SET cot_id = "&amp;A19&amp;", cot_blt_id = "&amp;B19&amp;", cot_pap_id = "&amp;C19&amp;", cot_prc_comum = "&amp;D19&amp;", cot_prc_min = "&amp;E19&amp;", cot_prc_max = "&amp;F19&amp;", cot_prc_med = "&amp;G19&amp;", cot_prc_mediana = "&amp;H19&amp;" WHERE cot_id = "&amp;A19&amp;";"</f>
        <v>UPDATE COTACAO SET cot_id = 18, cot_blt_id = 37, cot_pap_id = 18, cot_prc_comum = 25, cot_prc_min = 25, cot_prc_max = 25, cot_prc_med = 25, cot_prc_mediana = 25 WHERE cot_id = 18;</v>
      </c>
    </row>
    <row r="20" customFormat="false" ht="14.25" hidden="false" customHeight="false" outlineLevel="0" collapsed="false">
      <c r="A20" s="0" t="n">
        <v>19</v>
      </c>
      <c r="B20" s="0" t="n">
        <f aca="false">IF('Boletins Nuppa Site'!A20&lt;&gt;0,'Boletins Nuppa Site'!A20,"NULL")</f>
        <v>37</v>
      </c>
      <c r="C20" s="0" t="n">
        <v>19</v>
      </c>
      <c r="D20" s="30" t="n">
        <f aca="false">IF('Boletins Nuppa Site'!G20&lt;&gt;0,'Boletins Nuppa Site'!G20,"NULL")</f>
        <v>25</v>
      </c>
      <c r="E20" s="30" t="n">
        <f aca="false">IF('Boletins Nuppa Site'!H20&lt;&gt;0,'Boletins Nuppa Site'!H20,"NULL")</f>
        <v>20</v>
      </c>
      <c r="F20" s="30" t="n">
        <f aca="false">IF('Boletins Nuppa Site'!I20&lt;&gt;0,'Boletins Nuppa Site'!I20,"NULL")</f>
        <v>25</v>
      </c>
      <c r="G20" s="0" t="str">
        <f aca="false">IF('Boletins Nuppa Site'!J20&lt;&gt;0,'Boletins Nuppa Site'!J20,"NULL")</f>
        <v>22.5</v>
      </c>
      <c r="H20" s="0" t="str">
        <f aca="false">IF('Boletins Nuppa Site'!K20&lt;&gt;0,'Boletins Nuppa Site'!K20,"NULL")</f>
        <v>22.5</v>
      </c>
      <c r="I20" s="0" t="str">
        <f aca="false">"INSERT INTO COTACAO (cot_id, cot_blt_id, cot_pap_id, cot_prc_comum, cot_prc_min, cot_prc_max, cot_prc_med, cot_prc_mediana) VALUES ("&amp;A20&amp;", "&amp;B20&amp;", "&amp;C20&amp;", "&amp;D20&amp;", "&amp;E20&amp;", "&amp;F20&amp;", "&amp;G20&amp;", "&amp;H20&amp;");"</f>
        <v>INSERT INTO COTACAO (cot_id, cot_blt_id, cot_pap_id, cot_prc_comum, cot_prc_min, cot_prc_max, cot_prc_med, cot_prc_mediana) VALUES (19, 37, 19, 25, 20, 25, 22.5, 22.5);</v>
      </c>
      <c r="J20" s="0" t="str">
        <f aca="false">"UPDATE COTACAO SET cot_id = "&amp;A20&amp;", cot_blt_id = "&amp;B20&amp;", cot_pap_id = "&amp;C20&amp;", cot_prc_comum = "&amp;D20&amp;", cot_prc_min = "&amp;E20&amp;", cot_prc_max = "&amp;F20&amp;", cot_prc_med = "&amp;G20&amp;", cot_prc_mediana = "&amp;H20&amp;" WHERE cot_id = "&amp;A20&amp;";"</f>
        <v>UPDATE COTACAO SET cot_id = 19, cot_blt_id = 37, cot_pap_id = 19, cot_prc_comum = 25, cot_prc_min = 20, cot_prc_max = 25, cot_prc_med = 22.5, cot_prc_mediana = 22.5 WHERE cot_id = 19;</v>
      </c>
    </row>
    <row r="21" customFormat="false" ht="14.25" hidden="false" customHeight="false" outlineLevel="0" collapsed="false">
      <c r="A21" s="0" t="n">
        <v>20</v>
      </c>
      <c r="B21" s="0" t="n">
        <f aca="false">IF('Boletins Nuppa Site'!A21&lt;&gt;0,'Boletins Nuppa Site'!A21,"NULL")</f>
        <v>37</v>
      </c>
      <c r="C21" s="0" t="n">
        <v>21</v>
      </c>
      <c r="D21" s="30" t="n">
        <f aca="false">IF('Boletins Nuppa Site'!G21&lt;&gt;0,'Boletins Nuppa Site'!G21,"NULL")</f>
        <v>60</v>
      </c>
      <c r="E21" s="30" t="n">
        <f aca="false">IF('Boletins Nuppa Site'!H21&lt;&gt;0,'Boletins Nuppa Site'!H21,"NULL")</f>
        <v>50</v>
      </c>
      <c r="F21" s="30" t="n">
        <f aca="false">IF('Boletins Nuppa Site'!I21&lt;&gt;0,'Boletins Nuppa Site'!I21,"NULL")</f>
        <v>60</v>
      </c>
      <c r="G21" s="0" t="str">
        <f aca="false">IF('Boletins Nuppa Site'!J21&lt;&gt;0,'Boletins Nuppa Site'!J21,"NULL")</f>
        <v>57.5</v>
      </c>
      <c r="H21" s="30" t="n">
        <f aca="false">IF('Boletins Nuppa Site'!K21&lt;&gt;0,'Boletins Nuppa Site'!K21,"NULL")</f>
        <v>60</v>
      </c>
      <c r="I21" s="0" t="str">
        <f aca="false">"INSERT INTO COTACAO (cot_id, cot_blt_id, cot_pap_id, cot_prc_comum, cot_prc_min, cot_prc_max, cot_prc_med, cot_prc_mediana) VALUES ("&amp;A21&amp;", "&amp;B21&amp;", "&amp;C21&amp;", "&amp;D21&amp;", "&amp;E21&amp;", "&amp;F21&amp;", "&amp;G21&amp;", "&amp;H21&amp;");"</f>
        <v>INSERT INTO COTACAO (cot_id, cot_blt_id, cot_pap_id, cot_prc_comum, cot_prc_min, cot_prc_max, cot_prc_med, cot_prc_mediana) VALUES (20, 37, 21, 60, 50, 60, 57.5, 60);</v>
      </c>
      <c r="J21" s="0" t="str">
        <f aca="false">"UPDATE COTACAO SET cot_id = "&amp;A21&amp;", cot_blt_id = "&amp;B21&amp;", cot_pap_id = "&amp;C21&amp;", cot_prc_comum = "&amp;D21&amp;", cot_prc_min = "&amp;E21&amp;", cot_prc_max = "&amp;F21&amp;", cot_prc_med = "&amp;G21&amp;", cot_prc_mediana = "&amp;H21&amp;" WHERE cot_id = "&amp;A21&amp;";"</f>
        <v>UPDATE COTACAO SET cot_id = 20, cot_blt_id = 37, cot_pap_id = 21, cot_prc_comum = 60, cot_prc_min = 50, cot_prc_max = 60, cot_prc_med = 57.5, cot_prc_mediana = 60 WHERE cot_id = 20;</v>
      </c>
    </row>
    <row r="22" customFormat="false" ht="14.25" hidden="false" customHeight="false" outlineLevel="0" collapsed="false">
      <c r="A22" s="0" t="n">
        <v>21</v>
      </c>
      <c r="B22" s="0" t="n">
        <f aca="false">IF('Boletins Nuppa Site'!A22&lt;&gt;0,'Boletins Nuppa Site'!A22,"NULL")</f>
        <v>37</v>
      </c>
      <c r="C22" s="0" t="n">
        <v>22</v>
      </c>
      <c r="D22" s="30" t="n">
        <f aca="false">IF('Boletins Nuppa Site'!G22&lt;&gt;0,'Boletins Nuppa Site'!G22,"NULL")</f>
        <v>50</v>
      </c>
      <c r="E22" s="30" t="n">
        <f aca="false">IF('Boletins Nuppa Site'!H22&lt;&gt;0,'Boletins Nuppa Site'!H22,"NULL")</f>
        <v>50</v>
      </c>
      <c r="F22" s="30" t="n">
        <f aca="false">IF('Boletins Nuppa Site'!I22&lt;&gt;0,'Boletins Nuppa Site'!I22,"NULL")</f>
        <v>65</v>
      </c>
      <c r="G22" s="30" t="n">
        <f aca="false">IF('Boletins Nuppa Site'!J22&lt;&gt;0,'Boletins Nuppa Site'!J22,"NULL")</f>
        <v>55</v>
      </c>
      <c r="H22" s="30" t="n">
        <f aca="false">IF('Boletins Nuppa Site'!K22&lt;&gt;0,'Boletins Nuppa Site'!K22,"NULL")</f>
        <v>50</v>
      </c>
      <c r="I22" s="0" t="str">
        <f aca="false">"INSERT INTO COTACAO (cot_id, cot_blt_id, cot_pap_id, cot_prc_comum, cot_prc_min, cot_prc_max, cot_prc_med, cot_prc_mediana) VALUES ("&amp;A22&amp;", "&amp;B22&amp;", "&amp;C22&amp;", "&amp;D22&amp;", "&amp;E22&amp;", "&amp;F22&amp;", "&amp;G22&amp;", "&amp;H22&amp;");"</f>
        <v>INSERT INTO COTACAO (cot_id, cot_blt_id, cot_pap_id, cot_prc_comum, cot_prc_min, cot_prc_max, cot_prc_med, cot_prc_mediana) VALUES (21, 37, 22, 50, 50, 65, 55, 50);</v>
      </c>
      <c r="J22" s="0" t="str">
        <f aca="false">"UPDATE COTACAO SET cot_id = "&amp;A22&amp;", cot_blt_id = "&amp;B22&amp;", cot_pap_id = "&amp;C22&amp;", cot_prc_comum = "&amp;D22&amp;", cot_prc_min = "&amp;E22&amp;", cot_prc_max = "&amp;F22&amp;", cot_prc_med = "&amp;G22&amp;", cot_prc_mediana = "&amp;H22&amp;" WHERE cot_id = "&amp;A22&amp;";"</f>
        <v>UPDATE COTACAO SET cot_id = 21, cot_blt_id = 37, cot_pap_id = 22, cot_prc_comum = 50, cot_prc_min = 50, cot_prc_max = 65, cot_prc_med = 55, cot_prc_mediana = 50 WHERE cot_id = 21;</v>
      </c>
    </row>
    <row r="23" customFormat="false" ht="14.25" hidden="false" customHeight="false" outlineLevel="0" collapsed="false">
      <c r="A23" s="0" t="n">
        <v>22</v>
      </c>
      <c r="B23" s="0" t="n">
        <f aca="false">IF('Boletins Nuppa Site'!A23&lt;&gt;0,'Boletins Nuppa Site'!A23,"NULL")</f>
        <v>37</v>
      </c>
      <c r="C23" s="0" t="n">
        <v>23</v>
      </c>
      <c r="D23" s="30" t="n">
        <f aca="false">IF('Boletins Nuppa Site'!G23&lt;&gt;0,'Boletins Nuppa Site'!G23,"NULL")</f>
        <v>40</v>
      </c>
      <c r="E23" s="30" t="n">
        <f aca="false">IF('Boletins Nuppa Site'!H23&lt;&gt;0,'Boletins Nuppa Site'!H23,"NULL")</f>
        <v>40</v>
      </c>
      <c r="F23" s="30" t="n">
        <f aca="false">IF('Boletins Nuppa Site'!I23&lt;&gt;0,'Boletins Nuppa Site'!I23,"NULL")</f>
        <v>50</v>
      </c>
      <c r="G23" s="0" t="str">
        <f aca="false">IF('Boletins Nuppa Site'!J23&lt;&gt;0,'Boletins Nuppa Site'!J23,"NULL")</f>
        <v>44.17</v>
      </c>
      <c r="H23" s="0" t="str">
        <f aca="false">IF('Boletins Nuppa Site'!K23&lt;&gt;0,'Boletins Nuppa Site'!K23,"NULL")</f>
        <v>42.5</v>
      </c>
      <c r="I23" s="0" t="str">
        <f aca="false">"INSERT INTO COTACAO (cot_id, cot_blt_id, cot_pap_id, cot_prc_comum, cot_prc_min, cot_prc_max, cot_prc_med, cot_prc_mediana) VALUES ("&amp;A23&amp;", "&amp;B23&amp;", "&amp;C23&amp;", "&amp;D23&amp;", "&amp;E23&amp;", "&amp;F23&amp;", "&amp;G23&amp;", "&amp;H23&amp;");"</f>
        <v>INSERT INTO COTACAO (cot_id, cot_blt_id, cot_pap_id, cot_prc_comum, cot_prc_min, cot_prc_max, cot_prc_med, cot_prc_mediana) VALUES (22, 37, 23, 40, 40, 50, 44.17, 42.5);</v>
      </c>
      <c r="J23" s="0" t="str">
        <f aca="false">"UPDATE COTACAO SET cot_id = "&amp;A23&amp;", cot_blt_id = "&amp;B23&amp;", cot_pap_id = "&amp;C23&amp;", cot_prc_comum = "&amp;D23&amp;", cot_prc_min = "&amp;E23&amp;", cot_prc_max = "&amp;F23&amp;", cot_prc_med = "&amp;G23&amp;", cot_prc_mediana = "&amp;H23&amp;" WHERE cot_id = "&amp;A23&amp;";"</f>
        <v>UPDATE COTACAO SET cot_id = 22, cot_blt_id = 37, cot_pap_id = 23, cot_prc_comum = 40, cot_prc_min = 40, cot_prc_max = 50, cot_prc_med = 44.17, cot_prc_mediana = 42.5 WHERE cot_id = 22;</v>
      </c>
    </row>
    <row r="24" customFormat="false" ht="14.25" hidden="false" customHeight="false" outlineLevel="0" collapsed="false">
      <c r="A24" s="0" t="n">
        <v>23</v>
      </c>
      <c r="B24" s="0" t="n">
        <f aca="false">IF('Boletins Nuppa Site'!A24&lt;&gt;0,'Boletins Nuppa Site'!A24,"NULL")</f>
        <v>37</v>
      </c>
      <c r="C24" s="0" t="n">
        <v>24</v>
      </c>
      <c r="D24" s="0" t="str">
        <f aca="false">IF('Boletins Nuppa Site'!G24&lt;&gt;0,'Boletins Nuppa Site'!G24,"NULL")</f>
        <v>NULL</v>
      </c>
      <c r="E24" s="0" t="str">
        <f aca="false">IF('Boletins Nuppa Site'!H24&lt;&gt;0,'Boletins Nuppa Site'!H24,"NULL")</f>
        <v>NULL</v>
      </c>
      <c r="F24" s="0" t="str">
        <f aca="false">IF('Boletins Nuppa Site'!I24&lt;&gt;0,'Boletins Nuppa Site'!I24,"NULL")</f>
        <v>NULL</v>
      </c>
      <c r="G24" s="0" t="str">
        <f aca="false">IF('Boletins Nuppa Site'!J24&lt;&gt;0,'Boletins Nuppa Site'!J24,"NULL")</f>
        <v>NULL</v>
      </c>
      <c r="H24" s="0" t="str">
        <f aca="false">IF('Boletins Nuppa Site'!K24&lt;&gt;0,'Boletins Nuppa Site'!K24,"NULL")</f>
        <v>NULL</v>
      </c>
      <c r="I24" s="0" t="str">
        <f aca="false">"INSERT INTO COTACAO (cot_id, cot_blt_id, cot_pap_id, cot_prc_comum, cot_prc_min, cot_prc_max, cot_prc_med, cot_prc_mediana) VALUES ("&amp;A24&amp;", "&amp;B24&amp;", "&amp;C24&amp;", "&amp;D24&amp;", "&amp;E24&amp;", "&amp;F24&amp;", "&amp;G24&amp;", "&amp;H24&amp;");"</f>
        <v>INSERT INTO COTACAO (cot_id, cot_blt_id, cot_pap_id, cot_prc_comum, cot_prc_min, cot_prc_max, cot_prc_med, cot_prc_mediana) VALUES (23, 37, 24, NULL, NULL, NULL, NULL, NULL);</v>
      </c>
      <c r="J24" s="0" t="str">
        <f aca="false">"UPDATE COTACAO SET cot_id = "&amp;A24&amp;", cot_blt_id = "&amp;B24&amp;", cot_pap_id = "&amp;C24&amp;", cot_prc_comum = "&amp;D24&amp;", cot_prc_min = "&amp;E24&amp;", cot_prc_max = "&amp;F24&amp;", cot_prc_med = "&amp;G24&amp;", cot_prc_mediana = "&amp;H24&amp;" WHERE cot_id = "&amp;A24&amp;";"</f>
        <v>UPDATE COTACAO SET cot_id = 23, cot_blt_id = 37, cot_pap_id = 24, cot_prc_comum = NULL, cot_prc_min = NULL, cot_prc_max = NULL, cot_prc_med = NULL, cot_prc_mediana = NULL WHERE cot_id = 23;</v>
      </c>
    </row>
    <row r="25" customFormat="false" ht="14.25" hidden="false" customHeight="false" outlineLevel="0" collapsed="false">
      <c r="A25" s="0" t="n">
        <v>24</v>
      </c>
      <c r="B25" s="0" t="n">
        <f aca="false">IF('Boletins Nuppa Site'!A25&lt;&gt;0,'Boletins Nuppa Site'!A25,"NULL")</f>
        <v>37</v>
      </c>
      <c r="C25" s="0" t="n">
        <v>25</v>
      </c>
      <c r="D25" s="0" t="str">
        <f aca="false">IF('Boletins Nuppa Site'!G25&lt;&gt;0,'Boletins Nuppa Site'!G25,"NULL")</f>
        <v>NULL</v>
      </c>
      <c r="E25" s="30" t="n">
        <f aca="false">IF('Boletins Nuppa Site'!H25&lt;&gt;0,'Boletins Nuppa Site'!H25,"NULL")</f>
        <v>48</v>
      </c>
      <c r="F25" s="30" t="n">
        <f aca="false">IF('Boletins Nuppa Site'!I25&lt;&gt;0,'Boletins Nuppa Site'!I25,"NULL")</f>
        <v>60</v>
      </c>
      <c r="G25" s="0" t="str">
        <f aca="false">IF('Boletins Nuppa Site'!J25&lt;&gt;0,'Boletins Nuppa Site'!J25,"NULL")</f>
        <v>52.67</v>
      </c>
      <c r="H25" s="30" t="n">
        <f aca="false">IF('Boletins Nuppa Site'!K25&lt;&gt;0,'Boletins Nuppa Site'!K25,"NULL")</f>
        <v>50</v>
      </c>
      <c r="I25" s="0" t="str">
        <f aca="false">"INSERT INTO COTACAO (cot_id, cot_blt_id, cot_pap_id, cot_prc_comum, cot_prc_min, cot_prc_max, cot_prc_med, cot_prc_mediana) VALUES ("&amp;A25&amp;", "&amp;B25&amp;", "&amp;C25&amp;", "&amp;D25&amp;", "&amp;E25&amp;", "&amp;F25&amp;", "&amp;G25&amp;", "&amp;H25&amp;");"</f>
        <v>INSERT INTO COTACAO (cot_id, cot_blt_id, cot_pap_id, cot_prc_comum, cot_prc_min, cot_prc_max, cot_prc_med, cot_prc_mediana) VALUES (24, 37, 25, NULL, 48, 60, 52.67, 50);</v>
      </c>
      <c r="J25" s="0" t="str">
        <f aca="false">"UPDATE COTACAO SET cot_id = "&amp;A25&amp;", cot_blt_id = "&amp;B25&amp;", cot_pap_id = "&amp;C25&amp;", cot_prc_comum = "&amp;D25&amp;", cot_prc_min = "&amp;E25&amp;", cot_prc_max = "&amp;F25&amp;", cot_prc_med = "&amp;G25&amp;", cot_prc_mediana = "&amp;H25&amp;" WHERE cot_id = "&amp;A25&amp;";"</f>
        <v>UPDATE COTACAO SET cot_id = 24, cot_blt_id = 37, cot_pap_id = 25, cot_prc_comum = NULL, cot_prc_min = 48, cot_prc_max = 60, cot_prc_med = 52.67, cot_prc_mediana = 50 WHERE cot_id = 24;</v>
      </c>
    </row>
    <row r="26" customFormat="false" ht="14.25" hidden="false" customHeight="false" outlineLevel="0" collapsed="false">
      <c r="A26" s="0" t="n">
        <v>25</v>
      </c>
      <c r="B26" s="0" t="n">
        <f aca="false">IF('Boletins Nuppa Site'!A26&lt;&gt;0,'Boletins Nuppa Site'!A26,"NULL")</f>
        <v>37</v>
      </c>
      <c r="C26" s="0" t="n">
        <v>26</v>
      </c>
      <c r="D26" s="30" t="n">
        <f aca="false">IF('Boletins Nuppa Site'!G26&lt;&gt;0,'Boletins Nuppa Site'!G26,"NULL")</f>
        <v>55</v>
      </c>
      <c r="E26" s="30" t="n">
        <f aca="false">IF('Boletins Nuppa Site'!H26&lt;&gt;0,'Boletins Nuppa Site'!H26,"NULL")</f>
        <v>50</v>
      </c>
      <c r="F26" s="30" t="n">
        <f aca="false">IF('Boletins Nuppa Site'!I26&lt;&gt;0,'Boletins Nuppa Site'!I26,"NULL")</f>
        <v>60</v>
      </c>
      <c r="G26" s="30" t="n">
        <f aca="false">IF('Boletins Nuppa Site'!J26&lt;&gt;0,'Boletins Nuppa Site'!J26,"NULL")</f>
        <v>55</v>
      </c>
      <c r="H26" s="30" t="n">
        <f aca="false">IF('Boletins Nuppa Site'!K26&lt;&gt;0,'Boletins Nuppa Site'!K26,"NULL")</f>
        <v>55</v>
      </c>
      <c r="I26" s="0" t="str">
        <f aca="false">"INSERT INTO COTACAO (cot_id, cot_blt_id, cot_pap_id, cot_prc_comum, cot_prc_min, cot_prc_max, cot_prc_med, cot_prc_mediana) VALUES ("&amp;A26&amp;", "&amp;B26&amp;", "&amp;C26&amp;", "&amp;D26&amp;", "&amp;E26&amp;", "&amp;F26&amp;", "&amp;G26&amp;", "&amp;H26&amp;");"</f>
        <v>INSERT INTO COTACAO (cot_id, cot_blt_id, cot_pap_id, cot_prc_comum, cot_prc_min, cot_prc_max, cot_prc_med, cot_prc_mediana) VALUES (25, 37, 26, 55, 50, 60, 55, 55);</v>
      </c>
      <c r="J26" s="0" t="str">
        <f aca="false">"UPDATE COTACAO SET cot_id = "&amp;A26&amp;", cot_blt_id = "&amp;B26&amp;", cot_pap_id = "&amp;C26&amp;", cot_prc_comum = "&amp;D26&amp;", cot_prc_min = "&amp;E26&amp;", cot_prc_max = "&amp;F26&amp;", cot_prc_med = "&amp;G26&amp;", cot_prc_mediana = "&amp;H26&amp;" WHERE cot_id = "&amp;A26&amp;";"</f>
        <v>UPDATE COTACAO SET cot_id = 25, cot_blt_id = 37, cot_pap_id = 26, cot_prc_comum = 55, cot_prc_min = 50, cot_prc_max = 60, cot_prc_med = 55, cot_prc_mediana = 55 WHERE cot_id = 25;</v>
      </c>
    </row>
    <row r="27" customFormat="false" ht="14.25" hidden="false" customHeight="false" outlineLevel="0" collapsed="false">
      <c r="A27" s="0" t="n">
        <v>26</v>
      </c>
      <c r="B27" s="0" t="n">
        <f aca="false">IF('Boletins Nuppa Site'!A27&lt;&gt;0,'Boletins Nuppa Site'!A27,"NULL")</f>
        <v>37</v>
      </c>
      <c r="C27" s="0" t="n">
        <v>27</v>
      </c>
      <c r="D27" s="30" t="n">
        <f aca="false">IF('Boletins Nuppa Site'!G27&lt;&gt;0,'Boletins Nuppa Site'!G27,"NULL")</f>
        <v>40</v>
      </c>
      <c r="E27" s="30" t="n">
        <f aca="false">IF('Boletins Nuppa Site'!H27&lt;&gt;0,'Boletins Nuppa Site'!H27,"NULL")</f>
        <v>30</v>
      </c>
      <c r="F27" s="30" t="n">
        <f aca="false">IF('Boletins Nuppa Site'!I27&lt;&gt;0,'Boletins Nuppa Site'!I27,"NULL")</f>
        <v>50</v>
      </c>
      <c r="G27" s="30" t="n">
        <f aca="false">IF('Boletins Nuppa Site'!J27&lt;&gt;0,'Boletins Nuppa Site'!J27,"NULL")</f>
        <v>40</v>
      </c>
      <c r="H27" s="30" t="n">
        <f aca="false">IF('Boletins Nuppa Site'!K27&lt;&gt;0,'Boletins Nuppa Site'!K27,"NULL")</f>
        <v>40</v>
      </c>
      <c r="I27" s="0" t="str">
        <f aca="false">"INSERT INTO COTACAO (cot_id, cot_blt_id, cot_pap_id, cot_prc_comum, cot_prc_min, cot_prc_max, cot_prc_med, cot_prc_mediana) VALUES ("&amp;A27&amp;", "&amp;B27&amp;", "&amp;C27&amp;", "&amp;D27&amp;", "&amp;E27&amp;", "&amp;F27&amp;", "&amp;G27&amp;", "&amp;H27&amp;");"</f>
        <v>INSERT INTO COTACAO (cot_id, cot_blt_id, cot_pap_id, cot_prc_comum, cot_prc_min, cot_prc_max, cot_prc_med, cot_prc_mediana) VALUES (26, 37, 27, 40, 30, 50, 40, 40);</v>
      </c>
      <c r="J27" s="0" t="str">
        <f aca="false">"UPDATE COTACAO SET cot_id = "&amp;A27&amp;", cot_blt_id = "&amp;B27&amp;", cot_pap_id = "&amp;C27&amp;", cot_prc_comum = "&amp;D27&amp;", cot_prc_min = "&amp;E27&amp;", cot_prc_max = "&amp;F27&amp;", cot_prc_med = "&amp;G27&amp;", cot_prc_mediana = "&amp;H27&amp;" WHERE cot_id = "&amp;A27&amp;";"</f>
        <v>UPDATE COTACAO SET cot_id = 26, cot_blt_id = 37, cot_pap_id = 27, cot_prc_comum = 40, cot_prc_min = 30, cot_prc_max = 50, cot_prc_med = 40, cot_prc_mediana = 40 WHERE cot_id = 26;</v>
      </c>
    </row>
    <row r="28" customFormat="false" ht="14.25" hidden="false" customHeight="false" outlineLevel="0" collapsed="false">
      <c r="A28" s="0" t="n">
        <v>27</v>
      </c>
      <c r="B28" s="0" t="n">
        <f aca="false">IF('Boletins Nuppa Site'!A28&lt;&gt;0,'Boletins Nuppa Site'!A28,"NULL")</f>
        <v>37</v>
      </c>
      <c r="C28" s="0" t="n">
        <v>28</v>
      </c>
      <c r="D28" s="30" t="n">
        <f aca="false">IF('Boletins Nuppa Site'!G28&lt;&gt;0,'Boletins Nuppa Site'!G28,"NULL")</f>
        <v>50</v>
      </c>
      <c r="E28" s="30" t="n">
        <f aca="false">IF('Boletins Nuppa Site'!H28&lt;&gt;0,'Boletins Nuppa Site'!H28,"NULL")</f>
        <v>50</v>
      </c>
      <c r="F28" s="30" t="n">
        <f aca="false">IF('Boletins Nuppa Site'!I28&lt;&gt;0,'Boletins Nuppa Site'!I28,"NULL")</f>
        <v>70</v>
      </c>
      <c r="G28" s="0" t="str">
        <f aca="false">IF('Boletins Nuppa Site'!J28&lt;&gt;0,'Boletins Nuppa Site'!J28,"NULL")</f>
        <v>56.67</v>
      </c>
      <c r="H28" s="30" t="n">
        <f aca="false">IF('Boletins Nuppa Site'!K28&lt;&gt;0,'Boletins Nuppa Site'!K28,"NULL")</f>
        <v>50</v>
      </c>
      <c r="I28" s="0" t="str">
        <f aca="false">"INSERT INTO COTACAO (cot_id, cot_blt_id, cot_pap_id, cot_prc_comum, cot_prc_min, cot_prc_max, cot_prc_med, cot_prc_mediana) VALUES ("&amp;A28&amp;", "&amp;B28&amp;", "&amp;C28&amp;", "&amp;D28&amp;", "&amp;E28&amp;", "&amp;F28&amp;", "&amp;G28&amp;", "&amp;H28&amp;");"</f>
        <v>INSERT INTO COTACAO (cot_id, cot_blt_id, cot_pap_id, cot_prc_comum, cot_prc_min, cot_prc_max, cot_prc_med, cot_prc_mediana) VALUES (27, 37, 28, 50, 50, 70, 56.67, 50);</v>
      </c>
      <c r="J28" s="0" t="str">
        <f aca="false">"UPDATE COTACAO SET cot_id = "&amp;A28&amp;", cot_blt_id = "&amp;B28&amp;", cot_pap_id = "&amp;C28&amp;", cot_prc_comum = "&amp;D28&amp;", cot_prc_min = "&amp;E28&amp;", cot_prc_max = "&amp;F28&amp;", cot_prc_med = "&amp;G28&amp;", cot_prc_mediana = "&amp;H28&amp;" WHERE cot_id = "&amp;A28&amp;";"</f>
        <v>UPDATE COTACAO SET cot_id = 27, cot_blt_id = 37, cot_pap_id = 28, cot_prc_comum = 50, cot_prc_min = 50, cot_prc_max = 70, cot_prc_med = 56.67, cot_prc_mediana = 50 WHERE cot_id = 27;</v>
      </c>
    </row>
    <row r="29" customFormat="false" ht="14.25" hidden="false" customHeight="false" outlineLevel="0" collapsed="false">
      <c r="A29" s="0" t="n">
        <v>28</v>
      </c>
      <c r="B29" s="0" t="n">
        <f aca="false">IF('Boletins Nuppa Site'!A29&lt;&gt;0,'Boletins Nuppa Site'!A29,"NULL")</f>
        <v>37</v>
      </c>
      <c r="C29" s="0" t="n">
        <v>29</v>
      </c>
      <c r="D29" s="0" t="str">
        <f aca="false">IF('Boletins Nuppa Site'!G29&lt;&gt;0,'Boletins Nuppa Site'!G29,"NULL")</f>
        <v>NULL</v>
      </c>
      <c r="E29" s="0" t="str">
        <f aca="false">IF('Boletins Nuppa Site'!H29&lt;&gt;0,'Boletins Nuppa Site'!H29,"NULL")</f>
        <v>NULL</v>
      </c>
      <c r="F29" s="0" t="str">
        <f aca="false">IF('Boletins Nuppa Site'!I29&lt;&gt;0,'Boletins Nuppa Site'!I29,"NULL")</f>
        <v>NULL</v>
      </c>
      <c r="G29" s="0" t="str">
        <f aca="false">IF('Boletins Nuppa Site'!J29&lt;&gt;0,'Boletins Nuppa Site'!J29,"NULL")</f>
        <v>NULL</v>
      </c>
      <c r="H29" s="0" t="str">
        <f aca="false">IF('Boletins Nuppa Site'!K29&lt;&gt;0,'Boletins Nuppa Site'!K29,"NULL")</f>
        <v>NULL</v>
      </c>
      <c r="I29" s="0" t="str">
        <f aca="false">"INSERT INTO COTACAO (cot_id, cot_blt_id, cot_pap_id, cot_prc_comum, cot_prc_min, cot_prc_max, cot_prc_med, cot_prc_mediana) VALUES ("&amp;A29&amp;", "&amp;B29&amp;", "&amp;C29&amp;", "&amp;D29&amp;", "&amp;E29&amp;", "&amp;F29&amp;", "&amp;G29&amp;", "&amp;H29&amp;");"</f>
        <v>INSERT INTO COTACAO (cot_id, cot_blt_id, cot_pap_id, cot_prc_comum, cot_prc_min, cot_prc_max, cot_prc_med, cot_prc_mediana) VALUES (28, 37, 29, NULL, NULL, NULL, NULL, NULL);</v>
      </c>
      <c r="J29" s="0" t="str">
        <f aca="false">"UPDATE COTACAO SET cot_id = "&amp;A29&amp;", cot_blt_id = "&amp;B29&amp;", cot_pap_id = "&amp;C29&amp;", cot_prc_comum = "&amp;D29&amp;", cot_prc_min = "&amp;E29&amp;", cot_prc_max = "&amp;F29&amp;", cot_prc_med = "&amp;G29&amp;", cot_prc_mediana = "&amp;H29&amp;" WHERE cot_id = "&amp;A29&amp;";"</f>
        <v>UPDATE COTACAO SET cot_id = 28, cot_blt_id = 37, cot_pap_id = 29, cot_prc_comum = NULL, cot_prc_min = NULL, cot_prc_max = NULL, cot_prc_med = NULL, cot_prc_mediana = NULL WHERE cot_id = 28;</v>
      </c>
    </row>
    <row r="30" customFormat="false" ht="14.25" hidden="false" customHeight="false" outlineLevel="0" collapsed="false">
      <c r="A30" s="0" t="n">
        <v>29</v>
      </c>
      <c r="B30" s="0" t="n">
        <f aca="false">IF('Boletins Nuppa Site'!A30&lt;&gt;0,'Boletins Nuppa Site'!A30,"NULL")</f>
        <v>37</v>
      </c>
      <c r="C30" s="0" t="n">
        <v>30</v>
      </c>
      <c r="D30" s="30" t="n">
        <f aca="false">IF('Boletins Nuppa Site'!G30&lt;&gt;0,'Boletins Nuppa Site'!G30,"NULL")</f>
        <v>50</v>
      </c>
      <c r="E30" s="30" t="n">
        <f aca="false">IF('Boletins Nuppa Site'!H30&lt;&gt;0,'Boletins Nuppa Site'!H30,"NULL")</f>
        <v>40</v>
      </c>
      <c r="F30" s="30" t="n">
        <f aca="false">IF('Boletins Nuppa Site'!I30&lt;&gt;0,'Boletins Nuppa Site'!I30,"NULL")</f>
        <v>60</v>
      </c>
      <c r="G30" s="30" t="n">
        <f aca="false">IF('Boletins Nuppa Site'!J30&lt;&gt;0,'Boletins Nuppa Site'!J30,"NULL")</f>
        <v>50</v>
      </c>
      <c r="H30" s="30" t="n">
        <f aca="false">IF('Boletins Nuppa Site'!K30&lt;&gt;0,'Boletins Nuppa Site'!K30,"NULL")</f>
        <v>50</v>
      </c>
      <c r="I30" s="0" t="str">
        <f aca="false">"INSERT INTO COTACAO (cot_id, cot_blt_id, cot_pap_id, cot_prc_comum, cot_prc_min, cot_prc_max, cot_prc_med, cot_prc_mediana) VALUES ("&amp;A30&amp;", "&amp;B30&amp;", "&amp;C30&amp;", "&amp;D30&amp;", "&amp;E30&amp;", "&amp;F30&amp;", "&amp;G30&amp;", "&amp;H30&amp;");"</f>
        <v>INSERT INTO COTACAO (cot_id, cot_blt_id, cot_pap_id, cot_prc_comum, cot_prc_min, cot_prc_max, cot_prc_med, cot_prc_mediana) VALUES (29, 37, 30, 50, 40, 60, 50, 50);</v>
      </c>
      <c r="J30" s="0" t="str">
        <f aca="false">"UPDATE COTACAO SET cot_id = "&amp;A30&amp;", cot_blt_id = "&amp;B30&amp;", cot_pap_id = "&amp;C30&amp;", cot_prc_comum = "&amp;D30&amp;", cot_prc_min = "&amp;E30&amp;", cot_prc_max = "&amp;F30&amp;", cot_prc_med = "&amp;G30&amp;", cot_prc_mediana = "&amp;H30&amp;" WHERE cot_id = "&amp;A30&amp;";"</f>
        <v>UPDATE COTACAO SET cot_id = 29, cot_blt_id = 37, cot_pap_id = 30, cot_prc_comum = 50, cot_prc_min = 40, cot_prc_max = 60, cot_prc_med = 50, cot_prc_mediana = 50 WHERE cot_id = 29;</v>
      </c>
    </row>
    <row r="31" customFormat="false" ht="14.25" hidden="false" customHeight="false" outlineLevel="0" collapsed="false">
      <c r="A31" s="0" t="n">
        <v>30</v>
      </c>
      <c r="B31" s="0" t="n">
        <f aca="false">IF('Boletins Nuppa Site'!A31&lt;&gt;0,'Boletins Nuppa Site'!A31,"NULL")</f>
        <v>37</v>
      </c>
      <c r="C31" s="0" t="n">
        <v>31</v>
      </c>
      <c r="D31" s="30" t="n">
        <f aca="false">IF('Boletins Nuppa Site'!G31&lt;&gt;0,'Boletins Nuppa Site'!G31,"NULL")</f>
        <v>50</v>
      </c>
      <c r="E31" s="30" t="n">
        <f aca="false">IF('Boletins Nuppa Site'!H31&lt;&gt;0,'Boletins Nuppa Site'!H31,"NULL")</f>
        <v>50</v>
      </c>
      <c r="F31" s="30" t="n">
        <f aca="false">IF('Boletins Nuppa Site'!I31&lt;&gt;0,'Boletins Nuppa Site'!I31,"NULL")</f>
        <v>60</v>
      </c>
      <c r="G31" s="30" t="n">
        <f aca="false">IF('Boletins Nuppa Site'!J31&lt;&gt;0,'Boletins Nuppa Site'!J31,"NULL")</f>
        <v>55</v>
      </c>
      <c r="H31" s="30" t="n">
        <f aca="false">IF('Boletins Nuppa Site'!K31&lt;&gt;0,'Boletins Nuppa Site'!K31,"NULL")</f>
        <v>55</v>
      </c>
      <c r="I31" s="0" t="str">
        <f aca="false">"INSERT INTO COTACAO (cot_id, cot_blt_id, cot_pap_id, cot_prc_comum, cot_prc_min, cot_prc_max, cot_prc_med, cot_prc_mediana) VALUES ("&amp;A31&amp;", "&amp;B31&amp;", "&amp;C31&amp;", "&amp;D31&amp;", "&amp;E31&amp;", "&amp;F31&amp;", "&amp;G31&amp;", "&amp;H31&amp;");"</f>
        <v>INSERT INTO COTACAO (cot_id, cot_blt_id, cot_pap_id, cot_prc_comum, cot_prc_min, cot_prc_max, cot_prc_med, cot_prc_mediana) VALUES (30, 37, 31, 50, 50, 60, 55, 55);</v>
      </c>
      <c r="J31" s="0" t="str">
        <f aca="false">"UPDATE COTACAO SET cot_id = "&amp;A31&amp;", cot_blt_id = "&amp;B31&amp;", cot_pap_id = "&amp;C31&amp;", cot_prc_comum = "&amp;D31&amp;", cot_prc_min = "&amp;E31&amp;", cot_prc_max = "&amp;F31&amp;", cot_prc_med = "&amp;G31&amp;", cot_prc_mediana = "&amp;H31&amp;" WHERE cot_id = "&amp;A31&amp;";"</f>
        <v>UPDATE COTACAO SET cot_id = 30, cot_blt_id = 37, cot_pap_id = 31, cot_prc_comum = 50, cot_prc_min = 50, cot_prc_max = 60, cot_prc_med = 55, cot_prc_mediana = 55 WHERE cot_id = 30;</v>
      </c>
    </row>
    <row r="32" customFormat="false" ht="14.25" hidden="false" customHeight="false" outlineLevel="0" collapsed="false">
      <c r="A32" s="0" t="n">
        <v>31</v>
      </c>
      <c r="B32" s="0" t="n">
        <f aca="false">IF('Boletins Nuppa Site'!A32&lt;&gt;0,'Boletins Nuppa Site'!A32,"NULL")</f>
        <v>37</v>
      </c>
      <c r="C32" s="0" t="n">
        <v>32</v>
      </c>
      <c r="D32" s="0" t="str">
        <f aca="false">IF('Boletins Nuppa Site'!G32&lt;&gt;0,'Boletins Nuppa Site'!G32,"NULL")</f>
        <v>NULL</v>
      </c>
      <c r="E32" s="30" t="n">
        <f aca="false">IF('Boletins Nuppa Site'!H32&lt;&gt;0,'Boletins Nuppa Site'!H32,"NULL")</f>
        <v>30</v>
      </c>
      <c r="F32" s="30" t="n">
        <f aca="false">IF('Boletins Nuppa Site'!I32&lt;&gt;0,'Boletins Nuppa Site'!I32,"NULL")</f>
        <v>50</v>
      </c>
      <c r="G32" s="30" t="n">
        <f aca="false">IF('Boletins Nuppa Site'!J32&lt;&gt;0,'Boletins Nuppa Site'!J32,"NULL")</f>
        <v>40</v>
      </c>
      <c r="H32" s="30" t="n">
        <f aca="false">IF('Boletins Nuppa Site'!K32&lt;&gt;0,'Boletins Nuppa Site'!K32,"NULL")</f>
        <v>40</v>
      </c>
      <c r="I32" s="0" t="str">
        <f aca="false">"INSERT INTO COTACAO (cot_id, cot_blt_id, cot_pap_id, cot_prc_comum, cot_prc_min, cot_prc_max, cot_prc_med, cot_prc_mediana) VALUES ("&amp;A32&amp;", "&amp;B32&amp;", "&amp;C32&amp;", "&amp;D32&amp;", "&amp;E32&amp;", "&amp;F32&amp;", "&amp;G32&amp;", "&amp;H32&amp;");"</f>
        <v>INSERT INTO COTACAO (cot_id, cot_blt_id, cot_pap_id, cot_prc_comum, cot_prc_min, cot_prc_max, cot_prc_med, cot_prc_mediana) VALUES (31, 37, 32, NULL, 30, 50, 40, 40);</v>
      </c>
      <c r="J32" s="0" t="str">
        <f aca="false">"UPDATE COTACAO SET cot_id = "&amp;A32&amp;", cot_blt_id = "&amp;B32&amp;", cot_pap_id = "&amp;C32&amp;", cot_prc_comum = "&amp;D32&amp;", cot_prc_min = "&amp;E32&amp;", cot_prc_max = "&amp;F32&amp;", cot_prc_med = "&amp;G32&amp;", cot_prc_mediana = "&amp;H32&amp;" WHERE cot_id = "&amp;A32&amp;";"</f>
        <v>UPDATE COTACAO SET cot_id = 31, cot_blt_id = 37, cot_pap_id = 32, cot_prc_comum = NULL, cot_prc_min = 30, cot_prc_max = 50, cot_prc_med = 40, cot_prc_mediana = 40 WHERE cot_id = 31;</v>
      </c>
    </row>
    <row r="33" customFormat="false" ht="14.25" hidden="false" customHeight="false" outlineLevel="0" collapsed="false">
      <c r="A33" s="0" t="n">
        <v>32</v>
      </c>
      <c r="B33" s="0" t="n">
        <f aca="false">IF('Boletins Nuppa Site'!A33&lt;&gt;0,'Boletins Nuppa Site'!A33,"NULL")</f>
        <v>37</v>
      </c>
      <c r="C33" s="0" t="n">
        <v>33</v>
      </c>
      <c r="D33" s="30" t="n">
        <f aca="false">IF('Boletins Nuppa Site'!G33&lt;&gt;0,'Boletins Nuppa Site'!G33,"NULL")</f>
        <v>70</v>
      </c>
      <c r="E33" s="30" t="n">
        <f aca="false">IF('Boletins Nuppa Site'!H33&lt;&gt;0,'Boletins Nuppa Site'!H33,"NULL")</f>
        <v>60</v>
      </c>
      <c r="F33" s="30" t="n">
        <f aca="false">IF('Boletins Nuppa Site'!I33&lt;&gt;0,'Boletins Nuppa Site'!I33,"NULL")</f>
        <v>80</v>
      </c>
      <c r="G33" s="0" t="str">
        <f aca="false">IF('Boletins Nuppa Site'!J33&lt;&gt;0,'Boletins Nuppa Site'!J33,"NULL")</f>
        <v>68.33</v>
      </c>
      <c r="H33" s="30" t="n">
        <f aca="false">IF('Boletins Nuppa Site'!K33&lt;&gt;0,'Boletins Nuppa Site'!K33,"NULL")</f>
        <v>70</v>
      </c>
      <c r="I33" s="0" t="str">
        <f aca="false">"INSERT INTO COTACAO (cot_id, cot_blt_id, cot_pap_id, cot_prc_comum, cot_prc_min, cot_prc_max, cot_prc_med, cot_prc_mediana) VALUES ("&amp;A33&amp;", "&amp;B33&amp;", "&amp;C33&amp;", "&amp;D33&amp;", "&amp;E33&amp;", "&amp;F33&amp;", "&amp;G33&amp;", "&amp;H33&amp;");"</f>
        <v>INSERT INTO COTACAO (cot_id, cot_blt_id, cot_pap_id, cot_prc_comum, cot_prc_min, cot_prc_max, cot_prc_med, cot_prc_mediana) VALUES (32, 37, 33, 70, 60, 80, 68.33, 70);</v>
      </c>
      <c r="J33" s="0" t="str">
        <f aca="false">"UPDATE COTACAO SET cot_id = "&amp;A33&amp;", cot_blt_id = "&amp;B33&amp;", cot_pap_id = "&amp;C33&amp;", cot_prc_comum = "&amp;D33&amp;", cot_prc_min = "&amp;E33&amp;", cot_prc_max = "&amp;F33&amp;", cot_prc_med = "&amp;G33&amp;", cot_prc_mediana = "&amp;H33&amp;" WHERE cot_id = "&amp;A33&amp;";"</f>
        <v>UPDATE COTACAO SET cot_id = 32, cot_blt_id = 37, cot_pap_id = 33, cot_prc_comum = 70, cot_prc_min = 60, cot_prc_max = 80, cot_prc_med = 68.33, cot_prc_mediana = 70 WHERE cot_id = 32;</v>
      </c>
    </row>
    <row r="34" customFormat="false" ht="14.25" hidden="false" customHeight="false" outlineLevel="0" collapsed="false">
      <c r="A34" s="0" t="n">
        <v>33</v>
      </c>
      <c r="B34" s="0" t="n">
        <f aca="false">IF('Boletins Nuppa Site'!A34&lt;&gt;0,'Boletins Nuppa Site'!A34,"NULL")</f>
        <v>37</v>
      </c>
      <c r="C34" s="0" t="n">
        <v>34</v>
      </c>
      <c r="D34" s="30" t="n">
        <f aca="false">IF('Boletins Nuppa Site'!G34&lt;&gt;0,'Boletins Nuppa Site'!G34,"NULL")</f>
        <v>100</v>
      </c>
      <c r="E34" s="30" t="n">
        <f aca="false">IF('Boletins Nuppa Site'!H34&lt;&gt;0,'Boletins Nuppa Site'!H34,"NULL")</f>
        <v>90</v>
      </c>
      <c r="F34" s="30" t="n">
        <f aca="false">IF('Boletins Nuppa Site'!I34&lt;&gt;0,'Boletins Nuppa Site'!I34,"NULL")</f>
        <v>110</v>
      </c>
      <c r="G34" s="30" t="n">
        <f aca="false">IF('Boletins Nuppa Site'!J34&lt;&gt;0,'Boletins Nuppa Site'!J34,"NULL")</f>
        <v>100</v>
      </c>
      <c r="H34" s="30" t="n">
        <f aca="false">IF('Boletins Nuppa Site'!K34&lt;&gt;0,'Boletins Nuppa Site'!K34,"NULL")</f>
        <v>100</v>
      </c>
      <c r="I34" s="0" t="str">
        <f aca="false">"INSERT INTO COTACAO (cot_id, cot_blt_id, cot_pap_id, cot_prc_comum, cot_prc_min, cot_prc_max, cot_prc_med, cot_prc_mediana) VALUES ("&amp;A34&amp;", "&amp;B34&amp;", "&amp;C34&amp;", "&amp;D34&amp;", "&amp;E34&amp;", "&amp;F34&amp;", "&amp;G34&amp;", "&amp;H34&amp;");"</f>
        <v>INSERT INTO COTACAO (cot_id, cot_blt_id, cot_pap_id, cot_prc_comum, cot_prc_min, cot_prc_max, cot_prc_med, cot_prc_mediana) VALUES (33, 37, 34, 100, 90, 110, 100, 100);</v>
      </c>
      <c r="J34" s="0" t="str">
        <f aca="false">"UPDATE COTACAO SET cot_id = "&amp;A34&amp;", cot_blt_id = "&amp;B34&amp;", cot_pap_id = "&amp;C34&amp;", cot_prc_comum = "&amp;D34&amp;", cot_prc_min = "&amp;E34&amp;", cot_prc_max = "&amp;F34&amp;", cot_prc_med = "&amp;G34&amp;", cot_prc_mediana = "&amp;H34&amp;" WHERE cot_id = "&amp;A34&amp;";"</f>
        <v>UPDATE COTACAO SET cot_id = 33, cot_blt_id = 37, cot_pap_id = 34, cot_prc_comum = 100, cot_prc_min = 90, cot_prc_max = 110, cot_prc_med = 100, cot_prc_mediana = 100 WHERE cot_id = 33;</v>
      </c>
    </row>
    <row r="35" customFormat="false" ht="14.25" hidden="false" customHeight="false" outlineLevel="0" collapsed="false">
      <c r="A35" s="0" t="n">
        <v>34</v>
      </c>
      <c r="B35" s="0" t="n">
        <f aca="false">IF('Boletins Nuppa Site'!A35&lt;&gt;0,'Boletins Nuppa Site'!A35,"NULL")</f>
        <v>37</v>
      </c>
      <c r="C35" s="0" t="n">
        <v>35</v>
      </c>
      <c r="D35" s="30" t="n">
        <f aca="false">IF('Boletins Nuppa Site'!G35&lt;&gt;0,'Boletins Nuppa Site'!G35,"NULL")</f>
        <v>80</v>
      </c>
      <c r="E35" s="30" t="n">
        <f aca="false">IF('Boletins Nuppa Site'!H35&lt;&gt;0,'Boletins Nuppa Site'!H35,"NULL")</f>
        <v>70</v>
      </c>
      <c r="F35" s="30" t="n">
        <f aca="false">IF('Boletins Nuppa Site'!I35&lt;&gt;0,'Boletins Nuppa Site'!I35,"NULL")</f>
        <v>100</v>
      </c>
      <c r="G35" s="30" t="n">
        <f aca="false">IF('Boletins Nuppa Site'!J35&lt;&gt;0,'Boletins Nuppa Site'!J35,"NULL")</f>
        <v>83</v>
      </c>
      <c r="H35" s="30" t="n">
        <f aca="false">IF('Boletins Nuppa Site'!K35&lt;&gt;0,'Boletins Nuppa Site'!K35,"NULL")</f>
        <v>80</v>
      </c>
      <c r="I35" s="0" t="str">
        <f aca="false">"INSERT INTO COTACAO (cot_id, cot_blt_id, cot_pap_id, cot_prc_comum, cot_prc_min, cot_prc_max, cot_prc_med, cot_prc_mediana) VALUES ("&amp;A35&amp;", "&amp;B35&amp;", "&amp;C35&amp;", "&amp;D35&amp;", "&amp;E35&amp;", "&amp;F35&amp;", "&amp;G35&amp;", "&amp;H35&amp;");"</f>
        <v>INSERT INTO COTACAO (cot_id, cot_blt_id, cot_pap_id, cot_prc_comum, cot_prc_min, cot_prc_max, cot_prc_med, cot_prc_mediana) VALUES (34, 37, 35, 80, 70, 100, 83, 80);</v>
      </c>
      <c r="J35" s="0" t="str">
        <f aca="false">"UPDATE COTACAO SET cot_id = "&amp;A35&amp;", cot_blt_id = "&amp;B35&amp;", cot_pap_id = "&amp;C35&amp;", cot_prc_comum = "&amp;D35&amp;", cot_prc_min = "&amp;E35&amp;", cot_prc_max = "&amp;F35&amp;", cot_prc_med = "&amp;G35&amp;", cot_prc_mediana = "&amp;H35&amp;" WHERE cot_id = "&amp;A35&amp;";"</f>
        <v>UPDATE COTACAO SET cot_id = 34, cot_blt_id = 37, cot_pap_id = 35, cot_prc_comum = 80, cot_prc_min = 70, cot_prc_max = 100, cot_prc_med = 83, cot_prc_mediana = 80 WHERE cot_id = 34;</v>
      </c>
    </row>
    <row r="36" customFormat="false" ht="14.25" hidden="false" customHeight="false" outlineLevel="0" collapsed="false">
      <c r="A36" s="0" t="n">
        <v>35</v>
      </c>
      <c r="B36" s="0" t="n">
        <f aca="false">IF('Boletins Nuppa Site'!A36&lt;&gt;0,'Boletins Nuppa Site'!A36,"NULL")</f>
        <v>37</v>
      </c>
      <c r="C36" s="0" t="n">
        <v>36</v>
      </c>
      <c r="D36" s="0" t="str">
        <f aca="false">IF('Boletins Nuppa Site'!G36&lt;&gt;0,'Boletins Nuppa Site'!G36,"NULL")</f>
        <v>NULL</v>
      </c>
      <c r="E36" s="0" t="str">
        <f aca="false">IF('Boletins Nuppa Site'!H36&lt;&gt;0,'Boletins Nuppa Site'!H36,"NULL")</f>
        <v>NULL</v>
      </c>
      <c r="F36" s="0" t="str">
        <f aca="false">IF('Boletins Nuppa Site'!I36&lt;&gt;0,'Boletins Nuppa Site'!I36,"NULL")</f>
        <v>NULL</v>
      </c>
      <c r="G36" s="0" t="str">
        <f aca="false">IF('Boletins Nuppa Site'!J36&lt;&gt;0,'Boletins Nuppa Site'!J36,"NULL")</f>
        <v>NULL</v>
      </c>
      <c r="H36" s="0" t="str">
        <f aca="false">IF('Boletins Nuppa Site'!K36&lt;&gt;0,'Boletins Nuppa Site'!K36,"NULL")</f>
        <v>NULL</v>
      </c>
      <c r="I36" s="0" t="str">
        <f aca="false">"INSERT INTO COTACAO (cot_id, cot_blt_id, cot_pap_id, cot_prc_comum, cot_prc_min, cot_prc_max, cot_prc_med, cot_prc_mediana) VALUES ("&amp;A36&amp;", "&amp;B36&amp;", "&amp;C36&amp;", "&amp;D36&amp;", "&amp;E36&amp;", "&amp;F36&amp;", "&amp;G36&amp;", "&amp;H36&amp;");"</f>
        <v>INSERT INTO COTACAO (cot_id, cot_blt_id, cot_pap_id, cot_prc_comum, cot_prc_min, cot_prc_max, cot_prc_med, cot_prc_mediana) VALUES (35, 37, 36, NULL, NULL, NULL, NULL, NULL);</v>
      </c>
      <c r="J36" s="0" t="str">
        <f aca="false">"UPDATE COTACAO SET cot_id = "&amp;A36&amp;", cot_blt_id = "&amp;B36&amp;", cot_pap_id = "&amp;C36&amp;", cot_prc_comum = "&amp;D36&amp;", cot_prc_min = "&amp;E36&amp;", cot_prc_max = "&amp;F36&amp;", cot_prc_med = "&amp;G36&amp;", cot_prc_mediana = "&amp;H36&amp;" WHERE cot_id = "&amp;A36&amp;";"</f>
        <v>UPDATE COTACAO SET cot_id = 35, cot_blt_id = 37, cot_pap_id = 36, cot_prc_comum = NULL, cot_prc_min = NULL, cot_prc_max = NULL, cot_prc_med = NULL, cot_prc_mediana = NULL WHERE cot_id = 35;</v>
      </c>
    </row>
    <row r="37" customFormat="false" ht="14.25" hidden="false" customHeight="false" outlineLevel="0" collapsed="false">
      <c r="A37" s="0" t="n">
        <v>36</v>
      </c>
      <c r="B37" s="0" t="n">
        <f aca="false">IF('Boletins Nuppa Site'!A37&lt;&gt;0,'Boletins Nuppa Site'!A37,"NULL")</f>
        <v>37</v>
      </c>
      <c r="C37" s="0" t="n">
        <v>37</v>
      </c>
      <c r="D37" s="0" t="str">
        <f aca="false">IF('Boletins Nuppa Site'!G37&lt;&gt;0,'Boletins Nuppa Site'!G37,"NULL")</f>
        <v>NULL</v>
      </c>
      <c r="E37" s="0" t="str">
        <f aca="false">IF('Boletins Nuppa Site'!H37&lt;&gt;0,'Boletins Nuppa Site'!H37,"NULL")</f>
        <v>NULL</v>
      </c>
      <c r="F37" s="0" t="str">
        <f aca="false">IF('Boletins Nuppa Site'!I37&lt;&gt;0,'Boletins Nuppa Site'!I37,"NULL")</f>
        <v>NULL</v>
      </c>
      <c r="G37" s="0" t="str">
        <f aca="false">IF('Boletins Nuppa Site'!J37&lt;&gt;0,'Boletins Nuppa Site'!J37,"NULL")</f>
        <v>NULL</v>
      </c>
      <c r="H37" s="0" t="str">
        <f aca="false">IF('Boletins Nuppa Site'!K37&lt;&gt;0,'Boletins Nuppa Site'!K37,"NULL")</f>
        <v>NULL</v>
      </c>
      <c r="I37" s="0" t="str">
        <f aca="false">"INSERT INTO COTACAO (cot_id, cot_blt_id, cot_pap_id, cot_prc_comum, cot_prc_min, cot_prc_max, cot_prc_med, cot_prc_mediana) VALUES ("&amp;A37&amp;", "&amp;B37&amp;", "&amp;C37&amp;", "&amp;D37&amp;", "&amp;E37&amp;", "&amp;F37&amp;", "&amp;G37&amp;", "&amp;H37&amp;");"</f>
        <v>INSERT INTO COTACAO (cot_id, cot_blt_id, cot_pap_id, cot_prc_comum, cot_prc_min, cot_prc_max, cot_prc_med, cot_prc_mediana) VALUES (36, 37, 37, NULL, NULL, NULL, NULL, NULL);</v>
      </c>
      <c r="J37" s="0" t="str">
        <f aca="false">"UPDATE COTACAO SET cot_id = "&amp;A37&amp;", cot_blt_id = "&amp;B37&amp;", cot_pap_id = "&amp;C37&amp;", cot_prc_comum = "&amp;D37&amp;", cot_prc_min = "&amp;E37&amp;", cot_prc_max = "&amp;F37&amp;", cot_prc_med = "&amp;G37&amp;", cot_prc_mediana = "&amp;H37&amp;" WHERE cot_id = "&amp;A37&amp;";"</f>
        <v>UPDATE COTACAO SET cot_id = 36, cot_blt_id = 37, cot_pap_id = 37, cot_prc_comum = NULL, cot_prc_min = NULL, cot_prc_max = NULL, cot_prc_med = NULL, cot_prc_mediana = NULL WHERE cot_id = 36;</v>
      </c>
    </row>
    <row r="38" customFormat="false" ht="14.25" hidden="false" customHeight="false" outlineLevel="0" collapsed="false">
      <c r="A38" s="0" t="n">
        <v>37</v>
      </c>
      <c r="B38" s="0" t="n">
        <f aca="false">IF('Boletins Nuppa Site'!A38&lt;&gt;0,'Boletins Nuppa Site'!A38,"NULL")</f>
        <v>37</v>
      </c>
      <c r="C38" s="0" t="n">
        <v>38</v>
      </c>
      <c r="D38" s="0" t="str">
        <f aca="false">IF('Boletins Nuppa Site'!G38&lt;&gt;0,'Boletins Nuppa Site'!G38,"NULL")</f>
        <v>NULL</v>
      </c>
      <c r="E38" s="0" t="str">
        <f aca="false">IF('Boletins Nuppa Site'!H38&lt;&gt;0,'Boletins Nuppa Site'!H38,"NULL")</f>
        <v>NULL</v>
      </c>
      <c r="F38" s="0" t="str">
        <f aca="false">IF('Boletins Nuppa Site'!I38&lt;&gt;0,'Boletins Nuppa Site'!I38,"NULL")</f>
        <v>NULL</v>
      </c>
      <c r="G38" s="0" t="str">
        <f aca="false">IF('Boletins Nuppa Site'!J38&lt;&gt;0,'Boletins Nuppa Site'!J38,"NULL")</f>
        <v>NULL</v>
      </c>
      <c r="H38" s="0" t="str">
        <f aca="false">IF('Boletins Nuppa Site'!K38&lt;&gt;0,'Boletins Nuppa Site'!K38,"NULL")</f>
        <v>NULL</v>
      </c>
      <c r="I38" s="0" t="str">
        <f aca="false">"INSERT INTO COTACAO (cot_id, cot_blt_id, cot_pap_id, cot_prc_comum, cot_prc_min, cot_prc_max, cot_prc_med, cot_prc_mediana) VALUES ("&amp;A38&amp;", "&amp;B38&amp;", "&amp;C38&amp;", "&amp;D38&amp;", "&amp;E38&amp;", "&amp;F38&amp;", "&amp;G38&amp;", "&amp;H38&amp;");"</f>
        <v>INSERT INTO COTACAO (cot_id, cot_blt_id, cot_pap_id, cot_prc_comum, cot_prc_min, cot_prc_max, cot_prc_med, cot_prc_mediana) VALUES (37, 37, 38, NULL, NULL, NULL, NULL, NULL);</v>
      </c>
      <c r="J38" s="0" t="str">
        <f aca="false">"UPDATE COTACAO SET cot_id = "&amp;A38&amp;", cot_blt_id = "&amp;B38&amp;", cot_pap_id = "&amp;C38&amp;", cot_prc_comum = "&amp;D38&amp;", cot_prc_min = "&amp;E38&amp;", cot_prc_max = "&amp;F38&amp;", cot_prc_med = "&amp;G38&amp;", cot_prc_mediana = "&amp;H38&amp;" WHERE cot_id = "&amp;A38&amp;";"</f>
        <v>UPDATE COTACAO SET cot_id = 37, cot_blt_id = 37, cot_pap_id = 38, cot_prc_comum = NULL, cot_prc_min = NULL, cot_prc_max = NULL, cot_prc_med = NULL, cot_prc_mediana = NULL WHERE cot_id = 37;</v>
      </c>
    </row>
    <row r="39" customFormat="false" ht="14.25" hidden="false" customHeight="false" outlineLevel="0" collapsed="false">
      <c r="A39" s="0" t="n">
        <v>38</v>
      </c>
      <c r="B39" s="0" t="n">
        <f aca="false">IF('Boletins Nuppa Site'!A39&lt;&gt;0,'Boletins Nuppa Site'!A39,"NULL")</f>
        <v>37</v>
      </c>
      <c r="C39" s="0" t="n">
        <v>39</v>
      </c>
      <c r="D39" s="0" t="str">
        <f aca="false">IF('Boletins Nuppa Site'!G39&lt;&gt;0,'Boletins Nuppa Site'!G39,"NULL")</f>
        <v>NULL</v>
      </c>
      <c r="E39" s="0" t="str">
        <f aca="false">IF('Boletins Nuppa Site'!H39&lt;&gt;0,'Boletins Nuppa Site'!H39,"NULL")</f>
        <v>NULL</v>
      </c>
      <c r="F39" s="0" t="str">
        <f aca="false">IF('Boletins Nuppa Site'!I39&lt;&gt;0,'Boletins Nuppa Site'!I39,"NULL")</f>
        <v>NULL</v>
      </c>
      <c r="G39" s="0" t="str">
        <f aca="false">IF('Boletins Nuppa Site'!J39&lt;&gt;0,'Boletins Nuppa Site'!J39,"NULL")</f>
        <v>NULL</v>
      </c>
      <c r="H39" s="0" t="str">
        <f aca="false">IF('Boletins Nuppa Site'!K39&lt;&gt;0,'Boletins Nuppa Site'!K39,"NULL")</f>
        <v>NULL</v>
      </c>
      <c r="I39" s="0" t="str">
        <f aca="false">"INSERT INTO COTACAO (cot_id, cot_blt_id, cot_pap_id, cot_prc_comum, cot_prc_min, cot_prc_max, cot_prc_med, cot_prc_mediana) VALUES ("&amp;A39&amp;", "&amp;B39&amp;", "&amp;C39&amp;", "&amp;D39&amp;", "&amp;E39&amp;", "&amp;F39&amp;", "&amp;G39&amp;", "&amp;H39&amp;");"</f>
        <v>INSERT INTO COTACAO (cot_id, cot_blt_id, cot_pap_id, cot_prc_comum, cot_prc_min, cot_prc_max, cot_prc_med, cot_prc_mediana) VALUES (38, 37, 39, NULL, NULL, NULL, NULL, NULL);</v>
      </c>
      <c r="J39" s="0" t="str">
        <f aca="false">"UPDATE COTACAO SET cot_id = "&amp;A39&amp;", cot_blt_id = "&amp;B39&amp;", cot_pap_id = "&amp;C39&amp;", cot_prc_comum = "&amp;D39&amp;", cot_prc_min = "&amp;E39&amp;", cot_prc_max = "&amp;F39&amp;", cot_prc_med = "&amp;G39&amp;", cot_prc_mediana = "&amp;H39&amp;" WHERE cot_id = "&amp;A39&amp;";"</f>
        <v>UPDATE COTACAO SET cot_id = 38, cot_blt_id = 37, cot_pap_id = 39, cot_prc_comum = NULL, cot_prc_min = NULL, cot_prc_max = NULL, cot_prc_med = NULL, cot_prc_mediana = NULL WHERE cot_id = 38;</v>
      </c>
    </row>
    <row r="40" customFormat="false" ht="14.25" hidden="false" customHeight="false" outlineLevel="0" collapsed="false">
      <c r="A40" s="0" t="n">
        <v>39</v>
      </c>
      <c r="B40" s="0" t="n">
        <f aca="false">IF('Boletins Nuppa Site'!A40&lt;&gt;0,'Boletins Nuppa Site'!A40,"NULL")</f>
        <v>37</v>
      </c>
      <c r="C40" s="0" t="n">
        <v>40</v>
      </c>
      <c r="D40" s="0" t="str">
        <f aca="false">IF('Boletins Nuppa Site'!G40&lt;&gt;0,'Boletins Nuppa Site'!G40,"NULL")</f>
        <v>NULL</v>
      </c>
      <c r="E40" s="0" t="str">
        <f aca="false">IF('Boletins Nuppa Site'!H40&lt;&gt;0,'Boletins Nuppa Site'!H40,"NULL")</f>
        <v>NULL</v>
      </c>
      <c r="F40" s="0" t="str">
        <f aca="false">IF('Boletins Nuppa Site'!I40&lt;&gt;0,'Boletins Nuppa Site'!I40,"NULL")</f>
        <v>NULL</v>
      </c>
      <c r="G40" s="0" t="str">
        <f aca="false">IF('Boletins Nuppa Site'!J40&lt;&gt;0,'Boletins Nuppa Site'!J40,"NULL")</f>
        <v>NULL</v>
      </c>
      <c r="H40" s="0" t="str">
        <f aca="false">IF('Boletins Nuppa Site'!K40&lt;&gt;0,'Boletins Nuppa Site'!K40,"NULL")</f>
        <v>NULL</v>
      </c>
      <c r="I40" s="0" t="str">
        <f aca="false">"INSERT INTO COTACAO (cot_id, cot_blt_id, cot_pap_id, cot_prc_comum, cot_prc_min, cot_prc_max, cot_prc_med, cot_prc_mediana) VALUES ("&amp;A40&amp;", "&amp;B40&amp;", "&amp;C40&amp;", "&amp;D40&amp;", "&amp;E40&amp;", "&amp;F40&amp;", "&amp;G40&amp;", "&amp;H40&amp;");"</f>
        <v>INSERT INTO COTACAO (cot_id, cot_blt_id, cot_pap_id, cot_prc_comum, cot_prc_min, cot_prc_max, cot_prc_med, cot_prc_mediana) VALUES (39, 37, 40, NULL, NULL, NULL, NULL, NULL);</v>
      </c>
      <c r="J40" s="0" t="str">
        <f aca="false">"UPDATE COTACAO SET cot_id = "&amp;A40&amp;", cot_blt_id = "&amp;B40&amp;", cot_pap_id = "&amp;C40&amp;", cot_prc_comum = "&amp;D40&amp;", cot_prc_min = "&amp;E40&amp;", cot_prc_max = "&amp;F40&amp;", cot_prc_med = "&amp;G40&amp;", cot_prc_mediana = "&amp;H40&amp;" WHERE cot_id = "&amp;A40&amp;";"</f>
        <v>UPDATE COTACAO SET cot_id = 39, cot_blt_id = 37, cot_pap_id = 40, cot_prc_comum = NULL, cot_prc_min = NULL, cot_prc_max = NULL, cot_prc_med = NULL, cot_prc_mediana = NULL WHERE cot_id = 39;</v>
      </c>
    </row>
    <row r="41" customFormat="false" ht="14.25" hidden="false" customHeight="false" outlineLevel="0" collapsed="false">
      <c r="A41" s="0" t="n">
        <v>40</v>
      </c>
      <c r="B41" s="0" t="n">
        <f aca="false">IF('Boletins Nuppa Site'!A41&lt;&gt;0,'Boletins Nuppa Site'!A41,"NULL")</f>
        <v>38</v>
      </c>
      <c r="C41" s="0" t="n">
        <v>1</v>
      </c>
      <c r="D41" s="30" t="n">
        <f aca="false">IF('Boletins Nuppa Site'!G41&lt;&gt;0,'Boletins Nuppa Site'!G41,"NULL")</f>
        <v>42</v>
      </c>
      <c r="E41" s="30" t="n">
        <f aca="false">IF('Boletins Nuppa Site'!H41&lt;&gt;0,'Boletins Nuppa Site'!H41,"NULL")</f>
        <v>42</v>
      </c>
      <c r="F41" s="30" t="n">
        <f aca="false">IF('Boletins Nuppa Site'!I41&lt;&gt;0,'Boletins Nuppa Site'!I41,"NULL")</f>
        <v>42</v>
      </c>
      <c r="G41" s="30" t="n">
        <f aca="false">IF('Boletins Nuppa Site'!J41&lt;&gt;0,'Boletins Nuppa Site'!J41,"NULL")</f>
        <v>42</v>
      </c>
      <c r="H41" s="30" t="n">
        <f aca="false">IF('Boletins Nuppa Site'!K41&lt;&gt;0,'Boletins Nuppa Site'!K41,"NULL")</f>
        <v>42</v>
      </c>
      <c r="I41" s="0" t="str">
        <f aca="false">"INSERT INTO COTACAO (cot_id, cot_blt_id, cot_pap_id, cot_prc_comum, cot_prc_min, cot_prc_max, cot_prc_med, cot_prc_mediana) VALUES ("&amp;A41&amp;", "&amp;B41&amp;", "&amp;C41&amp;", "&amp;D41&amp;", "&amp;E41&amp;", "&amp;F41&amp;", "&amp;G41&amp;", "&amp;H41&amp;");"</f>
        <v>INSERT INTO COTACAO (cot_id, cot_blt_id, cot_pap_id, cot_prc_comum, cot_prc_min, cot_prc_max, cot_prc_med, cot_prc_mediana) VALUES (40, 38, 1, 42, 42, 42, 42, 42);</v>
      </c>
      <c r="J41" s="0" t="str">
        <f aca="false">"UPDATE COTACAO SET cot_id = "&amp;A41&amp;", cot_blt_id = "&amp;B41&amp;", cot_pap_id = "&amp;C41&amp;", cot_prc_comum = "&amp;D41&amp;", cot_prc_min = "&amp;E41&amp;", cot_prc_max = "&amp;F41&amp;", cot_prc_med = "&amp;G41&amp;", cot_prc_mediana = "&amp;H41&amp;" WHERE cot_id = "&amp;A41&amp;";"</f>
        <v>UPDATE COTACAO SET cot_id = 40, cot_blt_id = 38, cot_pap_id = 1, cot_prc_comum = 42, cot_prc_min = 42, cot_prc_max = 42, cot_prc_med = 42, cot_prc_mediana = 42 WHERE cot_id = 40;</v>
      </c>
    </row>
    <row r="42" customFormat="false" ht="14.25" hidden="false" customHeight="false" outlineLevel="0" collapsed="false">
      <c r="A42" s="0" t="n">
        <v>41</v>
      </c>
      <c r="B42" s="0" t="n">
        <f aca="false">IF('Boletins Nuppa Site'!A42&lt;&gt;0,'Boletins Nuppa Site'!A42,"NULL")</f>
        <v>38</v>
      </c>
      <c r="C42" s="0" t="n">
        <v>2</v>
      </c>
      <c r="D42" s="30" t="n">
        <f aca="false">IF('Boletins Nuppa Site'!G42&lt;&gt;0,'Boletins Nuppa Site'!G42,"NULL")</f>
        <v>60</v>
      </c>
      <c r="E42" s="30" t="n">
        <f aca="false">IF('Boletins Nuppa Site'!H42&lt;&gt;0,'Boletins Nuppa Site'!H42,"NULL")</f>
        <v>60</v>
      </c>
      <c r="F42" s="30" t="n">
        <f aca="false">IF('Boletins Nuppa Site'!I42&lt;&gt;0,'Boletins Nuppa Site'!I42,"NULL")</f>
        <v>60</v>
      </c>
      <c r="G42" s="30" t="n">
        <f aca="false">IF('Boletins Nuppa Site'!J42&lt;&gt;0,'Boletins Nuppa Site'!J42,"NULL")</f>
        <v>60</v>
      </c>
      <c r="H42" s="30" t="n">
        <f aca="false">IF('Boletins Nuppa Site'!K42&lt;&gt;0,'Boletins Nuppa Site'!K42,"NULL")</f>
        <v>60</v>
      </c>
      <c r="I42" s="0" t="str">
        <f aca="false">"INSERT INTO COTACAO (cot_id, cot_blt_id, cot_pap_id, cot_prc_comum, cot_prc_min, cot_prc_max, cot_prc_med, cot_prc_mediana) VALUES ("&amp;A42&amp;", "&amp;B42&amp;", "&amp;C42&amp;", "&amp;D42&amp;", "&amp;E42&amp;", "&amp;F42&amp;", "&amp;G42&amp;", "&amp;H42&amp;");"</f>
        <v>INSERT INTO COTACAO (cot_id, cot_blt_id, cot_pap_id, cot_prc_comum, cot_prc_min, cot_prc_max, cot_prc_med, cot_prc_mediana) VALUES (41, 38, 2, 60, 60, 60, 60, 60);</v>
      </c>
      <c r="J42" s="0" t="str">
        <f aca="false">"UPDATE COTACAO SET cot_id = "&amp;A42&amp;", cot_blt_id = "&amp;B42&amp;", cot_pap_id = "&amp;C42&amp;", cot_prc_comum = "&amp;D42&amp;", cot_prc_min = "&amp;E42&amp;", cot_prc_max = "&amp;F42&amp;", cot_prc_med = "&amp;G42&amp;", cot_prc_mediana = "&amp;H42&amp;" WHERE cot_id = "&amp;A42&amp;";"</f>
        <v>UPDATE COTACAO SET cot_id = 41, cot_blt_id = 38, cot_pap_id = 2, cot_prc_comum = 60, cot_prc_min = 60, cot_prc_max = 60, cot_prc_med = 60, cot_prc_mediana = 60 WHERE cot_id = 41;</v>
      </c>
    </row>
    <row r="43" customFormat="false" ht="14.25" hidden="false" customHeight="false" outlineLevel="0" collapsed="false">
      <c r="A43" s="0" t="n">
        <v>42</v>
      </c>
      <c r="B43" s="0" t="n">
        <f aca="false">IF('Boletins Nuppa Site'!A43&lt;&gt;0,'Boletins Nuppa Site'!A43,"NULL")</f>
        <v>38</v>
      </c>
      <c r="C43" s="0" t="n">
        <v>3</v>
      </c>
      <c r="D43" s="30" t="n">
        <f aca="false">IF('Boletins Nuppa Site'!G43&lt;&gt;0,'Boletins Nuppa Site'!G43,"NULL")</f>
        <v>30</v>
      </c>
      <c r="E43" s="30" t="n">
        <f aca="false">IF('Boletins Nuppa Site'!H43&lt;&gt;0,'Boletins Nuppa Site'!H43,"NULL")</f>
        <v>30</v>
      </c>
      <c r="F43" s="30" t="n">
        <f aca="false">IF('Boletins Nuppa Site'!I43&lt;&gt;0,'Boletins Nuppa Site'!I43,"NULL")</f>
        <v>36</v>
      </c>
      <c r="G43" s="30" t="n">
        <f aca="false">IF('Boletins Nuppa Site'!J43&lt;&gt;0,'Boletins Nuppa Site'!J43,"NULL")</f>
        <v>32</v>
      </c>
      <c r="H43" s="30" t="n">
        <f aca="false">IF('Boletins Nuppa Site'!K43&lt;&gt;0,'Boletins Nuppa Site'!K43,"NULL")</f>
        <v>30</v>
      </c>
      <c r="I43" s="0" t="str">
        <f aca="false">"INSERT INTO COTACAO (cot_id, cot_blt_id, cot_pap_id, cot_prc_comum, cot_prc_min, cot_prc_max, cot_prc_med, cot_prc_mediana) VALUES ("&amp;A43&amp;", "&amp;B43&amp;", "&amp;C43&amp;", "&amp;D43&amp;", "&amp;E43&amp;", "&amp;F43&amp;", "&amp;G43&amp;", "&amp;H43&amp;");"</f>
        <v>INSERT INTO COTACAO (cot_id, cot_blt_id, cot_pap_id, cot_prc_comum, cot_prc_min, cot_prc_max, cot_prc_med, cot_prc_mediana) VALUES (42, 38, 3, 30, 30, 36, 32, 30);</v>
      </c>
      <c r="J43" s="0" t="str">
        <f aca="false">"UPDATE COTACAO SET cot_id = "&amp;A43&amp;", cot_blt_id = "&amp;B43&amp;", cot_pap_id = "&amp;C43&amp;", cot_prc_comum = "&amp;D43&amp;", cot_prc_min = "&amp;E43&amp;", cot_prc_max = "&amp;F43&amp;", cot_prc_med = "&amp;G43&amp;", cot_prc_mediana = "&amp;H43&amp;" WHERE cot_id = "&amp;A43&amp;";"</f>
        <v>UPDATE COTACAO SET cot_id = 42, cot_blt_id = 38, cot_pap_id = 3, cot_prc_comum = 30, cot_prc_min = 30, cot_prc_max = 36, cot_prc_med = 32, cot_prc_mediana = 30 WHERE cot_id = 42;</v>
      </c>
    </row>
    <row r="44" customFormat="false" ht="14.25" hidden="false" customHeight="false" outlineLevel="0" collapsed="false">
      <c r="A44" s="0" t="n">
        <v>43</v>
      </c>
      <c r="B44" s="0" t="n">
        <f aca="false">IF('Boletins Nuppa Site'!A44&lt;&gt;0,'Boletins Nuppa Site'!A44,"NULL")</f>
        <v>38</v>
      </c>
      <c r="C44" s="0" t="n">
        <v>4</v>
      </c>
      <c r="D44" s="30" t="n">
        <f aca="false">IF('Boletins Nuppa Site'!G44&lt;&gt;0,'Boletins Nuppa Site'!G44,"NULL")</f>
        <v>24</v>
      </c>
      <c r="E44" s="30" t="n">
        <f aca="false">IF('Boletins Nuppa Site'!H44&lt;&gt;0,'Boletins Nuppa Site'!H44,"NULL")</f>
        <v>18</v>
      </c>
      <c r="F44" s="30" t="n">
        <f aca="false">IF('Boletins Nuppa Site'!I44&lt;&gt;0,'Boletins Nuppa Site'!I44,"NULL")</f>
        <v>24</v>
      </c>
      <c r="G44" s="0" t="str">
        <f aca="false">IF('Boletins Nuppa Site'!J44&lt;&gt;0,'Boletins Nuppa Site'!J44,"NULL")</f>
        <v>21.5</v>
      </c>
      <c r="H44" s="30" t="n">
        <f aca="false">IF('Boletins Nuppa Site'!K44&lt;&gt;0,'Boletins Nuppa Site'!K44,"NULL")</f>
        <v>22</v>
      </c>
      <c r="I44" s="0" t="str">
        <f aca="false">"INSERT INTO COTACAO (cot_id, cot_blt_id, cot_pap_id, cot_prc_comum, cot_prc_min, cot_prc_max, cot_prc_med, cot_prc_mediana) VALUES ("&amp;A44&amp;", "&amp;B44&amp;", "&amp;C44&amp;", "&amp;D44&amp;", "&amp;E44&amp;", "&amp;F44&amp;", "&amp;G44&amp;", "&amp;H44&amp;");"</f>
        <v>INSERT INTO COTACAO (cot_id, cot_blt_id, cot_pap_id, cot_prc_comum, cot_prc_min, cot_prc_max, cot_prc_med, cot_prc_mediana) VALUES (43, 38, 4, 24, 18, 24, 21.5, 22);</v>
      </c>
      <c r="J44" s="0" t="str">
        <f aca="false">"UPDATE COTACAO SET cot_id = "&amp;A44&amp;", cot_blt_id = "&amp;B44&amp;", cot_pap_id = "&amp;C44&amp;", cot_prc_comum = "&amp;D44&amp;", cot_prc_min = "&amp;E44&amp;", cot_prc_max = "&amp;F44&amp;", cot_prc_med = "&amp;G44&amp;", cot_prc_mediana = "&amp;H44&amp;" WHERE cot_id = "&amp;A44&amp;";"</f>
        <v>UPDATE COTACAO SET cot_id = 43, cot_blt_id = 38, cot_pap_id = 4, cot_prc_comum = 24, cot_prc_min = 18, cot_prc_max = 24, cot_prc_med = 21.5, cot_prc_mediana = 22 WHERE cot_id = 43;</v>
      </c>
    </row>
    <row r="45" customFormat="false" ht="14.25" hidden="false" customHeight="false" outlineLevel="0" collapsed="false">
      <c r="A45" s="0" t="n">
        <v>44</v>
      </c>
      <c r="B45" s="0" t="n">
        <f aca="false">IF('Boletins Nuppa Site'!A45&lt;&gt;0,'Boletins Nuppa Site'!A45,"NULL")</f>
        <v>38</v>
      </c>
      <c r="C45" s="0" t="n">
        <v>5</v>
      </c>
      <c r="D45" s="0" t="str">
        <f aca="false">IF('Boletins Nuppa Site'!G45&lt;&gt;0,'Boletins Nuppa Site'!G45,"NULL")</f>
        <v>NULL</v>
      </c>
      <c r="E45" s="30" t="n">
        <f aca="false">IF('Boletins Nuppa Site'!H45&lt;&gt;0,'Boletins Nuppa Site'!H45,"NULL")</f>
        <v>15</v>
      </c>
      <c r="F45" s="30" t="n">
        <f aca="false">IF('Boletins Nuppa Site'!I45&lt;&gt;0,'Boletins Nuppa Site'!I45,"NULL")</f>
        <v>24</v>
      </c>
      <c r="G45" s="30" t="n">
        <f aca="false">IF('Boletins Nuppa Site'!J45&lt;&gt;0,'Boletins Nuppa Site'!J45,"NULL")</f>
        <v>19</v>
      </c>
      <c r="H45" s="30" t="n">
        <f aca="false">IF('Boletins Nuppa Site'!K45&lt;&gt;0,'Boletins Nuppa Site'!K45,"NULL")</f>
        <v>18</v>
      </c>
      <c r="I45" s="0" t="str">
        <f aca="false">"INSERT INTO COTACAO (cot_id, cot_blt_id, cot_pap_id, cot_prc_comum, cot_prc_min, cot_prc_max, cot_prc_med, cot_prc_mediana) VALUES ("&amp;A45&amp;", "&amp;B45&amp;", "&amp;C45&amp;", "&amp;D45&amp;", "&amp;E45&amp;", "&amp;F45&amp;", "&amp;G45&amp;", "&amp;H45&amp;");"</f>
        <v>INSERT INTO COTACAO (cot_id, cot_blt_id, cot_pap_id, cot_prc_comum, cot_prc_min, cot_prc_max, cot_prc_med, cot_prc_mediana) VALUES (44, 38, 5, NULL, 15, 24, 19, 18);</v>
      </c>
      <c r="J45" s="0" t="str">
        <f aca="false">"UPDATE COTACAO SET cot_id = "&amp;A45&amp;", cot_blt_id = "&amp;B45&amp;", cot_pap_id = "&amp;C45&amp;", cot_prc_comum = "&amp;D45&amp;", cot_prc_min = "&amp;E45&amp;", cot_prc_max = "&amp;F45&amp;", cot_prc_med = "&amp;G45&amp;", cot_prc_mediana = "&amp;H45&amp;" WHERE cot_id = "&amp;A45&amp;";"</f>
        <v>UPDATE COTACAO SET cot_id = 44, cot_blt_id = 38, cot_pap_id = 5, cot_prc_comum = NULL, cot_prc_min = 15, cot_prc_max = 24, cot_prc_med = 19, cot_prc_mediana = 18 WHERE cot_id = 44;</v>
      </c>
    </row>
    <row r="46" customFormat="false" ht="14.25" hidden="false" customHeight="false" outlineLevel="0" collapsed="false">
      <c r="A46" s="0" t="n">
        <v>45</v>
      </c>
      <c r="B46" s="0" t="n">
        <f aca="false">IF('Boletins Nuppa Site'!A46&lt;&gt;0,'Boletins Nuppa Site'!A46,"NULL")</f>
        <v>38</v>
      </c>
      <c r="C46" s="0" t="n">
        <v>6</v>
      </c>
      <c r="D46" s="0" t="str">
        <f aca="false">IF('Boletins Nuppa Site'!G46&lt;&gt;0,'Boletins Nuppa Site'!G46,"NULL")</f>
        <v>NULL</v>
      </c>
      <c r="E46" s="30" t="n">
        <f aca="false">IF('Boletins Nuppa Site'!H46&lt;&gt;0,'Boletins Nuppa Site'!H46,"NULL")</f>
        <v>42</v>
      </c>
      <c r="F46" s="30" t="n">
        <f aca="false">IF('Boletins Nuppa Site'!I46&lt;&gt;0,'Boletins Nuppa Site'!I46,"NULL")</f>
        <v>48</v>
      </c>
      <c r="G46" s="30" t="n">
        <f aca="false">IF('Boletins Nuppa Site'!J46&lt;&gt;0,'Boletins Nuppa Site'!J46,"NULL")</f>
        <v>45</v>
      </c>
      <c r="H46" s="30" t="n">
        <f aca="false">IF('Boletins Nuppa Site'!K46&lt;&gt;0,'Boletins Nuppa Site'!K46,"NULL")</f>
        <v>45</v>
      </c>
      <c r="I46" s="0" t="str">
        <f aca="false">"INSERT INTO COTACAO (cot_id, cot_blt_id, cot_pap_id, cot_prc_comum, cot_prc_min, cot_prc_max, cot_prc_med, cot_prc_mediana) VALUES ("&amp;A46&amp;", "&amp;B46&amp;", "&amp;C46&amp;", "&amp;D46&amp;", "&amp;E46&amp;", "&amp;F46&amp;", "&amp;G46&amp;", "&amp;H46&amp;");"</f>
        <v>INSERT INTO COTACAO (cot_id, cot_blt_id, cot_pap_id, cot_prc_comum, cot_prc_min, cot_prc_max, cot_prc_med, cot_prc_mediana) VALUES (45, 38, 6, NULL, 42, 48, 45, 45);</v>
      </c>
      <c r="J46" s="0" t="str">
        <f aca="false">"UPDATE COTACAO SET cot_id = "&amp;A46&amp;", cot_blt_id = "&amp;B46&amp;", cot_pap_id = "&amp;C46&amp;", cot_prc_comum = "&amp;D46&amp;", cot_prc_min = "&amp;E46&amp;", cot_prc_max = "&amp;F46&amp;", cot_prc_med = "&amp;G46&amp;", cot_prc_mediana = "&amp;H46&amp;" WHERE cot_id = "&amp;A46&amp;";"</f>
        <v>UPDATE COTACAO SET cot_id = 45, cot_blt_id = 38, cot_pap_id = 6, cot_prc_comum = NULL, cot_prc_min = 42, cot_prc_max = 48, cot_prc_med = 45, cot_prc_mediana = 45 WHERE cot_id = 45;</v>
      </c>
    </row>
    <row r="47" customFormat="false" ht="14.25" hidden="false" customHeight="false" outlineLevel="0" collapsed="false">
      <c r="A47" s="0" t="n">
        <v>46</v>
      </c>
      <c r="B47" s="0" t="n">
        <f aca="false">IF('Boletins Nuppa Site'!A47&lt;&gt;0,'Boletins Nuppa Site'!A47,"NULL")</f>
        <v>38</v>
      </c>
      <c r="C47" s="0" t="n">
        <v>7</v>
      </c>
      <c r="D47" s="0" t="str">
        <f aca="false">IF('Boletins Nuppa Site'!G47&lt;&gt;0,'Boletins Nuppa Site'!G47,"NULL")</f>
        <v>NULL</v>
      </c>
      <c r="E47" s="30" t="n">
        <f aca="false">IF('Boletins Nuppa Site'!H47&lt;&gt;0,'Boletins Nuppa Site'!H47,"NULL")</f>
        <v>66</v>
      </c>
      <c r="F47" s="30" t="n">
        <f aca="false">IF('Boletins Nuppa Site'!I47&lt;&gt;0,'Boletins Nuppa Site'!I47,"NULL")</f>
        <v>72</v>
      </c>
      <c r="G47" s="30" t="n">
        <f aca="false">IF('Boletins Nuppa Site'!J47&lt;&gt;0,'Boletins Nuppa Site'!J47,"NULL")</f>
        <v>69</v>
      </c>
      <c r="H47" s="30" t="n">
        <f aca="false">IF('Boletins Nuppa Site'!K47&lt;&gt;0,'Boletins Nuppa Site'!K47,"NULL")</f>
        <v>69</v>
      </c>
      <c r="I47" s="0" t="str">
        <f aca="false">"INSERT INTO COTACAO (cot_id, cot_blt_id, cot_pap_id, cot_prc_comum, cot_prc_min, cot_prc_max, cot_prc_med, cot_prc_mediana) VALUES ("&amp;A47&amp;", "&amp;B47&amp;", "&amp;C47&amp;", "&amp;D47&amp;", "&amp;E47&amp;", "&amp;F47&amp;", "&amp;G47&amp;", "&amp;H47&amp;");"</f>
        <v>INSERT INTO COTACAO (cot_id, cot_blt_id, cot_pap_id, cot_prc_comum, cot_prc_min, cot_prc_max, cot_prc_med, cot_prc_mediana) VALUES (46, 38, 7, NULL, 66, 72, 69, 69);</v>
      </c>
      <c r="J47" s="0" t="str">
        <f aca="false">"UPDATE COTACAO SET cot_id = "&amp;A47&amp;", cot_blt_id = "&amp;B47&amp;", cot_pap_id = "&amp;C47&amp;", cot_prc_comum = "&amp;D47&amp;", cot_prc_min = "&amp;E47&amp;", cot_prc_max = "&amp;F47&amp;", cot_prc_med = "&amp;G47&amp;", cot_prc_mediana = "&amp;H47&amp;" WHERE cot_id = "&amp;A47&amp;";"</f>
        <v>UPDATE COTACAO SET cot_id = 46, cot_blt_id = 38, cot_pap_id = 7, cot_prc_comum = NULL, cot_prc_min = 66, cot_prc_max = 72, cot_prc_med = 69, cot_prc_mediana = 69 WHERE cot_id = 46;</v>
      </c>
    </row>
    <row r="48" customFormat="false" ht="14.25" hidden="false" customHeight="false" outlineLevel="0" collapsed="false">
      <c r="A48" s="0" t="n">
        <v>47</v>
      </c>
      <c r="B48" s="0" t="n">
        <f aca="false">IF('Boletins Nuppa Site'!A48&lt;&gt;0,'Boletins Nuppa Site'!A48,"NULL")</f>
        <v>38</v>
      </c>
      <c r="C48" s="0" t="n">
        <v>8</v>
      </c>
      <c r="D48" s="0" t="str">
        <f aca="false">IF('Boletins Nuppa Site'!G48&lt;&gt;0,'Boletins Nuppa Site'!G48,"NULL")</f>
        <v>NULL</v>
      </c>
      <c r="E48" s="30" t="n">
        <f aca="false">IF('Boletins Nuppa Site'!H48&lt;&gt;0,'Boletins Nuppa Site'!H48,"NULL")</f>
        <v>48</v>
      </c>
      <c r="F48" s="30" t="n">
        <f aca="false">IF('Boletins Nuppa Site'!I48&lt;&gt;0,'Boletins Nuppa Site'!I48,"NULL")</f>
        <v>72</v>
      </c>
      <c r="G48" s="30" t="n">
        <f aca="false">IF('Boletins Nuppa Site'!J48&lt;&gt;0,'Boletins Nuppa Site'!J48,"NULL")</f>
        <v>60</v>
      </c>
      <c r="H48" s="30" t="n">
        <f aca="false">IF('Boletins Nuppa Site'!K48&lt;&gt;0,'Boletins Nuppa Site'!K48,"NULL")</f>
        <v>60</v>
      </c>
      <c r="I48" s="0" t="str">
        <f aca="false">"INSERT INTO COTACAO (cot_id, cot_blt_id, cot_pap_id, cot_prc_comum, cot_prc_min, cot_prc_max, cot_prc_med, cot_prc_mediana) VALUES ("&amp;A48&amp;", "&amp;B48&amp;", "&amp;C48&amp;", "&amp;D48&amp;", "&amp;E48&amp;", "&amp;F48&amp;", "&amp;G48&amp;", "&amp;H48&amp;");"</f>
        <v>INSERT INTO COTACAO (cot_id, cot_blt_id, cot_pap_id, cot_prc_comum, cot_prc_min, cot_prc_max, cot_prc_med, cot_prc_mediana) VALUES (47, 38, 8, NULL, 48, 72, 60, 60);</v>
      </c>
      <c r="J48" s="0" t="str">
        <f aca="false">"UPDATE COTACAO SET cot_id = "&amp;A48&amp;", cot_blt_id = "&amp;B48&amp;", cot_pap_id = "&amp;C48&amp;", cot_prc_comum = "&amp;D48&amp;", cot_prc_min = "&amp;E48&amp;", cot_prc_max = "&amp;F48&amp;", cot_prc_med = "&amp;G48&amp;", cot_prc_mediana = "&amp;H48&amp;" WHERE cot_id = "&amp;A48&amp;";"</f>
        <v>UPDATE COTACAO SET cot_id = 47, cot_blt_id = 38, cot_pap_id = 8, cot_prc_comum = NULL, cot_prc_min = 48, cot_prc_max = 72, cot_prc_med = 60, cot_prc_mediana = 60 WHERE cot_id = 47;</v>
      </c>
    </row>
    <row r="49" customFormat="false" ht="14.25" hidden="false" customHeight="false" outlineLevel="0" collapsed="false">
      <c r="A49" s="0" t="n">
        <v>48</v>
      </c>
      <c r="B49" s="0" t="n">
        <f aca="false">IF('Boletins Nuppa Site'!A49&lt;&gt;0,'Boletins Nuppa Site'!A49,"NULL")</f>
        <v>38</v>
      </c>
      <c r="C49" s="0" t="n">
        <v>9</v>
      </c>
      <c r="D49" s="0" t="str">
        <f aca="false">IF('Boletins Nuppa Site'!G49&lt;&gt;0,'Boletins Nuppa Site'!G49,"NULL")</f>
        <v>NULL</v>
      </c>
      <c r="E49" s="30" t="n">
        <f aca="false">IF('Boletins Nuppa Site'!H49&lt;&gt;0,'Boletins Nuppa Site'!H49,"NULL")</f>
        <v>15</v>
      </c>
      <c r="F49" s="30" t="n">
        <f aca="false">IF('Boletins Nuppa Site'!I49&lt;&gt;0,'Boletins Nuppa Site'!I49,"NULL")</f>
        <v>24</v>
      </c>
      <c r="G49" s="30" t="n">
        <f aca="false">IF('Boletins Nuppa Site'!J49&lt;&gt;0,'Boletins Nuppa Site'!J49,"NULL")</f>
        <v>19</v>
      </c>
      <c r="H49" s="30" t="n">
        <f aca="false">IF('Boletins Nuppa Site'!K49&lt;&gt;0,'Boletins Nuppa Site'!K49,"NULL")</f>
        <v>18</v>
      </c>
      <c r="I49" s="0" t="str">
        <f aca="false">"INSERT INTO COTACAO (cot_id, cot_blt_id, cot_pap_id, cot_prc_comum, cot_prc_min, cot_prc_max, cot_prc_med, cot_prc_mediana) VALUES ("&amp;A49&amp;", "&amp;B49&amp;", "&amp;C49&amp;", "&amp;D49&amp;", "&amp;E49&amp;", "&amp;F49&amp;", "&amp;G49&amp;", "&amp;H49&amp;");"</f>
        <v>INSERT INTO COTACAO (cot_id, cot_blt_id, cot_pap_id, cot_prc_comum, cot_prc_min, cot_prc_max, cot_prc_med, cot_prc_mediana) VALUES (48, 38, 9, NULL, 15, 24, 19, 18);</v>
      </c>
      <c r="J49" s="0" t="str">
        <f aca="false">"UPDATE COTACAO SET cot_id = "&amp;A49&amp;", cot_blt_id = "&amp;B49&amp;", cot_pap_id = "&amp;C49&amp;", cot_prc_comum = "&amp;D49&amp;", cot_prc_min = "&amp;E49&amp;", cot_prc_max = "&amp;F49&amp;", cot_prc_med = "&amp;G49&amp;", cot_prc_mediana = "&amp;H49&amp;" WHERE cot_id = "&amp;A49&amp;";"</f>
        <v>UPDATE COTACAO SET cot_id = 48, cot_blt_id = 38, cot_pap_id = 9, cot_prc_comum = NULL, cot_prc_min = 15, cot_prc_max = 24, cot_prc_med = 19, cot_prc_mediana = 18 WHERE cot_id = 48;</v>
      </c>
    </row>
    <row r="50" customFormat="false" ht="14.25" hidden="false" customHeight="false" outlineLevel="0" collapsed="false">
      <c r="A50" s="0" t="n">
        <v>49</v>
      </c>
      <c r="B50" s="0" t="n">
        <f aca="false">IF('Boletins Nuppa Site'!A50&lt;&gt;0,'Boletins Nuppa Site'!A50,"NULL")</f>
        <v>38</v>
      </c>
      <c r="C50" s="0" t="n">
        <v>10</v>
      </c>
      <c r="D50" s="30" t="n">
        <f aca="false">IF('Boletins Nuppa Site'!G50&lt;&gt;0,'Boletins Nuppa Site'!G50,"NULL")</f>
        <v>60</v>
      </c>
      <c r="E50" s="30" t="n">
        <f aca="false">IF('Boletins Nuppa Site'!H50&lt;&gt;0,'Boletins Nuppa Site'!H50,"NULL")</f>
        <v>60</v>
      </c>
      <c r="F50" s="30" t="n">
        <f aca="false">IF('Boletins Nuppa Site'!I50&lt;&gt;0,'Boletins Nuppa Site'!I50,"NULL")</f>
        <v>66</v>
      </c>
      <c r="G50" s="30" t="n">
        <f aca="false">IF('Boletins Nuppa Site'!J50&lt;&gt;0,'Boletins Nuppa Site'!J50,"NULL")</f>
        <v>62</v>
      </c>
      <c r="H50" s="30" t="n">
        <f aca="false">IF('Boletins Nuppa Site'!K50&lt;&gt;0,'Boletins Nuppa Site'!K50,"NULL")</f>
        <v>60</v>
      </c>
      <c r="I50" s="0" t="str">
        <f aca="false">"INSERT INTO COTACAO (cot_id, cot_blt_id, cot_pap_id, cot_prc_comum, cot_prc_min, cot_prc_max, cot_prc_med, cot_prc_mediana) VALUES ("&amp;A50&amp;", "&amp;B50&amp;", "&amp;C50&amp;", "&amp;D50&amp;", "&amp;E50&amp;", "&amp;F50&amp;", "&amp;G50&amp;", "&amp;H50&amp;");"</f>
        <v>INSERT INTO COTACAO (cot_id, cot_blt_id, cot_pap_id, cot_prc_comum, cot_prc_min, cot_prc_max, cot_prc_med, cot_prc_mediana) VALUES (49, 38, 10, 60, 60, 66, 62, 60);</v>
      </c>
      <c r="J50" s="0" t="str">
        <f aca="false">"UPDATE COTACAO SET cot_id = "&amp;A50&amp;", cot_blt_id = "&amp;B50&amp;", cot_pap_id = "&amp;C50&amp;", cot_prc_comum = "&amp;D50&amp;", cot_prc_min = "&amp;E50&amp;", cot_prc_max = "&amp;F50&amp;", cot_prc_med = "&amp;G50&amp;", cot_prc_mediana = "&amp;H50&amp;" WHERE cot_id = "&amp;A50&amp;";"</f>
        <v>UPDATE COTACAO SET cot_id = 49, cot_blt_id = 38, cot_pap_id = 10, cot_prc_comum = 60, cot_prc_min = 60, cot_prc_max = 66, cot_prc_med = 62, cot_prc_mediana = 60 WHERE cot_id = 49;</v>
      </c>
    </row>
    <row r="51" customFormat="false" ht="14.25" hidden="false" customHeight="false" outlineLevel="0" collapsed="false">
      <c r="A51" s="0" t="n">
        <v>50</v>
      </c>
      <c r="B51" s="0" t="n">
        <f aca="false">IF('Boletins Nuppa Site'!A51&lt;&gt;0,'Boletins Nuppa Site'!A51,"NULL")</f>
        <v>38</v>
      </c>
      <c r="C51" s="0" t="n">
        <v>11</v>
      </c>
      <c r="D51" s="0" t="str">
        <f aca="false">IF('Boletins Nuppa Site'!G51&lt;&gt;0,'Boletins Nuppa Site'!G51,"NULL")</f>
        <v>NULL</v>
      </c>
      <c r="E51" s="30" t="n">
        <f aca="false">IF('Boletins Nuppa Site'!H51&lt;&gt;0,'Boletins Nuppa Site'!H51,"NULL")</f>
        <v>15</v>
      </c>
      <c r="F51" s="30" t="n">
        <f aca="false">IF('Boletins Nuppa Site'!I51&lt;&gt;0,'Boletins Nuppa Site'!I51,"NULL")</f>
        <v>24</v>
      </c>
      <c r="G51" s="30" t="n">
        <f aca="false">IF('Boletins Nuppa Site'!J51&lt;&gt;0,'Boletins Nuppa Site'!J51,"NULL")</f>
        <v>19</v>
      </c>
      <c r="H51" s="30" t="n">
        <f aca="false">IF('Boletins Nuppa Site'!K51&lt;&gt;0,'Boletins Nuppa Site'!K51,"NULL")</f>
        <v>18</v>
      </c>
      <c r="I51" s="0" t="str">
        <f aca="false">"INSERT INTO COTACAO (cot_id, cot_blt_id, cot_pap_id, cot_prc_comum, cot_prc_min, cot_prc_max, cot_prc_med, cot_prc_mediana) VALUES ("&amp;A51&amp;", "&amp;B51&amp;", "&amp;C51&amp;", "&amp;D51&amp;", "&amp;E51&amp;", "&amp;F51&amp;", "&amp;G51&amp;", "&amp;H51&amp;");"</f>
        <v>INSERT INTO COTACAO (cot_id, cot_blt_id, cot_pap_id, cot_prc_comum, cot_prc_min, cot_prc_max, cot_prc_med, cot_prc_mediana) VALUES (50, 38, 11, NULL, 15, 24, 19, 18);</v>
      </c>
      <c r="J51" s="0" t="str">
        <f aca="false">"UPDATE COTACAO SET cot_id = "&amp;A51&amp;", cot_blt_id = "&amp;B51&amp;", cot_pap_id = "&amp;C51&amp;", cot_prc_comum = "&amp;D51&amp;", cot_prc_min = "&amp;E51&amp;", cot_prc_max = "&amp;F51&amp;", cot_prc_med = "&amp;G51&amp;", cot_prc_mediana = "&amp;H51&amp;" WHERE cot_id = "&amp;A51&amp;";"</f>
        <v>UPDATE COTACAO SET cot_id = 50, cot_blt_id = 38, cot_pap_id = 11, cot_prc_comum = NULL, cot_prc_min = 15, cot_prc_max = 24, cot_prc_med = 19, cot_prc_mediana = 18 WHERE cot_id = 50;</v>
      </c>
    </row>
    <row r="52" customFormat="false" ht="14.25" hidden="false" customHeight="false" outlineLevel="0" collapsed="false">
      <c r="A52" s="0" t="n">
        <v>51</v>
      </c>
      <c r="B52" s="0" t="n">
        <f aca="false">IF('Boletins Nuppa Site'!A52&lt;&gt;0,'Boletins Nuppa Site'!A52,"NULL")</f>
        <v>38</v>
      </c>
      <c r="C52" s="0" t="n">
        <v>12</v>
      </c>
      <c r="D52" s="0" t="str">
        <f aca="false">IF('Boletins Nuppa Site'!G52&lt;&gt;0,'Boletins Nuppa Site'!G52,"NULL")</f>
        <v>NULL</v>
      </c>
      <c r="E52" s="30" t="n">
        <f aca="false">IF('Boletins Nuppa Site'!H52&lt;&gt;0,'Boletins Nuppa Site'!H52,"NULL")</f>
        <v>54</v>
      </c>
      <c r="F52" s="30" t="n">
        <f aca="false">IF('Boletins Nuppa Site'!I52&lt;&gt;0,'Boletins Nuppa Site'!I52,"NULL")</f>
        <v>60</v>
      </c>
      <c r="G52" s="30" t="n">
        <f aca="false">IF('Boletins Nuppa Site'!J52&lt;&gt;0,'Boletins Nuppa Site'!J52,"NULL")</f>
        <v>57</v>
      </c>
      <c r="H52" s="30" t="n">
        <f aca="false">IF('Boletins Nuppa Site'!K52&lt;&gt;0,'Boletins Nuppa Site'!K52,"NULL")</f>
        <v>57</v>
      </c>
      <c r="I52" s="0" t="str">
        <f aca="false">"INSERT INTO COTACAO (cot_id, cot_blt_id, cot_pap_id, cot_prc_comum, cot_prc_min, cot_prc_max, cot_prc_med, cot_prc_mediana) VALUES ("&amp;A52&amp;", "&amp;B52&amp;", "&amp;C52&amp;", "&amp;D52&amp;", "&amp;E52&amp;", "&amp;F52&amp;", "&amp;G52&amp;", "&amp;H52&amp;");"</f>
        <v>INSERT INTO COTACAO (cot_id, cot_blt_id, cot_pap_id, cot_prc_comum, cot_prc_min, cot_prc_max, cot_prc_med, cot_prc_mediana) VALUES (51, 38, 12, NULL, 54, 60, 57, 57);</v>
      </c>
      <c r="J52" s="0" t="str">
        <f aca="false">"UPDATE COTACAO SET cot_id = "&amp;A52&amp;", cot_blt_id = "&amp;B52&amp;", cot_pap_id = "&amp;C52&amp;", cot_prc_comum = "&amp;D52&amp;", cot_prc_min = "&amp;E52&amp;", cot_prc_max = "&amp;F52&amp;", cot_prc_med = "&amp;G52&amp;", cot_prc_mediana = "&amp;H52&amp;" WHERE cot_id = "&amp;A52&amp;";"</f>
        <v>UPDATE COTACAO SET cot_id = 51, cot_blt_id = 38, cot_pap_id = 12, cot_prc_comum = NULL, cot_prc_min = 54, cot_prc_max = 60, cot_prc_med = 57, cot_prc_mediana = 57 WHERE cot_id = 51;</v>
      </c>
    </row>
    <row r="53" customFormat="false" ht="14.25" hidden="false" customHeight="false" outlineLevel="0" collapsed="false">
      <c r="A53" s="0" t="n">
        <v>52</v>
      </c>
      <c r="B53" s="0" t="n">
        <f aca="false">IF('Boletins Nuppa Site'!A53&lt;&gt;0,'Boletins Nuppa Site'!A53,"NULL")</f>
        <v>38</v>
      </c>
      <c r="C53" s="0" t="n">
        <v>13</v>
      </c>
      <c r="D53" s="0" t="str">
        <f aca="false">IF('Boletins Nuppa Site'!G53&lt;&gt;0,'Boletins Nuppa Site'!G53,"NULL")</f>
        <v>NULL</v>
      </c>
      <c r="E53" s="30" t="n">
        <f aca="false">IF('Boletins Nuppa Site'!H53&lt;&gt;0,'Boletins Nuppa Site'!H53,"NULL")</f>
        <v>54</v>
      </c>
      <c r="F53" s="30" t="n">
        <f aca="false">IF('Boletins Nuppa Site'!I53&lt;&gt;0,'Boletins Nuppa Site'!I53,"NULL")</f>
        <v>60</v>
      </c>
      <c r="G53" s="30" t="n">
        <f aca="false">IF('Boletins Nuppa Site'!J53&lt;&gt;0,'Boletins Nuppa Site'!J53,"NULL")</f>
        <v>57</v>
      </c>
      <c r="H53" s="30" t="n">
        <f aca="false">IF('Boletins Nuppa Site'!K53&lt;&gt;0,'Boletins Nuppa Site'!K53,"NULL")</f>
        <v>57</v>
      </c>
      <c r="I53" s="0" t="str">
        <f aca="false">"INSERT INTO COTACAO (cot_id, cot_blt_id, cot_pap_id, cot_prc_comum, cot_prc_min, cot_prc_max, cot_prc_med, cot_prc_mediana) VALUES ("&amp;A53&amp;", "&amp;B53&amp;", "&amp;C53&amp;", "&amp;D53&amp;", "&amp;E53&amp;", "&amp;F53&amp;", "&amp;G53&amp;", "&amp;H53&amp;");"</f>
        <v>INSERT INTO COTACAO (cot_id, cot_blt_id, cot_pap_id, cot_prc_comum, cot_prc_min, cot_prc_max, cot_prc_med, cot_prc_mediana) VALUES (52, 38, 13, NULL, 54, 60, 57, 57);</v>
      </c>
      <c r="J53" s="0" t="str">
        <f aca="false">"UPDATE COTACAO SET cot_id = "&amp;A53&amp;", cot_blt_id = "&amp;B53&amp;", cot_pap_id = "&amp;C53&amp;", cot_prc_comum = "&amp;D53&amp;", cot_prc_min = "&amp;E53&amp;", cot_prc_max = "&amp;F53&amp;", cot_prc_med = "&amp;G53&amp;", cot_prc_mediana = "&amp;H53&amp;" WHERE cot_id = "&amp;A53&amp;";"</f>
        <v>UPDATE COTACAO SET cot_id = 52, cot_blt_id = 38, cot_pap_id = 13, cot_prc_comum = NULL, cot_prc_min = 54, cot_prc_max = 60, cot_prc_med = 57, cot_prc_mediana = 57 WHERE cot_id = 52;</v>
      </c>
    </row>
    <row r="54" customFormat="false" ht="14.25" hidden="false" customHeight="false" outlineLevel="0" collapsed="false">
      <c r="A54" s="0" t="n">
        <v>53</v>
      </c>
      <c r="B54" s="0" t="n">
        <f aca="false">IF('Boletins Nuppa Site'!A54&lt;&gt;0,'Boletins Nuppa Site'!A54,"NULL")</f>
        <v>38</v>
      </c>
      <c r="C54" s="0" t="n">
        <v>14</v>
      </c>
      <c r="D54" s="0" t="str">
        <f aca="false">IF('Boletins Nuppa Site'!G54&lt;&gt;0,'Boletins Nuppa Site'!G54,"NULL")</f>
        <v>NULL</v>
      </c>
      <c r="E54" s="30" t="n">
        <f aca="false">IF('Boletins Nuppa Site'!H54&lt;&gt;0,'Boletins Nuppa Site'!H54,"NULL")</f>
        <v>30</v>
      </c>
      <c r="F54" s="30" t="n">
        <f aca="false">IF('Boletins Nuppa Site'!I54&lt;&gt;0,'Boletins Nuppa Site'!I54,"NULL")</f>
        <v>60</v>
      </c>
      <c r="G54" s="30" t="n">
        <f aca="false">IF('Boletins Nuppa Site'!J54&lt;&gt;0,'Boletins Nuppa Site'!J54,"NULL")</f>
        <v>42</v>
      </c>
      <c r="H54" s="30" t="n">
        <f aca="false">IF('Boletins Nuppa Site'!K54&lt;&gt;0,'Boletins Nuppa Site'!K54,"NULL")</f>
        <v>36</v>
      </c>
      <c r="I54" s="0" t="str">
        <f aca="false">"INSERT INTO COTACAO (cot_id, cot_blt_id, cot_pap_id, cot_prc_comum, cot_prc_min, cot_prc_max, cot_prc_med, cot_prc_mediana) VALUES ("&amp;A54&amp;", "&amp;B54&amp;", "&amp;C54&amp;", "&amp;D54&amp;", "&amp;E54&amp;", "&amp;F54&amp;", "&amp;G54&amp;", "&amp;H54&amp;");"</f>
        <v>INSERT INTO COTACAO (cot_id, cot_blt_id, cot_pap_id, cot_prc_comum, cot_prc_min, cot_prc_max, cot_prc_med, cot_prc_mediana) VALUES (53, 38, 14, NULL, 30, 60, 42, 36);</v>
      </c>
      <c r="J54" s="0" t="str">
        <f aca="false">"UPDATE COTACAO SET cot_id = "&amp;A54&amp;", cot_blt_id = "&amp;B54&amp;", cot_pap_id = "&amp;C54&amp;", cot_prc_comum = "&amp;D54&amp;", cot_prc_min = "&amp;E54&amp;", cot_prc_max = "&amp;F54&amp;", cot_prc_med = "&amp;G54&amp;", cot_prc_mediana = "&amp;H54&amp;" WHERE cot_id = "&amp;A54&amp;";"</f>
        <v>UPDATE COTACAO SET cot_id = 53, cot_blt_id = 38, cot_pap_id = 14, cot_prc_comum = NULL, cot_prc_min = 30, cot_prc_max = 60, cot_prc_med = 42, cot_prc_mediana = 36 WHERE cot_id = 53;</v>
      </c>
    </row>
    <row r="55" customFormat="false" ht="14.25" hidden="false" customHeight="false" outlineLevel="0" collapsed="false">
      <c r="A55" s="0" t="n">
        <v>54</v>
      </c>
      <c r="B55" s="0" t="n">
        <f aca="false">IF('Boletins Nuppa Site'!A55&lt;&gt;0,'Boletins Nuppa Site'!A55,"NULL")</f>
        <v>38</v>
      </c>
      <c r="C55" s="0" t="n">
        <v>15</v>
      </c>
      <c r="D55" s="0" t="str">
        <f aca="false">IF('Boletins Nuppa Site'!G55&lt;&gt;0,'Boletins Nuppa Site'!G55,"NULL")</f>
        <v>NULL</v>
      </c>
      <c r="E55" s="30" t="n">
        <f aca="false">IF('Boletins Nuppa Site'!H55&lt;&gt;0,'Boletins Nuppa Site'!H55,"NULL")</f>
        <v>20</v>
      </c>
      <c r="F55" s="30" t="n">
        <f aca="false">IF('Boletins Nuppa Site'!I55&lt;&gt;0,'Boletins Nuppa Site'!I55,"NULL")</f>
        <v>36</v>
      </c>
      <c r="G55" s="30" t="n">
        <f aca="false">IF('Boletins Nuppa Site'!J55&lt;&gt;0,'Boletins Nuppa Site'!J55,"NULL")</f>
        <v>27</v>
      </c>
      <c r="H55" s="30" t="n">
        <f aca="false">IF('Boletins Nuppa Site'!K55&lt;&gt;0,'Boletins Nuppa Site'!K55,"NULL")</f>
        <v>25</v>
      </c>
      <c r="I55" s="0" t="str">
        <f aca="false">"INSERT INTO COTACAO (cot_id, cot_blt_id, cot_pap_id, cot_prc_comum, cot_prc_min, cot_prc_max, cot_prc_med, cot_prc_mediana) VALUES ("&amp;A55&amp;", "&amp;B55&amp;", "&amp;C55&amp;", "&amp;D55&amp;", "&amp;E55&amp;", "&amp;F55&amp;", "&amp;G55&amp;", "&amp;H55&amp;");"</f>
        <v>INSERT INTO COTACAO (cot_id, cot_blt_id, cot_pap_id, cot_prc_comum, cot_prc_min, cot_prc_max, cot_prc_med, cot_prc_mediana) VALUES (54, 38, 15, NULL, 20, 36, 27, 25);</v>
      </c>
      <c r="J55" s="0" t="str">
        <f aca="false">"UPDATE COTACAO SET cot_id = "&amp;A55&amp;", cot_blt_id = "&amp;B55&amp;", cot_pap_id = "&amp;C55&amp;", cot_prc_comum = "&amp;D55&amp;", cot_prc_min = "&amp;E55&amp;", cot_prc_max = "&amp;F55&amp;", cot_prc_med = "&amp;G55&amp;", cot_prc_mediana = "&amp;H55&amp;" WHERE cot_id = "&amp;A55&amp;";"</f>
        <v>UPDATE COTACAO SET cot_id = 54, cot_blt_id = 38, cot_pap_id = 15, cot_prc_comum = NULL, cot_prc_min = 20, cot_prc_max = 36, cot_prc_med = 27, cot_prc_mediana = 25 WHERE cot_id = 54;</v>
      </c>
    </row>
    <row r="56" customFormat="false" ht="14.25" hidden="false" customHeight="false" outlineLevel="0" collapsed="false">
      <c r="A56" s="0" t="n">
        <v>55</v>
      </c>
      <c r="B56" s="0" t="n">
        <f aca="false">IF('Boletins Nuppa Site'!A56&lt;&gt;0,'Boletins Nuppa Site'!A56,"NULL")</f>
        <v>38</v>
      </c>
      <c r="C56" s="0" t="n">
        <v>16</v>
      </c>
      <c r="D56" s="30" t="n">
        <f aca="false">IF('Boletins Nuppa Site'!G56&lt;&gt;0,'Boletins Nuppa Site'!G56,"NULL")</f>
        <v>42</v>
      </c>
      <c r="E56" s="30" t="n">
        <f aca="false">IF('Boletins Nuppa Site'!H56&lt;&gt;0,'Boletins Nuppa Site'!H56,"NULL")</f>
        <v>36</v>
      </c>
      <c r="F56" s="30" t="n">
        <f aca="false">IF('Boletins Nuppa Site'!I56&lt;&gt;0,'Boletins Nuppa Site'!I56,"NULL")</f>
        <v>42</v>
      </c>
      <c r="G56" s="30" t="n">
        <f aca="false">IF('Boletins Nuppa Site'!J56&lt;&gt;0,'Boletins Nuppa Site'!J56,"NULL")</f>
        <v>40</v>
      </c>
      <c r="H56" s="30" t="n">
        <f aca="false">IF('Boletins Nuppa Site'!K56&lt;&gt;0,'Boletins Nuppa Site'!K56,"NULL")</f>
        <v>42</v>
      </c>
      <c r="I56" s="0" t="str">
        <f aca="false">"INSERT INTO COTACAO (cot_id, cot_blt_id, cot_pap_id, cot_prc_comum, cot_prc_min, cot_prc_max, cot_prc_med, cot_prc_mediana) VALUES ("&amp;A56&amp;", "&amp;B56&amp;", "&amp;C56&amp;", "&amp;D56&amp;", "&amp;E56&amp;", "&amp;F56&amp;", "&amp;G56&amp;", "&amp;H56&amp;");"</f>
        <v>INSERT INTO COTACAO (cot_id, cot_blt_id, cot_pap_id, cot_prc_comum, cot_prc_min, cot_prc_max, cot_prc_med, cot_prc_mediana) VALUES (55, 38, 16, 42, 36, 42, 40, 42);</v>
      </c>
      <c r="J56" s="0" t="str">
        <f aca="false">"UPDATE COTACAO SET cot_id = "&amp;A56&amp;", cot_blt_id = "&amp;B56&amp;", cot_pap_id = "&amp;C56&amp;", cot_prc_comum = "&amp;D56&amp;", cot_prc_min = "&amp;E56&amp;", cot_prc_max = "&amp;F56&amp;", cot_prc_med = "&amp;G56&amp;", cot_prc_mediana = "&amp;H56&amp;" WHERE cot_id = "&amp;A56&amp;";"</f>
        <v>UPDATE COTACAO SET cot_id = 55, cot_blt_id = 38, cot_pap_id = 16, cot_prc_comum = 42, cot_prc_min = 36, cot_prc_max = 42, cot_prc_med = 40, cot_prc_mediana = 42 WHERE cot_id = 55;</v>
      </c>
    </row>
    <row r="57" customFormat="false" ht="14.25" hidden="false" customHeight="false" outlineLevel="0" collapsed="false">
      <c r="A57" s="0" t="n">
        <v>56</v>
      </c>
      <c r="B57" s="0" t="n">
        <f aca="false">IF('Boletins Nuppa Site'!A57&lt;&gt;0,'Boletins Nuppa Site'!A57,"NULL")</f>
        <v>38</v>
      </c>
      <c r="C57" s="0" t="n">
        <v>17</v>
      </c>
      <c r="D57" s="30" t="n">
        <f aca="false">IF('Boletins Nuppa Site'!G57&lt;&gt;0,'Boletins Nuppa Site'!G57,"NULL")</f>
        <v>4</v>
      </c>
      <c r="E57" s="0" t="str">
        <f aca="false">IF('Boletins Nuppa Site'!H57&lt;&gt;0,'Boletins Nuppa Site'!H57,"NULL")</f>
        <v>3.5</v>
      </c>
      <c r="F57" s="30" t="n">
        <f aca="false">IF('Boletins Nuppa Site'!I57&lt;&gt;0,'Boletins Nuppa Site'!I57,"NULL")</f>
        <v>5</v>
      </c>
      <c r="G57" s="0" t="str">
        <f aca="false">IF('Boletins Nuppa Site'!J57&lt;&gt;0,'Boletins Nuppa Site'!J57,"NULL")</f>
        <v>4.13</v>
      </c>
      <c r="H57" s="30" t="n">
        <f aca="false">IF('Boletins Nuppa Site'!K57&lt;&gt;0,'Boletins Nuppa Site'!K57,"NULL")</f>
        <v>4</v>
      </c>
      <c r="I57" s="0" t="str">
        <f aca="false">"INSERT INTO COTACAO (cot_id, cot_blt_id, cot_pap_id, cot_prc_comum, cot_prc_min, cot_prc_max, cot_prc_med, cot_prc_mediana) VALUES ("&amp;A57&amp;", "&amp;B57&amp;", "&amp;C57&amp;", "&amp;D57&amp;", "&amp;E57&amp;", "&amp;F57&amp;", "&amp;G57&amp;", "&amp;H57&amp;");"</f>
        <v>INSERT INTO COTACAO (cot_id, cot_blt_id, cot_pap_id, cot_prc_comum, cot_prc_min, cot_prc_max, cot_prc_med, cot_prc_mediana) VALUES (56, 38, 17, 4, 3.5, 5, 4.13, 4);</v>
      </c>
      <c r="J57" s="0" t="str">
        <f aca="false">"UPDATE COTACAO SET cot_id = "&amp;A57&amp;", cot_blt_id = "&amp;B57&amp;", cot_pap_id = "&amp;C57&amp;", cot_prc_comum = "&amp;D57&amp;", cot_prc_min = "&amp;E57&amp;", cot_prc_max = "&amp;F57&amp;", cot_prc_med = "&amp;G57&amp;", cot_prc_mediana = "&amp;H57&amp;" WHERE cot_id = "&amp;A57&amp;";"</f>
        <v>UPDATE COTACAO SET cot_id = 56, cot_blt_id = 38, cot_pap_id = 17, cot_prc_comum = 4, cot_prc_min = 3.5, cot_prc_max = 5, cot_prc_med = 4.13, cot_prc_mediana = 4 WHERE cot_id = 56;</v>
      </c>
    </row>
    <row r="58" customFormat="false" ht="14.25" hidden="false" customHeight="false" outlineLevel="0" collapsed="false">
      <c r="A58" s="0" t="n">
        <v>57</v>
      </c>
      <c r="B58" s="0" t="n">
        <f aca="false">IF('Boletins Nuppa Site'!A58&lt;&gt;0,'Boletins Nuppa Site'!A58,"NULL")</f>
        <v>38</v>
      </c>
      <c r="C58" s="0" t="n">
        <v>18</v>
      </c>
      <c r="D58" s="30" t="n">
        <f aca="false">IF('Boletins Nuppa Site'!G58&lt;&gt;0,'Boletins Nuppa Site'!G58,"NULL")</f>
        <v>20</v>
      </c>
      <c r="E58" s="30" t="n">
        <f aca="false">IF('Boletins Nuppa Site'!H58&lt;&gt;0,'Boletins Nuppa Site'!H58,"NULL")</f>
        <v>20</v>
      </c>
      <c r="F58" s="30" t="n">
        <f aca="false">IF('Boletins Nuppa Site'!I58&lt;&gt;0,'Boletins Nuppa Site'!I58,"NULL")</f>
        <v>25</v>
      </c>
      <c r="G58" s="30" t="n">
        <f aca="false">IF('Boletins Nuppa Site'!J58&lt;&gt;0,'Boletins Nuppa Site'!J58,"NULL")</f>
        <v>21</v>
      </c>
      <c r="H58" s="30" t="n">
        <f aca="false">IF('Boletins Nuppa Site'!K58&lt;&gt;0,'Boletins Nuppa Site'!K58,"NULL")</f>
        <v>20</v>
      </c>
      <c r="I58" s="0" t="str">
        <f aca="false">"INSERT INTO COTACAO (cot_id, cot_blt_id, cot_pap_id, cot_prc_comum, cot_prc_min, cot_prc_max, cot_prc_med, cot_prc_mediana) VALUES ("&amp;A58&amp;", "&amp;B58&amp;", "&amp;C58&amp;", "&amp;D58&amp;", "&amp;E58&amp;", "&amp;F58&amp;", "&amp;G58&amp;", "&amp;H58&amp;");"</f>
        <v>INSERT INTO COTACAO (cot_id, cot_blt_id, cot_pap_id, cot_prc_comum, cot_prc_min, cot_prc_max, cot_prc_med, cot_prc_mediana) VALUES (57, 38, 18, 20, 20, 25, 21, 20);</v>
      </c>
      <c r="J58" s="0" t="str">
        <f aca="false">"UPDATE COTACAO SET cot_id = "&amp;A58&amp;", cot_blt_id = "&amp;B58&amp;", cot_pap_id = "&amp;C58&amp;", cot_prc_comum = "&amp;D58&amp;", cot_prc_min = "&amp;E58&amp;", cot_prc_max = "&amp;F58&amp;", cot_prc_med = "&amp;G58&amp;", cot_prc_mediana = "&amp;H58&amp;" WHERE cot_id = "&amp;A58&amp;";"</f>
        <v>UPDATE COTACAO SET cot_id = 57, cot_blt_id = 38, cot_pap_id = 18, cot_prc_comum = 20, cot_prc_min = 20, cot_prc_max = 25, cot_prc_med = 21, cot_prc_mediana = 20 WHERE cot_id = 57;</v>
      </c>
    </row>
    <row r="59" customFormat="false" ht="14.25" hidden="false" customHeight="false" outlineLevel="0" collapsed="false">
      <c r="A59" s="0" t="n">
        <v>58</v>
      </c>
      <c r="B59" s="0" t="n">
        <f aca="false">IF('Boletins Nuppa Site'!A59&lt;&gt;0,'Boletins Nuppa Site'!A59,"NULL")</f>
        <v>38</v>
      </c>
      <c r="C59" s="0" t="n">
        <v>19</v>
      </c>
      <c r="D59" s="30" t="n">
        <f aca="false">IF('Boletins Nuppa Site'!G59&lt;&gt;0,'Boletins Nuppa Site'!G59,"NULL")</f>
        <v>20</v>
      </c>
      <c r="E59" s="30" t="n">
        <f aca="false">IF('Boletins Nuppa Site'!H59&lt;&gt;0,'Boletins Nuppa Site'!H59,"NULL")</f>
        <v>20</v>
      </c>
      <c r="F59" s="30" t="n">
        <f aca="false">IF('Boletins Nuppa Site'!I59&lt;&gt;0,'Boletins Nuppa Site'!I59,"NULL")</f>
        <v>25</v>
      </c>
      <c r="G59" s="0" t="str">
        <f aca="false">IF('Boletins Nuppa Site'!J59&lt;&gt;0,'Boletins Nuppa Site'!J59,"NULL")</f>
        <v>22.5</v>
      </c>
      <c r="H59" s="0" t="str">
        <f aca="false">IF('Boletins Nuppa Site'!K59&lt;&gt;0,'Boletins Nuppa Site'!K59,"NULL")</f>
        <v>22.5</v>
      </c>
      <c r="I59" s="0" t="str">
        <f aca="false">"INSERT INTO COTACAO (cot_id, cot_blt_id, cot_pap_id, cot_prc_comum, cot_prc_min, cot_prc_max, cot_prc_med, cot_prc_mediana) VALUES ("&amp;A59&amp;", "&amp;B59&amp;", "&amp;C59&amp;", "&amp;D59&amp;", "&amp;E59&amp;", "&amp;F59&amp;", "&amp;G59&amp;", "&amp;H59&amp;");"</f>
        <v>INSERT INTO COTACAO (cot_id, cot_blt_id, cot_pap_id, cot_prc_comum, cot_prc_min, cot_prc_max, cot_prc_med, cot_prc_mediana) VALUES (58, 38, 19, 20, 20, 25, 22.5, 22.5);</v>
      </c>
      <c r="J59" s="0" t="str">
        <f aca="false">"UPDATE COTACAO SET cot_id = "&amp;A59&amp;", cot_blt_id = "&amp;B59&amp;", cot_pap_id = "&amp;C59&amp;", cot_prc_comum = "&amp;D59&amp;", cot_prc_min = "&amp;E59&amp;", cot_prc_max = "&amp;F59&amp;", cot_prc_med = "&amp;G59&amp;", cot_prc_mediana = "&amp;H59&amp;" WHERE cot_id = "&amp;A59&amp;";"</f>
        <v>UPDATE COTACAO SET cot_id = 58, cot_blt_id = 38, cot_pap_id = 19, cot_prc_comum = 20, cot_prc_min = 20, cot_prc_max = 25, cot_prc_med = 22.5, cot_prc_mediana = 22.5 WHERE cot_id = 58;</v>
      </c>
    </row>
    <row r="60" customFormat="false" ht="14.25" hidden="false" customHeight="false" outlineLevel="0" collapsed="false">
      <c r="A60" s="0" t="n">
        <v>59</v>
      </c>
      <c r="B60" s="0" t="n">
        <f aca="false">IF('Boletins Nuppa Site'!A60&lt;&gt;0,'Boletins Nuppa Site'!A60,"NULL")</f>
        <v>38</v>
      </c>
      <c r="C60" s="0" t="n">
        <v>21</v>
      </c>
      <c r="D60" s="30" t="n">
        <f aca="false">IF('Boletins Nuppa Site'!G60&lt;&gt;0,'Boletins Nuppa Site'!G60,"NULL")</f>
        <v>100</v>
      </c>
      <c r="E60" s="30" t="n">
        <f aca="false">IF('Boletins Nuppa Site'!H60&lt;&gt;0,'Boletins Nuppa Site'!H60,"NULL")</f>
        <v>80</v>
      </c>
      <c r="F60" s="30" t="n">
        <f aca="false">IF('Boletins Nuppa Site'!I60&lt;&gt;0,'Boletins Nuppa Site'!I60,"NULL")</f>
        <v>100</v>
      </c>
      <c r="G60" s="0" t="str">
        <f aca="false">IF('Boletins Nuppa Site'!J60&lt;&gt;0,'Boletins Nuppa Site'!J60,"NULL")</f>
        <v>95.71</v>
      </c>
      <c r="H60" s="30" t="n">
        <f aca="false">IF('Boletins Nuppa Site'!K60&lt;&gt;0,'Boletins Nuppa Site'!K60,"NULL")</f>
        <v>100</v>
      </c>
      <c r="I60" s="0" t="str">
        <f aca="false">"INSERT INTO COTACAO (cot_id, cot_blt_id, cot_pap_id, cot_prc_comum, cot_prc_min, cot_prc_max, cot_prc_med, cot_prc_mediana) VALUES ("&amp;A60&amp;", "&amp;B60&amp;", "&amp;C60&amp;", "&amp;D60&amp;", "&amp;E60&amp;", "&amp;F60&amp;", "&amp;G60&amp;", "&amp;H60&amp;");"</f>
        <v>INSERT INTO COTACAO (cot_id, cot_blt_id, cot_pap_id, cot_prc_comum, cot_prc_min, cot_prc_max, cot_prc_med, cot_prc_mediana) VALUES (59, 38, 21, 100, 80, 100, 95.71, 100);</v>
      </c>
      <c r="J60" s="0" t="str">
        <f aca="false">"UPDATE COTACAO SET cot_id = "&amp;A60&amp;", cot_blt_id = "&amp;B60&amp;", cot_pap_id = "&amp;C60&amp;", cot_prc_comum = "&amp;D60&amp;", cot_prc_min = "&amp;E60&amp;", cot_prc_max = "&amp;F60&amp;", cot_prc_med = "&amp;G60&amp;", cot_prc_mediana = "&amp;H60&amp;" WHERE cot_id = "&amp;A60&amp;";"</f>
        <v>UPDATE COTACAO SET cot_id = 59, cot_blt_id = 38, cot_pap_id = 21, cot_prc_comum = 100, cot_prc_min = 80, cot_prc_max = 100, cot_prc_med = 95.71, cot_prc_mediana = 100 WHERE cot_id = 59;</v>
      </c>
    </row>
    <row r="61" customFormat="false" ht="14.25" hidden="false" customHeight="false" outlineLevel="0" collapsed="false">
      <c r="A61" s="0" t="n">
        <v>60</v>
      </c>
      <c r="B61" s="0" t="n">
        <f aca="false">IF('Boletins Nuppa Site'!A61&lt;&gt;0,'Boletins Nuppa Site'!A61,"NULL")</f>
        <v>38</v>
      </c>
      <c r="C61" s="0" t="n">
        <v>22</v>
      </c>
      <c r="D61" s="0" t="str">
        <f aca="false">IF('Boletins Nuppa Site'!G61&lt;&gt;0,'Boletins Nuppa Site'!G61,"NULL")</f>
        <v>NULL</v>
      </c>
      <c r="E61" s="30" t="n">
        <f aca="false">IF('Boletins Nuppa Site'!H61&lt;&gt;0,'Boletins Nuppa Site'!H61,"NULL")</f>
        <v>40</v>
      </c>
      <c r="F61" s="30" t="n">
        <f aca="false">IF('Boletins Nuppa Site'!I61&lt;&gt;0,'Boletins Nuppa Site'!I61,"NULL")</f>
        <v>65</v>
      </c>
      <c r="G61" s="0" t="str">
        <f aca="false">IF('Boletins Nuppa Site'!J61&lt;&gt;0,'Boletins Nuppa Site'!J61,"NULL")</f>
        <v>52.5</v>
      </c>
      <c r="H61" s="0" t="str">
        <f aca="false">IF('Boletins Nuppa Site'!K61&lt;&gt;0,'Boletins Nuppa Site'!K61,"NULL")</f>
        <v>52.5</v>
      </c>
      <c r="I61" s="0" t="str">
        <f aca="false">"INSERT INTO COTACAO (cot_id, cot_blt_id, cot_pap_id, cot_prc_comum, cot_prc_min, cot_prc_max, cot_prc_med, cot_prc_mediana) VALUES ("&amp;A61&amp;", "&amp;B61&amp;", "&amp;C61&amp;", "&amp;D61&amp;", "&amp;E61&amp;", "&amp;F61&amp;", "&amp;G61&amp;", "&amp;H61&amp;");"</f>
        <v>INSERT INTO COTACAO (cot_id, cot_blt_id, cot_pap_id, cot_prc_comum, cot_prc_min, cot_prc_max, cot_prc_med, cot_prc_mediana) VALUES (60, 38, 22, NULL, 40, 65, 52.5, 52.5);</v>
      </c>
      <c r="J61" s="0" t="str">
        <f aca="false">"UPDATE COTACAO SET cot_id = "&amp;A61&amp;", cot_blt_id = "&amp;B61&amp;", cot_pap_id = "&amp;C61&amp;", cot_prc_comum = "&amp;D61&amp;", cot_prc_min = "&amp;E61&amp;", cot_prc_max = "&amp;F61&amp;", cot_prc_med = "&amp;G61&amp;", cot_prc_mediana = "&amp;H61&amp;" WHERE cot_id = "&amp;A61&amp;";"</f>
        <v>UPDATE COTACAO SET cot_id = 60, cot_blt_id = 38, cot_pap_id = 22, cot_prc_comum = NULL, cot_prc_min = 40, cot_prc_max = 65, cot_prc_med = 52.5, cot_prc_mediana = 52.5 WHERE cot_id = 60;</v>
      </c>
    </row>
    <row r="62" customFormat="false" ht="14.25" hidden="false" customHeight="false" outlineLevel="0" collapsed="false">
      <c r="A62" s="0" t="n">
        <v>61</v>
      </c>
      <c r="B62" s="0" t="n">
        <f aca="false">IF('Boletins Nuppa Site'!A62&lt;&gt;0,'Boletins Nuppa Site'!A62,"NULL")</f>
        <v>38</v>
      </c>
      <c r="C62" s="0" t="n">
        <v>23</v>
      </c>
      <c r="D62" s="30" t="n">
        <f aca="false">IF('Boletins Nuppa Site'!G62&lt;&gt;0,'Boletins Nuppa Site'!G62,"NULL")</f>
        <v>50</v>
      </c>
      <c r="E62" s="30" t="n">
        <f aca="false">IF('Boletins Nuppa Site'!H62&lt;&gt;0,'Boletins Nuppa Site'!H62,"NULL")</f>
        <v>45</v>
      </c>
      <c r="F62" s="30" t="n">
        <f aca="false">IF('Boletins Nuppa Site'!I62&lt;&gt;0,'Boletins Nuppa Site'!I62,"NULL")</f>
        <v>55</v>
      </c>
      <c r="G62" s="30" t="n">
        <f aca="false">IF('Boletins Nuppa Site'!J62&lt;&gt;0,'Boletins Nuppa Site'!J62,"NULL")</f>
        <v>50</v>
      </c>
      <c r="H62" s="30" t="n">
        <f aca="false">IF('Boletins Nuppa Site'!K62&lt;&gt;0,'Boletins Nuppa Site'!K62,"NULL")</f>
        <v>50</v>
      </c>
      <c r="I62" s="0" t="str">
        <f aca="false">"INSERT INTO COTACAO (cot_id, cot_blt_id, cot_pap_id, cot_prc_comum, cot_prc_min, cot_prc_max, cot_prc_med, cot_prc_mediana) VALUES ("&amp;A62&amp;", "&amp;B62&amp;", "&amp;C62&amp;", "&amp;D62&amp;", "&amp;E62&amp;", "&amp;F62&amp;", "&amp;G62&amp;", "&amp;H62&amp;");"</f>
        <v>INSERT INTO COTACAO (cot_id, cot_blt_id, cot_pap_id, cot_prc_comum, cot_prc_min, cot_prc_max, cot_prc_med, cot_prc_mediana) VALUES (61, 38, 23, 50, 45, 55, 50, 50);</v>
      </c>
      <c r="J62" s="0" t="str">
        <f aca="false">"UPDATE COTACAO SET cot_id = "&amp;A62&amp;", cot_blt_id = "&amp;B62&amp;", cot_pap_id = "&amp;C62&amp;", cot_prc_comum = "&amp;D62&amp;", cot_prc_min = "&amp;E62&amp;", cot_prc_max = "&amp;F62&amp;", cot_prc_med = "&amp;G62&amp;", cot_prc_mediana = "&amp;H62&amp;" WHERE cot_id = "&amp;A62&amp;";"</f>
        <v>UPDATE COTACAO SET cot_id = 61, cot_blt_id = 38, cot_pap_id = 23, cot_prc_comum = 50, cot_prc_min = 45, cot_prc_max = 55, cot_prc_med = 50, cot_prc_mediana = 50 WHERE cot_id = 61;</v>
      </c>
    </row>
    <row r="63" customFormat="false" ht="14.25" hidden="false" customHeight="false" outlineLevel="0" collapsed="false">
      <c r="A63" s="0" t="n">
        <v>62</v>
      </c>
      <c r="B63" s="0" t="n">
        <f aca="false">IF('Boletins Nuppa Site'!A63&lt;&gt;0,'Boletins Nuppa Site'!A63,"NULL")</f>
        <v>38</v>
      </c>
      <c r="C63" s="0" t="n">
        <v>24</v>
      </c>
      <c r="D63" s="0" t="str">
        <f aca="false">IF('Boletins Nuppa Site'!G63&lt;&gt;0,'Boletins Nuppa Site'!G63,"NULL")</f>
        <v>NULL</v>
      </c>
      <c r="E63" s="0" t="str">
        <f aca="false">IF('Boletins Nuppa Site'!H63&lt;&gt;0,'Boletins Nuppa Site'!H63,"NULL")</f>
        <v>NULL</v>
      </c>
      <c r="F63" s="0" t="str">
        <f aca="false">IF('Boletins Nuppa Site'!I63&lt;&gt;0,'Boletins Nuppa Site'!I63,"NULL")</f>
        <v>NULL</v>
      </c>
      <c r="G63" s="0" t="str">
        <f aca="false">IF('Boletins Nuppa Site'!J63&lt;&gt;0,'Boletins Nuppa Site'!J63,"NULL")</f>
        <v>NULL</v>
      </c>
      <c r="H63" s="0" t="str">
        <f aca="false">IF('Boletins Nuppa Site'!K63&lt;&gt;0,'Boletins Nuppa Site'!K63,"NULL")</f>
        <v>NULL</v>
      </c>
      <c r="I63" s="0" t="str">
        <f aca="false">"INSERT INTO COTACAO (cot_id, cot_blt_id, cot_pap_id, cot_prc_comum, cot_prc_min, cot_prc_max, cot_prc_med, cot_prc_mediana) VALUES ("&amp;A63&amp;", "&amp;B63&amp;", "&amp;C63&amp;", "&amp;D63&amp;", "&amp;E63&amp;", "&amp;F63&amp;", "&amp;G63&amp;", "&amp;H63&amp;");"</f>
        <v>INSERT INTO COTACAO (cot_id, cot_blt_id, cot_pap_id, cot_prc_comum, cot_prc_min, cot_prc_max, cot_prc_med, cot_prc_mediana) VALUES (62, 38, 24, NULL, NULL, NULL, NULL, NULL);</v>
      </c>
      <c r="J63" s="0" t="str">
        <f aca="false">"UPDATE COTACAO SET cot_id = "&amp;A63&amp;", cot_blt_id = "&amp;B63&amp;", cot_pap_id = "&amp;C63&amp;", cot_prc_comum = "&amp;D63&amp;", cot_prc_min = "&amp;E63&amp;", cot_prc_max = "&amp;F63&amp;", cot_prc_med = "&amp;G63&amp;", cot_prc_mediana = "&amp;H63&amp;" WHERE cot_id = "&amp;A63&amp;";"</f>
        <v>UPDATE COTACAO SET cot_id = 62, cot_blt_id = 38, cot_pap_id = 24, cot_prc_comum = NULL, cot_prc_min = NULL, cot_prc_max = NULL, cot_prc_med = NULL, cot_prc_mediana = NULL WHERE cot_id = 62;</v>
      </c>
    </row>
    <row r="64" customFormat="false" ht="14.25" hidden="false" customHeight="false" outlineLevel="0" collapsed="false">
      <c r="A64" s="0" t="n">
        <v>63</v>
      </c>
      <c r="B64" s="0" t="n">
        <f aca="false">IF('Boletins Nuppa Site'!A64&lt;&gt;0,'Boletins Nuppa Site'!A64,"NULL")</f>
        <v>38</v>
      </c>
      <c r="C64" s="0" t="n">
        <v>25</v>
      </c>
      <c r="D64" s="30" t="n">
        <f aca="false">IF('Boletins Nuppa Site'!G64&lt;&gt;0,'Boletins Nuppa Site'!G64,"NULL")</f>
        <v>50</v>
      </c>
      <c r="E64" s="30" t="n">
        <f aca="false">IF('Boletins Nuppa Site'!H64&lt;&gt;0,'Boletins Nuppa Site'!H64,"NULL")</f>
        <v>50</v>
      </c>
      <c r="F64" s="30" t="n">
        <f aca="false">IF('Boletins Nuppa Site'!I64&lt;&gt;0,'Boletins Nuppa Site'!I64,"NULL")</f>
        <v>60</v>
      </c>
      <c r="G64" s="30" t="n">
        <f aca="false">IF('Boletins Nuppa Site'!J64&lt;&gt;0,'Boletins Nuppa Site'!J64,"NULL")</f>
        <v>55</v>
      </c>
      <c r="H64" s="30" t="n">
        <f aca="false">IF('Boletins Nuppa Site'!K64&lt;&gt;0,'Boletins Nuppa Site'!K64,"NULL")</f>
        <v>55</v>
      </c>
      <c r="I64" s="0" t="str">
        <f aca="false">"INSERT INTO COTACAO (cot_id, cot_blt_id, cot_pap_id, cot_prc_comum, cot_prc_min, cot_prc_max, cot_prc_med, cot_prc_mediana) VALUES ("&amp;A64&amp;", "&amp;B64&amp;", "&amp;C64&amp;", "&amp;D64&amp;", "&amp;E64&amp;", "&amp;F64&amp;", "&amp;G64&amp;", "&amp;H64&amp;");"</f>
        <v>INSERT INTO COTACAO (cot_id, cot_blt_id, cot_pap_id, cot_prc_comum, cot_prc_min, cot_prc_max, cot_prc_med, cot_prc_mediana) VALUES (63, 38, 25, 50, 50, 60, 55, 55);</v>
      </c>
      <c r="J64" s="0" t="str">
        <f aca="false">"UPDATE COTACAO SET cot_id = "&amp;A64&amp;", cot_blt_id = "&amp;B64&amp;", cot_pap_id = "&amp;C64&amp;", cot_prc_comum = "&amp;D64&amp;", cot_prc_min = "&amp;E64&amp;", cot_prc_max = "&amp;F64&amp;", cot_prc_med = "&amp;G64&amp;", cot_prc_mediana = "&amp;H64&amp;" WHERE cot_id = "&amp;A64&amp;";"</f>
        <v>UPDATE COTACAO SET cot_id = 63, cot_blt_id = 38, cot_pap_id = 25, cot_prc_comum = 50, cot_prc_min = 50, cot_prc_max = 60, cot_prc_med = 55, cot_prc_mediana = 55 WHERE cot_id = 63;</v>
      </c>
    </row>
    <row r="65" customFormat="false" ht="14.25" hidden="false" customHeight="false" outlineLevel="0" collapsed="false">
      <c r="A65" s="0" t="n">
        <v>64</v>
      </c>
      <c r="B65" s="0" t="n">
        <f aca="false">IF('Boletins Nuppa Site'!A65&lt;&gt;0,'Boletins Nuppa Site'!A65,"NULL")</f>
        <v>38</v>
      </c>
      <c r="C65" s="0" t="n">
        <v>26</v>
      </c>
      <c r="D65" s="30" t="n">
        <f aca="false">IF('Boletins Nuppa Site'!G65&lt;&gt;0,'Boletins Nuppa Site'!G65,"NULL")</f>
        <v>50</v>
      </c>
      <c r="E65" s="30" t="n">
        <f aca="false">IF('Boletins Nuppa Site'!H65&lt;&gt;0,'Boletins Nuppa Site'!H65,"NULL")</f>
        <v>40</v>
      </c>
      <c r="F65" s="30" t="n">
        <f aca="false">IF('Boletins Nuppa Site'!I65&lt;&gt;0,'Boletins Nuppa Site'!I65,"NULL")</f>
        <v>75</v>
      </c>
      <c r="G65" s="0" t="str">
        <f aca="false">IF('Boletins Nuppa Site'!J65&lt;&gt;0,'Boletins Nuppa Site'!J65,"NULL")</f>
        <v>56.67</v>
      </c>
      <c r="H65" s="0" t="str">
        <f aca="false">IF('Boletins Nuppa Site'!K65&lt;&gt;0,'Boletins Nuppa Site'!K65,"NULL")</f>
        <v>52.5</v>
      </c>
      <c r="I65" s="0" t="str">
        <f aca="false">"INSERT INTO COTACAO (cot_id, cot_blt_id, cot_pap_id, cot_prc_comum, cot_prc_min, cot_prc_max, cot_prc_med, cot_prc_mediana) VALUES ("&amp;A65&amp;", "&amp;B65&amp;", "&amp;C65&amp;", "&amp;D65&amp;", "&amp;E65&amp;", "&amp;F65&amp;", "&amp;G65&amp;", "&amp;H65&amp;");"</f>
        <v>INSERT INTO COTACAO (cot_id, cot_blt_id, cot_pap_id, cot_prc_comum, cot_prc_min, cot_prc_max, cot_prc_med, cot_prc_mediana) VALUES (64, 38, 26, 50, 40, 75, 56.67, 52.5);</v>
      </c>
      <c r="J65" s="0" t="str">
        <f aca="false">"UPDATE COTACAO SET cot_id = "&amp;A65&amp;", cot_blt_id = "&amp;B65&amp;", cot_pap_id = "&amp;C65&amp;", cot_prc_comum = "&amp;D65&amp;", cot_prc_min = "&amp;E65&amp;", cot_prc_max = "&amp;F65&amp;", cot_prc_med = "&amp;G65&amp;", cot_prc_mediana = "&amp;H65&amp;" WHERE cot_id = "&amp;A65&amp;";"</f>
        <v>UPDATE COTACAO SET cot_id = 64, cot_blt_id = 38, cot_pap_id = 26, cot_prc_comum = 50, cot_prc_min = 40, cot_prc_max = 75, cot_prc_med = 56.67, cot_prc_mediana = 52.5 WHERE cot_id = 64;</v>
      </c>
    </row>
    <row r="66" customFormat="false" ht="14.25" hidden="false" customHeight="false" outlineLevel="0" collapsed="false">
      <c r="A66" s="0" t="n">
        <v>65</v>
      </c>
      <c r="B66" s="0" t="n">
        <f aca="false">IF('Boletins Nuppa Site'!A66&lt;&gt;0,'Boletins Nuppa Site'!A66,"NULL")</f>
        <v>38</v>
      </c>
      <c r="C66" s="0" t="n">
        <v>27</v>
      </c>
      <c r="D66" s="30" t="n">
        <f aca="false">IF('Boletins Nuppa Site'!G66&lt;&gt;0,'Boletins Nuppa Site'!G66,"NULL")</f>
        <v>70</v>
      </c>
      <c r="E66" s="30" t="n">
        <f aca="false">IF('Boletins Nuppa Site'!H66&lt;&gt;0,'Boletins Nuppa Site'!H66,"NULL")</f>
        <v>50</v>
      </c>
      <c r="F66" s="30" t="n">
        <f aca="false">IF('Boletins Nuppa Site'!I66&lt;&gt;0,'Boletins Nuppa Site'!I66,"NULL")</f>
        <v>90</v>
      </c>
      <c r="G66" s="0" t="str">
        <f aca="false">IF('Boletins Nuppa Site'!J66&lt;&gt;0,'Boletins Nuppa Site'!J66,"NULL")</f>
        <v>71.43</v>
      </c>
      <c r="H66" s="30" t="n">
        <f aca="false">IF('Boletins Nuppa Site'!K66&lt;&gt;0,'Boletins Nuppa Site'!K66,"NULL")</f>
        <v>70</v>
      </c>
      <c r="I66" s="0" t="str">
        <f aca="false">"INSERT INTO COTACAO (cot_id, cot_blt_id, cot_pap_id, cot_prc_comum, cot_prc_min, cot_prc_max, cot_prc_med, cot_prc_mediana) VALUES ("&amp;A66&amp;", "&amp;B66&amp;", "&amp;C66&amp;", "&amp;D66&amp;", "&amp;E66&amp;", "&amp;F66&amp;", "&amp;G66&amp;", "&amp;H66&amp;");"</f>
        <v>INSERT INTO COTACAO (cot_id, cot_blt_id, cot_pap_id, cot_prc_comum, cot_prc_min, cot_prc_max, cot_prc_med, cot_prc_mediana) VALUES (65, 38, 27, 70, 50, 90, 71.43, 70);</v>
      </c>
      <c r="J66" s="0" t="str">
        <f aca="false">"UPDATE COTACAO SET cot_id = "&amp;A66&amp;", cot_blt_id = "&amp;B66&amp;", cot_pap_id = "&amp;C66&amp;", cot_prc_comum = "&amp;D66&amp;", cot_prc_min = "&amp;E66&amp;", cot_prc_max = "&amp;F66&amp;", cot_prc_med = "&amp;G66&amp;", cot_prc_mediana = "&amp;H66&amp;" WHERE cot_id = "&amp;A66&amp;";"</f>
        <v>UPDATE COTACAO SET cot_id = 65, cot_blt_id = 38, cot_pap_id = 27, cot_prc_comum = 70, cot_prc_min = 50, cot_prc_max = 90, cot_prc_med = 71.43, cot_prc_mediana = 70 WHERE cot_id = 65;</v>
      </c>
    </row>
    <row r="67" customFormat="false" ht="14.25" hidden="false" customHeight="false" outlineLevel="0" collapsed="false">
      <c r="A67" s="0" t="n">
        <v>66</v>
      </c>
      <c r="B67" s="0" t="n">
        <f aca="false">IF('Boletins Nuppa Site'!A67&lt;&gt;0,'Boletins Nuppa Site'!A67,"NULL")</f>
        <v>38</v>
      </c>
      <c r="C67" s="0" t="n">
        <v>28</v>
      </c>
      <c r="D67" s="0" t="str">
        <f aca="false">IF('Boletins Nuppa Site'!G67&lt;&gt;0,'Boletins Nuppa Site'!G67,"NULL")</f>
        <v>NULL</v>
      </c>
      <c r="E67" s="30" t="n">
        <f aca="false">IF('Boletins Nuppa Site'!H67&lt;&gt;0,'Boletins Nuppa Site'!H67,"NULL")</f>
        <v>60</v>
      </c>
      <c r="F67" s="30" t="n">
        <f aca="false">IF('Boletins Nuppa Site'!I67&lt;&gt;0,'Boletins Nuppa Site'!I67,"NULL")</f>
        <v>65</v>
      </c>
      <c r="G67" s="0" t="str">
        <f aca="false">IF('Boletins Nuppa Site'!J67&lt;&gt;0,'Boletins Nuppa Site'!J67,"NULL")</f>
        <v>62.5</v>
      </c>
      <c r="H67" s="0" t="str">
        <f aca="false">IF('Boletins Nuppa Site'!K67&lt;&gt;0,'Boletins Nuppa Site'!K67,"NULL")</f>
        <v>62.5</v>
      </c>
      <c r="I67" s="0" t="str">
        <f aca="false">"INSERT INTO COTACAO (cot_id, cot_blt_id, cot_pap_id, cot_prc_comum, cot_prc_min, cot_prc_max, cot_prc_med, cot_prc_mediana) VALUES ("&amp;A67&amp;", "&amp;B67&amp;", "&amp;C67&amp;", "&amp;D67&amp;", "&amp;E67&amp;", "&amp;F67&amp;", "&amp;G67&amp;", "&amp;H67&amp;");"</f>
        <v>INSERT INTO COTACAO (cot_id, cot_blt_id, cot_pap_id, cot_prc_comum, cot_prc_min, cot_prc_max, cot_prc_med, cot_prc_mediana) VALUES (66, 38, 28, NULL, 60, 65, 62.5, 62.5);</v>
      </c>
      <c r="J67" s="0" t="str">
        <f aca="false">"UPDATE COTACAO SET cot_id = "&amp;A67&amp;", cot_blt_id = "&amp;B67&amp;", cot_pap_id = "&amp;C67&amp;", cot_prc_comum = "&amp;D67&amp;", cot_prc_min = "&amp;E67&amp;", cot_prc_max = "&amp;F67&amp;", cot_prc_med = "&amp;G67&amp;", cot_prc_mediana = "&amp;H67&amp;" WHERE cot_id = "&amp;A67&amp;";"</f>
        <v>UPDATE COTACAO SET cot_id = 66, cot_blt_id = 38, cot_pap_id = 28, cot_prc_comum = NULL, cot_prc_min = 60, cot_prc_max = 65, cot_prc_med = 62.5, cot_prc_mediana = 62.5 WHERE cot_id = 66;</v>
      </c>
    </row>
    <row r="68" customFormat="false" ht="14.25" hidden="false" customHeight="false" outlineLevel="0" collapsed="false">
      <c r="A68" s="0" t="n">
        <v>67</v>
      </c>
      <c r="B68" s="0" t="n">
        <f aca="false">IF('Boletins Nuppa Site'!A68&lt;&gt;0,'Boletins Nuppa Site'!A68,"NULL")</f>
        <v>38</v>
      </c>
      <c r="C68" s="0" t="n">
        <v>29</v>
      </c>
      <c r="D68" s="0" t="str">
        <f aca="false">IF('Boletins Nuppa Site'!G68&lt;&gt;0,'Boletins Nuppa Site'!G68,"NULL")</f>
        <v>NULL</v>
      </c>
      <c r="E68" s="30" t="n">
        <f aca="false">IF('Boletins Nuppa Site'!H68&lt;&gt;0,'Boletins Nuppa Site'!H68,"NULL")</f>
        <v>60</v>
      </c>
      <c r="F68" s="30" t="n">
        <f aca="false">IF('Boletins Nuppa Site'!I68&lt;&gt;0,'Boletins Nuppa Site'!I68,"NULL")</f>
        <v>65</v>
      </c>
      <c r="G68" s="0" t="str">
        <f aca="false">IF('Boletins Nuppa Site'!J68&lt;&gt;0,'Boletins Nuppa Site'!J68,"NULL")</f>
        <v>62.5</v>
      </c>
      <c r="H68" s="0" t="str">
        <f aca="false">IF('Boletins Nuppa Site'!K68&lt;&gt;0,'Boletins Nuppa Site'!K68,"NULL")</f>
        <v>62.5</v>
      </c>
      <c r="I68" s="0" t="str">
        <f aca="false">"INSERT INTO COTACAO (cot_id, cot_blt_id, cot_pap_id, cot_prc_comum, cot_prc_min, cot_prc_max, cot_prc_med, cot_prc_mediana) VALUES ("&amp;A68&amp;", "&amp;B68&amp;", "&amp;C68&amp;", "&amp;D68&amp;", "&amp;E68&amp;", "&amp;F68&amp;", "&amp;G68&amp;", "&amp;H68&amp;");"</f>
        <v>INSERT INTO COTACAO (cot_id, cot_blt_id, cot_pap_id, cot_prc_comum, cot_prc_min, cot_prc_max, cot_prc_med, cot_prc_mediana) VALUES (67, 38, 29, NULL, 60, 65, 62.5, 62.5);</v>
      </c>
      <c r="J68" s="0" t="str">
        <f aca="false">"UPDATE COTACAO SET cot_id = "&amp;A68&amp;", cot_blt_id = "&amp;B68&amp;", cot_pap_id = "&amp;C68&amp;", cot_prc_comum = "&amp;D68&amp;", cot_prc_min = "&amp;E68&amp;", cot_prc_max = "&amp;F68&amp;", cot_prc_med = "&amp;G68&amp;", cot_prc_mediana = "&amp;H68&amp;" WHERE cot_id = "&amp;A68&amp;";"</f>
        <v>UPDATE COTACAO SET cot_id = 67, cot_blt_id = 38, cot_pap_id = 29, cot_prc_comum = NULL, cot_prc_min = 60, cot_prc_max = 65, cot_prc_med = 62.5, cot_prc_mediana = 62.5 WHERE cot_id = 67;</v>
      </c>
    </row>
    <row r="69" customFormat="false" ht="14.25" hidden="false" customHeight="false" outlineLevel="0" collapsed="false">
      <c r="A69" s="0" t="n">
        <v>68</v>
      </c>
      <c r="B69" s="0" t="n">
        <f aca="false">IF('Boletins Nuppa Site'!A69&lt;&gt;0,'Boletins Nuppa Site'!A69,"NULL")</f>
        <v>38</v>
      </c>
      <c r="C69" s="0" t="n">
        <v>30</v>
      </c>
      <c r="D69" s="30" t="n">
        <f aca="false">IF('Boletins Nuppa Site'!G69&lt;&gt;0,'Boletins Nuppa Site'!G69,"NULL")</f>
        <v>60</v>
      </c>
      <c r="E69" s="30" t="n">
        <f aca="false">IF('Boletins Nuppa Site'!H69&lt;&gt;0,'Boletins Nuppa Site'!H69,"NULL")</f>
        <v>50</v>
      </c>
      <c r="F69" s="30" t="n">
        <f aca="false">IF('Boletins Nuppa Site'!I69&lt;&gt;0,'Boletins Nuppa Site'!I69,"NULL")</f>
        <v>60</v>
      </c>
      <c r="G69" s="0" t="str">
        <f aca="false">IF('Boletins Nuppa Site'!J69&lt;&gt;0,'Boletins Nuppa Site'!J69,"NULL")</f>
        <v>57.5</v>
      </c>
      <c r="H69" s="30" t="n">
        <f aca="false">IF('Boletins Nuppa Site'!K69&lt;&gt;0,'Boletins Nuppa Site'!K69,"NULL")</f>
        <v>60</v>
      </c>
      <c r="I69" s="0" t="str">
        <f aca="false">"INSERT INTO COTACAO (cot_id, cot_blt_id, cot_pap_id, cot_prc_comum, cot_prc_min, cot_prc_max, cot_prc_med, cot_prc_mediana) VALUES ("&amp;A69&amp;", "&amp;B69&amp;", "&amp;C69&amp;", "&amp;D69&amp;", "&amp;E69&amp;", "&amp;F69&amp;", "&amp;G69&amp;", "&amp;H69&amp;");"</f>
        <v>INSERT INTO COTACAO (cot_id, cot_blt_id, cot_pap_id, cot_prc_comum, cot_prc_min, cot_prc_max, cot_prc_med, cot_prc_mediana) VALUES (68, 38, 30, 60, 50, 60, 57.5, 60);</v>
      </c>
      <c r="J69" s="0" t="str">
        <f aca="false">"UPDATE COTACAO SET cot_id = "&amp;A69&amp;", cot_blt_id = "&amp;B69&amp;", cot_pap_id = "&amp;C69&amp;", cot_prc_comum = "&amp;D69&amp;", cot_prc_min = "&amp;E69&amp;", cot_prc_max = "&amp;F69&amp;", cot_prc_med = "&amp;G69&amp;", cot_prc_mediana = "&amp;H69&amp;" WHERE cot_id = "&amp;A69&amp;";"</f>
        <v>UPDATE COTACAO SET cot_id = 68, cot_blt_id = 38, cot_pap_id = 30, cot_prc_comum = 60, cot_prc_min = 50, cot_prc_max = 60, cot_prc_med = 57.5, cot_prc_mediana = 60 WHERE cot_id = 68;</v>
      </c>
    </row>
    <row r="70" customFormat="false" ht="14.25" hidden="false" customHeight="false" outlineLevel="0" collapsed="false">
      <c r="A70" s="0" t="n">
        <v>69</v>
      </c>
      <c r="B70" s="0" t="n">
        <f aca="false">IF('Boletins Nuppa Site'!A70&lt;&gt;0,'Boletins Nuppa Site'!A70,"NULL")</f>
        <v>38</v>
      </c>
      <c r="C70" s="0" t="n">
        <v>31</v>
      </c>
      <c r="D70" s="30" t="n">
        <f aca="false">IF('Boletins Nuppa Site'!G70&lt;&gt;0,'Boletins Nuppa Site'!G70,"NULL")</f>
        <v>70</v>
      </c>
      <c r="E70" s="30" t="n">
        <f aca="false">IF('Boletins Nuppa Site'!H70&lt;&gt;0,'Boletins Nuppa Site'!H70,"NULL")</f>
        <v>70</v>
      </c>
      <c r="F70" s="30" t="n">
        <f aca="false">IF('Boletins Nuppa Site'!I70&lt;&gt;0,'Boletins Nuppa Site'!I70,"NULL")</f>
        <v>80</v>
      </c>
      <c r="G70" s="30" t="n">
        <f aca="false">IF('Boletins Nuppa Site'!J70&lt;&gt;0,'Boletins Nuppa Site'!J70,"NULL")</f>
        <v>73</v>
      </c>
      <c r="H70" s="30" t="n">
        <f aca="false">IF('Boletins Nuppa Site'!K70&lt;&gt;0,'Boletins Nuppa Site'!K70,"NULL")</f>
        <v>70</v>
      </c>
      <c r="I70" s="0" t="str">
        <f aca="false">"INSERT INTO COTACAO (cot_id, cot_blt_id, cot_pap_id, cot_prc_comum, cot_prc_min, cot_prc_max, cot_prc_med, cot_prc_mediana) VALUES ("&amp;A70&amp;", "&amp;B70&amp;", "&amp;C70&amp;", "&amp;D70&amp;", "&amp;E70&amp;", "&amp;F70&amp;", "&amp;G70&amp;", "&amp;H70&amp;");"</f>
        <v>INSERT INTO COTACAO (cot_id, cot_blt_id, cot_pap_id, cot_prc_comum, cot_prc_min, cot_prc_max, cot_prc_med, cot_prc_mediana) VALUES (69, 38, 31, 70, 70, 80, 73, 70);</v>
      </c>
      <c r="J70" s="0" t="str">
        <f aca="false">"UPDATE COTACAO SET cot_id = "&amp;A70&amp;", cot_blt_id = "&amp;B70&amp;", cot_pap_id = "&amp;C70&amp;", cot_prc_comum = "&amp;D70&amp;", cot_prc_min = "&amp;E70&amp;", cot_prc_max = "&amp;F70&amp;", cot_prc_med = "&amp;G70&amp;", cot_prc_mediana = "&amp;H70&amp;" WHERE cot_id = "&amp;A70&amp;";"</f>
        <v>UPDATE COTACAO SET cot_id = 69, cot_blt_id = 38, cot_pap_id = 31, cot_prc_comum = 70, cot_prc_min = 70, cot_prc_max = 80, cot_prc_med = 73, cot_prc_mediana = 70 WHERE cot_id = 69;</v>
      </c>
    </row>
    <row r="71" customFormat="false" ht="14.25" hidden="false" customHeight="false" outlineLevel="0" collapsed="false">
      <c r="A71" s="0" t="n">
        <v>70</v>
      </c>
      <c r="B71" s="0" t="n">
        <f aca="false">IF('Boletins Nuppa Site'!A71&lt;&gt;0,'Boletins Nuppa Site'!A71,"NULL")</f>
        <v>38</v>
      </c>
      <c r="C71" s="0" t="n">
        <v>32</v>
      </c>
      <c r="D71" s="30" t="n">
        <f aca="false">IF('Boletins Nuppa Site'!G71&lt;&gt;0,'Boletins Nuppa Site'!G71,"NULL")</f>
        <v>40</v>
      </c>
      <c r="E71" s="30" t="n">
        <f aca="false">IF('Boletins Nuppa Site'!H71&lt;&gt;0,'Boletins Nuppa Site'!H71,"NULL")</f>
        <v>30</v>
      </c>
      <c r="F71" s="30" t="n">
        <f aca="false">IF('Boletins Nuppa Site'!I71&lt;&gt;0,'Boletins Nuppa Site'!I71,"NULL")</f>
        <v>50</v>
      </c>
      <c r="G71" s="0" t="str">
        <f aca="false">IF('Boletins Nuppa Site'!J71&lt;&gt;0,'Boletins Nuppa Site'!J71,"NULL")</f>
        <v>39.38</v>
      </c>
      <c r="H71" s="30" t="n">
        <f aca="false">IF('Boletins Nuppa Site'!K71&lt;&gt;0,'Boletins Nuppa Site'!K71,"NULL")</f>
        <v>40</v>
      </c>
      <c r="I71" s="0" t="str">
        <f aca="false">"INSERT INTO COTACAO (cot_id, cot_blt_id, cot_pap_id, cot_prc_comum, cot_prc_min, cot_prc_max, cot_prc_med, cot_prc_mediana) VALUES ("&amp;A71&amp;", "&amp;B71&amp;", "&amp;C71&amp;", "&amp;D71&amp;", "&amp;E71&amp;", "&amp;F71&amp;", "&amp;G71&amp;", "&amp;H71&amp;");"</f>
        <v>INSERT INTO COTACAO (cot_id, cot_blt_id, cot_pap_id, cot_prc_comum, cot_prc_min, cot_prc_max, cot_prc_med, cot_prc_mediana) VALUES (70, 38, 32, 40, 30, 50, 39.38, 40);</v>
      </c>
      <c r="J71" s="0" t="str">
        <f aca="false">"UPDATE COTACAO SET cot_id = "&amp;A71&amp;", cot_blt_id = "&amp;B71&amp;", cot_pap_id = "&amp;C71&amp;", cot_prc_comum = "&amp;D71&amp;", cot_prc_min = "&amp;E71&amp;", cot_prc_max = "&amp;F71&amp;", cot_prc_med = "&amp;G71&amp;", cot_prc_mediana = "&amp;H71&amp;" WHERE cot_id = "&amp;A71&amp;";"</f>
        <v>UPDATE COTACAO SET cot_id = 70, cot_blt_id = 38, cot_pap_id = 32, cot_prc_comum = 40, cot_prc_min = 30, cot_prc_max = 50, cot_prc_med = 39.38, cot_prc_mediana = 40 WHERE cot_id = 70;</v>
      </c>
    </row>
    <row r="72" customFormat="false" ht="14.25" hidden="false" customHeight="false" outlineLevel="0" collapsed="false">
      <c r="A72" s="0" t="n">
        <v>71</v>
      </c>
      <c r="B72" s="0" t="n">
        <f aca="false">IF('Boletins Nuppa Site'!A72&lt;&gt;0,'Boletins Nuppa Site'!A72,"NULL")</f>
        <v>38</v>
      </c>
      <c r="C72" s="0" t="n">
        <v>33</v>
      </c>
      <c r="D72" s="30" t="n">
        <f aca="false">IF('Boletins Nuppa Site'!G72&lt;&gt;0,'Boletins Nuppa Site'!G72,"NULL")</f>
        <v>70</v>
      </c>
      <c r="E72" s="30" t="n">
        <f aca="false">IF('Boletins Nuppa Site'!H72&lt;&gt;0,'Boletins Nuppa Site'!H72,"NULL")</f>
        <v>70</v>
      </c>
      <c r="F72" s="30" t="n">
        <f aca="false">IF('Boletins Nuppa Site'!I72&lt;&gt;0,'Boletins Nuppa Site'!I72,"NULL")</f>
        <v>130</v>
      </c>
      <c r="G72" s="0" t="str">
        <f aca="false">IF('Boletins Nuppa Site'!J72&lt;&gt;0,'Boletins Nuppa Site'!J72,"NULL")</f>
        <v>102.86</v>
      </c>
      <c r="H72" s="30" t="n">
        <f aca="false">IF('Boletins Nuppa Site'!K72&lt;&gt;0,'Boletins Nuppa Site'!K72,"NULL")</f>
        <v>110</v>
      </c>
      <c r="I72" s="0" t="str">
        <f aca="false">"INSERT INTO COTACAO (cot_id, cot_blt_id, cot_pap_id, cot_prc_comum, cot_prc_min, cot_prc_max, cot_prc_med, cot_prc_mediana) VALUES ("&amp;A72&amp;", "&amp;B72&amp;", "&amp;C72&amp;", "&amp;D72&amp;", "&amp;E72&amp;", "&amp;F72&amp;", "&amp;G72&amp;", "&amp;H72&amp;");"</f>
        <v>INSERT INTO COTACAO (cot_id, cot_blt_id, cot_pap_id, cot_prc_comum, cot_prc_min, cot_prc_max, cot_prc_med, cot_prc_mediana) VALUES (71, 38, 33, 70, 70, 130, 102.86, 110);</v>
      </c>
      <c r="J72" s="0" t="str">
        <f aca="false">"UPDATE COTACAO SET cot_id = "&amp;A72&amp;", cot_blt_id = "&amp;B72&amp;", cot_pap_id = "&amp;C72&amp;", cot_prc_comum = "&amp;D72&amp;", cot_prc_min = "&amp;E72&amp;", cot_prc_max = "&amp;F72&amp;", cot_prc_med = "&amp;G72&amp;", cot_prc_mediana = "&amp;H72&amp;" WHERE cot_id = "&amp;A72&amp;";"</f>
        <v>UPDATE COTACAO SET cot_id = 71, cot_blt_id = 38, cot_pap_id = 33, cot_prc_comum = 70, cot_prc_min = 70, cot_prc_max = 130, cot_prc_med = 102.86, cot_prc_mediana = 110 WHERE cot_id = 71;</v>
      </c>
    </row>
    <row r="73" customFormat="false" ht="14.25" hidden="false" customHeight="false" outlineLevel="0" collapsed="false">
      <c r="A73" s="0" t="n">
        <v>72</v>
      </c>
      <c r="B73" s="0" t="n">
        <f aca="false">IF('Boletins Nuppa Site'!A73&lt;&gt;0,'Boletins Nuppa Site'!A73,"NULL")</f>
        <v>38</v>
      </c>
      <c r="C73" s="0" t="n">
        <v>34</v>
      </c>
      <c r="D73" s="30" t="n">
        <f aca="false">IF('Boletins Nuppa Site'!G73&lt;&gt;0,'Boletins Nuppa Site'!G73,"NULL")</f>
        <v>90</v>
      </c>
      <c r="E73" s="30" t="n">
        <f aca="false">IF('Boletins Nuppa Site'!H73&lt;&gt;0,'Boletins Nuppa Site'!H73,"NULL")</f>
        <v>80</v>
      </c>
      <c r="F73" s="30" t="n">
        <f aca="false">IF('Boletins Nuppa Site'!I73&lt;&gt;0,'Boletins Nuppa Site'!I73,"NULL")</f>
        <v>100</v>
      </c>
      <c r="G73" s="30" t="n">
        <f aca="false">IF('Boletins Nuppa Site'!J73&lt;&gt;0,'Boletins Nuppa Site'!J73,"NULL")</f>
        <v>92</v>
      </c>
      <c r="H73" s="30" t="n">
        <f aca="false">IF('Boletins Nuppa Site'!K73&lt;&gt;0,'Boletins Nuppa Site'!K73,"NULL")</f>
        <v>90</v>
      </c>
      <c r="I73" s="0" t="str">
        <f aca="false">"INSERT INTO COTACAO (cot_id, cot_blt_id, cot_pap_id, cot_prc_comum, cot_prc_min, cot_prc_max, cot_prc_med, cot_prc_mediana) VALUES ("&amp;A73&amp;", "&amp;B73&amp;", "&amp;C73&amp;", "&amp;D73&amp;", "&amp;E73&amp;", "&amp;F73&amp;", "&amp;G73&amp;", "&amp;H73&amp;");"</f>
        <v>INSERT INTO COTACAO (cot_id, cot_blt_id, cot_pap_id, cot_prc_comum, cot_prc_min, cot_prc_max, cot_prc_med, cot_prc_mediana) VALUES (72, 38, 34, 90, 80, 100, 92, 90);</v>
      </c>
      <c r="J73" s="0" t="str">
        <f aca="false">"UPDATE COTACAO SET cot_id = "&amp;A73&amp;", cot_blt_id = "&amp;B73&amp;", cot_pap_id = "&amp;C73&amp;", cot_prc_comum = "&amp;D73&amp;", cot_prc_min = "&amp;E73&amp;", cot_prc_max = "&amp;F73&amp;", cot_prc_med = "&amp;G73&amp;", cot_prc_mediana = "&amp;H73&amp;" WHERE cot_id = "&amp;A73&amp;";"</f>
        <v>UPDATE COTACAO SET cot_id = 72, cot_blt_id = 38, cot_pap_id = 34, cot_prc_comum = 90, cot_prc_min = 80, cot_prc_max = 100, cot_prc_med = 92, cot_prc_mediana = 90 WHERE cot_id = 72;</v>
      </c>
    </row>
    <row r="74" customFormat="false" ht="14.25" hidden="false" customHeight="false" outlineLevel="0" collapsed="false">
      <c r="A74" s="0" t="n">
        <v>73</v>
      </c>
      <c r="B74" s="0" t="n">
        <f aca="false">IF('Boletins Nuppa Site'!A74&lt;&gt;0,'Boletins Nuppa Site'!A74,"NULL")</f>
        <v>38</v>
      </c>
      <c r="C74" s="0" t="n">
        <v>35</v>
      </c>
      <c r="D74" s="30" t="n">
        <f aca="false">IF('Boletins Nuppa Site'!G74&lt;&gt;0,'Boletins Nuppa Site'!G74,"NULL")</f>
        <v>100</v>
      </c>
      <c r="E74" s="30" t="n">
        <f aca="false">IF('Boletins Nuppa Site'!H74&lt;&gt;0,'Boletins Nuppa Site'!H74,"NULL")</f>
        <v>100</v>
      </c>
      <c r="F74" s="30" t="n">
        <f aca="false">IF('Boletins Nuppa Site'!I74&lt;&gt;0,'Boletins Nuppa Site'!I74,"NULL")</f>
        <v>130</v>
      </c>
      <c r="G74" s="30" t="n">
        <f aca="false">IF('Boletins Nuppa Site'!J74&lt;&gt;0,'Boletins Nuppa Site'!J74,"NULL")</f>
        <v>108</v>
      </c>
      <c r="H74" s="30" t="n">
        <f aca="false">IF('Boletins Nuppa Site'!K74&lt;&gt;0,'Boletins Nuppa Site'!K74,"NULL")</f>
        <v>100</v>
      </c>
      <c r="I74" s="0" t="str">
        <f aca="false">"INSERT INTO COTACAO (cot_id, cot_blt_id, cot_pap_id, cot_prc_comum, cot_prc_min, cot_prc_max, cot_prc_med, cot_prc_mediana) VALUES ("&amp;A74&amp;", "&amp;B74&amp;", "&amp;C74&amp;", "&amp;D74&amp;", "&amp;E74&amp;", "&amp;F74&amp;", "&amp;G74&amp;", "&amp;H74&amp;");"</f>
        <v>INSERT INTO COTACAO (cot_id, cot_blt_id, cot_pap_id, cot_prc_comum, cot_prc_min, cot_prc_max, cot_prc_med, cot_prc_mediana) VALUES (73, 38, 35, 100, 100, 130, 108, 100);</v>
      </c>
      <c r="J74" s="0" t="str">
        <f aca="false">"UPDATE COTACAO SET cot_id = "&amp;A74&amp;", cot_blt_id = "&amp;B74&amp;", cot_pap_id = "&amp;C74&amp;", cot_prc_comum = "&amp;D74&amp;", cot_prc_min = "&amp;E74&amp;", cot_prc_max = "&amp;F74&amp;", cot_prc_med = "&amp;G74&amp;", cot_prc_mediana = "&amp;H74&amp;" WHERE cot_id = "&amp;A74&amp;";"</f>
        <v>UPDATE COTACAO SET cot_id = 73, cot_blt_id = 38, cot_pap_id = 35, cot_prc_comum = 100, cot_prc_min = 100, cot_prc_max = 130, cot_prc_med = 108, cot_prc_mediana = 100 WHERE cot_id = 73;</v>
      </c>
    </row>
    <row r="75" customFormat="false" ht="14.25" hidden="false" customHeight="false" outlineLevel="0" collapsed="false">
      <c r="A75" s="0" t="n">
        <v>74</v>
      </c>
      <c r="B75" s="0" t="n">
        <f aca="false">IF('Boletins Nuppa Site'!A75&lt;&gt;0,'Boletins Nuppa Site'!A75,"NULL")</f>
        <v>38</v>
      </c>
      <c r="C75" s="0" t="n">
        <v>36</v>
      </c>
      <c r="D75" s="0" t="str">
        <f aca="false">IF('Boletins Nuppa Site'!G75&lt;&gt;0,'Boletins Nuppa Site'!G75,"NULL")</f>
        <v>NULL</v>
      </c>
      <c r="E75" s="0" t="str">
        <f aca="false">IF('Boletins Nuppa Site'!H75&lt;&gt;0,'Boletins Nuppa Site'!H75,"NULL")</f>
        <v>NULL</v>
      </c>
      <c r="F75" s="0" t="str">
        <f aca="false">IF('Boletins Nuppa Site'!I75&lt;&gt;0,'Boletins Nuppa Site'!I75,"NULL")</f>
        <v>NULL</v>
      </c>
      <c r="G75" s="0" t="str">
        <f aca="false">IF('Boletins Nuppa Site'!J75&lt;&gt;0,'Boletins Nuppa Site'!J75,"NULL")</f>
        <v>NULL</v>
      </c>
      <c r="H75" s="0" t="str">
        <f aca="false">IF('Boletins Nuppa Site'!K75&lt;&gt;0,'Boletins Nuppa Site'!K75,"NULL")</f>
        <v>NULL</v>
      </c>
      <c r="I75" s="0" t="str">
        <f aca="false">"INSERT INTO COTACAO (cot_id, cot_blt_id, cot_pap_id, cot_prc_comum, cot_prc_min, cot_prc_max, cot_prc_med, cot_prc_mediana) VALUES ("&amp;A75&amp;", "&amp;B75&amp;", "&amp;C75&amp;", "&amp;D75&amp;", "&amp;E75&amp;", "&amp;F75&amp;", "&amp;G75&amp;", "&amp;H75&amp;");"</f>
        <v>INSERT INTO COTACAO (cot_id, cot_blt_id, cot_pap_id, cot_prc_comum, cot_prc_min, cot_prc_max, cot_prc_med, cot_prc_mediana) VALUES (74, 38, 36, NULL, NULL, NULL, NULL, NULL);</v>
      </c>
      <c r="J75" s="0" t="str">
        <f aca="false">"UPDATE COTACAO SET cot_id = "&amp;A75&amp;", cot_blt_id = "&amp;B75&amp;", cot_pap_id = "&amp;C75&amp;", cot_prc_comum = "&amp;D75&amp;", cot_prc_min = "&amp;E75&amp;", cot_prc_max = "&amp;F75&amp;", cot_prc_med = "&amp;G75&amp;", cot_prc_mediana = "&amp;H75&amp;" WHERE cot_id = "&amp;A75&amp;";"</f>
        <v>UPDATE COTACAO SET cot_id = 74, cot_blt_id = 38, cot_pap_id = 36, cot_prc_comum = NULL, cot_prc_min = NULL, cot_prc_max = NULL, cot_prc_med = NULL, cot_prc_mediana = NULL WHERE cot_id = 74;</v>
      </c>
    </row>
    <row r="76" customFormat="false" ht="14.25" hidden="false" customHeight="false" outlineLevel="0" collapsed="false">
      <c r="A76" s="0" t="n">
        <v>75</v>
      </c>
      <c r="B76" s="0" t="n">
        <f aca="false">IF('Boletins Nuppa Site'!A76&lt;&gt;0,'Boletins Nuppa Site'!A76,"NULL")</f>
        <v>38</v>
      </c>
      <c r="C76" s="0" t="n">
        <v>37</v>
      </c>
      <c r="D76" s="0" t="str">
        <f aca="false">IF('Boletins Nuppa Site'!G76&lt;&gt;0,'Boletins Nuppa Site'!G76,"NULL")</f>
        <v>NULL</v>
      </c>
      <c r="E76" s="0" t="str">
        <f aca="false">IF('Boletins Nuppa Site'!H76&lt;&gt;0,'Boletins Nuppa Site'!H76,"NULL")</f>
        <v>NULL</v>
      </c>
      <c r="F76" s="0" t="str">
        <f aca="false">IF('Boletins Nuppa Site'!I76&lt;&gt;0,'Boletins Nuppa Site'!I76,"NULL")</f>
        <v>NULL</v>
      </c>
      <c r="G76" s="0" t="str">
        <f aca="false">IF('Boletins Nuppa Site'!J76&lt;&gt;0,'Boletins Nuppa Site'!J76,"NULL")</f>
        <v>NULL</v>
      </c>
      <c r="H76" s="0" t="str">
        <f aca="false">IF('Boletins Nuppa Site'!K76&lt;&gt;0,'Boletins Nuppa Site'!K76,"NULL")</f>
        <v>NULL</v>
      </c>
      <c r="I76" s="0" t="str">
        <f aca="false">"INSERT INTO COTACAO (cot_id, cot_blt_id, cot_pap_id, cot_prc_comum, cot_prc_min, cot_prc_max, cot_prc_med, cot_prc_mediana) VALUES ("&amp;A76&amp;", "&amp;B76&amp;", "&amp;C76&amp;", "&amp;D76&amp;", "&amp;E76&amp;", "&amp;F76&amp;", "&amp;G76&amp;", "&amp;H76&amp;");"</f>
        <v>INSERT INTO COTACAO (cot_id, cot_blt_id, cot_pap_id, cot_prc_comum, cot_prc_min, cot_prc_max, cot_prc_med, cot_prc_mediana) VALUES (75, 38, 37, NULL, NULL, NULL, NULL, NULL);</v>
      </c>
      <c r="J76" s="0" t="str">
        <f aca="false">"UPDATE COTACAO SET cot_id = "&amp;A76&amp;", cot_blt_id = "&amp;B76&amp;", cot_pap_id = "&amp;C76&amp;", cot_prc_comum = "&amp;D76&amp;", cot_prc_min = "&amp;E76&amp;", cot_prc_max = "&amp;F76&amp;", cot_prc_med = "&amp;G76&amp;", cot_prc_mediana = "&amp;H76&amp;" WHERE cot_id = "&amp;A76&amp;";"</f>
        <v>UPDATE COTACAO SET cot_id = 75, cot_blt_id = 38, cot_pap_id = 37, cot_prc_comum = NULL, cot_prc_min = NULL, cot_prc_max = NULL, cot_prc_med = NULL, cot_prc_mediana = NULL WHERE cot_id = 75;</v>
      </c>
    </row>
    <row r="77" customFormat="false" ht="14.25" hidden="false" customHeight="false" outlineLevel="0" collapsed="false">
      <c r="A77" s="0" t="n">
        <v>76</v>
      </c>
      <c r="B77" s="0" t="n">
        <f aca="false">IF('Boletins Nuppa Site'!A77&lt;&gt;0,'Boletins Nuppa Site'!A77,"NULL")</f>
        <v>38</v>
      </c>
      <c r="C77" s="0" t="n">
        <v>38</v>
      </c>
      <c r="D77" s="0" t="str">
        <f aca="false">IF('Boletins Nuppa Site'!G77&lt;&gt;0,'Boletins Nuppa Site'!G77,"NULL")</f>
        <v>NULL</v>
      </c>
      <c r="E77" s="0" t="str">
        <f aca="false">IF('Boletins Nuppa Site'!H77&lt;&gt;0,'Boletins Nuppa Site'!H77,"NULL")</f>
        <v>NULL</v>
      </c>
      <c r="F77" s="0" t="str">
        <f aca="false">IF('Boletins Nuppa Site'!I77&lt;&gt;0,'Boletins Nuppa Site'!I77,"NULL")</f>
        <v>NULL</v>
      </c>
      <c r="G77" s="0" t="str">
        <f aca="false">IF('Boletins Nuppa Site'!J77&lt;&gt;0,'Boletins Nuppa Site'!J77,"NULL")</f>
        <v>NULL</v>
      </c>
      <c r="H77" s="0" t="str">
        <f aca="false">IF('Boletins Nuppa Site'!K77&lt;&gt;0,'Boletins Nuppa Site'!K77,"NULL")</f>
        <v>NULL</v>
      </c>
      <c r="I77" s="0" t="str">
        <f aca="false">"INSERT INTO COTACAO (cot_id, cot_blt_id, cot_pap_id, cot_prc_comum, cot_prc_min, cot_prc_max, cot_prc_med, cot_prc_mediana) VALUES ("&amp;A77&amp;", "&amp;B77&amp;", "&amp;C77&amp;", "&amp;D77&amp;", "&amp;E77&amp;", "&amp;F77&amp;", "&amp;G77&amp;", "&amp;H77&amp;");"</f>
        <v>INSERT INTO COTACAO (cot_id, cot_blt_id, cot_pap_id, cot_prc_comum, cot_prc_min, cot_prc_max, cot_prc_med, cot_prc_mediana) VALUES (76, 38, 38, NULL, NULL, NULL, NULL, NULL);</v>
      </c>
      <c r="J77" s="0" t="str">
        <f aca="false">"UPDATE COTACAO SET cot_id = "&amp;A77&amp;", cot_blt_id = "&amp;B77&amp;", cot_pap_id = "&amp;C77&amp;", cot_prc_comum = "&amp;D77&amp;", cot_prc_min = "&amp;E77&amp;", cot_prc_max = "&amp;F77&amp;", cot_prc_med = "&amp;G77&amp;", cot_prc_mediana = "&amp;H77&amp;" WHERE cot_id = "&amp;A77&amp;";"</f>
        <v>UPDATE COTACAO SET cot_id = 76, cot_blt_id = 38, cot_pap_id = 38, cot_prc_comum = NULL, cot_prc_min = NULL, cot_prc_max = NULL, cot_prc_med = NULL, cot_prc_mediana = NULL WHERE cot_id = 76;</v>
      </c>
    </row>
    <row r="78" customFormat="false" ht="14.25" hidden="false" customHeight="false" outlineLevel="0" collapsed="false">
      <c r="A78" s="0" t="n">
        <v>77</v>
      </c>
      <c r="B78" s="0" t="n">
        <f aca="false">IF('Boletins Nuppa Site'!A78&lt;&gt;0,'Boletins Nuppa Site'!A78,"NULL")</f>
        <v>38</v>
      </c>
      <c r="C78" s="0" t="n">
        <v>39</v>
      </c>
      <c r="D78" s="0" t="str">
        <f aca="false">IF('Boletins Nuppa Site'!G78&lt;&gt;0,'Boletins Nuppa Site'!G78,"NULL")</f>
        <v>NULL</v>
      </c>
      <c r="E78" s="30" t="n">
        <f aca="false">IF('Boletins Nuppa Site'!H78&lt;&gt;0,'Boletins Nuppa Site'!H78,"NULL")</f>
        <v>28</v>
      </c>
      <c r="F78" s="30" t="n">
        <f aca="false">IF('Boletins Nuppa Site'!I78&lt;&gt;0,'Boletins Nuppa Site'!I78,"NULL")</f>
        <v>28</v>
      </c>
      <c r="G78" s="30" t="n">
        <f aca="false">IF('Boletins Nuppa Site'!J78&lt;&gt;0,'Boletins Nuppa Site'!J78,"NULL")</f>
        <v>28</v>
      </c>
      <c r="H78" s="30" t="n">
        <f aca="false">IF('Boletins Nuppa Site'!K78&lt;&gt;0,'Boletins Nuppa Site'!K78,"NULL")</f>
        <v>28</v>
      </c>
      <c r="I78" s="0" t="str">
        <f aca="false">"INSERT INTO COTACAO (cot_id, cot_blt_id, cot_pap_id, cot_prc_comum, cot_prc_min, cot_prc_max, cot_prc_med, cot_prc_mediana) VALUES ("&amp;A78&amp;", "&amp;B78&amp;", "&amp;C78&amp;", "&amp;D78&amp;", "&amp;E78&amp;", "&amp;F78&amp;", "&amp;G78&amp;", "&amp;H78&amp;");"</f>
        <v>INSERT INTO COTACAO (cot_id, cot_blt_id, cot_pap_id, cot_prc_comum, cot_prc_min, cot_prc_max, cot_prc_med, cot_prc_mediana) VALUES (77, 38, 39, NULL, 28, 28, 28, 28);</v>
      </c>
      <c r="J78" s="0" t="str">
        <f aca="false">"UPDATE COTACAO SET cot_id = "&amp;A78&amp;", cot_blt_id = "&amp;B78&amp;", cot_pap_id = "&amp;C78&amp;", cot_prc_comum = "&amp;D78&amp;", cot_prc_min = "&amp;E78&amp;", cot_prc_max = "&amp;F78&amp;", cot_prc_med = "&amp;G78&amp;", cot_prc_mediana = "&amp;H78&amp;" WHERE cot_id = "&amp;A78&amp;";"</f>
        <v>UPDATE COTACAO SET cot_id = 77, cot_blt_id = 38, cot_pap_id = 39, cot_prc_comum = NULL, cot_prc_min = 28, cot_prc_max = 28, cot_prc_med = 28, cot_prc_mediana = 28 WHERE cot_id = 77;</v>
      </c>
    </row>
    <row r="79" customFormat="false" ht="14.25" hidden="false" customHeight="false" outlineLevel="0" collapsed="false">
      <c r="A79" s="0" t="n">
        <v>78</v>
      </c>
      <c r="B79" s="0" t="n">
        <f aca="false">IF('Boletins Nuppa Site'!A79&lt;&gt;0,'Boletins Nuppa Site'!A79,"NULL")</f>
        <v>38</v>
      </c>
      <c r="C79" s="0" t="n">
        <v>40</v>
      </c>
      <c r="D79" s="0" t="str">
        <f aca="false">IF('Boletins Nuppa Site'!G79&lt;&gt;0,'Boletins Nuppa Site'!G79,"NULL")</f>
        <v>NULL</v>
      </c>
      <c r="E79" s="0" t="str">
        <f aca="false">IF('Boletins Nuppa Site'!H79&lt;&gt;0,'Boletins Nuppa Site'!H79,"NULL")</f>
        <v>NULL</v>
      </c>
      <c r="F79" s="0" t="str">
        <f aca="false">IF('Boletins Nuppa Site'!I79&lt;&gt;0,'Boletins Nuppa Site'!I79,"NULL")</f>
        <v>NULL</v>
      </c>
      <c r="G79" s="0" t="str">
        <f aca="false">IF('Boletins Nuppa Site'!J79&lt;&gt;0,'Boletins Nuppa Site'!J79,"NULL")</f>
        <v>NULL</v>
      </c>
      <c r="H79" s="0" t="str">
        <f aca="false">IF('Boletins Nuppa Site'!K79&lt;&gt;0,'Boletins Nuppa Site'!K79,"NULL")</f>
        <v>NULL</v>
      </c>
      <c r="I79" s="0" t="str">
        <f aca="false">"INSERT INTO COTACAO (cot_id, cot_blt_id, cot_pap_id, cot_prc_comum, cot_prc_min, cot_prc_max, cot_prc_med, cot_prc_mediana) VALUES ("&amp;A79&amp;", "&amp;B79&amp;", "&amp;C79&amp;", "&amp;D79&amp;", "&amp;E79&amp;", "&amp;F79&amp;", "&amp;G79&amp;", "&amp;H79&amp;");"</f>
        <v>INSERT INTO COTACAO (cot_id, cot_blt_id, cot_pap_id, cot_prc_comum, cot_prc_min, cot_prc_max, cot_prc_med, cot_prc_mediana) VALUES (78, 38, 40, NULL, NULL, NULL, NULL, NULL);</v>
      </c>
      <c r="J79" s="0" t="str">
        <f aca="false">"UPDATE COTACAO SET cot_id = "&amp;A79&amp;", cot_blt_id = "&amp;B79&amp;", cot_pap_id = "&amp;C79&amp;", cot_prc_comum = "&amp;D79&amp;", cot_prc_min = "&amp;E79&amp;", cot_prc_max = "&amp;F79&amp;", cot_prc_med = "&amp;G79&amp;", cot_prc_mediana = "&amp;H79&amp;" WHERE cot_id = "&amp;A79&amp;";"</f>
        <v>UPDATE COTACAO SET cot_id = 78, cot_blt_id = 38, cot_pap_id = 40, cot_prc_comum = NULL, cot_prc_min = NULL, cot_prc_max = NULL, cot_prc_med = NULL, cot_prc_mediana = NULL WHERE cot_id = 78;</v>
      </c>
    </row>
    <row r="80" customFormat="false" ht="14.25" hidden="false" customHeight="false" outlineLevel="0" collapsed="false">
      <c r="A80" s="0" t="n">
        <v>79</v>
      </c>
      <c r="B80" s="0" t="n">
        <f aca="false">IF('Boletins Nuppa Site'!A80&lt;&gt;0,'Boletins Nuppa Site'!A80,"NULL")</f>
        <v>39</v>
      </c>
      <c r="C80" s="0" t="n">
        <v>1</v>
      </c>
      <c r="D80" s="30" t="n">
        <f aca="false">IF('Boletins Nuppa Site'!G80&lt;&gt;0,'Boletins Nuppa Site'!G80,"NULL")</f>
        <v>42</v>
      </c>
      <c r="E80" s="30" t="n">
        <f aca="false">IF('Boletins Nuppa Site'!H80&lt;&gt;0,'Boletins Nuppa Site'!H80,"NULL")</f>
        <v>42</v>
      </c>
      <c r="F80" s="30" t="n">
        <f aca="false">IF('Boletins Nuppa Site'!I80&lt;&gt;0,'Boletins Nuppa Site'!I80,"NULL")</f>
        <v>42</v>
      </c>
      <c r="G80" s="30" t="n">
        <f aca="false">IF('Boletins Nuppa Site'!J80&lt;&gt;0,'Boletins Nuppa Site'!J80,"NULL")</f>
        <v>42</v>
      </c>
      <c r="H80" s="30" t="n">
        <f aca="false">IF('Boletins Nuppa Site'!K80&lt;&gt;0,'Boletins Nuppa Site'!K80,"NULL")</f>
        <v>42</v>
      </c>
      <c r="I80" s="0" t="str">
        <f aca="false">"INSERT INTO COTACAO (cot_id, cot_blt_id, cot_pap_id, cot_prc_comum, cot_prc_min, cot_prc_max, cot_prc_med, cot_prc_mediana) VALUES ("&amp;A80&amp;", "&amp;B80&amp;", "&amp;C80&amp;", "&amp;D80&amp;", "&amp;E80&amp;", "&amp;F80&amp;", "&amp;G80&amp;", "&amp;H80&amp;");"</f>
        <v>INSERT INTO COTACAO (cot_id, cot_blt_id, cot_pap_id, cot_prc_comum, cot_prc_min, cot_prc_max, cot_prc_med, cot_prc_mediana) VALUES (79, 39, 1, 42, 42, 42, 42, 42);</v>
      </c>
      <c r="J80" s="0" t="str">
        <f aca="false">"UPDATE COTACAO SET cot_id = "&amp;A80&amp;", cot_blt_id = "&amp;B80&amp;", cot_pap_id = "&amp;C80&amp;", cot_prc_comum = "&amp;D80&amp;", cot_prc_min = "&amp;E80&amp;", cot_prc_max = "&amp;F80&amp;", cot_prc_med = "&amp;G80&amp;", cot_prc_mediana = "&amp;H80&amp;" WHERE cot_id = "&amp;A80&amp;";"</f>
        <v>UPDATE COTACAO SET cot_id = 79, cot_blt_id = 39, cot_pap_id = 1, cot_prc_comum = 42, cot_prc_min = 42, cot_prc_max = 42, cot_prc_med = 42, cot_prc_mediana = 42 WHERE cot_id = 79;</v>
      </c>
    </row>
    <row r="81" customFormat="false" ht="14.25" hidden="false" customHeight="false" outlineLevel="0" collapsed="false">
      <c r="A81" s="0" t="n">
        <v>80</v>
      </c>
      <c r="B81" s="0" t="n">
        <f aca="false">IF('Boletins Nuppa Site'!A81&lt;&gt;0,'Boletins Nuppa Site'!A81,"NULL")</f>
        <v>39</v>
      </c>
      <c r="C81" s="0" t="n">
        <v>2</v>
      </c>
      <c r="D81" s="30" t="n">
        <f aca="false">IF('Boletins Nuppa Site'!G81&lt;&gt;0,'Boletins Nuppa Site'!G81,"NULL")</f>
        <v>60</v>
      </c>
      <c r="E81" s="30" t="n">
        <f aca="false">IF('Boletins Nuppa Site'!H81&lt;&gt;0,'Boletins Nuppa Site'!H81,"NULL")</f>
        <v>60</v>
      </c>
      <c r="F81" s="30" t="n">
        <f aca="false">IF('Boletins Nuppa Site'!I81&lt;&gt;0,'Boletins Nuppa Site'!I81,"NULL")</f>
        <v>60</v>
      </c>
      <c r="G81" s="30" t="n">
        <f aca="false">IF('Boletins Nuppa Site'!J81&lt;&gt;0,'Boletins Nuppa Site'!J81,"NULL")</f>
        <v>60</v>
      </c>
      <c r="H81" s="30" t="n">
        <f aca="false">IF('Boletins Nuppa Site'!K81&lt;&gt;0,'Boletins Nuppa Site'!K81,"NULL")</f>
        <v>60</v>
      </c>
      <c r="I81" s="0" t="str">
        <f aca="false">"INSERT INTO COTACAO (cot_id, cot_blt_id, cot_pap_id, cot_prc_comum, cot_prc_min, cot_prc_max, cot_prc_med, cot_prc_mediana) VALUES ("&amp;A81&amp;", "&amp;B81&amp;", "&amp;C81&amp;", "&amp;D81&amp;", "&amp;E81&amp;", "&amp;F81&amp;", "&amp;G81&amp;", "&amp;H81&amp;");"</f>
        <v>INSERT INTO COTACAO (cot_id, cot_blt_id, cot_pap_id, cot_prc_comum, cot_prc_min, cot_prc_max, cot_prc_med, cot_prc_mediana) VALUES (80, 39, 2, 60, 60, 60, 60, 60);</v>
      </c>
      <c r="J81" s="0" t="str">
        <f aca="false">"UPDATE COTACAO SET cot_id = "&amp;A81&amp;", cot_blt_id = "&amp;B81&amp;", cot_pap_id = "&amp;C81&amp;", cot_prc_comum = "&amp;D81&amp;", cot_prc_min = "&amp;E81&amp;", cot_prc_max = "&amp;F81&amp;", cot_prc_med = "&amp;G81&amp;", cot_prc_mediana = "&amp;H81&amp;" WHERE cot_id = "&amp;A81&amp;";"</f>
        <v>UPDATE COTACAO SET cot_id = 80, cot_blt_id = 39, cot_pap_id = 2, cot_prc_comum = 60, cot_prc_min = 60, cot_prc_max = 60, cot_prc_med = 60, cot_prc_mediana = 60 WHERE cot_id = 80;</v>
      </c>
    </row>
    <row r="82" customFormat="false" ht="14.25" hidden="false" customHeight="false" outlineLevel="0" collapsed="false">
      <c r="A82" s="0" t="n">
        <v>81</v>
      </c>
      <c r="B82" s="0" t="n">
        <f aca="false">IF('Boletins Nuppa Site'!A82&lt;&gt;0,'Boletins Nuppa Site'!A82,"NULL")</f>
        <v>39</v>
      </c>
      <c r="C82" s="0" t="n">
        <v>3</v>
      </c>
      <c r="D82" s="30" t="n">
        <f aca="false">IF('Boletins Nuppa Site'!G82&lt;&gt;0,'Boletins Nuppa Site'!G82,"NULL")</f>
        <v>30</v>
      </c>
      <c r="E82" s="30" t="n">
        <f aca="false">IF('Boletins Nuppa Site'!H82&lt;&gt;0,'Boletins Nuppa Site'!H82,"NULL")</f>
        <v>30</v>
      </c>
      <c r="F82" s="30" t="n">
        <f aca="false">IF('Boletins Nuppa Site'!I82&lt;&gt;0,'Boletins Nuppa Site'!I82,"NULL")</f>
        <v>42</v>
      </c>
      <c r="G82" s="30" t="n">
        <f aca="false">IF('Boletins Nuppa Site'!J82&lt;&gt;0,'Boletins Nuppa Site'!J82,"NULL")</f>
        <v>34</v>
      </c>
      <c r="H82" s="30" t="n">
        <f aca="false">IF('Boletins Nuppa Site'!K82&lt;&gt;0,'Boletins Nuppa Site'!K82,"NULL")</f>
        <v>30</v>
      </c>
      <c r="I82" s="0" t="str">
        <f aca="false">"INSERT INTO COTACAO (cot_id, cot_blt_id, cot_pap_id, cot_prc_comum, cot_prc_min, cot_prc_max, cot_prc_med, cot_prc_mediana) VALUES ("&amp;A82&amp;", "&amp;B82&amp;", "&amp;C82&amp;", "&amp;D82&amp;", "&amp;E82&amp;", "&amp;F82&amp;", "&amp;G82&amp;", "&amp;H82&amp;");"</f>
        <v>INSERT INTO COTACAO (cot_id, cot_blt_id, cot_pap_id, cot_prc_comum, cot_prc_min, cot_prc_max, cot_prc_med, cot_prc_mediana) VALUES (81, 39, 3, 30, 30, 42, 34, 30);</v>
      </c>
      <c r="J82" s="0" t="str">
        <f aca="false">"UPDATE COTACAO SET cot_id = "&amp;A82&amp;", cot_blt_id = "&amp;B82&amp;", cot_pap_id = "&amp;C82&amp;", cot_prc_comum = "&amp;D82&amp;", cot_prc_min = "&amp;E82&amp;", cot_prc_max = "&amp;F82&amp;", cot_prc_med = "&amp;G82&amp;", cot_prc_mediana = "&amp;H82&amp;" WHERE cot_id = "&amp;A82&amp;";"</f>
        <v>UPDATE COTACAO SET cot_id = 81, cot_blt_id = 39, cot_pap_id = 3, cot_prc_comum = 30, cot_prc_min = 30, cot_prc_max = 42, cot_prc_med = 34, cot_prc_mediana = 30 WHERE cot_id = 81;</v>
      </c>
    </row>
    <row r="83" customFormat="false" ht="14.25" hidden="false" customHeight="false" outlineLevel="0" collapsed="false">
      <c r="A83" s="0" t="n">
        <v>82</v>
      </c>
      <c r="B83" s="0" t="n">
        <f aca="false">IF('Boletins Nuppa Site'!A83&lt;&gt;0,'Boletins Nuppa Site'!A83,"NULL")</f>
        <v>39</v>
      </c>
      <c r="C83" s="0" t="n">
        <v>4</v>
      </c>
      <c r="D83" s="30" t="n">
        <f aca="false">IF('Boletins Nuppa Site'!G83&lt;&gt;0,'Boletins Nuppa Site'!G83,"NULL")</f>
        <v>24</v>
      </c>
      <c r="E83" s="30" t="n">
        <f aca="false">IF('Boletins Nuppa Site'!H83&lt;&gt;0,'Boletins Nuppa Site'!H83,"NULL")</f>
        <v>20</v>
      </c>
      <c r="F83" s="30" t="n">
        <f aca="false">IF('Boletins Nuppa Site'!I83&lt;&gt;0,'Boletins Nuppa Site'!I83,"NULL")</f>
        <v>24</v>
      </c>
      <c r="G83" s="0" t="str">
        <f aca="false">IF('Boletins Nuppa Site'!J83&lt;&gt;0,'Boletins Nuppa Site'!J83,"NULL")</f>
        <v>22.5</v>
      </c>
      <c r="H83" s="30" t="n">
        <f aca="false">IF('Boletins Nuppa Site'!K83&lt;&gt;0,'Boletins Nuppa Site'!K83,"NULL")</f>
        <v>23</v>
      </c>
      <c r="I83" s="0" t="str">
        <f aca="false">"INSERT INTO COTACAO (cot_id, cot_blt_id, cot_pap_id, cot_prc_comum, cot_prc_min, cot_prc_max, cot_prc_med, cot_prc_mediana) VALUES ("&amp;A83&amp;", "&amp;B83&amp;", "&amp;C83&amp;", "&amp;D83&amp;", "&amp;E83&amp;", "&amp;F83&amp;", "&amp;G83&amp;", "&amp;H83&amp;");"</f>
        <v>INSERT INTO COTACAO (cot_id, cot_blt_id, cot_pap_id, cot_prc_comum, cot_prc_min, cot_prc_max, cot_prc_med, cot_prc_mediana) VALUES (82, 39, 4, 24, 20, 24, 22.5, 23);</v>
      </c>
      <c r="J83" s="0" t="str">
        <f aca="false">"UPDATE COTACAO SET cot_id = "&amp;A83&amp;", cot_blt_id = "&amp;B83&amp;", cot_pap_id = "&amp;C83&amp;", cot_prc_comum = "&amp;D83&amp;", cot_prc_min = "&amp;E83&amp;", cot_prc_max = "&amp;F83&amp;", cot_prc_med = "&amp;G83&amp;", cot_prc_mediana = "&amp;H83&amp;" WHERE cot_id = "&amp;A83&amp;";"</f>
        <v>UPDATE COTACAO SET cot_id = 82, cot_blt_id = 39, cot_pap_id = 4, cot_prc_comum = 24, cot_prc_min = 20, cot_prc_max = 24, cot_prc_med = 22.5, cot_prc_mediana = 23 WHERE cot_id = 82;</v>
      </c>
    </row>
    <row r="84" customFormat="false" ht="14.25" hidden="false" customHeight="false" outlineLevel="0" collapsed="false">
      <c r="A84" s="0" t="n">
        <v>83</v>
      </c>
      <c r="B84" s="0" t="n">
        <f aca="false">IF('Boletins Nuppa Site'!A84&lt;&gt;0,'Boletins Nuppa Site'!A84,"NULL")</f>
        <v>39</v>
      </c>
      <c r="C84" s="0" t="n">
        <v>5</v>
      </c>
      <c r="D84" s="0" t="str">
        <f aca="false">IF('Boletins Nuppa Site'!G84&lt;&gt;0,'Boletins Nuppa Site'!G84,"NULL")</f>
        <v>NULL</v>
      </c>
      <c r="E84" s="30" t="n">
        <f aca="false">IF('Boletins Nuppa Site'!H84&lt;&gt;0,'Boletins Nuppa Site'!H84,"NULL")</f>
        <v>18</v>
      </c>
      <c r="F84" s="30" t="n">
        <f aca="false">IF('Boletins Nuppa Site'!I84&lt;&gt;0,'Boletins Nuppa Site'!I84,"NULL")</f>
        <v>24</v>
      </c>
      <c r="G84" s="30" t="n">
        <f aca="false">IF('Boletins Nuppa Site'!J84&lt;&gt;0,'Boletins Nuppa Site'!J84,"NULL")</f>
        <v>21</v>
      </c>
      <c r="H84" s="30" t="n">
        <f aca="false">IF('Boletins Nuppa Site'!K84&lt;&gt;0,'Boletins Nuppa Site'!K84,"NULL")</f>
        <v>21</v>
      </c>
      <c r="I84" s="0" t="str">
        <f aca="false">"INSERT INTO COTACAO (cot_id, cot_blt_id, cot_pap_id, cot_prc_comum, cot_prc_min, cot_prc_max, cot_prc_med, cot_prc_mediana) VALUES ("&amp;A84&amp;", "&amp;B84&amp;", "&amp;C84&amp;", "&amp;D84&amp;", "&amp;E84&amp;", "&amp;F84&amp;", "&amp;G84&amp;", "&amp;H84&amp;");"</f>
        <v>INSERT INTO COTACAO (cot_id, cot_blt_id, cot_pap_id, cot_prc_comum, cot_prc_min, cot_prc_max, cot_prc_med, cot_prc_mediana) VALUES (83, 39, 5, NULL, 18, 24, 21, 21);</v>
      </c>
      <c r="J84" s="0" t="str">
        <f aca="false">"UPDATE COTACAO SET cot_id = "&amp;A84&amp;", cot_blt_id = "&amp;B84&amp;", cot_pap_id = "&amp;C84&amp;", cot_prc_comum = "&amp;D84&amp;", cot_prc_min = "&amp;E84&amp;", cot_prc_max = "&amp;F84&amp;", cot_prc_med = "&amp;G84&amp;", cot_prc_mediana = "&amp;H84&amp;" WHERE cot_id = "&amp;A84&amp;";"</f>
        <v>UPDATE COTACAO SET cot_id = 83, cot_blt_id = 39, cot_pap_id = 5, cot_prc_comum = NULL, cot_prc_min = 18, cot_prc_max = 24, cot_prc_med = 21, cot_prc_mediana = 21 WHERE cot_id = 83;</v>
      </c>
    </row>
    <row r="85" customFormat="false" ht="14.25" hidden="false" customHeight="false" outlineLevel="0" collapsed="false">
      <c r="A85" s="0" t="n">
        <v>84</v>
      </c>
      <c r="B85" s="0" t="n">
        <f aca="false">IF('Boletins Nuppa Site'!A85&lt;&gt;0,'Boletins Nuppa Site'!A85,"NULL")</f>
        <v>39</v>
      </c>
      <c r="C85" s="0" t="n">
        <v>6</v>
      </c>
      <c r="D85" s="0" t="str">
        <f aca="false">IF('Boletins Nuppa Site'!G85&lt;&gt;0,'Boletins Nuppa Site'!G85,"NULL")</f>
        <v>NULL</v>
      </c>
      <c r="E85" s="30" t="n">
        <f aca="false">IF('Boletins Nuppa Site'!H85&lt;&gt;0,'Boletins Nuppa Site'!H85,"NULL")</f>
        <v>24</v>
      </c>
      <c r="F85" s="30" t="n">
        <f aca="false">IF('Boletins Nuppa Site'!I85&lt;&gt;0,'Boletins Nuppa Site'!I85,"NULL")</f>
        <v>48</v>
      </c>
      <c r="G85" s="30" t="n">
        <f aca="false">IF('Boletins Nuppa Site'!J85&lt;&gt;0,'Boletins Nuppa Site'!J85,"NULL")</f>
        <v>38</v>
      </c>
      <c r="H85" s="30" t="n">
        <f aca="false">IF('Boletins Nuppa Site'!K85&lt;&gt;0,'Boletins Nuppa Site'!K85,"NULL")</f>
        <v>42</v>
      </c>
      <c r="I85" s="0" t="str">
        <f aca="false">"INSERT INTO COTACAO (cot_id, cot_blt_id, cot_pap_id, cot_prc_comum, cot_prc_min, cot_prc_max, cot_prc_med, cot_prc_mediana) VALUES ("&amp;A85&amp;", "&amp;B85&amp;", "&amp;C85&amp;", "&amp;D85&amp;", "&amp;E85&amp;", "&amp;F85&amp;", "&amp;G85&amp;", "&amp;H85&amp;");"</f>
        <v>INSERT INTO COTACAO (cot_id, cot_blt_id, cot_pap_id, cot_prc_comum, cot_prc_min, cot_prc_max, cot_prc_med, cot_prc_mediana) VALUES (84, 39, 6, NULL, 24, 48, 38, 42);</v>
      </c>
      <c r="J85" s="0" t="str">
        <f aca="false">"UPDATE COTACAO SET cot_id = "&amp;A85&amp;", cot_blt_id = "&amp;B85&amp;", cot_pap_id = "&amp;C85&amp;", cot_prc_comum = "&amp;D85&amp;", cot_prc_min = "&amp;E85&amp;", cot_prc_max = "&amp;F85&amp;", cot_prc_med = "&amp;G85&amp;", cot_prc_mediana = "&amp;H85&amp;" WHERE cot_id = "&amp;A85&amp;";"</f>
        <v>UPDATE COTACAO SET cot_id = 84, cot_blt_id = 39, cot_pap_id = 6, cot_prc_comum = NULL, cot_prc_min = 24, cot_prc_max = 48, cot_prc_med = 38, cot_prc_mediana = 42 WHERE cot_id = 84;</v>
      </c>
    </row>
    <row r="86" customFormat="false" ht="14.25" hidden="false" customHeight="false" outlineLevel="0" collapsed="false">
      <c r="A86" s="0" t="n">
        <v>85</v>
      </c>
      <c r="B86" s="0" t="n">
        <f aca="false">IF('Boletins Nuppa Site'!A86&lt;&gt;0,'Boletins Nuppa Site'!A86,"NULL")</f>
        <v>39</v>
      </c>
      <c r="C86" s="0" t="n">
        <v>7</v>
      </c>
      <c r="D86" s="0" t="str">
        <f aca="false">IF('Boletins Nuppa Site'!G86&lt;&gt;0,'Boletins Nuppa Site'!G86,"NULL")</f>
        <v>NULL</v>
      </c>
      <c r="E86" s="30" t="n">
        <f aca="false">IF('Boletins Nuppa Site'!H86&lt;&gt;0,'Boletins Nuppa Site'!H86,"NULL")</f>
        <v>72</v>
      </c>
      <c r="F86" s="30" t="n">
        <f aca="false">IF('Boletins Nuppa Site'!I86&lt;&gt;0,'Boletins Nuppa Site'!I86,"NULL")</f>
        <v>78</v>
      </c>
      <c r="G86" s="30" t="n">
        <f aca="false">IF('Boletins Nuppa Site'!J86&lt;&gt;0,'Boletins Nuppa Site'!J86,"NULL")</f>
        <v>75</v>
      </c>
      <c r="H86" s="30" t="n">
        <f aca="false">IF('Boletins Nuppa Site'!K86&lt;&gt;0,'Boletins Nuppa Site'!K86,"NULL")</f>
        <v>75</v>
      </c>
      <c r="I86" s="0" t="str">
        <f aca="false">"INSERT INTO COTACAO (cot_id, cot_blt_id, cot_pap_id, cot_prc_comum, cot_prc_min, cot_prc_max, cot_prc_med, cot_prc_mediana) VALUES ("&amp;A86&amp;", "&amp;B86&amp;", "&amp;C86&amp;", "&amp;D86&amp;", "&amp;E86&amp;", "&amp;F86&amp;", "&amp;G86&amp;", "&amp;H86&amp;");"</f>
        <v>INSERT INTO COTACAO (cot_id, cot_blt_id, cot_pap_id, cot_prc_comum, cot_prc_min, cot_prc_max, cot_prc_med, cot_prc_mediana) VALUES (85, 39, 7, NULL, 72, 78, 75, 75);</v>
      </c>
      <c r="J86" s="0" t="str">
        <f aca="false">"UPDATE COTACAO SET cot_id = "&amp;A86&amp;", cot_blt_id = "&amp;B86&amp;", cot_pap_id = "&amp;C86&amp;", cot_prc_comum = "&amp;D86&amp;", cot_prc_min = "&amp;E86&amp;", cot_prc_max = "&amp;F86&amp;", cot_prc_med = "&amp;G86&amp;", cot_prc_mediana = "&amp;H86&amp;" WHERE cot_id = "&amp;A86&amp;";"</f>
        <v>UPDATE COTACAO SET cot_id = 85, cot_blt_id = 39, cot_pap_id = 7, cot_prc_comum = NULL, cot_prc_min = 72, cot_prc_max = 78, cot_prc_med = 75, cot_prc_mediana = 75 WHERE cot_id = 85;</v>
      </c>
    </row>
    <row r="87" customFormat="false" ht="14.25" hidden="false" customHeight="false" outlineLevel="0" collapsed="false">
      <c r="A87" s="0" t="n">
        <v>86</v>
      </c>
      <c r="B87" s="0" t="n">
        <f aca="false">IF('Boletins Nuppa Site'!A87&lt;&gt;0,'Boletins Nuppa Site'!A87,"NULL")</f>
        <v>39</v>
      </c>
      <c r="C87" s="0" t="n">
        <v>8</v>
      </c>
      <c r="D87" s="0" t="str">
        <f aca="false">IF('Boletins Nuppa Site'!G87&lt;&gt;0,'Boletins Nuppa Site'!G87,"NULL")</f>
        <v>NULL</v>
      </c>
      <c r="E87" s="30" t="n">
        <f aca="false">IF('Boletins Nuppa Site'!H87&lt;&gt;0,'Boletins Nuppa Site'!H87,"NULL")</f>
        <v>50</v>
      </c>
      <c r="F87" s="30" t="n">
        <f aca="false">IF('Boletins Nuppa Site'!I87&lt;&gt;0,'Boletins Nuppa Site'!I87,"NULL")</f>
        <v>84</v>
      </c>
      <c r="G87" s="0" t="str">
        <f aca="false">IF('Boletins Nuppa Site'!J87&lt;&gt;0,'Boletins Nuppa Site'!J87,"NULL")</f>
        <v>64.67</v>
      </c>
      <c r="H87" s="30" t="n">
        <f aca="false">IF('Boletins Nuppa Site'!K87&lt;&gt;0,'Boletins Nuppa Site'!K87,"NULL")</f>
        <v>60</v>
      </c>
      <c r="I87" s="0" t="str">
        <f aca="false">"INSERT INTO COTACAO (cot_id, cot_blt_id, cot_pap_id, cot_prc_comum, cot_prc_min, cot_prc_max, cot_prc_med, cot_prc_mediana) VALUES ("&amp;A87&amp;", "&amp;B87&amp;", "&amp;C87&amp;", "&amp;D87&amp;", "&amp;E87&amp;", "&amp;F87&amp;", "&amp;G87&amp;", "&amp;H87&amp;");"</f>
        <v>INSERT INTO COTACAO (cot_id, cot_blt_id, cot_pap_id, cot_prc_comum, cot_prc_min, cot_prc_max, cot_prc_med, cot_prc_mediana) VALUES (86, 39, 8, NULL, 50, 84, 64.67, 60);</v>
      </c>
      <c r="J87" s="0" t="str">
        <f aca="false">"UPDATE COTACAO SET cot_id = "&amp;A87&amp;", cot_blt_id = "&amp;B87&amp;", cot_pap_id = "&amp;C87&amp;", cot_prc_comum = "&amp;D87&amp;", cot_prc_min = "&amp;E87&amp;", cot_prc_max = "&amp;F87&amp;", cot_prc_med = "&amp;G87&amp;", cot_prc_mediana = "&amp;H87&amp;" WHERE cot_id = "&amp;A87&amp;";"</f>
        <v>UPDATE COTACAO SET cot_id = 86, cot_blt_id = 39, cot_pap_id = 8, cot_prc_comum = NULL, cot_prc_min = 50, cot_prc_max = 84, cot_prc_med = 64.67, cot_prc_mediana = 60 WHERE cot_id = 86;</v>
      </c>
    </row>
    <row r="88" customFormat="false" ht="14.25" hidden="false" customHeight="false" outlineLevel="0" collapsed="false">
      <c r="A88" s="0" t="n">
        <v>87</v>
      </c>
      <c r="B88" s="0" t="n">
        <f aca="false">IF('Boletins Nuppa Site'!A88&lt;&gt;0,'Boletins Nuppa Site'!A88,"NULL")</f>
        <v>39</v>
      </c>
      <c r="C88" s="0" t="n">
        <v>9</v>
      </c>
      <c r="D88" s="30" t="n">
        <f aca="false">IF('Boletins Nuppa Site'!G88&lt;&gt;0,'Boletins Nuppa Site'!G88,"NULL")</f>
        <v>18</v>
      </c>
      <c r="E88" s="30" t="n">
        <f aca="false">IF('Boletins Nuppa Site'!H88&lt;&gt;0,'Boletins Nuppa Site'!H88,"NULL")</f>
        <v>18</v>
      </c>
      <c r="F88" s="30" t="n">
        <f aca="false">IF('Boletins Nuppa Site'!I88&lt;&gt;0,'Boletins Nuppa Site'!I88,"NULL")</f>
        <v>24</v>
      </c>
      <c r="G88" s="30" t="n">
        <f aca="false">IF('Boletins Nuppa Site'!J88&lt;&gt;0,'Boletins Nuppa Site'!J88,"NULL")</f>
        <v>20</v>
      </c>
      <c r="H88" s="30" t="n">
        <f aca="false">IF('Boletins Nuppa Site'!K88&lt;&gt;0,'Boletins Nuppa Site'!K88,"NULL")</f>
        <v>18</v>
      </c>
      <c r="I88" s="0" t="str">
        <f aca="false">"INSERT INTO COTACAO (cot_id, cot_blt_id, cot_pap_id, cot_prc_comum, cot_prc_min, cot_prc_max, cot_prc_med, cot_prc_mediana) VALUES ("&amp;A88&amp;", "&amp;B88&amp;", "&amp;C88&amp;", "&amp;D88&amp;", "&amp;E88&amp;", "&amp;F88&amp;", "&amp;G88&amp;", "&amp;H88&amp;");"</f>
        <v>INSERT INTO COTACAO (cot_id, cot_blt_id, cot_pap_id, cot_prc_comum, cot_prc_min, cot_prc_max, cot_prc_med, cot_prc_mediana) VALUES (87, 39, 9, 18, 18, 24, 20, 18);</v>
      </c>
      <c r="J88" s="0" t="str">
        <f aca="false">"UPDATE COTACAO SET cot_id = "&amp;A88&amp;", cot_blt_id = "&amp;B88&amp;", cot_pap_id = "&amp;C88&amp;", cot_prc_comum = "&amp;D88&amp;", cot_prc_min = "&amp;E88&amp;", cot_prc_max = "&amp;F88&amp;", cot_prc_med = "&amp;G88&amp;", cot_prc_mediana = "&amp;H88&amp;" WHERE cot_id = "&amp;A88&amp;";"</f>
        <v>UPDATE COTACAO SET cot_id = 87, cot_blt_id = 39, cot_pap_id = 9, cot_prc_comum = 18, cot_prc_min = 18, cot_prc_max = 24, cot_prc_med = 20, cot_prc_mediana = 18 WHERE cot_id = 87;</v>
      </c>
    </row>
    <row r="89" customFormat="false" ht="14.25" hidden="false" customHeight="false" outlineLevel="0" collapsed="false">
      <c r="A89" s="0" t="n">
        <v>88</v>
      </c>
      <c r="B89" s="0" t="n">
        <f aca="false">IF('Boletins Nuppa Site'!A89&lt;&gt;0,'Boletins Nuppa Site'!A89,"NULL")</f>
        <v>39</v>
      </c>
      <c r="C89" s="0" t="n">
        <v>10</v>
      </c>
      <c r="D89" s="0" t="str">
        <f aca="false">IF('Boletins Nuppa Site'!G89&lt;&gt;0,'Boletins Nuppa Site'!G89,"NULL")</f>
        <v>NULL</v>
      </c>
      <c r="E89" s="30" t="n">
        <f aca="false">IF('Boletins Nuppa Site'!H89&lt;&gt;0,'Boletins Nuppa Site'!H89,"NULL")</f>
        <v>55</v>
      </c>
      <c r="F89" s="30" t="n">
        <f aca="false">IF('Boletins Nuppa Site'!I89&lt;&gt;0,'Boletins Nuppa Site'!I89,"NULL")</f>
        <v>80</v>
      </c>
      <c r="G89" s="0" t="str">
        <f aca="false">IF('Boletins Nuppa Site'!J89&lt;&gt;0,'Boletins Nuppa Site'!J89,"NULL")</f>
        <v>67.5</v>
      </c>
      <c r="H89" s="0" t="str">
        <f aca="false">IF('Boletins Nuppa Site'!K89&lt;&gt;0,'Boletins Nuppa Site'!K89,"NULL")</f>
        <v>67.5</v>
      </c>
      <c r="I89" s="0" t="str">
        <f aca="false">"INSERT INTO COTACAO (cot_id, cot_blt_id, cot_pap_id, cot_prc_comum, cot_prc_min, cot_prc_max, cot_prc_med, cot_prc_mediana) VALUES ("&amp;A89&amp;", "&amp;B89&amp;", "&amp;C89&amp;", "&amp;D89&amp;", "&amp;E89&amp;", "&amp;F89&amp;", "&amp;G89&amp;", "&amp;H89&amp;");"</f>
        <v>INSERT INTO COTACAO (cot_id, cot_blt_id, cot_pap_id, cot_prc_comum, cot_prc_min, cot_prc_max, cot_prc_med, cot_prc_mediana) VALUES (88, 39, 10, NULL, 55, 80, 67.5, 67.5);</v>
      </c>
      <c r="J89" s="0" t="str">
        <f aca="false">"UPDATE COTACAO SET cot_id = "&amp;A89&amp;", cot_blt_id = "&amp;B89&amp;", cot_pap_id = "&amp;C89&amp;", cot_prc_comum = "&amp;D89&amp;", cot_prc_min = "&amp;E89&amp;", cot_prc_max = "&amp;F89&amp;", cot_prc_med = "&amp;G89&amp;", cot_prc_mediana = "&amp;H89&amp;" WHERE cot_id = "&amp;A89&amp;";"</f>
        <v>UPDATE COTACAO SET cot_id = 88, cot_blt_id = 39, cot_pap_id = 10, cot_prc_comum = NULL, cot_prc_min = 55, cot_prc_max = 80, cot_prc_med = 67.5, cot_prc_mediana = 67.5 WHERE cot_id = 88;</v>
      </c>
    </row>
    <row r="90" customFormat="false" ht="14.25" hidden="false" customHeight="false" outlineLevel="0" collapsed="false">
      <c r="A90" s="0" t="n">
        <v>89</v>
      </c>
      <c r="B90" s="0" t="n">
        <f aca="false">IF('Boletins Nuppa Site'!A90&lt;&gt;0,'Boletins Nuppa Site'!A90,"NULL")</f>
        <v>39</v>
      </c>
      <c r="C90" s="0" t="n">
        <v>11</v>
      </c>
      <c r="D90" s="0" t="str">
        <f aca="false">IF('Boletins Nuppa Site'!G90&lt;&gt;0,'Boletins Nuppa Site'!G90,"NULL")</f>
        <v>NULL</v>
      </c>
      <c r="E90" s="30" t="n">
        <f aca="false">IF('Boletins Nuppa Site'!H90&lt;&gt;0,'Boletins Nuppa Site'!H90,"NULL")</f>
        <v>18</v>
      </c>
      <c r="F90" s="30" t="n">
        <f aca="false">IF('Boletins Nuppa Site'!I90&lt;&gt;0,'Boletins Nuppa Site'!I90,"NULL")</f>
        <v>24</v>
      </c>
      <c r="G90" s="30" t="n">
        <f aca="false">IF('Boletins Nuppa Site'!J90&lt;&gt;0,'Boletins Nuppa Site'!J90,"NULL")</f>
        <v>21</v>
      </c>
      <c r="H90" s="30" t="n">
        <f aca="false">IF('Boletins Nuppa Site'!K90&lt;&gt;0,'Boletins Nuppa Site'!K90,"NULL")</f>
        <v>21</v>
      </c>
      <c r="I90" s="0" t="str">
        <f aca="false">"INSERT INTO COTACAO (cot_id, cot_blt_id, cot_pap_id, cot_prc_comum, cot_prc_min, cot_prc_max, cot_prc_med, cot_prc_mediana) VALUES ("&amp;A90&amp;", "&amp;B90&amp;", "&amp;C90&amp;", "&amp;D90&amp;", "&amp;E90&amp;", "&amp;F90&amp;", "&amp;G90&amp;", "&amp;H90&amp;");"</f>
        <v>INSERT INTO COTACAO (cot_id, cot_blt_id, cot_pap_id, cot_prc_comum, cot_prc_min, cot_prc_max, cot_prc_med, cot_prc_mediana) VALUES (89, 39, 11, NULL, 18, 24, 21, 21);</v>
      </c>
      <c r="J90" s="0" t="str">
        <f aca="false">"UPDATE COTACAO SET cot_id = "&amp;A90&amp;", cot_blt_id = "&amp;B90&amp;", cot_pap_id = "&amp;C90&amp;", cot_prc_comum = "&amp;D90&amp;", cot_prc_min = "&amp;E90&amp;", cot_prc_max = "&amp;F90&amp;", cot_prc_med = "&amp;G90&amp;", cot_prc_mediana = "&amp;H90&amp;" WHERE cot_id = "&amp;A90&amp;";"</f>
        <v>UPDATE COTACAO SET cot_id = 89, cot_blt_id = 39, cot_pap_id = 11, cot_prc_comum = NULL, cot_prc_min = 18, cot_prc_max = 24, cot_prc_med = 21, cot_prc_mediana = 21 WHERE cot_id = 89;</v>
      </c>
    </row>
    <row r="91" customFormat="false" ht="14.25" hidden="false" customHeight="false" outlineLevel="0" collapsed="false">
      <c r="A91" s="0" t="n">
        <v>90</v>
      </c>
      <c r="B91" s="0" t="n">
        <f aca="false">IF('Boletins Nuppa Site'!A91&lt;&gt;0,'Boletins Nuppa Site'!A91,"NULL")</f>
        <v>39</v>
      </c>
      <c r="C91" s="0" t="n">
        <v>12</v>
      </c>
      <c r="D91" s="30" t="n">
        <f aca="false">IF('Boletins Nuppa Site'!G91&lt;&gt;0,'Boletins Nuppa Site'!G91,"NULL")</f>
        <v>60</v>
      </c>
      <c r="E91" s="30" t="n">
        <f aca="false">IF('Boletins Nuppa Site'!H91&lt;&gt;0,'Boletins Nuppa Site'!H91,"NULL")</f>
        <v>60</v>
      </c>
      <c r="F91" s="30" t="n">
        <f aca="false">IF('Boletins Nuppa Site'!I91&lt;&gt;0,'Boletins Nuppa Site'!I91,"NULL")</f>
        <v>60</v>
      </c>
      <c r="G91" s="30" t="n">
        <f aca="false">IF('Boletins Nuppa Site'!J91&lt;&gt;0,'Boletins Nuppa Site'!J91,"NULL")</f>
        <v>60</v>
      </c>
      <c r="H91" s="30" t="n">
        <f aca="false">IF('Boletins Nuppa Site'!K91&lt;&gt;0,'Boletins Nuppa Site'!K91,"NULL")</f>
        <v>60</v>
      </c>
      <c r="I91" s="0" t="str">
        <f aca="false">"INSERT INTO COTACAO (cot_id, cot_blt_id, cot_pap_id, cot_prc_comum, cot_prc_min, cot_prc_max, cot_prc_med, cot_prc_mediana) VALUES ("&amp;A91&amp;", "&amp;B91&amp;", "&amp;C91&amp;", "&amp;D91&amp;", "&amp;E91&amp;", "&amp;F91&amp;", "&amp;G91&amp;", "&amp;H91&amp;");"</f>
        <v>INSERT INTO COTACAO (cot_id, cot_blt_id, cot_pap_id, cot_prc_comum, cot_prc_min, cot_prc_max, cot_prc_med, cot_prc_mediana) VALUES (90, 39, 12, 60, 60, 60, 60, 60);</v>
      </c>
      <c r="J91" s="0" t="str">
        <f aca="false">"UPDATE COTACAO SET cot_id = "&amp;A91&amp;", cot_blt_id = "&amp;B91&amp;", cot_pap_id = "&amp;C91&amp;", cot_prc_comum = "&amp;D91&amp;", cot_prc_min = "&amp;E91&amp;", cot_prc_max = "&amp;F91&amp;", cot_prc_med = "&amp;G91&amp;", cot_prc_mediana = "&amp;H91&amp;" WHERE cot_id = "&amp;A91&amp;";"</f>
        <v>UPDATE COTACAO SET cot_id = 90, cot_blt_id = 39, cot_pap_id = 12, cot_prc_comum = 60, cot_prc_min = 60, cot_prc_max = 60, cot_prc_med = 60, cot_prc_mediana = 60 WHERE cot_id = 90;</v>
      </c>
    </row>
    <row r="92" customFormat="false" ht="14.25" hidden="false" customHeight="false" outlineLevel="0" collapsed="false">
      <c r="A92" s="0" t="n">
        <v>91</v>
      </c>
      <c r="B92" s="0" t="n">
        <f aca="false">IF('Boletins Nuppa Site'!A92&lt;&gt;0,'Boletins Nuppa Site'!A92,"NULL")</f>
        <v>39</v>
      </c>
      <c r="C92" s="0" t="n">
        <v>13</v>
      </c>
      <c r="D92" s="0" t="str">
        <f aca="false">IF('Boletins Nuppa Site'!G92&lt;&gt;0,'Boletins Nuppa Site'!G92,"NULL")</f>
        <v>NULL</v>
      </c>
      <c r="E92" s="30" t="n">
        <f aca="false">IF('Boletins Nuppa Site'!H92&lt;&gt;0,'Boletins Nuppa Site'!H92,"NULL")</f>
        <v>48</v>
      </c>
      <c r="F92" s="30" t="n">
        <f aca="false">IF('Boletins Nuppa Site'!I92&lt;&gt;0,'Boletins Nuppa Site'!I92,"NULL")</f>
        <v>60</v>
      </c>
      <c r="G92" s="30" t="n">
        <f aca="false">IF('Boletins Nuppa Site'!J92&lt;&gt;0,'Boletins Nuppa Site'!J92,"NULL")</f>
        <v>54</v>
      </c>
      <c r="H92" s="30" t="n">
        <f aca="false">IF('Boletins Nuppa Site'!K92&lt;&gt;0,'Boletins Nuppa Site'!K92,"NULL")</f>
        <v>54</v>
      </c>
      <c r="I92" s="0" t="str">
        <f aca="false">"INSERT INTO COTACAO (cot_id, cot_blt_id, cot_pap_id, cot_prc_comum, cot_prc_min, cot_prc_max, cot_prc_med, cot_prc_mediana) VALUES ("&amp;A92&amp;", "&amp;B92&amp;", "&amp;C92&amp;", "&amp;D92&amp;", "&amp;E92&amp;", "&amp;F92&amp;", "&amp;G92&amp;", "&amp;H92&amp;");"</f>
        <v>INSERT INTO COTACAO (cot_id, cot_blt_id, cot_pap_id, cot_prc_comum, cot_prc_min, cot_prc_max, cot_prc_med, cot_prc_mediana) VALUES (91, 39, 13, NULL, 48, 60, 54, 54);</v>
      </c>
      <c r="J92" s="0" t="str">
        <f aca="false">"UPDATE COTACAO SET cot_id = "&amp;A92&amp;", cot_blt_id = "&amp;B92&amp;", cot_pap_id = "&amp;C92&amp;", cot_prc_comum = "&amp;D92&amp;", cot_prc_min = "&amp;E92&amp;", cot_prc_max = "&amp;F92&amp;", cot_prc_med = "&amp;G92&amp;", cot_prc_mediana = "&amp;H92&amp;" WHERE cot_id = "&amp;A92&amp;";"</f>
        <v>UPDATE COTACAO SET cot_id = 91, cot_blt_id = 39, cot_pap_id = 13, cot_prc_comum = NULL, cot_prc_min = 48, cot_prc_max = 60, cot_prc_med = 54, cot_prc_mediana = 54 WHERE cot_id = 91;</v>
      </c>
    </row>
    <row r="93" customFormat="false" ht="14.25" hidden="false" customHeight="false" outlineLevel="0" collapsed="false">
      <c r="A93" s="0" t="n">
        <v>92</v>
      </c>
      <c r="B93" s="0" t="n">
        <f aca="false">IF('Boletins Nuppa Site'!A93&lt;&gt;0,'Boletins Nuppa Site'!A93,"NULL")</f>
        <v>39</v>
      </c>
      <c r="C93" s="0" t="n">
        <v>14</v>
      </c>
      <c r="D93" s="0" t="str">
        <f aca="false">IF('Boletins Nuppa Site'!G93&lt;&gt;0,'Boletins Nuppa Site'!G93,"NULL")</f>
        <v>NULL</v>
      </c>
      <c r="E93" s="30" t="n">
        <f aca="false">IF('Boletins Nuppa Site'!H93&lt;&gt;0,'Boletins Nuppa Site'!H93,"NULL")</f>
        <v>42</v>
      </c>
      <c r="F93" s="30" t="n">
        <f aca="false">IF('Boletins Nuppa Site'!I93&lt;&gt;0,'Boletins Nuppa Site'!I93,"NULL")</f>
        <v>66</v>
      </c>
      <c r="G93" s="30" t="n">
        <f aca="false">IF('Boletins Nuppa Site'!J93&lt;&gt;0,'Boletins Nuppa Site'!J93,"NULL")</f>
        <v>54</v>
      </c>
      <c r="H93" s="30" t="n">
        <f aca="false">IF('Boletins Nuppa Site'!K93&lt;&gt;0,'Boletins Nuppa Site'!K93,"NULL")</f>
        <v>54</v>
      </c>
      <c r="I93" s="0" t="str">
        <f aca="false">"INSERT INTO COTACAO (cot_id, cot_blt_id, cot_pap_id, cot_prc_comum, cot_prc_min, cot_prc_max, cot_prc_med, cot_prc_mediana) VALUES ("&amp;A93&amp;", "&amp;B93&amp;", "&amp;C93&amp;", "&amp;D93&amp;", "&amp;E93&amp;", "&amp;F93&amp;", "&amp;G93&amp;", "&amp;H93&amp;");"</f>
        <v>INSERT INTO COTACAO (cot_id, cot_blt_id, cot_pap_id, cot_prc_comum, cot_prc_min, cot_prc_max, cot_prc_med, cot_prc_mediana) VALUES (92, 39, 14, NULL, 42, 66, 54, 54);</v>
      </c>
      <c r="J93" s="0" t="str">
        <f aca="false">"UPDATE COTACAO SET cot_id = "&amp;A93&amp;", cot_blt_id = "&amp;B93&amp;", cot_pap_id = "&amp;C93&amp;", cot_prc_comum = "&amp;D93&amp;", cot_prc_min = "&amp;E93&amp;", cot_prc_max = "&amp;F93&amp;", cot_prc_med = "&amp;G93&amp;", cot_prc_mediana = "&amp;H93&amp;" WHERE cot_id = "&amp;A93&amp;";"</f>
        <v>UPDATE COTACAO SET cot_id = 92, cot_blt_id = 39, cot_pap_id = 14, cot_prc_comum = NULL, cot_prc_min = 42, cot_prc_max = 66, cot_prc_med = 54, cot_prc_mediana = 54 WHERE cot_id = 92;</v>
      </c>
    </row>
    <row r="94" customFormat="false" ht="14.25" hidden="false" customHeight="false" outlineLevel="0" collapsed="false">
      <c r="A94" s="0" t="n">
        <v>93</v>
      </c>
      <c r="B94" s="0" t="n">
        <f aca="false">IF('Boletins Nuppa Site'!A94&lt;&gt;0,'Boletins Nuppa Site'!A94,"NULL")</f>
        <v>39</v>
      </c>
      <c r="C94" s="0" t="n">
        <v>15</v>
      </c>
      <c r="D94" s="30" t="n">
        <f aca="false">IF('Boletins Nuppa Site'!G94&lt;&gt;0,'Boletins Nuppa Site'!G94,"NULL")</f>
        <v>30</v>
      </c>
      <c r="E94" s="30" t="n">
        <f aca="false">IF('Boletins Nuppa Site'!H94&lt;&gt;0,'Boletins Nuppa Site'!H94,"NULL")</f>
        <v>25</v>
      </c>
      <c r="F94" s="30" t="n">
        <f aca="false">IF('Boletins Nuppa Site'!I94&lt;&gt;0,'Boletins Nuppa Site'!I94,"NULL")</f>
        <v>30</v>
      </c>
      <c r="G94" s="0" t="str">
        <f aca="false">IF('Boletins Nuppa Site'!J94&lt;&gt;0,'Boletins Nuppa Site'!J94,"NULL")</f>
        <v>28.33</v>
      </c>
      <c r="H94" s="30" t="n">
        <f aca="false">IF('Boletins Nuppa Site'!K94&lt;&gt;0,'Boletins Nuppa Site'!K94,"NULL")</f>
        <v>30</v>
      </c>
      <c r="I94" s="0" t="str">
        <f aca="false">"INSERT INTO COTACAO (cot_id, cot_blt_id, cot_pap_id, cot_prc_comum, cot_prc_min, cot_prc_max, cot_prc_med, cot_prc_mediana) VALUES ("&amp;A94&amp;", "&amp;B94&amp;", "&amp;C94&amp;", "&amp;D94&amp;", "&amp;E94&amp;", "&amp;F94&amp;", "&amp;G94&amp;", "&amp;H94&amp;");"</f>
        <v>INSERT INTO COTACAO (cot_id, cot_blt_id, cot_pap_id, cot_prc_comum, cot_prc_min, cot_prc_max, cot_prc_med, cot_prc_mediana) VALUES (93, 39, 15, 30, 25, 30, 28.33, 30);</v>
      </c>
      <c r="J94" s="0" t="str">
        <f aca="false">"UPDATE COTACAO SET cot_id = "&amp;A94&amp;", cot_blt_id = "&amp;B94&amp;", cot_pap_id = "&amp;C94&amp;", cot_prc_comum = "&amp;D94&amp;", cot_prc_min = "&amp;E94&amp;", cot_prc_max = "&amp;F94&amp;", cot_prc_med = "&amp;G94&amp;", cot_prc_mediana = "&amp;H94&amp;" WHERE cot_id = "&amp;A94&amp;";"</f>
        <v>UPDATE COTACAO SET cot_id = 93, cot_blt_id = 39, cot_pap_id = 15, cot_prc_comum = 30, cot_prc_min = 25, cot_prc_max = 30, cot_prc_med = 28.33, cot_prc_mediana = 30 WHERE cot_id = 93;</v>
      </c>
    </row>
    <row r="95" customFormat="false" ht="14.25" hidden="false" customHeight="false" outlineLevel="0" collapsed="false">
      <c r="A95" s="0" t="n">
        <v>94</v>
      </c>
      <c r="B95" s="0" t="n">
        <f aca="false">IF('Boletins Nuppa Site'!A95&lt;&gt;0,'Boletins Nuppa Site'!A95,"NULL")</f>
        <v>39</v>
      </c>
      <c r="C95" s="0" t="n">
        <v>16</v>
      </c>
      <c r="D95" s="30" t="n">
        <f aca="false">IF('Boletins Nuppa Site'!G95&lt;&gt;0,'Boletins Nuppa Site'!G95,"NULL")</f>
        <v>42</v>
      </c>
      <c r="E95" s="30" t="n">
        <f aca="false">IF('Boletins Nuppa Site'!H95&lt;&gt;0,'Boletins Nuppa Site'!H95,"NULL")</f>
        <v>30</v>
      </c>
      <c r="F95" s="30" t="n">
        <f aca="false">IF('Boletins Nuppa Site'!I95&lt;&gt;0,'Boletins Nuppa Site'!I95,"NULL")</f>
        <v>42</v>
      </c>
      <c r="G95" s="0" t="str">
        <f aca="false">IF('Boletins Nuppa Site'!J95&lt;&gt;0,'Boletins Nuppa Site'!J95,"NULL")</f>
        <v>37.5</v>
      </c>
      <c r="H95" s="30" t="n">
        <f aca="false">IF('Boletins Nuppa Site'!K95&lt;&gt;0,'Boletins Nuppa Site'!K95,"NULL")</f>
        <v>39</v>
      </c>
      <c r="I95" s="0" t="str">
        <f aca="false">"INSERT INTO COTACAO (cot_id, cot_blt_id, cot_pap_id, cot_prc_comum, cot_prc_min, cot_prc_max, cot_prc_med, cot_prc_mediana) VALUES ("&amp;A95&amp;", "&amp;B95&amp;", "&amp;C95&amp;", "&amp;D95&amp;", "&amp;E95&amp;", "&amp;F95&amp;", "&amp;G95&amp;", "&amp;H95&amp;");"</f>
        <v>INSERT INTO COTACAO (cot_id, cot_blt_id, cot_pap_id, cot_prc_comum, cot_prc_min, cot_prc_max, cot_prc_med, cot_prc_mediana) VALUES (94, 39, 16, 42, 30, 42, 37.5, 39);</v>
      </c>
      <c r="J95" s="0" t="str">
        <f aca="false">"UPDATE COTACAO SET cot_id = "&amp;A95&amp;", cot_blt_id = "&amp;B95&amp;", cot_pap_id = "&amp;C95&amp;", cot_prc_comum = "&amp;D95&amp;", cot_prc_min = "&amp;E95&amp;", cot_prc_max = "&amp;F95&amp;", cot_prc_med = "&amp;G95&amp;", cot_prc_mediana = "&amp;H95&amp;" WHERE cot_id = "&amp;A95&amp;";"</f>
        <v>UPDATE COTACAO SET cot_id = 94, cot_blt_id = 39, cot_pap_id = 16, cot_prc_comum = 42, cot_prc_min = 30, cot_prc_max = 42, cot_prc_med = 37.5, cot_prc_mediana = 39 WHERE cot_id = 94;</v>
      </c>
    </row>
    <row r="96" customFormat="false" ht="14.25" hidden="false" customHeight="false" outlineLevel="0" collapsed="false">
      <c r="A96" s="0" t="n">
        <v>95</v>
      </c>
      <c r="B96" s="0" t="n">
        <f aca="false">IF('Boletins Nuppa Site'!A96&lt;&gt;0,'Boletins Nuppa Site'!A96,"NULL")</f>
        <v>39</v>
      </c>
      <c r="C96" s="0" t="n">
        <v>17</v>
      </c>
      <c r="D96" s="30" t="n">
        <f aca="false">IF('Boletins Nuppa Site'!G96&lt;&gt;0,'Boletins Nuppa Site'!G96,"NULL")</f>
        <v>4</v>
      </c>
      <c r="E96" s="30" t="n">
        <f aca="false">IF('Boletins Nuppa Site'!H96&lt;&gt;0,'Boletins Nuppa Site'!H96,"NULL")</f>
        <v>4</v>
      </c>
      <c r="F96" s="30" t="n">
        <f aca="false">IF('Boletins Nuppa Site'!I96&lt;&gt;0,'Boletins Nuppa Site'!I96,"NULL")</f>
        <v>5</v>
      </c>
      <c r="G96" s="0" t="str">
        <f aca="false">IF('Boletins Nuppa Site'!J96&lt;&gt;0,'Boletins Nuppa Site'!J96,"NULL")</f>
        <v>4.33</v>
      </c>
      <c r="H96" s="30" t="n">
        <f aca="false">IF('Boletins Nuppa Site'!K96&lt;&gt;0,'Boletins Nuppa Site'!K96,"NULL")</f>
        <v>4</v>
      </c>
      <c r="I96" s="0" t="str">
        <f aca="false">"INSERT INTO COTACAO (cot_id, cot_blt_id, cot_pap_id, cot_prc_comum, cot_prc_min, cot_prc_max, cot_prc_med, cot_prc_mediana) VALUES ("&amp;A96&amp;", "&amp;B96&amp;", "&amp;C96&amp;", "&amp;D96&amp;", "&amp;E96&amp;", "&amp;F96&amp;", "&amp;G96&amp;", "&amp;H96&amp;");"</f>
        <v>INSERT INTO COTACAO (cot_id, cot_blt_id, cot_pap_id, cot_prc_comum, cot_prc_min, cot_prc_max, cot_prc_med, cot_prc_mediana) VALUES (95, 39, 17, 4, 4, 5, 4.33, 4);</v>
      </c>
      <c r="J96" s="0" t="str">
        <f aca="false">"UPDATE COTACAO SET cot_id = "&amp;A96&amp;", cot_blt_id = "&amp;B96&amp;", cot_pap_id = "&amp;C96&amp;", cot_prc_comum = "&amp;D96&amp;", cot_prc_min = "&amp;E96&amp;", cot_prc_max = "&amp;F96&amp;", cot_prc_med = "&amp;G96&amp;", cot_prc_mediana = "&amp;H96&amp;" WHERE cot_id = "&amp;A96&amp;";"</f>
        <v>UPDATE COTACAO SET cot_id = 95, cot_blt_id = 39, cot_pap_id = 17, cot_prc_comum = 4, cot_prc_min = 4, cot_prc_max = 5, cot_prc_med = 4.33, cot_prc_mediana = 4 WHERE cot_id = 95;</v>
      </c>
    </row>
    <row r="97" customFormat="false" ht="14.25" hidden="false" customHeight="false" outlineLevel="0" collapsed="false">
      <c r="A97" s="0" t="n">
        <v>96</v>
      </c>
      <c r="B97" s="0" t="n">
        <f aca="false">IF('Boletins Nuppa Site'!A97&lt;&gt;0,'Boletins Nuppa Site'!A97,"NULL")</f>
        <v>39</v>
      </c>
      <c r="C97" s="0" t="n">
        <v>18</v>
      </c>
      <c r="D97" s="30" t="n">
        <f aca="false">IF('Boletins Nuppa Site'!G97&lt;&gt;0,'Boletins Nuppa Site'!G97,"NULL")</f>
        <v>20</v>
      </c>
      <c r="E97" s="30" t="n">
        <f aca="false">IF('Boletins Nuppa Site'!H97&lt;&gt;0,'Boletins Nuppa Site'!H97,"NULL")</f>
        <v>20</v>
      </c>
      <c r="F97" s="30" t="n">
        <f aca="false">IF('Boletins Nuppa Site'!I97&lt;&gt;0,'Boletins Nuppa Site'!I97,"NULL")</f>
        <v>22</v>
      </c>
      <c r="G97" s="0" t="str">
        <f aca="false">IF('Boletins Nuppa Site'!J97&lt;&gt;0,'Boletins Nuppa Site'!J97,"NULL")</f>
        <v>20.67</v>
      </c>
      <c r="H97" s="30" t="n">
        <f aca="false">IF('Boletins Nuppa Site'!K97&lt;&gt;0,'Boletins Nuppa Site'!K97,"NULL")</f>
        <v>20</v>
      </c>
      <c r="I97" s="0" t="str">
        <f aca="false">"INSERT INTO COTACAO (cot_id, cot_blt_id, cot_pap_id, cot_prc_comum, cot_prc_min, cot_prc_max, cot_prc_med, cot_prc_mediana) VALUES ("&amp;A97&amp;", "&amp;B97&amp;", "&amp;C97&amp;", "&amp;D97&amp;", "&amp;E97&amp;", "&amp;F97&amp;", "&amp;G97&amp;", "&amp;H97&amp;");"</f>
        <v>INSERT INTO COTACAO (cot_id, cot_blt_id, cot_pap_id, cot_prc_comum, cot_prc_min, cot_prc_max, cot_prc_med, cot_prc_mediana) VALUES (96, 39, 18, 20, 20, 22, 20.67, 20);</v>
      </c>
      <c r="J97" s="0" t="str">
        <f aca="false">"UPDATE COTACAO SET cot_id = "&amp;A97&amp;", cot_blt_id = "&amp;B97&amp;", cot_pap_id = "&amp;C97&amp;", cot_prc_comum = "&amp;D97&amp;", cot_prc_min = "&amp;E97&amp;", cot_prc_max = "&amp;F97&amp;", cot_prc_med = "&amp;G97&amp;", cot_prc_mediana = "&amp;H97&amp;" WHERE cot_id = "&amp;A97&amp;";"</f>
        <v>UPDATE COTACAO SET cot_id = 96, cot_blt_id = 39, cot_pap_id = 18, cot_prc_comum = 20, cot_prc_min = 20, cot_prc_max = 22, cot_prc_med = 20.67, cot_prc_mediana = 20 WHERE cot_id = 96;</v>
      </c>
    </row>
    <row r="98" customFormat="false" ht="14.25" hidden="false" customHeight="false" outlineLevel="0" collapsed="false">
      <c r="A98" s="0" t="n">
        <v>97</v>
      </c>
      <c r="B98" s="0" t="n">
        <f aca="false">IF('Boletins Nuppa Site'!A98&lt;&gt;0,'Boletins Nuppa Site'!A98,"NULL")</f>
        <v>39</v>
      </c>
      <c r="C98" s="0" t="n">
        <v>19</v>
      </c>
      <c r="D98" s="30" t="n">
        <f aca="false">IF('Boletins Nuppa Site'!G98&lt;&gt;0,'Boletins Nuppa Site'!G98,"NULL")</f>
        <v>25</v>
      </c>
      <c r="E98" s="30" t="n">
        <f aca="false">IF('Boletins Nuppa Site'!H98&lt;&gt;0,'Boletins Nuppa Site'!H98,"NULL")</f>
        <v>25</v>
      </c>
      <c r="F98" s="30" t="n">
        <f aca="false">IF('Boletins Nuppa Site'!I98&lt;&gt;0,'Boletins Nuppa Site'!I98,"NULL")</f>
        <v>25</v>
      </c>
      <c r="G98" s="30" t="n">
        <f aca="false">IF('Boletins Nuppa Site'!J98&lt;&gt;0,'Boletins Nuppa Site'!J98,"NULL")</f>
        <v>25</v>
      </c>
      <c r="H98" s="30" t="n">
        <f aca="false">IF('Boletins Nuppa Site'!K98&lt;&gt;0,'Boletins Nuppa Site'!K98,"NULL")</f>
        <v>25</v>
      </c>
      <c r="I98" s="0" t="str">
        <f aca="false">"INSERT INTO COTACAO (cot_id, cot_blt_id, cot_pap_id, cot_prc_comum, cot_prc_min, cot_prc_max, cot_prc_med, cot_prc_mediana) VALUES ("&amp;A98&amp;", "&amp;B98&amp;", "&amp;C98&amp;", "&amp;D98&amp;", "&amp;E98&amp;", "&amp;F98&amp;", "&amp;G98&amp;", "&amp;H98&amp;");"</f>
        <v>INSERT INTO COTACAO (cot_id, cot_blt_id, cot_pap_id, cot_prc_comum, cot_prc_min, cot_prc_max, cot_prc_med, cot_prc_mediana) VALUES (97, 39, 19, 25, 25, 25, 25, 25);</v>
      </c>
      <c r="J98" s="0" t="str">
        <f aca="false">"UPDATE COTACAO SET cot_id = "&amp;A98&amp;", cot_blt_id = "&amp;B98&amp;", cot_pap_id = "&amp;C98&amp;", cot_prc_comum = "&amp;D98&amp;", cot_prc_min = "&amp;E98&amp;", cot_prc_max = "&amp;F98&amp;", cot_prc_med = "&amp;G98&amp;", cot_prc_mediana = "&amp;H98&amp;" WHERE cot_id = "&amp;A98&amp;";"</f>
        <v>UPDATE COTACAO SET cot_id = 97, cot_blt_id = 39, cot_pap_id = 19, cot_prc_comum = 25, cot_prc_min = 25, cot_prc_max = 25, cot_prc_med = 25, cot_prc_mediana = 25 WHERE cot_id = 97;</v>
      </c>
    </row>
    <row r="99" customFormat="false" ht="14.25" hidden="false" customHeight="false" outlineLevel="0" collapsed="false">
      <c r="A99" s="0" t="n">
        <v>98</v>
      </c>
      <c r="B99" s="0" t="n">
        <f aca="false">IF('Boletins Nuppa Site'!A99&lt;&gt;0,'Boletins Nuppa Site'!A99,"NULL")</f>
        <v>39</v>
      </c>
      <c r="C99" s="0" t="n">
        <v>21</v>
      </c>
      <c r="D99" s="30" t="n">
        <f aca="false">IF('Boletins Nuppa Site'!G99&lt;&gt;0,'Boletins Nuppa Site'!G99,"NULL")</f>
        <v>60</v>
      </c>
      <c r="E99" s="30" t="n">
        <f aca="false">IF('Boletins Nuppa Site'!H99&lt;&gt;0,'Boletins Nuppa Site'!H99,"NULL")</f>
        <v>40</v>
      </c>
      <c r="F99" s="30" t="n">
        <f aca="false">IF('Boletins Nuppa Site'!I99&lt;&gt;0,'Boletins Nuppa Site'!I99,"NULL")</f>
        <v>60</v>
      </c>
      <c r="G99" s="30" t="n">
        <f aca="false">IF('Boletins Nuppa Site'!J99&lt;&gt;0,'Boletins Nuppa Site'!J99,"NULL")</f>
        <v>52</v>
      </c>
      <c r="H99" s="30" t="n">
        <f aca="false">IF('Boletins Nuppa Site'!K99&lt;&gt;0,'Boletins Nuppa Site'!K99,"NULL")</f>
        <v>55</v>
      </c>
      <c r="I99" s="0" t="str">
        <f aca="false">"INSERT INTO COTACAO (cot_id, cot_blt_id, cot_pap_id, cot_prc_comum, cot_prc_min, cot_prc_max, cot_prc_med, cot_prc_mediana) VALUES ("&amp;A99&amp;", "&amp;B99&amp;", "&amp;C99&amp;", "&amp;D99&amp;", "&amp;E99&amp;", "&amp;F99&amp;", "&amp;G99&amp;", "&amp;H99&amp;");"</f>
        <v>INSERT INTO COTACAO (cot_id, cot_blt_id, cot_pap_id, cot_prc_comum, cot_prc_min, cot_prc_max, cot_prc_med, cot_prc_mediana) VALUES (98, 39, 21, 60, 40, 60, 52, 55);</v>
      </c>
      <c r="J99" s="0" t="str">
        <f aca="false">"UPDATE COTACAO SET cot_id = "&amp;A99&amp;", cot_blt_id = "&amp;B99&amp;", cot_pap_id = "&amp;C99&amp;", cot_prc_comum = "&amp;D99&amp;", cot_prc_min = "&amp;E99&amp;", cot_prc_max = "&amp;F99&amp;", cot_prc_med = "&amp;G99&amp;", cot_prc_mediana = "&amp;H99&amp;" WHERE cot_id = "&amp;A99&amp;";"</f>
        <v>UPDATE COTACAO SET cot_id = 98, cot_blt_id = 39, cot_pap_id = 21, cot_prc_comum = 60, cot_prc_min = 40, cot_prc_max = 60, cot_prc_med = 52, cot_prc_mediana = 55 WHERE cot_id = 98;</v>
      </c>
    </row>
    <row r="100" customFormat="false" ht="14.25" hidden="false" customHeight="false" outlineLevel="0" collapsed="false">
      <c r="A100" s="0" t="n">
        <v>99</v>
      </c>
      <c r="B100" s="0" t="n">
        <f aca="false">IF('Boletins Nuppa Site'!A100&lt;&gt;0,'Boletins Nuppa Site'!A100,"NULL")</f>
        <v>39</v>
      </c>
      <c r="C100" s="0" t="n">
        <v>22</v>
      </c>
      <c r="D100" s="30" t="n">
        <f aca="false">IF('Boletins Nuppa Site'!G100&lt;&gt;0,'Boletins Nuppa Site'!G100,"NULL")</f>
        <v>50</v>
      </c>
      <c r="E100" s="30" t="n">
        <f aca="false">IF('Boletins Nuppa Site'!H100&lt;&gt;0,'Boletins Nuppa Site'!H100,"NULL")</f>
        <v>50</v>
      </c>
      <c r="F100" s="30" t="n">
        <f aca="false">IF('Boletins Nuppa Site'!I100&lt;&gt;0,'Boletins Nuppa Site'!I100,"NULL")</f>
        <v>65</v>
      </c>
      <c r="G100" s="0" t="str">
        <f aca="false">IF('Boletins Nuppa Site'!J100&lt;&gt;0,'Boletins Nuppa Site'!J100,"NULL")</f>
        <v>55.83</v>
      </c>
      <c r="H100" s="30" t="n">
        <f aca="false">IF('Boletins Nuppa Site'!K100&lt;&gt;0,'Boletins Nuppa Site'!K100,"NULL")</f>
        <v>55</v>
      </c>
      <c r="I100" s="0" t="str">
        <f aca="false">"INSERT INTO COTACAO (cot_id, cot_blt_id, cot_pap_id, cot_prc_comum, cot_prc_min, cot_prc_max, cot_prc_med, cot_prc_mediana) VALUES ("&amp;A100&amp;", "&amp;B100&amp;", "&amp;C100&amp;", "&amp;D100&amp;", "&amp;E100&amp;", "&amp;F100&amp;", "&amp;G100&amp;", "&amp;H100&amp;");"</f>
        <v>INSERT INTO COTACAO (cot_id, cot_blt_id, cot_pap_id, cot_prc_comum, cot_prc_min, cot_prc_max, cot_prc_med, cot_prc_mediana) VALUES (99, 39, 22, 50, 50, 65, 55.83, 55);</v>
      </c>
      <c r="J100" s="0" t="str">
        <f aca="false">"UPDATE COTACAO SET cot_id = "&amp;A100&amp;", cot_blt_id = "&amp;B100&amp;", cot_pap_id = "&amp;C100&amp;", cot_prc_comum = "&amp;D100&amp;", cot_prc_min = "&amp;E100&amp;", cot_prc_max = "&amp;F100&amp;", cot_prc_med = "&amp;G100&amp;", cot_prc_mediana = "&amp;H100&amp;" WHERE cot_id = "&amp;A100&amp;";"</f>
        <v>UPDATE COTACAO SET cot_id = 99, cot_blt_id = 39, cot_pap_id = 22, cot_prc_comum = 50, cot_prc_min = 50, cot_prc_max = 65, cot_prc_med = 55.83, cot_prc_mediana = 55 WHERE cot_id = 99;</v>
      </c>
    </row>
    <row r="101" customFormat="false" ht="14.25" hidden="false" customHeight="false" outlineLevel="0" collapsed="false">
      <c r="A101" s="0" t="n">
        <v>100</v>
      </c>
      <c r="B101" s="0" t="n">
        <f aca="false">IF('Boletins Nuppa Site'!A101&lt;&gt;0,'Boletins Nuppa Site'!A101,"NULL")</f>
        <v>39</v>
      </c>
      <c r="C101" s="0" t="n">
        <v>23</v>
      </c>
      <c r="D101" s="30" t="n">
        <f aca="false">IF('Boletins Nuppa Site'!G101&lt;&gt;0,'Boletins Nuppa Site'!G101,"NULL")</f>
        <v>50</v>
      </c>
      <c r="E101" s="30" t="n">
        <f aca="false">IF('Boletins Nuppa Site'!H101&lt;&gt;0,'Boletins Nuppa Site'!H101,"NULL")</f>
        <v>35</v>
      </c>
      <c r="F101" s="30" t="n">
        <f aca="false">IF('Boletins Nuppa Site'!I101&lt;&gt;0,'Boletins Nuppa Site'!I101,"NULL")</f>
        <v>55</v>
      </c>
      <c r="G101" s="0" t="str">
        <f aca="false">IF('Boletins Nuppa Site'!J101&lt;&gt;0,'Boletins Nuppa Site'!J101,"NULL")</f>
        <v>45.83</v>
      </c>
      <c r="H101" s="0" t="str">
        <f aca="false">IF('Boletins Nuppa Site'!K101&lt;&gt;0,'Boletins Nuppa Site'!K101,"NULL")</f>
        <v>47.5</v>
      </c>
      <c r="I101" s="0" t="str">
        <f aca="false">"INSERT INTO COTACAO (cot_id, cot_blt_id, cot_pap_id, cot_prc_comum, cot_prc_min, cot_prc_max, cot_prc_med, cot_prc_mediana) VALUES ("&amp;A101&amp;", "&amp;B101&amp;", "&amp;C101&amp;", "&amp;D101&amp;", "&amp;E101&amp;", "&amp;F101&amp;", "&amp;G101&amp;", "&amp;H101&amp;");"</f>
        <v>INSERT INTO COTACAO (cot_id, cot_blt_id, cot_pap_id, cot_prc_comum, cot_prc_min, cot_prc_max, cot_prc_med, cot_prc_mediana) VALUES (100, 39, 23, 50, 35, 55, 45.83, 47.5);</v>
      </c>
      <c r="J101" s="0" t="str">
        <f aca="false">"UPDATE COTACAO SET cot_id = "&amp;A101&amp;", cot_blt_id = "&amp;B101&amp;", cot_pap_id = "&amp;C101&amp;", cot_prc_comum = "&amp;D101&amp;", cot_prc_min = "&amp;E101&amp;", cot_prc_max = "&amp;F101&amp;", cot_prc_med = "&amp;G101&amp;", cot_prc_mediana = "&amp;H101&amp;" WHERE cot_id = "&amp;A101&amp;";"</f>
        <v>UPDATE COTACAO SET cot_id = 100, cot_blt_id = 39, cot_pap_id = 23, cot_prc_comum = 50, cot_prc_min = 35, cot_prc_max = 55, cot_prc_med = 45.83, cot_prc_mediana = 47.5 WHERE cot_id = 100;</v>
      </c>
    </row>
    <row r="102" customFormat="false" ht="14.25" hidden="false" customHeight="false" outlineLevel="0" collapsed="false">
      <c r="A102" s="0" t="n">
        <v>101</v>
      </c>
      <c r="B102" s="0" t="n">
        <f aca="false">IF('Boletins Nuppa Site'!A102&lt;&gt;0,'Boletins Nuppa Site'!A102,"NULL")</f>
        <v>39</v>
      </c>
      <c r="C102" s="0" t="n">
        <v>24</v>
      </c>
      <c r="D102" s="0" t="str">
        <f aca="false">IF('Boletins Nuppa Site'!G102&lt;&gt;0,'Boletins Nuppa Site'!G102,"NULL")</f>
        <v>NULL</v>
      </c>
      <c r="E102" s="30" t="n">
        <f aca="false">IF('Boletins Nuppa Site'!H102&lt;&gt;0,'Boletins Nuppa Site'!H102,"NULL")</f>
        <v>120</v>
      </c>
      <c r="F102" s="30" t="n">
        <f aca="false">IF('Boletins Nuppa Site'!I102&lt;&gt;0,'Boletins Nuppa Site'!I102,"NULL")</f>
        <v>120</v>
      </c>
      <c r="G102" s="30" t="n">
        <f aca="false">IF('Boletins Nuppa Site'!J102&lt;&gt;0,'Boletins Nuppa Site'!J102,"NULL")</f>
        <v>120</v>
      </c>
      <c r="H102" s="30" t="n">
        <f aca="false">IF('Boletins Nuppa Site'!K102&lt;&gt;0,'Boletins Nuppa Site'!K102,"NULL")</f>
        <v>120</v>
      </c>
      <c r="I102" s="0" t="str">
        <f aca="false">"INSERT INTO COTACAO (cot_id, cot_blt_id, cot_pap_id, cot_prc_comum, cot_prc_min, cot_prc_max, cot_prc_med, cot_prc_mediana) VALUES ("&amp;A102&amp;", "&amp;B102&amp;", "&amp;C102&amp;", "&amp;D102&amp;", "&amp;E102&amp;", "&amp;F102&amp;", "&amp;G102&amp;", "&amp;H102&amp;");"</f>
        <v>INSERT INTO COTACAO (cot_id, cot_blt_id, cot_pap_id, cot_prc_comum, cot_prc_min, cot_prc_max, cot_prc_med, cot_prc_mediana) VALUES (101, 39, 24, NULL, 120, 120, 120, 120);</v>
      </c>
      <c r="J102" s="0" t="str">
        <f aca="false">"UPDATE COTACAO SET cot_id = "&amp;A102&amp;", cot_blt_id = "&amp;B102&amp;", cot_pap_id = "&amp;C102&amp;", cot_prc_comum = "&amp;D102&amp;", cot_prc_min = "&amp;E102&amp;", cot_prc_max = "&amp;F102&amp;", cot_prc_med = "&amp;G102&amp;", cot_prc_mediana = "&amp;H102&amp;" WHERE cot_id = "&amp;A102&amp;";"</f>
        <v>UPDATE COTACAO SET cot_id = 101, cot_blt_id = 39, cot_pap_id = 24, cot_prc_comum = NULL, cot_prc_min = 120, cot_prc_max = 120, cot_prc_med = 120, cot_prc_mediana = 120 WHERE cot_id = 101;</v>
      </c>
    </row>
    <row r="103" customFormat="false" ht="14.25" hidden="false" customHeight="false" outlineLevel="0" collapsed="false">
      <c r="A103" s="0" t="n">
        <v>102</v>
      </c>
      <c r="B103" s="0" t="n">
        <f aca="false">IF('Boletins Nuppa Site'!A103&lt;&gt;0,'Boletins Nuppa Site'!A103,"NULL")</f>
        <v>39</v>
      </c>
      <c r="C103" s="0" t="n">
        <v>25</v>
      </c>
      <c r="D103" s="30" t="n">
        <f aca="false">IF('Boletins Nuppa Site'!G103&lt;&gt;0,'Boletins Nuppa Site'!G103,"NULL")</f>
        <v>50</v>
      </c>
      <c r="E103" s="30" t="n">
        <f aca="false">IF('Boletins Nuppa Site'!H103&lt;&gt;0,'Boletins Nuppa Site'!H103,"NULL")</f>
        <v>50</v>
      </c>
      <c r="F103" s="30" t="n">
        <f aca="false">IF('Boletins Nuppa Site'!I103&lt;&gt;0,'Boletins Nuppa Site'!I103,"NULL")</f>
        <v>60</v>
      </c>
      <c r="G103" s="0" t="str">
        <f aca="false">IF('Boletins Nuppa Site'!J103&lt;&gt;0,'Boletins Nuppa Site'!J103,"NULL")</f>
        <v>53.75</v>
      </c>
      <c r="H103" s="0" t="str">
        <f aca="false">IF('Boletins Nuppa Site'!K103&lt;&gt;0,'Boletins Nuppa Site'!K103,"NULL")</f>
        <v>52.5</v>
      </c>
      <c r="I103" s="0" t="str">
        <f aca="false">"INSERT INTO COTACAO (cot_id, cot_blt_id, cot_pap_id, cot_prc_comum, cot_prc_min, cot_prc_max, cot_prc_med, cot_prc_mediana) VALUES ("&amp;A103&amp;", "&amp;B103&amp;", "&amp;C103&amp;", "&amp;D103&amp;", "&amp;E103&amp;", "&amp;F103&amp;", "&amp;G103&amp;", "&amp;H103&amp;");"</f>
        <v>INSERT INTO COTACAO (cot_id, cot_blt_id, cot_pap_id, cot_prc_comum, cot_prc_min, cot_prc_max, cot_prc_med, cot_prc_mediana) VALUES (102, 39, 25, 50, 50, 60, 53.75, 52.5);</v>
      </c>
      <c r="J103" s="0" t="str">
        <f aca="false">"UPDATE COTACAO SET cot_id = "&amp;A103&amp;", cot_blt_id = "&amp;B103&amp;", cot_pap_id = "&amp;C103&amp;", cot_prc_comum = "&amp;D103&amp;", cot_prc_min = "&amp;E103&amp;", cot_prc_max = "&amp;F103&amp;", cot_prc_med = "&amp;G103&amp;", cot_prc_mediana = "&amp;H103&amp;" WHERE cot_id = "&amp;A103&amp;";"</f>
        <v>UPDATE COTACAO SET cot_id = 102, cot_blt_id = 39, cot_pap_id = 25, cot_prc_comum = 50, cot_prc_min = 50, cot_prc_max = 60, cot_prc_med = 53.75, cot_prc_mediana = 52.5 WHERE cot_id = 102;</v>
      </c>
    </row>
    <row r="104" customFormat="false" ht="14.25" hidden="false" customHeight="false" outlineLevel="0" collapsed="false">
      <c r="A104" s="0" t="n">
        <v>103</v>
      </c>
      <c r="B104" s="0" t="n">
        <f aca="false">IF('Boletins Nuppa Site'!A104&lt;&gt;0,'Boletins Nuppa Site'!A104,"NULL")</f>
        <v>39</v>
      </c>
      <c r="C104" s="0" t="n">
        <v>26</v>
      </c>
      <c r="D104" s="30" t="n">
        <f aca="false">IF('Boletins Nuppa Site'!G104&lt;&gt;0,'Boletins Nuppa Site'!G104,"NULL")</f>
        <v>80</v>
      </c>
      <c r="E104" s="30" t="n">
        <f aca="false">IF('Boletins Nuppa Site'!H104&lt;&gt;0,'Boletins Nuppa Site'!H104,"NULL")</f>
        <v>50</v>
      </c>
      <c r="F104" s="30" t="n">
        <f aca="false">IF('Boletins Nuppa Site'!I104&lt;&gt;0,'Boletins Nuppa Site'!I104,"NULL")</f>
        <v>80</v>
      </c>
      <c r="G104" s="30" t="n">
        <f aca="false">IF('Boletins Nuppa Site'!J104&lt;&gt;0,'Boletins Nuppa Site'!J104,"NULL")</f>
        <v>66</v>
      </c>
      <c r="H104" s="30" t="n">
        <f aca="false">IF('Boletins Nuppa Site'!K104&lt;&gt;0,'Boletins Nuppa Site'!K104,"NULL")</f>
        <v>65</v>
      </c>
      <c r="I104" s="0" t="str">
        <f aca="false">"INSERT INTO COTACAO (cot_id, cot_blt_id, cot_pap_id, cot_prc_comum, cot_prc_min, cot_prc_max, cot_prc_med, cot_prc_mediana) VALUES ("&amp;A104&amp;", "&amp;B104&amp;", "&amp;C104&amp;", "&amp;D104&amp;", "&amp;E104&amp;", "&amp;F104&amp;", "&amp;G104&amp;", "&amp;H104&amp;");"</f>
        <v>INSERT INTO COTACAO (cot_id, cot_blt_id, cot_pap_id, cot_prc_comum, cot_prc_min, cot_prc_max, cot_prc_med, cot_prc_mediana) VALUES (103, 39, 26, 80, 50, 80, 66, 65);</v>
      </c>
      <c r="J104" s="0" t="str">
        <f aca="false">"UPDATE COTACAO SET cot_id = "&amp;A104&amp;", cot_blt_id = "&amp;B104&amp;", cot_pap_id = "&amp;C104&amp;", cot_prc_comum = "&amp;D104&amp;", cot_prc_min = "&amp;E104&amp;", cot_prc_max = "&amp;F104&amp;", cot_prc_med = "&amp;G104&amp;", cot_prc_mediana = "&amp;H104&amp;" WHERE cot_id = "&amp;A104&amp;";"</f>
        <v>UPDATE COTACAO SET cot_id = 103, cot_blt_id = 39, cot_pap_id = 26, cot_prc_comum = 80, cot_prc_min = 50, cot_prc_max = 80, cot_prc_med = 66, cot_prc_mediana = 65 WHERE cot_id = 103;</v>
      </c>
    </row>
    <row r="105" customFormat="false" ht="14.25" hidden="false" customHeight="false" outlineLevel="0" collapsed="false">
      <c r="A105" s="0" t="n">
        <v>104</v>
      </c>
      <c r="B105" s="0" t="n">
        <f aca="false">IF('Boletins Nuppa Site'!A105&lt;&gt;0,'Boletins Nuppa Site'!A105,"NULL")</f>
        <v>39</v>
      </c>
      <c r="C105" s="0" t="n">
        <v>27</v>
      </c>
      <c r="D105" s="30" t="n">
        <f aca="false">IF('Boletins Nuppa Site'!G105&lt;&gt;0,'Boletins Nuppa Site'!G105,"NULL")</f>
        <v>70</v>
      </c>
      <c r="E105" s="30" t="n">
        <f aca="false">IF('Boletins Nuppa Site'!H105&lt;&gt;0,'Boletins Nuppa Site'!H105,"NULL")</f>
        <v>70</v>
      </c>
      <c r="F105" s="30" t="n">
        <f aca="false">IF('Boletins Nuppa Site'!I105&lt;&gt;0,'Boletins Nuppa Site'!I105,"NULL")</f>
        <v>80</v>
      </c>
      <c r="G105" s="0" t="str">
        <f aca="false">IF('Boletins Nuppa Site'!J105&lt;&gt;0,'Boletins Nuppa Site'!J105,"NULL")</f>
        <v>73.33</v>
      </c>
      <c r="H105" s="30" t="n">
        <f aca="false">IF('Boletins Nuppa Site'!K105&lt;&gt;0,'Boletins Nuppa Site'!K105,"NULL")</f>
        <v>70</v>
      </c>
      <c r="I105" s="0" t="str">
        <f aca="false">"INSERT INTO COTACAO (cot_id, cot_blt_id, cot_pap_id, cot_prc_comum, cot_prc_min, cot_prc_max, cot_prc_med, cot_prc_mediana) VALUES ("&amp;A105&amp;", "&amp;B105&amp;", "&amp;C105&amp;", "&amp;D105&amp;", "&amp;E105&amp;", "&amp;F105&amp;", "&amp;G105&amp;", "&amp;H105&amp;");"</f>
        <v>INSERT INTO COTACAO (cot_id, cot_blt_id, cot_pap_id, cot_prc_comum, cot_prc_min, cot_prc_max, cot_prc_med, cot_prc_mediana) VALUES (104, 39, 27, 70, 70, 80, 73.33, 70);</v>
      </c>
      <c r="J105" s="0" t="str">
        <f aca="false">"UPDATE COTACAO SET cot_id = "&amp;A105&amp;", cot_blt_id = "&amp;B105&amp;", cot_pap_id = "&amp;C105&amp;", cot_prc_comum = "&amp;D105&amp;", cot_prc_min = "&amp;E105&amp;", cot_prc_max = "&amp;F105&amp;", cot_prc_med = "&amp;G105&amp;", cot_prc_mediana = "&amp;H105&amp;" WHERE cot_id = "&amp;A105&amp;";"</f>
        <v>UPDATE COTACAO SET cot_id = 104, cot_blt_id = 39, cot_pap_id = 27, cot_prc_comum = 70, cot_prc_min = 70, cot_prc_max = 80, cot_prc_med = 73.33, cot_prc_mediana = 70 WHERE cot_id = 104;</v>
      </c>
    </row>
    <row r="106" customFormat="false" ht="14.25" hidden="false" customHeight="false" outlineLevel="0" collapsed="false">
      <c r="A106" s="0" t="n">
        <v>105</v>
      </c>
      <c r="B106" s="0" t="n">
        <f aca="false">IF('Boletins Nuppa Site'!A106&lt;&gt;0,'Boletins Nuppa Site'!A106,"NULL")</f>
        <v>39</v>
      </c>
      <c r="C106" s="0" t="n">
        <v>28</v>
      </c>
      <c r="D106" s="30" t="n">
        <f aca="false">IF('Boletins Nuppa Site'!G106&lt;&gt;0,'Boletins Nuppa Site'!G106,"NULL")</f>
        <v>70</v>
      </c>
      <c r="E106" s="30" t="n">
        <f aca="false">IF('Boletins Nuppa Site'!H106&lt;&gt;0,'Boletins Nuppa Site'!H106,"NULL")</f>
        <v>60</v>
      </c>
      <c r="F106" s="30" t="n">
        <f aca="false">IF('Boletins Nuppa Site'!I106&lt;&gt;0,'Boletins Nuppa Site'!I106,"NULL")</f>
        <v>70</v>
      </c>
      <c r="G106" s="30" t="n">
        <f aca="false">IF('Boletins Nuppa Site'!J106&lt;&gt;0,'Boletins Nuppa Site'!J106,"NULL")</f>
        <v>66</v>
      </c>
      <c r="H106" s="30" t="n">
        <f aca="false">IF('Boletins Nuppa Site'!K106&lt;&gt;0,'Boletins Nuppa Site'!K106,"NULL")</f>
        <v>70</v>
      </c>
      <c r="I106" s="0" t="str">
        <f aca="false">"INSERT INTO COTACAO (cot_id, cot_blt_id, cot_pap_id, cot_prc_comum, cot_prc_min, cot_prc_max, cot_prc_med, cot_prc_mediana) VALUES ("&amp;A106&amp;", "&amp;B106&amp;", "&amp;C106&amp;", "&amp;D106&amp;", "&amp;E106&amp;", "&amp;F106&amp;", "&amp;G106&amp;", "&amp;H106&amp;");"</f>
        <v>INSERT INTO COTACAO (cot_id, cot_blt_id, cot_pap_id, cot_prc_comum, cot_prc_min, cot_prc_max, cot_prc_med, cot_prc_mediana) VALUES (105, 39, 28, 70, 60, 70, 66, 70);</v>
      </c>
      <c r="J106" s="0" t="str">
        <f aca="false">"UPDATE COTACAO SET cot_id = "&amp;A106&amp;", cot_blt_id = "&amp;B106&amp;", cot_pap_id = "&amp;C106&amp;", cot_prc_comum = "&amp;D106&amp;", cot_prc_min = "&amp;E106&amp;", cot_prc_max = "&amp;F106&amp;", cot_prc_med = "&amp;G106&amp;", cot_prc_mediana = "&amp;H106&amp;" WHERE cot_id = "&amp;A106&amp;";"</f>
        <v>UPDATE COTACAO SET cot_id = 105, cot_blt_id = 39, cot_pap_id = 28, cot_prc_comum = 70, cot_prc_min = 60, cot_prc_max = 70, cot_prc_med = 66, cot_prc_mediana = 70 WHERE cot_id = 105;</v>
      </c>
    </row>
    <row r="107" customFormat="false" ht="14.25" hidden="false" customHeight="false" outlineLevel="0" collapsed="false">
      <c r="A107" s="0" t="n">
        <v>106</v>
      </c>
      <c r="B107" s="0" t="n">
        <f aca="false">IF('Boletins Nuppa Site'!A107&lt;&gt;0,'Boletins Nuppa Site'!A107,"NULL")</f>
        <v>39</v>
      </c>
      <c r="C107" s="0" t="n">
        <v>29</v>
      </c>
      <c r="D107" s="30" t="n">
        <f aca="false">IF('Boletins Nuppa Site'!G107&lt;&gt;0,'Boletins Nuppa Site'!G107,"NULL")</f>
        <v>60</v>
      </c>
      <c r="E107" s="30" t="n">
        <f aca="false">IF('Boletins Nuppa Site'!H107&lt;&gt;0,'Boletins Nuppa Site'!H107,"NULL")</f>
        <v>60</v>
      </c>
      <c r="F107" s="30" t="n">
        <f aca="false">IF('Boletins Nuppa Site'!I107&lt;&gt;0,'Boletins Nuppa Site'!I107,"NULL")</f>
        <v>60</v>
      </c>
      <c r="G107" s="30" t="n">
        <f aca="false">IF('Boletins Nuppa Site'!J107&lt;&gt;0,'Boletins Nuppa Site'!J107,"NULL")</f>
        <v>60</v>
      </c>
      <c r="H107" s="30" t="n">
        <f aca="false">IF('Boletins Nuppa Site'!K107&lt;&gt;0,'Boletins Nuppa Site'!K107,"NULL")</f>
        <v>60</v>
      </c>
      <c r="I107" s="0" t="str">
        <f aca="false">"INSERT INTO COTACAO (cot_id, cot_blt_id, cot_pap_id, cot_prc_comum, cot_prc_min, cot_prc_max, cot_prc_med, cot_prc_mediana) VALUES ("&amp;A107&amp;", "&amp;B107&amp;", "&amp;C107&amp;", "&amp;D107&amp;", "&amp;E107&amp;", "&amp;F107&amp;", "&amp;G107&amp;", "&amp;H107&amp;");"</f>
        <v>INSERT INTO COTACAO (cot_id, cot_blt_id, cot_pap_id, cot_prc_comum, cot_prc_min, cot_prc_max, cot_prc_med, cot_prc_mediana) VALUES (106, 39, 29, 60, 60, 60, 60, 60);</v>
      </c>
      <c r="J107" s="0" t="str">
        <f aca="false">"UPDATE COTACAO SET cot_id = "&amp;A107&amp;", cot_blt_id = "&amp;B107&amp;", cot_pap_id = "&amp;C107&amp;", cot_prc_comum = "&amp;D107&amp;", cot_prc_min = "&amp;E107&amp;", cot_prc_max = "&amp;F107&amp;", cot_prc_med = "&amp;G107&amp;", cot_prc_mediana = "&amp;H107&amp;" WHERE cot_id = "&amp;A107&amp;";"</f>
        <v>UPDATE COTACAO SET cot_id = 106, cot_blt_id = 39, cot_pap_id = 29, cot_prc_comum = 60, cot_prc_min = 60, cot_prc_max = 60, cot_prc_med = 60, cot_prc_mediana = 60 WHERE cot_id = 106;</v>
      </c>
    </row>
    <row r="108" customFormat="false" ht="14.25" hidden="false" customHeight="false" outlineLevel="0" collapsed="false">
      <c r="A108" s="0" t="n">
        <v>107</v>
      </c>
      <c r="B108" s="0" t="n">
        <f aca="false">IF('Boletins Nuppa Site'!A108&lt;&gt;0,'Boletins Nuppa Site'!A108,"NULL")</f>
        <v>39</v>
      </c>
      <c r="C108" s="0" t="n">
        <v>30</v>
      </c>
      <c r="D108" s="30" t="n">
        <f aca="false">IF('Boletins Nuppa Site'!G108&lt;&gt;0,'Boletins Nuppa Site'!G108,"NULL")</f>
        <v>60</v>
      </c>
      <c r="E108" s="30" t="n">
        <f aca="false">IF('Boletins Nuppa Site'!H108&lt;&gt;0,'Boletins Nuppa Site'!H108,"NULL")</f>
        <v>40</v>
      </c>
      <c r="F108" s="30" t="n">
        <f aca="false">IF('Boletins Nuppa Site'!I108&lt;&gt;0,'Boletins Nuppa Site'!I108,"NULL")</f>
        <v>60</v>
      </c>
      <c r="G108" s="30" t="n">
        <f aca="false">IF('Boletins Nuppa Site'!J108&lt;&gt;0,'Boletins Nuppa Site'!J108,"NULL")</f>
        <v>53</v>
      </c>
      <c r="H108" s="30" t="n">
        <f aca="false">IF('Boletins Nuppa Site'!K108&lt;&gt;0,'Boletins Nuppa Site'!K108,"NULL")</f>
        <v>55</v>
      </c>
      <c r="I108" s="0" t="str">
        <f aca="false">"INSERT INTO COTACAO (cot_id, cot_blt_id, cot_pap_id, cot_prc_comum, cot_prc_min, cot_prc_max, cot_prc_med, cot_prc_mediana) VALUES ("&amp;A108&amp;", "&amp;B108&amp;", "&amp;C108&amp;", "&amp;D108&amp;", "&amp;E108&amp;", "&amp;F108&amp;", "&amp;G108&amp;", "&amp;H108&amp;");"</f>
        <v>INSERT INTO COTACAO (cot_id, cot_blt_id, cot_pap_id, cot_prc_comum, cot_prc_min, cot_prc_max, cot_prc_med, cot_prc_mediana) VALUES (107, 39, 30, 60, 40, 60, 53, 55);</v>
      </c>
      <c r="J108" s="0" t="str">
        <f aca="false">"UPDATE COTACAO SET cot_id = "&amp;A108&amp;", cot_blt_id = "&amp;B108&amp;", cot_pap_id = "&amp;C108&amp;", cot_prc_comum = "&amp;D108&amp;", cot_prc_min = "&amp;E108&amp;", cot_prc_max = "&amp;F108&amp;", cot_prc_med = "&amp;G108&amp;", cot_prc_mediana = "&amp;H108&amp;" WHERE cot_id = "&amp;A108&amp;";"</f>
        <v>UPDATE COTACAO SET cot_id = 107, cot_blt_id = 39, cot_pap_id = 30, cot_prc_comum = 60, cot_prc_min = 40, cot_prc_max = 60, cot_prc_med = 53, cot_prc_mediana = 55 WHERE cot_id = 107;</v>
      </c>
    </row>
    <row r="109" customFormat="false" ht="14.25" hidden="false" customHeight="false" outlineLevel="0" collapsed="false">
      <c r="A109" s="0" t="n">
        <v>108</v>
      </c>
      <c r="B109" s="0" t="n">
        <f aca="false">IF('Boletins Nuppa Site'!A109&lt;&gt;0,'Boletins Nuppa Site'!A109,"NULL")</f>
        <v>39</v>
      </c>
      <c r="C109" s="0" t="n">
        <v>31</v>
      </c>
      <c r="D109" s="30" t="n">
        <f aca="false">IF('Boletins Nuppa Site'!G109&lt;&gt;0,'Boletins Nuppa Site'!G109,"NULL")</f>
        <v>70</v>
      </c>
      <c r="E109" s="30" t="n">
        <f aca="false">IF('Boletins Nuppa Site'!H109&lt;&gt;0,'Boletins Nuppa Site'!H109,"NULL")</f>
        <v>60</v>
      </c>
      <c r="F109" s="30" t="n">
        <f aca="false">IF('Boletins Nuppa Site'!I109&lt;&gt;0,'Boletins Nuppa Site'!I109,"NULL")</f>
        <v>80</v>
      </c>
      <c r="G109" s="30" t="n">
        <f aca="false">IF('Boletins Nuppa Site'!J109&lt;&gt;0,'Boletins Nuppa Site'!J109,"NULL")</f>
        <v>71</v>
      </c>
      <c r="H109" s="30" t="n">
        <f aca="false">IF('Boletins Nuppa Site'!K109&lt;&gt;0,'Boletins Nuppa Site'!K109,"NULL")</f>
        <v>70</v>
      </c>
      <c r="I109" s="0" t="str">
        <f aca="false">"INSERT INTO COTACAO (cot_id, cot_blt_id, cot_pap_id, cot_prc_comum, cot_prc_min, cot_prc_max, cot_prc_med, cot_prc_mediana) VALUES ("&amp;A109&amp;", "&amp;B109&amp;", "&amp;C109&amp;", "&amp;D109&amp;", "&amp;E109&amp;", "&amp;F109&amp;", "&amp;G109&amp;", "&amp;H109&amp;");"</f>
        <v>INSERT INTO COTACAO (cot_id, cot_blt_id, cot_pap_id, cot_prc_comum, cot_prc_min, cot_prc_max, cot_prc_med, cot_prc_mediana) VALUES (108, 39, 31, 70, 60, 80, 71, 70);</v>
      </c>
      <c r="J109" s="0" t="str">
        <f aca="false">"UPDATE COTACAO SET cot_id = "&amp;A109&amp;", cot_blt_id = "&amp;B109&amp;", cot_pap_id = "&amp;C109&amp;", cot_prc_comum = "&amp;D109&amp;", cot_prc_min = "&amp;E109&amp;", cot_prc_max = "&amp;F109&amp;", cot_prc_med = "&amp;G109&amp;", cot_prc_mediana = "&amp;H109&amp;" WHERE cot_id = "&amp;A109&amp;";"</f>
        <v>UPDATE COTACAO SET cot_id = 108, cot_blt_id = 39, cot_pap_id = 31, cot_prc_comum = 70, cot_prc_min = 60, cot_prc_max = 80, cot_prc_med = 71, cot_prc_mediana = 70 WHERE cot_id = 108;</v>
      </c>
    </row>
    <row r="110" customFormat="false" ht="14.25" hidden="false" customHeight="false" outlineLevel="0" collapsed="false">
      <c r="A110" s="0" t="n">
        <v>109</v>
      </c>
      <c r="B110" s="0" t="n">
        <f aca="false">IF('Boletins Nuppa Site'!A110&lt;&gt;0,'Boletins Nuppa Site'!A110,"NULL")</f>
        <v>39</v>
      </c>
      <c r="C110" s="0" t="n">
        <v>32</v>
      </c>
      <c r="D110" s="30" t="n">
        <f aca="false">IF('Boletins Nuppa Site'!G110&lt;&gt;0,'Boletins Nuppa Site'!G110,"NULL")</f>
        <v>40</v>
      </c>
      <c r="E110" s="30" t="n">
        <f aca="false">IF('Boletins Nuppa Site'!H110&lt;&gt;0,'Boletins Nuppa Site'!H110,"NULL")</f>
        <v>35</v>
      </c>
      <c r="F110" s="30" t="n">
        <f aca="false">IF('Boletins Nuppa Site'!I110&lt;&gt;0,'Boletins Nuppa Site'!I110,"NULL")</f>
        <v>45</v>
      </c>
      <c r="G110" s="30" t="n">
        <f aca="false">IF('Boletins Nuppa Site'!J110&lt;&gt;0,'Boletins Nuppa Site'!J110,"NULL")</f>
        <v>40</v>
      </c>
      <c r="H110" s="30" t="n">
        <f aca="false">IF('Boletins Nuppa Site'!K110&lt;&gt;0,'Boletins Nuppa Site'!K110,"NULL")</f>
        <v>40</v>
      </c>
      <c r="I110" s="0" t="str">
        <f aca="false">"INSERT INTO COTACAO (cot_id, cot_blt_id, cot_pap_id, cot_prc_comum, cot_prc_min, cot_prc_max, cot_prc_med, cot_prc_mediana) VALUES ("&amp;A110&amp;", "&amp;B110&amp;", "&amp;C110&amp;", "&amp;D110&amp;", "&amp;E110&amp;", "&amp;F110&amp;", "&amp;G110&amp;", "&amp;H110&amp;");"</f>
        <v>INSERT INTO COTACAO (cot_id, cot_blt_id, cot_pap_id, cot_prc_comum, cot_prc_min, cot_prc_max, cot_prc_med, cot_prc_mediana) VALUES (109, 39, 32, 40, 35, 45, 40, 40);</v>
      </c>
      <c r="J110" s="0" t="str">
        <f aca="false">"UPDATE COTACAO SET cot_id = "&amp;A110&amp;", cot_blt_id = "&amp;B110&amp;", cot_pap_id = "&amp;C110&amp;", cot_prc_comum = "&amp;D110&amp;", cot_prc_min = "&amp;E110&amp;", cot_prc_max = "&amp;F110&amp;", cot_prc_med = "&amp;G110&amp;", cot_prc_mediana = "&amp;H110&amp;" WHERE cot_id = "&amp;A110&amp;";"</f>
        <v>UPDATE COTACAO SET cot_id = 109, cot_blt_id = 39, cot_pap_id = 32, cot_prc_comum = 40, cot_prc_min = 35, cot_prc_max = 45, cot_prc_med = 40, cot_prc_mediana = 40 WHERE cot_id = 109;</v>
      </c>
    </row>
    <row r="111" customFormat="false" ht="14.25" hidden="false" customHeight="false" outlineLevel="0" collapsed="false">
      <c r="A111" s="0" t="n">
        <v>110</v>
      </c>
      <c r="B111" s="0" t="n">
        <f aca="false">IF('Boletins Nuppa Site'!A111&lt;&gt;0,'Boletins Nuppa Site'!A111,"NULL")</f>
        <v>39</v>
      </c>
      <c r="C111" s="0" t="n">
        <v>33</v>
      </c>
      <c r="D111" s="30" t="n">
        <f aca="false">IF('Boletins Nuppa Site'!G111&lt;&gt;0,'Boletins Nuppa Site'!G111,"NULL")</f>
        <v>70</v>
      </c>
      <c r="E111" s="30" t="n">
        <f aca="false">IF('Boletins Nuppa Site'!H111&lt;&gt;0,'Boletins Nuppa Site'!H111,"NULL")</f>
        <v>60</v>
      </c>
      <c r="F111" s="30" t="n">
        <f aca="false">IF('Boletins Nuppa Site'!I111&lt;&gt;0,'Boletins Nuppa Site'!I111,"NULL")</f>
        <v>75</v>
      </c>
      <c r="G111" s="0" t="str">
        <f aca="false">IF('Boletins Nuppa Site'!J111&lt;&gt;0,'Boletins Nuppa Site'!J111,"NULL")</f>
        <v>68.75</v>
      </c>
      <c r="H111" s="30" t="n">
        <f aca="false">IF('Boletins Nuppa Site'!K111&lt;&gt;0,'Boletins Nuppa Site'!K111,"NULL")</f>
        <v>70</v>
      </c>
      <c r="I111" s="0" t="str">
        <f aca="false">"INSERT INTO COTACAO (cot_id, cot_blt_id, cot_pap_id, cot_prc_comum, cot_prc_min, cot_prc_max, cot_prc_med, cot_prc_mediana) VALUES ("&amp;A111&amp;", "&amp;B111&amp;", "&amp;C111&amp;", "&amp;D111&amp;", "&amp;E111&amp;", "&amp;F111&amp;", "&amp;G111&amp;", "&amp;H111&amp;");"</f>
        <v>INSERT INTO COTACAO (cot_id, cot_blt_id, cot_pap_id, cot_prc_comum, cot_prc_min, cot_prc_max, cot_prc_med, cot_prc_mediana) VALUES (110, 39, 33, 70, 60, 75, 68.75, 70);</v>
      </c>
      <c r="J111" s="0" t="str">
        <f aca="false">"UPDATE COTACAO SET cot_id = "&amp;A111&amp;", cot_blt_id = "&amp;B111&amp;", cot_pap_id = "&amp;C111&amp;", cot_prc_comum = "&amp;D111&amp;", cot_prc_min = "&amp;E111&amp;", cot_prc_max = "&amp;F111&amp;", cot_prc_med = "&amp;G111&amp;", cot_prc_mediana = "&amp;H111&amp;" WHERE cot_id = "&amp;A111&amp;";"</f>
        <v>UPDATE COTACAO SET cot_id = 110, cot_blt_id = 39, cot_pap_id = 33, cot_prc_comum = 70, cot_prc_min = 60, cot_prc_max = 75, cot_prc_med = 68.75, cot_prc_mediana = 70 WHERE cot_id = 110;</v>
      </c>
    </row>
    <row r="112" customFormat="false" ht="14.25" hidden="false" customHeight="false" outlineLevel="0" collapsed="false">
      <c r="A112" s="0" t="n">
        <v>111</v>
      </c>
      <c r="B112" s="0" t="n">
        <f aca="false">IF('Boletins Nuppa Site'!A112&lt;&gt;0,'Boletins Nuppa Site'!A112,"NULL")</f>
        <v>39</v>
      </c>
      <c r="C112" s="0" t="n">
        <v>34</v>
      </c>
      <c r="D112" s="30" t="n">
        <f aca="false">IF('Boletins Nuppa Site'!G112&lt;&gt;0,'Boletins Nuppa Site'!G112,"NULL")</f>
        <v>90</v>
      </c>
      <c r="E112" s="30" t="n">
        <f aca="false">IF('Boletins Nuppa Site'!H112&lt;&gt;0,'Boletins Nuppa Site'!H112,"NULL")</f>
        <v>70</v>
      </c>
      <c r="F112" s="30" t="n">
        <f aca="false">IF('Boletins Nuppa Site'!I112&lt;&gt;0,'Boletins Nuppa Site'!I112,"NULL")</f>
        <v>100</v>
      </c>
      <c r="G112" s="0" t="str">
        <f aca="false">IF('Boletins Nuppa Site'!J112&lt;&gt;0,'Boletins Nuppa Site'!J112,"NULL")</f>
        <v>84.17</v>
      </c>
      <c r="H112" s="30" t="n">
        <f aca="false">IF('Boletins Nuppa Site'!K112&lt;&gt;0,'Boletins Nuppa Site'!K112,"NULL")</f>
        <v>85</v>
      </c>
      <c r="I112" s="0" t="str">
        <f aca="false">"INSERT INTO COTACAO (cot_id, cot_blt_id, cot_pap_id, cot_prc_comum, cot_prc_min, cot_prc_max, cot_prc_med, cot_prc_mediana) VALUES ("&amp;A112&amp;", "&amp;B112&amp;", "&amp;C112&amp;", "&amp;D112&amp;", "&amp;E112&amp;", "&amp;F112&amp;", "&amp;G112&amp;", "&amp;H112&amp;");"</f>
        <v>INSERT INTO COTACAO (cot_id, cot_blt_id, cot_pap_id, cot_prc_comum, cot_prc_min, cot_prc_max, cot_prc_med, cot_prc_mediana) VALUES (111, 39, 34, 90, 70, 100, 84.17, 85);</v>
      </c>
      <c r="J112" s="0" t="str">
        <f aca="false">"UPDATE COTACAO SET cot_id = "&amp;A112&amp;", cot_blt_id = "&amp;B112&amp;", cot_pap_id = "&amp;C112&amp;", cot_prc_comum = "&amp;D112&amp;", cot_prc_min = "&amp;E112&amp;", cot_prc_max = "&amp;F112&amp;", cot_prc_med = "&amp;G112&amp;", cot_prc_mediana = "&amp;H112&amp;" WHERE cot_id = "&amp;A112&amp;";"</f>
        <v>UPDATE COTACAO SET cot_id = 111, cot_blt_id = 39, cot_pap_id = 34, cot_prc_comum = 90, cot_prc_min = 70, cot_prc_max = 100, cot_prc_med = 84.17, cot_prc_mediana = 85 WHERE cot_id = 111;</v>
      </c>
    </row>
    <row r="113" customFormat="false" ht="14.25" hidden="false" customHeight="false" outlineLevel="0" collapsed="false">
      <c r="A113" s="0" t="n">
        <v>112</v>
      </c>
      <c r="B113" s="0" t="n">
        <f aca="false">IF('Boletins Nuppa Site'!A113&lt;&gt;0,'Boletins Nuppa Site'!A113,"NULL")</f>
        <v>39</v>
      </c>
      <c r="C113" s="0" t="n">
        <v>35</v>
      </c>
      <c r="D113" s="30" t="n">
        <f aca="false">IF('Boletins Nuppa Site'!G113&lt;&gt;0,'Boletins Nuppa Site'!G113,"NULL")</f>
        <v>120</v>
      </c>
      <c r="E113" s="30" t="n">
        <f aca="false">IF('Boletins Nuppa Site'!H113&lt;&gt;0,'Boletins Nuppa Site'!H113,"NULL")</f>
        <v>100</v>
      </c>
      <c r="F113" s="30" t="n">
        <f aca="false">IF('Boletins Nuppa Site'!I113&lt;&gt;0,'Boletins Nuppa Site'!I113,"NULL")</f>
        <v>120</v>
      </c>
      <c r="G113" s="30" t="n">
        <f aca="false">IF('Boletins Nuppa Site'!J113&lt;&gt;0,'Boletins Nuppa Site'!J113,"NULL")</f>
        <v>115</v>
      </c>
      <c r="H113" s="30" t="n">
        <f aca="false">IF('Boletins Nuppa Site'!K113&lt;&gt;0,'Boletins Nuppa Site'!K113,"NULL")</f>
        <v>120</v>
      </c>
      <c r="I113" s="0" t="str">
        <f aca="false">"INSERT INTO COTACAO (cot_id, cot_blt_id, cot_pap_id, cot_prc_comum, cot_prc_min, cot_prc_max, cot_prc_med, cot_prc_mediana) VALUES ("&amp;A113&amp;", "&amp;B113&amp;", "&amp;C113&amp;", "&amp;D113&amp;", "&amp;E113&amp;", "&amp;F113&amp;", "&amp;G113&amp;", "&amp;H113&amp;");"</f>
        <v>INSERT INTO COTACAO (cot_id, cot_blt_id, cot_pap_id, cot_prc_comum, cot_prc_min, cot_prc_max, cot_prc_med, cot_prc_mediana) VALUES (112, 39, 35, 120, 100, 120, 115, 120);</v>
      </c>
      <c r="J113" s="0" t="str">
        <f aca="false">"UPDATE COTACAO SET cot_id = "&amp;A113&amp;", cot_blt_id = "&amp;B113&amp;", cot_pap_id = "&amp;C113&amp;", cot_prc_comum = "&amp;D113&amp;", cot_prc_min = "&amp;E113&amp;", cot_prc_max = "&amp;F113&amp;", cot_prc_med = "&amp;G113&amp;", cot_prc_mediana = "&amp;H113&amp;" WHERE cot_id = "&amp;A113&amp;";"</f>
        <v>UPDATE COTACAO SET cot_id = 112, cot_blt_id = 39, cot_pap_id = 35, cot_prc_comum = 120, cot_prc_min = 100, cot_prc_max = 120, cot_prc_med = 115, cot_prc_mediana = 120 WHERE cot_id = 112;</v>
      </c>
    </row>
    <row r="114" customFormat="false" ht="14.25" hidden="false" customHeight="false" outlineLevel="0" collapsed="false">
      <c r="A114" s="0" t="n">
        <v>113</v>
      </c>
      <c r="B114" s="0" t="n">
        <f aca="false">IF('Boletins Nuppa Site'!A114&lt;&gt;0,'Boletins Nuppa Site'!A114,"NULL")</f>
        <v>39</v>
      </c>
      <c r="C114" s="0" t="n">
        <v>36</v>
      </c>
      <c r="D114" s="0" t="str">
        <f aca="false">IF('Boletins Nuppa Site'!G114&lt;&gt;0,'Boletins Nuppa Site'!G114,"NULL")</f>
        <v>NULL</v>
      </c>
      <c r="E114" s="0" t="str">
        <f aca="false">IF('Boletins Nuppa Site'!H114&lt;&gt;0,'Boletins Nuppa Site'!H114,"NULL")</f>
        <v>NULL</v>
      </c>
      <c r="F114" s="0" t="str">
        <f aca="false">IF('Boletins Nuppa Site'!I114&lt;&gt;0,'Boletins Nuppa Site'!I114,"NULL")</f>
        <v>NULL</v>
      </c>
      <c r="G114" s="0" t="str">
        <f aca="false">IF('Boletins Nuppa Site'!J114&lt;&gt;0,'Boletins Nuppa Site'!J114,"NULL")</f>
        <v>NULL</v>
      </c>
      <c r="H114" s="0" t="str">
        <f aca="false">IF('Boletins Nuppa Site'!K114&lt;&gt;0,'Boletins Nuppa Site'!K114,"NULL")</f>
        <v>NULL</v>
      </c>
      <c r="I114" s="0" t="str">
        <f aca="false">"INSERT INTO COTACAO (cot_id, cot_blt_id, cot_pap_id, cot_prc_comum, cot_prc_min, cot_prc_max, cot_prc_med, cot_prc_mediana) VALUES ("&amp;A114&amp;", "&amp;B114&amp;", "&amp;C114&amp;", "&amp;D114&amp;", "&amp;E114&amp;", "&amp;F114&amp;", "&amp;G114&amp;", "&amp;H114&amp;");"</f>
        <v>INSERT INTO COTACAO (cot_id, cot_blt_id, cot_pap_id, cot_prc_comum, cot_prc_min, cot_prc_max, cot_prc_med, cot_prc_mediana) VALUES (113, 39, 36, NULL, NULL, NULL, NULL, NULL);</v>
      </c>
      <c r="J114" s="0" t="str">
        <f aca="false">"UPDATE COTACAO SET cot_id = "&amp;A114&amp;", cot_blt_id = "&amp;B114&amp;", cot_pap_id = "&amp;C114&amp;", cot_prc_comum = "&amp;D114&amp;", cot_prc_min = "&amp;E114&amp;", cot_prc_max = "&amp;F114&amp;", cot_prc_med = "&amp;G114&amp;", cot_prc_mediana = "&amp;H114&amp;" WHERE cot_id = "&amp;A114&amp;";"</f>
        <v>UPDATE COTACAO SET cot_id = 113, cot_blt_id = 39, cot_pap_id = 36, cot_prc_comum = NULL, cot_prc_min = NULL, cot_prc_max = NULL, cot_prc_med = NULL, cot_prc_mediana = NULL WHERE cot_id = 113;</v>
      </c>
    </row>
    <row r="115" customFormat="false" ht="14.25" hidden="false" customHeight="false" outlineLevel="0" collapsed="false">
      <c r="A115" s="0" t="n">
        <v>114</v>
      </c>
      <c r="B115" s="0" t="n">
        <f aca="false">IF('Boletins Nuppa Site'!A115&lt;&gt;0,'Boletins Nuppa Site'!A115,"NULL")</f>
        <v>39</v>
      </c>
      <c r="C115" s="0" t="n">
        <v>37</v>
      </c>
      <c r="D115" s="0" t="str">
        <f aca="false">IF('Boletins Nuppa Site'!G115&lt;&gt;0,'Boletins Nuppa Site'!G115,"NULL")</f>
        <v>NULL</v>
      </c>
      <c r="E115" s="0" t="str">
        <f aca="false">IF('Boletins Nuppa Site'!H115&lt;&gt;0,'Boletins Nuppa Site'!H115,"NULL")</f>
        <v>NULL</v>
      </c>
      <c r="F115" s="0" t="str">
        <f aca="false">IF('Boletins Nuppa Site'!I115&lt;&gt;0,'Boletins Nuppa Site'!I115,"NULL")</f>
        <v>NULL</v>
      </c>
      <c r="G115" s="0" t="str">
        <f aca="false">IF('Boletins Nuppa Site'!J115&lt;&gt;0,'Boletins Nuppa Site'!J115,"NULL")</f>
        <v>NULL</v>
      </c>
      <c r="H115" s="0" t="str">
        <f aca="false">IF('Boletins Nuppa Site'!K115&lt;&gt;0,'Boletins Nuppa Site'!K115,"NULL")</f>
        <v>NULL</v>
      </c>
      <c r="I115" s="0" t="str">
        <f aca="false">"INSERT INTO COTACAO (cot_id, cot_blt_id, cot_pap_id, cot_prc_comum, cot_prc_min, cot_prc_max, cot_prc_med, cot_prc_mediana) VALUES ("&amp;A115&amp;", "&amp;B115&amp;", "&amp;C115&amp;", "&amp;D115&amp;", "&amp;E115&amp;", "&amp;F115&amp;", "&amp;G115&amp;", "&amp;H115&amp;");"</f>
        <v>INSERT INTO COTACAO (cot_id, cot_blt_id, cot_pap_id, cot_prc_comum, cot_prc_min, cot_prc_max, cot_prc_med, cot_prc_mediana) VALUES (114, 39, 37, NULL, NULL, NULL, NULL, NULL);</v>
      </c>
      <c r="J115" s="0" t="str">
        <f aca="false">"UPDATE COTACAO SET cot_id = "&amp;A115&amp;", cot_blt_id = "&amp;B115&amp;", cot_pap_id = "&amp;C115&amp;", cot_prc_comum = "&amp;D115&amp;", cot_prc_min = "&amp;E115&amp;", cot_prc_max = "&amp;F115&amp;", cot_prc_med = "&amp;G115&amp;", cot_prc_mediana = "&amp;H115&amp;" WHERE cot_id = "&amp;A115&amp;";"</f>
        <v>UPDATE COTACAO SET cot_id = 114, cot_blt_id = 39, cot_pap_id = 37, cot_prc_comum = NULL, cot_prc_min = NULL, cot_prc_max = NULL, cot_prc_med = NULL, cot_prc_mediana = NULL WHERE cot_id = 114;</v>
      </c>
    </row>
    <row r="116" customFormat="false" ht="14.25" hidden="false" customHeight="false" outlineLevel="0" collapsed="false">
      <c r="A116" s="0" t="n">
        <v>115</v>
      </c>
      <c r="B116" s="0" t="n">
        <f aca="false">IF('Boletins Nuppa Site'!A116&lt;&gt;0,'Boletins Nuppa Site'!A116,"NULL")</f>
        <v>39</v>
      </c>
      <c r="C116" s="0" t="n">
        <v>38</v>
      </c>
      <c r="D116" s="0" t="str">
        <f aca="false">IF('Boletins Nuppa Site'!G116&lt;&gt;0,'Boletins Nuppa Site'!G116,"NULL")</f>
        <v>NULL</v>
      </c>
      <c r="E116" s="0" t="str">
        <f aca="false">IF('Boletins Nuppa Site'!H116&lt;&gt;0,'Boletins Nuppa Site'!H116,"NULL")</f>
        <v>NULL</v>
      </c>
      <c r="F116" s="0" t="str">
        <f aca="false">IF('Boletins Nuppa Site'!I116&lt;&gt;0,'Boletins Nuppa Site'!I116,"NULL")</f>
        <v>NULL</v>
      </c>
      <c r="G116" s="0" t="str">
        <f aca="false">IF('Boletins Nuppa Site'!J116&lt;&gt;0,'Boletins Nuppa Site'!J116,"NULL")</f>
        <v>NULL</v>
      </c>
      <c r="H116" s="0" t="str">
        <f aca="false">IF('Boletins Nuppa Site'!K116&lt;&gt;0,'Boletins Nuppa Site'!K116,"NULL")</f>
        <v>NULL</v>
      </c>
      <c r="I116" s="0" t="str">
        <f aca="false">"INSERT INTO COTACAO (cot_id, cot_blt_id, cot_pap_id, cot_prc_comum, cot_prc_min, cot_prc_max, cot_prc_med, cot_prc_mediana) VALUES ("&amp;A116&amp;", "&amp;B116&amp;", "&amp;C116&amp;", "&amp;D116&amp;", "&amp;E116&amp;", "&amp;F116&amp;", "&amp;G116&amp;", "&amp;H116&amp;");"</f>
        <v>INSERT INTO COTACAO (cot_id, cot_blt_id, cot_pap_id, cot_prc_comum, cot_prc_min, cot_prc_max, cot_prc_med, cot_prc_mediana) VALUES (115, 39, 38, NULL, NULL, NULL, NULL, NULL);</v>
      </c>
      <c r="J116" s="0" t="str">
        <f aca="false">"UPDATE COTACAO SET cot_id = "&amp;A116&amp;", cot_blt_id = "&amp;B116&amp;", cot_pap_id = "&amp;C116&amp;", cot_prc_comum = "&amp;D116&amp;", cot_prc_min = "&amp;E116&amp;", cot_prc_max = "&amp;F116&amp;", cot_prc_med = "&amp;G116&amp;", cot_prc_mediana = "&amp;H116&amp;" WHERE cot_id = "&amp;A116&amp;";"</f>
        <v>UPDATE COTACAO SET cot_id = 115, cot_blt_id = 39, cot_pap_id = 38, cot_prc_comum = NULL, cot_prc_min = NULL, cot_prc_max = NULL, cot_prc_med = NULL, cot_prc_mediana = NULL WHERE cot_id = 115;</v>
      </c>
    </row>
    <row r="117" customFormat="false" ht="14.25" hidden="false" customHeight="false" outlineLevel="0" collapsed="false">
      <c r="A117" s="0" t="n">
        <v>116</v>
      </c>
      <c r="B117" s="0" t="n">
        <f aca="false">IF('Boletins Nuppa Site'!A117&lt;&gt;0,'Boletins Nuppa Site'!A117,"NULL")</f>
        <v>39</v>
      </c>
      <c r="C117" s="0" t="n">
        <v>39</v>
      </c>
      <c r="D117" s="0" t="str">
        <f aca="false">IF('Boletins Nuppa Site'!G117&lt;&gt;0,'Boletins Nuppa Site'!G117,"NULL")</f>
        <v>NULL</v>
      </c>
      <c r="E117" s="0" t="str">
        <f aca="false">IF('Boletins Nuppa Site'!H117&lt;&gt;0,'Boletins Nuppa Site'!H117,"NULL")</f>
        <v>NULL</v>
      </c>
      <c r="F117" s="0" t="str">
        <f aca="false">IF('Boletins Nuppa Site'!I117&lt;&gt;0,'Boletins Nuppa Site'!I117,"NULL")</f>
        <v>NULL</v>
      </c>
      <c r="G117" s="0" t="str">
        <f aca="false">IF('Boletins Nuppa Site'!J117&lt;&gt;0,'Boletins Nuppa Site'!J117,"NULL")</f>
        <v>NULL</v>
      </c>
      <c r="H117" s="0" t="str">
        <f aca="false">IF('Boletins Nuppa Site'!K117&lt;&gt;0,'Boletins Nuppa Site'!K117,"NULL")</f>
        <v>NULL</v>
      </c>
      <c r="I117" s="0" t="str">
        <f aca="false">"INSERT INTO COTACAO (cot_id, cot_blt_id, cot_pap_id, cot_prc_comum, cot_prc_min, cot_prc_max, cot_prc_med, cot_prc_mediana) VALUES ("&amp;A117&amp;", "&amp;B117&amp;", "&amp;C117&amp;", "&amp;D117&amp;", "&amp;E117&amp;", "&amp;F117&amp;", "&amp;G117&amp;", "&amp;H117&amp;");"</f>
        <v>INSERT INTO COTACAO (cot_id, cot_blt_id, cot_pap_id, cot_prc_comum, cot_prc_min, cot_prc_max, cot_prc_med, cot_prc_mediana) VALUES (116, 39, 39, NULL, NULL, NULL, NULL, NULL);</v>
      </c>
      <c r="J117" s="0" t="str">
        <f aca="false">"UPDATE COTACAO SET cot_id = "&amp;A117&amp;", cot_blt_id = "&amp;B117&amp;", cot_pap_id = "&amp;C117&amp;", cot_prc_comum = "&amp;D117&amp;", cot_prc_min = "&amp;E117&amp;", cot_prc_max = "&amp;F117&amp;", cot_prc_med = "&amp;G117&amp;", cot_prc_mediana = "&amp;H117&amp;" WHERE cot_id = "&amp;A117&amp;";"</f>
        <v>UPDATE COTACAO SET cot_id = 116, cot_blt_id = 39, cot_pap_id = 39, cot_prc_comum = NULL, cot_prc_min = NULL, cot_prc_max = NULL, cot_prc_med = NULL, cot_prc_mediana = NULL WHERE cot_id = 116;</v>
      </c>
    </row>
    <row r="118" customFormat="false" ht="14.25" hidden="false" customHeight="false" outlineLevel="0" collapsed="false">
      <c r="A118" s="0" t="n">
        <v>117</v>
      </c>
      <c r="B118" s="0" t="n">
        <f aca="false">IF('Boletins Nuppa Site'!A118&lt;&gt;0,'Boletins Nuppa Site'!A118,"NULL")</f>
        <v>39</v>
      </c>
      <c r="C118" s="0" t="n">
        <v>40</v>
      </c>
      <c r="D118" s="0" t="str">
        <f aca="false">IF('Boletins Nuppa Site'!G118&lt;&gt;0,'Boletins Nuppa Site'!G118,"NULL")</f>
        <v>NULL</v>
      </c>
      <c r="E118" s="0" t="str">
        <f aca="false">IF('Boletins Nuppa Site'!H118&lt;&gt;0,'Boletins Nuppa Site'!H118,"NULL")</f>
        <v>NULL</v>
      </c>
      <c r="F118" s="0" t="str">
        <f aca="false">IF('Boletins Nuppa Site'!I118&lt;&gt;0,'Boletins Nuppa Site'!I118,"NULL")</f>
        <v>NULL</v>
      </c>
      <c r="G118" s="0" t="str">
        <f aca="false">IF('Boletins Nuppa Site'!J118&lt;&gt;0,'Boletins Nuppa Site'!J118,"NULL")</f>
        <v>NULL</v>
      </c>
      <c r="H118" s="0" t="str">
        <f aca="false">IF('Boletins Nuppa Site'!K118&lt;&gt;0,'Boletins Nuppa Site'!K118,"NULL")</f>
        <v>NULL</v>
      </c>
      <c r="I118" s="0" t="str">
        <f aca="false">"INSERT INTO COTACAO (cot_id, cot_blt_id, cot_pap_id, cot_prc_comum, cot_prc_min, cot_prc_max, cot_prc_med, cot_prc_mediana) VALUES ("&amp;A118&amp;", "&amp;B118&amp;", "&amp;C118&amp;", "&amp;D118&amp;", "&amp;E118&amp;", "&amp;F118&amp;", "&amp;G118&amp;", "&amp;H118&amp;");"</f>
        <v>INSERT INTO COTACAO (cot_id, cot_blt_id, cot_pap_id, cot_prc_comum, cot_prc_min, cot_prc_max, cot_prc_med, cot_prc_mediana) VALUES (117, 39, 40, NULL, NULL, NULL, NULL, NULL);</v>
      </c>
      <c r="J118" s="0" t="str">
        <f aca="false">"UPDATE COTACAO SET cot_id = "&amp;A118&amp;", cot_blt_id = "&amp;B118&amp;", cot_pap_id = "&amp;C118&amp;", cot_prc_comum = "&amp;D118&amp;", cot_prc_min = "&amp;E118&amp;", cot_prc_max = "&amp;F118&amp;", cot_prc_med = "&amp;G118&amp;", cot_prc_mediana = "&amp;H118&amp;" WHERE cot_id = "&amp;A118&amp;";"</f>
        <v>UPDATE COTACAO SET cot_id = 117, cot_blt_id = 39, cot_pap_id = 40, cot_prc_comum = NULL, cot_prc_min = NULL, cot_prc_max = NULL, cot_prc_med = NULL, cot_prc_mediana = NULL WHERE cot_id = 117;</v>
      </c>
    </row>
    <row r="119" customFormat="false" ht="14.25" hidden="false" customHeight="false" outlineLevel="0" collapsed="false">
      <c r="A119" s="0" t="n">
        <v>118</v>
      </c>
      <c r="B119" s="0" t="n">
        <f aca="false">IF('Boletins Nuppa Site'!A119&lt;&gt;0,'Boletins Nuppa Site'!A119,"NULL")</f>
        <v>40</v>
      </c>
      <c r="C119" s="0" t="n">
        <v>1</v>
      </c>
      <c r="D119" s="30" t="n">
        <f aca="false">IF('Boletins Nuppa Site'!G119&lt;&gt;0,'Boletins Nuppa Site'!G119,"NULL")</f>
        <v>42</v>
      </c>
      <c r="E119" s="30" t="n">
        <f aca="false">IF('Boletins Nuppa Site'!H119&lt;&gt;0,'Boletins Nuppa Site'!H119,"NULL")</f>
        <v>42</v>
      </c>
      <c r="F119" s="30" t="n">
        <f aca="false">IF('Boletins Nuppa Site'!I119&lt;&gt;0,'Boletins Nuppa Site'!I119,"NULL")</f>
        <v>42</v>
      </c>
      <c r="G119" s="30" t="n">
        <f aca="false">IF('Boletins Nuppa Site'!J119&lt;&gt;0,'Boletins Nuppa Site'!J119,"NULL")</f>
        <v>42</v>
      </c>
      <c r="H119" s="30" t="n">
        <f aca="false">IF('Boletins Nuppa Site'!K119&lt;&gt;0,'Boletins Nuppa Site'!K119,"NULL")</f>
        <v>42</v>
      </c>
      <c r="I119" s="0" t="str">
        <f aca="false">"INSERT INTO COTACAO (cot_id, cot_blt_id, cot_pap_id, cot_prc_comum, cot_prc_min, cot_prc_max, cot_prc_med, cot_prc_mediana) VALUES ("&amp;A119&amp;", "&amp;B119&amp;", "&amp;C119&amp;", "&amp;D119&amp;", "&amp;E119&amp;", "&amp;F119&amp;", "&amp;G119&amp;", "&amp;H119&amp;");"</f>
        <v>INSERT INTO COTACAO (cot_id, cot_blt_id, cot_pap_id, cot_prc_comum, cot_prc_min, cot_prc_max, cot_prc_med, cot_prc_mediana) VALUES (118, 40, 1, 42, 42, 42, 42, 42);</v>
      </c>
      <c r="J119" s="0" t="str">
        <f aca="false">"UPDATE COTACAO SET cot_id = "&amp;A119&amp;", cot_blt_id = "&amp;B119&amp;", cot_pap_id = "&amp;C119&amp;", cot_prc_comum = "&amp;D119&amp;", cot_prc_min = "&amp;E119&amp;", cot_prc_max = "&amp;F119&amp;", cot_prc_med = "&amp;G119&amp;", cot_prc_mediana = "&amp;H119&amp;" WHERE cot_id = "&amp;A119&amp;";"</f>
        <v>UPDATE COTACAO SET cot_id = 118, cot_blt_id = 40, cot_pap_id = 1, cot_prc_comum = 42, cot_prc_min = 42, cot_prc_max = 42, cot_prc_med = 42, cot_prc_mediana = 42 WHERE cot_id = 118;</v>
      </c>
    </row>
    <row r="120" customFormat="false" ht="14.25" hidden="false" customHeight="false" outlineLevel="0" collapsed="false">
      <c r="A120" s="0" t="n">
        <v>119</v>
      </c>
      <c r="B120" s="0" t="n">
        <f aca="false">IF('Boletins Nuppa Site'!A120&lt;&gt;0,'Boletins Nuppa Site'!A120,"NULL")</f>
        <v>40</v>
      </c>
      <c r="C120" s="0" t="n">
        <v>2</v>
      </c>
      <c r="D120" s="30" t="n">
        <f aca="false">IF('Boletins Nuppa Site'!G120&lt;&gt;0,'Boletins Nuppa Site'!G120,"NULL")</f>
        <v>60</v>
      </c>
      <c r="E120" s="30" t="n">
        <f aca="false">IF('Boletins Nuppa Site'!H120&lt;&gt;0,'Boletins Nuppa Site'!H120,"NULL")</f>
        <v>60</v>
      </c>
      <c r="F120" s="30" t="n">
        <f aca="false">IF('Boletins Nuppa Site'!I120&lt;&gt;0,'Boletins Nuppa Site'!I120,"NULL")</f>
        <v>60</v>
      </c>
      <c r="G120" s="30" t="n">
        <f aca="false">IF('Boletins Nuppa Site'!J120&lt;&gt;0,'Boletins Nuppa Site'!J120,"NULL")</f>
        <v>60</v>
      </c>
      <c r="H120" s="30" t="n">
        <f aca="false">IF('Boletins Nuppa Site'!K120&lt;&gt;0,'Boletins Nuppa Site'!K120,"NULL")</f>
        <v>60</v>
      </c>
      <c r="I120" s="0" t="str">
        <f aca="false">"INSERT INTO COTACAO (cot_id, cot_blt_id, cot_pap_id, cot_prc_comum, cot_prc_min, cot_prc_max, cot_prc_med, cot_prc_mediana) VALUES ("&amp;A120&amp;", "&amp;B120&amp;", "&amp;C120&amp;", "&amp;D120&amp;", "&amp;E120&amp;", "&amp;F120&amp;", "&amp;G120&amp;", "&amp;H120&amp;");"</f>
        <v>INSERT INTO COTACAO (cot_id, cot_blt_id, cot_pap_id, cot_prc_comum, cot_prc_min, cot_prc_max, cot_prc_med, cot_prc_mediana) VALUES (119, 40, 2, 60, 60, 60, 60, 60);</v>
      </c>
      <c r="J120" s="0" t="str">
        <f aca="false">"UPDATE COTACAO SET cot_id = "&amp;A120&amp;", cot_blt_id = "&amp;B120&amp;", cot_pap_id = "&amp;C120&amp;", cot_prc_comum = "&amp;D120&amp;", cot_prc_min = "&amp;E120&amp;", cot_prc_max = "&amp;F120&amp;", cot_prc_med = "&amp;G120&amp;", cot_prc_mediana = "&amp;H120&amp;" WHERE cot_id = "&amp;A120&amp;";"</f>
        <v>UPDATE COTACAO SET cot_id = 119, cot_blt_id = 40, cot_pap_id = 2, cot_prc_comum = 60, cot_prc_min = 60, cot_prc_max = 60, cot_prc_med = 60, cot_prc_mediana = 60 WHERE cot_id = 119;</v>
      </c>
    </row>
    <row r="121" customFormat="false" ht="14.25" hidden="false" customHeight="false" outlineLevel="0" collapsed="false">
      <c r="A121" s="0" t="n">
        <v>120</v>
      </c>
      <c r="B121" s="0" t="n">
        <f aca="false">IF('Boletins Nuppa Site'!A121&lt;&gt;0,'Boletins Nuppa Site'!A121,"NULL")</f>
        <v>40</v>
      </c>
      <c r="C121" s="0" t="n">
        <v>3</v>
      </c>
      <c r="D121" s="0" t="str">
        <f aca="false">IF('Boletins Nuppa Site'!G121&lt;&gt;0,'Boletins Nuppa Site'!G121,"NULL")</f>
        <v>NULL</v>
      </c>
      <c r="E121" s="30" t="n">
        <f aca="false">IF('Boletins Nuppa Site'!H121&lt;&gt;0,'Boletins Nuppa Site'!H121,"NULL")</f>
        <v>36</v>
      </c>
      <c r="F121" s="30" t="n">
        <f aca="false">IF('Boletins Nuppa Site'!I121&lt;&gt;0,'Boletins Nuppa Site'!I121,"NULL")</f>
        <v>42</v>
      </c>
      <c r="G121" s="30" t="n">
        <f aca="false">IF('Boletins Nuppa Site'!J121&lt;&gt;0,'Boletins Nuppa Site'!J121,"NULL")</f>
        <v>39</v>
      </c>
      <c r="H121" s="30" t="n">
        <f aca="false">IF('Boletins Nuppa Site'!K121&lt;&gt;0,'Boletins Nuppa Site'!K121,"NULL")</f>
        <v>39</v>
      </c>
      <c r="I121" s="0" t="str">
        <f aca="false">"INSERT INTO COTACAO (cot_id, cot_blt_id, cot_pap_id, cot_prc_comum, cot_prc_min, cot_prc_max, cot_prc_med, cot_prc_mediana) VALUES ("&amp;A121&amp;", "&amp;B121&amp;", "&amp;C121&amp;", "&amp;D121&amp;", "&amp;E121&amp;", "&amp;F121&amp;", "&amp;G121&amp;", "&amp;H121&amp;");"</f>
        <v>INSERT INTO COTACAO (cot_id, cot_blt_id, cot_pap_id, cot_prc_comum, cot_prc_min, cot_prc_max, cot_prc_med, cot_prc_mediana) VALUES (120, 40, 3, NULL, 36, 42, 39, 39);</v>
      </c>
      <c r="J121" s="0" t="str">
        <f aca="false">"UPDATE COTACAO SET cot_id = "&amp;A121&amp;", cot_blt_id = "&amp;B121&amp;", cot_pap_id = "&amp;C121&amp;", cot_prc_comum = "&amp;D121&amp;", cot_prc_min = "&amp;E121&amp;", cot_prc_max = "&amp;F121&amp;", cot_prc_med = "&amp;G121&amp;", cot_prc_mediana = "&amp;H121&amp;" WHERE cot_id = "&amp;A121&amp;";"</f>
        <v>UPDATE COTACAO SET cot_id = 120, cot_blt_id = 40, cot_pap_id = 3, cot_prc_comum = NULL, cot_prc_min = 36, cot_prc_max = 42, cot_prc_med = 39, cot_prc_mediana = 39 WHERE cot_id = 120;</v>
      </c>
    </row>
    <row r="122" customFormat="false" ht="14.25" hidden="false" customHeight="false" outlineLevel="0" collapsed="false">
      <c r="A122" s="0" t="n">
        <v>121</v>
      </c>
      <c r="B122" s="0" t="n">
        <f aca="false">IF('Boletins Nuppa Site'!A122&lt;&gt;0,'Boletins Nuppa Site'!A122,"NULL")</f>
        <v>40</v>
      </c>
      <c r="C122" s="0" t="n">
        <v>4</v>
      </c>
      <c r="D122" s="30" t="n">
        <f aca="false">IF('Boletins Nuppa Site'!G122&lt;&gt;0,'Boletins Nuppa Site'!G122,"NULL")</f>
        <v>24</v>
      </c>
      <c r="E122" s="30" t="n">
        <f aca="false">IF('Boletins Nuppa Site'!H122&lt;&gt;0,'Boletins Nuppa Site'!H122,"NULL")</f>
        <v>18</v>
      </c>
      <c r="F122" s="30" t="n">
        <f aca="false">IF('Boletins Nuppa Site'!I122&lt;&gt;0,'Boletins Nuppa Site'!I122,"NULL")</f>
        <v>24</v>
      </c>
      <c r="G122" s="30" t="n">
        <f aca="false">IF('Boletins Nuppa Site'!J122&lt;&gt;0,'Boletins Nuppa Site'!J122,"NULL")</f>
        <v>22</v>
      </c>
      <c r="H122" s="30" t="n">
        <f aca="false">IF('Boletins Nuppa Site'!K122&lt;&gt;0,'Boletins Nuppa Site'!K122,"NULL")</f>
        <v>24</v>
      </c>
      <c r="I122" s="0" t="str">
        <f aca="false">"INSERT INTO COTACAO (cot_id, cot_blt_id, cot_pap_id, cot_prc_comum, cot_prc_min, cot_prc_max, cot_prc_med, cot_prc_mediana) VALUES ("&amp;A122&amp;", "&amp;B122&amp;", "&amp;C122&amp;", "&amp;D122&amp;", "&amp;E122&amp;", "&amp;F122&amp;", "&amp;G122&amp;", "&amp;H122&amp;");"</f>
        <v>INSERT INTO COTACAO (cot_id, cot_blt_id, cot_pap_id, cot_prc_comum, cot_prc_min, cot_prc_max, cot_prc_med, cot_prc_mediana) VALUES (121, 40, 4, 24, 18, 24, 22, 24);</v>
      </c>
      <c r="J122" s="0" t="str">
        <f aca="false">"UPDATE COTACAO SET cot_id = "&amp;A122&amp;", cot_blt_id = "&amp;B122&amp;", cot_pap_id = "&amp;C122&amp;", cot_prc_comum = "&amp;D122&amp;", cot_prc_min = "&amp;E122&amp;", cot_prc_max = "&amp;F122&amp;", cot_prc_med = "&amp;G122&amp;", cot_prc_mediana = "&amp;H122&amp;" WHERE cot_id = "&amp;A122&amp;";"</f>
        <v>UPDATE COTACAO SET cot_id = 121, cot_blt_id = 40, cot_pap_id = 4, cot_prc_comum = 24, cot_prc_min = 18, cot_prc_max = 24, cot_prc_med = 22, cot_prc_mediana = 24 WHERE cot_id = 121;</v>
      </c>
    </row>
    <row r="123" customFormat="false" ht="14.25" hidden="false" customHeight="false" outlineLevel="0" collapsed="false">
      <c r="A123" s="0" t="n">
        <v>122</v>
      </c>
      <c r="B123" s="0" t="n">
        <f aca="false">IF('Boletins Nuppa Site'!A123&lt;&gt;0,'Boletins Nuppa Site'!A123,"NULL")</f>
        <v>40</v>
      </c>
      <c r="C123" s="0" t="n">
        <v>5</v>
      </c>
      <c r="D123" s="30" t="n">
        <f aca="false">IF('Boletins Nuppa Site'!G123&lt;&gt;0,'Boletins Nuppa Site'!G123,"NULL")</f>
        <v>24</v>
      </c>
      <c r="E123" s="30" t="n">
        <f aca="false">IF('Boletins Nuppa Site'!H123&lt;&gt;0,'Boletins Nuppa Site'!H123,"NULL")</f>
        <v>18</v>
      </c>
      <c r="F123" s="30" t="n">
        <f aca="false">IF('Boletins Nuppa Site'!I123&lt;&gt;0,'Boletins Nuppa Site'!I123,"NULL")</f>
        <v>24</v>
      </c>
      <c r="G123" s="30" t="n">
        <f aca="false">IF('Boletins Nuppa Site'!J123&lt;&gt;0,'Boletins Nuppa Site'!J123,"NULL")</f>
        <v>22</v>
      </c>
      <c r="H123" s="30" t="n">
        <f aca="false">IF('Boletins Nuppa Site'!K123&lt;&gt;0,'Boletins Nuppa Site'!K123,"NULL")</f>
        <v>24</v>
      </c>
      <c r="I123" s="0" t="str">
        <f aca="false">"INSERT INTO COTACAO (cot_id, cot_blt_id, cot_pap_id, cot_prc_comum, cot_prc_min, cot_prc_max, cot_prc_med, cot_prc_mediana) VALUES ("&amp;A123&amp;", "&amp;B123&amp;", "&amp;C123&amp;", "&amp;D123&amp;", "&amp;E123&amp;", "&amp;F123&amp;", "&amp;G123&amp;", "&amp;H123&amp;");"</f>
        <v>INSERT INTO COTACAO (cot_id, cot_blt_id, cot_pap_id, cot_prc_comum, cot_prc_min, cot_prc_max, cot_prc_med, cot_prc_mediana) VALUES (122, 40, 5, 24, 18, 24, 22, 24);</v>
      </c>
      <c r="J123" s="0" t="str">
        <f aca="false">"UPDATE COTACAO SET cot_id = "&amp;A123&amp;", cot_blt_id = "&amp;B123&amp;", cot_pap_id = "&amp;C123&amp;", cot_prc_comum = "&amp;D123&amp;", cot_prc_min = "&amp;E123&amp;", cot_prc_max = "&amp;F123&amp;", cot_prc_med = "&amp;G123&amp;", cot_prc_mediana = "&amp;H123&amp;" WHERE cot_id = "&amp;A123&amp;";"</f>
        <v>UPDATE COTACAO SET cot_id = 122, cot_blt_id = 40, cot_pap_id = 5, cot_prc_comum = 24, cot_prc_min = 18, cot_prc_max = 24, cot_prc_med = 22, cot_prc_mediana = 24 WHERE cot_id = 122;</v>
      </c>
    </row>
    <row r="124" customFormat="false" ht="14.25" hidden="false" customHeight="false" outlineLevel="0" collapsed="false">
      <c r="A124" s="0" t="n">
        <v>123</v>
      </c>
      <c r="B124" s="0" t="n">
        <f aca="false">IF('Boletins Nuppa Site'!A124&lt;&gt;0,'Boletins Nuppa Site'!A124,"NULL")</f>
        <v>40</v>
      </c>
      <c r="C124" s="0" t="n">
        <v>6</v>
      </c>
      <c r="D124" s="0" t="str">
        <f aca="false">IF('Boletins Nuppa Site'!G124&lt;&gt;0,'Boletins Nuppa Site'!G124,"NULL")</f>
        <v>NULL</v>
      </c>
      <c r="E124" s="30" t="n">
        <f aca="false">IF('Boletins Nuppa Site'!H124&lt;&gt;0,'Boletins Nuppa Site'!H124,"NULL")</f>
        <v>42</v>
      </c>
      <c r="F124" s="30" t="n">
        <f aca="false">IF('Boletins Nuppa Site'!I124&lt;&gt;0,'Boletins Nuppa Site'!I124,"NULL")</f>
        <v>48</v>
      </c>
      <c r="G124" s="30" t="n">
        <f aca="false">IF('Boletins Nuppa Site'!J124&lt;&gt;0,'Boletins Nuppa Site'!J124,"NULL")</f>
        <v>45</v>
      </c>
      <c r="H124" s="30" t="n">
        <f aca="false">IF('Boletins Nuppa Site'!K124&lt;&gt;0,'Boletins Nuppa Site'!K124,"NULL")</f>
        <v>45</v>
      </c>
      <c r="I124" s="0" t="str">
        <f aca="false">"INSERT INTO COTACAO (cot_id, cot_blt_id, cot_pap_id, cot_prc_comum, cot_prc_min, cot_prc_max, cot_prc_med, cot_prc_mediana) VALUES ("&amp;A124&amp;", "&amp;B124&amp;", "&amp;C124&amp;", "&amp;D124&amp;", "&amp;E124&amp;", "&amp;F124&amp;", "&amp;G124&amp;", "&amp;H124&amp;");"</f>
        <v>INSERT INTO COTACAO (cot_id, cot_blt_id, cot_pap_id, cot_prc_comum, cot_prc_min, cot_prc_max, cot_prc_med, cot_prc_mediana) VALUES (123, 40, 6, NULL, 42, 48, 45, 45);</v>
      </c>
      <c r="J124" s="0" t="str">
        <f aca="false">"UPDATE COTACAO SET cot_id = "&amp;A124&amp;", cot_blt_id = "&amp;B124&amp;", cot_pap_id = "&amp;C124&amp;", cot_prc_comum = "&amp;D124&amp;", cot_prc_min = "&amp;E124&amp;", cot_prc_max = "&amp;F124&amp;", cot_prc_med = "&amp;G124&amp;", cot_prc_mediana = "&amp;H124&amp;" WHERE cot_id = "&amp;A124&amp;";"</f>
        <v>UPDATE COTACAO SET cot_id = 123, cot_blt_id = 40, cot_pap_id = 6, cot_prc_comum = NULL, cot_prc_min = 42, cot_prc_max = 48, cot_prc_med = 45, cot_prc_mediana = 45 WHERE cot_id = 123;</v>
      </c>
    </row>
    <row r="125" customFormat="false" ht="14.25" hidden="false" customHeight="false" outlineLevel="0" collapsed="false">
      <c r="A125" s="0" t="n">
        <v>124</v>
      </c>
      <c r="B125" s="0" t="n">
        <f aca="false">IF('Boletins Nuppa Site'!A125&lt;&gt;0,'Boletins Nuppa Site'!A125,"NULL")</f>
        <v>40</v>
      </c>
      <c r="C125" s="0" t="n">
        <v>7</v>
      </c>
      <c r="D125" s="0" t="str">
        <f aca="false">IF('Boletins Nuppa Site'!G125&lt;&gt;0,'Boletins Nuppa Site'!G125,"NULL")</f>
        <v>NULL</v>
      </c>
      <c r="E125" s="30" t="n">
        <f aca="false">IF('Boletins Nuppa Site'!H125&lt;&gt;0,'Boletins Nuppa Site'!H125,"NULL")</f>
        <v>66</v>
      </c>
      <c r="F125" s="30" t="n">
        <f aca="false">IF('Boletins Nuppa Site'!I125&lt;&gt;0,'Boletins Nuppa Site'!I125,"NULL")</f>
        <v>78</v>
      </c>
      <c r="G125" s="30" t="n">
        <f aca="false">IF('Boletins Nuppa Site'!J125&lt;&gt;0,'Boletins Nuppa Site'!J125,"NULL")</f>
        <v>72</v>
      </c>
      <c r="H125" s="30" t="n">
        <f aca="false">IF('Boletins Nuppa Site'!K125&lt;&gt;0,'Boletins Nuppa Site'!K125,"NULL")</f>
        <v>72</v>
      </c>
      <c r="I125" s="0" t="str">
        <f aca="false">"INSERT INTO COTACAO (cot_id, cot_blt_id, cot_pap_id, cot_prc_comum, cot_prc_min, cot_prc_max, cot_prc_med, cot_prc_mediana) VALUES ("&amp;A125&amp;", "&amp;B125&amp;", "&amp;C125&amp;", "&amp;D125&amp;", "&amp;E125&amp;", "&amp;F125&amp;", "&amp;G125&amp;", "&amp;H125&amp;");"</f>
        <v>INSERT INTO COTACAO (cot_id, cot_blt_id, cot_pap_id, cot_prc_comum, cot_prc_min, cot_prc_max, cot_prc_med, cot_prc_mediana) VALUES (124, 40, 7, NULL, 66, 78, 72, 72);</v>
      </c>
      <c r="J125" s="0" t="str">
        <f aca="false">"UPDATE COTACAO SET cot_id = "&amp;A125&amp;", cot_blt_id = "&amp;B125&amp;", cot_pap_id = "&amp;C125&amp;", cot_prc_comum = "&amp;D125&amp;", cot_prc_min = "&amp;E125&amp;", cot_prc_max = "&amp;F125&amp;", cot_prc_med = "&amp;G125&amp;", cot_prc_mediana = "&amp;H125&amp;" WHERE cot_id = "&amp;A125&amp;";"</f>
        <v>UPDATE COTACAO SET cot_id = 124, cot_blt_id = 40, cot_pap_id = 7, cot_prc_comum = NULL, cot_prc_min = 66, cot_prc_max = 78, cot_prc_med = 72, cot_prc_mediana = 72 WHERE cot_id = 124;</v>
      </c>
    </row>
    <row r="126" customFormat="false" ht="14.25" hidden="false" customHeight="false" outlineLevel="0" collapsed="false">
      <c r="A126" s="0" t="n">
        <v>125</v>
      </c>
      <c r="B126" s="0" t="n">
        <f aca="false">IF('Boletins Nuppa Site'!A126&lt;&gt;0,'Boletins Nuppa Site'!A126,"NULL")</f>
        <v>40</v>
      </c>
      <c r="C126" s="0" t="n">
        <v>8</v>
      </c>
      <c r="D126" s="0" t="str">
        <f aca="false">IF('Boletins Nuppa Site'!G126&lt;&gt;0,'Boletins Nuppa Site'!G126,"NULL")</f>
        <v>NULL</v>
      </c>
      <c r="E126" s="30" t="n">
        <f aca="false">IF('Boletins Nuppa Site'!H126&lt;&gt;0,'Boletins Nuppa Site'!H126,"NULL")</f>
        <v>60</v>
      </c>
      <c r="F126" s="30" t="n">
        <f aca="false">IF('Boletins Nuppa Site'!I126&lt;&gt;0,'Boletins Nuppa Site'!I126,"NULL")</f>
        <v>72</v>
      </c>
      <c r="G126" s="30" t="n">
        <f aca="false">IF('Boletins Nuppa Site'!J126&lt;&gt;0,'Boletins Nuppa Site'!J126,"NULL")</f>
        <v>66</v>
      </c>
      <c r="H126" s="30" t="n">
        <f aca="false">IF('Boletins Nuppa Site'!K126&lt;&gt;0,'Boletins Nuppa Site'!K126,"NULL")</f>
        <v>66</v>
      </c>
      <c r="I126" s="0" t="str">
        <f aca="false">"INSERT INTO COTACAO (cot_id, cot_blt_id, cot_pap_id, cot_prc_comum, cot_prc_min, cot_prc_max, cot_prc_med, cot_prc_mediana) VALUES ("&amp;A126&amp;", "&amp;B126&amp;", "&amp;C126&amp;", "&amp;D126&amp;", "&amp;E126&amp;", "&amp;F126&amp;", "&amp;G126&amp;", "&amp;H126&amp;");"</f>
        <v>INSERT INTO COTACAO (cot_id, cot_blt_id, cot_pap_id, cot_prc_comum, cot_prc_min, cot_prc_max, cot_prc_med, cot_prc_mediana) VALUES (125, 40, 8, NULL, 60, 72, 66, 66);</v>
      </c>
      <c r="J126" s="0" t="str">
        <f aca="false">"UPDATE COTACAO SET cot_id = "&amp;A126&amp;", cot_blt_id = "&amp;B126&amp;", cot_pap_id = "&amp;C126&amp;", cot_prc_comum = "&amp;D126&amp;", cot_prc_min = "&amp;E126&amp;", cot_prc_max = "&amp;F126&amp;", cot_prc_med = "&amp;G126&amp;", cot_prc_mediana = "&amp;H126&amp;" WHERE cot_id = "&amp;A126&amp;";"</f>
        <v>UPDATE COTACAO SET cot_id = 125, cot_blt_id = 40, cot_pap_id = 8, cot_prc_comum = NULL, cot_prc_min = 60, cot_prc_max = 72, cot_prc_med = 66, cot_prc_mediana = 66 WHERE cot_id = 125;</v>
      </c>
    </row>
    <row r="127" customFormat="false" ht="14.25" hidden="false" customHeight="false" outlineLevel="0" collapsed="false">
      <c r="A127" s="0" t="n">
        <v>126</v>
      </c>
      <c r="B127" s="0" t="n">
        <f aca="false">IF('Boletins Nuppa Site'!A127&lt;&gt;0,'Boletins Nuppa Site'!A127,"NULL")</f>
        <v>40</v>
      </c>
      <c r="C127" s="0" t="n">
        <v>9</v>
      </c>
      <c r="D127" s="0" t="str">
        <f aca="false">IF('Boletins Nuppa Site'!G127&lt;&gt;0,'Boletins Nuppa Site'!G127,"NULL")</f>
        <v>NULL</v>
      </c>
      <c r="E127" s="30" t="n">
        <f aca="false">IF('Boletins Nuppa Site'!H127&lt;&gt;0,'Boletins Nuppa Site'!H127,"NULL")</f>
        <v>15</v>
      </c>
      <c r="F127" s="30" t="n">
        <f aca="false">IF('Boletins Nuppa Site'!I127&lt;&gt;0,'Boletins Nuppa Site'!I127,"NULL")</f>
        <v>24</v>
      </c>
      <c r="G127" s="30" t="n">
        <f aca="false">IF('Boletins Nuppa Site'!J127&lt;&gt;0,'Boletins Nuppa Site'!J127,"NULL")</f>
        <v>19</v>
      </c>
      <c r="H127" s="30" t="n">
        <f aca="false">IF('Boletins Nuppa Site'!K127&lt;&gt;0,'Boletins Nuppa Site'!K127,"NULL")</f>
        <v>18</v>
      </c>
      <c r="I127" s="0" t="str">
        <f aca="false">"INSERT INTO COTACAO (cot_id, cot_blt_id, cot_pap_id, cot_prc_comum, cot_prc_min, cot_prc_max, cot_prc_med, cot_prc_mediana) VALUES ("&amp;A127&amp;", "&amp;B127&amp;", "&amp;C127&amp;", "&amp;D127&amp;", "&amp;E127&amp;", "&amp;F127&amp;", "&amp;G127&amp;", "&amp;H127&amp;");"</f>
        <v>INSERT INTO COTACAO (cot_id, cot_blt_id, cot_pap_id, cot_prc_comum, cot_prc_min, cot_prc_max, cot_prc_med, cot_prc_mediana) VALUES (126, 40, 9, NULL, 15, 24, 19, 18);</v>
      </c>
      <c r="J127" s="0" t="str">
        <f aca="false">"UPDATE COTACAO SET cot_id = "&amp;A127&amp;", cot_blt_id = "&amp;B127&amp;", cot_pap_id = "&amp;C127&amp;", cot_prc_comum = "&amp;D127&amp;", cot_prc_min = "&amp;E127&amp;", cot_prc_max = "&amp;F127&amp;", cot_prc_med = "&amp;G127&amp;", cot_prc_mediana = "&amp;H127&amp;" WHERE cot_id = "&amp;A127&amp;";"</f>
        <v>UPDATE COTACAO SET cot_id = 126, cot_blt_id = 40, cot_pap_id = 9, cot_prc_comum = NULL, cot_prc_min = 15, cot_prc_max = 24, cot_prc_med = 19, cot_prc_mediana = 18 WHERE cot_id = 126;</v>
      </c>
    </row>
    <row r="128" customFormat="false" ht="14.25" hidden="false" customHeight="false" outlineLevel="0" collapsed="false">
      <c r="A128" s="0" t="n">
        <v>127</v>
      </c>
      <c r="B128" s="0" t="n">
        <f aca="false">IF('Boletins Nuppa Site'!A128&lt;&gt;0,'Boletins Nuppa Site'!A128,"NULL")</f>
        <v>40</v>
      </c>
      <c r="C128" s="0" t="n">
        <v>10</v>
      </c>
      <c r="D128" s="0" t="str">
        <f aca="false">IF('Boletins Nuppa Site'!G128&lt;&gt;0,'Boletins Nuppa Site'!G128,"NULL")</f>
        <v>NULL</v>
      </c>
      <c r="E128" s="30" t="n">
        <f aca="false">IF('Boletins Nuppa Site'!H128&lt;&gt;0,'Boletins Nuppa Site'!H128,"NULL")</f>
        <v>60</v>
      </c>
      <c r="F128" s="30" t="n">
        <f aca="false">IF('Boletins Nuppa Site'!I128&lt;&gt;0,'Boletins Nuppa Site'!I128,"NULL")</f>
        <v>84</v>
      </c>
      <c r="G128" s="30" t="n">
        <f aca="false">IF('Boletins Nuppa Site'!J128&lt;&gt;0,'Boletins Nuppa Site'!J128,"NULL")</f>
        <v>72</v>
      </c>
      <c r="H128" s="30" t="n">
        <f aca="false">IF('Boletins Nuppa Site'!K128&lt;&gt;0,'Boletins Nuppa Site'!K128,"NULL")</f>
        <v>72</v>
      </c>
      <c r="I128" s="0" t="str">
        <f aca="false">"INSERT INTO COTACAO (cot_id, cot_blt_id, cot_pap_id, cot_prc_comum, cot_prc_min, cot_prc_max, cot_prc_med, cot_prc_mediana) VALUES ("&amp;A128&amp;", "&amp;B128&amp;", "&amp;C128&amp;", "&amp;D128&amp;", "&amp;E128&amp;", "&amp;F128&amp;", "&amp;G128&amp;", "&amp;H128&amp;");"</f>
        <v>INSERT INTO COTACAO (cot_id, cot_blt_id, cot_pap_id, cot_prc_comum, cot_prc_min, cot_prc_max, cot_prc_med, cot_prc_mediana) VALUES (127, 40, 10, NULL, 60, 84, 72, 72);</v>
      </c>
      <c r="J128" s="0" t="str">
        <f aca="false">"UPDATE COTACAO SET cot_id = "&amp;A128&amp;", cot_blt_id = "&amp;B128&amp;", cot_pap_id = "&amp;C128&amp;", cot_prc_comum = "&amp;D128&amp;", cot_prc_min = "&amp;E128&amp;", cot_prc_max = "&amp;F128&amp;", cot_prc_med = "&amp;G128&amp;", cot_prc_mediana = "&amp;H128&amp;" WHERE cot_id = "&amp;A128&amp;";"</f>
        <v>UPDATE COTACAO SET cot_id = 127, cot_blt_id = 40, cot_pap_id = 10, cot_prc_comum = NULL, cot_prc_min = 60, cot_prc_max = 84, cot_prc_med = 72, cot_prc_mediana = 72 WHERE cot_id = 127;</v>
      </c>
    </row>
    <row r="129" customFormat="false" ht="14.25" hidden="false" customHeight="false" outlineLevel="0" collapsed="false">
      <c r="A129" s="0" t="n">
        <v>128</v>
      </c>
      <c r="B129" s="0" t="n">
        <f aca="false">IF('Boletins Nuppa Site'!A129&lt;&gt;0,'Boletins Nuppa Site'!A129,"NULL")</f>
        <v>40</v>
      </c>
      <c r="C129" s="0" t="n">
        <v>11</v>
      </c>
      <c r="D129" s="30" t="n">
        <f aca="false">IF('Boletins Nuppa Site'!G129&lt;&gt;0,'Boletins Nuppa Site'!G129,"NULL")</f>
        <v>24</v>
      </c>
      <c r="E129" s="30" t="n">
        <f aca="false">IF('Boletins Nuppa Site'!H129&lt;&gt;0,'Boletins Nuppa Site'!H129,"NULL")</f>
        <v>18</v>
      </c>
      <c r="F129" s="30" t="n">
        <f aca="false">IF('Boletins Nuppa Site'!I129&lt;&gt;0,'Boletins Nuppa Site'!I129,"NULL")</f>
        <v>24</v>
      </c>
      <c r="G129" s="30" t="n">
        <f aca="false">IF('Boletins Nuppa Site'!J129&lt;&gt;0,'Boletins Nuppa Site'!J129,"NULL")</f>
        <v>22</v>
      </c>
      <c r="H129" s="30" t="n">
        <f aca="false">IF('Boletins Nuppa Site'!K129&lt;&gt;0,'Boletins Nuppa Site'!K129,"NULL")</f>
        <v>24</v>
      </c>
      <c r="I129" s="0" t="str">
        <f aca="false">"INSERT INTO COTACAO (cot_id, cot_blt_id, cot_pap_id, cot_prc_comum, cot_prc_min, cot_prc_max, cot_prc_med, cot_prc_mediana) VALUES ("&amp;A129&amp;", "&amp;B129&amp;", "&amp;C129&amp;", "&amp;D129&amp;", "&amp;E129&amp;", "&amp;F129&amp;", "&amp;G129&amp;", "&amp;H129&amp;");"</f>
        <v>INSERT INTO COTACAO (cot_id, cot_blt_id, cot_pap_id, cot_prc_comum, cot_prc_min, cot_prc_max, cot_prc_med, cot_prc_mediana) VALUES (128, 40, 11, 24, 18, 24, 22, 24);</v>
      </c>
      <c r="J129" s="0" t="str">
        <f aca="false">"UPDATE COTACAO SET cot_id = "&amp;A129&amp;", cot_blt_id = "&amp;B129&amp;", cot_pap_id = "&amp;C129&amp;", cot_prc_comum = "&amp;D129&amp;", cot_prc_min = "&amp;E129&amp;", cot_prc_max = "&amp;F129&amp;", cot_prc_med = "&amp;G129&amp;", cot_prc_mediana = "&amp;H129&amp;" WHERE cot_id = "&amp;A129&amp;";"</f>
        <v>UPDATE COTACAO SET cot_id = 128, cot_blt_id = 40, cot_pap_id = 11, cot_prc_comum = 24, cot_prc_min = 18, cot_prc_max = 24, cot_prc_med = 22, cot_prc_mediana = 24 WHERE cot_id = 128;</v>
      </c>
    </row>
    <row r="130" customFormat="false" ht="14.25" hidden="false" customHeight="false" outlineLevel="0" collapsed="false">
      <c r="A130" s="0" t="n">
        <v>129</v>
      </c>
      <c r="B130" s="0" t="n">
        <f aca="false">IF('Boletins Nuppa Site'!A130&lt;&gt;0,'Boletins Nuppa Site'!A130,"NULL")</f>
        <v>40</v>
      </c>
      <c r="C130" s="0" t="n">
        <v>12</v>
      </c>
      <c r="D130" s="30" t="n">
        <f aca="false">IF('Boletins Nuppa Site'!G130&lt;&gt;0,'Boletins Nuppa Site'!G130,"NULL")</f>
        <v>60</v>
      </c>
      <c r="E130" s="30" t="n">
        <f aca="false">IF('Boletins Nuppa Site'!H130&lt;&gt;0,'Boletins Nuppa Site'!H130,"NULL")</f>
        <v>60</v>
      </c>
      <c r="F130" s="30" t="n">
        <f aca="false">IF('Boletins Nuppa Site'!I130&lt;&gt;0,'Boletins Nuppa Site'!I130,"NULL")</f>
        <v>60</v>
      </c>
      <c r="G130" s="30" t="n">
        <f aca="false">IF('Boletins Nuppa Site'!J130&lt;&gt;0,'Boletins Nuppa Site'!J130,"NULL")</f>
        <v>60</v>
      </c>
      <c r="H130" s="30" t="n">
        <f aca="false">IF('Boletins Nuppa Site'!K130&lt;&gt;0,'Boletins Nuppa Site'!K130,"NULL")</f>
        <v>60</v>
      </c>
      <c r="I130" s="0" t="str">
        <f aca="false">"INSERT INTO COTACAO (cot_id, cot_blt_id, cot_pap_id, cot_prc_comum, cot_prc_min, cot_prc_max, cot_prc_med, cot_prc_mediana) VALUES ("&amp;A130&amp;", "&amp;B130&amp;", "&amp;C130&amp;", "&amp;D130&amp;", "&amp;E130&amp;", "&amp;F130&amp;", "&amp;G130&amp;", "&amp;H130&amp;");"</f>
        <v>INSERT INTO COTACAO (cot_id, cot_blt_id, cot_pap_id, cot_prc_comum, cot_prc_min, cot_prc_max, cot_prc_med, cot_prc_mediana) VALUES (129, 40, 12, 60, 60, 60, 60, 60);</v>
      </c>
      <c r="J130" s="0" t="str">
        <f aca="false">"UPDATE COTACAO SET cot_id = "&amp;A130&amp;", cot_blt_id = "&amp;B130&amp;", cot_pap_id = "&amp;C130&amp;", cot_prc_comum = "&amp;D130&amp;", cot_prc_min = "&amp;E130&amp;", cot_prc_max = "&amp;F130&amp;", cot_prc_med = "&amp;G130&amp;", cot_prc_mediana = "&amp;H130&amp;" WHERE cot_id = "&amp;A130&amp;";"</f>
        <v>UPDATE COTACAO SET cot_id = 129, cot_blt_id = 40, cot_pap_id = 12, cot_prc_comum = 60, cot_prc_min = 60, cot_prc_max = 60, cot_prc_med = 60, cot_prc_mediana = 60 WHERE cot_id = 129;</v>
      </c>
    </row>
    <row r="131" customFormat="false" ht="14.25" hidden="false" customHeight="false" outlineLevel="0" collapsed="false">
      <c r="A131" s="0" t="n">
        <v>130</v>
      </c>
      <c r="B131" s="0" t="n">
        <f aca="false">IF('Boletins Nuppa Site'!A131&lt;&gt;0,'Boletins Nuppa Site'!A131,"NULL")</f>
        <v>40</v>
      </c>
      <c r="C131" s="0" t="n">
        <v>13</v>
      </c>
      <c r="D131" s="0" t="str">
        <f aca="false">IF('Boletins Nuppa Site'!G131&lt;&gt;0,'Boletins Nuppa Site'!G131,"NULL")</f>
        <v>NULL</v>
      </c>
      <c r="E131" s="30" t="n">
        <f aca="false">IF('Boletins Nuppa Site'!H131&lt;&gt;0,'Boletins Nuppa Site'!H131,"NULL")</f>
        <v>54</v>
      </c>
      <c r="F131" s="30" t="n">
        <f aca="false">IF('Boletins Nuppa Site'!I131&lt;&gt;0,'Boletins Nuppa Site'!I131,"NULL")</f>
        <v>60</v>
      </c>
      <c r="G131" s="30" t="n">
        <f aca="false">IF('Boletins Nuppa Site'!J131&lt;&gt;0,'Boletins Nuppa Site'!J131,"NULL")</f>
        <v>57</v>
      </c>
      <c r="H131" s="30" t="n">
        <f aca="false">IF('Boletins Nuppa Site'!K131&lt;&gt;0,'Boletins Nuppa Site'!K131,"NULL")</f>
        <v>57</v>
      </c>
      <c r="I131" s="0" t="str">
        <f aca="false">"INSERT INTO COTACAO (cot_id, cot_blt_id, cot_pap_id, cot_prc_comum, cot_prc_min, cot_prc_max, cot_prc_med, cot_prc_mediana) VALUES ("&amp;A131&amp;", "&amp;B131&amp;", "&amp;C131&amp;", "&amp;D131&amp;", "&amp;E131&amp;", "&amp;F131&amp;", "&amp;G131&amp;", "&amp;H131&amp;");"</f>
        <v>INSERT INTO COTACAO (cot_id, cot_blt_id, cot_pap_id, cot_prc_comum, cot_prc_min, cot_prc_max, cot_prc_med, cot_prc_mediana) VALUES (130, 40, 13, NULL, 54, 60, 57, 57);</v>
      </c>
      <c r="J131" s="0" t="str">
        <f aca="false">"UPDATE COTACAO SET cot_id = "&amp;A131&amp;", cot_blt_id = "&amp;B131&amp;", cot_pap_id = "&amp;C131&amp;", cot_prc_comum = "&amp;D131&amp;", cot_prc_min = "&amp;E131&amp;", cot_prc_max = "&amp;F131&amp;", cot_prc_med = "&amp;G131&amp;", cot_prc_mediana = "&amp;H131&amp;" WHERE cot_id = "&amp;A131&amp;";"</f>
        <v>UPDATE COTACAO SET cot_id = 130, cot_blt_id = 40, cot_pap_id = 13, cot_prc_comum = NULL, cot_prc_min = 54, cot_prc_max = 60, cot_prc_med = 57, cot_prc_mediana = 57 WHERE cot_id = 130;</v>
      </c>
    </row>
    <row r="132" customFormat="false" ht="14.25" hidden="false" customHeight="false" outlineLevel="0" collapsed="false">
      <c r="A132" s="0" t="n">
        <v>131</v>
      </c>
      <c r="B132" s="0" t="n">
        <f aca="false">IF('Boletins Nuppa Site'!A132&lt;&gt;0,'Boletins Nuppa Site'!A132,"NULL")</f>
        <v>40</v>
      </c>
      <c r="C132" s="0" t="n">
        <v>14</v>
      </c>
      <c r="D132" s="0" t="str">
        <f aca="false">IF('Boletins Nuppa Site'!G132&lt;&gt;0,'Boletins Nuppa Site'!G132,"NULL")</f>
        <v>NULL</v>
      </c>
      <c r="E132" s="30" t="n">
        <f aca="false">IF('Boletins Nuppa Site'!H132&lt;&gt;0,'Boletins Nuppa Site'!H132,"NULL")</f>
        <v>40</v>
      </c>
      <c r="F132" s="30" t="n">
        <f aca="false">IF('Boletins Nuppa Site'!I132&lt;&gt;0,'Boletins Nuppa Site'!I132,"NULL")</f>
        <v>54</v>
      </c>
      <c r="G132" s="30" t="n">
        <f aca="false">IF('Boletins Nuppa Site'!J132&lt;&gt;0,'Boletins Nuppa Site'!J132,"NULL")</f>
        <v>47</v>
      </c>
      <c r="H132" s="30" t="n">
        <f aca="false">IF('Boletins Nuppa Site'!K132&lt;&gt;0,'Boletins Nuppa Site'!K132,"NULL")</f>
        <v>47</v>
      </c>
      <c r="I132" s="0" t="str">
        <f aca="false">"INSERT INTO COTACAO (cot_id, cot_blt_id, cot_pap_id, cot_prc_comum, cot_prc_min, cot_prc_max, cot_prc_med, cot_prc_mediana) VALUES ("&amp;A132&amp;", "&amp;B132&amp;", "&amp;C132&amp;", "&amp;D132&amp;", "&amp;E132&amp;", "&amp;F132&amp;", "&amp;G132&amp;", "&amp;H132&amp;");"</f>
        <v>INSERT INTO COTACAO (cot_id, cot_blt_id, cot_pap_id, cot_prc_comum, cot_prc_min, cot_prc_max, cot_prc_med, cot_prc_mediana) VALUES (131, 40, 14, NULL, 40, 54, 47, 47);</v>
      </c>
      <c r="J132" s="0" t="str">
        <f aca="false">"UPDATE COTACAO SET cot_id = "&amp;A132&amp;", cot_blt_id = "&amp;B132&amp;", cot_pap_id = "&amp;C132&amp;", cot_prc_comum = "&amp;D132&amp;", cot_prc_min = "&amp;E132&amp;", cot_prc_max = "&amp;F132&amp;", cot_prc_med = "&amp;G132&amp;", cot_prc_mediana = "&amp;H132&amp;" WHERE cot_id = "&amp;A132&amp;";"</f>
        <v>UPDATE COTACAO SET cot_id = 131, cot_blt_id = 40, cot_pap_id = 14, cot_prc_comum = NULL, cot_prc_min = 40, cot_prc_max = 54, cot_prc_med = 47, cot_prc_mediana = 47 WHERE cot_id = 131;</v>
      </c>
    </row>
    <row r="133" customFormat="false" ht="14.25" hidden="false" customHeight="false" outlineLevel="0" collapsed="false">
      <c r="A133" s="0" t="n">
        <v>132</v>
      </c>
      <c r="B133" s="0" t="n">
        <f aca="false">IF('Boletins Nuppa Site'!A133&lt;&gt;0,'Boletins Nuppa Site'!A133,"NULL")</f>
        <v>40</v>
      </c>
      <c r="C133" s="0" t="n">
        <v>15</v>
      </c>
      <c r="D133" s="0" t="str">
        <f aca="false">IF('Boletins Nuppa Site'!G133&lt;&gt;0,'Boletins Nuppa Site'!G133,"NULL")</f>
        <v>NULL</v>
      </c>
      <c r="E133" s="30" t="n">
        <f aca="false">IF('Boletins Nuppa Site'!H133&lt;&gt;0,'Boletins Nuppa Site'!H133,"NULL")</f>
        <v>25</v>
      </c>
      <c r="F133" s="30" t="n">
        <f aca="false">IF('Boletins Nuppa Site'!I133&lt;&gt;0,'Boletins Nuppa Site'!I133,"NULL")</f>
        <v>36</v>
      </c>
      <c r="G133" s="0" t="str">
        <f aca="false">IF('Boletins Nuppa Site'!J133&lt;&gt;0,'Boletins Nuppa Site'!J133,"NULL")</f>
        <v>30.33</v>
      </c>
      <c r="H133" s="30" t="n">
        <f aca="false">IF('Boletins Nuppa Site'!K133&lt;&gt;0,'Boletins Nuppa Site'!K133,"NULL")</f>
        <v>30</v>
      </c>
      <c r="I133" s="0" t="str">
        <f aca="false">"INSERT INTO COTACAO (cot_id, cot_blt_id, cot_pap_id, cot_prc_comum, cot_prc_min, cot_prc_max, cot_prc_med, cot_prc_mediana) VALUES ("&amp;A133&amp;", "&amp;B133&amp;", "&amp;C133&amp;", "&amp;D133&amp;", "&amp;E133&amp;", "&amp;F133&amp;", "&amp;G133&amp;", "&amp;H133&amp;");"</f>
        <v>INSERT INTO COTACAO (cot_id, cot_blt_id, cot_pap_id, cot_prc_comum, cot_prc_min, cot_prc_max, cot_prc_med, cot_prc_mediana) VALUES (132, 40, 15, NULL, 25, 36, 30.33, 30);</v>
      </c>
      <c r="J133" s="0" t="str">
        <f aca="false">"UPDATE COTACAO SET cot_id = "&amp;A133&amp;", cot_blt_id = "&amp;B133&amp;", cot_pap_id = "&amp;C133&amp;", cot_prc_comum = "&amp;D133&amp;", cot_prc_min = "&amp;E133&amp;", cot_prc_max = "&amp;F133&amp;", cot_prc_med = "&amp;G133&amp;", cot_prc_mediana = "&amp;H133&amp;" WHERE cot_id = "&amp;A133&amp;";"</f>
        <v>UPDATE COTACAO SET cot_id = 132, cot_blt_id = 40, cot_pap_id = 15, cot_prc_comum = NULL, cot_prc_min = 25, cot_prc_max = 36, cot_prc_med = 30.33, cot_prc_mediana = 30 WHERE cot_id = 132;</v>
      </c>
    </row>
    <row r="134" customFormat="false" ht="14.25" hidden="false" customHeight="false" outlineLevel="0" collapsed="false">
      <c r="A134" s="0" t="n">
        <v>133</v>
      </c>
      <c r="B134" s="0" t="n">
        <f aca="false">IF('Boletins Nuppa Site'!A134&lt;&gt;0,'Boletins Nuppa Site'!A134,"NULL")</f>
        <v>40</v>
      </c>
      <c r="C134" s="0" t="n">
        <v>16</v>
      </c>
      <c r="D134" s="30" t="n">
        <f aca="false">IF('Boletins Nuppa Site'!G134&lt;&gt;0,'Boletins Nuppa Site'!G134,"NULL")</f>
        <v>42</v>
      </c>
      <c r="E134" s="30" t="n">
        <f aca="false">IF('Boletins Nuppa Site'!H134&lt;&gt;0,'Boletins Nuppa Site'!H134,"NULL")</f>
        <v>42</v>
      </c>
      <c r="F134" s="30" t="n">
        <f aca="false">IF('Boletins Nuppa Site'!I134&lt;&gt;0,'Boletins Nuppa Site'!I134,"NULL")</f>
        <v>42</v>
      </c>
      <c r="G134" s="30" t="n">
        <f aca="false">IF('Boletins Nuppa Site'!J134&lt;&gt;0,'Boletins Nuppa Site'!J134,"NULL")</f>
        <v>42</v>
      </c>
      <c r="H134" s="30" t="n">
        <f aca="false">IF('Boletins Nuppa Site'!K134&lt;&gt;0,'Boletins Nuppa Site'!K134,"NULL")</f>
        <v>42</v>
      </c>
      <c r="I134" s="0" t="str">
        <f aca="false">"INSERT INTO COTACAO (cot_id, cot_blt_id, cot_pap_id, cot_prc_comum, cot_prc_min, cot_prc_max, cot_prc_med, cot_prc_mediana) VALUES ("&amp;A134&amp;", "&amp;B134&amp;", "&amp;C134&amp;", "&amp;D134&amp;", "&amp;E134&amp;", "&amp;F134&amp;", "&amp;G134&amp;", "&amp;H134&amp;");"</f>
        <v>INSERT INTO COTACAO (cot_id, cot_blt_id, cot_pap_id, cot_prc_comum, cot_prc_min, cot_prc_max, cot_prc_med, cot_prc_mediana) VALUES (133, 40, 16, 42, 42, 42, 42, 42);</v>
      </c>
      <c r="J134" s="0" t="str">
        <f aca="false">"UPDATE COTACAO SET cot_id = "&amp;A134&amp;", cot_blt_id = "&amp;B134&amp;", cot_pap_id = "&amp;C134&amp;", cot_prc_comum = "&amp;D134&amp;", cot_prc_min = "&amp;E134&amp;", cot_prc_max = "&amp;F134&amp;", cot_prc_med = "&amp;G134&amp;", cot_prc_mediana = "&amp;H134&amp;" WHERE cot_id = "&amp;A134&amp;";"</f>
        <v>UPDATE COTACAO SET cot_id = 133, cot_blt_id = 40, cot_pap_id = 16, cot_prc_comum = 42, cot_prc_min = 42, cot_prc_max = 42, cot_prc_med = 42, cot_prc_mediana = 42 WHERE cot_id = 133;</v>
      </c>
    </row>
    <row r="135" customFormat="false" ht="14.25" hidden="false" customHeight="false" outlineLevel="0" collapsed="false">
      <c r="A135" s="0" t="n">
        <v>134</v>
      </c>
      <c r="B135" s="0" t="n">
        <f aca="false">IF('Boletins Nuppa Site'!A135&lt;&gt;0,'Boletins Nuppa Site'!A135,"NULL")</f>
        <v>40</v>
      </c>
      <c r="C135" s="0" t="n">
        <v>17</v>
      </c>
      <c r="D135" s="0" t="str">
        <f aca="false">IF('Boletins Nuppa Site'!G135&lt;&gt;0,'Boletins Nuppa Site'!G135,"NULL")</f>
        <v>NULL</v>
      </c>
      <c r="E135" s="30" t="n">
        <f aca="false">IF('Boletins Nuppa Site'!H135&lt;&gt;0,'Boletins Nuppa Site'!H135,"NULL")</f>
        <v>4</v>
      </c>
      <c r="F135" s="30" t="n">
        <f aca="false">IF('Boletins Nuppa Site'!I135&lt;&gt;0,'Boletins Nuppa Site'!I135,"NULL")</f>
        <v>5</v>
      </c>
      <c r="G135" s="0" t="str">
        <f aca="false">IF('Boletins Nuppa Site'!J135&lt;&gt;0,'Boletins Nuppa Site'!J135,"NULL")</f>
        <v>4.5</v>
      </c>
      <c r="H135" s="0" t="str">
        <f aca="false">IF('Boletins Nuppa Site'!K135&lt;&gt;0,'Boletins Nuppa Site'!K135,"NULL")</f>
        <v>4.5</v>
      </c>
      <c r="I135" s="0" t="str">
        <f aca="false">"INSERT INTO COTACAO (cot_id, cot_blt_id, cot_pap_id, cot_prc_comum, cot_prc_min, cot_prc_max, cot_prc_med, cot_prc_mediana) VALUES ("&amp;A135&amp;", "&amp;B135&amp;", "&amp;C135&amp;", "&amp;D135&amp;", "&amp;E135&amp;", "&amp;F135&amp;", "&amp;G135&amp;", "&amp;H135&amp;");"</f>
        <v>INSERT INTO COTACAO (cot_id, cot_blt_id, cot_pap_id, cot_prc_comum, cot_prc_min, cot_prc_max, cot_prc_med, cot_prc_mediana) VALUES (134, 40, 17, NULL, 4, 5, 4.5, 4.5);</v>
      </c>
      <c r="J135" s="0" t="str">
        <f aca="false">"UPDATE COTACAO SET cot_id = "&amp;A135&amp;", cot_blt_id = "&amp;B135&amp;", cot_pap_id = "&amp;C135&amp;", cot_prc_comum = "&amp;D135&amp;", cot_prc_min = "&amp;E135&amp;", cot_prc_max = "&amp;F135&amp;", cot_prc_med = "&amp;G135&amp;", cot_prc_mediana = "&amp;H135&amp;" WHERE cot_id = "&amp;A135&amp;";"</f>
        <v>UPDATE COTACAO SET cot_id = 134, cot_blt_id = 40, cot_pap_id = 17, cot_prc_comum = NULL, cot_prc_min = 4, cot_prc_max = 5, cot_prc_med = 4.5, cot_prc_mediana = 4.5 WHERE cot_id = 134;</v>
      </c>
    </row>
    <row r="136" customFormat="false" ht="14.25" hidden="false" customHeight="false" outlineLevel="0" collapsed="false">
      <c r="A136" s="0" t="n">
        <v>135</v>
      </c>
      <c r="B136" s="0" t="n">
        <f aca="false">IF('Boletins Nuppa Site'!A136&lt;&gt;0,'Boletins Nuppa Site'!A136,"NULL")</f>
        <v>40</v>
      </c>
      <c r="C136" s="0" t="n">
        <v>18</v>
      </c>
      <c r="D136" s="0" t="str">
        <f aca="false">IF('Boletins Nuppa Site'!G136&lt;&gt;0,'Boletins Nuppa Site'!G136,"NULL")</f>
        <v>NULL</v>
      </c>
      <c r="E136" s="30" t="n">
        <f aca="false">IF('Boletins Nuppa Site'!H136&lt;&gt;0,'Boletins Nuppa Site'!H136,"NULL")</f>
        <v>18</v>
      </c>
      <c r="F136" s="30" t="n">
        <f aca="false">IF('Boletins Nuppa Site'!I136&lt;&gt;0,'Boletins Nuppa Site'!I136,"NULL")</f>
        <v>20</v>
      </c>
      <c r="G136" s="30" t="n">
        <f aca="false">IF('Boletins Nuppa Site'!J136&lt;&gt;0,'Boletins Nuppa Site'!J136,"NULL")</f>
        <v>19</v>
      </c>
      <c r="H136" s="30" t="n">
        <f aca="false">IF('Boletins Nuppa Site'!K136&lt;&gt;0,'Boletins Nuppa Site'!K136,"NULL")</f>
        <v>19</v>
      </c>
      <c r="I136" s="0" t="str">
        <f aca="false">"INSERT INTO COTACAO (cot_id, cot_blt_id, cot_pap_id, cot_prc_comum, cot_prc_min, cot_prc_max, cot_prc_med, cot_prc_mediana) VALUES ("&amp;A136&amp;", "&amp;B136&amp;", "&amp;C136&amp;", "&amp;D136&amp;", "&amp;E136&amp;", "&amp;F136&amp;", "&amp;G136&amp;", "&amp;H136&amp;");"</f>
        <v>INSERT INTO COTACAO (cot_id, cot_blt_id, cot_pap_id, cot_prc_comum, cot_prc_min, cot_prc_max, cot_prc_med, cot_prc_mediana) VALUES (135, 40, 18, NULL, 18, 20, 19, 19);</v>
      </c>
      <c r="J136" s="0" t="str">
        <f aca="false">"UPDATE COTACAO SET cot_id = "&amp;A136&amp;", cot_blt_id = "&amp;B136&amp;", cot_pap_id = "&amp;C136&amp;", cot_prc_comum = "&amp;D136&amp;", cot_prc_min = "&amp;E136&amp;", cot_prc_max = "&amp;F136&amp;", cot_prc_med = "&amp;G136&amp;", cot_prc_mediana = "&amp;H136&amp;" WHERE cot_id = "&amp;A136&amp;";"</f>
        <v>UPDATE COTACAO SET cot_id = 135, cot_blt_id = 40, cot_pap_id = 18, cot_prc_comum = NULL, cot_prc_min = 18, cot_prc_max = 20, cot_prc_med = 19, cot_prc_mediana = 19 WHERE cot_id = 135;</v>
      </c>
    </row>
    <row r="137" customFormat="false" ht="14.25" hidden="false" customHeight="false" outlineLevel="0" collapsed="false">
      <c r="A137" s="0" t="n">
        <v>136</v>
      </c>
      <c r="B137" s="0" t="n">
        <f aca="false">IF('Boletins Nuppa Site'!A137&lt;&gt;0,'Boletins Nuppa Site'!A137,"NULL")</f>
        <v>40</v>
      </c>
      <c r="C137" s="0" t="n">
        <v>19</v>
      </c>
      <c r="D137" s="30" t="n">
        <f aca="false">IF('Boletins Nuppa Site'!G137&lt;&gt;0,'Boletins Nuppa Site'!G137,"NULL")</f>
        <v>25</v>
      </c>
      <c r="E137" s="30" t="n">
        <f aca="false">IF('Boletins Nuppa Site'!H137&lt;&gt;0,'Boletins Nuppa Site'!H137,"NULL")</f>
        <v>25</v>
      </c>
      <c r="F137" s="30" t="n">
        <f aca="false">IF('Boletins Nuppa Site'!I137&lt;&gt;0,'Boletins Nuppa Site'!I137,"NULL")</f>
        <v>25</v>
      </c>
      <c r="G137" s="30" t="n">
        <f aca="false">IF('Boletins Nuppa Site'!J137&lt;&gt;0,'Boletins Nuppa Site'!J137,"NULL")</f>
        <v>25</v>
      </c>
      <c r="H137" s="30" t="n">
        <f aca="false">IF('Boletins Nuppa Site'!K137&lt;&gt;0,'Boletins Nuppa Site'!K137,"NULL")</f>
        <v>25</v>
      </c>
      <c r="I137" s="0" t="str">
        <f aca="false">"INSERT INTO COTACAO (cot_id, cot_blt_id, cot_pap_id, cot_prc_comum, cot_prc_min, cot_prc_max, cot_prc_med, cot_prc_mediana) VALUES ("&amp;A137&amp;", "&amp;B137&amp;", "&amp;C137&amp;", "&amp;D137&amp;", "&amp;E137&amp;", "&amp;F137&amp;", "&amp;G137&amp;", "&amp;H137&amp;");"</f>
        <v>INSERT INTO COTACAO (cot_id, cot_blt_id, cot_pap_id, cot_prc_comum, cot_prc_min, cot_prc_max, cot_prc_med, cot_prc_mediana) VALUES (136, 40, 19, 25, 25, 25, 25, 25);</v>
      </c>
      <c r="J137" s="0" t="str">
        <f aca="false">"UPDATE COTACAO SET cot_id = "&amp;A137&amp;", cot_blt_id = "&amp;B137&amp;", cot_pap_id = "&amp;C137&amp;", cot_prc_comum = "&amp;D137&amp;", cot_prc_min = "&amp;E137&amp;", cot_prc_max = "&amp;F137&amp;", cot_prc_med = "&amp;G137&amp;", cot_prc_mediana = "&amp;H137&amp;" WHERE cot_id = "&amp;A137&amp;";"</f>
        <v>UPDATE COTACAO SET cot_id = 136, cot_blt_id = 40, cot_pap_id = 19, cot_prc_comum = 25, cot_prc_min = 25, cot_prc_max = 25, cot_prc_med = 25, cot_prc_mediana = 25 WHERE cot_id = 136;</v>
      </c>
    </row>
    <row r="138" customFormat="false" ht="14.25" hidden="false" customHeight="false" outlineLevel="0" collapsed="false">
      <c r="A138" s="0" t="n">
        <v>137</v>
      </c>
      <c r="B138" s="0" t="n">
        <f aca="false">IF('Boletins Nuppa Site'!A138&lt;&gt;0,'Boletins Nuppa Site'!A138,"NULL")</f>
        <v>40</v>
      </c>
      <c r="C138" s="0" t="n">
        <v>21</v>
      </c>
      <c r="D138" s="30" t="n">
        <f aca="false">IF('Boletins Nuppa Site'!G138&lt;&gt;0,'Boletins Nuppa Site'!G138,"NULL")</f>
        <v>50</v>
      </c>
      <c r="E138" s="30" t="n">
        <f aca="false">IF('Boletins Nuppa Site'!H138&lt;&gt;0,'Boletins Nuppa Site'!H138,"NULL")</f>
        <v>30</v>
      </c>
      <c r="F138" s="30" t="n">
        <f aca="false">IF('Boletins Nuppa Site'!I138&lt;&gt;0,'Boletins Nuppa Site'!I138,"NULL")</f>
        <v>50</v>
      </c>
      <c r="G138" s="0" t="str">
        <f aca="false">IF('Boletins Nuppa Site'!J138&lt;&gt;0,'Boletins Nuppa Site'!J138,"NULL")</f>
        <v>43.33</v>
      </c>
      <c r="H138" s="30" t="n">
        <f aca="false">IF('Boletins Nuppa Site'!K138&lt;&gt;0,'Boletins Nuppa Site'!K138,"NULL")</f>
        <v>45</v>
      </c>
      <c r="I138" s="0" t="str">
        <f aca="false">"INSERT INTO COTACAO (cot_id, cot_blt_id, cot_pap_id, cot_prc_comum, cot_prc_min, cot_prc_max, cot_prc_med, cot_prc_mediana) VALUES ("&amp;A138&amp;", "&amp;B138&amp;", "&amp;C138&amp;", "&amp;D138&amp;", "&amp;E138&amp;", "&amp;F138&amp;", "&amp;G138&amp;", "&amp;H138&amp;");"</f>
        <v>INSERT INTO COTACAO (cot_id, cot_blt_id, cot_pap_id, cot_prc_comum, cot_prc_min, cot_prc_max, cot_prc_med, cot_prc_mediana) VALUES (137, 40, 21, 50, 30, 50, 43.33, 45);</v>
      </c>
      <c r="J138" s="0" t="str">
        <f aca="false">"UPDATE COTACAO SET cot_id = "&amp;A138&amp;", cot_blt_id = "&amp;B138&amp;", cot_pap_id = "&amp;C138&amp;", cot_prc_comum = "&amp;D138&amp;", cot_prc_min = "&amp;E138&amp;", cot_prc_max = "&amp;F138&amp;", cot_prc_med = "&amp;G138&amp;", cot_prc_mediana = "&amp;H138&amp;" WHERE cot_id = "&amp;A138&amp;";"</f>
        <v>UPDATE COTACAO SET cot_id = 137, cot_blt_id = 40, cot_pap_id = 21, cot_prc_comum = 50, cot_prc_min = 30, cot_prc_max = 50, cot_prc_med = 43.33, cot_prc_mediana = 45 WHERE cot_id = 137;</v>
      </c>
    </row>
    <row r="139" customFormat="false" ht="14.25" hidden="false" customHeight="false" outlineLevel="0" collapsed="false">
      <c r="A139" s="0" t="n">
        <v>138</v>
      </c>
      <c r="B139" s="0" t="n">
        <f aca="false">IF('Boletins Nuppa Site'!A139&lt;&gt;0,'Boletins Nuppa Site'!A139,"NULL")</f>
        <v>40</v>
      </c>
      <c r="C139" s="0" t="n">
        <v>22</v>
      </c>
      <c r="D139" s="30" t="n">
        <f aca="false">IF('Boletins Nuppa Site'!G139&lt;&gt;0,'Boletins Nuppa Site'!G139,"NULL")</f>
        <v>45</v>
      </c>
      <c r="E139" s="30" t="n">
        <f aca="false">IF('Boletins Nuppa Site'!H139&lt;&gt;0,'Boletins Nuppa Site'!H139,"NULL")</f>
        <v>35</v>
      </c>
      <c r="F139" s="30" t="n">
        <f aca="false">IF('Boletins Nuppa Site'!I139&lt;&gt;0,'Boletins Nuppa Site'!I139,"NULL")</f>
        <v>60</v>
      </c>
      <c r="G139" s="0" t="str">
        <f aca="false">IF('Boletins Nuppa Site'!J139&lt;&gt;0,'Boletins Nuppa Site'!J139,"NULL")</f>
        <v>47.86</v>
      </c>
      <c r="H139" s="30" t="n">
        <f aca="false">IF('Boletins Nuppa Site'!K139&lt;&gt;0,'Boletins Nuppa Site'!K139,"NULL")</f>
        <v>45</v>
      </c>
      <c r="I139" s="0" t="str">
        <f aca="false">"INSERT INTO COTACAO (cot_id, cot_blt_id, cot_pap_id, cot_prc_comum, cot_prc_min, cot_prc_max, cot_prc_med, cot_prc_mediana) VALUES ("&amp;A139&amp;", "&amp;B139&amp;", "&amp;C139&amp;", "&amp;D139&amp;", "&amp;E139&amp;", "&amp;F139&amp;", "&amp;G139&amp;", "&amp;H139&amp;");"</f>
        <v>INSERT INTO COTACAO (cot_id, cot_blt_id, cot_pap_id, cot_prc_comum, cot_prc_min, cot_prc_max, cot_prc_med, cot_prc_mediana) VALUES (138, 40, 22, 45, 35, 60, 47.86, 45);</v>
      </c>
      <c r="J139" s="0" t="str">
        <f aca="false">"UPDATE COTACAO SET cot_id = "&amp;A139&amp;", cot_blt_id = "&amp;B139&amp;", cot_pap_id = "&amp;C139&amp;", cot_prc_comum = "&amp;D139&amp;", cot_prc_min = "&amp;E139&amp;", cot_prc_max = "&amp;F139&amp;", cot_prc_med = "&amp;G139&amp;", cot_prc_mediana = "&amp;H139&amp;" WHERE cot_id = "&amp;A139&amp;";"</f>
        <v>UPDATE COTACAO SET cot_id = 138, cot_blt_id = 40, cot_pap_id = 22, cot_prc_comum = 45, cot_prc_min = 35, cot_prc_max = 60, cot_prc_med = 47.86, cot_prc_mediana = 45 WHERE cot_id = 138;</v>
      </c>
    </row>
    <row r="140" customFormat="false" ht="14.25" hidden="false" customHeight="false" outlineLevel="0" collapsed="false">
      <c r="A140" s="0" t="n">
        <v>139</v>
      </c>
      <c r="B140" s="0" t="n">
        <f aca="false">IF('Boletins Nuppa Site'!A140&lt;&gt;0,'Boletins Nuppa Site'!A140,"NULL")</f>
        <v>40</v>
      </c>
      <c r="C140" s="0" t="n">
        <v>23</v>
      </c>
      <c r="D140" s="30" t="n">
        <f aca="false">IF('Boletins Nuppa Site'!G140&lt;&gt;0,'Boletins Nuppa Site'!G140,"NULL")</f>
        <v>35</v>
      </c>
      <c r="E140" s="30" t="n">
        <f aca="false">IF('Boletins Nuppa Site'!H140&lt;&gt;0,'Boletins Nuppa Site'!H140,"NULL")</f>
        <v>30</v>
      </c>
      <c r="F140" s="30" t="n">
        <f aca="false">IF('Boletins Nuppa Site'!I140&lt;&gt;0,'Boletins Nuppa Site'!I140,"NULL")</f>
        <v>45</v>
      </c>
      <c r="G140" s="0" t="str">
        <f aca="false">IF('Boletins Nuppa Site'!J140&lt;&gt;0,'Boletins Nuppa Site'!J140,"NULL")</f>
        <v>38.57</v>
      </c>
      <c r="H140" s="30" t="n">
        <f aca="false">IF('Boletins Nuppa Site'!K140&lt;&gt;0,'Boletins Nuppa Site'!K140,"NULL")</f>
        <v>40</v>
      </c>
      <c r="I140" s="0" t="str">
        <f aca="false">"INSERT INTO COTACAO (cot_id, cot_blt_id, cot_pap_id, cot_prc_comum, cot_prc_min, cot_prc_max, cot_prc_med, cot_prc_mediana) VALUES ("&amp;A140&amp;", "&amp;B140&amp;", "&amp;C140&amp;", "&amp;D140&amp;", "&amp;E140&amp;", "&amp;F140&amp;", "&amp;G140&amp;", "&amp;H140&amp;");"</f>
        <v>INSERT INTO COTACAO (cot_id, cot_blt_id, cot_pap_id, cot_prc_comum, cot_prc_min, cot_prc_max, cot_prc_med, cot_prc_mediana) VALUES (139, 40, 23, 35, 30, 45, 38.57, 40);</v>
      </c>
      <c r="J140" s="0" t="str">
        <f aca="false">"UPDATE COTACAO SET cot_id = "&amp;A140&amp;", cot_blt_id = "&amp;B140&amp;", cot_pap_id = "&amp;C140&amp;", cot_prc_comum = "&amp;D140&amp;", cot_prc_min = "&amp;E140&amp;", cot_prc_max = "&amp;F140&amp;", cot_prc_med = "&amp;G140&amp;", cot_prc_mediana = "&amp;H140&amp;" WHERE cot_id = "&amp;A140&amp;";"</f>
        <v>UPDATE COTACAO SET cot_id = 139, cot_blt_id = 40, cot_pap_id = 23, cot_prc_comum = 35, cot_prc_min = 30, cot_prc_max = 45, cot_prc_med = 38.57, cot_prc_mediana = 40 WHERE cot_id = 139;</v>
      </c>
    </row>
    <row r="141" customFormat="false" ht="14.25" hidden="false" customHeight="false" outlineLevel="0" collapsed="false">
      <c r="A141" s="0" t="n">
        <v>140</v>
      </c>
      <c r="B141" s="0" t="n">
        <f aca="false">IF('Boletins Nuppa Site'!A141&lt;&gt;0,'Boletins Nuppa Site'!A141,"NULL")</f>
        <v>40</v>
      </c>
      <c r="C141" s="0" t="n">
        <v>24</v>
      </c>
      <c r="D141" s="0" t="str">
        <f aca="false">IF('Boletins Nuppa Site'!G141&lt;&gt;0,'Boletins Nuppa Site'!G141,"NULL")</f>
        <v>NULL</v>
      </c>
      <c r="E141" s="30" t="n">
        <f aca="false">IF('Boletins Nuppa Site'!H141&lt;&gt;0,'Boletins Nuppa Site'!H141,"NULL")</f>
        <v>120</v>
      </c>
      <c r="F141" s="30" t="n">
        <f aca="false">IF('Boletins Nuppa Site'!I141&lt;&gt;0,'Boletins Nuppa Site'!I141,"NULL")</f>
        <v>120</v>
      </c>
      <c r="G141" s="30" t="n">
        <f aca="false">IF('Boletins Nuppa Site'!J141&lt;&gt;0,'Boletins Nuppa Site'!J141,"NULL")</f>
        <v>120</v>
      </c>
      <c r="H141" s="30" t="n">
        <f aca="false">IF('Boletins Nuppa Site'!K141&lt;&gt;0,'Boletins Nuppa Site'!K141,"NULL")</f>
        <v>120</v>
      </c>
      <c r="I141" s="0" t="str">
        <f aca="false">"INSERT INTO COTACAO (cot_id, cot_blt_id, cot_pap_id, cot_prc_comum, cot_prc_min, cot_prc_max, cot_prc_med, cot_prc_mediana) VALUES ("&amp;A141&amp;", "&amp;B141&amp;", "&amp;C141&amp;", "&amp;D141&amp;", "&amp;E141&amp;", "&amp;F141&amp;", "&amp;G141&amp;", "&amp;H141&amp;");"</f>
        <v>INSERT INTO COTACAO (cot_id, cot_blt_id, cot_pap_id, cot_prc_comum, cot_prc_min, cot_prc_max, cot_prc_med, cot_prc_mediana) VALUES (140, 40, 24, NULL, 120, 120, 120, 120);</v>
      </c>
      <c r="J141" s="0" t="str">
        <f aca="false">"UPDATE COTACAO SET cot_id = "&amp;A141&amp;", cot_blt_id = "&amp;B141&amp;", cot_pap_id = "&amp;C141&amp;", cot_prc_comum = "&amp;D141&amp;", cot_prc_min = "&amp;E141&amp;", cot_prc_max = "&amp;F141&amp;", cot_prc_med = "&amp;G141&amp;", cot_prc_mediana = "&amp;H141&amp;" WHERE cot_id = "&amp;A141&amp;";"</f>
        <v>UPDATE COTACAO SET cot_id = 140, cot_blt_id = 40, cot_pap_id = 24, cot_prc_comum = NULL, cot_prc_min = 120, cot_prc_max = 120, cot_prc_med = 120, cot_prc_mediana = 120 WHERE cot_id = 140;</v>
      </c>
    </row>
    <row r="142" customFormat="false" ht="14.25" hidden="false" customHeight="false" outlineLevel="0" collapsed="false">
      <c r="A142" s="0" t="n">
        <v>141</v>
      </c>
      <c r="B142" s="0" t="n">
        <f aca="false">IF('Boletins Nuppa Site'!A142&lt;&gt;0,'Boletins Nuppa Site'!A142,"NULL")</f>
        <v>40</v>
      </c>
      <c r="C142" s="0" t="n">
        <v>25</v>
      </c>
      <c r="D142" s="30" t="n">
        <f aca="false">IF('Boletins Nuppa Site'!G142&lt;&gt;0,'Boletins Nuppa Site'!G142,"NULL")</f>
        <v>60</v>
      </c>
      <c r="E142" s="30" t="n">
        <f aca="false">IF('Boletins Nuppa Site'!H142&lt;&gt;0,'Boletins Nuppa Site'!H142,"NULL")</f>
        <v>50</v>
      </c>
      <c r="F142" s="30" t="n">
        <f aca="false">IF('Boletins Nuppa Site'!I142&lt;&gt;0,'Boletins Nuppa Site'!I142,"NULL")</f>
        <v>65</v>
      </c>
      <c r="G142" s="0" t="str">
        <f aca="false">IF('Boletins Nuppa Site'!J142&lt;&gt;0,'Boletins Nuppa Site'!J142,"NULL")</f>
        <v>58.75</v>
      </c>
      <c r="H142" s="30" t="n">
        <f aca="false">IF('Boletins Nuppa Site'!K142&lt;&gt;0,'Boletins Nuppa Site'!K142,"NULL")</f>
        <v>60</v>
      </c>
      <c r="I142" s="0" t="str">
        <f aca="false">"INSERT INTO COTACAO (cot_id, cot_blt_id, cot_pap_id, cot_prc_comum, cot_prc_min, cot_prc_max, cot_prc_med, cot_prc_mediana) VALUES ("&amp;A142&amp;", "&amp;B142&amp;", "&amp;C142&amp;", "&amp;D142&amp;", "&amp;E142&amp;", "&amp;F142&amp;", "&amp;G142&amp;", "&amp;H142&amp;");"</f>
        <v>INSERT INTO COTACAO (cot_id, cot_blt_id, cot_pap_id, cot_prc_comum, cot_prc_min, cot_prc_max, cot_prc_med, cot_prc_mediana) VALUES (141, 40, 25, 60, 50, 65, 58.75, 60);</v>
      </c>
      <c r="J142" s="0" t="str">
        <f aca="false">"UPDATE COTACAO SET cot_id = "&amp;A142&amp;", cot_blt_id = "&amp;B142&amp;", cot_pap_id = "&amp;C142&amp;", cot_prc_comum = "&amp;D142&amp;", cot_prc_min = "&amp;E142&amp;", cot_prc_max = "&amp;F142&amp;", cot_prc_med = "&amp;G142&amp;", cot_prc_mediana = "&amp;H142&amp;" WHERE cot_id = "&amp;A142&amp;";"</f>
        <v>UPDATE COTACAO SET cot_id = 141, cot_blt_id = 40, cot_pap_id = 25, cot_prc_comum = 60, cot_prc_min = 50, cot_prc_max = 65, cot_prc_med = 58.75, cot_prc_mediana = 60 WHERE cot_id = 141;</v>
      </c>
    </row>
    <row r="143" customFormat="false" ht="14.25" hidden="false" customHeight="false" outlineLevel="0" collapsed="false">
      <c r="A143" s="0" t="n">
        <v>142</v>
      </c>
      <c r="B143" s="0" t="n">
        <f aca="false">IF('Boletins Nuppa Site'!A143&lt;&gt;0,'Boletins Nuppa Site'!A143,"NULL")</f>
        <v>40</v>
      </c>
      <c r="C143" s="0" t="n">
        <v>26</v>
      </c>
      <c r="D143" s="30" t="n">
        <f aca="false">IF('Boletins Nuppa Site'!G143&lt;&gt;0,'Boletins Nuppa Site'!G143,"NULL")</f>
        <v>60</v>
      </c>
      <c r="E143" s="30" t="n">
        <f aca="false">IF('Boletins Nuppa Site'!H143&lt;&gt;0,'Boletins Nuppa Site'!H143,"NULL")</f>
        <v>60</v>
      </c>
      <c r="F143" s="30" t="n">
        <f aca="false">IF('Boletins Nuppa Site'!I143&lt;&gt;0,'Boletins Nuppa Site'!I143,"NULL")</f>
        <v>80</v>
      </c>
      <c r="G143" s="30" t="n">
        <f aca="false">IF('Boletins Nuppa Site'!J143&lt;&gt;0,'Boletins Nuppa Site'!J143,"NULL")</f>
        <v>68</v>
      </c>
      <c r="H143" s="30" t="n">
        <f aca="false">IF('Boletins Nuppa Site'!K143&lt;&gt;0,'Boletins Nuppa Site'!K143,"NULL")</f>
        <v>60</v>
      </c>
      <c r="I143" s="0" t="str">
        <f aca="false">"INSERT INTO COTACAO (cot_id, cot_blt_id, cot_pap_id, cot_prc_comum, cot_prc_min, cot_prc_max, cot_prc_med, cot_prc_mediana) VALUES ("&amp;A143&amp;", "&amp;B143&amp;", "&amp;C143&amp;", "&amp;D143&amp;", "&amp;E143&amp;", "&amp;F143&amp;", "&amp;G143&amp;", "&amp;H143&amp;");"</f>
        <v>INSERT INTO COTACAO (cot_id, cot_blt_id, cot_pap_id, cot_prc_comum, cot_prc_min, cot_prc_max, cot_prc_med, cot_prc_mediana) VALUES (142, 40, 26, 60, 60, 80, 68, 60);</v>
      </c>
      <c r="J143" s="0" t="str">
        <f aca="false">"UPDATE COTACAO SET cot_id = "&amp;A143&amp;", cot_blt_id = "&amp;B143&amp;", cot_pap_id = "&amp;C143&amp;", cot_prc_comum = "&amp;D143&amp;", cot_prc_min = "&amp;E143&amp;", cot_prc_max = "&amp;F143&amp;", cot_prc_med = "&amp;G143&amp;", cot_prc_mediana = "&amp;H143&amp;" WHERE cot_id = "&amp;A143&amp;";"</f>
        <v>UPDATE COTACAO SET cot_id = 142, cot_blt_id = 40, cot_pap_id = 26, cot_prc_comum = 60, cot_prc_min = 60, cot_prc_max = 80, cot_prc_med = 68, cot_prc_mediana = 60 WHERE cot_id = 142;</v>
      </c>
    </row>
    <row r="144" customFormat="false" ht="14.25" hidden="false" customHeight="false" outlineLevel="0" collapsed="false">
      <c r="A144" s="0" t="n">
        <v>143</v>
      </c>
      <c r="B144" s="0" t="n">
        <f aca="false">IF('Boletins Nuppa Site'!A144&lt;&gt;0,'Boletins Nuppa Site'!A144,"NULL")</f>
        <v>40</v>
      </c>
      <c r="C144" s="0" t="n">
        <v>27</v>
      </c>
      <c r="D144" s="30" t="n">
        <f aca="false">IF('Boletins Nuppa Site'!G144&lt;&gt;0,'Boletins Nuppa Site'!G144,"NULL")</f>
        <v>70</v>
      </c>
      <c r="E144" s="30" t="n">
        <f aca="false">IF('Boletins Nuppa Site'!H144&lt;&gt;0,'Boletins Nuppa Site'!H144,"NULL")</f>
        <v>50</v>
      </c>
      <c r="F144" s="30" t="n">
        <f aca="false">IF('Boletins Nuppa Site'!I144&lt;&gt;0,'Boletins Nuppa Site'!I144,"NULL")</f>
        <v>80</v>
      </c>
      <c r="G144" s="0" t="str">
        <f aca="false">IF('Boletins Nuppa Site'!J144&lt;&gt;0,'Boletins Nuppa Site'!J144,"NULL")</f>
        <v>66.67</v>
      </c>
      <c r="H144" s="30" t="n">
        <f aca="false">IF('Boletins Nuppa Site'!K144&lt;&gt;0,'Boletins Nuppa Site'!K144,"NULL")</f>
        <v>70</v>
      </c>
      <c r="I144" s="0" t="str">
        <f aca="false">"INSERT INTO COTACAO (cot_id, cot_blt_id, cot_pap_id, cot_prc_comum, cot_prc_min, cot_prc_max, cot_prc_med, cot_prc_mediana) VALUES ("&amp;A144&amp;", "&amp;B144&amp;", "&amp;C144&amp;", "&amp;D144&amp;", "&amp;E144&amp;", "&amp;F144&amp;", "&amp;G144&amp;", "&amp;H144&amp;");"</f>
        <v>INSERT INTO COTACAO (cot_id, cot_blt_id, cot_pap_id, cot_prc_comum, cot_prc_min, cot_prc_max, cot_prc_med, cot_prc_mediana) VALUES (143, 40, 27, 70, 50, 80, 66.67, 70);</v>
      </c>
      <c r="J144" s="0" t="str">
        <f aca="false">"UPDATE COTACAO SET cot_id = "&amp;A144&amp;", cot_blt_id = "&amp;B144&amp;", cot_pap_id = "&amp;C144&amp;", cot_prc_comum = "&amp;D144&amp;", cot_prc_min = "&amp;E144&amp;", cot_prc_max = "&amp;F144&amp;", cot_prc_med = "&amp;G144&amp;", cot_prc_mediana = "&amp;H144&amp;" WHERE cot_id = "&amp;A144&amp;";"</f>
        <v>UPDATE COTACAO SET cot_id = 143, cot_blt_id = 40, cot_pap_id = 27, cot_prc_comum = 70, cot_prc_min = 50, cot_prc_max = 80, cot_prc_med = 66.67, cot_prc_mediana = 70 WHERE cot_id = 143;</v>
      </c>
    </row>
    <row r="145" customFormat="false" ht="14.25" hidden="false" customHeight="false" outlineLevel="0" collapsed="false">
      <c r="A145" s="0" t="n">
        <v>144</v>
      </c>
      <c r="B145" s="0" t="n">
        <f aca="false">IF('Boletins Nuppa Site'!A145&lt;&gt;0,'Boletins Nuppa Site'!A145,"NULL")</f>
        <v>40</v>
      </c>
      <c r="C145" s="0" t="n">
        <v>28</v>
      </c>
      <c r="D145" s="30" t="n">
        <f aca="false">IF('Boletins Nuppa Site'!G145&lt;&gt;0,'Boletins Nuppa Site'!G145,"NULL")</f>
        <v>70</v>
      </c>
      <c r="E145" s="30" t="n">
        <f aca="false">IF('Boletins Nuppa Site'!H145&lt;&gt;0,'Boletins Nuppa Site'!H145,"NULL")</f>
        <v>60</v>
      </c>
      <c r="F145" s="30" t="n">
        <f aca="false">IF('Boletins Nuppa Site'!I145&lt;&gt;0,'Boletins Nuppa Site'!I145,"NULL")</f>
        <v>70</v>
      </c>
      <c r="G145" s="0" t="str">
        <f aca="false">IF('Boletins Nuppa Site'!J145&lt;&gt;0,'Boletins Nuppa Site'!J145,"NULL")</f>
        <v>67.5</v>
      </c>
      <c r="H145" s="30" t="n">
        <f aca="false">IF('Boletins Nuppa Site'!K145&lt;&gt;0,'Boletins Nuppa Site'!K145,"NULL")</f>
        <v>70</v>
      </c>
      <c r="I145" s="0" t="str">
        <f aca="false">"INSERT INTO COTACAO (cot_id, cot_blt_id, cot_pap_id, cot_prc_comum, cot_prc_min, cot_prc_max, cot_prc_med, cot_prc_mediana) VALUES ("&amp;A145&amp;", "&amp;B145&amp;", "&amp;C145&amp;", "&amp;D145&amp;", "&amp;E145&amp;", "&amp;F145&amp;", "&amp;G145&amp;", "&amp;H145&amp;");"</f>
        <v>INSERT INTO COTACAO (cot_id, cot_blt_id, cot_pap_id, cot_prc_comum, cot_prc_min, cot_prc_max, cot_prc_med, cot_prc_mediana) VALUES (144, 40, 28, 70, 60, 70, 67.5, 70);</v>
      </c>
      <c r="J145" s="0" t="str">
        <f aca="false">"UPDATE COTACAO SET cot_id = "&amp;A145&amp;", cot_blt_id = "&amp;B145&amp;", cot_pap_id = "&amp;C145&amp;", cot_prc_comum = "&amp;D145&amp;", cot_prc_min = "&amp;E145&amp;", cot_prc_max = "&amp;F145&amp;", cot_prc_med = "&amp;G145&amp;", cot_prc_mediana = "&amp;H145&amp;" WHERE cot_id = "&amp;A145&amp;";"</f>
        <v>UPDATE COTACAO SET cot_id = 144, cot_blt_id = 40, cot_pap_id = 28, cot_prc_comum = 70, cot_prc_min = 60, cot_prc_max = 70, cot_prc_med = 67.5, cot_prc_mediana = 70 WHERE cot_id = 144;</v>
      </c>
    </row>
    <row r="146" customFormat="false" ht="14.25" hidden="false" customHeight="false" outlineLevel="0" collapsed="false">
      <c r="A146" s="0" t="n">
        <v>145</v>
      </c>
      <c r="B146" s="0" t="n">
        <f aca="false">IF('Boletins Nuppa Site'!A146&lt;&gt;0,'Boletins Nuppa Site'!A146,"NULL")</f>
        <v>40</v>
      </c>
      <c r="C146" s="0" t="n">
        <v>29</v>
      </c>
      <c r="D146" s="0" t="str">
        <f aca="false">IF('Boletins Nuppa Site'!G146&lt;&gt;0,'Boletins Nuppa Site'!G146,"NULL")</f>
        <v>NULL</v>
      </c>
      <c r="E146" s="30" t="n">
        <f aca="false">IF('Boletins Nuppa Site'!H146&lt;&gt;0,'Boletins Nuppa Site'!H146,"NULL")</f>
        <v>60</v>
      </c>
      <c r="F146" s="30" t="n">
        <f aca="false">IF('Boletins Nuppa Site'!I146&lt;&gt;0,'Boletins Nuppa Site'!I146,"NULL")</f>
        <v>70</v>
      </c>
      <c r="G146" s="30" t="n">
        <f aca="false">IF('Boletins Nuppa Site'!J146&lt;&gt;0,'Boletins Nuppa Site'!J146,"NULL")</f>
        <v>65</v>
      </c>
      <c r="H146" s="30" t="n">
        <f aca="false">IF('Boletins Nuppa Site'!K146&lt;&gt;0,'Boletins Nuppa Site'!K146,"NULL")</f>
        <v>65</v>
      </c>
      <c r="I146" s="0" t="str">
        <f aca="false">"INSERT INTO COTACAO (cot_id, cot_blt_id, cot_pap_id, cot_prc_comum, cot_prc_min, cot_prc_max, cot_prc_med, cot_prc_mediana) VALUES ("&amp;A146&amp;", "&amp;B146&amp;", "&amp;C146&amp;", "&amp;D146&amp;", "&amp;E146&amp;", "&amp;F146&amp;", "&amp;G146&amp;", "&amp;H146&amp;");"</f>
        <v>INSERT INTO COTACAO (cot_id, cot_blt_id, cot_pap_id, cot_prc_comum, cot_prc_min, cot_prc_max, cot_prc_med, cot_prc_mediana) VALUES (145, 40, 29, NULL, 60, 70, 65, 65);</v>
      </c>
      <c r="J146" s="0" t="str">
        <f aca="false">"UPDATE COTACAO SET cot_id = "&amp;A146&amp;", cot_blt_id = "&amp;B146&amp;", cot_pap_id = "&amp;C146&amp;", cot_prc_comum = "&amp;D146&amp;", cot_prc_min = "&amp;E146&amp;", cot_prc_max = "&amp;F146&amp;", cot_prc_med = "&amp;G146&amp;", cot_prc_mediana = "&amp;H146&amp;" WHERE cot_id = "&amp;A146&amp;";"</f>
        <v>UPDATE COTACAO SET cot_id = 145, cot_blt_id = 40, cot_pap_id = 29, cot_prc_comum = NULL, cot_prc_min = 60, cot_prc_max = 70, cot_prc_med = 65, cot_prc_mediana = 65 WHERE cot_id = 145;</v>
      </c>
    </row>
    <row r="147" customFormat="false" ht="14.25" hidden="false" customHeight="false" outlineLevel="0" collapsed="false">
      <c r="A147" s="0" t="n">
        <v>146</v>
      </c>
      <c r="B147" s="0" t="n">
        <f aca="false">IF('Boletins Nuppa Site'!A147&lt;&gt;0,'Boletins Nuppa Site'!A147,"NULL")</f>
        <v>40</v>
      </c>
      <c r="C147" s="0" t="n">
        <v>30</v>
      </c>
      <c r="D147" s="30" t="n">
        <f aca="false">IF('Boletins Nuppa Site'!G147&lt;&gt;0,'Boletins Nuppa Site'!G147,"NULL")</f>
        <v>60</v>
      </c>
      <c r="E147" s="30" t="n">
        <f aca="false">IF('Boletins Nuppa Site'!H147&lt;&gt;0,'Boletins Nuppa Site'!H147,"NULL")</f>
        <v>40</v>
      </c>
      <c r="F147" s="30" t="n">
        <f aca="false">IF('Boletins Nuppa Site'!I147&lt;&gt;0,'Boletins Nuppa Site'!I147,"NULL")</f>
        <v>60</v>
      </c>
      <c r="G147" s="30" t="n">
        <f aca="false">IF('Boletins Nuppa Site'!J147&lt;&gt;0,'Boletins Nuppa Site'!J147,"NULL")</f>
        <v>53</v>
      </c>
      <c r="H147" s="30" t="n">
        <f aca="false">IF('Boletins Nuppa Site'!K147&lt;&gt;0,'Boletins Nuppa Site'!K147,"NULL")</f>
        <v>60</v>
      </c>
      <c r="I147" s="0" t="str">
        <f aca="false">"INSERT INTO COTACAO (cot_id, cot_blt_id, cot_pap_id, cot_prc_comum, cot_prc_min, cot_prc_max, cot_prc_med, cot_prc_mediana) VALUES ("&amp;A147&amp;", "&amp;B147&amp;", "&amp;C147&amp;", "&amp;D147&amp;", "&amp;E147&amp;", "&amp;F147&amp;", "&amp;G147&amp;", "&amp;H147&amp;");"</f>
        <v>INSERT INTO COTACAO (cot_id, cot_blt_id, cot_pap_id, cot_prc_comum, cot_prc_min, cot_prc_max, cot_prc_med, cot_prc_mediana) VALUES (146, 40, 30, 60, 40, 60, 53, 60);</v>
      </c>
      <c r="J147" s="0" t="str">
        <f aca="false">"UPDATE COTACAO SET cot_id = "&amp;A147&amp;", cot_blt_id = "&amp;B147&amp;", cot_pap_id = "&amp;C147&amp;", cot_prc_comum = "&amp;D147&amp;", cot_prc_min = "&amp;E147&amp;", cot_prc_max = "&amp;F147&amp;", cot_prc_med = "&amp;G147&amp;", cot_prc_mediana = "&amp;H147&amp;" WHERE cot_id = "&amp;A147&amp;";"</f>
        <v>UPDATE COTACAO SET cot_id = 146, cot_blt_id = 40, cot_pap_id = 30, cot_prc_comum = 60, cot_prc_min = 40, cot_prc_max = 60, cot_prc_med = 53, cot_prc_mediana = 60 WHERE cot_id = 146;</v>
      </c>
    </row>
    <row r="148" customFormat="false" ht="14.25" hidden="false" customHeight="false" outlineLevel="0" collapsed="false">
      <c r="A148" s="0" t="n">
        <v>147</v>
      </c>
      <c r="B148" s="0" t="n">
        <f aca="false">IF('Boletins Nuppa Site'!A148&lt;&gt;0,'Boletins Nuppa Site'!A148,"NULL")</f>
        <v>40</v>
      </c>
      <c r="C148" s="0" t="n">
        <v>31</v>
      </c>
      <c r="D148" s="30" t="n">
        <f aca="false">IF('Boletins Nuppa Site'!G148&lt;&gt;0,'Boletins Nuppa Site'!G148,"NULL")</f>
        <v>70</v>
      </c>
      <c r="E148" s="30" t="n">
        <f aca="false">IF('Boletins Nuppa Site'!H148&lt;&gt;0,'Boletins Nuppa Site'!H148,"NULL")</f>
        <v>50</v>
      </c>
      <c r="F148" s="30" t="n">
        <f aca="false">IF('Boletins Nuppa Site'!I148&lt;&gt;0,'Boletins Nuppa Site'!I148,"NULL")</f>
        <v>90</v>
      </c>
      <c r="G148" s="0" t="str">
        <f aca="false">IF('Boletins Nuppa Site'!J148&lt;&gt;0,'Boletins Nuppa Site'!J148,"NULL")</f>
        <v>70.83</v>
      </c>
      <c r="H148" s="30" t="n">
        <f aca="false">IF('Boletins Nuppa Site'!K148&lt;&gt;0,'Boletins Nuppa Site'!K148,"NULL")</f>
        <v>70</v>
      </c>
      <c r="I148" s="0" t="str">
        <f aca="false">"INSERT INTO COTACAO (cot_id, cot_blt_id, cot_pap_id, cot_prc_comum, cot_prc_min, cot_prc_max, cot_prc_med, cot_prc_mediana) VALUES ("&amp;A148&amp;", "&amp;B148&amp;", "&amp;C148&amp;", "&amp;D148&amp;", "&amp;E148&amp;", "&amp;F148&amp;", "&amp;G148&amp;", "&amp;H148&amp;");"</f>
        <v>INSERT INTO COTACAO (cot_id, cot_blt_id, cot_pap_id, cot_prc_comum, cot_prc_min, cot_prc_max, cot_prc_med, cot_prc_mediana) VALUES (147, 40, 31, 70, 50, 90, 70.83, 70);</v>
      </c>
      <c r="J148" s="0" t="str">
        <f aca="false">"UPDATE COTACAO SET cot_id = "&amp;A148&amp;", cot_blt_id = "&amp;B148&amp;", cot_pap_id = "&amp;C148&amp;", cot_prc_comum = "&amp;D148&amp;", cot_prc_min = "&amp;E148&amp;", cot_prc_max = "&amp;F148&amp;", cot_prc_med = "&amp;G148&amp;", cot_prc_mediana = "&amp;H148&amp;" WHERE cot_id = "&amp;A148&amp;";"</f>
        <v>UPDATE COTACAO SET cot_id = 147, cot_blt_id = 40, cot_pap_id = 31, cot_prc_comum = 70, cot_prc_min = 50, cot_prc_max = 90, cot_prc_med = 70.83, cot_prc_mediana = 70 WHERE cot_id = 147;</v>
      </c>
    </row>
    <row r="149" customFormat="false" ht="14.25" hidden="false" customHeight="false" outlineLevel="0" collapsed="false">
      <c r="A149" s="0" t="n">
        <v>148</v>
      </c>
      <c r="B149" s="0" t="n">
        <f aca="false">IF('Boletins Nuppa Site'!A149&lt;&gt;0,'Boletins Nuppa Site'!A149,"NULL")</f>
        <v>40</v>
      </c>
      <c r="C149" s="0" t="n">
        <v>32</v>
      </c>
      <c r="D149" s="30" t="n">
        <f aca="false">IF('Boletins Nuppa Site'!G149&lt;&gt;0,'Boletins Nuppa Site'!G149,"NULL")</f>
        <v>40</v>
      </c>
      <c r="E149" s="30" t="n">
        <f aca="false">IF('Boletins Nuppa Site'!H149&lt;&gt;0,'Boletins Nuppa Site'!H149,"NULL")</f>
        <v>35</v>
      </c>
      <c r="F149" s="30" t="n">
        <f aca="false">IF('Boletins Nuppa Site'!I149&lt;&gt;0,'Boletins Nuppa Site'!I149,"NULL")</f>
        <v>40</v>
      </c>
      <c r="G149" s="0" t="str">
        <f aca="false">IF('Boletins Nuppa Site'!J149&lt;&gt;0,'Boletins Nuppa Site'!J149,"NULL")</f>
        <v>39.17</v>
      </c>
      <c r="H149" s="30" t="n">
        <f aca="false">IF('Boletins Nuppa Site'!K149&lt;&gt;0,'Boletins Nuppa Site'!K149,"NULL")</f>
        <v>40</v>
      </c>
      <c r="I149" s="0" t="str">
        <f aca="false">"INSERT INTO COTACAO (cot_id, cot_blt_id, cot_pap_id, cot_prc_comum, cot_prc_min, cot_prc_max, cot_prc_med, cot_prc_mediana) VALUES ("&amp;A149&amp;", "&amp;B149&amp;", "&amp;C149&amp;", "&amp;D149&amp;", "&amp;E149&amp;", "&amp;F149&amp;", "&amp;G149&amp;", "&amp;H149&amp;");"</f>
        <v>INSERT INTO COTACAO (cot_id, cot_blt_id, cot_pap_id, cot_prc_comum, cot_prc_min, cot_prc_max, cot_prc_med, cot_prc_mediana) VALUES (148, 40, 32, 40, 35, 40, 39.17, 40);</v>
      </c>
      <c r="J149" s="0" t="str">
        <f aca="false">"UPDATE COTACAO SET cot_id = "&amp;A149&amp;", cot_blt_id = "&amp;B149&amp;", cot_pap_id = "&amp;C149&amp;", cot_prc_comum = "&amp;D149&amp;", cot_prc_min = "&amp;E149&amp;", cot_prc_max = "&amp;F149&amp;", cot_prc_med = "&amp;G149&amp;", cot_prc_mediana = "&amp;H149&amp;" WHERE cot_id = "&amp;A149&amp;";"</f>
        <v>UPDATE COTACAO SET cot_id = 148, cot_blt_id = 40, cot_pap_id = 32, cot_prc_comum = 40, cot_prc_min = 35, cot_prc_max = 40, cot_prc_med = 39.17, cot_prc_mediana = 40 WHERE cot_id = 148;</v>
      </c>
    </row>
    <row r="150" customFormat="false" ht="14.25" hidden="false" customHeight="false" outlineLevel="0" collapsed="false">
      <c r="A150" s="0" t="n">
        <v>149</v>
      </c>
      <c r="B150" s="0" t="n">
        <f aca="false">IF('Boletins Nuppa Site'!A150&lt;&gt;0,'Boletins Nuppa Site'!A150,"NULL")</f>
        <v>40</v>
      </c>
      <c r="C150" s="0" t="n">
        <v>33</v>
      </c>
      <c r="D150" s="30" t="n">
        <f aca="false">IF('Boletins Nuppa Site'!G150&lt;&gt;0,'Boletins Nuppa Site'!G150,"NULL")</f>
        <v>80</v>
      </c>
      <c r="E150" s="30" t="n">
        <f aca="false">IF('Boletins Nuppa Site'!H150&lt;&gt;0,'Boletins Nuppa Site'!H150,"NULL")</f>
        <v>80</v>
      </c>
      <c r="F150" s="30" t="n">
        <f aca="false">IF('Boletins Nuppa Site'!I150&lt;&gt;0,'Boletins Nuppa Site'!I150,"NULL")</f>
        <v>100</v>
      </c>
      <c r="G150" s="30" t="n">
        <f aca="false">IF('Boletins Nuppa Site'!J150&lt;&gt;0,'Boletins Nuppa Site'!J150,"NULL")</f>
        <v>85</v>
      </c>
      <c r="H150" s="30" t="n">
        <f aca="false">IF('Boletins Nuppa Site'!K150&lt;&gt;0,'Boletins Nuppa Site'!K150,"NULL")</f>
        <v>80</v>
      </c>
      <c r="I150" s="0" t="str">
        <f aca="false">"INSERT INTO COTACAO (cot_id, cot_blt_id, cot_pap_id, cot_prc_comum, cot_prc_min, cot_prc_max, cot_prc_med, cot_prc_mediana) VALUES ("&amp;A150&amp;", "&amp;B150&amp;", "&amp;C150&amp;", "&amp;D150&amp;", "&amp;E150&amp;", "&amp;F150&amp;", "&amp;G150&amp;", "&amp;H150&amp;");"</f>
        <v>INSERT INTO COTACAO (cot_id, cot_blt_id, cot_pap_id, cot_prc_comum, cot_prc_min, cot_prc_max, cot_prc_med, cot_prc_mediana) VALUES (149, 40, 33, 80, 80, 100, 85, 80);</v>
      </c>
      <c r="J150" s="0" t="str">
        <f aca="false">"UPDATE COTACAO SET cot_id = "&amp;A150&amp;", cot_blt_id = "&amp;B150&amp;", cot_pap_id = "&amp;C150&amp;", cot_prc_comum = "&amp;D150&amp;", cot_prc_min = "&amp;E150&amp;", cot_prc_max = "&amp;F150&amp;", cot_prc_med = "&amp;G150&amp;", cot_prc_mediana = "&amp;H150&amp;" WHERE cot_id = "&amp;A150&amp;";"</f>
        <v>UPDATE COTACAO SET cot_id = 149, cot_blt_id = 40, cot_pap_id = 33, cot_prc_comum = 80, cot_prc_min = 80, cot_prc_max = 100, cot_prc_med = 85, cot_prc_mediana = 80 WHERE cot_id = 149;</v>
      </c>
    </row>
    <row r="151" customFormat="false" ht="14.25" hidden="false" customHeight="false" outlineLevel="0" collapsed="false">
      <c r="A151" s="0" t="n">
        <v>150</v>
      </c>
      <c r="B151" s="0" t="n">
        <f aca="false">IF('Boletins Nuppa Site'!A151&lt;&gt;0,'Boletins Nuppa Site'!A151,"NULL")</f>
        <v>40</v>
      </c>
      <c r="C151" s="0" t="n">
        <v>34</v>
      </c>
      <c r="D151" s="30" t="n">
        <f aca="false">IF('Boletins Nuppa Site'!G151&lt;&gt;0,'Boletins Nuppa Site'!G151,"NULL")</f>
        <v>70</v>
      </c>
      <c r="E151" s="30" t="n">
        <f aca="false">IF('Boletins Nuppa Site'!H151&lt;&gt;0,'Boletins Nuppa Site'!H151,"NULL")</f>
        <v>70</v>
      </c>
      <c r="F151" s="30" t="n">
        <f aca="false">IF('Boletins Nuppa Site'!I151&lt;&gt;0,'Boletins Nuppa Site'!I151,"NULL")</f>
        <v>80</v>
      </c>
      <c r="G151" s="0" t="str">
        <f aca="false">IF('Boletins Nuppa Site'!J151&lt;&gt;0,'Boletins Nuppa Site'!J151,"NULL")</f>
        <v>73.33</v>
      </c>
      <c r="H151" s="30" t="n">
        <f aca="false">IF('Boletins Nuppa Site'!K151&lt;&gt;0,'Boletins Nuppa Site'!K151,"NULL")</f>
        <v>70</v>
      </c>
      <c r="I151" s="0" t="str">
        <f aca="false">"INSERT INTO COTACAO (cot_id, cot_blt_id, cot_pap_id, cot_prc_comum, cot_prc_min, cot_prc_max, cot_prc_med, cot_prc_mediana) VALUES ("&amp;A151&amp;", "&amp;B151&amp;", "&amp;C151&amp;", "&amp;D151&amp;", "&amp;E151&amp;", "&amp;F151&amp;", "&amp;G151&amp;", "&amp;H151&amp;");"</f>
        <v>INSERT INTO COTACAO (cot_id, cot_blt_id, cot_pap_id, cot_prc_comum, cot_prc_min, cot_prc_max, cot_prc_med, cot_prc_mediana) VALUES (150, 40, 34, 70, 70, 80, 73.33, 70);</v>
      </c>
      <c r="J151" s="0" t="str">
        <f aca="false">"UPDATE COTACAO SET cot_id = "&amp;A151&amp;", cot_blt_id = "&amp;B151&amp;", cot_pap_id = "&amp;C151&amp;", cot_prc_comum = "&amp;D151&amp;", cot_prc_min = "&amp;E151&amp;", cot_prc_max = "&amp;F151&amp;", cot_prc_med = "&amp;G151&amp;", cot_prc_mediana = "&amp;H151&amp;" WHERE cot_id = "&amp;A151&amp;";"</f>
        <v>UPDATE COTACAO SET cot_id = 150, cot_blt_id = 40, cot_pap_id = 34, cot_prc_comum = 70, cot_prc_min = 70, cot_prc_max = 80, cot_prc_med = 73.33, cot_prc_mediana = 70 WHERE cot_id = 150;</v>
      </c>
    </row>
    <row r="152" customFormat="false" ht="14.25" hidden="false" customHeight="false" outlineLevel="0" collapsed="false">
      <c r="A152" s="0" t="n">
        <v>151</v>
      </c>
      <c r="B152" s="0" t="n">
        <f aca="false">IF('Boletins Nuppa Site'!A152&lt;&gt;0,'Boletins Nuppa Site'!A152,"NULL")</f>
        <v>40</v>
      </c>
      <c r="C152" s="0" t="n">
        <v>35</v>
      </c>
      <c r="D152" s="30" t="n">
        <f aca="false">IF('Boletins Nuppa Site'!G152&lt;&gt;0,'Boletins Nuppa Site'!G152,"NULL")</f>
        <v>100</v>
      </c>
      <c r="E152" s="30" t="n">
        <f aca="false">IF('Boletins Nuppa Site'!H152&lt;&gt;0,'Boletins Nuppa Site'!H152,"NULL")</f>
        <v>100</v>
      </c>
      <c r="F152" s="30" t="n">
        <f aca="false">IF('Boletins Nuppa Site'!I152&lt;&gt;0,'Boletins Nuppa Site'!I152,"NULL")</f>
        <v>120</v>
      </c>
      <c r="G152" s="0" t="str">
        <f aca="false">IF('Boletins Nuppa Site'!J152&lt;&gt;0,'Boletins Nuppa Site'!J152,"NULL")</f>
        <v>107.5</v>
      </c>
      <c r="H152" s="30" t="n">
        <f aca="false">IF('Boletins Nuppa Site'!K152&lt;&gt;0,'Boletins Nuppa Site'!K152,"NULL")</f>
        <v>105</v>
      </c>
      <c r="I152" s="0" t="str">
        <f aca="false">"INSERT INTO COTACAO (cot_id, cot_blt_id, cot_pap_id, cot_prc_comum, cot_prc_min, cot_prc_max, cot_prc_med, cot_prc_mediana) VALUES ("&amp;A152&amp;", "&amp;B152&amp;", "&amp;C152&amp;", "&amp;D152&amp;", "&amp;E152&amp;", "&amp;F152&amp;", "&amp;G152&amp;", "&amp;H152&amp;");"</f>
        <v>INSERT INTO COTACAO (cot_id, cot_blt_id, cot_pap_id, cot_prc_comum, cot_prc_min, cot_prc_max, cot_prc_med, cot_prc_mediana) VALUES (151, 40, 35, 100, 100, 120, 107.5, 105);</v>
      </c>
      <c r="J152" s="0" t="str">
        <f aca="false">"UPDATE COTACAO SET cot_id = "&amp;A152&amp;", cot_blt_id = "&amp;B152&amp;", cot_pap_id = "&amp;C152&amp;", cot_prc_comum = "&amp;D152&amp;", cot_prc_min = "&amp;E152&amp;", cot_prc_max = "&amp;F152&amp;", cot_prc_med = "&amp;G152&amp;", cot_prc_mediana = "&amp;H152&amp;" WHERE cot_id = "&amp;A152&amp;";"</f>
        <v>UPDATE COTACAO SET cot_id = 151, cot_blt_id = 40, cot_pap_id = 35, cot_prc_comum = 100, cot_prc_min = 100, cot_prc_max = 120, cot_prc_med = 107.5, cot_prc_mediana = 105 WHERE cot_id = 151;</v>
      </c>
    </row>
    <row r="153" customFormat="false" ht="14.25" hidden="false" customHeight="false" outlineLevel="0" collapsed="false">
      <c r="A153" s="0" t="n">
        <v>152</v>
      </c>
      <c r="B153" s="0" t="n">
        <f aca="false">IF('Boletins Nuppa Site'!A153&lt;&gt;0,'Boletins Nuppa Site'!A153,"NULL")</f>
        <v>40</v>
      </c>
      <c r="C153" s="0" t="n">
        <v>36</v>
      </c>
      <c r="D153" s="0" t="str">
        <f aca="false">IF('Boletins Nuppa Site'!G153&lt;&gt;0,'Boletins Nuppa Site'!G153,"NULL")</f>
        <v>NULL</v>
      </c>
      <c r="E153" s="0" t="str">
        <f aca="false">IF('Boletins Nuppa Site'!H153&lt;&gt;0,'Boletins Nuppa Site'!H153,"NULL")</f>
        <v>NULL</v>
      </c>
      <c r="F153" s="0" t="str">
        <f aca="false">IF('Boletins Nuppa Site'!I153&lt;&gt;0,'Boletins Nuppa Site'!I153,"NULL")</f>
        <v>NULL</v>
      </c>
      <c r="G153" s="0" t="str">
        <f aca="false">IF('Boletins Nuppa Site'!J153&lt;&gt;0,'Boletins Nuppa Site'!J153,"NULL")</f>
        <v>NULL</v>
      </c>
      <c r="H153" s="0" t="str">
        <f aca="false">IF('Boletins Nuppa Site'!K153&lt;&gt;0,'Boletins Nuppa Site'!K153,"NULL")</f>
        <v>NULL</v>
      </c>
      <c r="I153" s="0" t="str">
        <f aca="false">"INSERT INTO COTACAO (cot_id, cot_blt_id, cot_pap_id, cot_prc_comum, cot_prc_min, cot_prc_max, cot_prc_med, cot_prc_mediana) VALUES ("&amp;A153&amp;", "&amp;B153&amp;", "&amp;C153&amp;", "&amp;D153&amp;", "&amp;E153&amp;", "&amp;F153&amp;", "&amp;G153&amp;", "&amp;H153&amp;");"</f>
        <v>INSERT INTO COTACAO (cot_id, cot_blt_id, cot_pap_id, cot_prc_comum, cot_prc_min, cot_prc_max, cot_prc_med, cot_prc_mediana) VALUES (152, 40, 36, NULL, NULL, NULL, NULL, NULL);</v>
      </c>
      <c r="J153" s="0" t="str">
        <f aca="false">"UPDATE COTACAO SET cot_id = "&amp;A153&amp;", cot_blt_id = "&amp;B153&amp;", cot_pap_id = "&amp;C153&amp;", cot_prc_comum = "&amp;D153&amp;", cot_prc_min = "&amp;E153&amp;", cot_prc_max = "&amp;F153&amp;", cot_prc_med = "&amp;G153&amp;", cot_prc_mediana = "&amp;H153&amp;" WHERE cot_id = "&amp;A153&amp;";"</f>
        <v>UPDATE COTACAO SET cot_id = 152, cot_blt_id = 40, cot_pap_id = 36, cot_prc_comum = NULL, cot_prc_min = NULL, cot_prc_max = NULL, cot_prc_med = NULL, cot_prc_mediana = NULL WHERE cot_id = 152;</v>
      </c>
    </row>
    <row r="154" customFormat="false" ht="14.25" hidden="false" customHeight="false" outlineLevel="0" collapsed="false">
      <c r="A154" s="0" t="n">
        <v>153</v>
      </c>
      <c r="B154" s="0" t="n">
        <f aca="false">IF('Boletins Nuppa Site'!A154&lt;&gt;0,'Boletins Nuppa Site'!A154,"NULL")</f>
        <v>40</v>
      </c>
      <c r="C154" s="0" t="n">
        <v>37</v>
      </c>
      <c r="D154" s="0" t="str">
        <f aca="false">IF('Boletins Nuppa Site'!G154&lt;&gt;0,'Boletins Nuppa Site'!G154,"NULL")</f>
        <v>NULL</v>
      </c>
      <c r="E154" s="0" t="str">
        <f aca="false">IF('Boletins Nuppa Site'!H154&lt;&gt;0,'Boletins Nuppa Site'!H154,"NULL")</f>
        <v>NULL</v>
      </c>
      <c r="F154" s="0" t="str">
        <f aca="false">IF('Boletins Nuppa Site'!I154&lt;&gt;0,'Boletins Nuppa Site'!I154,"NULL")</f>
        <v>NULL</v>
      </c>
      <c r="G154" s="0" t="str">
        <f aca="false">IF('Boletins Nuppa Site'!J154&lt;&gt;0,'Boletins Nuppa Site'!J154,"NULL")</f>
        <v>NULL</v>
      </c>
      <c r="H154" s="0" t="str">
        <f aca="false">IF('Boletins Nuppa Site'!K154&lt;&gt;0,'Boletins Nuppa Site'!K154,"NULL")</f>
        <v>NULL</v>
      </c>
      <c r="I154" s="0" t="str">
        <f aca="false">"INSERT INTO COTACAO (cot_id, cot_blt_id, cot_pap_id, cot_prc_comum, cot_prc_min, cot_prc_max, cot_prc_med, cot_prc_mediana) VALUES ("&amp;A154&amp;", "&amp;B154&amp;", "&amp;C154&amp;", "&amp;D154&amp;", "&amp;E154&amp;", "&amp;F154&amp;", "&amp;G154&amp;", "&amp;H154&amp;");"</f>
        <v>INSERT INTO COTACAO (cot_id, cot_blt_id, cot_pap_id, cot_prc_comum, cot_prc_min, cot_prc_max, cot_prc_med, cot_prc_mediana) VALUES (153, 40, 37, NULL, NULL, NULL, NULL, NULL);</v>
      </c>
      <c r="J154" s="0" t="str">
        <f aca="false">"UPDATE COTACAO SET cot_id = "&amp;A154&amp;", cot_blt_id = "&amp;B154&amp;", cot_pap_id = "&amp;C154&amp;", cot_prc_comum = "&amp;D154&amp;", cot_prc_min = "&amp;E154&amp;", cot_prc_max = "&amp;F154&amp;", cot_prc_med = "&amp;G154&amp;", cot_prc_mediana = "&amp;H154&amp;" WHERE cot_id = "&amp;A154&amp;";"</f>
        <v>UPDATE COTACAO SET cot_id = 153, cot_blt_id = 40, cot_pap_id = 37, cot_prc_comum = NULL, cot_prc_min = NULL, cot_prc_max = NULL, cot_prc_med = NULL, cot_prc_mediana = NULL WHERE cot_id = 153;</v>
      </c>
    </row>
    <row r="155" customFormat="false" ht="14.25" hidden="false" customHeight="false" outlineLevel="0" collapsed="false">
      <c r="A155" s="0" t="n">
        <v>154</v>
      </c>
      <c r="B155" s="0" t="n">
        <f aca="false">IF('Boletins Nuppa Site'!A155&lt;&gt;0,'Boletins Nuppa Site'!A155,"NULL")</f>
        <v>40</v>
      </c>
      <c r="C155" s="0" t="n">
        <v>38</v>
      </c>
      <c r="D155" s="0" t="str">
        <f aca="false">IF('Boletins Nuppa Site'!G155&lt;&gt;0,'Boletins Nuppa Site'!G155,"NULL")</f>
        <v>NULL</v>
      </c>
      <c r="E155" s="0" t="str">
        <f aca="false">IF('Boletins Nuppa Site'!H155&lt;&gt;0,'Boletins Nuppa Site'!H155,"NULL")</f>
        <v>NULL</v>
      </c>
      <c r="F155" s="0" t="str">
        <f aca="false">IF('Boletins Nuppa Site'!I155&lt;&gt;0,'Boletins Nuppa Site'!I155,"NULL")</f>
        <v>NULL</v>
      </c>
      <c r="G155" s="0" t="str">
        <f aca="false">IF('Boletins Nuppa Site'!J155&lt;&gt;0,'Boletins Nuppa Site'!J155,"NULL")</f>
        <v>NULL</v>
      </c>
      <c r="H155" s="0" t="str">
        <f aca="false">IF('Boletins Nuppa Site'!K155&lt;&gt;0,'Boletins Nuppa Site'!K155,"NULL")</f>
        <v>NULL</v>
      </c>
      <c r="I155" s="0" t="str">
        <f aca="false">"INSERT INTO COTACAO (cot_id, cot_blt_id, cot_pap_id, cot_prc_comum, cot_prc_min, cot_prc_max, cot_prc_med, cot_prc_mediana) VALUES ("&amp;A155&amp;", "&amp;B155&amp;", "&amp;C155&amp;", "&amp;D155&amp;", "&amp;E155&amp;", "&amp;F155&amp;", "&amp;G155&amp;", "&amp;H155&amp;");"</f>
        <v>INSERT INTO COTACAO (cot_id, cot_blt_id, cot_pap_id, cot_prc_comum, cot_prc_min, cot_prc_max, cot_prc_med, cot_prc_mediana) VALUES (154, 40, 38, NULL, NULL, NULL, NULL, NULL);</v>
      </c>
      <c r="J155" s="0" t="str">
        <f aca="false">"UPDATE COTACAO SET cot_id = "&amp;A155&amp;", cot_blt_id = "&amp;B155&amp;", cot_pap_id = "&amp;C155&amp;", cot_prc_comum = "&amp;D155&amp;", cot_prc_min = "&amp;E155&amp;", cot_prc_max = "&amp;F155&amp;", cot_prc_med = "&amp;G155&amp;", cot_prc_mediana = "&amp;H155&amp;" WHERE cot_id = "&amp;A155&amp;";"</f>
        <v>UPDATE COTACAO SET cot_id = 154, cot_blt_id = 40, cot_pap_id = 38, cot_prc_comum = NULL, cot_prc_min = NULL, cot_prc_max = NULL, cot_prc_med = NULL, cot_prc_mediana = NULL WHERE cot_id = 154;</v>
      </c>
    </row>
    <row r="156" customFormat="false" ht="14.25" hidden="false" customHeight="false" outlineLevel="0" collapsed="false">
      <c r="A156" s="0" t="n">
        <v>155</v>
      </c>
      <c r="B156" s="0" t="n">
        <f aca="false">IF('Boletins Nuppa Site'!A156&lt;&gt;0,'Boletins Nuppa Site'!A156,"NULL")</f>
        <v>40</v>
      </c>
      <c r="C156" s="0" t="n">
        <v>39</v>
      </c>
      <c r="D156" s="0" t="str">
        <f aca="false">IF('Boletins Nuppa Site'!G156&lt;&gt;0,'Boletins Nuppa Site'!G156,"NULL")</f>
        <v>NULL</v>
      </c>
      <c r="E156" s="0" t="str">
        <f aca="false">IF('Boletins Nuppa Site'!H156&lt;&gt;0,'Boletins Nuppa Site'!H156,"NULL")</f>
        <v>NULL</v>
      </c>
      <c r="F156" s="0" t="str">
        <f aca="false">IF('Boletins Nuppa Site'!I156&lt;&gt;0,'Boletins Nuppa Site'!I156,"NULL")</f>
        <v>NULL</v>
      </c>
      <c r="G156" s="0" t="str">
        <f aca="false">IF('Boletins Nuppa Site'!J156&lt;&gt;0,'Boletins Nuppa Site'!J156,"NULL")</f>
        <v>NULL</v>
      </c>
      <c r="H156" s="0" t="str">
        <f aca="false">IF('Boletins Nuppa Site'!K156&lt;&gt;0,'Boletins Nuppa Site'!K156,"NULL")</f>
        <v>NULL</v>
      </c>
      <c r="I156" s="0" t="str">
        <f aca="false">"INSERT INTO COTACAO (cot_id, cot_blt_id, cot_pap_id, cot_prc_comum, cot_prc_min, cot_prc_max, cot_prc_med, cot_prc_mediana) VALUES ("&amp;A156&amp;", "&amp;B156&amp;", "&amp;C156&amp;", "&amp;D156&amp;", "&amp;E156&amp;", "&amp;F156&amp;", "&amp;G156&amp;", "&amp;H156&amp;");"</f>
        <v>INSERT INTO COTACAO (cot_id, cot_blt_id, cot_pap_id, cot_prc_comum, cot_prc_min, cot_prc_max, cot_prc_med, cot_prc_mediana) VALUES (155, 40, 39, NULL, NULL, NULL, NULL, NULL);</v>
      </c>
      <c r="J156" s="0" t="str">
        <f aca="false">"UPDATE COTACAO SET cot_id = "&amp;A156&amp;", cot_blt_id = "&amp;B156&amp;", cot_pap_id = "&amp;C156&amp;", cot_prc_comum = "&amp;D156&amp;", cot_prc_min = "&amp;E156&amp;", cot_prc_max = "&amp;F156&amp;", cot_prc_med = "&amp;G156&amp;", cot_prc_mediana = "&amp;H156&amp;" WHERE cot_id = "&amp;A156&amp;";"</f>
        <v>UPDATE COTACAO SET cot_id = 155, cot_blt_id = 40, cot_pap_id = 39, cot_prc_comum = NULL, cot_prc_min = NULL, cot_prc_max = NULL, cot_prc_med = NULL, cot_prc_mediana = NULL WHERE cot_id = 155;</v>
      </c>
    </row>
    <row r="157" customFormat="false" ht="14.25" hidden="false" customHeight="false" outlineLevel="0" collapsed="false">
      <c r="A157" s="0" t="n">
        <v>156</v>
      </c>
      <c r="B157" s="0" t="n">
        <f aca="false">IF('Boletins Nuppa Site'!A157&lt;&gt;0,'Boletins Nuppa Site'!A157,"NULL")</f>
        <v>40</v>
      </c>
      <c r="C157" s="0" t="n">
        <v>40</v>
      </c>
      <c r="D157" s="0" t="str">
        <f aca="false">IF('Boletins Nuppa Site'!G157&lt;&gt;0,'Boletins Nuppa Site'!G157,"NULL")</f>
        <v>NULL</v>
      </c>
      <c r="E157" s="0" t="str">
        <f aca="false">IF('Boletins Nuppa Site'!H157&lt;&gt;0,'Boletins Nuppa Site'!H157,"NULL")</f>
        <v>NULL</v>
      </c>
      <c r="F157" s="0" t="str">
        <f aca="false">IF('Boletins Nuppa Site'!I157&lt;&gt;0,'Boletins Nuppa Site'!I157,"NULL")</f>
        <v>NULL</v>
      </c>
      <c r="G157" s="0" t="str">
        <f aca="false">IF('Boletins Nuppa Site'!J157&lt;&gt;0,'Boletins Nuppa Site'!J157,"NULL")</f>
        <v>NULL</v>
      </c>
      <c r="H157" s="0" t="str">
        <f aca="false">IF('Boletins Nuppa Site'!K157&lt;&gt;0,'Boletins Nuppa Site'!K157,"NULL")</f>
        <v>NULL</v>
      </c>
      <c r="I157" s="0" t="str">
        <f aca="false">"INSERT INTO COTACAO (cot_id, cot_blt_id, cot_pap_id, cot_prc_comum, cot_prc_min, cot_prc_max, cot_prc_med, cot_prc_mediana) VALUES ("&amp;A157&amp;", "&amp;B157&amp;", "&amp;C157&amp;", "&amp;D157&amp;", "&amp;E157&amp;", "&amp;F157&amp;", "&amp;G157&amp;", "&amp;H157&amp;");"</f>
        <v>INSERT INTO COTACAO (cot_id, cot_blt_id, cot_pap_id, cot_prc_comum, cot_prc_min, cot_prc_max, cot_prc_med, cot_prc_mediana) VALUES (156, 40, 40, NULL, NULL, NULL, NULL, NULL);</v>
      </c>
      <c r="J157" s="0" t="str">
        <f aca="false">"UPDATE COTACAO SET cot_id = "&amp;A157&amp;", cot_blt_id = "&amp;B157&amp;", cot_pap_id = "&amp;C157&amp;", cot_prc_comum = "&amp;D157&amp;", cot_prc_min = "&amp;E157&amp;", cot_prc_max = "&amp;F157&amp;", cot_prc_med = "&amp;G157&amp;", cot_prc_mediana = "&amp;H157&amp;" WHERE cot_id = "&amp;A157&amp;";"</f>
        <v>UPDATE COTACAO SET cot_id = 156, cot_blt_id = 40, cot_pap_id = 40, cot_prc_comum = NULL, cot_prc_min = NULL, cot_prc_max = NULL, cot_prc_med = NULL, cot_prc_mediana = NULL WHERE cot_id = 156;</v>
      </c>
    </row>
    <row r="158" customFormat="false" ht="14.25" hidden="false" customHeight="false" outlineLevel="0" collapsed="false">
      <c r="A158" s="0" t="n">
        <v>157</v>
      </c>
      <c r="B158" s="0" t="n">
        <f aca="false">IF('Boletins Nuppa Site'!A158&lt;&gt;0,'Boletins Nuppa Site'!A158,"NULL")</f>
        <v>41</v>
      </c>
      <c r="C158" s="0" t="n">
        <v>1</v>
      </c>
      <c r="D158" s="30" t="n">
        <f aca="false">IF('Boletins Nuppa Site'!G158&lt;&gt;0,'Boletins Nuppa Site'!G158,"NULL")</f>
        <v>42</v>
      </c>
      <c r="E158" s="30" t="n">
        <f aca="false">IF('Boletins Nuppa Site'!H158&lt;&gt;0,'Boletins Nuppa Site'!H158,"NULL")</f>
        <v>42</v>
      </c>
      <c r="F158" s="30" t="n">
        <f aca="false">IF('Boletins Nuppa Site'!I158&lt;&gt;0,'Boletins Nuppa Site'!I158,"NULL")</f>
        <v>42</v>
      </c>
      <c r="G158" s="30" t="n">
        <f aca="false">IF('Boletins Nuppa Site'!J158&lt;&gt;0,'Boletins Nuppa Site'!J158,"NULL")</f>
        <v>42</v>
      </c>
      <c r="H158" s="30" t="n">
        <f aca="false">IF('Boletins Nuppa Site'!K158&lt;&gt;0,'Boletins Nuppa Site'!K158,"NULL")</f>
        <v>42</v>
      </c>
      <c r="I158" s="0" t="str">
        <f aca="false">"INSERT INTO COTACAO (cot_id, cot_blt_id, cot_pap_id, cot_prc_comum, cot_prc_min, cot_prc_max, cot_prc_med, cot_prc_mediana) VALUES ("&amp;A158&amp;", "&amp;B158&amp;", "&amp;C158&amp;", "&amp;D158&amp;", "&amp;E158&amp;", "&amp;F158&amp;", "&amp;G158&amp;", "&amp;H158&amp;");"</f>
        <v>INSERT INTO COTACAO (cot_id, cot_blt_id, cot_pap_id, cot_prc_comum, cot_prc_min, cot_prc_max, cot_prc_med, cot_prc_mediana) VALUES (157, 41, 1, 42, 42, 42, 42, 42);</v>
      </c>
      <c r="J158" s="0" t="str">
        <f aca="false">"UPDATE COTACAO SET cot_id = "&amp;A158&amp;", cot_blt_id = "&amp;B158&amp;", cot_pap_id = "&amp;C158&amp;", cot_prc_comum = "&amp;D158&amp;", cot_prc_min = "&amp;E158&amp;", cot_prc_max = "&amp;F158&amp;", cot_prc_med = "&amp;G158&amp;", cot_prc_mediana = "&amp;H158&amp;" WHERE cot_id = "&amp;A158&amp;";"</f>
        <v>UPDATE COTACAO SET cot_id = 157, cot_blt_id = 41, cot_pap_id = 1, cot_prc_comum = 42, cot_prc_min = 42, cot_prc_max = 42, cot_prc_med = 42, cot_prc_mediana = 42 WHERE cot_id = 157;</v>
      </c>
    </row>
    <row r="159" customFormat="false" ht="14.25" hidden="false" customHeight="false" outlineLevel="0" collapsed="false">
      <c r="A159" s="0" t="n">
        <v>158</v>
      </c>
      <c r="B159" s="0" t="n">
        <f aca="false">IF('Boletins Nuppa Site'!A159&lt;&gt;0,'Boletins Nuppa Site'!A159,"NULL")</f>
        <v>41</v>
      </c>
      <c r="C159" s="0" t="n">
        <v>2</v>
      </c>
      <c r="D159" s="30" t="n">
        <f aca="false">IF('Boletins Nuppa Site'!G159&lt;&gt;0,'Boletins Nuppa Site'!G159,"NULL")</f>
        <v>60</v>
      </c>
      <c r="E159" s="30" t="n">
        <f aca="false">IF('Boletins Nuppa Site'!H159&lt;&gt;0,'Boletins Nuppa Site'!H159,"NULL")</f>
        <v>60</v>
      </c>
      <c r="F159" s="30" t="n">
        <f aca="false">IF('Boletins Nuppa Site'!I159&lt;&gt;0,'Boletins Nuppa Site'!I159,"NULL")</f>
        <v>60</v>
      </c>
      <c r="G159" s="30" t="n">
        <f aca="false">IF('Boletins Nuppa Site'!J159&lt;&gt;0,'Boletins Nuppa Site'!J159,"NULL")</f>
        <v>60</v>
      </c>
      <c r="H159" s="30" t="n">
        <f aca="false">IF('Boletins Nuppa Site'!K159&lt;&gt;0,'Boletins Nuppa Site'!K159,"NULL")</f>
        <v>60</v>
      </c>
      <c r="I159" s="0" t="str">
        <f aca="false">"INSERT INTO COTACAO (cot_id, cot_blt_id, cot_pap_id, cot_prc_comum, cot_prc_min, cot_prc_max, cot_prc_med, cot_prc_mediana) VALUES ("&amp;A159&amp;", "&amp;B159&amp;", "&amp;C159&amp;", "&amp;D159&amp;", "&amp;E159&amp;", "&amp;F159&amp;", "&amp;G159&amp;", "&amp;H159&amp;");"</f>
        <v>INSERT INTO COTACAO (cot_id, cot_blt_id, cot_pap_id, cot_prc_comum, cot_prc_min, cot_prc_max, cot_prc_med, cot_prc_mediana) VALUES (158, 41, 2, 60, 60, 60, 60, 60);</v>
      </c>
      <c r="J159" s="0" t="str">
        <f aca="false">"UPDATE COTACAO SET cot_id = "&amp;A159&amp;", cot_blt_id = "&amp;B159&amp;", cot_pap_id = "&amp;C159&amp;", cot_prc_comum = "&amp;D159&amp;", cot_prc_min = "&amp;E159&amp;", cot_prc_max = "&amp;F159&amp;", cot_prc_med = "&amp;G159&amp;", cot_prc_mediana = "&amp;H159&amp;" WHERE cot_id = "&amp;A159&amp;";"</f>
        <v>UPDATE COTACAO SET cot_id = 158, cot_blt_id = 41, cot_pap_id = 2, cot_prc_comum = 60, cot_prc_min = 60, cot_prc_max = 60, cot_prc_med = 60, cot_prc_mediana = 60 WHERE cot_id = 158;</v>
      </c>
    </row>
    <row r="160" customFormat="false" ht="14.25" hidden="false" customHeight="false" outlineLevel="0" collapsed="false">
      <c r="A160" s="0" t="n">
        <v>159</v>
      </c>
      <c r="B160" s="0" t="n">
        <f aca="false">IF('Boletins Nuppa Site'!A160&lt;&gt;0,'Boletins Nuppa Site'!A160,"NULL")</f>
        <v>41</v>
      </c>
      <c r="C160" s="0" t="n">
        <v>3</v>
      </c>
      <c r="D160" s="30" t="n">
        <f aca="false">IF('Boletins Nuppa Site'!G160&lt;&gt;0,'Boletins Nuppa Site'!G160,"NULL")</f>
        <v>30</v>
      </c>
      <c r="E160" s="30" t="n">
        <f aca="false">IF('Boletins Nuppa Site'!H160&lt;&gt;0,'Boletins Nuppa Site'!H160,"NULL")</f>
        <v>30</v>
      </c>
      <c r="F160" s="30" t="n">
        <f aca="false">IF('Boletins Nuppa Site'!I160&lt;&gt;0,'Boletins Nuppa Site'!I160,"NULL")</f>
        <v>42</v>
      </c>
      <c r="G160" s="0" t="str">
        <f aca="false">IF('Boletins Nuppa Site'!J160&lt;&gt;0,'Boletins Nuppa Site'!J160,"NULL")</f>
        <v>34.25</v>
      </c>
      <c r="H160" s="0" t="str">
        <f aca="false">IF('Boletins Nuppa Site'!K160&lt;&gt;0,'Boletins Nuppa Site'!K160,"NULL")</f>
        <v>32.5</v>
      </c>
      <c r="I160" s="0" t="str">
        <f aca="false">"INSERT INTO COTACAO (cot_id, cot_blt_id, cot_pap_id, cot_prc_comum, cot_prc_min, cot_prc_max, cot_prc_med, cot_prc_mediana) VALUES ("&amp;A160&amp;", "&amp;B160&amp;", "&amp;C160&amp;", "&amp;D160&amp;", "&amp;E160&amp;", "&amp;F160&amp;", "&amp;G160&amp;", "&amp;H160&amp;");"</f>
        <v>INSERT INTO COTACAO (cot_id, cot_blt_id, cot_pap_id, cot_prc_comum, cot_prc_min, cot_prc_max, cot_prc_med, cot_prc_mediana) VALUES (159, 41, 3, 30, 30, 42, 34.25, 32.5);</v>
      </c>
      <c r="J160" s="0" t="str">
        <f aca="false">"UPDATE COTACAO SET cot_id = "&amp;A160&amp;", cot_blt_id = "&amp;B160&amp;", cot_pap_id = "&amp;C160&amp;", cot_prc_comum = "&amp;D160&amp;", cot_prc_min = "&amp;E160&amp;", cot_prc_max = "&amp;F160&amp;", cot_prc_med = "&amp;G160&amp;", cot_prc_mediana = "&amp;H160&amp;" WHERE cot_id = "&amp;A160&amp;";"</f>
        <v>UPDATE COTACAO SET cot_id = 159, cot_blt_id = 41, cot_pap_id = 3, cot_prc_comum = 30, cot_prc_min = 30, cot_prc_max = 42, cot_prc_med = 34.25, cot_prc_mediana = 32.5 WHERE cot_id = 159;</v>
      </c>
    </row>
    <row r="161" customFormat="false" ht="14.25" hidden="false" customHeight="false" outlineLevel="0" collapsed="false">
      <c r="A161" s="0" t="n">
        <v>160</v>
      </c>
      <c r="B161" s="0" t="n">
        <f aca="false">IF('Boletins Nuppa Site'!A161&lt;&gt;0,'Boletins Nuppa Site'!A161,"NULL")</f>
        <v>41</v>
      </c>
      <c r="C161" s="0" t="n">
        <v>4</v>
      </c>
      <c r="D161" s="30" t="n">
        <f aca="false">IF('Boletins Nuppa Site'!G161&lt;&gt;0,'Boletins Nuppa Site'!G161,"NULL")</f>
        <v>18</v>
      </c>
      <c r="E161" s="30" t="n">
        <f aca="false">IF('Boletins Nuppa Site'!H161&lt;&gt;0,'Boletins Nuppa Site'!H161,"NULL")</f>
        <v>18</v>
      </c>
      <c r="F161" s="30" t="n">
        <f aca="false">IF('Boletins Nuppa Site'!I161&lt;&gt;0,'Boletins Nuppa Site'!I161,"NULL")</f>
        <v>24</v>
      </c>
      <c r="G161" s="30" t="n">
        <f aca="false">IF('Boletins Nuppa Site'!J161&lt;&gt;0,'Boletins Nuppa Site'!J161,"NULL")</f>
        <v>21</v>
      </c>
      <c r="H161" s="30" t="n">
        <f aca="false">IF('Boletins Nuppa Site'!K161&lt;&gt;0,'Boletins Nuppa Site'!K161,"NULL")</f>
        <v>21</v>
      </c>
      <c r="I161" s="0" t="str">
        <f aca="false">"INSERT INTO COTACAO (cot_id, cot_blt_id, cot_pap_id, cot_prc_comum, cot_prc_min, cot_prc_max, cot_prc_med, cot_prc_mediana) VALUES ("&amp;A161&amp;", "&amp;B161&amp;", "&amp;C161&amp;", "&amp;D161&amp;", "&amp;E161&amp;", "&amp;F161&amp;", "&amp;G161&amp;", "&amp;H161&amp;");"</f>
        <v>INSERT INTO COTACAO (cot_id, cot_blt_id, cot_pap_id, cot_prc_comum, cot_prc_min, cot_prc_max, cot_prc_med, cot_prc_mediana) VALUES (160, 41, 4, 18, 18, 24, 21, 21);</v>
      </c>
      <c r="J161" s="0" t="str">
        <f aca="false">"UPDATE COTACAO SET cot_id = "&amp;A161&amp;", cot_blt_id = "&amp;B161&amp;", cot_pap_id = "&amp;C161&amp;", cot_prc_comum = "&amp;D161&amp;", cot_prc_min = "&amp;E161&amp;", cot_prc_max = "&amp;F161&amp;", cot_prc_med = "&amp;G161&amp;", cot_prc_mediana = "&amp;H161&amp;" WHERE cot_id = "&amp;A161&amp;";"</f>
        <v>UPDATE COTACAO SET cot_id = 160, cot_blt_id = 41, cot_pap_id = 4, cot_prc_comum = 18, cot_prc_min = 18, cot_prc_max = 24, cot_prc_med = 21, cot_prc_mediana = 21 WHERE cot_id = 160;</v>
      </c>
    </row>
    <row r="162" customFormat="false" ht="14.25" hidden="false" customHeight="false" outlineLevel="0" collapsed="false">
      <c r="A162" s="0" t="n">
        <v>161</v>
      </c>
      <c r="B162" s="0" t="n">
        <f aca="false">IF('Boletins Nuppa Site'!A162&lt;&gt;0,'Boletins Nuppa Site'!A162,"NULL")</f>
        <v>41</v>
      </c>
      <c r="C162" s="0" t="n">
        <v>5</v>
      </c>
      <c r="D162" s="30" t="n">
        <f aca="false">IF('Boletins Nuppa Site'!G162&lt;&gt;0,'Boletins Nuppa Site'!G162,"NULL")</f>
        <v>18</v>
      </c>
      <c r="E162" s="30" t="n">
        <f aca="false">IF('Boletins Nuppa Site'!H162&lt;&gt;0,'Boletins Nuppa Site'!H162,"NULL")</f>
        <v>18</v>
      </c>
      <c r="F162" s="30" t="n">
        <f aca="false">IF('Boletins Nuppa Site'!I162&lt;&gt;0,'Boletins Nuppa Site'!I162,"NULL")</f>
        <v>24</v>
      </c>
      <c r="G162" s="30" t="n">
        <f aca="false">IF('Boletins Nuppa Site'!J162&lt;&gt;0,'Boletins Nuppa Site'!J162,"NULL")</f>
        <v>21</v>
      </c>
      <c r="H162" s="30" t="n">
        <f aca="false">IF('Boletins Nuppa Site'!K162&lt;&gt;0,'Boletins Nuppa Site'!K162,"NULL")</f>
        <v>21</v>
      </c>
      <c r="I162" s="0" t="str">
        <f aca="false">"INSERT INTO COTACAO (cot_id, cot_blt_id, cot_pap_id, cot_prc_comum, cot_prc_min, cot_prc_max, cot_prc_med, cot_prc_mediana) VALUES ("&amp;A162&amp;", "&amp;B162&amp;", "&amp;C162&amp;", "&amp;D162&amp;", "&amp;E162&amp;", "&amp;F162&amp;", "&amp;G162&amp;", "&amp;H162&amp;");"</f>
        <v>INSERT INTO COTACAO (cot_id, cot_blt_id, cot_pap_id, cot_prc_comum, cot_prc_min, cot_prc_max, cot_prc_med, cot_prc_mediana) VALUES (161, 41, 5, 18, 18, 24, 21, 21);</v>
      </c>
      <c r="J162" s="0" t="str">
        <f aca="false">"UPDATE COTACAO SET cot_id = "&amp;A162&amp;", cot_blt_id = "&amp;B162&amp;", cot_pap_id = "&amp;C162&amp;", cot_prc_comum = "&amp;D162&amp;", cot_prc_min = "&amp;E162&amp;", cot_prc_max = "&amp;F162&amp;", cot_prc_med = "&amp;G162&amp;", cot_prc_mediana = "&amp;H162&amp;" WHERE cot_id = "&amp;A162&amp;";"</f>
        <v>UPDATE COTACAO SET cot_id = 161, cot_blt_id = 41, cot_pap_id = 5, cot_prc_comum = 18, cot_prc_min = 18, cot_prc_max = 24, cot_prc_med = 21, cot_prc_mediana = 21 WHERE cot_id = 161;</v>
      </c>
    </row>
    <row r="163" customFormat="false" ht="14.25" hidden="false" customHeight="false" outlineLevel="0" collapsed="false">
      <c r="A163" s="0" t="n">
        <v>162</v>
      </c>
      <c r="B163" s="0" t="n">
        <f aca="false">IF('Boletins Nuppa Site'!A163&lt;&gt;0,'Boletins Nuppa Site'!A163,"NULL")</f>
        <v>41</v>
      </c>
      <c r="C163" s="0" t="n">
        <v>6</v>
      </c>
      <c r="D163" s="30" t="n">
        <f aca="false">IF('Boletins Nuppa Site'!G163&lt;&gt;0,'Boletins Nuppa Site'!G163,"NULL")</f>
        <v>42</v>
      </c>
      <c r="E163" s="30" t="n">
        <f aca="false">IF('Boletins Nuppa Site'!H163&lt;&gt;0,'Boletins Nuppa Site'!H163,"NULL")</f>
        <v>42</v>
      </c>
      <c r="F163" s="30" t="n">
        <f aca="false">IF('Boletins Nuppa Site'!I163&lt;&gt;0,'Boletins Nuppa Site'!I163,"NULL")</f>
        <v>48</v>
      </c>
      <c r="G163" s="30" t="n">
        <f aca="false">IF('Boletins Nuppa Site'!J163&lt;&gt;0,'Boletins Nuppa Site'!J163,"NULL")</f>
        <v>44</v>
      </c>
      <c r="H163" s="30" t="n">
        <f aca="false">IF('Boletins Nuppa Site'!K163&lt;&gt;0,'Boletins Nuppa Site'!K163,"NULL")</f>
        <v>42</v>
      </c>
      <c r="I163" s="0" t="str">
        <f aca="false">"INSERT INTO COTACAO (cot_id, cot_blt_id, cot_pap_id, cot_prc_comum, cot_prc_min, cot_prc_max, cot_prc_med, cot_prc_mediana) VALUES ("&amp;A163&amp;", "&amp;B163&amp;", "&amp;C163&amp;", "&amp;D163&amp;", "&amp;E163&amp;", "&amp;F163&amp;", "&amp;G163&amp;", "&amp;H163&amp;");"</f>
        <v>INSERT INTO COTACAO (cot_id, cot_blt_id, cot_pap_id, cot_prc_comum, cot_prc_min, cot_prc_max, cot_prc_med, cot_prc_mediana) VALUES (162, 41, 6, 42, 42, 48, 44, 42);</v>
      </c>
      <c r="J163" s="0" t="str">
        <f aca="false">"UPDATE COTACAO SET cot_id = "&amp;A163&amp;", cot_blt_id = "&amp;B163&amp;", cot_pap_id = "&amp;C163&amp;", cot_prc_comum = "&amp;D163&amp;", cot_prc_min = "&amp;E163&amp;", cot_prc_max = "&amp;F163&amp;", cot_prc_med = "&amp;G163&amp;", cot_prc_mediana = "&amp;H163&amp;" WHERE cot_id = "&amp;A163&amp;";"</f>
        <v>UPDATE COTACAO SET cot_id = 162, cot_blt_id = 41, cot_pap_id = 6, cot_prc_comum = 42, cot_prc_min = 42, cot_prc_max = 48, cot_prc_med = 44, cot_prc_mediana = 42 WHERE cot_id = 162;</v>
      </c>
    </row>
    <row r="164" customFormat="false" ht="14.25" hidden="false" customHeight="false" outlineLevel="0" collapsed="false">
      <c r="A164" s="0" t="n">
        <v>163</v>
      </c>
      <c r="B164" s="0" t="n">
        <f aca="false">IF('Boletins Nuppa Site'!A164&lt;&gt;0,'Boletins Nuppa Site'!A164,"NULL")</f>
        <v>41</v>
      </c>
      <c r="C164" s="0" t="n">
        <v>7</v>
      </c>
      <c r="D164" s="0" t="str">
        <f aca="false">IF('Boletins Nuppa Site'!G164&lt;&gt;0,'Boletins Nuppa Site'!G164,"NULL")</f>
        <v>NULL</v>
      </c>
      <c r="E164" s="30" t="n">
        <f aca="false">IF('Boletins Nuppa Site'!H164&lt;&gt;0,'Boletins Nuppa Site'!H164,"NULL")</f>
        <v>72</v>
      </c>
      <c r="F164" s="30" t="n">
        <f aca="false">IF('Boletins Nuppa Site'!I164&lt;&gt;0,'Boletins Nuppa Site'!I164,"NULL")</f>
        <v>78</v>
      </c>
      <c r="G164" s="30" t="n">
        <f aca="false">IF('Boletins Nuppa Site'!J164&lt;&gt;0,'Boletins Nuppa Site'!J164,"NULL")</f>
        <v>75</v>
      </c>
      <c r="H164" s="30" t="n">
        <f aca="false">IF('Boletins Nuppa Site'!K164&lt;&gt;0,'Boletins Nuppa Site'!K164,"NULL")</f>
        <v>75</v>
      </c>
      <c r="I164" s="0" t="str">
        <f aca="false">"INSERT INTO COTACAO (cot_id, cot_blt_id, cot_pap_id, cot_prc_comum, cot_prc_min, cot_prc_max, cot_prc_med, cot_prc_mediana) VALUES ("&amp;A164&amp;", "&amp;B164&amp;", "&amp;C164&amp;", "&amp;D164&amp;", "&amp;E164&amp;", "&amp;F164&amp;", "&amp;G164&amp;", "&amp;H164&amp;");"</f>
        <v>INSERT INTO COTACAO (cot_id, cot_blt_id, cot_pap_id, cot_prc_comum, cot_prc_min, cot_prc_max, cot_prc_med, cot_prc_mediana) VALUES (163, 41, 7, NULL, 72, 78, 75, 75);</v>
      </c>
      <c r="J164" s="0" t="str">
        <f aca="false">"UPDATE COTACAO SET cot_id = "&amp;A164&amp;", cot_blt_id = "&amp;B164&amp;", cot_pap_id = "&amp;C164&amp;", cot_prc_comum = "&amp;D164&amp;", cot_prc_min = "&amp;E164&amp;", cot_prc_max = "&amp;F164&amp;", cot_prc_med = "&amp;G164&amp;", cot_prc_mediana = "&amp;H164&amp;" WHERE cot_id = "&amp;A164&amp;";"</f>
        <v>UPDATE COTACAO SET cot_id = 163, cot_blt_id = 41, cot_pap_id = 7, cot_prc_comum = NULL, cot_prc_min = 72, cot_prc_max = 78, cot_prc_med = 75, cot_prc_mediana = 75 WHERE cot_id = 163;</v>
      </c>
    </row>
    <row r="165" customFormat="false" ht="14.25" hidden="false" customHeight="false" outlineLevel="0" collapsed="false">
      <c r="A165" s="0" t="n">
        <v>164</v>
      </c>
      <c r="B165" s="0" t="n">
        <f aca="false">IF('Boletins Nuppa Site'!A165&lt;&gt;0,'Boletins Nuppa Site'!A165,"NULL")</f>
        <v>41</v>
      </c>
      <c r="C165" s="0" t="n">
        <v>8</v>
      </c>
      <c r="D165" s="0" t="str">
        <f aca="false">IF('Boletins Nuppa Site'!G165&lt;&gt;0,'Boletins Nuppa Site'!G165,"NULL")</f>
        <v>NULL</v>
      </c>
      <c r="E165" s="30" t="n">
        <f aca="false">IF('Boletins Nuppa Site'!H165&lt;&gt;0,'Boletins Nuppa Site'!H165,"NULL")</f>
        <v>48</v>
      </c>
      <c r="F165" s="30" t="n">
        <f aca="false">IF('Boletins Nuppa Site'!I165&lt;&gt;0,'Boletins Nuppa Site'!I165,"NULL")</f>
        <v>60</v>
      </c>
      <c r="G165" s="30" t="n">
        <f aca="false">IF('Boletins Nuppa Site'!J165&lt;&gt;0,'Boletins Nuppa Site'!J165,"NULL")</f>
        <v>54</v>
      </c>
      <c r="H165" s="30" t="n">
        <f aca="false">IF('Boletins Nuppa Site'!K165&lt;&gt;0,'Boletins Nuppa Site'!K165,"NULL")</f>
        <v>54</v>
      </c>
      <c r="I165" s="0" t="str">
        <f aca="false">"INSERT INTO COTACAO (cot_id, cot_blt_id, cot_pap_id, cot_prc_comum, cot_prc_min, cot_prc_max, cot_prc_med, cot_prc_mediana) VALUES ("&amp;A165&amp;", "&amp;B165&amp;", "&amp;C165&amp;", "&amp;D165&amp;", "&amp;E165&amp;", "&amp;F165&amp;", "&amp;G165&amp;", "&amp;H165&amp;");"</f>
        <v>INSERT INTO COTACAO (cot_id, cot_blt_id, cot_pap_id, cot_prc_comum, cot_prc_min, cot_prc_max, cot_prc_med, cot_prc_mediana) VALUES (164, 41, 8, NULL, 48, 60, 54, 54);</v>
      </c>
      <c r="J165" s="0" t="str">
        <f aca="false">"UPDATE COTACAO SET cot_id = "&amp;A165&amp;", cot_blt_id = "&amp;B165&amp;", cot_pap_id = "&amp;C165&amp;", cot_prc_comum = "&amp;D165&amp;", cot_prc_min = "&amp;E165&amp;", cot_prc_max = "&amp;F165&amp;", cot_prc_med = "&amp;G165&amp;", cot_prc_mediana = "&amp;H165&amp;" WHERE cot_id = "&amp;A165&amp;";"</f>
        <v>UPDATE COTACAO SET cot_id = 164, cot_blt_id = 41, cot_pap_id = 8, cot_prc_comum = NULL, cot_prc_min = 48, cot_prc_max = 60, cot_prc_med = 54, cot_prc_mediana = 54 WHERE cot_id = 164;</v>
      </c>
    </row>
    <row r="166" customFormat="false" ht="14.25" hidden="false" customHeight="false" outlineLevel="0" collapsed="false">
      <c r="A166" s="0" t="n">
        <v>165</v>
      </c>
      <c r="B166" s="0" t="n">
        <f aca="false">IF('Boletins Nuppa Site'!A166&lt;&gt;0,'Boletins Nuppa Site'!A166,"NULL")</f>
        <v>41</v>
      </c>
      <c r="C166" s="0" t="n">
        <v>9</v>
      </c>
      <c r="D166" s="0" t="str">
        <f aca="false">IF('Boletins Nuppa Site'!G166&lt;&gt;0,'Boletins Nuppa Site'!G166,"NULL")</f>
        <v>NULL</v>
      </c>
      <c r="E166" s="30" t="n">
        <f aca="false">IF('Boletins Nuppa Site'!H166&lt;&gt;0,'Boletins Nuppa Site'!H166,"NULL")</f>
        <v>18</v>
      </c>
      <c r="F166" s="30" t="n">
        <f aca="false">IF('Boletins Nuppa Site'!I166&lt;&gt;0,'Boletins Nuppa Site'!I166,"NULL")</f>
        <v>24</v>
      </c>
      <c r="G166" s="0" t="str">
        <f aca="false">IF('Boletins Nuppa Site'!J166&lt;&gt;0,'Boletins Nuppa Site'!J166,"NULL")</f>
        <v>20.67</v>
      </c>
      <c r="H166" s="30" t="n">
        <f aca="false">IF('Boletins Nuppa Site'!K166&lt;&gt;0,'Boletins Nuppa Site'!K166,"NULL")</f>
        <v>20</v>
      </c>
      <c r="I166" s="0" t="str">
        <f aca="false">"INSERT INTO COTACAO (cot_id, cot_blt_id, cot_pap_id, cot_prc_comum, cot_prc_min, cot_prc_max, cot_prc_med, cot_prc_mediana) VALUES ("&amp;A166&amp;", "&amp;B166&amp;", "&amp;C166&amp;", "&amp;D166&amp;", "&amp;E166&amp;", "&amp;F166&amp;", "&amp;G166&amp;", "&amp;H166&amp;");"</f>
        <v>INSERT INTO COTACAO (cot_id, cot_blt_id, cot_pap_id, cot_prc_comum, cot_prc_min, cot_prc_max, cot_prc_med, cot_prc_mediana) VALUES (165, 41, 9, NULL, 18, 24, 20.67, 20);</v>
      </c>
      <c r="J166" s="0" t="str">
        <f aca="false">"UPDATE COTACAO SET cot_id = "&amp;A166&amp;", cot_blt_id = "&amp;B166&amp;", cot_pap_id = "&amp;C166&amp;", cot_prc_comum = "&amp;D166&amp;", cot_prc_min = "&amp;E166&amp;", cot_prc_max = "&amp;F166&amp;", cot_prc_med = "&amp;G166&amp;", cot_prc_mediana = "&amp;H166&amp;" WHERE cot_id = "&amp;A166&amp;";"</f>
        <v>UPDATE COTACAO SET cot_id = 165, cot_blt_id = 41, cot_pap_id = 9, cot_prc_comum = NULL, cot_prc_min = 18, cot_prc_max = 24, cot_prc_med = 20.67, cot_prc_mediana = 20 WHERE cot_id = 165;</v>
      </c>
    </row>
    <row r="167" customFormat="false" ht="14.25" hidden="false" customHeight="false" outlineLevel="0" collapsed="false">
      <c r="A167" s="0" t="n">
        <v>166</v>
      </c>
      <c r="B167" s="0" t="n">
        <f aca="false">IF('Boletins Nuppa Site'!A167&lt;&gt;0,'Boletins Nuppa Site'!A167,"NULL")</f>
        <v>41</v>
      </c>
      <c r="C167" s="0" t="n">
        <v>10</v>
      </c>
      <c r="D167" s="0" t="str">
        <f aca="false">IF('Boletins Nuppa Site'!G167&lt;&gt;0,'Boletins Nuppa Site'!G167,"NULL")</f>
        <v>NULL</v>
      </c>
      <c r="E167" s="30" t="n">
        <f aca="false">IF('Boletins Nuppa Site'!H167&lt;&gt;0,'Boletins Nuppa Site'!H167,"NULL")</f>
        <v>80</v>
      </c>
      <c r="F167" s="30" t="n">
        <f aca="false">IF('Boletins Nuppa Site'!I167&lt;&gt;0,'Boletins Nuppa Site'!I167,"NULL")</f>
        <v>80</v>
      </c>
      <c r="G167" s="30" t="n">
        <f aca="false">IF('Boletins Nuppa Site'!J167&lt;&gt;0,'Boletins Nuppa Site'!J167,"NULL")</f>
        <v>80</v>
      </c>
      <c r="H167" s="30" t="n">
        <f aca="false">IF('Boletins Nuppa Site'!K167&lt;&gt;0,'Boletins Nuppa Site'!K167,"NULL")</f>
        <v>80</v>
      </c>
      <c r="I167" s="0" t="str">
        <f aca="false">"INSERT INTO COTACAO (cot_id, cot_blt_id, cot_pap_id, cot_prc_comum, cot_prc_min, cot_prc_max, cot_prc_med, cot_prc_mediana) VALUES ("&amp;A167&amp;", "&amp;B167&amp;", "&amp;C167&amp;", "&amp;D167&amp;", "&amp;E167&amp;", "&amp;F167&amp;", "&amp;G167&amp;", "&amp;H167&amp;");"</f>
        <v>INSERT INTO COTACAO (cot_id, cot_blt_id, cot_pap_id, cot_prc_comum, cot_prc_min, cot_prc_max, cot_prc_med, cot_prc_mediana) VALUES (166, 41, 10, NULL, 80, 80, 80, 80);</v>
      </c>
      <c r="J167" s="0" t="str">
        <f aca="false">"UPDATE COTACAO SET cot_id = "&amp;A167&amp;", cot_blt_id = "&amp;B167&amp;", cot_pap_id = "&amp;C167&amp;", cot_prc_comum = "&amp;D167&amp;", cot_prc_min = "&amp;E167&amp;", cot_prc_max = "&amp;F167&amp;", cot_prc_med = "&amp;G167&amp;", cot_prc_mediana = "&amp;H167&amp;" WHERE cot_id = "&amp;A167&amp;";"</f>
        <v>UPDATE COTACAO SET cot_id = 166, cot_blt_id = 41, cot_pap_id = 10, cot_prc_comum = NULL, cot_prc_min = 80, cot_prc_max = 80, cot_prc_med = 80, cot_prc_mediana = 80 WHERE cot_id = 166;</v>
      </c>
    </row>
    <row r="168" customFormat="false" ht="14.25" hidden="false" customHeight="false" outlineLevel="0" collapsed="false">
      <c r="A168" s="0" t="n">
        <v>167</v>
      </c>
      <c r="B168" s="0" t="n">
        <f aca="false">IF('Boletins Nuppa Site'!A168&lt;&gt;0,'Boletins Nuppa Site'!A168,"NULL")</f>
        <v>41</v>
      </c>
      <c r="C168" s="0" t="n">
        <v>11</v>
      </c>
      <c r="D168" s="30" t="n">
        <f aca="false">IF('Boletins Nuppa Site'!G168&lt;&gt;0,'Boletins Nuppa Site'!G168,"NULL")</f>
        <v>18</v>
      </c>
      <c r="E168" s="30" t="n">
        <f aca="false">IF('Boletins Nuppa Site'!H168&lt;&gt;0,'Boletins Nuppa Site'!H168,"NULL")</f>
        <v>18</v>
      </c>
      <c r="F168" s="30" t="n">
        <f aca="false">IF('Boletins Nuppa Site'!I168&lt;&gt;0,'Boletins Nuppa Site'!I168,"NULL")</f>
        <v>24</v>
      </c>
      <c r="G168" s="30" t="n">
        <f aca="false">IF('Boletins Nuppa Site'!J168&lt;&gt;0,'Boletins Nuppa Site'!J168,"NULL")</f>
        <v>21</v>
      </c>
      <c r="H168" s="30" t="n">
        <f aca="false">IF('Boletins Nuppa Site'!K168&lt;&gt;0,'Boletins Nuppa Site'!K168,"NULL")</f>
        <v>21</v>
      </c>
      <c r="I168" s="0" t="str">
        <f aca="false">"INSERT INTO COTACAO (cot_id, cot_blt_id, cot_pap_id, cot_prc_comum, cot_prc_min, cot_prc_max, cot_prc_med, cot_prc_mediana) VALUES ("&amp;A168&amp;", "&amp;B168&amp;", "&amp;C168&amp;", "&amp;D168&amp;", "&amp;E168&amp;", "&amp;F168&amp;", "&amp;G168&amp;", "&amp;H168&amp;");"</f>
        <v>INSERT INTO COTACAO (cot_id, cot_blt_id, cot_pap_id, cot_prc_comum, cot_prc_min, cot_prc_max, cot_prc_med, cot_prc_mediana) VALUES (167, 41, 11, 18, 18, 24, 21, 21);</v>
      </c>
      <c r="J168" s="0" t="str">
        <f aca="false">"UPDATE COTACAO SET cot_id = "&amp;A168&amp;", cot_blt_id = "&amp;B168&amp;", cot_pap_id = "&amp;C168&amp;", cot_prc_comum = "&amp;D168&amp;", cot_prc_min = "&amp;E168&amp;", cot_prc_max = "&amp;F168&amp;", cot_prc_med = "&amp;G168&amp;", cot_prc_mediana = "&amp;H168&amp;" WHERE cot_id = "&amp;A168&amp;";"</f>
        <v>UPDATE COTACAO SET cot_id = 167, cot_blt_id = 41, cot_pap_id = 11, cot_prc_comum = 18, cot_prc_min = 18, cot_prc_max = 24, cot_prc_med = 21, cot_prc_mediana = 21 WHERE cot_id = 167;</v>
      </c>
    </row>
    <row r="169" customFormat="false" ht="14.25" hidden="false" customHeight="false" outlineLevel="0" collapsed="false">
      <c r="A169" s="0" t="n">
        <v>168</v>
      </c>
      <c r="B169" s="0" t="n">
        <f aca="false">IF('Boletins Nuppa Site'!A169&lt;&gt;0,'Boletins Nuppa Site'!A169,"NULL")</f>
        <v>41</v>
      </c>
      <c r="C169" s="0" t="n">
        <v>12</v>
      </c>
      <c r="D169" s="0" t="str">
        <f aca="false">IF('Boletins Nuppa Site'!G169&lt;&gt;0,'Boletins Nuppa Site'!G169,"NULL")</f>
        <v>NULL</v>
      </c>
      <c r="E169" s="30" t="n">
        <f aca="false">IF('Boletins Nuppa Site'!H169&lt;&gt;0,'Boletins Nuppa Site'!H169,"NULL")</f>
        <v>36</v>
      </c>
      <c r="F169" s="30" t="n">
        <f aca="false">IF('Boletins Nuppa Site'!I169&lt;&gt;0,'Boletins Nuppa Site'!I169,"NULL")</f>
        <v>60</v>
      </c>
      <c r="G169" s="30" t="n">
        <f aca="false">IF('Boletins Nuppa Site'!J169&lt;&gt;0,'Boletins Nuppa Site'!J169,"NULL")</f>
        <v>48</v>
      </c>
      <c r="H169" s="30" t="n">
        <f aca="false">IF('Boletins Nuppa Site'!K169&lt;&gt;0,'Boletins Nuppa Site'!K169,"NULL")</f>
        <v>48</v>
      </c>
      <c r="I169" s="0" t="str">
        <f aca="false">"INSERT INTO COTACAO (cot_id, cot_blt_id, cot_pap_id, cot_prc_comum, cot_prc_min, cot_prc_max, cot_prc_med, cot_prc_mediana) VALUES ("&amp;A169&amp;", "&amp;B169&amp;", "&amp;C169&amp;", "&amp;D169&amp;", "&amp;E169&amp;", "&amp;F169&amp;", "&amp;G169&amp;", "&amp;H169&amp;");"</f>
        <v>INSERT INTO COTACAO (cot_id, cot_blt_id, cot_pap_id, cot_prc_comum, cot_prc_min, cot_prc_max, cot_prc_med, cot_prc_mediana) VALUES (168, 41, 12, NULL, 36, 60, 48, 48);</v>
      </c>
      <c r="J169" s="0" t="str">
        <f aca="false">"UPDATE COTACAO SET cot_id = "&amp;A169&amp;", cot_blt_id = "&amp;B169&amp;", cot_pap_id = "&amp;C169&amp;", cot_prc_comum = "&amp;D169&amp;", cot_prc_min = "&amp;E169&amp;", cot_prc_max = "&amp;F169&amp;", cot_prc_med = "&amp;G169&amp;", cot_prc_mediana = "&amp;H169&amp;" WHERE cot_id = "&amp;A169&amp;";"</f>
        <v>UPDATE COTACAO SET cot_id = 168, cot_blt_id = 41, cot_pap_id = 12, cot_prc_comum = NULL, cot_prc_min = 36, cot_prc_max = 60, cot_prc_med = 48, cot_prc_mediana = 48 WHERE cot_id = 168;</v>
      </c>
    </row>
    <row r="170" customFormat="false" ht="14.25" hidden="false" customHeight="false" outlineLevel="0" collapsed="false">
      <c r="A170" s="0" t="n">
        <v>169</v>
      </c>
      <c r="B170" s="0" t="n">
        <f aca="false">IF('Boletins Nuppa Site'!A170&lt;&gt;0,'Boletins Nuppa Site'!A170,"NULL")</f>
        <v>41</v>
      </c>
      <c r="C170" s="0" t="n">
        <v>13</v>
      </c>
      <c r="D170" s="0" t="str">
        <f aca="false">IF('Boletins Nuppa Site'!G170&lt;&gt;0,'Boletins Nuppa Site'!G170,"NULL")</f>
        <v>NULL</v>
      </c>
      <c r="E170" s="30" t="n">
        <f aca="false">IF('Boletins Nuppa Site'!H170&lt;&gt;0,'Boletins Nuppa Site'!H170,"NULL")</f>
        <v>36</v>
      </c>
      <c r="F170" s="30" t="n">
        <f aca="false">IF('Boletins Nuppa Site'!I170&lt;&gt;0,'Boletins Nuppa Site'!I170,"NULL")</f>
        <v>54</v>
      </c>
      <c r="G170" s="30" t="n">
        <f aca="false">IF('Boletins Nuppa Site'!J170&lt;&gt;0,'Boletins Nuppa Site'!J170,"NULL")</f>
        <v>46</v>
      </c>
      <c r="H170" s="30" t="n">
        <f aca="false">IF('Boletins Nuppa Site'!K170&lt;&gt;0,'Boletins Nuppa Site'!K170,"NULL")</f>
        <v>48</v>
      </c>
      <c r="I170" s="0" t="str">
        <f aca="false">"INSERT INTO COTACAO (cot_id, cot_blt_id, cot_pap_id, cot_prc_comum, cot_prc_min, cot_prc_max, cot_prc_med, cot_prc_mediana) VALUES ("&amp;A170&amp;", "&amp;B170&amp;", "&amp;C170&amp;", "&amp;D170&amp;", "&amp;E170&amp;", "&amp;F170&amp;", "&amp;G170&amp;", "&amp;H170&amp;");"</f>
        <v>INSERT INTO COTACAO (cot_id, cot_blt_id, cot_pap_id, cot_prc_comum, cot_prc_min, cot_prc_max, cot_prc_med, cot_prc_mediana) VALUES (169, 41, 13, NULL, 36, 54, 46, 48);</v>
      </c>
      <c r="J170" s="0" t="str">
        <f aca="false">"UPDATE COTACAO SET cot_id = "&amp;A170&amp;", cot_blt_id = "&amp;B170&amp;", cot_pap_id = "&amp;C170&amp;", cot_prc_comum = "&amp;D170&amp;", cot_prc_min = "&amp;E170&amp;", cot_prc_max = "&amp;F170&amp;", cot_prc_med = "&amp;G170&amp;", cot_prc_mediana = "&amp;H170&amp;" WHERE cot_id = "&amp;A170&amp;";"</f>
        <v>UPDATE COTACAO SET cot_id = 169, cot_blt_id = 41, cot_pap_id = 13, cot_prc_comum = NULL, cot_prc_min = 36, cot_prc_max = 54, cot_prc_med = 46, cot_prc_mediana = 48 WHERE cot_id = 169;</v>
      </c>
    </row>
    <row r="171" customFormat="false" ht="14.25" hidden="false" customHeight="false" outlineLevel="0" collapsed="false">
      <c r="A171" s="0" t="n">
        <v>170</v>
      </c>
      <c r="B171" s="0" t="n">
        <f aca="false">IF('Boletins Nuppa Site'!A171&lt;&gt;0,'Boletins Nuppa Site'!A171,"NULL")</f>
        <v>41</v>
      </c>
      <c r="C171" s="0" t="n">
        <v>14</v>
      </c>
      <c r="D171" s="0" t="str">
        <f aca="false">IF('Boletins Nuppa Site'!G171&lt;&gt;0,'Boletins Nuppa Site'!G171,"NULL")</f>
        <v>NULL</v>
      </c>
      <c r="E171" s="30" t="n">
        <f aca="false">IF('Boletins Nuppa Site'!H171&lt;&gt;0,'Boletins Nuppa Site'!H171,"NULL")</f>
        <v>40</v>
      </c>
      <c r="F171" s="30" t="n">
        <f aca="false">IF('Boletins Nuppa Site'!I171&lt;&gt;0,'Boletins Nuppa Site'!I171,"NULL")</f>
        <v>40</v>
      </c>
      <c r="G171" s="30" t="n">
        <f aca="false">IF('Boletins Nuppa Site'!J171&lt;&gt;0,'Boletins Nuppa Site'!J171,"NULL")</f>
        <v>40</v>
      </c>
      <c r="H171" s="30" t="n">
        <f aca="false">IF('Boletins Nuppa Site'!K171&lt;&gt;0,'Boletins Nuppa Site'!K171,"NULL")</f>
        <v>40</v>
      </c>
      <c r="I171" s="0" t="str">
        <f aca="false">"INSERT INTO COTACAO (cot_id, cot_blt_id, cot_pap_id, cot_prc_comum, cot_prc_min, cot_prc_max, cot_prc_med, cot_prc_mediana) VALUES ("&amp;A171&amp;", "&amp;B171&amp;", "&amp;C171&amp;", "&amp;D171&amp;", "&amp;E171&amp;", "&amp;F171&amp;", "&amp;G171&amp;", "&amp;H171&amp;");"</f>
        <v>INSERT INTO COTACAO (cot_id, cot_blt_id, cot_pap_id, cot_prc_comum, cot_prc_min, cot_prc_max, cot_prc_med, cot_prc_mediana) VALUES (170, 41, 14, NULL, 40, 40, 40, 40);</v>
      </c>
      <c r="J171" s="0" t="str">
        <f aca="false">"UPDATE COTACAO SET cot_id = "&amp;A171&amp;", cot_blt_id = "&amp;B171&amp;", cot_pap_id = "&amp;C171&amp;", cot_prc_comum = "&amp;D171&amp;", cot_prc_min = "&amp;E171&amp;", cot_prc_max = "&amp;F171&amp;", cot_prc_med = "&amp;G171&amp;", cot_prc_mediana = "&amp;H171&amp;" WHERE cot_id = "&amp;A171&amp;";"</f>
        <v>UPDATE COTACAO SET cot_id = 170, cot_blt_id = 41, cot_pap_id = 14, cot_prc_comum = NULL, cot_prc_min = 40, cot_prc_max = 40, cot_prc_med = 40, cot_prc_mediana = 40 WHERE cot_id = 170;</v>
      </c>
    </row>
    <row r="172" customFormat="false" ht="14.25" hidden="false" customHeight="false" outlineLevel="0" collapsed="false">
      <c r="A172" s="0" t="n">
        <v>171</v>
      </c>
      <c r="B172" s="0" t="n">
        <f aca="false">IF('Boletins Nuppa Site'!A172&lt;&gt;0,'Boletins Nuppa Site'!A172,"NULL")</f>
        <v>41</v>
      </c>
      <c r="C172" s="0" t="n">
        <v>15</v>
      </c>
      <c r="D172" s="0" t="str">
        <f aca="false">IF('Boletins Nuppa Site'!G172&lt;&gt;0,'Boletins Nuppa Site'!G172,"NULL")</f>
        <v>NULL</v>
      </c>
      <c r="E172" s="30" t="n">
        <f aca="false">IF('Boletins Nuppa Site'!H172&lt;&gt;0,'Boletins Nuppa Site'!H172,"NULL")</f>
        <v>25</v>
      </c>
      <c r="F172" s="30" t="n">
        <f aca="false">IF('Boletins Nuppa Site'!I172&lt;&gt;0,'Boletins Nuppa Site'!I172,"NULL")</f>
        <v>40</v>
      </c>
      <c r="G172" s="0" t="str">
        <f aca="false">IF('Boletins Nuppa Site'!J172&lt;&gt;0,'Boletins Nuppa Site'!J172,"NULL")</f>
        <v>31.67</v>
      </c>
      <c r="H172" s="30" t="n">
        <f aca="false">IF('Boletins Nuppa Site'!K172&lt;&gt;0,'Boletins Nuppa Site'!K172,"NULL")</f>
        <v>30</v>
      </c>
      <c r="I172" s="0" t="str">
        <f aca="false">"INSERT INTO COTACAO (cot_id, cot_blt_id, cot_pap_id, cot_prc_comum, cot_prc_min, cot_prc_max, cot_prc_med, cot_prc_mediana) VALUES ("&amp;A172&amp;", "&amp;B172&amp;", "&amp;C172&amp;", "&amp;D172&amp;", "&amp;E172&amp;", "&amp;F172&amp;", "&amp;G172&amp;", "&amp;H172&amp;");"</f>
        <v>INSERT INTO COTACAO (cot_id, cot_blt_id, cot_pap_id, cot_prc_comum, cot_prc_min, cot_prc_max, cot_prc_med, cot_prc_mediana) VALUES (171, 41, 15, NULL, 25, 40, 31.67, 30);</v>
      </c>
      <c r="J172" s="0" t="str">
        <f aca="false">"UPDATE COTACAO SET cot_id = "&amp;A172&amp;", cot_blt_id = "&amp;B172&amp;", cot_pap_id = "&amp;C172&amp;", cot_prc_comum = "&amp;D172&amp;", cot_prc_min = "&amp;E172&amp;", cot_prc_max = "&amp;F172&amp;", cot_prc_med = "&amp;G172&amp;", cot_prc_mediana = "&amp;H172&amp;" WHERE cot_id = "&amp;A172&amp;";"</f>
        <v>UPDATE COTACAO SET cot_id = 171, cot_blt_id = 41, cot_pap_id = 15, cot_prc_comum = NULL, cot_prc_min = 25, cot_prc_max = 40, cot_prc_med = 31.67, cot_prc_mediana = 30 WHERE cot_id = 171;</v>
      </c>
    </row>
    <row r="173" customFormat="false" ht="14.25" hidden="false" customHeight="false" outlineLevel="0" collapsed="false">
      <c r="A173" s="0" t="n">
        <v>172</v>
      </c>
      <c r="B173" s="0" t="n">
        <f aca="false">IF('Boletins Nuppa Site'!A173&lt;&gt;0,'Boletins Nuppa Site'!A173,"NULL")</f>
        <v>41</v>
      </c>
      <c r="C173" s="0" t="n">
        <v>16</v>
      </c>
      <c r="D173" s="30" t="n">
        <f aca="false">IF('Boletins Nuppa Site'!G173&lt;&gt;0,'Boletins Nuppa Site'!G173,"NULL")</f>
        <v>36</v>
      </c>
      <c r="E173" s="30" t="n">
        <f aca="false">IF('Boletins Nuppa Site'!H173&lt;&gt;0,'Boletins Nuppa Site'!H173,"NULL")</f>
        <v>36</v>
      </c>
      <c r="F173" s="30" t="n">
        <f aca="false">IF('Boletins Nuppa Site'!I173&lt;&gt;0,'Boletins Nuppa Site'!I173,"NULL")</f>
        <v>42</v>
      </c>
      <c r="G173" s="30" t="n">
        <f aca="false">IF('Boletins Nuppa Site'!J173&lt;&gt;0,'Boletins Nuppa Site'!J173,"NULL")</f>
        <v>39</v>
      </c>
      <c r="H173" s="30" t="n">
        <f aca="false">IF('Boletins Nuppa Site'!K173&lt;&gt;0,'Boletins Nuppa Site'!K173,"NULL")</f>
        <v>39</v>
      </c>
      <c r="I173" s="0" t="str">
        <f aca="false">"INSERT INTO COTACAO (cot_id, cot_blt_id, cot_pap_id, cot_prc_comum, cot_prc_min, cot_prc_max, cot_prc_med, cot_prc_mediana) VALUES ("&amp;A173&amp;", "&amp;B173&amp;", "&amp;C173&amp;", "&amp;D173&amp;", "&amp;E173&amp;", "&amp;F173&amp;", "&amp;G173&amp;", "&amp;H173&amp;");"</f>
        <v>INSERT INTO COTACAO (cot_id, cot_blt_id, cot_pap_id, cot_prc_comum, cot_prc_min, cot_prc_max, cot_prc_med, cot_prc_mediana) VALUES (172, 41, 16, 36, 36, 42, 39, 39);</v>
      </c>
      <c r="J173" s="0" t="str">
        <f aca="false">"UPDATE COTACAO SET cot_id = "&amp;A173&amp;", cot_blt_id = "&amp;B173&amp;", cot_pap_id = "&amp;C173&amp;", cot_prc_comum = "&amp;D173&amp;", cot_prc_min = "&amp;E173&amp;", cot_prc_max = "&amp;F173&amp;", cot_prc_med = "&amp;G173&amp;", cot_prc_mediana = "&amp;H173&amp;" WHERE cot_id = "&amp;A173&amp;";"</f>
        <v>UPDATE COTACAO SET cot_id = 172, cot_blt_id = 41, cot_pap_id = 16, cot_prc_comum = 36, cot_prc_min = 36, cot_prc_max = 42, cot_prc_med = 39, cot_prc_mediana = 39 WHERE cot_id = 172;</v>
      </c>
    </row>
    <row r="174" customFormat="false" ht="14.25" hidden="false" customHeight="false" outlineLevel="0" collapsed="false">
      <c r="A174" s="0" t="n">
        <v>173</v>
      </c>
      <c r="B174" s="0" t="n">
        <f aca="false">IF('Boletins Nuppa Site'!A174&lt;&gt;0,'Boletins Nuppa Site'!A174,"NULL")</f>
        <v>41</v>
      </c>
      <c r="C174" s="0" t="n">
        <v>17</v>
      </c>
      <c r="D174" s="0" t="str">
        <f aca="false">IF('Boletins Nuppa Site'!G174&lt;&gt;0,'Boletins Nuppa Site'!G174,"NULL")</f>
        <v>NULL</v>
      </c>
      <c r="E174" s="0" t="str">
        <f aca="false">IF('Boletins Nuppa Site'!H174&lt;&gt;0,'Boletins Nuppa Site'!H174,"NULL")</f>
        <v>3.5</v>
      </c>
      <c r="F174" s="30" t="n">
        <f aca="false">IF('Boletins Nuppa Site'!I174&lt;&gt;0,'Boletins Nuppa Site'!I174,"NULL")</f>
        <v>5</v>
      </c>
      <c r="G174" s="0" t="str">
        <f aca="false">IF('Boletins Nuppa Site'!J174&lt;&gt;0,'Boletins Nuppa Site'!J174,"NULL")</f>
        <v>4.17</v>
      </c>
      <c r="H174" s="30" t="n">
        <f aca="false">IF('Boletins Nuppa Site'!K174&lt;&gt;0,'Boletins Nuppa Site'!K174,"NULL")</f>
        <v>4</v>
      </c>
      <c r="I174" s="0" t="str">
        <f aca="false">"INSERT INTO COTACAO (cot_id, cot_blt_id, cot_pap_id, cot_prc_comum, cot_prc_min, cot_prc_max, cot_prc_med, cot_prc_mediana) VALUES ("&amp;A174&amp;", "&amp;B174&amp;", "&amp;C174&amp;", "&amp;D174&amp;", "&amp;E174&amp;", "&amp;F174&amp;", "&amp;G174&amp;", "&amp;H174&amp;");"</f>
        <v>INSERT INTO COTACAO (cot_id, cot_blt_id, cot_pap_id, cot_prc_comum, cot_prc_min, cot_prc_max, cot_prc_med, cot_prc_mediana) VALUES (173, 41, 17, NULL, 3.5, 5, 4.17, 4);</v>
      </c>
      <c r="J174" s="0" t="str">
        <f aca="false">"UPDATE COTACAO SET cot_id = "&amp;A174&amp;", cot_blt_id = "&amp;B174&amp;", cot_pap_id = "&amp;C174&amp;", cot_prc_comum = "&amp;D174&amp;", cot_prc_min = "&amp;E174&amp;", cot_prc_max = "&amp;F174&amp;", cot_prc_med = "&amp;G174&amp;", cot_prc_mediana = "&amp;H174&amp;" WHERE cot_id = "&amp;A174&amp;";"</f>
        <v>UPDATE COTACAO SET cot_id = 173, cot_blt_id = 41, cot_pap_id = 17, cot_prc_comum = NULL, cot_prc_min = 3.5, cot_prc_max = 5, cot_prc_med = 4.17, cot_prc_mediana = 4 WHERE cot_id = 173;</v>
      </c>
    </row>
    <row r="175" customFormat="false" ht="14.25" hidden="false" customHeight="false" outlineLevel="0" collapsed="false">
      <c r="A175" s="0" t="n">
        <v>174</v>
      </c>
      <c r="B175" s="0" t="n">
        <f aca="false">IF('Boletins Nuppa Site'!A175&lt;&gt;0,'Boletins Nuppa Site'!A175,"NULL")</f>
        <v>41</v>
      </c>
      <c r="C175" s="0" t="n">
        <v>18</v>
      </c>
      <c r="D175" s="30" t="n">
        <f aca="false">IF('Boletins Nuppa Site'!G175&lt;&gt;0,'Boletins Nuppa Site'!G175,"NULL")</f>
        <v>20</v>
      </c>
      <c r="E175" s="30" t="n">
        <f aca="false">IF('Boletins Nuppa Site'!H175&lt;&gt;0,'Boletins Nuppa Site'!H175,"NULL")</f>
        <v>20</v>
      </c>
      <c r="F175" s="30" t="n">
        <f aca="false">IF('Boletins Nuppa Site'!I175&lt;&gt;0,'Boletins Nuppa Site'!I175,"NULL")</f>
        <v>22</v>
      </c>
      <c r="G175" s="0" t="str">
        <f aca="false">IF('Boletins Nuppa Site'!J175&lt;&gt;0,'Boletins Nuppa Site'!J175,"NULL")</f>
        <v>20.67</v>
      </c>
      <c r="H175" s="30" t="n">
        <f aca="false">IF('Boletins Nuppa Site'!K175&lt;&gt;0,'Boletins Nuppa Site'!K175,"NULL")</f>
        <v>20</v>
      </c>
      <c r="I175" s="0" t="str">
        <f aca="false">"INSERT INTO COTACAO (cot_id, cot_blt_id, cot_pap_id, cot_prc_comum, cot_prc_min, cot_prc_max, cot_prc_med, cot_prc_mediana) VALUES ("&amp;A175&amp;", "&amp;B175&amp;", "&amp;C175&amp;", "&amp;D175&amp;", "&amp;E175&amp;", "&amp;F175&amp;", "&amp;G175&amp;", "&amp;H175&amp;");"</f>
        <v>INSERT INTO COTACAO (cot_id, cot_blt_id, cot_pap_id, cot_prc_comum, cot_prc_min, cot_prc_max, cot_prc_med, cot_prc_mediana) VALUES (174, 41, 18, 20, 20, 22, 20.67, 20);</v>
      </c>
      <c r="J175" s="0" t="str">
        <f aca="false">"UPDATE COTACAO SET cot_id = "&amp;A175&amp;", cot_blt_id = "&amp;B175&amp;", cot_pap_id = "&amp;C175&amp;", cot_prc_comum = "&amp;D175&amp;", cot_prc_min = "&amp;E175&amp;", cot_prc_max = "&amp;F175&amp;", cot_prc_med = "&amp;G175&amp;", cot_prc_mediana = "&amp;H175&amp;" WHERE cot_id = "&amp;A175&amp;";"</f>
        <v>UPDATE COTACAO SET cot_id = 174, cot_blt_id = 41, cot_pap_id = 18, cot_prc_comum = 20, cot_prc_min = 20, cot_prc_max = 22, cot_prc_med = 20.67, cot_prc_mediana = 20 WHERE cot_id = 174;</v>
      </c>
    </row>
    <row r="176" customFormat="false" ht="14.25" hidden="false" customHeight="false" outlineLevel="0" collapsed="false">
      <c r="A176" s="0" t="n">
        <v>175</v>
      </c>
      <c r="B176" s="0" t="n">
        <f aca="false">IF('Boletins Nuppa Site'!A176&lt;&gt;0,'Boletins Nuppa Site'!A176,"NULL")</f>
        <v>41</v>
      </c>
      <c r="C176" s="0" t="n">
        <v>19</v>
      </c>
      <c r="D176" s="30" t="n">
        <f aca="false">IF('Boletins Nuppa Site'!G176&lt;&gt;0,'Boletins Nuppa Site'!G176,"NULL")</f>
        <v>20</v>
      </c>
      <c r="E176" s="30" t="n">
        <f aca="false">IF('Boletins Nuppa Site'!H176&lt;&gt;0,'Boletins Nuppa Site'!H176,"NULL")</f>
        <v>20</v>
      </c>
      <c r="F176" s="30" t="n">
        <f aca="false">IF('Boletins Nuppa Site'!I176&lt;&gt;0,'Boletins Nuppa Site'!I176,"NULL")</f>
        <v>30</v>
      </c>
      <c r="G176" s="0" t="str">
        <f aca="false">IF('Boletins Nuppa Site'!J176&lt;&gt;0,'Boletins Nuppa Site'!J176,"NULL")</f>
        <v>23.33</v>
      </c>
      <c r="H176" s="30" t="n">
        <f aca="false">IF('Boletins Nuppa Site'!K176&lt;&gt;0,'Boletins Nuppa Site'!K176,"NULL")</f>
        <v>20</v>
      </c>
      <c r="I176" s="0" t="str">
        <f aca="false">"INSERT INTO COTACAO (cot_id, cot_blt_id, cot_pap_id, cot_prc_comum, cot_prc_min, cot_prc_max, cot_prc_med, cot_prc_mediana) VALUES ("&amp;A176&amp;", "&amp;B176&amp;", "&amp;C176&amp;", "&amp;D176&amp;", "&amp;E176&amp;", "&amp;F176&amp;", "&amp;G176&amp;", "&amp;H176&amp;");"</f>
        <v>INSERT INTO COTACAO (cot_id, cot_blt_id, cot_pap_id, cot_prc_comum, cot_prc_min, cot_prc_max, cot_prc_med, cot_prc_mediana) VALUES (175, 41, 19, 20, 20, 30, 23.33, 20);</v>
      </c>
      <c r="J176" s="0" t="str">
        <f aca="false">"UPDATE COTACAO SET cot_id = "&amp;A176&amp;", cot_blt_id = "&amp;B176&amp;", cot_pap_id = "&amp;C176&amp;", cot_prc_comum = "&amp;D176&amp;", cot_prc_min = "&amp;E176&amp;", cot_prc_max = "&amp;F176&amp;", cot_prc_med = "&amp;G176&amp;", cot_prc_mediana = "&amp;H176&amp;" WHERE cot_id = "&amp;A176&amp;";"</f>
        <v>UPDATE COTACAO SET cot_id = 175, cot_blt_id = 41, cot_pap_id = 19, cot_prc_comum = 20, cot_prc_min = 20, cot_prc_max = 30, cot_prc_med = 23.33, cot_prc_mediana = 20 WHERE cot_id = 175;</v>
      </c>
    </row>
    <row r="177" customFormat="false" ht="14.25" hidden="false" customHeight="false" outlineLevel="0" collapsed="false">
      <c r="A177" s="0" t="n">
        <v>176</v>
      </c>
      <c r="B177" s="0" t="n">
        <f aca="false">IF('Boletins Nuppa Site'!A177&lt;&gt;0,'Boletins Nuppa Site'!A177,"NULL")</f>
        <v>41</v>
      </c>
      <c r="C177" s="0" t="n">
        <v>21</v>
      </c>
      <c r="D177" s="30" t="n">
        <f aca="false">IF('Boletins Nuppa Site'!G177&lt;&gt;0,'Boletins Nuppa Site'!G177,"NULL")</f>
        <v>35</v>
      </c>
      <c r="E177" s="30" t="n">
        <f aca="false">IF('Boletins Nuppa Site'!H177&lt;&gt;0,'Boletins Nuppa Site'!H177,"NULL")</f>
        <v>35</v>
      </c>
      <c r="F177" s="30" t="n">
        <f aca="false">IF('Boletins Nuppa Site'!I177&lt;&gt;0,'Boletins Nuppa Site'!I177,"NULL")</f>
        <v>65</v>
      </c>
      <c r="G177" s="0" t="str">
        <f aca="false">IF('Boletins Nuppa Site'!J177&lt;&gt;0,'Boletins Nuppa Site'!J177,"NULL")</f>
        <v>50.71</v>
      </c>
      <c r="H177" s="30" t="n">
        <f aca="false">IF('Boletins Nuppa Site'!K177&lt;&gt;0,'Boletins Nuppa Site'!K177,"NULL")</f>
        <v>50</v>
      </c>
      <c r="I177" s="0" t="str">
        <f aca="false">"INSERT INTO COTACAO (cot_id, cot_blt_id, cot_pap_id, cot_prc_comum, cot_prc_min, cot_prc_max, cot_prc_med, cot_prc_mediana) VALUES ("&amp;A177&amp;", "&amp;B177&amp;", "&amp;C177&amp;", "&amp;D177&amp;", "&amp;E177&amp;", "&amp;F177&amp;", "&amp;G177&amp;", "&amp;H177&amp;");"</f>
        <v>INSERT INTO COTACAO (cot_id, cot_blt_id, cot_pap_id, cot_prc_comum, cot_prc_min, cot_prc_max, cot_prc_med, cot_prc_mediana) VALUES (176, 41, 21, 35, 35, 65, 50.71, 50);</v>
      </c>
      <c r="J177" s="0" t="str">
        <f aca="false">"UPDATE COTACAO SET cot_id = "&amp;A177&amp;", cot_blt_id = "&amp;B177&amp;", cot_pap_id = "&amp;C177&amp;", cot_prc_comum = "&amp;D177&amp;", cot_prc_min = "&amp;E177&amp;", cot_prc_max = "&amp;F177&amp;", cot_prc_med = "&amp;G177&amp;", cot_prc_mediana = "&amp;H177&amp;" WHERE cot_id = "&amp;A177&amp;";"</f>
        <v>UPDATE COTACAO SET cot_id = 176, cot_blt_id = 41, cot_pap_id = 21, cot_prc_comum = 35, cot_prc_min = 35, cot_prc_max = 65, cot_prc_med = 50.71, cot_prc_mediana = 50 WHERE cot_id = 176;</v>
      </c>
    </row>
    <row r="178" customFormat="false" ht="14.25" hidden="false" customHeight="false" outlineLevel="0" collapsed="false">
      <c r="A178" s="0" t="n">
        <v>177</v>
      </c>
      <c r="B178" s="0" t="n">
        <f aca="false">IF('Boletins Nuppa Site'!A178&lt;&gt;0,'Boletins Nuppa Site'!A178,"NULL")</f>
        <v>41</v>
      </c>
      <c r="C178" s="0" t="n">
        <v>22</v>
      </c>
      <c r="D178" s="30" t="n">
        <f aca="false">IF('Boletins Nuppa Site'!G178&lt;&gt;0,'Boletins Nuppa Site'!G178,"NULL")</f>
        <v>35</v>
      </c>
      <c r="E178" s="30" t="n">
        <f aca="false">IF('Boletins Nuppa Site'!H178&lt;&gt;0,'Boletins Nuppa Site'!H178,"NULL")</f>
        <v>35</v>
      </c>
      <c r="F178" s="30" t="n">
        <f aca="false">IF('Boletins Nuppa Site'!I178&lt;&gt;0,'Boletins Nuppa Site'!I178,"NULL")</f>
        <v>65</v>
      </c>
      <c r="G178" s="0" t="str">
        <f aca="false">IF('Boletins Nuppa Site'!J178&lt;&gt;0,'Boletins Nuppa Site'!J178,"NULL")</f>
        <v>49.29</v>
      </c>
      <c r="H178" s="30" t="n">
        <f aca="false">IF('Boletins Nuppa Site'!K178&lt;&gt;0,'Boletins Nuppa Site'!K178,"NULL")</f>
        <v>55</v>
      </c>
      <c r="I178" s="0" t="str">
        <f aca="false">"INSERT INTO COTACAO (cot_id, cot_blt_id, cot_pap_id, cot_prc_comum, cot_prc_min, cot_prc_max, cot_prc_med, cot_prc_mediana) VALUES ("&amp;A178&amp;", "&amp;B178&amp;", "&amp;C178&amp;", "&amp;D178&amp;", "&amp;E178&amp;", "&amp;F178&amp;", "&amp;G178&amp;", "&amp;H178&amp;");"</f>
        <v>INSERT INTO COTACAO (cot_id, cot_blt_id, cot_pap_id, cot_prc_comum, cot_prc_min, cot_prc_max, cot_prc_med, cot_prc_mediana) VALUES (177, 41, 22, 35, 35, 65, 49.29, 55);</v>
      </c>
      <c r="J178" s="0" t="str">
        <f aca="false">"UPDATE COTACAO SET cot_id = "&amp;A178&amp;", cot_blt_id = "&amp;B178&amp;", cot_pap_id = "&amp;C178&amp;", cot_prc_comum = "&amp;D178&amp;", cot_prc_min = "&amp;E178&amp;", cot_prc_max = "&amp;F178&amp;", cot_prc_med = "&amp;G178&amp;", cot_prc_mediana = "&amp;H178&amp;" WHERE cot_id = "&amp;A178&amp;";"</f>
        <v>UPDATE COTACAO SET cot_id = 177, cot_blt_id = 41, cot_pap_id = 22, cot_prc_comum = 35, cot_prc_min = 35, cot_prc_max = 65, cot_prc_med = 49.29, cot_prc_mediana = 55 WHERE cot_id = 177;</v>
      </c>
    </row>
    <row r="179" customFormat="false" ht="14.25" hidden="false" customHeight="false" outlineLevel="0" collapsed="false">
      <c r="A179" s="0" t="n">
        <v>178</v>
      </c>
      <c r="B179" s="0" t="n">
        <f aca="false">IF('Boletins Nuppa Site'!A179&lt;&gt;0,'Boletins Nuppa Site'!A179,"NULL")</f>
        <v>41</v>
      </c>
      <c r="C179" s="0" t="n">
        <v>23</v>
      </c>
      <c r="D179" s="30" t="n">
        <f aca="false">IF('Boletins Nuppa Site'!G179&lt;&gt;0,'Boletins Nuppa Site'!G179,"NULL")</f>
        <v>35</v>
      </c>
      <c r="E179" s="30" t="n">
        <f aca="false">IF('Boletins Nuppa Site'!H179&lt;&gt;0,'Boletins Nuppa Site'!H179,"NULL")</f>
        <v>30</v>
      </c>
      <c r="F179" s="30" t="n">
        <f aca="false">IF('Boletins Nuppa Site'!I179&lt;&gt;0,'Boletins Nuppa Site'!I179,"NULL")</f>
        <v>50</v>
      </c>
      <c r="G179" s="0" t="str">
        <f aca="false">IF('Boletins Nuppa Site'!J179&lt;&gt;0,'Boletins Nuppa Site'!J179,"NULL")</f>
        <v>37.86</v>
      </c>
      <c r="H179" s="30" t="n">
        <f aca="false">IF('Boletins Nuppa Site'!K179&lt;&gt;0,'Boletins Nuppa Site'!K179,"NULL")</f>
        <v>35</v>
      </c>
      <c r="I179" s="0" t="str">
        <f aca="false">"INSERT INTO COTACAO (cot_id, cot_blt_id, cot_pap_id, cot_prc_comum, cot_prc_min, cot_prc_max, cot_prc_med, cot_prc_mediana) VALUES ("&amp;A179&amp;", "&amp;B179&amp;", "&amp;C179&amp;", "&amp;D179&amp;", "&amp;E179&amp;", "&amp;F179&amp;", "&amp;G179&amp;", "&amp;H179&amp;");"</f>
        <v>INSERT INTO COTACAO (cot_id, cot_blt_id, cot_pap_id, cot_prc_comum, cot_prc_min, cot_prc_max, cot_prc_med, cot_prc_mediana) VALUES (178, 41, 23, 35, 30, 50, 37.86, 35);</v>
      </c>
      <c r="J179" s="0" t="str">
        <f aca="false">"UPDATE COTACAO SET cot_id = "&amp;A179&amp;", cot_blt_id = "&amp;B179&amp;", cot_pap_id = "&amp;C179&amp;", cot_prc_comum = "&amp;D179&amp;", cot_prc_min = "&amp;E179&amp;", cot_prc_max = "&amp;F179&amp;", cot_prc_med = "&amp;G179&amp;", cot_prc_mediana = "&amp;H179&amp;" WHERE cot_id = "&amp;A179&amp;";"</f>
        <v>UPDATE COTACAO SET cot_id = 178, cot_blt_id = 41, cot_pap_id = 23, cot_prc_comum = 35, cot_prc_min = 30, cot_prc_max = 50, cot_prc_med = 37.86, cot_prc_mediana = 35 WHERE cot_id = 178;</v>
      </c>
    </row>
    <row r="180" customFormat="false" ht="14.25" hidden="false" customHeight="false" outlineLevel="0" collapsed="false">
      <c r="A180" s="0" t="n">
        <v>179</v>
      </c>
      <c r="B180" s="0" t="n">
        <f aca="false">IF('Boletins Nuppa Site'!A180&lt;&gt;0,'Boletins Nuppa Site'!A180,"NULL")</f>
        <v>41</v>
      </c>
      <c r="C180" s="0" t="n">
        <v>24</v>
      </c>
      <c r="D180" s="30" t="n">
        <f aca="false">IF('Boletins Nuppa Site'!G180&lt;&gt;0,'Boletins Nuppa Site'!G180,"NULL")</f>
        <v>100</v>
      </c>
      <c r="E180" s="30" t="n">
        <f aca="false">IF('Boletins Nuppa Site'!H180&lt;&gt;0,'Boletins Nuppa Site'!H180,"NULL")</f>
        <v>100</v>
      </c>
      <c r="F180" s="30" t="n">
        <f aca="false">IF('Boletins Nuppa Site'!I180&lt;&gt;0,'Boletins Nuppa Site'!I180,"NULL")</f>
        <v>110</v>
      </c>
      <c r="G180" s="0" t="str">
        <f aca="false">IF('Boletins Nuppa Site'!J180&lt;&gt;0,'Boletins Nuppa Site'!J180,"NULL")</f>
        <v>103.33</v>
      </c>
      <c r="H180" s="30" t="n">
        <f aca="false">IF('Boletins Nuppa Site'!K180&lt;&gt;0,'Boletins Nuppa Site'!K180,"NULL")</f>
        <v>100</v>
      </c>
      <c r="I180" s="0" t="str">
        <f aca="false">"INSERT INTO COTACAO (cot_id, cot_blt_id, cot_pap_id, cot_prc_comum, cot_prc_min, cot_prc_max, cot_prc_med, cot_prc_mediana) VALUES ("&amp;A180&amp;", "&amp;B180&amp;", "&amp;C180&amp;", "&amp;D180&amp;", "&amp;E180&amp;", "&amp;F180&amp;", "&amp;G180&amp;", "&amp;H180&amp;");"</f>
        <v>INSERT INTO COTACAO (cot_id, cot_blt_id, cot_pap_id, cot_prc_comum, cot_prc_min, cot_prc_max, cot_prc_med, cot_prc_mediana) VALUES (179, 41, 24, 100, 100, 110, 103.33, 100);</v>
      </c>
      <c r="J180" s="0" t="str">
        <f aca="false">"UPDATE COTACAO SET cot_id = "&amp;A180&amp;", cot_blt_id = "&amp;B180&amp;", cot_pap_id = "&amp;C180&amp;", cot_prc_comum = "&amp;D180&amp;", cot_prc_min = "&amp;E180&amp;", cot_prc_max = "&amp;F180&amp;", cot_prc_med = "&amp;G180&amp;", cot_prc_mediana = "&amp;H180&amp;" WHERE cot_id = "&amp;A180&amp;";"</f>
        <v>UPDATE COTACAO SET cot_id = 179, cot_blt_id = 41, cot_pap_id = 24, cot_prc_comum = 100, cot_prc_min = 100, cot_prc_max = 110, cot_prc_med = 103.33, cot_prc_mediana = 100 WHERE cot_id = 179;</v>
      </c>
    </row>
    <row r="181" customFormat="false" ht="14.25" hidden="false" customHeight="false" outlineLevel="0" collapsed="false">
      <c r="A181" s="0" t="n">
        <v>180</v>
      </c>
      <c r="B181" s="0" t="n">
        <f aca="false">IF('Boletins Nuppa Site'!A181&lt;&gt;0,'Boletins Nuppa Site'!A181,"NULL")</f>
        <v>41</v>
      </c>
      <c r="C181" s="0" t="n">
        <v>25</v>
      </c>
      <c r="D181" s="30" t="n">
        <f aca="false">IF('Boletins Nuppa Site'!G181&lt;&gt;0,'Boletins Nuppa Site'!G181,"NULL")</f>
        <v>50</v>
      </c>
      <c r="E181" s="30" t="n">
        <f aca="false">IF('Boletins Nuppa Site'!H181&lt;&gt;0,'Boletins Nuppa Site'!H181,"NULL")</f>
        <v>40</v>
      </c>
      <c r="F181" s="30" t="n">
        <f aca="false">IF('Boletins Nuppa Site'!I181&lt;&gt;0,'Boletins Nuppa Site'!I181,"NULL")</f>
        <v>55</v>
      </c>
      <c r="G181" s="0" t="str">
        <f aca="false">IF('Boletins Nuppa Site'!J181&lt;&gt;0,'Boletins Nuppa Site'!J181,"NULL")</f>
        <v>49.17</v>
      </c>
      <c r="H181" s="30" t="n">
        <f aca="false">IF('Boletins Nuppa Site'!K181&lt;&gt;0,'Boletins Nuppa Site'!K181,"NULL")</f>
        <v>50</v>
      </c>
      <c r="I181" s="0" t="str">
        <f aca="false">"INSERT INTO COTACAO (cot_id, cot_blt_id, cot_pap_id, cot_prc_comum, cot_prc_min, cot_prc_max, cot_prc_med, cot_prc_mediana) VALUES ("&amp;A181&amp;", "&amp;B181&amp;", "&amp;C181&amp;", "&amp;D181&amp;", "&amp;E181&amp;", "&amp;F181&amp;", "&amp;G181&amp;", "&amp;H181&amp;");"</f>
        <v>INSERT INTO COTACAO (cot_id, cot_blt_id, cot_pap_id, cot_prc_comum, cot_prc_min, cot_prc_max, cot_prc_med, cot_prc_mediana) VALUES (180, 41, 25, 50, 40, 55, 49.17, 50);</v>
      </c>
      <c r="J181" s="0" t="str">
        <f aca="false">"UPDATE COTACAO SET cot_id = "&amp;A181&amp;", cot_blt_id = "&amp;B181&amp;", cot_pap_id = "&amp;C181&amp;", cot_prc_comum = "&amp;D181&amp;", cot_prc_min = "&amp;E181&amp;", cot_prc_max = "&amp;F181&amp;", cot_prc_med = "&amp;G181&amp;", cot_prc_mediana = "&amp;H181&amp;" WHERE cot_id = "&amp;A181&amp;";"</f>
        <v>UPDATE COTACAO SET cot_id = 180, cot_blt_id = 41, cot_pap_id = 25, cot_prc_comum = 50, cot_prc_min = 40, cot_prc_max = 55, cot_prc_med = 49.17, cot_prc_mediana = 50 WHERE cot_id = 180;</v>
      </c>
    </row>
    <row r="182" customFormat="false" ht="14.25" hidden="false" customHeight="false" outlineLevel="0" collapsed="false">
      <c r="A182" s="0" t="n">
        <v>181</v>
      </c>
      <c r="B182" s="0" t="n">
        <f aca="false">IF('Boletins Nuppa Site'!A182&lt;&gt;0,'Boletins Nuppa Site'!A182,"NULL")</f>
        <v>41</v>
      </c>
      <c r="C182" s="0" t="n">
        <v>26</v>
      </c>
      <c r="D182" s="30" t="n">
        <f aca="false">IF('Boletins Nuppa Site'!G182&lt;&gt;0,'Boletins Nuppa Site'!G182,"NULL")</f>
        <v>70</v>
      </c>
      <c r="E182" s="30" t="n">
        <f aca="false">IF('Boletins Nuppa Site'!H182&lt;&gt;0,'Boletins Nuppa Site'!H182,"NULL")</f>
        <v>60</v>
      </c>
      <c r="F182" s="30" t="n">
        <f aca="false">IF('Boletins Nuppa Site'!I182&lt;&gt;0,'Boletins Nuppa Site'!I182,"NULL")</f>
        <v>70</v>
      </c>
      <c r="G182" s="0" t="str">
        <f aca="false">IF('Boletins Nuppa Site'!J182&lt;&gt;0,'Boletins Nuppa Site'!J182,"NULL")</f>
        <v>66.67</v>
      </c>
      <c r="H182" s="0" t="str">
        <f aca="false">IF('Boletins Nuppa Site'!K182&lt;&gt;0,'Boletins Nuppa Site'!K182,"NULL")</f>
        <v>67.5</v>
      </c>
      <c r="I182" s="0" t="str">
        <f aca="false">"INSERT INTO COTACAO (cot_id, cot_blt_id, cot_pap_id, cot_prc_comum, cot_prc_min, cot_prc_max, cot_prc_med, cot_prc_mediana) VALUES ("&amp;A182&amp;", "&amp;B182&amp;", "&amp;C182&amp;", "&amp;D182&amp;", "&amp;E182&amp;", "&amp;F182&amp;", "&amp;G182&amp;", "&amp;H182&amp;");"</f>
        <v>INSERT INTO COTACAO (cot_id, cot_blt_id, cot_pap_id, cot_prc_comum, cot_prc_min, cot_prc_max, cot_prc_med, cot_prc_mediana) VALUES (181, 41, 26, 70, 60, 70, 66.67, 67.5);</v>
      </c>
      <c r="J182" s="0" t="str">
        <f aca="false">"UPDATE COTACAO SET cot_id = "&amp;A182&amp;", cot_blt_id = "&amp;B182&amp;", cot_pap_id = "&amp;C182&amp;", cot_prc_comum = "&amp;D182&amp;", cot_prc_min = "&amp;E182&amp;", cot_prc_max = "&amp;F182&amp;", cot_prc_med = "&amp;G182&amp;", cot_prc_mediana = "&amp;H182&amp;" WHERE cot_id = "&amp;A182&amp;";"</f>
        <v>UPDATE COTACAO SET cot_id = 181, cot_blt_id = 41, cot_pap_id = 26, cot_prc_comum = 70, cot_prc_min = 60, cot_prc_max = 70, cot_prc_med = 66.67, cot_prc_mediana = 67.5 WHERE cot_id = 181;</v>
      </c>
    </row>
    <row r="183" customFormat="false" ht="14.25" hidden="false" customHeight="false" outlineLevel="0" collapsed="false">
      <c r="A183" s="0" t="n">
        <v>182</v>
      </c>
      <c r="B183" s="0" t="n">
        <f aca="false">IF('Boletins Nuppa Site'!A183&lt;&gt;0,'Boletins Nuppa Site'!A183,"NULL")</f>
        <v>41</v>
      </c>
      <c r="C183" s="0" t="n">
        <v>27</v>
      </c>
      <c r="D183" s="30" t="n">
        <f aca="false">IF('Boletins Nuppa Site'!G183&lt;&gt;0,'Boletins Nuppa Site'!G183,"NULL")</f>
        <v>70</v>
      </c>
      <c r="E183" s="30" t="n">
        <f aca="false">IF('Boletins Nuppa Site'!H183&lt;&gt;0,'Boletins Nuppa Site'!H183,"NULL")</f>
        <v>70</v>
      </c>
      <c r="F183" s="30" t="n">
        <f aca="false">IF('Boletins Nuppa Site'!I183&lt;&gt;0,'Boletins Nuppa Site'!I183,"NULL")</f>
        <v>75</v>
      </c>
      <c r="G183" s="0" t="str">
        <f aca="false">IF('Boletins Nuppa Site'!J183&lt;&gt;0,'Boletins Nuppa Site'!J183,"NULL")</f>
        <v>70.83</v>
      </c>
      <c r="H183" s="30" t="n">
        <f aca="false">IF('Boletins Nuppa Site'!K183&lt;&gt;0,'Boletins Nuppa Site'!K183,"NULL")</f>
        <v>70</v>
      </c>
      <c r="I183" s="0" t="str">
        <f aca="false">"INSERT INTO COTACAO (cot_id, cot_blt_id, cot_pap_id, cot_prc_comum, cot_prc_min, cot_prc_max, cot_prc_med, cot_prc_mediana) VALUES ("&amp;A183&amp;", "&amp;B183&amp;", "&amp;C183&amp;", "&amp;D183&amp;", "&amp;E183&amp;", "&amp;F183&amp;", "&amp;G183&amp;", "&amp;H183&amp;");"</f>
        <v>INSERT INTO COTACAO (cot_id, cot_blt_id, cot_pap_id, cot_prc_comum, cot_prc_min, cot_prc_max, cot_prc_med, cot_prc_mediana) VALUES (182, 41, 27, 70, 70, 75, 70.83, 70);</v>
      </c>
      <c r="J183" s="0" t="str">
        <f aca="false">"UPDATE COTACAO SET cot_id = "&amp;A183&amp;", cot_blt_id = "&amp;B183&amp;", cot_pap_id = "&amp;C183&amp;", cot_prc_comum = "&amp;D183&amp;", cot_prc_min = "&amp;E183&amp;", cot_prc_max = "&amp;F183&amp;", cot_prc_med = "&amp;G183&amp;", cot_prc_mediana = "&amp;H183&amp;" WHERE cot_id = "&amp;A183&amp;";"</f>
        <v>UPDATE COTACAO SET cot_id = 182, cot_blt_id = 41, cot_pap_id = 27, cot_prc_comum = 70, cot_prc_min = 70, cot_prc_max = 75, cot_prc_med = 70.83, cot_prc_mediana = 70 WHERE cot_id = 182;</v>
      </c>
    </row>
    <row r="184" customFormat="false" ht="14.25" hidden="false" customHeight="false" outlineLevel="0" collapsed="false">
      <c r="A184" s="0" t="n">
        <v>183</v>
      </c>
      <c r="B184" s="0" t="n">
        <f aca="false">IF('Boletins Nuppa Site'!A184&lt;&gt;0,'Boletins Nuppa Site'!A184,"NULL")</f>
        <v>41</v>
      </c>
      <c r="C184" s="0" t="n">
        <v>28</v>
      </c>
      <c r="D184" s="30" t="n">
        <f aca="false">IF('Boletins Nuppa Site'!G184&lt;&gt;0,'Boletins Nuppa Site'!G184,"NULL")</f>
        <v>70</v>
      </c>
      <c r="E184" s="30" t="n">
        <f aca="false">IF('Boletins Nuppa Site'!H184&lt;&gt;0,'Boletins Nuppa Site'!H184,"NULL")</f>
        <v>60</v>
      </c>
      <c r="F184" s="30" t="n">
        <f aca="false">IF('Boletins Nuppa Site'!I184&lt;&gt;0,'Boletins Nuppa Site'!I184,"NULL")</f>
        <v>80</v>
      </c>
      <c r="G184" s="30" t="n">
        <f aca="false">IF('Boletins Nuppa Site'!J184&lt;&gt;0,'Boletins Nuppa Site'!J184,"NULL")</f>
        <v>70</v>
      </c>
      <c r="H184" s="30" t="n">
        <f aca="false">IF('Boletins Nuppa Site'!K184&lt;&gt;0,'Boletins Nuppa Site'!K184,"NULL")</f>
        <v>70</v>
      </c>
      <c r="I184" s="0" t="str">
        <f aca="false">"INSERT INTO COTACAO (cot_id, cot_blt_id, cot_pap_id, cot_prc_comum, cot_prc_min, cot_prc_max, cot_prc_med, cot_prc_mediana) VALUES ("&amp;A184&amp;", "&amp;B184&amp;", "&amp;C184&amp;", "&amp;D184&amp;", "&amp;E184&amp;", "&amp;F184&amp;", "&amp;G184&amp;", "&amp;H184&amp;");"</f>
        <v>INSERT INTO COTACAO (cot_id, cot_blt_id, cot_pap_id, cot_prc_comum, cot_prc_min, cot_prc_max, cot_prc_med, cot_prc_mediana) VALUES (183, 41, 28, 70, 60, 80, 70, 70);</v>
      </c>
      <c r="J184" s="0" t="str">
        <f aca="false">"UPDATE COTACAO SET cot_id = "&amp;A184&amp;", cot_blt_id = "&amp;B184&amp;", cot_pap_id = "&amp;C184&amp;", cot_prc_comum = "&amp;D184&amp;", cot_prc_min = "&amp;E184&amp;", cot_prc_max = "&amp;F184&amp;", cot_prc_med = "&amp;G184&amp;", cot_prc_mediana = "&amp;H184&amp;" WHERE cot_id = "&amp;A184&amp;";"</f>
        <v>UPDATE COTACAO SET cot_id = 183, cot_blt_id = 41, cot_pap_id = 28, cot_prc_comum = 70, cot_prc_min = 60, cot_prc_max = 80, cot_prc_med = 70, cot_prc_mediana = 70 WHERE cot_id = 183;</v>
      </c>
    </row>
    <row r="185" customFormat="false" ht="14.25" hidden="false" customHeight="false" outlineLevel="0" collapsed="false">
      <c r="A185" s="0" t="n">
        <v>184</v>
      </c>
      <c r="B185" s="0" t="n">
        <f aca="false">IF('Boletins Nuppa Site'!A185&lt;&gt;0,'Boletins Nuppa Site'!A185,"NULL")</f>
        <v>41</v>
      </c>
      <c r="C185" s="0" t="n">
        <v>29</v>
      </c>
      <c r="D185" s="0" t="str">
        <f aca="false">IF('Boletins Nuppa Site'!G185&lt;&gt;0,'Boletins Nuppa Site'!G185,"NULL")</f>
        <v>NULL</v>
      </c>
      <c r="E185" s="30" t="n">
        <f aca="false">IF('Boletins Nuppa Site'!H185&lt;&gt;0,'Boletins Nuppa Site'!H185,"NULL")</f>
        <v>60</v>
      </c>
      <c r="F185" s="30" t="n">
        <f aca="false">IF('Boletins Nuppa Site'!I185&lt;&gt;0,'Boletins Nuppa Site'!I185,"NULL")</f>
        <v>60</v>
      </c>
      <c r="G185" s="30" t="n">
        <f aca="false">IF('Boletins Nuppa Site'!J185&lt;&gt;0,'Boletins Nuppa Site'!J185,"NULL")</f>
        <v>60</v>
      </c>
      <c r="H185" s="30" t="n">
        <f aca="false">IF('Boletins Nuppa Site'!K185&lt;&gt;0,'Boletins Nuppa Site'!K185,"NULL")</f>
        <v>60</v>
      </c>
      <c r="I185" s="0" t="str">
        <f aca="false">"INSERT INTO COTACAO (cot_id, cot_blt_id, cot_pap_id, cot_prc_comum, cot_prc_min, cot_prc_max, cot_prc_med, cot_prc_mediana) VALUES ("&amp;A185&amp;", "&amp;B185&amp;", "&amp;C185&amp;", "&amp;D185&amp;", "&amp;E185&amp;", "&amp;F185&amp;", "&amp;G185&amp;", "&amp;H185&amp;");"</f>
        <v>INSERT INTO COTACAO (cot_id, cot_blt_id, cot_pap_id, cot_prc_comum, cot_prc_min, cot_prc_max, cot_prc_med, cot_prc_mediana) VALUES (184, 41, 29, NULL, 60, 60, 60, 60);</v>
      </c>
      <c r="J185" s="0" t="str">
        <f aca="false">"UPDATE COTACAO SET cot_id = "&amp;A185&amp;", cot_blt_id = "&amp;B185&amp;", cot_pap_id = "&amp;C185&amp;", cot_prc_comum = "&amp;D185&amp;", cot_prc_min = "&amp;E185&amp;", cot_prc_max = "&amp;F185&amp;", cot_prc_med = "&amp;G185&amp;", cot_prc_mediana = "&amp;H185&amp;" WHERE cot_id = "&amp;A185&amp;";"</f>
        <v>UPDATE COTACAO SET cot_id = 184, cot_blt_id = 41, cot_pap_id = 29, cot_prc_comum = NULL, cot_prc_min = 60, cot_prc_max = 60, cot_prc_med = 60, cot_prc_mediana = 60 WHERE cot_id = 184;</v>
      </c>
    </row>
    <row r="186" customFormat="false" ht="14.25" hidden="false" customHeight="false" outlineLevel="0" collapsed="false">
      <c r="A186" s="0" t="n">
        <v>185</v>
      </c>
      <c r="B186" s="0" t="n">
        <f aca="false">IF('Boletins Nuppa Site'!A186&lt;&gt;0,'Boletins Nuppa Site'!A186,"NULL")</f>
        <v>41</v>
      </c>
      <c r="C186" s="0" t="n">
        <v>30</v>
      </c>
      <c r="D186" s="30" t="n">
        <f aca="false">IF('Boletins Nuppa Site'!G186&lt;&gt;0,'Boletins Nuppa Site'!G186,"NULL")</f>
        <v>50</v>
      </c>
      <c r="E186" s="30" t="n">
        <f aca="false">IF('Boletins Nuppa Site'!H186&lt;&gt;0,'Boletins Nuppa Site'!H186,"NULL")</f>
        <v>40</v>
      </c>
      <c r="F186" s="30" t="n">
        <f aca="false">IF('Boletins Nuppa Site'!I186&lt;&gt;0,'Boletins Nuppa Site'!I186,"NULL")</f>
        <v>50</v>
      </c>
      <c r="G186" s="0" t="str">
        <f aca="false">IF('Boletins Nuppa Site'!J186&lt;&gt;0,'Boletins Nuppa Site'!J186,"NULL")</f>
        <v>47.5</v>
      </c>
      <c r="H186" s="30" t="n">
        <f aca="false">IF('Boletins Nuppa Site'!K186&lt;&gt;0,'Boletins Nuppa Site'!K186,"NULL")</f>
        <v>50</v>
      </c>
      <c r="I186" s="0" t="str">
        <f aca="false">"INSERT INTO COTACAO (cot_id, cot_blt_id, cot_pap_id, cot_prc_comum, cot_prc_min, cot_prc_max, cot_prc_med, cot_prc_mediana) VALUES ("&amp;A186&amp;", "&amp;B186&amp;", "&amp;C186&amp;", "&amp;D186&amp;", "&amp;E186&amp;", "&amp;F186&amp;", "&amp;G186&amp;", "&amp;H186&amp;");"</f>
        <v>INSERT INTO COTACAO (cot_id, cot_blt_id, cot_pap_id, cot_prc_comum, cot_prc_min, cot_prc_max, cot_prc_med, cot_prc_mediana) VALUES (185, 41, 30, 50, 40, 50, 47.5, 50);</v>
      </c>
      <c r="J186" s="0" t="str">
        <f aca="false">"UPDATE COTACAO SET cot_id = "&amp;A186&amp;", cot_blt_id = "&amp;B186&amp;", cot_pap_id = "&amp;C186&amp;", cot_prc_comum = "&amp;D186&amp;", cot_prc_min = "&amp;E186&amp;", cot_prc_max = "&amp;F186&amp;", cot_prc_med = "&amp;G186&amp;", cot_prc_mediana = "&amp;H186&amp;" WHERE cot_id = "&amp;A186&amp;";"</f>
        <v>UPDATE COTACAO SET cot_id = 185, cot_blt_id = 41, cot_pap_id = 30, cot_prc_comum = 50, cot_prc_min = 40, cot_prc_max = 50, cot_prc_med = 47.5, cot_prc_mediana = 50 WHERE cot_id = 185;</v>
      </c>
    </row>
    <row r="187" customFormat="false" ht="14.25" hidden="false" customHeight="false" outlineLevel="0" collapsed="false">
      <c r="A187" s="0" t="n">
        <v>186</v>
      </c>
      <c r="B187" s="0" t="n">
        <f aca="false">IF('Boletins Nuppa Site'!A187&lt;&gt;0,'Boletins Nuppa Site'!A187,"NULL")</f>
        <v>41</v>
      </c>
      <c r="C187" s="0" t="n">
        <v>31</v>
      </c>
      <c r="D187" s="30" t="n">
        <f aca="false">IF('Boletins Nuppa Site'!G187&lt;&gt;0,'Boletins Nuppa Site'!G187,"NULL")</f>
        <v>80</v>
      </c>
      <c r="E187" s="30" t="n">
        <f aca="false">IF('Boletins Nuppa Site'!H187&lt;&gt;0,'Boletins Nuppa Site'!H187,"NULL")</f>
        <v>65</v>
      </c>
      <c r="F187" s="30" t="n">
        <f aca="false">IF('Boletins Nuppa Site'!I187&lt;&gt;0,'Boletins Nuppa Site'!I187,"NULL")</f>
        <v>80</v>
      </c>
      <c r="G187" s="30" t="n">
        <f aca="false">IF('Boletins Nuppa Site'!J187&lt;&gt;0,'Boletins Nuppa Site'!J187,"NULL")</f>
        <v>75</v>
      </c>
      <c r="H187" s="30" t="n">
        <f aca="false">IF('Boletins Nuppa Site'!K187&lt;&gt;0,'Boletins Nuppa Site'!K187,"NULL")</f>
        <v>80</v>
      </c>
      <c r="I187" s="0" t="str">
        <f aca="false">"INSERT INTO COTACAO (cot_id, cot_blt_id, cot_pap_id, cot_prc_comum, cot_prc_min, cot_prc_max, cot_prc_med, cot_prc_mediana) VALUES ("&amp;A187&amp;", "&amp;B187&amp;", "&amp;C187&amp;", "&amp;D187&amp;", "&amp;E187&amp;", "&amp;F187&amp;", "&amp;G187&amp;", "&amp;H187&amp;");"</f>
        <v>INSERT INTO COTACAO (cot_id, cot_blt_id, cot_pap_id, cot_prc_comum, cot_prc_min, cot_prc_max, cot_prc_med, cot_prc_mediana) VALUES (186, 41, 31, 80, 65, 80, 75, 80);</v>
      </c>
      <c r="J187" s="0" t="str">
        <f aca="false">"UPDATE COTACAO SET cot_id = "&amp;A187&amp;", cot_blt_id = "&amp;B187&amp;", cot_pap_id = "&amp;C187&amp;", cot_prc_comum = "&amp;D187&amp;", cot_prc_min = "&amp;E187&amp;", cot_prc_max = "&amp;F187&amp;", cot_prc_med = "&amp;G187&amp;", cot_prc_mediana = "&amp;H187&amp;" WHERE cot_id = "&amp;A187&amp;";"</f>
        <v>UPDATE COTACAO SET cot_id = 186, cot_blt_id = 41, cot_pap_id = 31, cot_prc_comum = 80, cot_prc_min = 65, cot_prc_max = 80, cot_prc_med = 75, cot_prc_mediana = 80 WHERE cot_id = 186;</v>
      </c>
    </row>
    <row r="188" customFormat="false" ht="14.25" hidden="false" customHeight="false" outlineLevel="0" collapsed="false">
      <c r="A188" s="0" t="n">
        <v>187</v>
      </c>
      <c r="B188" s="0" t="n">
        <f aca="false">IF('Boletins Nuppa Site'!A188&lt;&gt;0,'Boletins Nuppa Site'!A188,"NULL")</f>
        <v>41</v>
      </c>
      <c r="C188" s="0" t="n">
        <v>32</v>
      </c>
      <c r="D188" s="30" t="n">
        <f aca="false">IF('Boletins Nuppa Site'!G188&lt;&gt;0,'Boletins Nuppa Site'!G188,"NULL")</f>
        <v>35</v>
      </c>
      <c r="E188" s="30" t="n">
        <f aca="false">IF('Boletins Nuppa Site'!H188&lt;&gt;0,'Boletins Nuppa Site'!H188,"NULL")</f>
        <v>30</v>
      </c>
      <c r="F188" s="30" t="n">
        <f aca="false">IF('Boletins Nuppa Site'!I188&lt;&gt;0,'Boletins Nuppa Site'!I188,"NULL")</f>
        <v>45</v>
      </c>
      <c r="G188" s="0" t="str">
        <f aca="false">IF('Boletins Nuppa Site'!J188&lt;&gt;0,'Boletins Nuppa Site'!J188,"NULL")</f>
        <v>36.43</v>
      </c>
      <c r="H188" s="30" t="n">
        <f aca="false">IF('Boletins Nuppa Site'!K188&lt;&gt;0,'Boletins Nuppa Site'!K188,"NULL")</f>
        <v>35</v>
      </c>
      <c r="I188" s="0" t="str">
        <f aca="false">"INSERT INTO COTACAO (cot_id, cot_blt_id, cot_pap_id, cot_prc_comum, cot_prc_min, cot_prc_max, cot_prc_med, cot_prc_mediana) VALUES ("&amp;A188&amp;", "&amp;B188&amp;", "&amp;C188&amp;", "&amp;D188&amp;", "&amp;E188&amp;", "&amp;F188&amp;", "&amp;G188&amp;", "&amp;H188&amp;");"</f>
        <v>INSERT INTO COTACAO (cot_id, cot_blt_id, cot_pap_id, cot_prc_comum, cot_prc_min, cot_prc_max, cot_prc_med, cot_prc_mediana) VALUES (187, 41, 32, 35, 30, 45, 36.43, 35);</v>
      </c>
      <c r="J188" s="0" t="str">
        <f aca="false">"UPDATE COTACAO SET cot_id = "&amp;A188&amp;", cot_blt_id = "&amp;B188&amp;", cot_pap_id = "&amp;C188&amp;", cot_prc_comum = "&amp;D188&amp;", cot_prc_min = "&amp;E188&amp;", cot_prc_max = "&amp;F188&amp;", cot_prc_med = "&amp;G188&amp;", cot_prc_mediana = "&amp;H188&amp;" WHERE cot_id = "&amp;A188&amp;";"</f>
        <v>UPDATE COTACAO SET cot_id = 187, cot_blt_id = 41, cot_pap_id = 32, cot_prc_comum = 35, cot_prc_min = 30, cot_prc_max = 45, cot_prc_med = 36.43, cot_prc_mediana = 35 WHERE cot_id = 187;</v>
      </c>
    </row>
    <row r="189" customFormat="false" ht="14.25" hidden="false" customHeight="false" outlineLevel="0" collapsed="false">
      <c r="A189" s="0" t="n">
        <v>188</v>
      </c>
      <c r="B189" s="0" t="n">
        <f aca="false">IF('Boletins Nuppa Site'!A189&lt;&gt;0,'Boletins Nuppa Site'!A189,"NULL")</f>
        <v>41</v>
      </c>
      <c r="C189" s="0" t="n">
        <v>33</v>
      </c>
      <c r="D189" s="30" t="n">
        <f aca="false">IF('Boletins Nuppa Site'!G189&lt;&gt;0,'Boletins Nuppa Site'!G189,"NULL")</f>
        <v>70</v>
      </c>
      <c r="E189" s="30" t="n">
        <f aca="false">IF('Boletins Nuppa Site'!H189&lt;&gt;0,'Boletins Nuppa Site'!H189,"NULL")</f>
        <v>70</v>
      </c>
      <c r="F189" s="30" t="n">
        <f aca="false">IF('Boletins Nuppa Site'!I189&lt;&gt;0,'Boletins Nuppa Site'!I189,"NULL")</f>
        <v>100</v>
      </c>
      <c r="G189" s="0" t="str">
        <f aca="false">IF('Boletins Nuppa Site'!J189&lt;&gt;0,'Boletins Nuppa Site'!J189,"NULL")</f>
        <v>78.57</v>
      </c>
      <c r="H189" s="30" t="n">
        <f aca="false">IF('Boletins Nuppa Site'!K189&lt;&gt;0,'Boletins Nuppa Site'!K189,"NULL")</f>
        <v>70</v>
      </c>
      <c r="I189" s="0" t="str">
        <f aca="false">"INSERT INTO COTACAO (cot_id, cot_blt_id, cot_pap_id, cot_prc_comum, cot_prc_min, cot_prc_max, cot_prc_med, cot_prc_mediana) VALUES ("&amp;A189&amp;", "&amp;B189&amp;", "&amp;C189&amp;", "&amp;D189&amp;", "&amp;E189&amp;", "&amp;F189&amp;", "&amp;G189&amp;", "&amp;H189&amp;");"</f>
        <v>INSERT INTO COTACAO (cot_id, cot_blt_id, cot_pap_id, cot_prc_comum, cot_prc_min, cot_prc_max, cot_prc_med, cot_prc_mediana) VALUES (188, 41, 33, 70, 70, 100, 78.57, 70);</v>
      </c>
      <c r="J189" s="0" t="str">
        <f aca="false">"UPDATE COTACAO SET cot_id = "&amp;A189&amp;", cot_blt_id = "&amp;B189&amp;", cot_pap_id = "&amp;C189&amp;", cot_prc_comum = "&amp;D189&amp;", cot_prc_min = "&amp;E189&amp;", cot_prc_max = "&amp;F189&amp;", cot_prc_med = "&amp;G189&amp;", cot_prc_mediana = "&amp;H189&amp;" WHERE cot_id = "&amp;A189&amp;";"</f>
        <v>UPDATE COTACAO SET cot_id = 188, cot_blt_id = 41, cot_pap_id = 33, cot_prc_comum = 70, cot_prc_min = 70, cot_prc_max = 100, cot_prc_med = 78.57, cot_prc_mediana = 70 WHERE cot_id = 188;</v>
      </c>
    </row>
    <row r="190" customFormat="false" ht="14.25" hidden="false" customHeight="false" outlineLevel="0" collapsed="false">
      <c r="A190" s="0" t="n">
        <v>189</v>
      </c>
      <c r="B190" s="0" t="n">
        <f aca="false">IF('Boletins Nuppa Site'!A190&lt;&gt;0,'Boletins Nuppa Site'!A190,"NULL")</f>
        <v>41</v>
      </c>
      <c r="C190" s="0" t="n">
        <v>34</v>
      </c>
      <c r="D190" s="30" t="n">
        <f aca="false">IF('Boletins Nuppa Site'!G190&lt;&gt;0,'Boletins Nuppa Site'!G190,"NULL")</f>
        <v>100</v>
      </c>
      <c r="E190" s="30" t="n">
        <f aca="false">IF('Boletins Nuppa Site'!H190&lt;&gt;0,'Boletins Nuppa Site'!H190,"NULL")</f>
        <v>90</v>
      </c>
      <c r="F190" s="30" t="n">
        <f aca="false">IF('Boletins Nuppa Site'!I190&lt;&gt;0,'Boletins Nuppa Site'!I190,"NULL")</f>
        <v>110</v>
      </c>
      <c r="G190" s="0" t="str">
        <f aca="false">IF('Boletins Nuppa Site'!J190&lt;&gt;0,'Boletins Nuppa Site'!J190,"NULL")</f>
        <v>102.86</v>
      </c>
      <c r="H190" s="30" t="n">
        <f aca="false">IF('Boletins Nuppa Site'!K190&lt;&gt;0,'Boletins Nuppa Site'!K190,"NULL")</f>
        <v>100</v>
      </c>
      <c r="I190" s="0" t="str">
        <f aca="false">"INSERT INTO COTACAO (cot_id, cot_blt_id, cot_pap_id, cot_prc_comum, cot_prc_min, cot_prc_max, cot_prc_med, cot_prc_mediana) VALUES ("&amp;A190&amp;", "&amp;B190&amp;", "&amp;C190&amp;", "&amp;D190&amp;", "&amp;E190&amp;", "&amp;F190&amp;", "&amp;G190&amp;", "&amp;H190&amp;");"</f>
        <v>INSERT INTO COTACAO (cot_id, cot_blt_id, cot_pap_id, cot_prc_comum, cot_prc_min, cot_prc_max, cot_prc_med, cot_prc_mediana) VALUES (189, 41, 34, 100, 90, 110, 102.86, 100);</v>
      </c>
      <c r="J190" s="0" t="str">
        <f aca="false">"UPDATE COTACAO SET cot_id = "&amp;A190&amp;", cot_blt_id = "&amp;B190&amp;", cot_pap_id = "&amp;C190&amp;", cot_prc_comum = "&amp;D190&amp;", cot_prc_min = "&amp;E190&amp;", cot_prc_max = "&amp;F190&amp;", cot_prc_med = "&amp;G190&amp;", cot_prc_mediana = "&amp;H190&amp;" WHERE cot_id = "&amp;A190&amp;";"</f>
        <v>UPDATE COTACAO SET cot_id = 189, cot_blt_id = 41, cot_pap_id = 34, cot_prc_comum = 100, cot_prc_min = 90, cot_prc_max = 110, cot_prc_med = 102.86, cot_prc_mediana = 100 WHERE cot_id = 189;</v>
      </c>
    </row>
    <row r="191" customFormat="false" ht="14.25" hidden="false" customHeight="false" outlineLevel="0" collapsed="false">
      <c r="A191" s="0" t="n">
        <v>190</v>
      </c>
      <c r="B191" s="0" t="n">
        <f aca="false">IF('Boletins Nuppa Site'!A191&lt;&gt;0,'Boletins Nuppa Site'!A191,"NULL")</f>
        <v>41</v>
      </c>
      <c r="C191" s="0" t="n">
        <v>35</v>
      </c>
      <c r="D191" s="30" t="n">
        <f aca="false">IF('Boletins Nuppa Site'!G191&lt;&gt;0,'Boletins Nuppa Site'!G191,"NULL")</f>
        <v>35</v>
      </c>
      <c r="E191" s="30" t="n">
        <f aca="false">IF('Boletins Nuppa Site'!H191&lt;&gt;0,'Boletins Nuppa Site'!H191,"NULL")</f>
        <v>35</v>
      </c>
      <c r="F191" s="30" t="n">
        <f aca="false">IF('Boletins Nuppa Site'!I191&lt;&gt;0,'Boletins Nuppa Site'!I191,"NULL")</f>
        <v>65</v>
      </c>
      <c r="G191" s="0" t="str">
        <f aca="false">IF('Boletins Nuppa Site'!J191&lt;&gt;0,'Boletins Nuppa Site'!J191,"NULL")</f>
        <v>50.71</v>
      </c>
      <c r="H191" s="30" t="n">
        <f aca="false">IF('Boletins Nuppa Site'!K191&lt;&gt;0,'Boletins Nuppa Site'!K191,"NULL")</f>
        <v>50</v>
      </c>
      <c r="I191" s="0" t="str">
        <f aca="false">"INSERT INTO COTACAO (cot_id, cot_blt_id, cot_pap_id, cot_prc_comum, cot_prc_min, cot_prc_max, cot_prc_med, cot_prc_mediana) VALUES ("&amp;A191&amp;", "&amp;B191&amp;", "&amp;C191&amp;", "&amp;D191&amp;", "&amp;E191&amp;", "&amp;F191&amp;", "&amp;G191&amp;", "&amp;H191&amp;");"</f>
        <v>INSERT INTO COTACAO (cot_id, cot_blt_id, cot_pap_id, cot_prc_comum, cot_prc_min, cot_prc_max, cot_prc_med, cot_prc_mediana) VALUES (190, 41, 35, 35, 35, 65, 50.71, 50);</v>
      </c>
      <c r="J191" s="0" t="str">
        <f aca="false">"UPDATE COTACAO SET cot_id = "&amp;A191&amp;", cot_blt_id = "&amp;B191&amp;", cot_pap_id = "&amp;C191&amp;", cot_prc_comum = "&amp;D191&amp;", cot_prc_min = "&amp;E191&amp;", cot_prc_max = "&amp;F191&amp;", cot_prc_med = "&amp;G191&amp;", cot_prc_mediana = "&amp;H191&amp;" WHERE cot_id = "&amp;A191&amp;";"</f>
        <v>UPDATE COTACAO SET cot_id = 190, cot_blt_id = 41, cot_pap_id = 35, cot_prc_comum = 35, cot_prc_min = 35, cot_prc_max = 65, cot_prc_med = 50.71, cot_prc_mediana = 50 WHERE cot_id = 190;</v>
      </c>
    </row>
    <row r="192" customFormat="false" ht="14.25" hidden="false" customHeight="false" outlineLevel="0" collapsed="false">
      <c r="A192" s="0" t="n">
        <v>191</v>
      </c>
      <c r="B192" s="0" t="n">
        <f aca="false">IF('Boletins Nuppa Site'!A192&lt;&gt;0,'Boletins Nuppa Site'!A192,"NULL")</f>
        <v>41</v>
      </c>
      <c r="C192" s="0" t="n">
        <v>36</v>
      </c>
      <c r="D192" s="0" t="str">
        <f aca="false">IF('Boletins Nuppa Site'!G192&lt;&gt;0,'Boletins Nuppa Site'!G192,"NULL")</f>
        <v>NULL</v>
      </c>
      <c r="E192" s="0" t="str">
        <f aca="false">IF('Boletins Nuppa Site'!H192&lt;&gt;0,'Boletins Nuppa Site'!H192,"NULL")</f>
        <v>NULL</v>
      </c>
      <c r="F192" s="0" t="str">
        <f aca="false">IF('Boletins Nuppa Site'!I192&lt;&gt;0,'Boletins Nuppa Site'!I192,"NULL")</f>
        <v>NULL</v>
      </c>
      <c r="G192" s="0" t="str">
        <f aca="false">IF('Boletins Nuppa Site'!J192&lt;&gt;0,'Boletins Nuppa Site'!J192,"NULL")</f>
        <v>NULL</v>
      </c>
      <c r="H192" s="0" t="str">
        <f aca="false">IF('Boletins Nuppa Site'!K192&lt;&gt;0,'Boletins Nuppa Site'!K192,"NULL")</f>
        <v>NULL</v>
      </c>
      <c r="I192" s="0" t="str">
        <f aca="false">"INSERT INTO COTACAO (cot_id, cot_blt_id, cot_pap_id, cot_prc_comum, cot_prc_min, cot_prc_max, cot_prc_med, cot_prc_mediana) VALUES ("&amp;A192&amp;", "&amp;B192&amp;", "&amp;C192&amp;", "&amp;D192&amp;", "&amp;E192&amp;", "&amp;F192&amp;", "&amp;G192&amp;", "&amp;H192&amp;");"</f>
        <v>INSERT INTO COTACAO (cot_id, cot_blt_id, cot_pap_id, cot_prc_comum, cot_prc_min, cot_prc_max, cot_prc_med, cot_prc_mediana) VALUES (191, 41, 36, NULL, NULL, NULL, NULL, NULL);</v>
      </c>
      <c r="J192" s="0" t="str">
        <f aca="false">"UPDATE COTACAO SET cot_id = "&amp;A192&amp;", cot_blt_id = "&amp;B192&amp;", cot_pap_id = "&amp;C192&amp;", cot_prc_comum = "&amp;D192&amp;", cot_prc_min = "&amp;E192&amp;", cot_prc_max = "&amp;F192&amp;", cot_prc_med = "&amp;G192&amp;", cot_prc_mediana = "&amp;H192&amp;" WHERE cot_id = "&amp;A192&amp;";"</f>
        <v>UPDATE COTACAO SET cot_id = 191, cot_blt_id = 41, cot_pap_id = 36, cot_prc_comum = NULL, cot_prc_min = NULL, cot_prc_max = NULL, cot_prc_med = NULL, cot_prc_mediana = NULL WHERE cot_id = 191;</v>
      </c>
    </row>
    <row r="193" customFormat="false" ht="14.25" hidden="false" customHeight="false" outlineLevel="0" collapsed="false">
      <c r="A193" s="0" t="n">
        <v>192</v>
      </c>
      <c r="B193" s="0" t="n">
        <f aca="false">IF('Boletins Nuppa Site'!A193&lt;&gt;0,'Boletins Nuppa Site'!A193,"NULL")</f>
        <v>41</v>
      </c>
      <c r="C193" s="0" t="n">
        <v>37</v>
      </c>
      <c r="D193" s="0" t="str">
        <f aca="false">IF('Boletins Nuppa Site'!G193&lt;&gt;0,'Boletins Nuppa Site'!G193,"NULL")</f>
        <v>NULL</v>
      </c>
      <c r="E193" s="0" t="str">
        <f aca="false">IF('Boletins Nuppa Site'!H193&lt;&gt;0,'Boletins Nuppa Site'!H193,"NULL")</f>
        <v>NULL</v>
      </c>
      <c r="F193" s="0" t="str">
        <f aca="false">IF('Boletins Nuppa Site'!I193&lt;&gt;0,'Boletins Nuppa Site'!I193,"NULL")</f>
        <v>NULL</v>
      </c>
      <c r="G193" s="0" t="str">
        <f aca="false">IF('Boletins Nuppa Site'!J193&lt;&gt;0,'Boletins Nuppa Site'!J193,"NULL")</f>
        <v>NULL</v>
      </c>
      <c r="H193" s="0" t="str">
        <f aca="false">IF('Boletins Nuppa Site'!K193&lt;&gt;0,'Boletins Nuppa Site'!K193,"NULL")</f>
        <v>NULL</v>
      </c>
      <c r="I193" s="0" t="str">
        <f aca="false">"INSERT INTO COTACAO (cot_id, cot_blt_id, cot_pap_id, cot_prc_comum, cot_prc_min, cot_prc_max, cot_prc_med, cot_prc_mediana) VALUES ("&amp;A193&amp;", "&amp;B193&amp;", "&amp;C193&amp;", "&amp;D193&amp;", "&amp;E193&amp;", "&amp;F193&amp;", "&amp;G193&amp;", "&amp;H193&amp;");"</f>
        <v>INSERT INTO COTACAO (cot_id, cot_blt_id, cot_pap_id, cot_prc_comum, cot_prc_min, cot_prc_max, cot_prc_med, cot_prc_mediana) VALUES (192, 41, 37, NULL, NULL, NULL, NULL, NULL);</v>
      </c>
      <c r="J193" s="0" t="str">
        <f aca="false">"UPDATE COTACAO SET cot_id = "&amp;A193&amp;", cot_blt_id = "&amp;B193&amp;", cot_pap_id = "&amp;C193&amp;", cot_prc_comum = "&amp;D193&amp;", cot_prc_min = "&amp;E193&amp;", cot_prc_max = "&amp;F193&amp;", cot_prc_med = "&amp;G193&amp;", cot_prc_mediana = "&amp;H193&amp;" WHERE cot_id = "&amp;A193&amp;";"</f>
        <v>UPDATE COTACAO SET cot_id = 192, cot_blt_id = 41, cot_pap_id = 37, cot_prc_comum = NULL, cot_prc_min = NULL, cot_prc_max = NULL, cot_prc_med = NULL, cot_prc_mediana = NULL WHERE cot_id = 192;</v>
      </c>
    </row>
    <row r="194" customFormat="false" ht="14.25" hidden="false" customHeight="false" outlineLevel="0" collapsed="false">
      <c r="A194" s="0" t="n">
        <v>193</v>
      </c>
      <c r="B194" s="0" t="n">
        <f aca="false">IF('Boletins Nuppa Site'!A194&lt;&gt;0,'Boletins Nuppa Site'!A194,"NULL")</f>
        <v>41</v>
      </c>
      <c r="C194" s="0" t="n">
        <v>38</v>
      </c>
      <c r="D194" s="0" t="str">
        <f aca="false">IF('Boletins Nuppa Site'!G194&lt;&gt;0,'Boletins Nuppa Site'!G194,"NULL")</f>
        <v>NULL</v>
      </c>
      <c r="E194" s="0" t="str">
        <f aca="false">IF('Boletins Nuppa Site'!H194&lt;&gt;0,'Boletins Nuppa Site'!H194,"NULL")</f>
        <v>NULL</v>
      </c>
      <c r="F194" s="0" t="str">
        <f aca="false">IF('Boletins Nuppa Site'!I194&lt;&gt;0,'Boletins Nuppa Site'!I194,"NULL")</f>
        <v>NULL</v>
      </c>
      <c r="G194" s="0" t="str">
        <f aca="false">IF('Boletins Nuppa Site'!J194&lt;&gt;0,'Boletins Nuppa Site'!J194,"NULL")</f>
        <v>NULL</v>
      </c>
      <c r="H194" s="0" t="str">
        <f aca="false">IF('Boletins Nuppa Site'!K194&lt;&gt;0,'Boletins Nuppa Site'!K194,"NULL")</f>
        <v>NULL</v>
      </c>
      <c r="I194" s="0" t="str">
        <f aca="false">"INSERT INTO COTACAO (cot_id, cot_blt_id, cot_pap_id, cot_prc_comum, cot_prc_min, cot_prc_max, cot_prc_med, cot_prc_mediana) VALUES ("&amp;A194&amp;", "&amp;B194&amp;", "&amp;C194&amp;", "&amp;D194&amp;", "&amp;E194&amp;", "&amp;F194&amp;", "&amp;G194&amp;", "&amp;H194&amp;");"</f>
        <v>INSERT INTO COTACAO (cot_id, cot_blt_id, cot_pap_id, cot_prc_comum, cot_prc_min, cot_prc_max, cot_prc_med, cot_prc_mediana) VALUES (193, 41, 38, NULL, NULL, NULL, NULL, NULL);</v>
      </c>
      <c r="J194" s="0" t="str">
        <f aca="false">"UPDATE COTACAO SET cot_id = "&amp;A194&amp;", cot_blt_id = "&amp;B194&amp;", cot_pap_id = "&amp;C194&amp;", cot_prc_comum = "&amp;D194&amp;", cot_prc_min = "&amp;E194&amp;", cot_prc_max = "&amp;F194&amp;", cot_prc_med = "&amp;G194&amp;", cot_prc_mediana = "&amp;H194&amp;" WHERE cot_id = "&amp;A194&amp;";"</f>
        <v>UPDATE COTACAO SET cot_id = 193, cot_blt_id = 41, cot_pap_id = 38, cot_prc_comum = NULL, cot_prc_min = NULL, cot_prc_max = NULL, cot_prc_med = NULL, cot_prc_mediana = NULL WHERE cot_id = 193;</v>
      </c>
    </row>
    <row r="195" customFormat="false" ht="14.25" hidden="false" customHeight="false" outlineLevel="0" collapsed="false">
      <c r="A195" s="0" t="n">
        <v>194</v>
      </c>
      <c r="B195" s="0" t="n">
        <f aca="false">IF('Boletins Nuppa Site'!A195&lt;&gt;0,'Boletins Nuppa Site'!A195,"NULL")</f>
        <v>41</v>
      </c>
      <c r="C195" s="0" t="n">
        <v>39</v>
      </c>
      <c r="D195" s="0" t="str">
        <f aca="false">IF('Boletins Nuppa Site'!G195&lt;&gt;0,'Boletins Nuppa Site'!G195,"NULL")</f>
        <v>NULL</v>
      </c>
      <c r="E195" s="0" t="str">
        <f aca="false">IF('Boletins Nuppa Site'!H195&lt;&gt;0,'Boletins Nuppa Site'!H195,"NULL")</f>
        <v>NULL</v>
      </c>
      <c r="F195" s="0" t="str">
        <f aca="false">IF('Boletins Nuppa Site'!I195&lt;&gt;0,'Boletins Nuppa Site'!I195,"NULL")</f>
        <v>NULL</v>
      </c>
      <c r="G195" s="0" t="str">
        <f aca="false">IF('Boletins Nuppa Site'!J195&lt;&gt;0,'Boletins Nuppa Site'!J195,"NULL")</f>
        <v>NULL</v>
      </c>
      <c r="H195" s="0" t="str">
        <f aca="false">IF('Boletins Nuppa Site'!K195&lt;&gt;0,'Boletins Nuppa Site'!K195,"NULL")</f>
        <v>NULL</v>
      </c>
      <c r="I195" s="0" t="str">
        <f aca="false">"INSERT INTO COTACAO (cot_id, cot_blt_id, cot_pap_id, cot_prc_comum, cot_prc_min, cot_prc_max, cot_prc_med, cot_prc_mediana) VALUES ("&amp;A195&amp;", "&amp;B195&amp;", "&amp;C195&amp;", "&amp;D195&amp;", "&amp;E195&amp;", "&amp;F195&amp;", "&amp;G195&amp;", "&amp;H195&amp;");"</f>
        <v>INSERT INTO COTACAO (cot_id, cot_blt_id, cot_pap_id, cot_prc_comum, cot_prc_min, cot_prc_max, cot_prc_med, cot_prc_mediana) VALUES (194, 41, 39, NULL, NULL, NULL, NULL, NULL);</v>
      </c>
      <c r="J195" s="0" t="str">
        <f aca="false">"UPDATE COTACAO SET cot_id = "&amp;A195&amp;", cot_blt_id = "&amp;B195&amp;", cot_pap_id = "&amp;C195&amp;", cot_prc_comum = "&amp;D195&amp;", cot_prc_min = "&amp;E195&amp;", cot_prc_max = "&amp;F195&amp;", cot_prc_med = "&amp;G195&amp;", cot_prc_mediana = "&amp;H195&amp;" WHERE cot_id = "&amp;A195&amp;";"</f>
        <v>UPDATE COTACAO SET cot_id = 194, cot_blt_id = 41, cot_pap_id = 39, cot_prc_comum = NULL, cot_prc_min = NULL, cot_prc_max = NULL, cot_prc_med = NULL, cot_prc_mediana = NULL WHERE cot_id = 194;</v>
      </c>
    </row>
    <row r="196" customFormat="false" ht="14.25" hidden="false" customHeight="false" outlineLevel="0" collapsed="false">
      <c r="A196" s="0" t="n">
        <v>195</v>
      </c>
      <c r="B196" s="0" t="n">
        <f aca="false">IF('Boletins Nuppa Site'!A196&lt;&gt;0,'Boletins Nuppa Site'!A196,"NULL")</f>
        <v>41</v>
      </c>
      <c r="C196" s="0" t="n">
        <v>40</v>
      </c>
      <c r="D196" s="0" t="str">
        <f aca="false">IF('Boletins Nuppa Site'!G196&lt;&gt;0,'Boletins Nuppa Site'!G196,"NULL")</f>
        <v>NULL</v>
      </c>
      <c r="E196" s="0" t="str">
        <f aca="false">IF('Boletins Nuppa Site'!H196&lt;&gt;0,'Boletins Nuppa Site'!H196,"NULL")</f>
        <v>NULL</v>
      </c>
      <c r="F196" s="0" t="str">
        <f aca="false">IF('Boletins Nuppa Site'!I196&lt;&gt;0,'Boletins Nuppa Site'!I196,"NULL")</f>
        <v>NULL</v>
      </c>
      <c r="G196" s="0" t="str">
        <f aca="false">IF('Boletins Nuppa Site'!J196&lt;&gt;0,'Boletins Nuppa Site'!J196,"NULL")</f>
        <v>NULL</v>
      </c>
      <c r="H196" s="0" t="str">
        <f aca="false">IF('Boletins Nuppa Site'!K196&lt;&gt;0,'Boletins Nuppa Site'!K196,"NULL")</f>
        <v>NULL</v>
      </c>
      <c r="I196" s="0" t="str">
        <f aca="false">"INSERT INTO COTACAO (cot_id, cot_blt_id, cot_pap_id, cot_prc_comum, cot_prc_min, cot_prc_max, cot_prc_med, cot_prc_mediana) VALUES ("&amp;A196&amp;", "&amp;B196&amp;", "&amp;C196&amp;", "&amp;D196&amp;", "&amp;E196&amp;", "&amp;F196&amp;", "&amp;G196&amp;", "&amp;H196&amp;");"</f>
        <v>INSERT INTO COTACAO (cot_id, cot_blt_id, cot_pap_id, cot_prc_comum, cot_prc_min, cot_prc_max, cot_prc_med, cot_prc_mediana) VALUES (195, 41, 40, NULL, NULL, NULL, NULL, NULL);</v>
      </c>
      <c r="J196" s="0" t="str">
        <f aca="false">"UPDATE COTACAO SET cot_id = "&amp;A196&amp;", cot_blt_id = "&amp;B196&amp;", cot_pap_id = "&amp;C196&amp;", cot_prc_comum = "&amp;D196&amp;", cot_prc_min = "&amp;E196&amp;", cot_prc_max = "&amp;F196&amp;", cot_prc_med = "&amp;G196&amp;", cot_prc_mediana = "&amp;H196&amp;" WHERE cot_id = "&amp;A196&amp;";"</f>
        <v>UPDATE COTACAO SET cot_id = 195, cot_blt_id = 41, cot_pap_id = 40, cot_prc_comum = NULL, cot_prc_min = NULL, cot_prc_max = NULL, cot_prc_med = NULL, cot_prc_mediana = NULL WHERE cot_id = 195;</v>
      </c>
    </row>
    <row r="197" customFormat="false" ht="14.25" hidden="false" customHeight="false" outlineLevel="0" collapsed="false">
      <c r="A197" s="0" t="n">
        <v>196</v>
      </c>
      <c r="B197" s="0" t="n">
        <f aca="false">IF('Boletins Nuppa Site'!A197&lt;&gt;0,'Boletins Nuppa Site'!A197,"NULL")</f>
        <v>42</v>
      </c>
      <c r="C197" s="0" t="n">
        <v>1</v>
      </c>
      <c r="D197" s="0" t="str">
        <f aca="false">IF('Boletins Nuppa Site'!G197&lt;&gt;0,'Boletins Nuppa Site'!G197,"NULL")</f>
        <v>NULL</v>
      </c>
      <c r="E197" s="30" t="n">
        <f aca="false">IF('Boletins Nuppa Site'!H197&lt;&gt;0,'Boletins Nuppa Site'!H197,"NULL")</f>
        <v>42</v>
      </c>
      <c r="F197" s="30" t="n">
        <f aca="false">IF('Boletins Nuppa Site'!I197&lt;&gt;0,'Boletins Nuppa Site'!I197,"NULL")</f>
        <v>48</v>
      </c>
      <c r="G197" s="30" t="n">
        <f aca="false">IF('Boletins Nuppa Site'!J197&lt;&gt;0,'Boletins Nuppa Site'!J197,"NULL")</f>
        <v>45</v>
      </c>
      <c r="H197" s="30" t="n">
        <f aca="false">IF('Boletins Nuppa Site'!K197&lt;&gt;0,'Boletins Nuppa Site'!K197,"NULL")</f>
        <v>45</v>
      </c>
      <c r="I197" s="0" t="str">
        <f aca="false">"INSERT INTO COTACAO (cot_id, cot_blt_id, cot_pap_id, cot_prc_comum, cot_prc_min, cot_prc_max, cot_prc_med, cot_prc_mediana) VALUES ("&amp;A197&amp;", "&amp;B197&amp;", "&amp;C197&amp;", "&amp;D197&amp;", "&amp;E197&amp;", "&amp;F197&amp;", "&amp;G197&amp;", "&amp;H197&amp;");"</f>
        <v>INSERT INTO COTACAO (cot_id, cot_blt_id, cot_pap_id, cot_prc_comum, cot_prc_min, cot_prc_max, cot_prc_med, cot_prc_mediana) VALUES (196, 42, 1, NULL, 42, 48, 45, 45);</v>
      </c>
      <c r="J197" s="0" t="str">
        <f aca="false">"UPDATE COTACAO SET cot_id = "&amp;A197&amp;", cot_blt_id = "&amp;B197&amp;", cot_pap_id = "&amp;C197&amp;", cot_prc_comum = "&amp;D197&amp;", cot_prc_min = "&amp;E197&amp;", cot_prc_max = "&amp;F197&amp;", cot_prc_med = "&amp;G197&amp;", cot_prc_mediana = "&amp;H197&amp;" WHERE cot_id = "&amp;A197&amp;";"</f>
        <v>UPDATE COTACAO SET cot_id = 196, cot_blt_id = 42, cot_pap_id = 1, cot_prc_comum = NULL, cot_prc_min = 42, cot_prc_max = 48, cot_prc_med = 45, cot_prc_mediana = 45 WHERE cot_id = 196;</v>
      </c>
    </row>
    <row r="198" customFormat="false" ht="14.25" hidden="false" customHeight="false" outlineLevel="0" collapsed="false">
      <c r="A198" s="0" t="n">
        <v>197</v>
      </c>
      <c r="B198" s="0" t="n">
        <f aca="false">IF('Boletins Nuppa Site'!A198&lt;&gt;0,'Boletins Nuppa Site'!A198,"NULL")</f>
        <v>42</v>
      </c>
      <c r="C198" s="0" t="n">
        <v>2</v>
      </c>
      <c r="D198" s="30" t="n">
        <f aca="false">IF('Boletins Nuppa Site'!G198&lt;&gt;0,'Boletins Nuppa Site'!G198,"NULL")</f>
        <v>60</v>
      </c>
      <c r="E198" s="30" t="n">
        <f aca="false">IF('Boletins Nuppa Site'!H198&lt;&gt;0,'Boletins Nuppa Site'!H198,"NULL")</f>
        <v>60</v>
      </c>
      <c r="F198" s="30" t="n">
        <f aca="false">IF('Boletins Nuppa Site'!I198&lt;&gt;0,'Boletins Nuppa Site'!I198,"NULL")</f>
        <v>60</v>
      </c>
      <c r="G198" s="30" t="n">
        <f aca="false">IF('Boletins Nuppa Site'!J198&lt;&gt;0,'Boletins Nuppa Site'!J198,"NULL")</f>
        <v>60</v>
      </c>
      <c r="H198" s="30" t="n">
        <f aca="false">IF('Boletins Nuppa Site'!K198&lt;&gt;0,'Boletins Nuppa Site'!K198,"NULL")</f>
        <v>60</v>
      </c>
      <c r="I198" s="0" t="str">
        <f aca="false">"INSERT INTO COTACAO (cot_id, cot_blt_id, cot_pap_id, cot_prc_comum, cot_prc_min, cot_prc_max, cot_prc_med, cot_prc_mediana) VALUES ("&amp;A198&amp;", "&amp;B198&amp;", "&amp;C198&amp;", "&amp;D198&amp;", "&amp;E198&amp;", "&amp;F198&amp;", "&amp;G198&amp;", "&amp;H198&amp;");"</f>
        <v>INSERT INTO COTACAO (cot_id, cot_blt_id, cot_pap_id, cot_prc_comum, cot_prc_min, cot_prc_max, cot_prc_med, cot_prc_mediana) VALUES (197, 42, 2, 60, 60, 60, 60, 60);</v>
      </c>
      <c r="J198" s="0" t="str">
        <f aca="false">"UPDATE COTACAO SET cot_id = "&amp;A198&amp;", cot_blt_id = "&amp;B198&amp;", cot_pap_id = "&amp;C198&amp;", cot_prc_comum = "&amp;D198&amp;", cot_prc_min = "&amp;E198&amp;", cot_prc_max = "&amp;F198&amp;", cot_prc_med = "&amp;G198&amp;", cot_prc_mediana = "&amp;H198&amp;" WHERE cot_id = "&amp;A198&amp;";"</f>
        <v>UPDATE COTACAO SET cot_id = 197, cot_blt_id = 42, cot_pap_id = 2, cot_prc_comum = 60, cot_prc_min = 60, cot_prc_max = 60, cot_prc_med = 60, cot_prc_mediana = 60 WHERE cot_id = 197;</v>
      </c>
    </row>
    <row r="199" customFormat="false" ht="14.25" hidden="false" customHeight="false" outlineLevel="0" collapsed="false">
      <c r="A199" s="0" t="n">
        <v>198</v>
      </c>
      <c r="B199" s="0" t="n">
        <f aca="false">IF('Boletins Nuppa Site'!A199&lt;&gt;0,'Boletins Nuppa Site'!A199,"NULL")</f>
        <v>42</v>
      </c>
      <c r="C199" s="0" t="n">
        <v>3</v>
      </c>
      <c r="D199" s="0" t="str">
        <f aca="false">IF('Boletins Nuppa Site'!G199&lt;&gt;0,'Boletins Nuppa Site'!G199,"NULL")</f>
        <v>NULL</v>
      </c>
      <c r="E199" s="30" t="n">
        <f aca="false">IF('Boletins Nuppa Site'!H199&lt;&gt;0,'Boletins Nuppa Site'!H199,"NULL")</f>
        <v>24</v>
      </c>
      <c r="F199" s="30" t="n">
        <f aca="false">IF('Boletins Nuppa Site'!I199&lt;&gt;0,'Boletins Nuppa Site'!I199,"NULL")</f>
        <v>36</v>
      </c>
      <c r="G199" s="30" t="n">
        <f aca="false">IF('Boletins Nuppa Site'!J199&lt;&gt;0,'Boletins Nuppa Site'!J199,"NULL")</f>
        <v>30</v>
      </c>
      <c r="H199" s="30" t="n">
        <f aca="false">IF('Boletins Nuppa Site'!K199&lt;&gt;0,'Boletins Nuppa Site'!K199,"NULL")</f>
        <v>30</v>
      </c>
      <c r="I199" s="0" t="str">
        <f aca="false">"INSERT INTO COTACAO (cot_id, cot_blt_id, cot_pap_id, cot_prc_comum, cot_prc_min, cot_prc_max, cot_prc_med, cot_prc_mediana) VALUES ("&amp;A199&amp;", "&amp;B199&amp;", "&amp;C199&amp;", "&amp;D199&amp;", "&amp;E199&amp;", "&amp;F199&amp;", "&amp;G199&amp;", "&amp;H199&amp;");"</f>
        <v>INSERT INTO COTACAO (cot_id, cot_blt_id, cot_pap_id, cot_prc_comum, cot_prc_min, cot_prc_max, cot_prc_med, cot_prc_mediana) VALUES (198, 42, 3, NULL, 24, 36, 30, 30);</v>
      </c>
      <c r="J199" s="0" t="str">
        <f aca="false">"UPDATE COTACAO SET cot_id = "&amp;A199&amp;", cot_blt_id = "&amp;B199&amp;", cot_pap_id = "&amp;C199&amp;", cot_prc_comum = "&amp;D199&amp;", cot_prc_min = "&amp;E199&amp;", cot_prc_max = "&amp;F199&amp;", cot_prc_med = "&amp;G199&amp;", cot_prc_mediana = "&amp;H199&amp;" WHERE cot_id = "&amp;A199&amp;";"</f>
        <v>UPDATE COTACAO SET cot_id = 198, cot_blt_id = 42, cot_pap_id = 3, cot_prc_comum = NULL, cot_prc_min = 24, cot_prc_max = 36, cot_prc_med = 30, cot_prc_mediana = 30 WHERE cot_id = 198;</v>
      </c>
    </row>
    <row r="200" customFormat="false" ht="14.25" hidden="false" customHeight="false" outlineLevel="0" collapsed="false">
      <c r="A200" s="0" t="n">
        <v>199</v>
      </c>
      <c r="B200" s="0" t="n">
        <f aca="false">IF('Boletins Nuppa Site'!A200&lt;&gt;0,'Boletins Nuppa Site'!A200,"NULL")</f>
        <v>42</v>
      </c>
      <c r="C200" s="0" t="n">
        <v>4</v>
      </c>
      <c r="D200" s="30" t="n">
        <f aca="false">IF('Boletins Nuppa Site'!G200&lt;&gt;0,'Boletins Nuppa Site'!G200,"NULL")</f>
        <v>18</v>
      </c>
      <c r="E200" s="30" t="n">
        <f aca="false">IF('Boletins Nuppa Site'!H200&lt;&gt;0,'Boletins Nuppa Site'!H200,"NULL")</f>
        <v>18</v>
      </c>
      <c r="F200" s="30" t="n">
        <f aca="false">IF('Boletins Nuppa Site'!I200&lt;&gt;0,'Boletins Nuppa Site'!I200,"NULL")</f>
        <v>26</v>
      </c>
      <c r="G200" s="0" t="str">
        <f aca="false">IF('Boletins Nuppa Site'!J200&lt;&gt;0,'Boletins Nuppa Site'!J200,"NULL")</f>
        <v>21.6</v>
      </c>
      <c r="H200" s="30" t="n">
        <f aca="false">IF('Boletins Nuppa Site'!K200&lt;&gt;0,'Boletins Nuppa Site'!K200,"NULL")</f>
        <v>22</v>
      </c>
      <c r="I200" s="0" t="str">
        <f aca="false">"INSERT INTO COTACAO (cot_id, cot_blt_id, cot_pap_id, cot_prc_comum, cot_prc_min, cot_prc_max, cot_prc_med, cot_prc_mediana) VALUES ("&amp;A200&amp;", "&amp;B200&amp;", "&amp;C200&amp;", "&amp;D200&amp;", "&amp;E200&amp;", "&amp;F200&amp;", "&amp;G200&amp;", "&amp;H200&amp;");"</f>
        <v>INSERT INTO COTACAO (cot_id, cot_blt_id, cot_pap_id, cot_prc_comum, cot_prc_min, cot_prc_max, cot_prc_med, cot_prc_mediana) VALUES (199, 42, 4, 18, 18, 26, 21.6, 22);</v>
      </c>
      <c r="J200" s="0" t="str">
        <f aca="false">"UPDATE COTACAO SET cot_id = "&amp;A200&amp;", cot_blt_id = "&amp;B200&amp;", cot_pap_id = "&amp;C200&amp;", cot_prc_comum = "&amp;D200&amp;", cot_prc_min = "&amp;E200&amp;", cot_prc_max = "&amp;F200&amp;", cot_prc_med = "&amp;G200&amp;", cot_prc_mediana = "&amp;H200&amp;" WHERE cot_id = "&amp;A200&amp;";"</f>
        <v>UPDATE COTACAO SET cot_id = 199, cot_blt_id = 42, cot_pap_id = 4, cot_prc_comum = 18, cot_prc_min = 18, cot_prc_max = 26, cot_prc_med = 21.6, cot_prc_mediana = 22 WHERE cot_id = 199;</v>
      </c>
    </row>
    <row r="201" customFormat="false" ht="14.25" hidden="false" customHeight="false" outlineLevel="0" collapsed="false">
      <c r="A201" s="0" t="n">
        <v>200</v>
      </c>
      <c r="B201" s="0" t="n">
        <f aca="false">IF('Boletins Nuppa Site'!A201&lt;&gt;0,'Boletins Nuppa Site'!A201,"NULL")</f>
        <v>42</v>
      </c>
      <c r="C201" s="0" t="n">
        <v>5</v>
      </c>
      <c r="D201" s="0" t="str">
        <f aca="false">IF('Boletins Nuppa Site'!G201&lt;&gt;0,'Boletins Nuppa Site'!G201,"NULL")</f>
        <v>NULL</v>
      </c>
      <c r="E201" s="30" t="n">
        <f aca="false">IF('Boletins Nuppa Site'!H201&lt;&gt;0,'Boletins Nuppa Site'!H201,"NULL")</f>
        <v>18</v>
      </c>
      <c r="F201" s="30" t="n">
        <f aca="false">IF('Boletins Nuppa Site'!I201&lt;&gt;0,'Boletins Nuppa Site'!I201,"NULL")</f>
        <v>35</v>
      </c>
      <c r="G201" s="0" t="str">
        <f aca="false">IF('Boletins Nuppa Site'!J201&lt;&gt;0,'Boletins Nuppa Site'!J201,"NULL")</f>
        <v>24.75</v>
      </c>
      <c r="H201" s="30" t="n">
        <f aca="false">IF('Boletins Nuppa Site'!K201&lt;&gt;0,'Boletins Nuppa Site'!K201,"NULL")</f>
        <v>23</v>
      </c>
      <c r="I201" s="0" t="str">
        <f aca="false">"INSERT INTO COTACAO (cot_id, cot_blt_id, cot_pap_id, cot_prc_comum, cot_prc_min, cot_prc_max, cot_prc_med, cot_prc_mediana) VALUES ("&amp;A201&amp;", "&amp;B201&amp;", "&amp;C201&amp;", "&amp;D201&amp;", "&amp;E201&amp;", "&amp;F201&amp;", "&amp;G201&amp;", "&amp;H201&amp;");"</f>
        <v>INSERT INTO COTACAO (cot_id, cot_blt_id, cot_pap_id, cot_prc_comum, cot_prc_min, cot_prc_max, cot_prc_med, cot_prc_mediana) VALUES (200, 42, 5, NULL, 18, 35, 24.75, 23);</v>
      </c>
      <c r="J201" s="0" t="str">
        <f aca="false">"UPDATE COTACAO SET cot_id = "&amp;A201&amp;", cot_blt_id = "&amp;B201&amp;", cot_pap_id = "&amp;C201&amp;", cot_prc_comum = "&amp;D201&amp;", cot_prc_min = "&amp;E201&amp;", cot_prc_max = "&amp;F201&amp;", cot_prc_med = "&amp;G201&amp;", cot_prc_mediana = "&amp;H201&amp;" WHERE cot_id = "&amp;A201&amp;";"</f>
        <v>UPDATE COTACAO SET cot_id = 200, cot_blt_id = 42, cot_pap_id = 5, cot_prc_comum = NULL, cot_prc_min = 18, cot_prc_max = 35, cot_prc_med = 24.75, cot_prc_mediana = 23 WHERE cot_id = 200;</v>
      </c>
    </row>
    <row r="202" customFormat="false" ht="14.25" hidden="false" customHeight="false" outlineLevel="0" collapsed="false">
      <c r="A202" s="0" t="n">
        <v>201</v>
      </c>
      <c r="B202" s="0" t="n">
        <f aca="false">IF('Boletins Nuppa Site'!A202&lt;&gt;0,'Boletins Nuppa Site'!A202,"NULL")</f>
        <v>42</v>
      </c>
      <c r="C202" s="0" t="n">
        <v>6</v>
      </c>
      <c r="D202" s="0" t="str">
        <f aca="false">IF('Boletins Nuppa Site'!G202&lt;&gt;0,'Boletins Nuppa Site'!G202,"NULL")</f>
        <v>NULL</v>
      </c>
      <c r="E202" s="30" t="n">
        <f aca="false">IF('Boletins Nuppa Site'!H202&lt;&gt;0,'Boletins Nuppa Site'!H202,"NULL")</f>
        <v>48</v>
      </c>
      <c r="F202" s="30" t="n">
        <f aca="false">IF('Boletins Nuppa Site'!I202&lt;&gt;0,'Boletins Nuppa Site'!I202,"NULL")</f>
        <v>48</v>
      </c>
      <c r="G202" s="30" t="n">
        <f aca="false">IF('Boletins Nuppa Site'!J202&lt;&gt;0,'Boletins Nuppa Site'!J202,"NULL")</f>
        <v>48</v>
      </c>
      <c r="H202" s="30" t="n">
        <f aca="false">IF('Boletins Nuppa Site'!K202&lt;&gt;0,'Boletins Nuppa Site'!K202,"NULL")</f>
        <v>48</v>
      </c>
      <c r="I202" s="0" t="str">
        <f aca="false">"INSERT INTO COTACAO (cot_id, cot_blt_id, cot_pap_id, cot_prc_comum, cot_prc_min, cot_prc_max, cot_prc_med, cot_prc_mediana) VALUES ("&amp;A202&amp;", "&amp;B202&amp;", "&amp;C202&amp;", "&amp;D202&amp;", "&amp;E202&amp;", "&amp;F202&amp;", "&amp;G202&amp;", "&amp;H202&amp;");"</f>
        <v>INSERT INTO COTACAO (cot_id, cot_blt_id, cot_pap_id, cot_prc_comum, cot_prc_min, cot_prc_max, cot_prc_med, cot_prc_mediana) VALUES (201, 42, 6, NULL, 48, 48, 48, 48);</v>
      </c>
      <c r="J202" s="0" t="str">
        <f aca="false">"UPDATE COTACAO SET cot_id = "&amp;A202&amp;", cot_blt_id = "&amp;B202&amp;", cot_pap_id = "&amp;C202&amp;", cot_prc_comum = "&amp;D202&amp;", cot_prc_min = "&amp;E202&amp;", cot_prc_max = "&amp;F202&amp;", cot_prc_med = "&amp;G202&amp;", cot_prc_mediana = "&amp;H202&amp;" WHERE cot_id = "&amp;A202&amp;";"</f>
        <v>UPDATE COTACAO SET cot_id = 201, cot_blt_id = 42, cot_pap_id = 6, cot_prc_comum = NULL, cot_prc_min = 48, cot_prc_max = 48, cot_prc_med = 48, cot_prc_mediana = 48 WHERE cot_id = 201;</v>
      </c>
    </row>
    <row r="203" customFormat="false" ht="14.25" hidden="false" customHeight="false" outlineLevel="0" collapsed="false">
      <c r="A203" s="0" t="n">
        <v>202</v>
      </c>
      <c r="B203" s="0" t="n">
        <f aca="false">IF('Boletins Nuppa Site'!A203&lt;&gt;0,'Boletins Nuppa Site'!A203,"NULL")</f>
        <v>42</v>
      </c>
      <c r="C203" s="0" t="n">
        <v>7</v>
      </c>
      <c r="D203" s="30" t="n">
        <f aca="false">IF('Boletins Nuppa Site'!G203&lt;&gt;0,'Boletins Nuppa Site'!G203,"NULL")</f>
        <v>72</v>
      </c>
      <c r="E203" s="30" t="n">
        <f aca="false">IF('Boletins Nuppa Site'!H203&lt;&gt;0,'Boletins Nuppa Site'!H203,"NULL")</f>
        <v>48</v>
      </c>
      <c r="F203" s="30" t="n">
        <f aca="false">IF('Boletins Nuppa Site'!I203&lt;&gt;0,'Boletins Nuppa Site'!I203,"NULL")</f>
        <v>72</v>
      </c>
      <c r="G203" s="30" t="n">
        <f aca="false">IF('Boletins Nuppa Site'!J203&lt;&gt;0,'Boletins Nuppa Site'!J203,"NULL")</f>
        <v>64</v>
      </c>
      <c r="H203" s="30" t="n">
        <f aca="false">IF('Boletins Nuppa Site'!K203&lt;&gt;0,'Boletins Nuppa Site'!K203,"NULL")</f>
        <v>72</v>
      </c>
      <c r="I203" s="0" t="str">
        <f aca="false">"INSERT INTO COTACAO (cot_id, cot_blt_id, cot_pap_id, cot_prc_comum, cot_prc_min, cot_prc_max, cot_prc_med, cot_prc_mediana) VALUES ("&amp;A203&amp;", "&amp;B203&amp;", "&amp;C203&amp;", "&amp;D203&amp;", "&amp;E203&amp;", "&amp;F203&amp;", "&amp;G203&amp;", "&amp;H203&amp;");"</f>
        <v>INSERT INTO COTACAO (cot_id, cot_blt_id, cot_pap_id, cot_prc_comum, cot_prc_min, cot_prc_max, cot_prc_med, cot_prc_mediana) VALUES (202, 42, 7, 72, 48, 72, 64, 72);</v>
      </c>
      <c r="J203" s="0" t="str">
        <f aca="false">"UPDATE COTACAO SET cot_id = "&amp;A203&amp;", cot_blt_id = "&amp;B203&amp;", cot_pap_id = "&amp;C203&amp;", cot_prc_comum = "&amp;D203&amp;", cot_prc_min = "&amp;E203&amp;", cot_prc_max = "&amp;F203&amp;", cot_prc_med = "&amp;G203&amp;", cot_prc_mediana = "&amp;H203&amp;" WHERE cot_id = "&amp;A203&amp;";"</f>
        <v>UPDATE COTACAO SET cot_id = 202, cot_blt_id = 42, cot_pap_id = 7, cot_prc_comum = 72, cot_prc_min = 48, cot_prc_max = 72, cot_prc_med = 64, cot_prc_mediana = 72 WHERE cot_id = 202;</v>
      </c>
    </row>
    <row r="204" customFormat="false" ht="14.25" hidden="false" customHeight="false" outlineLevel="0" collapsed="false">
      <c r="A204" s="0" t="n">
        <v>203</v>
      </c>
      <c r="B204" s="0" t="n">
        <f aca="false">IF('Boletins Nuppa Site'!A204&lt;&gt;0,'Boletins Nuppa Site'!A204,"NULL")</f>
        <v>42</v>
      </c>
      <c r="C204" s="0" t="n">
        <v>8</v>
      </c>
      <c r="D204" s="30" t="n">
        <f aca="false">IF('Boletins Nuppa Site'!G204&lt;&gt;0,'Boletins Nuppa Site'!G204,"NULL")</f>
        <v>72</v>
      </c>
      <c r="E204" s="30" t="n">
        <f aca="false">IF('Boletins Nuppa Site'!H204&lt;&gt;0,'Boletins Nuppa Site'!H204,"NULL")</f>
        <v>72</v>
      </c>
      <c r="F204" s="30" t="n">
        <f aca="false">IF('Boletins Nuppa Site'!I204&lt;&gt;0,'Boletins Nuppa Site'!I204,"NULL")</f>
        <v>72</v>
      </c>
      <c r="G204" s="30" t="n">
        <f aca="false">IF('Boletins Nuppa Site'!J204&lt;&gt;0,'Boletins Nuppa Site'!J204,"NULL")</f>
        <v>72</v>
      </c>
      <c r="H204" s="30" t="n">
        <f aca="false">IF('Boletins Nuppa Site'!K204&lt;&gt;0,'Boletins Nuppa Site'!K204,"NULL")</f>
        <v>72</v>
      </c>
      <c r="I204" s="0" t="str">
        <f aca="false">"INSERT INTO COTACAO (cot_id, cot_blt_id, cot_pap_id, cot_prc_comum, cot_prc_min, cot_prc_max, cot_prc_med, cot_prc_mediana) VALUES ("&amp;A204&amp;", "&amp;B204&amp;", "&amp;C204&amp;", "&amp;D204&amp;", "&amp;E204&amp;", "&amp;F204&amp;", "&amp;G204&amp;", "&amp;H204&amp;");"</f>
        <v>INSERT INTO COTACAO (cot_id, cot_blt_id, cot_pap_id, cot_prc_comum, cot_prc_min, cot_prc_max, cot_prc_med, cot_prc_mediana) VALUES (203, 42, 8, 72, 72, 72, 72, 72);</v>
      </c>
      <c r="J204" s="0" t="str">
        <f aca="false">"UPDATE COTACAO SET cot_id = "&amp;A204&amp;", cot_blt_id = "&amp;B204&amp;", cot_pap_id = "&amp;C204&amp;", cot_prc_comum = "&amp;D204&amp;", cot_prc_min = "&amp;E204&amp;", cot_prc_max = "&amp;F204&amp;", cot_prc_med = "&amp;G204&amp;", cot_prc_mediana = "&amp;H204&amp;" WHERE cot_id = "&amp;A204&amp;";"</f>
        <v>UPDATE COTACAO SET cot_id = 203, cot_blt_id = 42, cot_pap_id = 8, cot_prc_comum = 72, cot_prc_min = 72, cot_prc_max = 72, cot_prc_med = 72, cot_prc_mediana = 72 WHERE cot_id = 203;</v>
      </c>
    </row>
    <row r="205" customFormat="false" ht="14.25" hidden="false" customHeight="false" outlineLevel="0" collapsed="false">
      <c r="A205" s="0" t="n">
        <v>204</v>
      </c>
      <c r="B205" s="0" t="n">
        <f aca="false">IF('Boletins Nuppa Site'!A205&lt;&gt;0,'Boletins Nuppa Site'!A205,"NULL")</f>
        <v>42</v>
      </c>
      <c r="C205" s="0" t="n">
        <v>9</v>
      </c>
      <c r="D205" s="30" t="n">
        <f aca="false">IF('Boletins Nuppa Site'!G205&lt;&gt;0,'Boletins Nuppa Site'!G205,"NULL")</f>
        <v>24</v>
      </c>
      <c r="E205" s="30" t="n">
        <f aca="false">IF('Boletins Nuppa Site'!H205&lt;&gt;0,'Boletins Nuppa Site'!H205,"NULL")</f>
        <v>15</v>
      </c>
      <c r="F205" s="30" t="n">
        <f aca="false">IF('Boletins Nuppa Site'!I205&lt;&gt;0,'Boletins Nuppa Site'!I205,"NULL")</f>
        <v>24</v>
      </c>
      <c r="G205" s="0" t="str">
        <f aca="false">IF('Boletins Nuppa Site'!J205&lt;&gt;0,'Boletins Nuppa Site'!J205,"NULL")</f>
        <v>20.25</v>
      </c>
      <c r="H205" s="30" t="n">
        <f aca="false">IF('Boletins Nuppa Site'!K205&lt;&gt;0,'Boletins Nuppa Site'!K205,"NULL")</f>
        <v>21</v>
      </c>
      <c r="I205" s="0" t="str">
        <f aca="false">"INSERT INTO COTACAO (cot_id, cot_blt_id, cot_pap_id, cot_prc_comum, cot_prc_min, cot_prc_max, cot_prc_med, cot_prc_mediana) VALUES ("&amp;A205&amp;", "&amp;B205&amp;", "&amp;C205&amp;", "&amp;D205&amp;", "&amp;E205&amp;", "&amp;F205&amp;", "&amp;G205&amp;", "&amp;H205&amp;");"</f>
        <v>INSERT INTO COTACAO (cot_id, cot_blt_id, cot_pap_id, cot_prc_comum, cot_prc_min, cot_prc_max, cot_prc_med, cot_prc_mediana) VALUES (204, 42, 9, 24, 15, 24, 20.25, 21);</v>
      </c>
      <c r="J205" s="0" t="str">
        <f aca="false">"UPDATE COTACAO SET cot_id = "&amp;A205&amp;", cot_blt_id = "&amp;B205&amp;", cot_pap_id = "&amp;C205&amp;", cot_prc_comum = "&amp;D205&amp;", cot_prc_min = "&amp;E205&amp;", cot_prc_max = "&amp;F205&amp;", cot_prc_med = "&amp;G205&amp;", cot_prc_mediana = "&amp;H205&amp;" WHERE cot_id = "&amp;A205&amp;";"</f>
        <v>UPDATE COTACAO SET cot_id = 204, cot_blt_id = 42, cot_pap_id = 9, cot_prc_comum = 24, cot_prc_min = 15, cot_prc_max = 24, cot_prc_med = 20.25, cot_prc_mediana = 21 WHERE cot_id = 204;</v>
      </c>
    </row>
    <row r="206" customFormat="false" ht="14.25" hidden="false" customHeight="false" outlineLevel="0" collapsed="false">
      <c r="A206" s="0" t="n">
        <v>205</v>
      </c>
      <c r="B206" s="0" t="n">
        <f aca="false">IF('Boletins Nuppa Site'!A206&lt;&gt;0,'Boletins Nuppa Site'!A206,"NULL")</f>
        <v>42</v>
      </c>
      <c r="C206" s="0" t="n">
        <v>10</v>
      </c>
      <c r="D206" s="0" t="str">
        <f aca="false">IF('Boletins Nuppa Site'!G206&lt;&gt;0,'Boletins Nuppa Site'!G206,"NULL")</f>
        <v>NULL</v>
      </c>
      <c r="E206" s="30" t="n">
        <f aca="false">IF('Boletins Nuppa Site'!H206&lt;&gt;0,'Boletins Nuppa Site'!H206,"NULL")</f>
        <v>60</v>
      </c>
      <c r="F206" s="30" t="n">
        <f aca="false">IF('Boletins Nuppa Site'!I206&lt;&gt;0,'Boletins Nuppa Site'!I206,"NULL")</f>
        <v>78</v>
      </c>
      <c r="G206" s="0" t="str">
        <f aca="false">IF('Boletins Nuppa Site'!J206&lt;&gt;0,'Boletins Nuppa Site'!J206,"NULL")</f>
        <v>69.33</v>
      </c>
      <c r="H206" s="30" t="n">
        <f aca="false">IF('Boletins Nuppa Site'!K206&lt;&gt;0,'Boletins Nuppa Site'!K206,"NULL")</f>
        <v>70</v>
      </c>
      <c r="I206" s="0" t="str">
        <f aca="false">"INSERT INTO COTACAO (cot_id, cot_blt_id, cot_pap_id, cot_prc_comum, cot_prc_min, cot_prc_max, cot_prc_med, cot_prc_mediana) VALUES ("&amp;A206&amp;", "&amp;B206&amp;", "&amp;C206&amp;", "&amp;D206&amp;", "&amp;E206&amp;", "&amp;F206&amp;", "&amp;G206&amp;", "&amp;H206&amp;");"</f>
        <v>INSERT INTO COTACAO (cot_id, cot_blt_id, cot_pap_id, cot_prc_comum, cot_prc_min, cot_prc_max, cot_prc_med, cot_prc_mediana) VALUES (205, 42, 10, NULL, 60, 78, 69.33, 70);</v>
      </c>
      <c r="J206" s="0" t="str">
        <f aca="false">"UPDATE COTACAO SET cot_id = "&amp;A206&amp;", cot_blt_id = "&amp;B206&amp;", cot_pap_id = "&amp;C206&amp;", cot_prc_comum = "&amp;D206&amp;", cot_prc_min = "&amp;E206&amp;", cot_prc_max = "&amp;F206&amp;", cot_prc_med = "&amp;G206&amp;", cot_prc_mediana = "&amp;H206&amp;" WHERE cot_id = "&amp;A206&amp;";"</f>
        <v>UPDATE COTACAO SET cot_id = 205, cot_blt_id = 42, cot_pap_id = 10, cot_prc_comum = NULL, cot_prc_min = 60, cot_prc_max = 78, cot_prc_med = 69.33, cot_prc_mediana = 70 WHERE cot_id = 205;</v>
      </c>
    </row>
    <row r="207" customFormat="false" ht="14.25" hidden="false" customHeight="false" outlineLevel="0" collapsed="false">
      <c r="A207" s="0" t="n">
        <v>206</v>
      </c>
      <c r="B207" s="0" t="n">
        <f aca="false">IF('Boletins Nuppa Site'!A207&lt;&gt;0,'Boletins Nuppa Site'!A207,"NULL")</f>
        <v>42</v>
      </c>
      <c r="C207" s="0" t="n">
        <v>11</v>
      </c>
      <c r="D207" s="30" t="n">
        <f aca="false">IF('Boletins Nuppa Site'!G207&lt;&gt;0,'Boletins Nuppa Site'!G207,"NULL")</f>
        <v>18</v>
      </c>
      <c r="E207" s="30" t="n">
        <f aca="false">IF('Boletins Nuppa Site'!H207&lt;&gt;0,'Boletins Nuppa Site'!H207,"NULL")</f>
        <v>18</v>
      </c>
      <c r="F207" s="30" t="n">
        <f aca="false">IF('Boletins Nuppa Site'!I207&lt;&gt;0,'Boletins Nuppa Site'!I207,"NULL")</f>
        <v>24</v>
      </c>
      <c r="G207" s="0" t="str">
        <f aca="false">IF('Boletins Nuppa Site'!J207&lt;&gt;0,'Boletins Nuppa Site'!J207,"NULL")</f>
        <v>20.5</v>
      </c>
      <c r="H207" s="30" t="n">
        <f aca="false">IF('Boletins Nuppa Site'!K207&lt;&gt;0,'Boletins Nuppa Site'!K207,"NULL")</f>
        <v>20</v>
      </c>
      <c r="I207" s="0" t="str">
        <f aca="false">"INSERT INTO COTACAO (cot_id, cot_blt_id, cot_pap_id, cot_prc_comum, cot_prc_min, cot_prc_max, cot_prc_med, cot_prc_mediana) VALUES ("&amp;A207&amp;", "&amp;B207&amp;", "&amp;C207&amp;", "&amp;D207&amp;", "&amp;E207&amp;", "&amp;F207&amp;", "&amp;G207&amp;", "&amp;H207&amp;");"</f>
        <v>INSERT INTO COTACAO (cot_id, cot_blt_id, cot_pap_id, cot_prc_comum, cot_prc_min, cot_prc_max, cot_prc_med, cot_prc_mediana) VALUES (206, 42, 11, 18, 18, 24, 20.5, 20);</v>
      </c>
      <c r="J207" s="0" t="str">
        <f aca="false">"UPDATE COTACAO SET cot_id = "&amp;A207&amp;", cot_blt_id = "&amp;B207&amp;", cot_pap_id = "&amp;C207&amp;", cot_prc_comum = "&amp;D207&amp;", cot_prc_min = "&amp;E207&amp;", cot_prc_max = "&amp;F207&amp;", cot_prc_med = "&amp;G207&amp;", cot_prc_mediana = "&amp;H207&amp;" WHERE cot_id = "&amp;A207&amp;";"</f>
        <v>UPDATE COTACAO SET cot_id = 206, cot_blt_id = 42, cot_pap_id = 11, cot_prc_comum = 18, cot_prc_min = 18, cot_prc_max = 24, cot_prc_med = 20.5, cot_prc_mediana = 20 WHERE cot_id = 206;</v>
      </c>
    </row>
    <row r="208" customFormat="false" ht="14.25" hidden="false" customHeight="false" outlineLevel="0" collapsed="false">
      <c r="A208" s="0" t="n">
        <v>207</v>
      </c>
      <c r="B208" s="0" t="n">
        <f aca="false">IF('Boletins Nuppa Site'!A208&lt;&gt;0,'Boletins Nuppa Site'!A208,"NULL")</f>
        <v>42</v>
      </c>
      <c r="C208" s="0" t="n">
        <v>12</v>
      </c>
      <c r="D208" s="0" t="str">
        <f aca="false">IF('Boletins Nuppa Site'!G208&lt;&gt;0,'Boletins Nuppa Site'!G208,"NULL")</f>
        <v>NULL</v>
      </c>
      <c r="E208" s="30" t="n">
        <f aca="false">IF('Boletins Nuppa Site'!H208&lt;&gt;0,'Boletins Nuppa Site'!H208,"NULL")</f>
        <v>54</v>
      </c>
      <c r="F208" s="30" t="n">
        <f aca="false">IF('Boletins Nuppa Site'!I208&lt;&gt;0,'Boletins Nuppa Site'!I208,"NULL")</f>
        <v>60</v>
      </c>
      <c r="G208" s="30" t="n">
        <f aca="false">IF('Boletins Nuppa Site'!J208&lt;&gt;0,'Boletins Nuppa Site'!J208,"NULL")</f>
        <v>57</v>
      </c>
      <c r="H208" s="30" t="n">
        <f aca="false">IF('Boletins Nuppa Site'!K208&lt;&gt;0,'Boletins Nuppa Site'!K208,"NULL")</f>
        <v>57</v>
      </c>
      <c r="I208" s="0" t="str">
        <f aca="false">"INSERT INTO COTACAO (cot_id, cot_blt_id, cot_pap_id, cot_prc_comum, cot_prc_min, cot_prc_max, cot_prc_med, cot_prc_mediana) VALUES ("&amp;A208&amp;", "&amp;B208&amp;", "&amp;C208&amp;", "&amp;D208&amp;", "&amp;E208&amp;", "&amp;F208&amp;", "&amp;G208&amp;", "&amp;H208&amp;");"</f>
        <v>INSERT INTO COTACAO (cot_id, cot_blt_id, cot_pap_id, cot_prc_comum, cot_prc_min, cot_prc_max, cot_prc_med, cot_prc_mediana) VALUES (207, 42, 12, NULL, 54, 60, 57, 57);</v>
      </c>
      <c r="J208" s="0" t="str">
        <f aca="false">"UPDATE COTACAO SET cot_id = "&amp;A208&amp;", cot_blt_id = "&amp;B208&amp;", cot_pap_id = "&amp;C208&amp;", cot_prc_comum = "&amp;D208&amp;", cot_prc_min = "&amp;E208&amp;", cot_prc_max = "&amp;F208&amp;", cot_prc_med = "&amp;G208&amp;", cot_prc_mediana = "&amp;H208&amp;" WHERE cot_id = "&amp;A208&amp;";"</f>
        <v>UPDATE COTACAO SET cot_id = 207, cot_blt_id = 42, cot_pap_id = 12, cot_prc_comum = NULL, cot_prc_min = 54, cot_prc_max = 60, cot_prc_med = 57, cot_prc_mediana = 57 WHERE cot_id = 207;</v>
      </c>
    </row>
    <row r="209" customFormat="false" ht="14.25" hidden="false" customHeight="false" outlineLevel="0" collapsed="false">
      <c r="A209" s="0" t="n">
        <v>208</v>
      </c>
      <c r="B209" s="0" t="n">
        <f aca="false">IF('Boletins Nuppa Site'!A209&lt;&gt;0,'Boletins Nuppa Site'!A209,"NULL")</f>
        <v>42</v>
      </c>
      <c r="C209" s="0" t="n">
        <v>13</v>
      </c>
      <c r="D209" s="0" t="str">
        <f aca="false">IF('Boletins Nuppa Site'!G209&lt;&gt;0,'Boletins Nuppa Site'!G209,"NULL")</f>
        <v>NULL</v>
      </c>
      <c r="E209" s="30" t="n">
        <f aca="false">IF('Boletins Nuppa Site'!H209&lt;&gt;0,'Boletins Nuppa Site'!H209,"NULL")</f>
        <v>60</v>
      </c>
      <c r="F209" s="30" t="n">
        <f aca="false">IF('Boletins Nuppa Site'!I209&lt;&gt;0,'Boletins Nuppa Site'!I209,"NULL")</f>
        <v>60</v>
      </c>
      <c r="G209" s="30" t="n">
        <f aca="false">IF('Boletins Nuppa Site'!J209&lt;&gt;0,'Boletins Nuppa Site'!J209,"NULL")</f>
        <v>60</v>
      </c>
      <c r="H209" s="30" t="n">
        <f aca="false">IF('Boletins Nuppa Site'!K209&lt;&gt;0,'Boletins Nuppa Site'!K209,"NULL")</f>
        <v>60</v>
      </c>
      <c r="I209" s="0" t="str">
        <f aca="false">"INSERT INTO COTACAO (cot_id, cot_blt_id, cot_pap_id, cot_prc_comum, cot_prc_min, cot_prc_max, cot_prc_med, cot_prc_mediana) VALUES ("&amp;A209&amp;", "&amp;B209&amp;", "&amp;C209&amp;", "&amp;D209&amp;", "&amp;E209&amp;", "&amp;F209&amp;", "&amp;G209&amp;", "&amp;H209&amp;");"</f>
        <v>INSERT INTO COTACAO (cot_id, cot_blt_id, cot_pap_id, cot_prc_comum, cot_prc_min, cot_prc_max, cot_prc_med, cot_prc_mediana) VALUES (208, 42, 13, NULL, 60, 60, 60, 60);</v>
      </c>
      <c r="J209" s="0" t="str">
        <f aca="false">"UPDATE COTACAO SET cot_id = "&amp;A209&amp;", cot_blt_id = "&amp;B209&amp;", cot_pap_id = "&amp;C209&amp;", cot_prc_comum = "&amp;D209&amp;", cot_prc_min = "&amp;E209&amp;", cot_prc_max = "&amp;F209&amp;", cot_prc_med = "&amp;G209&amp;", cot_prc_mediana = "&amp;H209&amp;" WHERE cot_id = "&amp;A209&amp;";"</f>
        <v>UPDATE COTACAO SET cot_id = 208, cot_blt_id = 42, cot_pap_id = 13, cot_prc_comum = NULL, cot_prc_min = 60, cot_prc_max = 60, cot_prc_med = 60, cot_prc_mediana = 60 WHERE cot_id = 208;</v>
      </c>
    </row>
    <row r="210" customFormat="false" ht="14.25" hidden="false" customHeight="false" outlineLevel="0" collapsed="false">
      <c r="A210" s="0" t="n">
        <v>209</v>
      </c>
      <c r="B210" s="0" t="n">
        <f aca="false">IF('Boletins Nuppa Site'!A210&lt;&gt;0,'Boletins Nuppa Site'!A210,"NULL")</f>
        <v>42</v>
      </c>
      <c r="C210" s="0" t="n">
        <v>14</v>
      </c>
      <c r="D210" s="0" t="str">
        <f aca="false">IF('Boletins Nuppa Site'!G210&lt;&gt;0,'Boletins Nuppa Site'!G210,"NULL")</f>
        <v>NULL</v>
      </c>
      <c r="E210" s="30" t="n">
        <f aca="false">IF('Boletins Nuppa Site'!H210&lt;&gt;0,'Boletins Nuppa Site'!H210,"NULL")</f>
        <v>48</v>
      </c>
      <c r="F210" s="30" t="n">
        <f aca="false">IF('Boletins Nuppa Site'!I210&lt;&gt;0,'Boletins Nuppa Site'!I210,"NULL")</f>
        <v>60</v>
      </c>
      <c r="G210" s="30" t="n">
        <f aca="false">IF('Boletins Nuppa Site'!J210&lt;&gt;0,'Boletins Nuppa Site'!J210,"NULL")</f>
        <v>54</v>
      </c>
      <c r="H210" s="30" t="n">
        <f aca="false">IF('Boletins Nuppa Site'!K210&lt;&gt;0,'Boletins Nuppa Site'!K210,"NULL")</f>
        <v>54</v>
      </c>
      <c r="I210" s="0" t="str">
        <f aca="false">"INSERT INTO COTACAO (cot_id, cot_blt_id, cot_pap_id, cot_prc_comum, cot_prc_min, cot_prc_max, cot_prc_med, cot_prc_mediana) VALUES ("&amp;A210&amp;", "&amp;B210&amp;", "&amp;C210&amp;", "&amp;D210&amp;", "&amp;E210&amp;", "&amp;F210&amp;", "&amp;G210&amp;", "&amp;H210&amp;");"</f>
        <v>INSERT INTO COTACAO (cot_id, cot_blt_id, cot_pap_id, cot_prc_comum, cot_prc_min, cot_prc_max, cot_prc_med, cot_prc_mediana) VALUES (209, 42, 14, NULL, 48, 60, 54, 54);</v>
      </c>
      <c r="J210" s="0" t="str">
        <f aca="false">"UPDATE COTACAO SET cot_id = "&amp;A210&amp;", cot_blt_id = "&amp;B210&amp;", cot_pap_id = "&amp;C210&amp;", cot_prc_comum = "&amp;D210&amp;", cot_prc_min = "&amp;E210&amp;", cot_prc_max = "&amp;F210&amp;", cot_prc_med = "&amp;G210&amp;", cot_prc_mediana = "&amp;H210&amp;" WHERE cot_id = "&amp;A210&amp;";"</f>
        <v>UPDATE COTACAO SET cot_id = 209, cot_blt_id = 42, cot_pap_id = 14, cot_prc_comum = NULL, cot_prc_min = 48, cot_prc_max = 60, cot_prc_med = 54, cot_prc_mediana = 54 WHERE cot_id = 209;</v>
      </c>
    </row>
    <row r="211" customFormat="false" ht="14.25" hidden="false" customHeight="false" outlineLevel="0" collapsed="false">
      <c r="A211" s="0" t="n">
        <v>210</v>
      </c>
      <c r="B211" s="0" t="n">
        <f aca="false">IF('Boletins Nuppa Site'!A211&lt;&gt;0,'Boletins Nuppa Site'!A211,"NULL")</f>
        <v>42</v>
      </c>
      <c r="C211" s="0" t="n">
        <v>15</v>
      </c>
      <c r="D211" s="30" t="n">
        <f aca="false">IF('Boletins Nuppa Site'!G211&lt;&gt;0,'Boletins Nuppa Site'!G211,"NULL")</f>
        <v>36</v>
      </c>
      <c r="E211" s="30" t="n">
        <f aca="false">IF('Boletins Nuppa Site'!H211&lt;&gt;0,'Boletins Nuppa Site'!H211,"NULL")</f>
        <v>35</v>
      </c>
      <c r="F211" s="30" t="n">
        <f aca="false">IF('Boletins Nuppa Site'!I211&lt;&gt;0,'Boletins Nuppa Site'!I211,"NULL")</f>
        <v>40</v>
      </c>
      <c r="G211" s="0" t="str">
        <f aca="false">IF('Boletins Nuppa Site'!J211&lt;&gt;0,'Boletins Nuppa Site'!J211,"NULL")</f>
        <v>36.75</v>
      </c>
      <c r="H211" s="30" t="n">
        <f aca="false">IF('Boletins Nuppa Site'!K211&lt;&gt;0,'Boletins Nuppa Site'!K211,"NULL")</f>
        <v>36</v>
      </c>
      <c r="I211" s="0" t="str">
        <f aca="false">"INSERT INTO COTACAO (cot_id, cot_blt_id, cot_pap_id, cot_prc_comum, cot_prc_min, cot_prc_max, cot_prc_med, cot_prc_mediana) VALUES ("&amp;A211&amp;", "&amp;B211&amp;", "&amp;C211&amp;", "&amp;D211&amp;", "&amp;E211&amp;", "&amp;F211&amp;", "&amp;G211&amp;", "&amp;H211&amp;");"</f>
        <v>INSERT INTO COTACAO (cot_id, cot_blt_id, cot_pap_id, cot_prc_comum, cot_prc_min, cot_prc_max, cot_prc_med, cot_prc_mediana) VALUES (210, 42, 15, 36, 35, 40, 36.75, 36);</v>
      </c>
      <c r="J211" s="0" t="str">
        <f aca="false">"UPDATE COTACAO SET cot_id = "&amp;A211&amp;", cot_blt_id = "&amp;B211&amp;", cot_pap_id = "&amp;C211&amp;", cot_prc_comum = "&amp;D211&amp;", cot_prc_min = "&amp;E211&amp;", cot_prc_max = "&amp;F211&amp;", cot_prc_med = "&amp;G211&amp;", cot_prc_mediana = "&amp;H211&amp;" WHERE cot_id = "&amp;A211&amp;";"</f>
        <v>UPDATE COTACAO SET cot_id = 210, cot_blt_id = 42, cot_pap_id = 15, cot_prc_comum = 36, cot_prc_min = 35, cot_prc_max = 40, cot_prc_med = 36.75, cot_prc_mediana = 36 WHERE cot_id = 210;</v>
      </c>
    </row>
    <row r="212" customFormat="false" ht="14.25" hidden="false" customHeight="false" outlineLevel="0" collapsed="false">
      <c r="A212" s="0" t="n">
        <v>211</v>
      </c>
      <c r="B212" s="0" t="n">
        <f aca="false">IF('Boletins Nuppa Site'!A212&lt;&gt;0,'Boletins Nuppa Site'!A212,"NULL")</f>
        <v>42</v>
      </c>
      <c r="C212" s="0" t="n">
        <v>16</v>
      </c>
      <c r="D212" s="30" t="n">
        <f aca="false">IF('Boletins Nuppa Site'!G212&lt;&gt;0,'Boletins Nuppa Site'!G212,"NULL")</f>
        <v>42</v>
      </c>
      <c r="E212" s="30" t="n">
        <f aca="false">IF('Boletins Nuppa Site'!H212&lt;&gt;0,'Boletins Nuppa Site'!H212,"NULL")</f>
        <v>42</v>
      </c>
      <c r="F212" s="30" t="n">
        <f aca="false">IF('Boletins Nuppa Site'!I212&lt;&gt;0,'Boletins Nuppa Site'!I212,"NULL")</f>
        <v>42</v>
      </c>
      <c r="G212" s="30" t="n">
        <f aca="false">IF('Boletins Nuppa Site'!J212&lt;&gt;0,'Boletins Nuppa Site'!J212,"NULL")</f>
        <v>42</v>
      </c>
      <c r="H212" s="30" t="n">
        <f aca="false">IF('Boletins Nuppa Site'!K212&lt;&gt;0,'Boletins Nuppa Site'!K212,"NULL")</f>
        <v>42</v>
      </c>
      <c r="I212" s="0" t="str">
        <f aca="false">"INSERT INTO COTACAO (cot_id, cot_blt_id, cot_pap_id, cot_prc_comum, cot_prc_min, cot_prc_max, cot_prc_med, cot_prc_mediana) VALUES ("&amp;A212&amp;", "&amp;B212&amp;", "&amp;C212&amp;", "&amp;D212&amp;", "&amp;E212&amp;", "&amp;F212&amp;", "&amp;G212&amp;", "&amp;H212&amp;");"</f>
        <v>INSERT INTO COTACAO (cot_id, cot_blt_id, cot_pap_id, cot_prc_comum, cot_prc_min, cot_prc_max, cot_prc_med, cot_prc_mediana) VALUES (211, 42, 16, 42, 42, 42, 42, 42);</v>
      </c>
      <c r="J212" s="0" t="str">
        <f aca="false">"UPDATE COTACAO SET cot_id = "&amp;A212&amp;", cot_blt_id = "&amp;B212&amp;", cot_pap_id = "&amp;C212&amp;", cot_prc_comum = "&amp;D212&amp;", cot_prc_min = "&amp;E212&amp;", cot_prc_max = "&amp;F212&amp;", cot_prc_med = "&amp;G212&amp;", cot_prc_mediana = "&amp;H212&amp;" WHERE cot_id = "&amp;A212&amp;";"</f>
        <v>UPDATE COTACAO SET cot_id = 211, cot_blt_id = 42, cot_pap_id = 16, cot_prc_comum = 42, cot_prc_min = 42, cot_prc_max = 42, cot_prc_med = 42, cot_prc_mediana = 42 WHERE cot_id = 211;</v>
      </c>
    </row>
    <row r="213" customFormat="false" ht="14.25" hidden="false" customHeight="false" outlineLevel="0" collapsed="false">
      <c r="A213" s="0" t="n">
        <v>212</v>
      </c>
      <c r="B213" s="0" t="n">
        <f aca="false">IF('Boletins Nuppa Site'!A213&lt;&gt;0,'Boletins Nuppa Site'!A213,"NULL")</f>
        <v>42</v>
      </c>
      <c r="C213" s="0" t="n">
        <v>17</v>
      </c>
      <c r="D213" s="30" t="n">
        <f aca="false">IF('Boletins Nuppa Site'!G213&lt;&gt;0,'Boletins Nuppa Site'!G213,"NULL")</f>
        <v>4</v>
      </c>
      <c r="E213" s="30" t="n">
        <f aca="false">IF('Boletins Nuppa Site'!H213&lt;&gt;0,'Boletins Nuppa Site'!H213,"NULL")</f>
        <v>4</v>
      </c>
      <c r="F213" s="30" t="n">
        <f aca="false">IF('Boletins Nuppa Site'!I213&lt;&gt;0,'Boletins Nuppa Site'!I213,"NULL")</f>
        <v>5</v>
      </c>
      <c r="G213" s="0" t="str">
        <f aca="false">IF('Boletins Nuppa Site'!J213&lt;&gt;0,'Boletins Nuppa Site'!J213,"NULL")</f>
        <v>4.25</v>
      </c>
      <c r="H213" s="30" t="n">
        <f aca="false">IF('Boletins Nuppa Site'!K213&lt;&gt;0,'Boletins Nuppa Site'!K213,"NULL")</f>
        <v>4</v>
      </c>
      <c r="I213" s="0" t="str">
        <f aca="false">"INSERT INTO COTACAO (cot_id, cot_blt_id, cot_pap_id, cot_prc_comum, cot_prc_min, cot_prc_max, cot_prc_med, cot_prc_mediana) VALUES ("&amp;A213&amp;", "&amp;B213&amp;", "&amp;C213&amp;", "&amp;D213&amp;", "&amp;E213&amp;", "&amp;F213&amp;", "&amp;G213&amp;", "&amp;H213&amp;");"</f>
        <v>INSERT INTO COTACAO (cot_id, cot_blt_id, cot_pap_id, cot_prc_comum, cot_prc_min, cot_prc_max, cot_prc_med, cot_prc_mediana) VALUES (212, 42, 17, 4, 4, 5, 4.25, 4);</v>
      </c>
      <c r="J213" s="0" t="str">
        <f aca="false">"UPDATE COTACAO SET cot_id = "&amp;A213&amp;", cot_blt_id = "&amp;B213&amp;", cot_pap_id = "&amp;C213&amp;", cot_prc_comum = "&amp;D213&amp;", cot_prc_min = "&amp;E213&amp;", cot_prc_max = "&amp;F213&amp;", cot_prc_med = "&amp;G213&amp;", cot_prc_mediana = "&amp;H213&amp;" WHERE cot_id = "&amp;A213&amp;";"</f>
        <v>UPDATE COTACAO SET cot_id = 212, cot_blt_id = 42, cot_pap_id = 17, cot_prc_comum = 4, cot_prc_min = 4, cot_prc_max = 5, cot_prc_med = 4.25, cot_prc_mediana = 4 WHERE cot_id = 212;</v>
      </c>
    </row>
    <row r="214" customFormat="false" ht="14.25" hidden="false" customHeight="false" outlineLevel="0" collapsed="false">
      <c r="A214" s="0" t="n">
        <v>213</v>
      </c>
      <c r="B214" s="0" t="n">
        <f aca="false">IF('Boletins Nuppa Site'!A214&lt;&gt;0,'Boletins Nuppa Site'!A214,"NULL")</f>
        <v>42</v>
      </c>
      <c r="C214" s="0" t="n">
        <v>18</v>
      </c>
      <c r="D214" s="30" t="n">
        <f aca="false">IF('Boletins Nuppa Site'!G214&lt;&gt;0,'Boletins Nuppa Site'!G214,"NULL")</f>
        <v>25</v>
      </c>
      <c r="E214" s="30" t="n">
        <f aca="false">IF('Boletins Nuppa Site'!H214&lt;&gt;0,'Boletins Nuppa Site'!H214,"NULL")</f>
        <v>15</v>
      </c>
      <c r="F214" s="30" t="n">
        <f aca="false">IF('Boletins Nuppa Site'!I214&lt;&gt;0,'Boletins Nuppa Site'!I214,"NULL")</f>
        <v>25</v>
      </c>
      <c r="G214" s="0" t="str">
        <f aca="false">IF('Boletins Nuppa Site'!J214&lt;&gt;0,'Boletins Nuppa Site'!J214,"NULL")</f>
        <v>21.4</v>
      </c>
      <c r="H214" s="30" t="n">
        <f aca="false">IF('Boletins Nuppa Site'!K214&lt;&gt;0,'Boletins Nuppa Site'!K214,"NULL")</f>
        <v>22</v>
      </c>
      <c r="I214" s="0" t="str">
        <f aca="false">"INSERT INTO COTACAO (cot_id, cot_blt_id, cot_pap_id, cot_prc_comum, cot_prc_min, cot_prc_max, cot_prc_med, cot_prc_mediana) VALUES ("&amp;A214&amp;", "&amp;B214&amp;", "&amp;C214&amp;", "&amp;D214&amp;", "&amp;E214&amp;", "&amp;F214&amp;", "&amp;G214&amp;", "&amp;H214&amp;");"</f>
        <v>INSERT INTO COTACAO (cot_id, cot_blt_id, cot_pap_id, cot_prc_comum, cot_prc_min, cot_prc_max, cot_prc_med, cot_prc_mediana) VALUES (213, 42, 18, 25, 15, 25, 21.4, 22);</v>
      </c>
      <c r="J214" s="0" t="str">
        <f aca="false">"UPDATE COTACAO SET cot_id = "&amp;A214&amp;", cot_blt_id = "&amp;B214&amp;", cot_pap_id = "&amp;C214&amp;", cot_prc_comum = "&amp;D214&amp;", cot_prc_min = "&amp;E214&amp;", cot_prc_max = "&amp;F214&amp;", cot_prc_med = "&amp;G214&amp;", cot_prc_mediana = "&amp;H214&amp;" WHERE cot_id = "&amp;A214&amp;";"</f>
        <v>UPDATE COTACAO SET cot_id = 213, cot_blt_id = 42, cot_pap_id = 18, cot_prc_comum = 25, cot_prc_min = 15, cot_prc_max = 25, cot_prc_med = 21.4, cot_prc_mediana = 22 WHERE cot_id = 213;</v>
      </c>
    </row>
    <row r="215" customFormat="false" ht="14.25" hidden="false" customHeight="false" outlineLevel="0" collapsed="false">
      <c r="A215" s="0" t="n">
        <v>214</v>
      </c>
      <c r="B215" s="0" t="n">
        <f aca="false">IF('Boletins Nuppa Site'!A215&lt;&gt;0,'Boletins Nuppa Site'!A215,"NULL")</f>
        <v>42</v>
      </c>
      <c r="C215" s="0" t="n">
        <v>19</v>
      </c>
      <c r="D215" s="30" t="n">
        <f aca="false">IF('Boletins Nuppa Site'!G215&lt;&gt;0,'Boletins Nuppa Site'!G215,"NULL")</f>
        <v>25</v>
      </c>
      <c r="E215" s="30" t="n">
        <f aca="false">IF('Boletins Nuppa Site'!H215&lt;&gt;0,'Boletins Nuppa Site'!H215,"NULL")</f>
        <v>25</v>
      </c>
      <c r="F215" s="30" t="n">
        <f aca="false">IF('Boletins Nuppa Site'!I215&lt;&gt;0,'Boletins Nuppa Site'!I215,"NULL")</f>
        <v>25</v>
      </c>
      <c r="G215" s="30" t="n">
        <f aca="false">IF('Boletins Nuppa Site'!J215&lt;&gt;0,'Boletins Nuppa Site'!J215,"NULL")</f>
        <v>25</v>
      </c>
      <c r="H215" s="30" t="n">
        <f aca="false">IF('Boletins Nuppa Site'!K215&lt;&gt;0,'Boletins Nuppa Site'!K215,"NULL")</f>
        <v>25</v>
      </c>
      <c r="I215" s="0" t="str">
        <f aca="false">"INSERT INTO COTACAO (cot_id, cot_blt_id, cot_pap_id, cot_prc_comum, cot_prc_min, cot_prc_max, cot_prc_med, cot_prc_mediana) VALUES ("&amp;A215&amp;", "&amp;B215&amp;", "&amp;C215&amp;", "&amp;D215&amp;", "&amp;E215&amp;", "&amp;F215&amp;", "&amp;G215&amp;", "&amp;H215&amp;");"</f>
        <v>INSERT INTO COTACAO (cot_id, cot_blt_id, cot_pap_id, cot_prc_comum, cot_prc_min, cot_prc_max, cot_prc_med, cot_prc_mediana) VALUES (214, 42, 19, 25, 25, 25, 25, 25);</v>
      </c>
      <c r="J215" s="0" t="str">
        <f aca="false">"UPDATE COTACAO SET cot_id = "&amp;A215&amp;", cot_blt_id = "&amp;B215&amp;", cot_pap_id = "&amp;C215&amp;", cot_prc_comum = "&amp;D215&amp;", cot_prc_min = "&amp;E215&amp;", cot_prc_max = "&amp;F215&amp;", cot_prc_med = "&amp;G215&amp;", cot_prc_mediana = "&amp;H215&amp;" WHERE cot_id = "&amp;A215&amp;";"</f>
        <v>UPDATE COTACAO SET cot_id = 214, cot_blt_id = 42, cot_pap_id = 19, cot_prc_comum = 25, cot_prc_min = 25, cot_prc_max = 25, cot_prc_med = 25, cot_prc_mediana = 25 WHERE cot_id = 214;</v>
      </c>
    </row>
    <row r="216" customFormat="false" ht="14.25" hidden="false" customHeight="false" outlineLevel="0" collapsed="false">
      <c r="A216" s="0" t="n">
        <v>215</v>
      </c>
      <c r="B216" s="0" t="n">
        <f aca="false">IF('Boletins Nuppa Site'!A216&lt;&gt;0,'Boletins Nuppa Site'!A216,"NULL")</f>
        <v>42</v>
      </c>
      <c r="C216" s="0" t="n">
        <v>21</v>
      </c>
      <c r="D216" s="30" t="n">
        <f aca="false">IF('Boletins Nuppa Site'!G216&lt;&gt;0,'Boletins Nuppa Site'!G216,"NULL")</f>
        <v>70</v>
      </c>
      <c r="E216" s="30" t="n">
        <f aca="false">IF('Boletins Nuppa Site'!H216&lt;&gt;0,'Boletins Nuppa Site'!H216,"NULL")</f>
        <v>35</v>
      </c>
      <c r="F216" s="30" t="n">
        <f aca="false">IF('Boletins Nuppa Site'!I216&lt;&gt;0,'Boletins Nuppa Site'!I216,"NULL")</f>
        <v>70</v>
      </c>
      <c r="G216" s="0" t="str">
        <f aca="false">IF('Boletins Nuppa Site'!J216&lt;&gt;0,'Boletins Nuppa Site'!J216,"NULL")</f>
        <v>56.88</v>
      </c>
      <c r="H216" s="30" t="n">
        <f aca="false">IF('Boletins Nuppa Site'!K216&lt;&gt;0,'Boletins Nuppa Site'!K216,"NULL")</f>
        <v>60</v>
      </c>
      <c r="I216" s="0" t="str">
        <f aca="false">"INSERT INTO COTACAO (cot_id, cot_blt_id, cot_pap_id, cot_prc_comum, cot_prc_min, cot_prc_max, cot_prc_med, cot_prc_mediana) VALUES ("&amp;A216&amp;", "&amp;B216&amp;", "&amp;C216&amp;", "&amp;D216&amp;", "&amp;E216&amp;", "&amp;F216&amp;", "&amp;G216&amp;", "&amp;H216&amp;");"</f>
        <v>INSERT INTO COTACAO (cot_id, cot_blt_id, cot_pap_id, cot_prc_comum, cot_prc_min, cot_prc_max, cot_prc_med, cot_prc_mediana) VALUES (215, 42, 21, 70, 35, 70, 56.88, 60);</v>
      </c>
      <c r="J216" s="0" t="str">
        <f aca="false">"UPDATE COTACAO SET cot_id = "&amp;A216&amp;", cot_blt_id = "&amp;B216&amp;", cot_pap_id = "&amp;C216&amp;", cot_prc_comum = "&amp;D216&amp;", cot_prc_min = "&amp;E216&amp;", cot_prc_max = "&amp;F216&amp;", cot_prc_med = "&amp;G216&amp;", cot_prc_mediana = "&amp;H216&amp;" WHERE cot_id = "&amp;A216&amp;";"</f>
        <v>UPDATE COTACAO SET cot_id = 215, cot_blt_id = 42, cot_pap_id = 21, cot_prc_comum = 70, cot_prc_min = 35, cot_prc_max = 70, cot_prc_med = 56.88, cot_prc_mediana = 60 WHERE cot_id = 215;</v>
      </c>
    </row>
    <row r="217" customFormat="false" ht="14.25" hidden="false" customHeight="false" outlineLevel="0" collapsed="false">
      <c r="A217" s="0" t="n">
        <v>216</v>
      </c>
      <c r="B217" s="0" t="n">
        <f aca="false">IF('Boletins Nuppa Site'!A217&lt;&gt;0,'Boletins Nuppa Site'!A217,"NULL")</f>
        <v>42</v>
      </c>
      <c r="C217" s="0" t="n">
        <v>22</v>
      </c>
      <c r="D217" s="30" t="n">
        <f aca="false">IF('Boletins Nuppa Site'!G217&lt;&gt;0,'Boletins Nuppa Site'!G217,"NULL")</f>
        <v>35</v>
      </c>
      <c r="E217" s="30" t="n">
        <f aca="false">IF('Boletins Nuppa Site'!H217&lt;&gt;0,'Boletins Nuppa Site'!H217,"NULL")</f>
        <v>35</v>
      </c>
      <c r="F217" s="30" t="n">
        <f aca="false">IF('Boletins Nuppa Site'!I217&lt;&gt;0,'Boletins Nuppa Site'!I217,"NULL")</f>
        <v>65</v>
      </c>
      <c r="G217" s="0" t="str">
        <f aca="false">IF('Boletins Nuppa Site'!J217&lt;&gt;0,'Boletins Nuppa Site'!J217,"NULL")</f>
        <v>46.67</v>
      </c>
      <c r="H217" s="30" t="n">
        <f aca="false">IF('Boletins Nuppa Site'!K217&lt;&gt;0,'Boletins Nuppa Site'!K217,"NULL")</f>
        <v>40</v>
      </c>
      <c r="I217" s="0" t="str">
        <f aca="false">"INSERT INTO COTACAO (cot_id, cot_blt_id, cot_pap_id, cot_prc_comum, cot_prc_min, cot_prc_max, cot_prc_med, cot_prc_mediana) VALUES ("&amp;A217&amp;", "&amp;B217&amp;", "&amp;C217&amp;", "&amp;D217&amp;", "&amp;E217&amp;", "&amp;F217&amp;", "&amp;G217&amp;", "&amp;H217&amp;");"</f>
        <v>INSERT INTO COTACAO (cot_id, cot_blt_id, cot_pap_id, cot_prc_comum, cot_prc_min, cot_prc_max, cot_prc_med, cot_prc_mediana) VALUES (216, 42, 22, 35, 35, 65, 46.67, 40);</v>
      </c>
      <c r="J217" s="0" t="str">
        <f aca="false">"UPDATE COTACAO SET cot_id = "&amp;A217&amp;", cot_blt_id = "&amp;B217&amp;", cot_pap_id = "&amp;C217&amp;", cot_prc_comum = "&amp;D217&amp;", cot_prc_min = "&amp;E217&amp;", cot_prc_max = "&amp;F217&amp;", cot_prc_med = "&amp;G217&amp;", cot_prc_mediana = "&amp;H217&amp;" WHERE cot_id = "&amp;A217&amp;";"</f>
        <v>UPDATE COTACAO SET cot_id = 216, cot_blt_id = 42, cot_pap_id = 22, cot_prc_comum = 35, cot_prc_min = 35, cot_prc_max = 65, cot_prc_med = 46.67, cot_prc_mediana = 40 WHERE cot_id = 216;</v>
      </c>
    </row>
    <row r="218" customFormat="false" ht="14.25" hidden="false" customHeight="false" outlineLevel="0" collapsed="false">
      <c r="A218" s="0" t="n">
        <v>217</v>
      </c>
      <c r="B218" s="0" t="n">
        <f aca="false">IF('Boletins Nuppa Site'!A218&lt;&gt;0,'Boletins Nuppa Site'!A218,"NULL")</f>
        <v>42</v>
      </c>
      <c r="C218" s="0" t="n">
        <v>23</v>
      </c>
      <c r="D218" s="30" t="n">
        <f aca="false">IF('Boletins Nuppa Site'!G218&lt;&gt;0,'Boletins Nuppa Site'!G218,"NULL")</f>
        <v>40</v>
      </c>
      <c r="E218" s="30" t="n">
        <f aca="false">IF('Boletins Nuppa Site'!H218&lt;&gt;0,'Boletins Nuppa Site'!H218,"NULL")</f>
        <v>40</v>
      </c>
      <c r="F218" s="30" t="n">
        <f aca="false">IF('Boletins Nuppa Site'!I218&lt;&gt;0,'Boletins Nuppa Site'!I218,"NULL")</f>
        <v>40</v>
      </c>
      <c r="G218" s="30" t="n">
        <f aca="false">IF('Boletins Nuppa Site'!J218&lt;&gt;0,'Boletins Nuppa Site'!J218,"NULL")</f>
        <v>40</v>
      </c>
      <c r="H218" s="30" t="n">
        <f aca="false">IF('Boletins Nuppa Site'!K218&lt;&gt;0,'Boletins Nuppa Site'!K218,"NULL")</f>
        <v>40</v>
      </c>
      <c r="I218" s="0" t="str">
        <f aca="false">"INSERT INTO COTACAO (cot_id, cot_blt_id, cot_pap_id, cot_prc_comum, cot_prc_min, cot_prc_max, cot_prc_med, cot_prc_mediana) VALUES ("&amp;A218&amp;", "&amp;B218&amp;", "&amp;C218&amp;", "&amp;D218&amp;", "&amp;E218&amp;", "&amp;F218&amp;", "&amp;G218&amp;", "&amp;H218&amp;");"</f>
        <v>INSERT INTO COTACAO (cot_id, cot_blt_id, cot_pap_id, cot_prc_comum, cot_prc_min, cot_prc_max, cot_prc_med, cot_prc_mediana) VALUES (217, 42, 23, 40, 40, 40, 40, 40);</v>
      </c>
      <c r="J218" s="0" t="str">
        <f aca="false">"UPDATE COTACAO SET cot_id = "&amp;A218&amp;", cot_blt_id = "&amp;B218&amp;", cot_pap_id = "&amp;C218&amp;", cot_prc_comum = "&amp;D218&amp;", cot_prc_min = "&amp;E218&amp;", cot_prc_max = "&amp;F218&amp;", cot_prc_med = "&amp;G218&amp;", cot_prc_mediana = "&amp;H218&amp;" WHERE cot_id = "&amp;A218&amp;";"</f>
        <v>UPDATE COTACAO SET cot_id = 217, cot_blt_id = 42, cot_pap_id = 23, cot_prc_comum = 40, cot_prc_min = 40, cot_prc_max = 40, cot_prc_med = 40, cot_prc_mediana = 40 WHERE cot_id = 217;</v>
      </c>
    </row>
    <row r="219" customFormat="false" ht="14.25" hidden="false" customHeight="false" outlineLevel="0" collapsed="false">
      <c r="A219" s="0" t="n">
        <v>218</v>
      </c>
      <c r="B219" s="0" t="n">
        <f aca="false">IF('Boletins Nuppa Site'!A219&lt;&gt;0,'Boletins Nuppa Site'!A219,"NULL")</f>
        <v>42</v>
      </c>
      <c r="C219" s="0" t="n">
        <v>24</v>
      </c>
      <c r="D219" s="30" t="n">
        <f aca="false">IF('Boletins Nuppa Site'!G219&lt;&gt;0,'Boletins Nuppa Site'!G219,"NULL")</f>
        <v>100</v>
      </c>
      <c r="E219" s="30" t="n">
        <f aca="false">IF('Boletins Nuppa Site'!H219&lt;&gt;0,'Boletins Nuppa Site'!H219,"NULL")</f>
        <v>100</v>
      </c>
      <c r="F219" s="30" t="n">
        <f aca="false">IF('Boletins Nuppa Site'!I219&lt;&gt;0,'Boletins Nuppa Site'!I219,"NULL")</f>
        <v>100</v>
      </c>
      <c r="G219" s="30" t="n">
        <f aca="false">IF('Boletins Nuppa Site'!J219&lt;&gt;0,'Boletins Nuppa Site'!J219,"NULL")</f>
        <v>100</v>
      </c>
      <c r="H219" s="30" t="n">
        <f aca="false">IF('Boletins Nuppa Site'!K219&lt;&gt;0,'Boletins Nuppa Site'!K219,"NULL")</f>
        <v>100</v>
      </c>
      <c r="I219" s="0" t="str">
        <f aca="false">"INSERT INTO COTACAO (cot_id, cot_blt_id, cot_pap_id, cot_prc_comum, cot_prc_min, cot_prc_max, cot_prc_med, cot_prc_mediana) VALUES ("&amp;A219&amp;", "&amp;B219&amp;", "&amp;C219&amp;", "&amp;D219&amp;", "&amp;E219&amp;", "&amp;F219&amp;", "&amp;G219&amp;", "&amp;H219&amp;");"</f>
        <v>INSERT INTO COTACAO (cot_id, cot_blt_id, cot_pap_id, cot_prc_comum, cot_prc_min, cot_prc_max, cot_prc_med, cot_prc_mediana) VALUES (218, 42, 24, 100, 100, 100, 100, 100);</v>
      </c>
      <c r="J219" s="0" t="str">
        <f aca="false">"UPDATE COTACAO SET cot_id = "&amp;A219&amp;", cot_blt_id = "&amp;B219&amp;", cot_pap_id = "&amp;C219&amp;", cot_prc_comum = "&amp;D219&amp;", cot_prc_min = "&amp;E219&amp;", cot_prc_max = "&amp;F219&amp;", cot_prc_med = "&amp;G219&amp;", cot_prc_mediana = "&amp;H219&amp;" WHERE cot_id = "&amp;A219&amp;";"</f>
        <v>UPDATE COTACAO SET cot_id = 218, cot_blt_id = 42, cot_pap_id = 24, cot_prc_comum = 100, cot_prc_min = 100, cot_prc_max = 100, cot_prc_med = 100, cot_prc_mediana = 100 WHERE cot_id = 218;</v>
      </c>
    </row>
    <row r="220" customFormat="false" ht="14.25" hidden="false" customHeight="false" outlineLevel="0" collapsed="false">
      <c r="A220" s="0" t="n">
        <v>219</v>
      </c>
      <c r="B220" s="0" t="n">
        <f aca="false">IF('Boletins Nuppa Site'!A220&lt;&gt;0,'Boletins Nuppa Site'!A220,"NULL")</f>
        <v>42</v>
      </c>
      <c r="C220" s="0" t="n">
        <v>25</v>
      </c>
      <c r="D220" s="30" t="n">
        <f aca="false">IF('Boletins Nuppa Site'!G220&lt;&gt;0,'Boletins Nuppa Site'!G220,"NULL")</f>
        <v>40</v>
      </c>
      <c r="E220" s="30" t="n">
        <f aca="false">IF('Boletins Nuppa Site'!H220&lt;&gt;0,'Boletins Nuppa Site'!H220,"NULL")</f>
        <v>40</v>
      </c>
      <c r="F220" s="30" t="n">
        <f aca="false">IF('Boletins Nuppa Site'!I220&lt;&gt;0,'Boletins Nuppa Site'!I220,"NULL")</f>
        <v>60</v>
      </c>
      <c r="G220" s="0" t="str">
        <f aca="false">IF('Boletins Nuppa Site'!J220&lt;&gt;0,'Boletins Nuppa Site'!J220,"NULL")</f>
        <v>49.29</v>
      </c>
      <c r="H220" s="30" t="n">
        <f aca="false">IF('Boletins Nuppa Site'!K220&lt;&gt;0,'Boletins Nuppa Site'!K220,"NULL")</f>
        <v>50</v>
      </c>
      <c r="I220" s="0" t="str">
        <f aca="false">"INSERT INTO COTACAO (cot_id, cot_blt_id, cot_pap_id, cot_prc_comum, cot_prc_min, cot_prc_max, cot_prc_med, cot_prc_mediana) VALUES ("&amp;A220&amp;", "&amp;B220&amp;", "&amp;C220&amp;", "&amp;D220&amp;", "&amp;E220&amp;", "&amp;F220&amp;", "&amp;G220&amp;", "&amp;H220&amp;");"</f>
        <v>INSERT INTO COTACAO (cot_id, cot_blt_id, cot_pap_id, cot_prc_comum, cot_prc_min, cot_prc_max, cot_prc_med, cot_prc_mediana) VALUES (219, 42, 25, 40, 40, 60, 49.29, 50);</v>
      </c>
      <c r="J220" s="0" t="str">
        <f aca="false">"UPDATE COTACAO SET cot_id = "&amp;A220&amp;", cot_blt_id = "&amp;B220&amp;", cot_pap_id = "&amp;C220&amp;", cot_prc_comum = "&amp;D220&amp;", cot_prc_min = "&amp;E220&amp;", cot_prc_max = "&amp;F220&amp;", cot_prc_med = "&amp;G220&amp;", cot_prc_mediana = "&amp;H220&amp;" WHERE cot_id = "&amp;A220&amp;";"</f>
        <v>UPDATE COTACAO SET cot_id = 219, cot_blt_id = 42, cot_pap_id = 25, cot_prc_comum = 40, cot_prc_min = 40, cot_prc_max = 60, cot_prc_med = 49.29, cot_prc_mediana = 50 WHERE cot_id = 219;</v>
      </c>
    </row>
    <row r="221" customFormat="false" ht="14.25" hidden="false" customHeight="false" outlineLevel="0" collapsed="false">
      <c r="A221" s="0" t="n">
        <v>220</v>
      </c>
      <c r="B221" s="0" t="n">
        <f aca="false">IF('Boletins Nuppa Site'!A221&lt;&gt;0,'Boletins Nuppa Site'!A221,"NULL")</f>
        <v>42</v>
      </c>
      <c r="C221" s="0" t="n">
        <v>26</v>
      </c>
      <c r="D221" s="30" t="n">
        <f aca="false">IF('Boletins Nuppa Site'!G221&lt;&gt;0,'Boletins Nuppa Site'!G221,"NULL")</f>
        <v>75</v>
      </c>
      <c r="E221" s="30" t="n">
        <f aca="false">IF('Boletins Nuppa Site'!H221&lt;&gt;0,'Boletins Nuppa Site'!H221,"NULL")</f>
        <v>45</v>
      </c>
      <c r="F221" s="30" t="n">
        <f aca="false">IF('Boletins Nuppa Site'!I221&lt;&gt;0,'Boletins Nuppa Site'!I221,"NULL")</f>
        <v>80</v>
      </c>
      <c r="G221" s="0" t="str">
        <f aca="false">IF('Boletins Nuppa Site'!J221&lt;&gt;0,'Boletins Nuppa Site'!J221,"NULL")</f>
        <v>65.56</v>
      </c>
      <c r="H221" s="30" t="n">
        <f aca="false">IF('Boletins Nuppa Site'!K221&lt;&gt;0,'Boletins Nuppa Site'!K221,"NULL")</f>
        <v>75</v>
      </c>
      <c r="I221" s="0" t="str">
        <f aca="false">"INSERT INTO COTACAO (cot_id, cot_blt_id, cot_pap_id, cot_prc_comum, cot_prc_min, cot_prc_max, cot_prc_med, cot_prc_mediana) VALUES ("&amp;A221&amp;", "&amp;B221&amp;", "&amp;C221&amp;", "&amp;D221&amp;", "&amp;E221&amp;", "&amp;F221&amp;", "&amp;G221&amp;", "&amp;H221&amp;");"</f>
        <v>INSERT INTO COTACAO (cot_id, cot_blt_id, cot_pap_id, cot_prc_comum, cot_prc_min, cot_prc_max, cot_prc_med, cot_prc_mediana) VALUES (220, 42, 26, 75, 45, 80, 65.56, 75);</v>
      </c>
      <c r="J221" s="0" t="str">
        <f aca="false">"UPDATE COTACAO SET cot_id = "&amp;A221&amp;", cot_blt_id = "&amp;B221&amp;", cot_pap_id = "&amp;C221&amp;", cot_prc_comum = "&amp;D221&amp;", cot_prc_min = "&amp;E221&amp;", cot_prc_max = "&amp;F221&amp;", cot_prc_med = "&amp;G221&amp;", cot_prc_mediana = "&amp;H221&amp;" WHERE cot_id = "&amp;A221&amp;";"</f>
        <v>UPDATE COTACAO SET cot_id = 220, cot_blt_id = 42, cot_pap_id = 26, cot_prc_comum = 75, cot_prc_min = 45, cot_prc_max = 80, cot_prc_med = 65.56, cot_prc_mediana = 75 WHERE cot_id = 220;</v>
      </c>
    </row>
    <row r="222" customFormat="false" ht="14.25" hidden="false" customHeight="false" outlineLevel="0" collapsed="false">
      <c r="A222" s="0" t="n">
        <v>221</v>
      </c>
      <c r="B222" s="0" t="n">
        <f aca="false">IF('Boletins Nuppa Site'!A222&lt;&gt;0,'Boletins Nuppa Site'!A222,"NULL")</f>
        <v>42</v>
      </c>
      <c r="C222" s="0" t="n">
        <v>27</v>
      </c>
      <c r="D222" s="30" t="n">
        <f aca="false">IF('Boletins Nuppa Site'!G222&lt;&gt;0,'Boletins Nuppa Site'!G222,"NULL")</f>
        <v>55</v>
      </c>
      <c r="E222" s="30" t="n">
        <f aca="false">IF('Boletins Nuppa Site'!H222&lt;&gt;0,'Boletins Nuppa Site'!H222,"NULL")</f>
        <v>50</v>
      </c>
      <c r="F222" s="30" t="n">
        <f aca="false">IF('Boletins Nuppa Site'!I222&lt;&gt;0,'Boletins Nuppa Site'!I222,"NULL")</f>
        <v>70</v>
      </c>
      <c r="G222" s="0" t="str">
        <f aca="false">IF('Boletins Nuppa Site'!J222&lt;&gt;0,'Boletins Nuppa Site'!J222,"NULL")</f>
        <v>59.38</v>
      </c>
      <c r="H222" s="0" t="str">
        <f aca="false">IF('Boletins Nuppa Site'!K222&lt;&gt;0,'Boletins Nuppa Site'!K222,"NULL")</f>
        <v>57.5</v>
      </c>
      <c r="I222" s="0" t="str">
        <f aca="false">"INSERT INTO COTACAO (cot_id, cot_blt_id, cot_pap_id, cot_prc_comum, cot_prc_min, cot_prc_max, cot_prc_med, cot_prc_mediana) VALUES ("&amp;A222&amp;", "&amp;B222&amp;", "&amp;C222&amp;", "&amp;D222&amp;", "&amp;E222&amp;", "&amp;F222&amp;", "&amp;G222&amp;", "&amp;H222&amp;");"</f>
        <v>INSERT INTO COTACAO (cot_id, cot_blt_id, cot_pap_id, cot_prc_comum, cot_prc_min, cot_prc_max, cot_prc_med, cot_prc_mediana) VALUES (221, 42, 27, 55, 50, 70, 59.38, 57.5);</v>
      </c>
      <c r="J222" s="0" t="str">
        <f aca="false">"UPDATE COTACAO SET cot_id = "&amp;A222&amp;", cot_blt_id = "&amp;B222&amp;", cot_pap_id = "&amp;C222&amp;", cot_prc_comum = "&amp;D222&amp;", cot_prc_min = "&amp;E222&amp;", cot_prc_max = "&amp;F222&amp;", cot_prc_med = "&amp;G222&amp;", cot_prc_mediana = "&amp;H222&amp;" WHERE cot_id = "&amp;A222&amp;";"</f>
        <v>UPDATE COTACAO SET cot_id = 221, cot_blt_id = 42, cot_pap_id = 27, cot_prc_comum = 55, cot_prc_min = 50, cot_prc_max = 70, cot_prc_med = 59.38, cot_prc_mediana = 57.5 WHERE cot_id = 221;</v>
      </c>
    </row>
    <row r="223" customFormat="false" ht="14.25" hidden="false" customHeight="false" outlineLevel="0" collapsed="false">
      <c r="A223" s="0" t="n">
        <v>222</v>
      </c>
      <c r="B223" s="0" t="n">
        <f aca="false">IF('Boletins Nuppa Site'!A223&lt;&gt;0,'Boletins Nuppa Site'!A223,"NULL")</f>
        <v>42</v>
      </c>
      <c r="C223" s="0" t="n">
        <v>28</v>
      </c>
      <c r="D223" s="30" t="n">
        <f aca="false">IF('Boletins Nuppa Site'!G223&lt;&gt;0,'Boletins Nuppa Site'!G223,"NULL")</f>
        <v>70</v>
      </c>
      <c r="E223" s="30" t="n">
        <f aca="false">IF('Boletins Nuppa Site'!H223&lt;&gt;0,'Boletins Nuppa Site'!H223,"NULL")</f>
        <v>50</v>
      </c>
      <c r="F223" s="30" t="n">
        <f aca="false">IF('Boletins Nuppa Site'!I223&lt;&gt;0,'Boletins Nuppa Site'!I223,"NULL")</f>
        <v>80</v>
      </c>
      <c r="G223" s="0" t="str">
        <f aca="false">IF('Boletins Nuppa Site'!J223&lt;&gt;0,'Boletins Nuppa Site'!J223,"NULL")</f>
        <v>68.57</v>
      </c>
      <c r="H223" s="30" t="n">
        <f aca="false">IF('Boletins Nuppa Site'!K223&lt;&gt;0,'Boletins Nuppa Site'!K223,"NULL")</f>
        <v>70</v>
      </c>
      <c r="I223" s="0" t="str">
        <f aca="false">"INSERT INTO COTACAO (cot_id, cot_blt_id, cot_pap_id, cot_prc_comum, cot_prc_min, cot_prc_max, cot_prc_med, cot_prc_mediana) VALUES ("&amp;A223&amp;", "&amp;B223&amp;", "&amp;C223&amp;", "&amp;D223&amp;", "&amp;E223&amp;", "&amp;F223&amp;", "&amp;G223&amp;", "&amp;H223&amp;");"</f>
        <v>INSERT INTO COTACAO (cot_id, cot_blt_id, cot_pap_id, cot_prc_comum, cot_prc_min, cot_prc_max, cot_prc_med, cot_prc_mediana) VALUES (222, 42, 28, 70, 50, 80, 68.57, 70);</v>
      </c>
      <c r="J223" s="0" t="str">
        <f aca="false">"UPDATE COTACAO SET cot_id = "&amp;A223&amp;", cot_blt_id = "&amp;B223&amp;", cot_pap_id = "&amp;C223&amp;", cot_prc_comum = "&amp;D223&amp;", cot_prc_min = "&amp;E223&amp;", cot_prc_max = "&amp;F223&amp;", cot_prc_med = "&amp;G223&amp;", cot_prc_mediana = "&amp;H223&amp;" WHERE cot_id = "&amp;A223&amp;";"</f>
        <v>UPDATE COTACAO SET cot_id = 222, cot_blt_id = 42, cot_pap_id = 28, cot_prc_comum = 70, cot_prc_min = 50, cot_prc_max = 80, cot_prc_med = 68.57, cot_prc_mediana = 70 WHERE cot_id = 222;</v>
      </c>
    </row>
    <row r="224" customFormat="false" ht="14.25" hidden="false" customHeight="false" outlineLevel="0" collapsed="false">
      <c r="A224" s="0" t="n">
        <v>223</v>
      </c>
      <c r="B224" s="0" t="n">
        <f aca="false">IF('Boletins Nuppa Site'!A224&lt;&gt;0,'Boletins Nuppa Site'!A224,"NULL")</f>
        <v>42</v>
      </c>
      <c r="C224" s="0" t="n">
        <v>29</v>
      </c>
      <c r="D224" s="0" t="str">
        <f aca="false">IF('Boletins Nuppa Site'!G224&lt;&gt;0,'Boletins Nuppa Site'!G224,"NULL")</f>
        <v>NULL</v>
      </c>
      <c r="E224" s="30" t="n">
        <f aca="false">IF('Boletins Nuppa Site'!H224&lt;&gt;0,'Boletins Nuppa Site'!H224,"NULL")</f>
        <v>55</v>
      </c>
      <c r="F224" s="30" t="n">
        <f aca="false">IF('Boletins Nuppa Site'!I224&lt;&gt;0,'Boletins Nuppa Site'!I224,"NULL")</f>
        <v>70</v>
      </c>
      <c r="G224" s="0" t="str">
        <f aca="false">IF('Boletins Nuppa Site'!J224&lt;&gt;0,'Boletins Nuppa Site'!J224,"NULL")</f>
        <v>61.67</v>
      </c>
      <c r="H224" s="30" t="n">
        <f aca="false">IF('Boletins Nuppa Site'!K224&lt;&gt;0,'Boletins Nuppa Site'!K224,"NULL")</f>
        <v>60</v>
      </c>
      <c r="I224" s="0" t="str">
        <f aca="false">"INSERT INTO COTACAO (cot_id, cot_blt_id, cot_pap_id, cot_prc_comum, cot_prc_min, cot_prc_max, cot_prc_med, cot_prc_mediana) VALUES ("&amp;A224&amp;", "&amp;B224&amp;", "&amp;C224&amp;", "&amp;D224&amp;", "&amp;E224&amp;", "&amp;F224&amp;", "&amp;G224&amp;", "&amp;H224&amp;");"</f>
        <v>INSERT INTO COTACAO (cot_id, cot_blt_id, cot_pap_id, cot_prc_comum, cot_prc_min, cot_prc_max, cot_prc_med, cot_prc_mediana) VALUES (223, 42, 29, NULL, 55, 70, 61.67, 60);</v>
      </c>
      <c r="J224" s="0" t="str">
        <f aca="false">"UPDATE COTACAO SET cot_id = "&amp;A224&amp;", cot_blt_id = "&amp;B224&amp;", cot_pap_id = "&amp;C224&amp;", cot_prc_comum = "&amp;D224&amp;", cot_prc_min = "&amp;E224&amp;", cot_prc_max = "&amp;F224&amp;", cot_prc_med = "&amp;G224&amp;", cot_prc_mediana = "&amp;H224&amp;" WHERE cot_id = "&amp;A224&amp;";"</f>
        <v>UPDATE COTACAO SET cot_id = 223, cot_blt_id = 42, cot_pap_id = 29, cot_prc_comum = NULL, cot_prc_min = 55, cot_prc_max = 70, cot_prc_med = 61.67, cot_prc_mediana = 60 WHERE cot_id = 223;</v>
      </c>
    </row>
    <row r="225" customFormat="false" ht="14.25" hidden="false" customHeight="false" outlineLevel="0" collapsed="false">
      <c r="A225" s="0" t="n">
        <v>224</v>
      </c>
      <c r="B225" s="0" t="n">
        <f aca="false">IF('Boletins Nuppa Site'!A225&lt;&gt;0,'Boletins Nuppa Site'!A225,"NULL")</f>
        <v>42</v>
      </c>
      <c r="C225" s="0" t="n">
        <v>30</v>
      </c>
      <c r="D225" s="0" t="str">
        <f aca="false">IF('Boletins Nuppa Site'!G225&lt;&gt;0,'Boletins Nuppa Site'!G225,"NULL")</f>
        <v>NULL</v>
      </c>
      <c r="E225" s="30" t="n">
        <f aca="false">IF('Boletins Nuppa Site'!H225&lt;&gt;0,'Boletins Nuppa Site'!H225,"NULL")</f>
        <v>45</v>
      </c>
      <c r="F225" s="30" t="n">
        <f aca="false">IF('Boletins Nuppa Site'!I225&lt;&gt;0,'Boletins Nuppa Site'!I225,"NULL")</f>
        <v>65</v>
      </c>
      <c r="G225" s="30" t="n">
        <f aca="false">IF('Boletins Nuppa Site'!J225&lt;&gt;0,'Boletins Nuppa Site'!J225,"NULL")</f>
        <v>55</v>
      </c>
      <c r="H225" s="30" t="n">
        <f aca="false">IF('Boletins Nuppa Site'!K225&lt;&gt;0,'Boletins Nuppa Site'!K225,"NULL")</f>
        <v>55</v>
      </c>
      <c r="I225" s="0" t="str">
        <f aca="false">"INSERT INTO COTACAO (cot_id, cot_blt_id, cot_pap_id, cot_prc_comum, cot_prc_min, cot_prc_max, cot_prc_med, cot_prc_mediana) VALUES ("&amp;A225&amp;", "&amp;B225&amp;", "&amp;C225&amp;", "&amp;D225&amp;", "&amp;E225&amp;", "&amp;F225&amp;", "&amp;G225&amp;", "&amp;H225&amp;");"</f>
        <v>INSERT INTO COTACAO (cot_id, cot_blt_id, cot_pap_id, cot_prc_comum, cot_prc_min, cot_prc_max, cot_prc_med, cot_prc_mediana) VALUES (224, 42, 30, NULL, 45, 65, 55, 55);</v>
      </c>
      <c r="J225" s="0" t="str">
        <f aca="false">"UPDATE COTACAO SET cot_id = "&amp;A225&amp;", cot_blt_id = "&amp;B225&amp;", cot_pap_id = "&amp;C225&amp;", cot_prc_comum = "&amp;D225&amp;", cot_prc_min = "&amp;E225&amp;", cot_prc_max = "&amp;F225&amp;", cot_prc_med = "&amp;G225&amp;", cot_prc_mediana = "&amp;H225&amp;" WHERE cot_id = "&amp;A225&amp;";"</f>
        <v>UPDATE COTACAO SET cot_id = 224, cot_blt_id = 42, cot_pap_id = 30, cot_prc_comum = NULL, cot_prc_min = 45, cot_prc_max = 65, cot_prc_med = 55, cot_prc_mediana = 55 WHERE cot_id = 224;</v>
      </c>
    </row>
    <row r="226" customFormat="false" ht="14.25" hidden="false" customHeight="false" outlineLevel="0" collapsed="false">
      <c r="A226" s="0" t="n">
        <v>225</v>
      </c>
      <c r="B226" s="0" t="n">
        <f aca="false">IF('Boletins Nuppa Site'!A226&lt;&gt;0,'Boletins Nuppa Site'!A226,"NULL")</f>
        <v>42</v>
      </c>
      <c r="C226" s="0" t="n">
        <v>31</v>
      </c>
      <c r="D226" s="30" t="n">
        <f aca="false">IF('Boletins Nuppa Site'!G226&lt;&gt;0,'Boletins Nuppa Site'!G226,"NULL")</f>
        <v>85</v>
      </c>
      <c r="E226" s="30" t="n">
        <f aca="false">IF('Boletins Nuppa Site'!H226&lt;&gt;0,'Boletins Nuppa Site'!H226,"NULL")</f>
        <v>50</v>
      </c>
      <c r="F226" s="30" t="n">
        <f aca="false">IF('Boletins Nuppa Site'!I226&lt;&gt;0,'Boletins Nuppa Site'!I226,"NULL")</f>
        <v>85</v>
      </c>
      <c r="G226" s="0" t="str">
        <f aca="false">IF('Boletins Nuppa Site'!J226&lt;&gt;0,'Boletins Nuppa Site'!J226,"NULL")</f>
        <v>72.14</v>
      </c>
      <c r="H226" s="30" t="n">
        <f aca="false">IF('Boletins Nuppa Site'!K226&lt;&gt;0,'Boletins Nuppa Site'!K226,"NULL")</f>
        <v>75</v>
      </c>
      <c r="I226" s="0" t="str">
        <f aca="false">"INSERT INTO COTACAO (cot_id, cot_blt_id, cot_pap_id, cot_prc_comum, cot_prc_min, cot_prc_max, cot_prc_med, cot_prc_mediana) VALUES ("&amp;A226&amp;", "&amp;B226&amp;", "&amp;C226&amp;", "&amp;D226&amp;", "&amp;E226&amp;", "&amp;F226&amp;", "&amp;G226&amp;", "&amp;H226&amp;");"</f>
        <v>INSERT INTO COTACAO (cot_id, cot_blt_id, cot_pap_id, cot_prc_comum, cot_prc_min, cot_prc_max, cot_prc_med, cot_prc_mediana) VALUES (225, 42, 31, 85, 50, 85, 72.14, 75);</v>
      </c>
      <c r="J226" s="0" t="str">
        <f aca="false">"UPDATE COTACAO SET cot_id = "&amp;A226&amp;", cot_blt_id = "&amp;B226&amp;", cot_pap_id = "&amp;C226&amp;", cot_prc_comum = "&amp;D226&amp;", cot_prc_min = "&amp;E226&amp;", cot_prc_max = "&amp;F226&amp;", cot_prc_med = "&amp;G226&amp;", cot_prc_mediana = "&amp;H226&amp;" WHERE cot_id = "&amp;A226&amp;";"</f>
        <v>UPDATE COTACAO SET cot_id = 225, cot_blt_id = 42, cot_pap_id = 31, cot_prc_comum = 85, cot_prc_min = 50, cot_prc_max = 85, cot_prc_med = 72.14, cot_prc_mediana = 75 WHERE cot_id = 225;</v>
      </c>
    </row>
    <row r="227" customFormat="false" ht="14.25" hidden="false" customHeight="false" outlineLevel="0" collapsed="false">
      <c r="A227" s="0" t="n">
        <v>226</v>
      </c>
      <c r="B227" s="0" t="n">
        <f aca="false">IF('Boletins Nuppa Site'!A227&lt;&gt;0,'Boletins Nuppa Site'!A227,"NULL")</f>
        <v>42</v>
      </c>
      <c r="C227" s="0" t="n">
        <v>32</v>
      </c>
      <c r="D227" s="30" t="n">
        <f aca="false">IF('Boletins Nuppa Site'!G227&lt;&gt;0,'Boletins Nuppa Site'!G227,"NULL")</f>
        <v>30</v>
      </c>
      <c r="E227" s="30" t="n">
        <f aca="false">IF('Boletins Nuppa Site'!H227&lt;&gt;0,'Boletins Nuppa Site'!H227,"NULL")</f>
        <v>20</v>
      </c>
      <c r="F227" s="30" t="n">
        <f aca="false">IF('Boletins Nuppa Site'!I227&lt;&gt;0,'Boletins Nuppa Site'!I227,"NULL")</f>
        <v>50</v>
      </c>
      <c r="G227" s="30" t="n">
        <f aca="false">IF('Boletins Nuppa Site'!J227&lt;&gt;0,'Boletins Nuppa Site'!J227,"NULL")</f>
        <v>35</v>
      </c>
      <c r="H227" s="30" t="n">
        <f aca="false">IF('Boletins Nuppa Site'!K227&lt;&gt;0,'Boletins Nuppa Site'!K227,"NULL")</f>
        <v>35</v>
      </c>
      <c r="I227" s="0" t="str">
        <f aca="false">"INSERT INTO COTACAO (cot_id, cot_blt_id, cot_pap_id, cot_prc_comum, cot_prc_min, cot_prc_max, cot_prc_med, cot_prc_mediana) VALUES ("&amp;A227&amp;", "&amp;B227&amp;", "&amp;C227&amp;", "&amp;D227&amp;", "&amp;E227&amp;", "&amp;F227&amp;", "&amp;G227&amp;", "&amp;H227&amp;");"</f>
        <v>INSERT INTO COTACAO (cot_id, cot_blt_id, cot_pap_id, cot_prc_comum, cot_prc_min, cot_prc_max, cot_prc_med, cot_prc_mediana) VALUES (226, 42, 32, 30, 20, 50, 35, 35);</v>
      </c>
      <c r="J227" s="0" t="str">
        <f aca="false">"UPDATE COTACAO SET cot_id = "&amp;A227&amp;", cot_blt_id = "&amp;B227&amp;", cot_pap_id = "&amp;C227&amp;", cot_prc_comum = "&amp;D227&amp;", cot_prc_min = "&amp;E227&amp;", cot_prc_max = "&amp;F227&amp;", cot_prc_med = "&amp;G227&amp;", cot_prc_mediana = "&amp;H227&amp;" WHERE cot_id = "&amp;A227&amp;";"</f>
        <v>UPDATE COTACAO SET cot_id = 226, cot_blt_id = 42, cot_pap_id = 32, cot_prc_comum = 30, cot_prc_min = 20, cot_prc_max = 50, cot_prc_med = 35, cot_prc_mediana = 35 WHERE cot_id = 226;</v>
      </c>
    </row>
    <row r="228" customFormat="false" ht="14.25" hidden="false" customHeight="false" outlineLevel="0" collapsed="false">
      <c r="A228" s="0" t="n">
        <v>227</v>
      </c>
      <c r="B228" s="0" t="n">
        <f aca="false">IF('Boletins Nuppa Site'!A228&lt;&gt;0,'Boletins Nuppa Site'!A228,"NULL")</f>
        <v>42</v>
      </c>
      <c r="C228" s="0" t="n">
        <v>33</v>
      </c>
      <c r="D228" s="30" t="n">
        <f aca="false">IF('Boletins Nuppa Site'!G228&lt;&gt;0,'Boletins Nuppa Site'!G228,"NULL")</f>
        <v>80</v>
      </c>
      <c r="E228" s="30" t="n">
        <f aca="false">IF('Boletins Nuppa Site'!H228&lt;&gt;0,'Boletins Nuppa Site'!H228,"NULL")</f>
        <v>50</v>
      </c>
      <c r="F228" s="30" t="n">
        <f aca="false">IF('Boletins Nuppa Site'!I228&lt;&gt;0,'Boletins Nuppa Site'!I228,"NULL")</f>
        <v>80</v>
      </c>
      <c r="G228" s="0" t="str">
        <f aca="false">IF('Boletins Nuppa Site'!J228&lt;&gt;0,'Boletins Nuppa Site'!J228,"NULL")</f>
        <v>73.13</v>
      </c>
      <c r="H228" s="0" t="str">
        <f aca="false">IF('Boletins Nuppa Site'!K228&lt;&gt;0,'Boletins Nuppa Site'!K228,"NULL")</f>
        <v>77.5</v>
      </c>
      <c r="I228" s="0" t="str">
        <f aca="false">"INSERT INTO COTACAO (cot_id, cot_blt_id, cot_pap_id, cot_prc_comum, cot_prc_min, cot_prc_max, cot_prc_med, cot_prc_mediana) VALUES ("&amp;A228&amp;", "&amp;B228&amp;", "&amp;C228&amp;", "&amp;D228&amp;", "&amp;E228&amp;", "&amp;F228&amp;", "&amp;G228&amp;", "&amp;H228&amp;");"</f>
        <v>INSERT INTO COTACAO (cot_id, cot_blt_id, cot_pap_id, cot_prc_comum, cot_prc_min, cot_prc_max, cot_prc_med, cot_prc_mediana) VALUES (227, 42, 33, 80, 50, 80, 73.13, 77.5);</v>
      </c>
      <c r="J228" s="0" t="str">
        <f aca="false">"UPDATE COTACAO SET cot_id = "&amp;A228&amp;", cot_blt_id = "&amp;B228&amp;", cot_pap_id = "&amp;C228&amp;", cot_prc_comum = "&amp;D228&amp;", cot_prc_min = "&amp;E228&amp;", cot_prc_max = "&amp;F228&amp;", cot_prc_med = "&amp;G228&amp;", cot_prc_mediana = "&amp;H228&amp;" WHERE cot_id = "&amp;A228&amp;";"</f>
        <v>UPDATE COTACAO SET cot_id = 227, cot_blt_id = 42, cot_pap_id = 33, cot_prc_comum = 80, cot_prc_min = 50, cot_prc_max = 80, cot_prc_med = 73.13, cot_prc_mediana = 77.5 WHERE cot_id = 227;</v>
      </c>
    </row>
    <row r="229" customFormat="false" ht="14.25" hidden="false" customHeight="false" outlineLevel="0" collapsed="false">
      <c r="A229" s="0" t="n">
        <v>228</v>
      </c>
      <c r="B229" s="0" t="n">
        <f aca="false">IF('Boletins Nuppa Site'!A229&lt;&gt;0,'Boletins Nuppa Site'!A229,"NULL")</f>
        <v>42</v>
      </c>
      <c r="C229" s="0" t="n">
        <v>34</v>
      </c>
      <c r="D229" s="30" t="n">
        <f aca="false">IF('Boletins Nuppa Site'!G229&lt;&gt;0,'Boletins Nuppa Site'!G229,"NULL")</f>
        <v>100</v>
      </c>
      <c r="E229" s="30" t="n">
        <f aca="false">IF('Boletins Nuppa Site'!H229&lt;&gt;0,'Boletins Nuppa Site'!H229,"NULL")</f>
        <v>75</v>
      </c>
      <c r="F229" s="30" t="n">
        <f aca="false">IF('Boletins Nuppa Site'!I229&lt;&gt;0,'Boletins Nuppa Site'!I229,"NULL")</f>
        <v>100</v>
      </c>
      <c r="G229" s="30" t="n">
        <f aca="false">IF('Boletins Nuppa Site'!J229&lt;&gt;0,'Boletins Nuppa Site'!J229,"NULL")</f>
        <v>90</v>
      </c>
      <c r="H229" s="30" t="n">
        <f aca="false">IF('Boletins Nuppa Site'!K229&lt;&gt;0,'Boletins Nuppa Site'!K229,"NULL")</f>
        <v>95</v>
      </c>
      <c r="I229" s="0" t="str">
        <f aca="false">"INSERT INTO COTACAO (cot_id, cot_blt_id, cot_pap_id, cot_prc_comum, cot_prc_min, cot_prc_max, cot_prc_med, cot_prc_mediana) VALUES ("&amp;A229&amp;", "&amp;B229&amp;", "&amp;C229&amp;", "&amp;D229&amp;", "&amp;E229&amp;", "&amp;F229&amp;", "&amp;G229&amp;", "&amp;H229&amp;");"</f>
        <v>INSERT INTO COTACAO (cot_id, cot_blt_id, cot_pap_id, cot_prc_comum, cot_prc_min, cot_prc_max, cot_prc_med, cot_prc_mediana) VALUES (228, 42, 34, 100, 75, 100, 90, 95);</v>
      </c>
      <c r="J229" s="0" t="str">
        <f aca="false">"UPDATE COTACAO SET cot_id = "&amp;A229&amp;", cot_blt_id = "&amp;B229&amp;", cot_pap_id = "&amp;C229&amp;", cot_prc_comum = "&amp;D229&amp;", cot_prc_min = "&amp;E229&amp;", cot_prc_max = "&amp;F229&amp;", cot_prc_med = "&amp;G229&amp;", cot_prc_mediana = "&amp;H229&amp;" WHERE cot_id = "&amp;A229&amp;";"</f>
        <v>UPDATE COTACAO SET cot_id = 228, cot_blt_id = 42, cot_pap_id = 34, cot_prc_comum = 100, cot_prc_min = 75, cot_prc_max = 100, cot_prc_med = 90, cot_prc_mediana = 95 WHERE cot_id = 228;</v>
      </c>
    </row>
    <row r="230" customFormat="false" ht="14.25" hidden="false" customHeight="false" outlineLevel="0" collapsed="false">
      <c r="A230" s="0" t="n">
        <v>229</v>
      </c>
      <c r="B230" s="0" t="n">
        <f aca="false">IF('Boletins Nuppa Site'!A230&lt;&gt;0,'Boletins Nuppa Site'!A230,"NULL")</f>
        <v>42</v>
      </c>
      <c r="C230" s="0" t="n">
        <v>35</v>
      </c>
      <c r="D230" s="30" t="n">
        <f aca="false">IF('Boletins Nuppa Site'!G230&lt;&gt;0,'Boletins Nuppa Site'!G230,"NULL")</f>
        <v>120</v>
      </c>
      <c r="E230" s="30" t="n">
        <f aca="false">IF('Boletins Nuppa Site'!H230&lt;&gt;0,'Boletins Nuppa Site'!H230,"NULL")</f>
        <v>110</v>
      </c>
      <c r="F230" s="30" t="n">
        <f aca="false">IF('Boletins Nuppa Site'!I230&lt;&gt;0,'Boletins Nuppa Site'!I230,"NULL")</f>
        <v>130</v>
      </c>
      <c r="G230" s="30" t="n">
        <f aca="false">IF('Boletins Nuppa Site'!J230&lt;&gt;0,'Boletins Nuppa Site'!J230,"NULL")</f>
        <v>120</v>
      </c>
      <c r="H230" s="30" t="n">
        <f aca="false">IF('Boletins Nuppa Site'!K230&lt;&gt;0,'Boletins Nuppa Site'!K230,"NULL")</f>
        <v>120</v>
      </c>
      <c r="I230" s="0" t="str">
        <f aca="false">"INSERT INTO COTACAO (cot_id, cot_blt_id, cot_pap_id, cot_prc_comum, cot_prc_min, cot_prc_max, cot_prc_med, cot_prc_mediana) VALUES ("&amp;A230&amp;", "&amp;B230&amp;", "&amp;C230&amp;", "&amp;D230&amp;", "&amp;E230&amp;", "&amp;F230&amp;", "&amp;G230&amp;", "&amp;H230&amp;");"</f>
        <v>INSERT INTO COTACAO (cot_id, cot_blt_id, cot_pap_id, cot_prc_comum, cot_prc_min, cot_prc_max, cot_prc_med, cot_prc_mediana) VALUES (229, 42, 35, 120, 110, 130, 120, 120);</v>
      </c>
      <c r="J230" s="0" t="str">
        <f aca="false">"UPDATE COTACAO SET cot_id = "&amp;A230&amp;", cot_blt_id = "&amp;B230&amp;", cot_pap_id = "&amp;C230&amp;", cot_prc_comum = "&amp;D230&amp;", cot_prc_min = "&amp;E230&amp;", cot_prc_max = "&amp;F230&amp;", cot_prc_med = "&amp;G230&amp;", cot_prc_mediana = "&amp;H230&amp;" WHERE cot_id = "&amp;A230&amp;";"</f>
        <v>UPDATE COTACAO SET cot_id = 229, cot_blt_id = 42, cot_pap_id = 35, cot_prc_comum = 120, cot_prc_min = 110, cot_prc_max = 130, cot_prc_med = 120, cot_prc_mediana = 120 WHERE cot_id = 229;</v>
      </c>
    </row>
    <row r="231" customFormat="false" ht="14.25" hidden="false" customHeight="false" outlineLevel="0" collapsed="false">
      <c r="A231" s="0" t="n">
        <v>230</v>
      </c>
      <c r="B231" s="0" t="n">
        <f aca="false">IF('Boletins Nuppa Site'!A231&lt;&gt;0,'Boletins Nuppa Site'!A231,"NULL")</f>
        <v>42</v>
      </c>
      <c r="C231" s="0" t="n">
        <v>36</v>
      </c>
      <c r="D231" s="0" t="str">
        <f aca="false">IF('Boletins Nuppa Site'!G231&lt;&gt;0,'Boletins Nuppa Site'!G231,"NULL")</f>
        <v>NULL</v>
      </c>
      <c r="E231" s="0" t="str">
        <f aca="false">IF('Boletins Nuppa Site'!H231&lt;&gt;0,'Boletins Nuppa Site'!H231,"NULL")</f>
        <v>NULL</v>
      </c>
      <c r="F231" s="0" t="str">
        <f aca="false">IF('Boletins Nuppa Site'!I231&lt;&gt;0,'Boletins Nuppa Site'!I231,"NULL")</f>
        <v>NULL</v>
      </c>
      <c r="G231" s="0" t="str">
        <f aca="false">IF('Boletins Nuppa Site'!J231&lt;&gt;0,'Boletins Nuppa Site'!J231,"NULL")</f>
        <v>NULL</v>
      </c>
      <c r="H231" s="0" t="str">
        <f aca="false">IF('Boletins Nuppa Site'!K231&lt;&gt;0,'Boletins Nuppa Site'!K231,"NULL")</f>
        <v>NULL</v>
      </c>
      <c r="I231" s="0" t="str">
        <f aca="false">"INSERT INTO COTACAO (cot_id, cot_blt_id, cot_pap_id, cot_prc_comum, cot_prc_min, cot_prc_max, cot_prc_med, cot_prc_mediana) VALUES ("&amp;A231&amp;", "&amp;B231&amp;", "&amp;C231&amp;", "&amp;D231&amp;", "&amp;E231&amp;", "&amp;F231&amp;", "&amp;G231&amp;", "&amp;H231&amp;");"</f>
        <v>INSERT INTO COTACAO (cot_id, cot_blt_id, cot_pap_id, cot_prc_comum, cot_prc_min, cot_prc_max, cot_prc_med, cot_prc_mediana) VALUES (230, 42, 36, NULL, NULL, NULL, NULL, NULL);</v>
      </c>
      <c r="J231" s="0" t="str">
        <f aca="false">"UPDATE COTACAO SET cot_id = "&amp;A231&amp;", cot_blt_id = "&amp;B231&amp;", cot_pap_id = "&amp;C231&amp;", cot_prc_comum = "&amp;D231&amp;", cot_prc_min = "&amp;E231&amp;", cot_prc_max = "&amp;F231&amp;", cot_prc_med = "&amp;G231&amp;", cot_prc_mediana = "&amp;H231&amp;" WHERE cot_id = "&amp;A231&amp;";"</f>
        <v>UPDATE COTACAO SET cot_id = 230, cot_blt_id = 42, cot_pap_id = 36, cot_prc_comum = NULL, cot_prc_min = NULL, cot_prc_max = NULL, cot_prc_med = NULL, cot_prc_mediana = NULL WHERE cot_id = 230;</v>
      </c>
    </row>
    <row r="232" customFormat="false" ht="14.25" hidden="false" customHeight="false" outlineLevel="0" collapsed="false">
      <c r="A232" s="0" t="n">
        <v>231</v>
      </c>
      <c r="B232" s="0" t="n">
        <f aca="false">IF('Boletins Nuppa Site'!A232&lt;&gt;0,'Boletins Nuppa Site'!A232,"NULL")</f>
        <v>42</v>
      </c>
      <c r="C232" s="0" t="n">
        <v>37</v>
      </c>
      <c r="D232" s="0" t="str">
        <f aca="false">IF('Boletins Nuppa Site'!G232&lt;&gt;0,'Boletins Nuppa Site'!G232,"NULL")</f>
        <v>NULL</v>
      </c>
      <c r="E232" s="0" t="str">
        <f aca="false">IF('Boletins Nuppa Site'!H232&lt;&gt;0,'Boletins Nuppa Site'!H232,"NULL")</f>
        <v>NULL</v>
      </c>
      <c r="F232" s="0" t="str">
        <f aca="false">IF('Boletins Nuppa Site'!I232&lt;&gt;0,'Boletins Nuppa Site'!I232,"NULL")</f>
        <v>NULL</v>
      </c>
      <c r="G232" s="0" t="str">
        <f aca="false">IF('Boletins Nuppa Site'!J232&lt;&gt;0,'Boletins Nuppa Site'!J232,"NULL")</f>
        <v>NULL</v>
      </c>
      <c r="H232" s="0" t="str">
        <f aca="false">IF('Boletins Nuppa Site'!K232&lt;&gt;0,'Boletins Nuppa Site'!K232,"NULL")</f>
        <v>NULL</v>
      </c>
      <c r="I232" s="0" t="str">
        <f aca="false">"INSERT INTO COTACAO (cot_id, cot_blt_id, cot_pap_id, cot_prc_comum, cot_prc_min, cot_prc_max, cot_prc_med, cot_prc_mediana) VALUES ("&amp;A232&amp;", "&amp;B232&amp;", "&amp;C232&amp;", "&amp;D232&amp;", "&amp;E232&amp;", "&amp;F232&amp;", "&amp;G232&amp;", "&amp;H232&amp;");"</f>
        <v>INSERT INTO COTACAO (cot_id, cot_blt_id, cot_pap_id, cot_prc_comum, cot_prc_min, cot_prc_max, cot_prc_med, cot_prc_mediana) VALUES (231, 42, 37, NULL, NULL, NULL, NULL, NULL);</v>
      </c>
      <c r="J232" s="0" t="str">
        <f aca="false">"UPDATE COTACAO SET cot_id = "&amp;A232&amp;", cot_blt_id = "&amp;B232&amp;", cot_pap_id = "&amp;C232&amp;", cot_prc_comum = "&amp;D232&amp;", cot_prc_min = "&amp;E232&amp;", cot_prc_max = "&amp;F232&amp;", cot_prc_med = "&amp;G232&amp;", cot_prc_mediana = "&amp;H232&amp;" WHERE cot_id = "&amp;A232&amp;";"</f>
        <v>UPDATE COTACAO SET cot_id = 231, cot_blt_id = 42, cot_pap_id = 37, cot_prc_comum = NULL, cot_prc_min = NULL, cot_prc_max = NULL, cot_prc_med = NULL, cot_prc_mediana = NULL WHERE cot_id = 231;</v>
      </c>
    </row>
    <row r="233" customFormat="false" ht="14.25" hidden="false" customHeight="false" outlineLevel="0" collapsed="false">
      <c r="A233" s="0" t="n">
        <v>232</v>
      </c>
      <c r="B233" s="0" t="n">
        <f aca="false">IF('Boletins Nuppa Site'!A233&lt;&gt;0,'Boletins Nuppa Site'!A233,"NULL")</f>
        <v>42</v>
      </c>
      <c r="C233" s="0" t="n">
        <v>38</v>
      </c>
      <c r="D233" s="0" t="str">
        <f aca="false">IF('Boletins Nuppa Site'!G233&lt;&gt;0,'Boletins Nuppa Site'!G233,"NULL")</f>
        <v>NULL</v>
      </c>
      <c r="E233" s="0" t="str">
        <f aca="false">IF('Boletins Nuppa Site'!H233&lt;&gt;0,'Boletins Nuppa Site'!H233,"NULL")</f>
        <v>NULL</v>
      </c>
      <c r="F233" s="0" t="str">
        <f aca="false">IF('Boletins Nuppa Site'!I233&lt;&gt;0,'Boletins Nuppa Site'!I233,"NULL")</f>
        <v>NULL</v>
      </c>
      <c r="G233" s="0" t="str">
        <f aca="false">IF('Boletins Nuppa Site'!J233&lt;&gt;0,'Boletins Nuppa Site'!J233,"NULL")</f>
        <v>NULL</v>
      </c>
      <c r="H233" s="0" t="str">
        <f aca="false">IF('Boletins Nuppa Site'!K233&lt;&gt;0,'Boletins Nuppa Site'!K233,"NULL")</f>
        <v>NULL</v>
      </c>
      <c r="I233" s="0" t="str">
        <f aca="false">"INSERT INTO COTACAO (cot_id, cot_blt_id, cot_pap_id, cot_prc_comum, cot_prc_min, cot_prc_max, cot_prc_med, cot_prc_mediana) VALUES ("&amp;A233&amp;", "&amp;B233&amp;", "&amp;C233&amp;", "&amp;D233&amp;", "&amp;E233&amp;", "&amp;F233&amp;", "&amp;G233&amp;", "&amp;H233&amp;");"</f>
        <v>INSERT INTO COTACAO (cot_id, cot_blt_id, cot_pap_id, cot_prc_comum, cot_prc_min, cot_prc_max, cot_prc_med, cot_prc_mediana) VALUES (232, 42, 38, NULL, NULL, NULL, NULL, NULL);</v>
      </c>
      <c r="J233" s="0" t="str">
        <f aca="false">"UPDATE COTACAO SET cot_id = "&amp;A233&amp;", cot_blt_id = "&amp;B233&amp;", cot_pap_id = "&amp;C233&amp;", cot_prc_comum = "&amp;D233&amp;", cot_prc_min = "&amp;E233&amp;", cot_prc_max = "&amp;F233&amp;", cot_prc_med = "&amp;G233&amp;", cot_prc_mediana = "&amp;H233&amp;" WHERE cot_id = "&amp;A233&amp;";"</f>
        <v>UPDATE COTACAO SET cot_id = 232, cot_blt_id = 42, cot_pap_id = 38, cot_prc_comum = NULL, cot_prc_min = NULL, cot_prc_max = NULL, cot_prc_med = NULL, cot_prc_mediana = NULL WHERE cot_id = 232;</v>
      </c>
    </row>
    <row r="234" customFormat="false" ht="14.25" hidden="false" customHeight="false" outlineLevel="0" collapsed="false">
      <c r="A234" s="0" t="n">
        <v>233</v>
      </c>
      <c r="B234" s="0" t="n">
        <f aca="false">IF('Boletins Nuppa Site'!A234&lt;&gt;0,'Boletins Nuppa Site'!A234,"NULL")</f>
        <v>42</v>
      </c>
      <c r="C234" s="0" t="n">
        <v>40</v>
      </c>
      <c r="D234" s="0" t="str">
        <f aca="false">IF('Boletins Nuppa Site'!G234&lt;&gt;0,'Boletins Nuppa Site'!G234,"NULL")</f>
        <v>NULL</v>
      </c>
      <c r="E234" s="0" t="str">
        <f aca="false">IF('Boletins Nuppa Site'!H234&lt;&gt;0,'Boletins Nuppa Site'!H234,"NULL")</f>
        <v>NULL</v>
      </c>
      <c r="F234" s="0" t="str">
        <f aca="false">IF('Boletins Nuppa Site'!I234&lt;&gt;0,'Boletins Nuppa Site'!I234,"NULL")</f>
        <v>NULL</v>
      </c>
      <c r="G234" s="0" t="str">
        <f aca="false">IF('Boletins Nuppa Site'!J234&lt;&gt;0,'Boletins Nuppa Site'!J234,"NULL")</f>
        <v>NULL</v>
      </c>
      <c r="H234" s="0" t="str">
        <f aca="false">IF('Boletins Nuppa Site'!K234&lt;&gt;0,'Boletins Nuppa Site'!K234,"NULL")</f>
        <v>NULL</v>
      </c>
      <c r="I234" s="0" t="str">
        <f aca="false">"INSERT INTO COTACAO (cot_id, cot_blt_id, cot_pap_id, cot_prc_comum, cot_prc_min, cot_prc_max, cot_prc_med, cot_prc_mediana) VALUES ("&amp;A234&amp;", "&amp;B234&amp;", "&amp;C234&amp;", "&amp;D234&amp;", "&amp;E234&amp;", "&amp;F234&amp;", "&amp;G234&amp;", "&amp;H234&amp;");"</f>
        <v>INSERT INTO COTACAO (cot_id, cot_blt_id, cot_pap_id, cot_prc_comum, cot_prc_min, cot_prc_max, cot_prc_med, cot_prc_mediana) VALUES (233, 42, 40, NULL, NULL, NULL, NULL, NULL);</v>
      </c>
      <c r="J234" s="0" t="str">
        <f aca="false">"UPDATE COTACAO SET cot_id = "&amp;A234&amp;", cot_blt_id = "&amp;B234&amp;", cot_pap_id = "&amp;C234&amp;", cot_prc_comum = "&amp;D234&amp;", cot_prc_min = "&amp;E234&amp;", cot_prc_max = "&amp;F234&amp;", cot_prc_med = "&amp;G234&amp;", cot_prc_mediana = "&amp;H234&amp;" WHERE cot_id = "&amp;A234&amp;";"</f>
        <v>UPDATE COTACAO SET cot_id = 233, cot_blt_id = 42, cot_pap_id = 40, cot_prc_comum = NULL, cot_prc_min = NULL, cot_prc_max = NULL, cot_prc_med = NULL, cot_prc_mediana = NULL WHERE cot_id = 233;</v>
      </c>
    </row>
    <row r="235" customFormat="false" ht="14.25" hidden="false" customHeight="false" outlineLevel="0" collapsed="false">
      <c r="A235" s="0" t="n">
        <v>234</v>
      </c>
      <c r="B235" s="0" t="n">
        <f aca="false">IF('Boletins Nuppa Site'!A235&lt;&gt;0,'Boletins Nuppa Site'!A235,"NULL")</f>
        <v>43</v>
      </c>
      <c r="C235" s="0" t="n">
        <v>1</v>
      </c>
      <c r="D235" s="30" t="n">
        <f aca="false">IF('Boletins Nuppa Site'!G235&lt;&gt;0,'Boletins Nuppa Site'!G235,"NULL")</f>
        <v>42</v>
      </c>
      <c r="E235" s="30" t="n">
        <f aca="false">IF('Boletins Nuppa Site'!H235&lt;&gt;0,'Boletins Nuppa Site'!H235,"NULL")</f>
        <v>36</v>
      </c>
      <c r="F235" s="30" t="n">
        <f aca="false">IF('Boletins Nuppa Site'!I235&lt;&gt;0,'Boletins Nuppa Site'!I235,"NULL")</f>
        <v>42</v>
      </c>
      <c r="G235" s="30" t="n">
        <f aca="false">IF('Boletins Nuppa Site'!J235&lt;&gt;0,'Boletins Nuppa Site'!J235,"NULL")</f>
        <v>40</v>
      </c>
      <c r="H235" s="30" t="n">
        <f aca="false">IF('Boletins Nuppa Site'!K235&lt;&gt;0,'Boletins Nuppa Site'!K235,"NULL")</f>
        <v>42</v>
      </c>
      <c r="I235" s="0" t="str">
        <f aca="false">"INSERT INTO COTACAO (cot_id, cot_blt_id, cot_pap_id, cot_prc_comum, cot_prc_min, cot_prc_max, cot_prc_med, cot_prc_mediana) VALUES ("&amp;A235&amp;", "&amp;B235&amp;", "&amp;C235&amp;", "&amp;D235&amp;", "&amp;E235&amp;", "&amp;F235&amp;", "&amp;G235&amp;", "&amp;H235&amp;");"</f>
        <v>INSERT INTO COTACAO (cot_id, cot_blt_id, cot_pap_id, cot_prc_comum, cot_prc_min, cot_prc_max, cot_prc_med, cot_prc_mediana) VALUES (234, 43, 1, 42, 36, 42, 40, 42);</v>
      </c>
      <c r="J235" s="0" t="str">
        <f aca="false">"UPDATE COTACAO SET cot_id = "&amp;A235&amp;", cot_blt_id = "&amp;B235&amp;", cot_pap_id = "&amp;C235&amp;", cot_prc_comum = "&amp;D235&amp;", cot_prc_min = "&amp;E235&amp;", cot_prc_max = "&amp;F235&amp;", cot_prc_med = "&amp;G235&amp;", cot_prc_mediana = "&amp;H235&amp;" WHERE cot_id = "&amp;A235&amp;";"</f>
        <v>UPDATE COTACAO SET cot_id = 234, cot_blt_id = 43, cot_pap_id = 1, cot_prc_comum = 42, cot_prc_min = 36, cot_prc_max = 42, cot_prc_med = 40, cot_prc_mediana = 42 WHERE cot_id = 234;</v>
      </c>
    </row>
    <row r="236" customFormat="false" ht="14.25" hidden="false" customHeight="false" outlineLevel="0" collapsed="false">
      <c r="A236" s="0" t="n">
        <v>235</v>
      </c>
      <c r="B236" s="0" t="n">
        <f aca="false">IF('Boletins Nuppa Site'!A236&lt;&gt;0,'Boletins Nuppa Site'!A236,"NULL")</f>
        <v>43</v>
      </c>
      <c r="C236" s="0" t="n">
        <v>2</v>
      </c>
      <c r="D236" s="30" t="n">
        <f aca="false">IF('Boletins Nuppa Site'!G236&lt;&gt;0,'Boletins Nuppa Site'!G236,"NULL")</f>
        <v>60</v>
      </c>
      <c r="E236" s="30" t="n">
        <f aca="false">IF('Boletins Nuppa Site'!H236&lt;&gt;0,'Boletins Nuppa Site'!H236,"NULL")</f>
        <v>36</v>
      </c>
      <c r="F236" s="30" t="n">
        <f aca="false">IF('Boletins Nuppa Site'!I236&lt;&gt;0,'Boletins Nuppa Site'!I236,"NULL")</f>
        <v>60</v>
      </c>
      <c r="G236" s="30" t="n">
        <f aca="false">IF('Boletins Nuppa Site'!J236&lt;&gt;0,'Boletins Nuppa Site'!J236,"NULL")</f>
        <v>52</v>
      </c>
      <c r="H236" s="30" t="n">
        <f aca="false">IF('Boletins Nuppa Site'!K236&lt;&gt;0,'Boletins Nuppa Site'!K236,"NULL")</f>
        <v>60</v>
      </c>
      <c r="I236" s="0" t="str">
        <f aca="false">"INSERT INTO COTACAO (cot_id, cot_blt_id, cot_pap_id, cot_prc_comum, cot_prc_min, cot_prc_max, cot_prc_med, cot_prc_mediana) VALUES ("&amp;A236&amp;", "&amp;B236&amp;", "&amp;C236&amp;", "&amp;D236&amp;", "&amp;E236&amp;", "&amp;F236&amp;", "&amp;G236&amp;", "&amp;H236&amp;");"</f>
        <v>INSERT INTO COTACAO (cot_id, cot_blt_id, cot_pap_id, cot_prc_comum, cot_prc_min, cot_prc_max, cot_prc_med, cot_prc_mediana) VALUES (235, 43, 2, 60, 36, 60, 52, 60);</v>
      </c>
      <c r="J236" s="0" t="str">
        <f aca="false">"UPDATE COTACAO SET cot_id = "&amp;A236&amp;", cot_blt_id = "&amp;B236&amp;", cot_pap_id = "&amp;C236&amp;", cot_prc_comum = "&amp;D236&amp;", cot_prc_min = "&amp;E236&amp;", cot_prc_max = "&amp;F236&amp;", cot_prc_med = "&amp;G236&amp;", cot_prc_mediana = "&amp;H236&amp;" WHERE cot_id = "&amp;A236&amp;";"</f>
        <v>UPDATE COTACAO SET cot_id = 235, cot_blt_id = 43, cot_pap_id = 2, cot_prc_comum = 60, cot_prc_min = 36, cot_prc_max = 60, cot_prc_med = 52, cot_prc_mediana = 60 WHERE cot_id = 235;</v>
      </c>
    </row>
    <row r="237" customFormat="false" ht="14.25" hidden="false" customHeight="false" outlineLevel="0" collapsed="false">
      <c r="A237" s="0" t="n">
        <v>236</v>
      </c>
      <c r="B237" s="0" t="n">
        <f aca="false">IF('Boletins Nuppa Site'!A237&lt;&gt;0,'Boletins Nuppa Site'!A237,"NULL")</f>
        <v>43</v>
      </c>
      <c r="C237" s="0" t="n">
        <v>3</v>
      </c>
      <c r="D237" s="30" t="n">
        <f aca="false">IF('Boletins Nuppa Site'!G237&lt;&gt;0,'Boletins Nuppa Site'!G237,"NULL")</f>
        <v>36</v>
      </c>
      <c r="E237" s="30" t="n">
        <f aca="false">IF('Boletins Nuppa Site'!H237&lt;&gt;0,'Boletins Nuppa Site'!H237,"NULL")</f>
        <v>36</v>
      </c>
      <c r="F237" s="30" t="n">
        <f aca="false">IF('Boletins Nuppa Site'!I237&lt;&gt;0,'Boletins Nuppa Site'!I237,"NULL")</f>
        <v>42</v>
      </c>
      <c r="G237" s="30" t="n">
        <f aca="false">IF('Boletins Nuppa Site'!J237&lt;&gt;0,'Boletins Nuppa Site'!J237,"NULL")</f>
        <v>38</v>
      </c>
      <c r="H237" s="30" t="n">
        <f aca="false">IF('Boletins Nuppa Site'!K237&lt;&gt;0,'Boletins Nuppa Site'!K237,"NULL")</f>
        <v>36</v>
      </c>
      <c r="I237" s="0" t="str">
        <f aca="false">"INSERT INTO COTACAO (cot_id, cot_blt_id, cot_pap_id, cot_prc_comum, cot_prc_min, cot_prc_max, cot_prc_med, cot_prc_mediana) VALUES ("&amp;A237&amp;", "&amp;B237&amp;", "&amp;C237&amp;", "&amp;D237&amp;", "&amp;E237&amp;", "&amp;F237&amp;", "&amp;G237&amp;", "&amp;H237&amp;");"</f>
        <v>INSERT INTO COTACAO (cot_id, cot_blt_id, cot_pap_id, cot_prc_comum, cot_prc_min, cot_prc_max, cot_prc_med, cot_prc_mediana) VALUES (236, 43, 3, 36, 36, 42, 38, 36);</v>
      </c>
      <c r="J237" s="0" t="str">
        <f aca="false">"UPDATE COTACAO SET cot_id = "&amp;A237&amp;", cot_blt_id = "&amp;B237&amp;", cot_pap_id = "&amp;C237&amp;", cot_prc_comum = "&amp;D237&amp;", cot_prc_min = "&amp;E237&amp;", cot_prc_max = "&amp;F237&amp;", cot_prc_med = "&amp;G237&amp;", cot_prc_mediana = "&amp;H237&amp;" WHERE cot_id = "&amp;A237&amp;";"</f>
        <v>UPDATE COTACAO SET cot_id = 236, cot_blt_id = 43, cot_pap_id = 3, cot_prc_comum = 36, cot_prc_min = 36, cot_prc_max = 42, cot_prc_med = 38, cot_prc_mediana = 36 WHERE cot_id = 236;</v>
      </c>
    </row>
    <row r="238" customFormat="false" ht="14.25" hidden="false" customHeight="false" outlineLevel="0" collapsed="false">
      <c r="A238" s="0" t="n">
        <v>237</v>
      </c>
      <c r="B238" s="0" t="n">
        <f aca="false">IF('Boletins Nuppa Site'!A238&lt;&gt;0,'Boletins Nuppa Site'!A238,"NULL")</f>
        <v>43</v>
      </c>
      <c r="C238" s="0" t="n">
        <v>4</v>
      </c>
      <c r="D238" s="30" t="n">
        <f aca="false">IF('Boletins Nuppa Site'!G238&lt;&gt;0,'Boletins Nuppa Site'!G238,"NULL")</f>
        <v>24</v>
      </c>
      <c r="E238" s="30" t="n">
        <f aca="false">IF('Boletins Nuppa Site'!H238&lt;&gt;0,'Boletins Nuppa Site'!H238,"NULL")</f>
        <v>18</v>
      </c>
      <c r="F238" s="30" t="n">
        <f aca="false">IF('Boletins Nuppa Site'!I238&lt;&gt;0,'Boletins Nuppa Site'!I238,"NULL")</f>
        <v>24</v>
      </c>
      <c r="G238" s="0" t="str">
        <f aca="false">IF('Boletins Nuppa Site'!J238&lt;&gt;0,'Boletins Nuppa Site'!J238,"NULL")</f>
        <v>22.5</v>
      </c>
      <c r="H238" s="30" t="n">
        <f aca="false">IF('Boletins Nuppa Site'!K238&lt;&gt;0,'Boletins Nuppa Site'!K238,"NULL")</f>
        <v>24</v>
      </c>
      <c r="I238" s="0" t="str">
        <f aca="false">"INSERT INTO COTACAO (cot_id, cot_blt_id, cot_pap_id, cot_prc_comum, cot_prc_min, cot_prc_max, cot_prc_med, cot_prc_mediana) VALUES ("&amp;A238&amp;", "&amp;B238&amp;", "&amp;C238&amp;", "&amp;D238&amp;", "&amp;E238&amp;", "&amp;F238&amp;", "&amp;G238&amp;", "&amp;H238&amp;");"</f>
        <v>INSERT INTO COTACAO (cot_id, cot_blt_id, cot_pap_id, cot_prc_comum, cot_prc_min, cot_prc_max, cot_prc_med, cot_prc_mediana) VALUES (237, 43, 4, 24, 18, 24, 22.5, 24);</v>
      </c>
      <c r="J238" s="0" t="str">
        <f aca="false">"UPDATE COTACAO SET cot_id = "&amp;A238&amp;", cot_blt_id = "&amp;B238&amp;", cot_pap_id = "&amp;C238&amp;", cot_prc_comum = "&amp;D238&amp;", cot_prc_min = "&amp;E238&amp;", cot_prc_max = "&amp;F238&amp;", cot_prc_med = "&amp;G238&amp;", cot_prc_mediana = "&amp;H238&amp;" WHERE cot_id = "&amp;A238&amp;";"</f>
        <v>UPDATE COTACAO SET cot_id = 237, cot_blt_id = 43, cot_pap_id = 4, cot_prc_comum = 24, cot_prc_min = 18, cot_prc_max = 24, cot_prc_med = 22.5, cot_prc_mediana = 24 WHERE cot_id = 237;</v>
      </c>
    </row>
    <row r="239" customFormat="false" ht="14.25" hidden="false" customHeight="false" outlineLevel="0" collapsed="false">
      <c r="A239" s="0" t="n">
        <v>238</v>
      </c>
      <c r="B239" s="0" t="n">
        <f aca="false">IF('Boletins Nuppa Site'!A239&lt;&gt;0,'Boletins Nuppa Site'!A239,"NULL")</f>
        <v>43</v>
      </c>
      <c r="C239" s="0" t="n">
        <v>5</v>
      </c>
      <c r="D239" s="30" t="n">
        <f aca="false">IF('Boletins Nuppa Site'!G239&lt;&gt;0,'Boletins Nuppa Site'!G239,"NULL")</f>
        <v>24</v>
      </c>
      <c r="E239" s="30" t="n">
        <f aca="false">IF('Boletins Nuppa Site'!H239&lt;&gt;0,'Boletins Nuppa Site'!H239,"NULL")</f>
        <v>18</v>
      </c>
      <c r="F239" s="30" t="n">
        <f aca="false">IF('Boletins Nuppa Site'!I239&lt;&gt;0,'Boletins Nuppa Site'!I239,"NULL")</f>
        <v>24</v>
      </c>
      <c r="G239" s="30" t="n">
        <f aca="false">IF('Boletins Nuppa Site'!J239&lt;&gt;0,'Boletins Nuppa Site'!J239,"NULL")</f>
        <v>21</v>
      </c>
      <c r="H239" s="30" t="n">
        <f aca="false">IF('Boletins Nuppa Site'!K239&lt;&gt;0,'Boletins Nuppa Site'!K239,"NULL")</f>
        <v>21</v>
      </c>
      <c r="I239" s="0" t="str">
        <f aca="false">"INSERT INTO COTACAO (cot_id, cot_blt_id, cot_pap_id, cot_prc_comum, cot_prc_min, cot_prc_max, cot_prc_med, cot_prc_mediana) VALUES ("&amp;A239&amp;", "&amp;B239&amp;", "&amp;C239&amp;", "&amp;D239&amp;", "&amp;E239&amp;", "&amp;F239&amp;", "&amp;G239&amp;", "&amp;H239&amp;");"</f>
        <v>INSERT INTO COTACAO (cot_id, cot_blt_id, cot_pap_id, cot_prc_comum, cot_prc_min, cot_prc_max, cot_prc_med, cot_prc_mediana) VALUES (238, 43, 5, 24, 18, 24, 21, 21);</v>
      </c>
      <c r="J239" s="0" t="str">
        <f aca="false">"UPDATE COTACAO SET cot_id = "&amp;A239&amp;", cot_blt_id = "&amp;B239&amp;", cot_pap_id = "&amp;C239&amp;", cot_prc_comum = "&amp;D239&amp;", cot_prc_min = "&amp;E239&amp;", cot_prc_max = "&amp;F239&amp;", cot_prc_med = "&amp;G239&amp;", cot_prc_mediana = "&amp;H239&amp;" WHERE cot_id = "&amp;A239&amp;";"</f>
        <v>UPDATE COTACAO SET cot_id = 238, cot_blt_id = 43, cot_pap_id = 5, cot_prc_comum = 24, cot_prc_min = 18, cot_prc_max = 24, cot_prc_med = 21, cot_prc_mediana = 21 WHERE cot_id = 238;</v>
      </c>
    </row>
    <row r="240" customFormat="false" ht="14.25" hidden="false" customHeight="false" outlineLevel="0" collapsed="false">
      <c r="A240" s="0" t="n">
        <v>239</v>
      </c>
      <c r="B240" s="0" t="n">
        <f aca="false">IF('Boletins Nuppa Site'!A240&lt;&gt;0,'Boletins Nuppa Site'!A240,"NULL")</f>
        <v>43</v>
      </c>
      <c r="C240" s="0" t="n">
        <v>6</v>
      </c>
      <c r="D240" s="0" t="str">
        <f aca="false">IF('Boletins Nuppa Site'!G240&lt;&gt;0,'Boletins Nuppa Site'!G240,"NULL")</f>
        <v>NULL</v>
      </c>
      <c r="E240" s="30" t="n">
        <f aca="false">IF('Boletins Nuppa Site'!H240&lt;&gt;0,'Boletins Nuppa Site'!H240,"NULL")</f>
        <v>42</v>
      </c>
      <c r="F240" s="30" t="n">
        <f aca="false">IF('Boletins Nuppa Site'!I240&lt;&gt;0,'Boletins Nuppa Site'!I240,"NULL")</f>
        <v>48</v>
      </c>
      <c r="G240" s="30" t="n">
        <f aca="false">IF('Boletins Nuppa Site'!J240&lt;&gt;0,'Boletins Nuppa Site'!J240,"NULL")</f>
        <v>45</v>
      </c>
      <c r="H240" s="30" t="n">
        <f aca="false">IF('Boletins Nuppa Site'!K240&lt;&gt;0,'Boletins Nuppa Site'!K240,"NULL")</f>
        <v>45</v>
      </c>
      <c r="I240" s="0" t="str">
        <f aca="false">"INSERT INTO COTACAO (cot_id, cot_blt_id, cot_pap_id, cot_prc_comum, cot_prc_min, cot_prc_max, cot_prc_med, cot_prc_mediana) VALUES ("&amp;A240&amp;", "&amp;B240&amp;", "&amp;C240&amp;", "&amp;D240&amp;", "&amp;E240&amp;", "&amp;F240&amp;", "&amp;G240&amp;", "&amp;H240&amp;");"</f>
        <v>INSERT INTO COTACAO (cot_id, cot_blt_id, cot_pap_id, cot_prc_comum, cot_prc_min, cot_prc_max, cot_prc_med, cot_prc_mediana) VALUES (239, 43, 6, NULL, 42, 48, 45, 45);</v>
      </c>
      <c r="J240" s="0" t="str">
        <f aca="false">"UPDATE COTACAO SET cot_id = "&amp;A240&amp;", cot_blt_id = "&amp;B240&amp;", cot_pap_id = "&amp;C240&amp;", cot_prc_comum = "&amp;D240&amp;", cot_prc_min = "&amp;E240&amp;", cot_prc_max = "&amp;F240&amp;", cot_prc_med = "&amp;G240&amp;", cot_prc_mediana = "&amp;H240&amp;" WHERE cot_id = "&amp;A240&amp;";"</f>
        <v>UPDATE COTACAO SET cot_id = 239, cot_blt_id = 43, cot_pap_id = 6, cot_prc_comum = NULL, cot_prc_min = 42, cot_prc_max = 48, cot_prc_med = 45, cot_prc_mediana = 45 WHERE cot_id = 239;</v>
      </c>
    </row>
    <row r="241" customFormat="false" ht="14.25" hidden="false" customHeight="false" outlineLevel="0" collapsed="false">
      <c r="A241" s="0" t="n">
        <v>240</v>
      </c>
      <c r="B241" s="0" t="n">
        <f aca="false">IF('Boletins Nuppa Site'!A241&lt;&gt;0,'Boletins Nuppa Site'!A241,"NULL")</f>
        <v>43</v>
      </c>
      <c r="C241" s="0" t="n">
        <v>7</v>
      </c>
      <c r="D241" s="30" t="n">
        <f aca="false">IF('Boletins Nuppa Site'!G241&lt;&gt;0,'Boletins Nuppa Site'!G241,"NULL")</f>
        <v>60</v>
      </c>
      <c r="E241" s="30" t="n">
        <f aca="false">IF('Boletins Nuppa Site'!H241&lt;&gt;0,'Boletins Nuppa Site'!H241,"NULL")</f>
        <v>60</v>
      </c>
      <c r="F241" s="30" t="n">
        <f aca="false">IF('Boletins Nuppa Site'!I241&lt;&gt;0,'Boletins Nuppa Site'!I241,"NULL")</f>
        <v>60</v>
      </c>
      <c r="G241" s="30" t="n">
        <f aca="false">IF('Boletins Nuppa Site'!J241&lt;&gt;0,'Boletins Nuppa Site'!J241,"NULL")</f>
        <v>60</v>
      </c>
      <c r="H241" s="30" t="n">
        <f aca="false">IF('Boletins Nuppa Site'!K241&lt;&gt;0,'Boletins Nuppa Site'!K241,"NULL")</f>
        <v>60</v>
      </c>
      <c r="I241" s="0" t="str">
        <f aca="false">"INSERT INTO COTACAO (cot_id, cot_blt_id, cot_pap_id, cot_prc_comum, cot_prc_min, cot_prc_max, cot_prc_med, cot_prc_mediana) VALUES ("&amp;A241&amp;", "&amp;B241&amp;", "&amp;C241&amp;", "&amp;D241&amp;", "&amp;E241&amp;", "&amp;F241&amp;", "&amp;G241&amp;", "&amp;H241&amp;");"</f>
        <v>INSERT INTO COTACAO (cot_id, cot_blt_id, cot_pap_id, cot_prc_comum, cot_prc_min, cot_prc_max, cot_prc_med, cot_prc_mediana) VALUES (240, 43, 7, 60, 60, 60, 60, 60);</v>
      </c>
      <c r="J241" s="0" t="str">
        <f aca="false">"UPDATE COTACAO SET cot_id = "&amp;A241&amp;", cot_blt_id = "&amp;B241&amp;", cot_pap_id = "&amp;C241&amp;", cot_prc_comum = "&amp;D241&amp;", cot_prc_min = "&amp;E241&amp;", cot_prc_max = "&amp;F241&amp;", cot_prc_med = "&amp;G241&amp;", cot_prc_mediana = "&amp;H241&amp;" WHERE cot_id = "&amp;A241&amp;";"</f>
        <v>UPDATE COTACAO SET cot_id = 240, cot_blt_id = 43, cot_pap_id = 7, cot_prc_comum = 60, cot_prc_min = 60, cot_prc_max = 60, cot_prc_med = 60, cot_prc_mediana = 60 WHERE cot_id = 240;</v>
      </c>
    </row>
    <row r="242" customFormat="false" ht="14.25" hidden="false" customHeight="false" outlineLevel="0" collapsed="false">
      <c r="A242" s="0" t="n">
        <v>241</v>
      </c>
      <c r="B242" s="0" t="n">
        <f aca="false">IF('Boletins Nuppa Site'!A242&lt;&gt;0,'Boletins Nuppa Site'!A242,"NULL")</f>
        <v>43</v>
      </c>
      <c r="C242" s="0" t="n">
        <v>8</v>
      </c>
      <c r="D242" s="30" t="n">
        <f aca="false">IF('Boletins Nuppa Site'!G242&lt;&gt;0,'Boletins Nuppa Site'!G242,"NULL")</f>
        <v>60</v>
      </c>
      <c r="E242" s="30" t="n">
        <f aca="false">IF('Boletins Nuppa Site'!H242&lt;&gt;0,'Boletins Nuppa Site'!H242,"NULL")</f>
        <v>60</v>
      </c>
      <c r="F242" s="30" t="n">
        <f aca="false">IF('Boletins Nuppa Site'!I242&lt;&gt;0,'Boletins Nuppa Site'!I242,"NULL")</f>
        <v>72</v>
      </c>
      <c r="G242" s="30" t="n">
        <f aca="false">IF('Boletins Nuppa Site'!J242&lt;&gt;0,'Boletins Nuppa Site'!J242,"NULL")</f>
        <v>64</v>
      </c>
      <c r="H242" s="30" t="n">
        <f aca="false">IF('Boletins Nuppa Site'!K242&lt;&gt;0,'Boletins Nuppa Site'!K242,"NULL")</f>
        <v>60</v>
      </c>
      <c r="I242" s="0" t="str">
        <f aca="false">"INSERT INTO COTACAO (cot_id, cot_blt_id, cot_pap_id, cot_prc_comum, cot_prc_min, cot_prc_max, cot_prc_med, cot_prc_mediana) VALUES ("&amp;A242&amp;", "&amp;B242&amp;", "&amp;C242&amp;", "&amp;D242&amp;", "&amp;E242&amp;", "&amp;F242&amp;", "&amp;G242&amp;", "&amp;H242&amp;");"</f>
        <v>INSERT INTO COTACAO (cot_id, cot_blt_id, cot_pap_id, cot_prc_comum, cot_prc_min, cot_prc_max, cot_prc_med, cot_prc_mediana) VALUES (241, 43, 8, 60, 60, 72, 64, 60);</v>
      </c>
      <c r="J242" s="0" t="str">
        <f aca="false">"UPDATE COTACAO SET cot_id = "&amp;A242&amp;", cot_blt_id = "&amp;B242&amp;", cot_pap_id = "&amp;C242&amp;", cot_prc_comum = "&amp;D242&amp;", cot_prc_min = "&amp;E242&amp;", cot_prc_max = "&amp;F242&amp;", cot_prc_med = "&amp;G242&amp;", cot_prc_mediana = "&amp;H242&amp;" WHERE cot_id = "&amp;A242&amp;";"</f>
        <v>UPDATE COTACAO SET cot_id = 241, cot_blt_id = 43, cot_pap_id = 8, cot_prc_comum = 60, cot_prc_min = 60, cot_prc_max = 72, cot_prc_med = 64, cot_prc_mediana = 60 WHERE cot_id = 241;</v>
      </c>
    </row>
    <row r="243" customFormat="false" ht="14.25" hidden="false" customHeight="false" outlineLevel="0" collapsed="false">
      <c r="A243" s="0" t="n">
        <v>242</v>
      </c>
      <c r="B243" s="0" t="n">
        <f aca="false">IF('Boletins Nuppa Site'!A243&lt;&gt;0,'Boletins Nuppa Site'!A243,"NULL")</f>
        <v>43</v>
      </c>
      <c r="C243" s="0" t="n">
        <v>9</v>
      </c>
      <c r="D243" s="30" t="n">
        <f aca="false">IF('Boletins Nuppa Site'!G243&lt;&gt;0,'Boletins Nuppa Site'!G243,"NULL")</f>
        <v>15</v>
      </c>
      <c r="E243" s="30" t="n">
        <f aca="false">IF('Boletins Nuppa Site'!H243&lt;&gt;0,'Boletins Nuppa Site'!H243,"NULL")</f>
        <v>15</v>
      </c>
      <c r="F243" s="30" t="n">
        <f aca="false">IF('Boletins Nuppa Site'!I243&lt;&gt;0,'Boletins Nuppa Site'!I243,"NULL")</f>
        <v>24</v>
      </c>
      <c r="G243" s="30" t="n">
        <f aca="false">IF('Boletins Nuppa Site'!J243&lt;&gt;0,'Boletins Nuppa Site'!J243,"NULL")</f>
        <v>18</v>
      </c>
      <c r="H243" s="30" t="n">
        <f aca="false">IF('Boletins Nuppa Site'!K243&lt;&gt;0,'Boletins Nuppa Site'!K243,"NULL")</f>
        <v>15</v>
      </c>
      <c r="I243" s="0" t="str">
        <f aca="false">"INSERT INTO COTACAO (cot_id, cot_blt_id, cot_pap_id, cot_prc_comum, cot_prc_min, cot_prc_max, cot_prc_med, cot_prc_mediana) VALUES ("&amp;A243&amp;", "&amp;B243&amp;", "&amp;C243&amp;", "&amp;D243&amp;", "&amp;E243&amp;", "&amp;F243&amp;", "&amp;G243&amp;", "&amp;H243&amp;");"</f>
        <v>INSERT INTO COTACAO (cot_id, cot_blt_id, cot_pap_id, cot_prc_comum, cot_prc_min, cot_prc_max, cot_prc_med, cot_prc_mediana) VALUES (242, 43, 9, 15, 15, 24, 18, 15);</v>
      </c>
      <c r="J243" s="0" t="str">
        <f aca="false">"UPDATE COTACAO SET cot_id = "&amp;A243&amp;", cot_blt_id = "&amp;B243&amp;", cot_pap_id = "&amp;C243&amp;", cot_prc_comum = "&amp;D243&amp;", cot_prc_min = "&amp;E243&amp;", cot_prc_max = "&amp;F243&amp;", cot_prc_med = "&amp;G243&amp;", cot_prc_mediana = "&amp;H243&amp;" WHERE cot_id = "&amp;A243&amp;";"</f>
        <v>UPDATE COTACAO SET cot_id = 242, cot_blt_id = 43, cot_pap_id = 9, cot_prc_comum = 15, cot_prc_min = 15, cot_prc_max = 24, cot_prc_med = 18, cot_prc_mediana = 15 WHERE cot_id = 242;</v>
      </c>
    </row>
    <row r="244" customFormat="false" ht="14.25" hidden="false" customHeight="false" outlineLevel="0" collapsed="false">
      <c r="A244" s="0" t="n">
        <v>243</v>
      </c>
      <c r="B244" s="0" t="n">
        <f aca="false">IF('Boletins Nuppa Site'!A244&lt;&gt;0,'Boletins Nuppa Site'!A244,"NULL")</f>
        <v>43</v>
      </c>
      <c r="C244" s="0" t="n">
        <v>10</v>
      </c>
      <c r="D244" s="30" t="n">
        <f aca="false">IF('Boletins Nuppa Site'!G244&lt;&gt;0,'Boletins Nuppa Site'!G244,"NULL")</f>
        <v>60</v>
      </c>
      <c r="E244" s="30" t="n">
        <f aca="false">IF('Boletins Nuppa Site'!H244&lt;&gt;0,'Boletins Nuppa Site'!H244,"NULL")</f>
        <v>60</v>
      </c>
      <c r="F244" s="30" t="n">
        <f aca="false">IF('Boletins Nuppa Site'!I244&lt;&gt;0,'Boletins Nuppa Site'!I244,"NULL")</f>
        <v>60</v>
      </c>
      <c r="G244" s="30" t="n">
        <f aca="false">IF('Boletins Nuppa Site'!J244&lt;&gt;0,'Boletins Nuppa Site'!J244,"NULL")</f>
        <v>60</v>
      </c>
      <c r="H244" s="30" t="n">
        <f aca="false">IF('Boletins Nuppa Site'!K244&lt;&gt;0,'Boletins Nuppa Site'!K244,"NULL")</f>
        <v>60</v>
      </c>
      <c r="I244" s="0" t="str">
        <f aca="false">"INSERT INTO COTACAO (cot_id, cot_blt_id, cot_pap_id, cot_prc_comum, cot_prc_min, cot_prc_max, cot_prc_med, cot_prc_mediana) VALUES ("&amp;A244&amp;", "&amp;B244&amp;", "&amp;C244&amp;", "&amp;D244&amp;", "&amp;E244&amp;", "&amp;F244&amp;", "&amp;G244&amp;", "&amp;H244&amp;");"</f>
        <v>INSERT INTO COTACAO (cot_id, cot_blt_id, cot_pap_id, cot_prc_comum, cot_prc_min, cot_prc_max, cot_prc_med, cot_prc_mediana) VALUES (243, 43, 10, 60, 60, 60, 60, 60);</v>
      </c>
      <c r="J244" s="0" t="str">
        <f aca="false">"UPDATE COTACAO SET cot_id = "&amp;A244&amp;", cot_blt_id = "&amp;B244&amp;", cot_pap_id = "&amp;C244&amp;", cot_prc_comum = "&amp;D244&amp;", cot_prc_min = "&amp;E244&amp;", cot_prc_max = "&amp;F244&amp;", cot_prc_med = "&amp;G244&amp;", cot_prc_mediana = "&amp;H244&amp;" WHERE cot_id = "&amp;A244&amp;";"</f>
        <v>UPDATE COTACAO SET cot_id = 243, cot_blt_id = 43, cot_pap_id = 10, cot_prc_comum = 60, cot_prc_min = 60, cot_prc_max = 60, cot_prc_med = 60, cot_prc_mediana = 60 WHERE cot_id = 243;</v>
      </c>
    </row>
    <row r="245" customFormat="false" ht="14.25" hidden="false" customHeight="false" outlineLevel="0" collapsed="false">
      <c r="A245" s="0" t="n">
        <v>244</v>
      </c>
      <c r="B245" s="0" t="n">
        <f aca="false">IF('Boletins Nuppa Site'!A245&lt;&gt;0,'Boletins Nuppa Site'!A245,"NULL")</f>
        <v>43</v>
      </c>
      <c r="C245" s="0" t="n">
        <v>11</v>
      </c>
      <c r="D245" s="30" t="n">
        <f aca="false">IF('Boletins Nuppa Site'!G245&lt;&gt;0,'Boletins Nuppa Site'!G245,"NULL")</f>
        <v>24</v>
      </c>
      <c r="E245" s="30" t="n">
        <f aca="false">IF('Boletins Nuppa Site'!H245&lt;&gt;0,'Boletins Nuppa Site'!H245,"NULL")</f>
        <v>24</v>
      </c>
      <c r="F245" s="30" t="n">
        <f aca="false">IF('Boletins Nuppa Site'!I245&lt;&gt;0,'Boletins Nuppa Site'!I245,"NULL")</f>
        <v>24</v>
      </c>
      <c r="G245" s="30" t="n">
        <f aca="false">IF('Boletins Nuppa Site'!J245&lt;&gt;0,'Boletins Nuppa Site'!J245,"NULL")</f>
        <v>24</v>
      </c>
      <c r="H245" s="30" t="n">
        <f aca="false">IF('Boletins Nuppa Site'!K245&lt;&gt;0,'Boletins Nuppa Site'!K245,"NULL")</f>
        <v>24</v>
      </c>
      <c r="I245" s="0" t="str">
        <f aca="false">"INSERT INTO COTACAO (cot_id, cot_blt_id, cot_pap_id, cot_prc_comum, cot_prc_min, cot_prc_max, cot_prc_med, cot_prc_mediana) VALUES ("&amp;A245&amp;", "&amp;B245&amp;", "&amp;C245&amp;", "&amp;D245&amp;", "&amp;E245&amp;", "&amp;F245&amp;", "&amp;G245&amp;", "&amp;H245&amp;");"</f>
        <v>INSERT INTO COTACAO (cot_id, cot_blt_id, cot_pap_id, cot_prc_comum, cot_prc_min, cot_prc_max, cot_prc_med, cot_prc_mediana) VALUES (244, 43, 11, 24, 24, 24, 24, 24);</v>
      </c>
      <c r="J245" s="0" t="str">
        <f aca="false">"UPDATE COTACAO SET cot_id = "&amp;A245&amp;", cot_blt_id = "&amp;B245&amp;", cot_pap_id = "&amp;C245&amp;", cot_prc_comum = "&amp;D245&amp;", cot_prc_min = "&amp;E245&amp;", cot_prc_max = "&amp;F245&amp;", cot_prc_med = "&amp;G245&amp;", cot_prc_mediana = "&amp;H245&amp;" WHERE cot_id = "&amp;A245&amp;";"</f>
        <v>UPDATE COTACAO SET cot_id = 244, cot_blt_id = 43, cot_pap_id = 11, cot_prc_comum = 24, cot_prc_min = 24, cot_prc_max = 24, cot_prc_med = 24, cot_prc_mediana = 24 WHERE cot_id = 244;</v>
      </c>
    </row>
    <row r="246" customFormat="false" ht="14.25" hidden="false" customHeight="false" outlineLevel="0" collapsed="false">
      <c r="A246" s="0" t="n">
        <v>245</v>
      </c>
      <c r="B246" s="0" t="n">
        <f aca="false">IF('Boletins Nuppa Site'!A246&lt;&gt;0,'Boletins Nuppa Site'!A246,"NULL")</f>
        <v>43</v>
      </c>
      <c r="C246" s="0" t="n">
        <v>12</v>
      </c>
      <c r="D246" s="30" t="n">
        <f aca="false">IF('Boletins Nuppa Site'!G246&lt;&gt;0,'Boletins Nuppa Site'!G246,"NULL")</f>
        <v>42</v>
      </c>
      <c r="E246" s="30" t="n">
        <f aca="false">IF('Boletins Nuppa Site'!H246&lt;&gt;0,'Boletins Nuppa Site'!H246,"NULL")</f>
        <v>42</v>
      </c>
      <c r="F246" s="30" t="n">
        <f aca="false">IF('Boletins Nuppa Site'!I246&lt;&gt;0,'Boletins Nuppa Site'!I246,"NULL")</f>
        <v>42</v>
      </c>
      <c r="G246" s="30" t="n">
        <f aca="false">IF('Boletins Nuppa Site'!J246&lt;&gt;0,'Boletins Nuppa Site'!J246,"NULL")</f>
        <v>42</v>
      </c>
      <c r="H246" s="30" t="n">
        <f aca="false">IF('Boletins Nuppa Site'!K246&lt;&gt;0,'Boletins Nuppa Site'!K246,"NULL")</f>
        <v>42</v>
      </c>
      <c r="I246" s="0" t="str">
        <f aca="false">"INSERT INTO COTACAO (cot_id, cot_blt_id, cot_pap_id, cot_prc_comum, cot_prc_min, cot_prc_max, cot_prc_med, cot_prc_mediana) VALUES ("&amp;A246&amp;", "&amp;B246&amp;", "&amp;C246&amp;", "&amp;D246&amp;", "&amp;E246&amp;", "&amp;F246&amp;", "&amp;G246&amp;", "&amp;H246&amp;");"</f>
        <v>INSERT INTO COTACAO (cot_id, cot_blt_id, cot_pap_id, cot_prc_comum, cot_prc_min, cot_prc_max, cot_prc_med, cot_prc_mediana) VALUES (245, 43, 12, 42, 42, 42, 42, 42);</v>
      </c>
      <c r="J246" s="0" t="str">
        <f aca="false">"UPDATE COTACAO SET cot_id = "&amp;A246&amp;", cot_blt_id = "&amp;B246&amp;", cot_pap_id = "&amp;C246&amp;", cot_prc_comum = "&amp;D246&amp;", cot_prc_min = "&amp;E246&amp;", cot_prc_max = "&amp;F246&amp;", cot_prc_med = "&amp;G246&amp;", cot_prc_mediana = "&amp;H246&amp;" WHERE cot_id = "&amp;A246&amp;";"</f>
        <v>UPDATE COTACAO SET cot_id = 245, cot_blt_id = 43, cot_pap_id = 12, cot_prc_comum = 42, cot_prc_min = 42, cot_prc_max = 42, cot_prc_med = 42, cot_prc_mediana = 42 WHERE cot_id = 245;</v>
      </c>
    </row>
    <row r="247" customFormat="false" ht="14.25" hidden="false" customHeight="false" outlineLevel="0" collapsed="false">
      <c r="A247" s="0" t="n">
        <v>246</v>
      </c>
      <c r="B247" s="0" t="n">
        <f aca="false">IF('Boletins Nuppa Site'!A247&lt;&gt;0,'Boletins Nuppa Site'!A247,"NULL")</f>
        <v>43</v>
      </c>
      <c r="C247" s="0" t="n">
        <v>13</v>
      </c>
      <c r="D247" s="0" t="str">
        <f aca="false">IF('Boletins Nuppa Site'!G247&lt;&gt;0,'Boletins Nuppa Site'!G247,"NULL")</f>
        <v>NULL</v>
      </c>
      <c r="E247" s="30" t="n">
        <f aca="false">IF('Boletins Nuppa Site'!H247&lt;&gt;0,'Boletins Nuppa Site'!H247,"NULL")</f>
        <v>42</v>
      </c>
      <c r="F247" s="30" t="n">
        <f aca="false">IF('Boletins Nuppa Site'!I247&lt;&gt;0,'Boletins Nuppa Site'!I247,"NULL")</f>
        <v>60</v>
      </c>
      <c r="G247" s="30" t="n">
        <f aca="false">IF('Boletins Nuppa Site'!J247&lt;&gt;0,'Boletins Nuppa Site'!J247,"NULL")</f>
        <v>51</v>
      </c>
      <c r="H247" s="30" t="n">
        <f aca="false">IF('Boletins Nuppa Site'!K247&lt;&gt;0,'Boletins Nuppa Site'!K247,"NULL")</f>
        <v>51</v>
      </c>
      <c r="I247" s="0" t="str">
        <f aca="false">"INSERT INTO COTACAO (cot_id, cot_blt_id, cot_pap_id, cot_prc_comum, cot_prc_min, cot_prc_max, cot_prc_med, cot_prc_mediana) VALUES ("&amp;A247&amp;", "&amp;B247&amp;", "&amp;C247&amp;", "&amp;D247&amp;", "&amp;E247&amp;", "&amp;F247&amp;", "&amp;G247&amp;", "&amp;H247&amp;");"</f>
        <v>INSERT INTO COTACAO (cot_id, cot_blt_id, cot_pap_id, cot_prc_comum, cot_prc_min, cot_prc_max, cot_prc_med, cot_prc_mediana) VALUES (246, 43, 13, NULL, 42, 60, 51, 51);</v>
      </c>
      <c r="J247" s="0" t="str">
        <f aca="false">"UPDATE COTACAO SET cot_id = "&amp;A247&amp;", cot_blt_id = "&amp;B247&amp;", cot_pap_id = "&amp;C247&amp;", cot_prc_comum = "&amp;D247&amp;", cot_prc_min = "&amp;E247&amp;", cot_prc_max = "&amp;F247&amp;", cot_prc_med = "&amp;G247&amp;", cot_prc_mediana = "&amp;H247&amp;" WHERE cot_id = "&amp;A247&amp;";"</f>
        <v>UPDATE COTACAO SET cot_id = 246, cot_blt_id = 43, cot_pap_id = 13, cot_prc_comum = NULL, cot_prc_min = 42, cot_prc_max = 60, cot_prc_med = 51, cot_prc_mediana = 51 WHERE cot_id = 246;</v>
      </c>
    </row>
    <row r="248" customFormat="false" ht="14.25" hidden="false" customHeight="false" outlineLevel="0" collapsed="false">
      <c r="A248" s="0" t="n">
        <v>247</v>
      </c>
      <c r="B248" s="0" t="n">
        <f aca="false">IF('Boletins Nuppa Site'!A248&lt;&gt;0,'Boletins Nuppa Site'!A248,"NULL")</f>
        <v>43</v>
      </c>
      <c r="C248" s="0" t="n">
        <v>14</v>
      </c>
      <c r="D248" s="30" t="n">
        <f aca="false">IF('Boletins Nuppa Site'!G248&lt;&gt;0,'Boletins Nuppa Site'!G248,"NULL")</f>
        <v>36</v>
      </c>
      <c r="E248" s="30" t="n">
        <f aca="false">IF('Boletins Nuppa Site'!H248&lt;&gt;0,'Boletins Nuppa Site'!H248,"NULL")</f>
        <v>36</v>
      </c>
      <c r="F248" s="30" t="n">
        <f aca="false">IF('Boletins Nuppa Site'!I248&lt;&gt;0,'Boletins Nuppa Site'!I248,"NULL")</f>
        <v>48</v>
      </c>
      <c r="G248" s="30" t="n">
        <f aca="false">IF('Boletins Nuppa Site'!J248&lt;&gt;0,'Boletins Nuppa Site'!J248,"NULL")</f>
        <v>40</v>
      </c>
      <c r="H248" s="30" t="n">
        <f aca="false">IF('Boletins Nuppa Site'!K248&lt;&gt;0,'Boletins Nuppa Site'!K248,"NULL")</f>
        <v>36</v>
      </c>
      <c r="I248" s="0" t="str">
        <f aca="false">"INSERT INTO COTACAO (cot_id, cot_blt_id, cot_pap_id, cot_prc_comum, cot_prc_min, cot_prc_max, cot_prc_med, cot_prc_mediana) VALUES ("&amp;A248&amp;", "&amp;B248&amp;", "&amp;C248&amp;", "&amp;D248&amp;", "&amp;E248&amp;", "&amp;F248&amp;", "&amp;G248&amp;", "&amp;H248&amp;");"</f>
        <v>INSERT INTO COTACAO (cot_id, cot_blt_id, cot_pap_id, cot_prc_comum, cot_prc_min, cot_prc_max, cot_prc_med, cot_prc_mediana) VALUES (247, 43, 14, 36, 36, 48, 40, 36);</v>
      </c>
      <c r="J248" s="0" t="str">
        <f aca="false">"UPDATE COTACAO SET cot_id = "&amp;A248&amp;", cot_blt_id = "&amp;B248&amp;", cot_pap_id = "&amp;C248&amp;", cot_prc_comum = "&amp;D248&amp;", cot_prc_min = "&amp;E248&amp;", cot_prc_max = "&amp;F248&amp;", cot_prc_med = "&amp;G248&amp;", cot_prc_mediana = "&amp;H248&amp;" WHERE cot_id = "&amp;A248&amp;";"</f>
        <v>UPDATE COTACAO SET cot_id = 247, cot_blt_id = 43, cot_pap_id = 14, cot_prc_comum = 36, cot_prc_min = 36, cot_prc_max = 48, cot_prc_med = 40, cot_prc_mediana = 36 WHERE cot_id = 247;</v>
      </c>
    </row>
    <row r="249" customFormat="false" ht="14.25" hidden="false" customHeight="false" outlineLevel="0" collapsed="false">
      <c r="A249" s="0" t="n">
        <v>248</v>
      </c>
      <c r="B249" s="0" t="n">
        <f aca="false">IF('Boletins Nuppa Site'!A249&lt;&gt;0,'Boletins Nuppa Site'!A249,"NULL")</f>
        <v>43</v>
      </c>
      <c r="C249" s="0" t="n">
        <v>15</v>
      </c>
      <c r="D249" s="30" t="n">
        <f aca="false">IF('Boletins Nuppa Site'!G249&lt;&gt;0,'Boletins Nuppa Site'!G249,"NULL")</f>
        <v>24</v>
      </c>
      <c r="E249" s="30" t="n">
        <f aca="false">IF('Boletins Nuppa Site'!H249&lt;&gt;0,'Boletins Nuppa Site'!H249,"NULL")</f>
        <v>18</v>
      </c>
      <c r="F249" s="30" t="n">
        <f aca="false">IF('Boletins Nuppa Site'!I249&lt;&gt;0,'Boletins Nuppa Site'!I249,"NULL")</f>
        <v>30</v>
      </c>
      <c r="G249" s="30" t="n">
        <f aca="false">IF('Boletins Nuppa Site'!J249&lt;&gt;0,'Boletins Nuppa Site'!J249,"NULL")</f>
        <v>24</v>
      </c>
      <c r="H249" s="30" t="n">
        <f aca="false">IF('Boletins Nuppa Site'!K249&lt;&gt;0,'Boletins Nuppa Site'!K249,"NULL")</f>
        <v>24</v>
      </c>
      <c r="I249" s="0" t="str">
        <f aca="false">"INSERT INTO COTACAO (cot_id, cot_blt_id, cot_pap_id, cot_prc_comum, cot_prc_min, cot_prc_max, cot_prc_med, cot_prc_mediana) VALUES ("&amp;A249&amp;", "&amp;B249&amp;", "&amp;C249&amp;", "&amp;D249&amp;", "&amp;E249&amp;", "&amp;F249&amp;", "&amp;G249&amp;", "&amp;H249&amp;");"</f>
        <v>INSERT INTO COTACAO (cot_id, cot_blt_id, cot_pap_id, cot_prc_comum, cot_prc_min, cot_prc_max, cot_prc_med, cot_prc_mediana) VALUES (248, 43, 15, 24, 18, 30, 24, 24);</v>
      </c>
      <c r="J249" s="0" t="str">
        <f aca="false">"UPDATE COTACAO SET cot_id = "&amp;A249&amp;", cot_blt_id = "&amp;B249&amp;", cot_pap_id = "&amp;C249&amp;", cot_prc_comum = "&amp;D249&amp;", cot_prc_min = "&amp;E249&amp;", cot_prc_max = "&amp;F249&amp;", cot_prc_med = "&amp;G249&amp;", cot_prc_mediana = "&amp;H249&amp;" WHERE cot_id = "&amp;A249&amp;";"</f>
        <v>UPDATE COTACAO SET cot_id = 248, cot_blt_id = 43, cot_pap_id = 15, cot_prc_comum = 24, cot_prc_min = 18, cot_prc_max = 30, cot_prc_med = 24, cot_prc_mediana = 24 WHERE cot_id = 248;</v>
      </c>
    </row>
    <row r="250" customFormat="false" ht="14.25" hidden="false" customHeight="false" outlineLevel="0" collapsed="false">
      <c r="A250" s="0" t="n">
        <v>249</v>
      </c>
      <c r="B250" s="0" t="n">
        <f aca="false">IF('Boletins Nuppa Site'!A250&lt;&gt;0,'Boletins Nuppa Site'!A250,"NULL")</f>
        <v>43</v>
      </c>
      <c r="C250" s="0" t="n">
        <v>16</v>
      </c>
      <c r="D250" s="30" t="n">
        <f aca="false">IF('Boletins Nuppa Site'!G250&lt;&gt;0,'Boletins Nuppa Site'!G250,"NULL")</f>
        <v>42</v>
      </c>
      <c r="E250" s="30" t="n">
        <f aca="false">IF('Boletins Nuppa Site'!H250&lt;&gt;0,'Boletins Nuppa Site'!H250,"NULL")</f>
        <v>36</v>
      </c>
      <c r="F250" s="30" t="n">
        <f aca="false">IF('Boletins Nuppa Site'!I250&lt;&gt;0,'Boletins Nuppa Site'!I250,"NULL")</f>
        <v>42</v>
      </c>
      <c r="G250" s="30" t="n">
        <f aca="false">IF('Boletins Nuppa Site'!J250&lt;&gt;0,'Boletins Nuppa Site'!J250,"NULL")</f>
        <v>39</v>
      </c>
      <c r="H250" s="30" t="n">
        <f aca="false">IF('Boletins Nuppa Site'!K250&lt;&gt;0,'Boletins Nuppa Site'!K250,"NULL")</f>
        <v>39</v>
      </c>
      <c r="I250" s="0" t="str">
        <f aca="false">"INSERT INTO COTACAO (cot_id, cot_blt_id, cot_pap_id, cot_prc_comum, cot_prc_min, cot_prc_max, cot_prc_med, cot_prc_mediana) VALUES ("&amp;A250&amp;", "&amp;B250&amp;", "&amp;C250&amp;", "&amp;D250&amp;", "&amp;E250&amp;", "&amp;F250&amp;", "&amp;G250&amp;", "&amp;H250&amp;");"</f>
        <v>INSERT INTO COTACAO (cot_id, cot_blt_id, cot_pap_id, cot_prc_comum, cot_prc_min, cot_prc_max, cot_prc_med, cot_prc_mediana) VALUES (249, 43, 16, 42, 36, 42, 39, 39);</v>
      </c>
      <c r="J250" s="0" t="str">
        <f aca="false">"UPDATE COTACAO SET cot_id = "&amp;A250&amp;", cot_blt_id = "&amp;B250&amp;", cot_pap_id = "&amp;C250&amp;", cot_prc_comum = "&amp;D250&amp;", cot_prc_min = "&amp;E250&amp;", cot_prc_max = "&amp;F250&amp;", cot_prc_med = "&amp;G250&amp;", cot_prc_mediana = "&amp;H250&amp;" WHERE cot_id = "&amp;A250&amp;";"</f>
        <v>UPDATE COTACAO SET cot_id = 249, cot_blt_id = 43, cot_pap_id = 16, cot_prc_comum = 42, cot_prc_min = 36, cot_prc_max = 42, cot_prc_med = 39, cot_prc_mediana = 39 WHERE cot_id = 249;</v>
      </c>
    </row>
    <row r="251" customFormat="false" ht="14.25" hidden="false" customHeight="false" outlineLevel="0" collapsed="false">
      <c r="A251" s="0" t="n">
        <v>250</v>
      </c>
      <c r="B251" s="0" t="n">
        <f aca="false">IF('Boletins Nuppa Site'!A251&lt;&gt;0,'Boletins Nuppa Site'!A251,"NULL")</f>
        <v>43</v>
      </c>
      <c r="C251" s="0" t="n">
        <v>17</v>
      </c>
      <c r="D251" s="30" t="n">
        <f aca="false">IF('Boletins Nuppa Site'!G251&lt;&gt;0,'Boletins Nuppa Site'!G251,"NULL")</f>
        <v>5</v>
      </c>
      <c r="E251" s="0" t="str">
        <f aca="false">IF('Boletins Nuppa Site'!H251&lt;&gt;0,'Boletins Nuppa Site'!H251,"NULL")</f>
        <v>3.5</v>
      </c>
      <c r="F251" s="30" t="n">
        <f aca="false">IF('Boletins Nuppa Site'!I251&lt;&gt;0,'Boletins Nuppa Site'!I251,"NULL")</f>
        <v>5</v>
      </c>
      <c r="G251" s="0" t="str">
        <f aca="false">IF('Boletins Nuppa Site'!J251&lt;&gt;0,'Boletins Nuppa Site'!J251,"NULL")</f>
        <v>4.38</v>
      </c>
      <c r="H251" s="0" t="str">
        <f aca="false">IF('Boletins Nuppa Site'!K251&lt;&gt;0,'Boletins Nuppa Site'!K251,"NULL")</f>
        <v>4.5</v>
      </c>
      <c r="I251" s="0" t="str">
        <f aca="false">"INSERT INTO COTACAO (cot_id, cot_blt_id, cot_pap_id, cot_prc_comum, cot_prc_min, cot_prc_max, cot_prc_med, cot_prc_mediana) VALUES ("&amp;A251&amp;", "&amp;B251&amp;", "&amp;C251&amp;", "&amp;D251&amp;", "&amp;E251&amp;", "&amp;F251&amp;", "&amp;G251&amp;", "&amp;H251&amp;");"</f>
        <v>INSERT INTO COTACAO (cot_id, cot_blt_id, cot_pap_id, cot_prc_comum, cot_prc_min, cot_prc_max, cot_prc_med, cot_prc_mediana) VALUES (250, 43, 17, 5, 3.5, 5, 4.38, 4.5);</v>
      </c>
      <c r="J251" s="0" t="str">
        <f aca="false">"UPDATE COTACAO SET cot_id = "&amp;A251&amp;", cot_blt_id = "&amp;B251&amp;", cot_pap_id = "&amp;C251&amp;", cot_prc_comum = "&amp;D251&amp;", cot_prc_min = "&amp;E251&amp;", cot_prc_max = "&amp;F251&amp;", cot_prc_med = "&amp;G251&amp;", cot_prc_mediana = "&amp;H251&amp;" WHERE cot_id = "&amp;A251&amp;";"</f>
        <v>UPDATE COTACAO SET cot_id = 250, cot_blt_id = 43, cot_pap_id = 17, cot_prc_comum = 5, cot_prc_min = 3.5, cot_prc_max = 5, cot_prc_med = 4.38, cot_prc_mediana = 4.5 WHERE cot_id = 250;</v>
      </c>
    </row>
    <row r="252" customFormat="false" ht="14.25" hidden="false" customHeight="false" outlineLevel="0" collapsed="false">
      <c r="A252" s="0" t="n">
        <v>251</v>
      </c>
      <c r="B252" s="0" t="n">
        <f aca="false">IF('Boletins Nuppa Site'!A252&lt;&gt;0,'Boletins Nuppa Site'!A252,"NULL")</f>
        <v>43</v>
      </c>
      <c r="C252" s="0" t="n">
        <v>18</v>
      </c>
      <c r="D252" s="0" t="str">
        <f aca="false">IF('Boletins Nuppa Site'!G252&lt;&gt;0,'Boletins Nuppa Site'!G252,"NULL")</f>
        <v>NULL</v>
      </c>
      <c r="E252" s="30" t="n">
        <f aca="false">IF('Boletins Nuppa Site'!H252&lt;&gt;0,'Boletins Nuppa Site'!H252,"NULL")</f>
        <v>18</v>
      </c>
      <c r="F252" s="30" t="n">
        <f aca="false">IF('Boletins Nuppa Site'!I252&lt;&gt;0,'Boletins Nuppa Site'!I252,"NULL")</f>
        <v>25</v>
      </c>
      <c r="G252" s="30" t="n">
        <f aca="false">IF('Boletins Nuppa Site'!J252&lt;&gt;0,'Boletins Nuppa Site'!J252,"NULL")</f>
        <v>21</v>
      </c>
      <c r="H252" s="30" t="n">
        <f aca="false">IF('Boletins Nuppa Site'!K252&lt;&gt;0,'Boletins Nuppa Site'!K252,"NULL")</f>
        <v>20</v>
      </c>
      <c r="I252" s="0" t="str">
        <f aca="false">"INSERT INTO COTACAO (cot_id, cot_blt_id, cot_pap_id, cot_prc_comum, cot_prc_min, cot_prc_max, cot_prc_med, cot_prc_mediana) VALUES ("&amp;A252&amp;", "&amp;B252&amp;", "&amp;C252&amp;", "&amp;D252&amp;", "&amp;E252&amp;", "&amp;F252&amp;", "&amp;G252&amp;", "&amp;H252&amp;");"</f>
        <v>INSERT INTO COTACAO (cot_id, cot_blt_id, cot_pap_id, cot_prc_comum, cot_prc_min, cot_prc_max, cot_prc_med, cot_prc_mediana) VALUES (251, 43, 18, NULL, 18, 25, 21, 20);</v>
      </c>
      <c r="J252" s="0" t="str">
        <f aca="false">"UPDATE COTACAO SET cot_id = "&amp;A252&amp;", cot_blt_id = "&amp;B252&amp;", cot_pap_id = "&amp;C252&amp;", cot_prc_comum = "&amp;D252&amp;", cot_prc_min = "&amp;E252&amp;", cot_prc_max = "&amp;F252&amp;", cot_prc_med = "&amp;G252&amp;", cot_prc_mediana = "&amp;H252&amp;" WHERE cot_id = "&amp;A252&amp;";"</f>
        <v>UPDATE COTACAO SET cot_id = 251, cot_blt_id = 43, cot_pap_id = 18, cot_prc_comum = NULL, cot_prc_min = 18, cot_prc_max = 25, cot_prc_med = 21, cot_prc_mediana = 20 WHERE cot_id = 251;</v>
      </c>
    </row>
    <row r="253" customFormat="false" ht="14.25" hidden="false" customHeight="false" outlineLevel="0" collapsed="false">
      <c r="A253" s="0" t="n">
        <v>252</v>
      </c>
      <c r="B253" s="0" t="n">
        <f aca="false">IF('Boletins Nuppa Site'!A253&lt;&gt;0,'Boletins Nuppa Site'!A253,"NULL")</f>
        <v>43</v>
      </c>
      <c r="C253" s="0" t="n">
        <v>19</v>
      </c>
      <c r="D253" s="30" t="n">
        <f aca="false">IF('Boletins Nuppa Site'!G253&lt;&gt;0,'Boletins Nuppa Site'!G253,"NULL")</f>
        <v>25</v>
      </c>
      <c r="E253" s="30" t="n">
        <f aca="false">IF('Boletins Nuppa Site'!H253&lt;&gt;0,'Boletins Nuppa Site'!H253,"NULL")</f>
        <v>25</v>
      </c>
      <c r="F253" s="30" t="n">
        <f aca="false">IF('Boletins Nuppa Site'!I253&lt;&gt;0,'Boletins Nuppa Site'!I253,"NULL")</f>
        <v>30</v>
      </c>
      <c r="G253" s="0" t="str">
        <f aca="false">IF('Boletins Nuppa Site'!J253&lt;&gt;0,'Boletins Nuppa Site'!J253,"NULL")</f>
        <v>26.67</v>
      </c>
      <c r="H253" s="30" t="n">
        <f aca="false">IF('Boletins Nuppa Site'!K253&lt;&gt;0,'Boletins Nuppa Site'!K253,"NULL")</f>
        <v>25</v>
      </c>
      <c r="I253" s="0" t="str">
        <f aca="false">"INSERT INTO COTACAO (cot_id, cot_blt_id, cot_pap_id, cot_prc_comum, cot_prc_min, cot_prc_max, cot_prc_med, cot_prc_mediana) VALUES ("&amp;A253&amp;", "&amp;B253&amp;", "&amp;C253&amp;", "&amp;D253&amp;", "&amp;E253&amp;", "&amp;F253&amp;", "&amp;G253&amp;", "&amp;H253&amp;");"</f>
        <v>INSERT INTO COTACAO (cot_id, cot_blt_id, cot_pap_id, cot_prc_comum, cot_prc_min, cot_prc_max, cot_prc_med, cot_prc_mediana) VALUES (252, 43, 19, 25, 25, 30, 26.67, 25);</v>
      </c>
      <c r="J253" s="0" t="str">
        <f aca="false">"UPDATE COTACAO SET cot_id = "&amp;A253&amp;", cot_blt_id = "&amp;B253&amp;", cot_pap_id = "&amp;C253&amp;", cot_prc_comum = "&amp;D253&amp;", cot_prc_min = "&amp;E253&amp;", cot_prc_max = "&amp;F253&amp;", cot_prc_med = "&amp;G253&amp;", cot_prc_mediana = "&amp;H253&amp;" WHERE cot_id = "&amp;A253&amp;";"</f>
        <v>UPDATE COTACAO SET cot_id = 252, cot_blt_id = 43, cot_pap_id = 19, cot_prc_comum = 25, cot_prc_min = 25, cot_prc_max = 30, cot_prc_med = 26.67, cot_prc_mediana = 25 WHERE cot_id = 252;</v>
      </c>
    </row>
    <row r="254" customFormat="false" ht="14.25" hidden="false" customHeight="false" outlineLevel="0" collapsed="false">
      <c r="A254" s="0" t="n">
        <v>253</v>
      </c>
      <c r="B254" s="0" t="n">
        <f aca="false">IF('Boletins Nuppa Site'!A254&lt;&gt;0,'Boletins Nuppa Site'!A254,"NULL")</f>
        <v>43</v>
      </c>
      <c r="C254" s="0" t="n">
        <v>21</v>
      </c>
      <c r="D254" s="30" t="n">
        <f aca="false">IF('Boletins Nuppa Site'!G254&lt;&gt;0,'Boletins Nuppa Site'!G254,"NULL")</f>
        <v>60</v>
      </c>
      <c r="E254" s="30" t="n">
        <f aca="false">IF('Boletins Nuppa Site'!H254&lt;&gt;0,'Boletins Nuppa Site'!H254,"NULL")</f>
        <v>40</v>
      </c>
      <c r="F254" s="30" t="n">
        <f aca="false">IF('Boletins Nuppa Site'!I254&lt;&gt;0,'Boletins Nuppa Site'!I254,"NULL")</f>
        <v>60</v>
      </c>
      <c r="G254" s="0" t="str">
        <f aca="false">IF('Boletins Nuppa Site'!J254&lt;&gt;0,'Boletins Nuppa Site'!J254,"NULL")</f>
        <v>52.5</v>
      </c>
      <c r="H254" s="30" t="n">
        <f aca="false">IF('Boletins Nuppa Site'!K254&lt;&gt;0,'Boletins Nuppa Site'!K254,"NULL")</f>
        <v>55</v>
      </c>
      <c r="I254" s="0" t="str">
        <f aca="false">"INSERT INTO COTACAO (cot_id, cot_blt_id, cot_pap_id, cot_prc_comum, cot_prc_min, cot_prc_max, cot_prc_med, cot_prc_mediana) VALUES ("&amp;A254&amp;", "&amp;B254&amp;", "&amp;C254&amp;", "&amp;D254&amp;", "&amp;E254&amp;", "&amp;F254&amp;", "&amp;G254&amp;", "&amp;H254&amp;");"</f>
        <v>INSERT INTO COTACAO (cot_id, cot_blt_id, cot_pap_id, cot_prc_comum, cot_prc_min, cot_prc_max, cot_prc_med, cot_prc_mediana) VALUES (253, 43, 21, 60, 40, 60, 52.5, 55);</v>
      </c>
      <c r="J254" s="0" t="str">
        <f aca="false">"UPDATE COTACAO SET cot_id = "&amp;A254&amp;", cot_blt_id = "&amp;B254&amp;", cot_pap_id = "&amp;C254&amp;", cot_prc_comum = "&amp;D254&amp;", cot_prc_min = "&amp;E254&amp;", cot_prc_max = "&amp;F254&amp;", cot_prc_med = "&amp;G254&amp;", cot_prc_mediana = "&amp;H254&amp;" WHERE cot_id = "&amp;A254&amp;";"</f>
        <v>UPDATE COTACAO SET cot_id = 253, cot_blt_id = 43, cot_pap_id = 21, cot_prc_comum = 60, cot_prc_min = 40, cot_prc_max = 60, cot_prc_med = 52.5, cot_prc_mediana = 55 WHERE cot_id = 253;</v>
      </c>
    </row>
    <row r="255" customFormat="false" ht="14.25" hidden="false" customHeight="false" outlineLevel="0" collapsed="false">
      <c r="A255" s="0" t="n">
        <v>254</v>
      </c>
      <c r="B255" s="0" t="n">
        <f aca="false">IF('Boletins Nuppa Site'!A255&lt;&gt;0,'Boletins Nuppa Site'!A255,"NULL")</f>
        <v>43</v>
      </c>
      <c r="C255" s="0" t="n">
        <v>22</v>
      </c>
      <c r="D255" s="30" t="n">
        <f aca="false">IF('Boletins Nuppa Site'!G255&lt;&gt;0,'Boletins Nuppa Site'!G255,"NULL")</f>
        <v>50</v>
      </c>
      <c r="E255" s="30" t="n">
        <f aca="false">IF('Boletins Nuppa Site'!H255&lt;&gt;0,'Boletins Nuppa Site'!H255,"NULL")</f>
        <v>45</v>
      </c>
      <c r="F255" s="30" t="n">
        <f aca="false">IF('Boletins Nuppa Site'!I255&lt;&gt;0,'Boletins Nuppa Site'!I255,"NULL")</f>
        <v>50</v>
      </c>
      <c r="G255" s="0" t="str">
        <f aca="false">IF('Boletins Nuppa Site'!J255&lt;&gt;0,'Boletins Nuppa Site'!J255,"NULL")</f>
        <v>48.75</v>
      </c>
      <c r="H255" s="30" t="n">
        <f aca="false">IF('Boletins Nuppa Site'!K255&lt;&gt;0,'Boletins Nuppa Site'!K255,"NULL")</f>
        <v>50</v>
      </c>
      <c r="I255" s="0" t="str">
        <f aca="false">"INSERT INTO COTACAO (cot_id, cot_blt_id, cot_pap_id, cot_prc_comum, cot_prc_min, cot_prc_max, cot_prc_med, cot_prc_mediana) VALUES ("&amp;A255&amp;", "&amp;B255&amp;", "&amp;C255&amp;", "&amp;D255&amp;", "&amp;E255&amp;", "&amp;F255&amp;", "&amp;G255&amp;", "&amp;H255&amp;");"</f>
        <v>INSERT INTO COTACAO (cot_id, cot_blt_id, cot_pap_id, cot_prc_comum, cot_prc_min, cot_prc_max, cot_prc_med, cot_prc_mediana) VALUES (254, 43, 22, 50, 45, 50, 48.75, 50);</v>
      </c>
      <c r="J255" s="0" t="str">
        <f aca="false">"UPDATE COTACAO SET cot_id = "&amp;A255&amp;", cot_blt_id = "&amp;B255&amp;", cot_pap_id = "&amp;C255&amp;", cot_prc_comum = "&amp;D255&amp;", cot_prc_min = "&amp;E255&amp;", cot_prc_max = "&amp;F255&amp;", cot_prc_med = "&amp;G255&amp;", cot_prc_mediana = "&amp;H255&amp;" WHERE cot_id = "&amp;A255&amp;";"</f>
        <v>UPDATE COTACAO SET cot_id = 254, cot_blt_id = 43, cot_pap_id = 22, cot_prc_comum = 50, cot_prc_min = 45, cot_prc_max = 50, cot_prc_med = 48.75, cot_prc_mediana = 50 WHERE cot_id = 254;</v>
      </c>
    </row>
    <row r="256" customFormat="false" ht="14.25" hidden="false" customHeight="false" outlineLevel="0" collapsed="false">
      <c r="A256" s="0" t="n">
        <v>255</v>
      </c>
      <c r="B256" s="0" t="n">
        <f aca="false">IF('Boletins Nuppa Site'!A256&lt;&gt;0,'Boletins Nuppa Site'!A256,"NULL")</f>
        <v>43</v>
      </c>
      <c r="C256" s="0" t="n">
        <v>23</v>
      </c>
      <c r="D256" s="30" t="n">
        <f aca="false">IF('Boletins Nuppa Site'!G256&lt;&gt;0,'Boletins Nuppa Site'!G256,"NULL")</f>
        <v>50</v>
      </c>
      <c r="E256" s="30" t="n">
        <f aca="false">IF('Boletins Nuppa Site'!H256&lt;&gt;0,'Boletins Nuppa Site'!H256,"NULL")</f>
        <v>35</v>
      </c>
      <c r="F256" s="30" t="n">
        <f aca="false">IF('Boletins Nuppa Site'!I256&lt;&gt;0,'Boletins Nuppa Site'!I256,"NULL")</f>
        <v>50</v>
      </c>
      <c r="G256" s="30" t="n">
        <f aca="false">IF('Boletins Nuppa Site'!J256&lt;&gt;0,'Boletins Nuppa Site'!J256,"NULL")</f>
        <v>45</v>
      </c>
      <c r="H256" s="0" t="str">
        <f aca="false">IF('Boletins Nuppa Site'!K256&lt;&gt;0,'Boletins Nuppa Site'!K256,"NULL")</f>
        <v>47.5</v>
      </c>
      <c r="I256" s="0" t="str">
        <f aca="false">"INSERT INTO COTACAO (cot_id, cot_blt_id, cot_pap_id, cot_prc_comum, cot_prc_min, cot_prc_max, cot_prc_med, cot_prc_mediana) VALUES ("&amp;A256&amp;", "&amp;B256&amp;", "&amp;C256&amp;", "&amp;D256&amp;", "&amp;E256&amp;", "&amp;F256&amp;", "&amp;G256&amp;", "&amp;H256&amp;");"</f>
        <v>INSERT INTO COTACAO (cot_id, cot_blt_id, cot_pap_id, cot_prc_comum, cot_prc_min, cot_prc_max, cot_prc_med, cot_prc_mediana) VALUES (255, 43, 23, 50, 35, 50, 45, 47.5);</v>
      </c>
      <c r="J256" s="0" t="str">
        <f aca="false">"UPDATE COTACAO SET cot_id = "&amp;A256&amp;", cot_blt_id = "&amp;B256&amp;", cot_pap_id = "&amp;C256&amp;", cot_prc_comum = "&amp;D256&amp;", cot_prc_min = "&amp;E256&amp;", cot_prc_max = "&amp;F256&amp;", cot_prc_med = "&amp;G256&amp;", cot_prc_mediana = "&amp;H256&amp;" WHERE cot_id = "&amp;A256&amp;";"</f>
        <v>UPDATE COTACAO SET cot_id = 255, cot_blt_id = 43, cot_pap_id = 23, cot_prc_comum = 50, cot_prc_min = 35, cot_prc_max = 50, cot_prc_med = 45, cot_prc_mediana = 47.5 WHERE cot_id = 255;</v>
      </c>
    </row>
    <row r="257" customFormat="false" ht="14.25" hidden="false" customHeight="false" outlineLevel="0" collapsed="false">
      <c r="A257" s="0" t="n">
        <v>256</v>
      </c>
      <c r="B257" s="0" t="n">
        <f aca="false">IF('Boletins Nuppa Site'!A257&lt;&gt;0,'Boletins Nuppa Site'!A257,"NULL")</f>
        <v>43</v>
      </c>
      <c r="C257" s="0" t="n">
        <v>24</v>
      </c>
      <c r="D257" s="0" t="str">
        <f aca="false">IF('Boletins Nuppa Site'!G257&lt;&gt;0,'Boletins Nuppa Site'!G257,"NULL")</f>
        <v>NULL</v>
      </c>
      <c r="E257" s="30" t="n">
        <f aca="false">IF('Boletins Nuppa Site'!H257&lt;&gt;0,'Boletins Nuppa Site'!H257,"NULL")</f>
        <v>60</v>
      </c>
      <c r="F257" s="30" t="n">
        <f aca="false">IF('Boletins Nuppa Site'!I257&lt;&gt;0,'Boletins Nuppa Site'!I257,"NULL")</f>
        <v>60</v>
      </c>
      <c r="G257" s="30" t="n">
        <f aca="false">IF('Boletins Nuppa Site'!J257&lt;&gt;0,'Boletins Nuppa Site'!J257,"NULL")</f>
        <v>60</v>
      </c>
      <c r="H257" s="30" t="n">
        <f aca="false">IF('Boletins Nuppa Site'!K257&lt;&gt;0,'Boletins Nuppa Site'!K257,"NULL")</f>
        <v>60</v>
      </c>
      <c r="I257" s="0" t="str">
        <f aca="false">"INSERT INTO COTACAO (cot_id, cot_blt_id, cot_pap_id, cot_prc_comum, cot_prc_min, cot_prc_max, cot_prc_med, cot_prc_mediana) VALUES ("&amp;A257&amp;", "&amp;B257&amp;", "&amp;C257&amp;", "&amp;D257&amp;", "&amp;E257&amp;", "&amp;F257&amp;", "&amp;G257&amp;", "&amp;H257&amp;");"</f>
        <v>INSERT INTO COTACAO (cot_id, cot_blt_id, cot_pap_id, cot_prc_comum, cot_prc_min, cot_prc_max, cot_prc_med, cot_prc_mediana) VALUES (256, 43, 24, NULL, 60, 60, 60, 60);</v>
      </c>
      <c r="J257" s="0" t="str">
        <f aca="false">"UPDATE COTACAO SET cot_id = "&amp;A257&amp;", cot_blt_id = "&amp;B257&amp;", cot_pap_id = "&amp;C257&amp;", cot_prc_comum = "&amp;D257&amp;", cot_prc_min = "&amp;E257&amp;", cot_prc_max = "&amp;F257&amp;", cot_prc_med = "&amp;G257&amp;", cot_prc_mediana = "&amp;H257&amp;" WHERE cot_id = "&amp;A257&amp;";"</f>
        <v>UPDATE COTACAO SET cot_id = 256, cot_blt_id = 43, cot_pap_id = 24, cot_prc_comum = NULL, cot_prc_min = 60, cot_prc_max = 60, cot_prc_med = 60, cot_prc_mediana = 60 WHERE cot_id = 256;</v>
      </c>
    </row>
    <row r="258" customFormat="false" ht="14.25" hidden="false" customHeight="false" outlineLevel="0" collapsed="false">
      <c r="A258" s="0" t="n">
        <v>257</v>
      </c>
      <c r="B258" s="0" t="n">
        <f aca="false">IF('Boletins Nuppa Site'!A258&lt;&gt;0,'Boletins Nuppa Site'!A258,"NULL")</f>
        <v>43</v>
      </c>
      <c r="C258" s="0" t="n">
        <v>25</v>
      </c>
      <c r="D258" s="30" t="n">
        <f aca="false">IF('Boletins Nuppa Site'!G258&lt;&gt;0,'Boletins Nuppa Site'!G258,"NULL")</f>
        <v>60</v>
      </c>
      <c r="E258" s="30" t="n">
        <f aca="false">IF('Boletins Nuppa Site'!H258&lt;&gt;0,'Boletins Nuppa Site'!H258,"NULL")</f>
        <v>50</v>
      </c>
      <c r="F258" s="30" t="n">
        <f aca="false">IF('Boletins Nuppa Site'!I258&lt;&gt;0,'Boletins Nuppa Site'!I258,"NULL")</f>
        <v>70</v>
      </c>
      <c r="G258" s="30" t="n">
        <f aca="false">IF('Boletins Nuppa Site'!J258&lt;&gt;0,'Boletins Nuppa Site'!J258,"NULL")</f>
        <v>60</v>
      </c>
      <c r="H258" s="30" t="n">
        <f aca="false">IF('Boletins Nuppa Site'!K258&lt;&gt;0,'Boletins Nuppa Site'!K258,"NULL")</f>
        <v>60</v>
      </c>
      <c r="I258" s="0" t="str">
        <f aca="false">"INSERT INTO COTACAO (cot_id, cot_blt_id, cot_pap_id, cot_prc_comum, cot_prc_min, cot_prc_max, cot_prc_med, cot_prc_mediana) VALUES ("&amp;A258&amp;", "&amp;B258&amp;", "&amp;C258&amp;", "&amp;D258&amp;", "&amp;E258&amp;", "&amp;F258&amp;", "&amp;G258&amp;", "&amp;H258&amp;");"</f>
        <v>INSERT INTO COTACAO (cot_id, cot_blt_id, cot_pap_id, cot_prc_comum, cot_prc_min, cot_prc_max, cot_prc_med, cot_prc_mediana) VALUES (257, 43, 25, 60, 50, 70, 60, 60);</v>
      </c>
      <c r="J258" s="0" t="str">
        <f aca="false">"UPDATE COTACAO SET cot_id = "&amp;A258&amp;", cot_blt_id = "&amp;B258&amp;", cot_pap_id = "&amp;C258&amp;", cot_prc_comum = "&amp;D258&amp;", cot_prc_min = "&amp;E258&amp;", cot_prc_max = "&amp;F258&amp;", cot_prc_med = "&amp;G258&amp;", cot_prc_mediana = "&amp;H258&amp;" WHERE cot_id = "&amp;A258&amp;";"</f>
        <v>UPDATE COTACAO SET cot_id = 257, cot_blt_id = 43, cot_pap_id = 25, cot_prc_comum = 60, cot_prc_min = 50, cot_prc_max = 70, cot_prc_med = 60, cot_prc_mediana = 60 WHERE cot_id = 257;</v>
      </c>
    </row>
    <row r="259" customFormat="false" ht="14.25" hidden="false" customHeight="false" outlineLevel="0" collapsed="false">
      <c r="A259" s="0" t="n">
        <v>258</v>
      </c>
      <c r="B259" s="0" t="n">
        <f aca="false">IF('Boletins Nuppa Site'!A259&lt;&gt;0,'Boletins Nuppa Site'!A259,"NULL")</f>
        <v>43</v>
      </c>
      <c r="C259" s="0" t="n">
        <v>26</v>
      </c>
      <c r="D259" s="30" t="n">
        <f aca="false">IF('Boletins Nuppa Site'!G259&lt;&gt;0,'Boletins Nuppa Site'!G259,"NULL")</f>
        <v>60</v>
      </c>
      <c r="E259" s="30" t="n">
        <f aca="false">IF('Boletins Nuppa Site'!H259&lt;&gt;0,'Boletins Nuppa Site'!H259,"NULL")</f>
        <v>40</v>
      </c>
      <c r="F259" s="30" t="n">
        <f aca="false">IF('Boletins Nuppa Site'!I259&lt;&gt;0,'Boletins Nuppa Site'!I259,"NULL")</f>
        <v>60</v>
      </c>
      <c r="G259" s="30" t="n">
        <f aca="false">IF('Boletins Nuppa Site'!J259&lt;&gt;0,'Boletins Nuppa Site'!J259,"NULL")</f>
        <v>54</v>
      </c>
      <c r="H259" s="30" t="n">
        <f aca="false">IF('Boletins Nuppa Site'!K259&lt;&gt;0,'Boletins Nuppa Site'!K259,"NULL")</f>
        <v>60</v>
      </c>
      <c r="I259" s="0" t="str">
        <f aca="false">"INSERT INTO COTACAO (cot_id, cot_blt_id, cot_pap_id, cot_prc_comum, cot_prc_min, cot_prc_max, cot_prc_med, cot_prc_mediana) VALUES ("&amp;A259&amp;", "&amp;B259&amp;", "&amp;C259&amp;", "&amp;D259&amp;", "&amp;E259&amp;", "&amp;F259&amp;", "&amp;G259&amp;", "&amp;H259&amp;");"</f>
        <v>INSERT INTO COTACAO (cot_id, cot_blt_id, cot_pap_id, cot_prc_comum, cot_prc_min, cot_prc_max, cot_prc_med, cot_prc_mediana) VALUES (258, 43, 26, 60, 40, 60, 54, 60);</v>
      </c>
      <c r="J259" s="0" t="str">
        <f aca="false">"UPDATE COTACAO SET cot_id = "&amp;A259&amp;", cot_blt_id = "&amp;B259&amp;", cot_pap_id = "&amp;C259&amp;", cot_prc_comum = "&amp;D259&amp;", cot_prc_min = "&amp;E259&amp;", cot_prc_max = "&amp;F259&amp;", cot_prc_med = "&amp;G259&amp;", cot_prc_mediana = "&amp;H259&amp;" WHERE cot_id = "&amp;A259&amp;";"</f>
        <v>UPDATE COTACAO SET cot_id = 258, cot_blt_id = 43, cot_pap_id = 26, cot_prc_comum = 60, cot_prc_min = 40, cot_prc_max = 60, cot_prc_med = 54, cot_prc_mediana = 60 WHERE cot_id = 258;</v>
      </c>
    </row>
    <row r="260" customFormat="false" ht="14.25" hidden="false" customHeight="false" outlineLevel="0" collapsed="false">
      <c r="A260" s="0" t="n">
        <v>259</v>
      </c>
      <c r="B260" s="0" t="n">
        <f aca="false">IF('Boletins Nuppa Site'!A260&lt;&gt;0,'Boletins Nuppa Site'!A260,"NULL")</f>
        <v>43</v>
      </c>
      <c r="C260" s="0" t="n">
        <v>27</v>
      </c>
      <c r="D260" s="30" t="n">
        <f aca="false">IF('Boletins Nuppa Site'!G260&lt;&gt;0,'Boletins Nuppa Site'!G260,"NULL")</f>
        <v>50</v>
      </c>
      <c r="E260" s="30" t="n">
        <f aca="false">IF('Boletins Nuppa Site'!H260&lt;&gt;0,'Boletins Nuppa Site'!H260,"NULL")</f>
        <v>35</v>
      </c>
      <c r="F260" s="30" t="n">
        <f aca="false">IF('Boletins Nuppa Site'!I260&lt;&gt;0,'Boletins Nuppa Site'!I260,"NULL")</f>
        <v>50</v>
      </c>
      <c r="G260" s="30" t="n">
        <f aca="false">IF('Boletins Nuppa Site'!J260&lt;&gt;0,'Boletins Nuppa Site'!J260,"NULL")</f>
        <v>46</v>
      </c>
      <c r="H260" s="30" t="n">
        <f aca="false">IF('Boletins Nuppa Site'!K260&lt;&gt;0,'Boletins Nuppa Site'!K260,"NULL")</f>
        <v>50</v>
      </c>
      <c r="I260" s="0" t="str">
        <f aca="false">"INSERT INTO COTACAO (cot_id, cot_blt_id, cot_pap_id, cot_prc_comum, cot_prc_min, cot_prc_max, cot_prc_med, cot_prc_mediana) VALUES ("&amp;A260&amp;", "&amp;B260&amp;", "&amp;C260&amp;", "&amp;D260&amp;", "&amp;E260&amp;", "&amp;F260&amp;", "&amp;G260&amp;", "&amp;H260&amp;");"</f>
        <v>INSERT INTO COTACAO (cot_id, cot_blt_id, cot_pap_id, cot_prc_comum, cot_prc_min, cot_prc_max, cot_prc_med, cot_prc_mediana) VALUES (259, 43, 27, 50, 35, 50, 46, 50);</v>
      </c>
      <c r="J260" s="0" t="str">
        <f aca="false">"UPDATE COTACAO SET cot_id = "&amp;A260&amp;", cot_blt_id = "&amp;B260&amp;", cot_pap_id = "&amp;C260&amp;", cot_prc_comum = "&amp;D260&amp;", cot_prc_min = "&amp;E260&amp;", cot_prc_max = "&amp;F260&amp;", cot_prc_med = "&amp;G260&amp;", cot_prc_mediana = "&amp;H260&amp;" WHERE cot_id = "&amp;A260&amp;";"</f>
        <v>UPDATE COTACAO SET cot_id = 259, cot_blt_id = 43, cot_pap_id = 27, cot_prc_comum = 50, cot_prc_min = 35, cot_prc_max = 50, cot_prc_med = 46, cot_prc_mediana = 50 WHERE cot_id = 259;</v>
      </c>
    </row>
    <row r="261" customFormat="false" ht="14.25" hidden="false" customHeight="false" outlineLevel="0" collapsed="false">
      <c r="A261" s="0" t="n">
        <v>260</v>
      </c>
      <c r="B261" s="0" t="n">
        <f aca="false">IF('Boletins Nuppa Site'!A261&lt;&gt;0,'Boletins Nuppa Site'!A261,"NULL")</f>
        <v>43</v>
      </c>
      <c r="C261" s="0" t="n">
        <v>28</v>
      </c>
      <c r="D261" s="30" t="n">
        <f aca="false">IF('Boletins Nuppa Site'!G261&lt;&gt;0,'Boletins Nuppa Site'!G261,"NULL")</f>
        <v>70</v>
      </c>
      <c r="E261" s="30" t="n">
        <f aca="false">IF('Boletins Nuppa Site'!H261&lt;&gt;0,'Boletins Nuppa Site'!H261,"NULL")</f>
        <v>50</v>
      </c>
      <c r="F261" s="30" t="n">
        <f aca="false">IF('Boletins Nuppa Site'!I261&lt;&gt;0,'Boletins Nuppa Site'!I261,"NULL")</f>
        <v>70</v>
      </c>
      <c r="G261" s="0" t="str">
        <f aca="false">IF('Boletins Nuppa Site'!J261&lt;&gt;0,'Boletins Nuppa Site'!J261,"NULL")</f>
        <v>62.5</v>
      </c>
      <c r="H261" s="30" t="n">
        <f aca="false">IF('Boletins Nuppa Site'!K261&lt;&gt;0,'Boletins Nuppa Site'!K261,"NULL")</f>
        <v>65</v>
      </c>
      <c r="I261" s="0" t="str">
        <f aca="false">"INSERT INTO COTACAO (cot_id, cot_blt_id, cot_pap_id, cot_prc_comum, cot_prc_min, cot_prc_max, cot_prc_med, cot_prc_mediana) VALUES ("&amp;A261&amp;", "&amp;B261&amp;", "&amp;C261&amp;", "&amp;D261&amp;", "&amp;E261&amp;", "&amp;F261&amp;", "&amp;G261&amp;", "&amp;H261&amp;");"</f>
        <v>INSERT INTO COTACAO (cot_id, cot_blt_id, cot_pap_id, cot_prc_comum, cot_prc_min, cot_prc_max, cot_prc_med, cot_prc_mediana) VALUES (260, 43, 28, 70, 50, 70, 62.5, 65);</v>
      </c>
      <c r="J261" s="0" t="str">
        <f aca="false">"UPDATE COTACAO SET cot_id = "&amp;A261&amp;", cot_blt_id = "&amp;B261&amp;", cot_pap_id = "&amp;C261&amp;", cot_prc_comum = "&amp;D261&amp;", cot_prc_min = "&amp;E261&amp;", cot_prc_max = "&amp;F261&amp;", cot_prc_med = "&amp;G261&amp;", cot_prc_mediana = "&amp;H261&amp;" WHERE cot_id = "&amp;A261&amp;";"</f>
        <v>UPDATE COTACAO SET cot_id = 260, cot_blt_id = 43, cot_pap_id = 28, cot_prc_comum = 70, cot_prc_min = 50, cot_prc_max = 70, cot_prc_med = 62.5, cot_prc_mediana = 65 WHERE cot_id = 260;</v>
      </c>
    </row>
    <row r="262" customFormat="false" ht="14.25" hidden="false" customHeight="false" outlineLevel="0" collapsed="false">
      <c r="A262" s="0" t="n">
        <v>261</v>
      </c>
      <c r="B262" s="0" t="n">
        <f aca="false">IF('Boletins Nuppa Site'!A262&lt;&gt;0,'Boletins Nuppa Site'!A262,"NULL")</f>
        <v>43</v>
      </c>
      <c r="C262" s="0" t="n">
        <v>29</v>
      </c>
      <c r="D262" s="0" t="str">
        <f aca="false">IF('Boletins Nuppa Site'!G262&lt;&gt;0,'Boletins Nuppa Site'!G262,"NULL")</f>
        <v>NULL</v>
      </c>
      <c r="E262" s="30" t="n">
        <f aca="false">IF('Boletins Nuppa Site'!H262&lt;&gt;0,'Boletins Nuppa Site'!H262,"NULL")</f>
        <v>50</v>
      </c>
      <c r="F262" s="30" t="n">
        <f aca="false">IF('Boletins Nuppa Site'!I262&lt;&gt;0,'Boletins Nuppa Site'!I262,"NULL")</f>
        <v>55</v>
      </c>
      <c r="G262" s="0" t="str">
        <f aca="false">IF('Boletins Nuppa Site'!J262&lt;&gt;0,'Boletins Nuppa Site'!J262,"NULL")</f>
        <v>52.5</v>
      </c>
      <c r="H262" s="0" t="str">
        <f aca="false">IF('Boletins Nuppa Site'!K262&lt;&gt;0,'Boletins Nuppa Site'!K262,"NULL")</f>
        <v>52.5</v>
      </c>
      <c r="I262" s="0" t="str">
        <f aca="false">"INSERT INTO COTACAO (cot_id, cot_blt_id, cot_pap_id, cot_prc_comum, cot_prc_min, cot_prc_max, cot_prc_med, cot_prc_mediana) VALUES ("&amp;A262&amp;", "&amp;B262&amp;", "&amp;C262&amp;", "&amp;D262&amp;", "&amp;E262&amp;", "&amp;F262&amp;", "&amp;G262&amp;", "&amp;H262&amp;");"</f>
        <v>INSERT INTO COTACAO (cot_id, cot_blt_id, cot_pap_id, cot_prc_comum, cot_prc_min, cot_prc_max, cot_prc_med, cot_prc_mediana) VALUES (261, 43, 29, NULL, 50, 55, 52.5, 52.5);</v>
      </c>
      <c r="J262" s="0" t="str">
        <f aca="false">"UPDATE COTACAO SET cot_id = "&amp;A262&amp;", cot_blt_id = "&amp;B262&amp;", cot_pap_id = "&amp;C262&amp;", cot_prc_comum = "&amp;D262&amp;", cot_prc_min = "&amp;E262&amp;", cot_prc_max = "&amp;F262&amp;", cot_prc_med = "&amp;G262&amp;", cot_prc_mediana = "&amp;H262&amp;" WHERE cot_id = "&amp;A262&amp;";"</f>
        <v>UPDATE COTACAO SET cot_id = 261, cot_blt_id = 43, cot_pap_id = 29, cot_prc_comum = NULL, cot_prc_min = 50, cot_prc_max = 55, cot_prc_med = 52.5, cot_prc_mediana = 52.5 WHERE cot_id = 261;</v>
      </c>
    </row>
    <row r="263" customFormat="false" ht="14.25" hidden="false" customHeight="false" outlineLevel="0" collapsed="false">
      <c r="A263" s="0" t="n">
        <v>262</v>
      </c>
      <c r="B263" s="0" t="n">
        <f aca="false">IF('Boletins Nuppa Site'!A263&lt;&gt;0,'Boletins Nuppa Site'!A263,"NULL")</f>
        <v>43</v>
      </c>
      <c r="C263" s="0" t="n">
        <v>30</v>
      </c>
      <c r="D263" s="0" t="str">
        <f aca="false">IF('Boletins Nuppa Site'!G263&lt;&gt;0,'Boletins Nuppa Site'!G263,"NULL")</f>
        <v>NULL</v>
      </c>
      <c r="E263" s="30" t="n">
        <f aca="false">IF('Boletins Nuppa Site'!H263&lt;&gt;0,'Boletins Nuppa Site'!H263,"NULL")</f>
        <v>45</v>
      </c>
      <c r="F263" s="30" t="n">
        <f aca="false">IF('Boletins Nuppa Site'!I263&lt;&gt;0,'Boletins Nuppa Site'!I263,"NULL")</f>
        <v>60</v>
      </c>
      <c r="G263" s="0" t="str">
        <f aca="false">IF('Boletins Nuppa Site'!J263&lt;&gt;0,'Boletins Nuppa Site'!J263,"NULL")</f>
        <v>51.67</v>
      </c>
      <c r="H263" s="30" t="n">
        <f aca="false">IF('Boletins Nuppa Site'!K263&lt;&gt;0,'Boletins Nuppa Site'!K263,"NULL")</f>
        <v>50</v>
      </c>
      <c r="I263" s="0" t="str">
        <f aca="false">"INSERT INTO COTACAO (cot_id, cot_blt_id, cot_pap_id, cot_prc_comum, cot_prc_min, cot_prc_max, cot_prc_med, cot_prc_mediana) VALUES ("&amp;A263&amp;", "&amp;B263&amp;", "&amp;C263&amp;", "&amp;D263&amp;", "&amp;E263&amp;", "&amp;F263&amp;", "&amp;G263&amp;", "&amp;H263&amp;");"</f>
        <v>INSERT INTO COTACAO (cot_id, cot_blt_id, cot_pap_id, cot_prc_comum, cot_prc_min, cot_prc_max, cot_prc_med, cot_prc_mediana) VALUES (262, 43, 30, NULL, 45, 60, 51.67, 50);</v>
      </c>
      <c r="J263" s="0" t="str">
        <f aca="false">"UPDATE COTACAO SET cot_id = "&amp;A263&amp;", cot_blt_id = "&amp;B263&amp;", cot_pap_id = "&amp;C263&amp;", cot_prc_comum = "&amp;D263&amp;", cot_prc_min = "&amp;E263&amp;", cot_prc_max = "&amp;F263&amp;", cot_prc_med = "&amp;G263&amp;", cot_prc_mediana = "&amp;H263&amp;" WHERE cot_id = "&amp;A263&amp;";"</f>
        <v>UPDATE COTACAO SET cot_id = 262, cot_blt_id = 43, cot_pap_id = 30, cot_prc_comum = NULL, cot_prc_min = 45, cot_prc_max = 60, cot_prc_med = 51.67, cot_prc_mediana = 50 WHERE cot_id = 262;</v>
      </c>
    </row>
    <row r="264" customFormat="false" ht="14.25" hidden="false" customHeight="false" outlineLevel="0" collapsed="false">
      <c r="A264" s="0" t="n">
        <v>263</v>
      </c>
      <c r="B264" s="0" t="n">
        <f aca="false">IF('Boletins Nuppa Site'!A264&lt;&gt;0,'Boletins Nuppa Site'!A264,"NULL")</f>
        <v>43</v>
      </c>
      <c r="C264" s="0" t="n">
        <v>31</v>
      </c>
      <c r="D264" s="0" t="str">
        <f aca="false">IF('Boletins Nuppa Site'!G264&lt;&gt;0,'Boletins Nuppa Site'!G264,"NULL")</f>
        <v>NULL</v>
      </c>
      <c r="E264" s="30" t="n">
        <f aca="false">IF('Boletins Nuppa Site'!H264&lt;&gt;0,'Boletins Nuppa Site'!H264,"NULL")</f>
        <v>60</v>
      </c>
      <c r="F264" s="30" t="n">
        <f aca="false">IF('Boletins Nuppa Site'!I264&lt;&gt;0,'Boletins Nuppa Site'!I264,"NULL")</f>
        <v>100</v>
      </c>
      <c r="G264" s="30" t="n">
        <f aca="false">IF('Boletins Nuppa Site'!J264&lt;&gt;0,'Boletins Nuppa Site'!J264,"NULL")</f>
        <v>81</v>
      </c>
      <c r="H264" s="30" t="n">
        <f aca="false">IF('Boletins Nuppa Site'!K264&lt;&gt;0,'Boletins Nuppa Site'!K264,"NULL")</f>
        <v>80</v>
      </c>
      <c r="I264" s="0" t="str">
        <f aca="false">"INSERT INTO COTACAO (cot_id, cot_blt_id, cot_pap_id, cot_prc_comum, cot_prc_min, cot_prc_max, cot_prc_med, cot_prc_mediana) VALUES ("&amp;A264&amp;", "&amp;B264&amp;", "&amp;C264&amp;", "&amp;D264&amp;", "&amp;E264&amp;", "&amp;F264&amp;", "&amp;G264&amp;", "&amp;H264&amp;");"</f>
        <v>INSERT INTO COTACAO (cot_id, cot_blt_id, cot_pap_id, cot_prc_comum, cot_prc_min, cot_prc_max, cot_prc_med, cot_prc_mediana) VALUES (263, 43, 31, NULL, 60, 100, 81, 80);</v>
      </c>
      <c r="J264" s="0" t="str">
        <f aca="false">"UPDATE COTACAO SET cot_id = "&amp;A264&amp;", cot_blt_id = "&amp;B264&amp;", cot_pap_id = "&amp;C264&amp;", cot_prc_comum = "&amp;D264&amp;", cot_prc_min = "&amp;E264&amp;", cot_prc_max = "&amp;F264&amp;", cot_prc_med = "&amp;G264&amp;", cot_prc_mediana = "&amp;H264&amp;" WHERE cot_id = "&amp;A264&amp;";"</f>
        <v>UPDATE COTACAO SET cot_id = 263, cot_blt_id = 43, cot_pap_id = 31, cot_prc_comum = NULL, cot_prc_min = 60, cot_prc_max = 100, cot_prc_med = 81, cot_prc_mediana = 80 WHERE cot_id = 263;</v>
      </c>
    </row>
    <row r="265" customFormat="false" ht="14.25" hidden="false" customHeight="false" outlineLevel="0" collapsed="false">
      <c r="A265" s="0" t="n">
        <v>264</v>
      </c>
      <c r="B265" s="0" t="n">
        <f aca="false">IF('Boletins Nuppa Site'!A265&lt;&gt;0,'Boletins Nuppa Site'!A265,"NULL")</f>
        <v>43</v>
      </c>
      <c r="C265" s="0" t="n">
        <v>32</v>
      </c>
      <c r="D265" s="30" t="n">
        <f aca="false">IF('Boletins Nuppa Site'!G265&lt;&gt;0,'Boletins Nuppa Site'!G265,"NULL")</f>
        <v>40</v>
      </c>
      <c r="E265" s="30" t="n">
        <f aca="false">IF('Boletins Nuppa Site'!H265&lt;&gt;0,'Boletins Nuppa Site'!H265,"NULL")</f>
        <v>35</v>
      </c>
      <c r="F265" s="30" t="n">
        <f aca="false">IF('Boletins Nuppa Site'!I265&lt;&gt;0,'Boletins Nuppa Site'!I265,"NULL")</f>
        <v>40</v>
      </c>
      <c r="G265" s="0" t="str">
        <f aca="false">IF('Boletins Nuppa Site'!J265&lt;&gt;0,'Boletins Nuppa Site'!J265,"NULL")</f>
        <v>38.75</v>
      </c>
      <c r="H265" s="30" t="n">
        <f aca="false">IF('Boletins Nuppa Site'!K265&lt;&gt;0,'Boletins Nuppa Site'!K265,"NULL")</f>
        <v>40</v>
      </c>
      <c r="I265" s="0" t="str">
        <f aca="false">"INSERT INTO COTACAO (cot_id, cot_blt_id, cot_pap_id, cot_prc_comum, cot_prc_min, cot_prc_max, cot_prc_med, cot_prc_mediana) VALUES ("&amp;A265&amp;", "&amp;B265&amp;", "&amp;C265&amp;", "&amp;D265&amp;", "&amp;E265&amp;", "&amp;F265&amp;", "&amp;G265&amp;", "&amp;H265&amp;");"</f>
        <v>INSERT INTO COTACAO (cot_id, cot_blt_id, cot_pap_id, cot_prc_comum, cot_prc_min, cot_prc_max, cot_prc_med, cot_prc_mediana) VALUES (264, 43, 32, 40, 35, 40, 38.75, 40);</v>
      </c>
      <c r="J265" s="0" t="str">
        <f aca="false">"UPDATE COTACAO SET cot_id = "&amp;A265&amp;", cot_blt_id = "&amp;B265&amp;", cot_pap_id = "&amp;C265&amp;", cot_prc_comum = "&amp;D265&amp;", cot_prc_min = "&amp;E265&amp;", cot_prc_max = "&amp;F265&amp;", cot_prc_med = "&amp;G265&amp;", cot_prc_mediana = "&amp;H265&amp;" WHERE cot_id = "&amp;A265&amp;";"</f>
        <v>UPDATE COTACAO SET cot_id = 264, cot_blt_id = 43, cot_pap_id = 32, cot_prc_comum = 40, cot_prc_min = 35, cot_prc_max = 40, cot_prc_med = 38.75, cot_prc_mediana = 40 WHERE cot_id = 264;</v>
      </c>
    </row>
    <row r="266" customFormat="false" ht="14.25" hidden="false" customHeight="false" outlineLevel="0" collapsed="false">
      <c r="A266" s="0" t="n">
        <v>265</v>
      </c>
      <c r="B266" s="0" t="n">
        <f aca="false">IF('Boletins Nuppa Site'!A266&lt;&gt;0,'Boletins Nuppa Site'!A266,"NULL")</f>
        <v>43</v>
      </c>
      <c r="C266" s="0" t="n">
        <v>33</v>
      </c>
      <c r="D266" s="30" t="n">
        <f aca="false">IF('Boletins Nuppa Site'!G266&lt;&gt;0,'Boletins Nuppa Site'!G266,"NULL")</f>
        <v>70</v>
      </c>
      <c r="E266" s="30" t="n">
        <f aca="false">IF('Boletins Nuppa Site'!H266&lt;&gt;0,'Boletins Nuppa Site'!H266,"NULL")</f>
        <v>70</v>
      </c>
      <c r="F266" s="30" t="n">
        <f aca="false">IF('Boletins Nuppa Site'!I266&lt;&gt;0,'Boletins Nuppa Site'!I266,"NULL")</f>
        <v>100</v>
      </c>
      <c r="G266" s="30" t="n">
        <f aca="false">IF('Boletins Nuppa Site'!J266&lt;&gt;0,'Boletins Nuppa Site'!J266,"NULL")</f>
        <v>80</v>
      </c>
      <c r="H266" s="30" t="n">
        <f aca="false">IF('Boletins Nuppa Site'!K266&lt;&gt;0,'Boletins Nuppa Site'!K266,"NULL")</f>
        <v>75</v>
      </c>
      <c r="I266" s="0" t="str">
        <f aca="false">"INSERT INTO COTACAO (cot_id, cot_blt_id, cot_pap_id, cot_prc_comum, cot_prc_min, cot_prc_max, cot_prc_med, cot_prc_mediana) VALUES ("&amp;A266&amp;", "&amp;B266&amp;", "&amp;C266&amp;", "&amp;D266&amp;", "&amp;E266&amp;", "&amp;F266&amp;", "&amp;G266&amp;", "&amp;H266&amp;");"</f>
        <v>INSERT INTO COTACAO (cot_id, cot_blt_id, cot_pap_id, cot_prc_comum, cot_prc_min, cot_prc_max, cot_prc_med, cot_prc_mediana) VALUES (265, 43, 33, 70, 70, 100, 80, 75);</v>
      </c>
      <c r="J266" s="0" t="str">
        <f aca="false">"UPDATE COTACAO SET cot_id = "&amp;A266&amp;", cot_blt_id = "&amp;B266&amp;", cot_pap_id = "&amp;C266&amp;", cot_prc_comum = "&amp;D266&amp;", cot_prc_min = "&amp;E266&amp;", cot_prc_max = "&amp;F266&amp;", cot_prc_med = "&amp;G266&amp;", cot_prc_mediana = "&amp;H266&amp;" WHERE cot_id = "&amp;A266&amp;";"</f>
        <v>UPDATE COTACAO SET cot_id = 265, cot_blt_id = 43, cot_pap_id = 33, cot_prc_comum = 70, cot_prc_min = 70, cot_prc_max = 100, cot_prc_med = 80, cot_prc_mediana = 75 WHERE cot_id = 265;</v>
      </c>
    </row>
    <row r="267" customFormat="false" ht="14.25" hidden="false" customHeight="false" outlineLevel="0" collapsed="false">
      <c r="A267" s="0" t="n">
        <v>266</v>
      </c>
      <c r="B267" s="0" t="n">
        <f aca="false">IF('Boletins Nuppa Site'!A267&lt;&gt;0,'Boletins Nuppa Site'!A267,"NULL")</f>
        <v>43</v>
      </c>
      <c r="C267" s="0" t="n">
        <v>34</v>
      </c>
      <c r="D267" s="30" t="n">
        <f aca="false">IF('Boletins Nuppa Site'!G267&lt;&gt;0,'Boletins Nuppa Site'!G267,"NULL")</f>
        <v>110</v>
      </c>
      <c r="E267" s="30" t="n">
        <f aca="false">IF('Boletins Nuppa Site'!H267&lt;&gt;0,'Boletins Nuppa Site'!H267,"NULL")</f>
        <v>100</v>
      </c>
      <c r="F267" s="30" t="n">
        <f aca="false">IF('Boletins Nuppa Site'!I267&lt;&gt;0,'Boletins Nuppa Site'!I267,"NULL")</f>
        <v>140</v>
      </c>
      <c r="G267" s="30" t="n">
        <f aca="false">IF('Boletins Nuppa Site'!J267&lt;&gt;0,'Boletins Nuppa Site'!J267,"NULL")</f>
        <v>115</v>
      </c>
      <c r="H267" s="30" t="n">
        <f aca="false">IF('Boletins Nuppa Site'!K267&lt;&gt;0,'Boletins Nuppa Site'!K267,"NULL")</f>
        <v>110</v>
      </c>
      <c r="I267" s="0" t="str">
        <f aca="false">"INSERT INTO COTACAO (cot_id, cot_blt_id, cot_pap_id, cot_prc_comum, cot_prc_min, cot_prc_max, cot_prc_med, cot_prc_mediana) VALUES ("&amp;A267&amp;", "&amp;B267&amp;", "&amp;C267&amp;", "&amp;D267&amp;", "&amp;E267&amp;", "&amp;F267&amp;", "&amp;G267&amp;", "&amp;H267&amp;");"</f>
        <v>INSERT INTO COTACAO (cot_id, cot_blt_id, cot_pap_id, cot_prc_comum, cot_prc_min, cot_prc_max, cot_prc_med, cot_prc_mediana) VALUES (266, 43, 34, 110, 100, 140, 115, 110);</v>
      </c>
      <c r="J267" s="0" t="str">
        <f aca="false">"UPDATE COTACAO SET cot_id = "&amp;A267&amp;", cot_blt_id = "&amp;B267&amp;", cot_pap_id = "&amp;C267&amp;", cot_prc_comum = "&amp;D267&amp;", cot_prc_min = "&amp;E267&amp;", cot_prc_max = "&amp;F267&amp;", cot_prc_med = "&amp;G267&amp;", cot_prc_mediana = "&amp;H267&amp;" WHERE cot_id = "&amp;A267&amp;";"</f>
        <v>UPDATE COTACAO SET cot_id = 266, cot_blt_id = 43, cot_pap_id = 34, cot_prc_comum = 110, cot_prc_min = 100, cot_prc_max = 140, cot_prc_med = 115, cot_prc_mediana = 110 WHERE cot_id = 266;</v>
      </c>
    </row>
    <row r="268" customFormat="false" ht="14.25" hidden="false" customHeight="false" outlineLevel="0" collapsed="false">
      <c r="A268" s="0" t="n">
        <v>267</v>
      </c>
      <c r="B268" s="0" t="n">
        <f aca="false">IF('Boletins Nuppa Site'!A268&lt;&gt;0,'Boletins Nuppa Site'!A268,"NULL")</f>
        <v>43</v>
      </c>
      <c r="C268" s="0" t="n">
        <v>35</v>
      </c>
      <c r="D268" s="30" t="n">
        <f aca="false">IF('Boletins Nuppa Site'!G268&lt;&gt;0,'Boletins Nuppa Site'!G268,"NULL")</f>
        <v>120</v>
      </c>
      <c r="E268" s="30" t="n">
        <f aca="false">IF('Boletins Nuppa Site'!H268&lt;&gt;0,'Boletins Nuppa Site'!H268,"NULL")</f>
        <v>100</v>
      </c>
      <c r="F268" s="30" t="n">
        <f aca="false">IF('Boletins Nuppa Site'!I268&lt;&gt;0,'Boletins Nuppa Site'!I268,"NULL")</f>
        <v>130</v>
      </c>
      <c r="G268" s="0" t="str">
        <f aca="false">IF('Boletins Nuppa Site'!J268&lt;&gt;0,'Boletins Nuppa Site'!J268,"NULL")</f>
        <v>117.5</v>
      </c>
      <c r="H268" s="30" t="n">
        <f aca="false">IF('Boletins Nuppa Site'!K268&lt;&gt;0,'Boletins Nuppa Site'!K268,"NULL")</f>
        <v>120</v>
      </c>
      <c r="I268" s="0" t="str">
        <f aca="false">"INSERT INTO COTACAO (cot_id, cot_blt_id, cot_pap_id, cot_prc_comum, cot_prc_min, cot_prc_max, cot_prc_med, cot_prc_mediana) VALUES ("&amp;A268&amp;", "&amp;B268&amp;", "&amp;C268&amp;", "&amp;D268&amp;", "&amp;E268&amp;", "&amp;F268&amp;", "&amp;G268&amp;", "&amp;H268&amp;");"</f>
        <v>INSERT INTO COTACAO (cot_id, cot_blt_id, cot_pap_id, cot_prc_comum, cot_prc_min, cot_prc_max, cot_prc_med, cot_prc_mediana) VALUES (267, 43, 35, 120, 100, 130, 117.5, 120);</v>
      </c>
      <c r="J268" s="0" t="str">
        <f aca="false">"UPDATE COTACAO SET cot_id = "&amp;A268&amp;", cot_blt_id = "&amp;B268&amp;", cot_pap_id = "&amp;C268&amp;", cot_prc_comum = "&amp;D268&amp;", cot_prc_min = "&amp;E268&amp;", cot_prc_max = "&amp;F268&amp;", cot_prc_med = "&amp;G268&amp;", cot_prc_mediana = "&amp;H268&amp;" WHERE cot_id = "&amp;A268&amp;";"</f>
        <v>UPDATE COTACAO SET cot_id = 267, cot_blt_id = 43, cot_pap_id = 35, cot_prc_comum = 120, cot_prc_min = 100, cot_prc_max = 130, cot_prc_med = 117.5, cot_prc_mediana = 120 WHERE cot_id = 267;</v>
      </c>
    </row>
    <row r="269" customFormat="false" ht="14.25" hidden="false" customHeight="false" outlineLevel="0" collapsed="false">
      <c r="A269" s="0" t="n">
        <v>268</v>
      </c>
      <c r="B269" s="0" t="n">
        <f aca="false">IF('Boletins Nuppa Site'!A269&lt;&gt;0,'Boletins Nuppa Site'!A269,"NULL")</f>
        <v>43</v>
      </c>
      <c r="C269" s="0" t="n">
        <v>36</v>
      </c>
      <c r="D269" s="0" t="str">
        <f aca="false">IF('Boletins Nuppa Site'!G269&lt;&gt;0,'Boletins Nuppa Site'!G269,"NULL")</f>
        <v>NULL</v>
      </c>
      <c r="E269" s="0" t="str">
        <f aca="false">IF('Boletins Nuppa Site'!H269&lt;&gt;0,'Boletins Nuppa Site'!H269,"NULL")</f>
        <v>NULL</v>
      </c>
      <c r="F269" s="0" t="str">
        <f aca="false">IF('Boletins Nuppa Site'!I269&lt;&gt;0,'Boletins Nuppa Site'!I269,"NULL")</f>
        <v>NULL</v>
      </c>
      <c r="G269" s="0" t="str">
        <f aca="false">IF('Boletins Nuppa Site'!J269&lt;&gt;0,'Boletins Nuppa Site'!J269,"NULL")</f>
        <v>NULL</v>
      </c>
      <c r="H269" s="0" t="str">
        <f aca="false">IF('Boletins Nuppa Site'!K269&lt;&gt;0,'Boletins Nuppa Site'!K269,"NULL")</f>
        <v>NULL</v>
      </c>
      <c r="I269" s="0" t="str">
        <f aca="false">"INSERT INTO COTACAO (cot_id, cot_blt_id, cot_pap_id, cot_prc_comum, cot_prc_min, cot_prc_max, cot_prc_med, cot_prc_mediana) VALUES ("&amp;A269&amp;", "&amp;B269&amp;", "&amp;C269&amp;", "&amp;D269&amp;", "&amp;E269&amp;", "&amp;F269&amp;", "&amp;G269&amp;", "&amp;H269&amp;");"</f>
        <v>INSERT INTO COTACAO (cot_id, cot_blt_id, cot_pap_id, cot_prc_comum, cot_prc_min, cot_prc_max, cot_prc_med, cot_prc_mediana) VALUES (268, 43, 36, NULL, NULL, NULL, NULL, NULL);</v>
      </c>
      <c r="J269" s="0" t="str">
        <f aca="false">"UPDATE COTACAO SET cot_id = "&amp;A269&amp;", cot_blt_id = "&amp;B269&amp;", cot_pap_id = "&amp;C269&amp;", cot_prc_comum = "&amp;D269&amp;", cot_prc_min = "&amp;E269&amp;", cot_prc_max = "&amp;F269&amp;", cot_prc_med = "&amp;G269&amp;", cot_prc_mediana = "&amp;H269&amp;" WHERE cot_id = "&amp;A269&amp;";"</f>
        <v>UPDATE COTACAO SET cot_id = 268, cot_blt_id = 43, cot_pap_id = 36, cot_prc_comum = NULL, cot_prc_min = NULL, cot_prc_max = NULL, cot_prc_med = NULL, cot_prc_mediana = NULL WHERE cot_id = 268;</v>
      </c>
    </row>
    <row r="270" customFormat="false" ht="14.25" hidden="false" customHeight="false" outlineLevel="0" collapsed="false">
      <c r="A270" s="0" t="n">
        <v>269</v>
      </c>
      <c r="B270" s="0" t="n">
        <f aca="false">IF('Boletins Nuppa Site'!A270&lt;&gt;0,'Boletins Nuppa Site'!A270,"NULL")</f>
        <v>43</v>
      </c>
      <c r="C270" s="0" t="n">
        <v>37</v>
      </c>
      <c r="D270" s="0" t="str">
        <f aca="false">IF('Boletins Nuppa Site'!G270&lt;&gt;0,'Boletins Nuppa Site'!G270,"NULL")</f>
        <v>NULL</v>
      </c>
      <c r="E270" s="0" t="str">
        <f aca="false">IF('Boletins Nuppa Site'!H270&lt;&gt;0,'Boletins Nuppa Site'!H270,"NULL")</f>
        <v>NULL</v>
      </c>
      <c r="F270" s="0" t="str">
        <f aca="false">IF('Boletins Nuppa Site'!I270&lt;&gt;0,'Boletins Nuppa Site'!I270,"NULL")</f>
        <v>NULL</v>
      </c>
      <c r="G270" s="0" t="str">
        <f aca="false">IF('Boletins Nuppa Site'!J270&lt;&gt;0,'Boletins Nuppa Site'!J270,"NULL")</f>
        <v>NULL</v>
      </c>
      <c r="H270" s="0" t="str">
        <f aca="false">IF('Boletins Nuppa Site'!K270&lt;&gt;0,'Boletins Nuppa Site'!K270,"NULL")</f>
        <v>NULL</v>
      </c>
      <c r="I270" s="0" t="str">
        <f aca="false">"INSERT INTO COTACAO (cot_id, cot_blt_id, cot_pap_id, cot_prc_comum, cot_prc_min, cot_prc_max, cot_prc_med, cot_prc_mediana) VALUES ("&amp;A270&amp;", "&amp;B270&amp;", "&amp;C270&amp;", "&amp;D270&amp;", "&amp;E270&amp;", "&amp;F270&amp;", "&amp;G270&amp;", "&amp;H270&amp;");"</f>
        <v>INSERT INTO COTACAO (cot_id, cot_blt_id, cot_pap_id, cot_prc_comum, cot_prc_min, cot_prc_max, cot_prc_med, cot_prc_mediana) VALUES (269, 43, 37, NULL, NULL, NULL, NULL, NULL);</v>
      </c>
      <c r="J270" s="0" t="str">
        <f aca="false">"UPDATE COTACAO SET cot_id = "&amp;A270&amp;", cot_blt_id = "&amp;B270&amp;", cot_pap_id = "&amp;C270&amp;", cot_prc_comum = "&amp;D270&amp;", cot_prc_min = "&amp;E270&amp;", cot_prc_max = "&amp;F270&amp;", cot_prc_med = "&amp;G270&amp;", cot_prc_mediana = "&amp;H270&amp;" WHERE cot_id = "&amp;A270&amp;";"</f>
        <v>UPDATE COTACAO SET cot_id = 269, cot_blt_id = 43, cot_pap_id = 37, cot_prc_comum = NULL, cot_prc_min = NULL, cot_prc_max = NULL, cot_prc_med = NULL, cot_prc_mediana = NULL WHERE cot_id = 269;</v>
      </c>
    </row>
    <row r="271" customFormat="false" ht="14.25" hidden="false" customHeight="false" outlineLevel="0" collapsed="false">
      <c r="A271" s="0" t="n">
        <v>270</v>
      </c>
      <c r="B271" s="0" t="n">
        <f aca="false">IF('Boletins Nuppa Site'!A271&lt;&gt;0,'Boletins Nuppa Site'!A271,"NULL")</f>
        <v>43</v>
      </c>
      <c r="C271" s="0" t="n">
        <v>38</v>
      </c>
      <c r="D271" s="0" t="str">
        <f aca="false">IF('Boletins Nuppa Site'!G271&lt;&gt;0,'Boletins Nuppa Site'!G271,"NULL")</f>
        <v>NULL</v>
      </c>
      <c r="E271" s="0" t="str">
        <f aca="false">IF('Boletins Nuppa Site'!H271&lt;&gt;0,'Boletins Nuppa Site'!H271,"NULL")</f>
        <v>NULL</v>
      </c>
      <c r="F271" s="0" t="str">
        <f aca="false">IF('Boletins Nuppa Site'!I271&lt;&gt;0,'Boletins Nuppa Site'!I271,"NULL")</f>
        <v>NULL</v>
      </c>
      <c r="G271" s="0" t="str">
        <f aca="false">IF('Boletins Nuppa Site'!J271&lt;&gt;0,'Boletins Nuppa Site'!J271,"NULL")</f>
        <v>NULL</v>
      </c>
      <c r="H271" s="0" t="str">
        <f aca="false">IF('Boletins Nuppa Site'!K271&lt;&gt;0,'Boletins Nuppa Site'!K271,"NULL")</f>
        <v>NULL</v>
      </c>
      <c r="I271" s="0" t="str">
        <f aca="false">"INSERT INTO COTACAO (cot_id, cot_blt_id, cot_pap_id, cot_prc_comum, cot_prc_min, cot_prc_max, cot_prc_med, cot_prc_mediana) VALUES ("&amp;A271&amp;", "&amp;B271&amp;", "&amp;C271&amp;", "&amp;D271&amp;", "&amp;E271&amp;", "&amp;F271&amp;", "&amp;G271&amp;", "&amp;H271&amp;");"</f>
        <v>INSERT INTO COTACAO (cot_id, cot_blt_id, cot_pap_id, cot_prc_comum, cot_prc_min, cot_prc_max, cot_prc_med, cot_prc_mediana) VALUES (270, 43, 38, NULL, NULL, NULL, NULL, NULL);</v>
      </c>
      <c r="J271" s="0" t="str">
        <f aca="false">"UPDATE COTACAO SET cot_id = "&amp;A271&amp;", cot_blt_id = "&amp;B271&amp;", cot_pap_id = "&amp;C271&amp;", cot_prc_comum = "&amp;D271&amp;", cot_prc_min = "&amp;E271&amp;", cot_prc_max = "&amp;F271&amp;", cot_prc_med = "&amp;G271&amp;", cot_prc_mediana = "&amp;H271&amp;" WHERE cot_id = "&amp;A271&amp;";"</f>
        <v>UPDATE COTACAO SET cot_id = 270, cot_blt_id = 43, cot_pap_id = 38, cot_prc_comum = NULL, cot_prc_min = NULL, cot_prc_max = NULL, cot_prc_med = NULL, cot_prc_mediana = NULL WHERE cot_id = 270;</v>
      </c>
    </row>
    <row r="272" customFormat="false" ht="14.25" hidden="false" customHeight="false" outlineLevel="0" collapsed="false">
      <c r="A272" s="0" t="n">
        <v>271</v>
      </c>
      <c r="B272" s="0" t="n">
        <f aca="false">IF('Boletins Nuppa Site'!A272&lt;&gt;0,'Boletins Nuppa Site'!A272,"NULL")</f>
        <v>43</v>
      </c>
      <c r="C272" s="0" t="n">
        <v>39</v>
      </c>
      <c r="D272" s="0" t="str">
        <f aca="false">IF('Boletins Nuppa Site'!G272&lt;&gt;0,'Boletins Nuppa Site'!G272,"NULL")</f>
        <v>NULL</v>
      </c>
      <c r="E272" s="0" t="str">
        <f aca="false">IF('Boletins Nuppa Site'!H272&lt;&gt;0,'Boletins Nuppa Site'!H272,"NULL")</f>
        <v>NULL</v>
      </c>
      <c r="F272" s="0" t="str">
        <f aca="false">IF('Boletins Nuppa Site'!I272&lt;&gt;0,'Boletins Nuppa Site'!I272,"NULL")</f>
        <v>NULL</v>
      </c>
      <c r="G272" s="0" t="str">
        <f aca="false">IF('Boletins Nuppa Site'!J272&lt;&gt;0,'Boletins Nuppa Site'!J272,"NULL")</f>
        <v>NULL</v>
      </c>
      <c r="H272" s="0" t="str">
        <f aca="false">IF('Boletins Nuppa Site'!K272&lt;&gt;0,'Boletins Nuppa Site'!K272,"NULL")</f>
        <v>NULL</v>
      </c>
      <c r="I272" s="0" t="str">
        <f aca="false">"INSERT INTO COTACAO (cot_id, cot_blt_id, cot_pap_id, cot_prc_comum, cot_prc_min, cot_prc_max, cot_prc_med, cot_prc_mediana) VALUES ("&amp;A272&amp;", "&amp;B272&amp;", "&amp;C272&amp;", "&amp;D272&amp;", "&amp;E272&amp;", "&amp;F272&amp;", "&amp;G272&amp;", "&amp;H272&amp;");"</f>
        <v>INSERT INTO COTACAO (cot_id, cot_blt_id, cot_pap_id, cot_prc_comum, cot_prc_min, cot_prc_max, cot_prc_med, cot_prc_mediana) VALUES (271, 43, 39, NULL, NULL, NULL, NULL, NULL);</v>
      </c>
      <c r="J272" s="0" t="str">
        <f aca="false">"UPDATE COTACAO SET cot_id = "&amp;A272&amp;", cot_blt_id = "&amp;B272&amp;", cot_pap_id = "&amp;C272&amp;", cot_prc_comum = "&amp;D272&amp;", cot_prc_min = "&amp;E272&amp;", cot_prc_max = "&amp;F272&amp;", cot_prc_med = "&amp;G272&amp;", cot_prc_mediana = "&amp;H272&amp;" WHERE cot_id = "&amp;A272&amp;";"</f>
        <v>UPDATE COTACAO SET cot_id = 271, cot_blt_id = 43, cot_pap_id = 39, cot_prc_comum = NULL, cot_prc_min = NULL, cot_prc_max = NULL, cot_prc_med = NULL, cot_prc_mediana = NULL WHERE cot_id = 271;</v>
      </c>
    </row>
    <row r="273" customFormat="false" ht="14.25" hidden="false" customHeight="false" outlineLevel="0" collapsed="false">
      <c r="A273" s="0" t="n">
        <v>272</v>
      </c>
      <c r="B273" s="0" t="n">
        <f aca="false">IF('Boletins Nuppa Site'!A273&lt;&gt;0,'Boletins Nuppa Site'!A273,"NULL")</f>
        <v>43</v>
      </c>
      <c r="C273" s="0" t="n">
        <v>40</v>
      </c>
      <c r="D273" s="0" t="str">
        <f aca="false">IF('Boletins Nuppa Site'!G273&lt;&gt;0,'Boletins Nuppa Site'!G273,"NULL")</f>
        <v>NULL</v>
      </c>
      <c r="E273" s="0" t="str">
        <f aca="false">IF('Boletins Nuppa Site'!H273&lt;&gt;0,'Boletins Nuppa Site'!H273,"NULL")</f>
        <v>NULL</v>
      </c>
      <c r="F273" s="0" t="str">
        <f aca="false">IF('Boletins Nuppa Site'!I273&lt;&gt;0,'Boletins Nuppa Site'!I273,"NULL")</f>
        <v>NULL</v>
      </c>
      <c r="G273" s="0" t="str">
        <f aca="false">IF('Boletins Nuppa Site'!J273&lt;&gt;0,'Boletins Nuppa Site'!J273,"NULL")</f>
        <v>NULL</v>
      </c>
      <c r="H273" s="0" t="str">
        <f aca="false">IF('Boletins Nuppa Site'!K273&lt;&gt;0,'Boletins Nuppa Site'!K273,"NULL")</f>
        <v>NULL</v>
      </c>
      <c r="I273" s="0" t="str">
        <f aca="false">"INSERT INTO COTACAO (cot_id, cot_blt_id, cot_pap_id, cot_prc_comum, cot_prc_min, cot_prc_max, cot_prc_med, cot_prc_mediana) VALUES ("&amp;A273&amp;", "&amp;B273&amp;", "&amp;C273&amp;", "&amp;D273&amp;", "&amp;E273&amp;", "&amp;F273&amp;", "&amp;G273&amp;", "&amp;H273&amp;");"</f>
        <v>INSERT INTO COTACAO (cot_id, cot_blt_id, cot_pap_id, cot_prc_comum, cot_prc_min, cot_prc_max, cot_prc_med, cot_prc_mediana) VALUES (272, 43, 40, NULL, NULL, NULL, NULL, NULL);</v>
      </c>
      <c r="J273" s="0" t="str">
        <f aca="false">"UPDATE COTACAO SET cot_id = "&amp;A273&amp;", cot_blt_id = "&amp;B273&amp;", cot_pap_id = "&amp;C273&amp;", cot_prc_comum = "&amp;D273&amp;", cot_prc_min = "&amp;E273&amp;", cot_prc_max = "&amp;F273&amp;", cot_prc_med = "&amp;G273&amp;", cot_prc_mediana = "&amp;H273&amp;" WHERE cot_id = "&amp;A273&amp;";"</f>
        <v>UPDATE COTACAO SET cot_id = 272, cot_blt_id = 43, cot_pap_id = 40, cot_prc_comum = NULL, cot_prc_min = NULL, cot_prc_max = NULL, cot_prc_med = NULL, cot_prc_mediana = NULL WHERE cot_id = 272;</v>
      </c>
    </row>
    <row r="274" customFormat="false" ht="14.25" hidden="false" customHeight="false" outlineLevel="0" collapsed="false">
      <c r="A274" s="0" t="n">
        <v>273</v>
      </c>
      <c r="B274" s="0" t="n">
        <f aca="false">IF('Boletins Nuppa Site'!A274&lt;&gt;0,'Boletins Nuppa Site'!A274,"NULL")</f>
        <v>44</v>
      </c>
      <c r="C274" s="0" t="n">
        <v>1</v>
      </c>
      <c r="D274" s="30" t="n">
        <f aca="false">IF('Boletins Nuppa Site'!G274&lt;&gt;0,'Boletins Nuppa Site'!G274,"NULL")</f>
        <v>60</v>
      </c>
      <c r="E274" s="30" t="n">
        <f aca="false">IF('Boletins Nuppa Site'!H274&lt;&gt;0,'Boletins Nuppa Site'!H274,"NULL")</f>
        <v>48</v>
      </c>
      <c r="F274" s="30" t="n">
        <f aca="false">IF('Boletins Nuppa Site'!I274&lt;&gt;0,'Boletins Nuppa Site'!I274,"NULL")</f>
        <v>78</v>
      </c>
      <c r="G274" s="0" t="str">
        <f aca="false">IF('Boletins Nuppa Site'!J274&lt;&gt;0,'Boletins Nuppa Site'!J274,"NULL")</f>
        <v>61.5</v>
      </c>
      <c r="H274" s="30" t="n">
        <f aca="false">IF('Boletins Nuppa Site'!K274&lt;&gt;0,'Boletins Nuppa Site'!K274,"NULL")</f>
        <v>60</v>
      </c>
      <c r="I274" s="0" t="str">
        <f aca="false">"INSERT INTO COTACAO (cot_id, cot_blt_id, cot_pap_id, cot_prc_comum, cot_prc_min, cot_prc_max, cot_prc_med, cot_prc_mediana) VALUES ("&amp;A274&amp;", "&amp;B274&amp;", "&amp;C274&amp;", "&amp;D274&amp;", "&amp;E274&amp;", "&amp;F274&amp;", "&amp;G274&amp;", "&amp;H274&amp;");"</f>
        <v>INSERT INTO COTACAO (cot_id, cot_blt_id, cot_pap_id, cot_prc_comum, cot_prc_min, cot_prc_max, cot_prc_med, cot_prc_mediana) VALUES (273, 44, 1, 60, 48, 78, 61.5, 60);</v>
      </c>
      <c r="J274" s="0" t="str">
        <f aca="false">"UPDATE COTACAO SET cot_id = "&amp;A274&amp;", cot_blt_id = "&amp;B274&amp;", cot_pap_id = "&amp;C274&amp;", cot_prc_comum = "&amp;D274&amp;", cot_prc_min = "&amp;E274&amp;", cot_prc_max = "&amp;F274&amp;", cot_prc_med = "&amp;G274&amp;", cot_prc_mediana = "&amp;H274&amp;" WHERE cot_id = "&amp;A274&amp;";"</f>
        <v>UPDATE COTACAO SET cot_id = 273, cot_blt_id = 44, cot_pap_id = 1, cot_prc_comum = 60, cot_prc_min = 48, cot_prc_max = 78, cot_prc_med = 61.5, cot_prc_mediana = 60 WHERE cot_id = 273;</v>
      </c>
    </row>
    <row r="275" customFormat="false" ht="14.25" hidden="false" customHeight="false" outlineLevel="0" collapsed="false">
      <c r="A275" s="0" t="n">
        <v>274</v>
      </c>
      <c r="B275" s="0" t="n">
        <f aca="false">IF('Boletins Nuppa Site'!A275&lt;&gt;0,'Boletins Nuppa Site'!A275,"NULL")</f>
        <v>44</v>
      </c>
      <c r="C275" s="0" t="n">
        <v>2</v>
      </c>
      <c r="D275" s="30" t="n">
        <f aca="false">IF('Boletins Nuppa Site'!G275&lt;&gt;0,'Boletins Nuppa Site'!G275,"NULL")</f>
        <v>84</v>
      </c>
      <c r="E275" s="30" t="n">
        <f aca="false">IF('Boletins Nuppa Site'!H275&lt;&gt;0,'Boletins Nuppa Site'!H275,"NULL")</f>
        <v>72</v>
      </c>
      <c r="F275" s="30" t="n">
        <f aca="false">IF('Boletins Nuppa Site'!I275&lt;&gt;0,'Boletins Nuppa Site'!I275,"NULL")</f>
        <v>84</v>
      </c>
      <c r="G275" s="30" t="n">
        <f aca="false">IF('Boletins Nuppa Site'!J275&lt;&gt;0,'Boletins Nuppa Site'!J275,"NULL")</f>
        <v>80</v>
      </c>
      <c r="H275" s="30" t="n">
        <f aca="false">IF('Boletins Nuppa Site'!K275&lt;&gt;0,'Boletins Nuppa Site'!K275,"NULL")</f>
        <v>84</v>
      </c>
      <c r="I275" s="0" t="str">
        <f aca="false">"INSERT INTO COTACAO (cot_id, cot_blt_id, cot_pap_id, cot_prc_comum, cot_prc_min, cot_prc_max, cot_prc_med, cot_prc_mediana) VALUES ("&amp;A275&amp;", "&amp;B275&amp;", "&amp;C275&amp;", "&amp;D275&amp;", "&amp;E275&amp;", "&amp;F275&amp;", "&amp;G275&amp;", "&amp;H275&amp;");"</f>
        <v>INSERT INTO COTACAO (cot_id, cot_blt_id, cot_pap_id, cot_prc_comum, cot_prc_min, cot_prc_max, cot_prc_med, cot_prc_mediana) VALUES (274, 44, 2, 84, 72, 84, 80, 84);</v>
      </c>
      <c r="J275" s="0" t="str">
        <f aca="false">"UPDATE COTACAO SET cot_id = "&amp;A275&amp;", cot_blt_id = "&amp;B275&amp;", cot_pap_id = "&amp;C275&amp;", cot_prc_comum = "&amp;D275&amp;", cot_prc_min = "&amp;E275&amp;", cot_prc_max = "&amp;F275&amp;", cot_prc_med = "&amp;G275&amp;", cot_prc_mediana = "&amp;H275&amp;" WHERE cot_id = "&amp;A275&amp;";"</f>
        <v>UPDATE COTACAO SET cot_id = 274, cot_blt_id = 44, cot_pap_id = 2, cot_prc_comum = 84, cot_prc_min = 72, cot_prc_max = 84, cot_prc_med = 80, cot_prc_mediana = 84 WHERE cot_id = 274;</v>
      </c>
    </row>
    <row r="276" customFormat="false" ht="14.25" hidden="false" customHeight="false" outlineLevel="0" collapsed="false">
      <c r="A276" s="0" t="n">
        <v>275</v>
      </c>
      <c r="B276" s="0" t="n">
        <f aca="false">IF('Boletins Nuppa Site'!A276&lt;&gt;0,'Boletins Nuppa Site'!A276,"NULL")</f>
        <v>44</v>
      </c>
      <c r="C276" s="0" t="n">
        <v>3</v>
      </c>
      <c r="D276" s="0" t="str">
        <f aca="false">IF('Boletins Nuppa Site'!G276&lt;&gt;0,'Boletins Nuppa Site'!G276,"NULL")</f>
        <v>NULL</v>
      </c>
      <c r="E276" s="30" t="n">
        <f aca="false">IF('Boletins Nuppa Site'!H276&lt;&gt;0,'Boletins Nuppa Site'!H276,"NULL")</f>
        <v>45</v>
      </c>
      <c r="F276" s="30" t="n">
        <f aca="false">IF('Boletins Nuppa Site'!I276&lt;&gt;0,'Boletins Nuppa Site'!I276,"NULL")</f>
        <v>60</v>
      </c>
      <c r="G276" s="0" t="str">
        <f aca="false">IF('Boletins Nuppa Site'!J276&lt;&gt;0,'Boletins Nuppa Site'!J276,"NULL")</f>
        <v>51.75</v>
      </c>
      <c r="H276" s="30" t="n">
        <f aca="false">IF('Boletins Nuppa Site'!K276&lt;&gt;0,'Boletins Nuppa Site'!K276,"NULL")</f>
        <v>51</v>
      </c>
      <c r="I276" s="0" t="str">
        <f aca="false">"INSERT INTO COTACAO (cot_id, cot_blt_id, cot_pap_id, cot_prc_comum, cot_prc_min, cot_prc_max, cot_prc_med, cot_prc_mediana) VALUES ("&amp;A276&amp;", "&amp;B276&amp;", "&amp;C276&amp;", "&amp;D276&amp;", "&amp;E276&amp;", "&amp;F276&amp;", "&amp;G276&amp;", "&amp;H276&amp;");"</f>
        <v>INSERT INTO COTACAO (cot_id, cot_blt_id, cot_pap_id, cot_prc_comum, cot_prc_min, cot_prc_max, cot_prc_med, cot_prc_mediana) VALUES (275, 44, 3, NULL, 45, 60, 51.75, 51);</v>
      </c>
      <c r="J276" s="0" t="str">
        <f aca="false">"UPDATE COTACAO SET cot_id = "&amp;A276&amp;", cot_blt_id = "&amp;B276&amp;", cot_pap_id = "&amp;C276&amp;", cot_prc_comum = "&amp;D276&amp;", cot_prc_min = "&amp;E276&amp;", cot_prc_max = "&amp;F276&amp;", cot_prc_med = "&amp;G276&amp;", cot_prc_mediana = "&amp;H276&amp;" WHERE cot_id = "&amp;A276&amp;";"</f>
        <v>UPDATE COTACAO SET cot_id = 275, cot_blt_id = 44, cot_pap_id = 3, cot_prc_comum = NULL, cot_prc_min = 45, cot_prc_max = 60, cot_prc_med = 51.75, cot_prc_mediana = 51 WHERE cot_id = 275;</v>
      </c>
    </row>
    <row r="277" customFormat="false" ht="14.25" hidden="false" customHeight="false" outlineLevel="0" collapsed="false">
      <c r="A277" s="0" t="n">
        <v>276</v>
      </c>
      <c r="B277" s="0" t="n">
        <f aca="false">IF('Boletins Nuppa Site'!A277&lt;&gt;0,'Boletins Nuppa Site'!A277,"NULL")</f>
        <v>44</v>
      </c>
      <c r="C277" s="0" t="n">
        <v>4</v>
      </c>
      <c r="D277" s="0" t="str">
        <f aca="false">IF('Boletins Nuppa Site'!G277&lt;&gt;0,'Boletins Nuppa Site'!G277,"NULL")</f>
        <v>NULL</v>
      </c>
      <c r="E277" s="30" t="n">
        <f aca="false">IF('Boletins Nuppa Site'!H277&lt;&gt;0,'Boletins Nuppa Site'!H277,"NULL")</f>
        <v>30</v>
      </c>
      <c r="F277" s="30" t="n">
        <f aca="false">IF('Boletins Nuppa Site'!I277&lt;&gt;0,'Boletins Nuppa Site'!I277,"NULL")</f>
        <v>50</v>
      </c>
      <c r="G277" s="0" t="str">
        <f aca="false">IF('Boletins Nuppa Site'!J277&lt;&gt;0,'Boletins Nuppa Site'!J277,"NULL")</f>
        <v>38.6</v>
      </c>
      <c r="H277" s="30" t="n">
        <f aca="false">IF('Boletins Nuppa Site'!K277&lt;&gt;0,'Boletins Nuppa Site'!K277,"NULL")</f>
        <v>36</v>
      </c>
      <c r="I277" s="0" t="str">
        <f aca="false">"INSERT INTO COTACAO (cot_id, cot_blt_id, cot_pap_id, cot_prc_comum, cot_prc_min, cot_prc_max, cot_prc_med, cot_prc_mediana) VALUES ("&amp;A277&amp;", "&amp;B277&amp;", "&amp;C277&amp;", "&amp;D277&amp;", "&amp;E277&amp;", "&amp;F277&amp;", "&amp;G277&amp;", "&amp;H277&amp;");"</f>
        <v>INSERT INTO COTACAO (cot_id, cot_blt_id, cot_pap_id, cot_prc_comum, cot_prc_min, cot_prc_max, cot_prc_med, cot_prc_mediana) VALUES (276, 44, 4, NULL, 30, 50, 38.6, 36);</v>
      </c>
      <c r="J277" s="0" t="str">
        <f aca="false">"UPDATE COTACAO SET cot_id = "&amp;A277&amp;", cot_blt_id = "&amp;B277&amp;", cot_pap_id = "&amp;C277&amp;", cot_prc_comum = "&amp;D277&amp;", cot_prc_min = "&amp;E277&amp;", cot_prc_max = "&amp;F277&amp;", cot_prc_med = "&amp;G277&amp;", cot_prc_mediana = "&amp;H277&amp;" WHERE cot_id = "&amp;A277&amp;";"</f>
        <v>UPDATE COTACAO SET cot_id = 276, cot_blt_id = 44, cot_pap_id = 4, cot_prc_comum = NULL, cot_prc_min = 30, cot_prc_max = 50, cot_prc_med = 38.6, cot_prc_mediana = 36 WHERE cot_id = 276;</v>
      </c>
    </row>
    <row r="278" customFormat="false" ht="14.25" hidden="false" customHeight="false" outlineLevel="0" collapsed="false">
      <c r="A278" s="0" t="n">
        <v>277</v>
      </c>
      <c r="B278" s="0" t="n">
        <f aca="false">IF('Boletins Nuppa Site'!A278&lt;&gt;0,'Boletins Nuppa Site'!A278,"NULL")</f>
        <v>44</v>
      </c>
      <c r="C278" s="0" t="n">
        <v>5</v>
      </c>
      <c r="D278" s="0" t="str">
        <f aca="false">IF('Boletins Nuppa Site'!G278&lt;&gt;0,'Boletins Nuppa Site'!G278,"NULL")</f>
        <v>NULL</v>
      </c>
      <c r="E278" s="30" t="n">
        <f aca="false">IF('Boletins Nuppa Site'!H278&lt;&gt;0,'Boletins Nuppa Site'!H278,"NULL")</f>
        <v>30</v>
      </c>
      <c r="F278" s="30" t="n">
        <f aca="false">IF('Boletins Nuppa Site'!I278&lt;&gt;0,'Boletins Nuppa Site'!I278,"NULL")</f>
        <v>42</v>
      </c>
      <c r="G278" s="0" t="str">
        <f aca="false">IF('Boletins Nuppa Site'!J278&lt;&gt;0,'Boletins Nuppa Site'!J278,"NULL")</f>
        <v>35.75</v>
      </c>
      <c r="H278" s="0" t="str">
        <f aca="false">IF('Boletins Nuppa Site'!K278&lt;&gt;0,'Boletins Nuppa Site'!K278,"NULL")</f>
        <v>35.5</v>
      </c>
      <c r="I278" s="0" t="str">
        <f aca="false">"INSERT INTO COTACAO (cot_id, cot_blt_id, cot_pap_id, cot_prc_comum, cot_prc_min, cot_prc_max, cot_prc_med, cot_prc_mediana) VALUES ("&amp;A278&amp;", "&amp;B278&amp;", "&amp;C278&amp;", "&amp;D278&amp;", "&amp;E278&amp;", "&amp;F278&amp;", "&amp;G278&amp;", "&amp;H278&amp;");"</f>
        <v>INSERT INTO COTACAO (cot_id, cot_blt_id, cot_pap_id, cot_prc_comum, cot_prc_min, cot_prc_max, cot_prc_med, cot_prc_mediana) VALUES (277, 44, 5, NULL, 30, 42, 35.75, 35.5);</v>
      </c>
      <c r="J278" s="0" t="str">
        <f aca="false">"UPDATE COTACAO SET cot_id = "&amp;A278&amp;", cot_blt_id = "&amp;B278&amp;", cot_pap_id = "&amp;C278&amp;", cot_prc_comum = "&amp;D278&amp;", cot_prc_min = "&amp;E278&amp;", cot_prc_max = "&amp;F278&amp;", cot_prc_med = "&amp;G278&amp;", cot_prc_mediana = "&amp;H278&amp;" WHERE cot_id = "&amp;A278&amp;";"</f>
        <v>UPDATE COTACAO SET cot_id = 277, cot_blt_id = 44, cot_pap_id = 5, cot_prc_comum = NULL, cot_prc_min = 30, cot_prc_max = 42, cot_prc_med = 35.75, cot_prc_mediana = 35.5 WHERE cot_id = 277;</v>
      </c>
    </row>
    <row r="279" customFormat="false" ht="14.25" hidden="false" customHeight="false" outlineLevel="0" collapsed="false">
      <c r="A279" s="0" t="n">
        <v>278</v>
      </c>
      <c r="B279" s="0" t="n">
        <f aca="false">IF('Boletins Nuppa Site'!A279&lt;&gt;0,'Boletins Nuppa Site'!A279,"NULL")</f>
        <v>44</v>
      </c>
      <c r="C279" s="0" t="n">
        <v>6</v>
      </c>
      <c r="D279" s="30" t="n">
        <f aca="false">IF('Boletins Nuppa Site'!G279&lt;&gt;0,'Boletins Nuppa Site'!G279,"NULL")</f>
        <v>60</v>
      </c>
      <c r="E279" s="30" t="n">
        <f aca="false">IF('Boletins Nuppa Site'!H279&lt;&gt;0,'Boletins Nuppa Site'!H279,"NULL")</f>
        <v>48</v>
      </c>
      <c r="F279" s="30" t="n">
        <f aca="false">IF('Boletins Nuppa Site'!I279&lt;&gt;0,'Boletins Nuppa Site'!I279,"NULL")</f>
        <v>60</v>
      </c>
      <c r="G279" s="30" t="n">
        <f aca="false">IF('Boletins Nuppa Site'!J279&lt;&gt;0,'Boletins Nuppa Site'!J279,"NULL")</f>
        <v>56</v>
      </c>
      <c r="H279" s="30" t="n">
        <f aca="false">IF('Boletins Nuppa Site'!K279&lt;&gt;0,'Boletins Nuppa Site'!K279,"NULL")</f>
        <v>60</v>
      </c>
      <c r="I279" s="0" t="str">
        <f aca="false">"INSERT INTO COTACAO (cot_id, cot_blt_id, cot_pap_id, cot_prc_comum, cot_prc_min, cot_prc_max, cot_prc_med, cot_prc_mediana) VALUES ("&amp;A279&amp;", "&amp;B279&amp;", "&amp;C279&amp;", "&amp;D279&amp;", "&amp;E279&amp;", "&amp;F279&amp;", "&amp;G279&amp;", "&amp;H279&amp;");"</f>
        <v>INSERT INTO COTACAO (cot_id, cot_blt_id, cot_pap_id, cot_prc_comum, cot_prc_min, cot_prc_max, cot_prc_med, cot_prc_mediana) VALUES (278, 44, 6, 60, 48, 60, 56, 60);</v>
      </c>
      <c r="J279" s="0" t="str">
        <f aca="false">"UPDATE COTACAO SET cot_id = "&amp;A279&amp;", cot_blt_id = "&amp;B279&amp;", cot_pap_id = "&amp;C279&amp;", cot_prc_comum = "&amp;D279&amp;", cot_prc_min = "&amp;E279&amp;", cot_prc_max = "&amp;F279&amp;", cot_prc_med = "&amp;G279&amp;", cot_prc_mediana = "&amp;H279&amp;" WHERE cot_id = "&amp;A279&amp;";"</f>
        <v>UPDATE COTACAO SET cot_id = 278, cot_blt_id = 44, cot_pap_id = 6, cot_prc_comum = 60, cot_prc_min = 48, cot_prc_max = 60, cot_prc_med = 56, cot_prc_mediana = 60 WHERE cot_id = 278;</v>
      </c>
    </row>
    <row r="280" customFormat="false" ht="14.25" hidden="false" customHeight="false" outlineLevel="0" collapsed="false">
      <c r="A280" s="0" t="n">
        <v>279</v>
      </c>
      <c r="B280" s="0" t="n">
        <f aca="false">IF('Boletins Nuppa Site'!A280&lt;&gt;0,'Boletins Nuppa Site'!A280,"NULL")</f>
        <v>44</v>
      </c>
      <c r="C280" s="0" t="n">
        <v>7</v>
      </c>
      <c r="D280" s="30" t="n">
        <f aca="false">IF('Boletins Nuppa Site'!G280&lt;&gt;0,'Boletins Nuppa Site'!G280,"NULL")</f>
        <v>72</v>
      </c>
      <c r="E280" s="30" t="n">
        <f aca="false">IF('Boletins Nuppa Site'!H280&lt;&gt;0,'Boletins Nuppa Site'!H280,"NULL")</f>
        <v>60</v>
      </c>
      <c r="F280" s="30" t="n">
        <f aca="false">IF('Boletins Nuppa Site'!I280&lt;&gt;0,'Boletins Nuppa Site'!I280,"NULL")</f>
        <v>84</v>
      </c>
      <c r="G280" s="30" t="n">
        <f aca="false">IF('Boletins Nuppa Site'!J280&lt;&gt;0,'Boletins Nuppa Site'!J280,"NULL")</f>
        <v>72</v>
      </c>
      <c r="H280" s="30" t="n">
        <f aca="false">IF('Boletins Nuppa Site'!K280&lt;&gt;0,'Boletins Nuppa Site'!K280,"NULL")</f>
        <v>72</v>
      </c>
      <c r="I280" s="0" t="str">
        <f aca="false">"INSERT INTO COTACAO (cot_id, cot_blt_id, cot_pap_id, cot_prc_comum, cot_prc_min, cot_prc_max, cot_prc_med, cot_prc_mediana) VALUES ("&amp;A280&amp;", "&amp;B280&amp;", "&amp;C280&amp;", "&amp;D280&amp;", "&amp;E280&amp;", "&amp;F280&amp;", "&amp;G280&amp;", "&amp;H280&amp;");"</f>
        <v>INSERT INTO COTACAO (cot_id, cot_blt_id, cot_pap_id, cot_prc_comum, cot_prc_min, cot_prc_max, cot_prc_med, cot_prc_mediana) VALUES (279, 44, 7, 72, 60, 84, 72, 72);</v>
      </c>
      <c r="J280" s="0" t="str">
        <f aca="false">"UPDATE COTACAO SET cot_id = "&amp;A280&amp;", cot_blt_id = "&amp;B280&amp;", cot_pap_id = "&amp;C280&amp;", cot_prc_comum = "&amp;D280&amp;", cot_prc_min = "&amp;E280&amp;", cot_prc_max = "&amp;F280&amp;", cot_prc_med = "&amp;G280&amp;", cot_prc_mediana = "&amp;H280&amp;" WHERE cot_id = "&amp;A280&amp;";"</f>
        <v>UPDATE COTACAO SET cot_id = 279, cot_blt_id = 44, cot_pap_id = 7, cot_prc_comum = 72, cot_prc_min = 60, cot_prc_max = 84, cot_prc_med = 72, cot_prc_mediana = 72 WHERE cot_id = 279;</v>
      </c>
    </row>
    <row r="281" customFormat="false" ht="14.25" hidden="false" customHeight="false" outlineLevel="0" collapsed="false">
      <c r="A281" s="0" t="n">
        <v>280</v>
      </c>
      <c r="B281" s="0" t="n">
        <f aca="false">IF('Boletins Nuppa Site'!A281&lt;&gt;0,'Boletins Nuppa Site'!A281,"NULL")</f>
        <v>44</v>
      </c>
      <c r="C281" s="0" t="n">
        <v>8</v>
      </c>
      <c r="D281" s="30" t="n">
        <f aca="false">IF('Boletins Nuppa Site'!G281&lt;&gt;0,'Boletins Nuppa Site'!G281,"NULL")</f>
        <v>84</v>
      </c>
      <c r="E281" s="30" t="n">
        <f aca="false">IF('Boletins Nuppa Site'!H281&lt;&gt;0,'Boletins Nuppa Site'!H281,"NULL")</f>
        <v>72</v>
      </c>
      <c r="F281" s="30" t="n">
        <f aca="false">IF('Boletins Nuppa Site'!I281&lt;&gt;0,'Boletins Nuppa Site'!I281,"NULL")</f>
        <v>96</v>
      </c>
      <c r="G281" s="30" t="n">
        <f aca="false">IF('Boletins Nuppa Site'!J281&lt;&gt;0,'Boletins Nuppa Site'!J281,"NULL")</f>
        <v>84</v>
      </c>
      <c r="H281" s="30" t="n">
        <f aca="false">IF('Boletins Nuppa Site'!K281&lt;&gt;0,'Boletins Nuppa Site'!K281,"NULL")</f>
        <v>84</v>
      </c>
      <c r="I281" s="0" t="str">
        <f aca="false">"INSERT INTO COTACAO (cot_id, cot_blt_id, cot_pap_id, cot_prc_comum, cot_prc_min, cot_prc_max, cot_prc_med, cot_prc_mediana) VALUES ("&amp;A281&amp;", "&amp;B281&amp;", "&amp;C281&amp;", "&amp;D281&amp;", "&amp;E281&amp;", "&amp;F281&amp;", "&amp;G281&amp;", "&amp;H281&amp;");"</f>
        <v>INSERT INTO COTACAO (cot_id, cot_blt_id, cot_pap_id, cot_prc_comum, cot_prc_min, cot_prc_max, cot_prc_med, cot_prc_mediana) VALUES (280, 44, 8, 84, 72, 96, 84, 84);</v>
      </c>
      <c r="J281" s="0" t="str">
        <f aca="false">"UPDATE COTACAO SET cot_id = "&amp;A281&amp;", cot_blt_id = "&amp;B281&amp;", cot_pap_id = "&amp;C281&amp;", cot_prc_comum = "&amp;D281&amp;", cot_prc_min = "&amp;E281&amp;", cot_prc_max = "&amp;F281&amp;", cot_prc_med = "&amp;G281&amp;", cot_prc_mediana = "&amp;H281&amp;" WHERE cot_id = "&amp;A281&amp;";"</f>
        <v>UPDATE COTACAO SET cot_id = 280, cot_blt_id = 44, cot_pap_id = 8, cot_prc_comum = 84, cot_prc_min = 72, cot_prc_max = 96, cot_prc_med = 84, cot_prc_mediana = 84 WHERE cot_id = 280;</v>
      </c>
    </row>
    <row r="282" customFormat="false" ht="14.25" hidden="false" customHeight="false" outlineLevel="0" collapsed="false">
      <c r="A282" s="0" t="n">
        <v>281</v>
      </c>
      <c r="B282" s="0" t="n">
        <f aca="false">IF('Boletins Nuppa Site'!A282&lt;&gt;0,'Boletins Nuppa Site'!A282,"NULL")</f>
        <v>44</v>
      </c>
      <c r="C282" s="0" t="n">
        <v>9</v>
      </c>
      <c r="D282" s="30" t="n">
        <f aca="false">IF('Boletins Nuppa Site'!G282&lt;&gt;0,'Boletins Nuppa Site'!G282,"NULL")</f>
        <v>25</v>
      </c>
      <c r="E282" s="30" t="n">
        <f aca="false">IF('Boletins Nuppa Site'!H282&lt;&gt;0,'Boletins Nuppa Site'!H282,"NULL")</f>
        <v>24</v>
      </c>
      <c r="F282" s="30" t="n">
        <f aca="false">IF('Boletins Nuppa Site'!I282&lt;&gt;0,'Boletins Nuppa Site'!I282,"NULL")</f>
        <v>30</v>
      </c>
      <c r="G282" s="30" t="n">
        <f aca="false">IF('Boletins Nuppa Site'!J282&lt;&gt;0,'Boletins Nuppa Site'!J282,"NULL")</f>
        <v>26</v>
      </c>
      <c r="H282" s="30" t="n">
        <f aca="false">IF('Boletins Nuppa Site'!K282&lt;&gt;0,'Boletins Nuppa Site'!K282,"NULL")</f>
        <v>25</v>
      </c>
      <c r="I282" s="0" t="str">
        <f aca="false">"INSERT INTO COTACAO (cot_id, cot_blt_id, cot_pap_id, cot_prc_comum, cot_prc_min, cot_prc_max, cot_prc_med, cot_prc_mediana) VALUES ("&amp;A282&amp;", "&amp;B282&amp;", "&amp;C282&amp;", "&amp;D282&amp;", "&amp;E282&amp;", "&amp;F282&amp;", "&amp;G282&amp;", "&amp;H282&amp;");"</f>
        <v>INSERT INTO COTACAO (cot_id, cot_blt_id, cot_pap_id, cot_prc_comum, cot_prc_min, cot_prc_max, cot_prc_med, cot_prc_mediana) VALUES (281, 44, 9, 25, 24, 30, 26, 25);</v>
      </c>
      <c r="J282" s="0" t="str">
        <f aca="false">"UPDATE COTACAO SET cot_id = "&amp;A282&amp;", cot_blt_id = "&amp;B282&amp;", cot_pap_id = "&amp;C282&amp;", cot_prc_comum = "&amp;D282&amp;", cot_prc_min = "&amp;E282&amp;", cot_prc_max = "&amp;F282&amp;", cot_prc_med = "&amp;G282&amp;", cot_prc_mediana = "&amp;H282&amp;" WHERE cot_id = "&amp;A282&amp;";"</f>
        <v>UPDATE COTACAO SET cot_id = 281, cot_blt_id = 44, cot_pap_id = 9, cot_prc_comum = 25, cot_prc_min = 24, cot_prc_max = 30, cot_prc_med = 26, cot_prc_mediana = 25 WHERE cot_id = 281;</v>
      </c>
    </row>
    <row r="283" customFormat="false" ht="14.25" hidden="false" customHeight="false" outlineLevel="0" collapsed="false">
      <c r="A283" s="0" t="n">
        <v>282</v>
      </c>
      <c r="B283" s="0" t="n">
        <f aca="false">IF('Boletins Nuppa Site'!A283&lt;&gt;0,'Boletins Nuppa Site'!A283,"NULL")</f>
        <v>44</v>
      </c>
      <c r="C283" s="0" t="n">
        <v>10</v>
      </c>
      <c r="D283" s="30" t="n">
        <f aca="false">IF('Boletins Nuppa Site'!G283&lt;&gt;0,'Boletins Nuppa Site'!G283,"NULL")</f>
        <v>84</v>
      </c>
      <c r="E283" s="30" t="n">
        <f aca="false">IF('Boletins Nuppa Site'!H283&lt;&gt;0,'Boletins Nuppa Site'!H283,"NULL")</f>
        <v>84</v>
      </c>
      <c r="F283" s="30" t="n">
        <f aca="false">IF('Boletins Nuppa Site'!I283&lt;&gt;0,'Boletins Nuppa Site'!I283,"NULL")</f>
        <v>108</v>
      </c>
      <c r="G283" s="0" t="str">
        <f aca="false">IF('Boletins Nuppa Site'!J283&lt;&gt;0,'Boletins Nuppa Site'!J283,"NULL")</f>
        <v>93.6</v>
      </c>
      <c r="H283" s="30" t="n">
        <f aca="false">IF('Boletins Nuppa Site'!K283&lt;&gt;0,'Boletins Nuppa Site'!K283,"NULL")</f>
        <v>96</v>
      </c>
      <c r="I283" s="0" t="str">
        <f aca="false">"INSERT INTO COTACAO (cot_id, cot_blt_id, cot_pap_id, cot_prc_comum, cot_prc_min, cot_prc_max, cot_prc_med, cot_prc_mediana) VALUES ("&amp;A283&amp;", "&amp;B283&amp;", "&amp;C283&amp;", "&amp;D283&amp;", "&amp;E283&amp;", "&amp;F283&amp;", "&amp;G283&amp;", "&amp;H283&amp;");"</f>
        <v>INSERT INTO COTACAO (cot_id, cot_blt_id, cot_pap_id, cot_prc_comum, cot_prc_min, cot_prc_max, cot_prc_med, cot_prc_mediana) VALUES (282, 44, 10, 84, 84, 108, 93.6, 96);</v>
      </c>
      <c r="J283" s="0" t="str">
        <f aca="false">"UPDATE COTACAO SET cot_id = "&amp;A283&amp;", cot_blt_id = "&amp;B283&amp;", cot_pap_id = "&amp;C283&amp;", cot_prc_comum = "&amp;D283&amp;", cot_prc_min = "&amp;E283&amp;", cot_prc_max = "&amp;F283&amp;", cot_prc_med = "&amp;G283&amp;", cot_prc_mediana = "&amp;H283&amp;" WHERE cot_id = "&amp;A283&amp;";"</f>
        <v>UPDATE COTACAO SET cot_id = 282, cot_blt_id = 44, cot_pap_id = 10, cot_prc_comum = 84, cot_prc_min = 84, cot_prc_max = 108, cot_prc_med = 93.6, cot_prc_mediana = 96 WHERE cot_id = 282;</v>
      </c>
    </row>
    <row r="284" customFormat="false" ht="14.25" hidden="false" customHeight="false" outlineLevel="0" collapsed="false">
      <c r="A284" s="0" t="n">
        <v>283</v>
      </c>
      <c r="B284" s="0" t="n">
        <f aca="false">IF('Boletins Nuppa Site'!A284&lt;&gt;0,'Boletins Nuppa Site'!A284,"NULL")</f>
        <v>44</v>
      </c>
      <c r="C284" s="0" t="n">
        <v>11</v>
      </c>
      <c r="D284" s="0" t="str">
        <f aca="false">IF('Boletins Nuppa Site'!G284&lt;&gt;0,'Boletins Nuppa Site'!G284,"NULL")</f>
        <v>NULL</v>
      </c>
      <c r="E284" s="30" t="n">
        <f aca="false">IF('Boletins Nuppa Site'!H284&lt;&gt;0,'Boletins Nuppa Site'!H284,"NULL")</f>
        <v>25</v>
      </c>
      <c r="F284" s="30" t="n">
        <f aca="false">IF('Boletins Nuppa Site'!I284&lt;&gt;0,'Boletins Nuppa Site'!I284,"NULL")</f>
        <v>42</v>
      </c>
      <c r="G284" s="0" t="str">
        <f aca="false">IF('Boletins Nuppa Site'!J284&lt;&gt;0,'Boletins Nuppa Site'!J284,"NULL")</f>
        <v>33.25</v>
      </c>
      <c r="H284" s="30" t="n">
        <f aca="false">IF('Boletins Nuppa Site'!K284&lt;&gt;0,'Boletins Nuppa Site'!K284,"NULL")</f>
        <v>33</v>
      </c>
      <c r="I284" s="0" t="str">
        <f aca="false">"INSERT INTO COTACAO (cot_id, cot_blt_id, cot_pap_id, cot_prc_comum, cot_prc_min, cot_prc_max, cot_prc_med, cot_prc_mediana) VALUES ("&amp;A284&amp;", "&amp;B284&amp;", "&amp;C284&amp;", "&amp;D284&amp;", "&amp;E284&amp;", "&amp;F284&amp;", "&amp;G284&amp;", "&amp;H284&amp;");"</f>
        <v>INSERT INTO COTACAO (cot_id, cot_blt_id, cot_pap_id, cot_prc_comum, cot_prc_min, cot_prc_max, cot_prc_med, cot_prc_mediana) VALUES (283, 44, 11, NULL, 25, 42, 33.25, 33);</v>
      </c>
      <c r="J284" s="0" t="str">
        <f aca="false">"UPDATE COTACAO SET cot_id = "&amp;A284&amp;", cot_blt_id = "&amp;B284&amp;", cot_pap_id = "&amp;C284&amp;", cot_prc_comum = "&amp;D284&amp;", cot_prc_min = "&amp;E284&amp;", cot_prc_max = "&amp;F284&amp;", cot_prc_med = "&amp;G284&amp;", cot_prc_mediana = "&amp;H284&amp;" WHERE cot_id = "&amp;A284&amp;";"</f>
        <v>UPDATE COTACAO SET cot_id = 283, cot_blt_id = 44, cot_pap_id = 11, cot_prc_comum = NULL, cot_prc_min = 25, cot_prc_max = 42, cot_prc_med = 33.25, cot_prc_mediana = 33 WHERE cot_id = 283;</v>
      </c>
    </row>
    <row r="285" customFormat="false" ht="14.25" hidden="false" customHeight="false" outlineLevel="0" collapsed="false">
      <c r="A285" s="0" t="n">
        <v>284</v>
      </c>
      <c r="B285" s="0" t="n">
        <f aca="false">IF('Boletins Nuppa Site'!A285&lt;&gt;0,'Boletins Nuppa Site'!A285,"NULL")</f>
        <v>44</v>
      </c>
      <c r="C285" s="0" t="n">
        <v>12</v>
      </c>
      <c r="D285" s="30" t="n">
        <f aca="false">IF('Boletins Nuppa Site'!G285&lt;&gt;0,'Boletins Nuppa Site'!G285,"NULL")</f>
        <v>60</v>
      </c>
      <c r="E285" s="30" t="n">
        <f aca="false">IF('Boletins Nuppa Site'!H285&lt;&gt;0,'Boletins Nuppa Site'!H285,"NULL")</f>
        <v>60</v>
      </c>
      <c r="F285" s="30" t="n">
        <f aca="false">IF('Boletins Nuppa Site'!I285&lt;&gt;0,'Boletins Nuppa Site'!I285,"NULL")</f>
        <v>72</v>
      </c>
      <c r="G285" s="30" t="n">
        <f aca="false">IF('Boletins Nuppa Site'!J285&lt;&gt;0,'Boletins Nuppa Site'!J285,"NULL")</f>
        <v>64</v>
      </c>
      <c r="H285" s="30" t="n">
        <f aca="false">IF('Boletins Nuppa Site'!K285&lt;&gt;0,'Boletins Nuppa Site'!K285,"NULL")</f>
        <v>60</v>
      </c>
      <c r="I285" s="0" t="str">
        <f aca="false">"INSERT INTO COTACAO (cot_id, cot_blt_id, cot_pap_id, cot_prc_comum, cot_prc_min, cot_prc_max, cot_prc_med, cot_prc_mediana) VALUES ("&amp;A285&amp;", "&amp;B285&amp;", "&amp;C285&amp;", "&amp;D285&amp;", "&amp;E285&amp;", "&amp;F285&amp;", "&amp;G285&amp;", "&amp;H285&amp;");"</f>
        <v>INSERT INTO COTACAO (cot_id, cot_blt_id, cot_pap_id, cot_prc_comum, cot_prc_min, cot_prc_max, cot_prc_med, cot_prc_mediana) VALUES (284, 44, 12, 60, 60, 72, 64, 60);</v>
      </c>
      <c r="J285" s="0" t="str">
        <f aca="false">"UPDATE COTACAO SET cot_id = "&amp;A285&amp;", cot_blt_id = "&amp;B285&amp;", cot_pap_id = "&amp;C285&amp;", cot_prc_comum = "&amp;D285&amp;", cot_prc_min = "&amp;E285&amp;", cot_prc_max = "&amp;F285&amp;", cot_prc_med = "&amp;G285&amp;", cot_prc_mediana = "&amp;H285&amp;" WHERE cot_id = "&amp;A285&amp;";"</f>
        <v>UPDATE COTACAO SET cot_id = 284, cot_blt_id = 44, cot_pap_id = 12, cot_prc_comum = 60, cot_prc_min = 60, cot_prc_max = 72, cot_prc_med = 64, cot_prc_mediana = 60 WHERE cot_id = 284;</v>
      </c>
    </row>
    <row r="286" customFormat="false" ht="14.25" hidden="false" customHeight="false" outlineLevel="0" collapsed="false">
      <c r="A286" s="0" t="n">
        <v>285</v>
      </c>
      <c r="B286" s="0" t="n">
        <f aca="false">IF('Boletins Nuppa Site'!A286&lt;&gt;0,'Boletins Nuppa Site'!A286,"NULL")</f>
        <v>44</v>
      </c>
      <c r="C286" s="0" t="n">
        <v>13</v>
      </c>
      <c r="D286" s="30" t="n">
        <f aca="false">IF('Boletins Nuppa Site'!G286&lt;&gt;0,'Boletins Nuppa Site'!G286,"NULL")</f>
        <v>60</v>
      </c>
      <c r="E286" s="30" t="n">
        <f aca="false">IF('Boletins Nuppa Site'!H286&lt;&gt;0,'Boletins Nuppa Site'!H286,"NULL")</f>
        <v>48</v>
      </c>
      <c r="F286" s="30" t="n">
        <f aca="false">IF('Boletins Nuppa Site'!I286&lt;&gt;0,'Boletins Nuppa Site'!I286,"NULL")</f>
        <v>72</v>
      </c>
      <c r="G286" s="30" t="n">
        <f aca="false">IF('Boletins Nuppa Site'!J286&lt;&gt;0,'Boletins Nuppa Site'!J286,"NULL")</f>
        <v>60</v>
      </c>
      <c r="H286" s="30" t="n">
        <f aca="false">IF('Boletins Nuppa Site'!K286&lt;&gt;0,'Boletins Nuppa Site'!K286,"NULL")</f>
        <v>60</v>
      </c>
      <c r="I286" s="0" t="str">
        <f aca="false">"INSERT INTO COTACAO (cot_id, cot_blt_id, cot_pap_id, cot_prc_comum, cot_prc_min, cot_prc_max, cot_prc_med, cot_prc_mediana) VALUES ("&amp;A286&amp;", "&amp;B286&amp;", "&amp;C286&amp;", "&amp;D286&amp;", "&amp;E286&amp;", "&amp;F286&amp;", "&amp;G286&amp;", "&amp;H286&amp;");"</f>
        <v>INSERT INTO COTACAO (cot_id, cot_blt_id, cot_pap_id, cot_prc_comum, cot_prc_min, cot_prc_max, cot_prc_med, cot_prc_mediana) VALUES (285, 44, 13, 60, 48, 72, 60, 60);</v>
      </c>
      <c r="J286" s="0" t="str">
        <f aca="false">"UPDATE COTACAO SET cot_id = "&amp;A286&amp;", cot_blt_id = "&amp;B286&amp;", cot_pap_id = "&amp;C286&amp;", cot_prc_comum = "&amp;D286&amp;", cot_prc_min = "&amp;E286&amp;", cot_prc_max = "&amp;F286&amp;", cot_prc_med = "&amp;G286&amp;", cot_prc_mediana = "&amp;H286&amp;" WHERE cot_id = "&amp;A286&amp;";"</f>
        <v>UPDATE COTACAO SET cot_id = 285, cot_blt_id = 44, cot_pap_id = 13, cot_prc_comum = 60, cot_prc_min = 48, cot_prc_max = 72, cot_prc_med = 60, cot_prc_mediana = 60 WHERE cot_id = 285;</v>
      </c>
    </row>
    <row r="287" customFormat="false" ht="14.25" hidden="false" customHeight="false" outlineLevel="0" collapsed="false">
      <c r="A287" s="0" t="n">
        <v>286</v>
      </c>
      <c r="B287" s="0" t="n">
        <f aca="false">IF('Boletins Nuppa Site'!A287&lt;&gt;0,'Boletins Nuppa Site'!A287,"NULL")</f>
        <v>44</v>
      </c>
      <c r="C287" s="0" t="n">
        <v>14</v>
      </c>
      <c r="D287" s="30" t="n">
        <f aca="false">IF('Boletins Nuppa Site'!G287&lt;&gt;0,'Boletins Nuppa Site'!G287,"NULL")</f>
        <v>84</v>
      </c>
      <c r="E287" s="30" t="n">
        <f aca="false">IF('Boletins Nuppa Site'!H287&lt;&gt;0,'Boletins Nuppa Site'!H287,"NULL")</f>
        <v>60</v>
      </c>
      <c r="F287" s="30" t="n">
        <f aca="false">IF('Boletins Nuppa Site'!I287&lt;&gt;0,'Boletins Nuppa Site'!I287,"NULL")</f>
        <v>84</v>
      </c>
      <c r="G287" s="30" t="n">
        <f aca="false">IF('Boletins Nuppa Site'!J287&lt;&gt;0,'Boletins Nuppa Site'!J287,"NULL")</f>
        <v>75</v>
      </c>
      <c r="H287" s="30" t="n">
        <f aca="false">IF('Boletins Nuppa Site'!K287&lt;&gt;0,'Boletins Nuppa Site'!K287,"NULL")</f>
        <v>78</v>
      </c>
      <c r="I287" s="0" t="str">
        <f aca="false">"INSERT INTO COTACAO (cot_id, cot_blt_id, cot_pap_id, cot_prc_comum, cot_prc_min, cot_prc_max, cot_prc_med, cot_prc_mediana) VALUES ("&amp;A287&amp;", "&amp;B287&amp;", "&amp;C287&amp;", "&amp;D287&amp;", "&amp;E287&amp;", "&amp;F287&amp;", "&amp;G287&amp;", "&amp;H287&amp;");"</f>
        <v>INSERT INTO COTACAO (cot_id, cot_blt_id, cot_pap_id, cot_prc_comum, cot_prc_min, cot_prc_max, cot_prc_med, cot_prc_mediana) VALUES (286, 44, 14, 84, 60, 84, 75, 78);</v>
      </c>
      <c r="J287" s="0" t="str">
        <f aca="false">"UPDATE COTACAO SET cot_id = "&amp;A287&amp;", cot_blt_id = "&amp;B287&amp;", cot_pap_id = "&amp;C287&amp;", cot_prc_comum = "&amp;D287&amp;", cot_prc_min = "&amp;E287&amp;", cot_prc_max = "&amp;F287&amp;", cot_prc_med = "&amp;G287&amp;", cot_prc_mediana = "&amp;H287&amp;" WHERE cot_id = "&amp;A287&amp;";"</f>
        <v>UPDATE COTACAO SET cot_id = 286, cot_blt_id = 44, cot_pap_id = 14, cot_prc_comum = 84, cot_prc_min = 60, cot_prc_max = 84, cot_prc_med = 75, cot_prc_mediana = 78 WHERE cot_id = 286;</v>
      </c>
    </row>
    <row r="288" customFormat="false" ht="14.25" hidden="false" customHeight="false" outlineLevel="0" collapsed="false">
      <c r="A288" s="0" t="n">
        <v>287</v>
      </c>
      <c r="B288" s="0" t="n">
        <f aca="false">IF('Boletins Nuppa Site'!A288&lt;&gt;0,'Boletins Nuppa Site'!A288,"NULL")</f>
        <v>44</v>
      </c>
      <c r="C288" s="0" t="n">
        <v>15</v>
      </c>
      <c r="D288" s="30" t="n">
        <f aca="false">IF('Boletins Nuppa Site'!G288&lt;&gt;0,'Boletins Nuppa Site'!G288,"NULL")</f>
        <v>60</v>
      </c>
      <c r="E288" s="30" t="n">
        <f aca="false">IF('Boletins Nuppa Site'!H288&lt;&gt;0,'Boletins Nuppa Site'!H288,"NULL")</f>
        <v>48</v>
      </c>
      <c r="F288" s="30" t="n">
        <f aca="false">IF('Boletins Nuppa Site'!I288&lt;&gt;0,'Boletins Nuppa Site'!I288,"NULL")</f>
        <v>78</v>
      </c>
      <c r="G288" s="0" t="str">
        <f aca="false">IF('Boletins Nuppa Site'!J288&lt;&gt;0,'Boletins Nuppa Site'!J288,"NULL")</f>
        <v>61.2</v>
      </c>
      <c r="H288" s="30" t="n">
        <f aca="false">IF('Boletins Nuppa Site'!K288&lt;&gt;0,'Boletins Nuppa Site'!K288,"NULL")</f>
        <v>60</v>
      </c>
      <c r="I288" s="0" t="str">
        <f aca="false">"INSERT INTO COTACAO (cot_id, cot_blt_id, cot_pap_id, cot_prc_comum, cot_prc_min, cot_prc_max, cot_prc_med, cot_prc_mediana) VALUES ("&amp;A288&amp;", "&amp;B288&amp;", "&amp;C288&amp;", "&amp;D288&amp;", "&amp;E288&amp;", "&amp;F288&amp;", "&amp;G288&amp;", "&amp;H288&amp;");"</f>
        <v>INSERT INTO COTACAO (cot_id, cot_blt_id, cot_pap_id, cot_prc_comum, cot_prc_min, cot_prc_max, cot_prc_med, cot_prc_mediana) VALUES (287, 44, 15, 60, 48, 78, 61.2, 60);</v>
      </c>
      <c r="J288" s="0" t="str">
        <f aca="false">"UPDATE COTACAO SET cot_id = "&amp;A288&amp;", cot_blt_id = "&amp;B288&amp;", cot_pap_id = "&amp;C288&amp;", cot_prc_comum = "&amp;D288&amp;", cot_prc_min = "&amp;E288&amp;", cot_prc_max = "&amp;F288&amp;", cot_prc_med = "&amp;G288&amp;", cot_prc_mediana = "&amp;H288&amp;" WHERE cot_id = "&amp;A288&amp;";"</f>
        <v>UPDATE COTACAO SET cot_id = 287, cot_blt_id = 44, cot_pap_id = 15, cot_prc_comum = 60, cot_prc_min = 48, cot_prc_max = 78, cot_prc_med = 61.2, cot_prc_mediana = 60 WHERE cot_id = 287;</v>
      </c>
    </row>
    <row r="289" customFormat="false" ht="14.25" hidden="false" customHeight="false" outlineLevel="0" collapsed="false">
      <c r="A289" s="0" t="n">
        <v>288</v>
      </c>
      <c r="B289" s="0" t="n">
        <f aca="false">IF('Boletins Nuppa Site'!A289&lt;&gt;0,'Boletins Nuppa Site'!A289,"NULL")</f>
        <v>44</v>
      </c>
      <c r="C289" s="0" t="n">
        <v>16</v>
      </c>
      <c r="D289" s="0" t="str">
        <f aca="false">IF('Boletins Nuppa Site'!G289&lt;&gt;0,'Boletins Nuppa Site'!G289,"NULL")</f>
        <v>NULL</v>
      </c>
      <c r="E289" s="30" t="n">
        <f aca="false">IF('Boletins Nuppa Site'!H289&lt;&gt;0,'Boletins Nuppa Site'!H289,"NULL")</f>
        <v>42</v>
      </c>
      <c r="F289" s="30" t="n">
        <f aca="false">IF('Boletins Nuppa Site'!I289&lt;&gt;0,'Boletins Nuppa Site'!I289,"NULL")</f>
        <v>54</v>
      </c>
      <c r="G289" s="30" t="n">
        <f aca="false">IF('Boletins Nuppa Site'!J289&lt;&gt;0,'Boletins Nuppa Site'!J289,"NULL")</f>
        <v>48</v>
      </c>
      <c r="H289" s="30" t="n">
        <f aca="false">IF('Boletins Nuppa Site'!K289&lt;&gt;0,'Boletins Nuppa Site'!K289,"NULL")</f>
        <v>48</v>
      </c>
      <c r="I289" s="0" t="str">
        <f aca="false">"INSERT INTO COTACAO (cot_id, cot_blt_id, cot_pap_id, cot_prc_comum, cot_prc_min, cot_prc_max, cot_prc_med, cot_prc_mediana) VALUES ("&amp;A289&amp;", "&amp;B289&amp;", "&amp;C289&amp;", "&amp;D289&amp;", "&amp;E289&amp;", "&amp;F289&amp;", "&amp;G289&amp;", "&amp;H289&amp;");"</f>
        <v>INSERT INTO COTACAO (cot_id, cot_blt_id, cot_pap_id, cot_prc_comum, cot_prc_min, cot_prc_max, cot_prc_med, cot_prc_mediana) VALUES (288, 44, 16, NULL, 42, 54, 48, 48);</v>
      </c>
      <c r="J289" s="0" t="str">
        <f aca="false">"UPDATE COTACAO SET cot_id = "&amp;A289&amp;", cot_blt_id = "&amp;B289&amp;", cot_pap_id = "&amp;C289&amp;", cot_prc_comum = "&amp;D289&amp;", cot_prc_min = "&amp;E289&amp;", cot_prc_max = "&amp;F289&amp;", cot_prc_med = "&amp;G289&amp;", cot_prc_mediana = "&amp;H289&amp;" WHERE cot_id = "&amp;A289&amp;";"</f>
        <v>UPDATE COTACAO SET cot_id = 288, cot_blt_id = 44, cot_pap_id = 16, cot_prc_comum = NULL, cot_prc_min = 42, cot_prc_max = 54, cot_prc_med = 48, cot_prc_mediana = 48 WHERE cot_id = 288;</v>
      </c>
    </row>
    <row r="290" customFormat="false" ht="14.25" hidden="false" customHeight="false" outlineLevel="0" collapsed="false">
      <c r="A290" s="0" t="n">
        <v>289</v>
      </c>
      <c r="B290" s="0" t="n">
        <f aca="false">IF('Boletins Nuppa Site'!A290&lt;&gt;0,'Boletins Nuppa Site'!A290,"NULL")</f>
        <v>44</v>
      </c>
      <c r="C290" s="0" t="n">
        <v>17</v>
      </c>
      <c r="D290" s="30" t="n">
        <f aca="false">IF('Boletins Nuppa Site'!G290&lt;&gt;0,'Boletins Nuppa Site'!G290,"NULL")</f>
        <v>5</v>
      </c>
      <c r="E290" s="30" t="n">
        <f aca="false">IF('Boletins Nuppa Site'!H290&lt;&gt;0,'Boletins Nuppa Site'!H290,"NULL")</f>
        <v>4</v>
      </c>
      <c r="F290" s="30" t="n">
        <f aca="false">IF('Boletins Nuppa Site'!I290&lt;&gt;0,'Boletins Nuppa Site'!I290,"NULL")</f>
        <v>5</v>
      </c>
      <c r="G290" s="0" t="str">
        <f aca="false">IF('Boletins Nuppa Site'!J290&lt;&gt;0,'Boletins Nuppa Site'!J290,"NULL")</f>
        <v>4.63</v>
      </c>
      <c r="H290" s="0" t="str">
        <f aca="false">IF('Boletins Nuppa Site'!K290&lt;&gt;0,'Boletins Nuppa Site'!K290,"NULL")</f>
        <v>4.75</v>
      </c>
      <c r="I290" s="0" t="str">
        <f aca="false">"INSERT INTO COTACAO (cot_id, cot_blt_id, cot_pap_id, cot_prc_comum, cot_prc_min, cot_prc_max, cot_prc_med, cot_prc_mediana) VALUES ("&amp;A290&amp;", "&amp;B290&amp;", "&amp;C290&amp;", "&amp;D290&amp;", "&amp;E290&amp;", "&amp;F290&amp;", "&amp;G290&amp;", "&amp;H290&amp;");"</f>
        <v>INSERT INTO COTACAO (cot_id, cot_blt_id, cot_pap_id, cot_prc_comum, cot_prc_min, cot_prc_max, cot_prc_med, cot_prc_mediana) VALUES (289, 44, 17, 5, 4, 5, 4.63, 4.75);</v>
      </c>
      <c r="J290" s="0" t="str">
        <f aca="false">"UPDATE COTACAO SET cot_id = "&amp;A290&amp;", cot_blt_id = "&amp;B290&amp;", cot_pap_id = "&amp;C290&amp;", cot_prc_comum = "&amp;D290&amp;", cot_prc_min = "&amp;E290&amp;", cot_prc_max = "&amp;F290&amp;", cot_prc_med = "&amp;G290&amp;", cot_prc_mediana = "&amp;H290&amp;" WHERE cot_id = "&amp;A290&amp;";"</f>
        <v>UPDATE COTACAO SET cot_id = 289, cot_blt_id = 44, cot_pap_id = 17, cot_prc_comum = 5, cot_prc_min = 4, cot_prc_max = 5, cot_prc_med = 4.63, cot_prc_mediana = 4.75 WHERE cot_id = 289;</v>
      </c>
    </row>
    <row r="291" customFormat="false" ht="14.25" hidden="false" customHeight="false" outlineLevel="0" collapsed="false">
      <c r="A291" s="0" t="n">
        <v>290</v>
      </c>
      <c r="B291" s="0" t="n">
        <f aca="false">IF('Boletins Nuppa Site'!A291&lt;&gt;0,'Boletins Nuppa Site'!A291,"NULL")</f>
        <v>44</v>
      </c>
      <c r="C291" s="0" t="n">
        <v>18</v>
      </c>
      <c r="D291" s="30" t="n">
        <f aca="false">IF('Boletins Nuppa Site'!G291&lt;&gt;0,'Boletins Nuppa Site'!G291,"NULL")</f>
        <v>20</v>
      </c>
      <c r="E291" s="30" t="n">
        <f aca="false">IF('Boletins Nuppa Site'!H291&lt;&gt;0,'Boletins Nuppa Site'!H291,"NULL")</f>
        <v>20</v>
      </c>
      <c r="F291" s="30" t="n">
        <f aca="false">IF('Boletins Nuppa Site'!I291&lt;&gt;0,'Boletins Nuppa Site'!I291,"NULL")</f>
        <v>40</v>
      </c>
      <c r="G291" s="0" t="str">
        <f aca="false">IF('Boletins Nuppa Site'!J291&lt;&gt;0,'Boletins Nuppa Site'!J291,"NULL")</f>
        <v>26.25</v>
      </c>
      <c r="H291" s="0" t="str">
        <f aca="false">IF('Boletins Nuppa Site'!K291&lt;&gt;0,'Boletins Nuppa Site'!K291,"NULL")</f>
        <v>22.5</v>
      </c>
      <c r="I291" s="0" t="str">
        <f aca="false">"INSERT INTO COTACAO (cot_id, cot_blt_id, cot_pap_id, cot_prc_comum, cot_prc_min, cot_prc_max, cot_prc_med, cot_prc_mediana) VALUES ("&amp;A291&amp;", "&amp;B291&amp;", "&amp;C291&amp;", "&amp;D291&amp;", "&amp;E291&amp;", "&amp;F291&amp;", "&amp;G291&amp;", "&amp;H291&amp;");"</f>
        <v>INSERT INTO COTACAO (cot_id, cot_blt_id, cot_pap_id, cot_prc_comum, cot_prc_min, cot_prc_max, cot_prc_med, cot_prc_mediana) VALUES (290, 44, 18, 20, 20, 40, 26.25, 22.5);</v>
      </c>
      <c r="J291" s="0" t="str">
        <f aca="false">"UPDATE COTACAO SET cot_id = "&amp;A291&amp;", cot_blt_id = "&amp;B291&amp;", cot_pap_id = "&amp;C291&amp;", cot_prc_comum = "&amp;D291&amp;", cot_prc_min = "&amp;E291&amp;", cot_prc_max = "&amp;F291&amp;", cot_prc_med = "&amp;G291&amp;", cot_prc_mediana = "&amp;H291&amp;" WHERE cot_id = "&amp;A291&amp;";"</f>
        <v>UPDATE COTACAO SET cot_id = 290, cot_blt_id = 44, cot_pap_id = 18, cot_prc_comum = 20, cot_prc_min = 20, cot_prc_max = 40, cot_prc_med = 26.25, cot_prc_mediana = 22.5 WHERE cot_id = 290;</v>
      </c>
    </row>
    <row r="292" customFormat="false" ht="14.25" hidden="false" customHeight="false" outlineLevel="0" collapsed="false">
      <c r="A292" s="0" t="n">
        <v>291</v>
      </c>
      <c r="B292" s="0" t="n">
        <f aca="false">IF('Boletins Nuppa Site'!A292&lt;&gt;0,'Boletins Nuppa Site'!A292,"NULL")</f>
        <v>44</v>
      </c>
      <c r="C292" s="0" t="n">
        <v>19</v>
      </c>
      <c r="D292" s="30" t="n">
        <f aca="false">IF('Boletins Nuppa Site'!G292&lt;&gt;0,'Boletins Nuppa Site'!G292,"NULL")</f>
        <v>25</v>
      </c>
      <c r="E292" s="30" t="n">
        <f aca="false">IF('Boletins Nuppa Site'!H292&lt;&gt;0,'Boletins Nuppa Site'!H292,"NULL")</f>
        <v>25</v>
      </c>
      <c r="F292" s="30" t="n">
        <f aca="false">IF('Boletins Nuppa Site'!I292&lt;&gt;0,'Boletins Nuppa Site'!I292,"NULL")</f>
        <v>30</v>
      </c>
      <c r="G292" s="0" t="str">
        <f aca="false">IF('Boletins Nuppa Site'!J292&lt;&gt;0,'Boletins Nuppa Site'!J292,"NULL")</f>
        <v>27.6</v>
      </c>
      <c r="H292" s="30" t="n">
        <f aca="false">IF('Boletins Nuppa Site'!K292&lt;&gt;0,'Boletins Nuppa Site'!K292,"NULL")</f>
        <v>28</v>
      </c>
      <c r="I292" s="0" t="str">
        <f aca="false">"INSERT INTO COTACAO (cot_id, cot_blt_id, cot_pap_id, cot_prc_comum, cot_prc_min, cot_prc_max, cot_prc_med, cot_prc_mediana) VALUES ("&amp;A292&amp;", "&amp;B292&amp;", "&amp;C292&amp;", "&amp;D292&amp;", "&amp;E292&amp;", "&amp;F292&amp;", "&amp;G292&amp;", "&amp;H292&amp;");"</f>
        <v>INSERT INTO COTACAO (cot_id, cot_blt_id, cot_pap_id, cot_prc_comum, cot_prc_min, cot_prc_max, cot_prc_med, cot_prc_mediana) VALUES (291, 44, 19, 25, 25, 30, 27.6, 28);</v>
      </c>
      <c r="J292" s="0" t="str">
        <f aca="false">"UPDATE COTACAO SET cot_id = "&amp;A292&amp;", cot_blt_id = "&amp;B292&amp;", cot_pap_id = "&amp;C292&amp;", cot_prc_comum = "&amp;D292&amp;", cot_prc_min = "&amp;E292&amp;", cot_prc_max = "&amp;F292&amp;", cot_prc_med = "&amp;G292&amp;", cot_prc_mediana = "&amp;H292&amp;" WHERE cot_id = "&amp;A292&amp;";"</f>
        <v>UPDATE COTACAO SET cot_id = 291, cot_blt_id = 44, cot_pap_id = 19, cot_prc_comum = 25, cot_prc_min = 25, cot_prc_max = 30, cot_prc_med = 27.6, cot_prc_mediana = 28 WHERE cot_id = 291;</v>
      </c>
    </row>
    <row r="293" customFormat="false" ht="14.25" hidden="false" customHeight="false" outlineLevel="0" collapsed="false">
      <c r="A293" s="0" t="n">
        <v>292</v>
      </c>
      <c r="B293" s="0" t="n">
        <f aca="false">IF('Boletins Nuppa Site'!A293&lt;&gt;0,'Boletins Nuppa Site'!A293,"NULL")</f>
        <v>44</v>
      </c>
      <c r="C293" s="0" t="n">
        <v>20</v>
      </c>
      <c r="D293" s="0" t="str">
        <f aca="false">IF('Boletins Nuppa Site'!G293&lt;&gt;0,'Boletins Nuppa Site'!G293,"NULL")</f>
        <v>NULL</v>
      </c>
      <c r="E293" s="30" t="n">
        <f aca="false">IF('Boletins Nuppa Site'!H293&lt;&gt;0,'Boletins Nuppa Site'!H293,"NULL")</f>
        <v>10</v>
      </c>
      <c r="F293" s="30" t="n">
        <f aca="false">IF('Boletins Nuppa Site'!I293&lt;&gt;0,'Boletins Nuppa Site'!I293,"NULL")</f>
        <v>110</v>
      </c>
      <c r="G293" s="0" t="str">
        <f aca="false">IF('Boletins Nuppa Site'!J293&lt;&gt;0,'Boletins Nuppa Site'!J293,"NULL")</f>
        <v>78.75</v>
      </c>
      <c r="H293" s="0" t="str">
        <f aca="false">IF('Boletins Nuppa Site'!K293&lt;&gt;0,'Boletins Nuppa Site'!K293,"NULL")</f>
        <v>97.5</v>
      </c>
      <c r="I293" s="0" t="str">
        <f aca="false">"INSERT INTO COTACAO (cot_id, cot_blt_id, cot_pap_id, cot_prc_comum, cot_prc_min, cot_prc_max, cot_prc_med, cot_prc_mediana) VALUES ("&amp;A293&amp;", "&amp;B293&amp;", "&amp;C293&amp;", "&amp;D293&amp;", "&amp;E293&amp;", "&amp;F293&amp;", "&amp;G293&amp;", "&amp;H293&amp;");"</f>
        <v>INSERT INTO COTACAO (cot_id, cot_blt_id, cot_pap_id, cot_prc_comum, cot_prc_min, cot_prc_max, cot_prc_med, cot_prc_mediana) VALUES (292, 44, 20, NULL, 10, 110, 78.75, 97.5);</v>
      </c>
      <c r="J293" s="0" t="str">
        <f aca="false">"UPDATE COTACAO SET cot_id = "&amp;A293&amp;", cot_blt_id = "&amp;B293&amp;", cot_pap_id = "&amp;C293&amp;", cot_prc_comum = "&amp;D293&amp;", cot_prc_min = "&amp;E293&amp;", cot_prc_max = "&amp;F293&amp;", cot_prc_med = "&amp;G293&amp;", cot_prc_mediana = "&amp;H293&amp;" WHERE cot_id = "&amp;A293&amp;";"</f>
        <v>UPDATE COTACAO SET cot_id = 292, cot_blt_id = 44, cot_pap_id = 20, cot_prc_comum = NULL, cot_prc_min = 10, cot_prc_max = 110, cot_prc_med = 78.75, cot_prc_mediana = 97.5 WHERE cot_id = 292;</v>
      </c>
    </row>
    <row r="294" customFormat="false" ht="14.25" hidden="false" customHeight="false" outlineLevel="0" collapsed="false">
      <c r="A294" s="0" t="n">
        <v>293</v>
      </c>
      <c r="B294" s="0" t="n">
        <f aca="false">IF('Boletins Nuppa Site'!A294&lt;&gt;0,'Boletins Nuppa Site'!A294,"NULL")</f>
        <v>44</v>
      </c>
      <c r="C294" s="0" t="n">
        <v>21</v>
      </c>
      <c r="D294" s="30" t="n">
        <f aca="false">IF('Boletins Nuppa Site'!G294&lt;&gt;0,'Boletins Nuppa Site'!G294,"NULL")</f>
        <v>100</v>
      </c>
      <c r="E294" s="30" t="n">
        <f aca="false">IF('Boletins Nuppa Site'!H294&lt;&gt;0,'Boletins Nuppa Site'!H294,"NULL")</f>
        <v>78</v>
      </c>
      <c r="F294" s="30" t="n">
        <f aca="false">IF('Boletins Nuppa Site'!I294&lt;&gt;0,'Boletins Nuppa Site'!I294,"NULL")</f>
        <v>100</v>
      </c>
      <c r="G294" s="0" t="str">
        <f aca="false">IF('Boletins Nuppa Site'!J294&lt;&gt;0,'Boletins Nuppa Site'!J294,"NULL")</f>
        <v>89.67</v>
      </c>
      <c r="H294" s="30" t="n">
        <f aca="false">IF('Boletins Nuppa Site'!K294&lt;&gt;0,'Boletins Nuppa Site'!K294,"NULL")</f>
        <v>90</v>
      </c>
      <c r="I294" s="0" t="str">
        <f aca="false">"INSERT INTO COTACAO (cot_id, cot_blt_id, cot_pap_id, cot_prc_comum, cot_prc_min, cot_prc_max, cot_prc_med, cot_prc_mediana) VALUES ("&amp;A294&amp;", "&amp;B294&amp;", "&amp;C294&amp;", "&amp;D294&amp;", "&amp;E294&amp;", "&amp;F294&amp;", "&amp;G294&amp;", "&amp;H294&amp;");"</f>
        <v>INSERT INTO COTACAO (cot_id, cot_blt_id, cot_pap_id, cot_prc_comum, cot_prc_min, cot_prc_max, cot_prc_med, cot_prc_mediana) VALUES (293, 44, 21, 100, 78, 100, 89.67, 90);</v>
      </c>
      <c r="J294" s="0" t="str">
        <f aca="false">"UPDATE COTACAO SET cot_id = "&amp;A294&amp;", cot_blt_id = "&amp;B294&amp;", cot_pap_id = "&amp;C294&amp;", cot_prc_comum = "&amp;D294&amp;", cot_prc_min = "&amp;E294&amp;", cot_prc_max = "&amp;F294&amp;", cot_prc_med = "&amp;G294&amp;", cot_prc_mediana = "&amp;H294&amp;" WHERE cot_id = "&amp;A294&amp;";"</f>
        <v>UPDATE COTACAO SET cot_id = 293, cot_blt_id = 44, cot_pap_id = 21, cot_prc_comum = 100, cot_prc_min = 78, cot_prc_max = 100, cot_prc_med = 89.67, cot_prc_mediana = 90 WHERE cot_id = 293;</v>
      </c>
    </row>
    <row r="295" customFormat="false" ht="14.25" hidden="false" customHeight="false" outlineLevel="0" collapsed="false">
      <c r="A295" s="0" t="n">
        <v>294</v>
      </c>
      <c r="B295" s="0" t="n">
        <f aca="false">IF('Boletins Nuppa Site'!A295&lt;&gt;0,'Boletins Nuppa Site'!A295,"NULL")</f>
        <v>44</v>
      </c>
      <c r="C295" s="0" t="n">
        <v>22</v>
      </c>
      <c r="D295" s="0" t="str">
        <f aca="false">IF('Boletins Nuppa Site'!G295&lt;&gt;0,'Boletins Nuppa Site'!G295,"NULL")</f>
        <v>NULL</v>
      </c>
      <c r="E295" s="30" t="n">
        <f aca="false">IF('Boletins Nuppa Site'!H295&lt;&gt;0,'Boletins Nuppa Site'!H295,"NULL")</f>
        <v>50</v>
      </c>
      <c r="F295" s="30" t="n">
        <f aca="false">IF('Boletins Nuppa Site'!I295&lt;&gt;0,'Boletins Nuppa Site'!I295,"NULL")</f>
        <v>80</v>
      </c>
      <c r="G295" s="30" t="n">
        <f aca="false">IF('Boletins Nuppa Site'!J295&lt;&gt;0,'Boletins Nuppa Site'!J295,"NULL")</f>
        <v>66</v>
      </c>
      <c r="H295" s="30" t="n">
        <f aca="false">IF('Boletins Nuppa Site'!K295&lt;&gt;0,'Boletins Nuppa Site'!K295,"NULL")</f>
        <v>70</v>
      </c>
      <c r="I295" s="0" t="str">
        <f aca="false">"INSERT INTO COTACAO (cot_id, cot_blt_id, cot_pap_id, cot_prc_comum, cot_prc_min, cot_prc_max, cot_prc_med, cot_prc_mediana) VALUES ("&amp;A295&amp;", "&amp;B295&amp;", "&amp;C295&amp;", "&amp;D295&amp;", "&amp;E295&amp;", "&amp;F295&amp;", "&amp;G295&amp;", "&amp;H295&amp;");"</f>
        <v>INSERT INTO COTACAO (cot_id, cot_blt_id, cot_pap_id, cot_prc_comum, cot_prc_min, cot_prc_max, cot_prc_med, cot_prc_mediana) VALUES (294, 44, 22, NULL, 50, 80, 66, 70);</v>
      </c>
      <c r="J295" s="0" t="str">
        <f aca="false">"UPDATE COTACAO SET cot_id = "&amp;A295&amp;", cot_blt_id = "&amp;B295&amp;", cot_pap_id = "&amp;C295&amp;", cot_prc_comum = "&amp;D295&amp;", cot_prc_min = "&amp;E295&amp;", cot_prc_max = "&amp;F295&amp;", cot_prc_med = "&amp;G295&amp;", cot_prc_mediana = "&amp;H295&amp;" WHERE cot_id = "&amp;A295&amp;";"</f>
        <v>UPDATE COTACAO SET cot_id = 294, cot_blt_id = 44, cot_pap_id = 22, cot_prc_comum = NULL, cot_prc_min = 50, cot_prc_max = 80, cot_prc_med = 66, cot_prc_mediana = 70 WHERE cot_id = 294;</v>
      </c>
    </row>
    <row r="296" customFormat="false" ht="14.25" hidden="false" customHeight="false" outlineLevel="0" collapsed="false">
      <c r="A296" s="0" t="n">
        <v>295</v>
      </c>
      <c r="B296" s="0" t="n">
        <f aca="false">IF('Boletins Nuppa Site'!A296&lt;&gt;0,'Boletins Nuppa Site'!A296,"NULL")</f>
        <v>44</v>
      </c>
      <c r="C296" s="0" t="n">
        <v>23</v>
      </c>
      <c r="D296" s="30" t="n">
        <f aca="false">IF('Boletins Nuppa Site'!G296&lt;&gt;0,'Boletins Nuppa Site'!G296,"NULL")</f>
        <v>40</v>
      </c>
      <c r="E296" s="30" t="n">
        <f aca="false">IF('Boletins Nuppa Site'!H296&lt;&gt;0,'Boletins Nuppa Site'!H296,"NULL")</f>
        <v>30</v>
      </c>
      <c r="F296" s="30" t="n">
        <f aca="false">IF('Boletins Nuppa Site'!I296&lt;&gt;0,'Boletins Nuppa Site'!I296,"NULL")</f>
        <v>50</v>
      </c>
      <c r="G296" s="30" t="n">
        <f aca="false">IF('Boletins Nuppa Site'!J296&lt;&gt;0,'Boletins Nuppa Site'!J296,"NULL")</f>
        <v>40</v>
      </c>
      <c r="H296" s="30" t="n">
        <f aca="false">IF('Boletins Nuppa Site'!K296&lt;&gt;0,'Boletins Nuppa Site'!K296,"NULL")</f>
        <v>40</v>
      </c>
      <c r="I296" s="0" t="str">
        <f aca="false">"INSERT INTO COTACAO (cot_id, cot_blt_id, cot_pap_id, cot_prc_comum, cot_prc_min, cot_prc_max, cot_prc_med, cot_prc_mediana) VALUES ("&amp;A296&amp;", "&amp;B296&amp;", "&amp;C296&amp;", "&amp;D296&amp;", "&amp;E296&amp;", "&amp;F296&amp;", "&amp;G296&amp;", "&amp;H296&amp;");"</f>
        <v>INSERT INTO COTACAO (cot_id, cot_blt_id, cot_pap_id, cot_prc_comum, cot_prc_min, cot_prc_max, cot_prc_med, cot_prc_mediana) VALUES (295, 44, 23, 40, 30, 50, 40, 40);</v>
      </c>
      <c r="J296" s="0" t="str">
        <f aca="false">"UPDATE COTACAO SET cot_id = "&amp;A296&amp;", cot_blt_id = "&amp;B296&amp;", cot_pap_id = "&amp;C296&amp;", cot_prc_comum = "&amp;D296&amp;", cot_prc_min = "&amp;E296&amp;", cot_prc_max = "&amp;F296&amp;", cot_prc_med = "&amp;G296&amp;", cot_prc_mediana = "&amp;H296&amp;" WHERE cot_id = "&amp;A296&amp;";"</f>
        <v>UPDATE COTACAO SET cot_id = 295, cot_blt_id = 44, cot_pap_id = 23, cot_prc_comum = 40, cot_prc_min = 30, cot_prc_max = 50, cot_prc_med = 40, cot_prc_mediana = 40 WHERE cot_id = 295;</v>
      </c>
    </row>
    <row r="297" customFormat="false" ht="14.25" hidden="false" customHeight="false" outlineLevel="0" collapsed="false">
      <c r="A297" s="0" t="n">
        <v>296</v>
      </c>
      <c r="B297" s="0" t="n">
        <f aca="false">IF('Boletins Nuppa Site'!A297&lt;&gt;0,'Boletins Nuppa Site'!A297,"NULL")</f>
        <v>44</v>
      </c>
      <c r="C297" s="0" t="n">
        <v>24</v>
      </c>
      <c r="D297" s="0" t="str">
        <f aca="false">IF('Boletins Nuppa Site'!G297&lt;&gt;0,'Boletins Nuppa Site'!G297,"NULL")</f>
        <v>NULL</v>
      </c>
      <c r="E297" s="30" t="n">
        <f aca="false">IF('Boletins Nuppa Site'!H297&lt;&gt;0,'Boletins Nuppa Site'!H297,"NULL")</f>
        <v>95</v>
      </c>
      <c r="F297" s="30" t="n">
        <f aca="false">IF('Boletins Nuppa Site'!I297&lt;&gt;0,'Boletins Nuppa Site'!I297,"NULL")</f>
        <v>100</v>
      </c>
      <c r="G297" s="0" t="str">
        <f aca="false">IF('Boletins Nuppa Site'!J297&lt;&gt;0,'Boletins Nuppa Site'!J297,"NULL")</f>
        <v>97.5</v>
      </c>
      <c r="H297" s="0" t="str">
        <f aca="false">IF('Boletins Nuppa Site'!K297&lt;&gt;0,'Boletins Nuppa Site'!K297,"NULL")</f>
        <v>97.5</v>
      </c>
      <c r="I297" s="0" t="str">
        <f aca="false">"INSERT INTO COTACAO (cot_id, cot_blt_id, cot_pap_id, cot_prc_comum, cot_prc_min, cot_prc_max, cot_prc_med, cot_prc_mediana) VALUES ("&amp;A297&amp;", "&amp;B297&amp;", "&amp;C297&amp;", "&amp;D297&amp;", "&amp;E297&amp;", "&amp;F297&amp;", "&amp;G297&amp;", "&amp;H297&amp;");"</f>
        <v>INSERT INTO COTACAO (cot_id, cot_blt_id, cot_pap_id, cot_prc_comum, cot_prc_min, cot_prc_max, cot_prc_med, cot_prc_mediana) VALUES (296, 44, 24, NULL, 95, 100, 97.5, 97.5);</v>
      </c>
      <c r="J297" s="0" t="str">
        <f aca="false">"UPDATE COTACAO SET cot_id = "&amp;A297&amp;", cot_blt_id = "&amp;B297&amp;", cot_pap_id = "&amp;C297&amp;", cot_prc_comum = "&amp;D297&amp;", cot_prc_min = "&amp;E297&amp;", cot_prc_max = "&amp;F297&amp;", cot_prc_med = "&amp;G297&amp;", cot_prc_mediana = "&amp;H297&amp;" WHERE cot_id = "&amp;A297&amp;";"</f>
        <v>UPDATE COTACAO SET cot_id = 296, cot_blt_id = 44, cot_pap_id = 24, cot_prc_comum = NULL, cot_prc_min = 95, cot_prc_max = 100, cot_prc_med = 97.5, cot_prc_mediana = 97.5 WHERE cot_id = 296;</v>
      </c>
    </row>
    <row r="298" customFormat="false" ht="14.25" hidden="false" customHeight="false" outlineLevel="0" collapsed="false">
      <c r="A298" s="0" t="n">
        <v>297</v>
      </c>
      <c r="B298" s="0" t="n">
        <f aca="false">IF('Boletins Nuppa Site'!A298&lt;&gt;0,'Boletins Nuppa Site'!A298,"NULL")</f>
        <v>44</v>
      </c>
      <c r="C298" s="0" t="n">
        <v>25</v>
      </c>
      <c r="D298" s="30" t="n">
        <f aca="false">IF('Boletins Nuppa Site'!G298&lt;&gt;0,'Boletins Nuppa Site'!G298,"NULL")</f>
        <v>95</v>
      </c>
      <c r="E298" s="30" t="n">
        <f aca="false">IF('Boletins Nuppa Site'!H298&lt;&gt;0,'Boletins Nuppa Site'!H298,"NULL")</f>
        <v>70</v>
      </c>
      <c r="F298" s="30" t="n">
        <f aca="false">IF('Boletins Nuppa Site'!I298&lt;&gt;0,'Boletins Nuppa Site'!I298,"NULL")</f>
        <v>120</v>
      </c>
      <c r="G298" s="30" t="n">
        <f aca="false">IF('Boletins Nuppa Site'!J298&lt;&gt;0,'Boletins Nuppa Site'!J298,"NULL")</f>
        <v>92</v>
      </c>
      <c r="H298" s="30" t="n">
        <f aca="false">IF('Boletins Nuppa Site'!K298&lt;&gt;0,'Boletins Nuppa Site'!K298,"NULL")</f>
        <v>95</v>
      </c>
      <c r="I298" s="0" t="str">
        <f aca="false">"INSERT INTO COTACAO (cot_id, cot_blt_id, cot_pap_id, cot_prc_comum, cot_prc_min, cot_prc_max, cot_prc_med, cot_prc_mediana) VALUES ("&amp;A298&amp;", "&amp;B298&amp;", "&amp;C298&amp;", "&amp;D298&amp;", "&amp;E298&amp;", "&amp;F298&amp;", "&amp;G298&amp;", "&amp;H298&amp;");"</f>
        <v>INSERT INTO COTACAO (cot_id, cot_blt_id, cot_pap_id, cot_prc_comum, cot_prc_min, cot_prc_max, cot_prc_med, cot_prc_mediana) VALUES (297, 44, 25, 95, 70, 120, 92, 95);</v>
      </c>
      <c r="J298" s="0" t="str">
        <f aca="false">"UPDATE COTACAO SET cot_id = "&amp;A298&amp;", cot_blt_id = "&amp;B298&amp;", cot_pap_id = "&amp;C298&amp;", cot_prc_comum = "&amp;D298&amp;", cot_prc_min = "&amp;E298&amp;", cot_prc_max = "&amp;F298&amp;", cot_prc_med = "&amp;G298&amp;", cot_prc_mediana = "&amp;H298&amp;" WHERE cot_id = "&amp;A298&amp;";"</f>
        <v>UPDATE COTACAO SET cot_id = 297, cot_blt_id = 44, cot_pap_id = 25, cot_prc_comum = 95, cot_prc_min = 70, cot_prc_max = 120, cot_prc_med = 92, cot_prc_mediana = 95 WHERE cot_id = 297;</v>
      </c>
    </row>
    <row r="299" customFormat="false" ht="14.25" hidden="false" customHeight="false" outlineLevel="0" collapsed="false">
      <c r="A299" s="0" t="n">
        <v>298</v>
      </c>
      <c r="B299" s="0" t="n">
        <f aca="false">IF('Boletins Nuppa Site'!A299&lt;&gt;0,'Boletins Nuppa Site'!A299,"NULL")</f>
        <v>44</v>
      </c>
      <c r="C299" s="0" t="n">
        <v>26</v>
      </c>
      <c r="D299" s="30" t="n">
        <f aca="false">IF('Boletins Nuppa Site'!G299&lt;&gt;0,'Boletins Nuppa Site'!G299,"NULL")</f>
        <v>130</v>
      </c>
      <c r="E299" s="30" t="n">
        <f aca="false">IF('Boletins Nuppa Site'!H299&lt;&gt;0,'Boletins Nuppa Site'!H299,"NULL")</f>
        <v>80</v>
      </c>
      <c r="F299" s="30" t="n">
        <f aca="false">IF('Boletins Nuppa Site'!I299&lt;&gt;0,'Boletins Nuppa Site'!I299,"NULL")</f>
        <v>130</v>
      </c>
      <c r="G299" s="30" t="n">
        <f aca="false">IF('Boletins Nuppa Site'!J299&lt;&gt;0,'Boletins Nuppa Site'!J299,"NULL")</f>
        <v>110</v>
      </c>
      <c r="H299" s="30" t="n">
        <f aca="false">IF('Boletins Nuppa Site'!K299&lt;&gt;0,'Boletins Nuppa Site'!K299,"NULL")</f>
        <v>130</v>
      </c>
      <c r="I299" s="0" t="str">
        <f aca="false">"INSERT INTO COTACAO (cot_id, cot_blt_id, cot_pap_id, cot_prc_comum, cot_prc_min, cot_prc_max, cot_prc_med, cot_prc_mediana) VALUES ("&amp;A299&amp;", "&amp;B299&amp;", "&amp;C299&amp;", "&amp;D299&amp;", "&amp;E299&amp;", "&amp;F299&amp;", "&amp;G299&amp;", "&amp;H299&amp;");"</f>
        <v>INSERT INTO COTACAO (cot_id, cot_blt_id, cot_pap_id, cot_prc_comum, cot_prc_min, cot_prc_max, cot_prc_med, cot_prc_mediana) VALUES (298, 44, 26, 130, 80, 130, 110, 130);</v>
      </c>
      <c r="J299" s="0" t="str">
        <f aca="false">"UPDATE COTACAO SET cot_id = "&amp;A299&amp;", cot_blt_id = "&amp;B299&amp;", cot_pap_id = "&amp;C299&amp;", cot_prc_comum = "&amp;D299&amp;", cot_prc_min = "&amp;E299&amp;", cot_prc_max = "&amp;F299&amp;", cot_prc_med = "&amp;G299&amp;", cot_prc_mediana = "&amp;H299&amp;" WHERE cot_id = "&amp;A299&amp;";"</f>
        <v>UPDATE COTACAO SET cot_id = 298, cot_blt_id = 44, cot_pap_id = 26, cot_prc_comum = 130, cot_prc_min = 80, cot_prc_max = 130, cot_prc_med = 110, cot_prc_mediana = 130 WHERE cot_id = 298;</v>
      </c>
    </row>
    <row r="300" customFormat="false" ht="14.25" hidden="false" customHeight="false" outlineLevel="0" collapsed="false">
      <c r="A300" s="0" t="n">
        <v>299</v>
      </c>
      <c r="B300" s="0" t="n">
        <f aca="false">IF('Boletins Nuppa Site'!A300&lt;&gt;0,'Boletins Nuppa Site'!A300,"NULL")</f>
        <v>44</v>
      </c>
      <c r="C300" s="0" t="n">
        <v>27</v>
      </c>
      <c r="D300" s="30" t="n">
        <f aca="false">IF('Boletins Nuppa Site'!G300&lt;&gt;0,'Boletins Nuppa Site'!G300,"NULL")</f>
        <v>60</v>
      </c>
      <c r="E300" s="30" t="n">
        <f aca="false">IF('Boletins Nuppa Site'!H300&lt;&gt;0,'Boletins Nuppa Site'!H300,"NULL")</f>
        <v>50</v>
      </c>
      <c r="F300" s="30" t="n">
        <f aca="false">IF('Boletins Nuppa Site'!I300&lt;&gt;0,'Boletins Nuppa Site'!I300,"NULL")</f>
        <v>80</v>
      </c>
      <c r="G300" s="30" t="n">
        <f aca="false">IF('Boletins Nuppa Site'!J300&lt;&gt;0,'Boletins Nuppa Site'!J300,"NULL")</f>
        <v>64</v>
      </c>
      <c r="H300" s="30" t="n">
        <f aca="false">IF('Boletins Nuppa Site'!K300&lt;&gt;0,'Boletins Nuppa Site'!K300,"NULL")</f>
        <v>60</v>
      </c>
      <c r="I300" s="0" t="str">
        <f aca="false">"INSERT INTO COTACAO (cot_id, cot_blt_id, cot_pap_id, cot_prc_comum, cot_prc_min, cot_prc_max, cot_prc_med, cot_prc_mediana) VALUES ("&amp;A300&amp;", "&amp;B300&amp;", "&amp;C300&amp;", "&amp;D300&amp;", "&amp;E300&amp;", "&amp;F300&amp;", "&amp;G300&amp;", "&amp;H300&amp;");"</f>
        <v>INSERT INTO COTACAO (cot_id, cot_blt_id, cot_pap_id, cot_prc_comum, cot_prc_min, cot_prc_max, cot_prc_med, cot_prc_mediana) VALUES (299, 44, 27, 60, 50, 80, 64, 60);</v>
      </c>
      <c r="J300" s="0" t="str">
        <f aca="false">"UPDATE COTACAO SET cot_id = "&amp;A300&amp;", cot_blt_id = "&amp;B300&amp;", cot_pap_id = "&amp;C300&amp;", cot_prc_comum = "&amp;D300&amp;", cot_prc_min = "&amp;E300&amp;", cot_prc_max = "&amp;F300&amp;", cot_prc_med = "&amp;G300&amp;", cot_prc_mediana = "&amp;H300&amp;" WHERE cot_id = "&amp;A300&amp;";"</f>
        <v>UPDATE COTACAO SET cot_id = 299, cot_blt_id = 44, cot_pap_id = 27, cot_prc_comum = 60, cot_prc_min = 50, cot_prc_max = 80, cot_prc_med = 64, cot_prc_mediana = 60 WHERE cot_id = 299;</v>
      </c>
    </row>
    <row r="301" customFormat="false" ht="14.25" hidden="false" customHeight="false" outlineLevel="0" collapsed="false">
      <c r="A301" s="0" t="n">
        <v>300</v>
      </c>
      <c r="B301" s="0" t="n">
        <f aca="false">IF('Boletins Nuppa Site'!A301&lt;&gt;0,'Boletins Nuppa Site'!A301,"NULL")</f>
        <v>44</v>
      </c>
      <c r="C301" s="0" t="n">
        <v>28</v>
      </c>
      <c r="D301" s="30" t="n">
        <f aca="false">IF('Boletins Nuppa Site'!G301&lt;&gt;0,'Boletins Nuppa Site'!G301,"NULL")</f>
        <v>80</v>
      </c>
      <c r="E301" s="30" t="n">
        <f aca="false">IF('Boletins Nuppa Site'!H301&lt;&gt;0,'Boletins Nuppa Site'!H301,"NULL")</f>
        <v>40</v>
      </c>
      <c r="F301" s="30" t="n">
        <f aca="false">IF('Boletins Nuppa Site'!I301&lt;&gt;0,'Boletins Nuppa Site'!I301,"NULL")</f>
        <v>100</v>
      </c>
      <c r="G301" s="0" t="str">
        <f aca="false">IF('Boletins Nuppa Site'!J301&lt;&gt;0,'Boletins Nuppa Site'!J301,"NULL")</f>
        <v>70.83</v>
      </c>
      <c r="H301" s="0" t="str">
        <f aca="false">IF('Boletins Nuppa Site'!K301&lt;&gt;0,'Boletins Nuppa Site'!K301,"NULL")</f>
        <v>77.5</v>
      </c>
      <c r="I301" s="0" t="str">
        <f aca="false">"INSERT INTO COTACAO (cot_id, cot_blt_id, cot_pap_id, cot_prc_comum, cot_prc_min, cot_prc_max, cot_prc_med, cot_prc_mediana) VALUES ("&amp;A301&amp;", "&amp;B301&amp;", "&amp;C301&amp;", "&amp;D301&amp;", "&amp;E301&amp;", "&amp;F301&amp;", "&amp;G301&amp;", "&amp;H301&amp;");"</f>
        <v>INSERT INTO COTACAO (cot_id, cot_blt_id, cot_pap_id, cot_prc_comum, cot_prc_min, cot_prc_max, cot_prc_med, cot_prc_mediana) VALUES (300, 44, 28, 80, 40, 100, 70.83, 77.5);</v>
      </c>
      <c r="J301" s="0" t="str">
        <f aca="false">"UPDATE COTACAO SET cot_id = "&amp;A301&amp;", cot_blt_id = "&amp;B301&amp;", cot_pap_id = "&amp;C301&amp;", cot_prc_comum = "&amp;D301&amp;", cot_prc_min = "&amp;E301&amp;", cot_prc_max = "&amp;F301&amp;", cot_prc_med = "&amp;G301&amp;", cot_prc_mediana = "&amp;H301&amp;" WHERE cot_id = "&amp;A301&amp;";"</f>
        <v>UPDATE COTACAO SET cot_id = 300, cot_blt_id = 44, cot_pap_id = 28, cot_prc_comum = 80, cot_prc_min = 40, cot_prc_max = 100, cot_prc_med = 70.83, cot_prc_mediana = 77.5 WHERE cot_id = 300;</v>
      </c>
    </row>
    <row r="302" customFormat="false" ht="14.25" hidden="false" customHeight="false" outlineLevel="0" collapsed="false">
      <c r="A302" s="0" t="n">
        <v>301</v>
      </c>
      <c r="B302" s="0" t="n">
        <f aca="false">IF('Boletins Nuppa Site'!A302&lt;&gt;0,'Boletins Nuppa Site'!A302,"NULL")</f>
        <v>44</v>
      </c>
      <c r="C302" s="0" t="n">
        <v>29</v>
      </c>
      <c r="D302" s="0" t="str">
        <f aca="false">IF('Boletins Nuppa Site'!G302&lt;&gt;0,'Boletins Nuppa Site'!G302,"NULL")</f>
        <v>NULL</v>
      </c>
      <c r="E302" s="30" t="n">
        <f aca="false">IF('Boletins Nuppa Site'!H302&lt;&gt;0,'Boletins Nuppa Site'!H302,"NULL")</f>
        <v>80</v>
      </c>
      <c r="F302" s="30" t="n">
        <f aca="false">IF('Boletins Nuppa Site'!I302&lt;&gt;0,'Boletins Nuppa Site'!I302,"NULL")</f>
        <v>80</v>
      </c>
      <c r="G302" s="30" t="n">
        <f aca="false">IF('Boletins Nuppa Site'!J302&lt;&gt;0,'Boletins Nuppa Site'!J302,"NULL")</f>
        <v>80</v>
      </c>
      <c r="H302" s="30" t="n">
        <f aca="false">IF('Boletins Nuppa Site'!K302&lt;&gt;0,'Boletins Nuppa Site'!K302,"NULL")</f>
        <v>80</v>
      </c>
      <c r="I302" s="0" t="str">
        <f aca="false">"INSERT INTO COTACAO (cot_id, cot_blt_id, cot_pap_id, cot_prc_comum, cot_prc_min, cot_prc_max, cot_prc_med, cot_prc_mediana) VALUES ("&amp;A302&amp;", "&amp;B302&amp;", "&amp;C302&amp;", "&amp;D302&amp;", "&amp;E302&amp;", "&amp;F302&amp;", "&amp;G302&amp;", "&amp;H302&amp;");"</f>
        <v>INSERT INTO COTACAO (cot_id, cot_blt_id, cot_pap_id, cot_prc_comum, cot_prc_min, cot_prc_max, cot_prc_med, cot_prc_mediana) VALUES (301, 44, 29, NULL, 80, 80, 80, 80);</v>
      </c>
      <c r="J302" s="0" t="str">
        <f aca="false">"UPDATE COTACAO SET cot_id = "&amp;A302&amp;", cot_blt_id = "&amp;B302&amp;", cot_pap_id = "&amp;C302&amp;", cot_prc_comum = "&amp;D302&amp;", cot_prc_min = "&amp;E302&amp;", cot_prc_max = "&amp;F302&amp;", cot_prc_med = "&amp;G302&amp;", cot_prc_mediana = "&amp;H302&amp;" WHERE cot_id = "&amp;A302&amp;";"</f>
        <v>UPDATE COTACAO SET cot_id = 301, cot_blt_id = 44, cot_pap_id = 29, cot_prc_comum = NULL, cot_prc_min = 80, cot_prc_max = 80, cot_prc_med = 80, cot_prc_mediana = 80 WHERE cot_id = 301;</v>
      </c>
    </row>
    <row r="303" customFormat="false" ht="14.25" hidden="false" customHeight="false" outlineLevel="0" collapsed="false">
      <c r="A303" s="0" t="n">
        <v>302</v>
      </c>
      <c r="B303" s="0" t="n">
        <f aca="false">IF('Boletins Nuppa Site'!A303&lt;&gt;0,'Boletins Nuppa Site'!A303,"NULL")</f>
        <v>44</v>
      </c>
      <c r="C303" s="0" t="n">
        <v>30</v>
      </c>
      <c r="D303" s="30" t="n">
        <f aca="false">IF('Boletins Nuppa Site'!G303&lt;&gt;0,'Boletins Nuppa Site'!G303,"NULL")</f>
        <v>80</v>
      </c>
      <c r="E303" s="30" t="n">
        <f aca="false">IF('Boletins Nuppa Site'!H303&lt;&gt;0,'Boletins Nuppa Site'!H303,"NULL")</f>
        <v>70</v>
      </c>
      <c r="F303" s="30" t="n">
        <f aca="false">IF('Boletins Nuppa Site'!I303&lt;&gt;0,'Boletins Nuppa Site'!I303,"NULL")</f>
        <v>80</v>
      </c>
      <c r="G303" s="0" t="str">
        <f aca="false">IF('Boletins Nuppa Site'!J303&lt;&gt;0,'Boletins Nuppa Site'!J303,"NULL")</f>
        <v>76.67</v>
      </c>
      <c r="H303" s="30" t="n">
        <f aca="false">IF('Boletins Nuppa Site'!K303&lt;&gt;0,'Boletins Nuppa Site'!K303,"NULL")</f>
        <v>80</v>
      </c>
      <c r="I303" s="0" t="str">
        <f aca="false">"INSERT INTO COTACAO (cot_id, cot_blt_id, cot_pap_id, cot_prc_comum, cot_prc_min, cot_prc_max, cot_prc_med, cot_prc_mediana) VALUES ("&amp;A303&amp;", "&amp;B303&amp;", "&amp;C303&amp;", "&amp;D303&amp;", "&amp;E303&amp;", "&amp;F303&amp;", "&amp;G303&amp;", "&amp;H303&amp;");"</f>
        <v>INSERT INTO COTACAO (cot_id, cot_blt_id, cot_pap_id, cot_prc_comum, cot_prc_min, cot_prc_max, cot_prc_med, cot_prc_mediana) VALUES (302, 44, 30, 80, 70, 80, 76.67, 80);</v>
      </c>
      <c r="J303" s="0" t="str">
        <f aca="false">"UPDATE COTACAO SET cot_id = "&amp;A303&amp;", cot_blt_id = "&amp;B303&amp;", cot_pap_id = "&amp;C303&amp;", cot_prc_comum = "&amp;D303&amp;", cot_prc_min = "&amp;E303&amp;", cot_prc_max = "&amp;F303&amp;", cot_prc_med = "&amp;G303&amp;", cot_prc_mediana = "&amp;H303&amp;" WHERE cot_id = "&amp;A303&amp;";"</f>
        <v>UPDATE COTACAO SET cot_id = 302, cot_blt_id = 44, cot_pap_id = 30, cot_prc_comum = 80, cot_prc_min = 70, cot_prc_max = 80, cot_prc_med = 76.67, cot_prc_mediana = 80 WHERE cot_id = 302;</v>
      </c>
    </row>
    <row r="304" customFormat="false" ht="14.25" hidden="false" customHeight="false" outlineLevel="0" collapsed="false">
      <c r="A304" s="0" t="n">
        <v>303</v>
      </c>
      <c r="B304" s="0" t="n">
        <f aca="false">IF('Boletins Nuppa Site'!A304&lt;&gt;0,'Boletins Nuppa Site'!A304,"NULL")</f>
        <v>44</v>
      </c>
      <c r="C304" s="0" t="n">
        <v>31</v>
      </c>
      <c r="D304" s="30" t="n">
        <f aca="false">IF('Boletins Nuppa Site'!G304&lt;&gt;0,'Boletins Nuppa Site'!G304,"NULL")</f>
        <v>100</v>
      </c>
      <c r="E304" s="30" t="n">
        <f aca="false">IF('Boletins Nuppa Site'!H304&lt;&gt;0,'Boletins Nuppa Site'!H304,"NULL")</f>
        <v>70</v>
      </c>
      <c r="F304" s="30" t="n">
        <f aca="false">IF('Boletins Nuppa Site'!I304&lt;&gt;0,'Boletins Nuppa Site'!I304,"NULL")</f>
        <v>120</v>
      </c>
      <c r="G304" s="0" t="str">
        <f aca="false">IF('Boletins Nuppa Site'!J304&lt;&gt;0,'Boletins Nuppa Site'!J304,"NULL")</f>
        <v>97.5</v>
      </c>
      <c r="H304" s="30" t="n">
        <f aca="false">IF('Boletins Nuppa Site'!K304&lt;&gt;0,'Boletins Nuppa Site'!K304,"NULL")</f>
        <v>100</v>
      </c>
      <c r="I304" s="0" t="str">
        <f aca="false">"INSERT INTO COTACAO (cot_id, cot_blt_id, cot_pap_id, cot_prc_comum, cot_prc_min, cot_prc_max, cot_prc_med, cot_prc_mediana) VALUES ("&amp;A304&amp;", "&amp;B304&amp;", "&amp;C304&amp;", "&amp;D304&amp;", "&amp;E304&amp;", "&amp;F304&amp;", "&amp;G304&amp;", "&amp;H304&amp;");"</f>
        <v>INSERT INTO COTACAO (cot_id, cot_blt_id, cot_pap_id, cot_prc_comum, cot_prc_min, cot_prc_max, cot_prc_med, cot_prc_mediana) VALUES (303, 44, 31, 100, 70, 120, 97.5, 100);</v>
      </c>
      <c r="J304" s="0" t="str">
        <f aca="false">"UPDATE COTACAO SET cot_id = "&amp;A304&amp;", cot_blt_id = "&amp;B304&amp;", cot_pap_id = "&amp;C304&amp;", cot_prc_comum = "&amp;D304&amp;", cot_prc_min = "&amp;E304&amp;", cot_prc_max = "&amp;F304&amp;", cot_prc_med = "&amp;G304&amp;", cot_prc_mediana = "&amp;H304&amp;" WHERE cot_id = "&amp;A304&amp;";"</f>
        <v>UPDATE COTACAO SET cot_id = 303, cot_blt_id = 44, cot_pap_id = 31, cot_prc_comum = 100, cot_prc_min = 70, cot_prc_max = 120, cot_prc_med = 97.5, cot_prc_mediana = 100 WHERE cot_id = 303;</v>
      </c>
    </row>
    <row r="305" customFormat="false" ht="14.25" hidden="false" customHeight="false" outlineLevel="0" collapsed="false">
      <c r="A305" s="0" t="n">
        <v>304</v>
      </c>
      <c r="B305" s="0" t="n">
        <f aca="false">IF('Boletins Nuppa Site'!A305&lt;&gt;0,'Boletins Nuppa Site'!A305,"NULL")</f>
        <v>44</v>
      </c>
      <c r="C305" s="0" t="n">
        <v>32</v>
      </c>
      <c r="D305" s="30" t="n">
        <f aca="false">IF('Boletins Nuppa Site'!G305&lt;&gt;0,'Boletins Nuppa Site'!G305,"NULL")</f>
        <v>50</v>
      </c>
      <c r="E305" s="30" t="n">
        <f aca="false">IF('Boletins Nuppa Site'!H305&lt;&gt;0,'Boletins Nuppa Site'!H305,"NULL")</f>
        <v>40</v>
      </c>
      <c r="F305" s="30" t="n">
        <f aca="false">IF('Boletins Nuppa Site'!I305&lt;&gt;0,'Boletins Nuppa Site'!I305,"NULL")</f>
        <v>60</v>
      </c>
      <c r="G305" s="0" t="str">
        <f aca="false">IF('Boletins Nuppa Site'!J305&lt;&gt;0,'Boletins Nuppa Site'!J305,"NULL")</f>
        <v>48.33</v>
      </c>
      <c r="H305" s="30" t="n">
        <f aca="false">IF('Boletins Nuppa Site'!K305&lt;&gt;0,'Boletins Nuppa Site'!K305,"NULL")</f>
        <v>50</v>
      </c>
      <c r="I305" s="0" t="str">
        <f aca="false">"INSERT INTO COTACAO (cot_id, cot_blt_id, cot_pap_id, cot_prc_comum, cot_prc_min, cot_prc_max, cot_prc_med, cot_prc_mediana) VALUES ("&amp;A305&amp;", "&amp;B305&amp;", "&amp;C305&amp;", "&amp;D305&amp;", "&amp;E305&amp;", "&amp;F305&amp;", "&amp;G305&amp;", "&amp;H305&amp;");"</f>
        <v>INSERT INTO COTACAO (cot_id, cot_blt_id, cot_pap_id, cot_prc_comum, cot_prc_min, cot_prc_max, cot_prc_med, cot_prc_mediana) VALUES (304, 44, 32, 50, 40, 60, 48.33, 50);</v>
      </c>
      <c r="J305" s="0" t="str">
        <f aca="false">"UPDATE COTACAO SET cot_id = "&amp;A305&amp;", cot_blt_id = "&amp;B305&amp;", cot_pap_id = "&amp;C305&amp;", cot_prc_comum = "&amp;D305&amp;", cot_prc_min = "&amp;E305&amp;", cot_prc_max = "&amp;F305&amp;", cot_prc_med = "&amp;G305&amp;", cot_prc_mediana = "&amp;H305&amp;" WHERE cot_id = "&amp;A305&amp;";"</f>
        <v>UPDATE COTACAO SET cot_id = 304, cot_blt_id = 44, cot_pap_id = 32, cot_prc_comum = 50, cot_prc_min = 40, cot_prc_max = 60, cot_prc_med = 48.33, cot_prc_mediana = 50 WHERE cot_id = 304;</v>
      </c>
    </row>
    <row r="306" customFormat="false" ht="14.25" hidden="false" customHeight="false" outlineLevel="0" collapsed="false">
      <c r="A306" s="0" t="n">
        <v>305</v>
      </c>
      <c r="B306" s="0" t="n">
        <f aca="false">IF('Boletins Nuppa Site'!A306&lt;&gt;0,'Boletins Nuppa Site'!A306,"NULL")</f>
        <v>44</v>
      </c>
      <c r="C306" s="0" t="n">
        <v>33</v>
      </c>
      <c r="D306" s="30" t="n">
        <f aca="false">IF('Boletins Nuppa Site'!G306&lt;&gt;0,'Boletins Nuppa Site'!G306,"NULL")</f>
        <v>70</v>
      </c>
      <c r="E306" s="30" t="n">
        <f aca="false">IF('Boletins Nuppa Site'!H306&lt;&gt;0,'Boletins Nuppa Site'!H306,"NULL")</f>
        <v>60</v>
      </c>
      <c r="F306" s="30" t="n">
        <f aca="false">IF('Boletins Nuppa Site'!I306&lt;&gt;0,'Boletins Nuppa Site'!I306,"NULL")</f>
        <v>90</v>
      </c>
      <c r="G306" s="0" t="str">
        <f aca="false">IF('Boletins Nuppa Site'!J306&lt;&gt;0,'Boletins Nuppa Site'!J306,"NULL")</f>
        <v>73.33</v>
      </c>
      <c r="H306" s="30" t="n">
        <f aca="false">IF('Boletins Nuppa Site'!K306&lt;&gt;0,'Boletins Nuppa Site'!K306,"NULL")</f>
        <v>70</v>
      </c>
      <c r="I306" s="0" t="str">
        <f aca="false">"INSERT INTO COTACAO (cot_id, cot_blt_id, cot_pap_id, cot_prc_comum, cot_prc_min, cot_prc_max, cot_prc_med, cot_prc_mediana) VALUES ("&amp;A306&amp;", "&amp;B306&amp;", "&amp;C306&amp;", "&amp;D306&amp;", "&amp;E306&amp;", "&amp;F306&amp;", "&amp;G306&amp;", "&amp;H306&amp;");"</f>
        <v>INSERT INTO COTACAO (cot_id, cot_blt_id, cot_pap_id, cot_prc_comum, cot_prc_min, cot_prc_max, cot_prc_med, cot_prc_mediana) VALUES (305, 44, 33, 70, 60, 90, 73.33, 70);</v>
      </c>
      <c r="J306" s="0" t="str">
        <f aca="false">"UPDATE COTACAO SET cot_id = "&amp;A306&amp;", cot_blt_id = "&amp;B306&amp;", cot_pap_id = "&amp;C306&amp;", cot_prc_comum = "&amp;D306&amp;", cot_prc_min = "&amp;E306&amp;", cot_prc_max = "&amp;F306&amp;", cot_prc_med = "&amp;G306&amp;", cot_prc_mediana = "&amp;H306&amp;" WHERE cot_id = "&amp;A306&amp;";"</f>
        <v>UPDATE COTACAO SET cot_id = 305, cot_blt_id = 44, cot_pap_id = 33, cot_prc_comum = 70, cot_prc_min = 60, cot_prc_max = 90, cot_prc_med = 73.33, cot_prc_mediana = 70 WHERE cot_id = 305;</v>
      </c>
    </row>
    <row r="307" customFormat="false" ht="14.25" hidden="false" customHeight="false" outlineLevel="0" collapsed="false">
      <c r="A307" s="0" t="n">
        <v>306</v>
      </c>
      <c r="B307" s="0" t="n">
        <f aca="false">IF('Boletins Nuppa Site'!A307&lt;&gt;0,'Boletins Nuppa Site'!A307,"NULL")</f>
        <v>44</v>
      </c>
      <c r="C307" s="0" t="n">
        <v>34</v>
      </c>
      <c r="D307" s="30" t="n">
        <f aca="false">IF('Boletins Nuppa Site'!G307&lt;&gt;0,'Boletins Nuppa Site'!G307,"NULL")</f>
        <v>130</v>
      </c>
      <c r="E307" s="30" t="n">
        <f aca="false">IF('Boletins Nuppa Site'!H307&lt;&gt;0,'Boletins Nuppa Site'!H307,"NULL")</f>
        <v>100</v>
      </c>
      <c r="F307" s="30" t="n">
        <f aca="false">IF('Boletins Nuppa Site'!I307&lt;&gt;0,'Boletins Nuppa Site'!I307,"NULL")</f>
        <v>130</v>
      </c>
      <c r="G307" s="0" t="str">
        <f aca="false">IF('Boletins Nuppa Site'!J307&lt;&gt;0,'Boletins Nuppa Site'!J307,"NULL")</f>
        <v>117.14</v>
      </c>
      <c r="H307" s="30" t="n">
        <f aca="false">IF('Boletins Nuppa Site'!K307&lt;&gt;0,'Boletins Nuppa Site'!K307,"NULL")</f>
        <v>120</v>
      </c>
      <c r="I307" s="0" t="str">
        <f aca="false">"INSERT INTO COTACAO (cot_id, cot_blt_id, cot_pap_id, cot_prc_comum, cot_prc_min, cot_prc_max, cot_prc_med, cot_prc_mediana) VALUES ("&amp;A307&amp;", "&amp;B307&amp;", "&amp;C307&amp;", "&amp;D307&amp;", "&amp;E307&amp;", "&amp;F307&amp;", "&amp;G307&amp;", "&amp;H307&amp;");"</f>
        <v>INSERT INTO COTACAO (cot_id, cot_blt_id, cot_pap_id, cot_prc_comum, cot_prc_min, cot_prc_max, cot_prc_med, cot_prc_mediana) VALUES (306, 44, 34, 130, 100, 130, 117.14, 120);</v>
      </c>
      <c r="J307" s="0" t="str">
        <f aca="false">"UPDATE COTACAO SET cot_id = "&amp;A307&amp;", cot_blt_id = "&amp;B307&amp;", cot_pap_id = "&amp;C307&amp;", cot_prc_comum = "&amp;D307&amp;", cot_prc_min = "&amp;E307&amp;", cot_prc_max = "&amp;F307&amp;", cot_prc_med = "&amp;G307&amp;", cot_prc_mediana = "&amp;H307&amp;" WHERE cot_id = "&amp;A307&amp;";"</f>
        <v>UPDATE COTACAO SET cot_id = 306, cot_blt_id = 44, cot_pap_id = 34, cot_prc_comum = 130, cot_prc_min = 100, cot_prc_max = 130, cot_prc_med = 117.14, cot_prc_mediana = 120 WHERE cot_id = 306;</v>
      </c>
    </row>
    <row r="308" customFormat="false" ht="14.25" hidden="false" customHeight="false" outlineLevel="0" collapsed="false">
      <c r="A308" s="0" t="n">
        <v>307</v>
      </c>
      <c r="B308" s="0" t="n">
        <f aca="false">IF('Boletins Nuppa Site'!A308&lt;&gt;0,'Boletins Nuppa Site'!A308,"NULL")</f>
        <v>44</v>
      </c>
      <c r="C308" s="0" t="n">
        <v>35</v>
      </c>
      <c r="D308" s="30" t="n">
        <f aca="false">IF('Boletins Nuppa Site'!G308&lt;&gt;0,'Boletins Nuppa Site'!G308,"NULL")</f>
        <v>120</v>
      </c>
      <c r="E308" s="30" t="n">
        <f aca="false">IF('Boletins Nuppa Site'!H308&lt;&gt;0,'Boletins Nuppa Site'!H308,"NULL")</f>
        <v>110</v>
      </c>
      <c r="F308" s="30" t="n">
        <f aca="false">IF('Boletins Nuppa Site'!I308&lt;&gt;0,'Boletins Nuppa Site'!I308,"NULL")</f>
        <v>150</v>
      </c>
      <c r="G308" s="30" t="n">
        <f aca="false">IF('Boletins Nuppa Site'!J308&lt;&gt;0,'Boletins Nuppa Site'!J308,"NULL")</f>
        <v>128</v>
      </c>
      <c r="H308" s="30" t="n">
        <f aca="false">IF('Boletins Nuppa Site'!K308&lt;&gt;0,'Boletins Nuppa Site'!K308,"NULL")</f>
        <v>120</v>
      </c>
      <c r="I308" s="0" t="str">
        <f aca="false">"INSERT INTO COTACAO (cot_id, cot_blt_id, cot_pap_id, cot_prc_comum, cot_prc_min, cot_prc_max, cot_prc_med, cot_prc_mediana) VALUES ("&amp;A308&amp;", "&amp;B308&amp;", "&amp;C308&amp;", "&amp;D308&amp;", "&amp;E308&amp;", "&amp;F308&amp;", "&amp;G308&amp;", "&amp;H308&amp;");"</f>
        <v>INSERT INTO COTACAO (cot_id, cot_blt_id, cot_pap_id, cot_prc_comum, cot_prc_min, cot_prc_max, cot_prc_med, cot_prc_mediana) VALUES (307, 44, 35, 120, 110, 150, 128, 120);</v>
      </c>
      <c r="J308" s="0" t="str">
        <f aca="false">"UPDATE COTACAO SET cot_id = "&amp;A308&amp;", cot_blt_id = "&amp;B308&amp;", cot_pap_id = "&amp;C308&amp;", cot_prc_comum = "&amp;D308&amp;", cot_prc_min = "&amp;E308&amp;", cot_prc_max = "&amp;F308&amp;", cot_prc_med = "&amp;G308&amp;", cot_prc_mediana = "&amp;H308&amp;" WHERE cot_id = "&amp;A308&amp;";"</f>
        <v>UPDATE COTACAO SET cot_id = 307, cot_blt_id = 44, cot_pap_id = 35, cot_prc_comum = 120, cot_prc_min = 110, cot_prc_max = 150, cot_prc_med = 128, cot_prc_mediana = 120 WHERE cot_id = 307;</v>
      </c>
    </row>
    <row r="309" customFormat="false" ht="14.25" hidden="false" customHeight="false" outlineLevel="0" collapsed="false">
      <c r="A309" s="0" t="n">
        <v>308</v>
      </c>
      <c r="B309" s="0" t="n">
        <f aca="false">IF('Boletins Nuppa Site'!A309&lt;&gt;0,'Boletins Nuppa Site'!A309,"NULL")</f>
        <v>44</v>
      </c>
      <c r="C309" s="0" t="n">
        <v>36</v>
      </c>
      <c r="D309" s="0" t="str">
        <f aca="false">IF('Boletins Nuppa Site'!G309&lt;&gt;0,'Boletins Nuppa Site'!G309,"NULL")</f>
        <v>NULL</v>
      </c>
      <c r="E309" s="30" t="n">
        <f aca="false">IF('Boletins Nuppa Site'!H309&lt;&gt;0,'Boletins Nuppa Site'!H309,"NULL")</f>
        <v>80</v>
      </c>
      <c r="F309" s="30" t="n">
        <f aca="false">IF('Boletins Nuppa Site'!I309&lt;&gt;0,'Boletins Nuppa Site'!I309,"NULL")</f>
        <v>80</v>
      </c>
      <c r="G309" s="30" t="n">
        <f aca="false">IF('Boletins Nuppa Site'!J309&lt;&gt;0,'Boletins Nuppa Site'!J309,"NULL")</f>
        <v>80</v>
      </c>
      <c r="H309" s="30" t="n">
        <f aca="false">IF('Boletins Nuppa Site'!K309&lt;&gt;0,'Boletins Nuppa Site'!K309,"NULL")</f>
        <v>80</v>
      </c>
      <c r="I309" s="0" t="str">
        <f aca="false">"INSERT INTO COTACAO (cot_id, cot_blt_id, cot_pap_id, cot_prc_comum, cot_prc_min, cot_prc_max, cot_prc_med, cot_prc_mediana) VALUES ("&amp;A309&amp;", "&amp;B309&amp;", "&amp;C309&amp;", "&amp;D309&amp;", "&amp;E309&amp;", "&amp;F309&amp;", "&amp;G309&amp;", "&amp;H309&amp;");"</f>
        <v>INSERT INTO COTACAO (cot_id, cot_blt_id, cot_pap_id, cot_prc_comum, cot_prc_min, cot_prc_max, cot_prc_med, cot_prc_mediana) VALUES (308, 44, 36, NULL, 80, 80, 80, 80);</v>
      </c>
      <c r="J309" s="0" t="str">
        <f aca="false">"UPDATE COTACAO SET cot_id = "&amp;A309&amp;", cot_blt_id = "&amp;B309&amp;", cot_pap_id = "&amp;C309&amp;", cot_prc_comum = "&amp;D309&amp;", cot_prc_min = "&amp;E309&amp;", cot_prc_max = "&amp;F309&amp;", cot_prc_med = "&amp;G309&amp;", cot_prc_mediana = "&amp;H309&amp;" WHERE cot_id = "&amp;A309&amp;";"</f>
        <v>UPDATE COTACAO SET cot_id = 308, cot_blt_id = 44, cot_pap_id = 36, cot_prc_comum = NULL, cot_prc_min = 80, cot_prc_max = 80, cot_prc_med = 80, cot_prc_mediana = 80 WHERE cot_id = 308;</v>
      </c>
    </row>
    <row r="310" customFormat="false" ht="14.25" hidden="false" customHeight="false" outlineLevel="0" collapsed="false">
      <c r="A310" s="0" t="n">
        <v>309</v>
      </c>
      <c r="B310" s="0" t="n">
        <f aca="false">IF('Boletins Nuppa Site'!A310&lt;&gt;0,'Boletins Nuppa Site'!A310,"NULL")</f>
        <v>44</v>
      </c>
      <c r="C310" s="0" t="n">
        <v>37</v>
      </c>
      <c r="D310" s="0" t="str">
        <f aca="false">IF('Boletins Nuppa Site'!G310&lt;&gt;0,'Boletins Nuppa Site'!G310,"NULL")</f>
        <v>NULL</v>
      </c>
      <c r="E310" s="30" t="n">
        <f aca="false">IF('Boletins Nuppa Site'!H310&lt;&gt;0,'Boletins Nuppa Site'!H310,"NULL")</f>
        <v>60</v>
      </c>
      <c r="F310" s="30" t="n">
        <f aca="false">IF('Boletins Nuppa Site'!I310&lt;&gt;0,'Boletins Nuppa Site'!I310,"NULL")</f>
        <v>60</v>
      </c>
      <c r="G310" s="30" t="n">
        <f aca="false">IF('Boletins Nuppa Site'!J310&lt;&gt;0,'Boletins Nuppa Site'!J310,"NULL")</f>
        <v>60</v>
      </c>
      <c r="H310" s="30" t="n">
        <f aca="false">IF('Boletins Nuppa Site'!K310&lt;&gt;0,'Boletins Nuppa Site'!K310,"NULL")</f>
        <v>60</v>
      </c>
      <c r="I310" s="0" t="str">
        <f aca="false">"INSERT INTO COTACAO (cot_id, cot_blt_id, cot_pap_id, cot_prc_comum, cot_prc_min, cot_prc_max, cot_prc_med, cot_prc_mediana) VALUES ("&amp;A310&amp;", "&amp;B310&amp;", "&amp;C310&amp;", "&amp;D310&amp;", "&amp;E310&amp;", "&amp;F310&amp;", "&amp;G310&amp;", "&amp;H310&amp;");"</f>
        <v>INSERT INTO COTACAO (cot_id, cot_blt_id, cot_pap_id, cot_prc_comum, cot_prc_min, cot_prc_max, cot_prc_med, cot_prc_mediana) VALUES (309, 44, 37, NULL, 60, 60, 60, 60);</v>
      </c>
      <c r="J310" s="0" t="str">
        <f aca="false">"UPDATE COTACAO SET cot_id = "&amp;A310&amp;", cot_blt_id = "&amp;B310&amp;", cot_pap_id = "&amp;C310&amp;", cot_prc_comum = "&amp;D310&amp;", cot_prc_min = "&amp;E310&amp;", cot_prc_max = "&amp;F310&amp;", cot_prc_med = "&amp;G310&amp;", cot_prc_mediana = "&amp;H310&amp;" WHERE cot_id = "&amp;A310&amp;";"</f>
        <v>UPDATE COTACAO SET cot_id = 309, cot_blt_id = 44, cot_pap_id = 37, cot_prc_comum = NULL, cot_prc_min = 60, cot_prc_max = 60, cot_prc_med = 60, cot_prc_mediana = 60 WHERE cot_id = 309;</v>
      </c>
    </row>
    <row r="311" customFormat="false" ht="14.25" hidden="false" customHeight="false" outlineLevel="0" collapsed="false">
      <c r="A311" s="0" t="n">
        <v>310</v>
      </c>
      <c r="B311" s="0" t="n">
        <f aca="false">IF('Boletins Nuppa Site'!A311&lt;&gt;0,'Boletins Nuppa Site'!A311,"NULL")</f>
        <v>44</v>
      </c>
      <c r="C311" s="0" t="n">
        <v>38</v>
      </c>
      <c r="D311" s="0" t="str">
        <f aca="false">IF('Boletins Nuppa Site'!G311&lt;&gt;0,'Boletins Nuppa Site'!G311,"NULL")</f>
        <v>NULL</v>
      </c>
      <c r="E311" s="30" t="n">
        <f aca="false">IF('Boletins Nuppa Site'!H311&lt;&gt;0,'Boletins Nuppa Site'!H311,"NULL")</f>
        <v>40</v>
      </c>
      <c r="F311" s="30" t="n">
        <f aca="false">IF('Boletins Nuppa Site'!I311&lt;&gt;0,'Boletins Nuppa Site'!I311,"NULL")</f>
        <v>40</v>
      </c>
      <c r="G311" s="30" t="n">
        <f aca="false">IF('Boletins Nuppa Site'!J311&lt;&gt;0,'Boletins Nuppa Site'!J311,"NULL")</f>
        <v>40</v>
      </c>
      <c r="H311" s="30" t="n">
        <f aca="false">IF('Boletins Nuppa Site'!K311&lt;&gt;0,'Boletins Nuppa Site'!K311,"NULL")</f>
        <v>40</v>
      </c>
      <c r="I311" s="0" t="str">
        <f aca="false">"INSERT INTO COTACAO (cot_id, cot_blt_id, cot_pap_id, cot_prc_comum, cot_prc_min, cot_prc_max, cot_prc_med, cot_prc_mediana) VALUES ("&amp;A311&amp;", "&amp;B311&amp;", "&amp;C311&amp;", "&amp;D311&amp;", "&amp;E311&amp;", "&amp;F311&amp;", "&amp;G311&amp;", "&amp;H311&amp;");"</f>
        <v>INSERT INTO COTACAO (cot_id, cot_blt_id, cot_pap_id, cot_prc_comum, cot_prc_min, cot_prc_max, cot_prc_med, cot_prc_mediana) VALUES (310, 44, 38, NULL, 40, 40, 40, 40);</v>
      </c>
      <c r="J311" s="0" t="str">
        <f aca="false">"UPDATE COTACAO SET cot_id = "&amp;A311&amp;", cot_blt_id = "&amp;B311&amp;", cot_pap_id = "&amp;C311&amp;", cot_prc_comum = "&amp;D311&amp;", cot_prc_min = "&amp;E311&amp;", cot_prc_max = "&amp;F311&amp;", cot_prc_med = "&amp;G311&amp;", cot_prc_mediana = "&amp;H311&amp;" WHERE cot_id = "&amp;A311&amp;";"</f>
        <v>UPDATE COTACAO SET cot_id = 310, cot_blt_id = 44, cot_pap_id = 38, cot_prc_comum = NULL, cot_prc_min = 40, cot_prc_max = 40, cot_prc_med = 40, cot_prc_mediana = 40 WHERE cot_id = 310;</v>
      </c>
    </row>
    <row r="312" customFormat="false" ht="14.25" hidden="false" customHeight="false" outlineLevel="0" collapsed="false">
      <c r="A312" s="0" t="n">
        <v>311</v>
      </c>
      <c r="B312" s="0" t="n">
        <f aca="false">IF('Boletins Nuppa Site'!A312&lt;&gt;0,'Boletins Nuppa Site'!A312,"NULL")</f>
        <v>44</v>
      </c>
      <c r="C312" s="0" t="n">
        <v>39</v>
      </c>
      <c r="D312" s="0" t="str">
        <f aca="false">IF('Boletins Nuppa Site'!G312&lt;&gt;0,'Boletins Nuppa Site'!G312,"NULL")</f>
        <v>NULL</v>
      </c>
      <c r="E312" s="0" t="str">
        <f aca="false">IF('Boletins Nuppa Site'!H312&lt;&gt;0,'Boletins Nuppa Site'!H312,"NULL")</f>
        <v>NULL</v>
      </c>
      <c r="F312" s="0" t="str">
        <f aca="false">IF('Boletins Nuppa Site'!I312&lt;&gt;0,'Boletins Nuppa Site'!I312,"NULL")</f>
        <v>NULL</v>
      </c>
      <c r="G312" s="0" t="str">
        <f aca="false">IF('Boletins Nuppa Site'!J312&lt;&gt;0,'Boletins Nuppa Site'!J312,"NULL")</f>
        <v>NULL</v>
      </c>
      <c r="H312" s="0" t="str">
        <f aca="false">IF('Boletins Nuppa Site'!K312&lt;&gt;0,'Boletins Nuppa Site'!K312,"NULL")</f>
        <v>NULL</v>
      </c>
      <c r="I312" s="0" t="str">
        <f aca="false">"INSERT INTO COTACAO (cot_id, cot_blt_id, cot_pap_id, cot_prc_comum, cot_prc_min, cot_prc_max, cot_prc_med, cot_prc_mediana) VALUES ("&amp;A312&amp;", "&amp;B312&amp;", "&amp;C312&amp;", "&amp;D312&amp;", "&amp;E312&amp;", "&amp;F312&amp;", "&amp;G312&amp;", "&amp;H312&amp;");"</f>
        <v>INSERT INTO COTACAO (cot_id, cot_blt_id, cot_pap_id, cot_prc_comum, cot_prc_min, cot_prc_max, cot_prc_med, cot_prc_mediana) VALUES (311, 44, 39, NULL, NULL, NULL, NULL, NULL);</v>
      </c>
      <c r="J312" s="0" t="str">
        <f aca="false">"UPDATE COTACAO SET cot_id = "&amp;A312&amp;", cot_blt_id = "&amp;B312&amp;", cot_pap_id = "&amp;C312&amp;", cot_prc_comum = "&amp;D312&amp;", cot_prc_min = "&amp;E312&amp;", cot_prc_max = "&amp;F312&amp;", cot_prc_med = "&amp;G312&amp;", cot_prc_mediana = "&amp;H312&amp;" WHERE cot_id = "&amp;A312&amp;";"</f>
        <v>UPDATE COTACAO SET cot_id = 311, cot_blt_id = 44, cot_pap_id = 39, cot_prc_comum = NULL, cot_prc_min = NULL, cot_prc_max = NULL, cot_prc_med = NULL, cot_prc_mediana = NULL WHERE cot_id = 311;</v>
      </c>
    </row>
    <row r="313" customFormat="false" ht="14.25" hidden="false" customHeight="false" outlineLevel="0" collapsed="false">
      <c r="A313" s="0" t="n">
        <v>312</v>
      </c>
      <c r="B313" s="0" t="n">
        <f aca="false">IF('Boletins Nuppa Site'!A313&lt;&gt;0,'Boletins Nuppa Site'!A313,"NULL")</f>
        <v>44</v>
      </c>
      <c r="C313" s="0" t="n">
        <v>40</v>
      </c>
      <c r="D313" s="0" t="str">
        <f aca="false">IF('Boletins Nuppa Site'!G313&lt;&gt;0,'Boletins Nuppa Site'!G313,"NULL")</f>
        <v>NULL</v>
      </c>
      <c r="E313" s="0" t="str">
        <f aca="false">IF('Boletins Nuppa Site'!H313&lt;&gt;0,'Boletins Nuppa Site'!H313,"NULL")</f>
        <v>NULL</v>
      </c>
      <c r="F313" s="0" t="str">
        <f aca="false">IF('Boletins Nuppa Site'!I313&lt;&gt;0,'Boletins Nuppa Site'!I313,"NULL")</f>
        <v>NULL</v>
      </c>
      <c r="G313" s="0" t="str">
        <f aca="false">IF('Boletins Nuppa Site'!J313&lt;&gt;0,'Boletins Nuppa Site'!J313,"NULL")</f>
        <v>NULL</v>
      </c>
      <c r="H313" s="0" t="str">
        <f aca="false">IF('Boletins Nuppa Site'!K313&lt;&gt;0,'Boletins Nuppa Site'!K313,"NULL")</f>
        <v>NULL</v>
      </c>
      <c r="I313" s="0" t="str">
        <f aca="false">"INSERT INTO COTACAO (cot_id, cot_blt_id, cot_pap_id, cot_prc_comum, cot_prc_min, cot_prc_max, cot_prc_med, cot_prc_mediana) VALUES ("&amp;A313&amp;", "&amp;B313&amp;", "&amp;C313&amp;", "&amp;D313&amp;", "&amp;E313&amp;", "&amp;F313&amp;", "&amp;G313&amp;", "&amp;H313&amp;");"</f>
        <v>INSERT INTO COTACAO (cot_id, cot_blt_id, cot_pap_id, cot_prc_comum, cot_prc_min, cot_prc_max, cot_prc_med, cot_prc_mediana) VALUES (312, 44, 40, NULL, NULL, NULL, NULL, NULL);</v>
      </c>
      <c r="J313" s="0" t="str">
        <f aca="false">"UPDATE COTACAO SET cot_id = "&amp;A313&amp;", cot_blt_id = "&amp;B313&amp;", cot_pap_id = "&amp;C313&amp;", cot_prc_comum = "&amp;D313&amp;", cot_prc_min = "&amp;E313&amp;", cot_prc_max = "&amp;F313&amp;", cot_prc_med = "&amp;G313&amp;", cot_prc_mediana = "&amp;H313&amp;" WHERE cot_id = "&amp;A313&amp;";"</f>
        <v>UPDATE COTACAO SET cot_id = 312, cot_blt_id = 44, cot_pap_id = 40, cot_prc_comum = NULL, cot_prc_min = NULL, cot_prc_max = NULL, cot_prc_med = NULL, cot_prc_mediana = NULL WHERE cot_id = 312;</v>
      </c>
    </row>
    <row r="314" customFormat="false" ht="14.25" hidden="false" customHeight="false" outlineLevel="0" collapsed="false">
      <c r="A314" s="0" t="n">
        <v>313</v>
      </c>
      <c r="B314" s="0" t="n">
        <f aca="false">IF('Boletins Nuppa Site'!A314&lt;&gt;0,'Boletins Nuppa Site'!A314,"NULL")</f>
        <v>45</v>
      </c>
      <c r="C314" s="0" t="n">
        <v>1</v>
      </c>
      <c r="D314" s="0" t="str">
        <f aca="false">IF('Boletins Nuppa Site'!G314&lt;&gt;0,'Boletins Nuppa Site'!G314,"NULL")</f>
        <v>NULL</v>
      </c>
      <c r="E314" s="30" t="n">
        <f aca="false">IF('Boletins Nuppa Site'!H314&lt;&gt;0,'Boletins Nuppa Site'!H314,"NULL")</f>
        <v>60</v>
      </c>
      <c r="F314" s="30" t="n">
        <f aca="false">IF('Boletins Nuppa Site'!I314&lt;&gt;0,'Boletins Nuppa Site'!I314,"NULL")</f>
        <v>78</v>
      </c>
      <c r="G314" s="30" t="n">
        <f aca="false">IF('Boletins Nuppa Site'!J314&lt;&gt;0,'Boletins Nuppa Site'!J314,"NULL")</f>
        <v>69</v>
      </c>
      <c r="H314" s="30" t="n">
        <f aca="false">IF('Boletins Nuppa Site'!K314&lt;&gt;0,'Boletins Nuppa Site'!K314,"NULL")</f>
        <v>69</v>
      </c>
      <c r="I314" s="0" t="str">
        <f aca="false">"INSERT INTO COTACAO (cot_id, cot_blt_id, cot_pap_id, cot_prc_comum, cot_prc_min, cot_prc_max, cot_prc_med, cot_prc_mediana) VALUES ("&amp;A314&amp;", "&amp;B314&amp;", "&amp;C314&amp;", "&amp;D314&amp;", "&amp;E314&amp;", "&amp;F314&amp;", "&amp;G314&amp;", "&amp;H314&amp;");"</f>
        <v>INSERT INTO COTACAO (cot_id, cot_blt_id, cot_pap_id, cot_prc_comum, cot_prc_min, cot_prc_max, cot_prc_med, cot_prc_mediana) VALUES (313, 45, 1, NULL, 60, 78, 69, 69);</v>
      </c>
      <c r="J314" s="0" t="str">
        <f aca="false">"UPDATE COTACAO SET cot_id = "&amp;A314&amp;", cot_blt_id = "&amp;B314&amp;", cot_pap_id = "&amp;C314&amp;", cot_prc_comum = "&amp;D314&amp;", cot_prc_min = "&amp;E314&amp;", cot_prc_max = "&amp;F314&amp;", cot_prc_med = "&amp;G314&amp;", cot_prc_mediana = "&amp;H314&amp;" WHERE cot_id = "&amp;A314&amp;";"</f>
        <v>UPDATE COTACAO SET cot_id = 313, cot_blt_id = 45, cot_pap_id = 1, cot_prc_comum = NULL, cot_prc_min = 60, cot_prc_max = 78, cot_prc_med = 69, cot_prc_mediana = 69 WHERE cot_id = 313;</v>
      </c>
    </row>
    <row r="315" customFormat="false" ht="14.25" hidden="false" customHeight="false" outlineLevel="0" collapsed="false">
      <c r="A315" s="0" t="n">
        <v>314</v>
      </c>
      <c r="B315" s="0" t="n">
        <f aca="false">IF('Boletins Nuppa Site'!A315&lt;&gt;0,'Boletins Nuppa Site'!A315,"NULL")</f>
        <v>45</v>
      </c>
      <c r="C315" s="0" t="n">
        <v>2</v>
      </c>
      <c r="D315" s="30" t="n">
        <f aca="false">IF('Boletins Nuppa Site'!G315&lt;&gt;0,'Boletins Nuppa Site'!G315,"NULL")</f>
        <v>84</v>
      </c>
      <c r="E315" s="30" t="n">
        <f aca="false">IF('Boletins Nuppa Site'!H315&lt;&gt;0,'Boletins Nuppa Site'!H315,"NULL")</f>
        <v>84</v>
      </c>
      <c r="F315" s="30" t="n">
        <f aca="false">IF('Boletins Nuppa Site'!I315&lt;&gt;0,'Boletins Nuppa Site'!I315,"NULL")</f>
        <v>84</v>
      </c>
      <c r="G315" s="30" t="n">
        <f aca="false">IF('Boletins Nuppa Site'!J315&lt;&gt;0,'Boletins Nuppa Site'!J315,"NULL")</f>
        <v>84</v>
      </c>
      <c r="H315" s="30" t="n">
        <f aca="false">IF('Boletins Nuppa Site'!K315&lt;&gt;0,'Boletins Nuppa Site'!K315,"NULL")</f>
        <v>84</v>
      </c>
      <c r="I315" s="0" t="str">
        <f aca="false">"INSERT INTO COTACAO (cot_id, cot_blt_id, cot_pap_id, cot_prc_comum, cot_prc_min, cot_prc_max, cot_prc_med, cot_prc_mediana) VALUES ("&amp;A315&amp;", "&amp;B315&amp;", "&amp;C315&amp;", "&amp;D315&amp;", "&amp;E315&amp;", "&amp;F315&amp;", "&amp;G315&amp;", "&amp;H315&amp;");"</f>
        <v>INSERT INTO COTACAO (cot_id, cot_blt_id, cot_pap_id, cot_prc_comum, cot_prc_min, cot_prc_max, cot_prc_med, cot_prc_mediana) VALUES (314, 45, 2, 84, 84, 84, 84, 84);</v>
      </c>
      <c r="J315" s="0" t="str">
        <f aca="false">"UPDATE COTACAO SET cot_id = "&amp;A315&amp;", cot_blt_id = "&amp;B315&amp;", cot_pap_id = "&amp;C315&amp;", cot_prc_comum = "&amp;D315&amp;", cot_prc_min = "&amp;E315&amp;", cot_prc_max = "&amp;F315&amp;", cot_prc_med = "&amp;G315&amp;", cot_prc_mediana = "&amp;H315&amp;" WHERE cot_id = "&amp;A315&amp;";"</f>
        <v>UPDATE COTACAO SET cot_id = 314, cot_blt_id = 45, cot_pap_id = 2, cot_prc_comum = 84, cot_prc_min = 84, cot_prc_max = 84, cot_prc_med = 84, cot_prc_mediana = 84 WHERE cot_id = 314;</v>
      </c>
    </row>
    <row r="316" customFormat="false" ht="14.25" hidden="false" customHeight="false" outlineLevel="0" collapsed="false">
      <c r="A316" s="0" t="n">
        <v>315</v>
      </c>
      <c r="B316" s="0" t="n">
        <f aca="false">IF('Boletins Nuppa Site'!A316&lt;&gt;0,'Boletins Nuppa Site'!A316,"NULL")</f>
        <v>45</v>
      </c>
      <c r="C316" s="0" t="n">
        <v>3</v>
      </c>
      <c r="D316" s="0" t="str">
        <f aca="false">IF('Boletins Nuppa Site'!G316&lt;&gt;0,'Boletins Nuppa Site'!G316,"NULL")</f>
        <v>NULL</v>
      </c>
      <c r="E316" s="30" t="n">
        <f aca="false">IF('Boletins Nuppa Site'!H316&lt;&gt;0,'Boletins Nuppa Site'!H316,"NULL")</f>
        <v>50</v>
      </c>
      <c r="F316" s="30" t="n">
        <f aca="false">IF('Boletins Nuppa Site'!I316&lt;&gt;0,'Boletins Nuppa Site'!I316,"NULL")</f>
        <v>60</v>
      </c>
      <c r="G316" s="0" t="str">
        <f aca="false">IF('Boletins Nuppa Site'!J316&lt;&gt;0,'Boletins Nuppa Site'!J316,"NULL")</f>
        <v>54.67</v>
      </c>
      <c r="H316" s="30" t="n">
        <f aca="false">IF('Boletins Nuppa Site'!K316&lt;&gt;0,'Boletins Nuppa Site'!K316,"NULL")</f>
        <v>54</v>
      </c>
      <c r="I316" s="0" t="str">
        <f aca="false">"INSERT INTO COTACAO (cot_id, cot_blt_id, cot_pap_id, cot_prc_comum, cot_prc_min, cot_prc_max, cot_prc_med, cot_prc_mediana) VALUES ("&amp;A316&amp;", "&amp;B316&amp;", "&amp;C316&amp;", "&amp;D316&amp;", "&amp;E316&amp;", "&amp;F316&amp;", "&amp;G316&amp;", "&amp;H316&amp;");"</f>
        <v>INSERT INTO COTACAO (cot_id, cot_blt_id, cot_pap_id, cot_prc_comum, cot_prc_min, cot_prc_max, cot_prc_med, cot_prc_mediana) VALUES (315, 45, 3, NULL, 50, 60, 54.67, 54);</v>
      </c>
      <c r="J316" s="0" t="str">
        <f aca="false">"UPDATE COTACAO SET cot_id = "&amp;A316&amp;", cot_blt_id = "&amp;B316&amp;", cot_pap_id = "&amp;C316&amp;", cot_prc_comum = "&amp;D316&amp;", cot_prc_min = "&amp;E316&amp;", cot_prc_max = "&amp;F316&amp;", cot_prc_med = "&amp;G316&amp;", cot_prc_mediana = "&amp;H316&amp;" WHERE cot_id = "&amp;A316&amp;";"</f>
        <v>UPDATE COTACAO SET cot_id = 315, cot_blt_id = 45, cot_pap_id = 3, cot_prc_comum = NULL, cot_prc_min = 50, cot_prc_max = 60, cot_prc_med = 54.67, cot_prc_mediana = 54 WHERE cot_id = 315;</v>
      </c>
    </row>
    <row r="317" customFormat="false" ht="14.25" hidden="false" customHeight="false" outlineLevel="0" collapsed="false">
      <c r="A317" s="0" t="n">
        <v>316</v>
      </c>
      <c r="B317" s="0" t="n">
        <f aca="false">IF('Boletins Nuppa Site'!A317&lt;&gt;0,'Boletins Nuppa Site'!A317,"NULL")</f>
        <v>45</v>
      </c>
      <c r="C317" s="0" t="n">
        <v>4</v>
      </c>
      <c r="D317" s="0" t="str">
        <f aca="false">IF('Boletins Nuppa Site'!G317&lt;&gt;0,'Boletins Nuppa Site'!G317,"NULL")</f>
        <v>NULL</v>
      </c>
      <c r="E317" s="30" t="n">
        <f aca="false">IF('Boletins Nuppa Site'!H317&lt;&gt;0,'Boletins Nuppa Site'!H317,"NULL")</f>
        <v>30</v>
      </c>
      <c r="F317" s="30" t="n">
        <f aca="false">IF('Boletins Nuppa Site'!I317&lt;&gt;0,'Boletins Nuppa Site'!I317,"NULL")</f>
        <v>42</v>
      </c>
      <c r="G317" s="30" t="n">
        <f aca="false">IF('Boletins Nuppa Site'!J317&lt;&gt;0,'Boletins Nuppa Site'!J317,"NULL")</f>
        <v>36</v>
      </c>
      <c r="H317" s="30" t="n">
        <f aca="false">IF('Boletins Nuppa Site'!K317&lt;&gt;0,'Boletins Nuppa Site'!K317,"NULL")</f>
        <v>36</v>
      </c>
      <c r="I317" s="0" t="str">
        <f aca="false">"INSERT INTO COTACAO (cot_id, cot_blt_id, cot_pap_id, cot_prc_comum, cot_prc_min, cot_prc_max, cot_prc_med, cot_prc_mediana) VALUES ("&amp;A317&amp;", "&amp;B317&amp;", "&amp;C317&amp;", "&amp;D317&amp;", "&amp;E317&amp;", "&amp;F317&amp;", "&amp;G317&amp;", "&amp;H317&amp;");"</f>
        <v>INSERT INTO COTACAO (cot_id, cot_blt_id, cot_pap_id, cot_prc_comum, cot_prc_min, cot_prc_max, cot_prc_med, cot_prc_mediana) VALUES (316, 45, 4, NULL, 30, 42, 36, 36);</v>
      </c>
      <c r="J317" s="0" t="str">
        <f aca="false">"UPDATE COTACAO SET cot_id = "&amp;A317&amp;", cot_blt_id = "&amp;B317&amp;", cot_pap_id = "&amp;C317&amp;", cot_prc_comum = "&amp;D317&amp;", cot_prc_min = "&amp;E317&amp;", cot_prc_max = "&amp;F317&amp;", cot_prc_med = "&amp;G317&amp;", cot_prc_mediana = "&amp;H317&amp;" WHERE cot_id = "&amp;A317&amp;";"</f>
        <v>UPDATE COTACAO SET cot_id = 316, cot_blt_id = 45, cot_pap_id = 4, cot_prc_comum = NULL, cot_prc_min = 30, cot_prc_max = 42, cot_prc_med = 36, cot_prc_mediana = 36 WHERE cot_id = 316;</v>
      </c>
    </row>
    <row r="318" customFormat="false" ht="14.25" hidden="false" customHeight="false" outlineLevel="0" collapsed="false">
      <c r="A318" s="0" t="n">
        <v>317</v>
      </c>
      <c r="B318" s="0" t="n">
        <f aca="false">IF('Boletins Nuppa Site'!A318&lt;&gt;0,'Boletins Nuppa Site'!A318,"NULL")</f>
        <v>45</v>
      </c>
      <c r="C318" s="0" t="n">
        <v>5</v>
      </c>
      <c r="D318" s="0" t="str">
        <f aca="false">IF('Boletins Nuppa Site'!G318&lt;&gt;0,'Boletins Nuppa Site'!G318,"NULL")</f>
        <v>NULL</v>
      </c>
      <c r="E318" s="30" t="n">
        <f aca="false">IF('Boletins Nuppa Site'!H318&lt;&gt;0,'Boletins Nuppa Site'!H318,"NULL")</f>
        <v>36</v>
      </c>
      <c r="F318" s="30" t="n">
        <f aca="false">IF('Boletins Nuppa Site'!I318&lt;&gt;0,'Boletins Nuppa Site'!I318,"NULL")</f>
        <v>42</v>
      </c>
      <c r="G318" s="30" t="n">
        <f aca="false">IF('Boletins Nuppa Site'!J318&lt;&gt;0,'Boletins Nuppa Site'!J318,"NULL")</f>
        <v>39</v>
      </c>
      <c r="H318" s="30" t="n">
        <f aca="false">IF('Boletins Nuppa Site'!K318&lt;&gt;0,'Boletins Nuppa Site'!K318,"NULL")</f>
        <v>39</v>
      </c>
      <c r="I318" s="0" t="str">
        <f aca="false">"INSERT INTO COTACAO (cot_id, cot_blt_id, cot_pap_id, cot_prc_comum, cot_prc_min, cot_prc_max, cot_prc_med, cot_prc_mediana) VALUES ("&amp;A318&amp;", "&amp;B318&amp;", "&amp;C318&amp;", "&amp;D318&amp;", "&amp;E318&amp;", "&amp;F318&amp;", "&amp;G318&amp;", "&amp;H318&amp;");"</f>
        <v>INSERT INTO COTACAO (cot_id, cot_blt_id, cot_pap_id, cot_prc_comum, cot_prc_min, cot_prc_max, cot_prc_med, cot_prc_mediana) VALUES (317, 45, 5, NULL, 36, 42, 39, 39);</v>
      </c>
      <c r="J318" s="0" t="str">
        <f aca="false">"UPDATE COTACAO SET cot_id = "&amp;A318&amp;", cot_blt_id = "&amp;B318&amp;", cot_pap_id = "&amp;C318&amp;", cot_prc_comum = "&amp;D318&amp;", cot_prc_min = "&amp;E318&amp;", cot_prc_max = "&amp;F318&amp;", cot_prc_med = "&amp;G318&amp;", cot_prc_mediana = "&amp;H318&amp;" WHERE cot_id = "&amp;A318&amp;";"</f>
        <v>UPDATE COTACAO SET cot_id = 317, cot_blt_id = 45, cot_pap_id = 5, cot_prc_comum = NULL, cot_prc_min = 36, cot_prc_max = 42, cot_prc_med = 39, cot_prc_mediana = 39 WHERE cot_id = 317;</v>
      </c>
    </row>
    <row r="319" customFormat="false" ht="14.25" hidden="false" customHeight="false" outlineLevel="0" collapsed="false">
      <c r="A319" s="0" t="n">
        <v>318</v>
      </c>
      <c r="B319" s="0" t="n">
        <f aca="false">IF('Boletins Nuppa Site'!A319&lt;&gt;0,'Boletins Nuppa Site'!A319,"NULL")</f>
        <v>45</v>
      </c>
      <c r="C319" s="0" t="n">
        <v>6</v>
      </c>
      <c r="D319" s="30" t="n">
        <f aca="false">IF('Boletins Nuppa Site'!G319&lt;&gt;0,'Boletins Nuppa Site'!G319,"NULL")</f>
        <v>60</v>
      </c>
      <c r="E319" s="30" t="n">
        <f aca="false">IF('Boletins Nuppa Site'!H319&lt;&gt;0,'Boletins Nuppa Site'!H319,"NULL")</f>
        <v>60</v>
      </c>
      <c r="F319" s="30" t="n">
        <f aca="false">IF('Boletins Nuppa Site'!I319&lt;&gt;0,'Boletins Nuppa Site'!I319,"NULL")</f>
        <v>60</v>
      </c>
      <c r="G319" s="30" t="n">
        <f aca="false">IF('Boletins Nuppa Site'!J319&lt;&gt;0,'Boletins Nuppa Site'!J319,"NULL")</f>
        <v>60</v>
      </c>
      <c r="H319" s="30" t="n">
        <f aca="false">IF('Boletins Nuppa Site'!K319&lt;&gt;0,'Boletins Nuppa Site'!K319,"NULL")</f>
        <v>60</v>
      </c>
      <c r="I319" s="0" t="str">
        <f aca="false">"INSERT INTO COTACAO (cot_id, cot_blt_id, cot_pap_id, cot_prc_comum, cot_prc_min, cot_prc_max, cot_prc_med, cot_prc_mediana) VALUES ("&amp;A319&amp;", "&amp;B319&amp;", "&amp;C319&amp;", "&amp;D319&amp;", "&amp;E319&amp;", "&amp;F319&amp;", "&amp;G319&amp;", "&amp;H319&amp;");"</f>
        <v>INSERT INTO COTACAO (cot_id, cot_blt_id, cot_pap_id, cot_prc_comum, cot_prc_min, cot_prc_max, cot_prc_med, cot_prc_mediana) VALUES (318, 45, 6, 60, 60, 60, 60, 60);</v>
      </c>
      <c r="J319" s="0" t="str">
        <f aca="false">"UPDATE COTACAO SET cot_id = "&amp;A319&amp;", cot_blt_id = "&amp;B319&amp;", cot_pap_id = "&amp;C319&amp;", cot_prc_comum = "&amp;D319&amp;", cot_prc_min = "&amp;E319&amp;", cot_prc_max = "&amp;F319&amp;", cot_prc_med = "&amp;G319&amp;", cot_prc_mediana = "&amp;H319&amp;" WHERE cot_id = "&amp;A319&amp;";"</f>
        <v>UPDATE COTACAO SET cot_id = 318, cot_blt_id = 45, cot_pap_id = 6, cot_prc_comum = 60, cot_prc_min = 60, cot_prc_max = 60, cot_prc_med = 60, cot_prc_mediana = 60 WHERE cot_id = 318;</v>
      </c>
    </row>
    <row r="320" customFormat="false" ht="14.25" hidden="false" customHeight="false" outlineLevel="0" collapsed="false">
      <c r="A320" s="0" t="n">
        <v>319</v>
      </c>
      <c r="B320" s="0" t="n">
        <f aca="false">IF('Boletins Nuppa Site'!A320&lt;&gt;0,'Boletins Nuppa Site'!A320,"NULL")</f>
        <v>45</v>
      </c>
      <c r="C320" s="0" t="n">
        <v>7</v>
      </c>
      <c r="D320" s="0" t="str">
        <f aca="false">IF('Boletins Nuppa Site'!G320&lt;&gt;0,'Boletins Nuppa Site'!G320,"NULL")</f>
        <v>NULL</v>
      </c>
      <c r="E320" s="30" t="n">
        <f aca="false">IF('Boletins Nuppa Site'!H320&lt;&gt;0,'Boletins Nuppa Site'!H320,"NULL")</f>
        <v>78</v>
      </c>
      <c r="F320" s="30" t="n">
        <f aca="false">IF('Boletins Nuppa Site'!I320&lt;&gt;0,'Boletins Nuppa Site'!I320,"NULL")</f>
        <v>84</v>
      </c>
      <c r="G320" s="30" t="n">
        <f aca="false">IF('Boletins Nuppa Site'!J320&lt;&gt;0,'Boletins Nuppa Site'!J320,"NULL")</f>
        <v>81</v>
      </c>
      <c r="H320" s="30" t="n">
        <f aca="false">IF('Boletins Nuppa Site'!K320&lt;&gt;0,'Boletins Nuppa Site'!K320,"NULL")</f>
        <v>81</v>
      </c>
      <c r="I320" s="0" t="str">
        <f aca="false">"INSERT INTO COTACAO (cot_id, cot_blt_id, cot_pap_id, cot_prc_comum, cot_prc_min, cot_prc_max, cot_prc_med, cot_prc_mediana) VALUES ("&amp;A320&amp;", "&amp;B320&amp;", "&amp;C320&amp;", "&amp;D320&amp;", "&amp;E320&amp;", "&amp;F320&amp;", "&amp;G320&amp;", "&amp;H320&amp;");"</f>
        <v>INSERT INTO COTACAO (cot_id, cot_blt_id, cot_pap_id, cot_prc_comum, cot_prc_min, cot_prc_max, cot_prc_med, cot_prc_mediana) VALUES (319, 45, 7, NULL, 78, 84, 81, 81);</v>
      </c>
      <c r="J320" s="0" t="str">
        <f aca="false">"UPDATE COTACAO SET cot_id = "&amp;A320&amp;", cot_blt_id = "&amp;B320&amp;", cot_pap_id = "&amp;C320&amp;", cot_prc_comum = "&amp;D320&amp;", cot_prc_min = "&amp;E320&amp;", cot_prc_max = "&amp;F320&amp;", cot_prc_med = "&amp;G320&amp;", cot_prc_mediana = "&amp;H320&amp;" WHERE cot_id = "&amp;A320&amp;";"</f>
        <v>UPDATE COTACAO SET cot_id = 319, cot_blt_id = 45, cot_pap_id = 7, cot_prc_comum = NULL, cot_prc_min = 78, cot_prc_max = 84, cot_prc_med = 81, cot_prc_mediana = 81 WHERE cot_id = 319;</v>
      </c>
    </row>
    <row r="321" customFormat="false" ht="14.25" hidden="false" customHeight="false" outlineLevel="0" collapsed="false">
      <c r="A321" s="0" t="n">
        <v>320</v>
      </c>
      <c r="B321" s="0" t="n">
        <f aca="false">IF('Boletins Nuppa Site'!A321&lt;&gt;0,'Boletins Nuppa Site'!A321,"NULL")</f>
        <v>45</v>
      </c>
      <c r="C321" s="0" t="n">
        <v>8</v>
      </c>
      <c r="D321" s="0" t="str">
        <f aca="false">IF('Boletins Nuppa Site'!G321&lt;&gt;0,'Boletins Nuppa Site'!G321,"NULL")</f>
        <v>NULL</v>
      </c>
      <c r="E321" s="30" t="n">
        <f aca="false">IF('Boletins Nuppa Site'!H321&lt;&gt;0,'Boletins Nuppa Site'!H321,"NULL")</f>
        <v>96</v>
      </c>
      <c r="F321" s="30" t="n">
        <f aca="false">IF('Boletins Nuppa Site'!I321&lt;&gt;0,'Boletins Nuppa Site'!I321,"NULL")</f>
        <v>96</v>
      </c>
      <c r="G321" s="30" t="n">
        <f aca="false">IF('Boletins Nuppa Site'!J321&lt;&gt;0,'Boletins Nuppa Site'!J321,"NULL")</f>
        <v>96</v>
      </c>
      <c r="H321" s="30" t="n">
        <f aca="false">IF('Boletins Nuppa Site'!K321&lt;&gt;0,'Boletins Nuppa Site'!K321,"NULL")</f>
        <v>96</v>
      </c>
      <c r="I321" s="0" t="str">
        <f aca="false">"INSERT INTO COTACAO (cot_id, cot_blt_id, cot_pap_id, cot_prc_comum, cot_prc_min, cot_prc_max, cot_prc_med, cot_prc_mediana) VALUES ("&amp;A321&amp;", "&amp;B321&amp;", "&amp;C321&amp;", "&amp;D321&amp;", "&amp;E321&amp;", "&amp;F321&amp;", "&amp;G321&amp;", "&amp;H321&amp;");"</f>
        <v>INSERT INTO COTACAO (cot_id, cot_blt_id, cot_pap_id, cot_prc_comum, cot_prc_min, cot_prc_max, cot_prc_med, cot_prc_mediana) VALUES (320, 45, 8, NULL, 96, 96, 96, 96);</v>
      </c>
      <c r="J321" s="0" t="str">
        <f aca="false">"UPDATE COTACAO SET cot_id = "&amp;A321&amp;", cot_blt_id = "&amp;B321&amp;", cot_pap_id = "&amp;C321&amp;", cot_prc_comum = "&amp;D321&amp;", cot_prc_min = "&amp;E321&amp;", cot_prc_max = "&amp;F321&amp;", cot_prc_med = "&amp;G321&amp;", cot_prc_mediana = "&amp;H321&amp;" WHERE cot_id = "&amp;A321&amp;";"</f>
        <v>UPDATE COTACAO SET cot_id = 320, cot_blt_id = 45, cot_pap_id = 8, cot_prc_comum = NULL, cot_prc_min = 96, cot_prc_max = 96, cot_prc_med = 96, cot_prc_mediana = 96 WHERE cot_id = 320;</v>
      </c>
    </row>
    <row r="322" customFormat="false" ht="14.25" hidden="false" customHeight="false" outlineLevel="0" collapsed="false">
      <c r="A322" s="0" t="n">
        <v>321</v>
      </c>
      <c r="B322" s="0" t="n">
        <f aca="false">IF('Boletins Nuppa Site'!A322&lt;&gt;0,'Boletins Nuppa Site'!A322,"NULL")</f>
        <v>45</v>
      </c>
      <c r="C322" s="0" t="n">
        <v>9</v>
      </c>
      <c r="D322" s="0" t="str">
        <f aca="false">IF('Boletins Nuppa Site'!G322&lt;&gt;0,'Boletins Nuppa Site'!G322,"NULL")</f>
        <v>NULL</v>
      </c>
      <c r="E322" s="30" t="n">
        <f aca="false">IF('Boletins Nuppa Site'!H322&lt;&gt;0,'Boletins Nuppa Site'!H322,"NULL")</f>
        <v>25</v>
      </c>
      <c r="F322" s="30" t="n">
        <f aca="false">IF('Boletins Nuppa Site'!I322&lt;&gt;0,'Boletins Nuppa Site'!I322,"NULL")</f>
        <v>36</v>
      </c>
      <c r="G322" s="0" t="str">
        <f aca="false">IF('Boletins Nuppa Site'!J322&lt;&gt;0,'Boletins Nuppa Site'!J322,"NULL")</f>
        <v>30.5</v>
      </c>
      <c r="H322" s="0" t="str">
        <f aca="false">IF('Boletins Nuppa Site'!K322&lt;&gt;0,'Boletins Nuppa Site'!K322,"NULL")</f>
        <v>30.5</v>
      </c>
      <c r="I322" s="0" t="str">
        <f aca="false">"INSERT INTO COTACAO (cot_id, cot_blt_id, cot_pap_id, cot_prc_comum, cot_prc_min, cot_prc_max, cot_prc_med, cot_prc_mediana) VALUES ("&amp;A322&amp;", "&amp;B322&amp;", "&amp;C322&amp;", "&amp;D322&amp;", "&amp;E322&amp;", "&amp;F322&amp;", "&amp;G322&amp;", "&amp;H322&amp;");"</f>
        <v>INSERT INTO COTACAO (cot_id, cot_blt_id, cot_pap_id, cot_prc_comum, cot_prc_min, cot_prc_max, cot_prc_med, cot_prc_mediana) VALUES (321, 45, 9, NULL, 25, 36, 30.5, 30.5);</v>
      </c>
      <c r="J322" s="0" t="str">
        <f aca="false">"UPDATE COTACAO SET cot_id = "&amp;A322&amp;", cot_blt_id = "&amp;B322&amp;", cot_pap_id = "&amp;C322&amp;", cot_prc_comum = "&amp;D322&amp;", cot_prc_min = "&amp;E322&amp;", cot_prc_max = "&amp;F322&amp;", cot_prc_med = "&amp;G322&amp;", cot_prc_mediana = "&amp;H322&amp;" WHERE cot_id = "&amp;A322&amp;";"</f>
        <v>UPDATE COTACAO SET cot_id = 321, cot_blt_id = 45, cot_pap_id = 9, cot_prc_comum = NULL, cot_prc_min = 25, cot_prc_max = 36, cot_prc_med = 30.5, cot_prc_mediana = 30.5 WHERE cot_id = 321;</v>
      </c>
    </row>
    <row r="323" customFormat="false" ht="14.25" hidden="false" customHeight="false" outlineLevel="0" collapsed="false">
      <c r="A323" s="0" t="n">
        <v>322</v>
      </c>
      <c r="B323" s="0" t="n">
        <f aca="false">IF('Boletins Nuppa Site'!A323&lt;&gt;0,'Boletins Nuppa Site'!A323,"NULL")</f>
        <v>45</v>
      </c>
      <c r="C323" s="0" t="n">
        <v>10</v>
      </c>
      <c r="D323" s="0" t="str">
        <f aca="false">IF('Boletins Nuppa Site'!G323&lt;&gt;0,'Boletins Nuppa Site'!G323,"NULL")</f>
        <v>NULL</v>
      </c>
      <c r="E323" s="30" t="n">
        <f aca="false">IF('Boletins Nuppa Site'!H323&lt;&gt;0,'Boletins Nuppa Site'!H323,"NULL")</f>
        <v>84</v>
      </c>
      <c r="F323" s="30" t="n">
        <f aca="false">IF('Boletins Nuppa Site'!I323&lt;&gt;0,'Boletins Nuppa Site'!I323,"NULL")</f>
        <v>120</v>
      </c>
      <c r="G323" s="30" t="n">
        <f aca="false">IF('Boletins Nuppa Site'!J323&lt;&gt;0,'Boletins Nuppa Site'!J323,"NULL")</f>
        <v>102</v>
      </c>
      <c r="H323" s="30" t="n">
        <f aca="false">IF('Boletins Nuppa Site'!K323&lt;&gt;0,'Boletins Nuppa Site'!K323,"NULL")</f>
        <v>102</v>
      </c>
      <c r="I323" s="0" t="str">
        <f aca="false">"INSERT INTO COTACAO (cot_id, cot_blt_id, cot_pap_id, cot_prc_comum, cot_prc_min, cot_prc_max, cot_prc_med, cot_prc_mediana) VALUES ("&amp;A323&amp;", "&amp;B323&amp;", "&amp;C323&amp;", "&amp;D323&amp;", "&amp;E323&amp;", "&amp;F323&amp;", "&amp;G323&amp;", "&amp;H323&amp;");"</f>
        <v>INSERT INTO COTACAO (cot_id, cot_blt_id, cot_pap_id, cot_prc_comum, cot_prc_min, cot_prc_max, cot_prc_med, cot_prc_mediana) VALUES (322, 45, 10, NULL, 84, 120, 102, 102);</v>
      </c>
      <c r="J323" s="0" t="str">
        <f aca="false">"UPDATE COTACAO SET cot_id = "&amp;A323&amp;", cot_blt_id = "&amp;B323&amp;", cot_pap_id = "&amp;C323&amp;", cot_prc_comum = "&amp;D323&amp;", cot_prc_min = "&amp;E323&amp;", cot_prc_max = "&amp;F323&amp;", cot_prc_med = "&amp;G323&amp;", cot_prc_mediana = "&amp;H323&amp;" WHERE cot_id = "&amp;A323&amp;";"</f>
        <v>UPDATE COTACAO SET cot_id = 322, cot_blt_id = 45, cot_pap_id = 10, cot_prc_comum = NULL, cot_prc_min = 84, cot_prc_max = 120, cot_prc_med = 102, cot_prc_mediana = 102 WHERE cot_id = 322;</v>
      </c>
    </row>
    <row r="324" customFormat="false" ht="14.25" hidden="false" customHeight="false" outlineLevel="0" collapsed="false">
      <c r="A324" s="0" t="n">
        <v>323</v>
      </c>
      <c r="B324" s="0" t="n">
        <f aca="false">IF('Boletins Nuppa Site'!A324&lt;&gt;0,'Boletins Nuppa Site'!A324,"NULL")</f>
        <v>45</v>
      </c>
      <c r="C324" s="0" t="n">
        <v>11</v>
      </c>
      <c r="D324" s="0" t="str">
        <f aca="false">IF('Boletins Nuppa Site'!G324&lt;&gt;0,'Boletins Nuppa Site'!G324,"NULL")</f>
        <v>NULL</v>
      </c>
      <c r="E324" s="30" t="n">
        <f aca="false">IF('Boletins Nuppa Site'!H324&lt;&gt;0,'Boletins Nuppa Site'!H324,"NULL")</f>
        <v>36</v>
      </c>
      <c r="F324" s="30" t="n">
        <f aca="false">IF('Boletins Nuppa Site'!I324&lt;&gt;0,'Boletins Nuppa Site'!I324,"NULL")</f>
        <v>42</v>
      </c>
      <c r="G324" s="30" t="n">
        <f aca="false">IF('Boletins Nuppa Site'!J324&lt;&gt;0,'Boletins Nuppa Site'!J324,"NULL")</f>
        <v>39</v>
      </c>
      <c r="H324" s="30" t="n">
        <f aca="false">IF('Boletins Nuppa Site'!K324&lt;&gt;0,'Boletins Nuppa Site'!K324,"NULL")</f>
        <v>39</v>
      </c>
      <c r="I324" s="0" t="str">
        <f aca="false">"INSERT INTO COTACAO (cot_id, cot_blt_id, cot_pap_id, cot_prc_comum, cot_prc_min, cot_prc_max, cot_prc_med, cot_prc_mediana) VALUES ("&amp;A324&amp;", "&amp;B324&amp;", "&amp;C324&amp;", "&amp;D324&amp;", "&amp;E324&amp;", "&amp;F324&amp;", "&amp;G324&amp;", "&amp;H324&amp;");"</f>
        <v>INSERT INTO COTACAO (cot_id, cot_blt_id, cot_pap_id, cot_prc_comum, cot_prc_min, cot_prc_max, cot_prc_med, cot_prc_mediana) VALUES (323, 45, 11, NULL, 36, 42, 39, 39);</v>
      </c>
      <c r="J324" s="0" t="str">
        <f aca="false">"UPDATE COTACAO SET cot_id = "&amp;A324&amp;", cot_blt_id = "&amp;B324&amp;", cot_pap_id = "&amp;C324&amp;", cot_prc_comum = "&amp;D324&amp;", cot_prc_min = "&amp;E324&amp;", cot_prc_max = "&amp;F324&amp;", cot_prc_med = "&amp;G324&amp;", cot_prc_mediana = "&amp;H324&amp;" WHERE cot_id = "&amp;A324&amp;";"</f>
        <v>UPDATE COTACAO SET cot_id = 323, cot_blt_id = 45, cot_pap_id = 11, cot_prc_comum = NULL, cot_prc_min = 36, cot_prc_max = 42, cot_prc_med = 39, cot_prc_mediana = 39 WHERE cot_id = 323;</v>
      </c>
    </row>
    <row r="325" customFormat="false" ht="14.25" hidden="false" customHeight="false" outlineLevel="0" collapsed="false">
      <c r="A325" s="0" t="n">
        <v>324</v>
      </c>
      <c r="B325" s="0" t="n">
        <f aca="false">IF('Boletins Nuppa Site'!A325&lt;&gt;0,'Boletins Nuppa Site'!A325,"NULL")</f>
        <v>45</v>
      </c>
      <c r="C325" s="0" t="n">
        <v>12</v>
      </c>
      <c r="D325" s="0" t="str">
        <f aca="false">IF('Boletins Nuppa Site'!G325&lt;&gt;0,'Boletins Nuppa Site'!G325,"NULL")</f>
        <v>NULL</v>
      </c>
      <c r="E325" s="30" t="n">
        <f aca="false">IF('Boletins Nuppa Site'!H325&lt;&gt;0,'Boletins Nuppa Site'!H325,"NULL")</f>
        <v>54</v>
      </c>
      <c r="F325" s="30" t="n">
        <f aca="false">IF('Boletins Nuppa Site'!I325&lt;&gt;0,'Boletins Nuppa Site'!I325,"NULL")</f>
        <v>60</v>
      </c>
      <c r="G325" s="30" t="n">
        <f aca="false">IF('Boletins Nuppa Site'!J325&lt;&gt;0,'Boletins Nuppa Site'!J325,"NULL")</f>
        <v>57</v>
      </c>
      <c r="H325" s="30" t="n">
        <f aca="false">IF('Boletins Nuppa Site'!K325&lt;&gt;0,'Boletins Nuppa Site'!K325,"NULL")</f>
        <v>57</v>
      </c>
      <c r="I325" s="0" t="str">
        <f aca="false">"INSERT INTO COTACAO (cot_id, cot_blt_id, cot_pap_id, cot_prc_comum, cot_prc_min, cot_prc_max, cot_prc_med, cot_prc_mediana) VALUES ("&amp;A325&amp;", "&amp;B325&amp;", "&amp;C325&amp;", "&amp;D325&amp;", "&amp;E325&amp;", "&amp;F325&amp;", "&amp;G325&amp;", "&amp;H325&amp;");"</f>
        <v>INSERT INTO COTACAO (cot_id, cot_blt_id, cot_pap_id, cot_prc_comum, cot_prc_min, cot_prc_max, cot_prc_med, cot_prc_mediana) VALUES (324, 45, 12, NULL, 54, 60, 57, 57);</v>
      </c>
      <c r="J325" s="0" t="str">
        <f aca="false">"UPDATE COTACAO SET cot_id = "&amp;A325&amp;", cot_blt_id = "&amp;B325&amp;", cot_pap_id = "&amp;C325&amp;", cot_prc_comum = "&amp;D325&amp;", cot_prc_min = "&amp;E325&amp;", cot_prc_max = "&amp;F325&amp;", cot_prc_med = "&amp;G325&amp;", cot_prc_mediana = "&amp;H325&amp;" WHERE cot_id = "&amp;A325&amp;";"</f>
        <v>UPDATE COTACAO SET cot_id = 324, cot_blt_id = 45, cot_pap_id = 12, cot_prc_comum = NULL, cot_prc_min = 54, cot_prc_max = 60, cot_prc_med = 57, cot_prc_mediana = 57 WHERE cot_id = 324;</v>
      </c>
    </row>
    <row r="326" customFormat="false" ht="14.25" hidden="false" customHeight="false" outlineLevel="0" collapsed="false">
      <c r="A326" s="0" t="n">
        <v>325</v>
      </c>
      <c r="B326" s="0" t="n">
        <f aca="false">IF('Boletins Nuppa Site'!A326&lt;&gt;0,'Boletins Nuppa Site'!A326,"NULL")</f>
        <v>45</v>
      </c>
      <c r="C326" s="0" t="n">
        <v>13</v>
      </c>
      <c r="D326" s="0" t="str">
        <f aca="false">IF('Boletins Nuppa Site'!G326&lt;&gt;0,'Boletins Nuppa Site'!G326,"NULL")</f>
        <v>NULL</v>
      </c>
      <c r="E326" s="30" t="n">
        <f aca="false">IF('Boletins Nuppa Site'!H326&lt;&gt;0,'Boletins Nuppa Site'!H326,"NULL")</f>
        <v>60</v>
      </c>
      <c r="F326" s="30" t="n">
        <f aca="false">IF('Boletins Nuppa Site'!I326&lt;&gt;0,'Boletins Nuppa Site'!I326,"NULL")</f>
        <v>78</v>
      </c>
      <c r="G326" s="30" t="n">
        <f aca="false">IF('Boletins Nuppa Site'!J326&lt;&gt;0,'Boletins Nuppa Site'!J326,"NULL")</f>
        <v>69</v>
      </c>
      <c r="H326" s="30" t="n">
        <f aca="false">IF('Boletins Nuppa Site'!K326&lt;&gt;0,'Boletins Nuppa Site'!K326,"NULL")</f>
        <v>69</v>
      </c>
      <c r="I326" s="0" t="str">
        <f aca="false">"INSERT INTO COTACAO (cot_id, cot_blt_id, cot_pap_id, cot_prc_comum, cot_prc_min, cot_prc_max, cot_prc_med, cot_prc_mediana) VALUES ("&amp;A326&amp;", "&amp;B326&amp;", "&amp;C326&amp;", "&amp;D326&amp;", "&amp;E326&amp;", "&amp;F326&amp;", "&amp;G326&amp;", "&amp;H326&amp;");"</f>
        <v>INSERT INTO COTACAO (cot_id, cot_blt_id, cot_pap_id, cot_prc_comum, cot_prc_min, cot_prc_max, cot_prc_med, cot_prc_mediana) VALUES (325, 45, 13, NULL, 60, 78, 69, 69);</v>
      </c>
      <c r="J326" s="0" t="str">
        <f aca="false">"UPDATE COTACAO SET cot_id = "&amp;A326&amp;", cot_blt_id = "&amp;B326&amp;", cot_pap_id = "&amp;C326&amp;", cot_prc_comum = "&amp;D326&amp;", cot_prc_min = "&amp;E326&amp;", cot_prc_max = "&amp;F326&amp;", cot_prc_med = "&amp;G326&amp;", cot_prc_mediana = "&amp;H326&amp;" WHERE cot_id = "&amp;A326&amp;";"</f>
        <v>UPDATE COTACAO SET cot_id = 325, cot_blt_id = 45, cot_pap_id = 13, cot_prc_comum = NULL, cot_prc_min = 60, cot_prc_max = 78, cot_prc_med = 69, cot_prc_mediana = 69 WHERE cot_id = 325;</v>
      </c>
    </row>
    <row r="327" customFormat="false" ht="14.25" hidden="false" customHeight="false" outlineLevel="0" collapsed="false">
      <c r="A327" s="0" t="n">
        <v>326</v>
      </c>
      <c r="B327" s="0" t="n">
        <f aca="false">IF('Boletins Nuppa Site'!A327&lt;&gt;0,'Boletins Nuppa Site'!A327,"NULL")</f>
        <v>45</v>
      </c>
      <c r="C327" s="0" t="n">
        <v>14</v>
      </c>
      <c r="D327" s="0" t="str">
        <f aca="false">IF('Boletins Nuppa Site'!G327&lt;&gt;0,'Boletins Nuppa Site'!G327,"NULL")</f>
        <v>NULL</v>
      </c>
      <c r="E327" s="30" t="n">
        <f aca="false">IF('Boletins Nuppa Site'!H327&lt;&gt;0,'Boletins Nuppa Site'!H327,"NULL")</f>
        <v>72</v>
      </c>
      <c r="F327" s="30" t="n">
        <f aca="false">IF('Boletins Nuppa Site'!I327&lt;&gt;0,'Boletins Nuppa Site'!I327,"NULL")</f>
        <v>102</v>
      </c>
      <c r="G327" s="30" t="n">
        <f aca="false">IF('Boletins Nuppa Site'!J327&lt;&gt;0,'Boletins Nuppa Site'!J327,"NULL")</f>
        <v>87</v>
      </c>
      <c r="H327" s="30" t="n">
        <f aca="false">IF('Boletins Nuppa Site'!K327&lt;&gt;0,'Boletins Nuppa Site'!K327,"NULL")</f>
        <v>87</v>
      </c>
      <c r="I327" s="0" t="str">
        <f aca="false">"INSERT INTO COTACAO (cot_id, cot_blt_id, cot_pap_id, cot_prc_comum, cot_prc_min, cot_prc_max, cot_prc_med, cot_prc_mediana) VALUES ("&amp;A327&amp;", "&amp;B327&amp;", "&amp;C327&amp;", "&amp;D327&amp;", "&amp;E327&amp;", "&amp;F327&amp;", "&amp;G327&amp;", "&amp;H327&amp;");"</f>
        <v>INSERT INTO COTACAO (cot_id, cot_blt_id, cot_pap_id, cot_prc_comum, cot_prc_min, cot_prc_max, cot_prc_med, cot_prc_mediana) VALUES (326, 45, 14, NULL, 72, 102, 87, 87);</v>
      </c>
      <c r="J327" s="0" t="str">
        <f aca="false">"UPDATE COTACAO SET cot_id = "&amp;A327&amp;", cot_blt_id = "&amp;B327&amp;", cot_pap_id = "&amp;C327&amp;", cot_prc_comum = "&amp;D327&amp;", cot_prc_min = "&amp;E327&amp;", cot_prc_max = "&amp;F327&amp;", cot_prc_med = "&amp;G327&amp;", cot_prc_mediana = "&amp;H327&amp;" WHERE cot_id = "&amp;A327&amp;";"</f>
        <v>UPDATE COTACAO SET cot_id = 326, cot_blt_id = 45, cot_pap_id = 14, cot_prc_comum = NULL, cot_prc_min = 72, cot_prc_max = 102, cot_prc_med = 87, cot_prc_mediana = 87 WHERE cot_id = 326;</v>
      </c>
    </row>
    <row r="328" customFormat="false" ht="14.25" hidden="false" customHeight="false" outlineLevel="0" collapsed="false">
      <c r="A328" s="0" t="n">
        <v>327</v>
      </c>
      <c r="B328" s="0" t="n">
        <f aca="false">IF('Boletins Nuppa Site'!A328&lt;&gt;0,'Boletins Nuppa Site'!A328,"NULL")</f>
        <v>45</v>
      </c>
      <c r="C328" s="0" t="n">
        <v>15</v>
      </c>
      <c r="D328" s="0" t="str">
        <f aca="false">IF('Boletins Nuppa Site'!G328&lt;&gt;0,'Boletins Nuppa Site'!G328,"NULL")</f>
        <v>NULL</v>
      </c>
      <c r="E328" s="30" t="n">
        <f aca="false">IF('Boletins Nuppa Site'!H328&lt;&gt;0,'Boletins Nuppa Site'!H328,"NULL")</f>
        <v>55</v>
      </c>
      <c r="F328" s="30" t="n">
        <f aca="false">IF('Boletins Nuppa Site'!I328&lt;&gt;0,'Boletins Nuppa Site'!I328,"NULL")</f>
        <v>84</v>
      </c>
      <c r="G328" s="0" t="str">
        <f aca="false">IF('Boletins Nuppa Site'!J328&lt;&gt;0,'Boletins Nuppa Site'!J328,"NULL")</f>
        <v>66.33</v>
      </c>
      <c r="H328" s="30" t="n">
        <f aca="false">IF('Boletins Nuppa Site'!K328&lt;&gt;0,'Boletins Nuppa Site'!K328,"NULL")</f>
        <v>60</v>
      </c>
      <c r="I328" s="0" t="str">
        <f aca="false">"INSERT INTO COTACAO (cot_id, cot_blt_id, cot_pap_id, cot_prc_comum, cot_prc_min, cot_prc_max, cot_prc_med, cot_prc_mediana) VALUES ("&amp;A328&amp;", "&amp;B328&amp;", "&amp;C328&amp;", "&amp;D328&amp;", "&amp;E328&amp;", "&amp;F328&amp;", "&amp;G328&amp;", "&amp;H328&amp;");"</f>
        <v>INSERT INTO COTACAO (cot_id, cot_blt_id, cot_pap_id, cot_prc_comum, cot_prc_min, cot_prc_max, cot_prc_med, cot_prc_mediana) VALUES (327, 45, 15, NULL, 55, 84, 66.33, 60);</v>
      </c>
      <c r="J328" s="0" t="str">
        <f aca="false">"UPDATE COTACAO SET cot_id = "&amp;A328&amp;", cot_blt_id = "&amp;B328&amp;", cot_pap_id = "&amp;C328&amp;", cot_prc_comum = "&amp;D328&amp;", cot_prc_min = "&amp;E328&amp;", cot_prc_max = "&amp;F328&amp;", cot_prc_med = "&amp;G328&amp;", cot_prc_mediana = "&amp;H328&amp;" WHERE cot_id = "&amp;A328&amp;";"</f>
        <v>UPDATE COTACAO SET cot_id = 327, cot_blt_id = 45, cot_pap_id = 15, cot_prc_comum = NULL, cot_prc_min = 55, cot_prc_max = 84, cot_prc_med = 66.33, cot_prc_mediana = 60 WHERE cot_id = 327;</v>
      </c>
    </row>
    <row r="329" customFormat="false" ht="14.25" hidden="false" customHeight="false" outlineLevel="0" collapsed="false">
      <c r="A329" s="0" t="n">
        <v>328</v>
      </c>
      <c r="B329" s="0" t="n">
        <f aca="false">IF('Boletins Nuppa Site'!A329&lt;&gt;0,'Boletins Nuppa Site'!A329,"NULL")</f>
        <v>45</v>
      </c>
      <c r="C329" s="0" t="n">
        <v>16</v>
      </c>
      <c r="D329" s="30" t="n">
        <f aca="false">IF('Boletins Nuppa Site'!G329&lt;&gt;0,'Boletins Nuppa Site'!G329,"NULL")</f>
        <v>54</v>
      </c>
      <c r="E329" s="30" t="n">
        <f aca="false">IF('Boletins Nuppa Site'!H329&lt;&gt;0,'Boletins Nuppa Site'!H329,"NULL")</f>
        <v>54</v>
      </c>
      <c r="F329" s="30" t="n">
        <f aca="false">IF('Boletins Nuppa Site'!I329&lt;&gt;0,'Boletins Nuppa Site'!I329,"NULL")</f>
        <v>54</v>
      </c>
      <c r="G329" s="30" t="n">
        <f aca="false">IF('Boletins Nuppa Site'!J329&lt;&gt;0,'Boletins Nuppa Site'!J329,"NULL")</f>
        <v>54</v>
      </c>
      <c r="H329" s="30" t="n">
        <f aca="false">IF('Boletins Nuppa Site'!K329&lt;&gt;0,'Boletins Nuppa Site'!K329,"NULL")</f>
        <v>54</v>
      </c>
      <c r="I329" s="0" t="str">
        <f aca="false">"INSERT INTO COTACAO (cot_id, cot_blt_id, cot_pap_id, cot_prc_comum, cot_prc_min, cot_prc_max, cot_prc_med, cot_prc_mediana) VALUES ("&amp;A329&amp;", "&amp;B329&amp;", "&amp;C329&amp;", "&amp;D329&amp;", "&amp;E329&amp;", "&amp;F329&amp;", "&amp;G329&amp;", "&amp;H329&amp;");"</f>
        <v>INSERT INTO COTACAO (cot_id, cot_blt_id, cot_pap_id, cot_prc_comum, cot_prc_min, cot_prc_max, cot_prc_med, cot_prc_mediana) VALUES (328, 45, 16, 54, 54, 54, 54, 54);</v>
      </c>
      <c r="J329" s="0" t="str">
        <f aca="false">"UPDATE COTACAO SET cot_id = "&amp;A329&amp;", cot_blt_id = "&amp;B329&amp;", cot_pap_id = "&amp;C329&amp;", cot_prc_comum = "&amp;D329&amp;", cot_prc_min = "&amp;E329&amp;", cot_prc_max = "&amp;F329&amp;", cot_prc_med = "&amp;G329&amp;", cot_prc_mediana = "&amp;H329&amp;" WHERE cot_id = "&amp;A329&amp;";"</f>
        <v>UPDATE COTACAO SET cot_id = 328, cot_blt_id = 45, cot_pap_id = 16, cot_prc_comum = 54, cot_prc_min = 54, cot_prc_max = 54, cot_prc_med = 54, cot_prc_mediana = 54 WHERE cot_id = 328;</v>
      </c>
    </row>
    <row r="330" customFormat="false" ht="14.25" hidden="false" customHeight="false" outlineLevel="0" collapsed="false">
      <c r="A330" s="0" t="n">
        <v>329</v>
      </c>
      <c r="B330" s="0" t="n">
        <f aca="false">IF('Boletins Nuppa Site'!A330&lt;&gt;0,'Boletins Nuppa Site'!A330,"NULL")</f>
        <v>45</v>
      </c>
      <c r="C330" s="0" t="n">
        <v>17</v>
      </c>
      <c r="D330" s="30" t="n">
        <f aca="false">IF('Boletins Nuppa Site'!G330&lt;&gt;0,'Boletins Nuppa Site'!G330,"NULL")</f>
        <v>5</v>
      </c>
      <c r="E330" s="0" t="str">
        <f aca="false">IF('Boletins Nuppa Site'!H330&lt;&gt;0,'Boletins Nuppa Site'!H330,"NULL")</f>
        <v>4.5</v>
      </c>
      <c r="F330" s="30" t="n">
        <f aca="false">IF('Boletins Nuppa Site'!I330&lt;&gt;0,'Boletins Nuppa Site'!I330,"NULL")</f>
        <v>5</v>
      </c>
      <c r="G330" s="0" t="str">
        <f aca="false">IF('Boletins Nuppa Site'!J330&lt;&gt;0,'Boletins Nuppa Site'!J330,"NULL")</f>
        <v>4.83</v>
      </c>
      <c r="H330" s="30" t="n">
        <f aca="false">IF('Boletins Nuppa Site'!K330&lt;&gt;0,'Boletins Nuppa Site'!K330,"NULL")</f>
        <v>5</v>
      </c>
      <c r="I330" s="0" t="str">
        <f aca="false">"INSERT INTO COTACAO (cot_id, cot_blt_id, cot_pap_id, cot_prc_comum, cot_prc_min, cot_prc_max, cot_prc_med, cot_prc_mediana) VALUES ("&amp;A330&amp;", "&amp;B330&amp;", "&amp;C330&amp;", "&amp;D330&amp;", "&amp;E330&amp;", "&amp;F330&amp;", "&amp;G330&amp;", "&amp;H330&amp;");"</f>
        <v>INSERT INTO COTACAO (cot_id, cot_blt_id, cot_pap_id, cot_prc_comum, cot_prc_min, cot_prc_max, cot_prc_med, cot_prc_mediana) VALUES (329, 45, 17, 5, 4.5, 5, 4.83, 5);</v>
      </c>
      <c r="J330" s="0" t="str">
        <f aca="false">"UPDATE COTACAO SET cot_id = "&amp;A330&amp;", cot_blt_id = "&amp;B330&amp;", cot_pap_id = "&amp;C330&amp;", cot_prc_comum = "&amp;D330&amp;", cot_prc_min = "&amp;E330&amp;", cot_prc_max = "&amp;F330&amp;", cot_prc_med = "&amp;G330&amp;", cot_prc_mediana = "&amp;H330&amp;" WHERE cot_id = "&amp;A330&amp;";"</f>
        <v>UPDATE COTACAO SET cot_id = 329, cot_blt_id = 45, cot_pap_id = 17, cot_prc_comum = 5, cot_prc_min = 4.5, cot_prc_max = 5, cot_prc_med = 4.83, cot_prc_mediana = 5 WHERE cot_id = 329;</v>
      </c>
    </row>
    <row r="331" customFormat="false" ht="14.25" hidden="false" customHeight="false" outlineLevel="0" collapsed="false">
      <c r="A331" s="0" t="n">
        <v>330</v>
      </c>
      <c r="B331" s="0" t="n">
        <f aca="false">IF('Boletins Nuppa Site'!A331&lt;&gt;0,'Boletins Nuppa Site'!A331,"NULL")</f>
        <v>45</v>
      </c>
      <c r="C331" s="0" t="n">
        <v>18</v>
      </c>
      <c r="D331" s="0" t="str">
        <f aca="false">IF('Boletins Nuppa Site'!G331&lt;&gt;0,'Boletins Nuppa Site'!G331,"NULL")</f>
        <v>NULL</v>
      </c>
      <c r="E331" s="30" t="n">
        <f aca="false">IF('Boletins Nuppa Site'!H331&lt;&gt;0,'Boletins Nuppa Site'!H331,"NULL")</f>
        <v>20</v>
      </c>
      <c r="F331" s="30" t="n">
        <f aca="false">IF('Boletins Nuppa Site'!I331&lt;&gt;0,'Boletins Nuppa Site'!I331,"NULL")</f>
        <v>35</v>
      </c>
      <c r="G331" s="0" t="str">
        <f aca="false">IF('Boletins Nuppa Site'!J331&lt;&gt;0,'Boletins Nuppa Site'!J331,"NULL")</f>
        <v>26.67</v>
      </c>
      <c r="H331" s="30" t="n">
        <f aca="false">IF('Boletins Nuppa Site'!K331&lt;&gt;0,'Boletins Nuppa Site'!K331,"NULL")</f>
        <v>25</v>
      </c>
      <c r="I331" s="0" t="str">
        <f aca="false">"INSERT INTO COTACAO (cot_id, cot_blt_id, cot_pap_id, cot_prc_comum, cot_prc_min, cot_prc_max, cot_prc_med, cot_prc_mediana) VALUES ("&amp;A331&amp;", "&amp;B331&amp;", "&amp;C331&amp;", "&amp;D331&amp;", "&amp;E331&amp;", "&amp;F331&amp;", "&amp;G331&amp;", "&amp;H331&amp;");"</f>
        <v>INSERT INTO COTACAO (cot_id, cot_blt_id, cot_pap_id, cot_prc_comum, cot_prc_min, cot_prc_max, cot_prc_med, cot_prc_mediana) VALUES (330, 45, 18, NULL, 20, 35, 26.67, 25);</v>
      </c>
      <c r="J331" s="0" t="str">
        <f aca="false">"UPDATE COTACAO SET cot_id = "&amp;A331&amp;", cot_blt_id = "&amp;B331&amp;", cot_pap_id = "&amp;C331&amp;", cot_prc_comum = "&amp;D331&amp;", cot_prc_min = "&amp;E331&amp;", cot_prc_max = "&amp;F331&amp;", cot_prc_med = "&amp;G331&amp;", cot_prc_mediana = "&amp;H331&amp;" WHERE cot_id = "&amp;A331&amp;";"</f>
        <v>UPDATE COTACAO SET cot_id = 330, cot_blt_id = 45, cot_pap_id = 18, cot_prc_comum = NULL, cot_prc_min = 20, cot_prc_max = 35, cot_prc_med = 26.67, cot_prc_mediana = 25 WHERE cot_id = 330;</v>
      </c>
    </row>
    <row r="332" customFormat="false" ht="14.25" hidden="false" customHeight="false" outlineLevel="0" collapsed="false">
      <c r="A332" s="0" t="n">
        <v>331</v>
      </c>
      <c r="B332" s="0" t="n">
        <f aca="false">IF('Boletins Nuppa Site'!A332&lt;&gt;0,'Boletins Nuppa Site'!A332,"NULL")</f>
        <v>45</v>
      </c>
      <c r="C332" s="0" t="n">
        <v>19</v>
      </c>
      <c r="D332" s="0" t="str">
        <f aca="false">IF('Boletins Nuppa Site'!G332&lt;&gt;0,'Boletins Nuppa Site'!G332,"NULL")</f>
        <v>NULL</v>
      </c>
      <c r="E332" s="30" t="n">
        <f aca="false">IF('Boletins Nuppa Site'!H332&lt;&gt;0,'Boletins Nuppa Site'!H332,"NULL")</f>
        <v>30</v>
      </c>
      <c r="F332" s="30" t="n">
        <f aca="false">IF('Boletins Nuppa Site'!I332&lt;&gt;0,'Boletins Nuppa Site'!I332,"NULL")</f>
        <v>40</v>
      </c>
      <c r="G332" s="30" t="n">
        <f aca="false">IF('Boletins Nuppa Site'!J332&lt;&gt;0,'Boletins Nuppa Site'!J332,"NULL")</f>
        <v>35</v>
      </c>
      <c r="H332" s="30" t="n">
        <f aca="false">IF('Boletins Nuppa Site'!K332&lt;&gt;0,'Boletins Nuppa Site'!K332,"NULL")</f>
        <v>35</v>
      </c>
      <c r="I332" s="0" t="str">
        <f aca="false">"INSERT INTO COTACAO (cot_id, cot_blt_id, cot_pap_id, cot_prc_comum, cot_prc_min, cot_prc_max, cot_prc_med, cot_prc_mediana) VALUES ("&amp;A332&amp;", "&amp;B332&amp;", "&amp;C332&amp;", "&amp;D332&amp;", "&amp;E332&amp;", "&amp;F332&amp;", "&amp;G332&amp;", "&amp;H332&amp;");"</f>
        <v>INSERT INTO COTACAO (cot_id, cot_blt_id, cot_pap_id, cot_prc_comum, cot_prc_min, cot_prc_max, cot_prc_med, cot_prc_mediana) VALUES (331, 45, 19, NULL, 30, 40, 35, 35);</v>
      </c>
      <c r="J332" s="0" t="str">
        <f aca="false">"UPDATE COTACAO SET cot_id = "&amp;A332&amp;", cot_blt_id = "&amp;B332&amp;", cot_pap_id = "&amp;C332&amp;", cot_prc_comum = "&amp;D332&amp;", cot_prc_min = "&amp;E332&amp;", cot_prc_max = "&amp;F332&amp;", cot_prc_med = "&amp;G332&amp;", cot_prc_mediana = "&amp;H332&amp;" WHERE cot_id = "&amp;A332&amp;";"</f>
        <v>UPDATE COTACAO SET cot_id = 331, cot_blt_id = 45, cot_pap_id = 19, cot_prc_comum = NULL, cot_prc_min = 30, cot_prc_max = 40, cot_prc_med = 35, cot_prc_mediana = 35 WHERE cot_id = 331;</v>
      </c>
    </row>
    <row r="333" customFormat="false" ht="14.25" hidden="false" customHeight="false" outlineLevel="0" collapsed="false">
      <c r="A333" s="0" t="n">
        <v>332</v>
      </c>
      <c r="B333" s="0" t="n">
        <f aca="false">IF('Boletins Nuppa Site'!A333&lt;&gt;0,'Boletins Nuppa Site'!A333,"NULL")</f>
        <v>45</v>
      </c>
      <c r="C333" s="0" t="n">
        <v>20</v>
      </c>
      <c r="D333" s="0" t="str">
        <f aca="false">IF('Boletins Nuppa Site'!G333&lt;&gt;0,'Boletins Nuppa Site'!G333,"NULL")</f>
        <v>NULL</v>
      </c>
      <c r="E333" s="0" t="str">
        <f aca="false">IF('Boletins Nuppa Site'!H333&lt;&gt;0,'Boletins Nuppa Site'!H333,"NULL")</f>
        <v>NULL</v>
      </c>
      <c r="F333" s="0" t="str">
        <f aca="false">IF('Boletins Nuppa Site'!I333&lt;&gt;0,'Boletins Nuppa Site'!I333,"NULL")</f>
        <v>NULL</v>
      </c>
      <c r="G333" s="0" t="str">
        <f aca="false">IF('Boletins Nuppa Site'!J333&lt;&gt;0,'Boletins Nuppa Site'!J333,"NULL")</f>
        <v>NULL</v>
      </c>
      <c r="H333" s="0" t="str">
        <f aca="false">IF('Boletins Nuppa Site'!K333&lt;&gt;0,'Boletins Nuppa Site'!K333,"NULL")</f>
        <v>NULL</v>
      </c>
      <c r="I333" s="0" t="str">
        <f aca="false">"INSERT INTO COTACAO (cot_id, cot_blt_id, cot_pap_id, cot_prc_comum, cot_prc_min, cot_prc_max, cot_prc_med, cot_prc_mediana) VALUES ("&amp;A333&amp;", "&amp;B333&amp;", "&amp;C333&amp;", "&amp;D333&amp;", "&amp;E333&amp;", "&amp;F333&amp;", "&amp;G333&amp;", "&amp;H333&amp;");"</f>
        <v>INSERT INTO COTACAO (cot_id, cot_blt_id, cot_pap_id, cot_prc_comum, cot_prc_min, cot_prc_max, cot_prc_med, cot_prc_mediana) VALUES (332, 45, 20, NULL, NULL, NULL, NULL, NULL);</v>
      </c>
      <c r="J333" s="0" t="str">
        <f aca="false">"UPDATE COTACAO SET cot_id = "&amp;A333&amp;", cot_blt_id = "&amp;B333&amp;", cot_pap_id = "&amp;C333&amp;", cot_prc_comum = "&amp;D333&amp;", cot_prc_min = "&amp;E333&amp;", cot_prc_max = "&amp;F333&amp;", cot_prc_med = "&amp;G333&amp;", cot_prc_mediana = "&amp;H333&amp;" WHERE cot_id = "&amp;A333&amp;";"</f>
        <v>UPDATE COTACAO SET cot_id = 332, cot_blt_id = 45, cot_pap_id = 20, cot_prc_comum = NULL, cot_prc_min = NULL, cot_prc_max = NULL, cot_prc_med = NULL, cot_prc_mediana = NULL WHERE cot_id = 332;</v>
      </c>
    </row>
    <row r="334" customFormat="false" ht="14.25" hidden="false" customHeight="false" outlineLevel="0" collapsed="false">
      <c r="A334" s="0" t="n">
        <v>333</v>
      </c>
      <c r="B334" s="0" t="n">
        <f aca="false">IF('Boletins Nuppa Site'!A334&lt;&gt;0,'Boletins Nuppa Site'!A334,"NULL")</f>
        <v>45</v>
      </c>
      <c r="C334" s="0" t="n">
        <v>21</v>
      </c>
      <c r="D334" s="30" t="n">
        <f aca="false">IF('Boletins Nuppa Site'!G334&lt;&gt;0,'Boletins Nuppa Site'!G334,"NULL")</f>
        <v>80</v>
      </c>
      <c r="E334" s="30" t="n">
        <f aca="false">IF('Boletins Nuppa Site'!H334&lt;&gt;0,'Boletins Nuppa Site'!H334,"NULL")</f>
        <v>70</v>
      </c>
      <c r="F334" s="30" t="n">
        <f aca="false">IF('Boletins Nuppa Site'!I334&lt;&gt;0,'Boletins Nuppa Site'!I334,"NULL")</f>
        <v>85</v>
      </c>
      <c r="G334" s="0" t="str">
        <f aca="false">IF('Boletins Nuppa Site'!J334&lt;&gt;0,'Boletins Nuppa Site'!J334,"NULL")</f>
        <v>78.75</v>
      </c>
      <c r="H334" s="30" t="n">
        <f aca="false">IF('Boletins Nuppa Site'!K334&lt;&gt;0,'Boletins Nuppa Site'!K334,"NULL")</f>
        <v>80</v>
      </c>
      <c r="I334" s="0" t="str">
        <f aca="false">"INSERT INTO COTACAO (cot_id, cot_blt_id, cot_pap_id, cot_prc_comum, cot_prc_min, cot_prc_max, cot_prc_med, cot_prc_mediana) VALUES ("&amp;A334&amp;", "&amp;B334&amp;", "&amp;C334&amp;", "&amp;D334&amp;", "&amp;E334&amp;", "&amp;F334&amp;", "&amp;G334&amp;", "&amp;H334&amp;");"</f>
        <v>INSERT INTO COTACAO (cot_id, cot_blt_id, cot_pap_id, cot_prc_comum, cot_prc_min, cot_prc_max, cot_prc_med, cot_prc_mediana) VALUES (333, 45, 21, 80, 70, 85, 78.75, 80);</v>
      </c>
      <c r="J334" s="0" t="str">
        <f aca="false">"UPDATE COTACAO SET cot_id = "&amp;A334&amp;", cot_blt_id = "&amp;B334&amp;", cot_pap_id = "&amp;C334&amp;", cot_prc_comum = "&amp;D334&amp;", cot_prc_min = "&amp;E334&amp;", cot_prc_max = "&amp;F334&amp;", cot_prc_med = "&amp;G334&amp;", cot_prc_mediana = "&amp;H334&amp;" WHERE cot_id = "&amp;A334&amp;";"</f>
        <v>UPDATE COTACAO SET cot_id = 333, cot_blt_id = 45, cot_pap_id = 21, cot_prc_comum = 80, cot_prc_min = 70, cot_prc_max = 85, cot_prc_med = 78.75, cot_prc_mediana = 80 WHERE cot_id = 333;</v>
      </c>
    </row>
    <row r="335" customFormat="false" ht="14.25" hidden="false" customHeight="false" outlineLevel="0" collapsed="false">
      <c r="A335" s="0" t="n">
        <v>334</v>
      </c>
      <c r="B335" s="0" t="n">
        <f aca="false">IF('Boletins Nuppa Site'!A335&lt;&gt;0,'Boletins Nuppa Site'!A335,"NULL")</f>
        <v>45</v>
      </c>
      <c r="C335" s="0" t="n">
        <v>22</v>
      </c>
      <c r="D335" s="30" t="n">
        <f aca="false">IF('Boletins Nuppa Site'!G335&lt;&gt;0,'Boletins Nuppa Site'!G335,"NULL")</f>
        <v>75</v>
      </c>
      <c r="E335" s="30" t="n">
        <f aca="false">IF('Boletins Nuppa Site'!H335&lt;&gt;0,'Boletins Nuppa Site'!H335,"NULL")</f>
        <v>55</v>
      </c>
      <c r="F335" s="30" t="n">
        <f aca="false">IF('Boletins Nuppa Site'!I335&lt;&gt;0,'Boletins Nuppa Site'!I335,"NULL")</f>
        <v>75</v>
      </c>
      <c r="G335" s="30" t="n">
        <f aca="false">IF('Boletins Nuppa Site'!J335&lt;&gt;0,'Boletins Nuppa Site'!J335,"NULL")</f>
        <v>70</v>
      </c>
      <c r="H335" s="30" t="n">
        <f aca="false">IF('Boletins Nuppa Site'!K335&lt;&gt;0,'Boletins Nuppa Site'!K335,"NULL")</f>
        <v>75</v>
      </c>
      <c r="I335" s="0" t="str">
        <f aca="false">"INSERT INTO COTACAO (cot_id, cot_blt_id, cot_pap_id, cot_prc_comum, cot_prc_min, cot_prc_max, cot_prc_med, cot_prc_mediana) VALUES ("&amp;A335&amp;", "&amp;B335&amp;", "&amp;C335&amp;", "&amp;D335&amp;", "&amp;E335&amp;", "&amp;F335&amp;", "&amp;G335&amp;", "&amp;H335&amp;");"</f>
        <v>INSERT INTO COTACAO (cot_id, cot_blt_id, cot_pap_id, cot_prc_comum, cot_prc_min, cot_prc_max, cot_prc_med, cot_prc_mediana) VALUES (334, 45, 22, 75, 55, 75, 70, 75);</v>
      </c>
      <c r="J335" s="0" t="str">
        <f aca="false">"UPDATE COTACAO SET cot_id = "&amp;A335&amp;", cot_blt_id = "&amp;B335&amp;", cot_pap_id = "&amp;C335&amp;", cot_prc_comum = "&amp;D335&amp;", cot_prc_min = "&amp;E335&amp;", cot_prc_max = "&amp;F335&amp;", cot_prc_med = "&amp;G335&amp;", cot_prc_mediana = "&amp;H335&amp;" WHERE cot_id = "&amp;A335&amp;";"</f>
        <v>UPDATE COTACAO SET cot_id = 334, cot_blt_id = 45, cot_pap_id = 22, cot_prc_comum = 75, cot_prc_min = 55, cot_prc_max = 75, cot_prc_med = 70, cot_prc_mediana = 75 WHERE cot_id = 334;</v>
      </c>
    </row>
    <row r="336" customFormat="false" ht="14.25" hidden="false" customHeight="false" outlineLevel="0" collapsed="false">
      <c r="A336" s="0" t="n">
        <v>335</v>
      </c>
      <c r="B336" s="0" t="n">
        <f aca="false">IF('Boletins Nuppa Site'!A336&lt;&gt;0,'Boletins Nuppa Site'!A336,"NULL")</f>
        <v>45</v>
      </c>
      <c r="C336" s="0" t="n">
        <v>23</v>
      </c>
      <c r="D336" s="30" t="n">
        <f aca="false">IF('Boletins Nuppa Site'!G336&lt;&gt;0,'Boletins Nuppa Site'!G336,"NULL")</f>
        <v>50</v>
      </c>
      <c r="E336" s="30" t="n">
        <f aca="false">IF('Boletins Nuppa Site'!H336&lt;&gt;0,'Boletins Nuppa Site'!H336,"NULL")</f>
        <v>30</v>
      </c>
      <c r="F336" s="30" t="n">
        <f aca="false">IF('Boletins Nuppa Site'!I336&lt;&gt;0,'Boletins Nuppa Site'!I336,"NULL")</f>
        <v>50</v>
      </c>
      <c r="G336" s="30" t="n">
        <f aca="false">IF('Boletins Nuppa Site'!J336&lt;&gt;0,'Boletins Nuppa Site'!J336,"NULL")</f>
        <v>44</v>
      </c>
      <c r="H336" s="30" t="n">
        <f aca="false">IF('Boletins Nuppa Site'!K336&lt;&gt;0,'Boletins Nuppa Site'!K336,"NULL")</f>
        <v>50</v>
      </c>
      <c r="I336" s="0" t="str">
        <f aca="false">"INSERT INTO COTACAO (cot_id, cot_blt_id, cot_pap_id, cot_prc_comum, cot_prc_min, cot_prc_max, cot_prc_med, cot_prc_mediana) VALUES ("&amp;A336&amp;", "&amp;B336&amp;", "&amp;C336&amp;", "&amp;D336&amp;", "&amp;E336&amp;", "&amp;F336&amp;", "&amp;G336&amp;", "&amp;H336&amp;");"</f>
        <v>INSERT INTO COTACAO (cot_id, cot_blt_id, cot_pap_id, cot_prc_comum, cot_prc_min, cot_prc_max, cot_prc_med, cot_prc_mediana) VALUES (335, 45, 23, 50, 30, 50, 44, 50);</v>
      </c>
      <c r="J336" s="0" t="str">
        <f aca="false">"UPDATE COTACAO SET cot_id = "&amp;A336&amp;", cot_blt_id = "&amp;B336&amp;", cot_pap_id = "&amp;C336&amp;", cot_prc_comum = "&amp;D336&amp;", cot_prc_min = "&amp;E336&amp;", cot_prc_max = "&amp;F336&amp;", cot_prc_med = "&amp;G336&amp;", cot_prc_mediana = "&amp;H336&amp;" WHERE cot_id = "&amp;A336&amp;";"</f>
        <v>UPDATE COTACAO SET cot_id = 335, cot_blt_id = 45, cot_pap_id = 23, cot_prc_comum = 50, cot_prc_min = 30, cot_prc_max = 50, cot_prc_med = 44, cot_prc_mediana = 50 WHERE cot_id = 335;</v>
      </c>
    </row>
    <row r="337" customFormat="false" ht="14.25" hidden="false" customHeight="false" outlineLevel="0" collapsed="false">
      <c r="A337" s="0" t="n">
        <v>336</v>
      </c>
      <c r="B337" s="0" t="n">
        <f aca="false">IF('Boletins Nuppa Site'!A337&lt;&gt;0,'Boletins Nuppa Site'!A337,"NULL")</f>
        <v>45</v>
      </c>
      <c r="C337" s="0" t="n">
        <v>24</v>
      </c>
      <c r="D337" s="0" t="str">
        <f aca="false">IF('Boletins Nuppa Site'!G337&lt;&gt;0,'Boletins Nuppa Site'!G337,"NULL")</f>
        <v>NULL</v>
      </c>
      <c r="E337" s="30" t="n">
        <f aca="false">IF('Boletins Nuppa Site'!H337&lt;&gt;0,'Boletins Nuppa Site'!H337,"NULL")</f>
        <v>80</v>
      </c>
      <c r="F337" s="30" t="n">
        <f aca="false">IF('Boletins Nuppa Site'!I337&lt;&gt;0,'Boletins Nuppa Site'!I337,"NULL")</f>
        <v>80</v>
      </c>
      <c r="G337" s="30" t="n">
        <f aca="false">IF('Boletins Nuppa Site'!J337&lt;&gt;0,'Boletins Nuppa Site'!J337,"NULL")</f>
        <v>80</v>
      </c>
      <c r="H337" s="30" t="n">
        <f aca="false">IF('Boletins Nuppa Site'!K337&lt;&gt;0,'Boletins Nuppa Site'!K337,"NULL")</f>
        <v>80</v>
      </c>
      <c r="I337" s="0" t="str">
        <f aca="false">"INSERT INTO COTACAO (cot_id, cot_blt_id, cot_pap_id, cot_prc_comum, cot_prc_min, cot_prc_max, cot_prc_med, cot_prc_mediana) VALUES ("&amp;A337&amp;", "&amp;B337&amp;", "&amp;C337&amp;", "&amp;D337&amp;", "&amp;E337&amp;", "&amp;F337&amp;", "&amp;G337&amp;", "&amp;H337&amp;");"</f>
        <v>INSERT INTO COTACAO (cot_id, cot_blt_id, cot_pap_id, cot_prc_comum, cot_prc_min, cot_prc_max, cot_prc_med, cot_prc_mediana) VALUES (336, 45, 24, NULL, 80, 80, 80, 80);</v>
      </c>
      <c r="J337" s="0" t="str">
        <f aca="false">"UPDATE COTACAO SET cot_id = "&amp;A337&amp;", cot_blt_id = "&amp;B337&amp;", cot_pap_id = "&amp;C337&amp;", cot_prc_comum = "&amp;D337&amp;", cot_prc_min = "&amp;E337&amp;", cot_prc_max = "&amp;F337&amp;", cot_prc_med = "&amp;G337&amp;", cot_prc_mediana = "&amp;H337&amp;" WHERE cot_id = "&amp;A337&amp;";"</f>
        <v>UPDATE COTACAO SET cot_id = 336, cot_blt_id = 45, cot_pap_id = 24, cot_prc_comum = NULL, cot_prc_min = 80, cot_prc_max = 80, cot_prc_med = 80, cot_prc_mediana = 80 WHERE cot_id = 336;</v>
      </c>
    </row>
    <row r="338" customFormat="false" ht="14.25" hidden="false" customHeight="false" outlineLevel="0" collapsed="false">
      <c r="A338" s="0" t="n">
        <v>337</v>
      </c>
      <c r="B338" s="0" t="n">
        <f aca="false">IF('Boletins Nuppa Site'!A338&lt;&gt;0,'Boletins Nuppa Site'!A338,"NULL")</f>
        <v>45</v>
      </c>
      <c r="C338" s="0" t="n">
        <v>25</v>
      </c>
      <c r="D338" s="30" t="n">
        <f aca="false">IF('Boletins Nuppa Site'!G338&lt;&gt;0,'Boletins Nuppa Site'!G338,"NULL")</f>
        <v>100</v>
      </c>
      <c r="E338" s="30" t="n">
        <f aca="false">IF('Boletins Nuppa Site'!H338&lt;&gt;0,'Boletins Nuppa Site'!H338,"NULL")</f>
        <v>100</v>
      </c>
      <c r="F338" s="30" t="n">
        <f aca="false">IF('Boletins Nuppa Site'!I338&lt;&gt;0,'Boletins Nuppa Site'!I338,"NULL")</f>
        <v>130</v>
      </c>
      <c r="G338" s="0" t="str">
        <f aca="false">IF('Boletins Nuppa Site'!J338&lt;&gt;0,'Boletins Nuppa Site'!J338,"NULL")</f>
        <v>113.75</v>
      </c>
      <c r="H338" s="0" t="str">
        <f aca="false">IF('Boletins Nuppa Site'!K338&lt;&gt;0,'Boletins Nuppa Site'!K338,"NULL")</f>
        <v>112.5</v>
      </c>
      <c r="I338" s="0" t="str">
        <f aca="false">"INSERT INTO COTACAO (cot_id, cot_blt_id, cot_pap_id, cot_prc_comum, cot_prc_min, cot_prc_max, cot_prc_med, cot_prc_mediana) VALUES ("&amp;A338&amp;", "&amp;B338&amp;", "&amp;C338&amp;", "&amp;D338&amp;", "&amp;E338&amp;", "&amp;F338&amp;", "&amp;G338&amp;", "&amp;H338&amp;");"</f>
        <v>INSERT INTO COTACAO (cot_id, cot_blt_id, cot_pap_id, cot_prc_comum, cot_prc_min, cot_prc_max, cot_prc_med, cot_prc_mediana) VALUES (337, 45, 25, 100, 100, 130, 113.75, 112.5);</v>
      </c>
      <c r="J338" s="0" t="str">
        <f aca="false">"UPDATE COTACAO SET cot_id = "&amp;A338&amp;", cot_blt_id = "&amp;B338&amp;", cot_pap_id = "&amp;C338&amp;", cot_prc_comum = "&amp;D338&amp;", cot_prc_min = "&amp;E338&amp;", cot_prc_max = "&amp;F338&amp;", cot_prc_med = "&amp;G338&amp;", cot_prc_mediana = "&amp;H338&amp;" WHERE cot_id = "&amp;A338&amp;";"</f>
        <v>UPDATE COTACAO SET cot_id = 337, cot_blt_id = 45, cot_pap_id = 25, cot_prc_comum = 100, cot_prc_min = 100, cot_prc_max = 130, cot_prc_med = 113.75, cot_prc_mediana = 112.5 WHERE cot_id = 337;</v>
      </c>
    </row>
    <row r="339" customFormat="false" ht="14.25" hidden="false" customHeight="false" outlineLevel="0" collapsed="false">
      <c r="A339" s="0" t="n">
        <v>338</v>
      </c>
      <c r="B339" s="0" t="n">
        <f aca="false">IF('Boletins Nuppa Site'!A339&lt;&gt;0,'Boletins Nuppa Site'!A339,"NULL")</f>
        <v>45</v>
      </c>
      <c r="C339" s="0" t="n">
        <v>26</v>
      </c>
      <c r="D339" s="30" t="n">
        <f aca="false">IF('Boletins Nuppa Site'!G339&lt;&gt;0,'Boletins Nuppa Site'!G339,"NULL")</f>
        <v>130</v>
      </c>
      <c r="E339" s="30" t="n">
        <f aca="false">IF('Boletins Nuppa Site'!H339&lt;&gt;0,'Boletins Nuppa Site'!H339,"NULL")</f>
        <v>90</v>
      </c>
      <c r="F339" s="30" t="n">
        <f aca="false">IF('Boletins Nuppa Site'!I339&lt;&gt;0,'Boletins Nuppa Site'!I339,"NULL")</f>
        <v>140</v>
      </c>
      <c r="G339" s="0" t="str">
        <f aca="false">IF('Boletins Nuppa Site'!J339&lt;&gt;0,'Boletins Nuppa Site'!J339,"NULL")</f>
        <v>122.5</v>
      </c>
      <c r="H339" s="30" t="n">
        <f aca="false">IF('Boletins Nuppa Site'!K339&lt;&gt;0,'Boletins Nuppa Site'!K339,"NULL")</f>
        <v>130</v>
      </c>
      <c r="I339" s="0" t="str">
        <f aca="false">"INSERT INTO COTACAO (cot_id, cot_blt_id, cot_pap_id, cot_prc_comum, cot_prc_min, cot_prc_max, cot_prc_med, cot_prc_mediana) VALUES ("&amp;A339&amp;", "&amp;B339&amp;", "&amp;C339&amp;", "&amp;D339&amp;", "&amp;E339&amp;", "&amp;F339&amp;", "&amp;G339&amp;", "&amp;H339&amp;");"</f>
        <v>INSERT INTO COTACAO (cot_id, cot_blt_id, cot_pap_id, cot_prc_comum, cot_prc_min, cot_prc_max, cot_prc_med, cot_prc_mediana) VALUES (338, 45, 26, 130, 90, 140, 122.5, 130);</v>
      </c>
      <c r="J339" s="0" t="str">
        <f aca="false">"UPDATE COTACAO SET cot_id = "&amp;A339&amp;", cot_blt_id = "&amp;B339&amp;", cot_pap_id = "&amp;C339&amp;", cot_prc_comum = "&amp;D339&amp;", cot_prc_min = "&amp;E339&amp;", cot_prc_max = "&amp;F339&amp;", cot_prc_med = "&amp;G339&amp;", cot_prc_mediana = "&amp;H339&amp;" WHERE cot_id = "&amp;A339&amp;";"</f>
        <v>UPDATE COTACAO SET cot_id = 338, cot_blt_id = 45, cot_pap_id = 26, cot_prc_comum = 130, cot_prc_min = 90, cot_prc_max = 140, cot_prc_med = 122.5, cot_prc_mediana = 130 WHERE cot_id = 338;</v>
      </c>
    </row>
    <row r="340" customFormat="false" ht="14.25" hidden="false" customHeight="false" outlineLevel="0" collapsed="false">
      <c r="A340" s="0" t="n">
        <v>339</v>
      </c>
      <c r="B340" s="0" t="n">
        <f aca="false">IF('Boletins Nuppa Site'!A340&lt;&gt;0,'Boletins Nuppa Site'!A340,"NULL")</f>
        <v>45</v>
      </c>
      <c r="C340" s="0" t="n">
        <v>27</v>
      </c>
      <c r="D340" s="30" t="n">
        <f aca="false">IF('Boletins Nuppa Site'!G340&lt;&gt;0,'Boletins Nuppa Site'!G340,"NULL")</f>
        <v>70</v>
      </c>
      <c r="E340" s="30" t="n">
        <f aca="false">IF('Boletins Nuppa Site'!H340&lt;&gt;0,'Boletins Nuppa Site'!H340,"NULL")</f>
        <v>70</v>
      </c>
      <c r="F340" s="30" t="n">
        <f aca="false">IF('Boletins Nuppa Site'!I340&lt;&gt;0,'Boletins Nuppa Site'!I340,"NULL")</f>
        <v>90</v>
      </c>
      <c r="G340" s="30" t="n">
        <f aca="false">IF('Boletins Nuppa Site'!J340&lt;&gt;0,'Boletins Nuppa Site'!J340,"NULL")</f>
        <v>75</v>
      </c>
      <c r="H340" s="30" t="n">
        <f aca="false">IF('Boletins Nuppa Site'!K340&lt;&gt;0,'Boletins Nuppa Site'!K340,"NULL")</f>
        <v>70</v>
      </c>
      <c r="I340" s="0" t="str">
        <f aca="false">"INSERT INTO COTACAO (cot_id, cot_blt_id, cot_pap_id, cot_prc_comum, cot_prc_min, cot_prc_max, cot_prc_med, cot_prc_mediana) VALUES ("&amp;A340&amp;", "&amp;B340&amp;", "&amp;C340&amp;", "&amp;D340&amp;", "&amp;E340&amp;", "&amp;F340&amp;", "&amp;G340&amp;", "&amp;H340&amp;");"</f>
        <v>INSERT INTO COTACAO (cot_id, cot_blt_id, cot_pap_id, cot_prc_comum, cot_prc_min, cot_prc_max, cot_prc_med, cot_prc_mediana) VALUES (339, 45, 27, 70, 70, 90, 75, 70);</v>
      </c>
      <c r="J340" s="0" t="str">
        <f aca="false">"UPDATE COTACAO SET cot_id = "&amp;A340&amp;", cot_blt_id = "&amp;B340&amp;", cot_pap_id = "&amp;C340&amp;", cot_prc_comum = "&amp;D340&amp;", cot_prc_min = "&amp;E340&amp;", cot_prc_max = "&amp;F340&amp;", cot_prc_med = "&amp;G340&amp;", cot_prc_mediana = "&amp;H340&amp;" WHERE cot_id = "&amp;A340&amp;";"</f>
        <v>UPDATE COTACAO SET cot_id = 339, cot_blt_id = 45, cot_pap_id = 27, cot_prc_comum = 70, cot_prc_min = 70, cot_prc_max = 90, cot_prc_med = 75, cot_prc_mediana = 70 WHERE cot_id = 339;</v>
      </c>
    </row>
    <row r="341" customFormat="false" ht="14.25" hidden="false" customHeight="false" outlineLevel="0" collapsed="false">
      <c r="A341" s="0" t="n">
        <v>340</v>
      </c>
      <c r="B341" s="0" t="n">
        <f aca="false">IF('Boletins Nuppa Site'!A341&lt;&gt;0,'Boletins Nuppa Site'!A341,"NULL")</f>
        <v>45</v>
      </c>
      <c r="C341" s="0" t="n">
        <v>28</v>
      </c>
      <c r="D341" s="0" t="str">
        <f aca="false">IF('Boletins Nuppa Site'!G341&lt;&gt;0,'Boletins Nuppa Site'!G341,"NULL")</f>
        <v>NULL</v>
      </c>
      <c r="E341" s="30" t="n">
        <f aca="false">IF('Boletins Nuppa Site'!H341&lt;&gt;0,'Boletins Nuppa Site'!H341,"NULL")</f>
        <v>80</v>
      </c>
      <c r="F341" s="30" t="n">
        <f aca="false">IF('Boletins Nuppa Site'!I341&lt;&gt;0,'Boletins Nuppa Site'!I341,"NULL")</f>
        <v>85</v>
      </c>
      <c r="G341" s="0" t="str">
        <f aca="false">IF('Boletins Nuppa Site'!J341&lt;&gt;0,'Boletins Nuppa Site'!J341,"NULL")</f>
        <v>82.5</v>
      </c>
      <c r="H341" s="0" t="str">
        <f aca="false">IF('Boletins Nuppa Site'!K341&lt;&gt;0,'Boletins Nuppa Site'!K341,"NULL")</f>
        <v>82.5</v>
      </c>
      <c r="I341" s="0" t="str">
        <f aca="false">"INSERT INTO COTACAO (cot_id, cot_blt_id, cot_pap_id, cot_prc_comum, cot_prc_min, cot_prc_max, cot_prc_med, cot_prc_mediana) VALUES ("&amp;A341&amp;", "&amp;B341&amp;", "&amp;C341&amp;", "&amp;D341&amp;", "&amp;E341&amp;", "&amp;F341&amp;", "&amp;G341&amp;", "&amp;H341&amp;");"</f>
        <v>INSERT INTO COTACAO (cot_id, cot_blt_id, cot_pap_id, cot_prc_comum, cot_prc_min, cot_prc_max, cot_prc_med, cot_prc_mediana) VALUES (340, 45, 28, NULL, 80, 85, 82.5, 82.5);</v>
      </c>
      <c r="J341" s="0" t="str">
        <f aca="false">"UPDATE COTACAO SET cot_id = "&amp;A341&amp;", cot_blt_id = "&amp;B341&amp;", cot_pap_id = "&amp;C341&amp;", cot_prc_comum = "&amp;D341&amp;", cot_prc_min = "&amp;E341&amp;", cot_prc_max = "&amp;F341&amp;", cot_prc_med = "&amp;G341&amp;", cot_prc_mediana = "&amp;H341&amp;" WHERE cot_id = "&amp;A341&amp;";"</f>
        <v>UPDATE COTACAO SET cot_id = 340, cot_blt_id = 45, cot_pap_id = 28, cot_prc_comum = NULL, cot_prc_min = 80, cot_prc_max = 85, cot_prc_med = 82.5, cot_prc_mediana = 82.5 WHERE cot_id = 340;</v>
      </c>
    </row>
    <row r="342" customFormat="false" ht="14.25" hidden="false" customHeight="false" outlineLevel="0" collapsed="false">
      <c r="A342" s="0" t="n">
        <v>341</v>
      </c>
      <c r="B342" s="0" t="n">
        <f aca="false">IF('Boletins Nuppa Site'!A342&lt;&gt;0,'Boletins Nuppa Site'!A342,"NULL")</f>
        <v>45</v>
      </c>
      <c r="C342" s="0" t="n">
        <v>29</v>
      </c>
      <c r="D342" s="30" t="n">
        <f aca="false">IF('Boletins Nuppa Site'!G342&lt;&gt;0,'Boletins Nuppa Site'!G342,"NULL")</f>
        <v>60</v>
      </c>
      <c r="E342" s="30" t="n">
        <f aca="false">IF('Boletins Nuppa Site'!H342&lt;&gt;0,'Boletins Nuppa Site'!H342,"NULL")</f>
        <v>60</v>
      </c>
      <c r="F342" s="30" t="n">
        <f aca="false">IF('Boletins Nuppa Site'!I342&lt;&gt;0,'Boletins Nuppa Site'!I342,"NULL")</f>
        <v>60</v>
      </c>
      <c r="G342" s="30" t="n">
        <f aca="false">IF('Boletins Nuppa Site'!J342&lt;&gt;0,'Boletins Nuppa Site'!J342,"NULL")</f>
        <v>60</v>
      </c>
      <c r="H342" s="30" t="n">
        <f aca="false">IF('Boletins Nuppa Site'!K342&lt;&gt;0,'Boletins Nuppa Site'!K342,"NULL")</f>
        <v>60</v>
      </c>
      <c r="I342" s="0" t="str">
        <f aca="false">"INSERT INTO COTACAO (cot_id, cot_blt_id, cot_pap_id, cot_prc_comum, cot_prc_min, cot_prc_max, cot_prc_med, cot_prc_mediana) VALUES ("&amp;A342&amp;", "&amp;B342&amp;", "&amp;C342&amp;", "&amp;D342&amp;", "&amp;E342&amp;", "&amp;F342&amp;", "&amp;G342&amp;", "&amp;H342&amp;");"</f>
        <v>INSERT INTO COTACAO (cot_id, cot_blt_id, cot_pap_id, cot_prc_comum, cot_prc_min, cot_prc_max, cot_prc_med, cot_prc_mediana) VALUES (341, 45, 29, 60, 60, 60, 60, 60);</v>
      </c>
      <c r="J342" s="0" t="str">
        <f aca="false">"UPDATE COTACAO SET cot_id = "&amp;A342&amp;", cot_blt_id = "&amp;B342&amp;", cot_pap_id = "&amp;C342&amp;", cot_prc_comum = "&amp;D342&amp;", cot_prc_min = "&amp;E342&amp;", cot_prc_max = "&amp;F342&amp;", cot_prc_med = "&amp;G342&amp;", cot_prc_mediana = "&amp;H342&amp;" WHERE cot_id = "&amp;A342&amp;";"</f>
        <v>UPDATE COTACAO SET cot_id = 341, cot_blt_id = 45, cot_pap_id = 29, cot_prc_comum = 60, cot_prc_min = 60, cot_prc_max = 60, cot_prc_med = 60, cot_prc_mediana = 60 WHERE cot_id = 341;</v>
      </c>
    </row>
    <row r="343" customFormat="false" ht="14.25" hidden="false" customHeight="false" outlineLevel="0" collapsed="false">
      <c r="A343" s="0" t="n">
        <v>342</v>
      </c>
      <c r="B343" s="0" t="n">
        <f aca="false">IF('Boletins Nuppa Site'!A343&lt;&gt;0,'Boletins Nuppa Site'!A343,"NULL")</f>
        <v>45</v>
      </c>
      <c r="C343" s="0" t="n">
        <v>30</v>
      </c>
      <c r="D343" s="30" t="n">
        <f aca="false">IF('Boletins Nuppa Site'!G343&lt;&gt;0,'Boletins Nuppa Site'!G343,"NULL")</f>
        <v>70</v>
      </c>
      <c r="E343" s="30" t="n">
        <f aca="false">IF('Boletins Nuppa Site'!H343&lt;&gt;0,'Boletins Nuppa Site'!H343,"NULL")</f>
        <v>70</v>
      </c>
      <c r="F343" s="30" t="n">
        <f aca="false">IF('Boletins Nuppa Site'!I343&lt;&gt;0,'Boletins Nuppa Site'!I343,"NULL")</f>
        <v>70</v>
      </c>
      <c r="G343" s="30" t="n">
        <f aca="false">IF('Boletins Nuppa Site'!J343&lt;&gt;0,'Boletins Nuppa Site'!J343,"NULL")</f>
        <v>70</v>
      </c>
      <c r="H343" s="30" t="n">
        <f aca="false">IF('Boletins Nuppa Site'!K343&lt;&gt;0,'Boletins Nuppa Site'!K343,"NULL")</f>
        <v>70</v>
      </c>
      <c r="I343" s="0" t="str">
        <f aca="false">"INSERT INTO COTACAO (cot_id, cot_blt_id, cot_pap_id, cot_prc_comum, cot_prc_min, cot_prc_max, cot_prc_med, cot_prc_mediana) VALUES ("&amp;A343&amp;", "&amp;B343&amp;", "&amp;C343&amp;", "&amp;D343&amp;", "&amp;E343&amp;", "&amp;F343&amp;", "&amp;G343&amp;", "&amp;H343&amp;");"</f>
        <v>INSERT INTO COTACAO (cot_id, cot_blt_id, cot_pap_id, cot_prc_comum, cot_prc_min, cot_prc_max, cot_prc_med, cot_prc_mediana) VALUES (342, 45, 30, 70, 70, 70, 70, 70);</v>
      </c>
      <c r="J343" s="0" t="str">
        <f aca="false">"UPDATE COTACAO SET cot_id = "&amp;A343&amp;", cot_blt_id = "&amp;B343&amp;", cot_pap_id = "&amp;C343&amp;", cot_prc_comum = "&amp;D343&amp;", cot_prc_min = "&amp;E343&amp;", cot_prc_max = "&amp;F343&amp;", cot_prc_med = "&amp;G343&amp;", cot_prc_mediana = "&amp;H343&amp;" WHERE cot_id = "&amp;A343&amp;";"</f>
        <v>UPDATE COTACAO SET cot_id = 342, cot_blt_id = 45, cot_pap_id = 30, cot_prc_comum = 70, cot_prc_min = 70, cot_prc_max = 70, cot_prc_med = 70, cot_prc_mediana = 70 WHERE cot_id = 342;</v>
      </c>
    </row>
    <row r="344" customFormat="false" ht="14.25" hidden="false" customHeight="false" outlineLevel="0" collapsed="false">
      <c r="A344" s="0" t="n">
        <v>343</v>
      </c>
      <c r="B344" s="0" t="n">
        <f aca="false">IF('Boletins Nuppa Site'!A344&lt;&gt;0,'Boletins Nuppa Site'!A344,"NULL")</f>
        <v>45</v>
      </c>
      <c r="C344" s="0" t="n">
        <v>31</v>
      </c>
      <c r="D344" s="0" t="str">
        <f aca="false">IF('Boletins Nuppa Site'!G344&lt;&gt;0,'Boletins Nuppa Site'!G344,"NULL")</f>
        <v>NULL</v>
      </c>
      <c r="E344" s="30" t="n">
        <f aca="false">IF('Boletins Nuppa Site'!H344&lt;&gt;0,'Boletins Nuppa Site'!H344,"NULL")</f>
        <v>80</v>
      </c>
      <c r="F344" s="30" t="n">
        <f aca="false">IF('Boletins Nuppa Site'!I344&lt;&gt;0,'Boletins Nuppa Site'!I344,"NULL")</f>
        <v>135</v>
      </c>
      <c r="G344" s="0" t="str">
        <f aca="false">IF('Boletins Nuppa Site'!J344&lt;&gt;0,'Boletins Nuppa Site'!J344,"NULL")</f>
        <v>106.25</v>
      </c>
      <c r="H344" s="30" t="n">
        <f aca="false">IF('Boletins Nuppa Site'!K344&lt;&gt;0,'Boletins Nuppa Site'!K344,"NULL")</f>
        <v>105</v>
      </c>
      <c r="I344" s="0" t="str">
        <f aca="false">"INSERT INTO COTACAO (cot_id, cot_blt_id, cot_pap_id, cot_prc_comum, cot_prc_min, cot_prc_max, cot_prc_med, cot_prc_mediana) VALUES ("&amp;A344&amp;", "&amp;B344&amp;", "&amp;C344&amp;", "&amp;D344&amp;", "&amp;E344&amp;", "&amp;F344&amp;", "&amp;G344&amp;", "&amp;H344&amp;");"</f>
        <v>INSERT INTO COTACAO (cot_id, cot_blt_id, cot_pap_id, cot_prc_comum, cot_prc_min, cot_prc_max, cot_prc_med, cot_prc_mediana) VALUES (343, 45, 31, NULL, 80, 135, 106.25, 105);</v>
      </c>
      <c r="J344" s="0" t="str">
        <f aca="false">"UPDATE COTACAO SET cot_id = "&amp;A344&amp;", cot_blt_id = "&amp;B344&amp;", cot_pap_id = "&amp;C344&amp;", cot_prc_comum = "&amp;D344&amp;", cot_prc_min = "&amp;E344&amp;", cot_prc_max = "&amp;F344&amp;", cot_prc_med = "&amp;G344&amp;", cot_prc_mediana = "&amp;H344&amp;" WHERE cot_id = "&amp;A344&amp;";"</f>
        <v>UPDATE COTACAO SET cot_id = 343, cot_blt_id = 45, cot_pap_id = 31, cot_prc_comum = NULL, cot_prc_min = 80, cot_prc_max = 135, cot_prc_med = 106.25, cot_prc_mediana = 105 WHERE cot_id = 343;</v>
      </c>
    </row>
    <row r="345" customFormat="false" ht="14.25" hidden="false" customHeight="false" outlineLevel="0" collapsed="false">
      <c r="A345" s="0" t="n">
        <v>344</v>
      </c>
      <c r="B345" s="0" t="n">
        <f aca="false">IF('Boletins Nuppa Site'!A345&lt;&gt;0,'Boletins Nuppa Site'!A345,"NULL")</f>
        <v>45</v>
      </c>
      <c r="C345" s="0" t="n">
        <v>32</v>
      </c>
      <c r="D345" s="30" t="n">
        <f aca="false">IF('Boletins Nuppa Site'!G345&lt;&gt;0,'Boletins Nuppa Site'!G345,"NULL")</f>
        <v>60</v>
      </c>
      <c r="E345" s="30" t="n">
        <f aca="false">IF('Boletins Nuppa Site'!H345&lt;&gt;0,'Boletins Nuppa Site'!H345,"NULL")</f>
        <v>45</v>
      </c>
      <c r="F345" s="30" t="n">
        <f aca="false">IF('Boletins Nuppa Site'!I345&lt;&gt;0,'Boletins Nuppa Site'!I345,"NULL")</f>
        <v>70</v>
      </c>
      <c r="G345" s="0" t="str">
        <f aca="false">IF('Boletins Nuppa Site'!J345&lt;&gt;0,'Boletins Nuppa Site'!J345,"NULL")</f>
        <v>58.75</v>
      </c>
      <c r="H345" s="30" t="n">
        <f aca="false">IF('Boletins Nuppa Site'!K345&lt;&gt;0,'Boletins Nuppa Site'!K345,"NULL")</f>
        <v>60</v>
      </c>
      <c r="I345" s="0" t="str">
        <f aca="false">"INSERT INTO COTACAO (cot_id, cot_blt_id, cot_pap_id, cot_prc_comum, cot_prc_min, cot_prc_max, cot_prc_med, cot_prc_mediana) VALUES ("&amp;A345&amp;", "&amp;B345&amp;", "&amp;C345&amp;", "&amp;D345&amp;", "&amp;E345&amp;", "&amp;F345&amp;", "&amp;G345&amp;", "&amp;H345&amp;");"</f>
        <v>INSERT INTO COTACAO (cot_id, cot_blt_id, cot_pap_id, cot_prc_comum, cot_prc_min, cot_prc_max, cot_prc_med, cot_prc_mediana) VALUES (344, 45, 32, 60, 45, 70, 58.75, 60);</v>
      </c>
      <c r="J345" s="0" t="str">
        <f aca="false">"UPDATE COTACAO SET cot_id = "&amp;A345&amp;", cot_blt_id = "&amp;B345&amp;", cot_pap_id = "&amp;C345&amp;", cot_prc_comum = "&amp;D345&amp;", cot_prc_min = "&amp;E345&amp;", cot_prc_max = "&amp;F345&amp;", cot_prc_med = "&amp;G345&amp;", cot_prc_mediana = "&amp;H345&amp;" WHERE cot_id = "&amp;A345&amp;";"</f>
        <v>UPDATE COTACAO SET cot_id = 344, cot_blt_id = 45, cot_pap_id = 32, cot_prc_comum = 60, cot_prc_min = 45, cot_prc_max = 70, cot_prc_med = 58.75, cot_prc_mediana = 60 WHERE cot_id = 344;</v>
      </c>
    </row>
    <row r="346" customFormat="false" ht="14.25" hidden="false" customHeight="false" outlineLevel="0" collapsed="false">
      <c r="A346" s="0" t="n">
        <v>345</v>
      </c>
      <c r="B346" s="0" t="n">
        <f aca="false">IF('Boletins Nuppa Site'!A346&lt;&gt;0,'Boletins Nuppa Site'!A346,"NULL")</f>
        <v>45</v>
      </c>
      <c r="C346" s="0" t="n">
        <v>33</v>
      </c>
      <c r="D346" s="0" t="str">
        <f aca="false">IF('Boletins Nuppa Site'!G346&lt;&gt;0,'Boletins Nuppa Site'!G346,"NULL")</f>
        <v>NULL</v>
      </c>
      <c r="E346" s="30" t="n">
        <f aca="false">IF('Boletins Nuppa Site'!H346&lt;&gt;0,'Boletins Nuppa Site'!H346,"NULL")</f>
        <v>50</v>
      </c>
      <c r="F346" s="30" t="n">
        <f aca="false">IF('Boletins Nuppa Site'!I346&lt;&gt;0,'Boletins Nuppa Site'!I346,"NULL")</f>
        <v>70</v>
      </c>
      <c r="G346" s="30" t="n">
        <f aca="false">IF('Boletins Nuppa Site'!J346&lt;&gt;0,'Boletins Nuppa Site'!J346,"NULL")</f>
        <v>60</v>
      </c>
      <c r="H346" s="30" t="n">
        <f aca="false">IF('Boletins Nuppa Site'!K346&lt;&gt;0,'Boletins Nuppa Site'!K346,"NULL")</f>
        <v>60</v>
      </c>
      <c r="I346" s="0" t="str">
        <f aca="false">"INSERT INTO COTACAO (cot_id, cot_blt_id, cot_pap_id, cot_prc_comum, cot_prc_min, cot_prc_max, cot_prc_med, cot_prc_mediana) VALUES ("&amp;A346&amp;", "&amp;B346&amp;", "&amp;C346&amp;", "&amp;D346&amp;", "&amp;E346&amp;", "&amp;F346&amp;", "&amp;G346&amp;", "&amp;H346&amp;");"</f>
        <v>INSERT INTO COTACAO (cot_id, cot_blt_id, cot_pap_id, cot_prc_comum, cot_prc_min, cot_prc_max, cot_prc_med, cot_prc_mediana) VALUES (345, 45, 33, NULL, 50, 70, 60, 60);</v>
      </c>
      <c r="J346" s="0" t="str">
        <f aca="false">"UPDATE COTACAO SET cot_id = "&amp;A346&amp;", cot_blt_id = "&amp;B346&amp;", cot_pap_id = "&amp;C346&amp;", cot_prc_comum = "&amp;D346&amp;", cot_prc_min = "&amp;E346&amp;", cot_prc_max = "&amp;F346&amp;", cot_prc_med = "&amp;G346&amp;", cot_prc_mediana = "&amp;H346&amp;" WHERE cot_id = "&amp;A346&amp;";"</f>
        <v>UPDATE COTACAO SET cot_id = 345, cot_blt_id = 45, cot_pap_id = 33, cot_prc_comum = NULL, cot_prc_min = 50, cot_prc_max = 70, cot_prc_med = 60, cot_prc_mediana = 60 WHERE cot_id = 345;</v>
      </c>
    </row>
    <row r="347" customFormat="false" ht="14.25" hidden="false" customHeight="false" outlineLevel="0" collapsed="false">
      <c r="A347" s="0" t="n">
        <v>346</v>
      </c>
      <c r="B347" s="0" t="n">
        <f aca="false">IF('Boletins Nuppa Site'!A347&lt;&gt;0,'Boletins Nuppa Site'!A347,"NULL")</f>
        <v>45</v>
      </c>
      <c r="C347" s="0" t="n">
        <v>34</v>
      </c>
      <c r="D347" s="30" t="n">
        <f aca="false">IF('Boletins Nuppa Site'!G347&lt;&gt;0,'Boletins Nuppa Site'!G347,"NULL")</f>
        <v>150</v>
      </c>
      <c r="E347" s="30" t="n">
        <f aca="false">IF('Boletins Nuppa Site'!H347&lt;&gt;0,'Boletins Nuppa Site'!H347,"NULL")</f>
        <v>110</v>
      </c>
      <c r="F347" s="30" t="n">
        <f aca="false">IF('Boletins Nuppa Site'!I347&lt;&gt;0,'Boletins Nuppa Site'!I347,"NULL")</f>
        <v>150</v>
      </c>
      <c r="G347" s="0" t="str">
        <f aca="false">IF('Boletins Nuppa Site'!J347&lt;&gt;0,'Boletins Nuppa Site'!J347,"NULL")</f>
        <v>137.5</v>
      </c>
      <c r="H347" s="30" t="n">
        <f aca="false">IF('Boletins Nuppa Site'!K347&lt;&gt;0,'Boletins Nuppa Site'!K347,"NULL")</f>
        <v>145</v>
      </c>
      <c r="I347" s="0" t="str">
        <f aca="false">"INSERT INTO COTACAO (cot_id, cot_blt_id, cot_pap_id, cot_prc_comum, cot_prc_min, cot_prc_max, cot_prc_med, cot_prc_mediana) VALUES ("&amp;A347&amp;", "&amp;B347&amp;", "&amp;C347&amp;", "&amp;D347&amp;", "&amp;E347&amp;", "&amp;F347&amp;", "&amp;G347&amp;", "&amp;H347&amp;");"</f>
        <v>INSERT INTO COTACAO (cot_id, cot_blt_id, cot_pap_id, cot_prc_comum, cot_prc_min, cot_prc_max, cot_prc_med, cot_prc_mediana) VALUES (346, 45, 34, 150, 110, 150, 137.5, 145);</v>
      </c>
      <c r="J347" s="0" t="str">
        <f aca="false">"UPDATE COTACAO SET cot_id = "&amp;A347&amp;", cot_blt_id = "&amp;B347&amp;", cot_pap_id = "&amp;C347&amp;", cot_prc_comum = "&amp;D347&amp;", cot_prc_min = "&amp;E347&amp;", cot_prc_max = "&amp;F347&amp;", cot_prc_med = "&amp;G347&amp;", cot_prc_mediana = "&amp;H347&amp;" WHERE cot_id = "&amp;A347&amp;";"</f>
        <v>UPDATE COTACAO SET cot_id = 346, cot_blt_id = 45, cot_pap_id = 34, cot_prc_comum = 150, cot_prc_min = 110, cot_prc_max = 150, cot_prc_med = 137.5, cot_prc_mediana = 145 WHERE cot_id = 346;</v>
      </c>
    </row>
    <row r="348" customFormat="false" ht="14.25" hidden="false" customHeight="false" outlineLevel="0" collapsed="false">
      <c r="A348" s="0" t="n">
        <v>347</v>
      </c>
      <c r="B348" s="0" t="n">
        <f aca="false">IF('Boletins Nuppa Site'!A348&lt;&gt;0,'Boletins Nuppa Site'!A348,"NULL")</f>
        <v>45</v>
      </c>
      <c r="C348" s="0" t="n">
        <v>35</v>
      </c>
      <c r="D348" s="0" t="str">
        <f aca="false">IF('Boletins Nuppa Site'!G348&lt;&gt;0,'Boletins Nuppa Site'!G348,"NULL")</f>
        <v>NULL</v>
      </c>
      <c r="E348" s="30" t="n">
        <f aca="false">IF('Boletins Nuppa Site'!H348&lt;&gt;0,'Boletins Nuppa Site'!H348,"NULL")</f>
        <v>120</v>
      </c>
      <c r="F348" s="30" t="n">
        <f aca="false">IF('Boletins Nuppa Site'!I348&lt;&gt;0,'Boletins Nuppa Site'!I348,"NULL")</f>
        <v>150</v>
      </c>
      <c r="G348" s="0" t="str">
        <f aca="false">IF('Boletins Nuppa Site'!J348&lt;&gt;0,'Boletins Nuppa Site'!J348,"NULL")</f>
        <v>136.67</v>
      </c>
      <c r="H348" s="30" t="n">
        <f aca="false">IF('Boletins Nuppa Site'!K348&lt;&gt;0,'Boletins Nuppa Site'!K348,"NULL")</f>
        <v>140</v>
      </c>
      <c r="I348" s="0" t="str">
        <f aca="false">"INSERT INTO COTACAO (cot_id, cot_blt_id, cot_pap_id, cot_prc_comum, cot_prc_min, cot_prc_max, cot_prc_med, cot_prc_mediana) VALUES ("&amp;A348&amp;", "&amp;B348&amp;", "&amp;C348&amp;", "&amp;D348&amp;", "&amp;E348&amp;", "&amp;F348&amp;", "&amp;G348&amp;", "&amp;H348&amp;");"</f>
        <v>INSERT INTO COTACAO (cot_id, cot_blt_id, cot_pap_id, cot_prc_comum, cot_prc_min, cot_prc_max, cot_prc_med, cot_prc_mediana) VALUES (347, 45, 35, NULL, 120, 150, 136.67, 140);</v>
      </c>
      <c r="J348" s="0" t="str">
        <f aca="false">"UPDATE COTACAO SET cot_id = "&amp;A348&amp;", cot_blt_id = "&amp;B348&amp;", cot_pap_id = "&amp;C348&amp;", cot_prc_comum = "&amp;D348&amp;", cot_prc_min = "&amp;E348&amp;", cot_prc_max = "&amp;F348&amp;", cot_prc_med = "&amp;G348&amp;", cot_prc_mediana = "&amp;H348&amp;" WHERE cot_id = "&amp;A348&amp;";"</f>
        <v>UPDATE COTACAO SET cot_id = 347, cot_blt_id = 45, cot_pap_id = 35, cot_prc_comum = NULL, cot_prc_min = 120, cot_prc_max = 150, cot_prc_med = 136.67, cot_prc_mediana = 140 WHERE cot_id = 347;</v>
      </c>
    </row>
    <row r="349" customFormat="false" ht="14.25" hidden="false" customHeight="false" outlineLevel="0" collapsed="false">
      <c r="A349" s="0" t="n">
        <v>348</v>
      </c>
      <c r="B349" s="0" t="n">
        <f aca="false">IF('Boletins Nuppa Site'!A349&lt;&gt;0,'Boletins Nuppa Site'!A349,"NULL")</f>
        <v>45</v>
      </c>
      <c r="C349" s="0" t="n">
        <v>36</v>
      </c>
      <c r="D349" s="0" t="str">
        <f aca="false">IF('Boletins Nuppa Site'!G349&lt;&gt;0,'Boletins Nuppa Site'!G349,"NULL")</f>
        <v>NULL</v>
      </c>
      <c r="E349" s="30" t="n">
        <f aca="false">IF('Boletins Nuppa Site'!H349&lt;&gt;0,'Boletins Nuppa Site'!H349,"NULL")</f>
        <v>110</v>
      </c>
      <c r="F349" s="30" t="n">
        <f aca="false">IF('Boletins Nuppa Site'!I349&lt;&gt;0,'Boletins Nuppa Site'!I349,"NULL")</f>
        <v>110</v>
      </c>
      <c r="G349" s="30" t="n">
        <f aca="false">IF('Boletins Nuppa Site'!J349&lt;&gt;0,'Boletins Nuppa Site'!J349,"NULL")</f>
        <v>110</v>
      </c>
      <c r="H349" s="30" t="n">
        <f aca="false">IF('Boletins Nuppa Site'!K349&lt;&gt;0,'Boletins Nuppa Site'!K349,"NULL")</f>
        <v>110</v>
      </c>
      <c r="I349" s="0" t="str">
        <f aca="false">"INSERT INTO COTACAO (cot_id, cot_blt_id, cot_pap_id, cot_prc_comum, cot_prc_min, cot_prc_max, cot_prc_med, cot_prc_mediana) VALUES ("&amp;A349&amp;", "&amp;B349&amp;", "&amp;C349&amp;", "&amp;D349&amp;", "&amp;E349&amp;", "&amp;F349&amp;", "&amp;G349&amp;", "&amp;H349&amp;");"</f>
        <v>INSERT INTO COTACAO (cot_id, cot_blt_id, cot_pap_id, cot_prc_comum, cot_prc_min, cot_prc_max, cot_prc_med, cot_prc_mediana) VALUES (348, 45, 36, NULL, 110, 110, 110, 110);</v>
      </c>
      <c r="J349" s="0" t="str">
        <f aca="false">"UPDATE COTACAO SET cot_id = "&amp;A349&amp;", cot_blt_id = "&amp;B349&amp;", cot_pap_id = "&amp;C349&amp;", cot_prc_comum = "&amp;D349&amp;", cot_prc_min = "&amp;E349&amp;", cot_prc_max = "&amp;F349&amp;", cot_prc_med = "&amp;G349&amp;", cot_prc_mediana = "&amp;H349&amp;" WHERE cot_id = "&amp;A349&amp;";"</f>
        <v>UPDATE COTACAO SET cot_id = 348, cot_blt_id = 45, cot_pap_id = 36, cot_prc_comum = NULL, cot_prc_min = 110, cot_prc_max = 110, cot_prc_med = 110, cot_prc_mediana = 110 WHERE cot_id = 348;</v>
      </c>
    </row>
    <row r="350" customFormat="false" ht="14.25" hidden="false" customHeight="false" outlineLevel="0" collapsed="false">
      <c r="A350" s="0" t="n">
        <v>349</v>
      </c>
      <c r="B350" s="0" t="n">
        <f aca="false">IF('Boletins Nuppa Site'!A350&lt;&gt;0,'Boletins Nuppa Site'!A350,"NULL")</f>
        <v>45</v>
      </c>
      <c r="C350" s="0" t="n">
        <v>37</v>
      </c>
      <c r="D350" s="0" t="str">
        <f aca="false">IF('Boletins Nuppa Site'!G350&lt;&gt;0,'Boletins Nuppa Site'!G350,"NULL")</f>
        <v>NULL</v>
      </c>
      <c r="E350" s="30" t="n">
        <f aca="false">IF('Boletins Nuppa Site'!H350&lt;&gt;0,'Boletins Nuppa Site'!H350,"NULL")</f>
        <v>70</v>
      </c>
      <c r="F350" s="30" t="n">
        <f aca="false">IF('Boletins Nuppa Site'!I350&lt;&gt;0,'Boletins Nuppa Site'!I350,"NULL")</f>
        <v>70</v>
      </c>
      <c r="G350" s="30" t="n">
        <f aca="false">IF('Boletins Nuppa Site'!J350&lt;&gt;0,'Boletins Nuppa Site'!J350,"NULL")</f>
        <v>70</v>
      </c>
      <c r="H350" s="30" t="n">
        <f aca="false">IF('Boletins Nuppa Site'!K350&lt;&gt;0,'Boletins Nuppa Site'!K350,"NULL")</f>
        <v>70</v>
      </c>
      <c r="I350" s="0" t="str">
        <f aca="false">"INSERT INTO COTACAO (cot_id, cot_blt_id, cot_pap_id, cot_prc_comum, cot_prc_min, cot_prc_max, cot_prc_med, cot_prc_mediana) VALUES ("&amp;A350&amp;", "&amp;B350&amp;", "&amp;C350&amp;", "&amp;D350&amp;", "&amp;E350&amp;", "&amp;F350&amp;", "&amp;G350&amp;", "&amp;H350&amp;");"</f>
        <v>INSERT INTO COTACAO (cot_id, cot_blt_id, cot_pap_id, cot_prc_comum, cot_prc_min, cot_prc_max, cot_prc_med, cot_prc_mediana) VALUES (349, 45, 37, NULL, 70, 70, 70, 70);</v>
      </c>
      <c r="J350" s="0" t="str">
        <f aca="false">"UPDATE COTACAO SET cot_id = "&amp;A350&amp;", cot_blt_id = "&amp;B350&amp;", cot_pap_id = "&amp;C350&amp;", cot_prc_comum = "&amp;D350&amp;", cot_prc_min = "&amp;E350&amp;", cot_prc_max = "&amp;F350&amp;", cot_prc_med = "&amp;G350&amp;", cot_prc_mediana = "&amp;H350&amp;" WHERE cot_id = "&amp;A350&amp;";"</f>
        <v>UPDATE COTACAO SET cot_id = 349, cot_blt_id = 45, cot_pap_id = 37, cot_prc_comum = NULL, cot_prc_min = 70, cot_prc_max = 70, cot_prc_med = 70, cot_prc_mediana = 70 WHERE cot_id = 349;</v>
      </c>
    </row>
    <row r="351" customFormat="false" ht="14.25" hidden="false" customHeight="false" outlineLevel="0" collapsed="false">
      <c r="A351" s="0" t="n">
        <v>350</v>
      </c>
      <c r="B351" s="0" t="n">
        <f aca="false">IF('Boletins Nuppa Site'!A351&lt;&gt;0,'Boletins Nuppa Site'!A351,"NULL")</f>
        <v>45</v>
      </c>
      <c r="C351" s="0" t="n">
        <v>38</v>
      </c>
      <c r="D351" s="0" t="str">
        <f aca="false">IF('Boletins Nuppa Site'!G351&lt;&gt;0,'Boletins Nuppa Site'!G351,"NULL")</f>
        <v>NULL</v>
      </c>
      <c r="E351" s="30" t="n">
        <f aca="false">IF('Boletins Nuppa Site'!H351&lt;&gt;0,'Boletins Nuppa Site'!H351,"NULL")</f>
        <v>40</v>
      </c>
      <c r="F351" s="30" t="n">
        <f aca="false">IF('Boletins Nuppa Site'!I351&lt;&gt;0,'Boletins Nuppa Site'!I351,"NULL")</f>
        <v>40</v>
      </c>
      <c r="G351" s="30" t="n">
        <f aca="false">IF('Boletins Nuppa Site'!J351&lt;&gt;0,'Boletins Nuppa Site'!J351,"NULL")</f>
        <v>40</v>
      </c>
      <c r="H351" s="30" t="n">
        <f aca="false">IF('Boletins Nuppa Site'!K351&lt;&gt;0,'Boletins Nuppa Site'!K351,"NULL")</f>
        <v>40</v>
      </c>
      <c r="I351" s="0" t="str">
        <f aca="false">"INSERT INTO COTACAO (cot_id, cot_blt_id, cot_pap_id, cot_prc_comum, cot_prc_min, cot_prc_max, cot_prc_med, cot_prc_mediana) VALUES ("&amp;A351&amp;", "&amp;B351&amp;", "&amp;C351&amp;", "&amp;D351&amp;", "&amp;E351&amp;", "&amp;F351&amp;", "&amp;G351&amp;", "&amp;H351&amp;");"</f>
        <v>INSERT INTO COTACAO (cot_id, cot_blt_id, cot_pap_id, cot_prc_comum, cot_prc_min, cot_prc_max, cot_prc_med, cot_prc_mediana) VALUES (350, 45, 38, NULL, 40, 40, 40, 40);</v>
      </c>
      <c r="J351" s="0" t="str">
        <f aca="false">"UPDATE COTACAO SET cot_id = "&amp;A351&amp;", cot_blt_id = "&amp;B351&amp;", cot_pap_id = "&amp;C351&amp;", cot_prc_comum = "&amp;D351&amp;", cot_prc_min = "&amp;E351&amp;", cot_prc_max = "&amp;F351&amp;", cot_prc_med = "&amp;G351&amp;", cot_prc_mediana = "&amp;H351&amp;" WHERE cot_id = "&amp;A351&amp;";"</f>
        <v>UPDATE COTACAO SET cot_id = 350, cot_blt_id = 45, cot_pap_id = 38, cot_prc_comum = NULL, cot_prc_min = 40, cot_prc_max = 40, cot_prc_med = 40, cot_prc_mediana = 40 WHERE cot_id = 350;</v>
      </c>
    </row>
    <row r="352" customFormat="false" ht="14.25" hidden="false" customHeight="false" outlineLevel="0" collapsed="false">
      <c r="A352" s="0" t="n">
        <v>351</v>
      </c>
      <c r="B352" s="0" t="n">
        <f aca="false">IF('Boletins Nuppa Site'!A352&lt;&gt;0,'Boletins Nuppa Site'!A352,"NULL")</f>
        <v>45</v>
      </c>
      <c r="C352" s="0" t="n">
        <v>39</v>
      </c>
      <c r="D352" s="0" t="str">
        <f aca="false">IF('Boletins Nuppa Site'!G352&lt;&gt;0,'Boletins Nuppa Site'!G352,"NULL")</f>
        <v>NULL</v>
      </c>
      <c r="E352" s="30" t="n">
        <f aca="false">IF('Boletins Nuppa Site'!H352&lt;&gt;0,'Boletins Nuppa Site'!H352,"NULL")</f>
        <v>50</v>
      </c>
      <c r="F352" s="30" t="n">
        <f aca="false">IF('Boletins Nuppa Site'!I352&lt;&gt;0,'Boletins Nuppa Site'!I352,"NULL")</f>
        <v>50</v>
      </c>
      <c r="G352" s="30" t="n">
        <f aca="false">IF('Boletins Nuppa Site'!J352&lt;&gt;0,'Boletins Nuppa Site'!J352,"NULL")</f>
        <v>50</v>
      </c>
      <c r="H352" s="30" t="n">
        <f aca="false">IF('Boletins Nuppa Site'!K352&lt;&gt;0,'Boletins Nuppa Site'!K352,"NULL")</f>
        <v>50</v>
      </c>
      <c r="I352" s="0" t="str">
        <f aca="false">"INSERT INTO COTACAO (cot_id, cot_blt_id, cot_pap_id, cot_prc_comum, cot_prc_min, cot_prc_max, cot_prc_med, cot_prc_mediana) VALUES ("&amp;A352&amp;", "&amp;B352&amp;", "&amp;C352&amp;", "&amp;D352&amp;", "&amp;E352&amp;", "&amp;F352&amp;", "&amp;G352&amp;", "&amp;H352&amp;");"</f>
        <v>INSERT INTO COTACAO (cot_id, cot_blt_id, cot_pap_id, cot_prc_comum, cot_prc_min, cot_prc_max, cot_prc_med, cot_prc_mediana) VALUES (351, 45, 39, NULL, 50, 50, 50, 50);</v>
      </c>
      <c r="J352" s="0" t="str">
        <f aca="false">"UPDATE COTACAO SET cot_id = "&amp;A352&amp;", cot_blt_id = "&amp;B352&amp;", cot_pap_id = "&amp;C352&amp;", cot_prc_comum = "&amp;D352&amp;", cot_prc_min = "&amp;E352&amp;", cot_prc_max = "&amp;F352&amp;", cot_prc_med = "&amp;G352&amp;", cot_prc_mediana = "&amp;H352&amp;" WHERE cot_id = "&amp;A352&amp;";"</f>
        <v>UPDATE COTACAO SET cot_id = 351, cot_blt_id = 45, cot_pap_id = 39, cot_prc_comum = NULL, cot_prc_min = 50, cot_prc_max = 50, cot_prc_med = 50, cot_prc_mediana = 50 WHERE cot_id = 351;</v>
      </c>
    </row>
    <row r="353" customFormat="false" ht="14.25" hidden="false" customHeight="false" outlineLevel="0" collapsed="false">
      <c r="A353" s="0" t="n">
        <v>352</v>
      </c>
      <c r="B353" s="0" t="n">
        <f aca="false">IF('Boletins Nuppa Site'!A353&lt;&gt;0,'Boletins Nuppa Site'!A353,"NULL")</f>
        <v>45</v>
      </c>
      <c r="C353" s="0" t="n">
        <v>40</v>
      </c>
      <c r="D353" s="0" t="str">
        <f aca="false">IF('Boletins Nuppa Site'!G353&lt;&gt;0,'Boletins Nuppa Site'!G353,"NULL")</f>
        <v>NULL</v>
      </c>
      <c r="E353" s="0" t="str">
        <f aca="false">IF('Boletins Nuppa Site'!H353&lt;&gt;0,'Boletins Nuppa Site'!H353,"NULL")</f>
        <v>NULL</v>
      </c>
      <c r="F353" s="0" t="str">
        <f aca="false">IF('Boletins Nuppa Site'!I353&lt;&gt;0,'Boletins Nuppa Site'!I353,"NULL")</f>
        <v>NULL</v>
      </c>
      <c r="G353" s="0" t="str">
        <f aca="false">IF('Boletins Nuppa Site'!J353&lt;&gt;0,'Boletins Nuppa Site'!J353,"NULL")</f>
        <v>NULL</v>
      </c>
      <c r="H353" s="0" t="str">
        <f aca="false">IF('Boletins Nuppa Site'!K353&lt;&gt;0,'Boletins Nuppa Site'!K353,"NULL")</f>
        <v>NULL</v>
      </c>
      <c r="I353" s="0" t="str">
        <f aca="false">"INSERT INTO COTACAO (cot_id, cot_blt_id, cot_pap_id, cot_prc_comum, cot_prc_min, cot_prc_max, cot_prc_med, cot_prc_mediana) VALUES ("&amp;A353&amp;", "&amp;B353&amp;", "&amp;C353&amp;", "&amp;D353&amp;", "&amp;E353&amp;", "&amp;F353&amp;", "&amp;G353&amp;", "&amp;H353&amp;");"</f>
        <v>INSERT INTO COTACAO (cot_id, cot_blt_id, cot_pap_id, cot_prc_comum, cot_prc_min, cot_prc_max, cot_prc_med, cot_prc_mediana) VALUES (352, 45, 40, NULL, NULL, NULL, NULL, NULL);</v>
      </c>
      <c r="J353" s="0" t="str">
        <f aca="false">"UPDATE COTACAO SET cot_id = "&amp;A353&amp;", cot_blt_id = "&amp;B353&amp;", cot_pap_id = "&amp;C353&amp;", cot_prc_comum = "&amp;D353&amp;", cot_prc_min = "&amp;E353&amp;", cot_prc_max = "&amp;F353&amp;", cot_prc_med = "&amp;G353&amp;", cot_prc_mediana = "&amp;H353&amp;" WHERE cot_id = "&amp;A353&amp;";"</f>
        <v>UPDATE COTACAO SET cot_id = 352, cot_blt_id = 45, cot_pap_id = 40, cot_prc_comum = NULL, cot_prc_min = NULL, cot_prc_max = NULL, cot_prc_med = NULL, cot_prc_mediana = NULL WHERE cot_id = 352;</v>
      </c>
    </row>
    <row r="354" customFormat="false" ht="14.25" hidden="false" customHeight="false" outlineLevel="0" collapsed="false">
      <c r="A354" s="0" t="n">
        <v>353</v>
      </c>
      <c r="B354" s="0" t="n">
        <f aca="false">IF('Boletins Nuppa Site'!A354&lt;&gt;0,'Boletins Nuppa Site'!A354,"NULL")</f>
        <v>46</v>
      </c>
      <c r="C354" s="0" t="n">
        <v>1</v>
      </c>
      <c r="D354" s="30" t="n">
        <f aca="false">IF('Boletins Nuppa Site'!G354&lt;&gt;0,'Boletins Nuppa Site'!G354,"NULL")</f>
        <v>60</v>
      </c>
      <c r="E354" s="30" t="n">
        <f aca="false">IF('Boletins Nuppa Site'!H354&lt;&gt;0,'Boletins Nuppa Site'!H354,"NULL")</f>
        <v>60</v>
      </c>
      <c r="F354" s="30" t="n">
        <f aca="false">IF('Boletins Nuppa Site'!I354&lt;&gt;0,'Boletins Nuppa Site'!I354,"NULL")</f>
        <v>84</v>
      </c>
      <c r="G354" s="30" t="n">
        <f aca="false">IF('Boletins Nuppa Site'!J354&lt;&gt;0,'Boletins Nuppa Site'!J354,"NULL")</f>
        <v>68</v>
      </c>
      <c r="H354" s="30" t="n">
        <f aca="false">IF('Boletins Nuppa Site'!K354&lt;&gt;0,'Boletins Nuppa Site'!K354,"NULL")</f>
        <v>60</v>
      </c>
      <c r="I354" s="0" t="str">
        <f aca="false">"INSERT INTO COTACAO (cot_id, cot_blt_id, cot_pap_id, cot_prc_comum, cot_prc_min, cot_prc_max, cot_prc_med, cot_prc_mediana) VALUES ("&amp;A354&amp;", "&amp;B354&amp;", "&amp;C354&amp;", "&amp;D354&amp;", "&amp;E354&amp;", "&amp;F354&amp;", "&amp;G354&amp;", "&amp;H354&amp;");"</f>
        <v>INSERT INTO COTACAO (cot_id, cot_blt_id, cot_pap_id, cot_prc_comum, cot_prc_min, cot_prc_max, cot_prc_med, cot_prc_mediana) VALUES (353, 46, 1, 60, 60, 84, 68, 60);</v>
      </c>
      <c r="J354" s="0" t="str">
        <f aca="false">"UPDATE COTACAO SET cot_id = "&amp;A354&amp;", cot_blt_id = "&amp;B354&amp;", cot_pap_id = "&amp;C354&amp;", cot_prc_comum = "&amp;D354&amp;", cot_prc_min = "&amp;E354&amp;", cot_prc_max = "&amp;F354&amp;", cot_prc_med = "&amp;G354&amp;", cot_prc_mediana = "&amp;H354&amp;" WHERE cot_id = "&amp;A354&amp;";"</f>
        <v>UPDATE COTACAO SET cot_id = 353, cot_blt_id = 46, cot_pap_id = 1, cot_prc_comum = 60, cot_prc_min = 60, cot_prc_max = 84, cot_prc_med = 68, cot_prc_mediana = 60 WHERE cot_id = 353;</v>
      </c>
    </row>
    <row r="355" customFormat="false" ht="14.25" hidden="false" customHeight="false" outlineLevel="0" collapsed="false">
      <c r="A355" s="0" t="n">
        <v>354</v>
      </c>
      <c r="B355" s="0" t="n">
        <f aca="false">IF('Boletins Nuppa Site'!A355&lt;&gt;0,'Boletins Nuppa Site'!A355,"NULL")</f>
        <v>46</v>
      </c>
      <c r="C355" s="0" t="n">
        <v>2</v>
      </c>
      <c r="D355" s="0" t="str">
        <f aca="false">IF('Boletins Nuppa Site'!G355&lt;&gt;0,'Boletins Nuppa Site'!G355,"NULL")</f>
        <v>NULL</v>
      </c>
      <c r="E355" s="30" t="n">
        <f aca="false">IF('Boletins Nuppa Site'!H355&lt;&gt;0,'Boletins Nuppa Site'!H355,"NULL")</f>
        <v>32</v>
      </c>
      <c r="F355" s="30" t="n">
        <f aca="false">IF('Boletins Nuppa Site'!I355&lt;&gt;0,'Boletins Nuppa Site'!I355,"NULL")</f>
        <v>84</v>
      </c>
      <c r="G355" s="0" t="str">
        <f aca="false">IF('Boletins Nuppa Site'!J355&lt;&gt;0,'Boletins Nuppa Site'!J355,"NULL")</f>
        <v>62.67</v>
      </c>
      <c r="H355" s="30" t="n">
        <f aca="false">IF('Boletins Nuppa Site'!K355&lt;&gt;0,'Boletins Nuppa Site'!K355,"NULL")</f>
        <v>72</v>
      </c>
      <c r="I355" s="0" t="str">
        <f aca="false">"INSERT INTO COTACAO (cot_id, cot_blt_id, cot_pap_id, cot_prc_comum, cot_prc_min, cot_prc_max, cot_prc_med, cot_prc_mediana) VALUES ("&amp;A355&amp;", "&amp;B355&amp;", "&amp;C355&amp;", "&amp;D355&amp;", "&amp;E355&amp;", "&amp;F355&amp;", "&amp;G355&amp;", "&amp;H355&amp;");"</f>
        <v>INSERT INTO COTACAO (cot_id, cot_blt_id, cot_pap_id, cot_prc_comum, cot_prc_min, cot_prc_max, cot_prc_med, cot_prc_mediana) VALUES (354, 46, 2, NULL, 32, 84, 62.67, 72);</v>
      </c>
      <c r="J355" s="0" t="str">
        <f aca="false">"UPDATE COTACAO SET cot_id = "&amp;A355&amp;", cot_blt_id = "&amp;B355&amp;", cot_pap_id = "&amp;C355&amp;", cot_prc_comum = "&amp;D355&amp;", cot_prc_min = "&amp;E355&amp;", cot_prc_max = "&amp;F355&amp;", cot_prc_med = "&amp;G355&amp;", cot_prc_mediana = "&amp;H355&amp;" WHERE cot_id = "&amp;A355&amp;";"</f>
        <v>UPDATE COTACAO SET cot_id = 354, cot_blt_id = 46, cot_pap_id = 2, cot_prc_comum = NULL, cot_prc_min = 32, cot_prc_max = 84, cot_prc_med = 62.67, cot_prc_mediana = 72 WHERE cot_id = 354;</v>
      </c>
    </row>
    <row r="356" customFormat="false" ht="14.25" hidden="false" customHeight="false" outlineLevel="0" collapsed="false">
      <c r="A356" s="0" t="n">
        <v>355</v>
      </c>
      <c r="B356" s="0" t="n">
        <f aca="false">IF('Boletins Nuppa Site'!A356&lt;&gt;0,'Boletins Nuppa Site'!A356,"NULL")</f>
        <v>46</v>
      </c>
      <c r="C356" s="0" t="n">
        <v>3</v>
      </c>
      <c r="D356" s="30" t="n">
        <f aca="false">IF('Boletins Nuppa Site'!G356&lt;&gt;0,'Boletins Nuppa Site'!G356,"NULL")</f>
        <v>45</v>
      </c>
      <c r="E356" s="30" t="n">
        <f aca="false">IF('Boletins Nuppa Site'!H356&lt;&gt;0,'Boletins Nuppa Site'!H356,"NULL")</f>
        <v>45</v>
      </c>
      <c r="F356" s="30" t="n">
        <f aca="false">IF('Boletins Nuppa Site'!I356&lt;&gt;0,'Boletins Nuppa Site'!I356,"NULL")</f>
        <v>60</v>
      </c>
      <c r="G356" s="0" t="str">
        <f aca="false">IF('Boletins Nuppa Site'!J356&lt;&gt;0,'Boletins Nuppa Site'!J356,"NULL")</f>
        <v>49.5</v>
      </c>
      <c r="H356" s="0" t="str">
        <f aca="false">IF('Boletins Nuppa Site'!K356&lt;&gt;0,'Boletins Nuppa Site'!K356,"NULL")</f>
        <v>46.5</v>
      </c>
      <c r="I356" s="0" t="str">
        <f aca="false">"INSERT INTO COTACAO (cot_id, cot_blt_id, cot_pap_id, cot_prc_comum, cot_prc_min, cot_prc_max, cot_prc_med, cot_prc_mediana) VALUES ("&amp;A356&amp;", "&amp;B356&amp;", "&amp;C356&amp;", "&amp;D356&amp;", "&amp;E356&amp;", "&amp;F356&amp;", "&amp;G356&amp;", "&amp;H356&amp;");"</f>
        <v>INSERT INTO COTACAO (cot_id, cot_blt_id, cot_pap_id, cot_prc_comum, cot_prc_min, cot_prc_max, cot_prc_med, cot_prc_mediana) VALUES (355, 46, 3, 45, 45, 60, 49.5, 46.5);</v>
      </c>
      <c r="J356" s="0" t="str">
        <f aca="false">"UPDATE COTACAO SET cot_id = "&amp;A356&amp;", cot_blt_id = "&amp;B356&amp;", cot_pap_id = "&amp;C356&amp;", cot_prc_comum = "&amp;D356&amp;", cot_prc_min = "&amp;E356&amp;", cot_prc_max = "&amp;F356&amp;", cot_prc_med = "&amp;G356&amp;", cot_prc_mediana = "&amp;H356&amp;" WHERE cot_id = "&amp;A356&amp;";"</f>
        <v>UPDATE COTACAO SET cot_id = 355, cot_blt_id = 46, cot_pap_id = 3, cot_prc_comum = 45, cot_prc_min = 45, cot_prc_max = 60, cot_prc_med = 49.5, cot_prc_mediana = 46.5 WHERE cot_id = 355;</v>
      </c>
    </row>
    <row r="357" customFormat="false" ht="14.25" hidden="false" customHeight="false" outlineLevel="0" collapsed="false">
      <c r="A357" s="0" t="n">
        <v>356</v>
      </c>
      <c r="B357" s="0" t="n">
        <f aca="false">IF('Boletins Nuppa Site'!A357&lt;&gt;0,'Boletins Nuppa Site'!A357,"NULL")</f>
        <v>46</v>
      </c>
      <c r="C357" s="0" t="n">
        <v>4</v>
      </c>
      <c r="D357" s="0" t="str">
        <f aca="false">IF('Boletins Nuppa Site'!G357&lt;&gt;0,'Boletins Nuppa Site'!G357,"NULL")</f>
        <v>NULL</v>
      </c>
      <c r="E357" s="30" t="n">
        <f aca="false">IF('Boletins Nuppa Site'!H357&lt;&gt;0,'Boletins Nuppa Site'!H357,"NULL")</f>
        <v>30</v>
      </c>
      <c r="F357" s="30" t="n">
        <f aca="false">IF('Boletins Nuppa Site'!I357&lt;&gt;0,'Boletins Nuppa Site'!I357,"NULL")</f>
        <v>60</v>
      </c>
      <c r="G357" s="0" t="str">
        <f aca="false">IF('Boletins Nuppa Site'!J357&lt;&gt;0,'Boletins Nuppa Site'!J357,"NULL")</f>
        <v>41.75</v>
      </c>
      <c r="H357" s="0" t="str">
        <f aca="false">IF('Boletins Nuppa Site'!K357&lt;&gt;0,'Boletins Nuppa Site'!K357,"NULL")</f>
        <v>38.5</v>
      </c>
      <c r="I357" s="0" t="str">
        <f aca="false">"INSERT INTO COTACAO (cot_id, cot_blt_id, cot_pap_id, cot_prc_comum, cot_prc_min, cot_prc_max, cot_prc_med, cot_prc_mediana) VALUES ("&amp;A357&amp;", "&amp;B357&amp;", "&amp;C357&amp;", "&amp;D357&amp;", "&amp;E357&amp;", "&amp;F357&amp;", "&amp;G357&amp;", "&amp;H357&amp;");"</f>
        <v>INSERT INTO COTACAO (cot_id, cot_blt_id, cot_pap_id, cot_prc_comum, cot_prc_min, cot_prc_max, cot_prc_med, cot_prc_mediana) VALUES (356, 46, 4, NULL, 30, 60, 41.75, 38.5);</v>
      </c>
      <c r="J357" s="0" t="str">
        <f aca="false">"UPDATE COTACAO SET cot_id = "&amp;A357&amp;", cot_blt_id = "&amp;B357&amp;", cot_pap_id = "&amp;C357&amp;", cot_prc_comum = "&amp;D357&amp;", cot_prc_min = "&amp;E357&amp;", cot_prc_max = "&amp;F357&amp;", cot_prc_med = "&amp;G357&amp;", cot_prc_mediana = "&amp;H357&amp;" WHERE cot_id = "&amp;A357&amp;";"</f>
        <v>UPDATE COTACAO SET cot_id = 356, cot_blt_id = 46, cot_pap_id = 4, cot_prc_comum = NULL, cot_prc_min = 30, cot_prc_max = 60, cot_prc_med = 41.75, cot_prc_mediana = 38.5 WHERE cot_id = 356;</v>
      </c>
    </row>
    <row r="358" customFormat="false" ht="14.25" hidden="false" customHeight="false" outlineLevel="0" collapsed="false">
      <c r="A358" s="0" t="n">
        <v>357</v>
      </c>
      <c r="B358" s="0" t="n">
        <f aca="false">IF('Boletins Nuppa Site'!A358&lt;&gt;0,'Boletins Nuppa Site'!A358,"NULL")</f>
        <v>46</v>
      </c>
      <c r="C358" s="0" t="n">
        <v>5</v>
      </c>
      <c r="D358" s="0" t="str">
        <f aca="false">IF('Boletins Nuppa Site'!G358&lt;&gt;0,'Boletins Nuppa Site'!G358,"NULL")</f>
        <v>NULL</v>
      </c>
      <c r="E358" s="30" t="n">
        <f aca="false">IF('Boletins Nuppa Site'!H358&lt;&gt;0,'Boletins Nuppa Site'!H358,"NULL")</f>
        <v>35</v>
      </c>
      <c r="F358" s="30" t="n">
        <f aca="false">IF('Boletins Nuppa Site'!I358&lt;&gt;0,'Boletins Nuppa Site'!I358,"NULL")</f>
        <v>60</v>
      </c>
      <c r="G358" s="0" t="str">
        <f aca="false">IF('Boletins Nuppa Site'!J358&lt;&gt;0,'Boletins Nuppa Site'!J358,"NULL")</f>
        <v>45.67</v>
      </c>
      <c r="H358" s="30" t="n">
        <f aca="false">IF('Boletins Nuppa Site'!K358&lt;&gt;0,'Boletins Nuppa Site'!K358,"NULL")</f>
        <v>42</v>
      </c>
      <c r="I358" s="0" t="str">
        <f aca="false">"INSERT INTO COTACAO (cot_id, cot_blt_id, cot_pap_id, cot_prc_comum, cot_prc_min, cot_prc_max, cot_prc_med, cot_prc_mediana) VALUES ("&amp;A358&amp;", "&amp;B358&amp;", "&amp;C358&amp;", "&amp;D358&amp;", "&amp;E358&amp;", "&amp;F358&amp;", "&amp;G358&amp;", "&amp;H358&amp;");"</f>
        <v>INSERT INTO COTACAO (cot_id, cot_blt_id, cot_pap_id, cot_prc_comum, cot_prc_min, cot_prc_max, cot_prc_med, cot_prc_mediana) VALUES (357, 46, 5, NULL, 35, 60, 45.67, 42);</v>
      </c>
      <c r="J358" s="0" t="str">
        <f aca="false">"UPDATE COTACAO SET cot_id = "&amp;A358&amp;", cot_blt_id = "&amp;B358&amp;", cot_pap_id = "&amp;C358&amp;", cot_prc_comum = "&amp;D358&amp;", cot_prc_min = "&amp;E358&amp;", cot_prc_max = "&amp;F358&amp;", cot_prc_med = "&amp;G358&amp;", cot_prc_mediana = "&amp;H358&amp;" WHERE cot_id = "&amp;A358&amp;";"</f>
        <v>UPDATE COTACAO SET cot_id = 357, cot_blt_id = 46, cot_pap_id = 5, cot_prc_comum = NULL, cot_prc_min = 35, cot_prc_max = 60, cot_prc_med = 45.67, cot_prc_mediana = 42 WHERE cot_id = 357;</v>
      </c>
    </row>
    <row r="359" customFormat="false" ht="14.25" hidden="false" customHeight="false" outlineLevel="0" collapsed="false">
      <c r="A359" s="0" t="n">
        <v>358</v>
      </c>
      <c r="B359" s="0" t="n">
        <f aca="false">IF('Boletins Nuppa Site'!A359&lt;&gt;0,'Boletins Nuppa Site'!A359,"NULL")</f>
        <v>46</v>
      </c>
      <c r="C359" s="0" t="n">
        <v>6</v>
      </c>
      <c r="D359" s="30" t="n">
        <f aca="false">IF('Boletins Nuppa Site'!G359&lt;&gt;0,'Boletins Nuppa Site'!G359,"NULL")</f>
        <v>60</v>
      </c>
      <c r="E359" s="30" t="n">
        <f aca="false">IF('Boletins Nuppa Site'!H359&lt;&gt;0,'Boletins Nuppa Site'!H359,"NULL")</f>
        <v>54</v>
      </c>
      <c r="F359" s="30" t="n">
        <f aca="false">IF('Boletins Nuppa Site'!I359&lt;&gt;0,'Boletins Nuppa Site'!I359,"NULL")</f>
        <v>60</v>
      </c>
      <c r="G359" s="30" t="n">
        <f aca="false">IF('Boletins Nuppa Site'!J359&lt;&gt;0,'Boletins Nuppa Site'!J359,"NULL")</f>
        <v>58</v>
      </c>
      <c r="H359" s="30" t="n">
        <f aca="false">IF('Boletins Nuppa Site'!K359&lt;&gt;0,'Boletins Nuppa Site'!K359,"NULL")</f>
        <v>60</v>
      </c>
      <c r="I359" s="0" t="str">
        <f aca="false">"INSERT INTO COTACAO (cot_id, cot_blt_id, cot_pap_id, cot_prc_comum, cot_prc_min, cot_prc_max, cot_prc_med, cot_prc_mediana) VALUES ("&amp;A359&amp;", "&amp;B359&amp;", "&amp;C359&amp;", "&amp;D359&amp;", "&amp;E359&amp;", "&amp;F359&amp;", "&amp;G359&amp;", "&amp;H359&amp;");"</f>
        <v>INSERT INTO COTACAO (cot_id, cot_blt_id, cot_pap_id, cot_prc_comum, cot_prc_min, cot_prc_max, cot_prc_med, cot_prc_mediana) VALUES (358, 46, 6, 60, 54, 60, 58, 60);</v>
      </c>
      <c r="J359" s="0" t="str">
        <f aca="false">"UPDATE COTACAO SET cot_id = "&amp;A359&amp;", cot_blt_id = "&amp;B359&amp;", cot_pap_id = "&amp;C359&amp;", cot_prc_comum = "&amp;D359&amp;", cot_prc_min = "&amp;E359&amp;", cot_prc_max = "&amp;F359&amp;", cot_prc_med = "&amp;G359&amp;", cot_prc_mediana = "&amp;H359&amp;" WHERE cot_id = "&amp;A359&amp;";"</f>
        <v>UPDATE COTACAO SET cot_id = 358, cot_blt_id = 46, cot_pap_id = 6, cot_prc_comum = 60, cot_prc_min = 54, cot_prc_max = 60, cot_prc_med = 58, cot_prc_mediana = 60 WHERE cot_id = 358;</v>
      </c>
    </row>
    <row r="360" customFormat="false" ht="14.25" hidden="false" customHeight="false" outlineLevel="0" collapsed="false">
      <c r="A360" s="0" t="n">
        <v>359</v>
      </c>
      <c r="B360" s="0" t="n">
        <f aca="false">IF('Boletins Nuppa Site'!A360&lt;&gt;0,'Boletins Nuppa Site'!A360,"NULL")</f>
        <v>46</v>
      </c>
      <c r="C360" s="0" t="n">
        <v>7</v>
      </c>
      <c r="D360" s="30" t="n">
        <f aca="false">IF('Boletins Nuppa Site'!G360&lt;&gt;0,'Boletins Nuppa Site'!G360,"NULL")</f>
        <v>60</v>
      </c>
      <c r="E360" s="30" t="n">
        <f aca="false">IF('Boletins Nuppa Site'!H360&lt;&gt;0,'Boletins Nuppa Site'!H360,"NULL")</f>
        <v>60</v>
      </c>
      <c r="F360" s="30" t="n">
        <f aca="false">IF('Boletins Nuppa Site'!I360&lt;&gt;0,'Boletins Nuppa Site'!I360,"NULL")</f>
        <v>78</v>
      </c>
      <c r="G360" s="0" t="str">
        <f aca="false">IF('Boletins Nuppa Site'!J360&lt;&gt;0,'Boletins Nuppa Site'!J360,"NULL")</f>
        <v>64.5</v>
      </c>
      <c r="H360" s="30" t="n">
        <f aca="false">IF('Boletins Nuppa Site'!K360&lt;&gt;0,'Boletins Nuppa Site'!K360,"NULL")</f>
        <v>60</v>
      </c>
      <c r="I360" s="0" t="str">
        <f aca="false">"INSERT INTO COTACAO (cot_id, cot_blt_id, cot_pap_id, cot_prc_comum, cot_prc_min, cot_prc_max, cot_prc_med, cot_prc_mediana) VALUES ("&amp;A360&amp;", "&amp;B360&amp;", "&amp;C360&amp;", "&amp;D360&amp;", "&amp;E360&amp;", "&amp;F360&amp;", "&amp;G360&amp;", "&amp;H360&amp;");"</f>
        <v>INSERT INTO COTACAO (cot_id, cot_blt_id, cot_pap_id, cot_prc_comum, cot_prc_min, cot_prc_max, cot_prc_med, cot_prc_mediana) VALUES (359, 46, 7, 60, 60, 78, 64.5, 60);</v>
      </c>
      <c r="J360" s="0" t="str">
        <f aca="false">"UPDATE COTACAO SET cot_id = "&amp;A360&amp;", cot_blt_id = "&amp;B360&amp;", cot_pap_id = "&amp;C360&amp;", cot_prc_comum = "&amp;D360&amp;", cot_prc_min = "&amp;E360&amp;", cot_prc_max = "&amp;F360&amp;", cot_prc_med = "&amp;G360&amp;", cot_prc_mediana = "&amp;H360&amp;" WHERE cot_id = "&amp;A360&amp;";"</f>
        <v>UPDATE COTACAO SET cot_id = 359, cot_blt_id = 46, cot_pap_id = 7, cot_prc_comum = 60, cot_prc_min = 60, cot_prc_max = 78, cot_prc_med = 64.5, cot_prc_mediana = 60 WHERE cot_id = 359;</v>
      </c>
    </row>
    <row r="361" customFormat="false" ht="14.25" hidden="false" customHeight="false" outlineLevel="0" collapsed="false">
      <c r="A361" s="0" t="n">
        <v>360</v>
      </c>
      <c r="B361" s="0" t="n">
        <f aca="false">IF('Boletins Nuppa Site'!A361&lt;&gt;0,'Boletins Nuppa Site'!A361,"NULL")</f>
        <v>46</v>
      </c>
      <c r="C361" s="0" t="n">
        <v>8</v>
      </c>
      <c r="D361" s="30" t="n">
        <f aca="false">IF('Boletins Nuppa Site'!G361&lt;&gt;0,'Boletins Nuppa Site'!G361,"NULL")</f>
        <v>84</v>
      </c>
      <c r="E361" s="30" t="n">
        <f aca="false">IF('Boletins Nuppa Site'!H361&lt;&gt;0,'Boletins Nuppa Site'!H361,"NULL")</f>
        <v>72</v>
      </c>
      <c r="F361" s="30" t="n">
        <f aca="false">IF('Boletins Nuppa Site'!I361&lt;&gt;0,'Boletins Nuppa Site'!I361,"NULL")</f>
        <v>96</v>
      </c>
      <c r="G361" s="30" t="n">
        <f aca="false">IF('Boletins Nuppa Site'!J361&lt;&gt;0,'Boletins Nuppa Site'!J361,"NULL")</f>
        <v>84</v>
      </c>
      <c r="H361" s="30" t="n">
        <f aca="false">IF('Boletins Nuppa Site'!K361&lt;&gt;0,'Boletins Nuppa Site'!K361,"NULL")</f>
        <v>84</v>
      </c>
      <c r="I361" s="0" t="str">
        <f aca="false">"INSERT INTO COTACAO (cot_id, cot_blt_id, cot_pap_id, cot_prc_comum, cot_prc_min, cot_prc_max, cot_prc_med, cot_prc_mediana) VALUES ("&amp;A361&amp;", "&amp;B361&amp;", "&amp;C361&amp;", "&amp;D361&amp;", "&amp;E361&amp;", "&amp;F361&amp;", "&amp;G361&amp;", "&amp;H361&amp;");"</f>
        <v>INSERT INTO COTACAO (cot_id, cot_blt_id, cot_pap_id, cot_prc_comum, cot_prc_min, cot_prc_max, cot_prc_med, cot_prc_mediana) VALUES (360, 46, 8, 84, 72, 96, 84, 84);</v>
      </c>
      <c r="J361" s="0" t="str">
        <f aca="false">"UPDATE COTACAO SET cot_id = "&amp;A361&amp;", cot_blt_id = "&amp;B361&amp;", cot_pap_id = "&amp;C361&amp;", cot_prc_comum = "&amp;D361&amp;", cot_prc_min = "&amp;E361&amp;", cot_prc_max = "&amp;F361&amp;", cot_prc_med = "&amp;G361&amp;", cot_prc_mediana = "&amp;H361&amp;" WHERE cot_id = "&amp;A361&amp;";"</f>
        <v>UPDATE COTACAO SET cot_id = 360, cot_blt_id = 46, cot_pap_id = 8, cot_prc_comum = 84, cot_prc_min = 72, cot_prc_max = 96, cot_prc_med = 84, cot_prc_mediana = 84 WHERE cot_id = 360;</v>
      </c>
    </row>
    <row r="362" customFormat="false" ht="14.25" hidden="false" customHeight="false" outlineLevel="0" collapsed="false">
      <c r="A362" s="0" t="n">
        <v>361</v>
      </c>
      <c r="B362" s="0" t="n">
        <f aca="false">IF('Boletins Nuppa Site'!A362&lt;&gt;0,'Boletins Nuppa Site'!A362,"NULL")</f>
        <v>46</v>
      </c>
      <c r="C362" s="0" t="n">
        <v>9</v>
      </c>
      <c r="D362" s="30" t="n">
        <f aca="false">IF('Boletins Nuppa Site'!G362&lt;&gt;0,'Boletins Nuppa Site'!G362,"NULL")</f>
        <v>30</v>
      </c>
      <c r="E362" s="30" t="n">
        <f aca="false">IF('Boletins Nuppa Site'!H362&lt;&gt;0,'Boletins Nuppa Site'!H362,"NULL")</f>
        <v>24</v>
      </c>
      <c r="F362" s="30" t="n">
        <f aca="false">IF('Boletins Nuppa Site'!I362&lt;&gt;0,'Boletins Nuppa Site'!I362,"NULL")</f>
        <v>30</v>
      </c>
      <c r="G362" s="0" t="str">
        <f aca="false">IF('Boletins Nuppa Site'!J362&lt;&gt;0,'Boletins Nuppa Site'!J362,"NULL")</f>
        <v>28.5</v>
      </c>
      <c r="H362" s="30" t="n">
        <f aca="false">IF('Boletins Nuppa Site'!K362&lt;&gt;0,'Boletins Nuppa Site'!K362,"NULL")</f>
        <v>30</v>
      </c>
      <c r="I362" s="0" t="str">
        <f aca="false">"INSERT INTO COTACAO (cot_id, cot_blt_id, cot_pap_id, cot_prc_comum, cot_prc_min, cot_prc_max, cot_prc_med, cot_prc_mediana) VALUES ("&amp;A362&amp;", "&amp;B362&amp;", "&amp;C362&amp;", "&amp;D362&amp;", "&amp;E362&amp;", "&amp;F362&amp;", "&amp;G362&amp;", "&amp;H362&amp;");"</f>
        <v>INSERT INTO COTACAO (cot_id, cot_blt_id, cot_pap_id, cot_prc_comum, cot_prc_min, cot_prc_max, cot_prc_med, cot_prc_mediana) VALUES (361, 46, 9, 30, 24, 30, 28.5, 30);</v>
      </c>
      <c r="J362" s="0" t="str">
        <f aca="false">"UPDATE COTACAO SET cot_id = "&amp;A362&amp;", cot_blt_id = "&amp;B362&amp;", cot_pap_id = "&amp;C362&amp;", cot_prc_comum = "&amp;D362&amp;", cot_prc_min = "&amp;E362&amp;", cot_prc_max = "&amp;F362&amp;", cot_prc_med = "&amp;G362&amp;", cot_prc_mediana = "&amp;H362&amp;" WHERE cot_id = "&amp;A362&amp;";"</f>
        <v>UPDATE COTACAO SET cot_id = 361, cot_blt_id = 46, cot_pap_id = 9, cot_prc_comum = 30, cot_prc_min = 24, cot_prc_max = 30, cot_prc_med = 28.5, cot_prc_mediana = 30 WHERE cot_id = 361;</v>
      </c>
    </row>
    <row r="363" customFormat="false" ht="14.25" hidden="false" customHeight="false" outlineLevel="0" collapsed="false">
      <c r="A363" s="0" t="n">
        <v>362</v>
      </c>
      <c r="B363" s="0" t="n">
        <f aca="false">IF('Boletins Nuppa Site'!A363&lt;&gt;0,'Boletins Nuppa Site'!A363,"NULL")</f>
        <v>46</v>
      </c>
      <c r="C363" s="0" t="n">
        <v>10</v>
      </c>
      <c r="D363" s="0" t="str">
        <f aca="false">IF('Boletins Nuppa Site'!G363&lt;&gt;0,'Boletins Nuppa Site'!G363,"NULL")</f>
        <v>NULL</v>
      </c>
      <c r="E363" s="30" t="n">
        <f aca="false">IF('Boletins Nuppa Site'!H363&lt;&gt;0,'Boletins Nuppa Site'!H363,"NULL")</f>
        <v>84</v>
      </c>
      <c r="F363" s="30" t="n">
        <f aca="false">IF('Boletins Nuppa Site'!I363&lt;&gt;0,'Boletins Nuppa Site'!I363,"NULL")</f>
        <v>120</v>
      </c>
      <c r="G363" s="30" t="n">
        <f aca="false">IF('Boletins Nuppa Site'!J363&lt;&gt;0,'Boletins Nuppa Site'!J363,"NULL")</f>
        <v>100</v>
      </c>
      <c r="H363" s="30" t="n">
        <f aca="false">IF('Boletins Nuppa Site'!K363&lt;&gt;0,'Boletins Nuppa Site'!K363,"NULL")</f>
        <v>96</v>
      </c>
      <c r="I363" s="0" t="str">
        <f aca="false">"INSERT INTO COTACAO (cot_id, cot_blt_id, cot_pap_id, cot_prc_comum, cot_prc_min, cot_prc_max, cot_prc_med, cot_prc_mediana) VALUES ("&amp;A363&amp;", "&amp;B363&amp;", "&amp;C363&amp;", "&amp;D363&amp;", "&amp;E363&amp;", "&amp;F363&amp;", "&amp;G363&amp;", "&amp;H363&amp;");"</f>
        <v>INSERT INTO COTACAO (cot_id, cot_blt_id, cot_pap_id, cot_prc_comum, cot_prc_min, cot_prc_max, cot_prc_med, cot_prc_mediana) VALUES (362, 46, 10, NULL, 84, 120, 100, 96);</v>
      </c>
      <c r="J363" s="0" t="str">
        <f aca="false">"UPDATE COTACAO SET cot_id = "&amp;A363&amp;", cot_blt_id = "&amp;B363&amp;", cot_pap_id = "&amp;C363&amp;", cot_prc_comum = "&amp;D363&amp;", cot_prc_min = "&amp;E363&amp;", cot_prc_max = "&amp;F363&amp;", cot_prc_med = "&amp;G363&amp;", cot_prc_mediana = "&amp;H363&amp;" WHERE cot_id = "&amp;A363&amp;";"</f>
        <v>UPDATE COTACAO SET cot_id = 362, cot_blt_id = 46, cot_pap_id = 10, cot_prc_comum = NULL, cot_prc_min = 84, cot_prc_max = 120, cot_prc_med = 100, cot_prc_mediana = 96 WHERE cot_id = 362;</v>
      </c>
    </row>
    <row r="364" customFormat="false" ht="14.25" hidden="false" customHeight="false" outlineLevel="0" collapsed="false">
      <c r="A364" s="0" t="n">
        <v>363</v>
      </c>
      <c r="B364" s="0" t="n">
        <f aca="false">IF('Boletins Nuppa Site'!A364&lt;&gt;0,'Boletins Nuppa Site'!A364,"NULL")</f>
        <v>46</v>
      </c>
      <c r="C364" s="0" t="n">
        <v>11</v>
      </c>
      <c r="D364" s="0" t="str">
        <f aca="false">IF('Boletins Nuppa Site'!G364&lt;&gt;0,'Boletins Nuppa Site'!G364,"NULL")</f>
        <v>NULL</v>
      </c>
      <c r="E364" s="30" t="n">
        <f aca="false">IF('Boletins Nuppa Site'!H364&lt;&gt;0,'Boletins Nuppa Site'!H364,"NULL")</f>
        <v>30</v>
      </c>
      <c r="F364" s="30" t="n">
        <f aca="false">IF('Boletins Nuppa Site'!I364&lt;&gt;0,'Boletins Nuppa Site'!I364,"NULL")</f>
        <v>42</v>
      </c>
      <c r="G364" s="0" t="str">
        <f aca="false">IF('Boletins Nuppa Site'!J364&lt;&gt;0,'Boletins Nuppa Site'!J364,"NULL")</f>
        <v>35.67</v>
      </c>
      <c r="H364" s="30" t="n">
        <f aca="false">IF('Boletins Nuppa Site'!K364&lt;&gt;0,'Boletins Nuppa Site'!K364,"NULL")</f>
        <v>35</v>
      </c>
      <c r="I364" s="0" t="str">
        <f aca="false">"INSERT INTO COTACAO (cot_id, cot_blt_id, cot_pap_id, cot_prc_comum, cot_prc_min, cot_prc_max, cot_prc_med, cot_prc_mediana) VALUES ("&amp;A364&amp;", "&amp;B364&amp;", "&amp;C364&amp;", "&amp;D364&amp;", "&amp;E364&amp;", "&amp;F364&amp;", "&amp;G364&amp;", "&amp;H364&amp;");"</f>
        <v>INSERT INTO COTACAO (cot_id, cot_blt_id, cot_pap_id, cot_prc_comum, cot_prc_min, cot_prc_max, cot_prc_med, cot_prc_mediana) VALUES (363, 46, 11, NULL, 30, 42, 35.67, 35);</v>
      </c>
      <c r="J364" s="0" t="str">
        <f aca="false">"UPDATE COTACAO SET cot_id = "&amp;A364&amp;", cot_blt_id = "&amp;B364&amp;", cot_pap_id = "&amp;C364&amp;", cot_prc_comum = "&amp;D364&amp;", cot_prc_min = "&amp;E364&amp;", cot_prc_max = "&amp;F364&amp;", cot_prc_med = "&amp;G364&amp;", cot_prc_mediana = "&amp;H364&amp;" WHERE cot_id = "&amp;A364&amp;";"</f>
        <v>UPDATE COTACAO SET cot_id = 363, cot_blt_id = 46, cot_pap_id = 11, cot_prc_comum = NULL, cot_prc_min = 30, cot_prc_max = 42, cot_prc_med = 35.67, cot_prc_mediana = 35 WHERE cot_id = 363;</v>
      </c>
    </row>
    <row r="365" customFormat="false" ht="14.25" hidden="false" customHeight="false" outlineLevel="0" collapsed="false">
      <c r="A365" s="0" t="n">
        <v>364</v>
      </c>
      <c r="B365" s="0" t="n">
        <f aca="false">IF('Boletins Nuppa Site'!A365&lt;&gt;0,'Boletins Nuppa Site'!A365,"NULL")</f>
        <v>46</v>
      </c>
      <c r="C365" s="0" t="n">
        <v>12</v>
      </c>
      <c r="D365" s="30" t="n">
        <f aca="false">IF('Boletins Nuppa Site'!G365&lt;&gt;0,'Boletins Nuppa Site'!G365,"NULL")</f>
        <v>84</v>
      </c>
      <c r="E365" s="30" t="n">
        <f aca="false">IF('Boletins Nuppa Site'!H365&lt;&gt;0,'Boletins Nuppa Site'!H365,"NULL")</f>
        <v>72</v>
      </c>
      <c r="F365" s="30" t="n">
        <f aca="false">IF('Boletins Nuppa Site'!I365&lt;&gt;0,'Boletins Nuppa Site'!I365,"NULL")</f>
        <v>84</v>
      </c>
      <c r="G365" s="30" t="n">
        <f aca="false">IF('Boletins Nuppa Site'!J365&lt;&gt;0,'Boletins Nuppa Site'!J365,"NULL")</f>
        <v>80</v>
      </c>
      <c r="H365" s="30" t="n">
        <f aca="false">IF('Boletins Nuppa Site'!K365&lt;&gt;0,'Boletins Nuppa Site'!K365,"NULL")</f>
        <v>84</v>
      </c>
      <c r="I365" s="0" t="str">
        <f aca="false">"INSERT INTO COTACAO (cot_id, cot_blt_id, cot_pap_id, cot_prc_comum, cot_prc_min, cot_prc_max, cot_prc_med, cot_prc_mediana) VALUES ("&amp;A365&amp;", "&amp;B365&amp;", "&amp;C365&amp;", "&amp;D365&amp;", "&amp;E365&amp;", "&amp;F365&amp;", "&amp;G365&amp;", "&amp;H365&amp;");"</f>
        <v>INSERT INTO COTACAO (cot_id, cot_blt_id, cot_pap_id, cot_prc_comum, cot_prc_min, cot_prc_max, cot_prc_med, cot_prc_mediana) VALUES (364, 46, 12, 84, 72, 84, 80, 84);</v>
      </c>
      <c r="J365" s="0" t="str">
        <f aca="false">"UPDATE COTACAO SET cot_id = "&amp;A365&amp;", cot_blt_id = "&amp;B365&amp;", cot_pap_id = "&amp;C365&amp;", cot_prc_comum = "&amp;D365&amp;", cot_prc_min = "&amp;E365&amp;", cot_prc_max = "&amp;F365&amp;", cot_prc_med = "&amp;G365&amp;", cot_prc_mediana = "&amp;H365&amp;" WHERE cot_id = "&amp;A365&amp;";"</f>
        <v>UPDATE COTACAO SET cot_id = 364, cot_blt_id = 46, cot_pap_id = 12, cot_prc_comum = 84, cot_prc_min = 72, cot_prc_max = 84, cot_prc_med = 80, cot_prc_mediana = 84 WHERE cot_id = 364;</v>
      </c>
    </row>
    <row r="366" customFormat="false" ht="14.25" hidden="false" customHeight="false" outlineLevel="0" collapsed="false">
      <c r="A366" s="0" t="n">
        <v>365</v>
      </c>
      <c r="B366" s="0" t="n">
        <f aca="false">IF('Boletins Nuppa Site'!A366&lt;&gt;0,'Boletins Nuppa Site'!A366,"NULL")</f>
        <v>46</v>
      </c>
      <c r="C366" s="0" t="n">
        <v>13</v>
      </c>
      <c r="D366" s="0" t="str">
        <f aca="false">IF('Boletins Nuppa Site'!G366&lt;&gt;0,'Boletins Nuppa Site'!G366,"NULL")</f>
        <v>NULL</v>
      </c>
      <c r="E366" s="30" t="n">
        <f aca="false">IF('Boletins Nuppa Site'!H366&lt;&gt;0,'Boletins Nuppa Site'!H366,"NULL")</f>
        <v>48</v>
      </c>
      <c r="F366" s="30" t="n">
        <f aca="false">IF('Boletins Nuppa Site'!I366&lt;&gt;0,'Boletins Nuppa Site'!I366,"NULL")</f>
        <v>78</v>
      </c>
      <c r="G366" s="0" t="str">
        <f aca="false">IF('Boletins Nuppa Site'!J366&lt;&gt;0,'Boletins Nuppa Site'!J366,"NULL")</f>
        <v>64.5</v>
      </c>
      <c r="H366" s="30" t="n">
        <f aca="false">IF('Boletins Nuppa Site'!K366&lt;&gt;0,'Boletins Nuppa Site'!K366,"NULL")</f>
        <v>66</v>
      </c>
      <c r="I366" s="0" t="str">
        <f aca="false">"INSERT INTO COTACAO (cot_id, cot_blt_id, cot_pap_id, cot_prc_comum, cot_prc_min, cot_prc_max, cot_prc_med, cot_prc_mediana) VALUES ("&amp;A366&amp;", "&amp;B366&amp;", "&amp;C366&amp;", "&amp;D366&amp;", "&amp;E366&amp;", "&amp;F366&amp;", "&amp;G366&amp;", "&amp;H366&amp;");"</f>
        <v>INSERT INTO COTACAO (cot_id, cot_blt_id, cot_pap_id, cot_prc_comum, cot_prc_min, cot_prc_max, cot_prc_med, cot_prc_mediana) VALUES (365, 46, 13, NULL, 48, 78, 64.5, 66);</v>
      </c>
      <c r="J366" s="0" t="str">
        <f aca="false">"UPDATE COTACAO SET cot_id = "&amp;A366&amp;", cot_blt_id = "&amp;B366&amp;", cot_pap_id = "&amp;C366&amp;", cot_prc_comum = "&amp;D366&amp;", cot_prc_min = "&amp;E366&amp;", cot_prc_max = "&amp;F366&amp;", cot_prc_med = "&amp;G366&amp;", cot_prc_mediana = "&amp;H366&amp;" WHERE cot_id = "&amp;A366&amp;";"</f>
        <v>UPDATE COTACAO SET cot_id = 365, cot_blt_id = 46, cot_pap_id = 13, cot_prc_comum = NULL, cot_prc_min = 48, cot_prc_max = 78, cot_prc_med = 64.5, cot_prc_mediana = 66 WHERE cot_id = 365;</v>
      </c>
    </row>
    <row r="367" customFormat="false" ht="14.25" hidden="false" customHeight="false" outlineLevel="0" collapsed="false">
      <c r="A367" s="0" t="n">
        <v>366</v>
      </c>
      <c r="B367" s="0" t="n">
        <f aca="false">IF('Boletins Nuppa Site'!A367&lt;&gt;0,'Boletins Nuppa Site'!A367,"NULL")</f>
        <v>46</v>
      </c>
      <c r="C367" s="0" t="n">
        <v>14</v>
      </c>
      <c r="D367" s="0" t="str">
        <f aca="false">IF('Boletins Nuppa Site'!G367&lt;&gt;0,'Boletins Nuppa Site'!G367,"NULL")</f>
        <v>NULL</v>
      </c>
      <c r="E367" s="30" t="n">
        <f aca="false">IF('Boletins Nuppa Site'!H367&lt;&gt;0,'Boletins Nuppa Site'!H367,"NULL")</f>
        <v>50</v>
      </c>
      <c r="F367" s="30" t="n">
        <f aca="false">IF('Boletins Nuppa Site'!I367&lt;&gt;0,'Boletins Nuppa Site'!I367,"NULL")</f>
        <v>80</v>
      </c>
      <c r="G367" s="0" t="str">
        <f aca="false">IF('Boletins Nuppa Site'!J367&lt;&gt;0,'Boletins Nuppa Site'!J367,"NULL")</f>
        <v>67.33</v>
      </c>
      <c r="H367" s="30" t="n">
        <f aca="false">IF('Boletins Nuppa Site'!K367&lt;&gt;0,'Boletins Nuppa Site'!K367,"NULL")</f>
        <v>72</v>
      </c>
      <c r="I367" s="0" t="str">
        <f aca="false">"INSERT INTO COTACAO (cot_id, cot_blt_id, cot_pap_id, cot_prc_comum, cot_prc_min, cot_prc_max, cot_prc_med, cot_prc_mediana) VALUES ("&amp;A367&amp;", "&amp;B367&amp;", "&amp;C367&amp;", "&amp;D367&amp;", "&amp;E367&amp;", "&amp;F367&amp;", "&amp;G367&amp;", "&amp;H367&amp;");"</f>
        <v>INSERT INTO COTACAO (cot_id, cot_blt_id, cot_pap_id, cot_prc_comum, cot_prc_min, cot_prc_max, cot_prc_med, cot_prc_mediana) VALUES (366, 46, 14, NULL, 50, 80, 67.33, 72);</v>
      </c>
      <c r="J367" s="0" t="str">
        <f aca="false">"UPDATE COTACAO SET cot_id = "&amp;A367&amp;", cot_blt_id = "&amp;B367&amp;", cot_pap_id = "&amp;C367&amp;", cot_prc_comum = "&amp;D367&amp;", cot_prc_min = "&amp;E367&amp;", cot_prc_max = "&amp;F367&amp;", cot_prc_med = "&amp;G367&amp;", cot_prc_mediana = "&amp;H367&amp;" WHERE cot_id = "&amp;A367&amp;";"</f>
        <v>UPDATE COTACAO SET cot_id = 366, cot_blt_id = 46, cot_pap_id = 14, cot_prc_comum = NULL, cot_prc_min = 50, cot_prc_max = 80, cot_prc_med = 67.33, cot_prc_mediana = 72 WHERE cot_id = 366;</v>
      </c>
    </row>
    <row r="368" customFormat="false" ht="14.25" hidden="false" customHeight="false" outlineLevel="0" collapsed="false">
      <c r="A368" s="0" t="n">
        <v>367</v>
      </c>
      <c r="B368" s="0" t="n">
        <f aca="false">IF('Boletins Nuppa Site'!A368&lt;&gt;0,'Boletins Nuppa Site'!A368,"NULL")</f>
        <v>46</v>
      </c>
      <c r="C368" s="0" t="n">
        <v>15</v>
      </c>
      <c r="D368" s="30" t="n">
        <f aca="false">IF('Boletins Nuppa Site'!G368&lt;&gt;0,'Boletins Nuppa Site'!G368,"NULL")</f>
        <v>50</v>
      </c>
      <c r="E368" s="30" t="n">
        <f aca="false">IF('Boletins Nuppa Site'!H368&lt;&gt;0,'Boletins Nuppa Site'!H368,"NULL")</f>
        <v>50</v>
      </c>
      <c r="F368" s="30" t="n">
        <f aca="false">IF('Boletins Nuppa Site'!I368&lt;&gt;0,'Boletins Nuppa Site'!I368,"NULL")</f>
        <v>60</v>
      </c>
      <c r="G368" s="30" t="n">
        <f aca="false">IF('Boletins Nuppa Site'!J368&lt;&gt;0,'Boletins Nuppa Site'!J368,"NULL")</f>
        <v>55</v>
      </c>
      <c r="H368" s="30" t="n">
        <f aca="false">IF('Boletins Nuppa Site'!K368&lt;&gt;0,'Boletins Nuppa Site'!K368,"NULL")</f>
        <v>55</v>
      </c>
      <c r="I368" s="0" t="str">
        <f aca="false">"INSERT INTO COTACAO (cot_id, cot_blt_id, cot_pap_id, cot_prc_comum, cot_prc_min, cot_prc_max, cot_prc_med, cot_prc_mediana) VALUES ("&amp;A368&amp;", "&amp;B368&amp;", "&amp;C368&amp;", "&amp;D368&amp;", "&amp;E368&amp;", "&amp;F368&amp;", "&amp;G368&amp;", "&amp;H368&amp;");"</f>
        <v>INSERT INTO COTACAO (cot_id, cot_blt_id, cot_pap_id, cot_prc_comum, cot_prc_min, cot_prc_max, cot_prc_med, cot_prc_mediana) VALUES (367, 46, 15, 50, 50, 60, 55, 55);</v>
      </c>
      <c r="J368" s="0" t="str">
        <f aca="false">"UPDATE COTACAO SET cot_id = "&amp;A368&amp;", cot_blt_id = "&amp;B368&amp;", cot_pap_id = "&amp;C368&amp;", cot_prc_comum = "&amp;D368&amp;", cot_prc_min = "&amp;E368&amp;", cot_prc_max = "&amp;F368&amp;", cot_prc_med = "&amp;G368&amp;", cot_prc_mediana = "&amp;H368&amp;" WHERE cot_id = "&amp;A368&amp;";"</f>
        <v>UPDATE COTACAO SET cot_id = 367, cot_blt_id = 46, cot_pap_id = 15, cot_prc_comum = 50, cot_prc_min = 50, cot_prc_max = 60, cot_prc_med = 55, cot_prc_mediana = 55 WHERE cot_id = 367;</v>
      </c>
    </row>
    <row r="369" customFormat="false" ht="14.25" hidden="false" customHeight="false" outlineLevel="0" collapsed="false">
      <c r="A369" s="0" t="n">
        <v>368</v>
      </c>
      <c r="B369" s="0" t="n">
        <f aca="false">IF('Boletins Nuppa Site'!A369&lt;&gt;0,'Boletins Nuppa Site'!A369,"NULL")</f>
        <v>46</v>
      </c>
      <c r="C369" s="0" t="n">
        <v>16</v>
      </c>
      <c r="D369" s="0" t="str">
        <f aca="false">IF('Boletins Nuppa Site'!G369&lt;&gt;0,'Boletins Nuppa Site'!G369,"NULL")</f>
        <v>NULL</v>
      </c>
      <c r="E369" s="30" t="n">
        <f aca="false">IF('Boletins Nuppa Site'!H369&lt;&gt;0,'Boletins Nuppa Site'!H369,"NULL")</f>
        <v>42</v>
      </c>
      <c r="F369" s="30" t="n">
        <f aca="false">IF('Boletins Nuppa Site'!I369&lt;&gt;0,'Boletins Nuppa Site'!I369,"NULL")</f>
        <v>54</v>
      </c>
      <c r="G369" s="30" t="n">
        <f aca="false">IF('Boletins Nuppa Site'!J369&lt;&gt;0,'Boletins Nuppa Site'!J369,"NULL")</f>
        <v>48</v>
      </c>
      <c r="H369" s="30" t="n">
        <f aca="false">IF('Boletins Nuppa Site'!K369&lt;&gt;0,'Boletins Nuppa Site'!K369,"NULL")</f>
        <v>48</v>
      </c>
      <c r="I369" s="0" t="str">
        <f aca="false">"INSERT INTO COTACAO (cot_id, cot_blt_id, cot_pap_id, cot_prc_comum, cot_prc_min, cot_prc_max, cot_prc_med, cot_prc_mediana) VALUES ("&amp;A369&amp;", "&amp;B369&amp;", "&amp;C369&amp;", "&amp;D369&amp;", "&amp;E369&amp;", "&amp;F369&amp;", "&amp;G369&amp;", "&amp;H369&amp;");"</f>
        <v>INSERT INTO COTACAO (cot_id, cot_blt_id, cot_pap_id, cot_prc_comum, cot_prc_min, cot_prc_max, cot_prc_med, cot_prc_mediana) VALUES (368, 46, 16, NULL, 42, 54, 48, 48);</v>
      </c>
      <c r="J369" s="0" t="str">
        <f aca="false">"UPDATE COTACAO SET cot_id = "&amp;A369&amp;", cot_blt_id = "&amp;B369&amp;", cot_pap_id = "&amp;C369&amp;", cot_prc_comum = "&amp;D369&amp;", cot_prc_min = "&amp;E369&amp;", cot_prc_max = "&amp;F369&amp;", cot_prc_med = "&amp;G369&amp;", cot_prc_mediana = "&amp;H369&amp;" WHERE cot_id = "&amp;A369&amp;";"</f>
        <v>UPDATE COTACAO SET cot_id = 368, cot_blt_id = 46, cot_pap_id = 16, cot_prc_comum = NULL, cot_prc_min = 42, cot_prc_max = 54, cot_prc_med = 48, cot_prc_mediana = 48 WHERE cot_id = 368;</v>
      </c>
    </row>
    <row r="370" customFormat="false" ht="14.25" hidden="false" customHeight="false" outlineLevel="0" collapsed="false">
      <c r="A370" s="0" t="n">
        <v>369</v>
      </c>
      <c r="B370" s="0" t="n">
        <f aca="false">IF('Boletins Nuppa Site'!A370&lt;&gt;0,'Boletins Nuppa Site'!A370,"NULL")</f>
        <v>46</v>
      </c>
      <c r="C370" s="0" t="n">
        <v>17</v>
      </c>
      <c r="D370" s="30" t="n">
        <f aca="false">IF('Boletins Nuppa Site'!G370&lt;&gt;0,'Boletins Nuppa Site'!G370,"NULL")</f>
        <v>5</v>
      </c>
      <c r="E370" s="30" t="n">
        <f aca="false">IF('Boletins Nuppa Site'!H370&lt;&gt;0,'Boletins Nuppa Site'!H370,"NULL")</f>
        <v>4</v>
      </c>
      <c r="F370" s="30" t="n">
        <f aca="false">IF('Boletins Nuppa Site'!I370&lt;&gt;0,'Boletins Nuppa Site'!I370,"NULL")</f>
        <v>5</v>
      </c>
      <c r="G370" s="0" t="str">
        <f aca="false">IF('Boletins Nuppa Site'!J370&lt;&gt;0,'Boletins Nuppa Site'!J370,"NULL")</f>
        <v>4.63</v>
      </c>
      <c r="H370" s="0" t="str">
        <f aca="false">IF('Boletins Nuppa Site'!K370&lt;&gt;0,'Boletins Nuppa Site'!K370,"NULL")</f>
        <v>4.75</v>
      </c>
      <c r="I370" s="0" t="str">
        <f aca="false">"INSERT INTO COTACAO (cot_id, cot_blt_id, cot_pap_id, cot_prc_comum, cot_prc_min, cot_prc_max, cot_prc_med, cot_prc_mediana) VALUES ("&amp;A370&amp;", "&amp;B370&amp;", "&amp;C370&amp;", "&amp;D370&amp;", "&amp;E370&amp;", "&amp;F370&amp;", "&amp;G370&amp;", "&amp;H370&amp;");"</f>
        <v>INSERT INTO COTACAO (cot_id, cot_blt_id, cot_pap_id, cot_prc_comum, cot_prc_min, cot_prc_max, cot_prc_med, cot_prc_mediana) VALUES (369, 46, 17, 5, 4, 5, 4.63, 4.75);</v>
      </c>
      <c r="J370" s="0" t="str">
        <f aca="false">"UPDATE COTACAO SET cot_id = "&amp;A370&amp;", cot_blt_id = "&amp;B370&amp;", cot_pap_id = "&amp;C370&amp;", cot_prc_comum = "&amp;D370&amp;", cot_prc_min = "&amp;E370&amp;", cot_prc_max = "&amp;F370&amp;", cot_prc_med = "&amp;G370&amp;", cot_prc_mediana = "&amp;H370&amp;" WHERE cot_id = "&amp;A370&amp;";"</f>
        <v>UPDATE COTACAO SET cot_id = 369, cot_blt_id = 46, cot_pap_id = 17, cot_prc_comum = 5, cot_prc_min = 4, cot_prc_max = 5, cot_prc_med = 4.63, cot_prc_mediana = 4.75 WHERE cot_id = 369;</v>
      </c>
    </row>
    <row r="371" customFormat="false" ht="14.25" hidden="false" customHeight="false" outlineLevel="0" collapsed="false">
      <c r="A371" s="0" t="n">
        <v>370</v>
      </c>
      <c r="B371" s="0" t="n">
        <f aca="false">IF('Boletins Nuppa Site'!A371&lt;&gt;0,'Boletins Nuppa Site'!A371,"NULL")</f>
        <v>46</v>
      </c>
      <c r="C371" s="0" t="n">
        <v>18</v>
      </c>
      <c r="D371" s="30" t="n">
        <f aca="false">IF('Boletins Nuppa Site'!G371&lt;&gt;0,'Boletins Nuppa Site'!G371,"NULL")</f>
        <v>20</v>
      </c>
      <c r="E371" s="30" t="n">
        <f aca="false">IF('Boletins Nuppa Site'!H371&lt;&gt;0,'Boletins Nuppa Site'!H371,"NULL")</f>
        <v>15</v>
      </c>
      <c r="F371" s="30" t="n">
        <f aca="false">IF('Boletins Nuppa Site'!I371&lt;&gt;0,'Boletins Nuppa Site'!I371,"NULL")</f>
        <v>25</v>
      </c>
      <c r="G371" s="0" t="str">
        <f aca="false">IF('Boletins Nuppa Site'!J371&lt;&gt;0,'Boletins Nuppa Site'!J371,"NULL")</f>
        <v>20.83</v>
      </c>
      <c r="H371" s="30" t="n">
        <f aca="false">IF('Boletins Nuppa Site'!K371&lt;&gt;0,'Boletins Nuppa Site'!K371,"NULL")</f>
        <v>20</v>
      </c>
      <c r="I371" s="0" t="str">
        <f aca="false">"INSERT INTO COTACAO (cot_id, cot_blt_id, cot_pap_id, cot_prc_comum, cot_prc_min, cot_prc_max, cot_prc_med, cot_prc_mediana) VALUES ("&amp;A371&amp;", "&amp;B371&amp;", "&amp;C371&amp;", "&amp;D371&amp;", "&amp;E371&amp;", "&amp;F371&amp;", "&amp;G371&amp;", "&amp;H371&amp;");"</f>
        <v>INSERT INTO COTACAO (cot_id, cot_blt_id, cot_pap_id, cot_prc_comum, cot_prc_min, cot_prc_max, cot_prc_med, cot_prc_mediana) VALUES (370, 46, 18, 20, 15, 25, 20.83, 20);</v>
      </c>
      <c r="J371" s="0" t="str">
        <f aca="false">"UPDATE COTACAO SET cot_id = "&amp;A371&amp;", cot_blt_id = "&amp;B371&amp;", cot_pap_id = "&amp;C371&amp;", cot_prc_comum = "&amp;D371&amp;", cot_prc_min = "&amp;E371&amp;", cot_prc_max = "&amp;F371&amp;", cot_prc_med = "&amp;G371&amp;", cot_prc_mediana = "&amp;H371&amp;" WHERE cot_id = "&amp;A371&amp;";"</f>
        <v>UPDATE COTACAO SET cot_id = 370, cot_blt_id = 46, cot_pap_id = 18, cot_prc_comum = 20, cot_prc_min = 15, cot_prc_max = 25, cot_prc_med = 20.83, cot_prc_mediana = 20 WHERE cot_id = 370;</v>
      </c>
    </row>
    <row r="372" customFormat="false" ht="14.25" hidden="false" customHeight="false" outlineLevel="0" collapsed="false">
      <c r="A372" s="0" t="n">
        <v>371</v>
      </c>
      <c r="B372" s="0" t="n">
        <f aca="false">IF('Boletins Nuppa Site'!A372&lt;&gt;0,'Boletins Nuppa Site'!A372,"NULL")</f>
        <v>46</v>
      </c>
      <c r="C372" s="0" t="n">
        <v>19</v>
      </c>
      <c r="D372" s="0" t="str">
        <f aca="false">IF('Boletins Nuppa Site'!G372&lt;&gt;0,'Boletins Nuppa Site'!G372,"NULL")</f>
        <v>NULL</v>
      </c>
      <c r="E372" s="30" t="n">
        <f aca="false">IF('Boletins Nuppa Site'!H372&lt;&gt;0,'Boletins Nuppa Site'!H372,"NULL")</f>
        <v>30</v>
      </c>
      <c r="F372" s="30" t="n">
        <f aca="false">IF('Boletins Nuppa Site'!I372&lt;&gt;0,'Boletins Nuppa Site'!I372,"NULL")</f>
        <v>45</v>
      </c>
      <c r="G372" s="0" t="str">
        <f aca="false">IF('Boletins Nuppa Site'!J372&lt;&gt;0,'Boletins Nuppa Site'!J372,"NULL")</f>
        <v>37.5</v>
      </c>
      <c r="H372" s="0" t="str">
        <f aca="false">IF('Boletins Nuppa Site'!K372&lt;&gt;0,'Boletins Nuppa Site'!K372,"NULL")</f>
        <v>37.5</v>
      </c>
      <c r="I372" s="0" t="str">
        <f aca="false">"INSERT INTO COTACAO (cot_id, cot_blt_id, cot_pap_id, cot_prc_comum, cot_prc_min, cot_prc_max, cot_prc_med, cot_prc_mediana) VALUES ("&amp;A372&amp;", "&amp;B372&amp;", "&amp;C372&amp;", "&amp;D372&amp;", "&amp;E372&amp;", "&amp;F372&amp;", "&amp;G372&amp;", "&amp;H372&amp;");"</f>
        <v>INSERT INTO COTACAO (cot_id, cot_blt_id, cot_pap_id, cot_prc_comum, cot_prc_min, cot_prc_max, cot_prc_med, cot_prc_mediana) VALUES (371, 46, 19, NULL, 30, 45, 37.5, 37.5);</v>
      </c>
      <c r="J372" s="0" t="str">
        <f aca="false">"UPDATE COTACAO SET cot_id = "&amp;A372&amp;", cot_blt_id = "&amp;B372&amp;", cot_pap_id = "&amp;C372&amp;", cot_prc_comum = "&amp;D372&amp;", cot_prc_min = "&amp;E372&amp;", cot_prc_max = "&amp;F372&amp;", cot_prc_med = "&amp;G372&amp;", cot_prc_mediana = "&amp;H372&amp;" WHERE cot_id = "&amp;A372&amp;";"</f>
        <v>UPDATE COTACAO SET cot_id = 371, cot_blt_id = 46, cot_pap_id = 19, cot_prc_comum = NULL, cot_prc_min = 30, cot_prc_max = 45, cot_prc_med = 37.5, cot_prc_mediana = 37.5 WHERE cot_id = 371;</v>
      </c>
    </row>
    <row r="373" customFormat="false" ht="14.25" hidden="false" customHeight="false" outlineLevel="0" collapsed="false">
      <c r="A373" s="0" t="n">
        <v>372</v>
      </c>
      <c r="B373" s="0" t="n">
        <f aca="false">IF('Boletins Nuppa Site'!A373&lt;&gt;0,'Boletins Nuppa Site'!A373,"NULL")</f>
        <v>46</v>
      </c>
      <c r="C373" s="0" t="n">
        <v>20</v>
      </c>
      <c r="D373" s="0" t="str">
        <f aca="false">IF('Boletins Nuppa Site'!G373&lt;&gt;0,'Boletins Nuppa Site'!G373,"NULL")</f>
        <v>NULL</v>
      </c>
      <c r="E373" s="30" t="n">
        <f aca="false">IF('Boletins Nuppa Site'!H373&lt;&gt;0,'Boletins Nuppa Site'!H373,"NULL")</f>
        <v>100</v>
      </c>
      <c r="F373" s="30" t="n">
        <f aca="false">IF('Boletins Nuppa Site'!I373&lt;&gt;0,'Boletins Nuppa Site'!I373,"NULL")</f>
        <v>105</v>
      </c>
      <c r="G373" s="0" t="str">
        <f aca="false">IF('Boletins Nuppa Site'!J373&lt;&gt;0,'Boletins Nuppa Site'!J373,"NULL")</f>
        <v>102.5</v>
      </c>
      <c r="H373" s="0" t="str">
        <f aca="false">IF('Boletins Nuppa Site'!K373&lt;&gt;0,'Boletins Nuppa Site'!K373,"NULL")</f>
        <v>102.5</v>
      </c>
      <c r="I373" s="0" t="str">
        <f aca="false">"INSERT INTO COTACAO (cot_id, cot_blt_id, cot_pap_id, cot_prc_comum, cot_prc_min, cot_prc_max, cot_prc_med, cot_prc_mediana) VALUES ("&amp;A373&amp;", "&amp;B373&amp;", "&amp;C373&amp;", "&amp;D373&amp;", "&amp;E373&amp;", "&amp;F373&amp;", "&amp;G373&amp;", "&amp;H373&amp;");"</f>
        <v>INSERT INTO COTACAO (cot_id, cot_blt_id, cot_pap_id, cot_prc_comum, cot_prc_min, cot_prc_max, cot_prc_med, cot_prc_mediana) VALUES (372, 46, 20, NULL, 100, 105, 102.5, 102.5);</v>
      </c>
      <c r="J373" s="0" t="str">
        <f aca="false">"UPDATE COTACAO SET cot_id = "&amp;A373&amp;", cot_blt_id = "&amp;B373&amp;", cot_pap_id = "&amp;C373&amp;", cot_prc_comum = "&amp;D373&amp;", cot_prc_min = "&amp;E373&amp;", cot_prc_max = "&amp;F373&amp;", cot_prc_med = "&amp;G373&amp;", cot_prc_mediana = "&amp;H373&amp;" WHERE cot_id = "&amp;A373&amp;";"</f>
        <v>UPDATE COTACAO SET cot_id = 372, cot_blt_id = 46, cot_pap_id = 20, cot_prc_comum = NULL, cot_prc_min = 100, cot_prc_max = 105, cot_prc_med = 102.5, cot_prc_mediana = 102.5 WHERE cot_id = 372;</v>
      </c>
    </row>
    <row r="374" customFormat="false" ht="14.25" hidden="false" customHeight="false" outlineLevel="0" collapsed="false">
      <c r="A374" s="0" t="n">
        <v>373</v>
      </c>
      <c r="B374" s="0" t="n">
        <f aca="false">IF('Boletins Nuppa Site'!A374&lt;&gt;0,'Boletins Nuppa Site'!A374,"NULL")</f>
        <v>46</v>
      </c>
      <c r="C374" s="0" t="n">
        <v>21</v>
      </c>
      <c r="D374" s="30" t="n">
        <f aca="false">IF('Boletins Nuppa Site'!G374&lt;&gt;0,'Boletins Nuppa Site'!G374,"NULL")</f>
        <v>70</v>
      </c>
      <c r="E374" s="30" t="n">
        <f aca="false">IF('Boletins Nuppa Site'!H374&lt;&gt;0,'Boletins Nuppa Site'!H374,"NULL")</f>
        <v>50</v>
      </c>
      <c r="F374" s="30" t="n">
        <f aca="false">IF('Boletins Nuppa Site'!I374&lt;&gt;0,'Boletins Nuppa Site'!I374,"NULL")</f>
        <v>80</v>
      </c>
      <c r="G374" s="0" t="str">
        <f aca="false">IF('Boletins Nuppa Site'!J374&lt;&gt;0,'Boletins Nuppa Site'!J374,"NULL")</f>
        <v>67.5</v>
      </c>
      <c r="H374" s="30" t="n">
        <f aca="false">IF('Boletins Nuppa Site'!K374&lt;&gt;0,'Boletins Nuppa Site'!K374,"NULL")</f>
        <v>70</v>
      </c>
      <c r="I374" s="0" t="str">
        <f aca="false">"INSERT INTO COTACAO (cot_id, cot_blt_id, cot_pap_id, cot_prc_comum, cot_prc_min, cot_prc_max, cot_prc_med, cot_prc_mediana) VALUES ("&amp;A374&amp;", "&amp;B374&amp;", "&amp;C374&amp;", "&amp;D374&amp;", "&amp;E374&amp;", "&amp;F374&amp;", "&amp;G374&amp;", "&amp;H374&amp;");"</f>
        <v>INSERT INTO COTACAO (cot_id, cot_blt_id, cot_pap_id, cot_prc_comum, cot_prc_min, cot_prc_max, cot_prc_med, cot_prc_mediana) VALUES (373, 46, 21, 70, 50, 80, 67.5, 70);</v>
      </c>
      <c r="J374" s="0" t="str">
        <f aca="false">"UPDATE COTACAO SET cot_id = "&amp;A374&amp;", cot_blt_id = "&amp;B374&amp;", cot_pap_id = "&amp;C374&amp;", cot_prc_comum = "&amp;D374&amp;", cot_prc_min = "&amp;E374&amp;", cot_prc_max = "&amp;F374&amp;", cot_prc_med = "&amp;G374&amp;", cot_prc_mediana = "&amp;H374&amp;" WHERE cot_id = "&amp;A374&amp;";"</f>
        <v>UPDATE COTACAO SET cot_id = 373, cot_blt_id = 46, cot_pap_id = 21, cot_prc_comum = 70, cot_prc_min = 50, cot_prc_max = 80, cot_prc_med = 67.5, cot_prc_mediana = 70 WHERE cot_id = 373;</v>
      </c>
    </row>
    <row r="375" customFormat="false" ht="14.25" hidden="false" customHeight="false" outlineLevel="0" collapsed="false">
      <c r="A375" s="0" t="n">
        <v>374</v>
      </c>
      <c r="B375" s="0" t="n">
        <f aca="false">IF('Boletins Nuppa Site'!A375&lt;&gt;0,'Boletins Nuppa Site'!A375,"NULL")</f>
        <v>46</v>
      </c>
      <c r="C375" s="0" t="n">
        <v>22</v>
      </c>
      <c r="D375" s="30" t="n">
        <f aca="false">IF('Boletins Nuppa Site'!G375&lt;&gt;0,'Boletins Nuppa Site'!G375,"NULL")</f>
        <v>70</v>
      </c>
      <c r="E375" s="30" t="n">
        <f aca="false">IF('Boletins Nuppa Site'!H375&lt;&gt;0,'Boletins Nuppa Site'!H375,"NULL")</f>
        <v>50</v>
      </c>
      <c r="F375" s="30" t="n">
        <f aca="false">IF('Boletins Nuppa Site'!I375&lt;&gt;0,'Boletins Nuppa Site'!I375,"NULL")</f>
        <v>75</v>
      </c>
      <c r="G375" s="30" t="n">
        <f aca="false">IF('Boletins Nuppa Site'!J375&lt;&gt;0,'Boletins Nuppa Site'!J375,"NULL")</f>
        <v>65</v>
      </c>
      <c r="H375" s="30" t="n">
        <f aca="false">IF('Boletins Nuppa Site'!K375&lt;&gt;0,'Boletins Nuppa Site'!K375,"NULL")</f>
        <v>70</v>
      </c>
      <c r="I375" s="0" t="str">
        <f aca="false">"INSERT INTO COTACAO (cot_id, cot_blt_id, cot_pap_id, cot_prc_comum, cot_prc_min, cot_prc_max, cot_prc_med, cot_prc_mediana) VALUES ("&amp;A375&amp;", "&amp;B375&amp;", "&amp;C375&amp;", "&amp;D375&amp;", "&amp;E375&amp;", "&amp;F375&amp;", "&amp;G375&amp;", "&amp;H375&amp;");"</f>
        <v>INSERT INTO COTACAO (cot_id, cot_blt_id, cot_pap_id, cot_prc_comum, cot_prc_min, cot_prc_max, cot_prc_med, cot_prc_mediana) VALUES (374, 46, 22, 70, 50, 75, 65, 70);</v>
      </c>
      <c r="J375" s="0" t="str">
        <f aca="false">"UPDATE COTACAO SET cot_id = "&amp;A375&amp;", cot_blt_id = "&amp;B375&amp;", cot_pap_id = "&amp;C375&amp;", cot_prc_comum = "&amp;D375&amp;", cot_prc_min = "&amp;E375&amp;", cot_prc_max = "&amp;F375&amp;", cot_prc_med = "&amp;G375&amp;", cot_prc_mediana = "&amp;H375&amp;" WHERE cot_id = "&amp;A375&amp;";"</f>
        <v>UPDATE COTACAO SET cot_id = 374, cot_blt_id = 46, cot_pap_id = 22, cot_prc_comum = 70, cot_prc_min = 50, cot_prc_max = 75, cot_prc_med = 65, cot_prc_mediana = 70 WHERE cot_id = 374;</v>
      </c>
    </row>
    <row r="376" customFormat="false" ht="14.25" hidden="false" customHeight="false" outlineLevel="0" collapsed="false">
      <c r="A376" s="0" t="n">
        <v>375</v>
      </c>
      <c r="B376" s="0" t="n">
        <f aca="false">IF('Boletins Nuppa Site'!A376&lt;&gt;0,'Boletins Nuppa Site'!A376,"NULL")</f>
        <v>46</v>
      </c>
      <c r="C376" s="0" t="n">
        <v>23</v>
      </c>
      <c r="D376" s="30" t="n">
        <f aca="false">IF('Boletins Nuppa Site'!G376&lt;&gt;0,'Boletins Nuppa Site'!G376,"NULL")</f>
        <v>35</v>
      </c>
      <c r="E376" s="30" t="n">
        <f aca="false">IF('Boletins Nuppa Site'!H376&lt;&gt;0,'Boletins Nuppa Site'!H376,"NULL")</f>
        <v>35</v>
      </c>
      <c r="F376" s="30" t="n">
        <f aca="false">IF('Boletins Nuppa Site'!I376&lt;&gt;0,'Boletins Nuppa Site'!I376,"NULL")</f>
        <v>50</v>
      </c>
      <c r="G376" s="0" t="str">
        <f aca="false">IF('Boletins Nuppa Site'!J376&lt;&gt;0,'Boletins Nuppa Site'!J376,"NULL")</f>
        <v>42.5</v>
      </c>
      <c r="H376" s="0" t="str">
        <f aca="false">IF('Boletins Nuppa Site'!K376&lt;&gt;0,'Boletins Nuppa Site'!K376,"NULL")</f>
        <v>42.5</v>
      </c>
      <c r="I376" s="0" t="str">
        <f aca="false">"INSERT INTO COTACAO (cot_id, cot_blt_id, cot_pap_id, cot_prc_comum, cot_prc_min, cot_prc_max, cot_prc_med, cot_prc_mediana) VALUES ("&amp;A376&amp;", "&amp;B376&amp;", "&amp;C376&amp;", "&amp;D376&amp;", "&amp;E376&amp;", "&amp;F376&amp;", "&amp;G376&amp;", "&amp;H376&amp;");"</f>
        <v>INSERT INTO COTACAO (cot_id, cot_blt_id, cot_pap_id, cot_prc_comum, cot_prc_min, cot_prc_max, cot_prc_med, cot_prc_mediana) VALUES (375, 46, 23, 35, 35, 50, 42.5, 42.5);</v>
      </c>
      <c r="J376" s="0" t="str">
        <f aca="false">"UPDATE COTACAO SET cot_id = "&amp;A376&amp;", cot_blt_id = "&amp;B376&amp;", cot_pap_id = "&amp;C376&amp;", cot_prc_comum = "&amp;D376&amp;", cot_prc_min = "&amp;E376&amp;", cot_prc_max = "&amp;F376&amp;", cot_prc_med = "&amp;G376&amp;", cot_prc_mediana = "&amp;H376&amp;" WHERE cot_id = "&amp;A376&amp;";"</f>
        <v>UPDATE COTACAO SET cot_id = 375, cot_blt_id = 46, cot_pap_id = 23, cot_prc_comum = 35, cot_prc_min = 35, cot_prc_max = 50, cot_prc_med = 42.5, cot_prc_mediana = 42.5 WHERE cot_id = 375;</v>
      </c>
    </row>
    <row r="377" customFormat="false" ht="14.25" hidden="false" customHeight="false" outlineLevel="0" collapsed="false">
      <c r="A377" s="0" t="n">
        <v>376</v>
      </c>
      <c r="B377" s="0" t="n">
        <f aca="false">IF('Boletins Nuppa Site'!A377&lt;&gt;0,'Boletins Nuppa Site'!A377,"NULL")</f>
        <v>46</v>
      </c>
      <c r="C377" s="0" t="n">
        <v>24</v>
      </c>
      <c r="D377" s="0" t="str">
        <f aca="false">IF('Boletins Nuppa Site'!G377&lt;&gt;0,'Boletins Nuppa Site'!G377,"NULL")</f>
        <v>NULL</v>
      </c>
      <c r="E377" s="30" t="n">
        <f aca="false">IF('Boletins Nuppa Site'!H377&lt;&gt;0,'Boletins Nuppa Site'!H377,"NULL")</f>
        <v>100</v>
      </c>
      <c r="F377" s="30" t="n">
        <f aca="false">IF('Boletins Nuppa Site'!I377&lt;&gt;0,'Boletins Nuppa Site'!I377,"NULL")</f>
        <v>120</v>
      </c>
      <c r="G377" s="30" t="n">
        <f aca="false">IF('Boletins Nuppa Site'!J377&lt;&gt;0,'Boletins Nuppa Site'!J377,"NULL")</f>
        <v>110</v>
      </c>
      <c r="H377" s="30" t="n">
        <f aca="false">IF('Boletins Nuppa Site'!K377&lt;&gt;0,'Boletins Nuppa Site'!K377,"NULL")</f>
        <v>110</v>
      </c>
      <c r="I377" s="0" t="str">
        <f aca="false">"INSERT INTO COTACAO (cot_id, cot_blt_id, cot_pap_id, cot_prc_comum, cot_prc_min, cot_prc_max, cot_prc_med, cot_prc_mediana) VALUES ("&amp;A377&amp;", "&amp;B377&amp;", "&amp;C377&amp;", "&amp;D377&amp;", "&amp;E377&amp;", "&amp;F377&amp;", "&amp;G377&amp;", "&amp;H377&amp;");"</f>
        <v>INSERT INTO COTACAO (cot_id, cot_blt_id, cot_pap_id, cot_prc_comum, cot_prc_min, cot_prc_max, cot_prc_med, cot_prc_mediana) VALUES (376, 46, 24, NULL, 100, 120, 110, 110);</v>
      </c>
      <c r="J377" s="0" t="str">
        <f aca="false">"UPDATE COTACAO SET cot_id = "&amp;A377&amp;", cot_blt_id = "&amp;B377&amp;", cot_pap_id = "&amp;C377&amp;", cot_prc_comum = "&amp;D377&amp;", cot_prc_min = "&amp;E377&amp;", cot_prc_max = "&amp;F377&amp;", cot_prc_med = "&amp;G377&amp;", cot_prc_mediana = "&amp;H377&amp;" WHERE cot_id = "&amp;A377&amp;";"</f>
        <v>UPDATE COTACAO SET cot_id = 376, cot_blt_id = 46, cot_pap_id = 24, cot_prc_comum = NULL, cot_prc_min = 100, cot_prc_max = 120, cot_prc_med = 110, cot_prc_mediana = 110 WHERE cot_id = 376;</v>
      </c>
    </row>
    <row r="378" customFormat="false" ht="14.25" hidden="false" customHeight="false" outlineLevel="0" collapsed="false">
      <c r="A378" s="0" t="n">
        <v>377</v>
      </c>
      <c r="B378" s="0" t="n">
        <f aca="false">IF('Boletins Nuppa Site'!A378&lt;&gt;0,'Boletins Nuppa Site'!A378,"NULL")</f>
        <v>46</v>
      </c>
      <c r="C378" s="0" t="n">
        <v>25</v>
      </c>
      <c r="D378" s="30" t="n">
        <f aca="false">IF('Boletins Nuppa Site'!G378&lt;&gt;0,'Boletins Nuppa Site'!G378,"NULL")</f>
        <v>100</v>
      </c>
      <c r="E378" s="30" t="n">
        <f aca="false">IF('Boletins Nuppa Site'!H378&lt;&gt;0,'Boletins Nuppa Site'!H378,"NULL")</f>
        <v>70</v>
      </c>
      <c r="F378" s="30" t="n">
        <f aca="false">IF('Boletins Nuppa Site'!I378&lt;&gt;0,'Boletins Nuppa Site'!I378,"NULL")</f>
        <v>130</v>
      </c>
      <c r="G378" s="30" t="n">
        <f aca="false">IF('Boletins Nuppa Site'!J378&lt;&gt;0,'Boletins Nuppa Site'!J378,"NULL")</f>
        <v>106</v>
      </c>
      <c r="H378" s="30" t="n">
        <f aca="false">IF('Boletins Nuppa Site'!K378&lt;&gt;0,'Boletins Nuppa Site'!K378,"NULL")</f>
        <v>100</v>
      </c>
      <c r="I378" s="0" t="str">
        <f aca="false">"INSERT INTO COTACAO (cot_id, cot_blt_id, cot_pap_id, cot_prc_comum, cot_prc_min, cot_prc_max, cot_prc_med, cot_prc_mediana) VALUES ("&amp;A378&amp;", "&amp;B378&amp;", "&amp;C378&amp;", "&amp;D378&amp;", "&amp;E378&amp;", "&amp;F378&amp;", "&amp;G378&amp;", "&amp;H378&amp;");"</f>
        <v>INSERT INTO COTACAO (cot_id, cot_blt_id, cot_pap_id, cot_prc_comum, cot_prc_min, cot_prc_max, cot_prc_med, cot_prc_mediana) VALUES (377, 46, 25, 100, 70, 130, 106, 100);</v>
      </c>
      <c r="J378" s="0" t="str">
        <f aca="false">"UPDATE COTACAO SET cot_id = "&amp;A378&amp;", cot_blt_id = "&amp;B378&amp;", cot_pap_id = "&amp;C378&amp;", cot_prc_comum = "&amp;D378&amp;", cot_prc_min = "&amp;E378&amp;", cot_prc_max = "&amp;F378&amp;", cot_prc_med = "&amp;G378&amp;", cot_prc_mediana = "&amp;H378&amp;" WHERE cot_id = "&amp;A378&amp;";"</f>
        <v>UPDATE COTACAO SET cot_id = 377, cot_blt_id = 46, cot_pap_id = 25, cot_prc_comum = 100, cot_prc_min = 70, cot_prc_max = 130, cot_prc_med = 106, cot_prc_mediana = 100 WHERE cot_id = 377;</v>
      </c>
    </row>
    <row r="379" customFormat="false" ht="14.25" hidden="false" customHeight="false" outlineLevel="0" collapsed="false">
      <c r="A379" s="0" t="n">
        <v>378</v>
      </c>
      <c r="B379" s="0" t="n">
        <f aca="false">IF('Boletins Nuppa Site'!A379&lt;&gt;0,'Boletins Nuppa Site'!A379,"NULL")</f>
        <v>46</v>
      </c>
      <c r="C379" s="0" t="n">
        <v>26</v>
      </c>
      <c r="D379" s="0" t="str">
        <f aca="false">IF('Boletins Nuppa Site'!G379&lt;&gt;0,'Boletins Nuppa Site'!G379,"NULL")</f>
        <v>NULL</v>
      </c>
      <c r="E379" s="30" t="n">
        <f aca="false">IF('Boletins Nuppa Site'!H379&lt;&gt;0,'Boletins Nuppa Site'!H379,"NULL")</f>
        <v>60</v>
      </c>
      <c r="F379" s="30" t="n">
        <f aca="false">IF('Boletins Nuppa Site'!I379&lt;&gt;0,'Boletins Nuppa Site'!I379,"NULL")</f>
        <v>140</v>
      </c>
      <c r="G379" s="0" t="str">
        <f aca="false">IF('Boletins Nuppa Site'!J379&lt;&gt;0,'Boletins Nuppa Site'!J379,"NULL")</f>
        <v>96.67</v>
      </c>
      <c r="H379" s="30" t="n">
        <f aca="false">IF('Boletins Nuppa Site'!K379&lt;&gt;0,'Boletins Nuppa Site'!K379,"NULL")</f>
        <v>90</v>
      </c>
      <c r="I379" s="0" t="str">
        <f aca="false">"INSERT INTO COTACAO (cot_id, cot_blt_id, cot_pap_id, cot_prc_comum, cot_prc_min, cot_prc_max, cot_prc_med, cot_prc_mediana) VALUES ("&amp;A379&amp;", "&amp;B379&amp;", "&amp;C379&amp;", "&amp;D379&amp;", "&amp;E379&amp;", "&amp;F379&amp;", "&amp;G379&amp;", "&amp;H379&amp;");"</f>
        <v>INSERT INTO COTACAO (cot_id, cot_blt_id, cot_pap_id, cot_prc_comum, cot_prc_min, cot_prc_max, cot_prc_med, cot_prc_mediana) VALUES (378, 46, 26, NULL, 60, 140, 96.67, 90);</v>
      </c>
      <c r="J379" s="0" t="str">
        <f aca="false">"UPDATE COTACAO SET cot_id = "&amp;A379&amp;", cot_blt_id = "&amp;B379&amp;", cot_pap_id = "&amp;C379&amp;", cot_prc_comum = "&amp;D379&amp;", cot_prc_min = "&amp;E379&amp;", cot_prc_max = "&amp;F379&amp;", cot_prc_med = "&amp;G379&amp;", cot_prc_mediana = "&amp;H379&amp;" WHERE cot_id = "&amp;A379&amp;";"</f>
        <v>UPDATE COTACAO SET cot_id = 378, cot_blt_id = 46, cot_pap_id = 26, cot_prc_comum = NULL, cot_prc_min = 60, cot_prc_max = 140, cot_prc_med = 96.67, cot_prc_mediana = 90 WHERE cot_id = 378;</v>
      </c>
    </row>
    <row r="380" customFormat="false" ht="14.25" hidden="false" customHeight="false" outlineLevel="0" collapsed="false">
      <c r="A380" s="0" t="n">
        <v>379</v>
      </c>
      <c r="B380" s="0" t="n">
        <f aca="false">IF('Boletins Nuppa Site'!A380&lt;&gt;0,'Boletins Nuppa Site'!A380,"NULL")</f>
        <v>46</v>
      </c>
      <c r="C380" s="0" t="n">
        <v>27</v>
      </c>
      <c r="D380" s="0" t="str">
        <f aca="false">IF('Boletins Nuppa Site'!G380&lt;&gt;0,'Boletins Nuppa Site'!G380,"NULL")</f>
        <v>NULL</v>
      </c>
      <c r="E380" s="30" t="n">
        <f aca="false">IF('Boletins Nuppa Site'!H380&lt;&gt;0,'Boletins Nuppa Site'!H380,"NULL")</f>
        <v>50</v>
      </c>
      <c r="F380" s="30" t="n">
        <f aca="false">IF('Boletins Nuppa Site'!I380&lt;&gt;0,'Boletins Nuppa Site'!I380,"NULL")</f>
        <v>95</v>
      </c>
      <c r="G380" s="30" t="n">
        <f aca="false">IF('Boletins Nuppa Site'!J380&lt;&gt;0,'Boletins Nuppa Site'!J380,"NULL")</f>
        <v>68</v>
      </c>
      <c r="H380" s="30" t="n">
        <f aca="false">IF('Boletins Nuppa Site'!K380&lt;&gt;0,'Boletins Nuppa Site'!K380,"NULL")</f>
        <v>65</v>
      </c>
      <c r="I380" s="0" t="str">
        <f aca="false">"INSERT INTO COTACAO (cot_id, cot_blt_id, cot_pap_id, cot_prc_comum, cot_prc_min, cot_prc_max, cot_prc_med, cot_prc_mediana) VALUES ("&amp;A380&amp;", "&amp;B380&amp;", "&amp;C380&amp;", "&amp;D380&amp;", "&amp;E380&amp;", "&amp;F380&amp;", "&amp;G380&amp;", "&amp;H380&amp;");"</f>
        <v>INSERT INTO COTACAO (cot_id, cot_blt_id, cot_pap_id, cot_prc_comum, cot_prc_min, cot_prc_max, cot_prc_med, cot_prc_mediana) VALUES (379, 46, 27, NULL, 50, 95, 68, 65);</v>
      </c>
      <c r="J380" s="0" t="str">
        <f aca="false">"UPDATE COTACAO SET cot_id = "&amp;A380&amp;", cot_blt_id = "&amp;B380&amp;", cot_pap_id = "&amp;C380&amp;", cot_prc_comum = "&amp;D380&amp;", cot_prc_min = "&amp;E380&amp;", cot_prc_max = "&amp;F380&amp;", cot_prc_med = "&amp;G380&amp;", cot_prc_mediana = "&amp;H380&amp;" WHERE cot_id = "&amp;A380&amp;";"</f>
        <v>UPDATE COTACAO SET cot_id = 379, cot_blt_id = 46, cot_pap_id = 27, cot_prc_comum = NULL, cot_prc_min = 50, cot_prc_max = 95, cot_prc_med = 68, cot_prc_mediana = 65 WHERE cot_id = 379;</v>
      </c>
    </row>
    <row r="381" customFormat="false" ht="14.25" hidden="false" customHeight="false" outlineLevel="0" collapsed="false">
      <c r="A381" s="0" t="n">
        <v>380</v>
      </c>
      <c r="B381" s="0" t="n">
        <f aca="false">IF('Boletins Nuppa Site'!A381&lt;&gt;0,'Boletins Nuppa Site'!A381,"NULL")</f>
        <v>46</v>
      </c>
      <c r="C381" s="0" t="n">
        <v>28</v>
      </c>
      <c r="D381" s="0" t="str">
        <f aca="false">IF('Boletins Nuppa Site'!G381&lt;&gt;0,'Boletins Nuppa Site'!G381,"NULL")</f>
        <v>NULL</v>
      </c>
      <c r="E381" s="30" t="n">
        <f aca="false">IF('Boletins Nuppa Site'!H381&lt;&gt;0,'Boletins Nuppa Site'!H381,"NULL")</f>
        <v>90</v>
      </c>
      <c r="F381" s="30" t="n">
        <f aca="false">IF('Boletins Nuppa Site'!I381&lt;&gt;0,'Boletins Nuppa Site'!I381,"NULL")</f>
        <v>90</v>
      </c>
      <c r="G381" s="30" t="n">
        <f aca="false">IF('Boletins Nuppa Site'!J381&lt;&gt;0,'Boletins Nuppa Site'!J381,"NULL")</f>
        <v>90</v>
      </c>
      <c r="H381" s="30" t="n">
        <f aca="false">IF('Boletins Nuppa Site'!K381&lt;&gt;0,'Boletins Nuppa Site'!K381,"NULL")</f>
        <v>90</v>
      </c>
      <c r="I381" s="0" t="str">
        <f aca="false">"INSERT INTO COTACAO (cot_id, cot_blt_id, cot_pap_id, cot_prc_comum, cot_prc_min, cot_prc_max, cot_prc_med, cot_prc_mediana) VALUES ("&amp;A381&amp;", "&amp;B381&amp;", "&amp;C381&amp;", "&amp;D381&amp;", "&amp;E381&amp;", "&amp;F381&amp;", "&amp;G381&amp;", "&amp;H381&amp;");"</f>
        <v>INSERT INTO COTACAO (cot_id, cot_blt_id, cot_pap_id, cot_prc_comum, cot_prc_min, cot_prc_max, cot_prc_med, cot_prc_mediana) VALUES (380, 46, 28, NULL, 90, 90, 90, 90);</v>
      </c>
      <c r="J381" s="0" t="str">
        <f aca="false">"UPDATE COTACAO SET cot_id = "&amp;A381&amp;", cot_blt_id = "&amp;B381&amp;", cot_pap_id = "&amp;C381&amp;", cot_prc_comum = "&amp;D381&amp;", cot_prc_min = "&amp;E381&amp;", cot_prc_max = "&amp;F381&amp;", cot_prc_med = "&amp;G381&amp;", cot_prc_mediana = "&amp;H381&amp;" WHERE cot_id = "&amp;A381&amp;";"</f>
        <v>UPDATE COTACAO SET cot_id = 380, cot_blt_id = 46, cot_pap_id = 28, cot_prc_comum = NULL, cot_prc_min = 90, cot_prc_max = 90, cot_prc_med = 90, cot_prc_mediana = 90 WHERE cot_id = 380;</v>
      </c>
    </row>
    <row r="382" customFormat="false" ht="14.25" hidden="false" customHeight="false" outlineLevel="0" collapsed="false">
      <c r="A382" s="0" t="n">
        <v>381</v>
      </c>
      <c r="B382" s="0" t="n">
        <f aca="false">IF('Boletins Nuppa Site'!A382&lt;&gt;0,'Boletins Nuppa Site'!A382,"NULL")</f>
        <v>46</v>
      </c>
      <c r="C382" s="0" t="n">
        <v>29</v>
      </c>
      <c r="D382" s="0" t="str">
        <f aca="false">IF('Boletins Nuppa Site'!G382&lt;&gt;0,'Boletins Nuppa Site'!G382,"NULL")</f>
        <v>NULL</v>
      </c>
      <c r="E382" s="30" t="n">
        <f aca="false">IF('Boletins Nuppa Site'!H382&lt;&gt;0,'Boletins Nuppa Site'!H382,"NULL")</f>
        <v>80</v>
      </c>
      <c r="F382" s="30" t="n">
        <f aca="false">IF('Boletins Nuppa Site'!I382&lt;&gt;0,'Boletins Nuppa Site'!I382,"NULL")</f>
        <v>90</v>
      </c>
      <c r="G382" s="30" t="n">
        <f aca="false">IF('Boletins Nuppa Site'!J382&lt;&gt;0,'Boletins Nuppa Site'!J382,"NULL")</f>
        <v>85</v>
      </c>
      <c r="H382" s="30" t="n">
        <f aca="false">IF('Boletins Nuppa Site'!K382&lt;&gt;0,'Boletins Nuppa Site'!K382,"NULL")</f>
        <v>85</v>
      </c>
      <c r="I382" s="0" t="str">
        <f aca="false">"INSERT INTO COTACAO (cot_id, cot_blt_id, cot_pap_id, cot_prc_comum, cot_prc_min, cot_prc_max, cot_prc_med, cot_prc_mediana) VALUES ("&amp;A382&amp;", "&amp;B382&amp;", "&amp;C382&amp;", "&amp;D382&amp;", "&amp;E382&amp;", "&amp;F382&amp;", "&amp;G382&amp;", "&amp;H382&amp;");"</f>
        <v>INSERT INTO COTACAO (cot_id, cot_blt_id, cot_pap_id, cot_prc_comum, cot_prc_min, cot_prc_max, cot_prc_med, cot_prc_mediana) VALUES (381, 46, 29, NULL, 80, 90, 85, 85);</v>
      </c>
      <c r="J382" s="0" t="str">
        <f aca="false">"UPDATE COTACAO SET cot_id = "&amp;A382&amp;", cot_blt_id = "&amp;B382&amp;", cot_pap_id = "&amp;C382&amp;", cot_prc_comum = "&amp;D382&amp;", cot_prc_min = "&amp;E382&amp;", cot_prc_max = "&amp;F382&amp;", cot_prc_med = "&amp;G382&amp;", cot_prc_mediana = "&amp;H382&amp;" WHERE cot_id = "&amp;A382&amp;";"</f>
        <v>UPDATE COTACAO SET cot_id = 381, cot_blt_id = 46, cot_pap_id = 29, cot_prc_comum = NULL, cot_prc_min = 80, cot_prc_max = 90, cot_prc_med = 85, cot_prc_mediana = 85 WHERE cot_id = 381;</v>
      </c>
    </row>
    <row r="383" customFormat="false" ht="14.25" hidden="false" customHeight="false" outlineLevel="0" collapsed="false">
      <c r="A383" s="0" t="n">
        <v>382</v>
      </c>
      <c r="B383" s="0" t="n">
        <f aca="false">IF('Boletins Nuppa Site'!A383&lt;&gt;0,'Boletins Nuppa Site'!A383,"NULL")</f>
        <v>46</v>
      </c>
      <c r="C383" s="0" t="n">
        <v>30</v>
      </c>
      <c r="D383" s="0" t="str">
        <f aca="false">IF('Boletins Nuppa Site'!G383&lt;&gt;0,'Boletins Nuppa Site'!G383,"NULL")</f>
        <v>NULL</v>
      </c>
      <c r="E383" s="30" t="n">
        <f aca="false">IF('Boletins Nuppa Site'!H383&lt;&gt;0,'Boletins Nuppa Site'!H383,"NULL")</f>
        <v>42</v>
      </c>
      <c r="F383" s="30" t="n">
        <f aca="false">IF('Boletins Nuppa Site'!I383&lt;&gt;0,'Boletins Nuppa Site'!I383,"NULL")</f>
        <v>110</v>
      </c>
      <c r="G383" s="30" t="n">
        <f aca="false">IF('Boletins Nuppa Site'!J383&lt;&gt;0,'Boletins Nuppa Site'!J383,"NULL")</f>
        <v>84</v>
      </c>
      <c r="H383" s="30" t="n">
        <f aca="false">IF('Boletins Nuppa Site'!K383&lt;&gt;0,'Boletins Nuppa Site'!K383,"NULL")</f>
        <v>100</v>
      </c>
      <c r="I383" s="0" t="str">
        <f aca="false">"INSERT INTO COTACAO (cot_id, cot_blt_id, cot_pap_id, cot_prc_comum, cot_prc_min, cot_prc_max, cot_prc_med, cot_prc_mediana) VALUES ("&amp;A383&amp;", "&amp;B383&amp;", "&amp;C383&amp;", "&amp;D383&amp;", "&amp;E383&amp;", "&amp;F383&amp;", "&amp;G383&amp;", "&amp;H383&amp;");"</f>
        <v>INSERT INTO COTACAO (cot_id, cot_blt_id, cot_pap_id, cot_prc_comum, cot_prc_min, cot_prc_max, cot_prc_med, cot_prc_mediana) VALUES (382, 46, 30, NULL, 42, 110, 84, 100);</v>
      </c>
      <c r="J383" s="0" t="str">
        <f aca="false">"UPDATE COTACAO SET cot_id = "&amp;A383&amp;", cot_blt_id = "&amp;B383&amp;", cot_pap_id = "&amp;C383&amp;", cot_prc_comum = "&amp;D383&amp;", cot_prc_min = "&amp;E383&amp;", cot_prc_max = "&amp;F383&amp;", cot_prc_med = "&amp;G383&amp;", cot_prc_mediana = "&amp;H383&amp;" WHERE cot_id = "&amp;A383&amp;";"</f>
        <v>UPDATE COTACAO SET cot_id = 382, cot_blt_id = 46, cot_pap_id = 30, cot_prc_comum = NULL, cot_prc_min = 42, cot_prc_max = 110, cot_prc_med = 84, cot_prc_mediana = 100 WHERE cot_id = 382;</v>
      </c>
    </row>
    <row r="384" customFormat="false" ht="14.25" hidden="false" customHeight="false" outlineLevel="0" collapsed="false">
      <c r="A384" s="0" t="n">
        <v>383</v>
      </c>
      <c r="B384" s="0" t="n">
        <f aca="false">IF('Boletins Nuppa Site'!A384&lt;&gt;0,'Boletins Nuppa Site'!A384,"NULL")</f>
        <v>46</v>
      </c>
      <c r="C384" s="0" t="n">
        <v>31</v>
      </c>
      <c r="D384" s="30" t="n">
        <f aca="false">IF('Boletins Nuppa Site'!G384&lt;&gt;0,'Boletins Nuppa Site'!G384,"NULL")</f>
        <v>100</v>
      </c>
      <c r="E384" s="30" t="n">
        <f aca="false">IF('Boletins Nuppa Site'!H384&lt;&gt;0,'Boletins Nuppa Site'!H384,"NULL")</f>
        <v>75</v>
      </c>
      <c r="F384" s="30" t="n">
        <f aca="false">IF('Boletins Nuppa Site'!I384&lt;&gt;0,'Boletins Nuppa Site'!I384,"NULL")</f>
        <v>120</v>
      </c>
      <c r="G384" s="30" t="n">
        <f aca="false">IF('Boletins Nuppa Site'!J384&lt;&gt;0,'Boletins Nuppa Site'!J384,"NULL")</f>
        <v>95</v>
      </c>
      <c r="H384" s="30" t="n">
        <f aca="false">IF('Boletins Nuppa Site'!K384&lt;&gt;0,'Boletins Nuppa Site'!K384,"NULL")</f>
        <v>100</v>
      </c>
      <c r="I384" s="0" t="str">
        <f aca="false">"INSERT INTO COTACAO (cot_id, cot_blt_id, cot_pap_id, cot_prc_comum, cot_prc_min, cot_prc_max, cot_prc_med, cot_prc_mediana) VALUES ("&amp;A384&amp;", "&amp;B384&amp;", "&amp;C384&amp;", "&amp;D384&amp;", "&amp;E384&amp;", "&amp;F384&amp;", "&amp;G384&amp;", "&amp;H384&amp;");"</f>
        <v>INSERT INTO COTACAO (cot_id, cot_blt_id, cot_pap_id, cot_prc_comum, cot_prc_min, cot_prc_max, cot_prc_med, cot_prc_mediana) VALUES (383, 46, 31, 100, 75, 120, 95, 100);</v>
      </c>
      <c r="J384" s="0" t="str">
        <f aca="false">"UPDATE COTACAO SET cot_id = "&amp;A384&amp;", cot_blt_id = "&amp;B384&amp;", cot_pap_id = "&amp;C384&amp;", cot_prc_comum = "&amp;D384&amp;", cot_prc_min = "&amp;E384&amp;", cot_prc_max = "&amp;F384&amp;", cot_prc_med = "&amp;G384&amp;", cot_prc_mediana = "&amp;H384&amp;" WHERE cot_id = "&amp;A384&amp;";"</f>
        <v>UPDATE COTACAO SET cot_id = 383, cot_blt_id = 46, cot_pap_id = 31, cot_prc_comum = 100, cot_prc_min = 75, cot_prc_max = 120, cot_prc_med = 95, cot_prc_mediana = 100 WHERE cot_id = 383;</v>
      </c>
    </row>
    <row r="385" customFormat="false" ht="14.25" hidden="false" customHeight="false" outlineLevel="0" collapsed="false">
      <c r="A385" s="0" t="n">
        <v>384</v>
      </c>
      <c r="B385" s="0" t="n">
        <f aca="false">IF('Boletins Nuppa Site'!A385&lt;&gt;0,'Boletins Nuppa Site'!A385,"NULL")</f>
        <v>46</v>
      </c>
      <c r="C385" s="0" t="n">
        <v>32</v>
      </c>
      <c r="D385" s="30" t="n">
        <f aca="false">IF('Boletins Nuppa Site'!G385&lt;&gt;0,'Boletins Nuppa Site'!G385,"NULL")</f>
        <v>60</v>
      </c>
      <c r="E385" s="30" t="n">
        <f aca="false">IF('Boletins Nuppa Site'!H385&lt;&gt;0,'Boletins Nuppa Site'!H385,"NULL")</f>
        <v>40</v>
      </c>
      <c r="F385" s="30" t="n">
        <f aca="false">IF('Boletins Nuppa Site'!I385&lt;&gt;0,'Boletins Nuppa Site'!I385,"NULL")</f>
        <v>80</v>
      </c>
      <c r="G385" s="30" t="n">
        <f aca="false">IF('Boletins Nuppa Site'!J385&lt;&gt;0,'Boletins Nuppa Site'!J385,"NULL")</f>
        <v>60</v>
      </c>
      <c r="H385" s="30" t="n">
        <f aca="false">IF('Boletins Nuppa Site'!K385&lt;&gt;0,'Boletins Nuppa Site'!K385,"NULL")</f>
        <v>60</v>
      </c>
      <c r="I385" s="0" t="str">
        <f aca="false">"INSERT INTO COTACAO (cot_id, cot_blt_id, cot_pap_id, cot_prc_comum, cot_prc_min, cot_prc_max, cot_prc_med, cot_prc_mediana) VALUES ("&amp;A385&amp;", "&amp;B385&amp;", "&amp;C385&amp;", "&amp;D385&amp;", "&amp;E385&amp;", "&amp;F385&amp;", "&amp;G385&amp;", "&amp;H385&amp;");"</f>
        <v>INSERT INTO COTACAO (cot_id, cot_blt_id, cot_pap_id, cot_prc_comum, cot_prc_min, cot_prc_max, cot_prc_med, cot_prc_mediana) VALUES (384, 46, 32, 60, 40, 80, 60, 60);</v>
      </c>
      <c r="J385" s="0" t="str">
        <f aca="false">"UPDATE COTACAO SET cot_id = "&amp;A385&amp;", cot_blt_id = "&amp;B385&amp;", cot_pap_id = "&amp;C385&amp;", cot_prc_comum = "&amp;D385&amp;", cot_prc_min = "&amp;E385&amp;", cot_prc_max = "&amp;F385&amp;", cot_prc_med = "&amp;G385&amp;", cot_prc_mediana = "&amp;H385&amp;" WHERE cot_id = "&amp;A385&amp;";"</f>
        <v>UPDATE COTACAO SET cot_id = 384, cot_blt_id = 46, cot_pap_id = 32, cot_prc_comum = 60, cot_prc_min = 40, cot_prc_max = 80, cot_prc_med = 60, cot_prc_mediana = 60 WHERE cot_id = 384;</v>
      </c>
    </row>
    <row r="386" customFormat="false" ht="14.25" hidden="false" customHeight="false" outlineLevel="0" collapsed="false">
      <c r="A386" s="0" t="n">
        <v>385</v>
      </c>
      <c r="B386" s="0" t="n">
        <f aca="false">IF('Boletins Nuppa Site'!A386&lt;&gt;0,'Boletins Nuppa Site'!A386,"NULL")</f>
        <v>46</v>
      </c>
      <c r="C386" s="0" t="n">
        <v>33</v>
      </c>
      <c r="D386" s="30" t="n">
        <f aca="false">IF('Boletins Nuppa Site'!G386&lt;&gt;0,'Boletins Nuppa Site'!G386,"NULL")</f>
        <v>60</v>
      </c>
      <c r="E386" s="30" t="n">
        <f aca="false">IF('Boletins Nuppa Site'!H386&lt;&gt;0,'Boletins Nuppa Site'!H386,"NULL")</f>
        <v>60</v>
      </c>
      <c r="F386" s="30" t="n">
        <f aca="false">IF('Boletins Nuppa Site'!I386&lt;&gt;0,'Boletins Nuppa Site'!I386,"NULL")</f>
        <v>130</v>
      </c>
      <c r="G386" s="30" t="n">
        <f aca="false">IF('Boletins Nuppa Site'!J386&lt;&gt;0,'Boletins Nuppa Site'!J386,"NULL")</f>
        <v>77</v>
      </c>
      <c r="H386" s="30" t="n">
        <f aca="false">IF('Boletins Nuppa Site'!K386&lt;&gt;0,'Boletins Nuppa Site'!K386,"NULL")</f>
        <v>65</v>
      </c>
      <c r="I386" s="0" t="str">
        <f aca="false">"INSERT INTO COTACAO (cot_id, cot_blt_id, cot_pap_id, cot_prc_comum, cot_prc_min, cot_prc_max, cot_prc_med, cot_prc_mediana) VALUES ("&amp;A386&amp;", "&amp;B386&amp;", "&amp;C386&amp;", "&amp;D386&amp;", "&amp;E386&amp;", "&amp;F386&amp;", "&amp;G386&amp;", "&amp;H386&amp;");"</f>
        <v>INSERT INTO COTACAO (cot_id, cot_blt_id, cot_pap_id, cot_prc_comum, cot_prc_min, cot_prc_max, cot_prc_med, cot_prc_mediana) VALUES (385, 46, 33, 60, 60, 130, 77, 65);</v>
      </c>
      <c r="J386" s="0" t="str">
        <f aca="false">"UPDATE COTACAO SET cot_id = "&amp;A386&amp;", cot_blt_id = "&amp;B386&amp;", cot_pap_id = "&amp;C386&amp;", cot_prc_comum = "&amp;D386&amp;", cot_prc_min = "&amp;E386&amp;", cot_prc_max = "&amp;F386&amp;", cot_prc_med = "&amp;G386&amp;", cot_prc_mediana = "&amp;H386&amp;" WHERE cot_id = "&amp;A386&amp;";"</f>
        <v>UPDATE COTACAO SET cot_id = 385, cot_blt_id = 46, cot_pap_id = 33, cot_prc_comum = 60, cot_prc_min = 60, cot_prc_max = 130, cot_prc_med = 77, cot_prc_mediana = 65 WHERE cot_id = 385;</v>
      </c>
    </row>
    <row r="387" customFormat="false" ht="14.25" hidden="false" customHeight="false" outlineLevel="0" collapsed="false">
      <c r="A387" s="0" t="n">
        <v>386</v>
      </c>
      <c r="B387" s="0" t="n">
        <f aca="false">IF('Boletins Nuppa Site'!A387&lt;&gt;0,'Boletins Nuppa Site'!A387,"NULL")</f>
        <v>46</v>
      </c>
      <c r="C387" s="0" t="n">
        <v>34</v>
      </c>
      <c r="D387" s="0" t="str">
        <f aca="false">IF('Boletins Nuppa Site'!G387&lt;&gt;0,'Boletins Nuppa Site'!G387,"NULL")</f>
        <v>NULL</v>
      </c>
      <c r="E387" s="30" t="n">
        <f aca="false">IF('Boletins Nuppa Site'!H387&lt;&gt;0,'Boletins Nuppa Site'!H387,"NULL")</f>
        <v>65</v>
      </c>
      <c r="F387" s="30" t="n">
        <f aca="false">IF('Boletins Nuppa Site'!I387&lt;&gt;0,'Boletins Nuppa Site'!I387,"NULL")</f>
        <v>140</v>
      </c>
      <c r="G387" s="30" t="n">
        <f aca="false">IF('Boletins Nuppa Site'!J387&lt;&gt;0,'Boletins Nuppa Site'!J387,"NULL")</f>
        <v>107</v>
      </c>
      <c r="H387" s="30" t="n">
        <f aca="false">IF('Boletins Nuppa Site'!K387&lt;&gt;0,'Boletins Nuppa Site'!K387,"NULL")</f>
        <v>110</v>
      </c>
      <c r="I387" s="0" t="str">
        <f aca="false">"INSERT INTO COTACAO (cot_id, cot_blt_id, cot_pap_id, cot_prc_comum, cot_prc_min, cot_prc_max, cot_prc_med, cot_prc_mediana) VALUES ("&amp;A387&amp;", "&amp;B387&amp;", "&amp;C387&amp;", "&amp;D387&amp;", "&amp;E387&amp;", "&amp;F387&amp;", "&amp;G387&amp;", "&amp;H387&amp;");"</f>
        <v>INSERT INTO COTACAO (cot_id, cot_blt_id, cot_pap_id, cot_prc_comum, cot_prc_min, cot_prc_max, cot_prc_med, cot_prc_mediana) VALUES (386, 46, 34, NULL, 65, 140, 107, 110);</v>
      </c>
      <c r="J387" s="0" t="str">
        <f aca="false">"UPDATE COTACAO SET cot_id = "&amp;A387&amp;", cot_blt_id = "&amp;B387&amp;", cot_pap_id = "&amp;C387&amp;", cot_prc_comum = "&amp;D387&amp;", cot_prc_min = "&amp;E387&amp;", cot_prc_max = "&amp;F387&amp;", cot_prc_med = "&amp;G387&amp;", cot_prc_mediana = "&amp;H387&amp;" WHERE cot_id = "&amp;A387&amp;";"</f>
        <v>UPDATE COTACAO SET cot_id = 386, cot_blt_id = 46, cot_pap_id = 34, cot_prc_comum = NULL, cot_prc_min = 65, cot_prc_max = 140, cot_prc_med = 107, cot_prc_mediana = 110 WHERE cot_id = 386;</v>
      </c>
    </row>
    <row r="388" customFormat="false" ht="14.25" hidden="false" customHeight="false" outlineLevel="0" collapsed="false">
      <c r="A388" s="0" t="n">
        <v>387</v>
      </c>
      <c r="B388" s="0" t="n">
        <f aca="false">IF('Boletins Nuppa Site'!A388&lt;&gt;0,'Boletins Nuppa Site'!A388,"NULL")</f>
        <v>46</v>
      </c>
      <c r="C388" s="0" t="n">
        <v>35</v>
      </c>
      <c r="D388" s="30" t="n">
        <f aca="false">IF('Boletins Nuppa Site'!G388&lt;&gt;0,'Boletins Nuppa Site'!G388,"NULL")</f>
        <v>120</v>
      </c>
      <c r="E388" s="30" t="n">
        <f aca="false">IF('Boletins Nuppa Site'!H388&lt;&gt;0,'Boletins Nuppa Site'!H388,"NULL")</f>
        <v>100</v>
      </c>
      <c r="F388" s="30" t="n">
        <f aca="false">IF('Boletins Nuppa Site'!I388&lt;&gt;0,'Boletins Nuppa Site'!I388,"NULL")</f>
        <v>120</v>
      </c>
      <c r="G388" s="30" t="n">
        <f aca="false">IF('Boletins Nuppa Site'!J388&lt;&gt;0,'Boletins Nuppa Site'!J388,"NULL")</f>
        <v>115</v>
      </c>
      <c r="H388" s="30" t="n">
        <f aca="false">IF('Boletins Nuppa Site'!K388&lt;&gt;0,'Boletins Nuppa Site'!K388,"NULL")</f>
        <v>120</v>
      </c>
      <c r="I388" s="0" t="str">
        <f aca="false">"INSERT INTO COTACAO (cot_id, cot_blt_id, cot_pap_id, cot_prc_comum, cot_prc_min, cot_prc_max, cot_prc_med, cot_prc_mediana) VALUES ("&amp;A388&amp;", "&amp;B388&amp;", "&amp;C388&amp;", "&amp;D388&amp;", "&amp;E388&amp;", "&amp;F388&amp;", "&amp;G388&amp;", "&amp;H388&amp;");"</f>
        <v>INSERT INTO COTACAO (cot_id, cot_blt_id, cot_pap_id, cot_prc_comum, cot_prc_min, cot_prc_max, cot_prc_med, cot_prc_mediana) VALUES (387, 46, 35, 120, 100, 120, 115, 120);</v>
      </c>
      <c r="J388" s="0" t="str">
        <f aca="false">"UPDATE COTACAO SET cot_id = "&amp;A388&amp;", cot_blt_id = "&amp;B388&amp;", cot_pap_id = "&amp;C388&amp;", cot_prc_comum = "&amp;D388&amp;", cot_prc_min = "&amp;E388&amp;", cot_prc_max = "&amp;F388&amp;", cot_prc_med = "&amp;G388&amp;", cot_prc_mediana = "&amp;H388&amp;" WHERE cot_id = "&amp;A388&amp;";"</f>
        <v>UPDATE COTACAO SET cot_id = 387, cot_blt_id = 46, cot_pap_id = 35, cot_prc_comum = 120, cot_prc_min = 100, cot_prc_max = 120, cot_prc_med = 115, cot_prc_mediana = 120 WHERE cot_id = 387;</v>
      </c>
    </row>
    <row r="389" customFormat="false" ht="14.25" hidden="false" customHeight="false" outlineLevel="0" collapsed="false">
      <c r="A389" s="0" t="n">
        <v>388</v>
      </c>
      <c r="B389" s="0" t="n">
        <f aca="false">IF('Boletins Nuppa Site'!A389&lt;&gt;0,'Boletins Nuppa Site'!A389,"NULL")</f>
        <v>46</v>
      </c>
      <c r="C389" s="0" t="n">
        <v>36</v>
      </c>
      <c r="D389" s="0" t="str">
        <f aca="false">IF('Boletins Nuppa Site'!G389&lt;&gt;0,'Boletins Nuppa Site'!G389,"NULL")</f>
        <v>NULL</v>
      </c>
      <c r="E389" s="30" t="n">
        <f aca="false">IF('Boletins Nuppa Site'!H389&lt;&gt;0,'Boletins Nuppa Site'!H389,"NULL")</f>
        <v>80</v>
      </c>
      <c r="F389" s="30" t="n">
        <f aca="false">IF('Boletins Nuppa Site'!I389&lt;&gt;0,'Boletins Nuppa Site'!I389,"NULL")</f>
        <v>80</v>
      </c>
      <c r="G389" s="30" t="n">
        <f aca="false">IF('Boletins Nuppa Site'!J389&lt;&gt;0,'Boletins Nuppa Site'!J389,"NULL")</f>
        <v>80</v>
      </c>
      <c r="H389" s="30" t="n">
        <f aca="false">IF('Boletins Nuppa Site'!K389&lt;&gt;0,'Boletins Nuppa Site'!K389,"NULL")</f>
        <v>80</v>
      </c>
      <c r="I389" s="0" t="str">
        <f aca="false">"INSERT INTO COTACAO (cot_id, cot_blt_id, cot_pap_id, cot_prc_comum, cot_prc_min, cot_prc_max, cot_prc_med, cot_prc_mediana) VALUES ("&amp;A389&amp;", "&amp;B389&amp;", "&amp;C389&amp;", "&amp;D389&amp;", "&amp;E389&amp;", "&amp;F389&amp;", "&amp;G389&amp;", "&amp;H389&amp;");"</f>
        <v>INSERT INTO COTACAO (cot_id, cot_blt_id, cot_pap_id, cot_prc_comum, cot_prc_min, cot_prc_max, cot_prc_med, cot_prc_mediana) VALUES (388, 46, 36, NULL, 80, 80, 80, 80);</v>
      </c>
      <c r="J389" s="0" t="str">
        <f aca="false">"UPDATE COTACAO SET cot_id = "&amp;A389&amp;", cot_blt_id = "&amp;B389&amp;", cot_pap_id = "&amp;C389&amp;", cot_prc_comum = "&amp;D389&amp;", cot_prc_min = "&amp;E389&amp;", cot_prc_max = "&amp;F389&amp;", cot_prc_med = "&amp;G389&amp;", cot_prc_mediana = "&amp;H389&amp;" WHERE cot_id = "&amp;A389&amp;";"</f>
        <v>UPDATE COTACAO SET cot_id = 388, cot_blt_id = 46, cot_pap_id = 36, cot_prc_comum = NULL, cot_prc_min = 80, cot_prc_max = 80, cot_prc_med = 80, cot_prc_mediana = 80 WHERE cot_id = 388;</v>
      </c>
    </row>
    <row r="390" customFormat="false" ht="14.25" hidden="false" customHeight="false" outlineLevel="0" collapsed="false">
      <c r="A390" s="0" t="n">
        <v>389</v>
      </c>
      <c r="B390" s="0" t="n">
        <f aca="false">IF('Boletins Nuppa Site'!A390&lt;&gt;0,'Boletins Nuppa Site'!A390,"NULL")</f>
        <v>46</v>
      </c>
      <c r="C390" s="0" t="n">
        <v>37</v>
      </c>
      <c r="D390" s="0" t="str">
        <f aca="false">IF('Boletins Nuppa Site'!G390&lt;&gt;0,'Boletins Nuppa Site'!G390,"NULL")</f>
        <v>NULL</v>
      </c>
      <c r="E390" s="30" t="n">
        <f aca="false">IF('Boletins Nuppa Site'!H390&lt;&gt;0,'Boletins Nuppa Site'!H390,"NULL")</f>
        <v>60</v>
      </c>
      <c r="F390" s="30" t="n">
        <f aca="false">IF('Boletins Nuppa Site'!I390&lt;&gt;0,'Boletins Nuppa Site'!I390,"NULL")</f>
        <v>60</v>
      </c>
      <c r="G390" s="30" t="n">
        <f aca="false">IF('Boletins Nuppa Site'!J390&lt;&gt;0,'Boletins Nuppa Site'!J390,"NULL")</f>
        <v>60</v>
      </c>
      <c r="H390" s="30" t="n">
        <f aca="false">IF('Boletins Nuppa Site'!K390&lt;&gt;0,'Boletins Nuppa Site'!K390,"NULL")</f>
        <v>60</v>
      </c>
      <c r="I390" s="0" t="str">
        <f aca="false">"INSERT INTO COTACAO (cot_id, cot_blt_id, cot_pap_id, cot_prc_comum, cot_prc_min, cot_prc_max, cot_prc_med, cot_prc_mediana) VALUES ("&amp;A390&amp;", "&amp;B390&amp;", "&amp;C390&amp;", "&amp;D390&amp;", "&amp;E390&amp;", "&amp;F390&amp;", "&amp;G390&amp;", "&amp;H390&amp;");"</f>
        <v>INSERT INTO COTACAO (cot_id, cot_blt_id, cot_pap_id, cot_prc_comum, cot_prc_min, cot_prc_max, cot_prc_med, cot_prc_mediana) VALUES (389, 46, 37, NULL, 60, 60, 60, 60);</v>
      </c>
      <c r="J390" s="0" t="str">
        <f aca="false">"UPDATE COTACAO SET cot_id = "&amp;A390&amp;", cot_blt_id = "&amp;B390&amp;", cot_pap_id = "&amp;C390&amp;", cot_prc_comum = "&amp;D390&amp;", cot_prc_min = "&amp;E390&amp;", cot_prc_max = "&amp;F390&amp;", cot_prc_med = "&amp;G390&amp;", cot_prc_mediana = "&amp;H390&amp;" WHERE cot_id = "&amp;A390&amp;";"</f>
        <v>UPDATE COTACAO SET cot_id = 389, cot_blt_id = 46, cot_pap_id = 37, cot_prc_comum = NULL, cot_prc_min = 60, cot_prc_max = 60, cot_prc_med = 60, cot_prc_mediana = 60 WHERE cot_id = 389;</v>
      </c>
    </row>
    <row r="391" customFormat="false" ht="14.25" hidden="false" customHeight="false" outlineLevel="0" collapsed="false">
      <c r="A391" s="0" t="n">
        <v>390</v>
      </c>
      <c r="B391" s="0" t="n">
        <f aca="false">IF('Boletins Nuppa Site'!A391&lt;&gt;0,'Boletins Nuppa Site'!A391,"NULL")</f>
        <v>46</v>
      </c>
      <c r="C391" s="0" t="n">
        <v>38</v>
      </c>
      <c r="D391" s="0" t="str">
        <f aca="false">IF('Boletins Nuppa Site'!G391&lt;&gt;0,'Boletins Nuppa Site'!G391,"NULL")</f>
        <v>NULL</v>
      </c>
      <c r="E391" s="30" t="n">
        <f aca="false">IF('Boletins Nuppa Site'!H391&lt;&gt;0,'Boletins Nuppa Site'!H391,"NULL")</f>
        <v>45</v>
      </c>
      <c r="F391" s="30" t="n">
        <f aca="false">IF('Boletins Nuppa Site'!I391&lt;&gt;0,'Boletins Nuppa Site'!I391,"NULL")</f>
        <v>60</v>
      </c>
      <c r="G391" s="0" t="str">
        <f aca="false">IF('Boletins Nuppa Site'!J391&lt;&gt;0,'Boletins Nuppa Site'!J391,"NULL")</f>
        <v>52.5</v>
      </c>
      <c r="H391" s="0" t="str">
        <f aca="false">IF('Boletins Nuppa Site'!K391&lt;&gt;0,'Boletins Nuppa Site'!K391,"NULL")</f>
        <v>52.5</v>
      </c>
      <c r="I391" s="0" t="str">
        <f aca="false">"INSERT INTO COTACAO (cot_id, cot_blt_id, cot_pap_id, cot_prc_comum, cot_prc_min, cot_prc_max, cot_prc_med, cot_prc_mediana) VALUES ("&amp;A391&amp;", "&amp;B391&amp;", "&amp;C391&amp;", "&amp;D391&amp;", "&amp;E391&amp;", "&amp;F391&amp;", "&amp;G391&amp;", "&amp;H391&amp;");"</f>
        <v>INSERT INTO COTACAO (cot_id, cot_blt_id, cot_pap_id, cot_prc_comum, cot_prc_min, cot_prc_max, cot_prc_med, cot_prc_mediana) VALUES (390, 46, 38, NULL, 45, 60, 52.5, 52.5);</v>
      </c>
      <c r="J391" s="0" t="str">
        <f aca="false">"UPDATE COTACAO SET cot_id = "&amp;A391&amp;", cot_blt_id = "&amp;B391&amp;", cot_pap_id = "&amp;C391&amp;", cot_prc_comum = "&amp;D391&amp;", cot_prc_min = "&amp;E391&amp;", cot_prc_max = "&amp;F391&amp;", cot_prc_med = "&amp;G391&amp;", cot_prc_mediana = "&amp;H391&amp;" WHERE cot_id = "&amp;A391&amp;";"</f>
        <v>UPDATE COTACAO SET cot_id = 390, cot_blt_id = 46, cot_pap_id = 38, cot_prc_comum = NULL, cot_prc_min = 45, cot_prc_max = 60, cot_prc_med = 52.5, cot_prc_mediana = 52.5 WHERE cot_id = 390;</v>
      </c>
    </row>
    <row r="392" customFormat="false" ht="14.25" hidden="false" customHeight="false" outlineLevel="0" collapsed="false">
      <c r="A392" s="0" t="n">
        <v>391</v>
      </c>
      <c r="B392" s="0" t="n">
        <f aca="false">IF('Boletins Nuppa Site'!A392&lt;&gt;0,'Boletins Nuppa Site'!A392,"NULL")</f>
        <v>46</v>
      </c>
      <c r="C392" s="0" t="n">
        <v>39</v>
      </c>
      <c r="D392" s="0" t="str">
        <f aca="false">IF('Boletins Nuppa Site'!G392&lt;&gt;0,'Boletins Nuppa Site'!G392,"NULL")</f>
        <v>NULL</v>
      </c>
      <c r="E392" s="30" t="n">
        <f aca="false">IF('Boletins Nuppa Site'!H392&lt;&gt;0,'Boletins Nuppa Site'!H392,"NULL")</f>
        <v>48</v>
      </c>
      <c r="F392" s="30" t="n">
        <f aca="false">IF('Boletins Nuppa Site'!I392&lt;&gt;0,'Boletins Nuppa Site'!I392,"NULL")</f>
        <v>48</v>
      </c>
      <c r="G392" s="30" t="n">
        <f aca="false">IF('Boletins Nuppa Site'!J392&lt;&gt;0,'Boletins Nuppa Site'!J392,"NULL")</f>
        <v>48</v>
      </c>
      <c r="H392" s="30" t="n">
        <f aca="false">IF('Boletins Nuppa Site'!K392&lt;&gt;0,'Boletins Nuppa Site'!K392,"NULL")</f>
        <v>48</v>
      </c>
      <c r="I392" s="0" t="str">
        <f aca="false">"INSERT INTO COTACAO (cot_id, cot_blt_id, cot_pap_id, cot_prc_comum, cot_prc_min, cot_prc_max, cot_prc_med, cot_prc_mediana) VALUES ("&amp;A392&amp;", "&amp;B392&amp;", "&amp;C392&amp;", "&amp;D392&amp;", "&amp;E392&amp;", "&amp;F392&amp;", "&amp;G392&amp;", "&amp;H392&amp;");"</f>
        <v>INSERT INTO COTACAO (cot_id, cot_blt_id, cot_pap_id, cot_prc_comum, cot_prc_min, cot_prc_max, cot_prc_med, cot_prc_mediana) VALUES (391, 46, 39, NULL, 48, 48, 48, 48);</v>
      </c>
      <c r="J392" s="0" t="str">
        <f aca="false">"UPDATE COTACAO SET cot_id = "&amp;A392&amp;", cot_blt_id = "&amp;B392&amp;", cot_pap_id = "&amp;C392&amp;", cot_prc_comum = "&amp;D392&amp;", cot_prc_min = "&amp;E392&amp;", cot_prc_max = "&amp;F392&amp;", cot_prc_med = "&amp;G392&amp;", cot_prc_mediana = "&amp;H392&amp;" WHERE cot_id = "&amp;A392&amp;";"</f>
        <v>UPDATE COTACAO SET cot_id = 391, cot_blt_id = 46, cot_pap_id = 39, cot_prc_comum = NULL, cot_prc_min = 48, cot_prc_max = 48, cot_prc_med = 48, cot_prc_mediana = 48 WHERE cot_id = 391;</v>
      </c>
    </row>
    <row r="393" customFormat="false" ht="14.25" hidden="false" customHeight="false" outlineLevel="0" collapsed="false">
      <c r="A393" s="0" t="n">
        <v>392</v>
      </c>
      <c r="B393" s="0" t="n">
        <f aca="false">IF('Boletins Nuppa Site'!A393&lt;&gt;0,'Boletins Nuppa Site'!A393,"NULL")</f>
        <v>46</v>
      </c>
      <c r="C393" s="0" t="n">
        <v>40</v>
      </c>
      <c r="D393" s="30" t="n">
        <f aca="false">IF('Boletins Nuppa Site'!G393&lt;&gt;0,'Boletins Nuppa Site'!G393,"NULL")</f>
        <v>90</v>
      </c>
      <c r="E393" s="30" t="n">
        <f aca="false">IF('Boletins Nuppa Site'!H393&lt;&gt;0,'Boletins Nuppa Site'!H393,"NULL")</f>
        <v>90</v>
      </c>
      <c r="F393" s="30" t="n">
        <f aca="false">IF('Boletins Nuppa Site'!I393&lt;&gt;0,'Boletins Nuppa Site'!I393,"NULL")</f>
        <v>90</v>
      </c>
      <c r="G393" s="30" t="n">
        <f aca="false">IF('Boletins Nuppa Site'!J393&lt;&gt;0,'Boletins Nuppa Site'!J393,"NULL")</f>
        <v>90</v>
      </c>
      <c r="H393" s="30" t="n">
        <f aca="false">IF('Boletins Nuppa Site'!K393&lt;&gt;0,'Boletins Nuppa Site'!K393,"NULL")</f>
        <v>90</v>
      </c>
      <c r="I393" s="0" t="str">
        <f aca="false">"INSERT INTO COTACAO (cot_id, cot_blt_id, cot_pap_id, cot_prc_comum, cot_prc_min, cot_prc_max, cot_prc_med, cot_prc_mediana) VALUES ("&amp;A393&amp;", "&amp;B393&amp;", "&amp;C393&amp;", "&amp;D393&amp;", "&amp;E393&amp;", "&amp;F393&amp;", "&amp;G393&amp;", "&amp;H393&amp;");"</f>
        <v>INSERT INTO COTACAO (cot_id, cot_blt_id, cot_pap_id, cot_prc_comum, cot_prc_min, cot_prc_max, cot_prc_med, cot_prc_mediana) VALUES (392, 46, 40, 90, 90, 90, 90, 90);</v>
      </c>
      <c r="J393" s="0" t="str">
        <f aca="false">"UPDATE COTACAO SET cot_id = "&amp;A393&amp;", cot_blt_id = "&amp;B393&amp;", cot_pap_id = "&amp;C393&amp;", cot_prc_comum = "&amp;D393&amp;", cot_prc_min = "&amp;E393&amp;", cot_prc_max = "&amp;F393&amp;", cot_prc_med = "&amp;G393&amp;", cot_prc_mediana = "&amp;H393&amp;" WHERE cot_id = "&amp;A393&amp;";"</f>
        <v>UPDATE COTACAO SET cot_id = 392, cot_blt_id = 46, cot_pap_id = 40, cot_prc_comum = 90, cot_prc_min = 90, cot_prc_max = 90, cot_prc_med = 90, cot_prc_mediana = 90 WHERE cot_id = 392;</v>
      </c>
    </row>
    <row r="394" customFormat="false" ht="14.25" hidden="false" customHeight="false" outlineLevel="0" collapsed="false">
      <c r="A394" s="0" t="n">
        <v>393</v>
      </c>
      <c r="B394" s="0" t="n">
        <f aca="false">IF('Boletins Nuppa Site'!A394&lt;&gt;0,'Boletins Nuppa Site'!A394,"NULL")</f>
        <v>47</v>
      </c>
      <c r="C394" s="0" t="n">
        <v>1</v>
      </c>
      <c r="D394" s="0" t="str">
        <f aca="false">IF('Boletins Nuppa Site'!G394&lt;&gt;0,'Boletins Nuppa Site'!G394,"NULL")</f>
        <v>NULL</v>
      </c>
      <c r="E394" s="30" t="n">
        <f aca="false">IF('Boletins Nuppa Site'!H394&lt;&gt;0,'Boletins Nuppa Site'!H394,"NULL")</f>
        <v>48</v>
      </c>
      <c r="F394" s="30" t="n">
        <f aca="false">IF('Boletins Nuppa Site'!I394&lt;&gt;0,'Boletins Nuppa Site'!I394,"NULL")</f>
        <v>60</v>
      </c>
      <c r="G394" s="30" t="n">
        <f aca="false">IF('Boletins Nuppa Site'!J394&lt;&gt;0,'Boletins Nuppa Site'!J394,"NULL")</f>
        <v>54</v>
      </c>
      <c r="H394" s="30" t="n">
        <f aca="false">IF('Boletins Nuppa Site'!K394&lt;&gt;0,'Boletins Nuppa Site'!K394,"NULL")</f>
        <v>54</v>
      </c>
      <c r="I394" s="0" t="str">
        <f aca="false">"INSERT INTO COTACAO (cot_id, cot_blt_id, cot_pap_id, cot_prc_comum, cot_prc_min, cot_prc_max, cot_prc_med, cot_prc_mediana) VALUES ("&amp;A394&amp;", "&amp;B394&amp;", "&amp;C394&amp;", "&amp;D394&amp;", "&amp;E394&amp;", "&amp;F394&amp;", "&amp;G394&amp;", "&amp;H394&amp;");"</f>
        <v>INSERT INTO COTACAO (cot_id, cot_blt_id, cot_pap_id, cot_prc_comum, cot_prc_min, cot_prc_max, cot_prc_med, cot_prc_mediana) VALUES (393, 47, 1, NULL, 48, 60, 54, 54);</v>
      </c>
      <c r="J394" s="0" t="str">
        <f aca="false">"UPDATE COTACAO SET cot_id = "&amp;A394&amp;", cot_blt_id = "&amp;B394&amp;", cot_pap_id = "&amp;C394&amp;", cot_prc_comum = "&amp;D394&amp;", cot_prc_min = "&amp;E394&amp;", cot_prc_max = "&amp;F394&amp;", cot_prc_med = "&amp;G394&amp;", cot_prc_mediana = "&amp;H394&amp;" WHERE cot_id = "&amp;A394&amp;";"</f>
        <v>UPDATE COTACAO SET cot_id = 393, cot_blt_id = 47, cot_pap_id = 1, cot_prc_comum = NULL, cot_prc_min = 48, cot_prc_max = 60, cot_prc_med = 54, cot_prc_mediana = 54 WHERE cot_id = 393;</v>
      </c>
    </row>
    <row r="395" customFormat="false" ht="14.25" hidden="false" customHeight="false" outlineLevel="0" collapsed="false">
      <c r="A395" s="0" t="n">
        <v>394</v>
      </c>
      <c r="B395" s="0" t="n">
        <f aca="false">IF('Boletins Nuppa Site'!A395&lt;&gt;0,'Boletins Nuppa Site'!A395,"NULL")</f>
        <v>47</v>
      </c>
      <c r="C395" s="0" t="n">
        <v>2</v>
      </c>
      <c r="D395" s="30" t="n">
        <f aca="false">IF('Boletins Nuppa Site'!G395&lt;&gt;0,'Boletins Nuppa Site'!G395,"NULL")</f>
        <v>72</v>
      </c>
      <c r="E395" s="30" t="n">
        <f aca="false">IF('Boletins Nuppa Site'!H395&lt;&gt;0,'Boletins Nuppa Site'!H395,"NULL")</f>
        <v>72</v>
      </c>
      <c r="F395" s="30" t="n">
        <f aca="false">IF('Boletins Nuppa Site'!I395&lt;&gt;0,'Boletins Nuppa Site'!I395,"NULL")</f>
        <v>84</v>
      </c>
      <c r="G395" s="30" t="n">
        <f aca="false">IF('Boletins Nuppa Site'!J395&lt;&gt;0,'Boletins Nuppa Site'!J395,"NULL")</f>
        <v>76</v>
      </c>
      <c r="H395" s="30" t="n">
        <f aca="false">IF('Boletins Nuppa Site'!K395&lt;&gt;0,'Boletins Nuppa Site'!K395,"NULL")</f>
        <v>72</v>
      </c>
      <c r="I395" s="0" t="str">
        <f aca="false">"INSERT INTO COTACAO (cot_id, cot_blt_id, cot_pap_id, cot_prc_comum, cot_prc_min, cot_prc_max, cot_prc_med, cot_prc_mediana) VALUES ("&amp;A395&amp;", "&amp;B395&amp;", "&amp;C395&amp;", "&amp;D395&amp;", "&amp;E395&amp;", "&amp;F395&amp;", "&amp;G395&amp;", "&amp;H395&amp;");"</f>
        <v>INSERT INTO COTACAO (cot_id, cot_blt_id, cot_pap_id, cot_prc_comum, cot_prc_min, cot_prc_max, cot_prc_med, cot_prc_mediana) VALUES (394, 47, 2, 72, 72, 84, 76, 72);</v>
      </c>
      <c r="J395" s="0" t="str">
        <f aca="false">"UPDATE COTACAO SET cot_id = "&amp;A395&amp;", cot_blt_id = "&amp;B395&amp;", cot_pap_id = "&amp;C395&amp;", cot_prc_comum = "&amp;D395&amp;", cot_prc_min = "&amp;E395&amp;", cot_prc_max = "&amp;F395&amp;", cot_prc_med = "&amp;G395&amp;", cot_prc_mediana = "&amp;H395&amp;" WHERE cot_id = "&amp;A395&amp;";"</f>
        <v>UPDATE COTACAO SET cot_id = 394, cot_blt_id = 47, cot_pap_id = 2, cot_prc_comum = 72, cot_prc_min = 72, cot_prc_max = 84, cot_prc_med = 76, cot_prc_mediana = 72 WHERE cot_id = 394;</v>
      </c>
    </row>
    <row r="396" customFormat="false" ht="14.25" hidden="false" customHeight="false" outlineLevel="0" collapsed="false">
      <c r="A396" s="0" t="n">
        <v>395</v>
      </c>
      <c r="B396" s="0" t="n">
        <f aca="false">IF('Boletins Nuppa Site'!A396&lt;&gt;0,'Boletins Nuppa Site'!A396,"NULL")</f>
        <v>47</v>
      </c>
      <c r="C396" s="0" t="n">
        <v>3</v>
      </c>
      <c r="D396" s="30" t="n">
        <f aca="false">IF('Boletins Nuppa Site'!G396&lt;&gt;0,'Boletins Nuppa Site'!G396,"NULL")</f>
        <v>48</v>
      </c>
      <c r="E396" s="30" t="n">
        <f aca="false">IF('Boletins Nuppa Site'!H396&lt;&gt;0,'Boletins Nuppa Site'!H396,"NULL")</f>
        <v>48</v>
      </c>
      <c r="F396" s="30" t="n">
        <f aca="false">IF('Boletins Nuppa Site'!I396&lt;&gt;0,'Boletins Nuppa Site'!I396,"NULL")</f>
        <v>60</v>
      </c>
      <c r="G396" s="30" t="n">
        <f aca="false">IF('Boletins Nuppa Site'!J396&lt;&gt;0,'Boletins Nuppa Site'!J396,"NULL")</f>
        <v>52</v>
      </c>
      <c r="H396" s="30" t="n">
        <f aca="false">IF('Boletins Nuppa Site'!K396&lt;&gt;0,'Boletins Nuppa Site'!K396,"NULL")</f>
        <v>48</v>
      </c>
      <c r="I396" s="0" t="str">
        <f aca="false">"INSERT INTO COTACAO (cot_id, cot_blt_id, cot_pap_id, cot_prc_comum, cot_prc_min, cot_prc_max, cot_prc_med, cot_prc_mediana) VALUES ("&amp;A396&amp;", "&amp;B396&amp;", "&amp;C396&amp;", "&amp;D396&amp;", "&amp;E396&amp;", "&amp;F396&amp;", "&amp;G396&amp;", "&amp;H396&amp;");"</f>
        <v>INSERT INTO COTACAO (cot_id, cot_blt_id, cot_pap_id, cot_prc_comum, cot_prc_min, cot_prc_max, cot_prc_med, cot_prc_mediana) VALUES (395, 47, 3, 48, 48, 60, 52, 48);</v>
      </c>
      <c r="J396" s="0" t="str">
        <f aca="false">"UPDATE COTACAO SET cot_id = "&amp;A396&amp;", cot_blt_id = "&amp;B396&amp;", cot_pap_id = "&amp;C396&amp;", cot_prc_comum = "&amp;D396&amp;", cot_prc_min = "&amp;E396&amp;", cot_prc_max = "&amp;F396&amp;", cot_prc_med = "&amp;G396&amp;", cot_prc_mediana = "&amp;H396&amp;" WHERE cot_id = "&amp;A396&amp;";"</f>
        <v>UPDATE COTACAO SET cot_id = 395, cot_blt_id = 47, cot_pap_id = 3, cot_prc_comum = 48, cot_prc_min = 48, cot_prc_max = 60, cot_prc_med = 52, cot_prc_mediana = 48 WHERE cot_id = 395;</v>
      </c>
    </row>
    <row r="397" customFormat="false" ht="14.25" hidden="false" customHeight="false" outlineLevel="0" collapsed="false">
      <c r="A397" s="0" t="n">
        <v>396</v>
      </c>
      <c r="B397" s="0" t="n">
        <f aca="false">IF('Boletins Nuppa Site'!A397&lt;&gt;0,'Boletins Nuppa Site'!A397,"NULL")</f>
        <v>47</v>
      </c>
      <c r="C397" s="0" t="n">
        <v>4</v>
      </c>
      <c r="D397" s="0" t="str">
        <f aca="false">IF('Boletins Nuppa Site'!G397&lt;&gt;0,'Boletins Nuppa Site'!G397,"NULL")</f>
        <v>NULL</v>
      </c>
      <c r="E397" s="30" t="n">
        <f aca="false">IF('Boletins Nuppa Site'!H397&lt;&gt;0,'Boletins Nuppa Site'!H397,"NULL")</f>
        <v>35</v>
      </c>
      <c r="F397" s="30" t="n">
        <f aca="false">IF('Boletins Nuppa Site'!I397&lt;&gt;0,'Boletins Nuppa Site'!I397,"NULL")</f>
        <v>50</v>
      </c>
      <c r="G397" s="0" t="str">
        <f aca="false">IF('Boletins Nuppa Site'!J397&lt;&gt;0,'Boletins Nuppa Site'!J397,"NULL")</f>
        <v>42.33</v>
      </c>
      <c r="H397" s="30" t="n">
        <f aca="false">IF('Boletins Nuppa Site'!K397&lt;&gt;0,'Boletins Nuppa Site'!K397,"NULL")</f>
        <v>42</v>
      </c>
      <c r="I397" s="0" t="str">
        <f aca="false">"INSERT INTO COTACAO (cot_id, cot_blt_id, cot_pap_id, cot_prc_comum, cot_prc_min, cot_prc_max, cot_prc_med, cot_prc_mediana) VALUES ("&amp;A397&amp;", "&amp;B397&amp;", "&amp;C397&amp;", "&amp;D397&amp;", "&amp;E397&amp;", "&amp;F397&amp;", "&amp;G397&amp;", "&amp;H397&amp;");"</f>
        <v>INSERT INTO COTACAO (cot_id, cot_blt_id, cot_pap_id, cot_prc_comum, cot_prc_min, cot_prc_max, cot_prc_med, cot_prc_mediana) VALUES (396, 47, 4, NULL, 35, 50, 42.33, 42);</v>
      </c>
      <c r="J397" s="0" t="str">
        <f aca="false">"UPDATE COTACAO SET cot_id = "&amp;A397&amp;", cot_blt_id = "&amp;B397&amp;", cot_pap_id = "&amp;C397&amp;", cot_prc_comum = "&amp;D397&amp;", cot_prc_min = "&amp;E397&amp;", cot_prc_max = "&amp;F397&amp;", cot_prc_med = "&amp;G397&amp;", cot_prc_mediana = "&amp;H397&amp;" WHERE cot_id = "&amp;A397&amp;";"</f>
        <v>UPDATE COTACAO SET cot_id = 396, cot_blt_id = 47, cot_pap_id = 4, cot_prc_comum = NULL, cot_prc_min = 35, cot_prc_max = 50, cot_prc_med = 42.33, cot_prc_mediana = 42 WHERE cot_id = 396;</v>
      </c>
    </row>
    <row r="398" customFormat="false" ht="14.25" hidden="false" customHeight="false" outlineLevel="0" collapsed="false">
      <c r="A398" s="0" t="n">
        <v>397</v>
      </c>
      <c r="B398" s="0" t="n">
        <f aca="false">IF('Boletins Nuppa Site'!A398&lt;&gt;0,'Boletins Nuppa Site'!A398,"NULL")</f>
        <v>47</v>
      </c>
      <c r="C398" s="0" t="n">
        <v>5</v>
      </c>
      <c r="D398" s="0" t="str">
        <f aca="false">IF('Boletins Nuppa Site'!G398&lt;&gt;0,'Boletins Nuppa Site'!G398,"NULL")</f>
        <v>NULL</v>
      </c>
      <c r="E398" s="30" t="n">
        <f aca="false">IF('Boletins Nuppa Site'!H398&lt;&gt;0,'Boletins Nuppa Site'!H398,"NULL")</f>
        <v>35</v>
      </c>
      <c r="F398" s="30" t="n">
        <f aca="false">IF('Boletins Nuppa Site'!I398&lt;&gt;0,'Boletins Nuppa Site'!I398,"NULL")</f>
        <v>50</v>
      </c>
      <c r="G398" s="0" t="str">
        <f aca="false">IF('Boletins Nuppa Site'!J398&lt;&gt;0,'Boletins Nuppa Site'!J398,"NULL")</f>
        <v>42.33</v>
      </c>
      <c r="H398" s="30" t="n">
        <f aca="false">IF('Boletins Nuppa Site'!K398&lt;&gt;0,'Boletins Nuppa Site'!K398,"NULL")</f>
        <v>42</v>
      </c>
      <c r="I398" s="0" t="str">
        <f aca="false">"INSERT INTO COTACAO (cot_id, cot_blt_id, cot_pap_id, cot_prc_comum, cot_prc_min, cot_prc_max, cot_prc_med, cot_prc_mediana) VALUES ("&amp;A398&amp;", "&amp;B398&amp;", "&amp;C398&amp;", "&amp;D398&amp;", "&amp;E398&amp;", "&amp;F398&amp;", "&amp;G398&amp;", "&amp;H398&amp;");"</f>
        <v>INSERT INTO COTACAO (cot_id, cot_blt_id, cot_pap_id, cot_prc_comum, cot_prc_min, cot_prc_max, cot_prc_med, cot_prc_mediana) VALUES (397, 47, 5, NULL, 35, 50, 42.33, 42);</v>
      </c>
      <c r="J398" s="0" t="str">
        <f aca="false">"UPDATE COTACAO SET cot_id = "&amp;A398&amp;", cot_blt_id = "&amp;B398&amp;", cot_pap_id = "&amp;C398&amp;", cot_prc_comum = "&amp;D398&amp;", cot_prc_min = "&amp;E398&amp;", cot_prc_max = "&amp;F398&amp;", cot_prc_med = "&amp;G398&amp;", cot_prc_mediana = "&amp;H398&amp;" WHERE cot_id = "&amp;A398&amp;";"</f>
        <v>UPDATE COTACAO SET cot_id = 397, cot_blt_id = 47, cot_pap_id = 5, cot_prc_comum = NULL, cot_prc_min = 35, cot_prc_max = 50, cot_prc_med = 42.33, cot_prc_mediana = 42 WHERE cot_id = 397;</v>
      </c>
    </row>
    <row r="399" customFormat="false" ht="14.25" hidden="false" customHeight="false" outlineLevel="0" collapsed="false">
      <c r="A399" s="0" t="n">
        <v>398</v>
      </c>
      <c r="B399" s="0" t="n">
        <f aca="false">IF('Boletins Nuppa Site'!A399&lt;&gt;0,'Boletins Nuppa Site'!A399,"NULL")</f>
        <v>47</v>
      </c>
      <c r="C399" s="0" t="n">
        <v>6</v>
      </c>
      <c r="D399" s="30" t="n">
        <f aca="false">IF('Boletins Nuppa Site'!G399&lt;&gt;0,'Boletins Nuppa Site'!G399,"NULL")</f>
        <v>72</v>
      </c>
      <c r="E399" s="30" t="n">
        <f aca="false">IF('Boletins Nuppa Site'!H399&lt;&gt;0,'Boletins Nuppa Site'!H399,"NULL")</f>
        <v>60</v>
      </c>
      <c r="F399" s="30" t="n">
        <f aca="false">IF('Boletins Nuppa Site'!I399&lt;&gt;0,'Boletins Nuppa Site'!I399,"NULL")</f>
        <v>72</v>
      </c>
      <c r="G399" s="30" t="n">
        <f aca="false">IF('Boletins Nuppa Site'!J399&lt;&gt;0,'Boletins Nuppa Site'!J399,"NULL")</f>
        <v>68</v>
      </c>
      <c r="H399" s="30" t="n">
        <f aca="false">IF('Boletins Nuppa Site'!K399&lt;&gt;0,'Boletins Nuppa Site'!K399,"NULL")</f>
        <v>72</v>
      </c>
      <c r="I399" s="0" t="str">
        <f aca="false">"INSERT INTO COTACAO (cot_id, cot_blt_id, cot_pap_id, cot_prc_comum, cot_prc_min, cot_prc_max, cot_prc_med, cot_prc_mediana) VALUES ("&amp;A399&amp;", "&amp;B399&amp;", "&amp;C399&amp;", "&amp;D399&amp;", "&amp;E399&amp;", "&amp;F399&amp;", "&amp;G399&amp;", "&amp;H399&amp;");"</f>
        <v>INSERT INTO COTACAO (cot_id, cot_blt_id, cot_pap_id, cot_prc_comum, cot_prc_min, cot_prc_max, cot_prc_med, cot_prc_mediana) VALUES (398, 47, 6, 72, 60, 72, 68, 72);</v>
      </c>
      <c r="J399" s="0" t="str">
        <f aca="false">"UPDATE COTACAO SET cot_id = "&amp;A399&amp;", cot_blt_id = "&amp;B399&amp;", cot_pap_id = "&amp;C399&amp;", cot_prc_comum = "&amp;D399&amp;", cot_prc_min = "&amp;E399&amp;", cot_prc_max = "&amp;F399&amp;", cot_prc_med = "&amp;G399&amp;", cot_prc_mediana = "&amp;H399&amp;" WHERE cot_id = "&amp;A399&amp;";"</f>
        <v>UPDATE COTACAO SET cot_id = 398, cot_blt_id = 47, cot_pap_id = 6, cot_prc_comum = 72, cot_prc_min = 60, cot_prc_max = 72, cot_prc_med = 68, cot_prc_mediana = 72 WHERE cot_id = 398;</v>
      </c>
    </row>
    <row r="400" customFormat="false" ht="14.25" hidden="false" customHeight="false" outlineLevel="0" collapsed="false">
      <c r="A400" s="0" t="n">
        <v>399</v>
      </c>
      <c r="B400" s="0" t="n">
        <f aca="false">IF('Boletins Nuppa Site'!A400&lt;&gt;0,'Boletins Nuppa Site'!A400,"NULL")</f>
        <v>47</v>
      </c>
      <c r="C400" s="0" t="n">
        <v>7</v>
      </c>
      <c r="D400" s="0" t="str">
        <f aca="false">IF('Boletins Nuppa Site'!G400&lt;&gt;0,'Boletins Nuppa Site'!G400,"NULL")</f>
        <v>NULL</v>
      </c>
      <c r="E400" s="30" t="n">
        <f aca="false">IF('Boletins Nuppa Site'!H400&lt;&gt;0,'Boletins Nuppa Site'!H400,"NULL")</f>
        <v>72</v>
      </c>
      <c r="F400" s="30" t="n">
        <f aca="false">IF('Boletins Nuppa Site'!I400&lt;&gt;0,'Boletins Nuppa Site'!I400,"NULL")</f>
        <v>96</v>
      </c>
      <c r="G400" s="30" t="n">
        <f aca="false">IF('Boletins Nuppa Site'!J400&lt;&gt;0,'Boletins Nuppa Site'!J400,"NULL")</f>
        <v>86</v>
      </c>
      <c r="H400" s="30" t="n">
        <f aca="false">IF('Boletins Nuppa Site'!K400&lt;&gt;0,'Boletins Nuppa Site'!K400,"NULL")</f>
        <v>90</v>
      </c>
      <c r="I400" s="0" t="str">
        <f aca="false">"INSERT INTO COTACAO (cot_id, cot_blt_id, cot_pap_id, cot_prc_comum, cot_prc_min, cot_prc_max, cot_prc_med, cot_prc_mediana) VALUES ("&amp;A400&amp;", "&amp;B400&amp;", "&amp;C400&amp;", "&amp;D400&amp;", "&amp;E400&amp;", "&amp;F400&amp;", "&amp;G400&amp;", "&amp;H400&amp;");"</f>
        <v>INSERT INTO COTACAO (cot_id, cot_blt_id, cot_pap_id, cot_prc_comum, cot_prc_min, cot_prc_max, cot_prc_med, cot_prc_mediana) VALUES (399, 47, 7, NULL, 72, 96, 86, 90);</v>
      </c>
      <c r="J400" s="0" t="str">
        <f aca="false">"UPDATE COTACAO SET cot_id = "&amp;A400&amp;", cot_blt_id = "&amp;B400&amp;", cot_pap_id = "&amp;C400&amp;", cot_prc_comum = "&amp;D400&amp;", cot_prc_min = "&amp;E400&amp;", cot_prc_max = "&amp;F400&amp;", cot_prc_med = "&amp;G400&amp;", cot_prc_mediana = "&amp;H400&amp;" WHERE cot_id = "&amp;A400&amp;";"</f>
        <v>UPDATE COTACAO SET cot_id = 399, cot_blt_id = 47, cot_pap_id = 7, cot_prc_comum = NULL, cot_prc_min = 72, cot_prc_max = 96, cot_prc_med = 86, cot_prc_mediana = 90 WHERE cot_id = 399;</v>
      </c>
    </row>
    <row r="401" customFormat="false" ht="14.25" hidden="false" customHeight="false" outlineLevel="0" collapsed="false">
      <c r="A401" s="0" t="n">
        <v>400</v>
      </c>
      <c r="B401" s="0" t="n">
        <f aca="false">IF('Boletins Nuppa Site'!A401&lt;&gt;0,'Boletins Nuppa Site'!A401,"NULL")</f>
        <v>47</v>
      </c>
      <c r="C401" s="0" t="n">
        <v>8</v>
      </c>
      <c r="D401" s="0" t="str">
        <f aca="false">IF('Boletins Nuppa Site'!G401&lt;&gt;0,'Boletins Nuppa Site'!G401,"NULL")</f>
        <v>NULL</v>
      </c>
      <c r="E401" s="30" t="n">
        <f aca="false">IF('Boletins Nuppa Site'!H401&lt;&gt;0,'Boletins Nuppa Site'!H401,"NULL")</f>
        <v>120</v>
      </c>
      <c r="F401" s="30" t="n">
        <f aca="false">IF('Boletins Nuppa Site'!I401&lt;&gt;0,'Boletins Nuppa Site'!I401,"NULL")</f>
        <v>120</v>
      </c>
      <c r="G401" s="30" t="n">
        <f aca="false">IF('Boletins Nuppa Site'!J401&lt;&gt;0,'Boletins Nuppa Site'!J401,"NULL")</f>
        <v>120</v>
      </c>
      <c r="H401" s="30" t="n">
        <f aca="false">IF('Boletins Nuppa Site'!K401&lt;&gt;0,'Boletins Nuppa Site'!K401,"NULL")</f>
        <v>120</v>
      </c>
      <c r="I401" s="0" t="str">
        <f aca="false">"INSERT INTO COTACAO (cot_id, cot_blt_id, cot_pap_id, cot_prc_comum, cot_prc_min, cot_prc_max, cot_prc_med, cot_prc_mediana) VALUES ("&amp;A401&amp;", "&amp;B401&amp;", "&amp;C401&amp;", "&amp;D401&amp;", "&amp;E401&amp;", "&amp;F401&amp;", "&amp;G401&amp;", "&amp;H401&amp;");"</f>
        <v>INSERT INTO COTACAO (cot_id, cot_blt_id, cot_pap_id, cot_prc_comum, cot_prc_min, cot_prc_max, cot_prc_med, cot_prc_mediana) VALUES (400, 47, 8, NULL, 120, 120, 120, 120);</v>
      </c>
      <c r="J401" s="0" t="str">
        <f aca="false">"UPDATE COTACAO SET cot_id = "&amp;A401&amp;", cot_blt_id = "&amp;B401&amp;", cot_pap_id = "&amp;C401&amp;", cot_prc_comum = "&amp;D401&amp;", cot_prc_min = "&amp;E401&amp;", cot_prc_max = "&amp;F401&amp;", cot_prc_med = "&amp;G401&amp;", cot_prc_mediana = "&amp;H401&amp;" WHERE cot_id = "&amp;A401&amp;";"</f>
        <v>UPDATE COTACAO SET cot_id = 400, cot_blt_id = 47, cot_pap_id = 8, cot_prc_comum = NULL, cot_prc_min = 120, cot_prc_max = 120, cot_prc_med = 120, cot_prc_mediana = 120 WHERE cot_id = 400;</v>
      </c>
    </row>
    <row r="402" customFormat="false" ht="14.25" hidden="false" customHeight="false" outlineLevel="0" collapsed="false">
      <c r="A402" s="0" t="n">
        <v>401</v>
      </c>
      <c r="B402" s="0" t="n">
        <f aca="false">IF('Boletins Nuppa Site'!A402&lt;&gt;0,'Boletins Nuppa Site'!A402,"NULL")</f>
        <v>47</v>
      </c>
      <c r="C402" s="0" t="n">
        <v>9</v>
      </c>
      <c r="D402" s="30" t="n">
        <f aca="false">IF('Boletins Nuppa Site'!G402&lt;&gt;0,'Boletins Nuppa Site'!G402,"NULL")</f>
        <v>30</v>
      </c>
      <c r="E402" s="30" t="n">
        <f aca="false">IF('Boletins Nuppa Site'!H402&lt;&gt;0,'Boletins Nuppa Site'!H402,"NULL")</f>
        <v>30</v>
      </c>
      <c r="F402" s="30" t="n">
        <f aca="false">IF('Boletins Nuppa Site'!I402&lt;&gt;0,'Boletins Nuppa Site'!I402,"NULL")</f>
        <v>36</v>
      </c>
      <c r="G402" s="30" t="n">
        <f aca="false">IF('Boletins Nuppa Site'!J402&lt;&gt;0,'Boletins Nuppa Site'!J402,"NULL")</f>
        <v>32</v>
      </c>
      <c r="H402" s="30" t="n">
        <f aca="false">IF('Boletins Nuppa Site'!K402&lt;&gt;0,'Boletins Nuppa Site'!K402,"NULL")</f>
        <v>30</v>
      </c>
      <c r="I402" s="0" t="str">
        <f aca="false">"INSERT INTO COTACAO (cot_id, cot_blt_id, cot_pap_id, cot_prc_comum, cot_prc_min, cot_prc_max, cot_prc_med, cot_prc_mediana) VALUES ("&amp;A402&amp;", "&amp;B402&amp;", "&amp;C402&amp;", "&amp;D402&amp;", "&amp;E402&amp;", "&amp;F402&amp;", "&amp;G402&amp;", "&amp;H402&amp;");"</f>
        <v>INSERT INTO COTACAO (cot_id, cot_blt_id, cot_pap_id, cot_prc_comum, cot_prc_min, cot_prc_max, cot_prc_med, cot_prc_mediana) VALUES (401, 47, 9, 30, 30, 36, 32, 30);</v>
      </c>
      <c r="J402" s="0" t="str">
        <f aca="false">"UPDATE COTACAO SET cot_id = "&amp;A402&amp;", cot_blt_id = "&amp;B402&amp;", cot_pap_id = "&amp;C402&amp;", cot_prc_comum = "&amp;D402&amp;", cot_prc_min = "&amp;E402&amp;", cot_prc_max = "&amp;F402&amp;", cot_prc_med = "&amp;G402&amp;", cot_prc_mediana = "&amp;H402&amp;" WHERE cot_id = "&amp;A402&amp;";"</f>
        <v>UPDATE COTACAO SET cot_id = 401, cot_blt_id = 47, cot_pap_id = 9, cot_prc_comum = 30, cot_prc_min = 30, cot_prc_max = 36, cot_prc_med = 32, cot_prc_mediana = 30 WHERE cot_id = 401;</v>
      </c>
    </row>
    <row r="403" customFormat="false" ht="14.25" hidden="false" customHeight="false" outlineLevel="0" collapsed="false">
      <c r="A403" s="0" t="n">
        <v>402</v>
      </c>
      <c r="B403" s="0" t="n">
        <f aca="false">IF('Boletins Nuppa Site'!A403&lt;&gt;0,'Boletins Nuppa Site'!A403,"NULL")</f>
        <v>47</v>
      </c>
      <c r="C403" s="0" t="n">
        <v>10</v>
      </c>
      <c r="D403" s="30" t="n">
        <f aca="false">IF('Boletins Nuppa Site'!G403&lt;&gt;0,'Boletins Nuppa Site'!G403,"NULL")</f>
        <v>120</v>
      </c>
      <c r="E403" s="30" t="n">
        <f aca="false">IF('Boletins Nuppa Site'!H403&lt;&gt;0,'Boletins Nuppa Site'!H403,"NULL")</f>
        <v>120</v>
      </c>
      <c r="F403" s="30" t="n">
        <f aca="false">IF('Boletins Nuppa Site'!I403&lt;&gt;0,'Boletins Nuppa Site'!I403,"NULL")</f>
        <v>120</v>
      </c>
      <c r="G403" s="30" t="n">
        <f aca="false">IF('Boletins Nuppa Site'!J403&lt;&gt;0,'Boletins Nuppa Site'!J403,"NULL")</f>
        <v>120</v>
      </c>
      <c r="H403" s="30" t="n">
        <f aca="false">IF('Boletins Nuppa Site'!K403&lt;&gt;0,'Boletins Nuppa Site'!K403,"NULL")</f>
        <v>120</v>
      </c>
      <c r="I403" s="0" t="str">
        <f aca="false">"INSERT INTO COTACAO (cot_id, cot_blt_id, cot_pap_id, cot_prc_comum, cot_prc_min, cot_prc_max, cot_prc_med, cot_prc_mediana) VALUES ("&amp;A403&amp;", "&amp;B403&amp;", "&amp;C403&amp;", "&amp;D403&amp;", "&amp;E403&amp;", "&amp;F403&amp;", "&amp;G403&amp;", "&amp;H403&amp;");"</f>
        <v>INSERT INTO COTACAO (cot_id, cot_blt_id, cot_pap_id, cot_prc_comum, cot_prc_min, cot_prc_max, cot_prc_med, cot_prc_mediana) VALUES (402, 47, 10, 120, 120, 120, 120, 120);</v>
      </c>
      <c r="J403" s="0" t="str">
        <f aca="false">"UPDATE COTACAO SET cot_id = "&amp;A403&amp;", cot_blt_id = "&amp;B403&amp;", cot_pap_id = "&amp;C403&amp;", cot_prc_comum = "&amp;D403&amp;", cot_prc_min = "&amp;E403&amp;", cot_prc_max = "&amp;F403&amp;", cot_prc_med = "&amp;G403&amp;", cot_prc_mediana = "&amp;H403&amp;" WHERE cot_id = "&amp;A403&amp;";"</f>
        <v>UPDATE COTACAO SET cot_id = 402, cot_blt_id = 47, cot_pap_id = 10, cot_prc_comum = 120, cot_prc_min = 120, cot_prc_max = 120, cot_prc_med = 120, cot_prc_mediana = 120 WHERE cot_id = 402;</v>
      </c>
    </row>
    <row r="404" customFormat="false" ht="14.25" hidden="false" customHeight="false" outlineLevel="0" collapsed="false">
      <c r="A404" s="0" t="n">
        <v>403</v>
      </c>
      <c r="B404" s="0" t="n">
        <f aca="false">IF('Boletins Nuppa Site'!A404&lt;&gt;0,'Boletins Nuppa Site'!A404,"NULL")</f>
        <v>47</v>
      </c>
      <c r="C404" s="0" t="n">
        <v>11</v>
      </c>
      <c r="D404" s="0" t="str">
        <f aca="false">IF('Boletins Nuppa Site'!G404&lt;&gt;0,'Boletins Nuppa Site'!G404,"NULL")</f>
        <v>NULL</v>
      </c>
      <c r="E404" s="30" t="n">
        <f aca="false">IF('Boletins Nuppa Site'!H404&lt;&gt;0,'Boletins Nuppa Site'!H404,"NULL")</f>
        <v>30</v>
      </c>
      <c r="F404" s="30" t="n">
        <f aca="false">IF('Boletins Nuppa Site'!I404&lt;&gt;0,'Boletins Nuppa Site'!I404,"NULL")</f>
        <v>42</v>
      </c>
      <c r="G404" s="30" t="n">
        <f aca="false">IF('Boletins Nuppa Site'!J404&lt;&gt;0,'Boletins Nuppa Site'!J404,"NULL")</f>
        <v>36</v>
      </c>
      <c r="H404" s="30" t="n">
        <f aca="false">IF('Boletins Nuppa Site'!K404&lt;&gt;0,'Boletins Nuppa Site'!K404,"NULL")</f>
        <v>36</v>
      </c>
      <c r="I404" s="0" t="str">
        <f aca="false">"INSERT INTO COTACAO (cot_id, cot_blt_id, cot_pap_id, cot_prc_comum, cot_prc_min, cot_prc_max, cot_prc_med, cot_prc_mediana) VALUES ("&amp;A404&amp;", "&amp;B404&amp;", "&amp;C404&amp;", "&amp;D404&amp;", "&amp;E404&amp;", "&amp;F404&amp;", "&amp;G404&amp;", "&amp;H404&amp;");"</f>
        <v>INSERT INTO COTACAO (cot_id, cot_blt_id, cot_pap_id, cot_prc_comum, cot_prc_min, cot_prc_max, cot_prc_med, cot_prc_mediana) VALUES (403, 47, 11, NULL, 30, 42, 36, 36);</v>
      </c>
      <c r="J404" s="0" t="str">
        <f aca="false">"UPDATE COTACAO SET cot_id = "&amp;A404&amp;", cot_blt_id = "&amp;B404&amp;", cot_pap_id = "&amp;C404&amp;", cot_prc_comum = "&amp;D404&amp;", cot_prc_min = "&amp;E404&amp;", cot_prc_max = "&amp;F404&amp;", cot_prc_med = "&amp;G404&amp;", cot_prc_mediana = "&amp;H404&amp;" WHERE cot_id = "&amp;A404&amp;";"</f>
        <v>UPDATE COTACAO SET cot_id = 403, cot_blt_id = 47, cot_pap_id = 11, cot_prc_comum = NULL, cot_prc_min = 30, cot_prc_max = 42, cot_prc_med = 36, cot_prc_mediana = 36 WHERE cot_id = 403;</v>
      </c>
    </row>
    <row r="405" customFormat="false" ht="14.25" hidden="false" customHeight="false" outlineLevel="0" collapsed="false">
      <c r="A405" s="0" t="n">
        <v>404</v>
      </c>
      <c r="B405" s="0" t="n">
        <f aca="false">IF('Boletins Nuppa Site'!A405&lt;&gt;0,'Boletins Nuppa Site'!A405,"NULL")</f>
        <v>47</v>
      </c>
      <c r="C405" s="0" t="n">
        <v>12</v>
      </c>
      <c r="D405" s="0" t="str">
        <f aca="false">IF('Boletins Nuppa Site'!G405&lt;&gt;0,'Boletins Nuppa Site'!G405,"NULL")</f>
        <v>NULL</v>
      </c>
      <c r="E405" s="30" t="n">
        <f aca="false">IF('Boletins Nuppa Site'!H405&lt;&gt;0,'Boletins Nuppa Site'!H405,"NULL")</f>
        <v>78</v>
      </c>
      <c r="F405" s="30" t="n">
        <f aca="false">IF('Boletins Nuppa Site'!I405&lt;&gt;0,'Boletins Nuppa Site'!I405,"NULL")</f>
        <v>96</v>
      </c>
      <c r="G405" s="30" t="n">
        <f aca="false">IF('Boletins Nuppa Site'!J405&lt;&gt;0,'Boletins Nuppa Site'!J405,"NULL")</f>
        <v>86</v>
      </c>
      <c r="H405" s="30" t="n">
        <f aca="false">IF('Boletins Nuppa Site'!K405&lt;&gt;0,'Boletins Nuppa Site'!K405,"NULL")</f>
        <v>84</v>
      </c>
      <c r="I405" s="0" t="str">
        <f aca="false">"INSERT INTO COTACAO (cot_id, cot_blt_id, cot_pap_id, cot_prc_comum, cot_prc_min, cot_prc_max, cot_prc_med, cot_prc_mediana) VALUES ("&amp;A405&amp;", "&amp;B405&amp;", "&amp;C405&amp;", "&amp;D405&amp;", "&amp;E405&amp;", "&amp;F405&amp;", "&amp;G405&amp;", "&amp;H405&amp;");"</f>
        <v>INSERT INTO COTACAO (cot_id, cot_blt_id, cot_pap_id, cot_prc_comum, cot_prc_min, cot_prc_max, cot_prc_med, cot_prc_mediana) VALUES (404, 47, 12, NULL, 78, 96, 86, 84);</v>
      </c>
      <c r="J405" s="0" t="str">
        <f aca="false">"UPDATE COTACAO SET cot_id = "&amp;A405&amp;", cot_blt_id = "&amp;B405&amp;", cot_pap_id = "&amp;C405&amp;", cot_prc_comum = "&amp;D405&amp;", cot_prc_min = "&amp;E405&amp;", cot_prc_max = "&amp;F405&amp;", cot_prc_med = "&amp;G405&amp;", cot_prc_mediana = "&amp;H405&amp;" WHERE cot_id = "&amp;A405&amp;";"</f>
        <v>UPDATE COTACAO SET cot_id = 404, cot_blt_id = 47, cot_pap_id = 12, cot_prc_comum = NULL, cot_prc_min = 78, cot_prc_max = 96, cot_prc_med = 86, cot_prc_mediana = 84 WHERE cot_id = 404;</v>
      </c>
    </row>
    <row r="406" customFormat="false" ht="14.25" hidden="false" customHeight="false" outlineLevel="0" collapsed="false">
      <c r="A406" s="0" t="n">
        <v>405</v>
      </c>
      <c r="B406" s="0" t="n">
        <f aca="false">IF('Boletins Nuppa Site'!A406&lt;&gt;0,'Boletins Nuppa Site'!A406,"NULL")</f>
        <v>47</v>
      </c>
      <c r="C406" s="0" t="n">
        <v>13</v>
      </c>
      <c r="D406" s="0" t="str">
        <f aca="false">IF('Boletins Nuppa Site'!G406&lt;&gt;0,'Boletins Nuppa Site'!G406,"NULL")</f>
        <v>NULL</v>
      </c>
      <c r="E406" s="30" t="n">
        <f aca="false">IF('Boletins Nuppa Site'!H406&lt;&gt;0,'Boletins Nuppa Site'!H406,"NULL")</f>
        <v>60</v>
      </c>
      <c r="F406" s="30" t="n">
        <f aca="false">IF('Boletins Nuppa Site'!I406&lt;&gt;0,'Boletins Nuppa Site'!I406,"NULL")</f>
        <v>78</v>
      </c>
      <c r="G406" s="30" t="n">
        <f aca="false">IF('Boletins Nuppa Site'!J406&lt;&gt;0,'Boletins Nuppa Site'!J406,"NULL")</f>
        <v>70</v>
      </c>
      <c r="H406" s="30" t="n">
        <f aca="false">IF('Boletins Nuppa Site'!K406&lt;&gt;0,'Boletins Nuppa Site'!K406,"NULL")</f>
        <v>72</v>
      </c>
      <c r="I406" s="0" t="str">
        <f aca="false">"INSERT INTO COTACAO (cot_id, cot_blt_id, cot_pap_id, cot_prc_comum, cot_prc_min, cot_prc_max, cot_prc_med, cot_prc_mediana) VALUES ("&amp;A406&amp;", "&amp;B406&amp;", "&amp;C406&amp;", "&amp;D406&amp;", "&amp;E406&amp;", "&amp;F406&amp;", "&amp;G406&amp;", "&amp;H406&amp;");"</f>
        <v>INSERT INTO COTACAO (cot_id, cot_blt_id, cot_pap_id, cot_prc_comum, cot_prc_min, cot_prc_max, cot_prc_med, cot_prc_mediana) VALUES (405, 47, 13, NULL, 60, 78, 70, 72);</v>
      </c>
      <c r="J406" s="0" t="str">
        <f aca="false">"UPDATE COTACAO SET cot_id = "&amp;A406&amp;", cot_blt_id = "&amp;B406&amp;", cot_pap_id = "&amp;C406&amp;", cot_prc_comum = "&amp;D406&amp;", cot_prc_min = "&amp;E406&amp;", cot_prc_max = "&amp;F406&amp;", cot_prc_med = "&amp;G406&amp;", cot_prc_mediana = "&amp;H406&amp;" WHERE cot_id = "&amp;A406&amp;";"</f>
        <v>UPDATE COTACAO SET cot_id = 405, cot_blt_id = 47, cot_pap_id = 13, cot_prc_comum = NULL, cot_prc_min = 60, cot_prc_max = 78, cot_prc_med = 70, cot_prc_mediana = 72 WHERE cot_id = 405;</v>
      </c>
    </row>
    <row r="407" customFormat="false" ht="14.25" hidden="false" customHeight="false" outlineLevel="0" collapsed="false">
      <c r="A407" s="0" t="n">
        <v>406</v>
      </c>
      <c r="B407" s="0" t="n">
        <f aca="false">IF('Boletins Nuppa Site'!A407&lt;&gt;0,'Boletins Nuppa Site'!A407,"NULL")</f>
        <v>47</v>
      </c>
      <c r="C407" s="0" t="n">
        <v>14</v>
      </c>
      <c r="D407" s="0" t="str">
        <f aca="false">IF('Boletins Nuppa Site'!G407&lt;&gt;0,'Boletins Nuppa Site'!G407,"NULL")</f>
        <v>NULL</v>
      </c>
      <c r="E407" s="30" t="n">
        <f aca="false">IF('Boletins Nuppa Site'!H407&lt;&gt;0,'Boletins Nuppa Site'!H407,"NULL")</f>
        <v>60</v>
      </c>
      <c r="F407" s="30" t="n">
        <f aca="false">IF('Boletins Nuppa Site'!I407&lt;&gt;0,'Boletins Nuppa Site'!I407,"NULL")</f>
        <v>120</v>
      </c>
      <c r="G407" s="0" t="str">
        <f aca="false">IF('Boletins Nuppa Site'!J407&lt;&gt;0,'Boletins Nuppa Site'!J407,"NULL")</f>
        <v>81.8</v>
      </c>
      <c r="H407" s="30" t="n">
        <f aca="false">IF('Boletins Nuppa Site'!K407&lt;&gt;0,'Boletins Nuppa Site'!K407,"NULL")</f>
        <v>75</v>
      </c>
      <c r="I407" s="0" t="str">
        <f aca="false">"INSERT INTO COTACAO (cot_id, cot_blt_id, cot_pap_id, cot_prc_comum, cot_prc_min, cot_prc_max, cot_prc_med, cot_prc_mediana) VALUES ("&amp;A407&amp;", "&amp;B407&amp;", "&amp;C407&amp;", "&amp;D407&amp;", "&amp;E407&amp;", "&amp;F407&amp;", "&amp;G407&amp;", "&amp;H407&amp;");"</f>
        <v>INSERT INTO COTACAO (cot_id, cot_blt_id, cot_pap_id, cot_prc_comum, cot_prc_min, cot_prc_max, cot_prc_med, cot_prc_mediana) VALUES (406, 47, 14, NULL, 60, 120, 81.8, 75);</v>
      </c>
      <c r="J407" s="0" t="str">
        <f aca="false">"UPDATE COTACAO SET cot_id = "&amp;A407&amp;", cot_blt_id = "&amp;B407&amp;", cot_pap_id = "&amp;C407&amp;", cot_prc_comum = "&amp;D407&amp;", cot_prc_min = "&amp;E407&amp;", cot_prc_max = "&amp;F407&amp;", cot_prc_med = "&amp;G407&amp;", cot_prc_mediana = "&amp;H407&amp;" WHERE cot_id = "&amp;A407&amp;";"</f>
        <v>UPDATE COTACAO SET cot_id = 406, cot_blt_id = 47, cot_pap_id = 14, cot_prc_comum = NULL, cot_prc_min = 60, cot_prc_max = 120, cot_prc_med = 81.8, cot_prc_mediana = 75 WHERE cot_id = 406;</v>
      </c>
    </row>
    <row r="408" customFormat="false" ht="14.25" hidden="false" customHeight="false" outlineLevel="0" collapsed="false">
      <c r="A408" s="0" t="n">
        <v>407</v>
      </c>
      <c r="B408" s="0" t="n">
        <f aca="false">IF('Boletins Nuppa Site'!A408&lt;&gt;0,'Boletins Nuppa Site'!A408,"NULL")</f>
        <v>47</v>
      </c>
      <c r="C408" s="0" t="n">
        <v>15</v>
      </c>
      <c r="D408" s="30" t="n">
        <f aca="false">IF('Boletins Nuppa Site'!G408&lt;&gt;0,'Boletins Nuppa Site'!G408,"NULL")</f>
        <v>60</v>
      </c>
      <c r="E408" s="30" t="n">
        <f aca="false">IF('Boletins Nuppa Site'!H408&lt;&gt;0,'Boletins Nuppa Site'!H408,"NULL")</f>
        <v>50</v>
      </c>
      <c r="F408" s="30" t="n">
        <f aca="false">IF('Boletins Nuppa Site'!I408&lt;&gt;0,'Boletins Nuppa Site'!I408,"NULL")</f>
        <v>84</v>
      </c>
      <c r="G408" s="0" t="str">
        <f aca="false">IF('Boletins Nuppa Site'!J408&lt;&gt;0,'Boletins Nuppa Site'!J408,"NULL")</f>
        <v>62.33</v>
      </c>
      <c r="H408" s="30" t="n">
        <f aca="false">IF('Boletins Nuppa Site'!K408&lt;&gt;0,'Boletins Nuppa Site'!K408,"NULL")</f>
        <v>60</v>
      </c>
      <c r="I408" s="0" t="str">
        <f aca="false">"INSERT INTO COTACAO (cot_id, cot_blt_id, cot_pap_id, cot_prc_comum, cot_prc_min, cot_prc_max, cot_prc_med, cot_prc_mediana) VALUES ("&amp;A408&amp;", "&amp;B408&amp;", "&amp;C408&amp;", "&amp;D408&amp;", "&amp;E408&amp;", "&amp;F408&amp;", "&amp;G408&amp;", "&amp;H408&amp;");"</f>
        <v>INSERT INTO COTACAO (cot_id, cot_blt_id, cot_pap_id, cot_prc_comum, cot_prc_min, cot_prc_max, cot_prc_med, cot_prc_mediana) VALUES (407, 47, 15, 60, 50, 84, 62.33, 60);</v>
      </c>
      <c r="J408" s="0" t="str">
        <f aca="false">"UPDATE COTACAO SET cot_id = "&amp;A408&amp;", cot_blt_id = "&amp;B408&amp;", cot_pap_id = "&amp;C408&amp;", cot_prc_comum = "&amp;D408&amp;", cot_prc_min = "&amp;E408&amp;", cot_prc_max = "&amp;F408&amp;", cot_prc_med = "&amp;G408&amp;", cot_prc_mediana = "&amp;H408&amp;" WHERE cot_id = "&amp;A408&amp;";"</f>
        <v>UPDATE COTACAO SET cot_id = 407, cot_blt_id = 47, cot_pap_id = 15, cot_prc_comum = 60, cot_prc_min = 50, cot_prc_max = 84, cot_prc_med = 62.33, cot_prc_mediana = 60 WHERE cot_id = 407;</v>
      </c>
    </row>
    <row r="409" customFormat="false" ht="14.25" hidden="false" customHeight="false" outlineLevel="0" collapsed="false">
      <c r="A409" s="0" t="n">
        <v>408</v>
      </c>
      <c r="B409" s="0" t="n">
        <f aca="false">IF('Boletins Nuppa Site'!A409&lt;&gt;0,'Boletins Nuppa Site'!A409,"NULL")</f>
        <v>47</v>
      </c>
      <c r="C409" s="0" t="n">
        <v>16</v>
      </c>
      <c r="D409" s="30" t="n">
        <f aca="false">IF('Boletins Nuppa Site'!G409&lt;&gt;0,'Boletins Nuppa Site'!G409,"NULL")</f>
        <v>54</v>
      </c>
      <c r="E409" s="30" t="n">
        <f aca="false">IF('Boletins Nuppa Site'!H409&lt;&gt;0,'Boletins Nuppa Site'!H409,"NULL")</f>
        <v>48</v>
      </c>
      <c r="F409" s="30" t="n">
        <f aca="false">IF('Boletins Nuppa Site'!I409&lt;&gt;0,'Boletins Nuppa Site'!I409,"NULL")</f>
        <v>54</v>
      </c>
      <c r="G409" s="30" t="n">
        <f aca="false">IF('Boletins Nuppa Site'!J409&lt;&gt;0,'Boletins Nuppa Site'!J409,"NULL")</f>
        <v>52</v>
      </c>
      <c r="H409" s="30" t="n">
        <f aca="false">IF('Boletins Nuppa Site'!K409&lt;&gt;0,'Boletins Nuppa Site'!K409,"NULL")</f>
        <v>54</v>
      </c>
      <c r="I409" s="0" t="str">
        <f aca="false">"INSERT INTO COTACAO (cot_id, cot_blt_id, cot_pap_id, cot_prc_comum, cot_prc_min, cot_prc_max, cot_prc_med, cot_prc_mediana) VALUES ("&amp;A409&amp;", "&amp;B409&amp;", "&amp;C409&amp;", "&amp;D409&amp;", "&amp;E409&amp;", "&amp;F409&amp;", "&amp;G409&amp;", "&amp;H409&amp;");"</f>
        <v>INSERT INTO COTACAO (cot_id, cot_blt_id, cot_pap_id, cot_prc_comum, cot_prc_min, cot_prc_max, cot_prc_med, cot_prc_mediana) VALUES (408, 47, 16, 54, 48, 54, 52, 54);</v>
      </c>
      <c r="J409" s="0" t="str">
        <f aca="false">"UPDATE COTACAO SET cot_id = "&amp;A409&amp;", cot_blt_id = "&amp;B409&amp;", cot_pap_id = "&amp;C409&amp;", cot_prc_comum = "&amp;D409&amp;", cot_prc_min = "&amp;E409&amp;", cot_prc_max = "&amp;F409&amp;", cot_prc_med = "&amp;G409&amp;", cot_prc_mediana = "&amp;H409&amp;" WHERE cot_id = "&amp;A409&amp;";"</f>
        <v>UPDATE COTACAO SET cot_id = 408, cot_blt_id = 47, cot_pap_id = 16, cot_prc_comum = 54, cot_prc_min = 48, cot_prc_max = 54, cot_prc_med = 52, cot_prc_mediana = 54 WHERE cot_id = 408;</v>
      </c>
    </row>
    <row r="410" customFormat="false" ht="14.25" hidden="false" customHeight="false" outlineLevel="0" collapsed="false">
      <c r="A410" s="0" t="n">
        <v>409</v>
      </c>
      <c r="B410" s="0" t="n">
        <f aca="false">IF('Boletins Nuppa Site'!A410&lt;&gt;0,'Boletins Nuppa Site'!A410,"NULL")</f>
        <v>47</v>
      </c>
      <c r="C410" s="0" t="n">
        <v>17</v>
      </c>
      <c r="D410" s="0" t="str">
        <f aca="false">IF('Boletins Nuppa Site'!G410&lt;&gt;0,'Boletins Nuppa Site'!G410,"NULL")</f>
        <v>NULL</v>
      </c>
      <c r="E410" s="0" t="str">
        <f aca="false">IF('Boletins Nuppa Site'!H410&lt;&gt;0,'Boletins Nuppa Site'!H410,"NULL")</f>
        <v>4.5</v>
      </c>
      <c r="F410" s="30" t="n">
        <f aca="false">IF('Boletins Nuppa Site'!I410&lt;&gt;0,'Boletins Nuppa Site'!I410,"NULL")</f>
        <v>5</v>
      </c>
      <c r="G410" s="0" t="str">
        <f aca="false">IF('Boletins Nuppa Site'!J410&lt;&gt;0,'Boletins Nuppa Site'!J410,"NULL")</f>
        <v>4.75</v>
      </c>
      <c r="H410" s="0" t="str">
        <f aca="false">IF('Boletins Nuppa Site'!K410&lt;&gt;0,'Boletins Nuppa Site'!K410,"NULL")</f>
        <v>4.75</v>
      </c>
      <c r="I410" s="0" t="str">
        <f aca="false">"INSERT INTO COTACAO (cot_id, cot_blt_id, cot_pap_id, cot_prc_comum, cot_prc_min, cot_prc_max, cot_prc_med, cot_prc_mediana) VALUES ("&amp;A410&amp;", "&amp;B410&amp;", "&amp;C410&amp;", "&amp;D410&amp;", "&amp;E410&amp;", "&amp;F410&amp;", "&amp;G410&amp;", "&amp;H410&amp;");"</f>
        <v>INSERT INTO COTACAO (cot_id, cot_blt_id, cot_pap_id, cot_prc_comum, cot_prc_min, cot_prc_max, cot_prc_med, cot_prc_mediana) VALUES (409, 47, 17, NULL, 4.5, 5, 4.75, 4.75);</v>
      </c>
      <c r="J410" s="0" t="str">
        <f aca="false">"UPDATE COTACAO SET cot_id = "&amp;A410&amp;", cot_blt_id = "&amp;B410&amp;", cot_pap_id = "&amp;C410&amp;", cot_prc_comum = "&amp;D410&amp;", cot_prc_min = "&amp;E410&amp;", cot_prc_max = "&amp;F410&amp;", cot_prc_med = "&amp;G410&amp;", cot_prc_mediana = "&amp;H410&amp;" WHERE cot_id = "&amp;A410&amp;";"</f>
        <v>UPDATE COTACAO SET cot_id = 409, cot_blt_id = 47, cot_pap_id = 17, cot_prc_comum = NULL, cot_prc_min = 4.5, cot_prc_max = 5, cot_prc_med = 4.75, cot_prc_mediana = 4.75 WHERE cot_id = 409;</v>
      </c>
    </row>
    <row r="411" customFormat="false" ht="14.25" hidden="false" customHeight="false" outlineLevel="0" collapsed="false">
      <c r="A411" s="0" t="n">
        <v>410</v>
      </c>
      <c r="B411" s="0" t="n">
        <f aca="false">IF('Boletins Nuppa Site'!A411&lt;&gt;0,'Boletins Nuppa Site'!A411,"NULL")</f>
        <v>47</v>
      </c>
      <c r="C411" s="0" t="n">
        <v>18</v>
      </c>
      <c r="D411" s="0" t="str">
        <f aca="false">IF('Boletins Nuppa Site'!G411&lt;&gt;0,'Boletins Nuppa Site'!G411,"NULL")</f>
        <v>NULL</v>
      </c>
      <c r="E411" s="30" t="n">
        <f aca="false">IF('Boletins Nuppa Site'!H411&lt;&gt;0,'Boletins Nuppa Site'!H411,"NULL")</f>
        <v>25</v>
      </c>
      <c r="F411" s="30" t="n">
        <f aca="false">IF('Boletins Nuppa Site'!I411&lt;&gt;0,'Boletins Nuppa Site'!I411,"NULL")</f>
        <v>40</v>
      </c>
      <c r="G411" s="0" t="str">
        <f aca="false">IF('Boletins Nuppa Site'!J411&lt;&gt;0,'Boletins Nuppa Site'!J411,"NULL")</f>
        <v>32.5</v>
      </c>
      <c r="H411" s="0" t="str">
        <f aca="false">IF('Boletins Nuppa Site'!K411&lt;&gt;0,'Boletins Nuppa Site'!K411,"NULL")</f>
        <v>32.5</v>
      </c>
      <c r="I411" s="0" t="str">
        <f aca="false">"INSERT INTO COTACAO (cot_id, cot_blt_id, cot_pap_id, cot_prc_comum, cot_prc_min, cot_prc_max, cot_prc_med, cot_prc_mediana) VALUES ("&amp;A411&amp;", "&amp;B411&amp;", "&amp;C411&amp;", "&amp;D411&amp;", "&amp;E411&amp;", "&amp;F411&amp;", "&amp;G411&amp;", "&amp;H411&amp;");"</f>
        <v>INSERT INTO COTACAO (cot_id, cot_blt_id, cot_pap_id, cot_prc_comum, cot_prc_min, cot_prc_max, cot_prc_med, cot_prc_mediana) VALUES (410, 47, 18, NULL, 25, 40, 32.5, 32.5);</v>
      </c>
      <c r="J411" s="0" t="str">
        <f aca="false">"UPDATE COTACAO SET cot_id = "&amp;A411&amp;", cot_blt_id = "&amp;B411&amp;", cot_pap_id = "&amp;C411&amp;", cot_prc_comum = "&amp;D411&amp;", cot_prc_min = "&amp;E411&amp;", cot_prc_max = "&amp;F411&amp;", cot_prc_med = "&amp;G411&amp;", cot_prc_mediana = "&amp;H411&amp;" WHERE cot_id = "&amp;A411&amp;";"</f>
        <v>UPDATE COTACAO SET cot_id = 410, cot_blt_id = 47, cot_pap_id = 18, cot_prc_comum = NULL, cot_prc_min = 25, cot_prc_max = 40, cot_prc_med = 32.5, cot_prc_mediana = 32.5 WHERE cot_id = 410;</v>
      </c>
    </row>
    <row r="412" customFormat="false" ht="14.25" hidden="false" customHeight="false" outlineLevel="0" collapsed="false">
      <c r="A412" s="0" t="n">
        <v>411</v>
      </c>
      <c r="B412" s="0" t="n">
        <f aca="false">IF('Boletins Nuppa Site'!A412&lt;&gt;0,'Boletins Nuppa Site'!A412,"NULL")</f>
        <v>47</v>
      </c>
      <c r="C412" s="0" t="n">
        <v>19</v>
      </c>
      <c r="D412" s="0" t="str">
        <f aca="false">IF('Boletins Nuppa Site'!G412&lt;&gt;0,'Boletins Nuppa Site'!G412,"NULL")</f>
        <v>NULL</v>
      </c>
      <c r="E412" s="30" t="n">
        <f aca="false">IF('Boletins Nuppa Site'!H412&lt;&gt;0,'Boletins Nuppa Site'!H412,"NULL")</f>
        <v>40</v>
      </c>
      <c r="F412" s="30" t="n">
        <f aca="false">IF('Boletins Nuppa Site'!I412&lt;&gt;0,'Boletins Nuppa Site'!I412,"NULL")</f>
        <v>45</v>
      </c>
      <c r="G412" s="0" t="str">
        <f aca="false">IF('Boletins Nuppa Site'!J412&lt;&gt;0,'Boletins Nuppa Site'!J412,"NULL")</f>
        <v>42.5</v>
      </c>
      <c r="H412" s="0" t="str">
        <f aca="false">IF('Boletins Nuppa Site'!K412&lt;&gt;0,'Boletins Nuppa Site'!K412,"NULL")</f>
        <v>42.5</v>
      </c>
      <c r="I412" s="0" t="str">
        <f aca="false">"INSERT INTO COTACAO (cot_id, cot_blt_id, cot_pap_id, cot_prc_comum, cot_prc_min, cot_prc_max, cot_prc_med, cot_prc_mediana) VALUES ("&amp;A412&amp;", "&amp;B412&amp;", "&amp;C412&amp;", "&amp;D412&amp;", "&amp;E412&amp;", "&amp;F412&amp;", "&amp;G412&amp;", "&amp;H412&amp;");"</f>
        <v>INSERT INTO COTACAO (cot_id, cot_blt_id, cot_pap_id, cot_prc_comum, cot_prc_min, cot_prc_max, cot_prc_med, cot_prc_mediana) VALUES (411, 47, 19, NULL, 40, 45, 42.5, 42.5);</v>
      </c>
      <c r="J412" s="0" t="str">
        <f aca="false">"UPDATE COTACAO SET cot_id = "&amp;A412&amp;", cot_blt_id = "&amp;B412&amp;", cot_pap_id = "&amp;C412&amp;", cot_prc_comum = "&amp;D412&amp;", cot_prc_min = "&amp;E412&amp;", cot_prc_max = "&amp;F412&amp;", cot_prc_med = "&amp;G412&amp;", cot_prc_mediana = "&amp;H412&amp;" WHERE cot_id = "&amp;A412&amp;";"</f>
        <v>UPDATE COTACAO SET cot_id = 411, cot_blt_id = 47, cot_pap_id = 19, cot_prc_comum = NULL, cot_prc_min = 40, cot_prc_max = 45, cot_prc_med = 42.5, cot_prc_mediana = 42.5 WHERE cot_id = 411;</v>
      </c>
    </row>
    <row r="413" customFormat="false" ht="14.25" hidden="false" customHeight="false" outlineLevel="0" collapsed="false">
      <c r="A413" s="0" t="n">
        <v>412</v>
      </c>
      <c r="B413" s="0" t="n">
        <f aca="false">IF('Boletins Nuppa Site'!A413&lt;&gt;0,'Boletins Nuppa Site'!A413,"NULL")</f>
        <v>47</v>
      </c>
      <c r="C413" s="0" t="n">
        <v>20</v>
      </c>
      <c r="D413" s="30" t="n">
        <f aca="false">IF('Boletins Nuppa Site'!G413&lt;&gt;0,'Boletins Nuppa Site'!G413,"NULL")</f>
        <v>120</v>
      </c>
      <c r="E413" s="30" t="n">
        <f aca="false">IF('Boletins Nuppa Site'!H413&lt;&gt;0,'Boletins Nuppa Site'!H413,"NULL")</f>
        <v>110</v>
      </c>
      <c r="F413" s="30" t="n">
        <f aca="false">IF('Boletins Nuppa Site'!I413&lt;&gt;0,'Boletins Nuppa Site'!I413,"NULL")</f>
        <v>120</v>
      </c>
      <c r="G413" s="0" t="str">
        <f aca="false">IF('Boletins Nuppa Site'!J413&lt;&gt;0,'Boletins Nuppa Site'!J413,"NULL")</f>
        <v>115.83</v>
      </c>
      <c r="H413" s="0" t="str">
        <f aca="false">IF('Boletins Nuppa Site'!K413&lt;&gt;0,'Boletins Nuppa Site'!K413,"NULL")</f>
        <v>117.5</v>
      </c>
      <c r="I413" s="0" t="str">
        <f aca="false">"INSERT INTO COTACAO (cot_id, cot_blt_id, cot_pap_id, cot_prc_comum, cot_prc_min, cot_prc_max, cot_prc_med, cot_prc_mediana) VALUES ("&amp;A413&amp;", "&amp;B413&amp;", "&amp;C413&amp;", "&amp;D413&amp;", "&amp;E413&amp;", "&amp;F413&amp;", "&amp;G413&amp;", "&amp;H413&amp;");"</f>
        <v>INSERT INTO COTACAO (cot_id, cot_blt_id, cot_pap_id, cot_prc_comum, cot_prc_min, cot_prc_max, cot_prc_med, cot_prc_mediana) VALUES (412, 47, 20, 120, 110, 120, 115.83, 117.5);</v>
      </c>
      <c r="J413" s="0" t="str">
        <f aca="false">"UPDATE COTACAO SET cot_id = "&amp;A413&amp;", cot_blt_id = "&amp;B413&amp;", cot_pap_id = "&amp;C413&amp;", cot_prc_comum = "&amp;D413&amp;", cot_prc_min = "&amp;E413&amp;", cot_prc_max = "&amp;F413&amp;", cot_prc_med = "&amp;G413&amp;", cot_prc_mediana = "&amp;H413&amp;" WHERE cot_id = "&amp;A413&amp;";"</f>
        <v>UPDATE COTACAO SET cot_id = 412, cot_blt_id = 47, cot_pap_id = 20, cot_prc_comum = 120, cot_prc_min = 110, cot_prc_max = 120, cot_prc_med = 115.83, cot_prc_mediana = 117.5 WHERE cot_id = 412;</v>
      </c>
    </row>
    <row r="414" customFormat="false" ht="14.25" hidden="false" customHeight="false" outlineLevel="0" collapsed="false">
      <c r="A414" s="0" t="n">
        <v>413</v>
      </c>
      <c r="B414" s="0" t="n">
        <f aca="false">IF('Boletins Nuppa Site'!A414&lt;&gt;0,'Boletins Nuppa Site'!A414,"NULL")</f>
        <v>47</v>
      </c>
      <c r="C414" s="0" t="n">
        <v>21</v>
      </c>
      <c r="D414" s="30" t="n">
        <f aca="false">IF('Boletins Nuppa Site'!G414&lt;&gt;0,'Boletins Nuppa Site'!G414,"NULL")</f>
        <v>90</v>
      </c>
      <c r="E414" s="30" t="n">
        <f aca="false">IF('Boletins Nuppa Site'!H414&lt;&gt;0,'Boletins Nuppa Site'!H414,"NULL")</f>
        <v>70</v>
      </c>
      <c r="F414" s="30" t="n">
        <f aca="false">IF('Boletins Nuppa Site'!I414&lt;&gt;0,'Boletins Nuppa Site'!I414,"NULL")</f>
        <v>100</v>
      </c>
      <c r="G414" s="0" t="str">
        <f aca="false">IF('Boletins Nuppa Site'!J414&lt;&gt;0,'Boletins Nuppa Site'!J414,"NULL")</f>
        <v>86.88</v>
      </c>
      <c r="H414" s="30" t="n">
        <f aca="false">IF('Boletins Nuppa Site'!K414&lt;&gt;0,'Boletins Nuppa Site'!K414,"NULL")</f>
        <v>90</v>
      </c>
      <c r="I414" s="0" t="str">
        <f aca="false">"INSERT INTO COTACAO (cot_id, cot_blt_id, cot_pap_id, cot_prc_comum, cot_prc_min, cot_prc_max, cot_prc_med, cot_prc_mediana) VALUES ("&amp;A414&amp;", "&amp;B414&amp;", "&amp;C414&amp;", "&amp;D414&amp;", "&amp;E414&amp;", "&amp;F414&amp;", "&amp;G414&amp;", "&amp;H414&amp;");"</f>
        <v>INSERT INTO COTACAO (cot_id, cot_blt_id, cot_pap_id, cot_prc_comum, cot_prc_min, cot_prc_max, cot_prc_med, cot_prc_mediana) VALUES (413, 47, 21, 90, 70, 100, 86.88, 90);</v>
      </c>
      <c r="J414" s="0" t="str">
        <f aca="false">"UPDATE COTACAO SET cot_id = "&amp;A414&amp;", cot_blt_id = "&amp;B414&amp;", cot_pap_id = "&amp;C414&amp;", cot_prc_comum = "&amp;D414&amp;", cot_prc_min = "&amp;E414&amp;", cot_prc_max = "&amp;F414&amp;", cot_prc_med = "&amp;G414&amp;", cot_prc_mediana = "&amp;H414&amp;" WHERE cot_id = "&amp;A414&amp;";"</f>
        <v>UPDATE COTACAO SET cot_id = 413, cot_blt_id = 47, cot_pap_id = 21, cot_prc_comum = 90, cot_prc_min = 70, cot_prc_max = 100, cot_prc_med = 86.88, cot_prc_mediana = 90 WHERE cot_id = 413;</v>
      </c>
    </row>
    <row r="415" customFormat="false" ht="14.25" hidden="false" customHeight="false" outlineLevel="0" collapsed="false">
      <c r="A415" s="0" t="n">
        <v>414</v>
      </c>
      <c r="B415" s="0" t="n">
        <f aca="false">IF('Boletins Nuppa Site'!A415&lt;&gt;0,'Boletins Nuppa Site'!A415,"NULL")</f>
        <v>47</v>
      </c>
      <c r="C415" s="0" t="n">
        <v>22</v>
      </c>
      <c r="D415" s="30" t="n">
        <f aca="false">IF('Boletins Nuppa Site'!G415&lt;&gt;0,'Boletins Nuppa Site'!G415,"NULL")</f>
        <v>50</v>
      </c>
      <c r="E415" s="30" t="n">
        <f aca="false">IF('Boletins Nuppa Site'!H415&lt;&gt;0,'Boletins Nuppa Site'!H415,"NULL")</f>
        <v>50</v>
      </c>
      <c r="F415" s="30" t="n">
        <f aca="false">IF('Boletins Nuppa Site'!I415&lt;&gt;0,'Boletins Nuppa Site'!I415,"NULL")</f>
        <v>80</v>
      </c>
      <c r="G415" s="0" t="str">
        <f aca="false">IF('Boletins Nuppa Site'!J415&lt;&gt;0,'Boletins Nuppa Site'!J415,"NULL")</f>
        <v>68.57</v>
      </c>
      <c r="H415" s="30" t="n">
        <f aca="false">IF('Boletins Nuppa Site'!K415&lt;&gt;0,'Boletins Nuppa Site'!K415,"NULL")</f>
        <v>75</v>
      </c>
      <c r="I415" s="0" t="str">
        <f aca="false">"INSERT INTO COTACAO (cot_id, cot_blt_id, cot_pap_id, cot_prc_comum, cot_prc_min, cot_prc_max, cot_prc_med, cot_prc_mediana) VALUES ("&amp;A415&amp;", "&amp;B415&amp;", "&amp;C415&amp;", "&amp;D415&amp;", "&amp;E415&amp;", "&amp;F415&amp;", "&amp;G415&amp;", "&amp;H415&amp;");"</f>
        <v>INSERT INTO COTACAO (cot_id, cot_blt_id, cot_pap_id, cot_prc_comum, cot_prc_min, cot_prc_max, cot_prc_med, cot_prc_mediana) VALUES (414, 47, 22, 50, 50, 80, 68.57, 75);</v>
      </c>
      <c r="J415" s="0" t="str">
        <f aca="false">"UPDATE COTACAO SET cot_id = "&amp;A415&amp;", cot_blt_id = "&amp;B415&amp;", cot_pap_id = "&amp;C415&amp;", cot_prc_comum = "&amp;D415&amp;", cot_prc_min = "&amp;E415&amp;", cot_prc_max = "&amp;F415&amp;", cot_prc_med = "&amp;G415&amp;", cot_prc_mediana = "&amp;H415&amp;" WHERE cot_id = "&amp;A415&amp;";"</f>
        <v>UPDATE COTACAO SET cot_id = 414, cot_blt_id = 47, cot_pap_id = 22, cot_prc_comum = 50, cot_prc_min = 50, cot_prc_max = 80, cot_prc_med = 68.57, cot_prc_mediana = 75 WHERE cot_id = 414;</v>
      </c>
    </row>
    <row r="416" customFormat="false" ht="14.25" hidden="false" customHeight="false" outlineLevel="0" collapsed="false">
      <c r="A416" s="0" t="n">
        <v>415</v>
      </c>
      <c r="B416" s="0" t="n">
        <f aca="false">IF('Boletins Nuppa Site'!A416&lt;&gt;0,'Boletins Nuppa Site'!A416,"NULL")</f>
        <v>47</v>
      </c>
      <c r="C416" s="0" t="n">
        <v>23</v>
      </c>
      <c r="D416" s="30" t="n">
        <f aca="false">IF('Boletins Nuppa Site'!G416&lt;&gt;0,'Boletins Nuppa Site'!G416,"NULL")</f>
        <v>50</v>
      </c>
      <c r="E416" s="30" t="n">
        <f aca="false">IF('Boletins Nuppa Site'!H416&lt;&gt;0,'Boletins Nuppa Site'!H416,"NULL")</f>
        <v>35</v>
      </c>
      <c r="F416" s="30" t="n">
        <f aca="false">IF('Boletins Nuppa Site'!I416&lt;&gt;0,'Boletins Nuppa Site'!I416,"NULL")</f>
        <v>60</v>
      </c>
      <c r="G416" s="30" t="n">
        <f aca="false">IF('Boletins Nuppa Site'!J416&lt;&gt;0,'Boletins Nuppa Site'!J416,"NULL")</f>
        <v>45</v>
      </c>
      <c r="H416" s="30" t="n">
        <f aca="false">IF('Boletins Nuppa Site'!K416&lt;&gt;0,'Boletins Nuppa Site'!K416,"NULL")</f>
        <v>45</v>
      </c>
      <c r="I416" s="0" t="str">
        <f aca="false">"INSERT INTO COTACAO (cot_id, cot_blt_id, cot_pap_id, cot_prc_comum, cot_prc_min, cot_prc_max, cot_prc_med, cot_prc_mediana) VALUES ("&amp;A416&amp;", "&amp;B416&amp;", "&amp;C416&amp;", "&amp;D416&amp;", "&amp;E416&amp;", "&amp;F416&amp;", "&amp;G416&amp;", "&amp;H416&amp;");"</f>
        <v>INSERT INTO COTACAO (cot_id, cot_blt_id, cot_pap_id, cot_prc_comum, cot_prc_min, cot_prc_max, cot_prc_med, cot_prc_mediana) VALUES (415, 47, 23, 50, 35, 60, 45, 45);</v>
      </c>
      <c r="J416" s="0" t="str">
        <f aca="false">"UPDATE COTACAO SET cot_id = "&amp;A416&amp;", cot_blt_id = "&amp;B416&amp;", cot_pap_id = "&amp;C416&amp;", cot_prc_comum = "&amp;D416&amp;", cot_prc_min = "&amp;E416&amp;", cot_prc_max = "&amp;F416&amp;", cot_prc_med = "&amp;G416&amp;", cot_prc_mediana = "&amp;H416&amp;" WHERE cot_id = "&amp;A416&amp;";"</f>
        <v>UPDATE COTACAO SET cot_id = 415, cot_blt_id = 47, cot_pap_id = 23, cot_prc_comum = 50, cot_prc_min = 35, cot_prc_max = 60, cot_prc_med = 45, cot_prc_mediana = 45 WHERE cot_id = 415;</v>
      </c>
    </row>
    <row r="417" customFormat="false" ht="14.25" hidden="false" customHeight="false" outlineLevel="0" collapsed="false">
      <c r="A417" s="0" t="n">
        <v>416</v>
      </c>
      <c r="B417" s="0" t="n">
        <f aca="false">IF('Boletins Nuppa Site'!A417&lt;&gt;0,'Boletins Nuppa Site'!A417,"NULL")</f>
        <v>47</v>
      </c>
      <c r="C417" s="0" t="n">
        <v>24</v>
      </c>
      <c r="D417" s="0" t="str">
        <f aca="false">IF('Boletins Nuppa Site'!G417&lt;&gt;0,'Boletins Nuppa Site'!G417,"NULL")</f>
        <v>NULL</v>
      </c>
      <c r="E417" s="30" t="n">
        <f aca="false">IF('Boletins Nuppa Site'!H417&lt;&gt;0,'Boletins Nuppa Site'!H417,"NULL")</f>
        <v>65</v>
      </c>
      <c r="F417" s="30" t="n">
        <f aca="false">IF('Boletins Nuppa Site'!I417&lt;&gt;0,'Boletins Nuppa Site'!I417,"NULL")</f>
        <v>120</v>
      </c>
      <c r="G417" s="30" t="n">
        <f aca="false">IF('Boletins Nuppa Site'!J417&lt;&gt;0,'Boletins Nuppa Site'!J417,"NULL")</f>
        <v>95</v>
      </c>
      <c r="H417" s="30" t="n">
        <f aca="false">IF('Boletins Nuppa Site'!K417&lt;&gt;0,'Boletins Nuppa Site'!K417,"NULL")</f>
        <v>100</v>
      </c>
      <c r="I417" s="0" t="str">
        <f aca="false">"INSERT INTO COTACAO (cot_id, cot_blt_id, cot_pap_id, cot_prc_comum, cot_prc_min, cot_prc_max, cot_prc_med, cot_prc_mediana) VALUES ("&amp;A417&amp;", "&amp;B417&amp;", "&amp;C417&amp;", "&amp;D417&amp;", "&amp;E417&amp;", "&amp;F417&amp;", "&amp;G417&amp;", "&amp;H417&amp;");"</f>
        <v>INSERT INTO COTACAO (cot_id, cot_blt_id, cot_pap_id, cot_prc_comum, cot_prc_min, cot_prc_max, cot_prc_med, cot_prc_mediana) VALUES (416, 47, 24, NULL, 65, 120, 95, 100);</v>
      </c>
      <c r="J417" s="0" t="str">
        <f aca="false">"UPDATE COTACAO SET cot_id = "&amp;A417&amp;", cot_blt_id = "&amp;B417&amp;", cot_pap_id = "&amp;C417&amp;", cot_prc_comum = "&amp;D417&amp;", cot_prc_min = "&amp;E417&amp;", cot_prc_max = "&amp;F417&amp;", cot_prc_med = "&amp;G417&amp;", cot_prc_mediana = "&amp;H417&amp;" WHERE cot_id = "&amp;A417&amp;";"</f>
        <v>UPDATE COTACAO SET cot_id = 416, cot_blt_id = 47, cot_pap_id = 24, cot_prc_comum = NULL, cot_prc_min = 65, cot_prc_max = 120, cot_prc_med = 95, cot_prc_mediana = 100 WHERE cot_id = 416;</v>
      </c>
    </row>
    <row r="418" customFormat="false" ht="14.25" hidden="false" customHeight="false" outlineLevel="0" collapsed="false">
      <c r="A418" s="0" t="n">
        <v>417</v>
      </c>
      <c r="B418" s="0" t="n">
        <f aca="false">IF('Boletins Nuppa Site'!A418&lt;&gt;0,'Boletins Nuppa Site'!A418,"NULL")</f>
        <v>47</v>
      </c>
      <c r="C418" s="0" t="n">
        <v>25</v>
      </c>
      <c r="D418" s="30" t="n">
        <f aca="false">IF('Boletins Nuppa Site'!G418&lt;&gt;0,'Boletins Nuppa Site'!G418,"NULL")</f>
        <v>100</v>
      </c>
      <c r="E418" s="30" t="n">
        <f aca="false">IF('Boletins Nuppa Site'!H418&lt;&gt;0,'Boletins Nuppa Site'!H418,"NULL")</f>
        <v>80</v>
      </c>
      <c r="F418" s="30" t="n">
        <f aca="false">IF('Boletins Nuppa Site'!I418&lt;&gt;0,'Boletins Nuppa Site'!I418,"NULL")</f>
        <v>130</v>
      </c>
      <c r="G418" s="30" t="n">
        <f aca="false">IF('Boletins Nuppa Site'!J418&lt;&gt;0,'Boletins Nuppa Site'!J418,"NULL")</f>
        <v>110</v>
      </c>
      <c r="H418" s="30" t="n">
        <f aca="false">IF('Boletins Nuppa Site'!K418&lt;&gt;0,'Boletins Nuppa Site'!K418,"NULL")</f>
        <v>110</v>
      </c>
      <c r="I418" s="0" t="str">
        <f aca="false">"INSERT INTO COTACAO (cot_id, cot_blt_id, cot_pap_id, cot_prc_comum, cot_prc_min, cot_prc_max, cot_prc_med, cot_prc_mediana) VALUES ("&amp;A418&amp;", "&amp;B418&amp;", "&amp;C418&amp;", "&amp;D418&amp;", "&amp;E418&amp;", "&amp;F418&amp;", "&amp;G418&amp;", "&amp;H418&amp;");"</f>
        <v>INSERT INTO COTACAO (cot_id, cot_blt_id, cot_pap_id, cot_prc_comum, cot_prc_min, cot_prc_max, cot_prc_med, cot_prc_mediana) VALUES (417, 47, 25, 100, 80, 130, 110, 110);</v>
      </c>
      <c r="J418" s="0" t="str">
        <f aca="false">"UPDATE COTACAO SET cot_id = "&amp;A418&amp;", cot_blt_id = "&amp;B418&amp;", cot_pap_id = "&amp;C418&amp;", cot_prc_comum = "&amp;D418&amp;", cot_prc_min = "&amp;E418&amp;", cot_prc_max = "&amp;F418&amp;", cot_prc_med = "&amp;G418&amp;", cot_prc_mediana = "&amp;H418&amp;" WHERE cot_id = "&amp;A418&amp;";"</f>
        <v>UPDATE COTACAO SET cot_id = 417, cot_blt_id = 47, cot_pap_id = 25, cot_prc_comum = 100, cot_prc_min = 80, cot_prc_max = 130, cot_prc_med = 110, cot_prc_mediana = 110 WHERE cot_id = 417;</v>
      </c>
    </row>
    <row r="419" customFormat="false" ht="14.25" hidden="false" customHeight="false" outlineLevel="0" collapsed="false">
      <c r="A419" s="0" t="n">
        <v>418</v>
      </c>
      <c r="B419" s="0" t="n">
        <f aca="false">IF('Boletins Nuppa Site'!A419&lt;&gt;0,'Boletins Nuppa Site'!A419,"NULL")</f>
        <v>47</v>
      </c>
      <c r="C419" s="0" t="n">
        <v>26</v>
      </c>
      <c r="D419" s="30" t="n">
        <f aca="false">IF('Boletins Nuppa Site'!G419&lt;&gt;0,'Boletins Nuppa Site'!G419,"NULL")</f>
        <v>80</v>
      </c>
      <c r="E419" s="30" t="n">
        <f aca="false">IF('Boletins Nuppa Site'!H419&lt;&gt;0,'Boletins Nuppa Site'!H419,"NULL")</f>
        <v>80</v>
      </c>
      <c r="F419" s="30" t="n">
        <f aca="false">IF('Boletins Nuppa Site'!I419&lt;&gt;0,'Boletins Nuppa Site'!I419,"NULL")</f>
        <v>150</v>
      </c>
      <c r="G419" s="0" t="str">
        <f aca="false">IF('Boletins Nuppa Site'!J419&lt;&gt;0,'Boletins Nuppa Site'!J419,"NULL")</f>
        <v>117.86</v>
      </c>
      <c r="H419" s="30" t="n">
        <f aca="false">IF('Boletins Nuppa Site'!K419&lt;&gt;0,'Boletins Nuppa Site'!K419,"NULL")</f>
        <v>120</v>
      </c>
      <c r="I419" s="0" t="str">
        <f aca="false">"INSERT INTO COTACAO (cot_id, cot_blt_id, cot_pap_id, cot_prc_comum, cot_prc_min, cot_prc_max, cot_prc_med, cot_prc_mediana) VALUES ("&amp;A419&amp;", "&amp;B419&amp;", "&amp;C419&amp;", "&amp;D419&amp;", "&amp;E419&amp;", "&amp;F419&amp;", "&amp;G419&amp;", "&amp;H419&amp;");"</f>
        <v>INSERT INTO COTACAO (cot_id, cot_blt_id, cot_pap_id, cot_prc_comum, cot_prc_min, cot_prc_max, cot_prc_med, cot_prc_mediana) VALUES (418, 47, 26, 80, 80, 150, 117.86, 120);</v>
      </c>
      <c r="J419" s="0" t="str">
        <f aca="false">"UPDATE COTACAO SET cot_id = "&amp;A419&amp;", cot_blt_id = "&amp;B419&amp;", cot_pap_id = "&amp;C419&amp;", cot_prc_comum = "&amp;D419&amp;", cot_prc_min = "&amp;E419&amp;", cot_prc_max = "&amp;F419&amp;", cot_prc_med = "&amp;G419&amp;", cot_prc_mediana = "&amp;H419&amp;" WHERE cot_id = "&amp;A419&amp;";"</f>
        <v>UPDATE COTACAO SET cot_id = 418, cot_blt_id = 47, cot_pap_id = 26, cot_prc_comum = 80, cot_prc_min = 80, cot_prc_max = 150, cot_prc_med = 117.86, cot_prc_mediana = 120 WHERE cot_id = 418;</v>
      </c>
    </row>
    <row r="420" customFormat="false" ht="14.25" hidden="false" customHeight="false" outlineLevel="0" collapsed="false">
      <c r="A420" s="0" t="n">
        <v>419</v>
      </c>
      <c r="B420" s="0" t="n">
        <f aca="false">IF('Boletins Nuppa Site'!A420&lt;&gt;0,'Boletins Nuppa Site'!A420,"NULL")</f>
        <v>47</v>
      </c>
      <c r="C420" s="0" t="n">
        <v>27</v>
      </c>
      <c r="D420" s="30" t="n">
        <f aca="false">IF('Boletins Nuppa Site'!G420&lt;&gt;0,'Boletins Nuppa Site'!G420,"NULL")</f>
        <v>60</v>
      </c>
      <c r="E420" s="30" t="n">
        <f aca="false">IF('Boletins Nuppa Site'!H420&lt;&gt;0,'Boletins Nuppa Site'!H420,"NULL")</f>
        <v>50</v>
      </c>
      <c r="F420" s="30" t="n">
        <f aca="false">IF('Boletins Nuppa Site'!I420&lt;&gt;0,'Boletins Nuppa Site'!I420,"NULL")</f>
        <v>70</v>
      </c>
      <c r="G420" s="30" t="n">
        <f aca="false">IF('Boletins Nuppa Site'!J420&lt;&gt;0,'Boletins Nuppa Site'!J420,"NULL")</f>
        <v>60</v>
      </c>
      <c r="H420" s="30" t="n">
        <f aca="false">IF('Boletins Nuppa Site'!K420&lt;&gt;0,'Boletins Nuppa Site'!K420,"NULL")</f>
        <v>60</v>
      </c>
      <c r="I420" s="0" t="str">
        <f aca="false">"INSERT INTO COTACAO (cot_id, cot_blt_id, cot_pap_id, cot_prc_comum, cot_prc_min, cot_prc_max, cot_prc_med, cot_prc_mediana) VALUES ("&amp;A420&amp;", "&amp;B420&amp;", "&amp;C420&amp;", "&amp;D420&amp;", "&amp;E420&amp;", "&amp;F420&amp;", "&amp;G420&amp;", "&amp;H420&amp;");"</f>
        <v>INSERT INTO COTACAO (cot_id, cot_blt_id, cot_pap_id, cot_prc_comum, cot_prc_min, cot_prc_max, cot_prc_med, cot_prc_mediana) VALUES (419, 47, 27, 60, 50, 70, 60, 60);</v>
      </c>
      <c r="J420" s="0" t="str">
        <f aca="false">"UPDATE COTACAO SET cot_id = "&amp;A420&amp;", cot_blt_id = "&amp;B420&amp;", cot_pap_id = "&amp;C420&amp;", cot_prc_comum = "&amp;D420&amp;", cot_prc_min = "&amp;E420&amp;", cot_prc_max = "&amp;F420&amp;", cot_prc_med = "&amp;G420&amp;", cot_prc_mediana = "&amp;H420&amp;" WHERE cot_id = "&amp;A420&amp;";"</f>
        <v>UPDATE COTACAO SET cot_id = 419, cot_blt_id = 47, cot_pap_id = 27, cot_prc_comum = 60, cot_prc_min = 50, cot_prc_max = 70, cot_prc_med = 60, cot_prc_mediana = 60 WHERE cot_id = 419;</v>
      </c>
    </row>
    <row r="421" customFormat="false" ht="14.25" hidden="false" customHeight="false" outlineLevel="0" collapsed="false">
      <c r="A421" s="0" t="n">
        <v>420</v>
      </c>
      <c r="B421" s="0" t="n">
        <f aca="false">IF('Boletins Nuppa Site'!A421&lt;&gt;0,'Boletins Nuppa Site'!A421,"NULL")</f>
        <v>47</v>
      </c>
      <c r="C421" s="0" t="n">
        <v>28</v>
      </c>
      <c r="D421" s="30" t="n">
        <f aca="false">IF('Boletins Nuppa Site'!G421&lt;&gt;0,'Boletins Nuppa Site'!G421,"NULL")</f>
        <v>100</v>
      </c>
      <c r="E421" s="30" t="n">
        <f aca="false">IF('Boletins Nuppa Site'!H421&lt;&gt;0,'Boletins Nuppa Site'!H421,"NULL")</f>
        <v>80</v>
      </c>
      <c r="F421" s="30" t="n">
        <f aca="false">IF('Boletins Nuppa Site'!I421&lt;&gt;0,'Boletins Nuppa Site'!I421,"NULL")</f>
        <v>100</v>
      </c>
      <c r="G421" s="30" t="n">
        <f aca="false">IF('Boletins Nuppa Site'!J421&lt;&gt;0,'Boletins Nuppa Site'!J421,"NULL")</f>
        <v>94</v>
      </c>
      <c r="H421" s="30" t="n">
        <f aca="false">IF('Boletins Nuppa Site'!K421&lt;&gt;0,'Boletins Nuppa Site'!K421,"NULL")</f>
        <v>100</v>
      </c>
      <c r="I421" s="0" t="str">
        <f aca="false">"INSERT INTO COTACAO (cot_id, cot_blt_id, cot_pap_id, cot_prc_comum, cot_prc_min, cot_prc_max, cot_prc_med, cot_prc_mediana) VALUES ("&amp;A421&amp;", "&amp;B421&amp;", "&amp;C421&amp;", "&amp;D421&amp;", "&amp;E421&amp;", "&amp;F421&amp;", "&amp;G421&amp;", "&amp;H421&amp;");"</f>
        <v>INSERT INTO COTACAO (cot_id, cot_blt_id, cot_pap_id, cot_prc_comum, cot_prc_min, cot_prc_max, cot_prc_med, cot_prc_mediana) VALUES (420, 47, 28, 100, 80, 100, 94, 100);</v>
      </c>
      <c r="J421" s="0" t="str">
        <f aca="false">"UPDATE COTACAO SET cot_id = "&amp;A421&amp;", cot_blt_id = "&amp;B421&amp;", cot_pap_id = "&amp;C421&amp;", cot_prc_comum = "&amp;D421&amp;", cot_prc_min = "&amp;E421&amp;", cot_prc_max = "&amp;F421&amp;", cot_prc_med = "&amp;G421&amp;", cot_prc_mediana = "&amp;H421&amp;" WHERE cot_id = "&amp;A421&amp;";"</f>
        <v>UPDATE COTACAO SET cot_id = 420, cot_blt_id = 47, cot_pap_id = 28, cot_prc_comum = 100, cot_prc_min = 80, cot_prc_max = 100, cot_prc_med = 94, cot_prc_mediana = 100 WHERE cot_id = 420;</v>
      </c>
    </row>
    <row r="422" customFormat="false" ht="14.25" hidden="false" customHeight="false" outlineLevel="0" collapsed="false">
      <c r="A422" s="0" t="n">
        <v>421</v>
      </c>
      <c r="B422" s="0" t="n">
        <f aca="false">IF('Boletins Nuppa Site'!A422&lt;&gt;0,'Boletins Nuppa Site'!A422,"NULL")</f>
        <v>47</v>
      </c>
      <c r="C422" s="0" t="n">
        <v>29</v>
      </c>
      <c r="D422" s="0" t="str">
        <f aca="false">IF('Boletins Nuppa Site'!G422&lt;&gt;0,'Boletins Nuppa Site'!G422,"NULL")</f>
        <v>NULL</v>
      </c>
      <c r="E422" s="30" t="n">
        <f aca="false">IF('Boletins Nuppa Site'!H422&lt;&gt;0,'Boletins Nuppa Site'!H422,"NULL")</f>
        <v>60</v>
      </c>
      <c r="F422" s="30" t="n">
        <f aca="false">IF('Boletins Nuppa Site'!I422&lt;&gt;0,'Boletins Nuppa Site'!I422,"NULL")</f>
        <v>75</v>
      </c>
      <c r="G422" s="0" t="str">
        <f aca="false">IF('Boletins Nuppa Site'!J422&lt;&gt;0,'Boletins Nuppa Site'!J422,"NULL")</f>
        <v>67.5</v>
      </c>
      <c r="H422" s="0" t="str">
        <f aca="false">IF('Boletins Nuppa Site'!K422&lt;&gt;0,'Boletins Nuppa Site'!K422,"NULL")</f>
        <v>67.5</v>
      </c>
      <c r="I422" s="0" t="str">
        <f aca="false">"INSERT INTO COTACAO (cot_id, cot_blt_id, cot_pap_id, cot_prc_comum, cot_prc_min, cot_prc_max, cot_prc_med, cot_prc_mediana) VALUES ("&amp;A422&amp;", "&amp;B422&amp;", "&amp;C422&amp;", "&amp;D422&amp;", "&amp;E422&amp;", "&amp;F422&amp;", "&amp;G422&amp;", "&amp;H422&amp;");"</f>
        <v>INSERT INTO COTACAO (cot_id, cot_blt_id, cot_pap_id, cot_prc_comum, cot_prc_min, cot_prc_max, cot_prc_med, cot_prc_mediana) VALUES (421, 47, 29, NULL, 60, 75, 67.5, 67.5);</v>
      </c>
      <c r="J422" s="0" t="str">
        <f aca="false">"UPDATE COTACAO SET cot_id = "&amp;A422&amp;", cot_blt_id = "&amp;B422&amp;", cot_pap_id = "&amp;C422&amp;", cot_prc_comum = "&amp;D422&amp;", cot_prc_min = "&amp;E422&amp;", cot_prc_max = "&amp;F422&amp;", cot_prc_med = "&amp;G422&amp;", cot_prc_mediana = "&amp;H422&amp;" WHERE cot_id = "&amp;A422&amp;";"</f>
        <v>UPDATE COTACAO SET cot_id = 421, cot_blt_id = 47, cot_pap_id = 29, cot_prc_comum = NULL, cot_prc_min = 60, cot_prc_max = 75, cot_prc_med = 67.5, cot_prc_mediana = 67.5 WHERE cot_id = 421;</v>
      </c>
    </row>
    <row r="423" customFormat="false" ht="14.25" hidden="false" customHeight="false" outlineLevel="0" collapsed="false">
      <c r="A423" s="0" t="n">
        <v>422</v>
      </c>
      <c r="B423" s="0" t="n">
        <f aca="false">IF('Boletins Nuppa Site'!A423&lt;&gt;0,'Boletins Nuppa Site'!A423,"NULL")</f>
        <v>47</v>
      </c>
      <c r="C423" s="0" t="n">
        <v>30</v>
      </c>
      <c r="D423" s="30" t="n">
        <f aca="false">IF('Boletins Nuppa Site'!G423&lt;&gt;0,'Boletins Nuppa Site'!G423,"NULL")</f>
        <v>80</v>
      </c>
      <c r="E423" s="30" t="n">
        <f aca="false">IF('Boletins Nuppa Site'!H423&lt;&gt;0,'Boletins Nuppa Site'!H423,"NULL")</f>
        <v>60</v>
      </c>
      <c r="F423" s="30" t="n">
        <f aca="false">IF('Boletins Nuppa Site'!I423&lt;&gt;0,'Boletins Nuppa Site'!I423,"NULL")</f>
        <v>100</v>
      </c>
      <c r="G423" s="0" t="str">
        <f aca="false">IF('Boletins Nuppa Site'!J423&lt;&gt;0,'Boletins Nuppa Site'!J423,"NULL")</f>
        <v>81.25</v>
      </c>
      <c r="H423" s="30" t="n">
        <f aca="false">IF('Boletins Nuppa Site'!K423&lt;&gt;0,'Boletins Nuppa Site'!K423,"NULL")</f>
        <v>80</v>
      </c>
      <c r="I423" s="0" t="str">
        <f aca="false">"INSERT INTO COTACAO (cot_id, cot_blt_id, cot_pap_id, cot_prc_comum, cot_prc_min, cot_prc_max, cot_prc_med, cot_prc_mediana) VALUES ("&amp;A423&amp;", "&amp;B423&amp;", "&amp;C423&amp;", "&amp;D423&amp;", "&amp;E423&amp;", "&amp;F423&amp;", "&amp;G423&amp;", "&amp;H423&amp;");"</f>
        <v>INSERT INTO COTACAO (cot_id, cot_blt_id, cot_pap_id, cot_prc_comum, cot_prc_min, cot_prc_max, cot_prc_med, cot_prc_mediana) VALUES (422, 47, 30, 80, 60, 100, 81.25, 80);</v>
      </c>
      <c r="J423" s="0" t="str">
        <f aca="false">"UPDATE COTACAO SET cot_id = "&amp;A423&amp;", cot_blt_id = "&amp;B423&amp;", cot_pap_id = "&amp;C423&amp;", cot_prc_comum = "&amp;D423&amp;", cot_prc_min = "&amp;E423&amp;", cot_prc_max = "&amp;F423&amp;", cot_prc_med = "&amp;G423&amp;", cot_prc_mediana = "&amp;H423&amp;" WHERE cot_id = "&amp;A423&amp;";"</f>
        <v>UPDATE COTACAO SET cot_id = 422, cot_blt_id = 47, cot_pap_id = 30, cot_prc_comum = 80, cot_prc_min = 60, cot_prc_max = 100, cot_prc_med = 81.25, cot_prc_mediana = 80 WHERE cot_id = 422;</v>
      </c>
    </row>
    <row r="424" customFormat="false" ht="14.25" hidden="false" customHeight="false" outlineLevel="0" collapsed="false">
      <c r="A424" s="0" t="n">
        <v>423</v>
      </c>
      <c r="B424" s="0" t="n">
        <f aca="false">IF('Boletins Nuppa Site'!A424&lt;&gt;0,'Boletins Nuppa Site'!A424,"NULL")</f>
        <v>47</v>
      </c>
      <c r="C424" s="0" t="n">
        <v>31</v>
      </c>
      <c r="D424" s="30" t="n">
        <f aca="false">IF('Boletins Nuppa Site'!G424&lt;&gt;0,'Boletins Nuppa Site'!G424,"NULL")</f>
        <v>120</v>
      </c>
      <c r="E424" s="30" t="n">
        <f aca="false">IF('Boletins Nuppa Site'!H424&lt;&gt;0,'Boletins Nuppa Site'!H424,"NULL")</f>
        <v>80</v>
      </c>
      <c r="F424" s="30" t="n">
        <f aca="false">IF('Boletins Nuppa Site'!I424&lt;&gt;0,'Boletins Nuppa Site'!I424,"NULL")</f>
        <v>140</v>
      </c>
      <c r="G424" s="30" t="n">
        <f aca="false">IF('Boletins Nuppa Site'!J424&lt;&gt;0,'Boletins Nuppa Site'!J424,"NULL")</f>
        <v>115</v>
      </c>
      <c r="H424" s="30" t="n">
        <f aca="false">IF('Boletins Nuppa Site'!K424&lt;&gt;0,'Boletins Nuppa Site'!K424,"NULL")</f>
        <v>120</v>
      </c>
      <c r="I424" s="0" t="str">
        <f aca="false">"INSERT INTO COTACAO (cot_id, cot_blt_id, cot_pap_id, cot_prc_comum, cot_prc_min, cot_prc_max, cot_prc_med, cot_prc_mediana) VALUES ("&amp;A424&amp;", "&amp;B424&amp;", "&amp;C424&amp;", "&amp;D424&amp;", "&amp;E424&amp;", "&amp;F424&amp;", "&amp;G424&amp;", "&amp;H424&amp;");"</f>
        <v>INSERT INTO COTACAO (cot_id, cot_blt_id, cot_pap_id, cot_prc_comum, cot_prc_min, cot_prc_max, cot_prc_med, cot_prc_mediana) VALUES (423, 47, 31, 120, 80, 140, 115, 120);</v>
      </c>
      <c r="J424" s="0" t="str">
        <f aca="false">"UPDATE COTACAO SET cot_id = "&amp;A424&amp;", cot_blt_id = "&amp;B424&amp;", cot_pap_id = "&amp;C424&amp;", cot_prc_comum = "&amp;D424&amp;", cot_prc_min = "&amp;E424&amp;", cot_prc_max = "&amp;F424&amp;", cot_prc_med = "&amp;G424&amp;", cot_prc_mediana = "&amp;H424&amp;" WHERE cot_id = "&amp;A424&amp;";"</f>
        <v>UPDATE COTACAO SET cot_id = 423, cot_blt_id = 47, cot_pap_id = 31, cot_prc_comum = 120, cot_prc_min = 80, cot_prc_max = 140, cot_prc_med = 115, cot_prc_mediana = 120 WHERE cot_id = 423;</v>
      </c>
    </row>
    <row r="425" customFormat="false" ht="14.25" hidden="false" customHeight="false" outlineLevel="0" collapsed="false">
      <c r="A425" s="0" t="n">
        <v>424</v>
      </c>
      <c r="B425" s="0" t="n">
        <f aca="false">IF('Boletins Nuppa Site'!A425&lt;&gt;0,'Boletins Nuppa Site'!A425,"NULL")</f>
        <v>47</v>
      </c>
      <c r="C425" s="0" t="n">
        <v>32</v>
      </c>
      <c r="D425" s="30" t="n">
        <f aca="false">IF('Boletins Nuppa Site'!G425&lt;&gt;0,'Boletins Nuppa Site'!G425,"NULL")</f>
        <v>80</v>
      </c>
      <c r="E425" s="30" t="n">
        <f aca="false">IF('Boletins Nuppa Site'!H425&lt;&gt;0,'Boletins Nuppa Site'!H425,"NULL")</f>
        <v>60</v>
      </c>
      <c r="F425" s="30" t="n">
        <f aca="false">IF('Boletins Nuppa Site'!I425&lt;&gt;0,'Boletins Nuppa Site'!I425,"NULL")</f>
        <v>100</v>
      </c>
      <c r="G425" s="0" t="str">
        <f aca="false">IF('Boletins Nuppa Site'!J425&lt;&gt;0,'Boletins Nuppa Site'!J425,"NULL")</f>
        <v>82.14</v>
      </c>
      <c r="H425" s="30" t="n">
        <f aca="false">IF('Boletins Nuppa Site'!K425&lt;&gt;0,'Boletins Nuppa Site'!K425,"NULL")</f>
        <v>80</v>
      </c>
      <c r="I425" s="0" t="str">
        <f aca="false">"INSERT INTO COTACAO (cot_id, cot_blt_id, cot_pap_id, cot_prc_comum, cot_prc_min, cot_prc_max, cot_prc_med, cot_prc_mediana) VALUES ("&amp;A425&amp;", "&amp;B425&amp;", "&amp;C425&amp;", "&amp;D425&amp;", "&amp;E425&amp;", "&amp;F425&amp;", "&amp;G425&amp;", "&amp;H425&amp;");"</f>
        <v>INSERT INTO COTACAO (cot_id, cot_blt_id, cot_pap_id, cot_prc_comum, cot_prc_min, cot_prc_max, cot_prc_med, cot_prc_mediana) VALUES (424, 47, 32, 80, 60, 100, 82.14, 80);</v>
      </c>
      <c r="J425" s="0" t="str">
        <f aca="false">"UPDATE COTACAO SET cot_id = "&amp;A425&amp;", cot_blt_id = "&amp;B425&amp;", cot_pap_id = "&amp;C425&amp;", cot_prc_comum = "&amp;D425&amp;", cot_prc_min = "&amp;E425&amp;", cot_prc_max = "&amp;F425&amp;", cot_prc_med = "&amp;G425&amp;", cot_prc_mediana = "&amp;H425&amp;" WHERE cot_id = "&amp;A425&amp;";"</f>
        <v>UPDATE COTACAO SET cot_id = 424, cot_blt_id = 47, cot_pap_id = 32, cot_prc_comum = 80, cot_prc_min = 60, cot_prc_max = 100, cot_prc_med = 82.14, cot_prc_mediana = 80 WHERE cot_id = 424;</v>
      </c>
    </row>
    <row r="426" customFormat="false" ht="14.25" hidden="false" customHeight="false" outlineLevel="0" collapsed="false">
      <c r="A426" s="0" t="n">
        <v>425</v>
      </c>
      <c r="B426" s="0" t="n">
        <f aca="false">IF('Boletins Nuppa Site'!A426&lt;&gt;0,'Boletins Nuppa Site'!A426,"NULL")</f>
        <v>47</v>
      </c>
      <c r="C426" s="0" t="n">
        <v>33</v>
      </c>
      <c r="D426" s="30" t="n">
        <f aca="false">IF('Boletins Nuppa Site'!G426&lt;&gt;0,'Boletins Nuppa Site'!G426,"NULL")</f>
        <v>150</v>
      </c>
      <c r="E426" s="30" t="n">
        <f aca="false">IF('Boletins Nuppa Site'!H426&lt;&gt;0,'Boletins Nuppa Site'!H426,"NULL")</f>
        <v>100</v>
      </c>
      <c r="F426" s="30" t="n">
        <f aca="false">IF('Boletins Nuppa Site'!I426&lt;&gt;0,'Boletins Nuppa Site'!I426,"NULL")</f>
        <v>150</v>
      </c>
      <c r="G426" s="30" t="n">
        <f aca="false">IF('Boletins Nuppa Site'!J426&lt;&gt;0,'Boletins Nuppa Site'!J426,"NULL")</f>
        <v>130</v>
      </c>
      <c r="H426" s="30" t="n">
        <f aca="false">IF('Boletins Nuppa Site'!K426&lt;&gt;0,'Boletins Nuppa Site'!K426,"NULL")</f>
        <v>130</v>
      </c>
      <c r="I426" s="0" t="str">
        <f aca="false">"INSERT INTO COTACAO (cot_id, cot_blt_id, cot_pap_id, cot_prc_comum, cot_prc_min, cot_prc_max, cot_prc_med, cot_prc_mediana) VALUES ("&amp;A426&amp;", "&amp;B426&amp;", "&amp;C426&amp;", "&amp;D426&amp;", "&amp;E426&amp;", "&amp;F426&amp;", "&amp;G426&amp;", "&amp;H426&amp;");"</f>
        <v>INSERT INTO COTACAO (cot_id, cot_blt_id, cot_pap_id, cot_prc_comum, cot_prc_min, cot_prc_max, cot_prc_med, cot_prc_mediana) VALUES (425, 47, 33, 150, 100, 150, 130, 130);</v>
      </c>
      <c r="J426" s="0" t="str">
        <f aca="false">"UPDATE COTACAO SET cot_id = "&amp;A426&amp;", cot_blt_id = "&amp;B426&amp;", cot_pap_id = "&amp;C426&amp;", cot_prc_comum = "&amp;D426&amp;", cot_prc_min = "&amp;E426&amp;", cot_prc_max = "&amp;F426&amp;", cot_prc_med = "&amp;G426&amp;", cot_prc_mediana = "&amp;H426&amp;" WHERE cot_id = "&amp;A426&amp;";"</f>
        <v>UPDATE COTACAO SET cot_id = 425, cot_blt_id = 47, cot_pap_id = 33, cot_prc_comum = 150, cot_prc_min = 100, cot_prc_max = 150, cot_prc_med = 130, cot_prc_mediana = 130 WHERE cot_id = 425;</v>
      </c>
    </row>
    <row r="427" customFormat="false" ht="14.25" hidden="false" customHeight="false" outlineLevel="0" collapsed="false">
      <c r="A427" s="0" t="n">
        <v>426</v>
      </c>
      <c r="B427" s="0" t="n">
        <f aca="false">IF('Boletins Nuppa Site'!A427&lt;&gt;0,'Boletins Nuppa Site'!A427,"NULL")</f>
        <v>47</v>
      </c>
      <c r="C427" s="0" t="n">
        <v>34</v>
      </c>
      <c r="D427" s="30" t="n">
        <f aca="false">IF('Boletins Nuppa Site'!G427&lt;&gt;0,'Boletins Nuppa Site'!G427,"NULL")</f>
        <v>220</v>
      </c>
      <c r="E427" s="30" t="n">
        <f aca="false">IF('Boletins Nuppa Site'!H427&lt;&gt;0,'Boletins Nuppa Site'!H427,"NULL")</f>
        <v>150</v>
      </c>
      <c r="F427" s="30" t="n">
        <f aca="false">IF('Boletins Nuppa Site'!I427&lt;&gt;0,'Boletins Nuppa Site'!I427,"NULL")</f>
        <v>250</v>
      </c>
      <c r="G427" s="0" t="str">
        <f aca="false">IF('Boletins Nuppa Site'!J427&lt;&gt;0,'Boletins Nuppa Site'!J427,"NULL")</f>
        <v>221.67</v>
      </c>
      <c r="H427" s="30" t="n">
        <f aca="false">IF('Boletins Nuppa Site'!K427&lt;&gt;0,'Boletins Nuppa Site'!K427,"NULL")</f>
        <v>230</v>
      </c>
      <c r="I427" s="0" t="str">
        <f aca="false">"INSERT INTO COTACAO (cot_id, cot_blt_id, cot_pap_id, cot_prc_comum, cot_prc_min, cot_prc_max, cot_prc_med, cot_prc_mediana) VALUES ("&amp;A427&amp;", "&amp;B427&amp;", "&amp;C427&amp;", "&amp;D427&amp;", "&amp;E427&amp;", "&amp;F427&amp;", "&amp;G427&amp;", "&amp;H427&amp;");"</f>
        <v>INSERT INTO COTACAO (cot_id, cot_blt_id, cot_pap_id, cot_prc_comum, cot_prc_min, cot_prc_max, cot_prc_med, cot_prc_mediana) VALUES (426, 47, 34, 220, 150, 250, 221.67, 230);</v>
      </c>
      <c r="J427" s="0" t="str">
        <f aca="false">"UPDATE COTACAO SET cot_id = "&amp;A427&amp;", cot_blt_id = "&amp;B427&amp;", cot_pap_id = "&amp;C427&amp;", cot_prc_comum = "&amp;D427&amp;", cot_prc_min = "&amp;E427&amp;", cot_prc_max = "&amp;F427&amp;", cot_prc_med = "&amp;G427&amp;", cot_prc_mediana = "&amp;H427&amp;" WHERE cot_id = "&amp;A427&amp;";"</f>
        <v>UPDATE COTACAO SET cot_id = 426, cot_blt_id = 47, cot_pap_id = 34, cot_prc_comum = 220, cot_prc_min = 150, cot_prc_max = 250, cot_prc_med = 221.67, cot_prc_mediana = 230 WHERE cot_id = 426;</v>
      </c>
    </row>
    <row r="428" customFormat="false" ht="14.25" hidden="false" customHeight="false" outlineLevel="0" collapsed="false">
      <c r="A428" s="0" t="n">
        <v>427</v>
      </c>
      <c r="B428" s="0" t="n">
        <f aca="false">IF('Boletins Nuppa Site'!A428&lt;&gt;0,'Boletins Nuppa Site'!A428,"NULL")</f>
        <v>47</v>
      </c>
      <c r="C428" s="0" t="n">
        <v>35</v>
      </c>
      <c r="D428" s="30" t="n">
        <f aca="false">IF('Boletins Nuppa Site'!G428&lt;&gt;0,'Boletins Nuppa Site'!G428,"NULL")</f>
        <v>140</v>
      </c>
      <c r="E428" s="30" t="n">
        <f aca="false">IF('Boletins Nuppa Site'!H428&lt;&gt;0,'Boletins Nuppa Site'!H428,"NULL")</f>
        <v>120</v>
      </c>
      <c r="F428" s="30" t="n">
        <f aca="false">IF('Boletins Nuppa Site'!I428&lt;&gt;0,'Boletins Nuppa Site'!I428,"NULL")</f>
        <v>200</v>
      </c>
      <c r="G428" s="0" t="str">
        <f aca="false">IF('Boletins Nuppa Site'!J428&lt;&gt;0,'Boletins Nuppa Site'!J428,"NULL")</f>
        <v>144.29</v>
      </c>
      <c r="H428" s="30" t="n">
        <f aca="false">IF('Boletins Nuppa Site'!K428&lt;&gt;0,'Boletins Nuppa Site'!K428,"NULL")</f>
        <v>140</v>
      </c>
      <c r="I428" s="0" t="str">
        <f aca="false">"INSERT INTO COTACAO (cot_id, cot_blt_id, cot_pap_id, cot_prc_comum, cot_prc_min, cot_prc_max, cot_prc_med, cot_prc_mediana) VALUES ("&amp;A428&amp;", "&amp;B428&amp;", "&amp;C428&amp;", "&amp;D428&amp;", "&amp;E428&amp;", "&amp;F428&amp;", "&amp;G428&amp;", "&amp;H428&amp;");"</f>
        <v>INSERT INTO COTACAO (cot_id, cot_blt_id, cot_pap_id, cot_prc_comum, cot_prc_min, cot_prc_max, cot_prc_med, cot_prc_mediana) VALUES (427, 47, 35, 140, 120, 200, 144.29, 140);</v>
      </c>
      <c r="J428" s="0" t="str">
        <f aca="false">"UPDATE COTACAO SET cot_id = "&amp;A428&amp;", cot_blt_id = "&amp;B428&amp;", cot_pap_id = "&amp;C428&amp;", cot_prc_comum = "&amp;D428&amp;", cot_prc_min = "&amp;E428&amp;", cot_prc_max = "&amp;F428&amp;", cot_prc_med = "&amp;G428&amp;", cot_prc_mediana = "&amp;H428&amp;" WHERE cot_id = "&amp;A428&amp;";"</f>
        <v>UPDATE COTACAO SET cot_id = 427, cot_blt_id = 47, cot_pap_id = 35, cot_prc_comum = 140, cot_prc_min = 120, cot_prc_max = 200, cot_prc_med = 144.29, cot_prc_mediana = 140 WHERE cot_id = 427;</v>
      </c>
    </row>
    <row r="429" customFormat="false" ht="14.25" hidden="false" customHeight="false" outlineLevel="0" collapsed="false">
      <c r="A429" s="0" t="n">
        <v>428</v>
      </c>
      <c r="B429" s="0" t="n">
        <f aca="false">IF('Boletins Nuppa Site'!A429&lt;&gt;0,'Boletins Nuppa Site'!A429,"NULL")</f>
        <v>47</v>
      </c>
      <c r="C429" s="0" t="n">
        <v>36</v>
      </c>
      <c r="D429" s="30" t="n">
        <f aca="false">IF('Boletins Nuppa Site'!G429&lt;&gt;0,'Boletins Nuppa Site'!G429,"NULL")</f>
        <v>100</v>
      </c>
      <c r="E429" s="30" t="n">
        <f aca="false">IF('Boletins Nuppa Site'!H429&lt;&gt;0,'Boletins Nuppa Site'!H429,"NULL")</f>
        <v>100</v>
      </c>
      <c r="F429" s="30" t="n">
        <f aca="false">IF('Boletins Nuppa Site'!I429&lt;&gt;0,'Boletins Nuppa Site'!I429,"NULL")</f>
        <v>100</v>
      </c>
      <c r="G429" s="30" t="n">
        <f aca="false">IF('Boletins Nuppa Site'!J429&lt;&gt;0,'Boletins Nuppa Site'!J429,"NULL")</f>
        <v>100</v>
      </c>
      <c r="H429" s="30" t="n">
        <f aca="false">IF('Boletins Nuppa Site'!K429&lt;&gt;0,'Boletins Nuppa Site'!K429,"NULL")</f>
        <v>100</v>
      </c>
      <c r="I429" s="0" t="str">
        <f aca="false">"INSERT INTO COTACAO (cot_id, cot_blt_id, cot_pap_id, cot_prc_comum, cot_prc_min, cot_prc_max, cot_prc_med, cot_prc_mediana) VALUES ("&amp;A429&amp;", "&amp;B429&amp;", "&amp;C429&amp;", "&amp;D429&amp;", "&amp;E429&amp;", "&amp;F429&amp;", "&amp;G429&amp;", "&amp;H429&amp;");"</f>
        <v>INSERT INTO COTACAO (cot_id, cot_blt_id, cot_pap_id, cot_prc_comum, cot_prc_min, cot_prc_max, cot_prc_med, cot_prc_mediana) VALUES (428, 47, 36, 100, 100, 100, 100, 100);</v>
      </c>
      <c r="J429" s="0" t="str">
        <f aca="false">"UPDATE COTACAO SET cot_id = "&amp;A429&amp;", cot_blt_id = "&amp;B429&amp;", cot_pap_id = "&amp;C429&amp;", cot_prc_comum = "&amp;D429&amp;", cot_prc_min = "&amp;E429&amp;", cot_prc_max = "&amp;F429&amp;", cot_prc_med = "&amp;G429&amp;", cot_prc_mediana = "&amp;H429&amp;" WHERE cot_id = "&amp;A429&amp;";"</f>
        <v>UPDATE COTACAO SET cot_id = 428, cot_blt_id = 47, cot_pap_id = 36, cot_prc_comum = 100, cot_prc_min = 100, cot_prc_max = 100, cot_prc_med = 100, cot_prc_mediana = 100 WHERE cot_id = 428;</v>
      </c>
    </row>
    <row r="430" customFormat="false" ht="14.25" hidden="false" customHeight="false" outlineLevel="0" collapsed="false">
      <c r="A430" s="0" t="n">
        <v>429</v>
      </c>
      <c r="B430" s="0" t="n">
        <f aca="false">IF('Boletins Nuppa Site'!A430&lt;&gt;0,'Boletins Nuppa Site'!A430,"NULL")</f>
        <v>47</v>
      </c>
      <c r="C430" s="0" t="n">
        <v>37</v>
      </c>
      <c r="D430" s="30" t="n">
        <f aca="false">IF('Boletins Nuppa Site'!G430&lt;&gt;0,'Boletins Nuppa Site'!G430,"NULL")</f>
        <v>80</v>
      </c>
      <c r="E430" s="30" t="n">
        <f aca="false">IF('Boletins Nuppa Site'!H430&lt;&gt;0,'Boletins Nuppa Site'!H430,"NULL")</f>
        <v>80</v>
      </c>
      <c r="F430" s="30" t="n">
        <f aca="false">IF('Boletins Nuppa Site'!I430&lt;&gt;0,'Boletins Nuppa Site'!I430,"NULL")</f>
        <v>80</v>
      </c>
      <c r="G430" s="30" t="n">
        <f aca="false">IF('Boletins Nuppa Site'!J430&lt;&gt;0,'Boletins Nuppa Site'!J430,"NULL")</f>
        <v>80</v>
      </c>
      <c r="H430" s="30" t="n">
        <f aca="false">IF('Boletins Nuppa Site'!K430&lt;&gt;0,'Boletins Nuppa Site'!K430,"NULL")</f>
        <v>80</v>
      </c>
      <c r="I430" s="0" t="str">
        <f aca="false">"INSERT INTO COTACAO (cot_id, cot_blt_id, cot_pap_id, cot_prc_comum, cot_prc_min, cot_prc_max, cot_prc_med, cot_prc_mediana) VALUES ("&amp;A430&amp;", "&amp;B430&amp;", "&amp;C430&amp;", "&amp;D430&amp;", "&amp;E430&amp;", "&amp;F430&amp;", "&amp;G430&amp;", "&amp;H430&amp;");"</f>
        <v>INSERT INTO COTACAO (cot_id, cot_blt_id, cot_pap_id, cot_prc_comum, cot_prc_min, cot_prc_max, cot_prc_med, cot_prc_mediana) VALUES (429, 47, 37, 80, 80, 80, 80, 80);</v>
      </c>
      <c r="J430" s="0" t="str">
        <f aca="false">"UPDATE COTACAO SET cot_id = "&amp;A430&amp;", cot_blt_id = "&amp;B430&amp;", cot_pap_id = "&amp;C430&amp;", cot_prc_comum = "&amp;D430&amp;", cot_prc_min = "&amp;E430&amp;", cot_prc_max = "&amp;F430&amp;", cot_prc_med = "&amp;G430&amp;", cot_prc_mediana = "&amp;H430&amp;" WHERE cot_id = "&amp;A430&amp;";"</f>
        <v>UPDATE COTACAO SET cot_id = 429, cot_blt_id = 47, cot_pap_id = 37, cot_prc_comum = 80, cot_prc_min = 80, cot_prc_max = 80, cot_prc_med = 80, cot_prc_mediana = 80 WHERE cot_id = 429;</v>
      </c>
    </row>
    <row r="431" customFormat="false" ht="14.25" hidden="false" customHeight="false" outlineLevel="0" collapsed="false">
      <c r="A431" s="0" t="n">
        <v>430</v>
      </c>
      <c r="B431" s="0" t="n">
        <f aca="false">IF('Boletins Nuppa Site'!A431&lt;&gt;0,'Boletins Nuppa Site'!A431,"NULL")</f>
        <v>47</v>
      </c>
      <c r="C431" s="0" t="n">
        <v>38</v>
      </c>
      <c r="D431" s="30" t="n">
        <f aca="false">IF('Boletins Nuppa Site'!G431&lt;&gt;0,'Boletins Nuppa Site'!G431,"NULL")</f>
        <v>45</v>
      </c>
      <c r="E431" s="30" t="n">
        <f aca="false">IF('Boletins Nuppa Site'!H431&lt;&gt;0,'Boletins Nuppa Site'!H431,"NULL")</f>
        <v>45</v>
      </c>
      <c r="F431" s="30" t="n">
        <f aca="false">IF('Boletins Nuppa Site'!I431&lt;&gt;0,'Boletins Nuppa Site'!I431,"NULL")</f>
        <v>45</v>
      </c>
      <c r="G431" s="30" t="n">
        <f aca="false">IF('Boletins Nuppa Site'!J431&lt;&gt;0,'Boletins Nuppa Site'!J431,"NULL")</f>
        <v>45</v>
      </c>
      <c r="H431" s="30" t="n">
        <f aca="false">IF('Boletins Nuppa Site'!K431&lt;&gt;0,'Boletins Nuppa Site'!K431,"NULL")</f>
        <v>45</v>
      </c>
      <c r="I431" s="0" t="str">
        <f aca="false">"INSERT INTO COTACAO (cot_id, cot_blt_id, cot_pap_id, cot_prc_comum, cot_prc_min, cot_prc_max, cot_prc_med, cot_prc_mediana) VALUES ("&amp;A431&amp;", "&amp;B431&amp;", "&amp;C431&amp;", "&amp;D431&amp;", "&amp;E431&amp;", "&amp;F431&amp;", "&amp;G431&amp;", "&amp;H431&amp;");"</f>
        <v>INSERT INTO COTACAO (cot_id, cot_blt_id, cot_pap_id, cot_prc_comum, cot_prc_min, cot_prc_max, cot_prc_med, cot_prc_mediana) VALUES (430, 47, 38, 45, 45, 45, 45, 45);</v>
      </c>
      <c r="J431" s="0" t="str">
        <f aca="false">"UPDATE COTACAO SET cot_id = "&amp;A431&amp;", cot_blt_id = "&amp;B431&amp;", cot_pap_id = "&amp;C431&amp;", cot_prc_comum = "&amp;D431&amp;", cot_prc_min = "&amp;E431&amp;", cot_prc_max = "&amp;F431&amp;", cot_prc_med = "&amp;G431&amp;", cot_prc_mediana = "&amp;H431&amp;" WHERE cot_id = "&amp;A431&amp;";"</f>
        <v>UPDATE COTACAO SET cot_id = 430, cot_blt_id = 47, cot_pap_id = 38, cot_prc_comum = 45, cot_prc_min = 45, cot_prc_max = 45, cot_prc_med = 45, cot_prc_mediana = 45 WHERE cot_id = 430;</v>
      </c>
    </row>
    <row r="432" customFormat="false" ht="14.25" hidden="false" customHeight="false" outlineLevel="0" collapsed="false">
      <c r="A432" s="0" t="n">
        <v>431</v>
      </c>
      <c r="B432" s="0" t="n">
        <f aca="false">IF('Boletins Nuppa Site'!A432&lt;&gt;0,'Boletins Nuppa Site'!A432,"NULL")</f>
        <v>47</v>
      </c>
      <c r="C432" s="0" t="n">
        <v>39</v>
      </c>
      <c r="D432" s="30" t="n">
        <f aca="false">IF('Boletins Nuppa Site'!G432&lt;&gt;0,'Boletins Nuppa Site'!G432,"NULL")</f>
        <v>45</v>
      </c>
      <c r="E432" s="30" t="n">
        <f aca="false">IF('Boletins Nuppa Site'!H432&lt;&gt;0,'Boletins Nuppa Site'!H432,"NULL")</f>
        <v>45</v>
      </c>
      <c r="F432" s="30" t="n">
        <f aca="false">IF('Boletins Nuppa Site'!I432&lt;&gt;0,'Boletins Nuppa Site'!I432,"NULL")</f>
        <v>45</v>
      </c>
      <c r="G432" s="30" t="n">
        <f aca="false">IF('Boletins Nuppa Site'!J432&lt;&gt;0,'Boletins Nuppa Site'!J432,"NULL")</f>
        <v>45</v>
      </c>
      <c r="H432" s="30" t="n">
        <f aca="false">IF('Boletins Nuppa Site'!K432&lt;&gt;0,'Boletins Nuppa Site'!K432,"NULL")</f>
        <v>45</v>
      </c>
      <c r="I432" s="0" t="str">
        <f aca="false">"INSERT INTO COTACAO (cot_id, cot_blt_id, cot_pap_id, cot_prc_comum, cot_prc_min, cot_prc_max, cot_prc_med, cot_prc_mediana) VALUES ("&amp;A432&amp;", "&amp;B432&amp;", "&amp;C432&amp;", "&amp;D432&amp;", "&amp;E432&amp;", "&amp;F432&amp;", "&amp;G432&amp;", "&amp;H432&amp;");"</f>
        <v>INSERT INTO COTACAO (cot_id, cot_blt_id, cot_pap_id, cot_prc_comum, cot_prc_min, cot_prc_max, cot_prc_med, cot_prc_mediana) VALUES (431, 47, 39, 45, 45, 45, 45, 45);</v>
      </c>
      <c r="J432" s="0" t="str">
        <f aca="false">"UPDATE COTACAO SET cot_id = "&amp;A432&amp;", cot_blt_id = "&amp;B432&amp;", cot_pap_id = "&amp;C432&amp;", cot_prc_comum = "&amp;D432&amp;", cot_prc_min = "&amp;E432&amp;", cot_prc_max = "&amp;F432&amp;", cot_prc_med = "&amp;G432&amp;", cot_prc_mediana = "&amp;H432&amp;" WHERE cot_id = "&amp;A432&amp;";"</f>
        <v>UPDATE COTACAO SET cot_id = 431, cot_blt_id = 47, cot_pap_id = 39, cot_prc_comum = 45, cot_prc_min = 45, cot_prc_max = 45, cot_prc_med = 45, cot_prc_mediana = 45 WHERE cot_id = 431;</v>
      </c>
    </row>
    <row r="433" customFormat="false" ht="14.25" hidden="false" customHeight="false" outlineLevel="0" collapsed="false">
      <c r="A433" s="0" t="n">
        <v>432</v>
      </c>
      <c r="B433" s="0" t="n">
        <f aca="false">IF('Boletins Nuppa Site'!A433&lt;&gt;0,'Boletins Nuppa Site'!A433,"NULL")</f>
        <v>47</v>
      </c>
      <c r="C433" s="0" t="n">
        <v>40</v>
      </c>
      <c r="D433" s="30" t="n">
        <f aca="false">IF('Boletins Nuppa Site'!G433&lt;&gt;0,'Boletins Nuppa Site'!G433,"NULL")</f>
        <v>85</v>
      </c>
      <c r="E433" s="30" t="n">
        <f aca="false">IF('Boletins Nuppa Site'!H433&lt;&gt;0,'Boletins Nuppa Site'!H433,"NULL")</f>
        <v>85</v>
      </c>
      <c r="F433" s="30" t="n">
        <f aca="false">IF('Boletins Nuppa Site'!I433&lt;&gt;0,'Boletins Nuppa Site'!I433,"NULL")</f>
        <v>85</v>
      </c>
      <c r="G433" s="30" t="n">
        <f aca="false">IF('Boletins Nuppa Site'!J433&lt;&gt;0,'Boletins Nuppa Site'!J433,"NULL")</f>
        <v>85</v>
      </c>
      <c r="H433" s="30" t="n">
        <f aca="false">IF('Boletins Nuppa Site'!K433&lt;&gt;0,'Boletins Nuppa Site'!K433,"NULL")</f>
        <v>85</v>
      </c>
      <c r="I433" s="0" t="str">
        <f aca="false">"INSERT INTO COTACAO (cot_id, cot_blt_id, cot_pap_id, cot_prc_comum, cot_prc_min, cot_prc_max, cot_prc_med, cot_prc_mediana) VALUES ("&amp;A433&amp;", "&amp;B433&amp;", "&amp;C433&amp;", "&amp;D433&amp;", "&amp;E433&amp;", "&amp;F433&amp;", "&amp;G433&amp;", "&amp;H433&amp;");"</f>
        <v>INSERT INTO COTACAO (cot_id, cot_blt_id, cot_pap_id, cot_prc_comum, cot_prc_min, cot_prc_max, cot_prc_med, cot_prc_mediana) VALUES (432, 47, 40, 85, 85, 85, 85, 85);</v>
      </c>
      <c r="J433" s="0" t="str">
        <f aca="false">"UPDATE COTACAO SET cot_id = "&amp;A433&amp;", cot_blt_id = "&amp;B433&amp;", cot_pap_id = "&amp;C433&amp;", cot_prc_comum = "&amp;D433&amp;", cot_prc_min = "&amp;E433&amp;", cot_prc_max = "&amp;F433&amp;", cot_prc_med = "&amp;G433&amp;", cot_prc_mediana = "&amp;H433&amp;" WHERE cot_id = "&amp;A433&amp;";"</f>
        <v>UPDATE COTACAO SET cot_id = 432, cot_blt_id = 47, cot_pap_id = 40, cot_prc_comum = 85, cot_prc_min = 85, cot_prc_max = 85, cot_prc_med = 85, cot_prc_mediana = 85 WHERE cot_id = 432;</v>
      </c>
    </row>
    <row r="434" customFormat="false" ht="14.25" hidden="false" customHeight="false" outlineLevel="0" collapsed="false">
      <c r="A434" s="0" t="n">
        <v>433</v>
      </c>
      <c r="B434" s="0" t="n">
        <f aca="false">IF('Boletins Nuppa Site'!A434&lt;&gt;0,'Boletins Nuppa Site'!A434,"NULL")</f>
        <v>48</v>
      </c>
      <c r="C434" s="0" t="n">
        <v>1</v>
      </c>
      <c r="D434" s="30" t="n">
        <f aca="false">IF('Boletins Nuppa Site'!G434&lt;&gt;0,'Boletins Nuppa Site'!G434,"NULL")</f>
        <v>60</v>
      </c>
      <c r="E434" s="30" t="n">
        <f aca="false">IF('Boletins Nuppa Site'!H434&lt;&gt;0,'Boletins Nuppa Site'!H434,"NULL")</f>
        <v>60</v>
      </c>
      <c r="F434" s="30" t="n">
        <f aca="false">IF('Boletins Nuppa Site'!I434&lt;&gt;0,'Boletins Nuppa Site'!I434,"NULL")</f>
        <v>78</v>
      </c>
      <c r="G434" s="30" t="n">
        <f aca="false">IF('Boletins Nuppa Site'!J434&lt;&gt;0,'Boletins Nuppa Site'!J434,"NULL")</f>
        <v>66</v>
      </c>
      <c r="H434" s="30" t="n">
        <f aca="false">IF('Boletins Nuppa Site'!K434&lt;&gt;0,'Boletins Nuppa Site'!K434,"NULL")</f>
        <v>60</v>
      </c>
      <c r="I434" s="0" t="str">
        <f aca="false">"INSERT INTO COTACAO (cot_id, cot_blt_id, cot_pap_id, cot_prc_comum, cot_prc_min, cot_prc_max, cot_prc_med, cot_prc_mediana) VALUES ("&amp;A434&amp;", "&amp;B434&amp;", "&amp;C434&amp;", "&amp;D434&amp;", "&amp;E434&amp;", "&amp;F434&amp;", "&amp;G434&amp;", "&amp;H434&amp;");"</f>
        <v>INSERT INTO COTACAO (cot_id, cot_blt_id, cot_pap_id, cot_prc_comum, cot_prc_min, cot_prc_max, cot_prc_med, cot_prc_mediana) VALUES (433, 48, 1, 60, 60, 78, 66, 60);</v>
      </c>
      <c r="J434" s="0" t="str">
        <f aca="false">"UPDATE COTACAO SET cot_id = "&amp;A434&amp;", cot_blt_id = "&amp;B434&amp;", cot_pap_id = "&amp;C434&amp;", cot_prc_comum = "&amp;D434&amp;", cot_prc_min = "&amp;E434&amp;", cot_prc_max = "&amp;F434&amp;", cot_prc_med = "&amp;G434&amp;", cot_prc_mediana = "&amp;H434&amp;" WHERE cot_id = "&amp;A434&amp;";"</f>
        <v>UPDATE COTACAO SET cot_id = 433, cot_blt_id = 48, cot_pap_id = 1, cot_prc_comum = 60, cot_prc_min = 60, cot_prc_max = 78, cot_prc_med = 66, cot_prc_mediana = 60 WHERE cot_id = 433;</v>
      </c>
    </row>
    <row r="435" customFormat="false" ht="14.25" hidden="false" customHeight="false" outlineLevel="0" collapsed="false">
      <c r="A435" s="0" t="n">
        <v>434</v>
      </c>
      <c r="B435" s="0" t="n">
        <f aca="false">IF('Boletins Nuppa Site'!A435&lt;&gt;0,'Boletins Nuppa Site'!A435,"NULL")</f>
        <v>48</v>
      </c>
      <c r="C435" s="0" t="n">
        <v>2</v>
      </c>
      <c r="D435" s="0" t="str">
        <f aca="false">IF('Boletins Nuppa Site'!G435&lt;&gt;0,'Boletins Nuppa Site'!G435,"NULL")</f>
        <v>NULL</v>
      </c>
      <c r="E435" s="30" t="n">
        <f aca="false">IF('Boletins Nuppa Site'!H435&lt;&gt;0,'Boletins Nuppa Site'!H435,"NULL")</f>
        <v>44</v>
      </c>
      <c r="F435" s="30" t="n">
        <f aca="false">IF('Boletins Nuppa Site'!I435&lt;&gt;0,'Boletins Nuppa Site'!I435,"NULL")</f>
        <v>78</v>
      </c>
      <c r="G435" s="0" t="str">
        <f aca="false">IF('Boletins Nuppa Site'!J435&lt;&gt;0,'Boletins Nuppa Site'!J435,"NULL")</f>
        <v>64.67</v>
      </c>
      <c r="H435" s="30" t="n">
        <f aca="false">IF('Boletins Nuppa Site'!K435&lt;&gt;0,'Boletins Nuppa Site'!K435,"NULL")</f>
        <v>72</v>
      </c>
      <c r="I435" s="0" t="str">
        <f aca="false">"INSERT INTO COTACAO (cot_id, cot_blt_id, cot_pap_id, cot_prc_comum, cot_prc_min, cot_prc_max, cot_prc_med, cot_prc_mediana) VALUES ("&amp;A435&amp;", "&amp;B435&amp;", "&amp;C435&amp;", "&amp;D435&amp;", "&amp;E435&amp;", "&amp;F435&amp;", "&amp;G435&amp;", "&amp;H435&amp;");"</f>
        <v>INSERT INTO COTACAO (cot_id, cot_blt_id, cot_pap_id, cot_prc_comum, cot_prc_min, cot_prc_max, cot_prc_med, cot_prc_mediana) VALUES (434, 48, 2, NULL, 44, 78, 64.67, 72);</v>
      </c>
      <c r="J435" s="0" t="str">
        <f aca="false">"UPDATE COTACAO SET cot_id = "&amp;A435&amp;", cot_blt_id = "&amp;B435&amp;", cot_pap_id = "&amp;C435&amp;", cot_prc_comum = "&amp;D435&amp;", cot_prc_min = "&amp;E435&amp;", cot_prc_max = "&amp;F435&amp;", cot_prc_med = "&amp;G435&amp;", cot_prc_mediana = "&amp;H435&amp;" WHERE cot_id = "&amp;A435&amp;";"</f>
        <v>UPDATE COTACAO SET cot_id = 434, cot_blt_id = 48, cot_pap_id = 2, cot_prc_comum = NULL, cot_prc_min = 44, cot_prc_max = 78, cot_prc_med = 64.67, cot_prc_mediana = 72 WHERE cot_id = 434;</v>
      </c>
    </row>
    <row r="436" customFormat="false" ht="14.25" hidden="false" customHeight="false" outlineLevel="0" collapsed="false">
      <c r="A436" s="0" t="n">
        <v>435</v>
      </c>
      <c r="B436" s="0" t="n">
        <f aca="false">IF('Boletins Nuppa Site'!A436&lt;&gt;0,'Boletins Nuppa Site'!A436,"NULL")</f>
        <v>48</v>
      </c>
      <c r="C436" s="0" t="n">
        <v>3</v>
      </c>
      <c r="D436" s="0" t="str">
        <f aca="false">IF('Boletins Nuppa Site'!G436&lt;&gt;0,'Boletins Nuppa Site'!G436,"NULL")</f>
        <v>NULL</v>
      </c>
      <c r="E436" s="30" t="n">
        <f aca="false">IF('Boletins Nuppa Site'!H436&lt;&gt;0,'Boletins Nuppa Site'!H436,"NULL")</f>
        <v>42</v>
      </c>
      <c r="F436" s="30" t="n">
        <f aca="false">IF('Boletins Nuppa Site'!I436&lt;&gt;0,'Boletins Nuppa Site'!I436,"NULL")</f>
        <v>60</v>
      </c>
      <c r="G436" s="30" t="n">
        <f aca="false">IF('Boletins Nuppa Site'!J436&lt;&gt;0,'Boletins Nuppa Site'!J436,"NULL")</f>
        <v>50</v>
      </c>
      <c r="H436" s="30" t="n">
        <f aca="false">IF('Boletins Nuppa Site'!K436&lt;&gt;0,'Boletins Nuppa Site'!K436,"NULL")</f>
        <v>48</v>
      </c>
      <c r="I436" s="0" t="str">
        <f aca="false">"INSERT INTO COTACAO (cot_id, cot_blt_id, cot_pap_id, cot_prc_comum, cot_prc_min, cot_prc_max, cot_prc_med, cot_prc_mediana) VALUES ("&amp;A436&amp;", "&amp;B436&amp;", "&amp;C436&amp;", "&amp;D436&amp;", "&amp;E436&amp;", "&amp;F436&amp;", "&amp;G436&amp;", "&amp;H436&amp;");"</f>
        <v>INSERT INTO COTACAO (cot_id, cot_blt_id, cot_pap_id, cot_prc_comum, cot_prc_min, cot_prc_max, cot_prc_med, cot_prc_mediana) VALUES (435, 48, 3, NULL, 42, 60, 50, 48);</v>
      </c>
      <c r="J436" s="0" t="str">
        <f aca="false">"UPDATE COTACAO SET cot_id = "&amp;A436&amp;", cot_blt_id = "&amp;B436&amp;", cot_pap_id = "&amp;C436&amp;", cot_prc_comum = "&amp;D436&amp;", cot_prc_min = "&amp;E436&amp;", cot_prc_max = "&amp;F436&amp;", cot_prc_med = "&amp;G436&amp;", cot_prc_mediana = "&amp;H436&amp;" WHERE cot_id = "&amp;A436&amp;";"</f>
        <v>UPDATE COTACAO SET cot_id = 435, cot_blt_id = 48, cot_pap_id = 3, cot_prc_comum = NULL, cot_prc_min = 42, cot_prc_max = 60, cot_prc_med = 50, cot_prc_mediana = 48 WHERE cot_id = 435;</v>
      </c>
    </row>
    <row r="437" customFormat="false" ht="14.25" hidden="false" customHeight="false" outlineLevel="0" collapsed="false">
      <c r="A437" s="0" t="n">
        <v>436</v>
      </c>
      <c r="B437" s="0" t="n">
        <f aca="false">IF('Boletins Nuppa Site'!A437&lt;&gt;0,'Boletins Nuppa Site'!A437,"NULL")</f>
        <v>48</v>
      </c>
      <c r="C437" s="0" t="n">
        <v>4</v>
      </c>
      <c r="D437" s="0" t="str">
        <f aca="false">IF('Boletins Nuppa Site'!G437&lt;&gt;0,'Boletins Nuppa Site'!G437,"NULL")</f>
        <v>NULL</v>
      </c>
      <c r="E437" s="30" t="n">
        <f aca="false">IF('Boletins Nuppa Site'!H437&lt;&gt;0,'Boletins Nuppa Site'!H437,"NULL")</f>
        <v>30</v>
      </c>
      <c r="F437" s="30" t="n">
        <f aca="false">IF('Boletins Nuppa Site'!I437&lt;&gt;0,'Boletins Nuppa Site'!I437,"NULL")</f>
        <v>42</v>
      </c>
      <c r="G437" s="0" t="str">
        <f aca="false">IF('Boletins Nuppa Site'!J437&lt;&gt;0,'Boletins Nuppa Site'!J437,"NULL")</f>
        <v>35.67</v>
      </c>
      <c r="H437" s="30" t="n">
        <f aca="false">IF('Boletins Nuppa Site'!K437&lt;&gt;0,'Boletins Nuppa Site'!K437,"NULL")</f>
        <v>35</v>
      </c>
      <c r="I437" s="0" t="str">
        <f aca="false">"INSERT INTO COTACAO (cot_id, cot_blt_id, cot_pap_id, cot_prc_comum, cot_prc_min, cot_prc_max, cot_prc_med, cot_prc_mediana) VALUES ("&amp;A437&amp;", "&amp;B437&amp;", "&amp;C437&amp;", "&amp;D437&amp;", "&amp;E437&amp;", "&amp;F437&amp;", "&amp;G437&amp;", "&amp;H437&amp;");"</f>
        <v>INSERT INTO COTACAO (cot_id, cot_blt_id, cot_pap_id, cot_prc_comum, cot_prc_min, cot_prc_max, cot_prc_med, cot_prc_mediana) VALUES (436, 48, 4, NULL, 30, 42, 35.67, 35);</v>
      </c>
      <c r="J437" s="0" t="str">
        <f aca="false">"UPDATE COTACAO SET cot_id = "&amp;A437&amp;", cot_blt_id = "&amp;B437&amp;", cot_pap_id = "&amp;C437&amp;", cot_prc_comum = "&amp;D437&amp;", cot_prc_min = "&amp;E437&amp;", cot_prc_max = "&amp;F437&amp;", cot_prc_med = "&amp;G437&amp;", cot_prc_mediana = "&amp;H437&amp;" WHERE cot_id = "&amp;A437&amp;";"</f>
        <v>UPDATE COTACAO SET cot_id = 436, cot_blt_id = 48, cot_pap_id = 4, cot_prc_comum = NULL, cot_prc_min = 30, cot_prc_max = 42, cot_prc_med = 35.67, cot_prc_mediana = 35 WHERE cot_id = 436;</v>
      </c>
    </row>
    <row r="438" customFormat="false" ht="14.25" hidden="false" customHeight="false" outlineLevel="0" collapsed="false">
      <c r="A438" s="0" t="n">
        <v>437</v>
      </c>
      <c r="B438" s="0" t="n">
        <f aca="false">IF('Boletins Nuppa Site'!A438&lt;&gt;0,'Boletins Nuppa Site'!A438,"NULL")</f>
        <v>48</v>
      </c>
      <c r="C438" s="0" t="n">
        <v>5</v>
      </c>
      <c r="D438" s="0" t="str">
        <f aca="false">IF('Boletins Nuppa Site'!G438&lt;&gt;0,'Boletins Nuppa Site'!G438,"NULL")</f>
        <v>NULL</v>
      </c>
      <c r="E438" s="30" t="n">
        <f aca="false">IF('Boletins Nuppa Site'!H438&lt;&gt;0,'Boletins Nuppa Site'!H438,"NULL")</f>
        <v>30</v>
      </c>
      <c r="F438" s="30" t="n">
        <f aca="false">IF('Boletins Nuppa Site'!I438&lt;&gt;0,'Boletins Nuppa Site'!I438,"NULL")</f>
        <v>42</v>
      </c>
      <c r="G438" s="0" t="str">
        <f aca="false">IF('Boletins Nuppa Site'!J438&lt;&gt;0,'Boletins Nuppa Site'!J438,"NULL")</f>
        <v>35.67</v>
      </c>
      <c r="H438" s="30" t="n">
        <f aca="false">IF('Boletins Nuppa Site'!K438&lt;&gt;0,'Boletins Nuppa Site'!K438,"NULL")</f>
        <v>35</v>
      </c>
      <c r="I438" s="0" t="str">
        <f aca="false">"INSERT INTO COTACAO (cot_id, cot_blt_id, cot_pap_id, cot_prc_comum, cot_prc_min, cot_prc_max, cot_prc_med, cot_prc_mediana) VALUES ("&amp;A438&amp;", "&amp;B438&amp;", "&amp;C438&amp;", "&amp;D438&amp;", "&amp;E438&amp;", "&amp;F438&amp;", "&amp;G438&amp;", "&amp;H438&amp;");"</f>
        <v>INSERT INTO COTACAO (cot_id, cot_blt_id, cot_pap_id, cot_prc_comum, cot_prc_min, cot_prc_max, cot_prc_med, cot_prc_mediana) VALUES (437, 48, 5, NULL, 30, 42, 35.67, 35);</v>
      </c>
      <c r="J438" s="0" t="str">
        <f aca="false">"UPDATE COTACAO SET cot_id = "&amp;A438&amp;", cot_blt_id = "&amp;B438&amp;", cot_pap_id = "&amp;C438&amp;", cot_prc_comum = "&amp;D438&amp;", cot_prc_min = "&amp;E438&amp;", cot_prc_max = "&amp;F438&amp;", cot_prc_med = "&amp;G438&amp;", cot_prc_mediana = "&amp;H438&amp;" WHERE cot_id = "&amp;A438&amp;";"</f>
        <v>UPDATE COTACAO SET cot_id = 437, cot_blt_id = 48, cot_pap_id = 5, cot_prc_comum = NULL, cot_prc_min = 30, cot_prc_max = 42, cot_prc_med = 35.67, cot_prc_mediana = 35 WHERE cot_id = 437;</v>
      </c>
    </row>
    <row r="439" customFormat="false" ht="14.25" hidden="false" customHeight="false" outlineLevel="0" collapsed="false">
      <c r="A439" s="0" t="n">
        <v>438</v>
      </c>
      <c r="B439" s="0" t="n">
        <f aca="false">IF('Boletins Nuppa Site'!A439&lt;&gt;0,'Boletins Nuppa Site'!A439,"NULL")</f>
        <v>48</v>
      </c>
      <c r="C439" s="0" t="n">
        <v>6</v>
      </c>
      <c r="D439" s="0" t="str">
        <f aca="false">IF('Boletins Nuppa Site'!G439&lt;&gt;0,'Boletins Nuppa Site'!G439,"NULL")</f>
        <v>NULL</v>
      </c>
      <c r="E439" s="30" t="n">
        <f aca="false">IF('Boletins Nuppa Site'!H439&lt;&gt;0,'Boletins Nuppa Site'!H439,"NULL")</f>
        <v>48</v>
      </c>
      <c r="F439" s="30" t="n">
        <f aca="false">IF('Boletins Nuppa Site'!I439&lt;&gt;0,'Boletins Nuppa Site'!I439,"NULL")</f>
        <v>96</v>
      </c>
      <c r="G439" s="30" t="n">
        <f aca="false">IF('Boletins Nuppa Site'!J439&lt;&gt;0,'Boletins Nuppa Site'!J439,"NULL")</f>
        <v>69</v>
      </c>
      <c r="H439" s="30" t="n">
        <f aca="false">IF('Boletins Nuppa Site'!K439&lt;&gt;0,'Boletins Nuppa Site'!K439,"NULL")</f>
        <v>66</v>
      </c>
      <c r="I439" s="0" t="str">
        <f aca="false">"INSERT INTO COTACAO (cot_id, cot_blt_id, cot_pap_id, cot_prc_comum, cot_prc_min, cot_prc_max, cot_prc_med, cot_prc_mediana) VALUES ("&amp;A439&amp;", "&amp;B439&amp;", "&amp;C439&amp;", "&amp;D439&amp;", "&amp;E439&amp;", "&amp;F439&amp;", "&amp;G439&amp;", "&amp;H439&amp;");"</f>
        <v>INSERT INTO COTACAO (cot_id, cot_blt_id, cot_pap_id, cot_prc_comum, cot_prc_min, cot_prc_max, cot_prc_med, cot_prc_mediana) VALUES (438, 48, 6, NULL, 48, 96, 69, 66);</v>
      </c>
      <c r="J439" s="0" t="str">
        <f aca="false">"UPDATE COTACAO SET cot_id = "&amp;A439&amp;", cot_blt_id = "&amp;B439&amp;", cot_pap_id = "&amp;C439&amp;", cot_prc_comum = "&amp;D439&amp;", cot_prc_min = "&amp;E439&amp;", cot_prc_max = "&amp;F439&amp;", cot_prc_med = "&amp;G439&amp;", cot_prc_mediana = "&amp;H439&amp;" WHERE cot_id = "&amp;A439&amp;";"</f>
        <v>UPDATE COTACAO SET cot_id = 438, cot_blt_id = 48, cot_pap_id = 6, cot_prc_comum = NULL, cot_prc_min = 48, cot_prc_max = 96, cot_prc_med = 69, cot_prc_mediana = 66 WHERE cot_id = 438;</v>
      </c>
    </row>
    <row r="440" customFormat="false" ht="14.25" hidden="false" customHeight="false" outlineLevel="0" collapsed="false">
      <c r="A440" s="0" t="n">
        <v>439</v>
      </c>
      <c r="B440" s="0" t="n">
        <f aca="false">IF('Boletins Nuppa Site'!A440&lt;&gt;0,'Boletins Nuppa Site'!A440,"NULL")</f>
        <v>48</v>
      </c>
      <c r="C440" s="0" t="n">
        <v>7</v>
      </c>
      <c r="D440" s="0" t="str">
        <f aca="false">IF('Boletins Nuppa Site'!G440&lt;&gt;0,'Boletins Nuppa Site'!G440,"NULL")</f>
        <v>NULL</v>
      </c>
      <c r="E440" s="30" t="n">
        <f aca="false">IF('Boletins Nuppa Site'!H440&lt;&gt;0,'Boletins Nuppa Site'!H440,"NULL")</f>
        <v>96</v>
      </c>
      <c r="F440" s="30" t="n">
        <f aca="false">IF('Boletins Nuppa Site'!I440&lt;&gt;0,'Boletins Nuppa Site'!I440,"NULL")</f>
        <v>108</v>
      </c>
      <c r="G440" s="0" t="str">
        <f aca="false">IF('Boletins Nuppa Site'!J440&lt;&gt;0,'Boletins Nuppa Site'!J440,"NULL")</f>
        <v>101.33</v>
      </c>
      <c r="H440" s="30" t="n">
        <f aca="false">IF('Boletins Nuppa Site'!K440&lt;&gt;0,'Boletins Nuppa Site'!K440,"NULL")</f>
        <v>100</v>
      </c>
      <c r="I440" s="0" t="str">
        <f aca="false">"INSERT INTO COTACAO (cot_id, cot_blt_id, cot_pap_id, cot_prc_comum, cot_prc_min, cot_prc_max, cot_prc_med, cot_prc_mediana) VALUES ("&amp;A440&amp;", "&amp;B440&amp;", "&amp;C440&amp;", "&amp;D440&amp;", "&amp;E440&amp;", "&amp;F440&amp;", "&amp;G440&amp;", "&amp;H440&amp;");"</f>
        <v>INSERT INTO COTACAO (cot_id, cot_blt_id, cot_pap_id, cot_prc_comum, cot_prc_min, cot_prc_max, cot_prc_med, cot_prc_mediana) VALUES (439, 48, 7, NULL, 96, 108, 101.33, 100);</v>
      </c>
      <c r="J440" s="0" t="str">
        <f aca="false">"UPDATE COTACAO SET cot_id = "&amp;A440&amp;", cot_blt_id = "&amp;B440&amp;", cot_pap_id = "&amp;C440&amp;", cot_prc_comum = "&amp;D440&amp;", cot_prc_min = "&amp;E440&amp;", cot_prc_max = "&amp;F440&amp;", cot_prc_med = "&amp;G440&amp;", cot_prc_mediana = "&amp;H440&amp;" WHERE cot_id = "&amp;A440&amp;";"</f>
        <v>UPDATE COTACAO SET cot_id = 439, cot_blt_id = 48, cot_pap_id = 7, cot_prc_comum = NULL, cot_prc_min = 96, cot_prc_max = 108, cot_prc_med = 101.33, cot_prc_mediana = 100 WHERE cot_id = 439;</v>
      </c>
    </row>
    <row r="441" customFormat="false" ht="14.25" hidden="false" customHeight="false" outlineLevel="0" collapsed="false">
      <c r="A441" s="0" t="n">
        <v>440</v>
      </c>
      <c r="B441" s="0" t="n">
        <f aca="false">IF('Boletins Nuppa Site'!A441&lt;&gt;0,'Boletins Nuppa Site'!A441,"NULL")</f>
        <v>48</v>
      </c>
      <c r="C441" s="0" t="n">
        <v>8</v>
      </c>
      <c r="D441" s="0" t="str">
        <f aca="false">IF('Boletins Nuppa Site'!G441&lt;&gt;0,'Boletins Nuppa Site'!G441,"NULL")</f>
        <v>NULL</v>
      </c>
      <c r="E441" s="30" t="n">
        <f aca="false">IF('Boletins Nuppa Site'!H441&lt;&gt;0,'Boletins Nuppa Site'!H441,"NULL")</f>
        <v>84</v>
      </c>
      <c r="F441" s="30" t="n">
        <f aca="false">IF('Boletins Nuppa Site'!I441&lt;&gt;0,'Boletins Nuppa Site'!I441,"NULL")</f>
        <v>100</v>
      </c>
      <c r="G441" s="0" t="str">
        <f aca="false">IF('Boletins Nuppa Site'!J441&lt;&gt;0,'Boletins Nuppa Site'!J441,"NULL")</f>
        <v>93.33</v>
      </c>
      <c r="H441" s="30" t="n">
        <f aca="false">IF('Boletins Nuppa Site'!K441&lt;&gt;0,'Boletins Nuppa Site'!K441,"NULL")</f>
        <v>96</v>
      </c>
      <c r="I441" s="0" t="str">
        <f aca="false">"INSERT INTO COTACAO (cot_id, cot_blt_id, cot_pap_id, cot_prc_comum, cot_prc_min, cot_prc_max, cot_prc_med, cot_prc_mediana) VALUES ("&amp;A441&amp;", "&amp;B441&amp;", "&amp;C441&amp;", "&amp;D441&amp;", "&amp;E441&amp;", "&amp;F441&amp;", "&amp;G441&amp;", "&amp;H441&amp;");"</f>
        <v>INSERT INTO COTACAO (cot_id, cot_blt_id, cot_pap_id, cot_prc_comum, cot_prc_min, cot_prc_max, cot_prc_med, cot_prc_mediana) VALUES (440, 48, 8, NULL, 84, 100, 93.33, 96);</v>
      </c>
      <c r="J441" s="0" t="str">
        <f aca="false">"UPDATE COTACAO SET cot_id = "&amp;A441&amp;", cot_blt_id = "&amp;B441&amp;", cot_pap_id = "&amp;C441&amp;", cot_prc_comum = "&amp;D441&amp;", cot_prc_min = "&amp;E441&amp;", cot_prc_max = "&amp;F441&amp;", cot_prc_med = "&amp;G441&amp;", cot_prc_mediana = "&amp;H441&amp;" WHERE cot_id = "&amp;A441&amp;";"</f>
        <v>UPDATE COTACAO SET cot_id = 440, cot_blt_id = 48, cot_pap_id = 8, cot_prc_comum = NULL, cot_prc_min = 84, cot_prc_max = 100, cot_prc_med = 93.33, cot_prc_mediana = 96 WHERE cot_id = 440;</v>
      </c>
    </row>
    <row r="442" customFormat="false" ht="14.25" hidden="false" customHeight="false" outlineLevel="0" collapsed="false">
      <c r="A442" s="0" t="n">
        <v>441</v>
      </c>
      <c r="B442" s="0" t="n">
        <f aca="false">IF('Boletins Nuppa Site'!A442&lt;&gt;0,'Boletins Nuppa Site'!A442,"NULL")</f>
        <v>48</v>
      </c>
      <c r="C442" s="0" t="n">
        <v>9</v>
      </c>
      <c r="D442" s="30" t="n">
        <f aca="false">IF('Boletins Nuppa Site'!G442&lt;&gt;0,'Boletins Nuppa Site'!G442,"NULL")</f>
        <v>30</v>
      </c>
      <c r="E442" s="30" t="n">
        <f aca="false">IF('Boletins Nuppa Site'!H442&lt;&gt;0,'Boletins Nuppa Site'!H442,"NULL")</f>
        <v>30</v>
      </c>
      <c r="F442" s="30" t="n">
        <f aca="false">IF('Boletins Nuppa Site'!I442&lt;&gt;0,'Boletins Nuppa Site'!I442,"NULL")</f>
        <v>96</v>
      </c>
      <c r="G442" s="30" t="n">
        <f aca="false">IF('Boletins Nuppa Site'!J442&lt;&gt;0,'Boletins Nuppa Site'!J442,"NULL")</f>
        <v>48</v>
      </c>
      <c r="H442" s="30" t="n">
        <f aca="false">IF('Boletins Nuppa Site'!K442&lt;&gt;0,'Boletins Nuppa Site'!K442,"NULL")</f>
        <v>33</v>
      </c>
      <c r="I442" s="0" t="str">
        <f aca="false">"INSERT INTO COTACAO (cot_id, cot_blt_id, cot_pap_id, cot_prc_comum, cot_prc_min, cot_prc_max, cot_prc_med, cot_prc_mediana) VALUES ("&amp;A442&amp;", "&amp;B442&amp;", "&amp;C442&amp;", "&amp;D442&amp;", "&amp;E442&amp;", "&amp;F442&amp;", "&amp;G442&amp;", "&amp;H442&amp;");"</f>
        <v>INSERT INTO COTACAO (cot_id, cot_blt_id, cot_pap_id, cot_prc_comum, cot_prc_min, cot_prc_max, cot_prc_med, cot_prc_mediana) VALUES (441, 48, 9, 30, 30, 96, 48, 33);</v>
      </c>
      <c r="J442" s="0" t="str">
        <f aca="false">"UPDATE COTACAO SET cot_id = "&amp;A442&amp;", cot_blt_id = "&amp;B442&amp;", cot_pap_id = "&amp;C442&amp;", cot_prc_comum = "&amp;D442&amp;", cot_prc_min = "&amp;E442&amp;", cot_prc_max = "&amp;F442&amp;", cot_prc_med = "&amp;G442&amp;", cot_prc_mediana = "&amp;H442&amp;" WHERE cot_id = "&amp;A442&amp;";"</f>
        <v>UPDATE COTACAO SET cot_id = 441, cot_blt_id = 48, cot_pap_id = 9, cot_prc_comum = 30, cot_prc_min = 30, cot_prc_max = 96, cot_prc_med = 48, cot_prc_mediana = 33 WHERE cot_id = 441;</v>
      </c>
    </row>
    <row r="443" customFormat="false" ht="14.25" hidden="false" customHeight="false" outlineLevel="0" collapsed="false">
      <c r="A443" s="0" t="n">
        <v>442</v>
      </c>
      <c r="B443" s="0" t="n">
        <f aca="false">IF('Boletins Nuppa Site'!A443&lt;&gt;0,'Boletins Nuppa Site'!A443,"NULL")</f>
        <v>48</v>
      </c>
      <c r="C443" s="0" t="n">
        <v>10</v>
      </c>
      <c r="D443" s="0" t="str">
        <f aca="false">IF('Boletins Nuppa Site'!G443&lt;&gt;0,'Boletins Nuppa Site'!G443,"NULL")</f>
        <v>NULL</v>
      </c>
      <c r="E443" s="30" t="n">
        <f aca="false">IF('Boletins Nuppa Site'!H443&lt;&gt;0,'Boletins Nuppa Site'!H443,"NULL")</f>
        <v>108</v>
      </c>
      <c r="F443" s="30" t="n">
        <f aca="false">IF('Boletins Nuppa Site'!I443&lt;&gt;0,'Boletins Nuppa Site'!I443,"NULL")</f>
        <v>120</v>
      </c>
      <c r="G443" s="30" t="n">
        <f aca="false">IF('Boletins Nuppa Site'!J443&lt;&gt;0,'Boletins Nuppa Site'!J443,"NULL")</f>
        <v>114</v>
      </c>
      <c r="H443" s="30" t="n">
        <f aca="false">IF('Boletins Nuppa Site'!K443&lt;&gt;0,'Boletins Nuppa Site'!K443,"NULL")</f>
        <v>114</v>
      </c>
      <c r="I443" s="0" t="str">
        <f aca="false">"INSERT INTO COTACAO (cot_id, cot_blt_id, cot_pap_id, cot_prc_comum, cot_prc_min, cot_prc_max, cot_prc_med, cot_prc_mediana) VALUES ("&amp;A443&amp;", "&amp;B443&amp;", "&amp;C443&amp;", "&amp;D443&amp;", "&amp;E443&amp;", "&amp;F443&amp;", "&amp;G443&amp;", "&amp;H443&amp;");"</f>
        <v>INSERT INTO COTACAO (cot_id, cot_blt_id, cot_pap_id, cot_prc_comum, cot_prc_min, cot_prc_max, cot_prc_med, cot_prc_mediana) VALUES (442, 48, 10, NULL, 108, 120, 114, 114);</v>
      </c>
      <c r="J443" s="0" t="str">
        <f aca="false">"UPDATE COTACAO SET cot_id = "&amp;A443&amp;", cot_blt_id = "&amp;B443&amp;", cot_pap_id = "&amp;C443&amp;", cot_prc_comum = "&amp;D443&amp;", cot_prc_min = "&amp;E443&amp;", cot_prc_max = "&amp;F443&amp;", cot_prc_med = "&amp;G443&amp;", cot_prc_mediana = "&amp;H443&amp;" WHERE cot_id = "&amp;A443&amp;";"</f>
        <v>UPDATE COTACAO SET cot_id = 442, cot_blt_id = 48, cot_pap_id = 10, cot_prc_comum = NULL, cot_prc_min = 108, cot_prc_max = 120, cot_prc_med = 114, cot_prc_mediana = 114 WHERE cot_id = 442;</v>
      </c>
    </row>
    <row r="444" customFormat="false" ht="14.25" hidden="false" customHeight="false" outlineLevel="0" collapsed="false">
      <c r="A444" s="0" t="n">
        <v>443</v>
      </c>
      <c r="B444" s="0" t="n">
        <f aca="false">IF('Boletins Nuppa Site'!A444&lt;&gt;0,'Boletins Nuppa Site'!A444,"NULL")</f>
        <v>48</v>
      </c>
      <c r="C444" s="0" t="n">
        <v>11</v>
      </c>
      <c r="D444" s="0" t="str">
        <f aca="false">IF('Boletins Nuppa Site'!G444&lt;&gt;0,'Boletins Nuppa Site'!G444,"NULL")</f>
        <v>NULL</v>
      </c>
      <c r="E444" s="30" t="n">
        <f aca="false">IF('Boletins Nuppa Site'!H444&lt;&gt;0,'Boletins Nuppa Site'!H444,"NULL")</f>
        <v>30</v>
      </c>
      <c r="F444" s="30" t="n">
        <f aca="false">IF('Boletins Nuppa Site'!I444&lt;&gt;0,'Boletins Nuppa Site'!I444,"NULL")</f>
        <v>42</v>
      </c>
      <c r="G444" s="30" t="n">
        <f aca="false">IF('Boletins Nuppa Site'!J444&lt;&gt;0,'Boletins Nuppa Site'!J444,"NULL")</f>
        <v>36</v>
      </c>
      <c r="H444" s="30" t="n">
        <f aca="false">IF('Boletins Nuppa Site'!K444&lt;&gt;0,'Boletins Nuppa Site'!K444,"NULL")</f>
        <v>36</v>
      </c>
      <c r="I444" s="0" t="str">
        <f aca="false">"INSERT INTO COTACAO (cot_id, cot_blt_id, cot_pap_id, cot_prc_comum, cot_prc_min, cot_prc_max, cot_prc_med, cot_prc_mediana) VALUES ("&amp;A444&amp;", "&amp;B444&amp;", "&amp;C444&amp;", "&amp;D444&amp;", "&amp;E444&amp;", "&amp;F444&amp;", "&amp;G444&amp;", "&amp;H444&amp;");"</f>
        <v>INSERT INTO COTACAO (cot_id, cot_blt_id, cot_pap_id, cot_prc_comum, cot_prc_min, cot_prc_max, cot_prc_med, cot_prc_mediana) VALUES (443, 48, 11, NULL, 30, 42, 36, 36);</v>
      </c>
      <c r="J444" s="0" t="str">
        <f aca="false">"UPDATE COTACAO SET cot_id = "&amp;A444&amp;", cot_blt_id = "&amp;B444&amp;", cot_pap_id = "&amp;C444&amp;", cot_prc_comum = "&amp;D444&amp;", cot_prc_min = "&amp;E444&amp;", cot_prc_max = "&amp;F444&amp;", cot_prc_med = "&amp;G444&amp;", cot_prc_mediana = "&amp;H444&amp;" WHERE cot_id = "&amp;A444&amp;";"</f>
        <v>UPDATE COTACAO SET cot_id = 443, cot_blt_id = 48, cot_pap_id = 11, cot_prc_comum = NULL, cot_prc_min = 30, cot_prc_max = 42, cot_prc_med = 36, cot_prc_mediana = 36 WHERE cot_id = 443;</v>
      </c>
    </row>
    <row r="445" customFormat="false" ht="14.25" hidden="false" customHeight="false" outlineLevel="0" collapsed="false">
      <c r="A445" s="0" t="n">
        <v>444</v>
      </c>
      <c r="B445" s="0" t="n">
        <f aca="false">IF('Boletins Nuppa Site'!A445&lt;&gt;0,'Boletins Nuppa Site'!A445,"NULL")</f>
        <v>48</v>
      </c>
      <c r="C445" s="0" t="n">
        <v>12</v>
      </c>
      <c r="D445" s="0" t="str">
        <f aca="false">IF('Boletins Nuppa Site'!G445&lt;&gt;0,'Boletins Nuppa Site'!G445,"NULL")</f>
        <v>NULL</v>
      </c>
      <c r="E445" s="30" t="n">
        <f aca="false">IF('Boletins Nuppa Site'!H445&lt;&gt;0,'Boletins Nuppa Site'!H445,"NULL")</f>
        <v>72</v>
      </c>
      <c r="F445" s="30" t="n">
        <f aca="false">IF('Boletins Nuppa Site'!I445&lt;&gt;0,'Boletins Nuppa Site'!I445,"NULL")</f>
        <v>84</v>
      </c>
      <c r="G445" s="30" t="n">
        <f aca="false">IF('Boletins Nuppa Site'!J445&lt;&gt;0,'Boletins Nuppa Site'!J445,"NULL")</f>
        <v>78</v>
      </c>
      <c r="H445" s="30" t="n">
        <f aca="false">IF('Boletins Nuppa Site'!K445&lt;&gt;0,'Boletins Nuppa Site'!K445,"NULL")</f>
        <v>78</v>
      </c>
      <c r="I445" s="0" t="str">
        <f aca="false">"INSERT INTO COTACAO (cot_id, cot_blt_id, cot_pap_id, cot_prc_comum, cot_prc_min, cot_prc_max, cot_prc_med, cot_prc_mediana) VALUES ("&amp;A445&amp;", "&amp;B445&amp;", "&amp;C445&amp;", "&amp;D445&amp;", "&amp;E445&amp;", "&amp;F445&amp;", "&amp;G445&amp;", "&amp;H445&amp;");"</f>
        <v>INSERT INTO COTACAO (cot_id, cot_blt_id, cot_pap_id, cot_prc_comum, cot_prc_min, cot_prc_max, cot_prc_med, cot_prc_mediana) VALUES (444, 48, 12, NULL, 72, 84, 78, 78);</v>
      </c>
      <c r="J445" s="0" t="str">
        <f aca="false">"UPDATE COTACAO SET cot_id = "&amp;A445&amp;", cot_blt_id = "&amp;B445&amp;", cot_pap_id = "&amp;C445&amp;", cot_prc_comum = "&amp;D445&amp;", cot_prc_min = "&amp;E445&amp;", cot_prc_max = "&amp;F445&amp;", cot_prc_med = "&amp;G445&amp;", cot_prc_mediana = "&amp;H445&amp;" WHERE cot_id = "&amp;A445&amp;";"</f>
        <v>UPDATE COTACAO SET cot_id = 444, cot_blt_id = 48, cot_pap_id = 12, cot_prc_comum = NULL, cot_prc_min = 72, cot_prc_max = 84, cot_prc_med = 78, cot_prc_mediana = 78 WHERE cot_id = 444;</v>
      </c>
    </row>
    <row r="446" customFormat="false" ht="14.25" hidden="false" customHeight="false" outlineLevel="0" collapsed="false">
      <c r="A446" s="0" t="n">
        <v>445</v>
      </c>
      <c r="B446" s="0" t="n">
        <f aca="false">IF('Boletins Nuppa Site'!A446&lt;&gt;0,'Boletins Nuppa Site'!A446,"NULL")</f>
        <v>48</v>
      </c>
      <c r="C446" s="0" t="n">
        <v>13</v>
      </c>
      <c r="D446" s="0" t="str">
        <f aca="false">IF('Boletins Nuppa Site'!G446&lt;&gt;0,'Boletins Nuppa Site'!G446,"NULL")</f>
        <v>NULL</v>
      </c>
      <c r="E446" s="30" t="n">
        <f aca="false">IF('Boletins Nuppa Site'!H446&lt;&gt;0,'Boletins Nuppa Site'!H446,"NULL")</f>
        <v>32</v>
      </c>
      <c r="F446" s="30" t="n">
        <f aca="false">IF('Boletins Nuppa Site'!I446&lt;&gt;0,'Boletins Nuppa Site'!I446,"NULL")</f>
        <v>84</v>
      </c>
      <c r="G446" s="0" t="str">
        <f aca="false">IF('Boletins Nuppa Site'!J446&lt;&gt;0,'Boletins Nuppa Site'!J446,"NULL")</f>
        <v>62.67</v>
      </c>
      <c r="H446" s="30" t="n">
        <f aca="false">IF('Boletins Nuppa Site'!K446&lt;&gt;0,'Boletins Nuppa Site'!K446,"NULL")</f>
        <v>72</v>
      </c>
      <c r="I446" s="0" t="str">
        <f aca="false">"INSERT INTO COTACAO (cot_id, cot_blt_id, cot_pap_id, cot_prc_comum, cot_prc_min, cot_prc_max, cot_prc_med, cot_prc_mediana) VALUES ("&amp;A446&amp;", "&amp;B446&amp;", "&amp;C446&amp;", "&amp;D446&amp;", "&amp;E446&amp;", "&amp;F446&amp;", "&amp;G446&amp;", "&amp;H446&amp;");"</f>
        <v>INSERT INTO COTACAO (cot_id, cot_blt_id, cot_pap_id, cot_prc_comum, cot_prc_min, cot_prc_max, cot_prc_med, cot_prc_mediana) VALUES (445, 48, 13, NULL, 32, 84, 62.67, 72);</v>
      </c>
      <c r="J446" s="0" t="str">
        <f aca="false">"UPDATE COTACAO SET cot_id = "&amp;A446&amp;", cot_blt_id = "&amp;B446&amp;", cot_pap_id = "&amp;C446&amp;", cot_prc_comum = "&amp;D446&amp;", cot_prc_min = "&amp;E446&amp;", cot_prc_max = "&amp;F446&amp;", cot_prc_med = "&amp;G446&amp;", cot_prc_mediana = "&amp;H446&amp;" WHERE cot_id = "&amp;A446&amp;";"</f>
        <v>UPDATE COTACAO SET cot_id = 445, cot_blt_id = 48, cot_pap_id = 13, cot_prc_comum = NULL, cot_prc_min = 32, cot_prc_max = 84, cot_prc_med = 62.67, cot_prc_mediana = 72 WHERE cot_id = 445;</v>
      </c>
    </row>
    <row r="447" customFormat="false" ht="14.25" hidden="false" customHeight="false" outlineLevel="0" collapsed="false">
      <c r="A447" s="0" t="n">
        <v>446</v>
      </c>
      <c r="B447" s="0" t="n">
        <f aca="false">IF('Boletins Nuppa Site'!A447&lt;&gt;0,'Boletins Nuppa Site'!A447,"NULL")</f>
        <v>48</v>
      </c>
      <c r="C447" s="0" t="n">
        <v>14</v>
      </c>
      <c r="D447" s="30" t="n">
        <f aca="false">IF('Boletins Nuppa Site'!G447&lt;&gt;0,'Boletins Nuppa Site'!G447,"NULL")</f>
        <v>60</v>
      </c>
      <c r="E447" s="30" t="n">
        <f aca="false">IF('Boletins Nuppa Site'!H447&lt;&gt;0,'Boletins Nuppa Site'!H447,"NULL")</f>
        <v>60</v>
      </c>
      <c r="F447" s="30" t="n">
        <f aca="false">IF('Boletins Nuppa Site'!I447&lt;&gt;0,'Boletins Nuppa Site'!I447,"NULL")</f>
        <v>80</v>
      </c>
      <c r="G447" s="0" t="str">
        <f aca="false">IF('Boletins Nuppa Site'!J447&lt;&gt;0,'Boletins Nuppa Site'!J447,"NULL")</f>
        <v>66.67</v>
      </c>
      <c r="H447" s="30" t="n">
        <f aca="false">IF('Boletins Nuppa Site'!K447&lt;&gt;0,'Boletins Nuppa Site'!K447,"NULL")</f>
        <v>60</v>
      </c>
      <c r="I447" s="0" t="str">
        <f aca="false">"INSERT INTO COTACAO (cot_id, cot_blt_id, cot_pap_id, cot_prc_comum, cot_prc_min, cot_prc_max, cot_prc_med, cot_prc_mediana) VALUES ("&amp;A447&amp;", "&amp;B447&amp;", "&amp;C447&amp;", "&amp;D447&amp;", "&amp;E447&amp;", "&amp;F447&amp;", "&amp;G447&amp;", "&amp;H447&amp;");"</f>
        <v>INSERT INTO COTACAO (cot_id, cot_blt_id, cot_pap_id, cot_prc_comum, cot_prc_min, cot_prc_max, cot_prc_med, cot_prc_mediana) VALUES (446, 48, 14, 60, 60, 80, 66.67, 60);</v>
      </c>
      <c r="J447" s="0" t="str">
        <f aca="false">"UPDATE COTACAO SET cot_id = "&amp;A447&amp;", cot_blt_id = "&amp;B447&amp;", cot_pap_id = "&amp;C447&amp;", cot_prc_comum = "&amp;D447&amp;", cot_prc_min = "&amp;E447&amp;", cot_prc_max = "&amp;F447&amp;", cot_prc_med = "&amp;G447&amp;", cot_prc_mediana = "&amp;H447&amp;" WHERE cot_id = "&amp;A447&amp;";"</f>
        <v>UPDATE COTACAO SET cot_id = 446, cot_blt_id = 48, cot_pap_id = 14, cot_prc_comum = 60, cot_prc_min = 60, cot_prc_max = 80, cot_prc_med = 66.67, cot_prc_mediana = 60 WHERE cot_id = 446;</v>
      </c>
    </row>
    <row r="448" customFormat="false" ht="14.25" hidden="false" customHeight="false" outlineLevel="0" collapsed="false">
      <c r="A448" s="0" t="n">
        <v>447</v>
      </c>
      <c r="B448" s="0" t="n">
        <f aca="false">IF('Boletins Nuppa Site'!A448&lt;&gt;0,'Boletins Nuppa Site'!A448,"NULL")</f>
        <v>48</v>
      </c>
      <c r="C448" s="0" t="n">
        <v>15</v>
      </c>
      <c r="D448" s="0" t="str">
        <f aca="false">IF('Boletins Nuppa Site'!G448&lt;&gt;0,'Boletins Nuppa Site'!G448,"NULL")</f>
        <v>NULL</v>
      </c>
      <c r="E448" s="30" t="n">
        <f aca="false">IF('Boletins Nuppa Site'!H448&lt;&gt;0,'Boletins Nuppa Site'!H448,"NULL")</f>
        <v>50</v>
      </c>
      <c r="F448" s="30" t="n">
        <f aca="false">IF('Boletins Nuppa Site'!I448&lt;&gt;0,'Boletins Nuppa Site'!I448,"NULL")</f>
        <v>75</v>
      </c>
      <c r="G448" s="0" t="str">
        <f aca="false">IF('Boletins Nuppa Site'!J448&lt;&gt;0,'Boletins Nuppa Site'!J448,"NULL")</f>
        <v>59.67</v>
      </c>
      <c r="H448" s="30" t="n">
        <f aca="false">IF('Boletins Nuppa Site'!K448&lt;&gt;0,'Boletins Nuppa Site'!K448,"NULL")</f>
        <v>54</v>
      </c>
      <c r="I448" s="0" t="str">
        <f aca="false">"INSERT INTO COTACAO (cot_id, cot_blt_id, cot_pap_id, cot_prc_comum, cot_prc_min, cot_prc_max, cot_prc_med, cot_prc_mediana) VALUES ("&amp;A448&amp;", "&amp;B448&amp;", "&amp;C448&amp;", "&amp;D448&amp;", "&amp;E448&amp;", "&amp;F448&amp;", "&amp;G448&amp;", "&amp;H448&amp;");"</f>
        <v>INSERT INTO COTACAO (cot_id, cot_blt_id, cot_pap_id, cot_prc_comum, cot_prc_min, cot_prc_max, cot_prc_med, cot_prc_mediana) VALUES (447, 48, 15, NULL, 50, 75, 59.67, 54);</v>
      </c>
      <c r="J448" s="0" t="str">
        <f aca="false">"UPDATE COTACAO SET cot_id = "&amp;A448&amp;", cot_blt_id = "&amp;B448&amp;", cot_pap_id = "&amp;C448&amp;", cot_prc_comum = "&amp;D448&amp;", cot_prc_min = "&amp;E448&amp;", cot_prc_max = "&amp;F448&amp;", cot_prc_med = "&amp;G448&amp;", cot_prc_mediana = "&amp;H448&amp;" WHERE cot_id = "&amp;A448&amp;";"</f>
        <v>UPDATE COTACAO SET cot_id = 447, cot_blt_id = 48, cot_pap_id = 15, cot_prc_comum = NULL, cot_prc_min = 50, cot_prc_max = 75, cot_prc_med = 59.67, cot_prc_mediana = 54 WHERE cot_id = 447;</v>
      </c>
    </row>
    <row r="449" customFormat="false" ht="14.25" hidden="false" customHeight="false" outlineLevel="0" collapsed="false">
      <c r="A449" s="0" t="n">
        <v>448</v>
      </c>
      <c r="B449" s="0" t="n">
        <f aca="false">IF('Boletins Nuppa Site'!A449&lt;&gt;0,'Boletins Nuppa Site'!A449,"NULL")</f>
        <v>48</v>
      </c>
      <c r="C449" s="0" t="n">
        <v>16</v>
      </c>
      <c r="D449" s="0" t="str">
        <f aca="false">IF('Boletins Nuppa Site'!G449&lt;&gt;0,'Boletins Nuppa Site'!G449,"NULL")</f>
        <v>NULL</v>
      </c>
      <c r="E449" s="30" t="n">
        <f aca="false">IF('Boletins Nuppa Site'!H449&lt;&gt;0,'Boletins Nuppa Site'!H449,"NULL")</f>
        <v>42</v>
      </c>
      <c r="F449" s="30" t="n">
        <f aca="false">IF('Boletins Nuppa Site'!I449&lt;&gt;0,'Boletins Nuppa Site'!I449,"NULL")</f>
        <v>54</v>
      </c>
      <c r="G449" s="30" t="n">
        <f aca="false">IF('Boletins Nuppa Site'!J449&lt;&gt;0,'Boletins Nuppa Site'!J449,"NULL")</f>
        <v>48</v>
      </c>
      <c r="H449" s="30" t="n">
        <f aca="false">IF('Boletins Nuppa Site'!K449&lt;&gt;0,'Boletins Nuppa Site'!K449,"NULL")</f>
        <v>48</v>
      </c>
      <c r="I449" s="0" t="str">
        <f aca="false">"INSERT INTO COTACAO (cot_id, cot_blt_id, cot_pap_id, cot_prc_comum, cot_prc_min, cot_prc_max, cot_prc_med, cot_prc_mediana) VALUES ("&amp;A449&amp;", "&amp;B449&amp;", "&amp;C449&amp;", "&amp;D449&amp;", "&amp;E449&amp;", "&amp;F449&amp;", "&amp;G449&amp;", "&amp;H449&amp;");"</f>
        <v>INSERT INTO COTACAO (cot_id, cot_blt_id, cot_pap_id, cot_prc_comum, cot_prc_min, cot_prc_max, cot_prc_med, cot_prc_mediana) VALUES (448, 48, 16, NULL, 42, 54, 48, 48);</v>
      </c>
      <c r="J449" s="0" t="str">
        <f aca="false">"UPDATE COTACAO SET cot_id = "&amp;A449&amp;", cot_blt_id = "&amp;B449&amp;", cot_pap_id = "&amp;C449&amp;", cot_prc_comum = "&amp;D449&amp;", cot_prc_min = "&amp;E449&amp;", cot_prc_max = "&amp;F449&amp;", cot_prc_med = "&amp;G449&amp;", cot_prc_mediana = "&amp;H449&amp;" WHERE cot_id = "&amp;A449&amp;";"</f>
        <v>UPDATE COTACAO SET cot_id = 448, cot_blt_id = 48, cot_pap_id = 16, cot_prc_comum = NULL, cot_prc_min = 42, cot_prc_max = 54, cot_prc_med = 48, cot_prc_mediana = 48 WHERE cot_id = 448;</v>
      </c>
    </row>
    <row r="450" customFormat="false" ht="14.25" hidden="false" customHeight="false" outlineLevel="0" collapsed="false">
      <c r="A450" s="0" t="n">
        <v>449</v>
      </c>
      <c r="B450" s="0" t="n">
        <f aca="false">IF('Boletins Nuppa Site'!A450&lt;&gt;0,'Boletins Nuppa Site'!A450,"NULL")</f>
        <v>48</v>
      </c>
      <c r="C450" s="0" t="n">
        <v>17</v>
      </c>
      <c r="D450" s="30" t="n">
        <f aca="false">IF('Boletins Nuppa Site'!G450&lt;&gt;0,'Boletins Nuppa Site'!G450,"NULL")</f>
        <v>5</v>
      </c>
      <c r="E450" s="0" t="str">
        <f aca="false">IF('Boletins Nuppa Site'!H450&lt;&gt;0,'Boletins Nuppa Site'!H450,"NULL")</f>
        <v>4.5</v>
      </c>
      <c r="F450" s="30" t="n">
        <f aca="false">IF('Boletins Nuppa Site'!I450&lt;&gt;0,'Boletins Nuppa Site'!I450,"NULL")</f>
        <v>5</v>
      </c>
      <c r="G450" s="0" t="str">
        <f aca="false">IF('Boletins Nuppa Site'!J450&lt;&gt;0,'Boletins Nuppa Site'!J450,"NULL")</f>
        <v>4.83</v>
      </c>
      <c r="H450" s="30" t="n">
        <f aca="false">IF('Boletins Nuppa Site'!K450&lt;&gt;0,'Boletins Nuppa Site'!K450,"NULL")</f>
        <v>5</v>
      </c>
      <c r="I450" s="0" t="str">
        <f aca="false">"INSERT INTO COTACAO (cot_id, cot_blt_id, cot_pap_id, cot_prc_comum, cot_prc_min, cot_prc_max, cot_prc_med, cot_prc_mediana) VALUES ("&amp;A450&amp;", "&amp;B450&amp;", "&amp;C450&amp;", "&amp;D450&amp;", "&amp;E450&amp;", "&amp;F450&amp;", "&amp;G450&amp;", "&amp;H450&amp;");"</f>
        <v>INSERT INTO COTACAO (cot_id, cot_blt_id, cot_pap_id, cot_prc_comum, cot_prc_min, cot_prc_max, cot_prc_med, cot_prc_mediana) VALUES (449, 48, 17, 5, 4.5, 5, 4.83, 5);</v>
      </c>
      <c r="J450" s="0" t="str">
        <f aca="false">"UPDATE COTACAO SET cot_id = "&amp;A450&amp;", cot_blt_id = "&amp;B450&amp;", cot_pap_id = "&amp;C450&amp;", cot_prc_comum = "&amp;D450&amp;", cot_prc_min = "&amp;E450&amp;", cot_prc_max = "&amp;F450&amp;", cot_prc_med = "&amp;G450&amp;", cot_prc_mediana = "&amp;H450&amp;" WHERE cot_id = "&amp;A450&amp;";"</f>
        <v>UPDATE COTACAO SET cot_id = 449, cot_blt_id = 48, cot_pap_id = 17, cot_prc_comum = 5, cot_prc_min = 4.5, cot_prc_max = 5, cot_prc_med = 4.83, cot_prc_mediana = 5 WHERE cot_id = 449;</v>
      </c>
    </row>
    <row r="451" customFormat="false" ht="14.25" hidden="false" customHeight="false" outlineLevel="0" collapsed="false">
      <c r="A451" s="0" t="n">
        <v>450</v>
      </c>
      <c r="B451" s="0" t="n">
        <f aca="false">IF('Boletins Nuppa Site'!A451&lt;&gt;0,'Boletins Nuppa Site'!A451,"NULL")</f>
        <v>48</v>
      </c>
      <c r="C451" s="0" t="n">
        <v>18</v>
      </c>
      <c r="D451" s="0" t="str">
        <f aca="false">IF('Boletins Nuppa Site'!G451&lt;&gt;0,'Boletins Nuppa Site'!G451,"NULL")</f>
        <v>NULL</v>
      </c>
      <c r="E451" s="30" t="n">
        <f aca="false">IF('Boletins Nuppa Site'!H451&lt;&gt;0,'Boletins Nuppa Site'!H451,"NULL")</f>
        <v>20</v>
      </c>
      <c r="F451" s="30" t="n">
        <f aca="false">IF('Boletins Nuppa Site'!I451&lt;&gt;0,'Boletins Nuppa Site'!I451,"NULL")</f>
        <v>30</v>
      </c>
      <c r="G451" s="30" t="n">
        <f aca="false">IF('Boletins Nuppa Site'!J451&lt;&gt;0,'Boletins Nuppa Site'!J451,"NULL")</f>
        <v>25</v>
      </c>
      <c r="H451" s="30" t="n">
        <f aca="false">IF('Boletins Nuppa Site'!K451&lt;&gt;0,'Boletins Nuppa Site'!K451,"NULL")</f>
        <v>25</v>
      </c>
      <c r="I451" s="0" t="str">
        <f aca="false">"INSERT INTO COTACAO (cot_id, cot_blt_id, cot_pap_id, cot_prc_comum, cot_prc_min, cot_prc_max, cot_prc_med, cot_prc_mediana) VALUES ("&amp;A451&amp;", "&amp;B451&amp;", "&amp;C451&amp;", "&amp;D451&amp;", "&amp;E451&amp;", "&amp;F451&amp;", "&amp;G451&amp;", "&amp;H451&amp;");"</f>
        <v>INSERT INTO COTACAO (cot_id, cot_blt_id, cot_pap_id, cot_prc_comum, cot_prc_min, cot_prc_max, cot_prc_med, cot_prc_mediana) VALUES (450, 48, 18, NULL, 20, 30, 25, 25);</v>
      </c>
      <c r="J451" s="0" t="str">
        <f aca="false">"UPDATE COTACAO SET cot_id = "&amp;A451&amp;", cot_blt_id = "&amp;B451&amp;", cot_pap_id = "&amp;C451&amp;", cot_prc_comum = "&amp;D451&amp;", cot_prc_min = "&amp;E451&amp;", cot_prc_max = "&amp;F451&amp;", cot_prc_med = "&amp;G451&amp;", cot_prc_mediana = "&amp;H451&amp;" WHERE cot_id = "&amp;A451&amp;";"</f>
        <v>UPDATE COTACAO SET cot_id = 450, cot_blt_id = 48, cot_pap_id = 18, cot_prc_comum = NULL, cot_prc_min = 20, cot_prc_max = 30, cot_prc_med = 25, cot_prc_mediana = 25 WHERE cot_id = 450;</v>
      </c>
    </row>
    <row r="452" customFormat="false" ht="14.25" hidden="false" customHeight="false" outlineLevel="0" collapsed="false">
      <c r="A452" s="0" t="n">
        <v>451</v>
      </c>
      <c r="B452" s="0" t="n">
        <f aca="false">IF('Boletins Nuppa Site'!A452&lt;&gt;0,'Boletins Nuppa Site'!A452,"NULL")</f>
        <v>48</v>
      </c>
      <c r="C452" s="0" t="n">
        <v>19</v>
      </c>
      <c r="D452" s="0" t="str">
        <f aca="false">IF('Boletins Nuppa Site'!G452&lt;&gt;0,'Boletins Nuppa Site'!G452,"NULL")</f>
        <v>NULL</v>
      </c>
      <c r="E452" s="30" t="n">
        <f aca="false">IF('Boletins Nuppa Site'!H452&lt;&gt;0,'Boletins Nuppa Site'!H452,"NULL")</f>
        <v>30</v>
      </c>
      <c r="F452" s="30" t="n">
        <f aca="false">IF('Boletins Nuppa Site'!I452&lt;&gt;0,'Boletins Nuppa Site'!I452,"NULL")</f>
        <v>40</v>
      </c>
      <c r="G452" s="30" t="n">
        <f aca="false">IF('Boletins Nuppa Site'!J452&lt;&gt;0,'Boletins Nuppa Site'!J452,"NULL")</f>
        <v>35</v>
      </c>
      <c r="H452" s="30" t="n">
        <f aca="false">IF('Boletins Nuppa Site'!K452&lt;&gt;0,'Boletins Nuppa Site'!K452,"NULL")</f>
        <v>35</v>
      </c>
      <c r="I452" s="0" t="str">
        <f aca="false">"INSERT INTO COTACAO (cot_id, cot_blt_id, cot_pap_id, cot_prc_comum, cot_prc_min, cot_prc_max, cot_prc_med, cot_prc_mediana) VALUES ("&amp;A452&amp;", "&amp;B452&amp;", "&amp;C452&amp;", "&amp;D452&amp;", "&amp;E452&amp;", "&amp;F452&amp;", "&amp;G452&amp;", "&amp;H452&amp;");"</f>
        <v>INSERT INTO COTACAO (cot_id, cot_blt_id, cot_pap_id, cot_prc_comum, cot_prc_min, cot_prc_max, cot_prc_med, cot_prc_mediana) VALUES (451, 48, 19, NULL, 30, 40, 35, 35);</v>
      </c>
      <c r="J452" s="0" t="str">
        <f aca="false">"UPDATE COTACAO SET cot_id = "&amp;A452&amp;", cot_blt_id = "&amp;B452&amp;", cot_pap_id = "&amp;C452&amp;", cot_prc_comum = "&amp;D452&amp;", cot_prc_min = "&amp;E452&amp;", cot_prc_max = "&amp;F452&amp;", cot_prc_med = "&amp;G452&amp;", cot_prc_mediana = "&amp;H452&amp;" WHERE cot_id = "&amp;A452&amp;";"</f>
        <v>UPDATE COTACAO SET cot_id = 451, cot_blt_id = 48, cot_pap_id = 19, cot_prc_comum = NULL, cot_prc_min = 30, cot_prc_max = 40, cot_prc_med = 35, cot_prc_mediana = 35 WHERE cot_id = 451;</v>
      </c>
    </row>
    <row r="453" customFormat="false" ht="14.25" hidden="false" customHeight="false" outlineLevel="0" collapsed="false">
      <c r="A453" s="0" t="n">
        <v>452</v>
      </c>
      <c r="B453" s="0" t="n">
        <f aca="false">IF('Boletins Nuppa Site'!A453&lt;&gt;0,'Boletins Nuppa Site'!A453,"NULL")</f>
        <v>48</v>
      </c>
      <c r="C453" s="0" t="n">
        <v>20</v>
      </c>
      <c r="D453" s="30" t="n">
        <f aca="false">IF('Boletins Nuppa Site'!G453&lt;&gt;0,'Boletins Nuppa Site'!G453,"NULL")</f>
        <v>120</v>
      </c>
      <c r="E453" s="30" t="n">
        <f aca="false">IF('Boletins Nuppa Site'!H453&lt;&gt;0,'Boletins Nuppa Site'!H453,"NULL")</f>
        <v>115</v>
      </c>
      <c r="F453" s="30" t="n">
        <f aca="false">IF('Boletins Nuppa Site'!I453&lt;&gt;0,'Boletins Nuppa Site'!I453,"NULL")</f>
        <v>120</v>
      </c>
      <c r="G453" s="0" t="str">
        <f aca="false">IF('Boletins Nuppa Site'!J453&lt;&gt;0,'Boletins Nuppa Site'!J453,"NULL")</f>
        <v>118.33</v>
      </c>
      <c r="H453" s="30" t="n">
        <f aca="false">IF('Boletins Nuppa Site'!K453&lt;&gt;0,'Boletins Nuppa Site'!K453,"NULL")</f>
        <v>120</v>
      </c>
      <c r="I453" s="0" t="str">
        <f aca="false">"INSERT INTO COTACAO (cot_id, cot_blt_id, cot_pap_id, cot_prc_comum, cot_prc_min, cot_prc_max, cot_prc_med, cot_prc_mediana) VALUES ("&amp;A453&amp;", "&amp;B453&amp;", "&amp;C453&amp;", "&amp;D453&amp;", "&amp;E453&amp;", "&amp;F453&amp;", "&amp;G453&amp;", "&amp;H453&amp;");"</f>
        <v>INSERT INTO COTACAO (cot_id, cot_blt_id, cot_pap_id, cot_prc_comum, cot_prc_min, cot_prc_max, cot_prc_med, cot_prc_mediana) VALUES (452, 48, 20, 120, 115, 120, 118.33, 120);</v>
      </c>
      <c r="J453" s="0" t="str">
        <f aca="false">"UPDATE COTACAO SET cot_id = "&amp;A453&amp;", cot_blt_id = "&amp;B453&amp;", cot_pap_id = "&amp;C453&amp;", cot_prc_comum = "&amp;D453&amp;", cot_prc_min = "&amp;E453&amp;", cot_prc_max = "&amp;F453&amp;", cot_prc_med = "&amp;G453&amp;", cot_prc_mediana = "&amp;H453&amp;" WHERE cot_id = "&amp;A453&amp;";"</f>
        <v>UPDATE COTACAO SET cot_id = 452, cot_blt_id = 48, cot_pap_id = 20, cot_prc_comum = 120, cot_prc_min = 115, cot_prc_max = 120, cot_prc_med = 118.33, cot_prc_mediana = 120 WHERE cot_id = 452;</v>
      </c>
    </row>
    <row r="454" customFormat="false" ht="14.25" hidden="false" customHeight="false" outlineLevel="0" collapsed="false">
      <c r="A454" s="0" t="n">
        <v>453</v>
      </c>
      <c r="B454" s="0" t="n">
        <f aca="false">IF('Boletins Nuppa Site'!A454&lt;&gt;0,'Boletins Nuppa Site'!A454,"NULL")</f>
        <v>48</v>
      </c>
      <c r="C454" s="0" t="n">
        <v>21</v>
      </c>
      <c r="D454" s="0" t="str">
        <f aca="false">IF('Boletins Nuppa Site'!G454&lt;&gt;0,'Boletins Nuppa Site'!G454,"NULL")</f>
        <v>NULL</v>
      </c>
      <c r="E454" s="30" t="n">
        <f aca="false">IF('Boletins Nuppa Site'!H454&lt;&gt;0,'Boletins Nuppa Site'!H454,"NULL")</f>
        <v>80</v>
      </c>
      <c r="F454" s="30" t="n">
        <f aca="false">IF('Boletins Nuppa Site'!I454&lt;&gt;0,'Boletins Nuppa Site'!I454,"NULL")</f>
        <v>100</v>
      </c>
      <c r="G454" s="30" t="n">
        <f aca="false">IF('Boletins Nuppa Site'!J454&lt;&gt;0,'Boletins Nuppa Site'!J454,"NULL")</f>
        <v>90</v>
      </c>
      <c r="H454" s="30" t="n">
        <f aca="false">IF('Boletins Nuppa Site'!K454&lt;&gt;0,'Boletins Nuppa Site'!K454,"NULL")</f>
        <v>90</v>
      </c>
      <c r="I454" s="0" t="str">
        <f aca="false">"INSERT INTO COTACAO (cot_id, cot_blt_id, cot_pap_id, cot_prc_comum, cot_prc_min, cot_prc_max, cot_prc_med, cot_prc_mediana) VALUES ("&amp;A454&amp;", "&amp;B454&amp;", "&amp;C454&amp;", "&amp;D454&amp;", "&amp;E454&amp;", "&amp;F454&amp;", "&amp;G454&amp;", "&amp;H454&amp;");"</f>
        <v>INSERT INTO COTACAO (cot_id, cot_blt_id, cot_pap_id, cot_prc_comum, cot_prc_min, cot_prc_max, cot_prc_med, cot_prc_mediana) VALUES (453, 48, 21, NULL, 80, 100, 90, 90);</v>
      </c>
      <c r="J454" s="0" t="str">
        <f aca="false">"UPDATE COTACAO SET cot_id = "&amp;A454&amp;", cot_blt_id = "&amp;B454&amp;", cot_pap_id = "&amp;C454&amp;", cot_prc_comum = "&amp;D454&amp;", cot_prc_min = "&amp;E454&amp;", cot_prc_max = "&amp;F454&amp;", cot_prc_med = "&amp;G454&amp;", cot_prc_mediana = "&amp;H454&amp;" WHERE cot_id = "&amp;A454&amp;";"</f>
        <v>UPDATE COTACAO SET cot_id = 453, cot_blt_id = 48, cot_pap_id = 21, cot_prc_comum = NULL, cot_prc_min = 80, cot_prc_max = 100, cot_prc_med = 90, cot_prc_mediana = 90 WHERE cot_id = 453;</v>
      </c>
    </row>
    <row r="455" customFormat="false" ht="14.25" hidden="false" customHeight="false" outlineLevel="0" collapsed="false">
      <c r="A455" s="0" t="n">
        <v>454</v>
      </c>
      <c r="B455" s="0" t="n">
        <f aca="false">IF('Boletins Nuppa Site'!A455&lt;&gt;0,'Boletins Nuppa Site'!A455,"NULL")</f>
        <v>48</v>
      </c>
      <c r="C455" s="0" t="n">
        <v>22</v>
      </c>
      <c r="D455" s="30" t="n">
        <f aca="false">IF('Boletins Nuppa Site'!G455&lt;&gt;0,'Boletins Nuppa Site'!G455,"NULL")</f>
        <v>75</v>
      </c>
      <c r="E455" s="30" t="n">
        <f aca="false">IF('Boletins Nuppa Site'!H455&lt;&gt;0,'Boletins Nuppa Site'!H455,"NULL")</f>
        <v>45</v>
      </c>
      <c r="F455" s="30" t="n">
        <f aca="false">IF('Boletins Nuppa Site'!I455&lt;&gt;0,'Boletins Nuppa Site'!I455,"NULL")</f>
        <v>80</v>
      </c>
      <c r="G455" s="0" t="str">
        <f aca="false">IF('Boletins Nuppa Site'!J455&lt;&gt;0,'Boletins Nuppa Site'!J455,"NULL")</f>
        <v>69.17</v>
      </c>
      <c r="H455" s="0" t="str">
        <f aca="false">IF('Boletins Nuppa Site'!K455&lt;&gt;0,'Boletins Nuppa Site'!K455,"NULL")</f>
        <v>72.5</v>
      </c>
      <c r="I455" s="0" t="str">
        <f aca="false">"INSERT INTO COTACAO (cot_id, cot_blt_id, cot_pap_id, cot_prc_comum, cot_prc_min, cot_prc_max, cot_prc_med, cot_prc_mediana) VALUES ("&amp;A455&amp;", "&amp;B455&amp;", "&amp;C455&amp;", "&amp;D455&amp;", "&amp;E455&amp;", "&amp;F455&amp;", "&amp;G455&amp;", "&amp;H455&amp;");"</f>
        <v>INSERT INTO COTACAO (cot_id, cot_blt_id, cot_pap_id, cot_prc_comum, cot_prc_min, cot_prc_max, cot_prc_med, cot_prc_mediana) VALUES (454, 48, 22, 75, 45, 80, 69.17, 72.5);</v>
      </c>
      <c r="J455" s="0" t="str">
        <f aca="false">"UPDATE COTACAO SET cot_id = "&amp;A455&amp;", cot_blt_id = "&amp;B455&amp;", cot_pap_id = "&amp;C455&amp;", cot_prc_comum = "&amp;D455&amp;", cot_prc_min = "&amp;E455&amp;", cot_prc_max = "&amp;F455&amp;", cot_prc_med = "&amp;G455&amp;", cot_prc_mediana = "&amp;H455&amp;" WHERE cot_id = "&amp;A455&amp;";"</f>
        <v>UPDATE COTACAO SET cot_id = 454, cot_blt_id = 48, cot_pap_id = 22, cot_prc_comum = 75, cot_prc_min = 45, cot_prc_max = 80, cot_prc_med = 69.17, cot_prc_mediana = 72.5 WHERE cot_id = 454;</v>
      </c>
    </row>
    <row r="456" customFormat="false" ht="14.25" hidden="false" customHeight="false" outlineLevel="0" collapsed="false">
      <c r="A456" s="0" t="n">
        <v>455</v>
      </c>
      <c r="B456" s="0" t="n">
        <f aca="false">IF('Boletins Nuppa Site'!A456&lt;&gt;0,'Boletins Nuppa Site'!A456,"NULL")</f>
        <v>48</v>
      </c>
      <c r="C456" s="0" t="n">
        <v>23</v>
      </c>
      <c r="D456" s="30" t="n">
        <f aca="false">IF('Boletins Nuppa Site'!G456&lt;&gt;0,'Boletins Nuppa Site'!G456,"NULL")</f>
        <v>50</v>
      </c>
      <c r="E456" s="30" t="n">
        <f aca="false">IF('Boletins Nuppa Site'!H456&lt;&gt;0,'Boletins Nuppa Site'!H456,"NULL")</f>
        <v>35</v>
      </c>
      <c r="F456" s="30" t="n">
        <f aca="false">IF('Boletins Nuppa Site'!I456&lt;&gt;0,'Boletins Nuppa Site'!I456,"NULL")</f>
        <v>50</v>
      </c>
      <c r="G456" s="0" t="str">
        <f aca="false">IF('Boletins Nuppa Site'!J456&lt;&gt;0,'Boletins Nuppa Site'!J456,"NULL")</f>
        <v>43.33</v>
      </c>
      <c r="H456" s="0" t="str">
        <f aca="false">IF('Boletins Nuppa Site'!K456&lt;&gt;0,'Boletins Nuppa Site'!K456,"NULL")</f>
        <v>42.5</v>
      </c>
      <c r="I456" s="0" t="str">
        <f aca="false">"INSERT INTO COTACAO (cot_id, cot_blt_id, cot_pap_id, cot_prc_comum, cot_prc_min, cot_prc_max, cot_prc_med, cot_prc_mediana) VALUES ("&amp;A456&amp;", "&amp;B456&amp;", "&amp;C456&amp;", "&amp;D456&amp;", "&amp;E456&amp;", "&amp;F456&amp;", "&amp;G456&amp;", "&amp;H456&amp;");"</f>
        <v>INSERT INTO COTACAO (cot_id, cot_blt_id, cot_pap_id, cot_prc_comum, cot_prc_min, cot_prc_max, cot_prc_med, cot_prc_mediana) VALUES (455, 48, 23, 50, 35, 50, 43.33, 42.5);</v>
      </c>
      <c r="J456" s="0" t="str">
        <f aca="false">"UPDATE COTACAO SET cot_id = "&amp;A456&amp;", cot_blt_id = "&amp;B456&amp;", cot_pap_id = "&amp;C456&amp;", cot_prc_comum = "&amp;D456&amp;", cot_prc_min = "&amp;E456&amp;", cot_prc_max = "&amp;F456&amp;", cot_prc_med = "&amp;G456&amp;", cot_prc_mediana = "&amp;H456&amp;" WHERE cot_id = "&amp;A456&amp;";"</f>
        <v>UPDATE COTACAO SET cot_id = 455, cot_blt_id = 48, cot_pap_id = 23, cot_prc_comum = 50, cot_prc_min = 35, cot_prc_max = 50, cot_prc_med = 43.33, cot_prc_mediana = 42.5 WHERE cot_id = 455;</v>
      </c>
    </row>
    <row r="457" customFormat="false" ht="14.25" hidden="false" customHeight="false" outlineLevel="0" collapsed="false">
      <c r="A457" s="0" t="n">
        <v>456</v>
      </c>
      <c r="B457" s="0" t="n">
        <f aca="false">IF('Boletins Nuppa Site'!A457&lt;&gt;0,'Boletins Nuppa Site'!A457,"NULL")</f>
        <v>48</v>
      </c>
      <c r="C457" s="0" t="n">
        <v>24</v>
      </c>
      <c r="D457" s="0" t="str">
        <f aca="false">IF('Boletins Nuppa Site'!G457&lt;&gt;0,'Boletins Nuppa Site'!G457,"NULL")</f>
        <v>NULL</v>
      </c>
      <c r="E457" s="30" t="n">
        <f aca="false">IF('Boletins Nuppa Site'!H457&lt;&gt;0,'Boletins Nuppa Site'!H457,"NULL")</f>
        <v>65</v>
      </c>
      <c r="F457" s="30" t="n">
        <f aca="false">IF('Boletins Nuppa Site'!I457&lt;&gt;0,'Boletins Nuppa Site'!I457,"NULL")</f>
        <v>65</v>
      </c>
      <c r="G457" s="30" t="n">
        <f aca="false">IF('Boletins Nuppa Site'!J457&lt;&gt;0,'Boletins Nuppa Site'!J457,"NULL")</f>
        <v>65</v>
      </c>
      <c r="H457" s="30" t="n">
        <f aca="false">IF('Boletins Nuppa Site'!K457&lt;&gt;0,'Boletins Nuppa Site'!K457,"NULL")</f>
        <v>65</v>
      </c>
      <c r="I457" s="0" t="str">
        <f aca="false">"INSERT INTO COTACAO (cot_id, cot_blt_id, cot_pap_id, cot_prc_comum, cot_prc_min, cot_prc_max, cot_prc_med, cot_prc_mediana) VALUES ("&amp;A457&amp;", "&amp;B457&amp;", "&amp;C457&amp;", "&amp;D457&amp;", "&amp;E457&amp;", "&amp;F457&amp;", "&amp;G457&amp;", "&amp;H457&amp;");"</f>
        <v>INSERT INTO COTACAO (cot_id, cot_blt_id, cot_pap_id, cot_prc_comum, cot_prc_min, cot_prc_max, cot_prc_med, cot_prc_mediana) VALUES (456, 48, 24, NULL, 65, 65, 65, 65);</v>
      </c>
      <c r="J457" s="0" t="str">
        <f aca="false">"UPDATE COTACAO SET cot_id = "&amp;A457&amp;", cot_blt_id = "&amp;B457&amp;", cot_pap_id = "&amp;C457&amp;", cot_prc_comum = "&amp;D457&amp;", cot_prc_min = "&amp;E457&amp;", cot_prc_max = "&amp;F457&amp;", cot_prc_med = "&amp;G457&amp;", cot_prc_mediana = "&amp;H457&amp;" WHERE cot_id = "&amp;A457&amp;";"</f>
        <v>UPDATE COTACAO SET cot_id = 456, cot_blt_id = 48, cot_pap_id = 24, cot_prc_comum = NULL, cot_prc_min = 65, cot_prc_max = 65, cot_prc_med = 65, cot_prc_mediana = 65 WHERE cot_id = 456;</v>
      </c>
    </row>
    <row r="458" customFormat="false" ht="14.25" hidden="false" customHeight="false" outlineLevel="0" collapsed="false">
      <c r="A458" s="0" t="n">
        <v>457</v>
      </c>
      <c r="B458" s="0" t="n">
        <f aca="false">IF('Boletins Nuppa Site'!A458&lt;&gt;0,'Boletins Nuppa Site'!A458,"NULL")</f>
        <v>48</v>
      </c>
      <c r="C458" s="0" t="n">
        <v>25</v>
      </c>
      <c r="D458" s="30" t="n">
        <f aca="false">IF('Boletins Nuppa Site'!G458&lt;&gt;0,'Boletins Nuppa Site'!G458,"NULL")</f>
        <v>130</v>
      </c>
      <c r="E458" s="30" t="n">
        <f aca="false">IF('Boletins Nuppa Site'!H458&lt;&gt;0,'Boletins Nuppa Site'!H458,"NULL")</f>
        <v>100</v>
      </c>
      <c r="F458" s="30" t="n">
        <f aca="false">IF('Boletins Nuppa Site'!I458&lt;&gt;0,'Boletins Nuppa Site'!I458,"NULL")</f>
        <v>130</v>
      </c>
      <c r="G458" s="0" t="str">
        <f aca="false">IF('Boletins Nuppa Site'!J458&lt;&gt;0,'Boletins Nuppa Site'!J458,"NULL")</f>
        <v>116.67</v>
      </c>
      <c r="H458" s="30" t="n">
        <f aca="false">IF('Boletins Nuppa Site'!K458&lt;&gt;0,'Boletins Nuppa Site'!K458,"NULL")</f>
        <v>115</v>
      </c>
      <c r="I458" s="0" t="str">
        <f aca="false">"INSERT INTO COTACAO (cot_id, cot_blt_id, cot_pap_id, cot_prc_comum, cot_prc_min, cot_prc_max, cot_prc_med, cot_prc_mediana) VALUES ("&amp;A458&amp;", "&amp;B458&amp;", "&amp;C458&amp;", "&amp;D458&amp;", "&amp;E458&amp;", "&amp;F458&amp;", "&amp;G458&amp;", "&amp;H458&amp;");"</f>
        <v>INSERT INTO COTACAO (cot_id, cot_blt_id, cot_pap_id, cot_prc_comum, cot_prc_min, cot_prc_max, cot_prc_med, cot_prc_mediana) VALUES (457, 48, 25, 130, 100, 130, 116.67, 115);</v>
      </c>
      <c r="J458" s="0" t="str">
        <f aca="false">"UPDATE COTACAO SET cot_id = "&amp;A458&amp;", cot_blt_id = "&amp;B458&amp;", cot_pap_id = "&amp;C458&amp;", cot_prc_comum = "&amp;D458&amp;", cot_prc_min = "&amp;E458&amp;", cot_prc_max = "&amp;F458&amp;", cot_prc_med = "&amp;G458&amp;", cot_prc_mediana = "&amp;H458&amp;" WHERE cot_id = "&amp;A458&amp;";"</f>
        <v>UPDATE COTACAO SET cot_id = 457, cot_blt_id = 48, cot_pap_id = 25, cot_prc_comum = 130, cot_prc_min = 100, cot_prc_max = 130, cot_prc_med = 116.67, cot_prc_mediana = 115 WHERE cot_id = 457;</v>
      </c>
    </row>
    <row r="459" customFormat="false" ht="14.25" hidden="false" customHeight="false" outlineLevel="0" collapsed="false">
      <c r="A459" s="0" t="n">
        <v>458</v>
      </c>
      <c r="B459" s="0" t="n">
        <f aca="false">IF('Boletins Nuppa Site'!A459&lt;&gt;0,'Boletins Nuppa Site'!A459,"NULL")</f>
        <v>48</v>
      </c>
      <c r="C459" s="0" t="n">
        <v>26</v>
      </c>
      <c r="D459" s="30" t="n">
        <f aca="false">IF('Boletins Nuppa Site'!G459&lt;&gt;0,'Boletins Nuppa Site'!G459,"NULL")</f>
        <v>90</v>
      </c>
      <c r="E459" s="30" t="n">
        <f aca="false">IF('Boletins Nuppa Site'!H459&lt;&gt;0,'Boletins Nuppa Site'!H459,"NULL")</f>
        <v>90</v>
      </c>
      <c r="F459" s="30" t="n">
        <f aca="false">IF('Boletins Nuppa Site'!I459&lt;&gt;0,'Boletins Nuppa Site'!I459,"NULL")</f>
        <v>150</v>
      </c>
      <c r="G459" s="30" t="n">
        <f aca="false">IF('Boletins Nuppa Site'!J459&lt;&gt;0,'Boletins Nuppa Site'!J459,"NULL")</f>
        <v>122</v>
      </c>
      <c r="H459" s="30" t="n">
        <f aca="false">IF('Boletins Nuppa Site'!K459&lt;&gt;0,'Boletins Nuppa Site'!K459,"NULL")</f>
        <v>140</v>
      </c>
      <c r="I459" s="0" t="str">
        <f aca="false">"INSERT INTO COTACAO (cot_id, cot_blt_id, cot_pap_id, cot_prc_comum, cot_prc_min, cot_prc_max, cot_prc_med, cot_prc_mediana) VALUES ("&amp;A459&amp;", "&amp;B459&amp;", "&amp;C459&amp;", "&amp;D459&amp;", "&amp;E459&amp;", "&amp;F459&amp;", "&amp;G459&amp;", "&amp;H459&amp;");"</f>
        <v>INSERT INTO COTACAO (cot_id, cot_blt_id, cot_pap_id, cot_prc_comum, cot_prc_min, cot_prc_max, cot_prc_med, cot_prc_mediana) VALUES (458, 48, 26, 90, 90, 150, 122, 140);</v>
      </c>
      <c r="J459" s="0" t="str">
        <f aca="false">"UPDATE COTACAO SET cot_id = "&amp;A459&amp;", cot_blt_id = "&amp;B459&amp;", cot_pap_id = "&amp;C459&amp;", cot_prc_comum = "&amp;D459&amp;", cot_prc_min = "&amp;E459&amp;", cot_prc_max = "&amp;F459&amp;", cot_prc_med = "&amp;G459&amp;", cot_prc_mediana = "&amp;H459&amp;" WHERE cot_id = "&amp;A459&amp;";"</f>
        <v>UPDATE COTACAO SET cot_id = 458, cot_blt_id = 48, cot_pap_id = 26, cot_prc_comum = 90, cot_prc_min = 90, cot_prc_max = 150, cot_prc_med = 122, cot_prc_mediana = 140 WHERE cot_id = 458;</v>
      </c>
    </row>
    <row r="460" customFormat="false" ht="14.25" hidden="false" customHeight="false" outlineLevel="0" collapsed="false">
      <c r="A460" s="0" t="n">
        <v>459</v>
      </c>
      <c r="B460" s="0" t="n">
        <f aca="false">IF('Boletins Nuppa Site'!A460&lt;&gt;0,'Boletins Nuppa Site'!A460,"NULL")</f>
        <v>48</v>
      </c>
      <c r="C460" s="0" t="n">
        <v>27</v>
      </c>
      <c r="D460" s="30" t="n">
        <f aca="false">IF('Boletins Nuppa Site'!G460&lt;&gt;0,'Boletins Nuppa Site'!G460,"NULL")</f>
        <v>60</v>
      </c>
      <c r="E460" s="30" t="n">
        <f aca="false">IF('Boletins Nuppa Site'!H460&lt;&gt;0,'Boletins Nuppa Site'!H460,"NULL")</f>
        <v>50</v>
      </c>
      <c r="F460" s="30" t="n">
        <f aca="false">IF('Boletins Nuppa Site'!I460&lt;&gt;0,'Boletins Nuppa Site'!I460,"NULL")</f>
        <v>60</v>
      </c>
      <c r="G460" s="0" t="str">
        <f aca="false">IF('Boletins Nuppa Site'!J460&lt;&gt;0,'Boletins Nuppa Site'!J460,"NULL")</f>
        <v>56.33</v>
      </c>
      <c r="H460" s="30" t="n">
        <f aca="false">IF('Boletins Nuppa Site'!K460&lt;&gt;0,'Boletins Nuppa Site'!K460,"NULL")</f>
        <v>59</v>
      </c>
      <c r="I460" s="0" t="str">
        <f aca="false">"INSERT INTO COTACAO (cot_id, cot_blt_id, cot_pap_id, cot_prc_comum, cot_prc_min, cot_prc_max, cot_prc_med, cot_prc_mediana) VALUES ("&amp;A460&amp;", "&amp;B460&amp;", "&amp;C460&amp;", "&amp;D460&amp;", "&amp;E460&amp;", "&amp;F460&amp;", "&amp;G460&amp;", "&amp;H460&amp;");"</f>
        <v>INSERT INTO COTACAO (cot_id, cot_blt_id, cot_pap_id, cot_prc_comum, cot_prc_min, cot_prc_max, cot_prc_med, cot_prc_mediana) VALUES (459, 48, 27, 60, 50, 60, 56.33, 59);</v>
      </c>
      <c r="J460" s="0" t="str">
        <f aca="false">"UPDATE COTACAO SET cot_id = "&amp;A460&amp;", cot_blt_id = "&amp;B460&amp;", cot_pap_id = "&amp;C460&amp;", cot_prc_comum = "&amp;D460&amp;", cot_prc_min = "&amp;E460&amp;", cot_prc_max = "&amp;F460&amp;", cot_prc_med = "&amp;G460&amp;", cot_prc_mediana = "&amp;H460&amp;" WHERE cot_id = "&amp;A460&amp;";"</f>
        <v>UPDATE COTACAO SET cot_id = 459, cot_blt_id = 48, cot_pap_id = 27, cot_prc_comum = 60, cot_prc_min = 50, cot_prc_max = 60, cot_prc_med = 56.33, cot_prc_mediana = 59 WHERE cot_id = 459;</v>
      </c>
    </row>
    <row r="461" customFormat="false" ht="14.25" hidden="false" customHeight="false" outlineLevel="0" collapsed="false">
      <c r="A461" s="0" t="n">
        <v>460</v>
      </c>
      <c r="B461" s="0" t="n">
        <f aca="false">IF('Boletins Nuppa Site'!A461&lt;&gt;0,'Boletins Nuppa Site'!A461,"NULL")</f>
        <v>48</v>
      </c>
      <c r="C461" s="0" t="n">
        <v>28</v>
      </c>
      <c r="D461" s="30" t="n">
        <f aca="false">IF('Boletins Nuppa Site'!G461&lt;&gt;0,'Boletins Nuppa Site'!G461,"NULL")</f>
        <v>100</v>
      </c>
      <c r="E461" s="30" t="n">
        <f aca="false">IF('Boletins Nuppa Site'!H461&lt;&gt;0,'Boletins Nuppa Site'!H461,"NULL")</f>
        <v>100</v>
      </c>
      <c r="F461" s="30" t="n">
        <f aca="false">IF('Boletins Nuppa Site'!I461&lt;&gt;0,'Boletins Nuppa Site'!I461,"NULL")</f>
        <v>110</v>
      </c>
      <c r="G461" s="0" t="str">
        <f aca="false">IF('Boletins Nuppa Site'!J461&lt;&gt;0,'Boletins Nuppa Site'!J461,"NULL")</f>
        <v>103.33</v>
      </c>
      <c r="H461" s="30" t="n">
        <f aca="false">IF('Boletins Nuppa Site'!K461&lt;&gt;0,'Boletins Nuppa Site'!K461,"NULL")</f>
        <v>100</v>
      </c>
      <c r="I461" s="0" t="str">
        <f aca="false">"INSERT INTO COTACAO (cot_id, cot_blt_id, cot_pap_id, cot_prc_comum, cot_prc_min, cot_prc_max, cot_prc_med, cot_prc_mediana) VALUES ("&amp;A461&amp;", "&amp;B461&amp;", "&amp;C461&amp;", "&amp;D461&amp;", "&amp;E461&amp;", "&amp;F461&amp;", "&amp;G461&amp;", "&amp;H461&amp;");"</f>
        <v>INSERT INTO COTACAO (cot_id, cot_blt_id, cot_pap_id, cot_prc_comum, cot_prc_min, cot_prc_max, cot_prc_med, cot_prc_mediana) VALUES (460, 48, 28, 100, 100, 110, 103.33, 100);</v>
      </c>
      <c r="J461" s="0" t="str">
        <f aca="false">"UPDATE COTACAO SET cot_id = "&amp;A461&amp;", cot_blt_id = "&amp;B461&amp;", cot_pap_id = "&amp;C461&amp;", cot_prc_comum = "&amp;D461&amp;", cot_prc_min = "&amp;E461&amp;", cot_prc_max = "&amp;F461&amp;", cot_prc_med = "&amp;G461&amp;", cot_prc_mediana = "&amp;H461&amp;" WHERE cot_id = "&amp;A461&amp;";"</f>
        <v>UPDATE COTACAO SET cot_id = 460, cot_blt_id = 48, cot_pap_id = 28, cot_prc_comum = 100, cot_prc_min = 100, cot_prc_max = 110, cot_prc_med = 103.33, cot_prc_mediana = 100 WHERE cot_id = 460;</v>
      </c>
    </row>
    <row r="462" customFormat="false" ht="14.25" hidden="false" customHeight="false" outlineLevel="0" collapsed="false">
      <c r="A462" s="0" t="n">
        <v>461</v>
      </c>
      <c r="B462" s="0" t="n">
        <f aca="false">IF('Boletins Nuppa Site'!A462&lt;&gt;0,'Boletins Nuppa Site'!A462,"NULL")</f>
        <v>48</v>
      </c>
      <c r="C462" s="0" t="n">
        <v>29</v>
      </c>
      <c r="D462" s="0" t="str">
        <f aca="false">IF('Boletins Nuppa Site'!G462&lt;&gt;0,'Boletins Nuppa Site'!G462,"NULL")</f>
        <v>NULL</v>
      </c>
      <c r="E462" s="30" t="n">
        <f aca="false">IF('Boletins Nuppa Site'!H462&lt;&gt;0,'Boletins Nuppa Site'!H462,"NULL")</f>
        <v>50</v>
      </c>
      <c r="F462" s="30" t="n">
        <f aca="false">IF('Boletins Nuppa Site'!I462&lt;&gt;0,'Boletins Nuppa Site'!I462,"NULL")</f>
        <v>78</v>
      </c>
      <c r="G462" s="30" t="n">
        <f aca="false">IF('Boletins Nuppa Site'!J462&lt;&gt;0,'Boletins Nuppa Site'!J462,"NULL")</f>
        <v>64</v>
      </c>
      <c r="H462" s="30" t="n">
        <f aca="false">IF('Boletins Nuppa Site'!K462&lt;&gt;0,'Boletins Nuppa Site'!K462,"NULL")</f>
        <v>64</v>
      </c>
      <c r="I462" s="0" t="str">
        <f aca="false">"INSERT INTO COTACAO (cot_id, cot_blt_id, cot_pap_id, cot_prc_comum, cot_prc_min, cot_prc_max, cot_prc_med, cot_prc_mediana) VALUES ("&amp;A462&amp;", "&amp;B462&amp;", "&amp;C462&amp;", "&amp;D462&amp;", "&amp;E462&amp;", "&amp;F462&amp;", "&amp;G462&amp;", "&amp;H462&amp;");"</f>
        <v>INSERT INTO COTACAO (cot_id, cot_blt_id, cot_pap_id, cot_prc_comum, cot_prc_min, cot_prc_max, cot_prc_med, cot_prc_mediana) VALUES (461, 48, 29, NULL, 50, 78, 64, 64);</v>
      </c>
      <c r="J462" s="0" t="str">
        <f aca="false">"UPDATE COTACAO SET cot_id = "&amp;A462&amp;", cot_blt_id = "&amp;B462&amp;", cot_pap_id = "&amp;C462&amp;", cot_prc_comum = "&amp;D462&amp;", cot_prc_min = "&amp;E462&amp;", cot_prc_max = "&amp;F462&amp;", cot_prc_med = "&amp;G462&amp;", cot_prc_mediana = "&amp;H462&amp;" WHERE cot_id = "&amp;A462&amp;";"</f>
        <v>UPDATE COTACAO SET cot_id = 461, cot_blt_id = 48, cot_pap_id = 29, cot_prc_comum = NULL, cot_prc_min = 50, cot_prc_max = 78, cot_prc_med = 64, cot_prc_mediana = 64 WHERE cot_id = 461;</v>
      </c>
    </row>
    <row r="463" customFormat="false" ht="14.25" hidden="false" customHeight="false" outlineLevel="0" collapsed="false">
      <c r="A463" s="0" t="n">
        <v>462</v>
      </c>
      <c r="B463" s="0" t="n">
        <f aca="false">IF('Boletins Nuppa Site'!A463&lt;&gt;0,'Boletins Nuppa Site'!A463,"NULL")</f>
        <v>48</v>
      </c>
      <c r="C463" s="0" t="n">
        <v>30</v>
      </c>
      <c r="D463" s="30" t="n">
        <f aca="false">IF('Boletins Nuppa Site'!G463&lt;&gt;0,'Boletins Nuppa Site'!G463,"NULL")</f>
        <v>70</v>
      </c>
      <c r="E463" s="30" t="n">
        <f aca="false">IF('Boletins Nuppa Site'!H463&lt;&gt;0,'Boletins Nuppa Site'!H463,"NULL")</f>
        <v>70</v>
      </c>
      <c r="F463" s="30" t="n">
        <f aca="false">IF('Boletins Nuppa Site'!I463&lt;&gt;0,'Boletins Nuppa Site'!I463,"NULL")</f>
        <v>85</v>
      </c>
      <c r="G463" s="30" t="n">
        <f aca="false">IF('Boletins Nuppa Site'!J463&lt;&gt;0,'Boletins Nuppa Site'!J463,"NULL")</f>
        <v>75</v>
      </c>
      <c r="H463" s="0" t="str">
        <f aca="false">IF('Boletins Nuppa Site'!K463&lt;&gt;0,'Boletins Nuppa Site'!K463,"NULL")</f>
        <v>72.5</v>
      </c>
      <c r="I463" s="0" t="str">
        <f aca="false">"INSERT INTO COTACAO (cot_id, cot_blt_id, cot_pap_id, cot_prc_comum, cot_prc_min, cot_prc_max, cot_prc_med, cot_prc_mediana) VALUES ("&amp;A463&amp;", "&amp;B463&amp;", "&amp;C463&amp;", "&amp;D463&amp;", "&amp;E463&amp;", "&amp;F463&amp;", "&amp;G463&amp;", "&amp;H463&amp;");"</f>
        <v>INSERT INTO COTACAO (cot_id, cot_blt_id, cot_pap_id, cot_prc_comum, cot_prc_min, cot_prc_max, cot_prc_med, cot_prc_mediana) VALUES (462, 48, 30, 70, 70, 85, 75, 72.5);</v>
      </c>
      <c r="J463" s="0" t="str">
        <f aca="false">"UPDATE COTACAO SET cot_id = "&amp;A463&amp;", cot_blt_id = "&amp;B463&amp;", cot_pap_id = "&amp;C463&amp;", cot_prc_comum = "&amp;D463&amp;", cot_prc_min = "&amp;E463&amp;", cot_prc_max = "&amp;F463&amp;", cot_prc_med = "&amp;G463&amp;", cot_prc_mediana = "&amp;H463&amp;" WHERE cot_id = "&amp;A463&amp;";"</f>
        <v>UPDATE COTACAO SET cot_id = 462, cot_blt_id = 48, cot_pap_id = 30, cot_prc_comum = 70, cot_prc_min = 70, cot_prc_max = 85, cot_prc_med = 75, cot_prc_mediana = 72.5 WHERE cot_id = 462;</v>
      </c>
    </row>
    <row r="464" customFormat="false" ht="14.25" hidden="false" customHeight="false" outlineLevel="0" collapsed="false">
      <c r="A464" s="0" t="n">
        <v>463</v>
      </c>
      <c r="B464" s="0" t="n">
        <f aca="false">IF('Boletins Nuppa Site'!A464&lt;&gt;0,'Boletins Nuppa Site'!A464,"NULL")</f>
        <v>48</v>
      </c>
      <c r="C464" s="0" t="n">
        <v>31</v>
      </c>
      <c r="D464" s="30" t="n">
        <f aca="false">IF('Boletins Nuppa Site'!G464&lt;&gt;0,'Boletins Nuppa Site'!G464,"NULL")</f>
        <v>100</v>
      </c>
      <c r="E464" s="30" t="n">
        <f aca="false">IF('Boletins Nuppa Site'!H464&lt;&gt;0,'Boletins Nuppa Site'!H464,"NULL")</f>
        <v>90</v>
      </c>
      <c r="F464" s="30" t="n">
        <f aca="false">IF('Boletins Nuppa Site'!I464&lt;&gt;0,'Boletins Nuppa Site'!I464,"NULL")</f>
        <v>110</v>
      </c>
      <c r="G464" s="0" t="str">
        <f aca="false">IF('Boletins Nuppa Site'!J464&lt;&gt;0,'Boletins Nuppa Site'!J464,"NULL")</f>
        <v>101.67</v>
      </c>
      <c r="H464" s="30" t="n">
        <f aca="false">IF('Boletins Nuppa Site'!K464&lt;&gt;0,'Boletins Nuppa Site'!K464,"NULL")</f>
        <v>100</v>
      </c>
      <c r="I464" s="0" t="str">
        <f aca="false">"INSERT INTO COTACAO (cot_id, cot_blt_id, cot_pap_id, cot_prc_comum, cot_prc_min, cot_prc_max, cot_prc_med, cot_prc_mediana) VALUES ("&amp;A464&amp;", "&amp;B464&amp;", "&amp;C464&amp;", "&amp;D464&amp;", "&amp;E464&amp;", "&amp;F464&amp;", "&amp;G464&amp;", "&amp;H464&amp;");"</f>
        <v>INSERT INTO COTACAO (cot_id, cot_blt_id, cot_pap_id, cot_prc_comum, cot_prc_min, cot_prc_max, cot_prc_med, cot_prc_mediana) VALUES (463, 48, 31, 100, 90, 110, 101.67, 100);</v>
      </c>
      <c r="J464" s="0" t="str">
        <f aca="false">"UPDATE COTACAO SET cot_id = "&amp;A464&amp;", cot_blt_id = "&amp;B464&amp;", cot_pap_id = "&amp;C464&amp;", cot_prc_comum = "&amp;D464&amp;", cot_prc_min = "&amp;E464&amp;", cot_prc_max = "&amp;F464&amp;", cot_prc_med = "&amp;G464&amp;", cot_prc_mediana = "&amp;H464&amp;" WHERE cot_id = "&amp;A464&amp;";"</f>
        <v>UPDATE COTACAO SET cot_id = 463, cot_blt_id = 48, cot_pap_id = 31, cot_prc_comum = 100, cot_prc_min = 90, cot_prc_max = 110, cot_prc_med = 101.67, cot_prc_mediana = 100 WHERE cot_id = 463;</v>
      </c>
    </row>
    <row r="465" customFormat="false" ht="14.25" hidden="false" customHeight="false" outlineLevel="0" collapsed="false">
      <c r="A465" s="0" t="n">
        <v>464</v>
      </c>
      <c r="B465" s="0" t="n">
        <f aca="false">IF('Boletins Nuppa Site'!A465&lt;&gt;0,'Boletins Nuppa Site'!A465,"NULL")</f>
        <v>48</v>
      </c>
      <c r="C465" s="0" t="n">
        <v>32</v>
      </c>
      <c r="D465" s="30" t="n">
        <f aca="false">IF('Boletins Nuppa Site'!G465&lt;&gt;0,'Boletins Nuppa Site'!G465,"NULL")</f>
        <v>70</v>
      </c>
      <c r="E465" s="30" t="n">
        <f aca="false">IF('Boletins Nuppa Site'!H465&lt;&gt;0,'Boletins Nuppa Site'!H465,"NULL")</f>
        <v>60</v>
      </c>
      <c r="F465" s="30" t="n">
        <f aca="false">IF('Boletins Nuppa Site'!I465&lt;&gt;0,'Boletins Nuppa Site'!I465,"NULL")</f>
        <v>90</v>
      </c>
      <c r="G465" s="30" t="n">
        <f aca="false">IF('Boletins Nuppa Site'!J465&lt;&gt;0,'Boletins Nuppa Site'!J465,"NULL")</f>
        <v>74</v>
      </c>
      <c r="H465" s="30" t="n">
        <f aca="false">IF('Boletins Nuppa Site'!K465&lt;&gt;0,'Boletins Nuppa Site'!K465,"NULL")</f>
        <v>70</v>
      </c>
      <c r="I465" s="0" t="str">
        <f aca="false">"INSERT INTO COTACAO (cot_id, cot_blt_id, cot_pap_id, cot_prc_comum, cot_prc_min, cot_prc_max, cot_prc_med, cot_prc_mediana) VALUES ("&amp;A465&amp;", "&amp;B465&amp;", "&amp;C465&amp;", "&amp;D465&amp;", "&amp;E465&amp;", "&amp;F465&amp;", "&amp;G465&amp;", "&amp;H465&amp;");"</f>
        <v>INSERT INTO COTACAO (cot_id, cot_blt_id, cot_pap_id, cot_prc_comum, cot_prc_min, cot_prc_max, cot_prc_med, cot_prc_mediana) VALUES (464, 48, 32, 70, 60, 90, 74, 70);</v>
      </c>
      <c r="J465" s="0" t="str">
        <f aca="false">"UPDATE COTACAO SET cot_id = "&amp;A465&amp;", cot_blt_id = "&amp;B465&amp;", cot_pap_id = "&amp;C465&amp;", cot_prc_comum = "&amp;D465&amp;", cot_prc_min = "&amp;E465&amp;", cot_prc_max = "&amp;F465&amp;", cot_prc_med = "&amp;G465&amp;", cot_prc_mediana = "&amp;H465&amp;" WHERE cot_id = "&amp;A465&amp;";"</f>
        <v>UPDATE COTACAO SET cot_id = 464, cot_blt_id = 48, cot_pap_id = 32, cot_prc_comum = 70, cot_prc_min = 60, cot_prc_max = 90, cot_prc_med = 74, cot_prc_mediana = 70 WHERE cot_id = 464;</v>
      </c>
    </row>
    <row r="466" customFormat="false" ht="14.25" hidden="false" customHeight="false" outlineLevel="0" collapsed="false">
      <c r="A466" s="0" t="n">
        <v>465</v>
      </c>
      <c r="B466" s="0" t="n">
        <f aca="false">IF('Boletins Nuppa Site'!A466&lt;&gt;0,'Boletins Nuppa Site'!A466,"NULL")</f>
        <v>48</v>
      </c>
      <c r="C466" s="0" t="n">
        <v>33</v>
      </c>
      <c r="D466" s="30" t="n">
        <f aca="false">IF('Boletins Nuppa Site'!G466&lt;&gt;0,'Boletins Nuppa Site'!G466,"NULL")</f>
        <v>120</v>
      </c>
      <c r="E466" s="30" t="n">
        <f aca="false">IF('Boletins Nuppa Site'!H466&lt;&gt;0,'Boletins Nuppa Site'!H466,"NULL")</f>
        <v>100</v>
      </c>
      <c r="F466" s="30" t="n">
        <f aca="false">IF('Boletins Nuppa Site'!I466&lt;&gt;0,'Boletins Nuppa Site'!I466,"NULL")</f>
        <v>130</v>
      </c>
      <c r="G466" s="0" t="str">
        <f aca="false">IF('Boletins Nuppa Site'!J466&lt;&gt;0,'Boletins Nuppa Site'!J466,"NULL")</f>
        <v>117.5</v>
      </c>
      <c r="H466" s="30" t="n">
        <f aca="false">IF('Boletins Nuppa Site'!K466&lt;&gt;0,'Boletins Nuppa Site'!K466,"NULL")</f>
        <v>120</v>
      </c>
      <c r="I466" s="0" t="str">
        <f aca="false">"INSERT INTO COTACAO (cot_id, cot_blt_id, cot_pap_id, cot_prc_comum, cot_prc_min, cot_prc_max, cot_prc_med, cot_prc_mediana) VALUES ("&amp;A466&amp;", "&amp;B466&amp;", "&amp;C466&amp;", "&amp;D466&amp;", "&amp;E466&amp;", "&amp;F466&amp;", "&amp;G466&amp;", "&amp;H466&amp;");"</f>
        <v>INSERT INTO COTACAO (cot_id, cot_blt_id, cot_pap_id, cot_prc_comum, cot_prc_min, cot_prc_max, cot_prc_med, cot_prc_mediana) VALUES (465, 48, 33, 120, 100, 130, 117.5, 120);</v>
      </c>
      <c r="J466" s="0" t="str">
        <f aca="false">"UPDATE COTACAO SET cot_id = "&amp;A466&amp;", cot_blt_id = "&amp;B466&amp;", cot_pap_id = "&amp;C466&amp;", cot_prc_comum = "&amp;D466&amp;", cot_prc_min = "&amp;E466&amp;", cot_prc_max = "&amp;F466&amp;", cot_prc_med = "&amp;G466&amp;", cot_prc_mediana = "&amp;H466&amp;" WHERE cot_id = "&amp;A466&amp;";"</f>
        <v>UPDATE COTACAO SET cot_id = 465, cot_blt_id = 48, cot_pap_id = 33, cot_prc_comum = 120, cot_prc_min = 100, cot_prc_max = 130, cot_prc_med = 117.5, cot_prc_mediana = 120 WHERE cot_id = 465;</v>
      </c>
    </row>
    <row r="467" customFormat="false" ht="14.25" hidden="false" customHeight="false" outlineLevel="0" collapsed="false">
      <c r="A467" s="0" t="n">
        <v>466</v>
      </c>
      <c r="B467" s="0" t="n">
        <f aca="false">IF('Boletins Nuppa Site'!A467&lt;&gt;0,'Boletins Nuppa Site'!A467,"NULL")</f>
        <v>48</v>
      </c>
      <c r="C467" s="0" t="n">
        <v>34</v>
      </c>
      <c r="D467" s="30" t="n">
        <f aca="false">IF('Boletins Nuppa Site'!G467&lt;&gt;0,'Boletins Nuppa Site'!G467,"NULL")</f>
        <v>150</v>
      </c>
      <c r="E467" s="30" t="n">
        <f aca="false">IF('Boletins Nuppa Site'!H467&lt;&gt;0,'Boletins Nuppa Site'!H467,"NULL")</f>
        <v>100</v>
      </c>
      <c r="F467" s="30" t="n">
        <f aca="false">IF('Boletins Nuppa Site'!I467&lt;&gt;0,'Boletins Nuppa Site'!I467,"NULL")</f>
        <v>190</v>
      </c>
      <c r="G467" s="30" t="n">
        <f aca="false">IF('Boletins Nuppa Site'!J467&lt;&gt;0,'Boletins Nuppa Site'!J467,"NULL")</f>
        <v>150</v>
      </c>
      <c r="H467" s="30" t="n">
        <f aca="false">IF('Boletins Nuppa Site'!K467&lt;&gt;0,'Boletins Nuppa Site'!K467,"NULL")</f>
        <v>150</v>
      </c>
      <c r="I467" s="0" t="str">
        <f aca="false">"INSERT INTO COTACAO (cot_id, cot_blt_id, cot_pap_id, cot_prc_comum, cot_prc_min, cot_prc_max, cot_prc_med, cot_prc_mediana) VALUES ("&amp;A467&amp;", "&amp;B467&amp;", "&amp;C467&amp;", "&amp;D467&amp;", "&amp;E467&amp;", "&amp;F467&amp;", "&amp;G467&amp;", "&amp;H467&amp;");"</f>
        <v>INSERT INTO COTACAO (cot_id, cot_blt_id, cot_pap_id, cot_prc_comum, cot_prc_min, cot_prc_max, cot_prc_med, cot_prc_mediana) VALUES (466, 48, 34, 150, 100, 190, 150, 150);</v>
      </c>
      <c r="J467" s="0" t="str">
        <f aca="false">"UPDATE COTACAO SET cot_id = "&amp;A467&amp;", cot_blt_id = "&amp;B467&amp;", cot_pap_id = "&amp;C467&amp;", cot_prc_comum = "&amp;D467&amp;", cot_prc_min = "&amp;E467&amp;", cot_prc_max = "&amp;F467&amp;", cot_prc_med = "&amp;G467&amp;", cot_prc_mediana = "&amp;H467&amp;" WHERE cot_id = "&amp;A467&amp;";"</f>
        <v>UPDATE COTACAO SET cot_id = 466, cot_blt_id = 48, cot_pap_id = 34, cot_prc_comum = 150, cot_prc_min = 100, cot_prc_max = 190, cot_prc_med = 150, cot_prc_mediana = 150 WHERE cot_id = 466;</v>
      </c>
    </row>
    <row r="468" customFormat="false" ht="14.25" hidden="false" customHeight="false" outlineLevel="0" collapsed="false">
      <c r="A468" s="0" t="n">
        <v>467</v>
      </c>
      <c r="B468" s="0" t="n">
        <f aca="false">IF('Boletins Nuppa Site'!A468&lt;&gt;0,'Boletins Nuppa Site'!A468,"NULL")</f>
        <v>48</v>
      </c>
      <c r="C468" s="0" t="n">
        <v>35</v>
      </c>
      <c r="D468" s="30" t="n">
        <f aca="false">IF('Boletins Nuppa Site'!G468&lt;&gt;0,'Boletins Nuppa Site'!G468,"NULL")</f>
        <v>180</v>
      </c>
      <c r="E468" s="30" t="n">
        <f aca="false">IF('Boletins Nuppa Site'!H468&lt;&gt;0,'Boletins Nuppa Site'!H468,"NULL")</f>
        <v>160</v>
      </c>
      <c r="F468" s="30" t="n">
        <f aca="false">IF('Boletins Nuppa Site'!I468&lt;&gt;0,'Boletins Nuppa Site'!I468,"NULL")</f>
        <v>180</v>
      </c>
      <c r="G468" s="0" t="str">
        <f aca="false">IF('Boletins Nuppa Site'!J468&lt;&gt;0,'Boletins Nuppa Site'!J468,"NULL")</f>
        <v>172.5</v>
      </c>
      <c r="H468" s="30" t="n">
        <f aca="false">IF('Boletins Nuppa Site'!K468&lt;&gt;0,'Boletins Nuppa Site'!K468,"NULL")</f>
        <v>175</v>
      </c>
      <c r="I468" s="0" t="str">
        <f aca="false">"INSERT INTO COTACAO (cot_id, cot_blt_id, cot_pap_id, cot_prc_comum, cot_prc_min, cot_prc_max, cot_prc_med, cot_prc_mediana) VALUES ("&amp;A468&amp;", "&amp;B468&amp;", "&amp;C468&amp;", "&amp;D468&amp;", "&amp;E468&amp;", "&amp;F468&amp;", "&amp;G468&amp;", "&amp;H468&amp;");"</f>
        <v>INSERT INTO COTACAO (cot_id, cot_blt_id, cot_pap_id, cot_prc_comum, cot_prc_min, cot_prc_max, cot_prc_med, cot_prc_mediana) VALUES (467, 48, 35, 180, 160, 180, 172.5, 175);</v>
      </c>
      <c r="J468" s="0" t="str">
        <f aca="false">"UPDATE COTACAO SET cot_id = "&amp;A468&amp;", cot_blt_id = "&amp;B468&amp;", cot_pap_id = "&amp;C468&amp;", cot_prc_comum = "&amp;D468&amp;", cot_prc_min = "&amp;E468&amp;", cot_prc_max = "&amp;F468&amp;", cot_prc_med = "&amp;G468&amp;", cot_prc_mediana = "&amp;H468&amp;" WHERE cot_id = "&amp;A468&amp;";"</f>
        <v>UPDATE COTACAO SET cot_id = 467, cot_blt_id = 48, cot_pap_id = 35, cot_prc_comum = 180, cot_prc_min = 160, cot_prc_max = 180, cot_prc_med = 172.5, cot_prc_mediana = 175 WHERE cot_id = 467;</v>
      </c>
    </row>
    <row r="469" customFormat="false" ht="14.25" hidden="false" customHeight="false" outlineLevel="0" collapsed="false">
      <c r="A469" s="0" t="n">
        <v>468</v>
      </c>
      <c r="B469" s="0" t="n">
        <f aca="false">IF('Boletins Nuppa Site'!A469&lt;&gt;0,'Boletins Nuppa Site'!A469,"NULL")</f>
        <v>48</v>
      </c>
      <c r="C469" s="0" t="n">
        <v>36</v>
      </c>
      <c r="D469" s="0" t="str">
        <f aca="false">IF('Boletins Nuppa Site'!G469&lt;&gt;0,'Boletins Nuppa Site'!G469,"NULL")</f>
        <v>NULL</v>
      </c>
      <c r="E469" s="30" t="n">
        <f aca="false">IF('Boletins Nuppa Site'!H469&lt;&gt;0,'Boletins Nuppa Site'!H469,"NULL")</f>
        <v>130</v>
      </c>
      <c r="F469" s="30" t="n">
        <f aca="false">IF('Boletins Nuppa Site'!I469&lt;&gt;0,'Boletins Nuppa Site'!I469,"NULL")</f>
        <v>130</v>
      </c>
      <c r="G469" s="30" t="n">
        <f aca="false">IF('Boletins Nuppa Site'!J469&lt;&gt;0,'Boletins Nuppa Site'!J469,"NULL")</f>
        <v>130</v>
      </c>
      <c r="H469" s="30" t="n">
        <f aca="false">IF('Boletins Nuppa Site'!K469&lt;&gt;0,'Boletins Nuppa Site'!K469,"NULL")</f>
        <v>130</v>
      </c>
      <c r="I469" s="0" t="str">
        <f aca="false">"INSERT INTO COTACAO (cot_id, cot_blt_id, cot_pap_id, cot_prc_comum, cot_prc_min, cot_prc_max, cot_prc_med, cot_prc_mediana) VALUES ("&amp;A469&amp;", "&amp;B469&amp;", "&amp;C469&amp;", "&amp;D469&amp;", "&amp;E469&amp;", "&amp;F469&amp;", "&amp;G469&amp;", "&amp;H469&amp;");"</f>
        <v>INSERT INTO COTACAO (cot_id, cot_blt_id, cot_pap_id, cot_prc_comum, cot_prc_min, cot_prc_max, cot_prc_med, cot_prc_mediana) VALUES (468, 48, 36, NULL, 130, 130, 130, 130);</v>
      </c>
      <c r="J469" s="0" t="str">
        <f aca="false">"UPDATE COTACAO SET cot_id = "&amp;A469&amp;", cot_blt_id = "&amp;B469&amp;", cot_pap_id = "&amp;C469&amp;", cot_prc_comum = "&amp;D469&amp;", cot_prc_min = "&amp;E469&amp;", cot_prc_max = "&amp;F469&amp;", cot_prc_med = "&amp;G469&amp;", cot_prc_mediana = "&amp;H469&amp;" WHERE cot_id = "&amp;A469&amp;";"</f>
        <v>UPDATE COTACAO SET cot_id = 468, cot_blt_id = 48, cot_pap_id = 36, cot_prc_comum = NULL, cot_prc_min = 130, cot_prc_max = 130, cot_prc_med = 130, cot_prc_mediana = 130 WHERE cot_id = 468;</v>
      </c>
    </row>
    <row r="470" customFormat="false" ht="14.25" hidden="false" customHeight="false" outlineLevel="0" collapsed="false">
      <c r="A470" s="0" t="n">
        <v>469</v>
      </c>
      <c r="B470" s="0" t="n">
        <f aca="false">IF('Boletins Nuppa Site'!A470&lt;&gt;0,'Boletins Nuppa Site'!A470,"NULL")</f>
        <v>48</v>
      </c>
      <c r="C470" s="0" t="n">
        <v>37</v>
      </c>
      <c r="D470" s="0" t="str">
        <f aca="false">IF('Boletins Nuppa Site'!G470&lt;&gt;0,'Boletins Nuppa Site'!G470,"NULL")</f>
        <v>NULL</v>
      </c>
      <c r="E470" s="30" t="n">
        <f aca="false">IF('Boletins Nuppa Site'!H470&lt;&gt;0,'Boletins Nuppa Site'!H470,"NULL")</f>
        <v>60</v>
      </c>
      <c r="F470" s="30" t="n">
        <f aca="false">IF('Boletins Nuppa Site'!I470&lt;&gt;0,'Boletins Nuppa Site'!I470,"NULL")</f>
        <v>75</v>
      </c>
      <c r="G470" s="0" t="str">
        <f aca="false">IF('Boletins Nuppa Site'!J470&lt;&gt;0,'Boletins Nuppa Site'!J470,"NULL")</f>
        <v>67.5</v>
      </c>
      <c r="H470" s="0" t="str">
        <f aca="false">IF('Boletins Nuppa Site'!K470&lt;&gt;0,'Boletins Nuppa Site'!K470,"NULL")</f>
        <v>67.5</v>
      </c>
      <c r="I470" s="0" t="str">
        <f aca="false">"INSERT INTO COTACAO (cot_id, cot_blt_id, cot_pap_id, cot_prc_comum, cot_prc_min, cot_prc_max, cot_prc_med, cot_prc_mediana) VALUES ("&amp;A470&amp;", "&amp;B470&amp;", "&amp;C470&amp;", "&amp;D470&amp;", "&amp;E470&amp;", "&amp;F470&amp;", "&amp;G470&amp;", "&amp;H470&amp;");"</f>
        <v>INSERT INTO COTACAO (cot_id, cot_blt_id, cot_pap_id, cot_prc_comum, cot_prc_min, cot_prc_max, cot_prc_med, cot_prc_mediana) VALUES (469, 48, 37, NULL, 60, 75, 67.5, 67.5);</v>
      </c>
      <c r="J470" s="0" t="str">
        <f aca="false">"UPDATE COTACAO SET cot_id = "&amp;A470&amp;", cot_blt_id = "&amp;B470&amp;", cot_pap_id = "&amp;C470&amp;", cot_prc_comum = "&amp;D470&amp;", cot_prc_min = "&amp;E470&amp;", cot_prc_max = "&amp;F470&amp;", cot_prc_med = "&amp;G470&amp;", cot_prc_mediana = "&amp;H470&amp;" WHERE cot_id = "&amp;A470&amp;";"</f>
        <v>UPDATE COTACAO SET cot_id = 469, cot_blt_id = 48, cot_pap_id = 37, cot_prc_comum = NULL, cot_prc_min = 60, cot_prc_max = 75, cot_prc_med = 67.5, cot_prc_mediana = 67.5 WHERE cot_id = 469;</v>
      </c>
    </row>
    <row r="471" customFormat="false" ht="14.25" hidden="false" customHeight="false" outlineLevel="0" collapsed="false">
      <c r="A471" s="0" t="n">
        <v>470</v>
      </c>
      <c r="B471" s="0" t="n">
        <f aca="false">IF('Boletins Nuppa Site'!A471&lt;&gt;0,'Boletins Nuppa Site'!A471,"NULL")</f>
        <v>48</v>
      </c>
      <c r="C471" s="0" t="n">
        <v>38</v>
      </c>
      <c r="D471" s="0" t="str">
        <f aca="false">IF('Boletins Nuppa Site'!G471&lt;&gt;0,'Boletins Nuppa Site'!G471,"NULL")</f>
        <v>NULL</v>
      </c>
      <c r="E471" s="30" t="n">
        <f aca="false">IF('Boletins Nuppa Site'!H471&lt;&gt;0,'Boletins Nuppa Site'!H471,"NULL")</f>
        <v>40</v>
      </c>
      <c r="F471" s="30" t="n">
        <f aca="false">IF('Boletins Nuppa Site'!I471&lt;&gt;0,'Boletins Nuppa Site'!I471,"NULL")</f>
        <v>45</v>
      </c>
      <c r="G471" s="0" t="str">
        <f aca="false">IF('Boletins Nuppa Site'!J471&lt;&gt;0,'Boletins Nuppa Site'!J471,"NULL")</f>
        <v>42.5</v>
      </c>
      <c r="H471" s="0" t="str">
        <f aca="false">IF('Boletins Nuppa Site'!K471&lt;&gt;0,'Boletins Nuppa Site'!K471,"NULL")</f>
        <v>42.5</v>
      </c>
      <c r="I471" s="0" t="str">
        <f aca="false">"INSERT INTO COTACAO (cot_id, cot_blt_id, cot_pap_id, cot_prc_comum, cot_prc_min, cot_prc_max, cot_prc_med, cot_prc_mediana) VALUES ("&amp;A471&amp;", "&amp;B471&amp;", "&amp;C471&amp;", "&amp;D471&amp;", "&amp;E471&amp;", "&amp;F471&amp;", "&amp;G471&amp;", "&amp;H471&amp;");"</f>
        <v>INSERT INTO COTACAO (cot_id, cot_blt_id, cot_pap_id, cot_prc_comum, cot_prc_min, cot_prc_max, cot_prc_med, cot_prc_mediana) VALUES (470, 48, 38, NULL, 40, 45, 42.5, 42.5);</v>
      </c>
      <c r="J471" s="0" t="str">
        <f aca="false">"UPDATE COTACAO SET cot_id = "&amp;A471&amp;", cot_blt_id = "&amp;B471&amp;", cot_pap_id = "&amp;C471&amp;", cot_prc_comum = "&amp;D471&amp;", cot_prc_min = "&amp;E471&amp;", cot_prc_max = "&amp;F471&amp;", cot_prc_med = "&amp;G471&amp;", cot_prc_mediana = "&amp;H471&amp;" WHERE cot_id = "&amp;A471&amp;";"</f>
        <v>UPDATE COTACAO SET cot_id = 470, cot_blt_id = 48, cot_pap_id = 38, cot_prc_comum = NULL, cot_prc_min = 40, cot_prc_max = 45, cot_prc_med = 42.5, cot_prc_mediana = 42.5 WHERE cot_id = 470;</v>
      </c>
    </row>
    <row r="472" customFormat="false" ht="14.25" hidden="false" customHeight="false" outlineLevel="0" collapsed="false">
      <c r="A472" s="0" t="n">
        <v>471</v>
      </c>
      <c r="B472" s="0" t="n">
        <f aca="false">IF('Boletins Nuppa Site'!A472&lt;&gt;0,'Boletins Nuppa Site'!A472,"NULL")</f>
        <v>48</v>
      </c>
      <c r="C472" s="0" t="n">
        <v>39</v>
      </c>
      <c r="D472" s="0" t="str">
        <f aca="false">IF('Boletins Nuppa Site'!G472&lt;&gt;0,'Boletins Nuppa Site'!G472,"NULL")</f>
        <v>NULL</v>
      </c>
      <c r="E472" s="30" t="n">
        <f aca="false">IF('Boletins Nuppa Site'!H472&lt;&gt;0,'Boletins Nuppa Site'!H472,"NULL")</f>
        <v>48</v>
      </c>
      <c r="F472" s="30" t="n">
        <f aca="false">IF('Boletins Nuppa Site'!I472&lt;&gt;0,'Boletins Nuppa Site'!I472,"NULL")</f>
        <v>48</v>
      </c>
      <c r="G472" s="30" t="n">
        <f aca="false">IF('Boletins Nuppa Site'!J472&lt;&gt;0,'Boletins Nuppa Site'!J472,"NULL")</f>
        <v>48</v>
      </c>
      <c r="H472" s="30" t="n">
        <f aca="false">IF('Boletins Nuppa Site'!K472&lt;&gt;0,'Boletins Nuppa Site'!K472,"NULL")</f>
        <v>48</v>
      </c>
      <c r="I472" s="0" t="str">
        <f aca="false">"INSERT INTO COTACAO (cot_id, cot_blt_id, cot_pap_id, cot_prc_comum, cot_prc_min, cot_prc_max, cot_prc_med, cot_prc_mediana) VALUES ("&amp;A472&amp;", "&amp;B472&amp;", "&amp;C472&amp;", "&amp;D472&amp;", "&amp;E472&amp;", "&amp;F472&amp;", "&amp;G472&amp;", "&amp;H472&amp;");"</f>
        <v>INSERT INTO COTACAO (cot_id, cot_blt_id, cot_pap_id, cot_prc_comum, cot_prc_min, cot_prc_max, cot_prc_med, cot_prc_mediana) VALUES (471, 48, 39, NULL, 48, 48, 48, 48);</v>
      </c>
      <c r="J472" s="0" t="str">
        <f aca="false">"UPDATE COTACAO SET cot_id = "&amp;A472&amp;", cot_blt_id = "&amp;B472&amp;", cot_pap_id = "&amp;C472&amp;", cot_prc_comum = "&amp;D472&amp;", cot_prc_min = "&amp;E472&amp;", cot_prc_max = "&amp;F472&amp;", cot_prc_med = "&amp;G472&amp;", cot_prc_mediana = "&amp;H472&amp;" WHERE cot_id = "&amp;A472&amp;";"</f>
        <v>UPDATE COTACAO SET cot_id = 471, cot_blt_id = 48, cot_pap_id = 39, cot_prc_comum = NULL, cot_prc_min = 48, cot_prc_max = 48, cot_prc_med = 48, cot_prc_mediana = 48 WHERE cot_id = 471;</v>
      </c>
    </row>
    <row r="473" customFormat="false" ht="14.25" hidden="false" customHeight="false" outlineLevel="0" collapsed="false">
      <c r="A473" s="0" t="n">
        <v>472</v>
      </c>
      <c r="B473" s="0" t="n">
        <f aca="false">IF('Boletins Nuppa Site'!A473&lt;&gt;0,'Boletins Nuppa Site'!A473,"NULL")</f>
        <v>48</v>
      </c>
      <c r="C473" s="0" t="n">
        <v>40</v>
      </c>
      <c r="D473" s="0" t="str">
        <f aca="false">IF('Boletins Nuppa Site'!G473&lt;&gt;0,'Boletins Nuppa Site'!G473,"NULL")</f>
        <v>NULL</v>
      </c>
      <c r="E473" s="30" t="n">
        <f aca="false">IF('Boletins Nuppa Site'!H473&lt;&gt;0,'Boletins Nuppa Site'!H473,"NULL")</f>
        <v>75</v>
      </c>
      <c r="F473" s="30" t="n">
        <f aca="false">IF('Boletins Nuppa Site'!I473&lt;&gt;0,'Boletins Nuppa Site'!I473,"NULL")</f>
        <v>75</v>
      </c>
      <c r="G473" s="30" t="n">
        <f aca="false">IF('Boletins Nuppa Site'!J473&lt;&gt;0,'Boletins Nuppa Site'!J473,"NULL")</f>
        <v>75</v>
      </c>
      <c r="H473" s="30" t="n">
        <f aca="false">IF('Boletins Nuppa Site'!K473&lt;&gt;0,'Boletins Nuppa Site'!K473,"NULL")</f>
        <v>75</v>
      </c>
      <c r="I473" s="0" t="str">
        <f aca="false">"INSERT INTO COTACAO (cot_id, cot_blt_id, cot_pap_id, cot_prc_comum, cot_prc_min, cot_prc_max, cot_prc_med, cot_prc_mediana) VALUES ("&amp;A473&amp;", "&amp;B473&amp;", "&amp;C473&amp;", "&amp;D473&amp;", "&amp;E473&amp;", "&amp;F473&amp;", "&amp;G473&amp;", "&amp;H473&amp;");"</f>
        <v>INSERT INTO COTACAO (cot_id, cot_blt_id, cot_pap_id, cot_prc_comum, cot_prc_min, cot_prc_max, cot_prc_med, cot_prc_mediana) VALUES (472, 48, 40, NULL, 75, 75, 75, 75);</v>
      </c>
      <c r="J473" s="0" t="str">
        <f aca="false">"UPDATE COTACAO SET cot_id = "&amp;A473&amp;", cot_blt_id = "&amp;B473&amp;", cot_pap_id = "&amp;C473&amp;", cot_prc_comum = "&amp;D473&amp;", cot_prc_min = "&amp;E473&amp;", cot_prc_max = "&amp;F473&amp;", cot_prc_med = "&amp;G473&amp;", cot_prc_mediana = "&amp;H473&amp;" WHERE cot_id = "&amp;A473&amp;";"</f>
        <v>UPDATE COTACAO SET cot_id = 472, cot_blt_id = 48, cot_pap_id = 40, cot_prc_comum = NULL, cot_prc_min = 75, cot_prc_max = 75, cot_prc_med = 75, cot_prc_mediana = 75 WHERE cot_id = 472;</v>
      </c>
    </row>
    <row r="474" customFormat="false" ht="14.25" hidden="false" customHeight="false" outlineLevel="0" collapsed="false">
      <c r="A474" s="0" t="n">
        <v>473</v>
      </c>
      <c r="B474" s="0" t="n">
        <f aca="false">IF('Boletins Nuppa Site'!A474&lt;&gt;0,'Boletins Nuppa Site'!A474,"NULL")</f>
        <v>49</v>
      </c>
      <c r="C474" s="0" t="n">
        <v>1</v>
      </c>
      <c r="D474" s="30" t="n">
        <f aca="false">IF('Boletins Nuppa Site'!G474&lt;&gt;0,'Boletins Nuppa Site'!G474,"NULL")</f>
        <v>60</v>
      </c>
      <c r="E474" s="30" t="n">
        <f aca="false">IF('Boletins Nuppa Site'!H474&lt;&gt;0,'Boletins Nuppa Site'!H474,"NULL")</f>
        <v>28</v>
      </c>
      <c r="F474" s="30" t="n">
        <f aca="false">IF('Boletins Nuppa Site'!I474&lt;&gt;0,'Boletins Nuppa Site'!I474,"NULL")</f>
        <v>60</v>
      </c>
      <c r="G474" s="0" t="str">
        <f aca="false">IF('Boletins Nuppa Site'!J474&lt;&gt;0,'Boletins Nuppa Site'!J474,"NULL")</f>
        <v>49.33</v>
      </c>
      <c r="H474" s="30" t="n">
        <f aca="false">IF('Boletins Nuppa Site'!K474&lt;&gt;0,'Boletins Nuppa Site'!K474,"NULL")</f>
        <v>60</v>
      </c>
      <c r="I474" s="0" t="str">
        <f aca="false">"INSERT INTO COTACAO (cot_id, cot_blt_id, cot_pap_id, cot_prc_comum, cot_prc_min, cot_prc_max, cot_prc_med, cot_prc_mediana) VALUES ("&amp;A474&amp;", "&amp;B474&amp;", "&amp;C474&amp;", "&amp;D474&amp;", "&amp;E474&amp;", "&amp;F474&amp;", "&amp;G474&amp;", "&amp;H474&amp;");"</f>
        <v>INSERT INTO COTACAO (cot_id, cot_blt_id, cot_pap_id, cot_prc_comum, cot_prc_min, cot_prc_max, cot_prc_med, cot_prc_mediana) VALUES (473, 49, 1, 60, 28, 60, 49.33, 60);</v>
      </c>
      <c r="J474" s="0" t="str">
        <f aca="false">"UPDATE COTACAO SET cot_id = "&amp;A474&amp;", cot_blt_id = "&amp;B474&amp;", cot_pap_id = "&amp;C474&amp;", cot_prc_comum = "&amp;D474&amp;", cot_prc_min = "&amp;E474&amp;", cot_prc_max = "&amp;F474&amp;", cot_prc_med = "&amp;G474&amp;", cot_prc_mediana = "&amp;H474&amp;" WHERE cot_id = "&amp;A474&amp;";"</f>
        <v>UPDATE COTACAO SET cot_id = 473, cot_blt_id = 49, cot_pap_id = 1, cot_prc_comum = 60, cot_prc_min = 28, cot_prc_max = 60, cot_prc_med = 49.33, cot_prc_mediana = 60 WHERE cot_id = 473;</v>
      </c>
    </row>
    <row r="475" customFormat="false" ht="14.25" hidden="false" customHeight="false" outlineLevel="0" collapsed="false">
      <c r="A475" s="0" t="n">
        <v>474</v>
      </c>
      <c r="B475" s="0" t="n">
        <f aca="false">IF('Boletins Nuppa Site'!A475&lt;&gt;0,'Boletins Nuppa Site'!A475,"NULL")</f>
        <v>49</v>
      </c>
      <c r="C475" s="0" t="n">
        <v>2</v>
      </c>
      <c r="D475" s="0" t="str">
        <f aca="false">IF('Boletins Nuppa Site'!G475&lt;&gt;0,'Boletins Nuppa Site'!G475,"NULL")</f>
        <v>NULL</v>
      </c>
      <c r="E475" s="30" t="n">
        <f aca="false">IF('Boletins Nuppa Site'!H475&lt;&gt;0,'Boletins Nuppa Site'!H475,"NULL")</f>
        <v>72</v>
      </c>
      <c r="F475" s="30" t="n">
        <f aca="false">IF('Boletins Nuppa Site'!I475&lt;&gt;0,'Boletins Nuppa Site'!I475,"NULL")</f>
        <v>84</v>
      </c>
      <c r="G475" s="0" t="str">
        <f aca="false">IF('Boletins Nuppa Site'!J475&lt;&gt;0,'Boletins Nuppa Site'!J475,"NULL")</f>
        <v>78.67</v>
      </c>
      <c r="H475" s="30" t="n">
        <f aca="false">IF('Boletins Nuppa Site'!K475&lt;&gt;0,'Boletins Nuppa Site'!K475,"NULL")</f>
        <v>80</v>
      </c>
      <c r="I475" s="0" t="str">
        <f aca="false">"INSERT INTO COTACAO (cot_id, cot_blt_id, cot_pap_id, cot_prc_comum, cot_prc_min, cot_prc_max, cot_prc_med, cot_prc_mediana) VALUES ("&amp;A475&amp;", "&amp;B475&amp;", "&amp;C475&amp;", "&amp;D475&amp;", "&amp;E475&amp;", "&amp;F475&amp;", "&amp;G475&amp;", "&amp;H475&amp;");"</f>
        <v>INSERT INTO COTACAO (cot_id, cot_blt_id, cot_pap_id, cot_prc_comum, cot_prc_min, cot_prc_max, cot_prc_med, cot_prc_mediana) VALUES (474, 49, 2, NULL, 72, 84, 78.67, 80);</v>
      </c>
      <c r="J475" s="0" t="str">
        <f aca="false">"UPDATE COTACAO SET cot_id = "&amp;A475&amp;", cot_blt_id = "&amp;B475&amp;", cot_pap_id = "&amp;C475&amp;", cot_prc_comum = "&amp;D475&amp;", cot_prc_min = "&amp;E475&amp;", cot_prc_max = "&amp;F475&amp;", cot_prc_med = "&amp;G475&amp;", cot_prc_mediana = "&amp;H475&amp;" WHERE cot_id = "&amp;A475&amp;";"</f>
        <v>UPDATE COTACAO SET cot_id = 474, cot_blt_id = 49, cot_pap_id = 2, cot_prc_comum = NULL, cot_prc_min = 72, cot_prc_max = 84, cot_prc_med = 78.67, cot_prc_mediana = 80 WHERE cot_id = 474;</v>
      </c>
    </row>
    <row r="476" customFormat="false" ht="14.25" hidden="false" customHeight="false" outlineLevel="0" collapsed="false">
      <c r="A476" s="0" t="n">
        <v>475</v>
      </c>
      <c r="B476" s="0" t="n">
        <f aca="false">IF('Boletins Nuppa Site'!A476&lt;&gt;0,'Boletins Nuppa Site'!A476,"NULL")</f>
        <v>49</v>
      </c>
      <c r="C476" s="0" t="n">
        <v>3</v>
      </c>
      <c r="D476" s="0" t="str">
        <f aca="false">IF('Boletins Nuppa Site'!G476&lt;&gt;0,'Boletins Nuppa Site'!G476,"NULL")</f>
        <v>NULL</v>
      </c>
      <c r="E476" s="30" t="n">
        <f aca="false">IF('Boletins Nuppa Site'!H476&lt;&gt;0,'Boletins Nuppa Site'!H476,"NULL")</f>
        <v>42</v>
      </c>
      <c r="F476" s="30" t="n">
        <f aca="false">IF('Boletins Nuppa Site'!I476&lt;&gt;0,'Boletins Nuppa Site'!I476,"NULL")</f>
        <v>60</v>
      </c>
      <c r="G476" s="30" t="n">
        <f aca="false">IF('Boletins Nuppa Site'!J476&lt;&gt;0,'Boletins Nuppa Site'!J476,"NULL")</f>
        <v>50</v>
      </c>
      <c r="H476" s="30" t="n">
        <f aca="false">IF('Boletins Nuppa Site'!K476&lt;&gt;0,'Boletins Nuppa Site'!K476,"NULL")</f>
        <v>48</v>
      </c>
      <c r="I476" s="0" t="str">
        <f aca="false">"INSERT INTO COTACAO (cot_id, cot_blt_id, cot_pap_id, cot_prc_comum, cot_prc_min, cot_prc_max, cot_prc_med, cot_prc_mediana) VALUES ("&amp;A476&amp;", "&amp;B476&amp;", "&amp;C476&amp;", "&amp;D476&amp;", "&amp;E476&amp;", "&amp;F476&amp;", "&amp;G476&amp;", "&amp;H476&amp;");"</f>
        <v>INSERT INTO COTACAO (cot_id, cot_blt_id, cot_pap_id, cot_prc_comum, cot_prc_min, cot_prc_max, cot_prc_med, cot_prc_mediana) VALUES (475, 49, 3, NULL, 42, 60, 50, 48);</v>
      </c>
      <c r="J476" s="0" t="str">
        <f aca="false">"UPDATE COTACAO SET cot_id = "&amp;A476&amp;", cot_blt_id = "&amp;B476&amp;", cot_pap_id = "&amp;C476&amp;", cot_prc_comum = "&amp;D476&amp;", cot_prc_min = "&amp;E476&amp;", cot_prc_max = "&amp;F476&amp;", cot_prc_med = "&amp;G476&amp;", cot_prc_mediana = "&amp;H476&amp;" WHERE cot_id = "&amp;A476&amp;";"</f>
        <v>UPDATE COTACAO SET cot_id = 475, cot_blt_id = 49, cot_pap_id = 3, cot_prc_comum = NULL, cot_prc_min = 42, cot_prc_max = 60, cot_prc_med = 50, cot_prc_mediana = 48 WHERE cot_id = 475;</v>
      </c>
    </row>
    <row r="477" customFormat="false" ht="14.25" hidden="false" customHeight="false" outlineLevel="0" collapsed="false">
      <c r="A477" s="0" t="n">
        <v>476</v>
      </c>
      <c r="B477" s="0" t="n">
        <f aca="false">IF('Boletins Nuppa Site'!A477&lt;&gt;0,'Boletins Nuppa Site'!A477,"NULL")</f>
        <v>49</v>
      </c>
      <c r="C477" s="0" t="n">
        <v>4</v>
      </c>
      <c r="D477" s="30" t="n">
        <f aca="false">IF('Boletins Nuppa Site'!G477&lt;&gt;0,'Boletins Nuppa Site'!G477,"NULL")</f>
        <v>30</v>
      </c>
      <c r="E477" s="30" t="n">
        <f aca="false">IF('Boletins Nuppa Site'!H477&lt;&gt;0,'Boletins Nuppa Site'!H477,"NULL")</f>
        <v>30</v>
      </c>
      <c r="F477" s="30" t="n">
        <f aca="false">IF('Boletins Nuppa Site'!I477&lt;&gt;0,'Boletins Nuppa Site'!I477,"NULL")</f>
        <v>36</v>
      </c>
      <c r="G477" s="0" t="str">
        <f aca="false">IF('Boletins Nuppa Site'!J477&lt;&gt;0,'Boletins Nuppa Site'!J477,"NULL")</f>
        <v>32.75</v>
      </c>
      <c r="H477" s="0" t="str">
        <f aca="false">IF('Boletins Nuppa Site'!K477&lt;&gt;0,'Boletins Nuppa Site'!K477,"NULL")</f>
        <v>32.5</v>
      </c>
      <c r="I477" s="0" t="str">
        <f aca="false">"INSERT INTO COTACAO (cot_id, cot_blt_id, cot_pap_id, cot_prc_comum, cot_prc_min, cot_prc_max, cot_prc_med, cot_prc_mediana) VALUES ("&amp;A477&amp;", "&amp;B477&amp;", "&amp;C477&amp;", "&amp;D477&amp;", "&amp;E477&amp;", "&amp;F477&amp;", "&amp;G477&amp;", "&amp;H477&amp;");"</f>
        <v>INSERT INTO COTACAO (cot_id, cot_blt_id, cot_pap_id, cot_prc_comum, cot_prc_min, cot_prc_max, cot_prc_med, cot_prc_mediana) VALUES (476, 49, 4, 30, 30, 36, 32.75, 32.5);</v>
      </c>
      <c r="J477" s="0" t="str">
        <f aca="false">"UPDATE COTACAO SET cot_id = "&amp;A477&amp;", cot_blt_id = "&amp;B477&amp;", cot_pap_id = "&amp;C477&amp;", cot_prc_comum = "&amp;D477&amp;", cot_prc_min = "&amp;E477&amp;", cot_prc_max = "&amp;F477&amp;", cot_prc_med = "&amp;G477&amp;", cot_prc_mediana = "&amp;H477&amp;" WHERE cot_id = "&amp;A477&amp;";"</f>
        <v>UPDATE COTACAO SET cot_id = 476, cot_blt_id = 49, cot_pap_id = 4, cot_prc_comum = 30, cot_prc_min = 30, cot_prc_max = 36, cot_prc_med = 32.75, cot_prc_mediana = 32.5 WHERE cot_id = 476;</v>
      </c>
    </row>
    <row r="478" customFormat="false" ht="14.25" hidden="false" customHeight="false" outlineLevel="0" collapsed="false">
      <c r="A478" s="0" t="n">
        <v>477</v>
      </c>
      <c r="B478" s="0" t="n">
        <f aca="false">IF('Boletins Nuppa Site'!A478&lt;&gt;0,'Boletins Nuppa Site'!A478,"NULL")</f>
        <v>49</v>
      </c>
      <c r="C478" s="0" t="n">
        <v>5</v>
      </c>
      <c r="D478" s="0" t="str">
        <f aca="false">IF('Boletins Nuppa Site'!G478&lt;&gt;0,'Boletins Nuppa Site'!G478,"NULL")</f>
        <v>NULL</v>
      </c>
      <c r="E478" s="30" t="n">
        <f aca="false">IF('Boletins Nuppa Site'!H478&lt;&gt;0,'Boletins Nuppa Site'!H478,"NULL")</f>
        <v>30</v>
      </c>
      <c r="F478" s="30" t="n">
        <f aca="false">IF('Boletins Nuppa Site'!I478&lt;&gt;0,'Boletins Nuppa Site'!I478,"NULL")</f>
        <v>36</v>
      </c>
      <c r="G478" s="0" t="str">
        <f aca="false">IF('Boletins Nuppa Site'!J478&lt;&gt;0,'Boletins Nuppa Site'!J478,"NULL")</f>
        <v>33.67</v>
      </c>
      <c r="H478" s="30" t="n">
        <f aca="false">IF('Boletins Nuppa Site'!K478&lt;&gt;0,'Boletins Nuppa Site'!K478,"NULL")</f>
        <v>35</v>
      </c>
      <c r="I478" s="0" t="str">
        <f aca="false">"INSERT INTO COTACAO (cot_id, cot_blt_id, cot_pap_id, cot_prc_comum, cot_prc_min, cot_prc_max, cot_prc_med, cot_prc_mediana) VALUES ("&amp;A478&amp;", "&amp;B478&amp;", "&amp;C478&amp;", "&amp;D478&amp;", "&amp;E478&amp;", "&amp;F478&amp;", "&amp;G478&amp;", "&amp;H478&amp;");"</f>
        <v>INSERT INTO COTACAO (cot_id, cot_blt_id, cot_pap_id, cot_prc_comum, cot_prc_min, cot_prc_max, cot_prc_med, cot_prc_mediana) VALUES (477, 49, 5, NULL, 30, 36, 33.67, 35);</v>
      </c>
      <c r="J478" s="0" t="str">
        <f aca="false">"UPDATE COTACAO SET cot_id = "&amp;A478&amp;", cot_blt_id = "&amp;B478&amp;", cot_pap_id = "&amp;C478&amp;", cot_prc_comum = "&amp;D478&amp;", cot_prc_min = "&amp;E478&amp;", cot_prc_max = "&amp;F478&amp;", cot_prc_med = "&amp;G478&amp;", cot_prc_mediana = "&amp;H478&amp;" WHERE cot_id = "&amp;A478&amp;";"</f>
        <v>UPDATE COTACAO SET cot_id = 477, cot_blt_id = 49, cot_pap_id = 5, cot_prc_comum = NULL, cot_prc_min = 30, cot_prc_max = 36, cot_prc_med = 33.67, cot_prc_mediana = 35 WHERE cot_id = 477;</v>
      </c>
    </row>
    <row r="479" customFormat="false" ht="14.25" hidden="false" customHeight="false" outlineLevel="0" collapsed="false">
      <c r="A479" s="0" t="n">
        <v>478</v>
      </c>
      <c r="B479" s="0" t="n">
        <f aca="false">IF('Boletins Nuppa Site'!A479&lt;&gt;0,'Boletins Nuppa Site'!A479,"NULL")</f>
        <v>49</v>
      </c>
      <c r="C479" s="0" t="n">
        <v>6</v>
      </c>
      <c r="D479" s="30" t="n">
        <f aca="false">IF('Boletins Nuppa Site'!G479&lt;&gt;0,'Boletins Nuppa Site'!G479,"NULL")</f>
        <v>60</v>
      </c>
      <c r="E479" s="30" t="n">
        <f aca="false">IF('Boletins Nuppa Site'!H479&lt;&gt;0,'Boletins Nuppa Site'!H479,"NULL")</f>
        <v>60</v>
      </c>
      <c r="F479" s="30" t="n">
        <f aca="false">IF('Boletins Nuppa Site'!I479&lt;&gt;0,'Boletins Nuppa Site'!I479,"NULL")</f>
        <v>60</v>
      </c>
      <c r="G479" s="30" t="n">
        <f aca="false">IF('Boletins Nuppa Site'!J479&lt;&gt;0,'Boletins Nuppa Site'!J479,"NULL")</f>
        <v>60</v>
      </c>
      <c r="H479" s="30" t="n">
        <f aca="false">IF('Boletins Nuppa Site'!K479&lt;&gt;0,'Boletins Nuppa Site'!K479,"NULL")</f>
        <v>60</v>
      </c>
      <c r="I479" s="0" t="str">
        <f aca="false">"INSERT INTO COTACAO (cot_id, cot_blt_id, cot_pap_id, cot_prc_comum, cot_prc_min, cot_prc_max, cot_prc_med, cot_prc_mediana) VALUES ("&amp;A479&amp;", "&amp;B479&amp;", "&amp;C479&amp;", "&amp;D479&amp;", "&amp;E479&amp;", "&amp;F479&amp;", "&amp;G479&amp;", "&amp;H479&amp;");"</f>
        <v>INSERT INTO COTACAO (cot_id, cot_blt_id, cot_pap_id, cot_prc_comum, cot_prc_min, cot_prc_max, cot_prc_med, cot_prc_mediana) VALUES (478, 49, 6, 60, 60, 60, 60, 60);</v>
      </c>
      <c r="J479" s="0" t="str">
        <f aca="false">"UPDATE COTACAO SET cot_id = "&amp;A479&amp;", cot_blt_id = "&amp;B479&amp;", cot_pap_id = "&amp;C479&amp;", cot_prc_comum = "&amp;D479&amp;", cot_prc_min = "&amp;E479&amp;", cot_prc_max = "&amp;F479&amp;", cot_prc_med = "&amp;G479&amp;", cot_prc_mediana = "&amp;H479&amp;" WHERE cot_id = "&amp;A479&amp;";"</f>
        <v>UPDATE COTACAO SET cot_id = 478, cot_blt_id = 49, cot_pap_id = 6, cot_prc_comum = 60, cot_prc_min = 60, cot_prc_max = 60, cot_prc_med = 60, cot_prc_mediana = 60 WHERE cot_id = 478;</v>
      </c>
    </row>
    <row r="480" customFormat="false" ht="14.25" hidden="false" customHeight="false" outlineLevel="0" collapsed="false">
      <c r="A480" s="0" t="n">
        <v>479</v>
      </c>
      <c r="B480" s="0" t="n">
        <f aca="false">IF('Boletins Nuppa Site'!A480&lt;&gt;0,'Boletins Nuppa Site'!A480,"NULL")</f>
        <v>49</v>
      </c>
      <c r="C480" s="0" t="n">
        <v>7</v>
      </c>
      <c r="D480" s="30" t="n">
        <f aca="false">IF('Boletins Nuppa Site'!G480&lt;&gt;0,'Boletins Nuppa Site'!G480,"NULL")</f>
        <v>84</v>
      </c>
      <c r="E480" s="30" t="n">
        <f aca="false">IF('Boletins Nuppa Site'!H480&lt;&gt;0,'Boletins Nuppa Site'!H480,"NULL")</f>
        <v>84</v>
      </c>
      <c r="F480" s="30" t="n">
        <f aca="false">IF('Boletins Nuppa Site'!I480&lt;&gt;0,'Boletins Nuppa Site'!I480,"NULL")</f>
        <v>96</v>
      </c>
      <c r="G480" s="30" t="n">
        <f aca="false">IF('Boletins Nuppa Site'!J480&lt;&gt;0,'Boletins Nuppa Site'!J480,"NULL")</f>
        <v>88</v>
      </c>
      <c r="H480" s="30" t="n">
        <f aca="false">IF('Boletins Nuppa Site'!K480&lt;&gt;0,'Boletins Nuppa Site'!K480,"NULL")</f>
        <v>84</v>
      </c>
      <c r="I480" s="0" t="str">
        <f aca="false">"INSERT INTO COTACAO (cot_id, cot_blt_id, cot_pap_id, cot_prc_comum, cot_prc_min, cot_prc_max, cot_prc_med, cot_prc_mediana) VALUES ("&amp;A480&amp;", "&amp;B480&amp;", "&amp;C480&amp;", "&amp;D480&amp;", "&amp;E480&amp;", "&amp;F480&amp;", "&amp;G480&amp;", "&amp;H480&amp;");"</f>
        <v>INSERT INTO COTACAO (cot_id, cot_blt_id, cot_pap_id, cot_prc_comum, cot_prc_min, cot_prc_max, cot_prc_med, cot_prc_mediana) VALUES (479, 49, 7, 84, 84, 96, 88, 84);</v>
      </c>
      <c r="J480" s="0" t="str">
        <f aca="false">"UPDATE COTACAO SET cot_id = "&amp;A480&amp;", cot_blt_id = "&amp;B480&amp;", cot_pap_id = "&amp;C480&amp;", cot_prc_comum = "&amp;D480&amp;", cot_prc_min = "&amp;E480&amp;", cot_prc_max = "&amp;F480&amp;", cot_prc_med = "&amp;G480&amp;", cot_prc_mediana = "&amp;H480&amp;" WHERE cot_id = "&amp;A480&amp;";"</f>
        <v>UPDATE COTACAO SET cot_id = 479, cot_blt_id = 49, cot_pap_id = 7, cot_prc_comum = 84, cot_prc_min = 84, cot_prc_max = 96, cot_prc_med = 88, cot_prc_mediana = 84 WHERE cot_id = 479;</v>
      </c>
    </row>
    <row r="481" customFormat="false" ht="14.25" hidden="false" customHeight="false" outlineLevel="0" collapsed="false">
      <c r="A481" s="0" t="n">
        <v>480</v>
      </c>
      <c r="B481" s="0" t="n">
        <f aca="false">IF('Boletins Nuppa Site'!A481&lt;&gt;0,'Boletins Nuppa Site'!A481,"NULL")</f>
        <v>49</v>
      </c>
      <c r="C481" s="0" t="n">
        <v>8</v>
      </c>
      <c r="D481" s="30" t="n">
        <f aca="false">IF('Boletins Nuppa Site'!G481&lt;&gt;0,'Boletins Nuppa Site'!G481,"NULL")</f>
        <v>96</v>
      </c>
      <c r="E481" s="30" t="n">
        <f aca="false">IF('Boletins Nuppa Site'!H481&lt;&gt;0,'Boletins Nuppa Site'!H481,"NULL")</f>
        <v>96</v>
      </c>
      <c r="F481" s="30" t="n">
        <f aca="false">IF('Boletins Nuppa Site'!I481&lt;&gt;0,'Boletins Nuppa Site'!I481,"NULL")</f>
        <v>96</v>
      </c>
      <c r="G481" s="30" t="n">
        <f aca="false">IF('Boletins Nuppa Site'!J481&lt;&gt;0,'Boletins Nuppa Site'!J481,"NULL")</f>
        <v>96</v>
      </c>
      <c r="H481" s="30" t="n">
        <f aca="false">IF('Boletins Nuppa Site'!K481&lt;&gt;0,'Boletins Nuppa Site'!K481,"NULL")</f>
        <v>96</v>
      </c>
      <c r="I481" s="0" t="str">
        <f aca="false">"INSERT INTO COTACAO (cot_id, cot_blt_id, cot_pap_id, cot_prc_comum, cot_prc_min, cot_prc_max, cot_prc_med, cot_prc_mediana) VALUES ("&amp;A481&amp;", "&amp;B481&amp;", "&amp;C481&amp;", "&amp;D481&amp;", "&amp;E481&amp;", "&amp;F481&amp;", "&amp;G481&amp;", "&amp;H481&amp;");"</f>
        <v>INSERT INTO COTACAO (cot_id, cot_blt_id, cot_pap_id, cot_prc_comum, cot_prc_min, cot_prc_max, cot_prc_med, cot_prc_mediana) VALUES (480, 49, 8, 96, 96, 96, 96, 96);</v>
      </c>
      <c r="J481" s="0" t="str">
        <f aca="false">"UPDATE COTACAO SET cot_id = "&amp;A481&amp;", cot_blt_id = "&amp;B481&amp;", cot_pap_id = "&amp;C481&amp;", cot_prc_comum = "&amp;D481&amp;", cot_prc_min = "&amp;E481&amp;", cot_prc_max = "&amp;F481&amp;", cot_prc_med = "&amp;G481&amp;", cot_prc_mediana = "&amp;H481&amp;" WHERE cot_id = "&amp;A481&amp;";"</f>
        <v>UPDATE COTACAO SET cot_id = 480, cot_blt_id = 49, cot_pap_id = 8, cot_prc_comum = 96, cot_prc_min = 96, cot_prc_max = 96, cot_prc_med = 96, cot_prc_mediana = 96 WHERE cot_id = 480;</v>
      </c>
    </row>
    <row r="482" customFormat="false" ht="14.25" hidden="false" customHeight="false" outlineLevel="0" collapsed="false">
      <c r="A482" s="0" t="n">
        <v>481</v>
      </c>
      <c r="B482" s="0" t="n">
        <f aca="false">IF('Boletins Nuppa Site'!A482&lt;&gt;0,'Boletins Nuppa Site'!A482,"NULL")</f>
        <v>49</v>
      </c>
      <c r="C482" s="0" t="n">
        <v>9</v>
      </c>
      <c r="D482" s="30" t="n">
        <f aca="false">IF('Boletins Nuppa Site'!G482&lt;&gt;0,'Boletins Nuppa Site'!G482,"NULL")</f>
        <v>30</v>
      </c>
      <c r="E482" s="30" t="n">
        <f aca="false">IF('Boletins Nuppa Site'!H482&lt;&gt;0,'Boletins Nuppa Site'!H482,"NULL")</f>
        <v>30</v>
      </c>
      <c r="F482" s="30" t="n">
        <f aca="false">IF('Boletins Nuppa Site'!I482&lt;&gt;0,'Boletins Nuppa Site'!I482,"NULL")</f>
        <v>36</v>
      </c>
      <c r="G482" s="0" t="str">
        <f aca="false">IF('Boletins Nuppa Site'!J482&lt;&gt;0,'Boletins Nuppa Site'!J482,"NULL")</f>
        <v>31.5</v>
      </c>
      <c r="H482" s="30" t="n">
        <f aca="false">IF('Boletins Nuppa Site'!K482&lt;&gt;0,'Boletins Nuppa Site'!K482,"NULL")</f>
        <v>30</v>
      </c>
      <c r="I482" s="0" t="str">
        <f aca="false">"INSERT INTO COTACAO (cot_id, cot_blt_id, cot_pap_id, cot_prc_comum, cot_prc_min, cot_prc_max, cot_prc_med, cot_prc_mediana) VALUES ("&amp;A482&amp;", "&amp;B482&amp;", "&amp;C482&amp;", "&amp;D482&amp;", "&amp;E482&amp;", "&amp;F482&amp;", "&amp;G482&amp;", "&amp;H482&amp;");"</f>
        <v>INSERT INTO COTACAO (cot_id, cot_blt_id, cot_pap_id, cot_prc_comum, cot_prc_min, cot_prc_max, cot_prc_med, cot_prc_mediana) VALUES (481, 49, 9, 30, 30, 36, 31.5, 30);</v>
      </c>
      <c r="J482" s="0" t="str">
        <f aca="false">"UPDATE COTACAO SET cot_id = "&amp;A482&amp;", cot_blt_id = "&amp;B482&amp;", cot_pap_id = "&amp;C482&amp;", cot_prc_comum = "&amp;D482&amp;", cot_prc_min = "&amp;E482&amp;", cot_prc_max = "&amp;F482&amp;", cot_prc_med = "&amp;G482&amp;", cot_prc_mediana = "&amp;H482&amp;" WHERE cot_id = "&amp;A482&amp;";"</f>
        <v>UPDATE COTACAO SET cot_id = 481, cot_blt_id = 49, cot_pap_id = 9, cot_prc_comum = 30, cot_prc_min = 30, cot_prc_max = 36, cot_prc_med = 31.5, cot_prc_mediana = 30 WHERE cot_id = 481;</v>
      </c>
    </row>
    <row r="483" customFormat="false" ht="14.25" hidden="false" customHeight="false" outlineLevel="0" collapsed="false">
      <c r="A483" s="0" t="n">
        <v>482</v>
      </c>
      <c r="B483" s="0" t="n">
        <f aca="false">IF('Boletins Nuppa Site'!A483&lt;&gt;0,'Boletins Nuppa Site'!A483,"NULL")</f>
        <v>49</v>
      </c>
      <c r="C483" s="0" t="n">
        <v>10</v>
      </c>
      <c r="D483" s="0" t="str">
        <f aca="false">IF('Boletins Nuppa Site'!G483&lt;&gt;0,'Boletins Nuppa Site'!G483,"NULL")</f>
        <v>NULL</v>
      </c>
      <c r="E483" s="30" t="n">
        <f aca="false">IF('Boletins Nuppa Site'!H483&lt;&gt;0,'Boletins Nuppa Site'!H483,"NULL")</f>
        <v>90</v>
      </c>
      <c r="F483" s="30" t="n">
        <f aca="false">IF('Boletins Nuppa Site'!I483&lt;&gt;0,'Boletins Nuppa Site'!I483,"NULL")</f>
        <v>108</v>
      </c>
      <c r="G483" s="30" t="n">
        <f aca="false">IF('Boletins Nuppa Site'!J483&lt;&gt;0,'Boletins Nuppa Site'!J483,"NULL")</f>
        <v>98</v>
      </c>
      <c r="H483" s="30" t="n">
        <f aca="false">IF('Boletins Nuppa Site'!K483&lt;&gt;0,'Boletins Nuppa Site'!K483,"NULL")</f>
        <v>96</v>
      </c>
      <c r="I483" s="0" t="str">
        <f aca="false">"INSERT INTO COTACAO (cot_id, cot_blt_id, cot_pap_id, cot_prc_comum, cot_prc_min, cot_prc_max, cot_prc_med, cot_prc_mediana) VALUES ("&amp;A483&amp;", "&amp;B483&amp;", "&amp;C483&amp;", "&amp;D483&amp;", "&amp;E483&amp;", "&amp;F483&amp;", "&amp;G483&amp;", "&amp;H483&amp;");"</f>
        <v>INSERT INTO COTACAO (cot_id, cot_blt_id, cot_pap_id, cot_prc_comum, cot_prc_min, cot_prc_max, cot_prc_med, cot_prc_mediana) VALUES (482, 49, 10, NULL, 90, 108, 98, 96);</v>
      </c>
      <c r="J483" s="0" t="str">
        <f aca="false">"UPDATE COTACAO SET cot_id = "&amp;A483&amp;", cot_blt_id = "&amp;B483&amp;", cot_pap_id = "&amp;C483&amp;", cot_prc_comum = "&amp;D483&amp;", cot_prc_min = "&amp;E483&amp;", cot_prc_max = "&amp;F483&amp;", cot_prc_med = "&amp;G483&amp;", cot_prc_mediana = "&amp;H483&amp;" WHERE cot_id = "&amp;A483&amp;";"</f>
        <v>UPDATE COTACAO SET cot_id = 482, cot_blt_id = 49, cot_pap_id = 10, cot_prc_comum = NULL, cot_prc_min = 90, cot_prc_max = 108, cot_prc_med = 98, cot_prc_mediana = 96 WHERE cot_id = 482;</v>
      </c>
    </row>
    <row r="484" customFormat="false" ht="14.25" hidden="false" customHeight="false" outlineLevel="0" collapsed="false">
      <c r="A484" s="0" t="n">
        <v>483</v>
      </c>
      <c r="B484" s="0" t="n">
        <f aca="false">IF('Boletins Nuppa Site'!A484&lt;&gt;0,'Boletins Nuppa Site'!A484,"NULL")</f>
        <v>49</v>
      </c>
      <c r="C484" s="0" t="n">
        <v>11</v>
      </c>
      <c r="D484" s="0" t="str">
        <f aca="false">IF('Boletins Nuppa Site'!G484&lt;&gt;0,'Boletins Nuppa Site'!G484,"NULL")</f>
        <v>NULL</v>
      </c>
      <c r="E484" s="30" t="n">
        <f aca="false">IF('Boletins Nuppa Site'!H484&lt;&gt;0,'Boletins Nuppa Site'!H484,"NULL")</f>
        <v>30</v>
      </c>
      <c r="F484" s="30" t="n">
        <f aca="false">IF('Boletins Nuppa Site'!I484&lt;&gt;0,'Boletins Nuppa Site'!I484,"NULL")</f>
        <v>36</v>
      </c>
      <c r="G484" s="0" t="str">
        <f aca="false">IF('Boletins Nuppa Site'!J484&lt;&gt;0,'Boletins Nuppa Site'!J484,"NULL")</f>
        <v>33.67</v>
      </c>
      <c r="H484" s="30" t="n">
        <f aca="false">IF('Boletins Nuppa Site'!K484&lt;&gt;0,'Boletins Nuppa Site'!K484,"NULL")</f>
        <v>35</v>
      </c>
      <c r="I484" s="0" t="str">
        <f aca="false">"INSERT INTO COTACAO (cot_id, cot_blt_id, cot_pap_id, cot_prc_comum, cot_prc_min, cot_prc_max, cot_prc_med, cot_prc_mediana) VALUES ("&amp;A484&amp;", "&amp;B484&amp;", "&amp;C484&amp;", "&amp;D484&amp;", "&amp;E484&amp;", "&amp;F484&amp;", "&amp;G484&amp;", "&amp;H484&amp;");"</f>
        <v>INSERT INTO COTACAO (cot_id, cot_blt_id, cot_pap_id, cot_prc_comum, cot_prc_min, cot_prc_max, cot_prc_med, cot_prc_mediana) VALUES (483, 49, 11, NULL, 30, 36, 33.67, 35);</v>
      </c>
      <c r="J484" s="0" t="str">
        <f aca="false">"UPDATE COTACAO SET cot_id = "&amp;A484&amp;", cot_blt_id = "&amp;B484&amp;", cot_pap_id = "&amp;C484&amp;", cot_prc_comum = "&amp;D484&amp;", cot_prc_min = "&amp;E484&amp;", cot_prc_max = "&amp;F484&amp;", cot_prc_med = "&amp;G484&amp;", cot_prc_mediana = "&amp;H484&amp;" WHERE cot_id = "&amp;A484&amp;";"</f>
        <v>UPDATE COTACAO SET cot_id = 483, cot_blt_id = 49, cot_pap_id = 11, cot_prc_comum = NULL, cot_prc_min = 30, cot_prc_max = 36, cot_prc_med = 33.67, cot_prc_mediana = 35 WHERE cot_id = 483;</v>
      </c>
    </row>
    <row r="485" customFormat="false" ht="14.25" hidden="false" customHeight="false" outlineLevel="0" collapsed="false">
      <c r="A485" s="0" t="n">
        <v>484</v>
      </c>
      <c r="B485" s="0" t="n">
        <f aca="false">IF('Boletins Nuppa Site'!A485&lt;&gt;0,'Boletins Nuppa Site'!A485,"NULL")</f>
        <v>49</v>
      </c>
      <c r="C485" s="0" t="n">
        <v>12</v>
      </c>
      <c r="D485" s="30" t="n">
        <f aca="false">IF('Boletins Nuppa Site'!G485&lt;&gt;0,'Boletins Nuppa Site'!G485,"NULL")</f>
        <v>84</v>
      </c>
      <c r="E485" s="30" t="n">
        <f aca="false">IF('Boletins Nuppa Site'!H485&lt;&gt;0,'Boletins Nuppa Site'!H485,"NULL")</f>
        <v>84</v>
      </c>
      <c r="F485" s="30" t="n">
        <f aca="false">IF('Boletins Nuppa Site'!I485&lt;&gt;0,'Boletins Nuppa Site'!I485,"NULL")</f>
        <v>84</v>
      </c>
      <c r="G485" s="30" t="n">
        <f aca="false">IF('Boletins Nuppa Site'!J485&lt;&gt;0,'Boletins Nuppa Site'!J485,"NULL")</f>
        <v>84</v>
      </c>
      <c r="H485" s="30" t="n">
        <f aca="false">IF('Boletins Nuppa Site'!K485&lt;&gt;0,'Boletins Nuppa Site'!K485,"NULL")</f>
        <v>84</v>
      </c>
      <c r="I485" s="0" t="str">
        <f aca="false">"INSERT INTO COTACAO (cot_id, cot_blt_id, cot_pap_id, cot_prc_comum, cot_prc_min, cot_prc_max, cot_prc_med, cot_prc_mediana) VALUES ("&amp;A485&amp;", "&amp;B485&amp;", "&amp;C485&amp;", "&amp;D485&amp;", "&amp;E485&amp;", "&amp;F485&amp;", "&amp;G485&amp;", "&amp;H485&amp;");"</f>
        <v>INSERT INTO COTACAO (cot_id, cot_blt_id, cot_pap_id, cot_prc_comum, cot_prc_min, cot_prc_max, cot_prc_med, cot_prc_mediana) VALUES (484, 49, 12, 84, 84, 84, 84, 84);</v>
      </c>
      <c r="J485" s="0" t="str">
        <f aca="false">"UPDATE COTACAO SET cot_id = "&amp;A485&amp;", cot_blt_id = "&amp;B485&amp;", cot_pap_id = "&amp;C485&amp;", cot_prc_comum = "&amp;D485&amp;", cot_prc_min = "&amp;E485&amp;", cot_prc_max = "&amp;F485&amp;", cot_prc_med = "&amp;G485&amp;", cot_prc_mediana = "&amp;H485&amp;" WHERE cot_id = "&amp;A485&amp;";"</f>
        <v>UPDATE COTACAO SET cot_id = 484, cot_blt_id = 49, cot_pap_id = 12, cot_prc_comum = 84, cot_prc_min = 84, cot_prc_max = 84, cot_prc_med = 84, cot_prc_mediana = 84 WHERE cot_id = 484;</v>
      </c>
    </row>
    <row r="486" customFormat="false" ht="14.25" hidden="false" customHeight="false" outlineLevel="0" collapsed="false">
      <c r="A486" s="0" t="n">
        <v>485</v>
      </c>
      <c r="B486" s="0" t="n">
        <f aca="false">IF('Boletins Nuppa Site'!A486&lt;&gt;0,'Boletins Nuppa Site'!A486,"NULL")</f>
        <v>49</v>
      </c>
      <c r="C486" s="0" t="n">
        <v>13</v>
      </c>
      <c r="D486" s="0" t="str">
        <f aca="false">IF('Boletins Nuppa Site'!G486&lt;&gt;0,'Boletins Nuppa Site'!G486,"NULL")</f>
        <v>NULL</v>
      </c>
      <c r="E486" s="30" t="n">
        <f aca="false">IF('Boletins Nuppa Site'!H486&lt;&gt;0,'Boletins Nuppa Site'!H486,"NULL")</f>
        <v>60</v>
      </c>
      <c r="F486" s="30" t="n">
        <f aca="false">IF('Boletins Nuppa Site'!I486&lt;&gt;0,'Boletins Nuppa Site'!I486,"NULL")</f>
        <v>72</v>
      </c>
      <c r="G486" s="0" t="str">
        <f aca="false">IF('Boletins Nuppa Site'!J486&lt;&gt;0,'Boletins Nuppa Site'!J486,"NULL")</f>
        <v>64.67</v>
      </c>
      <c r="H486" s="30" t="n">
        <f aca="false">IF('Boletins Nuppa Site'!K486&lt;&gt;0,'Boletins Nuppa Site'!K486,"NULL")</f>
        <v>62</v>
      </c>
      <c r="I486" s="0" t="str">
        <f aca="false">"INSERT INTO COTACAO (cot_id, cot_blt_id, cot_pap_id, cot_prc_comum, cot_prc_min, cot_prc_max, cot_prc_med, cot_prc_mediana) VALUES ("&amp;A486&amp;", "&amp;B486&amp;", "&amp;C486&amp;", "&amp;D486&amp;", "&amp;E486&amp;", "&amp;F486&amp;", "&amp;G486&amp;", "&amp;H486&amp;");"</f>
        <v>INSERT INTO COTACAO (cot_id, cot_blt_id, cot_pap_id, cot_prc_comum, cot_prc_min, cot_prc_max, cot_prc_med, cot_prc_mediana) VALUES (485, 49, 13, NULL, 60, 72, 64.67, 62);</v>
      </c>
      <c r="J486" s="0" t="str">
        <f aca="false">"UPDATE COTACAO SET cot_id = "&amp;A486&amp;", cot_blt_id = "&amp;B486&amp;", cot_pap_id = "&amp;C486&amp;", cot_prc_comum = "&amp;D486&amp;", cot_prc_min = "&amp;E486&amp;", cot_prc_max = "&amp;F486&amp;", cot_prc_med = "&amp;G486&amp;", cot_prc_mediana = "&amp;H486&amp;" WHERE cot_id = "&amp;A486&amp;";"</f>
        <v>UPDATE COTACAO SET cot_id = 485, cot_blt_id = 49, cot_pap_id = 13, cot_prc_comum = NULL, cot_prc_min = 60, cot_prc_max = 72, cot_prc_med = 64.67, cot_prc_mediana = 62 WHERE cot_id = 485;</v>
      </c>
    </row>
    <row r="487" customFormat="false" ht="14.25" hidden="false" customHeight="false" outlineLevel="0" collapsed="false">
      <c r="A487" s="0" t="n">
        <v>486</v>
      </c>
      <c r="B487" s="0" t="n">
        <f aca="false">IF('Boletins Nuppa Site'!A487&lt;&gt;0,'Boletins Nuppa Site'!A487,"NULL")</f>
        <v>49</v>
      </c>
      <c r="C487" s="0" t="n">
        <v>14</v>
      </c>
      <c r="D487" s="0" t="str">
        <f aca="false">IF('Boletins Nuppa Site'!G487&lt;&gt;0,'Boletins Nuppa Site'!G487,"NULL")</f>
        <v>NULL</v>
      </c>
      <c r="E487" s="30" t="n">
        <f aca="false">IF('Boletins Nuppa Site'!H487&lt;&gt;0,'Boletins Nuppa Site'!H487,"NULL")</f>
        <v>60</v>
      </c>
      <c r="F487" s="30" t="n">
        <f aca="false">IF('Boletins Nuppa Site'!I487&lt;&gt;0,'Boletins Nuppa Site'!I487,"NULL")</f>
        <v>100</v>
      </c>
      <c r="G487" s="0" t="str">
        <f aca="false">IF('Boletins Nuppa Site'!J487&lt;&gt;0,'Boletins Nuppa Site'!J487,"NULL")</f>
        <v>76.67</v>
      </c>
      <c r="H487" s="30" t="n">
        <f aca="false">IF('Boletins Nuppa Site'!K487&lt;&gt;0,'Boletins Nuppa Site'!K487,"NULL")</f>
        <v>70</v>
      </c>
      <c r="I487" s="0" t="str">
        <f aca="false">"INSERT INTO COTACAO (cot_id, cot_blt_id, cot_pap_id, cot_prc_comum, cot_prc_min, cot_prc_max, cot_prc_med, cot_prc_mediana) VALUES ("&amp;A487&amp;", "&amp;B487&amp;", "&amp;C487&amp;", "&amp;D487&amp;", "&amp;E487&amp;", "&amp;F487&amp;", "&amp;G487&amp;", "&amp;H487&amp;");"</f>
        <v>INSERT INTO COTACAO (cot_id, cot_blt_id, cot_pap_id, cot_prc_comum, cot_prc_min, cot_prc_max, cot_prc_med, cot_prc_mediana) VALUES (486, 49, 14, NULL, 60, 100, 76.67, 70);</v>
      </c>
      <c r="J487" s="0" t="str">
        <f aca="false">"UPDATE COTACAO SET cot_id = "&amp;A487&amp;", cot_blt_id = "&amp;B487&amp;", cot_pap_id = "&amp;C487&amp;", cot_prc_comum = "&amp;D487&amp;", cot_prc_min = "&amp;E487&amp;", cot_prc_max = "&amp;F487&amp;", cot_prc_med = "&amp;G487&amp;", cot_prc_mediana = "&amp;H487&amp;" WHERE cot_id = "&amp;A487&amp;";"</f>
        <v>UPDATE COTACAO SET cot_id = 486, cot_blt_id = 49, cot_pap_id = 14, cot_prc_comum = NULL, cot_prc_min = 60, cot_prc_max = 100, cot_prc_med = 76.67, cot_prc_mediana = 70 WHERE cot_id = 486;</v>
      </c>
    </row>
    <row r="488" customFormat="false" ht="14.25" hidden="false" customHeight="false" outlineLevel="0" collapsed="false">
      <c r="A488" s="0" t="n">
        <v>487</v>
      </c>
      <c r="B488" s="0" t="n">
        <f aca="false">IF('Boletins Nuppa Site'!A488&lt;&gt;0,'Boletins Nuppa Site'!A488,"NULL")</f>
        <v>49</v>
      </c>
      <c r="C488" s="0" t="n">
        <v>15</v>
      </c>
      <c r="D488" s="0" t="str">
        <f aca="false">IF('Boletins Nuppa Site'!G488&lt;&gt;0,'Boletins Nuppa Site'!G488,"NULL")</f>
        <v>NULL</v>
      </c>
      <c r="E488" s="30" t="n">
        <f aca="false">IF('Boletins Nuppa Site'!H488&lt;&gt;0,'Boletins Nuppa Site'!H488,"NULL")</f>
        <v>48</v>
      </c>
      <c r="F488" s="30" t="n">
        <f aca="false">IF('Boletins Nuppa Site'!I488&lt;&gt;0,'Boletins Nuppa Site'!I488,"NULL")</f>
        <v>60</v>
      </c>
      <c r="G488" s="0" t="str">
        <f aca="false">IF('Boletins Nuppa Site'!J488&lt;&gt;0,'Boletins Nuppa Site'!J488,"NULL")</f>
        <v>54.33</v>
      </c>
      <c r="H488" s="30" t="n">
        <f aca="false">IF('Boletins Nuppa Site'!K488&lt;&gt;0,'Boletins Nuppa Site'!K488,"NULL")</f>
        <v>55</v>
      </c>
      <c r="I488" s="0" t="str">
        <f aca="false">"INSERT INTO COTACAO (cot_id, cot_blt_id, cot_pap_id, cot_prc_comum, cot_prc_min, cot_prc_max, cot_prc_med, cot_prc_mediana) VALUES ("&amp;A488&amp;", "&amp;B488&amp;", "&amp;C488&amp;", "&amp;D488&amp;", "&amp;E488&amp;", "&amp;F488&amp;", "&amp;G488&amp;", "&amp;H488&amp;");"</f>
        <v>INSERT INTO COTACAO (cot_id, cot_blt_id, cot_pap_id, cot_prc_comum, cot_prc_min, cot_prc_max, cot_prc_med, cot_prc_mediana) VALUES (487, 49, 15, NULL, 48, 60, 54.33, 55);</v>
      </c>
      <c r="J488" s="0" t="str">
        <f aca="false">"UPDATE COTACAO SET cot_id = "&amp;A488&amp;", cot_blt_id = "&amp;B488&amp;", cot_pap_id = "&amp;C488&amp;", cot_prc_comum = "&amp;D488&amp;", cot_prc_min = "&amp;E488&amp;", cot_prc_max = "&amp;F488&amp;", cot_prc_med = "&amp;G488&amp;", cot_prc_mediana = "&amp;H488&amp;" WHERE cot_id = "&amp;A488&amp;";"</f>
        <v>UPDATE COTACAO SET cot_id = 487, cot_blt_id = 49, cot_pap_id = 15, cot_prc_comum = NULL, cot_prc_min = 48, cot_prc_max = 60, cot_prc_med = 54.33, cot_prc_mediana = 55 WHERE cot_id = 487;</v>
      </c>
    </row>
    <row r="489" customFormat="false" ht="14.25" hidden="false" customHeight="false" outlineLevel="0" collapsed="false">
      <c r="A489" s="0" t="n">
        <v>488</v>
      </c>
      <c r="B489" s="0" t="n">
        <f aca="false">IF('Boletins Nuppa Site'!A489&lt;&gt;0,'Boletins Nuppa Site'!A489,"NULL")</f>
        <v>49</v>
      </c>
      <c r="C489" s="0" t="n">
        <v>16</v>
      </c>
      <c r="D489" s="0" t="str">
        <f aca="false">IF('Boletins Nuppa Site'!G489&lt;&gt;0,'Boletins Nuppa Site'!G489,"NULL")</f>
        <v>NULL</v>
      </c>
      <c r="E489" s="30" t="n">
        <f aca="false">IF('Boletins Nuppa Site'!H489&lt;&gt;0,'Boletins Nuppa Site'!H489,"NULL")</f>
        <v>42</v>
      </c>
      <c r="F489" s="30" t="n">
        <f aca="false">IF('Boletins Nuppa Site'!I489&lt;&gt;0,'Boletins Nuppa Site'!I489,"NULL")</f>
        <v>54</v>
      </c>
      <c r="G489" s="30" t="n">
        <f aca="false">IF('Boletins Nuppa Site'!J489&lt;&gt;0,'Boletins Nuppa Site'!J489,"NULL")</f>
        <v>48</v>
      </c>
      <c r="H489" s="30" t="n">
        <f aca="false">IF('Boletins Nuppa Site'!K489&lt;&gt;0,'Boletins Nuppa Site'!K489,"NULL")</f>
        <v>48</v>
      </c>
      <c r="I489" s="0" t="str">
        <f aca="false">"INSERT INTO COTACAO (cot_id, cot_blt_id, cot_pap_id, cot_prc_comum, cot_prc_min, cot_prc_max, cot_prc_med, cot_prc_mediana) VALUES ("&amp;A489&amp;", "&amp;B489&amp;", "&amp;C489&amp;", "&amp;D489&amp;", "&amp;E489&amp;", "&amp;F489&amp;", "&amp;G489&amp;", "&amp;H489&amp;");"</f>
        <v>INSERT INTO COTACAO (cot_id, cot_blt_id, cot_pap_id, cot_prc_comum, cot_prc_min, cot_prc_max, cot_prc_med, cot_prc_mediana) VALUES (488, 49, 16, NULL, 42, 54, 48, 48);</v>
      </c>
      <c r="J489" s="0" t="str">
        <f aca="false">"UPDATE COTACAO SET cot_id = "&amp;A489&amp;", cot_blt_id = "&amp;B489&amp;", cot_pap_id = "&amp;C489&amp;", cot_prc_comum = "&amp;D489&amp;", cot_prc_min = "&amp;E489&amp;", cot_prc_max = "&amp;F489&amp;", cot_prc_med = "&amp;G489&amp;", cot_prc_mediana = "&amp;H489&amp;" WHERE cot_id = "&amp;A489&amp;";"</f>
        <v>UPDATE COTACAO SET cot_id = 488, cot_blt_id = 49, cot_pap_id = 16, cot_prc_comum = NULL, cot_prc_min = 42, cot_prc_max = 54, cot_prc_med = 48, cot_prc_mediana = 48 WHERE cot_id = 488;</v>
      </c>
    </row>
    <row r="490" customFormat="false" ht="14.25" hidden="false" customHeight="false" outlineLevel="0" collapsed="false">
      <c r="A490" s="0" t="n">
        <v>489</v>
      </c>
      <c r="B490" s="0" t="n">
        <f aca="false">IF('Boletins Nuppa Site'!A490&lt;&gt;0,'Boletins Nuppa Site'!A490,"NULL")</f>
        <v>49</v>
      </c>
      <c r="C490" s="0" t="n">
        <v>17</v>
      </c>
      <c r="D490" s="30" t="n">
        <f aca="false">IF('Boletins Nuppa Site'!G490&lt;&gt;0,'Boletins Nuppa Site'!G490,"NULL")</f>
        <v>6</v>
      </c>
      <c r="E490" s="0" t="str">
        <f aca="false">IF('Boletins Nuppa Site'!H490&lt;&gt;0,'Boletins Nuppa Site'!H490,"NULL")</f>
        <v>4.5</v>
      </c>
      <c r="F490" s="30" t="n">
        <f aca="false">IF('Boletins Nuppa Site'!I490&lt;&gt;0,'Boletins Nuppa Site'!I490,"NULL")</f>
        <v>6</v>
      </c>
      <c r="G490" s="0" t="str">
        <f aca="false">IF('Boletins Nuppa Site'!J490&lt;&gt;0,'Boletins Nuppa Site'!J490,"NULL")</f>
        <v>5.38</v>
      </c>
      <c r="H490" s="0" t="str">
        <f aca="false">IF('Boletins Nuppa Site'!K490&lt;&gt;0,'Boletins Nuppa Site'!K490,"NULL")</f>
        <v>5.5</v>
      </c>
      <c r="I490" s="0" t="str">
        <f aca="false">"INSERT INTO COTACAO (cot_id, cot_blt_id, cot_pap_id, cot_prc_comum, cot_prc_min, cot_prc_max, cot_prc_med, cot_prc_mediana) VALUES ("&amp;A490&amp;", "&amp;B490&amp;", "&amp;C490&amp;", "&amp;D490&amp;", "&amp;E490&amp;", "&amp;F490&amp;", "&amp;G490&amp;", "&amp;H490&amp;");"</f>
        <v>INSERT INTO COTACAO (cot_id, cot_blt_id, cot_pap_id, cot_prc_comum, cot_prc_min, cot_prc_max, cot_prc_med, cot_prc_mediana) VALUES (489, 49, 17, 6, 4.5, 6, 5.38, 5.5);</v>
      </c>
      <c r="J490" s="0" t="str">
        <f aca="false">"UPDATE COTACAO SET cot_id = "&amp;A490&amp;", cot_blt_id = "&amp;B490&amp;", cot_pap_id = "&amp;C490&amp;", cot_prc_comum = "&amp;D490&amp;", cot_prc_min = "&amp;E490&amp;", cot_prc_max = "&amp;F490&amp;", cot_prc_med = "&amp;G490&amp;", cot_prc_mediana = "&amp;H490&amp;" WHERE cot_id = "&amp;A490&amp;";"</f>
        <v>UPDATE COTACAO SET cot_id = 489, cot_blt_id = 49, cot_pap_id = 17, cot_prc_comum = 6, cot_prc_min = 4.5, cot_prc_max = 6, cot_prc_med = 5.38, cot_prc_mediana = 5.5 WHERE cot_id = 489;</v>
      </c>
    </row>
    <row r="491" customFormat="false" ht="14.25" hidden="false" customHeight="false" outlineLevel="0" collapsed="false">
      <c r="A491" s="0" t="n">
        <v>490</v>
      </c>
      <c r="B491" s="0" t="n">
        <f aca="false">IF('Boletins Nuppa Site'!A491&lt;&gt;0,'Boletins Nuppa Site'!A491,"NULL")</f>
        <v>49</v>
      </c>
      <c r="C491" s="0" t="n">
        <v>18</v>
      </c>
      <c r="D491" s="30" t="n">
        <f aca="false">IF('Boletins Nuppa Site'!G491&lt;&gt;0,'Boletins Nuppa Site'!G491,"NULL")</f>
        <v>30</v>
      </c>
      <c r="E491" s="30" t="n">
        <f aca="false">IF('Boletins Nuppa Site'!H491&lt;&gt;0,'Boletins Nuppa Site'!H491,"NULL")</f>
        <v>20</v>
      </c>
      <c r="F491" s="30" t="n">
        <f aca="false">IF('Boletins Nuppa Site'!I491&lt;&gt;0,'Boletins Nuppa Site'!I491,"NULL")</f>
        <v>30</v>
      </c>
      <c r="G491" s="30" t="n">
        <f aca="false">IF('Boletins Nuppa Site'!J491&lt;&gt;0,'Boletins Nuppa Site'!J491,"NULL")</f>
        <v>27</v>
      </c>
      <c r="H491" s="30" t="n">
        <f aca="false">IF('Boletins Nuppa Site'!K491&lt;&gt;0,'Boletins Nuppa Site'!K491,"NULL")</f>
        <v>29</v>
      </c>
      <c r="I491" s="0" t="str">
        <f aca="false">"INSERT INTO COTACAO (cot_id, cot_blt_id, cot_pap_id, cot_prc_comum, cot_prc_min, cot_prc_max, cot_prc_med, cot_prc_mediana) VALUES ("&amp;A491&amp;", "&amp;B491&amp;", "&amp;C491&amp;", "&amp;D491&amp;", "&amp;E491&amp;", "&amp;F491&amp;", "&amp;G491&amp;", "&amp;H491&amp;");"</f>
        <v>INSERT INTO COTACAO (cot_id, cot_blt_id, cot_pap_id, cot_prc_comum, cot_prc_min, cot_prc_max, cot_prc_med, cot_prc_mediana) VALUES (490, 49, 18, 30, 20, 30, 27, 29);</v>
      </c>
      <c r="J491" s="0" t="str">
        <f aca="false">"UPDATE COTACAO SET cot_id = "&amp;A491&amp;", cot_blt_id = "&amp;B491&amp;", cot_pap_id = "&amp;C491&amp;", cot_prc_comum = "&amp;D491&amp;", cot_prc_min = "&amp;E491&amp;", cot_prc_max = "&amp;F491&amp;", cot_prc_med = "&amp;G491&amp;", cot_prc_mediana = "&amp;H491&amp;" WHERE cot_id = "&amp;A491&amp;";"</f>
        <v>UPDATE COTACAO SET cot_id = 490, cot_blt_id = 49, cot_pap_id = 18, cot_prc_comum = 30, cot_prc_min = 20, cot_prc_max = 30, cot_prc_med = 27, cot_prc_mediana = 29 WHERE cot_id = 490;</v>
      </c>
    </row>
    <row r="492" customFormat="false" ht="14.25" hidden="false" customHeight="false" outlineLevel="0" collapsed="false">
      <c r="A492" s="0" t="n">
        <v>491</v>
      </c>
      <c r="B492" s="0" t="n">
        <f aca="false">IF('Boletins Nuppa Site'!A492&lt;&gt;0,'Boletins Nuppa Site'!A492,"NULL")</f>
        <v>49</v>
      </c>
      <c r="C492" s="0" t="n">
        <v>19</v>
      </c>
      <c r="D492" s="30" t="n">
        <f aca="false">IF('Boletins Nuppa Site'!G492&lt;&gt;0,'Boletins Nuppa Site'!G492,"NULL")</f>
        <v>30</v>
      </c>
      <c r="E492" s="30" t="n">
        <f aca="false">IF('Boletins Nuppa Site'!H492&lt;&gt;0,'Boletins Nuppa Site'!H492,"NULL")</f>
        <v>30</v>
      </c>
      <c r="F492" s="30" t="n">
        <f aca="false">IF('Boletins Nuppa Site'!I492&lt;&gt;0,'Boletins Nuppa Site'!I492,"NULL")</f>
        <v>40</v>
      </c>
      <c r="G492" s="0" t="str">
        <f aca="false">IF('Boletins Nuppa Site'!J492&lt;&gt;0,'Boletins Nuppa Site'!J492,"NULL")</f>
        <v>33.75</v>
      </c>
      <c r="H492" s="0" t="str">
        <f aca="false">IF('Boletins Nuppa Site'!K492&lt;&gt;0,'Boletins Nuppa Site'!K492,"NULL")</f>
        <v>32.5</v>
      </c>
      <c r="I492" s="0" t="str">
        <f aca="false">"INSERT INTO COTACAO (cot_id, cot_blt_id, cot_pap_id, cot_prc_comum, cot_prc_min, cot_prc_max, cot_prc_med, cot_prc_mediana) VALUES ("&amp;A492&amp;", "&amp;B492&amp;", "&amp;C492&amp;", "&amp;D492&amp;", "&amp;E492&amp;", "&amp;F492&amp;", "&amp;G492&amp;", "&amp;H492&amp;");"</f>
        <v>INSERT INTO COTACAO (cot_id, cot_blt_id, cot_pap_id, cot_prc_comum, cot_prc_min, cot_prc_max, cot_prc_med, cot_prc_mediana) VALUES (491, 49, 19, 30, 30, 40, 33.75, 32.5);</v>
      </c>
      <c r="J492" s="0" t="str">
        <f aca="false">"UPDATE COTACAO SET cot_id = "&amp;A492&amp;", cot_blt_id = "&amp;B492&amp;", cot_pap_id = "&amp;C492&amp;", cot_prc_comum = "&amp;D492&amp;", cot_prc_min = "&amp;E492&amp;", cot_prc_max = "&amp;F492&amp;", cot_prc_med = "&amp;G492&amp;", cot_prc_mediana = "&amp;H492&amp;" WHERE cot_id = "&amp;A492&amp;";"</f>
        <v>UPDATE COTACAO SET cot_id = 491, cot_blt_id = 49, cot_pap_id = 19, cot_prc_comum = 30, cot_prc_min = 30, cot_prc_max = 40, cot_prc_med = 33.75, cot_prc_mediana = 32.5 WHERE cot_id = 491;</v>
      </c>
    </row>
    <row r="493" customFormat="false" ht="14.25" hidden="false" customHeight="false" outlineLevel="0" collapsed="false">
      <c r="A493" s="0" t="n">
        <v>492</v>
      </c>
      <c r="B493" s="0" t="n">
        <f aca="false">IF('Boletins Nuppa Site'!A493&lt;&gt;0,'Boletins Nuppa Site'!A493,"NULL")</f>
        <v>49</v>
      </c>
      <c r="C493" s="0" t="n">
        <v>20</v>
      </c>
      <c r="D493" s="30" t="n">
        <f aca="false">IF('Boletins Nuppa Site'!G493&lt;&gt;0,'Boletins Nuppa Site'!G493,"NULL")</f>
        <v>110</v>
      </c>
      <c r="E493" s="30" t="n">
        <f aca="false">IF('Boletins Nuppa Site'!H493&lt;&gt;0,'Boletins Nuppa Site'!H493,"NULL")</f>
        <v>110</v>
      </c>
      <c r="F493" s="30" t="n">
        <f aca="false">IF('Boletins Nuppa Site'!I493&lt;&gt;0,'Boletins Nuppa Site'!I493,"NULL")</f>
        <v>120</v>
      </c>
      <c r="G493" s="0" t="str">
        <f aca="false">IF('Boletins Nuppa Site'!J493&lt;&gt;0,'Boletins Nuppa Site'!J493,"NULL")</f>
        <v>113.33</v>
      </c>
      <c r="H493" s="30" t="n">
        <f aca="false">IF('Boletins Nuppa Site'!K493&lt;&gt;0,'Boletins Nuppa Site'!K493,"NULL")</f>
        <v>110</v>
      </c>
      <c r="I493" s="0" t="str">
        <f aca="false">"INSERT INTO COTACAO (cot_id, cot_blt_id, cot_pap_id, cot_prc_comum, cot_prc_min, cot_prc_max, cot_prc_med, cot_prc_mediana) VALUES ("&amp;A493&amp;", "&amp;B493&amp;", "&amp;C493&amp;", "&amp;D493&amp;", "&amp;E493&amp;", "&amp;F493&amp;", "&amp;G493&amp;", "&amp;H493&amp;");"</f>
        <v>INSERT INTO COTACAO (cot_id, cot_blt_id, cot_pap_id, cot_prc_comum, cot_prc_min, cot_prc_max, cot_prc_med, cot_prc_mediana) VALUES (492, 49, 20, 110, 110, 120, 113.33, 110);</v>
      </c>
      <c r="J493" s="0" t="str">
        <f aca="false">"UPDATE COTACAO SET cot_id = "&amp;A493&amp;", cot_blt_id = "&amp;B493&amp;", cot_pap_id = "&amp;C493&amp;", cot_prc_comum = "&amp;D493&amp;", cot_prc_min = "&amp;E493&amp;", cot_prc_max = "&amp;F493&amp;", cot_prc_med = "&amp;G493&amp;", cot_prc_mediana = "&amp;H493&amp;" WHERE cot_id = "&amp;A493&amp;";"</f>
        <v>UPDATE COTACAO SET cot_id = 492, cot_blt_id = 49, cot_pap_id = 20, cot_prc_comum = 110, cot_prc_min = 110, cot_prc_max = 120, cot_prc_med = 113.33, cot_prc_mediana = 110 WHERE cot_id = 492;</v>
      </c>
    </row>
    <row r="494" customFormat="false" ht="14.25" hidden="false" customHeight="false" outlineLevel="0" collapsed="false">
      <c r="A494" s="0" t="n">
        <v>493</v>
      </c>
      <c r="B494" s="0" t="n">
        <f aca="false">IF('Boletins Nuppa Site'!A494&lt;&gt;0,'Boletins Nuppa Site'!A494,"NULL")</f>
        <v>49</v>
      </c>
      <c r="C494" s="0" t="n">
        <v>21</v>
      </c>
      <c r="D494" s="0" t="str">
        <f aca="false">IF('Boletins Nuppa Site'!G494&lt;&gt;0,'Boletins Nuppa Site'!G494,"NULL")</f>
        <v>NULL</v>
      </c>
      <c r="E494" s="30" t="n">
        <f aca="false">IF('Boletins Nuppa Site'!H494&lt;&gt;0,'Boletins Nuppa Site'!H494,"NULL")</f>
        <v>60</v>
      </c>
      <c r="F494" s="30" t="n">
        <f aca="false">IF('Boletins Nuppa Site'!I494&lt;&gt;0,'Boletins Nuppa Site'!I494,"NULL")</f>
        <v>80</v>
      </c>
      <c r="G494" s="0" t="str">
        <f aca="false">IF('Boletins Nuppa Site'!J494&lt;&gt;0,'Boletins Nuppa Site'!J494,"NULL")</f>
        <v>68.75</v>
      </c>
      <c r="H494" s="0" t="str">
        <f aca="false">IF('Boletins Nuppa Site'!K494&lt;&gt;0,'Boletins Nuppa Site'!K494,"NULL")</f>
        <v>67.5</v>
      </c>
      <c r="I494" s="0" t="str">
        <f aca="false">"INSERT INTO COTACAO (cot_id, cot_blt_id, cot_pap_id, cot_prc_comum, cot_prc_min, cot_prc_max, cot_prc_med, cot_prc_mediana) VALUES ("&amp;A494&amp;", "&amp;B494&amp;", "&amp;C494&amp;", "&amp;D494&amp;", "&amp;E494&amp;", "&amp;F494&amp;", "&amp;G494&amp;", "&amp;H494&amp;");"</f>
        <v>INSERT INTO COTACAO (cot_id, cot_blt_id, cot_pap_id, cot_prc_comum, cot_prc_min, cot_prc_max, cot_prc_med, cot_prc_mediana) VALUES (493, 49, 21, NULL, 60, 80, 68.75, 67.5);</v>
      </c>
      <c r="J494" s="0" t="str">
        <f aca="false">"UPDATE COTACAO SET cot_id = "&amp;A494&amp;", cot_blt_id = "&amp;B494&amp;", cot_pap_id = "&amp;C494&amp;", cot_prc_comum = "&amp;D494&amp;", cot_prc_min = "&amp;E494&amp;", cot_prc_max = "&amp;F494&amp;", cot_prc_med = "&amp;G494&amp;", cot_prc_mediana = "&amp;H494&amp;" WHERE cot_id = "&amp;A494&amp;";"</f>
        <v>UPDATE COTACAO SET cot_id = 493, cot_blt_id = 49, cot_pap_id = 21, cot_prc_comum = NULL, cot_prc_min = 60, cot_prc_max = 80, cot_prc_med = 68.75, cot_prc_mediana = 67.5 WHERE cot_id = 493;</v>
      </c>
    </row>
    <row r="495" customFormat="false" ht="14.25" hidden="false" customHeight="false" outlineLevel="0" collapsed="false">
      <c r="A495" s="0" t="n">
        <v>494</v>
      </c>
      <c r="B495" s="0" t="n">
        <f aca="false">IF('Boletins Nuppa Site'!A495&lt;&gt;0,'Boletins Nuppa Site'!A495,"NULL")</f>
        <v>49</v>
      </c>
      <c r="C495" s="0" t="n">
        <v>22</v>
      </c>
      <c r="D495" s="30" t="n">
        <f aca="false">IF('Boletins Nuppa Site'!G495&lt;&gt;0,'Boletins Nuppa Site'!G495,"NULL")</f>
        <v>75</v>
      </c>
      <c r="E495" s="30" t="n">
        <f aca="false">IF('Boletins Nuppa Site'!H495&lt;&gt;0,'Boletins Nuppa Site'!H495,"NULL")</f>
        <v>50</v>
      </c>
      <c r="F495" s="30" t="n">
        <f aca="false">IF('Boletins Nuppa Site'!I495&lt;&gt;0,'Boletins Nuppa Site'!I495,"NULL")</f>
        <v>75</v>
      </c>
      <c r="G495" s="30" t="n">
        <f aca="false">IF('Boletins Nuppa Site'!J495&lt;&gt;0,'Boletins Nuppa Site'!J495,"NULL")</f>
        <v>69</v>
      </c>
      <c r="H495" s="30" t="n">
        <f aca="false">IF('Boletins Nuppa Site'!K495&lt;&gt;0,'Boletins Nuppa Site'!K495,"NULL")</f>
        <v>75</v>
      </c>
      <c r="I495" s="0" t="str">
        <f aca="false">"INSERT INTO COTACAO (cot_id, cot_blt_id, cot_pap_id, cot_prc_comum, cot_prc_min, cot_prc_max, cot_prc_med, cot_prc_mediana) VALUES ("&amp;A495&amp;", "&amp;B495&amp;", "&amp;C495&amp;", "&amp;D495&amp;", "&amp;E495&amp;", "&amp;F495&amp;", "&amp;G495&amp;", "&amp;H495&amp;");"</f>
        <v>INSERT INTO COTACAO (cot_id, cot_blt_id, cot_pap_id, cot_prc_comum, cot_prc_min, cot_prc_max, cot_prc_med, cot_prc_mediana) VALUES (494, 49, 22, 75, 50, 75, 69, 75);</v>
      </c>
      <c r="J495" s="0" t="str">
        <f aca="false">"UPDATE COTACAO SET cot_id = "&amp;A495&amp;", cot_blt_id = "&amp;B495&amp;", cot_pap_id = "&amp;C495&amp;", cot_prc_comum = "&amp;D495&amp;", cot_prc_min = "&amp;E495&amp;", cot_prc_max = "&amp;F495&amp;", cot_prc_med = "&amp;G495&amp;", cot_prc_mediana = "&amp;H495&amp;" WHERE cot_id = "&amp;A495&amp;";"</f>
        <v>UPDATE COTACAO SET cot_id = 494, cot_blt_id = 49, cot_pap_id = 22, cot_prc_comum = 75, cot_prc_min = 50, cot_prc_max = 75, cot_prc_med = 69, cot_prc_mediana = 75 WHERE cot_id = 494;</v>
      </c>
    </row>
    <row r="496" customFormat="false" ht="14.25" hidden="false" customHeight="false" outlineLevel="0" collapsed="false">
      <c r="A496" s="0" t="n">
        <v>495</v>
      </c>
      <c r="B496" s="0" t="n">
        <f aca="false">IF('Boletins Nuppa Site'!A496&lt;&gt;0,'Boletins Nuppa Site'!A496,"NULL")</f>
        <v>49</v>
      </c>
      <c r="C496" s="0" t="n">
        <v>23</v>
      </c>
      <c r="D496" s="30" t="n">
        <f aca="false">IF('Boletins Nuppa Site'!G496&lt;&gt;0,'Boletins Nuppa Site'!G496,"NULL")</f>
        <v>45</v>
      </c>
      <c r="E496" s="30" t="n">
        <f aca="false">IF('Boletins Nuppa Site'!H496&lt;&gt;0,'Boletins Nuppa Site'!H496,"NULL")</f>
        <v>30</v>
      </c>
      <c r="F496" s="30" t="n">
        <f aca="false">IF('Boletins Nuppa Site'!I496&lt;&gt;0,'Boletins Nuppa Site'!I496,"NULL")</f>
        <v>50</v>
      </c>
      <c r="G496" s="30" t="n">
        <f aca="false">IF('Boletins Nuppa Site'!J496&lt;&gt;0,'Boletins Nuppa Site'!J496,"NULL")</f>
        <v>44</v>
      </c>
      <c r="H496" s="30" t="n">
        <f aca="false">IF('Boletins Nuppa Site'!K496&lt;&gt;0,'Boletins Nuppa Site'!K496,"NULL")</f>
        <v>45</v>
      </c>
      <c r="I496" s="0" t="str">
        <f aca="false">"INSERT INTO COTACAO (cot_id, cot_blt_id, cot_pap_id, cot_prc_comum, cot_prc_min, cot_prc_max, cot_prc_med, cot_prc_mediana) VALUES ("&amp;A496&amp;", "&amp;B496&amp;", "&amp;C496&amp;", "&amp;D496&amp;", "&amp;E496&amp;", "&amp;F496&amp;", "&amp;G496&amp;", "&amp;H496&amp;");"</f>
        <v>INSERT INTO COTACAO (cot_id, cot_blt_id, cot_pap_id, cot_prc_comum, cot_prc_min, cot_prc_max, cot_prc_med, cot_prc_mediana) VALUES (495, 49, 23, 45, 30, 50, 44, 45);</v>
      </c>
      <c r="J496" s="0" t="str">
        <f aca="false">"UPDATE COTACAO SET cot_id = "&amp;A496&amp;", cot_blt_id = "&amp;B496&amp;", cot_pap_id = "&amp;C496&amp;", cot_prc_comum = "&amp;D496&amp;", cot_prc_min = "&amp;E496&amp;", cot_prc_max = "&amp;F496&amp;", cot_prc_med = "&amp;G496&amp;", cot_prc_mediana = "&amp;H496&amp;" WHERE cot_id = "&amp;A496&amp;";"</f>
        <v>UPDATE COTACAO SET cot_id = 495, cot_blt_id = 49, cot_pap_id = 23, cot_prc_comum = 45, cot_prc_min = 30, cot_prc_max = 50, cot_prc_med = 44, cot_prc_mediana = 45 WHERE cot_id = 495;</v>
      </c>
    </row>
    <row r="497" customFormat="false" ht="14.25" hidden="false" customHeight="false" outlineLevel="0" collapsed="false">
      <c r="A497" s="0" t="n">
        <v>496</v>
      </c>
      <c r="B497" s="0" t="n">
        <f aca="false">IF('Boletins Nuppa Site'!A497&lt;&gt;0,'Boletins Nuppa Site'!A497,"NULL")</f>
        <v>49</v>
      </c>
      <c r="C497" s="0" t="n">
        <v>24</v>
      </c>
      <c r="D497" s="0" t="str">
        <f aca="false">IF('Boletins Nuppa Site'!G497&lt;&gt;0,'Boletins Nuppa Site'!G497,"NULL")</f>
        <v>NULL</v>
      </c>
      <c r="E497" s="30" t="n">
        <f aca="false">IF('Boletins Nuppa Site'!H497&lt;&gt;0,'Boletins Nuppa Site'!H497,"NULL")</f>
        <v>110</v>
      </c>
      <c r="F497" s="30" t="n">
        <f aca="false">IF('Boletins Nuppa Site'!I497&lt;&gt;0,'Boletins Nuppa Site'!I497,"NULL")</f>
        <v>110</v>
      </c>
      <c r="G497" s="30" t="n">
        <f aca="false">IF('Boletins Nuppa Site'!J497&lt;&gt;0,'Boletins Nuppa Site'!J497,"NULL")</f>
        <v>110</v>
      </c>
      <c r="H497" s="30" t="n">
        <f aca="false">IF('Boletins Nuppa Site'!K497&lt;&gt;0,'Boletins Nuppa Site'!K497,"NULL")</f>
        <v>110</v>
      </c>
      <c r="I497" s="0" t="str">
        <f aca="false">"INSERT INTO COTACAO (cot_id, cot_blt_id, cot_pap_id, cot_prc_comum, cot_prc_min, cot_prc_max, cot_prc_med, cot_prc_mediana) VALUES ("&amp;A497&amp;", "&amp;B497&amp;", "&amp;C497&amp;", "&amp;D497&amp;", "&amp;E497&amp;", "&amp;F497&amp;", "&amp;G497&amp;", "&amp;H497&amp;");"</f>
        <v>INSERT INTO COTACAO (cot_id, cot_blt_id, cot_pap_id, cot_prc_comum, cot_prc_min, cot_prc_max, cot_prc_med, cot_prc_mediana) VALUES (496, 49, 24, NULL, 110, 110, 110, 110);</v>
      </c>
      <c r="J497" s="0" t="str">
        <f aca="false">"UPDATE COTACAO SET cot_id = "&amp;A497&amp;", cot_blt_id = "&amp;B497&amp;", cot_pap_id = "&amp;C497&amp;", cot_prc_comum = "&amp;D497&amp;", cot_prc_min = "&amp;E497&amp;", cot_prc_max = "&amp;F497&amp;", cot_prc_med = "&amp;G497&amp;", cot_prc_mediana = "&amp;H497&amp;" WHERE cot_id = "&amp;A497&amp;";"</f>
        <v>UPDATE COTACAO SET cot_id = 496, cot_blt_id = 49, cot_pap_id = 24, cot_prc_comum = NULL, cot_prc_min = 110, cot_prc_max = 110, cot_prc_med = 110, cot_prc_mediana = 110 WHERE cot_id = 496;</v>
      </c>
    </row>
    <row r="498" customFormat="false" ht="14.25" hidden="false" customHeight="false" outlineLevel="0" collapsed="false">
      <c r="A498" s="0" t="n">
        <v>497</v>
      </c>
      <c r="B498" s="0" t="n">
        <f aca="false">IF('Boletins Nuppa Site'!A498&lt;&gt;0,'Boletins Nuppa Site'!A498,"NULL")</f>
        <v>49</v>
      </c>
      <c r="C498" s="0" t="n">
        <v>25</v>
      </c>
      <c r="D498" s="30" t="n">
        <f aca="false">IF('Boletins Nuppa Site'!G498&lt;&gt;0,'Boletins Nuppa Site'!G498,"NULL")</f>
        <v>130</v>
      </c>
      <c r="E498" s="30" t="n">
        <f aca="false">IF('Boletins Nuppa Site'!H498&lt;&gt;0,'Boletins Nuppa Site'!H498,"NULL")</f>
        <v>80</v>
      </c>
      <c r="F498" s="30" t="n">
        <f aca="false">IF('Boletins Nuppa Site'!I498&lt;&gt;0,'Boletins Nuppa Site'!I498,"NULL")</f>
        <v>150</v>
      </c>
      <c r="G498" s="0" t="str">
        <f aca="false">IF('Boletins Nuppa Site'!J498&lt;&gt;0,'Boletins Nuppa Site'!J498,"NULL")</f>
        <v>122.5</v>
      </c>
      <c r="H498" s="30" t="n">
        <f aca="false">IF('Boletins Nuppa Site'!K498&lt;&gt;0,'Boletins Nuppa Site'!K498,"NULL")</f>
        <v>130</v>
      </c>
      <c r="I498" s="0" t="str">
        <f aca="false">"INSERT INTO COTACAO (cot_id, cot_blt_id, cot_pap_id, cot_prc_comum, cot_prc_min, cot_prc_max, cot_prc_med, cot_prc_mediana) VALUES ("&amp;A498&amp;", "&amp;B498&amp;", "&amp;C498&amp;", "&amp;D498&amp;", "&amp;E498&amp;", "&amp;F498&amp;", "&amp;G498&amp;", "&amp;H498&amp;");"</f>
        <v>INSERT INTO COTACAO (cot_id, cot_blt_id, cot_pap_id, cot_prc_comum, cot_prc_min, cot_prc_max, cot_prc_med, cot_prc_mediana) VALUES (497, 49, 25, 130, 80, 150, 122.5, 130);</v>
      </c>
      <c r="J498" s="0" t="str">
        <f aca="false">"UPDATE COTACAO SET cot_id = "&amp;A498&amp;", cot_blt_id = "&amp;B498&amp;", cot_pap_id = "&amp;C498&amp;", cot_prc_comum = "&amp;D498&amp;", cot_prc_min = "&amp;E498&amp;", cot_prc_max = "&amp;F498&amp;", cot_prc_med = "&amp;G498&amp;", cot_prc_mediana = "&amp;H498&amp;" WHERE cot_id = "&amp;A498&amp;";"</f>
        <v>UPDATE COTACAO SET cot_id = 497, cot_blt_id = 49, cot_pap_id = 25, cot_prc_comum = 130, cot_prc_min = 80, cot_prc_max = 150, cot_prc_med = 122.5, cot_prc_mediana = 130 WHERE cot_id = 497;</v>
      </c>
    </row>
    <row r="499" customFormat="false" ht="14.25" hidden="false" customHeight="false" outlineLevel="0" collapsed="false">
      <c r="A499" s="0" t="n">
        <v>498</v>
      </c>
      <c r="B499" s="0" t="n">
        <f aca="false">IF('Boletins Nuppa Site'!A499&lt;&gt;0,'Boletins Nuppa Site'!A499,"NULL")</f>
        <v>49</v>
      </c>
      <c r="C499" s="0" t="n">
        <v>26</v>
      </c>
      <c r="D499" s="30" t="n">
        <f aca="false">IF('Boletins Nuppa Site'!G499&lt;&gt;0,'Boletins Nuppa Site'!G499,"NULL")</f>
        <v>140</v>
      </c>
      <c r="E499" s="30" t="n">
        <f aca="false">IF('Boletins Nuppa Site'!H499&lt;&gt;0,'Boletins Nuppa Site'!H499,"NULL")</f>
        <v>80</v>
      </c>
      <c r="F499" s="30" t="n">
        <f aca="false">IF('Boletins Nuppa Site'!I499&lt;&gt;0,'Boletins Nuppa Site'!I499,"NULL")</f>
        <v>170</v>
      </c>
      <c r="G499" s="30" t="n">
        <f aca="false">IF('Boletins Nuppa Site'!J499&lt;&gt;0,'Boletins Nuppa Site'!J499,"NULL")</f>
        <v>138</v>
      </c>
      <c r="H499" s="30" t="n">
        <f aca="false">IF('Boletins Nuppa Site'!K499&lt;&gt;0,'Boletins Nuppa Site'!K499,"NULL")</f>
        <v>140</v>
      </c>
      <c r="I499" s="0" t="str">
        <f aca="false">"INSERT INTO COTACAO (cot_id, cot_blt_id, cot_pap_id, cot_prc_comum, cot_prc_min, cot_prc_max, cot_prc_med, cot_prc_mediana) VALUES ("&amp;A499&amp;", "&amp;B499&amp;", "&amp;C499&amp;", "&amp;D499&amp;", "&amp;E499&amp;", "&amp;F499&amp;", "&amp;G499&amp;", "&amp;H499&amp;");"</f>
        <v>INSERT INTO COTACAO (cot_id, cot_blt_id, cot_pap_id, cot_prc_comum, cot_prc_min, cot_prc_max, cot_prc_med, cot_prc_mediana) VALUES (498, 49, 26, 140, 80, 170, 138, 140);</v>
      </c>
      <c r="J499" s="0" t="str">
        <f aca="false">"UPDATE COTACAO SET cot_id = "&amp;A499&amp;", cot_blt_id = "&amp;B499&amp;", cot_pap_id = "&amp;C499&amp;", cot_prc_comum = "&amp;D499&amp;", cot_prc_min = "&amp;E499&amp;", cot_prc_max = "&amp;F499&amp;", cot_prc_med = "&amp;G499&amp;", cot_prc_mediana = "&amp;H499&amp;" WHERE cot_id = "&amp;A499&amp;";"</f>
        <v>UPDATE COTACAO SET cot_id = 498, cot_blt_id = 49, cot_pap_id = 26, cot_prc_comum = 140, cot_prc_min = 80, cot_prc_max = 170, cot_prc_med = 138, cot_prc_mediana = 140 WHERE cot_id = 498;</v>
      </c>
    </row>
    <row r="500" customFormat="false" ht="14.25" hidden="false" customHeight="false" outlineLevel="0" collapsed="false">
      <c r="A500" s="0" t="n">
        <v>499</v>
      </c>
      <c r="B500" s="0" t="n">
        <f aca="false">IF('Boletins Nuppa Site'!A500&lt;&gt;0,'Boletins Nuppa Site'!A500,"NULL")</f>
        <v>49</v>
      </c>
      <c r="C500" s="0" t="n">
        <v>27</v>
      </c>
      <c r="D500" s="30" t="n">
        <f aca="false">IF('Boletins Nuppa Site'!G500&lt;&gt;0,'Boletins Nuppa Site'!G500,"NULL")</f>
        <v>60</v>
      </c>
      <c r="E500" s="30" t="n">
        <f aca="false">IF('Boletins Nuppa Site'!H500&lt;&gt;0,'Boletins Nuppa Site'!H500,"NULL")</f>
        <v>50</v>
      </c>
      <c r="F500" s="30" t="n">
        <f aca="false">IF('Boletins Nuppa Site'!I500&lt;&gt;0,'Boletins Nuppa Site'!I500,"NULL")</f>
        <v>70</v>
      </c>
      <c r="G500" s="30" t="n">
        <f aca="false">IF('Boletins Nuppa Site'!J500&lt;&gt;0,'Boletins Nuppa Site'!J500,"NULL")</f>
        <v>59</v>
      </c>
      <c r="H500" s="30" t="n">
        <f aca="false">IF('Boletins Nuppa Site'!K500&lt;&gt;0,'Boletins Nuppa Site'!K500,"NULL")</f>
        <v>60</v>
      </c>
      <c r="I500" s="0" t="str">
        <f aca="false">"INSERT INTO COTACAO (cot_id, cot_blt_id, cot_pap_id, cot_prc_comum, cot_prc_min, cot_prc_max, cot_prc_med, cot_prc_mediana) VALUES ("&amp;A500&amp;", "&amp;B500&amp;", "&amp;C500&amp;", "&amp;D500&amp;", "&amp;E500&amp;", "&amp;F500&amp;", "&amp;G500&amp;", "&amp;H500&amp;");"</f>
        <v>INSERT INTO COTACAO (cot_id, cot_blt_id, cot_pap_id, cot_prc_comum, cot_prc_min, cot_prc_max, cot_prc_med, cot_prc_mediana) VALUES (499, 49, 27, 60, 50, 70, 59, 60);</v>
      </c>
      <c r="J500" s="0" t="str">
        <f aca="false">"UPDATE COTACAO SET cot_id = "&amp;A500&amp;", cot_blt_id = "&amp;B500&amp;", cot_pap_id = "&amp;C500&amp;", cot_prc_comum = "&amp;D500&amp;", cot_prc_min = "&amp;E500&amp;", cot_prc_max = "&amp;F500&amp;", cot_prc_med = "&amp;G500&amp;", cot_prc_mediana = "&amp;H500&amp;" WHERE cot_id = "&amp;A500&amp;";"</f>
        <v>UPDATE COTACAO SET cot_id = 499, cot_blt_id = 49, cot_pap_id = 27, cot_prc_comum = 60, cot_prc_min = 50, cot_prc_max = 70, cot_prc_med = 59, cot_prc_mediana = 60 WHERE cot_id = 499;</v>
      </c>
    </row>
    <row r="501" customFormat="false" ht="14.25" hidden="false" customHeight="false" outlineLevel="0" collapsed="false">
      <c r="A501" s="0" t="n">
        <v>500</v>
      </c>
      <c r="B501" s="0" t="n">
        <f aca="false">IF('Boletins Nuppa Site'!A501&lt;&gt;0,'Boletins Nuppa Site'!A501,"NULL")</f>
        <v>49</v>
      </c>
      <c r="C501" s="0" t="n">
        <v>28</v>
      </c>
      <c r="D501" s="0" t="str">
        <f aca="false">IF('Boletins Nuppa Site'!G501&lt;&gt;0,'Boletins Nuppa Site'!G501,"NULL")</f>
        <v>NULL</v>
      </c>
      <c r="E501" s="30" t="n">
        <f aca="false">IF('Boletins Nuppa Site'!H501&lt;&gt;0,'Boletins Nuppa Site'!H501,"NULL")</f>
        <v>80</v>
      </c>
      <c r="F501" s="30" t="n">
        <f aca="false">IF('Boletins Nuppa Site'!I501&lt;&gt;0,'Boletins Nuppa Site'!I501,"NULL")</f>
        <v>120</v>
      </c>
      <c r="G501" s="0" t="str">
        <f aca="false">IF('Boletins Nuppa Site'!J501&lt;&gt;0,'Boletins Nuppa Site'!J501,"NULL")</f>
        <v>96.67</v>
      </c>
      <c r="H501" s="30" t="n">
        <f aca="false">IF('Boletins Nuppa Site'!K501&lt;&gt;0,'Boletins Nuppa Site'!K501,"NULL")</f>
        <v>90</v>
      </c>
      <c r="I501" s="0" t="str">
        <f aca="false">"INSERT INTO COTACAO (cot_id, cot_blt_id, cot_pap_id, cot_prc_comum, cot_prc_min, cot_prc_max, cot_prc_med, cot_prc_mediana) VALUES ("&amp;A501&amp;", "&amp;B501&amp;", "&amp;C501&amp;", "&amp;D501&amp;", "&amp;E501&amp;", "&amp;F501&amp;", "&amp;G501&amp;", "&amp;H501&amp;");"</f>
        <v>INSERT INTO COTACAO (cot_id, cot_blt_id, cot_pap_id, cot_prc_comum, cot_prc_min, cot_prc_max, cot_prc_med, cot_prc_mediana) VALUES (500, 49, 28, NULL, 80, 120, 96.67, 90);</v>
      </c>
      <c r="J501" s="0" t="str">
        <f aca="false">"UPDATE COTACAO SET cot_id = "&amp;A501&amp;", cot_blt_id = "&amp;B501&amp;", cot_pap_id = "&amp;C501&amp;", cot_prc_comum = "&amp;D501&amp;", cot_prc_min = "&amp;E501&amp;", cot_prc_max = "&amp;F501&amp;", cot_prc_med = "&amp;G501&amp;", cot_prc_mediana = "&amp;H501&amp;" WHERE cot_id = "&amp;A501&amp;";"</f>
        <v>UPDATE COTACAO SET cot_id = 500, cot_blt_id = 49, cot_pap_id = 28, cot_prc_comum = NULL, cot_prc_min = 80, cot_prc_max = 120, cot_prc_med = 96.67, cot_prc_mediana = 90 WHERE cot_id = 500;</v>
      </c>
    </row>
    <row r="502" customFormat="false" ht="14.25" hidden="false" customHeight="false" outlineLevel="0" collapsed="false">
      <c r="A502" s="0" t="n">
        <v>501</v>
      </c>
      <c r="B502" s="0" t="n">
        <f aca="false">IF('Boletins Nuppa Site'!A502&lt;&gt;0,'Boletins Nuppa Site'!A502,"NULL")</f>
        <v>49</v>
      </c>
      <c r="C502" s="0" t="n">
        <v>29</v>
      </c>
      <c r="D502" s="0" t="str">
        <f aca="false">IF('Boletins Nuppa Site'!G502&lt;&gt;0,'Boletins Nuppa Site'!G502,"NULL")</f>
        <v>NULL</v>
      </c>
      <c r="E502" s="0" t="str">
        <f aca="false">IF('Boletins Nuppa Site'!H502&lt;&gt;0,'Boletins Nuppa Site'!H502,"NULL")</f>
        <v>NULL</v>
      </c>
      <c r="F502" s="0" t="str">
        <f aca="false">IF('Boletins Nuppa Site'!I502&lt;&gt;0,'Boletins Nuppa Site'!I502,"NULL")</f>
        <v>NULL</v>
      </c>
      <c r="G502" s="0" t="str">
        <f aca="false">IF('Boletins Nuppa Site'!J502&lt;&gt;0,'Boletins Nuppa Site'!J502,"NULL")</f>
        <v>NULL</v>
      </c>
      <c r="H502" s="0" t="str">
        <f aca="false">IF('Boletins Nuppa Site'!K502&lt;&gt;0,'Boletins Nuppa Site'!K502,"NULL")</f>
        <v>NULL</v>
      </c>
      <c r="I502" s="0" t="str">
        <f aca="false">"INSERT INTO COTACAO (cot_id, cot_blt_id, cot_pap_id, cot_prc_comum, cot_prc_min, cot_prc_max, cot_prc_med, cot_prc_mediana) VALUES ("&amp;A502&amp;", "&amp;B502&amp;", "&amp;C502&amp;", "&amp;D502&amp;", "&amp;E502&amp;", "&amp;F502&amp;", "&amp;G502&amp;", "&amp;H502&amp;");"</f>
        <v>INSERT INTO COTACAO (cot_id, cot_blt_id, cot_pap_id, cot_prc_comum, cot_prc_min, cot_prc_max, cot_prc_med, cot_prc_mediana) VALUES (501, 49, 29, NULL, NULL, NULL, NULL, NULL);</v>
      </c>
      <c r="J502" s="0" t="str">
        <f aca="false">"UPDATE COTACAO SET cot_id = "&amp;A502&amp;", cot_blt_id = "&amp;B502&amp;", cot_pap_id = "&amp;C502&amp;", cot_prc_comum = "&amp;D502&amp;", cot_prc_min = "&amp;E502&amp;", cot_prc_max = "&amp;F502&amp;", cot_prc_med = "&amp;G502&amp;", cot_prc_mediana = "&amp;H502&amp;" WHERE cot_id = "&amp;A502&amp;";"</f>
        <v>UPDATE COTACAO SET cot_id = 501, cot_blt_id = 49, cot_pap_id = 29, cot_prc_comum = NULL, cot_prc_min = NULL, cot_prc_max = NULL, cot_prc_med = NULL, cot_prc_mediana = NULL WHERE cot_id = 501;</v>
      </c>
    </row>
    <row r="503" customFormat="false" ht="14.25" hidden="false" customHeight="false" outlineLevel="0" collapsed="false">
      <c r="A503" s="0" t="n">
        <v>502</v>
      </c>
      <c r="B503" s="0" t="n">
        <f aca="false">IF('Boletins Nuppa Site'!A503&lt;&gt;0,'Boletins Nuppa Site'!A503,"NULL")</f>
        <v>49</v>
      </c>
      <c r="C503" s="0" t="n">
        <v>30</v>
      </c>
      <c r="D503" s="30" t="n">
        <f aca="false">IF('Boletins Nuppa Site'!G503&lt;&gt;0,'Boletins Nuppa Site'!G503,"NULL")</f>
        <v>70</v>
      </c>
      <c r="E503" s="30" t="n">
        <f aca="false">IF('Boletins Nuppa Site'!H503&lt;&gt;0,'Boletins Nuppa Site'!H503,"NULL")</f>
        <v>60</v>
      </c>
      <c r="F503" s="30" t="n">
        <f aca="false">IF('Boletins Nuppa Site'!I503&lt;&gt;0,'Boletins Nuppa Site'!I503,"NULL")</f>
        <v>80</v>
      </c>
      <c r="G503" s="30" t="n">
        <f aca="false">IF('Boletins Nuppa Site'!J503&lt;&gt;0,'Boletins Nuppa Site'!J503,"NULL")</f>
        <v>70</v>
      </c>
      <c r="H503" s="30" t="n">
        <f aca="false">IF('Boletins Nuppa Site'!K503&lt;&gt;0,'Boletins Nuppa Site'!K503,"NULL")</f>
        <v>70</v>
      </c>
      <c r="I503" s="0" t="str">
        <f aca="false">"INSERT INTO COTACAO (cot_id, cot_blt_id, cot_pap_id, cot_prc_comum, cot_prc_min, cot_prc_max, cot_prc_med, cot_prc_mediana) VALUES ("&amp;A503&amp;", "&amp;B503&amp;", "&amp;C503&amp;", "&amp;D503&amp;", "&amp;E503&amp;", "&amp;F503&amp;", "&amp;G503&amp;", "&amp;H503&amp;");"</f>
        <v>INSERT INTO COTACAO (cot_id, cot_blt_id, cot_pap_id, cot_prc_comum, cot_prc_min, cot_prc_max, cot_prc_med, cot_prc_mediana) VALUES (502, 49, 30, 70, 60, 80, 70, 70);</v>
      </c>
      <c r="J503" s="0" t="str">
        <f aca="false">"UPDATE COTACAO SET cot_id = "&amp;A503&amp;", cot_blt_id = "&amp;B503&amp;", cot_pap_id = "&amp;C503&amp;", cot_prc_comum = "&amp;D503&amp;", cot_prc_min = "&amp;E503&amp;", cot_prc_max = "&amp;F503&amp;", cot_prc_med = "&amp;G503&amp;", cot_prc_mediana = "&amp;H503&amp;" WHERE cot_id = "&amp;A503&amp;";"</f>
        <v>UPDATE COTACAO SET cot_id = 502, cot_blt_id = 49, cot_pap_id = 30, cot_prc_comum = 70, cot_prc_min = 60, cot_prc_max = 80, cot_prc_med = 70, cot_prc_mediana = 70 WHERE cot_id = 502;</v>
      </c>
    </row>
    <row r="504" customFormat="false" ht="14.25" hidden="false" customHeight="false" outlineLevel="0" collapsed="false">
      <c r="A504" s="0" t="n">
        <v>503</v>
      </c>
      <c r="B504" s="0" t="n">
        <f aca="false">IF('Boletins Nuppa Site'!A504&lt;&gt;0,'Boletins Nuppa Site'!A504,"NULL")</f>
        <v>49</v>
      </c>
      <c r="C504" s="0" t="n">
        <v>31</v>
      </c>
      <c r="D504" s="30" t="n">
        <f aca="false">IF('Boletins Nuppa Site'!G504&lt;&gt;0,'Boletins Nuppa Site'!G504,"NULL")</f>
        <v>90</v>
      </c>
      <c r="E504" s="30" t="n">
        <f aca="false">IF('Boletins Nuppa Site'!H504&lt;&gt;0,'Boletins Nuppa Site'!H504,"NULL")</f>
        <v>80</v>
      </c>
      <c r="F504" s="30" t="n">
        <f aca="false">IF('Boletins Nuppa Site'!I504&lt;&gt;0,'Boletins Nuppa Site'!I504,"NULL")</f>
        <v>100</v>
      </c>
      <c r="G504" s="30" t="n">
        <f aca="false">IF('Boletins Nuppa Site'!J504&lt;&gt;0,'Boletins Nuppa Site'!J504,"NULL")</f>
        <v>89</v>
      </c>
      <c r="H504" s="30" t="n">
        <f aca="false">IF('Boletins Nuppa Site'!K504&lt;&gt;0,'Boletins Nuppa Site'!K504,"NULL")</f>
        <v>90</v>
      </c>
      <c r="I504" s="0" t="str">
        <f aca="false">"INSERT INTO COTACAO (cot_id, cot_blt_id, cot_pap_id, cot_prc_comum, cot_prc_min, cot_prc_max, cot_prc_med, cot_prc_mediana) VALUES ("&amp;A504&amp;", "&amp;B504&amp;", "&amp;C504&amp;", "&amp;D504&amp;", "&amp;E504&amp;", "&amp;F504&amp;", "&amp;G504&amp;", "&amp;H504&amp;");"</f>
        <v>INSERT INTO COTACAO (cot_id, cot_blt_id, cot_pap_id, cot_prc_comum, cot_prc_min, cot_prc_max, cot_prc_med, cot_prc_mediana) VALUES (503, 49, 31, 90, 80, 100, 89, 90);</v>
      </c>
      <c r="J504" s="0" t="str">
        <f aca="false">"UPDATE COTACAO SET cot_id = "&amp;A504&amp;", cot_blt_id = "&amp;B504&amp;", cot_pap_id = "&amp;C504&amp;", cot_prc_comum = "&amp;D504&amp;", cot_prc_min = "&amp;E504&amp;", cot_prc_max = "&amp;F504&amp;", cot_prc_med = "&amp;G504&amp;", cot_prc_mediana = "&amp;H504&amp;" WHERE cot_id = "&amp;A504&amp;";"</f>
        <v>UPDATE COTACAO SET cot_id = 503, cot_blt_id = 49, cot_pap_id = 31, cot_prc_comum = 90, cot_prc_min = 80, cot_prc_max = 100, cot_prc_med = 89, cot_prc_mediana = 90 WHERE cot_id = 503;</v>
      </c>
    </row>
    <row r="505" customFormat="false" ht="14.25" hidden="false" customHeight="false" outlineLevel="0" collapsed="false">
      <c r="A505" s="0" t="n">
        <v>504</v>
      </c>
      <c r="B505" s="0" t="n">
        <f aca="false">IF('Boletins Nuppa Site'!A505&lt;&gt;0,'Boletins Nuppa Site'!A505,"NULL")</f>
        <v>49</v>
      </c>
      <c r="C505" s="0" t="n">
        <v>32</v>
      </c>
      <c r="D505" s="30" t="n">
        <f aca="false">IF('Boletins Nuppa Site'!G505&lt;&gt;0,'Boletins Nuppa Site'!G505,"NULL")</f>
        <v>70</v>
      </c>
      <c r="E505" s="30" t="n">
        <f aca="false">IF('Boletins Nuppa Site'!H505&lt;&gt;0,'Boletins Nuppa Site'!H505,"NULL")</f>
        <v>45</v>
      </c>
      <c r="F505" s="30" t="n">
        <f aca="false">IF('Boletins Nuppa Site'!I505&lt;&gt;0,'Boletins Nuppa Site'!I505,"NULL")</f>
        <v>100</v>
      </c>
      <c r="G505" s="0" t="str">
        <f aca="false">IF('Boletins Nuppa Site'!J505&lt;&gt;0,'Boletins Nuppa Site'!J505,"NULL")</f>
        <v>68.6</v>
      </c>
      <c r="H505" s="30" t="n">
        <f aca="false">IF('Boletins Nuppa Site'!K505&lt;&gt;0,'Boletins Nuppa Site'!K505,"NULL")</f>
        <v>70</v>
      </c>
      <c r="I505" s="0" t="str">
        <f aca="false">"INSERT INTO COTACAO (cot_id, cot_blt_id, cot_pap_id, cot_prc_comum, cot_prc_min, cot_prc_max, cot_prc_med, cot_prc_mediana) VALUES ("&amp;A505&amp;", "&amp;B505&amp;", "&amp;C505&amp;", "&amp;D505&amp;", "&amp;E505&amp;", "&amp;F505&amp;", "&amp;G505&amp;", "&amp;H505&amp;");"</f>
        <v>INSERT INTO COTACAO (cot_id, cot_blt_id, cot_pap_id, cot_prc_comum, cot_prc_min, cot_prc_max, cot_prc_med, cot_prc_mediana) VALUES (504, 49, 32, 70, 45, 100, 68.6, 70);</v>
      </c>
      <c r="J505" s="0" t="str">
        <f aca="false">"UPDATE COTACAO SET cot_id = "&amp;A505&amp;", cot_blt_id = "&amp;B505&amp;", cot_pap_id = "&amp;C505&amp;", cot_prc_comum = "&amp;D505&amp;", cot_prc_min = "&amp;E505&amp;", cot_prc_max = "&amp;F505&amp;", cot_prc_med = "&amp;G505&amp;", cot_prc_mediana = "&amp;H505&amp;" WHERE cot_id = "&amp;A505&amp;";"</f>
        <v>UPDATE COTACAO SET cot_id = 504, cot_blt_id = 49, cot_pap_id = 32, cot_prc_comum = 70, cot_prc_min = 45, cot_prc_max = 100, cot_prc_med = 68.6, cot_prc_mediana = 70 WHERE cot_id = 504;</v>
      </c>
    </row>
    <row r="506" customFormat="false" ht="14.25" hidden="false" customHeight="false" outlineLevel="0" collapsed="false">
      <c r="A506" s="0" t="n">
        <v>505</v>
      </c>
      <c r="B506" s="0" t="n">
        <f aca="false">IF('Boletins Nuppa Site'!A506&lt;&gt;0,'Boletins Nuppa Site'!A506,"NULL")</f>
        <v>49</v>
      </c>
      <c r="C506" s="0" t="n">
        <v>33</v>
      </c>
      <c r="D506" s="30" t="n">
        <f aca="false">IF('Boletins Nuppa Site'!G506&lt;&gt;0,'Boletins Nuppa Site'!G506,"NULL")</f>
        <v>120</v>
      </c>
      <c r="E506" s="30" t="n">
        <f aca="false">IF('Boletins Nuppa Site'!H506&lt;&gt;0,'Boletins Nuppa Site'!H506,"NULL")</f>
        <v>100</v>
      </c>
      <c r="F506" s="30" t="n">
        <f aca="false">IF('Boletins Nuppa Site'!I506&lt;&gt;0,'Boletins Nuppa Site'!I506,"NULL")</f>
        <v>120</v>
      </c>
      <c r="G506" s="30" t="n">
        <f aca="false">IF('Boletins Nuppa Site'!J506&lt;&gt;0,'Boletins Nuppa Site'!J506,"NULL")</f>
        <v>112</v>
      </c>
      <c r="H506" s="30" t="n">
        <f aca="false">IF('Boletins Nuppa Site'!K506&lt;&gt;0,'Boletins Nuppa Site'!K506,"NULL")</f>
        <v>120</v>
      </c>
      <c r="I506" s="0" t="str">
        <f aca="false">"INSERT INTO COTACAO (cot_id, cot_blt_id, cot_pap_id, cot_prc_comum, cot_prc_min, cot_prc_max, cot_prc_med, cot_prc_mediana) VALUES ("&amp;A506&amp;", "&amp;B506&amp;", "&amp;C506&amp;", "&amp;D506&amp;", "&amp;E506&amp;", "&amp;F506&amp;", "&amp;G506&amp;", "&amp;H506&amp;");"</f>
        <v>INSERT INTO COTACAO (cot_id, cot_blt_id, cot_pap_id, cot_prc_comum, cot_prc_min, cot_prc_max, cot_prc_med, cot_prc_mediana) VALUES (505, 49, 33, 120, 100, 120, 112, 120);</v>
      </c>
      <c r="J506" s="0" t="str">
        <f aca="false">"UPDATE COTACAO SET cot_id = "&amp;A506&amp;", cot_blt_id = "&amp;B506&amp;", cot_pap_id = "&amp;C506&amp;", cot_prc_comum = "&amp;D506&amp;", cot_prc_min = "&amp;E506&amp;", cot_prc_max = "&amp;F506&amp;", cot_prc_med = "&amp;G506&amp;", cot_prc_mediana = "&amp;H506&amp;" WHERE cot_id = "&amp;A506&amp;";"</f>
        <v>UPDATE COTACAO SET cot_id = 505, cot_blt_id = 49, cot_pap_id = 33, cot_prc_comum = 120, cot_prc_min = 100, cot_prc_max = 120, cot_prc_med = 112, cot_prc_mediana = 120 WHERE cot_id = 505;</v>
      </c>
    </row>
    <row r="507" customFormat="false" ht="14.25" hidden="false" customHeight="false" outlineLevel="0" collapsed="false">
      <c r="A507" s="0" t="n">
        <v>506</v>
      </c>
      <c r="B507" s="0" t="n">
        <f aca="false">IF('Boletins Nuppa Site'!A507&lt;&gt;0,'Boletins Nuppa Site'!A507,"NULL")</f>
        <v>49</v>
      </c>
      <c r="C507" s="0" t="n">
        <v>34</v>
      </c>
      <c r="D507" s="0" t="str">
        <f aca="false">IF('Boletins Nuppa Site'!G507&lt;&gt;0,'Boletins Nuppa Site'!G507,"NULL")</f>
        <v>NULL</v>
      </c>
      <c r="E507" s="30" t="n">
        <f aca="false">IF('Boletins Nuppa Site'!H507&lt;&gt;0,'Boletins Nuppa Site'!H507,"NULL")</f>
        <v>65</v>
      </c>
      <c r="F507" s="30" t="n">
        <f aca="false">IF('Boletins Nuppa Site'!I507&lt;&gt;0,'Boletins Nuppa Site'!I507,"NULL")</f>
        <v>130</v>
      </c>
      <c r="G507" s="0" t="str">
        <f aca="false">IF('Boletins Nuppa Site'!J507&lt;&gt;0,'Boletins Nuppa Site'!J507,"NULL")</f>
        <v>91.25</v>
      </c>
      <c r="H507" s="30" t="n">
        <f aca="false">IF('Boletins Nuppa Site'!K507&lt;&gt;0,'Boletins Nuppa Site'!K507,"NULL")</f>
        <v>85</v>
      </c>
      <c r="I507" s="0" t="str">
        <f aca="false">"INSERT INTO COTACAO (cot_id, cot_blt_id, cot_pap_id, cot_prc_comum, cot_prc_min, cot_prc_max, cot_prc_med, cot_prc_mediana) VALUES ("&amp;A507&amp;", "&amp;B507&amp;", "&amp;C507&amp;", "&amp;D507&amp;", "&amp;E507&amp;", "&amp;F507&amp;", "&amp;G507&amp;", "&amp;H507&amp;");"</f>
        <v>INSERT INTO COTACAO (cot_id, cot_blt_id, cot_pap_id, cot_prc_comum, cot_prc_min, cot_prc_max, cot_prc_med, cot_prc_mediana) VALUES (506, 49, 34, NULL, 65, 130, 91.25, 85);</v>
      </c>
      <c r="J507" s="0" t="str">
        <f aca="false">"UPDATE COTACAO SET cot_id = "&amp;A507&amp;", cot_blt_id = "&amp;B507&amp;", cot_pap_id = "&amp;C507&amp;", cot_prc_comum = "&amp;D507&amp;", cot_prc_min = "&amp;E507&amp;", cot_prc_max = "&amp;F507&amp;", cot_prc_med = "&amp;G507&amp;", cot_prc_mediana = "&amp;H507&amp;" WHERE cot_id = "&amp;A507&amp;";"</f>
        <v>UPDATE COTACAO SET cot_id = 506, cot_blt_id = 49, cot_pap_id = 34, cot_prc_comum = NULL, cot_prc_min = 65, cot_prc_max = 130, cot_prc_med = 91.25, cot_prc_mediana = 85 WHERE cot_id = 506;</v>
      </c>
    </row>
    <row r="508" customFormat="false" ht="14.25" hidden="false" customHeight="false" outlineLevel="0" collapsed="false">
      <c r="A508" s="0" t="n">
        <v>507</v>
      </c>
      <c r="B508" s="0" t="n">
        <f aca="false">IF('Boletins Nuppa Site'!A508&lt;&gt;0,'Boletins Nuppa Site'!A508,"NULL")</f>
        <v>49</v>
      </c>
      <c r="C508" s="0" t="n">
        <v>35</v>
      </c>
      <c r="D508" s="30" t="n">
        <f aca="false">IF('Boletins Nuppa Site'!G508&lt;&gt;0,'Boletins Nuppa Site'!G508,"NULL")</f>
        <v>130</v>
      </c>
      <c r="E508" s="30" t="n">
        <f aca="false">IF('Boletins Nuppa Site'!H508&lt;&gt;0,'Boletins Nuppa Site'!H508,"NULL")</f>
        <v>130</v>
      </c>
      <c r="F508" s="30" t="n">
        <f aca="false">IF('Boletins Nuppa Site'!I508&lt;&gt;0,'Boletins Nuppa Site'!I508,"NULL")</f>
        <v>150</v>
      </c>
      <c r="G508" s="0" t="str">
        <f aca="false">IF('Boletins Nuppa Site'!J508&lt;&gt;0,'Boletins Nuppa Site'!J508,"NULL")</f>
        <v>136.67</v>
      </c>
      <c r="H508" s="30" t="n">
        <f aca="false">IF('Boletins Nuppa Site'!K508&lt;&gt;0,'Boletins Nuppa Site'!K508,"NULL")</f>
        <v>130</v>
      </c>
      <c r="I508" s="0" t="str">
        <f aca="false">"INSERT INTO COTACAO (cot_id, cot_blt_id, cot_pap_id, cot_prc_comum, cot_prc_min, cot_prc_max, cot_prc_med, cot_prc_mediana) VALUES ("&amp;A508&amp;", "&amp;B508&amp;", "&amp;C508&amp;", "&amp;D508&amp;", "&amp;E508&amp;", "&amp;F508&amp;", "&amp;G508&amp;", "&amp;H508&amp;");"</f>
        <v>INSERT INTO COTACAO (cot_id, cot_blt_id, cot_pap_id, cot_prc_comum, cot_prc_min, cot_prc_max, cot_prc_med, cot_prc_mediana) VALUES (507, 49, 35, 130, 130, 150, 136.67, 130);</v>
      </c>
      <c r="J508" s="0" t="str">
        <f aca="false">"UPDATE COTACAO SET cot_id = "&amp;A508&amp;", cot_blt_id = "&amp;B508&amp;", cot_pap_id = "&amp;C508&amp;", cot_prc_comum = "&amp;D508&amp;", cot_prc_min = "&amp;E508&amp;", cot_prc_max = "&amp;F508&amp;", cot_prc_med = "&amp;G508&amp;", cot_prc_mediana = "&amp;H508&amp;" WHERE cot_id = "&amp;A508&amp;";"</f>
        <v>UPDATE COTACAO SET cot_id = 507, cot_blt_id = 49, cot_pap_id = 35, cot_prc_comum = 130, cot_prc_min = 130, cot_prc_max = 150, cot_prc_med = 136.67, cot_prc_mediana = 130 WHERE cot_id = 507;</v>
      </c>
    </row>
    <row r="509" customFormat="false" ht="14.25" hidden="false" customHeight="false" outlineLevel="0" collapsed="false">
      <c r="A509" s="0" t="n">
        <v>508</v>
      </c>
      <c r="B509" s="0" t="n">
        <f aca="false">IF('Boletins Nuppa Site'!A509&lt;&gt;0,'Boletins Nuppa Site'!A509,"NULL")</f>
        <v>49</v>
      </c>
      <c r="C509" s="0" t="n">
        <v>36</v>
      </c>
      <c r="D509" s="0" t="str">
        <f aca="false">IF('Boletins Nuppa Site'!G509&lt;&gt;0,'Boletins Nuppa Site'!G509,"NULL")</f>
        <v>NULL</v>
      </c>
      <c r="E509" s="30" t="n">
        <f aca="false">IF('Boletins Nuppa Site'!H509&lt;&gt;0,'Boletins Nuppa Site'!H509,"NULL")</f>
        <v>65</v>
      </c>
      <c r="F509" s="30" t="n">
        <f aca="false">IF('Boletins Nuppa Site'!I509&lt;&gt;0,'Boletins Nuppa Site'!I509,"NULL")</f>
        <v>65</v>
      </c>
      <c r="G509" s="30" t="n">
        <f aca="false">IF('Boletins Nuppa Site'!J509&lt;&gt;0,'Boletins Nuppa Site'!J509,"NULL")</f>
        <v>65</v>
      </c>
      <c r="H509" s="30" t="n">
        <f aca="false">IF('Boletins Nuppa Site'!K509&lt;&gt;0,'Boletins Nuppa Site'!K509,"NULL")</f>
        <v>65</v>
      </c>
      <c r="I509" s="0" t="str">
        <f aca="false">"INSERT INTO COTACAO (cot_id, cot_blt_id, cot_pap_id, cot_prc_comum, cot_prc_min, cot_prc_max, cot_prc_med, cot_prc_mediana) VALUES ("&amp;A509&amp;", "&amp;B509&amp;", "&amp;C509&amp;", "&amp;D509&amp;", "&amp;E509&amp;", "&amp;F509&amp;", "&amp;G509&amp;", "&amp;H509&amp;");"</f>
        <v>INSERT INTO COTACAO (cot_id, cot_blt_id, cot_pap_id, cot_prc_comum, cot_prc_min, cot_prc_max, cot_prc_med, cot_prc_mediana) VALUES (508, 49, 36, NULL, 65, 65, 65, 65);</v>
      </c>
      <c r="J509" s="0" t="str">
        <f aca="false">"UPDATE COTACAO SET cot_id = "&amp;A509&amp;", cot_blt_id = "&amp;B509&amp;", cot_pap_id = "&amp;C509&amp;", cot_prc_comum = "&amp;D509&amp;", cot_prc_min = "&amp;E509&amp;", cot_prc_max = "&amp;F509&amp;", cot_prc_med = "&amp;G509&amp;", cot_prc_mediana = "&amp;H509&amp;" WHERE cot_id = "&amp;A509&amp;";"</f>
        <v>UPDATE COTACAO SET cot_id = 508, cot_blt_id = 49, cot_pap_id = 36, cot_prc_comum = NULL, cot_prc_min = 65, cot_prc_max = 65, cot_prc_med = 65, cot_prc_mediana = 65 WHERE cot_id = 508;</v>
      </c>
    </row>
    <row r="510" customFormat="false" ht="14.25" hidden="false" customHeight="false" outlineLevel="0" collapsed="false">
      <c r="A510" s="0" t="n">
        <v>509</v>
      </c>
      <c r="B510" s="0" t="n">
        <f aca="false">IF('Boletins Nuppa Site'!A510&lt;&gt;0,'Boletins Nuppa Site'!A510,"NULL")</f>
        <v>49</v>
      </c>
      <c r="C510" s="0" t="n">
        <v>37</v>
      </c>
      <c r="D510" s="0" t="str">
        <f aca="false">IF('Boletins Nuppa Site'!G510&lt;&gt;0,'Boletins Nuppa Site'!G510,"NULL")</f>
        <v>NULL</v>
      </c>
      <c r="E510" s="30" t="n">
        <f aca="false">IF('Boletins Nuppa Site'!H510&lt;&gt;0,'Boletins Nuppa Site'!H510,"NULL")</f>
        <v>75</v>
      </c>
      <c r="F510" s="30" t="n">
        <f aca="false">IF('Boletins Nuppa Site'!I510&lt;&gt;0,'Boletins Nuppa Site'!I510,"NULL")</f>
        <v>124</v>
      </c>
      <c r="G510" s="0" t="str">
        <f aca="false">IF('Boletins Nuppa Site'!J510&lt;&gt;0,'Boletins Nuppa Site'!J510,"NULL")</f>
        <v>99.5</v>
      </c>
      <c r="H510" s="0" t="str">
        <f aca="false">IF('Boletins Nuppa Site'!K510&lt;&gt;0,'Boletins Nuppa Site'!K510,"NULL")</f>
        <v>99.5</v>
      </c>
      <c r="I510" s="0" t="str">
        <f aca="false">"INSERT INTO COTACAO (cot_id, cot_blt_id, cot_pap_id, cot_prc_comum, cot_prc_min, cot_prc_max, cot_prc_med, cot_prc_mediana) VALUES ("&amp;A510&amp;", "&amp;B510&amp;", "&amp;C510&amp;", "&amp;D510&amp;", "&amp;E510&amp;", "&amp;F510&amp;", "&amp;G510&amp;", "&amp;H510&amp;");"</f>
        <v>INSERT INTO COTACAO (cot_id, cot_blt_id, cot_pap_id, cot_prc_comum, cot_prc_min, cot_prc_max, cot_prc_med, cot_prc_mediana) VALUES (509, 49, 37, NULL, 75, 124, 99.5, 99.5);</v>
      </c>
      <c r="J510" s="0" t="str">
        <f aca="false">"UPDATE COTACAO SET cot_id = "&amp;A510&amp;", cot_blt_id = "&amp;B510&amp;", cot_pap_id = "&amp;C510&amp;", cot_prc_comum = "&amp;D510&amp;", cot_prc_min = "&amp;E510&amp;", cot_prc_max = "&amp;F510&amp;", cot_prc_med = "&amp;G510&amp;", cot_prc_mediana = "&amp;H510&amp;" WHERE cot_id = "&amp;A510&amp;";"</f>
        <v>UPDATE COTACAO SET cot_id = 509, cot_blt_id = 49, cot_pap_id = 37, cot_prc_comum = NULL, cot_prc_min = 75, cot_prc_max = 124, cot_prc_med = 99.5, cot_prc_mediana = 99.5 WHERE cot_id = 509;</v>
      </c>
    </row>
    <row r="511" customFormat="false" ht="14.25" hidden="false" customHeight="false" outlineLevel="0" collapsed="false">
      <c r="A511" s="0" t="n">
        <v>510</v>
      </c>
      <c r="B511" s="0" t="n">
        <f aca="false">IF('Boletins Nuppa Site'!A511&lt;&gt;0,'Boletins Nuppa Site'!A511,"NULL")</f>
        <v>49</v>
      </c>
      <c r="C511" s="0" t="n">
        <v>38</v>
      </c>
      <c r="D511" s="0" t="str">
        <f aca="false">IF('Boletins Nuppa Site'!G511&lt;&gt;0,'Boletins Nuppa Site'!G511,"NULL")</f>
        <v>NULL</v>
      </c>
      <c r="E511" s="30" t="n">
        <f aca="false">IF('Boletins Nuppa Site'!H511&lt;&gt;0,'Boletins Nuppa Site'!H511,"NULL")</f>
        <v>45</v>
      </c>
      <c r="F511" s="30" t="n">
        <f aca="false">IF('Boletins Nuppa Site'!I511&lt;&gt;0,'Boletins Nuppa Site'!I511,"NULL")</f>
        <v>70</v>
      </c>
      <c r="G511" s="0" t="str">
        <f aca="false">IF('Boletins Nuppa Site'!J511&lt;&gt;0,'Boletins Nuppa Site'!J511,"NULL")</f>
        <v>57.5</v>
      </c>
      <c r="H511" s="0" t="str">
        <f aca="false">IF('Boletins Nuppa Site'!K511&lt;&gt;0,'Boletins Nuppa Site'!K511,"NULL")</f>
        <v>57.5</v>
      </c>
      <c r="I511" s="0" t="str">
        <f aca="false">"INSERT INTO COTACAO (cot_id, cot_blt_id, cot_pap_id, cot_prc_comum, cot_prc_min, cot_prc_max, cot_prc_med, cot_prc_mediana) VALUES ("&amp;A511&amp;", "&amp;B511&amp;", "&amp;C511&amp;", "&amp;D511&amp;", "&amp;E511&amp;", "&amp;F511&amp;", "&amp;G511&amp;", "&amp;H511&amp;");"</f>
        <v>INSERT INTO COTACAO (cot_id, cot_blt_id, cot_pap_id, cot_prc_comum, cot_prc_min, cot_prc_max, cot_prc_med, cot_prc_mediana) VALUES (510, 49, 38, NULL, 45, 70, 57.5, 57.5);</v>
      </c>
      <c r="J511" s="0" t="str">
        <f aca="false">"UPDATE COTACAO SET cot_id = "&amp;A511&amp;", cot_blt_id = "&amp;B511&amp;", cot_pap_id = "&amp;C511&amp;", cot_prc_comum = "&amp;D511&amp;", cot_prc_min = "&amp;E511&amp;", cot_prc_max = "&amp;F511&amp;", cot_prc_med = "&amp;G511&amp;", cot_prc_mediana = "&amp;H511&amp;" WHERE cot_id = "&amp;A511&amp;";"</f>
        <v>UPDATE COTACAO SET cot_id = 510, cot_blt_id = 49, cot_pap_id = 38, cot_prc_comum = NULL, cot_prc_min = 45, cot_prc_max = 70, cot_prc_med = 57.5, cot_prc_mediana = 57.5 WHERE cot_id = 510;</v>
      </c>
    </row>
    <row r="512" customFormat="false" ht="14.25" hidden="false" customHeight="false" outlineLevel="0" collapsed="false">
      <c r="A512" s="0" t="n">
        <v>511</v>
      </c>
      <c r="B512" s="0" t="n">
        <f aca="false">IF('Boletins Nuppa Site'!A512&lt;&gt;0,'Boletins Nuppa Site'!A512,"NULL")</f>
        <v>49</v>
      </c>
      <c r="C512" s="0" t="n">
        <v>39</v>
      </c>
      <c r="D512" s="0" t="str">
        <f aca="false">IF('Boletins Nuppa Site'!G512&lt;&gt;0,'Boletins Nuppa Site'!G512,"NULL")</f>
        <v>NULL</v>
      </c>
      <c r="E512" s="30" t="n">
        <f aca="false">IF('Boletins Nuppa Site'!H512&lt;&gt;0,'Boletins Nuppa Site'!H512,"NULL")</f>
        <v>50</v>
      </c>
      <c r="F512" s="30" t="n">
        <f aca="false">IF('Boletins Nuppa Site'!I512&lt;&gt;0,'Boletins Nuppa Site'!I512,"NULL")</f>
        <v>50</v>
      </c>
      <c r="G512" s="30" t="n">
        <f aca="false">IF('Boletins Nuppa Site'!J512&lt;&gt;0,'Boletins Nuppa Site'!J512,"NULL")</f>
        <v>50</v>
      </c>
      <c r="H512" s="30" t="n">
        <f aca="false">IF('Boletins Nuppa Site'!K512&lt;&gt;0,'Boletins Nuppa Site'!K512,"NULL")</f>
        <v>50</v>
      </c>
      <c r="I512" s="0" t="str">
        <f aca="false">"INSERT INTO COTACAO (cot_id, cot_blt_id, cot_pap_id, cot_prc_comum, cot_prc_min, cot_prc_max, cot_prc_med, cot_prc_mediana) VALUES ("&amp;A512&amp;", "&amp;B512&amp;", "&amp;C512&amp;", "&amp;D512&amp;", "&amp;E512&amp;", "&amp;F512&amp;", "&amp;G512&amp;", "&amp;H512&amp;");"</f>
        <v>INSERT INTO COTACAO (cot_id, cot_blt_id, cot_pap_id, cot_prc_comum, cot_prc_min, cot_prc_max, cot_prc_med, cot_prc_mediana) VALUES (511, 49, 39, NULL, 50, 50, 50, 50);</v>
      </c>
      <c r="J512" s="0" t="str">
        <f aca="false">"UPDATE COTACAO SET cot_id = "&amp;A512&amp;", cot_blt_id = "&amp;B512&amp;", cot_pap_id = "&amp;C512&amp;", cot_prc_comum = "&amp;D512&amp;", cot_prc_min = "&amp;E512&amp;", cot_prc_max = "&amp;F512&amp;", cot_prc_med = "&amp;G512&amp;", cot_prc_mediana = "&amp;H512&amp;" WHERE cot_id = "&amp;A512&amp;";"</f>
        <v>UPDATE COTACAO SET cot_id = 511, cot_blt_id = 49, cot_pap_id = 39, cot_prc_comum = NULL, cot_prc_min = 50, cot_prc_max = 50, cot_prc_med = 50, cot_prc_mediana = 50 WHERE cot_id = 511;</v>
      </c>
    </row>
    <row r="513" customFormat="false" ht="14.25" hidden="false" customHeight="false" outlineLevel="0" collapsed="false">
      <c r="A513" s="0" t="n">
        <v>512</v>
      </c>
      <c r="B513" s="0" t="n">
        <f aca="false">IF('Boletins Nuppa Site'!A513&lt;&gt;0,'Boletins Nuppa Site'!A513,"NULL")</f>
        <v>49</v>
      </c>
      <c r="C513" s="0" t="n">
        <v>40</v>
      </c>
      <c r="D513" s="0" t="str">
        <f aca="false">IF('Boletins Nuppa Site'!G513&lt;&gt;0,'Boletins Nuppa Site'!G513,"NULL")</f>
        <v>NULL</v>
      </c>
      <c r="E513" s="30" t="n">
        <f aca="false">IF('Boletins Nuppa Site'!H513&lt;&gt;0,'Boletins Nuppa Site'!H513,"NULL")</f>
        <v>75</v>
      </c>
      <c r="F513" s="30" t="n">
        <f aca="false">IF('Boletins Nuppa Site'!I513&lt;&gt;0,'Boletins Nuppa Site'!I513,"NULL")</f>
        <v>88</v>
      </c>
      <c r="G513" s="0" t="str">
        <f aca="false">IF('Boletins Nuppa Site'!J513&lt;&gt;0,'Boletins Nuppa Site'!J513,"NULL")</f>
        <v>81.5</v>
      </c>
      <c r="H513" s="0" t="str">
        <f aca="false">IF('Boletins Nuppa Site'!K513&lt;&gt;0,'Boletins Nuppa Site'!K513,"NULL")</f>
        <v>81.5</v>
      </c>
      <c r="I513" s="0" t="str">
        <f aca="false">"INSERT INTO COTACAO (cot_id, cot_blt_id, cot_pap_id, cot_prc_comum, cot_prc_min, cot_prc_max, cot_prc_med, cot_prc_mediana) VALUES ("&amp;A513&amp;", "&amp;B513&amp;", "&amp;C513&amp;", "&amp;D513&amp;", "&amp;E513&amp;", "&amp;F513&amp;", "&amp;G513&amp;", "&amp;H513&amp;");"</f>
        <v>INSERT INTO COTACAO (cot_id, cot_blt_id, cot_pap_id, cot_prc_comum, cot_prc_min, cot_prc_max, cot_prc_med, cot_prc_mediana) VALUES (512, 49, 40, NULL, 75, 88, 81.5, 81.5);</v>
      </c>
      <c r="J513" s="0" t="str">
        <f aca="false">"UPDATE COTACAO SET cot_id = "&amp;A513&amp;", cot_blt_id = "&amp;B513&amp;", cot_pap_id = "&amp;C513&amp;", cot_prc_comum = "&amp;D513&amp;", cot_prc_min = "&amp;E513&amp;", cot_prc_max = "&amp;F513&amp;", cot_prc_med = "&amp;G513&amp;", cot_prc_mediana = "&amp;H513&amp;" WHERE cot_id = "&amp;A513&amp;";"</f>
        <v>UPDATE COTACAO SET cot_id = 512, cot_blt_id = 49, cot_pap_id = 40, cot_prc_comum = NULL, cot_prc_min = 75, cot_prc_max = 88, cot_prc_med = 81.5, cot_prc_mediana = 81.5 WHERE cot_id = 512;</v>
      </c>
    </row>
    <row r="514" customFormat="false" ht="14.25" hidden="false" customHeight="false" outlineLevel="0" collapsed="false">
      <c r="A514" s="0" t="n">
        <v>513</v>
      </c>
      <c r="B514" s="0" t="n">
        <f aca="false">IF('Boletins Nuppa Site'!A514&lt;&gt;0,'Boletins Nuppa Site'!A514,"NULL")</f>
        <v>50</v>
      </c>
      <c r="C514" s="0" t="n">
        <v>1</v>
      </c>
      <c r="D514" s="0" t="str">
        <f aca="false">IF('Boletins Nuppa Site'!G514&lt;&gt;0,'Boletins Nuppa Site'!G514,"NULL")</f>
        <v>NULL</v>
      </c>
      <c r="E514" s="30" t="n">
        <f aca="false">IF('Boletins Nuppa Site'!H514&lt;&gt;0,'Boletins Nuppa Site'!H514,"NULL")</f>
        <v>48</v>
      </c>
      <c r="F514" s="30" t="n">
        <f aca="false">IF('Boletins Nuppa Site'!I514&lt;&gt;0,'Boletins Nuppa Site'!I514,"NULL")</f>
        <v>72</v>
      </c>
      <c r="G514" s="30" t="n">
        <f aca="false">IF('Boletins Nuppa Site'!J514&lt;&gt;0,'Boletins Nuppa Site'!J514,"NULL")</f>
        <v>60</v>
      </c>
      <c r="H514" s="30" t="n">
        <f aca="false">IF('Boletins Nuppa Site'!K514&lt;&gt;0,'Boletins Nuppa Site'!K514,"NULL")</f>
        <v>60</v>
      </c>
      <c r="I514" s="0" t="str">
        <f aca="false">"INSERT INTO COTACAO (cot_id, cot_blt_id, cot_pap_id, cot_prc_comum, cot_prc_min, cot_prc_max, cot_prc_med, cot_prc_mediana) VALUES ("&amp;A514&amp;", "&amp;B514&amp;", "&amp;C514&amp;", "&amp;D514&amp;", "&amp;E514&amp;", "&amp;F514&amp;", "&amp;G514&amp;", "&amp;H514&amp;");"</f>
        <v>INSERT INTO COTACAO (cot_id, cot_blt_id, cot_pap_id, cot_prc_comum, cot_prc_min, cot_prc_max, cot_prc_med, cot_prc_mediana) VALUES (513, 50, 1, NULL, 48, 72, 60, 60);</v>
      </c>
      <c r="J514" s="0" t="str">
        <f aca="false">"UPDATE COTACAO SET cot_id = "&amp;A514&amp;", cot_blt_id = "&amp;B514&amp;", cot_pap_id = "&amp;C514&amp;", cot_prc_comum = "&amp;D514&amp;", cot_prc_min = "&amp;E514&amp;", cot_prc_max = "&amp;F514&amp;", cot_prc_med = "&amp;G514&amp;", cot_prc_mediana = "&amp;H514&amp;" WHERE cot_id = "&amp;A514&amp;";"</f>
        <v>UPDATE COTACAO SET cot_id = 513, cot_blt_id = 50, cot_pap_id = 1, cot_prc_comum = NULL, cot_prc_min = 48, cot_prc_max = 72, cot_prc_med = 60, cot_prc_mediana = 60 WHERE cot_id = 513;</v>
      </c>
    </row>
    <row r="515" customFormat="false" ht="14.25" hidden="false" customHeight="false" outlineLevel="0" collapsed="false">
      <c r="A515" s="0" t="n">
        <v>514</v>
      </c>
      <c r="B515" s="0" t="n">
        <f aca="false">IF('Boletins Nuppa Site'!A515&lt;&gt;0,'Boletins Nuppa Site'!A515,"NULL")</f>
        <v>50</v>
      </c>
      <c r="C515" s="0" t="n">
        <v>2</v>
      </c>
      <c r="D515" s="30" t="n">
        <f aca="false">IF('Boletins Nuppa Site'!G515&lt;&gt;0,'Boletins Nuppa Site'!G515,"NULL")</f>
        <v>84</v>
      </c>
      <c r="E515" s="30" t="n">
        <f aca="false">IF('Boletins Nuppa Site'!H515&lt;&gt;0,'Boletins Nuppa Site'!H515,"NULL")</f>
        <v>72</v>
      </c>
      <c r="F515" s="30" t="n">
        <f aca="false">IF('Boletins Nuppa Site'!I515&lt;&gt;0,'Boletins Nuppa Site'!I515,"NULL")</f>
        <v>84</v>
      </c>
      <c r="G515" s="30" t="n">
        <f aca="false">IF('Boletins Nuppa Site'!J515&lt;&gt;0,'Boletins Nuppa Site'!J515,"NULL")</f>
        <v>80</v>
      </c>
      <c r="H515" s="30" t="n">
        <f aca="false">IF('Boletins Nuppa Site'!K515&lt;&gt;0,'Boletins Nuppa Site'!K515,"NULL")</f>
        <v>84</v>
      </c>
      <c r="I515" s="0" t="str">
        <f aca="false">"INSERT INTO COTACAO (cot_id, cot_blt_id, cot_pap_id, cot_prc_comum, cot_prc_min, cot_prc_max, cot_prc_med, cot_prc_mediana) VALUES ("&amp;A515&amp;", "&amp;B515&amp;", "&amp;C515&amp;", "&amp;D515&amp;", "&amp;E515&amp;", "&amp;F515&amp;", "&amp;G515&amp;", "&amp;H515&amp;");"</f>
        <v>INSERT INTO COTACAO (cot_id, cot_blt_id, cot_pap_id, cot_prc_comum, cot_prc_min, cot_prc_max, cot_prc_med, cot_prc_mediana) VALUES (514, 50, 2, 84, 72, 84, 80, 84);</v>
      </c>
      <c r="J515" s="0" t="str">
        <f aca="false">"UPDATE COTACAO SET cot_id = "&amp;A515&amp;", cot_blt_id = "&amp;B515&amp;", cot_pap_id = "&amp;C515&amp;", cot_prc_comum = "&amp;D515&amp;", cot_prc_min = "&amp;E515&amp;", cot_prc_max = "&amp;F515&amp;", cot_prc_med = "&amp;G515&amp;", cot_prc_mediana = "&amp;H515&amp;" WHERE cot_id = "&amp;A515&amp;";"</f>
        <v>UPDATE COTACAO SET cot_id = 514, cot_blt_id = 50, cot_pap_id = 2, cot_prc_comum = 84, cot_prc_min = 72, cot_prc_max = 84, cot_prc_med = 80, cot_prc_mediana = 84 WHERE cot_id = 514;</v>
      </c>
    </row>
    <row r="516" customFormat="false" ht="14.25" hidden="false" customHeight="false" outlineLevel="0" collapsed="false">
      <c r="A516" s="0" t="n">
        <v>515</v>
      </c>
      <c r="B516" s="0" t="n">
        <f aca="false">IF('Boletins Nuppa Site'!A516&lt;&gt;0,'Boletins Nuppa Site'!A516,"NULL")</f>
        <v>50</v>
      </c>
      <c r="C516" s="0" t="n">
        <v>3</v>
      </c>
      <c r="D516" s="0" t="str">
        <f aca="false">IF('Boletins Nuppa Site'!G516&lt;&gt;0,'Boletins Nuppa Site'!G516,"NULL")</f>
        <v>NULL</v>
      </c>
      <c r="E516" s="30" t="n">
        <f aca="false">IF('Boletins Nuppa Site'!H516&lt;&gt;0,'Boletins Nuppa Site'!H516,"NULL")</f>
        <v>42</v>
      </c>
      <c r="F516" s="30" t="n">
        <f aca="false">IF('Boletins Nuppa Site'!I516&lt;&gt;0,'Boletins Nuppa Site'!I516,"NULL")</f>
        <v>60</v>
      </c>
      <c r="G516" s="30" t="n">
        <f aca="false">IF('Boletins Nuppa Site'!J516&lt;&gt;0,'Boletins Nuppa Site'!J516,"NULL")</f>
        <v>50</v>
      </c>
      <c r="H516" s="30" t="n">
        <f aca="false">IF('Boletins Nuppa Site'!K516&lt;&gt;0,'Boletins Nuppa Site'!K516,"NULL")</f>
        <v>48</v>
      </c>
      <c r="I516" s="0" t="str">
        <f aca="false">"INSERT INTO COTACAO (cot_id, cot_blt_id, cot_pap_id, cot_prc_comum, cot_prc_min, cot_prc_max, cot_prc_med, cot_prc_mediana) VALUES ("&amp;A516&amp;", "&amp;B516&amp;", "&amp;C516&amp;", "&amp;D516&amp;", "&amp;E516&amp;", "&amp;F516&amp;", "&amp;G516&amp;", "&amp;H516&amp;");"</f>
        <v>INSERT INTO COTACAO (cot_id, cot_blt_id, cot_pap_id, cot_prc_comum, cot_prc_min, cot_prc_max, cot_prc_med, cot_prc_mediana) VALUES (515, 50, 3, NULL, 42, 60, 50, 48);</v>
      </c>
      <c r="J516" s="0" t="str">
        <f aca="false">"UPDATE COTACAO SET cot_id = "&amp;A516&amp;", cot_blt_id = "&amp;B516&amp;", cot_pap_id = "&amp;C516&amp;", cot_prc_comum = "&amp;D516&amp;", cot_prc_min = "&amp;E516&amp;", cot_prc_max = "&amp;F516&amp;", cot_prc_med = "&amp;G516&amp;", cot_prc_mediana = "&amp;H516&amp;" WHERE cot_id = "&amp;A516&amp;";"</f>
        <v>UPDATE COTACAO SET cot_id = 515, cot_blt_id = 50, cot_pap_id = 3, cot_prc_comum = NULL, cot_prc_min = 42, cot_prc_max = 60, cot_prc_med = 50, cot_prc_mediana = 48 WHERE cot_id = 515;</v>
      </c>
    </row>
    <row r="517" customFormat="false" ht="14.25" hidden="false" customHeight="false" outlineLevel="0" collapsed="false">
      <c r="A517" s="0" t="n">
        <v>516</v>
      </c>
      <c r="B517" s="0" t="n">
        <f aca="false">IF('Boletins Nuppa Site'!A517&lt;&gt;0,'Boletins Nuppa Site'!A517,"NULL")</f>
        <v>50</v>
      </c>
      <c r="C517" s="0" t="n">
        <v>4</v>
      </c>
      <c r="D517" s="30" t="n">
        <f aca="false">IF('Boletins Nuppa Site'!G517&lt;&gt;0,'Boletins Nuppa Site'!G517,"NULL")</f>
        <v>36</v>
      </c>
      <c r="E517" s="30" t="n">
        <f aca="false">IF('Boletins Nuppa Site'!H517&lt;&gt;0,'Boletins Nuppa Site'!H517,"NULL")</f>
        <v>30</v>
      </c>
      <c r="F517" s="30" t="n">
        <f aca="false">IF('Boletins Nuppa Site'!I517&lt;&gt;0,'Boletins Nuppa Site'!I517,"NULL")</f>
        <v>36</v>
      </c>
      <c r="G517" s="30" t="n">
        <f aca="false">IF('Boletins Nuppa Site'!J517&lt;&gt;0,'Boletins Nuppa Site'!J517,"NULL")</f>
        <v>34</v>
      </c>
      <c r="H517" s="30" t="n">
        <f aca="false">IF('Boletins Nuppa Site'!K517&lt;&gt;0,'Boletins Nuppa Site'!K517,"NULL")</f>
        <v>36</v>
      </c>
      <c r="I517" s="0" t="str">
        <f aca="false">"INSERT INTO COTACAO (cot_id, cot_blt_id, cot_pap_id, cot_prc_comum, cot_prc_min, cot_prc_max, cot_prc_med, cot_prc_mediana) VALUES ("&amp;A517&amp;", "&amp;B517&amp;", "&amp;C517&amp;", "&amp;D517&amp;", "&amp;E517&amp;", "&amp;F517&amp;", "&amp;G517&amp;", "&amp;H517&amp;");"</f>
        <v>INSERT INTO COTACAO (cot_id, cot_blt_id, cot_pap_id, cot_prc_comum, cot_prc_min, cot_prc_max, cot_prc_med, cot_prc_mediana) VALUES (516, 50, 4, 36, 30, 36, 34, 36);</v>
      </c>
      <c r="J517" s="0" t="str">
        <f aca="false">"UPDATE COTACAO SET cot_id = "&amp;A517&amp;", cot_blt_id = "&amp;B517&amp;", cot_pap_id = "&amp;C517&amp;", cot_prc_comum = "&amp;D517&amp;", cot_prc_min = "&amp;E517&amp;", cot_prc_max = "&amp;F517&amp;", cot_prc_med = "&amp;G517&amp;", cot_prc_mediana = "&amp;H517&amp;" WHERE cot_id = "&amp;A517&amp;";"</f>
        <v>UPDATE COTACAO SET cot_id = 516, cot_blt_id = 50, cot_pap_id = 4, cot_prc_comum = 36, cot_prc_min = 30, cot_prc_max = 36, cot_prc_med = 34, cot_prc_mediana = 36 WHERE cot_id = 516;</v>
      </c>
    </row>
    <row r="518" customFormat="false" ht="14.25" hidden="false" customHeight="false" outlineLevel="0" collapsed="false">
      <c r="A518" s="0" t="n">
        <v>517</v>
      </c>
      <c r="B518" s="0" t="n">
        <f aca="false">IF('Boletins Nuppa Site'!A518&lt;&gt;0,'Boletins Nuppa Site'!A518,"NULL")</f>
        <v>50</v>
      </c>
      <c r="C518" s="0" t="n">
        <v>5</v>
      </c>
      <c r="D518" s="30" t="n">
        <f aca="false">IF('Boletins Nuppa Site'!G518&lt;&gt;0,'Boletins Nuppa Site'!G518,"NULL")</f>
        <v>36</v>
      </c>
      <c r="E518" s="30" t="n">
        <f aca="false">IF('Boletins Nuppa Site'!H518&lt;&gt;0,'Boletins Nuppa Site'!H518,"NULL")</f>
        <v>30</v>
      </c>
      <c r="F518" s="30" t="n">
        <f aca="false">IF('Boletins Nuppa Site'!I518&lt;&gt;0,'Boletins Nuppa Site'!I518,"NULL")</f>
        <v>36</v>
      </c>
      <c r="G518" s="30" t="n">
        <f aca="false">IF('Boletins Nuppa Site'!J518&lt;&gt;0,'Boletins Nuppa Site'!J518,"NULL")</f>
        <v>34</v>
      </c>
      <c r="H518" s="30" t="n">
        <f aca="false">IF('Boletins Nuppa Site'!K518&lt;&gt;0,'Boletins Nuppa Site'!K518,"NULL")</f>
        <v>36</v>
      </c>
      <c r="I518" s="0" t="str">
        <f aca="false">"INSERT INTO COTACAO (cot_id, cot_blt_id, cot_pap_id, cot_prc_comum, cot_prc_min, cot_prc_max, cot_prc_med, cot_prc_mediana) VALUES ("&amp;A518&amp;", "&amp;B518&amp;", "&amp;C518&amp;", "&amp;D518&amp;", "&amp;E518&amp;", "&amp;F518&amp;", "&amp;G518&amp;", "&amp;H518&amp;");"</f>
        <v>INSERT INTO COTACAO (cot_id, cot_blt_id, cot_pap_id, cot_prc_comum, cot_prc_min, cot_prc_max, cot_prc_med, cot_prc_mediana) VALUES (517, 50, 5, 36, 30, 36, 34, 36);</v>
      </c>
      <c r="J518" s="0" t="str">
        <f aca="false">"UPDATE COTACAO SET cot_id = "&amp;A518&amp;", cot_blt_id = "&amp;B518&amp;", cot_pap_id = "&amp;C518&amp;", cot_prc_comum = "&amp;D518&amp;", cot_prc_min = "&amp;E518&amp;", cot_prc_max = "&amp;F518&amp;", cot_prc_med = "&amp;G518&amp;", cot_prc_mediana = "&amp;H518&amp;" WHERE cot_id = "&amp;A518&amp;";"</f>
        <v>UPDATE COTACAO SET cot_id = 517, cot_blt_id = 50, cot_pap_id = 5, cot_prc_comum = 36, cot_prc_min = 30, cot_prc_max = 36, cot_prc_med = 34, cot_prc_mediana = 36 WHERE cot_id = 517;</v>
      </c>
    </row>
    <row r="519" customFormat="false" ht="14.25" hidden="false" customHeight="false" outlineLevel="0" collapsed="false">
      <c r="A519" s="0" t="n">
        <v>518</v>
      </c>
      <c r="B519" s="0" t="n">
        <f aca="false">IF('Boletins Nuppa Site'!A519&lt;&gt;0,'Boletins Nuppa Site'!A519,"NULL")</f>
        <v>50</v>
      </c>
      <c r="C519" s="0" t="n">
        <v>6</v>
      </c>
      <c r="D519" s="30" t="n">
        <f aca="false">IF('Boletins Nuppa Site'!G519&lt;&gt;0,'Boletins Nuppa Site'!G519,"NULL")</f>
        <v>72</v>
      </c>
      <c r="E519" s="30" t="n">
        <f aca="false">IF('Boletins Nuppa Site'!H519&lt;&gt;0,'Boletins Nuppa Site'!H519,"NULL")</f>
        <v>48</v>
      </c>
      <c r="F519" s="30" t="n">
        <f aca="false">IF('Boletins Nuppa Site'!I519&lt;&gt;0,'Boletins Nuppa Site'!I519,"NULL")</f>
        <v>72</v>
      </c>
      <c r="G519" s="30" t="n">
        <f aca="false">IF('Boletins Nuppa Site'!J519&lt;&gt;0,'Boletins Nuppa Site'!J519,"NULL")</f>
        <v>64</v>
      </c>
      <c r="H519" s="30" t="n">
        <f aca="false">IF('Boletins Nuppa Site'!K519&lt;&gt;0,'Boletins Nuppa Site'!K519,"NULL")</f>
        <v>72</v>
      </c>
      <c r="I519" s="0" t="str">
        <f aca="false">"INSERT INTO COTACAO (cot_id, cot_blt_id, cot_pap_id, cot_prc_comum, cot_prc_min, cot_prc_max, cot_prc_med, cot_prc_mediana) VALUES ("&amp;A519&amp;", "&amp;B519&amp;", "&amp;C519&amp;", "&amp;D519&amp;", "&amp;E519&amp;", "&amp;F519&amp;", "&amp;G519&amp;", "&amp;H519&amp;");"</f>
        <v>INSERT INTO COTACAO (cot_id, cot_blt_id, cot_pap_id, cot_prc_comum, cot_prc_min, cot_prc_max, cot_prc_med, cot_prc_mediana) VALUES (518, 50, 6, 72, 48, 72, 64, 72);</v>
      </c>
      <c r="J519" s="0" t="str">
        <f aca="false">"UPDATE COTACAO SET cot_id = "&amp;A519&amp;", cot_blt_id = "&amp;B519&amp;", cot_pap_id = "&amp;C519&amp;", cot_prc_comum = "&amp;D519&amp;", cot_prc_min = "&amp;E519&amp;", cot_prc_max = "&amp;F519&amp;", cot_prc_med = "&amp;G519&amp;", cot_prc_mediana = "&amp;H519&amp;" WHERE cot_id = "&amp;A519&amp;";"</f>
        <v>UPDATE COTACAO SET cot_id = 518, cot_blt_id = 50, cot_pap_id = 6, cot_prc_comum = 72, cot_prc_min = 48, cot_prc_max = 72, cot_prc_med = 64, cot_prc_mediana = 72 WHERE cot_id = 518;</v>
      </c>
    </row>
    <row r="520" customFormat="false" ht="14.25" hidden="false" customHeight="false" outlineLevel="0" collapsed="false">
      <c r="A520" s="0" t="n">
        <v>519</v>
      </c>
      <c r="B520" s="0" t="n">
        <f aca="false">IF('Boletins Nuppa Site'!A520&lt;&gt;0,'Boletins Nuppa Site'!A520,"NULL")</f>
        <v>50</v>
      </c>
      <c r="C520" s="0" t="n">
        <v>7</v>
      </c>
      <c r="D520" s="0" t="str">
        <f aca="false">IF('Boletins Nuppa Site'!G520&lt;&gt;0,'Boletins Nuppa Site'!G520,"NULL")</f>
        <v>NULL</v>
      </c>
      <c r="E520" s="30" t="n">
        <f aca="false">IF('Boletins Nuppa Site'!H520&lt;&gt;0,'Boletins Nuppa Site'!H520,"NULL")</f>
        <v>72</v>
      </c>
      <c r="F520" s="30" t="n">
        <f aca="false">IF('Boletins Nuppa Site'!I520&lt;&gt;0,'Boletins Nuppa Site'!I520,"NULL")</f>
        <v>96</v>
      </c>
      <c r="G520" s="30" t="n">
        <f aca="false">IF('Boletins Nuppa Site'!J520&lt;&gt;0,'Boletins Nuppa Site'!J520,"NULL")</f>
        <v>82</v>
      </c>
      <c r="H520" s="30" t="n">
        <f aca="false">IF('Boletins Nuppa Site'!K520&lt;&gt;0,'Boletins Nuppa Site'!K520,"NULL")</f>
        <v>78</v>
      </c>
      <c r="I520" s="0" t="str">
        <f aca="false">"INSERT INTO COTACAO (cot_id, cot_blt_id, cot_pap_id, cot_prc_comum, cot_prc_min, cot_prc_max, cot_prc_med, cot_prc_mediana) VALUES ("&amp;A520&amp;", "&amp;B520&amp;", "&amp;C520&amp;", "&amp;D520&amp;", "&amp;E520&amp;", "&amp;F520&amp;", "&amp;G520&amp;", "&amp;H520&amp;");"</f>
        <v>INSERT INTO COTACAO (cot_id, cot_blt_id, cot_pap_id, cot_prc_comum, cot_prc_min, cot_prc_max, cot_prc_med, cot_prc_mediana) VALUES (519, 50, 7, NULL, 72, 96, 82, 78);</v>
      </c>
      <c r="J520" s="0" t="str">
        <f aca="false">"UPDATE COTACAO SET cot_id = "&amp;A520&amp;", cot_blt_id = "&amp;B520&amp;", cot_pap_id = "&amp;C520&amp;", cot_prc_comum = "&amp;D520&amp;", cot_prc_min = "&amp;E520&amp;", cot_prc_max = "&amp;F520&amp;", cot_prc_med = "&amp;G520&amp;", cot_prc_mediana = "&amp;H520&amp;" WHERE cot_id = "&amp;A520&amp;";"</f>
        <v>UPDATE COTACAO SET cot_id = 519, cot_blt_id = 50, cot_pap_id = 7, cot_prc_comum = NULL, cot_prc_min = 72, cot_prc_max = 96, cot_prc_med = 82, cot_prc_mediana = 78 WHERE cot_id = 519;</v>
      </c>
    </row>
    <row r="521" customFormat="false" ht="14.25" hidden="false" customHeight="false" outlineLevel="0" collapsed="false">
      <c r="A521" s="0" t="n">
        <v>520</v>
      </c>
      <c r="B521" s="0" t="n">
        <f aca="false">IF('Boletins Nuppa Site'!A521&lt;&gt;0,'Boletins Nuppa Site'!A521,"NULL")</f>
        <v>50</v>
      </c>
      <c r="C521" s="0" t="n">
        <v>8</v>
      </c>
      <c r="D521" s="30" t="n">
        <f aca="false">IF('Boletins Nuppa Site'!G521&lt;&gt;0,'Boletins Nuppa Site'!G521,"NULL")</f>
        <v>96</v>
      </c>
      <c r="E521" s="30" t="n">
        <f aca="false">IF('Boletins Nuppa Site'!H521&lt;&gt;0,'Boletins Nuppa Site'!H521,"NULL")</f>
        <v>96</v>
      </c>
      <c r="F521" s="30" t="n">
        <f aca="false">IF('Boletins Nuppa Site'!I521&lt;&gt;0,'Boletins Nuppa Site'!I521,"NULL")</f>
        <v>96</v>
      </c>
      <c r="G521" s="30" t="n">
        <f aca="false">IF('Boletins Nuppa Site'!J521&lt;&gt;0,'Boletins Nuppa Site'!J521,"NULL")</f>
        <v>96</v>
      </c>
      <c r="H521" s="30" t="n">
        <f aca="false">IF('Boletins Nuppa Site'!K521&lt;&gt;0,'Boletins Nuppa Site'!K521,"NULL")</f>
        <v>96</v>
      </c>
      <c r="I521" s="0" t="str">
        <f aca="false">"INSERT INTO COTACAO (cot_id, cot_blt_id, cot_pap_id, cot_prc_comum, cot_prc_min, cot_prc_max, cot_prc_med, cot_prc_mediana) VALUES ("&amp;A521&amp;", "&amp;B521&amp;", "&amp;C521&amp;", "&amp;D521&amp;", "&amp;E521&amp;", "&amp;F521&amp;", "&amp;G521&amp;", "&amp;H521&amp;");"</f>
        <v>INSERT INTO COTACAO (cot_id, cot_blt_id, cot_pap_id, cot_prc_comum, cot_prc_min, cot_prc_max, cot_prc_med, cot_prc_mediana) VALUES (520, 50, 8, 96, 96, 96, 96, 96);</v>
      </c>
      <c r="J521" s="0" t="str">
        <f aca="false">"UPDATE COTACAO SET cot_id = "&amp;A521&amp;", cot_blt_id = "&amp;B521&amp;", cot_pap_id = "&amp;C521&amp;", cot_prc_comum = "&amp;D521&amp;", cot_prc_min = "&amp;E521&amp;", cot_prc_max = "&amp;F521&amp;", cot_prc_med = "&amp;G521&amp;", cot_prc_mediana = "&amp;H521&amp;" WHERE cot_id = "&amp;A521&amp;";"</f>
        <v>UPDATE COTACAO SET cot_id = 520, cot_blt_id = 50, cot_pap_id = 8, cot_prc_comum = 96, cot_prc_min = 96, cot_prc_max = 96, cot_prc_med = 96, cot_prc_mediana = 96 WHERE cot_id = 520;</v>
      </c>
    </row>
    <row r="522" customFormat="false" ht="14.25" hidden="false" customHeight="false" outlineLevel="0" collapsed="false">
      <c r="A522" s="0" t="n">
        <v>521</v>
      </c>
      <c r="B522" s="0" t="n">
        <f aca="false">IF('Boletins Nuppa Site'!A522&lt;&gt;0,'Boletins Nuppa Site'!A522,"NULL")</f>
        <v>50</v>
      </c>
      <c r="C522" s="0" t="n">
        <v>9</v>
      </c>
      <c r="D522" s="0" t="str">
        <f aca="false">IF('Boletins Nuppa Site'!G522&lt;&gt;0,'Boletins Nuppa Site'!G522,"NULL")</f>
        <v>NULL</v>
      </c>
      <c r="E522" s="30" t="n">
        <f aca="false">IF('Boletins Nuppa Site'!H522&lt;&gt;0,'Boletins Nuppa Site'!H522,"NULL")</f>
        <v>24</v>
      </c>
      <c r="F522" s="30" t="n">
        <f aca="false">IF('Boletins Nuppa Site'!I522&lt;&gt;0,'Boletins Nuppa Site'!I522,"NULL")</f>
        <v>36</v>
      </c>
      <c r="G522" s="30" t="n">
        <f aca="false">IF('Boletins Nuppa Site'!J522&lt;&gt;0,'Boletins Nuppa Site'!J522,"NULL")</f>
        <v>30</v>
      </c>
      <c r="H522" s="30" t="n">
        <f aca="false">IF('Boletins Nuppa Site'!K522&lt;&gt;0,'Boletins Nuppa Site'!K522,"NULL")</f>
        <v>30</v>
      </c>
      <c r="I522" s="0" t="str">
        <f aca="false">"INSERT INTO COTACAO (cot_id, cot_blt_id, cot_pap_id, cot_prc_comum, cot_prc_min, cot_prc_max, cot_prc_med, cot_prc_mediana) VALUES ("&amp;A522&amp;", "&amp;B522&amp;", "&amp;C522&amp;", "&amp;D522&amp;", "&amp;E522&amp;", "&amp;F522&amp;", "&amp;G522&amp;", "&amp;H522&amp;");"</f>
        <v>INSERT INTO COTACAO (cot_id, cot_blt_id, cot_pap_id, cot_prc_comum, cot_prc_min, cot_prc_max, cot_prc_med, cot_prc_mediana) VALUES (521, 50, 9, NULL, 24, 36, 30, 30);</v>
      </c>
      <c r="J522" s="0" t="str">
        <f aca="false">"UPDATE COTACAO SET cot_id = "&amp;A522&amp;", cot_blt_id = "&amp;B522&amp;", cot_pap_id = "&amp;C522&amp;", cot_prc_comum = "&amp;D522&amp;", cot_prc_min = "&amp;E522&amp;", cot_prc_max = "&amp;F522&amp;", cot_prc_med = "&amp;G522&amp;", cot_prc_mediana = "&amp;H522&amp;" WHERE cot_id = "&amp;A522&amp;";"</f>
        <v>UPDATE COTACAO SET cot_id = 521, cot_blt_id = 50, cot_pap_id = 9, cot_prc_comum = NULL, cot_prc_min = 24, cot_prc_max = 36, cot_prc_med = 30, cot_prc_mediana = 30 WHERE cot_id = 521;</v>
      </c>
    </row>
    <row r="523" customFormat="false" ht="14.25" hidden="false" customHeight="false" outlineLevel="0" collapsed="false">
      <c r="A523" s="0" t="n">
        <v>522</v>
      </c>
      <c r="B523" s="0" t="n">
        <f aca="false">IF('Boletins Nuppa Site'!A523&lt;&gt;0,'Boletins Nuppa Site'!A523,"NULL")</f>
        <v>50</v>
      </c>
      <c r="C523" s="0" t="n">
        <v>10</v>
      </c>
      <c r="D523" s="30" t="n">
        <f aca="false">IF('Boletins Nuppa Site'!G523&lt;&gt;0,'Boletins Nuppa Site'!G523,"NULL")</f>
        <v>96</v>
      </c>
      <c r="E523" s="30" t="n">
        <f aca="false">IF('Boletins Nuppa Site'!H523&lt;&gt;0,'Boletins Nuppa Site'!H523,"NULL")</f>
        <v>96</v>
      </c>
      <c r="F523" s="30" t="n">
        <f aca="false">IF('Boletins Nuppa Site'!I523&lt;&gt;0,'Boletins Nuppa Site'!I523,"NULL")</f>
        <v>108</v>
      </c>
      <c r="G523" s="30" t="n">
        <f aca="false">IF('Boletins Nuppa Site'!J523&lt;&gt;0,'Boletins Nuppa Site'!J523,"NULL")</f>
        <v>100</v>
      </c>
      <c r="H523" s="30" t="n">
        <f aca="false">IF('Boletins Nuppa Site'!K523&lt;&gt;0,'Boletins Nuppa Site'!K523,"NULL")</f>
        <v>96</v>
      </c>
      <c r="I523" s="0" t="str">
        <f aca="false">"INSERT INTO COTACAO (cot_id, cot_blt_id, cot_pap_id, cot_prc_comum, cot_prc_min, cot_prc_max, cot_prc_med, cot_prc_mediana) VALUES ("&amp;A523&amp;", "&amp;B523&amp;", "&amp;C523&amp;", "&amp;D523&amp;", "&amp;E523&amp;", "&amp;F523&amp;", "&amp;G523&amp;", "&amp;H523&amp;");"</f>
        <v>INSERT INTO COTACAO (cot_id, cot_blt_id, cot_pap_id, cot_prc_comum, cot_prc_min, cot_prc_max, cot_prc_med, cot_prc_mediana) VALUES (522, 50, 10, 96, 96, 108, 100, 96);</v>
      </c>
      <c r="J523" s="0" t="str">
        <f aca="false">"UPDATE COTACAO SET cot_id = "&amp;A523&amp;", cot_blt_id = "&amp;B523&amp;", cot_pap_id = "&amp;C523&amp;", cot_prc_comum = "&amp;D523&amp;", cot_prc_min = "&amp;E523&amp;", cot_prc_max = "&amp;F523&amp;", cot_prc_med = "&amp;G523&amp;", cot_prc_mediana = "&amp;H523&amp;" WHERE cot_id = "&amp;A523&amp;";"</f>
        <v>UPDATE COTACAO SET cot_id = 522, cot_blt_id = 50, cot_pap_id = 10, cot_prc_comum = 96, cot_prc_min = 96, cot_prc_max = 108, cot_prc_med = 100, cot_prc_mediana = 96 WHERE cot_id = 522;</v>
      </c>
    </row>
    <row r="524" customFormat="false" ht="14.25" hidden="false" customHeight="false" outlineLevel="0" collapsed="false">
      <c r="A524" s="0" t="n">
        <v>523</v>
      </c>
      <c r="B524" s="0" t="n">
        <f aca="false">IF('Boletins Nuppa Site'!A524&lt;&gt;0,'Boletins Nuppa Site'!A524,"NULL")</f>
        <v>50</v>
      </c>
      <c r="C524" s="0" t="n">
        <v>11</v>
      </c>
      <c r="D524" s="30" t="n">
        <f aca="false">IF('Boletins Nuppa Site'!G524&lt;&gt;0,'Boletins Nuppa Site'!G524,"NULL")</f>
        <v>36</v>
      </c>
      <c r="E524" s="30" t="n">
        <f aca="false">IF('Boletins Nuppa Site'!H524&lt;&gt;0,'Boletins Nuppa Site'!H524,"NULL")</f>
        <v>24</v>
      </c>
      <c r="F524" s="30" t="n">
        <f aca="false">IF('Boletins Nuppa Site'!I524&lt;&gt;0,'Boletins Nuppa Site'!I524,"NULL")</f>
        <v>36</v>
      </c>
      <c r="G524" s="30" t="n">
        <f aca="false">IF('Boletins Nuppa Site'!J524&lt;&gt;0,'Boletins Nuppa Site'!J524,"NULL")</f>
        <v>32</v>
      </c>
      <c r="H524" s="30" t="n">
        <f aca="false">IF('Boletins Nuppa Site'!K524&lt;&gt;0,'Boletins Nuppa Site'!K524,"NULL")</f>
        <v>36</v>
      </c>
      <c r="I524" s="0" t="str">
        <f aca="false">"INSERT INTO COTACAO (cot_id, cot_blt_id, cot_pap_id, cot_prc_comum, cot_prc_min, cot_prc_max, cot_prc_med, cot_prc_mediana) VALUES ("&amp;A524&amp;", "&amp;B524&amp;", "&amp;C524&amp;", "&amp;D524&amp;", "&amp;E524&amp;", "&amp;F524&amp;", "&amp;G524&amp;", "&amp;H524&amp;");"</f>
        <v>INSERT INTO COTACAO (cot_id, cot_blt_id, cot_pap_id, cot_prc_comum, cot_prc_min, cot_prc_max, cot_prc_med, cot_prc_mediana) VALUES (523, 50, 11, 36, 24, 36, 32, 36);</v>
      </c>
      <c r="J524" s="0" t="str">
        <f aca="false">"UPDATE COTACAO SET cot_id = "&amp;A524&amp;", cot_blt_id = "&amp;B524&amp;", cot_pap_id = "&amp;C524&amp;", cot_prc_comum = "&amp;D524&amp;", cot_prc_min = "&amp;E524&amp;", cot_prc_max = "&amp;F524&amp;", cot_prc_med = "&amp;G524&amp;", cot_prc_mediana = "&amp;H524&amp;" WHERE cot_id = "&amp;A524&amp;";"</f>
        <v>UPDATE COTACAO SET cot_id = 523, cot_blt_id = 50, cot_pap_id = 11, cot_prc_comum = 36, cot_prc_min = 24, cot_prc_max = 36, cot_prc_med = 32, cot_prc_mediana = 36 WHERE cot_id = 523;</v>
      </c>
    </row>
    <row r="525" customFormat="false" ht="14.25" hidden="false" customHeight="false" outlineLevel="0" collapsed="false">
      <c r="A525" s="0" t="n">
        <v>524</v>
      </c>
      <c r="B525" s="0" t="n">
        <f aca="false">IF('Boletins Nuppa Site'!A525&lt;&gt;0,'Boletins Nuppa Site'!A525,"NULL")</f>
        <v>50</v>
      </c>
      <c r="C525" s="0" t="n">
        <v>12</v>
      </c>
      <c r="D525" s="30" t="n">
        <f aca="false">IF('Boletins Nuppa Site'!G525&lt;&gt;0,'Boletins Nuppa Site'!G525,"NULL")</f>
        <v>84</v>
      </c>
      <c r="E525" s="30" t="n">
        <f aca="false">IF('Boletins Nuppa Site'!H525&lt;&gt;0,'Boletins Nuppa Site'!H525,"NULL")</f>
        <v>84</v>
      </c>
      <c r="F525" s="30" t="n">
        <f aca="false">IF('Boletins Nuppa Site'!I525&lt;&gt;0,'Boletins Nuppa Site'!I525,"NULL")</f>
        <v>84</v>
      </c>
      <c r="G525" s="30" t="n">
        <f aca="false">IF('Boletins Nuppa Site'!J525&lt;&gt;0,'Boletins Nuppa Site'!J525,"NULL")</f>
        <v>84</v>
      </c>
      <c r="H525" s="30" t="n">
        <f aca="false">IF('Boletins Nuppa Site'!K525&lt;&gt;0,'Boletins Nuppa Site'!K525,"NULL")</f>
        <v>84</v>
      </c>
      <c r="I525" s="0" t="str">
        <f aca="false">"INSERT INTO COTACAO (cot_id, cot_blt_id, cot_pap_id, cot_prc_comum, cot_prc_min, cot_prc_max, cot_prc_med, cot_prc_mediana) VALUES ("&amp;A525&amp;", "&amp;B525&amp;", "&amp;C525&amp;", "&amp;D525&amp;", "&amp;E525&amp;", "&amp;F525&amp;", "&amp;G525&amp;", "&amp;H525&amp;");"</f>
        <v>INSERT INTO COTACAO (cot_id, cot_blt_id, cot_pap_id, cot_prc_comum, cot_prc_min, cot_prc_max, cot_prc_med, cot_prc_mediana) VALUES (524, 50, 12, 84, 84, 84, 84, 84);</v>
      </c>
      <c r="J525" s="0" t="str">
        <f aca="false">"UPDATE COTACAO SET cot_id = "&amp;A525&amp;", cot_blt_id = "&amp;B525&amp;", cot_pap_id = "&amp;C525&amp;", cot_prc_comum = "&amp;D525&amp;", cot_prc_min = "&amp;E525&amp;", cot_prc_max = "&amp;F525&amp;", cot_prc_med = "&amp;G525&amp;", cot_prc_mediana = "&amp;H525&amp;" WHERE cot_id = "&amp;A525&amp;";"</f>
        <v>UPDATE COTACAO SET cot_id = 524, cot_blt_id = 50, cot_pap_id = 12, cot_prc_comum = 84, cot_prc_min = 84, cot_prc_max = 84, cot_prc_med = 84, cot_prc_mediana = 84 WHERE cot_id = 524;</v>
      </c>
    </row>
    <row r="526" customFormat="false" ht="14.25" hidden="false" customHeight="false" outlineLevel="0" collapsed="false">
      <c r="A526" s="0" t="n">
        <v>525</v>
      </c>
      <c r="B526" s="0" t="n">
        <f aca="false">IF('Boletins Nuppa Site'!A526&lt;&gt;0,'Boletins Nuppa Site'!A526,"NULL")</f>
        <v>50</v>
      </c>
      <c r="C526" s="0" t="n">
        <v>13</v>
      </c>
      <c r="D526" s="30" t="n">
        <f aca="false">IF('Boletins Nuppa Site'!G526&lt;&gt;0,'Boletins Nuppa Site'!G526,"NULL")</f>
        <v>72</v>
      </c>
      <c r="E526" s="30" t="n">
        <f aca="false">IF('Boletins Nuppa Site'!H526&lt;&gt;0,'Boletins Nuppa Site'!H526,"NULL")</f>
        <v>72</v>
      </c>
      <c r="F526" s="30" t="n">
        <f aca="false">IF('Boletins Nuppa Site'!I526&lt;&gt;0,'Boletins Nuppa Site'!I526,"NULL")</f>
        <v>84</v>
      </c>
      <c r="G526" s="30" t="n">
        <f aca="false">IF('Boletins Nuppa Site'!J526&lt;&gt;0,'Boletins Nuppa Site'!J526,"NULL")</f>
        <v>76</v>
      </c>
      <c r="H526" s="30" t="n">
        <f aca="false">IF('Boletins Nuppa Site'!K526&lt;&gt;0,'Boletins Nuppa Site'!K526,"NULL")</f>
        <v>72</v>
      </c>
      <c r="I526" s="0" t="str">
        <f aca="false">"INSERT INTO COTACAO (cot_id, cot_blt_id, cot_pap_id, cot_prc_comum, cot_prc_min, cot_prc_max, cot_prc_med, cot_prc_mediana) VALUES ("&amp;A526&amp;", "&amp;B526&amp;", "&amp;C526&amp;", "&amp;D526&amp;", "&amp;E526&amp;", "&amp;F526&amp;", "&amp;G526&amp;", "&amp;H526&amp;");"</f>
        <v>INSERT INTO COTACAO (cot_id, cot_blt_id, cot_pap_id, cot_prc_comum, cot_prc_min, cot_prc_max, cot_prc_med, cot_prc_mediana) VALUES (525, 50, 13, 72, 72, 84, 76, 72);</v>
      </c>
      <c r="J526" s="0" t="str">
        <f aca="false">"UPDATE COTACAO SET cot_id = "&amp;A526&amp;", cot_blt_id = "&amp;B526&amp;", cot_pap_id = "&amp;C526&amp;", cot_prc_comum = "&amp;D526&amp;", cot_prc_min = "&amp;E526&amp;", cot_prc_max = "&amp;F526&amp;", cot_prc_med = "&amp;G526&amp;", cot_prc_mediana = "&amp;H526&amp;" WHERE cot_id = "&amp;A526&amp;";"</f>
        <v>UPDATE COTACAO SET cot_id = 525, cot_blt_id = 50, cot_pap_id = 13, cot_prc_comum = 72, cot_prc_min = 72, cot_prc_max = 84, cot_prc_med = 76, cot_prc_mediana = 72 WHERE cot_id = 525;</v>
      </c>
    </row>
    <row r="527" customFormat="false" ht="14.25" hidden="false" customHeight="false" outlineLevel="0" collapsed="false">
      <c r="A527" s="0" t="n">
        <v>526</v>
      </c>
      <c r="B527" s="0" t="n">
        <f aca="false">IF('Boletins Nuppa Site'!A527&lt;&gt;0,'Boletins Nuppa Site'!A527,"NULL")</f>
        <v>50</v>
      </c>
      <c r="C527" s="0" t="n">
        <v>14</v>
      </c>
      <c r="D527" s="30" t="n">
        <f aca="false">IF('Boletins Nuppa Site'!G527&lt;&gt;0,'Boletins Nuppa Site'!G527,"NULL")</f>
        <v>60</v>
      </c>
      <c r="E527" s="30" t="n">
        <f aca="false">IF('Boletins Nuppa Site'!H527&lt;&gt;0,'Boletins Nuppa Site'!H527,"NULL")</f>
        <v>60</v>
      </c>
      <c r="F527" s="30" t="n">
        <f aca="false">IF('Boletins Nuppa Site'!I527&lt;&gt;0,'Boletins Nuppa Site'!I527,"NULL")</f>
        <v>96</v>
      </c>
      <c r="G527" s="30" t="n">
        <f aca="false">IF('Boletins Nuppa Site'!J527&lt;&gt;0,'Boletins Nuppa Site'!J527,"NULL")</f>
        <v>72</v>
      </c>
      <c r="H527" s="30" t="n">
        <f aca="false">IF('Boletins Nuppa Site'!K527&lt;&gt;0,'Boletins Nuppa Site'!K527,"NULL")</f>
        <v>60</v>
      </c>
      <c r="I527" s="0" t="str">
        <f aca="false">"INSERT INTO COTACAO (cot_id, cot_blt_id, cot_pap_id, cot_prc_comum, cot_prc_min, cot_prc_max, cot_prc_med, cot_prc_mediana) VALUES ("&amp;A527&amp;", "&amp;B527&amp;", "&amp;C527&amp;", "&amp;D527&amp;", "&amp;E527&amp;", "&amp;F527&amp;", "&amp;G527&amp;", "&amp;H527&amp;");"</f>
        <v>INSERT INTO COTACAO (cot_id, cot_blt_id, cot_pap_id, cot_prc_comum, cot_prc_min, cot_prc_max, cot_prc_med, cot_prc_mediana) VALUES (526, 50, 14, 60, 60, 96, 72, 60);</v>
      </c>
      <c r="J527" s="0" t="str">
        <f aca="false">"UPDATE COTACAO SET cot_id = "&amp;A527&amp;", cot_blt_id = "&amp;B527&amp;", cot_pap_id = "&amp;C527&amp;", cot_prc_comum = "&amp;D527&amp;", cot_prc_min = "&amp;E527&amp;", cot_prc_max = "&amp;F527&amp;", cot_prc_med = "&amp;G527&amp;", cot_prc_mediana = "&amp;H527&amp;" WHERE cot_id = "&amp;A527&amp;";"</f>
        <v>UPDATE COTACAO SET cot_id = 526, cot_blt_id = 50, cot_pap_id = 14, cot_prc_comum = 60, cot_prc_min = 60, cot_prc_max = 96, cot_prc_med = 72, cot_prc_mediana = 60 WHERE cot_id = 526;</v>
      </c>
    </row>
    <row r="528" customFormat="false" ht="14.25" hidden="false" customHeight="false" outlineLevel="0" collapsed="false">
      <c r="A528" s="0" t="n">
        <v>527</v>
      </c>
      <c r="B528" s="0" t="n">
        <f aca="false">IF('Boletins Nuppa Site'!A528&lt;&gt;0,'Boletins Nuppa Site'!A528,"NULL")</f>
        <v>50</v>
      </c>
      <c r="C528" s="0" t="n">
        <v>15</v>
      </c>
      <c r="D528" s="0" t="str">
        <f aca="false">IF('Boletins Nuppa Site'!G528&lt;&gt;0,'Boletins Nuppa Site'!G528,"NULL")</f>
        <v>NULL</v>
      </c>
      <c r="E528" s="30" t="n">
        <f aca="false">IF('Boletins Nuppa Site'!H528&lt;&gt;0,'Boletins Nuppa Site'!H528,"NULL")</f>
        <v>48</v>
      </c>
      <c r="F528" s="30" t="n">
        <f aca="false">IF('Boletins Nuppa Site'!I528&lt;&gt;0,'Boletins Nuppa Site'!I528,"NULL")</f>
        <v>70</v>
      </c>
      <c r="G528" s="0" t="str">
        <f aca="false">IF('Boletins Nuppa Site'!J528&lt;&gt;0,'Boletins Nuppa Site'!J528,"NULL")</f>
        <v>59.33</v>
      </c>
      <c r="H528" s="30" t="n">
        <f aca="false">IF('Boletins Nuppa Site'!K528&lt;&gt;0,'Boletins Nuppa Site'!K528,"NULL")</f>
        <v>60</v>
      </c>
      <c r="I528" s="0" t="str">
        <f aca="false">"INSERT INTO COTACAO (cot_id, cot_blt_id, cot_pap_id, cot_prc_comum, cot_prc_min, cot_prc_max, cot_prc_med, cot_prc_mediana) VALUES ("&amp;A528&amp;", "&amp;B528&amp;", "&amp;C528&amp;", "&amp;D528&amp;", "&amp;E528&amp;", "&amp;F528&amp;", "&amp;G528&amp;", "&amp;H528&amp;");"</f>
        <v>INSERT INTO COTACAO (cot_id, cot_blt_id, cot_pap_id, cot_prc_comum, cot_prc_min, cot_prc_max, cot_prc_med, cot_prc_mediana) VALUES (527, 50, 15, NULL, 48, 70, 59.33, 60);</v>
      </c>
      <c r="J528" s="0" t="str">
        <f aca="false">"UPDATE COTACAO SET cot_id = "&amp;A528&amp;", cot_blt_id = "&amp;B528&amp;", cot_pap_id = "&amp;C528&amp;", cot_prc_comum = "&amp;D528&amp;", cot_prc_min = "&amp;E528&amp;", cot_prc_max = "&amp;F528&amp;", cot_prc_med = "&amp;G528&amp;", cot_prc_mediana = "&amp;H528&amp;" WHERE cot_id = "&amp;A528&amp;";"</f>
        <v>UPDATE COTACAO SET cot_id = 527, cot_blt_id = 50, cot_pap_id = 15, cot_prc_comum = NULL, cot_prc_min = 48, cot_prc_max = 70, cot_prc_med = 59.33, cot_prc_mediana = 60 WHERE cot_id = 527;</v>
      </c>
    </row>
    <row r="529" customFormat="false" ht="14.25" hidden="false" customHeight="false" outlineLevel="0" collapsed="false">
      <c r="A529" s="0" t="n">
        <v>528</v>
      </c>
      <c r="B529" s="0" t="n">
        <f aca="false">IF('Boletins Nuppa Site'!A529&lt;&gt;0,'Boletins Nuppa Site'!A529,"NULL")</f>
        <v>50</v>
      </c>
      <c r="C529" s="0" t="n">
        <v>16</v>
      </c>
      <c r="D529" s="30" t="n">
        <f aca="false">IF('Boletins Nuppa Site'!G529&lt;&gt;0,'Boletins Nuppa Site'!G529,"NULL")</f>
        <v>54</v>
      </c>
      <c r="E529" s="30" t="n">
        <f aca="false">IF('Boletins Nuppa Site'!H529&lt;&gt;0,'Boletins Nuppa Site'!H529,"NULL")</f>
        <v>48</v>
      </c>
      <c r="F529" s="30" t="n">
        <f aca="false">IF('Boletins Nuppa Site'!I529&lt;&gt;0,'Boletins Nuppa Site'!I529,"NULL")</f>
        <v>54</v>
      </c>
      <c r="G529" s="30" t="n">
        <f aca="false">IF('Boletins Nuppa Site'!J529&lt;&gt;0,'Boletins Nuppa Site'!J529,"NULL")</f>
        <v>52</v>
      </c>
      <c r="H529" s="30" t="n">
        <f aca="false">IF('Boletins Nuppa Site'!K529&lt;&gt;0,'Boletins Nuppa Site'!K529,"NULL")</f>
        <v>54</v>
      </c>
      <c r="I529" s="0" t="str">
        <f aca="false">"INSERT INTO COTACAO (cot_id, cot_blt_id, cot_pap_id, cot_prc_comum, cot_prc_min, cot_prc_max, cot_prc_med, cot_prc_mediana) VALUES ("&amp;A529&amp;", "&amp;B529&amp;", "&amp;C529&amp;", "&amp;D529&amp;", "&amp;E529&amp;", "&amp;F529&amp;", "&amp;G529&amp;", "&amp;H529&amp;");"</f>
        <v>INSERT INTO COTACAO (cot_id, cot_blt_id, cot_pap_id, cot_prc_comum, cot_prc_min, cot_prc_max, cot_prc_med, cot_prc_mediana) VALUES (528, 50, 16, 54, 48, 54, 52, 54);</v>
      </c>
      <c r="J529" s="0" t="str">
        <f aca="false">"UPDATE COTACAO SET cot_id = "&amp;A529&amp;", cot_blt_id = "&amp;B529&amp;", cot_pap_id = "&amp;C529&amp;", cot_prc_comum = "&amp;D529&amp;", cot_prc_min = "&amp;E529&amp;", cot_prc_max = "&amp;F529&amp;", cot_prc_med = "&amp;G529&amp;", cot_prc_mediana = "&amp;H529&amp;" WHERE cot_id = "&amp;A529&amp;";"</f>
        <v>UPDATE COTACAO SET cot_id = 528, cot_blt_id = 50, cot_pap_id = 16, cot_prc_comum = 54, cot_prc_min = 48, cot_prc_max = 54, cot_prc_med = 52, cot_prc_mediana = 54 WHERE cot_id = 528;</v>
      </c>
    </row>
    <row r="530" customFormat="false" ht="14.25" hidden="false" customHeight="false" outlineLevel="0" collapsed="false">
      <c r="A530" s="0" t="n">
        <v>529</v>
      </c>
      <c r="B530" s="0" t="n">
        <f aca="false">IF('Boletins Nuppa Site'!A530&lt;&gt;0,'Boletins Nuppa Site'!A530,"NULL")</f>
        <v>50</v>
      </c>
      <c r="C530" s="0" t="n">
        <v>17</v>
      </c>
      <c r="D530" s="30" t="n">
        <f aca="false">IF('Boletins Nuppa Site'!G530&lt;&gt;0,'Boletins Nuppa Site'!G530,"NULL")</f>
        <v>5</v>
      </c>
      <c r="E530" s="30" t="n">
        <f aca="false">IF('Boletins Nuppa Site'!H530&lt;&gt;0,'Boletins Nuppa Site'!H530,"NULL")</f>
        <v>5</v>
      </c>
      <c r="F530" s="30" t="n">
        <f aca="false">IF('Boletins Nuppa Site'!I530&lt;&gt;0,'Boletins Nuppa Site'!I530,"NULL")</f>
        <v>5</v>
      </c>
      <c r="G530" s="30" t="n">
        <f aca="false">IF('Boletins Nuppa Site'!J530&lt;&gt;0,'Boletins Nuppa Site'!J530,"NULL")</f>
        <v>5</v>
      </c>
      <c r="H530" s="30" t="n">
        <f aca="false">IF('Boletins Nuppa Site'!K530&lt;&gt;0,'Boletins Nuppa Site'!K530,"NULL")</f>
        <v>5</v>
      </c>
      <c r="I530" s="0" t="str">
        <f aca="false">"INSERT INTO COTACAO (cot_id, cot_blt_id, cot_pap_id, cot_prc_comum, cot_prc_min, cot_prc_max, cot_prc_med, cot_prc_mediana) VALUES ("&amp;A530&amp;", "&amp;B530&amp;", "&amp;C530&amp;", "&amp;D530&amp;", "&amp;E530&amp;", "&amp;F530&amp;", "&amp;G530&amp;", "&amp;H530&amp;");"</f>
        <v>INSERT INTO COTACAO (cot_id, cot_blt_id, cot_pap_id, cot_prc_comum, cot_prc_min, cot_prc_max, cot_prc_med, cot_prc_mediana) VALUES (529, 50, 17, 5, 5, 5, 5, 5);</v>
      </c>
      <c r="J530" s="0" t="str">
        <f aca="false">"UPDATE COTACAO SET cot_id = "&amp;A530&amp;", cot_blt_id = "&amp;B530&amp;", cot_pap_id = "&amp;C530&amp;", cot_prc_comum = "&amp;D530&amp;", cot_prc_min = "&amp;E530&amp;", cot_prc_max = "&amp;F530&amp;", cot_prc_med = "&amp;G530&amp;", cot_prc_mediana = "&amp;H530&amp;" WHERE cot_id = "&amp;A530&amp;";"</f>
        <v>UPDATE COTACAO SET cot_id = 529, cot_blt_id = 50, cot_pap_id = 17, cot_prc_comum = 5, cot_prc_min = 5, cot_prc_max = 5, cot_prc_med = 5, cot_prc_mediana = 5 WHERE cot_id = 529;</v>
      </c>
    </row>
    <row r="531" customFormat="false" ht="14.25" hidden="false" customHeight="false" outlineLevel="0" collapsed="false">
      <c r="A531" s="0" t="n">
        <v>530</v>
      </c>
      <c r="B531" s="0" t="n">
        <f aca="false">IF('Boletins Nuppa Site'!A531&lt;&gt;0,'Boletins Nuppa Site'!A531,"NULL")</f>
        <v>50</v>
      </c>
      <c r="C531" s="0" t="n">
        <v>18</v>
      </c>
      <c r="D531" s="0" t="str">
        <f aca="false">IF('Boletins Nuppa Site'!G531&lt;&gt;0,'Boletins Nuppa Site'!G531,"NULL")</f>
        <v>NULL</v>
      </c>
      <c r="E531" s="30" t="n">
        <f aca="false">IF('Boletins Nuppa Site'!H531&lt;&gt;0,'Boletins Nuppa Site'!H531,"NULL")</f>
        <v>25</v>
      </c>
      <c r="F531" s="30" t="n">
        <f aca="false">IF('Boletins Nuppa Site'!I531&lt;&gt;0,'Boletins Nuppa Site'!I531,"NULL")</f>
        <v>30</v>
      </c>
      <c r="G531" s="0" t="str">
        <f aca="false">IF('Boletins Nuppa Site'!J531&lt;&gt;0,'Boletins Nuppa Site'!J531,"NULL")</f>
        <v>27.67</v>
      </c>
      <c r="H531" s="30" t="n">
        <f aca="false">IF('Boletins Nuppa Site'!K531&lt;&gt;0,'Boletins Nuppa Site'!K531,"NULL")</f>
        <v>28</v>
      </c>
      <c r="I531" s="0" t="str">
        <f aca="false">"INSERT INTO COTACAO (cot_id, cot_blt_id, cot_pap_id, cot_prc_comum, cot_prc_min, cot_prc_max, cot_prc_med, cot_prc_mediana) VALUES ("&amp;A531&amp;", "&amp;B531&amp;", "&amp;C531&amp;", "&amp;D531&amp;", "&amp;E531&amp;", "&amp;F531&amp;", "&amp;G531&amp;", "&amp;H531&amp;");"</f>
        <v>INSERT INTO COTACAO (cot_id, cot_blt_id, cot_pap_id, cot_prc_comum, cot_prc_min, cot_prc_max, cot_prc_med, cot_prc_mediana) VALUES (530, 50, 18, NULL, 25, 30, 27.67, 28);</v>
      </c>
      <c r="J531" s="0" t="str">
        <f aca="false">"UPDATE COTACAO SET cot_id = "&amp;A531&amp;", cot_blt_id = "&amp;B531&amp;", cot_pap_id = "&amp;C531&amp;", cot_prc_comum = "&amp;D531&amp;", cot_prc_min = "&amp;E531&amp;", cot_prc_max = "&amp;F531&amp;", cot_prc_med = "&amp;G531&amp;", cot_prc_mediana = "&amp;H531&amp;" WHERE cot_id = "&amp;A531&amp;";"</f>
        <v>UPDATE COTACAO SET cot_id = 530, cot_blt_id = 50, cot_pap_id = 18, cot_prc_comum = NULL, cot_prc_min = 25, cot_prc_max = 30, cot_prc_med = 27.67, cot_prc_mediana = 28 WHERE cot_id = 530;</v>
      </c>
    </row>
    <row r="532" customFormat="false" ht="14.25" hidden="false" customHeight="false" outlineLevel="0" collapsed="false">
      <c r="A532" s="0" t="n">
        <v>531</v>
      </c>
      <c r="B532" s="0" t="n">
        <f aca="false">IF('Boletins Nuppa Site'!A532&lt;&gt;0,'Boletins Nuppa Site'!A532,"NULL")</f>
        <v>50</v>
      </c>
      <c r="C532" s="0" t="n">
        <v>19</v>
      </c>
      <c r="D532" s="30" t="n">
        <f aca="false">IF('Boletins Nuppa Site'!G532&lt;&gt;0,'Boletins Nuppa Site'!G532,"NULL")</f>
        <v>35</v>
      </c>
      <c r="E532" s="30" t="n">
        <f aca="false">IF('Boletins Nuppa Site'!H532&lt;&gt;0,'Boletins Nuppa Site'!H532,"NULL")</f>
        <v>30</v>
      </c>
      <c r="F532" s="30" t="n">
        <f aca="false">IF('Boletins Nuppa Site'!I532&lt;&gt;0,'Boletins Nuppa Site'!I532,"NULL")</f>
        <v>35</v>
      </c>
      <c r="G532" s="0" t="str">
        <f aca="false">IF('Boletins Nuppa Site'!J532&lt;&gt;0,'Boletins Nuppa Site'!J532,"NULL")</f>
        <v>33.33</v>
      </c>
      <c r="H532" s="30" t="n">
        <f aca="false">IF('Boletins Nuppa Site'!K532&lt;&gt;0,'Boletins Nuppa Site'!K532,"NULL")</f>
        <v>35</v>
      </c>
      <c r="I532" s="0" t="str">
        <f aca="false">"INSERT INTO COTACAO (cot_id, cot_blt_id, cot_pap_id, cot_prc_comum, cot_prc_min, cot_prc_max, cot_prc_med, cot_prc_mediana) VALUES ("&amp;A532&amp;", "&amp;B532&amp;", "&amp;C532&amp;", "&amp;D532&amp;", "&amp;E532&amp;", "&amp;F532&amp;", "&amp;G532&amp;", "&amp;H532&amp;");"</f>
        <v>INSERT INTO COTACAO (cot_id, cot_blt_id, cot_pap_id, cot_prc_comum, cot_prc_min, cot_prc_max, cot_prc_med, cot_prc_mediana) VALUES (531, 50, 19, 35, 30, 35, 33.33, 35);</v>
      </c>
      <c r="J532" s="0" t="str">
        <f aca="false">"UPDATE COTACAO SET cot_id = "&amp;A532&amp;", cot_blt_id = "&amp;B532&amp;", cot_pap_id = "&amp;C532&amp;", cot_prc_comum = "&amp;D532&amp;", cot_prc_min = "&amp;E532&amp;", cot_prc_max = "&amp;F532&amp;", cot_prc_med = "&amp;G532&amp;", cot_prc_mediana = "&amp;H532&amp;" WHERE cot_id = "&amp;A532&amp;";"</f>
        <v>UPDATE COTACAO SET cot_id = 531, cot_blt_id = 50, cot_pap_id = 19, cot_prc_comum = 35, cot_prc_min = 30, cot_prc_max = 35, cot_prc_med = 33.33, cot_prc_mediana = 35 WHERE cot_id = 531;</v>
      </c>
    </row>
    <row r="533" customFormat="false" ht="14.25" hidden="false" customHeight="false" outlineLevel="0" collapsed="false">
      <c r="A533" s="0" t="n">
        <v>532</v>
      </c>
      <c r="B533" s="0" t="n">
        <f aca="false">IF('Boletins Nuppa Site'!A533&lt;&gt;0,'Boletins Nuppa Site'!A533,"NULL")</f>
        <v>50</v>
      </c>
      <c r="C533" s="0" t="n">
        <v>20</v>
      </c>
      <c r="D533" s="30" t="n">
        <f aca="false">IF('Boletins Nuppa Site'!G533&lt;&gt;0,'Boletins Nuppa Site'!G533,"NULL")</f>
        <v>110</v>
      </c>
      <c r="E533" s="30" t="n">
        <f aca="false">IF('Boletins Nuppa Site'!H533&lt;&gt;0,'Boletins Nuppa Site'!H533,"NULL")</f>
        <v>80</v>
      </c>
      <c r="F533" s="30" t="n">
        <f aca="false">IF('Boletins Nuppa Site'!I533&lt;&gt;0,'Boletins Nuppa Site'!I533,"NULL")</f>
        <v>110</v>
      </c>
      <c r="G533" s="30" t="n">
        <f aca="false">IF('Boletins Nuppa Site'!J533&lt;&gt;0,'Boletins Nuppa Site'!J533,"NULL")</f>
        <v>98</v>
      </c>
      <c r="H533" s="30" t="n">
        <f aca="false">IF('Boletins Nuppa Site'!K533&lt;&gt;0,'Boletins Nuppa Site'!K533,"NULL")</f>
        <v>100</v>
      </c>
      <c r="I533" s="0" t="str">
        <f aca="false">"INSERT INTO COTACAO (cot_id, cot_blt_id, cot_pap_id, cot_prc_comum, cot_prc_min, cot_prc_max, cot_prc_med, cot_prc_mediana) VALUES ("&amp;A533&amp;", "&amp;B533&amp;", "&amp;C533&amp;", "&amp;D533&amp;", "&amp;E533&amp;", "&amp;F533&amp;", "&amp;G533&amp;", "&amp;H533&amp;");"</f>
        <v>INSERT INTO COTACAO (cot_id, cot_blt_id, cot_pap_id, cot_prc_comum, cot_prc_min, cot_prc_max, cot_prc_med, cot_prc_mediana) VALUES (532, 50, 20, 110, 80, 110, 98, 100);</v>
      </c>
      <c r="J533" s="0" t="str">
        <f aca="false">"UPDATE COTACAO SET cot_id = "&amp;A533&amp;", cot_blt_id = "&amp;B533&amp;", cot_pap_id = "&amp;C533&amp;", cot_prc_comum = "&amp;D533&amp;", cot_prc_min = "&amp;E533&amp;", cot_prc_max = "&amp;F533&amp;", cot_prc_med = "&amp;G533&amp;", cot_prc_mediana = "&amp;H533&amp;" WHERE cot_id = "&amp;A533&amp;";"</f>
        <v>UPDATE COTACAO SET cot_id = 532, cot_blt_id = 50, cot_pap_id = 20, cot_prc_comum = 110, cot_prc_min = 80, cot_prc_max = 110, cot_prc_med = 98, cot_prc_mediana = 100 WHERE cot_id = 532;</v>
      </c>
    </row>
    <row r="534" customFormat="false" ht="14.25" hidden="false" customHeight="false" outlineLevel="0" collapsed="false">
      <c r="A534" s="0" t="n">
        <v>533</v>
      </c>
      <c r="B534" s="0" t="n">
        <f aca="false">IF('Boletins Nuppa Site'!A534&lt;&gt;0,'Boletins Nuppa Site'!A534,"NULL")</f>
        <v>50</v>
      </c>
      <c r="C534" s="0" t="n">
        <v>21</v>
      </c>
      <c r="D534" s="30" t="n">
        <f aca="false">IF('Boletins Nuppa Site'!G534&lt;&gt;0,'Boletins Nuppa Site'!G534,"NULL")</f>
        <v>80</v>
      </c>
      <c r="E534" s="30" t="n">
        <f aca="false">IF('Boletins Nuppa Site'!H534&lt;&gt;0,'Boletins Nuppa Site'!H534,"NULL")</f>
        <v>70</v>
      </c>
      <c r="F534" s="30" t="n">
        <f aca="false">IF('Boletins Nuppa Site'!I534&lt;&gt;0,'Boletins Nuppa Site'!I534,"NULL")</f>
        <v>90</v>
      </c>
      <c r="G534" s="0" t="str">
        <f aca="false">IF('Boletins Nuppa Site'!J534&lt;&gt;0,'Boletins Nuppa Site'!J534,"NULL")</f>
        <v>78.75</v>
      </c>
      <c r="H534" s="30" t="n">
        <f aca="false">IF('Boletins Nuppa Site'!K534&lt;&gt;0,'Boletins Nuppa Site'!K534,"NULL")</f>
        <v>80</v>
      </c>
      <c r="I534" s="0" t="str">
        <f aca="false">"INSERT INTO COTACAO (cot_id, cot_blt_id, cot_pap_id, cot_prc_comum, cot_prc_min, cot_prc_max, cot_prc_med, cot_prc_mediana) VALUES ("&amp;A534&amp;", "&amp;B534&amp;", "&amp;C534&amp;", "&amp;D534&amp;", "&amp;E534&amp;", "&amp;F534&amp;", "&amp;G534&amp;", "&amp;H534&amp;");"</f>
        <v>INSERT INTO COTACAO (cot_id, cot_blt_id, cot_pap_id, cot_prc_comum, cot_prc_min, cot_prc_max, cot_prc_med, cot_prc_mediana) VALUES (533, 50, 21, 80, 70, 90, 78.75, 80);</v>
      </c>
      <c r="J534" s="0" t="str">
        <f aca="false">"UPDATE COTACAO SET cot_id = "&amp;A534&amp;", cot_blt_id = "&amp;B534&amp;", cot_pap_id = "&amp;C534&amp;", cot_prc_comum = "&amp;D534&amp;", cot_prc_min = "&amp;E534&amp;", cot_prc_max = "&amp;F534&amp;", cot_prc_med = "&amp;G534&amp;", cot_prc_mediana = "&amp;H534&amp;" WHERE cot_id = "&amp;A534&amp;";"</f>
        <v>UPDATE COTACAO SET cot_id = 533, cot_blt_id = 50, cot_pap_id = 21, cot_prc_comum = 80, cot_prc_min = 70, cot_prc_max = 90, cot_prc_med = 78.75, cot_prc_mediana = 80 WHERE cot_id = 533;</v>
      </c>
    </row>
    <row r="535" customFormat="false" ht="14.25" hidden="false" customHeight="false" outlineLevel="0" collapsed="false">
      <c r="A535" s="0" t="n">
        <v>534</v>
      </c>
      <c r="B535" s="0" t="n">
        <f aca="false">IF('Boletins Nuppa Site'!A535&lt;&gt;0,'Boletins Nuppa Site'!A535,"NULL")</f>
        <v>50</v>
      </c>
      <c r="C535" s="0" t="n">
        <v>22</v>
      </c>
      <c r="D535" s="30" t="n">
        <f aca="false">IF('Boletins Nuppa Site'!G535&lt;&gt;0,'Boletins Nuppa Site'!G535,"NULL")</f>
        <v>70</v>
      </c>
      <c r="E535" s="30" t="n">
        <f aca="false">IF('Boletins Nuppa Site'!H535&lt;&gt;0,'Boletins Nuppa Site'!H535,"NULL")</f>
        <v>40</v>
      </c>
      <c r="F535" s="30" t="n">
        <f aca="false">IF('Boletins Nuppa Site'!I535&lt;&gt;0,'Boletins Nuppa Site'!I535,"NULL")</f>
        <v>75</v>
      </c>
      <c r="G535" s="0" t="str">
        <f aca="false">IF('Boletins Nuppa Site'!J535&lt;&gt;0,'Boletins Nuppa Site'!J535,"NULL")</f>
        <v>62.78</v>
      </c>
      <c r="H535" s="30" t="n">
        <f aca="false">IF('Boletins Nuppa Site'!K535&lt;&gt;0,'Boletins Nuppa Site'!K535,"NULL")</f>
        <v>70</v>
      </c>
      <c r="I535" s="0" t="str">
        <f aca="false">"INSERT INTO COTACAO (cot_id, cot_blt_id, cot_pap_id, cot_prc_comum, cot_prc_min, cot_prc_max, cot_prc_med, cot_prc_mediana) VALUES ("&amp;A535&amp;", "&amp;B535&amp;", "&amp;C535&amp;", "&amp;D535&amp;", "&amp;E535&amp;", "&amp;F535&amp;", "&amp;G535&amp;", "&amp;H535&amp;");"</f>
        <v>INSERT INTO COTACAO (cot_id, cot_blt_id, cot_pap_id, cot_prc_comum, cot_prc_min, cot_prc_max, cot_prc_med, cot_prc_mediana) VALUES (534, 50, 22, 70, 40, 75, 62.78, 70);</v>
      </c>
      <c r="J535" s="0" t="str">
        <f aca="false">"UPDATE COTACAO SET cot_id = "&amp;A535&amp;", cot_blt_id = "&amp;B535&amp;", cot_pap_id = "&amp;C535&amp;", cot_prc_comum = "&amp;D535&amp;", cot_prc_min = "&amp;E535&amp;", cot_prc_max = "&amp;F535&amp;", cot_prc_med = "&amp;G535&amp;", cot_prc_mediana = "&amp;H535&amp;" WHERE cot_id = "&amp;A535&amp;";"</f>
        <v>UPDATE COTACAO SET cot_id = 534, cot_blt_id = 50, cot_pap_id = 22, cot_prc_comum = 70, cot_prc_min = 40, cot_prc_max = 75, cot_prc_med = 62.78, cot_prc_mediana = 70 WHERE cot_id = 534;</v>
      </c>
    </row>
    <row r="536" customFormat="false" ht="14.25" hidden="false" customHeight="false" outlineLevel="0" collapsed="false">
      <c r="A536" s="0" t="n">
        <v>535</v>
      </c>
      <c r="B536" s="0" t="n">
        <f aca="false">IF('Boletins Nuppa Site'!A536&lt;&gt;0,'Boletins Nuppa Site'!A536,"NULL")</f>
        <v>50</v>
      </c>
      <c r="C536" s="0" t="n">
        <v>23</v>
      </c>
      <c r="D536" s="30" t="n">
        <f aca="false">IF('Boletins Nuppa Site'!G536&lt;&gt;0,'Boletins Nuppa Site'!G536,"NULL")</f>
        <v>50</v>
      </c>
      <c r="E536" s="30" t="n">
        <f aca="false">IF('Boletins Nuppa Site'!H536&lt;&gt;0,'Boletins Nuppa Site'!H536,"NULL")</f>
        <v>35</v>
      </c>
      <c r="F536" s="30" t="n">
        <f aca="false">IF('Boletins Nuppa Site'!I536&lt;&gt;0,'Boletins Nuppa Site'!I536,"NULL")</f>
        <v>55</v>
      </c>
      <c r="G536" s="0" t="str">
        <f aca="false">IF('Boletins Nuppa Site'!J536&lt;&gt;0,'Boletins Nuppa Site'!J536,"NULL")</f>
        <v>44.38</v>
      </c>
      <c r="H536" s="30" t="n">
        <f aca="false">IF('Boletins Nuppa Site'!K536&lt;&gt;0,'Boletins Nuppa Site'!K536,"NULL")</f>
        <v>45</v>
      </c>
      <c r="I536" s="0" t="str">
        <f aca="false">"INSERT INTO COTACAO (cot_id, cot_blt_id, cot_pap_id, cot_prc_comum, cot_prc_min, cot_prc_max, cot_prc_med, cot_prc_mediana) VALUES ("&amp;A536&amp;", "&amp;B536&amp;", "&amp;C536&amp;", "&amp;D536&amp;", "&amp;E536&amp;", "&amp;F536&amp;", "&amp;G536&amp;", "&amp;H536&amp;");"</f>
        <v>INSERT INTO COTACAO (cot_id, cot_blt_id, cot_pap_id, cot_prc_comum, cot_prc_min, cot_prc_max, cot_prc_med, cot_prc_mediana) VALUES (535, 50, 23, 50, 35, 55, 44.38, 45);</v>
      </c>
      <c r="J536" s="0" t="str">
        <f aca="false">"UPDATE COTACAO SET cot_id = "&amp;A536&amp;", cot_blt_id = "&amp;B536&amp;", cot_pap_id = "&amp;C536&amp;", cot_prc_comum = "&amp;D536&amp;", cot_prc_min = "&amp;E536&amp;", cot_prc_max = "&amp;F536&amp;", cot_prc_med = "&amp;G536&amp;", cot_prc_mediana = "&amp;H536&amp;" WHERE cot_id = "&amp;A536&amp;";"</f>
        <v>UPDATE COTACAO SET cot_id = 535, cot_blt_id = 50, cot_pap_id = 23, cot_prc_comum = 50, cot_prc_min = 35, cot_prc_max = 55, cot_prc_med = 44.38, cot_prc_mediana = 45 WHERE cot_id = 535;</v>
      </c>
    </row>
    <row r="537" customFormat="false" ht="14.25" hidden="false" customHeight="false" outlineLevel="0" collapsed="false">
      <c r="A537" s="0" t="n">
        <v>536</v>
      </c>
      <c r="B537" s="0" t="n">
        <f aca="false">IF('Boletins Nuppa Site'!A537&lt;&gt;0,'Boletins Nuppa Site'!A537,"NULL")</f>
        <v>50</v>
      </c>
      <c r="C537" s="0" t="n">
        <v>24</v>
      </c>
      <c r="D537" s="0" t="str">
        <f aca="false">IF('Boletins Nuppa Site'!G537&lt;&gt;0,'Boletins Nuppa Site'!G537,"NULL")</f>
        <v>NULL</v>
      </c>
      <c r="E537" s="30" t="n">
        <f aca="false">IF('Boletins Nuppa Site'!H537&lt;&gt;0,'Boletins Nuppa Site'!H537,"NULL")</f>
        <v>90</v>
      </c>
      <c r="F537" s="30" t="n">
        <f aca="false">IF('Boletins Nuppa Site'!I537&lt;&gt;0,'Boletins Nuppa Site'!I537,"NULL")</f>
        <v>115</v>
      </c>
      <c r="G537" s="30" t="n">
        <f aca="false">IF('Boletins Nuppa Site'!J537&lt;&gt;0,'Boletins Nuppa Site'!J537,"NULL")</f>
        <v>105</v>
      </c>
      <c r="H537" s="30" t="n">
        <f aca="false">IF('Boletins Nuppa Site'!K537&lt;&gt;0,'Boletins Nuppa Site'!K537,"NULL")</f>
        <v>110</v>
      </c>
      <c r="I537" s="0" t="str">
        <f aca="false">"INSERT INTO COTACAO (cot_id, cot_blt_id, cot_pap_id, cot_prc_comum, cot_prc_min, cot_prc_max, cot_prc_med, cot_prc_mediana) VALUES ("&amp;A537&amp;", "&amp;B537&amp;", "&amp;C537&amp;", "&amp;D537&amp;", "&amp;E537&amp;", "&amp;F537&amp;", "&amp;G537&amp;", "&amp;H537&amp;");"</f>
        <v>INSERT INTO COTACAO (cot_id, cot_blt_id, cot_pap_id, cot_prc_comum, cot_prc_min, cot_prc_max, cot_prc_med, cot_prc_mediana) VALUES (536, 50, 24, NULL, 90, 115, 105, 110);</v>
      </c>
      <c r="J537" s="0" t="str">
        <f aca="false">"UPDATE COTACAO SET cot_id = "&amp;A537&amp;", cot_blt_id = "&amp;B537&amp;", cot_pap_id = "&amp;C537&amp;", cot_prc_comum = "&amp;D537&amp;", cot_prc_min = "&amp;E537&amp;", cot_prc_max = "&amp;F537&amp;", cot_prc_med = "&amp;G537&amp;", cot_prc_mediana = "&amp;H537&amp;" WHERE cot_id = "&amp;A537&amp;";"</f>
        <v>UPDATE COTACAO SET cot_id = 536, cot_blt_id = 50, cot_pap_id = 24, cot_prc_comum = NULL, cot_prc_min = 90, cot_prc_max = 115, cot_prc_med = 105, cot_prc_mediana = 110 WHERE cot_id = 536;</v>
      </c>
    </row>
    <row r="538" customFormat="false" ht="14.25" hidden="false" customHeight="false" outlineLevel="0" collapsed="false">
      <c r="A538" s="0" t="n">
        <v>537</v>
      </c>
      <c r="B538" s="0" t="n">
        <f aca="false">IF('Boletins Nuppa Site'!A538&lt;&gt;0,'Boletins Nuppa Site'!A538,"NULL")</f>
        <v>50</v>
      </c>
      <c r="C538" s="0" t="n">
        <v>25</v>
      </c>
      <c r="D538" s="30" t="n">
        <f aca="false">IF('Boletins Nuppa Site'!G538&lt;&gt;0,'Boletins Nuppa Site'!G538,"NULL")</f>
        <v>150</v>
      </c>
      <c r="E538" s="30" t="n">
        <f aca="false">IF('Boletins Nuppa Site'!H538&lt;&gt;0,'Boletins Nuppa Site'!H538,"NULL")</f>
        <v>100</v>
      </c>
      <c r="F538" s="30" t="n">
        <f aca="false">IF('Boletins Nuppa Site'!I538&lt;&gt;0,'Boletins Nuppa Site'!I538,"NULL")</f>
        <v>150</v>
      </c>
      <c r="G538" s="0" t="str">
        <f aca="false">IF('Boletins Nuppa Site'!J538&lt;&gt;0,'Boletins Nuppa Site'!J538,"NULL")</f>
        <v>125.71</v>
      </c>
      <c r="H538" s="30" t="n">
        <f aca="false">IF('Boletins Nuppa Site'!K538&lt;&gt;0,'Boletins Nuppa Site'!K538,"NULL")</f>
        <v>130</v>
      </c>
      <c r="I538" s="0" t="str">
        <f aca="false">"INSERT INTO COTACAO (cot_id, cot_blt_id, cot_pap_id, cot_prc_comum, cot_prc_min, cot_prc_max, cot_prc_med, cot_prc_mediana) VALUES ("&amp;A538&amp;", "&amp;B538&amp;", "&amp;C538&amp;", "&amp;D538&amp;", "&amp;E538&amp;", "&amp;F538&amp;", "&amp;G538&amp;", "&amp;H538&amp;");"</f>
        <v>INSERT INTO COTACAO (cot_id, cot_blt_id, cot_pap_id, cot_prc_comum, cot_prc_min, cot_prc_max, cot_prc_med, cot_prc_mediana) VALUES (537, 50, 25, 150, 100, 150, 125.71, 130);</v>
      </c>
      <c r="J538" s="0" t="str">
        <f aca="false">"UPDATE COTACAO SET cot_id = "&amp;A538&amp;", cot_blt_id = "&amp;B538&amp;", cot_pap_id = "&amp;C538&amp;", cot_prc_comum = "&amp;D538&amp;", cot_prc_min = "&amp;E538&amp;", cot_prc_max = "&amp;F538&amp;", cot_prc_med = "&amp;G538&amp;", cot_prc_mediana = "&amp;H538&amp;" WHERE cot_id = "&amp;A538&amp;";"</f>
        <v>UPDATE COTACAO SET cot_id = 537, cot_blt_id = 50, cot_pap_id = 25, cot_prc_comum = 150, cot_prc_min = 100, cot_prc_max = 150, cot_prc_med = 125.71, cot_prc_mediana = 130 WHERE cot_id = 537;</v>
      </c>
    </row>
    <row r="539" customFormat="false" ht="14.25" hidden="false" customHeight="false" outlineLevel="0" collapsed="false">
      <c r="A539" s="0" t="n">
        <v>538</v>
      </c>
      <c r="B539" s="0" t="n">
        <f aca="false">IF('Boletins Nuppa Site'!A539&lt;&gt;0,'Boletins Nuppa Site'!A539,"NULL")</f>
        <v>50</v>
      </c>
      <c r="C539" s="0" t="n">
        <v>26</v>
      </c>
      <c r="D539" s="30" t="n">
        <f aca="false">IF('Boletins Nuppa Site'!G539&lt;&gt;0,'Boletins Nuppa Site'!G539,"NULL")</f>
        <v>140</v>
      </c>
      <c r="E539" s="30" t="n">
        <f aca="false">IF('Boletins Nuppa Site'!H539&lt;&gt;0,'Boletins Nuppa Site'!H539,"NULL")</f>
        <v>80</v>
      </c>
      <c r="F539" s="30" t="n">
        <f aca="false">IF('Boletins Nuppa Site'!I539&lt;&gt;0,'Boletins Nuppa Site'!I539,"NULL")</f>
        <v>170</v>
      </c>
      <c r="G539" s="30" t="n">
        <f aca="false">IF('Boletins Nuppa Site'!J539&lt;&gt;0,'Boletins Nuppa Site'!J539,"NULL")</f>
        <v>130</v>
      </c>
      <c r="H539" s="30" t="n">
        <f aca="false">IF('Boletins Nuppa Site'!K539&lt;&gt;0,'Boletins Nuppa Site'!K539,"NULL")</f>
        <v>130</v>
      </c>
      <c r="I539" s="0" t="str">
        <f aca="false">"INSERT INTO COTACAO (cot_id, cot_blt_id, cot_pap_id, cot_prc_comum, cot_prc_min, cot_prc_max, cot_prc_med, cot_prc_mediana) VALUES ("&amp;A539&amp;", "&amp;B539&amp;", "&amp;C539&amp;", "&amp;D539&amp;", "&amp;E539&amp;", "&amp;F539&amp;", "&amp;G539&amp;", "&amp;H539&amp;");"</f>
        <v>INSERT INTO COTACAO (cot_id, cot_blt_id, cot_pap_id, cot_prc_comum, cot_prc_min, cot_prc_max, cot_prc_med, cot_prc_mediana) VALUES (538, 50, 26, 140, 80, 170, 130, 130);</v>
      </c>
      <c r="J539" s="0" t="str">
        <f aca="false">"UPDATE COTACAO SET cot_id = "&amp;A539&amp;", cot_blt_id = "&amp;B539&amp;", cot_pap_id = "&amp;C539&amp;", cot_prc_comum = "&amp;D539&amp;", cot_prc_min = "&amp;E539&amp;", cot_prc_max = "&amp;F539&amp;", cot_prc_med = "&amp;G539&amp;", cot_prc_mediana = "&amp;H539&amp;" WHERE cot_id = "&amp;A539&amp;";"</f>
        <v>UPDATE COTACAO SET cot_id = 538, cot_blt_id = 50, cot_pap_id = 26, cot_prc_comum = 140, cot_prc_min = 80, cot_prc_max = 170, cot_prc_med = 130, cot_prc_mediana = 130 WHERE cot_id = 538;</v>
      </c>
    </row>
    <row r="540" customFormat="false" ht="14.25" hidden="false" customHeight="false" outlineLevel="0" collapsed="false">
      <c r="A540" s="0" t="n">
        <v>539</v>
      </c>
      <c r="B540" s="0" t="n">
        <f aca="false">IF('Boletins Nuppa Site'!A540&lt;&gt;0,'Boletins Nuppa Site'!A540,"NULL")</f>
        <v>50</v>
      </c>
      <c r="C540" s="0" t="n">
        <v>27</v>
      </c>
      <c r="D540" s="30" t="n">
        <f aca="false">IF('Boletins Nuppa Site'!G540&lt;&gt;0,'Boletins Nuppa Site'!G540,"NULL")</f>
        <v>60</v>
      </c>
      <c r="E540" s="30" t="n">
        <f aca="false">IF('Boletins Nuppa Site'!H540&lt;&gt;0,'Boletins Nuppa Site'!H540,"NULL")</f>
        <v>40</v>
      </c>
      <c r="F540" s="30" t="n">
        <f aca="false">IF('Boletins Nuppa Site'!I540&lt;&gt;0,'Boletins Nuppa Site'!I540,"NULL")</f>
        <v>80</v>
      </c>
      <c r="G540" s="0" t="str">
        <f aca="false">IF('Boletins Nuppa Site'!J540&lt;&gt;0,'Boletins Nuppa Site'!J540,"NULL")</f>
        <v>61.25</v>
      </c>
      <c r="H540" s="30" t="n">
        <f aca="false">IF('Boletins Nuppa Site'!K540&lt;&gt;0,'Boletins Nuppa Site'!K540,"NULL")</f>
        <v>60</v>
      </c>
      <c r="I540" s="0" t="str">
        <f aca="false">"INSERT INTO COTACAO (cot_id, cot_blt_id, cot_pap_id, cot_prc_comum, cot_prc_min, cot_prc_max, cot_prc_med, cot_prc_mediana) VALUES ("&amp;A540&amp;", "&amp;B540&amp;", "&amp;C540&amp;", "&amp;D540&amp;", "&amp;E540&amp;", "&amp;F540&amp;", "&amp;G540&amp;", "&amp;H540&amp;");"</f>
        <v>INSERT INTO COTACAO (cot_id, cot_blt_id, cot_pap_id, cot_prc_comum, cot_prc_min, cot_prc_max, cot_prc_med, cot_prc_mediana) VALUES (539, 50, 27, 60, 40, 80, 61.25, 60);</v>
      </c>
      <c r="J540" s="0" t="str">
        <f aca="false">"UPDATE COTACAO SET cot_id = "&amp;A540&amp;", cot_blt_id = "&amp;B540&amp;", cot_pap_id = "&amp;C540&amp;", cot_prc_comum = "&amp;D540&amp;", cot_prc_min = "&amp;E540&amp;", cot_prc_max = "&amp;F540&amp;", cot_prc_med = "&amp;G540&amp;", cot_prc_mediana = "&amp;H540&amp;" WHERE cot_id = "&amp;A540&amp;";"</f>
        <v>UPDATE COTACAO SET cot_id = 539, cot_blt_id = 50, cot_pap_id = 27, cot_prc_comum = 60, cot_prc_min = 40, cot_prc_max = 80, cot_prc_med = 61.25, cot_prc_mediana = 60 WHERE cot_id = 539;</v>
      </c>
    </row>
    <row r="541" customFormat="false" ht="14.25" hidden="false" customHeight="false" outlineLevel="0" collapsed="false">
      <c r="A541" s="0" t="n">
        <v>540</v>
      </c>
      <c r="B541" s="0" t="n">
        <f aca="false">IF('Boletins Nuppa Site'!A541&lt;&gt;0,'Boletins Nuppa Site'!A541,"NULL")</f>
        <v>50</v>
      </c>
      <c r="C541" s="0" t="n">
        <v>28</v>
      </c>
      <c r="D541" s="30" t="n">
        <f aca="false">IF('Boletins Nuppa Site'!G541&lt;&gt;0,'Boletins Nuppa Site'!G541,"NULL")</f>
        <v>100</v>
      </c>
      <c r="E541" s="30" t="n">
        <f aca="false">IF('Boletins Nuppa Site'!H541&lt;&gt;0,'Boletins Nuppa Site'!H541,"NULL")</f>
        <v>60</v>
      </c>
      <c r="F541" s="30" t="n">
        <f aca="false">IF('Boletins Nuppa Site'!I541&lt;&gt;0,'Boletins Nuppa Site'!I541,"NULL")</f>
        <v>120</v>
      </c>
      <c r="G541" s="0" t="str">
        <f aca="false">IF('Boletins Nuppa Site'!J541&lt;&gt;0,'Boletins Nuppa Site'!J541,"NULL")</f>
        <v>98.57</v>
      </c>
      <c r="H541" s="30" t="n">
        <f aca="false">IF('Boletins Nuppa Site'!K541&lt;&gt;0,'Boletins Nuppa Site'!K541,"NULL")</f>
        <v>100</v>
      </c>
      <c r="I541" s="0" t="str">
        <f aca="false">"INSERT INTO COTACAO (cot_id, cot_blt_id, cot_pap_id, cot_prc_comum, cot_prc_min, cot_prc_max, cot_prc_med, cot_prc_mediana) VALUES ("&amp;A541&amp;", "&amp;B541&amp;", "&amp;C541&amp;", "&amp;D541&amp;", "&amp;E541&amp;", "&amp;F541&amp;", "&amp;G541&amp;", "&amp;H541&amp;");"</f>
        <v>INSERT INTO COTACAO (cot_id, cot_blt_id, cot_pap_id, cot_prc_comum, cot_prc_min, cot_prc_max, cot_prc_med, cot_prc_mediana) VALUES (540, 50, 28, 100, 60, 120, 98.57, 100);</v>
      </c>
      <c r="J541" s="0" t="str">
        <f aca="false">"UPDATE COTACAO SET cot_id = "&amp;A541&amp;", cot_blt_id = "&amp;B541&amp;", cot_pap_id = "&amp;C541&amp;", cot_prc_comum = "&amp;D541&amp;", cot_prc_min = "&amp;E541&amp;", cot_prc_max = "&amp;F541&amp;", cot_prc_med = "&amp;G541&amp;", cot_prc_mediana = "&amp;H541&amp;" WHERE cot_id = "&amp;A541&amp;";"</f>
        <v>UPDATE COTACAO SET cot_id = 540, cot_blt_id = 50, cot_pap_id = 28, cot_prc_comum = 100, cot_prc_min = 60, cot_prc_max = 120, cot_prc_med = 98.57, cot_prc_mediana = 100 WHERE cot_id = 540;</v>
      </c>
    </row>
    <row r="542" customFormat="false" ht="14.25" hidden="false" customHeight="false" outlineLevel="0" collapsed="false">
      <c r="A542" s="0" t="n">
        <v>541</v>
      </c>
      <c r="B542" s="0" t="n">
        <f aca="false">IF('Boletins Nuppa Site'!A542&lt;&gt;0,'Boletins Nuppa Site'!A542,"NULL")</f>
        <v>50</v>
      </c>
      <c r="C542" s="0" t="n">
        <v>29</v>
      </c>
      <c r="D542" s="0" t="str">
        <f aca="false">IF('Boletins Nuppa Site'!G542&lt;&gt;0,'Boletins Nuppa Site'!G542,"NULL")</f>
        <v>NULL</v>
      </c>
      <c r="E542" s="30" t="n">
        <f aca="false">IF('Boletins Nuppa Site'!H542&lt;&gt;0,'Boletins Nuppa Site'!H542,"NULL")</f>
        <v>50</v>
      </c>
      <c r="F542" s="30" t="n">
        <f aca="false">IF('Boletins Nuppa Site'!I542&lt;&gt;0,'Boletins Nuppa Site'!I542,"NULL")</f>
        <v>78</v>
      </c>
      <c r="G542" s="0" t="str">
        <f aca="false">IF('Boletins Nuppa Site'!J542&lt;&gt;0,'Boletins Nuppa Site'!J542,"NULL")</f>
        <v>62.67</v>
      </c>
      <c r="H542" s="30" t="n">
        <f aca="false">IF('Boletins Nuppa Site'!K542&lt;&gt;0,'Boletins Nuppa Site'!K542,"NULL")</f>
        <v>60</v>
      </c>
      <c r="I542" s="0" t="str">
        <f aca="false">"INSERT INTO COTACAO (cot_id, cot_blt_id, cot_pap_id, cot_prc_comum, cot_prc_min, cot_prc_max, cot_prc_med, cot_prc_mediana) VALUES ("&amp;A542&amp;", "&amp;B542&amp;", "&amp;C542&amp;", "&amp;D542&amp;", "&amp;E542&amp;", "&amp;F542&amp;", "&amp;G542&amp;", "&amp;H542&amp;");"</f>
        <v>INSERT INTO COTACAO (cot_id, cot_blt_id, cot_pap_id, cot_prc_comum, cot_prc_min, cot_prc_max, cot_prc_med, cot_prc_mediana) VALUES (541, 50, 29, NULL, 50, 78, 62.67, 60);</v>
      </c>
      <c r="J542" s="0" t="str">
        <f aca="false">"UPDATE COTACAO SET cot_id = "&amp;A542&amp;", cot_blt_id = "&amp;B542&amp;", cot_pap_id = "&amp;C542&amp;", cot_prc_comum = "&amp;D542&amp;", cot_prc_min = "&amp;E542&amp;", cot_prc_max = "&amp;F542&amp;", cot_prc_med = "&amp;G542&amp;", cot_prc_mediana = "&amp;H542&amp;" WHERE cot_id = "&amp;A542&amp;";"</f>
        <v>UPDATE COTACAO SET cot_id = 541, cot_blt_id = 50, cot_pap_id = 29, cot_prc_comum = NULL, cot_prc_min = 50, cot_prc_max = 78, cot_prc_med = 62.67, cot_prc_mediana = 60 WHERE cot_id = 541;</v>
      </c>
    </row>
    <row r="543" customFormat="false" ht="14.25" hidden="false" customHeight="false" outlineLevel="0" collapsed="false">
      <c r="A543" s="0" t="n">
        <v>542</v>
      </c>
      <c r="B543" s="0" t="n">
        <f aca="false">IF('Boletins Nuppa Site'!A543&lt;&gt;0,'Boletins Nuppa Site'!A543,"NULL")</f>
        <v>50</v>
      </c>
      <c r="C543" s="0" t="n">
        <v>30</v>
      </c>
      <c r="D543" s="30" t="n">
        <f aca="false">IF('Boletins Nuppa Site'!G543&lt;&gt;0,'Boletins Nuppa Site'!G543,"NULL")</f>
        <v>70</v>
      </c>
      <c r="E543" s="30" t="n">
        <f aca="false">IF('Boletins Nuppa Site'!H543&lt;&gt;0,'Boletins Nuppa Site'!H543,"NULL")</f>
        <v>50</v>
      </c>
      <c r="F543" s="30" t="n">
        <f aca="false">IF('Boletins Nuppa Site'!I543&lt;&gt;0,'Boletins Nuppa Site'!I543,"NULL")</f>
        <v>75</v>
      </c>
      <c r="G543" s="0" t="str">
        <f aca="false">IF('Boletins Nuppa Site'!J543&lt;&gt;0,'Boletins Nuppa Site'!J543,"NULL")</f>
        <v>66.67</v>
      </c>
      <c r="H543" s="30" t="n">
        <f aca="false">IF('Boletins Nuppa Site'!K543&lt;&gt;0,'Boletins Nuppa Site'!K543,"NULL")</f>
        <v>70</v>
      </c>
      <c r="I543" s="0" t="str">
        <f aca="false">"INSERT INTO COTACAO (cot_id, cot_blt_id, cot_pap_id, cot_prc_comum, cot_prc_min, cot_prc_max, cot_prc_med, cot_prc_mediana) VALUES ("&amp;A543&amp;", "&amp;B543&amp;", "&amp;C543&amp;", "&amp;D543&amp;", "&amp;E543&amp;", "&amp;F543&amp;", "&amp;G543&amp;", "&amp;H543&amp;");"</f>
        <v>INSERT INTO COTACAO (cot_id, cot_blt_id, cot_pap_id, cot_prc_comum, cot_prc_min, cot_prc_max, cot_prc_med, cot_prc_mediana) VALUES (542, 50, 30, 70, 50, 75, 66.67, 70);</v>
      </c>
      <c r="J543" s="0" t="str">
        <f aca="false">"UPDATE COTACAO SET cot_id = "&amp;A543&amp;", cot_blt_id = "&amp;B543&amp;", cot_pap_id = "&amp;C543&amp;", cot_prc_comum = "&amp;D543&amp;", cot_prc_min = "&amp;E543&amp;", cot_prc_max = "&amp;F543&amp;", cot_prc_med = "&amp;G543&amp;", cot_prc_mediana = "&amp;H543&amp;" WHERE cot_id = "&amp;A543&amp;";"</f>
        <v>UPDATE COTACAO SET cot_id = 542, cot_blt_id = 50, cot_pap_id = 30, cot_prc_comum = 70, cot_prc_min = 50, cot_prc_max = 75, cot_prc_med = 66.67, cot_prc_mediana = 70 WHERE cot_id = 542;</v>
      </c>
    </row>
    <row r="544" customFormat="false" ht="14.25" hidden="false" customHeight="false" outlineLevel="0" collapsed="false">
      <c r="A544" s="0" t="n">
        <v>543</v>
      </c>
      <c r="B544" s="0" t="n">
        <f aca="false">IF('Boletins Nuppa Site'!A544&lt;&gt;0,'Boletins Nuppa Site'!A544,"NULL")</f>
        <v>50</v>
      </c>
      <c r="C544" s="0" t="n">
        <v>31</v>
      </c>
      <c r="D544" s="30" t="n">
        <f aca="false">IF('Boletins Nuppa Site'!G544&lt;&gt;0,'Boletins Nuppa Site'!G544,"NULL")</f>
        <v>100</v>
      </c>
      <c r="E544" s="30" t="n">
        <f aca="false">IF('Boletins Nuppa Site'!H544&lt;&gt;0,'Boletins Nuppa Site'!H544,"NULL")</f>
        <v>70</v>
      </c>
      <c r="F544" s="30" t="n">
        <f aca="false">IF('Boletins Nuppa Site'!I544&lt;&gt;0,'Boletins Nuppa Site'!I544,"NULL")</f>
        <v>110</v>
      </c>
      <c r="G544" s="0" t="str">
        <f aca="false">IF('Boletins Nuppa Site'!J544&lt;&gt;0,'Boletins Nuppa Site'!J544,"NULL")</f>
        <v>93.13</v>
      </c>
      <c r="H544" s="30" t="n">
        <f aca="false">IF('Boletins Nuppa Site'!K544&lt;&gt;0,'Boletins Nuppa Site'!K544,"NULL")</f>
        <v>100</v>
      </c>
      <c r="I544" s="0" t="str">
        <f aca="false">"INSERT INTO COTACAO (cot_id, cot_blt_id, cot_pap_id, cot_prc_comum, cot_prc_min, cot_prc_max, cot_prc_med, cot_prc_mediana) VALUES ("&amp;A544&amp;", "&amp;B544&amp;", "&amp;C544&amp;", "&amp;D544&amp;", "&amp;E544&amp;", "&amp;F544&amp;", "&amp;G544&amp;", "&amp;H544&amp;");"</f>
        <v>INSERT INTO COTACAO (cot_id, cot_blt_id, cot_pap_id, cot_prc_comum, cot_prc_min, cot_prc_max, cot_prc_med, cot_prc_mediana) VALUES (543, 50, 31, 100, 70, 110, 93.13, 100);</v>
      </c>
      <c r="J544" s="0" t="str">
        <f aca="false">"UPDATE COTACAO SET cot_id = "&amp;A544&amp;", cot_blt_id = "&amp;B544&amp;", cot_pap_id = "&amp;C544&amp;", cot_prc_comum = "&amp;D544&amp;", cot_prc_min = "&amp;E544&amp;", cot_prc_max = "&amp;F544&amp;", cot_prc_med = "&amp;G544&amp;", cot_prc_mediana = "&amp;H544&amp;" WHERE cot_id = "&amp;A544&amp;";"</f>
        <v>UPDATE COTACAO SET cot_id = 543, cot_blt_id = 50, cot_pap_id = 31, cot_prc_comum = 100, cot_prc_min = 70, cot_prc_max = 110, cot_prc_med = 93.13, cot_prc_mediana = 100 WHERE cot_id = 543;</v>
      </c>
    </row>
    <row r="545" customFormat="false" ht="14.25" hidden="false" customHeight="false" outlineLevel="0" collapsed="false">
      <c r="A545" s="0" t="n">
        <v>544</v>
      </c>
      <c r="B545" s="0" t="n">
        <f aca="false">IF('Boletins Nuppa Site'!A545&lt;&gt;0,'Boletins Nuppa Site'!A545,"NULL")</f>
        <v>50</v>
      </c>
      <c r="C545" s="0" t="n">
        <v>32</v>
      </c>
      <c r="D545" s="30" t="n">
        <f aca="false">IF('Boletins Nuppa Site'!G545&lt;&gt;0,'Boletins Nuppa Site'!G545,"NULL")</f>
        <v>70</v>
      </c>
      <c r="E545" s="30" t="n">
        <f aca="false">IF('Boletins Nuppa Site'!H545&lt;&gt;0,'Boletins Nuppa Site'!H545,"NULL")</f>
        <v>70</v>
      </c>
      <c r="F545" s="30" t="n">
        <f aca="false">IF('Boletins Nuppa Site'!I545&lt;&gt;0,'Boletins Nuppa Site'!I545,"NULL")</f>
        <v>80</v>
      </c>
      <c r="G545" s="0" t="str">
        <f aca="false">IF('Boletins Nuppa Site'!J545&lt;&gt;0,'Boletins Nuppa Site'!J545,"NULL")</f>
        <v>74.29</v>
      </c>
      <c r="H545" s="30" t="n">
        <f aca="false">IF('Boletins Nuppa Site'!K545&lt;&gt;0,'Boletins Nuppa Site'!K545,"NULL")</f>
        <v>75</v>
      </c>
      <c r="I545" s="0" t="str">
        <f aca="false">"INSERT INTO COTACAO (cot_id, cot_blt_id, cot_pap_id, cot_prc_comum, cot_prc_min, cot_prc_max, cot_prc_med, cot_prc_mediana) VALUES ("&amp;A545&amp;", "&amp;B545&amp;", "&amp;C545&amp;", "&amp;D545&amp;", "&amp;E545&amp;", "&amp;F545&amp;", "&amp;G545&amp;", "&amp;H545&amp;");"</f>
        <v>INSERT INTO COTACAO (cot_id, cot_blt_id, cot_pap_id, cot_prc_comum, cot_prc_min, cot_prc_max, cot_prc_med, cot_prc_mediana) VALUES (544, 50, 32, 70, 70, 80, 74.29, 75);</v>
      </c>
      <c r="J545" s="0" t="str">
        <f aca="false">"UPDATE COTACAO SET cot_id = "&amp;A545&amp;", cot_blt_id = "&amp;B545&amp;", cot_pap_id = "&amp;C545&amp;", cot_prc_comum = "&amp;D545&amp;", cot_prc_min = "&amp;E545&amp;", cot_prc_max = "&amp;F545&amp;", cot_prc_med = "&amp;G545&amp;", cot_prc_mediana = "&amp;H545&amp;" WHERE cot_id = "&amp;A545&amp;";"</f>
        <v>UPDATE COTACAO SET cot_id = 544, cot_blt_id = 50, cot_pap_id = 32, cot_prc_comum = 70, cot_prc_min = 70, cot_prc_max = 80, cot_prc_med = 74.29, cot_prc_mediana = 75 WHERE cot_id = 544;</v>
      </c>
    </row>
    <row r="546" customFormat="false" ht="14.25" hidden="false" customHeight="false" outlineLevel="0" collapsed="false">
      <c r="A546" s="0" t="n">
        <v>545</v>
      </c>
      <c r="B546" s="0" t="n">
        <f aca="false">IF('Boletins Nuppa Site'!A546&lt;&gt;0,'Boletins Nuppa Site'!A546,"NULL")</f>
        <v>50</v>
      </c>
      <c r="C546" s="0" t="n">
        <v>33</v>
      </c>
      <c r="D546" s="30" t="n">
        <f aca="false">IF('Boletins Nuppa Site'!G546&lt;&gt;0,'Boletins Nuppa Site'!G546,"NULL")</f>
        <v>120</v>
      </c>
      <c r="E546" s="30" t="n">
        <f aca="false">IF('Boletins Nuppa Site'!H546&lt;&gt;0,'Boletins Nuppa Site'!H546,"NULL")</f>
        <v>100</v>
      </c>
      <c r="F546" s="30" t="n">
        <f aca="false">IF('Boletins Nuppa Site'!I546&lt;&gt;0,'Boletins Nuppa Site'!I546,"NULL")</f>
        <v>140</v>
      </c>
      <c r="G546" s="0" t="str">
        <f aca="false">IF('Boletins Nuppa Site'!J546&lt;&gt;0,'Boletins Nuppa Site'!J546,"NULL")</f>
        <v>117.14</v>
      </c>
      <c r="H546" s="30" t="n">
        <f aca="false">IF('Boletins Nuppa Site'!K546&lt;&gt;0,'Boletins Nuppa Site'!K546,"NULL")</f>
        <v>120</v>
      </c>
      <c r="I546" s="0" t="str">
        <f aca="false">"INSERT INTO COTACAO (cot_id, cot_blt_id, cot_pap_id, cot_prc_comum, cot_prc_min, cot_prc_max, cot_prc_med, cot_prc_mediana) VALUES ("&amp;A546&amp;", "&amp;B546&amp;", "&amp;C546&amp;", "&amp;D546&amp;", "&amp;E546&amp;", "&amp;F546&amp;", "&amp;G546&amp;", "&amp;H546&amp;");"</f>
        <v>INSERT INTO COTACAO (cot_id, cot_blt_id, cot_pap_id, cot_prc_comum, cot_prc_min, cot_prc_max, cot_prc_med, cot_prc_mediana) VALUES (545, 50, 33, 120, 100, 140, 117.14, 120);</v>
      </c>
      <c r="J546" s="0" t="str">
        <f aca="false">"UPDATE COTACAO SET cot_id = "&amp;A546&amp;", cot_blt_id = "&amp;B546&amp;", cot_pap_id = "&amp;C546&amp;", cot_prc_comum = "&amp;D546&amp;", cot_prc_min = "&amp;E546&amp;", cot_prc_max = "&amp;F546&amp;", cot_prc_med = "&amp;G546&amp;", cot_prc_mediana = "&amp;H546&amp;" WHERE cot_id = "&amp;A546&amp;";"</f>
        <v>UPDATE COTACAO SET cot_id = 545, cot_blt_id = 50, cot_pap_id = 33, cot_prc_comum = 120, cot_prc_min = 100, cot_prc_max = 140, cot_prc_med = 117.14, cot_prc_mediana = 120 WHERE cot_id = 545;</v>
      </c>
    </row>
    <row r="547" customFormat="false" ht="14.25" hidden="false" customHeight="false" outlineLevel="0" collapsed="false">
      <c r="A547" s="0" t="n">
        <v>546</v>
      </c>
      <c r="B547" s="0" t="n">
        <f aca="false">IF('Boletins Nuppa Site'!A547&lt;&gt;0,'Boletins Nuppa Site'!A547,"NULL")</f>
        <v>50</v>
      </c>
      <c r="C547" s="0" t="n">
        <v>34</v>
      </c>
      <c r="D547" s="30" t="n">
        <f aca="false">IF('Boletins Nuppa Site'!G547&lt;&gt;0,'Boletins Nuppa Site'!G547,"NULL")</f>
        <v>90</v>
      </c>
      <c r="E547" s="30" t="n">
        <f aca="false">IF('Boletins Nuppa Site'!H547&lt;&gt;0,'Boletins Nuppa Site'!H547,"NULL")</f>
        <v>90</v>
      </c>
      <c r="F547" s="30" t="n">
        <f aca="false">IF('Boletins Nuppa Site'!I547&lt;&gt;0,'Boletins Nuppa Site'!I547,"NULL")</f>
        <v>120</v>
      </c>
      <c r="G547" s="0" t="str">
        <f aca="false">IF('Boletins Nuppa Site'!J547&lt;&gt;0,'Boletins Nuppa Site'!J547,"NULL")</f>
        <v>102.86</v>
      </c>
      <c r="H547" s="30" t="n">
        <f aca="false">IF('Boletins Nuppa Site'!K547&lt;&gt;0,'Boletins Nuppa Site'!K547,"NULL")</f>
        <v>100</v>
      </c>
      <c r="I547" s="0" t="str">
        <f aca="false">"INSERT INTO COTACAO (cot_id, cot_blt_id, cot_pap_id, cot_prc_comum, cot_prc_min, cot_prc_max, cot_prc_med, cot_prc_mediana) VALUES ("&amp;A547&amp;", "&amp;B547&amp;", "&amp;C547&amp;", "&amp;D547&amp;", "&amp;E547&amp;", "&amp;F547&amp;", "&amp;G547&amp;", "&amp;H547&amp;");"</f>
        <v>INSERT INTO COTACAO (cot_id, cot_blt_id, cot_pap_id, cot_prc_comum, cot_prc_min, cot_prc_max, cot_prc_med, cot_prc_mediana) VALUES (546, 50, 34, 90, 90, 120, 102.86, 100);</v>
      </c>
      <c r="J547" s="0" t="str">
        <f aca="false">"UPDATE COTACAO SET cot_id = "&amp;A547&amp;", cot_blt_id = "&amp;B547&amp;", cot_pap_id = "&amp;C547&amp;", cot_prc_comum = "&amp;D547&amp;", cot_prc_min = "&amp;E547&amp;", cot_prc_max = "&amp;F547&amp;", cot_prc_med = "&amp;G547&amp;", cot_prc_mediana = "&amp;H547&amp;" WHERE cot_id = "&amp;A547&amp;";"</f>
        <v>UPDATE COTACAO SET cot_id = 546, cot_blt_id = 50, cot_pap_id = 34, cot_prc_comum = 90, cot_prc_min = 90, cot_prc_max = 120, cot_prc_med = 102.86, cot_prc_mediana = 100 WHERE cot_id = 546;</v>
      </c>
    </row>
    <row r="548" customFormat="false" ht="14.25" hidden="false" customHeight="false" outlineLevel="0" collapsed="false">
      <c r="A548" s="0" t="n">
        <v>547</v>
      </c>
      <c r="B548" s="0" t="n">
        <f aca="false">IF('Boletins Nuppa Site'!A548&lt;&gt;0,'Boletins Nuppa Site'!A548,"NULL")</f>
        <v>50</v>
      </c>
      <c r="C548" s="0" t="n">
        <v>35</v>
      </c>
      <c r="D548" s="30" t="n">
        <f aca="false">IF('Boletins Nuppa Site'!G548&lt;&gt;0,'Boletins Nuppa Site'!G548,"NULL")</f>
        <v>80</v>
      </c>
      <c r="E548" s="30" t="n">
        <f aca="false">IF('Boletins Nuppa Site'!H548&lt;&gt;0,'Boletins Nuppa Site'!H548,"NULL")</f>
        <v>70</v>
      </c>
      <c r="F548" s="30" t="n">
        <f aca="false">IF('Boletins Nuppa Site'!I548&lt;&gt;0,'Boletins Nuppa Site'!I548,"NULL")</f>
        <v>120</v>
      </c>
      <c r="G548" s="0" t="str">
        <f aca="false">IF('Boletins Nuppa Site'!J548&lt;&gt;0,'Boletins Nuppa Site'!J548,"NULL")</f>
        <v>92.14</v>
      </c>
      <c r="H548" s="30" t="n">
        <f aca="false">IF('Boletins Nuppa Site'!K548&lt;&gt;0,'Boletins Nuppa Site'!K548,"NULL")</f>
        <v>95</v>
      </c>
      <c r="I548" s="0" t="str">
        <f aca="false">"INSERT INTO COTACAO (cot_id, cot_blt_id, cot_pap_id, cot_prc_comum, cot_prc_min, cot_prc_max, cot_prc_med, cot_prc_mediana) VALUES ("&amp;A548&amp;", "&amp;B548&amp;", "&amp;C548&amp;", "&amp;D548&amp;", "&amp;E548&amp;", "&amp;F548&amp;", "&amp;G548&amp;", "&amp;H548&amp;");"</f>
        <v>INSERT INTO COTACAO (cot_id, cot_blt_id, cot_pap_id, cot_prc_comum, cot_prc_min, cot_prc_max, cot_prc_med, cot_prc_mediana) VALUES (547, 50, 35, 80, 70, 120, 92.14, 95);</v>
      </c>
      <c r="J548" s="0" t="str">
        <f aca="false">"UPDATE COTACAO SET cot_id = "&amp;A548&amp;", cot_blt_id = "&amp;B548&amp;", cot_pap_id = "&amp;C548&amp;", cot_prc_comum = "&amp;D548&amp;", cot_prc_min = "&amp;E548&amp;", cot_prc_max = "&amp;F548&amp;", cot_prc_med = "&amp;G548&amp;", cot_prc_mediana = "&amp;H548&amp;" WHERE cot_id = "&amp;A548&amp;";"</f>
        <v>UPDATE COTACAO SET cot_id = 547, cot_blt_id = 50, cot_pap_id = 35, cot_prc_comum = 80, cot_prc_min = 70, cot_prc_max = 120, cot_prc_med = 92.14, cot_prc_mediana = 95 WHERE cot_id = 547;</v>
      </c>
    </row>
    <row r="549" customFormat="false" ht="14.25" hidden="false" customHeight="false" outlineLevel="0" collapsed="false">
      <c r="A549" s="0" t="n">
        <v>548</v>
      </c>
      <c r="B549" s="0" t="n">
        <f aca="false">IF('Boletins Nuppa Site'!A549&lt;&gt;0,'Boletins Nuppa Site'!A549,"NULL")</f>
        <v>50</v>
      </c>
      <c r="C549" s="0" t="n">
        <v>36</v>
      </c>
      <c r="D549" s="0" t="str">
        <f aca="false">IF('Boletins Nuppa Site'!G549&lt;&gt;0,'Boletins Nuppa Site'!G549,"NULL")</f>
        <v>NULL</v>
      </c>
      <c r="E549" s="30" t="n">
        <f aca="false">IF('Boletins Nuppa Site'!H549&lt;&gt;0,'Boletins Nuppa Site'!H549,"NULL")</f>
        <v>85</v>
      </c>
      <c r="F549" s="30" t="n">
        <f aca="false">IF('Boletins Nuppa Site'!I549&lt;&gt;0,'Boletins Nuppa Site'!I549,"NULL")</f>
        <v>85</v>
      </c>
      <c r="G549" s="30" t="n">
        <f aca="false">IF('Boletins Nuppa Site'!J549&lt;&gt;0,'Boletins Nuppa Site'!J549,"NULL")</f>
        <v>85</v>
      </c>
      <c r="H549" s="30" t="n">
        <f aca="false">IF('Boletins Nuppa Site'!K549&lt;&gt;0,'Boletins Nuppa Site'!K549,"NULL")</f>
        <v>85</v>
      </c>
      <c r="I549" s="0" t="str">
        <f aca="false">"INSERT INTO COTACAO (cot_id, cot_blt_id, cot_pap_id, cot_prc_comum, cot_prc_min, cot_prc_max, cot_prc_med, cot_prc_mediana) VALUES ("&amp;A549&amp;", "&amp;B549&amp;", "&amp;C549&amp;", "&amp;D549&amp;", "&amp;E549&amp;", "&amp;F549&amp;", "&amp;G549&amp;", "&amp;H549&amp;");"</f>
        <v>INSERT INTO COTACAO (cot_id, cot_blt_id, cot_pap_id, cot_prc_comum, cot_prc_min, cot_prc_max, cot_prc_med, cot_prc_mediana) VALUES (548, 50, 36, NULL, 85, 85, 85, 85);</v>
      </c>
      <c r="J549" s="0" t="str">
        <f aca="false">"UPDATE COTACAO SET cot_id = "&amp;A549&amp;", cot_blt_id = "&amp;B549&amp;", cot_pap_id = "&amp;C549&amp;", cot_prc_comum = "&amp;D549&amp;", cot_prc_min = "&amp;E549&amp;", cot_prc_max = "&amp;F549&amp;", cot_prc_med = "&amp;G549&amp;", cot_prc_mediana = "&amp;H549&amp;" WHERE cot_id = "&amp;A549&amp;";"</f>
        <v>UPDATE COTACAO SET cot_id = 548, cot_blt_id = 50, cot_pap_id = 36, cot_prc_comum = NULL, cot_prc_min = 85, cot_prc_max = 85, cot_prc_med = 85, cot_prc_mediana = 85 WHERE cot_id = 548;</v>
      </c>
    </row>
    <row r="550" customFormat="false" ht="14.25" hidden="false" customHeight="false" outlineLevel="0" collapsed="false">
      <c r="A550" s="0" t="n">
        <v>549</v>
      </c>
      <c r="B550" s="0" t="n">
        <f aca="false">IF('Boletins Nuppa Site'!A550&lt;&gt;0,'Boletins Nuppa Site'!A550,"NULL")</f>
        <v>50</v>
      </c>
      <c r="C550" s="0" t="n">
        <v>37</v>
      </c>
      <c r="D550" s="0" t="str">
        <f aca="false">IF('Boletins Nuppa Site'!G550&lt;&gt;0,'Boletins Nuppa Site'!G550,"NULL")</f>
        <v>NULL</v>
      </c>
      <c r="E550" s="30" t="n">
        <f aca="false">IF('Boletins Nuppa Site'!H550&lt;&gt;0,'Boletins Nuppa Site'!H550,"NULL")</f>
        <v>70</v>
      </c>
      <c r="F550" s="30" t="n">
        <f aca="false">IF('Boletins Nuppa Site'!I550&lt;&gt;0,'Boletins Nuppa Site'!I550,"NULL")</f>
        <v>80</v>
      </c>
      <c r="G550" s="30" t="n">
        <f aca="false">IF('Boletins Nuppa Site'!J550&lt;&gt;0,'Boletins Nuppa Site'!J550,"NULL")</f>
        <v>75</v>
      </c>
      <c r="H550" s="30" t="n">
        <f aca="false">IF('Boletins Nuppa Site'!K550&lt;&gt;0,'Boletins Nuppa Site'!K550,"NULL")</f>
        <v>75</v>
      </c>
      <c r="I550" s="0" t="str">
        <f aca="false">"INSERT INTO COTACAO (cot_id, cot_blt_id, cot_pap_id, cot_prc_comum, cot_prc_min, cot_prc_max, cot_prc_med, cot_prc_mediana) VALUES ("&amp;A550&amp;", "&amp;B550&amp;", "&amp;C550&amp;", "&amp;D550&amp;", "&amp;E550&amp;", "&amp;F550&amp;", "&amp;G550&amp;", "&amp;H550&amp;");"</f>
        <v>INSERT INTO COTACAO (cot_id, cot_blt_id, cot_pap_id, cot_prc_comum, cot_prc_min, cot_prc_max, cot_prc_med, cot_prc_mediana) VALUES (549, 50, 37, NULL, 70, 80, 75, 75);</v>
      </c>
      <c r="J550" s="0" t="str">
        <f aca="false">"UPDATE COTACAO SET cot_id = "&amp;A550&amp;", cot_blt_id = "&amp;B550&amp;", cot_pap_id = "&amp;C550&amp;", cot_prc_comum = "&amp;D550&amp;", cot_prc_min = "&amp;E550&amp;", cot_prc_max = "&amp;F550&amp;", cot_prc_med = "&amp;G550&amp;", cot_prc_mediana = "&amp;H550&amp;" WHERE cot_id = "&amp;A550&amp;";"</f>
        <v>UPDATE COTACAO SET cot_id = 549, cot_blt_id = 50, cot_pap_id = 37, cot_prc_comum = NULL, cot_prc_min = 70, cot_prc_max = 80, cot_prc_med = 75, cot_prc_mediana = 75 WHERE cot_id = 549;</v>
      </c>
    </row>
    <row r="551" customFormat="false" ht="14.25" hidden="false" customHeight="false" outlineLevel="0" collapsed="false">
      <c r="A551" s="0" t="n">
        <v>550</v>
      </c>
      <c r="B551" s="0" t="n">
        <f aca="false">IF('Boletins Nuppa Site'!A551&lt;&gt;0,'Boletins Nuppa Site'!A551,"NULL")</f>
        <v>50</v>
      </c>
      <c r="C551" s="0" t="n">
        <v>38</v>
      </c>
      <c r="D551" s="30" t="n">
        <f aca="false">IF('Boletins Nuppa Site'!G551&lt;&gt;0,'Boletins Nuppa Site'!G551,"NULL")</f>
        <v>45</v>
      </c>
      <c r="E551" s="30" t="n">
        <f aca="false">IF('Boletins Nuppa Site'!H551&lt;&gt;0,'Boletins Nuppa Site'!H551,"NULL")</f>
        <v>45</v>
      </c>
      <c r="F551" s="30" t="n">
        <f aca="false">IF('Boletins Nuppa Site'!I551&lt;&gt;0,'Boletins Nuppa Site'!I551,"NULL")</f>
        <v>45</v>
      </c>
      <c r="G551" s="30" t="n">
        <f aca="false">IF('Boletins Nuppa Site'!J551&lt;&gt;0,'Boletins Nuppa Site'!J551,"NULL")</f>
        <v>45</v>
      </c>
      <c r="H551" s="30" t="n">
        <f aca="false">IF('Boletins Nuppa Site'!K551&lt;&gt;0,'Boletins Nuppa Site'!K551,"NULL")</f>
        <v>45</v>
      </c>
      <c r="I551" s="0" t="str">
        <f aca="false">"INSERT INTO COTACAO (cot_id, cot_blt_id, cot_pap_id, cot_prc_comum, cot_prc_min, cot_prc_max, cot_prc_med, cot_prc_mediana) VALUES ("&amp;A551&amp;", "&amp;B551&amp;", "&amp;C551&amp;", "&amp;D551&amp;", "&amp;E551&amp;", "&amp;F551&amp;", "&amp;G551&amp;", "&amp;H551&amp;");"</f>
        <v>INSERT INTO COTACAO (cot_id, cot_blt_id, cot_pap_id, cot_prc_comum, cot_prc_min, cot_prc_max, cot_prc_med, cot_prc_mediana) VALUES (550, 50, 38, 45, 45, 45, 45, 45);</v>
      </c>
      <c r="J551" s="0" t="str">
        <f aca="false">"UPDATE COTACAO SET cot_id = "&amp;A551&amp;", cot_blt_id = "&amp;B551&amp;", cot_pap_id = "&amp;C551&amp;", cot_prc_comum = "&amp;D551&amp;", cot_prc_min = "&amp;E551&amp;", cot_prc_max = "&amp;F551&amp;", cot_prc_med = "&amp;G551&amp;", cot_prc_mediana = "&amp;H551&amp;" WHERE cot_id = "&amp;A551&amp;";"</f>
        <v>UPDATE COTACAO SET cot_id = 550, cot_blt_id = 50, cot_pap_id = 38, cot_prc_comum = 45, cot_prc_min = 45, cot_prc_max = 45, cot_prc_med = 45, cot_prc_mediana = 45 WHERE cot_id = 550;</v>
      </c>
    </row>
    <row r="552" customFormat="false" ht="14.25" hidden="false" customHeight="false" outlineLevel="0" collapsed="false">
      <c r="A552" s="0" t="n">
        <v>551</v>
      </c>
      <c r="B552" s="0" t="n">
        <f aca="false">IF('Boletins Nuppa Site'!A552&lt;&gt;0,'Boletins Nuppa Site'!A552,"NULL")</f>
        <v>50</v>
      </c>
      <c r="C552" s="0" t="n">
        <v>39</v>
      </c>
      <c r="D552" s="0" t="str">
        <f aca="false">IF('Boletins Nuppa Site'!G552&lt;&gt;0,'Boletins Nuppa Site'!G552,"NULL")</f>
        <v>NULL</v>
      </c>
      <c r="E552" s="30" t="n">
        <f aca="false">IF('Boletins Nuppa Site'!H552&lt;&gt;0,'Boletins Nuppa Site'!H552,"NULL")</f>
        <v>60</v>
      </c>
      <c r="F552" s="30" t="n">
        <f aca="false">IF('Boletins Nuppa Site'!I552&lt;&gt;0,'Boletins Nuppa Site'!I552,"NULL")</f>
        <v>60</v>
      </c>
      <c r="G552" s="30" t="n">
        <f aca="false">IF('Boletins Nuppa Site'!J552&lt;&gt;0,'Boletins Nuppa Site'!J552,"NULL")</f>
        <v>60</v>
      </c>
      <c r="H552" s="30" t="n">
        <f aca="false">IF('Boletins Nuppa Site'!K552&lt;&gt;0,'Boletins Nuppa Site'!K552,"NULL")</f>
        <v>60</v>
      </c>
      <c r="I552" s="0" t="str">
        <f aca="false">"INSERT INTO COTACAO (cot_id, cot_blt_id, cot_pap_id, cot_prc_comum, cot_prc_min, cot_prc_max, cot_prc_med, cot_prc_mediana) VALUES ("&amp;A552&amp;", "&amp;B552&amp;", "&amp;C552&amp;", "&amp;D552&amp;", "&amp;E552&amp;", "&amp;F552&amp;", "&amp;G552&amp;", "&amp;H552&amp;");"</f>
        <v>INSERT INTO COTACAO (cot_id, cot_blt_id, cot_pap_id, cot_prc_comum, cot_prc_min, cot_prc_max, cot_prc_med, cot_prc_mediana) VALUES (551, 50, 39, NULL, 60, 60, 60, 60);</v>
      </c>
      <c r="J552" s="0" t="str">
        <f aca="false">"UPDATE COTACAO SET cot_id = "&amp;A552&amp;", cot_blt_id = "&amp;B552&amp;", cot_pap_id = "&amp;C552&amp;", cot_prc_comum = "&amp;D552&amp;", cot_prc_min = "&amp;E552&amp;", cot_prc_max = "&amp;F552&amp;", cot_prc_med = "&amp;G552&amp;", cot_prc_mediana = "&amp;H552&amp;" WHERE cot_id = "&amp;A552&amp;";"</f>
        <v>UPDATE COTACAO SET cot_id = 551, cot_blt_id = 50, cot_pap_id = 39, cot_prc_comum = NULL, cot_prc_min = 60, cot_prc_max = 60, cot_prc_med = 60, cot_prc_mediana = 60 WHERE cot_id = 551;</v>
      </c>
    </row>
    <row r="553" customFormat="false" ht="14.25" hidden="false" customHeight="false" outlineLevel="0" collapsed="false">
      <c r="A553" s="0" t="n">
        <v>552</v>
      </c>
      <c r="B553" s="0" t="n">
        <f aca="false">IF('Boletins Nuppa Site'!A553&lt;&gt;0,'Boletins Nuppa Site'!A553,"NULL")</f>
        <v>50</v>
      </c>
      <c r="C553" s="0" t="n">
        <v>40</v>
      </c>
      <c r="D553" s="0" t="str">
        <f aca="false">IF('Boletins Nuppa Site'!G553&lt;&gt;0,'Boletins Nuppa Site'!G553,"NULL")</f>
        <v>NULL</v>
      </c>
      <c r="E553" s="30" t="n">
        <f aca="false">IF('Boletins Nuppa Site'!H553&lt;&gt;0,'Boletins Nuppa Site'!H553,"NULL")</f>
        <v>60</v>
      </c>
      <c r="F553" s="30" t="n">
        <f aca="false">IF('Boletins Nuppa Site'!I553&lt;&gt;0,'Boletins Nuppa Site'!I553,"NULL")</f>
        <v>60</v>
      </c>
      <c r="G553" s="30" t="n">
        <f aca="false">IF('Boletins Nuppa Site'!J553&lt;&gt;0,'Boletins Nuppa Site'!J553,"NULL")</f>
        <v>60</v>
      </c>
      <c r="H553" s="30" t="n">
        <f aca="false">IF('Boletins Nuppa Site'!K553&lt;&gt;0,'Boletins Nuppa Site'!K553,"NULL")</f>
        <v>60</v>
      </c>
      <c r="I553" s="0" t="str">
        <f aca="false">"INSERT INTO COTACAO (cot_id, cot_blt_id, cot_pap_id, cot_prc_comum, cot_prc_min, cot_prc_max, cot_prc_med, cot_prc_mediana) VALUES ("&amp;A553&amp;", "&amp;B553&amp;", "&amp;C553&amp;", "&amp;D553&amp;", "&amp;E553&amp;", "&amp;F553&amp;", "&amp;G553&amp;", "&amp;H553&amp;");"</f>
        <v>INSERT INTO COTACAO (cot_id, cot_blt_id, cot_pap_id, cot_prc_comum, cot_prc_min, cot_prc_max, cot_prc_med, cot_prc_mediana) VALUES (552, 50, 40, NULL, 60, 60, 60, 60);</v>
      </c>
      <c r="J553" s="0" t="str">
        <f aca="false">"UPDATE COTACAO SET cot_id = "&amp;A553&amp;", cot_blt_id = "&amp;B553&amp;", cot_pap_id = "&amp;C553&amp;", cot_prc_comum = "&amp;D553&amp;", cot_prc_min = "&amp;E553&amp;", cot_prc_max = "&amp;F553&amp;", cot_prc_med = "&amp;G553&amp;", cot_prc_mediana = "&amp;H553&amp;" WHERE cot_id = "&amp;A553&amp;";"</f>
        <v>UPDATE COTACAO SET cot_id = 552, cot_blt_id = 50, cot_pap_id = 40, cot_prc_comum = NULL, cot_prc_min = 60, cot_prc_max = 60, cot_prc_med = 60, cot_prc_mediana = 60 WHERE cot_id = 552;</v>
      </c>
    </row>
    <row r="554" customFormat="false" ht="14.25" hidden="false" customHeight="false" outlineLevel="0" collapsed="false">
      <c r="A554" s="0" t="n">
        <v>553</v>
      </c>
      <c r="B554" s="0" t="n">
        <f aca="false">IF('Boletins Nuppa Site'!A554&lt;&gt;0,'Boletins Nuppa Site'!A554,"NULL")</f>
        <v>51</v>
      </c>
      <c r="C554" s="0" t="n">
        <v>1</v>
      </c>
      <c r="D554" s="0" t="str">
        <f aca="false">IF('Boletins Nuppa Site'!G554&lt;&gt;0,'Boletins Nuppa Site'!G554,"NULL")</f>
        <v>NULL</v>
      </c>
      <c r="E554" s="30" t="n">
        <f aca="false">IF('Boletins Nuppa Site'!H554&lt;&gt;0,'Boletins Nuppa Site'!H554,"NULL")</f>
        <v>48</v>
      </c>
      <c r="F554" s="30" t="n">
        <f aca="false">IF('Boletins Nuppa Site'!I554&lt;&gt;0,'Boletins Nuppa Site'!I554,"NULL")</f>
        <v>78</v>
      </c>
      <c r="G554" s="30" t="n">
        <f aca="false">IF('Boletins Nuppa Site'!J554&lt;&gt;0,'Boletins Nuppa Site'!J554,"NULL")</f>
        <v>60</v>
      </c>
      <c r="H554" s="30" t="n">
        <f aca="false">IF('Boletins Nuppa Site'!K554&lt;&gt;0,'Boletins Nuppa Site'!K554,"NULL")</f>
        <v>54</v>
      </c>
      <c r="I554" s="0" t="str">
        <f aca="false">"INSERT INTO COTACAO (cot_id, cot_blt_id, cot_pap_id, cot_prc_comum, cot_prc_min, cot_prc_max, cot_prc_med, cot_prc_mediana) VALUES ("&amp;A554&amp;", "&amp;B554&amp;", "&amp;C554&amp;", "&amp;D554&amp;", "&amp;E554&amp;", "&amp;F554&amp;", "&amp;G554&amp;", "&amp;H554&amp;");"</f>
        <v>INSERT INTO COTACAO (cot_id, cot_blt_id, cot_pap_id, cot_prc_comum, cot_prc_min, cot_prc_max, cot_prc_med, cot_prc_mediana) VALUES (553, 51, 1, NULL, 48, 78, 60, 54);</v>
      </c>
      <c r="J554" s="0" t="str">
        <f aca="false">"UPDATE COTACAO SET cot_id = "&amp;A554&amp;", cot_blt_id = "&amp;B554&amp;", cot_pap_id = "&amp;C554&amp;", cot_prc_comum = "&amp;D554&amp;", cot_prc_min = "&amp;E554&amp;", cot_prc_max = "&amp;F554&amp;", cot_prc_med = "&amp;G554&amp;", cot_prc_mediana = "&amp;H554&amp;" WHERE cot_id = "&amp;A554&amp;";"</f>
        <v>UPDATE COTACAO SET cot_id = 553, cot_blt_id = 51, cot_pap_id = 1, cot_prc_comum = NULL, cot_prc_min = 48, cot_prc_max = 78, cot_prc_med = 60, cot_prc_mediana = 54 WHERE cot_id = 553;</v>
      </c>
    </row>
    <row r="555" customFormat="false" ht="14.25" hidden="false" customHeight="false" outlineLevel="0" collapsed="false">
      <c r="A555" s="0" t="n">
        <v>554</v>
      </c>
      <c r="B555" s="0" t="n">
        <f aca="false">IF('Boletins Nuppa Site'!A555&lt;&gt;0,'Boletins Nuppa Site'!A555,"NULL")</f>
        <v>51</v>
      </c>
      <c r="C555" s="0" t="n">
        <v>2</v>
      </c>
      <c r="D555" s="30" t="n">
        <f aca="false">IF('Boletins Nuppa Site'!G555&lt;&gt;0,'Boletins Nuppa Site'!G555,"NULL")</f>
        <v>72</v>
      </c>
      <c r="E555" s="30" t="n">
        <f aca="false">IF('Boletins Nuppa Site'!H555&lt;&gt;0,'Boletins Nuppa Site'!H555,"NULL")</f>
        <v>72</v>
      </c>
      <c r="F555" s="30" t="n">
        <f aca="false">IF('Boletins Nuppa Site'!I555&lt;&gt;0,'Boletins Nuppa Site'!I555,"NULL")</f>
        <v>84</v>
      </c>
      <c r="G555" s="30" t="n">
        <f aca="false">IF('Boletins Nuppa Site'!J555&lt;&gt;0,'Boletins Nuppa Site'!J555,"NULL")</f>
        <v>76</v>
      </c>
      <c r="H555" s="30" t="n">
        <f aca="false">IF('Boletins Nuppa Site'!K555&lt;&gt;0,'Boletins Nuppa Site'!K555,"NULL")</f>
        <v>72</v>
      </c>
      <c r="I555" s="0" t="str">
        <f aca="false">"INSERT INTO COTACAO (cot_id, cot_blt_id, cot_pap_id, cot_prc_comum, cot_prc_min, cot_prc_max, cot_prc_med, cot_prc_mediana) VALUES ("&amp;A555&amp;", "&amp;B555&amp;", "&amp;C555&amp;", "&amp;D555&amp;", "&amp;E555&amp;", "&amp;F555&amp;", "&amp;G555&amp;", "&amp;H555&amp;");"</f>
        <v>INSERT INTO COTACAO (cot_id, cot_blt_id, cot_pap_id, cot_prc_comum, cot_prc_min, cot_prc_max, cot_prc_med, cot_prc_mediana) VALUES (554, 51, 2, 72, 72, 84, 76, 72);</v>
      </c>
      <c r="J555" s="0" t="str">
        <f aca="false">"UPDATE COTACAO SET cot_id = "&amp;A555&amp;", cot_blt_id = "&amp;B555&amp;", cot_pap_id = "&amp;C555&amp;", cot_prc_comum = "&amp;D555&amp;", cot_prc_min = "&amp;E555&amp;", cot_prc_max = "&amp;F555&amp;", cot_prc_med = "&amp;G555&amp;", cot_prc_mediana = "&amp;H555&amp;" WHERE cot_id = "&amp;A555&amp;";"</f>
        <v>UPDATE COTACAO SET cot_id = 554, cot_blt_id = 51, cot_pap_id = 2, cot_prc_comum = 72, cot_prc_min = 72, cot_prc_max = 84, cot_prc_med = 76, cot_prc_mediana = 72 WHERE cot_id = 554;</v>
      </c>
    </row>
    <row r="556" customFormat="false" ht="14.25" hidden="false" customHeight="false" outlineLevel="0" collapsed="false">
      <c r="A556" s="0" t="n">
        <v>555</v>
      </c>
      <c r="B556" s="0" t="n">
        <f aca="false">IF('Boletins Nuppa Site'!A556&lt;&gt;0,'Boletins Nuppa Site'!A556,"NULL")</f>
        <v>51</v>
      </c>
      <c r="C556" s="0" t="n">
        <v>3</v>
      </c>
      <c r="D556" s="0" t="str">
        <f aca="false">IF('Boletins Nuppa Site'!G556&lt;&gt;0,'Boletins Nuppa Site'!G556,"NULL")</f>
        <v>NULL</v>
      </c>
      <c r="E556" s="30" t="n">
        <f aca="false">IF('Boletins Nuppa Site'!H556&lt;&gt;0,'Boletins Nuppa Site'!H556,"NULL")</f>
        <v>48</v>
      </c>
      <c r="F556" s="30" t="n">
        <f aca="false">IF('Boletins Nuppa Site'!I556&lt;&gt;0,'Boletins Nuppa Site'!I556,"NULL")</f>
        <v>84</v>
      </c>
      <c r="G556" s="30" t="n">
        <f aca="false">IF('Boletins Nuppa Site'!J556&lt;&gt;0,'Boletins Nuppa Site'!J556,"NULL")</f>
        <v>68</v>
      </c>
      <c r="H556" s="30" t="n">
        <f aca="false">IF('Boletins Nuppa Site'!K556&lt;&gt;0,'Boletins Nuppa Site'!K556,"NULL")</f>
        <v>72</v>
      </c>
      <c r="I556" s="0" t="str">
        <f aca="false">"INSERT INTO COTACAO (cot_id, cot_blt_id, cot_pap_id, cot_prc_comum, cot_prc_min, cot_prc_max, cot_prc_med, cot_prc_mediana) VALUES ("&amp;A556&amp;", "&amp;B556&amp;", "&amp;C556&amp;", "&amp;D556&amp;", "&amp;E556&amp;", "&amp;F556&amp;", "&amp;G556&amp;", "&amp;H556&amp;");"</f>
        <v>INSERT INTO COTACAO (cot_id, cot_blt_id, cot_pap_id, cot_prc_comum, cot_prc_min, cot_prc_max, cot_prc_med, cot_prc_mediana) VALUES (555, 51, 3, NULL, 48, 84, 68, 72);</v>
      </c>
      <c r="J556" s="0" t="str">
        <f aca="false">"UPDATE COTACAO SET cot_id = "&amp;A556&amp;", cot_blt_id = "&amp;B556&amp;", cot_pap_id = "&amp;C556&amp;", cot_prc_comum = "&amp;D556&amp;", cot_prc_min = "&amp;E556&amp;", cot_prc_max = "&amp;F556&amp;", cot_prc_med = "&amp;G556&amp;", cot_prc_mediana = "&amp;H556&amp;" WHERE cot_id = "&amp;A556&amp;";"</f>
        <v>UPDATE COTACAO SET cot_id = 555, cot_blt_id = 51, cot_pap_id = 3, cot_prc_comum = NULL, cot_prc_min = 48, cot_prc_max = 84, cot_prc_med = 68, cot_prc_mediana = 72 WHERE cot_id = 555;</v>
      </c>
    </row>
    <row r="557" customFormat="false" ht="14.25" hidden="false" customHeight="false" outlineLevel="0" collapsed="false">
      <c r="A557" s="0" t="n">
        <v>556</v>
      </c>
      <c r="B557" s="0" t="n">
        <f aca="false">IF('Boletins Nuppa Site'!A557&lt;&gt;0,'Boletins Nuppa Site'!A557,"NULL")</f>
        <v>51</v>
      </c>
      <c r="C557" s="0" t="n">
        <v>4</v>
      </c>
      <c r="D557" s="30" t="n">
        <f aca="false">IF('Boletins Nuppa Site'!G557&lt;&gt;0,'Boletins Nuppa Site'!G557,"NULL")</f>
        <v>30</v>
      </c>
      <c r="E557" s="30" t="n">
        <f aca="false">IF('Boletins Nuppa Site'!H557&lt;&gt;0,'Boletins Nuppa Site'!H557,"NULL")</f>
        <v>25</v>
      </c>
      <c r="F557" s="30" t="n">
        <f aca="false">IF('Boletins Nuppa Site'!I557&lt;&gt;0,'Boletins Nuppa Site'!I557,"NULL")</f>
        <v>30</v>
      </c>
      <c r="G557" s="0" t="str">
        <f aca="false">IF('Boletins Nuppa Site'!J557&lt;&gt;0,'Boletins Nuppa Site'!J557,"NULL")</f>
        <v>28.33</v>
      </c>
      <c r="H557" s="30" t="n">
        <f aca="false">IF('Boletins Nuppa Site'!K557&lt;&gt;0,'Boletins Nuppa Site'!K557,"NULL")</f>
        <v>30</v>
      </c>
      <c r="I557" s="0" t="str">
        <f aca="false">"INSERT INTO COTACAO (cot_id, cot_blt_id, cot_pap_id, cot_prc_comum, cot_prc_min, cot_prc_max, cot_prc_med, cot_prc_mediana) VALUES ("&amp;A557&amp;", "&amp;B557&amp;", "&amp;C557&amp;", "&amp;D557&amp;", "&amp;E557&amp;", "&amp;F557&amp;", "&amp;G557&amp;", "&amp;H557&amp;");"</f>
        <v>INSERT INTO COTACAO (cot_id, cot_blt_id, cot_pap_id, cot_prc_comum, cot_prc_min, cot_prc_max, cot_prc_med, cot_prc_mediana) VALUES (556, 51, 4, 30, 25, 30, 28.33, 30);</v>
      </c>
      <c r="J557" s="0" t="str">
        <f aca="false">"UPDATE COTACAO SET cot_id = "&amp;A557&amp;", cot_blt_id = "&amp;B557&amp;", cot_pap_id = "&amp;C557&amp;", cot_prc_comum = "&amp;D557&amp;", cot_prc_min = "&amp;E557&amp;", cot_prc_max = "&amp;F557&amp;", cot_prc_med = "&amp;G557&amp;", cot_prc_mediana = "&amp;H557&amp;" WHERE cot_id = "&amp;A557&amp;";"</f>
        <v>UPDATE COTACAO SET cot_id = 556, cot_blt_id = 51, cot_pap_id = 4, cot_prc_comum = 30, cot_prc_min = 25, cot_prc_max = 30, cot_prc_med = 28.33, cot_prc_mediana = 30 WHERE cot_id = 556;</v>
      </c>
    </row>
    <row r="558" customFormat="false" ht="14.25" hidden="false" customHeight="false" outlineLevel="0" collapsed="false">
      <c r="A558" s="0" t="n">
        <v>557</v>
      </c>
      <c r="B558" s="0" t="n">
        <f aca="false">IF('Boletins Nuppa Site'!A558&lt;&gt;0,'Boletins Nuppa Site'!A558,"NULL")</f>
        <v>51</v>
      </c>
      <c r="C558" s="0" t="n">
        <v>5</v>
      </c>
      <c r="D558" s="30" t="n">
        <f aca="false">IF('Boletins Nuppa Site'!G558&lt;&gt;0,'Boletins Nuppa Site'!G558,"NULL")</f>
        <v>30</v>
      </c>
      <c r="E558" s="30" t="n">
        <f aca="false">IF('Boletins Nuppa Site'!H558&lt;&gt;0,'Boletins Nuppa Site'!H558,"NULL")</f>
        <v>25</v>
      </c>
      <c r="F558" s="30" t="n">
        <f aca="false">IF('Boletins Nuppa Site'!I558&lt;&gt;0,'Boletins Nuppa Site'!I558,"NULL")</f>
        <v>30</v>
      </c>
      <c r="G558" s="0" t="str">
        <f aca="false">IF('Boletins Nuppa Site'!J558&lt;&gt;0,'Boletins Nuppa Site'!J558,"NULL")</f>
        <v>28.33</v>
      </c>
      <c r="H558" s="30" t="n">
        <f aca="false">IF('Boletins Nuppa Site'!K558&lt;&gt;0,'Boletins Nuppa Site'!K558,"NULL")</f>
        <v>30</v>
      </c>
      <c r="I558" s="0" t="str">
        <f aca="false">"INSERT INTO COTACAO (cot_id, cot_blt_id, cot_pap_id, cot_prc_comum, cot_prc_min, cot_prc_max, cot_prc_med, cot_prc_mediana) VALUES ("&amp;A558&amp;", "&amp;B558&amp;", "&amp;C558&amp;", "&amp;D558&amp;", "&amp;E558&amp;", "&amp;F558&amp;", "&amp;G558&amp;", "&amp;H558&amp;");"</f>
        <v>INSERT INTO COTACAO (cot_id, cot_blt_id, cot_pap_id, cot_prc_comum, cot_prc_min, cot_prc_max, cot_prc_med, cot_prc_mediana) VALUES (557, 51, 5, 30, 25, 30, 28.33, 30);</v>
      </c>
      <c r="J558" s="0" t="str">
        <f aca="false">"UPDATE COTACAO SET cot_id = "&amp;A558&amp;", cot_blt_id = "&amp;B558&amp;", cot_pap_id = "&amp;C558&amp;", cot_prc_comum = "&amp;D558&amp;", cot_prc_min = "&amp;E558&amp;", cot_prc_max = "&amp;F558&amp;", cot_prc_med = "&amp;G558&amp;", cot_prc_mediana = "&amp;H558&amp;" WHERE cot_id = "&amp;A558&amp;";"</f>
        <v>UPDATE COTACAO SET cot_id = 557, cot_blt_id = 51, cot_pap_id = 5, cot_prc_comum = 30, cot_prc_min = 25, cot_prc_max = 30, cot_prc_med = 28.33, cot_prc_mediana = 30 WHERE cot_id = 557;</v>
      </c>
    </row>
    <row r="559" customFormat="false" ht="14.25" hidden="false" customHeight="false" outlineLevel="0" collapsed="false">
      <c r="A559" s="0" t="n">
        <v>558</v>
      </c>
      <c r="B559" s="0" t="n">
        <f aca="false">IF('Boletins Nuppa Site'!A559&lt;&gt;0,'Boletins Nuppa Site'!A559,"NULL")</f>
        <v>51</v>
      </c>
      <c r="C559" s="0" t="n">
        <v>6</v>
      </c>
      <c r="D559" s="30" t="n">
        <f aca="false">IF('Boletins Nuppa Site'!G559&lt;&gt;0,'Boletins Nuppa Site'!G559,"NULL")</f>
        <v>60</v>
      </c>
      <c r="E559" s="30" t="n">
        <f aca="false">IF('Boletins Nuppa Site'!H559&lt;&gt;0,'Boletins Nuppa Site'!H559,"NULL")</f>
        <v>54</v>
      </c>
      <c r="F559" s="30" t="n">
        <f aca="false">IF('Boletins Nuppa Site'!I559&lt;&gt;0,'Boletins Nuppa Site'!I559,"NULL")</f>
        <v>60</v>
      </c>
      <c r="G559" s="30" t="n">
        <f aca="false">IF('Boletins Nuppa Site'!J559&lt;&gt;0,'Boletins Nuppa Site'!J559,"NULL")</f>
        <v>58</v>
      </c>
      <c r="H559" s="30" t="n">
        <f aca="false">IF('Boletins Nuppa Site'!K559&lt;&gt;0,'Boletins Nuppa Site'!K559,"NULL")</f>
        <v>60</v>
      </c>
      <c r="I559" s="0" t="str">
        <f aca="false">"INSERT INTO COTACAO (cot_id, cot_blt_id, cot_pap_id, cot_prc_comum, cot_prc_min, cot_prc_max, cot_prc_med, cot_prc_mediana) VALUES ("&amp;A559&amp;", "&amp;B559&amp;", "&amp;C559&amp;", "&amp;D559&amp;", "&amp;E559&amp;", "&amp;F559&amp;", "&amp;G559&amp;", "&amp;H559&amp;");"</f>
        <v>INSERT INTO COTACAO (cot_id, cot_blt_id, cot_pap_id, cot_prc_comum, cot_prc_min, cot_prc_max, cot_prc_med, cot_prc_mediana) VALUES (558, 51, 6, 60, 54, 60, 58, 60);</v>
      </c>
      <c r="J559" s="0" t="str">
        <f aca="false">"UPDATE COTACAO SET cot_id = "&amp;A559&amp;", cot_blt_id = "&amp;B559&amp;", cot_pap_id = "&amp;C559&amp;", cot_prc_comum = "&amp;D559&amp;", cot_prc_min = "&amp;E559&amp;", cot_prc_max = "&amp;F559&amp;", cot_prc_med = "&amp;G559&amp;", cot_prc_mediana = "&amp;H559&amp;" WHERE cot_id = "&amp;A559&amp;";"</f>
        <v>UPDATE COTACAO SET cot_id = 558, cot_blt_id = 51, cot_pap_id = 6, cot_prc_comum = 60, cot_prc_min = 54, cot_prc_max = 60, cot_prc_med = 58, cot_prc_mediana = 60 WHERE cot_id = 558;</v>
      </c>
    </row>
    <row r="560" customFormat="false" ht="14.25" hidden="false" customHeight="false" outlineLevel="0" collapsed="false">
      <c r="A560" s="0" t="n">
        <v>559</v>
      </c>
      <c r="B560" s="0" t="n">
        <f aca="false">IF('Boletins Nuppa Site'!A560&lt;&gt;0,'Boletins Nuppa Site'!A560,"NULL")</f>
        <v>51</v>
      </c>
      <c r="C560" s="0" t="n">
        <v>7</v>
      </c>
      <c r="D560" s="30" t="n">
        <f aca="false">IF('Boletins Nuppa Site'!G560&lt;&gt;0,'Boletins Nuppa Site'!G560,"NULL")</f>
        <v>72</v>
      </c>
      <c r="E560" s="30" t="n">
        <f aca="false">IF('Boletins Nuppa Site'!H560&lt;&gt;0,'Boletins Nuppa Site'!H560,"NULL")</f>
        <v>72</v>
      </c>
      <c r="F560" s="30" t="n">
        <f aca="false">IF('Boletins Nuppa Site'!I560&lt;&gt;0,'Boletins Nuppa Site'!I560,"NULL")</f>
        <v>84</v>
      </c>
      <c r="G560" s="30" t="n">
        <f aca="false">IF('Boletins Nuppa Site'!J560&lt;&gt;0,'Boletins Nuppa Site'!J560,"NULL")</f>
        <v>76</v>
      </c>
      <c r="H560" s="30" t="n">
        <f aca="false">IF('Boletins Nuppa Site'!K560&lt;&gt;0,'Boletins Nuppa Site'!K560,"NULL")</f>
        <v>72</v>
      </c>
      <c r="I560" s="0" t="str">
        <f aca="false">"INSERT INTO COTACAO (cot_id, cot_blt_id, cot_pap_id, cot_prc_comum, cot_prc_min, cot_prc_max, cot_prc_med, cot_prc_mediana) VALUES ("&amp;A560&amp;", "&amp;B560&amp;", "&amp;C560&amp;", "&amp;D560&amp;", "&amp;E560&amp;", "&amp;F560&amp;", "&amp;G560&amp;", "&amp;H560&amp;");"</f>
        <v>INSERT INTO COTACAO (cot_id, cot_blt_id, cot_pap_id, cot_prc_comum, cot_prc_min, cot_prc_max, cot_prc_med, cot_prc_mediana) VALUES (559, 51, 7, 72, 72, 84, 76, 72);</v>
      </c>
      <c r="J560" s="0" t="str">
        <f aca="false">"UPDATE COTACAO SET cot_id = "&amp;A560&amp;", cot_blt_id = "&amp;B560&amp;", cot_pap_id = "&amp;C560&amp;", cot_prc_comum = "&amp;D560&amp;", cot_prc_min = "&amp;E560&amp;", cot_prc_max = "&amp;F560&amp;", cot_prc_med = "&amp;G560&amp;", cot_prc_mediana = "&amp;H560&amp;" WHERE cot_id = "&amp;A560&amp;";"</f>
        <v>UPDATE COTACAO SET cot_id = 559, cot_blt_id = 51, cot_pap_id = 7, cot_prc_comum = 72, cot_prc_min = 72, cot_prc_max = 84, cot_prc_med = 76, cot_prc_mediana = 72 WHERE cot_id = 559;</v>
      </c>
    </row>
    <row r="561" customFormat="false" ht="14.25" hidden="false" customHeight="false" outlineLevel="0" collapsed="false">
      <c r="A561" s="0" t="n">
        <v>560</v>
      </c>
      <c r="B561" s="0" t="n">
        <f aca="false">IF('Boletins Nuppa Site'!A561&lt;&gt;0,'Boletins Nuppa Site'!A561,"NULL")</f>
        <v>51</v>
      </c>
      <c r="C561" s="0" t="n">
        <v>8</v>
      </c>
      <c r="D561" s="0" t="str">
        <f aca="false">IF('Boletins Nuppa Site'!G561&lt;&gt;0,'Boletins Nuppa Site'!G561,"NULL")</f>
        <v>NULL</v>
      </c>
      <c r="E561" s="30" t="n">
        <f aca="false">IF('Boletins Nuppa Site'!H561&lt;&gt;0,'Boletins Nuppa Site'!H561,"NULL")</f>
        <v>84</v>
      </c>
      <c r="F561" s="30" t="n">
        <f aca="false">IF('Boletins Nuppa Site'!I561&lt;&gt;0,'Boletins Nuppa Site'!I561,"NULL")</f>
        <v>96</v>
      </c>
      <c r="G561" s="0" t="str">
        <f aca="false">IF('Boletins Nuppa Site'!J561&lt;&gt;0,'Boletins Nuppa Site'!J561,"NULL")</f>
        <v>91.67</v>
      </c>
      <c r="H561" s="30" t="n">
        <f aca="false">IF('Boletins Nuppa Site'!K561&lt;&gt;0,'Boletins Nuppa Site'!K561,"NULL")</f>
        <v>95</v>
      </c>
      <c r="I561" s="0" t="str">
        <f aca="false">"INSERT INTO COTACAO (cot_id, cot_blt_id, cot_pap_id, cot_prc_comum, cot_prc_min, cot_prc_max, cot_prc_med, cot_prc_mediana) VALUES ("&amp;A561&amp;", "&amp;B561&amp;", "&amp;C561&amp;", "&amp;D561&amp;", "&amp;E561&amp;", "&amp;F561&amp;", "&amp;G561&amp;", "&amp;H561&amp;");"</f>
        <v>INSERT INTO COTACAO (cot_id, cot_blt_id, cot_pap_id, cot_prc_comum, cot_prc_min, cot_prc_max, cot_prc_med, cot_prc_mediana) VALUES (560, 51, 8, NULL, 84, 96, 91.67, 95);</v>
      </c>
      <c r="J561" s="0" t="str">
        <f aca="false">"UPDATE COTACAO SET cot_id = "&amp;A561&amp;", cot_blt_id = "&amp;B561&amp;", cot_pap_id = "&amp;C561&amp;", cot_prc_comum = "&amp;D561&amp;", cot_prc_min = "&amp;E561&amp;", cot_prc_max = "&amp;F561&amp;", cot_prc_med = "&amp;G561&amp;", cot_prc_mediana = "&amp;H561&amp;" WHERE cot_id = "&amp;A561&amp;";"</f>
        <v>UPDATE COTACAO SET cot_id = 560, cot_blt_id = 51, cot_pap_id = 8, cot_prc_comum = NULL, cot_prc_min = 84, cot_prc_max = 96, cot_prc_med = 91.67, cot_prc_mediana = 95 WHERE cot_id = 560;</v>
      </c>
    </row>
    <row r="562" customFormat="false" ht="14.25" hidden="false" customHeight="false" outlineLevel="0" collapsed="false">
      <c r="A562" s="0" t="n">
        <v>561</v>
      </c>
      <c r="B562" s="0" t="n">
        <f aca="false">IF('Boletins Nuppa Site'!A562&lt;&gt;0,'Boletins Nuppa Site'!A562,"NULL")</f>
        <v>51</v>
      </c>
      <c r="C562" s="0" t="n">
        <v>9</v>
      </c>
      <c r="D562" s="30" t="n">
        <f aca="false">IF('Boletins Nuppa Site'!G562&lt;&gt;0,'Boletins Nuppa Site'!G562,"NULL")</f>
        <v>30</v>
      </c>
      <c r="E562" s="30" t="n">
        <f aca="false">IF('Boletins Nuppa Site'!H562&lt;&gt;0,'Boletins Nuppa Site'!H562,"NULL")</f>
        <v>24</v>
      </c>
      <c r="F562" s="30" t="n">
        <f aca="false">IF('Boletins Nuppa Site'!I562&lt;&gt;0,'Boletins Nuppa Site'!I562,"NULL")</f>
        <v>30</v>
      </c>
      <c r="G562" s="30" t="n">
        <f aca="false">IF('Boletins Nuppa Site'!J562&lt;&gt;0,'Boletins Nuppa Site'!J562,"NULL")</f>
        <v>28</v>
      </c>
      <c r="H562" s="30" t="n">
        <f aca="false">IF('Boletins Nuppa Site'!K562&lt;&gt;0,'Boletins Nuppa Site'!K562,"NULL")</f>
        <v>30</v>
      </c>
      <c r="I562" s="0" t="str">
        <f aca="false">"INSERT INTO COTACAO (cot_id, cot_blt_id, cot_pap_id, cot_prc_comum, cot_prc_min, cot_prc_max, cot_prc_med, cot_prc_mediana) VALUES ("&amp;A562&amp;", "&amp;B562&amp;", "&amp;C562&amp;", "&amp;D562&amp;", "&amp;E562&amp;", "&amp;F562&amp;", "&amp;G562&amp;", "&amp;H562&amp;");"</f>
        <v>INSERT INTO COTACAO (cot_id, cot_blt_id, cot_pap_id, cot_prc_comum, cot_prc_min, cot_prc_max, cot_prc_med, cot_prc_mediana) VALUES (561, 51, 9, 30, 24, 30, 28, 30);</v>
      </c>
      <c r="J562" s="0" t="str">
        <f aca="false">"UPDATE COTACAO SET cot_id = "&amp;A562&amp;", cot_blt_id = "&amp;B562&amp;", cot_pap_id = "&amp;C562&amp;", cot_prc_comum = "&amp;D562&amp;", cot_prc_min = "&amp;E562&amp;", cot_prc_max = "&amp;F562&amp;", cot_prc_med = "&amp;G562&amp;", cot_prc_mediana = "&amp;H562&amp;" WHERE cot_id = "&amp;A562&amp;";"</f>
        <v>UPDATE COTACAO SET cot_id = 561, cot_blt_id = 51, cot_pap_id = 9, cot_prc_comum = 30, cot_prc_min = 24, cot_prc_max = 30, cot_prc_med = 28, cot_prc_mediana = 30 WHERE cot_id = 561;</v>
      </c>
    </row>
    <row r="563" customFormat="false" ht="14.25" hidden="false" customHeight="false" outlineLevel="0" collapsed="false">
      <c r="A563" s="0" t="n">
        <v>562</v>
      </c>
      <c r="B563" s="0" t="n">
        <f aca="false">IF('Boletins Nuppa Site'!A563&lt;&gt;0,'Boletins Nuppa Site'!A563,"NULL")</f>
        <v>51</v>
      </c>
      <c r="C563" s="0" t="n">
        <v>10</v>
      </c>
      <c r="D563" s="0" t="str">
        <f aca="false">IF('Boletins Nuppa Site'!G563&lt;&gt;0,'Boletins Nuppa Site'!G563,"NULL")</f>
        <v>NULL</v>
      </c>
      <c r="E563" s="30" t="n">
        <f aca="false">IF('Boletins Nuppa Site'!H563&lt;&gt;0,'Boletins Nuppa Site'!H563,"NULL")</f>
        <v>95</v>
      </c>
      <c r="F563" s="30" t="n">
        <f aca="false">IF('Boletins Nuppa Site'!I563&lt;&gt;0,'Boletins Nuppa Site'!I563,"NULL")</f>
        <v>108</v>
      </c>
      <c r="G563" s="0" t="str">
        <f aca="false">IF('Boletins Nuppa Site'!J563&lt;&gt;0,'Boletins Nuppa Site'!J563,"NULL")</f>
        <v>99.67</v>
      </c>
      <c r="H563" s="30" t="n">
        <f aca="false">IF('Boletins Nuppa Site'!K563&lt;&gt;0,'Boletins Nuppa Site'!K563,"NULL")</f>
        <v>96</v>
      </c>
      <c r="I563" s="0" t="str">
        <f aca="false">"INSERT INTO COTACAO (cot_id, cot_blt_id, cot_pap_id, cot_prc_comum, cot_prc_min, cot_prc_max, cot_prc_med, cot_prc_mediana) VALUES ("&amp;A563&amp;", "&amp;B563&amp;", "&amp;C563&amp;", "&amp;D563&amp;", "&amp;E563&amp;", "&amp;F563&amp;", "&amp;G563&amp;", "&amp;H563&amp;");"</f>
        <v>INSERT INTO COTACAO (cot_id, cot_blt_id, cot_pap_id, cot_prc_comum, cot_prc_min, cot_prc_max, cot_prc_med, cot_prc_mediana) VALUES (562, 51, 10, NULL, 95, 108, 99.67, 96);</v>
      </c>
      <c r="J563" s="0" t="str">
        <f aca="false">"UPDATE COTACAO SET cot_id = "&amp;A563&amp;", cot_blt_id = "&amp;B563&amp;", cot_pap_id = "&amp;C563&amp;", cot_prc_comum = "&amp;D563&amp;", cot_prc_min = "&amp;E563&amp;", cot_prc_max = "&amp;F563&amp;", cot_prc_med = "&amp;G563&amp;", cot_prc_mediana = "&amp;H563&amp;" WHERE cot_id = "&amp;A563&amp;";"</f>
        <v>UPDATE COTACAO SET cot_id = 562, cot_blt_id = 51, cot_pap_id = 10, cot_prc_comum = NULL, cot_prc_min = 95, cot_prc_max = 108, cot_prc_med = 99.67, cot_prc_mediana = 96 WHERE cot_id = 562;</v>
      </c>
    </row>
    <row r="564" customFormat="false" ht="14.25" hidden="false" customHeight="false" outlineLevel="0" collapsed="false">
      <c r="A564" s="0" t="n">
        <v>563</v>
      </c>
      <c r="B564" s="0" t="n">
        <f aca="false">IF('Boletins Nuppa Site'!A564&lt;&gt;0,'Boletins Nuppa Site'!A564,"NULL")</f>
        <v>51</v>
      </c>
      <c r="C564" s="0" t="n">
        <v>11</v>
      </c>
      <c r="D564" s="30" t="n">
        <f aca="false">IF('Boletins Nuppa Site'!G564&lt;&gt;0,'Boletins Nuppa Site'!G564,"NULL")</f>
        <v>30</v>
      </c>
      <c r="E564" s="30" t="n">
        <f aca="false">IF('Boletins Nuppa Site'!H564&lt;&gt;0,'Boletins Nuppa Site'!H564,"NULL")</f>
        <v>25</v>
      </c>
      <c r="F564" s="30" t="n">
        <f aca="false">IF('Boletins Nuppa Site'!I564&lt;&gt;0,'Boletins Nuppa Site'!I564,"NULL")</f>
        <v>30</v>
      </c>
      <c r="G564" s="0" t="str">
        <f aca="false">IF('Boletins Nuppa Site'!J564&lt;&gt;0,'Boletins Nuppa Site'!J564,"NULL")</f>
        <v>28.33</v>
      </c>
      <c r="H564" s="30" t="n">
        <f aca="false">IF('Boletins Nuppa Site'!K564&lt;&gt;0,'Boletins Nuppa Site'!K564,"NULL")</f>
        <v>30</v>
      </c>
      <c r="I564" s="0" t="str">
        <f aca="false">"INSERT INTO COTACAO (cot_id, cot_blt_id, cot_pap_id, cot_prc_comum, cot_prc_min, cot_prc_max, cot_prc_med, cot_prc_mediana) VALUES ("&amp;A564&amp;", "&amp;B564&amp;", "&amp;C564&amp;", "&amp;D564&amp;", "&amp;E564&amp;", "&amp;F564&amp;", "&amp;G564&amp;", "&amp;H564&amp;");"</f>
        <v>INSERT INTO COTACAO (cot_id, cot_blt_id, cot_pap_id, cot_prc_comum, cot_prc_min, cot_prc_max, cot_prc_med, cot_prc_mediana) VALUES (563, 51, 11, 30, 25, 30, 28.33, 30);</v>
      </c>
      <c r="J564" s="0" t="str">
        <f aca="false">"UPDATE COTACAO SET cot_id = "&amp;A564&amp;", cot_blt_id = "&amp;B564&amp;", cot_pap_id = "&amp;C564&amp;", cot_prc_comum = "&amp;D564&amp;", cot_prc_min = "&amp;E564&amp;", cot_prc_max = "&amp;F564&amp;", cot_prc_med = "&amp;G564&amp;", cot_prc_mediana = "&amp;H564&amp;" WHERE cot_id = "&amp;A564&amp;";"</f>
        <v>UPDATE COTACAO SET cot_id = 563, cot_blt_id = 51, cot_pap_id = 11, cot_prc_comum = 30, cot_prc_min = 25, cot_prc_max = 30, cot_prc_med = 28.33, cot_prc_mediana = 30 WHERE cot_id = 563;</v>
      </c>
    </row>
    <row r="565" customFormat="false" ht="14.25" hidden="false" customHeight="false" outlineLevel="0" collapsed="false">
      <c r="A565" s="0" t="n">
        <v>564</v>
      </c>
      <c r="B565" s="0" t="n">
        <f aca="false">IF('Boletins Nuppa Site'!A565&lt;&gt;0,'Boletins Nuppa Site'!A565,"NULL")</f>
        <v>51</v>
      </c>
      <c r="C565" s="0" t="n">
        <v>12</v>
      </c>
      <c r="D565" s="30" t="n">
        <f aca="false">IF('Boletins Nuppa Site'!G565&lt;&gt;0,'Boletins Nuppa Site'!G565,"NULL")</f>
        <v>84</v>
      </c>
      <c r="E565" s="30" t="n">
        <f aca="false">IF('Boletins Nuppa Site'!H565&lt;&gt;0,'Boletins Nuppa Site'!H565,"NULL")</f>
        <v>78</v>
      </c>
      <c r="F565" s="30" t="n">
        <f aca="false">IF('Boletins Nuppa Site'!I565&lt;&gt;0,'Boletins Nuppa Site'!I565,"NULL")</f>
        <v>84</v>
      </c>
      <c r="G565" s="30" t="n">
        <f aca="false">IF('Boletins Nuppa Site'!J565&lt;&gt;0,'Boletins Nuppa Site'!J565,"NULL")</f>
        <v>82</v>
      </c>
      <c r="H565" s="30" t="n">
        <f aca="false">IF('Boletins Nuppa Site'!K565&lt;&gt;0,'Boletins Nuppa Site'!K565,"NULL")</f>
        <v>84</v>
      </c>
      <c r="I565" s="0" t="str">
        <f aca="false">"INSERT INTO COTACAO (cot_id, cot_blt_id, cot_pap_id, cot_prc_comum, cot_prc_min, cot_prc_max, cot_prc_med, cot_prc_mediana) VALUES ("&amp;A565&amp;", "&amp;B565&amp;", "&amp;C565&amp;", "&amp;D565&amp;", "&amp;E565&amp;", "&amp;F565&amp;", "&amp;G565&amp;", "&amp;H565&amp;");"</f>
        <v>INSERT INTO COTACAO (cot_id, cot_blt_id, cot_pap_id, cot_prc_comum, cot_prc_min, cot_prc_max, cot_prc_med, cot_prc_mediana) VALUES (564, 51, 12, 84, 78, 84, 82, 84);</v>
      </c>
      <c r="J565" s="0" t="str">
        <f aca="false">"UPDATE COTACAO SET cot_id = "&amp;A565&amp;", cot_blt_id = "&amp;B565&amp;", cot_pap_id = "&amp;C565&amp;", cot_prc_comum = "&amp;D565&amp;", cot_prc_min = "&amp;E565&amp;", cot_prc_max = "&amp;F565&amp;", cot_prc_med = "&amp;G565&amp;", cot_prc_mediana = "&amp;H565&amp;" WHERE cot_id = "&amp;A565&amp;";"</f>
        <v>UPDATE COTACAO SET cot_id = 564, cot_blt_id = 51, cot_pap_id = 12, cot_prc_comum = 84, cot_prc_min = 78, cot_prc_max = 84, cot_prc_med = 82, cot_prc_mediana = 84 WHERE cot_id = 564;</v>
      </c>
    </row>
    <row r="566" customFormat="false" ht="14.25" hidden="false" customHeight="false" outlineLevel="0" collapsed="false">
      <c r="A566" s="0" t="n">
        <v>565</v>
      </c>
      <c r="B566" s="0" t="n">
        <f aca="false">IF('Boletins Nuppa Site'!A566&lt;&gt;0,'Boletins Nuppa Site'!A566,"NULL")</f>
        <v>51</v>
      </c>
      <c r="C566" s="0" t="n">
        <v>13</v>
      </c>
      <c r="D566" s="30" t="n">
        <f aca="false">IF('Boletins Nuppa Site'!G566&lt;&gt;0,'Boletins Nuppa Site'!G566,"NULL")</f>
        <v>60</v>
      </c>
      <c r="E566" s="30" t="n">
        <f aca="false">IF('Boletins Nuppa Site'!H566&lt;&gt;0,'Boletins Nuppa Site'!H566,"NULL")</f>
        <v>60</v>
      </c>
      <c r="F566" s="30" t="n">
        <f aca="false">IF('Boletins Nuppa Site'!I566&lt;&gt;0,'Boletins Nuppa Site'!I566,"NULL")</f>
        <v>84</v>
      </c>
      <c r="G566" s="30" t="n">
        <f aca="false">IF('Boletins Nuppa Site'!J566&lt;&gt;0,'Boletins Nuppa Site'!J566,"NULL")</f>
        <v>68</v>
      </c>
      <c r="H566" s="30" t="n">
        <f aca="false">IF('Boletins Nuppa Site'!K566&lt;&gt;0,'Boletins Nuppa Site'!K566,"NULL")</f>
        <v>60</v>
      </c>
      <c r="I566" s="0" t="str">
        <f aca="false">"INSERT INTO COTACAO (cot_id, cot_blt_id, cot_pap_id, cot_prc_comum, cot_prc_min, cot_prc_max, cot_prc_med, cot_prc_mediana) VALUES ("&amp;A566&amp;", "&amp;B566&amp;", "&amp;C566&amp;", "&amp;D566&amp;", "&amp;E566&amp;", "&amp;F566&amp;", "&amp;G566&amp;", "&amp;H566&amp;");"</f>
        <v>INSERT INTO COTACAO (cot_id, cot_blt_id, cot_pap_id, cot_prc_comum, cot_prc_min, cot_prc_max, cot_prc_med, cot_prc_mediana) VALUES (565, 51, 13, 60, 60, 84, 68, 60);</v>
      </c>
      <c r="J566" s="0" t="str">
        <f aca="false">"UPDATE COTACAO SET cot_id = "&amp;A566&amp;", cot_blt_id = "&amp;B566&amp;", cot_pap_id = "&amp;C566&amp;", cot_prc_comum = "&amp;D566&amp;", cot_prc_min = "&amp;E566&amp;", cot_prc_max = "&amp;F566&amp;", cot_prc_med = "&amp;G566&amp;", cot_prc_mediana = "&amp;H566&amp;" WHERE cot_id = "&amp;A566&amp;";"</f>
        <v>UPDATE COTACAO SET cot_id = 565, cot_blt_id = 51, cot_pap_id = 13, cot_prc_comum = 60, cot_prc_min = 60, cot_prc_max = 84, cot_prc_med = 68, cot_prc_mediana = 60 WHERE cot_id = 565;</v>
      </c>
    </row>
    <row r="567" customFormat="false" ht="14.25" hidden="false" customHeight="false" outlineLevel="0" collapsed="false">
      <c r="A567" s="0" t="n">
        <v>566</v>
      </c>
      <c r="B567" s="0" t="n">
        <f aca="false">IF('Boletins Nuppa Site'!A567&lt;&gt;0,'Boletins Nuppa Site'!A567,"NULL")</f>
        <v>51</v>
      </c>
      <c r="C567" s="0" t="n">
        <v>14</v>
      </c>
      <c r="D567" s="0" t="str">
        <f aca="false">IF('Boletins Nuppa Site'!G567&lt;&gt;0,'Boletins Nuppa Site'!G567,"NULL")</f>
        <v>NULL</v>
      </c>
      <c r="E567" s="30" t="n">
        <f aca="false">IF('Boletins Nuppa Site'!H567&lt;&gt;0,'Boletins Nuppa Site'!H567,"NULL")</f>
        <v>55</v>
      </c>
      <c r="F567" s="30" t="n">
        <f aca="false">IF('Boletins Nuppa Site'!I567&lt;&gt;0,'Boletins Nuppa Site'!I567,"NULL")</f>
        <v>84</v>
      </c>
      <c r="G567" s="0" t="str">
        <f aca="false">IF('Boletins Nuppa Site'!J567&lt;&gt;0,'Boletins Nuppa Site'!J567,"NULL")</f>
        <v>70.33</v>
      </c>
      <c r="H567" s="30" t="n">
        <f aca="false">IF('Boletins Nuppa Site'!K567&lt;&gt;0,'Boletins Nuppa Site'!K567,"NULL")</f>
        <v>72</v>
      </c>
      <c r="I567" s="0" t="str">
        <f aca="false">"INSERT INTO COTACAO (cot_id, cot_blt_id, cot_pap_id, cot_prc_comum, cot_prc_min, cot_prc_max, cot_prc_med, cot_prc_mediana) VALUES ("&amp;A567&amp;", "&amp;B567&amp;", "&amp;C567&amp;", "&amp;D567&amp;", "&amp;E567&amp;", "&amp;F567&amp;", "&amp;G567&amp;", "&amp;H567&amp;");"</f>
        <v>INSERT INTO COTACAO (cot_id, cot_blt_id, cot_pap_id, cot_prc_comum, cot_prc_min, cot_prc_max, cot_prc_med, cot_prc_mediana) VALUES (566, 51, 14, NULL, 55, 84, 70.33, 72);</v>
      </c>
      <c r="J567" s="0" t="str">
        <f aca="false">"UPDATE COTACAO SET cot_id = "&amp;A567&amp;", cot_blt_id = "&amp;B567&amp;", cot_pap_id = "&amp;C567&amp;", cot_prc_comum = "&amp;D567&amp;", cot_prc_min = "&amp;E567&amp;", cot_prc_max = "&amp;F567&amp;", cot_prc_med = "&amp;G567&amp;", cot_prc_mediana = "&amp;H567&amp;" WHERE cot_id = "&amp;A567&amp;";"</f>
        <v>UPDATE COTACAO SET cot_id = 566, cot_blt_id = 51, cot_pap_id = 14, cot_prc_comum = NULL, cot_prc_min = 55, cot_prc_max = 84, cot_prc_med = 70.33, cot_prc_mediana = 72 WHERE cot_id = 566;</v>
      </c>
    </row>
    <row r="568" customFormat="false" ht="14.25" hidden="false" customHeight="false" outlineLevel="0" collapsed="false">
      <c r="A568" s="0" t="n">
        <v>567</v>
      </c>
      <c r="B568" s="0" t="n">
        <f aca="false">IF('Boletins Nuppa Site'!A568&lt;&gt;0,'Boletins Nuppa Site'!A568,"NULL")</f>
        <v>51</v>
      </c>
      <c r="C568" s="0" t="n">
        <v>15</v>
      </c>
      <c r="D568" s="0" t="str">
        <f aca="false">IF('Boletins Nuppa Site'!G568&lt;&gt;0,'Boletins Nuppa Site'!G568,"NULL")</f>
        <v>NULL</v>
      </c>
      <c r="E568" s="30" t="n">
        <f aca="false">IF('Boletins Nuppa Site'!H568&lt;&gt;0,'Boletins Nuppa Site'!H568,"NULL")</f>
        <v>48</v>
      </c>
      <c r="F568" s="30" t="n">
        <f aca="false">IF('Boletins Nuppa Site'!I568&lt;&gt;0,'Boletins Nuppa Site'!I568,"NULL")</f>
        <v>70</v>
      </c>
      <c r="G568" s="30" t="n">
        <f aca="false">IF('Boletins Nuppa Site'!J568&lt;&gt;0,'Boletins Nuppa Site'!J568,"NULL")</f>
        <v>56</v>
      </c>
      <c r="H568" s="30" t="n">
        <f aca="false">IF('Boletins Nuppa Site'!K568&lt;&gt;0,'Boletins Nuppa Site'!K568,"NULL")</f>
        <v>50</v>
      </c>
      <c r="I568" s="0" t="str">
        <f aca="false">"INSERT INTO COTACAO (cot_id, cot_blt_id, cot_pap_id, cot_prc_comum, cot_prc_min, cot_prc_max, cot_prc_med, cot_prc_mediana) VALUES ("&amp;A568&amp;", "&amp;B568&amp;", "&amp;C568&amp;", "&amp;D568&amp;", "&amp;E568&amp;", "&amp;F568&amp;", "&amp;G568&amp;", "&amp;H568&amp;");"</f>
        <v>INSERT INTO COTACAO (cot_id, cot_blt_id, cot_pap_id, cot_prc_comum, cot_prc_min, cot_prc_max, cot_prc_med, cot_prc_mediana) VALUES (567, 51, 15, NULL, 48, 70, 56, 50);</v>
      </c>
      <c r="J568" s="0" t="str">
        <f aca="false">"UPDATE COTACAO SET cot_id = "&amp;A568&amp;", cot_blt_id = "&amp;B568&amp;", cot_pap_id = "&amp;C568&amp;", cot_prc_comum = "&amp;D568&amp;", cot_prc_min = "&amp;E568&amp;", cot_prc_max = "&amp;F568&amp;", cot_prc_med = "&amp;G568&amp;", cot_prc_mediana = "&amp;H568&amp;" WHERE cot_id = "&amp;A568&amp;";"</f>
        <v>UPDATE COTACAO SET cot_id = 567, cot_blt_id = 51, cot_pap_id = 15, cot_prc_comum = NULL, cot_prc_min = 48, cot_prc_max = 70, cot_prc_med = 56, cot_prc_mediana = 50 WHERE cot_id = 567;</v>
      </c>
    </row>
    <row r="569" customFormat="false" ht="14.25" hidden="false" customHeight="false" outlineLevel="0" collapsed="false">
      <c r="A569" s="0" t="n">
        <v>568</v>
      </c>
      <c r="B569" s="0" t="n">
        <f aca="false">IF('Boletins Nuppa Site'!A569&lt;&gt;0,'Boletins Nuppa Site'!A569,"NULL")</f>
        <v>51</v>
      </c>
      <c r="C569" s="0" t="n">
        <v>16</v>
      </c>
      <c r="D569" s="30" t="n">
        <f aca="false">IF('Boletins Nuppa Site'!G569&lt;&gt;0,'Boletins Nuppa Site'!G569,"NULL")</f>
        <v>54</v>
      </c>
      <c r="E569" s="30" t="n">
        <f aca="false">IF('Boletins Nuppa Site'!H569&lt;&gt;0,'Boletins Nuppa Site'!H569,"NULL")</f>
        <v>48</v>
      </c>
      <c r="F569" s="30" t="n">
        <f aca="false">IF('Boletins Nuppa Site'!I569&lt;&gt;0,'Boletins Nuppa Site'!I569,"NULL")</f>
        <v>54</v>
      </c>
      <c r="G569" s="30" t="n">
        <f aca="false">IF('Boletins Nuppa Site'!J569&lt;&gt;0,'Boletins Nuppa Site'!J569,"NULL")</f>
        <v>52</v>
      </c>
      <c r="H569" s="30" t="n">
        <f aca="false">IF('Boletins Nuppa Site'!K569&lt;&gt;0,'Boletins Nuppa Site'!K569,"NULL")</f>
        <v>54</v>
      </c>
      <c r="I569" s="0" t="str">
        <f aca="false">"INSERT INTO COTACAO (cot_id, cot_blt_id, cot_pap_id, cot_prc_comum, cot_prc_min, cot_prc_max, cot_prc_med, cot_prc_mediana) VALUES ("&amp;A569&amp;", "&amp;B569&amp;", "&amp;C569&amp;", "&amp;D569&amp;", "&amp;E569&amp;", "&amp;F569&amp;", "&amp;G569&amp;", "&amp;H569&amp;");"</f>
        <v>INSERT INTO COTACAO (cot_id, cot_blt_id, cot_pap_id, cot_prc_comum, cot_prc_min, cot_prc_max, cot_prc_med, cot_prc_mediana) VALUES (568, 51, 16, 54, 48, 54, 52, 54);</v>
      </c>
      <c r="J569" s="0" t="str">
        <f aca="false">"UPDATE COTACAO SET cot_id = "&amp;A569&amp;", cot_blt_id = "&amp;B569&amp;", cot_pap_id = "&amp;C569&amp;", cot_prc_comum = "&amp;D569&amp;", cot_prc_min = "&amp;E569&amp;", cot_prc_max = "&amp;F569&amp;", cot_prc_med = "&amp;G569&amp;", cot_prc_mediana = "&amp;H569&amp;" WHERE cot_id = "&amp;A569&amp;";"</f>
        <v>UPDATE COTACAO SET cot_id = 568, cot_blt_id = 51, cot_pap_id = 16, cot_prc_comum = 54, cot_prc_min = 48, cot_prc_max = 54, cot_prc_med = 52, cot_prc_mediana = 54 WHERE cot_id = 568;</v>
      </c>
    </row>
    <row r="570" customFormat="false" ht="14.25" hidden="false" customHeight="false" outlineLevel="0" collapsed="false">
      <c r="A570" s="0" t="n">
        <v>569</v>
      </c>
      <c r="B570" s="0" t="n">
        <f aca="false">IF('Boletins Nuppa Site'!A570&lt;&gt;0,'Boletins Nuppa Site'!A570,"NULL")</f>
        <v>51</v>
      </c>
      <c r="C570" s="0" t="n">
        <v>17</v>
      </c>
      <c r="D570" s="30" t="n">
        <f aca="false">IF('Boletins Nuppa Site'!G570&lt;&gt;0,'Boletins Nuppa Site'!G570,"NULL")</f>
        <v>60</v>
      </c>
      <c r="E570" s="30" t="n">
        <f aca="false">IF('Boletins Nuppa Site'!H570&lt;&gt;0,'Boletins Nuppa Site'!H570,"NULL")</f>
        <v>60</v>
      </c>
      <c r="F570" s="30" t="n">
        <f aca="false">IF('Boletins Nuppa Site'!I570&lt;&gt;0,'Boletins Nuppa Site'!I570,"NULL")</f>
        <v>72</v>
      </c>
      <c r="G570" s="30" t="n">
        <f aca="false">IF('Boletins Nuppa Site'!J570&lt;&gt;0,'Boletins Nuppa Site'!J570,"NULL")</f>
        <v>64</v>
      </c>
      <c r="H570" s="30" t="n">
        <f aca="false">IF('Boletins Nuppa Site'!K570&lt;&gt;0,'Boletins Nuppa Site'!K570,"NULL")</f>
        <v>60</v>
      </c>
      <c r="I570" s="0" t="str">
        <f aca="false">"INSERT INTO COTACAO (cot_id, cot_blt_id, cot_pap_id, cot_prc_comum, cot_prc_min, cot_prc_max, cot_prc_med, cot_prc_mediana) VALUES ("&amp;A570&amp;", "&amp;B570&amp;", "&amp;C570&amp;", "&amp;D570&amp;", "&amp;E570&amp;", "&amp;F570&amp;", "&amp;G570&amp;", "&amp;H570&amp;");"</f>
        <v>INSERT INTO COTACAO (cot_id, cot_blt_id, cot_pap_id, cot_prc_comum, cot_prc_min, cot_prc_max, cot_prc_med, cot_prc_mediana) VALUES (569, 51, 17, 60, 60, 72, 64, 60);</v>
      </c>
      <c r="J570" s="0" t="str">
        <f aca="false">"UPDATE COTACAO SET cot_id = "&amp;A570&amp;", cot_blt_id = "&amp;B570&amp;", cot_pap_id = "&amp;C570&amp;", cot_prc_comum = "&amp;D570&amp;", cot_prc_min = "&amp;E570&amp;", cot_prc_max = "&amp;F570&amp;", cot_prc_med = "&amp;G570&amp;", cot_prc_mediana = "&amp;H570&amp;" WHERE cot_id = "&amp;A570&amp;";"</f>
        <v>UPDATE COTACAO SET cot_id = 569, cot_blt_id = 51, cot_pap_id = 17, cot_prc_comum = 60, cot_prc_min = 60, cot_prc_max = 72, cot_prc_med = 64, cot_prc_mediana = 60 WHERE cot_id = 569;</v>
      </c>
    </row>
    <row r="571" customFormat="false" ht="14.25" hidden="false" customHeight="false" outlineLevel="0" collapsed="false">
      <c r="A571" s="0" t="n">
        <v>570</v>
      </c>
      <c r="B571" s="0" t="n">
        <f aca="false">IF('Boletins Nuppa Site'!A571&lt;&gt;0,'Boletins Nuppa Site'!A571,"NULL")</f>
        <v>51</v>
      </c>
      <c r="C571" s="0" t="n">
        <v>18</v>
      </c>
      <c r="D571" s="0" t="str">
        <f aca="false">IF('Boletins Nuppa Site'!G571&lt;&gt;0,'Boletins Nuppa Site'!G571,"NULL")</f>
        <v>NULL</v>
      </c>
      <c r="E571" s="30" t="n">
        <f aca="false">IF('Boletins Nuppa Site'!H571&lt;&gt;0,'Boletins Nuppa Site'!H571,"NULL")</f>
        <v>20</v>
      </c>
      <c r="F571" s="30" t="n">
        <f aca="false">IF('Boletins Nuppa Site'!I571&lt;&gt;0,'Boletins Nuppa Site'!I571,"NULL")</f>
        <v>30</v>
      </c>
      <c r="G571" s="30" t="n">
        <f aca="false">IF('Boletins Nuppa Site'!J571&lt;&gt;0,'Boletins Nuppa Site'!J571,"NULL")</f>
        <v>25</v>
      </c>
      <c r="H571" s="30" t="n">
        <f aca="false">IF('Boletins Nuppa Site'!K571&lt;&gt;0,'Boletins Nuppa Site'!K571,"NULL")</f>
        <v>25</v>
      </c>
      <c r="I571" s="0" t="str">
        <f aca="false">"INSERT INTO COTACAO (cot_id, cot_blt_id, cot_pap_id, cot_prc_comum, cot_prc_min, cot_prc_max, cot_prc_med, cot_prc_mediana) VALUES ("&amp;A571&amp;", "&amp;B571&amp;", "&amp;C571&amp;", "&amp;D571&amp;", "&amp;E571&amp;", "&amp;F571&amp;", "&amp;G571&amp;", "&amp;H571&amp;");"</f>
        <v>INSERT INTO COTACAO (cot_id, cot_blt_id, cot_pap_id, cot_prc_comum, cot_prc_min, cot_prc_max, cot_prc_med, cot_prc_mediana) VALUES (570, 51, 18, NULL, 20, 30, 25, 25);</v>
      </c>
      <c r="J571" s="0" t="str">
        <f aca="false">"UPDATE COTACAO SET cot_id = "&amp;A571&amp;", cot_blt_id = "&amp;B571&amp;", cot_pap_id = "&amp;C571&amp;", cot_prc_comum = "&amp;D571&amp;", cot_prc_min = "&amp;E571&amp;", cot_prc_max = "&amp;F571&amp;", cot_prc_med = "&amp;G571&amp;", cot_prc_mediana = "&amp;H571&amp;" WHERE cot_id = "&amp;A571&amp;";"</f>
        <v>UPDATE COTACAO SET cot_id = 570, cot_blt_id = 51, cot_pap_id = 18, cot_prc_comum = NULL, cot_prc_min = 20, cot_prc_max = 30, cot_prc_med = 25, cot_prc_mediana = 25 WHERE cot_id = 570;</v>
      </c>
    </row>
    <row r="572" customFormat="false" ht="14.25" hidden="false" customHeight="false" outlineLevel="0" collapsed="false">
      <c r="A572" s="0" t="n">
        <v>571</v>
      </c>
      <c r="B572" s="0" t="n">
        <f aca="false">IF('Boletins Nuppa Site'!A572&lt;&gt;0,'Boletins Nuppa Site'!A572,"NULL")</f>
        <v>51</v>
      </c>
      <c r="C572" s="0" t="n">
        <v>19</v>
      </c>
      <c r="D572" s="30" t="n">
        <f aca="false">IF('Boletins Nuppa Site'!G572&lt;&gt;0,'Boletins Nuppa Site'!G572,"NULL")</f>
        <v>30</v>
      </c>
      <c r="E572" s="30" t="n">
        <f aca="false">IF('Boletins Nuppa Site'!H572&lt;&gt;0,'Boletins Nuppa Site'!H572,"NULL")</f>
        <v>30</v>
      </c>
      <c r="F572" s="30" t="n">
        <f aca="false">IF('Boletins Nuppa Site'!I572&lt;&gt;0,'Boletins Nuppa Site'!I572,"NULL")</f>
        <v>35</v>
      </c>
      <c r="G572" s="0" t="str">
        <f aca="false">IF('Boletins Nuppa Site'!J572&lt;&gt;0,'Boletins Nuppa Site'!J572,"NULL")</f>
        <v>31.67</v>
      </c>
      <c r="H572" s="30" t="n">
        <f aca="false">IF('Boletins Nuppa Site'!K572&lt;&gt;0,'Boletins Nuppa Site'!K572,"NULL")</f>
        <v>30</v>
      </c>
      <c r="I572" s="0" t="str">
        <f aca="false">"INSERT INTO COTACAO (cot_id, cot_blt_id, cot_pap_id, cot_prc_comum, cot_prc_min, cot_prc_max, cot_prc_med, cot_prc_mediana) VALUES ("&amp;A572&amp;", "&amp;B572&amp;", "&amp;C572&amp;", "&amp;D572&amp;", "&amp;E572&amp;", "&amp;F572&amp;", "&amp;G572&amp;", "&amp;H572&amp;");"</f>
        <v>INSERT INTO COTACAO (cot_id, cot_blt_id, cot_pap_id, cot_prc_comum, cot_prc_min, cot_prc_max, cot_prc_med, cot_prc_mediana) VALUES (571, 51, 19, 30, 30, 35, 31.67, 30);</v>
      </c>
      <c r="J572" s="0" t="str">
        <f aca="false">"UPDATE COTACAO SET cot_id = "&amp;A572&amp;", cot_blt_id = "&amp;B572&amp;", cot_pap_id = "&amp;C572&amp;", cot_prc_comum = "&amp;D572&amp;", cot_prc_min = "&amp;E572&amp;", cot_prc_max = "&amp;F572&amp;", cot_prc_med = "&amp;G572&amp;", cot_prc_mediana = "&amp;H572&amp;" WHERE cot_id = "&amp;A572&amp;";"</f>
        <v>UPDATE COTACAO SET cot_id = 571, cot_blt_id = 51, cot_pap_id = 19, cot_prc_comum = 30, cot_prc_min = 30, cot_prc_max = 35, cot_prc_med = 31.67, cot_prc_mediana = 30 WHERE cot_id = 571;</v>
      </c>
    </row>
    <row r="573" customFormat="false" ht="14.25" hidden="false" customHeight="false" outlineLevel="0" collapsed="false">
      <c r="A573" s="0" t="n">
        <v>572</v>
      </c>
      <c r="B573" s="0" t="n">
        <f aca="false">IF('Boletins Nuppa Site'!A573&lt;&gt;0,'Boletins Nuppa Site'!A573,"NULL")</f>
        <v>51</v>
      </c>
      <c r="C573" s="0" t="n">
        <v>20</v>
      </c>
      <c r="D573" s="0" t="str">
        <f aca="false">IF('Boletins Nuppa Site'!G573&lt;&gt;0,'Boletins Nuppa Site'!G573,"NULL")</f>
        <v>NULL</v>
      </c>
      <c r="E573" s="30" t="n">
        <f aca="false">IF('Boletins Nuppa Site'!H573&lt;&gt;0,'Boletins Nuppa Site'!H573,"NULL")</f>
        <v>90</v>
      </c>
      <c r="F573" s="30" t="n">
        <f aca="false">IF('Boletins Nuppa Site'!I573&lt;&gt;0,'Boletins Nuppa Site'!I573,"NULL")</f>
        <v>90</v>
      </c>
      <c r="G573" s="30" t="n">
        <f aca="false">IF('Boletins Nuppa Site'!J573&lt;&gt;0,'Boletins Nuppa Site'!J573,"NULL")</f>
        <v>90</v>
      </c>
      <c r="H573" s="30" t="n">
        <f aca="false">IF('Boletins Nuppa Site'!K573&lt;&gt;0,'Boletins Nuppa Site'!K573,"NULL")</f>
        <v>90</v>
      </c>
      <c r="I573" s="0" t="str">
        <f aca="false">"INSERT INTO COTACAO (cot_id, cot_blt_id, cot_pap_id, cot_prc_comum, cot_prc_min, cot_prc_max, cot_prc_med, cot_prc_mediana) VALUES ("&amp;A573&amp;", "&amp;B573&amp;", "&amp;C573&amp;", "&amp;D573&amp;", "&amp;E573&amp;", "&amp;F573&amp;", "&amp;G573&amp;", "&amp;H573&amp;");"</f>
        <v>INSERT INTO COTACAO (cot_id, cot_blt_id, cot_pap_id, cot_prc_comum, cot_prc_min, cot_prc_max, cot_prc_med, cot_prc_mediana) VALUES (572, 51, 20, NULL, 90, 90, 90, 90);</v>
      </c>
      <c r="J573" s="0" t="str">
        <f aca="false">"UPDATE COTACAO SET cot_id = "&amp;A573&amp;", cot_blt_id = "&amp;B573&amp;", cot_pap_id = "&amp;C573&amp;", cot_prc_comum = "&amp;D573&amp;", cot_prc_min = "&amp;E573&amp;", cot_prc_max = "&amp;F573&amp;", cot_prc_med = "&amp;G573&amp;", cot_prc_mediana = "&amp;H573&amp;" WHERE cot_id = "&amp;A573&amp;";"</f>
        <v>UPDATE COTACAO SET cot_id = 572, cot_blt_id = 51, cot_pap_id = 20, cot_prc_comum = NULL, cot_prc_min = 90, cot_prc_max = 90, cot_prc_med = 90, cot_prc_mediana = 90 WHERE cot_id = 572;</v>
      </c>
    </row>
    <row r="574" customFormat="false" ht="14.25" hidden="false" customHeight="false" outlineLevel="0" collapsed="false">
      <c r="A574" s="0" t="n">
        <v>573</v>
      </c>
      <c r="B574" s="0" t="n">
        <f aca="false">IF('Boletins Nuppa Site'!A574&lt;&gt;0,'Boletins Nuppa Site'!A574,"NULL")</f>
        <v>51</v>
      </c>
      <c r="C574" s="0" t="n">
        <v>21</v>
      </c>
      <c r="D574" s="30" t="n">
        <f aca="false">IF('Boletins Nuppa Site'!G574&lt;&gt;0,'Boletins Nuppa Site'!G574,"NULL")</f>
        <v>70</v>
      </c>
      <c r="E574" s="30" t="n">
        <f aca="false">IF('Boletins Nuppa Site'!H574&lt;&gt;0,'Boletins Nuppa Site'!H574,"NULL")</f>
        <v>60</v>
      </c>
      <c r="F574" s="30" t="n">
        <f aca="false">IF('Boletins Nuppa Site'!I574&lt;&gt;0,'Boletins Nuppa Site'!I574,"NULL")</f>
        <v>70</v>
      </c>
      <c r="G574" s="30" t="n">
        <f aca="false">IF('Boletins Nuppa Site'!J574&lt;&gt;0,'Boletins Nuppa Site'!J574,"NULL")</f>
        <v>65</v>
      </c>
      <c r="H574" s="30" t="n">
        <f aca="false">IF('Boletins Nuppa Site'!K574&lt;&gt;0,'Boletins Nuppa Site'!K574,"NULL")</f>
        <v>65</v>
      </c>
      <c r="I574" s="0" t="str">
        <f aca="false">"INSERT INTO COTACAO (cot_id, cot_blt_id, cot_pap_id, cot_prc_comum, cot_prc_min, cot_prc_max, cot_prc_med, cot_prc_mediana) VALUES ("&amp;A574&amp;", "&amp;B574&amp;", "&amp;C574&amp;", "&amp;D574&amp;", "&amp;E574&amp;", "&amp;F574&amp;", "&amp;G574&amp;", "&amp;H574&amp;");"</f>
        <v>INSERT INTO COTACAO (cot_id, cot_blt_id, cot_pap_id, cot_prc_comum, cot_prc_min, cot_prc_max, cot_prc_med, cot_prc_mediana) VALUES (573, 51, 21, 70, 60, 70, 65, 65);</v>
      </c>
      <c r="J574" s="0" t="str">
        <f aca="false">"UPDATE COTACAO SET cot_id = "&amp;A574&amp;", cot_blt_id = "&amp;B574&amp;", cot_pap_id = "&amp;C574&amp;", cot_prc_comum = "&amp;D574&amp;", cot_prc_min = "&amp;E574&amp;", cot_prc_max = "&amp;F574&amp;", cot_prc_med = "&amp;G574&amp;", cot_prc_mediana = "&amp;H574&amp;" WHERE cot_id = "&amp;A574&amp;";"</f>
        <v>UPDATE COTACAO SET cot_id = 573, cot_blt_id = 51, cot_pap_id = 21, cot_prc_comum = 70, cot_prc_min = 60, cot_prc_max = 70, cot_prc_med = 65, cot_prc_mediana = 65 WHERE cot_id = 573;</v>
      </c>
    </row>
    <row r="575" customFormat="false" ht="14.25" hidden="false" customHeight="false" outlineLevel="0" collapsed="false">
      <c r="A575" s="0" t="n">
        <v>574</v>
      </c>
      <c r="B575" s="0" t="n">
        <f aca="false">IF('Boletins Nuppa Site'!A575&lt;&gt;0,'Boletins Nuppa Site'!A575,"NULL")</f>
        <v>51</v>
      </c>
      <c r="C575" s="0" t="n">
        <v>22</v>
      </c>
      <c r="D575" s="0" t="str">
        <f aca="false">IF('Boletins Nuppa Site'!G575&lt;&gt;0,'Boletins Nuppa Site'!G575,"NULL")</f>
        <v>NULL</v>
      </c>
      <c r="E575" s="30" t="n">
        <f aca="false">IF('Boletins Nuppa Site'!H575&lt;&gt;0,'Boletins Nuppa Site'!H575,"NULL")</f>
        <v>45</v>
      </c>
      <c r="F575" s="30" t="n">
        <f aca="false">IF('Boletins Nuppa Site'!I575&lt;&gt;0,'Boletins Nuppa Site'!I575,"NULL")</f>
        <v>70</v>
      </c>
      <c r="G575" s="30" t="n">
        <f aca="false">IF('Boletins Nuppa Site'!J575&lt;&gt;0,'Boletins Nuppa Site'!J575,"NULL")</f>
        <v>60</v>
      </c>
      <c r="H575" s="0" t="str">
        <f aca="false">IF('Boletins Nuppa Site'!K575&lt;&gt;0,'Boletins Nuppa Site'!K575,"NULL")</f>
        <v>62.5</v>
      </c>
      <c r="I575" s="0" t="str">
        <f aca="false">"INSERT INTO COTACAO (cot_id, cot_blt_id, cot_pap_id, cot_prc_comum, cot_prc_min, cot_prc_max, cot_prc_med, cot_prc_mediana) VALUES ("&amp;A575&amp;", "&amp;B575&amp;", "&amp;C575&amp;", "&amp;D575&amp;", "&amp;E575&amp;", "&amp;F575&amp;", "&amp;G575&amp;", "&amp;H575&amp;");"</f>
        <v>INSERT INTO COTACAO (cot_id, cot_blt_id, cot_pap_id, cot_prc_comum, cot_prc_min, cot_prc_max, cot_prc_med, cot_prc_mediana) VALUES (574, 51, 22, NULL, 45, 70, 60, 62.5);</v>
      </c>
      <c r="J575" s="0" t="str">
        <f aca="false">"UPDATE COTACAO SET cot_id = "&amp;A575&amp;", cot_blt_id = "&amp;B575&amp;", cot_pap_id = "&amp;C575&amp;", cot_prc_comum = "&amp;D575&amp;", cot_prc_min = "&amp;E575&amp;", cot_prc_max = "&amp;F575&amp;", cot_prc_med = "&amp;G575&amp;", cot_prc_mediana = "&amp;H575&amp;" WHERE cot_id = "&amp;A575&amp;";"</f>
        <v>UPDATE COTACAO SET cot_id = 574, cot_blt_id = 51, cot_pap_id = 22, cot_prc_comum = NULL, cot_prc_min = 45, cot_prc_max = 70, cot_prc_med = 60, cot_prc_mediana = 62.5 WHERE cot_id = 574;</v>
      </c>
    </row>
    <row r="576" customFormat="false" ht="14.25" hidden="false" customHeight="false" outlineLevel="0" collapsed="false">
      <c r="A576" s="0" t="n">
        <v>575</v>
      </c>
      <c r="B576" s="0" t="n">
        <f aca="false">IF('Boletins Nuppa Site'!A576&lt;&gt;0,'Boletins Nuppa Site'!A576,"NULL")</f>
        <v>51</v>
      </c>
      <c r="C576" s="0" t="n">
        <v>23</v>
      </c>
      <c r="D576" s="30" t="n">
        <f aca="false">IF('Boletins Nuppa Site'!G576&lt;&gt;0,'Boletins Nuppa Site'!G576,"NULL")</f>
        <v>40</v>
      </c>
      <c r="E576" s="30" t="n">
        <f aca="false">IF('Boletins Nuppa Site'!H576&lt;&gt;0,'Boletins Nuppa Site'!H576,"NULL")</f>
        <v>40</v>
      </c>
      <c r="F576" s="30" t="n">
        <f aca="false">IF('Boletins Nuppa Site'!I576&lt;&gt;0,'Boletins Nuppa Site'!I576,"NULL")</f>
        <v>50</v>
      </c>
      <c r="G576" s="0" t="str">
        <f aca="false">IF('Boletins Nuppa Site'!J576&lt;&gt;0,'Boletins Nuppa Site'!J576,"NULL")</f>
        <v>43.75</v>
      </c>
      <c r="H576" s="0" t="str">
        <f aca="false">IF('Boletins Nuppa Site'!K576&lt;&gt;0,'Boletins Nuppa Site'!K576,"NULL")</f>
        <v>42.5</v>
      </c>
      <c r="I576" s="0" t="str">
        <f aca="false">"INSERT INTO COTACAO (cot_id, cot_blt_id, cot_pap_id, cot_prc_comum, cot_prc_min, cot_prc_max, cot_prc_med, cot_prc_mediana) VALUES ("&amp;A576&amp;", "&amp;B576&amp;", "&amp;C576&amp;", "&amp;D576&amp;", "&amp;E576&amp;", "&amp;F576&amp;", "&amp;G576&amp;", "&amp;H576&amp;");"</f>
        <v>INSERT INTO COTACAO (cot_id, cot_blt_id, cot_pap_id, cot_prc_comum, cot_prc_min, cot_prc_max, cot_prc_med, cot_prc_mediana) VALUES (575, 51, 23, 40, 40, 50, 43.75, 42.5);</v>
      </c>
      <c r="J576" s="0" t="str">
        <f aca="false">"UPDATE COTACAO SET cot_id = "&amp;A576&amp;", cot_blt_id = "&amp;B576&amp;", cot_pap_id = "&amp;C576&amp;", cot_prc_comum = "&amp;D576&amp;", cot_prc_min = "&amp;E576&amp;", cot_prc_max = "&amp;F576&amp;", cot_prc_med = "&amp;G576&amp;", cot_prc_mediana = "&amp;H576&amp;" WHERE cot_id = "&amp;A576&amp;";"</f>
        <v>UPDATE COTACAO SET cot_id = 575, cot_blt_id = 51, cot_pap_id = 23, cot_prc_comum = 40, cot_prc_min = 40, cot_prc_max = 50, cot_prc_med = 43.75, cot_prc_mediana = 42.5 WHERE cot_id = 575;</v>
      </c>
    </row>
    <row r="577" customFormat="false" ht="14.25" hidden="false" customHeight="false" outlineLevel="0" collapsed="false">
      <c r="A577" s="0" t="n">
        <v>576</v>
      </c>
      <c r="B577" s="0" t="n">
        <f aca="false">IF('Boletins Nuppa Site'!A577&lt;&gt;0,'Boletins Nuppa Site'!A577,"NULL")</f>
        <v>51</v>
      </c>
      <c r="C577" s="0" t="n">
        <v>24</v>
      </c>
      <c r="D577" s="0" t="str">
        <f aca="false">IF('Boletins Nuppa Site'!G577&lt;&gt;0,'Boletins Nuppa Site'!G577,"NULL")</f>
        <v>NULL</v>
      </c>
      <c r="E577" s="30" t="n">
        <f aca="false">IF('Boletins Nuppa Site'!H577&lt;&gt;0,'Boletins Nuppa Site'!H577,"NULL")</f>
        <v>90</v>
      </c>
      <c r="F577" s="30" t="n">
        <f aca="false">IF('Boletins Nuppa Site'!I577&lt;&gt;0,'Boletins Nuppa Site'!I577,"NULL")</f>
        <v>110</v>
      </c>
      <c r="G577" s="30" t="n">
        <f aca="false">IF('Boletins Nuppa Site'!J577&lt;&gt;0,'Boletins Nuppa Site'!J577,"NULL")</f>
        <v>100</v>
      </c>
      <c r="H577" s="30" t="n">
        <f aca="false">IF('Boletins Nuppa Site'!K577&lt;&gt;0,'Boletins Nuppa Site'!K577,"NULL")</f>
        <v>100</v>
      </c>
      <c r="I577" s="0" t="str">
        <f aca="false">"INSERT INTO COTACAO (cot_id, cot_blt_id, cot_pap_id, cot_prc_comum, cot_prc_min, cot_prc_max, cot_prc_med, cot_prc_mediana) VALUES ("&amp;A577&amp;", "&amp;B577&amp;", "&amp;C577&amp;", "&amp;D577&amp;", "&amp;E577&amp;", "&amp;F577&amp;", "&amp;G577&amp;", "&amp;H577&amp;");"</f>
        <v>INSERT INTO COTACAO (cot_id, cot_blt_id, cot_pap_id, cot_prc_comum, cot_prc_min, cot_prc_max, cot_prc_med, cot_prc_mediana) VALUES (576, 51, 24, NULL, 90, 110, 100, 100);</v>
      </c>
      <c r="J577" s="0" t="str">
        <f aca="false">"UPDATE COTACAO SET cot_id = "&amp;A577&amp;", cot_blt_id = "&amp;B577&amp;", cot_pap_id = "&amp;C577&amp;", cot_prc_comum = "&amp;D577&amp;", cot_prc_min = "&amp;E577&amp;", cot_prc_max = "&amp;F577&amp;", cot_prc_med = "&amp;G577&amp;", cot_prc_mediana = "&amp;H577&amp;" WHERE cot_id = "&amp;A577&amp;";"</f>
        <v>UPDATE COTACAO SET cot_id = 576, cot_blt_id = 51, cot_pap_id = 24, cot_prc_comum = NULL, cot_prc_min = 90, cot_prc_max = 110, cot_prc_med = 100, cot_prc_mediana = 100 WHERE cot_id = 576;</v>
      </c>
    </row>
    <row r="578" customFormat="false" ht="14.25" hidden="false" customHeight="false" outlineLevel="0" collapsed="false">
      <c r="A578" s="0" t="n">
        <v>577</v>
      </c>
      <c r="B578" s="0" t="n">
        <f aca="false">IF('Boletins Nuppa Site'!A578&lt;&gt;0,'Boletins Nuppa Site'!A578,"NULL")</f>
        <v>51</v>
      </c>
      <c r="C578" s="0" t="n">
        <v>25</v>
      </c>
      <c r="D578" s="0" t="str">
        <f aca="false">IF('Boletins Nuppa Site'!G578&lt;&gt;0,'Boletins Nuppa Site'!G578,"NULL")</f>
        <v>NULL</v>
      </c>
      <c r="E578" s="30" t="n">
        <f aca="false">IF('Boletins Nuppa Site'!H578&lt;&gt;0,'Boletins Nuppa Site'!H578,"NULL")</f>
        <v>100</v>
      </c>
      <c r="F578" s="30" t="n">
        <f aca="false">IF('Boletins Nuppa Site'!I578&lt;&gt;0,'Boletins Nuppa Site'!I578,"NULL")</f>
        <v>160</v>
      </c>
      <c r="G578" s="0" t="str">
        <f aca="false">IF('Boletins Nuppa Site'!J578&lt;&gt;0,'Boletins Nuppa Site'!J578,"NULL")</f>
        <v>132.5</v>
      </c>
      <c r="H578" s="30" t="n">
        <f aca="false">IF('Boletins Nuppa Site'!K578&lt;&gt;0,'Boletins Nuppa Site'!K578,"NULL")</f>
        <v>135</v>
      </c>
      <c r="I578" s="0" t="str">
        <f aca="false">"INSERT INTO COTACAO (cot_id, cot_blt_id, cot_pap_id, cot_prc_comum, cot_prc_min, cot_prc_max, cot_prc_med, cot_prc_mediana) VALUES ("&amp;A578&amp;", "&amp;B578&amp;", "&amp;C578&amp;", "&amp;D578&amp;", "&amp;E578&amp;", "&amp;F578&amp;", "&amp;G578&amp;", "&amp;H578&amp;");"</f>
        <v>INSERT INTO COTACAO (cot_id, cot_blt_id, cot_pap_id, cot_prc_comum, cot_prc_min, cot_prc_max, cot_prc_med, cot_prc_mediana) VALUES (577, 51, 25, NULL, 100, 160, 132.5, 135);</v>
      </c>
      <c r="J578" s="0" t="str">
        <f aca="false">"UPDATE COTACAO SET cot_id = "&amp;A578&amp;", cot_blt_id = "&amp;B578&amp;", cot_pap_id = "&amp;C578&amp;", cot_prc_comum = "&amp;D578&amp;", cot_prc_min = "&amp;E578&amp;", cot_prc_max = "&amp;F578&amp;", cot_prc_med = "&amp;G578&amp;", cot_prc_mediana = "&amp;H578&amp;" WHERE cot_id = "&amp;A578&amp;";"</f>
        <v>UPDATE COTACAO SET cot_id = 577, cot_blt_id = 51, cot_pap_id = 25, cot_prc_comum = NULL, cot_prc_min = 100, cot_prc_max = 160, cot_prc_med = 132.5, cot_prc_mediana = 135 WHERE cot_id = 577;</v>
      </c>
    </row>
    <row r="579" customFormat="false" ht="14.25" hidden="false" customHeight="false" outlineLevel="0" collapsed="false">
      <c r="A579" s="0" t="n">
        <v>578</v>
      </c>
      <c r="B579" s="0" t="n">
        <f aca="false">IF('Boletins Nuppa Site'!A579&lt;&gt;0,'Boletins Nuppa Site'!A579,"NULL")</f>
        <v>51</v>
      </c>
      <c r="C579" s="0" t="n">
        <v>26</v>
      </c>
      <c r="D579" s="30" t="n">
        <f aca="false">IF('Boletins Nuppa Site'!G579&lt;&gt;0,'Boletins Nuppa Site'!G579,"NULL")</f>
        <v>160</v>
      </c>
      <c r="E579" s="30" t="n">
        <f aca="false">IF('Boletins Nuppa Site'!H579&lt;&gt;0,'Boletins Nuppa Site'!H579,"NULL")</f>
        <v>80</v>
      </c>
      <c r="F579" s="30" t="n">
        <f aca="false">IF('Boletins Nuppa Site'!I579&lt;&gt;0,'Boletins Nuppa Site'!I579,"NULL")</f>
        <v>170</v>
      </c>
      <c r="G579" s="30" t="n">
        <f aca="false">IF('Boletins Nuppa Site'!J579&lt;&gt;0,'Boletins Nuppa Site'!J579,"NULL")</f>
        <v>142</v>
      </c>
      <c r="H579" s="30" t="n">
        <f aca="false">IF('Boletins Nuppa Site'!K579&lt;&gt;0,'Boletins Nuppa Site'!K579,"NULL")</f>
        <v>160</v>
      </c>
      <c r="I579" s="0" t="str">
        <f aca="false">"INSERT INTO COTACAO (cot_id, cot_blt_id, cot_pap_id, cot_prc_comum, cot_prc_min, cot_prc_max, cot_prc_med, cot_prc_mediana) VALUES ("&amp;A579&amp;", "&amp;B579&amp;", "&amp;C579&amp;", "&amp;D579&amp;", "&amp;E579&amp;", "&amp;F579&amp;", "&amp;G579&amp;", "&amp;H579&amp;");"</f>
        <v>INSERT INTO COTACAO (cot_id, cot_blt_id, cot_pap_id, cot_prc_comum, cot_prc_min, cot_prc_max, cot_prc_med, cot_prc_mediana) VALUES (578, 51, 26, 160, 80, 170, 142, 160);</v>
      </c>
      <c r="J579" s="0" t="str">
        <f aca="false">"UPDATE COTACAO SET cot_id = "&amp;A579&amp;", cot_blt_id = "&amp;B579&amp;", cot_pap_id = "&amp;C579&amp;", cot_prc_comum = "&amp;D579&amp;", cot_prc_min = "&amp;E579&amp;", cot_prc_max = "&amp;F579&amp;", cot_prc_med = "&amp;G579&amp;", cot_prc_mediana = "&amp;H579&amp;" WHERE cot_id = "&amp;A579&amp;";"</f>
        <v>UPDATE COTACAO SET cot_id = 578, cot_blt_id = 51, cot_pap_id = 26, cot_prc_comum = 160, cot_prc_min = 80, cot_prc_max = 170, cot_prc_med = 142, cot_prc_mediana = 160 WHERE cot_id = 578;</v>
      </c>
    </row>
    <row r="580" customFormat="false" ht="14.25" hidden="false" customHeight="false" outlineLevel="0" collapsed="false">
      <c r="A580" s="0" t="n">
        <v>579</v>
      </c>
      <c r="B580" s="0" t="n">
        <f aca="false">IF('Boletins Nuppa Site'!A580&lt;&gt;0,'Boletins Nuppa Site'!A580,"NULL")</f>
        <v>51</v>
      </c>
      <c r="C580" s="0" t="n">
        <v>27</v>
      </c>
      <c r="D580" s="30" t="n">
        <f aca="false">IF('Boletins Nuppa Site'!G580&lt;&gt;0,'Boletins Nuppa Site'!G580,"NULL")</f>
        <v>60</v>
      </c>
      <c r="E580" s="30" t="n">
        <f aca="false">IF('Boletins Nuppa Site'!H580&lt;&gt;0,'Boletins Nuppa Site'!H580,"NULL")</f>
        <v>45</v>
      </c>
      <c r="F580" s="30" t="n">
        <f aca="false">IF('Boletins Nuppa Site'!I580&lt;&gt;0,'Boletins Nuppa Site'!I580,"NULL")</f>
        <v>60</v>
      </c>
      <c r="G580" s="0" t="str">
        <f aca="false">IF('Boletins Nuppa Site'!J580&lt;&gt;0,'Boletins Nuppa Site'!J580,"NULL")</f>
        <v>56.25</v>
      </c>
      <c r="H580" s="30" t="n">
        <f aca="false">IF('Boletins Nuppa Site'!K580&lt;&gt;0,'Boletins Nuppa Site'!K580,"NULL")</f>
        <v>60</v>
      </c>
      <c r="I580" s="0" t="str">
        <f aca="false">"INSERT INTO COTACAO (cot_id, cot_blt_id, cot_pap_id, cot_prc_comum, cot_prc_min, cot_prc_max, cot_prc_med, cot_prc_mediana) VALUES ("&amp;A580&amp;", "&amp;B580&amp;", "&amp;C580&amp;", "&amp;D580&amp;", "&amp;E580&amp;", "&amp;F580&amp;", "&amp;G580&amp;", "&amp;H580&amp;");"</f>
        <v>INSERT INTO COTACAO (cot_id, cot_blt_id, cot_pap_id, cot_prc_comum, cot_prc_min, cot_prc_max, cot_prc_med, cot_prc_mediana) VALUES (579, 51, 27, 60, 45, 60, 56.25, 60);</v>
      </c>
      <c r="J580" s="0" t="str">
        <f aca="false">"UPDATE COTACAO SET cot_id = "&amp;A580&amp;", cot_blt_id = "&amp;B580&amp;", cot_pap_id = "&amp;C580&amp;", cot_prc_comum = "&amp;D580&amp;", cot_prc_min = "&amp;E580&amp;", cot_prc_max = "&amp;F580&amp;", cot_prc_med = "&amp;G580&amp;", cot_prc_mediana = "&amp;H580&amp;" WHERE cot_id = "&amp;A580&amp;";"</f>
        <v>UPDATE COTACAO SET cot_id = 579, cot_blt_id = 51, cot_pap_id = 27, cot_prc_comum = 60, cot_prc_min = 45, cot_prc_max = 60, cot_prc_med = 56.25, cot_prc_mediana = 60 WHERE cot_id = 579;</v>
      </c>
    </row>
    <row r="581" customFormat="false" ht="14.25" hidden="false" customHeight="false" outlineLevel="0" collapsed="false">
      <c r="A581" s="0" t="n">
        <v>580</v>
      </c>
      <c r="B581" s="0" t="n">
        <f aca="false">IF('Boletins Nuppa Site'!A581&lt;&gt;0,'Boletins Nuppa Site'!A581,"NULL")</f>
        <v>51</v>
      </c>
      <c r="C581" s="0" t="n">
        <v>28</v>
      </c>
      <c r="D581" s="0" t="str">
        <f aca="false">IF('Boletins Nuppa Site'!G581&lt;&gt;0,'Boletins Nuppa Site'!G581,"NULL")</f>
        <v>NULL</v>
      </c>
      <c r="E581" s="30" t="n">
        <f aca="false">IF('Boletins Nuppa Site'!H581&lt;&gt;0,'Boletins Nuppa Site'!H581,"NULL")</f>
        <v>120</v>
      </c>
      <c r="F581" s="30" t="n">
        <f aca="false">IF('Boletins Nuppa Site'!I581&lt;&gt;0,'Boletins Nuppa Site'!I581,"NULL")</f>
        <v>120</v>
      </c>
      <c r="G581" s="30" t="n">
        <f aca="false">IF('Boletins Nuppa Site'!J581&lt;&gt;0,'Boletins Nuppa Site'!J581,"NULL")</f>
        <v>120</v>
      </c>
      <c r="H581" s="30" t="n">
        <f aca="false">IF('Boletins Nuppa Site'!K581&lt;&gt;0,'Boletins Nuppa Site'!K581,"NULL")</f>
        <v>120</v>
      </c>
      <c r="I581" s="0" t="str">
        <f aca="false">"INSERT INTO COTACAO (cot_id, cot_blt_id, cot_pap_id, cot_prc_comum, cot_prc_min, cot_prc_max, cot_prc_med, cot_prc_mediana) VALUES ("&amp;A581&amp;", "&amp;B581&amp;", "&amp;C581&amp;", "&amp;D581&amp;", "&amp;E581&amp;", "&amp;F581&amp;", "&amp;G581&amp;", "&amp;H581&amp;");"</f>
        <v>INSERT INTO COTACAO (cot_id, cot_blt_id, cot_pap_id, cot_prc_comum, cot_prc_min, cot_prc_max, cot_prc_med, cot_prc_mediana) VALUES (580, 51, 28, NULL, 120, 120, 120, 120);</v>
      </c>
      <c r="J581" s="0" t="str">
        <f aca="false">"UPDATE COTACAO SET cot_id = "&amp;A581&amp;", cot_blt_id = "&amp;B581&amp;", cot_pap_id = "&amp;C581&amp;", cot_prc_comum = "&amp;D581&amp;", cot_prc_min = "&amp;E581&amp;", cot_prc_max = "&amp;F581&amp;", cot_prc_med = "&amp;G581&amp;", cot_prc_mediana = "&amp;H581&amp;" WHERE cot_id = "&amp;A581&amp;";"</f>
        <v>UPDATE COTACAO SET cot_id = 580, cot_blt_id = 51, cot_pap_id = 28, cot_prc_comum = NULL, cot_prc_min = 120, cot_prc_max = 120, cot_prc_med = 120, cot_prc_mediana = 120 WHERE cot_id = 580;</v>
      </c>
    </row>
    <row r="582" customFormat="false" ht="14.25" hidden="false" customHeight="false" outlineLevel="0" collapsed="false">
      <c r="A582" s="0" t="n">
        <v>581</v>
      </c>
      <c r="B582" s="0" t="n">
        <f aca="false">IF('Boletins Nuppa Site'!A582&lt;&gt;0,'Boletins Nuppa Site'!A582,"NULL")</f>
        <v>51</v>
      </c>
      <c r="C582" s="0" t="n">
        <v>29</v>
      </c>
      <c r="D582" s="0" t="str">
        <f aca="false">IF('Boletins Nuppa Site'!G582&lt;&gt;0,'Boletins Nuppa Site'!G582,"NULL")</f>
        <v>NULL</v>
      </c>
      <c r="E582" s="0" t="str">
        <f aca="false">IF('Boletins Nuppa Site'!H582&lt;&gt;0,'Boletins Nuppa Site'!H582,"NULL")</f>
        <v>NULL</v>
      </c>
      <c r="F582" s="0" t="str">
        <f aca="false">IF('Boletins Nuppa Site'!I582&lt;&gt;0,'Boletins Nuppa Site'!I582,"NULL")</f>
        <v>NULL</v>
      </c>
      <c r="G582" s="0" t="str">
        <f aca="false">IF('Boletins Nuppa Site'!J582&lt;&gt;0,'Boletins Nuppa Site'!J582,"NULL")</f>
        <v>NULL</v>
      </c>
      <c r="H582" s="0" t="str">
        <f aca="false">IF('Boletins Nuppa Site'!K582&lt;&gt;0,'Boletins Nuppa Site'!K582,"NULL")</f>
        <v>NULL</v>
      </c>
      <c r="I582" s="0" t="str">
        <f aca="false">"INSERT INTO COTACAO (cot_id, cot_blt_id, cot_pap_id, cot_prc_comum, cot_prc_min, cot_prc_max, cot_prc_med, cot_prc_mediana) VALUES ("&amp;A582&amp;", "&amp;B582&amp;", "&amp;C582&amp;", "&amp;D582&amp;", "&amp;E582&amp;", "&amp;F582&amp;", "&amp;G582&amp;", "&amp;H582&amp;");"</f>
        <v>INSERT INTO COTACAO (cot_id, cot_blt_id, cot_pap_id, cot_prc_comum, cot_prc_min, cot_prc_max, cot_prc_med, cot_prc_mediana) VALUES (581, 51, 29, NULL, NULL, NULL, NULL, NULL);</v>
      </c>
      <c r="J582" s="0" t="str">
        <f aca="false">"UPDATE COTACAO SET cot_id = "&amp;A582&amp;", cot_blt_id = "&amp;B582&amp;", cot_pap_id = "&amp;C582&amp;", cot_prc_comum = "&amp;D582&amp;", cot_prc_min = "&amp;E582&amp;", cot_prc_max = "&amp;F582&amp;", cot_prc_med = "&amp;G582&amp;", cot_prc_mediana = "&amp;H582&amp;" WHERE cot_id = "&amp;A582&amp;";"</f>
        <v>UPDATE COTACAO SET cot_id = 581, cot_blt_id = 51, cot_pap_id = 29, cot_prc_comum = NULL, cot_prc_min = NULL, cot_prc_max = NULL, cot_prc_med = NULL, cot_prc_mediana = NULL WHERE cot_id = 581;</v>
      </c>
    </row>
    <row r="583" customFormat="false" ht="14.25" hidden="false" customHeight="false" outlineLevel="0" collapsed="false">
      <c r="A583" s="0" t="n">
        <v>582</v>
      </c>
      <c r="B583" s="0" t="n">
        <f aca="false">IF('Boletins Nuppa Site'!A583&lt;&gt;0,'Boletins Nuppa Site'!A583,"NULL")</f>
        <v>51</v>
      </c>
      <c r="C583" s="0" t="n">
        <v>30</v>
      </c>
      <c r="D583" s="0" t="str">
        <f aca="false">IF('Boletins Nuppa Site'!G583&lt;&gt;0,'Boletins Nuppa Site'!G583,"NULL")</f>
        <v>NULL</v>
      </c>
      <c r="E583" s="30" t="n">
        <f aca="false">IF('Boletins Nuppa Site'!H583&lt;&gt;0,'Boletins Nuppa Site'!H583,"NULL")</f>
        <v>75</v>
      </c>
      <c r="F583" s="30" t="n">
        <f aca="false">IF('Boletins Nuppa Site'!I583&lt;&gt;0,'Boletins Nuppa Site'!I583,"NULL")</f>
        <v>75</v>
      </c>
      <c r="G583" s="30" t="n">
        <f aca="false">IF('Boletins Nuppa Site'!J583&lt;&gt;0,'Boletins Nuppa Site'!J583,"NULL")</f>
        <v>75</v>
      </c>
      <c r="H583" s="30" t="n">
        <f aca="false">IF('Boletins Nuppa Site'!K583&lt;&gt;0,'Boletins Nuppa Site'!K583,"NULL")</f>
        <v>75</v>
      </c>
      <c r="I583" s="0" t="str">
        <f aca="false">"INSERT INTO COTACAO (cot_id, cot_blt_id, cot_pap_id, cot_prc_comum, cot_prc_min, cot_prc_max, cot_prc_med, cot_prc_mediana) VALUES ("&amp;A583&amp;", "&amp;B583&amp;", "&amp;C583&amp;", "&amp;D583&amp;", "&amp;E583&amp;", "&amp;F583&amp;", "&amp;G583&amp;", "&amp;H583&amp;");"</f>
        <v>INSERT INTO COTACAO (cot_id, cot_blt_id, cot_pap_id, cot_prc_comum, cot_prc_min, cot_prc_max, cot_prc_med, cot_prc_mediana) VALUES (582, 51, 30, NULL, 75, 75, 75, 75);</v>
      </c>
      <c r="J583" s="0" t="str">
        <f aca="false">"UPDATE COTACAO SET cot_id = "&amp;A583&amp;", cot_blt_id = "&amp;B583&amp;", cot_pap_id = "&amp;C583&amp;", cot_prc_comum = "&amp;D583&amp;", cot_prc_min = "&amp;E583&amp;", cot_prc_max = "&amp;F583&amp;", cot_prc_med = "&amp;G583&amp;", cot_prc_mediana = "&amp;H583&amp;" WHERE cot_id = "&amp;A583&amp;";"</f>
        <v>UPDATE COTACAO SET cot_id = 582, cot_blt_id = 51, cot_pap_id = 30, cot_prc_comum = NULL, cot_prc_min = 75, cot_prc_max = 75, cot_prc_med = 75, cot_prc_mediana = 75 WHERE cot_id = 582;</v>
      </c>
    </row>
    <row r="584" customFormat="false" ht="14.25" hidden="false" customHeight="false" outlineLevel="0" collapsed="false">
      <c r="A584" s="0" t="n">
        <v>583</v>
      </c>
      <c r="B584" s="0" t="n">
        <f aca="false">IF('Boletins Nuppa Site'!A584&lt;&gt;0,'Boletins Nuppa Site'!A584,"NULL")</f>
        <v>51</v>
      </c>
      <c r="C584" s="0" t="n">
        <v>31</v>
      </c>
      <c r="D584" s="0" t="str">
        <f aca="false">IF('Boletins Nuppa Site'!G584&lt;&gt;0,'Boletins Nuppa Site'!G584,"NULL")</f>
        <v>NULL</v>
      </c>
      <c r="E584" s="30" t="n">
        <f aca="false">IF('Boletins Nuppa Site'!H584&lt;&gt;0,'Boletins Nuppa Site'!H584,"NULL")</f>
        <v>60</v>
      </c>
      <c r="F584" s="30" t="n">
        <f aca="false">IF('Boletins Nuppa Site'!I584&lt;&gt;0,'Boletins Nuppa Site'!I584,"NULL")</f>
        <v>90</v>
      </c>
      <c r="G584" s="0" t="str">
        <f aca="false">IF('Boletins Nuppa Site'!J584&lt;&gt;0,'Boletins Nuppa Site'!J584,"NULL")</f>
        <v>78.75</v>
      </c>
      <c r="H584" s="0" t="str">
        <f aca="false">IF('Boletins Nuppa Site'!K584&lt;&gt;0,'Boletins Nuppa Site'!K584,"NULL")</f>
        <v>82.5</v>
      </c>
      <c r="I584" s="0" t="str">
        <f aca="false">"INSERT INTO COTACAO (cot_id, cot_blt_id, cot_pap_id, cot_prc_comum, cot_prc_min, cot_prc_max, cot_prc_med, cot_prc_mediana) VALUES ("&amp;A584&amp;", "&amp;B584&amp;", "&amp;C584&amp;", "&amp;D584&amp;", "&amp;E584&amp;", "&amp;F584&amp;", "&amp;G584&amp;", "&amp;H584&amp;");"</f>
        <v>INSERT INTO COTACAO (cot_id, cot_blt_id, cot_pap_id, cot_prc_comum, cot_prc_min, cot_prc_max, cot_prc_med, cot_prc_mediana) VALUES (583, 51, 31, NULL, 60, 90, 78.75, 82.5);</v>
      </c>
      <c r="J584" s="0" t="str">
        <f aca="false">"UPDATE COTACAO SET cot_id = "&amp;A584&amp;", cot_blt_id = "&amp;B584&amp;", cot_pap_id = "&amp;C584&amp;", cot_prc_comum = "&amp;D584&amp;", cot_prc_min = "&amp;E584&amp;", cot_prc_max = "&amp;F584&amp;", cot_prc_med = "&amp;G584&amp;", cot_prc_mediana = "&amp;H584&amp;" WHERE cot_id = "&amp;A584&amp;";"</f>
        <v>UPDATE COTACAO SET cot_id = 583, cot_blt_id = 51, cot_pap_id = 31, cot_prc_comum = NULL, cot_prc_min = 60, cot_prc_max = 90, cot_prc_med = 78.75, cot_prc_mediana = 82.5 WHERE cot_id = 583;</v>
      </c>
    </row>
    <row r="585" customFormat="false" ht="14.25" hidden="false" customHeight="false" outlineLevel="0" collapsed="false">
      <c r="A585" s="0" t="n">
        <v>584</v>
      </c>
      <c r="B585" s="0" t="n">
        <f aca="false">IF('Boletins Nuppa Site'!A585&lt;&gt;0,'Boletins Nuppa Site'!A585,"NULL")</f>
        <v>51</v>
      </c>
      <c r="C585" s="0" t="n">
        <v>32</v>
      </c>
      <c r="D585" s="0" t="str">
        <f aca="false">IF('Boletins Nuppa Site'!G585&lt;&gt;0,'Boletins Nuppa Site'!G585,"NULL")</f>
        <v>NULL</v>
      </c>
      <c r="E585" s="30" t="n">
        <f aca="false">IF('Boletins Nuppa Site'!H585&lt;&gt;0,'Boletins Nuppa Site'!H585,"NULL")</f>
        <v>55</v>
      </c>
      <c r="F585" s="30" t="n">
        <f aca="false">IF('Boletins Nuppa Site'!I585&lt;&gt;0,'Boletins Nuppa Site'!I585,"NULL")</f>
        <v>75</v>
      </c>
      <c r="G585" s="30" t="n">
        <f aca="false">IF('Boletins Nuppa Site'!J585&lt;&gt;0,'Boletins Nuppa Site'!J585,"NULL")</f>
        <v>65</v>
      </c>
      <c r="H585" s="30" t="n">
        <f aca="false">IF('Boletins Nuppa Site'!K585&lt;&gt;0,'Boletins Nuppa Site'!K585,"NULL")</f>
        <v>65</v>
      </c>
      <c r="I585" s="0" t="str">
        <f aca="false">"INSERT INTO COTACAO (cot_id, cot_blt_id, cot_pap_id, cot_prc_comum, cot_prc_min, cot_prc_max, cot_prc_med, cot_prc_mediana) VALUES ("&amp;A585&amp;", "&amp;B585&amp;", "&amp;C585&amp;", "&amp;D585&amp;", "&amp;E585&amp;", "&amp;F585&amp;", "&amp;G585&amp;", "&amp;H585&amp;");"</f>
        <v>INSERT INTO COTACAO (cot_id, cot_blt_id, cot_pap_id, cot_prc_comum, cot_prc_min, cot_prc_max, cot_prc_med, cot_prc_mediana) VALUES (584, 51, 32, NULL, 55, 75, 65, 65);</v>
      </c>
      <c r="J585" s="0" t="str">
        <f aca="false">"UPDATE COTACAO SET cot_id = "&amp;A585&amp;", cot_blt_id = "&amp;B585&amp;", cot_pap_id = "&amp;C585&amp;", cot_prc_comum = "&amp;D585&amp;", cot_prc_min = "&amp;E585&amp;", cot_prc_max = "&amp;F585&amp;", cot_prc_med = "&amp;G585&amp;", cot_prc_mediana = "&amp;H585&amp;" WHERE cot_id = "&amp;A585&amp;";"</f>
        <v>UPDATE COTACAO SET cot_id = 584, cot_blt_id = 51, cot_pap_id = 32, cot_prc_comum = NULL, cot_prc_min = 55, cot_prc_max = 75, cot_prc_med = 65, cot_prc_mediana = 65 WHERE cot_id = 584;</v>
      </c>
    </row>
    <row r="586" customFormat="false" ht="14.25" hidden="false" customHeight="false" outlineLevel="0" collapsed="false">
      <c r="A586" s="0" t="n">
        <v>585</v>
      </c>
      <c r="B586" s="0" t="n">
        <f aca="false">IF('Boletins Nuppa Site'!A586&lt;&gt;0,'Boletins Nuppa Site'!A586,"NULL")</f>
        <v>51</v>
      </c>
      <c r="C586" s="0" t="n">
        <v>33</v>
      </c>
      <c r="D586" s="30" t="n">
        <f aca="false">IF('Boletins Nuppa Site'!G586&lt;&gt;0,'Boletins Nuppa Site'!G586,"NULL")</f>
        <v>120</v>
      </c>
      <c r="E586" s="30" t="n">
        <f aca="false">IF('Boletins Nuppa Site'!H586&lt;&gt;0,'Boletins Nuppa Site'!H586,"NULL")</f>
        <v>120</v>
      </c>
      <c r="F586" s="30" t="n">
        <f aca="false">IF('Boletins Nuppa Site'!I586&lt;&gt;0,'Boletins Nuppa Site'!I586,"NULL")</f>
        <v>120</v>
      </c>
      <c r="G586" s="30" t="n">
        <f aca="false">IF('Boletins Nuppa Site'!J586&lt;&gt;0,'Boletins Nuppa Site'!J586,"NULL")</f>
        <v>120</v>
      </c>
      <c r="H586" s="30" t="n">
        <f aca="false">IF('Boletins Nuppa Site'!K586&lt;&gt;0,'Boletins Nuppa Site'!K586,"NULL")</f>
        <v>120</v>
      </c>
      <c r="I586" s="0" t="str">
        <f aca="false">"INSERT INTO COTACAO (cot_id, cot_blt_id, cot_pap_id, cot_prc_comum, cot_prc_min, cot_prc_max, cot_prc_med, cot_prc_mediana) VALUES ("&amp;A586&amp;", "&amp;B586&amp;", "&amp;C586&amp;", "&amp;D586&amp;", "&amp;E586&amp;", "&amp;F586&amp;", "&amp;G586&amp;", "&amp;H586&amp;");"</f>
        <v>INSERT INTO COTACAO (cot_id, cot_blt_id, cot_pap_id, cot_prc_comum, cot_prc_min, cot_prc_max, cot_prc_med, cot_prc_mediana) VALUES (585, 51, 33, 120, 120, 120, 120, 120);</v>
      </c>
      <c r="J586" s="0" t="str">
        <f aca="false">"UPDATE COTACAO SET cot_id = "&amp;A586&amp;", cot_blt_id = "&amp;B586&amp;", cot_pap_id = "&amp;C586&amp;", cot_prc_comum = "&amp;D586&amp;", cot_prc_min = "&amp;E586&amp;", cot_prc_max = "&amp;F586&amp;", cot_prc_med = "&amp;G586&amp;", cot_prc_mediana = "&amp;H586&amp;" WHERE cot_id = "&amp;A586&amp;";"</f>
        <v>UPDATE COTACAO SET cot_id = 585, cot_blt_id = 51, cot_pap_id = 33, cot_prc_comum = 120, cot_prc_min = 120, cot_prc_max = 120, cot_prc_med = 120, cot_prc_mediana = 120 WHERE cot_id = 585;</v>
      </c>
    </row>
    <row r="587" customFormat="false" ht="14.25" hidden="false" customHeight="false" outlineLevel="0" collapsed="false">
      <c r="A587" s="0" t="n">
        <v>586</v>
      </c>
      <c r="B587" s="0" t="n">
        <f aca="false">IF('Boletins Nuppa Site'!A587&lt;&gt;0,'Boletins Nuppa Site'!A587,"NULL")</f>
        <v>51</v>
      </c>
      <c r="C587" s="0" t="n">
        <v>34</v>
      </c>
      <c r="D587" s="0" t="str">
        <f aca="false">IF('Boletins Nuppa Site'!G587&lt;&gt;0,'Boletins Nuppa Site'!G587,"NULL")</f>
        <v>NULL</v>
      </c>
      <c r="E587" s="30" t="n">
        <f aca="false">IF('Boletins Nuppa Site'!H587&lt;&gt;0,'Boletins Nuppa Site'!H587,"NULL")</f>
        <v>110</v>
      </c>
      <c r="F587" s="30" t="n">
        <f aca="false">IF('Boletins Nuppa Site'!I587&lt;&gt;0,'Boletins Nuppa Site'!I587,"NULL")</f>
        <v>160</v>
      </c>
      <c r="G587" s="30" t="n">
        <f aca="false">IF('Boletins Nuppa Site'!J587&lt;&gt;0,'Boletins Nuppa Site'!J587,"NULL")</f>
        <v>140</v>
      </c>
      <c r="H587" s="30" t="n">
        <f aca="false">IF('Boletins Nuppa Site'!K587&lt;&gt;0,'Boletins Nuppa Site'!K587,"NULL")</f>
        <v>145</v>
      </c>
      <c r="I587" s="0" t="str">
        <f aca="false">"INSERT INTO COTACAO (cot_id, cot_blt_id, cot_pap_id, cot_prc_comum, cot_prc_min, cot_prc_max, cot_prc_med, cot_prc_mediana) VALUES ("&amp;A587&amp;", "&amp;B587&amp;", "&amp;C587&amp;", "&amp;D587&amp;", "&amp;E587&amp;", "&amp;F587&amp;", "&amp;G587&amp;", "&amp;H587&amp;");"</f>
        <v>INSERT INTO COTACAO (cot_id, cot_blt_id, cot_pap_id, cot_prc_comum, cot_prc_min, cot_prc_max, cot_prc_med, cot_prc_mediana) VALUES (586, 51, 34, NULL, 110, 160, 140, 145);</v>
      </c>
      <c r="J587" s="0" t="str">
        <f aca="false">"UPDATE COTACAO SET cot_id = "&amp;A587&amp;", cot_blt_id = "&amp;B587&amp;", cot_pap_id = "&amp;C587&amp;", cot_prc_comum = "&amp;D587&amp;", cot_prc_min = "&amp;E587&amp;", cot_prc_max = "&amp;F587&amp;", cot_prc_med = "&amp;G587&amp;", cot_prc_mediana = "&amp;H587&amp;" WHERE cot_id = "&amp;A587&amp;";"</f>
        <v>UPDATE COTACAO SET cot_id = 586, cot_blt_id = 51, cot_pap_id = 34, cot_prc_comum = NULL, cot_prc_min = 110, cot_prc_max = 160, cot_prc_med = 140, cot_prc_mediana = 145 WHERE cot_id = 586;</v>
      </c>
    </row>
    <row r="588" customFormat="false" ht="14.25" hidden="false" customHeight="false" outlineLevel="0" collapsed="false">
      <c r="A588" s="0" t="n">
        <v>587</v>
      </c>
      <c r="B588" s="0" t="n">
        <f aca="false">IF('Boletins Nuppa Site'!A588&lt;&gt;0,'Boletins Nuppa Site'!A588,"NULL")</f>
        <v>51</v>
      </c>
      <c r="C588" s="0" t="n">
        <v>35</v>
      </c>
      <c r="D588" s="0" t="str">
        <f aca="false">IF('Boletins Nuppa Site'!G588&lt;&gt;0,'Boletins Nuppa Site'!G588,"NULL")</f>
        <v>NULL</v>
      </c>
      <c r="E588" s="30" t="n">
        <f aca="false">IF('Boletins Nuppa Site'!H588&lt;&gt;0,'Boletins Nuppa Site'!H588,"NULL")</f>
        <v>110</v>
      </c>
      <c r="F588" s="30" t="n">
        <f aca="false">IF('Boletins Nuppa Site'!I588&lt;&gt;0,'Boletins Nuppa Site'!I588,"NULL")</f>
        <v>180</v>
      </c>
      <c r="G588" s="30" t="n">
        <f aca="false">IF('Boletins Nuppa Site'!J588&lt;&gt;0,'Boletins Nuppa Site'!J588,"NULL")</f>
        <v>145</v>
      </c>
      <c r="H588" s="30" t="n">
        <f aca="false">IF('Boletins Nuppa Site'!K588&lt;&gt;0,'Boletins Nuppa Site'!K588,"NULL")</f>
        <v>145</v>
      </c>
      <c r="I588" s="0" t="str">
        <f aca="false">"INSERT INTO COTACAO (cot_id, cot_blt_id, cot_pap_id, cot_prc_comum, cot_prc_min, cot_prc_max, cot_prc_med, cot_prc_mediana) VALUES ("&amp;A588&amp;", "&amp;B588&amp;", "&amp;C588&amp;", "&amp;D588&amp;", "&amp;E588&amp;", "&amp;F588&amp;", "&amp;G588&amp;", "&amp;H588&amp;");"</f>
        <v>INSERT INTO COTACAO (cot_id, cot_blt_id, cot_pap_id, cot_prc_comum, cot_prc_min, cot_prc_max, cot_prc_med, cot_prc_mediana) VALUES (587, 51, 35, NULL, 110, 180, 145, 145);</v>
      </c>
      <c r="J588" s="0" t="str">
        <f aca="false">"UPDATE COTACAO SET cot_id = "&amp;A588&amp;", cot_blt_id = "&amp;B588&amp;", cot_pap_id = "&amp;C588&amp;", cot_prc_comum = "&amp;D588&amp;", cot_prc_min = "&amp;E588&amp;", cot_prc_max = "&amp;F588&amp;", cot_prc_med = "&amp;G588&amp;", cot_prc_mediana = "&amp;H588&amp;" WHERE cot_id = "&amp;A588&amp;";"</f>
        <v>UPDATE COTACAO SET cot_id = 587, cot_blt_id = 51, cot_pap_id = 35, cot_prc_comum = NULL, cot_prc_min = 110, cot_prc_max = 180, cot_prc_med = 145, cot_prc_mediana = 145 WHERE cot_id = 587;</v>
      </c>
    </row>
    <row r="589" customFormat="false" ht="14.25" hidden="false" customHeight="false" outlineLevel="0" collapsed="false">
      <c r="A589" s="0" t="n">
        <v>588</v>
      </c>
      <c r="B589" s="0" t="n">
        <f aca="false">IF('Boletins Nuppa Site'!A589&lt;&gt;0,'Boletins Nuppa Site'!A589,"NULL")</f>
        <v>51</v>
      </c>
      <c r="C589" s="0" t="n">
        <v>36</v>
      </c>
      <c r="D589" s="0" t="str">
        <f aca="false">IF('Boletins Nuppa Site'!G589&lt;&gt;0,'Boletins Nuppa Site'!G589,"NULL")</f>
        <v>NULL</v>
      </c>
      <c r="E589" s="30" t="n">
        <f aca="false">IF('Boletins Nuppa Site'!H589&lt;&gt;0,'Boletins Nuppa Site'!H589,"NULL")</f>
        <v>110</v>
      </c>
      <c r="F589" s="30" t="n">
        <f aca="false">IF('Boletins Nuppa Site'!I589&lt;&gt;0,'Boletins Nuppa Site'!I589,"NULL")</f>
        <v>110</v>
      </c>
      <c r="G589" s="30" t="n">
        <f aca="false">IF('Boletins Nuppa Site'!J589&lt;&gt;0,'Boletins Nuppa Site'!J589,"NULL")</f>
        <v>110</v>
      </c>
      <c r="H589" s="30" t="n">
        <f aca="false">IF('Boletins Nuppa Site'!K589&lt;&gt;0,'Boletins Nuppa Site'!K589,"NULL")</f>
        <v>110</v>
      </c>
      <c r="I589" s="0" t="str">
        <f aca="false">"INSERT INTO COTACAO (cot_id, cot_blt_id, cot_pap_id, cot_prc_comum, cot_prc_min, cot_prc_max, cot_prc_med, cot_prc_mediana) VALUES ("&amp;A589&amp;", "&amp;B589&amp;", "&amp;C589&amp;", "&amp;D589&amp;", "&amp;E589&amp;", "&amp;F589&amp;", "&amp;G589&amp;", "&amp;H589&amp;");"</f>
        <v>INSERT INTO COTACAO (cot_id, cot_blt_id, cot_pap_id, cot_prc_comum, cot_prc_min, cot_prc_max, cot_prc_med, cot_prc_mediana) VALUES (588, 51, 36, NULL, 110, 110, 110, 110);</v>
      </c>
      <c r="J589" s="0" t="str">
        <f aca="false">"UPDATE COTACAO SET cot_id = "&amp;A589&amp;", cot_blt_id = "&amp;B589&amp;", cot_pap_id = "&amp;C589&amp;", cot_prc_comum = "&amp;D589&amp;", cot_prc_min = "&amp;E589&amp;", cot_prc_max = "&amp;F589&amp;", cot_prc_med = "&amp;G589&amp;", cot_prc_mediana = "&amp;H589&amp;" WHERE cot_id = "&amp;A589&amp;";"</f>
        <v>UPDATE COTACAO SET cot_id = 588, cot_blt_id = 51, cot_pap_id = 36, cot_prc_comum = NULL, cot_prc_min = 110, cot_prc_max = 110, cot_prc_med = 110, cot_prc_mediana = 110 WHERE cot_id = 588;</v>
      </c>
    </row>
    <row r="590" customFormat="false" ht="14.25" hidden="false" customHeight="false" outlineLevel="0" collapsed="false">
      <c r="A590" s="0" t="n">
        <v>589</v>
      </c>
      <c r="B590" s="0" t="n">
        <f aca="false">IF('Boletins Nuppa Site'!A590&lt;&gt;0,'Boletins Nuppa Site'!A590,"NULL")</f>
        <v>51</v>
      </c>
      <c r="C590" s="0" t="n">
        <v>37</v>
      </c>
      <c r="D590" s="30" t="n">
        <f aca="false">IF('Boletins Nuppa Site'!G590&lt;&gt;0,'Boletins Nuppa Site'!G590,"NULL")</f>
        <v>70</v>
      </c>
      <c r="E590" s="30" t="n">
        <f aca="false">IF('Boletins Nuppa Site'!H590&lt;&gt;0,'Boletins Nuppa Site'!H590,"NULL")</f>
        <v>70</v>
      </c>
      <c r="F590" s="30" t="n">
        <f aca="false">IF('Boletins Nuppa Site'!I590&lt;&gt;0,'Boletins Nuppa Site'!I590,"NULL")</f>
        <v>70</v>
      </c>
      <c r="G590" s="30" t="n">
        <f aca="false">IF('Boletins Nuppa Site'!J590&lt;&gt;0,'Boletins Nuppa Site'!J590,"NULL")</f>
        <v>70</v>
      </c>
      <c r="H590" s="30" t="n">
        <f aca="false">IF('Boletins Nuppa Site'!K590&lt;&gt;0,'Boletins Nuppa Site'!K590,"NULL")</f>
        <v>70</v>
      </c>
      <c r="I590" s="0" t="str">
        <f aca="false">"INSERT INTO COTACAO (cot_id, cot_blt_id, cot_pap_id, cot_prc_comum, cot_prc_min, cot_prc_max, cot_prc_med, cot_prc_mediana) VALUES ("&amp;A590&amp;", "&amp;B590&amp;", "&amp;C590&amp;", "&amp;D590&amp;", "&amp;E590&amp;", "&amp;F590&amp;", "&amp;G590&amp;", "&amp;H590&amp;");"</f>
        <v>INSERT INTO COTACAO (cot_id, cot_blt_id, cot_pap_id, cot_prc_comum, cot_prc_min, cot_prc_max, cot_prc_med, cot_prc_mediana) VALUES (589, 51, 37, 70, 70, 70, 70, 70);</v>
      </c>
      <c r="J590" s="0" t="str">
        <f aca="false">"UPDATE COTACAO SET cot_id = "&amp;A590&amp;", cot_blt_id = "&amp;B590&amp;", cot_pap_id = "&amp;C590&amp;", cot_prc_comum = "&amp;D590&amp;", cot_prc_min = "&amp;E590&amp;", cot_prc_max = "&amp;F590&amp;", cot_prc_med = "&amp;G590&amp;", cot_prc_mediana = "&amp;H590&amp;" WHERE cot_id = "&amp;A590&amp;";"</f>
        <v>UPDATE COTACAO SET cot_id = 589, cot_blt_id = 51, cot_pap_id = 37, cot_prc_comum = 70, cot_prc_min = 70, cot_prc_max = 70, cot_prc_med = 70, cot_prc_mediana = 70 WHERE cot_id = 589;</v>
      </c>
    </row>
    <row r="591" customFormat="false" ht="14.25" hidden="false" customHeight="false" outlineLevel="0" collapsed="false">
      <c r="A591" s="0" t="n">
        <v>590</v>
      </c>
      <c r="B591" s="0" t="n">
        <f aca="false">IF('Boletins Nuppa Site'!A591&lt;&gt;0,'Boletins Nuppa Site'!A591,"NULL")</f>
        <v>51</v>
      </c>
      <c r="C591" s="0" t="n">
        <v>38</v>
      </c>
      <c r="D591" s="0" t="str">
        <f aca="false">IF('Boletins Nuppa Site'!G591&lt;&gt;0,'Boletins Nuppa Site'!G591,"NULL")</f>
        <v>NULL</v>
      </c>
      <c r="E591" s="30" t="n">
        <f aca="false">IF('Boletins Nuppa Site'!H591&lt;&gt;0,'Boletins Nuppa Site'!H591,"NULL")</f>
        <v>50</v>
      </c>
      <c r="F591" s="30" t="n">
        <f aca="false">IF('Boletins Nuppa Site'!I591&lt;&gt;0,'Boletins Nuppa Site'!I591,"NULL")</f>
        <v>60</v>
      </c>
      <c r="G591" s="30" t="n">
        <f aca="false">IF('Boletins Nuppa Site'!J591&lt;&gt;0,'Boletins Nuppa Site'!J591,"NULL")</f>
        <v>55</v>
      </c>
      <c r="H591" s="30" t="n">
        <f aca="false">IF('Boletins Nuppa Site'!K591&lt;&gt;0,'Boletins Nuppa Site'!K591,"NULL")</f>
        <v>55</v>
      </c>
      <c r="I591" s="0" t="str">
        <f aca="false">"INSERT INTO COTACAO (cot_id, cot_blt_id, cot_pap_id, cot_prc_comum, cot_prc_min, cot_prc_max, cot_prc_med, cot_prc_mediana) VALUES ("&amp;A591&amp;", "&amp;B591&amp;", "&amp;C591&amp;", "&amp;D591&amp;", "&amp;E591&amp;", "&amp;F591&amp;", "&amp;G591&amp;", "&amp;H591&amp;");"</f>
        <v>INSERT INTO COTACAO (cot_id, cot_blt_id, cot_pap_id, cot_prc_comum, cot_prc_min, cot_prc_max, cot_prc_med, cot_prc_mediana) VALUES (590, 51, 38, NULL, 50, 60, 55, 55);</v>
      </c>
      <c r="J591" s="0" t="str">
        <f aca="false">"UPDATE COTACAO SET cot_id = "&amp;A591&amp;", cot_blt_id = "&amp;B591&amp;", cot_pap_id = "&amp;C591&amp;", cot_prc_comum = "&amp;D591&amp;", cot_prc_min = "&amp;E591&amp;", cot_prc_max = "&amp;F591&amp;", cot_prc_med = "&amp;G591&amp;", cot_prc_mediana = "&amp;H591&amp;" WHERE cot_id = "&amp;A591&amp;";"</f>
        <v>UPDATE COTACAO SET cot_id = 590, cot_blt_id = 51, cot_pap_id = 38, cot_prc_comum = NULL, cot_prc_min = 50, cot_prc_max = 60, cot_prc_med = 55, cot_prc_mediana = 55 WHERE cot_id = 590;</v>
      </c>
    </row>
    <row r="592" customFormat="false" ht="14.25" hidden="false" customHeight="false" outlineLevel="0" collapsed="false">
      <c r="A592" s="0" t="n">
        <v>591</v>
      </c>
      <c r="B592" s="0" t="n">
        <f aca="false">IF('Boletins Nuppa Site'!A592&lt;&gt;0,'Boletins Nuppa Site'!A592,"NULL")</f>
        <v>51</v>
      </c>
      <c r="C592" s="0" t="n">
        <v>39</v>
      </c>
      <c r="D592" s="0" t="str">
        <f aca="false">IF('Boletins Nuppa Site'!G592&lt;&gt;0,'Boletins Nuppa Site'!G592,"NULL")</f>
        <v>NULL</v>
      </c>
      <c r="E592" s="30" t="n">
        <f aca="false">IF('Boletins Nuppa Site'!H592&lt;&gt;0,'Boletins Nuppa Site'!H592,"NULL")</f>
        <v>55</v>
      </c>
      <c r="F592" s="30" t="n">
        <f aca="false">IF('Boletins Nuppa Site'!I592&lt;&gt;0,'Boletins Nuppa Site'!I592,"NULL")</f>
        <v>55</v>
      </c>
      <c r="G592" s="30" t="n">
        <f aca="false">IF('Boletins Nuppa Site'!J592&lt;&gt;0,'Boletins Nuppa Site'!J592,"NULL")</f>
        <v>55</v>
      </c>
      <c r="H592" s="30" t="n">
        <f aca="false">IF('Boletins Nuppa Site'!K592&lt;&gt;0,'Boletins Nuppa Site'!K592,"NULL")</f>
        <v>55</v>
      </c>
      <c r="I592" s="0" t="str">
        <f aca="false">"INSERT INTO COTACAO (cot_id, cot_blt_id, cot_pap_id, cot_prc_comum, cot_prc_min, cot_prc_max, cot_prc_med, cot_prc_mediana) VALUES ("&amp;A592&amp;", "&amp;B592&amp;", "&amp;C592&amp;", "&amp;D592&amp;", "&amp;E592&amp;", "&amp;F592&amp;", "&amp;G592&amp;", "&amp;H592&amp;");"</f>
        <v>INSERT INTO COTACAO (cot_id, cot_blt_id, cot_pap_id, cot_prc_comum, cot_prc_min, cot_prc_max, cot_prc_med, cot_prc_mediana) VALUES (591, 51, 39, NULL, 55, 55, 55, 55);</v>
      </c>
      <c r="J592" s="0" t="str">
        <f aca="false">"UPDATE COTACAO SET cot_id = "&amp;A592&amp;", cot_blt_id = "&amp;B592&amp;", cot_pap_id = "&amp;C592&amp;", cot_prc_comum = "&amp;D592&amp;", cot_prc_min = "&amp;E592&amp;", cot_prc_max = "&amp;F592&amp;", cot_prc_med = "&amp;G592&amp;", cot_prc_mediana = "&amp;H592&amp;" WHERE cot_id = "&amp;A592&amp;";"</f>
        <v>UPDATE COTACAO SET cot_id = 591, cot_blt_id = 51, cot_pap_id = 39, cot_prc_comum = NULL, cot_prc_min = 55, cot_prc_max = 55, cot_prc_med = 55, cot_prc_mediana = 55 WHERE cot_id = 591;</v>
      </c>
    </row>
    <row r="593" customFormat="false" ht="14.25" hidden="false" customHeight="false" outlineLevel="0" collapsed="false">
      <c r="A593" s="0" t="n">
        <v>592</v>
      </c>
      <c r="B593" s="0" t="n">
        <f aca="false">IF('Boletins Nuppa Site'!A593&lt;&gt;0,'Boletins Nuppa Site'!A593,"NULL")</f>
        <v>51</v>
      </c>
      <c r="C593" s="0" t="n">
        <v>40</v>
      </c>
      <c r="D593" s="0" t="str">
        <f aca="false">IF('Boletins Nuppa Site'!G593&lt;&gt;0,'Boletins Nuppa Site'!G593,"NULL")</f>
        <v>NULL</v>
      </c>
      <c r="E593" s="30" t="n">
        <f aca="false">IF('Boletins Nuppa Site'!H593&lt;&gt;0,'Boletins Nuppa Site'!H593,"NULL")</f>
        <v>40</v>
      </c>
      <c r="F593" s="30" t="n">
        <f aca="false">IF('Boletins Nuppa Site'!I593&lt;&gt;0,'Boletins Nuppa Site'!I593,"NULL")</f>
        <v>55</v>
      </c>
      <c r="G593" s="0" t="str">
        <f aca="false">IF('Boletins Nuppa Site'!J593&lt;&gt;0,'Boletins Nuppa Site'!J593,"NULL")</f>
        <v>47.5</v>
      </c>
      <c r="H593" s="0" t="str">
        <f aca="false">IF('Boletins Nuppa Site'!K593&lt;&gt;0,'Boletins Nuppa Site'!K593,"NULL")</f>
        <v>47.5</v>
      </c>
      <c r="I593" s="0" t="str">
        <f aca="false">"INSERT INTO COTACAO (cot_id, cot_blt_id, cot_pap_id, cot_prc_comum, cot_prc_min, cot_prc_max, cot_prc_med, cot_prc_mediana) VALUES ("&amp;A593&amp;", "&amp;B593&amp;", "&amp;C593&amp;", "&amp;D593&amp;", "&amp;E593&amp;", "&amp;F593&amp;", "&amp;G593&amp;", "&amp;H593&amp;");"</f>
        <v>INSERT INTO COTACAO (cot_id, cot_blt_id, cot_pap_id, cot_prc_comum, cot_prc_min, cot_prc_max, cot_prc_med, cot_prc_mediana) VALUES (592, 51, 40, NULL, 40, 55, 47.5, 47.5);</v>
      </c>
      <c r="J593" s="0" t="str">
        <f aca="false">"UPDATE COTACAO SET cot_id = "&amp;A593&amp;", cot_blt_id = "&amp;B593&amp;", cot_pap_id = "&amp;C593&amp;", cot_prc_comum = "&amp;D593&amp;", cot_prc_min = "&amp;E593&amp;", cot_prc_max = "&amp;F593&amp;", cot_prc_med = "&amp;G593&amp;", cot_prc_mediana = "&amp;H593&amp;" WHERE cot_id = "&amp;A593&amp;";"</f>
        <v>UPDATE COTACAO SET cot_id = 592, cot_blt_id = 51, cot_pap_id = 40, cot_prc_comum = NULL, cot_prc_min = 40, cot_prc_max = 55, cot_prc_med = 47.5, cot_prc_mediana = 47.5 WHERE cot_id = 592;</v>
      </c>
    </row>
    <row r="594" customFormat="false" ht="14.25" hidden="false" customHeight="false" outlineLevel="0" collapsed="false">
      <c r="A594" s="0" t="n">
        <v>593</v>
      </c>
      <c r="B594" s="0" t="n">
        <f aca="false">IF('Boletins Nuppa Site'!A594&lt;&gt;0,'Boletins Nuppa Site'!A594,"NULL")</f>
        <v>52</v>
      </c>
      <c r="C594" s="0" t="n">
        <v>1</v>
      </c>
      <c r="D594" s="0" t="str">
        <f aca="false">IF('Boletins Nuppa Site'!G594&lt;&gt;0,'Boletins Nuppa Site'!G594,"NULL")</f>
        <v>NULL</v>
      </c>
      <c r="E594" s="30" t="n">
        <f aca="false">IF('Boletins Nuppa Site'!H594&lt;&gt;0,'Boletins Nuppa Site'!H594,"NULL")</f>
        <v>60</v>
      </c>
      <c r="F594" s="30" t="n">
        <f aca="false">IF('Boletins Nuppa Site'!I594&lt;&gt;0,'Boletins Nuppa Site'!I594,"NULL")</f>
        <v>72</v>
      </c>
      <c r="G594" s="30" t="n">
        <f aca="false">IF('Boletins Nuppa Site'!J594&lt;&gt;0,'Boletins Nuppa Site'!J594,"NULL")</f>
        <v>66</v>
      </c>
      <c r="H594" s="30" t="n">
        <f aca="false">IF('Boletins Nuppa Site'!K594&lt;&gt;0,'Boletins Nuppa Site'!K594,"NULL")</f>
        <v>66</v>
      </c>
      <c r="I594" s="0" t="str">
        <f aca="false">"INSERT INTO COTACAO (cot_id, cot_blt_id, cot_pap_id, cot_prc_comum, cot_prc_min, cot_prc_max, cot_prc_med, cot_prc_mediana) VALUES ("&amp;A594&amp;", "&amp;B594&amp;", "&amp;C594&amp;", "&amp;D594&amp;", "&amp;E594&amp;", "&amp;F594&amp;", "&amp;G594&amp;", "&amp;H594&amp;");"</f>
        <v>INSERT INTO COTACAO (cot_id, cot_blt_id, cot_pap_id, cot_prc_comum, cot_prc_min, cot_prc_max, cot_prc_med, cot_prc_mediana) VALUES (593, 52, 1, NULL, 60, 72, 66, 66);</v>
      </c>
      <c r="J594" s="0" t="str">
        <f aca="false">"UPDATE COTACAO SET cot_id = "&amp;A594&amp;", cot_blt_id = "&amp;B594&amp;", cot_pap_id = "&amp;C594&amp;", cot_prc_comum = "&amp;D594&amp;", cot_prc_min = "&amp;E594&amp;", cot_prc_max = "&amp;F594&amp;", cot_prc_med = "&amp;G594&amp;", cot_prc_mediana = "&amp;H594&amp;" WHERE cot_id = "&amp;A594&amp;";"</f>
        <v>UPDATE COTACAO SET cot_id = 593, cot_blt_id = 52, cot_pap_id = 1, cot_prc_comum = NULL, cot_prc_min = 60, cot_prc_max = 72, cot_prc_med = 66, cot_prc_mediana = 66 WHERE cot_id = 593;</v>
      </c>
    </row>
    <row r="595" customFormat="false" ht="14.25" hidden="false" customHeight="false" outlineLevel="0" collapsed="false">
      <c r="A595" s="0" t="n">
        <v>594</v>
      </c>
      <c r="B595" s="0" t="n">
        <f aca="false">IF('Boletins Nuppa Site'!A595&lt;&gt;0,'Boletins Nuppa Site'!A595,"NULL")</f>
        <v>52</v>
      </c>
      <c r="C595" s="0" t="n">
        <v>2</v>
      </c>
      <c r="D595" s="30" t="n">
        <f aca="false">IF('Boletins Nuppa Site'!G595&lt;&gt;0,'Boletins Nuppa Site'!G595,"NULL")</f>
        <v>84</v>
      </c>
      <c r="E595" s="30" t="n">
        <f aca="false">IF('Boletins Nuppa Site'!H595&lt;&gt;0,'Boletins Nuppa Site'!H595,"NULL")</f>
        <v>72</v>
      </c>
      <c r="F595" s="30" t="n">
        <f aca="false">IF('Boletins Nuppa Site'!I595&lt;&gt;0,'Boletins Nuppa Site'!I595,"NULL")</f>
        <v>84</v>
      </c>
      <c r="G595" s="30" t="n">
        <f aca="false">IF('Boletins Nuppa Site'!J595&lt;&gt;0,'Boletins Nuppa Site'!J595,"NULL")</f>
        <v>80</v>
      </c>
      <c r="H595" s="30" t="n">
        <f aca="false">IF('Boletins Nuppa Site'!K595&lt;&gt;0,'Boletins Nuppa Site'!K595,"NULL")</f>
        <v>84</v>
      </c>
      <c r="I595" s="0" t="str">
        <f aca="false">"INSERT INTO COTACAO (cot_id, cot_blt_id, cot_pap_id, cot_prc_comum, cot_prc_min, cot_prc_max, cot_prc_med, cot_prc_mediana) VALUES ("&amp;A595&amp;", "&amp;B595&amp;", "&amp;C595&amp;", "&amp;D595&amp;", "&amp;E595&amp;", "&amp;F595&amp;", "&amp;G595&amp;", "&amp;H595&amp;");"</f>
        <v>INSERT INTO COTACAO (cot_id, cot_blt_id, cot_pap_id, cot_prc_comum, cot_prc_min, cot_prc_max, cot_prc_med, cot_prc_mediana) VALUES (594, 52, 2, 84, 72, 84, 80, 84);</v>
      </c>
      <c r="J595" s="0" t="str">
        <f aca="false">"UPDATE COTACAO SET cot_id = "&amp;A595&amp;", cot_blt_id = "&amp;B595&amp;", cot_pap_id = "&amp;C595&amp;", cot_prc_comum = "&amp;D595&amp;", cot_prc_min = "&amp;E595&amp;", cot_prc_max = "&amp;F595&amp;", cot_prc_med = "&amp;G595&amp;", cot_prc_mediana = "&amp;H595&amp;" WHERE cot_id = "&amp;A595&amp;";"</f>
        <v>UPDATE COTACAO SET cot_id = 594, cot_blt_id = 52, cot_pap_id = 2, cot_prc_comum = 84, cot_prc_min = 72, cot_prc_max = 84, cot_prc_med = 80, cot_prc_mediana = 84 WHERE cot_id = 594;</v>
      </c>
    </row>
    <row r="596" customFormat="false" ht="14.25" hidden="false" customHeight="false" outlineLevel="0" collapsed="false">
      <c r="A596" s="0" t="n">
        <v>595</v>
      </c>
      <c r="B596" s="0" t="n">
        <f aca="false">IF('Boletins Nuppa Site'!A596&lt;&gt;0,'Boletins Nuppa Site'!A596,"NULL")</f>
        <v>52</v>
      </c>
      <c r="C596" s="0" t="n">
        <v>3</v>
      </c>
      <c r="D596" s="0" t="str">
        <f aca="false">IF('Boletins Nuppa Site'!G596&lt;&gt;0,'Boletins Nuppa Site'!G596,"NULL")</f>
        <v>NULL</v>
      </c>
      <c r="E596" s="30" t="n">
        <f aca="false">IF('Boletins Nuppa Site'!H596&lt;&gt;0,'Boletins Nuppa Site'!H596,"NULL")</f>
        <v>42</v>
      </c>
      <c r="F596" s="30" t="n">
        <f aca="false">IF('Boletins Nuppa Site'!I596&lt;&gt;0,'Boletins Nuppa Site'!I596,"NULL")</f>
        <v>54</v>
      </c>
      <c r="G596" s="30" t="n">
        <f aca="false">IF('Boletins Nuppa Site'!J596&lt;&gt;0,'Boletins Nuppa Site'!J596,"NULL")</f>
        <v>47</v>
      </c>
      <c r="H596" s="30" t="n">
        <f aca="false">IF('Boletins Nuppa Site'!K596&lt;&gt;0,'Boletins Nuppa Site'!K596,"NULL")</f>
        <v>45</v>
      </c>
      <c r="I596" s="0" t="str">
        <f aca="false">"INSERT INTO COTACAO (cot_id, cot_blt_id, cot_pap_id, cot_prc_comum, cot_prc_min, cot_prc_max, cot_prc_med, cot_prc_mediana) VALUES ("&amp;A596&amp;", "&amp;B596&amp;", "&amp;C596&amp;", "&amp;D596&amp;", "&amp;E596&amp;", "&amp;F596&amp;", "&amp;G596&amp;", "&amp;H596&amp;");"</f>
        <v>INSERT INTO COTACAO (cot_id, cot_blt_id, cot_pap_id, cot_prc_comum, cot_prc_min, cot_prc_max, cot_prc_med, cot_prc_mediana) VALUES (595, 52, 3, NULL, 42, 54, 47, 45);</v>
      </c>
      <c r="J596" s="0" t="str">
        <f aca="false">"UPDATE COTACAO SET cot_id = "&amp;A596&amp;", cot_blt_id = "&amp;B596&amp;", cot_pap_id = "&amp;C596&amp;", cot_prc_comum = "&amp;D596&amp;", cot_prc_min = "&amp;E596&amp;", cot_prc_max = "&amp;F596&amp;", cot_prc_med = "&amp;G596&amp;", cot_prc_mediana = "&amp;H596&amp;" WHERE cot_id = "&amp;A596&amp;";"</f>
        <v>UPDATE COTACAO SET cot_id = 595, cot_blt_id = 52, cot_pap_id = 3, cot_prc_comum = NULL, cot_prc_min = 42, cot_prc_max = 54, cot_prc_med = 47, cot_prc_mediana = 45 WHERE cot_id = 595;</v>
      </c>
    </row>
    <row r="597" customFormat="false" ht="14.25" hidden="false" customHeight="false" outlineLevel="0" collapsed="false">
      <c r="A597" s="0" t="n">
        <v>596</v>
      </c>
      <c r="B597" s="0" t="n">
        <f aca="false">IF('Boletins Nuppa Site'!A597&lt;&gt;0,'Boletins Nuppa Site'!A597,"NULL")</f>
        <v>52</v>
      </c>
      <c r="C597" s="0" t="n">
        <v>4</v>
      </c>
      <c r="D597" s="30" t="n">
        <f aca="false">IF('Boletins Nuppa Site'!G597&lt;&gt;0,'Boletins Nuppa Site'!G597,"NULL")</f>
        <v>24</v>
      </c>
      <c r="E597" s="30" t="n">
        <f aca="false">IF('Boletins Nuppa Site'!H597&lt;&gt;0,'Boletins Nuppa Site'!H597,"NULL")</f>
        <v>20</v>
      </c>
      <c r="F597" s="30" t="n">
        <f aca="false">IF('Boletins Nuppa Site'!I597&lt;&gt;0,'Boletins Nuppa Site'!I597,"NULL")</f>
        <v>33</v>
      </c>
      <c r="G597" s="0" t="str">
        <f aca="false">IF('Boletins Nuppa Site'!J597&lt;&gt;0,'Boletins Nuppa Site'!J597,"NULL")</f>
        <v>25.25</v>
      </c>
      <c r="H597" s="30" t="n">
        <f aca="false">IF('Boletins Nuppa Site'!K597&lt;&gt;0,'Boletins Nuppa Site'!K597,"NULL")</f>
        <v>24</v>
      </c>
      <c r="I597" s="0" t="str">
        <f aca="false">"INSERT INTO COTACAO (cot_id, cot_blt_id, cot_pap_id, cot_prc_comum, cot_prc_min, cot_prc_max, cot_prc_med, cot_prc_mediana) VALUES ("&amp;A597&amp;", "&amp;B597&amp;", "&amp;C597&amp;", "&amp;D597&amp;", "&amp;E597&amp;", "&amp;F597&amp;", "&amp;G597&amp;", "&amp;H597&amp;");"</f>
        <v>INSERT INTO COTACAO (cot_id, cot_blt_id, cot_pap_id, cot_prc_comum, cot_prc_min, cot_prc_max, cot_prc_med, cot_prc_mediana) VALUES (596, 52, 4, 24, 20, 33, 25.25, 24);</v>
      </c>
      <c r="J597" s="0" t="str">
        <f aca="false">"UPDATE COTACAO SET cot_id = "&amp;A597&amp;", cot_blt_id = "&amp;B597&amp;", cot_pap_id = "&amp;C597&amp;", cot_prc_comum = "&amp;D597&amp;", cot_prc_min = "&amp;E597&amp;", cot_prc_max = "&amp;F597&amp;", cot_prc_med = "&amp;G597&amp;", cot_prc_mediana = "&amp;H597&amp;" WHERE cot_id = "&amp;A597&amp;";"</f>
        <v>UPDATE COTACAO SET cot_id = 596, cot_blt_id = 52, cot_pap_id = 4, cot_prc_comum = 24, cot_prc_min = 20, cot_prc_max = 33, cot_prc_med = 25.25, cot_prc_mediana = 24 WHERE cot_id = 596;</v>
      </c>
    </row>
    <row r="598" customFormat="false" ht="14.25" hidden="false" customHeight="false" outlineLevel="0" collapsed="false">
      <c r="A598" s="0" t="n">
        <v>597</v>
      </c>
      <c r="B598" s="0" t="n">
        <f aca="false">IF('Boletins Nuppa Site'!A598&lt;&gt;0,'Boletins Nuppa Site'!A598,"NULL")</f>
        <v>52</v>
      </c>
      <c r="C598" s="0" t="n">
        <v>5</v>
      </c>
      <c r="D598" s="0" t="str">
        <f aca="false">IF('Boletins Nuppa Site'!G598&lt;&gt;0,'Boletins Nuppa Site'!G598,"NULL")</f>
        <v>NULL</v>
      </c>
      <c r="E598" s="30" t="n">
        <f aca="false">IF('Boletins Nuppa Site'!H598&lt;&gt;0,'Boletins Nuppa Site'!H598,"NULL")</f>
        <v>20</v>
      </c>
      <c r="F598" s="30" t="n">
        <f aca="false">IF('Boletins Nuppa Site'!I598&lt;&gt;0,'Boletins Nuppa Site'!I598,"NULL")</f>
        <v>33</v>
      </c>
      <c r="G598" s="0" t="str">
        <f aca="false">IF('Boletins Nuppa Site'!J598&lt;&gt;0,'Boletins Nuppa Site'!J598,"NULL")</f>
        <v>25.67</v>
      </c>
      <c r="H598" s="30" t="n">
        <f aca="false">IF('Boletins Nuppa Site'!K598&lt;&gt;0,'Boletins Nuppa Site'!K598,"NULL")</f>
        <v>24</v>
      </c>
      <c r="I598" s="0" t="str">
        <f aca="false">"INSERT INTO COTACAO (cot_id, cot_blt_id, cot_pap_id, cot_prc_comum, cot_prc_min, cot_prc_max, cot_prc_med, cot_prc_mediana) VALUES ("&amp;A598&amp;", "&amp;B598&amp;", "&amp;C598&amp;", "&amp;D598&amp;", "&amp;E598&amp;", "&amp;F598&amp;", "&amp;G598&amp;", "&amp;H598&amp;");"</f>
        <v>INSERT INTO COTACAO (cot_id, cot_blt_id, cot_pap_id, cot_prc_comum, cot_prc_min, cot_prc_max, cot_prc_med, cot_prc_mediana) VALUES (597, 52, 5, NULL, 20, 33, 25.67, 24);</v>
      </c>
      <c r="J598" s="0" t="str">
        <f aca="false">"UPDATE COTACAO SET cot_id = "&amp;A598&amp;", cot_blt_id = "&amp;B598&amp;", cot_pap_id = "&amp;C598&amp;", cot_prc_comum = "&amp;D598&amp;", cot_prc_min = "&amp;E598&amp;", cot_prc_max = "&amp;F598&amp;", cot_prc_med = "&amp;G598&amp;", cot_prc_mediana = "&amp;H598&amp;" WHERE cot_id = "&amp;A598&amp;";"</f>
        <v>UPDATE COTACAO SET cot_id = 597, cot_blt_id = 52, cot_pap_id = 5, cot_prc_comum = NULL, cot_prc_min = 20, cot_prc_max = 33, cot_prc_med = 25.67, cot_prc_mediana = 24 WHERE cot_id = 597;</v>
      </c>
    </row>
    <row r="599" customFormat="false" ht="14.25" hidden="false" customHeight="false" outlineLevel="0" collapsed="false">
      <c r="A599" s="0" t="n">
        <v>598</v>
      </c>
      <c r="B599" s="0" t="n">
        <f aca="false">IF('Boletins Nuppa Site'!A599&lt;&gt;0,'Boletins Nuppa Site'!A599,"NULL")</f>
        <v>52</v>
      </c>
      <c r="C599" s="0" t="n">
        <v>6</v>
      </c>
      <c r="D599" s="30" t="n">
        <f aca="false">IF('Boletins Nuppa Site'!G599&lt;&gt;0,'Boletins Nuppa Site'!G599,"NULL")</f>
        <v>60</v>
      </c>
      <c r="E599" s="30" t="n">
        <f aca="false">IF('Boletins Nuppa Site'!H599&lt;&gt;0,'Boletins Nuppa Site'!H599,"NULL")</f>
        <v>60</v>
      </c>
      <c r="F599" s="30" t="n">
        <f aca="false">IF('Boletins Nuppa Site'!I599&lt;&gt;0,'Boletins Nuppa Site'!I599,"NULL")</f>
        <v>60</v>
      </c>
      <c r="G599" s="30" t="n">
        <f aca="false">IF('Boletins Nuppa Site'!J599&lt;&gt;0,'Boletins Nuppa Site'!J599,"NULL")</f>
        <v>60</v>
      </c>
      <c r="H599" s="30" t="n">
        <f aca="false">IF('Boletins Nuppa Site'!K599&lt;&gt;0,'Boletins Nuppa Site'!K599,"NULL")</f>
        <v>60</v>
      </c>
      <c r="I599" s="0" t="str">
        <f aca="false">"INSERT INTO COTACAO (cot_id, cot_blt_id, cot_pap_id, cot_prc_comum, cot_prc_min, cot_prc_max, cot_prc_med, cot_prc_mediana) VALUES ("&amp;A599&amp;", "&amp;B599&amp;", "&amp;C599&amp;", "&amp;D599&amp;", "&amp;E599&amp;", "&amp;F599&amp;", "&amp;G599&amp;", "&amp;H599&amp;");"</f>
        <v>INSERT INTO COTACAO (cot_id, cot_blt_id, cot_pap_id, cot_prc_comum, cot_prc_min, cot_prc_max, cot_prc_med, cot_prc_mediana) VALUES (598, 52, 6, 60, 60, 60, 60, 60);</v>
      </c>
      <c r="J599" s="0" t="str">
        <f aca="false">"UPDATE COTACAO SET cot_id = "&amp;A599&amp;", cot_blt_id = "&amp;B599&amp;", cot_pap_id = "&amp;C599&amp;", cot_prc_comum = "&amp;D599&amp;", cot_prc_min = "&amp;E599&amp;", cot_prc_max = "&amp;F599&amp;", cot_prc_med = "&amp;G599&amp;", cot_prc_mediana = "&amp;H599&amp;" WHERE cot_id = "&amp;A599&amp;";"</f>
        <v>UPDATE COTACAO SET cot_id = 598, cot_blt_id = 52, cot_pap_id = 6, cot_prc_comum = 60, cot_prc_min = 60, cot_prc_max = 60, cot_prc_med = 60, cot_prc_mediana = 60 WHERE cot_id = 598;</v>
      </c>
    </row>
    <row r="600" customFormat="false" ht="14.25" hidden="false" customHeight="false" outlineLevel="0" collapsed="false">
      <c r="A600" s="0" t="n">
        <v>599</v>
      </c>
      <c r="B600" s="0" t="n">
        <f aca="false">IF('Boletins Nuppa Site'!A600&lt;&gt;0,'Boletins Nuppa Site'!A600,"NULL")</f>
        <v>52</v>
      </c>
      <c r="C600" s="0" t="n">
        <v>7</v>
      </c>
      <c r="D600" s="30" t="n">
        <f aca="false">IF('Boletins Nuppa Site'!G600&lt;&gt;0,'Boletins Nuppa Site'!G600,"NULL")</f>
        <v>72</v>
      </c>
      <c r="E600" s="30" t="n">
        <f aca="false">IF('Boletins Nuppa Site'!H600&lt;&gt;0,'Boletins Nuppa Site'!H600,"NULL")</f>
        <v>72</v>
      </c>
      <c r="F600" s="30" t="n">
        <f aca="false">IF('Boletins Nuppa Site'!I600&lt;&gt;0,'Boletins Nuppa Site'!I600,"NULL")</f>
        <v>84</v>
      </c>
      <c r="G600" s="30" t="n">
        <f aca="false">IF('Boletins Nuppa Site'!J600&lt;&gt;0,'Boletins Nuppa Site'!J600,"NULL")</f>
        <v>76</v>
      </c>
      <c r="H600" s="30" t="n">
        <f aca="false">IF('Boletins Nuppa Site'!K600&lt;&gt;0,'Boletins Nuppa Site'!K600,"NULL")</f>
        <v>72</v>
      </c>
      <c r="I600" s="0" t="str">
        <f aca="false">"INSERT INTO COTACAO (cot_id, cot_blt_id, cot_pap_id, cot_prc_comum, cot_prc_min, cot_prc_max, cot_prc_med, cot_prc_mediana) VALUES ("&amp;A600&amp;", "&amp;B600&amp;", "&amp;C600&amp;", "&amp;D600&amp;", "&amp;E600&amp;", "&amp;F600&amp;", "&amp;G600&amp;", "&amp;H600&amp;");"</f>
        <v>INSERT INTO COTACAO (cot_id, cot_blt_id, cot_pap_id, cot_prc_comum, cot_prc_min, cot_prc_max, cot_prc_med, cot_prc_mediana) VALUES (599, 52, 7, 72, 72, 84, 76, 72);</v>
      </c>
      <c r="J600" s="0" t="str">
        <f aca="false">"UPDATE COTACAO SET cot_id = "&amp;A600&amp;", cot_blt_id = "&amp;B600&amp;", cot_pap_id = "&amp;C600&amp;", cot_prc_comum = "&amp;D600&amp;", cot_prc_min = "&amp;E600&amp;", cot_prc_max = "&amp;F600&amp;", cot_prc_med = "&amp;G600&amp;", cot_prc_mediana = "&amp;H600&amp;" WHERE cot_id = "&amp;A600&amp;";"</f>
        <v>UPDATE COTACAO SET cot_id = 599, cot_blt_id = 52, cot_pap_id = 7, cot_prc_comum = 72, cot_prc_min = 72, cot_prc_max = 84, cot_prc_med = 76, cot_prc_mediana = 72 WHERE cot_id = 599;</v>
      </c>
    </row>
    <row r="601" customFormat="false" ht="14.25" hidden="false" customHeight="false" outlineLevel="0" collapsed="false">
      <c r="A601" s="0" t="n">
        <v>600</v>
      </c>
      <c r="B601" s="0" t="n">
        <f aca="false">IF('Boletins Nuppa Site'!A601&lt;&gt;0,'Boletins Nuppa Site'!A601,"NULL")</f>
        <v>52</v>
      </c>
      <c r="C601" s="0" t="n">
        <v>8</v>
      </c>
      <c r="D601" s="0" t="str">
        <f aca="false">IF('Boletins Nuppa Site'!G601&lt;&gt;0,'Boletins Nuppa Site'!G601,"NULL")</f>
        <v>NULL</v>
      </c>
      <c r="E601" s="30" t="n">
        <f aca="false">IF('Boletins Nuppa Site'!H601&lt;&gt;0,'Boletins Nuppa Site'!H601,"NULL")</f>
        <v>84</v>
      </c>
      <c r="F601" s="30" t="n">
        <f aca="false">IF('Boletins Nuppa Site'!I601&lt;&gt;0,'Boletins Nuppa Site'!I601,"NULL")</f>
        <v>96</v>
      </c>
      <c r="G601" s="0" t="str">
        <f aca="false">IF('Boletins Nuppa Site'!J601&lt;&gt;0,'Boletins Nuppa Site'!J601,"NULL")</f>
        <v>91.67</v>
      </c>
      <c r="H601" s="30" t="n">
        <f aca="false">IF('Boletins Nuppa Site'!K601&lt;&gt;0,'Boletins Nuppa Site'!K601,"NULL")</f>
        <v>95</v>
      </c>
      <c r="I601" s="0" t="str">
        <f aca="false">"INSERT INTO COTACAO (cot_id, cot_blt_id, cot_pap_id, cot_prc_comum, cot_prc_min, cot_prc_max, cot_prc_med, cot_prc_mediana) VALUES ("&amp;A601&amp;", "&amp;B601&amp;", "&amp;C601&amp;", "&amp;D601&amp;", "&amp;E601&amp;", "&amp;F601&amp;", "&amp;G601&amp;", "&amp;H601&amp;");"</f>
        <v>INSERT INTO COTACAO (cot_id, cot_blt_id, cot_pap_id, cot_prc_comum, cot_prc_min, cot_prc_max, cot_prc_med, cot_prc_mediana) VALUES (600, 52, 8, NULL, 84, 96, 91.67, 95);</v>
      </c>
      <c r="J601" s="0" t="str">
        <f aca="false">"UPDATE COTACAO SET cot_id = "&amp;A601&amp;", cot_blt_id = "&amp;B601&amp;", cot_pap_id = "&amp;C601&amp;", cot_prc_comum = "&amp;D601&amp;", cot_prc_min = "&amp;E601&amp;", cot_prc_max = "&amp;F601&amp;", cot_prc_med = "&amp;G601&amp;", cot_prc_mediana = "&amp;H601&amp;" WHERE cot_id = "&amp;A601&amp;";"</f>
        <v>UPDATE COTACAO SET cot_id = 600, cot_blt_id = 52, cot_pap_id = 8, cot_prc_comum = NULL, cot_prc_min = 84, cot_prc_max = 96, cot_prc_med = 91.67, cot_prc_mediana = 95 WHERE cot_id = 600;</v>
      </c>
    </row>
    <row r="602" customFormat="false" ht="14.25" hidden="false" customHeight="false" outlineLevel="0" collapsed="false">
      <c r="A602" s="0" t="n">
        <v>601</v>
      </c>
      <c r="B602" s="0" t="n">
        <f aca="false">IF('Boletins Nuppa Site'!A602&lt;&gt;0,'Boletins Nuppa Site'!A602,"NULL")</f>
        <v>52</v>
      </c>
      <c r="C602" s="0" t="n">
        <v>9</v>
      </c>
      <c r="D602" s="30" t="n">
        <f aca="false">IF('Boletins Nuppa Site'!G602&lt;&gt;0,'Boletins Nuppa Site'!G602,"NULL")</f>
        <v>24</v>
      </c>
      <c r="E602" s="30" t="n">
        <f aca="false">IF('Boletins Nuppa Site'!H602&lt;&gt;0,'Boletins Nuppa Site'!H602,"NULL")</f>
        <v>6</v>
      </c>
      <c r="F602" s="30" t="n">
        <f aca="false">IF('Boletins Nuppa Site'!I602&lt;&gt;0,'Boletins Nuppa Site'!I602,"NULL")</f>
        <v>30</v>
      </c>
      <c r="G602" s="30" t="n">
        <f aca="false">IF('Boletins Nuppa Site'!J602&lt;&gt;0,'Boletins Nuppa Site'!J602,"NULL")</f>
        <v>21</v>
      </c>
      <c r="H602" s="30" t="n">
        <f aca="false">IF('Boletins Nuppa Site'!K602&lt;&gt;0,'Boletins Nuppa Site'!K602,"NULL")</f>
        <v>24</v>
      </c>
      <c r="I602" s="0" t="str">
        <f aca="false">"INSERT INTO COTACAO (cot_id, cot_blt_id, cot_pap_id, cot_prc_comum, cot_prc_min, cot_prc_max, cot_prc_med, cot_prc_mediana) VALUES ("&amp;A602&amp;", "&amp;B602&amp;", "&amp;C602&amp;", "&amp;D602&amp;", "&amp;E602&amp;", "&amp;F602&amp;", "&amp;G602&amp;", "&amp;H602&amp;");"</f>
        <v>INSERT INTO COTACAO (cot_id, cot_blt_id, cot_pap_id, cot_prc_comum, cot_prc_min, cot_prc_max, cot_prc_med, cot_prc_mediana) VALUES (601, 52, 9, 24, 6, 30, 21, 24);</v>
      </c>
      <c r="J602" s="0" t="str">
        <f aca="false">"UPDATE COTACAO SET cot_id = "&amp;A602&amp;", cot_blt_id = "&amp;B602&amp;", cot_pap_id = "&amp;C602&amp;", cot_prc_comum = "&amp;D602&amp;", cot_prc_min = "&amp;E602&amp;", cot_prc_max = "&amp;F602&amp;", cot_prc_med = "&amp;G602&amp;", cot_prc_mediana = "&amp;H602&amp;" WHERE cot_id = "&amp;A602&amp;";"</f>
        <v>UPDATE COTACAO SET cot_id = 601, cot_blt_id = 52, cot_pap_id = 9, cot_prc_comum = 24, cot_prc_min = 6, cot_prc_max = 30, cot_prc_med = 21, cot_prc_mediana = 24 WHERE cot_id = 601;</v>
      </c>
    </row>
    <row r="603" customFormat="false" ht="14.25" hidden="false" customHeight="false" outlineLevel="0" collapsed="false">
      <c r="A603" s="0" t="n">
        <v>602</v>
      </c>
      <c r="B603" s="0" t="n">
        <f aca="false">IF('Boletins Nuppa Site'!A603&lt;&gt;0,'Boletins Nuppa Site'!A603,"NULL")</f>
        <v>52</v>
      </c>
      <c r="C603" s="0" t="n">
        <v>10</v>
      </c>
      <c r="D603" s="30" t="n">
        <f aca="false">IF('Boletins Nuppa Site'!G603&lt;&gt;0,'Boletins Nuppa Site'!G603,"NULL")</f>
        <v>96</v>
      </c>
      <c r="E603" s="30" t="n">
        <f aca="false">IF('Boletins Nuppa Site'!H603&lt;&gt;0,'Boletins Nuppa Site'!H603,"NULL")</f>
        <v>90</v>
      </c>
      <c r="F603" s="30" t="n">
        <f aca="false">IF('Boletins Nuppa Site'!I603&lt;&gt;0,'Boletins Nuppa Site'!I603,"NULL")</f>
        <v>96</v>
      </c>
      <c r="G603" s="30" t="n">
        <f aca="false">IF('Boletins Nuppa Site'!J603&lt;&gt;0,'Boletins Nuppa Site'!J603,"NULL")</f>
        <v>94</v>
      </c>
      <c r="H603" s="30" t="n">
        <f aca="false">IF('Boletins Nuppa Site'!K603&lt;&gt;0,'Boletins Nuppa Site'!K603,"NULL")</f>
        <v>96</v>
      </c>
      <c r="I603" s="0" t="str">
        <f aca="false">"INSERT INTO COTACAO (cot_id, cot_blt_id, cot_pap_id, cot_prc_comum, cot_prc_min, cot_prc_max, cot_prc_med, cot_prc_mediana) VALUES ("&amp;A603&amp;", "&amp;B603&amp;", "&amp;C603&amp;", "&amp;D603&amp;", "&amp;E603&amp;", "&amp;F603&amp;", "&amp;G603&amp;", "&amp;H603&amp;");"</f>
        <v>INSERT INTO COTACAO (cot_id, cot_blt_id, cot_pap_id, cot_prc_comum, cot_prc_min, cot_prc_max, cot_prc_med, cot_prc_mediana) VALUES (602, 52, 10, 96, 90, 96, 94, 96);</v>
      </c>
      <c r="J603" s="0" t="str">
        <f aca="false">"UPDATE COTACAO SET cot_id = "&amp;A603&amp;", cot_blt_id = "&amp;B603&amp;", cot_pap_id = "&amp;C603&amp;", cot_prc_comum = "&amp;D603&amp;", cot_prc_min = "&amp;E603&amp;", cot_prc_max = "&amp;F603&amp;", cot_prc_med = "&amp;G603&amp;", cot_prc_mediana = "&amp;H603&amp;" WHERE cot_id = "&amp;A603&amp;";"</f>
        <v>UPDATE COTACAO SET cot_id = 602, cot_blt_id = 52, cot_pap_id = 10, cot_prc_comum = 96, cot_prc_min = 90, cot_prc_max = 96, cot_prc_med = 94, cot_prc_mediana = 96 WHERE cot_id = 602;</v>
      </c>
    </row>
    <row r="604" customFormat="false" ht="14.25" hidden="false" customHeight="false" outlineLevel="0" collapsed="false">
      <c r="A604" s="0" t="n">
        <v>603</v>
      </c>
      <c r="B604" s="0" t="n">
        <f aca="false">IF('Boletins Nuppa Site'!A604&lt;&gt;0,'Boletins Nuppa Site'!A604,"NULL")</f>
        <v>52</v>
      </c>
      <c r="C604" s="0" t="n">
        <v>11</v>
      </c>
      <c r="D604" s="0" t="str">
        <f aca="false">IF('Boletins Nuppa Site'!G604&lt;&gt;0,'Boletins Nuppa Site'!G604,"NULL")</f>
        <v>NULL</v>
      </c>
      <c r="E604" s="30" t="n">
        <f aca="false">IF('Boletins Nuppa Site'!H604&lt;&gt;0,'Boletins Nuppa Site'!H604,"NULL")</f>
        <v>20</v>
      </c>
      <c r="F604" s="30" t="n">
        <f aca="false">IF('Boletins Nuppa Site'!I604&lt;&gt;0,'Boletins Nuppa Site'!I604,"NULL")</f>
        <v>33</v>
      </c>
      <c r="G604" s="0" t="str">
        <f aca="false">IF('Boletins Nuppa Site'!J604&lt;&gt;0,'Boletins Nuppa Site'!J604,"NULL")</f>
        <v>27.67</v>
      </c>
      <c r="H604" s="30" t="n">
        <f aca="false">IF('Boletins Nuppa Site'!K604&lt;&gt;0,'Boletins Nuppa Site'!K604,"NULL")</f>
        <v>30</v>
      </c>
      <c r="I604" s="0" t="str">
        <f aca="false">"INSERT INTO COTACAO (cot_id, cot_blt_id, cot_pap_id, cot_prc_comum, cot_prc_min, cot_prc_max, cot_prc_med, cot_prc_mediana) VALUES ("&amp;A604&amp;", "&amp;B604&amp;", "&amp;C604&amp;", "&amp;D604&amp;", "&amp;E604&amp;", "&amp;F604&amp;", "&amp;G604&amp;", "&amp;H604&amp;");"</f>
        <v>INSERT INTO COTACAO (cot_id, cot_blt_id, cot_pap_id, cot_prc_comum, cot_prc_min, cot_prc_max, cot_prc_med, cot_prc_mediana) VALUES (603, 52, 11, NULL, 20, 33, 27.67, 30);</v>
      </c>
      <c r="J604" s="0" t="str">
        <f aca="false">"UPDATE COTACAO SET cot_id = "&amp;A604&amp;", cot_blt_id = "&amp;B604&amp;", cot_pap_id = "&amp;C604&amp;", cot_prc_comum = "&amp;D604&amp;", cot_prc_min = "&amp;E604&amp;", cot_prc_max = "&amp;F604&amp;", cot_prc_med = "&amp;G604&amp;", cot_prc_mediana = "&amp;H604&amp;" WHERE cot_id = "&amp;A604&amp;";"</f>
        <v>UPDATE COTACAO SET cot_id = 603, cot_blt_id = 52, cot_pap_id = 11, cot_prc_comum = NULL, cot_prc_min = 20, cot_prc_max = 33, cot_prc_med = 27.67, cot_prc_mediana = 30 WHERE cot_id = 603;</v>
      </c>
    </row>
    <row r="605" customFormat="false" ht="14.25" hidden="false" customHeight="false" outlineLevel="0" collapsed="false">
      <c r="A605" s="0" t="n">
        <v>604</v>
      </c>
      <c r="B605" s="0" t="n">
        <f aca="false">IF('Boletins Nuppa Site'!A605&lt;&gt;0,'Boletins Nuppa Site'!A605,"NULL")</f>
        <v>52</v>
      </c>
      <c r="C605" s="0" t="n">
        <v>12</v>
      </c>
      <c r="D605" s="30" t="n">
        <f aca="false">IF('Boletins Nuppa Site'!G605&lt;&gt;0,'Boletins Nuppa Site'!G605,"NULL")</f>
        <v>78</v>
      </c>
      <c r="E605" s="30" t="n">
        <f aca="false">IF('Boletins Nuppa Site'!H605&lt;&gt;0,'Boletins Nuppa Site'!H605,"NULL")</f>
        <v>78</v>
      </c>
      <c r="F605" s="30" t="n">
        <f aca="false">IF('Boletins Nuppa Site'!I605&lt;&gt;0,'Boletins Nuppa Site'!I605,"NULL")</f>
        <v>84</v>
      </c>
      <c r="G605" s="30" t="n">
        <f aca="false">IF('Boletins Nuppa Site'!J605&lt;&gt;0,'Boletins Nuppa Site'!J605,"NULL")</f>
        <v>80</v>
      </c>
      <c r="H605" s="30" t="n">
        <f aca="false">IF('Boletins Nuppa Site'!K605&lt;&gt;0,'Boletins Nuppa Site'!K605,"NULL")</f>
        <v>78</v>
      </c>
      <c r="I605" s="0" t="str">
        <f aca="false">"INSERT INTO COTACAO (cot_id, cot_blt_id, cot_pap_id, cot_prc_comum, cot_prc_min, cot_prc_max, cot_prc_med, cot_prc_mediana) VALUES ("&amp;A605&amp;", "&amp;B605&amp;", "&amp;C605&amp;", "&amp;D605&amp;", "&amp;E605&amp;", "&amp;F605&amp;", "&amp;G605&amp;", "&amp;H605&amp;");"</f>
        <v>INSERT INTO COTACAO (cot_id, cot_blt_id, cot_pap_id, cot_prc_comum, cot_prc_min, cot_prc_max, cot_prc_med, cot_prc_mediana) VALUES (604, 52, 12, 78, 78, 84, 80, 78);</v>
      </c>
      <c r="J605" s="0" t="str">
        <f aca="false">"UPDATE COTACAO SET cot_id = "&amp;A605&amp;", cot_blt_id = "&amp;B605&amp;", cot_pap_id = "&amp;C605&amp;", cot_prc_comum = "&amp;D605&amp;", cot_prc_min = "&amp;E605&amp;", cot_prc_max = "&amp;F605&amp;", cot_prc_med = "&amp;G605&amp;", cot_prc_mediana = "&amp;H605&amp;" WHERE cot_id = "&amp;A605&amp;";"</f>
        <v>UPDATE COTACAO SET cot_id = 604, cot_blt_id = 52, cot_pap_id = 12, cot_prc_comum = 78, cot_prc_min = 78, cot_prc_max = 84, cot_prc_med = 80, cot_prc_mediana = 78 WHERE cot_id = 604;</v>
      </c>
    </row>
    <row r="606" customFormat="false" ht="14.25" hidden="false" customHeight="false" outlineLevel="0" collapsed="false">
      <c r="A606" s="0" t="n">
        <v>605</v>
      </c>
      <c r="B606" s="0" t="n">
        <f aca="false">IF('Boletins Nuppa Site'!A606&lt;&gt;0,'Boletins Nuppa Site'!A606,"NULL")</f>
        <v>52</v>
      </c>
      <c r="C606" s="0" t="n">
        <v>13</v>
      </c>
      <c r="D606" s="30" t="n">
        <f aca="false">IF('Boletins Nuppa Site'!G606&lt;&gt;0,'Boletins Nuppa Site'!G606,"NULL")</f>
        <v>72</v>
      </c>
      <c r="E606" s="30" t="n">
        <f aca="false">IF('Boletins Nuppa Site'!H606&lt;&gt;0,'Boletins Nuppa Site'!H606,"NULL")</f>
        <v>72</v>
      </c>
      <c r="F606" s="30" t="n">
        <f aca="false">IF('Boletins Nuppa Site'!I606&lt;&gt;0,'Boletins Nuppa Site'!I606,"NULL")</f>
        <v>78</v>
      </c>
      <c r="G606" s="30" t="n">
        <f aca="false">IF('Boletins Nuppa Site'!J606&lt;&gt;0,'Boletins Nuppa Site'!J606,"NULL")</f>
        <v>74</v>
      </c>
      <c r="H606" s="30" t="n">
        <f aca="false">IF('Boletins Nuppa Site'!K606&lt;&gt;0,'Boletins Nuppa Site'!K606,"NULL")</f>
        <v>72</v>
      </c>
      <c r="I606" s="0" t="str">
        <f aca="false">"INSERT INTO COTACAO (cot_id, cot_blt_id, cot_pap_id, cot_prc_comum, cot_prc_min, cot_prc_max, cot_prc_med, cot_prc_mediana) VALUES ("&amp;A606&amp;", "&amp;B606&amp;", "&amp;C606&amp;", "&amp;D606&amp;", "&amp;E606&amp;", "&amp;F606&amp;", "&amp;G606&amp;", "&amp;H606&amp;");"</f>
        <v>INSERT INTO COTACAO (cot_id, cot_blt_id, cot_pap_id, cot_prc_comum, cot_prc_min, cot_prc_max, cot_prc_med, cot_prc_mediana) VALUES (605, 52, 13, 72, 72, 78, 74, 72);</v>
      </c>
      <c r="J606" s="0" t="str">
        <f aca="false">"UPDATE COTACAO SET cot_id = "&amp;A606&amp;", cot_blt_id = "&amp;B606&amp;", cot_pap_id = "&amp;C606&amp;", cot_prc_comum = "&amp;D606&amp;", cot_prc_min = "&amp;E606&amp;", cot_prc_max = "&amp;F606&amp;", cot_prc_med = "&amp;G606&amp;", cot_prc_mediana = "&amp;H606&amp;" WHERE cot_id = "&amp;A606&amp;";"</f>
        <v>UPDATE COTACAO SET cot_id = 605, cot_blt_id = 52, cot_pap_id = 13, cot_prc_comum = 72, cot_prc_min = 72, cot_prc_max = 78, cot_prc_med = 74, cot_prc_mediana = 72 WHERE cot_id = 605;</v>
      </c>
    </row>
    <row r="607" customFormat="false" ht="14.25" hidden="false" customHeight="false" outlineLevel="0" collapsed="false">
      <c r="A607" s="0" t="n">
        <v>606</v>
      </c>
      <c r="B607" s="0" t="n">
        <f aca="false">IF('Boletins Nuppa Site'!A607&lt;&gt;0,'Boletins Nuppa Site'!A607,"NULL")</f>
        <v>52</v>
      </c>
      <c r="C607" s="0" t="n">
        <v>14</v>
      </c>
      <c r="D607" s="0" t="str">
        <f aca="false">IF('Boletins Nuppa Site'!G607&lt;&gt;0,'Boletins Nuppa Site'!G607,"NULL")</f>
        <v>NULL</v>
      </c>
      <c r="E607" s="30" t="n">
        <f aca="false">IF('Boletins Nuppa Site'!H607&lt;&gt;0,'Boletins Nuppa Site'!H607,"NULL")</f>
        <v>55</v>
      </c>
      <c r="F607" s="30" t="n">
        <f aca="false">IF('Boletins Nuppa Site'!I607&lt;&gt;0,'Boletins Nuppa Site'!I607,"NULL")</f>
        <v>86</v>
      </c>
      <c r="G607" s="30" t="n">
        <f aca="false">IF('Boletins Nuppa Site'!J607&lt;&gt;0,'Boletins Nuppa Site'!J607,"NULL")</f>
        <v>75</v>
      </c>
      <c r="H607" s="30" t="n">
        <f aca="false">IF('Boletins Nuppa Site'!K607&lt;&gt;0,'Boletins Nuppa Site'!K607,"NULL")</f>
        <v>84</v>
      </c>
      <c r="I607" s="0" t="str">
        <f aca="false">"INSERT INTO COTACAO (cot_id, cot_blt_id, cot_pap_id, cot_prc_comum, cot_prc_min, cot_prc_max, cot_prc_med, cot_prc_mediana) VALUES ("&amp;A607&amp;", "&amp;B607&amp;", "&amp;C607&amp;", "&amp;D607&amp;", "&amp;E607&amp;", "&amp;F607&amp;", "&amp;G607&amp;", "&amp;H607&amp;");"</f>
        <v>INSERT INTO COTACAO (cot_id, cot_blt_id, cot_pap_id, cot_prc_comum, cot_prc_min, cot_prc_max, cot_prc_med, cot_prc_mediana) VALUES (606, 52, 14, NULL, 55, 86, 75, 84);</v>
      </c>
      <c r="J607" s="0" t="str">
        <f aca="false">"UPDATE COTACAO SET cot_id = "&amp;A607&amp;", cot_blt_id = "&amp;B607&amp;", cot_pap_id = "&amp;C607&amp;", cot_prc_comum = "&amp;D607&amp;", cot_prc_min = "&amp;E607&amp;", cot_prc_max = "&amp;F607&amp;", cot_prc_med = "&amp;G607&amp;", cot_prc_mediana = "&amp;H607&amp;" WHERE cot_id = "&amp;A607&amp;";"</f>
        <v>UPDATE COTACAO SET cot_id = 606, cot_blt_id = 52, cot_pap_id = 14, cot_prc_comum = NULL, cot_prc_min = 55, cot_prc_max = 86, cot_prc_med = 75, cot_prc_mediana = 84 WHERE cot_id = 606;</v>
      </c>
    </row>
    <row r="608" customFormat="false" ht="14.25" hidden="false" customHeight="false" outlineLevel="0" collapsed="false">
      <c r="A608" s="0" t="n">
        <v>607</v>
      </c>
      <c r="B608" s="0" t="n">
        <f aca="false">IF('Boletins Nuppa Site'!A608&lt;&gt;0,'Boletins Nuppa Site'!A608,"NULL")</f>
        <v>52</v>
      </c>
      <c r="C608" s="0" t="n">
        <v>15</v>
      </c>
      <c r="D608" s="30" t="n">
        <f aca="false">IF('Boletins Nuppa Site'!G608&lt;&gt;0,'Boletins Nuppa Site'!G608,"NULL")</f>
        <v>60</v>
      </c>
      <c r="E608" s="30" t="n">
        <f aca="false">IF('Boletins Nuppa Site'!H608&lt;&gt;0,'Boletins Nuppa Site'!H608,"NULL")</f>
        <v>50</v>
      </c>
      <c r="F608" s="30" t="n">
        <f aca="false">IF('Boletins Nuppa Site'!I608&lt;&gt;0,'Boletins Nuppa Site'!I608,"NULL")</f>
        <v>72</v>
      </c>
      <c r="G608" s="0" t="str">
        <f aca="false">IF('Boletins Nuppa Site'!J608&lt;&gt;0,'Boletins Nuppa Site'!J608,"NULL")</f>
        <v>60.5</v>
      </c>
      <c r="H608" s="30" t="n">
        <f aca="false">IF('Boletins Nuppa Site'!K608&lt;&gt;0,'Boletins Nuppa Site'!K608,"NULL")</f>
        <v>60</v>
      </c>
      <c r="I608" s="0" t="str">
        <f aca="false">"INSERT INTO COTACAO (cot_id, cot_blt_id, cot_pap_id, cot_prc_comum, cot_prc_min, cot_prc_max, cot_prc_med, cot_prc_mediana) VALUES ("&amp;A608&amp;", "&amp;B608&amp;", "&amp;C608&amp;", "&amp;D608&amp;", "&amp;E608&amp;", "&amp;F608&amp;", "&amp;G608&amp;", "&amp;H608&amp;");"</f>
        <v>INSERT INTO COTACAO (cot_id, cot_blt_id, cot_pap_id, cot_prc_comum, cot_prc_min, cot_prc_max, cot_prc_med, cot_prc_mediana) VALUES (607, 52, 15, 60, 50, 72, 60.5, 60);</v>
      </c>
      <c r="J608" s="0" t="str">
        <f aca="false">"UPDATE COTACAO SET cot_id = "&amp;A608&amp;", cot_blt_id = "&amp;B608&amp;", cot_pap_id = "&amp;C608&amp;", cot_prc_comum = "&amp;D608&amp;", cot_prc_min = "&amp;E608&amp;", cot_prc_max = "&amp;F608&amp;", cot_prc_med = "&amp;G608&amp;", cot_prc_mediana = "&amp;H608&amp;" WHERE cot_id = "&amp;A608&amp;";"</f>
        <v>UPDATE COTACAO SET cot_id = 607, cot_blt_id = 52, cot_pap_id = 15, cot_prc_comum = 60, cot_prc_min = 50, cot_prc_max = 72, cot_prc_med = 60.5, cot_prc_mediana = 60 WHERE cot_id = 607;</v>
      </c>
    </row>
    <row r="609" customFormat="false" ht="14.25" hidden="false" customHeight="false" outlineLevel="0" collapsed="false">
      <c r="A609" s="0" t="n">
        <v>608</v>
      </c>
      <c r="B609" s="0" t="n">
        <f aca="false">IF('Boletins Nuppa Site'!A609&lt;&gt;0,'Boletins Nuppa Site'!A609,"NULL")</f>
        <v>52</v>
      </c>
      <c r="C609" s="0" t="n">
        <v>16</v>
      </c>
      <c r="D609" s="30" t="n">
        <f aca="false">IF('Boletins Nuppa Site'!G609&lt;&gt;0,'Boletins Nuppa Site'!G609,"NULL")</f>
        <v>54</v>
      </c>
      <c r="E609" s="30" t="n">
        <f aca="false">IF('Boletins Nuppa Site'!H609&lt;&gt;0,'Boletins Nuppa Site'!H609,"NULL")</f>
        <v>48</v>
      </c>
      <c r="F609" s="30" t="n">
        <f aca="false">IF('Boletins Nuppa Site'!I609&lt;&gt;0,'Boletins Nuppa Site'!I609,"NULL")</f>
        <v>54</v>
      </c>
      <c r="G609" s="30" t="n">
        <f aca="false">IF('Boletins Nuppa Site'!J609&lt;&gt;0,'Boletins Nuppa Site'!J609,"NULL")</f>
        <v>52</v>
      </c>
      <c r="H609" s="30" t="n">
        <f aca="false">IF('Boletins Nuppa Site'!K609&lt;&gt;0,'Boletins Nuppa Site'!K609,"NULL")</f>
        <v>54</v>
      </c>
      <c r="I609" s="0" t="str">
        <f aca="false">"INSERT INTO COTACAO (cot_id, cot_blt_id, cot_pap_id, cot_prc_comum, cot_prc_min, cot_prc_max, cot_prc_med, cot_prc_mediana) VALUES ("&amp;A609&amp;", "&amp;B609&amp;", "&amp;C609&amp;", "&amp;D609&amp;", "&amp;E609&amp;", "&amp;F609&amp;", "&amp;G609&amp;", "&amp;H609&amp;");"</f>
        <v>INSERT INTO COTACAO (cot_id, cot_blt_id, cot_pap_id, cot_prc_comum, cot_prc_min, cot_prc_max, cot_prc_med, cot_prc_mediana) VALUES (608, 52, 16, 54, 48, 54, 52, 54);</v>
      </c>
      <c r="J609" s="0" t="str">
        <f aca="false">"UPDATE COTACAO SET cot_id = "&amp;A609&amp;", cot_blt_id = "&amp;B609&amp;", cot_pap_id = "&amp;C609&amp;", cot_prc_comum = "&amp;D609&amp;", cot_prc_min = "&amp;E609&amp;", cot_prc_max = "&amp;F609&amp;", cot_prc_med = "&amp;G609&amp;", cot_prc_mediana = "&amp;H609&amp;" WHERE cot_id = "&amp;A609&amp;";"</f>
        <v>UPDATE COTACAO SET cot_id = 608, cot_blt_id = 52, cot_pap_id = 16, cot_prc_comum = 54, cot_prc_min = 48, cot_prc_max = 54, cot_prc_med = 52, cot_prc_mediana = 54 WHERE cot_id = 608;</v>
      </c>
    </row>
    <row r="610" customFormat="false" ht="14.25" hidden="false" customHeight="false" outlineLevel="0" collapsed="false">
      <c r="A610" s="0" t="n">
        <v>609</v>
      </c>
      <c r="B610" s="0" t="n">
        <f aca="false">IF('Boletins Nuppa Site'!A610&lt;&gt;0,'Boletins Nuppa Site'!A610,"NULL")</f>
        <v>52</v>
      </c>
      <c r="C610" s="0" t="n">
        <v>17</v>
      </c>
      <c r="D610" s="30" t="n">
        <f aca="false">IF('Boletins Nuppa Site'!G610&lt;&gt;0,'Boletins Nuppa Site'!G610,"NULL")</f>
        <v>5</v>
      </c>
      <c r="E610" s="30" t="n">
        <f aca="false">IF('Boletins Nuppa Site'!H610&lt;&gt;0,'Boletins Nuppa Site'!H610,"NULL")</f>
        <v>5</v>
      </c>
      <c r="F610" s="30" t="n">
        <f aca="false">IF('Boletins Nuppa Site'!I610&lt;&gt;0,'Boletins Nuppa Site'!I610,"NULL")</f>
        <v>5</v>
      </c>
      <c r="G610" s="30" t="n">
        <f aca="false">IF('Boletins Nuppa Site'!J610&lt;&gt;0,'Boletins Nuppa Site'!J610,"NULL")</f>
        <v>5</v>
      </c>
      <c r="H610" s="30" t="n">
        <f aca="false">IF('Boletins Nuppa Site'!K610&lt;&gt;0,'Boletins Nuppa Site'!K610,"NULL")</f>
        <v>5</v>
      </c>
      <c r="I610" s="0" t="str">
        <f aca="false">"INSERT INTO COTACAO (cot_id, cot_blt_id, cot_pap_id, cot_prc_comum, cot_prc_min, cot_prc_max, cot_prc_med, cot_prc_mediana) VALUES ("&amp;A610&amp;", "&amp;B610&amp;", "&amp;C610&amp;", "&amp;D610&amp;", "&amp;E610&amp;", "&amp;F610&amp;", "&amp;G610&amp;", "&amp;H610&amp;");"</f>
        <v>INSERT INTO COTACAO (cot_id, cot_blt_id, cot_pap_id, cot_prc_comum, cot_prc_min, cot_prc_max, cot_prc_med, cot_prc_mediana) VALUES (609, 52, 17, 5, 5, 5, 5, 5);</v>
      </c>
      <c r="J610" s="0" t="str">
        <f aca="false">"UPDATE COTACAO SET cot_id = "&amp;A610&amp;", cot_blt_id = "&amp;B610&amp;", cot_pap_id = "&amp;C610&amp;", cot_prc_comum = "&amp;D610&amp;", cot_prc_min = "&amp;E610&amp;", cot_prc_max = "&amp;F610&amp;", cot_prc_med = "&amp;G610&amp;", cot_prc_mediana = "&amp;H610&amp;" WHERE cot_id = "&amp;A610&amp;";"</f>
        <v>UPDATE COTACAO SET cot_id = 609, cot_blt_id = 52, cot_pap_id = 17, cot_prc_comum = 5, cot_prc_min = 5, cot_prc_max = 5, cot_prc_med = 5, cot_prc_mediana = 5 WHERE cot_id = 609;</v>
      </c>
    </row>
    <row r="611" customFormat="false" ht="14.25" hidden="false" customHeight="false" outlineLevel="0" collapsed="false">
      <c r="A611" s="0" t="n">
        <v>610</v>
      </c>
      <c r="B611" s="0" t="n">
        <f aca="false">IF('Boletins Nuppa Site'!A611&lt;&gt;0,'Boletins Nuppa Site'!A611,"NULL")</f>
        <v>52</v>
      </c>
      <c r="C611" s="0" t="n">
        <v>18</v>
      </c>
      <c r="D611" s="30" t="n">
        <f aca="false">IF('Boletins Nuppa Site'!G611&lt;&gt;0,'Boletins Nuppa Site'!G611,"NULL")</f>
        <v>25</v>
      </c>
      <c r="E611" s="30" t="n">
        <f aca="false">IF('Boletins Nuppa Site'!H611&lt;&gt;0,'Boletins Nuppa Site'!H611,"NULL")</f>
        <v>25</v>
      </c>
      <c r="F611" s="30" t="n">
        <f aca="false">IF('Boletins Nuppa Site'!I611&lt;&gt;0,'Boletins Nuppa Site'!I611,"NULL")</f>
        <v>28</v>
      </c>
      <c r="G611" s="30" t="n">
        <f aca="false">IF('Boletins Nuppa Site'!J611&lt;&gt;0,'Boletins Nuppa Site'!J611,"NULL")</f>
        <v>26</v>
      </c>
      <c r="H611" s="30" t="n">
        <f aca="false">IF('Boletins Nuppa Site'!K611&lt;&gt;0,'Boletins Nuppa Site'!K611,"NULL")</f>
        <v>25</v>
      </c>
      <c r="I611" s="0" t="str">
        <f aca="false">"INSERT INTO COTACAO (cot_id, cot_blt_id, cot_pap_id, cot_prc_comum, cot_prc_min, cot_prc_max, cot_prc_med, cot_prc_mediana) VALUES ("&amp;A611&amp;", "&amp;B611&amp;", "&amp;C611&amp;", "&amp;D611&amp;", "&amp;E611&amp;", "&amp;F611&amp;", "&amp;G611&amp;", "&amp;H611&amp;");"</f>
        <v>INSERT INTO COTACAO (cot_id, cot_blt_id, cot_pap_id, cot_prc_comum, cot_prc_min, cot_prc_max, cot_prc_med, cot_prc_mediana) VALUES (610, 52, 18, 25, 25, 28, 26, 25);</v>
      </c>
      <c r="J611" s="0" t="str">
        <f aca="false">"UPDATE COTACAO SET cot_id = "&amp;A611&amp;", cot_blt_id = "&amp;B611&amp;", cot_pap_id = "&amp;C611&amp;", cot_prc_comum = "&amp;D611&amp;", cot_prc_min = "&amp;E611&amp;", cot_prc_max = "&amp;F611&amp;", cot_prc_med = "&amp;G611&amp;", cot_prc_mediana = "&amp;H611&amp;" WHERE cot_id = "&amp;A611&amp;";"</f>
        <v>UPDATE COTACAO SET cot_id = 610, cot_blt_id = 52, cot_pap_id = 18, cot_prc_comum = 25, cot_prc_min = 25, cot_prc_max = 28, cot_prc_med = 26, cot_prc_mediana = 25 WHERE cot_id = 610;</v>
      </c>
    </row>
    <row r="612" customFormat="false" ht="14.25" hidden="false" customHeight="false" outlineLevel="0" collapsed="false">
      <c r="A612" s="0" t="n">
        <v>611</v>
      </c>
      <c r="B612" s="0" t="n">
        <f aca="false">IF('Boletins Nuppa Site'!A612&lt;&gt;0,'Boletins Nuppa Site'!A612,"NULL")</f>
        <v>52</v>
      </c>
      <c r="C612" s="0" t="n">
        <v>19</v>
      </c>
      <c r="D612" s="30" t="n">
        <f aca="false">IF('Boletins Nuppa Site'!G612&lt;&gt;0,'Boletins Nuppa Site'!G612,"NULL")</f>
        <v>30</v>
      </c>
      <c r="E612" s="30" t="n">
        <f aca="false">IF('Boletins Nuppa Site'!H612&lt;&gt;0,'Boletins Nuppa Site'!H612,"NULL")</f>
        <v>30</v>
      </c>
      <c r="F612" s="30" t="n">
        <f aca="false">IF('Boletins Nuppa Site'!I612&lt;&gt;0,'Boletins Nuppa Site'!I612,"NULL")</f>
        <v>35</v>
      </c>
      <c r="G612" s="0" t="str">
        <f aca="false">IF('Boletins Nuppa Site'!J612&lt;&gt;0,'Boletins Nuppa Site'!J612,"NULL")</f>
        <v>31.67</v>
      </c>
      <c r="H612" s="30" t="n">
        <f aca="false">IF('Boletins Nuppa Site'!K612&lt;&gt;0,'Boletins Nuppa Site'!K612,"NULL")</f>
        <v>30</v>
      </c>
      <c r="I612" s="0" t="str">
        <f aca="false">"INSERT INTO COTACAO (cot_id, cot_blt_id, cot_pap_id, cot_prc_comum, cot_prc_min, cot_prc_max, cot_prc_med, cot_prc_mediana) VALUES ("&amp;A612&amp;", "&amp;B612&amp;", "&amp;C612&amp;", "&amp;D612&amp;", "&amp;E612&amp;", "&amp;F612&amp;", "&amp;G612&amp;", "&amp;H612&amp;");"</f>
        <v>INSERT INTO COTACAO (cot_id, cot_blt_id, cot_pap_id, cot_prc_comum, cot_prc_min, cot_prc_max, cot_prc_med, cot_prc_mediana) VALUES (611, 52, 19, 30, 30, 35, 31.67, 30);</v>
      </c>
      <c r="J612" s="0" t="str">
        <f aca="false">"UPDATE COTACAO SET cot_id = "&amp;A612&amp;", cot_blt_id = "&amp;B612&amp;", cot_pap_id = "&amp;C612&amp;", cot_prc_comum = "&amp;D612&amp;", cot_prc_min = "&amp;E612&amp;", cot_prc_max = "&amp;F612&amp;", cot_prc_med = "&amp;G612&amp;", cot_prc_mediana = "&amp;H612&amp;" WHERE cot_id = "&amp;A612&amp;";"</f>
        <v>UPDATE COTACAO SET cot_id = 611, cot_blt_id = 52, cot_pap_id = 19, cot_prc_comum = 30, cot_prc_min = 30, cot_prc_max = 35, cot_prc_med = 31.67, cot_prc_mediana = 30 WHERE cot_id = 611;</v>
      </c>
    </row>
    <row r="613" customFormat="false" ht="14.25" hidden="false" customHeight="false" outlineLevel="0" collapsed="false">
      <c r="A613" s="0" t="n">
        <v>612</v>
      </c>
      <c r="B613" s="0" t="n">
        <f aca="false">IF('Boletins Nuppa Site'!A613&lt;&gt;0,'Boletins Nuppa Site'!A613,"NULL")</f>
        <v>52</v>
      </c>
      <c r="C613" s="0" t="n">
        <v>20</v>
      </c>
      <c r="D613" s="0" t="str">
        <f aca="false">IF('Boletins Nuppa Site'!G613&lt;&gt;0,'Boletins Nuppa Site'!G613,"NULL")</f>
        <v>NULL</v>
      </c>
      <c r="E613" s="30" t="n">
        <f aca="false">IF('Boletins Nuppa Site'!H613&lt;&gt;0,'Boletins Nuppa Site'!H613,"NULL")</f>
        <v>85</v>
      </c>
      <c r="F613" s="30" t="n">
        <f aca="false">IF('Boletins Nuppa Site'!I613&lt;&gt;0,'Boletins Nuppa Site'!I613,"NULL")</f>
        <v>90</v>
      </c>
      <c r="G613" s="0" t="str">
        <f aca="false">IF('Boletins Nuppa Site'!J613&lt;&gt;0,'Boletins Nuppa Site'!J613,"NULL")</f>
        <v>87.5</v>
      </c>
      <c r="H613" s="0" t="str">
        <f aca="false">IF('Boletins Nuppa Site'!K613&lt;&gt;0,'Boletins Nuppa Site'!K613,"NULL")</f>
        <v>87.5</v>
      </c>
      <c r="I613" s="0" t="str">
        <f aca="false">"INSERT INTO COTACAO (cot_id, cot_blt_id, cot_pap_id, cot_prc_comum, cot_prc_min, cot_prc_max, cot_prc_med, cot_prc_mediana) VALUES ("&amp;A613&amp;", "&amp;B613&amp;", "&amp;C613&amp;", "&amp;D613&amp;", "&amp;E613&amp;", "&amp;F613&amp;", "&amp;G613&amp;", "&amp;H613&amp;");"</f>
        <v>INSERT INTO COTACAO (cot_id, cot_blt_id, cot_pap_id, cot_prc_comum, cot_prc_min, cot_prc_max, cot_prc_med, cot_prc_mediana) VALUES (612, 52, 20, NULL, 85, 90, 87.5, 87.5);</v>
      </c>
      <c r="J613" s="0" t="str">
        <f aca="false">"UPDATE COTACAO SET cot_id = "&amp;A613&amp;", cot_blt_id = "&amp;B613&amp;", cot_pap_id = "&amp;C613&amp;", cot_prc_comum = "&amp;D613&amp;", cot_prc_min = "&amp;E613&amp;", cot_prc_max = "&amp;F613&amp;", cot_prc_med = "&amp;G613&amp;", cot_prc_mediana = "&amp;H613&amp;" WHERE cot_id = "&amp;A613&amp;";"</f>
        <v>UPDATE COTACAO SET cot_id = 612, cot_blt_id = 52, cot_pap_id = 20, cot_prc_comum = NULL, cot_prc_min = 85, cot_prc_max = 90, cot_prc_med = 87.5, cot_prc_mediana = 87.5 WHERE cot_id = 612;</v>
      </c>
    </row>
    <row r="614" customFormat="false" ht="14.25" hidden="false" customHeight="false" outlineLevel="0" collapsed="false">
      <c r="A614" s="0" t="n">
        <v>613</v>
      </c>
      <c r="B614" s="0" t="n">
        <f aca="false">IF('Boletins Nuppa Site'!A614&lt;&gt;0,'Boletins Nuppa Site'!A614,"NULL")</f>
        <v>52</v>
      </c>
      <c r="C614" s="0" t="n">
        <v>21</v>
      </c>
      <c r="D614" s="30" t="n">
        <f aca="false">IF('Boletins Nuppa Site'!G614&lt;&gt;0,'Boletins Nuppa Site'!G614,"NULL")</f>
        <v>50</v>
      </c>
      <c r="E614" s="30" t="n">
        <f aca="false">IF('Boletins Nuppa Site'!H614&lt;&gt;0,'Boletins Nuppa Site'!H614,"NULL")</f>
        <v>50</v>
      </c>
      <c r="F614" s="30" t="n">
        <f aca="false">IF('Boletins Nuppa Site'!I614&lt;&gt;0,'Boletins Nuppa Site'!I614,"NULL")</f>
        <v>80</v>
      </c>
      <c r="G614" s="30" t="n">
        <f aca="false">IF('Boletins Nuppa Site'!J614&lt;&gt;0,'Boletins Nuppa Site'!J614,"NULL")</f>
        <v>60</v>
      </c>
      <c r="H614" s="30" t="n">
        <f aca="false">IF('Boletins Nuppa Site'!K614&lt;&gt;0,'Boletins Nuppa Site'!K614,"NULL")</f>
        <v>55</v>
      </c>
      <c r="I614" s="0" t="str">
        <f aca="false">"INSERT INTO COTACAO (cot_id, cot_blt_id, cot_pap_id, cot_prc_comum, cot_prc_min, cot_prc_max, cot_prc_med, cot_prc_mediana) VALUES ("&amp;A614&amp;", "&amp;B614&amp;", "&amp;C614&amp;", "&amp;D614&amp;", "&amp;E614&amp;", "&amp;F614&amp;", "&amp;G614&amp;", "&amp;H614&amp;");"</f>
        <v>INSERT INTO COTACAO (cot_id, cot_blt_id, cot_pap_id, cot_prc_comum, cot_prc_min, cot_prc_max, cot_prc_med, cot_prc_mediana) VALUES (613, 52, 21, 50, 50, 80, 60, 55);</v>
      </c>
      <c r="J614" s="0" t="str">
        <f aca="false">"UPDATE COTACAO SET cot_id = "&amp;A614&amp;", cot_blt_id = "&amp;B614&amp;", cot_pap_id = "&amp;C614&amp;", cot_prc_comum = "&amp;D614&amp;", cot_prc_min = "&amp;E614&amp;", cot_prc_max = "&amp;F614&amp;", cot_prc_med = "&amp;G614&amp;", cot_prc_mediana = "&amp;H614&amp;" WHERE cot_id = "&amp;A614&amp;";"</f>
        <v>UPDATE COTACAO SET cot_id = 613, cot_blt_id = 52, cot_pap_id = 21, cot_prc_comum = 50, cot_prc_min = 50, cot_prc_max = 80, cot_prc_med = 60, cot_prc_mediana = 55 WHERE cot_id = 613;</v>
      </c>
    </row>
    <row r="615" customFormat="false" ht="14.25" hidden="false" customHeight="false" outlineLevel="0" collapsed="false">
      <c r="A615" s="0" t="n">
        <v>614</v>
      </c>
      <c r="B615" s="0" t="n">
        <f aca="false">IF('Boletins Nuppa Site'!A615&lt;&gt;0,'Boletins Nuppa Site'!A615,"NULL")</f>
        <v>52</v>
      </c>
      <c r="C615" s="0" t="n">
        <v>22</v>
      </c>
      <c r="D615" s="30" t="n">
        <f aca="false">IF('Boletins Nuppa Site'!G615&lt;&gt;0,'Boletins Nuppa Site'!G615,"NULL")</f>
        <v>70</v>
      </c>
      <c r="E615" s="30" t="n">
        <f aca="false">IF('Boletins Nuppa Site'!H615&lt;&gt;0,'Boletins Nuppa Site'!H615,"NULL")</f>
        <v>45</v>
      </c>
      <c r="F615" s="30" t="n">
        <f aca="false">IF('Boletins Nuppa Site'!I615&lt;&gt;0,'Boletins Nuppa Site'!I615,"NULL")</f>
        <v>70</v>
      </c>
      <c r="G615" s="0" t="str">
        <f aca="false">IF('Boletins Nuppa Site'!J615&lt;&gt;0,'Boletins Nuppa Site'!J615,"NULL")</f>
        <v>58.75</v>
      </c>
      <c r="H615" s="30" t="n">
        <f aca="false">IF('Boletins Nuppa Site'!K615&lt;&gt;0,'Boletins Nuppa Site'!K615,"NULL")</f>
        <v>60</v>
      </c>
      <c r="I615" s="0" t="str">
        <f aca="false">"INSERT INTO COTACAO (cot_id, cot_blt_id, cot_pap_id, cot_prc_comum, cot_prc_min, cot_prc_max, cot_prc_med, cot_prc_mediana) VALUES ("&amp;A615&amp;", "&amp;B615&amp;", "&amp;C615&amp;", "&amp;D615&amp;", "&amp;E615&amp;", "&amp;F615&amp;", "&amp;G615&amp;", "&amp;H615&amp;");"</f>
        <v>INSERT INTO COTACAO (cot_id, cot_blt_id, cot_pap_id, cot_prc_comum, cot_prc_min, cot_prc_max, cot_prc_med, cot_prc_mediana) VALUES (614, 52, 22, 70, 45, 70, 58.75, 60);</v>
      </c>
      <c r="J615" s="0" t="str">
        <f aca="false">"UPDATE COTACAO SET cot_id = "&amp;A615&amp;", cot_blt_id = "&amp;B615&amp;", cot_pap_id = "&amp;C615&amp;", cot_prc_comum = "&amp;D615&amp;", cot_prc_min = "&amp;E615&amp;", cot_prc_max = "&amp;F615&amp;", cot_prc_med = "&amp;G615&amp;", cot_prc_mediana = "&amp;H615&amp;" WHERE cot_id = "&amp;A615&amp;";"</f>
        <v>UPDATE COTACAO SET cot_id = 614, cot_blt_id = 52, cot_pap_id = 22, cot_prc_comum = 70, cot_prc_min = 45, cot_prc_max = 70, cot_prc_med = 58.75, cot_prc_mediana = 60 WHERE cot_id = 614;</v>
      </c>
    </row>
    <row r="616" customFormat="false" ht="14.25" hidden="false" customHeight="false" outlineLevel="0" collapsed="false">
      <c r="A616" s="0" t="n">
        <v>615</v>
      </c>
      <c r="B616" s="0" t="n">
        <f aca="false">IF('Boletins Nuppa Site'!A616&lt;&gt;0,'Boletins Nuppa Site'!A616,"NULL")</f>
        <v>52</v>
      </c>
      <c r="C616" s="0" t="n">
        <v>23</v>
      </c>
      <c r="D616" s="0" t="str">
        <f aca="false">IF('Boletins Nuppa Site'!G616&lt;&gt;0,'Boletins Nuppa Site'!G616,"NULL")</f>
        <v>NULL</v>
      </c>
      <c r="E616" s="30" t="n">
        <f aca="false">IF('Boletins Nuppa Site'!H616&lt;&gt;0,'Boletins Nuppa Site'!H616,"NULL")</f>
        <v>35</v>
      </c>
      <c r="F616" s="30" t="n">
        <f aca="false">IF('Boletins Nuppa Site'!I616&lt;&gt;0,'Boletins Nuppa Site'!I616,"NULL")</f>
        <v>60</v>
      </c>
      <c r="G616" s="0" t="str">
        <f aca="false">IF('Boletins Nuppa Site'!J616&lt;&gt;0,'Boletins Nuppa Site'!J616,"NULL")</f>
        <v>47.5</v>
      </c>
      <c r="H616" s="0" t="str">
        <f aca="false">IF('Boletins Nuppa Site'!K616&lt;&gt;0,'Boletins Nuppa Site'!K616,"NULL")</f>
        <v>47.5</v>
      </c>
      <c r="I616" s="0" t="str">
        <f aca="false">"INSERT INTO COTACAO (cot_id, cot_blt_id, cot_pap_id, cot_prc_comum, cot_prc_min, cot_prc_max, cot_prc_med, cot_prc_mediana) VALUES ("&amp;A616&amp;", "&amp;B616&amp;", "&amp;C616&amp;", "&amp;D616&amp;", "&amp;E616&amp;", "&amp;F616&amp;", "&amp;G616&amp;", "&amp;H616&amp;");"</f>
        <v>INSERT INTO COTACAO (cot_id, cot_blt_id, cot_pap_id, cot_prc_comum, cot_prc_min, cot_prc_max, cot_prc_med, cot_prc_mediana) VALUES (615, 52, 23, NULL, 35, 60, 47.5, 47.5);</v>
      </c>
      <c r="J616" s="0" t="str">
        <f aca="false">"UPDATE COTACAO SET cot_id = "&amp;A616&amp;", cot_blt_id = "&amp;B616&amp;", cot_pap_id = "&amp;C616&amp;", cot_prc_comum = "&amp;D616&amp;", cot_prc_min = "&amp;E616&amp;", cot_prc_max = "&amp;F616&amp;", cot_prc_med = "&amp;G616&amp;", cot_prc_mediana = "&amp;H616&amp;" WHERE cot_id = "&amp;A616&amp;";"</f>
        <v>UPDATE COTACAO SET cot_id = 615, cot_blt_id = 52, cot_pap_id = 23, cot_prc_comum = NULL, cot_prc_min = 35, cot_prc_max = 60, cot_prc_med = 47.5, cot_prc_mediana = 47.5 WHERE cot_id = 615;</v>
      </c>
    </row>
    <row r="617" customFormat="false" ht="14.25" hidden="false" customHeight="false" outlineLevel="0" collapsed="false">
      <c r="A617" s="0" t="n">
        <v>616</v>
      </c>
      <c r="B617" s="0" t="n">
        <f aca="false">IF('Boletins Nuppa Site'!A617&lt;&gt;0,'Boletins Nuppa Site'!A617,"NULL")</f>
        <v>52</v>
      </c>
      <c r="C617" s="0" t="n">
        <v>24</v>
      </c>
      <c r="D617" s="30" t="n">
        <f aca="false">IF('Boletins Nuppa Site'!G617&lt;&gt;0,'Boletins Nuppa Site'!G617,"NULL")</f>
        <v>110</v>
      </c>
      <c r="E617" s="30" t="n">
        <f aca="false">IF('Boletins Nuppa Site'!H617&lt;&gt;0,'Boletins Nuppa Site'!H617,"NULL")</f>
        <v>110</v>
      </c>
      <c r="F617" s="30" t="n">
        <f aca="false">IF('Boletins Nuppa Site'!I617&lt;&gt;0,'Boletins Nuppa Site'!I617,"NULL")</f>
        <v>110</v>
      </c>
      <c r="G617" s="30" t="n">
        <f aca="false">IF('Boletins Nuppa Site'!J617&lt;&gt;0,'Boletins Nuppa Site'!J617,"NULL")</f>
        <v>110</v>
      </c>
      <c r="H617" s="30" t="n">
        <f aca="false">IF('Boletins Nuppa Site'!K617&lt;&gt;0,'Boletins Nuppa Site'!K617,"NULL")</f>
        <v>110</v>
      </c>
      <c r="I617" s="0" t="str">
        <f aca="false">"INSERT INTO COTACAO (cot_id, cot_blt_id, cot_pap_id, cot_prc_comum, cot_prc_min, cot_prc_max, cot_prc_med, cot_prc_mediana) VALUES ("&amp;A617&amp;", "&amp;B617&amp;", "&amp;C617&amp;", "&amp;D617&amp;", "&amp;E617&amp;", "&amp;F617&amp;", "&amp;G617&amp;", "&amp;H617&amp;");"</f>
        <v>INSERT INTO COTACAO (cot_id, cot_blt_id, cot_pap_id, cot_prc_comum, cot_prc_min, cot_prc_max, cot_prc_med, cot_prc_mediana) VALUES (616, 52, 24, 110, 110, 110, 110, 110);</v>
      </c>
      <c r="J617" s="0" t="str">
        <f aca="false">"UPDATE COTACAO SET cot_id = "&amp;A617&amp;", cot_blt_id = "&amp;B617&amp;", cot_pap_id = "&amp;C617&amp;", cot_prc_comum = "&amp;D617&amp;", cot_prc_min = "&amp;E617&amp;", cot_prc_max = "&amp;F617&amp;", cot_prc_med = "&amp;G617&amp;", cot_prc_mediana = "&amp;H617&amp;" WHERE cot_id = "&amp;A617&amp;";"</f>
        <v>UPDATE COTACAO SET cot_id = 616, cot_blt_id = 52, cot_pap_id = 24, cot_prc_comum = 110, cot_prc_min = 110, cot_prc_max = 110, cot_prc_med = 110, cot_prc_mediana = 110 WHERE cot_id = 616;</v>
      </c>
    </row>
    <row r="618" customFormat="false" ht="14.25" hidden="false" customHeight="false" outlineLevel="0" collapsed="false">
      <c r="A618" s="0" t="n">
        <v>617</v>
      </c>
      <c r="B618" s="0" t="n">
        <f aca="false">IF('Boletins Nuppa Site'!A618&lt;&gt;0,'Boletins Nuppa Site'!A618,"NULL")</f>
        <v>52</v>
      </c>
      <c r="C618" s="0" t="n">
        <v>25</v>
      </c>
      <c r="D618" s="0" t="str">
        <f aca="false">IF('Boletins Nuppa Site'!G618&lt;&gt;0,'Boletins Nuppa Site'!G618,"NULL")</f>
        <v>NULL</v>
      </c>
      <c r="E618" s="30" t="n">
        <f aca="false">IF('Boletins Nuppa Site'!H618&lt;&gt;0,'Boletins Nuppa Site'!H618,"NULL")</f>
        <v>90</v>
      </c>
      <c r="F618" s="30" t="n">
        <f aca="false">IF('Boletins Nuppa Site'!I618&lt;&gt;0,'Boletins Nuppa Site'!I618,"NULL")</f>
        <v>160</v>
      </c>
      <c r="G618" s="0" t="str">
        <f aca="false">IF('Boletins Nuppa Site'!J618&lt;&gt;0,'Boletins Nuppa Site'!J618,"NULL")</f>
        <v>127.5</v>
      </c>
      <c r="H618" s="30" t="n">
        <f aca="false">IF('Boletins Nuppa Site'!K618&lt;&gt;0,'Boletins Nuppa Site'!K618,"NULL")</f>
        <v>130</v>
      </c>
      <c r="I618" s="0" t="str">
        <f aca="false">"INSERT INTO COTACAO (cot_id, cot_blt_id, cot_pap_id, cot_prc_comum, cot_prc_min, cot_prc_max, cot_prc_med, cot_prc_mediana) VALUES ("&amp;A618&amp;", "&amp;B618&amp;", "&amp;C618&amp;", "&amp;D618&amp;", "&amp;E618&amp;", "&amp;F618&amp;", "&amp;G618&amp;", "&amp;H618&amp;");"</f>
        <v>INSERT INTO COTACAO (cot_id, cot_blt_id, cot_pap_id, cot_prc_comum, cot_prc_min, cot_prc_max, cot_prc_med, cot_prc_mediana) VALUES (617, 52, 25, NULL, 90, 160, 127.5, 130);</v>
      </c>
      <c r="J618" s="0" t="str">
        <f aca="false">"UPDATE COTACAO SET cot_id = "&amp;A618&amp;", cot_blt_id = "&amp;B618&amp;", cot_pap_id = "&amp;C618&amp;", cot_prc_comum = "&amp;D618&amp;", cot_prc_min = "&amp;E618&amp;", cot_prc_max = "&amp;F618&amp;", cot_prc_med = "&amp;G618&amp;", cot_prc_mediana = "&amp;H618&amp;" WHERE cot_id = "&amp;A618&amp;";"</f>
        <v>UPDATE COTACAO SET cot_id = 617, cot_blt_id = 52, cot_pap_id = 25, cot_prc_comum = NULL, cot_prc_min = 90, cot_prc_max = 160, cot_prc_med = 127.5, cot_prc_mediana = 130 WHERE cot_id = 617;</v>
      </c>
    </row>
    <row r="619" customFormat="false" ht="14.25" hidden="false" customHeight="false" outlineLevel="0" collapsed="false">
      <c r="A619" s="0" t="n">
        <v>618</v>
      </c>
      <c r="B619" s="0" t="n">
        <f aca="false">IF('Boletins Nuppa Site'!A619&lt;&gt;0,'Boletins Nuppa Site'!A619,"NULL")</f>
        <v>52</v>
      </c>
      <c r="C619" s="0" t="n">
        <v>26</v>
      </c>
      <c r="D619" s="0" t="str">
        <f aca="false">IF('Boletins Nuppa Site'!G619&lt;&gt;0,'Boletins Nuppa Site'!G619,"NULL")</f>
        <v>NULL</v>
      </c>
      <c r="E619" s="30" t="n">
        <f aca="false">IF('Boletins Nuppa Site'!H619&lt;&gt;0,'Boletins Nuppa Site'!H619,"NULL")</f>
        <v>100</v>
      </c>
      <c r="F619" s="30" t="n">
        <f aca="false">IF('Boletins Nuppa Site'!I619&lt;&gt;0,'Boletins Nuppa Site'!I619,"NULL")</f>
        <v>170</v>
      </c>
      <c r="G619" s="0" t="str">
        <f aca="false">IF('Boletins Nuppa Site'!J619&lt;&gt;0,'Boletins Nuppa Site'!J619,"NULL")</f>
        <v>137.5</v>
      </c>
      <c r="H619" s="30" t="n">
        <f aca="false">IF('Boletins Nuppa Site'!K619&lt;&gt;0,'Boletins Nuppa Site'!K619,"NULL")</f>
        <v>140</v>
      </c>
      <c r="I619" s="0" t="str">
        <f aca="false">"INSERT INTO COTACAO (cot_id, cot_blt_id, cot_pap_id, cot_prc_comum, cot_prc_min, cot_prc_max, cot_prc_med, cot_prc_mediana) VALUES ("&amp;A619&amp;", "&amp;B619&amp;", "&amp;C619&amp;", "&amp;D619&amp;", "&amp;E619&amp;", "&amp;F619&amp;", "&amp;G619&amp;", "&amp;H619&amp;");"</f>
        <v>INSERT INTO COTACAO (cot_id, cot_blt_id, cot_pap_id, cot_prc_comum, cot_prc_min, cot_prc_max, cot_prc_med, cot_prc_mediana) VALUES (618, 52, 26, NULL, 100, 170, 137.5, 140);</v>
      </c>
      <c r="J619" s="0" t="str">
        <f aca="false">"UPDATE COTACAO SET cot_id = "&amp;A619&amp;", cot_blt_id = "&amp;B619&amp;", cot_pap_id = "&amp;C619&amp;", cot_prc_comum = "&amp;D619&amp;", cot_prc_min = "&amp;E619&amp;", cot_prc_max = "&amp;F619&amp;", cot_prc_med = "&amp;G619&amp;", cot_prc_mediana = "&amp;H619&amp;" WHERE cot_id = "&amp;A619&amp;";"</f>
        <v>UPDATE COTACAO SET cot_id = 618, cot_blt_id = 52, cot_pap_id = 26, cot_prc_comum = NULL, cot_prc_min = 100, cot_prc_max = 170, cot_prc_med = 137.5, cot_prc_mediana = 140 WHERE cot_id = 618;</v>
      </c>
    </row>
    <row r="620" customFormat="false" ht="14.25" hidden="false" customHeight="false" outlineLevel="0" collapsed="false">
      <c r="A620" s="0" t="n">
        <v>619</v>
      </c>
      <c r="B620" s="0" t="n">
        <f aca="false">IF('Boletins Nuppa Site'!A620&lt;&gt;0,'Boletins Nuppa Site'!A620,"NULL")</f>
        <v>52</v>
      </c>
      <c r="C620" s="0" t="n">
        <v>27</v>
      </c>
      <c r="D620" s="30" t="n">
        <f aca="false">IF('Boletins Nuppa Site'!G620&lt;&gt;0,'Boletins Nuppa Site'!G620,"NULL")</f>
        <v>60</v>
      </c>
      <c r="E620" s="30" t="n">
        <f aca="false">IF('Boletins Nuppa Site'!H620&lt;&gt;0,'Boletins Nuppa Site'!H620,"NULL")</f>
        <v>50</v>
      </c>
      <c r="F620" s="30" t="n">
        <f aca="false">IF('Boletins Nuppa Site'!I620&lt;&gt;0,'Boletins Nuppa Site'!I620,"NULL")</f>
        <v>60</v>
      </c>
      <c r="G620" s="0" t="str">
        <f aca="false">IF('Boletins Nuppa Site'!J620&lt;&gt;0,'Boletins Nuppa Site'!J620,"NULL")</f>
        <v>57.5</v>
      </c>
      <c r="H620" s="30" t="n">
        <f aca="false">IF('Boletins Nuppa Site'!K620&lt;&gt;0,'Boletins Nuppa Site'!K620,"NULL")</f>
        <v>60</v>
      </c>
      <c r="I620" s="0" t="str">
        <f aca="false">"INSERT INTO COTACAO (cot_id, cot_blt_id, cot_pap_id, cot_prc_comum, cot_prc_min, cot_prc_max, cot_prc_med, cot_prc_mediana) VALUES ("&amp;A620&amp;", "&amp;B620&amp;", "&amp;C620&amp;", "&amp;D620&amp;", "&amp;E620&amp;", "&amp;F620&amp;", "&amp;G620&amp;", "&amp;H620&amp;");"</f>
        <v>INSERT INTO COTACAO (cot_id, cot_blt_id, cot_pap_id, cot_prc_comum, cot_prc_min, cot_prc_max, cot_prc_med, cot_prc_mediana) VALUES (619, 52, 27, 60, 50, 60, 57.5, 60);</v>
      </c>
      <c r="J620" s="0" t="str">
        <f aca="false">"UPDATE COTACAO SET cot_id = "&amp;A620&amp;", cot_blt_id = "&amp;B620&amp;", cot_pap_id = "&amp;C620&amp;", cot_prc_comum = "&amp;D620&amp;", cot_prc_min = "&amp;E620&amp;", cot_prc_max = "&amp;F620&amp;", cot_prc_med = "&amp;G620&amp;", cot_prc_mediana = "&amp;H620&amp;" WHERE cot_id = "&amp;A620&amp;";"</f>
        <v>UPDATE COTACAO SET cot_id = 619, cot_blt_id = 52, cot_pap_id = 27, cot_prc_comum = 60, cot_prc_min = 50, cot_prc_max = 60, cot_prc_med = 57.5, cot_prc_mediana = 60 WHERE cot_id = 619;</v>
      </c>
    </row>
    <row r="621" customFormat="false" ht="14.25" hidden="false" customHeight="false" outlineLevel="0" collapsed="false">
      <c r="A621" s="0" t="n">
        <v>620</v>
      </c>
      <c r="B621" s="0" t="n">
        <f aca="false">IF('Boletins Nuppa Site'!A621&lt;&gt;0,'Boletins Nuppa Site'!A621,"NULL")</f>
        <v>52</v>
      </c>
      <c r="C621" s="0" t="n">
        <v>28</v>
      </c>
      <c r="D621" s="0" t="str">
        <f aca="false">IF('Boletins Nuppa Site'!G621&lt;&gt;0,'Boletins Nuppa Site'!G621,"NULL")</f>
        <v>NULL</v>
      </c>
      <c r="E621" s="30" t="n">
        <f aca="false">IF('Boletins Nuppa Site'!H621&lt;&gt;0,'Boletins Nuppa Site'!H621,"NULL")</f>
        <v>60</v>
      </c>
      <c r="F621" s="30" t="n">
        <f aca="false">IF('Boletins Nuppa Site'!I621&lt;&gt;0,'Boletins Nuppa Site'!I621,"NULL")</f>
        <v>110</v>
      </c>
      <c r="G621" s="30" t="n">
        <f aca="false">IF('Boletins Nuppa Site'!J621&lt;&gt;0,'Boletins Nuppa Site'!J621,"NULL")</f>
        <v>90</v>
      </c>
      <c r="H621" s="30" t="n">
        <f aca="false">IF('Boletins Nuppa Site'!K621&lt;&gt;0,'Boletins Nuppa Site'!K621,"NULL")</f>
        <v>95</v>
      </c>
      <c r="I621" s="0" t="str">
        <f aca="false">"INSERT INTO COTACAO (cot_id, cot_blt_id, cot_pap_id, cot_prc_comum, cot_prc_min, cot_prc_max, cot_prc_med, cot_prc_mediana) VALUES ("&amp;A621&amp;", "&amp;B621&amp;", "&amp;C621&amp;", "&amp;D621&amp;", "&amp;E621&amp;", "&amp;F621&amp;", "&amp;G621&amp;", "&amp;H621&amp;");"</f>
        <v>INSERT INTO COTACAO (cot_id, cot_blt_id, cot_pap_id, cot_prc_comum, cot_prc_min, cot_prc_max, cot_prc_med, cot_prc_mediana) VALUES (620, 52, 28, NULL, 60, 110, 90, 95);</v>
      </c>
      <c r="J621" s="0" t="str">
        <f aca="false">"UPDATE COTACAO SET cot_id = "&amp;A621&amp;", cot_blt_id = "&amp;B621&amp;", cot_pap_id = "&amp;C621&amp;", cot_prc_comum = "&amp;D621&amp;", cot_prc_min = "&amp;E621&amp;", cot_prc_max = "&amp;F621&amp;", cot_prc_med = "&amp;G621&amp;", cot_prc_mediana = "&amp;H621&amp;" WHERE cot_id = "&amp;A621&amp;";"</f>
        <v>UPDATE COTACAO SET cot_id = 620, cot_blt_id = 52, cot_pap_id = 28, cot_prc_comum = NULL, cot_prc_min = 60, cot_prc_max = 110, cot_prc_med = 90, cot_prc_mediana = 95 WHERE cot_id = 620;</v>
      </c>
    </row>
    <row r="622" customFormat="false" ht="14.25" hidden="false" customHeight="false" outlineLevel="0" collapsed="false">
      <c r="A622" s="0" t="n">
        <v>621</v>
      </c>
      <c r="B622" s="0" t="n">
        <f aca="false">IF('Boletins Nuppa Site'!A622&lt;&gt;0,'Boletins Nuppa Site'!A622,"NULL")</f>
        <v>52</v>
      </c>
      <c r="C622" s="0" t="n">
        <v>29</v>
      </c>
      <c r="D622" s="0" t="str">
        <f aca="false">IF('Boletins Nuppa Site'!G622&lt;&gt;0,'Boletins Nuppa Site'!G622,"NULL")</f>
        <v>NULL</v>
      </c>
      <c r="E622" s="30" t="n">
        <f aca="false">IF('Boletins Nuppa Site'!H622&lt;&gt;0,'Boletins Nuppa Site'!H622,"NULL")</f>
        <v>80</v>
      </c>
      <c r="F622" s="30" t="n">
        <f aca="false">IF('Boletins Nuppa Site'!I622&lt;&gt;0,'Boletins Nuppa Site'!I622,"NULL")</f>
        <v>80</v>
      </c>
      <c r="G622" s="30" t="n">
        <f aca="false">IF('Boletins Nuppa Site'!J622&lt;&gt;0,'Boletins Nuppa Site'!J622,"NULL")</f>
        <v>80</v>
      </c>
      <c r="H622" s="30" t="n">
        <f aca="false">IF('Boletins Nuppa Site'!K622&lt;&gt;0,'Boletins Nuppa Site'!K622,"NULL")</f>
        <v>80</v>
      </c>
      <c r="I622" s="0" t="str">
        <f aca="false">"INSERT INTO COTACAO (cot_id, cot_blt_id, cot_pap_id, cot_prc_comum, cot_prc_min, cot_prc_max, cot_prc_med, cot_prc_mediana) VALUES ("&amp;A622&amp;", "&amp;B622&amp;", "&amp;C622&amp;", "&amp;D622&amp;", "&amp;E622&amp;", "&amp;F622&amp;", "&amp;G622&amp;", "&amp;H622&amp;");"</f>
        <v>INSERT INTO COTACAO (cot_id, cot_blt_id, cot_pap_id, cot_prc_comum, cot_prc_min, cot_prc_max, cot_prc_med, cot_prc_mediana) VALUES (621, 52, 29, NULL, 80, 80, 80, 80);</v>
      </c>
      <c r="J622" s="0" t="str">
        <f aca="false">"UPDATE COTACAO SET cot_id = "&amp;A622&amp;", cot_blt_id = "&amp;B622&amp;", cot_pap_id = "&amp;C622&amp;", cot_prc_comum = "&amp;D622&amp;", cot_prc_min = "&amp;E622&amp;", cot_prc_max = "&amp;F622&amp;", cot_prc_med = "&amp;G622&amp;", cot_prc_mediana = "&amp;H622&amp;" WHERE cot_id = "&amp;A622&amp;";"</f>
        <v>UPDATE COTACAO SET cot_id = 621, cot_blt_id = 52, cot_pap_id = 29, cot_prc_comum = NULL, cot_prc_min = 80, cot_prc_max = 80, cot_prc_med = 80, cot_prc_mediana = 80 WHERE cot_id = 621;</v>
      </c>
    </row>
    <row r="623" customFormat="false" ht="14.25" hidden="false" customHeight="false" outlineLevel="0" collapsed="false">
      <c r="A623" s="0" t="n">
        <v>622</v>
      </c>
      <c r="B623" s="0" t="n">
        <f aca="false">IF('Boletins Nuppa Site'!A623&lt;&gt;0,'Boletins Nuppa Site'!A623,"NULL")</f>
        <v>52</v>
      </c>
      <c r="C623" s="0" t="n">
        <v>30</v>
      </c>
      <c r="D623" s="30" t="n">
        <f aca="false">IF('Boletins Nuppa Site'!G623&lt;&gt;0,'Boletins Nuppa Site'!G623,"NULL")</f>
        <v>60</v>
      </c>
      <c r="E623" s="30" t="n">
        <f aca="false">IF('Boletins Nuppa Site'!H623&lt;&gt;0,'Boletins Nuppa Site'!H623,"NULL")</f>
        <v>60</v>
      </c>
      <c r="F623" s="30" t="n">
        <f aca="false">IF('Boletins Nuppa Site'!I623&lt;&gt;0,'Boletins Nuppa Site'!I623,"NULL")</f>
        <v>60</v>
      </c>
      <c r="G623" s="30" t="n">
        <f aca="false">IF('Boletins Nuppa Site'!J623&lt;&gt;0,'Boletins Nuppa Site'!J623,"NULL")</f>
        <v>60</v>
      </c>
      <c r="H623" s="30" t="n">
        <f aca="false">IF('Boletins Nuppa Site'!K623&lt;&gt;0,'Boletins Nuppa Site'!K623,"NULL")</f>
        <v>60</v>
      </c>
      <c r="I623" s="0" t="str">
        <f aca="false">"INSERT INTO COTACAO (cot_id, cot_blt_id, cot_pap_id, cot_prc_comum, cot_prc_min, cot_prc_max, cot_prc_med, cot_prc_mediana) VALUES ("&amp;A623&amp;", "&amp;B623&amp;", "&amp;C623&amp;", "&amp;D623&amp;", "&amp;E623&amp;", "&amp;F623&amp;", "&amp;G623&amp;", "&amp;H623&amp;");"</f>
        <v>INSERT INTO COTACAO (cot_id, cot_blt_id, cot_pap_id, cot_prc_comum, cot_prc_min, cot_prc_max, cot_prc_med, cot_prc_mediana) VALUES (622, 52, 30, 60, 60, 60, 60, 60);</v>
      </c>
      <c r="J623" s="0" t="str">
        <f aca="false">"UPDATE COTACAO SET cot_id = "&amp;A623&amp;", cot_blt_id = "&amp;B623&amp;", cot_pap_id = "&amp;C623&amp;", cot_prc_comum = "&amp;D623&amp;", cot_prc_min = "&amp;E623&amp;", cot_prc_max = "&amp;F623&amp;", cot_prc_med = "&amp;G623&amp;", cot_prc_mediana = "&amp;H623&amp;" WHERE cot_id = "&amp;A623&amp;";"</f>
        <v>UPDATE COTACAO SET cot_id = 622, cot_blt_id = 52, cot_pap_id = 30, cot_prc_comum = 60, cot_prc_min = 60, cot_prc_max = 60, cot_prc_med = 60, cot_prc_mediana = 60 WHERE cot_id = 622;</v>
      </c>
    </row>
    <row r="624" customFormat="false" ht="14.25" hidden="false" customHeight="false" outlineLevel="0" collapsed="false">
      <c r="A624" s="0" t="n">
        <v>623</v>
      </c>
      <c r="B624" s="0" t="n">
        <f aca="false">IF('Boletins Nuppa Site'!A624&lt;&gt;0,'Boletins Nuppa Site'!A624,"NULL")</f>
        <v>52</v>
      </c>
      <c r="C624" s="0" t="n">
        <v>31</v>
      </c>
      <c r="D624" s="30" t="n">
        <f aca="false">IF('Boletins Nuppa Site'!G624&lt;&gt;0,'Boletins Nuppa Site'!G624,"NULL")</f>
        <v>90</v>
      </c>
      <c r="E624" s="30" t="n">
        <f aca="false">IF('Boletins Nuppa Site'!H624&lt;&gt;0,'Boletins Nuppa Site'!H624,"NULL")</f>
        <v>80</v>
      </c>
      <c r="F624" s="30" t="n">
        <f aca="false">IF('Boletins Nuppa Site'!I624&lt;&gt;0,'Boletins Nuppa Site'!I624,"NULL")</f>
        <v>90</v>
      </c>
      <c r="G624" s="0" t="str">
        <f aca="false">IF('Boletins Nuppa Site'!J624&lt;&gt;0,'Boletins Nuppa Site'!J624,"NULL")</f>
        <v>87.5</v>
      </c>
      <c r="H624" s="30" t="n">
        <f aca="false">IF('Boletins Nuppa Site'!K624&lt;&gt;0,'Boletins Nuppa Site'!K624,"NULL")</f>
        <v>90</v>
      </c>
      <c r="I624" s="0" t="str">
        <f aca="false">"INSERT INTO COTACAO (cot_id, cot_blt_id, cot_pap_id, cot_prc_comum, cot_prc_min, cot_prc_max, cot_prc_med, cot_prc_mediana) VALUES ("&amp;A624&amp;", "&amp;B624&amp;", "&amp;C624&amp;", "&amp;D624&amp;", "&amp;E624&amp;", "&amp;F624&amp;", "&amp;G624&amp;", "&amp;H624&amp;");"</f>
        <v>INSERT INTO COTACAO (cot_id, cot_blt_id, cot_pap_id, cot_prc_comum, cot_prc_min, cot_prc_max, cot_prc_med, cot_prc_mediana) VALUES (623, 52, 31, 90, 80, 90, 87.5, 90);</v>
      </c>
      <c r="J624" s="0" t="str">
        <f aca="false">"UPDATE COTACAO SET cot_id = "&amp;A624&amp;", cot_blt_id = "&amp;B624&amp;", cot_pap_id = "&amp;C624&amp;", cot_prc_comum = "&amp;D624&amp;", cot_prc_min = "&amp;E624&amp;", cot_prc_max = "&amp;F624&amp;", cot_prc_med = "&amp;G624&amp;", cot_prc_mediana = "&amp;H624&amp;" WHERE cot_id = "&amp;A624&amp;";"</f>
        <v>UPDATE COTACAO SET cot_id = 623, cot_blt_id = 52, cot_pap_id = 31, cot_prc_comum = 90, cot_prc_min = 80, cot_prc_max = 90, cot_prc_med = 87.5, cot_prc_mediana = 90 WHERE cot_id = 623;</v>
      </c>
    </row>
    <row r="625" customFormat="false" ht="14.25" hidden="false" customHeight="false" outlineLevel="0" collapsed="false">
      <c r="A625" s="0" t="n">
        <v>624</v>
      </c>
      <c r="B625" s="0" t="n">
        <f aca="false">IF('Boletins Nuppa Site'!A625&lt;&gt;0,'Boletins Nuppa Site'!A625,"NULL")</f>
        <v>52</v>
      </c>
      <c r="C625" s="0" t="n">
        <v>32</v>
      </c>
      <c r="D625" s="30" t="n">
        <f aca="false">IF('Boletins Nuppa Site'!G625&lt;&gt;0,'Boletins Nuppa Site'!G625,"NULL")</f>
        <v>60</v>
      </c>
      <c r="E625" s="30" t="n">
        <f aca="false">IF('Boletins Nuppa Site'!H625&lt;&gt;0,'Boletins Nuppa Site'!H625,"NULL")</f>
        <v>50</v>
      </c>
      <c r="F625" s="30" t="n">
        <f aca="false">IF('Boletins Nuppa Site'!I625&lt;&gt;0,'Boletins Nuppa Site'!I625,"NULL")</f>
        <v>60</v>
      </c>
      <c r="G625" s="30" t="n">
        <f aca="false">IF('Boletins Nuppa Site'!J625&lt;&gt;0,'Boletins Nuppa Site'!J625,"NULL")</f>
        <v>55</v>
      </c>
      <c r="H625" s="30" t="n">
        <f aca="false">IF('Boletins Nuppa Site'!K625&lt;&gt;0,'Boletins Nuppa Site'!K625,"NULL")</f>
        <v>55</v>
      </c>
      <c r="I625" s="0" t="str">
        <f aca="false">"INSERT INTO COTACAO (cot_id, cot_blt_id, cot_pap_id, cot_prc_comum, cot_prc_min, cot_prc_max, cot_prc_med, cot_prc_mediana) VALUES ("&amp;A625&amp;", "&amp;B625&amp;", "&amp;C625&amp;", "&amp;D625&amp;", "&amp;E625&amp;", "&amp;F625&amp;", "&amp;G625&amp;", "&amp;H625&amp;");"</f>
        <v>INSERT INTO COTACAO (cot_id, cot_blt_id, cot_pap_id, cot_prc_comum, cot_prc_min, cot_prc_max, cot_prc_med, cot_prc_mediana) VALUES (624, 52, 32, 60, 50, 60, 55, 55);</v>
      </c>
      <c r="J625" s="0" t="str">
        <f aca="false">"UPDATE COTACAO SET cot_id = "&amp;A625&amp;", cot_blt_id = "&amp;B625&amp;", cot_pap_id = "&amp;C625&amp;", cot_prc_comum = "&amp;D625&amp;", cot_prc_min = "&amp;E625&amp;", cot_prc_max = "&amp;F625&amp;", cot_prc_med = "&amp;G625&amp;", cot_prc_mediana = "&amp;H625&amp;" WHERE cot_id = "&amp;A625&amp;";"</f>
        <v>UPDATE COTACAO SET cot_id = 624, cot_blt_id = 52, cot_pap_id = 32, cot_prc_comum = 60, cot_prc_min = 50, cot_prc_max = 60, cot_prc_med = 55, cot_prc_mediana = 55 WHERE cot_id = 624;</v>
      </c>
    </row>
    <row r="626" customFormat="false" ht="14.25" hidden="false" customHeight="false" outlineLevel="0" collapsed="false">
      <c r="A626" s="0" t="n">
        <v>625</v>
      </c>
      <c r="B626" s="0" t="n">
        <f aca="false">IF('Boletins Nuppa Site'!A626&lt;&gt;0,'Boletins Nuppa Site'!A626,"NULL")</f>
        <v>52</v>
      </c>
      <c r="C626" s="0" t="n">
        <v>33</v>
      </c>
      <c r="D626" s="30" t="n">
        <f aca="false">IF('Boletins Nuppa Site'!G626&lt;&gt;0,'Boletins Nuppa Site'!G626,"NULL")</f>
        <v>110</v>
      </c>
      <c r="E626" s="30" t="n">
        <f aca="false">IF('Boletins Nuppa Site'!H626&lt;&gt;0,'Boletins Nuppa Site'!H626,"NULL")</f>
        <v>90</v>
      </c>
      <c r="F626" s="30" t="n">
        <f aca="false">IF('Boletins Nuppa Site'!I626&lt;&gt;0,'Boletins Nuppa Site'!I626,"NULL")</f>
        <v>120</v>
      </c>
      <c r="G626" s="0" t="str">
        <f aca="false">IF('Boletins Nuppa Site'!J626&lt;&gt;0,'Boletins Nuppa Site'!J626,"NULL")</f>
        <v>107.5</v>
      </c>
      <c r="H626" s="30" t="n">
        <f aca="false">IF('Boletins Nuppa Site'!K626&lt;&gt;0,'Boletins Nuppa Site'!K626,"NULL")</f>
        <v>110</v>
      </c>
      <c r="I626" s="0" t="str">
        <f aca="false">"INSERT INTO COTACAO (cot_id, cot_blt_id, cot_pap_id, cot_prc_comum, cot_prc_min, cot_prc_max, cot_prc_med, cot_prc_mediana) VALUES ("&amp;A626&amp;", "&amp;B626&amp;", "&amp;C626&amp;", "&amp;D626&amp;", "&amp;E626&amp;", "&amp;F626&amp;", "&amp;G626&amp;", "&amp;H626&amp;");"</f>
        <v>INSERT INTO COTACAO (cot_id, cot_blt_id, cot_pap_id, cot_prc_comum, cot_prc_min, cot_prc_max, cot_prc_med, cot_prc_mediana) VALUES (625, 52, 33, 110, 90, 120, 107.5, 110);</v>
      </c>
      <c r="J626" s="0" t="str">
        <f aca="false">"UPDATE COTACAO SET cot_id = "&amp;A626&amp;", cot_blt_id = "&amp;B626&amp;", cot_pap_id = "&amp;C626&amp;", cot_prc_comum = "&amp;D626&amp;", cot_prc_min = "&amp;E626&amp;", cot_prc_max = "&amp;F626&amp;", cot_prc_med = "&amp;G626&amp;", cot_prc_mediana = "&amp;H626&amp;" WHERE cot_id = "&amp;A626&amp;";"</f>
        <v>UPDATE COTACAO SET cot_id = 625, cot_blt_id = 52, cot_pap_id = 33, cot_prc_comum = 110, cot_prc_min = 90, cot_prc_max = 120, cot_prc_med = 107.5, cot_prc_mediana = 110 WHERE cot_id = 625;</v>
      </c>
    </row>
    <row r="627" customFormat="false" ht="14.25" hidden="false" customHeight="false" outlineLevel="0" collapsed="false">
      <c r="A627" s="0" t="n">
        <v>626</v>
      </c>
      <c r="B627" s="0" t="n">
        <f aca="false">IF('Boletins Nuppa Site'!A627&lt;&gt;0,'Boletins Nuppa Site'!A627,"NULL")</f>
        <v>52</v>
      </c>
      <c r="C627" s="0" t="n">
        <v>34</v>
      </c>
      <c r="D627" s="0" t="str">
        <f aca="false">IF('Boletins Nuppa Site'!G627&lt;&gt;0,'Boletins Nuppa Site'!G627,"NULL")</f>
        <v>NULL</v>
      </c>
      <c r="E627" s="30" t="n">
        <f aca="false">IF('Boletins Nuppa Site'!H627&lt;&gt;0,'Boletins Nuppa Site'!H627,"NULL")</f>
        <v>100</v>
      </c>
      <c r="F627" s="30" t="n">
        <f aca="false">IF('Boletins Nuppa Site'!I627&lt;&gt;0,'Boletins Nuppa Site'!I627,"NULL")</f>
        <v>150</v>
      </c>
      <c r="G627" s="30" t="n">
        <f aca="false">IF('Boletins Nuppa Site'!J627&lt;&gt;0,'Boletins Nuppa Site'!J627,"NULL")</f>
        <v>125</v>
      </c>
      <c r="H627" s="30" t="n">
        <f aca="false">IF('Boletins Nuppa Site'!K627&lt;&gt;0,'Boletins Nuppa Site'!K627,"NULL")</f>
        <v>125</v>
      </c>
      <c r="I627" s="0" t="str">
        <f aca="false">"INSERT INTO COTACAO (cot_id, cot_blt_id, cot_pap_id, cot_prc_comum, cot_prc_min, cot_prc_max, cot_prc_med, cot_prc_mediana) VALUES ("&amp;A627&amp;", "&amp;B627&amp;", "&amp;C627&amp;", "&amp;D627&amp;", "&amp;E627&amp;", "&amp;F627&amp;", "&amp;G627&amp;", "&amp;H627&amp;");"</f>
        <v>INSERT INTO COTACAO (cot_id, cot_blt_id, cot_pap_id, cot_prc_comum, cot_prc_min, cot_prc_max, cot_prc_med, cot_prc_mediana) VALUES (626, 52, 34, NULL, 100, 150, 125, 125);</v>
      </c>
      <c r="J627" s="0" t="str">
        <f aca="false">"UPDATE COTACAO SET cot_id = "&amp;A627&amp;", cot_blt_id = "&amp;B627&amp;", cot_pap_id = "&amp;C627&amp;", cot_prc_comum = "&amp;D627&amp;", cot_prc_min = "&amp;E627&amp;", cot_prc_max = "&amp;F627&amp;", cot_prc_med = "&amp;G627&amp;", cot_prc_mediana = "&amp;H627&amp;" WHERE cot_id = "&amp;A627&amp;";"</f>
        <v>UPDATE COTACAO SET cot_id = 626, cot_blt_id = 52, cot_pap_id = 34, cot_prc_comum = NULL, cot_prc_min = 100, cot_prc_max = 150, cot_prc_med = 125, cot_prc_mediana = 125 WHERE cot_id = 626;</v>
      </c>
    </row>
    <row r="628" customFormat="false" ht="14.25" hidden="false" customHeight="false" outlineLevel="0" collapsed="false">
      <c r="A628" s="0" t="n">
        <v>627</v>
      </c>
      <c r="B628" s="0" t="n">
        <f aca="false">IF('Boletins Nuppa Site'!A628&lt;&gt;0,'Boletins Nuppa Site'!A628,"NULL")</f>
        <v>52</v>
      </c>
      <c r="C628" s="0" t="n">
        <v>35</v>
      </c>
      <c r="D628" s="0" t="str">
        <f aca="false">IF('Boletins Nuppa Site'!G628&lt;&gt;0,'Boletins Nuppa Site'!G628,"NULL")</f>
        <v>NULL</v>
      </c>
      <c r="E628" s="30" t="n">
        <f aca="false">IF('Boletins Nuppa Site'!H628&lt;&gt;0,'Boletins Nuppa Site'!H628,"NULL")</f>
        <v>180</v>
      </c>
      <c r="F628" s="30" t="n">
        <f aca="false">IF('Boletins Nuppa Site'!I628&lt;&gt;0,'Boletins Nuppa Site'!I628,"NULL")</f>
        <v>200</v>
      </c>
      <c r="G628" s="30" t="n">
        <f aca="false">IF('Boletins Nuppa Site'!J628&lt;&gt;0,'Boletins Nuppa Site'!J628,"NULL")</f>
        <v>190</v>
      </c>
      <c r="H628" s="30" t="n">
        <f aca="false">IF('Boletins Nuppa Site'!K628&lt;&gt;0,'Boletins Nuppa Site'!K628,"NULL")</f>
        <v>190</v>
      </c>
      <c r="I628" s="0" t="str">
        <f aca="false">"INSERT INTO COTACAO (cot_id, cot_blt_id, cot_pap_id, cot_prc_comum, cot_prc_min, cot_prc_max, cot_prc_med, cot_prc_mediana) VALUES ("&amp;A628&amp;", "&amp;B628&amp;", "&amp;C628&amp;", "&amp;D628&amp;", "&amp;E628&amp;", "&amp;F628&amp;", "&amp;G628&amp;", "&amp;H628&amp;");"</f>
        <v>INSERT INTO COTACAO (cot_id, cot_blt_id, cot_pap_id, cot_prc_comum, cot_prc_min, cot_prc_max, cot_prc_med, cot_prc_mediana) VALUES (627, 52, 35, NULL, 180, 200, 190, 190);</v>
      </c>
      <c r="J628" s="0" t="str">
        <f aca="false">"UPDATE COTACAO SET cot_id = "&amp;A628&amp;", cot_blt_id = "&amp;B628&amp;", cot_pap_id = "&amp;C628&amp;", cot_prc_comum = "&amp;D628&amp;", cot_prc_min = "&amp;E628&amp;", cot_prc_max = "&amp;F628&amp;", cot_prc_med = "&amp;G628&amp;", cot_prc_mediana = "&amp;H628&amp;" WHERE cot_id = "&amp;A628&amp;";"</f>
        <v>UPDATE COTACAO SET cot_id = 627, cot_blt_id = 52, cot_pap_id = 35, cot_prc_comum = NULL, cot_prc_min = 180, cot_prc_max = 200, cot_prc_med = 190, cot_prc_mediana = 190 WHERE cot_id = 627;</v>
      </c>
    </row>
    <row r="629" customFormat="false" ht="14.25" hidden="false" customHeight="false" outlineLevel="0" collapsed="false">
      <c r="A629" s="0" t="n">
        <v>628</v>
      </c>
      <c r="B629" s="0" t="n">
        <f aca="false">IF('Boletins Nuppa Site'!A629&lt;&gt;0,'Boletins Nuppa Site'!A629,"NULL")</f>
        <v>52</v>
      </c>
      <c r="C629" s="0" t="n">
        <v>36</v>
      </c>
      <c r="D629" s="0" t="str">
        <f aca="false">IF('Boletins Nuppa Site'!G629&lt;&gt;0,'Boletins Nuppa Site'!G629,"NULL")</f>
        <v>NULL</v>
      </c>
      <c r="E629" s="30" t="n">
        <f aca="false">IF('Boletins Nuppa Site'!H629&lt;&gt;0,'Boletins Nuppa Site'!H629,"NULL")</f>
        <v>90</v>
      </c>
      <c r="F629" s="30" t="n">
        <f aca="false">IF('Boletins Nuppa Site'!I629&lt;&gt;0,'Boletins Nuppa Site'!I629,"NULL")</f>
        <v>90</v>
      </c>
      <c r="G629" s="30" t="n">
        <f aca="false">IF('Boletins Nuppa Site'!J629&lt;&gt;0,'Boletins Nuppa Site'!J629,"NULL")</f>
        <v>90</v>
      </c>
      <c r="H629" s="30" t="n">
        <f aca="false">IF('Boletins Nuppa Site'!K629&lt;&gt;0,'Boletins Nuppa Site'!K629,"NULL")</f>
        <v>90</v>
      </c>
      <c r="I629" s="0" t="str">
        <f aca="false">"INSERT INTO COTACAO (cot_id, cot_blt_id, cot_pap_id, cot_prc_comum, cot_prc_min, cot_prc_max, cot_prc_med, cot_prc_mediana) VALUES ("&amp;A629&amp;", "&amp;B629&amp;", "&amp;C629&amp;", "&amp;D629&amp;", "&amp;E629&amp;", "&amp;F629&amp;", "&amp;G629&amp;", "&amp;H629&amp;");"</f>
        <v>INSERT INTO COTACAO (cot_id, cot_blt_id, cot_pap_id, cot_prc_comum, cot_prc_min, cot_prc_max, cot_prc_med, cot_prc_mediana) VALUES (628, 52, 36, NULL, 90, 90, 90, 90);</v>
      </c>
      <c r="J629" s="0" t="str">
        <f aca="false">"UPDATE COTACAO SET cot_id = "&amp;A629&amp;", cot_blt_id = "&amp;B629&amp;", cot_pap_id = "&amp;C629&amp;", cot_prc_comum = "&amp;D629&amp;", cot_prc_min = "&amp;E629&amp;", cot_prc_max = "&amp;F629&amp;", cot_prc_med = "&amp;G629&amp;", cot_prc_mediana = "&amp;H629&amp;" WHERE cot_id = "&amp;A629&amp;";"</f>
        <v>UPDATE COTACAO SET cot_id = 628, cot_blt_id = 52, cot_pap_id = 36, cot_prc_comum = NULL, cot_prc_min = 90, cot_prc_max = 90, cot_prc_med = 90, cot_prc_mediana = 90 WHERE cot_id = 628;</v>
      </c>
    </row>
    <row r="630" customFormat="false" ht="14.25" hidden="false" customHeight="false" outlineLevel="0" collapsed="false">
      <c r="A630" s="0" t="n">
        <v>629</v>
      </c>
      <c r="B630" s="0" t="n">
        <f aca="false">IF('Boletins Nuppa Site'!A630&lt;&gt;0,'Boletins Nuppa Site'!A630,"NULL")</f>
        <v>52</v>
      </c>
      <c r="C630" s="0" t="n">
        <v>37</v>
      </c>
      <c r="D630" s="0" t="str">
        <f aca="false">IF('Boletins Nuppa Site'!G630&lt;&gt;0,'Boletins Nuppa Site'!G630,"NULL")</f>
        <v>NULL</v>
      </c>
      <c r="E630" s="30" t="n">
        <f aca="false">IF('Boletins Nuppa Site'!H630&lt;&gt;0,'Boletins Nuppa Site'!H630,"NULL")</f>
        <v>70</v>
      </c>
      <c r="F630" s="30" t="n">
        <f aca="false">IF('Boletins Nuppa Site'!I630&lt;&gt;0,'Boletins Nuppa Site'!I630,"NULL")</f>
        <v>80</v>
      </c>
      <c r="G630" s="30" t="n">
        <f aca="false">IF('Boletins Nuppa Site'!J630&lt;&gt;0,'Boletins Nuppa Site'!J630,"NULL")</f>
        <v>75</v>
      </c>
      <c r="H630" s="30" t="n">
        <f aca="false">IF('Boletins Nuppa Site'!K630&lt;&gt;0,'Boletins Nuppa Site'!K630,"NULL")</f>
        <v>75</v>
      </c>
      <c r="I630" s="0" t="str">
        <f aca="false">"INSERT INTO COTACAO (cot_id, cot_blt_id, cot_pap_id, cot_prc_comum, cot_prc_min, cot_prc_max, cot_prc_med, cot_prc_mediana) VALUES ("&amp;A630&amp;", "&amp;B630&amp;", "&amp;C630&amp;", "&amp;D630&amp;", "&amp;E630&amp;", "&amp;F630&amp;", "&amp;G630&amp;", "&amp;H630&amp;");"</f>
        <v>INSERT INTO COTACAO (cot_id, cot_blt_id, cot_pap_id, cot_prc_comum, cot_prc_min, cot_prc_max, cot_prc_med, cot_prc_mediana) VALUES (629, 52, 37, NULL, 70, 80, 75, 75);</v>
      </c>
      <c r="J630" s="0" t="str">
        <f aca="false">"UPDATE COTACAO SET cot_id = "&amp;A630&amp;", cot_blt_id = "&amp;B630&amp;", cot_pap_id = "&amp;C630&amp;", cot_prc_comum = "&amp;D630&amp;", cot_prc_min = "&amp;E630&amp;", cot_prc_max = "&amp;F630&amp;", cot_prc_med = "&amp;G630&amp;", cot_prc_mediana = "&amp;H630&amp;" WHERE cot_id = "&amp;A630&amp;";"</f>
        <v>UPDATE COTACAO SET cot_id = 629, cot_blt_id = 52, cot_pap_id = 37, cot_prc_comum = NULL, cot_prc_min = 70, cot_prc_max = 80, cot_prc_med = 75, cot_prc_mediana = 75 WHERE cot_id = 629;</v>
      </c>
    </row>
    <row r="631" customFormat="false" ht="14.25" hidden="false" customHeight="false" outlineLevel="0" collapsed="false">
      <c r="A631" s="0" t="n">
        <v>630</v>
      </c>
      <c r="B631" s="0" t="n">
        <f aca="false">IF('Boletins Nuppa Site'!A631&lt;&gt;0,'Boletins Nuppa Site'!A631,"NULL")</f>
        <v>52</v>
      </c>
      <c r="C631" s="0" t="n">
        <v>38</v>
      </c>
      <c r="D631" s="0" t="str">
        <f aca="false">IF('Boletins Nuppa Site'!G631&lt;&gt;0,'Boletins Nuppa Site'!G631,"NULL")</f>
        <v>NULL</v>
      </c>
      <c r="E631" s="30" t="n">
        <f aca="false">IF('Boletins Nuppa Site'!H631&lt;&gt;0,'Boletins Nuppa Site'!H631,"NULL")</f>
        <v>50</v>
      </c>
      <c r="F631" s="30" t="n">
        <f aca="false">IF('Boletins Nuppa Site'!I631&lt;&gt;0,'Boletins Nuppa Site'!I631,"NULL")</f>
        <v>70</v>
      </c>
      <c r="G631" s="30" t="n">
        <f aca="false">IF('Boletins Nuppa Site'!J631&lt;&gt;0,'Boletins Nuppa Site'!J631,"NULL")</f>
        <v>60</v>
      </c>
      <c r="H631" s="30" t="n">
        <f aca="false">IF('Boletins Nuppa Site'!K631&lt;&gt;0,'Boletins Nuppa Site'!K631,"NULL")</f>
        <v>60</v>
      </c>
      <c r="I631" s="0" t="str">
        <f aca="false">"INSERT INTO COTACAO (cot_id, cot_blt_id, cot_pap_id, cot_prc_comum, cot_prc_min, cot_prc_max, cot_prc_med, cot_prc_mediana) VALUES ("&amp;A631&amp;", "&amp;B631&amp;", "&amp;C631&amp;", "&amp;D631&amp;", "&amp;E631&amp;", "&amp;F631&amp;", "&amp;G631&amp;", "&amp;H631&amp;");"</f>
        <v>INSERT INTO COTACAO (cot_id, cot_blt_id, cot_pap_id, cot_prc_comum, cot_prc_min, cot_prc_max, cot_prc_med, cot_prc_mediana) VALUES (630, 52, 38, NULL, 50, 70, 60, 60);</v>
      </c>
      <c r="J631" s="0" t="str">
        <f aca="false">"UPDATE COTACAO SET cot_id = "&amp;A631&amp;", cot_blt_id = "&amp;B631&amp;", cot_pap_id = "&amp;C631&amp;", cot_prc_comum = "&amp;D631&amp;", cot_prc_min = "&amp;E631&amp;", cot_prc_max = "&amp;F631&amp;", cot_prc_med = "&amp;G631&amp;", cot_prc_mediana = "&amp;H631&amp;" WHERE cot_id = "&amp;A631&amp;";"</f>
        <v>UPDATE COTACAO SET cot_id = 630, cot_blt_id = 52, cot_pap_id = 38, cot_prc_comum = NULL, cot_prc_min = 50, cot_prc_max = 70, cot_prc_med = 60, cot_prc_mediana = 60 WHERE cot_id = 630;</v>
      </c>
    </row>
    <row r="632" customFormat="false" ht="14.25" hidden="false" customHeight="false" outlineLevel="0" collapsed="false">
      <c r="A632" s="0" t="n">
        <v>631</v>
      </c>
      <c r="B632" s="0" t="n">
        <f aca="false">IF('Boletins Nuppa Site'!A632&lt;&gt;0,'Boletins Nuppa Site'!A632,"NULL")</f>
        <v>52</v>
      </c>
      <c r="C632" s="0" t="n">
        <v>39</v>
      </c>
      <c r="D632" s="0" t="str">
        <f aca="false">IF('Boletins Nuppa Site'!G632&lt;&gt;0,'Boletins Nuppa Site'!G632,"NULL")</f>
        <v>NULL</v>
      </c>
      <c r="E632" s="30" t="n">
        <f aca="false">IF('Boletins Nuppa Site'!H632&lt;&gt;0,'Boletins Nuppa Site'!H632,"NULL")</f>
        <v>55</v>
      </c>
      <c r="F632" s="30" t="n">
        <f aca="false">IF('Boletins Nuppa Site'!I632&lt;&gt;0,'Boletins Nuppa Site'!I632,"NULL")</f>
        <v>55</v>
      </c>
      <c r="G632" s="30" t="n">
        <f aca="false">IF('Boletins Nuppa Site'!J632&lt;&gt;0,'Boletins Nuppa Site'!J632,"NULL")</f>
        <v>55</v>
      </c>
      <c r="H632" s="30" t="n">
        <f aca="false">IF('Boletins Nuppa Site'!K632&lt;&gt;0,'Boletins Nuppa Site'!K632,"NULL")</f>
        <v>55</v>
      </c>
      <c r="I632" s="0" t="str">
        <f aca="false">"INSERT INTO COTACAO (cot_id, cot_blt_id, cot_pap_id, cot_prc_comum, cot_prc_min, cot_prc_max, cot_prc_med, cot_prc_mediana) VALUES ("&amp;A632&amp;", "&amp;B632&amp;", "&amp;C632&amp;", "&amp;D632&amp;", "&amp;E632&amp;", "&amp;F632&amp;", "&amp;G632&amp;", "&amp;H632&amp;");"</f>
        <v>INSERT INTO COTACAO (cot_id, cot_blt_id, cot_pap_id, cot_prc_comum, cot_prc_min, cot_prc_max, cot_prc_med, cot_prc_mediana) VALUES (631, 52, 39, NULL, 55, 55, 55, 55);</v>
      </c>
      <c r="J632" s="0" t="str">
        <f aca="false">"UPDATE COTACAO SET cot_id = "&amp;A632&amp;", cot_blt_id = "&amp;B632&amp;", cot_pap_id = "&amp;C632&amp;", cot_prc_comum = "&amp;D632&amp;", cot_prc_min = "&amp;E632&amp;", cot_prc_max = "&amp;F632&amp;", cot_prc_med = "&amp;G632&amp;", cot_prc_mediana = "&amp;H632&amp;" WHERE cot_id = "&amp;A632&amp;";"</f>
        <v>UPDATE COTACAO SET cot_id = 631, cot_blt_id = 52, cot_pap_id = 39, cot_prc_comum = NULL, cot_prc_min = 55, cot_prc_max = 55, cot_prc_med = 55, cot_prc_mediana = 55 WHERE cot_id = 631;</v>
      </c>
    </row>
    <row r="633" customFormat="false" ht="14.25" hidden="false" customHeight="false" outlineLevel="0" collapsed="false">
      <c r="A633" s="0" t="n">
        <v>632</v>
      </c>
      <c r="B633" s="0" t="n">
        <f aca="false">IF('Boletins Nuppa Site'!A633&lt;&gt;0,'Boletins Nuppa Site'!A633,"NULL")</f>
        <v>52</v>
      </c>
      <c r="C633" s="0" t="n">
        <v>40</v>
      </c>
      <c r="D633" s="0" t="str">
        <f aca="false">IF('Boletins Nuppa Site'!G633&lt;&gt;0,'Boletins Nuppa Site'!G633,"NULL")</f>
        <v>NULL</v>
      </c>
      <c r="E633" s="30" t="n">
        <f aca="false">IF('Boletins Nuppa Site'!H633&lt;&gt;0,'Boletins Nuppa Site'!H633,"NULL")</f>
        <v>55</v>
      </c>
      <c r="F633" s="30" t="n">
        <f aca="false">IF('Boletins Nuppa Site'!I633&lt;&gt;0,'Boletins Nuppa Site'!I633,"NULL")</f>
        <v>60</v>
      </c>
      <c r="G633" s="0" t="str">
        <f aca="false">IF('Boletins Nuppa Site'!J633&lt;&gt;0,'Boletins Nuppa Site'!J633,"NULL")</f>
        <v>57.5</v>
      </c>
      <c r="H633" s="0" t="str">
        <f aca="false">IF('Boletins Nuppa Site'!K633&lt;&gt;0,'Boletins Nuppa Site'!K633,"NULL")</f>
        <v>57.5</v>
      </c>
      <c r="I633" s="0" t="str">
        <f aca="false">"INSERT INTO COTACAO (cot_id, cot_blt_id, cot_pap_id, cot_prc_comum, cot_prc_min, cot_prc_max, cot_prc_med, cot_prc_mediana) VALUES ("&amp;A633&amp;", "&amp;B633&amp;", "&amp;C633&amp;", "&amp;D633&amp;", "&amp;E633&amp;", "&amp;F633&amp;", "&amp;G633&amp;", "&amp;H633&amp;");"</f>
        <v>INSERT INTO COTACAO (cot_id, cot_blt_id, cot_pap_id, cot_prc_comum, cot_prc_min, cot_prc_max, cot_prc_med, cot_prc_mediana) VALUES (632, 52, 40, NULL, 55, 60, 57.5, 57.5);</v>
      </c>
      <c r="J633" s="0" t="str">
        <f aca="false">"UPDATE COTACAO SET cot_id = "&amp;A633&amp;", cot_blt_id = "&amp;B633&amp;", cot_pap_id = "&amp;C633&amp;", cot_prc_comum = "&amp;D633&amp;", cot_prc_min = "&amp;E633&amp;", cot_prc_max = "&amp;F633&amp;", cot_prc_med = "&amp;G633&amp;", cot_prc_mediana = "&amp;H633&amp;" WHERE cot_id = "&amp;A633&amp;";"</f>
        <v>UPDATE COTACAO SET cot_id = 632, cot_blt_id = 52, cot_pap_id = 40, cot_prc_comum = NULL, cot_prc_min = 55, cot_prc_max = 60, cot_prc_med = 57.5, cot_prc_mediana = 57.5 WHERE cot_id = 632;</v>
      </c>
    </row>
    <row r="634" customFormat="false" ht="14.25" hidden="false" customHeight="false" outlineLevel="0" collapsed="false">
      <c r="A634" s="0" t="n">
        <v>633</v>
      </c>
      <c r="B634" s="0" t="n">
        <f aca="false">IF('Boletins Nuppa Site'!A634&lt;&gt;0,'Boletins Nuppa Site'!A634,"NULL")</f>
        <v>53</v>
      </c>
      <c r="C634" s="0" t="n">
        <v>1</v>
      </c>
      <c r="D634" s="30" t="n">
        <f aca="false">IF('Boletins Nuppa Site'!G634&lt;&gt;0,'Boletins Nuppa Site'!G634,"NULL")</f>
        <v>60</v>
      </c>
      <c r="E634" s="30" t="n">
        <f aca="false">IF('Boletins Nuppa Site'!H634&lt;&gt;0,'Boletins Nuppa Site'!H634,"NULL")</f>
        <v>60</v>
      </c>
      <c r="F634" s="30" t="n">
        <f aca="false">IF('Boletins Nuppa Site'!I634&lt;&gt;0,'Boletins Nuppa Site'!I634,"NULL")</f>
        <v>80</v>
      </c>
      <c r="G634" s="0" t="str">
        <f aca="false">IF('Boletins Nuppa Site'!J634&lt;&gt;0,'Boletins Nuppa Site'!J634,"NULL")</f>
        <v>66.67</v>
      </c>
      <c r="H634" s="30" t="n">
        <f aca="false">IF('Boletins Nuppa Site'!K634&lt;&gt;0,'Boletins Nuppa Site'!K634,"NULL")</f>
        <v>60</v>
      </c>
      <c r="I634" s="0" t="str">
        <f aca="false">"INSERT INTO COTACAO (cot_id, cot_blt_id, cot_pap_id, cot_prc_comum, cot_prc_min, cot_prc_max, cot_prc_med, cot_prc_mediana) VALUES ("&amp;A634&amp;", "&amp;B634&amp;", "&amp;C634&amp;", "&amp;D634&amp;", "&amp;E634&amp;", "&amp;F634&amp;", "&amp;G634&amp;", "&amp;H634&amp;");"</f>
        <v>INSERT INTO COTACAO (cot_id, cot_blt_id, cot_pap_id, cot_prc_comum, cot_prc_min, cot_prc_max, cot_prc_med, cot_prc_mediana) VALUES (633, 53, 1, 60, 60, 80, 66.67, 60);</v>
      </c>
      <c r="J634" s="0" t="str">
        <f aca="false">"UPDATE COTACAO SET cot_id = "&amp;A634&amp;", cot_blt_id = "&amp;B634&amp;", cot_pap_id = "&amp;C634&amp;", cot_prc_comum = "&amp;D634&amp;", cot_prc_min = "&amp;E634&amp;", cot_prc_max = "&amp;F634&amp;", cot_prc_med = "&amp;G634&amp;", cot_prc_mediana = "&amp;H634&amp;" WHERE cot_id = "&amp;A634&amp;";"</f>
        <v>UPDATE COTACAO SET cot_id = 633, cot_blt_id = 53, cot_pap_id = 1, cot_prc_comum = 60, cot_prc_min = 60, cot_prc_max = 80, cot_prc_med = 66.67, cot_prc_mediana = 60 WHERE cot_id = 633;</v>
      </c>
    </row>
    <row r="635" customFormat="false" ht="14.25" hidden="false" customHeight="false" outlineLevel="0" collapsed="false">
      <c r="A635" s="0" t="n">
        <v>634</v>
      </c>
      <c r="B635" s="0" t="n">
        <f aca="false">IF('Boletins Nuppa Site'!A635&lt;&gt;0,'Boletins Nuppa Site'!A635,"NULL")</f>
        <v>53</v>
      </c>
      <c r="C635" s="0" t="n">
        <v>2</v>
      </c>
      <c r="D635" s="30" t="n">
        <f aca="false">IF('Boletins Nuppa Site'!G635&lt;&gt;0,'Boletins Nuppa Site'!G635,"NULL")</f>
        <v>84</v>
      </c>
      <c r="E635" s="30" t="n">
        <f aca="false">IF('Boletins Nuppa Site'!H635&lt;&gt;0,'Boletins Nuppa Site'!H635,"NULL")</f>
        <v>72</v>
      </c>
      <c r="F635" s="30" t="n">
        <f aca="false">IF('Boletins Nuppa Site'!I635&lt;&gt;0,'Boletins Nuppa Site'!I635,"NULL")</f>
        <v>84</v>
      </c>
      <c r="G635" s="30" t="n">
        <f aca="false">IF('Boletins Nuppa Site'!J635&lt;&gt;0,'Boletins Nuppa Site'!J635,"NULL")</f>
        <v>80</v>
      </c>
      <c r="H635" s="30" t="n">
        <f aca="false">IF('Boletins Nuppa Site'!K635&lt;&gt;0,'Boletins Nuppa Site'!K635,"NULL")</f>
        <v>84</v>
      </c>
      <c r="I635" s="0" t="str">
        <f aca="false">"INSERT INTO COTACAO (cot_id, cot_blt_id, cot_pap_id, cot_prc_comum, cot_prc_min, cot_prc_max, cot_prc_med, cot_prc_mediana) VALUES ("&amp;A635&amp;", "&amp;B635&amp;", "&amp;C635&amp;", "&amp;D635&amp;", "&amp;E635&amp;", "&amp;F635&amp;", "&amp;G635&amp;", "&amp;H635&amp;");"</f>
        <v>INSERT INTO COTACAO (cot_id, cot_blt_id, cot_pap_id, cot_prc_comum, cot_prc_min, cot_prc_max, cot_prc_med, cot_prc_mediana) VALUES (634, 53, 2, 84, 72, 84, 80, 84);</v>
      </c>
      <c r="J635" s="0" t="str">
        <f aca="false">"UPDATE COTACAO SET cot_id = "&amp;A635&amp;", cot_blt_id = "&amp;B635&amp;", cot_pap_id = "&amp;C635&amp;", cot_prc_comum = "&amp;D635&amp;", cot_prc_min = "&amp;E635&amp;", cot_prc_max = "&amp;F635&amp;", cot_prc_med = "&amp;G635&amp;", cot_prc_mediana = "&amp;H635&amp;" WHERE cot_id = "&amp;A635&amp;";"</f>
        <v>UPDATE COTACAO SET cot_id = 634, cot_blt_id = 53, cot_pap_id = 2, cot_prc_comum = 84, cot_prc_min = 72, cot_prc_max = 84, cot_prc_med = 80, cot_prc_mediana = 84 WHERE cot_id = 634;</v>
      </c>
    </row>
    <row r="636" customFormat="false" ht="14.25" hidden="false" customHeight="false" outlineLevel="0" collapsed="false">
      <c r="A636" s="0" t="n">
        <v>635</v>
      </c>
      <c r="B636" s="0" t="n">
        <f aca="false">IF('Boletins Nuppa Site'!A636&lt;&gt;0,'Boletins Nuppa Site'!A636,"NULL")</f>
        <v>53</v>
      </c>
      <c r="C636" s="0" t="n">
        <v>3</v>
      </c>
      <c r="D636" s="0" t="str">
        <f aca="false">IF('Boletins Nuppa Site'!G636&lt;&gt;0,'Boletins Nuppa Site'!G636,"NULL")</f>
        <v>NULL</v>
      </c>
      <c r="E636" s="30" t="n">
        <f aca="false">IF('Boletins Nuppa Site'!H636&lt;&gt;0,'Boletins Nuppa Site'!H636,"NULL")</f>
        <v>36</v>
      </c>
      <c r="F636" s="30" t="n">
        <f aca="false">IF('Boletins Nuppa Site'!I636&lt;&gt;0,'Boletins Nuppa Site'!I636,"NULL")</f>
        <v>48</v>
      </c>
      <c r="G636" s="30" t="n">
        <f aca="false">IF('Boletins Nuppa Site'!J636&lt;&gt;0,'Boletins Nuppa Site'!J636,"NULL")</f>
        <v>42</v>
      </c>
      <c r="H636" s="30" t="n">
        <f aca="false">IF('Boletins Nuppa Site'!K636&lt;&gt;0,'Boletins Nuppa Site'!K636,"NULL")</f>
        <v>42</v>
      </c>
      <c r="I636" s="0" t="str">
        <f aca="false">"INSERT INTO COTACAO (cot_id, cot_blt_id, cot_pap_id, cot_prc_comum, cot_prc_min, cot_prc_max, cot_prc_med, cot_prc_mediana) VALUES ("&amp;A636&amp;", "&amp;B636&amp;", "&amp;C636&amp;", "&amp;D636&amp;", "&amp;E636&amp;", "&amp;F636&amp;", "&amp;G636&amp;", "&amp;H636&amp;");"</f>
        <v>INSERT INTO COTACAO (cot_id, cot_blt_id, cot_pap_id, cot_prc_comum, cot_prc_min, cot_prc_max, cot_prc_med, cot_prc_mediana) VALUES (635, 53, 3, NULL, 36, 48, 42, 42);</v>
      </c>
      <c r="J636" s="0" t="str">
        <f aca="false">"UPDATE COTACAO SET cot_id = "&amp;A636&amp;", cot_blt_id = "&amp;B636&amp;", cot_pap_id = "&amp;C636&amp;", cot_prc_comum = "&amp;D636&amp;", cot_prc_min = "&amp;E636&amp;", cot_prc_max = "&amp;F636&amp;", cot_prc_med = "&amp;G636&amp;", cot_prc_mediana = "&amp;H636&amp;" WHERE cot_id = "&amp;A636&amp;";"</f>
        <v>UPDATE COTACAO SET cot_id = 635, cot_blt_id = 53, cot_pap_id = 3, cot_prc_comum = NULL, cot_prc_min = 36, cot_prc_max = 48, cot_prc_med = 42, cot_prc_mediana = 42 WHERE cot_id = 635;</v>
      </c>
    </row>
    <row r="637" customFormat="false" ht="14.25" hidden="false" customHeight="false" outlineLevel="0" collapsed="false">
      <c r="A637" s="0" t="n">
        <v>636</v>
      </c>
      <c r="B637" s="0" t="n">
        <f aca="false">IF('Boletins Nuppa Site'!A637&lt;&gt;0,'Boletins Nuppa Site'!A637,"NULL")</f>
        <v>53</v>
      </c>
      <c r="C637" s="0" t="n">
        <v>4</v>
      </c>
      <c r="D637" s="30" t="n">
        <f aca="false">IF('Boletins Nuppa Site'!G637&lt;&gt;0,'Boletins Nuppa Site'!G637,"NULL")</f>
        <v>30</v>
      </c>
      <c r="E637" s="30" t="n">
        <f aca="false">IF('Boletins Nuppa Site'!H637&lt;&gt;0,'Boletins Nuppa Site'!H637,"NULL")</f>
        <v>30</v>
      </c>
      <c r="F637" s="30" t="n">
        <f aca="false">IF('Boletins Nuppa Site'!I637&lt;&gt;0,'Boletins Nuppa Site'!I637,"NULL")</f>
        <v>30</v>
      </c>
      <c r="G637" s="30" t="n">
        <f aca="false">IF('Boletins Nuppa Site'!J637&lt;&gt;0,'Boletins Nuppa Site'!J637,"NULL")</f>
        <v>30</v>
      </c>
      <c r="H637" s="30" t="n">
        <f aca="false">IF('Boletins Nuppa Site'!K637&lt;&gt;0,'Boletins Nuppa Site'!K637,"NULL")</f>
        <v>30</v>
      </c>
      <c r="I637" s="0" t="str">
        <f aca="false">"INSERT INTO COTACAO (cot_id, cot_blt_id, cot_pap_id, cot_prc_comum, cot_prc_min, cot_prc_max, cot_prc_med, cot_prc_mediana) VALUES ("&amp;A637&amp;", "&amp;B637&amp;", "&amp;C637&amp;", "&amp;D637&amp;", "&amp;E637&amp;", "&amp;F637&amp;", "&amp;G637&amp;", "&amp;H637&amp;");"</f>
        <v>INSERT INTO COTACAO (cot_id, cot_blt_id, cot_pap_id, cot_prc_comum, cot_prc_min, cot_prc_max, cot_prc_med, cot_prc_mediana) VALUES (636, 53, 4, 30, 30, 30, 30, 30);</v>
      </c>
      <c r="J637" s="0" t="str">
        <f aca="false">"UPDATE COTACAO SET cot_id = "&amp;A637&amp;", cot_blt_id = "&amp;B637&amp;", cot_pap_id = "&amp;C637&amp;", cot_prc_comum = "&amp;D637&amp;", cot_prc_min = "&amp;E637&amp;", cot_prc_max = "&amp;F637&amp;", cot_prc_med = "&amp;G637&amp;", cot_prc_mediana = "&amp;H637&amp;" WHERE cot_id = "&amp;A637&amp;";"</f>
        <v>UPDATE COTACAO SET cot_id = 636, cot_blt_id = 53, cot_pap_id = 4, cot_prc_comum = 30, cot_prc_min = 30, cot_prc_max = 30, cot_prc_med = 30, cot_prc_mediana = 30 WHERE cot_id = 636;</v>
      </c>
    </row>
    <row r="638" customFormat="false" ht="14.25" hidden="false" customHeight="false" outlineLevel="0" collapsed="false">
      <c r="A638" s="0" t="n">
        <v>637</v>
      </c>
      <c r="B638" s="0" t="n">
        <f aca="false">IF('Boletins Nuppa Site'!A638&lt;&gt;0,'Boletins Nuppa Site'!A638,"NULL")</f>
        <v>53</v>
      </c>
      <c r="C638" s="0" t="n">
        <v>5</v>
      </c>
      <c r="D638" s="30" t="n">
        <f aca="false">IF('Boletins Nuppa Site'!G638&lt;&gt;0,'Boletins Nuppa Site'!G638,"NULL")</f>
        <v>30</v>
      </c>
      <c r="E638" s="30" t="n">
        <f aca="false">IF('Boletins Nuppa Site'!H638&lt;&gt;0,'Boletins Nuppa Site'!H638,"NULL")</f>
        <v>24</v>
      </c>
      <c r="F638" s="30" t="n">
        <f aca="false">IF('Boletins Nuppa Site'!I638&lt;&gt;0,'Boletins Nuppa Site'!I638,"NULL")</f>
        <v>30</v>
      </c>
      <c r="G638" s="30" t="n">
        <f aca="false">IF('Boletins Nuppa Site'!J638&lt;&gt;0,'Boletins Nuppa Site'!J638,"NULL")</f>
        <v>28</v>
      </c>
      <c r="H638" s="30" t="n">
        <f aca="false">IF('Boletins Nuppa Site'!K638&lt;&gt;0,'Boletins Nuppa Site'!K638,"NULL")</f>
        <v>30</v>
      </c>
      <c r="I638" s="0" t="str">
        <f aca="false">"INSERT INTO COTACAO (cot_id, cot_blt_id, cot_pap_id, cot_prc_comum, cot_prc_min, cot_prc_max, cot_prc_med, cot_prc_mediana) VALUES ("&amp;A638&amp;", "&amp;B638&amp;", "&amp;C638&amp;", "&amp;D638&amp;", "&amp;E638&amp;", "&amp;F638&amp;", "&amp;G638&amp;", "&amp;H638&amp;");"</f>
        <v>INSERT INTO COTACAO (cot_id, cot_blt_id, cot_pap_id, cot_prc_comum, cot_prc_min, cot_prc_max, cot_prc_med, cot_prc_mediana) VALUES (637, 53, 5, 30, 24, 30, 28, 30);</v>
      </c>
      <c r="J638" s="0" t="str">
        <f aca="false">"UPDATE COTACAO SET cot_id = "&amp;A638&amp;", cot_blt_id = "&amp;B638&amp;", cot_pap_id = "&amp;C638&amp;", cot_prc_comum = "&amp;D638&amp;", cot_prc_min = "&amp;E638&amp;", cot_prc_max = "&amp;F638&amp;", cot_prc_med = "&amp;G638&amp;", cot_prc_mediana = "&amp;H638&amp;" WHERE cot_id = "&amp;A638&amp;";"</f>
        <v>UPDATE COTACAO SET cot_id = 637, cot_blt_id = 53, cot_pap_id = 5, cot_prc_comum = 30, cot_prc_min = 24, cot_prc_max = 30, cot_prc_med = 28, cot_prc_mediana = 30 WHERE cot_id = 637;</v>
      </c>
    </row>
    <row r="639" customFormat="false" ht="14.25" hidden="false" customHeight="false" outlineLevel="0" collapsed="false">
      <c r="A639" s="0" t="n">
        <v>638</v>
      </c>
      <c r="B639" s="0" t="n">
        <f aca="false">IF('Boletins Nuppa Site'!A639&lt;&gt;0,'Boletins Nuppa Site'!A639,"NULL")</f>
        <v>53</v>
      </c>
      <c r="C639" s="0" t="n">
        <v>6</v>
      </c>
      <c r="D639" s="30" t="n">
        <f aca="false">IF('Boletins Nuppa Site'!G639&lt;&gt;0,'Boletins Nuppa Site'!G639,"NULL")</f>
        <v>60</v>
      </c>
      <c r="E639" s="30" t="n">
        <f aca="false">IF('Boletins Nuppa Site'!H639&lt;&gt;0,'Boletins Nuppa Site'!H639,"NULL")</f>
        <v>60</v>
      </c>
      <c r="F639" s="30" t="n">
        <f aca="false">IF('Boletins Nuppa Site'!I639&lt;&gt;0,'Boletins Nuppa Site'!I639,"NULL")</f>
        <v>60</v>
      </c>
      <c r="G639" s="30" t="n">
        <f aca="false">IF('Boletins Nuppa Site'!J639&lt;&gt;0,'Boletins Nuppa Site'!J639,"NULL")</f>
        <v>60</v>
      </c>
      <c r="H639" s="30" t="n">
        <f aca="false">IF('Boletins Nuppa Site'!K639&lt;&gt;0,'Boletins Nuppa Site'!K639,"NULL")</f>
        <v>60</v>
      </c>
      <c r="I639" s="0" t="str">
        <f aca="false">"INSERT INTO COTACAO (cot_id, cot_blt_id, cot_pap_id, cot_prc_comum, cot_prc_min, cot_prc_max, cot_prc_med, cot_prc_mediana) VALUES ("&amp;A639&amp;", "&amp;B639&amp;", "&amp;C639&amp;", "&amp;D639&amp;", "&amp;E639&amp;", "&amp;F639&amp;", "&amp;G639&amp;", "&amp;H639&amp;");"</f>
        <v>INSERT INTO COTACAO (cot_id, cot_blt_id, cot_pap_id, cot_prc_comum, cot_prc_min, cot_prc_max, cot_prc_med, cot_prc_mediana) VALUES (638, 53, 6, 60, 60, 60, 60, 60);</v>
      </c>
      <c r="J639" s="0" t="str">
        <f aca="false">"UPDATE COTACAO SET cot_id = "&amp;A639&amp;", cot_blt_id = "&amp;B639&amp;", cot_pap_id = "&amp;C639&amp;", cot_prc_comum = "&amp;D639&amp;", cot_prc_min = "&amp;E639&amp;", cot_prc_max = "&amp;F639&amp;", cot_prc_med = "&amp;G639&amp;", cot_prc_mediana = "&amp;H639&amp;" WHERE cot_id = "&amp;A639&amp;";"</f>
        <v>UPDATE COTACAO SET cot_id = 638, cot_blt_id = 53, cot_pap_id = 6, cot_prc_comum = 60, cot_prc_min = 60, cot_prc_max = 60, cot_prc_med = 60, cot_prc_mediana = 60 WHERE cot_id = 638;</v>
      </c>
    </row>
    <row r="640" customFormat="false" ht="14.25" hidden="false" customHeight="false" outlineLevel="0" collapsed="false">
      <c r="A640" s="0" t="n">
        <v>639</v>
      </c>
      <c r="B640" s="0" t="n">
        <f aca="false">IF('Boletins Nuppa Site'!A640&lt;&gt;0,'Boletins Nuppa Site'!A640,"NULL")</f>
        <v>53</v>
      </c>
      <c r="C640" s="0" t="n">
        <v>7</v>
      </c>
      <c r="D640" s="30" t="n">
        <f aca="false">IF('Boletins Nuppa Site'!G640&lt;&gt;0,'Boletins Nuppa Site'!G640,"NULL")</f>
        <v>72</v>
      </c>
      <c r="E640" s="30" t="n">
        <f aca="false">IF('Boletins Nuppa Site'!H640&lt;&gt;0,'Boletins Nuppa Site'!H640,"NULL")</f>
        <v>72</v>
      </c>
      <c r="F640" s="30" t="n">
        <f aca="false">IF('Boletins Nuppa Site'!I640&lt;&gt;0,'Boletins Nuppa Site'!I640,"NULL")</f>
        <v>78</v>
      </c>
      <c r="G640" s="30" t="n">
        <f aca="false">IF('Boletins Nuppa Site'!J640&lt;&gt;0,'Boletins Nuppa Site'!J640,"NULL")</f>
        <v>74</v>
      </c>
      <c r="H640" s="30" t="n">
        <f aca="false">IF('Boletins Nuppa Site'!K640&lt;&gt;0,'Boletins Nuppa Site'!K640,"NULL")</f>
        <v>72</v>
      </c>
      <c r="I640" s="0" t="str">
        <f aca="false">"INSERT INTO COTACAO (cot_id, cot_blt_id, cot_pap_id, cot_prc_comum, cot_prc_min, cot_prc_max, cot_prc_med, cot_prc_mediana) VALUES ("&amp;A640&amp;", "&amp;B640&amp;", "&amp;C640&amp;", "&amp;D640&amp;", "&amp;E640&amp;", "&amp;F640&amp;", "&amp;G640&amp;", "&amp;H640&amp;");"</f>
        <v>INSERT INTO COTACAO (cot_id, cot_blt_id, cot_pap_id, cot_prc_comum, cot_prc_min, cot_prc_max, cot_prc_med, cot_prc_mediana) VALUES (639, 53, 7, 72, 72, 78, 74, 72);</v>
      </c>
      <c r="J640" s="0" t="str">
        <f aca="false">"UPDATE COTACAO SET cot_id = "&amp;A640&amp;", cot_blt_id = "&amp;B640&amp;", cot_pap_id = "&amp;C640&amp;", cot_prc_comum = "&amp;D640&amp;", cot_prc_min = "&amp;E640&amp;", cot_prc_max = "&amp;F640&amp;", cot_prc_med = "&amp;G640&amp;", cot_prc_mediana = "&amp;H640&amp;" WHERE cot_id = "&amp;A640&amp;";"</f>
        <v>UPDATE COTACAO SET cot_id = 639, cot_blt_id = 53, cot_pap_id = 7, cot_prc_comum = 72, cot_prc_min = 72, cot_prc_max = 78, cot_prc_med = 74, cot_prc_mediana = 72 WHERE cot_id = 639;</v>
      </c>
    </row>
    <row r="641" customFormat="false" ht="14.25" hidden="false" customHeight="false" outlineLevel="0" collapsed="false">
      <c r="A641" s="0" t="n">
        <v>640</v>
      </c>
      <c r="B641" s="0" t="n">
        <f aca="false">IF('Boletins Nuppa Site'!A641&lt;&gt;0,'Boletins Nuppa Site'!A641,"NULL")</f>
        <v>53</v>
      </c>
      <c r="C641" s="0" t="n">
        <v>8</v>
      </c>
      <c r="D641" s="30" t="n">
        <f aca="false">IF('Boletins Nuppa Site'!G641&lt;&gt;0,'Boletins Nuppa Site'!G641,"NULL")</f>
        <v>96</v>
      </c>
      <c r="E641" s="30" t="n">
        <f aca="false">IF('Boletins Nuppa Site'!H641&lt;&gt;0,'Boletins Nuppa Site'!H641,"NULL")</f>
        <v>72</v>
      </c>
      <c r="F641" s="30" t="n">
        <f aca="false">IF('Boletins Nuppa Site'!I641&lt;&gt;0,'Boletins Nuppa Site'!I641,"NULL")</f>
        <v>96</v>
      </c>
      <c r="G641" s="30" t="n">
        <f aca="false">IF('Boletins Nuppa Site'!J641&lt;&gt;0,'Boletins Nuppa Site'!J641,"NULL")</f>
        <v>88</v>
      </c>
      <c r="H641" s="30" t="n">
        <f aca="false">IF('Boletins Nuppa Site'!K641&lt;&gt;0,'Boletins Nuppa Site'!K641,"NULL")</f>
        <v>96</v>
      </c>
      <c r="I641" s="0" t="str">
        <f aca="false">"INSERT INTO COTACAO (cot_id, cot_blt_id, cot_pap_id, cot_prc_comum, cot_prc_min, cot_prc_max, cot_prc_med, cot_prc_mediana) VALUES ("&amp;A641&amp;", "&amp;B641&amp;", "&amp;C641&amp;", "&amp;D641&amp;", "&amp;E641&amp;", "&amp;F641&amp;", "&amp;G641&amp;", "&amp;H641&amp;");"</f>
        <v>INSERT INTO COTACAO (cot_id, cot_blt_id, cot_pap_id, cot_prc_comum, cot_prc_min, cot_prc_max, cot_prc_med, cot_prc_mediana) VALUES (640, 53, 8, 96, 72, 96, 88, 96);</v>
      </c>
      <c r="J641" s="0" t="str">
        <f aca="false">"UPDATE COTACAO SET cot_id = "&amp;A641&amp;", cot_blt_id = "&amp;B641&amp;", cot_pap_id = "&amp;C641&amp;", cot_prc_comum = "&amp;D641&amp;", cot_prc_min = "&amp;E641&amp;", cot_prc_max = "&amp;F641&amp;", cot_prc_med = "&amp;G641&amp;", cot_prc_mediana = "&amp;H641&amp;" WHERE cot_id = "&amp;A641&amp;";"</f>
        <v>UPDATE COTACAO SET cot_id = 640, cot_blt_id = 53, cot_pap_id = 8, cot_prc_comum = 96, cot_prc_min = 72, cot_prc_max = 96, cot_prc_med = 88, cot_prc_mediana = 96 WHERE cot_id = 640;</v>
      </c>
    </row>
    <row r="642" customFormat="false" ht="14.25" hidden="false" customHeight="false" outlineLevel="0" collapsed="false">
      <c r="A642" s="0" t="n">
        <v>641</v>
      </c>
      <c r="B642" s="0" t="n">
        <f aca="false">IF('Boletins Nuppa Site'!A642&lt;&gt;0,'Boletins Nuppa Site'!A642,"NULL")</f>
        <v>53</v>
      </c>
      <c r="C642" s="0" t="n">
        <v>9</v>
      </c>
      <c r="D642" s="30" t="n">
        <f aca="false">IF('Boletins Nuppa Site'!G642&lt;&gt;0,'Boletins Nuppa Site'!G642,"NULL")</f>
        <v>24</v>
      </c>
      <c r="E642" s="30" t="n">
        <f aca="false">IF('Boletins Nuppa Site'!H642&lt;&gt;0,'Boletins Nuppa Site'!H642,"NULL")</f>
        <v>24</v>
      </c>
      <c r="F642" s="30" t="n">
        <f aca="false">IF('Boletins Nuppa Site'!I642&lt;&gt;0,'Boletins Nuppa Site'!I642,"NULL")</f>
        <v>30</v>
      </c>
      <c r="G642" s="30" t="n">
        <f aca="false">IF('Boletins Nuppa Site'!J642&lt;&gt;0,'Boletins Nuppa Site'!J642,"NULL")</f>
        <v>26</v>
      </c>
      <c r="H642" s="30" t="n">
        <f aca="false">IF('Boletins Nuppa Site'!K642&lt;&gt;0,'Boletins Nuppa Site'!K642,"NULL")</f>
        <v>24</v>
      </c>
      <c r="I642" s="0" t="str">
        <f aca="false">"INSERT INTO COTACAO (cot_id, cot_blt_id, cot_pap_id, cot_prc_comum, cot_prc_min, cot_prc_max, cot_prc_med, cot_prc_mediana) VALUES ("&amp;A642&amp;", "&amp;B642&amp;", "&amp;C642&amp;", "&amp;D642&amp;", "&amp;E642&amp;", "&amp;F642&amp;", "&amp;G642&amp;", "&amp;H642&amp;");"</f>
        <v>INSERT INTO COTACAO (cot_id, cot_blt_id, cot_pap_id, cot_prc_comum, cot_prc_min, cot_prc_max, cot_prc_med, cot_prc_mediana) VALUES (641, 53, 9, 24, 24, 30, 26, 24);</v>
      </c>
      <c r="J642" s="0" t="str">
        <f aca="false">"UPDATE COTACAO SET cot_id = "&amp;A642&amp;", cot_blt_id = "&amp;B642&amp;", cot_pap_id = "&amp;C642&amp;", cot_prc_comum = "&amp;D642&amp;", cot_prc_min = "&amp;E642&amp;", cot_prc_max = "&amp;F642&amp;", cot_prc_med = "&amp;G642&amp;", cot_prc_mediana = "&amp;H642&amp;" WHERE cot_id = "&amp;A642&amp;";"</f>
        <v>UPDATE COTACAO SET cot_id = 641, cot_blt_id = 53, cot_pap_id = 9, cot_prc_comum = 24, cot_prc_min = 24, cot_prc_max = 30, cot_prc_med = 26, cot_prc_mediana = 24 WHERE cot_id = 641;</v>
      </c>
    </row>
    <row r="643" customFormat="false" ht="14.25" hidden="false" customHeight="false" outlineLevel="0" collapsed="false">
      <c r="A643" s="0" t="n">
        <v>642</v>
      </c>
      <c r="B643" s="0" t="n">
        <f aca="false">IF('Boletins Nuppa Site'!A643&lt;&gt;0,'Boletins Nuppa Site'!A643,"NULL")</f>
        <v>53</v>
      </c>
      <c r="C643" s="0" t="n">
        <v>10</v>
      </c>
      <c r="D643" s="30" t="n">
        <f aca="false">IF('Boletins Nuppa Site'!G643&lt;&gt;0,'Boletins Nuppa Site'!G643,"NULL")</f>
        <v>72</v>
      </c>
      <c r="E643" s="30" t="n">
        <f aca="false">IF('Boletins Nuppa Site'!H643&lt;&gt;0,'Boletins Nuppa Site'!H643,"NULL")</f>
        <v>72</v>
      </c>
      <c r="F643" s="30" t="n">
        <f aca="false">IF('Boletins Nuppa Site'!I643&lt;&gt;0,'Boletins Nuppa Site'!I643,"NULL")</f>
        <v>84</v>
      </c>
      <c r="G643" s="30" t="n">
        <f aca="false">IF('Boletins Nuppa Site'!J643&lt;&gt;0,'Boletins Nuppa Site'!J643,"NULL")</f>
        <v>76</v>
      </c>
      <c r="H643" s="30" t="n">
        <f aca="false">IF('Boletins Nuppa Site'!K643&lt;&gt;0,'Boletins Nuppa Site'!K643,"NULL")</f>
        <v>72</v>
      </c>
      <c r="I643" s="0" t="str">
        <f aca="false">"INSERT INTO COTACAO (cot_id, cot_blt_id, cot_pap_id, cot_prc_comum, cot_prc_min, cot_prc_max, cot_prc_med, cot_prc_mediana) VALUES ("&amp;A643&amp;", "&amp;B643&amp;", "&amp;C643&amp;", "&amp;D643&amp;", "&amp;E643&amp;", "&amp;F643&amp;", "&amp;G643&amp;", "&amp;H643&amp;");"</f>
        <v>INSERT INTO COTACAO (cot_id, cot_blt_id, cot_pap_id, cot_prc_comum, cot_prc_min, cot_prc_max, cot_prc_med, cot_prc_mediana) VALUES (642, 53, 10, 72, 72, 84, 76, 72);</v>
      </c>
      <c r="J643" s="0" t="str">
        <f aca="false">"UPDATE COTACAO SET cot_id = "&amp;A643&amp;", cot_blt_id = "&amp;B643&amp;", cot_pap_id = "&amp;C643&amp;", cot_prc_comum = "&amp;D643&amp;", cot_prc_min = "&amp;E643&amp;", cot_prc_max = "&amp;F643&amp;", cot_prc_med = "&amp;G643&amp;", cot_prc_mediana = "&amp;H643&amp;" WHERE cot_id = "&amp;A643&amp;";"</f>
        <v>UPDATE COTACAO SET cot_id = 642, cot_blt_id = 53, cot_pap_id = 10, cot_prc_comum = 72, cot_prc_min = 72, cot_prc_max = 84, cot_prc_med = 76, cot_prc_mediana = 72 WHERE cot_id = 642;</v>
      </c>
    </row>
    <row r="644" customFormat="false" ht="14.25" hidden="false" customHeight="false" outlineLevel="0" collapsed="false">
      <c r="A644" s="0" t="n">
        <v>643</v>
      </c>
      <c r="B644" s="0" t="n">
        <f aca="false">IF('Boletins Nuppa Site'!A644&lt;&gt;0,'Boletins Nuppa Site'!A644,"NULL")</f>
        <v>53</v>
      </c>
      <c r="C644" s="0" t="n">
        <v>11</v>
      </c>
      <c r="D644" s="30" t="n">
        <f aca="false">IF('Boletins Nuppa Site'!G644&lt;&gt;0,'Boletins Nuppa Site'!G644,"NULL")</f>
        <v>30</v>
      </c>
      <c r="E644" s="30" t="n">
        <f aca="false">IF('Boletins Nuppa Site'!H644&lt;&gt;0,'Boletins Nuppa Site'!H644,"NULL")</f>
        <v>30</v>
      </c>
      <c r="F644" s="30" t="n">
        <f aca="false">IF('Boletins Nuppa Site'!I644&lt;&gt;0,'Boletins Nuppa Site'!I644,"NULL")</f>
        <v>30</v>
      </c>
      <c r="G644" s="30" t="n">
        <f aca="false">IF('Boletins Nuppa Site'!J644&lt;&gt;0,'Boletins Nuppa Site'!J644,"NULL")</f>
        <v>30</v>
      </c>
      <c r="H644" s="30" t="n">
        <f aca="false">IF('Boletins Nuppa Site'!K644&lt;&gt;0,'Boletins Nuppa Site'!K644,"NULL")</f>
        <v>30</v>
      </c>
      <c r="I644" s="0" t="str">
        <f aca="false">"INSERT INTO COTACAO (cot_id, cot_blt_id, cot_pap_id, cot_prc_comum, cot_prc_min, cot_prc_max, cot_prc_med, cot_prc_mediana) VALUES ("&amp;A644&amp;", "&amp;B644&amp;", "&amp;C644&amp;", "&amp;D644&amp;", "&amp;E644&amp;", "&amp;F644&amp;", "&amp;G644&amp;", "&amp;H644&amp;");"</f>
        <v>INSERT INTO COTACAO (cot_id, cot_blt_id, cot_pap_id, cot_prc_comum, cot_prc_min, cot_prc_max, cot_prc_med, cot_prc_mediana) VALUES (643, 53, 11, 30, 30, 30, 30, 30);</v>
      </c>
      <c r="J644" s="0" t="str">
        <f aca="false">"UPDATE COTACAO SET cot_id = "&amp;A644&amp;", cot_blt_id = "&amp;B644&amp;", cot_pap_id = "&amp;C644&amp;", cot_prc_comum = "&amp;D644&amp;", cot_prc_min = "&amp;E644&amp;", cot_prc_max = "&amp;F644&amp;", cot_prc_med = "&amp;G644&amp;", cot_prc_mediana = "&amp;H644&amp;" WHERE cot_id = "&amp;A644&amp;";"</f>
        <v>UPDATE COTACAO SET cot_id = 643, cot_blt_id = 53, cot_pap_id = 11, cot_prc_comum = 30, cot_prc_min = 30, cot_prc_max = 30, cot_prc_med = 30, cot_prc_mediana = 30 WHERE cot_id = 643;</v>
      </c>
    </row>
    <row r="645" customFormat="false" ht="14.25" hidden="false" customHeight="false" outlineLevel="0" collapsed="false">
      <c r="A645" s="0" t="n">
        <v>644</v>
      </c>
      <c r="B645" s="0" t="n">
        <f aca="false">IF('Boletins Nuppa Site'!A645&lt;&gt;0,'Boletins Nuppa Site'!A645,"NULL")</f>
        <v>53</v>
      </c>
      <c r="C645" s="0" t="n">
        <v>12</v>
      </c>
      <c r="D645" s="0" t="str">
        <f aca="false">IF('Boletins Nuppa Site'!G645&lt;&gt;0,'Boletins Nuppa Site'!G645,"NULL")</f>
        <v>NULL</v>
      </c>
      <c r="E645" s="30" t="n">
        <f aca="false">IF('Boletins Nuppa Site'!H645&lt;&gt;0,'Boletins Nuppa Site'!H645,"NULL")</f>
        <v>78</v>
      </c>
      <c r="F645" s="30" t="n">
        <f aca="false">IF('Boletins Nuppa Site'!I645&lt;&gt;0,'Boletins Nuppa Site'!I645,"NULL")</f>
        <v>96</v>
      </c>
      <c r="G645" s="30" t="n">
        <f aca="false">IF('Boletins Nuppa Site'!J645&lt;&gt;0,'Boletins Nuppa Site'!J645,"NULL")</f>
        <v>86</v>
      </c>
      <c r="H645" s="30" t="n">
        <f aca="false">IF('Boletins Nuppa Site'!K645&lt;&gt;0,'Boletins Nuppa Site'!K645,"NULL")</f>
        <v>84</v>
      </c>
      <c r="I645" s="0" t="str">
        <f aca="false">"INSERT INTO COTACAO (cot_id, cot_blt_id, cot_pap_id, cot_prc_comum, cot_prc_min, cot_prc_max, cot_prc_med, cot_prc_mediana) VALUES ("&amp;A645&amp;", "&amp;B645&amp;", "&amp;C645&amp;", "&amp;D645&amp;", "&amp;E645&amp;", "&amp;F645&amp;", "&amp;G645&amp;", "&amp;H645&amp;");"</f>
        <v>INSERT INTO COTACAO (cot_id, cot_blt_id, cot_pap_id, cot_prc_comum, cot_prc_min, cot_prc_max, cot_prc_med, cot_prc_mediana) VALUES (644, 53, 12, NULL, 78, 96, 86, 84);</v>
      </c>
      <c r="J645" s="0" t="str">
        <f aca="false">"UPDATE COTACAO SET cot_id = "&amp;A645&amp;", cot_blt_id = "&amp;B645&amp;", cot_pap_id = "&amp;C645&amp;", cot_prc_comum = "&amp;D645&amp;", cot_prc_min = "&amp;E645&amp;", cot_prc_max = "&amp;F645&amp;", cot_prc_med = "&amp;G645&amp;", cot_prc_mediana = "&amp;H645&amp;" WHERE cot_id = "&amp;A645&amp;";"</f>
        <v>UPDATE COTACAO SET cot_id = 644, cot_blt_id = 53, cot_pap_id = 12, cot_prc_comum = NULL, cot_prc_min = 78, cot_prc_max = 96, cot_prc_med = 86, cot_prc_mediana = 84 WHERE cot_id = 644;</v>
      </c>
    </row>
    <row r="646" customFormat="false" ht="14.25" hidden="false" customHeight="false" outlineLevel="0" collapsed="false">
      <c r="A646" s="0" t="n">
        <v>645</v>
      </c>
      <c r="B646" s="0" t="n">
        <f aca="false">IF('Boletins Nuppa Site'!A646&lt;&gt;0,'Boletins Nuppa Site'!A646,"NULL")</f>
        <v>53</v>
      </c>
      <c r="C646" s="0" t="n">
        <v>13</v>
      </c>
      <c r="D646" s="30" t="n">
        <f aca="false">IF('Boletins Nuppa Site'!G646&lt;&gt;0,'Boletins Nuppa Site'!G646,"NULL")</f>
        <v>60</v>
      </c>
      <c r="E646" s="30" t="n">
        <f aca="false">IF('Boletins Nuppa Site'!H646&lt;&gt;0,'Boletins Nuppa Site'!H646,"NULL")</f>
        <v>60</v>
      </c>
      <c r="F646" s="30" t="n">
        <f aca="false">IF('Boletins Nuppa Site'!I646&lt;&gt;0,'Boletins Nuppa Site'!I646,"NULL")</f>
        <v>78</v>
      </c>
      <c r="G646" s="30" t="n">
        <f aca="false">IF('Boletins Nuppa Site'!J646&lt;&gt;0,'Boletins Nuppa Site'!J646,"NULL")</f>
        <v>66</v>
      </c>
      <c r="H646" s="30" t="n">
        <f aca="false">IF('Boletins Nuppa Site'!K646&lt;&gt;0,'Boletins Nuppa Site'!K646,"NULL")</f>
        <v>60</v>
      </c>
      <c r="I646" s="0" t="str">
        <f aca="false">"INSERT INTO COTACAO (cot_id, cot_blt_id, cot_pap_id, cot_prc_comum, cot_prc_min, cot_prc_max, cot_prc_med, cot_prc_mediana) VALUES ("&amp;A646&amp;", "&amp;B646&amp;", "&amp;C646&amp;", "&amp;D646&amp;", "&amp;E646&amp;", "&amp;F646&amp;", "&amp;G646&amp;", "&amp;H646&amp;");"</f>
        <v>INSERT INTO COTACAO (cot_id, cot_blt_id, cot_pap_id, cot_prc_comum, cot_prc_min, cot_prc_max, cot_prc_med, cot_prc_mediana) VALUES (645, 53, 13, 60, 60, 78, 66, 60);</v>
      </c>
      <c r="J646" s="0" t="str">
        <f aca="false">"UPDATE COTACAO SET cot_id = "&amp;A646&amp;", cot_blt_id = "&amp;B646&amp;", cot_pap_id = "&amp;C646&amp;", cot_prc_comum = "&amp;D646&amp;", cot_prc_min = "&amp;E646&amp;", cot_prc_max = "&amp;F646&amp;", cot_prc_med = "&amp;G646&amp;", cot_prc_mediana = "&amp;H646&amp;" WHERE cot_id = "&amp;A646&amp;";"</f>
        <v>UPDATE COTACAO SET cot_id = 645, cot_blt_id = 53, cot_pap_id = 13, cot_prc_comum = 60, cot_prc_min = 60, cot_prc_max = 78, cot_prc_med = 66, cot_prc_mediana = 60 WHERE cot_id = 645;</v>
      </c>
    </row>
    <row r="647" customFormat="false" ht="14.25" hidden="false" customHeight="false" outlineLevel="0" collapsed="false">
      <c r="A647" s="0" t="n">
        <v>646</v>
      </c>
      <c r="B647" s="0" t="n">
        <f aca="false">IF('Boletins Nuppa Site'!A647&lt;&gt;0,'Boletins Nuppa Site'!A647,"NULL")</f>
        <v>53</v>
      </c>
      <c r="C647" s="0" t="n">
        <v>14</v>
      </c>
      <c r="D647" s="30" t="n">
        <f aca="false">IF('Boletins Nuppa Site'!G647&lt;&gt;0,'Boletins Nuppa Site'!G647,"NULL")</f>
        <v>84</v>
      </c>
      <c r="E647" s="30" t="n">
        <f aca="false">IF('Boletins Nuppa Site'!H647&lt;&gt;0,'Boletins Nuppa Site'!H647,"NULL")</f>
        <v>84</v>
      </c>
      <c r="F647" s="30" t="n">
        <f aca="false">IF('Boletins Nuppa Site'!I647&lt;&gt;0,'Boletins Nuppa Site'!I647,"NULL")</f>
        <v>96</v>
      </c>
      <c r="G647" s="30" t="n">
        <f aca="false">IF('Boletins Nuppa Site'!J647&lt;&gt;0,'Boletins Nuppa Site'!J647,"NULL")</f>
        <v>88</v>
      </c>
      <c r="H647" s="30" t="n">
        <f aca="false">IF('Boletins Nuppa Site'!K647&lt;&gt;0,'Boletins Nuppa Site'!K647,"NULL")</f>
        <v>84</v>
      </c>
      <c r="I647" s="0" t="str">
        <f aca="false">"INSERT INTO COTACAO (cot_id, cot_blt_id, cot_pap_id, cot_prc_comum, cot_prc_min, cot_prc_max, cot_prc_med, cot_prc_mediana) VALUES ("&amp;A647&amp;", "&amp;B647&amp;", "&amp;C647&amp;", "&amp;D647&amp;", "&amp;E647&amp;", "&amp;F647&amp;", "&amp;G647&amp;", "&amp;H647&amp;");"</f>
        <v>INSERT INTO COTACAO (cot_id, cot_blt_id, cot_pap_id, cot_prc_comum, cot_prc_min, cot_prc_max, cot_prc_med, cot_prc_mediana) VALUES (646, 53, 14, 84, 84, 96, 88, 84);</v>
      </c>
      <c r="J647" s="0" t="str">
        <f aca="false">"UPDATE COTACAO SET cot_id = "&amp;A647&amp;", cot_blt_id = "&amp;B647&amp;", cot_pap_id = "&amp;C647&amp;", cot_prc_comum = "&amp;D647&amp;", cot_prc_min = "&amp;E647&amp;", cot_prc_max = "&amp;F647&amp;", cot_prc_med = "&amp;G647&amp;", cot_prc_mediana = "&amp;H647&amp;" WHERE cot_id = "&amp;A647&amp;";"</f>
        <v>UPDATE COTACAO SET cot_id = 646, cot_blt_id = 53, cot_pap_id = 14, cot_prc_comum = 84, cot_prc_min = 84, cot_prc_max = 96, cot_prc_med = 88, cot_prc_mediana = 84 WHERE cot_id = 646;</v>
      </c>
    </row>
    <row r="648" customFormat="false" ht="14.25" hidden="false" customHeight="false" outlineLevel="0" collapsed="false">
      <c r="A648" s="0" t="n">
        <v>647</v>
      </c>
      <c r="B648" s="0" t="n">
        <f aca="false">IF('Boletins Nuppa Site'!A648&lt;&gt;0,'Boletins Nuppa Site'!A648,"NULL")</f>
        <v>53</v>
      </c>
      <c r="C648" s="0" t="n">
        <v>15</v>
      </c>
      <c r="D648" s="30" t="n">
        <f aca="false">IF('Boletins Nuppa Site'!G648&lt;&gt;0,'Boletins Nuppa Site'!G648,"NULL")</f>
        <v>60</v>
      </c>
      <c r="E648" s="30" t="n">
        <f aca="false">IF('Boletins Nuppa Site'!H648&lt;&gt;0,'Boletins Nuppa Site'!H648,"NULL")</f>
        <v>60</v>
      </c>
      <c r="F648" s="30" t="n">
        <f aca="false">IF('Boletins Nuppa Site'!I648&lt;&gt;0,'Boletins Nuppa Site'!I648,"NULL")</f>
        <v>70</v>
      </c>
      <c r="G648" s="0" t="str">
        <f aca="false">IF('Boletins Nuppa Site'!J648&lt;&gt;0,'Boletins Nuppa Site'!J648,"NULL")</f>
        <v>63.33</v>
      </c>
      <c r="H648" s="30" t="n">
        <f aca="false">IF('Boletins Nuppa Site'!K648&lt;&gt;0,'Boletins Nuppa Site'!K648,"NULL")</f>
        <v>60</v>
      </c>
      <c r="I648" s="0" t="str">
        <f aca="false">"INSERT INTO COTACAO (cot_id, cot_blt_id, cot_pap_id, cot_prc_comum, cot_prc_min, cot_prc_max, cot_prc_med, cot_prc_mediana) VALUES ("&amp;A648&amp;", "&amp;B648&amp;", "&amp;C648&amp;", "&amp;D648&amp;", "&amp;E648&amp;", "&amp;F648&amp;", "&amp;G648&amp;", "&amp;H648&amp;");"</f>
        <v>INSERT INTO COTACAO (cot_id, cot_blt_id, cot_pap_id, cot_prc_comum, cot_prc_min, cot_prc_max, cot_prc_med, cot_prc_mediana) VALUES (647, 53, 15, 60, 60, 70, 63.33, 60);</v>
      </c>
      <c r="J648" s="0" t="str">
        <f aca="false">"UPDATE COTACAO SET cot_id = "&amp;A648&amp;", cot_blt_id = "&amp;B648&amp;", cot_pap_id = "&amp;C648&amp;", cot_prc_comum = "&amp;D648&amp;", cot_prc_min = "&amp;E648&amp;", cot_prc_max = "&amp;F648&amp;", cot_prc_med = "&amp;G648&amp;", cot_prc_mediana = "&amp;H648&amp;" WHERE cot_id = "&amp;A648&amp;";"</f>
        <v>UPDATE COTACAO SET cot_id = 647, cot_blt_id = 53, cot_pap_id = 15, cot_prc_comum = 60, cot_prc_min = 60, cot_prc_max = 70, cot_prc_med = 63.33, cot_prc_mediana = 60 WHERE cot_id = 647;</v>
      </c>
    </row>
    <row r="649" customFormat="false" ht="14.25" hidden="false" customHeight="false" outlineLevel="0" collapsed="false">
      <c r="A649" s="0" t="n">
        <v>648</v>
      </c>
      <c r="B649" s="0" t="n">
        <f aca="false">IF('Boletins Nuppa Site'!A649&lt;&gt;0,'Boletins Nuppa Site'!A649,"NULL")</f>
        <v>53</v>
      </c>
      <c r="C649" s="0" t="n">
        <v>16</v>
      </c>
      <c r="D649" s="30" t="n">
        <f aca="false">IF('Boletins Nuppa Site'!G649&lt;&gt;0,'Boletins Nuppa Site'!G649,"NULL")</f>
        <v>54</v>
      </c>
      <c r="E649" s="30" t="n">
        <f aca="false">IF('Boletins Nuppa Site'!H649&lt;&gt;0,'Boletins Nuppa Site'!H649,"NULL")</f>
        <v>48</v>
      </c>
      <c r="F649" s="30" t="n">
        <f aca="false">IF('Boletins Nuppa Site'!I649&lt;&gt;0,'Boletins Nuppa Site'!I649,"NULL")</f>
        <v>54</v>
      </c>
      <c r="G649" s="30" t="n">
        <f aca="false">IF('Boletins Nuppa Site'!J649&lt;&gt;0,'Boletins Nuppa Site'!J649,"NULL")</f>
        <v>52</v>
      </c>
      <c r="H649" s="30" t="n">
        <f aca="false">IF('Boletins Nuppa Site'!K649&lt;&gt;0,'Boletins Nuppa Site'!K649,"NULL")</f>
        <v>54</v>
      </c>
      <c r="I649" s="0" t="str">
        <f aca="false">"INSERT INTO COTACAO (cot_id, cot_blt_id, cot_pap_id, cot_prc_comum, cot_prc_min, cot_prc_max, cot_prc_med, cot_prc_mediana) VALUES ("&amp;A649&amp;", "&amp;B649&amp;", "&amp;C649&amp;", "&amp;D649&amp;", "&amp;E649&amp;", "&amp;F649&amp;", "&amp;G649&amp;", "&amp;H649&amp;");"</f>
        <v>INSERT INTO COTACAO (cot_id, cot_blt_id, cot_pap_id, cot_prc_comum, cot_prc_min, cot_prc_max, cot_prc_med, cot_prc_mediana) VALUES (648, 53, 16, 54, 48, 54, 52, 54);</v>
      </c>
      <c r="J649" s="0" t="str">
        <f aca="false">"UPDATE COTACAO SET cot_id = "&amp;A649&amp;", cot_blt_id = "&amp;B649&amp;", cot_pap_id = "&amp;C649&amp;", cot_prc_comum = "&amp;D649&amp;", cot_prc_min = "&amp;E649&amp;", cot_prc_max = "&amp;F649&amp;", cot_prc_med = "&amp;G649&amp;", cot_prc_mediana = "&amp;H649&amp;" WHERE cot_id = "&amp;A649&amp;";"</f>
        <v>UPDATE COTACAO SET cot_id = 648, cot_blt_id = 53, cot_pap_id = 16, cot_prc_comum = 54, cot_prc_min = 48, cot_prc_max = 54, cot_prc_med = 52, cot_prc_mediana = 54 WHERE cot_id = 648;</v>
      </c>
    </row>
    <row r="650" customFormat="false" ht="14.25" hidden="false" customHeight="false" outlineLevel="0" collapsed="false">
      <c r="A650" s="0" t="n">
        <v>649</v>
      </c>
      <c r="B650" s="0" t="n">
        <f aca="false">IF('Boletins Nuppa Site'!A650&lt;&gt;0,'Boletins Nuppa Site'!A650,"NULL")</f>
        <v>53</v>
      </c>
      <c r="C650" s="0" t="n">
        <v>17</v>
      </c>
      <c r="D650" s="30" t="n">
        <f aca="false">IF('Boletins Nuppa Site'!G650&lt;&gt;0,'Boletins Nuppa Site'!G650,"NULL")</f>
        <v>5</v>
      </c>
      <c r="E650" s="30" t="n">
        <f aca="false">IF('Boletins Nuppa Site'!H650&lt;&gt;0,'Boletins Nuppa Site'!H650,"NULL")</f>
        <v>5</v>
      </c>
      <c r="F650" s="30" t="n">
        <f aca="false">IF('Boletins Nuppa Site'!I650&lt;&gt;0,'Boletins Nuppa Site'!I650,"NULL")</f>
        <v>6</v>
      </c>
      <c r="G650" s="0" t="str">
        <f aca="false">IF('Boletins Nuppa Site'!J650&lt;&gt;0,'Boletins Nuppa Site'!J650,"NULL")</f>
        <v>53.33</v>
      </c>
      <c r="H650" s="30" t="n">
        <f aca="false">IF('Boletins Nuppa Site'!K650&lt;&gt;0,'Boletins Nuppa Site'!K650,"NULL")</f>
        <v>5</v>
      </c>
      <c r="I650" s="0" t="str">
        <f aca="false">"INSERT INTO COTACAO (cot_id, cot_blt_id, cot_pap_id, cot_prc_comum, cot_prc_min, cot_prc_max, cot_prc_med, cot_prc_mediana) VALUES ("&amp;A650&amp;", "&amp;B650&amp;", "&amp;C650&amp;", "&amp;D650&amp;", "&amp;E650&amp;", "&amp;F650&amp;", "&amp;G650&amp;", "&amp;H650&amp;");"</f>
        <v>INSERT INTO COTACAO (cot_id, cot_blt_id, cot_pap_id, cot_prc_comum, cot_prc_min, cot_prc_max, cot_prc_med, cot_prc_mediana) VALUES (649, 53, 17, 5, 5, 6, 53.33, 5);</v>
      </c>
      <c r="J650" s="0" t="str">
        <f aca="false">"UPDATE COTACAO SET cot_id = "&amp;A650&amp;", cot_blt_id = "&amp;B650&amp;", cot_pap_id = "&amp;C650&amp;", cot_prc_comum = "&amp;D650&amp;", cot_prc_min = "&amp;E650&amp;", cot_prc_max = "&amp;F650&amp;", cot_prc_med = "&amp;G650&amp;", cot_prc_mediana = "&amp;H650&amp;" WHERE cot_id = "&amp;A650&amp;";"</f>
        <v>UPDATE COTACAO SET cot_id = 649, cot_blt_id = 53, cot_pap_id = 17, cot_prc_comum = 5, cot_prc_min = 5, cot_prc_max = 6, cot_prc_med = 53.33, cot_prc_mediana = 5 WHERE cot_id = 649;</v>
      </c>
    </row>
    <row r="651" customFormat="false" ht="14.25" hidden="false" customHeight="false" outlineLevel="0" collapsed="false">
      <c r="A651" s="0" t="n">
        <v>650</v>
      </c>
      <c r="B651" s="0" t="n">
        <f aca="false">IF('Boletins Nuppa Site'!A651&lt;&gt;0,'Boletins Nuppa Site'!A651,"NULL")</f>
        <v>53</v>
      </c>
      <c r="C651" s="0" t="n">
        <v>18</v>
      </c>
      <c r="D651" s="30" t="n">
        <f aca="false">IF('Boletins Nuppa Site'!G651&lt;&gt;0,'Boletins Nuppa Site'!G651,"NULL")</f>
        <v>25</v>
      </c>
      <c r="E651" s="30" t="n">
        <f aca="false">IF('Boletins Nuppa Site'!H651&lt;&gt;0,'Boletins Nuppa Site'!H651,"NULL")</f>
        <v>20</v>
      </c>
      <c r="F651" s="30" t="n">
        <f aca="false">IF('Boletins Nuppa Site'!I651&lt;&gt;0,'Boletins Nuppa Site'!I651,"NULL")</f>
        <v>25</v>
      </c>
      <c r="G651" s="0" t="str">
        <f aca="false">IF('Boletins Nuppa Site'!J651&lt;&gt;0,'Boletins Nuppa Site'!J651,"NULL")</f>
        <v>23.33</v>
      </c>
      <c r="H651" s="30" t="n">
        <f aca="false">IF('Boletins Nuppa Site'!K651&lt;&gt;0,'Boletins Nuppa Site'!K651,"NULL")</f>
        <v>25</v>
      </c>
      <c r="I651" s="0" t="str">
        <f aca="false">"INSERT INTO COTACAO (cot_id, cot_blt_id, cot_pap_id, cot_prc_comum, cot_prc_min, cot_prc_max, cot_prc_med, cot_prc_mediana) VALUES ("&amp;A651&amp;", "&amp;B651&amp;", "&amp;C651&amp;", "&amp;D651&amp;", "&amp;E651&amp;", "&amp;F651&amp;", "&amp;G651&amp;", "&amp;H651&amp;");"</f>
        <v>INSERT INTO COTACAO (cot_id, cot_blt_id, cot_pap_id, cot_prc_comum, cot_prc_min, cot_prc_max, cot_prc_med, cot_prc_mediana) VALUES (650, 53, 18, 25, 20, 25, 23.33, 25);</v>
      </c>
      <c r="J651" s="0" t="str">
        <f aca="false">"UPDATE COTACAO SET cot_id = "&amp;A651&amp;", cot_blt_id = "&amp;B651&amp;", cot_pap_id = "&amp;C651&amp;", cot_prc_comum = "&amp;D651&amp;", cot_prc_min = "&amp;E651&amp;", cot_prc_max = "&amp;F651&amp;", cot_prc_med = "&amp;G651&amp;", cot_prc_mediana = "&amp;H651&amp;" WHERE cot_id = "&amp;A651&amp;";"</f>
        <v>UPDATE COTACAO SET cot_id = 650, cot_blt_id = 53, cot_pap_id = 18, cot_prc_comum = 25, cot_prc_min = 20, cot_prc_max = 25, cot_prc_med = 23.33, cot_prc_mediana = 25 WHERE cot_id = 650;</v>
      </c>
    </row>
    <row r="652" customFormat="false" ht="14.25" hidden="false" customHeight="false" outlineLevel="0" collapsed="false">
      <c r="A652" s="0" t="n">
        <v>651</v>
      </c>
      <c r="B652" s="0" t="n">
        <f aca="false">IF('Boletins Nuppa Site'!A652&lt;&gt;0,'Boletins Nuppa Site'!A652,"NULL")</f>
        <v>53</v>
      </c>
      <c r="C652" s="0" t="n">
        <v>19</v>
      </c>
      <c r="D652" s="0" t="str">
        <f aca="false">IF('Boletins Nuppa Site'!G652&lt;&gt;0,'Boletins Nuppa Site'!G652,"NULL")</f>
        <v>NULL</v>
      </c>
      <c r="E652" s="30" t="n">
        <f aca="false">IF('Boletins Nuppa Site'!H652&lt;&gt;0,'Boletins Nuppa Site'!H652,"NULL")</f>
        <v>25</v>
      </c>
      <c r="F652" s="30" t="n">
        <f aca="false">IF('Boletins Nuppa Site'!I652&lt;&gt;0,'Boletins Nuppa Site'!I652,"NULL")</f>
        <v>32</v>
      </c>
      <c r="G652" s="30" t="n">
        <f aca="false">IF('Boletins Nuppa Site'!J652&lt;&gt;0,'Boletins Nuppa Site'!J652,"NULL")</f>
        <v>29</v>
      </c>
      <c r="H652" s="30" t="n">
        <f aca="false">IF('Boletins Nuppa Site'!K652&lt;&gt;0,'Boletins Nuppa Site'!K652,"NULL")</f>
        <v>30</v>
      </c>
      <c r="I652" s="0" t="str">
        <f aca="false">"INSERT INTO COTACAO (cot_id, cot_blt_id, cot_pap_id, cot_prc_comum, cot_prc_min, cot_prc_max, cot_prc_med, cot_prc_mediana) VALUES ("&amp;A652&amp;", "&amp;B652&amp;", "&amp;C652&amp;", "&amp;D652&amp;", "&amp;E652&amp;", "&amp;F652&amp;", "&amp;G652&amp;", "&amp;H652&amp;");"</f>
        <v>INSERT INTO COTACAO (cot_id, cot_blt_id, cot_pap_id, cot_prc_comum, cot_prc_min, cot_prc_max, cot_prc_med, cot_prc_mediana) VALUES (651, 53, 19, NULL, 25, 32, 29, 30);</v>
      </c>
      <c r="J652" s="0" t="str">
        <f aca="false">"UPDATE COTACAO SET cot_id = "&amp;A652&amp;", cot_blt_id = "&amp;B652&amp;", cot_pap_id = "&amp;C652&amp;", cot_prc_comum = "&amp;D652&amp;", cot_prc_min = "&amp;E652&amp;", cot_prc_max = "&amp;F652&amp;", cot_prc_med = "&amp;G652&amp;", cot_prc_mediana = "&amp;H652&amp;" WHERE cot_id = "&amp;A652&amp;";"</f>
        <v>UPDATE COTACAO SET cot_id = 651, cot_blt_id = 53, cot_pap_id = 19, cot_prc_comum = NULL, cot_prc_min = 25, cot_prc_max = 32, cot_prc_med = 29, cot_prc_mediana = 30 WHERE cot_id = 651;</v>
      </c>
    </row>
    <row r="653" customFormat="false" ht="14.25" hidden="false" customHeight="false" outlineLevel="0" collapsed="false">
      <c r="A653" s="0" t="n">
        <v>652</v>
      </c>
      <c r="B653" s="0" t="n">
        <f aca="false">IF('Boletins Nuppa Site'!A653&lt;&gt;0,'Boletins Nuppa Site'!A653,"NULL")</f>
        <v>53</v>
      </c>
      <c r="C653" s="0" t="n">
        <v>20</v>
      </c>
      <c r="D653" s="0" t="str">
        <f aca="false">IF('Boletins Nuppa Site'!G653&lt;&gt;0,'Boletins Nuppa Site'!G653,"NULL")</f>
        <v>NULL</v>
      </c>
      <c r="E653" s="30" t="n">
        <f aca="false">IF('Boletins Nuppa Site'!H653&lt;&gt;0,'Boletins Nuppa Site'!H653,"NULL")</f>
        <v>85</v>
      </c>
      <c r="F653" s="30" t="n">
        <f aca="false">IF('Boletins Nuppa Site'!I653&lt;&gt;0,'Boletins Nuppa Site'!I653,"NULL")</f>
        <v>90</v>
      </c>
      <c r="G653" s="0" t="str">
        <f aca="false">IF('Boletins Nuppa Site'!J653&lt;&gt;0,'Boletins Nuppa Site'!J653,"NULL")</f>
        <v>87.5</v>
      </c>
      <c r="H653" s="0" t="str">
        <f aca="false">IF('Boletins Nuppa Site'!K653&lt;&gt;0,'Boletins Nuppa Site'!K653,"NULL")</f>
        <v>87.5</v>
      </c>
      <c r="I653" s="0" t="str">
        <f aca="false">"INSERT INTO COTACAO (cot_id, cot_blt_id, cot_pap_id, cot_prc_comum, cot_prc_min, cot_prc_max, cot_prc_med, cot_prc_mediana) VALUES ("&amp;A653&amp;", "&amp;B653&amp;", "&amp;C653&amp;", "&amp;D653&amp;", "&amp;E653&amp;", "&amp;F653&amp;", "&amp;G653&amp;", "&amp;H653&amp;");"</f>
        <v>INSERT INTO COTACAO (cot_id, cot_blt_id, cot_pap_id, cot_prc_comum, cot_prc_min, cot_prc_max, cot_prc_med, cot_prc_mediana) VALUES (652, 53, 20, NULL, 85, 90, 87.5, 87.5);</v>
      </c>
      <c r="J653" s="0" t="str">
        <f aca="false">"UPDATE COTACAO SET cot_id = "&amp;A653&amp;", cot_blt_id = "&amp;B653&amp;", cot_pap_id = "&amp;C653&amp;", cot_prc_comum = "&amp;D653&amp;", cot_prc_min = "&amp;E653&amp;", cot_prc_max = "&amp;F653&amp;", cot_prc_med = "&amp;G653&amp;", cot_prc_mediana = "&amp;H653&amp;" WHERE cot_id = "&amp;A653&amp;";"</f>
        <v>UPDATE COTACAO SET cot_id = 652, cot_blt_id = 53, cot_pap_id = 20, cot_prc_comum = NULL, cot_prc_min = 85, cot_prc_max = 90, cot_prc_med = 87.5, cot_prc_mediana = 87.5 WHERE cot_id = 652;</v>
      </c>
    </row>
    <row r="654" customFormat="false" ht="14.25" hidden="false" customHeight="false" outlineLevel="0" collapsed="false">
      <c r="A654" s="0" t="n">
        <v>653</v>
      </c>
      <c r="B654" s="0" t="n">
        <f aca="false">IF('Boletins Nuppa Site'!A654&lt;&gt;0,'Boletins Nuppa Site'!A654,"NULL")</f>
        <v>53</v>
      </c>
      <c r="C654" s="0" t="n">
        <v>21</v>
      </c>
      <c r="D654" s="30" t="n">
        <f aca="false">IF('Boletins Nuppa Site'!G654&lt;&gt;0,'Boletins Nuppa Site'!G654,"NULL")</f>
        <v>70</v>
      </c>
      <c r="E654" s="30" t="n">
        <f aca="false">IF('Boletins Nuppa Site'!H654&lt;&gt;0,'Boletins Nuppa Site'!H654,"NULL")</f>
        <v>60</v>
      </c>
      <c r="F654" s="30" t="n">
        <f aca="false">IF('Boletins Nuppa Site'!I654&lt;&gt;0,'Boletins Nuppa Site'!I654,"NULL")</f>
        <v>70</v>
      </c>
      <c r="G654" s="0" t="str">
        <f aca="false">IF('Boletins Nuppa Site'!J654&lt;&gt;0,'Boletins Nuppa Site'!J654,"NULL")</f>
        <v>67.5</v>
      </c>
      <c r="H654" s="30" t="n">
        <f aca="false">IF('Boletins Nuppa Site'!K654&lt;&gt;0,'Boletins Nuppa Site'!K654,"NULL")</f>
        <v>70</v>
      </c>
      <c r="I654" s="0" t="str">
        <f aca="false">"INSERT INTO COTACAO (cot_id, cot_blt_id, cot_pap_id, cot_prc_comum, cot_prc_min, cot_prc_max, cot_prc_med, cot_prc_mediana) VALUES ("&amp;A654&amp;", "&amp;B654&amp;", "&amp;C654&amp;", "&amp;D654&amp;", "&amp;E654&amp;", "&amp;F654&amp;", "&amp;G654&amp;", "&amp;H654&amp;");"</f>
        <v>INSERT INTO COTACAO (cot_id, cot_blt_id, cot_pap_id, cot_prc_comum, cot_prc_min, cot_prc_max, cot_prc_med, cot_prc_mediana) VALUES (653, 53, 21, 70, 60, 70, 67.5, 70);</v>
      </c>
      <c r="J654" s="0" t="str">
        <f aca="false">"UPDATE COTACAO SET cot_id = "&amp;A654&amp;", cot_blt_id = "&amp;B654&amp;", cot_pap_id = "&amp;C654&amp;", cot_prc_comum = "&amp;D654&amp;", cot_prc_min = "&amp;E654&amp;", cot_prc_max = "&amp;F654&amp;", cot_prc_med = "&amp;G654&amp;", cot_prc_mediana = "&amp;H654&amp;" WHERE cot_id = "&amp;A654&amp;";"</f>
        <v>UPDATE COTACAO SET cot_id = 653, cot_blt_id = 53, cot_pap_id = 21, cot_prc_comum = 70, cot_prc_min = 60, cot_prc_max = 70, cot_prc_med = 67.5, cot_prc_mediana = 70 WHERE cot_id = 653;</v>
      </c>
    </row>
    <row r="655" customFormat="false" ht="14.25" hidden="false" customHeight="false" outlineLevel="0" collapsed="false">
      <c r="A655" s="0" t="n">
        <v>654</v>
      </c>
      <c r="B655" s="0" t="n">
        <f aca="false">IF('Boletins Nuppa Site'!A655&lt;&gt;0,'Boletins Nuppa Site'!A655,"NULL")</f>
        <v>53</v>
      </c>
      <c r="C655" s="0" t="n">
        <v>22</v>
      </c>
      <c r="D655" s="30" t="n">
        <f aca="false">IF('Boletins Nuppa Site'!G655&lt;&gt;0,'Boletins Nuppa Site'!G655,"NULL")</f>
        <v>65</v>
      </c>
      <c r="E655" s="30" t="n">
        <f aca="false">IF('Boletins Nuppa Site'!H655&lt;&gt;0,'Boletins Nuppa Site'!H655,"NULL")</f>
        <v>45</v>
      </c>
      <c r="F655" s="30" t="n">
        <f aca="false">IF('Boletins Nuppa Site'!I655&lt;&gt;0,'Boletins Nuppa Site'!I655,"NULL")</f>
        <v>65</v>
      </c>
      <c r="G655" s="0" t="str">
        <f aca="false">IF('Boletins Nuppa Site'!J655&lt;&gt;0,'Boletins Nuppa Site'!J655,"NULL")</f>
        <v>56.25</v>
      </c>
      <c r="H655" s="0" t="str">
        <f aca="false">IF('Boletins Nuppa Site'!K655&lt;&gt;0,'Boletins Nuppa Site'!K655,"NULL")</f>
        <v>57.5</v>
      </c>
      <c r="I655" s="0" t="str">
        <f aca="false">"INSERT INTO COTACAO (cot_id, cot_blt_id, cot_pap_id, cot_prc_comum, cot_prc_min, cot_prc_max, cot_prc_med, cot_prc_mediana) VALUES ("&amp;A655&amp;", "&amp;B655&amp;", "&amp;C655&amp;", "&amp;D655&amp;", "&amp;E655&amp;", "&amp;F655&amp;", "&amp;G655&amp;", "&amp;H655&amp;");"</f>
        <v>INSERT INTO COTACAO (cot_id, cot_blt_id, cot_pap_id, cot_prc_comum, cot_prc_min, cot_prc_max, cot_prc_med, cot_prc_mediana) VALUES (654, 53, 22, 65, 45, 65, 56.25, 57.5);</v>
      </c>
      <c r="J655" s="0" t="str">
        <f aca="false">"UPDATE COTACAO SET cot_id = "&amp;A655&amp;", cot_blt_id = "&amp;B655&amp;", cot_pap_id = "&amp;C655&amp;", cot_prc_comum = "&amp;D655&amp;", cot_prc_min = "&amp;E655&amp;", cot_prc_max = "&amp;F655&amp;", cot_prc_med = "&amp;G655&amp;", cot_prc_mediana = "&amp;H655&amp;" WHERE cot_id = "&amp;A655&amp;";"</f>
        <v>UPDATE COTACAO SET cot_id = 654, cot_blt_id = 53, cot_pap_id = 22, cot_prc_comum = 65, cot_prc_min = 45, cot_prc_max = 65, cot_prc_med = 56.25, cot_prc_mediana = 57.5 WHERE cot_id = 654;</v>
      </c>
    </row>
    <row r="656" customFormat="false" ht="14.25" hidden="false" customHeight="false" outlineLevel="0" collapsed="false">
      <c r="A656" s="0" t="n">
        <v>655</v>
      </c>
      <c r="B656" s="0" t="n">
        <f aca="false">IF('Boletins Nuppa Site'!A656&lt;&gt;0,'Boletins Nuppa Site'!A656,"NULL")</f>
        <v>53</v>
      </c>
      <c r="C656" s="0" t="n">
        <v>23</v>
      </c>
      <c r="D656" s="30" t="n">
        <f aca="false">IF('Boletins Nuppa Site'!G656&lt;&gt;0,'Boletins Nuppa Site'!G656,"NULL")</f>
        <v>50</v>
      </c>
      <c r="E656" s="30" t="n">
        <f aca="false">IF('Boletins Nuppa Site'!H656&lt;&gt;0,'Boletins Nuppa Site'!H656,"NULL")</f>
        <v>40</v>
      </c>
      <c r="F656" s="30" t="n">
        <f aca="false">IF('Boletins Nuppa Site'!I656&lt;&gt;0,'Boletins Nuppa Site'!I656,"NULL")</f>
        <v>50</v>
      </c>
      <c r="G656" s="0" t="str">
        <f aca="false">IF('Boletins Nuppa Site'!J656&lt;&gt;0,'Boletins Nuppa Site'!J656,"NULL")</f>
        <v>47.5</v>
      </c>
      <c r="H656" s="30" t="n">
        <f aca="false">IF('Boletins Nuppa Site'!K656&lt;&gt;0,'Boletins Nuppa Site'!K656,"NULL")</f>
        <v>50</v>
      </c>
      <c r="I656" s="0" t="str">
        <f aca="false">"INSERT INTO COTACAO (cot_id, cot_blt_id, cot_pap_id, cot_prc_comum, cot_prc_min, cot_prc_max, cot_prc_med, cot_prc_mediana) VALUES ("&amp;A656&amp;", "&amp;B656&amp;", "&amp;C656&amp;", "&amp;D656&amp;", "&amp;E656&amp;", "&amp;F656&amp;", "&amp;G656&amp;", "&amp;H656&amp;");"</f>
        <v>INSERT INTO COTACAO (cot_id, cot_blt_id, cot_pap_id, cot_prc_comum, cot_prc_min, cot_prc_max, cot_prc_med, cot_prc_mediana) VALUES (655, 53, 23, 50, 40, 50, 47.5, 50);</v>
      </c>
      <c r="J656" s="0" t="str">
        <f aca="false">"UPDATE COTACAO SET cot_id = "&amp;A656&amp;", cot_blt_id = "&amp;B656&amp;", cot_pap_id = "&amp;C656&amp;", cot_prc_comum = "&amp;D656&amp;", cot_prc_min = "&amp;E656&amp;", cot_prc_max = "&amp;F656&amp;", cot_prc_med = "&amp;G656&amp;", cot_prc_mediana = "&amp;H656&amp;" WHERE cot_id = "&amp;A656&amp;";"</f>
        <v>UPDATE COTACAO SET cot_id = 655, cot_blt_id = 53, cot_pap_id = 23, cot_prc_comum = 50, cot_prc_min = 40, cot_prc_max = 50, cot_prc_med = 47.5, cot_prc_mediana = 50 WHERE cot_id = 655;</v>
      </c>
    </row>
    <row r="657" customFormat="false" ht="14.25" hidden="false" customHeight="false" outlineLevel="0" collapsed="false">
      <c r="A657" s="0" t="n">
        <v>656</v>
      </c>
      <c r="B657" s="0" t="n">
        <f aca="false">IF('Boletins Nuppa Site'!A657&lt;&gt;0,'Boletins Nuppa Site'!A657,"NULL")</f>
        <v>53</v>
      </c>
      <c r="C657" s="0" t="n">
        <v>24</v>
      </c>
      <c r="D657" s="30" t="n">
        <f aca="false">IF('Boletins Nuppa Site'!G657&lt;&gt;0,'Boletins Nuppa Site'!G657,"NULL")</f>
        <v>100</v>
      </c>
      <c r="E657" s="30" t="n">
        <f aca="false">IF('Boletins Nuppa Site'!H657&lt;&gt;0,'Boletins Nuppa Site'!H657,"NULL")</f>
        <v>90</v>
      </c>
      <c r="F657" s="30" t="n">
        <f aca="false">IF('Boletins Nuppa Site'!I657&lt;&gt;0,'Boletins Nuppa Site'!I657,"NULL")</f>
        <v>100</v>
      </c>
      <c r="G657" s="0" t="str">
        <f aca="false">IF('Boletins Nuppa Site'!J657&lt;&gt;0,'Boletins Nuppa Site'!J657,"NULL")</f>
        <v>96.67</v>
      </c>
      <c r="H657" s="30" t="n">
        <f aca="false">IF('Boletins Nuppa Site'!K657&lt;&gt;0,'Boletins Nuppa Site'!K657,"NULL")</f>
        <v>100</v>
      </c>
      <c r="I657" s="0" t="str">
        <f aca="false">"INSERT INTO COTACAO (cot_id, cot_blt_id, cot_pap_id, cot_prc_comum, cot_prc_min, cot_prc_max, cot_prc_med, cot_prc_mediana) VALUES ("&amp;A657&amp;", "&amp;B657&amp;", "&amp;C657&amp;", "&amp;D657&amp;", "&amp;E657&amp;", "&amp;F657&amp;", "&amp;G657&amp;", "&amp;H657&amp;");"</f>
        <v>INSERT INTO COTACAO (cot_id, cot_blt_id, cot_pap_id, cot_prc_comum, cot_prc_min, cot_prc_max, cot_prc_med, cot_prc_mediana) VALUES (656, 53, 24, 100, 90, 100, 96.67, 100);</v>
      </c>
      <c r="J657" s="0" t="str">
        <f aca="false">"UPDATE COTACAO SET cot_id = "&amp;A657&amp;", cot_blt_id = "&amp;B657&amp;", cot_pap_id = "&amp;C657&amp;", cot_prc_comum = "&amp;D657&amp;", cot_prc_min = "&amp;E657&amp;", cot_prc_max = "&amp;F657&amp;", cot_prc_med = "&amp;G657&amp;", cot_prc_mediana = "&amp;H657&amp;" WHERE cot_id = "&amp;A657&amp;";"</f>
        <v>UPDATE COTACAO SET cot_id = 656, cot_blt_id = 53, cot_pap_id = 24, cot_prc_comum = 100, cot_prc_min = 90, cot_prc_max = 100, cot_prc_med = 96.67, cot_prc_mediana = 100 WHERE cot_id = 656;</v>
      </c>
    </row>
    <row r="658" customFormat="false" ht="14.25" hidden="false" customHeight="false" outlineLevel="0" collapsed="false">
      <c r="A658" s="0" t="n">
        <v>657</v>
      </c>
      <c r="B658" s="0" t="n">
        <f aca="false">IF('Boletins Nuppa Site'!A658&lt;&gt;0,'Boletins Nuppa Site'!A658,"NULL")</f>
        <v>53</v>
      </c>
      <c r="C658" s="0" t="n">
        <v>25</v>
      </c>
      <c r="D658" s="30" t="n">
        <f aca="false">IF('Boletins Nuppa Site'!G658&lt;&gt;0,'Boletins Nuppa Site'!G658,"NULL")</f>
        <v>110</v>
      </c>
      <c r="E658" s="30" t="n">
        <f aca="false">IF('Boletins Nuppa Site'!H658&lt;&gt;0,'Boletins Nuppa Site'!H658,"NULL")</f>
        <v>110</v>
      </c>
      <c r="F658" s="30" t="n">
        <f aca="false">IF('Boletins Nuppa Site'!I658&lt;&gt;0,'Boletins Nuppa Site'!I658,"NULL")</f>
        <v>150</v>
      </c>
      <c r="G658" s="0" t="str">
        <f aca="false">IF('Boletins Nuppa Site'!J658&lt;&gt;0,'Boletins Nuppa Site'!J658,"NULL")</f>
        <v>128.75</v>
      </c>
      <c r="H658" s="0" t="str">
        <f aca="false">IF('Boletins Nuppa Site'!K658&lt;&gt;0,'Boletins Nuppa Site'!K658,"NULL")</f>
        <v>127.5</v>
      </c>
      <c r="I658" s="0" t="str">
        <f aca="false">"INSERT INTO COTACAO (cot_id, cot_blt_id, cot_pap_id, cot_prc_comum, cot_prc_min, cot_prc_max, cot_prc_med, cot_prc_mediana) VALUES ("&amp;A658&amp;", "&amp;B658&amp;", "&amp;C658&amp;", "&amp;D658&amp;", "&amp;E658&amp;", "&amp;F658&amp;", "&amp;G658&amp;", "&amp;H658&amp;");"</f>
        <v>INSERT INTO COTACAO (cot_id, cot_blt_id, cot_pap_id, cot_prc_comum, cot_prc_min, cot_prc_max, cot_prc_med, cot_prc_mediana) VALUES (657, 53, 25, 110, 110, 150, 128.75, 127.5);</v>
      </c>
      <c r="J658" s="0" t="str">
        <f aca="false">"UPDATE COTACAO SET cot_id = "&amp;A658&amp;", cot_blt_id = "&amp;B658&amp;", cot_pap_id = "&amp;C658&amp;", cot_prc_comum = "&amp;D658&amp;", cot_prc_min = "&amp;E658&amp;", cot_prc_max = "&amp;F658&amp;", cot_prc_med = "&amp;G658&amp;", cot_prc_mediana = "&amp;H658&amp;" WHERE cot_id = "&amp;A658&amp;";"</f>
        <v>UPDATE COTACAO SET cot_id = 657, cot_blt_id = 53, cot_pap_id = 25, cot_prc_comum = 110, cot_prc_min = 110, cot_prc_max = 150, cot_prc_med = 128.75, cot_prc_mediana = 127.5 WHERE cot_id = 657;</v>
      </c>
    </row>
    <row r="659" customFormat="false" ht="14.25" hidden="false" customHeight="false" outlineLevel="0" collapsed="false">
      <c r="A659" s="0" t="n">
        <v>658</v>
      </c>
      <c r="B659" s="0" t="n">
        <f aca="false">IF('Boletins Nuppa Site'!A659&lt;&gt;0,'Boletins Nuppa Site'!A659,"NULL")</f>
        <v>53</v>
      </c>
      <c r="C659" s="0" t="n">
        <v>26</v>
      </c>
      <c r="D659" s="30" t="n">
        <f aca="false">IF('Boletins Nuppa Site'!G659&lt;&gt;0,'Boletins Nuppa Site'!G659,"NULL")</f>
        <v>170</v>
      </c>
      <c r="E659" s="30" t="n">
        <f aca="false">IF('Boletins Nuppa Site'!H659&lt;&gt;0,'Boletins Nuppa Site'!H659,"NULL")</f>
        <v>100</v>
      </c>
      <c r="F659" s="30" t="n">
        <f aca="false">IF('Boletins Nuppa Site'!I659&lt;&gt;0,'Boletins Nuppa Site'!I659,"NULL")</f>
        <v>170</v>
      </c>
      <c r="G659" s="30" t="n">
        <f aca="false">IF('Boletins Nuppa Site'!J659&lt;&gt;0,'Boletins Nuppa Site'!J659,"NULL")</f>
        <v>135</v>
      </c>
      <c r="H659" s="30" t="n">
        <f aca="false">IF('Boletins Nuppa Site'!K659&lt;&gt;0,'Boletins Nuppa Site'!K659,"NULL")</f>
        <v>135</v>
      </c>
      <c r="I659" s="0" t="str">
        <f aca="false">"INSERT INTO COTACAO (cot_id, cot_blt_id, cot_pap_id, cot_prc_comum, cot_prc_min, cot_prc_max, cot_prc_med, cot_prc_mediana) VALUES ("&amp;A659&amp;", "&amp;B659&amp;", "&amp;C659&amp;", "&amp;D659&amp;", "&amp;E659&amp;", "&amp;F659&amp;", "&amp;G659&amp;", "&amp;H659&amp;");"</f>
        <v>INSERT INTO COTACAO (cot_id, cot_blt_id, cot_pap_id, cot_prc_comum, cot_prc_min, cot_prc_max, cot_prc_med, cot_prc_mediana) VALUES (658, 53, 26, 170, 100, 170, 135, 135);</v>
      </c>
      <c r="J659" s="0" t="str">
        <f aca="false">"UPDATE COTACAO SET cot_id = "&amp;A659&amp;", cot_blt_id = "&amp;B659&amp;", cot_pap_id = "&amp;C659&amp;", cot_prc_comum = "&amp;D659&amp;", cot_prc_min = "&amp;E659&amp;", cot_prc_max = "&amp;F659&amp;", cot_prc_med = "&amp;G659&amp;", cot_prc_mediana = "&amp;H659&amp;" WHERE cot_id = "&amp;A659&amp;";"</f>
        <v>UPDATE COTACAO SET cot_id = 658, cot_blt_id = 53, cot_pap_id = 26, cot_prc_comum = 170, cot_prc_min = 100, cot_prc_max = 170, cot_prc_med = 135, cot_prc_mediana = 135 WHERE cot_id = 658;</v>
      </c>
    </row>
    <row r="660" customFormat="false" ht="14.25" hidden="false" customHeight="false" outlineLevel="0" collapsed="false">
      <c r="A660" s="0" t="n">
        <v>659</v>
      </c>
      <c r="B660" s="0" t="n">
        <f aca="false">IF('Boletins Nuppa Site'!A660&lt;&gt;0,'Boletins Nuppa Site'!A660,"NULL")</f>
        <v>53</v>
      </c>
      <c r="C660" s="0" t="n">
        <v>27</v>
      </c>
      <c r="D660" s="30" t="n">
        <f aca="false">IF('Boletins Nuppa Site'!G660&lt;&gt;0,'Boletins Nuppa Site'!G660,"NULL")</f>
        <v>50</v>
      </c>
      <c r="E660" s="30" t="n">
        <f aca="false">IF('Boletins Nuppa Site'!H660&lt;&gt;0,'Boletins Nuppa Site'!H660,"NULL")</f>
        <v>50</v>
      </c>
      <c r="F660" s="30" t="n">
        <f aca="false">IF('Boletins Nuppa Site'!I660&lt;&gt;0,'Boletins Nuppa Site'!I660,"NULL")</f>
        <v>60</v>
      </c>
      <c r="G660" s="30" t="n">
        <f aca="false">IF('Boletins Nuppa Site'!J660&lt;&gt;0,'Boletins Nuppa Site'!J660,"NULL")</f>
        <v>55</v>
      </c>
      <c r="H660" s="30" t="n">
        <f aca="false">IF('Boletins Nuppa Site'!K660&lt;&gt;0,'Boletins Nuppa Site'!K660,"NULL")</f>
        <v>55</v>
      </c>
      <c r="I660" s="0" t="str">
        <f aca="false">"INSERT INTO COTACAO (cot_id, cot_blt_id, cot_pap_id, cot_prc_comum, cot_prc_min, cot_prc_max, cot_prc_med, cot_prc_mediana) VALUES ("&amp;A660&amp;", "&amp;B660&amp;", "&amp;C660&amp;", "&amp;D660&amp;", "&amp;E660&amp;", "&amp;F660&amp;", "&amp;G660&amp;", "&amp;H660&amp;");"</f>
        <v>INSERT INTO COTACAO (cot_id, cot_blt_id, cot_pap_id, cot_prc_comum, cot_prc_min, cot_prc_max, cot_prc_med, cot_prc_mediana) VALUES (659, 53, 27, 50, 50, 60, 55, 55);</v>
      </c>
      <c r="J660" s="0" t="str">
        <f aca="false">"UPDATE COTACAO SET cot_id = "&amp;A660&amp;", cot_blt_id = "&amp;B660&amp;", cot_pap_id = "&amp;C660&amp;", cot_prc_comum = "&amp;D660&amp;", cot_prc_min = "&amp;E660&amp;", cot_prc_max = "&amp;F660&amp;", cot_prc_med = "&amp;G660&amp;", cot_prc_mediana = "&amp;H660&amp;" WHERE cot_id = "&amp;A660&amp;";"</f>
        <v>UPDATE COTACAO SET cot_id = 659, cot_blt_id = 53, cot_pap_id = 27, cot_prc_comum = 50, cot_prc_min = 50, cot_prc_max = 60, cot_prc_med = 55, cot_prc_mediana = 55 WHERE cot_id = 659;</v>
      </c>
    </row>
    <row r="661" customFormat="false" ht="14.25" hidden="false" customHeight="false" outlineLevel="0" collapsed="false">
      <c r="A661" s="0" t="n">
        <v>660</v>
      </c>
      <c r="B661" s="0" t="n">
        <f aca="false">IF('Boletins Nuppa Site'!A661&lt;&gt;0,'Boletins Nuppa Site'!A661,"NULL")</f>
        <v>53</v>
      </c>
      <c r="C661" s="0" t="n">
        <v>28</v>
      </c>
      <c r="D661" s="30" t="n">
        <f aca="false">IF('Boletins Nuppa Site'!G661&lt;&gt;0,'Boletins Nuppa Site'!G661,"NULL")</f>
        <v>90</v>
      </c>
      <c r="E661" s="30" t="n">
        <f aca="false">IF('Boletins Nuppa Site'!H661&lt;&gt;0,'Boletins Nuppa Site'!H661,"NULL")</f>
        <v>80</v>
      </c>
      <c r="F661" s="30" t="n">
        <f aca="false">IF('Boletins Nuppa Site'!I661&lt;&gt;0,'Boletins Nuppa Site'!I661,"NULL")</f>
        <v>90</v>
      </c>
      <c r="G661" s="0" t="str">
        <f aca="false">IF('Boletins Nuppa Site'!J661&lt;&gt;0,'Boletins Nuppa Site'!J661,"NULL")</f>
        <v>86.67</v>
      </c>
      <c r="H661" s="30" t="n">
        <f aca="false">IF('Boletins Nuppa Site'!K661&lt;&gt;0,'Boletins Nuppa Site'!K661,"NULL")</f>
        <v>90</v>
      </c>
      <c r="I661" s="0" t="str">
        <f aca="false">"INSERT INTO COTACAO (cot_id, cot_blt_id, cot_pap_id, cot_prc_comum, cot_prc_min, cot_prc_max, cot_prc_med, cot_prc_mediana) VALUES ("&amp;A661&amp;", "&amp;B661&amp;", "&amp;C661&amp;", "&amp;D661&amp;", "&amp;E661&amp;", "&amp;F661&amp;", "&amp;G661&amp;", "&amp;H661&amp;");"</f>
        <v>INSERT INTO COTACAO (cot_id, cot_blt_id, cot_pap_id, cot_prc_comum, cot_prc_min, cot_prc_max, cot_prc_med, cot_prc_mediana) VALUES (660, 53, 28, 90, 80, 90, 86.67, 90);</v>
      </c>
      <c r="J661" s="0" t="str">
        <f aca="false">"UPDATE COTACAO SET cot_id = "&amp;A661&amp;", cot_blt_id = "&amp;B661&amp;", cot_pap_id = "&amp;C661&amp;", cot_prc_comum = "&amp;D661&amp;", cot_prc_min = "&amp;E661&amp;", cot_prc_max = "&amp;F661&amp;", cot_prc_med = "&amp;G661&amp;", cot_prc_mediana = "&amp;H661&amp;" WHERE cot_id = "&amp;A661&amp;";"</f>
        <v>UPDATE COTACAO SET cot_id = 660, cot_blt_id = 53, cot_pap_id = 28, cot_prc_comum = 90, cot_prc_min = 80, cot_prc_max = 90, cot_prc_med = 86.67, cot_prc_mediana = 90 WHERE cot_id = 660;</v>
      </c>
    </row>
    <row r="662" customFormat="false" ht="14.25" hidden="false" customHeight="false" outlineLevel="0" collapsed="false">
      <c r="A662" s="0" t="n">
        <v>661</v>
      </c>
      <c r="B662" s="0" t="n">
        <f aca="false">IF('Boletins Nuppa Site'!A662&lt;&gt;0,'Boletins Nuppa Site'!A662,"NULL")</f>
        <v>53</v>
      </c>
      <c r="C662" s="0" t="n">
        <v>29</v>
      </c>
      <c r="D662" s="30" t="n">
        <f aca="false">IF('Boletins Nuppa Site'!G662&lt;&gt;0,'Boletins Nuppa Site'!G662,"NULL")</f>
        <v>75</v>
      </c>
      <c r="E662" s="30" t="n">
        <f aca="false">IF('Boletins Nuppa Site'!H662&lt;&gt;0,'Boletins Nuppa Site'!H662,"NULL")</f>
        <v>75</v>
      </c>
      <c r="F662" s="30" t="n">
        <f aca="false">IF('Boletins Nuppa Site'!I662&lt;&gt;0,'Boletins Nuppa Site'!I662,"NULL")</f>
        <v>75</v>
      </c>
      <c r="G662" s="30" t="n">
        <f aca="false">IF('Boletins Nuppa Site'!J662&lt;&gt;0,'Boletins Nuppa Site'!J662,"NULL")</f>
        <v>75</v>
      </c>
      <c r="H662" s="30" t="n">
        <f aca="false">IF('Boletins Nuppa Site'!K662&lt;&gt;0,'Boletins Nuppa Site'!K662,"NULL")</f>
        <v>75</v>
      </c>
      <c r="I662" s="0" t="str">
        <f aca="false">"INSERT INTO COTACAO (cot_id, cot_blt_id, cot_pap_id, cot_prc_comum, cot_prc_min, cot_prc_max, cot_prc_med, cot_prc_mediana) VALUES ("&amp;A662&amp;", "&amp;B662&amp;", "&amp;C662&amp;", "&amp;D662&amp;", "&amp;E662&amp;", "&amp;F662&amp;", "&amp;G662&amp;", "&amp;H662&amp;");"</f>
        <v>INSERT INTO COTACAO (cot_id, cot_blt_id, cot_pap_id, cot_prc_comum, cot_prc_min, cot_prc_max, cot_prc_med, cot_prc_mediana) VALUES (661, 53, 29, 75, 75, 75, 75, 75);</v>
      </c>
      <c r="J662" s="0" t="str">
        <f aca="false">"UPDATE COTACAO SET cot_id = "&amp;A662&amp;", cot_blt_id = "&amp;B662&amp;", cot_pap_id = "&amp;C662&amp;", cot_prc_comum = "&amp;D662&amp;", cot_prc_min = "&amp;E662&amp;", cot_prc_max = "&amp;F662&amp;", cot_prc_med = "&amp;G662&amp;", cot_prc_mediana = "&amp;H662&amp;" WHERE cot_id = "&amp;A662&amp;";"</f>
        <v>UPDATE COTACAO SET cot_id = 661, cot_blt_id = 53, cot_pap_id = 29, cot_prc_comum = 75, cot_prc_min = 75, cot_prc_max = 75, cot_prc_med = 75, cot_prc_mediana = 75 WHERE cot_id = 661;</v>
      </c>
    </row>
    <row r="663" customFormat="false" ht="14.25" hidden="false" customHeight="false" outlineLevel="0" collapsed="false">
      <c r="A663" s="0" t="n">
        <v>662</v>
      </c>
      <c r="B663" s="0" t="n">
        <f aca="false">IF('Boletins Nuppa Site'!A663&lt;&gt;0,'Boletins Nuppa Site'!A663,"NULL")</f>
        <v>53</v>
      </c>
      <c r="C663" s="0" t="n">
        <v>30</v>
      </c>
      <c r="D663" s="0" t="str">
        <f aca="false">IF('Boletins Nuppa Site'!G663&lt;&gt;0,'Boletins Nuppa Site'!G663,"NULL")</f>
        <v>NULL</v>
      </c>
      <c r="E663" s="30" t="n">
        <f aca="false">IF('Boletins Nuppa Site'!H663&lt;&gt;0,'Boletins Nuppa Site'!H663,"NULL")</f>
        <v>50</v>
      </c>
      <c r="F663" s="30" t="n">
        <f aca="false">IF('Boletins Nuppa Site'!I663&lt;&gt;0,'Boletins Nuppa Site'!I663,"NULL")</f>
        <v>85</v>
      </c>
      <c r="G663" s="0" t="str">
        <f aca="false">IF('Boletins Nuppa Site'!J663&lt;&gt;0,'Boletins Nuppa Site'!J663,"NULL")</f>
        <v>68.33</v>
      </c>
      <c r="H663" s="30" t="n">
        <f aca="false">IF('Boletins Nuppa Site'!K663&lt;&gt;0,'Boletins Nuppa Site'!K663,"NULL")</f>
        <v>70</v>
      </c>
      <c r="I663" s="0" t="str">
        <f aca="false">"INSERT INTO COTACAO (cot_id, cot_blt_id, cot_pap_id, cot_prc_comum, cot_prc_min, cot_prc_max, cot_prc_med, cot_prc_mediana) VALUES ("&amp;A663&amp;", "&amp;B663&amp;", "&amp;C663&amp;", "&amp;D663&amp;", "&amp;E663&amp;", "&amp;F663&amp;", "&amp;G663&amp;", "&amp;H663&amp;");"</f>
        <v>INSERT INTO COTACAO (cot_id, cot_blt_id, cot_pap_id, cot_prc_comum, cot_prc_min, cot_prc_max, cot_prc_med, cot_prc_mediana) VALUES (662, 53, 30, NULL, 50, 85, 68.33, 70);</v>
      </c>
      <c r="J663" s="0" t="str">
        <f aca="false">"UPDATE COTACAO SET cot_id = "&amp;A663&amp;", cot_blt_id = "&amp;B663&amp;", cot_pap_id = "&amp;C663&amp;", cot_prc_comum = "&amp;D663&amp;", cot_prc_min = "&amp;E663&amp;", cot_prc_max = "&amp;F663&amp;", cot_prc_med = "&amp;G663&amp;", cot_prc_mediana = "&amp;H663&amp;" WHERE cot_id = "&amp;A663&amp;";"</f>
        <v>UPDATE COTACAO SET cot_id = 662, cot_blt_id = 53, cot_pap_id = 30, cot_prc_comum = NULL, cot_prc_min = 50, cot_prc_max = 85, cot_prc_med = 68.33, cot_prc_mediana = 70 WHERE cot_id = 662;</v>
      </c>
    </row>
    <row r="664" customFormat="false" ht="14.25" hidden="false" customHeight="false" outlineLevel="0" collapsed="false">
      <c r="A664" s="0" t="n">
        <v>663</v>
      </c>
      <c r="B664" s="0" t="n">
        <f aca="false">IF('Boletins Nuppa Site'!A664&lt;&gt;0,'Boletins Nuppa Site'!A664,"NULL")</f>
        <v>53</v>
      </c>
      <c r="C664" s="0" t="n">
        <v>31</v>
      </c>
      <c r="D664" s="30" t="n">
        <f aca="false">IF('Boletins Nuppa Site'!G664&lt;&gt;0,'Boletins Nuppa Site'!G664,"NULL")</f>
        <v>80</v>
      </c>
      <c r="E664" s="30" t="n">
        <f aca="false">IF('Boletins Nuppa Site'!H664&lt;&gt;0,'Boletins Nuppa Site'!H664,"NULL")</f>
        <v>80</v>
      </c>
      <c r="F664" s="30" t="n">
        <f aca="false">IF('Boletins Nuppa Site'!I664&lt;&gt;0,'Boletins Nuppa Site'!I664,"NULL")</f>
        <v>150</v>
      </c>
      <c r="G664" s="30" t="n">
        <f aca="false">IF('Boletins Nuppa Site'!J664&lt;&gt;0,'Boletins Nuppa Site'!J664,"NULL")</f>
        <v>100</v>
      </c>
      <c r="H664" s="30" t="n">
        <f aca="false">IF('Boletins Nuppa Site'!K664&lt;&gt;0,'Boletins Nuppa Site'!K664,"NULL")</f>
        <v>85</v>
      </c>
      <c r="I664" s="0" t="str">
        <f aca="false">"INSERT INTO COTACAO (cot_id, cot_blt_id, cot_pap_id, cot_prc_comum, cot_prc_min, cot_prc_max, cot_prc_med, cot_prc_mediana) VALUES ("&amp;A664&amp;", "&amp;B664&amp;", "&amp;C664&amp;", "&amp;D664&amp;", "&amp;E664&amp;", "&amp;F664&amp;", "&amp;G664&amp;", "&amp;H664&amp;");"</f>
        <v>INSERT INTO COTACAO (cot_id, cot_blt_id, cot_pap_id, cot_prc_comum, cot_prc_min, cot_prc_max, cot_prc_med, cot_prc_mediana) VALUES (663, 53, 31, 80, 80, 150, 100, 85);</v>
      </c>
      <c r="J664" s="0" t="str">
        <f aca="false">"UPDATE COTACAO SET cot_id = "&amp;A664&amp;", cot_blt_id = "&amp;B664&amp;", cot_pap_id = "&amp;C664&amp;", cot_prc_comum = "&amp;D664&amp;", cot_prc_min = "&amp;E664&amp;", cot_prc_max = "&amp;F664&amp;", cot_prc_med = "&amp;G664&amp;", cot_prc_mediana = "&amp;H664&amp;" WHERE cot_id = "&amp;A664&amp;";"</f>
        <v>UPDATE COTACAO SET cot_id = 663, cot_blt_id = 53, cot_pap_id = 31, cot_prc_comum = 80, cot_prc_min = 80, cot_prc_max = 150, cot_prc_med = 100, cot_prc_mediana = 85 WHERE cot_id = 663;</v>
      </c>
    </row>
    <row r="665" customFormat="false" ht="14.25" hidden="false" customHeight="false" outlineLevel="0" collapsed="false">
      <c r="A665" s="0" t="n">
        <v>664</v>
      </c>
      <c r="B665" s="0" t="n">
        <f aca="false">IF('Boletins Nuppa Site'!A665&lt;&gt;0,'Boletins Nuppa Site'!A665,"NULL")</f>
        <v>53</v>
      </c>
      <c r="C665" s="0" t="n">
        <v>32</v>
      </c>
      <c r="D665" s="30" t="n">
        <f aca="false">IF('Boletins Nuppa Site'!G665&lt;&gt;0,'Boletins Nuppa Site'!G665,"NULL")</f>
        <v>50</v>
      </c>
      <c r="E665" s="30" t="n">
        <f aca="false">IF('Boletins Nuppa Site'!H665&lt;&gt;0,'Boletins Nuppa Site'!H665,"NULL")</f>
        <v>50</v>
      </c>
      <c r="F665" s="30" t="n">
        <f aca="false">IF('Boletins Nuppa Site'!I665&lt;&gt;0,'Boletins Nuppa Site'!I665,"NULL")</f>
        <v>65</v>
      </c>
      <c r="G665" s="30" t="n">
        <f aca="false">IF('Boletins Nuppa Site'!J665&lt;&gt;0,'Boletins Nuppa Site'!J665,"NULL")</f>
        <v>56</v>
      </c>
      <c r="H665" s="30" t="n">
        <f aca="false">IF('Boletins Nuppa Site'!K665&lt;&gt;0,'Boletins Nuppa Site'!K665,"NULL")</f>
        <v>55</v>
      </c>
      <c r="I665" s="0" t="str">
        <f aca="false">"INSERT INTO COTACAO (cot_id, cot_blt_id, cot_pap_id, cot_prc_comum, cot_prc_min, cot_prc_max, cot_prc_med, cot_prc_mediana) VALUES ("&amp;A665&amp;", "&amp;B665&amp;", "&amp;C665&amp;", "&amp;D665&amp;", "&amp;E665&amp;", "&amp;F665&amp;", "&amp;G665&amp;", "&amp;H665&amp;");"</f>
        <v>INSERT INTO COTACAO (cot_id, cot_blt_id, cot_pap_id, cot_prc_comum, cot_prc_min, cot_prc_max, cot_prc_med, cot_prc_mediana) VALUES (664, 53, 32, 50, 50, 65, 56, 55);</v>
      </c>
      <c r="J665" s="0" t="str">
        <f aca="false">"UPDATE COTACAO SET cot_id = "&amp;A665&amp;", cot_blt_id = "&amp;B665&amp;", cot_pap_id = "&amp;C665&amp;", cot_prc_comum = "&amp;D665&amp;", cot_prc_min = "&amp;E665&amp;", cot_prc_max = "&amp;F665&amp;", cot_prc_med = "&amp;G665&amp;", cot_prc_mediana = "&amp;H665&amp;" WHERE cot_id = "&amp;A665&amp;";"</f>
        <v>UPDATE COTACAO SET cot_id = 664, cot_blt_id = 53, cot_pap_id = 32, cot_prc_comum = 50, cot_prc_min = 50, cot_prc_max = 65, cot_prc_med = 56, cot_prc_mediana = 55 WHERE cot_id = 664;</v>
      </c>
    </row>
    <row r="666" customFormat="false" ht="14.25" hidden="false" customHeight="false" outlineLevel="0" collapsed="false">
      <c r="A666" s="0" t="n">
        <v>665</v>
      </c>
      <c r="B666" s="0" t="n">
        <f aca="false">IF('Boletins Nuppa Site'!A666&lt;&gt;0,'Boletins Nuppa Site'!A666,"NULL")</f>
        <v>53</v>
      </c>
      <c r="C666" s="0" t="n">
        <v>33</v>
      </c>
      <c r="D666" s="30" t="n">
        <f aca="false">IF('Boletins Nuppa Site'!G666&lt;&gt;0,'Boletins Nuppa Site'!G666,"NULL")</f>
        <v>120</v>
      </c>
      <c r="E666" s="30" t="n">
        <f aca="false">IF('Boletins Nuppa Site'!H666&lt;&gt;0,'Boletins Nuppa Site'!H666,"NULL")</f>
        <v>100</v>
      </c>
      <c r="F666" s="30" t="n">
        <f aca="false">IF('Boletins Nuppa Site'!I666&lt;&gt;0,'Boletins Nuppa Site'!I666,"NULL")</f>
        <v>120</v>
      </c>
      <c r="G666" s="0" t="str">
        <f aca="false">IF('Boletins Nuppa Site'!J666&lt;&gt;0,'Boletins Nuppa Site'!J666,"NULL")</f>
        <v>112.5</v>
      </c>
      <c r="H666" s="30" t="n">
        <f aca="false">IF('Boletins Nuppa Site'!K666&lt;&gt;0,'Boletins Nuppa Site'!K666,"NULL")</f>
        <v>115</v>
      </c>
      <c r="I666" s="0" t="str">
        <f aca="false">"INSERT INTO COTACAO (cot_id, cot_blt_id, cot_pap_id, cot_prc_comum, cot_prc_min, cot_prc_max, cot_prc_med, cot_prc_mediana) VALUES ("&amp;A666&amp;", "&amp;B666&amp;", "&amp;C666&amp;", "&amp;D666&amp;", "&amp;E666&amp;", "&amp;F666&amp;", "&amp;G666&amp;", "&amp;H666&amp;");"</f>
        <v>INSERT INTO COTACAO (cot_id, cot_blt_id, cot_pap_id, cot_prc_comum, cot_prc_min, cot_prc_max, cot_prc_med, cot_prc_mediana) VALUES (665, 53, 33, 120, 100, 120, 112.5, 115);</v>
      </c>
      <c r="J666" s="0" t="str">
        <f aca="false">"UPDATE COTACAO SET cot_id = "&amp;A666&amp;", cot_blt_id = "&amp;B666&amp;", cot_pap_id = "&amp;C666&amp;", cot_prc_comum = "&amp;D666&amp;", cot_prc_min = "&amp;E666&amp;", cot_prc_max = "&amp;F666&amp;", cot_prc_med = "&amp;G666&amp;", cot_prc_mediana = "&amp;H666&amp;" WHERE cot_id = "&amp;A666&amp;";"</f>
        <v>UPDATE COTACAO SET cot_id = 665, cot_blt_id = 53, cot_pap_id = 33, cot_prc_comum = 120, cot_prc_min = 100, cot_prc_max = 120, cot_prc_med = 112.5, cot_prc_mediana = 115 WHERE cot_id = 665;</v>
      </c>
    </row>
    <row r="667" customFormat="false" ht="14.25" hidden="false" customHeight="false" outlineLevel="0" collapsed="false">
      <c r="A667" s="0" t="n">
        <v>666</v>
      </c>
      <c r="B667" s="0" t="n">
        <f aca="false">IF('Boletins Nuppa Site'!A667&lt;&gt;0,'Boletins Nuppa Site'!A667,"NULL")</f>
        <v>53</v>
      </c>
      <c r="C667" s="0" t="n">
        <v>34</v>
      </c>
      <c r="D667" s="30" t="n">
        <f aca="false">IF('Boletins Nuppa Site'!G667&lt;&gt;0,'Boletins Nuppa Site'!G667,"NULL")</f>
        <v>140</v>
      </c>
      <c r="E667" s="30" t="n">
        <f aca="false">IF('Boletins Nuppa Site'!H667&lt;&gt;0,'Boletins Nuppa Site'!H667,"NULL")</f>
        <v>80</v>
      </c>
      <c r="F667" s="30" t="n">
        <f aca="false">IF('Boletins Nuppa Site'!I667&lt;&gt;0,'Boletins Nuppa Site'!I667,"NULL")</f>
        <v>140</v>
      </c>
      <c r="G667" s="0" t="str">
        <f aca="false">IF('Boletins Nuppa Site'!J667&lt;&gt;0,'Boletins Nuppa Site'!J667,"NULL")</f>
        <v>111.67</v>
      </c>
      <c r="H667" s="30" t="n">
        <f aca="false">IF('Boletins Nuppa Site'!K667&lt;&gt;0,'Boletins Nuppa Site'!K667,"NULL")</f>
        <v>105</v>
      </c>
      <c r="I667" s="0" t="str">
        <f aca="false">"INSERT INTO COTACAO (cot_id, cot_blt_id, cot_pap_id, cot_prc_comum, cot_prc_min, cot_prc_max, cot_prc_med, cot_prc_mediana) VALUES ("&amp;A667&amp;", "&amp;B667&amp;", "&amp;C667&amp;", "&amp;D667&amp;", "&amp;E667&amp;", "&amp;F667&amp;", "&amp;G667&amp;", "&amp;H667&amp;");"</f>
        <v>INSERT INTO COTACAO (cot_id, cot_blt_id, cot_pap_id, cot_prc_comum, cot_prc_min, cot_prc_max, cot_prc_med, cot_prc_mediana) VALUES (666, 53, 34, 140, 80, 140, 111.67, 105);</v>
      </c>
      <c r="J667" s="0" t="str">
        <f aca="false">"UPDATE COTACAO SET cot_id = "&amp;A667&amp;", cot_blt_id = "&amp;B667&amp;", cot_pap_id = "&amp;C667&amp;", cot_prc_comum = "&amp;D667&amp;", cot_prc_min = "&amp;E667&amp;", cot_prc_max = "&amp;F667&amp;", cot_prc_med = "&amp;G667&amp;", cot_prc_mediana = "&amp;H667&amp;" WHERE cot_id = "&amp;A667&amp;";"</f>
        <v>UPDATE COTACAO SET cot_id = 666, cot_blt_id = 53, cot_pap_id = 34, cot_prc_comum = 140, cot_prc_min = 80, cot_prc_max = 140, cot_prc_med = 111.67, cot_prc_mediana = 105 WHERE cot_id = 666;</v>
      </c>
    </row>
    <row r="668" customFormat="false" ht="14.25" hidden="false" customHeight="false" outlineLevel="0" collapsed="false">
      <c r="A668" s="0" t="n">
        <v>667</v>
      </c>
      <c r="B668" s="0" t="n">
        <f aca="false">IF('Boletins Nuppa Site'!A668&lt;&gt;0,'Boletins Nuppa Site'!A668,"NULL")</f>
        <v>53</v>
      </c>
      <c r="C668" s="0" t="n">
        <v>35</v>
      </c>
      <c r="D668" s="30" t="n">
        <f aca="false">IF('Boletins Nuppa Site'!G668&lt;&gt;0,'Boletins Nuppa Site'!G668,"NULL")</f>
        <v>200</v>
      </c>
      <c r="E668" s="30" t="n">
        <f aca="false">IF('Boletins Nuppa Site'!H668&lt;&gt;0,'Boletins Nuppa Site'!H668,"NULL")</f>
        <v>170</v>
      </c>
      <c r="F668" s="30" t="n">
        <f aca="false">IF('Boletins Nuppa Site'!I668&lt;&gt;0,'Boletins Nuppa Site'!I668,"NULL")</f>
        <v>200</v>
      </c>
      <c r="G668" s="30" t="n">
        <f aca="false">IF('Boletins Nuppa Site'!J668&lt;&gt;0,'Boletins Nuppa Site'!J668,"NULL")</f>
        <v>190</v>
      </c>
      <c r="H668" s="30" t="n">
        <f aca="false">IF('Boletins Nuppa Site'!K668&lt;&gt;0,'Boletins Nuppa Site'!K668,"NULL")</f>
        <v>200</v>
      </c>
      <c r="I668" s="0" t="str">
        <f aca="false">"INSERT INTO COTACAO (cot_id, cot_blt_id, cot_pap_id, cot_prc_comum, cot_prc_min, cot_prc_max, cot_prc_med, cot_prc_mediana) VALUES ("&amp;A668&amp;", "&amp;B668&amp;", "&amp;C668&amp;", "&amp;D668&amp;", "&amp;E668&amp;", "&amp;F668&amp;", "&amp;G668&amp;", "&amp;H668&amp;");"</f>
        <v>INSERT INTO COTACAO (cot_id, cot_blt_id, cot_pap_id, cot_prc_comum, cot_prc_min, cot_prc_max, cot_prc_med, cot_prc_mediana) VALUES (667, 53, 35, 200, 170, 200, 190, 200);</v>
      </c>
      <c r="J668" s="0" t="str">
        <f aca="false">"UPDATE COTACAO SET cot_id = "&amp;A668&amp;", cot_blt_id = "&amp;B668&amp;", cot_pap_id = "&amp;C668&amp;", cot_prc_comum = "&amp;D668&amp;", cot_prc_min = "&amp;E668&amp;", cot_prc_max = "&amp;F668&amp;", cot_prc_med = "&amp;G668&amp;", cot_prc_mediana = "&amp;H668&amp;" WHERE cot_id = "&amp;A668&amp;";"</f>
        <v>UPDATE COTACAO SET cot_id = 667, cot_blt_id = 53, cot_pap_id = 35, cot_prc_comum = 200, cot_prc_min = 170, cot_prc_max = 200, cot_prc_med = 190, cot_prc_mediana = 200 WHERE cot_id = 667;</v>
      </c>
    </row>
    <row r="669" customFormat="false" ht="14.25" hidden="false" customHeight="false" outlineLevel="0" collapsed="false">
      <c r="A669" s="0" t="n">
        <v>668</v>
      </c>
      <c r="B669" s="0" t="n">
        <f aca="false">IF('Boletins Nuppa Site'!A669&lt;&gt;0,'Boletins Nuppa Site'!A669,"NULL")</f>
        <v>53</v>
      </c>
      <c r="C669" s="0" t="n">
        <v>36</v>
      </c>
      <c r="D669" s="0" t="str">
        <f aca="false">IF('Boletins Nuppa Site'!G669&lt;&gt;0,'Boletins Nuppa Site'!G669,"NULL")</f>
        <v>NULL</v>
      </c>
      <c r="E669" s="30" t="n">
        <f aca="false">IF('Boletins Nuppa Site'!H669&lt;&gt;0,'Boletins Nuppa Site'!H669,"NULL")</f>
        <v>170</v>
      </c>
      <c r="F669" s="30" t="n">
        <f aca="false">IF('Boletins Nuppa Site'!I669&lt;&gt;0,'Boletins Nuppa Site'!I669,"NULL")</f>
        <v>170</v>
      </c>
      <c r="G669" s="30" t="n">
        <f aca="false">IF('Boletins Nuppa Site'!J669&lt;&gt;0,'Boletins Nuppa Site'!J669,"NULL")</f>
        <v>170</v>
      </c>
      <c r="H669" s="30" t="n">
        <f aca="false">IF('Boletins Nuppa Site'!K669&lt;&gt;0,'Boletins Nuppa Site'!K669,"NULL")</f>
        <v>170</v>
      </c>
      <c r="I669" s="0" t="str">
        <f aca="false">"INSERT INTO COTACAO (cot_id, cot_blt_id, cot_pap_id, cot_prc_comum, cot_prc_min, cot_prc_max, cot_prc_med, cot_prc_mediana) VALUES ("&amp;A669&amp;", "&amp;B669&amp;", "&amp;C669&amp;", "&amp;D669&amp;", "&amp;E669&amp;", "&amp;F669&amp;", "&amp;G669&amp;", "&amp;H669&amp;");"</f>
        <v>INSERT INTO COTACAO (cot_id, cot_blt_id, cot_pap_id, cot_prc_comum, cot_prc_min, cot_prc_max, cot_prc_med, cot_prc_mediana) VALUES (668, 53, 36, NULL, 170, 170, 170, 170);</v>
      </c>
      <c r="J669" s="0" t="str">
        <f aca="false">"UPDATE COTACAO SET cot_id = "&amp;A669&amp;", cot_blt_id = "&amp;B669&amp;", cot_pap_id = "&amp;C669&amp;", cot_prc_comum = "&amp;D669&amp;", cot_prc_min = "&amp;E669&amp;", cot_prc_max = "&amp;F669&amp;", cot_prc_med = "&amp;G669&amp;", cot_prc_mediana = "&amp;H669&amp;" WHERE cot_id = "&amp;A669&amp;";"</f>
        <v>UPDATE COTACAO SET cot_id = 668, cot_blt_id = 53, cot_pap_id = 36, cot_prc_comum = NULL, cot_prc_min = 170, cot_prc_max = 170, cot_prc_med = 170, cot_prc_mediana = 170 WHERE cot_id = 668;</v>
      </c>
    </row>
    <row r="670" customFormat="false" ht="14.25" hidden="false" customHeight="false" outlineLevel="0" collapsed="false">
      <c r="A670" s="0" t="n">
        <v>669</v>
      </c>
      <c r="B670" s="0" t="n">
        <f aca="false">IF('Boletins Nuppa Site'!A670&lt;&gt;0,'Boletins Nuppa Site'!A670,"NULL")</f>
        <v>53</v>
      </c>
      <c r="C670" s="0" t="n">
        <v>37</v>
      </c>
      <c r="D670" s="0" t="str">
        <f aca="false">IF('Boletins Nuppa Site'!G670&lt;&gt;0,'Boletins Nuppa Site'!G670,"NULL")</f>
        <v>NULL</v>
      </c>
      <c r="E670" s="30" t="n">
        <f aca="false">IF('Boletins Nuppa Site'!H670&lt;&gt;0,'Boletins Nuppa Site'!H670,"NULL")</f>
        <v>75</v>
      </c>
      <c r="F670" s="30" t="n">
        <f aca="false">IF('Boletins Nuppa Site'!I670&lt;&gt;0,'Boletins Nuppa Site'!I670,"NULL")</f>
        <v>75</v>
      </c>
      <c r="G670" s="30" t="n">
        <f aca="false">IF('Boletins Nuppa Site'!J670&lt;&gt;0,'Boletins Nuppa Site'!J670,"NULL")</f>
        <v>75</v>
      </c>
      <c r="H670" s="30" t="n">
        <f aca="false">IF('Boletins Nuppa Site'!K670&lt;&gt;0,'Boletins Nuppa Site'!K670,"NULL")</f>
        <v>75</v>
      </c>
      <c r="I670" s="0" t="str">
        <f aca="false">"INSERT INTO COTACAO (cot_id, cot_blt_id, cot_pap_id, cot_prc_comum, cot_prc_min, cot_prc_max, cot_prc_med, cot_prc_mediana) VALUES ("&amp;A670&amp;", "&amp;B670&amp;", "&amp;C670&amp;", "&amp;D670&amp;", "&amp;E670&amp;", "&amp;F670&amp;", "&amp;G670&amp;", "&amp;H670&amp;");"</f>
        <v>INSERT INTO COTACAO (cot_id, cot_blt_id, cot_pap_id, cot_prc_comum, cot_prc_min, cot_prc_max, cot_prc_med, cot_prc_mediana) VALUES (669, 53, 37, NULL, 75, 75, 75, 75);</v>
      </c>
      <c r="J670" s="0" t="str">
        <f aca="false">"UPDATE COTACAO SET cot_id = "&amp;A670&amp;", cot_blt_id = "&amp;B670&amp;", cot_pap_id = "&amp;C670&amp;", cot_prc_comum = "&amp;D670&amp;", cot_prc_min = "&amp;E670&amp;", cot_prc_max = "&amp;F670&amp;", cot_prc_med = "&amp;G670&amp;", cot_prc_mediana = "&amp;H670&amp;" WHERE cot_id = "&amp;A670&amp;";"</f>
        <v>UPDATE COTACAO SET cot_id = 669, cot_blt_id = 53, cot_pap_id = 37, cot_prc_comum = NULL, cot_prc_min = 75, cot_prc_max = 75, cot_prc_med = 75, cot_prc_mediana = 75 WHERE cot_id = 669;</v>
      </c>
    </row>
    <row r="671" customFormat="false" ht="14.25" hidden="false" customHeight="false" outlineLevel="0" collapsed="false">
      <c r="A671" s="0" t="n">
        <v>670</v>
      </c>
      <c r="B671" s="0" t="n">
        <f aca="false">IF('Boletins Nuppa Site'!A671&lt;&gt;0,'Boletins Nuppa Site'!A671,"NULL")</f>
        <v>53</v>
      </c>
      <c r="C671" s="0" t="n">
        <v>38</v>
      </c>
      <c r="D671" s="0" t="str">
        <f aca="false">IF('Boletins Nuppa Site'!G671&lt;&gt;0,'Boletins Nuppa Site'!G671,"NULL")</f>
        <v>NULL</v>
      </c>
      <c r="E671" s="0" t="str">
        <f aca="false">IF('Boletins Nuppa Site'!H671&lt;&gt;0,'Boletins Nuppa Site'!H671,"NULL")</f>
        <v>NULL</v>
      </c>
      <c r="F671" s="0" t="str">
        <f aca="false">IF('Boletins Nuppa Site'!I671&lt;&gt;0,'Boletins Nuppa Site'!I671,"NULL")</f>
        <v>NULL</v>
      </c>
      <c r="G671" s="0" t="str">
        <f aca="false">IF('Boletins Nuppa Site'!J671&lt;&gt;0,'Boletins Nuppa Site'!J671,"NULL")</f>
        <v>NULL</v>
      </c>
      <c r="H671" s="0" t="str">
        <f aca="false">IF('Boletins Nuppa Site'!K671&lt;&gt;0,'Boletins Nuppa Site'!K671,"NULL")</f>
        <v>NULL</v>
      </c>
      <c r="I671" s="0" t="str">
        <f aca="false">"INSERT INTO COTACAO (cot_id, cot_blt_id, cot_pap_id, cot_prc_comum, cot_prc_min, cot_prc_max, cot_prc_med, cot_prc_mediana) VALUES ("&amp;A671&amp;", "&amp;B671&amp;", "&amp;C671&amp;", "&amp;D671&amp;", "&amp;E671&amp;", "&amp;F671&amp;", "&amp;G671&amp;", "&amp;H671&amp;");"</f>
        <v>INSERT INTO COTACAO (cot_id, cot_blt_id, cot_pap_id, cot_prc_comum, cot_prc_min, cot_prc_max, cot_prc_med, cot_prc_mediana) VALUES (670, 53, 38, NULL, NULL, NULL, NULL, NULL);</v>
      </c>
      <c r="J671" s="0" t="str">
        <f aca="false">"UPDATE COTACAO SET cot_id = "&amp;A671&amp;", cot_blt_id = "&amp;B671&amp;", cot_pap_id = "&amp;C671&amp;", cot_prc_comum = "&amp;D671&amp;", cot_prc_min = "&amp;E671&amp;", cot_prc_max = "&amp;F671&amp;", cot_prc_med = "&amp;G671&amp;", cot_prc_mediana = "&amp;H671&amp;" WHERE cot_id = "&amp;A671&amp;";"</f>
        <v>UPDATE COTACAO SET cot_id = 670, cot_blt_id = 53, cot_pap_id = 38, cot_prc_comum = NULL, cot_prc_min = NULL, cot_prc_max = NULL, cot_prc_med = NULL, cot_prc_mediana = NULL WHERE cot_id = 670;</v>
      </c>
    </row>
    <row r="672" customFormat="false" ht="14.25" hidden="false" customHeight="false" outlineLevel="0" collapsed="false">
      <c r="A672" s="0" t="n">
        <v>671</v>
      </c>
      <c r="B672" s="0" t="n">
        <f aca="false">IF('Boletins Nuppa Site'!A672&lt;&gt;0,'Boletins Nuppa Site'!A672,"NULL")</f>
        <v>53</v>
      </c>
      <c r="C672" s="0" t="n">
        <v>39</v>
      </c>
      <c r="D672" s="0" t="str">
        <f aca="false">IF('Boletins Nuppa Site'!G672&lt;&gt;0,'Boletins Nuppa Site'!G672,"NULL")</f>
        <v>NULL</v>
      </c>
      <c r="E672" s="30" t="n">
        <f aca="false">IF('Boletins Nuppa Site'!H672&lt;&gt;0,'Boletins Nuppa Site'!H672,"NULL")</f>
        <v>50</v>
      </c>
      <c r="F672" s="30" t="n">
        <f aca="false">IF('Boletins Nuppa Site'!I672&lt;&gt;0,'Boletins Nuppa Site'!I672,"NULL")</f>
        <v>50</v>
      </c>
      <c r="G672" s="30" t="n">
        <f aca="false">IF('Boletins Nuppa Site'!J672&lt;&gt;0,'Boletins Nuppa Site'!J672,"NULL")</f>
        <v>50</v>
      </c>
      <c r="H672" s="30" t="n">
        <f aca="false">IF('Boletins Nuppa Site'!K672&lt;&gt;0,'Boletins Nuppa Site'!K672,"NULL")</f>
        <v>50</v>
      </c>
      <c r="I672" s="0" t="str">
        <f aca="false">"INSERT INTO COTACAO (cot_id, cot_blt_id, cot_pap_id, cot_prc_comum, cot_prc_min, cot_prc_max, cot_prc_med, cot_prc_mediana) VALUES ("&amp;A672&amp;", "&amp;B672&amp;", "&amp;C672&amp;", "&amp;D672&amp;", "&amp;E672&amp;", "&amp;F672&amp;", "&amp;G672&amp;", "&amp;H672&amp;");"</f>
        <v>INSERT INTO COTACAO (cot_id, cot_blt_id, cot_pap_id, cot_prc_comum, cot_prc_min, cot_prc_max, cot_prc_med, cot_prc_mediana) VALUES (671, 53, 39, NULL, 50, 50, 50, 50);</v>
      </c>
      <c r="J672" s="0" t="str">
        <f aca="false">"UPDATE COTACAO SET cot_id = "&amp;A672&amp;", cot_blt_id = "&amp;B672&amp;", cot_pap_id = "&amp;C672&amp;", cot_prc_comum = "&amp;D672&amp;", cot_prc_min = "&amp;E672&amp;", cot_prc_max = "&amp;F672&amp;", cot_prc_med = "&amp;G672&amp;", cot_prc_mediana = "&amp;H672&amp;" WHERE cot_id = "&amp;A672&amp;";"</f>
        <v>UPDATE COTACAO SET cot_id = 671, cot_blt_id = 53, cot_pap_id = 39, cot_prc_comum = NULL, cot_prc_min = 50, cot_prc_max = 50, cot_prc_med = 50, cot_prc_mediana = 50 WHERE cot_id = 671;</v>
      </c>
    </row>
    <row r="673" customFormat="false" ht="14.25" hidden="false" customHeight="false" outlineLevel="0" collapsed="false">
      <c r="A673" s="0" t="n">
        <v>672</v>
      </c>
      <c r="B673" s="0" t="n">
        <f aca="false">IF('Boletins Nuppa Site'!A673&lt;&gt;0,'Boletins Nuppa Site'!A673,"NULL")</f>
        <v>53</v>
      </c>
      <c r="C673" s="0" t="n">
        <v>40</v>
      </c>
      <c r="D673" s="0" t="str">
        <f aca="false">IF('Boletins Nuppa Site'!G673&lt;&gt;0,'Boletins Nuppa Site'!G673,"NULL")</f>
        <v>NULL</v>
      </c>
      <c r="E673" s="30" t="n">
        <f aca="false">IF('Boletins Nuppa Site'!H673&lt;&gt;0,'Boletins Nuppa Site'!H673,"NULL")</f>
        <v>50</v>
      </c>
      <c r="F673" s="30" t="n">
        <f aca="false">IF('Boletins Nuppa Site'!I673&lt;&gt;0,'Boletins Nuppa Site'!I673,"NULL")</f>
        <v>60</v>
      </c>
      <c r="G673" s="30" t="n">
        <f aca="false">IF('Boletins Nuppa Site'!J673&lt;&gt;0,'Boletins Nuppa Site'!J673,"NULL")</f>
        <v>55</v>
      </c>
      <c r="H673" s="30" t="n">
        <f aca="false">IF('Boletins Nuppa Site'!K673&lt;&gt;0,'Boletins Nuppa Site'!K673,"NULL")</f>
        <v>55</v>
      </c>
      <c r="I673" s="0" t="str">
        <f aca="false">"INSERT INTO COTACAO (cot_id, cot_blt_id, cot_pap_id, cot_prc_comum, cot_prc_min, cot_prc_max, cot_prc_med, cot_prc_mediana) VALUES ("&amp;A673&amp;", "&amp;B673&amp;", "&amp;C673&amp;", "&amp;D673&amp;", "&amp;E673&amp;", "&amp;F673&amp;", "&amp;G673&amp;", "&amp;H673&amp;");"</f>
        <v>INSERT INTO COTACAO (cot_id, cot_blt_id, cot_pap_id, cot_prc_comum, cot_prc_min, cot_prc_max, cot_prc_med, cot_prc_mediana) VALUES (672, 53, 40, NULL, 50, 60, 55, 55);</v>
      </c>
      <c r="J673" s="0" t="str">
        <f aca="false">"UPDATE COTACAO SET cot_id = "&amp;A673&amp;", cot_blt_id = "&amp;B673&amp;", cot_pap_id = "&amp;C673&amp;", cot_prc_comum = "&amp;D673&amp;", cot_prc_min = "&amp;E673&amp;", cot_prc_max = "&amp;F673&amp;", cot_prc_med = "&amp;G673&amp;", cot_prc_mediana = "&amp;H673&amp;" WHERE cot_id = "&amp;A673&amp;";"</f>
        <v>UPDATE COTACAO SET cot_id = 672, cot_blt_id = 53, cot_pap_id = 40, cot_prc_comum = NULL, cot_prc_min = 50, cot_prc_max = 60, cot_prc_med = 55, cot_prc_mediana = 55 WHERE cot_id = 672;</v>
      </c>
    </row>
    <row r="674" customFormat="false" ht="14.25" hidden="false" customHeight="false" outlineLevel="0" collapsed="false">
      <c r="A674" s="0" t="n">
        <v>673</v>
      </c>
      <c r="B674" s="0" t="n">
        <f aca="false">IF('Boletins Nuppa Site'!A674&lt;&gt;0,'Boletins Nuppa Site'!A674,"NULL")</f>
        <v>54</v>
      </c>
      <c r="C674" s="0" t="n">
        <v>1</v>
      </c>
      <c r="D674" s="30" t="n">
        <f aca="false">IF('Boletins Nuppa Site'!G674&lt;&gt;0,'Boletins Nuppa Site'!G674,"NULL")</f>
        <v>60</v>
      </c>
      <c r="E674" s="30" t="n">
        <f aca="false">IF('Boletins Nuppa Site'!H674&lt;&gt;0,'Boletins Nuppa Site'!H674,"NULL")</f>
        <v>48</v>
      </c>
      <c r="F674" s="30" t="n">
        <f aca="false">IF('Boletins Nuppa Site'!I674&lt;&gt;0,'Boletins Nuppa Site'!I674,"NULL")</f>
        <v>66</v>
      </c>
      <c r="G674" s="0" t="str">
        <f aca="false">IF('Boletins Nuppa Site'!J674&lt;&gt;0,'Boletins Nuppa Site'!J674,"NULL")</f>
        <v>58.5</v>
      </c>
      <c r="H674" s="30" t="n">
        <f aca="false">IF('Boletins Nuppa Site'!K674&lt;&gt;0,'Boletins Nuppa Site'!K674,"NULL")</f>
        <v>60</v>
      </c>
      <c r="I674" s="0" t="str">
        <f aca="false">"INSERT INTO COTACAO (cot_id, cot_blt_id, cot_pap_id, cot_prc_comum, cot_prc_min, cot_prc_max, cot_prc_med, cot_prc_mediana) VALUES ("&amp;A674&amp;", "&amp;B674&amp;", "&amp;C674&amp;", "&amp;D674&amp;", "&amp;E674&amp;", "&amp;F674&amp;", "&amp;G674&amp;", "&amp;H674&amp;");"</f>
        <v>INSERT INTO COTACAO (cot_id, cot_blt_id, cot_pap_id, cot_prc_comum, cot_prc_min, cot_prc_max, cot_prc_med, cot_prc_mediana) VALUES (673, 54, 1, 60, 48, 66, 58.5, 60);</v>
      </c>
      <c r="J674" s="0" t="str">
        <f aca="false">"UPDATE COTACAO SET cot_id = "&amp;A674&amp;", cot_blt_id = "&amp;B674&amp;", cot_pap_id = "&amp;C674&amp;", cot_prc_comum = "&amp;D674&amp;", cot_prc_min = "&amp;E674&amp;", cot_prc_max = "&amp;F674&amp;", cot_prc_med = "&amp;G674&amp;", cot_prc_mediana = "&amp;H674&amp;" WHERE cot_id = "&amp;A674&amp;";"</f>
        <v>UPDATE COTACAO SET cot_id = 673, cot_blt_id = 54, cot_pap_id = 1, cot_prc_comum = 60, cot_prc_min = 48, cot_prc_max = 66, cot_prc_med = 58.5, cot_prc_mediana = 60 WHERE cot_id = 673;</v>
      </c>
    </row>
    <row r="675" customFormat="false" ht="14.25" hidden="false" customHeight="false" outlineLevel="0" collapsed="false">
      <c r="A675" s="0" t="n">
        <v>674</v>
      </c>
      <c r="B675" s="0" t="n">
        <f aca="false">IF('Boletins Nuppa Site'!A675&lt;&gt;0,'Boletins Nuppa Site'!A675,"NULL")</f>
        <v>54</v>
      </c>
      <c r="C675" s="0" t="n">
        <v>2</v>
      </c>
      <c r="D675" s="30" t="n">
        <f aca="false">IF('Boletins Nuppa Site'!G675&lt;&gt;0,'Boletins Nuppa Site'!G675,"NULL")</f>
        <v>84</v>
      </c>
      <c r="E675" s="30" t="n">
        <f aca="false">IF('Boletins Nuppa Site'!H675&lt;&gt;0,'Boletins Nuppa Site'!H675,"NULL")</f>
        <v>60</v>
      </c>
      <c r="F675" s="30" t="n">
        <f aca="false">IF('Boletins Nuppa Site'!I675&lt;&gt;0,'Boletins Nuppa Site'!I675,"NULL")</f>
        <v>84</v>
      </c>
      <c r="G675" s="30" t="n">
        <f aca="false">IF('Boletins Nuppa Site'!J675&lt;&gt;0,'Boletins Nuppa Site'!J675,"NULL")</f>
        <v>78</v>
      </c>
      <c r="H675" s="30" t="n">
        <f aca="false">IF('Boletins Nuppa Site'!K675&lt;&gt;0,'Boletins Nuppa Site'!K675,"NULL")</f>
        <v>84</v>
      </c>
      <c r="I675" s="0" t="str">
        <f aca="false">"INSERT INTO COTACAO (cot_id, cot_blt_id, cot_pap_id, cot_prc_comum, cot_prc_min, cot_prc_max, cot_prc_med, cot_prc_mediana) VALUES ("&amp;A675&amp;", "&amp;B675&amp;", "&amp;C675&amp;", "&amp;D675&amp;", "&amp;E675&amp;", "&amp;F675&amp;", "&amp;G675&amp;", "&amp;H675&amp;");"</f>
        <v>INSERT INTO COTACAO (cot_id, cot_blt_id, cot_pap_id, cot_prc_comum, cot_prc_min, cot_prc_max, cot_prc_med, cot_prc_mediana) VALUES (674, 54, 2, 84, 60, 84, 78, 84);</v>
      </c>
      <c r="J675" s="0" t="str">
        <f aca="false">"UPDATE COTACAO SET cot_id = "&amp;A675&amp;", cot_blt_id = "&amp;B675&amp;", cot_pap_id = "&amp;C675&amp;", cot_prc_comum = "&amp;D675&amp;", cot_prc_min = "&amp;E675&amp;", cot_prc_max = "&amp;F675&amp;", cot_prc_med = "&amp;G675&amp;", cot_prc_mediana = "&amp;H675&amp;" WHERE cot_id = "&amp;A675&amp;";"</f>
        <v>UPDATE COTACAO SET cot_id = 674, cot_blt_id = 54, cot_pap_id = 2, cot_prc_comum = 84, cot_prc_min = 60, cot_prc_max = 84, cot_prc_med = 78, cot_prc_mediana = 84 WHERE cot_id = 674;</v>
      </c>
    </row>
    <row r="676" customFormat="false" ht="14.25" hidden="false" customHeight="false" outlineLevel="0" collapsed="false">
      <c r="A676" s="0" t="n">
        <v>675</v>
      </c>
      <c r="B676" s="0" t="n">
        <f aca="false">IF('Boletins Nuppa Site'!A676&lt;&gt;0,'Boletins Nuppa Site'!A676,"NULL")</f>
        <v>54</v>
      </c>
      <c r="C676" s="0" t="n">
        <v>3</v>
      </c>
      <c r="D676" s="0" t="str">
        <f aca="false">IF('Boletins Nuppa Site'!G676&lt;&gt;0,'Boletins Nuppa Site'!G676,"NULL")</f>
        <v>NULL</v>
      </c>
      <c r="E676" s="30" t="n">
        <f aca="false">IF('Boletins Nuppa Site'!H676&lt;&gt;0,'Boletins Nuppa Site'!H676,"NULL")</f>
        <v>36</v>
      </c>
      <c r="F676" s="30" t="n">
        <f aca="false">IF('Boletins Nuppa Site'!I676&lt;&gt;0,'Boletins Nuppa Site'!I676,"NULL")</f>
        <v>54</v>
      </c>
      <c r="G676" s="0" t="str">
        <f aca="false">IF('Boletins Nuppa Site'!J676&lt;&gt;0,'Boletins Nuppa Site'!J676,"NULL")</f>
        <v>44.5</v>
      </c>
      <c r="H676" s="30" t="n">
        <f aca="false">IF('Boletins Nuppa Site'!K676&lt;&gt;0,'Boletins Nuppa Site'!K676,"NULL")</f>
        <v>44</v>
      </c>
      <c r="I676" s="0" t="str">
        <f aca="false">"INSERT INTO COTACAO (cot_id, cot_blt_id, cot_pap_id, cot_prc_comum, cot_prc_min, cot_prc_max, cot_prc_med, cot_prc_mediana) VALUES ("&amp;A676&amp;", "&amp;B676&amp;", "&amp;C676&amp;", "&amp;D676&amp;", "&amp;E676&amp;", "&amp;F676&amp;", "&amp;G676&amp;", "&amp;H676&amp;");"</f>
        <v>INSERT INTO COTACAO (cot_id, cot_blt_id, cot_pap_id, cot_prc_comum, cot_prc_min, cot_prc_max, cot_prc_med, cot_prc_mediana) VALUES (675, 54, 3, NULL, 36, 54, 44.5, 44);</v>
      </c>
      <c r="J676" s="0" t="str">
        <f aca="false">"UPDATE COTACAO SET cot_id = "&amp;A676&amp;", cot_blt_id = "&amp;B676&amp;", cot_pap_id = "&amp;C676&amp;", cot_prc_comum = "&amp;D676&amp;", cot_prc_min = "&amp;E676&amp;", cot_prc_max = "&amp;F676&amp;", cot_prc_med = "&amp;G676&amp;", cot_prc_mediana = "&amp;H676&amp;" WHERE cot_id = "&amp;A676&amp;";"</f>
        <v>UPDATE COTACAO SET cot_id = 675, cot_blt_id = 54, cot_pap_id = 3, cot_prc_comum = NULL, cot_prc_min = 36, cot_prc_max = 54, cot_prc_med = 44.5, cot_prc_mediana = 44 WHERE cot_id = 675;</v>
      </c>
    </row>
    <row r="677" customFormat="false" ht="14.25" hidden="false" customHeight="false" outlineLevel="0" collapsed="false">
      <c r="A677" s="0" t="n">
        <v>676</v>
      </c>
      <c r="B677" s="0" t="n">
        <f aca="false">IF('Boletins Nuppa Site'!A677&lt;&gt;0,'Boletins Nuppa Site'!A677,"NULL")</f>
        <v>54</v>
      </c>
      <c r="C677" s="0" t="n">
        <v>4</v>
      </c>
      <c r="D677" s="30" t="n">
        <f aca="false">IF('Boletins Nuppa Site'!G677&lt;&gt;0,'Boletins Nuppa Site'!G677,"NULL")</f>
        <v>24</v>
      </c>
      <c r="E677" s="30" t="n">
        <f aca="false">IF('Boletins Nuppa Site'!H677&lt;&gt;0,'Boletins Nuppa Site'!H677,"NULL")</f>
        <v>24</v>
      </c>
      <c r="F677" s="30" t="n">
        <f aca="false">IF('Boletins Nuppa Site'!I677&lt;&gt;0,'Boletins Nuppa Site'!I677,"NULL")</f>
        <v>30</v>
      </c>
      <c r="G677" s="30" t="n">
        <f aca="false">IF('Boletins Nuppa Site'!J677&lt;&gt;0,'Boletins Nuppa Site'!J677,"NULL")</f>
        <v>27</v>
      </c>
      <c r="H677" s="30" t="n">
        <f aca="false">IF('Boletins Nuppa Site'!K677&lt;&gt;0,'Boletins Nuppa Site'!K677,"NULL")</f>
        <v>27</v>
      </c>
      <c r="I677" s="0" t="str">
        <f aca="false">"INSERT INTO COTACAO (cot_id, cot_blt_id, cot_pap_id, cot_prc_comum, cot_prc_min, cot_prc_max, cot_prc_med, cot_prc_mediana) VALUES ("&amp;A677&amp;", "&amp;B677&amp;", "&amp;C677&amp;", "&amp;D677&amp;", "&amp;E677&amp;", "&amp;F677&amp;", "&amp;G677&amp;", "&amp;H677&amp;");"</f>
        <v>INSERT INTO COTACAO (cot_id, cot_blt_id, cot_pap_id, cot_prc_comum, cot_prc_min, cot_prc_max, cot_prc_med, cot_prc_mediana) VALUES (676, 54, 4, 24, 24, 30, 27, 27);</v>
      </c>
      <c r="J677" s="0" t="str">
        <f aca="false">"UPDATE COTACAO SET cot_id = "&amp;A677&amp;", cot_blt_id = "&amp;B677&amp;", cot_pap_id = "&amp;C677&amp;", cot_prc_comum = "&amp;D677&amp;", cot_prc_min = "&amp;E677&amp;", cot_prc_max = "&amp;F677&amp;", cot_prc_med = "&amp;G677&amp;", cot_prc_mediana = "&amp;H677&amp;" WHERE cot_id = "&amp;A677&amp;";"</f>
        <v>UPDATE COTACAO SET cot_id = 676, cot_blt_id = 54, cot_pap_id = 4, cot_prc_comum = 24, cot_prc_min = 24, cot_prc_max = 30, cot_prc_med = 27, cot_prc_mediana = 27 WHERE cot_id = 676;</v>
      </c>
    </row>
    <row r="678" customFormat="false" ht="14.25" hidden="false" customHeight="false" outlineLevel="0" collapsed="false">
      <c r="A678" s="0" t="n">
        <v>677</v>
      </c>
      <c r="B678" s="0" t="n">
        <f aca="false">IF('Boletins Nuppa Site'!A678&lt;&gt;0,'Boletins Nuppa Site'!A678,"NULL")</f>
        <v>54</v>
      </c>
      <c r="C678" s="0" t="n">
        <v>5</v>
      </c>
      <c r="D678" s="30" t="n">
        <f aca="false">IF('Boletins Nuppa Site'!G678&lt;&gt;0,'Boletins Nuppa Site'!G678,"NULL")</f>
        <v>24</v>
      </c>
      <c r="E678" s="30" t="n">
        <f aca="false">IF('Boletins Nuppa Site'!H678&lt;&gt;0,'Boletins Nuppa Site'!H678,"NULL")</f>
        <v>24</v>
      </c>
      <c r="F678" s="30" t="n">
        <f aca="false">IF('Boletins Nuppa Site'!I678&lt;&gt;0,'Boletins Nuppa Site'!I678,"NULL")</f>
        <v>30</v>
      </c>
      <c r="G678" s="30" t="n">
        <f aca="false">IF('Boletins Nuppa Site'!J678&lt;&gt;0,'Boletins Nuppa Site'!J678,"NULL")</f>
        <v>27</v>
      </c>
      <c r="H678" s="30" t="n">
        <f aca="false">IF('Boletins Nuppa Site'!K678&lt;&gt;0,'Boletins Nuppa Site'!K678,"NULL")</f>
        <v>27</v>
      </c>
      <c r="I678" s="0" t="str">
        <f aca="false">"INSERT INTO COTACAO (cot_id, cot_blt_id, cot_pap_id, cot_prc_comum, cot_prc_min, cot_prc_max, cot_prc_med, cot_prc_mediana) VALUES ("&amp;A678&amp;", "&amp;B678&amp;", "&amp;C678&amp;", "&amp;D678&amp;", "&amp;E678&amp;", "&amp;F678&amp;", "&amp;G678&amp;", "&amp;H678&amp;");"</f>
        <v>INSERT INTO COTACAO (cot_id, cot_blt_id, cot_pap_id, cot_prc_comum, cot_prc_min, cot_prc_max, cot_prc_med, cot_prc_mediana) VALUES (677, 54, 5, 24, 24, 30, 27, 27);</v>
      </c>
      <c r="J678" s="0" t="str">
        <f aca="false">"UPDATE COTACAO SET cot_id = "&amp;A678&amp;", cot_blt_id = "&amp;B678&amp;", cot_pap_id = "&amp;C678&amp;", cot_prc_comum = "&amp;D678&amp;", cot_prc_min = "&amp;E678&amp;", cot_prc_max = "&amp;F678&amp;", cot_prc_med = "&amp;G678&amp;", cot_prc_mediana = "&amp;H678&amp;" WHERE cot_id = "&amp;A678&amp;";"</f>
        <v>UPDATE COTACAO SET cot_id = 677, cot_blt_id = 54, cot_pap_id = 5, cot_prc_comum = 24, cot_prc_min = 24, cot_prc_max = 30, cot_prc_med = 27, cot_prc_mediana = 27 WHERE cot_id = 677;</v>
      </c>
    </row>
    <row r="679" customFormat="false" ht="14.25" hidden="false" customHeight="false" outlineLevel="0" collapsed="false">
      <c r="A679" s="0" t="n">
        <v>678</v>
      </c>
      <c r="B679" s="0" t="n">
        <f aca="false">IF('Boletins Nuppa Site'!A679&lt;&gt;0,'Boletins Nuppa Site'!A679,"NULL")</f>
        <v>54</v>
      </c>
      <c r="C679" s="0" t="n">
        <v>6</v>
      </c>
      <c r="D679" s="30" t="n">
        <f aca="false">IF('Boletins Nuppa Site'!G679&lt;&gt;0,'Boletins Nuppa Site'!G679,"NULL")</f>
        <v>50</v>
      </c>
      <c r="E679" s="30" t="n">
        <f aca="false">IF('Boletins Nuppa Site'!H679&lt;&gt;0,'Boletins Nuppa Site'!H679,"NULL")</f>
        <v>48</v>
      </c>
      <c r="F679" s="30" t="n">
        <f aca="false">IF('Boletins Nuppa Site'!I679&lt;&gt;0,'Boletins Nuppa Site'!I679,"NULL")</f>
        <v>60</v>
      </c>
      <c r="G679" s="30" t="n">
        <f aca="false">IF('Boletins Nuppa Site'!J679&lt;&gt;0,'Boletins Nuppa Site'!J679,"NULL")</f>
        <v>52</v>
      </c>
      <c r="H679" s="30" t="n">
        <f aca="false">IF('Boletins Nuppa Site'!K679&lt;&gt;0,'Boletins Nuppa Site'!K679,"NULL")</f>
        <v>50</v>
      </c>
      <c r="I679" s="0" t="str">
        <f aca="false">"INSERT INTO COTACAO (cot_id, cot_blt_id, cot_pap_id, cot_prc_comum, cot_prc_min, cot_prc_max, cot_prc_med, cot_prc_mediana) VALUES ("&amp;A679&amp;", "&amp;B679&amp;", "&amp;C679&amp;", "&amp;D679&amp;", "&amp;E679&amp;", "&amp;F679&amp;", "&amp;G679&amp;", "&amp;H679&amp;");"</f>
        <v>INSERT INTO COTACAO (cot_id, cot_blt_id, cot_pap_id, cot_prc_comum, cot_prc_min, cot_prc_max, cot_prc_med, cot_prc_mediana) VALUES (678, 54, 6, 50, 48, 60, 52, 50);</v>
      </c>
      <c r="J679" s="0" t="str">
        <f aca="false">"UPDATE COTACAO SET cot_id = "&amp;A679&amp;", cot_blt_id = "&amp;B679&amp;", cot_pap_id = "&amp;C679&amp;", cot_prc_comum = "&amp;D679&amp;", cot_prc_min = "&amp;E679&amp;", cot_prc_max = "&amp;F679&amp;", cot_prc_med = "&amp;G679&amp;", cot_prc_mediana = "&amp;H679&amp;" WHERE cot_id = "&amp;A679&amp;";"</f>
        <v>UPDATE COTACAO SET cot_id = 678, cot_blt_id = 54, cot_pap_id = 6, cot_prc_comum = 50, cot_prc_min = 48, cot_prc_max = 60, cot_prc_med = 52, cot_prc_mediana = 50 WHERE cot_id = 678;</v>
      </c>
    </row>
    <row r="680" customFormat="false" ht="14.25" hidden="false" customHeight="false" outlineLevel="0" collapsed="false">
      <c r="A680" s="0" t="n">
        <v>679</v>
      </c>
      <c r="B680" s="0" t="n">
        <f aca="false">IF('Boletins Nuppa Site'!A680&lt;&gt;0,'Boletins Nuppa Site'!A680,"NULL")</f>
        <v>54</v>
      </c>
      <c r="C680" s="0" t="n">
        <v>7</v>
      </c>
      <c r="D680" s="30" t="n">
        <f aca="false">IF('Boletins Nuppa Site'!G680&lt;&gt;0,'Boletins Nuppa Site'!G680,"NULL")</f>
        <v>84</v>
      </c>
      <c r="E680" s="30" t="n">
        <f aca="false">IF('Boletins Nuppa Site'!H680&lt;&gt;0,'Boletins Nuppa Site'!H680,"NULL")</f>
        <v>84</v>
      </c>
      <c r="F680" s="30" t="n">
        <f aca="false">IF('Boletins Nuppa Site'!I680&lt;&gt;0,'Boletins Nuppa Site'!I680,"NULL")</f>
        <v>96</v>
      </c>
      <c r="G680" s="30" t="n">
        <f aca="false">IF('Boletins Nuppa Site'!J680&lt;&gt;0,'Boletins Nuppa Site'!J680,"NULL")</f>
        <v>90</v>
      </c>
      <c r="H680" s="30" t="n">
        <f aca="false">IF('Boletins Nuppa Site'!K680&lt;&gt;0,'Boletins Nuppa Site'!K680,"NULL")</f>
        <v>90</v>
      </c>
      <c r="I680" s="0" t="str">
        <f aca="false">"INSERT INTO COTACAO (cot_id, cot_blt_id, cot_pap_id, cot_prc_comum, cot_prc_min, cot_prc_max, cot_prc_med, cot_prc_mediana) VALUES ("&amp;A680&amp;", "&amp;B680&amp;", "&amp;C680&amp;", "&amp;D680&amp;", "&amp;E680&amp;", "&amp;F680&amp;", "&amp;G680&amp;", "&amp;H680&amp;");"</f>
        <v>INSERT INTO COTACAO (cot_id, cot_blt_id, cot_pap_id, cot_prc_comum, cot_prc_min, cot_prc_max, cot_prc_med, cot_prc_mediana) VALUES (679, 54, 7, 84, 84, 96, 90, 90);</v>
      </c>
      <c r="J680" s="0" t="str">
        <f aca="false">"UPDATE COTACAO SET cot_id = "&amp;A680&amp;", cot_blt_id = "&amp;B680&amp;", cot_pap_id = "&amp;C680&amp;", cot_prc_comum = "&amp;D680&amp;", cot_prc_min = "&amp;E680&amp;", cot_prc_max = "&amp;F680&amp;", cot_prc_med = "&amp;G680&amp;", cot_prc_mediana = "&amp;H680&amp;" WHERE cot_id = "&amp;A680&amp;";"</f>
        <v>UPDATE COTACAO SET cot_id = 679, cot_blt_id = 54, cot_pap_id = 7, cot_prc_comum = 84, cot_prc_min = 84, cot_prc_max = 96, cot_prc_med = 90, cot_prc_mediana = 90 WHERE cot_id = 679;</v>
      </c>
    </row>
    <row r="681" customFormat="false" ht="14.25" hidden="false" customHeight="false" outlineLevel="0" collapsed="false">
      <c r="A681" s="0" t="n">
        <v>680</v>
      </c>
      <c r="B681" s="0" t="n">
        <f aca="false">IF('Boletins Nuppa Site'!A681&lt;&gt;0,'Boletins Nuppa Site'!A681,"NULL")</f>
        <v>54</v>
      </c>
      <c r="C681" s="0" t="n">
        <v>8</v>
      </c>
      <c r="D681" s="30" t="n">
        <f aca="false">IF('Boletins Nuppa Site'!G681&lt;&gt;0,'Boletins Nuppa Site'!G681,"NULL")</f>
        <v>96</v>
      </c>
      <c r="E681" s="30" t="n">
        <f aca="false">IF('Boletins Nuppa Site'!H681&lt;&gt;0,'Boletins Nuppa Site'!H681,"NULL")</f>
        <v>84</v>
      </c>
      <c r="F681" s="30" t="n">
        <f aca="false">IF('Boletins Nuppa Site'!I681&lt;&gt;0,'Boletins Nuppa Site'!I681,"NULL")</f>
        <v>96</v>
      </c>
      <c r="G681" s="30" t="n">
        <f aca="false">IF('Boletins Nuppa Site'!J681&lt;&gt;0,'Boletins Nuppa Site'!J681,"NULL")</f>
        <v>93</v>
      </c>
      <c r="H681" s="30" t="n">
        <f aca="false">IF('Boletins Nuppa Site'!K681&lt;&gt;0,'Boletins Nuppa Site'!K681,"NULL")</f>
        <v>96</v>
      </c>
      <c r="I681" s="0" t="str">
        <f aca="false">"INSERT INTO COTACAO (cot_id, cot_blt_id, cot_pap_id, cot_prc_comum, cot_prc_min, cot_prc_max, cot_prc_med, cot_prc_mediana) VALUES ("&amp;A681&amp;", "&amp;B681&amp;", "&amp;C681&amp;", "&amp;D681&amp;", "&amp;E681&amp;", "&amp;F681&amp;", "&amp;G681&amp;", "&amp;H681&amp;");"</f>
        <v>INSERT INTO COTACAO (cot_id, cot_blt_id, cot_pap_id, cot_prc_comum, cot_prc_min, cot_prc_max, cot_prc_med, cot_prc_mediana) VALUES (680, 54, 8, 96, 84, 96, 93, 96);</v>
      </c>
      <c r="J681" s="0" t="str">
        <f aca="false">"UPDATE COTACAO SET cot_id = "&amp;A681&amp;", cot_blt_id = "&amp;B681&amp;", cot_pap_id = "&amp;C681&amp;", cot_prc_comum = "&amp;D681&amp;", cot_prc_min = "&amp;E681&amp;", cot_prc_max = "&amp;F681&amp;", cot_prc_med = "&amp;G681&amp;", cot_prc_mediana = "&amp;H681&amp;" WHERE cot_id = "&amp;A681&amp;";"</f>
        <v>UPDATE COTACAO SET cot_id = 680, cot_blt_id = 54, cot_pap_id = 8, cot_prc_comum = 96, cot_prc_min = 84, cot_prc_max = 96, cot_prc_med = 93, cot_prc_mediana = 96 WHERE cot_id = 680;</v>
      </c>
    </row>
    <row r="682" customFormat="false" ht="14.25" hidden="false" customHeight="false" outlineLevel="0" collapsed="false">
      <c r="A682" s="0" t="n">
        <v>681</v>
      </c>
      <c r="B682" s="0" t="n">
        <f aca="false">IF('Boletins Nuppa Site'!A682&lt;&gt;0,'Boletins Nuppa Site'!A682,"NULL")</f>
        <v>54</v>
      </c>
      <c r="C682" s="0" t="n">
        <v>9</v>
      </c>
      <c r="D682" s="30" t="n">
        <f aca="false">IF('Boletins Nuppa Site'!G682&lt;&gt;0,'Boletins Nuppa Site'!G682,"NULL")</f>
        <v>24</v>
      </c>
      <c r="E682" s="30" t="n">
        <f aca="false">IF('Boletins Nuppa Site'!H682&lt;&gt;0,'Boletins Nuppa Site'!H682,"NULL")</f>
        <v>24</v>
      </c>
      <c r="F682" s="30" t="n">
        <f aca="false">IF('Boletins Nuppa Site'!I682&lt;&gt;0,'Boletins Nuppa Site'!I682,"NULL")</f>
        <v>30</v>
      </c>
      <c r="G682" s="30" t="n">
        <f aca="false">IF('Boletins Nuppa Site'!J682&lt;&gt;0,'Boletins Nuppa Site'!J682,"NULL")</f>
        <v>27</v>
      </c>
      <c r="H682" s="30" t="n">
        <f aca="false">IF('Boletins Nuppa Site'!K682&lt;&gt;0,'Boletins Nuppa Site'!K682,"NULL")</f>
        <v>27</v>
      </c>
      <c r="I682" s="0" t="str">
        <f aca="false">"INSERT INTO COTACAO (cot_id, cot_blt_id, cot_pap_id, cot_prc_comum, cot_prc_min, cot_prc_max, cot_prc_med, cot_prc_mediana) VALUES ("&amp;A682&amp;", "&amp;B682&amp;", "&amp;C682&amp;", "&amp;D682&amp;", "&amp;E682&amp;", "&amp;F682&amp;", "&amp;G682&amp;", "&amp;H682&amp;");"</f>
        <v>INSERT INTO COTACAO (cot_id, cot_blt_id, cot_pap_id, cot_prc_comum, cot_prc_min, cot_prc_max, cot_prc_med, cot_prc_mediana) VALUES (681, 54, 9, 24, 24, 30, 27, 27);</v>
      </c>
      <c r="J682" s="0" t="str">
        <f aca="false">"UPDATE COTACAO SET cot_id = "&amp;A682&amp;", cot_blt_id = "&amp;B682&amp;", cot_pap_id = "&amp;C682&amp;", cot_prc_comum = "&amp;D682&amp;", cot_prc_min = "&amp;E682&amp;", cot_prc_max = "&amp;F682&amp;", cot_prc_med = "&amp;G682&amp;", cot_prc_mediana = "&amp;H682&amp;" WHERE cot_id = "&amp;A682&amp;";"</f>
        <v>UPDATE COTACAO SET cot_id = 681, cot_blt_id = 54, cot_pap_id = 9, cot_prc_comum = 24, cot_prc_min = 24, cot_prc_max = 30, cot_prc_med = 27, cot_prc_mediana = 27 WHERE cot_id = 681;</v>
      </c>
    </row>
    <row r="683" customFormat="false" ht="14.25" hidden="false" customHeight="false" outlineLevel="0" collapsed="false">
      <c r="A683" s="0" t="n">
        <v>682</v>
      </c>
      <c r="B683" s="0" t="n">
        <f aca="false">IF('Boletins Nuppa Site'!A683&lt;&gt;0,'Boletins Nuppa Site'!A683,"NULL")</f>
        <v>54</v>
      </c>
      <c r="C683" s="0" t="n">
        <v>10</v>
      </c>
      <c r="D683" s="30" t="n">
        <f aca="false">IF('Boletins Nuppa Site'!G683&lt;&gt;0,'Boletins Nuppa Site'!G683,"NULL")</f>
        <v>96</v>
      </c>
      <c r="E683" s="30" t="n">
        <f aca="false">IF('Boletins Nuppa Site'!H683&lt;&gt;0,'Boletins Nuppa Site'!H683,"NULL")</f>
        <v>96</v>
      </c>
      <c r="F683" s="30" t="n">
        <f aca="false">IF('Boletins Nuppa Site'!I683&lt;&gt;0,'Boletins Nuppa Site'!I683,"NULL")</f>
        <v>120</v>
      </c>
      <c r="G683" s="30" t="n">
        <f aca="false">IF('Boletins Nuppa Site'!J683&lt;&gt;0,'Boletins Nuppa Site'!J683,"NULL")</f>
        <v>102</v>
      </c>
      <c r="H683" s="30" t="n">
        <f aca="false">IF('Boletins Nuppa Site'!K683&lt;&gt;0,'Boletins Nuppa Site'!K683,"NULL")</f>
        <v>96</v>
      </c>
      <c r="I683" s="0" t="str">
        <f aca="false">"INSERT INTO COTACAO (cot_id, cot_blt_id, cot_pap_id, cot_prc_comum, cot_prc_min, cot_prc_max, cot_prc_med, cot_prc_mediana) VALUES ("&amp;A683&amp;", "&amp;B683&amp;", "&amp;C683&amp;", "&amp;D683&amp;", "&amp;E683&amp;", "&amp;F683&amp;", "&amp;G683&amp;", "&amp;H683&amp;");"</f>
        <v>INSERT INTO COTACAO (cot_id, cot_blt_id, cot_pap_id, cot_prc_comum, cot_prc_min, cot_prc_max, cot_prc_med, cot_prc_mediana) VALUES (682, 54, 10, 96, 96, 120, 102, 96);</v>
      </c>
      <c r="J683" s="0" t="str">
        <f aca="false">"UPDATE COTACAO SET cot_id = "&amp;A683&amp;", cot_blt_id = "&amp;B683&amp;", cot_pap_id = "&amp;C683&amp;", cot_prc_comum = "&amp;D683&amp;", cot_prc_min = "&amp;E683&amp;", cot_prc_max = "&amp;F683&amp;", cot_prc_med = "&amp;G683&amp;", cot_prc_mediana = "&amp;H683&amp;" WHERE cot_id = "&amp;A683&amp;";"</f>
        <v>UPDATE COTACAO SET cot_id = 682, cot_blt_id = 54, cot_pap_id = 10, cot_prc_comum = 96, cot_prc_min = 96, cot_prc_max = 120, cot_prc_med = 102, cot_prc_mediana = 96 WHERE cot_id = 682;</v>
      </c>
    </row>
    <row r="684" customFormat="false" ht="14.25" hidden="false" customHeight="false" outlineLevel="0" collapsed="false">
      <c r="A684" s="0" t="n">
        <v>683</v>
      </c>
      <c r="B684" s="0" t="n">
        <f aca="false">IF('Boletins Nuppa Site'!A684&lt;&gt;0,'Boletins Nuppa Site'!A684,"NULL")</f>
        <v>54</v>
      </c>
      <c r="C684" s="0" t="n">
        <v>11</v>
      </c>
      <c r="D684" s="30" t="n">
        <f aca="false">IF('Boletins Nuppa Site'!G684&lt;&gt;0,'Boletins Nuppa Site'!G684,"NULL")</f>
        <v>24</v>
      </c>
      <c r="E684" s="30" t="n">
        <f aca="false">IF('Boletins Nuppa Site'!H684&lt;&gt;0,'Boletins Nuppa Site'!H684,"NULL")</f>
        <v>24</v>
      </c>
      <c r="F684" s="30" t="n">
        <f aca="false">IF('Boletins Nuppa Site'!I684&lt;&gt;0,'Boletins Nuppa Site'!I684,"NULL")</f>
        <v>30</v>
      </c>
      <c r="G684" s="30" t="n">
        <f aca="false">IF('Boletins Nuppa Site'!J684&lt;&gt;0,'Boletins Nuppa Site'!J684,"NULL")</f>
        <v>27</v>
      </c>
      <c r="H684" s="30" t="n">
        <f aca="false">IF('Boletins Nuppa Site'!K684&lt;&gt;0,'Boletins Nuppa Site'!K684,"NULL")</f>
        <v>27</v>
      </c>
      <c r="I684" s="0" t="str">
        <f aca="false">"INSERT INTO COTACAO (cot_id, cot_blt_id, cot_pap_id, cot_prc_comum, cot_prc_min, cot_prc_max, cot_prc_med, cot_prc_mediana) VALUES ("&amp;A684&amp;", "&amp;B684&amp;", "&amp;C684&amp;", "&amp;D684&amp;", "&amp;E684&amp;", "&amp;F684&amp;", "&amp;G684&amp;", "&amp;H684&amp;");"</f>
        <v>INSERT INTO COTACAO (cot_id, cot_blt_id, cot_pap_id, cot_prc_comum, cot_prc_min, cot_prc_max, cot_prc_med, cot_prc_mediana) VALUES (683, 54, 11, 24, 24, 30, 27, 27);</v>
      </c>
      <c r="J684" s="0" t="str">
        <f aca="false">"UPDATE COTACAO SET cot_id = "&amp;A684&amp;", cot_blt_id = "&amp;B684&amp;", cot_pap_id = "&amp;C684&amp;", cot_prc_comum = "&amp;D684&amp;", cot_prc_min = "&amp;E684&amp;", cot_prc_max = "&amp;F684&amp;", cot_prc_med = "&amp;G684&amp;", cot_prc_mediana = "&amp;H684&amp;" WHERE cot_id = "&amp;A684&amp;";"</f>
        <v>UPDATE COTACAO SET cot_id = 683, cot_blt_id = 54, cot_pap_id = 11, cot_prc_comum = 24, cot_prc_min = 24, cot_prc_max = 30, cot_prc_med = 27, cot_prc_mediana = 27 WHERE cot_id = 683;</v>
      </c>
    </row>
    <row r="685" customFormat="false" ht="14.25" hidden="false" customHeight="false" outlineLevel="0" collapsed="false">
      <c r="A685" s="0" t="n">
        <v>684</v>
      </c>
      <c r="B685" s="0" t="n">
        <f aca="false">IF('Boletins Nuppa Site'!A685&lt;&gt;0,'Boletins Nuppa Site'!A685,"NULL")</f>
        <v>54</v>
      </c>
      <c r="C685" s="0" t="n">
        <v>12</v>
      </c>
      <c r="D685" s="0" t="str">
        <f aca="false">IF('Boletins Nuppa Site'!G685&lt;&gt;0,'Boletins Nuppa Site'!G685,"NULL")</f>
        <v>NULL</v>
      </c>
      <c r="E685" s="30" t="n">
        <f aca="false">IF('Boletins Nuppa Site'!H685&lt;&gt;0,'Boletins Nuppa Site'!H685,"NULL")</f>
        <v>66</v>
      </c>
      <c r="F685" s="30" t="n">
        <f aca="false">IF('Boletins Nuppa Site'!I685&lt;&gt;0,'Boletins Nuppa Site'!I685,"NULL")</f>
        <v>86</v>
      </c>
      <c r="G685" s="0" t="str">
        <f aca="false">IF('Boletins Nuppa Site'!J685&lt;&gt;0,'Boletins Nuppa Site'!J685,"NULL")</f>
        <v>75.5</v>
      </c>
      <c r="H685" s="30" t="n">
        <f aca="false">IF('Boletins Nuppa Site'!K685&lt;&gt;0,'Boletins Nuppa Site'!K685,"NULL")</f>
        <v>75</v>
      </c>
      <c r="I685" s="0" t="str">
        <f aca="false">"INSERT INTO COTACAO (cot_id, cot_blt_id, cot_pap_id, cot_prc_comum, cot_prc_min, cot_prc_max, cot_prc_med, cot_prc_mediana) VALUES ("&amp;A685&amp;", "&amp;B685&amp;", "&amp;C685&amp;", "&amp;D685&amp;", "&amp;E685&amp;", "&amp;F685&amp;", "&amp;G685&amp;", "&amp;H685&amp;");"</f>
        <v>INSERT INTO COTACAO (cot_id, cot_blt_id, cot_pap_id, cot_prc_comum, cot_prc_min, cot_prc_max, cot_prc_med, cot_prc_mediana) VALUES (684, 54, 12, NULL, 66, 86, 75.5, 75);</v>
      </c>
      <c r="J685" s="0" t="str">
        <f aca="false">"UPDATE COTACAO SET cot_id = "&amp;A685&amp;", cot_blt_id = "&amp;B685&amp;", cot_pap_id = "&amp;C685&amp;", cot_prc_comum = "&amp;D685&amp;", cot_prc_min = "&amp;E685&amp;", cot_prc_max = "&amp;F685&amp;", cot_prc_med = "&amp;G685&amp;", cot_prc_mediana = "&amp;H685&amp;" WHERE cot_id = "&amp;A685&amp;";"</f>
        <v>UPDATE COTACAO SET cot_id = 684, cot_blt_id = 54, cot_pap_id = 12, cot_prc_comum = NULL, cot_prc_min = 66, cot_prc_max = 86, cot_prc_med = 75.5, cot_prc_mediana = 75 WHERE cot_id = 684;</v>
      </c>
    </row>
    <row r="686" customFormat="false" ht="14.25" hidden="false" customHeight="false" outlineLevel="0" collapsed="false">
      <c r="A686" s="0" t="n">
        <v>685</v>
      </c>
      <c r="B686" s="0" t="n">
        <f aca="false">IF('Boletins Nuppa Site'!A686&lt;&gt;0,'Boletins Nuppa Site'!A686,"NULL")</f>
        <v>54</v>
      </c>
      <c r="C686" s="0" t="n">
        <v>13</v>
      </c>
      <c r="D686" s="30" t="n">
        <f aca="false">IF('Boletins Nuppa Site'!G686&lt;&gt;0,'Boletins Nuppa Site'!G686,"NULL")</f>
        <v>48</v>
      </c>
      <c r="E686" s="30" t="n">
        <f aca="false">IF('Boletins Nuppa Site'!H686&lt;&gt;0,'Boletins Nuppa Site'!H686,"NULL")</f>
        <v>48</v>
      </c>
      <c r="F686" s="30" t="n">
        <f aca="false">IF('Boletins Nuppa Site'!I686&lt;&gt;0,'Boletins Nuppa Site'!I686,"NULL")</f>
        <v>72</v>
      </c>
      <c r="G686" s="30" t="n">
        <f aca="false">IF('Boletins Nuppa Site'!J686&lt;&gt;0,'Boletins Nuppa Site'!J686,"NULL")</f>
        <v>57</v>
      </c>
      <c r="H686" s="30" t="n">
        <f aca="false">IF('Boletins Nuppa Site'!K686&lt;&gt;0,'Boletins Nuppa Site'!K686,"NULL")</f>
        <v>54</v>
      </c>
      <c r="I686" s="0" t="str">
        <f aca="false">"INSERT INTO COTACAO (cot_id, cot_blt_id, cot_pap_id, cot_prc_comum, cot_prc_min, cot_prc_max, cot_prc_med, cot_prc_mediana) VALUES ("&amp;A686&amp;", "&amp;B686&amp;", "&amp;C686&amp;", "&amp;D686&amp;", "&amp;E686&amp;", "&amp;F686&amp;", "&amp;G686&amp;", "&amp;H686&amp;");"</f>
        <v>INSERT INTO COTACAO (cot_id, cot_blt_id, cot_pap_id, cot_prc_comum, cot_prc_min, cot_prc_max, cot_prc_med, cot_prc_mediana) VALUES (685, 54, 13, 48, 48, 72, 57, 54);</v>
      </c>
      <c r="J686" s="0" t="str">
        <f aca="false">"UPDATE COTACAO SET cot_id = "&amp;A686&amp;", cot_blt_id = "&amp;B686&amp;", cot_pap_id = "&amp;C686&amp;", cot_prc_comum = "&amp;D686&amp;", cot_prc_min = "&amp;E686&amp;", cot_prc_max = "&amp;F686&amp;", cot_prc_med = "&amp;G686&amp;", cot_prc_mediana = "&amp;H686&amp;" WHERE cot_id = "&amp;A686&amp;";"</f>
        <v>UPDATE COTACAO SET cot_id = 685, cot_blt_id = 54, cot_pap_id = 13, cot_prc_comum = 48, cot_prc_min = 48, cot_prc_max = 72, cot_prc_med = 57, cot_prc_mediana = 54 WHERE cot_id = 685;</v>
      </c>
    </row>
    <row r="687" customFormat="false" ht="14.25" hidden="false" customHeight="false" outlineLevel="0" collapsed="false">
      <c r="A687" s="0" t="n">
        <v>686</v>
      </c>
      <c r="B687" s="0" t="n">
        <f aca="false">IF('Boletins Nuppa Site'!A687&lt;&gt;0,'Boletins Nuppa Site'!A687,"NULL")</f>
        <v>54</v>
      </c>
      <c r="C687" s="0" t="n">
        <v>14</v>
      </c>
      <c r="D687" s="0" t="str">
        <f aca="false">IF('Boletins Nuppa Site'!G687&lt;&gt;0,'Boletins Nuppa Site'!G687,"NULL")</f>
        <v>NULL</v>
      </c>
      <c r="E687" s="30" t="n">
        <f aca="false">IF('Boletins Nuppa Site'!H687&lt;&gt;0,'Boletins Nuppa Site'!H687,"NULL")</f>
        <v>60</v>
      </c>
      <c r="F687" s="30" t="n">
        <f aca="false">IF('Boletins Nuppa Site'!I687&lt;&gt;0,'Boletins Nuppa Site'!I687,"NULL")</f>
        <v>96</v>
      </c>
      <c r="G687" s="30" t="n">
        <f aca="false">IF('Boletins Nuppa Site'!J687&lt;&gt;0,'Boletins Nuppa Site'!J687,"NULL")</f>
        <v>78</v>
      </c>
      <c r="H687" s="30" t="n">
        <f aca="false">IF('Boletins Nuppa Site'!K687&lt;&gt;0,'Boletins Nuppa Site'!K687,"NULL")</f>
        <v>78</v>
      </c>
      <c r="I687" s="0" t="str">
        <f aca="false">"INSERT INTO COTACAO (cot_id, cot_blt_id, cot_pap_id, cot_prc_comum, cot_prc_min, cot_prc_max, cot_prc_med, cot_prc_mediana) VALUES ("&amp;A687&amp;", "&amp;B687&amp;", "&amp;C687&amp;", "&amp;D687&amp;", "&amp;E687&amp;", "&amp;F687&amp;", "&amp;G687&amp;", "&amp;H687&amp;");"</f>
        <v>INSERT INTO COTACAO (cot_id, cot_blt_id, cot_pap_id, cot_prc_comum, cot_prc_min, cot_prc_max, cot_prc_med, cot_prc_mediana) VALUES (686, 54, 14, NULL, 60, 96, 78, 78);</v>
      </c>
      <c r="J687" s="0" t="str">
        <f aca="false">"UPDATE COTACAO SET cot_id = "&amp;A687&amp;", cot_blt_id = "&amp;B687&amp;", cot_pap_id = "&amp;C687&amp;", cot_prc_comum = "&amp;D687&amp;", cot_prc_min = "&amp;E687&amp;", cot_prc_max = "&amp;F687&amp;", cot_prc_med = "&amp;G687&amp;", cot_prc_mediana = "&amp;H687&amp;" WHERE cot_id = "&amp;A687&amp;";"</f>
        <v>UPDATE COTACAO SET cot_id = 686, cot_blt_id = 54, cot_pap_id = 14, cot_prc_comum = NULL, cot_prc_min = 60, cot_prc_max = 96, cot_prc_med = 78, cot_prc_mediana = 78 WHERE cot_id = 686;</v>
      </c>
    </row>
    <row r="688" customFormat="false" ht="14.25" hidden="false" customHeight="false" outlineLevel="0" collapsed="false">
      <c r="A688" s="0" t="n">
        <v>687</v>
      </c>
      <c r="B688" s="0" t="n">
        <f aca="false">IF('Boletins Nuppa Site'!A688&lt;&gt;0,'Boletins Nuppa Site'!A688,"NULL")</f>
        <v>54</v>
      </c>
      <c r="C688" s="0" t="n">
        <v>15</v>
      </c>
      <c r="D688" s="30" t="n">
        <f aca="false">IF('Boletins Nuppa Site'!G688&lt;&gt;0,'Boletins Nuppa Site'!G688,"NULL")</f>
        <v>48</v>
      </c>
      <c r="E688" s="30" t="n">
        <f aca="false">IF('Boletins Nuppa Site'!H688&lt;&gt;0,'Boletins Nuppa Site'!H688,"NULL")</f>
        <v>48</v>
      </c>
      <c r="F688" s="30" t="n">
        <f aca="false">IF('Boletins Nuppa Site'!I688&lt;&gt;0,'Boletins Nuppa Site'!I688,"NULL")</f>
        <v>72</v>
      </c>
      <c r="G688" s="0" t="str">
        <f aca="false">IF('Boletins Nuppa Site'!J688&lt;&gt;0,'Boletins Nuppa Site'!J688,"NULL")</f>
        <v>55.6</v>
      </c>
      <c r="H688" s="30" t="n">
        <f aca="false">IF('Boletins Nuppa Site'!K688&lt;&gt;0,'Boletins Nuppa Site'!K688,"NULL")</f>
        <v>50</v>
      </c>
      <c r="I688" s="0" t="str">
        <f aca="false">"INSERT INTO COTACAO (cot_id, cot_blt_id, cot_pap_id, cot_prc_comum, cot_prc_min, cot_prc_max, cot_prc_med, cot_prc_mediana) VALUES ("&amp;A688&amp;", "&amp;B688&amp;", "&amp;C688&amp;", "&amp;D688&amp;", "&amp;E688&amp;", "&amp;F688&amp;", "&amp;G688&amp;", "&amp;H688&amp;");"</f>
        <v>INSERT INTO COTACAO (cot_id, cot_blt_id, cot_pap_id, cot_prc_comum, cot_prc_min, cot_prc_max, cot_prc_med, cot_prc_mediana) VALUES (687, 54, 15, 48, 48, 72, 55.6, 50);</v>
      </c>
      <c r="J688" s="0" t="str">
        <f aca="false">"UPDATE COTACAO SET cot_id = "&amp;A688&amp;", cot_blt_id = "&amp;B688&amp;", cot_pap_id = "&amp;C688&amp;", cot_prc_comum = "&amp;D688&amp;", cot_prc_min = "&amp;E688&amp;", cot_prc_max = "&amp;F688&amp;", cot_prc_med = "&amp;G688&amp;", cot_prc_mediana = "&amp;H688&amp;" WHERE cot_id = "&amp;A688&amp;";"</f>
        <v>UPDATE COTACAO SET cot_id = 687, cot_blt_id = 54, cot_pap_id = 15, cot_prc_comum = 48, cot_prc_min = 48, cot_prc_max = 72, cot_prc_med = 55.6, cot_prc_mediana = 50 WHERE cot_id = 687;</v>
      </c>
    </row>
    <row r="689" customFormat="false" ht="14.25" hidden="false" customHeight="false" outlineLevel="0" collapsed="false">
      <c r="A689" s="0" t="n">
        <v>688</v>
      </c>
      <c r="B689" s="0" t="n">
        <f aca="false">IF('Boletins Nuppa Site'!A689&lt;&gt;0,'Boletins Nuppa Site'!A689,"NULL")</f>
        <v>54</v>
      </c>
      <c r="C689" s="0" t="n">
        <v>16</v>
      </c>
      <c r="D689" s="30" t="n">
        <f aca="false">IF('Boletins Nuppa Site'!G689&lt;&gt;0,'Boletins Nuppa Site'!G689,"NULL")</f>
        <v>54</v>
      </c>
      <c r="E689" s="30" t="n">
        <f aca="false">IF('Boletins Nuppa Site'!H689&lt;&gt;0,'Boletins Nuppa Site'!H689,"NULL")</f>
        <v>48</v>
      </c>
      <c r="F689" s="30" t="n">
        <f aca="false">IF('Boletins Nuppa Site'!I689&lt;&gt;0,'Boletins Nuppa Site'!I689,"NULL")</f>
        <v>60</v>
      </c>
      <c r="G689" s="30" t="n">
        <f aca="false">IF('Boletins Nuppa Site'!J689&lt;&gt;0,'Boletins Nuppa Site'!J689,"NULL")</f>
        <v>54</v>
      </c>
      <c r="H689" s="30" t="n">
        <f aca="false">IF('Boletins Nuppa Site'!K689&lt;&gt;0,'Boletins Nuppa Site'!K689,"NULL")</f>
        <v>54</v>
      </c>
      <c r="I689" s="0" t="str">
        <f aca="false">"INSERT INTO COTACAO (cot_id, cot_blt_id, cot_pap_id, cot_prc_comum, cot_prc_min, cot_prc_max, cot_prc_med, cot_prc_mediana) VALUES ("&amp;A689&amp;", "&amp;B689&amp;", "&amp;C689&amp;", "&amp;D689&amp;", "&amp;E689&amp;", "&amp;F689&amp;", "&amp;G689&amp;", "&amp;H689&amp;");"</f>
        <v>INSERT INTO COTACAO (cot_id, cot_blt_id, cot_pap_id, cot_prc_comum, cot_prc_min, cot_prc_max, cot_prc_med, cot_prc_mediana) VALUES (688, 54, 16, 54, 48, 60, 54, 54);</v>
      </c>
      <c r="J689" s="0" t="str">
        <f aca="false">"UPDATE COTACAO SET cot_id = "&amp;A689&amp;", cot_blt_id = "&amp;B689&amp;", cot_pap_id = "&amp;C689&amp;", cot_prc_comum = "&amp;D689&amp;", cot_prc_min = "&amp;E689&amp;", cot_prc_max = "&amp;F689&amp;", cot_prc_med = "&amp;G689&amp;", cot_prc_mediana = "&amp;H689&amp;" WHERE cot_id = "&amp;A689&amp;";"</f>
        <v>UPDATE COTACAO SET cot_id = 688, cot_blt_id = 54, cot_pap_id = 16, cot_prc_comum = 54, cot_prc_min = 48, cot_prc_max = 60, cot_prc_med = 54, cot_prc_mediana = 54 WHERE cot_id = 688;</v>
      </c>
    </row>
    <row r="690" customFormat="false" ht="14.25" hidden="false" customHeight="false" outlineLevel="0" collapsed="false">
      <c r="A690" s="0" t="n">
        <v>689</v>
      </c>
      <c r="B690" s="0" t="n">
        <f aca="false">IF('Boletins Nuppa Site'!A690&lt;&gt;0,'Boletins Nuppa Site'!A690,"NULL")</f>
        <v>54</v>
      </c>
      <c r="C690" s="0" t="n">
        <v>17</v>
      </c>
      <c r="D690" s="30" t="n">
        <f aca="false">IF('Boletins Nuppa Site'!G690&lt;&gt;0,'Boletins Nuppa Site'!G690,"NULL")</f>
        <v>5</v>
      </c>
      <c r="E690" s="30" t="n">
        <f aca="false">IF('Boletins Nuppa Site'!H690&lt;&gt;0,'Boletins Nuppa Site'!H690,"NULL")</f>
        <v>5</v>
      </c>
      <c r="F690" s="30" t="n">
        <f aca="false">IF('Boletins Nuppa Site'!I690&lt;&gt;0,'Boletins Nuppa Site'!I690,"NULL")</f>
        <v>6</v>
      </c>
      <c r="G690" s="0" t="str">
        <f aca="false">IF('Boletins Nuppa Site'!J690&lt;&gt;0,'Boletins Nuppa Site'!J690,"NULL")</f>
        <v>5.25</v>
      </c>
      <c r="H690" s="30" t="n">
        <f aca="false">IF('Boletins Nuppa Site'!K690&lt;&gt;0,'Boletins Nuppa Site'!K690,"NULL")</f>
        <v>5</v>
      </c>
      <c r="I690" s="0" t="str">
        <f aca="false">"INSERT INTO COTACAO (cot_id, cot_blt_id, cot_pap_id, cot_prc_comum, cot_prc_min, cot_prc_max, cot_prc_med, cot_prc_mediana) VALUES ("&amp;A690&amp;", "&amp;B690&amp;", "&amp;C690&amp;", "&amp;D690&amp;", "&amp;E690&amp;", "&amp;F690&amp;", "&amp;G690&amp;", "&amp;H690&amp;");"</f>
        <v>INSERT INTO COTACAO (cot_id, cot_blt_id, cot_pap_id, cot_prc_comum, cot_prc_min, cot_prc_max, cot_prc_med, cot_prc_mediana) VALUES (689, 54, 17, 5, 5, 6, 5.25, 5);</v>
      </c>
      <c r="J690" s="0" t="str">
        <f aca="false">"UPDATE COTACAO SET cot_id = "&amp;A690&amp;", cot_blt_id = "&amp;B690&amp;", cot_pap_id = "&amp;C690&amp;", cot_prc_comum = "&amp;D690&amp;", cot_prc_min = "&amp;E690&amp;", cot_prc_max = "&amp;F690&amp;", cot_prc_med = "&amp;G690&amp;", cot_prc_mediana = "&amp;H690&amp;" WHERE cot_id = "&amp;A690&amp;";"</f>
        <v>UPDATE COTACAO SET cot_id = 689, cot_blt_id = 54, cot_pap_id = 17, cot_prc_comum = 5, cot_prc_min = 5, cot_prc_max = 6, cot_prc_med = 5.25, cot_prc_mediana = 5 WHERE cot_id = 689;</v>
      </c>
    </row>
    <row r="691" customFormat="false" ht="14.25" hidden="false" customHeight="false" outlineLevel="0" collapsed="false">
      <c r="A691" s="0" t="n">
        <v>690</v>
      </c>
      <c r="B691" s="0" t="n">
        <f aca="false">IF('Boletins Nuppa Site'!A691&lt;&gt;0,'Boletins Nuppa Site'!A691,"NULL")</f>
        <v>54</v>
      </c>
      <c r="C691" s="0" t="n">
        <v>18</v>
      </c>
      <c r="D691" s="30" t="n">
        <f aca="false">IF('Boletins Nuppa Site'!G691&lt;&gt;0,'Boletins Nuppa Site'!G691,"NULL")</f>
        <v>20</v>
      </c>
      <c r="E691" s="30" t="n">
        <f aca="false">IF('Boletins Nuppa Site'!H691&lt;&gt;0,'Boletins Nuppa Site'!H691,"NULL")</f>
        <v>15</v>
      </c>
      <c r="F691" s="30" t="n">
        <f aca="false">IF('Boletins Nuppa Site'!I691&lt;&gt;0,'Boletins Nuppa Site'!I691,"NULL")</f>
        <v>25</v>
      </c>
      <c r="G691" s="30" t="n">
        <f aca="false">IF('Boletins Nuppa Site'!J691&lt;&gt;0,'Boletins Nuppa Site'!J691,"NULL")</f>
        <v>20</v>
      </c>
      <c r="H691" s="30" t="n">
        <f aca="false">IF('Boletins Nuppa Site'!K691&lt;&gt;0,'Boletins Nuppa Site'!K691,"NULL")</f>
        <v>20</v>
      </c>
      <c r="I691" s="0" t="str">
        <f aca="false">"INSERT INTO COTACAO (cot_id, cot_blt_id, cot_pap_id, cot_prc_comum, cot_prc_min, cot_prc_max, cot_prc_med, cot_prc_mediana) VALUES ("&amp;A691&amp;", "&amp;B691&amp;", "&amp;C691&amp;", "&amp;D691&amp;", "&amp;E691&amp;", "&amp;F691&amp;", "&amp;G691&amp;", "&amp;H691&amp;");"</f>
        <v>INSERT INTO COTACAO (cot_id, cot_blt_id, cot_pap_id, cot_prc_comum, cot_prc_min, cot_prc_max, cot_prc_med, cot_prc_mediana) VALUES (690, 54, 18, 20, 15, 25, 20, 20);</v>
      </c>
      <c r="J691" s="0" t="str">
        <f aca="false">"UPDATE COTACAO SET cot_id = "&amp;A691&amp;", cot_blt_id = "&amp;B691&amp;", cot_pap_id = "&amp;C691&amp;", cot_prc_comum = "&amp;D691&amp;", cot_prc_min = "&amp;E691&amp;", cot_prc_max = "&amp;F691&amp;", cot_prc_med = "&amp;G691&amp;", cot_prc_mediana = "&amp;H691&amp;" WHERE cot_id = "&amp;A691&amp;";"</f>
        <v>UPDATE COTACAO SET cot_id = 690, cot_blt_id = 54, cot_pap_id = 18, cot_prc_comum = 20, cot_prc_min = 15, cot_prc_max = 25, cot_prc_med = 20, cot_prc_mediana = 20 WHERE cot_id = 690;</v>
      </c>
    </row>
    <row r="692" customFormat="false" ht="14.25" hidden="false" customHeight="false" outlineLevel="0" collapsed="false">
      <c r="A692" s="0" t="n">
        <v>691</v>
      </c>
      <c r="B692" s="0" t="n">
        <f aca="false">IF('Boletins Nuppa Site'!A692&lt;&gt;0,'Boletins Nuppa Site'!A692,"NULL")</f>
        <v>54</v>
      </c>
      <c r="C692" s="0" t="n">
        <v>19</v>
      </c>
      <c r="D692" s="30" t="n">
        <f aca="false">IF('Boletins Nuppa Site'!G692&lt;&gt;0,'Boletins Nuppa Site'!G692,"NULL")</f>
        <v>25</v>
      </c>
      <c r="E692" s="30" t="n">
        <f aca="false">IF('Boletins Nuppa Site'!H692&lt;&gt;0,'Boletins Nuppa Site'!H692,"NULL")</f>
        <v>25</v>
      </c>
      <c r="F692" s="30" t="n">
        <f aca="false">IF('Boletins Nuppa Site'!I692&lt;&gt;0,'Boletins Nuppa Site'!I692,"NULL")</f>
        <v>35</v>
      </c>
      <c r="G692" s="30" t="n">
        <f aca="false">IF('Boletins Nuppa Site'!J692&lt;&gt;0,'Boletins Nuppa Site'!J692,"NULL")</f>
        <v>30</v>
      </c>
      <c r="H692" s="30" t="n">
        <f aca="false">IF('Boletins Nuppa Site'!K692&lt;&gt;0,'Boletins Nuppa Site'!K692,"NULL")</f>
        <v>30</v>
      </c>
      <c r="I692" s="0" t="str">
        <f aca="false">"INSERT INTO COTACAO (cot_id, cot_blt_id, cot_pap_id, cot_prc_comum, cot_prc_min, cot_prc_max, cot_prc_med, cot_prc_mediana) VALUES ("&amp;A692&amp;", "&amp;B692&amp;", "&amp;C692&amp;", "&amp;D692&amp;", "&amp;E692&amp;", "&amp;F692&amp;", "&amp;G692&amp;", "&amp;H692&amp;");"</f>
        <v>INSERT INTO COTACAO (cot_id, cot_blt_id, cot_pap_id, cot_prc_comum, cot_prc_min, cot_prc_max, cot_prc_med, cot_prc_mediana) VALUES (691, 54, 19, 25, 25, 35, 30, 30);</v>
      </c>
      <c r="J692" s="0" t="str">
        <f aca="false">"UPDATE COTACAO SET cot_id = "&amp;A692&amp;", cot_blt_id = "&amp;B692&amp;", cot_pap_id = "&amp;C692&amp;", cot_prc_comum = "&amp;D692&amp;", cot_prc_min = "&amp;E692&amp;", cot_prc_max = "&amp;F692&amp;", cot_prc_med = "&amp;G692&amp;", cot_prc_mediana = "&amp;H692&amp;" WHERE cot_id = "&amp;A692&amp;";"</f>
        <v>UPDATE COTACAO SET cot_id = 691, cot_blt_id = 54, cot_pap_id = 19, cot_prc_comum = 25, cot_prc_min = 25, cot_prc_max = 35, cot_prc_med = 30, cot_prc_mediana = 30 WHERE cot_id = 691;</v>
      </c>
    </row>
    <row r="693" customFormat="false" ht="14.25" hidden="false" customHeight="false" outlineLevel="0" collapsed="false">
      <c r="A693" s="0" t="n">
        <v>692</v>
      </c>
      <c r="B693" s="0" t="n">
        <f aca="false">IF('Boletins Nuppa Site'!A693&lt;&gt;0,'Boletins Nuppa Site'!A693,"NULL")</f>
        <v>54</v>
      </c>
      <c r="C693" s="0" t="n">
        <v>20</v>
      </c>
      <c r="D693" s="0" t="str">
        <f aca="false">IF('Boletins Nuppa Site'!G693&lt;&gt;0,'Boletins Nuppa Site'!G693,"NULL")</f>
        <v>NULL</v>
      </c>
      <c r="E693" s="30" t="n">
        <f aca="false">IF('Boletins Nuppa Site'!H693&lt;&gt;0,'Boletins Nuppa Site'!H693,"NULL")</f>
        <v>85</v>
      </c>
      <c r="F693" s="30" t="n">
        <f aca="false">IF('Boletins Nuppa Site'!I693&lt;&gt;0,'Boletins Nuppa Site'!I693,"NULL")</f>
        <v>85</v>
      </c>
      <c r="G693" s="30" t="n">
        <f aca="false">IF('Boletins Nuppa Site'!J693&lt;&gt;0,'Boletins Nuppa Site'!J693,"NULL")</f>
        <v>85</v>
      </c>
      <c r="H693" s="30" t="n">
        <f aca="false">IF('Boletins Nuppa Site'!K693&lt;&gt;0,'Boletins Nuppa Site'!K693,"NULL")</f>
        <v>85</v>
      </c>
      <c r="I693" s="0" t="str">
        <f aca="false">"INSERT INTO COTACAO (cot_id, cot_blt_id, cot_pap_id, cot_prc_comum, cot_prc_min, cot_prc_max, cot_prc_med, cot_prc_mediana) VALUES ("&amp;A693&amp;", "&amp;B693&amp;", "&amp;C693&amp;", "&amp;D693&amp;", "&amp;E693&amp;", "&amp;F693&amp;", "&amp;G693&amp;", "&amp;H693&amp;");"</f>
        <v>INSERT INTO COTACAO (cot_id, cot_blt_id, cot_pap_id, cot_prc_comum, cot_prc_min, cot_prc_max, cot_prc_med, cot_prc_mediana) VALUES (692, 54, 20, NULL, 85, 85, 85, 85);</v>
      </c>
      <c r="J693" s="0" t="str">
        <f aca="false">"UPDATE COTACAO SET cot_id = "&amp;A693&amp;", cot_blt_id = "&amp;B693&amp;", cot_pap_id = "&amp;C693&amp;", cot_prc_comum = "&amp;D693&amp;", cot_prc_min = "&amp;E693&amp;", cot_prc_max = "&amp;F693&amp;", cot_prc_med = "&amp;G693&amp;", cot_prc_mediana = "&amp;H693&amp;" WHERE cot_id = "&amp;A693&amp;";"</f>
        <v>UPDATE COTACAO SET cot_id = 692, cot_blt_id = 54, cot_pap_id = 20, cot_prc_comum = NULL, cot_prc_min = 85, cot_prc_max = 85, cot_prc_med = 85, cot_prc_mediana = 85 WHERE cot_id = 692;</v>
      </c>
    </row>
    <row r="694" customFormat="false" ht="14.25" hidden="false" customHeight="false" outlineLevel="0" collapsed="false">
      <c r="A694" s="0" t="n">
        <v>693</v>
      </c>
      <c r="B694" s="0" t="n">
        <f aca="false">IF('Boletins Nuppa Site'!A694&lt;&gt;0,'Boletins Nuppa Site'!A694,"NULL")</f>
        <v>54</v>
      </c>
      <c r="C694" s="0" t="n">
        <v>21</v>
      </c>
      <c r="D694" s="30" t="n">
        <f aca="false">IF('Boletins Nuppa Site'!G694&lt;&gt;0,'Boletins Nuppa Site'!G694,"NULL")</f>
        <v>100</v>
      </c>
      <c r="E694" s="30" t="n">
        <f aca="false">IF('Boletins Nuppa Site'!H694&lt;&gt;0,'Boletins Nuppa Site'!H694,"NULL")</f>
        <v>80</v>
      </c>
      <c r="F694" s="30" t="n">
        <f aca="false">IF('Boletins Nuppa Site'!I694&lt;&gt;0,'Boletins Nuppa Site'!I694,"NULL")</f>
        <v>100</v>
      </c>
      <c r="G694" s="0" t="str">
        <f aca="false">IF('Boletins Nuppa Site'!J694&lt;&gt;0,'Boletins Nuppa Site'!J694,"NULL")</f>
        <v>93.33</v>
      </c>
      <c r="H694" s="30" t="n">
        <f aca="false">IF('Boletins Nuppa Site'!K694&lt;&gt;0,'Boletins Nuppa Site'!K694,"NULL")</f>
        <v>100</v>
      </c>
      <c r="I694" s="0" t="str">
        <f aca="false">"INSERT INTO COTACAO (cot_id, cot_blt_id, cot_pap_id, cot_prc_comum, cot_prc_min, cot_prc_max, cot_prc_med, cot_prc_mediana) VALUES ("&amp;A694&amp;", "&amp;B694&amp;", "&amp;C694&amp;", "&amp;D694&amp;", "&amp;E694&amp;", "&amp;F694&amp;", "&amp;G694&amp;", "&amp;H694&amp;");"</f>
        <v>INSERT INTO COTACAO (cot_id, cot_blt_id, cot_pap_id, cot_prc_comum, cot_prc_min, cot_prc_max, cot_prc_med, cot_prc_mediana) VALUES (693, 54, 21, 100, 80, 100, 93.33, 100);</v>
      </c>
      <c r="J694" s="0" t="str">
        <f aca="false">"UPDATE COTACAO SET cot_id = "&amp;A694&amp;", cot_blt_id = "&amp;B694&amp;", cot_pap_id = "&amp;C694&amp;", cot_prc_comum = "&amp;D694&amp;", cot_prc_min = "&amp;E694&amp;", cot_prc_max = "&amp;F694&amp;", cot_prc_med = "&amp;G694&amp;", cot_prc_mediana = "&amp;H694&amp;" WHERE cot_id = "&amp;A694&amp;";"</f>
        <v>UPDATE COTACAO SET cot_id = 693, cot_blt_id = 54, cot_pap_id = 21, cot_prc_comum = 100, cot_prc_min = 80, cot_prc_max = 100, cot_prc_med = 93.33, cot_prc_mediana = 100 WHERE cot_id = 693;</v>
      </c>
    </row>
    <row r="695" customFormat="false" ht="14.25" hidden="false" customHeight="false" outlineLevel="0" collapsed="false">
      <c r="A695" s="0" t="n">
        <v>694</v>
      </c>
      <c r="B695" s="0" t="n">
        <f aca="false">IF('Boletins Nuppa Site'!A695&lt;&gt;0,'Boletins Nuppa Site'!A695,"NULL")</f>
        <v>54</v>
      </c>
      <c r="C695" s="0" t="n">
        <v>22</v>
      </c>
      <c r="D695" s="30" t="n">
        <f aca="false">IF('Boletins Nuppa Site'!G695&lt;&gt;0,'Boletins Nuppa Site'!G695,"NULL")</f>
        <v>50</v>
      </c>
      <c r="E695" s="30" t="n">
        <f aca="false">IF('Boletins Nuppa Site'!H695&lt;&gt;0,'Boletins Nuppa Site'!H695,"NULL")</f>
        <v>50</v>
      </c>
      <c r="F695" s="30" t="n">
        <f aca="false">IF('Boletins Nuppa Site'!I695&lt;&gt;0,'Boletins Nuppa Site'!I695,"NULL")</f>
        <v>70</v>
      </c>
      <c r="G695" s="30" t="n">
        <f aca="false">IF('Boletins Nuppa Site'!J695&lt;&gt;0,'Boletins Nuppa Site'!J695,"NULL")</f>
        <v>60</v>
      </c>
      <c r="H695" s="30" t="n">
        <f aca="false">IF('Boletins Nuppa Site'!K695&lt;&gt;0,'Boletins Nuppa Site'!K695,"NULL")</f>
        <v>60</v>
      </c>
      <c r="I695" s="0" t="str">
        <f aca="false">"INSERT INTO COTACAO (cot_id, cot_blt_id, cot_pap_id, cot_prc_comum, cot_prc_min, cot_prc_max, cot_prc_med, cot_prc_mediana) VALUES ("&amp;A695&amp;", "&amp;B695&amp;", "&amp;C695&amp;", "&amp;D695&amp;", "&amp;E695&amp;", "&amp;F695&amp;", "&amp;G695&amp;", "&amp;H695&amp;");"</f>
        <v>INSERT INTO COTACAO (cot_id, cot_blt_id, cot_pap_id, cot_prc_comum, cot_prc_min, cot_prc_max, cot_prc_med, cot_prc_mediana) VALUES (694, 54, 22, 50, 50, 70, 60, 60);</v>
      </c>
      <c r="J695" s="0" t="str">
        <f aca="false">"UPDATE COTACAO SET cot_id = "&amp;A695&amp;", cot_blt_id = "&amp;B695&amp;", cot_pap_id = "&amp;C695&amp;", cot_prc_comum = "&amp;D695&amp;", cot_prc_min = "&amp;E695&amp;", cot_prc_max = "&amp;F695&amp;", cot_prc_med = "&amp;G695&amp;", cot_prc_mediana = "&amp;H695&amp;" WHERE cot_id = "&amp;A695&amp;";"</f>
        <v>UPDATE COTACAO SET cot_id = 694, cot_blt_id = 54, cot_pap_id = 22, cot_prc_comum = 50, cot_prc_min = 50, cot_prc_max = 70, cot_prc_med = 60, cot_prc_mediana = 60 WHERE cot_id = 694;</v>
      </c>
    </row>
    <row r="696" customFormat="false" ht="14.25" hidden="false" customHeight="false" outlineLevel="0" collapsed="false">
      <c r="A696" s="0" t="n">
        <v>695</v>
      </c>
      <c r="B696" s="0" t="n">
        <f aca="false">IF('Boletins Nuppa Site'!A696&lt;&gt;0,'Boletins Nuppa Site'!A696,"NULL")</f>
        <v>54</v>
      </c>
      <c r="C696" s="0" t="n">
        <v>23</v>
      </c>
      <c r="D696" s="0" t="str">
        <f aca="false">IF('Boletins Nuppa Site'!G696&lt;&gt;0,'Boletins Nuppa Site'!G696,"NULL")</f>
        <v>NULL</v>
      </c>
      <c r="E696" s="30" t="n">
        <f aca="false">IF('Boletins Nuppa Site'!H696&lt;&gt;0,'Boletins Nuppa Site'!H696,"NULL")</f>
        <v>40</v>
      </c>
      <c r="F696" s="30" t="n">
        <f aca="false">IF('Boletins Nuppa Site'!I696&lt;&gt;0,'Boletins Nuppa Site'!I696,"NULL")</f>
        <v>50</v>
      </c>
      <c r="G696" s="30" t="n">
        <f aca="false">IF('Boletins Nuppa Site'!J696&lt;&gt;0,'Boletins Nuppa Site'!J696,"NULL")</f>
        <v>45</v>
      </c>
      <c r="H696" s="30" t="n">
        <f aca="false">IF('Boletins Nuppa Site'!K696&lt;&gt;0,'Boletins Nuppa Site'!K696,"NULL")</f>
        <v>45</v>
      </c>
      <c r="I696" s="0" t="str">
        <f aca="false">"INSERT INTO COTACAO (cot_id, cot_blt_id, cot_pap_id, cot_prc_comum, cot_prc_min, cot_prc_max, cot_prc_med, cot_prc_mediana) VALUES ("&amp;A696&amp;", "&amp;B696&amp;", "&amp;C696&amp;", "&amp;D696&amp;", "&amp;E696&amp;", "&amp;F696&amp;", "&amp;G696&amp;", "&amp;H696&amp;");"</f>
        <v>INSERT INTO COTACAO (cot_id, cot_blt_id, cot_pap_id, cot_prc_comum, cot_prc_min, cot_prc_max, cot_prc_med, cot_prc_mediana) VALUES (695, 54, 23, NULL, 40, 50, 45, 45);</v>
      </c>
      <c r="J696" s="0" t="str">
        <f aca="false">"UPDATE COTACAO SET cot_id = "&amp;A696&amp;", cot_blt_id = "&amp;B696&amp;", cot_pap_id = "&amp;C696&amp;", cot_prc_comum = "&amp;D696&amp;", cot_prc_min = "&amp;E696&amp;", cot_prc_max = "&amp;F696&amp;", cot_prc_med = "&amp;G696&amp;", cot_prc_mediana = "&amp;H696&amp;" WHERE cot_id = "&amp;A696&amp;";"</f>
        <v>UPDATE COTACAO SET cot_id = 695, cot_blt_id = 54, cot_pap_id = 23, cot_prc_comum = NULL, cot_prc_min = 40, cot_prc_max = 50, cot_prc_med = 45, cot_prc_mediana = 45 WHERE cot_id = 695;</v>
      </c>
    </row>
    <row r="697" customFormat="false" ht="14.25" hidden="false" customHeight="false" outlineLevel="0" collapsed="false">
      <c r="A697" s="0" t="n">
        <v>696</v>
      </c>
      <c r="B697" s="0" t="n">
        <f aca="false">IF('Boletins Nuppa Site'!A697&lt;&gt;0,'Boletins Nuppa Site'!A697,"NULL")</f>
        <v>54</v>
      </c>
      <c r="C697" s="0" t="n">
        <v>24</v>
      </c>
      <c r="D697" s="0" t="str">
        <f aca="false">IF('Boletins Nuppa Site'!G697&lt;&gt;0,'Boletins Nuppa Site'!G697,"NULL")</f>
        <v>NULL</v>
      </c>
      <c r="E697" s="30" t="n">
        <f aca="false">IF('Boletins Nuppa Site'!H697&lt;&gt;0,'Boletins Nuppa Site'!H697,"NULL")</f>
        <v>100</v>
      </c>
      <c r="F697" s="30" t="n">
        <f aca="false">IF('Boletins Nuppa Site'!I697&lt;&gt;0,'Boletins Nuppa Site'!I697,"NULL")</f>
        <v>100</v>
      </c>
      <c r="G697" s="30" t="n">
        <f aca="false">IF('Boletins Nuppa Site'!J697&lt;&gt;0,'Boletins Nuppa Site'!J697,"NULL")</f>
        <v>100</v>
      </c>
      <c r="H697" s="30" t="n">
        <f aca="false">IF('Boletins Nuppa Site'!K697&lt;&gt;0,'Boletins Nuppa Site'!K697,"NULL")</f>
        <v>100</v>
      </c>
      <c r="I697" s="0" t="str">
        <f aca="false">"INSERT INTO COTACAO (cot_id, cot_blt_id, cot_pap_id, cot_prc_comum, cot_prc_min, cot_prc_max, cot_prc_med, cot_prc_mediana) VALUES ("&amp;A697&amp;", "&amp;B697&amp;", "&amp;C697&amp;", "&amp;D697&amp;", "&amp;E697&amp;", "&amp;F697&amp;", "&amp;G697&amp;", "&amp;H697&amp;");"</f>
        <v>INSERT INTO COTACAO (cot_id, cot_blt_id, cot_pap_id, cot_prc_comum, cot_prc_min, cot_prc_max, cot_prc_med, cot_prc_mediana) VALUES (696, 54, 24, NULL, 100, 100, 100, 100);</v>
      </c>
      <c r="J697" s="0" t="str">
        <f aca="false">"UPDATE COTACAO SET cot_id = "&amp;A697&amp;", cot_blt_id = "&amp;B697&amp;", cot_pap_id = "&amp;C697&amp;", cot_prc_comum = "&amp;D697&amp;", cot_prc_min = "&amp;E697&amp;", cot_prc_max = "&amp;F697&amp;", cot_prc_med = "&amp;G697&amp;", cot_prc_mediana = "&amp;H697&amp;" WHERE cot_id = "&amp;A697&amp;";"</f>
        <v>UPDATE COTACAO SET cot_id = 696, cot_blt_id = 54, cot_pap_id = 24, cot_prc_comum = NULL, cot_prc_min = 100, cot_prc_max = 100, cot_prc_med = 100, cot_prc_mediana = 100 WHERE cot_id = 696;</v>
      </c>
    </row>
    <row r="698" customFormat="false" ht="14.25" hidden="false" customHeight="false" outlineLevel="0" collapsed="false">
      <c r="A698" s="0" t="n">
        <v>697</v>
      </c>
      <c r="B698" s="0" t="n">
        <f aca="false">IF('Boletins Nuppa Site'!A698&lt;&gt;0,'Boletins Nuppa Site'!A698,"NULL")</f>
        <v>54</v>
      </c>
      <c r="C698" s="0" t="n">
        <v>25</v>
      </c>
      <c r="D698" s="30" t="n">
        <f aca="false">IF('Boletins Nuppa Site'!G698&lt;&gt;0,'Boletins Nuppa Site'!G698,"NULL")</f>
        <v>110</v>
      </c>
      <c r="E698" s="30" t="n">
        <f aca="false">IF('Boletins Nuppa Site'!H698&lt;&gt;0,'Boletins Nuppa Site'!H698,"NULL")</f>
        <v>110</v>
      </c>
      <c r="F698" s="30" t="n">
        <f aca="false">IF('Boletins Nuppa Site'!I698&lt;&gt;0,'Boletins Nuppa Site'!I698,"NULL")</f>
        <v>140</v>
      </c>
      <c r="G698" s="30" t="n">
        <f aca="false">IF('Boletins Nuppa Site'!J698&lt;&gt;0,'Boletins Nuppa Site'!J698,"NULL")</f>
        <v>120</v>
      </c>
      <c r="H698" s="30" t="n">
        <f aca="false">IF('Boletins Nuppa Site'!K698&lt;&gt;0,'Boletins Nuppa Site'!K698,"NULL")</f>
        <v>110</v>
      </c>
      <c r="I698" s="0" t="str">
        <f aca="false">"INSERT INTO COTACAO (cot_id, cot_blt_id, cot_pap_id, cot_prc_comum, cot_prc_min, cot_prc_max, cot_prc_med, cot_prc_mediana) VALUES ("&amp;A698&amp;", "&amp;B698&amp;", "&amp;C698&amp;", "&amp;D698&amp;", "&amp;E698&amp;", "&amp;F698&amp;", "&amp;G698&amp;", "&amp;H698&amp;");"</f>
        <v>INSERT INTO COTACAO (cot_id, cot_blt_id, cot_pap_id, cot_prc_comum, cot_prc_min, cot_prc_max, cot_prc_med, cot_prc_mediana) VALUES (697, 54, 25, 110, 110, 140, 120, 110);</v>
      </c>
      <c r="J698" s="0" t="str">
        <f aca="false">"UPDATE COTACAO SET cot_id = "&amp;A698&amp;", cot_blt_id = "&amp;B698&amp;", cot_pap_id = "&amp;C698&amp;", cot_prc_comum = "&amp;D698&amp;", cot_prc_min = "&amp;E698&amp;", cot_prc_max = "&amp;F698&amp;", cot_prc_med = "&amp;G698&amp;", cot_prc_mediana = "&amp;H698&amp;" WHERE cot_id = "&amp;A698&amp;";"</f>
        <v>UPDATE COTACAO SET cot_id = 697, cot_blt_id = 54, cot_pap_id = 25, cot_prc_comum = 110, cot_prc_min = 110, cot_prc_max = 140, cot_prc_med = 120, cot_prc_mediana = 110 WHERE cot_id = 697;</v>
      </c>
    </row>
    <row r="699" customFormat="false" ht="14.25" hidden="false" customHeight="false" outlineLevel="0" collapsed="false">
      <c r="A699" s="0" t="n">
        <v>698</v>
      </c>
      <c r="B699" s="0" t="n">
        <f aca="false">IF('Boletins Nuppa Site'!A699&lt;&gt;0,'Boletins Nuppa Site'!A699,"NULL")</f>
        <v>54</v>
      </c>
      <c r="C699" s="0" t="n">
        <v>26</v>
      </c>
      <c r="D699" s="0" t="str">
        <f aca="false">IF('Boletins Nuppa Site'!G699&lt;&gt;0,'Boletins Nuppa Site'!G699,"NULL")</f>
        <v>NULL</v>
      </c>
      <c r="E699" s="30" t="n">
        <f aca="false">IF('Boletins Nuppa Site'!H699&lt;&gt;0,'Boletins Nuppa Site'!H699,"NULL")</f>
        <v>100</v>
      </c>
      <c r="F699" s="30" t="n">
        <f aca="false">IF('Boletins Nuppa Site'!I699&lt;&gt;0,'Boletins Nuppa Site'!I699,"NULL")</f>
        <v>170</v>
      </c>
      <c r="G699" s="0" t="str">
        <f aca="false">IF('Boletins Nuppa Site'!J699&lt;&gt;0,'Boletins Nuppa Site'!J699,"NULL")</f>
        <v>132.5</v>
      </c>
      <c r="H699" s="30" t="n">
        <f aca="false">IF('Boletins Nuppa Site'!K699&lt;&gt;0,'Boletins Nuppa Site'!K699,"NULL")</f>
        <v>130</v>
      </c>
      <c r="I699" s="0" t="str">
        <f aca="false">"INSERT INTO COTACAO (cot_id, cot_blt_id, cot_pap_id, cot_prc_comum, cot_prc_min, cot_prc_max, cot_prc_med, cot_prc_mediana) VALUES ("&amp;A699&amp;", "&amp;B699&amp;", "&amp;C699&amp;", "&amp;D699&amp;", "&amp;E699&amp;", "&amp;F699&amp;", "&amp;G699&amp;", "&amp;H699&amp;");"</f>
        <v>INSERT INTO COTACAO (cot_id, cot_blt_id, cot_pap_id, cot_prc_comum, cot_prc_min, cot_prc_max, cot_prc_med, cot_prc_mediana) VALUES (698, 54, 26, NULL, 100, 170, 132.5, 130);</v>
      </c>
      <c r="J699" s="0" t="str">
        <f aca="false">"UPDATE COTACAO SET cot_id = "&amp;A699&amp;", cot_blt_id = "&amp;B699&amp;", cot_pap_id = "&amp;C699&amp;", cot_prc_comum = "&amp;D699&amp;", cot_prc_min = "&amp;E699&amp;", cot_prc_max = "&amp;F699&amp;", cot_prc_med = "&amp;G699&amp;", cot_prc_mediana = "&amp;H699&amp;" WHERE cot_id = "&amp;A699&amp;";"</f>
        <v>UPDATE COTACAO SET cot_id = 698, cot_blt_id = 54, cot_pap_id = 26, cot_prc_comum = NULL, cot_prc_min = 100, cot_prc_max = 170, cot_prc_med = 132.5, cot_prc_mediana = 130 WHERE cot_id = 698;</v>
      </c>
    </row>
    <row r="700" customFormat="false" ht="14.25" hidden="false" customHeight="false" outlineLevel="0" collapsed="false">
      <c r="A700" s="0" t="n">
        <v>699</v>
      </c>
      <c r="B700" s="0" t="n">
        <f aca="false">IF('Boletins Nuppa Site'!A700&lt;&gt;0,'Boletins Nuppa Site'!A700,"NULL")</f>
        <v>54</v>
      </c>
      <c r="C700" s="0" t="n">
        <v>27</v>
      </c>
      <c r="D700" s="30" t="n">
        <f aca="false">IF('Boletins Nuppa Site'!G700&lt;&gt;0,'Boletins Nuppa Site'!G700,"NULL")</f>
        <v>70</v>
      </c>
      <c r="E700" s="30" t="n">
        <f aca="false">IF('Boletins Nuppa Site'!H700&lt;&gt;0,'Boletins Nuppa Site'!H700,"NULL")</f>
        <v>60</v>
      </c>
      <c r="F700" s="30" t="n">
        <f aca="false">IF('Boletins Nuppa Site'!I700&lt;&gt;0,'Boletins Nuppa Site'!I700,"NULL")</f>
        <v>70</v>
      </c>
      <c r="G700" s="0" t="str">
        <f aca="false">IF('Boletins Nuppa Site'!J700&lt;&gt;0,'Boletins Nuppa Site'!J700,"NULL")</f>
        <v>66.67</v>
      </c>
      <c r="H700" s="30" t="n">
        <f aca="false">IF('Boletins Nuppa Site'!K700&lt;&gt;0,'Boletins Nuppa Site'!K700,"NULL")</f>
        <v>70</v>
      </c>
      <c r="I700" s="0" t="str">
        <f aca="false">"INSERT INTO COTACAO (cot_id, cot_blt_id, cot_pap_id, cot_prc_comum, cot_prc_min, cot_prc_max, cot_prc_med, cot_prc_mediana) VALUES ("&amp;A700&amp;", "&amp;B700&amp;", "&amp;C700&amp;", "&amp;D700&amp;", "&amp;E700&amp;", "&amp;F700&amp;", "&amp;G700&amp;", "&amp;H700&amp;");"</f>
        <v>INSERT INTO COTACAO (cot_id, cot_blt_id, cot_pap_id, cot_prc_comum, cot_prc_min, cot_prc_max, cot_prc_med, cot_prc_mediana) VALUES (699, 54, 27, 70, 60, 70, 66.67, 70);</v>
      </c>
      <c r="J700" s="0" t="str">
        <f aca="false">"UPDATE COTACAO SET cot_id = "&amp;A700&amp;", cot_blt_id = "&amp;B700&amp;", cot_pap_id = "&amp;C700&amp;", cot_prc_comum = "&amp;D700&amp;", cot_prc_min = "&amp;E700&amp;", cot_prc_max = "&amp;F700&amp;", cot_prc_med = "&amp;G700&amp;", cot_prc_mediana = "&amp;H700&amp;" WHERE cot_id = "&amp;A700&amp;";"</f>
        <v>UPDATE COTACAO SET cot_id = 699, cot_blt_id = 54, cot_pap_id = 27, cot_prc_comum = 70, cot_prc_min = 60, cot_prc_max = 70, cot_prc_med = 66.67, cot_prc_mediana = 70 WHERE cot_id = 699;</v>
      </c>
    </row>
    <row r="701" customFormat="false" ht="14.25" hidden="false" customHeight="false" outlineLevel="0" collapsed="false">
      <c r="A701" s="0" t="n">
        <v>700</v>
      </c>
      <c r="B701" s="0" t="n">
        <f aca="false">IF('Boletins Nuppa Site'!A701&lt;&gt;0,'Boletins Nuppa Site'!A701,"NULL")</f>
        <v>54</v>
      </c>
      <c r="C701" s="0" t="n">
        <v>28</v>
      </c>
      <c r="D701" s="0" t="str">
        <f aca="false">IF('Boletins Nuppa Site'!G701&lt;&gt;0,'Boletins Nuppa Site'!G701,"NULL")</f>
        <v>NULL</v>
      </c>
      <c r="E701" s="30" t="n">
        <f aca="false">IF('Boletins Nuppa Site'!H701&lt;&gt;0,'Boletins Nuppa Site'!H701,"NULL")</f>
        <v>110</v>
      </c>
      <c r="F701" s="30" t="n">
        <f aca="false">IF('Boletins Nuppa Site'!I701&lt;&gt;0,'Boletins Nuppa Site'!I701,"NULL")</f>
        <v>120</v>
      </c>
      <c r="G701" s="30" t="n">
        <f aca="false">IF('Boletins Nuppa Site'!J701&lt;&gt;0,'Boletins Nuppa Site'!J701,"NULL")</f>
        <v>115</v>
      </c>
      <c r="H701" s="30" t="n">
        <f aca="false">IF('Boletins Nuppa Site'!K701&lt;&gt;0,'Boletins Nuppa Site'!K701,"NULL")</f>
        <v>115</v>
      </c>
      <c r="I701" s="0" t="str">
        <f aca="false">"INSERT INTO COTACAO (cot_id, cot_blt_id, cot_pap_id, cot_prc_comum, cot_prc_min, cot_prc_max, cot_prc_med, cot_prc_mediana) VALUES ("&amp;A701&amp;", "&amp;B701&amp;", "&amp;C701&amp;", "&amp;D701&amp;", "&amp;E701&amp;", "&amp;F701&amp;", "&amp;G701&amp;", "&amp;H701&amp;");"</f>
        <v>INSERT INTO COTACAO (cot_id, cot_blt_id, cot_pap_id, cot_prc_comum, cot_prc_min, cot_prc_max, cot_prc_med, cot_prc_mediana) VALUES (700, 54, 28, NULL, 110, 120, 115, 115);</v>
      </c>
      <c r="J701" s="0" t="str">
        <f aca="false">"UPDATE COTACAO SET cot_id = "&amp;A701&amp;", cot_blt_id = "&amp;B701&amp;", cot_pap_id = "&amp;C701&amp;", cot_prc_comum = "&amp;D701&amp;", cot_prc_min = "&amp;E701&amp;", cot_prc_max = "&amp;F701&amp;", cot_prc_med = "&amp;G701&amp;", cot_prc_mediana = "&amp;H701&amp;" WHERE cot_id = "&amp;A701&amp;";"</f>
        <v>UPDATE COTACAO SET cot_id = 700, cot_blt_id = 54, cot_pap_id = 28, cot_prc_comum = NULL, cot_prc_min = 110, cot_prc_max = 120, cot_prc_med = 115, cot_prc_mediana = 115 WHERE cot_id = 700;</v>
      </c>
    </row>
    <row r="702" customFormat="false" ht="14.25" hidden="false" customHeight="false" outlineLevel="0" collapsed="false">
      <c r="A702" s="0" t="n">
        <v>701</v>
      </c>
      <c r="B702" s="0" t="n">
        <f aca="false">IF('Boletins Nuppa Site'!A702&lt;&gt;0,'Boletins Nuppa Site'!A702,"NULL")</f>
        <v>54</v>
      </c>
      <c r="C702" s="0" t="n">
        <v>29</v>
      </c>
      <c r="D702" s="0" t="str">
        <f aca="false">IF('Boletins Nuppa Site'!G702&lt;&gt;0,'Boletins Nuppa Site'!G702,"NULL")</f>
        <v>NULL</v>
      </c>
      <c r="E702" s="30" t="n">
        <f aca="false">IF('Boletins Nuppa Site'!H702&lt;&gt;0,'Boletins Nuppa Site'!H702,"NULL")</f>
        <v>75</v>
      </c>
      <c r="F702" s="30" t="n">
        <f aca="false">IF('Boletins Nuppa Site'!I702&lt;&gt;0,'Boletins Nuppa Site'!I702,"NULL")</f>
        <v>75</v>
      </c>
      <c r="G702" s="30" t="n">
        <f aca="false">IF('Boletins Nuppa Site'!J702&lt;&gt;0,'Boletins Nuppa Site'!J702,"NULL")</f>
        <v>75</v>
      </c>
      <c r="H702" s="30" t="n">
        <f aca="false">IF('Boletins Nuppa Site'!K702&lt;&gt;0,'Boletins Nuppa Site'!K702,"NULL")</f>
        <v>75</v>
      </c>
      <c r="I702" s="0" t="str">
        <f aca="false">"INSERT INTO COTACAO (cot_id, cot_blt_id, cot_pap_id, cot_prc_comum, cot_prc_min, cot_prc_max, cot_prc_med, cot_prc_mediana) VALUES ("&amp;A702&amp;", "&amp;B702&amp;", "&amp;C702&amp;", "&amp;D702&amp;", "&amp;E702&amp;", "&amp;F702&amp;", "&amp;G702&amp;", "&amp;H702&amp;");"</f>
        <v>INSERT INTO COTACAO (cot_id, cot_blt_id, cot_pap_id, cot_prc_comum, cot_prc_min, cot_prc_max, cot_prc_med, cot_prc_mediana) VALUES (701, 54, 29, NULL, 75, 75, 75, 75);</v>
      </c>
      <c r="J702" s="0" t="str">
        <f aca="false">"UPDATE COTACAO SET cot_id = "&amp;A702&amp;", cot_blt_id = "&amp;B702&amp;", cot_pap_id = "&amp;C702&amp;", cot_prc_comum = "&amp;D702&amp;", cot_prc_min = "&amp;E702&amp;", cot_prc_max = "&amp;F702&amp;", cot_prc_med = "&amp;G702&amp;", cot_prc_mediana = "&amp;H702&amp;" WHERE cot_id = "&amp;A702&amp;";"</f>
        <v>UPDATE COTACAO SET cot_id = 701, cot_blt_id = 54, cot_pap_id = 29, cot_prc_comum = NULL, cot_prc_min = 75, cot_prc_max = 75, cot_prc_med = 75, cot_prc_mediana = 75 WHERE cot_id = 701;</v>
      </c>
    </row>
    <row r="703" customFormat="false" ht="14.25" hidden="false" customHeight="false" outlineLevel="0" collapsed="false">
      <c r="A703" s="0" t="n">
        <v>702</v>
      </c>
      <c r="B703" s="0" t="n">
        <f aca="false">IF('Boletins Nuppa Site'!A703&lt;&gt;0,'Boletins Nuppa Site'!A703,"NULL")</f>
        <v>54</v>
      </c>
      <c r="C703" s="0" t="n">
        <v>30</v>
      </c>
      <c r="D703" s="0" t="str">
        <f aca="false">IF('Boletins Nuppa Site'!G703&lt;&gt;0,'Boletins Nuppa Site'!G703,"NULL")</f>
        <v>NULL</v>
      </c>
      <c r="E703" s="30" t="n">
        <f aca="false">IF('Boletins Nuppa Site'!H703&lt;&gt;0,'Boletins Nuppa Site'!H703,"NULL")</f>
        <v>80</v>
      </c>
      <c r="F703" s="30" t="n">
        <f aca="false">IF('Boletins Nuppa Site'!I703&lt;&gt;0,'Boletins Nuppa Site'!I703,"NULL")</f>
        <v>80</v>
      </c>
      <c r="G703" s="30" t="n">
        <f aca="false">IF('Boletins Nuppa Site'!J703&lt;&gt;0,'Boletins Nuppa Site'!J703,"NULL")</f>
        <v>80</v>
      </c>
      <c r="H703" s="30" t="n">
        <f aca="false">IF('Boletins Nuppa Site'!K703&lt;&gt;0,'Boletins Nuppa Site'!K703,"NULL")</f>
        <v>80</v>
      </c>
      <c r="I703" s="0" t="str">
        <f aca="false">"INSERT INTO COTACAO (cot_id, cot_blt_id, cot_pap_id, cot_prc_comum, cot_prc_min, cot_prc_max, cot_prc_med, cot_prc_mediana) VALUES ("&amp;A703&amp;", "&amp;B703&amp;", "&amp;C703&amp;", "&amp;D703&amp;", "&amp;E703&amp;", "&amp;F703&amp;", "&amp;G703&amp;", "&amp;H703&amp;");"</f>
        <v>INSERT INTO COTACAO (cot_id, cot_blt_id, cot_pap_id, cot_prc_comum, cot_prc_min, cot_prc_max, cot_prc_med, cot_prc_mediana) VALUES (702, 54, 30, NULL, 80, 80, 80, 80);</v>
      </c>
      <c r="J703" s="0" t="str">
        <f aca="false">"UPDATE COTACAO SET cot_id = "&amp;A703&amp;", cot_blt_id = "&amp;B703&amp;", cot_pap_id = "&amp;C703&amp;", cot_prc_comum = "&amp;D703&amp;", cot_prc_min = "&amp;E703&amp;", cot_prc_max = "&amp;F703&amp;", cot_prc_med = "&amp;G703&amp;", cot_prc_mediana = "&amp;H703&amp;" WHERE cot_id = "&amp;A703&amp;";"</f>
        <v>UPDATE COTACAO SET cot_id = 702, cot_blt_id = 54, cot_pap_id = 30, cot_prc_comum = NULL, cot_prc_min = 80, cot_prc_max = 80, cot_prc_med = 80, cot_prc_mediana = 80 WHERE cot_id = 702;</v>
      </c>
    </row>
    <row r="704" customFormat="false" ht="14.25" hidden="false" customHeight="false" outlineLevel="0" collapsed="false">
      <c r="A704" s="0" t="n">
        <v>703</v>
      </c>
      <c r="B704" s="0" t="n">
        <f aca="false">IF('Boletins Nuppa Site'!A704&lt;&gt;0,'Boletins Nuppa Site'!A704,"NULL")</f>
        <v>54</v>
      </c>
      <c r="C704" s="0" t="n">
        <v>31</v>
      </c>
      <c r="D704" s="0" t="str">
        <f aca="false">IF('Boletins Nuppa Site'!G704&lt;&gt;0,'Boletins Nuppa Site'!G704,"NULL")</f>
        <v>NULL</v>
      </c>
      <c r="E704" s="30" t="n">
        <f aca="false">IF('Boletins Nuppa Site'!H704&lt;&gt;0,'Boletins Nuppa Site'!H704,"NULL")</f>
        <v>60</v>
      </c>
      <c r="F704" s="30" t="n">
        <f aca="false">IF('Boletins Nuppa Site'!I704&lt;&gt;0,'Boletins Nuppa Site'!I704,"NULL")</f>
        <v>100</v>
      </c>
      <c r="G704" s="0" t="str">
        <f aca="false">IF('Boletins Nuppa Site'!J704&lt;&gt;0,'Boletins Nuppa Site'!J704,"NULL")</f>
        <v>78.75</v>
      </c>
      <c r="H704" s="0" t="str">
        <f aca="false">IF('Boletins Nuppa Site'!K704&lt;&gt;0,'Boletins Nuppa Site'!K704,"NULL")</f>
        <v>77.5</v>
      </c>
      <c r="I704" s="0" t="str">
        <f aca="false">"INSERT INTO COTACAO (cot_id, cot_blt_id, cot_pap_id, cot_prc_comum, cot_prc_min, cot_prc_max, cot_prc_med, cot_prc_mediana) VALUES ("&amp;A704&amp;", "&amp;B704&amp;", "&amp;C704&amp;", "&amp;D704&amp;", "&amp;E704&amp;", "&amp;F704&amp;", "&amp;G704&amp;", "&amp;H704&amp;");"</f>
        <v>INSERT INTO COTACAO (cot_id, cot_blt_id, cot_pap_id, cot_prc_comum, cot_prc_min, cot_prc_max, cot_prc_med, cot_prc_mediana) VALUES (703, 54, 31, NULL, 60, 100, 78.75, 77.5);</v>
      </c>
      <c r="J704" s="0" t="str">
        <f aca="false">"UPDATE COTACAO SET cot_id = "&amp;A704&amp;", cot_blt_id = "&amp;B704&amp;", cot_pap_id = "&amp;C704&amp;", cot_prc_comum = "&amp;D704&amp;", cot_prc_min = "&amp;E704&amp;", cot_prc_max = "&amp;F704&amp;", cot_prc_med = "&amp;G704&amp;", cot_prc_mediana = "&amp;H704&amp;" WHERE cot_id = "&amp;A704&amp;";"</f>
        <v>UPDATE COTACAO SET cot_id = 703, cot_blt_id = 54, cot_pap_id = 31, cot_prc_comum = NULL, cot_prc_min = 60, cot_prc_max = 100, cot_prc_med = 78.75, cot_prc_mediana = 77.5 WHERE cot_id = 703;</v>
      </c>
    </row>
    <row r="705" customFormat="false" ht="14.25" hidden="false" customHeight="false" outlineLevel="0" collapsed="false">
      <c r="A705" s="0" t="n">
        <v>704</v>
      </c>
      <c r="B705" s="0" t="n">
        <f aca="false">IF('Boletins Nuppa Site'!A705&lt;&gt;0,'Boletins Nuppa Site'!A705,"NULL")</f>
        <v>54</v>
      </c>
      <c r="C705" s="0" t="n">
        <v>32</v>
      </c>
      <c r="D705" s="30" t="n">
        <f aca="false">IF('Boletins Nuppa Site'!G705&lt;&gt;0,'Boletins Nuppa Site'!G705,"NULL")</f>
        <v>60</v>
      </c>
      <c r="E705" s="30" t="n">
        <f aca="false">IF('Boletins Nuppa Site'!H705&lt;&gt;0,'Boletins Nuppa Site'!H705,"NULL")</f>
        <v>50</v>
      </c>
      <c r="F705" s="30" t="n">
        <f aca="false">IF('Boletins Nuppa Site'!I705&lt;&gt;0,'Boletins Nuppa Site'!I705,"NULL")</f>
        <v>60</v>
      </c>
      <c r="G705" s="0" t="str">
        <f aca="false">IF('Boletins Nuppa Site'!J705&lt;&gt;0,'Boletins Nuppa Site'!J705,"NULL")</f>
        <v>56.25</v>
      </c>
      <c r="H705" s="0" t="str">
        <f aca="false">IF('Boletins Nuppa Site'!K705&lt;&gt;0,'Boletins Nuppa Site'!K705,"NULL")</f>
        <v>57.5</v>
      </c>
      <c r="I705" s="0" t="str">
        <f aca="false">"INSERT INTO COTACAO (cot_id, cot_blt_id, cot_pap_id, cot_prc_comum, cot_prc_min, cot_prc_max, cot_prc_med, cot_prc_mediana) VALUES ("&amp;A705&amp;", "&amp;B705&amp;", "&amp;C705&amp;", "&amp;D705&amp;", "&amp;E705&amp;", "&amp;F705&amp;", "&amp;G705&amp;", "&amp;H705&amp;");"</f>
        <v>INSERT INTO COTACAO (cot_id, cot_blt_id, cot_pap_id, cot_prc_comum, cot_prc_min, cot_prc_max, cot_prc_med, cot_prc_mediana) VALUES (704, 54, 32, 60, 50, 60, 56.25, 57.5);</v>
      </c>
      <c r="J705" s="0" t="str">
        <f aca="false">"UPDATE COTACAO SET cot_id = "&amp;A705&amp;", cot_blt_id = "&amp;B705&amp;", cot_pap_id = "&amp;C705&amp;", cot_prc_comum = "&amp;D705&amp;", cot_prc_min = "&amp;E705&amp;", cot_prc_max = "&amp;F705&amp;", cot_prc_med = "&amp;G705&amp;", cot_prc_mediana = "&amp;H705&amp;" WHERE cot_id = "&amp;A705&amp;";"</f>
        <v>UPDATE COTACAO SET cot_id = 704, cot_blt_id = 54, cot_pap_id = 32, cot_prc_comum = 60, cot_prc_min = 50, cot_prc_max = 60, cot_prc_med = 56.25, cot_prc_mediana = 57.5 WHERE cot_id = 704;</v>
      </c>
    </row>
    <row r="706" customFormat="false" ht="14.25" hidden="false" customHeight="false" outlineLevel="0" collapsed="false">
      <c r="A706" s="0" t="n">
        <v>705</v>
      </c>
      <c r="B706" s="0" t="n">
        <f aca="false">IF('Boletins Nuppa Site'!A706&lt;&gt;0,'Boletins Nuppa Site'!A706,"NULL")</f>
        <v>54</v>
      </c>
      <c r="C706" s="0" t="n">
        <v>33</v>
      </c>
      <c r="D706" s="0" t="str">
        <f aca="false">IF('Boletins Nuppa Site'!G706&lt;&gt;0,'Boletins Nuppa Site'!G706,"NULL")</f>
        <v>NULL</v>
      </c>
      <c r="E706" s="30" t="n">
        <f aca="false">IF('Boletins Nuppa Site'!H706&lt;&gt;0,'Boletins Nuppa Site'!H706,"NULL")</f>
        <v>140</v>
      </c>
      <c r="F706" s="30" t="n">
        <f aca="false">IF('Boletins Nuppa Site'!I706&lt;&gt;0,'Boletins Nuppa Site'!I706,"NULL")</f>
        <v>150</v>
      </c>
      <c r="G706" s="30" t="n">
        <f aca="false">IF('Boletins Nuppa Site'!J706&lt;&gt;0,'Boletins Nuppa Site'!J706,"NULL")</f>
        <v>145</v>
      </c>
      <c r="H706" s="30" t="n">
        <f aca="false">IF('Boletins Nuppa Site'!K706&lt;&gt;0,'Boletins Nuppa Site'!K706,"NULL")</f>
        <v>145</v>
      </c>
      <c r="I706" s="0" t="str">
        <f aca="false">"INSERT INTO COTACAO (cot_id, cot_blt_id, cot_pap_id, cot_prc_comum, cot_prc_min, cot_prc_max, cot_prc_med, cot_prc_mediana) VALUES ("&amp;A706&amp;", "&amp;B706&amp;", "&amp;C706&amp;", "&amp;D706&amp;", "&amp;E706&amp;", "&amp;F706&amp;", "&amp;G706&amp;", "&amp;H706&amp;");"</f>
        <v>INSERT INTO COTACAO (cot_id, cot_blt_id, cot_pap_id, cot_prc_comum, cot_prc_min, cot_prc_max, cot_prc_med, cot_prc_mediana) VALUES (705, 54, 33, NULL, 140, 150, 145, 145);</v>
      </c>
      <c r="J706" s="0" t="str">
        <f aca="false">"UPDATE COTACAO SET cot_id = "&amp;A706&amp;", cot_blt_id = "&amp;B706&amp;", cot_pap_id = "&amp;C706&amp;", cot_prc_comum = "&amp;D706&amp;", cot_prc_min = "&amp;E706&amp;", cot_prc_max = "&amp;F706&amp;", cot_prc_med = "&amp;G706&amp;", cot_prc_mediana = "&amp;H706&amp;" WHERE cot_id = "&amp;A706&amp;";"</f>
        <v>UPDATE COTACAO SET cot_id = 705, cot_blt_id = 54, cot_pap_id = 33, cot_prc_comum = NULL, cot_prc_min = 140, cot_prc_max = 150, cot_prc_med = 145, cot_prc_mediana = 145 WHERE cot_id = 705;</v>
      </c>
    </row>
    <row r="707" customFormat="false" ht="14.25" hidden="false" customHeight="false" outlineLevel="0" collapsed="false">
      <c r="A707" s="0" t="n">
        <v>706</v>
      </c>
      <c r="B707" s="0" t="n">
        <f aca="false">IF('Boletins Nuppa Site'!A707&lt;&gt;0,'Boletins Nuppa Site'!A707,"NULL")</f>
        <v>54</v>
      </c>
      <c r="C707" s="0" t="n">
        <v>34</v>
      </c>
      <c r="D707" s="0" t="str">
        <f aca="false">IF('Boletins Nuppa Site'!G707&lt;&gt;0,'Boletins Nuppa Site'!G707,"NULL")</f>
        <v>NULL</v>
      </c>
      <c r="E707" s="30" t="n">
        <f aca="false">IF('Boletins Nuppa Site'!H707&lt;&gt;0,'Boletins Nuppa Site'!H707,"NULL")</f>
        <v>100</v>
      </c>
      <c r="F707" s="30" t="n">
        <f aca="false">IF('Boletins Nuppa Site'!I707&lt;&gt;0,'Boletins Nuppa Site'!I707,"NULL")</f>
        <v>150</v>
      </c>
      <c r="G707" s="0" t="str">
        <f aca="false">IF('Boletins Nuppa Site'!J707&lt;&gt;0,'Boletins Nuppa Site'!J707,"NULL")</f>
        <v>123.33</v>
      </c>
      <c r="H707" s="30" t="n">
        <f aca="false">IF('Boletins Nuppa Site'!K707&lt;&gt;0,'Boletins Nuppa Site'!K707,"NULL")</f>
        <v>120</v>
      </c>
      <c r="I707" s="0" t="str">
        <f aca="false">"INSERT INTO COTACAO (cot_id, cot_blt_id, cot_pap_id, cot_prc_comum, cot_prc_min, cot_prc_max, cot_prc_med, cot_prc_mediana) VALUES ("&amp;A707&amp;", "&amp;B707&amp;", "&amp;C707&amp;", "&amp;D707&amp;", "&amp;E707&amp;", "&amp;F707&amp;", "&amp;G707&amp;", "&amp;H707&amp;");"</f>
        <v>INSERT INTO COTACAO (cot_id, cot_blt_id, cot_pap_id, cot_prc_comum, cot_prc_min, cot_prc_max, cot_prc_med, cot_prc_mediana) VALUES (706, 54, 34, NULL, 100, 150, 123.33, 120);</v>
      </c>
      <c r="J707" s="0" t="str">
        <f aca="false">"UPDATE COTACAO SET cot_id = "&amp;A707&amp;", cot_blt_id = "&amp;B707&amp;", cot_pap_id = "&amp;C707&amp;", cot_prc_comum = "&amp;D707&amp;", cot_prc_min = "&amp;E707&amp;", cot_prc_max = "&amp;F707&amp;", cot_prc_med = "&amp;G707&amp;", cot_prc_mediana = "&amp;H707&amp;" WHERE cot_id = "&amp;A707&amp;";"</f>
        <v>UPDATE COTACAO SET cot_id = 706, cot_blt_id = 54, cot_pap_id = 34, cot_prc_comum = NULL, cot_prc_min = 100, cot_prc_max = 150, cot_prc_med = 123.33, cot_prc_mediana = 120 WHERE cot_id = 706;</v>
      </c>
    </row>
    <row r="708" customFormat="false" ht="14.25" hidden="false" customHeight="false" outlineLevel="0" collapsed="false">
      <c r="A708" s="0" t="n">
        <v>707</v>
      </c>
      <c r="B708" s="0" t="n">
        <f aca="false">IF('Boletins Nuppa Site'!A708&lt;&gt;0,'Boletins Nuppa Site'!A708,"NULL")</f>
        <v>54</v>
      </c>
      <c r="C708" s="0" t="n">
        <v>35</v>
      </c>
      <c r="D708" s="30" t="n">
        <f aca="false">IF('Boletins Nuppa Site'!G708&lt;&gt;0,'Boletins Nuppa Site'!G708,"NULL")</f>
        <v>200</v>
      </c>
      <c r="E708" s="30" t="n">
        <f aca="false">IF('Boletins Nuppa Site'!H708&lt;&gt;0,'Boletins Nuppa Site'!H708,"NULL")</f>
        <v>200</v>
      </c>
      <c r="F708" s="30" t="n">
        <f aca="false">IF('Boletins Nuppa Site'!I708&lt;&gt;0,'Boletins Nuppa Site'!I708,"NULL")</f>
        <v>200</v>
      </c>
      <c r="G708" s="30" t="n">
        <f aca="false">IF('Boletins Nuppa Site'!J708&lt;&gt;0,'Boletins Nuppa Site'!J708,"NULL")</f>
        <v>200</v>
      </c>
      <c r="H708" s="30" t="n">
        <f aca="false">IF('Boletins Nuppa Site'!K708&lt;&gt;0,'Boletins Nuppa Site'!K708,"NULL")</f>
        <v>200</v>
      </c>
      <c r="I708" s="0" t="str">
        <f aca="false">"INSERT INTO COTACAO (cot_id, cot_blt_id, cot_pap_id, cot_prc_comum, cot_prc_min, cot_prc_max, cot_prc_med, cot_prc_mediana) VALUES ("&amp;A708&amp;", "&amp;B708&amp;", "&amp;C708&amp;", "&amp;D708&amp;", "&amp;E708&amp;", "&amp;F708&amp;", "&amp;G708&amp;", "&amp;H708&amp;");"</f>
        <v>INSERT INTO COTACAO (cot_id, cot_blt_id, cot_pap_id, cot_prc_comum, cot_prc_min, cot_prc_max, cot_prc_med, cot_prc_mediana) VALUES (707, 54, 35, 200, 200, 200, 200, 200);</v>
      </c>
      <c r="J708" s="0" t="str">
        <f aca="false">"UPDATE COTACAO SET cot_id = "&amp;A708&amp;", cot_blt_id = "&amp;B708&amp;", cot_pap_id = "&amp;C708&amp;", cot_prc_comum = "&amp;D708&amp;", cot_prc_min = "&amp;E708&amp;", cot_prc_max = "&amp;F708&amp;", cot_prc_med = "&amp;G708&amp;", cot_prc_mediana = "&amp;H708&amp;" WHERE cot_id = "&amp;A708&amp;";"</f>
        <v>UPDATE COTACAO SET cot_id = 707, cot_blt_id = 54, cot_pap_id = 35, cot_prc_comum = 200, cot_prc_min = 200, cot_prc_max = 200, cot_prc_med = 200, cot_prc_mediana = 200 WHERE cot_id = 707;</v>
      </c>
    </row>
    <row r="709" customFormat="false" ht="14.25" hidden="false" customHeight="false" outlineLevel="0" collapsed="false">
      <c r="A709" s="0" t="n">
        <v>708</v>
      </c>
      <c r="B709" s="0" t="n">
        <f aca="false">IF('Boletins Nuppa Site'!A709&lt;&gt;0,'Boletins Nuppa Site'!A709,"NULL")</f>
        <v>54</v>
      </c>
      <c r="C709" s="0" t="n">
        <v>36</v>
      </c>
      <c r="D709" s="0" t="str">
        <f aca="false">IF('Boletins Nuppa Site'!G709&lt;&gt;0,'Boletins Nuppa Site'!G709,"NULL")</f>
        <v>NULL</v>
      </c>
      <c r="E709" s="30" t="n">
        <f aca="false">IF('Boletins Nuppa Site'!H709&lt;&gt;0,'Boletins Nuppa Site'!H709,"NULL")</f>
        <v>100</v>
      </c>
      <c r="F709" s="30" t="n">
        <f aca="false">IF('Boletins Nuppa Site'!I709&lt;&gt;0,'Boletins Nuppa Site'!I709,"NULL")</f>
        <v>100</v>
      </c>
      <c r="G709" s="30" t="n">
        <f aca="false">IF('Boletins Nuppa Site'!J709&lt;&gt;0,'Boletins Nuppa Site'!J709,"NULL")</f>
        <v>100</v>
      </c>
      <c r="H709" s="30" t="n">
        <f aca="false">IF('Boletins Nuppa Site'!K709&lt;&gt;0,'Boletins Nuppa Site'!K709,"NULL")</f>
        <v>100</v>
      </c>
      <c r="I709" s="0" t="str">
        <f aca="false">"INSERT INTO COTACAO (cot_id, cot_blt_id, cot_pap_id, cot_prc_comum, cot_prc_min, cot_prc_max, cot_prc_med, cot_prc_mediana) VALUES ("&amp;A709&amp;", "&amp;B709&amp;", "&amp;C709&amp;", "&amp;D709&amp;", "&amp;E709&amp;", "&amp;F709&amp;", "&amp;G709&amp;", "&amp;H709&amp;");"</f>
        <v>INSERT INTO COTACAO (cot_id, cot_blt_id, cot_pap_id, cot_prc_comum, cot_prc_min, cot_prc_max, cot_prc_med, cot_prc_mediana) VALUES (708, 54, 36, NULL, 100, 100, 100, 100);</v>
      </c>
      <c r="J709" s="0" t="str">
        <f aca="false">"UPDATE COTACAO SET cot_id = "&amp;A709&amp;", cot_blt_id = "&amp;B709&amp;", cot_pap_id = "&amp;C709&amp;", cot_prc_comum = "&amp;D709&amp;", cot_prc_min = "&amp;E709&amp;", cot_prc_max = "&amp;F709&amp;", cot_prc_med = "&amp;G709&amp;", cot_prc_mediana = "&amp;H709&amp;" WHERE cot_id = "&amp;A709&amp;";"</f>
        <v>UPDATE COTACAO SET cot_id = 708, cot_blt_id = 54, cot_pap_id = 36, cot_prc_comum = NULL, cot_prc_min = 100, cot_prc_max = 100, cot_prc_med = 100, cot_prc_mediana = 100 WHERE cot_id = 708;</v>
      </c>
    </row>
    <row r="710" customFormat="false" ht="14.25" hidden="false" customHeight="false" outlineLevel="0" collapsed="false">
      <c r="A710" s="0" t="n">
        <v>709</v>
      </c>
      <c r="B710" s="0" t="n">
        <f aca="false">IF('Boletins Nuppa Site'!A710&lt;&gt;0,'Boletins Nuppa Site'!A710,"NULL")</f>
        <v>54</v>
      </c>
      <c r="C710" s="0" t="n">
        <v>37</v>
      </c>
      <c r="D710" s="0" t="str">
        <f aca="false">IF('Boletins Nuppa Site'!G710&lt;&gt;0,'Boletins Nuppa Site'!G710,"NULL")</f>
        <v>NULL</v>
      </c>
      <c r="E710" s="30" t="n">
        <f aca="false">IF('Boletins Nuppa Site'!H710&lt;&gt;0,'Boletins Nuppa Site'!H710,"NULL")</f>
        <v>75</v>
      </c>
      <c r="F710" s="30" t="n">
        <f aca="false">IF('Boletins Nuppa Site'!I710&lt;&gt;0,'Boletins Nuppa Site'!I710,"NULL")</f>
        <v>75</v>
      </c>
      <c r="G710" s="30" t="n">
        <f aca="false">IF('Boletins Nuppa Site'!J710&lt;&gt;0,'Boletins Nuppa Site'!J710,"NULL")</f>
        <v>75</v>
      </c>
      <c r="H710" s="30" t="n">
        <f aca="false">IF('Boletins Nuppa Site'!K710&lt;&gt;0,'Boletins Nuppa Site'!K710,"NULL")</f>
        <v>75</v>
      </c>
      <c r="I710" s="0" t="str">
        <f aca="false">"INSERT INTO COTACAO (cot_id, cot_blt_id, cot_pap_id, cot_prc_comum, cot_prc_min, cot_prc_max, cot_prc_med, cot_prc_mediana) VALUES ("&amp;A710&amp;", "&amp;B710&amp;", "&amp;C710&amp;", "&amp;D710&amp;", "&amp;E710&amp;", "&amp;F710&amp;", "&amp;G710&amp;", "&amp;H710&amp;");"</f>
        <v>INSERT INTO COTACAO (cot_id, cot_blt_id, cot_pap_id, cot_prc_comum, cot_prc_min, cot_prc_max, cot_prc_med, cot_prc_mediana) VALUES (709, 54, 37, NULL, 75, 75, 75, 75);</v>
      </c>
      <c r="J710" s="0" t="str">
        <f aca="false">"UPDATE COTACAO SET cot_id = "&amp;A710&amp;", cot_blt_id = "&amp;B710&amp;", cot_pap_id = "&amp;C710&amp;", cot_prc_comum = "&amp;D710&amp;", cot_prc_min = "&amp;E710&amp;", cot_prc_max = "&amp;F710&amp;", cot_prc_med = "&amp;G710&amp;", cot_prc_mediana = "&amp;H710&amp;" WHERE cot_id = "&amp;A710&amp;";"</f>
        <v>UPDATE COTACAO SET cot_id = 709, cot_blt_id = 54, cot_pap_id = 37, cot_prc_comum = NULL, cot_prc_min = 75, cot_prc_max = 75, cot_prc_med = 75, cot_prc_mediana = 75 WHERE cot_id = 709;</v>
      </c>
    </row>
    <row r="711" customFormat="false" ht="14.25" hidden="false" customHeight="false" outlineLevel="0" collapsed="false">
      <c r="A711" s="0" t="n">
        <v>710</v>
      </c>
      <c r="B711" s="0" t="n">
        <f aca="false">IF('Boletins Nuppa Site'!A711&lt;&gt;0,'Boletins Nuppa Site'!A711,"NULL")</f>
        <v>54</v>
      </c>
      <c r="C711" s="0" t="n">
        <v>38</v>
      </c>
      <c r="D711" s="0" t="str">
        <f aca="false">IF('Boletins Nuppa Site'!G711&lt;&gt;0,'Boletins Nuppa Site'!G711,"NULL")</f>
        <v>NULL</v>
      </c>
      <c r="E711" s="0" t="str">
        <f aca="false">IF('Boletins Nuppa Site'!H711&lt;&gt;0,'Boletins Nuppa Site'!H711,"NULL")</f>
        <v>NULL</v>
      </c>
      <c r="F711" s="0" t="str">
        <f aca="false">IF('Boletins Nuppa Site'!I711&lt;&gt;0,'Boletins Nuppa Site'!I711,"NULL")</f>
        <v>NULL</v>
      </c>
      <c r="G711" s="0" t="str">
        <f aca="false">IF('Boletins Nuppa Site'!J711&lt;&gt;0,'Boletins Nuppa Site'!J711,"NULL")</f>
        <v>NULL</v>
      </c>
      <c r="H711" s="0" t="str">
        <f aca="false">IF('Boletins Nuppa Site'!K711&lt;&gt;0,'Boletins Nuppa Site'!K711,"NULL")</f>
        <v>NULL</v>
      </c>
      <c r="I711" s="0" t="str">
        <f aca="false">"INSERT INTO COTACAO (cot_id, cot_blt_id, cot_pap_id, cot_prc_comum, cot_prc_min, cot_prc_max, cot_prc_med, cot_prc_mediana) VALUES ("&amp;A711&amp;", "&amp;B711&amp;", "&amp;C711&amp;", "&amp;D711&amp;", "&amp;E711&amp;", "&amp;F711&amp;", "&amp;G711&amp;", "&amp;H711&amp;");"</f>
        <v>INSERT INTO COTACAO (cot_id, cot_blt_id, cot_pap_id, cot_prc_comum, cot_prc_min, cot_prc_max, cot_prc_med, cot_prc_mediana) VALUES (710, 54, 38, NULL, NULL, NULL, NULL, NULL);</v>
      </c>
      <c r="J711" s="0" t="str">
        <f aca="false">"UPDATE COTACAO SET cot_id = "&amp;A711&amp;", cot_blt_id = "&amp;B711&amp;", cot_pap_id = "&amp;C711&amp;", cot_prc_comum = "&amp;D711&amp;", cot_prc_min = "&amp;E711&amp;", cot_prc_max = "&amp;F711&amp;", cot_prc_med = "&amp;G711&amp;", cot_prc_mediana = "&amp;H711&amp;" WHERE cot_id = "&amp;A711&amp;";"</f>
        <v>UPDATE COTACAO SET cot_id = 710, cot_blt_id = 54, cot_pap_id = 38, cot_prc_comum = NULL, cot_prc_min = NULL, cot_prc_max = NULL, cot_prc_med = NULL, cot_prc_mediana = NULL WHERE cot_id = 710;</v>
      </c>
    </row>
    <row r="712" customFormat="false" ht="14.25" hidden="false" customHeight="false" outlineLevel="0" collapsed="false">
      <c r="A712" s="0" t="n">
        <v>711</v>
      </c>
      <c r="B712" s="0" t="n">
        <f aca="false">IF('Boletins Nuppa Site'!A712&lt;&gt;0,'Boletins Nuppa Site'!A712,"NULL")</f>
        <v>54</v>
      </c>
      <c r="C712" s="0" t="n">
        <v>39</v>
      </c>
      <c r="D712" s="0" t="str">
        <f aca="false">IF('Boletins Nuppa Site'!G712&lt;&gt;0,'Boletins Nuppa Site'!G712,"NULL")</f>
        <v>NULL</v>
      </c>
      <c r="E712" s="30" t="n">
        <f aca="false">IF('Boletins Nuppa Site'!H712&lt;&gt;0,'Boletins Nuppa Site'!H712,"NULL")</f>
        <v>40</v>
      </c>
      <c r="F712" s="30" t="n">
        <f aca="false">IF('Boletins Nuppa Site'!I712&lt;&gt;0,'Boletins Nuppa Site'!I712,"NULL")</f>
        <v>40</v>
      </c>
      <c r="G712" s="30" t="n">
        <f aca="false">IF('Boletins Nuppa Site'!J712&lt;&gt;0,'Boletins Nuppa Site'!J712,"NULL")</f>
        <v>40</v>
      </c>
      <c r="H712" s="30" t="n">
        <f aca="false">IF('Boletins Nuppa Site'!K712&lt;&gt;0,'Boletins Nuppa Site'!K712,"NULL")</f>
        <v>40</v>
      </c>
      <c r="I712" s="0" t="str">
        <f aca="false">"INSERT INTO COTACAO (cot_id, cot_blt_id, cot_pap_id, cot_prc_comum, cot_prc_min, cot_prc_max, cot_prc_med, cot_prc_mediana) VALUES ("&amp;A712&amp;", "&amp;B712&amp;", "&amp;C712&amp;", "&amp;D712&amp;", "&amp;E712&amp;", "&amp;F712&amp;", "&amp;G712&amp;", "&amp;H712&amp;");"</f>
        <v>INSERT INTO COTACAO (cot_id, cot_blt_id, cot_pap_id, cot_prc_comum, cot_prc_min, cot_prc_max, cot_prc_med, cot_prc_mediana) VALUES (711, 54, 39, NULL, 40, 40, 40, 40);</v>
      </c>
      <c r="J712" s="0" t="str">
        <f aca="false">"UPDATE COTACAO SET cot_id = "&amp;A712&amp;", cot_blt_id = "&amp;B712&amp;", cot_pap_id = "&amp;C712&amp;", cot_prc_comum = "&amp;D712&amp;", cot_prc_min = "&amp;E712&amp;", cot_prc_max = "&amp;F712&amp;", cot_prc_med = "&amp;G712&amp;", cot_prc_mediana = "&amp;H712&amp;" WHERE cot_id = "&amp;A712&amp;";"</f>
        <v>UPDATE COTACAO SET cot_id = 711, cot_blt_id = 54, cot_pap_id = 39, cot_prc_comum = NULL, cot_prc_min = 40, cot_prc_max = 40, cot_prc_med = 40, cot_prc_mediana = 40 WHERE cot_id = 711;</v>
      </c>
    </row>
    <row r="713" customFormat="false" ht="14.25" hidden="false" customHeight="false" outlineLevel="0" collapsed="false">
      <c r="A713" s="0" t="n">
        <v>712</v>
      </c>
      <c r="B713" s="0" t="n">
        <f aca="false">IF('Boletins Nuppa Site'!A713&lt;&gt;0,'Boletins Nuppa Site'!A713,"NULL")</f>
        <v>54</v>
      </c>
      <c r="C713" s="0" t="n">
        <v>40</v>
      </c>
      <c r="D713" s="0" t="str">
        <f aca="false">IF('Boletins Nuppa Site'!G713&lt;&gt;0,'Boletins Nuppa Site'!G713,"NULL")</f>
        <v>NULL</v>
      </c>
      <c r="E713" s="30" t="n">
        <f aca="false">IF('Boletins Nuppa Site'!H713&lt;&gt;0,'Boletins Nuppa Site'!H713,"NULL")</f>
        <v>55</v>
      </c>
      <c r="F713" s="30" t="n">
        <f aca="false">IF('Boletins Nuppa Site'!I713&lt;&gt;0,'Boletins Nuppa Site'!I713,"NULL")</f>
        <v>55</v>
      </c>
      <c r="G713" s="30" t="n">
        <f aca="false">IF('Boletins Nuppa Site'!J713&lt;&gt;0,'Boletins Nuppa Site'!J713,"NULL")</f>
        <v>55</v>
      </c>
      <c r="H713" s="30" t="n">
        <f aca="false">IF('Boletins Nuppa Site'!K713&lt;&gt;0,'Boletins Nuppa Site'!K713,"NULL")</f>
        <v>55</v>
      </c>
      <c r="I713" s="0" t="str">
        <f aca="false">"INSERT INTO COTACAO (cot_id, cot_blt_id, cot_pap_id, cot_prc_comum, cot_prc_min, cot_prc_max, cot_prc_med, cot_prc_mediana) VALUES ("&amp;A713&amp;", "&amp;B713&amp;", "&amp;C713&amp;", "&amp;D713&amp;", "&amp;E713&amp;", "&amp;F713&amp;", "&amp;G713&amp;", "&amp;H713&amp;");"</f>
        <v>INSERT INTO COTACAO (cot_id, cot_blt_id, cot_pap_id, cot_prc_comum, cot_prc_min, cot_prc_max, cot_prc_med, cot_prc_mediana) VALUES (712, 54, 40, NULL, 55, 55, 55, 55);</v>
      </c>
      <c r="J713" s="0" t="str">
        <f aca="false">"UPDATE COTACAO SET cot_id = "&amp;A713&amp;", cot_blt_id = "&amp;B713&amp;", cot_pap_id = "&amp;C713&amp;", cot_prc_comum = "&amp;D713&amp;", cot_prc_min = "&amp;E713&amp;", cot_prc_max = "&amp;F713&amp;", cot_prc_med = "&amp;G713&amp;", cot_prc_mediana = "&amp;H713&amp;" WHERE cot_id = "&amp;A713&amp;";"</f>
        <v>UPDATE COTACAO SET cot_id = 712, cot_blt_id = 54, cot_pap_id = 40, cot_prc_comum = NULL, cot_prc_min = 55, cot_prc_max = 55, cot_prc_med = 55, cot_prc_mediana = 55 WHERE cot_id = 712;</v>
      </c>
    </row>
    <row r="714" customFormat="false" ht="14.25" hidden="false" customHeight="false" outlineLevel="0" collapsed="false">
      <c r="A714" s="0" t="n">
        <v>713</v>
      </c>
      <c r="B714" s="0" t="n">
        <f aca="false">IF('Boletins Nuppa Site'!A714&lt;&gt;0,'Boletins Nuppa Site'!A714,"NULL")</f>
        <v>55</v>
      </c>
      <c r="C714" s="0" t="n">
        <v>1</v>
      </c>
      <c r="D714" s="30" t="n">
        <f aca="false">IF('Boletins Nuppa Site'!G714&lt;&gt;0,'Boletins Nuppa Site'!G714,"NULL")</f>
        <v>72</v>
      </c>
      <c r="E714" s="30" t="n">
        <f aca="false">IF('Boletins Nuppa Site'!H714&lt;&gt;0,'Boletins Nuppa Site'!H714,"NULL")</f>
        <v>48</v>
      </c>
      <c r="F714" s="30" t="n">
        <f aca="false">IF('Boletins Nuppa Site'!I714&lt;&gt;0,'Boletins Nuppa Site'!I714,"NULL")</f>
        <v>72</v>
      </c>
      <c r="G714" s="30" t="n">
        <f aca="false">IF('Boletins Nuppa Site'!J714&lt;&gt;0,'Boletins Nuppa Site'!J714,"NULL")</f>
        <v>64</v>
      </c>
      <c r="H714" s="30" t="n">
        <f aca="false">IF('Boletins Nuppa Site'!K714&lt;&gt;0,'Boletins Nuppa Site'!K714,"NULL")</f>
        <v>72</v>
      </c>
      <c r="I714" s="0" t="str">
        <f aca="false">"INSERT INTO COTACAO (cot_id, cot_blt_id, cot_pap_id, cot_prc_comum, cot_prc_min, cot_prc_max, cot_prc_med, cot_prc_mediana) VALUES ("&amp;A714&amp;", "&amp;B714&amp;", "&amp;C714&amp;", "&amp;D714&amp;", "&amp;E714&amp;", "&amp;F714&amp;", "&amp;G714&amp;", "&amp;H714&amp;");"</f>
        <v>INSERT INTO COTACAO (cot_id, cot_blt_id, cot_pap_id, cot_prc_comum, cot_prc_min, cot_prc_max, cot_prc_med, cot_prc_mediana) VALUES (713, 55, 1, 72, 48, 72, 64, 72);</v>
      </c>
      <c r="J714" s="0" t="str">
        <f aca="false">"UPDATE COTACAO SET cot_id = "&amp;A714&amp;", cot_blt_id = "&amp;B714&amp;", cot_pap_id = "&amp;C714&amp;", cot_prc_comum = "&amp;D714&amp;", cot_prc_min = "&amp;E714&amp;", cot_prc_max = "&amp;F714&amp;", cot_prc_med = "&amp;G714&amp;", cot_prc_mediana = "&amp;H714&amp;" WHERE cot_id = "&amp;A714&amp;";"</f>
        <v>UPDATE COTACAO SET cot_id = 713, cot_blt_id = 55, cot_pap_id = 1, cot_prc_comum = 72, cot_prc_min = 48, cot_prc_max = 72, cot_prc_med = 64, cot_prc_mediana = 72 WHERE cot_id = 713;</v>
      </c>
    </row>
    <row r="715" customFormat="false" ht="14.25" hidden="false" customHeight="false" outlineLevel="0" collapsed="false">
      <c r="A715" s="0" t="n">
        <v>714</v>
      </c>
      <c r="B715" s="0" t="n">
        <f aca="false">IF('Boletins Nuppa Site'!A715&lt;&gt;0,'Boletins Nuppa Site'!A715,"NULL")</f>
        <v>55</v>
      </c>
      <c r="C715" s="0" t="n">
        <v>2</v>
      </c>
      <c r="D715" s="30" t="n">
        <f aca="false">IF('Boletins Nuppa Site'!G715&lt;&gt;0,'Boletins Nuppa Site'!G715,"NULL")</f>
        <v>84</v>
      </c>
      <c r="E715" s="30" t="n">
        <f aca="false">IF('Boletins Nuppa Site'!H715&lt;&gt;0,'Boletins Nuppa Site'!H715,"NULL")</f>
        <v>72</v>
      </c>
      <c r="F715" s="30" t="n">
        <f aca="false">IF('Boletins Nuppa Site'!I715&lt;&gt;0,'Boletins Nuppa Site'!I715,"NULL")</f>
        <v>84</v>
      </c>
      <c r="G715" s="30" t="n">
        <f aca="false">IF('Boletins Nuppa Site'!J715&lt;&gt;0,'Boletins Nuppa Site'!J715,"NULL")</f>
        <v>80</v>
      </c>
      <c r="H715" s="30" t="n">
        <f aca="false">IF('Boletins Nuppa Site'!K715&lt;&gt;0,'Boletins Nuppa Site'!K715,"NULL")</f>
        <v>84</v>
      </c>
      <c r="I715" s="0" t="str">
        <f aca="false">"INSERT INTO COTACAO (cot_id, cot_blt_id, cot_pap_id, cot_prc_comum, cot_prc_min, cot_prc_max, cot_prc_med, cot_prc_mediana) VALUES ("&amp;A715&amp;", "&amp;B715&amp;", "&amp;C715&amp;", "&amp;D715&amp;", "&amp;E715&amp;", "&amp;F715&amp;", "&amp;G715&amp;", "&amp;H715&amp;");"</f>
        <v>INSERT INTO COTACAO (cot_id, cot_blt_id, cot_pap_id, cot_prc_comum, cot_prc_min, cot_prc_max, cot_prc_med, cot_prc_mediana) VALUES (714, 55, 2, 84, 72, 84, 80, 84);</v>
      </c>
      <c r="J715" s="0" t="str">
        <f aca="false">"UPDATE COTACAO SET cot_id = "&amp;A715&amp;", cot_blt_id = "&amp;B715&amp;", cot_pap_id = "&amp;C715&amp;", cot_prc_comum = "&amp;D715&amp;", cot_prc_min = "&amp;E715&amp;", cot_prc_max = "&amp;F715&amp;", cot_prc_med = "&amp;G715&amp;", cot_prc_mediana = "&amp;H715&amp;" WHERE cot_id = "&amp;A715&amp;";"</f>
        <v>UPDATE COTACAO SET cot_id = 714, cot_blt_id = 55, cot_pap_id = 2, cot_prc_comum = 84, cot_prc_min = 72, cot_prc_max = 84, cot_prc_med = 80, cot_prc_mediana = 84 WHERE cot_id = 714;</v>
      </c>
    </row>
    <row r="716" customFormat="false" ht="14.25" hidden="false" customHeight="false" outlineLevel="0" collapsed="false">
      <c r="A716" s="0" t="n">
        <v>715</v>
      </c>
      <c r="B716" s="0" t="n">
        <f aca="false">IF('Boletins Nuppa Site'!A716&lt;&gt;0,'Boletins Nuppa Site'!A716,"NULL")</f>
        <v>55</v>
      </c>
      <c r="C716" s="0" t="n">
        <v>3</v>
      </c>
      <c r="D716" s="0" t="str">
        <f aca="false">IF('Boletins Nuppa Site'!G716&lt;&gt;0,'Boletins Nuppa Site'!G716,"NULL")</f>
        <v>NULL</v>
      </c>
      <c r="E716" s="30" t="n">
        <f aca="false">IF('Boletins Nuppa Site'!H716&lt;&gt;0,'Boletins Nuppa Site'!H716,"NULL")</f>
        <v>36</v>
      </c>
      <c r="F716" s="30" t="n">
        <f aca="false">IF('Boletins Nuppa Site'!I716&lt;&gt;0,'Boletins Nuppa Site'!I716,"NULL")</f>
        <v>54</v>
      </c>
      <c r="G716" s="30" t="n">
        <f aca="false">IF('Boletins Nuppa Site'!J716&lt;&gt;0,'Boletins Nuppa Site'!J716,"NULL")</f>
        <v>44</v>
      </c>
      <c r="H716" s="30" t="n">
        <f aca="false">IF('Boletins Nuppa Site'!K716&lt;&gt;0,'Boletins Nuppa Site'!K716,"NULL")</f>
        <v>42</v>
      </c>
      <c r="I716" s="0" t="str">
        <f aca="false">"INSERT INTO COTACAO (cot_id, cot_blt_id, cot_pap_id, cot_prc_comum, cot_prc_min, cot_prc_max, cot_prc_med, cot_prc_mediana) VALUES ("&amp;A716&amp;", "&amp;B716&amp;", "&amp;C716&amp;", "&amp;D716&amp;", "&amp;E716&amp;", "&amp;F716&amp;", "&amp;G716&amp;", "&amp;H716&amp;");"</f>
        <v>INSERT INTO COTACAO (cot_id, cot_blt_id, cot_pap_id, cot_prc_comum, cot_prc_min, cot_prc_max, cot_prc_med, cot_prc_mediana) VALUES (715, 55, 3, NULL, 36, 54, 44, 42);</v>
      </c>
      <c r="J716" s="0" t="str">
        <f aca="false">"UPDATE COTACAO SET cot_id = "&amp;A716&amp;", cot_blt_id = "&amp;B716&amp;", cot_pap_id = "&amp;C716&amp;", cot_prc_comum = "&amp;D716&amp;", cot_prc_min = "&amp;E716&amp;", cot_prc_max = "&amp;F716&amp;", cot_prc_med = "&amp;G716&amp;", cot_prc_mediana = "&amp;H716&amp;" WHERE cot_id = "&amp;A716&amp;";"</f>
        <v>UPDATE COTACAO SET cot_id = 715, cot_blt_id = 55, cot_pap_id = 3, cot_prc_comum = NULL, cot_prc_min = 36, cot_prc_max = 54, cot_prc_med = 44, cot_prc_mediana = 42 WHERE cot_id = 715;</v>
      </c>
    </row>
    <row r="717" customFormat="false" ht="14.25" hidden="false" customHeight="false" outlineLevel="0" collapsed="false">
      <c r="A717" s="0" t="n">
        <v>716</v>
      </c>
      <c r="B717" s="0" t="n">
        <f aca="false">IF('Boletins Nuppa Site'!A717&lt;&gt;0,'Boletins Nuppa Site'!A717,"NULL")</f>
        <v>55</v>
      </c>
      <c r="C717" s="0" t="n">
        <v>4</v>
      </c>
      <c r="D717" s="30" t="n">
        <f aca="false">IF('Boletins Nuppa Site'!G717&lt;&gt;0,'Boletins Nuppa Site'!G717,"NULL")</f>
        <v>30</v>
      </c>
      <c r="E717" s="30" t="n">
        <f aca="false">IF('Boletins Nuppa Site'!H717&lt;&gt;0,'Boletins Nuppa Site'!H717,"NULL")</f>
        <v>24</v>
      </c>
      <c r="F717" s="30" t="n">
        <f aca="false">IF('Boletins Nuppa Site'!I717&lt;&gt;0,'Boletins Nuppa Site'!I717,"NULL")</f>
        <v>30</v>
      </c>
      <c r="G717" s="30" t="n">
        <f aca="false">IF('Boletins Nuppa Site'!J717&lt;&gt;0,'Boletins Nuppa Site'!J717,"NULL")</f>
        <v>28</v>
      </c>
      <c r="H717" s="30" t="n">
        <f aca="false">IF('Boletins Nuppa Site'!K717&lt;&gt;0,'Boletins Nuppa Site'!K717,"NULL")</f>
        <v>30</v>
      </c>
      <c r="I717" s="0" t="str">
        <f aca="false">"INSERT INTO COTACAO (cot_id, cot_blt_id, cot_pap_id, cot_prc_comum, cot_prc_min, cot_prc_max, cot_prc_med, cot_prc_mediana) VALUES ("&amp;A717&amp;", "&amp;B717&amp;", "&amp;C717&amp;", "&amp;D717&amp;", "&amp;E717&amp;", "&amp;F717&amp;", "&amp;G717&amp;", "&amp;H717&amp;");"</f>
        <v>INSERT INTO COTACAO (cot_id, cot_blt_id, cot_pap_id, cot_prc_comum, cot_prc_min, cot_prc_max, cot_prc_med, cot_prc_mediana) VALUES (716, 55, 4, 30, 24, 30, 28, 30);</v>
      </c>
      <c r="J717" s="0" t="str">
        <f aca="false">"UPDATE COTACAO SET cot_id = "&amp;A717&amp;", cot_blt_id = "&amp;B717&amp;", cot_pap_id = "&amp;C717&amp;", cot_prc_comum = "&amp;D717&amp;", cot_prc_min = "&amp;E717&amp;", cot_prc_max = "&amp;F717&amp;", cot_prc_med = "&amp;G717&amp;", cot_prc_mediana = "&amp;H717&amp;" WHERE cot_id = "&amp;A717&amp;";"</f>
        <v>UPDATE COTACAO SET cot_id = 716, cot_blt_id = 55, cot_pap_id = 4, cot_prc_comum = 30, cot_prc_min = 24, cot_prc_max = 30, cot_prc_med = 28, cot_prc_mediana = 30 WHERE cot_id = 716;</v>
      </c>
    </row>
    <row r="718" customFormat="false" ht="14.25" hidden="false" customHeight="false" outlineLevel="0" collapsed="false">
      <c r="A718" s="0" t="n">
        <v>717</v>
      </c>
      <c r="B718" s="0" t="n">
        <f aca="false">IF('Boletins Nuppa Site'!A718&lt;&gt;0,'Boletins Nuppa Site'!A718,"NULL")</f>
        <v>55</v>
      </c>
      <c r="C718" s="0" t="n">
        <v>5</v>
      </c>
      <c r="D718" s="30" t="n">
        <f aca="false">IF('Boletins Nuppa Site'!G718&lt;&gt;0,'Boletins Nuppa Site'!G718,"NULL")</f>
        <v>30</v>
      </c>
      <c r="E718" s="30" t="n">
        <f aca="false">IF('Boletins Nuppa Site'!H718&lt;&gt;0,'Boletins Nuppa Site'!H718,"NULL")</f>
        <v>24</v>
      </c>
      <c r="F718" s="30" t="n">
        <f aca="false">IF('Boletins Nuppa Site'!I718&lt;&gt;0,'Boletins Nuppa Site'!I718,"NULL")</f>
        <v>30</v>
      </c>
      <c r="G718" s="30" t="n">
        <f aca="false">IF('Boletins Nuppa Site'!J718&lt;&gt;0,'Boletins Nuppa Site'!J718,"NULL")</f>
        <v>28</v>
      </c>
      <c r="H718" s="30" t="n">
        <f aca="false">IF('Boletins Nuppa Site'!K718&lt;&gt;0,'Boletins Nuppa Site'!K718,"NULL")</f>
        <v>30</v>
      </c>
      <c r="I718" s="0" t="str">
        <f aca="false">"INSERT INTO COTACAO (cot_id, cot_blt_id, cot_pap_id, cot_prc_comum, cot_prc_min, cot_prc_max, cot_prc_med, cot_prc_mediana) VALUES ("&amp;A718&amp;", "&amp;B718&amp;", "&amp;C718&amp;", "&amp;D718&amp;", "&amp;E718&amp;", "&amp;F718&amp;", "&amp;G718&amp;", "&amp;H718&amp;");"</f>
        <v>INSERT INTO COTACAO (cot_id, cot_blt_id, cot_pap_id, cot_prc_comum, cot_prc_min, cot_prc_max, cot_prc_med, cot_prc_mediana) VALUES (717, 55, 5, 30, 24, 30, 28, 30);</v>
      </c>
      <c r="J718" s="0" t="str">
        <f aca="false">"UPDATE COTACAO SET cot_id = "&amp;A718&amp;", cot_blt_id = "&amp;B718&amp;", cot_pap_id = "&amp;C718&amp;", cot_prc_comum = "&amp;D718&amp;", cot_prc_min = "&amp;E718&amp;", cot_prc_max = "&amp;F718&amp;", cot_prc_med = "&amp;G718&amp;", cot_prc_mediana = "&amp;H718&amp;" WHERE cot_id = "&amp;A718&amp;";"</f>
        <v>UPDATE COTACAO SET cot_id = 717, cot_blt_id = 55, cot_pap_id = 5, cot_prc_comum = 30, cot_prc_min = 24, cot_prc_max = 30, cot_prc_med = 28, cot_prc_mediana = 30 WHERE cot_id = 717;</v>
      </c>
    </row>
    <row r="719" customFormat="false" ht="14.25" hidden="false" customHeight="false" outlineLevel="0" collapsed="false">
      <c r="A719" s="0" t="n">
        <v>718</v>
      </c>
      <c r="B719" s="0" t="n">
        <f aca="false">IF('Boletins Nuppa Site'!A719&lt;&gt;0,'Boletins Nuppa Site'!A719,"NULL")</f>
        <v>55</v>
      </c>
      <c r="C719" s="0" t="n">
        <v>6</v>
      </c>
      <c r="D719" s="30" t="n">
        <f aca="false">IF('Boletins Nuppa Site'!G719&lt;&gt;0,'Boletins Nuppa Site'!G719,"NULL")</f>
        <v>60</v>
      </c>
      <c r="E719" s="30" t="n">
        <f aca="false">IF('Boletins Nuppa Site'!H719&lt;&gt;0,'Boletins Nuppa Site'!H719,"NULL")</f>
        <v>60</v>
      </c>
      <c r="F719" s="30" t="n">
        <f aca="false">IF('Boletins Nuppa Site'!I719&lt;&gt;0,'Boletins Nuppa Site'!I719,"NULL")</f>
        <v>60</v>
      </c>
      <c r="G719" s="30" t="n">
        <f aca="false">IF('Boletins Nuppa Site'!J719&lt;&gt;0,'Boletins Nuppa Site'!J719,"NULL")</f>
        <v>60</v>
      </c>
      <c r="H719" s="30" t="n">
        <f aca="false">IF('Boletins Nuppa Site'!K719&lt;&gt;0,'Boletins Nuppa Site'!K719,"NULL")</f>
        <v>60</v>
      </c>
      <c r="I719" s="0" t="str">
        <f aca="false">"INSERT INTO COTACAO (cot_id, cot_blt_id, cot_pap_id, cot_prc_comum, cot_prc_min, cot_prc_max, cot_prc_med, cot_prc_mediana) VALUES ("&amp;A719&amp;", "&amp;B719&amp;", "&amp;C719&amp;", "&amp;D719&amp;", "&amp;E719&amp;", "&amp;F719&amp;", "&amp;G719&amp;", "&amp;H719&amp;");"</f>
        <v>INSERT INTO COTACAO (cot_id, cot_blt_id, cot_pap_id, cot_prc_comum, cot_prc_min, cot_prc_max, cot_prc_med, cot_prc_mediana) VALUES (718, 55, 6, 60, 60, 60, 60, 60);</v>
      </c>
      <c r="J719" s="0" t="str">
        <f aca="false">"UPDATE COTACAO SET cot_id = "&amp;A719&amp;", cot_blt_id = "&amp;B719&amp;", cot_pap_id = "&amp;C719&amp;", cot_prc_comum = "&amp;D719&amp;", cot_prc_min = "&amp;E719&amp;", cot_prc_max = "&amp;F719&amp;", cot_prc_med = "&amp;G719&amp;", cot_prc_mediana = "&amp;H719&amp;" WHERE cot_id = "&amp;A719&amp;";"</f>
        <v>UPDATE COTACAO SET cot_id = 718, cot_blt_id = 55, cot_pap_id = 6, cot_prc_comum = 60, cot_prc_min = 60, cot_prc_max = 60, cot_prc_med = 60, cot_prc_mediana = 60 WHERE cot_id = 718;</v>
      </c>
    </row>
    <row r="720" customFormat="false" ht="14.25" hidden="false" customHeight="false" outlineLevel="0" collapsed="false">
      <c r="A720" s="0" t="n">
        <v>719</v>
      </c>
      <c r="B720" s="0" t="n">
        <f aca="false">IF('Boletins Nuppa Site'!A720&lt;&gt;0,'Boletins Nuppa Site'!A720,"NULL")</f>
        <v>55</v>
      </c>
      <c r="C720" s="0" t="n">
        <v>7</v>
      </c>
      <c r="D720" s="30" t="n">
        <f aca="false">IF('Boletins Nuppa Site'!G720&lt;&gt;0,'Boletins Nuppa Site'!G720,"NULL")</f>
        <v>96</v>
      </c>
      <c r="E720" s="30" t="n">
        <f aca="false">IF('Boletins Nuppa Site'!H720&lt;&gt;0,'Boletins Nuppa Site'!H720,"NULL")</f>
        <v>96</v>
      </c>
      <c r="F720" s="30" t="n">
        <f aca="false">IF('Boletins Nuppa Site'!I720&lt;&gt;0,'Boletins Nuppa Site'!I720,"NULL")</f>
        <v>120</v>
      </c>
      <c r="G720" s="30" t="n">
        <f aca="false">IF('Boletins Nuppa Site'!J720&lt;&gt;0,'Boletins Nuppa Site'!J720,"NULL")</f>
        <v>104</v>
      </c>
      <c r="H720" s="30" t="n">
        <f aca="false">IF('Boletins Nuppa Site'!K720&lt;&gt;0,'Boletins Nuppa Site'!K720,"NULL")</f>
        <v>96</v>
      </c>
      <c r="I720" s="0" t="str">
        <f aca="false">"INSERT INTO COTACAO (cot_id, cot_blt_id, cot_pap_id, cot_prc_comum, cot_prc_min, cot_prc_max, cot_prc_med, cot_prc_mediana) VALUES ("&amp;A720&amp;", "&amp;B720&amp;", "&amp;C720&amp;", "&amp;D720&amp;", "&amp;E720&amp;", "&amp;F720&amp;", "&amp;G720&amp;", "&amp;H720&amp;");"</f>
        <v>INSERT INTO COTACAO (cot_id, cot_blt_id, cot_pap_id, cot_prc_comum, cot_prc_min, cot_prc_max, cot_prc_med, cot_prc_mediana) VALUES (719, 55, 7, 96, 96, 120, 104, 96);</v>
      </c>
      <c r="J720" s="0" t="str">
        <f aca="false">"UPDATE COTACAO SET cot_id = "&amp;A720&amp;", cot_blt_id = "&amp;B720&amp;", cot_pap_id = "&amp;C720&amp;", cot_prc_comum = "&amp;D720&amp;", cot_prc_min = "&amp;E720&amp;", cot_prc_max = "&amp;F720&amp;", cot_prc_med = "&amp;G720&amp;", cot_prc_mediana = "&amp;H720&amp;" WHERE cot_id = "&amp;A720&amp;";"</f>
        <v>UPDATE COTACAO SET cot_id = 719, cot_blt_id = 55, cot_pap_id = 7, cot_prc_comum = 96, cot_prc_min = 96, cot_prc_max = 120, cot_prc_med = 104, cot_prc_mediana = 96 WHERE cot_id = 719;</v>
      </c>
    </row>
    <row r="721" customFormat="false" ht="14.25" hidden="false" customHeight="false" outlineLevel="0" collapsed="false">
      <c r="A721" s="0" t="n">
        <v>720</v>
      </c>
      <c r="B721" s="0" t="n">
        <f aca="false">IF('Boletins Nuppa Site'!A721&lt;&gt;0,'Boletins Nuppa Site'!A721,"NULL")</f>
        <v>55</v>
      </c>
      <c r="C721" s="0" t="n">
        <v>8</v>
      </c>
      <c r="D721" s="0" t="str">
        <f aca="false">IF('Boletins Nuppa Site'!G721&lt;&gt;0,'Boletins Nuppa Site'!G721,"NULL")</f>
        <v>NULL</v>
      </c>
      <c r="E721" s="30" t="n">
        <f aca="false">IF('Boletins Nuppa Site'!H721&lt;&gt;0,'Boletins Nuppa Site'!H721,"NULL")</f>
        <v>84</v>
      </c>
      <c r="F721" s="30" t="n">
        <f aca="false">IF('Boletins Nuppa Site'!I721&lt;&gt;0,'Boletins Nuppa Site'!I721,"NULL")</f>
        <v>120</v>
      </c>
      <c r="G721" s="30" t="n">
        <f aca="false">IF('Boletins Nuppa Site'!J721&lt;&gt;0,'Boletins Nuppa Site'!J721,"NULL")</f>
        <v>100</v>
      </c>
      <c r="H721" s="30" t="n">
        <f aca="false">IF('Boletins Nuppa Site'!K721&lt;&gt;0,'Boletins Nuppa Site'!K721,"NULL")</f>
        <v>96</v>
      </c>
      <c r="I721" s="0" t="str">
        <f aca="false">"INSERT INTO COTACAO (cot_id, cot_blt_id, cot_pap_id, cot_prc_comum, cot_prc_min, cot_prc_max, cot_prc_med, cot_prc_mediana) VALUES ("&amp;A721&amp;", "&amp;B721&amp;", "&amp;C721&amp;", "&amp;D721&amp;", "&amp;E721&amp;", "&amp;F721&amp;", "&amp;G721&amp;", "&amp;H721&amp;");"</f>
        <v>INSERT INTO COTACAO (cot_id, cot_blt_id, cot_pap_id, cot_prc_comum, cot_prc_min, cot_prc_max, cot_prc_med, cot_prc_mediana) VALUES (720, 55, 8, NULL, 84, 120, 100, 96);</v>
      </c>
      <c r="J721" s="0" t="str">
        <f aca="false">"UPDATE COTACAO SET cot_id = "&amp;A721&amp;", cot_blt_id = "&amp;B721&amp;", cot_pap_id = "&amp;C721&amp;", cot_prc_comum = "&amp;D721&amp;", cot_prc_min = "&amp;E721&amp;", cot_prc_max = "&amp;F721&amp;", cot_prc_med = "&amp;G721&amp;", cot_prc_mediana = "&amp;H721&amp;" WHERE cot_id = "&amp;A721&amp;";"</f>
        <v>UPDATE COTACAO SET cot_id = 720, cot_blt_id = 55, cot_pap_id = 8, cot_prc_comum = NULL, cot_prc_min = 84, cot_prc_max = 120, cot_prc_med = 100, cot_prc_mediana = 96 WHERE cot_id = 720;</v>
      </c>
    </row>
    <row r="722" customFormat="false" ht="14.25" hidden="false" customHeight="false" outlineLevel="0" collapsed="false">
      <c r="A722" s="0" t="n">
        <v>721</v>
      </c>
      <c r="B722" s="0" t="n">
        <f aca="false">IF('Boletins Nuppa Site'!A722&lt;&gt;0,'Boletins Nuppa Site'!A722,"NULL")</f>
        <v>55</v>
      </c>
      <c r="C722" s="0" t="n">
        <v>9</v>
      </c>
      <c r="D722" s="30" t="n">
        <f aca="false">IF('Boletins Nuppa Site'!G722&lt;&gt;0,'Boletins Nuppa Site'!G722,"NULL")</f>
        <v>24</v>
      </c>
      <c r="E722" s="30" t="n">
        <f aca="false">IF('Boletins Nuppa Site'!H722&lt;&gt;0,'Boletins Nuppa Site'!H722,"NULL")</f>
        <v>24</v>
      </c>
      <c r="F722" s="30" t="n">
        <f aca="false">IF('Boletins Nuppa Site'!I722&lt;&gt;0,'Boletins Nuppa Site'!I722,"NULL")</f>
        <v>30</v>
      </c>
      <c r="G722" s="30" t="n">
        <f aca="false">IF('Boletins Nuppa Site'!J722&lt;&gt;0,'Boletins Nuppa Site'!J722,"NULL")</f>
        <v>26</v>
      </c>
      <c r="H722" s="30" t="n">
        <f aca="false">IF('Boletins Nuppa Site'!K722&lt;&gt;0,'Boletins Nuppa Site'!K722,"NULL")</f>
        <v>24</v>
      </c>
      <c r="I722" s="0" t="str">
        <f aca="false">"INSERT INTO COTACAO (cot_id, cot_blt_id, cot_pap_id, cot_prc_comum, cot_prc_min, cot_prc_max, cot_prc_med, cot_prc_mediana) VALUES ("&amp;A722&amp;", "&amp;B722&amp;", "&amp;C722&amp;", "&amp;D722&amp;", "&amp;E722&amp;", "&amp;F722&amp;", "&amp;G722&amp;", "&amp;H722&amp;");"</f>
        <v>INSERT INTO COTACAO (cot_id, cot_blt_id, cot_pap_id, cot_prc_comum, cot_prc_min, cot_prc_max, cot_prc_med, cot_prc_mediana) VALUES (721, 55, 9, 24, 24, 30, 26, 24);</v>
      </c>
      <c r="J722" s="0" t="str">
        <f aca="false">"UPDATE COTACAO SET cot_id = "&amp;A722&amp;", cot_blt_id = "&amp;B722&amp;", cot_pap_id = "&amp;C722&amp;", cot_prc_comum = "&amp;D722&amp;", cot_prc_min = "&amp;E722&amp;", cot_prc_max = "&amp;F722&amp;", cot_prc_med = "&amp;G722&amp;", cot_prc_mediana = "&amp;H722&amp;" WHERE cot_id = "&amp;A722&amp;";"</f>
        <v>UPDATE COTACAO SET cot_id = 721, cot_blt_id = 55, cot_pap_id = 9, cot_prc_comum = 24, cot_prc_min = 24, cot_prc_max = 30, cot_prc_med = 26, cot_prc_mediana = 24 WHERE cot_id = 721;</v>
      </c>
    </row>
    <row r="723" customFormat="false" ht="14.25" hidden="false" customHeight="false" outlineLevel="0" collapsed="false">
      <c r="A723" s="0" t="n">
        <v>722</v>
      </c>
      <c r="B723" s="0" t="n">
        <f aca="false">IF('Boletins Nuppa Site'!A723&lt;&gt;0,'Boletins Nuppa Site'!A723,"NULL")</f>
        <v>55</v>
      </c>
      <c r="C723" s="0" t="n">
        <v>10</v>
      </c>
      <c r="D723" s="0" t="str">
        <f aca="false">IF('Boletins Nuppa Site'!G723&lt;&gt;0,'Boletins Nuppa Site'!G723,"NULL")</f>
        <v>NULL</v>
      </c>
      <c r="E723" s="30" t="n">
        <f aca="false">IF('Boletins Nuppa Site'!H723&lt;&gt;0,'Boletins Nuppa Site'!H723,"NULL")</f>
        <v>96</v>
      </c>
      <c r="F723" s="30" t="n">
        <f aca="false">IF('Boletins Nuppa Site'!I723&lt;&gt;0,'Boletins Nuppa Site'!I723,"NULL")</f>
        <v>120</v>
      </c>
      <c r="G723" s="30" t="n">
        <f aca="false">IF('Boletins Nuppa Site'!J723&lt;&gt;0,'Boletins Nuppa Site'!J723,"NULL")</f>
        <v>106</v>
      </c>
      <c r="H723" s="30" t="n">
        <f aca="false">IF('Boletins Nuppa Site'!K723&lt;&gt;0,'Boletins Nuppa Site'!K723,"NULL")</f>
        <v>102</v>
      </c>
      <c r="I723" s="0" t="str">
        <f aca="false">"INSERT INTO COTACAO (cot_id, cot_blt_id, cot_pap_id, cot_prc_comum, cot_prc_min, cot_prc_max, cot_prc_med, cot_prc_mediana) VALUES ("&amp;A723&amp;", "&amp;B723&amp;", "&amp;C723&amp;", "&amp;D723&amp;", "&amp;E723&amp;", "&amp;F723&amp;", "&amp;G723&amp;", "&amp;H723&amp;");"</f>
        <v>INSERT INTO COTACAO (cot_id, cot_blt_id, cot_pap_id, cot_prc_comum, cot_prc_min, cot_prc_max, cot_prc_med, cot_prc_mediana) VALUES (722, 55, 10, NULL, 96, 120, 106, 102);</v>
      </c>
      <c r="J723" s="0" t="str">
        <f aca="false">"UPDATE COTACAO SET cot_id = "&amp;A723&amp;", cot_blt_id = "&amp;B723&amp;", cot_pap_id = "&amp;C723&amp;", cot_prc_comum = "&amp;D723&amp;", cot_prc_min = "&amp;E723&amp;", cot_prc_max = "&amp;F723&amp;", cot_prc_med = "&amp;G723&amp;", cot_prc_mediana = "&amp;H723&amp;" WHERE cot_id = "&amp;A723&amp;";"</f>
        <v>UPDATE COTACAO SET cot_id = 722, cot_blt_id = 55, cot_pap_id = 10, cot_prc_comum = NULL, cot_prc_min = 96, cot_prc_max = 120, cot_prc_med = 106, cot_prc_mediana = 102 WHERE cot_id = 722;</v>
      </c>
    </row>
    <row r="724" customFormat="false" ht="14.25" hidden="false" customHeight="false" outlineLevel="0" collapsed="false">
      <c r="A724" s="0" t="n">
        <v>723</v>
      </c>
      <c r="B724" s="0" t="n">
        <f aca="false">IF('Boletins Nuppa Site'!A724&lt;&gt;0,'Boletins Nuppa Site'!A724,"NULL")</f>
        <v>55</v>
      </c>
      <c r="C724" s="0" t="n">
        <v>11</v>
      </c>
      <c r="D724" s="30" t="n">
        <f aca="false">IF('Boletins Nuppa Site'!G724&lt;&gt;0,'Boletins Nuppa Site'!G724,"NULL")</f>
        <v>30</v>
      </c>
      <c r="E724" s="30" t="n">
        <f aca="false">IF('Boletins Nuppa Site'!H724&lt;&gt;0,'Boletins Nuppa Site'!H724,"NULL")</f>
        <v>24</v>
      </c>
      <c r="F724" s="30" t="n">
        <f aca="false">IF('Boletins Nuppa Site'!I724&lt;&gt;0,'Boletins Nuppa Site'!I724,"NULL")</f>
        <v>30</v>
      </c>
      <c r="G724" s="30" t="n">
        <f aca="false">IF('Boletins Nuppa Site'!J724&lt;&gt;0,'Boletins Nuppa Site'!J724,"NULL")</f>
        <v>28</v>
      </c>
      <c r="H724" s="30" t="n">
        <f aca="false">IF('Boletins Nuppa Site'!K724&lt;&gt;0,'Boletins Nuppa Site'!K724,"NULL")</f>
        <v>30</v>
      </c>
      <c r="I724" s="0" t="str">
        <f aca="false">"INSERT INTO COTACAO (cot_id, cot_blt_id, cot_pap_id, cot_prc_comum, cot_prc_min, cot_prc_max, cot_prc_med, cot_prc_mediana) VALUES ("&amp;A724&amp;", "&amp;B724&amp;", "&amp;C724&amp;", "&amp;D724&amp;", "&amp;E724&amp;", "&amp;F724&amp;", "&amp;G724&amp;", "&amp;H724&amp;");"</f>
        <v>INSERT INTO COTACAO (cot_id, cot_blt_id, cot_pap_id, cot_prc_comum, cot_prc_min, cot_prc_max, cot_prc_med, cot_prc_mediana) VALUES (723, 55, 11, 30, 24, 30, 28, 30);</v>
      </c>
      <c r="J724" s="0" t="str">
        <f aca="false">"UPDATE COTACAO SET cot_id = "&amp;A724&amp;", cot_blt_id = "&amp;B724&amp;", cot_pap_id = "&amp;C724&amp;", cot_prc_comum = "&amp;D724&amp;", cot_prc_min = "&amp;E724&amp;", cot_prc_max = "&amp;F724&amp;", cot_prc_med = "&amp;G724&amp;", cot_prc_mediana = "&amp;H724&amp;" WHERE cot_id = "&amp;A724&amp;";"</f>
        <v>UPDATE COTACAO SET cot_id = 723, cot_blt_id = 55, cot_pap_id = 11, cot_prc_comum = 30, cot_prc_min = 24, cot_prc_max = 30, cot_prc_med = 28, cot_prc_mediana = 30 WHERE cot_id = 723;</v>
      </c>
    </row>
    <row r="725" customFormat="false" ht="14.25" hidden="false" customHeight="false" outlineLevel="0" collapsed="false">
      <c r="A725" s="0" t="n">
        <v>724</v>
      </c>
      <c r="B725" s="0" t="n">
        <f aca="false">IF('Boletins Nuppa Site'!A725&lt;&gt;0,'Boletins Nuppa Site'!A725,"NULL")</f>
        <v>55</v>
      </c>
      <c r="C725" s="0" t="n">
        <v>12</v>
      </c>
      <c r="D725" s="30" t="n">
        <f aca="false">IF('Boletins Nuppa Site'!G725&lt;&gt;0,'Boletins Nuppa Site'!G725,"NULL")</f>
        <v>60</v>
      </c>
      <c r="E725" s="30" t="n">
        <f aca="false">IF('Boletins Nuppa Site'!H725&lt;&gt;0,'Boletins Nuppa Site'!H725,"NULL")</f>
        <v>60</v>
      </c>
      <c r="F725" s="30" t="n">
        <f aca="false">IF('Boletins Nuppa Site'!I725&lt;&gt;0,'Boletins Nuppa Site'!I725,"NULL")</f>
        <v>84</v>
      </c>
      <c r="G725" s="30" t="n">
        <f aca="false">IF('Boletins Nuppa Site'!J725&lt;&gt;0,'Boletins Nuppa Site'!J725,"NULL")</f>
        <v>68</v>
      </c>
      <c r="H725" s="30" t="n">
        <f aca="false">IF('Boletins Nuppa Site'!K725&lt;&gt;0,'Boletins Nuppa Site'!K725,"NULL")</f>
        <v>60</v>
      </c>
      <c r="I725" s="0" t="str">
        <f aca="false">"INSERT INTO COTACAO (cot_id, cot_blt_id, cot_pap_id, cot_prc_comum, cot_prc_min, cot_prc_max, cot_prc_med, cot_prc_mediana) VALUES ("&amp;A725&amp;", "&amp;B725&amp;", "&amp;C725&amp;", "&amp;D725&amp;", "&amp;E725&amp;", "&amp;F725&amp;", "&amp;G725&amp;", "&amp;H725&amp;");"</f>
        <v>INSERT INTO COTACAO (cot_id, cot_blt_id, cot_pap_id, cot_prc_comum, cot_prc_min, cot_prc_max, cot_prc_med, cot_prc_mediana) VALUES (724, 55, 12, 60, 60, 84, 68, 60);</v>
      </c>
      <c r="J725" s="0" t="str">
        <f aca="false">"UPDATE COTACAO SET cot_id = "&amp;A725&amp;", cot_blt_id = "&amp;B725&amp;", cot_pap_id = "&amp;C725&amp;", cot_prc_comum = "&amp;D725&amp;", cot_prc_min = "&amp;E725&amp;", cot_prc_max = "&amp;F725&amp;", cot_prc_med = "&amp;G725&amp;", cot_prc_mediana = "&amp;H725&amp;" WHERE cot_id = "&amp;A725&amp;";"</f>
        <v>UPDATE COTACAO SET cot_id = 724, cot_blt_id = 55, cot_pap_id = 12, cot_prc_comum = 60, cot_prc_min = 60, cot_prc_max = 84, cot_prc_med = 68, cot_prc_mediana = 60 WHERE cot_id = 724;</v>
      </c>
    </row>
    <row r="726" customFormat="false" ht="14.25" hidden="false" customHeight="false" outlineLevel="0" collapsed="false">
      <c r="A726" s="0" t="n">
        <v>725</v>
      </c>
      <c r="B726" s="0" t="n">
        <f aca="false">IF('Boletins Nuppa Site'!A726&lt;&gt;0,'Boletins Nuppa Site'!A726,"NULL")</f>
        <v>55</v>
      </c>
      <c r="C726" s="0" t="n">
        <v>13</v>
      </c>
      <c r="D726" s="30" t="n">
        <f aca="false">IF('Boletins Nuppa Site'!G726&lt;&gt;0,'Boletins Nuppa Site'!G726,"NULL")</f>
        <v>60</v>
      </c>
      <c r="E726" s="30" t="n">
        <f aca="false">IF('Boletins Nuppa Site'!H726&lt;&gt;0,'Boletins Nuppa Site'!H726,"NULL")</f>
        <v>60</v>
      </c>
      <c r="F726" s="30" t="n">
        <f aca="false">IF('Boletins Nuppa Site'!I726&lt;&gt;0,'Boletins Nuppa Site'!I726,"NULL")</f>
        <v>78</v>
      </c>
      <c r="G726" s="30" t="n">
        <f aca="false">IF('Boletins Nuppa Site'!J726&lt;&gt;0,'Boletins Nuppa Site'!J726,"NULL")</f>
        <v>66</v>
      </c>
      <c r="H726" s="30" t="n">
        <f aca="false">IF('Boletins Nuppa Site'!K726&lt;&gt;0,'Boletins Nuppa Site'!K726,"NULL")</f>
        <v>60</v>
      </c>
      <c r="I726" s="0" t="str">
        <f aca="false">"INSERT INTO COTACAO (cot_id, cot_blt_id, cot_pap_id, cot_prc_comum, cot_prc_min, cot_prc_max, cot_prc_med, cot_prc_mediana) VALUES ("&amp;A726&amp;", "&amp;B726&amp;", "&amp;C726&amp;", "&amp;D726&amp;", "&amp;E726&amp;", "&amp;F726&amp;", "&amp;G726&amp;", "&amp;H726&amp;");"</f>
        <v>INSERT INTO COTACAO (cot_id, cot_blt_id, cot_pap_id, cot_prc_comum, cot_prc_min, cot_prc_max, cot_prc_med, cot_prc_mediana) VALUES (725, 55, 13, 60, 60, 78, 66, 60);</v>
      </c>
      <c r="J726" s="0" t="str">
        <f aca="false">"UPDATE COTACAO SET cot_id = "&amp;A726&amp;", cot_blt_id = "&amp;B726&amp;", cot_pap_id = "&amp;C726&amp;", cot_prc_comum = "&amp;D726&amp;", cot_prc_min = "&amp;E726&amp;", cot_prc_max = "&amp;F726&amp;", cot_prc_med = "&amp;G726&amp;", cot_prc_mediana = "&amp;H726&amp;" WHERE cot_id = "&amp;A726&amp;";"</f>
        <v>UPDATE COTACAO SET cot_id = 725, cot_blt_id = 55, cot_pap_id = 13, cot_prc_comum = 60, cot_prc_min = 60, cot_prc_max = 78, cot_prc_med = 66, cot_prc_mediana = 60 WHERE cot_id = 725;</v>
      </c>
    </row>
    <row r="727" customFormat="false" ht="14.25" hidden="false" customHeight="false" outlineLevel="0" collapsed="false">
      <c r="A727" s="0" t="n">
        <v>726</v>
      </c>
      <c r="B727" s="0" t="n">
        <f aca="false">IF('Boletins Nuppa Site'!A727&lt;&gt;0,'Boletins Nuppa Site'!A727,"NULL")</f>
        <v>55</v>
      </c>
      <c r="C727" s="0" t="n">
        <v>14</v>
      </c>
      <c r="D727" s="0" t="str">
        <f aca="false">IF('Boletins Nuppa Site'!G727&lt;&gt;0,'Boletins Nuppa Site'!G727,"NULL")</f>
        <v>NULL</v>
      </c>
      <c r="E727" s="30" t="n">
        <f aca="false">IF('Boletins Nuppa Site'!H727&lt;&gt;0,'Boletins Nuppa Site'!H727,"NULL")</f>
        <v>72</v>
      </c>
      <c r="F727" s="30" t="n">
        <f aca="false">IF('Boletins Nuppa Site'!I727&lt;&gt;0,'Boletins Nuppa Site'!I727,"NULL")</f>
        <v>100</v>
      </c>
      <c r="G727" s="0" t="str">
        <f aca="false">IF('Boletins Nuppa Site'!J727&lt;&gt;0,'Boletins Nuppa Site'!J727,"NULL")</f>
        <v>85.33</v>
      </c>
      <c r="H727" s="30" t="n">
        <f aca="false">IF('Boletins Nuppa Site'!K727&lt;&gt;0,'Boletins Nuppa Site'!K727,"NULL")</f>
        <v>84</v>
      </c>
      <c r="I727" s="0" t="str">
        <f aca="false">"INSERT INTO COTACAO (cot_id, cot_blt_id, cot_pap_id, cot_prc_comum, cot_prc_min, cot_prc_max, cot_prc_med, cot_prc_mediana) VALUES ("&amp;A727&amp;", "&amp;B727&amp;", "&amp;C727&amp;", "&amp;D727&amp;", "&amp;E727&amp;", "&amp;F727&amp;", "&amp;G727&amp;", "&amp;H727&amp;");"</f>
        <v>INSERT INTO COTACAO (cot_id, cot_blt_id, cot_pap_id, cot_prc_comum, cot_prc_min, cot_prc_max, cot_prc_med, cot_prc_mediana) VALUES (726, 55, 14, NULL, 72, 100, 85.33, 84);</v>
      </c>
      <c r="J727" s="0" t="str">
        <f aca="false">"UPDATE COTACAO SET cot_id = "&amp;A727&amp;", cot_blt_id = "&amp;B727&amp;", cot_pap_id = "&amp;C727&amp;", cot_prc_comum = "&amp;D727&amp;", cot_prc_min = "&amp;E727&amp;", cot_prc_max = "&amp;F727&amp;", cot_prc_med = "&amp;G727&amp;", cot_prc_mediana = "&amp;H727&amp;" WHERE cot_id = "&amp;A727&amp;";"</f>
        <v>UPDATE COTACAO SET cot_id = 726, cot_blt_id = 55, cot_pap_id = 14, cot_prc_comum = NULL, cot_prc_min = 72, cot_prc_max = 100, cot_prc_med = 85.33, cot_prc_mediana = 84 WHERE cot_id = 726;</v>
      </c>
    </row>
    <row r="728" customFormat="false" ht="14.25" hidden="false" customHeight="false" outlineLevel="0" collapsed="false">
      <c r="A728" s="0" t="n">
        <v>727</v>
      </c>
      <c r="B728" s="0" t="n">
        <f aca="false">IF('Boletins Nuppa Site'!A728&lt;&gt;0,'Boletins Nuppa Site'!A728,"NULL")</f>
        <v>55</v>
      </c>
      <c r="C728" s="0" t="n">
        <v>15</v>
      </c>
      <c r="D728" s="0" t="str">
        <f aca="false">IF('Boletins Nuppa Site'!G728&lt;&gt;0,'Boletins Nuppa Site'!G728,"NULL")</f>
        <v>NULL</v>
      </c>
      <c r="E728" s="30" t="n">
        <f aca="false">IF('Boletins Nuppa Site'!H728&lt;&gt;0,'Boletins Nuppa Site'!H728,"NULL")</f>
        <v>48</v>
      </c>
      <c r="F728" s="30" t="n">
        <f aca="false">IF('Boletins Nuppa Site'!I728&lt;&gt;0,'Boletins Nuppa Site'!I728,"NULL")</f>
        <v>80</v>
      </c>
      <c r="G728" s="30" t="n">
        <f aca="false">IF('Boletins Nuppa Site'!J728&lt;&gt;0,'Boletins Nuppa Site'!J728,"NULL")</f>
        <v>61</v>
      </c>
      <c r="H728" s="30" t="n">
        <f aca="false">IF('Boletins Nuppa Site'!K728&lt;&gt;0,'Boletins Nuppa Site'!K728,"NULL")</f>
        <v>55</v>
      </c>
      <c r="I728" s="0" t="str">
        <f aca="false">"INSERT INTO COTACAO (cot_id, cot_blt_id, cot_pap_id, cot_prc_comum, cot_prc_min, cot_prc_max, cot_prc_med, cot_prc_mediana) VALUES ("&amp;A728&amp;", "&amp;B728&amp;", "&amp;C728&amp;", "&amp;D728&amp;", "&amp;E728&amp;", "&amp;F728&amp;", "&amp;G728&amp;", "&amp;H728&amp;");"</f>
        <v>INSERT INTO COTACAO (cot_id, cot_blt_id, cot_pap_id, cot_prc_comum, cot_prc_min, cot_prc_max, cot_prc_med, cot_prc_mediana) VALUES (727, 55, 15, NULL, 48, 80, 61, 55);</v>
      </c>
      <c r="J728" s="0" t="str">
        <f aca="false">"UPDATE COTACAO SET cot_id = "&amp;A728&amp;", cot_blt_id = "&amp;B728&amp;", cot_pap_id = "&amp;C728&amp;", cot_prc_comum = "&amp;D728&amp;", cot_prc_min = "&amp;E728&amp;", cot_prc_max = "&amp;F728&amp;", cot_prc_med = "&amp;G728&amp;", cot_prc_mediana = "&amp;H728&amp;" WHERE cot_id = "&amp;A728&amp;";"</f>
        <v>UPDATE COTACAO SET cot_id = 727, cot_blt_id = 55, cot_pap_id = 15, cot_prc_comum = NULL, cot_prc_min = 48, cot_prc_max = 80, cot_prc_med = 61, cot_prc_mediana = 55 WHERE cot_id = 727;</v>
      </c>
    </row>
    <row r="729" customFormat="false" ht="14.25" hidden="false" customHeight="false" outlineLevel="0" collapsed="false">
      <c r="A729" s="0" t="n">
        <v>728</v>
      </c>
      <c r="B729" s="0" t="n">
        <f aca="false">IF('Boletins Nuppa Site'!A729&lt;&gt;0,'Boletins Nuppa Site'!A729,"NULL")</f>
        <v>55</v>
      </c>
      <c r="C729" s="0" t="n">
        <v>16</v>
      </c>
      <c r="D729" s="30" t="n">
        <f aca="false">IF('Boletins Nuppa Site'!G729&lt;&gt;0,'Boletins Nuppa Site'!G729,"NULL")</f>
        <v>54</v>
      </c>
      <c r="E729" s="30" t="n">
        <f aca="false">IF('Boletins Nuppa Site'!H729&lt;&gt;0,'Boletins Nuppa Site'!H729,"NULL")</f>
        <v>48</v>
      </c>
      <c r="F729" s="30" t="n">
        <f aca="false">IF('Boletins Nuppa Site'!I729&lt;&gt;0,'Boletins Nuppa Site'!I729,"NULL")</f>
        <v>54</v>
      </c>
      <c r="G729" s="30" t="n">
        <f aca="false">IF('Boletins Nuppa Site'!J729&lt;&gt;0,'Boletins Nuppa Site'!J729,"NULL")</f>
        <v>52</v>
      </c>
      <c r="H729" s="30" t="n">
        <f aca="false">IF('Boletins Nuppa Site'!K729&lt;&gt;0,'Boletins Nuppa Site'!K729,"NULL")</f>
        <v>54</v>
      </c>
      <c r="I729" s="0" t="str">
        <f aca="false">"INSERT INTO COTACAO (cot_id, cot_blt_id, cot_pap_id, cot_prc_comum, cot_prc_min, cot_prc_max, cot_prc_med, cot_prc_mediana) VALUES ("&amp;A729&amp;", "&amp;B729&amp;", "&amp;C729&amp;", "&amp;D729&amp;", "&amp;E729&amp;", "&amp;F729&amp;", "&amp;G729&amp;", "&amp;H729&amp;");"</f>
        <v>INSERT INTO COTACAO (cot_id, cot_blt_id, cot_pap_id, cot_prc_comum, cot_prc_min, cot_prc_max, cot_prc_med, cot_prc_mediana) VALUES (728, 55, 16, 54, 48, 54, 52, 54);</v>
      </c>
      <c r="J729" s="0" t="str">
        <f aca="false">"UPDATE COTACAO SET cot_id = "&amp;A729&amp;", cot_blt_id = "&amp;B729&amp;", cot_pap_id = "&amp;C729&amp;", cot_prc_comum = "&amp;D729&amp;", cot_prc_min = "&amp;E729&amp;", cot_prc_max = "&amp;F729&amp;", cot_prc_med = "&amp;G729&amp;", cot_prc_mediana = "&amp;H729&amp;" WHERE cot_id = "&amp;A729&amp;";"</f>
        <v>UPDATE COTACAO SET cot_id = 728, cot_blt_id = 55, cot_pap_id = 16, cot_prc_comum = 54, cot_prc_min = 48, cot_prc_max = 54, cot_prc_med = 52, cot_prc_mediana = 54 WHERE cot_id = 728;</v>
      </c>
    </row>
    <row r="730" customFormat="false" ht="14.25" hidden="false" customHeight="false" outlineLevel="0" collapsed="false">
      <c r="A730" s="0" t="n">
        <v>729</v>
      </c>
      <c r="B730" s="0" t="n">
        <f aca="false">IF('Boletins Nuppa Site'!A730&lt;&gt;0,'Boletins Nuppa Site'!A730,"NULL")</f>
        <v>55</v>
      </c>
      <c r="C730" s="0" t="n">
        <v>17</v>
      </c>
      <c r="D730" s="30" t="n">
        <f aca="false">IF('Boletins Nuppa Site'!G730&lt;&gt;0,'Boletins Nuppa Site'!G730,"NULL")</f>
        <v>5</v>
      </c>
      <c r="E730" s="30" t="n">
        <f aca="false">IF('Boletins Nuppa Site'!H730&lt;&gt;0,'Boletins Nuppa Site'!H730,"NULL")</f>
        <v>5</v>
      </c>
      <c r="F730" s="30" t="n">
        <f aca="false">IF('Boletins Nuppa Site'!I730&lt;&gt;0,'Boletins Nuppa Site'!I730,"NULL")</f>
        <v>6</v>
      </c>
      <c r="G730" s="0" t="str">
        <f aca="false">IF('Boletins Nuppa Site'!J730&lt;&gt;0,'Boletins Nuppa Site'!J730,"NULL")</f>
        <v>5.33</v>
      </c>
      <c r="H730" s="30" t="n">
        <f aca="false">IF('Boletins Nuppa Site'!K730&lt;&gt;0,'Boletins Nuppa Site'!K730,"NULL")</f>
        <v>5</v>
      </c>
      <c r="I730" s="0" t="str">
        <f aca="false">"INSERT INTO COTACAO (cot_id, cot_blt_id, cot_pap_id, cot_prc_comum, cot_prc_min, cot_prc_max, cot_prc_med, cot_prc_mediana) VALUES ("&amp;A730&amp;", "&amp;B730&amp;", "&amp;C730&amp;", "&amp;D730&amp;", "&amp;E730&amp;", "&amp;F730&amp;", "&amp;G730&amp;", "&amp;H730&amp;");"</f>
        <v>INSERT INTO COTACAO (cot_id, cot_blt_id, cot_pap_id, cot_prc_comum, cot_prc_min, cot_prc_max, cot_prc_med, cot_prc_mediana) VALUES (729, 55, 17, 5, 5, 6, 5.33, 5);</v>
      </c>
      <c r="J730" s="0" t="str">
        <f aca="false">"UPDATE COTACAO SET cot_id = "&amp;A730&amp;", cot_blt_id = "&amp;B730&amp;", cot_pap_id = "&amp;C730&amp;", cot_prc_comum = "&amp;D730&amp;", cot_prc_min = "&amp;E730&amp;", cot_prc_max = "&amp;F730&amp;", cot_prc_med = "&amp;G730&amp;", cot_prc_mediana = "&amp;H730&amp;" WHERE cot_id = "&amp;A730&amp;";"</f>
        <v>UPDATE COTACAO SET cot_id = 729, cot_blt_id = 55, cot_pap_id = 17, cot_prc_comum = 5, cot_prc_min = 5, cot_prc_max = 6, cot_prc_med = 5.33, cot_prc_mediana = 5 WHERE cot_id = 729;</v>
      </c>
    </row>
    <row r="731" customFormat="false" ht="14.25" hidden="false" customHeight="false" outlineLevel="0" collapsed="false">
      <c r="A731" s="0" t="n">
        <v>730</v>
      </c>
      <c r="B731" s="0" t="n">
        <f aca="false">IF('Boletins Nuppa Site'!A731&lt;&gt;0,'Boletins Nuppa Site'!A731,"NULL")</f>
        <v>55</v>
      </c>
      <c r="C731" s="0" t="n">
        <v>18</v>
      </c>
      <c r="D731" s="30" t="n">
        <f aca="false">IF('Boletins Nuppa Site'!G731&lt;&gt;0,'Boletins Nuppa Site'!G731,"NULL")</f>
        <v>20</v>
      </c>
      <c r="E731" s="30" t="n">
        <f aca="false">IF('Boletins Nuppa Site'!H731&lt;&gt;0,'Boletins Nuppa Site'!H731,"NULL")</f>
        <v>20</v>
      </c>
      <c r="F731" s="30" t="n">
        <f aca="false">IF('Boletins Nuppa Site'!I731&lt;&gt;0,'Boletins Nuppa Site'!I731,"NULL")</f>
        <v>20</v>
      </c>
      <c r="G731" s="30" t="n">
        <f aca="false">IF('Boletins Nuppa Site'!J731&lt;&gt;0,'Boletins Nuppa Site'!J731,"NULL")</f>
        <v>20</v>
      </c>
      <c r="H731" s="30" t="n">
        <f aca="false">IF('Boletins Nuppa Site'!K731&lt;&gt;0,'Boletins Nuppa Site'!K731,"NULL")</f>
        <v>20</v>
      </c>
      <c r="I731" s="0" t="str">
        <f aca="false">"INSERT INTO COTACAO (cot_id, cot_blt_id, cot_pap_id, cot_prc_comum, cot_prc_min, cot_prc_max, cot_prc_med, cot_prc_mediana) VALUES ("&amp;A731&amp;", "&amp;B731&amp;", "&amp;C731&amp;", "&amp;D731&amp;", "&amp;E731&amp;", "&amp;F731&amp;", "&amp;G731&amp;", "&amp;H731&amp;");"</f>
        <v>INSERT INTO COTACAO (cot_id, cot_blt_id, cot_pap_id, cot_prc_comum, cot_prc_min, cot_prc_max, cot_prc_med, cot_prc_mediana) VALUES (730, 55, 18, 20, 20, 20, 20, 20);</v>
      </c>
      <c r="J731" s="0" t="str">
        <f aca="false">"UPDATE COTACAO SET cot_id = "&amp;A731&amp;", cot_blt_id = "&amp;B731&amp;", cot_pap_id = "&amp;C731&amp;", cot_prc_comum = "&amp;D731&amp;", cot_prc_min = "&amp;E731&amp;", cot_prc_max = "&amp;F731&amp;", cot_prc_med = "&amp;G731&amp;", cot_prc_mediana = "&amp;H731&amp;" WHERE cot_id = "&amp;A731&amp;";"</f>
        <v>UPDATE COTACAO SET cot_id = 730, cot_blt_id = 55, cot_pap_id = 18, cot_prc_comum = 20, cot_prc_min = 20, cot_prc_max = 20, cot_prc_med = 20, cot_prc_mediana = 20 WHERE cot_id = 730;</v>
      </c>
    </row>
    <row r="732" customFormat="false" ht="14.25" hidden="false" customHeight="false" outlineLevel="0" collapsed="false">
      <c r="A732" s="0" t="n">
        <v>731</v>
      </c>
      <c r="B732" s="0" t="n">
        <f aca="false">IF('Boletins Nuppa Site'!A732&lt;&gt;0,'Boletins Nuppa Site'!A732,"NULL")</f>
        <v>55</v>
      </c>
      <c r="C732" s="0" t="n">
        <v>19</v>
      </c>
      <c r="D732" s="0" t="str">
        <f aca="false">IF('Boletins Nuppa Site'!G732&lt;&gt;0,'Boletins Nuppa Site'!G732,"NULL")</f>
        <v>NULL</v>
      </c>
      <c r="E732" s="30" t="n">
        <f aca="false">IF('Boletins Nuppa Site'!H732&lt;&gt;0,'Boletins Nuppa Site'!H732,"NULL")</f>
        <v>25</v>
      </c>
      <c r="F732" s="30" t="n">
        <f aca="false">IF('Boletins Nuppa Site'!I732&lt;&gt;0,'Boletins Nuppa Site'!I732,"NULL")</f>
        <v>35</v>
      </c>
      <c r="G732" s="30" t="n">
        <f aca="false">IF('Boletins Nuppa Site'!J732&lt;&gt;0,'Boletins Nuppa Site'!J732,"NULL")</f>
        <v>30</v>
      </c>
      <c r="H732" s="30" t="n">
        <f aca="false">IF('Boletins Nuppa Site'!K732&lt;&gt;0,'Boletins Nuppa Site'!K732,"NULL")</f>
        <v>30</v>
      </c>
      <c r="I732" s="0" t="str">
        <f aca="false">"INSERT INTO COTACAO (cot_id, cot_blt_id, cot_pap_id, cot_prc_comum, cot_prc_min, cot_prc_max, cot_prc_med, cot_prc_mediana) VALUES ("&amp;A732&amp;", "&amp;B732&amp;", "&amp;C732&amp;", "&amp;D732&amp;", "&amp;E732&amp;", "&amp;F732&amp;", "&amp;G732&amp;", "&amp;H732&amp;");"</f>
        <v>INSERT INTO COTACAO (cot_id, cot_blt_id, cot_pap_id, cot_prc_comum, cot_prc_min, cot_prc_max, cot_prc_med, cot_prc_mediana) VALUES (731, 55, 19, NULL, 25, 35, 30, 30);</v>
      </c>
      <c r="J732" s="0" t="str">
        <f aca="false">"UPDATE COTACAO SET cot_id = "&amp;A732&amp;", cot_blt_id = "&amp;B732&amp;", cot_pap_id = "&amp;C732&amp;", cot_prc_comum = "&amp;D732&amp;", cot_prc_min = "&amp;E732&amp;", cot_prc_max = "&amp;F732&amp;", cot_prc_med = "&amp;G732&amp;", cot_prc_mediana = "&amp;H732&amp;" WHERE cot_id = "&amp;A732&amp;";"</f>
        <v>UPDATE COTACAO SET cot_id = 731, cot_blt_id = 55, cot_pap_id = 19, cot_prc_comum = NULL, cot_prc_min = 25, cot_prc_max = 35, cot_prc_med = 30, cot_prc_mediana = 30 WHERE cot_id = 731;</v>
      </c>
    </row>
    <row r="733" customFormat="false" ht="14.25" hidden="false" customHeight="false" outlineLevel="0" collapsed="false">
      <c r="A733" s="0" t="n">
        <v>732</v>
      </c>
      <c r="B733" s="0" t="n">
        <f aca="false">IF('Boletins Nuppa Site'!A733&lt;&gt;0,'Boletins Nuppa Site'!A733,"NULL")</f>
        <v>55</v>
      </c>
      <c r="C733" s="0" t="n">
        <v>20</v>
      </c>
      <c r="D733" s="0" t="str">
        <f aca="false">IF('Boletins Nuppa Site'!G733&lt;&gt;0,'Boletins Nuppa Site'!G733,"NULL")</f>
        <v>NULL</v>
      </c>
      <c r="E733" s="30" t="n">
        <f aca="false">IF('Boletins Nuppa Site'!H733&lt;&gt;0,'Boletins Nuppa Site'!H733,"NULL")</f>
        <v>85</v>
      </c>
      <c r="F733" s="30" t="n">
        <f aca="false">IF('Boletins Nuppa Site'!I733&lt;&gt;0,'Boletins Nuppa Site'!I733,"NULL")</f>
        <v>95</v>
      </c>
      <c r="G733" s="30" t="n">
        <f aca="false">IF('Boletins Nuppa Site'!J733&lt;&gt;0,'Boletins Nuppa Site'!J733,"NULL")</f>
        <v>90</v>
      </c>
      <c r="H733" s="30" t="n">
        <f aca="false">IF('Boletins Nuppa Site'!K733&lt;&gt;0,'Boletins Nuppa Site'!K733,"NULL")</f>
        <v>90</v>
      </c>
      <c r="I733" s="0" t="str">
        <f aca="false">"INSERT INTO COTACAO (cot_id, cot_blt_id, cot_pap_id, cot_prc_comum, cot_prc_min, cot_prc_max, cot_prc_med, cot_prc_mediana) VALUES ("&amp;A733&amp;", "&amp;B733&amp;", "&amp;C733&amp;", "&amp;D733&amp;", "&amp;E733&amp;", "&amp;F733&amp;", "&amp;G733&amp;", "&amp;H733&amp;");"</f>
        <v>INSERT INTO COTACAO (cot_id, cot_blt_id, cot_pap_id, cot_prc_comum, cot_prc_min, cot_prc_max, cot_prc_med, cot_prc_mediana) VALUES (732, 55, 20, NULL, 85, 95, 90, 90);</v>
      </c>
      <c r="J733" s="0" t="str">
        <f aca="false">"UPDATE COTACAO SET cot_id = "&amp;A733&amp;", cot_blt_id = "&amp;B733&amp;", cot_pap_id = "&amp;C733&amp;", cot_prc_comum = "&amp;D733&amp;", cot_prc_min = "&amp;E733&amp;", cot_prc_max = "&amp;F733&amp;", cot_prc_med = "&amp;G733&amp;", cot_prc_mediana = "&amp;H733&amp;" WHERE cot_id = "&amp;A733&amp;";"</f>
        <v>UPDATE COTACAO SET cot_id = 732, cot_blt_id = 55, cot_pap_id = 20, cot_prc_comum = NULL, cot_prc_min = 85, cot_prc_max = 95, cot_prc_med = 90, cot_prc_mediana = 90 WHERE cot_id = 732;</v>
      </c>
    </row>
    <row r="734" customFormat="false" ht="14.25" hidden="false" customHeight="false" outlineLevel="0" collapsed="false">
      <c r="A734" s="0" t="n">
        <v>733</v>
      </c>
      <c r="B734" s="0" t="n">
        <f aca="false">IF('Boletins Nuppa Site'!A734&lt;&gt;0,'Boletins Nuppa Site'!A734,"NULL")</f>
        <v>55</v>
      </c>
      <c r="C734" s="0" t="n">
        <v>21</v>
      </c>
      <c r="D734" s="30" t="n">
        <f aca="false">IF('Boletins Nuppa Site'!G734&lt;&gt;0,'Boletins Nuppa Site'!G734,"NULL")</f>
        <v>120</v>
      </c>
      <c r="E734" s="30" t="n">
        <f aca="false">IF('Boletins Nuppa Site'!H734&lt;&gt;0,'Boletins Nuppa Site'!H734,"NULL")</f>
        <v>100</v>
      </c>
      <c r="F734" s="30" t="n">
        <f aca="false">IF('Boletins Nuppa Site'!I734&lt;&gt;0,'Boletins Nuppa Site'!I734,"NULL")</f>
        <v>120</v>
      </c>
      <c r="G734" s="30" t="n">
        <f aca="false">IF('Boletins Nuppa Site'!J734&lt;&gt;0,'Boletins Nuppa Site'!J734,"NULL")</f>
        <v>116</v>
      </c>
      <c r="H734" s="30" t="n">
        <f aca="false">IF('Boletins Nuppa Site'!K734&lt;&gt;0,'Boletins Nuppa Site'!K734,"NULL")</f>
        <v>120</v>
      </c>
      <c r="I734" s="0" t="str">
        <f aca="false">"INSERT INTO COTACAO (cot_id, cot_blt_id, cot_pap_id, cot_prc_comum, cot_prc_min, cot_prc_max, cot_prc_med, cot_prc_mediana) VALUES ("&amp;A734&amp;", "&amp;B734&amp;", "&amp;C734&amp;", "&amp;D734&amp;", "&amp;E734&amp;", "&amp;F734&amp;", "&amp;G734&amp;", "&amp;H734&amp;");"</f>
        <v>INSERT INTO COTACAO (cot_id, cot_blt_id, cot_pap_id, cot_prc_comum, cot_prc_min, cot_prc_max, cot_prc_med, cot_prc_mediana) VALUES (733, 55, 21, 120, 100, 120, 116, 120);</v>
      </c>
      <c r="J734" s="0" t="str">
        <f aca="false">"UPDATE COTACAO SET cot_id = "&amp;A734&amp;", cot_blt_id = "&amp;B734&amp;", cot_pap_id = "&amp;C734&amp;", cot_prc_comum = "&amp;D734&amp;", cot_prc_min = "&amp;E734&amp;", cot_prc_max = "&amp;F734&amp;", cot_prc_med = "&amp;G734&amp;", cot_prc_mediana = "&amp;H734&amp;" WHERE cot_id = "&amp;A734&amp;";"</f>
        <v>UPDATE COTACAO SET cot_id = 733, cot_blt_id = 55, cot_pap_id = 21, cot_prc_comum = 120, cot_prc_min = 100, cot_prc_max = 120, cot_prc_med = 116, cot_prc_mediana = 120 WHERE cot_id = 733;</v>
      </c>
    </row>
    <row r="735" customFormat="false" ht="14.25" hidden="false" customHeight="false" outlineLevel="0" collapsed="false">
      <c r="A735" s="0" t="n">
        <v>734</v>
      </c>
      <c r="B735" s="0" t="n">
        <f aca="false">IF('Boletins Nuppa Site'!A735&lt;&gt;0,'Boletins Nuppa Site'!A735,"NULL")</f>
        <v>55</v>
      </c>
      <c r="C735" s="0" t="n">
        <v>22</v>
      </c>
      <c r="D735" s="30" t="n">
        <f aca="false">IF('Boletins Nuppa Site'!G735&lt;&gt;0,'Boletins Nuppa Site'!G735,"NULL")</f>
        <v>60</v>
      </c>
      <c r="E735" s="30" t="n">
        <f aca="false">IF('Boletins Nuppa Site'!H735&lt;&gt;0,'Boletins Nuppa Site'!H735,"NULL")</f>
        <v>40</v>
      </c>
      <c r="F735" s="30" t="n">
        <f aca="false">IF('Boletins Nuppa Site'!I735&lt;&gt;0,'Boletins Nuppa Site'!I735,"NULL")</f>
        <v>70</v>
      </c>
      <c r="G735" s="0" t="str">
        <f aca="false">IF('Boletins Nuppa Site'!J735&lt;&gt;0,'Boletins Nuppa Site'!J735,"NULL")</f>
        <v>57.5</v>
      </c>
      <c r="H735" s="30" t="n">
        <f aca="false">IF('Boletins Nuppa Site'!K735&lt;&gt;0,'Boletins Nuppa Site'!K735,"NULL")</f>
        <v>60</v>
      </c>
      <c r="I735" s="0" t="str">
        <f aca="false">"INSERT INTO COTACAO (cot_id, cot_blt_id, cot_pap_id, cot_prc_comum, cot_prc_min, cot_prc_max, cot_prc_med, cot_prc_mediana) VALUES ("&amp;A735&amp;", "&amp;B735&amp;", "&amp;C735&amp;", "&amp;D735&amp;", "&amp;E735&amp;", "&amp;F735&amp;", "&amp;G735&amp;", "&amp;H735&amp;");"</f>
        <v>INSERT INTO COTACAO (cot_id, cot_blt_id, cot_pap_id, cot_prc_comum, cot_prc_min, cot_prc_max, cot_prc_med, cot_prc_mediana) VALUES (734, 55, 22, 60, 40, 70, 57.5, 60);</v>
      </c>
      <c r="J735" s="0" t="str">
        <f aca="false">"UPDATE COTACAO SET cot_id = "&amp;A735&amp;", cot_blt_id = "&amp;B735&amp;", cot_pap_id = "&amp;C735&amp;", cot_prc_comum = "&amp;D735&amp;", cot_prc_min = "&amp;E735&amp;", cot_prc_max = "&amp;F735&amp;", cot_prc_med = "&amp;G735&amp;", cot_prc_mediana = "&amp;H735&amp;" WHERE cot_id = "&amp;A735&amp;";"</f>
        <v>UPDATE COTACAO SET cot_id = 734, cot_blt_id = 55, cot_pap_id = 22, cot_prc_comum = 60, cot_prc_min = 40, cot_prc_max = 70, cot_prc_med = 57.5, cot_prc_mediana = 60 WHERE cot_id = 734;</v>
      </c>
    </row>
    <row r="736" customFormat="false" ht="14.25" hidden="false" customHeight="false" outlineLevel="0" collapsed="false">
      <c r="A736" s="0" t="n">
        <v>735</v>
      </c>
      <c r="B736" s="0" t="n">
        <f aca="false">IF('Boletins Nuppa Site'!A736&lt;&gt;0,'Boletins Nuppa Site'!A736,"NULL")</f>
        <v>55</v>
      </c>
      <c r="C736" s="0" t="n">
        <v>23</v>
      </c>
      <c r="D736" s="30" t="n">
        <f aca="false">IF('Boletins Nuppa Site'!G736&lt;&gt;0,'Boletins Nuppa Site'!G736,"NULL")</f>
        <v>40</v>
      </c>
      <c r="E736" s="30" t="n">
        <f aca="false">IF('Boletins Nuppa Site'!H736&lt;&gt;0,'Boletins Nuppa Site'!H736,"NULL")</f>
        <v>35</v>
      </c>
      <c r="F736" s="30" t="n">
        <f aca="false">IF('Boletins Nuppa Site'!I736&lt;&gt;0,'Boletins Nuppa Site'!I736,"NULL")</f>
        <v>55</v>
      </c>
      <c r="G736" s="0" t="str">
        <f aca="false">IF('Boletins Nuppa Site'!J736&lt;&gt;0,'Boletins Nuppa Site'!J736,"NULL")</f>
        <v>42.5</v>
      </c>
      <c r="H736" s="30" t="n">
        <f aca="false">IF('Boletins Nuppa Site'!K736&lt;&gt;0,'Boletins Nuppa Site'!K736,"NULL")</f>
        <v>40</v>
      </c>
      <c r="I736" s="0" t="str">
        <f aca="false">"INSERT INTO COTACAO (cot_id, cot_blt_id, cot_pap_id, cot_prc_comum, cot_prc_min, cot_prc_max, cot_prc_med, cot_prc_mediana) VALUES ("&amp;A736&amp;", "&amp;B736&amp;", "&amp;C736&amp;", "&amp;D736&amp;", "&amp;E736&amp;", "&amp;F736&amp;", "&amp;G736&amp;", "&amp;H736&amp;");"</f>
        <v>INSERT INTO COTACAO (cot_id, cot_blt_id, cot_pap_id, cot_prc_comum, cot_prc_min, cot_prc_max, cot_prc_med, cot_prc_mediana) VALUES (735, 55, 23, 40, 35, 55, 42.5, 40);</v>
      </c>
      <c r="J736" s="0" t="str">
        <f aca="false">"UPDATE COTACAO SET cot_id = "&amp;A736&amp;", cot_blt_id = "&amp;B736&amp;", cot_pap_id = "&amp;C736&amp;", cot_prc_comum = "&amp;D736&amp;", cot_prc_min = "&amp;E736&amp;", cot_prc_max = "&amp;F736&amp;", cot_prc_med = "&amp;G736&amp;", cot_prc_mediana = "&amp;H736&amp;" WHERE cot_id = "&amp;A736&amp;";"</f>
        <v>UPDATE COTACAO SET cot_id = 735, cot_blt_id = 55, cot_pap_id = 23, cot_prc_comum = 40, cot_prc_min = 35, cot_prc_max = 55, cot_prc_med = 42.5, cot_prc_mediana = 40 WHERE cot_id = 735;</v>
      </c>
    </row>
    <row r="737" customFormat="false" ht="14.25" hidden="false" customHeight="false" outlineLevel="0" collapsed="false">
      <c r="A737" s="0" t="n">
        <v>736</v>
      </c>
      <c r="B737" s="0" t="n">
        <f aca="false">IF('Boletins Nuppa Site'!A737&lt;&gt;0,'Boletins Nuppa Site'!A737,"NULL")</f>
        <v>55</v>
      </c>
      <c r="C737" s="0" t="n">
        <v>24</v>
      </c>
      <c r="D737" s="0" t="str">
        <f aca="false">IF('Boletins Nuppa Site'!G737&lt;&gt;0,'Boletins Nuppa Site'!G737,"NULL")</f>
        <v>NULL</v>
      </c>
      <c r="E737" s="30" t="n">
        <f aca="false">IF('Boletins Nuppa Site'!H737&lt;&gt;0,'Boletins Nuppa Site'!H737,"NULL")</f>
        <v>90</v>
      </c>
      <c r="F737" s="30" t="n">
        <f aca="false">IF('Boletins Nuppa Site'!I737&lt;&gt;0,'Boletins Nuppa Site'!I737,"NULL")</f>
        <v>110</v>
      </c>
      <c r="G737" s="30" t="n">
        <f aca="false">IF('Boletins Nuppa Site'!J737&lt;&gt;0,'Boletins Nuppa Site'!J737,"NULL")</f>
        <v>100</v>
      </c>
      <c r="H737" s="30" t="n">
        <f aca="false">IF('Boletins Nuppa Site'!K737&lt;&gt;0,'Boletins Nuppa Site'!K737,"NULL")</f>
        <v>100</v>
      </c>
      <c r="I737" s="0" t="str">
        <f aca="false">"INSERT INTO COTACAO (cot_id, cot_blt_id, cot_pap_id, cot_prc_comum, cot_prc_min, cot_prc_max, cot_prc_med, cot_prc_mediana) VALUES ("&amp;A737&amp;", "&amp;B737&amp;", "&amp;C737&amp;", "&amp;D737&amp;", "&amp;E737&amp;", "&amp;F737&amp;", "&amp;G737&amp;", "&amp;H737&amp;");"</f>
        <v>INSERT INTO COTACAO (cot_id, cot_blt_id, cot_pap_id, cot_prc_comum, cot_prc_min, cot_prc_max, cot_prc_med, cot_prc_mediana) VALUES (736, 55, 24, NULL, 90, 110, 100, 100);</v>
      </c>
      <c r="J737" s="0" t="str">
        <f aca="false">"UPDATE COTACAO SET cot_id = "&amp;A737&amp;", cot_blt_id = "&amp;B737&amp;", cot_pap_id = "&amp;C737&amp;", cot_prc_comum = "&amp;D737&amp;", cot_prc_min = "&amp;E737&amp;", cot_prc_max = "&amp;F737&amp;", cot_prc_med = "&amp;G737&amp;", cot_prc_mediana = "&amp;H737&amp;" WHERE cot_id = "&amp;A737&amp;";"</f>
        <v>UPDATE COTACAO SET cot_id = 736, cot_blt_id = 55, cot_pap_id = 24, cot_prc_comum = NULL, cot_prc_min = 90, cot_prc_max = 110, cot_prc_med = 100, cot_prc_mediana = 100 WHERE cot_id = 736;</v>
      </c>
    </row>
    <row r="738" customFormat="false" ht="14.25" hidden="false" customHeight="false" outlineLevel="0" collapsed="false">
      <c r="A738" s="0" t="n">
        <v>737</v>
      </c>
      <c r="B738" s="0" t="n">
        <f aca="false">IF('Boletins Nuppa Site'!A738&lt;&gt;0,'Boletins Nuppa Site'!A738,"NULL")</f>
        <v>55</v>
      </c>
      <c r="C738" s="0" t="n">
        <v>25</v>
      </c>
      <c r="D738" s="30" t="n">
        <f aca="false">IF('Boletins Nuppa Site'!G738&lt;&gt;0,'Boletins Nuppa Site'!G738,"NULL")</f>
        <v>120</v>
      </c>
      <c r="E738" s="30" t="n">
        <f aca="false">IF('Boletins Nuppa Site'!H738&lt;&gt;0,'Boletins Nuppa Site'!H738,"NULL")</f>
        <v>80</v>
      </c>
      <c r="F738" s="30" t="n">
        <f aca="false">IF('Boletins Nuppa Site'!I738&lt;&gt;0,'Boletins Nuppa Site'!I738,"NULL")</f>
        <v>120</v>
      </c>
      <c r="G738" s="30" t="n">
        <f aca="false">IF('Boletins Nuppa Site'!J738&lt;&gt;0,'Boletins Nuppa Site'!J738,"NULL")</f>
        <v>110</v>
      </c>
      <c r="H738" s="30" t="n">
        <f aca="false">IF('Boletins Nuppa Site'!K738&lt;&gt;0,'Boletins Nuppa Site'!K738,"NULL")</f>
        <v>120</v>
      </c>
      <c r="I738" s="0" t="str">
        <f aca="false">"INSERT INTO COTACAO (cot_id, cot_blt_id, cot_pap_id, cot_prc_comum, cot_prc_min, cot_prc_max, cot_prc_med, cot_prc_mediana) VALUES ("&amp;A738&amp;", "&amp;B738&amp;", "&amp;C738&amp;", "&amp;D738&amp;", "&amp;E738&amp;", "&amp;F738&amp;", "&amp;G738&amp;", "&amp;H738&amp;");"</f>
        <v>INSERT INTO COTACAO (cot_id, cot_blt_id, cot_pap_id, cot_prc_comum, cot_prc_min, cot_prc_max, cot_prc_med, cot_prc_mediana) VALUES (737, 55, 25, 120, 80, 120, 110, 120);</v>
      </c>
      <c r="J738" s="0" t="str">
        <f aca="false">"UPDATE COTACAO SET cot_id = "&amp;A738&amp;", cot_blt_id = "&amp;B738&amp;", cot_pap_id = "&amp;C738&amp;", cot_prc_comum = "&amp;D738&amp;", cot_prc_min = "&amp;E738&amp;", cot_prc_max = "&amp;F738&amp;", cot_prc_med = "&amp;G738&amp;", cot_prc_mediana = "&amp;H738&amp;" WHERE cot_id = "&amp;A738&amp;";"</f>
        <v>UPDATE COTACAO SET cot_id = 737, cot_blt_id = 55, cot_pap_id = 25, cot_prc_comum = 120, cot_prc_min = 80, cot_prc_max = 120, cot_prc_med = 110, cot_prc_mediana = 120 WHERE cot_id = 737;</v>
      </c>
    </row>
    <row r="739" customFormat="false" ht="14.25" hidden="false" customHeight="false" outlineLevel="0" collapsed="false">
      <c r="A739" s="0" t="n">
        <v>738</v>
      </c>
      <c r="B739" s="0" t="n">
        <f aca="false">IF('Boletins Nuppa Site'!A739&lt;&gt;0,'Boletins Nuppa Site'!A739,"NULL")</f>
        <v>55</v>
      </c>
      <c r="C739" s="0" t="n">
        <v>26</v>
      </c>
      <c r="D739" s="0" t="str">
        <f aca="false">IF('Boletins Nuppa Site'!G739&lt;&gt;0,'Boletins Nuppa Site'!G739,"NULL")</f>
        <v>NULL</v>
      </c>
      <c r="E739" s="30" t="n">
        <f aca="false">IF('Boletins Nuppa Site'!H739&lt;&gt;0,'Boletins Nuppa Site'!H739,"NULL")</f>
        <v>60</v>
      </c>
      <c r="F739" s="30" t="n">
        <f aca="false">IF('Boletins Nuppa Site'!I739&lt;&gt;0,'Boletins Nuppa Site'!I739,"NULL")</f>
        <v>160</v>
      </c>
      <c r="G739" s="30" t="n">
        <f aca="false">IF('Boletins Nuppa Site'!J739&lt;&gt;0,'Boletins Nuppa Site'!J739,"NULL")</f>
        <v>118</v>
      </c>
      <c r="H739" s="30" t="n">
        <f aca="false">IF('Boletins Nuppa Site'!K739&lt;&gt;0,'Boletins Nuppa Site'!K739,"NULL")</f>
        <v>130</v>
      </c>
      <c r="I739" s="0" t="str">
        <f aca="false">"INSERT INTO COTACAO (cot_id, cot_blt_id, cot_pap_id, cot_prc_comum, cot_prc_min, cot_prc_max, cot_prc_med, cot_prc_mediana) VALUES ("&amp;A739&amp;", "&amp;B739&amp;", "&amp;C739&amp;", "&amp;D739&amp;", "&amp;E739&amp;", "&amp;F739&amp;", "&amp;G739&amp;", "&amp;H739&amp;");"</f>
        <v>INSERT INTO COTACAO (cot_id, cot_blt_id, cot_pap_id, cot_prc_comum, cot_prc_min, cot_prc_max, cot_prc_med, cot_prc_mediana) VALUES (738, 55, 26, NULL, 60, 160, 118, 130);</v>
      </c>
      <c r="J739" s="0" t="str">
        <f aca="false">"UPDATE COTACAO SET cot_id = "&amp;A739&amp;", cot_blt_id = "&amp;B739&amp;", cot_pap_id = "&amp;C739&amp;", cot_prc_comum = "&amp;D739&amp;", cot_prc_min = "&amp;E739&amp;", cot_prc_max = "&amp;F739&amp;", cot_prc_med = "&amp;G739&amp;", cot_prc_mediana = "&amp;H739&amp;" WHERE cot_id = "&amp;A739&amp;";"</f>
        <v>UPDATE COTACAO SET cot_id = 738, cot_blt_id = 55, cot_pap_id = 26, cot_prc_comum = NULL, cot_prc_min = 60, cot_prc_max = 160, cot_prc_med = 118, cot_prc_mediana = 130 WHERE cot_id = 738;</v>
      </c>
    </row>
    <row r="740" customFormat="false" ht="14.25" hidden="false" customHeight="false" outlineLevel="0" collapsed="false">
      <c r="A740" s="0" t="n">
        <v>739</v>
      </c>
      <c r="B740" s="0" t="n">
        <f aca="false">IF('Boletins Nuppa Site'!A740&lt;&gt;0,'Boletins Nuppa Site'!A740,"NULL")</f>
        <v>55</v>
      </c>
      <c r="C740" s="0" t="n">
        <v>27</v>
      </c>
      <c r="D740" s="30" t="n">
        <f aca="false">IF('Boletins Nuppa Site'!G740&lt;&gt;0,'Boletins Nuppa Site'!G740,"NULL")</f>
        <v>80</v>
      </c>
      <c r="E740" s="30" t="n">
        <f aca="false">IF('Boletins Nuppa Site'!H740&lt;&gt;0,'Boletins Nuppa Site'!H740,"NULL")</f>
        <v>75</v>
      </c>
      <c r="F740" s="30" t="n">
        <f aca="false">IF('Boletins Nuppa Site'!I740&lt;&gt;0,'Boletins Nuppa Site'!I740,"NULL")</f>
        <v>110</v>
      </c>
      <c r="G740" s="30" t="n">
        <f aca="false">IF('Boletins Nuppa Site'!J740&lt;&gt;0,'Boletins Nuppa Site'!J740,"NULL")</f>
        <v>90</v>
      </c>
      <c r="H740" s="30" t="n">
        <f aca="false">IF('Boletins Nuppa Site'!K740&lt;&gt;0,'Boletins Nuppa Site'!K740,"NULL")</f>
        <v>80</v>
      </c>
      <c r="I740" s="0" t="str">
        <f aca="false">"INSERT INTO COTACAO (cot_id, cot_blt_id, cot_pap_id, cot_prc_comum, cot_prc_min, cot_prc_max, cot_prc_med, cot_prc_mediana) VALUES ("&amp;A740&amp;", "&amp;B740&amp;", "&amp;C740&amp;", "&amp;D740&amp;", "&amp;E740&amp;", "&amp;F740&amp;", "&amp;G740&amp;", "&amp;H740&amp;");"</f>
        <v>INSERT INTO COTACAO (cot_id, cot_blt_id, cot_pap_id, cot_prc_comum, cot_prc_min, cot_prc_max, cot_prc_med, cot_prc_mediana) VALUES (739, 55, 27, 80, 75, 110, 90, 80);</v>
      </c>
      <c r="J740" s="0" t="str">
        <f aca="false">"UPDATE COTACAO SET cot_id = "&amp;A740&amp;", cot_blt_id = "&amp;B740&amp;", cot_pap_id = "&amp;C740&amp;", cot_prc_comum = "&amp;D740&amp;", cot_prc_min = "&amp;E740&amp;", cot_prc_max = "&amp;F740&amp;", cot_prc_med = "&amp;G740&amp;", cot_prc_mediana = "&amp;H740&amp;" WHERE cot_id = "&amp;A740&amp;";"</f>
        <v>UPDATE COTACAO SET cot_id = 739, cot_blt_id = 55, cot_pap_id = 27, cot_prc_comum = 80, cot_prc_min = 75, cot_prc_max = 110, cot_prc_med = 90, cot_prc_mediana = 80 WHERE cot_id = 739;</v>
      </c>
    </row>
    <row r="741" customFormat="false" ht="14.25" hidden="false" customHeight="false" outlineLevel="0" collapsed="false">
      <c r="A741" s="0" t="n">
        <v>740</v>
      </c>
      <c r="B741" s="0" t="n">
        <f aca="false">IF('Boletins Nuppa Site'!A741&lt;&gt;0,'Boletins Nuppa Site'!A741,"NULL")</f>
        <v>55</v>
      </c>
      <c r="C741" s="0" t="n">
        <v>28</v>
      </c>
      <c r="D741" s="30" t="n">
        <f aca="false">IF('Boletins Nuppa Site'!G741&lt;&gt;0,'Boletins Nuppa Site'!G741,"NULL")</f>
        <v>100</v>
      </c>
      <c r="E741" s="30" t="n">
        <f aca="false">IF('Boletins Nuppa Site'!H741&lt;&gt;0,'Boletins Nuppa Site'!H741,"NULL")</f>
        <v>70</v>
      </c>
      <c r="F741" s="30" t="n">
        <f aca="false">IF('Boletins Nuppa Site'!I741&lt;&gt;0,'Boletins Nuppa Site'!I741,"NULL")</f>
        <v>100</v>
      </c>
      <c r="G741" s="0" t="str">
        <f aca="false">IF('Boletins Nuppa Site'!J741&lt;&gt;0,'Boletins Nuppa Site'!J741,"NULL")</f>
        <v>87.5</v>
      </c>
      <c r="H741" s="30" t="n">
        <f aca="false">IF('Boletins Nuppa Site'!K741&lt;&gt;0,'Boletins Nuppa Site'!K741,"NULL")</f>
        <v>90</v>
      </c>
      <c r="I741" s="0" t="str">
        <f aca="false">"INSERT INTO COTACAO (cot_id, cot_blt_id, cot_pap_id, cot_prc_comum, cot_prc_min, cot_prc_max, cot_prc_med, cot_prc_mediana) VALUES ("&amp;A741&amp;", "&amp;B741&amp;", "&amp;C741&amp;", "&amp;D741&amp;", "&amp;E741&amp;", "&amp;F741&amp;", "&amp;G741&amp;", "&amp;H741&amp;");"</f>
        <v>INSERT INTO COTACAO (cot_id, cot_blt_id, cot_pap_id, cot_prc_comum, cot_prc_min, cot_prc_max, cot_prc_med, cot_prc_mediana) VALUES (740, 55, 28, 100, 70, 100, 87.5, 90);</v>
      </c>
      <c r="J741" s="0" t="str">
        <f aca="false">"UPDATE COTACAO SET cot_id = "&amp;A741&amp;", cot_blt_id = "&amp;B741&amp;", cot_pap_id = "&amp;C741&amp;", cot_prc_comum = "&amp;D741&amp;", cot_prc_min = "&amp;E741&amp;", cot_prc_max = "&amp;F741&amp;", cot_prc_med = "&amp;G741&amp;", cot_prc_mediana = "&amp;H741&amp;" WHERE cot_id = "&amp;A741&amp;";"</f>
        <v>UPDATE COTACAO SET cot_id = 740, cot_blt_id = 55, cot_pap_id = 28, cot_prc_comum = 100, cot_prc_min = 70, cot_prc_max = 100, cot_prc_med = 87.5, cot_prc_mediana = 90 WHERE cot_id = 740;</v>
      </c>
    </row>
    <row r="742" customFormat="false" ht="14.25" hidden="false" customHeight="false" outlineLevel="0" collapsed="false">
      <c r="A742" s="0" t="n">
        <v>741</v>
      </c>
      <c r="B742" s="0" t="n">
        <f aca="false">IF('Boletins Nuppa Site'!A742&lt;&gt;0,'Boletins Nuppa Site'!A742,"NULL")</f>
        <v>55</v>
      </c>
      <c r="C742" s="0" t="n">
        <v>29</v>
      </c>
      <c r="D742" s="0" t="str">
        <f aca="false">IF('Boletins Nuppa Site'!G742&lt;&gt;0,'Boletins Nuppa Site'!G742,"NULL")</f>
        <v>NULL</v>
      </c>
      <c r="E742" s="30" t="n">
        <f aca="false">IF('Boletins Nuppa Site'!H742&lt;&gt;0,'Boletins Nuppa Site'!H742,"NULL")</f>
        <v>40</v>
      </c>
      <c r="F742" s="30" t="n">
        <f aca="false">IF('Boletins Nuppa Site'!I742&lt;&gt;0,'Boletins Nuppa Site'!I742,"NULL")</f>
        <v>60</v>
      </c>
      <c r="G742" s="0" t="str">
        <f aca="false">IF('Boletins Nuppa Site'!J742&lt;&gt;0,'Boletins Nuppa Site'!J742,"NULL")</f>
        <v>51.25</v>
      </c>
      <c r="H742" s="0" t="str">
        <f aca="false">IF('Boletins Nuppa Site'!K742&lt;&gt;0,'Boletins Nuppa Site'!K742,"NULL")</f>
        <v>52.5</v>
      </c>
      <c r="I742" s="0" t="str">
        <f aca="false">"INSERT INTO COTACAO (cot_id, cot_blt_id, cot_pap_id, cot_prc_comum, cot_prc_min, cot_prc_max, cot_prc_med, cot_prc_mediana) VALUES ("&amp;A742&amp;", "&amp;B742&amp;", "&amp;C742&amp;", "&amp;D742&amp;", "&amp;E742&amp;", "&amp;F742&amp;", "&amp;G742&amp;", "&amp;H742&amp;");"</f>
        <v>INSERT INTO COTACAO (cot_id, cot_blt_id, cot_pap_id, cot_prc_comum, cot_prc_min, cot_prc_max, cot_prc_med, cot_prc_mediana) VALUES (741, 55, 29, NULL, 40, 60, 51.25, 52.5);</v>
      </c>
      <c r="J742" s="0" t="str">
        <f aca="false">"UPDATE COTACAO SET cot_id = "&amp;A742&amp;", cot_blt_id = "&amp;B742&amp;", cot_pap_id = "&amp;C742&amp;", cot_prc_comum = "&amp;D742&amp;", cot_prc_min = "&amp;E742&amp;", cot_prc_max = "&amp;F742&amp;", cot_prc_med = "&amp;G742&amp;", cot_prc_mediana = "&amp;H742&amp;" WHERE cot_id = "&amp;A742&amp;";"</f>
        <v>UPDATE COTACAO SET cot_id = 741, cot_blt_id = 55, cot_pap_id = 29, cot_prc_comum = NULL, cot_prc_min = 40, cot_prc_max = 60, cot_prc_med = 51.25, cot_prc_mediana = 52.5 WHERE cot_id = 741;</v>
      </c>
    </row>
    <row r="743" customFormat="false" ht="14.25" hidden="false" customHeight="false" outlineLevel="0" collapsed="false">
      <c r="A743" s="0" t="n">
        <v>742</v>
      </c>
      <c r="B743" s="0" t="n">
        <f aca="false">IF('Boletins Nuppa Site'!A743&lt;&gt;0,'Boletins Nuppa Site'!A743,"NULL")</f>
        <v>55</v>
      </c>
      <c r="C743" s="0" t="n">
        <v>30</v>
      </c>
      <c r="D743" s="30" t="n">
        <f aca="false">IF('Boletins Nuppa Site'!G743&lt;&gt;0,'Boletins Nuppa Site'!G743,"NULL")</f>
        <v>70</v>
      </c>
      <c r="E743" s="30" t="n">
        <f aca="false">IF('Boletins Nuppa Site'!H743&lt;&gt;0,'Boletins Nuppa Site'!H743,"NULL")</f>
        <v>65</v>
      </c>
      <c r="F743" s="30" t="n">
        <f aca="false">IF('Boletins Nuppa Site'!I743&lt;&gt;0,'Boletins Nuppa Site'!I743,"NULL")</f>
        <v>70</v>
      </c>
      <c r="G743" s="0" t="str">
        <f aca="false">IF('Boletins Nuppa Site'!J743&lt;&gt;0,'Boletins Nuppa Site'!J743,"NULL")</f>
        <v>68.75</v>
      </c>
      <c r="H743" s="30" t="n">
        <f aca="false">IF('Boletins Nuppa Site'!K743&lt;&gt;0,'Boletins Nuppa Site'!K743,"NULL")</f>
        <v>70</v>
      </c>
      <c r="I743" s="0" t="str">
        <f aca="false">"INSERT INTO COTACAO (cot_id, cot_blt_id, cot_pap_id, cot_prc_comum, cot_prc_min, cot_prc_max, cot_prc_med, cot_prc_mediana) VALUES ("&amp;A743&amp;", "&amp;B743&amp;", "&amp;C743&amp;", "&amp;D743&amp;", "&amp;E743&amp;", "&amp;F743&amp;", "&amp;G743&amp;", "&amp;H743&amp;");"</f>
        <v>INSERT INTO COTACAO (cot_id, cot_blt_id, cot_pap_id, cot_prc_comum, cot_prc_min, cot_prc_max, cot_prc_med, cot_prc_mediana) VALUES (742, 55, 30, 70, 65, 70, 68.75, 70);</v>
      </c>
      <c r="J743" s="0" t="str">
        <f aca="false">"UPDATE COTACAO SET cot_id = "&amp;A743&amp;", cot_blt_id = "&amp;B743&amp;", cot_pap_id = "&amp;C743&amp;", cot_prc_comum = "&amp;D743&amp;", cot_prc_min = "&amp;E743&amp;", cot_prc_max = "&amp;F743&amp;", cot_prc_med = "&amp;G743&amp;", cot_prc_mediana = "&amp;H743&amp;" WHERE cot_id = "&amp;A743&amp;";"</f>
        <v>UPDATE COTACAO SET cot_id = 742, cot_blt_id = 55, cot_pap_id = 30, cot_prc_comum = 70, cot_prc_min = 65, cot_prc_max = 70, cot_prc_med = 68.75, cot_prc_mediana = 70 WHERE cot_id = 742;</v>
      </c>
    </row>
    <row r="744" customFormat="false" ht="14.25" hidden="false" customHeight="false" outlineLevel="0" collapsed="false">
      <c r="A744" s="0" t="n">
        <v>743</v>
      </c>
      <c r="B744" s="0" t="n">
        <f aca="false">IF('Boletins Nuppa Site'!A744&lt;&gt;0,'Boletins Nuppa Site'!A744,"NULL")</f>
        <v>55</v>
      </c>
      <c r="C744" s="0" t="n">
        <v>31</v>
      </c>
      <c r="D744" s="30" t="n">
        <f aca="false">IF('Boletins Nuppa Site'!G744&lt;&gt;0,'Boletins Nuppa Site'!G744,"NULL")</f>
        <v>120</v>
      </c>
      <c r="E744" s="30" t="n">
        <f aca="false">IF('Boletins Nuppa Site'!H744&lt;&gt;0,'Boletins Nuppa Site'!H744,"NULL")</f>
        <v>100</v>
      </c>
      <c r="F744" s="30" t="n">
        <f aca="false">IF('Boletins Nuppa Site'!I744&lt;&gt;0,'Boletins Nuppa Site'!I744,"NULL")</f>
        <v>125</v>
      </c>
      <c r="G744" s="0" t="str">
        <f aca="false">IF('Boletins Nuppa Site'!J744&lt;&gt;0,'Boletins Nuppa Site'!J744,"NULL")</f>
        <v>116.25</v>
      </c>
      <c r="H744" s="30" t="n">
        <f aca="false">IF('Boletins Nuppa Site'!K744&lt;&gt;0,'Boletins Nuppa Site'!K744,"NULL")</f>
        <v>120</v>
      </c>
      <c r="I744" s="0" t="str">
        <f aca="false">"INSERT INTO COTACAO (cot_id, cot_blt_id, cot_pap_id, cot_prc_comum, cot_prc_min, cot_prc_max, cot_prc_med, cot_prc_mediana) VALUES ("&amp;A744&amp;", "&amp;B744&amp;", "&amp;C744&amp;", "&amp;D744&amp;", "&amp;E744&amp;", "&amp;F744&amp;", "&amp;G744&amp;", "&amp;H744&amp;");"</f>
        <v>INSERT INTO COTACAO (cot_id, cot_blt_id, cot_pap_id, cot_prc_comum, cot_prc_min, cot_prc_max, cot_prc_med, cot_prc_mediana) VALUES (743, 55, 31, 120, 100, 125, 116.25, 120);</v>
      </c>
      <c r="J744" s="0" t="str">
        <f aca="false">"UPDATE COTACAO SET cot_id = "&amp;A744&amp;", cot_blt_id = "&amp;B744&amp;", cot_pap_id = "&amp;C744&amp;", cot_prc_comum = "&amp;D744&amp;", cot_prc_min = "&amp;E744&amp;", cot_prc_max = "&amp;F744&amp;", cot_prc_med = "&amp;G744&amp;", cot_prc_mediana = "&amp;H744&amp;" WHERE cot_id = "&amp;A744&amp;";"</f>
        <v>UPDATE COTACAO SET cot_id = 743, cot_blt_id = 55, cot_pap_id = 31, cot_prc_comum = 120, cot_prc_min = 100, cot_prc_max = 125, cot_prc_med = 116.25, cot_prc_mediana = 120 WHERE cot_id = 743;</v>
      </c>
    </row>
    <row r="745" customFormat="false" ht="14.25" hidden="false" customHeight="false" outlineLevel="0" collapsed="false">
      <c r="A745" s="0" t="n">
        <v>744</v>
      </c>
      <c r="B745" s="0" t="n">
        <f aca="false">IF('Boletins Nuppa Site'!A745&lt;&gt;0,'Boletins Nuppa Site'!A745,"NULL")</f>
        <v>55</v>
      </c>
      <c r="C745" s="0" t="n">
        <v>32</v>
      </c>
      <c r="D745" s="30" t="n">
        <f aca="false">IF('Boletins Nuppa Site'!G745&lt;&gt;0,'Boletins Nuppa Site'!G745,"NULL")</f>
        <v>50</v>
      </c>
      <c r="E745" s="30" t="n">
        <f aca="false">IF('Boletins Nuppa Site'!H745&lt;&gt;0,'Boletins Nuppa Site'!H745,"NULL")</f>
        <v>40</v>
      </c>
      <c r="F745" s="30" t="n">
        <f aca="false">IF('Boletins Nuppa Site'!I745&lt;&gt;0,'Boletins Nuppa Site'!I745,"NULL")</f>
        <v>80</v>
      </c>
      <c r="G745" s="0" t="str">
        <f aca="false">IF('Boletins Nuppa Site'!J745&lt;&gt;0,'Boletins Nuppa Site'!J745,"NULL")</f>
        <v>53.33</v>
      </c>
      <c r="H745" s="30" t="n">
        <f aca="false">IF('Boletins Nuppa Site'!K745&lt;&gt;0,'Boletins Nuppa Site'!K745,"NULL")</f>
        <v>50</v>
      </c>
      <c r="I745" s="0" t="str">
        <f aca="false">"INSERT INTO COTACAO (cot_id, cot_blt_id, cot_pap_id, cot_prc_comum, cot_prc_min, cot_prc_max, cot_prc_med, cot_prc_mediana) VALUES ("&amp;A745&amp;", "&amp;B745&amp;", "&amp;C745&amp;", "&amp;D745&amp;", "&amp;E745&amp;", "&amp;F745&amp;", "&amp;G745&amp;", "&amp;H745&amp;");"</f>
        <v>INSERT INTO COTACAO (cot_id, cot_blt_id, cot_pap_id, cot_prc_comum, cot_prc_min, cot_prc_max, cot_prc_med, cot_prc_mediana) VALUES (744, 55, 32, 50, 40, 80, 53.33, 50);</v>
      </c>
      <c r="J745" s="0" t="str">
        <f aca="false">"UPDATE COTACAO SET cot_id = "&amp;A745&amp;", cot_blt_id = "&amp;B745&amp;", cot_pap_id = "&amp;C745&amp;", cot_prc_comum = "&amp;D745&amp;", cot_prc_min = "&amp;E745&amp;", cot_prc_max = "&amp;F745&amp;", cot_prc_med = "&amp;G745&amp;", cot_prc_mediana = "&amp;H745&amp;" WHERE cot_id = "&amp;A745&amp;";"</f>
        <v>UPDATE COTACAO SET cot_id = 744, cot_blt_id = 55, cot_pap_id = 32, cot_prc_comum = 50, cot_prc_min = 40, cot_prc_max = 80, cot_prc_med = 53.33, cot_prc_mediana = 50 WHERE cot_id = 744;</v>
      </c>
    </row>
    <row r="746" customFormat="false" ht="14.25" hidden="false" customHeight="false" outlineLevel="0" collapsed="false">
      <c r="A746" s="0" t="n">
        <v>745</v>
      </c>
      <c r="B746" s="0" t="n">
        <f aca="false">IF('Boletins Nuppa Site'!A746&lt;&gt;0,'Boletins Nuppa Site'!A746,"NULL")</f>
        <v>55</v>
      </c>
      <c r="C746" s="0" t="n">
        <v>33</v>
      </c>
      <c r="D746" s="0" t="str">
        <f aca="false">IF('Boletins Nuppa Site'!G746&lt;&gt;0,'Boletins Nuppa Site'!G746,"NULL")</f>
        <v>NULL</v>
      </c>
      <c r="E746" s="30" t="n">
        <f aca="false">IF('Boletins Nuppa Site'!H746&lt;&gt;0,'Boletins Nuppa Site'!H746,"NULL")</f>
        <v>120</v>
      </c>
      <c r="F746" s="30" t="n">
        <f aca="false">IF('Boletins Nuppa Site'!I746&lt;&gt;0,'Boletins Nuppa Site'!I746,"NULL")</f>
        <v>200</v>
      </c>
      <c r="G746" s="30" t="n">
        <f aca="false">IF('Boletins Nuppa Site'!J746&lt;&gt;0,'Boletins Nuppa Site'!J746,"NULL")</f>
        <v>160</v>
      </c>
      <c r="H746" s="30" t="n">
        <f aca="false">IF('Boletins Nuppa Site'!K746&lt;&gt;0,'Boletins Nuppa Site'!K746,"NULL")</f>
        <v>160</v>
      </c>
      <c r="I746" s="0" t="str">
        <f aca="false">"INSERT INTO COTACAO (cot_id, cot_blt_id, cot_pap_id, cot_prc_comum, cot_prc_min, cot_prc_max, cot_prc_med, cot_prc_mediana) VALUES ("&amp;A746&amp;", "&amp;B746&amp;", "&amp;C746&amp;", "&amp;D746&amp;", "&amp;E746&amp;", "&amp;F746&amp;", "&amp;G746&amp;", "&amp;H746&amp;");"</f>
        <v>INSERT INTO COTACAO (cot_id, cot_blt_id, cot_pap_id, cot_prc_comum, cot_prc_min, cot_prc_max, cot_prc_med, cot_prc_mediana) VALUES (745, 55, 33, NULL, 120, 200, 160, 160);</v>
      </c>
      <c r="J746" s="0" t="str">
        <f aca="false">"UPDATE COTACAO SET cot_id = "&amp;A746&amp;", cot_blt_id = "&amp;B746&amp;", cot_pap_id = "&amp;C746&amp;", cot_prc_comum = "&amp;D746&amp;", cot_prc_min = "&amp;E746&amp;", cot_prc_max = "&amp;F746&amp;", cot_prc_med = "&amp;G746&amp;", cot_prc_mediana = "&amp;H746&amp;" WHERE cot_id = "&amp;A746&amp;";"</f>
        <v>UPDATE COTACAO SET cot_id = 745, cot_blt_id = 55, cot_pap_id = 33, cot_prc_comum = NULL, cot_prc_min = 120, cot_prc_max = 200, cot_prc_med = 160, cot_prc_mediana = 160 WHERE cot_id = 745;</v>
      </c>
    </row>
    <row r="747" customFormat="false" ht="14.25" hidden="false" customHeight="false" outlineLevel="0" collapsed="false">
      <c r="A747" s="0" t="n">
        <v>746</v>
      </c>
      <c r="B747" s="0" t="n">
        <f aca="false">IF('Boletins Nuppa Site'!A747&lt;&gt;0,'Boletins Nuppa Site'!A747,"NULL")</f>
        <v>55</v>
      </c>
      <c r="C747" s="0" t="n">
        <v>34</v>
      </c>
      <c r="D747" s="30" t="n">
        <f aca="false">IF('Boletins Nuppa Site'!G747&lt;&gt;0,'Boletins Nuppa Site'!G747,"NULL")</f>
        <v>130</v>
      </c>
      <c r="E747" s="30" t="n">
        <f aca="false">IF('Boletins Nuppa Site'!H747&lt;&gt;0,'Boletins Nuppa Site'!H747,"NULL")</f>
        <v>100</v>
      </c>
      <c r="F747" s="30" t="n">
        <f aca="false">IF('Boletins Nuppa Site'!I747&lt;&gt;0,'Boletins Nuppa Site'!I747,"NULL")</f>
        <v>170</v>
      </c>
      <c r="G747" s="30" t="n">
        <f aca="false">IF('Boletins Nuppa Site'!J747&lt;&gt;0,'Boletins Nuppa Site'!J747,"NULL")</f>
        <v>140</v>
      </c>
      <c r="H747" s="30" t="n">
        <f aca="false">IF('Boletins Nuppa Site'!K747&lt;&gt;0,'Boletins Nuppa Site'!K747,"NULL")</f>
        <v>140</v>
      </c>
      <c r="I747" s="0" t="str">
        <f aca="false">"INSERT INTO COTACAO (cot_id, cot_blt_id, cot_pap_id, cot_prc_comum, cot_prc_min, cot_prc_max, cot_prc_med, cot_prc_mediana) VALUES ("&amp;A747&amp;", "&amp;B747&amp;", "&amp;C747&amp;", "&amp;D747&amp;", "&amp;E747&amp;", "&amp;F747&amp;", "&amp;G747&amp;", "&amp;H747&amp;");"</f>
        <v>INSERT INTO COTACAO (cot_id, cot_blt_id, cot_pap_id, cot_prc_comum, cot_prc_min, cot_prc_max, cot_prc_med, cot_prc_mediana) VALUES (746, 55, 34, 130, 100, 170, 140, 140);</v>
      </c>
      <c r="J747" s="0" t="str">
        <f aca="false">"UPDATE COTACAO SET cot_id = "&amp;A747&amp;", cot_blt_id = "&amp;B747&amp;", cot_pap_id = "&amp;C747&amp;", cot_prc_comum = "&amp;D747&amp;", cot_prc_min = "&amp;E747&amp;", cot_prc_max = "&amp;F747&amp;", cot_prc_med = "&amp;G747&amp;", cot_prc_mediana = "&amp;H747&amp;" WHERE cot_id = "&amp;A747&amp;";"</f>
        <v>UPDATE COTACAO SET cot_id = 746, cot_blt_id = 55, cot_pap_id = 34, cot_prc_comum = 130, cot_prc_min = 100, cot_prc_max = 170, cot_prc_med = 140, cot_prc_mediana = 140 WHERE cot_id = 746;</v>
      </c>
    </row>
    <row r="748" customFormat="false" ht="14.25" hidden="false" customHeight="false" outlineLevel="0" collapsed="false">
      <c r="A748" s="0" t="n">
        <v>747</v>
      </c>
      <c r="B748" s="0" t="n">
        <f aca="false">IF('Boletins Nuppa Site'!A748&lt;&gt;0,'Boletins Nuppa Site'!A748,"NULL")</f>
        <v>55</v>
      </c>
      <c r="C748" s="0" t="n">
        <v>35</v>
      </c>
      <c r="D748" s="0" t="str">
        <f aca="false">IF('Boletins Nuppa Site'!G748&lt;&gt;0,'Boletins Nuppa Site'!G748,"NULL")</f>
        <v>NULL</v>
      </c>
      <c r="E748" s="30" t="n">
        <f aca="false">IF('Boletins Nuppa Site'!H748&lt;&gt;0,'Boletins Nuppa Site'!H748,"NULL")</f>
        <v>120</v>
      </c>
      <c r="F748" s="30" t="n">
        <f aca="false">IF('Boletins Nuppa Site'!I748&lt;&gt;0,'Boletins Nuppa Site'!I748,"NULL")</f>
        <v>235</v>
      </c>
      <c r="G748" s="0" t="str">
        <f aca="false">IF('Boletins Nuppa Site'!J748&lt;&gt;0,'Boletins Nuppa Site'!J748,"NULL")</f>
        <v>193.75</v>
      </c>
      <c r="H748" s="30" t="n">
        <f aca="false">IF('Boletins Nuppa Site'!K748&lt;&gt;0,'Boletins Nuppa Site'!K748,"NULL")</f>
        <v>210</v>
      </c>
      <c r="I748" s="0" t="str">
        <f aca="false">"INSERT INTO COTACAO (cot_id, cot_blt_id, cot_pap_id, cot_prc_comum, cot_prc_min, cot_prc_max, cot_prc_med, cot_prc_mediana) VALUES ("&amp;A748&amp;", "&amp;B748&amp;", "&amp;C748&amp;", "&amp;D748&amp;", "&amp;E748&amp;", "&amp;F748&amp;", "&amp;G748&amp;", "&amp;H748&amp;");"</f>
        <v>INSERT INTO COTACAO (cot_id, cot_blt_id, cot_pap_id, cot_prc_comum, cot_prc_min, cot_prc_max, cot_prc_med, cot_prc_mediana) VALUES (747, 55, 35, NULL, 120, 235, 193.75, 210);</v>
      </c>
      <c r="J748" s="0" t="str">
        <f aca="false">"UPDATE COTACAO SET cot_id = "&amp;A748&amp;", cot_blt_id = "&amp;B748&amp;", cot_pap_id = "&amp;C748&amp;", cot_prc_comum = "&amp;D748&amp;", cot_prc_min = "&amp;E748&amp;", cot_prc_max = "&amp;F748&amp;", cot_prc_med = "&amp;G748&amp;", cot_prc_mediana = "&amp;H748&amp;" WHERE cot_id = "&amp;A748&amp;";"</f>
        <v>UPDATE COTACAO SET cot_id = 747, cot_blt_id = 55, cot_pap_id = 35, cot_prc_comum = NULL, cot_prc_min = 120, cot_prc_max = 235, cot_prc_med = 193.75, cot_prc_mediana = 210 WHERE cot_id = 747;</v>
      </c>
    </row>
    <row r="749" customFormat="false" ht="14.25" hidden="false" customHeight="false" outlineLevel="0" collapsed="false">
      <c r="A749" s="0" t="n">
        <v>748</v>
      </c>
      <c r="B749" s="0" t="n">
        <f aca="false">IF('Boletins Nuppa Site'!A749&lt;&gt;0,'Boletins Nuppa Site'!A749,"NULL")</f>
        <v>55</v>
      </c>
      <c r="C749" s="0" t="n">
        <v>36</v>
      </c>
      <c r="D749" s="0" t="str">
        <f aca="false">IF('Boletins Nuppa Site'!G749&lt;&gt;0,'Boletins Nuppa Site'!G749,"NULL")</f>
        <v>NULL</v>
      </c>
      <c r="E749" s="0" t="str">
        <f aca="false">IF('Boletins Nuppa Site'!H749&lt;&gt;0,'Boletins Nuppa Site'!H749,"NULL")</f>
        <v>NULL</v>
      </c>
      <c r="F749" s="0" t="str">
        <f aca="false">IF('Boletins Nuppa Site'!I749&lt;&gt;0,'Boletins Nuppa Site'!I749,"NULL")</f>
        <v>NULL</v>
      </c>
      <c r="G749" s="0" t="str">
        <f aca="false">IF('Boletins Nuppa Site'!J749&lt;&gt;0,'Boletins Nuppa Site'!J749,"NULL")</f>
        <v>NULL</v>
      </c>
      <c r="H749" s="0" t="str">
        <f aca="false">IF('Boletins Nuppa Site'!K749&lt;&gt;0,'Boletins Nuppa Site'!K749,"NULL")</f>
        <v>NULL</v>
      </c>
      <c r="I749" s="0" t="str">
        <f aca="false">"INSERT INTO COTACAO (cot_id, cot_blt_id, cot_pap_id, cot_prc_comum, cot_prc_min, cot_prc_max, cot_prc_med, cot_prc_mediana) VALUES ("&amp;A749&amp;", "&amp;B749&amp;", "&amp;C749&amp;", "&amp;D749&amp;", "&amp;E749&amp;", "&amp;F749&amp;", "&amp;G749&amp;", "&amp;H749&amp;");"</f>
        <v>INSERT INTO COTACAO (cot_id, cot_blt_id, cot_pap_id, cot_prc_comum, cot_prc_min, cot_prc_max, cot_prc_med, cot_prc_mediana) VALUES (748, 55, 36, NULL, NULL, NULL, NULL, NULL);</v>
      </c>
      <c r="J749" s="0" t="str">
        <f aca="false">"UPDATE COTACAO SET cot_id = "&amp;A749&amp;", cot_blt_id = "&amp;B749&amp;", cot_pap_id = "&amp;C749&amp;", cot_prc_comum = "&amp;D749&amp;", cot_prc_min = "&amp;E749&amp;", cot_prc_max = "&amp;F749&amp;", cot_prc_med = "&amp;G749&amp;", cot_prc_mediana = "&amp;H749&amp;" WHERE cot_id = "&amp;A749&amp;";"</f>
        <v>UPDATE COTACAO SET cot_id = 748, cot_blt_id = 55, cot_pap_id = 36, cot_prc_comum = NULL, cot_prc_min = NULL, cot_prc_max = NULL, cot_prc_med = NULL, cot_prc_mediana = NULL WHERE cot_id = 748;</v>
      </c>
    </row>
    <row r="750" customFormat="false" ht="14.25" hidden="false" customHeight="false" outlineLevel="0" collapsed="false">
      <c r="A750" s="0" t="n">
        <v>749</v>
      </c>
      <c r="B750" s="0" t="n">
        <f aca="false">IF('Boletins Nuppa Site'!A750&lt;&gt;0,'Boletins Nuppa Site'!A750,"NULL")</f>
        <v>55</v>
      </c>
      <c r="C750" s="0" t="n">
        <v>37</v>
      </c>
      <c r="D750" s="0" t="str">
        <f aca="false">IF('Boletins Nuppa Site'!G750&lt;&gt;0,'Boletins Nuppa Site'!G750,"NULL")</f>
        <v>NULL</v>
      </c>
      <c r="E750" s="0" t="str">
        <f aca="false">IF('Boletins Nuppa Site'!H750&lt;&gt;0,'Boletins Nuppa Site'!H750,"NULL")</f>
        <v>NULL</v>
      </c>
      <c r="F750" s="0" t="str">
        <f aca="false">IF('Boletins Nuppa Site'!I750&lt;&gt;0,'Boletins Nuppa Site'!I750,"NULL")</f>
        <v>NULL</v>
      </c>
      <c r="G750" s="0" t="str">
        <f aca="false">IF('Boletins Nuppa Site'!J750&lt;&gt;0,'Boletins Nuppa Site'!J750,"NULL")</f>
        <v>NULL</v>
      </c>
      <c r="H750" s="0" t="str">
        <f aca="false">IF('Boletins Nuppa Site'!K750&lt;&gt;0,'Boletins Nuppa Site'!K750,"NULL")</f>
        <v>NULL</v>
      </c>
      <c r="I750" s="0" t="str">
        <f aca="false">"INSERT INTO COTACAO (cot_id, cot_blt_id, cot_pap_id, cot_prc_comum, cot_prc_min, cot_prc_max, cot_prc_med, cot_prc_mediana) VALUES ("&amp;A750&amp;", "&amp;B750&amp;", "&amp;C750&amp;", "&amp;D750&amp;", "&amp;E750&amp;", "&amp;F750&amp;", "&amp;G750&amp;", "&amp;H750&amp;");"</f>
        <v>INSERT INTO COTACAO (cot_id, cot_blt_id, cot_pap_id, cot_prc_comum, cot_prc_min, cot_prc_max, cot_prc_med, cot_prc_mediana) VALUES (749, 55, 37, NULL, NULL, NULL, NULL, NULL);</v>
      </c>
      <c r="J750" s="0" t="str">
        <f aca="false">"UPDATE COTACAO SET cot_id = "&amp;A750&amp;", cot_blt_id = "&amp;B750&amp;", cot_pap_id = "&amp;C750&amp;", cot_prc_comum = "&amp;D750&amp;", cot_prc_min = "&amp;E750&amp;", cot_prc_max = "&amp;F750&amp;", cot_prc_med = "&amp;G750&amp;", cot_prc_mediana = "&amp;H750&amp;" WHERE cot_id = "&amp;A750&amp;";"</f>
        <v>UPDATE COTACAO SET cot_id = 749, cot_blt_id = 55, cot_pap_id = 37, cot_prc_comum = NULL, cot_prc_min = NULL, cot_prc_max = NULL, cot_prc_med = NULL, cot_prc_mediana = NULL WHERE cot_id = 749;</v>
      </c>
    </row>
    <row r="751" customFormat="false" ht="14.25" hidden="false" customHeight="false" outlineLevel="0" collapsed="false">
      <c r="A751" s="0" t="n">
        <v>750</v>
      </c>
      <c r="B751" s="0" t="n">
        <f aca="false">IF('Boletins Nuppa Site'!A751&lt;&gt;0,'Boletins Nuppa Site'!A751,"NULL")</f>
        <v>55</v>
      </c>
      <c r="C751" s="0" t="n">
        <v>38</v>
      </c>
      <c r="D751" s="0" t="str">
        <f aca="false">IF('Boletins Nuppa Site'!G751&lt;&gt;0,'Boletins Nuppa Site'!G751,"NULL")</f>
        <v>NULL</v>
      </c>
      <c r="E751" s="0" t="str">
        <f aca="false">IF('Boletins Nuppa Site'!H751&lt;&gt;0,'Boletins Nuppa Site'!H751,"NULL")</f>
        <v>NULL</v>
      </c>
      <c r="F751" s="0" t="str">
        <f aca="false">IF('Boletins Nuppa Site'!I751&lt;&gt;0,'Boletins Nuppa Site'!I751,"NULL")</f>
        <v>NULL</v>
      </c>
      <c r="G751" s="0" t="str">
        <f aca="false">IF('Boletins Nuppa Site'!J751&lt;&gt;0,'Boletins Nuppa Site'!J751,"NULL")</f>
        <v>NULL</v>
      </c>
      <c r="H751" s="0" t="str">
        <f aca="false">IF('Boletins Nuppa Site'!K751&lt;&gt;0,'Boletins Nuppa Site'!K751,"NULL")</f>
        <v>NULL</v>
      </c>
      <c r="I751" s="0" t="str">
        <f aca="false">"INSERT INTO COTACAO (cot_id, cot_blt_id, cot_pap_id, cot_prc_comum, cot_prc_min, cot_prc_max, cot_prc_med, cot_prc_mediana) VALUES ("&amp;A751&amp;", "&amp;B751&amp;", "&amp;C751&amp;", "&amp;D751&amp;", "&amp;E751&amp;", "&amp;F751&amp;", "&amp;G751&amp;", "&amp;H751&amp;");"</f>
        <v>INSERT INTO COTACAO (cot_id, cot_blt_id, cot_pap_id, cot_prc_comum, cot_prc_min, cot_prc_max, cot_prc_med, cot_prc_mediana) VALUES (750, 55, 38, NULL, NULL, NULL, NULL, NULL);</v>
      </c>
      <c r="J751" s="0" t="str">
        <f aca="false">"UPDATE COTACAO SET cot_id = "&amp;A751&amp;", cot_blt_id = "&amp;B751&amp;", cot_pap_id = "&amp;C751&amp;", cot_prc_comum = "&amp;D751&amp;", cot_prc_min = "&amp;E751&amp;", cot_prc_max = "&amp;F751&amp;", cot_prc_med = "&amp;G751&amp;", cot_prc_mediana = "&amp;H751&amp;" WHERE cot_id = "&amp;A751&amp;";"</f>
        <v>UPDATE COTACAO SET cot_id = 750, cot_blt_id = 55, cot_pap_id = 38, cot_prc_comum = NULL, cot_prc_min = NULL, cot_prc_max = NULL, cot_prc_med = NULL, cot_prc_mediana = NULL WHERE cot_id = 750;</v>
      </c>
    </row>
    <row r="752" customFormat="false" ht="14.25" hidden="false" customHeight="false" outlineLevel="0" collapsed="false">
      <c r="A752" s="0" t="n">
        <v>751</v>
      </c>
      <c r="B752" s="0" t="n">
        <f aca="false">IF('Boletins Nuppa Site'!A752&lt;&gt;0,'Boletins Nuppa Site'!A752,"NULL")</f>
        <v>55</v>
      </c>
      <c r="C752" s="0" t="n">
        <v>39</v>
      </c>
      <c r="D752" s="0" t="str">
        <f aca="false">IF('Boletins Nuppa Site'!G752&lt;&gt;0,'Boletins Nuppa Site'!G752,"NULL")</f>
        <v>NULL</v>
      </c>
      <c r="E752" s="30" t="n">
        <f aca="false">IF('Boletins Nuppa Site'!H752&lt;&gt;0,'Boletins Nuppa Site'!H752,"NULL")</f>
        <v>50</v>
      </c>
      <c r="F752" s="30" t="n">
        <f aca="false">IF('Boletins Nuppa Site'!I752&lt;&gt;0,'Boletins Nuppa Site'!I752,"NULL")</f>
        <v>50</v>
      </c>
      <c r="G752" s="30" t="n">
        <f aca="false">IF('Boletins Nuppa Site'!J752&lt;&gt;0,'Boletins Nuppa Site'!J752,"NULL")</f>
        <v>50</v>
      </c>
      <c r="H752" s="30" t="n">
        <f aca="false">IF('Boletins Nuppa Site'!K752&lt;&gt;0,'Boletins Nuppa Site'!K752,"NULL")</f>
        <v>50</v>
      </c>
      <c r="I752" s="0" t="str">
        <f aca="false">"INSERT INTO COTACAO (cot_id, cot_blt_id, cot_pap_id, cot_prc_comum, cot_prc_min, cot_prc_max, cot_prc_med, cot_prc_mediana) VALUES ("&amp;A752&amp;", "&amp;B752&amp;", "&amp;C752&amp;", "&amp;D752&amp;", "&amp;E752&amp;", "&amp;F752&amp;", "&amp;G752&amp;", "&amp;H752&amp;");"</f>
        <v>INSERT INTO COTACAO (cot_id, cot_blt_id, cot_pap_id, cot_prc_comum, cot_prc_min, cot_prc_max, cot_prc_med, cot_prc_mediana) VALUES (751, 55, 39, NULL, 50, 50, 50, 50);</v>
      </c>
      <c r="J752" s="0" t="str">
        <f aca="false">"UPDATE COTACAO SET cot_id = "&amp;A752&amp;", cot_blt_id = "&amp;B752&amp;", cot_pap_id = "&amp;C752&amp;", cot_prc_comum = "&amp;D752&amp;", cot_prc_min = "&amp;E752&amp;", cot_prc_max = "&amp;F752&amp;", cot_prc_med = "&amp;G752&amp;", cot_prc_mediana = "&amp;H752&amp;" WHERE cot_id = "&amp;A752&amp;";"</f>
        <v>UPDATE COTACAO SET cot_id = 751, cot_blt_id = 55, cot_pap_id = 39, cot_prc_comum = NULL, cot_prc_min = 50, cot_prc_max = 50, cot_prc_med = 50, cot_prc_mediana = 50 WHERE cot_id = 751;</v>
      </c>
    </row>
    <row r="753" customFormat="false" ht="14.25" hidden="false" customHeight="false" outlineLevel="0" collapsed="false">
      <c r="A753" s="0" t="n">
        <v>752</v>
      </c>
      <c r="B753" s="0" t="n">
        <f aca="false">IF('Boletins Nuppa Site'!A753&lt;&gt;0,'Boletins Nuppa Site'!A753,"NULL")</f>
        <v>55</v>
      </c>
      <c r="C753" s="0" t="n">
        <v>40</v>
      </c>
      <c r="D753" s="30" t="n">
        <f aca="false">IF('Boletins Nuppa Site'!G753&lt;&gt;0,'Boletins Nuppa Site'!G753,"NULL")</f>
        <v>60</v>
      </c>
      <c r="E753" s="30" t="n">
        <f aca="false">IF('Boletins Nuppa Site'!H753&lt;&gt;0,'Boletins Nuppa Site'!H753,"NULL")</f>
        <v>60</v>
      </c>
      <c r="F753" s="30" t="n">
        <f aca="false">IF('Boletins Nuppa Site'!I753&lt;&gt;0,'Boletins Nuppa Site'!I753,"NULL")</f>
        <v>60</v>
      </c>
      <c r="G753" s="30" t="n">
        <f aca="false">IF('Boletins Nuppa Site'!J753&lt;&gt;0,'Boletins Nuppa Site'!J753,"NULL")</f>
        <v>60</v>
      </c>
      <c r="H753" s="30" t="n">
        <f aca="false">IF('Boletins Nuppa Site'!K753&lt;&gt;0,'Boletins Nuppa Site'!K753,"NULL")</f>
        <v>60</v>
      </c>
      <c r="I753" s="0" t="str">
        <f aca="false">"INSERT INTO COTACAO (cot_id, cot_blt_id, cot_pap_id, cot_prc_comum, cot_prc_min, cot_prc_max, cot_prc_med, cot_prc_mediana) VALUES ("&amp;A753&amp;", "&amp;B753&amp;", "&amp;C753&amp;", "&amp;D753&amp;", "&amp;E753&amp;", "&amp;F753&amp;", "&amp;G753&amp;", "&amp;H753&amp;");"</f>
        <v>INSERT INTO COTACAO (cot_id, cot_blt_id, cot_pap_id, cot_prc_comum, cot_prc_min, cot_prc_max, cot_prc_med, cot_prc_mediana) VALUES (752, 55, 40, 60, 60, 60, 60, 60);</v>
      </c>
      <c r="J753" s="0" t="str">
        <f aca="false">"UPDATE COTACAO SET cot_id = "&amp;A753&amp;", cot_blt_id = "&amp;B753&amp;", cot_pap_id = "&amp;C753&amp;", cot_prc_comum = "&amp;D753&amp;", cot_prc_min = "&amp;E753&amp;", cot_prc_max = "&amp;F753&amp;", cot_prc_med = "&amp;G753&amp;", cot_prc_mediana = "&amp;H753&amp;" WHERE cot_id = "&amp;A753&amp;";"</f>
        <v>UPDATE COTACAO SET cot_id = 752, cot_blt_id = 55, cot_pap_id = 40, cot_prc_comum = 60, cot_prc_min = 60, cot_prc_max = 60, cot_prc_med = 60, cot_prc_mediana = 60 WHERE cot_id = 752;</v>
      </c>
    </row>
    <row r="754" customFormat="false" ht="14.25" hidden="false" customHeight="false" outlineLevel="0" collapsed="false">
      <c r="A754" s="0" t="n">
        <v>753</v>
      </c>
      <c r="B754" s="0" t="n">
        <f aca="false">IF('Boletins Nuppa Site'!A754&lt;&gt;0,'Boletins Nuppa Site'!A754,"NULL")</f>
        <v>56</v>
      </c>
      <c r="C754" s="0" t="n">
        <v>1</v>
      </c>
      <c r="D754" s="0" t="str">
        <f aca="false">IF('Boletins Nuppa Site'!G754&lt;&gt;0,'Boletins Nuppa Site'!G754,"NULL")</f>
        <v>NULL</v>
      </c>
      <c r="E754" s="0" t="str">
        <f aca="false">IF('Boletins Nuppa Site'!H754&lt;&gt;0,'Boletins Nuppa Site'!H754,"NULL")</f>
        <v>NULL</v>
      </c>
      <c r="F754" s="0" t="str">
        <f aca="false">IF('Boletins Nuppa Site'!I754&lt;&gt;0,'Boletins Nuppa Site'!I754,"NULL")</f>
        <v>NULL</v>
      </c>
      <c r="G754" s="0" t="str">
        <f aca="false">IF('Boletins Nuppa Site'!J754&lt;&gt;0,'Boletins Nuppa Site'!J754,"NULL")</f>
        <v>NULL</v>
      </c>
      <c r="H754" s="0" t="str">
        <f aca="false">IF('Boletins Nuppa Site'!K754&lt;&gt;0,'Boletins Nuppa Site'!K754,"NULL")</f>
        <v>NULL</v>
      </c>
      <c r="I754" s="0" t="str">
        <f aca="false">"INSERT INTO COTACAO (cot_id, cot_blt_id, cot_pap_id, cot_prc_comum, cot_prc_min, cot_prc_max, cot_prc_med, cot_prc_mediana) VALUES ("&amp;A754&amp;", "&amp;B754&amp;", "&amp;C754&amp;", "&amp;D754&amp;", "&amp;E754&amp;", "&amp;F754&amp;", "&amp;G754&amp;", "&amp;H754&amp;");"</f>
        <v>INSERT INTO COTACAO (cot_id, cot_blt_id, cot_pap_id, cot_prc_comum, cot_prc_min, cot_prc_max, cot_prc_med, cot_prc_mediana) VALUES (753, 56, 1, NULL, NULL, NULL, NULL, NULL);</v>
      </c>
      <c r="J754" s="0" t="str">
        <f aca="false">"UPDATE COTACAO SET cot_id = "&amp;A754&amp;", cot_blt_id = "&amp;B754&amp;", cot_pap_id = "&amp;C754&amp;", cot_prc_comum = "&amp;D754&amp;", cot_prc_min = "&amp;E754&amp;", cot_prc_max = "&amp;F754&amp;", cot_prc_med = "&amp;G754&amp;", cot_prc_mediana = "&amp;H754&amp;" WHERE cot_id = "&amp;A754&amp;";"</f>
        <v>UPDATE COTACAO SET cot_id = 753, cot_blt_id = 56, cot_pap_id = 1, cot_prc_comum = NULL, cot_prc_min = NULL, cot_prc_max = NULL, cot_prc_med = NULL, cot_prc_mediana = NULL WHERE cot_id = 753;</v>
      </c>
    </row>
    <row r="755" customFormat="false" ht="14.25" hidden="false" customHeight="false" outlineLevel="0" collapsed="false">
      <c r="A755" s="0" t="n">
        <v>754</v>
      </c>
      <c r="B755" s="0" t="n">
        <f aca="false">IF('Boletins Nuppa Site'!A755&lt;&gt;0,'Boletins Nuppa Site'!A755,"NULL")</f>
        <v>56</v>
      </c>
      <c r="C755" s="0" t="n">
        <v>2</v>
      </c>
      <c r="D755" s="0" t="str">
        <f aca="false">IF('Boletins Nuppa Site'!G755&lt;&gt;0,'Boletins Nuppa Site'!G755,"NULL")</f>
        <v>NULL</v>
      </c>
      <c r="E755" s="30" t="n">
        <f aca="false">IF('Boletins Nuppa Site'!H755&lt;&gt;0,'Boletins Nuppa Site'!H755,"NULL")</f>
        <v>60</v>
      </c>
      <c r="F755" s="30" t="n">
        <f aca="false">IF('Boletins Nuppa Site'!I755&lt;&gt;0,'Boletins Nuppa Site'!I755,"NULL")</f>
        <v>72</v>
      </c>
      <c r="G755" s="30" t="n">
        <f aca="false">IF('Boletins Nuppa Site'!J755&lt;&gt;0,'Boletins Nuppa Site'!J755,"NULL")</f>
        <v>66</v>
      </c>
      <c r="H755" s="30" t="n">
        <f aca="false">IF('Boletins Nuppa Site'!K755&lt;&gt;0,'Boletins Nuppa Site'!K755,"NULL")</f>
        <v>66</v>
      </c>
      <c r="I755" s="0" t="str">
        <f aca="false">"INSERT INTO COTACAO (cot_id, cot_blt_id, cot_pap_id, cot_prc_comum, cot_prc_min, cot_prc_max, cot_prc_med, cot_prc_mediana) VALUES ("&amp;A755&amp;", "&amp;B755&amp;", "&amp;C755&amp;", "&amp;D755&amp;", "&amp;E755&amp;", "&amp;F755&amp;", "&amp;G755&amp;", "&amp;H755&amp;");"</f>
        <v>INSERT INTO COTACAO (cot_id, cot_blt_id, cot_pap_id, cot_prc_comum, cot_prc_min, cot_prc_max, cot_prc_med, cot_prc_mediana) VALUES (754, 56, 2, NULL, 60, 72, 66, 66);</v>
      </c>
      <c r="J755" s="0" t="str">
        <f aca="false">"UPDATE COTACAO SET cot_id = "&amp;A755&amp;", cot_blt_id = "&amp;B755&amp;", cot_pap_id = "&amp;C755&amp;", cot_prc_comum = "&amp;D755&amp;", cot_prc_min = "&amp;E755&amp;", cot_prc_max = "&amp;F755&amp;", cot_prc_med = "&amp;G755&amp;", cot_prc_mediana = "&amp;H755&amp;" WHERE cot_id = "&amp;A755&amp;";"</f>
        <v>UPDATE COTACAO SET cot_id = 754, cot_blt_id = 56, cot_pap_id = 2, cot_prc_comum = NULL, cot_prc_min = 60, cot_prc_max = 72, cot_prc_med = 66, cot_prc_mediana = 66 WHERE cot_id = 754;</v>
      </c>
    </row>
    <row r="756" customFormat="false" ht="14.25" hidden="false" customHeight="false" outlineLevel="0" collapsed="false">
      <c r="A756" s="0" t="n">
        <v>755</v>
      </c>
      <c r="B756" s="0" t="n">
        <f aca="false">IF('Boletins Nuppa Site'!A756&lt;&gt;0,'Boletins Nuppa Site'!A756,"NULL")</f>
        <v>56</v>
      </c>
      <c r="C756" s="0" t="n">
        <v>3</v>
      </c>
      <c r="D756" s="0" t="str">
        <f aca="false">IF('Boletins Nuppa Site'!G756&lt;&gt;0,'Boletins Nuppa Site'!G756,"NULL")</f>
        <v>NULL</v>
      </c>
      <c r="E756" s="30" t="n">
        <f aca="false">IF('Boletins Nuppa Site'!H756&lt;&gt;0,'Boletins Nuppa Site'!H756,"NULL")</f>
        <v>72</v>
      </c>
      <c r="F756" s="30" t="n">
        <f aca="false">IF('Boletins Nuppa Site'!I756&lt;&gt;0,'Boletins Nuppa Site'!I756,"NULL")</f>
        <v>84</v>
      </c>
      <c r="G756" s="30" t="n">
        <f aca="false">IF('Boletins Nuppa Site'!J756&lt;&gt;0,'Boletins Nuppa Site'!J756,"NULL")</f>
        <v>78</v>
      </c>
      <c r="H756" s="30" t="n">
        <f aca="false">IF('Boletins Nuppa Site'!K756&lt;&gt;0,'Boletins Nuppa Site'!K756,"NULL")</f>
        <v>78</v>
      </c>
      <c r="I756" s="0" t="str">
        <f aca="false">"INSERT INTO COTACAO (cot_id, cot_blt_id, cot_pap_id, cot_prc_comum, cot_prc_min, cot_prc_max, cot_prc_med, cot_prc_mediana) VALUES ("&amp;A756&amp;", "&amp;B756&amp;", "&amp;C756&amp;", "&amp;D756&amp;", "&amp;E756&amp;", "&amp;F756&amp;", "&amp;G756&amp;", "&amp;H756&amp;");"</f>
        <v>INSERT INTO COTACAO (cot_id, cot_blt_id, cot_pap_id, cot_prc_comum, cot_prc_min, cot_prc_max, cot_prc_med, cot_prc_mediana) VALUES (755, 56, 3, NULL, 72, 84, 78, 78);</v>
      </c>
      <c r="J756" s="0" t="str">
        <f aca="false">"UPDATE COTACAO SET cot_id = "&amp;A756&amp;", cot_blt_id = "&amp;B756&amp;", cot_pap_id = "&amp;C756&amp;", cot_prc_comum = "&amp;D756&amp;", cot_prc_min = "&amp;E756&amp;", cot_prc_max = "&amp;F756&amp;", cot_prc_med = "&amp;G756&amp;", cot_prc_mediana = "&amp;H756&amp;" WHERE cot_id = "&amp;A756&amp;";"</f>
        <v>UPDATE COTACAO SET cot_id = 755, cot_blt_id = 56, cot_pap_id = 3, cot_prc_comum = NULL, cot_prc_min = 72, cot_prc_max = 84, cot_prc_med = 78, cot_prc_mediana = 78 WHERE cot_id = 755;</v>
      </c>
    </row>
    <row r="757" customFormat="false" ht="14.25" hidden="false" customHeight="false" outlineLevel="0" collapsed="false">
      <c r="A757" s="0" t="n">
        <v>756</v>
      </c>
      <c r="B757" s="0" t="n">
        <f aca="false">IF('Boletins Nuppa Site'!A757&lt;&gt;0,'Boletins Nuppa Site'!A757,"NULL")</f>
        <v>56</v>
      </c>
      <c r="C757" s="0" t="n">
        <v>4</v>
      </c>
      <c r="D757" s="0" t="str">
        <f aca="false">IF('Boletins Nuppa Site'!G757&lt;&gt;0,'Boletins Nuppa Site'!G757,"NULL")</f>
        <v>NULL</v>
      </c>
      <c r="E757" s="30" t="n">
        <f aca="false">IF('Boletins Nuppa Site'!H757&lt;&gt;0,'Boletins Nuppa Site'!H757,"NULL")</f>
        <v>42</v>
      </c>
      <c r="F757" s="30" t="n">
        <f aca="false">IF('Boletins Nuppa Site'!I757&lt;&gt;0,'Boletins Nuppa Site'!I757,"NULL")</f>
        <v>54</v>
      </c>
      <c r="G757" s="30" t="n">
        <f aca="false">IF('Boletins Nuppa Site'!J757&lt;&gt;0,'Boletins Nuppa Site'!J757,"NULL")</f>
        <v>48</v>
      </c>
      <c r="H757" s="30" t="n">
        <f aca="false">IF('Boletins Nuppa Site'!K757&lt;&gt;0,'Boletins Nuppa Site'!K757,"NULL")</f>
        <v>48</v>
      </c>
      <c r="I757" s="0" t="str">
        <f aca="false">"INSERT INTO COTACAO (cot_id, cot_blt_id, cot_pap_id, cot_prc_comum, cot_prc_min, cot_prc_max, cot_prc_med, cot_prc_mediana) VALUES ("&amp;A757&amp;", "&amp;B757&amp;", "&amp;C757&amp;", "&amp;D757&amp;", "&amp;E757&amp;", "&amp;F757&amp;", "&amp;G757&amp;", "&amp;H757&amp;");"</f>
        <v>INSERT INTO COTACAO (cot_id, cot_blt_id, cot_pap_id, cot_prc_comum, cot_prc_min, cot_prc_max, cot_prc_med, cot_prc_mediana) VALUES (756, 56, 4, NULL, 42, 54, 48, 48);</v>
      </c>
      <c r="J757" s="0" t="str">
        <f aca="false">"UPDATE COTACAO SET cot_id = "&amp;A757&amp;", cot_blt_id = "&amp;B757&amp;", cot_pap_id = "&amp;C757&amp;", cot_prc_comum = "&amp;D757&amp;", cot_prc_min = "&amp;E757&amp;", cot_prc_max = "&amp;F757&amp;", cot_prc_med = "&amp;G757&amp;", cot_prc_mediana = "&amp;H757&amp;" WHERE cot_id = "&amp;A757&amp;";"</f>
        <v>UPDATE COTACAO SET cot_id = 756, cot_blt_id = 56, cot_pap_id = 4, cot_prc_comum = NULL, cot_prc_min = 42, cot_prc_max = 54, cot_prc_med = 48, cot_prc_mediana = 48 WHERE cot_id = 756;</v>
      </c>
    </row>
    <row r="758" customFormat="false" ht="14.25" hidden="false" customHeight="false" outlineLevel="0" collapsed="false">
      <c r="A758" s="0" t="n">
        <v>757</v>
      </c>
      <c r="B758" s="0" t="n">
        <f aca="false">IF('Boletins Nuppa Site'!A758&lt;&gt;0,'Boletins Nuppa Site'!A758,"NULL")</f>
        <v>56</v>
      </c>
      <c r="C758" s="0" t="n">
        <v>5</v>
      </c>
      <c r="D758" s="30" t="n">
        <f aca="false">IF('Boletins Nuppa Site'!G758&lt;&gt;0,'Boletins Nuppa Site'!G758,"NULL")</f>
        <v>30</v>
      </c>
      <c r="E758" s="30" t="n">
        <f aca="false">IF('Boletins Nuppa Site'!H758&lt;&gt;0,'Boletins Nuppa Site'!H758,"NULL")</f>
        <v>30</v>
      </c>
      <c r="F758" s="30" t="n">
        <f aca="false">IF('Boletins Nuppa Site'!I758&lt;&gt;0,'Boletins Nuppa Site'!I758,"NULL")</f>
        <v>30</v>
      </c>
      <c r="G758" s="30" t="n">
        <f aca="false">IF('Boletins Nuppa Site'!J758&lt;&gt;0,'Boletins Nuppa Site'!J758,"NULL")</f>
        <v>30</v>
      </c>
      <c r="H758" s="30" t="n">
        <f aca="false">IF('Boletins Nuppa Site'!K758&lt;&gt;0,'Boletins Nuppa Site'!K758,"NULL")</f>
        <v>30</v>
      </c>
      <c r="I758" s="0" t="str">
        <f aca="false">"INSERT INTO COTACAO (cot_id, cot_blt_id, cot_pap_id, cot_prc_comum, cot_prc_min, cot_prc_max, cot_prc_med, cot_prc_mediana) VALUES ("&amp;A758&amp;", "&amp;B758&amp;", "&amp;C758&amp;", "&amp;D758&amp;", "&amp;E758&amp;", "&amp;F758&amp;", "&amp;G758&amp;", "&amp;H758&amp;");"</f>
        <v>INSERT INTO COTACAO (cot_id, cot_blt_id, cot_pap_id, cot_prc_comum, cot_prc_min, cot_prc_max, cot_prc_med, cot_prc_mediana) VALUES (757, 56, 5, 30, 30, 30, 30, 30);</v>
      </c>
      <c r="J758" s="0" t="str">
        <f aca="false">"UPDATE COTACAO SET cot_id = "&amp;A758&amp;", cot_blt_id = "&amp;B758&amp;", cot_pap_id = "&amp;C758&amp;", cot_prc_comum = "&amp;D758&amp;", cot_prc_min = "&amp;E758&amp;", cot_prc_max = "&amp;F758&amp;", cot_prc_med = "&amp;G758&amp;", cot_prc_mediana = "&amp;H758&amp;" WHERE cot_id = "&amp;A758&amp;";"</f>
        <v>UPDATE COTACAO SET cot_id = 757, cot_blt_id = 56, cot_pap_id = 5, cot_prc_comum = 30, cot_prc_min = 30, cot_prc_max = 30, cot_prc_med = 30, cot_prc_mediana = 30 WHERE cot_id = 757;</v>
      </c>
    </row>
    <row r="759" customFormat="false" ht="14.25" hidden="false" customHeight="false" outlineLevel="0" collapsed="false">
      <c r="A759" s="0" t="n">
        <v>758</v>
      </c>
      <c r="B759" s="0" t="n">
        <f aca="false">IF('Boletins Nuppa Site'!A759&lt;&gt;0,'Boletins Nuppa Site'!A759,"NULL")</f>
        <v>56</v>
      </c>
      <c r="C759" s="0" t="n">
        <v>6</v>
      </c>
      <c r="D759" s="30" t="n">
        <f aca="false">IF('Boletins Nuppa Site'!G759&lt;&gt;0,'Boletins Nuppa Site'!G759,"NULL")</f>
        <v>30</v>
      </c>
      <c r="E759" s="30" t="n">
        <f aca="false">IF('Boletins Nuppa Site'!H759&lt;&gt;0,'Boletins Nuppa Site'!H759,"NULL")</f>
        <v>30</v>
      </c>
      <c r="F759" s="30" t="n">
        <f aca="false">IF('Boletins Nuppa Site'!I759&lt;&gt;0,'Boletins Nuppa Site'!I759,"NULL")</f>
        <v>30</v>
      </c>
      <c r="G759" s="30" t="n">
        <f aca="false">IF('Boletins Nuppa Site'!J759&lt;&gt;0,'Boletins Nuppa Site'!J759,"NULL")</f>
        <v>30</v>
      </c>
      <c r="H759" s="30" t="n">
        <f aca="false">IF('Boletins Nuppa Site'!K759&lt;&gt;0,'Boletins Nuppa Site'!K759,"NULL")</f>
        <v>30</v>
      </c>
      <c r="I759" s="0" t="str">
        <f aca="false">"INSERT INTO COTACAO (cot_id, cot_blt_id, cot_pap_id, cot_prc_comum, cot_prc_min, cot_prc_max, cot_prc_med, cot_prc_mediana) VALUES ("&amp;A759&amp;", "&amp;B759&amp;", "&amp;C759&amp;", "&amp;D759&amp;", "&amp;E759&amp;", "&amp;F759&amp;", "&amp;G759&amp;", "&amp;H759&amp;");"</f>
        <v>INSERT INTO COTACAO (cot_id, cot_blt_id, cot_pap_id, cot_prc_comum, cot_prc_min, cot_prc_max, cot_prc_med, cot_prc_mediana) VALUES (758, 56, 6, 30, 30, 30, 30, 30);</v>
      </c>
      <c r="J759" s="0" t="str">
        <f aca="false">"UPDATE COTACAO SET cot_id = "&amp;A759&amp;", cot_blt_id = "&amp;B759&amp;", cot_pap_id = "&amp;C759&amp;", cot_prc_comum = "&amp;D759&amp;", cot_prc_min = "&amp;E759&amp;", cot_prc_max = "&amp;F759&amp;", cot_prc_med = "&amp;G759&amp;", cot_prc_mediana = "&amp;H759&amp;" WHERE cot_id = "&amp;A759&amp;";"</f>
        <v>UPDATE COTACAO SET cot_id = 758, cot_blt_id = 56, cot_pap_id = 6, cot_prc_comum = 30, cot_prc_min = 30, cot_prc_max = 30, cot_prc_med = 30, cot_prc_mediana = 30 WHERE cot_id = 758;</v>
      </c>
    </row>
    <row r="760" customFormat="false" ht="14.25" hidden="false" customHeight="false" outlineLevel="0" collapsed="false">
      <c r="A760" s="0" t="n">
        <v>759</v>
      </c>
      <c r="B760" s="0" t="n">
        <f aca="false">IF('Boletins Nuppa Site'!A760&lt;&gt;0,'Boletins Nuppa Site'!A760,"NULL")</f>
        <v>56</v>
      </c>
      <c r="C760" s="0" t="n">
        <v>7</v>
      </c>
      <c r="D760" s="30" t="n">
        <f aca="false">IF('Boletins Nuppa Site'!G760&lt;&gt;0,'Boletins Nuppa Site'!G760,"NULL")</f>
        <v>60</v>
      </c>
      <c r="E760" s="30" t="n">
        <f aca="false">IF('Boletins Nuppa Site'!H760&lt;&gt;0,'Boletins Nuppa Site'!H760,"NULL")</f>
        <v>60</v>
      </c>
      <c r="F760" s="30" t="n">
        <f aca="false">IF('Boletins Nuppa Site'!I760&lt;&gt;0,'Boletins Nuppa Site'!I760,"NULL")</f>
        <v>60</v>
      </c>
      <c r="G760" s="30" t="n">
        <f aca="false">IF('Boletins Nuppa Site'!J760&lt;&gt;0,'Boletins Nuppa Site'!J760,"NULL")</f>
        <v>60</v>
      </c>
      <c r="H760" s="30" t="n">
        <f aca="false">IF('Boletins Nuppa Site'!K760&lt;&gt;0,'Boletins Nuppa Site'!K760,"NULL")</f>
        <v>60</v>
      </c>
      <c r="I760" s="0" t="str">
        <f aca="false">"INSERT INTO COTACAO (cot_id, cot_blt_id, cot_pap_id, cot_prc_comum, cot_prc_min, cot_prc_max, cot_prc_med, cot_prc_mediana) VALUES ("&amp;A760&amp;", "&amp;B760&amp;", "&amp;C760&amp;", "&amp;D760&amp;", "&amp;E760&amp;", "&amp;F760&amp;", "&amp;G760&amp;", "&amp;H760&amp;");"</f>
        <v>INSERT INTO COTACAO (cot_id, cot_blt_id, cot_pap_id, cot_prc_comum, cot_prc_min, cot_prc_max, cot_prc_med, cot_prc_mediana) VALUES (759, 56, 7, 60, 60, 60, 60, 60);</v>
      </c>
      <c r="J760" s="0" t="str">
        <f aca="false">"UPDATE COTACAO SET cot_id = "&amp;A760&amp;", cot_blt_id = "&amp;B760&amp;", cot_pap_id = "&amp;C760&amp;", cot_prc_comum = "&amp;D760&amp;", cot_prc_min = "&amp;E760&amp;", cot_prc_max = "&amp;F760&amp;", cot_prc_med = "&amp;G760&amp;", cot_prc_mediana = "&amp;H760&amp;" WHERE cot_id = "&amp;A760&amp;";"</f>
        <v>UPDATE COTACAO SET cot_id = 759, cot_blt_id = 56, cot_pap_id = 7, cot_prc_comum = 60, cot_prc_min = 60, cot_prc_max = 60, cot_prc_med = 60, cot_prc_mediana = 60 WHERE cot_id = 759;</v>
      </c>
    </row>
    <row r="761" customFormat="false" ht="14.25" hidden="false" customHeight="false" outlineLevel="0" collapsed="false">
      <c r="A761" s="0" t="n">
        <v>760</v>
      </c>
      <c r="B761" s="0" t="n">
        <f aca="false">IF('Boletins Nuppa Site'!A761&lt;&gt;0,'Boletins Nuppa Site'!A761,"NULL")</f>
        <v>56</v>
      </c>
      <c r="C761" s="0" t="n">
        <v>8</v>
      </c>
      <c r="D761" s="30" t="n">
        <f aca="false">IF('Boletins Nuppa Site'!G761&lt;&gt;0,'Boletins Nuppa Site'!G761,"NULL")</f>
        <v>96</v>
      </c>
      <c r="E761" s="30" t="n">
        <f aca="false">IF('Boletins Nuppa Site'!H761&lt;&gt;0,'Boletins Nuppa Site'!H761,"NULL")</f>
        <v>96</v>
      </c>
      <c r="F761" s="30" t="n">
        <f aca="false">IF('Boletins Nuppa Site'!I761&lt;&gt;0,'Boletins Nuppa Site'!I761,"NULL")</f>
        <v>96</v>
      </c>
      <c r="G761" s="30" t="n">
        <f aca="false">IF('Boletins Nuppa Site'!J761&lt;&gt;0,'Boletins Nuppa Site'!J761,"NULL")</f>
        <v>96</v>
      </c>
      <c r="H761" s="30" t="n">
        <f aca="false">IF('Boletins Nuppa Site'!K761&lt;&gt;0,'Boletins Nuppa Site'!K761,"NULL")</f>
        <v>96</v>
      </c>
      <c r="I761" s="0" t="str">
        <f aca="false">"INSERT INTO COTACAO (cot_id, cot_blt_id, cot_pap_id, cot_prc_comum, cot_prc_min, cot_prc_max, cot_prc_med, cot_prc_mediana) VALUES ("&amp;A761&amp;", "&amp;B761&amp;", "&amp;C761&amp;", "&amp;D761&amp;", "&amp;E761&amp;", "&amp;F761&amp;", "&amp;G761&amp;", "&amp;H761&amp;");"</f>
        <v>INSERT INTO COTACAO (cot_id, cot_blt_id, cot_pap_id, cot_prc_comum, cot_prc_min, cot_prc_max, cot_prc_med, cot_prc_mediana) VALUES (760, 56, 8, 96, 96, 96, 96, 96);</v>
      </c>
      <c r="J761" s="0" t="str">
        <f aca="false">"UPDATE COTACAO SET cot_id = "&amp;A761&amp;", cot_blt_id = "&amp;B761&amp;", cot_pap_id = "&amp;C761&amp;", cot_prc_comum = "&amp;D761&amp;", cot_prc_min = "&amp;E761&amp;", cot_prc_max = "&amp;F761&amp;", cot_prc_med = "&amp;G761&amp;", cot_prc_mediana = "&amp;H761&amp;" WHERE cot_id = "&amp;A761&amp;";"</f>
        <v>UPDATE COTACAO SET cot_id = 760, cot_blt_id = 56, cot_pap_id = 8, cot_prc_comum = 96, cot_prc_min = 96, cot_prc_max = 96, cot_prc_med = 96, cot_prc_mediana = 96 WHERE cot_id = 760;</v>
      </c>
    </row>
    <row r="762" customFormat="false" ht="14.25" hidden="false" customHeight="false" outlineLevel="0" collapsed="false">
      <c r="A762" s="0" t="n">
        <v>761</v>
      </c>
      <c r="B762" s="0" t="n">
        <f aca="false">IF('Boletins Nuppa Site'!A762&lt;&gt;0,'Boletins Nuppa Site'!A762,"NULL")</f>
        <v>56</v>
      </c>
      <c r="C762" s="0" t="n">
        <v>9</v>
      </c>
      <c r="D762" s="0" t="str">
        <f aca="false">IF('Boletins Nuppa Site'!G762&lt;&gt;0,'Boletins Nuppa Site'!G762,"NULL")</f>
        <v>NULL</v>
      </c>
      <c r="E762" s="30" t="n">
        <f aca="false">IF('Boletins Nuppa Site'!H762&lt;&gt;0,'Boletins Nuppa Site'!H762,"NULL")</f>
        <v>80</v>
      </c>
      <c r="F762" s="30" t="n">
        <f aca="false">IF('Boletins Nuppa Site'!I762&lt;&gt;0,'Boletins Nuppa Site'!I762,"NULL")</f>
        <v>84</v>
      </c>
      <c r="G762" s="30" t="n">
        <f aca="false">IF('Boletins Nuppa Site'!J762&lt;&gt;0,'Boletins Nuppa Site'!J762,"NULL")</f>
        <v>82</v>
      </c>
      <c r="H762" s="30" t="n">
        <f aca="false">IF('Boletins Nuppa Site'!K762&lt;&gt;0,'Boletins Nuppa Site'!K762,"NULL")</f>
        <v>82</v>
      </c>
      <c r="I762" s="0" t="str">
        <f aca="false">"INSERT INTO COTACAO (cot_id, cot_blt_id, cot_pap_id, cot_prc_comum, cot_prc_min, cot_prc_max, cot_prc_med, cot_prc_mediana) VALUES ("&amp;A762&amp;", "&amp;B762&amp;", "&amp;C762&amp;", "&amp;D762&amp;", "&amp;E762&amp;", "&amp;F762&amp;", "&amp;G762&amp;", "&amp;H762&amp;");"</f>
        <v>INSERT INTO COTACAO (cot_id, cot_blt_id, cot_pap_id, cot_prc_comum, cot_prc_min, cot_prc_max, cot_prc_med, cot_prc_mediana) VALUES (761, 56, 9, NULL, 80, 84, 82, 82);</v>
      </c>
      <c r="J762" s="0" t="str">
        <f aca="false">"UPDATE COTACAO SET cot_id = "&amp;A762&amp;", cot_blt_id = "&amp;B762&amp;", cot_pap_id = "&amp;C762&amp;", cot_prc_comum = "&amp;D762&amp;", cot_prc_min = "&amp;E762&amp;", cot_prc_max = "&amp;F762&amp;", cot_prc_med = "&amp;G762&amp;", cot_prc_mediana = "&amp;H762&amp;" WHERE cot_id = "&amp;A762&amp;";"</f>
        <v>UPDATE COTACAO SET cot_id = 761, cot_blt_id = 56, cot_pap_id = 9, cot_prc_comum = NULL, cot_prc_min = 80, cot_prc_max = 84, cot_prc_med = 82, cot_prc_mediana = 82 WHERE cot_id = 761;</v>
      </c>
    </row>
    <row r="763" customFormat="false" ht="14.25" hidden="false" customHeight="false" outlineLevel="0" collapsed="false">
      <c r="A763" s="0" t="n">
        <v>762</v>
      </c>
      <c r="B763" s="0" t="n">
        <f aca="false">IF('Boletins Nuppa Site'!A763&lt;&gt;0,'Boletins Nuppa Site'!A763,"NULL")</f>
        <v>56</v>
      </c>
      <c r="C763" s="0" t="n">
        <v>10</v>
      </c>
      <c r="D763" s="0" t="str">
        <f aca="false">IF('Boletins Nuppa Site'!G763&lt;&gt;0,'Boletins Nuppa Site'!G763,"NULL")</f>
        <v>NULL</v>
      </c>
      <c r="E763" s="30" t="n">
        <f aca="false">IF('Boletins Nuppa Site'!H763&lt;&gt;0,'Boletins Nuppa Site'!H763,"NULL")</f>
        <v>25</v>
      </c>
      <c r="F763" s="30" t="n">
        <f aca="false">IF('Boletins Nuppa Site'!I763&lt;&gt;0,'Boletins Nuppa Site'!I763,"NULL")</f>
        <v>30</v>
      </c>
      <c r="G763" s="0" t="str">
        <f aca="false">IF('Boletins Nuppa Site'!J763&lt;&gt;0,'Boletins Nuppa Site'!J763,"NULL")</f>
        <v>27.5</v>
      </c>
      <c r="H763" s="0" t="str">
        <f aca="false">IF('Boletins Nuppa Site'!K763&lt;&gt;0,'Boletins Nuppa Site'!K763,"NULL")</f>
        <v>27.5</v>
      </c>
      <c r="I763" s="0" t="str">
        <f aca="false">"INSERT INTO COTACAO (cot_id, cot_blt_id, cot_pap_id, cot_prc_comum, cot_prc_min, cot_prc_max, cot_prc_med, cot_prc_mediana) VALUES ("&amp;A763&amp;", "&amp;B763&amp;", "&amp;C763&amp;", "&amp;D763&amp;", "&amp;E763&amp;", "&amp;F763&amp;", "&amp;G763&amp;", "&amp;H763&amp;");"</f>
        <v>INSERT INTO COTACAO (cot_id, cot_blt_id, cot_pap_id, cot_prc_comum, cot_prc_min, cot_prc_max, cot_prc_med, cot_prc_mediana) VALUES (762, 56, 10, NULL, 25, 30, 27.5, 27.5);</v>
      </c>
      <c r="J763" s="0" t="str">
        <f aca="false">"UPDATE COTACAO SET cot_id = "&amp;A763&amp;", cot_blt_id = "&amp;B763&amp;", cot_pap_id = "&amp;C763&amp;", cot_prc_comum = "&amp;D763&amp;", cot_prc_min = "&amp;E763&amp;", cot_prc_max = "&amp;F763&amp;", cot_prc_med = "&amp;G763&amp;", cot_prc_mediana = "&amp;H763&amp;" WHERE cot_id = "&amp;A763&amp;";"</f>
        <v>UPDATE COTACAO SET cot_id = 762, cot_blt_id = 56, cot_pap_id = 10, cot_prc_comum = NULL, cot_prc_min = 25, cot_prc_max = 30, cot_prc_med = 27.5, cot_prc_mediana = 27.5 WHERE cot_id = 762;</v>
      </c>
    </row>
    <row r="764" customFormat="false" ht="14.25" hidden="false" customHeight="false" outlineLevel="0" collapsed="false">
      <c r="A764" s="0" t="n">
        <v>763</v>
      </c>
      <c r="B764" s="0" t="n">
        <f aca="false">IF('Boletins Nuppa Site'!A764&lt;&gt;0,'Boletins Nuppa Site'!A764,"NULL")</f>
        <v>56</v>
      </c>
      <c r="C764" s="0" t="n">
        <v>11</v>
      </c>
      <c r="D764" s="0" t="str">
        <f aca="false">IF('Boletins Nuppa Site'!G764&lt;&gt;0,'Boletins Nuppa Site'!G764,"NULL")</f>
        <v>NULL</v>
      </c>
      <c r="E764" s="30" t="n">
        <f aca="false">IF('Boletins Nuppa Site'!H764&lt;&gt;0,'Boletins Nuppa Site'!H764,"NULL")</f>
        <v>100</v>
      </c>
      <c r="F764" s="30" t="n">
        <f aca="false">IF('Boletins Nuppa Site'!I764&lt;&gt;0,'Boletins Nuppa Site'!I764,"NULL")</f>
        <v>108</v>
      </c>
      <c r="G764" s="30" t="n">
        <f aca="false">IF('Boletins Nuppa Site'!J764&lt;&gt;0,'Boletins Nuppa Site'!J764,"NULL")</f>
        <v>104</v>
      </c>
      <c r="H764" s="30" t="n">
        <f aca="false">IF('Boletins Nuppa Site'!K764&lt;&gt;0,'Boletins Nuppa Site'!K764,"NULL")</f>
        <v>104</v>
      </c>
      <c r="I764" s="0" t="str">
        <f aca="false">"INSERT INTO COTACAO (cot_id, cot_blt_id, cot_pap_id, cot_prc_comum, cot_prc_min, cot_prc_max, cot_prc_med, cot_prc_mediana) VALUES ("&amp;A764&amp;", "&amp;B764&amp;", "&amp;C764&amp;", "&amp;D764&amp;", "&amp;E764&amp;", "&amp;F764&amp;", "&amp;G764&amp;", "&amp;H764&amp;");"</f>
        <v>INSERT INTO COTACAO (cot_id, cot_blt_id, cot_pap_id, cot_prc_comum, cot_prc_min, cot_prc_max, cot_prc_med, cot_prc_mediana) VALUES (763, 56, 11, NULL, 100, 108, 104, 104);</v>
      </c>
      <c r="J764" s="0" t="str">
        <f aca="false">"UPDATE COTACAO SET cot_id = "&amp;A764&amp;", cot_blt_id = "&amp;B764&amp;", cot_pap_id = "&amp;C764&amp;", cot_prc_comum = "&amp;D764&amp;", cot_prc_min = "&amp;E764&amp;", cot_prc_max = "&amp;F764&amp;", cot_prc_med = "&amp;G764&amp;", cot_prc_mediana = "&amp;H764&amp;" WHERE cot_id = "&amp;A764&amp;";"</f>
        <v>UPDATE COTACAO SET cot_id = 763, cot_blt_id = 56, cot_pap_id = 11, cot_prc_comum = NULL, cot_prc_min = 100, cot_prc_max = 108, cot_prc_med = 104, cot_prc_mediana = 104 WHERE cot_id = 763;</v>
      </c>
    </row>
    <row r="765" customFormat="false" ht="14.25" hidden="false" customHeight="false" outlineLevel="0" collapsed="false">
      <c r="A765" s="0" t="n">
        <v>764</v>
      </c>
      <c r="B765" s="0" t="n">
        <f aca="false">IF('Boletins Nuppa Site'!A765&lt;&gt;0,'Boletins Nuppa Site'!A765,"NULL")</f>
        <v>56</v>
      </c>
      <c r="C765" s="0" t="n">
        <v>12</v>
      </c>
      <c r="D765" s="30" t="n">
        <f aca="false">IF('Boletins Nuppa Site'!G765&lt;&gt;0,'Boletins Nuppa Site'!G765,"NULL")</f>
        <v>30</v>
      </c>
      <c r="E765" s="30" t="n">
        <f aca="false">IF('Boletins Nuppa Site'!H765&lt;&gt;0,'Boletins Nuppa Site'!H765,"NULL")</f>
        <v>30</v>
      </c>
      <c r="F765" s="30" t="n">
        <f aca="false">IF('Boletins Nuppa Site'!I765&lt;&gt;0,'Boletins Nuppa Site'!I765,"NULL")</f>
        <v>30</v>
      </c>
      <c r="G765" s="30" t="n">
        <f aca="false">IF('Boletins Nuppa Site'!J765&lt;&gt;0,'Boletins Nuppa Site'!J765,"NULL")</f>
        <v>30</v>
      </c>
      <c r="H765" s="30" t="n">
        <f aca="false">IF('Boletins Nuppa Site'!K765&lt;&gt;0,'Boletins Nuppa Site'!K765,"NULL")</f>
        <v>30</v>
      </c>
      <c r="I765" s="0" t="str">
        <f aca="false">"INSERT INTO COTACAO (cot_id, cot_blt_id, cot_pap_id, cot_prc_comum, cot_prc_min, cot_prc_max, cot_prc_med, cot_prc_mediana) VALUES ("&amp;A765&amp;", "&amp;B765&amp;", "&amp;C765&amp;", "&amp;D765&amp;", "&amp;E765&amp;", "&amp;F765&amp;", "&amp;G765&amp;", "&amp;H765&amp;");"</f>
        <v>INSERT INTO COTACAO (cot_id, cot_blt_id, cot_pap_id, cot_prc_comum, cot_prc_min, cot_prc_max, cot_prc_med, cot_prc_mediana) VALUES (764, 56, 12, 30, 30, 30, 30, 30);</v>
      </c>
      <c r="J765" s="0" t="str">
        <f aca="false">"UPDATE COTACAO SET cot_id = "&amp;A765&amp;", cot_blt_id = "&amp;B765&amp;", cot_pap_id = "&amp;C765&amp;", cot_prc_comum = "&amp;D765&amp;", cot_prc_min = "&amp;E765&amp;", cot_prc_max = "&amp;F765&amp;", cot_prc_med = "&amp;G765&amp;", cot_prc_mediana = "&amp;H765&amp;" WHERE cot_id = "&amp;A765&amp;";"</f>
        <v>UPDATE COTACAO SET cot_id = 764, cot_blt_id = 56, cot_pap_id = 12, cot_prc_comum = 30, cot_prc_min = 30, cot_prc_max = 30, cot_prc_med = 30, cot_prc_mediana = 30 WHERE cot_id = 764;</v>
      </c>
    </row>
    <row r="766" customFormat="false" ht="14.25" hidden="false" customHeight="false" outlineLevel="0" collapsed="false">
      <c r="A766" s="0" t="n">
        <v>765</v>
      </c>
      <c r="B766" s="0" t="n">
        <f aca="false">IF('Boletins Nuppa Site'!A766&lt;&gt;0,'Boletins Nuppa Site'!A766,"NULL")</f>
        <v>56</v>
      </c>
      <c r="C766" s="0" t="n">
        <v>13</v>
      </c>
      <c r="D766" s="30" t="n">
        <f aca="false">IF('Boletins Nuppa Site'!G766&lt;&gt;0,'Boletins Nuppa Site'!G766,"NULL")</f>
        <v>72</v>
      </c>
      <c r="E766" s="30" t="n">
        <f aca="false">IF('Boletins Nuppa Site'!H766&lt;&gt;0,'Boletins Nuppa Site'!H766,"NULL")</f>
        <v>72</v>
      </c>
      <c r="F766" s="30" t="n">
        <f aca="false">IF('Boletins Nuppa Site'!I766&lt;&gt;0,'Boletins Nuppa Site'!I766,"NULL")</f>
        <v>72</v>
      </c>
      <c r="G766" s="30" t="n">
        <f aca="false">IF('Boletins Nuppa Site'!J766&lt;&gt;0,'Boletins Nuppa Site'!J766,"NULL")</f>
        <v>72</v>
      </c>
      <c r="H766" s="30" t="n">
        <f aca="false">IF('Boletins Nuppa Site'!K766&lt;&gt;0,'Boletins Nuppa Site'!K766,"NULL")</f>
        <v>72</v>
      </c>
      <c r="I766" s="0" t="str">
        <f aca="false">"INSERT INTO COTACAO (cot_id, cot_blt_id, cot_pap_id, cot_prc_comum, cot_prc_min, cot_prc_max, cot_prc_med, cot_prc_mediana) VALUES ("&amp;A766&amp;", "&amp;B766&amp;", "&amp;C766&amp;", "&amp;D766&amp;", "&amp;E766&amp;", "&amp;F766&amp;", "&amp;G766&amp;", "&amp;H766&amp;");"</f>
        <v>INSERT INTO COTACAO (cot_id, cot_blt_id, cot_pap_id, cot_prc_comum, cot_prc_min, cot_prc_max, cot_prc_med, cot_prc_mediana) VALUES (765, 56, 13, 72, 72, 72, 72, 72);</v>
      </c>
      <c r="J766" s="0" t="str">
        <f aca="false">"UPDATE COTACAO SET cot_id = "&amp;A766&amp;", cot_blt_id = "&amp;B766&amp;", cot_pap_id = "&amp;C766&amp;", cot_prc_comum = "&amp;D766&amp;", cot_prc_min = "&amp;E766&amp;", cot_prc_max = "&amp;F766&amp;", cot_prc_med = "&amp;G766&amp;", cot_prc_mediana = "&amp;H766&amp;" WHERE cot_id = "&amp;A766&amp;";"</f>
        <v>UPDATE COTACAO SET cot_id = 765, cot_blt_id = 56, cot_pap_id = 13, cot_prc_comum = 72, cot_prc_min = 72, cot_prc_max = 72, cot_prc_med = 72, cot_prc_mediana = 72 WHERE cot_id = 765;</v>
      </c>
    </row>
    <row r="767" customFormat="false" ht="14.25" hidden="false" customHeight="false" outlineLevel="0" collapsed="false">
      <c r="A767" s="0" t="n">
        <v>766</v>
      </c>
      <c r="B767" s="0" t="n">
        <f aca="false">IF('Boletins Nuppa Site'!A767&lt;&gt;0,'Boletins Nuppa Site'!A767,"NULL")</f>
        <v>56</v>
      </c>
      <c r="C767" s="0" t="n">
        <v>14</v>
      </c>
      <c r="D767" s="0" t="str">
        <f aca="false">IF('Boletins Nuppa Site'!G767&lt;&gt;0,'Boletins Nuppa Site'!G767,"NULL")</f>
        <v>NULL</v>
      </c>
      <c r="E767" s="30" t="n">
        <f aca="false">IF('Boletins Nuppa Site'!H767&lt;&gt;0,'Boletins Nuppa Site'!H767,"NULL")</f>
        <v>60</v>
      </c>
      <c r="F767" s="30" t="n">
        <f aca="false">IF('Boletins Nuppa Site'!I767&lt;&gt;0,'Boletins Nuppa Site'!I767,"NULL")</f>
        <v>72</v>
      </c>
      <c r="G767" s="30" t="n">
        <f aca="false">IF('Boletins Nuppa Site'!J767&lt;&gt;0,'Boletins Nuppa Site'!J767,"NULL")</f>
        <v>66</v>
      </c>
      <c r="H767" s="30" t="n">
        <f aca="false">IF('Boletins Nuppa Site'!K767&lt;&gt;0,'Boletins Nuppa Site'!K767,"NULL")</f>
        <v>66</v>
      </c>
      <c r="I767" s="0" t="str">
        <f aca="false">"INSERT INTO COTACAO (cot_id, cot_blt_id, cot_pap_id, cot_prc_comum, cot_prc_min, cot_prc_max, cot_prc_med, cot_prc_mediana) VALUES ("&amp;A767&amp;", "&amp;B767&amp;", "&amp;C767&amp;", "&amp;D767&amp;", "&amp;E767&amp;", "&amp;F767&amp;", "&amp;G767&amp;", "&amp;H767&amp;");"</f>
        <v>INSERT INTO COTACAO (cot_id, cot_blt_id, cot_pap_id, cot_prc_comum, cot_prc_min, cot_prc_max, cot_prc_med, cot_prc_mediana) VALUES (766, 56, 14, NULL, 60, 72, 66, 66);</v>
      </c>
      <c r="J767" s="0" t="str">
        <f aca="false">"UPDATE COTACAO SET cot_id = "&amp;A767&amp;", cot_blt_id = "&amp;B767&amp;", cot_pap_id = "&amp;C767&amp;", cot_prc_comum = "&amp;D767&amp;", cot_prc_min = "&amp;E767&amp;", cot_prc_max = "&amp;F767&amp;", cot_prc_med = "&amp;G767&amp;", cot_prc_mediana = "&amp;H767&amp;" WHERE cot_id = "&amp;A767&amp;";"</f>
        <v>UPDATE COTACAO SET cot_id = 766, cot_blt_id = 56, cot_pap_id = 14, cot_prc_comum = NULL, cot_prc_min = 60, cot_prc_max = 72, cot_prc_med = 66, cot_prc_mediana = 66 WHERE cot_id = 766;</v>
      </c>
    </row>
    <row r="768" customFormat="false" ht="14.25" hidden="false" customHeight="false" outlineLevel="0" collapsed="false">
      <c r="A768" s="0" t="n">
        <v>767</v>
      </c>
      <c r="B768" s="0" t="n">
        <f aca="false">IF('Boletins Nuppa Site'!A768&lt;&gt;0,'Boletins Nuppa Site'!A768,"NULL")</f>
        <v>56</v>
      </c>
      <c r="C768" s="0" t="n">
        <v>15</v>
      </c>
      <c r="D768" s="30" t="n">
        <f aca="false">IF('Boletins Nuppa Site'!G768&lt;&gt;0,'Boletins Nuppa Site'!G768,"NULL")</f>
        <v>96</v>
      </c>
      <c r="E768" s="30" t="n">
        <f aca="false">IF('Boletins Nuppa Site'!H768&lt;&gt;0,'Boletins Nuppa Site'!H768,"NULL")</f>
        <v>60</v>
      </c>
      <c r="F768" s="30" t="n">
        <f aca="false">IF('Boletins Nuppa Site'!I768&lt;&gt;0,'Boletins Nuppa Site'!I768,"NULL")</f>
        <v>96</v>
      </c>
      <c r="G768" s="30" t="n">
        <f aca="false">IF('Boletins Nuppa Site'!J768&lt;&gt;0,'Boletins Nuppa Site'!J768,"NULL")</f>
        <v>84</v>
      </c>
      <c r="H768" s="30" t="n">
        <f aca="false">IF('Boletins Nuppa Site'!K768&lt;&gt;0,'Boletins Nuppa Site'!K768,"NULL")</f>
        <v>96</v>
      </c>
      <c r="I768" s="0" t="str">
        <f aca="false">"INSERT INTO COTACAO (cot_id, cot_blt_id, cot_pap_id, cot_prc_comum, cot_prc_min, cot_prc_max, cot_prc_med, cot_prc_mediana) VALUES ("&amp;A768&amp;", "&amp;B768&amp;", "&amp;C768&amp;", "&amp;D768&amp;", "&amp;E768&amp;", "&amp;F768&amp;", "&amp;G768&amp;", "&amp;H768&amp;");"</f>
        <v>INSERT INTO COTACAO (cot_id, cot_blt_id, cot_pap_id, cot_prc_comum, cot_prc_min, cot_prc_max, cot_prc_med, cot_prc_mediana) VALUES (767, 56, 15, 96, 60, 96, 84, 96);</v>
      </c>
      <c r="J768" s="0" t="str">
        <f aca="false">"UPDATE COTACAO SET cot_id = "&amp;A768&amp;", cot_blt_id = "&amp;B768&amp;", cot_pap_id = "&amp;C768&amp;", cot_prc_comum = "&amp;D768&amp;", cot_prc_min = "&amp;E768&amp;", cot_prc_max = "&amp;F768&amp;", cot_prc_med = "&amp;G768&amp;", cot_prc_mediana = "&amp;H768&amp;" WHERE cot_id = "&amp;A768&amp;";"</f>
        <v>UPDATE COTACAO SET cot_id = 767, cot_blt_id = 56, cot_pap_id = 15, cot_prc_comum = 96, cot_prc_min = 60, cot_prc_max = 96, cot_prc_med = 84, cot_prc_mediana = 96 WHERE cot_id = 767;</v>
      </c>
    </row>
    <row r="769" customFormat="false" ht="14.25" hidden="false" customHeight="false" outlineLevel="0" collapsed="false">
      <c r="A769" s="0" t="n">
        <v>768</v>
      </c>
      <c r="B769" s="0" t="n">
        <f aca="false">IF('Boletins Nuppa Site'!A769&lt;&gt;0,'Boletins Nuppa Site'!A769,"NULL")</f>
        <v>56</v>
      </c>
      <c r="C769" s="0" t="n">
        <v>16</v>
      </c>
      <c r="D769" s="0" t="str">
        <f aca="false">IF('Boletins Nuppa Site'!G769&lt;&gt;0,'Boletins Nuppa Site'!G769,"NULL")</f>
        <v>NULL</v>
      </c>
      <c r="E769" s="30" t="n">
        <f aca="false">IF('Boletins Nuppa Site'!H769&lt;&gt;0,'Boletins Nuppa Site'!H769,"NULL")</f>
        <v>50</v>
      </c>
      <c r="F769" s="30" t="n">
        <f aca="false">IF('Boletins Nuppa Site'!I769&lt;&gt;0,'Boletins Nuppa Site'!I769,"NULL")</f>
        <v>65</v>
      </c>
      <c r="G769" s="0" t="str">
        <f aca="false">IF('Boletins Nuppa Site'!J769&lt;&gt;0,'Boletins Nuppa Site'!J769,"NULL")</f>
        <v>58.33</v>
      </c>
      <c r="H769" s="30" t="n">
        <f aca="false">IF('Boletins Nuppa Site'!K769&lt;&gt;0,'Boletins Nuppa Site'!K769,"NULL")</f>
        <v>60</v>
      </c>
      <c r="I769" s="0" t="str">
        <f aca="false">"INSERT INTO COTACAO (cot_id, cot_blt_id, cot_pap_id, cot_prc_comum, cot_prc_min, cot_prc_max, cot_prc_med, cot_prc_mediana) VALUES ("&amp;A769&amp;", "&amp;B769&amp;", "&amp;C769&amp;", "&amp;D769&amp;", "&amp;E769&amp;", "&amp;F769&amp;", "&amp;G769&amp;", "&amp;H769&amp;");"</f>
        <v>INSERT INTO COTACAO (cot_id, cot_blt_id, cot_pap_id, cot_prc_comum, cot_prc_min, cot_prc_max, cot_prc_med, cot_prc_mediana) VALUES (768, 56, 16, NULL, 50, 65, 58.33, 60);</v>
      </c>
      <c r="J769" s="0" t="str">
        <f aca="false">"UPDATE COTACAO SET cot_id = "&amp;A769&amp;", cot_blt_id = "&amp;B769&amp;", cot_pap_id = "&amp;C769&amp;", cot_prc_comum = "&amp;D769&amp;", cot_prc_min = "&amp;E769&amp;", cot_prc_max = "&amp;F769&amp;", cot_prc_med = "&amp;G769&amp;", cot_prc_mediana = "&amp;H769&amp;" WHERE cot_id = "&amp;A769&amp;";"</f>
        <v>UPDATE COTACAO SET cot_id = 768, cot_blt_id = 56, cot_pap_id = 16, cot_prc_comum = NULL, cot_prc_min = 50, cot_prc_max = 65, cot_prc_med = 58.33, cot_prc_mediana = 60 WHERE cot_id = 768;</v>
      </c>
    </row>
    <row r="770" customFormat="false" ht="14.25" hidden="false" customHeight="false" outlineLevel="0" collapsed="false">
      <c r="A770" s="0" t="n">
        <v>769</v>
      </c>
      <c r="B770" s="0" t="n">
        <f aca="false">IF('Boletins Nuppa Site'!A770&lt;&gt;0,'Boletins Nuppa Site'!A770,"NULL")</f>
        <v>56</v>
      </c>
      <c r="C770" s="0" t="n">
        <v>17</v>
      </c>
      <c r="D770" s="30" t="n">
        <f aca="false">IF('Boletins Nuppa Site'!G770&lt;&gt;0,'Boletins Nuppa Site'!G770,"NULL")</f>
        <v>5</v>
      </c>
      <c r="E770" s="30" t="n">
        <f aca="false">IF('Boletins Nuppa Site'!H770&lt;&gt;0,'Boletins Nuppa Site'!H770,"NULL")</f>
        <v>5</v>
      </c>
      <c r="F770" s="30" t="n">
        <f aca="false">IF('Boletins Nuppa Site'!I770&lt;&gt;0,'Boletins Nuppa Site'!I770,"NULL")</f>
        <v>5</v>
      </c>
      <c r="G770" s="30" t="n">
        <f aca="false">IF('Boletins Nuppa Site'!J770&lt;&gt;0,'Boletins Nuppa Site'!J770,"NULL")</f>
        <v>5</v>
      </c>
      <c r="H770" s="30" t="n">
        <f aca="false">IF('Boletins Nuppa Site'!K770&lt;&gt;0,'Boletins Nuppa Site'!K770,"NULL")</f>
        <v>5</v>
      </c>
      <c r="I770" s="0" t="str">
        <f aca="false">"INSERT INTO COTACAO (cot_id, cot_blt_id, cot_pap_id, cot_prc_comum, cot_prc_min, cot_prc_max, cot_prc_med, cot_prc_mediana) VALUES ("&amp;A770&amp;", "&amp;B770&amp;", "&amp;C770&amp;", "&amp;D770&amp;", "&amp;E770&amp;", "&amp;F770&amp;", "&amp;G770&amp;", "&amp;H770&amp;");"</f>
        <v>INSERT INTO COTACAO (cot_id, cot_blt_id, cot_pap_id, cot_prc_comum, cot_prc_min, cot_prc_max, cot_prc_med, cot_prc_mediana) VALUES (769, 56, 17, 5, 5, 5, 5, 5);</v>
      </c>
      <c r="J770" s="0" t="str">
        <f aca="false">"UPDATE COTACAO SET cot_id = "&amp;A770&amp;", cot_blt_id = "&amp;B770&amp;", cot_pap_id = "&amp;C770&amp;", cot_prc_comum = "&amp;D770&amp;", cot_prc_min = "&amp;E770&amp;", cot_prc_max = "&amp;F770&amp;", cot_prc_med = "&amp;G770&amp;", cot_prc_mediana = "&amp;H770&amp;" WHERE cot_id = "&amp;A770&amp;";"</f>
        <v>UPDATE COTACAO SET cot_id = 769, cot_blt_id = 56, cot_pap_id = 17, cot_prc_comum = 5, cot_prc_min = 5, cot_prc_max = 5, cot_prc_med = 5, cot_prc_mediana = 5 WHERE cot_id = 769;</v>
      </c>
    </row>
    <row r="771" customFormat="false" ht="14.25" hidden="false" customHeight="false" outlineLevel="0" collapsed="false">
      <c r="A771" s="0" t="n">
        <v>770</v>
      </c>
      <c r="B771" s="0" t="n">
        <f aca="false">IF('Boletins Nuppa Site'!A771&lt;&gt;0,'Boletins Nuppa Site'!A771,"NULL")</f>
        <v>56</v>
      </c>
      <c r="C771" s="0" t="n">
        <v>18</v>
      </c>
      <c r="D771" s="30" t="n">
        <f aca="false">IF('Boletins Nuppa Site'!G771&lt;&gt;0,'Boletins Nuppa Site'!G771,"NULL")</f>
        <v>25</v>
      </c>
      <c r="E771" s="30" t="n">
        <f aca="false">IF('Boletins Nuppa Site'!H771&lt;&gt;0,'Boletins Nuppa Site'!H771,"NULL")</f>
        <v>25</v>
      </c>
      <c r="F771" s="30" t="n">
        <f aca="false">IF('Boletins Nuppa Site'!I771&lt;&gt;0,'Boletins Nuppa Site'!I771,"NULL")</f>
        <v>25</v>
      </c>
      <c r="G771" s="30" t="n">
        <f aca="false">IF('Boletins Nuppa Site'!J771&lt;&gt;0,'Boletins Nuppa Site'!J771,"NULL")</f>
        <v>25</v>
      </c>
      <c r="H771" s="30" t="n">
        <f aca="false">IF('Boletins Nuppa Site'!K771&lt;&gt;0,'Boletins Nuppa Site'!K771,"NULL")</f>
        <v>25</v>
      </c>
      <c r="I771" s="0" t="str">
        <f aca="false">"INSERT INTO COTACAO (cot_id, cot_blt_id, cot_pap_id, cot_prc_comum, cot_prc_min, cot_prc_max, cot_prc_med, cot_prc_mediana) VALUES ("&amp;A771&amp;", "&amp;B771&amp;", "&amp;C771&amp;", "&amp;D771&amp;", "&amp;E771&amp;", "&amp;F771&amp;", "&amp;G771&amp;", "&amp;H771&amp;");"</f>
        <v>INSERT INTO COTACAO (cot_id, cot_blt_id, cot_pap_id, cot_prc_comum, cot_prc_min, cot_prc_max, cot_prc_med, cot_prc_mediana) VALUES (770, 56, 18, 25, 25, 25, 25, 25);</v>
      </c>
      <c r="J771" s="0" t="str">
        <f aca="false">"UPDATE COTACAO SET cot_id = "&amp;A771&amp;", cot_blt_id = "&amp;B771&amp;", cot_pap_id = "&amp;C771&amp;", cot_prc_comum = "&amp;D771&amp;", cot_prc_min = "&amp;E771&amp;", cot_prc_max = "&amp;F771&amp;", cot_prc_med = "&amp;G771&amp;", cot_prc_mediana = "&amp;H771&amp;" WHERE cot_id = "&amp;A771&amp;";"</f>
        <v>UPDATE COTACAO SET cot_id = 770, cot_blt_id = 56, cot_pap_id = 18, cot_prc_comum = 25, cot_prc_min = 25, cot_prc_max = 25, cot_prc_med = 25, cot_prc_mediana = 25 WHERE cot_id = 770;</v>
      </c>
    </row>
    <row r="772" customFormat="false" ht="14.25" hidden="false" customHeight="false" outlineLevel="0" collapsed="false">
      <c r="A772" s="0" t="n">
        <v>771</v>
      </c>
      <c r="B772" s="0" t="n">
        <f aca="false">IF('Boletins Nuppa Site'!A772&lt;&gt;0,'Boletins Nuppa Site'!A772,"NULL")</f>
        <v>56</v>
      </c>
      <c r="C772" s="0" t="n">
        <v>19</v>
      </c>
      <c r="D772" s="30" t="n">
        <f aca="false">IF('Boletins Nuppa Site'!G772&lt;&gt;0,'Boletins Nuppa Site'!G772,"NULL")</f>
        <v>30</v>
      </c>
      <c r="E772" s="30" t="n">
        <f aca="false">IF('Boletins Nuppa Site'!H772&lt;&gt;0,'Boletins Nuppa Site'!H772,"NULL")</f>
        <v>30</v>
      </c>
      <c r="F772" s="30" t="n">
        <f aca="false">IF('Boletins Nuppa Site'!I772&lt;&gt;0,'Boletins Nuppa Site'!I772,"NULL")</f>
        <v>30</v>
      </c>
      <c r="G772" s="30" t="n">
        <f aca="false">IF('Boletins Nuppa Site'!J772&lt;&gt;0,'Boletins Nuppa Site'!J772,"NULL")</f>
        <v>30</v>
      </c>
      <c r="H772" s="30" t="n">
        <f aca="false">IF('Boletins Nuppa Site'!K772&lt;&gt;0,'Boletins Nuppa Site'!K772,"NULL")</f>
        <v>30</v>
      </c>
      <c r="I772" s="0" t="str">
        <f aca="false">"INSERT INTO COTACAO (cot_id, cot_blt_id, cot_pap_id, cot_prc_comum, cot_prc_min, cot_prc_max, cot_prc_med, cot_prc_mediana) VALUES ("&amp;A772&amp;", "&amp;B772&amp;", "&amp;C772&amp;", "&amp;D772&amp;", "&amp;E772&amp;", "&amp;F772&amp;", "&amp;G772&amp;", "&amp;H772&amp;");"</f>
        <v>INSERT INTO COTACAO (cot_id, cot_blt_id, cot_pap_id, cot_prc_comum, cot_prc_min, cot_prc_max, cot_prc_med, cot_prc_mediana) VALUES (771, 56, 19, 30, 30, 30, 30, 30);</v>
      </c>
      <c r="J772" s="0" t="str">
        <f aca="false">"UPDATE COTACAO SET cot_id = "&amp;A772&amp;", cot_blt_id = "&amp;B772&amp;", cot_pap_id = "&amp;C772&amp;", cot_prc_comum = "&amp;D772&amp;", cot_prc_min = "&amp;E772&amp;", cot_prc_max = "&amp;F772&amp;", cot_prc_med = "&amp;G772&amp;", cot_prc_mediana = "&amp;H772&amp;" WHERE cot_id = "&amp;A772&amp;";"</f>
        <v>UPDATE COTACAO SET cot_id = 771, cot_blt_id = 56, cot_pap_id = 19, cot_prc_comum = 30, cot_prc_min = 30, cot_prc_max = 30, cot_prc_med = 30, cot_prc_mediana = 30 WHERE cot_id = 771;</v>
      </c>
    </row>
    <row r="773" customFormat="false" ht="14.25" hidden="false" customHeight="false" outlineLevel="0" collapsed="false">
      <c r="A773" s="0" t="n">
        <v>772</v>
      </c>
      <c r="B773" s="0" t="n">
        <f aca="false">IF('Boletins Nuppa Site'!A773&lt;&gt;0,'Boletins Nuppa Site'!A773,"NULL")</f>
        <v>56</v>
      </c>
      <c r="C773" s="0" t="n">
        <v>20</v>
      </c>
      <c r="D773" s="0" t="str">
        <f aca="false">IF('Boletins Nuppa Site'!G773&lt;&gt;0,'Boletins Nuppa Site'!G773,"NULL")</f>
        <v>NULL</v>
      </c>
      <c r="E773" s="30" t="n">
        <f aca="false">IF('Boletins Nuppa Site'!H773&lt;&gt;0,'Boletins Nuppa Site'!H773,"NULL")</f>
        <v>90</v>
      </c>
      <c r="F773" s="30" t="n">
        <f aca="false">IF('Boletins Nuppa Site'!I773&lt;&gt;0,'Boletins Nuppa Site'!I773,"NULL")</f>
        <v>110</v>
      </c>
      <c r="G773" s="0" t="str">
        <f aca="false">IF('Boletins Nuppa Site'!J773&lt;&gt;0,'Boletins Nuppa Site'!J773,"NULL")</f>
        <v>98.33</v>
      </c>
      <c r="H773" s="30" t="n">
        <f aca="false">IF('Boletins Nuppa Site'!K773&lt;&gt;0,'Boletins Nuppa Site'!K773,"NULL")</f>
        <v>95</v>
      </c>
      <c r="I773" s="0" t="str">
        <f aca="false">"INSERT INTO COTACAO (cot_id, cot_blt_id, cot_pap_id, cot_prc_comum, cot_prc_min, cot_prc_max, cot_prc_med, cot_prc_mediana) VALUES ("&amp;A773&amp;", "&amp;B773&amp;", "&amp;C773&amp;", "&amp;D773&amp;", "&amp;E773&amp;", "&amp;F773&amp;", "&amp;G773&amp;", "&amp;H773&amp;");"</f>
        <v>INSERT INTO COTACAO (cot_id, cot_blt_id, cot_pap_id, cot_prc_comum, cot_prc_min, cot_prc_max, cot_prc_med, cot_prc_mediana) VALUES (772, 56, 20, NULL, 90, 110, 98.33, 95);</v>
      </c>
      <c r="J773" s="0" t="str">
        <f aca="false">"UPDATE COTACAO SET cot_id = "&amp;A773&amp;", cot_blt_id = "&amp;B773&amp;", cot_pap_id = "&amp;C773&amp;", cot_prc_comum = "&amp;D773&amp;", cot_prc_min = "&amp;E773&amp;", cot_prc_max = "&amp;F773&amp;", cot_prc_med = "&amp;G773&amp;", cot_prc_mediana = "&amp;H773&amp;" WHERE cot_id = "&amp;A773&amp;";"</f>
        <v>UPDATE COTACAO SET cot_id = 772, cot_blt_id = 56, cot_pap_id = 20, cot_prc_comum = NULL, cot_prc_min = 90, cot_prc_max = 110, cot_prc_med = 98.33, cot_prc_mediana = 95 WHERE cot_id = 772;</v>
      </c>
    </row>
    <row r="774" customFormat="false" ht="14.25" hidden="false" customHeight="false" outlineLevel="0" collapsed="false">
      <c r="A774" s="0" t="n">
        <v>773</v>
      </c>
      <c r="B774" s="0" t="n">
        <f aca="false">IF('Boletins Nuppa Site'!A774&lt;&gt;0,'Boletins Nuppa Site'!A774,"NULL")</f>
        <v>56</v>
      </c>
      <c r="C774" s="0" t="n">
        <v>21</v>
      </c>
      <c r="D774" s="30" t="n">
        <f aca="false">IF('Boletins Nuppa Site'!G774&lt;&gt;0,'Boletins Nuppa Site'!G774,"NULL")</f>
        <v>90</v>
      </c>
      <c r="E774" s="30" t="n">
        <f aca="false">IF('Boletins Nuppa Site'!H774&lt;&gt;0,'Boletins Nuppa Site'!H774,"NULL")</f>
        <v>80</v>
      </c>
      <c r="F774" s="30" t="n">
        <f aca="false">IF('Boletins Nuppa Site'!I774&lt;&gt;0,'Boletins Nuppa Site'!I774,"NULL")</f>
        <v>100</v>
      </c>
      <c r="G774" s="30" t="n">
        <f aca="false">IF('Boletins Nuppa Site'!J774&lt;&gt;0,'Boletins Nuppa Site'!J774,"NULL")</f>
        <v>92</v>
      </c>
      <c r="H774" s="30" t="n">
        <f aca="false">IF('Boletins Nuppa Site'!K774&lt;&gt;0,'Boletins Nuppa Site'!K774,"NULL")</f>
        <v>90</v>
      </c>
      <c r="I774" s="0" t="str">
        <f aca="false">"INSERT INTO COTACAO (cot_id, cot_blt_id, cot_pap_id, cot_prc_comum, cot_prc_min, cot_prc_max, cot_prc_med, cot_prc_mediana) VALUES ("&amp;A774&amp;", "&amp;B774&amp;", "&amp;C774&amp;", "&amp;D774&amp;", "&amp;E774&amp;", "&amp;F774&amp;", "&amp;G774&amp;", "&amp;H774&amp;");"</f>
        <v>INSERT INTO COTACAO (cot_id, cot_blt_id, cot_pap_id, cot_prc_comum, cot_prc_min, cot_prc_max, cot_prc_med, cot_prc_mediana) VALUES (773, 56, 21, 90, 80, 100, 92, 90);</v>
      </c>
      <c r="J774" s="0" t="str">
        <f aca="false">"UPDATE COTACAO SET cot_id = "&amp;A774&amp;", cot_blt_id = "&amp;B774&amp;", cot_pap_id = "&amp;C774&amp;", cot_prc_comum = "&amp;D774&amp;", cot_prc_min = "&amp;E774&amp;", cot_prc_max = "&amp;F774&amp;", cot_prc_med = "&amp;G774&amp;", cot_prc_mediana = "&amp;H774&amp;" WHERE cot_id = "&amp;A774&amp;";"</f>
        <v>UPDATE COTACAO SET cot_id = 773, cot_blt_id = 56, cot_pap_id = 21, cot_prc_comum = 90, cot_prc_min = 80, cot_prc_max = 100, cot_prc_med = 92, cot_prc_mediana = 90 WHERE cot_id = 773;</v>
      </c>
    </row>
    <row r="775" customFormat="false" ht="14.25" hidden="false" customHeight="false" outlineLevel="0" collapsed="false">
      <c r="A775" s="0" t="n">
        <v>774</v>
      </c>
      <c r="B775" s="0" t="n">
        <f aca="false">IF('Boletins Nuppa Site'!A775&lt;&gt;0,'Boletins Nuppa Site'!A775,"NULL")</f>
        <v>56</v>
      </c>
      <c r="C775" s="0" t="n">
        <v>22</v>
      </c>
      <c r="D775" s="30" t="n">
        <f aca="false">IF('Boletins Nuppa Site'!G775&lt;&gt;0,'Boletins Nuppa Site'!G775,"NULL")</f>
        <v>65</v>
      </c>
      <c r="E775" s="30" t="n">
        <f aca="false">IF('Boletins Nuppa Site'!H775&lt;&gt;0,'Boletins Nuppa Site'!H775,"NULL")</f>
        <v>48</v>
      </c>
      <c r="F775" s="30" t="n">
        <f aca="false">IF('Boletins Nuppa Site'!I775&lt;&gt;0,'Boletins Nuppa Site'!I775,"NULL")</f>
        <v>70</v>
      </c>
      <c r="G775" s="30" t="n">
        <f aca="false">IF('Boletins Nuppa Site'!J775&lt;&gt;0,'Boletins Nuppa Site'!J775,"NULL")</f>
        <v>63</v>
      </c>
      <c r="H775" s="30" t="n">
        <f aca="false">IF('Boletins Nuppa Site'!K775&lt;&gt;0,'Boletins Nuppa Site'!K775,"NULL")</f>
        <v>65</v>
      </c>
      <c r="I775" s="0" t="str">
        <f aca="false">"INSERT INTO COTACAO (cot_id, cot_blt_id, cot_pap_id, cot_prc_comum, cot_prc_min, cot_prc_max, cot_prc_med, cot_prc_mediana) VALUES ("&amp;A775&amp;", "&amp;B775&amp;", "&amp;C775&amp;", "&amp;D775&amp;", "&amp;E775&amp;", "&amp;F775&amp;", "&amp;G775&amp;", "&amp;H775&amp;");"</f>
        <v>INSERT INTO COTACAO (cot_id, cot_blt_id, cot_pap_id, cot_prc_comum, cot_prc_min, cot_prc_max, cot_prc_med, cot_prc_mediana) VALUES (774, 56, 22, 65, 48, 70, 63, 65);</v>
      </c>
      <c r="J775" s="0" t="str">
        <f aca="false">"UPDATE COTACAO SET cot_id = "&amp;A775&amp;", cot_blt_id = "&amp;B775&amp;", cot_pap_id = "&amp;C775&amp;", cot_prc_comum = "&amp;D775&amp;", cot_prc_min = "&amp;E775&amp;", cot_prc_max = "&amp;F775&amp;", cot_prc_med = "&amp;G775&amp;", cot_prc_mediana = "&amp;H775&amp;" WHERE cot_id = "&amp;A775&amp;";"</f>
        <v>UPDATE COTACAO SET cot_id = 774, cot_blt_id = 56, cot_pap_id = 22, cot_prc_comum = 65, cot_prc_min = 48, cot_prc_max = 70, cot_prc_med = 63, cot_prc_mediana = 65 WHERE cot_id = 774;</v>
      </c>
    </row>
    <row r="776" customFormat="false" ht="14.25" hidden="false" customHeight="false" outlineLevel="0" collapsed="false">
      <c r="A776" s="0" t="n">
        <v>775</v>
      </c>
      <c r="B776" s="0" t="n">
        <f aca="false">IF('Boletins Nuppa Site'!A776&lt;&gt;0,'Boletins Nuppa Site'!A776,"NULL")</f>
        <v>56</v>
      </c>
      <c r="C776" s="0" t="n">
        <v>23</v>
      </c>
      <c r="D776" s="30" t="n">
        <f aca="false">IF('Boletins Nuppa Site'!G776&lt;&gt;0,'Boletins Nuppa Site'!G776,"NULL")</f>
        <v>40</v>
      </c>
      <c r="E776" s="30" t="n">
        <f aca="false">IF('Boletins Nuppa Site'!H776&lt;&gt;0,'Boletins Nuppa Site'!H776,"NULL")</f>
        <v>35</v>
      </c>
      <c r="F776" s="30" t="n">
        <f aca="false">IF('Boletins Nuppa Site'!I776&lt;&gt;0,'Boletins Nuppa Site'!I776,"NULL")</f>
        <v>60</v>
      </c>
      <c r="G776" s="30" t="n">
        <f aca="false">IF('Boletins Nuppa Site'!J776&lt;&gt;0,'Boletins Nuppa Site'!J776,"NULL")</f>
        <v>45</v>
      </c>
      <c r="H776" s="0" t="str">
        <f aca="false">IF('Boletins Nuppa Site'!K776&lt;&gt;0,'Boletins Nuppa Site'!K776,"NULL")</f>
        <v>42.5</v>
      </c>
      <c r="I776" s="0" t="str">
        <f aca="false">"INSERT INTO COTACAO (cot_id, cot_blt_id, cot_pap_id, cot_prc_comum, cot_prc_min, cot_prc_max, cot_prc_med, cot_prc_mediana) VALUES ("&amp;A776&amp;", "&amp;B776&amp;", "&amp;C776&amp;", "&amp;D776&amp;", "&amp;E776&amp;", "&amp;F776&amp;", "&amp;G776&amp;", "&amp;H776&amp;");"</f>
        <v>INSERT INTO COTACAO (cot_id, cot_blt_id, cot_pap_id, cot_prc_comum, cot_prc_min, cot_prc_max, cot_prc_med, cot_prc_mediana) VALUES (775, 56, 23, 40, 35, 60, 45, 42.5);</v>
      </c>
      <c r="J776" s="0" t="str">
        <f aca="false">"UPDATE COTACAO SET cot_id = "&amp;A776&amp;", cot_blt_id = "&amp;B776&amp;", cot_pap_id = "&amp;C776&amp;", cot_prc_comum = "&amp;D776&amp;", cot_prc_min = "&amp;E776&amp;", cot_prc_max = "&amp;F776&amp;", cot_prc_med = "&amp;G776&amp;", cot_prc_mediana = "&amp;H776&amp;" WHERE cot_id = "&amp;A776&amp;";"</f>
        <v>UPDATE COTACAO SET cot_id = 775, cot_blt_id = 56, cot_pap_id = 23, cot_prc_comum = 40, cot_prc_min = 35, cot_prc_max = 60, cot_prc_med = 45, cot_prc_mediana = 42.5 WHERE cot_id = 775;</v>
      </c>
    </row>
    <row r="777" customFormat="false" ht="14.25" hidden="false" customHeight="false" outlineLevel="0" collapsed="false">
      <c r="A777" s="0" t="n">
        <v>776</v>
      </c>
      <c r="B777" s="0" t="n">
        <f aca="false">IF('Boletins Nuppa Site'!A777&lt;&gt;0,'Boletins Nuppa Site'!A777,"NULL")</f>
        <v>56</v>
      </c>
      <c r="C777" s="0" t="n">
        <v>24</v>
      </c>
      <c r="D777" s="0" t="str">
        <f aca="false">IF('Boletins Nuppa Site'!G777&lt;&gt;0,'Boletins Nuppa Site'!G777,"NULL")</f>
        <v>NULL</v>
      </c>
      <c r="E777" s="30" t="n">
        <f aca="false">IF('Boletins Nuppa Site'!H777&lt;&gt;0,'Boletins Nuppa Site'!H777,"NULL")</f>
        <v>100</v>
      </c>
      <c r="F777" s="30" t="n">
        <f aca="false">IF('Boletins Nuppa Site'!I777&lt;&gt;0,'Boletins Nuppa Site'!I777,"NULL")</f>
        <v>115</v>
      </c>
      <c r="G777" s="0" t="str">
        <f aca="false">IF('Boletins Nuppa Site'!J777&lt;&gt;0,'Boletins Nuppa Site'!J777,"NULL")</f>
        <v>108.33</v>
      </c>
      <c r="H777" s="30" t="n">
        <f aca="false">IF('Boletins Nuppa Site'!K777&lt;&gt;0,'Boletins Nuppa Site'!K777,"NULL")</f>
        <v>110</v>
      </c>
      <c r="I777" s="0" t="str">
        <f aca="false">"INSERT INTO COTACAO (cot_id, cot_blt_id, cot_pap_id, cot_prc_comum, cot_prc_min, cot_prc_max, cot_prc_med, cot_prc_mediana) VALUES ("&amp;A777&amp;", "&amp;B777&amp;", "&amp;C777&amp;", "&amp;D777&amp;", "&amp;E777&amp;", "&amp;F777&amp;", "&amp;G777&amp;", "&amp;H777&amp;");"</f>
        <v>INSERT INTO COTACAO (cot_id, cot_blt_id, cot_pap_id, cot_prc_comum, cot_prc_min, cot_prc_max, cot_prc_med, cot_prc_mediana) VALUES (776, 56, 24, NULL, 100, 115, 108.33, 110);</v>
      </c>
      <c r="J777" s="0" t="str">
        <f aca="false">"UPDATE COTACAO SET cot_id = "&amp;A777&amp;", cot_blt_id = "&amp;B777&amp;", cot_pap_id = "&amp;C777&amp;", cot_prc_comum = "&amp;D777&amp;", cot_prc_min = "&amp;E777&amp;", cot_prc_max = "&amp;F777&amp;", cot_prc_med = "&amp;G777&amp;", cot_prc_mediana = "&amp;H777&amp;" WHERE cot_id = "&amp;A777&amp;";"</f>
        <v>UPDATE COTACAO SET cot_id = 776, cot_blt_id = 56, cot_pap_id = 24, cot_prc_comum = NULL, cot_prc_min = 100, cot_prc_max = 115, cot_prc_med = 108.33, cot_prc_mediana = 110 WHERE cot_id = 776;</v>
      </c>
    </row>
    <row r="778" customFormat="false" ht="14.25" hidden="false" customHeight="false" outlineLevel="0" collapsed="false">
      <c r="A778" s="0" t="n">
        <v>777</v>
      </c>
      <c r="B778" s="0" t="n">
        <f aca="false">IF('Boletins Nuppa Site'!A778&lt;&gt;0,'Boletins Nuppa Site'!A778,"NULL")</f>
        <v>56</v>
      </c>
      <c r="C778" s="0" t="n">
        <v>25</v>
      </c>
      <c r="D778" s="30" t="n">
        <f aca="false">IF('Boletins Nuppa Site'!G778&lt;&gt;0,'Boletins Nuppa Site'!G778,"NULL")</f>
        <v>120</v>
      </c>
      <c r="E778" s="30" t="n">
        <f aca="false">IF('Boletins Nuppa Site'!H778&lt;&gt;0,'Boletins Nuppa Site'!H778,"NULL")</f>
        <v>100</v>
      </c>
      <c r="F778" s="30" t="n">
        <f aca="false">IF('Boletins Nuppa Site'!I778&lt;&gt;0,'Boletins Nuppa Site'!I778,"NULL")</f>
        <v>120</v>
      </c>
      <c r="G778" s="30" t="n">
        <f aca="false">IF('Boletins Nuppa Site'!J778&lt;&gt;0,'Boletins Nuppa Site'!J778,"NULL")</f>
        <v>110</v>
      </c>
      <c r="H778" s="30" t="n">
        <f aca="false">IF('Boletins Nuppa Site'!K778&lt;&gt;0,'Boletins Nuppa Site'!K778,"NULL")</f>
        <v>110</v>
      </c>
      <c r="I778" s="0" t="str">
        <f aca="false">"INSERT INTO COTACAO (cot_id, cot_blt_id, cot_pap_id, cot_prc_comum, cot_prc_min, cot_prc_max, cot_prc_med, cot_prc_mediana) VALUES ("&amp;A778&amp;", "&amp;B778&amp;", "&amp;C778&amp;", "&amp;D778&amp;", "&amp;E778&amp;", "&amp;F778&amp;", "&amp;G778&amp;", "&amp;H778&amp;");"</f>
        <v>INSERT INTO COTACAO (cot_id, cot_blt_id, cot_pap_id, cot_prc_comum, cot_prc_min, cot_prc_max, cot_prc_med, cot_prc_mediana) VALUES (777, 56, 25, 120, 100, 120, 110, 110);</v>
      </c>
      <c r="J778" s="0" t="str">
        <f aca="false">"UPDATE COTACAO SET cot_id = "&amp;A778&amp;", cot_blt_id = "&amp;B778&amp;", cot_pap_id = "&amp;C778&amp;", cot_prc_comum = "&amp;D778&amp;", cot_prc_min = "&amp;E778&amp;", cot_prc_max = "&amp;F778&amp;", cot_prc_med = "&amp;G778&amp;", cot_prc_mediana = "&amp;H778&amp;" WHERE cot_id = "&amp;A778&amp;";"</f>
        <v>UPDATE COTACAO SET cot_id = 777, cot_blt_id = 56, cot_pap_id = 25, cot_prc_comum = 120, cot_prc_min = 100, cot_prc_max = 120, cot_prc_med = 110, cot_prc_mediana = 110 WHERE cot_id = 777;</v>
      </c>
    </row>
    <row r="779" customFormat="false" ht="14.25" hidden="false" customHeight="false" outlineLevel="0" collapsed="false">
      <c r="A779" s="0" t="n">
        <v>778</v>
      </c>
      <c r="B779" s="0" t="n">
        <f aca="false">IF('Boletins Nuppa Site'!A779&lt;&gt;0,'Boletins Nuppa Site'!A779,"NULL")</f>
        <v>56</v>
      </c>
      <c r="C779" s="0" t="n">
        <v>26</v>
      </c>
      <c r="D779" s="0" t="str">
        <f aca="false">IF('Boletins Nuppa Site'!G779&lt;&gt;0,'Boletins Nuppa Site'!G779,"NULL")</f>
        <v>NULL</v>
      </c>
      <c r="E779" s="30" t="n">
        <f aca="false">IF('Boletins Nuppa Site'!H779&lt;&gt;0,'Boletins Nuppa Site'!H779,"NULL")</f>
        <v>90</v>
      </c>
      <c r="F779" s="30" t="n">
        <f aca="false">IF('Boletins Nuppa Site'!I779&lt;&gt;0,'Boletins Nuppa Site'!I779,"NULL")</f>
        <v>145</v>
      </c>
      <c r="G779" s="0" t="str">
        <f aca="false">IF('Boletins Nuppa Site'!J779&lt;&gt;0,'Boletins Nuppa Site'!J779,"NULL")</f>
        <v>120.83</v>
      </c>
      <c r="H779" s="30" t="n">
        <f aca="false">IF('Boletins Nuppa Site'!K779&lt;&gt;0,'Boletins Nuppa Site'!K779,"NULL")</f>
        <v>125</v>
      </c>
      <c r="I779" s="0" t="str">
        <f aca="false">"INSERT INTO COTACAO (cot_id, cot_blt_id, cot_pap_id, cot_prc_comum, cot_prc_min, cot_prc_max, cot_prc_med, cot_prc_mediana) VALUES ("&amp;A779&amp;", "&amp;B779&amp;", "&amp;C779&amp;", "&amp;D779&amp;", "&amp;E779&amp;", "&amp;F779&amp;", "&amp;G779&amp;", "&amp;H779&amp;");"</f>
        <v>INSERT INTO COTACAO (cot_id, cot_blt_id, cot_pap_id, cot_prc_comum, cot_prc_min, cot_prc_max, cot_prc_med, cot_prc_mediana) VALUES (778, 56, 26, NULL, 90, 145, 120.83, 125);</v>
      </c>
      <c r="J779" s="0" t="str">
        <f aca="false">"UPDATE COTACAO SET cot_id = "&amp;A779&amp;", cot_blt_id = "&amp;B779&amp;", cot_pap_id = "&amp;C779&amp;", cot_prc_comum = "&amp;D779&amp;", cot_prc_min = "&amp;E779&amp;", cot_prc_max = "&amp;F779&amp;", cot_prc_med = "&amp;G779&amp;", cot_prc_mediana = "&amp;H779&amp;" WHERE cot_id = "&amp;A779&amp;";"</f>
        <v>UPDATE COTACAO SET cot_id = 778, cot_blt_id = 56, cot_pap_id = 26, cot_prc_comum = NULL, cot_prc_min = 90, cot_prc_max = 145, cot_prc_med = 120.83, cot_prc_mediana = 125 WHERE cot_id = 778;</v>
      </c>
    </row>
    <row r="780" customFormat="false" ht="14.25" hidden="false" customHeight="false" outlineLevel="0" collapsed="false">
      <c r="A780" s="0" t="n">
        <v>779</v>
      </c>
      <c r="B780" s="0" t="n">
        <f aca="false">IF('Boletins Nuppa Site'!A780&lt;&gt;0,'Boletins Nuppa Site'!A780,"NULL")</f>
        <v>56</v>
      </c>
      <c r="C780" s="0" t="n">
        <v>27</v>
      </c>
      <c r="D780" s="30" t="n">
        <f aca="false">IF('Boletins Nuppa Site'!G780&lt;&gt;0,'Boletins Nuppa Site'!G780,"NULL")</f>
        <v>80</v>
      </c>
      <c r="E780" s="30" t="n">
        <f aca="false">IF('Boletins Nuppa Site'!H780&lt;&gt;0,'Boletins Nuppa Site'!H780,"NULL")</f>
        <v>60</v>
      </c>
      <c r="F780" s="30" t="n">
        <f aca="false">IF('Boletins Nuppa Site'!I780&lt;&gt;0,'Boletins Nuppa Site'!I780,"NULL")</f>
        <v>80</v>
      </c>
      <c r="G780" s="30" t="n">
        <f aca="false">IF('Boletins Nuppa Site'!J780&lt;&gt;0,'Boletins Nuppa Site'!J780,"NULL")</f>
        <v>74</v>
      </c>
      <c r="H780" s="30" t="n">
        <f aca="false">IF('Boletins Nuppa Site'!K780&lt;&gt;0,'Boletins Nuppa Site'!K780,"NULL")</f>
        <v>75</v>
      </c>
      <c r="I780" s="0" t="str">
        <f aca="false">"INSERT INTO COTACAO (cot_id, cot_blt_id, cot_pap_id, cot_prc_comum, cot_prc_min, cot_prc_max, cot_prc_med, cot_prc_mediana) VALUES ("&amp;A780&amp;", "&amp;B780&amp;", "&amp;C780&amp;", "&amp;D780&amp;", "&amp;E780&amp;", "&amp;F780&amp;", "&amp;G780&amp;", "&amp;H780&amp;");"</f>
        <v>INSERT INTO COTACAO (cot_id, cot_blt_id, cot_pap_id, cot_prc_comum, cot_prc_min, cot_prc_max, cot_prc_med, cot_prc_mediana) VALUES (779, 56, 27, 80, 60, 80, 74, 75);</v>
      </c>
      <c r="J780" s="0" t="str">
        <f aca="false">"UPDATE COTACAO SET cot_id = "&amp;A780&amp;", cot_blt_id = "&amp;B780&amp;", cot_pap_id = "&amp;C780&amp;", cot_prc_comum = "&amp;D780&amp;", cot_prc_min = "&amp;E780&amp;", cot_prc_max = "&amp;F780&amp;", cot_prc_med = "&amp;G780&amp;", cot_prc_mediana = "&amp;H780&amp;" WHERE cot_id = "&amp;A780&amp;";"</f>
        <v>UPDATE COTACAO SET cot_id = 779, cot_blt_id = 56, cot_pap_id = 27, cot_prc_comum = 80, cot_prc_min = 60, cot_prc_max = 80, cot_prc_med = 74, cot_prc_mediana = 75 WHERE cot_id = 779;</v>
      </c>
    </row>
    <row r="781" customFormat="false" ht="14.25" hidden="false" customHeight="false" outlineLevel="0" collapsed="false">
      <c r="A781" s="0" t="n">
        <v>780</v>
      </c>
      <c r="B781" s="0" t="n">
        <f aca="false">IF('Boletins Nuppa Site'!A781&lt;&gt;0,'Boletins Nuppa Site'!A781,"NULL")</f>
        <v>56</v>
      </c>
      <c r="C781" s="0" t="n">
        <v>28</v>
      </c>
      <c r="D781" s="0" t="str">
        <f aca="false">IF('Boletins Nuppa Site'!G781&lt;&gt;0,'Boletins Nuppa Site'!G781,"NULL")</f>
        <v>NULL</v>
      </c>
      <c r="E781" s="30" t="n">
        <f aca="false">IF('Boletins Nuppa Site'!H781&lt;&gt;0,'Boletins Nuppa Site'!H781,"NULL")</f>
        <v>90</v>
      </c>
      <c r="F781" s="30" t="n">
        <f aca="false">IF('Boletins Nuppa Site'!I781&lt;&gt;0,'Boletins Nuppa Site'!I781,"NULL")</f>
        <v>130</v>
      </c>
      <c r="G781" s="30" t="n">
        <f aca="false">IF('Boletins Nuppa Site'!J781&lt;&gt;0,'Boletins Nuppa Site'!J781,"NULL")</f>
        <v>110</v>
      </c>
      <c r="H781" s="30" t="n">
        <f aca="false">IF('Boletins Nuppa Site'!K781&lt;&gt;0,'Boletins Nuppa Site'!K781,"NULL")</f>
        <v>110</v>
      </c>
      <c r="I781" s="0" t="str">
        <f aca="false">"INSERT INTO COTACAO (cot_id, cot_blt_id, cot_pap_id, cot_prc_comum, cot_prc_min, cot_prc_max, cot_prc_med, cot_prc_mediana) VALUES ("&amp;A781&amp;", "&amp;B781&amp;", "&amp;C781&amp;", "&amp;D781&amp;", "&amp;E781&amp;", "&amp;F781&amp;", "&amp;G781&amp;", "&amp;H781&amp;");"</f>
        <v>INSERT INTO COTACAO (cot_id, cot_blt_id, cot_pap_id, cot_prc_comum, cot_prc_min, cot_prc_max, cot_prc_med, cot_prc_mediana) VALUES (780, 56, 28, NULL, 90, 130, 110, 110);</v>
      </c>
      <c r="J781" s="0" t="str">
        <f aca="false">"UPDATE COTACAO SET cot_id = "&amp;A781&amp;", cot_blt_id = "&amp;B781&amp;", cot_pap_id = "&amp;C781&amp;", cot_prc_comum = "&amp;D781&amp;", cot_prc_min = "&amp;E781&amp;", cot_prc_max = "&amp;F781&amp;", cot_prc_med = "&amp;G781&amp;", cot_prc_mediana = "&amp;H781&amp;" WHERE cot_id = "&amp;A781&amp;";"</f>
        <v>UPDATE COTACAO SET cot_id = 780, cot_blt_id = 56, cot_pap_id = 28, cot_prc_comum = NULL, cot_prc_min = 90, cot_prc_max = 130, cot_prc_med = 110, cot_prc_mediana = 110 WHERE cot_id = 780;</v>
      </c>
    </row>
    <row r="782" customFormat="false" ht="14.25" hidden="false" customHeight="false" outlineLevel="0" collapsed="false">
      <c r="A782" s="0" t="n">
        <v>781</v>
      </c>
      <c r="B782" s="0" t="n">
        <f aca="false">IF('Boletins Nuppa Site'!A782&lt;&gt;0,'Boletins Nuppa Site'!A782,"NULL")</f>
        <v>56</v>
      </c>
      <c r="C782" s="0" t="n">
        <v>29</v>
      </c>
      <c r="D782" s="30" t="n">
        <f aca="false">IF('Boletins Nuppa Site'!G782&lt;&gt;0,'Boletins Nuppa Site'!G782,"NULL")</f>
        <v>70</v>
      </c>
      <c r="E782" s="30" t="n">
        <f aca="false">IF('Boletins Nuppa Site'!H782&lt;&gt;0,'Boletins Nuppa Site'!H782,"NULL")</f>
        <v>35</v>
      </c>
      <c r="F782" s="30" t="n">
        <f aca="false">IF('Boletins Nuppa Site'!I782&lt;&gt;0,'Boletins Nuppa Site'!I782,"NULL")</f>
        <v>70</v>
      </c>
      <c r="G782" s="0" t="str">
        <f aca="false">IF('Boletins Nuppa Site'!J782&lt;&gt;0,'Boletins Nuppa Site'!J782,"NULL")</f>
        <v>53.75</v>
      </c>
      <c r="H782" s="30" t="n">
        <f aca="false">IF('Boletins Nuppa Site'!K782&lt;&gt;0,'Boletins Nuppa Site'!K782,"NULL")</f>
        <v>55</v>
      </c>
      <c r="I782" s="0" t="str">
        <f aca="false">"INSERT INTO COTACAO (cot_id, cot_blt_id, cot_pap_id, cot_prc_comum, cot_prc_min, cot_prc_max, cot_prc_med, cot_prc_mediana) VALUES ("&amp;A782&amp;", "&amp;B782&amp;", "&amp;C782&amp;", "&amp;D782&amp;", "&amp;E782&amp;", "&amp;F782&amp;", "&amp;G782&amp;", "&amp;H782&amp;");"</f>
        <v>INSERT INTO COTACAO (cot_id, cot_blt_id, cot_pap_id, cot_prc_comum, cot_prc_min, cot_prc_max, cot_prc_med, cot_prc_mediana) VALUES (781, 56, 29, 70, 35, 70, 53.75, 55);</v>
      </c>
      <c r="J782" s="0" t="str">
        <f aca="false">"UPDATE COTACAO SET cot_id = "&amp;A782&amp;", cot_blt_id = "&amp;B782&amp;", cot_pap_id = "&amp;C782&amp;", cot_prc_comum = "&amp;D782&amp;", cot_prc_min = "&amp;E782&amp;", cot_prc_max = "&amp;F782&amp;", cot_prc_med = "&amp;G782&amp;", cot_prc_mediana = "&amp;H782&amp;" WHERE cot_id = "&amp;A782&amp;";"</f>
        <v>UPDATE COTACAO SET cot_id = 781, cot_blt_id = 56, cot_pap_id = 29, cot_prc_comum = 70, cot_prc_min = 35, cot_prc_max = 70, cot_prc_med = 53.75, cot_prc_mediana = 55 WHERE cot_id = 781;</v>
      </c>
    </row>
    <row r="783" customFormat="false" ht="14.25" hidden="false" customHeight="false" outlineLevel="0" collapsed="false">
      <c r="A783" s="0" t="n">
        <v>782</v>
      </c>
      <c r="B783" s="0" t="n">
        <f aca="false">IF('Boletins Nuppa Site'!A783&lt;&gt;0,'Boletins Nuppa Site'!A783,"NULL")</f>
        <v>56</v>
      </c>
      <c r="C783" s="0" t="n">
        <v>30</v>
      </c>
      <c r="D783" s="0" t="str">
        <f aca="false">IF('Boletins Nuppa Site'!G783&lt;&gt;0,'Boletins Nuppa Site'!G783,"NULL")</f>
        <v>NULL</v>
      </c>
      <c r="E783" s="30" t="n">
        <f aca="false">IF('Boletins Nuppa Site'!H783&lt;&gt;0,'Boletins Nuppa Site'!H783,"NULL")</f>
        <v>70</v>
      </c>
      <c r="F783" s="30" t="n">
        <f aca="false">IF('Boletins Nuppa Site'!I783&lt;&gt;0,'Boletins Nuppa Site'!I783,"NULL")</f>
        <v>90</v>
      </c>
      <c r="G783" s="0" t="str">
        <f aca="false">IF('Boletins Nuppa Site'!J783&lt;&gt;0,'Boletins Nuppa Site'!J783,"NULL")</f>
        <v>78.33</v>
      </c>
      <c r="H783" s="30" t="n">
        <f aca="false">IF('Boletins Nuppa Site'!K783&lt;&gt;0,'Boletins Nuppa Site'!K783,"NULL")</f>
        <v>75</v>
      </c>
      <c r="I783" s="0" t="str">
        <f aca="false">"INSERT INTO COTACAO (cot_id, cot_blt_id, cot_pap_id, cot_prc_comum, cot_prc_min, cot_prc_max, cot_prc_med, cot_prc_mediana) VALUES ("&amp;A783&amp;", "&amp;B783&amp;", "&amp;C783&amp;", "&amp;D783&amp;", "&amp;E783&amp;", "&amp;F783&amp;", "&amp;G783&amp;", "&amp;H783&amp;");"</f>
        <v>INSERT INTO COTACAO (cot_id, cot_blt_id, cot_pap_id, cot_prc_comum, cot_prc_min, cot_prc_max, cot_prc_med, cot_prc_mediana) VALUES (782, 56, 30, NULL, 70, 90, 78.33, 75);</v>
      </c>
      <c r="J783" s="0" t="str">
        <f aca="false">"UPDATE COTACAO SET cot_id = "&amp;A783&amp;", cot_blt_id = "&amp;B783&amp;", cot_pap_id = "&amp;C783&amp;", cot_prc_comum = "&amp;D783&amp;", cot_prc_min = "&amp;E783&amp;", cot_prc_max = "&amp;F783&amp;", cot_prc_med = "&amp;G783&amp;", cot_prc_mediana = "&amp;H783&amp;" WHERE cot_id = "&amp;A783&amp;";"</f>
        <v>UPDATE COTACAO SET cot_id = 782, cot_blt_id = 56, cot_pap_id = 30, cot_prc_comum = NULL, cot_prc_min = 70, cot_prc_max = 90, cot_prc_med = 78.33, cot_prc_mediana = 75 WHERE cot_id = 782;</v>
      </c>
    </row>
    <row r="784" customFormat="false" ht="14.25" hidden="false" customHeight="false" outlineLevel="0" collapsed="false">
      <c r="A784" s="0" t="n">
        <v>783</v>
      </c>
      <c r="B784" s="0" t="n">
        <f aca="false">IF('Boletins Nuppa Site'!A784&lt;&gt;0,'Boletins Nuppa Site'!A784,"NULL")</f>
        <v>56</v>
      </c>
      <c r="C784" s="0" t="n">
        <v>31</v>
      </c>
      <c r="D784" s="30" t="n">
        <f aca="false">IF('Boletins Nuppa Site'!G784&lt;&gt;0,'Boletins Nuppa Site'!G784,"NULL")</f>
        <v>110</v>
      </c>
      <c r="E784" s="30" t="n">
        <f aca="false">IF('Boletins Nuppa Site'!H784&lt;&gt;0,'Boletins Nuppa Site'!H784,"NULL")</f>
        <v>90</v>
      </c>
      <c r="F784" s="30" t="n">
        <f aca="false">IF('Boletins Nuppa Site'!I784&lt;&gt;0,'Boletins Nuppa Site'!I784,"NULL")</f>
        <v>130</v>
      </c>
      <c r="G784" s="0" t="str">
        <f aca="false">IF('Boletins Nuppa Site'!J784&lt;&gt;0,'Boletins Nuppa Site'!J784,"NULL")</f>
        <v>106.67</v>
      </c>
      <c r="H784" s="30" t="n">
        <f aca="false">IF('Boletins Nuppa Site'!K784&lt;&gt;0,'Boletins Nuppa Site'!K784,"NULL")</f>
        <v>105</v>
      </c>
      <c r="I784" s="0" t="str">
        <f aca="false">"INSERT INTO COTACAO (cot_id, cot_blt_id, cot_pap_id, cot_prc_comum, cot_prc_min, cot_prc_max, cot_prc_med, cot_prc_mediana) VALUES ("&amp;A784&amp;", "&amp;B784&amp;", "&amp;C784&amp;", "&amp;D784&amp;", "&amp;E784&amp;", "&amp;F784&amp;", "&amp;G784&amp;", "&amp;H784&amp;");"</f>
        <v>INSERT INTO COTACAO (cot_id, cot_blt_id, cot_pap_id, cot_prc_comum, cot_prc_min, cot_prc_max, cot_prc_med, cot_prc_mediana) VALUES (783, 56, 31, 110, 90, 130, 106.67, 105);</v>
      </c>
      <c r="J784" s="0" t="str">
        <f aca="false">"UPDATE COTACAO SET cot_id = "&amp;A784&amp;", cot_blt_id = "&amp;B784&amp;", cot_pap_id = "&amp;C784&amp;", cot_prc_comum = "&amp;D784&amp;", cot_prc_min = "&amp;E784&amp;", cot_prc_max = "&amp;F784&amp;", cot_prc_med = "&amp;G784&amp;", cot_prc_mediana = "&amp;H784&amp;" WHERE cot_id = "&amp;A784&amp;";"</f>
        <v>UPDATE COTACAO SET cot_id = 783, cot_blt_id = 56, cot_pap_id = 31, cot_prc_comum = 110, cot_prc_min = 90, cot_prc_max = 130, cot_prc_med = 106.67, cot_prc_mediana = 105 WHERE cot_id = 783;</v>
      </c>
    </row>
    <row r="785" customFormat="false" ht="14.25" hidden="false" customHeight="false" outlineLevel="0" collapsed="false">
      <c r="A785" s="0" t="n">
        <v>784</v>
      </c>
      <c r="B785" s="0" t="n">
        <f aca="false">IF('Boletins Nuppa Site'!A785&lt;&gt;0,'Boletins Nuppa Site'!A785,"NULL")</f>
        <v>56</v>
      </c>
      <c r="C785" s="0" t="n">
        <v>32</v>
      </c>
      <c r="D785" s="30" t="n">
        <f aca="false">IF('Boletins Nuppa Site'!G785&lt;&gt;0,'Boletins Nuppa Site'!G785,"NULL")</f>
        <v>60</v>
      </c>
      <c r="E785" s="30" t="n">
        <f aca="false">IF('Boletins Nuppa Site'!H785&lt;&gt;0,'Boletins Nuppa Site'!H785,"NULL")</f>
        <v>45</v>
      </c>
      <c r="F785" s="30" t="n">
        <f aca="false">IF('Boletins Nuppa Site'!I785&lt;&gt;0,'Boletins Nuppa Site'!I785,"NULL")</f>
        <v>60</v>
      </c>
      <c r="G785" s="30" t="n">
        <f aca="false">IF('Boletins Nuppa Site'!J785&lt;&gt;0,'Boletins Nuppa Site'!J785,"NULL")</f>
        <v>54</v>
      </c>
      <c r="H785" s="30" t="n">
        <f aca="false">IF('Boletins Nuppa Site'!K785&lt;&gt;0,'Boletins Nuppa Site'!K785,"NULL")</f>
        <v>55</v>
      </c>
      <c r="I785" s="0" t="str">
        <f aca="false">"INSERT INTO COTACAO (cot_id, cot_blt_id, cot_pap_id, cot_prc_comum, cot_prc_min, cot_prc_max, cot_prc_med, cot_prc_mediana) VALUES ("&amp;A785&amp;", "&amp;B785&amp;", "&amp;C785&amp;", "&amp;D785&amp;", "&amp;E785&amp;", "&amp;F785&amp;", "&amp;G785&amp;", "&amp;H785&amp;");"</f>
        <v>INSERT INTO COTACAO (cot_id, cot_blt_id, cot_pap_id, cot_prc_comum, cot_prc_min, cot_prc_max, cot_prc_med, cot_prc_mediana) VALUES (784, 56, 32, 60, 45, 60, 54, 55);</v>
      </c>
      <c r="J785" s="0" t="str">
        <f aca="false">"UPDATE COTACAO SET cot_id = "&amp;A785&amp;", cot_blt_id = "&amp;B785&amp;", cot_pap_id = "&amp;C785&amp;", cot_prc_comum = "&amp;D785&amp;", cot_prc_min = "&amp;E785&amp;", cot_prc_max = "&amp;F785&amp;", cot_prc_med = "&amp;G785&amp;", cot_prc_mediana = "&amp;H785&amp;" WHERE cot_id = "&amp;A785&amp;";"</f>
        <v>UPDATE COTACAO SET cot_id = 784, cot_blt_id = 56, cot_pap_id = 32, cot_prc_comum = 60, cot_prc_min = 45, cot_prc_max = 60, cot_prc_med = 54, cot_prc_mediana = 55 WHERE cot_id = 784;</v>
      </c>
    </row>
    <row r="786" customFormat="false" ht="14.25" hidden="false" customHeight="false" outlineLevel="0" collapsed="false">
      <c r="A786" s="0" t="n">
        <v>785</v>
      </c>
      <c r="B786" s="0" t="n">
        <f aca="false">IF('Boletins Nuppa Site'!A786&lt;&gt;0,'Boletins Nuppa Site'!A786,"NULL")</f>
        <v>56</v>
      </c>
      <c r="C786" s="0" t="n">
        <v>33</v>
      </c>
      <c r="D786" s="30" t="n">
        <f aca="false">IF('Boletins Nuppa Site'!G786&lt;&gt;0,'Boletins Nuppa Site'!G786,"NULL")</f>
        <v>200</v>
      </c>
      <c r="E786" s="30" t="n">
        <f aca="false">IF('Boletins Nuppa Site'!H786&lt;&gt;0,'Boletins Nuppa Site'!H786,"NULL")</f>
        <v>100</v>
      </c>
      <c r="F786" s="30" t="n">
        <f aca="false">IF('Boletins Nuppa Site'!I786&lt;&gt;0,'Boletins Nuppa Site'!I786,"NULL")</f>
        <v>200</v>
      </c>
      <c r="G786" s="30" t="n">
        <f aca="false">IF('Boletins Nuppa Site'!J786&lt;&gt;0,'Boletins Nuppa Site'!J786,"NULL")</f>
        <v>160</v>
      </c>
      <c r="H786" s="30" t="n">
        <f aca="false">IF('Boletins Nuppa Site'!K786&lt;&gt;0,'Boletins Nuppa Site'!K786,"NULL")</f>
        <v>160</v>
      </c>
      <c r="I786" s="0" t="str">
        <f aca="false">"INSERT INTO COTACAO (cot_id, cot_blt_id, cot_pap_id, cot_prc_comum, cot_prc_min, cot_prc_max, cot_prc_med, cot_prc_mediana) VALUES ("&amp;A786&amp;", "&amp;B786&amp;", "&amp;C786&amp;", "&amp;D786&amp;", "&amp;E786&amp;", "&amp;F786&amp;", "&amp;G786&amp;", "&amp;H786&amp;");"</f>
        <v>INSERT INTO COTACAO (cot_id, cot_blt_id, cot_pap_id, cot_prc_comum, cot_prc_min, cot_prc_max, cot_prc_med, cot_prc_mediana) VALUES (785, 56, 33, 200, 100, 200, 160, 160);</v>
      </c>
      <c r="J786" s="0" t="str">
        <f aca="false">"UPDATE COTACAO SET cot_id = "&amp;A786&amp;", cot_blt_id = "&amp;B786&amp;", cot_pap_id = "&amp;C786&amp;", cot_prc_comum = "&amp;D786&amp;", cot_prc_min = "&amp;E786&amp;", cot_prc_max = "&amp;F786&amp;", cot_prc_med = "&amp;G786&amp;", cot_prc_mediana = "&amp;H786&amp;" WHERE cot_id = "&amp;A786&amp;";"</f>
        <v>UPDATE COTACAO SET cot_id = 785, cot_blt_id = 56, cot_pap_id = 33, cot_prc_comum = 200, cot_prc_min = 100, cot_prc_max = 200, cot_prc_med = 160, cot_prc_mediana = 160 WHERE cot_id = 785;</v>
      </c>
    </row>
    <row r="787" customFormat="false" ht="14.25" hidden="false" customHeight="false" outlineLevel="0" collapsed="false">
      <c r="A787" s="0" t="n">
        <v>786</v>
      </c>
      <c r="B787" s="0" t="n">
        <f aca="false">IF('Boletins Nuppa Site'!A787&lt;&gt;0,'Boletins Nuppa Site'!A787,"NULL")</f>
        <v>56</v>
      </c>
      <c r="C787" s="0" t="n">
        <v>34</v>
      </c>
      <c r="D787" s="30" t="n">
        <f aca="false">IF('Boletins Nuppa Site'!G787&lt;&gt;0,'Boletins Nuppa Site'!G787,"NULL")</f>
        <v>180</v>
      </c>
      <c r="E787" s="30" t="n">
        <f aca="false">IF('Boletins Nuppa Site'!H787&lt;&gt;0,'Boletins Nuppa Site'!H787,"NULL")</f>
        <v>120</v>
      </c>
      <c r="F787" s="30" t="n">
        <f aca="false">IF('Boletins Nuppa Site'!I787&lt;&gt;0,'Boletins Nuppa Site'!I787,"NULL")</f>
        <v>180</v>
      </c>
      <c r="G787" s="30" t="n">
        <f aca="false">IF('Boletins Nuppa Site'!J787&lt;&gt;0,'Boletins Nuppa Site'!J787,"NULL")</f>
        <v>158</v>
      </c>
      <c r="H787" s="30" t="n">
        <f aca="false">IF('Boletins Nuppa Site'!K787&lt;&gt;0,'Boletins Nuppa Site'!K787,"NULL")</f>
        <v>160</v>
      </c>
      <c r="I787" s="0" t="str">
        <f aca="false">"INSERT INTO COTACAO (cot_id, cot_blt_id, cot_pap_id, cot_prc_comum, cot_prc_min, cot_prc_max, cot_prc_med, cot_prc_mediana) VALUES ("&amp;A787&amp;", "&amp;B787&amp;", "&amp;C787&amp;", "&amp;D787&amp;", "&amp;E787&amp;", "&amp;F787&amp;", "&amp;G787&amp;", "&amp;H787&amp;");"</f>
        <v>INSERT INTO COTACAO (cot_id, cot_blt_id, cot_pap_id, cot_prc_comum, cot_prc_min, cot_prc_max, cot_prc_med, cot_prc_mediana) VALUES (786, 56, 34, 180, 120, 180, 158, 160);</v>
      </c>
      <c r="J787" s="0" t="str">
        <f aca="false">"UPDATE COTACAO SET cot_id = "&amp;A787&amp;", cot_blt_id = "&amp;B787&amp;", cot_pap_id = "&amp;C787&amp;", cot_prc_comum = "&amp;D787&amp;", cot_prc_min = "&amp;E787&amp;", cot_prc_max = "&amp;F787&amp;", cot_prc_med = "&amp;G787&amp;", cot_prc_mediana = "&amp;H787&amp;" WHERE cot_id = "&amp;A787&amp;";"</f>
        <v>UPDATE COTACAO SET cot_id = 786, cot_blt_id = 56, cot_pap_id = 34, cot_prc_comum = 180, cot_prc_min = 120, cot_prc_max = 180, cot_prc_med = 158, cot_prc_mediana = 160 WHERE cot_id = 786;</v>
      </c>
    </row>
    <row r="788" customFormat="false" ht="14.25" hidden="false" customHeight="false" outlineLevel="0" collapsed="false">
      <c r="A788" s="0" t="n">
        <v>787</v>
      </c>
      <c r="B788" s="0" t="n">
        <f aca="false">IF('Boletins Nuppa Site'!A788&lt;&gt;0,'Boletins Nuppa Site'!A788,"NULL")</f>
        <v>56</v>
      </c>
      <c r="C788" s="0" t="n">
        <v>35</v>
      </c>
      <c r="D788" s="0" t="str">
        <f aca="false">IF('Boletins Nuppa Site'!G788&lt;&gt;0,'Boletins Nuppa Site'!G788,"NULL")</f>
        <v>NULL</v>
      </c>
      <c r="E788" s="30" t="n">
        <f aca="false">IF('Boletins Nuppa Site'!H788&lt;&gt;0,'Boletins Nuppa Site'!H788,"NULL")</f>
        <v>200</v>
      </c>
      <c r="F788" s="30" t="n">
        <f aca="false">IF('Boletins Nuppa Site'!I788&lt;&gt;0,'Boletins Nuppa Site'!I788,"NULL")</f>
        <v>250</v>
      </c>
      <c r="G788" s="0" t="str">
        <f aca="false">IF('Boletins Nuppa Site'!J788&lt;&gt;0,'Boletins Nuppa Site'!J788,"NULL")</f>
        <v>223.33</v>
      </c>
      <c r="H788" s="30" t="n">
        <f aca="false">IF('Boletins Nuppa Site'!K788&lt;&gt;0,'Boletins Nuppa Site'!K788,"NULL")</f>
        <v>220</v>
      </c>
      <c r="I788" s="0" t="str">
        <f aca="false">"INSERT INTO COTACAO (cot_id, cot_blt_id, cot_pap_id, cot_prc_comum, cot_prc_min, cot_prc_max, cot_prc_med, cot_prc_mediana) VALUES ("&amp;A788&amp;", "&amp;B788&amp;", "&amp;C788&amp;", "&amp;D788&amp;", "&amp;E788&amp;", "&amp;F788&amp;", "&amp;G788&amp;", "&amp;H788&amp;");"</f>
        <v>INSERT INTO COTACAO (cot_id, cot_blt_id, cot_pap_id, cot_prc_comum, cot_prc_min, cot_prc_max, cot_prc_med, cot_prc_mediana) VALUES (787, 56, 35, NULL, 200, 250, 223.33, 220);</v>
      </c>
      <c r="J788" s="0" t="str">
        <f aca="false">"UPDATE COTACAO SET cot_id = "&amp;A788&amp;", cot_blt_id = "&amp;B788&amp;", cot_pap_id = "&amp;C788&amp;", cot_prc_comum = "&amp;D788&amp;", cot_prc_min = "&amp;E788&amp;", cot_prc_max = "&amp;F788&amp;", cot_prc_med = "&amp;G788&amp;", cot_prc_mediana = "&amp;H788&amp;" WHERE cot_id = "&amp;A788&amp;";"</f>
        <v>UPDATE COTACAO SET cot_id = 787, cot_blt_id = 56, cot_pap_id = 35, cot_prc_comum = NULL, cot_prc_min = 200, cot_prc_max = 250, cot_prc_med = 223.33, cot_prc_mediana = 220 WHERE cot_id = 787;</v>
      </c>
    </row>
    <row r="789" customFormat="false" ht="14.25" hidden="false" customHeight="false" outlineLevel="0" collapsed="false">
      <c r="A789" s="0" t="n">
        <v>788</v>
      </c>
      <c r="B789" s="0" t="n">
        <f aca="false">IF('Boletins Nuppa Site'!A789&lt;&gt;0,'Boletins Nuppa Site'!A789,"NULL")</f>
        <v>56</v>
      </c>
      <c r="C789" s="0" t="n">
        <v>36</v>
      </c>
      <c r="D789" s="0" t="str">
        <f aca="false">IF('Boletins Nuppa Site'!G789&lt;&gt;0,'Boletins Nuppa Site'!G789,"NULL")</f>
        <v>NULL</v>
      </c>
      <c r="E789" s="30" t="n">
        <f aca="false">IF('Boletins Nuppa Site'!H789&lt;&gt;0,'Boletins Nuppa Site'!H789,"NULL")</f>
        <v>110</v>
      </c>
      <c r="F789" s="30" t="n">
        <f aca="false">IF('Boletins Nuppa Site'!I789&lt;&gt;0,'Boletins Nuppa Site'!I789,"NULL")</f>
        <v>110</v>
      </c>
      <c r="G789" s="30" t="n">
        <f aca="false">IF('Boletins Nuppa Site'!J789&lt;&gt;0,'Boletins Nuppa Site'!J789,"NULL")</f>
        <v>110</v>
      </c>
      <c r="H789" s="30" t="n">
        <f aca="false">IF('Boletins Nuppa Site'!K789&lt;&gt;0,'Boletins Nuppa Site'!K789,"NULL")</f>
        <v>110</v>
      </c>
      <c r="I789" s="0" t="str">
        <f aca="false">"INSERT INTO COTACAO (cot_id, cot_blt_id, cot_pap_id, cot_prc_comum, cot_prc_min, cot_prc_max, cot_prc_med, cot_prc_mediana) VALUES ("&amp;A789&amp;", "&amp;B789&amp;", "&amp;C789&amp;", "&amp;D789&amp;", "&amp;E789&amp;", "&amp;F789&amp;", "&amp;G789&amp;", "&amp;H789&amp;");"</f>
        <v>INSERT INTO COTACAO (cot_id, cot_blt_id, cot_pap_id, cot_prc_comum, cot_prc_min, cot_prc_max, cot_prc_med, cot_prc_mediana) VALUES (788, 56, 36, NULL, 110, 110, 110, 110);</v>
      </c>
      <c r="J789" s="0" t="str">
        <f aca="false">"UPDATE COTACAO SET cot_id = "&amp;A789&amp;", cot_blt_id = "&amp;B789&amp;", cot_pap_id = "&amp;C789&amp;", cot_prc_comum = "&amp;D789&amp;", cot_prc_min = "&amp;E789&amp;", cot_prc_max = "&amp;F789&amp;", cot_prc_med = "&amp;G789&amp;", cot_prc_mediana = "&amp;H789&amp;" WHERE cot_id = "&amp;A789&amp;";"</f>
        <v>UPDATE COTACAO SET cot_id = 788, cot_blt_id = 56, cot_pap_id = 36, cot_prc_comum = NULL, cot_prc_min = 110, cot_prc_max = 110, cot_prc_med = 110, cot_prc_mediana = 110 WHERE cot_id = 788;</v>
      </c>
    </row>
    <row r="790" customFormat="false" ht="14.25" hidden="false" customHeight="false" outlineLevel="0" collapsed="false">
      <c r="A790" s="0" t="n">
        <v>789</v>
      </c>
      <c r="B790" s="0" t="n">
        <f aca="false">IF('Boletins Nuppa Site'!A790&lt;&gt;0,'Boletins Nuppa Site'!A790,"NULL")</f>
        <v>56</v>
      </c>
      <c r="C790" s="0" t="n">
        <v>37</v>
      </c>
      <c r="D790" s="0" t="str">
        <f aca="false">IF('Boletins Nuppa Site'!G790&lt;&gt;0,'Boletins Nuppa Site'!G790,"NULL")</f>
        <v>NULL</v>
      </c>
      <c r="E790" s="30" t="n">
        <f aca="false">IF('Boletins Nuppa Site'!H790&lt;&gt;0,'Boletins Nuppa Site'!H790,"NULL")</f>
        <v>110</v>
      </c>
      <c r="F790" s="30" t="n">
        <f aca="false">IF('Boletins Nuppa Site'!I790&lt;&gt;0,'Boletins Nuppa Site'!I790,"NULL")</f>
        <v>110</v>
      </c>
      <c r="G790" s="30" t="n">
        <f aca="false">IF('Boletins Nuppa Site'!J790&lt;&gt;0,'Boletins Nuppa Site'!J790,"NULL")</f>
        <v>110</v>
      </c>
      <c r="H790" s="30" t="n">
        <f aca="false">IF('Boletins Nuppa Site'!K790&lt;&gt;0,'Boletins Nuppa Site'!K790,"NULL")</f>
        <v>110</v>
      </c>
      <c r="I790" s="0" t="str">
        <f aca="false">"INSERT INTO COTACAO (cot_id, cot_blt_id, cot_pap_id, cot_prc_comum, cot_prc_min, cot_prc_max, cot_prc_med, cot_prc_mediana) VALUES ("&amp;A790&amp;", "&amp;B790&amp;", "&amp;C790&amp;", "&amp;D790&amp;", "&amp;E790&amp;", "&amp;F790&amp;", "&amp;G790&amp;", "&amp;H790&amp;");"</f>
        <v>INSERT INTO COTACAO (cot_id, cot_blt_id, cot_pap_id, cot_prc_comum, cot_prc_min, cot_prc_max, cot_prc_med, cot_prc_mediana) VALUES (789, 56, 37, NULL, 110, 110, 110, 110);</v>
      </c>
      <c r="J790" s="0" t="str">
        <f aca="false">"UPDATE COTACAO SET cot_id = "&amp;A790&amp;", cot_blt_id = "&amp;B790&amp;", cot_pap_id = "&amp;C790&amp;", cot_prc_comum = "&amp;D790&amp;", cot_prc_min = "&amp;E790&amp;", cot_prc_max = "&amp;F790&amp;", cot_prc_med = "&amp;G790&amp;", cot_prc_mediana = "&amp;H790&amp;" WHERE cot_id = "&amp;A790&amp;";"</f>
        <v>UPDATE COTACAO SET cot_id = 789, cot_blt_id = 56, cot_pap_id = 37, cot_prc_comum = NULL, cot_prc_min = 110, cot_prc_max = 110, cot_prc_med = 110, cot_prc_mediana = 110 WHERE cot_id = 789;</v>
      </c>
    </row>
    <row r="791" customFormat="false" ht="14.25" hidden="false" customHeight="false" outlineLevel="0" collapsed="false">
      <c r="A791" s="0" t="n">
        <v>790</v>
      </c>
      <c r="B791" s="0" t="n">
        <f aca="false">IF('Boletins Nuppa Site'!A791&lt;&gt;0,'Boletins Nuppa Site'!A791,"NULL")</f>
        <v>56</v>
      </c>
      <c r="C791" s="0" t="n">
        <v>38</v>
      </c>
      <c r="D791" s="0" t="str">
        <f aca="false">IF('Boletins Nuppa Site'!G791&lt;&gt;0,'Boletins Nuppa Site'!G791,"NULL")</f>
        <v>NULL</v>
      </c>
      <c r="E791" s="0" t="str">
        <f aca="false">IF('Boletins Nuppa Site'!H791&lt;&gt;0,'Boletins Nuppa Site'!H791,"NULL")</f>
        <v>NULL</v>
      </c>
      <c r="F791" s="0" t="str">
        <f aca="false">IF('Boletins Nuppa Site'!I791&lt;&gt;0,'Boletins Nuppa Site'!I791,"NULL")</f>
        <v>NULL</v>
      </c>
      <c r="G791" s="0" t="str">
        <f aca="false">IF('Boletins Nuppa Site'!J791&lt;&gt;0,'Boletins Nuppa Site'!J791,"NULL")</f>
        <v>NULL</v>
      </c>
      <c r="H791" s="0" t="str">
        <f aca="false">IF('Boletins Nuppa Site'!K791&lt;&gt;0,'Boletins Nuppa Site'!K791,"NULL")</f>
        <v>NULL</v>
      </c>
      <c r="I791" s="0" t="str">
        <f aca="false">"INSERT INTO COTACAO (cot_id, cot_blt_id, cot_pap_id, cot_prc_comum, cot_prc_min, cot_prc_max, cot_prc_med, cot_prc_mediana) VALUES ("&amp;A791&amp;", "&amp;B791&amp;", "&amp;C791&amp;", "&amp;D791&amp;", "&amp;E791&amp;", "&amp;F791&amp;", "&amp;G791&amp;", "&amp;H791&amp;");"</f>
        <v>INSERT INTO COTACAO (cot_id, cot_blt_id, cot_pap_id, cot_prc_comum, cot_prc_min, cot_prc_max, cot_prc_med, cot_prc_mediana) VALUES (790, 56, 38, NULL, NULL, NULL, NULL, NULL);</v>
      </c>
      <c r="J791" s="0" t="str">
        <f aca="false">"UPDATE COTACAO SET cot_id = "&amp;A791&amp;", cot_blt_id = "&amp;B791&amp;", cot_pap_id = "&amp;C791&amp;", cot_prc_comum = "&amp;D791&amp;", cot_prc_min = "&amp;E791&amp;", cot_prc_max = "&amp;F791&amp;", cot_prc_med = "&amp;G791&amp;", cot_prc_mediana = "&amp;H791&amp;" WHERE cot_id = "&amp;A791&amp;";"</f>
        <v>UPDATE COTACAO SET cot_id = 790, cot_blt_id = 56, cot_pap_id = 38, cot_prc_comum = NULL, cot_prc_min = NULL, cot_prc_max = NULL, cot_prc_med = NULL, cot_prc_mediana = NULL WHERE cot_id = 790;</v>
      </c>
    </row>
    <row r="792" customFormat="false" ht="14.25" hidden="false" customHeight="false" outlineLevel="0" collapsed="false">
      <c r="A792" s="0" t="n">
        <v>791</v>
      </c>
      <c r="B792" s="0" t="n">
        <f aca="false">IF('Boletins Nuppa Site'!A792&lt;&gt;0,'Boletins Nuppa Site'!A792,"NULL")</f>
        <v>56</v>
      </c>
      <c r="C792" s="0" t="n">
        <v>39</v>
      </c>
      <c r="D792" s="0" t="str">
        <f aca="false">IF('Boletins Nuppa Site'!G792&lt;&gt;0,'Boletins Nuppa Site'!G792,"NULL")</f>
        <v>NULL</v>
      </c>
      <c r="E792" s="30" t="n">
        <f aca="false">IF('Boletins Nuppa Site'!H792&lt;&gt;0,'Boletins Nuppa Site'!H792,"NULL")</f>
        <v>48</v>
      </c>
      <c r="F792" s="30" t="n">
        <f aca="false">IF('Boletins Nuppa Site'!I792&lt;&gt;0,'Boletins Nuppa Site'!I792,"NULL")</f>
        <v>48</v>
      </c>
      <c r="G792" s="30" t="n">
        <f aca="false">IF('Boletins Nuppa Site'!J792&lt;&gt;0,'Boletins Nuppa Site'!J792,"NULL")</f>
        <v>48</v>
      </c>
      <c r="H792" s="30" t="n">
        <f aca="false">IF('Boletins Nuppa Site'!K792&lt;&gt;0,'Boletins Nuppa Site'!K792,"NULL")</f>
        <v>48</v>
      </c>
      <c r="I792" s="0" t="str">
        <f aca="false">"INSERT INTO COTACAO (cot_id, cot_blt_id, cot_pap_id, cot_prc_comum, cot_prc_min, cot_prc_max, cot_prc_med, cot_prc_mediana) VALUES ("&amp;A792&amp;", "&amp;B792&amp;", "&amp;C792&amp;", "&amp;D792&amp;", "&amp;E792&amp;", "&amp;F792&amp;", "&amp;G792&amp;", "&amp;H792&amp;");"</f>
        <v>INSERT INTO COTACAO (cot_id, cot_blt_id, cot_pap_id, cot_prc_comum, cot_prc_min, cot_prc_max, cot_prc_med, cot_prc_mediana) VALUES (791, 56, 39, NULL, 48, 48, 48, 48);</v>
      </c>
      <c r="J792" s="0" t="str">
        <f aca="false">"UPDATE COTACAO SET cot_id = "&amp;A792&amp;", cot_blt_id = "&amp;B792&amp;", cot_pap_id = "&amp;C792&amp;", cot_prc_comum = "&amp;D792&amp;", cot_prc_min = "&amp;E792&amp;", cot_prc_max = "&amp;F792&amp;", cot_prc_med = "&amp;G792&amp;", cot_prc_mediana = "&amp;H792&amp;" WHERE cot_id = "&amp;A792&amp;";"</f>
        <v>UPDATE COTACAO SET cot_id = 791, cot_blt_id = 56, cot_pap_id = 39, cot_prc_comum = NULL, cot_prc_min = 48, cot_prc_max = 48, cot_prc_med = 48, cot_prc_mediana = 48 WHERE cot_id = 791;</v>
      </c>
    </row>
    <row r="793" customFormat="false" ht="14.25" hidden="false" customHeight="false" outlineLevel="0" collapsed="false">
      <c r="A793" s="0" t="n">
        <v>792</v>
      </c>
      <c r="B793" s="0" t="n">
        <f aca="false">IF('Boletins Nuppa Site'!A793&lt;&gt;0,'Boletins Nuppa Site'!A793,"NULL")</f>
        <v>56</v>
      </c>
      <c r="C793" s="0" t="n">
        <v>40</v>
      </c>
      <c r="D793" s="0" t="str">
        <f aca="false">IF('Boletins Nuppa Site'!G793&lt;&gt;0,'Boletins Nuppa Site'!G793,"NULL")</f>
        <v>NULL</v>
      </c>
      <c r="E793" s="30" t="n">
        <f aca="false">IF('Boletins Nuppa Site'!H793&lt;&gt;0,'Boletins Nuppa Site'!H793,"NULL")</f>
        <v>65</v>
      </c>
      <c r="F793" s="30" t="n">
        <f aca="false">IF('Boletins Nuppa Site'!I793&lt;&gt;0,'Boletins Nuppa Site'!I793,"NULL")</f>
        <v>65</v>
      </c>
      <c r="G793" s="30" t="n">
        <f aca="false">IF('Boletins Nuppa Site'!J793&lt;&gt;0,'Boletins Nuppa Site'!J793,"NULL")</f>
        <v>65</v>
      </c>
      <c r="H793" s="30" t="n">
        <f aca="false">IF('Boletins Nuppa Site'!K793&lt;&gt;0,'Boletins Nuppa Site'!K793,"NULL")</f>
        <v>65</v>
      </c>
      <c r="I793" s="0" t="str">
        <f aca="false">"INSERT INTO COTACAO (cot_id, cot_blt_id, cot_pap_id, cot_prc_comum, cot_prc_min, cot_prc_max, cot_prc_med, cot_prc_mediana) VALUES ("&amp;A793&amp;", "&amp;B793&amp;", "&amp;C793&amp;", "&amp;D793&amp;", "&amp;E793&amp;", "&amp;F793&amp;", "&amp;G793&amp;", "&amp;H793&amp;");"</f>
        <v>INSERT INTO COTACAO (cot_id, cot_blt_id, cot_pap_id, cot_prc_comum, cot_prc_min, cot_prc_max, cot_prc_med, cot_prc_mediana) VALUES (792, 56, 40, NULL, 65, 65, 65, 65);</v>
      </c>
      <c r="J793" s="0" t="str">
        <f aca="false">"UPDATE COTACAO SET cot_id = "&amp;A793&amp;", cot_blt_id = "&amp;B793&amp;", cot_pap_id = "&amp;C793&amp;", cot_prc_comum = "&amp;D793&amp;", cot_prc_min = "&amp;E793&amp;", cot_prc_max = "&amp;F793&amp;", cot_prc_med = "&amp;G793&amp;", cot_prc_mediana = "&amp;H793&amp;" WHERE cot_id = "&amp;A793&amp;";"</f>
        <v>UPDATE COTACAO SET cot_id = 792, cot_blt_id = 56, cot_pap_id = 40, cot_prc_comum = NULL, cot_prc_min = 65, cot_prc_max = 65, cot_prc_med = 65, cot_prc_mediana = 65 WHERE cot_id = 792;</v>
      </c>
    </row>
    <row r="794" customFormat="false" ht="14.25" hidden="false" customHeight="false" outlineLevel="0" collapsed="false">
      <c r="A794" s="0" t="n">
        <v>793</v>
      </c>
      <c r="B794" s="0" t="n">
        <f aca="false">IF('Boletins Nuppa Site'!A794&lt;&gt;0,'Boletins Nuppa Site'!A794,"NULL")</f>
        <v>57</v>
      </c>
      <c r="C794" s="0" t="n">
        <v>1</v>
      </c>
      <c r="D794" s="0" t="str">
        <f aca="false">IF('Boletins Nuppa Site'!G794&lt;&gt;0,'Boletins Nuppa Site'!G794,"NULL")</f>
        <v>NULL</v>
      </c>
      <c r="E794" s="30" t="n">
        <f aca="false">IF('Boletins Nuppa Site'!H794&lt;&gt;0,'Boletins Nuppa Site'!H794,"NULL")</f>
        <v>48</v>
      </c>
      <c r="F794" s="30" t="n">
        <f aca="false">IF('Boletins Nuppa Site'!I794&lt;&gt;0,'Boletins Nuppa Site'!I794,"NULL")</f>
        <v>60</v>
      </c>
      <c r="G794" s="30" t="n">
        <f aca="false">IF('Boletins Nuppa Site'!J794&lt;&gt;0,'Boletins Nuppa Site'!J794,"NULL")</f>
        <v>54</v>
      </c>
      <c r="H794" s="30" t="n">
        <f aca="false">IF('Boletins Nuppa Site'!K794&lt;&gt;0,'Boletins Nuppa Site'!K794,"NULL")</f>
        <v>54</v>
      </c>
      <c r="I794" s="0" t="str">
        <f aca="false">"INSERT INTO COTACAO (cot_id, cot_blt_id, cot_pap_id, cot_prc_comum, cot_prc_min, cot_prc_max, cot_prc_med, cot_prc_mediana) VALUES ("&amp;A794&amp;", "&amp;B794&amp;", "&amp;C794&amp;", "&amp;D794&amp;", "&amp;E794&amp;", "&amp;F794&amp;", "&amp;G794&amp;", "&amp;H794&amp;");"</f>
        <v>INSERT INTO COTACAO (cot_id, cot_blt_id, cot_pap_id, cot_prc_comum, cot_prc_min, cot_prc_max, cot_prc_med, cot_prc_mediana) VALUES (793, 57, 1, NULL, 48, 60, 54, 54);</v>
      </c>
      <c r="J794" s="0" t="str">
        <f aca="false">"UPDATE COTACAO SET cot_id = "&amp;A794&amp;", cot_blt_id = "&amp;B794&amp;", cot_pap_id = "&amp;C794&amp;", cot_prc_comum = "&amp;D794&amp;", cot_prc_min = "&amp;E794&amp;", cot_prc_max = "&amp;F794&amp;", cot_prc_med = "&amp;G794&amp;", cot_prc_mediana = "&amp;H794&amp;" WHERE cot_id = "&amp;A794&amp;";"</f>
        <v>UPDATE COTACAO SET cot_id = 793, cot_blt_id = 57, cot_pap_id = 1, cot_prc_comum = NULL, cot_prc_min = 48, cot_prc_max = 60, cot_prc_med = 54, cot_prc_mediana = 54 WHERE cot_id = 793;</v>
      </c>
    </row>
    <row r="795" customFormat="false" ht="14.25" hidden="false" customHeight="false" outlineLevel="0" collapsed="false">
      <c r="A795" s="0" t="n">
        <v>794</v>
      </c>
      <c r="B795" s="0" t="n">
        <f aca="false">IF('Boletins Nuppa Site'!A795&lt;&gt;0,'Boletins Nuppa Site'!A795,"NULL")</f>
        <v>57</v>
      </c>
      <c r="C795" s="0" t="n">
        <v>2</v>
      </c>
      <c r="D795" s="30" t="n">
        <f aca="false">IF('Boletins Nuppa Site'!G795&lt;&gt;0,'Boletins Nuppa Site'!G795,"NULL")</f>
        <v>84</v>
      </c>
      <c r="E795" s="30" t="n">
        <f aca="false">IF('Boletins Nuppa Site'!H795&lt;&gt;0,'Boletins Nuppa Site'!H795,"NULL")</f>
        <v>84</v>
      </c>
      <c r="F795" s="30" t="n">
        <f aca="false">IF('Boletins Nuppa Site'!I795&lt;&gt;0,'Boletins Nuppa Site'!I795,"NULL")</f>
        <v>84</v>
      </c>
      <c r="G795" s="30" t="n">
        <f aca="false">IF('Boletins Nuppa Site'!J795&lt;&gt;0,'Boletins Nuppa Site'!J795,"NULL")</f>
        <v>84</v>
      </c>
      <c r="H795" s="30" t="n">
        <f aca="false">IF('Boletins Nuppa Site'!K795&lt;&gt;0,'Boletins Nuppa Site'!K795,"NULL")</f>
        <v>84</v>
      </c>
      <c r="I795" s="0" t="str">
        <f aca="false">"INSERT INTO COTACAO (cot_id, cot_blt_id, cot_pap_id, cot_prc_comum, cot_prc_min, cot_prc_max, cot_prc_med, cot_prc_mediana) VALUES ("&amp;A795&amp;", "&amp;B795&amp;", "&amp;C795&amp;", "&amp;D795&amp;", "&amp;E795&amp;", "&amp;F795&amp;", "&amp;G795&amp;", "&amp;H795&amp;");"</f>
        <v>INSERT INTO COTACAO (cot_id, cot_blt_id, cot_pap_id, cot_prc_comum, cot_prc_min, cot_prc_max, cot_prc_med, cot_prc_mediana) VALUES (794, 57, 2, 84, 84, 84, 84, 84);</v>
      </c>
      <c r="J795" s="0" t="str">
        <f aca="false">"UPDATE COTACAO SET cot_id = "&amp;A795&amp;", cot_blt_id = "&amp;B795&amp;", cot_pap_id = "&amp;C795&amp;", cot_prc_comum = "&amp;D795&amp;", cot_prc_min = "&amp;E795&amp;", cot_prc_max = "&amp;F795&amp;", cot_prc_med = "&amp;G795&amp;", cot_prc_mediana = "&amp;H795&amp;" WHERE cot_id = "&amp;A795&amp;";"</f>
        <v>UPDATE COTACAO SET cot_id = 794, cot_blt_id = 57, cot_pap_id = 2, cot_prc_comum = 84, cot_prc_min = 84, cot_prc_max = 84, cot_prc_med = 84, cot_prc_mediana = 84 WHERE cot_id = 794;</v>
      </c>
    </row>
    <row r="796" customFormat="false" ht="14.25" hidden="false" customHeight="false" outlineLevel="0" collapsed="false">
      <c r="A796" s="0" t="n">
        <v>795</v>
      </c>
      <c r="B796" s="0" t="n">
        <f aca="false">IF('Boletins Nuppa Site'!A796&lt;&gt;0,'Boletins Nuppa Site'!A796,"NULL")</f>
        <v>57</v>
      </c>
      <c r="C796" s="0" t="n">
        <v>3</v>
      </c>
      <c r="D796" s="0" t="str">
        <f aca="false">IF('Boletins Nuppa Site'!G796&lt;&gt;0,'Boletins Nuppa Site'!G796,"NULL")</f>
        <v>NULL</v>
      </c>
      <c r="E796" s="30" t="n">
        <f aca="false">IF('Boletins Nuppa Site'!H796&lt;&gt;0,'Boletins Nuppa Site'!H796,"NULL")</f>
        <v>36</v>
      </c>
      <c r="F796" s="30" t="n">
        <f aca="false">IF('Boletins Nuppa Site'!I796&lt;&gt;0,'Boletins Nuppa Site'!I796,"NULL")</f>
        <v>42</v>
      </c>
      <c r="G796" s="30" t="n">
        <f aca="false">IF('Boletins Nuppa Site'!J796&lt;&gt;0,'Boletins Nuppa Site'!J796,"NULL")</f>
        <v>39</v>
      </c>
      <c r="H796" s="30" t="n">
        <f aca="false">IF('Boletins Nuppa Site'!K796&lt;&gt;0,'Boletins Nuppa Site'!K796,"NULL")</f>
        <v>39</v>
      </c>
      <c r="I796" s="0" t="str">
        <f aca="false">"INSERT INTO COTACAO (cot_id, cot_blt_id, cot_pap_id, cot_prc_comum, cot_prc_min, cot_prc_max, cot_prc_med, cot_prc_mediana) VALUES ("&amp;A796&amp;", "&amp;B796&amp;", "&amp;C796&amp;", "&amp;D796&amp;", "&amp;E796&amp;", "&amp;F796&amp;", "&amp;G796&amp;", "&amp;H796&amp;");"</f>
        <v>INSERT INTO COTACAO (cot_id, cot_blt_id, cot_pap_id, cot_prc_comum, cot_prc_min, cot_prc_max, cot_prc_med, cot_prc_mediana) VALUES (795, 57, 3, NULL, 36, 42, 39, 39);</v>
      </c>
      <c r="J796" s="0" t="str">
        <f aca="false">"UPDATE COTACAO SET cot_id = "&amp;A796&amp;", cot_blt_id = "&amp;B796&amp;", cot_pap_id = "&amp;C796&amp;", cot_prc_comum = "&amp;D796&amp;", cot_prc_min = "&amp;E796&amp;", cot_prc_max = "&amp;F796&amp;", cot_prc_med = "&amp;G796&amp;", cot_prc_mediana = "&amp;H796&amp;" WHERE cot_id = "&amp;A796&amp;";"</f>
        <v>UPDATE COTACAO SET cot_id = 795, cot_blt_id = 57, cot_pap_id = 3, cot_prc_comum = NULL, cot_prc_min = 36, cot_prc_max = 42, cot_prc_med = 39, cot_prc_mediana = 39 WHERE cot_id = 795;</v>
      </c>
    </row>
    <row r="797" customFormat="false" ht="14.25" hidden="false" customHeight="false" outlineLevel="0" collapsed="false">
      <c r="A797" s="0" t="n">
        <v>796</v>
      </c>
      <c r="B797" s="0" t="n">
        <f aca="false">IF('Boletins Nuppa Site'!A797&lt;&gt;0,'Boletins Nuppa Site'!A797,"NULL")</f>
        <v>57</v>
      </c>
      <c r="C797" s="0" t="n">
        <v>4</v>
      </c>
      <c r="D797" s="0" t="str">
        <f aca="false">IF('Boletins Nuppa Site'!G797&lt;&gt;0,'Boletins Nuppa Site'!G797,"NULL")</f>
        <v>NULL</v>
      </c>
      <c r="E797" s="30" t="n">
        <f aca="false">IF('Boletins Nuppa Site'!H797&lt;&gt;0,'Boletins Nuppa Site'!H797,"NULL")</f>
        <v>20</v>
      </c>
      <c r="F797" s="30" t="n">
        <f aca="false">IF('Boletins Nuppa Site'!I797&lt;&gt;0,'Boletins Nuppa Site'!I797,"NULL")</f>
        <v>24</v>
      </c>
      <c r="G797" s="30" t="n">
        <f aca="false">IF('Boletins Nuppa Site'!J797&lt;&gt;0,'Boletins Nuppa Site'!J797,"NULL")</f>
        <v>22</v>
      </c>
      <c r="H797" s="30" t="n">
        <f aca="false">IF('Boletins Nuppa Site'!K797&lt;&gt;0,'Boletins Nuppa Site'!K797,"NULL")</f>
        <v>22</v>
      </c>
      <c r="I797" s="0" t="str">
        <f aca="false">"INSERT INTO COTACAO (cot_id, cot_blt_id, cot_pap_id, cot_prc_comum, cot_prc_min, cot_prc_max, cot_prc_med, cot_prc_mediana) VALUES ("&amp;A797&amp;", "&amp;B797&amp;", "&amp;C797&amp;", "&amp;D797&amp;", "&amp;E797&amp;", "&amp;F797&amp;", "&amp;G797&amp;", "&amp;H797&amp;");"</f>
        <v>INSERT INTO COTACAO (cot_id, cot_blt_id, cot_pap_id, cot_prc_comum, cot_prc_min, cot_prc_max, cot_prc_med, cot_prc_mediana) VALUES (796, 57, 4, NULL, 20, 24, 22, 22);</v>
      </c>
      <c r="J797" s="0" t="str">
        <f aca="false">"UPDATE COTACAO SET cot_id = "&amp;A797&amp;", cot_blt_id = "&amp;B797&amp;", cot_pap_id = "&amp;C797&amp;", cot_prc_comum = "&amp;D797&amp;", cot_prc_min = "&amp;E797&amp;", cot_prc_max = "&amp;F797&amp;", cot_prc_med = "&amp;G797&amp;", cot_prc_mediana = "&amp;H797&amp;" WHERE cot_id = "&amp;A797&amp;";"</f>
        <v>UPDATE COTACAO SET cot_id = 796, cot_blt_id = 57, cot_pap_id = 4, cot_prc_comum = NULL, cot_prc_min = 20, cot_prc_max = 24, cot_prc_med = 22, cot_prc_mediana = 22 WHERE cot_id = 796;</v>
      </c>
    </row>
    <row r="798" customFormat="false" ht="14.25" hidden="false" customHeight="false" outlineLevel="0" collapsed="false">
      <c r="A798" s="0" t="n">
        <v>797</v>
      </c>
      <c r="B798" s="0" t="n">
        <f aca="false">IF('Boletins Nuppa Site'!A798&lt;&gt;0,'Boletins Nuppa Site'!A798,"NULL")</f>
        <v>57</v>
      </c>
      <c r="C798" s="0" t="n">
        <v>5</v>
      </c>
      <c r="D798" s="0" t="str">
        <f aca="false">IF('Boletins Nuppa Site'!G798&lt;&gt;0,'Boletins Nuppa Site'!G798,"NULL")</f>
        <v>NULL</v>
      </c>
      <c r="E798" s="30" t="n">
        <f aca="false">IF('Boletins Nuppa Site'!H798&lt;&gt;0,'Boletins Nuppa Site'!H798,"NULL")</f>
        <v>20</v>
      </c>
      <c r="F798" s="30" t="n">
        <f aca="false">IF('Boletins Nuppa Site'!I798&lt;&gt;0,'Boletins Nuppa Site'!I798,"NULL")</f>
        <v>24</v>
      </c>
      <c r="G798" s="30" t="n">
        <f aca="false">IF('Boletins Nuppa Site'!J798&lt;&gt;0,'Boletins Nuppa Site'!J798,"NULL")</f>
        <v>22</v>
      </c>
      <c r="H798" s="30" t="n">
        <f aca="false">IF('Boletins Nuppa Site'!K798&lt;&gt;0,'Boletins Nuppa Site'!K798,"NULL")</f>
        <v>22</v>
      </c>
      <c r="I798" s="0" t="str">
        <f aca="false">"INSERT INTO COTACAO (cot_id, cot_blt_id, cot_pap_id, cot_prc_comum, cot_prc_min, cot_prc_max, cot_prc_med, cot_prc_mediana) VALUES ("&amp;A798&amp;", "&amp;B798&amp;", "&amp;C798&amp;", "&amp;D798&amp;", "&amp;E798&amp;", "&amp;F798&amp;", "&amp;G798&amp;", "&amp;H798&amp;");"</f>
        <v>INSERT INTO COTACAO (cot_id, cot_blt_id, cot_pap_id, cot_prc_comum, cot_prc_min, cot_prc_max, cot_prc_med, cot_prc_mediana) VALUES (797, 57, 5, NULL, 20, 24, 22, 22);</v>
      </c>
      <c r="J798" s="0" t="str">
        <f aca="false">"UPDATE COTACAO SET cot_id = "&amp;A798&amp;", cot_blt_id = "&amp;B798&amp;", cot_pap_id = "&amp;C798&amp;", cot_prc_comum = "&amp;D798&amp;", cot_prc_min = "&amp;E798&amp;", cot_prc_max = "&amp;F798&amp;", cot_prc_med = "&amp;G798&amp;", cot_prc_mediana = "&amp;H798&amp;" WHERE cot_id = "&amp;A798&amp;";"</f>
        <v>UPDATE COTACAO SET cot_id = 797, cot_blt_id = 57, cot_pap_id = 5, cot_prc_comum = NULL, cot_prc_min = 20, cot_prc_max = 24, cot_prc_med = 22, cot_prc_mediana = 22 WHERE cot_id = 797;</v>
      </c>
    </row>
    <row r="799" customFormat="false" ht="14.25" hidden="false" customHeight="false" outlineLevel="0" collapsed="false">
      <c r="A799" s="0" t="n">
        <v>798</v>
      </c>
      <c r="B799" s="0" t="n">
        <f aca="false">IF('Boletins Nuppa Site'!A799&lt;&gt;0,'Boletins Nuppa Site'!A799,"NULL")</f>
        <v>57</v>
      </c>
      <c r="C799" s="0" t="n">
        <v>6</v>
      </c>
      <c r="D799" s="30" t="n">
        <f aca="false">IF('Boletins Nuppa Site'!G799&lt;&gt;0,'Boletins Nuppa Site'!G799,"NULL")</f>
        <v>60</v>
      </c>
      <c r="E799" s="30" t="n">
        <f aca="false">IF('Boletins Nuppa Site'!H799&lt;&gt;0,'Boletins Nuppa Site'!H799,"NULL")</f>
        <v>60</v>
      </c>
      <c r="F799" s="30" t="n">
        <f aca="false">IF('Boletins Nuppa Site'!I799&lt;&gt;0,'Boletins Nuppa Site'!I799,"NULL")</f>
        <v>60</v>
      </c>
      <c r="G799" s="30" t="n">
        <f aca="false">IF('Boletins Nuppa Site'!J799&lt;&gt;0,'Boletins Nuppa Site'!J799,"NULL")</f>
        <v>60</v>
      </c>
      <c r="H799" s="30" t="n">
        <f aca="false">IF('Boletins Nuppa Site'!K799&lt;&gt;0,'Boletins Nuppa Site'!K799,"NULL")</f>
        <v>60</v>
      </c>
      <c r="I799" s="0" t="str">
        <f aca="false">"INSERT INTO COTACAO (cot_id, cot_blt_id, cot_pap_id, cot_prc_comum, cot_prc_min, cot_prc_max, cot_prc_med, cot_prc_mediana) VALUES ("&amp;A799&amp;", "&amp;B799&amp;", "&amp;C799&amp;", "&amp;D799&amp;", "&amp;E799&amp;", "&amp;F799&amp;", "&amp;G799&amp;", "&amp;H799&amp;");"</f>
        <v>INSERT INTO COTACAO (cot_id, cot_blt_id, cot_pap_id, cot_prc_comum, cot_prc_min, cot_prc_max, cot_prc_med, cot_prc_mediana) VALUES (798, 57, 6, 60, 60, 60, 60, 60);</v>
      </c>
      <c r="J799" s="0" t="str">
        <f aca="false">"UPDATE COTACAO SET cot_id = "&amp;A799&amp;", cot_blt_id = "&amp;B799&amp;", cot_pap_id = "&amp;C799&amp;", cot_prc_comum = "&amp;D799&amp;", cot_prc_min = "&amp;E799&amp;", cot_prc_max = "&amp;F799&amp;", cot_prc_med = "&amp;G799&amp;", cot_prc_mediana = "&amp;H799&amp;" WHERE cot_id = "&amp;A799&amp;";"</f>
        <v>UPDATE COTACAO SET cot_id = 798, cot_blt_id = 57, cot_pap_id = 6, cot_prc_comum = 60, cot_prc_min = 60, cot_prc_max = 60, cot_prc_med = 60, cot_prc_mediana = 60 WHERE cot_id = 798;</v>
      </c>
    </row>
    <row r="800" customFormat="false" ht="14.25" hidden="false" customHeight="false" outlineLevel="0" collapsed="false">
      <c r="A800" s="0" t="n">
        <v>799</v>
      </c>
      <c r="B800" s="0" t="n">
        <f aca="false">IF('Boletins Nuppa Site'!A800&lt;&gt;0,'Boletins Nuppa Site'!A800,"NULL")</f>
        <v>57</v>
      </c>
      <c r="C800" s="0" t="n">
        <v>7</v>
      </c>
      <c r="D800" s="0" t="str">
        <f aca="false">IF('Boletins Nuppa Site'!G800&lt;&gt;0,'Boletins Nuppa Site'!G800,"NULL")</f>
        <v>NULL</v>
      </c>
      <c r="E800" s="30" t="n">
        <f aca="false">IF('Boletins Nuppa Site'!H800&lt;&gt;0,'Boletins Nuppa Site'!H800,"NULL")</f>
        <v>90</v>
      </c>
      <c r="F800" s="30" t="n">
        <f aca="false">IF('Boletins Nuppa Site'!I800&lt;&gt;0,'Boletins Nuppa Site'!I800,"NULL")</f>
        <v>96</v>
      </c>
      <c r="G800" s="30" t="n">
        <f aca="false">IF('Boletins Nuppa Site'!J800&lt;&gt;0,'Boletins Nuppa Site'!J800,"NULL")</f>
        <v>93</v>
      </c>
      <c r="H800" s="30" t="n">
        <f aca="false">IF('Boletins Nuppa Site'!K800&lt;&gt;0,'Boletins Nuppa Site'!K800,"NULL")</f>
        <v>93</v>
      </c>
      <c r="I800" s="0" t="str">
        <f aca="false">"INSERT INTO COTACAO (cot_id, cot_blt_id, cot_pap_id, cot_prc_comum, cot_prc_min, cot_prc_max, cot_prc_med, cot_prc_mediana) VALUES ("&amp;A800&amp;", "&amp;B800&amp;", "&amp;C800&amp;", "&amp;D800&amp;", "&amp;E800&amp;", "&amp;F800&amp;", "&amp;G800&amp;", "&amp;H800&amp;");"</f>
        <v>INSERT INTO COTACAO (cot_id, cot_blt_id, cot_pap_id, cot_prc_comum, cot_prc_min, cot_prc_max, cot_prc_med, cot_prc_mediana) VALUES (799, 57, 7, NULL, 90, 96, 93, 93);</v>
      </c>
      <c r="J800" s="0" t="str">
        <f aca="false">"UPDATE COTACAO SET cot_id = "&amp;A800&amp;", cot_blt_id = "&amp;B800&amp;", cot_pap_id = "&amp;C800&amp;", cot_prc_comum = "&amp;D800&amp;", cot_prc_min = "&amp;E800&amp;", cot_prc_max = "&amp;F800&amp;", cot_prc_med = "&amp;G800&amp;", cot_prc_mediana = "&amp;H800&amp;" WHERE cot_id = "&amp;A800&amp;";"</f>
        <v>UPDATE COTACAO SET cot_id = 799, cot_blt_id = 57, cot_pap_id = 7, cot_prc_comum = NULL, cot_prc_min = 90, cot_prc_max = 96, cot_prc_med = 93, cot_prc_mediana = 93 WHERE cot_id = 799;</v>
      </c>
    </row>
    <row r="801" customFormat="false" ht="14.25" hidden="false" customHeight="false" outlineLevel="0" collapsed="false">
      <c r="A801" s="0" t="n">
        <v>800</v>
      </c>
      <c r="B801" s="0" t="n">
        <f aca="false">IF('Boletins Nuppa Site'!A801&lt;&gt;0,'Boletins Nuppa Site'!A801,"NULL")</f>
        <v>57</v>
      </c>
      <c r="C801" s="0" t="n">
        <v>8</v>
      </c>
      <c r="D801" s="30" t="n">
        <f aca="false">IF('Boletins Nuppa Site'!G801&lt;&gt;0,'Boletins Nuppa Site'!G801,"NULL")</f>
        <v>84</v>
      </c>
      <c r="E801" s="30" t="n">
        <f aca="false">IF('Boletins Nuppa Site'!H801&lt;&gt;0,'Boletins Nuppa Site'!H801,"NULL")</f>
        <v>84</v>
      </c>
      <c r="F801" s="30" t="n">
        <f aca="false">IF('Boletins Nuppa Site'!I801&lt;&gt;0,'Boletins Nuppa Site'!I801,"NULL")</f>
        <v>84</v>
      </c>
      <c r="G801" s="30" t="n">
        <f aca="false">IF('Boletins Nuppa Site'!J801&lt;&gt;0,'Boletins Nuppa Site'!J801,"NULL")</f>
        <v>84</v>
      </c>
      <c r="H801" s="30" t="n">
        <f aca="false">IF('Boletins Nuppa Site'!K801&lt;&gt;0,'Boletins Nuppa Site'!K801,"NULL")</f>
        <v>84</v>
      </c>
      <c r="I801" s="0" t="str">
        <f aca="false">"INSERT INTO COTACAO (cot_id, cot_blt_id, cot_pap_id, cot_prc_comum, cot_prc_min, cot_prc_max, cot_prc_med, cot_prc_mediana) VALUES ("&amp;A801&amp;", "&amp;B801&amp;", "&amp;C801&amp;", "&amp;D801&amp;", "&amp;E801&amp;", "&amp;F801&amp;", "&amp;G801&amp;", "&amp;H801&amp;");"</f>
        <v>INSERT INTO COTACAO (cot_id, cot_blt_id, cot_pap_id, cot_prc_comum, cot_prc_min, cot_prc_max, cot_prc_med, cot_prc_mediana) VALUES (800, 57, 8, 84, 84, 84, 84, 84);</v>
      </c>
      <c r="J801" s="0" t="str">
        <f aca="false">"UPDATE COTACAO SET cot_id = "&amp;A801&amp;", cot_blt_id = "&amp;B801&amp;", cot_pap_id = "&amp;C801&amp;", cot_prc_comum = "&amp;D801&amp;", cot_prc_min = "&amp;E801&amp;", cot_prc_max = "&amp;F801&amp;", cot_prc_med = "&amp;G801&amp;", cot_prc_mediana = "&amp;H801&amp;" WHERE cot_id = "&amp;A801&amp;";"</f>
        <v>UPDATE COTACAO SET cot_id = 800, cot_blt_id = 57, cot_pap_id = 8, cot_prc_comum = 84, cot_prc_min = 84, cot_prc_max = 84, cot_prc_med = 84, cot_prc_mediana = 84 WHERE cot_id = 800;</v>
      </c>
    </row>
    <row r="802" customFormat="false" ht="14.25" hidden="false" customHeight="false" outlineLevel="0" collapsed="false">
      <c r="A802" s="0" t="n">
        <v>801</v>
      </c>
      <c r="B802" s="0" t="n">
        <f aca="false">IF('Boletins Nuppa Site'!A802&lt;&gt;0,'Boletins Nuppa Site'!A802,"NULL")</f>
        <v>57</v>
      </c>
      <c r="C802" s="0" t="n">
        <v>9</v>
      </c>
      <c r="D802" s="0" t="str">
        <f aca="false">IF('Boletins Nuppa Site'!G802&lt;&gt;0,'Boletins Nuppa Site'!G802,"NULL")</f>
        <v>NULL</v>
      </c>
      <c r="E802" s="30" t="n">
        <f aca="false">IF('Boletins Nuppa Site'!H802&lt;&gt;0,'Boletins Nuppa Site'!H802,"NULL")</f>
        <v>24</v>
      </c>
      <c r="F802" s="30" t="n">
        <f aca="false">IF('Boletins Nuppa Site'!I802&lt;&gt;0,'Boletins Nuppa Site'!I802,"NULL")</f>
        <v>30</v>
      </c>
      <c r="G802" s="30" t="n">
        <f aca="false">IF('Boletins Nuppa Site'!J802&lt;&gt;0,'Boletins Nuppa Site'!J802,"NULL")</f>
        <v>27</v>
      </c>
      <c r="H802" s="30" t="n">
        <f aca="false">IF('Boletins Nuppa Site'!K802&lt;&gt;0,'Boletins Nuppa Site'!K802,"NULL")</f>
        <v>27</v>
      </c>
      <c r="I802" s="0" t="str">
        <f aca="false">"INSERT INTO COTACAO (cot_id, cot_blt_id, cot_pap_id, cot_prc_comum, cot_prc_min, cot_prc_max, cot_prc_med, cot_prc_mediana) VALUES ("&amp;A802&amp;", "&amp;B802&amp;", "&amp;C802&amp;", "&amp;D802&amp;", "&amp;E802&amp;", "&amp;F802&amp;", "&amp;G802&amp;", "&amp;H802&amp;");"</f>
        <v>INSERT INTO COTACAO (cot_id, cot_blt_id, cot_pap_id, cot_prc_comum, cot_prc_min, cot_prc_max, cot_prc_med, cot_prc_mediana) VALUES (801, 57, 9, NULL, 24, 30, 27, 27);</v>
      </c>
      <c r="J802" s="0" t="str">
        <f aca="false">"UPDATE COTACAO SET cot_id = "&amp;A802&amp;", cot_blt_id = "&amp;B802&amp;", cot_pap_id = "&amp;C802&amp;", cot_prc_comum = "&amp;D802&amp;", cot_prc_min = "&amp;E802&amp;", cot_prc_max = "&amp;F802&amp;", cot_prc_med = "&amp;G802&amp;", cot_prc_mediana = "&amp;H802&amp;" WHERE cot_id = "&amp;A802&amp;";"</f>
        <v>UPDATE COTACAO SET cot_id = 801, cot_blt_id = 57, cot_pap_id = 9, cot_prc_comum = NULL, cot_prc_min = 24, cot_prc_max = 30, cot_prc_med = 27, cot_prc_mediana = 27 WHERE cot_id = 801;</v>
      </c>
    </row>
    <row r="803" customFormat="false" ht="14.25" hidden="false" customHeight="false" outlineLevel="0" collapsed="false">
      <c r="A803" s="0" t="n">
        <v>802</v>
      </c>
      <c r="B803" s="0" t="n">
        <f aca="false">IF('Boletins Nuppa Site'!A803&lt;&gt;0,'Boletins Nuppa Site'!A803,"NULL")</f>
        <v>57</v>
      </c>
      <c r="C803" s="0" t="n">
        <v>10</v>
      </c>
      <c r="D803" s="0" t="str">
        <f aca="false">IF('Boletins Nuppa Site'!G803&lt;&gt;0,'Boletins Nuppa Site'!G803,"NULL")</f>
        <v>NULL</v>
      </c>
      <c r="E803" s="30" t="n">
        <f aca="false">IF('Boletins Nuppa Site'!H803&lt;&gt;0,'Boletins Nuppa Site'!H803,"NULL")</f>
        <v>96</v>
      </c>
      <c r="F803" s="30" t="n">
        <f aca="false">IF('Boletins Nuppa Site'!I803&lt;&gt;0,'Boletins Nuppa Site'!I803,"NULL")</f>
        <v>108</v>
      </c>
      <c r="G803" s="30" t="n">
        <f aca="false">IF('Boletins Nuppa Site'!J803&lt;&gt;0,'Boletins Nuppa Site'!J803,"NULL")</f>
        <v>102</v>
      </c>
      <c r="H803" s="30" t="n">
        <f aca="false">IF('Boletins Nuppa Site'!K803&lt;&gt;0,'Boletins Nuppa Site'!K803,"NULL")</f>
        <v>102</v>
      </c>
      <c r="I803" s="0" t="str">
        <f aca="false">"INSERT INTO COTACAO (cot_id, cot_blt_id, cot_pap_id, cot_prc_comum, cot_prc_min, cot_prc_max, cot_prc_med, cot_prc_mediana) VALUES ("&amp;A803&amp;", "&amp;B803&amp;", "&amp;C803&amp;", "&amp;D803&amp;", "&amp;E803&amp;", "&amp;F803&amp;", "&amp;G803&amp;", "&amp;H803&amp;");"</f>
        <v>INSERT INTO COTACAO (cot_id, cot_blt_id, cot_pap_id, cot_prc_comum, cot_prc_min, cot_prc_max, cot_prc_med, cot_prc_mediana) VALUES (802, 57, 10, NULL, 96, 108, 102, 102);</v>
      </c>
      <c r="J803" s="0" t="str">
        <f aca="false">"UPDATE COTACAO SET cot_id = "&amp;A803&amp;", cot_blt_id = "&amp;B803&amp;", cot_pap_id = "&amp;C803&amp;", cot_prc_comum = "&amp;D803&amp;", cot_prc_min = "&amp;E803&amp;", cot_prc_max = "&amp;F803&amp;", cot_prc_med = "&amp;G803&amp;", cot_prc_mediana = "&amp;H803&amp;" WHERE cot_id = "&amp;A803&amp;";"</f>
        <v>UPDATE COTACAO SET cot_id = 802, cot_blt_id = 57, cot_pap_id = 10, cot_prc_comum = NULL, cot_prc_min = 96, cot_prc_max = 108, cot_prc_med = 102, cot_prc_mediana = 102 WHERE cot_id = 802;</v>
      </c>
    </row>
    <row r="804" customFormat="false" ht="14.25" hidden="false" customHeight="false" outlineLevel="0" collapsed="false">
      <c r="A804" s="0" t="n">
        <v>803</v>
      </c>
      <c r="B804" s="0" t="n">
        <f aca="false">IF('Boletins Nuppa Site'!A804&lt;&gt;0,'Boletins Nuppa Site'!A804,"NULL")</f>
        <v>57</v>
      </c>
      <c r="C804" s="0" t="n">
        <v>11</v>
      </c>
      <c r="D804" s="0" t="str">
        <f aca="false">IF('Boletins Nuppa Site'!G804&lt;&gt;0,'Boletins Nuppa Site'!G804,"NULL")</f>
        <v>NULL</v>
      </c>
      <c r="E804" s="30" t="n">
        <f aca="false">IF('Boletins Nuppa Site'!H804&lt;&gt;0,'Boletins Nuppa Site'!H804,"NULL")</f>
        <v>20</v>
      </c>
      <c r="F804" s="30" t="n">
        <f aca="false">IF('Boletins Nuppa Site'!I804&lt;&gt;0,'Boletins Nuppa Site'!I804,"NULL")</f>
        <v>24</v>
      </c>
      <c r="G804" s="30" t="n">
        <f aca="false">IF('Boletins Nuppa Site'!J804&lt;&gt;0,'Boletins Nuppa Site'!J804,"NULL")</f>
        <v>22</v>
      </c>
      <c r="H804" s="30" t="n">
        <f aca="false">IF('Boletins Nuppa Site'!K804&lt;&gt;0,'Boletins Nuppa Site'!K804,"NULL")</f>
        <v>22</v>
      </c>
      <c r="I804" s="0" t="str">
        <f aca="false">"INSERT INTO COTACAO (cot_id, cot_blt_id, cot_pap_id, cot_prc_comum, cot_prc_min, cot_prc_max, cot_prc_med, cot_prc_mediana) VALUES ("&amp;A804&amp;", "&amp;B804&amp;", "&amp;C804&amp;", "&amp;D804&amp;", "&amp;E804&amp;", "&amp;F804&amp;", "&amp;G804&amp;", "&amp;H804&amp;");"</f>
        <v>INSERT INTO COTACAO (cot_id, cot_blt_id, cot_pap_id, cot_prc_comum, cot_prc_min, cot_prc_max, cot_prc_med, cot_prc_mediana) VALUES (803, 57, 11, NULL, 20, 24, 22, 22);</v>
      </c>
      <c r="J804" s="0" t="str">
        <f aca="false">"UPDATE COTACAO SET cot_id = "&amp;A804&amp;", cot_blt_id = "&amp;B804&amp;", cot_pap_id = "&amp;C804&amp;", cot_prc_comum = "&amp;D804&amp;", cot_prc_min = "&amp;E804&amp;", cot_prc_max = "&amp;F804&amp;", cot_prc_med = "&amp;G804&amp;", cot_prc_mediana = "&amp;H804&amp;" WHERE cot_id = "&amp;A804&amp;";"</f>
        <v>UPDATE COTACAO SET cot_id = 803, cot_blt_id = 57, cot_pap_id = 11, cot_prc_comum = NULL, cot_prc_min = 20, cot_prc_max = 24, cot_prc_med = 22, cot_prc_mediana = 22 WHERE cot_id = 803;</v>
      </c>
    </row>
    <row r="805" customFormat="false" ht="14.25" hidden="false" customHeight="false" outlineLevel="0" collapsed="false">
      <c r="A805" s="0" t="n">
        <v>804</v>
      </c>
      <c r="B805" s="0" t="n">
        <f aca="false">IF('Boletins Nuppa Site'!A805&lt;&gt;0,'Boletins Nuppa Site'!A805,"NULL")</f>
        <v>57</v>
      </c>
      <c r="C805" s="0" t="n">
        <v>12</v>
      </c>
      <c r="D805" s="0" t="str">
        <f aca="false">IF('Boletins Nuppa Site'!G805&lt;&gt;0,'Boletins Nuppa Site'!G805,"NULL")</f>
        <v>NULL</v>
      </c>
      <c r="E805" s="30" t="n">
        <f aca="false">IF('Boletins Nuppa Site'!H805&lt;&gt;0,'Boletins Nuppa Site'!H805,"NULL")</f>
        <v>72</v>
      </c>
      <c r="F805" s="30" t="n">
        <f aca="false">IF('Boletins Nuppa Site'!I805&lt;&gt;0,'Boletins Nuppa Site'!I805,"NULL")</f>
        <v>78</v>
      </c>
      <c r="G805" s="30" t="n">
        <f aca="false">IF('Boletins Nuppa Site'!J805&lt;&gt;0,'Boletins Nuppa Site'!J805,"NULL")</f>
        <v>75</v>
      </c>
      <c r="H805" s="30" t="n">
        <f aca="false">IF('Boletins Nuppa Site'!K805&lt;&gt;0,'Boletins Nuppa Site'!K805,"NULL")</f>
        <v>75</v>
      </c>
      <c r="I805" s="0" t="str">
        <f aca="false">"INSERT INTO COTACAO (cot_id, cot_blt_id, cot_pap_id, cot_prc_comum, cot_prc_min, cot_prc_max, cot_prc_med, cot_prc_mediana) VALUES ("&amp;A805&amp;", "&amp;B805&amp;", "&amp;C805&amp;", "&amp;D805&amp;", "&amp;E805&amp;", "&amp;F805&amp;", "&amp;G805&amp;", "&amp;H805&amp;");"</f>
        <v>INSERT INTO COTACAO (cot_id, cot_blt_id, cot_pap_id, cot_prc_comum, cot_prc_min, cot_prc_max, cot_prc_med, cot_prc_mediana) VALUES (804, 57, 12, NULL, 72, 78, 75, 75);</v>
      </c>
      <c r="J805" s="0" t="str">
        <f aca="false">"UPDATE COTACAO SET cot_id = "&amp;A805&amp;", cot_blt_id = "&amp;B805&amp;", cot_pap_id = "&amp;C805&amp;", cot_prc_comum = "&amp;D805&amp;", cot_prc_min = "&amp;E805&amp;", cot_prc_max = "&amp;F805&amp;", cot_prc_med = "&amp;G805&amp;", cot_prc_mediana = "&amp;H805&amp;" WHERE cot_id = "&amp;A805&amp;";"</f>
        <v>UPDATE COTACAO SET cot_id = 804, cot_blt_id = 57, cot_pap_id = 12, cot_prc_comum = NULL, cot_prc_min = 72, cot_prc_max = 78, cot_prc_med = 75, cot_prc_mediana = 75 WHERE cot_id = 804;</v>
      </c>
    </row>
    <row r="806" customFormat="false" ht="14.25" hidden="false" customHeight="false" outlineLevel="0" collapsed="false">
      <c r="A806" s="0" t="n">
        <v>805</v>
      </c>
      <c r="B806" s="0" t="n">
        <f aca="false">IF('Boletins Nuppa Site'!A806&lt;&gt;0,'Boletins Nuppa Site'!A806,"NULL")</f>
        <v>57</v>
      </c>
      <c r="C806" s="0" t="n">
        <v>13</v>
      </c>
      <c r="D806" s="30" t="n">
        <f aca="false">IF('Boletins Nuppa Site'!G806&lt;&gt;0,'Boletins Nuppa Site'!G806,"NULL")</f>
        <v>60</v>
      </c>
      <c r="E806" s="30" t="n">
        <f aca="false">IF('Boletins Nuppa Site'!H806&lt;&gt;0,'Boletins Nuppa Site'!H806,"NULL")</f>
        <v>60</v>
      </c>
      <c r="F806" s="30" t="n">
        <f aca="false">IF('Boletins Nuppa Site'!I806&lt;&gt;0,'Boletins Nuppa Site'!I806,"NULL")</f>
        <v>60</v>
      </c>
      <c r="G806" s="30" t="n">
        <f aca="false">IF('Boletins Nuppa Site'!J806&lt;&gt;0,'Boletins Nuppa Site'!J806,"NULL")</f>
        <v>60</v>
      </c>
      <c r="H806" s="30" t="n">
        <f aca="false">IF('Boletins Nuppa Site'!K806&lt;&gt;0,'Boletins Nuppa Site'!K806,"NULL")</f>
        <v>60</v>
      </c>
      <c r="I806" s="0" t="str">
        <f aca="false">"INSERT INTO COTACAO (cot_id, cot_blt_id, cot_pap_id, cot_prc_comum, cot_prc_min, cot_prc_max, cot_prc_med, cot_prc_mediana) VALUES ("&amp;A806&amp;", "&amp;B806&amp;", "&amp;C806&amp;", "&amp;D806&amp;", "&amp;E806&amp;", "&amp;F806&amp;", "&amp;G806&amp;", "&amp;H806&amp;");"</f>
        <v>INSERT INTO COTACAO (cot_id, cot_blt_id, cot_pap_id, cot_prc_comum, cot_prc_min, cot_prc_max, cot_prc_med, cot_prc_mediana) VALUES (805, 57, 13, 60, 60, 60, 60, 60);</v>
      </c>
      <c r="J806" s="0" t="str">
        <f aca="false">"UPDATE COTACAO SET cot_id = "&amp;A806&amp;", cot_blt_id = "&amp;B806&amp;", cot_pap_id = "&amp;C806&amp;", cot_prc_comum = "&amp;D806&amp;", cot_prc_min = "&amp;E806&amp;", cot_prc_max = "&amp;F806&amp;", cot_prc_med = "&amp;G806&amp;", cot_prc_mediana = "&amp;H806&amp;" WHERE cot_id = "&amp;A806&amp;";"</f>
        <v>UPDATE COTACAO SET cot_id = 805, cot_blt_id = 57, cot_pap_id = 13, cot_prc_comum = 60, cot_prc_min = 60, cot_prc_max = 60, cot_prc_med = 60, cot_prc_mediana = 60 WHERE cot_id = 805;</v>
      </c>
    </row>
    <row r="807" customFormat="false" ht="14.25" hidden="false" customHeight="false" outlineLevel="0" collapsed="false">
      <c r="A807" s="0" t="n">
        <v>806</v>
      </c>
      <c r="B807" s="0" t="n">
        <f aca="false">IF('Boletins Nuppa Site'!A807&lt;&gt;0,'Boletins Nuppa Site'!A807,"NULL")</f>
        <v>57</v>
      </c>
      <c r="C807" s="0" t="n">
        <v>14</v>
      </c>
      <c r="D807" s="0" t="str">
        <f aca="false">IF('Boletins Nuppa Site'!G807&lt;&gt;0,'Boletins Nuppa Site'!G807,"NULL")</f>
        <v>NULL</v>
      </c>
      <c r="E807" s="30" t="n">
        <f aca="false">IF('Boletins Nuppa Site'!H807&lt;&gt;0,'Boletins Nuppa Site'!H807,"NULL")</f>
        <v>66</v>
      </c>
      <c r="F807" s="30" t="n">
        <f aca="false">IF('Boletins Nuppa Site'!I807&lt;&gt;0,'Boletins Nuppa Site'!I807,"NULL")</f>
        <v>72</v>
      </c>
      <c r="G807" s="30" t="n">
        <f aca="false">IF('Boletins Nuppa Site'!J807&lt;&gt;0,'Boletins Nuppa Site'!J807,"NULL")</f>
        <v>69</v>
      </c>
      <c r="H807" s="30" t="n">
        <f aca="false">IF('Boletins Nuppa Site'!K807&lt;&gt;0,'Boletins Nuppa Site'!K807,"NULL")</f>
        <v>69</v>
      </c>
      <c r="I807" s="0" t="str">
        <f aca="false">"INSERT INTO COTACAO (cot_id, cot_blt_id, cot_pap_id, cot_prc_comum, cot_prc_min, cot_prc_max, cot_prc_med, cot_prc_mediana) VALUES ("&amp;A807&amp;", "&amp;B807&amp;", "&amp;C807&amp;", "&amp;D807&amp;", "&amp;E807&amp;", "&amp;F807&amp;", "&amp;G807&amp;", "&amp;H807&amp;");"</f>
        <v>INSERT INTO COTACAO (cot_id, cot_blt_id, cot_pap_id, cot_prc_comum, cot_prc_min, cot_prc_max, cot_prc_med, cot_prc_mediana) VALUES (806, 57, 14, NULL, 66, 72, 69, 69);</v>
      </c>
      <c r="J807" s="0" t="str">
        <f aca="false">"UPDATE COTACAO SET cot_id = "&amp;A807&amp;", cot_blt_id = "&amp;B807&amp;", cot_pap_id = "&amp;C807&amp;", cot_prc_comum = "&amp;D807&amp;", cot_prc_min = "&amp;E807&amp;", cot_prc_max = "&amp;F807&amp;", cot_prc_med = "&amp;G807&amp;", cot_prc_mediana = "&amp;H807&amp;" WHERE cot_id = "&amp;A807&amp;";"</f>
        <v>UPDATE COTACAO SET cot_id = 806, cot_blt_id = 57, cot_pap_id = 14, cot_prc_comum = NULL, cot_prc_min = 66, cot_prc_max = 72, cot_prc_med = 69, cot_prc_mediana = 69 WHERE cot_id = 806;</v>
      </c>
    </row>
    <row r="808" customFormat="false" ht="14.25" hidden="false" customHeight="false" outlineLevel="0" collapsed="false">
      <c r="A808" s="0" t="n">
        <v>807</v>
      </c>
      <c r="B808" s="0" t="n">
        <f aca="false">IF('Boletins Nuppa Site'!A808&lt;&gt;0,'Boletins Nuppa Site'!A808,"NULL")</f>
        <v>57</v>
      </c>
      <c r="C808" s="0" t="n">
        <v>15</v>
      </c>
      <c r="D808" s="0" t="str">
        <f aca="false">IF('Boletins Nuppa Site'!G808&lt;&gt;0,'Boletins Nuppa Site'!G808,"NULL")</f>
        <v>NULL</v>
      </c>
      <c r="E808" s="30" t="n">
        <f aca="false">IF('Boletins Nuppa Site'!H808&lt;&gt;0,'Boletins Nuppa Site'!H808,"NULL")</f>
        <v>45</v>
      </c>
      <c r="F808" s="30" t="n">
        <f aca="false">IF('Boletins Nuppa Site'!I808&lt;&gt;0,'Boletins Nuppa Site'!I808,"NULL")</f>
        <v>48</v>
      </c>
      <c r="G808" s="0" t="str">
        <f aca="false">IF('Boletins Nuppa Site'!J808&lt;&gt;0,'Boletins Nuppa Site'!J808,"NULL")</f>
        <v>46.5</v>
      </c>
      <c r="H808" s="0" t="str">
        <f aca="false">IF('Boletins Nuppa Site'!K808&lt;&gt;0,'Boletins Nuppa Site'!K808,"NULL")</f>
        <v>46.5</v>
      </c>
      <c r="I808" s="0" t="str">
        <f aca="false">"INSERT INTO COTACAO (cot_id, cot_blt_id, cot_pap_id, cot_prc_comum, cot_prc_min, cot_prc_max, cot_prc_med, cot_prc_mediana) VALUES ("&amp;A808&amp;", "&amp;B808&amp;", "&amp;C808&amp;", "&amp;D808&amp;", "&amp;E808&amp;", "&amp;F808&amp;", "&amp;G808&amp;", "&amp;H808&amp;");"</f>
        <v>INSERT INTO COTACAO (cot_id, cot_blt_id, cot_pap_id, cot_prc_comum, cot_prc_min, cot_prc_max, cot_prc_med, cot_prc_mediana) VALUES (807, 57, 15, NULL, 45, 48, 46.5, 46.5);</v>
      </c>
      <c r="J808" s="0" t="str">
        <f aca="false">"UPDATE COTACAO SET cot_id = "&amp;A808&amp;", cot_blt_id = "&amp;B808&amp;", cot_pap_id = "&amp;C808&amp;", cot_prc_comum = "&amp;D808&amp;", cot_prc_min = "&amp;E808&amp;", cot_prc_max = "&amp;F808&amp;", cot_prc_med = "&amp;G808&amp;", cot_prc_mediana = "&amp;H808&amp;" WHERE cot_id = "&amp;A808&amp;";"</f>
        <v>UPDATE COTACAO SET cot_id = 807, cot_blt_id = 57, cot_pap_id = 15, cot_prc_comum = NULL, cot_prc_min = 45, cot_prc_max = 48, cot_prc_med = 46.5, cot_prc_mediana = 46.5 WHERE cot_id = 807;</v>
      </c>
    </row>
    <row r="809" customFormat="false" ht="14.25" hidden="false" customHeight="false" outlineLevel="0" collapsed="false">
      <c r="A809" s="0" t="n">
        <v>808</v>
      </c>
      <c r="B809" s="0" t="n">
        <f aca="false">IF('Boletins Nuppa Site'!A809&lt;&gt;0,'Boletins Nuppa Site'!A809,"NULL")</f>
        <v>57</v>
      </c>
      <c r="C809" s="0" t="n">
        <v>16</v>
      </c>
      <c r="D809" s="0" t="str">
        <f aca="false">IF('Boletins Nuppa Site'!G809&lt;&gt;0,'Boletins Nuppa Site'!G809,"NULL")</f>
        <v>NULL</v>
      </c>
      <c r="E809" s="30" t="n">
        <f aca="false">IF('Boletins Nuppa Site'!H809&lt;&gt;0,'Boletins Nuppa Site'!H809,"NULL")</f>
        <v>48</v>
      </c>
      <c r="F809" s="30" t="n">
        <f aca="false">IF('Boletins Nuppa Site'!I809&lt;&gt;0,'Boletins Nuppa Site'!I809,"NULL")</f>
        <v>54</v>
      </c>
      <c r="G809" s="30" t="n">
        <f aca="false">IF('Boletins Nuppa Site'!J809&lt;&gt;0,'Boletins Nuppa Site'!J809,"NULL")</f>
        <v>51</v>
      </c>
      <c r="H809" s="30" t="n">
        <f aca="false">IF('Boletins Nuppa Site'!K809&lt;&gt;0,'Boletins Nuppa Site'!K809,"NULL")</f>
        <v>51</v>
      </c>
      <c r="I809" s="0" t="str">
        <f aca="false">"INSERT INTO COTACAO (cot_id, cot_blt_id, cot_pap_id, cot_prc_comum, cot_prc_min, cot_prc_max, cot_prc_med, cot_prc_mediana) VALUES ("&amp;A809&amp;", "&amp;B809&amp;", "&amp;C809&amp;", "&amp;D809&amp;", "&amp;E809&amp;", "&amp;F809&amp;", "&amp;G809&amp;", "&amp;H809&amp;");"</f>
        <v>INSERT INTO COTACAO (cot_id, cot_blt_id, cot_pap_id, cot_prc_comum, cot_prc_min, cot_prc_max, cot_prc_med, cot_prc_mediana) VALUES (808, 57, 16, NULL, 48, 54, 51, 51);</v>
      </c>
      <c r="J809" s="0" t="str">
        <f aca="false">"UPDATE COTACAO SET cot_id = "&amp;A809&amp;", cot_blt_id = "&amp;B809&amp;", cot_pap_id = "&amp;C809&amp;", cot_prc_comum = "&amp;D809&amp;", cot_prc_min = "&amp;E809&amp;", cot_prc_max = "&amp;F809&amp;", cot_prc_med = "&amp;G809&amp;", cot_prc_mediana = "&amp;H809&amp;" WHERE cot_id = "&amp;A809&amp;";"</f>
        <v>UPDATE COTACAO SET cot_id = 808, cot_blt_id = 57, cot_pap_id = 16, cot_prc_comum = NULL, cot_prc_min = 48, cot_prc_max = 54, cot_prc_med = 51, cot_prc_mediana = 51 WHERE cot_id = 808;</v>
      </c>
    </row>
    <row r="810" customFormat="false" ht="14.25" hidden="false" customHeight="false" outlineLevel="0" collapsed="false">
      <c r="A810" s="0" t="n">
        <v>809</v>
      </c>
      <c r="B810" s="0" t="n">
        <f aca="false">IF('Boletins Nuppa Site'!A810&lt;&gt;0,'Boletins Nuppa Site'!A810,"NULL")</f>
        <v>57</v>
      </c>
      <c r="C810" s="0" t="n">
        <v>17</v>
      </c>
      <c r="D810" s="30" t="n">
        <f aca="false">IF('Boletins Nuppa Site'!G810&lt;&gt;0,'Boletins Nuppa Site'!G810,"NULL")</f>
        <v>5</v>
      </c>
      <c r="E810" s="30" t="n">
        <f aca="false">IF('Boletins Nuppa Site'!H810&lt;&gt;0,'Boletins Nuppa Site'!H810,"NULL")</f>
        <v>5</v>
      </c>
      <c r="F810" s="30" t="n">
        <f aca="false">IF('Boletins Nuppa Site'!I810&lt;&gt;0,'Boletins Nuppa Site'!I810,"NULL")</f>
        <v>5</v>
      </c>
      <c r="G810" s="30" t="n">
        <f aca="false">IF('Boletins Nuppa Site'!J810&lt;&gt;0,'Boletins Nuppa Site'!J810,"NULL")</f>
        <v>5</v>
      </c>
      <c r="H810" s="30" t="n">
        <f aca="false">IF('Boletins Nuppa Site'!K810&lt;&gt;0,'Boletins Nuppa Site'!K810,"NULL")</f>
        <v>5</v>
      </c>
      <c r="I810" s="0" t="str">
        <f aca="false">"INSERT INTO COTACAO (cot_id, cot_blt_id, cot_pap_id, cot_prc_comum, cot_prc_min, cot_prc_max, cot_prc_med, cot_prc_mediana) VALUES ("&amp;A810&amp;", "&amp;B810&amp;", "&amp;C810&amp;", "&amp;D810&amp;", "&amp;E810&amp;", "&amp;F810&amp;", "&amp;G810&amp;", "&amp;H810&amp;");"</f>
        <v>INSERT INTO COTACAO (cot_id, cot_blt_id, cot_pap_id, cot_prc_comum, cot_prc_min, cot_prc_max, cot_prc_med, cot_prc_mediana) VALUES (809, 57, 17, 5, 5, 5, 5, 5);</v>
      </c>
      <c r="J810" s="0" t="str">
        <f aca="false">"UPDATE COTACAO SET cot_id = "&amp;A810&amp;", cot_blt_id = "&amp;B810&amp;", cot_pap_id = "&amp;C810&amp;", cot_prc_comum = "&amp;D810&amp;", cot_prc_min = "&amp;E810&amp;", cot_prc_max = "&amp;F810&amp;", cot_prc_med = "&amp;G810&amp;", cot_prc_mediana = "&amp;H810&amp;" WHERE cot_id = "&amp;A810&amp;";"</f>
        <v>UPDATE COTACAO SET cot_id = 809, cot_blt_id = 57, cot_pap_id = 17, cot_prc_comum = 5, cot_prc_min = 5, cot_prc_max = 5, cot_prc_med = 5, cot_prc_mediana = 5 WHERE cot_id = 809;</v>
      </c>
    </row>
    <row r="811" customFormat="false" ht="14.25" hidden="false" customHeight="false" outlineLevel="0" collapsed="false">
      <c r="A811" s="0" t="n">
        <v>810</v>
      </c>
      <c r="B811" s="0" t="n">
        <f aca="false">IF('Boletins Nuppa Site'!A811&lt;&gt;0,'Boletins Nuppa Site'!A811,"NULL")</f>
        <v>57</v>
      </c>
      <c r="C811" s="0" t="n">
        <v>18</v>
      </c>
      <c r="D811" s="30" t="n">
        <f aca="false">IF('Boletins Nuppa Site'!G811&lt;&gt;0,'Boletins Nuppa Site'!G811,"NULL")</f>
        <v>20</v>
      </c>
      <c r="E811" s="30" t="n">
        <f aca="false">IF('Boletins Nuppa Site'!H811&lt;&gt;0,'Boletins Nuppa Site'!H811,"NULL")</f>
        <v>20</v>
      </c>
      <c r="F811" s="30" t="n">
        <f aca="false">IF('Boletins Nuppa Site'!I811&lt;&gt;0,'Boletins Nuppa Site'!I811,"NULL")</f>
        <v>20</v>
      </c>
      <c r="G811" s="30" t="n">
        <f aca="false">IF('Boletins Nuppa Site'!J811&lt;&gt;0,'Boletins Nuppa Site'!J811,"NULL")</f>
        <v>20</v>
      </c>
      <c r="H811" s="30" t="n">
        <f aca="false">IF('Boletins Nuppa Site'!K811&lt;&gt;0,'Boletins Nuppa Site'!K811,"NULL")</f>
        <v>20</v>
      </c>
      <c r="I811" s="0" t="str">
        <f aca="false">"INSERT INTO COTACAO (cot_id, cot_blt_id, cot_pap_id, cot_prc_comum, cot_prc_min, cot_prc_max, cot_prc_med, cot_prc_mediana) VALUES ("&amp;A811&amp;", "&amp;B811&amp;", "&amp;C811&amp;", "&amp;D811&amp;", "&amp;E811&amp;", "&amp;F811&amp;", "&amp;G811&amp;", "&amp;H811&amp;");"</f>
        <v>INSERT INTO COTACAO (cot_id, cot_blt_id, cot_pap_id, cot_prc_comum, cot_prc_min, cot_prc_max, cot_prc_med, cot_prc_mediana) VALUES (810, 57, 18, 20, 20, 20, 20, 20);</v>
      </c>
      <c r="J811" s="0" t="str">
        <f aca="false">"UPDATE COTACAO SET cot_id = "&amp;A811&amp;", cot_blt_id = "&amp;B811&amp;", cot_pap_id = "&amp;C811&amp;", cot_prc_comum = "&amp;D811&amp;", cot_prc_min = "&amp;E811&amp;", cot_prc_max = "&amp;F811&amp;", cot_prc_med = "&amp;G811&amp;", cot_prc_mediana = "&amp;H811&amp;" WHERE cot_id = "&amp;A811&amp;";"</f>
        <v>UPDATE COTACAO SET cot_id = 810, cot_blt_id = 57, cot_pap_id = 18, cot_prc_comum = 20, cot_prc_min = 20, cot_prc_max = 20, cot_prc_med = 20, cot_prc_mediana = 20 WHERE cot_id = 810;</v>
      </c>
    </row>
    <row r="812" customFormat="false" ht="14.25" hidden="false" customHeight="false" outlineLevel="0" collapsed="false">
      <c r="A812" s="0" t="n">
        <v>811</v>
      </c>
      <c r="B812" s="0" t="n">
        <f aca="false">IF('Boletins Nuppa Site'!A812&lt;&gt;0,'Boletins Nuppa Site'!A812,"NULL")</f>
        <v>57</v>
      </c>
      <c r="C812" s="0" t="n">
        <v>19</v>
      </c>
      <c r="D812" s="0" t="str">
        <f aca="false">IF('Boletins Nuppa Site'!G812&lt;&gt;0,'Boletins Nuppa Site'!G812,"NULL")</f>
        <v>NULL</v>
      </c>
      <c r="E812" s="30" t="n">
        <f aca="false">IF('Boletins Nuppa Site'!H812&lt;&gt;0,'Boletins Nuppa Site'!H812,"NULL")</f>
        <v>25</v>
      </c>
      <c r="F812" s="30" t="n">
        <f aca="false">IF('Boletins Nuppa Site'!I812&lt;&gt;0,'Boletins Nuppa Site'!I812,"NULL")</f>
        <v>35</v>
      </c>
      <c r="G812" s="30" t="n">
        <f aca="false">IF('Boletins Nuppa Site'!J812&lt;&gt;0,'Boletins Nuppa Site'!J812,"NULL")</f>
        <v>30</v>
      </c>
      <c r="H812" s="30" t="n">
        <f aca="false">IF('Boletins Nuppa Site'!K812&lt;&gt;0,'Boletins Nuppa Site'!K812,"NULL")</f>
        <v>30</v>
      </c>
      <c r="I812" s="0" t="str">
        <f aca="false">"INSERT INTO COTACAO (cot_id, cot_blt_id, cot_pap_id, cot_prc_comum, cot_prc_min, cot_prc_max, cot_prc_med, cot_prc_mediana) VALUES ("&amp;A812&amp;", "&amp;B812&amp;", "&amp;C812&amp;", "&amp;D812&amp;", "&amp;E812&amp;", "&amp;F812&amp;", "&amp;G812&amp;", "&amp;H812&amp;");"</f>
        <v>INSERT INTO COTACAO (cot_id, cot_blt_id, cot_pap_id, cot_prc_comum, cot_prc_min, cot_prc_max, cot_prc_med, cot_prc_mediana) VALUES (811, 57, 19, NULL, 25, 35, 30, 30);</v>
      </c>
      <c r="J812" s="0" t="str">
        <f aca="false">"UPDATE COTACAO SET cot_id = "&amp;A812&amp;", cot_blt_id = "&amp;B812&amp;", cot_pap_id = "&amp;C812&amp;", cot_prc_comum = "&amp;D812&amp;", cot_prc_min = "&amp;E812&amp;", cot_prc_max = "&amp;F812&amp;", cot_prc_med = "&amp;G812&amp;", cot_prc_mediana = "&amp;H812&amp;" WHERE cot_id = "&amp;A812&amp;";"</f>
        <v>UPDATE COTACAO SET cot_id = 811, cot_blt_id = 57, cot_pap_id = 19, cot_prc_comum = NULL, cot_prc_min = 25, cot_prc_max = 35, cot_prc_med = 30, cot_prc_mediana = 30 WHERE cot_id = 811;</v>
      </c>
    </row>
    <row r="813" customFormat="false" ht="14.25" hidden="false" customHeight="false" outlineLevel="0" collapsed="false">
      <c r="A813" s="0" t="n">
        <v>812</v>
      </c>
      <c r="B813" s="0" t="n">
        <f aca="false">IF('Boletins Nuppa Site'!A813&lt;&gt;0,'Boletins Nuppa Site'!A813,"NULL")</f>
        <v>57</v>
      </c>
      <c r="C813" s="0" t="n">
        <v>20</v>
      </c>
      <c r="D813" s="0" t="str">
        <f aca="false">IF('Boletins Nuppa Site'!G813&lt;&gt;0,'Boletins Nuppa Site'!G813,"NULL")</f>
        <v>NULL</v>
      </c>
      <c r="E813" s="30" t="n">
        <f aca="false">IF('Boletins Nuppa Site'!H813&lt;&gt;0,'Boletins Nuppa Site'!H813,"NULL")</f>
        <v>80</v>
      </c>
      <c r="F813" s="30" t="n">
        <f aca="false">IF('Boletins Nuppa Site'!I813&lt;&gt;0,'Boletins Nuppa Site'!I813,"NULL")</f>
        <v>95</v>
      </c>
      <c r="G813" s="0" t="str">
        <f aca="false">IF('Boletins Nuppa Site'!J813&lt;&gt;0,'Boletins Nuppa Site'!J813,"NULL")</f>
        <v>87.5</v>
      </c>
      <c r="H813" s="0" t="str">
        <f aca="false">IF('Boletins Nuppa Site'!K813&lt;&gt;0,'Boletins Nuppa Site'!K813,"NULL")</f>
        <v>87.5</v>
      </c>
      <c r="I813" s="0" t="str">
        <f aca="false">"INSERT INTO COTACAO (cot_id, cot_blt_id, cot_pap_id, cot_prc_comum, cot_prc_min, cot_prc_max, cot_prc_med, cot_prc_mediana) VALUES ("&amp;A813&amp;", "&amp;B813&amp;", "&amp;C813&amp;", "&amp;D813&amp;", "&amp;E813&amp;", "&amp;F813&amp;", "&amp;G813&amp;", "&amp;H813&amp;");"</f>
        <v>INSERT INTO COTACAO (cot_id, cot_blt_id, cot_pap_id, cot_prc_comum, cot_prc_min, cot_prc_max, cot_prc_med, cot_prc_mediana) VALUES (812, 57, 20, NULL, 80, 95, 87.5, 87.5);</v>
      </c>
      <c r="J813" s="0" t="str">
        <f aca="false">"UPDATE COTACAO SET cot_id = "&amp;A813&amp;", cot_blt_id = "&amp;B813&amp;", cot_pap_id = "&amp;C813&amp;", cot_prc_comum = "&amp;D813&amp;", cot_prc_min = "&amp;E813&amp;", cot_prc_max = "&amp;F813&amp;", cot_prc_med = "&amp;G813&amp;", cot_prc_mediana = "&amp;H813&amp;" WHERE cot_id = "&amp;A813&amp;";"</f>
        <v>UPDATE COTACAO SET cot_id = 812, cot_blt_id = 57, cot_pap_id = 20, cot_prc_comum = NULL, cot_prc_min = 80, cot_prc_max = 95, cot_prc_med = 87.5, cot_prc_mediana = 87.5 WHERE cot_id = 812;</v>
      </c>
    </row>
    <row r="814" customFormat="false" ht="14.25" hidden="false" customHeight="false" outlineLevel="0" collapsed="false">
      <c r="A814" s="0" t="n">
        <v>813</v>
      </c>
      <c r="B814" s="0" t="n">
        <f aca="false">IF('Boletins Nuppa Site'!A814&lt;&gt;0,'Boletins Nuppa Site'!A814,"NULL")</f>
        <v>57</v>
      </c>
      <c r="C814" s="0" t="n">
        <v>21</v>
      </c>
      <c r="D814" s="30" t="n">
        <f aca="false">IF('Boletins Nuppa Site'!G814&lt;&gt;0,'Boletins Nuppa Site'!G814,"NULL")</f>
        <v>50</v>
      </c>
      <c r="E814" s="30" t="n">
        <f aca="false">IF('Boletins Nuppa Site'!H814&lt;&gt;0,'Boletins Nuppa Site'!H814,"NULL")</f>
        <v>50</v>
      </c>
      <c r="F814" s="30" t="n">
        <f aca="false">IF('Boletins Nuppa Site'!I814&lt;&gt;0,'Boletins Nuppa Site'!I814,"NULL")</f>
        <v>60</v>
      </c>
      <c r="G814" s="30" t="n">
        <f aca="false">IF('Boletins Nuppa Site'!J814&lt;&gt;0,'Boletins Nuppa Site'!J814,"NULL")</f>
        <v>54</v>
      </c>
      <c r="H814" s="30" t="n">
        <f aca="false">IF('Boletins Nuppa Site'!K814&lt;&gt;0,'Boletins Nuppa Site'!K814,"NULL")</f>
        <v>50</v>
      </c>
      <c r="I814" s="0" t="str">
        <f aca="false">"INSERT INTO COTACAO (cot_id, cot_blt_id, cot_pap_id, cot_prc_comum, cot_prc_min, cot_prc_max, cot_prc_med, cot_prc_mediana) VALUES ("&amp;A814&amp;", "&amp;B814&amp;", "&amp;C814&amp;", "&amp;D814&amp;", "&amp;E814&amp;", "&amp;F814&amp;", "&amp;G814&amp;", "&amp;H814&amp;");"</f>
        <v>INSERT INTO COTACAO (cot_id, cot_blt_id, cot_pap_id, cot_prc_comum, cot_prc_min, cot_prc_max, cot_prc_med, cot_prc_mediana) VALUES (813, 57, 21, 50, 50, 60, 54, 50);</v>
      </c>
      <c r="J814" s="0" t="str">
        <f aca="false">"UPDATE COTACAO SET cot_id = "&amp;A814&amp;", cot_blt_id = "&amp;B814&amp;", cot_pap_id = "&amp;C814&amp;", cot_prc_comum = "&amp;D814&amp;", cot_prc_min = "&amp;E814&amp;", cot_prc_max = "&amp;F814&amp;", cot_prc_med = "&amp;G814&amp;", cot_prc_mediana = "&amp;H814&amp;" WHERE cot_id = "&amp;A814&amp;";"</f>
        <v>UPDATE COTACAO SET cot_id = 813, cot_blt_id = 57, cot_pap_id = 21, cot_prc_comum = 50, cot_prc_min = 50, cot_prc_max = 60, cot_prc_med = 54, cot_prc_mediana = 50 WHERE cot_id = 813;</v>
      </c>
    </row>
    <row r="815" customFormat="false" ht="14.25" hidden="false" customHeight="false" outlineLevel="0" collapsed="false">
      <c r="A815" s="0" t="n">
        <v>814</v>
      </c>
      <c r="B815" s="0" t="n">
        <f aca="false">IF('Boletins Nuppa Site'!A815&lt;&gt;0,'Boletins Nuppa Site'!A815,"NULL")</f>
        <v>57</v>
      </c>
      <c r="C815" s="0" t="n">
        <v>22</v>
      </c>
      <c r="D815" s="30" t="n">
        <f aca="false">IF('Boletins Nuppa Site'!G815&lt;&gt;0,'Boletins Nuppa Site'!G815,"NULL")</f>
        <v>65</v>
      </c>
      <c r="E815" s="30" t="n">
        <f aca="false">IF('Boletins Nuppa Site'!H815&lt;&gt;0,'Boletins Nuppa Site'!H815,"NULL")</f>
        <v>45</v>
      </c>
      <c r="F815" s="30" t="n">
        <f aca="false">IF('Boletins Nuppa Site'!I815&lt;&gt;0,'Boletins Nuppa Site'!I815,"NULL")</f>
        <v>65</v>
      </c>
      <c r="G815" s="30" t="n">
        <f aca="false">IF('Boletins Nuppa Site'!J815&lt;&gt;0,'Boletins Nuppa Site'!J815,"NULL")</f>
        <v>57</v>
      </c>
      <c r="H815" s="30" t="n">
        <f aca="false">IF('Boletins Nuppa Site'!K815&lt;&gt;0,'Boletins Nuppa Site'!K815,"NULL")</f>
        <v>60</v>
      </c>
      <c r="I815" s="0" t="str">
        <f aca="false">"INSERT INTO COTACAO (cot_id, cot_blt_id, cot_pap_id, cot_prc_comum, cot_prc_min, cot_prc_max, cot_prc_med, cot_prc_mediana) VALUES ("&amp;A815&amp;", "&amp;B815&amp;", "&amp;C815&amp;", "&amp;D815&amp;", "&amp;E815&amp;", "&amp;F815&amp;", "&amp;G815&amp;", "&amp;H815&amp;");"</f>
        <v>INSERT INTO COTACAO (cot_id, cot_blt_id, cot_pap_id, cot_prc_comum, cot_prc_min, cot_prc_max, cot_prc_med, cot_prc_mediana) VALUES (814, 57, 22, 65, 45, 65, 57, 60);</v>
      </c>
      <c r="J815" s="0" t="str">
        <f aca="false">"UPDATE COTACAO SET cot_id = "&amp;A815&amp;", cot_blt_id = "&amp;B815&amp;", cot_pap_id = "&amp;C815&amp;", cot_prc_comum = "&amp;D815&amp;", cot_prc_min = "&amp;E815&amp;", cot_prc_max = "&amp;F815&amp;", cot_prc_med = "&amp;G815&amp;", cot_prc_mediana = "&amp;H815&amp;" WHERE cot_id = "&amp;A815&amp;";"</f>
        <v>UPDATE COTACAO SET cot_id = 814, cot_blt_id = 57, cot_pap_id = 22, cot_prc_comum = 65, cot_prc_min = 45, cot_prc_max = 65, cot_prc_med = 57, cot_prc_mediana = 60 WHERE cot_id = 814;</v>
      </c>
    </row>
    <row r="816" customFormat="false" ht="14.25" hidden="false" customHeight="false" outlineLevel="0" collapsed="false">
      <c r="A816" s="0" t="n">
        <v>815</v>
      </c>
      <c r="B816" s="0" t="n">
        <f aca="false">IF('Boletins Nuppa Site'!A816&lt;&gt;0,'Boletins Nuppa Site'!A816,"NULL")</f>
        <v>57</v>
      </c>
      <c r="C816" s="0" t="n">
        <v>23</v>
      </c>
      <c r="D816" s="0" t="str">
        <f aca="false">IF('Boletins Nuppa Site'!G816&lt;&gt;0,'Boletins Nuppa Site'!G816,"NULL")</f>
        <v>NULL</v>
      </c>
      <c r="E816" s="30" t="n">
        <f aca="false">IF('Boletins Nuppa Site'!H816&lt;&gt;0,'Boletins Nuppa Site'!H816,"NULL")</f>
        <v>40</v>
      </c>
      <c r="F816" s="30" t="n">
        <f aca="false">IF('Boletins Nuppa Site'!I816&lt;&gt;0,'Boletins Nuppa Site'!I816,"NULL")</f>
        <v>55</v>
      </c>
      <c r="G816" s="0" t="str">
        <f aca="false">IF('Boletins Nuppa Site'!J816&lt;&gt;0,'Boletins Nuppa Site'!J816,"NULL")</f>
        <v>47.5</v>
      </c>
      <c r="H816" s="0" t="str">
        <f aca="false">IF('Boletins Nuppa Site'!K816&lt;&gt;0,'Boletins Nuppa Site'!K816,"NULL")</f>
        <v>47.5</v>
      </c>
      <c r="I816" s="0" t="str">
        <f aca="false">"INSERT INTO COTACAO (cot_id, cot_blt_id, cot_pap_id, cot_prc_comum, cot_prc_min, cot_prc_max, cot_prc_med, cot_prc_mediana) VALUES ("&amp;A816&amp;", "&amp;B816&amp;", "&amp;C816&amp;", "&amp;D816&amp;", "&amp;E816&amp;", "&amp;F816&amp;", "&amp;G816&amp;", "&amp;H816&amp;");"</f>
        <v>INSERT INTO COTACAO (cot_id, cot_blt_id, cot_pap_id, cot_prc_comum, cot_prc_min, cot_prc_max, cot_prc_med, cot_prc_mediana) VALUES (815, 57, 23, NULL, 40, 55, 47.5, 47.5);</v>
      </c>
      <c r="J816" s="0" t="str">
        <f aca="false">"UPDATE COTACAO SET cot_id = "&amp;A816&amp;", cot_blt_id = "&amp;B816&amp;", cot_pap_id = "&amp;C816&amp;", cot_prc_comum = "&amp;D816&amp;", cot_prc_min = "&amp;E816&amp;", cot_prc_max = "&amp;F816&amp;", cot_prc_med = "&amp;G816&amp;", cot_prc_mediana = "&amp;H816&amp;" WHERE cot_id = "&amp;A816&amp;";"</f>
        <v>UPDATE COTACAO SET cot_id = 815, cot_blt_id = 57, cot_pap_id = 23, cot_prc_comum = NULL, cot_prc_min = 40, cot_prc_max = 55, cot_prc_med = 47.5, cot_prc_mediana = 47.5 WHERE cot_id = 815;</v>
      </c>
    </row>
    <row r="817" customFormat="false" ht="14.25" hidden="false" customHeight="false" outlineLevel="0" collapsed="false">
      <c r="A817" s="0" t="n">
        <v>816</v>
      </c>
      <c r="B817" s="0" t="n">
        <f aca="false">IF('Boletins Nuppa Site'!A817&lt;&gt;0,'Boletins Nuppa Site'!A817,"NULL")</f>
        <v>57</v>
      </c>
      <c r="C817" s="0" t="n">
        <v>24</v>
      </c>
      <c r="D817" s="0" t="str">
        <f aca="false">IF('Boletins Nuppa Site'!G817&lt;&gt;0,'Boletins Nuppa Site'!G817,"NULL")</f>
        <v>NULL</v>
      </c>
      <c r="E817" s="30" t="n">
        <f aca="false">IF('Boletins Nuppa Site'!H817&lt;&gt;0,'Boletins Nuppa Site'!H817,"NULL")</f>
        <v>90</v>
      </c>
      <c r="F817" s="30" t="n">
        <f aca="false">IF('Boletins Nuppa Site'!I817&lt;&gt;0,'Boletins Nuppa Site'!I817,"NULL")</f>
        <v>110</v>
      </c>
      <c r="G817" s="30" t="n">
        <f aca="false">IF('Boletins Nuppa Site'!J817&lt;&gt;0,'Boletins Nuppa Site'!J817,"NULL")</f>
        <v>100</v>
      </c>
      <c r="H817" s="30" t="n">
        <f aca="false">IF('Boletins Nuppa Site'!K817&lt;&gt;0,'Boletins Nuppa Site'!K817,"NULL")</f>
        <v>100</v>
      </c>
      <c r="I817" s="0" t="str">
        <f aca="false">"INSERT INTO COTACAO (cot_id, cot_blt_id, cot_pap_id, cot_prc_comum, cot_prc_min, cot_prc_max, cot_prc_med, cot_prc_mediana) VALUES ("&amp;A817&amp;", "&amp;B817&amp;", "&amp;C817&amp;", "&amp;D817&amp;", "&amp;E817&amp;", "&amp;F817&amp;", "&amp;G817&amp;", "&amp;H817&amp;");"</f>
        <v>INSERT INTO COTACAO (cot_id, cot_blt_id, cot_pap_id, cot_prc_comum, cot_prc_min, cot_prc_max, cot_prc_med, cot_prc_mediana) VALUES (816, 57, 24, NULL, 90, 110, 100, 100);</v>
      </c>
      <c r="J817" s="0" t="str">
        <f aca="false">"UPDATE COTACAO SET cot_id = "&amp;A817&amp;", cot_blt_id = "&amp;B817&amp;", cot_pap_id = "&amp;C817&amp;", cot_prc_comum = "&amp;D817&amp;", cot_prc_min = "&amp;E817&amp;", cot_prc_max = "&amp;F817&amp;", cot_prc_med = "&amp;G817&amp;", cot_prc_mediana = "&amp;H817&amp;" WHERE cot_id = "&amp;A817&amp;";"</f>
        <v>UPDATE COTACAO SET cot_id = 816, cot_blt_id = 57, cot_pap_id = 24, cot_prc_comum = NULL, cot_prc_min = 90, cot_prc_max = 110, cot_prc_med = 100, cot_prc_mediana = 100 WHERE cot_id = 816;</v>
      </c>
    </row>
    <row r="818" customFormat="false" ht="14.25" hidden="false" customHeight="false" outlineLevel="0" collapsed="false">
      <c r="A818" s="0" t="n">
        <v>817</v>
      </c>
      <c r="B818" s="0" t="n">
        <f aca="false">IF('Boletins Nuppa Site'!A818&lt;&gt;0,'Boletins Nuppa Site'!A818,"NULL")</f>
        <v>57</v>
      </c>
      <c r="C818" s="0" t="n">
        <v>25</v>
      </c>
      <c r="D818" s="30" t="n">
        <f aca="false">IF('Boletins Nuppa Site'!G818&lt;&gt;0,'Boletins Nuppa Site'!G818,"NULL")</f>
        <v>110</v>
      </c>
      <c r="E818" s="30" t="n">
        <f aca="false">IF('Boletins Nuppa Site'!H818&lt;&gt;0,'Boletins Nuppa Site'!H818,"NULL")</f>
        <v>90</v>
      </c>
      <c r="F818" s="30" t="n">
        <f aca="false">IF('Boletins Nuppa Site'!I818&lt;&gt;0,'Boletins Nuppa Site'!I818,"NULL")</f>
        <v>110</v>
      </c>
      <c r="G818" s="0" t="str">
        <f aca="false">IF('Boletins Nuppa Site'!J818&lt;&gt;0,'Boletins Nuppa Site'!J818,"NULL")</f>
        <v>102.5</v>
      </c>
      <c r="H818" s="30" t="n">
        <f aca="false">IF('Boletins Nuppa Site'!K818&lt;&gt;0,'Boletins Nuppa Site'!K818,"NULL")</f>
        <v>105</v>
      </c>
      <c r="I818" s="0" t="str">
        <f aca="false">"INSERT INTO COTACAO (cot_id, cot_blt_id, cot_pap_id, cot_prc_comum, cot_prc_min, cot_prc_max, cot_prc_med, cot_prc_mediana) VALUES ("&amp;A818&amp;", "&amp;B818&amp;", "&amp;C818&amp;", "&amp;D818&amp;", "&amp;E818&amp;", "&amp;F818&amp;", "&amp;G818&amp;", "&amp;H818&amp;");"</f>
        <v>INSERT INTO COTACAO (cot_id, cot_blt_id, cot_pap_id, cot_prc_comum, cot_prc_min, cot_prc_max, cot_prc_med, cot_prc_mediana) VALUES (817, 57, 25, 110, 90, 110, 102.5, 105);</v>
      </c>
      <c r="J818" s="0" t="str">
        <f aca="false">"UPDATE COTACAO SET cot_id = "&amp;A818&amp;", cot_blt_id = "&amp;B818&amp;", cot_pap_id = "&amp;C818&amp;", cot_prc_comum = "&amp;D818&amp;", cot_prc_min = "&amp;E818&amp;", cot_prc_max = "&amp;F818&amp;", cot_prc_med = "&amp;G818&amp;", cot_prc_mediana = "&amp;H818&amp;" WHERE cot_id = "&amp;A818&amp;";"</f>
        <v>UPDATE COTACAO SET cot_id = 817, cot_blt_id = 57, cot_pap_id = 25, cot_prc_comum = 110, cot_prc_min = 90, cot_prc_max = 110, cot_prc_med = 102.5, cot_prc_mediana = 105 WHERE cot_id = 817;</v>
      </c>
    </row>
    <row r="819" customFormat="false" ht="14.25" hidden="false" customHeight="false" outlineLevel="0" collapsed="false">
      <c r="A819" s="0" t="n">
        <v>818</v>
      </c>
      <c r="B819" s="0" t="n">
        <f aca="false">IF('Boletins Nuppa Site'!A819&lt;&gt;0,'Boletins Nuppa Site'!A819,"NULL")</f>
        <v>57</v>
      </c>
      <c r="C819" s="0" t="n">
        <v>26</v>
      </c>
      <c r="D819" s="30" t="n">
        <f aca="false">IF('Boletins Nuppa Site'!G819&lt;&gt;0,'Boletins Nuppa Site'!G819,"NULL")</f>
        <v>80</v>
      </c>
      <c r="E819" s="30" t="n">
        <f aca="false">IF('Boletins Nuppa Site'!H819&lt;&gt;0,'Boletins Nuppa Site'!H819,"NULL")</f>
        <v>70</v>
      </c>
      <c r="F819" s="30" t="n">
        <f aca="false">IF('Boletins Nuppa Site'!I819&lt;&gt;0,'Boletins Nuppa Site'!I819,"NULL")</f>
        <v>100</v>
      </c>
      <c r="G819" s="30" t="n">
        <f aca="false">IF('Boletins Nuppa Site'!J819&lt;&gt;0,'Boletins Nuppa Site'!J819,"NULL")</f>
        <v>84</v>
      </c>
      <c r="H819" s="30" t="n">
        <f aca="false">IF('Boletins Nuppa Site'!K819&lt;&gt;0,'Boletins Nuppa Site'!K819,"NULL")</f>
        <v>80</v>
      </c>
      <c r="I819" s="0" t="str">
        <f aca="false">"INSERT INTO COTACAO (cot_id, cot_blt_id, cot_pap_id, cot_prc_comum, cot_prc_min, cot_prc_max, cot_prc_med, cot_prc_mediana) VALUES ("&amp;A819&amp;", "&amp;B819&amp;", "&amp;C819&amp;", "&amp;D819&amp;", "&amp;E819&amp;", "&amp;F819&amp;", "&amp;G819&amp;", "&amp;H819&amp;");"</f>
        <v>INSERT INTO COTACAO (cot_id, cot_blt_id, cot_pap_id, cot_prc_comum, cot_prc_min, cot_prc_max, cot_prc_med, cot_prc_mediana) VALUES (818, 57, 26, 80, 70, 100, 84, 80);</v>
      </c>
      <c r="J819" s="0" t="str">
        <f aca="false">"UPDATE COTACAO SET cot_id = "&amp;A819&amp;", cot_blt_id = "&amp;B819&amp;", cot_pap_id = "&amp;C819&amp;", cot_prc_comum = "&amp;D819&amp;", cot_prc_min = "&amp;E819&amp;", cot_prc_max = "&amp;F819&amp;", cot_prc_med = "&amp;G819&amp;", cot_prc_mediana = "&amp;H819&amp;" WHERE cot_id = "&amp;A819&amp;";"</f>
        <v>UPDATE COTACAO SET cot_id = 818, cot_blt_id = 57, cot_pap_id = 26, cot_prc_comum = 80, cot_prc_min = 70, cot_prc_max = 100, cot_prc_med = 84, cot_prc_mediana = 80 WHERE cot_id = 818;</v>
      </c>
    </row>
    <row r="820" customFormat="false" ht="14.25" hidden="false" customHeight="false" outlineLevel="0" collapsed="false">
      <c r="A820" s="0" t="n">
        <v>819</v>
      </c>
      <c r="B820" s="0" t="n">
        <f aca="false">IF('Boletins Nuppa Site'!A820&lt;&gt;0,'Boletins Nuppa Site'!A820,"NULL")</f>
        <v>57</v>
      </c>
      <c r="C820" s="0" t="n">
        <v>27</v>
      </c>
      <c r="D820" s="0" t="str">
        <f aca="false">IF('Boletins Nuppa Site'!G820&lt;&gt;0,'Boletins Nuppa Site'!G820,"NULL")</f>
        <v>NULL</v>
      </c>
      <c r="E820" s="30" t="n">
        <f aca="false">IF('Boletins Nuppa Site'!H820&lt;&gt;0,'Boletins Nuppa Site'!H820,"NULL")</f>
        <v>50</v>
      </c>
      <c r="F820" s="30" t="n">
        <f aca="false">IF('Boletins Nuppa Site'!I820&lt;&gt;0,'Boletins Nuppa Site'!I820,"NULL")</f>
        <v>85</v>
      </c>
      <c r="G820" s="0" t="str">
        <f aca="false">IF('Boletins Nuppa Site'!J820&lt;&gt;0,'Boletins Nuppa Site'!J820,"NULL")</f>
        <v>66.25</v>
      </c>
      <c r="H820" s="30" t="n">
        <f aca="false">IF('Boletins Nuppa Site'!K820&lt;&gt;0,'Boletins Nuppa Site'!K820,"NULL")</f>
        <v>65</v>
      </c>
      <c r="I820" s="0" t="str">
        <f aca="false">"INSERT INTO COTACAO (cot_id, cot_blt_id, cot_pap_id, cot_prc_comum, cot_prc_min, cot_prc_max, cot_prc_med, cot_prc_mediana) VALUES ("&amp;A820&amp;", "&amp;B820&amp;", "&amp;C820&amp;", "&amp;D820&amp;", "&amp;E820&amp;", "&amp;F820&amp;", "&amp;G820&amp;", "&amp;H820&amp;");"</f>
        <v>INSERT INTO COTACAO (cot_id, cot_blt_id, cot_pap_id, cot_prc_comum, cot_prc_min, cot_prc_max, cot_prc_med, cot_prc_mediana) VALUES (819, 57, 27, NULL, 50, 85, 66.25, 65);</v>
      </c>
      <c r="J820" s="0" t="str">
        <f aca="false">"UPDATE COTACAO SET cot_id = "&amp;A820&amp;", cot_blt_id = "&amp;B820&amp;", cot_pap_id = "&amp;C820&amp;", cot_prc_comum = "&amp;D820&amp;", cot_prc_min = "&amp;E820&amp;", cot_prc_max = "&amp;F820&amp;", cot_prc_med = "&amp;G820&amp;", cot_prc_mediana = "&amp;H820&amp;" WHERE cot_id = "&amp;A820&amp;";"</f>
        <v>UPDATE COTACAO SET cot_id = 819, cot_blt_id = 57, cot_pap_id = 27, cot_prc_comum = NULL, cot_prc_min = 50, cot_prc_max = 85, cot_prc_med = 66.25, cot_prc_mediana = 65 WHERE cot_id = 819;</v>
      </c>
    </row>
    <row r="821" customFormat="false" ht="14.25" hidden="false" customHeight="false" outlineLevel="0" collapsed="false">
      <c r="A821" s="0" t="n">
        <v>820</v>
      </c>
      <c r="B821" s="0" t="n">
        <f aca="false">IF('Boletins Nuppa Site'!A821&lt;&gt;0,'Boletins Nuppa Site'!A821,"NULL")</f>
        <v>57</v>
      </c>
      <c r="C821" s="0" t="n">
        <v>28</v>
      </c>
      <c r="D821" s="30" t="n">
        <f aca="false">IF('Boletins Nuppa Site'!G821&lt;&gt;0,'Boletins Nuppa Site'!G821,"NULL")</f>
        <v>100</v>
      </c>
      <c r="E821" s="30" t="n">
        <f aca="false">IF('Boletins Nuppa Site'!H821&lt;&gt;0,'Boletins Nuppa Site'!H821,"NULL")</f>
        <v>100</v>
      </c>
      <c r="F821" s="30" t="n">
        <f aca="false">IF('Boletins Nuppa Site'!I821&lt;&gt;0,'Boletins Nuppa Site'!I821,"NULL")</f>
        <v>100</v>
      </c>
      <c r="G821" s="30" t="n">
        <f aca="false">IF('Boletins Nuppa Site'!J821&lt;&gt;0,'Boletins Nuppa Site'!J821,"NULL")</f>
        <v>100</v>
      </c>
      <c r="H821" s="30" t="n">
        <f aca="false">IF('Boletins Nuppa Site'!K821&lt;&gt;0,'Boletins Nuppa Site'!K821,"NULL")</f>
        <v>100</v>
      </c>
      <c r="I821" s="0" t="str">
        <f aca="false">"INSERT INTO COTACAO (cot_id, cot_blt_id, cot_pap_id, cot_prc_comum, cot_prc_min, cot_prc_max, cot_prc_med, cot_prc_mediana) VALUES ("&amp;A821&amp;", "&amp;B821&amp;", "&amp;C821&amp;", "&amp;D821&amp;", "&amp;E821&amp;", "&amp;F821&amp;", "&amp;G821&amp;", "&amp;H821&amp;");"</f>
        <v>INSERT INTO COTACAO (cot_id, cot_blt_id, cot_pap_id, cot_prc_comum, cot_prc_min, cot_prc_max, cot_prc_med, cot_prc_mediana) VALUES (820, 57, 28, 100, 100, 100, 100, 100);</v>
      </c>
      <c r="J821" s="0" t="str">
        <f aca="false">"UPDATE COTACAO SET cot_id = "&amp;A821&amp;", cot_blt_id = "&amp;B821&amp;", cot_pap_id = "&amp;C821&amp;", cot_prc_comum = "&amp;D821&amp;", cot_prc_min = "&amp;E821&amp;", cot_prc_max = "&amp;F821&amp;", cot_prc_med = "&amp;G821&amp;", cot_prc_mediana = "&amp;H821&amp;" WHERE cot_id = "&amp;A821&amp;";"</f>
        <v>UPDATE COTACAO SET cot_id = 820, cot_blt_id = 57, cot_pap_id = 28, cot_prc_comum = 100, cot_prc_min = 100, cot_prc_max = 100, cot_prc_med = 100, cot_prc_mediana = 100 WHERE cot_id = 820;</v>
      </c>
    </row>
    <row r="822" customFormat="false" ht="14.25" hidden="false" customHeight="false" outlineLevel="0" collapsed="false">
      <c r="A822" s="0" t="n">
        <v>821</v>
      </c>
      <c r="B822" s="0" t="n">
        <f aca="false">IF('Boletins Nuppa Site'!A822&lt;&gt;0,'Boletins Nuppa Site'!A822,"NULL")</f>
        <v>57</v>
      </c>
      <c r="C822" s="0" t="n">
        <v>29</v>
      </c>
      <c r="D822" s="0" t="str">
        <f aca="false">IF('Boletins Nuppa Site'!G822&lt;&gt;0,'Boletins Nuppa Site'!G822,"NULL")</f>
        <v>NULL</v>
      </c>
      <c r="E822" s="30" t="n">
        <f aca="false">IF('Boletins Nuppa Site'!H822&lt;&gt;0,'Boletins Nuppa Site'!H822,"NULL")</f>
        <v>60</v>
      </c>
      <c r="F822" s="30" t="n">
        <f aca="false">IF('Boletins Nuppa Site'!I822&lt;&gt;0,'Boletins Nuppa Site'!I822,"NULL")</f>
        <v>70</v>
      </c>
      <c r="G822" s="30" t="n">
        <f aca="false">IF('Boletins Nuppa Site'!J822&lt;&gt;0,'Boletins Nuppa Site'!J822,"NULL")</f>
        <v>65</v>
      </c>
      <c r="H822" s="30" t="n">
        <f aca="false">IF('Boletins Nuppa Site'!K822&lt;&gt;0,'Boletins Nuppa Site'!K822,"NULL")</f>
        <v>65</v>
      </c>
      <c r="I822" s="0" t="str">
        <f aca="false">"INSERT INTO COTACAO (cot_id, cot_blt_id, cot_pap_id, cot_prc_comum, cot_prc_min, cot_prc_max, cot_prc_med, cot_prc_mediana) VALUES ("&amp;A822&amp;", "&amp;B822&amp;", "&amp;C822&amp;", "&amp;D822&amp;", "&amp;E822&amp;", "&amp;F822&amp;", "&amp;G822&amp;", "&amp;H822&amp;");"</f>
        <v>INSERT INTO COTACAO (cot_id, cot_blt_id, cot_pap_id, cot_prc_comum, cot_prc_min, cot_prc_max, cot_prc_med, cot_prc_mediana) VALUES (821, 57, 29, NULL, 60, 70, 65, 65);</v>
      </c>
      <c r="J822" s="0" t="str">
        <f aca="false">"UPDATE COTACAO SET cot_id = "&amp;A822&amp;", cot_blt_id = "&amp;B822&amp;", cot_pap_id = "&amp;C822&amp;", cot_prc_comum = "&amp;D822&amp;", cot_prc_min = "&amp;E822&amp;", cot_prc_max = "&amp;F822&amp;", cot_prc_med = "&amp;G822&amp;", cot_prc_mediana = "&amp;H822&amp;" WHERE cot_id = "&amp;A822&amp;";"</f>
        <v>UPDATE COTACAO SET cot_id = 821, cot_blt_id = 57, cot_pap_id = 29, cot_prc_comum = NULL, cot_prc_min = 60, cot_prc_max = 70, cot_prc_med = 65, cot_prc_mediana = 65 WHERE cot_id = 821;</v>
      </c>
    </row>
    <row r="823" customFormat="false" ht="14.25" hidden="false" customHeight="false" outlineLevel="0" collapsed="false">
      <c r="A823" s="0" t="n">
        <v>822</v>
      </c>
      <c r="B823" s="0" t="n">
        <f aca="false">IF('Boletins Nuppa Site'!A823&lt;&gt;0,'Boletins Nuppa Site'!A823,"NULL")</f>
        <v>57</v>
      </c>
      <c r="C823" s="0" t="n">
        <v>30</v>
      </c>
      <c r="D823" s="30" t="n">
        <f aca="false">IF('Boletins Nuppa Site'!G823&lt;&gt;0,'Boletins Nuppa Site'!G823,"NULL")</f>
        <v>80</v>
      </c>
      <c r="E823" s="30" t="n">
        <f aca="false">IF('Boletins Nuppa Site'!H823&lt;&gt;0,'Boletins Nuppa Site'!H823,"NULL")</f>
        <v>80</v>
      </c>
      <c r="F823" s="30" t="n">
        <f aca="false">IF('Boletins Nuppa Site'!I823&lt;&gt;0,'Boletins Nuppa Site'!I823,"NULL")</f>
        <v>80</v>
      </c>
      <c r="G823" s="30" t="n">
        <f aca="false">IF('Boletins Nuppa Site'!J823&lt;&gt;0,'Boletins Nuppa Site'!J823,"NULL")</f>
        <v>80</v>
      </c>
      <c r="H823" s="30" t="n">
        <f aca="false">IF('Boletins Nuppa Site'!K823&lt;&gt;0,'Boletins Nuppa Site'!K823,"NULL")</f>
        <v>80</v>
      </c>
      <c r="I823" s="0" t="str">
        <f aca="false">"INSERT INTO COTACAO (cot_id, cot_blt_id, cot_pap_id, cot_prc_comum, cot_prc_min, cot_prc_max, cot_prc_med, cot_prc_mediana) VALUES ("&amp;A823&amp;", "&amp;B823&amp;", "&amp;C823&amp;", "&amp;D823&amp;", "&amp;E823&amp;", "&amp;F823&amp;", "&amp;G823&amp;", "&amp;H823&amp;");"</f>
        <v>INSERT INTO COTACAO (cot_id, cot_blt_id, cot_pap_id, cot_prc_comum, cot_prc_min, cot_prc_max, cot_prc_med, cot_prc_mediana) VALUES (822, 57, 30, 80, 80, 80, 80, 80);</v>
      </c>
      <c r="J823" s="0" t="str">
        <f aca="false">"UPDATE COTACAO SET cot_id = "&amp;A823&amp;", cot_blt_id = "&amp;B823&amp;", cot_pap_id = "&amp;C823&amp;", cot_prc_comum = "&amp;D823&amp;", cot_prc_min = "&amp;E823&amp;", cot_prc_max = "&amp;F823&amp;", cot_prc_med = "&amp;G823&amp;", cot_prc_mediana = "&amp;H823&amp;" WHERE cot_id = "&amp;A823&amp;";"</f>
        <v>UPDATE COTACAO SET cot_id = 822, cot_blt_id = 57, cot_pap_id = 30, cot_prc_comum = 80, cot_prc_min = 80, cot_prc_max = 80, cot_prc_med = 80, cot_prc_mediana = 80 WHERE cot_id = 822;</v>
      </c>
    </row>
    <row r="824" customFormat="false" ht="14.25" hidden="false" customHeight="false" outlineLevel="0" collapsed="false">
      <c r="A824" s="0" t="n">
        <v>823</v>
      </c>
      <c r="B824" s="0" t="n">
        <f aca="false">IF('Boletins Nuppa Site'!A824&lt;&gt;0,'Boletins Nuppa Site'!A824,"NULL")</f>
        <v>57</v>
      </c>
      <c r="C824" s="0" t="n">
        <v>31</v>
      </c>
      <c r="D824" s="30" t="n">
        <f aca="false">IF('Boletins Nuppa Site'!G824&lt;&gt;0,'Boletins Nuppa Site'!G824,"NULL")</f>
        <v>80</v>
      </c>
      <c r="E824" s="30" t="n">
        <f aca="false">IF('Boletins Nuppa Site'!H824&lt;&gt;0,'Boletins Nuppa Site'!H824,"NULL")</f>
        <v>65</v>
      </c>
      <c r="F824" s="30" t="n">
        <f aca="false">IF('Boletins Nuppa Site'!I824&lt;&gt;0,'Boletins Nuppa Site'!I824,"NULL")</f>
        <v>80</v>
      </c>
      <c r="G824" s="30" t="n">
        <f aca="false">IF('Boletins Nuppa Site'!J824&lt;&gt;0,'Boletins Nuppa Site'!J824,"NULL")</f>
        <v>75</v>
      </c>
      <c r="H824" s="30" t="n">
        <f aca="false">IF('Boletins Nuppa Site'!K824&lt;&gt;0,'Boletins Nuppa Site'!K824,"NULL")</f>
        <v>80</v>
      </c>
      <c r="I824" s="0" t="str">
        <f aca="false">"INSERT INTO COTACAO (cot_id, cot_blt_id, cot_pap_id, cot_prc_comum, cot_prc_min, cot_prc_max, cot_prc_med, cot_prc_mediana) VALUES ("&amp;A824&amp;", "&amp;B824&amp;", "&amp;C824&amp;", "&amp;D824&amp;", "&amp;E824&amp;", "&amp;F824&amp;", "&amp;G824&amp;", "&amp;H824&amp;");"</f>
        <v>INSERT INTO COTACAO (cot_id, cot_blt_id, cot_pap_id, cot_prc_comum, cot_prc_min, cot_prc_max, cot_prc_med, cot_prc_mediana) VALUES (823, 57, 31, 80, 65, 80, 75, 80);</v>
      </c>
      <c r="J824" s="0" t="str">
        <f aca="false">"UPDATE COTACAO SET cot_id = "&amp;A824&amp;", cot_blt_id = "&amp;B824&amp;", cot_pap_id = "&amp;C824&amp;", cot_prc_comum = "&amp;D824&amp;", cot_prc_min = "&amp;E824&amp;", cot_prc_max = "&amp;F824&amp;", cot_prc_med = "&amp;G824&amp;", cot_prc_mediana = "&amp;H824&amp;" WHERE cot_id = "&amp;A824&amp;";"</f>
        <v>UPDATE COTACAO SET cot_id = 823, cot_blt_id = 57, cot_pap_id = 31, cot_prc_comum = 80, cot_prc_min = 65, cot_prc_max = 80, cot_prc_med = 75, cot_prc_mediana = 80 WHERE cot_id = 823;</v>
      </c>
    </row>
    <row r="825" customFormat="false" ht="14.25" hidden="false" customHeight="false" outlineLevel="0" collapsed="false">
      <c r="A825" s="0" t="n">
        <v>824</v>
      </c>
      <c r="B825" s="0" t="n">
        <f aca="false">IF('Boletins Nuppa Site'!A825&lt;&gt;0,'Boletins Nuppa Site'!A825,"NULL")</f>
        <v>57</v>
      </c>
      <c r="C825" s="0" t="n">
        <v>32</v>
      </c>
      <c r="D825" s="30" t="n">
        <f aca="false">IF('Boletins Nuppa Site'!G825&lt;&gt;0,'Boletins Nuppa Site'!G825,"NULL")</f>
        <v>60</v>
      </c>
      <c r="E825" s="30" t="n">
        <f aca="false">IF('Boletins Nuppa Site'!H825&lt;&gt;0,'Boletins Nuppa Site'!H825,"NULL")</f>
        <v>50</v>
      </c>
      <c r="F825" s="30" t="n">
        <f aca="false">IF('Boletins Nuppa Site'!I825&lt;&gt;0,'Boletins Nuppa Site'!I825,"NULL")</f>
        <v>60</v>
      </c>
      <c r="G825" s="0" t="str">
        <f aca="false">IF('Boletins Nuppa Site'!J825&lt;&gt;0,'Boletins Nuppa Site'!J825,"NULL")</f>
        <v>56.25</v>
      </c>
      <c r="H825" s="0" t="str">
        <f aca="false">IF('Boletins Nuppa Site'!K825&lt;&gt;0,'Boletins Nuppa Site'!K825,"NULL")</f>
        <v>57.5</v>
      </c>
      <c r="I825" s="0" t="str">
        <f aca="false">"INSERT INTO COTACAO (cot_id, cot_blt_id, cot_pap_id, cot_prc_comum, cot_prc_min, cot_prc_max, cot_prc_med, cot_prc_mediana) VALUES ("&amp;A825&amp;", "&amp;B825&amp;", "&amp;C825&amp;", "&amp;D825&amp;", "&amp;E825&amp;", "&amp;F825&amp;", "&amp;G825&amp;", "&amp;H825&amp;");"</f>
        <v>INSERT INTO COTACAO (cot_id, cot_blt_id, cot_pap_id, cot_prc_comum, cot_prc_min, cot_prc_max, cot_prc_med, cot_prc_mediana) VALUES (824, 57, 32, 60, 50, 60, 56.25, 57.5);</v>
      </c>
      <c r="J825" s="0" t="str">
        <f aca="false">"UPDATE COTACAO SET cot_id = "&amp;A825&amp;", cot_blt_id = "&amp;B825&amp;", cot_pap_id = "&amp;C825&amp;", cot_prc_comum = "&amp;D825&amp;", cot_prc_min = "&amp;E825&amp;", cot_prc_max = "&amp;F825&amp;", cot_prc_med = "&amp;G825&amp;", cot_prc_mediana = "&amp;H825&amp;" WHERE cot_id = "&amp;A825&amp;";"</f>
        <v>UPDATE COTACAO SET cot_id = 824, cot_blt_id = 57, cot_pap_id = 32, cot_prc_comum = 60, cot_prc_min = 50, cot_prc_max = 60, cot_prc_med = 56.25, cot_prc_mediana = 57.5 WHERE cot_id = 824;</v>
      </c>
    </row>
    <row r="826" customFormat="false" ht="14.25" hidden="false" customHeight="false" outlineLevel="0" collapsed="false">
      <c r="A826" s="0" t="n">
        <v>825</v>
      </c>
      <c r="B826" s="0" t="n">
        <f aca="false">IF('Boletins Nuppa Site'!A826&lt;&gt;0,'Boletins Nuppa Site'!A826,"NULL")</f>
        <v>57</v>
      </c>
      <c r="C826" s="0" t="n">
        <v>33</v>
      </c>
      <c r="D826" s="30" t="n">
        <f aca="false">IF('Boletins Nuppa Site'!G826&lt;&gt;0,'Boletins Nuppa Site'!G826,"NULL")</f>
        <v>180</v>
      </c>
      <c r="E826" s="30" t="n">
        <f aca="false">IF('Boletins Nuppa Site'!H826&lt;&gt;0,'Boletins Nuppa Site'!H826,"NULL")</f>
        <v>180</v>
      </c>
      <c r="F826" s="30" t="n">
        <f aca="false">IF('Boletins Nuppa Site'!I826&lt;&gt;0,'Boletins Nuppa Site'!I826,"NULL")</f>
        <v>180</v>
      </c>
      <c r="G826" s="30" t="n">
        <f aca="false">IF('Boletins Nuppa Site'!J826&lt;&gt;0,'Boletins Nuppa Site'!J826,"NULL")</f>
        <v>180</v>
      </c>
      <c r="H826" s="30" t="n">
        <f aca="false">IF('Boletins Nuppa Site'!K826&lt;&gt;0,'Boletins Nuppa Site'!K826,"NULL")</f>
        <v>180</v>
      </c>
      <c r="I826" s="0" t="str">
        <f aca="false">"INSERT INTO COTACAO (cot_id, cot_blt_id, cot_pap_id, cot_prc_comum, cot_prc_min, cot_prc_max, cot_prc_med, cot_prc_mediana) VALUES ("&amp;A826&amp;", "&amp;B826&amp;", "&amp;C826&amp;", "&amp;D826&amp;", "&amp;E826&amp;", "&amp;F826&amp;", "&amp;G826&amp;", "&amp;H826&amp;");"</f>
        <v>INSERT INTO COTACAO (cot_id, cot_blt_id, cot_pap_id, cot_prc_comum, cot_prc_min, cot_prc_max, cot_prc_med, cot_prc_mediana) VALUES (825, 57, 33, 180, 180, 180, 180, 180);</v>
      </c>
      <c r="J826" s="0" t="str">
        <f aca="false">"UPDATE COTACAO SET cot_id = "&amp;A826&amp;", cot_blt_id = "&amp;B826&amp;", cot_pap_id = "&amp;C826&amp;", cot_prc_comum = "&amp;D826&amp;", cot_prc_min = "&amp;E826&amp;", cot_prc_max = "&amp;F826&amp;", cot_prc_med = "&amp;G826&amp;", cot_prc_mediana = "&amp;H826&amp;" WHERE cot_id = "&amp;A826&amp;";"</f>
        <v>UPDATE COTACAO SET cot_id = 825, cot_blt_id = 57, cot_pap_id = 33, cot_prc_comum = 180, cot_prc_min = 180, cot_prc_max = 180, cot_prc_med = 180, cot_prc_mediana = 180 WHERE cot_id = 825;</v>
      </c>
    </row>
    <row r="827" customFormat="false" ht="14.25" hidden="false" customHeight="false" outlineLevel="0" collapsed="false">
      <c r="A827" s="0" t="n">
        <v>826</v>
      </c>
      <c r="B827" s="0" t="n">
        <f aca="false">IF('Boletins Nuppa Site'!A827&lt;&gt;0,'Boletins Nuppa Site'!A827,"NULL")</f>
        <v>57</v>
      </c>
      <c r="C827" s="0" t="n">
        <v>34</v>
      </c>
      <c r="D827" s="30" t="n">
        <f aca="false">IF('Boletins Nuppa Site'!G827&lt;&gt;0,'Boletins Nuppa Site'!G827,"NULL")</f>
        <v>90</v>
      </c>
      <c r="E827" s="30" t="n">
        <f aca="false">IF('Boletins Nuppa Site'!H827&lt;&gt;0,'Boletins Nuppa Site'!H827,"NULL")</f>
        <v>80</v>
      </c>
      <c r="F827" s="30" t="n">
        <f aca="false">IF('Boletins Nuppa Site'!I827&lt;&gt;0,'Boletins Nuppa Site'!I827,"NULL")</f>
        <v>100</v>
      </c>
      <c r="G827" s="30" t="n">
        <f aca="false">IF('Boletins Nuppa Site'!J827&lt;&gt;0,'Boletins Nuppa Site'!J827,"NULL")</f>
        <v>92</v>
      </c>
      <c r="H827" s="30" t="n">
        <f aca="false">IF('Boletins Nuppa Site'!K827&lt;&gt;0,'Boletins Nuppa Site'!K827,"NULL")</f>
        <v>90</v>
      </c>
      <c r="I827" s="0" t="str">
        <f aca="false">"INSERT INTO COTACAO (cot_id, cot_blt_id, cot_pap_id, cot_prc_comum, cot_prc_min, cot_prc_max, cot_prc_med, cot_prc_mediana) VALUES ("&amp;A827&amp;", "&amp;B827&amp;", "&amp;C827&amp;", "&amp;D827&amp;", "&amp;E827&amp;", "&amp;F827&amp;", "&amp;G827&amp;", "&amp;H827&amp;");"</f>
        <v>INSERT INTO COTACAO (cot_id, cot_blt_id, cot_pap_id, cot_prc_comum, cot_prc_min, cot_prc_max, cot_prc_med, cot_prc_mediana) VALUES (826, 57, 34, 90, 80, 100, 92, 90);</v>
      </c>
      <c r="J827" s="0" t="str">
        <f aca="false">"UPDATE COTACAO SET cot_id = "&amp;A827&amp;", cot_blt_id = "&amp;B827&amp;", cot_pap_id = "&amp;C827&amp;", cot_prc_comum = "&amp;D827&amp;", cot_prc_min = "&amp;E827&amp;", cot_prc_max = "&amp;F827&amp;", cot_prc_med = "&amp;G827&amp;", cot_prc_mediana = "&amp;H827&amp;" WHERE cot_id = "&amp;A827&amp;";"</f>
        <v>UPDATE COTACAO SET cot_id = 826, cot_blt_id = 57, cot_pap_id = 34, cot_prc_comum = 90, cot_prc_min = 80, cot_prc_max = 100, cot_prc_med = 92, cot_prc_mediana = 90 WHERE cot_id = 826;</v>
      </c>
    </row>
    <row r="828" customFormat="false" ht="14.25" hidden="false" customHeight="false" outlineLevel="0" collapsed="false">
      <c r="A828" s="0" t="n">
        <v>827</v>
      </c>
      <c r="B828" s="0" t="n">
        <f aca="false">IF('Boletins Nuppa Site'!A828&lt;&gt;0,'Boletins Nuppa Site'!A828,"NULL")</f>
        <v>57</v>
      </c>
      <c r="C828" s="0" t="n">
        <v>35</v>
      </c>
      <c r="D828" s="0" t="str">
        <f aca="false">IF('Boletins Nuppa Site'!G828&lt;&gt;0,'Boletins Nuppa Site'!G828,"NULL")</f>
        <v>NULL</v>
      </c>
      <c r="E828" s="30" t="n">
        <f aca="false">IF('Boletins Nuppa Site'!H828&lt;&gt;0,'Boletins Nuppa Site'!H828,"NULL")</f>
        <v>150</v>
      </c>
      <c r="F828" s="30" t="n">
        <f aca="false">IF('Boletins Nuppa Site'!I828&lt;&gt;0,'Boletins Nuppa Site'!I828,"NULL")</f>
        <v>220</v>
      </c>
      <c r="G828" s="0" t="str">
        <f aca="false">IF('Boletins Nuppa Site'!J828&lt;&gt;0,'Boletins Nuppa Site'!J828,"NULL")</f>
        <v>176.67</v>
      </c>
      <c r="H828" s="30" t="n">
        <f aca="false">IF('Boletins Nuppa Site'!K828&lt;&gt;0,'Boletins Nuppa Site'!K828,"NULL")</f>
        <v>160</v>
      </c>
      <c r="I828" s="0" t="str">
        <f aca="false">"INSERT INTO COTACAO (cot_id, cot_blt_id, cot_pap_id, cot_prc_comum, cot_prc_min, cot_prc_max, cot_prc_med, cot_prc_mediana) VALUES ("&amp;A828&amp;", "&amp;B828&amp;", "&amp;C828&amp;", "&amp;D828&amp;", "&amp;E828&amp;", "&amp;F828&amp;", "&amp;G828&amp;", "&amp;H828&amp;");"</f>
        <v>INSERT INTO COTACAO (cot_id, cot_blt_id, cot_pap_id, cot_prc_comum, cot_prc_min, cot_prc_max, cot_prc_med, cot_prc_mediana) VALUES (827, 57, 35, NULL, 150, 220, 176.67, 160);</v>
      </c>
      <c r="J828" s="0" t="str">
        <f aca="false">"UPDATE COTACAO SET cot_id = "&amp;A828&amp;", cot_blt_id = "&amp;B828&amp;", cot_pap_id = "&amp;C828&amp;", cot_prc_comum = "&amp;D828&amp;", cot_prc_min = "&amp;E828&amp;", cot_prc_max = "&amp;F828&amp;", cot_prc_med = "&amp;G828&amp;", cot_prc_mediana = "&amp;H828&amp;" WHERE cot_id = "&amp;A828&amp;";"</f>
        <v>UPDATE COTACAO SET cot_id = 827, cot_blt_id = 57, cot_pap_id = 35, cot_prc_comum = NULL, cot_prc_min = 150, cot_prc_max = 220, cot_prc_med = 176.67, cot_prc_mediana = 160 WHERE cot_id = 827;</v>
      </c>
    </row>
    <row r="829" customFormat="false" ht="14.25" hidden="false" customHeight="false" outlineLevel="0" collapsed="false">
      <c r="A829" s="0" t="n">
        <v>828</v>
      </c>
      <c r="B829" s="0" t="n">
        <f aca="false">IF('Boletins Nuppa Site'!A829&lt;&gt;0,'Boletins Nuppa Site'!A829,"NULL")</f>
        <v>57</v>
      </c>
      <c r="C829" s="0" t="n">
        <v>36</v>
      </c>
      <c r="D829" s="0" t="str">
        <f aca="false">IF('Boletins Nuppa Site'!G829&lt;&gt;0,'Boletins Nuppa Site'!G829,"NULL")</f>
        <v>NULL</v>
      </c>
      <c r="E829" s="30" t="n">
        <f aca="false">IF('Boletins Nuppa Site'!H829&lt;&gt;0,'Boletins Nuppa Site'!H829,"NULL")</f>
        <v>120</v>
      </c>
      <c r="F829" s="30" t="n">
        <f aca="false">IF('Boletins Nuppa Site'!I829&lt;&gt;0,'Boletins Nuppa Site'!I829,"NULL")</f>
        <v>120</v>
      </c>
      <c r="G829" s="30" t="n">
        <f aca="false">IF('Boletins Nuppa Site'!J829&lt;&gt;0,'Boletins Nuppa Site'!J829,"NULL")</f>
        <v>120</v>
      </c>
      <c r="H829" s="30" t="n">
        <f aca="false">IF('Boletins Nuppa Site'!K829&lt;&gt;0,'Boletins Nuppa Site'!K829,"NULL")</f>
        <v>120</v>
      </c>
      <c r="I829" s="0" t="str">
        <f aca="false">"INSERT INTO COTACAO (cot_id, cot_blt_id, cot_pap_id, cot_prc_comum, cot_prc_min, cot_prc_max, cot_prc_med, cot_prc_mediana) VALUES ("&amp;A829&amp;", "&amp;B829&amp;", "&amp;C829&amp;", "&amp;D829&amp;", "&amp;E829&amp;", "&amp;F829&amp;", "&amp;G829&amp;", "&amp;H829&amp;");"</f>
        <v>INSERT INTO COTACAO (cot_id, cot_blt_id, cot_pap_id, cot_prc_comum, cot_prc_min, cot_prc_max, cot_prc_med, cot_prc_mediana) VALUES (828, 57, 36, NULL, 120, 120, 120, 120);</v>
      </c>
      <c r="J829" s="0" t="str">
        <f aca="false">"UPDATE COTACAO SET cot_id = "&amp;A829&amp;", cot_blt_id = "&amp;B829&amp;", cot_pap_id = "&amp;C829&amp;", cot_prc_comum = "&amp;D829&amp;", cot_prc_min = "&amp;E829&amp;", cot_prc_max = "&amp;F829&amp;", cot_prc_med = "&amp;G829&amp;", cot_prc_mediana = "&amp;H829&amp;" WHERE cot_id = "&amp;A829&amp;";"</f>
        <v>UPDATE COTACAO SET cot_id = 828, cot_blt_id = 57, cot_pap_id = 36, cot_prc_comum = NULL, cot_prc_min = 120, cot_prc_max = 120, cot_prc_med = 120, cot_prc_mediana = 120 WHERE cot_id = 828;</v>
      </c>
    </row>
    <row r="830" customFormat="false" ht="14.25" hidden="false" customHeight="false" outlineLevel="0" collapsed="false">
      <c r="A830" s="0" t="n">
        <v>829</v>
      </c>
      <c r="B830" s="0" t="n">
        <f aca="false">IF('Boletins Nuppa Site'!A830&lt;&gt;0,'Boletins Nuppa Site'!A830,"NULL")</f>
        <v>57</v>
      </c>
      <c r="C830" s="0" t="n">
        <v>37</v>
      </c>
      <c r="D830" s="0" t="str">
        <f aca="false">IF('Boletins Nuppa Site'!G830&lt;&gt;0,'Boletins Nuppa Site'!G830,"NULL")</f>
        <v>NULL</v>
      </c>
      <c r="E830" s="0" t="str">
        <f aca="false">IF('Boletins Nuppa Site'!H830&lt;&gt;0,'Boletins Nuppa Site'!H830,"NULL")</f>
        <v>NULL</v>
      </c>
      <c r="F830" s="0" t="str">
        <f aca="false">IF('Boletins Nuppa Site'!I830&lt;&gt;0,'Boletins Nuppa Site'!I830,"NULL")</f>
        <v>NULL</v>
      </c>
      <c r="G830" s="0" t="str">
        <f aca="false">IF('Boletins Nuppa Site'!J830&lt;&gt;0,'Boletins Nuppa Site'!J830,"NULL")</f>
        <v>NULL</v>
      </c>
      <c r="H830" s="0" t="str">
        <f aca="false">IF('Boletins Nuppa Site'!K830&lt;&gt;0,'Boletins Nuppa Site'!K830,"NULL")</f>
        <v>NULL</v>
      </c>
      <c r="I830" s="0" t="str">
        <f aca="false">"INSERT INTO COTACAO (cot_id, cot_blt_id, cot_pap_id, cot_prc_comum, cot_prc_min, cot_prc_max, cot_prc_med, cot_prc_mediana) VALUES ("&amp;A830&amp;", "&amp;B830&amp;", "&amp;C830&amp;", "&amp;D830&amp;", "&amp;E830&amp;", "&amp;F830&amp;", "&amp;G830&amp;", "&amp;H830&amp;");"</f>
        <v>INSERT INTO COTACAO (cot_id, cot_blt_id, cot_pap_id, cot_prc_comum, cot_prc_min, cot_prc_max, cot_prc_med, cot_prc_mediana) VALUES (829, 57, 37, NULL, NULL, NULL, NULL, NULL);</v>
      </c>
      <c r="J830" s="0" t="str">
        <f aca="false">"UPDATE COTACAO SET cot_id = "&amp;A830&amp;", cot_blt_id = "&amp;B830&amp;", cot_pap_id = "&amp;C830&amp;", cot_prc_comum = "&amp;D830&amp;", cot_prc_min = "&amp;E830&amp;", cot_prc_max = "&amp;F830&amp;", cot_prc_med = "&amp;G830&amp;", cot_prc_mediana = "&amp;H830&amp;" WHERE cot_id = "&amp;A830&amp;";"</f>
        <v>UPDATE COTACAO SET cot_id = 829, cot_blt_id = 57, cot_pap_id = 37, cot_prc_comum = NULL, cot_prc_min = NULL, cot_prc_max = NULL, cot_prc_med = NULL, cot_prc_mediana = NULL WHERE cot_id = 829;</v>
      </c>
    </row>
    <row r="831" customFormat="false" ht="14.25" hidden="false" customHeight="false" outlineLevel="0" collapsed="false">
      <c r="A831" s="0" t="n">
        <v>830</v>
      </c>
      <c r="B831" s="0" t="n">
        <f aca="false">IF('Boletins Nuppa Site'!A831&lt;&gt;0,'Boletins Nuppa Site'!A831,"NULL")</f>
        <v>57</v>
      </c>
      <c r="C831" s="0" t="n">
        <v>38</v>
      </c>
      <c r="D831" s="0" t="str">
        <f aca="false">IF('Boletins Nuppa Site'!G831&lt;&gt;0,'Boletins Nuppa Site'!G831,"NULL")</f>
        <v>NULL</v>
      </c>
      <c r="E831" s="0" t="str">
        <f aca="false">IF('Boletins Nuppa Site'!H831&lt;&gt;0,'Boletins Nuppa Site'!H831,"NULL")</f>
        <v>NULL</v>
      </c>
      <c r="F831" s="0" t="str">
        <f aca="false">IF('Boletins Nuppa Site'!I831&lt;&gt;0,'Boletins Nuppa Site'!I831,"NULL")</f>
        <v>NULL</v>
      </c>
      <c r="G831" s="0" t="str">
        <f aca="false">IF('Boletins Nuppa Site'!J831&lt;&gt;0,'Boletins Nuppa Site'!J831,"NULL")</f>
        <v>NULL</v>
      </c>
      <c r="H831" s="0" t="str">
        <f aca="false">IF('Boletins Nuppa Site'!K831&lt;&gt;0,'Boletins Nuppa Site'!K831,"NULL")</f>
        <v>NULL</v>
      </c>
      <c r="I831" s="0" t="str">
        <f aca="false">"INSERT INTO COTACAO (cot_id, cot_blt_id, cot_pap_id, cot_prc_comum, cot_prc_min, cot_prc_max, cot_prc_med, cot_prc_mediana) VALUES ("&amp;A831&amp;", "&amp;B831&amp;", "&amp;C831&amp;", "&amp;D831&amp;", "&amp;E831&amp;", "&amp;F831&amp;", "&amp;G831&amp;", "&amp;H831&amp;");"</f>
        <v>INSERT INTO COTACAO (cot_id, cot_blt_id, cot_pap_id, cot_prc_comum, cot_prc_min, cot_prc_max, cot_prc_med, cot_prc_mediana) VALUES (830, 57, 38, NULL, NULL, NULL, NULL, NULL);</v>
      </c>
      <c r="J831" s="0" t="str">
        <f aca="false">"UPDATE COTACAO SET cot_id = "&amp;A831&amp;", cot_blt_id = "&amp;B831&amp;", cot_pap_id = "&amp;C831&amp;", cot_prc_comum = "&amp;D831&amp;", cot_prc_min = "&amp;E831&amp;", cot_prc_max = "&amp;F831&amp;", cot_prc_med = "&amp;G831&amp;", cot_prc_mediana = "&amp;H831&amp;" WHERE cot_id = "&amp;A831&amp;";"</f>
        <v>UPDATE COTACAO SET cot_id = 830, cot_blt_id = 57, cot_pap_id = 38, cot_prc_comum = NULL, cot_prc_min = NULL, cot_prc_max = NULL, cot_prc_med = NULL, cot_prc_mediana = NULL WHERE cot_id = 830;</v>
      </c>
    </row>
    <row r="832" customFormat="false" ht="14.25" hidden="false" customHeight="false" outlineLevel="0" collapsed="false">
      <c r="A832" s="0" t="n">
        <v>831</v>
      </c>
      <c r="B832" s="0" t="n">
        <f aca="false">IF('Boletins Nuppa Site'!A832&lt;&gt;0,'Boletins Nuppa Site'!A832,"NULL")</f>
        <v>57</v>
      </c>
      <c r="C832" s="0" t="n">
        <v>39</v>
      </c>
      <c r="D832" s="0" t="str">
        <f aca="false">IF('Boletins Nuppa Site'!G832&lt;&gt;0,'Boletins Nuppa Site'!G832,"NULL")</f>
        <v>NULL</v>
      </c>
      <c r="E832" s="30" t="n">
        <f aca="false">IF('Boletins Nuppa Site'!H832&lt;&gt;0,'Boletins Nuppa Site'!H832,"NULL")</f>
        <v>50</v>
      </c>
      <c r="F832" s="30" t="n">
        <f aca="false">IF('Boletins Nuppa Site'!I832&lt;&gt;0,'Boletins Nuppa Site'!I832,"NULL")</f>
        <v>50</v>
      </c>
      <c r="G832" s="30" t="n">
        <f aca="false">IF('Boletins Nuppa Site'!J832&lt;&gt;0,'Boletins Nuppa Site'!J832,"NULL")</f>
        <v>50</v>
      </c>
      <c r="H832" s="30" t="n">
        <f aca="false">IF('Boletins Nuppa Site'!K832&lt;&gt;0,'Boletins Nuppa Site'!K832,"NULL")</f>
        <v>50</v>
      </c>
      <c r="I832" s="0" t="str">
        <f aca="false">"INSERT INTO COTACAO (cot_id, cot_blt_id, cot_pap_id, cot_prc_comum, cot_prc_min, cot_prc_max, cot_prc_med, cot_prc_mediana) VALUES ("&amp;A832&amp;", "&amp;B832&amp;", "&amp;C832&amp;", "&amp;D832&amp;", "&amp;E832&amp;", "&amp;F832&amp;", "&amp;G832&amp;", "&amp;H832&amp;");"</f>
        <v>INSERT INTO COTACAO (cot_id, cot_blt_id, cot_pap_id, cot_prc_comum, cot_prc_min, cot_prc_max, cot_prc_med, cot_prc_mediana) VALUES (831, 57, 39, NULL, 50, 50, 50, 50);</v>
      </c>
      <c r="J832" s="0" t="str">
        <f aca="false">"UPDATE COTACAO SET cot_id = "&amp;A832&amp;", cot_blt_id = "&amp;B832&amp;", cot_pap_id = "&amp;C832&amp;", cot_prc_comum = "&amp;D832&amp;", cot_prc_min = "&amp;E832&amp;", cot_prc_max = "&amp;F832&amp;", cot_prc_med = "&amp;G832&amp;", cot_prc_mediana = "&amp;H832&amp;" WHERE cot_id = "&amp;A832&amp;";"</f>
        <v>UPDATE COTACAO SET cot_id = 831, cot_blt_id = 57, cot_pap_id = 39, cot_prc_comum = NULL, cot_prc_min = 50, cot_prc_max = 50, cot_prc_med = 50, cot_prc_mediana = 50 WHERE cot_id = 831;</v>
      </c>
    </row>
    <row r="833" customFormat="false" ht="14.25" hidden="false" customHeight="false" outlineLevel="0" collapsed="false">
      <c r="A833" s="0" t="n">
        <v>832</v>
      </c>
      <c r="B833" s="0" t="n">
        <f aca="false">IF('Boletins Nuppa Site'!A833&lt;&gt;0,'Boletins Nuppa Site'!A833,"NULL")</f>
        <v>57</v>
      </c>
      <c r="C833" s="0" t="n">
        <v>40</v>
      </c>
      <c r="D833" s="0" t="str">
        <f aca="false">IF('Boletins Nuppa Site'!G833&lt;&gt;0,'Boletins Nuppa Site'!G833,"NULL")</f>
        <v>NULL</v>
      </c>
      <c r="E833" s="30" t="n">
        <f aca="false">IF('Boletins Nuppa Site'!H833&lt;&gt;0,'Boletins Nuppa Site'!H833,"NULL")</f>
        <v>60</v>
      </c>
      <c r="F833" s="30" t="n">
        <f aca="false">IF('Boletins Nuppa Site'!I833&lt;&gt;0,'Boletins Nuppa Site'!I833,"NULL")</f>
        <v>60</v>
      </c>
      <c r="G833" s="30" t="n">
        <f aca="false">IF('Boletins Nuppa Site'!J833&lt;&gt;0,'Boletins Nuppa Site'!J833,"NULL")</f>
        <v>60</v>
      </c>
      <c r="H833" s="30" t="n">
        <f aca="false">IF('Boletins Nuppa Site'!K833&lt;&gt;0,'Boletins Nuppa Site'!K833,"NULL")</f>
        <v>60</v>
      </c>
      <c r="I833" s="0" t="str">
        <f aca="false">"INSERT INTO COTACAO (cot_id, cot_blt_id, cot_pap_id, cot_prc_comum, cot_prc_min, cot_prc_max, cot_prc_med, cot_prc_mediana) VALUES ("&amp;A833&amp;", "&amp;B833&amp;", "&amp;C833&amp;", "&amp;D833&amp;", "&amp;E833&amp;", "&amp;F833&amp;", "&amp;G833&amp;", "&amp;H833&amp;");"</f>
        <v>INSERT INTO COTACAO (cot_id, cot_blt_id, cot_pap_id, cot_prc_comum, cot_prc_min, cot_prc_max, cot_prc_med, cot_prc_mediana) VALUES (832, 57, 40, NULL, 60, 60, 60, 60);</v>
      </c>
      <c r="J833" s="0" t="str">
        <f aca="false">"UPDATE COTACAO SET cot_id = "&amp;A833&amp;", cot_blt_id = "&amp;B833&amp;", cot_pap_id = "&amp;C833&amp;", cot_prc_comum = "&amp;D833&amp;", cot_prc_min = "&amp;E833&amp;", cot_prc_max = "&amp;F833&amp;", cot_prc_med = "&amp;G833&amp;", cot_prc_mediana = "&amp;H833&amp;" WHERE cot_id = "&amp;A833&amp;";"</f>
        <v>UPDATE COTACAO SET cot_id = 832, cot_blt_id = 57, cot_pap_id = 40, cot_prc_comum = NULL, cot_prc_min = 60, cot_prc_max = 60, cot_prc_med = 60, cot_prc_mediana = 60 WHERE cot_id = 832;</v>
      </c>
    </row>
    <row r="834" customFormat="false" ht="14.25" hidden="false" customHeight="false" outlineLevel="0" collapsed="false">
      <c r="A834" s="0" t="n">
        <v>833</v>
      </c>
      <c r="B834" s="0" t="n">
        <f aca="false">IF('Boletins Nuppa Site'!A834&lt;&gt;0,'Boletins Nuppa Site'!A834,"NULL")</f>
        <v>58</v>
      </c>
      <c r="C834" s="0" t="n">
        <v>1</v>
      </c>
      <c r="D834" s="30" t="n">
        <f aca="false">IF('Boletins Nuppa Site'!G834&lt;&gt;0,'Boletins Nuppa Site'!G834,"NULL")</f>
        <v>60</v>
      </c>
      <c r="E834" s="30" t="n">
        <f aca="false">IF('Boletins Nuppa Site'!H834&lt;&gt;0,'Boletins Nuppa Site'!H834,"NULL")</f>
        <v>60</v>
      </c>
      <c r="F834" s="30" t="n">
        <f aca="false">IF('Boletins Nuppa Site'!I834&lt;&gt;0,'Boletins Nuppa Site'!I834,"NULL")</f>
        <v>60</v>
      </c>
      <c r="G834" s="30" t="n">
        <f aca="false">IF('Boletins Nuppa Site'!J834&lt;&gt;0,'Boletins Nuppa Site'!J834,"NULL")</f>
        <v>60</v>
      </c>
      <c r="H834" s="30" t="n">
        <f aca="false">IF('Boletins Nuppa Site'!K834&lt;&gt;0,'Boletins Nuppa Site'!K834,"NULL")</f>
        <v>60</v>
      </c>
      <c r="I834" s="0" t="str">
        <f aca="false">"INSERT INTO COTACAO (cot_id, cot_blt_id, cot_pap_id, cot_prc_comum, cot_prc_min, cot_prc_max, cot_prc_med, cot_prc_mediana) VALUES ("&amp;A834&amp;", "&amp;B834&amp;", "&amp;C834&amp;", "&amp;D834&amp;", "&amp;E834&amp;", "&amp;F834&amp;", "&amp;G834&amp;", "&amp;H834&amp;");"</f>
        <v>INSERT INTO COTACAO (cot_id, cot_blt_id, cot_pap_id, cot_prc_comum, cot_prc_min, cot_prc_max, cot_prc_med, cot_prc_mediana) VALUES (833, 58, 1, 60, 60, 60, 60, 60);</v>
      </c>
      <c r="J834" s="0" t="str">
        <f aca="false">"UPDATE COTACAO SET cot_id = "&amp;A834&amp;", cot_blt_id = "&amp;B834&amp;", cot_pap_id = "&amp;C834&amp;", cot_prc_comum = "&amp;D834&amp;", cot_prc_min = "&amp;E834&amp;", cot_prc_max = "&amp;F834&amp;", cot_prc_med = "&amp;G834&amp;", cot_prc_mediana = "&amp;H834&amp;" WHERE cot_id = "&amp;A834&amp;";"</f>
        <v>UPDATE COTACAO SET cot_id = 833, cot_blt_id = 58, cot_pap_id = 1, cot_prc_comum = 60, cot_prc_min = 60, cot_prc_max = 60, cot_prc_med = 60, cot_prc_mediana = 60 WHERE cot_id = 833;</v>
      </c>
    </row>
    <row r="835" customFormat="false" ht="14.25" hidden="false" customHeight="false" outlineLevel="0" collapsed="false">
      <c r="A835" s="0" t="n">
        <v>834</v>
      </c>
      <c r="B835" s="0" t="n">
        <f aca="false">IF('Boletins Nuppa Site'!A835&lt;&gt;0,'Boletins Nuppa Site'!A835,"NULL")</f>
        <v>58</v>
      </c>
      <c r="C835" s="0" t="n">
        <v>2</v>
      </c>
      <c r="D835" s="30" t="n">
        <f aca="false">IF('Boletins Nuppa Site'!G835&lt;&gt;0,'Boletins Nuppa Site'!G835,"NULL")</f>
        <v>84</v>
      </c>
      <c r="E835" s="30" t="n">
        <f aca="false">IF('Boletins Nuppa Site'!H835&lt;&gt;0,'Boletins Nuppa Site'!H835,"NULL")</f>
        <v>84</v>
      </c>
      <c r="F835" s="30" t="n">
        <f aca="false">IF('Boletins Nuppa Site'!I835&lt;&gt;0,'Boletins Nuppa Site'!I835,"NULL")</f>
        <v>84</v>
      </c>
      <c r="G835" s="30" t="n">
        <f aca="false">IF('Boletins Nuppa Site'!J835&lt;&gt;0,'Boletins Nuppa Site'!J835,"NULL")</f>
        <v>84</v>
      </c>
      <c r="H835" s="30" t="n">
        <f aca="false">IF('Boletins Nuppa Site'!K835&lt;&gt;0,'Boletins Nuppa Site'!K835,"NULL")</f>
        <v>84</v>
      </c>
      <c r="I835" s="0" t="str">
        <f aca="false">"INSERT INTO COTACAO (cot_id, cot_blt_id, cot_pap_id, cot_prc_comum, cot_prc_min, cot_prc_max, cot_prc_med, cot_prc_mediana) VALUES ("&amp;A835&amp;", "&amp;B835&amp;", "&amp;C835&amp;", "&amp;D835&amp;", "&amp;E835&amp;", "&amp;F835&amp;", "&amp;G835&amp;", "&amp;H835&amp;");"</f>
        <v>INSERT INTO COTACAO (cot_id, cot_blt_id, cot_pap_id, cot_prc_comum, cot_prc_min, cot_prc_max, cot_prc_med, cot_prc_mediana) VALUES (834, 58, 2, 84, 84, 84, 84, 84);</v>
      </c>
      <c r="J835" s="0" t="str">
        <f aca="false">"UPDATE COTACAO SET cot_id = "&amp;A835&amp;", cot_blt_id = "&amp;B835&amp;", cot_pap_id = "&amp;C835&amp;", cot_prc_comum = "&amp;D835&amp;", cot_prc_min = "&amp;E835&amp;", cot_prc_max = "&amp;F835&amp;", cot_prc_med = "&amp;G835&amp;", cot_prc_mediana = "&amp;H835&amp;" WHERE cot_id = "&amp;A835&amp;";"</f>
        <v>UPDATE COTACAO SET cot_id = 834, cot_blt_id = 58, cot_pap_id = 2, cot_prc_comum = 84, cot_prc_min = 84, cot_prc_max = 84, cot_prc_med = 84, cot_prc_mediana = 84 WHERE cot_id = 834;</v>
      </c>
    </row>
    <row r="836" customFormat="false" ht="14.25" hidden="false" customHeight="false" outlineLevel="0" collapsed="false">
      <c r="A836" s="0" t="n">
        <v>835</v>
      </c>
      <c r="B836" s="0" t="n">
        <f aca="false">IF('Boletins Nuppa Site'!A836&lt;&gt;0,'Boletins Nuppa Site'!A836,"NULL")</f>
        <v>58</v>
      </c>
      <c r="C836" s="0" t="n">
        <v>3</v>
      </c>
      <c r="D836" s="0" t="str">
        <f aca="false">IF('Boletins Nuppa Site'!G836&lt;&gt;0,'Boletins Nuppa Site'!G836,"NULL")</f>
        <v>NULL</v>
      </c>
      <c r="E836" s="30" t="n">
        <f aca="false">IF('Boletins Nuppa Site'!H836&lt;&gt;0,'Boletins Nuppa Site'!H836,"NULL")</f>
        <v>36</v>
      </c>
      <c r="F836" s="30" t="n">
        <f aca="false">IF('Boletins Nuppa Site'!I836&lt;&gt;0,'Boletins Nuppa Site'!I836,"NULL")</f>
        <v>40</v>
      </c>
      <c r="G836" s="30" t="n">
        <f aca="false">IF('Boletins Nuppa Site'!J836&lt;&gt;0,'Boletins Nuppa Site'!J836,"NULL")</f>
        <v>38</v>
      </c>
      <c r="H836" s="30" t="n">
        <f aca="false">IF('Boletins Nuppa Site'!K836&lt;&gt;0,'Boletins Nuppa Site'!K836,"NULL")</f>
        <v>38</v>
      </c>
      <c r="I836" s="0" t="str">
        <f aca="false">"INSERT INTO COTACAO (cot_id, cot_blt_id, cot_pap_id, cot_prc_comum, cot_prc_min, cot_prc_max, cot_prc_med, cot_prc_mediana) VALUES ("&amp;A836&amp;", "&amp;B836&amp;", "&amp;C836&amp;", "&amp;D836&amp;", "&amp;E836&amp;", "&amp;F836&amp;", "&amp;G836&amp;", "&amp;H836&amp;");"</f>
        <v>INSERT INTO COTACAO (cot_id, cot_blt_id, cot_pap_id, cot_prc_comum, cot_prc_min, cot_prc_max, cot_prc_med, cot_prc_mediana) VALUES (835, 58, 3, NULL, 36, 40, 38, 38);</v>
      </c>
      <c r="J836" s="0" t="str">
        <f aca="false">"UPDATE COTACAO SET cot_id = "&amp;A836&amp;", cot_blt_id = "&amp;B836&amp;", cot_pap_id = "&amp;C836&amp;", cot_prc_comum = "&amp;D836&amp;", cot_prc_min = "&amp;E836&amp;", cot_prc_max = "&amp;F836&amp;", cot_prc_med = "&amp;G836&amp;", cot_prc_mediana = "&amp;H836&amp;" WHERE cot_id = "&amp;A836&amp;";"</f>
        <v>UPDATE COTACAO SET cot_id = 835, cot_blt_id = 58, cot_pap_id = 3, cot_prc_comum = NULL, cot_prc_min = 36, cot_prc_max = 40, cot_prc_med = 38, cot_prc_mediana = 38 WHERE cot_id = 835;</v>
      </c>
    </row>
    <row r="837" customFormat="false" ht="14.25" hidden="false" customHeight="false" outlineLevel="0" collapsed="false">
      <c r="A837" s="0" t="n">
        <v>836</v>
      </c>
      <c r="B837" s="0" t="n">
        <f aca="false">IF('Boletins Nuppa Site'!A837&lt;&gt;0,'Boletins Nuppa Site'!A837,"NULL")</f>
        <v>58</v>
      </c>
      <c r="C837" s="0" t="n">
        <v>4</v>
      </c>
      <c r="D837" s="0" t="str">
        <f aca="false">IF('Boletins Nuppa Site'!G837&lt;&gt;0,'Boletins Nuppa Site'!G837,"NULL")</f>
        <v>NULL</v>
      </c>
      <c r="E837" s="30" t="n">
        <f aca="false">IF('Boletins Nuppa Site'!H837&lt;&gt;0,'Boletins Nuppa Site'!H837,"NULL")</f>
        <v>20</v>
      </c>
      <c r="F837" s="30" t="n">
        <f aca="false">IF('Boletins Nuppa Site'!I837&lt;&gt;0,'Boletins Nuppa Site'!I837,"NULL")</f>
        <v>24</v>
      </c>
      <c r="G837" s="30" t="n">
        <f aca="false">IF('Boletins Nuppa Site'!J837&lt;&gt;0,'Boletins Nuppa Site'!J837,"NULL")</f>
        <v>22</v>
      </c>
      <c r="H837" s="30" t="n">
        <f aca="false">IF('Boletins Nuppa Site'!K837&lt;&gt;0,'Boletins Nuppa Site'!K837,"NULL")</f>
        <v>22</v>
      </c>
      <c r="I837" s="0" t="str">
        <f aca="false">"INSERT INTO COTACAO (cot_id, cot_blt_id, cot_pap_id, cot_prc_comum, cot_prc_min, cot_prc_max, cot_prc_med, cot_prc_mediana) VALUES ("&amp;A837&amp;", "&amp;B837&amp;", "&amp;C837&amp;", "&amp;D837&amp;", "&amp;E837&amp;", "&amp;F837&amp;", "&amp;G837&amp;", "&amp;H837&amp;");"</f>
        <v>INSERT INTO COTACAO (cot_id, cot_blt_id, cot_pap_id, cot_prc_comum, cot_prc_min, cot_prc_max, cot_prc_med, cot_prc_mediana) VALUES (836, 58, 4, NULL, 20, 24, 22, 22);</v>
      </c>
      <c r="J837" s="0" t="str">
        <f aca="false">"UPDATE COTACAO SET cot_id = "&amp;A837&amp;", cot_blt_id = "&amp;B837&amp;", cot_pap_id = "&amp;C837&amp;", cot_prc_comum = "&amp;D837&amp;", cot_prc_min = "&amp;E837&amp;", cot_prc_max = "&amp;F837&amp;", cot_prc_med = "&amp;G837&amp;", cot_prc_mediana = "&amp;H837&amp;" WHERE cot_id = "&amp;A837&amp;";"</f>
        <v>UPDATE COTACAO SET cot_id = 836, cot_blt_id = 58, cot_pap_id = 4, cot_prc_comum = NULL, cot_prc_min = 20, cot_prc_max = 24, cot_prc_med = 22, cot_prc_mediana = 22 WHERE cot_id = 836;</v>
      </c>
    </row>
    <row r="838" customFormat="false" ht="14.25" hidden="false" customHeight="false" outlineLevel="0" collapsed="false">
      <c r="A838" s="0" t="n">
        <v>837</v>
      </c>
      <c r="B838" s="0" t="n">
        <f aca="false">IF('Boletins Nuppa Site'!A838&lt;&gt;0,'Boletins Nuppa Site'!A838,"NULL")</f>
        <v>58</v>
      </c>
      <c r="C838" s="0" t="n">
        <v>5</v>
      </c>
      <c r="D838" s="0" t="str">
        <f aca="false">IF('Boletins Nuppa Site'!G838&lt;&gt;0,'Boletins Nuppa Site'!G838,"NULL")</f>
        <v>NULL</v>
      </c>
      <c r="E838" s="30" t="n">
        <f aca="false">IF('Boletins Nuppa Site'!H838&lt;&gt;0,'Boletins Nuppa Site'!H838,"NULL")</f>
        <v>20</v>
      </c>
      <c r="F838" s="30" t="n">
        <f aca="false">IF('Boletins Nuppa Site'!I838&lt;&gt;0,'Boletins Nuppa Site'!I838,"NULL")</f>
        <v>24</v>
      </c>
      <c r="G838" s="30" t="n">
        <f aca="false">IF('Boletins Nuppa Site'!J838&lt;&gt;0,'Boletins Nuppa Site'!J838,"NULL")</f>
        <v>22</v>
      </c>
      <c r="H838" s="30" t="n">
        <f aca="false">IF('Boletins Nuppa Site'!K838&lt;&gt;0,'Boletins Nuppa Site'!K838,"NULL")</f>
        <v>22</v>
      </c>
      <c r="I838" s="0" t="str">
        <f aca="false">"INSERT INTO COTACAO (cot_id, cot_blt_id, cot_pap_id, cot_prc_comum, cot_prc_min, cot_prc_max, cot_prc_med, cot_prc_mediana) VALUES ("&amp;A838&amp;", "&amp;B838&amp;", "&amp;C838&amp;", "&amp;D838&amp;", "&amp;E838&amp;", "&amp;F838&amp;", "&amp;G838&amp;", "&amp;H838&amp;");"</f>
        <v>INSERT INTO COTACAO (cot_id, cot_blt_id, cot_pap_id, cot_prc_comum, cot_prc_min, cot_prc_max, cot_prc_med, cot_prc_mediana) VALUES (837, 58, 5, NULL, 20, 24, 22, 22);</v>
      </c>
      <c r="J838" s="0" t="str">
        <f aca="false">"UPDATE COTACAO SET cot_id = "&amp;A838&amp;", cot_blt_id = "&amp;B838&amp;", cot_pap_id = "&amp;C838&amp;", cot_prc_comum = "&amp;D838&amp;", cot_prc_min = "&amp;E838&amp;", cot_prc_max = "&amp;F838&amp;", cot_prc_med = "&amp;G838&amp;", cot_prc_mediana = "&amp;H838&amp;" WHERE cot_id = "&amp;A838&amp;";"</f>
        <v>UPDATE COTACAO SET cot_id = 837, cot_blt_id = 58, cot_pap_id = 5, cot_prc_comum = NULL, cot_prc_min = 20, cot_prc_max = 24, cot_prc_med = 22, cot_prc_mediana = 22 WHERE cot_id = 837;</v>
      </c>
    </row>
    <row r="839" customFormat="false" ht="14.25" hidden="false" customHeight="false" outlineLevel="0" collapsed="false">
      <c r="A839" s="0" t="n">
        <v>838</v>
      </c>
      <c r="B839" s="0" t="n">
        <f aca="false">IF('Boletins Nuppa Site'!A839&lt;&gt;0,'Boletins Nuppa Site'!A839,"NULL")</f>
        <v>58</v>
      </c>
      <c r="C839" s="0" t="n">
        <v>6</v>
      </c>
      <c r="D839" s="30" t="n">
        <f aca="false">IF('Boletins Nuppa Site'!G839&lt;&gt;0,'Boletins Nuppa Site'!G839,"NULL")</f>
        <v>60</v>
      </c>
      <c r="E839" s="30" t="n">
        <f aca="false">IF('Boletins Nuppa Site'!H839&lt;&gt;0,'Boletins Nuppa Site'!H839,"NULL")</f>
        <v>60</v>
      </c>
      <c r="F839" s="30" t="n">
        <f aca="false">IF('Boletins Nuppa Site'!I839&lt;&gt;0,'Boletins Nuppa Site'!I839,"NULL")</f>
        <v>60</v>
      </c>
      <c r="G839" s="30" t="n">
        <f aca="false">IF('Boletins Nuppa Site'!J839&lt;&gt;0,'Boletins Nuppa Site'!J839,"NULL")</f>
        <v>60</v>
      </c>
      <c r="H839" s="30" t="n">
        <f aca="false">IF('Boletins Nuppa Site'!K839&lt;&gt;0,'Boletins Nuppa Site'!K839,"NULL")</f>
        <v>60</v>
      </c>
      <c r="I839" s="0" t="str">
        <f aca="false">"INSERT INTO COTACAO (cot_id, cot_blt_id, cot_pap_id, cot_prc_comum, cot_prc_min, cot_prc_max, cot_prc_med, cot_prc_mediana) VALUES ("&amp;A839&amp;", "&amp;B839&amp;", "&amp;C839&amp;", "&amp;D839&amp;", "&amp;E839&amp;", "&amp;F839&amp;", "&amp;G839&amp;", "&amp;H839&amp;");"</f>
        <v>INSERT INTO COTACAO (cot_id, cot_blt_id, cot_pap_id, cot_prc_comum, cot_prc_min, cot_prc_max, cot_prc_med, cot_prc_mediana) VALUES (838, 58, 6, 60, 60, 60, 60, 60);</v>
      </c>
      <c r="J839" s="0" t="str">
        <f aca="false">"UPDATE COTACAO SET cot_id = "&amp;A839&amp;", cot_blt_id = "&amp;B839&amp;", cot_pap_id = "&amp;C839&amp;", cot_prc_comum = "&amp;D839&amp;", cot_prc_min = "&amp;E839&amp;", cot_prc_max = "&amp;F839&amp;", cot_prc_med = "&amp;G839&amp;", cot_prc_mediana = "&amp;H839&amp;" WHERE cot_id = "&amp;A839&amp;";"</f>
        <v>UPDATE COTACAO SET cot_id = 838, cot_blt_id = 58, cot_pap_id = 6, cot_prc_comum = 60, cot_prc_min = 60, cot_prc_max = 60, cot_prc_med = 60, cot_prc_mediana = 60 WHERE cot_id = 838;</v>
      </c>
    </row>
    <row r="840" customFormat="false" ht="14.25" hidden="false" customHeight="false" outlineLevel="0" collapsed="false">
      <c r="A840" s="0" t="n">
        <v>839</v>
      </c>
      <c r="B840" s="0" t="n">
        <f aca="false">IF('Boletins Nuppa Site'!A840&lt;&gt;0,'Boletins Nuppa Site'!A840,"NULL")</f>
        <v>58</v>
      </c>
      <c r="C840" s="0" t="n">
        <v>7</v>
      </c>
      <c r="D840" s="30" t="n">
        <f aca="false">IF('Boletins Nuppa Site'!G840&lt;&gt;0,'Boletins Nuppa Site'!G840,"NULL")</f>
        <v>84</v>
      </c>
      <c r="E840" s="30" t="n">
        <f aca="false">IF('Boletins Nuppa Site'!H840&lt;&gt;0,'Boletins Nuppa Site'!H840,"NULL")</f>
        <v>60</v>
      </c>
      <c r="F840" s="30" t="n">
        <f aca="false">IF('Boletins Nuppa Site'!I840&lt;&gt;0,'Boletins Nuppa Site'!I840,"NULL")</f>
        <v>84</v>
      </c>
      <c r="G840" s="30" t="n">
        <f aca="false">IF('Boletins Nuppa Site'!J840&lt;&gt;0,'Boletins Nuppa Site'!J840,"NULL")</f>
        <v>76</v>
      </c>
      <c r="H840" s="30" t="n">
        <f aca="false">IF('Boletins Nuppa Site'!K840&lt;&gt;0,'Boletins Nuppa Site'!K840,"NULL")</f>
        <v>84</v>
      </c>
      <c r="I840" s="0" t="str">
        <f aca="false">"INSERT INTO COTACAO (cot_id, cot_blt_id, cot_pap_id, cot_prc_comum, cot_prc_min, cot_prc_max, cot_prc_med, cot_prc_mediana) VALUES ("&amp;A840&amp;", "&amp;B840&amp;", "&amp;C840&amp;", "&amp;D840&amp;", "&amp;E840&amp;", "&amp;F840&amp;", "&amp;G840&amp;", "&amp;H840&amp;");"</f>
        <v>INSERT INTO COTACAO (cot_id, cot_blt_id, cot_pap_id, cot_prc_comum, cot_prc_min, cot_prc_max, cot_prc_med, cot_prc_mediana) VALUES (839, 58, 7, 84, 60, 84, 76, 84);</v>
      </c>
      <c r="J840" s="0" t="str">
        <f aca="false">"UPDATE COTACAO SET cot_id = "&amp;A840&amp;", cot_blt_id = "&amp;B840&amp;", cot_pap_id = "&amp;C840&amp;", cot_prc_comum = "&amp;D840&amp;", cot_prc_min = "&amp;E840&amp;", cot_prc_max = "&amp;F840&amp;", cot_prc_med = "&amp;G840&amp;", cot_prc_mediana = "&amp;H840&amp;" WHERE cot_id = "&amp;A840&amp;";"</f>
        <v>UPDATE COTACAO SET cot_id = 839, cot_blt_id = 58, cot_pap_id = 7, cot_prc_comum = 84, cot_prc_min = 60, cot_prc_max = 84, cot_prc_med = 76, cot_prc_mediana = 84 WHERE cot_id = 839;</v>
      </c>
    </row>
    <row r="841" customFormat="false" ht="14.25" hidden="false" customHeight="false" outlineLevel="0" collapsed="false">
      <c r="A841" s="0" t="n">
        <v>840</v>
      </c>
      <c r="B841" s="0" t="n">
        <f aca="false">IF('Boletins Nuppa Site'!A841&lt;&gt;0,'Boletins Nuppa Site'!A841,"NULL")</f>
        <v>58</v>
      </c>
      <c r="C841" s="0" t="n">
        <v>8</v>
      </c>
      <c r="D841" s="0" t="str">
        <f aca="false">IF('Boletins Nuppa Site'!G841&lt;&gt;0,'Boletins Nuppa Site'!G841,"NULL")</f>
        <v>NULL</v>
      </c>
      <c r="E841" s="30" t="n">
        <f aca="false">IF('Boletins Nuppa Site'!H841&lt;&gt;0,'Boletins Nuppa Site'!H841,"NULL")</f>
        <v>84</v>
      </c>
      <c r="F841" s="30" t="n">
        <f aca="false">IF('Boletins Nuppa Site'!I841&lt;&gt;0,'Boletins Nuppa Site'!I841,"NULL")</f>
        <v>96</v>
      </c>
      <c r="G841" s="30" t="n">
        <f aca="false">IF('Boletins Nuppa Site'!J841&lt;&gt;0,'Boletins Nuppa Site'!J841,"NULL")</f>
        <v>90</v>
      </c>
      <c r="H841" s="30" t="n">
        <f aca="false">IF('Boletins Nuppa Site'!K841&lt;&gt;0,'Boletins Nuppa Site'!K841,"NULL")</f>
        <v>90</v>
      </c>
      <c r="I841" s="0" t="str">
        <f aca="false">"INSERT INTO COTACAO (cot_id, cot_blt_id, cot_pap_id, cot_prc_comum, cot_prc_min, cot_prc_max, cot_prc_med, cot_prc_mediana) VALUES ("&amp;A841&amp;", "&amp;B841&amp;", "&amp;C841&amp;", "&amp;D841&amp;", "&amp;E841&amp;", "&amp;F841&amp;", "&amp;G841&amp;", "&amp;H841&amp;");"</f>
        <v>INSERT INTO COTACAO (cot_id, cot_blt_id, cot_pap_id, cot_prc_comum, cot_prc_min, cot_prc_max, cot_prc_med, cot_prc_mediana) VALUES (840, 58, 8, NULL, 84, 96, 90, 90);</v>
      </c>
      <c r="J841" s="0" t="str">
        <f aca="false">"UPDATE COTACAO SET cot_id = "&amp;A841&amp;", cot_blt_id = "&amp;B841&amp;", cot_pap_id = "&amp;C841&amp;", cot_prc_comum = "&amp;D841&amp;", cot_prc_min = "&amp;E841&amp;", cot_prc_max = "&amp;F841&amp;", cot_prc_med = "&amp;G841&amp;", cot_prc_mediana = "&amp;H841&amp;" WHERE cot_id = "&amp;A841&amp;";"</f>
        <v>UPDATE COTACAO SET cot_id = 840, cot_blt_id = 58, cot_pap_id = 8, cot_prc_comum = NULL, cot_prc_min = 84, cot_prc_max = 96, cot_prc_med = 90, cot_prc_mediana = 90 WHERE cot_id = 840;</v>
      </c>
    </row>
    <row r="842" customFormat="false" ht="14.25" hidden="false" customHeight="false" outlineLevel="0" collapsed="false">
      <c r="A842" s="0" t="n">
        <v>841</v>
      </c>
      <c r="B842" s="0" t="n">
        <f aca="false">IF('Boletins Nuppa Site'!A842&lt;&gt;0,'Boletins Nuppa Site'!A842,"NULL")</f>
        <v>58</v>
      </c>
      <c r="C842" s="0" t="n">
        <v>9</v>
      </c>
      <c r="D842" s="30" t="n">
        <f aca="false">IF('Boletins Nuppa Site'!G842&lt;&gt;0,'Boletins Nuppa Site'!G842,"NULL")</f>
        <v>24</v>
      </c>
      <c r="E842" s="30" t="n">
        <f aca="false">IF('Boletins Nuppa Site'!H842&lt;&gt;0,'Boletins Nuppa Site'!H842,"NULL")</f>
        <v>24</v>
      </c>
      <c r="F842" s="30" t="n">
        <f aca="false">IF('Boletins Nuppa Site'!I842&lt;&gt;0,'Boletins Nuppa Site'!I842,"NULL")</f>
        <v>30</v>
      </c>
      <c r="G842" s="30" t="n">
        <f aca="false">IF('Boletins Nuppa Site'!J842&lt;&gt;0,'Boletins Nuppa Site'!J842,"NULL")</f>
        <v>26</v>
      </c>
      <c r="H842" s="30" t="n">
        <f aca="false">IF('Boletins Nuppa Site'!K842&lt;&gt;0,'Boletins Nuppa Site'!K842,"NULL")</f>
        <v>24</v>
      </c>
      <c r="I842" s="0" t="str">
        <f aca="false">"INSERT INTO COTACAO (cot_id, cot_blt_id, cot_pap_id, cot_prc_comum, cot_prc_min, cot_prc_max, cot_prc_med, cot_prc_mediana) VALUES ("&amp;A842&amp;", "&amp;B842&amp;", "&amp;C842&amp;", "&amp;D842&amp;", "&amp;E842&amp;", "&amp;F842&amp;", "&amp;G842&amp;", "&amp;H842&amp;");"</f>
        <v>INSERT INTO COTACAO (cot_id, cot_blt_id, cot_pap_id, cot_prc_comum, cot_prc_min, cot_prc_max, cot_prc_med, cot_prc_mediana) VALUES (841, 58, 9, 24, 24, 30, 26, 24);</v>
      </c>
      <c r="J842" s="0" t="str">
        <f aca="false">"UPDATE COTACAO SET cot_id = "&amp;A842&amp;", cot_blt_id = "&amp;B842&amp;", cot_pap_id = "&amp;C842&amp;", cot_prc_comum = "&amp;D842&amp;", cot_prc_min = "&amp;E842&amp;", cot_prc_max = "&amp;F842&amp;", cot_prc_med = "&amp;G842&amp;", cot_prc_mediana = "&amp;H842&amp;" WHERE cot_id = "&amp;A842&amp;";"</f>
        <v>UPDATE COTACAO SET cot_id = 841, cot_blt_id = 58, cot_pap_id = 9, cot_prc_comum = 24, cot_prc_min = 24, cot_prc_max = 30, cot_prc_med = 26, cot_prc_mediana = 24 WHERE cot_id = 841;</v>
      </c>
    </row>
    <row r="843" customFormat="false" ht="14.25" hidden="false" customHeight="false" outlineLevel="0" collapsed="false">
      <c r="A843" s="0" t="n">
        <v>842</v>
      </c>
      <c r="B843" s="0" t="n">
        <f aca="false">IF('Boletins Nuppa Site'!A843&lt;&gt;0,'Boletins Nuppa Site'!A843,"NULL")</f>
        <v>58</v>
      </c>
      <c r="C843" s="0" t="n">
        <v>10</v>
      </c>
      <c r="D843" s="0" t="str">
        <f aca="false">IF('Boletins Nuppa Site'!G843&lt;&gt;0,'Boletins Nuppa Site'!G843,"NULL")</f>
        <v>NULL</v>
      </c>
      <c r="E843" s="30" t="n">
        <f aca="false">IF('Boletins Nuppa Site'!H843&lt;&gt;0,'Boletins Nuppa Site'!H843,"NULL")</f>
        <v>84</v>
      </c>
      <c r="F843" s="30" t="n">
        <f aca="false">IF('Boletins Nuppa Site'!I843&lt;&gt;0,'Boletins Nuppa Site'!I843,"NULL")</f>
        <v>96</v>
      </c>
      <c r="G843" s="30" t="n">
        <f aca="false">IF('Boletins Nuppa Site'!J843&lt;&gt;0,'Boletins Nuppa Site'!J843,"NULL")</f>
        <v>90</v>
      </c>
      <c r="H843" s="30" t="n">
        <f aca="false">IF('Boletins Nuppa Site'!K843&lt;&gt;0,'Boletins Nuppa Site'!K843,"NULL")</f>
        <v>90</v>
      </c>
      <c r="I843" s="0" t="str">
        <f aca="false">"INSERT INTO COTACAO (cot_id, cot_blt_id, cot_pap_id, cot_prc_comum, cot_prc_min, cot_prc_max, cot_prc_med, cot_prc_mediana) VALUES ("&amp;A843&amp;", "&amp;B843&amp;", "&amp;C843&amp;", "&amp;D843&amp;", "&amp;E843&amp;", "&amp;F843&amp;", "&amp;G843&amp;", "&amp;H843&amp;");"</f>
        <v>INSERT INTO COTACAO (cot_id, cot_blt_id, cot_pap_id, cot_prc_comum, cot_prc_min, cot_prc_max, cot_prc_med, cot_prc_mediana) VALUES (842, 58, 10, NULL, 84, 96, 90, 90);</v>
      </c>
      <c r="J843" s="0" t="str">
        <f aca="false">"UPDATE COTACAO SET cot_id = "&amp;A843&amp;", cot_blt_id = "&amp;B843&amp;", cot_pap_id = "&amp;C843&amp;", cot_prc_comum = "&amp;D843&amp;", cot_prc_min = "&amp;E843&amp;", cot_prc_max = "&amp;F843&amp;", cot_prc_med = "&amp;G843&amp;", cot_prc_mediana = "&amp;H843&amp;" WHERE cot_id = "&amp;A843&amp;";"</f>
        <v>UPDATE COTACAO SET cot_id = 842, cot_blt_id = 58, cot_pap_id = 10, cot_prc_comum = NULL, cot_prc_min = 84, cot_prc_max = 96, cot_prc_med = 90, cot_prc_mediana = 90 WHERE cot_id = 842;</v>
      </c>
    </row>
    <row r="844" customFormat="false" ht="14.25" hidden="false" customHeight="false" outlineLevel="0" collapsed="false">
      <c r="A844" s="0" t="n">
        <v>843</v>
      </c>
      <c r="B844" s="0" t="n">
        <f aca="false">IF('Boletins Nuppa Site'!A844&lt;&gt;0,'Boletins Nuppa Site'!A844,"NULL")</f>
        <v>58</v>
      </c>
      <c r="C844" s="0" t="n">
        <v>11</v>
      </c>
      <c r="D844" s="0" t="str">
        <f aca="false">IF('Boletins Nuppa Site'!G844&lt;&gt;0,'Boletins Nuppa Site'!G844,"NULL")</f>
        <v>NULL</v>
      </c>
      <c r="E844" s="30" t="n">
        <f aca="false">IF('Boletins Nuppa Site'!H844&lt;&gt;0,'Boletins Nuppa Site'!H844,"NULL")</f>
        <v>20</v>
      </c>
      <c r="F844" s="30" t="n">
        <f aca="false">IF('Boletins Nuppa Site'!I844&lt;&gt;0,'Boletins Nuppa Site'!I844,"NULL")</f>
        <v>24</v>
      </c>
      <c r="G844" s="30" t="n">
        <f aca="false">IF('Boletins Nuppa Site'!J844&lt;&gt;0,'Boletins Nuppa Site'!J844,"NULL")</f>
        <v>22</v>
      </c>
      <c r="H844" s="30" t="n">
        <f aca="false">IF('Boletins Nuppa Site'!K844&lt;&gt;0,'Boletins Nuppa Site'!K844,"NULL")</f>
        <v>22</v>
      </c>
      <c r="I844" s="0" t="str">
        <f aca="false">"INSERT INTO COTACAO (cot_id, cot_blt_id, cot_pap_id, cot_prc_comum, cot_prc_min, cot_prc_max, cot_prc_med, cot_prc_mediana) VALUES ("&amp;A844&amp;", "&amp;B844&amp;", "&amp;C844&amp;", "&amp;D844&amp;", "&amp;E844&amp;", "&amp;F844&amp;", "&amp;G844&amp;", "&amp;H844&amp;");"</f>
        <v>INSERT INTO COTACAO (cot_id, cot_blt_id, cot_pap_id, cot_prc_comum, cot_prc_min, cot_prc_max, cot_prc_med, cot_prc_mediana) VALUES (843, 58, 11, NULL, 20, 24, 22, 22);</v>
      </c>
      <c r="J844" s="0" t="str">
        <f aca="false">"UPDATE COTACAO SET cot_id = "&amp;A844&amp;", cot_blt_id = "&amp;B844&amp;", cot_pap_id = "&amp;C844&amp;", cot_prc_comum = "&amp;D844&amp;", cot_prc_min = "&amp;E844&amp;", cot_prc_max = "&amp;F844&amp;", cot_prc_med = "&amp;G844&amp;", cot_prc_mediana = "&amp;H844&amp;" WHERE cot_id = "&amp;A844&amp;";"</f>
        <v>UPDATE COTACAO SET cot_id = 843, cot_blt_id = 58, cot_pap_id = 11, cot_prc_comum = NULL, cot_prc_min = 20, cot_prc_max = 24, cot_prc_med = 22, cot_prc_mediana = 22 WHERE cot_id = 843;</v>
      </c>
    </row>
    <row r="845" customFormat="false" ht="14.25" hidden="false" customHeight="false" outlineLevel="0" collapsed="false">
      <c r="A845" s="0" t="n">
        <v>844</v>
      </c>
      <c r="B845" s="0" t="n">
        <f aca="false">IF('Boletins Nuppa Site'!A845&lt;&gt;0,'Boletins Nuppa Site'!A845,"NULL")</f>
        <v>58</v>
      </c>
      <c r="C845" s="0" t="n">
        <v>12</v>
      </c>
      <c r="D845" s="30" t="n">
        <f aca="false">IF('Boletins Nuppa Site'!G845&lt;&gt;0,'Boletins Nuppa Site'!G845,"NULL")</f>
        <v>72</v>
      </c>
      <c r="E845" s="30" t="n">
        <f aca="false">IF('Boletins Nuppa Site'!H845&lt;&gt;0,'Boletins Nuppa Site'!H845,"NULL")</f>
        <v>72</v>
      </c>
      <c r="F845" s="30" t="n">
        <f aca="false">IF('Boletins Nuppa Site'!I845&lt;&gt;0,'Boletins Nuppa Site'!I845,"NULL")</f>
        <v>72</v>
      </c>
      <c r="G845" s="30" t="n">
        <f aca="false">IF('Boletins Nuppa Site'!J845&lt;&gt;0,'Boletins Nuppa Site'!J845,"NULL")</f>
        <v>72</v>
      </c>
      <c r="H845" s="30" t="n">
        <f aca="false">IF('Boletins Nuppa Site'!K845&lt;&gt;0,'Boletins Nuppa Site'!K845,"NULL")</f>
        <v>72</v>
      </c>
      <c r="I845" s="0" t="str">
        <f aca="false">"INSERT INTO COTACAO (cot_id, cot_blt_id, cot_pap_id, cot_prc_comum, cot_prc_min, cot_prc_max, cot_prc_med, cot_prc_mediana) VALUES ("&amp;A845&amp;", "&amp;B845&amp;", "&amp;C845&amp;", "&amp;D845&amp;", "&amp;E845&amp;", "&amp;F845&amp;", "&amp;G845&amp;", "&amp;H845&amp;");"</f>
        <v>INSERT INTO COTACAO (cot_id, cot_blt_id, cot_pap_id, cot_prc_comum, cot_prc_min, cot_prc_max, cot_prc_med, cot_prc_mediana) VALUES (844, 58, 12, 72, 72, 72, 72, 72);</v>
      </c>
      <c r="J845" s="0" t="str">
        <f aca="false">"UPDATE COTACAO SET cot_id = "&amp;A845&amp;", cot_blt_id = "&amp;B845&amp;", cot_pap_id = "&amp;C845&amp;", cot_prc_comum = "&amp;D845&amp;", cot_prc_min = "&amp;E845&amp;", cot_prc_max = "&amp;F845&amp;", cot_prc_med = "&amp;G845&amp;", cot_prc_mediana = "&amp;H845&amp;" WHERE cot_id = "&amp;A845&amp;";"</f>
        <v>UPDATE COTACAO SET cot_id = 844, cot_blt_id = 58, cot_pap_id = 12, cot_prc_comum = 72, cot_prc_min = 72, cot_prc_max = 72, cot_prc_med = 72, cot_prc_mediana = 72 WHERE cot_id = 844;</v>
      </c>
    </row>
    <row r="846" customFormat="false" ht="14.25" hidden="false" customHeight="false" outlineLevel="0" collapsed="false">
      <c r="A846" s="0" t="n">
        <v>845</v>
      </c>
      <c r="B846" s="0" t="n">
        <f aca="false">IF('Boletins Nuppa Site'!A846&lt;&gt;0,'Boletins Nuppa Site'!A846,"NULL")</f>
        <v>58</v>
      </c>
      <c r="C846" s="0" t="n">
        <v>13</v>
      </c>
      <c r="D846" s="0" t="str">
        <f aca="false">IF('Boletins Nuppa Site'!G846&lt;&gt;0,'Boletins Nuppa Site'!G846,"NULL")</f>
        <v>NULL</v>
      </c>
      <c r="E846" s="30" t="n">
        <f aca="false">IF('Boletins Nuppa Site'!H846&lt;&gt;0,'Boletins Nuppa Site'!H846,"NULL")</f>
        <v>60</v>
      </c>
      <c r="F846" s="30" t="n">
        <f aca="false">IF('Boletins Nuppa Site'!I846&lt;&gt;0,'Boletins Nuppa Site'!I846,"NULL")</f>
        <v>72</v>
      </c>
      <c r="G846" s="30" t="n">
        <f aca="false">IF('Boletins Nuppa Site'!J846&lt;&gt;0,'Boletins Nuppa Site'!J846,"NULL")</f>
        <v>66</v>
      </c>
      <c r="H846" s="30" t="n">
        <f aca="false">IF('Boletins Nuppa Site'!K846&lt;&gt;0,'Boletins Nuppa Site'!K846,"NULL")</f>
        <v>66</v>
      </c>
      <c r="I846" s="0" t="str">
        <f aca="false">"INSERT INTO COTACAO (cot_id, cot_blt_id, cot_pap_id, cot_prc_comum, cot_prc_min, cot_prc_max, cot_prc_med, cot_prc_mediana) VALUES ("&amp;A846&amp;", "&amp;B846&amp;", "&amp;C846&amp;", "&amp;D846&amp;", "&amp;E846&amp;", "&amp;F846&amp;", "&amp;G846&amp;", "&amp;H846&amp;");"</f>
        <v>INSERT INTO COTACAO (cot_id, cot_blt_id, cot_pap_id, cot_prc_comum, cot_prc_min, cot_prc_max, cot_prc_med, cot_prc_mediana) VALUES (845, 58, 13, NULL, 60, 72, 66, 66);</v>
      </c>
      <c r="J846" s="0" t="str">
        <f aca="false">"UPDATE COTACAO SET cot_id = "&amp;A846&amp;", cot_blt_id = "&amp;B846&amp;", cot_pap_id = "&amp;C846&amp;", cot_prc_comum = "&amp;D846&amp;", cot_prc_min = "&amp;E846&amp;", cot_prc_max = "&amp;F846&amp;", cot_prc_med = "&amp;G846&amp;", cot_prc_mediana = "&amp;H846&amp;" WHERE cot_id = "&amp;A846&amp;";"</f>
        <v>UPDATE COTACAO SET cot_id = 845, cot_blt_id = 58, cot_pap_id = 13, cot_prc_comum = NULL, cot_prc_min = 60, cot_prc_max = 72, cot_prc_med = 66, cot_prc_mediana = 66 WHERE cot_id = 845;</v>
      </c>
    </row>
    <row r="847" customFormat="false" ht="14.25" hidden="false" customHeight="false" outlineLevel="0" collapsed="false">
      <c r="A847" s="0" t="n">
        <v>846</v>
      </c>
      <c r="B847" s="0" t="n">
        <f aca="false">IF('Boletins Nuppa Site'!A847&lt;&gt;0,'Boletins Nuppa Site'!A847,"NULL")</f>
        <v>58</v>
      </c>
      <c r="C847" s="0" t="n">
        <v>14</v>
      </c>
      <c r="D847" s="0" t="str">
        <f aca="false">IF('Boletins Nuppa Site'!G847&lt;&gt;0,'Boletins Nuppa Site'!G847,"NULL")</f>
        <v>NULL</v>
      </c>
      <c r="E847" s="30" t="n">
        <f aca="false">IF('Boletins Nuppa Site'!H847&lt;&gt;0,'Boletins Nuppa Site'!H847,"NULL")</f>
        <v>65</v>
      </c>
      <c r="F847" s="30" t="n">
        <f aca="false">IF('Boletins Nuppa Site'!I847&lt;&gt;0,'Boletins Nuppa Site'!I847,"NULL")</f>
        <v>72</v>
      </c>
      <c r="G847" s="0" t="str">
        <f aca="false">IF('Boletins Nuppa Site'!J847&lt;&gt;0,'Boletins Nuppa Site'!J847,"NULL")</f>
        <v>68.5</v>
      </c>
      <c r="H847" s="0" t="str">
        <f aca="false">IF('Boletins Nuppa Site'!K847&lt;&gt;0,'Boletins Nuppa Site'!K847,"NULL")</f>
        <v>68.5</v>
      </c>
      <c r="I847" s="0" t="str">
        <f aca="false">"INSERT INTO COTACAO (cot_id, cot_blt_id, cot_pap_id, cot_prc_comum, cot_prc_min, cot_prc_max, cot_prc_med, cot_prc_mediana) VALUES ("&amp;A847&amp;", "&amp;B847&amp;", "&amp;C847&amp;", "&amp;D847&amp;", "&amp;E847&amp;", "&amp;F847&amp;", "&amp;G847&amp;", "&amp;H847&amp;");"</f>
        <v>INSERT INTO COTACAO (cot_id, cot_blt_id, cot_pap_id, cot_prc_comum, cot_prc_min, cot_prc_max, cot_prc_med, cot_prc_mediana) VALUES (846, 58, 14, NULL, 65, 72, 68.5, 68.5);</v>
      </c>
      <c r="J847" s="0" t="str">
        <f aca="false">"UPDATE COTACAO SET cot_id = "&amp;A847&amp;", cot_blt_id = "&amp;B847&amp;", cot_pap_id = "&amp;C847&amp;", cot_prc_comum = "&amp;D847&amp;", cot_prc_min = "&amp;E847&amp;", cot_prc_max = "&amp;F847&amp;", cot_prc_med = "&amp;G847&amp;", cot_prc_mediana = "&amp;H847&amp;" WHERE cot_id = "&amp;A847&amp;";"</f>
        <v>UPDATE COTACAO SET cot_id = 846, cot_blt_id = 58, cot_pap_id = 14, cot_prc_comum = NULL, cot_prc_min = 65, cot_prc_max = 72, cot_prc_med = 68.5, cot_prc_mediana = 68.5 WHERE cot_id = 846;</v>
      </c>
    </row>
    <row r="848" customFormat="false" ht="14.25" hidden="false" customHeight="false" outlineLevel="0" collapsed="false">
      <c r="A848" s="0" t="n">
        <v>847</v>
      </c>
      <c r="B848" s="0" t="n">
        <f aca="false">IF('Boletins Nuppa Site'!A848&lt;&gt;0,'Boletins Nuppa Site'!A848,"NULL")</f>
        <v>58</v>
      </c>
      <c r="C848" s="0" t="n">
        <v>15</v>
      </c>
      <c r="D848" s="30" t="n">
        <f aca="false">IF('Boletins Nuppa Site'!G848&lt;&gt;0,'Boletins Nuppa Site'!G848,"NULL")</f>
        <v>60</v>
      </c>
      <c r="E848" s="30" t="n">
        <f aca="false">IF('Boletins Nuppa Site'!H848&lt;&gt;0,'Boletins Nuppa Site'!H848,"NULL")</f>
        <v>50</v>
      </c>
      <c r="F848" s="30" t="n">
        <f aca="false">IF('Boletins Nuppa Site'!I848&lt;&gt;0,'Boletins Nuppa Site'!I848,"NULL")</f>
        <v>60</v>
      </c>
      <c r="G848" s="0" t="str">
        <f aca="false">IF('Boletins Nuppa Site'!J848&lt;&gt;0,'Boletins Nuppa Site'!J848,"NULL")</f>
        <v>56.67</v>
      </c>
      <c r="H848" s="30" t="n">
        <f aca="false">IF('Boletins Nuppa Site'!K848&lt;&gt;0,'Boletins Nuppa Site'!K848,"NULL")</f>
        <v>60</v>
      </c>
      <c r="I848" s="0" t="str">
        <f aca="false">"INSERT INTO COTACAO (cot_id, cot_blt_id, cot_pap_id, cot_prc_comum, cot_prc_min, cot_prc_max, cot_prc_med, cot_prc_mediana) VALUES ("&amp;A848&amp;", "&amp;B848&amp;", "&amp;C848&amp;", "&amp;D848&amp;", "&amp;E848&amp;", "&amp;F848&amp;", "&amp;G848&amp;", "&amp;H848&amp;");"</f>
        <v>INSERT INTO COTACAO (cot_id, cot_blt_id, cot_pap_id, cot_prc_comum, cot_prc_min, cot_prc_max, cot_prc_med, cot_prc_mediana) VALUES (847, 58, 15, 60, 50, 60, 56.67, 60);</v>
      </c>
      <c r="J848" s="0" t="str">
        <f aca="false">"UPDATE COTACAO SET cot_id = "&amp;A848&amp;", cot_blt_id = "&amp;B848&amp;", cot_pap_id = "&amp;C848&amp;", cot_prc_comum = "&amp;D848&amp;", cot_prc_min = "&amp;E848&amp;", cot_prc_max = "&amp;F848&amp;", cot_prc_med = "&amp;G848&amp;", cot_prc_mediana = "&amp;H848&amp;" WHERE cot_id = "&amp;A848&amp;";"</f>
        <v>UPDATE COTACAO SET cot_id = 847, cot_blt_id = 58, cot_pap_id = 15, cot_prc_comum = 60, cot_prc_min = 50, cot_prc_max = 60, cot_prc_med = 56.67, cot_prc_mediana = 60 WHERE cot_id = 847;</v>
      </c>
    </row>
    <row r="849" customFormat="false" ht="14.25" hidden="false" customHeight="false" outlineLevel="0" collapsed="false">
      <c r="A849" s="0" t="n">
        <v>848</v>
      </c>
      <c r="B849" s="0" t="n">
        <f aca="false">IF('Boletins Nuppa Site'!A849&lt;&gt;0,'Boletins Nuppa Site'!A849,"NULL")</f>
        <v>58</v>
      </c>
      <c r="C849" s="0" t="n">
        <v>16</v>
      </c>
      <c r="D849" s="0" t="str">
        <f aca="false">IF('Boletins Nuppa Site'!G849&lt;&gt;0,'Boletins Nuppa Site'!G849,"NULL")</f>
        <v>NULL</v>
      </c>
      <c r="E849" s="30" t="n">
        <f aca="false">IF('Boletins Nuppa Site'!H849&lt;&gt;0,'Boletins Nuppa Site'!H849,"NULL")</f>
        <v>54</v>
      </c>
      <c r="F849" s="30" t="n">
        <f aca="false">IF('Boletins Nuppa Site'!I849&lt;&gt;0,'Boletins Nuppa Site'!I849,"NULL")</f>
        <v>72</v>
      </c>
      <c r="G849" s="30" t="n">
        <f aca="false">IF('Boletins Nuppa Site'!J849&lt;&gt;0,'Boletins Nuppa Site'!J849,"NULL")</f>
        <v>62</v>
      </c>
      <c r="H849" s="30" t="n">
        <f aca="false">IF('Boletins Nuppa Site'!K849&lt;&gt;0,'Boletins Nuppa Site'!K849,"NULL")</f>
        <v>60</v>
      </c>
      <c r="I849" s="0" t="str">
        <f aca="false">"INSERT INTO COTACAO (cot_id, cot_blt_id, cot_pap_id, cot_prc_comum, cot_prc_min, cot_prc_max, cot_prc_med, cot_prc_mediana) VALUES ("&amp;A849&amp;", "&amp;B849&amp;", "&amp;C849&amp;", "&amp;D849&amp;", "&amp;E849&amp;", "&amp;F849&amp;", "&amp;G849&amp;", "&amp;H849&amp;");"</f>
        <v>INSERT INTO COTACAO (cot_id, cot_blt_id, cot_pap_id, cot_prc_comum, cot_prc_min, cot_prc_max, cot_prc_med, cot_prc_mediana) VALUES (848, 58, 16, NULL, 54, 72, 62, 60);</v>
      </c>
      <c r="J849" s="0" t="str">
        <f aca="false">"UPDATE COTACAO SET cot_id = "&amp;A849&amp;", cot_blt_id = "&amp;B849&amp;", cot_pap_id = "&amp;C849&amp;", cot_prc_comum = "&amp;D849&amp;", cot_prc_min = "&amp;E849&amp;", cot_prc_max = "&amp;F849&amp;", cot_prc_med = "&amp;G849&amp;", cot_prc_mediana = "&amp;H849&amp;" WHERE cot_id = "&amp;A849&amp;";"</f>
        <v>UPDATE COTACAO SET cot_id = 848, cot_blt_id = 58, cot_pap_id = 16, cot_prc_comum = NULL, cot_prc_min = 54, cot_prc_max = 72, cot_prc_med = 62, cot_prc_mediana = 60 WHERE cot_id = 848;</v>
      </c>
    </row>
    <row r="850" customFormat="false" ht="14.25" hidden="false" customHeight="false" outlineLevel="0" collapsed="false">
      <c r="A850" s="0" t="n">
        <v>849</v>
      </c>
      <c r="B850" s="0" t="n">
        <f aca="false">IF('Boletins Nuppa Site'!A850&lt;&gt;0,'Boletins Nuppa Site'!A850,"NULL")</f>
        <v>58</v>
      </c>
      <c r="C850" s="0" t="n">
        <v>17</v>
      </c>
      <c r="D850" s="30" t="n">
        <f aca="false">IF('Boletins Nuppa Site'!G850&lt;&gt;0,'Boletins Nuppa Site'!G850,"NULL")</f>
        <v>5</v>
      </c>
      <c r="E850" s="30" t="n">
        <f aca="false">IF('Boletins Nuppa Site'!H850&lt;&gt;0,'Boletins Nuppa Site'!H850,"NULL")</f>
        <v>5</v>
      </c>
      <c r="F850" s="30" t="n">
        <f aca="false">IF('Boletins Nuppa Site'!I850&lt;&gt;0,'Boletins Nuppa Site'!I850,"NULL")</f>
        <v>5</v>
      </c>
      <c r="G850" s="30" t="n">
        <f aca="false">IF('Boletins Nuppa Site'!J850&lt;&gt;0,'Boletins Nuppa Site'!J850,"NULL")</f>
        <v>5</v>
      </c>
      <c r="H850" s="30" t="n">
        <f aca="false">IF('Boletins Nuppa Site'!K850&lt;&gt;0,'Boletins Nuppa Site'!K850,"NULL")</f>
        <v>5</v>
      </c>
      <c r="I850" s="0" t="str">
        <f aca="false">"INSERT INTO COTACAO (cot_id, cot_blt_id, cot_pap_id, cot_prc_comum, cot_prc_min, cot_prc_max, cot_prc_med, cot_prc_mediana) VALUES ("&amp;A850&amp;", "&amp;B850&amp;", "&amp;C850&amp;", "&amp;D850&amp;", "&amp;E850&amp;", "&amp;F850&amp;", "&amp;G850&amp;", "&amp;H850&amp;");"</f>
        <v>INSERT INTO COTACAO (cot_id, cot_blt_id, cot_pap_id, cot_prc_comum, cot_prc_min, cot_prc_max, cot_prc_med, cot_prc_mediana) VALUES (849, 58, 17, 5, 5, 5, 5, 5);</v>
      </c>
      <c r="J850" s="0" t="str">
        <f aca="false">"UPDATE COTACAO SET cot_id = "&amp;A850&amp;", cot_blt_id = "&amp;B850&amp;", cot_pap_id = "&amp;C850&amp;", cot_prc_comum = "&amp;D850&amp;", cot_prc_min = "&amp;E850&amp;", cot_prc_max = "&amp;F850&amp;", cot_prc_med = "&amp;G850&amp;", cot_prc_mediana = "&amp;H850&amp;" WHERE cot_id = "&amp;A850&amp;";"</f>
        <v>UPDATE COTACAO SET cot_id = 849, cot_blt_id = 58, cot_pap_id = 17, cot_prc_comum = 5, cot_prc_min = 5, cot_prc_max = 5, cot_prc_med = 5, cot_prc_mediana = 5 WHERE cot_id = 849;</v>
      </c>
    </row>
    <row r="851" customFormat="false" ht="14.25" hidden="false" customHeight="false" outlineLevel="0" collapsed="false">
      <c r="A851" s="0" t="n">
        <v>850</v>
      </c>
      <c r="B851" s="0" t="n">
        <f aca="false">IF('Boletins Nuppa Site'!A851&lt;&gt;0,'Boletins Nuppa Site'!A851,"NULL")</f>
        <v>58</v>
      </c>
      <c r="C851" s="0" t="n">
        <v>18</v>
      </c>
      <c r="D851" s="30" t="n">
        <f aca="false">IF('Boletins Nuppa Site'!G851&lt;&gt;0,'Boletins Nuppa Site'!G851,"NULL")</f>
        <v>20</v>
      </c>
      <c r="E851" s="30" t="n">
        <f aca="false">IF('Boletins Nuppa Site'!H851&lt;&gt;0,'Boletins Nuppa Site'!H851,"NULL")</f>
        <v>20</v>
      </c>
      <c r="F851" s="30" t="n">
        <f aca="false">IF('Boletins Nuppa Site'!I851&lt;&gt;0,'Boletins Nuppa Site'!I851,"NULL")</f>
        <v>20</v>
      </c>
      <c r="G851" s="30" t="n">
        <f aca="false">IF('Boletins Nuppa Site'!J851&lt;&gt;0,'Boletins Nuppa Site'!J851,"NULL")</f>
        <v>20</v>
      </c>
      <c r="H851" s="30" t="n">
        <f aca="false">IF('Boletins Nuppa Site'!K851&lt;&gt;0,'Boletins Nuppa Site'!K851,"NULL")</f>
        <v>20</v>
      </c>
      <c r="I851" s="0" t="str">
        <f aca="false">"INSERT INTO COTACAO (cot_id, cot_blt_id, cot_pap_id, cot_prc_comum, cot_prc_min, cot_prc_max, cot_prc_med, cot_prc_mediana) VALUES ("&amp;A851&amp;", "&amp;B851&amp;", "&amp;C851&amp;", "&amp;D851&amp;", "&amp;E851&amp;", "&amp;F851&amp;", "&amp;G851&amp;", "&amp;H851&amp;");"</f>
        <v>INSERT INTO COTACAO (cot_id, cot_blt_id, cot_pap_id, cot_prc_comum, cot_prc_min, cot_prc_max, cot_prc_med, cot_prc_mediana) VALUES (850, 58, 18, 20, 20, 20, 20, 20);</v>
      </c>
      <c r="J851" s="0" t="str">
        <f aca="false">"UPDATE COTACAO SET cot_id = "&amp;A851&amp;", cot_blt_id = "&amp;B851&amp;", cot_pap_id = "&amp;C851&amp;", cot_prc_comum = "&amp;D851&amp;", cot_prc_min = "&amp;E851&amp;", cot_prc_max = "&amp;F851&amp;", cot_prc_med = "&amp;G851&amp;", cot_prc_mediana = "&amp;H851&amp;" WHERE cot_id = "&amp;A851&amp;";"</f>
        <v>UPDATE COTACAO SET cot_id = 850, cot_blt_id = 58, cot_pap_id = 18, cot_prc_comum = 20, cot_prc_min = 20, cot_prc_max = 20, cot_prc_med = 20, cot_prc_mediana = 20 WHERE cot_id = 850;</v>
      </c>
    </row>
    <row r="852" customFormat="false" ht="14.25" hidden="false" customHeight="false" outlineLevel="0" collapsed="false">
      <c r="A852" s="0" t="n">
        <v>851</v>
      </c>
      <c r="B852" s="0" t="n">
        <f aca="false">IF('Boletins Nuppa Site'!A852&lt;&gt;0,'Boletins Nuppa Site'!A852,"NULL")</f>
        <v>58</v>
      </c>
      <c r="C852" s="0" t="n">
        <v>19</v>
      </c>
      <c r="D852" s="0" t="str">
        <f aca="false">IF('Boletins Nuppa Site'!G852&lt;&gt;0,'Boletins Nuppa Site'!G852,"NULL")</f>
        <v>NULL</v>
      </c>
      <c r="E852" s="30" t="n">
        <f aca="false">IF('Boletins Nuppa Site'!H852&lt;&gt;0,'Boletins Nuppa Site'!H852,"NULL")</f>
        <v>15</v>
      </c>
      <c r="F852" s="30" t="n">
        <f aca="false">IF('Boletins Nuppa Site'!I852&lt;&gt;0,'Boletins Nuppa Site'!I852,"NULL")</f>
        <v>35</v>
      </c>
      <c r="G852" s="30" t="n">
        <f aca="false">IF('Boletins Nuppa Site'!J852&lt;&gt;0,'Boletins Nuppa Site'!J852,"NULL")</f>
        <v>25</v>
      </c>
      <c r="H852" s="30" t="n">
        <f aca="false">IF('Boletins Nuppa Site'!K852&lt;&gt;0,'Boletins Nuppa Site'!K852,"NULL")</f>
        <v>25</v>
      </c>
      <c r="I852" s="0" t="str">
        <f aca="false">"INSERT INTO COTACAO (cot_id, cot_blt_id, cot_pap_id, cot_prc_comum, cot_prc_min, cot_prc_max, cot_prc_med, cot_prc_mediana) VALUES ("&amp;A852&amp;", "&amp;B852&amp;", "&amp;C852&amp;", "&amp;D852&amp;", "&amp;E852&amp;", "&amp;F852&amp;", "&amp;G852&amp;", "&amp;H852&amp;");"</f>
        <v>INSERT INTO COTACAO (cot_id, cot_blt_id, cot_pap_id, cot_prc_comum, cot_prc_min, cot_prc_max, cot_prc_med, cot_prc_mediana) VALUES (851, 58, 19, NULL, 15, 35, 25, 25);</v>
      </c>
      <c r="J852" s="0" t="str">
        <f aca="false">"UPDATE COTACAO SET cot_id = "&amp;A852&amp;", cot_blt_id = "&amp;B852&amp;", cot_pap_id = "&amp;C852&amp;", cot_prc_comum = "&amp;D852&amp;", cot_prc_min = "&amp;E852&amp;", cot_prc_max = "&amp;F852&amp;", cot_prc_med = "&amp;G852&amp;", cot_prc_mediana = "&amp;H852&amp;" WHERE cot_id = "&amp;A852&amp;";"</f>
        <v>UPDATE COTACAO SET cot_id = 851, cot_blt_id = 58, cot_pap_id = 19, cot_prc_comum = NULL, cot_prc_min = 15, cot_prc_max = 35, cot_prc_med = 25, cot_prc_mediana = 25 WHERE cot_id = 851;</v>
      </c>
    </row>
    <row r="853" customFormat="false" ht="14.25" hidden="false" customHeight="false" outlineLevel="0" collapsed="false">
      <c r="A853" s="0" t="n">
        <v>852</v>
      </c>
      <c r="B853" s="0" t="n">
        <f aca="false">IF('Boletins Nuppa Site'!A853&lt;&gt;0,'Boletins Nuppa Site'!A853,"NULL")</f>
        <v>58</v>
      </c>
      <c r="C853" s="0" t="n">
        <v>20</v>
      </c>
      <c r="D853" s="0" t="str">
        <f aca="false">IF('Boletins Nuppa Site'!G853&lt;&gt;0,'Boletins Nuppa Site'!G853,"NULL")</f>
        <v>NULL</v>
      </c>
      <c r="E853" s="30" t="n">
        <f aca="false">IF('Boletins Nuppa Site'!H853&lt;&gt;0,'Boletins Nuppa Site'!H853,"NULL")</f>
        <v>70</v>
      </c>
      <c r="F853" s="30" t="n">
        <f aca="false">IF('Boletins Nuppa Site'!I853&lt;&gt;0,'Boletins Nuppa Site'!I853,"NULL")</f>
        <v>90</v>
      </c>
      <c r="G853" s="30" t="n">
        <f aca="false">IF('Boletins Nuppa Site'!J853&lt;&gt;0,'Boletins Nuppa Site'!J853,"NULL")</f>
        <v>80</v>
      </c>
      <c r="H853" s="30" t="n">
        <f aca="false">IF('Boletins Nuppa Site'!K853&lt;&gt;0,'Boletins Nuppa Site'!K853,"NULL")</f>
        <v>80</v>
      </c>
      <c r="I853" s="0" t="str">
        <f aca="false">"INSERT INTO COTACAO (cot_id, cot_blt_id, cot_pap_id, cot_prc_comum, cot_prc_min, cot_prc_max, cot_prc_med, cot_prc_mediana) VALUES ("&amp;A853&amp;", "&amp;B853&amp;", "&amp;C853&amp;", "&amp;D853&amp;", "&amp;E853&amp;", "&amp;F853&amp;", "&amp;G853&amp;", "&amp;H853&amp;");"</f>
        <v>INSERT INTO COTACAO (cot_id, cot_blt_id, cot_pap_id, cot_prc_comum, cot_prc_min, cot_prc_max, cot_prc_med, cot_prc_mediana) VALUES (852, 58, 20, NULL, 70, 90, 80, 80);</v>
      </c>
      <c r="J853" s="0" t="str">
        <f aca="false">"UPDATE COTACAO SET cot_id = "&amp;A853&amp;", cot_blt_id = "&amp;B853&amp;", cot_pap_id = "&amp;C853&amp;", cot_prc_comum = "&amp;D853&amp;", cot_prc_min = "&amp;E853&amp;", cot_prc_max = "&amp;F853&amp;", cot_prc_med = "&amp;G853&amp;", cot_prc_mediana = "&amp;H853&amp;" WHERE cot_id = "&amp;A853&amp;";"</f>
        <v>UPDATE COTACAO SET cot_id = 852, cot_blt_id = 58, cot_pap_id = 20, cot_prc_comum = NULL, cot_prc_min = 70, cot_prc_max = 90, cot_prc_med = 80, cot_prc_mediana = 80 WHERE cot_id = 852;</v>
      </c>
    </row>
    <row r="854" customFormat="false" ht="14.25" hidden="false" customHeight="false" outlineLevel="0" collapsed="false">
      <c r="A854" s="0" t="n">
        <v>853</v>
      </c>
      <c r="B854" s="0" t="n">
        <f aca="false">IF('Boletins Nuppa Site'!A854&lt;&gt;0,'Boletins Nuppa Site'!A854,"NULL")</f>
        <v>58</v>
      </c>
      <c r="C854" s="0" t="n">
        <v>21</v>
      </c>
      <c r="D854" s="30" t="n">
        <f aca="false">IF('Boletins Nuppa Site'!G854&lt;&gt;0,'Boletins Nuppa Site'!G854,"NULL")</f>
        <v>45</v>
      </c>
      <c r="E854" s="30" t="n">
        <f aca="false">IF('Boletins Nuppa Site'!H854&lt;&gt;0,'Boletins Nuppa Site'!H854,"NULL")</f>
        <v>40</v>
      </c>
      <c r="F854" s="30" t="n">
        <f aca="false">IF('Boletins Nuppa Site'!I854&lt;&gt;0,'Boletins Nuppa Site'!I854,"NULL")</f>
        <v>100</v>
      </c>
      <c r="G854" s="0" t="str">
        <f aca="false">IF('Boletins Nuppa Site'!J854&lt;&gt;0,'Boletins Nuppa Site'!J854,"NULL")</f>
        <v>53.33</v>
      </c>
      <c r="H854" s="30" t="n">
        <f aca="false">IF('Boletins Nuppa Site'!K854&lt;&gt;0,'Boletins Nuppa Site'!K854,"NULL")</f>
        <v>45</v>
      </c>
      <c r="I854" s="0" t="str">
        <f aca="false">"INSERT INTO COTACAO (cot_id, cot_blt_id, cot_pap_id, cot_prc_comum, cot_prc_min, cot_prc_max, cot_prc_med, cot_prc_mediana) VALUES ("&amp;A854&amp;", "&amp;B854&amp;", "&amp;C854&amp;", "&amp;D854&amp;", "&amp;E854&amp;", "&amp;F854&amp;", "&amp;G854&amp;", "&amp;H854&amp;");"</f>
        <v>INSERT INTO COTACAO (cot_id, cot_blt_id, cot_pap_id, cot_prc_comum, cot_prc_min, cot_prc_max, cot_prc_med, cot_prc_mediana) VALUES (853, 58, 21, 45, 40, 100, 53.33, 45);</v>
      </c>
      <c r="J854" s="0" t="str">
        <f aca="false">"UPDATE COTACAO SET cot_id = "&amp;A854&amp;", cot_blt_id = "&amp;B854&amp;", cot_pap_id = "&amp;C854&amp;", cot_prc_comum = "&amp;D854&amp;", cot_prc_min = "&amp;E854&amp;", cot_prc_max = "&amp;F854&amp;", cot_prc_med = "&amp;G854&amp;", cot_prc_mediana = "&amp;H854&amp;" WHERE cot_id = "&amp;A854&amp;";"</f>
        <v>UPDATE COTACAO SET cot_id = 853, cot_blt_id = 58, cot_pap_id = 21, cot_prc_comum = 45, cot_prc_min = 40, cot_prc_max = 100, cot_prc_med = 53.33, cot_prc_mediana = 45 WHERE cot_id = 853;</v>
      </c>
    </row>
    <row r="855" customFormat="false" ht="14.25" hidden="false" customHeight="false" outlineLevel="0" collapsed="false">
      <c r="A855" s="0" t="n">
        <v>854</v>
      </c>
      <c r="B855" s="0" t="n">
        <f aca="false">IF('Boletins Nuppa Site'!A855&lt;&gt;0,'Boletins Nuppa Site'!A855,"NULL")</f>
        <v>58</v>
      </c>
      <c r="C855" s="0" t="n">
        <v>22</v>
      </c>
      <c r="D855" s="30" t="n">
        <f aca="false">IF('Boletins Nuppa Site'!G855&lt;&gt;0,'Boletins Nuppa Site'!G855,"NULL")</f>
        <v>65</v>
      </c>
      <c r="E855" s="30" t="n">
        <f aca="false">IF('Boletins Nuppa Site'!H855&lt;&gt;0,'Boletins Nuppa Site'!H855,"NULL")</f>
        <v>45</v>
      </c>
      <c r="F855" s="30" t="n">
        <f aca="false">IF('Boletins Nuppa Site'!I855&lt;&gt;0,'Boletins Nuppa Site'!I855,"NULL")</f>
        <v>70</v>
      </c>
      <c r="G855" s="0" t="str">
        <f aca="false">IF('Boletins Nuppa Site'!J855&lt;&gt;0,'Boletins Nuppa Site'!J855,"NULL")</f>
        <v>60.83</v>
      </c>
      <c r="H855" s="0" t="str">
        <f aca="false">IF('Boletins Nuppa Site'!K855&lt;&gt;0,'Boletins Nuppa Site'!K855,"NULL")</f>
        <v>62.5</v>
      </c>
      <c r="I855" s="0" t="str">
        <f aca="false">"INSERT INTO COTACAO (cot_id, cot_blt_id, cot_pap_id, cot_prc_comum, cot_prc_min, cot_prc_max, cot_prc_med, cot_prc_mediana) VALUES ("&amp;A855&amp;", "&amp;B855&amp;", "&amp;C855&amp;", "&amp;D855&amp;", "&amp;E855&amp;", "&amp;F855&amp;", "&amp;G855&amp;", "&amp;H855&amp;");"</f>
        <v>INSERT INTO COTACAO (cot_id, cot_blt_id, cot_pap_id, cot_prc_comum, cot_prc_min, cot_prc_max, cot_prc_med, cot_prc_mediana) VALUES (854, 58, 22, 65, 45, 70, 60.83, 62.5);</v>
      </c>
      <c r="J855" s="0" t="str">
        <f aca="false">"UPDATE COTACAO SET cot_id = "&amp;A855&amp;", cot_blt_id = "&amp;B855&amp;", cot_pap_id = "&amp;C855&amp;", cot_prc_comum = "&amp;D855&amp;", cot_prc_min = "&amp;E855&amp;", cot_prc_max = "&amp;F855&amp;", cot_prc_med = "&amp;G855&amp;", cot_prc_mediana = "&amp;H855&amp;" WHERE cot_id = "&amp;A855&amp;";"</f>
        <v>UPDATE COTACAO SET cot_id = 854, cot_blt_id = 58, cot_pap_id = 22, cot_prc_comum = 65, cot_prc_min = 45, cot_prc_max = 70, cot_prc_med = 60.83, cot_prc_mediana = 62.5 WHERE cot_id = 854;</v>
      </c>
    </row>
    <row r="856" customFormat="false" ht="14.25" hidden="false" customHeight="false" outlineLevel="0" collapsed="false">
      <c r="A856" s="0" t="n">
        <v>855</v>
      </c>
      <c r="B856" s="0" t="n">
        <f aca="false">IF('Boletins Nuppa Site'!A856&lt;&gt;0,'Boletins Nuppa Site'!A856,"NULL")</f>
        <v>58</v>
      </c>
      <c r="C856" s="0" t="n">
        <v>23</v>
      </c>
      <c r="D856" s="30" t="n">
        <f aca="false">IF('Boletins Nuppa Site'!G856&lt;&gt;0,'Boletins Nuppa Site'!G856,"NULL")</f>
        <v>40</v>
      </c>
      <c r="E856" s="30" t="n">
        <f aca="false">IF('Boletins Nuppa Site'!H856&lt;&gt;0,'Boletins Nuppa Site'!H856,"NULL")</f>
        <v>40</v>
      </c>
      <c r="F856" s="30" t="n">
        <f aca="false">IF('Boletins Nuppa Site'!I856&lt;&gt;0,'Boletins Nuppa Site'!I856,"NULL")</f>
        <v>55</v>
      </c>
      <c r="G856" s="0" t="str">
        <f aca="false">IF('Boletins Nuppa Site'!J856&lt;&gt;0,'Boletins Nuppa Site'!J856,"NULL")</f>
        <v>45.83</v>
      </c>
      <c r="H856" s="30" t="n">
        <f aca="false">IF('Boletins Nuppa Site'!K856&lt;&gt;0,'Boletins Nuppa Site'!K856,"NULL")</f>
        <v>45</v>
      </c>
      <c r="I856" s="0" t="str">
        <f aca="false">"INSERT INTO COTACAO (cot_id, cot_blt_id, cot_pap_id, cot_prc_comum, cot_prc_min, cot_prc_max, cot_prc_med, cot_prc_mediana) VALUES ("&amp;A856&amp;", "&amp;B856&amp;", "&amp;C856&amp;", "&amp;D856&amp;", "&amp;E856&amp;", "&amp;F856&amp;", "&amp;G856&amp;", "&amp;H856&amp;");"</f>
        <v>INSERT INTO COTACAO (cot_id, cot_blt_id, cot_pap_id, cot_prc_comum, cot_prc_min, cot_prc_max, cot_prc_med, cot_prc_mediana) VALUES (855, 58, 23, 40, 40, 55, 45.83, 45);</v>
      </c>
      <c r="J856" s="0" t="str">
        <f aca="false">"UPDATE COTACAO SET cot_id = "&amp;A856&amp;", cot_blt_id = "&amp;B856&amp;", cot_pap_id = "&amp;C856&amp;", cot_prc_comum = "&amp;D856&amp;", cot_prc_min = "&amp;E856&amp;", cot_prc_max = "&amp;F856&amp;", cot_prc_med = "&amp;G856&amp;", cot_prc_mediana = "&amp;H856&amp;" WHERE cot_id = "&amp;A856&amp;";"</f>
        <v>UPDATE COTACAO SET cot_id = 855, cot_blt_id = 58, cot_pap_id = 23, cot_prc_comum = 40, cot_prc_min = 40, cot_prc_max = 55, cot_prc_med = 45.83, cot_prc_mediana = 45 WHERE cot_id = 855;</v>
      </c>
    </row>
    <row r="857" customFormat="false" ht="14.25" hidden="false" customHeight="false" outlineLevel="0" collapsed="false">
      <c r="A857" s="0" t="n">
        <v>856</v>
      </c>
      <c r="B857" s="0" t="n">
        <f aca="false">IF('Boletins Nuppa Site'!A857&lt;&gt;0,'Boletins Nuppa Site'!A857,"NULL")</f>
        <v>58</v>
      </c>
      <c r="C857" s="0" t="n">
        <v>24</v>
      </c>
      <c r="D857" s="0" t="str">
        <f aca="false">IF('Boletins Nuppa Site'!G857&lt;&gt;0,'Boletins Nuppa Site'!G857,"NULL")</f>
        <v>NULL</v>
      </c>
      <c r="E857" s="30" t="n">
        <f aca="false">IF('Boletins Nuppa Site'!H857&lt;&gt;0,'Boletins Nuppa Site'!H857,"NULL")</f>
        <v>45</v>
      </c>
      <c r="F857" s="30" t="n">
        <f aca="false">IF('Boletins Nuppa Site'!I857&lt;&gt;0,'Boletins Nuppa Site'!I857,"NULL")</f>
        <v>115</v>
      </c>
      <c r="G857" s="0" t="str">
        <f aca="false">IF('Boletins Nuppa Site'!J857&lt;&gt;0,'Boletins Nuppa Site'!J857,"NULL")</f>
        <v>78.75</v>
      </c>
      <c r="H857" s="0" t="str">
        <f aca="false">IF('Boletins Nuppa Site'!K857&lt;&gt;0,'Boletins Nuppa Site'!K857,"NULL")</f>
        <v>77.5</v>
      </c>
      <c r="I857" s="0" t="str">
        <f aca="false">"INSERT INTO COTACAO (cot_id, cot_blt_id, cot_pap_id, cot_prc_comum, cot_prc_min, cot_prc_max, cot_prc_med, cot_prc_mediana) VALUES ("&amp;A857&amp;", "&amp;B857&amp;", "&amp;C857&amp;", "&amp;D857&amp;", "&amp;E857&amp;", "&amp;F857&amp;", "&amp;G857&amp;", "&amp;H857&amp;");"</f>
        <v>INSERT INTO COTACAO (cot_id, cot_blt_id, cot_pap_id, cot_prc_comum, cot_prc_min, cot_prc_max, cot_prc_med, cot_prc_mediana) VALUES (856, 58, 24, NULL, 45, 115, 78.75, 77.5);</v>
      </c>
      <c r="J857" s="0" t="str">
        <f aca="false">"UPDATE COTACAO SET cot_id = "&amp;A857&amp;", cot_blt_id = "&amp;B857&amp;", cot_pap_id = "&amp;C857&amp;", cot_prc_comum = "&amp;D857&amp;", cot_prc_min = "&amp;E857&amp;", cot_prc_max = "&amp;F857&amp;", cot_prc_med = "&amp;G857&amp;", cot_prc_mediana = "&amp;H857&amp;" WHERE cot_id = "&amp;A857&amp;";"</f>
        <v>UPDATE COTACAO SET cot_id = 856, cot_blt_id = 58, cot_pap_id = 24, cot_prc_comum = NULL, cot_prc_min = 45, cot_prc_max = 115, cot_prc_med = 78.75, cot_prc_mediana = 77.5 WHERE cot_id = 856;</v>
      </c>
    </row>
    <row r="858" customFormat="false" ht="14.25" hidden="false" customHeight="false" outlineLevel="0" collapsed="false">
      <c r="A858" s="0" t="n">
        <v>857</v>
      </c>
      <c r="B858" s="0" t="n">
        <f aca="false">IF('Boletins Nuppa Site'!A858&lt;&gt;0,'Boletins Nuppa Site'!A858,"NULL")</f>
        <v>58</v>
      </c>
      <c r="C858" s="0" t="n">
        <v>25</v>
      </c>
      <c r="D858" s="30" t="n">
        <f aca="false">IF('Boletins Nuppa Site'!G858&lt;&gt;0,'Boletins Nuppa Site'!G858,"NULL")</f>
        <v>80</v>
      </c>
      <c r="E858" s="30" t="n">
        <f aca="false">IF('Boletins Nuppa Site'!H858&lt;&gt;0,'Boletins Nuppa Site'!H858,"NULL")</f>
        <v>70</v>
      </c>
      <c r="F858" s="30" t="n">
        <f aca="false">IF('Boletins Nuppa Site'!I858&lt;&gt;0,'Boletins Nuppa Site'!I858,"NULL")</f>
        <v>100</v>
      </c>
      <c r="G858" s="30" t="n">
        <f aca="false">IF('Boletins Nuppa Site'!J858&lt;&gt;0,'Boletins Nuppa Site'!J858,"NULL")</f>
        <v>85</v>
      </c>
      <c r="H858" s="30" t="n">
        <f aca="false">IF('Boletins Nuppa Site'!K858&lt;&gt;0,'Boletins Nuppa Site'!K858,"NULL")</f>
        <v>80</v>
      </c>
      <c r="I858" s="0" t="str">
        <f aca="false">"INSERT INTO COTACAO (cot_id, cot_blt_id, cot_pap_id, cot_prc_comum, cot_prc_min, cot_prc_max, cot_prc_med, cot_prc_mediana) VALUES ("&amp;A858&amp;", "&amp;B858&amp;", "&amp;C858&amp;", "&amp;D858&amp;", "&amp;E858&amp;", "&amp;F858&amp;", "&amp;G858&amp;", "&amp;H858&amp;");"</f>
        <v>INSERT INTO COTACAO (cot_id, cot_blt_id, cot_pap_id, cot_prc_comum, cot_prc_min, cot_prc_max, cot_prc_med, cot_prc_mediana) VALUES (857, 58, 25, 80, 70, 100, 85, 80);</v>
      </c>
      <c r="J858" s="0" t="str">
        <f aca="false">"UPDATE COTACAO SET cot_id = "&amp;A858&amp;", cot_blt_id = "&amp;B858&amp;", cot_pap_id = "&amp;C858&amp;", cot_prc_comum = "&amp;D858&amp;", cot_prc_min = "&amp;E858&amp;", cot_prc_max = "&amp;F858&amp;", cot_prc_med = "&amp;G858&amp;", cot_prc_mediana = "&amp;H858&amp;" WHERE cot_id = "&amp;A858&amp;";"</f>
        <v>UPDATE COTACAO SET cot_id = 857, cot_blt_id = 58, cot_pap_id = 25, cot_prc_comum = 80, cot_prc_min = 70, cot_prc_max = 100, cot_prc_med = 85, cot_prc_mediana = 80 WHERE cot_id = 857;</v>
      </c>
    </row>
    <row r="859" customFormat="false" ht="14.25" hidden="false" customHeight="false" outlineLevel="0" collapsed="false">
      <c r="A859" s="0" t="n">
        <v>858</v>
      </c>
      <c r="B859" s="0" t="n">
        <f aca="false">IF('Boletins Nuppa Site'!A859&lt;&gt;0,'Boletins Nuppa Site'!A859,"NULL")</f>
        <v>58</v>
      </c>
      <c r="C859" s="0" t="n">
        <v>26</v>
      </c>
      <c r="D859" s="30" t="n">
        <f aca="false">IF('Boletins Nuppa Site'!G859&lt;&gt;0,'Boletins Nuppa Site'!G859,"NULL")</f>
        <v>90</v>
      </c>
      <c r="E859" s="30" t="n">
        <f aca="false">IF('Boletins Nuppa Site'!H859&lt;&gt;0,'Boletins Nuppa Site'!H859,"NULL")</f>
        <v>65</v>
      </c>
      <c r="F859" s="30" t="n">
        <f aca="false">IF('Boletins Nuppa Site'!I859&lt;&gt;0,'Boletins Nuppa Site'!I859,"NULL")</f>
        <v>90</v>
      </c>
      <c r="G859" s="30" t="n">
        <f aca="false">IF('Boletins Nuppa Site'!J859&lt;&gt;0,'Boletins Nuppa Site'!J859,"NULL")</f>
        <v>81</v>
      </c>
      <c r="H859" s="30" t="n">
        <f aca="false">IF('Boletins Nuppa Site'!K859&lt;&gt;0,'Boletins Nuppa Site'!K859,"NULL")</f>
        <v>90</v>
      </c>
      <c r="I859" s="0" t="str">
        <f aca="false">"INSERT INTO COTACAO (cot_id, cot_blt_id, cot_pap_id, cot_prc_comum, cot_prc_min, cot_prc_max, cot_prc_med, cot_prc_mediana) VALUES ("&amp;A859&amp;", "&amp;B859&amp;", "&amp;C859&amp;", "&amp;D859&amp;", "&amp;E859&amp;", "&amp;F859&amp;", "&amp;G859&amp;", "&amp;H859&amp;");"</f>
        <v>INSERT INTO COTACAO (cot_id, cot_blt_id, cot_pap_id, cot_prc_comum, cot_prc_min, cot_prc_max, cot_prc_med, cot_prc_mediana) VALUES (858, 58, 26, 90, 65, 90, 81, 90);</v>
      </c>
      <c r="J859" s="0" t="str">
        <f aca="false">"UPDATE COTACAO SET cot_id = "&amp;A859&amp;", cot_blt_id = "&amp;B859&amp;", cot_pap_id = "&amp;C859&amp;", cot_prc_comum = "&amp;D859&amp;", cot_prc_min = "&amp;E859&amp;", cot_prc_max = "&amp;F859&amp;", cot_prc_med = "&amp;G859&amp;", cot_prc_mediana = "&amp;H859&amp;" WHERE cot_id = "&amp;A859&amp;";"</f>
        <v>UPDATE COTACAO SET cot_id = 858, cot_blt_id = 58, cot_pap_id = 26, cot_prc_comum = 90, cot_prc_min = 65, cot_prc_max = 90, cot_prc_med = 81, cot_prc_mediana = 90 WHERE cot_id = 858;</v>
      </c>
    </row>
    <row r="860" customFormat="false" ht="14.25" hidden="false" customHeight="false" outlineLevel="0" collapsed="false">
      <c r="A860" s="0" t="n">
        <v>859</v>
      </c>
      <c r="B860" s="0" t="n">
        <f aca="false">IF('Boletins Nuppa Site'!A860&lt;&gt;0,'Boletins Nuppa Site'!A860,"NULL")</f>
        <v>58</v>
      </c>
      <c r="C860" s="0" t="n">
        <v>27</v>
      </c>
      <c r="D860" s="0" t="str">
        <f aca="false">IF('Boletins Nuppa Site'!G860&lt;&gt;0,'Boletins Nuppa Site'!G860,"NULL")</f>
        <v>NULL</v>
      </c>
      <c r="E860" s="30" t="n">
        <f aca="false">IF('Boletins Nuppa Site'!H860&lt;&gt;0,'Boletins Nuppa Site'!H860,"NULL")</f>
        <v>55</v>
      </c>
      <c r="F860" s="30" t="n">
        <f aca="false">IF('Boletins Nuppa Site'!I860&lt;&gt;0,'Boletins Nuppa Site'!I860,"NULL")</f>
        <v>80</v>
      </c>
      <c r="G860" s="0" t="str">
        <f aca="false">IF('Boletins Nuppa Site'!J860&lt;&gt;0,'Boletins Nuppa Site'!J860,"NULL")</f>
        <v>66.25</v>
      </c>
      <c r="H860" s="30" t="n">
        <f aca="false">IF('Boletins Nuppa Site'!K860&lt;&gt;0,'Boletins Nuppa Site'!K860,"NULL")</f>
        <v>65</v>
      </c>
      <c r="I860" s="0" t="str">
        <f aca="false">"INSERT INTO COTACAO (cot_id, cot_blt_id, cot_pap_id, cot_prc_comum, cot_prc_min, cot_prc_max, cot_prc_med, cot_prc_mediana) VALUES ("&amp;A860&amp;", "&amp;B860&amp;", "&amp;C860&amp;", "&amp;D860&amp;", "&amp;E860&amp;", "&amp;F860&amp;", "&amp;G860&amp;", "&amp;H860&amp;");"</f>
        <v>INSERT INTO COTACAO (cot_id, cot_blt_id, cot_pap_id, cot_prc_comum, cot_prc_min, cot_prc_max, cot_prc_med, cot_prc_mediana) VALUES (859, 58, 27, NULL, 55, 80, 66.25, 65);</v>
      </c>
      <c r="J860" s="0" t="str">
        <f aca="false">"UPDATE COTACAO SET cot_id = "&amp;A860&amp;", cot_blt_id = "&amp;B860&amp;", cot_pap_id = "&amp;C860&amp;", cot_prc_comum = "&amp;D860&amp;", cot_prc_min = "&amp;E860&amp;", cot_prc_max = "&amp;F860&amp;", cot_prc_med = "&amp;G860&amp;", cot_prc_mediana = "&amp;H860&amp;" WHERE cot_id = "&amp;A860&amp;";"</f>
        <v>UPDATE COTACAO SET cot_id = 859, cot_blt_id = 58, cot_pap_id = 27, cot_prc_comum = NULL, cot_prc_min = 55, cot_prc_max = 80, cot_prc_med = 66.25, cot_prc_mediana = 65 WHERE cot_id = 859;</v>
      </c>
    </row>
    <row r="861" customFormat="false" ht="14.25" hidden="false" customHeight="false" outlineLevel="0" collapsed="false">
      <c r="A861" s="0" t="n">
        <v>860</v>
      </c>
      <c r="B861" s="0" t="n">
        <f aca="false">IF('Boletins Nuppa Site'!A861&lt;&gt;0,'Boletins Nuppa Site'!A861,"NULL")</f>
        <v>58</v>
      </c>
      <c r="C861" s="0" t="n">
        <v>28</v>
      </c>
      <c r="D861" s="30" t="n">
        <f aca="false">IF('Boletins Nuppa Site'!G861&lt;&gt;0,'Boletins Nuppa Site'!G861,"NULL")</f>
        <v>100</v>
      </c>
      <c r="E861" s="30" t="n">
        <f aca="false">IF('Boletins Nuppa Site'!H861&lt;&gt;0,'Boletins Nuppa Site'!H861,"NULL")</f>
        <v>80</v>
      </c>
      <c r="F861" s="30" t="n">
        <f aca="false">IF('Boletins Nuppa Site'!I861&lt;&gt;0,'Boletins Nuppa Site'!I861,"NULL")</f>
        <v>100</v>
      </c>
      <c r="G861" s="30" t="n">
        <f aca="false">IF('Boletins Nuppa Site'!J861&lt;&gt;0,'Boletins Nuppa Site'!J861,"NULL")</f>
        <v>95</v>
      </c>
      <c r="H861" s="30" t="n">
        <f aca="false">IF('Boletins Nuppa Site'!K861&lt;&gt;0,'Boletins Nuppa Site'!K861,"NULL")</f>
        <v>100</v>
      </c>
      <c r="I861" s="0" t="str">
        <f aca="false">"INSERT INTO COTACAO (cot_id, cot_blt_id, cot_pap_id, cot_prc_comum, cot_prc_min, cot_prc_max, cot_prc_med, cot_prc_mediana) VALUES ("&amp;A861&amp;", "&amp;B861&amp;", "&amp;C861&amp;", "&amp;D861&amp;", "&amp;E861&amp;", "&amp;F861&amp;", "&amp;G861&amp;", "&amp;H861&amp;");"</f>
        <v>INSERT INTO COTACAO (cot_id, cot_blt_id, cot_pap_id, cot_prc_comum, cot_prc_min, cot_prc_max, cot_prc_med, cot_prc_mediana) VALUES (860, 58, 28, 100, 80, 100, 95, 100);</v>
      </c>
      <c r="J861" s="0" t="str">
        <f aca="false">"UPDATE COTACAO SET cot_id = "&amp;A861&amp;", cot_blt_id = "&amp;B861&amp;", cot_pap_id = "&amp;C861&amp;", cot_prc_comum = "&amp;D861&amp;", cot_prc_min = "&amp;E861&amp;", cot_prc_max = "&amp;F861&amp;", cot_prc_med = "&amp;G861&amp;", cot_prc_mediana = "&amp;H861&amp;" WHERE cot_id = "&amp;A861&amp;";"</f>
        <v>UPDATE COTACAO SET cot_id = 860, cot_blt_id = 58, cot_pap_id = 28, cot_prc_comum = 100, cot_prc_min = 80, cot_prc_max = 100, cot_prc_med = 95, cot_prc_mediana = 100 WHERE cot_id = 860;</v>
      </c>
    </row>
    <row r="862" customFormat="false" ht="14.25" hidden="false" customHeight="false" outlineLevel="0" collapsed="false">
      <c r="A862" s="0" t="n">
        <v>861</v>
      </c>
      <c r="B862" s="0" t="n">
        <f aca="false">IF('Boletins Nuppa Site'!A862&lt;&gt;0,'Boletins Nuppa Site'!A862,"NULL")</f>
        <v>58</v>
      </c>
      <c r="C862" s="0" t="n">
        <v>29</v>
      </c>
      <c r="D862" s="0" t="str">
        <f aca="false">IF('Boletins Nuppa Site'!G862&lt;&gt;0,'Boletins Nuppa Site'!G862,"NULL")</f>
        <v>NULL</v>
      </c>
      <c r="E862" s="30" t="n">
        <f aca="false">IF('Boletins Nuppa Site'!H862&lt;&gt;0,'Boletins Nuppa Site'!H862,"NULL")</f>
        <v>40</v>
      </c>
      <c r="F862" s="30" t="n">
        <f aca="false">IF('Boletins Nuppa Site'!I862&lt;&gt;0,'Boletins Nuppa Site'!I862,"NULL")</f>
        <v>60</v>
      </c>
      <c r="G862" s="0" t="str">
        <f aca="false">IF('Boletins Nuppa Site'!J862&lt;&gt;0,'Boletins Nuppa Site'!J862,"NULL")</f>
        <v>51.25</v>
      </c>
      <c r="H862" s="0" t="str">
        <f aca="false">IF('Boletins Nuppa Site'!K862&lt;&gt;0,'Boletins Nuppa Site'!K862,"NULL")</f>
        <v>52.5</v>
      </c>
      <c r="I862" s="0" t="str">
        <f aca="false">"INSERT INTO COTACAO (cot_id, cot_blt_id, cot_pap_id, cot_prc_comum, cot_prc_min, cot_prc_max, cot_prc_med, cot_prc_mediana) VALUES ("&amp;A862&amp;", "&amp;B862&amp;", "&amp;C862&amp;", "&amp;D862&amp;", "&amp;E862&amp;", "&amp;F862&amp;", "&amp;G862&amp;", "&amp;H862&amp;");"</f>
        <v>INSERT INTO COTACAO (cot_id, cot_blt_id, cot_pap_id, cot_prc_comum, cot_prc_min, cot_prc_max, cot_prc_med, cot_prc_mediana) VALUES (861, 58, 29, NULL, 40, 60, 51.25, 52.5);</v>
      </c>
      <c r="J862" s="0" t="str">
        <f aca="false">"UPDATE COTACAO SET cot_id = "&amp;A862&amp;", cot_blt_id = "&amp;B862&amp;", cot_pap_id = "&amp;C862&amp;", cot_prc_comum = "&amp;D862&amp;", cot_prc_min = "&amp;E862&amp;", cot_prc_max = "&amp;F862&amp;", cot_prc_med = "&amp;G862&amp;", cot_prc_mediana = "&amp;H862&amp;" WHERE cot_id = "&amp;A862&amp;";"</f>
        <v>UPDATE COTACAO SET cot_id = 861, cot_blt_id = 58, cot_pap_id = 29, cot_prc_comum = NULL, cot_prc_min = 40, cot_prc_max = 60, cot_prc_med = 51.25, cot_prc_mediana = 52.5 WHERE cot_id = 861;</v>
      </c>
    </row>
    <row r="863" customFormat="false" ht="14.25" hidden="false" customHeight="false" outlineLevel="0" collapsed="false">
      <c r="A863" s="0" t="n">
        <v>862</v>
      </c>
      <c r="B863" s="0" t="n">
        <f aca="false">IF('Boletins Nuppa Site'!A863&lt;&gt;0,'Boletins Nuppa Site'!A863,"NULL")</f>
        <v>58</v>
      </c>
      <c r="C863" s="0" t="n">
        <v>30</v>
      </c>
      <c r="D863" s="0" t="str">
        <f aca="false">IF('Boletins Nuppa Site'!G863&lt;&gt;0,'Boletins Nuppa Site'!G863,"NULL")</f>
        <v>NULL</v>
      </c>
      <c r="E863" s="30" t="n">
        <f aca="false">IF('Boletins Nuppa Site'!H863&lt;&gt;0,'Boletins Nuppa Site'!H863,"NULL")</f>
        <v>50</v>
      </c>
      <c r="F863" s="30" t="n">
        <f aca="false">IF('Boletins Nuppa Site'!I863&lt;&gt;0,'Boletins Nuppa Site'!I863,"NULL")</f>
        <v>70</v>
      </c>
      <c r="G863" s="0" t="str">
        <f aca="false">IF('Boletins Nuppa Site'!J863&lt;&gt;0,'Boletins Nuppa Site'!J863,"NULL")</f>
        <v>61.67</v>
      </c>
      <c r="H863" s="30" t="n">
        <f aca="false">IF('Boletins Nuppa Site'!K863&lt;&gt;0,'Boletins Nuppa Site'!K863,"NULL")</f>
        <v>65</v>
      </c>
      <c r="I863" s="0" t="str">
        <f aca="false">"INSERT INTO COTACAO (cot_id, cot_blt_id, cot_pap_id, cot_prc_comum, cot_prc_min, cot_prc_max, cot_prc_med, cot_prc_mediana) VALUES ("&amp;A863&amp;", "&amp;B863&amp;", "&amp;C863&amp;", "&amp;D863&amp;", "&amp;E863&amp;", "&amp;F863&amp;", "&amp;G863&amp;", "&amp;H863&amp;");"</f>
        <v>INSERT INTO COTACAO (cot_id, cot_blt_id, cot_pap_id, cot_prc_comum, cot_prc_min, cot_prc_max, cot_prc_med, cot_prc_mediana) VALUES (862, 58, 30, NULL, 50, 70, 61.67, 65);</v>
      </c>
      <c r="J863" s="0" t="str">
        <f aca="false">"UPDATE COTACAO SET cot_id = "&amp;A863&amp;", cot_blt_id = "&amp;B863&amp;", cot_pap_id = "&amp;C863&amp;", cot_prc_comum = "&amp;D863&amp;", cot_prc_min = "&amp;E863&amp;", cot_prc_max = "&amp;F863&amp;", cot_prc_med = "&amp;G863&amp;", cot_prc_mediana = "&amp;H863&amp;" WHERE cot_id = "&amp;A863&amp;";"</f>
        <v>UPDATE COTACAO SET cot_id = 862, cot_blt_id = 58, cot_pap_id = 30, cot_prc_comum = NULL, cot_prc_min = 50, cot_prc_max = 70, cot_prc_med = 61.67, cot_prc_mediana = 65 WHERE cot_id = 862;</v>
      </c>
    </row>
    <row r="864" customFormat="false" ht="14.25" hidden="false" customHeight="false" outlineLevel="0" collapsed="false">
      <c r="A864" s="0" t="n">
        <v>863</v>
      </c>
      <c r="B864" s="0" t="n">
        <f aca="false">IF('Boletins Nuppa Site'!A864&lt;&gt;0,'Boletins Nuppa Site'!A864,"NULL")</f>
        <v>58</v>
      </c>
      <c r="C864" s="0" t="n">
        <v>31</v>
      </c>
      <c r="D864" s="30" t="n">
        <f aca="false">IF('Boletins Nuppa Site'!G864&lt;&gt;0,'Boletins Nuppa Site'!G864,"NULL")</f>
        <v>60</v>
      </c>
      <c r="E864" s="30" t="n">
        <f aca="false">IF('Boletins Nuppa Site'!H864&lt;&gt;0,'Boletins Nuppa Site'!H864,"NULL")</f>
        <v>60</v>
      </c>
      <c r="F864" s="30" t="n">
        <f aca="false">IF('Boletins Nuppa Site'!I864&lt;&gt;0,'Boletins Nuppa Site'!I864,"NULL")</f>
        <v>70</v>
      </c>
      <c r="G864" s="30" t="n">
        <f aca="false">IF('Boletins Nuppa Site'!J864&lt;&gt;0,'Boletins Nuppa Site'!J864,"NULL")</f>
        <v>65</v>
      </c>
      <c r="H864" s="30" t="n">
        <f aca="false">IF('Boletins Nuppa Site'!K864&lt;&gt;0,'Boletins Nuppa Site'!K864,"NULL")</f>
        <v>65</v>
      </c>
      <c r="I864" s="0" t="str">
        <f aca="false">"INSERT INTO COTACAO (cot_id, cot_blt_id, cot_pap_id, cot_prc_comum, cot_prc_min, cot_prc_max, cot_prc_med, cot_prc_mediana) VALUES ("&amp;A864&amp;", "&amp;B864&amp;", "&amp;C864&amp;", "&amp;D864&amp;", "&amp;E864&amp;", "&amp;F864&amp;", "&amp;G864&amp;", "&amp;H864&amp;");"</f>
        <v>INSERT INTO COTACAO (cot_id, cot_blt_id, cot_pap_id, cot_prc_comum, cot_prc_min, cot_prc_max, cot_prc_med, cot_prc_mediana) VALUES (863, 58, 31, 60, 60, 70, 65, 65);</v>
      </c>
      <c r="J864" s="0" t="str">
        <f aca="false">"UPDATE COTACAO SET cot_id = "&amp;A864&amp;", cot_blt_id = "&amp;B864&amp;", cot_pap_id = "&amp;C864&amp;", cot_prc_comum = "&amp;D864&amp;", cot_prc_min = "&amp;E864&amp;", cot_prc_max = "&amp;F864&amp;", cot_prc_med = "&amp;G864&amp;", cot_prc_mediana = "&amp;H864&amp;" WHERE cot_id = "&amp;A864&amp;";"</f>
        <v>UPDATE COTACAO SET cot_id = 863, cot_blt_id = 58, cot_pap_id = 31, cot_prc_comum = 60, cot_prc_min = 60, cot_prc_max = 70, cot_prc_med = 65, cot_prc_mediana = 65 WHERE cot_id = 863;</v>
      </c>
    </row>
    <row r="865" customFormat="false" ht="14.25" hidden="false" customHeight="false" outlineLevel="0" collapsed="false">
      <c r="A865" s="0" t="n">
        <v>864</v>
      </c>
      <c r="B865" s="0" t="n">
        <f aca="false">IF('Boletins Nuppa Site'!A865&lt;&gt;0,'Boletins Nuppa Site'!A865,"NULL")</f>
        <v>58</v>
      </c>
      <c r="C865" s="0" t="n">
        <v>32</v>
      </c>
      <c r="D865" s="30" t="n">
        <f aca="false">IF('Boletins Nuppa Site'!G865&lt;&gt;0,'Boletins Nuppa Site'!G865,"NULL")</f>
        <v>45</v>
      </c>
      <c r="E865" s="30" t="n">
        <f aca="false">IF('Boletins Nuppa Site'!H865&lt;&gt;0,'Boletins Nuppa Site'!H865,"NULL")</f>
        <v>40</v>
      </c>
      <c r="F865" s="30" t="n">
        <f aca="false">IF('Boletins Nuppa Site'!I865&lt;&gt;0,'Boletins Nuppa Site'!I865,"NULL")</f>
        <v>60</v>
      </c>
      <c r="G865" s="0" t="str">
        <f aca="false">IF('Boletins Nuppa Site'!J865&lt;&gt;0,'Boletins Nuppa Site'!J865,"NULL")</f>
        <v>49.29</v>
      </c>
      <c r="H865" s="30" t="n">
        <f aca="false">IF('Boletins Nuppa Site'!K865&lt;&gt;0,'Boletins Nuppa Site'!K865,"NULL")</f>
        <v>50</v>
      </c>
      <c r="I865" s="0" t="str">
        <f aca="false">"INSERT INTO COTACAO (cot_id, cot_blt_id, cot_pap_id, cot_prc_comum, cot_prc_min, cot_prc_max, cot_prc_med, cot_prc_mediana) VALUES ("&amp;A865&amp;", "&amp;B865&amp;", "&amp;C865&amp;", "&amp;D865&amp;", "&amp;E865&amp;", "&amp;F865&amp;", "&amp;G865&amp;", "&amp;H865&amp;");"</f>
        <v>INSERT INTO COTACAO (cot_id, cot_blt_id, cot_pap_id, cot_prc_comum, cot_prc_min, cot_prc_max, cot_prc_med, cot_prc_mediana) VALUES (864, 58, 32, 45, 40, 60, 49.29, 50);</v>
      </c>
      <c r="J865" s="0" t="str">
        <f aca="false">"UPDATE COTACAO SET cot_id = "&amp;A865&amp;", cot_blt_id = "&amp;B865&amp;", cot_pap_id = "&amp;C865&amp;", cot_prc_comum = "&amp;D865&amp;", cot_prc_min = "&amp;E865&amp;", cot_prc_max = "&amp;F865&amp;", cot_prc_med = "&amp;G865&amp;", cot_prc_mediana = "&amp;H865&amp;" WHERE cot_id = "&amp;A865&amp;";"</f>
        <v>UPDATE COTACAO SET cot_id = 864, cot_blt_id = 58, cot_pap_id = 32, cot_prc_comum = 45, cot_prc_min = 40, cot_prc_max = 60, cot_prc_med = 49.29, cot_prc_mediana = 50 WHERE cot_id = 864;</v>
      </c>
    </row>
    <row r="866" customFormat="false" ht="14.25" hidden="false" customHeight="false" outlineLevel="0" collapsed="false">
      <c r="A866" s="0" t="n">
        <v>865</v>
      </c>
      <c r="B866" s="0" t="n">
        <f aca="false">IF('Boletins Nuppa Site'!A866&lt;&gt;0,'Boletins Nuppa Site'!A866,"NULL")</f>
        <v>58</v>
      </c>
      <c r="C866" s="0" t="n">
        <v>33</v>
      </c>
      <c r="D866" s="0" t="str">
        <f aca="false">IF('Boletins Nuppa Site'!G866&lt;&gt;0,'Boletins Nuppa Site'!G866,"NULL")</f>
        <v>NULL</v>
      </c>
      <c r="E866" s="30" t="n">
        <f aca="false">IF('Boletins Nuppa Site'!H866&lt;&gt;0,'Boletins Nuppa Site'!H866,"NULL")</f>
        <v>120</v>
      </c>
      <c r="F866" s="30" t="n">
        <f aca="false">IF('Boletins Nuppa Site'!I866&lt;&gt;0,'Boletins Nuppa Site'!I866,"NULL")</f>
        <v>180</v>
      </c>
      <c r="G866" s="0" t="str">
        <f aca="false">IF('Boletins Nuppa Site'!J866&lt;&gt;0,'Boletins Nuppa Site'!J866,"NULL")</f>
        <v>143.33</v>
      </c>
      <c r="H866" s="30" t="n">
        <f aca="false">IF('Boletins Nuppa Site'!K866&lt;&gt;0,'Boletins Nuppa Site'!K866,"NULL")</f>
        <v>130</v>
      </c>
      <c r="I866" s="0" t="str">
        <f aca="false">"INSERT INTO COTACAO (cot_id, cot_blt_id, cot_pap_id, cot_prc_comum, cot_prc_min, cot_prc_max, cot_prc_med, cot_prc_mediana) VALUES ("&amp;A866&amp;", "&amp;B866&amp;", "&amp;C866&amp;", "&amp;D866&amp;", "&amp;E866&amp;", "&amp;F866&amp;", "&amp;G866&amp;", "&amp;H866&amp;");"</f>
        <v>INSERT INTO COTACAO (cot_id, cot_blt_id, cot_pap_id, cot_prc_comum, cot_prc_min, cot_prc_max, cot_prc_med, cot_prc_mediana) VALUES (865, 58, 33, NULL, 120, 180, 143.33, 130);</v>
      </c>
      <c r="J866" s="0" t="str">
        <f aca="false">"UPDATE COTACAO SET cot_id = "&amp;A866&amp;", cot_blt_id = "&amp;B866&amp;", cot_pap_id = "&amp;C866&amp;", cot_prc_comum = "&amp;D866&amp;", cot_prc_min = "&amp;E866&amp;", cot_prc_max = "&amp;F866&amp;", cot_prc_med = "&amp;G866&amp;", cot_prc_mediana = "&amp;H866&amp;" WHERE cot_id = "&amp;A866&amp;";"</f>
        <v>UPDATE COTACAO SET cot_id = 865, cot_blt_id = 58, cot_pap_id = 33, cot_prc_comum = NULL, cot_prc_min = 120, cot_prc_max = 180, cot_prc_med = 143.33, cot_prc_mediana = 130 WHERE cot_id = 865;</v>
      </c>
    </row>
    <row r="867" customFormat="false" ht="14.25" hidden="false" customHeight="false" outlineLevel="0" collapsed="false">
      <c r="A867" s="0" t="n">
        <v>866</v>
      </c>
      <c r="B867" s="0" t="n">
        <f aca="false">IF('Boletins Nuppa Site'!A867&lt;&gt;0,'Boletins Nuppa Site'!A867,"NULL")</f>
        <v>58</v>
      </c>
      <c r="C867" s="0" t="n">
        <v>34</v>
      </c>
      <c r="D867" s="30" t="n">
        <f aca="false">IF('Boletins Nuppa Site'!G867&lt;&gt;0,'Boletins Nuppa Site'!G867,"NULL")</f>
        <v>70</v>
      </c>
      <c r="E867" s="30" t="n">
        <f aca="false">IF('Boletins Nuppa Site'!H867&lt;&gt;0,'Boletins Nuppa Site'!H867,"NULL")</f>
        <v>70</v>
      </c>
      <c r="F867" s="30" t="n">
        <f aca="false">IF('Boletins Nuppa Site'!I867&lt;&gt;0,'Boletins Nuppa Site'!I867,"NULL")</f>
        <v>100</v>
      </c>
      <c r="G867" s="0" t="str">
        <f aca="false">IF('Boletins Nuppa Site'!J867&lt;&gt;0,'Boletins Nuppa Site'!J867,"NULL")</f>
        <v>83.33</v>
      </c>
      <c r="H867" s="30" t="n">
        <f aca="false">IF('Boletins Nuppa Site'!K867&lt;&gt;0,'Boletins Nuppa Site'!K867,"NULL")</f>
        <v>80</v>
      </c>
      <c r="I867" s="0" t="str">
        <f aca="false">"INSERT INTO COTACAO (cot_id, cot_blt_id, cot_pap_id, cot_prc_comum, cot_prc_min, cot_prc_max, cot_prc_med, cot_prc_mediana) VALUES ("&amp;A867&amp;", "&amp;B867&amp;", "&amp;C867&amp;", "&amp;D867&amp;", "&amp;E867&amp;", "&amp;F867&amp;", "&amp;G867&amp;", "&amp;H867&amp;");"</f>
        <v>INSERT INTO COTACAO (cot_id, cot_blt_id, cot_pap_id, cot_prc_comum, cot_prc_min, cot_prc_max, cot_prc_med, cot_prc_mediana) VALUES (866, 58, 34, 70, 70, 100, 83.33, 80);</v>
      </c>
      <c r="J867" s="0" t="str">
        <f aca="false">"UPDATE COTACAO SET cot_id = "&amp;A867&amp;", cot_blt_id = "&amp;B867&amp;", cot_pap_id = "&amp;C867&amp;", cot_prc_comum = "&amp;D867&amp;", cot_prc_min = "&amp;E867&amp;", cot_prc_max = "&amp;F867&amp;", cot_prc_med = "&amp;G867&amp;", cot_prc_mediana = "&amp;H867&amp;" WHERE cot_id = "&amp;A867&amp;";"</f>
        <v>UPDATE COTACAO SET cot_id = 866, cot_blt_id = 58, cot_pap_id = 34, cot_prc_comum = 70, cot_prc_min = 70, cot_prc_max = 100, cot_prc_med = 83.33, cot_prc_mediana = 80 WHERE cot_id = 866;</v>
      </c>
    </row>
    <row r="868" customFormat="false" ht="14.25" hidden="false" customHeight="false" outlineLevel="0" collapsed="false">
      <c r="A868" s="0" t="n">
        <v>867</v>
      </c>
      <c r="B868" s="0" t="n">
        <f aca="false">IF('Boletins Nuppa Site'!A868&lt;&gt;0,'Boletins Nuppa Site'!A868,"NULL")</f>
        <v>58</v>
      </c>
      <c r="C868" s="0" t="n">
        <v>35</v>
      </c>
      <c r="D868" s="30" t="n">
        <f aca="false">IF('Boletins Nuppa Site'!G868&lt;&gt;0,'Boletins Nuppa Site'!G868,"NULL")</f>
        <v>120</v>
      </c>
      <c r="E868" s="30" t="n">
        <f aca="false">IF('Boletins Nuppa Site'!H868&lt;&gt;0,'Boletins Nuppa Site'!H868,"NULL")</f>
        <v>100</v>
      </c>
      <c r="F868" s="30" t="n">
        <f aca="false">IF('Boletins Nuppa Site'!I868&lt;&gt;0,'Boletins Nuppa Site'!I868,"NULL")</f>
        <v>200</v>
      </c>
      <c r="G868" s="30" t="n">
        <f aca="false">IF('Boletins Nuppa Site'!J868&lt;&gt;0,'Boletins Nuppa Site'!J868,"NULL")</f>
        <v>135</v>
      </c>
      <c r="H868" s="30" t="n">
        <f aca="false">IF('Boletins Nuppa Site'!K868&lt;&gt;0,'Boletins Nuppa Site'!K868,"NULL")</f>
        <v>120</v>
      </c>
      <c r="I868" s="0" t="str">
        <f aca="false">"INSERT INTO COTACAO (cot_id, cot_blt_id, cot_pap_id, cot_prc_comum, cot_prc_min, cot_prc_max, cot_prc_med, cot_prc_mediana) VALUES ("&amp;A868&amp;", "&amp;B868&amp;", "&amp;C868&amp;", "&amp;D868&amp;", "&amp;E868&amp;", "&amp;F868&amp;", "&amp;G868&amp;", "&amp;H868&amp;");"</f>
        <v>INSERT INTO COTACAO (cot_id, cot_blt_id, cot_pap_id, cot_prc_comum, cot_prc_min, cot_prc_max, cot_prc_med, cot_prc_mediana) VALUES (867, 58, 35, 120, 100, 200, 135, 120);</v>
      </c>
      <c r="J868" s="0" t="str">
        <f aca="false">"UPDATE COTACAO SET cot_id = "&amp;A868&amp;", cot_blt_id = "&amp;B868&amp;", cot_pap_id = "&amp;C868&amp;", cot_prc_comum = "&amp;D868&amp;", cot_prc_min = "&amp;E868&amp;", cot_prc_max = "&amp;F868&amp;", cot_prc_med = "&amp;G868&amp;", cot_prc_mediana = "&amp;H868&amp;" WHERE cot_id = "&amp;A868&amp;";"</f>
        <v>UPDATE COTACAO SET cot_id = 867, cot_blt_id = 58, cot_pap_id = 35, cot_prc_comum = 120, cot_prc_min = 100, cot_prc_max = 200, cot_prc_med = 135, cot_prc_mediana = 120 WHERE cot_id = 867;</v>
      </c>
    </row>
    <row r="869" customFormat="false" ht="14.25" hidden="false" customHeight="false" outlineLevel="0" collapsed="false">
      <c r="A869" s="0" t="n">
        <v>868</v>
      </c>
      <c r="B869" s="0" t="n">
        <f aca="false">IF('Boletins Nuppa Site'!A869&lt;&gt;0,'Boletins Nuppa Site'!A869,"NULL")</f>
        <v>58</v>
      </c>
      <c r="C869" s="0" t="n">
        <v>36</v>
      </c>
      <c r="D869" s="0" t="str">
        <f aca="false">IF('Boletins Nuppa Site'!G869&lt;&gt;0,'Boletins Nuppa Site'!G869,"NULL")</f>
        <v>NULL</v>
      </c>
      <c r="E869" s="30" t="n">
        <f aca="false">IF('Boletins Nuppa Site'!H869&lt;&gt;0,'Boletins Nuppa Site'!H869,"NULL")</f>
        <v>130</v>
      </c>
      <c r="F869" s="30" t="n">
        <f aca="false">IF('Boletins Nuppa Site'!I869&lt;&gt;0,'Boletins Nuppa Site'!I869,"NULL")</f>
        <v>130</v>
      </c>
      <c r="G869" s="30" t="n">
        <f aca="false">IF('Boletins Nuppa Site'!J869&lt;&gt;0,'Boletins Nuppa Site'!J869,"NULL")</f>
        <v>130</v>
      </c>
      <c r="H869" s="30" t="n">
        <f aca="false">IF('Boletins Nuppa Site'!K869&lt;&gt;0,'Boletins Nuppa Site'!K869,"NULL")</f>
        <v>130</v>
      </c>
      <c r="I869" s="0" t="str">
        <f aca="false">"INSERT INTO COTACAO (cot_id, cot_blt_id, cot_pap_id, cot_prc_comum, cot_prc_min, cot_prc_max, cot_prc_med, cot_prc_mediana) VALUES ("&amp;A869&amp;", "&amp;B869&amp;", "&amp;C869&amp;", "&amp;D869&amp;", "&amp;E869&amp;", "&amp;F869&amp;", "&amp;G869&amp;", "&amp;H869&amp;");"</f>
        <v>INSERT INTO COTACAO (cot_id, cot_blt_id, cot_pap_id, cot_prc_comum, cot_prc_min, cot_prc_max, cot_prc_med, cot_prc_mediana) VALUES (868, 58, 36, NULL, 130, 130, 130, 130);</v>
      </c>
      <c r="J869" s="0" t="str">
        <f aca="false">"UPDATE COTACAO SET cot_id = "&amp;A869&amp;", cot_blt_id = "&amp;B869&amp;", cot_pap_id = "&amp;C869&amp;", cot_prc_comum = "&amp;D869&amp;", cot_prc_min = "&amp;E869&amp;", cot_prc_max = "&amp;F869&amp;", cot_prc_med = "&amp;G869&amp;", cot_prc_mediana = "&amp;H869&amp;" WHERE cot_id = "&amp;A869&amp;";"</f>
        <v>UPDATE COTACAO SET cot_id = 868, cot_blt_id = 58, cot_pap_id = 36, cot_prc_comum = NULL, cot_prc_min = 130, cot_prc_max = 130, cot_prc_med = 130, cot_prc_mediana = 130 WHERE cot_id = 868;</v>
      </c>
    </row>
    <row r="870" customFormat="false" ht="14.25" hidden="false" customHeight="false" outlineLevel="0" collapsed="false">
      <c r="A870" s="0" t="n">
        <v>869</v>
      </c>
      <c r="B870" s="0" t="n">
        <f aca="false">IF('Boletins Nuppa Site'!A870&lt;&gt;0,'Boletins Nuppa Site'!A870,"NULL")</f>
        <v>58</v>
      </c>
      <c r="C870" s="0" t="n">
        <v>37</v>
      </c>
      <c r="D870" s="0" t="str">
        <f aca="false">IF('Boletins Nuppa Site'!G870&lt;&gt;0,'Boletins Nuppa Site'!G870,"NULL")</f>
        <v>NULL</v>
      </c>
      <c r="E870" s="0" t="str">
        <f aca="false">IF('Boletins Nuppa Site'!H870&lt;&gt;0,'Boletins Nuppa Site'!H870,"NULL")</f>
        <v>NULL</v>
      </c>
      <c r="F870" s="0" t="str">
        <f aca="false">IF('Boletins Nuppa Site'!I870&lt;&gt;0,'Boletins Nuppa Site'!I870,"NULL")</f>
        <v>NULL</v>
      </c>
      <c r="G870" s="0" t="str">
        <f aca="false">IF('Boletins Nuppa Site'!J870&lt;&gt;0,'Boletins Nuppa Site'!J870,"NULL")</f>
        <v>NULL</v>
      </c>
      <c r="H870" s="0" t="str">
        <f aca="false">IF('Boletins Nuppa Site'!K870&lt;&gt;0,'Boletins Nuppa Site'!K870,"NULL")</f>
        <v>NULL</v>
      </c>
      <c r="I870" s="0" t="str">
        <f aca="false">"INSERT INTO COTACAO (cot_id, cot_blt_id, cot_pap_id, cot_prc_comum, cot_prc_min, cot_prc_max, cot_prc_med, cot_prc_mediana) VALUES ("&amp;A870&amp;", "&amp;B870&amp;", "&amp;C870&amp;", "&amp;D870&amp;", "&amp;E870&amp;", "&amp;F870&amp;", "&amp;G870&amp;", "&amp;H870&amp;");"</f>
        <v>INSERT INTO COTACAO (cot_id, cot_blt_id, cot_pap_id, cot_prc_comum, cot_prc_min, cot_prc_max, cot_prc_med, cot_prc_mediana) VALUES (869, 58, 37, NULL, NULL, NULL, NULL, NULL);</v>
      </c>
      <c r="J870" s="0" t="str">
        <f aca="false">"UPDATE COTACAO SET cot_id = "&amp;A870&amp;", cot_blt_id = "&amp;B870&amp;", cot_pap_id = "&amp;C870&amp;", cot_prc_comum = "&amp;D870&amp;", cot_prc_min = "&amp;E870&amp;", cot_prc_max = "&amp;F870&amp;", cot_prc_med = "&amp;G870&amp;", cot_prc_mediana = "&amp;H870&amp;" WHERE cot_id = "&amp;A870&amp;";"</f>
        <v>UPDATE COTACAO SET cot_id = 869, cot_blt_id = 58, cot_pap_id = 37, cot_prc_comum = NULL, cot_prc_min = NULL, cot_prc_max = NULL, cot_prc_med = NULL, cot_prc_mediana = NULL WHERE cot_id = 869;</v>
      </c>
    </row>
    <row r="871" customFormat="false" ht="14.25" hidden="false" customHeight="false" outlineLevel="0" collapsed="false">
      <c r="A871" s="0" t="n">
        <v>870</v>
      </c>
      <c r="B871" s="0" t="n">
        <f aca="false">IF('Boletins Nuppa Site'!A871&lt;&gt;0,'Boletins Nuppa Site'!A871,"NULL")</f>
        <v>58</v>
      </c>
      <c r="C871" s="0" t="n">
        <v>38</v>
      </c>
      <c r="D871" s="0" t="str">
        <f aca="false">IF('Boletins Nuppa Site'!G871&lt;&gt;0,'Boletins Nuppa Site'!G871,"NULL")</f>
        <v>NULL</v>
      </c>
      <c r="E871" s="0" t="str">
        <f aca="false">IF('Boletins Nuppa Site'!H871&lt;&gt;0,'Boletins Nuppa Site'!H871,"NULL")</f>
        <v>NULL</v>
      </c>
      <c r="F871" s="0" t="str">
        <f aca="false">IF('Boletins Nuppa Site'!I871&lt;&gt;0,'Boletins Nuppa Site'!I871,"NULL")</f>
        <v>NULL</v>
      </c>
      <c r="G871" s="0" t="str">
        <f aca="false">IF('Boletins Nuppa Site'!J871&lt;&gt;0,'Boletins Nuppa Site'!J871,"NULL")</f>
        <v>NULL</v>
      </c>
      <c r="H871" s="0" t="str">
        <f aca="false">IF('Boletins Nuppa Site'!K871&lt;&gt;0,'Boletins Nuppa Site'!K871,"NULL")</f>
        <v>NULL</v>
      </c>
      <c r="I871" s="0" t="str">
        <f aca="false">"INSERT INTO COTACAO (cot_id, cot_blt_id, cot_pap_id, cot_prc_comum, cot_prc_min, cot_prc_max, cot_prc_med, cot_prc_mediana) VALUES ("&amp;A871&amp;", "&amp;B871&amp;", "&amp;C871&amp;", "&amp;D871&amp;", "&amp;E871&amp;", "&amp;F871&amp;", "&amp;G871&amp;", "&amp;H871&amp;");"</f>
        <v>INSERT INTO COTACAO (cot_id, cot_blt_id, cot_pap_id, cot_prc_comum, cot_prc_min, cot_prc_max, cot_prc_med, cot_prc_mediana) VALUES (870, 58, 38, NULL, NULL, NULL, NULL, NULL);</v>
      </c>
      <c r="J871" s="0" t="str">
        <f aca="false">"UPDATE COTACAO SET cot_id = "&amp;A871&amp;", cot_blt_id = "&amp;B871&amp;", cot_pap_id = "&amp;C871&amp;", cot_prc_comum = "&amp;D871&amp;", cot_prc_min = "&amp;E871&amp;", cot_prc_max = "&amp;F871&amp;", cot_prc_med = "&amp;G871&amp;", cot_prc_mediana = "&amp;H871&amp;" WHERE cot_id = "&amp;A871&amp;";"</f>
        <v>UPDATE COTACAO SET cot_id = 870, cot_blt_id = 58, cot_pap_id = 38, cot_prc_comum = NULL, cot_prc_min = NULL, cot_prc_max = NULL, cot_prc_med = NULL, cot_prc_mediana = NULL WHERE cot_id = 870;</v>
      </c>
    </row>
    <row r="872" customFormat="false" ht="14.25" hidden="false" customHeight="false" outlineLevel="0" collapsed="false">
      <c r="A872" s="0" t="n">
        <v>871</v>
      </c>
      <c r="B872" s="0" t="n">
        <f aca="false">IF('Boletins Nuppa Site'!A872&lt;&gt;0,'Boletins Nuppa Site'!A872,"NULL")</f>
        <v>58</v>
      </c>
      <c r="C872" s="0" t="n">
        <v>39</v>
      </c>
      <c r="D872" s="0" t="str">
        <f aca="false">IF('Boletins Nuppa Site'!G872&lt;&gt;0,'Boletins Nuppa Site'!G872,"NULL")</f>
        <v>NULL</v>
      </c>
      <c r="E872" s="30" t="n">
        <f aca="false">IF('Boletins Nuppa Site'!H872&lt;&gt;0,'Boletins Nuppa Site'!H872,"NULL")</f>
        <v>50</v>
      </c>
      <c r="F872" s="30" t="n">
        <f aca="false">IF('Boletins Nuppa Site'!I872&lt;&gt;0,'Boletins Nuppa Site'!I872,"NULL")</f>
        <v>50</v>
      </c>
      <c r="G872" s="30" t="n">
        <f aca="false">IF('Boletins Nuppa Site'!J872&lt;&gt;0,'Boletins Nuppa Site'!J872,"NULL")</f>
        <v>50</v>
      </c>
      <c r="H872" s="30" t="n">
        <f aca="false">IF('Boletins Nuppa Site'!K872&lt;&gt;0,'Boletins Nuppa Site'!K872,"NULL")</f>
        <v>50</v>
      </c>
      <c r="I872" s="0" t="str">
        <f aca="false">"INSERT INTO COTACAO (cot_id, cot_blt_id, cot_pap_id, cot_prc_comum, cot_prc_min, cot_prc_max, cot_prc_med, cot_prc_mediana) VALUES ("&amp;A872&amp;", "&amp;B872&amp;", "&amp;C872&amp;", "&amp;D872&amp;", "&amp;E872&amp;", "&amp;F872&amp;", "&amp;G872&amp;", "&amp;H872&amp;");"</f>
        <v>INSERT INTO COTACAO (cot_id, cot_blt_id, cot_pap_id, cot_prc_comum, cot_prc_min, cot_prc_max, cot_prc_med, cot_prc_mediana) VALUES (871, 58, 39, NULL, 50, 50, 50, 50);</v>
      </c>
      <c r="J872" s="0" t="str">
        <f aca="false">"UPDATE COTACAO SET cot_id = "&amp;A872&amp;", cot_blt_id = "&amp;B872&amp;", cot_pap_id = "&amp;C872&amp;", cot_prc_comum = "&amp;D872&amp;", cot_prc_min = "&amp;E872&amp;", cot_prc_max = "&amp;F872&amp;", cot_prc_med = "&amp;G872&amp;", cot_prc_mediana = "&amp;H872&amp;" WHERE cot_id = "&amp;A872&amp;";"</f>
        <v>UPDATE COTACAO SET cot_id = 871, cot_blt_id = 58, cot_pap_id = 39, cot_prc_comum = NULL, cot_prc_min = 50, cot_prc_max = 50, cot_prc_med = 50, cot_prc_mediana = 50 WHERE cot_id = 871;</v>
      </c>
    </row>
    <row r="873" customFormat="false" ht="14.25" hidden="false" customHeight="false" outlineLevel="0" collapsed="false">
      <c r="A873" s="0" t="n">
        <v>872</v>
      </c>
      <c r="B873" s="0" t="n">
        <f aca="false">IF('Boletins Nuppa Site'!A873&lt;&gt;0,'Boletins Nuppa Site'!A873,"NULL")</f>
        <v>58</v>
      </c>
      <c r="C873" s="0" t="n">
        <v>40</v>
      </c>
      <c r="D873" s="0" t="str">
        <f aca="false">IF('Boletins Nuppa Site'!G873&lt;&gt;0,'Boletins Nuppa Site'!G873,"NULL")</f>
        <v>NULL</v>
      </c>
      <c r="E873" s="30" t="n">
        <f aca="false">IF('Boletins Nuppa Site'!H873&lt;&gt;0,'Boletins Nuppa Site'!H873,"NULL")</f>
        <v>60</v>
      </c>
      <c r="F873" s="30" t="n">
        <f aca="false">IF('Boletins Nuppa Site'!I873&lt;&gt;0,'Boletins Nuppa Site'!I873,"NULL")</f>
        <v>65</v>
      </c>
      <c r="G873" s="0" t="str">
        <f aca="false">IF('Boletins Nuppa Site'!J873&lt;&gt;0,'Boletins Nuppa Site'!J873,"NULL")</f>
        <v>62.5</v>
      </c>
      <c r="H873" s="0" t="str">
        <f aca="false">IF('Boletins Nuppa Site'!K873&lt;&gt;0,'Boletins Nuppa Site'!K873,"NULL")</f>
        <v>62.5</v>
      </c>
      <c r="I873" s="0" t="str">
        <f aca="false">"INSERT INTO COTACAO (cot_id, cot_blt_id, cot_pap_id, cot_prc_comum, cot_prc_min, cot_prc_max, cot_prc_med, cot_prc_mediana) VALUES ("&amp;A873&amp;", "&amp;B873&amp;", "&amp;C873&amp;", "&amp;D873&amp;", "&amp;E873&amp;", "&amp;F873&amp;", "&amp;G873&amp;", "&amp;H873&amp;");"</f>
        <v>INSERT INTO COTACAO (cot_id, cot_blt_id, cot_pap_id, cot_prc_comum, cot_prc_min, cot_prc_max, cot_prc_med, cot_prc_mediana) VALUES (872, 58, 40, NULL, 60, 65, 62.5, 62.5);</v>
      </c>
      <c r="J873" s="0" t="str">
        <f aca="false">"UPDATE COTACAO SET cot_id = "&amp;A873&amp;", cot_blt_id = "&amp;B873&amp;", cot_pap_id = "&amp;C873&amp;", cot_prc_comum = "&amp;D873&amp;", cot_prc_min = "&amp;E873&amp;", cot_prc_max = "&amp;F873&amp;", cot_prc_med = "&amp;G873&amp;", cot_prc_mediana = "&amp;H873&amp;" WHERE cot_id = "&amp;A873&amp;";"</f>
        <v>UPDATE COTACAO SET cot_id = 872, cot_blt_id = 58, cot_pap_id = 40, cot_prc_comum = NULL, cot_prc_min = 60, cot_prc_max = 65, cot_prc_med = 62.5, cot_prc_mediana = 62.5 WHERE cot_id = 872;</v>
      </c>
    </row>
    <row r="874" customFormat="false" ht="14.25" hidden="false" customHeight="false" outlineLevel="0" collapsed="false">
      <c r="A874" s="0" t="n">
        <v>873</v>
      </c>
      <c r="B874" s="0" t="n">
        <f aca="false">IF('Boletins Nuppa Site'!A874&lt;&gt;0,'Boletins Nuppa Site'!A874,"NULL")</f>
        <v>59</v>
      </c>
      <c r="C874" s="0" t="n">
        <v>1</v>
      </c>
      <c r="D874" s="30" t="n">
        <f aca="false">IF('Boletins Nuppa Site'!G874&lt;&gt;0,'Boletins Nuppa Site'!G874,"NULL")</f>
        <v>60</v>
      </c>
      <c r="E874" s="30" t="n">
        <f aca="false">IF('Boletins Nuppa Site'!H874&lt;&gt;0,'Boletins Nuppa Site'!H874,"NULL")</f>
        <v>48</v>
      </c>
      <c r="F874" s="30" t="n">
        <f aca="false">IF('Boletins Nuppa Site'!I874&lt;&gt;0,'Boletins Nuppa Site'!I874,"NULL")</f>
        <v>60</v>
      </c>
      <c r="G874" s="30" t="n">
        <f aca="false">IF('Boletins Nuppa Site'!J874&lt;&gt;0,'Boletins Nuppa Site'!J874,"NULL")</f>
        <v>57</v>
      </c>
      <c r="H874" s="30" t="n">
        <f aca="false">IF('Boletins Nuppa Site'!K874&lt;&gt;0,'Boletins Nuppa Site'!K874,"NULL")</f>
        <v>60</v>
      </c>
      <c r="I874" s="0" t="str">
        <f aca="false">"INSERT INTO COTACAO (cot_id, cot_blt_id, cot_pap_id, cot_prc_comum, cot_prc_min, cot_prc_max, cot_prc_med, cot_prc_mediana) VALUES ("&amp;A874&amp;", "&amp;B874&amp;", "&amp;C874&amp;", "&amp;D874&amp;", "&amp;E874&amp;", "&amp;F874&amp;", "&amp;G874&amp;", "&amp;H874&amp;");"</f>
        <v>INSERT INTO COTACAO (cot_id, cot_blt_id, cot_pap_id, cot_prc_comum, cot_prc_min, cot_prc_max, cot_prc_med, cot_prc_mediana) VALUES (873, 59, 1, 60, 48, 60, 57, 60);</v>
      </c>
      <c r="J874" s="0" t="str">
        <f aca="false">"UPDATE COTACAO SET cot_id = "&amp;A874&amp;", cot_blt_id = "&amp;B874&amp;", cot_pap_id = "&amp;C874&amp;", cot_prc_comum = "&amp;D874&amp;", cot_prc_min = "&amp;E874&amp;", cot_prc_max = "&amp;F874&amp;", cot_prc_med = "&amp;G874&amp;", cot_prc_mediana = "&amp;H874&amp;" WHERE cot_id = "&amp;A874&amp;";"</f>
        <v>UPDATE COTACAO SET cot_id = 873, cot_blt_id = 59, cot_pap_id = 1, cot_prc_comum = 60, cot_prc_min = 48, cot_prc_max = 60, cot_prc_med = 57, cot_prc_mediana = 60 WHERE cot_id = 873;</v>
      </c>
    </row>
    <row r="875" customFormat="false" ht="14.25" hidden="false" customHeight="false" outlineLevel="0" collapsed="false">
      <c r="A875" s="0" t="n">
        <v>874</v>
      </c>
      <c r="B875" s="0" t="n">
        <f aca="false">IF('Boletins Nuppa Site'!A875&lt;&gt;0,'Boletins Nuppa Site'!A875,"NULL")</f>
        <v>59</v>
      </c>
      <c r="C875" s="0" t="n">
        <v>2</v>
      </c>
      <c r="D875" s="30" t="n">
        <f aca="false">IF('Boletins Nuppa Site'!G875&lt;&gt;0,'Boletins Nuppa Site'!G875,"NULL")</f>
        <v>72</v>
      </c>
      <c r="E875" s="30" t="n">
        <f aca="false">IF('Boletins Nuppa Site'!H875&lt;&gt;0,'Boletins Nuppa Site'!H875,"NULL")</f>
        <v>72</v>
      </c>
      <c r="F875" s="30" t="n">
        <f aca="false">IF('Boletins Nuppa Site'!I875&lt;&gt;0,'Boletins Nuppa Site'!I875,"NULL")</f>
        <v>84</v>
      </c>
      <c r="G875" s="30" t="n">
        <f aca="false">IF('Boletins Nuppa Site'!J875&lt;&gt;0,'Boletins Nuppa Site'!J875,"NULL")</f>
        <v>75</v>
      </c>
      <c r="H875" s="30" t="n">
        <f aca="false">IF('Boletins Nuppa Site'!K875&lt;&gt;0,'Boletins Nuppa Site'!K875,"NULL")</f>
        <v>72</v>
      </c>
      <c r="I875" s="0" t="str">
        <f aca="false">"INSERT INTO COTACAO (cot_id, cot_blt_id, cot_pap_id, cot_prc_comum, cot_prc_min, cot_prc_max, cot_prc_med, cot_prc_mediana) VALUES ("&amp;A875&amp;", "&amp;B875&amp;", "&amp;C875&amp;", "&amp;D875&amp;", "&amp;E875&amp;", "&amp;F875&amp;", "&amp;G875&amp;", "&amp;H875&amp;");"</f>
        <v>INSERT INTO COTACAO (cot_id, cot_blt_id, cot_pap_id, cot_prc_comum, cot_prc_min, cot_prc_max, cot_prc_med, cot_prc_mediana) VALUES (874, 59, 2, 72, 72, 84, 75, 72);</v>
      </c>
      <c r="J875" s="0" t="str">
        <f aca="false">"UPDATE COTACAO SET cot_id = "&amp;A875&amp;", cot_blt_id = "&amp;B875&amp;", cot_pap_id = "&amp;C875&amp;", cot_prc_comum = "&amp;D875&amp;", cot_prc_min = "&amp;E875&amp;", cot_prc_max = "&amp;F875&amp;", cot_prc_med = "&amp;G875&amp;", cot_prc_mediana = "&amp;H875&amp;" WHERE cot_id = "&amp;A875&amp;";"</f>
        <v>UPDATE COTACAO SET cot_id = 874, cot_blt_id = 59, cot_pap_id = 2, cot_prc_comum = 72, cot_prc_min = 72, cot_prc_max = 84, cot_prc_med = 75, cot_prc_mediana = 72 WHERE cot_id = 874;</v>
      </c>
    </row>
    <row r="876" customFormat="false" ht="14.25" hidden="false" customHeight="false" outlineLevel="0" collapsed="false">
      <c r="A876" s="0" t="n">
        <v>875</v>
      </c>
      <c r="B876" s="0" t="n">
        <f aca="false">IF('Boletins Nuppa Site'!A876&lt;&gt;0,'Boletins Nuppa Site'!A876,"NULL")</f>
        <v>59</v>
      </c>
      <c r="C876" s="0" t="n">
        <v>3</v>
      </c>
      <c r="D876" s="0" t="str">
        <f aca="false">IF('Boletins Nuppa Site'!G876&lt;&gt;0,'Boletins Nuppa Site'!G876,"NULL")</f>
        <v>NULL</v>
      </c>
      <c r="E876" s="30" t="n">
        <f aca="false">IF('Boletins Nuppa Site'!H876&lt;&gt;0,'Boletins Nuppa Site'!H876,"NULL")</f>
        <v>30</v>
      </c>
      <c r="F876" s="30" t="n">
        <f aca="false">IF('Boletins Nuppa Site'!I876&lt;&gt;0,'Boletins Nuppa Site'!I876,"NULL")</f>
        <v>48</v>
      </c>
      <c r="G876" s="30" t="n">
        <f aca="false">IF('Boletins Nuppa Site'!J876&lt;&gt;0,'Boletins Nuppa Site'!J876,"NULL")</f>
        <v>39</v>
      </c>
      <c r="H876" s="30" t="n">
        <f aca="false">IF('Boletins Nuppa Site'!K876&lt;&gt;0,'Boletins Nuppa Site'!K876,"NULL")</f>
        <v>39</v>
      </c>
      <c r="I876" s="0" t="str">
        <f aca="false">"INSERT INTO COTACAO (cot_id, cot_blt_id, cot_pap_id, cot_prc_comum, cot_prc_min, cot_prc_max, cot_prc_med, cot_prc_mediana) VALUES ("&amp;A876&amp;", "&amp;B876&amp;", "&amp;C876&amp;", "&amp;D876&amp;", "&amp;E876&amp;", "&amp;F876&amp;", "&amp;G876&amp;", "&amp;H876&amp;");"</f>
        <v>INSERT INTO COTACAO (cot_id, cot_blt_id, cot_pap_id, cot_prc_comum, cot_prc_min, cot_prc_max, cot_prc_med, cot_prc_mediana) VALUES (875, 59, 3, NULL, 30, 48, 39, 39);</v>
      </c>
      <c r="J876" s="0" t="str">
        <f aca="false">"UPDATE COTACAO SET cot_id = "&amp;A876&amp;", cot_blt_id = "&amp;B876&amp;", cot_pap_id = "&amp;C876&amp;", cot_prc_comum = "&amp;D876&amp;", cot_prc_min = "&amp;E876&amp;", cot_prc_max = "&amp;F876&amp;", cot_prc_med = "&amp;G876&amp;", cot_prc_mediana = "&amp;H876&amp;" WHERE cot_id = "&amp;A876&amp;";"</f>
        <v>UPDATE COTACAO SET cot_id = 875, cot_blt_id = 59, cot_pap_id = 3, cot_prc_comum = NULL, cot_prc_min = 30, cot_prc_max = 48, cot_prc_med = 39, cot_prc_mediana = 39 WHERE cot_id = 875;</v>
      </c>
    </row>
    <row r="877" customFormat="false" ht="14.25" hidden="false" customHeight="false" outlineLevel="0" collapsed="false">
      <c r="A877" s="0" t="n">
        <v>876</v>
      </c>
      <c r="B877" s="0" t="n">
        <f aca="false">IF('Boletins Nuppa Site'!A877&lt;&gt;0,'Boletins Nuppa Site'!A877,"NULL")</f>
        <v>59</v>
      </c>
      <c r="C877" s="0" t="n">
        <v>4</v>
      </c>
      <c r="D877" s="30" t="n">
        <f aca="false">IF('Boletins Nuppa Site'!G877&lt;&gt;0,'Boletins Nuppa Site'!G877,"NULL")</f>
        <v>30</v>
      </c>
      <c r="E877" s="30" t="n">
        <f aca="false">IF('Boletins Nuppa Site'!H877&lt;&gt;0,'Boletins Nuppa Site'!H877,"NULL")</f>
        <v>20</v>
      </c>
      <c r="F877" s="30" t="n">
        <f aca="false">IF('Boletins Nuppa Site'!I877&lt;&gt;0,'Boletins Nuppa Site'!I877,"NULL")</f>
        <v>30</v>
      </c>
      <c r="G877" s="30" t="n">
        <f aca="false">IF('Boletins Nuppa Site'!J877&lt;&gt;0,'Boletins Nuppa Site'!J877,"NULL")</f>
        <v>26</v>
      </c>
      <c r="H877" s="30" t="n">
        <f aca="false">IF('Boletins Nuppa Site'!K877&lt;&gt;0,'Boletins Nuppa Site'!K877,"NULL")</f>
        <v>27</v>
      </c>
      <c r="I877" s="0" t="str">
        <f aca="false">"INSERT INTO COTACAO (cot_id, cot_blt_id, cot_pap_id, cot_prc_comum, cot_prc_min, cot_prc_max, cot_prc_med, cot_prc_mediana) VALUES ("&amp;A877&amp;", "&amp;B877&amp;", "&amp;C877&amp;", "&amp;D877&amp;", "&amp;E877&amp;", "&amp;F877&amp;", "&amp;G877&amp;", "&amp;H877&amp;");"</f>
        <v>INSERT INTO COTACAO (cot_id, cot_blt_id, cot_pap_id, cot_prc_comum, cot_prc_min, cot_prc_max, cot_prc_med, cot_prc_mediana) VALUES (876, 59, 4, 30, 20, 30, 26, 27);</v>
      </c>
      <c r="J877" s="0" t="str">
        <f aca="false">"UPDATE COTACAO SET cot_id = "&amp;A877&amp;", cot_blt_id = "&amp;B877&amp;", cot_pap_id = "&amp;C877&amp;", cot_prc_comum = "&amp;D877&amp;", cot_prc_min = "&amp;E877&amp;", cot_prc_max = "&amp;F877&amp;", cot_prc_med = "&amp;G877&amp;", cot_prc_mediana = "&amp;H877&amp;" WHERE cot_id = "&amp;A877&amp;";"</f>
        <v>UPDATE COTACAO SET cot_id = 876, cot_blt_id = 59, cot_pap_id = 4, cot_prc_comum = 30, cot_prc_min = 20, cot_prc_max = 30, cot_prc_med = 26, cot_prc_mediana = 27 WHERE cot_id = 876;</v>
      </c>
    </row>
    <row r="878" customFormat="false" ht="14.25" hidden="false" customHeight="false" outlineLevel="0" collapsed="false">
      <c r="A878" s="0" t="n">
        <v>877</v>
      </c>
      <c r="B878" s="0" t="n">
        <f aca="false">IF('Boletins Nuppa Site'!A878&lt;&gt;0,'Boletins Nuppa Site'!A878,"NULL")</f>
        <v>59</v>
      </c>
      <c r="C878" s="0" t="n">
        <v>5</v>
      </c>
      <c r="D878" s="30" t="n">
        <f aca="false">IF('Boletins Nuppa Site'!G878&lt;&gt;0,'Boletins Nuppa Site'!G878,"NULL")</f>
        <v>30</v>
      </c>
      <c r="E878" s="30" t="n">
        <f aca="false">IF('Boletins Nuppa Site'!H878&lt;&gt;0,'Boletins Nuppa Site'!H878,"NULL")</f>
        <v>18</v>
      </c>
      <c r="F878" s="30" t="n">
        <f aca="false">IF('Boletins Nuppa Site'!I878&lt;&gt;0,'Boletins Nuppa Site'!I878,"NULL")</f>
        <v>30</v>
      </c>
      <c r="G878" s="0" t="str">
        <f aca="false">IF('Boletins Nuppa Site'!J878&lt;&gt;0,'Boletins Nuppa Site'!J878,"NULL")</f>
        <v>24.5</v>
      </c>
      <c r="H878" s="30" t="n">
        <f aca="false">IF('Boletins Nuppa Site'!K878&lt;&gt;0,'Boletins Nuppa Site'!K878,"NULL")</f>
        <v>25</v>
      </c>
      <c r="I878" s="0" t="str">
        <f aca="false">"INSERT INTO COTACAO (cot_id, cot_blt_id, cot_pap_id, cot_prc_comum, cot_prc_min, cot_prc_max, cot_prc_med, cot_prc_mediana) VALUES ("&amp;A878&amp;", "&amp;B878&amp;", "&amp;C878&amp;", "&amp;D878&amp;", "&amp;E878&amp;", "&amp;F878&amp;", "&amp;G878&amp;", "&amp;H878&amp;");"</f>
        <v>INSERT INTO COTACAO (cot_id, cot_blt_id, cot_pap_id, cot_prc_comum, cot_prc_min, cot_prc_max, cot_prc_med, cot_prc_mediana) VALUES (877, 59, 5, 30, 18, 30, 24.5, 25);</v>
      </c>
      <c r="J878" s="0" t="str">
        <f aca="false">"UPDATE COTACAO SET cot_id = "&amp;A878&amp;", cot_blt_id = "&amp;B878&amp;", cot_pap_id = "&amp;C878&amp;", cot_prc_comum = "&amp;D878&amp;", cot_prc_min = "&amp;E878&amp;", cot_prc_max = "&amp;F878&amp;", cot_prc_med = "&amp;G878&amp;", cot_prc_mediana = "&amp;H878&amp;" WHERE cot_id = "&amp;A878&amp;";"</f>
        <v>UPDATE COTACAO SET cot_id = 877, cot_blt_id = 59, cot_pap_id = 5, cot_prc_comum = 30, cot_prc_min = 18, cot_prc_max = 30, cot_prc_med = 24.5, cot_prc_mediana = 25 WHERE cot_id = 877;</v>
      </c>
    </row>
    <row r="879" customFormat="false" ht="14.25" hidden="false" customHeight="false" outlineLevel="0" collapsed="false">
      <c r="A879" s="0" t="n">
        <v>878</v>
      </c>
      <c r="B879" s="0" t="n">
        <f aca="false">IF('Boletins Nuppa Site'!A879&lt;&gt;0,'Boletins Nuppa Site'!A879,"NULL")</f>
        <v>59</v>
      </c>
      <c r="C879" s="0" t="n">
        <v>6</v>
      </c>
      <c r="D879" s="30" t="n">
        <f aca="false">IF('Boletins Nuppa Site'!G879&lt;&gt;0,'Boletins Nuppa Site'!G879,"NULL")</f>
        <v>60</v>
      </c>
      <c r="E879" s="30" t="n">
        <f aca="false">IF('Boletins Nuppa Site'!H879&lt;&gt;0,'Boletins Nuppa Site'!H879,"NULL")</f>
        <v>48</v>
      </c>
      <c r="F879" s="30" t="n">
        <f aca="false">IF('Boletins Nuppa Site'!I879&lt;&gt;0,'Boletins Nuppa Site'!I879,"NULL")</f>
        <v>60</v>
      </c>
      <c r="G879" s="30" t="n">
        <f aca="false">IF('Boletins Nuppa Site'!J879&lt;&gt;0,'Boletins Nuppa Site'!J879,"NULL")</f>
        <v>57</v>
      </c>
      <c r="H879" s="30" t="n">
        <f aca="false">IF('Boletins Nuppa Site'!K879&lt;&gt;0,'Boletins Nuppa Site'!K879,"NULL")</f>
        <v>60</v>
      </c>
      <c r="I879" s="0" t="str">
        <f aca="false">"INSERT INTO COTACAO (cot_id, cot_blt_id, cot_pap_id, cot_prc_comum, cot_prc_min, cot_prc_max, cot_prc_med, cot_prc_mediana) VALUES ("&amp;A879&amp;", "&amp;B879&amp;", "&amp;C879&amp;", "&amp;D879&amp;", "&amp;E879&amp;", "&amp;F879&amp;", "&amp;G879&amp;", "&amp;H879&amp;");"</f>
        <v>INSERT INTO COTACAO (cot_id, cot_blt_id, cot_pap_id, cot_prc_comum, cot_prc_min, cot_prc_max, cot_prc_med, cot_prc_mediana) VALUES (878, 59, 6, 60, 48, 60, 57, 60);</v>
      </c>
      <c r="J879" s="0" t="str">
        <f aca="false">"UPDATE COTACAO SET cot_id = "&amp;A879&amp;", cot_blt_id = "&amp;B879&amp;", cot_pap_id = "&amp;C879&amp;", cot_prc_comum = "&amp;D879&amp;", cot_prc_min = "&amp;E879&amp;", cot_prc_max = "&amp;F879&amp;", cot_prc_med = "&amp;G879&amp;", cot_prc_mediana = "&amp;H879&amp;" WHERE cot_id = "&amp;A879&amp;";"</f>
        <v>UPDATE COTACAO SET cot_id = 878, cot_blt_id = 59, cot_pap_id = 6, cot_prc_comum = 60, cot_prc_min = 48, cot_prc_max = 60, cot_prc_med = 57, cot_prc_mediana = 60 WHERE cot_id = 878;</v>
      </c>
    </row>
    <row r="880" customFormat="false" ht="14.25" hidden="false" customHeight="false" outlineLevel="0" collapsed="false">
      <c r="A880" s="0" t="n">
        <v>879</v>
      </c>
      <c r="B880" s="0" t="n">
        <f aca="false">IF('Boletins Nuppa Site'!A880&lt;&gt;0,'Boletins Nuppa Site'!A880,"NULL")</f>
        <v>59</v>
      </c>
      <c r="C880" s="0" t="n">
        <v>7</v>
      </c>
      <c r="D880" s="30" t="n">
        <f aca="false">IF('Boletins Nuppa Site'!G880&lt;&gt;0,'Boletins Nuppa Site'!G880,"NULL")</f>
        <v>60</v>
      </c>
      <c r="E880" s="30" t="n">
        <f aca="false">IF('Boletins Nuppa Site'!H880&lt;&gt;0,'Boletins Nuppa Site'!H880,"NULL")</f>
        <v>60</v>
      </c>
      <c r="F880" s="30" t="n">
        <f aca="false">IF('Boletins Nuppa Site'!I880&lt;&gt;0,'Boletins Nuppa Site'!I880,"NULL")</f>
        <v>76</v>
      </c>
      <c r="G880" s="30" t="n">
        <f aca="false">IF('Boletins Nuppa Site'!J880&lt;&gt;0,'Boletins Nuppa Site'!J880,"NULL")</f>
        <v>64</v>
      </c>
      <c r="H880" s="30" t="n">
        <f aca="false">IF('Boletins Nuppa Site'!K880&lt;&gt;0,'Boletins Nuppa Site'!K880,"NULL")</f>
        <v>60</v>
      </c>
      <c r="I880" s="0" t="str">
        <f aca="false">"INSERT INTO COTACAO (cot_id, cot_blt_id, cot_pap_id, cot_prc_comum, cot_prc_min, cot_prc_max, cot_prc_med, cot_prc_mediana) VALUES ("&amp;A880&amp;", "&amp;B880&amp;", "&amp;C880&amp;", "&amp;D880&amp;", "&amp;E880&amp;", "&amp;F880&amp;", "&amp;G880&amp;", "&amp;H880&amp;");"</f>
        <v>INSERT INTO COTACAO (cot_id, cot_blt_id, cot_pap_id, cot_prc_comum, cot_prc_min, cot_prc_max, cot_prc_med, cot_prc_mediana) VALUES (879, 59, 7, 60, 60, 76, 64, 60);</v>
      </c>
      <c r="J880" s="0" t="str">
        <f aca="false">"UPDATE COTACAO SET cot_id = "&amp;A880&amp;", cot_blt_id = "&amp;B880&amp;", cot_pap_id = "&amp;C880&amp;", cot_prc_comum = "&amp;D880&amp;", cot_prc_min = "&amp;E880&amp;", cot_prc_max = "&amp;F880&amp;", cot_prc_med = "&amp;G880&amp;", cot_prc_mediana = "&amp;H880&amp;" WHERE cot_id = "&amp;A880&amp;";"</f>
        <v>UPDATE COTACAO SET cot_id = 879, cot_blt_id = 59, cot_pap_id = 7, cot_prc_comum = 60, cot_prc_min = 60, cot_prc_max = 76, cot_prc_med = 64, cot_prc_mediana = 60 WHERE cot_id = 879;</v>
      </c>
    </row>
    <row r="881" customFormat="false" ht="14.25" hidden="false" customHeight="false" outlineLevel="0" collapsed="false">
      <c r="A881" s="0" t="n">
        <v>880</v>
      </c>
      <c r="B881" s="0" t="n">
        <f aca="false">IF('Boletins Nuppa Site'!A881&lt;&gt;0,'Boletins Nuppa Site'!A881,"NULL")</f>
        <v>59</v>
      </c>
      <c r="C881" s="0" t="n">
        <v>8</v>
      </c>
      <c r="D881" s="30" t="n">
        <f aca="false">IF('Boletins Nuppa Site'!G881&lt;&gt;0,'Boletins Nuppa Site'!G881,"NULL")</f>
        <v>84</v>
      </c>
      <c r="E881" s="30" t="n">
        <f aca="false">IF('Boletins Nuppa Site'!H881&lt;&gt;0,'Boletins Nuppa Site'!H881,"NULL")</f>
        <v>72</v>
      </c>
      <c r="F881" s="30" t="n">
        <f aca="false">IF('Boletins Nuppa Site'!I881&lt;&gt;0,'Boletins Nuppa Site'!I881,"NULL")</f>
        <v>84</v>
      </c>
      <c r="G881" s="30" t="n">
        <f aca="false">IF('Boletins Nuppa Site'!J881&lt;&gt;0,'Boletins Nuppa Site'!J881,"NULL")</f>
        <v>80</v>
      </c>
      <c r="H881" s="30" t="n">
        <f aca="false">IF('Boletins Nuppa Site'!K881&lt;&gt;0,'Boletins Nuppa Site'!K881,"NULL")</f>
        <v>82</v>
      </c>
      <c r="I881" s="0" t="str">
        <f aca="false">"INSERT INTO COTACAO (cot_id, cot_blt_id, cot_pap_id, cot_prc_comum, cot_prc_min, cot_prc_max, cot_prc_med, cot_prc_mediana) VALUES ("&amp;A881&amp;", "&amp;B881&amp;", "&amp;C881&amp;", "&amp;D881&amp;", "&amp;E881&amp;", "&amp;F881&amp;", "&amp;G881&amp;", "&amp;H881&amp;");"</f>
        <v>INSERT INTO COTACAO (cot_id, cot_blt_id, cot_pap_id, cot_prc_comum, cot_prc_min, cot_prc_max, cot_prc_med, cot_prc_mediana) VALUES (880, 59, 8, 84, 72, 84, 80, 82);</v>
      </c>
      <c r="J881" s="0" t="str">
        <f aca="false">"UPDATE COTACAO SET cot_id = "&amp;A881&amp;", cot_blt_id = "&amp;B881&amp;", cot_pap_id = "&amp;C881&amp;", cot_prc_comum = "&amp;D881&amp;", cot_prc_min = "&amp;E881&amp;", cot_prc_max = "&amp;F881&amp;", cot_prc_med = "&amp;G881&amp;", cot_prc_mediana = "&amp;H881&amp;" WHERE cot_id = "&amp;A881&amp;";"</f>
        <v>UPDATE COTACAO SET cot_id = 880, cot_blt_id = 59, cot_pap_id = 8, cot_prc_comum = 84, cot_prc_min = 72, cot_prc_max = 84, cot_prc_med = 80, cot_prc_mediana = 82 WHERE cot_id = 880;</v>
      </c>
    </row>
    <row r="882" customFormat="false" ht="14.25" hidden="false" customHeight="false" outlineLevel="0" collapsed="false">
      <c r="A882" s="0" t="n">
        <v>881</v>
      </c>
      <c r="B882" s="0" t="n">
        <f aca="false">IF('Boletins Nuppa Site'!A882&lt;&gt;0,'Boletins Nuppa Site'!A882,"NULL")</f>
        <v>59</v>
      </c>
      <c r="C882" s="0" t="n">
        <v>9</v>
      </c>
      <c r="D882" s="30" t="n">
        <f aca="false">IF('Boletins Nuppa Site'!G882&lt;&gt;0,'Boletins Nuppa Site'!G882,"NULL")</f>
        <v>24</v>
      </c>
      <c r="E882" s="30" t="n">
        <f aca="false">IF('Boletins Nuppa Site'!H882&lt;&gt;0,'Boletins Nuppa Site'!H882,"NULL")</f>
        <v>20</v>
      </c>
      <c r="F882" s="30" t="n">
        <f aca="false">IF('Boletins Nuppa Site'!I882&lt;&gt;0,'Boletins Nuppa Site'!I882,"NULL")</f>
        <v>30</v>
      </c>
      <c r="G882" s="0" t="str">
        <f aca="false">IF('Boletins Nuppa Site'!J882&lt;&gt;0,'Boletins Nuppa Site'!J882,"NULL")</f>
        <v>24.5</v>
      </c>
      <c r="H882" s="30" t="n">
        <f aca="false">IF('Boletins Nuppa Site'!K882&lt;&gt;0,'Boletins Nuppa Site'!K882,"NULL")</f>
        <v>24</v>
      </c>
      <c r="I882" s="0" t="str">
        <f aca="false">"INSERT INTO COTACAO (cot_id, cot_blt_id, cot_pap_id, cot_prc_comum, cot_prc_min, cot_prc_max, cot_prc_med, cot_prc_mediana) VALUES ("&amp;A882&amp;", "&amp;B882&amp;", "&amp;C882&amp;", "&amp;D882&amp;", "&amp;E882&amp;", "&amp;F882&amp;", "&amp;G882&amp;", "&amp;H882&amp;");"</f>
        <v>INSERT INTO COTACAO (cot_id, cot_blt_id, cot_pap_id, cot_prc_comum, cot_prc_min, cot_prc_max, cot_prc_med, cot_prc_mediana) VALUES (881, 59, 9, 24, 20, 30, 24.5, 24);</v>
      </c>
      <c r="J882" s="0" t="str">
        <f aca="false">"UPDATE COTACAO SET cot_id = "&amp;A882&amp;", cot_blt_id = "&amp;B882&amp;", cot_pap_id = "&amp;C882&amp;", cot_prc_comum = "&amp;D882&amp;", cot_prc_min = "&amp;E882&amp;", cot_prc_max = "&amp;F882&amp;", cot_prc_med = "&amp;G882&amp;", cot_prc_mediana = "&amp;H882&amp;" WHERE cot_id = "&amp;A882&amp;";"</f>
        <v>UPDATE COTACAO SET cot_id = 881, cot_blt_id = 59, cot_pap_id = 9, cot_prc_comum = 24, cot_prc_min = 20, cot_prc_max = 30, cot_prc_med = 24.5, cot_prc_mediana = 24 WHERE cot_id = 881;</v>
      </c>
    </row>
    <row r="883" customFormat="false" ht="14.25" hidden="false" customHeight="false" outlineLevel="0" collapsed="false">
      <c r="A883" s="0" t="n">
        <v>882</v>
      </c>
      <c r="B883" s="0" t="n">
        <f aca="false">IF('Boletins Nuppa Site'!A883&lt;&gt;0,'Boletins Nuppa Site'!A883,"NULL")</f>
        <v>59</v>
      </c>
      <c r="C883" s="0" t="n">
        <v>10</v>
      </c>
      <c r="D883" s="0" t="str">
        <f aca="false">IF('Boletins Nuppa Site'!G883&lt;&gt;0,'Boletins Nuppa Site'!G883,"NULL")</f>
        <v>NULL</v>
      </c>
      <c r="E883" s="30" t="n">
        <f aca="false">IF('Boletins Nuppa Site'!H883&lt;&gt;0,'Boletins Nuppa Site'!H883,"NULL")</f>
        <v>60</v>
      </c>
      <c r="F883" s="30" t="n">
        <f aca="false">IF('Boletins Nuppa Site'!I883&lt;&gt;0,'Boletins Nuppa Site'!I883,"NULL")</f>
        <v>84</v>
      </c>
      <c r="G883" s="0" t="str">
        <f aca="false">IF('Boletins Nuppa Site'!J883&lt;&gt;0,'Boletins Nuppa Site'!J883,"NULL")</f>
        <v>71.5</v>
      </c>
      <c r="H883" s="30" t="n">
        <f aca="false">IF('Boletins Nuppa Site'!K883&lt;&gt;0,'Boletins Nuppa Site'!K883,"NULL")</f>
        <v>71</v>
      </c>
      <c r="I883" s="0" t="str">
        <f aca="false">"INSERT INTO COTACAO (cot_id, cot_blt_id, cot_pap_id, cot_prc_comum, cot_prc_min, cot_prc_max, cot_prc_med, cot_prc_mediana) VALUES ("&amp;A883&amp;", "&amp;B883&amp;", "&amp;C883&amp;", "&amp;D883&amp;", "&amp;E883&amp;", "&amp;F883&amp;", "&amp;G883&amp;", "&amp;H883&amp;");"</f>
        <v>INSERT INTO COTACAO (cot_id, cot_blt_id, cot_pap_id, cot_prc_comum, cot_prc_min, cot_prc_max, cot_prc_med, cot_prc_mediana) VALUES (882, 59, 10, NULL, 60, 84, 71.5, 71);</v>
      </c>
      <c r="J883" s="0" t="str">
        <f aca="false">"UPDATE COTACAO SET cot_id = "&amp;A883&amp;", cot_blt_id = "&amp;B883&amp;", cot_pap_id = "&amp;C883&amp;", cot_prc_comum = "&amp;D883&amp;", cot_prc_min = "&amp;E883&amp;", cot_prc_max = "&amp;F883&amp;", cot_prc_med = "&amp;G883&amp;", cot_prc_mediana = "&amp;H883&amp;" WHERE cot_id = "&amp;A883&amp;";"</f>
        <v>UPDATE COTACAO SET cot_id = 882, cot_blt_id = 59, cot_pap_id = 10, cot_prc_comum = NULL, cot_prc_min = 60, cot_prc_max = 84, cot_prc_med = 71.5, cot_prc_mediana = 71 WHERE cot_id = 882;</v>
      </c>
    </row>
    <row r="884" customFormat="false" ht="14.25" hidden="false" customHeight="false" outlineLevel="0" collapsed="false">
      <c r="A884" s="0" t="n">
        <v>883</v>
      </c>
      <c r="B884" s="0" t="n">
        <f aca="false">IF('Boletins Nuppa Site'!A884&lt;&gt;0,'Boletins Nuppa Site'!A884,"NULL")</f>
        <v>59</v>
      </c>
      <c r="C884" s="0" t="n">
        <v>11</v>
      </c>
      <c r="D884" s="30" t="n">
        <f aca="false">IF('Boletins Nuppa Site'!G884&lt;&gt;0,'Boletins Nuppa Site'!G884,"NULL")</f>
        <v>24</v>
      </c>
      <c r="E884" s="30" t="n">
        <f aca="false">IF('Boletins Nuppa Site'!H884&lt;&gt;0,'Boletins Nuppa Site'!H884,"NULL")</f>
        <v>24</v>
      </c>
      <c r="F884" s="30" t="n">
        <f aca="false">IF('Boletins Nuppa Site'!I884&lt;&gt;0,'Boletins Nuppa Site'!I884,"NULL")</f>
        <v>30</v>
      </c>
      <c r="G884" s="30" t="n">
        <f aca="false">IF('Boletins Nuppa Site'!J884&lt;&gt;0,'Boletins Nuppa Site'!J884,"NULL")</f>
        <v>27</v>
      </c>
      <c r="H884" s="30" t="n">
        <f aca="false">IF('Boletins Nuppa Site'!K884&lt;&gt;0,'Boletins Nuppa Site'!K884,"NULL")</f>
        <v>27</v>
      </c>
      <c r="I884" s="0" t="str">
        <f aca="false">"INSERT INTO COTACAO (cot_id, cot_blt_id, cot_pap_id, cot_prc_comum, cot_prc_min, cot_prc_max, cot_prc_med, cot_prc_mediana) VALUES ("&amp;A884&amp;", "&amp;B884&amp;", "&amp;C884&amp;", "&amp;D884&amp;", "&amp;E884&amp;", "&amp;F884&amp;", "&amp;G884&amp;", "&amp;H884&amp;");"</f>
        <v>INSERT INTO COTACAO (cot_id, cot_blt_id, cot_pap_id, cot_prc_comum, cot_prc_min, cot_prc_max, cot_prc_med, cot_prc_mediana) VALUES (883, 59, 11, 24, 24, 30, 27, 27);</v>
      </c>
      <c r="J884" s="0" t="str">
        <f aca="false">"UPDATE COTACAO SET cot_id = "&amp;A884&amp;", cot_blt_id = "&amp;B884&amp;", cot_pap_id = "&amp;C884&amp;", cot_prc_comum = "&amp;D884&amp;", cot_prc_min = "&amp;E884&amp;", cot_prc_max = "&amp;F884&amp;", cot_prc_med = "&amp;G884&amp;", cot_prc_mediana = "&amp;H884&amp;" WHERE cot_id = "&amp;A884&amp;";"</f>
        <v>UPDATE COTACAO SET cot_id = 883, cot_blt_id = 59, cot_pap_id = 11, cot_prc_comum = 24, cot_prc_min = 24, cot_prc_max = 30, cot_prc_med = 27, cot_prc_mediana = 27 WHERE cot_id = 883;</v>
      </c>
    </row>
    <row r="885" customFormat="false" ht="14.25" hidden="false" customHeight="false" outlineLevel="0" collapsed="false">
      <c r="A885" s="0" t="n">
        <v>884</v>
      </c>
      <c r="B885" s="0" t="n">
        <f aca="false">IF('Boletins Nuppa Site'!A885&lt;&gt;0,'Boletins Nuppa Site'!A885,"NULL")</f>
        <v>59</v>
      </c>
      <c r="C885" s="0" t="n">
        <v>12</v>
      </c>
      <c r="D885" s="30" t="n">
        <f aca="false">IF('Boletins Nuppa Site'!G885&lt;&gt;0,'Boletins Nuppa Site'!G885,"NULL")</f>
        <v>72</v>
      </c>
      <c r="E885" s="30" t="n">
        <f aca="false">IF('Boletins Nuppa Site'!H885&lt;&gt;0,'Boletins Nuppa Site'!H885,"NULL")</f>
        <v>60</v>
      </c>
      <c r="F885" s="30" t="n">
        <f aca="false">IF('Boletins Nuppa Site'!I885&lt;&gt;0,'Boletins Nuppa Site'!I885,"NULL")</f>
        <v>72</v>
      </c>
      <c r="G885" s="30" t="n">
        <f aca="false">IF('Boletins Nuppa Site'!J885&lt;&gt;0,'Boletins Nuppa Site'!J885,"NULL")</f>
        <v>69</v>
      </c>
      <c r="H885" s="30" t="n">
        <f aca="false">IF('Boletins Nuppa Site'!K885&lt;&gt;0,'Boletins Nuppa Site'!K885,"NULL")</f>
        <v>72</v>
      </c>
      <c r="I885" s="0" t="str">
        <f aca="false">"INSERT INTO COTACAO (cot_id, cot_blt_id, cot_pap_id, cot_prc_comum, cot_prc_min, cot_prc_max, cot_prc_med, cot_prc_mediana) VALUES ("&amp;A885&amp;", "&amp;B885&amp;", "&amp;C885&amp;", "&amp;D885&amp;", "&amp;E885&amp;", "&amp;F885&amp;", "&amp;G885&amp;", "&amp;H885&amp;");"</f>
        <v>INSERT INTO COTACAO (cot_id, cot_blt_id, cot_pap_id, cot_prc_comum, cot_prc_min, cot_prc_max, cot_prc_med, cot_prc_mediana) VALUES (884, 59, 12, 72, 60, 72, 69, 72);</v>
      </c>
      <c r="J885" s="0" t="str">
        <f aca="false">"UPDATE COTACAO SET cot_id = "&amp;A885&amp;", cot_blt_id = "&amp;B885&amp;", cot_pap_id = "&amp;C885&amp;", cot_prc_comum = "&amp;D885&amp;", cot_prc_min = "&amp;E885&amp;", cot_prc_max = "&amp;F885&amp;", cot_prc_med = "&amp;G885&amp;", cot_prc_mediana = "&amp;H885&amp;" WHERE cot_id = "&amp;A885&amp;";"</f>
        <v>UPDATE COTACAO SET cot_id = 884, cot_blt_id = 59, cot_pap_id = 12, cot_prc_comum = 72, cot_prc_min = 60, cot_prc_max = 72, cot_prc_med = 69, cot_prc_mediana = 72 WHERE cot_id = 884;</v>
      </c>
    </row>
    <row r="886" customFormat="false" ht="14.25" hidden="false" customHeight="false" outlineLevel="0" collapsed="false">
      <c r="A886" s="0" t="n">
        <v>885</v>
      </c>
      <c r="B886" s="0" t="n">
        <f aca="false">IF('Boletins Nuppa Site'!A886&lt;&gt;0,'Boletins Nuppa Site'!A886,"NULL")</f>
        <v>59</v>
      </c>
      <c r="C886" s="0" t="n">
        <v>13</v>
      </c>
      <c r="D886" s="30" t="n">
        <f aca="false">IF('Boletins Nuppa Site'!G886&lt;&gt;0,'Boletins Nuppa Site'!G886,"NULL")</f>
        <v>60</v>
      </c>
      <c r="E886" s="30" t="n">
        <f aca="false">IF('Boletins Nuppa Site'!H886&lt;&gt;0,'Boletins Nuppa Site'!H886,"NULL")</f>
        <v>60</v>
      </c>
      <c r="F886" s="30" t="n">
        <f aca="false">IF('Boletins Nuppa Site'!I886&lt;&gt;0,'Boletins Nuppa Site'!I886,"NULL")</f>
        <v>60</v>
      </c>
      <c r="G886" s="30" t="n">
        <f aca="false">IF('Boletins Nuppa Site'!J886&lt;&gt;0,'Boletins Nuppa Site'!J886,"NULL")</f>
        <v>60</v>
      </c>
      <c r="H886" s="30" t="n">
        <f aca="false">IF('Boletins Nuppa Site'!K886&lt;&gt;0,'Boletins Nuppa Site'!K886,"NULL")</f>
        <v>60</v>
      </c>
      <c r="I886" s="0" t="str">
        <f aca="false">"INSERT INTO COTACAO (cot_id, cot_blt_id, cot_pap_id, cot_prc_comum, cot_prc_min, cot_prc_max, cot_prc_med, cot_prc_mediana) VALUES ("&amp;A886&amp;", "&amp;B886&amp;", "&amp;C886&amp;", "&amp;D886&amp;", "&amp;E886&amp;", "&amp;F886&amp;", "&amp;G886&amp;", "&amp;H886&amp;");"</f>
        <v>INSERT INTO COTACAO (cot_id, cot_blt_id, cot_pap_id, cot_prc_comum, cot_prc_min, cot_prc_max, cot_prc_med, cot_prc_mediana) VALUES (885, 59, 13, 60, 60, 60, 60, 60);</v>
      </c>
      <c r="J886" s="0" t="str">
        <f aca="false">"UPDATE COTACAO SET cot_id = "&amp;A886&amp;", cot_blt_id = "&amp;B886&amp;", cot_pap_id = "&amp;C886&amp;", cot_prc_comum = "&amp;D886&amp;", cot_prc_min = "&amp;E886&amp;", cot_prc_max = "&amp;F886&amp;", cot_prc_med = "&amp;G886&amp;", cot_prc_mediana = "&amp;H886&amp;" WHERE cot_id = "&amp;A886&amp;";"</f>
        <v>UPDATE COTACAO SET cot_id = 885, cot_blt_id = 59, cot_pap_id = 13, cot_prc_comum = 60, cot_prc_min = 60, cot_prc_max = 60, cot_prc_med = 60, cot_prc_mediana = 60 WHERE cot_id = 885;</v>
      </c>
    </row>
    <row r="887" customFormat="false" ht="14.25" hidden="false" customHeight="false" outlineLevel="0" collapsed="false">
      <c r="A887" s="0" t="n">
        <v>886</v>
      </c>
      <c r="B887" s="0" t="n">
        <f aca="false">IF('Boletins Nuppa Site'!A887&lt;&gt;0,'Boletins Nuppa Site'!A887,"NULL")</f>
        <v>59</v>
      </c>
      <c r="C887" s="0" t="n">
        <v>14</v>
      </c>
      <c r="D887" s="0" t="str">
        <f aca="false">IF('Boletins Nuppa Site'!G887&lt;&gt;0,'Boletins Nuppa Site'!G887,"NULL")</f>
        <v>NULL</v>
      </c>
      <c r="E887" s="30" t="n">
        <f aca="false">IF('Boletins Nuppa Site'!H887&lt;&gt;0,'Boletins Nuppa Site'!H887,"NULL")</f>
        <v>60</v>
      </c>
      <c r="F887" s="30" t="n">
        <f aca="false">IF('Boletins Nuppa Site'!I887&lt;&gt;0,'Boletins Nuppa Site'!I887,"NULL")</f>
        <v>84</v>
      </c>
      <c r="G887" s="30" t="n">
        <f aca="false">IF('Boletins Nuppa Site'!J887&lt;&gt;0,'Boletins Nuppa Site'!J887,"NULL")</f>
        <v>72</v>
      </c>
      <c r="H887" s="30" t="n">
        <f aca="false">IF('Boletins Nuppa Site'!K887&lt;&gt;0,'Boletins Nuppa Site'!K887,"NULL")</f>
        <v>72</v>
      </c>
      <c r="I887" s="0" t="str">
        <f aca="false">"INSERT INTO COTACAO (cot_id, cot_blt_id, cot_pap_id, cot_prc_comum, cot_prc_min, cot_prc_max, cot_prc_med, cot_prc_mediana) VALUES ("&amp;A887&amp;", "&amp;B887&amp;", "&amp;C887&amp;", "&amp;D887&amp;", "&amp;E887&amp;", "&amp;F887&amp;", "&amp;G887&amp;", "&amp;H887&amp;");"</f>
        <v>INSERT INTO COTACAO (cot_id, cot_blt_id, cot_pap_id, cot_prc_comum, cot_prc_min, cot_prc_max, cot_prc_med, cot_prc_mediana) VALUES (886, 59, 14, NULL, 60, 84, 72, 72);</v>
      </c>
      <c r="J887" s="0" t="str">
        <f aca="false">"UPDATE COTACAO SET cot_id = "&amp;A887&amp;", cot_blt_id = "&amp;B887&amp;", cot_pap_id = "&amp;C887&amp;", cot_prc_comum = "&amp;D887&amp;", cot_prc_min = "&amp;E887&amp;", cot_prc_max = "&amp;F887&amp;", cot_prc_med = "&amp;G887&amp;", cot_prc_mediana = "&amp;H887&amp;" WHERE cot_id = "&amp;A887&amp;";"</f>
        <v>UPDATE COTACAO SET cot_id = 886, cot_blt_id = 59, cot_pap_id = 14, cot_prc_comum = NULL, cot_prc_min = 60, cot_prc_max = 84, cot_prc_med = 72, cot_prc_mediana = 72 WHERE cot_id = 886;</v>
      </c>
    </row>
    <row r="888" customFormat="false" ht="14.25" hidden="false" customHeight="false" outlineLevel="0" collapsed="false">
      <c r="A888" s="0" t="n">
        <v>887</v>
      </c>
      <c r="B888" s="0" t="n">
        <f aca="false">IF('Boletins Nuppa Site'!A888&lt;&gt;0,'Boletins Nuppa Site'!A888,"NULL")</f>
        <v>59</v>
      </c>
      <c r="C888" s="0" t="n">
        <v>15</v>
      </c>
      <c r="D888" s="0" t="str">
        <f aca="false">IF('Boletins Nuppa Site'!G888&lt;&gt;0,'Boletins Nuppa Site'!G888,"NULL")</f>
        <v>NULL</v>
      </c>
      <c r="E888" s="30" t="n">
        <f aca="false">IF('Boletins Nuppa Site'!H888&lt;&gt;0,'Boletins Nuppa Site'!H888,"NULL")</f>
        <v>36</v>
      </c>
      <c r="F888" s="30" t="n">
        <f aca="false">IF('Boletins Nuppa Site'!I888&lt;&gt;0,'Boletins Nuppa Site'!I888,"NULL")</f>
        <v>54</v>
      </c>
      <c r="G888" s="30" t="n">
        <f aca="false">IF('Boletins Nuppa Site'!J888&lt;&gt;0,'Boletins Nuppa Site'!J888,"NULL")</f>
        <v>47</v>
      </c>
      <c r="H888" s="30" t="n">
        <f aca="false">IF('Boletins Nuppa Site'!K888&lt;&gt;0,'Boletins Nuppa Site'!K888,"NULL")</f>
        <v>49</v>
      </c>
      <c r="I888" s="0" t="str">
        <f aca="false">"INSERT INTO COTACAO (cot_id, cot_blt_id, cot_pap_id, cot_prc_comum, cot_prc_min, cot_prc_max, cot_prc_med, cot_prc_mediana) VALUES ("&amp;A888&amp;", "&amp;B888&amp;", "&amp;C888&amp;", "&amp;D888&amp;", "&amp;E888&amp;", "&amp;F888&amp;", "&amp;G888&amp;", "&amp;H888&amp;");"</f>
        <v>INSERT INTO COTACAO (cot_id, cot_blt_id, cot_pap_id, cot_prc_comum, cot_prc_min, cot_prc_max, cot_prc_med, cot_prc_mediana) VALUES (887, 59, 15, NULL, 36, 54, 47, 49);</v>
      </c>
      <c r="J888" s="0" t="str">
        <f aca="false">"UPDATE COTACAO SET cot_id = "&amp;A888&amp;", cot_blt_id = "&amp;B888&amp;", cot_pap_id = "&amp;C888&amp;", cot_prc_comum = "&amp;D888&amp;", cot_prc_min = "&amp;E888&amp;", cot_prc_max = "&amp;F888&amp;", cot_prc_med = "&amp;G888&amp;", cot_prc_mediana = "&amp;H888&amp;" WHERE cot_id = "&amp;A888&amp;";"</f>
        <v>UPDATE COTACAO SET cot_id = 887, cot_blt_id = 59, cot_pap_id = 15, cot_prc_comum = NULL, cot_prc_min = 36, cot_prc_max = 54, cot_prc_med = 47, cot_prc_mediana = 49 WHERE cot_id = 887;</v>
      </c>
    </row>
    <row r="889" customFormat="false" ht="14.25" hidden="false" customHeight="false" outlineLevel="0" collapsed="false">
      <c r="A889" s="0" t="n">
        <v>888</v>
      </c>
      <c r="B889" s="0" t="n">
        <f aca="false">IF('Boletins Nuppa Site'!A889&lt;&gt;0,'Boletins Nuppa Site'!A889,"NULL")</f>
        <v>59</v>
      </c>
      <c r="C889" s="0" t="n">
        <v>16</v>
      </c>
      <c r="D889" s="30" t="n">
        <f aca="false">IF('Boletins Nuppa Site'!G889&lt;&gt;0,'Boletins Nuppa Site'!G889,"NULL")</f>
        <v>54</v>
      </c>
      <c r="E889" s="30" t="n">
        <f aca="false">IF('Boletins Nuppa Site'!H889&lt;&gt;0,'Boletins Nuppa Site'!H889,"NULL")</f>
        <v>48</v>
      </c>
      <c r="F889" s="30" t="n">
        <f aca="false">IF('Boletins Nuppa Site'!I889&lt;&gt;0,'Boletins Nuppa Site'!I889,"NULL")</f>
        <v>60</v>
      </c>
      <c r="G889" s="30" t="n">
        <f aca="false">IF('Boletins Nuppa Site'!J889&lt;&gt;0,'Boletins Nuppa Site'!J889,"NULL")</f>
        <v>54</v>
      </c>
      <c r="H889" s="30" t="n">
        <f aca="false">IF('Boletins Nuppa Site'!K889&lt;&gt;0,'Boletins Nuppa Site'!K889,"NULL")</f>
        <v>54</v>
      </c>
      <c r="I889" s="0" t="str">
        <f aca="false">"INSERT INTO COTACAO (cot_id, cot_blt_id, cot_pap_id, cot_prc_comum, cot_prc_min, cot_prc_max, cot_prc_med, cot_prc_mediana) VALUES ("&amp;A889&amp;", "&amp;B889&amp;", "&amp;C889&amp;", "&amp;D889&amp;", "&amp;E889&amp;", "&amp;F889&amp;", "&amp;G889&amp;", "&amp;H889&amp;");"</f>
        <v>INSERT INTO COTACAO (cot_id, cot_blt_id, cot_pap_id, cot_prc_comum, cot_prc_min, cot_prc_max, cot_prc_med, cot_prc_mediana) VALUES (888, 59, 16, 54, 48, 60, 54, 54);</v>
      </c>
      <c r="J889" s="0" t="str">
        <f aca="false">"UPDATE COTACAO SET cot_id = "&amp;A889&amp;", cot_blt_id = "&amp;B889&amp;", cot_pap_id = "&amp;C889&amp;", cot_prc_comum = "&amp;D889&amp;", cot_prc_min = "&amp;E889&amp;", cot_prc_max = "&amp;F889&amp;", cot_prc_med = "&amp;G889&amp;", cot_prc_mediana = "&amp;H889&amp;" WHERE cot_id = "&amp;A889&amp;";"</f>
        <v>UPDATE COTACAO SET cot_id = 888, cot_blt_id = 59, cot_pap_id = 16, cot_prc_comum = 54, cot_prc_min = 48, cot_prc_max = 60, cot_prc_med = 54, cot_prc_mediana = 54 WHERE cot_id = 888;</v>
      </c>
    </row>
    <row r="890" customFormat="false" ht="14.25" hidden="false" customHeight="false" outlineLevel="0" collapsed="false">
      <c r="A890" s="0" t="n">
        <v>889</v>
      </c>
      <c r="B890" s="0" t="n">
        <f aca="false">IF('Boletins Nuppa Site'!A890&lt;&gt;0,'Boletins Nuppa Site'!A890,"NULL")</f>
        <v>59</v>
      </c>
      <c r="C890" s="0" t="n">
        <v>17</v>
      </c>
      <c r="D890" s="30" t="n">
        <f aca="false">IF('Boletins Nuppa Site'!G890&lt;&gt;0,'Boletins Nuppa Site'!G890,"NULL")</f>
        <v>5</v>
      </c>
      <c r="E890" s="30" t="n">
        <f aca="false">IF('Boletins Nuppa Site'!H890&lt;&gt;0,'Boletins Nuppa Site'!H890,"NULL")</f>
        <v>5</v>
      </c>
      <c r="F890" s="30" t="n">
        <f aca="false">IF('Boletins Nuppa Site'!I890&lt;&gt;0,'Boletins Nuppa Site'!I890,"NULL")</f>
        <v>5</v>
      </c>
      <c r="G890" s="30" t="n">
        <f aca="false">IF('Boletins Nuppa Site'!J890&lt;&gt;0,'Boletins Nuppa Site'!J890,"NULL")</f>
        <v>5</v>
      </c>
      <c r="H890" s="30" t="n">
        <f aca="false">IF('Boletins Nuppa Site'!K890&lt;&gt;0,'Boletins Nuppa Site'!K890,"NULL")</f>
        <v>5</v>
      </c>
      <c r="I890" s="0" t="str">
        <f aca="false">"INSERT INTO COTACAO (cot_id, cot_blt_id, cot_pap_id, cot_prc_comum, cot_prc_min, cot_prc_max, cot_prc_med, cot_prc_mediana) VALUES ("&amp;A890&amp;", "&amp;B890&amp;", "&amp;C890&amp;", "&amp;D890&amp;", "&amp;E890&amp;", "&amp;F890&amp;", "&amp;G890&amp;", "&amp;H890&amp;");"</f>
        <v>INSERT INTO COTACAO (cot_id, cot_blt_id, cot_pap_id, cot_prc_comum, cot_prc_min, cot_prc_max, cot_prc_med, cot_prc_mediana) VALUES (889, 59, 17, 5, 5, 5, 5, 5);</v>
      </c>
      <c r="J890" s="0" t="str">
        <f aca="false">"UPDATE COTACAO SET cot_id = "&amp;A890&amp;", cot_blt_id = "&amp;B890&amp;", cot_pap_id = "&amp;C890&amp;", cot_prc_comum = "&amp;D890&amp;", cot_prc_min = "&amp;E890&amp;", cot_prc_max = "&amp;F890&amp;", cot_prc_med = "&amp;G890&amp;", cot_prc_mediana = "&amp;H890&amp;" WHERE cot_id = "&amp;A890&amp;";"</f>
        <v>UPDATE COTACAO SET cot_id = 889, cot_blt_id = 59, cot_pap_id = 17, cot_prc_comum = 5, cot_prc_min = 5, cot_prc_max = 5, cot_prc_med = 5, cot_prc_mediana = 5 WHERE cot_id = 889;</v>
      </c>
    </row>
    <row r="891" customFormat="false" ht="14.25" hidden="false" customHeight="false" outlineLevel="0" collapsed="false">
      <c r="A891" s="0" t="n">
        <v>890</v>
      </c>
      <c r="B891" s="0" t="n">
        <f aca="false">IF('Boletins Nuppa Site'!A891&lt;&gt;0,'Boletins Nuppa Site'!A891,"NULL")</f>
        <v>59</v>
      </c>
      <c r="C891" s="0" t="n">
        <v>18</v>
      </c>
      <c r="D891" s="30" t="n">
        <f aca="false">IF('Boletins Nuppa Site'!G891&lt;&gt;0,'Boletins Nuppa Site'!G891,"NULL")</f>
        <v>18</v>
      </c>
      <c r="E891" s="30" t="n">
        <f aca="false">IF('Boletins Nuppa Site'!H891&lt;&gt;0,'Boletins Nuppa Site'!H891,"NULL")</f>
        <v>15</v>
      </c>
      <c r="F891" s="30" t="n">
        <f aca="false">IF('Boletins Nuppa Site'!I891&lt;&gt;0,'Boletins Nuppa Site'!I891,"NULL")</f>
        <v>18</v>
      </c>
      <c r="G891" s="0" t="str">
        <f aca="false">IF('Boletins Nuppa Site'!J891&lt;&gt;0,'Boletins Nuppa Site'!J891,"NULL")</f>
        <v>17.25</v>
      </c>
      <c r="H891" s="30" t="n">
        <f aca="false">IF('Boletins Nuppa Site'!K891&lt;&gt;0,'Boletins Nuppa Site'!K891,"NULL")</f>
        <v>18</v>
      </c>
      <c r="I891" s="0" t="str">
        <f aca="false">"INSERT INTO COTACAO (cot_id, cot_blt_id, cot_pap_id, cot_prc_comum, cot_prc_min, cot_prc_max, cot_prc_med, cot_prc_mediana) VALUES ("&amp;A891&amp;", "&amp;B891&amp;", "&amp;C891&amp;", "&amp;D891&amp;", "&amp;E891&amp;", "&amp;F891&amp;", "&amp;G891&amp;", "&amp;H891&amp;");"</f>
        <v>INSERT INTO COTACAO (cot_id, cot_blt_id, cot_pap_id, cot_prc_comum, cot_prc_min, cot_prc_max, cot_prc_med, cot_prc_mediana) VALUES (890, 59, 18, 18, 15, 18, 17.25, 18);</v>
      </c>
      <c r="J891" s="0" t="str">
        <f aca="false">"UPDATE COTACAO SET cot_id = "&amp;A891&amp;", cot_blt_id = "&amp;B891&amp;", cot_pap_id = "&amp;C891&amp;", cot_prc_comum = "&amp;D891&amp;", cot_prc_min = "&amp;E891&amp;", cot_prc_max = "&amp;F891&amp;", cot_prc_med = "&amp;G891&amp;", cot_prc_mediana = "&amp;H891&amp;" WHERE cot_id = "&amp;A891&amp;";"</f>
        <v>UPDATE COTACAO SET cot_id = 890, cot_blt_id = 59, cot_pap_id = 18, cot_prc_comum = 18, cot_prc_min = 15, cot_prc_max = 18, cot_prc_med = 17.25, cot_prc_mediana = 18 WHERE cot_id = 890;</v>
      </c>
    </row>
    <row r="892" customFormat="false" ht="14.25" hidden="false" customHeight="false" outlineLevel="0" collapsed="false">
      <c r="A892" s="0" t="n">
        <v>891</v>
      </c>
      <c r="B892" s="0" t="n">
        <f aca="false">IF('Boletins Nuppa Site'!A892&lt;&gt;0,'Boletins Nuppa Site'!A892,"NULL")</f>
        <v>59</v>
      </c>
      <c r="C892" s="0" t="n">
        <v>19</v>
      </c>
      <c r="D892" s="30" t="n">
        <f aca="false">IF('Boletins Nuppa Site'!G892&lt;&gt;0,'Boletins Nuppa Site'!G892,"NULL")</f>
        <v>25</v>
      </c>
      <c r="E892" s="30" t="n">
        <f aca="false">IF('Boletins Nuppa Site'!H892&lt;&gt;0,'Boletins Nuppa Site'!H892,"NULL")</f>
        <v>25</v>
      </c>
      <c r="F892" s="30" t="n">
        <f aca="false">IF('Boletins Nuppa Site'!I892&lt;&gt;0,'Boletins Nuppa Site'!I892,"NULL")</f>
        <v>30</v>
      </c>
      <c r="G892" s="0" t="str">
        <f aca="false">IF('Boletins Nuppa Site'!J892&lt;&gt;0,'Boletins Nuppa Site'!J892,"NULL")</f>
        <v>26.25</v>
      </c>
      <c r="H892" s="30" t="n">
        <f aca="false">IF('Boletins Nuppa Site'!K892&lt;&gt;0,'Boletins Nuppa Site'!K892,"NULL")</f>
        <v>25</v>
      </c>
      <c r="I892" s="0" t="str">
        <f aca="false">"INSERT INTO COTACAO (cot_id, cot_blt_id, cot_pap_id, cot_prc_comum, cot_prc_min, cot_prc_max, cot_prc_med, cot_prc_mediana) VALUES ("&amp;A892&amp;", "&amp;B892&amp;", "&amp;C892&amp;", "&amp;D892&amp;", "&amp;E892&amp;", "&amp;F892&amp;", "&amp;G892&amp;", "&amp;H892&amp;");"</f>
        <v>INSERT INTO COTACAO (cot_id, cot_blt_id, cot_pap_id, cot_prc_comum, cot_prc_min, cot_prc_max, cot_prc_med, cot_prc_mediana) VALUES (891, 59, 19, 25, 25, 30, 26.25, 25);</v>
      </c>
      <c r="J892" s="0" t="str">
        <f aca="false">"UPDATE COTACAO SET cot_id = "&amp;A892&amp;", cot_blt_id = "&amp;B892&amp;", cot_pap_id = "&amp;C892&amp;", cot_prc_comum = "&amp;D892&amp;", cot_prc_min = "&amp;E892&amp;", cot_prc_max = "&amp;F892&amp;", cot_prc_med = "&amp;G892&amp;", cot_prc_mediana = "&amp;H892&amp;" WHERE cot_id = "&amp;A892&amp;";"</f>
        <v>UPDATE COTACAO SET cot_id = 891, cot_blt_id = 59, cot_pap_id = 19, cot_prc_comum = 25, cot_prc_min = 25, cot_prc_max = 30, cot_prc_med = 26.25, cot_prc_mediana = 25 WHERE cot_id = 891;</v>
      </c>
    </row>
    <row r="893" customFormat="false" ht="14.25" hidden="false" customHeight="false" outlineLevel="0" collapsed="false">
      <c r="A893" s="0" t="n">
        <v>892</v>
      </c>
      <c r="B893" s="0" t="n">
        <f aca="false">IF('Boletins Nuppa Site'!A893&lt;&gt;0,'Boletins Nuppa Site'!A893,"NULL")</f>
        <v>59</v>
      </c>
      <c r="C893" s="0" t="n">
        <v>20</v>
      </c>
      <c r="D893" s="0" t="str">
        <f aca="false">IF('Boletins Nuppa Site'!G893&lt;&gt;0,'Boletins Nuppa Site'!G893,"NULL")</f>
        <v>NULL</v>
      </c>
      <c r="E893" s="30" t="n">
        <f aca="false">IF('Boletins Nuppa Site'!H893&lt;&gt;0,'Boletins Nuppa Site'!H893,"NULL")</f>
        <v>80</v>
      </c>
      <c r="F893" s="30" t="n">
        <f aca="false">IF('Boletins Nuppa Site'!I893&lt;&gt;0,'Boletins Nuppa Site'!I893,"NULL")</f>
        <v>90</v>
      </c>
      <c r="G893" s="30" t="n">
        <f aca="false">IF('Boletins Nuppa Site'!J893&lt;&gt;0,'Boletins Nuppa Site'!J893,"NULL")</f>
        <v>85</v>
      </c>
      <c r="H893" s="30" t="n">
        <f aca="false">IF('Boletins Nuppa Site'!K893&lt;&gt;0,'Boletins Nuppa Site'!K893,"NULL")</f>
        <v>85</v>
      </c>
      <c r="I893" s="0" t="str">
        <f aca="false">"INSERT INTO COTACAO (cot_id, cot_blt_id, cot_pap_id, cot_prc_comum, cot_prc_min, cot_prc_max, cot_prc_med, cot_prc_mediana) VALUES ("&amp;A893&amp;", "&amp;B893&amp;", "&amp;C893&amp;", "&amp;D893&amp;", "&amp;E893&amp;", "&amp;F893&amp;", "&amp;G893&amp;", "&amp;H893&amp;");"</f>
        <v>INSERT INTO COTACAO (cot_id, cot_blt_id, cot_pap_id, cot_prc_comum, cot_prc_min, cot_prc_max, cot_prc_med, cot_prc_mediana) VALUES (892, 59, 20, NULL, 80, 90, 85, 85);</v>
      </c>
      <c r="J893" s="0" t="str">
        <f aca="false">"UPDATE COTACAO SET cot_id = "&amp;A893&amp;", cot_blt_id = "&amp;B893&amp;", cot_pap_id = "&amp;C893&amp;", cot_prc_comum = "&amp;D893&amp;", cot_prc_min = "&amp;E893&amp;", cot_prc_max = "&amp;F893&amp;", cot_prc_med = "&amp;G893&amp;", cot_prc_mediana = "&amp;H893&amp;" WHERE cot_id = "&amp;A893&amp;";"</f>
        <v>UPDATE COTACAO SET cot_id = 892, cot_blt_id = 59, cot_pap_id = 20, cot_prc_comum = NULL, cot_prc_min = 80, cot_prc_max = 90, cot_prc_med = 85, cot_prc_mediana = 85 WHERE cot_id = 892;</v>
      </c>
    </row>
    <row r="894" customFormat="false" ht="14.25" hidden="false" customHeight="false" outlineLevel="0" collapsed="false">
      <c r="A894" s="0" t="n">
        <v>893</v>
      </c>
      <c r="B894" s="0" t="n">
        <f aca="false">IF('Boletins Nuppa Site'!A894&lt;&gt;0,'Boletins Nuppa Site'!A894,"NULL")</f>
        <v>59</v>
      </c>
      <c r="C894" s="0" t="n">
        <v>21</v>
      </c>
      <c r="D894" s="30" t="n">
        <f aca="false">IF('Boletins Nuppa Site'!G894&lt;&gt;0,'Boletins Nuppa Site'!G894,"NULL")</f>
        <v>50</v>
      </c>
      <c r="E894" s="30" t="n">
        <f aca="false">IF('Boletins Nuppa Site'!H894&lt;&gt;0,'Boletins Nuppa Site'!H894,"NULL")</f>
        <v>40</v>
      </c>
      <c r="F894" s="30" t="n">
        <f aca="false">IF('Boletins Nuppa Site'!I894&lt;&gt;0,'Boletins Nuppa Site'!I894,"NULL")</f>
        <v>55</v>
      </c>
      <c r="G894" s="0" t="str">
        <f aca="false">IF('Boletins Nuppa Site'!J894&lt;&gt;0,'Boletins Nuppa Site'!J894,"NULL")</f>
        <v>48.75</v>
      </c>
      <c r="H894" s="30" t="n">
        <f aca="false">IF('Boletins Nuppa Site'!K894&lt;&gt;0,'Boletins Nuppa Site'!K894,"NULL")</f>
        <v>50</v>
      </c>
      <c r="I894" s="0" t="str">
        <f aca="false">"INSERT INTO COTACAO (cot_id, cot_blt_id, cot_pap_id, cot_prc_comum, cot_prc_min, cot_prc_max, cot_prc_med, cot_prc_mediana) VALUES ("&amp;A894&amp;", "&amp;B894&amp;", "&amp;C894&amp;", "&amp;D894&amp;", "&amp;E894&amp;", "&amp;F894&amp;", "&amp;G894&amp;", "&amp;H894&amp;");"</f>
        <v>INSERT INTO COTACAO (cot_id, cot_blt_id, cot_pap_id, cot_prc_comum, cot_prc_min, cot_prc_max, cot_prc_med, cot_prc_mediana) VALUES (893, 59, 21, 50, 40, 55, 48.75, 50);</v>
      </c>
      <c r="J894" s="0" t="str">
        <f aca="false">"UPDATE COTACAO SET cot_id = "&amp;A894&amp;", cot_blt_id = "&amp;B894&amp;", cot_pap_id = "&amp;C894&amp;", cot_prc_comum = "&amp;D894&amp;", cot_prc_min = "&amp;E894&amp;", cot_prc_max = "&amp;F894&amp;", cot_prc_med = "&amp;G894&amp;", cot_prc_mediana = "&amp;H894&amp;" WHERE cot_id = "&amp;A894&amp;";"</f>
        <v>UPDATE COTACAO SET cot_id = 893, cot_blt_id = 59, cot_pap_id = 21, cot_prc_comum = 50, cot_prc_min = 40, cot_prc_max = 55, cot_prc_med = 48.75, cot_prc_mediana = 50 WHERE cot_id = 893;</v>
      </c>
    </row>
    <row r="895" customFormat="false" ht="14.25" hidden="false" customHeight="false" outlineLevel="0" collapsed="false">
      <c r="A895" s="0" t="n">
        <v>894</v>
      </c>
      <c r="B895" s="0" t="n">
        <f aca="false">IF('Boletins Nuppa Site'!A895&lt;&gt;0,'Boletins Nuppa Site'!A895,"NULL")</f>
        <v>59</v>
      </c>
      <c r="C895" s="0" t="n">
        <v>22</v>
      </c>
      <c r="D895" s="0" t="str">
        <f aca="false">IF('Boletins Nuppa Site'!G895&lt;&gt;0,'Boletins Nuppa Site'!G895,"NULL")</f>
        <v>NULL</v>
      </c>
      <c r="E895" s="30" t="n">
        <f aca="false">IF('Boletins Nuppa Site'!H895&lt;&gt;0,'Boletins Nuppa Site'!H895,"NULL")</f>
        <v>45</v>
      </c>
      <c r="F895" s="30" t="n">
        <f aca="false">IF('Boletins Nuppa Site'!I895&lt;&gt;0,'Boletins Nuppa Site'!I895,"NULL")</f>
        <v>70</v>
      </c>
      <c r="G895" s="30" t="n">
        <f aca="false">IF('Boletins Nuppa Site'!J895&lt;&gt;0,'Boletins Nuppa Site'!J895,"NULL")</f>
        <v>58</v>
      </c>
      <c r="H895" s="30" t="n">
        <f aca="false">IF('Boletins Nuppa Site'!K895&lt;&gt;0,'Boletins Nuppa Site'!K895,"NULL")</f>
        <v>60</v>
      </c>
      <c r="I895" s="0" t="str">
        <f aca="false">"INSERT INTO COTACAO (cot_id, cot_blt_id, cot_pap_id, cot_prc_comum, cot_prc_min, cot_prc_max, cot_prc_med, cot_prc_mediana) VALUES ("&amp;A895&amp;", "&amp;B895&amp;", "&amp;C895&amp;", "&amp;D895&amp;", "&amp;E895&amp;", "&amp;F895&amp;", "&amp;G895&amp;", "&amp;H895&amp;");"</f>
        <v>INSERT INTO COTACAO (cot_id, cot_blt_id, cot_pap_id, cot_prc_comum, cot_prc_min, cot_prc_max, cot_prc_med, cot_prc_mediana) VALUES (894, 59, 22, NULL, 45, 70, 58, 60);</v>
      </c>
      <c r="J895" s="0" t="str">
        <f aca="false">"UPDATE COTACAO SET cot_id = "&amp;A895&amp;", cot_blt_id = "&amp;B895&amp;", cot_pap_id = "&amp;C895&amp;", cot_prc_comum = "&amp;D895&amp;", cot_prc_min = "&amp;E895&amp;", cot_prc_max = "&amp;F895&amp;", cot_prc_med = "&amp;G895&amp;", cot_prc_mediana = "&amp;H895&amp;" WHERE cot_id = "&amp;A895&amp;";"</f>
        <v>UPDATE COTACAO SET cot_id = 894, cot_blt_id = 59, cot_pap_id = 22, cot_prc_comum = NULL, cot_prc_min = 45, cot_prc_max = 70, cot_prc_med = 58, cot_prc_mediana = 60 WHERE cot_id = 894;</v>
      </c>
    </row>
    <row r="896" customFormat="false" ht="14.25" hidden="false" customHeight="false" outlineLevel="0" collapsed="false">
      <c r="A896" s="0" t="n">
        <v>895</v>
      </c>
      <c r="B896" s="0" t="n">
        <f aca="false">IF('Boletins Nuppa Site'!A896&lt;&gt;0,'Boletins Nuppa Site'!A896,"NULL")</f>
        <v>59</v>
      </c>
      <c r="C896" s="0" t="n">
        <v>23</v>
      </c>
      <c r="D896" s="30" t="n">
        <f aca="false">IF('Boletins Nuppa Site'!G896&lt;&gt;0,'Boletins Nuppa Site'!G896,"NULL")</f>
        <v>40</v>
      </c>
      <c r="E896" s="30" t="n">
        <f aca="false">IF('Boletins Nuppa Site'!H896&lt;&gt;0,'Boletins Nuppa Site'!H896,"NULL")</f>
        <v>40</v>
      </c>
      <c r="F896" s="30" t="n">
        <f aca="false">IF('Boletins Nuppa Site'!I896&lt;&gt;0,'Boletins Nuppa Site'!I896,"NULL")</f>
        <v>48</v>
      </c>
      <c r="G896" s="30" t="n">
        <f aca="false">IF('Boletins Nuppa Site'!J896&lt;&gt;0,'Boletins Nuppa Site'!J896,"NULL")</f>
        <v>42</v>
      </c>
      <c r="H896" s="30" t="n">
        <f aca="false">IF('Boletins Nuppa Site'!K896&lt;&gt;0,'Boletins Nuppa Site'!K896,"NULL")</f>
        <v>40</v>
      </c>
      <c r="I896" s="0" t="str">
        <f aca="false">"INSERT INTO COTACAO (cot_id, cot_blt_id, cot_pap_id, cot_prc_comum, cot_prc_min, cot_prc_max, cot_prc_med, cot_prc_mediana) VALUES ("&amp;A896&amp;", "&amp;B896&amp;", "&amp;C896&amp;", "&amp;D896&amp;", "&amp;E896&amp;", "&amp;F896&amp;", "&amp;G896&amp;", "&amp;H896&amp;");"</f>
        <v>INSERT INTO COTACAO (cot_id, cot_blt_id, cot_pap_id, cot_prc_comum, cot_prc_min, cot_prc_max, cot_prc_med, cot_prc_mediana) VALUES (895, 59, 23, 40, 40, 48, 42, 40);</v>
      </c>
      <c r="J896" s="0" t="str">
        <f aca="false">"UPDATE COTACAO SET cot_id = "&amp;A896&amp;", cot_blt_id = "&amp;B896&amp;", cot_pap_id = "&amp;C896&amp;", cot_prc_comum = "&amp;D896&amp;", cot_prc_min = "&amp;E896&amp;", cot_prc_max = "&amp;F896&amp;", cot_prc_med = "&amp;G896&amp;", cot_prc_mediana = "&amp;H896&amp;" WHERE cot_id = "&amp;A896&amp;";"</f>
        <v>UPDATE COTACAO SET cot_id = 895, cot_blt_id = 59, cot_pap_id = 23, cot_prc_comum = 40, cot_prc_min = 40, cot_prc_max = 48, cot_prc_med = 42, cot_prc_mediana = 40 WHERE cot_id = 895;</v>
      </c>
    </row>
    <row r="897" customFormat="false" ht="14.25" hidden="false" customHeight="false" outlineLevel="0" collapsed="false">
      <c r="A897" s="0" t="n">
        <v>896</v>
      </c>
      <c r="B897" s="0" t="n">
        <f aca="false">IF('Boletins Nuppa Site'!A897&lt;&gt;0,'Boletins Nuppa Site'!A897,"NULL")</f>
        <v>59</v>
      </c>
      <c r="C897" s="0" t="n">
        <v>24</v>
      </c>
      <c r="D897" s="0" t="str">
        <f aca="false">IF('Boletins Nuppa Site'!G897&lt;&gt;0,'Boletins Nuppa Site'!G897,"NULL")</f>
        <v>NULL</v>
      </c>
      <c r="E897" s="30" t="n">
        <f aca="false">IF('Boletins Nuppa Site'!H897&lt;&gt;0,'Boletins Nuppa Site'!H897,"NULL")</f>
        <v>100</v>
      </c>
      <c r="F897" s="30" t="n">
        <f aca="false">IF('Boletins Nuppa Site'!I897&lt;&gt;0,'Boletins Nuppa Site'!I897,"NULL")</f>
        <v>100</v>
      </c>
      <c r="G897" s="30" t="n">
        <f aca="false">IF('Boletins Nuppa Site'!J897&lt;&gt;0,'Boletins Nuppa Site'!J897,"NULL")</f>
        <v>100</v>
      </c>
      <c r="H897" s="30" t="n">
        <f aca="false">IF('Boletins Nuppa Site'!K897&lt;&gt;0,'Boletins Nuppa Site'!K897,"NULL")</f>
        <v>100</v>
      </c>
      <c r="I897" s="0" t="str">
        <f aca="false">"INSERT INTO COTACAO (cot_id, cot_blt_id, cot_pap_id, cot_prc_comum, cot_prc_min, cot_prc_max, cot_prc_med, cot_prc_mediana) VALUES ("&amp;A897&amp;", "&amp;B897&amp;", "&amp;C897&amp;", "&amp;D897&amp;", "&amp;E897&amp;", "&amp;F897&amp;", "&amp;G897&amp;", "&amp;H897&amp;");"</f>
        <v>INSERT INTO COTACAO (cot_id, cot_blt_id, cot_pap_id, cot_prc_comum, cot_prc_min, cot_prc_max, cot_prc_med, cot_prc_mediana) VALUES (896, 59, 24, NULL, 100, 100, 100, 100);</v>
      </c>
      <c r="J897" s="0" t="str">
        <f aca="false">"UPDATE COTACAO SET cot_id = "&amp;A897&amp;", cot_blt_id = "&amp;B897&amp;", cot_pap_id = "&amp;C897&amp;", cot_prc_comum = "&amp;D897&amp;", cot_prc_min = "&amp;E897&amp;", cot_prc_max = "&amp;F897&amp;", cot_prc_med = "&amp;G897&amp;", cot_prc_mediana = "&amp;H897&amp;" WHERE cot_id = "&amp;A897&amp;";"</f>
        <v>UPDATE COTACAO SET cot_id = 896, cot_blt_id = 59, cot_pap_id = 24, cot_prc_comum = NULL, cot_prc_min = 100, cot_prc_max = 100, cot_prc_med = 100, cot_prc_mediana = 100 WHERE cot_id = 896;</v>
      </c>
    </row>
    <row r="898" customFormat="false" ht="14.25" hidden="false" customHeight="false" outlineLevel="0" collapsed="false">
      <c r="A898" s="0" t="n">
        <v>897</v>
      </c>
      <c r="B898" s="0" t="n">
        <f aca="false">IF('Boletins Nuppa Site'!A898&lt;&gt;0,'Boletins Nuppa Site'!A898,"NULL")</f>
        <v>59</v>
      </c>
      <c r="C898" s="0" t="n">
        <v>25</v>
      </c>
      <c r="D898" s="0" t="str">
        <f aca="false">IF('Boletins Nuppa Site'!G898&lt;&gt;0,'Boletins Nuppa Site'!G898,"NULL")</f>
        <v>NULL</v>
      </c>
      <c r="E898" s="30" t="n">
        <f aca="false">IF('Boletins Nuppa Site'!H898&lt;&gt;0,'Boletins Nuppa Site'!H898,"NULL")</f>
        <v>75</v>
      </c>
      <c r="F898" s="30" t="n">
        <f aca="false">IF('Boletins Nuppa Site'!I898&lt;&gt;0,'Boletins Nuppa Site'!I898,"NULL")</f>
        <v>100</v>
      </c>
      <c r="G898" s="30" t="n">
        <f aca="false">IF('Boletins Nuppa Site'!J898&lt;&gt;0,'Boletins Nuppa Site'!J898,"NULL")</f>
        <v>86</v>
      </c>
      <c r="H898" s="30" t="n">
        <f aca="false">IF('Boletins Nuppa Site'!K898&lt;&gt;0,'Boletins Nuppa Site'!K898,"NULL")</f>
        <v>85</v>
      </c>
      <c r="I898" s="0" t="str">
        <f aca="false">"INSERT INTO COTACAO (cot_id, cot_blt_id, cot_pap_id, cot_prc_comum, cot_prc_min, cot_prc_max, cot_prc_med, cot_prc_mediana) VALUES ("&amp;A898&amp;", "&amp;B898&amp;", "&amp;C898&amp;", "&amp;D898&amp;", "&amp;E898&amp;", "&amp;F898&amp;", "&amp;G898&amp;", "&amp;H898&amp;");"</f>
        <v>INSERT INTO COTACAO (cot_id, cot_blt_id, cot_pap_id, cot_prc_comum, cot_prc_min, cot_prc_max, cot_prc_med, cot_prc_mediana) VALUES (897, 59, 25, NULL, 75, 100, 86, 85);</v>
      </c>
      <c r="J898" s="0" t="str">
        <f aca="false">"UPDATE COTACAO SET cot_id = "&amp;A898&amp;", cot_blt_id = "&amp;B898&amp;", cot_pap_id = "&amp;C898&amp;", cot_prc_comum = "&amp;D898&amp;", cot_prc_min = "&amp;E898&amp;", cot_prc_max = "&amp;F898&amp;", cot_prc_med = "&amp;G898&amp;", cot_prc_mediana = "&amp;H898&amp;" WHERE cot_id = "&amp;A898&amp;";"</f>
        <v>UPDATE COTACAO SET cot_id = 897, cot_blt_id = 59, cot_pap_id = 25, cot_prc_comum = NULL, cot_prc_min = 75, cot_prc_max = 100, cot_prc_med = 86, cot_prc_mediana = 85 WHERE cot_id = 897;</v>
      </c>
    </row>
    <row r="899" customFormat="false" ht="14.25" hidden="false" customHeight="false" outlineLevel="0" collapsed="false">
      <c r="A899" s="0" t="n">
        <v>898</v>
      </c>
      <c r="B899" s="0" t="n">
        <f aca="false">IF('Boletins Nuppa Site'!A899&lt;&gt;0,'Boletins Nuppa Site'!A899,"NULL")</f>
        <v>59</v>
      </c>
      <c r="C899" s="0" t="n">
        <v>26</v>
      </c>
      <c r="D899" s="30" t="n">
        <f aca="false">IF('Boletins Nuppa Site'!G899&lt;&gt;0,'Boletins Nuppa Site'!G899,"NULL")</f>
        <v>65</v>
      </c>
      <c r="E899" s="30" t="n">
        <f aca="false">IF('Boletins Nuppa Site'!H899&lt;&gt;0,'Boletins Nuppa Site'!H899,"NULL")</f>
        <v>65</v>
      </c>
      <c r="F899" s="30" t="n">
        <f aca="false">IF('Boletins Nuppa Site'!I899&lt;&gt;0,'Boletins Nuppa Site'!I899,"NULL")</f>
        <v>80</v>
      </c>
      <c r="G899" s="0" t="str">
        <f aca="false">IF('Boletins Nuppa Site'!J899&lt;&gt;0,'Boletins Nuppa Site'!J899,"NULL")</f>
        <v>71.25</v>
      </c>
      <c r="H899" s="30" t="n">
        <f aca="false">IF('Boletins Nuppa Site'!K899&lt;&gt;0,'Boletins Nuppa Site'!K899,"NULL")</f>
        <v>70</v>
      </c>
      <c r="I899" s="0" t="str">
        <f aca="false">"INSERT INTO COTACAO (cot_id, cot_blt_id, cot_pap_id, cot_prc_comum, cot_prc_min, cot_prc_max, cot_prc_med, cot_prc_mediana) VALUES ("&amp;A899&amp;", "&amp;B899&amp;", "&amp;C899&amp;", "&amp;D899&amp;", "&amp;E899&amp;", "&amp;F899&amp;", "&amp;G899&amp;", "&amp;H899&amp;");"</f>
        <v>INSERT INTO COTACAO (cot_id, cot_blt_id, cot_pap_id, cot_prc_comum, cot_prc_min, cot_prc_max, cot_prc_med, cot_prc_mediana) VALUES (898, 59, 26, 65, 65, 80, 71.25, 70);</v>
      </c>
      <c r="J899" s="0" t="str">
        <f aca="false">"UPDATE COTACAO SET cot_id = "&amp;A899&amp;", cot_blt_id = "&amp;B899&amp;", cot_pap_id = "&amp;C899&amp;", cot_prc_comum = "&amp;D899&amp;", cot_prc_min = "&amp;E899&amp;", cot_prc_max = "&amp;F899&amp;", cot_prc_med = "&amp;G899&amp;", cot_prc_mediana = "&amp;H899&amp;" WHERE cot_id = "&amp;A899&amp;";"</f>
        <v>UPDATE COTACAO SET cot_id = 898, cot_blt_id = 59, cot_pap_id = 26, cot_prc_comum = 65, cot_prc_min = 65, cot_prc_max = 80, cot_prc_med = 71.25, cot_prc_mediana = 70 WHERE cot_id = 898;</v>
      </c>
    </row>
    <row r="900" customFormat="false" ht="14.25" hidden="false" customHeight="false" outlineLevel="0" collapsed="false">
      <c r="A900" s="0" t="n">
        <v>899</v>
      </c>
      <c r="B900" s="0" t="n">
        <f aca="false">IF('Boletins Nuppa Site'!A900&lt;&gt;0,'Boletins Nuppa Site'!A900,"NULL")</f>
        <v>59</v>
      </c>
      <c r="C900" s="0" t="n">
        <v>27</v>
      </c>
      <c r="D900" s="0" t="str">
        <f aca="false">IF('Boletins Nuppa Site'!G900&lt;&gt;0,'Boletins Nuppa Site'!G900,"NULL")</f>
        <v>NULL</v>
      </c>
      <c r="E900" s="30" t="n">
        <f aca="false">IF('Boletins Nuppa Site'!H900&lt;&gt;0,'Boletins Nuppa Site'!H900,"NULL")</f>
        <v>50</v>
      </c>
      <c r="F900" s="30" t="n">
        <f aca="false">IF('Boletins Nuppa Site'!I900&lt;&gt;0,'Boletins Nuppa Site'!I900,"NULL")</f>
        <v>70</v>
      </c>
      <c r="G900" s="0" t="str">
        <f aca="false">IF('Boletins Nuppa Site'!J900&lt;&gt;0,'Boletins Nuppa Site'!J900,"NULL")</f>
        <v>61.25</v>
      </c>
      <c r="H900" s="0" t="str">
        <f aca="false">IF('Boletins Nuppa Site'!K900&lt;&gt;0,'Boletins Nuppa Site'!K900,"NULL")</f>
        <v>62.5</v>
      </c>
      <c r="I900" s="0" t="str">
        <f aca="false">"INSERT INTO COTACAO (cot_id, cot_blt_id, cot_pap_id, cot_prc_comum, cot_prc_min, cot_prc_max, cot_prc_med, cot_prc_mediana) VALUES ("&amp;A900&amp;", "&amp;B900&amp;", "&amp;C900&amp;", "&amp;D900&amp;", "&amp;E900&amp;", "&amp;F900&amp;", "&amp;G900&amp;", "&amp;H900&amp;");"</f>
        <v>INSERT INTO COTACAO (cot_id, cot_blt_id, cot_pap_id, cot_prc_comum, cot_prc_min, cot_prc_max, cot_prc_med, cot_prc_mediana) VALUES (899, 59, 27, NULL, 50, 70, 61.25, 62.5);</v>
      </c>
      <c r="J900" s="0" t="str">
        <f aca="false">"UPDATE COTACAO SET cot_id = "&amp;A900&amp;", cot_blt_id = "&amp;B900&amp;", cot_pap_id = "&amp;C900&amp;", cot_prc_comum = "&amp;D900&amp;", cot_prc_min = "&amp;E900&amp;", cot_prc_max = "&amp;F900&amp;", cot_prc_med = "&amp;G900&amp;", cot_prc_mediana = "&amp;H900&amp;" WHERE cot_id = "&amp;A900&amp;";"</f>
        <v>UPDATE COTACAO SET cot_id = 899, cot_blt_id = 59, cot_pap_id = 27, cot_prc_comum = NULL, cot_prc_min = 50, cot_prc_max = 70, cot_prc_med = 61.25, cot_prc_mediana = 62.5 WHERE cot_id = 899;</v>
      </c>
    </row>
    <row r="901" customFormat="false" ht="14.25" hidden="false" customHeight="false" outlineLevel="0" collapsed="false">
      <c r="A901" s="0" t="n">
        <v>900</v>
      </c>
      <c r="B901" s="0" t="n">
        <f aca="false">IF('Boletins Nuppa Site'!A901&lt;&gt;0,'Boletins Nuppa Site'!A901,"NULL")</f>
        <v>59</v>
      </c>
      <c r="C901" s="0" t="n">
        <v>28</v>
      </c>
      <c r="D901" s="30" t="n">
        <f aca="false">IF('Boletins Nuppa Site'!G901&lt;&gt;0,'Boletins Nuppa Site'!G901,"NULL")</f>
        <v>100</v>
      </c>
      <c r="E901" s="30" t="n">
        <f aca="false">IF('Boletins Nuppa Site'!H901&lt;&gt;0,'Boletins Nuppa Site'!H901,"NULL")</f>
        <v>80</v>
      </c>
      <c r="F901" s="30" t="n">
        <f aca="false">IF('Boletins Nuppa Site'!I901&lt;&gt;0,'Boletins Nuppa Site'!I901,"NULL")</f>
        <v>100</v>
      </c>
      <c r="G901" s="0" t="str">
        <f aca="false">IF('Boletins Nuppa Site'!J901&lt;&gt;0,'Boletins Nuppa Site'!J901,"NULL")</f>
        <v>93.33</v>
      </c>
      <c r="H901" s="30" t="n">
        <f aca="false">IF('Boletins Nuppa Site'!K901&lt;&gt;0,'Boletins Nuppa Site'!K901,"NULL")</f>
        <v>100</v>
      </c>
      <c r="I901" s="0" t="str">
        <f aca="false">"INSERT INTO COTACAO (cot_id, cot_blt_id, cot_pap_id, cot_prc_comum, cot_prc_min, cot_prc_max, cot_prc_med, cot_prc_mediana) VALUES ("&amp;A901&amp;", "&amp;B901&amp;", "&amp;C901&amp;", "&amp;D901&amp;", "&amp;E901&amp;", "&amp;F901&amp;", "&amp;G901&amp;", "&amp;H901&amp;");"</f>
        <v>INSERT INTO COTACAO (cot_id, cot_blt_id, cot_pap_id, cot_prc_comum, cot_prc_min, cot_prc_max, cot_prc_med, cot_prc_mediana) VALUES (900, 59, 28, 100, 80, 100, 93.33, 100);</v>
      </c>
      <c r="J901" s="0" t="str">
        <f aca="false">"UPDATE COTACAO SET cot_id = "&amp;A901&amp;", cot_blt_id = "&amp;B901&amp;", cot_pap_id = "&amp;C901&amp;", cot_prc_comum = "&amp;D901&amp;", cot_prc_min = "&amp;E901&amp;", cot_prc_max = "&amp;F901&amp;", cot_prc_med = "&amp;G901&amp;", cot_prc_mediana = "&amp;H901&amp;" WHERE cot_id = "&amp;A901&amp;";"</f>
        <v>UPDATE COTACAO SET cot_id = 900, cot_blt_id = 59, cot_pap_id = 28, cot_prc_comum = 100, cot_prc_min = 80, cot_prc_max = 100, cot_prc_med = 93.33, cot_prc_mediana = 100 WHERE cot_id = 900;</v>
      </c>
    </row>
    <row r="902" customFormat="false" ht="14.25" hidden="false" customHeight="false" outlineLevel="0" collapsed="false">
      <c r="A902" s="0" t="n">
        <v>901</v>
      </c>
      <c r="B902" s="0" t="n">
        <f aca="false">IF('Boletins Nuppa Site'!A902&lt;&gt;0,'Boletins Nuppa Site'!A902,"NULL")</f>
        <v>59</v>
      </c>
      <c r="C902" s="0" t="n">
        <v>29</v>
      </c>
      <c r="D902" s="0" t="str">
        <f aca="false">IF('Boletins Nuppa Site'!G902&lt;&gt;0,'Boletins Nuppa Site'!G902,"NULL")</f>
        <v>NULL</v>
      </c>
      <c r="E902" s="30" t="n">
        <f aca="false">IF('Boletins Nuppa Site'!H902&lt;&gt;0,'Boletins Nuppa Site'!H902,"NULL")</f>
        <v>50</v>
      </c>
      <c r="F902" s="30" t="n">
        <f aca="false">IF('Boletins Nuppa Site'!I902&lt;&gt;0,'Boletins Nuppa Site'!I902,"NULL")</f>
        <v>53</v>
      </c>
      <c r="G902" s="0" t="str">
        <f aca="false">IF('Boletins Nuppa Site'!J902&lt;&gt;0,'Boletins Nuppa Site'!J902,"NULL")</f>
        <v>51.5</v>
      </c>
      <c r="H902" s="0" t="str">
        <f aca="false">IF('Boletins Nuppa Site'!K902&lt;&gt;0,'Boletins Nuppa Site'!K902,"NULL")</f>
        <v>51.5</v>
      </c>
      <c r="I902" s="0" t="str">
        <f aca="false">"INSERT INTO COTACAO (cot_id, cot_blt_id, cot_pap_id, cot_prc_comum, cot_prc_min, cot_prc_max, cot_prc_med, cot_prc_mediana) VALUES ("&amp;A902&amp;", "&amp;B902&amp;", "&amp;C902&amp;", "&amp;D902&amp;", "&amp;E902&amp;", "&amp;F902&amp;", "&amp;G902&amp;", "&amp;H902&amp;");"</f>
        <v>INSERT INTO COTACAO (cot_id, cot_blt_id, cot_pap_id, cot_prc_comum, cot_prc_min, cot_prc_max, cot_prc_med, cot_prc_mediana) VALUES (901, 59, 29, NULL, 50, 53, 51.5, 51.5);</v>
      </c>
      <c r="J902" s="0" t="str">
        <f aca="false">"UPDATE COTACAO SET cot_id = "&amp;A902&amp;", cot_blt_id = "&amp;B902&amp;", cot_pap_id = "&amp;C902&amp;", cot_prc_comum = "&amp;D902&amp;", cot_prc_min = "&amp;E902&amp;", cot_prc_max = "&amp;F902&amp;", cot_prc_med = "&amp;G902&amp;", cot_prc_mediana = "&amp;H902&amp;" WHERE cot_id = "&amp;A902&amp;";"</f>
        <v>UPDATE COTACAO SET cot_id = 901, cot_blt_id = 59, cot_pap_id = 29, cot_prc_comum = NULL, cot_prc_min = 50, cot_prc_max = 53, cot_prc_med = 51.5, cot_prc_mediana = 51.5 WHERE cot_id = 901;</v>
      </c>
    </row>
    <row r="903" customFormat="false" ht="14.25" hidden="false" customHeight="false" outlineLevel="0" collapsed="false">
      <c r="A903" s="0" t="n">
        <v>902</v>
      </c>
      <c r="B903" s="0" t="n">
        <f aca="false">IF('Boletins Nuppa Site'!A903&lt;&gt;0,'Boletins Nuppa Site'!A903,"NULL")</f>
        <v>59</v>
      </c>
      <c r="C903" s="0" t="n">
        <v>30</v>
      </c>
      <c r="D903" s="0" t="str">
        <f aca="false">IF('Boletins Nuppa Site'!G903&lt;&gt;0,'Boletins Nuppa Site'!G903,"NULL")</f>
        <v>NULL</v>
      </c>
      <c r="E903" s="30" t="n">
        <f aca="false">IF('Boletins Nuppa Site'!H903&lt;&gt;0,'Boletins Nuppa Site'!H903,"NULL")</f>
        <v>50</v>
      </c>
      <c r="F903" s="30" t="n">
        <f aca="false">IF('Boletins Nuppa Site'!I903&lt;&gt;0,'Boletins Nuppa Site'!I903,"NULL")</f>
        <v>65</v>
      </c>
      <c r="G903" s="0" t="str">
        <f aca="false">IF('Boletins Nuppa Site'!J903&lt;&gt;0,'Boletins Nuppa Site'!J903,"NULL")</f>
        <v>58.33</v>
      </c>
      <c r="H903" s="30" t="n">
        <f aca="false">IF('Boletins Nuppa Site'!K903&lt;&gt;0,'Boletins Nuppa Site'!K903,"NULL")</f>
        <v>60</v>
      </c>
      <c r="I903" s="0" t="str">
        <f aca="false">"INSERT INTO COTACAO (cot_id, cot_blt_id, cot_pap_id, cot_prc_comum, cot_prc_min, cot_prc_max, cot_prc_med, cot_prc_mediana) VALUES ("&amp;A903&amp;", "&amp;B903&amp;", "&amp;C903&amp;", "&amp;D903&amp;", "&amp;E903&amp;", "&amp;F903&amp;", "&amp;G903&amp;", "&amp;H903&amp;");"</f>
        <v>INSERT INTO COTACAO (cot_id, cot_blt_id, cot_pap_id, cot_prc_comum, cot_prc_min, cot_prc_max, cot_prc_med, cot_prc_mediana) VALUES (902, 59, 30, NULL, 50, 65, 58.33, 60);</v>
      </c>
      <c r="J903" s="0" t="str">
        <f aca="false">"UPDATE COTACAO SET cot_id = "&amp;A903&amp;", cot_blt_id = "&amp;B903&amp;", cot_pap_id = "&amp;C903&amp;", cot_prc_comum = "&amp;D903&amp;", cot_prc_min = "&amp;E903&amp;", cot_prc_max = "&amp;F903&amp;", cot_prc_med = "&amp;G903&amp;", cot_prc_mediana = "&amp;H903&amp;" WHERE cot_id = "&amp;A903&amp;";"</f>
        <v>UPDATE COTACAO SET cot_id = 902, cot_blt_id = 59, cot_pap_id = 30, cot_prc_comum = NULL, cot_prc_min = 50, cot_prc_max = 65, cot_prc_med = 58.33, cot_prc_mediana = 60 WHERE cot_id = 902;</v>
      </c>
    </row>
    <row r="904" customFormat="false" ht="14.25" hidden="false" customHeight="false" outlineLevel="0" collapsed="false">
      <c r="A904" s="0" t="n">
        <v>903</v>
      </c>
      <c r="B904" s="0" t="n">
        <f aca="false">IF('Boletins Nuppa Site'!A904&lt;&gt;0,'Boletins Nuppa Site'!A904,"NULL")</f>
        <v>59</v>
      </c>
      <c r="C904" s="0" t="n">
        <v>31</v>
      </c>
      <c r="D904" s="30" t="n">
        <f aca="false">IF('Boletins Nuppa Site'!G904&lt;&gt;0,'Boletins Nuppa Site'!G904,"NULL")</f>
        <v>60</v>
      </c>
      <c r="E904" s="30" t="n">
        <f aca="false">IF('Boletins Nuppa Site'!H904&lt;&gt;0,'Boletins Nuppa Site'!H904,"NULL")</f>
        <v>60</v>
      </c>
      <c r="F904" s="30" t="n">
        <f aca="false">IF('Boletins Nuppa Site'!I904&lt;&gt;0,'Boletins Nuppa Site'!I904,"NULL")</f>
        <v>70</v>
      </c>
      <c r="G904" s="30" t="n">
        <f aca="false">IF('Boletins Nuppa Site'!J904&lt;&gt;0,'Boletins Nuppa Site'!J904,"NULL")</f>
        <v>63</v>
      </c>
      <c r="H904" s="30" t="n">
        <f aca="false">IF('Boletins Nuppa Site'!K904&lt;&gt;0,'Boletins Nuppa Site'!K904,"NULL")</f>
        <v>60</v>
      </c>
      <c r="I904" s="0" t="str">
        <f aca="false">"INSERT INTO COTACAO (cot_id, cot_blt_id, cot_pap_id, cot_prc_comum, cot_prc_min, cot_prc_max, cot_prc_med, cot_prc_mediana) VALUES ("&amp;A904&amp;", "&amp;B904&amp;", "&amp;C904&amp;", "&amp;D904&amp;", "&amp;E904&amp;", "&amp;F904&amp;", "&amp;G904&amp;", "&amp;H904&amp;");"</f>
        <v>INSERT INTO COTACAO (cot_id, cot_blt_id, cot_pap_id, cot_prc_comum, cot_prc_min, cot_prc_max, cot_prc_med, cot_prc_mediana) VALUES (903, 59, 31, 60, 60, 70, 63, 60);</v>
      </c>
      <c r="J904" s="0" t="str">
        <f aca="false">"UPDATE COTACAO SET cot_id = "&amp;A904&amp;", cot_blt_id = "&amp;B904&amp;", cot_pap_id = "&amp;C904&amp;", cot_prc_comum = "&amp;D904&amp;", cot_prc_min = "&amp;E904&amp;", cot_prc_max = "&amp;F904&amp;", cot_prc_med = "&amp;G904&amp;", cot_prc_mediana = "&amp;H904&amp;" WHERE cot_id = "&amp;A904&amp;";"</f>
        <v>UPDATE COTACAO SET cot_id = 903, cot_blt_id = 59, cot_pap_id = 31, cot_prc_comum = 60, cot_prc_min = 60, cot_prc_max = 70, cot_prc_med = 63, cot_prc_mediana = 60 WHERE cot_id = 903;</v>
      </c>
    </row>
    <row r="905" customFormat="false" ht="14.25" hidden="false" customHeight="false" outlineLevel="0" collapsed="false">
      <c r="A905" s="0" t="n">
        <v>904</v>
      </c>
      <c r="B905" s="0" t="n">
        <f aca="false">IF('Boletins Nuppa Site'!A905&lt;&gt;0,'Boletins Nuppa Site'!A905,"NULL")</f>
        <v>59</v>
      </c>
      <c r="C905" s="0" t="n">
        <v>32</v>
      </c>
      <c r="D905" s="30" t="n">
        <f aca="false">IF('Boletins Nuppa Site'!G905&lt;&gt;0,'Boletins Nuppa Site'!G905,"NULL")</f>
        <v>50</v>
      </c>
      <c r="E905" s="30" t="n">
        <f aca="false">IF('Boletins Nuppa Site'!H905&lt;&gt;0,'Boletins Nuppa Site'!H905,"NULL")</f>
        <v>40</v>
      </c>
      <c r="F905" s="30" t="n">
        <f aca="false">IF('Boletins Nuppa Site'!I905&lt;&gt;0,'Boletins Nuppa Site'!I905,"NULL")</f>
        <v>55</v>
      </c>
      <c r="G905" s="30" t="n">
        <f aca="false">IF('Boletins Nuppa Site'!J905&lt;&gt;0,'Boletins Nuppa Site'!J905,"NULL")</f>
        <v>50</v>
      </c>
      <c r="H905" s="30" t="n">
        <f aca="false">IF('Boletins Nuppa Site'!K905&lt;&gt;0,'Boletins Nuppa Site'!K905,"NULL")</f>
        <v>50</v>
      </c>
      <c r="I905" s="0" t="str">
        <f aca="false">"INSERT INTO COTACAO (cot_id, cot_blt_id, cot_pap_id, cot_prc_comum, cot_prc_min, cot_prc_max, cot_prc_med, cot_prc_mediana) VALUES ("&amp;A905&amp;", "&amp;B905&amp;", "&amp;C905&amp;", "&amp;D905&amp;", "&amp;E905&amp;", "&amp;F905&amp;", "&amp;G905&amp;", "&amp;H905&amp;");"</f>
        <v>INSERT INTO COTACAO (cot_id, cot_blt_id, cot_pap_id, cot_prc_comum, cot_prc_min, cot_prc_max, cot_prc_med, cot_prc_mediana) VALUES (904, 59, 32, 50, 40, 55, 50, 50);</v>
      </c>
      <c r="J905" s="0" t="str">
        <f aca="false">"UPDATE COTACAO SET cot_id = "&amp;A905&amp;", cot_blt_id = "&amp;B905&amp;", cot_pap_id = "&amp;C905&amp;", cot_prc_comum = "&amp;D905&amp;", cot_prc_min = "&amp;E905&amp;", cot_prc_max = "&amp;F905&amp;", cot_prc_med = "&amp;G905&amp;", cot_prc_mediana = "&amp;H905&amp;" WHERE cot_id = "&amp;A905&amp;";"</f>
        <v>UPDATE COTACAO SET cot_id = 904, cot_blt_id = 59, cot_pap_id = 32, cot_prc_comum = 50, cot_prc_min = 40, cot_prc_max = 55, cot_prc_med = 50, cot_prc_mediana = 50 WHERE cot_id = 904;</v>
      </c>
    </row>
    <row r="906" customFormat="false" ht="14.25" hidden="false" customHeight="false" outlineLevel="0" collapsed="false">
      <c r="A906" s="0" t="n">
        <v>905</v>
      </c>
      <c r="B906" s="0" t="n">
        <f aca="false">IF('Boletins Nuppa Site'!A906&lt;&gt;0,'Boletins Nuppa Site'!A906,"NULL")</f>
        <v>59</v>
      </c>
      <c r="C906" s="0" t="n">
        <v>33</v>
      </c>
      <c r="D906" s="30" t="n">
        <f aca="false">IF('Boletins Nuppa Site'!G906&lt;&gt;0,'Boletins Nuppa Site'!G906,"NULL")</f>
        <v>100</v>
      </c>
      <c r="E906" s="30" t="n">
        <f aca="false">IF('Boletins Nuppa Site'!H906&lt;&gt;0,'Boletins Nuppa Site'!H906,"NULL")</f>
        <v>90</v>
      </c>
      <c r="F906" s="30" t="n">
        <f aca="false">IF('Boletins Nuppa Site'!I906&lt;&gt;0,'Boletins Nuppa Site'!I906,"NULL")</f>
        <v>120</v>
      </c>
      <c r="G906" s="0" t="str">
        <f aca="false">IF('Boletins Nuppa Site'!J906&lt;&gt;0,'Boletins Nuppa Site'!J906,"NULL")</f>
        <v>102.5</v>
      </c>
      <c r="H906" s="30" t="n">
        <f aca="false">IF('Boletins Nuppa Site'!K906&lt;&gt;0,'Boletins Nuppa Site'!K906,"NULL")</f>
        <v>100</v>
      </c>
      <c r="I906" s="0" t="str">
        <f aca="false">"INSERT INTO COTACAO (cot_id, cot_blt_id, cot_pap_id, cot_prc_comum, cot_prc_min, cot_prc_max, cot_prc_med, cot_prc_mediana) VALUES ("&amp;A906&amp;", "&amp;B906&amp;", "&amp;C906&amp;", "&amp;D906&amp;", "&amp;E906&amp;", "&amp;F906&amp;", "&amp;G906&amp;", "&amp;H906&amp;");"</f>
        <v>INSERT INTO COTACAO (cot_id, cot_blt_id, cot_pap_id, cot_prc_comum, cot_prc_min, cot_prc_max, cot_prc_med, cot_prc_mediana) VALUES (905, 59, 33, 100, 90, 120, 102.5, 100);</v>
      </c>
      <c r="J906" s="0" t="str">
        <f aca="false">"UPDATE COTACAO SET cot_id = "&amp;A906&amp;", cot_blt_id = "&amp;B906&amp;", cot_pap_id = "&amp;C906&amp;", cot_prc_comum = "&amp;D906&amp;", cot_prc_min = "&amp;E906&amp;", cot_prc_max = "&amp;F906&amp;", cot_prc_med = "&amp;G906&amp;", cot_prc_mediana = "&amp;H906&amp;" WHERE cot_id = "&amp;A906&amp;";"</f>
        <v>UPDATE COTACAO SET cot_id = 905, cot_blt_id = 59, cot_pap_id = 33, cot_prc_comum = 100, cot_prc_min = 90, cot_prc_max = 120, cot_prc_med = 102.5, cot_prc_mediana = 100 WHERE cot_id = 905;</v>
      </c>
    </row>
    <row r="907" customFormat="false" ht="14.25" hidden="false" customHeight="false" outlineLevel="0" collapsed="false">
      <c r="A907" s="0" t="n">
        <v>906</v>
      </c>
      <c r="B907" s="0" t="n">
        <f aca="false">IF('Boletins Nuppa Site'!A907&lt;&gt;0,'Boletins Nuppa Site'!A907,"NULL")</f>
        <v>59</v>
      </c>
      <c r="C907" s="0" t="n">
        <v>34</v>
      </c>
      <c r="D907" s="0" t="str">
        <f aca="false">IF('Boletins Nuppa Site'!G907&lt;&gt;0,'Boletins Nuppa Site'!G907,"NULL")</f>
        <v>NULL</v>
      </c>
      <c r="E907" s="30" t="n">
        <f aca="false">IF('Boletins Nuppa Site'!H907&lt;&gt;0,'Boletins Nuppa Site'!H907,"NULL")</f>
        <v>65</v>
      </c>
      <c r="F907" s="30" t="n">
        <f aca="false">IF('Boletins Nuppa Site'!I907&lt;&gt;0,'Boletins Nuppa Site'!I907,"NULL")</f>
        <v>100</v>
      </c>
      <c r="G907" s="30" t="n">
        <f aca="false">IF('Boletins Nuppa Site'!J907&lt;&gt;0,'Boletins Nuppa Site'!J907,"NULL")</f>
        <v>78</v>
      </c>
      <c r="H907" s="30" t="n">
        <f aca="false">IF('Boletins Nuppa Site'!K907&lt;&gt;0,'Boletins Nuppa Site'!K907,"NULL")</f>
        <v>75</v>
      </c>
      <c r="I907" s="0" t="str">
        <f aca="false">"INSERT INTO COTACAO (cot_id, cot_blt_id, cot_pap_id, cot_prc_comum, cot_prc_min, cot_prc_max, cot_prc_med, cot_prc_mediana) VALUES ("&amp;A907&amp;", "&amp;B907&amp;", "&amp;C907&amp;", "&amp;D907&amp;", "&amp;E907&amp;", "&amp;F907&amp;", "&amp;G907&amp;", "&amp;H907&amp;");"</f>
        <v>INSERT INTO COTACAO (cot_id, cot_blt_id, cot_pap_id, cot_prc_comum, cot_prc_min, cot_prc_max, cot_prc_med, cot_prc_mediana) VALUES (906, 59, 34, NULL, 65, 100, 78, 75);</v>
      </c>
      <c r="J907" s="0" t="str">
        <f aca="false">"UPDATE COTACAO SET cot_id = "&amp;A907&amp;", cot_blt_id = "&amp;B907&amp;", cot_pap_id = "&amp;C907&amp;", cot_prc_comum = "&amp;D907&amp;", cot_prc_min = "&amp;E907&amp;", cot_prc_max = "&amp;F907&amp;", cot_prc_med = "&amp;G907&amp;", cot_prc_mediana = "&amp;H907&amp;" WHERE cot_id = "&amp;A907&amp;";"</f>
        <v>UPDATE COTACAO SET cot_id = 906, cot_blt_id = 59, cot_pap_id = 34, cot_prc_comum = NULL, cot_prc_min = 65, cot_prc_max = 100, cot_prc_med = 78, cot_prc_mediana = 75 WHERE cot_id = 906;</v>
      </c>
    </row>
    <row r="908" customFormat="false" ht="14.25" hidden="false" customHeight="false" outlineLevel="0" collapsed="false">
      <c r="A908" s="0" t="n">
        <v>907</v>
      </c>
      <c r="B908" s="0" t="n">
        <f aca="false">IF('Boletins Nuppa Site'!A908&lt;&gt;0,'Boletins Nuppa Site'!A908,"NULL")</f>
        <v>59</v>
      </c>
      <c r="C908" s="0" t="n">
        <v>35</v>
      </c>
      <c r="D908" s="30" t="n">
        <f aca="false">IF('Boletins Nuppa Site'!G908&lt;&gt;0,'Boletins Nuppa Site'!G908,"NULL")</f>
        <v>100</v>
      </c>
      <c r="E908" s="30" t="n">
        <f aca="false">IF('Boletins Nuppa Site'!H908&lt;&gt;0,'Boletins Nuppa Site'!H908,"NULL")</f>
        <v>100</v>
      </c>
      <c r="F908" s="30" t="n">
        <f aca="false">IF('Boletins Nuppa Site'!I908&lt;&gt;0,'Boletins Nuppa Site'!I908,"NULL")</f>
        <v>120</v>
      </c>
      <c r="G908" s="0" t="str">
        <f aca="false">IF('Boletins Nuppa Site'!J908&lt;&gt;0,'Boletins Nuppa Site'!J908,"NULL")</f>
        <v>106.67</v>
      </c>
      <c r="H908" s="30" t="n">
        <f aca="false">IF('Boletins Nuppa Site'!K908&lt;&gt;0,'Boletins Nuppa Site'!K908,"NULL")</f>
        <v>100</v>
      </c>
      <c r="I908" s="0" t="str">
        <f aca="false">"INSERT INTO COTACAO (cot_id, cot_blt_id, cot_pap_id, cot_prc_comum, cot_prc_min, cot_prc_max, cot_prc_med, cot_prc_mediana) VALUES ("&amp;A908&amp;", "&amp;B908&amp;", "&amp;C908&amp;", "&amp;D908&amp;", "&amp;E908&amp;", "&amp;F908&amp;", "&amp;G908&amp;", "&amp;H908&amp;");"</f>
        <v>INSERT INTO COTACAO (cot_id, cot_blt_id, cot_pap_id, cot_prc_comum, cot_prc_min, cot_prc_max, cot_prc_med, cot_prc_mediana) VALUES (907, 59, 35, 100, 100, 120, 106.67, 100);</v>
      </c>
      <c r="J908" s="0" t="str">
        <f aca="false">"UPDATE COTACAO SET cot_id = "&amp;A908&amp;", cot_blt_id = "&amp;B908&amp;", cot_pap_id = "&amp;C908&amp;", cot_prc_comum = "&amp;D908&amp;", cot_prc_min = "&amp;E908&amp;", cot_prc_max = "&amp;F908&amp;", cot_prc_med = "&amp;G908&amp;", cot_prc_mediana = "&amp;H908&amp;" WHERE cot_id = "&amp;A908&amp;";"</f>
        <v>UPDATE COTACAO SET cot_id = 907, cot_blt_id = 59, cot_pap_id = 35, cot_prc_comum = 100, cot_prc_min = 100, cot_prc_max = 120, cot_prc_med = 106.67, cot_prc_mediana = 100 WHERE cot_id = 907;</v>
      </c>
    </row>
    <row r="909" customFormat="false" ht="14.25" hidden="false" customHeight="false" outlineLevel="0" collapsed="false">
      <c r="A909" s="0" t="n">
        <v>908</v>
      </c>
      <c r="B909" s="0" t="n">
        <f aca="false">IF('Boletins Nuppa Site'!A909&lt;&gt;0,'Boletins Nuppa Site'!A909,"NULL")</f>
        <v>59</v>
      </c>
      <c r="C909" s="0" t="n">
        <v>36</v>
      </c>
      <c r="D909" s="0" t="str">
        <f aca="false">IF('Boletins Nuppa Site'!G909&lt;&gt;0,'Boletins Nuppa Site'!G909,"NULL")</f>
        <v>NULL</v>
      </c>
      <c r="E909" s="0" t="str">
        <f aca="false">IF('Boletins Nuppa Site'!H909&lt;&gt;0,'Boletins Nuppa Site'!H909,"NULL")</f>
        <v>NULL</v>
      </c>
      <c r="F909" s="0" t="str">
        <f aca="false">IF('Boletins Nuppa Site'!I909&lt;&gt;0,'Boletins Nuppa Site'!I909,"NULL")</f>
        <v>NULL</v>
      </c>
      <c r="G909" s="0" t="str">
        <f aca="false">IF('Boletins Nuppa Site'!J909&lt;&gt;0,'Boletins Nuppa Site'!J909,"NULL")</f>
        <v>NULL</v>
      </c>
      <c r="H909" s="0" t="str">
        <f aca="false">IF('Boletins Nuppa Site'!K909&lt;&gt;0,'Boletins Nuppa Site'!K909,"NULL")</f>
        <v>NULL</v>
      </c>
      <c r="I909" s="0" t="str">
        <f aca="false">"INSERT INTO COTACAO (cot_id, cot_blt_id, cot_pap_id, cot_prc_comum, cot_prc_min, cot_prc_max, cot_prc_med, cot_prc_mediana) VALUES ("&amp;A909&amp;", "&amp;B909&amp;", "&amp;C909&amp;", "&amp;D909&amp;", "&amp;E909&amp;", "&amp;F909&amp;", "&amp;G909&amp;", "&amp;H909&amp;");"</f>
        <v>INSERT INTO COTACAO (cot_id, cot_blt_id, cot_pap_id, cot_prc_comum, cot_prc_min, cot_prc_max, cot_prc_med, cot_prc_mediana) VALUES (908, 59, 36, NULL, NULL, NULL, NULL, NULL);</v>
      </c>
      <c r="J909" s="0" t="str">
        <f aca="false">"UPDATE COTACAO SET cot_id = "&amp;A909&amp;", cot_blt_id = "&amp;B909&amp;", cot_pap_id = "&amp;C909&amp;", cot_prc_comum = "&amp;D909&amp;", cot_prc_min = "&amp;E909&amp;", cot_prc_max = "&amp;F909&amp;", cot_prc_med = "&amp;G909&amp;", cot_prc_mediana = "&amp;H909&amp;" WHERE cot_id = "&amp;A909&amp;";"</f>
        <v>UPDATE COTACAO SET cot_id = 908, cot_blt_id = 59, cot_pap_id = 36, cot_prc_comum = NULL, cot_prc_min = NULL, cot_prc_max = NULL, cot_prc_med = NULL, cot_prc_mediana = NULL WHERE cot_id = 908;</v>
      </c>
    </row>
    <row r="910" customFormat="false" ht="14.25" hidden="false" customHeight="false" outlineLevel="0" collapsed="false">
      <c r="A910" s="0" t="n">
        <v>909</v>
      </c>
      <c r="B910" s="0" t="n">
        <f aca="false">IF('Boletins Nuppa Site'!A910&lt;&gt;0,'Boletins Nuppa Site'!A910,"NULL")</f>
        <v>59</v>
      </c>
      <c r="C910" s="0" t="n">
        <v>37</v>
      </c>
      <c r="D910" s="0" t="str">
        <f aca="false">IF('Boletins Nuppa Site'!G910&lt;&gt;0,'Boletins Nuppa Site'!G910,"NULL")</f>
        <v>NULL</v>
      </c>
      <c r="E910" s="0" t="str">
        <f aca="false">IF('Boletins Nuppa Site'!H910&lt;&gt;0,'Boletins Nuppa Site'!H910,"NULL")</f>
        <v>NULL</v>
      </c>
      <c r="F910" s="0" t="str">
        <f aca="false">IF('Boletins Nuppa Site'!I910&lt;&gt;0,'Boletins Nuppa Site'!I910,"NULL")</f>
        <v>NULL</v>
      </c>
      <c r="G910" s="0" t="str">
        <f aca="false">IF('Boletins Nuppa Site'!J910&lt;&gt;0,'Boletins Nuppa Site'!J910,"NULL")</f>
        <v>NULL</v>
      </c>
      <c r="H910" s="0" t="str">
        <f aca="false">IF('Boletins Nuppa Site'!K910&lt;&gt;0,'Boletins Nuppa Site'!K910,"NULL")</f>
        <v>NULL</v>
      </c>
      <c r="I910" s="0" t="str">
        <f aca="false">"INSERT INTO COTACAO (cot_id, cot_blt_id, cot_pap_id, cot_prc_comum, cot_prc_min, cot_prc_max, cot_prc_med, cot_prc_mediana) VALUES ("&amp;A910&amp;", "&amp;B910&amp;", "&amp;C910&amp;", "&amp;D910&amp;", "&amp;E910&amp;", "&amp;F910&amp;", "&amp;G910&amp;", "&amp;H910&amp;");"</f>
        <v>INSERT INTO COTACAO (cot_id, cot_blt_id, cot_pap_id, cot_prc_comum, cot_prc_min, cot_prc_max, cot_prc_med, cot_prc_mediana) VALUES (909, 59, 37, NULL, NULL, NULL, NULL, NULL);</v>
      </c>
      <c r="J910" s="0" t="str">
        <f aca="false">"UPDATE COTACAO SET cot_id = "&amp;A910&amp;", cot_blt_id = "&amp;B910&amp;", cot_pap_id = "&amp;C910&amp;", cot_prc_comum = "&amp;D910&amp;", cot_prc_min = "&amp;E910&amp;", cot_prc_max = "&amp;F910&amp;", cot_prc_med = "&amp;G910&amp;", cot_prc_mediana = "&amp;H910&amp;" WHERE cot_id = "&amp;A910&amp;";"</f>
        <v>UPDATE COTACAO SET cot_id = 909, cot_blt_id = 59, cot_pap_id = 37, cot_prc_comum = NULL, cot_prc_min = NULL, cot_prc_max = NULL, cot_prc_med = NULL, cot_prc_mediana = NULL WHERE cot_id = 909;</v>
      </c>
    </row>
    <row r="911" customFormat="false" ht="14.25" hidden="false" customHeight="false" outlineLevel="0" collapsed="false">
      <c r="A911" s="0" t="n">
        <v>910</v>
      </c>
      <c r="B911" s="0" t="n">
        <f aca="false">IF('Boletins Nuppa Site'!A911&lt;&gt;0,'Boletins Nuppa Site'!A911,"NULL")</f>
        <v>59</v>
      </c>
      <c r="C911" s="0" t="n">
        <v>38</v>
      </c>
      <c r="D911" s="0" t="str">
        <f aca="false">IF('Boletins Nuppa Site'!G911&lt;&gt;0,'Boletins Nuppa Site'!G911,"NULL")</f>
        <v>NULL</v>
      </c>
      <c r="E911" s="0" t="str">
        <f aca="false">IF('Boletins Nuppa Site'!H911&lt;&gt;0,'Boletins Nuppa Site'!H911,"NULL")</f>
        <v>NULL</v>
      </c>
      <c r="F911" s="0" t="str">
        <f aca="false">IF('Boletins Nuppa Site'!I911&lt;&gt;0,'Boletins Nuppa Site'!I911,"NULL")</f>
        <v>NULL</v>
      </c>
      <c r="G911" s="0" t="str">
        <f aca="false">IF('Boletins Nuppa Site'!J911&lt;&gt;0,'Boletins Nuppa Site'!J911,"NULL")</f>
        <v>NULL</v>
      </c>
      <c r="H911" s="0" t="str">
        <f aca="false">IF('Boletins Nuppa Site'!K911&lt;&gt;0,'Boletins Nuppa Site'!K911,"NULL")</f>
        <v>NULL</v>
      </c>
      <c r="I911" s="0" t="str">
        <f aca="false">"INSERT INTO COTACAO (cot_id, cot_blt_id, cot_pap_id, cot_prc_comum, cot_prc_min, cot_prc_max, cot_prc_med, cot_prc_mediana) VALUES ("&amp;A911&amp;", "&amp;B911&amp;", "&amp;C911&amp;", "&amp;D911&amp;", "&amp;E911&amp;", "&amp;F911&amp;", "&amp;G911&amp;", "&amp;H911&amp;");"</f>
        <v>INSERT INTO COTACAO (cot_id, cot_blt_id, cot_pap_id, cot_prc_comum, cot_prc_min, cot_prc_max, cot_prc_med, cot_prc_mediana) VALUES (910, 59, 38, NULL, NULL, NULL, NULL, NULL);</v>
      </c>
      <c r="J911" s="0" t="str">
        <f aca="false">"UPDATE COTACAO SET cot_id = "&amp;A911&amp;", cot_blt_id = "&amp;B911&amp;", cot_pap_id = "&amp;C911&amp;", cot_prc_comum = "&amp;D911&amp;", cot_prc_min = "&amp;E911&amp;", cot_prc_max = "&amp;F911&amp;", cot_prc_med = "&amp;G911&amp;", cot_prc_mediana = "&amp;H911&amp;" WHERE cot_id = "&amp;A911&amp;";"</f>
        <v>UPDATE COTACAO SET cot_id = 910, cot_blt_id = 59, cot_pap_id = 38, cot_prc_comum = NULL, cot_prc_min = NULL, cot_prc_max = NULL, cot_prc_med = NULL, cot_prc_mediana = NULL WHERE cot_id = 910;</v>
      </c>
    </row>
    <row r="912" customFormat="false" ht="14.25" hidden="false" customHeight="false" outlineLevel="0" collapsed="false">
      <c r="A912" s="0" t="n">
        <v>911</v>
      </c>
      <c r="B912" s="0" t="n">
        <f aca="false">IF('Boletins Nuppa Site'!A912&lt;&gt;0,'Boletins Nuppa Site'!A912,"NULL")</f>
        <v>59</v>
      </c>
      <c r="C912" s="0" t="n">
        <v>39</v>
      </c>
      <c r="D912" s="0" t="str">
        <f aca="false">IF('Boletins Nuppa Site'!G912&lt;&gt;0,'Boletins Nuppa Site'!G912,"NULL")</f>
        <v>NULL</v>
      </c>
      <c r="E912" s="30" t="n">
        <f aca="false">IF('Boletins Nuppa Site'!H912&lt;&gt;0,'Boletins Nuppa Site'!H912,"NULL")</f>
        <v>50</v>
      </c>
      <c r="F912" s="30" t="n">
        <f aca="false">IF('Boletins Nuppa Site'!I912&lt;&gt;0,'Boletins Nuppa Site'!I912,"NULL")</f>
        <v>50</v>
      </c>
      <c r="G912" s="30" t="n">
        <f aca="false">IF('Boletins Nuppa Site'!J912&lt;&gt;0,'Boletins Nuppa Site'!J912,"NULL")</f>
        <v>50</v>
      </c>
      <c r="H912" s="30" t="n">
        <f aca="false">IF('Boletins Nuppa Site'!K912&lt;&gt;0,'Boletins Nuppa Site'!K912,"NULL")</f>
        <v>50</v>
      </c>
      <c r="I912" s="0" t="str">
        <f aca="false">"INSERT INTO COTACAO (cot_id, cot_blt_id, cot_pap_id, cot_prc_comum, cot_prc_min, cot_prc_max, cot_prc_med, cot_prc_mediana) VALUES ("&amp;A912&amp;", "&amp;B912&amp;", "&amp;C912&amp;", "&amp;D912&amp;", "&amp;E912&amp;", "&amp;F912&amp;", "&amp;G912&amp;", "&amp;H912&amp;");"</f>
        <v>INSERT INTO COTACAO (cot_id, cot_blt_id, cot_pap_id, cot_prc_comum, cot_prc_min, cot_prc_max, cot_prc_med, cot_prc_mediana) VALUES (911, 59, 39, NULL, 50, 50, 50, 50);</v>
      </c>
      <c r="J912" s="0" t="str">
        <f aca="false">"UPDATE COTACAO SET cot_id = "&amp;A912&amp;", cot_blt_id = "&amp;B912&amp;", cot_pap_id = "&amp;C912&amp;", cot_prc_comum = "&amp;D912&amp;", cot_prc_min = "&amp;E912&amp;", cot_prc_max = "&amp;F912&amp;", cot_prc_med = "&amp;G912&amp;", cot_prc_mediana = "&amp;H912&amp;" WHERE cot_id = "&amp;A912&amp;";"</f>
        <v>UPDATE COTACAO SET cot_id = 911, cot_blt_id = 59, cot_pap_id = 39, cot_prc_comum = NULL, cot_prc_min = 50, cot_prc_max = 50, cot_prc_med = 50, cot_prc_mediana = 50 WHERE cot_id = 911;</v>
      </c>
    </row>
    <row r="913" customFormat="false" ht="14.25" hidden="false" customHeight="false" outlineLevel="0" collapsed="false">
      <c r="A913" s="0" t="n">
        <v>912</v>
      </c>
      <c r="B913" s="0" t="n">
        <f aca="false">IF('Boletins Nuppa Site'!A913&lt;&gt;0,'Boletins Nuppa Site'!A913,"NULL")</f>
        <v>59</v>
      </c>
      <c r="C913" s="0" t="n">
        <v>40</v>
      </c>
      <c r="D913" s="0" t="str">
        <f aca="false">IF('Boletins Nuppa Site'!G913&lt;&gt;0,'Boletins Nuppa Site'!G913,"NULL")</f>
        <v>NULL</v>
      </c>
      <c r="E913" s="30" t="n">
        <f aca="false">IF('Boletins Nuppa Site'!H913&lt;&gt;0,'Boletins Nuppa Site'!H913,"NULL")</f>
        <v>65</v>
      </c>
      <c r="F913" s="30" t="n">
        <f aca="false">IF('Boletins Nuppa Site'!I913&lt;&gt;0,'Boletins Nuppa Site'!I913,"NULL")</f>
        <v>65</v>
      </c>
      <c r="G913" s="30" t="n">
        <f aca="false">IF('Boletins Nuppa Site'!J913&lt;&gt;0,'Boletins Nuppa Site'!J913,"NULL")</f>
        <v>65</v>
      </c>
      <c r="H913" s="30" t="n">
        <f aca="false">IF('Boletins Nuppa Site'!K913&lt;&gt;0,'Boletins Nuppa Site'!K913,"NULL")</f>
        <v>65</v>
      </c>
      <c r="I913" s="0" t="str">
        <f aca="false">"INSERT INTO COTACAO (cot_id, cot_blt_id, cot_pap_id, cot_prc_comum, cot_prc_min, cot_prc_max, cot_prc_med, cot_prc_mediana) VALUES ("&amp;A913&amp;", "&amp;B913&amp;", "&amp;C913&amp;", "&amp;D913&amp;", "&amp;E913&amp;", "&amp;F913&amp;", "&amp;G913&amp;", "&amp;H913&amp;");"</f>
        <v>INSERT INTO COTACAO (cot_id, cot_blt_id, cot_pap_id, cot_prc_comum, cot_prc_min, cot_prc_max, cot_prc_med, cot_prc_mediana) VALUES (912, 59, 40, NULL, 65, 65, 65, 65);</v>
      </c>
      <c r="J913" s="0" t="str">
        <f aca="false">"UPDATE COTACAO SET cot_id = "&amp;A913&amp;", cot_blt_id = "&amp;B913&amp;", cot_pap_id = "&amp;C913&amp;", cot_prc_comum = "&amp;D913&amp;", cot_prc_min = "&amp;E913&amp;", cot_prc_max = "&amp;F913&amp;", cot_prc_med = "&amp;G913&amp;", cot_prc_mediana = "&amp;H913&amp;" WHERE cot_id = "&amp;A913&amp;";"</f>
        <v>UPDATE COTACAO SET cot_id = 912, cot_blt_id = 59, cot_pap_id = 40, cot_prc_comum = NULL, cot_prc_min = 65, cot_prc_max = 65, cot_prc_med = 65, cot_prc_mediana = 65 WHERE cot_id = 912;</v>
      </c>
    </row>
    <row r="914" customFormat="false" ht="14.25" hidden="false" customHeight="false" outlineLevel="0" collapsed="false">
      <c r="A914" s="0" t="n">
        <v>913</v>
      </c>
      <c r="B914" s="0" t="n">
        <f aca="false">IF('Boletins Nuppa Site'!A914&lt;&gt;0,'Boletins Nuppa Site'!A914,"NULL")</f>
        <v>60</v>
      </c>
      <c r="C914" s="0" t="n">
        <v>1</v>
      </c>
      <c r="D914" s="30" t="n">
        <f aca="false">IF('Boletins Nuppa Site'!G914&lt;&gt;0,'Boletins Nuppa Site'!G914,"NULL")</f>
        <v>48</v>
      </c>
      <c r="E914" s="30" t="n">
        <f aca="false">IF('Boletins Nuppa Site'!H914&lt;&gt;0,'Boletins Nuppa Site'!H914,"NULL")</f>
        <v>48</v>
      </c>
      <c r="F914" s="30" t="n">
        <f aca="false">IF('Boletins Nuppa Site'!I914&lt;&gt;0,'Boletins Nuppa Site'!I914,"NULL")</f>
        <v>60</v>
      </c>
      <c r="G914" s="30" t="n">
        <f aca="false">IF('Boletins Nuppa Site'!J914&lt;&gt;0,'Boletins Nuppa Site'!J914,"NULL")</f>
        <v>54</v>
      </c>
      <c r="H914" s="30" t="n">
        <f aca="false">IF('Boletins Nuppa Site'!K914&lt;&gt;0,'Boletins Nuppa Site'!K914,"NULL")</f>
        <v>54</v>
      </c>
      <c r="I914" s="0" t="str">
        <f aca="false">"INSERT INTO COTACAO (cot_id, cot_blt_id, cot_pap_id, cot_prc_comum, cot_prc_min, cot_prc_max, cot_prc_med, cot_prc_mediana) VALUES ("&amp;A914&amp;", "&amp;B914&amp;", "&amp;C914&amp;", "&amp;D914&amp;", "&amp;E914&amp;", "&amp;F914&amp;", "&amp;G914&amp;", "&amp;H914&amp;");"</f>
        <v>INSERT INTO COTACAO (cot_id, cot_blt_id, cot_pap_id, cot_prc_comum, cot_prc_min, cot_prc_max, cot_prc_med, cot_prc_mediana) VALUES (913, 60, 1, 48, 48, 60, 54, 54);</v>
      </c>
      <c r="J914" s="0" t="str">
        <f aca="false">"UPDATE COTACAO SET cot_id = "&amp;A914&amp;", cot_blt_id = "&amp;B914&amp;", cot_pap_id = "&amp;C914&amp;", cot_prc_comum = "&amp;D914&amp;", cot_prc_min = "&amp;E914&amp;", cot_prc_max = "&amp;F914&amp;", cot_prc_med = "&amp;G914&amp;", cot_prc_mediana = "&amp;H914&amp;" WHERE cot_id = "&amp;A914&amp;";"</f>
        <v>UPDATE COTACAO SET cot_id = 913, cot_blt_id = 60, cot_pap_id = 1, cot_prc_comum = 48, cot_prc_min = 48, cot_prc_max = 60, cot_prc_med = 54, cot_prc_mediana = 54 WHERE cot_id = 913;</v>
      </c>
    </row>
    <row r="915" customFormat="false" ht="14.25" hidden="false" customHeight="false" outlineLevel="0" collapsed="false">
      <c r="A915" s="0" t="n">
        <v>914</v>
      </c>
      <c r="B915" s="0" t="n">
        <f aca="false">IF('Boletins Nuppa Site'!A915&lt;&gt;0,'Boletins Nuppa Site'!A915,"NULL")</f>
        <v>60</v>
      </c>
      <c r="C915" s="0" t="n">
        <v>2</v>
      </c>
      <c r="D915" s="30" t="n">
        <f aca="false">IF('Boletins Nuppa Site'!G915&lt;&gt;0,'Boletins Nuppa Site'!G915,"NULL")</f>
        <v>72</v>
      </c>
      <c r="E915" s="30" t="n">
        <f aca="false">IF('Boletins Nuppa Site'!H915&lt;&gt;0,'Boletins Nuppa Site'!H915,"NULL")</f>
        <v>72</v>
      </c>
      <c r="F915" s="30" t="n">
        <f aca="false">IF('Boletins Nuppa Site'!I915&lt;&gt;0,'Boletins Nuppa Site'!I915,"NULL")</f>
        <v>84</v>
      </c>
      <c r="G915" s="30" t="n">
        <f aca="false">IF('Boletins Nuppa Site'!J915&lt;&gt;0,'Boletins Nuppa Site'!J915,"NULL")</f>
        <v>78</v>
      </c>
      <c r="H915" s="30" t="n">
        <f aca="false">IF('Boletins Nuppa Site'!K915&lt;&gt;0,'Boletins Nuppa Site'!K915,"NULL")</f>
        <v>78</v>
      </c>
      <c r="I915" s="0" t="str">
        <f aca="false">"INSERT INTO COTACAO (cot_id, cot_blt_id, cot_pap_id, cot_prc_comum, cot_prc_min, cot_prc_max, cot_prc_med, cot_prc_mediana) VALUES ("&amp;A915&amp;", "&amp;B915&amp;", "&amp;C915&amp;", "&amp;D915&amp;", "&amp;E915&amp;", "&amp;F915&amp;", "&amp;G915&amp;", "&amp;H915&amp;");"</f>
        <v>INSERT INTO COTACAO (cot_id, cot_blt_id, cot_pap_id, cot_prc_comum, cot_prc_min, cot_prc_max, cot_prc_med, cot_prc_mediana) VALUES (914, 60, 2, 72, 72, 84, 78, 78);</v>
      </c>
      <c r="J915" s="0" t="str">
        <f aca="false">"UPDATE COTACAO SET cot_id = "&amp;A915&amp;", cot_blt_id = "&amp;B915&amp;", cot_pap_id = "&amp;C915&amp;", cot_prc_comum = "&amp;D915&amp;", cot_prc_min = "&amp;E915&amp;", cot_prc_max = "&amp;F915&amp;", cot_prc_med = "&amp;G915&amp;", cot_prc_mediana = "&amp;H915&amp;" WHERE cot_id = "&amp;A915&amp;";"</f>
        <v>UPDATE COTACAO SET cot_id = 914, cot_blt_id = 60, cot_pap_id = 2, cot_prc_comum = 72, cot_prc_min = 72, cot_prc_max = 84, cot_prc_med = 78, cot_prc_mediana = 78 WHERE cot_id = 914;</v>
      </c>
    </row>
    <row r="916" customFormat="false" ht="14.25" hidden="false" customHeight="false" outlineLevel="0" collapsed="false">
      <c r="A916" s="0" t="n">
        <v>915</v>
      </c>
      <c r="B916" s="0" t="n">
        <f aca="false">IF('Boletins Nuppa Site'!A916&lt;&gt;0,'Boletins Nuppa Site'!A916,"NULL")</f>
        <v>60</v>
      </c>
      <c r="C916" s="0" t="n">
        <v>3</v>
      </c>
      <c r="D916" s="30" t="n">
        <f aca="false">IF('Boletins Nuppa Site'!G916&lt;&gt;0,'Boletins Nuppa Site'!G916,"NULL")</f>
        <v>36</v>
      </c>
      <c r="E916" s="30" t="n">
        <f aca="false">IF('Boletins Nuppa Site'!H916&lt;&gt;0,'Boletins Nuppa Site'!H916,"NULL")</f>
        <v>36</v>
      </c>
      <c r="F916" s="30" t="n">
        <f aca="false">IF('Boletins Nuppa Site'!I916&lt;&gt;0,'Boletins Nuppa Site'!I916,"NULL")</f>
        <v>48</v>
      </c>
      <c r="G916" s="30" t="n">
        <f aca="false">IF('Boletins Nuppa Site'!J916&lt;&gt;0,'Boletins Nuppa Site'!J916,"NULL")</f>
        <v>40</v>
      </c>
      <c r="H916" s="30" t="n">
        <f aca="false">IF('Boletins Nuppa Site'!K916&lt;&gt;0,'Boletins Nuppa Site'!K916,"NULL")</f>
        <v>38</v>
      </c>
      <c r="I916" s="0" t="str">
        <f aca="false">"INSERT INTO COTACAO (cot_id, cot_blt_id, cot_pap_id, cot_prc_comum, cot_prc_min, cot_prc_max, cot_prc_med, cot_prc_mediana) VALUES ("&amp;A916&amp;", "&amp;B916&amp;", "&amp;C916&amp;", "&amp;D916&amp;", "&amp;E916&amp;", "&amp;F916&amp;", "&amp;G916&amp;", "&amp;H916&amp;");"</f>
        <v>INSERT INTO COTACAO (cot_id, cot_blt_id, cot_pap_id, cot_prc_comum, cot_prc_min, cot_prc_max, cot_prc_med, cot_prc_mediana) VALUES (915, 60, 3, 36, 36, 48, 40, 38);</v>
      </c>
      <c r="J916" s="0" t="str">
        <f aca="false">"UPDATE COTACAO SET cot_id = "&amp;A916&amp;", cot_blt_id = "&amp;B916&amp;", cot_pap_id = "&amp;C916&amp;", cot_prc_comum = "&amp;D916&amp;", cot_prc_min = "&amp;E916&amp;", cot_prc_max = "&amp;F916&amp;", cot_prc_med = "&amp;G916&amp;", cot_prc_mediana = "&amp;H916&amp;" WHERE cot_id = "&amp;A916&amp;";"</f>
        <v>UPDATE COTACAO SET cot_id = 915, cot_blt_id = 60, cot_pap_id = 3, cot_prc_comum = 36, cot_prc_min = 36, cot_prc_max = 48, cot_prc_med = 40, cot_prc_mediana = 38 WHERE cot_id = 915;</v>
      </c>
    </row>
    <row r="917" customFormat="false" ht="14.25" hidden="false" customHeight="false" outlineLevel="0" collapsed="false">
      <c r="A917" s="0" t="n">
        <v>916</v>
      </c>
      <c r="B917" s="0" t="n">
        <f aca="false">IF('Boletins Nuppa Site'!A917&lt;&gt;0,'Boletins Nuppa Site'!A917,"NULL")</f>
        <v>60</v>
      </c>
      <c r="C917" s="0" t="n">
        <v>4</v>
      </c>
      <c r="D917" s="30" t="n">
        <f aca="false">IF('Boletins Nuppa Site'!G917&lt;&gt;0,'Boletins Nuppa Site'!G917,"NULL")</f>
        <v>24</v>
      </c>
      <c r="E917" s="30" t="n">
        <f aca="false">IF('Boletins Nuppa Site'!H917&lt;&gt;0,'Boletins Nuppa Site'!H917,"NULL")</f>
        <v>20</v>
      </c>
      <c r="F917" s="30" t="n">
        <f aca="false">IF('Boletins Nuppa Site'!I917&lt;&gt;0,'Boletins Nuppa Site'!I917,"NULL")</f>
        <v>24</v>
      </c>
      <c r="G917" s="30" t="n">
        <f aca="false">IF('Boletins Nuppa Site'!J917&lt;&gt;0,'Boletins Nuppa Site'!J917,"NULL")</f>
        <v>23</v>
      </c>
      <c r="H917" s="30" t="n">
        <f aca="false">IF('Boletins Nuppa Site'!K917&lt;&gt;0,'Boletins Nuppa Site'!K917,"NULL")</f>
        <v>24</v>
      </c>
      <c r="I917" s="0" t="str">
        <f aca="false">"INSERT INTO COTACAO (cot_id, cot_blt_id, cot_pap_id, cot_prc_comum, cot_prc_min, cot_prc_max, cot_prc_med, cot_prc_mediana) VALUES ("&amp;A917&amp;", "&amp;B917&amp;", "&amp;C917&amp;", "&amp;D917&amp;", "&amp;E917&amp;", "&amp;F917&amp;", "&amp;G917&amp;", "&amp;H917&amp;");"</f>
        <v>INSERT INTO COTACAO (cot_id, cot_blt_id, cot_pap_id, cot_prc_comum, cot_prc_min, cot_prc_max, cot_prc_med, cot_prc_mediana) VALUES (916, 60, 4, 24, 20, 24, 23, 24);</v>
      </c>
      <c r="J917" s="0" t="str">
        <f aca="false">"UPDATE COTACAO SET cot_id = "&amp;A917&amp;", cot_blt_id = "&amp;B917&amp;", cot_pap_id = "&amp;C917&amp;", cot_prc_comum = "&amp;D917&amp;", cot_prc_min = "&amp;E917&amp;", cot_prc_max = "&amp;F917&amp;", cot_prc_med = "&amp;G917&amp;", cot_prc_mediana = "&amp;H917&amp;" WHERE cot_id = "&amp;A917&amp;";"</f>
        <v>UPDATE COTACAO SET cot_id = 916, cot_blt_id = 60, cot_pap_id = 4, cot_prc_comum = 24, cot_prc_min = 20, cot_prc_max = 24, cot_prc_med = 23, cot_prc_mediana = 24 WHERE cot_id = 916;</v>
      </c>
    </row>
    <row r="918" customFormat="false" ht="14.25" hidden="false" customHeight="false" outlineLevel="0" collapsed="false">
      <c r="A918" s="0" t="n">
        <v>917</v>
      </c>
      <c r="B918" s="0" t="n">
        <f aca="false">IF('Boletins Nuppa Site'!A918&lt;&gt;0,'Boletins Nuppa Site'!A918,"NULL")</f>
        <v>60</v>
      </c>
      <c r="C918" s="0" t="n">
        <v>5</v>
      </c>
      <c r="D918" s="30" t="n">
        <f aca="false">IF('Boletins Nuppa Site'!G918&lt;&gt;0,'Boletins Nuppa Site'!G918,"NULL")</f>
        <v>24</v>
      </c>
      <c r="E918" s="30" t="n">
        <f aca="false">IF('Boletins Nuppa Site'!H918&lt;&gt;0,'Boletins Nuppa Site'!H918,"NULL")</f>
        <v>20</v>
      </c>
      <c r="F918" s="30" t="n">
        <f aca="false">IF('Boletins Nuppa Site'!I918&lt;&gt;0,'Boletins Nuppa Site'!I918,"NULL")</f>
        <v>24</v>
      </c>
      <c r="G918" s="30" t="n">
        <f aca="false">IF('Boletins Nuppa Site'!J918&lt;&gt;0,'Boletins Nuppa Site'!J918,"NULL")</f>
        <v>23</v>
      </c>
      <c r="H918" s="30" t="n">
        <f aca="false">IF('Boletins Nuppa Site'!K918&lt;&gt;0,'Boletins Nuppa Site'!K918,"NULL")</f>
        <v>24</v>
      </c>
      <c r="I918" s="0" t="str">
        <f aca="false">"INSERT INTO COTACAO (cot_id, cot_blt_id, cot_pap_id, cot_prc_comum, cot_prc_min, cot_prc_max, cot_prc_med, cot_prc_mediana) VALUES ("&amp;A918&amp;", "&amp;B918&amp;", "&amp;C918&amp;", "&amp;D918&amp;", "&amp;E918&amp;", "&amp;F918&amp;", "&amp;G918&amp;", "&amp;H918&amp;");"</f>
        <v>INSERT INTO COTACAO (cot_id, cot_blt_id, cot_pap_id, cot_prc_comum, cot_prc_min, cot_prc_max, cot_prc_med, cot_prc_mediana) VALUES (917, 60, 5, 24, 20, 24, 23, 24);</v>
      </c>
      <c r="J918" s="0" t="str">
        <f aca="false">"UPDATE COTACAO SET cot_id = "&amp;A918&amp;", cot_blt_id = "&amp;B918&amp;", cot_pap_id = "&amp;C918&amp;", cot_prc_comum = "&amp;D918&amp;", cot_prc_min = "&amp;E918&amp;", cot_prc_max = "&amp;F918&amp;", cot_prc_med = "&amp;G918&amp;", cot_prc_mediana = "&amp;H918&amp;" WHERE cot_id = "&amp;A918&amp;";"</f>
        <v>UPDATE COTACAO SET cot_id = 917, cot_blt_id = 60, cot_pap_id = 5, cot_prc_comum = 24, cot_prc_min = 20, cot_prc_max = 24, cot_prc_med = 23, cot_prc_mediana = 24 WHERE cot_id = 917;</v>
      </c>
    </row>
    <row r="919" customFormat="false" ht="14.25" hidden="false" customHeight="false" outlineLevel="0" collapsed="false">
      <c r="A919" s="0" t="n">
        <v>918</v>
      </c>
      <c r="B919" s="0" t="n">
        <f aca="false">IF('Boletins Nuppa Site'!A919&lt;&gt;0,'Boletins Nuppa Site'!A919,"NULL")</f>
        <v>60</v>
      </c>
      <c r="C919" s="0" t="n">
        <v>6</v>
      </c>
      <c r="D919" s="30" t="n">
        <f aca="false">IF('Boletins Nuppa Site'!G919&lt;&gt;0,'Boletins Nuppa Site'!G919,"NULL")</f>
        <v>60</v>
      </c>
      <c r="E919" s="30" t="n">
        <f aca="false">IF('Boletins Nuppa Site'!H919&lt;&gt;0,'Boletins Nuppa Site'!H919,"NULL")</f>
        <v>60</v>
      </c>
      <c r="F919" s="30" t="n">
        <f aca="false">IF('Boletins Nuppa Site'!I919&lt;&gt;0,'Boletins Nuppa Site'!I919,"NULL")</f>
        <v>60</v>
      </c>
      <c r="G919" s="30" t="n">
        <f aca="false">IF('Boletins Nuppa Site'!J919&lt;&gt;0,'Boletins Nuppa Site'!J919,"NULL")</f>
        <v>60</v>
      </c>
      <c r="H919" s="30" t="n">
        <f aca="false">IF('Boletins Nuppa Site'!K919&lt;&gt;0,'Boletins Nuppa Site'!K919,"NULL")</f>
        <v>60</v>
      </c>
      <c r="I919" s="0" t="str">
        <f aca="false">"INSERT INTO COTACAO (cot_id, cot_blt_id, cot_pap_id, cot_prc_comum, cot_prc_min, cot_prc_max, cot_prc_med, cot_prc_mediana) VALUES ("&amp;A919&amp;", "&amp;B919&amp;", "&amp;C919&amp;", "&amp;D919&amp;", "&amp;E919&amp;", "&amp;F919&amp;", "&amp;G919&amp;", "&amp;H919&amp;");"</f>
        <v>INSERT INTO COTACAO (cot_id, cot_blt_id, cot_pap_id, cot_prc_comum, cot_prc_min, cot_prc_max, cot_prc_med, cot_prc_mediana) VALUES (918, 60, 6, 60, 60, 60, 60, 60);</v>
      </c>
      <c r="J919" s="0" t="str">
        <f aca="false">"UPDATE COTACAO SET cot_id = "&amp;A919&amp;", cot_blt_id = "&amp;B919&amp;", cot_pap_id = "&amp;C919&amp;", cot_prc_comum = "&amp;D919&amp;", cot_prc_min = "&amp;E919&amp;", cot_prc_max = "&amp;F919&amp;", cot_prc_med = "&amp;G919&amp;", cot_prc_mediana = "&amp;H919&amp;" WHERE cot_id = "&amp;A919&amp;";"</f>
        <v>UPDATE COTACAO SET cot_id = 918, cot_blt_id = 60, cot_pap_id = 6, cot_prc_comum = 60, cot_prc_min = 60, cot_prc_max = 60, cot_prc_med = 60, cot_prc_mediana = 60 WHERE cot_id = 918;</v>
      </c>
    </row>
    <row r="920" customFormat="false" ht="14.25" hidden="false" customHeight="false" outlineLevel="0" collapsed="false">
      <c r="A920" s="0" t="n">
        <v>919</v>
      </c>
      <c r="B920" s="0" t="n">
        <f aca="false">IF('Boletins Nuppa Site'!A920&lt;&gt;0,'Boletins Nuppa Site'!A920,"NULL")</f>
        <v>60</v>
      </c>
      <c r="C920" s="0" t="n">
        <v>7</v>
      </c>
      <c r="D920" s="30" t="n">
        <f aca="false">IF('Boletins Nuppa Site'!G920&lt;&gt;0,'Boletins Nuppa Site'!G920,"NULL")</f>
        <v>60</v>
      </c>
      <c r="E920" s="30" t="n">
        <f aca="false">IF('Boletins Nuppa Site'!H920&lt;&gt;0,'Boletins Nuppa Site'!H920,"NULL")</f>
        <v>54</v>
      </c>
      <c r="F920" s="30" t="n">
        <f aca="false">IF('Boletins Nuppa Site'!I920&lt;&gt;0,'Boletins Nuppa Site'!I920,"NULL")</f>
        <v>60</v>
      </c>
      <c r="G920" s="0" t="str">
        <f aca="false">IF('Boletins Nuppa Site'!J920&lt;&gt;0,'Boletins Nuppa Site'!J920,"NULL")</f>
        <v>58.5</v>
      </c>
      <c r="H920" s="30" t="n">
        <f aca="false">IF('Boletins Nuppa Site'!K920&lt;&gt;0,'Boletins Nuppa Site'!K920,"NULL")</f>
        <v>60</v>
      </c>
      <c r="I920" s="0" t="str">
        <f aca="false">"INSERT INTO COTACAO (cot_id, cot_blt_id, cot_pap_id, cot_prc_comum, cot_prc_min, cot_prc_max, cot_prc_med, cot_prc_mediana) VALUES ("&amp;A920&amp;", "&amp;B920&amp;", "&amp;C920&amp;", "&amp;D920&amp;", "&amp;E920&amp;", "&amp;F920&amp;", "&amp;G920&amp;", "&amp;H920&amp;");"</f>
        <v>INSERT INTO COTACAO (cot_id, cot_blt_id, cot_pap_id, cot_prc_comum, cot_prc_min, cot_prc_max, cot_prc_med, cot_prc_mediana) VALUES (919, 60, 7, 60, 54, 60, 58.5, 60);</v>
      </c>
      <c r="J920" s="0" t="str">
        <f aca="false">"UPDATE COTACAO SET cot_id = "&amp;A920&amp;", cot_blt_id = "&amp;B920&amp;", cot_pap_id = "&amp;C920&amp;", cot_prc_comum = "&amp;D920&amp;", cot_prc_min = "&amp;E920&amp;", cot_prc_max = "&amp;F920&amp;", cot_prc_med = "&amp;G920&amp;", cot_prc_mediana = "&amp;H920&amp;" WHERE cot_id = "&amp;A920&amp;";"</f>
        <v>UPDATE COTACAO SET cot_id = 919, cot_blt_id = 60, cot_pap_id = 7, cot_prc_comum = 60, cot_prc_min = 54, cot_prc_max = 60, cot_prc_med = 58.5, cot_prc_mediana = 60 WHERE cot_id = 919;</v>
      </c>
    </row>
    <row r="921" customFormat="false" ht="14.25" hidden="false" customHeight="false" outlineLevel="0" collapsed="false">
      <c r="A921" s="0" t="n">
        <v>920</v>
      </c>
      <c r="B921" s="0" t="n">
        <f aca="false">IF('Boletins Nuppa Site'!A921&lt;&gt;0,'Boletins Nuppa Site'!A921,"NULL")</f>
        <v>60</v>
      </c>
      <c r="C921" s="0" t="n">
        <v>8</v>
      </c>
      <c r="D921" s="30" t="n">
        <f aca="false">IF('Boletins Nuppa Site'!G921&lt;&gt;0,'Boletins Nuppa Site'!G921,"NULL")</f>
        <v>84</v>
      </c>
      <c r="E921" s="30" t="n">
        <f aca="false">IF('Boletins Nuppa Site'!H921&lt;&gt;0,'Boletins Nuppa Site'!H921,"NULL")</f>
        <v>72</v>
      </c>
      <c r="F921" s="30" t="n">
        <f aca="false">IF('Boletins Nuppa Site'!I921&lt;&gt;0,'Boletins Nuppa Site'!I921,"NULL")</f>
        <v>96</v>
      </c>
      <c r="G921" s="30" t="n">
        <f aca="false">IF('Boletins Nuppa Site'!J921&lt;&gt;0,'Boletins Nuppa Site'!J921,"NULL")</f>
        <v>84</v>
      </c>
      <c r="H921" s="30" t="n">
        <f aca="false">IF('Boletins Nuppa Site'!K921&lt;&gt;0,'Boletins Nuppa Site'!K921,"NULL")</f>
        <v>84</v>
      </c>
      <c r="I921" s="0" t="str">
        <f aca="false">"INSERT INTO COTACAO (cot_id, cot_blt_id, cot_pap_id, cot_prc_comum, cot_prc_min, cot_prc_max, cot_prc_med, cot_prc_mediana) VALUES ("&amp;A921&amp;", "&amp;B921&amp;", "&amp;C921&amp;", "&amp;D921&amp;", "&amp;E921&amp;", "&amp;F921&amp;", "&amp;G921&amp;", "&amp;H921&amp;");"</f>
        <v>INSERT INTO COTACAO (cot_id, cot_blt_id, cot_pap_id, cot_prc_comum, cot_prc_min, cot_prc_max, cot_prc_med, cot_prc_mediana) VALUES (920, 60, 8, 84, 72, 96, 84, 84);</v>
      </c>
      <c r="J921" s="0" t="str">
        <f aca="false">"UPDATE COTACAO SET cot_id = "&amp;A921&amp;", cot_blt_id = "&amp;B921&amp;", cot_pap_id = "&amp;C921&amp;", cot_prc_comum = "&amp;D921&amp;", cot_prc_min = "&amp;E921&amp;", cot_prc_max = "&amp;F921&amp;", cot_prc_med = "&amp;G921&amp;", cot_prc_mediana = "&amp;H921&amp;" WHERE cot_id = "&amp;A921&amp;";"</f>
        <v>UPDATE COTACAO SET cot_id = 920, cot_blt_id = 60, cot_pap_id = 8, cot_prc_comum = 84, cot_prc_min = 72, cot_prc_max = 96, cot_prc_med = 84, cot_prc_mediana = 84 WHERE cot_id = 920;</v>
      </c>
    </row>
    <row r="922" customFormat="false" ht="14.25" hidden="false" customHeight="false" outlineLevel="0" collapsed="false">
      <c r="A922" s="0" t="n">
        <v>921</v>
      </c>
      <c r="B922" s="0" t="n">
        <f aca="false">IF('Boletins Nuppa Site'!A922&lt;&gt;0,'Boletins Nuppa Site'!A922,"NULL")</f>
        <v>60</v>
      </c>
      <c r="C922" s="0" t="n">
        <v>9</v>
      </c>
      <c r="D922" s="30" t="n">
        <f aca="false">IF('Boletins Nuppa Site'!G922&lt;&gt;0,'Boletins Nuppa Site'!G922,"NULL")</f>
        <v>24</v>
      </c>
      <c r="E922" s="30" t="n">
        <f aca="false">IF('Boletins Nuppa Site'!H922&lt;&gt;0,'Boletins Nuppa Site'!H922,"NULL")</f>
        <v>24</v>
      </c>
      <c r="F922" s="30" t="n">
        <f aca="false">IF('Boletins Nuppa Site'!I922&lt;&gt;0,'Boletins Nuppa Site'!I922,"NULL")</f>
        <v>30</v>
      </c>
      <c r="G922" s="0" t="str">
        <f aca="false">IF('Boletins Nuppa Site'!J922&lt;&gt;0,'Boletins Nuppa Site'!J922,"NULL")</f>
        <v>25.5</v>
      </c>
      <c r="H922" s="30" t="n">
        <f aca="false">IF('Boletins Nuppa Site'!K922&lt;&gt;0,'Boletins Nuppa Site'!K922,"NULL")</f>
        <v>24</v>
      </c>
      <c r="I922" s="0" t="str">
        <f aca="false">"INSERT INTO COTACAO (cot_id, cot_blt_id, cot_pap_id, cot_prc_comum, cot_prc_min, cot_prc_max, cot_prc_med, cot_prc_mediana) VALUES ("&amp;A922&amp;", "&amp;B922&amp;", "&amp;C922&amp;", "&amp;D922&amp;", "&amp;E922&amp;", "&amp;F922&amp;", "&amp;G922&amp;", "&amp;H922&amp;");"</f>
        <v>INSERT INTO COTACAO (cot_id, cot_blt_id, cot_pap_id, cot_prc_comum, cot_prc_min, cot_prc_max, cot_prc_med, cot_prc_mediana) VALUES (921, 60, 9, 24, 24, 30, 25.5, 24);</v>
      </c>
      <c r="J922" s="0" t="str">
        <f aca="false">"UPDATE COTACAO SET cot_id = "&amp;A922&amp;", cot_blt_id = "&amp;B922&amp;", cot_pap_id = "&amp;C922&amp;", cot_prc_comum = "&amp;D922&amp;", cot_prc_min = "&amp;E922&amp;", cot_prc_max = "&amp;F922&amp;", cot_prc_med = "&amp;G922&amp;", cot_prc_mediana = "&amp;H922&amp;" WHERE cot_id = "&amp;A922&amp;";"</f>
        <v>UPDATE COTACAO SET cot_id = 921, cot_blt_id = 60, cot_pap_id = 9, cot_prc_comum = 24, cot_prc_min = 24, cot_prc_max = 30, cot_prc_med = 25.5, cot_prc_mediana = 24 WHERE cot_id = 921;</v>
      </c>
    </row>
    <row r="923" customFormat="false" ht="14.25" hidden="false" customHeight="false" outlineLevel="0" collapsed="false">
      <c r="A923" s="0" t="n">
        <v>922</v>
      </c>
      <c r="B923" s="0" t="n">
        <f aca="false">IF('Boletins Nuppa Site'!A923&lt;&gt;0,'Boletins Nuppa Site'!A923,"NULL")</f>
        <v>60</v>
      </c>
      <c r="C923" s="0" t="n">
        <v>10</v>
      </c>
      <c r="D923" s="30" t="n">
        <f aca="false">IF('Boletins Nuppa Site'!G923&lt;&gt;0,'Boletins Nuppa Site'!G923,"NULL")</f>
        <v>60</v>
      </c>
      <c r="E923" s="30" t="n">
        <f aca="false">IF('Boletins Nuppa Site'!H923&lt;&gt;0,'Boletins Nuppa Site'!H923,"NULL")</f>
        <v>60</v>
      </c>
      <c r="F923" s="30" t="n">
        <f aca="false">IF('Boletins Nuppa Site'!I923&lt;&gt;0,'Boletins Nuppa Site'!I923,"NULL")</f>
        <v>72</v>
      </c>
      <c r="G923" s="30" t="n">
        <f aca="false">IF('Boletins Nuppa Site'!J923&lt;&gt;0,'Boletins Nuppa Site'!J923,"NULL")</f>
        <v>63</v>
      </c>
      <c r="H923" s="30" t="n">
        <f aca="false">IF('Boletins Nuppa Site'!K923&lt;&gt;0,'Boletins Nuppa Site'!K923,"NULL")</f>
        <v>60</v>
      </c>
      <c r="I923" s="0" t="str">
        <f aca="false">"INSERT INTO COTACAO (cot_id, cot_blt_id, cot_pap_id, cot_prc_comum, cot_prc_min, cot_prc_max, cot_prc_med, cot_prc_mediana) VALUES ("&amp;A923&amp;", "&amp;B923&amp;", "&amp;C923&amp;", "&amp;D923&amp;", "&amp;E923&amp;", "&amp;F923&amp;", "&amp;G923&amp;", "&amp;H923&amp;");"</f>
        <v>INSERT INTO COTACAO (cot_id, cot_blt_id, cot_pap_id, cot_prc_comum, cot_prc_min, cot_prc_max, cot_prc_med, cot_prc_mediana) VALUES (922, 60, 10, 60, 60, 72, 63, 60);</v>
      </c>
      <c r="J923" s="0" t="str">
        <f aca="false">"UPDATE COTACAO SET cot_id = "&amp;A923&amp;", cot_blt_id = "&amp;B923&amp;", cot_pap_id = "&amp;C923&amp;", cot_prc_comum = "&amp;D923&amp;", cot_prc_min = "&amp;E923&amp;", cot_prc_max = "&amp;F923&amp;", cot_prc_med = "&amp;G923&amp;", cot_prc_mediana = "&amp;H923&amp;" WHERE cot_id = "&amp;A923&amp;";"</f>
        <v>UPDATE COTACAO SET cot_id = 922, cot_blt_id = 60, cot_pap_id = 10, cot_prc_comum = 60, cot_prc_min = 60, cot_prc_max = 72, cot_prc_med = 63, cot_prc_mediana = 60 WHERE cot_id = 922;</v>
      </c>
    </row>
    <row r="924" customFormat="false" ht="14.25" hidden="false" customHeight="false" outlineLevel="0" collapsed="false">
      <c r="A924" s="0" t="n">
        <v>923</v>
      </c>
      <c r="B924" s="0" t="n">
        <f aca="false">IF('Boletins Nuppa Site'!A924&lt;&gt;0,'Boletins Nuppa Site'!A924,"NULL")</f>
        <v>60</v>
      </c>
      <c r="C924" s="0" t="n">
        <v>11</v>
      </c>
      <c r="D924" s="30" t="n">
        <f aca="false">IF('Boletins Nuppa Site'!G924&lt;&gt;0,'Boletins Nuppa Site'!G924,"NULL")</f>
        <v>24</v>
      </c>
      <c r="E924" s="30" t="n">
        <f aca="false">IF('Boletins Nuppa Site'!H924&lt;&gt;0,'Boletins Nuppa Site'!H924,"NULL")</f>
        <v>20</v>
      </c>
      <c r="F924" s="30" t="n">
        <f aca="false">IF('Boletins Nuppa Site'!I924&lt;&gt;0,'Boletins Nuppa Site'!I924,"NULL")</f>
        <v>24</v>
      </c>
      <c r="G924" s="30" t="n">
        <f aca="false">IF('Boletins Nuppa Site'!J924&lt;&gt;0,'Boletins Nuppa Site'!J924,"NULL")</f>
        <v>23</v>
      </c>
      <c r="H924" s="30" t="n">
        <f aca="false">IF('Boletins Nuppa Site'!K924&lt;&gt;0,'Boletins Nuppa Site'!K924,"NULL")</f>
        <v>24</v>
      </c>
      <c r="I924" s="0" t="str">
        <f aca="false">"INSERT INTO COTACAO (cot_id, cot_blt_id, cot_pap_id, cot_prc_comum, cot_prc_min, cot_prc_max, cot_prc_med, cot_prc_mediana) VALUES ("&amp;A924&amp;", "&amp;B924&amp;", "&amp;C924&amp;", "&amp;D924&amp;", "&amp;E924&amp;", "&amp;F924&amp;", "&amp;G924&amp;", "&amp;H924&amp;");"</f>
        <v>INSERT INTO COTACAO (cot_id, cot_blt_id, cot_pap_id, cot_prc_comum, cot_prc_min, cot_prc_max, cot_prc_med, cot_prc_mediana) VALUES (923, 60, 11, 24, 20, 24, 23, 24);</v>
      </c>
      <c r="J924" s="0" t="str">
        <f aca="false">"UPDATE COTACAO SET cot_id = "&amp;A924&amp;", cot_blt_id = "&amp;B924&amp;", cot_pap_id = "&amp;C924&amp;", cot_prc_comum = "&amp;D924&amp;", cot_prc_min = "&amp;E924&amp;", cot_prc_max = "&amp;F924&amp;", cot_prc_med = "&amp;G924&amp;", cot_prc_mediana = "&amp;H924&amp;" WHERE cot_id = "&amp;A924&amp;";"</f>
        <v>UPDATE COTACAO SET cot_id = 923, cot_blt_id = 60, cot_pap_id = 11, cot_prc_comum = 24, cot_prc_min = 20, cot_prc_max = 24, cot_prc_med = 23, cot_prc_mediana = 24 WHERE cot_id = 923;</v>
      </c>
    </row>
    <row r="925" customFormat="false" ht="14.25" hidden="false" customHeight="false" outlineLevel="0" collapsed="false">
      <c r="A925" s="0" t="n">
        <v>924</v>
      </c>
      <c r="B925" s="0" t="n">
        <f aca="false">IF('Boletins Nuppa Site'!A925&lt;&gt;0,'Boletins Nuppa Site'!A925,"NULL")</f>
        <v>60</v>
      </c>
      <c r="C925" s="0" t="n">
        <v>12</v>
      </c>
      <c r="D925" s="30" t="n">
        <f aca="false">IF('Boletins Nuppa Site'!G925&lt;&gt;0,'Boletins Nuppa Site'!G925,"NULL")</f>
        <v>60</v>
      </c>
      <c r="E925" s="30" t="n">
        <f aca="false">IF('Boletins Nuppa Site'!H925&lt;&gt;0,'Boletins Nuppa Site'!H925,"NULL")</f>
        <v>60</v>
      </c>
      <c r="F925" s="30" t="n">
        <f aca="false">IF('Boletins Nuppa Site'!I925&lt;&gt;0,'Boletins Nuppa Site'!I925,"NULL")</f>
        <v>78</v>
      </c>
      <c r="G925" s="0" t="str">
        <f aca="false">IF('Boletins Nuppa Site'!J925&lt;&gt;0,'Boletins Nuppa Site'!J925,"NULL")</f>
        <v>64.5</v>
      </c>
      <c r="H925" s="30" t="n">
        <f aca="false">IF('Boletins Nuppa Site'!K925&lt;&gt;0,'Boletins Nuppa Site'!K925,"NULL")</f>
        <v>60</v>
      </c>
      <c r="I925" s="0" t="str">
        <f aca="false">"INSERT INTO COTACAO (cot_id, cot_blt_id, cot_pap_id, cot_prc_comum, cot_prc_min, cot_prc_max, cot_prc_med, cot_prc_mediana) VALUES ("&amp;A925&amp;", "&amp;B925&amp;", "&amp;C925&amp;", "&amp;D925&amp;", "&amp;E925&amp;", "&amp;F925&amp;", "&amp;G925&amp;", "&amp;H925&amp;");"</f>
        <v>INSERT INTO COTACAO (cot_id, cot_blt_id, cot_pap_id, cot_prc_comum, cot_prc_min, cot_prc_max, cot_prc_med, cot_prc_mediana) VALUES (924, 60, 12, 60, 60, 78, 64.5, 60);</v>
      </c>
      <c r="J925" s="0" t="str">
        <f aca="false">"UPDATE COTACAO SET cot_id = "&amp;A925&amp;", cot_blt_id = "&amp;B925&amp;", cot_pap_id = "&amp;C925&amp;", cot_prc_comum = "&amp;D925&amp;", cot_prc_min = "&amp;E925&amp;", cot_prc_max = "&amp;F925&amp;", cot_prc_med = "&amp;G925&amp;", cot_prc_mediana = "&amp;H925&amp;" WHERE cot_id = "&amp;A925&amp;";"</f>
        <v>UPDATE COTACAO SET cot_id = 924, cot_blt_id = 60, cot_pap_id = 12, cot_prc_comum = 60, cot_prc_min = 60, cot_prc_max = 78, cot_prc_med = 64.5, cot_prc_mediana = 60 WHERE cot_id = 924;</v>
      </c>
    </row>
    <row r="926" customFormat="false" ht="14.25" hidden="false" customHeight="false" outlineLevel="0" collapsed="false">
      <c r="A926" s="0" t="n">
        <v>925</v>
      </c>
      <c r="B926" s="0" t="n">
        <f aca="false">IF('Boletins Nuppa Site'!A926&lt;&gt;0,'Boletins Nuppa Site'!A926,"NULL")</f>
        <v>60</v>
      </c>
      <c r="C926" s="0" t="n">
        <v>13</v>
      </c>
      <c r="D926" s="30" t="n">
        <f aca="false">IF('Boletins Nuppa Site'!G926&lt;&gt;0,'Boletins Nuppa Site'!G926,"NULL")</f>
        <v>60</v>
      </c>
      <c r="E926" s="30" t="n">
        <f aca="false">IF('Boletins Nuppa Site'!H926&lt;&gt;0,'Boletins Nuppa Site'!H926,"NULL")</f>
        <v>60</v>
      </c>
      <c r="F926" s="30" t="n">
        <f aca="false">IF('Boletins Nuppa Site'!I926&lt;&gt;0,'Boletins Nuppa Site'!I926,"NULL")</f>
        <v>60</v>
      </c>
      <c r="G926" s="30" t="n">
        <f aca="false">IF('Boletins Nuppa Site'!J926&lt;&gt;0,'Boletins Nuppa Site'!J926,"NULL")</f>
        <v>60</v>
      </c>
      <c r="H926" s="30" t="n">
        <f aca="false">IF('Boletins Nuppa Site'!K926&lt;&gt;0,'Boletins Nuppa Site'!K926,"NULL")</f>
        <v>60</v>
      </c>
      <c r="I926" s="0" t="str">
        <f aca="false">"INSERT INTO COTACAO (cot_id, cot_blt_id, cot_pap_id, cot_prc_comum, cot_prc_min, cot_prc_max, cot_prc_med, cot_prc_mediana) VALUES ("&amp;A926&amp;", "&amp;B926&amp;", "&amp;C926&amp;", "&amp;D926&amp;", "&amp;E926&amp;", "&amp;F926&amp;", "&amp;G926&amp;", "&amp;H926&amp;");"</f>
        <v>INSERT INTO COTACAO (cot_id, cot_blt_id, cot_pap_id, cot_prc_comum, cot_prc_min, cot_prc_max, cot_prc_med, cot_prc_mediana) VALUES (925, 60, 13, 60, 60, 60, 60, 60);</v>
      </c>
      <c r="J926" s="0" t="str">
        <f aca="false">"UPDATE COTACAO SET cot_id = "&amp;A926&amp;", cot_blt_id = "&amp;B926&amp;", cot_pap_id = "&amp;C926&amp;", cot_prc_comum = "&amp;D926&amp;", cot_prc_min = "&amp;E926&amp;", cot_prc_max = "&amp;F926&amp;", cot_prc_med = "&amp;G926&amp;", cot_prc_mediana = "&amp;H926&amp;" WHERE cot_id = "&amp;A926&amp;";"</f>
        <v>UPDATE COTACAO SET cot_id = 925, cot_blt_id = 60, cot_pap_id = 13, cot_prc_comum = 60, cot_prc_min = 60, cot_prc_max = 60, cot_prc_med = 60, cot_prc_mediana = 60 WHERE cot_id = 925;</v>
      </c>
    </row>
    <row r="927" customFormat="false" ht="14.25" hidden="false" customHeight="false" outlineLevel="0" collapsed="false">
      <c r="A927" s="0" t="n">
        <v>926</v>
      </c>
      <c r="B927" s="0" t="n">
        <f aca="false">IF('Boletins Nuppa Site'!A927&lt;&gt;0,'Boletins Nuppa Site'!A927,"NULL")</f>
        <v>60</v>
      </c>
      <c r="C927" s="0" t="n">
        <v>14</v>
      </c>
      <c r="D927" s="0" t="str">
        <f aca="false">IF('Boletins Nuppa Site'!G927&lt;&gt;0,'Boletins Nuppa Site'!G927,"NULL")</f>
        <v>NULL</v>
      </c>
      <c r="E927" s="30" t="n">
        <f aca="false">IF('Boletins Nuppa Site'!H927&lt;&gt;0,'Boletins Nuppa Site'!H927,"NULL")</f>
        <v>50</v>
      </c>
      <c r="F927" s="30" t="n">
        <f aca="false">IF('Boletins Nuppa Site'!I927&lt;&gt;0,'Boletins Nuppa Site'!I927,"NULL")</f>
        <v>84</v>
      </c>
      <c r="G927" s="0" t="str">
        <f aca="false">IF('Boletins Nuppa Site'!J927&lt;&gt;0,'Boletins Nuppa Site'!J927,"NULL")</f>
        <v>66.5</v>
      </c>
      <c r="H927" s="30" t="n">
        <f aca="false">IF('Boletins Nuppa Site'!K927&lt;&gt;0,'Boletins Nuppa Site'!K927,"NULL")</f>
        <v>66</v>
      </c>
      <c r="I927" s="0" t="str">
        <f aca="false">"INSERT INTO COTACAO (cot_id, cot_blt_id, cot_pap_id, cot_prc_comum, cot_prc_min, cot_prc_max, cot_prc_med, cot_prc_mediana) VALUES ("&amp;A927&amp;", "&amp;B927&amp;", "&amp;C927&amp;", "&amp;D927&amp;", "&amp;E927&amp;", "&amp;F927&amp;", "&amp;G927&amp;", "&amp;H927&amp;");"</f>
        <v>INSERT INTO COTACAO (cot_id, cot_blt_id, cot_pap_id, cot_prc_comum, cot_prc_min, cot_prc_max, cot_prc_med, cot_prc_mediana) VALUES (926, 60, 14, NULL, 50, 84, 66.5, 66);</v>
      </c>
      <c r="J927" s="0" t="str">
        <f aca="false">"UPDATE COTACAO SET cot_id = "&amp;A927&amp;", cot_blt_id = "&amp;B927&amp;", cot_pap_id = "&amp;C927&amp;", cot_prc_comum = "&amp;D927&amp;", cot_prc_min = "&amp;E927&amp;", cot_prc_max = "&amp;F927&amp;", cot_prc_med = "&amp;G927&amp;", cot_prc_mediana = "&amp;H927&amp;" WHERE cot_id = "&amp;A927&amp;";"</f>
        <v>UPDATE COTACAO SET cot_id = 926, cot_blt_id = 60, cot_pap_id = 14, cot_prc_comum = NULL, cot_prc_min = 50, cot_prc_max = 84, cot_prc_med = 66.5, cot_prc_mediana = 66 WHERE cot_id = 926;</v>
      </c>
    </row>
    <row r="928" customFormat="false" ht="14.25" hidden="false" customHeight="false" outlineLevel="0" collapsed="false">
      <c r="A928" s="0" t="n">
        <v>927</v>
      </c>
      <c r="B928" s="0" t="n">
        <f aca="false">IF('Boletins Nuppa Site'!A928&lt;&gt;0,'Boletins Nuppa Site'!A928,"NULL")</f>
        <v>60</v>
      </c>
      <c r="C928" s="0" t="n">
        <v>15</v>
      </c>
      <c r="D928" s="30" t="n">
        <f aca="false">IF('Boletins Nuppa Site'!G928&lt;&gt;0,'Boletins Nuppa Site'!G928,"NULL")</f>
        <v>45</v>
      </c>
      <c r="E928" s="30" t="n">
        <f aca="false">IF('Boletins Nuppa Site'!H928&lt;&gt;0,'Boletins Nuppa Site'!H928,"NULL")</f>
        <v>40</v>
      </c>
      <c r="F928" s="30" t="n">
        <f aca="false">IF('Boletins Nuppa Site'!I928&lt;&gt;0,'Boletins Nuppa Site'!I928,"NULL")</f>
        <v>48</v>
      </c>
      <c r="G928" s="0" t="str">
        <f aca="false">IF('Boletins Nuppa Site'!J928&lt;&gt;0,'Boletins Nuppa Site'!J928,"NULL")</f>
        <v>44.5</v>
      </c>
      <c r="H928" s="30" t="n">
        <f aca="false">IF('Boletins Nuppa Site'!K928&lt;&gt;0,'Boletins Nuppa Site'!K928,"NULL")</f>
        <v>45</v>
      </c>
      <c r="I928" s="0" t="str">
        <f aca="false">"INSERT INTO COTACAO (cot_id, cot_blt_id, cot_pap_id, cot_prc_comum, cot_prc_min, cot_prc_max, cot_prc_med, cot_prc_mediana) VALUES ("&amp;A928&amp;", "&amp;B928&amp;", "&amp;C928&amp;", "&amp;D928&amp;", "&amp;E928&amp;", "&amp;F928&amp;", "&amp;G928&amp;", "&amp;H928&amp;");"</f>
        <v>INSERT INTO COTACAO (cot_id, cot_blt_id, cot_pap_id, cot_prc_comum, cot_prc_min, cot_prc_max, cot_prc_med, cot_prc_mediana) VALUES (927, 60, 15, 45, 40, 48, 44.5, 45);</v>
      </c>
      <c r="J928" s="0" t="str">
        <f aca="false">"UPDATE COTACAO SET cot_id = "&amp;A928&amp;", cot_blt_id = "&amp;B928&amp;", cot_pap_id = "&amp;C928&amp;", cot_prc_comum = "&amp;D928&amp;", cot_prc_min = "&amp;E928&amp;", cot_prc_max = "&amp;F928&amp;", cot_prc_med = "&amp;G928&amp;", cot_prc_mediana = "&amp;H928&amp;" WHERE cot_id = "&amp;A928&amp;";"</f>
        <v>UPDATE COTACAO SET cot_id = 927, cot_blt_id = 60, cot_pap_id = 15, cot_prc_comum = 45, cot_prc_min = 40, cot_prc_max = 48, cot_prc_med = 44.5, cot_prc_mediana = 45 WHERE cot_id = 927;</v>
      </c>
    </row>
    <row r="929" customFormat="false" ht="14.25" hidden="false" customHeight="false" outlineLevel="0" collapsed="false">
      <c r="A929" s="0" t="n">
        <v>928</v>
      </c>
      <c r="B929" s="0" t="n">
        <f aca="false">IF('Boletins Nuppa Site'!A929&lt;&gt;0,'Boletins Nuppa Site'!A929,"NULL")</f>
        <v>60</v>
      </c>
      <c r="C929" s="0" t="n">
        <v>16</v>
      </c>
      <c r="D929" s="30" t="n">
        <f aca="false">IF('Boletins Nuppa Site'!G929&lt;&gt;0,'Boletins Nuppa Site'!G929,"NULL")</f>
        <v>48</v>
      </c>
      <c r="E929" s="30" t="n">
        <f aca="false">IF('Boletins Nuppa Site'!H929&lt;&gt;0,'Boletins Nuppa Site'!H929,"NULL")</f>
        <v>48</v>
      </c>
      <c r="F929" s="30" t="n">
        <f aca="false">IF('Boletins Nuppa Site'!I929&lt;&gt;0,'Boletins Nuppa Site'!I929,"NULL")</f>
        <v>54</v>
      </c>
      <c r="G929" s="0" t="str">
        <f aca="false">IF('Boletins Nuppa Site'!J929&lt;&gt;0,'Boletins Nuppa Site'!J929,"NULL")</f>
        <v>49.5</v>
      </c>
      <c r="H929" s="30" t="n">
        <f aca="false">IF('Boletins Nuppa Site'!K929&lt;&gt;0,'Boletins Nuppa Site'!K929,"NULL")</f>
        <v>48</v>
      </c>
      <c r="I929" s="0" t="str">
        <f aca="false">"INSERT INTO COTACAO (cot_id, cot_blt_id, cot_pap_id, cot_prc_comum, cot_prc_min, cot_prc_max, cot_prc_med, cot_prc_mediana) VALUES ("&amp;A929&amp;", "&amp;B929&amp;", "&amp;C929&amp;", "&amp;D929&amp;", "&amp;E929&amp;", "&amp;F929&amp;", "&amp;G929&amp;", "&amp;H929&amp;");"</f>
        <v>INSERT INTO COTACAO (cot_id, cot_blt_id, cot_pap_id, cot_prc_comum, cot_prc_min, cot_prc_max, cot_prc_med, cot_prc_mediana) VALUES (928, 60, 16, 48, 48, 54, 49.5, 48);</v>
      </c>
      <c r="J929" s="0" t="str">
        <f aca="false">"UPDATE COTACAO SET cot_id = "&amp;A929&amp;", cot_blt_id = "&amp;B929&amp;", cot_pap_id = "&amp;C929&amp;", cot_prc_comum = "&amp;D929&amp;", cot_prc_min = "&amp;E929&amp;", cot_prc_max = "&amp;F929&amp;", cot_prc_med = "&amp;G929&amp;", cot_prc_mediana = "&amp;H929&amp;" WHERE cot_id = "&amp;A929&amp;";"</f>
        <v>UPDATE COTACAO SET cot_id = 928, cot_blt_id = 60, cot_pap_id = 16, cot_prc_comum = 48, cot_prc_min = 48, cot_prc_max = 54, cot_prc_med = 49.5, cot_prc_mediana = 48 WHERE cot_id = 928;</v>
      </c>
    </row>
    <row r="930" customFormat="false" ht="14.25" hidden="false" customHeight="false" outlineLevel="0" collapsed="false">
      <c r="A930" s="0" t="n">
        <v>929</v>
      </c>
      <c r="B930" s="0" t="n">
        <f aca="false">IF('Boletins Nuppa Site'!A930&lt;&gt;0,'Boletins Nuppa Site'!A930,"NULL")</f>
        <v>60</v>
      </c>
      <c r="C930" s="0" t="n">
        <v>17</v>
      </c>
      <c r="D930" s="30" t="n">
        <f aca="false">IF('Boletins Nuppa Site'!G930&lt;&gt;0,'Boletins Nuppa Site'!G930,"NULL")</f>
        <v>5</v>
      </c>
      <c r="E930" s="30" t="n">
        <f aca="false">IF('Boletins Nuppa Site'!H930&lt;&gt;0,'Boletins Nuppa Site'!H930,"NULL")</f>
        <v>5</v>
      </c>
      <c r="F930" s="30" t="n">
        <f aca="false">IF('Boletins Nuppa Site'!I930&lt;&gt;0,'Boletins Nuppa Site'!I930,"NULL")</f>
        <v>5</v>
      </c>
      <c r="G930" s="30" t="n">
        <f aca="false">IF('Boletins Nuppa Site'!J930&lt;&gt;0,'Boletins Nuppa Site'!J930,"NULL")</f>
        <v>5</v>
      </c>
      <c r="H930" s="30" t="n">
        <f aca="false">IF('Boletins Nuppa Site'!K930&lt;&gt;0,'Boletins Nuppa Site'!K930,"NULL")</f>
        <v>5</v>
      </c>
      <c r="I930" s="0" t="str">
        <f aca="false">"INSERT INTO COTACAO (cot_id, cot_blt_id, cot_pap_id, cot_prc_comum, cot_prc_min, cot_prc_max, cot_prc_med, cot_prc_mediana) VALUES ("&amp;A930&amp;", "&amp;B930&amp;", "&amp;C930&amp;", "&amp;D930&amp;", "&amp;E930&amp;", "&amp;F930&amp;", "&amp;G930&amp;", "&amp;H930&amp;");"</f>
        <v>INSERT INTO COTACAO (cot_id, cot_blt_id, cot_pap_id, cot_prc_comum, cot_prc_min, cot_prc_max, cot_prc_med, cot_prc_mediana) VALUES (929, 60, 17, 5, 5, 5, 5, 5);</v>
      </c>
      <c r="J930" s="0" t="str">
        <f aca="false">"UPDATE COTACAO SET cot_id = "&amp;A930&amp;", cot_blt_id = "&amp;B930&amp;", cot_pap_id = "&amp;C930&amp;", cot_prc_comum = "&amp;D930&amp;", cot_prc_min = "&amp;E930&amp;", cot_prc_max = "&amp;F930&amp;", cot_prc_med = "&amp;G930&amp;", cot_prc_mediana = "&amp;H930&amp;" WHERE cot_id = "&amp;A930&amp;";"</f>
        <v>UPDATE COTACAO SET cot_id = 929, cot_blt_id = 60, cot_pap_id = 17, cot_prc_comum = 5, cot_prc_min = 5, cot_prc_max = 5, cot_prc_med = 5, cot_prc_mediana = 5 WHERE cot_id = 929;</v>
      </c>
    </row>
    <row r="931" customFormat="false" ht="14.25" hidden="false" customHeight="false" outlineLevel="0" collapsed="false">
      <c r="A931" s="0" t="n">
        <v>930</v>
      </c>
      <c r="B931" s="0" t="n">
        <f aca="false">IF('Boletins Nuppa Site'!A931&lt;&gt;0,'Boletins Nuppa Site'!A931,"NULL")</f>
        <v>60</v>
      </c>
      <c r="C931" s="0" t="n">
        <v>18</v>
      </c>
      <c r="D931" s="30" t="n">
        <f aca="false">IF('Boletins Nuppa Site'!G931&lt;&gt;0,'Boletins Nuppa Site'!G931,"NULL")</f>
        <v>15</v>
      </c>
      <c r="E931" s="30" t="n">
        <f aca="false">IF('Boletins Nuppa Site'!H931&lt;&gt;0,'Boletins Nuppa Site'!H931,"NULL")</f>
        <v>10</v>
      </c>
      <c r="F931" s="30" t="n">
        <f aca="false">IF('Boletins Nuppa Site'!I931&lt;&gt;0,'Boletins Nuppa Site'!I931,"NULL")</f>
        <v>15</v>
      </c>
      <c r="G931" s="30" t="n">
        <f aca="false">IF('Boletins Nuppa Site'!J931&lt;&gt;0,'Boletins Nuppa Site'!J931,"NULL")</f>
        <v>13</v>
      </c>
      <c r="H931" s="0" t="str">
        <f aca="false">IF('Boletins Nuppa Site'!K931&lt;&gt;0,'Boletins Nuppa Site'!K931,"NULL")</f>
        <v>13.5</v>
      </c>
      <c r="I931" s="0" t="str">
        <f aca="false">"INSERT INTO COTACAO (cot_id, cot_blt_id, cot_pap_id, cot_prc_comum, cot_prc_min, cot_prc_max, cot_prc_med, cot_prc_mediana) VALUES ("&amp;A931&amp;", "&amp;B931&amp;", "&amp;C931&amp;", "&amp;D931&amp;", "&amp;E931&amp;", "&amp;F931&amp;", "&amp;G931&amp;", "&amp;H931&amp;");"</f>
        <v>INSERT INTO COTACAO (cot_id, cot_blt_id, cot_pap_id, cot_prc_comum, cot_prc_min, cot_prc_max, cot_prc_med, cot_prc_mediana) VALUES (930, 60, 18, 15, 10, 15, 13, 13.5);</v>
      </c>
      <c r="J931" s="0" t="str">
        <f aca="false">"UPDATE COTACAO SET cot_id = "&amp;A931&amp;", cot_blt_id = "&amp;B931&amp;", cot_pap_id = "&amp;C931&amp;", cot_prc_comum = "&amp;D931&amp;", cot_prc_min = "&amp;E931&amp;", cot_prc_max = "&amp;F931&amp;", cot_prc_med = "&amp;G931&amp;", cot_prc_mediana = "&amp;H931&amp;" WHERE cot_id = "&amp;A931&amp;";"</f>
        <v>UPDATE COTACAO SET cot_id = 930, cot_blt_id = 60, cot_pap_id = 18, cot_prc_comum = 15, cot_prc_min = 10, cot_prc_max = 15, cot_prc_med = 13, cot_prc_mediana = 13.5 WHERE cot_id = 930;</v>
      </c>
    </row>
    <row r="932" customFormat="false" ht="14.25" hidden="false" customHeight="false" outlineLevel="0" collapsed="false">
      <c r="A932" s="0" t="n">
        <v>931</v>
      </c>
      <c r="B932" s="0" t="n">
        <f aca="false">IF('Boletins Nuppa Site'!A932&lt;&gt;0,'Boletins Nuppa Site'!A932,"NULL")</f>
        <v>60</v>
      </c>
      <c r="C932" s="0" t="n">
        <v>19</v>
      </c>
      <c r="D932" s="30" t="n">
        <f aca="false">IF('Boletins Nuppa Site'!G932&lt;&gt;0,'Boletins Nuppa Site'!G932,"NULL")</f>
        <v>25</v>
      </c>
      <c r="E932" s="30" t="n">
        <f aca="false">IF('Boletins Nuppa Site'!H932&lt;&gt;0,'Boletins Nuppa Site'!H932,"NULL")</f>
        <v>20</v>
      </c>
      <c r="F932" s="30" t="n">
        <f aca="false">IF('Boletins Nuppa Site'!I932&lt;&gt;0,'Boletins Nuppa Site'!I932,"NULL")</f>
        <v>30</v>
      </c>
      <c r="G932" s="30" t="n">
        <f aca="false">IF('Boletins Nuppa Site'!J932&lt;&gt;0,'Boletins Nuppa Site'!J932,"NULL")</f>
        <v>25</v>
      </c>
      <c r="H932" s="30" t="n">
        <f aca="false">IF('Boletins Nuppa Site'!K932&lt;&gt;0,'Boletins Nuppa Site'!K932,"NULL")</f>
        <v>25</v>
      </c>
      <c r="I932" s="0" t="str">
        <f aca="false">"INSERT INTO COTACAO (cot_id, cot_blt_id, cot_pap_id, cot_prc_comum, cot_prc_min, cot_prc_max, cot_prc_med, cot_prc_mediana) VALUES ("&amp;A932&amp;", "&amp;B932&amp;", "&amp;C932&amp;", "&amp;D932&amp;", "&amp;E932&amp;", "&amp;F932&amp;", "&amp;G932&amp;", "&amp;H932&amp;");"</f>
        <v>INSERT INTO COTACAO (cot_id, cot_blt_id, cot_pap_id, cot_prc_comum, cot_prc_min, cot_prc_max, cot_prc_med, cot_prc_mediana) VALUES (931, 60, 19, 25, 20, 30, 25, 25);</v>
      </c>
      <c r="J932" s="0" t="str">
        <f aca="false">"UPDATE COTACAO SET cot_id = "&amp;A932&amp;", cot_blt_id = "&amp;B932&amp;", cot_pap_id = "&amp;C932&amp;", cot_prc_comum = "&amp;D932&amp;", cot_prc_min = "&amp;E932&amp;", cot_prc_max = "&amp;F932&amp;", cot_prc_med = "&amp;G932&amp;", cot_prc_mediana = "&amp;H932&amp;" WHERE cot_id = "&amp;A932&amp;";"</f>
        <v>UPDATE COTACAO SET cot_id = 931, cot_blt_id = 60, cot_pap_id = 19, cot_prc_comum = 25, cot_prc_min = 20, cot_prc_max = 30, cot_prc_med = 25, cot_prc_mediana = 25 WHERE cot_id = 931;</v>
      </c>
    </row>
    <row r="933" customFormat="false" ht="14.25" hidden="false" customHeight="false" outlineLevel="0" collapsed="false">
      <c r="A933" s="0" t="n">
        <v>932</v>
      </c>
      <c r="B933" s="0" t="n">
        <f aca="false">IF('Boletins Nuppa Site'!A933&lt;&gt;0,'Boletins Nuppa Site'!A933,"NULL")</f>
        <v>60</v>
      </c>
      <c r="C933" s="0" t="n">
        <v>20</v>
      </c>
      <c r="D933" s="0" t="str">
        <f aca="false">IF('Boletins Nuppa Site'!G933&lt;&gt;0,'Boletins Nuppa Site'!G933,"NULL")</f>
        <v>NULL</v>
      </c>
      <c r="E933" s="30" t="n">
        <f aca="false">IF('Boletins Nuppa Site'!H933&lt;&gt;0,'Boletins Nuppa Site'!H933,"NULL")</f>
        <v>65</v>
      </c>
      <c r="F933" s="30" t="n">
        <f aca="false">IF('Boletins Nuppa Site'!I933&lt;&gt;0,'Boletins Nuppa Site'!I933,"NULL")</f>
        <v>80</v>
      </c>
      <c r="G933" s="0" t="str">
        <f aca="false">IF('Boletins Nuppa Site'!J933&lt;&gt;0,'Boletins Nuppa Site'!J933,"NULL")</f>
        <v>71.67</v>
      </c>
      <c r="H933" s="30" t="n">
        <f aca="false">IF('Boletins Nuppa Site'!K933&lt;&gt;0,'Boletins Nuppa Site'!K933,"NULL")</f>
        <v>70</v>
      </c>
      <c r="I933" s="0" t="str">
        <f aca="false">"INSERT INTO COTACAO (cot_id, cot_blt_id, cot_pap_id, cot_prc_comum, cot_prc_min, cot_prc_max, cot_prc_med, cot_prc_mediana) VALUES ("&amp;A933&amp;", "&amp;B933&amp;", "&amp;C933&amp;", "&amp;D933&amp;", "&amp;E933&amp;", "&amp;F933&amp;", "&amp;G933&amp;", "&amp;H933&amp;");"</f>
        <v>INSERT INTO COTACAO (cot_id, cot_blt_id, cot_pap_id, cot_prc_comum, cot_prc_min, cot_prc_max, cot_prc_med, cot_prc_mediana) VALUES (932, 60, 20, NULL, 65, 80, 71.67, 70);</v>
      </c>
      <c r="J933" s="0" t="str">
        <f aca="false">"UPDATE COTACAO SET cot_id = "&amp;A933&amp;", cot_blt_id = "&amp;B933&amp;", cot_pap_id = "&amp;C933&amp;", cot_prc_comum = "&amp;D933&amp;", cot_prc_min = "&amp;E933&amp;", cot_prc_max = "&amp;F933&amp;", cot_prc_med = "&amp;G933&amp;", cot_prc_mediana = "&amp;H933&amp;" WHERE cot_id = "&amp;A933&amp;";"</f>
        <v>UPDATE COTACAO SET cot_id = 932, cot_blt_id = 60, cot_pap_id = 20, cot_prc_comum = NULL, cot_prc_min = 65, cot_prc_max = 80, cot_prc_med = 71.67, cot_prc_mediana = 70 WHERE cot_id = 932;</v>
      </c>
    </row>
    <row r="934" customFormat="false" ht="14.25" hidden="false" customHeight="false" outlineLevel="0" collapsed="false">
      <c r="A934" s="0" t="n">
        <v>933</v>
      </c>
      <c r="B934" s="0" t="n">
        <f aca="false">IF('Boletins Nuppa Site'!A934&lt;&gt;0,'Boletins Nuppa Site'!A934,"NULL")</f>
        <v>60</v>
      </c>
      <c r="C934" s="0" t="n">
        <v>21</v>
      </c>
      <c r="D934" s="30" t="n">
        <f aca="false">IF('Boletins Nuppa Site'!G934&lt;&gt;0,'Boletins Nuppa Site'!G934,"NULL")</f>
        <v>60</v>
      </c>
      <c r="E934" s="30" t="n">
        <f aca="false">IF('Boletins Nuppa Site'!H934&lt;&gt;0,'Boletins Nuppa Site'!H934,"NULL")</f>
        <v>45</v>
      </c>
      <c r="F934" s="30" t="n">
        <f aca="false">IF('Boletins Nuppa Site'!I934&lt;&gt;0,'Boletins Nuppa Site'!I934,"NULL")</f>
        <v>70</v>
      </c>
      <c r="G934" s="30" t="n">
        <f aca="false">IF('Boletins Nuppa Site'!J934&lt;&gt;0,'Boletins Nuppa Site'!J934,"NULL")</f>
        <v>59</v>
      </c>
      <c r="H934" s="30" t="n">
        <f aca="false">IF('Boletins Nuppa Site'!K934&lt;&gt;0,'Boletins Nuppa Site'!K934,"NULL")</f>
        <v>60</v>
      </c>
      <c r="I934" s="0" t="str">
        <f aca="false">"INSERT INTO COTACAO (cot_id, cot_blt_id, cot_pap_id, cot_prc_comum, cot_prc_min, cot_prc_max, cot_prc_med, cot_prc_mediana) VALUES ("&amp;A934&amp;", "&amp;B934&amp;", "&amp;C934&amp;", "&amp;D934&amp;", "&amp;E934&amp;", "&amp;F934&amp;", "&amp;G934&amp;", "&amp;H934&amp;");"</f>
        <v>INSERT INTO COTACAO (cot_id, cot_blt_id, cot_pap_id, cot_prc_comum, cot_prc_min, cot_prc_max, cot_prc_med, cot_prc_mediana) VALUES (933, 60, 21, 60, 45, 70, 59, 60);</v>
      </c>
      <c r="J934" s="0" t="str">
        <f aca="false">"UPDATE COTACAO SET cot_id = "&amp;A934&amp;", cot_blt_id = "&amp;B934&amp;", cot_pap_id = "&amp;C934&amp;", cot_prc_comum = "&amp;D934&amp;", cot_prc_min = "&amp;E934&amp;", cot_prc_max = "&amp;F934&amp;", cot_prc_med = "&amp;G934&amp;", cot_prc_mediana = "&amp;H934&amp;" WHERE cot_id = "&amp;A934&amp;";"</f>
        <v>UPDATE COTACAO SET cot_id = 933, cot_blt_id = 60, cot_pap_id = 21, cot_prc_comum = 60, cot_prc_min = 45, cot_prc_max = 70, cot_prc_med = 59, cot_prc_mediana = 60 WHERE cot_id = 933;</v>
      </c>
    </row>
    <row r="935" customFormat="false" ht="14.25" hidden="false" customHeight="false" outlineLevel="0" collapsed="false">
      <c r="A935" s="0" t="n">
        <v>934</v>
      </c>
      <c r="B935" s="0" t="n">
        <f aca="false">IF('Boletins Nuppa Site'!A935&lt;&gt;0,'Boletins Nuppa Site'!A935,"NULL")</f>
        <v>60</v>
      </c>
      <c r="C935" s="0" t="n">
        <v>22</v>
      </c>
      <c r="D935" s="30" t="n">
        <f aca="false">IF('Boletins Nuppa Site'!G935&lt;&gt;0,'Boletins Nuppa Site'!G935,"NULL")</f>
        <v>70</v>
      </c>
      <c r="E935" s="30" t="n">
        <f aca="false">IF('Boletins Nuppa Site'!H935&lt;&gt;0,'Boletins Nuppa Site'!H935,"NULL")</f>
        <v>45</v>
      </c>
      <c r="F935" s="30" t="n">
        <f aca="false">IF('Boletins Nuppa Site'!I935&lt;&gt;0,'Boletins Nuppa Site'!I935,"NULL")</f>
        <v>70</v>
      </c>
      <c r="G935" s="30" t="n">
        <f aca="false">IF('Boletins Nuppa Site'!J935&lt;&gt;0,'Boletins Nuppa Site'!J935,"NULL")</f>
        <v>64</v>
      </c>
      <c r="H935" s="30" t="n">
        <f aca="false">IF('Boletins Nuppa Site'!K935&lt;&gt;0,'Boletins Nuppa Site'!K935,"NULL")</f>
        <v>70</v>
      </c>
      <c r="I935" s="0" t="str">
        <f aca="false">"INSERT INTO COTACAO (cot_id, cot_blt_id, cot_pap_id, cot_prc_comum, cot_prc_min, cot_prc_max, cot_prc_med, cot_prc_mediana) VALUES ("&amp;A935&amp;", "&amp;B935&amp;", "&amp;C935&amp;", "&amp;D935&amp;", "&amp;E935&amp;", "&amp;F935&amp;", "&amp;G935&amp;", "&amp;H935&amp;");"</f>
        <v>INSERT INTO COTACAO (cot_id, cot_blt_id, cot_pap_id, cot_prc_comum, cot_prc_min, cot_prc_max, cot_prc_med, cot_prc_mediana) VALUES (934, 60, 22, 70, 45, 70, 64, 70);</v>
      </c>
      <c r="J935" s="0" t="str">
        <f aca="false">"UPDATE COTACAO SET cot_id = "&amp;A935&amp;", cot_blt_id = "&amp;B935&amp;", cot_pap_id = "&amp;C935&amp;", cot_prc_comum = "&amp;D935&amp;", cot_prc_min = "&amp;E935&amp;", cot_prc_max = "&amp;F935&amp;", cot_prc_med = "&amp;G935&amp;", cot_prc_mediana = "&amp;H935&amp;" WHERE cot_id = "&amp;A935&amp;";"</f>
        <v>UPDATE COTACAO SET cot_id = 934, cot_blt_id = 60, cot_pap_id = 22, cot_prc_comum = 70, cot_prc_min = 45, cot_prc_max = 70, cot_prc_med = 64, cot_prc_mediana = 70 WHERE cot_id = 934;</v>
      </c>
    </row>
    <row r="936" customFormat="false" ht="14.25" hidden="false" customHeight="false" outlineLevel="0" collapsed="false">
      <c r="A936" s="0" t="n">
        <v>935</v>
      </c>
      <c r="B936" s="0" t="n">
        <f aca="false">IF('Boletins Nuppa Site'!A936&lt;&gt;0,'Boletins Nuppa Site'!A936,"NULL")</f>
        <v>60</v>
      </c>
      <c r="C936" s="0" t="n">
        <v>23</v>
      </c>
      <c r="D936" s="30" t="n">
        <f aca="false">IF('Boletins Nuppa Site'!G936&lt;&gt;0,'Boletins Nuppa Site'!G936,"NULL")</f>
        <v>50</v>
      </c>
      <c r="E936" s="30" t="n">
        <f aca="false">IF('Boletins Nuppa Site'!H936&lt;&gt;0,'Boletins Nuppa Site'!H936,"NULL")</f>
        <v>30</v>
      </c>
      <c r="F936" s="30" t="n">
        <f aca="false">IF('Boletins Nuppa Site'!I936&lt;&gt;0,'Boletins Nuppa Site'!I936,"NULL")</f>
        <v>50</v>
      </c>
      <c r="G936" s="30" t="n">
        <f aca="false">IF('Boletins Nuppa Site'!J936&lt;&gt;0,'Boletins Nuppa Site'!J936,"NULL")</f>
        <v>45</v>
      </c>
      <c r="H936" s="30" t="n">
        <f aca="false">IF('Boletins Nuppa Site'!K936&lt;&gt;0,'Boletins Nuppa Site'!K936,"NULL")</f>
        <v>50</v>
      </c>
      <c r="I936" s="0" t="str">
        <f aca="false">"INSERT INTO COTACAO (cot_id, cot_blt_id, cot_pap_id, cot_prc_comum, cot_prc_min, cot_prc_max, cot_prc_med, cot_prc_mediana) VALUES ("&amp;A936&amp;", "&amp;B936&amp;", "&amp;C936&amp;", "&amp;D936&amp;", "&amp;E936&amp;", "&amp;F936&amp;", "&amp;G936&amp;", "&amp;H936&amp;");"</f>
        <v>INSERT INTO COTACAO (cot_id, cot_blt_id, cot_pap_id, cot_prc_comum, cot_prc_min, cot_prc_max, cot_prc_med, cot_prc_mediana) VALUES (935, 60, 23, 50, 30, 50, 45, 50);</v>
      </c>
      <c r="J936" s="0" t="str">
        <f aca="false">"UPDATE COTACAO SET cot_id = "&amp;A936&amp;", cot_blt_id = "&amp;B936&amp;", cot_pap_id = "&amp;C936&amp;", cot_prc_comum = "&amp;D936&amp;", cot_prc_min = "&amp;E936&amp;", cot_prc_max = "&amp;F936&amp;", cot_prc_med = "&amp;G936&amp;", cot_prc_mediana = "&amp;H936&amp;" WHERE cot_id = "&amp;A936&amp;";"</f>
        <v>UPDATE COTACAO SET cot_id = 935, cot_blt_id = 60, cot_pap_id = 23, cot_prc_comum = 50, cot_prc_min = 30, cot_prc_max = 50, cot_prc_med = 45, cot_prc_mediana = 50 WHERE cot_id = 935;</v>
      </c>
    </row>
    <row r="937" customFormat="false" ht="14.25" hidden="false" customHeight="false" outlineLevel="0" collapsed="false">
      <c r="A937" s="0" t="n">
        <v>936</v>
      </c>
      <c r="B937" s="0" t="n">
        <f aca="false">IF('Boletins Nuppa Site'!A937&lt;&gt;0,'Boletins Nuppa Site'!A937,"NULL")</f>
        <v>60</v>
      </c>
      <c r="C937" s="0" t="n">
        <v>24</v>
      </c>
      <c r="D937" s="0" t="str">
        <f aca="false">IF('Boletins Nuppa Site'!G937&lt;&gt;0,'Boletins Nuppa Site'!G937,"NULL")</f>
        <v>NULL</v>
      </c>
      <c r="E937" s="30" t="n">
        <f aca="false">IF('Boletins Nuppa Site'!H937&lt;&gt;0,'Boletins Nuppa Site'!H937,"NULL")</f>
        <v>40</v>
      </c>
      <c r="F937" s="30" t="n">
        <f aca="false">IF('Boletins Nuppa Site'!I937&lt;&gt;0,'Boletins Nuppa Site'!I937,"NULL")</f>
        <v>110</v>
      </c>
      <c r="G937" s="30" t="n">
        <f aca="false">IF('Boletins Nuppa Site'!J937&lt;&gt;0,'Boletins Nuppa Site'!J937,"NULL")</f>
        <v>85</v>
      </c>
      <c r="H937" s="30" t="n">
        <f aca="false">IF('Boletins Nuppa Site'!K937&lt;&gt;0,'Boletins Nuppa Site'!K937,"NULL")</f>
        <v>95</v>
      </c>
      <c r="I937" s="0" t="str">
        <f aca="false">"INSERT INTO COTACAO (cot_id, cot_blt_id, cot_pap_id, cot_prc_comum, cot_prc_min, cot_prc_max, cot_prc_med, cot_prc_mediana) VALUES ("&amp;A937&amp;", "&amp;B937&amp;", "&amp;C937&amp;", "&amp;D937&amp;", "&amp;E937&amp;", "&amp;F937&amp;", "&amp;G937&amp;", "&amp;H937&amp;");"</f>
        <v>INSERT INTO COTACAO (cot_id, cot_blt_id, cot_pap_id, cot_prc_comum, cot_prc_min, cot_prc_max, cot_prc_med, cot_prc_mediana) VALUES (936, 60, 24, NULL, 40, 110, 85, 95);</v>
      </c>
      <c r="J937" s="0" t="str">
        <f aca="false">"UPDATE COTACAO SET cot_id = "&amp;A937&amp;", cot_blt_id = "&amp;B937&amp;", cot_pap_id = "&amp;C937&amp;", cot_prc_comum = "&amp;D937&amp;", cot_prc_min = "&amp;E937&amp;", cot_prc_max = "&amp;F937&amp;", cot_prc_med = "&amp;G937&amp;", cot_prc_mediana = "&amp;H937&amp;" WHERE cot_id = "&amp;A937&amp;";"</f>
        <v>UPDATE COTACAO SET cot_id = 936, cot_blt_id = 60, cot_pap_id = 24, cot_prc_comum = NULL, cot_prc_min = 40, cot_prc_max = 110, cot_prc_med = 85, cot_prc_mediana = 95 WHERE cot_id = 936;</v>
      </c>
    </row>
    <row r="938" customFormat="false" ht="14.25" hidden="false" customHeight="false" outlineLevel="0" collapsed="false">
      <c r="A938" s="0" t="n">
        <v>937</v>
      </c>
      <c r="B938" s="0" t="n">
        <f aca="false">IF('Boletins Nuppa Site'!A938&lt;&gt;0,'Boletins Nuppa Site'!A938,"NULL")</f>
        <v>60</v>
      </c>
      <c r="C938" s="0" t="n">
        <v>25</v>
      </c>
      <c r="D938" s="30" t="n">
        <f aca="false">IF('Boletins Nuppa Site'!G938&lt;&gt;0,'Boletins Nuppa Site'!G938,"NULL")</f>
        <v>70</v>
      </c>
      <c r="E938" s="30" t="n">
        <f aca="false">IF('Boletins Nuppa Site'!H938&lt;&gt;0,'Boletins Nuppa Site'!H938,"NULL")</f>
        <v>70</v>
      </c>
      <c r="F938" s="30" t="n">
        <f aca="false">IF('Boletins Nuppa Site'!I938&lt;&gt;0,'Boletins Nuppa Site'!I938,"NULL")</f>
        <v>90</v>
      </c>
      <c r="G938" s="30" t="n">
        <f aca="false">IF('Boletins Nuppa Site'!J938&lt;&gt;0,'Boletins Nuppa Site'!J938,"NULL")</f>
        <v>79</v>
      </c>
      <c r="H938" s="30" t="n">
        <f aca="false">IF('Boletins Nuppa Site'!K938&lt;&gt;0,'Boletins Nuppa Site'!K938,"NULL")</f>
        <v>80</v>
      </c>
      <c r="I938" s="0" t="str">
        <f aca="false">"INSERT INTO COTACAO (cot_id, cot_blt_id, cot_pap_id, cot_prc_comum, cot_prc_min, cot_prc_max, cot_prc_med, cot_prc_mediana) VALUES ("&amp;A938&amp;", "&amp;B938&amp;", "&amp;C938&amp;", "&amp;D938&amp;", "&amp;E938&amp;", "&amp;F938&amp;", "&amp;G938&amp;", "&amp;H938&amp;");"</f>
        <v>INSERT INTO COTACAO (cot_id, cot_blt_id, cot_pap_id, cot_prc_comum, cot_prc_min, cot_prc_max, cot_prc_med, cot_prc_mediana) VALUES (937, 60, 25, 70, 70, 90, 79, 80);</v>
      </c>
      <c r="J938" s="0" t="str">
        <f aca="false">"UPDATE COTACAO SET cot_id = "&amp;A938&amp;", cot_blt_id = "&amp;B938&amp;", cot_pap_id = "&amp;C938&amp;", cot_prc_comum = "&amp;D938&amp;", cot_prc_min = "&amp;E938&amp;", cot_prc_max = "&amp;F938&amp;", cot_prc_med = "&amp;G938&amp;", cot_prc_mediana = "&amp;H938&amp;" WHERE cot_id = "&amp;A938&amp;";"</f>
        <v>UPDATE COTACAO SET cot_id = 937, cot_blt_id = 60, cot_pap_id = 25, cot_prc_comum = 70, cot_prc_min = 70, cot_prc_max = 90, cot_prc_med = 79, cot_prc_mediana = 80 WHERE cot_id = 937;</v>
      </c>
    </row>
    <row r="939" customFormat="false" ht="14.25" hidden="false" customHeight="false" outlineLevel="0" collapsed="false">
      <c r="A939" s="0" t="n">
        <v>938</v>
      </c>
      <c r="B939" s="0" t="n">
        <f aca="false">IF('Boletins Nuppa Site'!A939&lt;&gt;0,'Boletins Nuppa Site'!A939,"NULL")</f>
        <v>60</v>
      </c>
      <c r="C939" s="0" t="n">
        <v>26</v>
      </c>
      <c r="D939" s="30" t="n">
        <f aca="false">IF('Boletins Nuppa Site'!G939&lt;&gt;0,'Boletins Nuppa Site'!G939,"NULL")</f>
        <v>60</v>
      </c>
      <c r="E939" s="30" t="n">
        <f aca="false">IF('Boletins Nuppa Site'!H939&lt;&gt;0,'Boletins Nuppa Site'!H939,"NULL")</f>
        <v>40</v>
      </c>
      <c r="F939" s="30" t="n">
        <f aca="false">IF('Boletins Nuppa Site'!I939&lt;&gt;0,'Boletins Nuppa Site'!I939,"NULL")</f>
        <v>80</v>
      </c>
      <c r="G939" s="0" t="str">
        <f aca="false">IF('Boletins Nuppa Site'!J939&lt;&gt;0,'Boletins Nuppa Site'!J939,"NULL")</f>
        <v>63.33</v>
      </c>
      <c r="H939" s="0" t="str">
        <f aca="false">IF('Boletins Nuppa Site'!K939&lt;&gt;0,'Boletins Nuppa Site'!K939,"NULL")</f>
        <v>62.5</v>
      </c>
      <c r="I939" s="0" t="str">
        <f aca="false">"INSERT INTO COTACAO (cot_id, cot_blt_id, cot_pap_id, cot_prc_comum, cot_prc_min, cot_prc_max, cot_prc_med, cot_prc_mediana) VALUES ("&amp;A939&amp;", "&amp;B939&amp;", "&amp;C939&amp;", "&amp;D939&amp;", "&amp;E939&amp;", "&amp;F939&amp;", "&amp;G939&amp;", "&amp;H939&amp;");"</f>
        <v>INSERT INTO COTACAO (cot_id, cot_blt_id, cot_pap_id, cot_prc_comum, cot_prc_min, cot_prc_max, cot_prc_med, cot_prc_mediana) VALUES (938, 60, 26, 60, 40, 80, 63.33, 62.5);</v>
      </c>
      <c r="J939" s="0" t="str">
        <f aca="false">"UPDATE COTACAO SET cot_id = "&amp;A939&amp;", cot_blt_id = "&amp;B939&amp;", cot_pap_id = "&amp;C939&amp;", cot_prc_comum = "&amp;D939&amp;", cot_prc_min = "&amp;E939&amp;", cot_prc_max = "&amp;F939&amp;", cot_prc_med = "&amp;G939&amp;", cot_prc_mediana = "&amp;H939&amp;" WHERE cot_id = "&amp;A939&amp;";"</f>
        <v>UPDATE COTACAO SET cot_id = 938, cot_blt_id = 60, cot_pap_id = 26, cot_prc_comum = 60, cot_prc_min = 40, cot_prc_max = 80, cot_prc_med = 63.33, cot_prc_mediana = 62.5 WHERE cot_id = 938;</v>
      </c>
    </row>
    <row r="940" customFormat="false" ht="14.25" hidden="false" customHeight="false" outlineLevel="0" collapsed="false">
      <c r="A940" s="0" t="n">
        <v>939</v>
      </c>
      <c r="B940" s="0" t="n">
        <f aca="false">IF('Boletins Nuppa Site'!A940&lt;&gt;0,'Boletins Nuppa Site'!A940,"NULL")</f>
        <v>60</v>
      </c>
      <c r="C940" s="0" t="n">
        <v>27</v>
      </c>
      <c r="D940" s="30" t="n">
        <f aca="false">IF('Boletins Nuppa Site'!G940&lt;&gt;0,'Boletins Nuppa Site'!G940,"NULL")</f>
        <v>65</v>
      </c>
      <c r="E940" s="30" t="n">
        <f aca="false">IF('Boletins Nuppa Site'!H940&lt;&gt;0,'Boletins Nuppa Site'!H940,"NULL")</f>
        <v>45</v>
      </c>
      <c r="F940" s="30" t="n">
        <f aca="false">IF('Boletins Nuppa Site'!I940&lt;&gt;0,'Boletins Nuppa Site'!I940,"NULL")</f>
        <v>65</v>
      </c>
      <c r="G940" s="30" t="n">
        <f aca="false">IF('Boletins Nuppa Site'!J940&lt;&gt;0,'Boletins Nuppa Site'!J940,"NULL")</f>
        <v>57</v>
      </c>
      <c r="H940" s="30" t="n">
        <f aca="false">IF('Boletins Nuppa Site'!K940&lt;&gt;0,'Boletins Nuppa Site'!K940,"NULL")</f>
        <v>60</v>
      </c>
      <c r="I940" s="0" t="str">
        <f aca="false">"INSERT INTO COTACAO (cot_id, cot_blt_id, cot_pap_id, cot_prc_comum, cot_prc_min, cot_prc_max, cot_prc_med, cot_prc_mediana) VALUES ("&amp;A940&amp;", "&amp;B940&amp;", "&amp;C940&amp;", "&amp;D940&amp;", "&amp;E940&amp;", "&amp;F940&amp;", "&amp;G940&amp;", "&amp;H940&amp;");"</f>
        <v>INSERT INTO COTACAO (cot_id, cot_blt_id, cot_pap_id, cot_prc_comum, cot_prc_min, cot_prc_max, cot_prc_med, cot_prc_mediana) VALUES (939, 60, 27, 65, 45, 65, 57, 60);</v>
      </c>
      <c r="J940" s="0" t="str">
        <f aca="false">"UPDATE COTACAO SET cot_id = "&amp;A940&amp;", cot_blt_id = "&amp;B940&amp;", cot_pap_id = "&amp;C940&amp;", cot_prc_comum = "&amp;D940&amp;", cot_prc_min = "&amp;E940&amp;", cot_prc_max = "&amp;F940&amp;", cot_prc_med = "&amp;G940&amp;", cot_prc_mediana = "&amp;H940&amp;" WHERE cot_id = "&amp;A940&amp;";"</f>
        <v>UPDATE COTACAO SET cot_id = 939, cot_blt_id = 60, cot_pap_id = 27, cot_prc_comum = 65, cot_prc_min = 45, cot_prc_max = 65, cot_prc_med = 57, cot_prc_mediana = 60 WHERE cot_id = 939;</v>
      </c>
    </row>
    <row r="941" customFormat="false" ht="14.25" hidden="false" customHeight="false" outlineLevel="0" collapsed="false">
      <c r="A941" s="0" t="n">
        <v>940</v>
      </c>
      <c r="B941" s="0" t="n">
        <f aca="false">IF('Boletins Nuppa Site'!A941&lt;&gt;0,'Boletins Nuppa Site'!A941,"NULL")</f>
        <v>60</v>
      </c>
      <c r="C941" s="0" t="n">
        <v>28</v>
      </c>
      <c r="D941" s="30" t="n">
        <f aca="false">IF('Boletins Nuppa Site'!G941&lt;&gt;0,'Boletins Nuppa Site'!G941,"NULL")</f>
        <v>90</v>
      </c>
      <c r="E941" s="30" t="n">
        <f aca="false">IF('Boletins Nuppa Site'!H941&lt;&gt;0,'Boletins Nuppa Site'!H941,"NULL")</f>
        <v>60</v>
      </c>
      <c r="F941" s="30" t="n">
        <f aca="false">IF('Boletins Nuppa Site'!I941&lt;&gt;0,'Boletins Nuppa Site'!I941,"NULL")</f>
        <v>100</v>
      </c>
      <c r="G941" s="0" t="str">
        <f aca="false">IF('Boletins Nuppa Site'!J941&lt;&gt;0,'Boletins Nuppa Site'!J941,"NULL")</f>
        <v>83.33</v>
      </c>
      <c r="H941" s="30" t="n">
        <f aca="false">IF('Boletins Nuppa Site'!K941&lt;&gt;0,'Boletins Nuppa Site'!K941,"NULL")</f>
        <v>85</v>
      </c>
      <c r="I941" s="0" t="str">
        <f aca="false">"INSERT INTO COTACAO (cot_id, cot_blt_id, cot_pap_id, cot_prc_comum, cot_prc_min, cot_prc_max, cot_prc_med, cot_prc_mediana) VALUES ("&amp;A941&amp;", "&amp;B941&amp;", "&amp;C941&amp;", "&amp;D941&amp;", "&amp;E941&amp;", "&amp;F941&amp;", "&amp;G941&amp;", "&amp;H941&amp;");"</f>
        <v>INSERT INTO COTACAO (cot_id, cot_blt_id, cot_pap_id, cot_prc_comum, cot_prc_min, cot_prc_max, cot_prc_med, cot_prc_mediana) VALUES (940, 60, 28, 90, 60, 100, 83.33, 85);</v>
      </c>
      <c r="J941" s="0" t="str">
        <f aca="false">"UPDATE COTACAO SET cot_id = "&amp;A941&amp;", cot_blt_id = "&amp;B941&amp;", cot_pap_id = "&amp;C941&amp;", cot_prc_comum = "&amp;D941&amp;", cot_prc_min = "&amp;E941&amp;", cot_prc_max = "&amp;F941&amp;", cot_prc_med = "&amp;G941&amp;", cot_prc_mediana = "&amp;H941&amp;" WHERE cot_id = "&amp;A941&amp;";"</f>
        <v>UPDATE COTACAO SET cot_id = 940, cot_blt_id = 60, cot_pap_id = 28, cot_prc_comum = 90, cot_prc_min = 60, cot_prc_max = 100, cot_prc_med = 83.33, cot_prc_mediana = 85 WHERE cot_id = 940;</v>
      </c>
    </row>
    <row r="942" customFormat="false" ht="14.25" hidden="false" customHeight="false" outlineLevel="0" collapsed="false">
      <c r="A942" s="0" t="n">
        <v>941</v>
      </c>
      <c r="B942" s="0" t="n">
        <f aca="false">IF('Boletins Nuppa Site'!A942&lt;&gt;0,'Boletins Nuppa Site'!A942,"NULL")</f>
        <v>60</v>
      </c>
      <c r="C942" s="0" t="n">
        <v>29</v>
      </c>
      <c r="D942" s="30" t="n">
        <f aca="false">IF('Boletins Nuppa Site'!G942&lt;&gt;0,'Boletins Nuppa Site'!G942,"NULL")</f>
        <v>50</v>
      </c>
      <c r="E942" s="30" t="n">
        <f aca="false">IF('Boletins Nuppa Site'!H942&lt;&gt;0,'Boletins Nuppa Site'!H942,"NULL")</f>
        <v>50</v>
      </c>
      <c r="F942" s="30" t="n">
        <f aca="false">IF('Boletins Nuppa Site'!I942&lt;&gt;0,'Boletins Nuppa Site'!I942,"NULL")</f>
        <v>60</v>
      </c>
      <c r="G942" s="0" t="str">
        <f aca="false">IF('Boletins Nuppa Site'!J942&lt;&gt;0,'Boletins Nuppa Site'!J942,"NULL")</f>
        <v>53.75</v>
      </c>
      <c r="H942" s="0" t="str">
        <f aca="false">IF('Boletins Nuppa Site'!K942&lt;&gt;0,'Boletins Nuppa Site'!K942,"NULL")</f>
        <v>52.5</v>
      </c>
      <c r="I942" s="0" t="str">
        <f aca="false">"INSERT INTO COTACAO (cot_id, cot_blt_id, cot_pap_id, cot_prc_comum, cot_prc_min, cot_prc_max, cot_prc_med, cot_prc_mediana) VALUES ("&amp;A942&amp;", "&amp;B942&amp;", "&amp;C942&amp;", "&amp;D942&amp;", "&amp;E942&amp;", "&amp;F942&amp;", "&amp;G942&amp;", "&amp;H942&amp;");"</f>
        <v>INSERT INTO COTACAO (cot_id, cot_blt_id, cot_pap_id, cot_prc_comum, cot_prc_min, cot_prc_max, cot_prc_med, cot_prc_mediana) VALUES (941, 60, 29, 50, 50, 60, 53.75, 52.5);</v>
      </c>
      <c r="J942" s="0" t="str">
        <f aca="false">"UPDATE COTACAO SET cot_id = "&amp;A942&amp;", cot_blt_id = "&amp;B942&amp;", cot_pap_id = "&amp;C942&amp;", cot_prc_comum = "&amp;D942&amp;", cot_prc_min = "&amp;E942&amp;", cot_prc_max = "&amp;F942&amp;", cot_prc_med = "&amp;G942&amp;", cot_prc_mediana = "&amp;H942&amp;" WHERE cot_id = "&amp;A942&amp;";"</f>
        <v>UPDATE COTACAO SET cot_id = 941, cot_blt_id = 60, cot_pap_id = 29, cot_prc_comum = 50, cot_prc_min = 50, cot_prc_max = 60, cot_prc_med = 53.75, cot_prc_mediana = 52.5 WHERE cot_id = 941;</v>
      </c>
    </row>
    <row r="943" customFormat="false" ht="14.25" hidden="false" customHeight="false" outlineLevel="0" collapsed="false">
      <c r="A943" s="0" t="n">
        <v>942</v>
      </c>
      <c r="B943" s="0" t="n">
        <f aca="false">IF('Boletins Nuppa Site'!A943&lt;&gt;0,'Boletins Nuppa Site'!A943,"NULL")</f>
        <v>60</v>
      </c>
      <c r="C943" s="0" t="n">
        <v>30</v>
      </c>
      <c r="D943" s="30" t="n">
        <f aca="false">IF('Boletins Nuppa Site'!G943&lt;&gt;0,'Boletins Nuppa Site'!G943,"NULL")</f>
        <v>60</v>
      </c>
      <c r="E943" s="30" t="n">
        <f aca="false">IF('Boletins Nuppa Site'!H943&lt;&gt;0,'Boletins Nuppa Site'!H943,"NULL")</f>
        <v>40</v>
      </c>
      <c r="F943" s="30" t="n">
        <f aca="false">IF('Boletins Nuppa Site'!I943&lt;&gt;0,'Boletins Nuppa Site'!I943,"NULL")</f>
        <v>60</v>
      </c>
      <c r="G943" s="0" t="str">
        <f aca="false">IF('Boletins Nuppa Site'!J943&lt;&gt;0,'Boletins Nuppa Site'!J943,"NULL")</f>
        <v>52.5</v>
      </c>
      <c r="H943" s="30" t="n">
        <f aca="false">IF('Boletins Nuppa Site'!K943&lt;&gt;0,'Boletins Nuppa Site'!K943,"NULL")</f>
        <v>55</v>
      </c>
      <c r="I943" s="0" t="str">
        <f aca="false">"INSERT INTO COTACAO (cot_id, cot_blt_id, cot_pap_id, cot_prc_comum, cot_prc_min, cot_prc_max, cot_prc_med, cot_prc_mediana) VALUES ("&amp;A943&amp;", "&amp;B943&amp;", "&amp;C943&amp;", "&amp;D943&amp;", "&amp;E943&amp;", "&amp;F943&amp;", "&amp;G943&amp;", "&amp;H943&amp;");"</f>
        <v>INSERT INTO COTACAO (cot_id, cot_blt_id, cot_pap_id, cot_prc_comum, cot_prc_min, cot_prc_max, cot_prc_med, cot_prc_mediana) VALUES (942, 60, 30, 60, 40, 60, 52.5, 55);</v>
      </c>
      <c r="J943" s="0" t="str">
        <f aca="false">"UPDATE COTACAO SET cot_id = "&amp;A943&amp;", cot_blt_id = "&amp;B943&amp;", cot_pap_id = "&amp;C943&amp;", cot_prc_comum = "&amp;D943&amp;", cot_prc_min = "&amp;E943&amp;", cot_prc_max = "&amp;F943&amp;", cot_prc_med = "&amp;G943&amp;", cot_prc_mediana = "&amp;H943&amp;" WHERE cot_id = "&amp;A943&amp;";"</f>
        <v>UPDATE COTACAO SET cot_id = 942, cot_blt_id = 60, cot_pap_id = 30, cot_prc_comum = 60, cot_prc_min = 40, cot_prc_max = 60, cot_prc_med = 52.5, cot_prc_mediana = 55 WHERE cot_id = 942;</v>
      </c>
    </row>
    <row r="944" customFormat="false" ht="14.25" hidden="false" customHeight="false" outlineLevel="0" collapsed="false">
      <c r="A944" s="0" t="n">
        <v>943</v>
      </c>
      <c r="B944" s="0" t="n">
        <f aca="false">IF('Boletins Nuppa Site'!A944&lt;&gt;0,'Boletins Nuppa Site'!A944,"NULL")</f>
        <v>60</v>
      </c>
      <c r="C944" s="0" t="n">
        <v>31</v>
      </c>
      <c r="D944" s="30" t="n">
        <f aca="false">IF('Boletins Nuppa Site'!G944&lt;&gt;0,'Boletins Nuppa Site'!G944,"NULL")</f>
        <v>80</v>
      </c>
      <c r="E944" s="30" t="n">
        <f aca="false">IF('Boletins Nuppa Site'!H944&lt;&gt;0,'Boletins Nuppa Site'!H944,"NULL")</f>
        <v>70</v>
      </c>
      <c r="F944" s="30" t="n">
        <f aca="false">IF('Boletins Nuppa Site'!I944&lt;&gt;0,'Boletins Nuppa Site'!I944,"NULL")</f>
        <v>80</v>
      </c>
      <c r="G944" s="30" t="n">
        <f aca="false">IF('Boletins Nuppa Site'!J944&lt;&gt;0,'Boletins Nuppa Site'!J944,"NULL")</f>
        <v>77</v>
      </c>
      <c r="H944" s="30" t="n">
        <f aca="false">IF('Boletins Nuppa Site'!K944&lt;&gt;0,'Boletins Nuppa Site'!K944,"NULL")</f>
        <v>80</v>
      </c>
      <c r="I944" s="0" t="str">
        <f aca="false">"INSERT INTO COTACAO (cot_id, cot_blt_id, cot_pap_id, cot_prc_comum, cot_prc_min, cot_prc_max, cot_prc_med, cot_prc_mediana) VALUES ("&amp;A944&amp;", "&amp;B944&amp;", "&amp;C944&amp;", "&amp;D944&amp;", "&amp;E944&amp;", "&amp;F944&amp;", "&amp;G944&amp;", "&amp;H944&amp;");"</f>
        <v>INSERT INTO COTACAO (cot_id, cot_blt_id, cot_pap_id, cot_prc_comum, cot_prc_min, cot_prc_max, cot_prc_med, cot_prc_mediana) VALUES (943, 60, 31, 80, 70, 80, 77, 80);</v>
      </c>
      <c r="J944" s="0" t="str">
        <f aca="false">"UPDATE COTACAO SET cot_id = "&amp;A944&amp;", cot_blt_id = "&amp;B944&amp;", cot_pap_id = "&amp;C944&amp;", cot_prc_comum = "&amp;D944&amp;", cot_prc_min = "&amp;E944&amp;", cot_prc_max = "&amp;F944&amp;", cot_prc_med = "&amp;G944&amp;", cot_prc_mediana = "&amp;H944&amp;" WHERE cot_id = "&amp;A944&amp;";"</f>
        <v>UPDATE COTACAO SET cot_id = 943, cot_blt_id = 60, cot_pap_id = 31, cot_prc_comum = 80, cot_prc_min = 70, cot_prc_max = 80, cot_prc_med = 77, cot_prc_mediana = 80 WHERE cot_id = 943;</v>
      </c>
    </row>
    <row r="945" customFormat="false" ht="14.25" hidden="false" customHeight="false" outlineLevel="0" collapsed="false">
      <c r="A945" s="0" t="n">
        <v>944</v>
      </c>
      <c r="B945" s="0" t="n">
        <f aca="false">IF('Boletins Nuppa Site'!A945&lt;&gt;0,'Boletins Nuppa Site'!A945,"NULL")</f>
        <v>60</v>
      </c>
      <c r="C945" s="0" t="n">
        <v>32</v>
      </c>
      <c r="D945" s="30" t="n">
        <f aca="false">IF('Boletins Nuppa Site'!G945&lt;&gt;0,'Boletins Nuppa Site'!G945,"NULL")</f>
        <v>50</v>
      </c>
      <c r="E945" s="30" t="n">
        <f aca="false">IF('Boletins Nuppa Site'!H945&lt;&gt;0,'Boletins Nuppa Site'!H945,"NULL")</f>
        <v>50</v>
      </c>
      <c r="F945" s="30" t="n">
        <f aca="false">IF('Boletins Nuppa Site'!I945&lt;&gt;0,'Boletins Nuppa Site'!I945,"NULL")</f>
        <v>60</v>
      </c>
      <c r="G945" s="30" t="n">
        <f aca="false">IF('Boletins Nuppa Site'!J945&lt;&gt;0,'Boletins Nuppa Site'!J945,"NULL")</f>
        <v>53</v>
      </c>
      <c r="H945" s="30" t="n">
        <f aca="false">IF('Boletins Nuppa Site'!K945&lt;&gt;0,'Boletins Nuppa Site'!K945,"NULL")</f>
        <v>50</v>
      </c>
      <c r="I945" s="0" t="str">
        <f aca="false">"INSERT INTO COTACAO (cot_id, cot_blt_id, cot_pap_id, cot_prc_comum, cot_prc_min, cot_prc_max, cot_prc_med, cot_prc_mediana) VALUES ("&amp;A945&amp;", "&amp;B945&amp;", "&amp;C945&amp;", "&amp;D945&amp;", "&amp;E945&amp;", "&amp;F945&amp;", "&amp;G945&amp;", "&amp;H945&amp;");"</f>
        <v>INSERT INTO COTACAO (cot_id, cot_blt_id, cot_pap_id, cot_prc_comum, cot_prc_min, cot_prc_max, cot_prc_med, cot_prc_mediana) VALUES (944, 60, 32, 50, 50, 60, 53, 50);</v>
      </c>
      <c r="J945" s="0" t="str">
        <f aca="false">"UPDATE COTACAO SET cot_id = "&amp;A945&amp;", cot_blt_id = "&amp;B945&amp;", cot_pap_id = "&amp;C945&amp;", cot_prc_comum = "&amp;D945&amp;", cot_prc_min = "&amp;E945&amp;", cot_prc_max = "&amp;F945&amp;", cot_prc_med = "&amp;G945&amp;", cot_prc_mediana = "&amp;H945&amp;" WHERE cot_id = "&amp;A945&amp;";"</f>
        <v>UPDATE COTACAO SET cot_id = 944, cot_blt_id = 60, cot_pap_id = 32, cot_prc_comum = 50, cot_prc_min = 50, cot_prc_max = 60, cot_prc_med = 53, cot_prc_mediana = 50 WHERE cot_id = 944;</v>
      </c>
    </row>
    <row r="946" customFormat="false" ht="14.25" hidden="false" customHeight="false" outlineLevel="0" collapsed="false">
      <c r="A946" s="0" t="n">
        <v>945</v>
      </c>
      <c r="B946" s="0" t="n">
        <f aca="false">IF('Boletins Nuppa Site'!A946&lt;&gt;0,'Boletins Nuppa Site'!A946,"NULL")</f>
        <v>60</v>
      </c>
      <c r="C946" s="0" t="n">
        <v>33</v>
      </c>
      <c r="D946" s="30" t="n">
        <f aca="false">IF('Boletins Nuppa Site'!G946&lt;&gt;0,'Boletins Nuppa Site'!G946,"NULL")</f>
        <v>100</v>
      </c>
      <c r="E946" s="30" t="n">
        <f aca="false">IF('Boletins Nuppa Site'!H946&lt;&gt;0,'Boletins Nuppa Site'!H946,"NULL")</f>
        <v>90</v>
      </c>
      <c r="F946" s="30" t="n">
        <f aca="false">IF('Boletins Nuppa Site'!I946&lt;&gt;0,'Boletins Nuppa Site'!I946,"NULL")</f>
        <v>120</v>
      </c>
      <c r="G946" s="0" t="str">
        <f aca="false">IF('Boletins Nuppa Site'!J946&lt;&gt;0,'Boletins Nuppa Site'!J946,"NULL")</f>
        <v>102.5</v>
      </c>
      <c r="H946" s="30" t="n">
        <f aca="false">IF('Boletins Nuppa Site'!K946&lt;&gt;0,'Boletins Nuppa Site'!K946,"NULL")</f>
        <v>100</v>
      </c>
      <c r="I946" s="0" t="str">
        <f aca="false">"INSERT INTO COTACAO (cot_id, cot_blt_id, cot_pap_id, cot_prc_comum, cot_prc_min, cot_prc_max, cot_prc_med, cot_prc_mediana) VALUES ("&amp;A946&amp;", "&amp;B946&amp;", "&amp;C946&amp;", "&amp;D946&amp;", "&amp;E946&amp;", "&amp;F946&amp;", "&amp;G946&amp;", "&amp;H946&amp;");"</f>
        <v>INSERT INTO COTACAO (cot_id, cot_blt_id, cot_pap_id, cot_prc_comum, cot_prc_min, cot_prc_max, cot_prc_med, cot_prc_mediana) VALUES (945, 60, 33, 100, 90, 120, 102.5, 100);</v>
      </c>
      <c r="J946" s="0" t="str">
        <f aca="false">"UPDATE COTACAO SET cot_id = "&amp;A946&amp;", cot_blt_id = "&amp;B946&amp;", cot_pap_id = "&amp;C946&amp;", cot_prc_comum = "&amp;D946&amp;", cot_prc_min = "&amp;E946&amp;", cot_prc_max = "&amp;F946&amp;", cot_prc_med = "&amp;G946&amp;", cot_prc_mediana = "&amp;H946&amp;" WHERE cot_id = "&amp;A946&amp;";"</f>
        <v>UPDATE COTACAO SET cot_id = 945, cot_blt_id = 60, cot_pap_id = 33, cot_prc_comum = 100, cot_prc_min = 90, cot_prc_max = 120, cot_prc_med = 102.5, cot_prc_mediana = 100 WHERE cot_id = 945;</v>
      </c>
    </row>
    <row r="947" customFormat="false" ht="14.25" hidden="false" customHeight="false" outlineLevel="0" collapsed="false">
      <c r="A947" s="0" t="n">
        <v>946</v>
      </c>
      <c r="B947" s="0" t="n">
        <f aca="false">IF('Boletins Nuppa Site'!A947&lt;&gt;0,'Boletins Nuppa Site'!A947,"NULL")</f>
        <v>60</v>
      </c>
      <c r="C947" s="0" t="n">
        <v>34</v>
      </c>
      <c r="D947" s="0" t="str">
        <f aca="false">IF('Boletins Nuppa Site'!G947&lt;&gt;0,'Boletins Nuppa Site'!G947,"NULL")</f>
        <v>NULL</v>
      </c>
      <c r="E947" s="30" t="n">
        <f aca="false">IF('Boletins Nuppa Site'!H947&lt;&gt;0,'Boletins Nuppa Site'!H947,"NULL")</f>
        <v>30</v>
      </c>
      <c r="F947" s="30" t="n">
        <f aca="false">IF('Boletins Nuppa Site'!I947&lt;&gt;0,'Boletins Nuppa Site'!I947,"NULL")</f>
        <v>90</v>
      </c>
      <c r="G947" s="0" t="str">
        <f aca="false">IF('Boletins Nuppa Site'!J947&lt;&gt;0,'Boletins Nuppa Site'!J947,"NULL")</f>
        <v>67.5</v>
      </c>
      <c r="H947" s="0" t="str">
        <f aca="false">IF('Boletins Nuppa Site'!K947&lt;&gt;0,'Boletins Nuppa Site'!K947,"NULL")</f>
        <v>72.5</v>
      </c>
      <c r="I947" s="0" t="str">
        <f aca="false">"INSERT INTO COTACAO (cot_id, cot_blt_id, cot_pap_id, cot_prc_comum, cot_prc_min, cot_prc_max, cot_prc_med, cot_prc_mediana) VALUES ("&amp;A947&amp;", "&amp;B947&amp;", "&amp;C947&amp;", "&amp;D947&amp;", "&amp;E947&amp;", "&amp;F947&amp;", "&amp;G947&amp;", "&amp;H947&amp;");"</f>
        <v>INSERT INTO COTACAO (cot_id, cot_blt_id, cot_pap_id, cot_prc_comum, cot_prc_min, cot_prc_max, cot_prc_med, cot_prc_mediana) VALUES (946, 60, 34, NULL, 30, 90, 67.5, 72.5);</v>
      </c>
      <c r="J947" s="0" t="str">
        <f aca="false">"UPDATE COTACAO SET cot_id = "&amp;A947&amp;", cot_blt_id = "&amp;B947&amp;", cot_pap_id = "&amp;C947&amp;", cot_prc_comum = "&amp;D947&amp;", cot_prc_min = "&amp;E947&amp;", cot_prc_max = "&amp;F947&amp;", cot_prc_med = "&amp;G947&amp;", cot_prc_mediana = "&amp;H947&amp;" WHERE cot_id = "&amp;A947&amp;";"</f>
        <v>UPDATE COTACAO SET cot_id = 946, cot_blt_id = 60, cot_pap_id = 34, cot_prc_comum = NULL, cot_prc_min = 30, cot_prc_max = 90, cot_prc_med = 67.5, cot_prc_mediana = 72.5 WHERE cot_id = 946;</v>
      </c>
    </row>
    <row r="948" customFormat="false" ht="14.25" hidden="false" customHeight="false" outlineLevel="0" collapsed="false">
      <c r="A948" s="0" t="n">
        <v>947</v>
      </c>
      <c r="B948" s="0" t="n">
        <f aca="false">IF('Boletins Nuppa Site'!A948&lt;&gt;0,'Boletins Nuppa Site'!A948,"NULL")</f>
        <v>60</v>
      </c>
      <c r="C948" s="0" t="n">
        <v>35</v>
      </c>
      <c r="D948" s="30" t="n">
        <f aca="false">IF('Boletins Nuppa Site'!G948&lt;&gt;0,'Boletins Nuppa Site'!G948,"NULL")</f>
        <v>120</v>
      </c>
      <c r="E948" s="30" t="n">
        <f aca="false">IF('Boletins Nuppa Site'!H948&lt;&gt;0,'Boletins Nuppa Site'!H948,"NULL")</f>
        <v>120</v>
      </c>
      <c r="F948" s="30" t="n">
        <f aca="false">IF('Boletins Nuppa Site'!I948&lt;&gt;0,'Boletins Nuppa Site'!I948,"NULL")</f>
        <v>150</v>
      </c>
      <c r="G948" s="30" t="n">
        <f aca="false">IF('Boletins Nuppa Site'!J948&lt;&gt;0,'Boletins Nuppa Site'!J948,"NULL")</f>
        <v>130</v>
      </c>
      <c r="H948" s="30" t="n">
        <f aca="false">IF('Boletins Nuppa Site'!K948&lt;&gt;0,'Boletins Nuppa Site'!K948,"NULL")</f>
        <v>125</v>
      </c>
      <c r="I948" s="0" t="str">
        <f aca="false">"INSERT INTO COTACAO (cot_id, cot_blt_id, cot_pap_id, cot_prc_comum, cot_prc_min, cot_prc_max, cot_prc_med, cot_prc_mediana) VALUES ("&amp;A948&amp;", "&amp;B948&amp;", "&amp;C948&amp;", "&amp;D948&amp;", "&amp;E948&amp;", "&amp;F948&amp;", "&amp;G948&amp;", "&amp;H948&amp;");"</f>
        <v>INSERT INTO COTACAO (cot_id, cot_blt_id, cot_pap_id, cot_prc_comum, cot_prc_min, cot_prc_max, cot_prc_med, cot_prc_mediana) VALUES (947, 60, 35, 120, 120, 150, 130, 125);</v>
      </c>
      <c r="J948" s="0" t="str">
        <f aca="false">"UPDATE COTACAO SET cot_id = "&amp;A948&amp;", cot_blt_id = "&amp;B948&amp;", cot_pap_id = "&amp;C948&amp;", cot_prc_comum = "&amp;D948&amp;", cot_prc_min = "&amp;E948&amp;", cot_prc_max = "&amp;F948&amp;", cot_prc_med = "&amp;G948&amp;", cot_prc_mediana = "&amp;H948&amp;" WHERE cot_id = "&amp;A948&amp;";"</f>
        <v>UPDATE COTACAO SET cot_id = 947, cot_blt_id = 60, cot_pap_id = 35, cot_prc_comum = 120, cot_prc_min = 120, cot_prc_max = 150, cot_prc_med = 130, cot_prc_mediana = 125 WHERE cot_id = 947;</v>
      </c>
    </row>
    <row r="949" customFormat="false" ht="14.25" hidden="false" customHeight="false" outlineLevel="0" collapsed="false">
      <c r="A949" s="0" t="n">
        <v>948</v>
      </c>
      <c r="B949" s="0" t="n">
        <f aca="false">IF('Boletins Nuppa Site'!A949&lt;&gt;0,'Boletins Nuppa Site'!A949,"NULL")</f>
        <v>60</v>
      </c>
      <c r="C949" s="0" t="n">
        <v>36</v>
      </c>
      <c r="D949" s="0" t="str">
        <f aca="false">IF('Boletins Nuppa Site'!G949&lt;&gt;0,'Boletins Nuppa Site'!G949,"NULL")</f>
        <v>NULL</v>
      </c>
      <c r="E949" s="0" t="str">
        <f aca="false">IF('Boletins Nuppa Site'!H949&lt;&gt;0,'Boletins Nuppa Site'!H949,"NULL")</f>
        <v>NULL</v>
      </c>
      <c r="F949" s="0" t="str">
        <f aca="false">IF('Boletins Nuppa Site'!I949&lt;&gt;0,'Boletins Nuppa Site'!I949,"NULL")</f>
        <v>NULL</v>
      </c>
      <c r="G949" s="0" t="str">
        <f aca="false">IF('Boletins Nuppa Site'!J949&lt;&gt;0,'Boletins Nuppa Site'!J949,"NULL")</f>
        <v>NULL</v>
      </c>
      <c r="H949" s="0" t="str">
        <f aca="false">IF('Boletins Nuppa Site'!K949&lt;&gt;0,'Boletins Nuppa Site'!K949,"NULL")</f>
        <v>NULL</v>
      </c>
      <c r="I949" s="0" t="str">
        <f aca="false">"INSERT INTO COTACAO (cot_id, cot_blt_id, cot_pap_id, cot_prc_comum, cot_prc_min, cot_prc_max, cot_prc_med, cot_prc_mediana) VALUES ("&amp;A949&amp;", "&amp;B949&amp;", "&amp;C949&amp;", "&amp;D949&amp;", "&amp;E949&amp;", "&amp;F949&amp;", "&amp;G949&amp;", "&amp;H949&amp;");"</f>
        <v>INSERT INTO COTACAO (cot_id, cot_blt_id, cot_pap_id, cot_prc_comum, cot_prc_min, cot_prc_max, cot_prc_med, cot_prc_mediana) VALUES (948, 60, 36, NULL, NULL, NULL, NULL, NULL);</v>
      </c>
      <c r="J949" s="0" t="str">
        <f aca="false">"UPDATE COTACAO SET cot_id = "&amp;A949&amp;", cot_blt_id = "&amp;B949&amp;", cot_pap_id = "&amp;C949&amp;", cot_prc_comum = "&amp;D949&amp;", cot_prc_min = "&amp;E949&amp;", cot_prc_max = "&amp;F949&amp;", cot_prc_med = "&amp;G949&amp;", cot_prc_mediana = "&amp;H949&amp;" WHERE cot_id = "&amp;A949&amp;";"</f>
        <v>UPDATE COTACAO SET cot_id = 948, cot_blt_id = 60, cot_pap_id = 36, cot_prc_comum = NULL, cot_prc_min = NULL, cot_prc_max = NULL, cot_prc_med = NULL, cot_prc_mediana = NULL WHERE cot_id = 948;</v>
      </c>
    </row>
    <row r="950" customFormat="false" ht="14.25" hidden="false" customHeight="false" outlineLevel="0" collapsed="false">
      <c r="A950" s="0" t="n">
        <v>949</v>
      </c>
      <c r="B950" s="0" t="n">
        <f aca="false">IF('Boletins Nuppa Site'!A950&lt;&gt;0,'Boletins Nuppa Site'!A950,"NULL")</f>
        <v>60</v>
      </c>
      <c r="C950" s="0" t="n">
        <v>37</v>
      </c>
      <c r="D950" s="0" t="str">
        <f aca="false">IF('Boletins Nuppa Site'!G950&lt;&gt;0,'Boletins Nuppa Site'!G950,"NULL")</f>
        <v>NULL</v>
      </c>
      <c r="E950" s="0" t="str">
        <f aca="false">IF('Boletins Nuppa Site'!H950&lt;&gt;0,'Boletins Nuppa Site'!H950,"NULL")</f>
        <v>NULL</v>
      </c>
      <c r="F950" s="0" t="str">
        <f aca="false">IF('Boletins Nuppa Site'!I950&lt;&gt;0,'Boletins Nuppa Site'!I950,"NULL")</f>
        <v>NULL</v>
      </c>
      <c r="G950" s="0" t="str">
        <f aca="false">IF('Boletins Nuppa Site'!J950&lt;&gt;0,'Boletins Nuppa Site'!J950,"NULL")</f>
        <v>NULL</v>
      </c>
      <c r="H950" s="0" t="str">
        <f aca="false">IF('Boletins Nuppa Site'!K950&lt;&gt;0,'Boletins Nuppa Site'!K950,"NULL")</f>
        <v>NULL</v>
      </c>
      <c r="I950" s="0" t="str">
        <f aca="false">"INSERT INTO COTACAO (cot_id, cot_blt_id, cot_pap_id, cot_prc_comum, cot_prc_min, cot_prc_max, cot_prc_med, cot_prc_mediana) VALUES ("&amp;A950&amp;", "&amp;B950&amp;", "&amp;C950&amp;", "&amp;D950&amp;", "&amp;E950&amp;", "&amp;F950&amp;", "&amp;G950&amp;", "&amp;H950&amp;");"</f>
        <v>INSERT INTO COTACAO (cot_id, cot_blt_id, cot_pap_id, cot_prc_comum, cot_prc_min, cot_prc_max, cot_prc_med, cot_prc_mediana) VALUES (949, 60, 37, NULL, NULL, NULL, NULL, NULL);</v>
      </c>
      <c r="J950" s="0" t="str">
        <f aca="false">"UPDATE COTACAO SET cot_id = "&amp;A950&amp;", cot_blt_id = "&amp;B950&amp;", cot_pap_id = "&amp;C950&amp;", cot_prc_comum = "&amp;D950&amp;", cot_prc_min = "&amp;E950&amp;", cot_prc_max = "&amp;F950&amp;", cot_prc_med = "&amp;G950&amp;", cot_prc_mediana = "&amp;H950&amp;" WHERE cot_id = "&amp;A950&amp;";"</f>
        <v>UPDATE COTACAO SET cot_id = 949, cot_blt_id = 60, cot_pap_id = 37, cot_prc_comum = NULL, cot_prc_min = NULL, cot_prc_max = NULL, cot_prc_med = NULL, cot_prc_mediana = NULL WHERE cot_id = 949;</v>
      </c>
    </row>
    <row r="951" customFormat="false" ht="14.25" hidden="false" customHeight="false" outlineLevel="0" collapsed="false">
      <c r="A951" s="0" t="n">
        <v>950</v>
      </c>
      <c r="B951" s="0" t="n">
        <f aca="false">IF('Boletins Nuppa Site'!A951&lt;&gt;0,'Boletins Nuppa Site'!A951,"NULL")</f>
        <v>60</v>
      </c>
      <c r="C951" s="0" t="n">
        <v>38</v>
      </c>
      <c r="D951" s="0" t="str">
        <f aca="false">IF('Boletins Nuppa Site'!G951&lt;&gt;0,'Boletins Nuppa Site'!G951,"NULL")</f>
        <v>NULL</v>
      </c>
      <c r="E951" s="0" t="str">
        <f aca="false">IF('Boletins Nuppa Site'!H951&lt;&gt;0,'Boletins Nuppa Site'!H951,"NULL")</f>
        <v>NULL</v>
      </c>
      <c r="F951" s="0" t="str">
        <f aca="false">IF('Boletins Nuppa Site'!I951&lt;&gt;0,'Boletins Nuppa Site'!I951,"NULL")</f>
        <v>NULL</v>
      </c>
      <c r="G951" s="0" t="str">
        <f aca="false">IF('Boletins Nuppa Site'!J951&lt;&gt;0,'Boletins Nuppa Site'!J951,"NULL")</f>
        <v>NULL</v>
      </c>
      <c r="H951" s="0" t="str">
        <f aca="false">IF('Boletins Nuppa Site'!K951&lt;&gt;0,'Boletins Nuppa Site'!K951,"NULL")</f>
        <v>NULL</v>
      </c>
      <c r="I951" s="0" t="str">
        <f aca="false">"INSERT INTO COTACAO (cot_id, cot_blt_id, cot_pap_id, cot_prc_comum, cot_prc_min, cot_prc_max, cot_prc_med, cot_prc_mediana) VALUES ("&amp;A951&amp;", "&amp;B951&amp;", "&amp;C951&amp;", "&amp;D951&amp;", "&amp;E951&amp;", "&amp;F951&amp;", "&amp;G951&amp;", "&amp;H951&amp;");"</f>
        <v>INSERT INTO COTACAO (cot_id, cot_blt_id, cot_pap_id, cot_prc_comum, cot_prc_min, cot_prc_max, cot_prc_med, cot_prc_mediana) VALUES (950, 60, 38, NULL, NULL, NULL, NULL, NULL);</v>
      </c>
      <c r="J951" s="0" t="str">
        <f aca="false">"UPDATE COTACAO SET cot_id = "&amp;A951&amp;", cot_blt_id = "&amp;B951&amp;", cot_pap_id = "&amp;C951&amp;", cot_prc_comum = "&amp;D951&amp;", cot_prc_min = "&amp;E951&amp;", cot_prc_max = "&amp;F951&amp;", cot_prc_med = "&amp;G951&amp;", cot_prc_mediana = "&amp;H951&amp;" WHERE cot_id = "&amp;A951&amp;";"</f>
        <v>UPDATE COTACAO SET cot_id = 950, cot_blt_id = 60, cot_pap_id = 38, cot_prc_comum = NULL, cot_prc_min = NULL, cot_prc_max = NULL, cot_prc_med = NULL, cot_prc_mediana = NULL WHERE cot_id = 950;</v>
      </c>
    </row>
    <row r="952" customFormat="false" ht="14.25" hidden="false" customHeight="false" outlineLevel="0" collapsed="false">
      <c r="A952" s="0" t="n">
        <v>951</v>
      </c>
      <c r="B952" s="0" t="n">
        <f aca="false">IF('Boletins Nuppa Site'!A952&lt;&gt;0,'Boletins Nuppa Site'!A952,"NULL")</f>
        <v>60</v>
      </c>
      <c r="C952" s="0" t="n">
        <v>39</v>
      </c>
      <c r="D952" s="30" t="n">
        <f aca="false">IF('Boletins Nuppa Site'!G952&lt;&gt;0,'Boletins Nuppa Site'!G952,"NULL")</f>
        <v>48</v>
      </c>
      <c r="E952" s="30" t="n">
        <f aca="false">IF('Boletins Nuppa Site'!H952&lt;&gt;0,'Boletins Nuppa Site'!H952,"NULL")</f>
        <v>48</v>
      </c>
      <c r="F952" s="30" t="n">
        <f aca="false">IF('Boletins Nuppa Site'!I952&lt;&gt;0,'Boletins Nuppa Site'!I952,"NULL")</f>
        <v>48</v>
      </c>
      <c r="G952" s="30" t="n">
        <f aca="false">IF('Boletins Nuppa Site'!J952&lt;&gt;0,'Boletins Nuppa Site'!J952,"NULL")</f>
        <v>48</v>
      </c>
      <c r="H952" s="30" t="n">
        <f aca="false">IF('Boletins Nuppa Site'!K952&lt;&gt;0,'Boletins Nuppa Site'!K952,"NULL")</f>
        <v>48</v>
      </c>
      <c r="I952" s="0" t="str">
        <f aca="false">"INSERT INTO COTACAO (cot_id, cot_blt_id, cot_pap_id, cot_prc_comum, cot_prc_min, cot_prc_max, cot_prc_med, cot_prc_mediana) VALUES ("&amp;A952&amp;", "&amp;B952&amp;", "&amp;C952&amp;", "&amp;D952&amp;", "&amp;E952&amp;", "&amp;F952&amp;", "&amp;G952&amp;", "&amp;H952&amp;");"</f>
        <v>INSERT INTO COTACAO (cot_id, cot_blt_id, cot_pap_id, cot_prc_comum, cot_prc_min, cot_prc_max, cot_prc_med, cot_prc_mediana) VALUES (951, 60, 39, 48, 48, 48, 48, 48);</v>
      </c>
      <c r="J952" s="0" t="str">
        <f aca="false">"UPDATE COTACAO SET cot_id = "&amp;A952&amp;", cot_blt_id = "&amp;B952&amp;", cot_pap_id = "&amp;C952&amp;", cot_prc_comum = "&amp;D952&amp;", cot_prc_min = "&amp;E952&amp;", cot_prc_max = "&amp;F952&amp;", cot_prc_med = "&amp;G952&amp;", cot_prc_mediana = "&amp;H952&amp;" WHERE cot_id = "&amp;A952&amp;";"</f>
        <v>UPDATE COTACAO SET cot_id = 951, cot_blt_id = 60, cot_pap_id = 39, cot_prc_comum = 48, cot_prc_min = 48, cot_prc_max = 48, cot_prc_med = 48, cot_prc_mediana = 48 WHERE cot_id = 951;</v>
      </c>
    </row>
    <row r="953" customFormat="false" ht="14.25" hidden="false" customHeight="false" outlineLevel="0" collapsed="false">
      <c r="A953" s="0" t="n">
        <v>952</v>
      </c>
      <c r="B953" s="0" t="n">
        <f aca="false">IF('Boletins Nuppa Site'!A953&lt;&gt;0,'Boletins Nuppa Site'!A953,"NULL")</f>
        <v>60</v>
      </c>
      <c r="C953" s="0" t="n">
        <v>40</v>
      </c>
      <c r="D953" s="30" t="n">
        <f aca="false">IF('Boletins Nuppa Site'!G953&lt;&gt;0,'Boletins Nuppa Site'!G953,"NULL")</f>
        <v>70</v>
      </c>
      <c r="E953" s="30" t="n">
        <f aca="false">IF('Boletins Nuppa Site'!H953&lt;&gt;0,'Boletins Nuppa Site'!H953,"NULL")</f>
        <v>65</v>
      </c>
      <c r="F953" s="30" t="n">
        <f aca="false">IF('Boletins Nuppa Site'!I953&lt;&gt;0,'Boletins Nuppa Site'!I953,"NULL")</f>
        <v>70</v>
      </c>
      <c r="G953" s="0" t="str">
        <f aca="false">IF('Boletins Nuppa Site'!J953&lt;&gt;0,'Boletins Nuppa Site'!J953,"NULL")</f>
        <v>68.33</v>
      </c>
      <c r="H953" s="30" t="n">
        <f aca="false">IF('Boletins Nuppa Site'!K953&lt;&gt;0,'Boletins Nuppa Site'!K953,"NULL")</f>
        <v>70</v>
      </c>
      <c r="I953" s="0" t="str">
        <f aca="false">"INSERT INTO COTACAO (cot_id, cot_blt_id, cot_pap_id, cot_prc_comum, cot_prc_min, cot_prc_max, cot_prc_med, cot_prc_mediana) VALUES ("&amp;A953&amp;", "&amp;B953&amp;", "&amp;C953&amp;", "&amp;D953&amp;", "&amp;E953&amp;", "&amp;F953&amp;", "&amp;G953&amp;", "&amp;H953&amp;");"</f>
        <v>INSERT INTO COTACAO (cot_id, cot_blt_id, cot_pap_id, cot_prc_comum, cot_prc_min, cot_prc_max, cot_prc_med, cot_prc_mediana) VALUES (952, 60, 40, 70, 65, 70, 68.33, 70);</v>
      </c>
      <c r="J953" s="0" t="str">
        <f aca="false">"UPDATE COTACAO SET cot_id = "&amp;A953&amp;", cot_blt_id = "&amp;B953&amp;", cot_pap_id = "&amp;C953&amp;", cot_prc_comum = "&amp;D953&amp;", cot_prc_min = "&amp;E953&amp;", cot_prc_max = "&amp;F953&amp;", cot_prc_med = "&amp;G953&amp;", cot_prc_mediana = "&amp;H953&amp;" WHERE cot_id = "&amp;A953&amp;";"</f>
        <v>UPDATE COTACAO SET cot_id = 952, cot_blt_id = 60, cot_pap_id = 40, cot_prc_comum = 70, cot_prc_min = 65, cot_prc_max = 70, cot_prc_med = 68.33, cot_prc_mediana = 70 WHERE cot_id = 952;</v>
      </c>
    </row>
    <row r="954" customFormat="false" ht="14.25" hidden="false" customHeight="false" outlineLevel="0" collapsed="false">
      <c r="A954" s="0" t="n">
        <v>953</v>
      </c>
      <c r="B954" s="0" t="n">
        <f aca="false">IF('Boletins Nuppa Site'!A954&lt;&gt;0,'Boletins Nuppa Site'!A954,"NULL")</f>
        <v>62</v>
      </c>
      <c r="C954" s="0" t="n">
        <v>1</v>
      </c>
      <c r="D954" s="30" t="n">
        <f aca="false">IF('Boletins Nuppa Site'!G954&lt;&gt;0,'Boletins Nuppa Site'!G954,"NULL")</f>
        <v>60</v>
      </c>
      <c r="E954" s="30" t="n">
        <f aca="false">IF('Boletins Nuppa Site'!H954&lt;&gt;0,'Boletins Nuppa Site'!H954,"NULL")</f>
        <v>48</v>
      </c>
      <c r="F954" s="30" t="n">
        <f aca="false">IF('Boletins Nuppa Site'!I954&lt;&gt;0,'Boletins Nuppa Site'!I954,"NULL")</f>
        <v>60</v>
      </c>
      <c r="G954" s="30" t="n">
        <f aca="false">IF('Boletins Nuppa Site'!J954&lt;&gt;0,'Boletins Nuppa Site'!J954,"NULL")</f>
        <v>54</v>
      </c>
      <c r="H954" s="30" t="n">
        <f aca="false">IF('Boletins Nuppa Site'!K954&lt;&gt;0,'Boletins Nuppa Site'!K954,"NULL")</f>
        <v>54</v>
      </c>
      <c r="I954" s="0" t="str">
        <f aca="false">"INSERT INTO COTACAO (cot_id, cot_blt_id, cot_pap_id, cot_prc_comum, cot_prc_min, cot_prc_max, cot_prc_med, cot_prc_mediana) VALUES ("&amp;A954&amp;", "&amp;B954&amp;", "&amp;C954&amp;", "&amp;D954&amp;", "&amp;E954&amp;", "&amp;F954&amp;", "&amp;G954&amp;", "&amp;H954&amp;");"</f>
        <v>INSERT INTO COTACAO (cot_id, cot_blt_id, cot_pap_id, cot_prc_comum, cot_prc_min, cot_prc_max, cot_prc_med, cot_prc_mediana) VALUES (953, 62, 1, 60, 48, 60, 54, 54);</v>
      </c>
      <c r="J954" s="0" t="str">
        <f aca="false">"UPDATE COTACAO SET cot_id = "&amp;A954&amp;", cot_blt_id = "&amp;B954&amp;", cot_pap_id = "&amp;C954&amp;", cot_prc_comum = "&amp;D954&amp;", cot_prc_min = "&amp;E954&amp;", cot_prc_max = "&amp;F954&amp;", cot_prc_med = "&amp;G954&amp;", cot_prc_mediana = "&amp;H954&amp;" WHERE cot_id = "&amp;A954&amp;";"</f>
        <v>UPDATE COTACAO SET cot_id = 953, cot_blt_id = 62, cot_pap_id = 1, cot_prc_comum = 60, cot_prc_min = 48, cot_prc_max = 60, cot_prc_med = 54, cot_prc_mediana = 54 WHERE cot_id = 953;</v>
      </c>
    </row>
    <row r="955" customFormat="false" ht="14.25" hidden="false" customHeight="false" outlineLevel="0" collapsed="false">
      <c r="A955" s="0" t="n">
        <v>954</v>
      </c>
      <c r="B955" s="0" t="n">
        <f aca="false">IF('Boletins Nuppa Site'!A955&lt;&gt;0,'Boletins Nuppa Site'!A955,"NULL")</f>
        <v>62</v>
      </c>
      <c r="C955" s="0" t="n">
        <v>2</v>
      </c>
      <c r="D955" s="30" t="n">
        <f aca="false">IF('Boletins Nuppa Site'!G955&lt;&gt;0,'Boletins Nuppa Site'!G955,"NULL")</f>
        <v>84</v>
      </c>
      <c r="E955" s="30" t="n">
        <f aca="false">IF('Boletins Nuppa Site'!H955&lt;&gt;0,'Boletins Nuppa Site'!H955,"NULL")</f>
        <v>60</v>
      </c>
      <c r="F955" s="30" t="n">
        <f aca="false">IF('Boletins Nuppa Site'!I955&lt;&gt;0,'Boletins Nuppa Site'!I955,"NULL")</f>
        <v>84</v>
      </c>
      <c r="G955" s="0" t="str">
        <f aca="false">IF('Boletins Nuppa Site'!J955&lt;&gt;0,'Boletins Nuppa Site'!J955,"NULL")</f>
        <v>74.4</v>
      </c>
      <c r="H955" s="30" t="n">
        <f aca="false">IF('Boletins Nuppa Site'!K955&lt;&gt;0,'Boletins Nuppa Site'!K955,"NULL")</f>
        <v>72</v>
      </c>
      <c r="I955" s="0" t="str">
        <f aca="false">"INSERT INTO COTACAO (cot_id, cot_blt_id, cot_pap_id, cot_prc_comum, cot_prc_min, cot_prc_max, cot_prc_med, cot_prc_mediana) VALUES ("&amp;A955&amp;", "&amp;B955&amp;", "&amp;C955&amp;", "&amp;D955&amp;", "&amp;E955&amp;", "&amp;F955&amp;", "&amp;G955&amp;", "&amp;H955&amp;");"</f>
        <v>INSERT INTO COTACAO (cot_id, cot_blt_id, cot_pap_id, cot_prc_comum, cot_prc_min, cot_prc_max, cot_prc_med, cot_prc_mediana) VALUES (954, 62, 2, 84, 60, 84, 74.4, 72);</v>
      </c>
      <c r="J955" s="0" t="str">
        <f aca="false">"UPDATE COTACAO SET cot_id = "&amp;A955&amp;", cot_blt_id = "&amp;B955&amp;", cot_pap_id = "&amp;C955&amp;", cot_prc_comum = "&amp;D955&amp;", cot_prc_min = "&amp;E955&amp;", cot_prc_max = "&amp;F955&amp;", cot_prc_med = "&amp;G955&amp;", cot_prc_mediana = "&amp;H955&amp;" WHERE cot_id = "&amp;A955&amp;";"</f>
        <v>UPDATE COTACAO SET cot_id = 954, cot_blt_id = 62, cot_pap_id = 2, cot_prc_comum = 84, cot_prc_min = 60, cot_prc_max = 84, cot_prc_med = 74.4, cot_prc_mediana = 72 WHERE cot_id = 954;</v>
      </c>
    </row>
    <row r="956" customFormat="false" ht="14.25" hidden="false" customHeight="false" outlineLevel="0" collapsed="false">
      <c r="A956" s="0" t="n">
        <v>955</v>
      </c>
      <c r="B956" s="0" t="n">
        <f aca="false">IF('Boletins Nuppa Site'!A956&lt;&gt;0,'Boletins Nuppa Site'!A956,"NULL")</f>
        <v>62</v>
      </c>
      <c r="C956" s="0" t="n">
        <v>3</v>
      </c>
      <c r="D956" s="30" t="n">
        <f aca="false">IF('Boletins Nuppa Site'!G956&lt;&gt;0,'Boletins Nuppa Site'!G956,"NULL")</f>
        <v>36</v>
      </c>
      <c r="E956" s="30" t="n">
        <f aca="false">IF('Boletins Nuppa Site'!H956&lt;&gt;0,'Boletins Nuppa Site'!H956,"NULL")</f>
        <v>30</v>
      </c>
      <c r="F956" s="30" t="n">
        <f aca="false">IF('Boletins Nuppa Site'!I956&lt;&gt;0,'Boletins Nuppa Site'!I956,"NULL")</f>
        <v>48</v>
      </c>
      <c r="G956" s="30" t="n">
        <f aca="false">IF('Boletins Nuppa Site'!J956&lt;&gt;0,'Boletins Nuppa Site'!J956,"NULL")</f>
        <v>36</v>
      </c>
      <c r="H956" s="30" t="n">
        <f aca="false">IF('Boletins Nuppa Site'!K956&lt;&gt;0,'Boletins Nuppa Site'!K956,"NULL")</f>
        <v>36</v>
      </c>
      <c r="I956" s="0" t="str">
        <f aca="false">"INSERT INTO COTACAO (cot_id, cot_blt_id, cot_pap_id, cot_prc_comum, cot_prc_min, cot_prc_max, cot_prc_med, cot_prc_mediana) VALUES ("&amp;A956&amp;", "&amp;B956&amp;", "&amp;C956&amp;", "&amp;D956&amp;", "&amp;E956&amp;", "&amp;F956&amp;", "&amp;G956&amp;", "&amp;H956&amp;");"</f>
        <v>INSERT INTO COTACAO (cot_id, cot_blt_id, cot_pap_id, cot_prc_comum, cot_prc_min, cot_prc_max, cot_prc_med, cot_prc_mediana) VALUES (955, 62, 3, 36, 30, 48, 36, 36);</v>
      </c>
      <c r="J956" s="0" t="str">
        <f aca="false">"UPDATE COTACAO SET cot_id = "&amp;A956&amp;", cot_blt_id = "&amp;B956&amp;", cot_pap_id = "&amp;C956&amp;", cot_prc_comum = "&amp;D956&amp;", cot_prc_min = "&amp;E956&amp;", cot_prc_max = "&amp;F956&amp;", cot_prc_med = "&amp;G956&amp;", cot_prc_mediana = "&amp;H956&amp;" WHERE cot_id = "&amp;A956&amp;";"</f>
        <v>UPDATE COTACAO SET cot_id = 955, cot_blt_id = 62, cot_pap_id = 3, cot_prc_comum = 36, cot_prc_min = 30, cot_prc_max = 48, cot_prc_med = 36, cot_prc_mediana = 36 WHERE cot_id = 955;</v>
      </c>
    </row>
    <row r="957" customFormat="false" ht="14.25" hidden="false" customHeight="false" outlineLevel="0" collapsed="false">
      <c r="A957" s="0" t="n">
        <v>956</v>
      </c>
      <c r="B957" s="0" t="n">
        <f aca="false">IF('Boletins Nuppa Site'!A957&lt;&gt;0,'Boletins Nuppa Site'!A957,"NULL")</f>
        <v>62</v>
      </c>
      <c r="C957" s="0" t="n">
        <v>4</v>
      </c>
      <c r="D957" s="30" t="n">
        <f aca="false">IF('Boletins Nuppa Site'!G957&lt;&gt;0,'Boletins Nuppa Site'!G957,"NULL")</f>
        <v>24</v>
      </c>
      <c r="E957" s="30" t="n">
        <f aca="false">IF('Boletins Nuppa Site'!H957&lt;&gt;0,'Boletins Nuppa Site'!H957,"NULL")</f>
        <v>18</v>
      </c>
      <c r="F957" s="30" t="n">
        <f aca="false">IF('Boletins Nuppa Site'!I957&lt;&gt;0,'Boletins Nuppa Site'!I957,"NULL")</f>
        <v>30</v>
      </c>
      <c r="G957" s="0" t="str">
        <f aca="false">IF('Boletins Nuppa Site'!J957&lt;&gt;0,'Boletins Nuppa Site'!J957,"NULL")</f>
        <v>22.8</v>
      </c>
      <c r="H957" s="30" t="n">
        <f aca="false">IF('Boletins Nuppa Site'!K957&lt;&gt;0,'Boletins Nuppa Site'!K957,"NULL")</f>
        <v>24</v>
      </c>
      <c r="I957" s="0" t="str">
        <f aca="false">"INSERT INTO COTACAO (cot_id, cot_blt_id, cot_pap_id, cot_prc_comum, cot_prc_min, cot_prc_max, cot_prc_med, cot_prc_mediana) VALUES ("&amp;A957&amp;", "&amp;B957&amp;", "&amp;C957&amp;", "&amp;D957&amp;", "&amp;E957&amp;", "&amp;F957&amp;", "&amp;G957&amp;", "&amp;H957&amp;");"</f>
        <v>INSERT INTO COTACAO (cot_id, cot_blt_id, cot_pap_id, cot_prc_comum, cot_prc_min, cot_prc_max, cot_prc_med, cot_prc_mediana) VALUES (956, 62, 4, 24, 18, 30, 22.8, 24);</v>
      </c>
      <c r="J957" s="0" t="str">
        <f aca="false">"UPDATE COTACAO SET cot_id = "&amp;A957&amp;", cot_blt_id = "&amp;B957&amp;", cot_pap_id = "&amp;C957&amp;", cot_prc_comum = "&amp;D957&amp;", cot_prc_min = "&amp;E957&amp;", cot_prc_max = "&amp;F957&amp;", cot_prc_med = "&amp;G957&amp;", cot_prc_mediana = "&amp;H957&amp;" WHERE cot_id = "&amp;A957&amp;";"</f>
        <v>UPDATE COTACAO SET cot_id = 956, cot_blt_id = 62, cot_pap_id = 4, cot_prc_comum = 24, cot_prc_min = 18, cot_prc_max = 30, cot_prc_med = 22.8, cot_prc_mediana = 24 WHERE cot_id = 956;</v>
      </c>
    </row>
    <row r="958" customFormat="false" ht="14.25" hidden="false" customHeight="false" outlineLevel="0" collapsed="false">
      <c r="A958" s="0" t="n">
        <v>957</v>
      </c>
      <c r="B958" s="0" t="n">
        <f aca="false">IF('Boletins Nuppa Site'!A958&lt;&gt;0,'Boletins Nuppa Site'!A958,"NULL")</f>
        <v>62</v>
      </c>
      <c r="C958" s="0" t="n">
        <v>5</v>
      </c>
      <c r="D958" s="30" t="n">
        <f aca="false">IF('Boletins Nuppa Site'!G958&lt;&gt;0,'Boletins Nuppa Site'!G958,"NULL")</f>
        <v>30</v>
      </c>
      <c r="E958" s="30" t="n">
        <f aca="false">IF('Boletins Nuppa Site'!H958&lt;&gt;0,'Boletins Nuppa Site'!H958,"NULL")</f>
        <v>18</v>
      </c>
      <c r="F958" s="30" t="n">
        <f aca="false">IF('Boletins Nuppa Site'!I958&lt;&gt;0,'Boletins Nuppa Site'!I958,"NULL")</f>
        <v>30</v>
      </c>
      <c r="G958" s="0" t="str">
        <f aca="false">IF('Boletins Nuppa Site'!J958&lt;&gt;0,'Boletins Nuppa Site'!J958,"NULL")</f>
        <v>25.2</v>
      </c>
      <c r="H958" s="30" t="n">
        <f aca="false">IF('Boletins Nuppa Site'!K958&lt;&gt;0,'Boletins Nuppa Site'!K958,"NULL")</f>
        <v>24</v>
      </c>
      <c r="I958" s="0" t="str">
        <f aca="false">"INSERT INTO COTACAO (cot_id, cot_blt_id, cot_pap_id, cot_prc_comum, cot_prc_min, cot_prc_max, cot_prc_med, cot_prc_mediana) VALUES ("&amp;A958&amp;", "&amp;B958&amp;", "&amp;C958&amp;", "&amp;D958&amp;", "&amp;E958&amp;", "&amp;F958&amp;", "&amp;G958&amp;", "&amp;H958&amp;");"</f>
        <v>INSERT INTO COTACAO (cot_id, cot_blt_id, cot_pap_id, cot_prc_comum, cot_prc_min, cot_prc_max, cot_prc_med, cot_prc_mediana) VALUES (957, 62, 5, 30, 18, 30, 25.2, 24);</v>
      </c>
      <c r="J958" s="0" t="str">
        <f aca="false">"UPDATE COTACAO SET cot_id = "&amp;A958&amp;", cot_blt_id = "&amp;B958&amp;", cot_pap_id = "&amp;C958&amp;", cot_prc_comum = "&amp;D958&amp;", cot_prc_min = "&amp;E958&amp;", cot_prc_max = "&amp;F958&amp;", cot_prc_med = "&amp;G958&amp;", cot_prc_mediana = "&amp;H958&amp;" WHERE cot_id = "&amp;A958&amp;";"</f>
        <v>UPDATE COTACAO SET cot_id = 957, cot_blt_id = 62, cot_pap_id = 5, cot_prc_comum = 30, cot_prc_min = 18, cot_prc_max = 30, cot_prc_med = 25.2, cot_prc_mediana = 24 WHERE cot_id = 957;</v>
      </c>
    </row>
    <row r="959" customFormat="false" ht="14.25" hidden="false" customHeight="false" outlineLevel="0" collapsed="false">
      <c r="A959" s="0" t="n">
        <v>958</v>
      </c>
      <c r="B959" s="0" t="n">
        <f aca="false">IF('Boletins Nuppa Site'!A959&lt;&gt;0,'Boletins Nuppa Site'!A959,"NULL")</f>
        <v>62</v>
      </c>
      <c r="C959" s="0" t="n">
        <v>6</v>
      </c>
      <c r="D959" s="30" t="n">
        <f aca="false">IF('Boletins Nuppa Site'!G959&lt;&gt;0,'Boletins Nuppa Site'!G959,"NULL")</f>
        <v>60</v>
      </c>
      <c r="E959" s="30" t="n">
        <f aca="false">IF('Boletins Nuppa Site'!H959&lt;&gt;0,'Boletins Nuppa Site'!H959,"NULL")</f>
        <v>60</v>
      </c>
      <c r="F959" s="30" t="n">
        <f aca="false">IF('Boletins Nuppa Site'!I959&lt;&gt;0,'Boletins Nuppa Site'!I959,"NULL")</f>
        <v>60</v>
      </c>
      <c r="G959" s="30" t="n">
        <f aca="false">IF('Boletins Nuppa Site'!J959&lt;&gt;0,'Boletins Nuppa Site'!J959,"NULL")</f>
        <v>60</v>
      </c>
      <c r="H959" s="30" t="n">
        <f aca="false">IF('Boletins Nuppa Site'!K959&lt;&gt;0,'Boletins Nuppa Site'!K959,"NULL")</f>
        <v>60</v>
      </c>
      <c r="I959" s="0" t="str">
        <f aca="false">"INSERT INTO COTACAO (cot_id, cot_blt_id, cot_pap_id, cot_prc_comum, cot_prc_min, cot_prc_max, cot_prc_med, cot_prc_mediana) VALUES ("&amp;A959&amp;", "&amp;B959&amp;", "&amp;C959&amp;", "&amp;D959&amp;", "&amp;E959&amp;", "&amp;F959&amp;", "&amp;G959&amp;", "&amp;H959&amp;");"</f>
        <v>INSERT INTO COTACAO (cot_id, cot_blt_id, cot_pap_id, cot_prc_comum, cot_prc_min, cot_prc_max, cot_prc_med, cot_prc_mediana) VALUES (958, 62, 6, 60, 60, 60, 60, 60);</v>
      </c>
      <c r="J959" s="0" t="str">
        <f aca="false">"UPDATE COTACAO SET cot_id = "&amp;A959&amp;", cot_blt_id = "&amp;B959&amp;", cot_pap_id = "&amp;C959&amp;", cot_prc_comum = "&amp;D959&amp;", cot_prc_min = "&amp;E959&amp;", cot_prc_max = "&amp;F959&amp;", cot_prc_med = "&amp;G959&amp;", cot_prc_mediana = "&amp;H959&amp;" WHERE cot_id = "&amp;A959&amp;";"</f>
        <v>UPDATE COTACAO SET cot_id = 958, cot_blt_id = 62, cot_pap_id = 6, cot_prc_comum = 60, cot_prc_min = 60, cot_prc_max = 60, cot_prc_med = 60, cot_prc_mediana = 60 WHERE cot_id = 958;</v>
      </c>
    </row>
    <row r="960" customFormat="false" ht="14.25" hidden="false" customHeight="false" outlineLevel="0" collapsed="false">
      <c r="A960" s="0" t="n">
        <v>959</v>
      </c>
      <c r="B960" s="0" t="n">
        <f aca="false">IF('Boletins Nuppa Site'!A960&lt;&gt;0,'Boletins Nuppa Site'!A960,"NULL")</f>
        <v>62</v>
      </c>
      <c r="C960" s="0" t="n">
        <v>7</v>
      </c>
      <c r="D960" s="30" t="n">
        <f aca="false">IF('Boletins Nuppa Site'!G960&lt;&gt;0,'Boletins Nuppa Site'!G960,"NULL")</f>
        <v>60</v>
      </c>
      <c r="E960" s="30" t="n">
        <f aca="false">IF('Boletins Nuppa Site'!H960&lt;&gt;0,'Boletins Nuppa Site'!H960,"NULL")</f>
        <v>60</v>
      </c>
      <c r="F960" s="30" t="n">
        <f aca="false">IF('Boletins Nuppa Site'!I960&lt;&gt;0,'Boletins Nuppa Site'!I960,"NULL")</f>
        <v>72</v>
      </c>
      <c r="G960" s="0" t="str">
        <f aca="false">IF('Boletins Nuppa Site'!J960&lt;&gt;0,'Boletins Nuppa Site'!J960,"NULL")</f>
        <v>62.4</v>
      </c>
      <c r="H960" s="30" t="n">
        <f aca="false">IF('Boletins Nuppa Site'!K960&lt;&gt;0,'Boletins Nuppa Site'!K960,"NULL")</f>
        <v>60</v>
      </c>
      <c r="I960" s="0" t="str">
        <f aca="false">"INSERT INTO COTACAO (cot_id, cot_blt_id, cot_pap_id, cot_prc_comum, cot_prc_min, cot_prc_max, cot_prc_med, cot_prc_mediana) VALUES ("&amp;A960&amp;", "&amp;B960&amp;", "&amp;C960&amp;", "&amp;D960&amp;", "&amp;E960&amp;", "&amp;F960&amp;", "&amp;G960&amp;", "&amp;H960&amp;");"</f>
        <v>INSERT INTO COTACAO (cot_id, cot_blt_id, cot_pap_id, cot_prc_comum, cot_prc_min, cot_prc_max, cot_prc_med, cot_prc_mediana) VALUES (959, 62, 7, 60, 60, 72, 62.4, 60);</v>
      </c>
      <c r="J960" s="0" t="str">
        <f aca="false">"UPDATE COTACAO SET cot_id = "&amp;A960&amp;", cot_blt_id = "&amp;B960&amp;", cot_pap_id = "&amp;C960&amp;", cot_prc_comum = "&amp;D960&amp;", cot_prc_min = "&amp;E960&amp;", cot_prc_max = "&amp;F960&amp;", cot_prc_med = "&amp;G960&amp;", cot_prc_mediana = "&amp;H960&amp;" WHERE cot_id = "&amp;A960&amp;";"</f>
        <v>UPDATE COTACAO SET cot_id = 959, cot_blt_id = 62, cot_pap_id = 7, cot_prc_comum = 60, cot_prc_min = 60, cot_prc_max = 72, cot_prc_med = 62.4, cot_prc_mediana = 60 WHERE cot_id = 959;</v>
      </c>
    </row>
    <row r="961" customFormat="false" ht="14.25" hidden="false" customHeight="false" outlineLevel="0" collapsed="false">
      <c r="A961" s="0" t="n">
        <v>960</v>
      </c>
      <c r="B961" s="0" t="n">
        <f aca="false">IF('Boletins Nuppa Site'!A961&lt;&gt;0,'Boletins Nuppa Site'!A961,"NULL")</f>
        <v>62</v>
      </c>
      <c r="C961" s="0" t="n">
        <v>8</v>
      </c>
      <c r="D961" s="30" t="n">
        <f aca="false">IF('Boletins Nuppa Site'!G961&lt;&gt;0,'Boletins Nuppa Site'!G961,"NULL")</f>
        <v>84</v>
      </c>
      <c r="E961" s="30" t="n">
        <f aca="false">IF('Boletins Nuppa Site'!H961&lt;&gt;0,'Boletins Nuppa Site'!H961,"NULL")</f>
        <v>72</v>
      </c>
      <c r="F961" s="30" t="n">
        <f aca="false">IF('Boletins Nuppa Site'!I961&lt;&gt;0,'Boletins Nuppa Site'!I961,"NULL")</f>
        <v>96</v>
      </c>
      <c r="G961" s="30" t="n">
        <f aca="false">IF('Boletins Nuppa Site'!J961&lt;&gt;0,'Boletins Nuppa Site'!J961,"NULL")</f>
        <v>84</v>
      </c>
      <c r="H961" s="30" t="n">
        <f aca="false">IF('Boletins Nuppa Site'!K961&lt;&gt;0,'Boletins Nuppa Site'!K961,"NULL")</f>
        <v>84</v>
      </c>
      <c r="I961" s="0" t="str">
        <f aca="false">"INSERT INTO COTACAO (cot_id, cot_blt_id, cot_pap_id, cot_prc_comum, cot_prc_min, cot_prc_max, cot_prc_med, cot_prc_mediana) VALUES ("&amp;A961&amp;", "&amp;B961&amp;", "&amp;C961&amp;", "&amp;D961&amp;", "&amp;E961&amp;", "&amp;F961&amp;", "&amp;G961&amp;", "&amp;H961&amp;");"</f>
        <v>INSERT INTO COTACAO (cot_id, cot_blt_id, cot_pap_id, cot_prc_comum, cot_prc_min, cot_prc_max, cot_prc_med, cot_prc_mediana) VALUES (960, 62, 8, 84, 72, 96, 84, 84);</v>
      </c>
      <c r="J961" s="0" t="str">
        <f aca="false">"UPDATE COTACAO SET cot_id = "&amp;A961&amp;", cot_blt_id = "&amp;B961&amp;", cot_pap_id = "&amp;C961&amp;", cot_prc_comum = "&amp;D961&amp;", cot_prc_min = "&amp;E961&amp;", cot_prc_max = "&amp;F961&amp;", cot_prc_med = "&amp;G961&amp;", cot_prc_mediana = "&amp;H961&amp;" WHERE cot_id = "&amp;A961&amp;";"</f>
        <v>UPDATE COTACAO SET cot_id = 960, cot_blt_id = 62, cot_pap_id = 8, cot_prc_comum = 84, cot_prc_min = 72, cot_prc_max = 96, cot_prc_med = 84, cot_prc_mediana = 84 WHERE cot_id = 960;</v>
      </c>
    </row>
    <row r="962" customFormat="false" ht="14.25" hidden="false" customHeight="false" outlineLevel="0" collapsed="false">
      <c r="A962" s="0" t="n">
        <v>961</v>
      </c>
      <c r="B962" s="0" t="n">
        <f aca="false">IF('Boletins Nuppa Site'!A962&lt;&gt;0,'Boletins Nuppa Site'!A962,"NULL")</f>
        <v>62</v>
      </c>
      <c r="C962" s="0" t="n">
        <v>9</v>
      </c>
      <c r="D962" s="30" t="n">
        <f aca="false">IF('Boletins Nuppa Site'!G962&lt;&gt;0,'Boletins Nuppa Site'!G962,"NULL")</f>
        <v>24</v>
      </c>
      <c r="E962" s="30" t="n">
        <f aca="false">IF('Boletins Nuppa Site'!H962&lt;&gt;0,'Boletins Nuppa Site'!H962,"NULL")</f>
        <v>18</v>
      </c>
      <c r="F962" s="30" t="n">
        <f aca="false">IF('Boletins Nuppa Site'!I962&lt;&gt;0,'Boletins Nuppa Site'!I962,"NULL")</f>
        <v>30</v>
      </c>
      <c r="G962" s="0" t="str">
        <f aca="false">IF('Boletins Nuppa Site'!J962&lt;&gt;0,'Boletins Nuppa Site'!J962,"NULL")</f>
        <v>22.8</v>
      </c>
      <c r="H962" s="30" t="n">
        <f aca="false">IF('Boletins Nuppa Site'!K962&lt;&gt;0,'Boletins Nuppa Site'!K962,"NULL")</f>
        <v>24</v>
      </c>
      <c r="I962" s="0" t="str">
        <f aca="false">"INSERT INTO COTACAO (cot_id, cot_blt_id, cot_pap_id, cot_prc_comum, cot_prc_min, cot_prc_max, cot_prc_med, cot_prc_mediana) VALUES ("&amp;A962&amp;", "&amp;B962&amp;", "&amp;C962&amp;", "&amp;D962&amp;", "&amp;E962&amp;", "&amp;F962&amp;", "&amp;G962&amp;", "&amp;H962&amp;");"</f>
        <v>INSERT INTO COTACAO (cot_id, cot_blt_id, cot_pap_id, cot_prc_comum, cot_prc_min, cot_prc_max, cot_prc_med, cot_prc_mediana) VALUES (961, 62, 9, 24, 18, 30, 22.8, 24);</v>
      </c>
      <c r="J962" s="0" t="str">
        <f aca="false">"UPDATE COTACAO SET cot_id = "&amp;A962&amp;", cot_blt_id = "&amp;B962&amp;", cot_pap_id = "&amp;C962&amp;", cot_prc_comum = "&amp;D962&amp;", cot_prc_min = "&amp;E962&amp;", cot_prc_max = "&amp;F962&amp;", cot_prc_med = "&amp;G962&amp;", cot_prc_mediana = "&amp;H962&amp;" WHERE cot_id = "&amp;A962&amp;";"</f>
        <v>UPDATE COTACAO SET cot_id = 961, cot_blt_id = 62, cot_pap_id = 9, cot_prc_comum = 24, cot_prc_min = 18, cot_prc_max = 30, cot_prc_med = 22.8, cot_prc_mediana = 24 WHERE cot_id = 961;</v>
      </c>
    </row>
    <row r="963" customFormat="false" ht="14.25" hidden="false" customHeight="false" outlineLevel="0" collapsed="false">
      <c r="A963" s="0" t="n">
        <v>962</v>
      </c>
      <c r="B963" s="0" t="n">
        <f aca="false">IF('Boletins Nuppa Site'!A963&lt;&gt;0,'Boletins Nuppa Site'!A963,"NULL")</f>
        <v>62</v>
      </c>
      <c r="C963" s="0" t="n">
        <v>10</v>
      </c>
      <c r="D963" s="30" t="n">
        <f aca="false">IF('Boletins Nuppa Site'!G963&lt;&gt;0,'Boletins Nuppa Site'!G963,"NULL")</f>
        <v>72</v>
      </c>
      <c r="E963" s="30" t="n">
        <f aca="false">IF('Boletins Nuppa Site'!H963&lt;&gt;0,'Boletins Nuppa Site'!H963,"NULL")</f>
        <v>72</v>
      </c>
      <c r="F963" s="30" t="n">
        <f aca="false">IF('Boletins Nuppa Site'!I963&lt;&gt;0,'Boletins Nuppa Site'!I963,"NULL")</f>
        <v>84</v>
      </c>
      <c r="G963" s="30" t="n">
        <f aca="false">IF('Boletins Nuppa Site'!J963&lt;&gt;0,'Boletins Nuppa Site'!J963,"NULL")</f>
        <v>75</v>
      </c>
      <c r="H963" s="30" t="n">
        <f aca="false">IF('Boletins Nuppa Site'!K963&lt;&gt;0,'Boletins Nuppa Site'!K963,"NULL")</f>
        <v>72</v>
      </c>
      <c r="I963" s="0" t="str">
        <f aca="false">"INSERT INTO COTACAO (cot_id, cot_blt_id, cot_pap_id, cot_prc_comum, cot_prc_min, cot_prc_max, cot_prc_med, cot_prc_mediana) VALUES ("&amp;A963&amp;", "&amp;B963&amp;", "&amp;C963&amp;", "&amp;D963&amp;", "&amp;E963&amp;", "&amp;F963&amp;", "&amp;G963&amp;", "&amp;H963&amp;");"</f>
        <v>INSERT INTO COTACAO (cot_id, cot_blt_id, cot_pap_id, cot_prc_comum, cot_prc_min, cot_prc_max, cot_prc_med, cot_prc_mediana) VALUES (962, 62, 10, 72, 72, 84, 75, 72);</v>
      </c>
      <c r="J963" s="0" t="str">
        <f aca="false">"UPDATE COTACAO SET cot_id = "&amp;A963&amp;", cot_blt_id = "&amp;B963&amp;", cot_pap_id = "&amp;C963&amp;", cot_prc_comum = "&amp;D963&amp;", cot_prc_min = "&amp;E963&amp;", cot_prc_max = "&amp;F963&amp;", cot_prc_med = "&amp;G963&amp;", cot_prc_mediana = "&amp;H963&amp;" WHERE cot_id = "&amp;A963&amp;";"</f>
        <v>UPDATE COTACAO SET cot_id = 962, cot_blt_id = 62, cot_pap_id = 10, cot_prc_comum = 72, cot_prc_min = 72, cot_prc_max = 84, cot_prc_med = 75, cot_prc_mediana = 72 WHERE cot_id = 962;</v>
      </c>
    </row>
    <row r="964" customFormat="false" ht="14.25" hidden="false" customHeight="false" outlineLevel="0" collapsed="false">
      <c r="A964" s="0" t="n">
        <v>963</v>
      </c>
      <c r="B964" s="0" t="n">
        <f aca="false">IF('Boletins Nuppa Site'!A964&lt;&gt;0,'Boletins Nuppa Site'!A964,"NULL")</f>
        <v>62</v>
      </c>
      <c r="C964" s="0" t="n">
        <v>11</v>
      </c>
      <c r="D964" s="30" t="n">
        <f aca="false">IF('Boletins Nuppa Site'!G964&lt;&gt;0,'Boletins Nuppa Site'!G964,"NULL")</f>
        <v>30</v>
      </c>
      <c r="E964" s="30" t="n">
        <f aca="false">IF('Boletins Nuppa Site'!H964&lt;&gt;0,'Boletins Nuppa Site'!H964,"NULL")</f>
        <v>18</v>
      </c>
      <c r="F964" s="30" t="n">
        <f aca="false">IF('Boletins Nuppa Site'!I964&lt;&gt;0,'Boletins Nuppa Site'!I964,"NULL")</f>
        <v>30</v>
      </c>
      <c r="G964" s="0" t="str">
        <f aca="false">IF('Boletins Nuppa Site'!J964&lt;&gt;0,'Boletins Nuppa Site'!J964,"NULL")</f>
        <v>25.2</v>
      </c>
      <c r="H964" s="30" t="n">
        <f aca="false">IF('Boletins Nuppa Site'!K964&lt;&gt;0,'Boletins Nuppa Site'!K964,"NULL")</f>
        <v>24</v>
      </c>
      <c r="I964" s="0" t="str">
        <f aca="false">"INSERT INTO COTACAO (cot_id, cot_blt_id, cot_pap_id, cot_prc_comum, cot_prc_min, cot_prc_max, cot_prc_med, cot_prc_mediana) VALUES ("&amp;A964&amp;", "&amp;B964&amp;", "&amp;C964&amp;", "&amp;D964&amp;", "&amp;E964&amp;", "&amp;F964&amp;", "&amp;G964&amp;", "&amp;H964&amp;");"</f>
        <v>INSERT INTO COTACAO (cot_id, cot_blt_id, cot_pap_id, cot_prc_comum, cot_prc_min, cot_prc_max, cot_prc_med, cot_prc_mediana) VALUES (963, 62, 11, 30, 18, 30, 25.2, 24);</v>
      </c>
      <c r="J964" s="0" t="str">
        <f aca="false">"UPDATE COTACAO SET cot_id = "&amp;A964&amp;", cot_blt_id = "&amp;B964&amp;", cot_pap_id = "&amp;C964&amp;", cot_prc_comum = "&amp;D964&amp;", cot_prc_min = "&amp;E964&amp;", cot_prc_max = "&amp;F964&amp;", cot_prc_med = "&amp;G964&amp;", cot_prc_mediana = "&amp;H964&amp;" WHERE cot_id = "&amp;A964&amp;";"</f>
        <v>UPDATE COTACAO SET cot_id = 963, cot_blt_id = 62, cot_pap_id = 11, cot_prc_comum = 30, cot_prc_min = 18, cot_prc_max = 30, cot_prc_med = 25.2, cot_prc_mediana = 24 WHERE cot_id = 963;</v>
      </c>
    </row>
    <row r="965" customFormat="false" ht="14.25" hidden="false" customHeight="false" outlineLevel="0" collapsed="false">
      <c r="A965" s="0" t="n">
        <v>964</v>
      </c>
      <c r="B965" s="0" t="n">
        <f aca="false">IF('Boletins Nuppa Site'!A965&lt;&gt;0,'Boletins Nuppa Site'!A965,"NULL")</f>
        <v>62</v>
      </c>
      <c r="C965" s="0" t="n">
        <v>12</v>
      </c>
      <c r="D965" s="30" t="n">
        <f aca="false">IF('Boletins Nuppa Site'!G965&lt;&gt;0,'Boletins Nuppa Site'!G965,"NULL")</f>
        <v>60</v>
      </c>
      <c r="E965" s="30" t="n">
        <f aca="false">IF('Boletins Nuppa Site'!H965&lt;&gt;0,'Boletins Nuppa Site'!H965,"NULL")</f>
        <v>60</v>
      </c>
      <c r="F965" s="30" t="n">
        <f aca="false">IF('Boletins Nuppa Site'!I965&lt;&gt;0,'Boletins Nuppa Site'!I965,"NULL")</f>
        <v>60</v>
      </c>
      <c r="G965" s="30" t="n">
        <f aca="false">IF('Boletins Nuppa Site'!J965&lt;&gt;0,'Boletins Nuppa Site'!J965,"NULL")</f>
        <v>60</v>
      </c>
      <c r="H965" s="30" t="n">
        <f aca="false">IF('Boletins Nuppa Site'!K965&lt;&gt;0,'Boletins Nuppa Site'!K965,"NULL")</f>
        <v>60</v>
      </c>
      <c r="I965" s="0" t="str">
        <f aca="false">"INSERT INTO COTACAO (cot_id, cot_blt_id, cot_pap_id, cot_prc_comum, cot_prc_min, cot_prc_max, cot_prc_med, cot_prc_mediana) VALUES ("&amp;A965&amp;", "&amp;B965&amp;", "&amp;C965&amp;", "&amp;D965&amp;", "&amp;E965&amp;", "&amp;F965&amp;", "&amp;G965&amp;", "&amp;H965&amp;");"</f>
        <v>INSERT INTO COTACAO (cot_id, cot_blt_id, cot_pap_id, cot_prc_comum, cot_prc_min, cot_prc_max, cot_prc_med, cot_prc_mediana) VALUES (964, 62, 12, 60, 60, 60, 60, 60);</v>
      </c>
      <c r="J965" s="0" t="str">
        <f aca="false">"UPDATE COTACAO SET cot_id = "&amp;A965&amp;", cot_blt_id = "&amp;B965&amp;", cot_pap_id = "&amp;C965&amp;", cot_prc_comum = "&amp;D965&amp;", cot_prc_min = "&amp;E965&amp;", cot_prc_max = "&amp;F965&amp;", cot_prc_med = "&amp;G965&amp;", cot_prc_mediana = "&amp;H965&amp;" WHERE cot_id = "&amp;A965&amp;";"</f>
        <v>UPDATE COTACAO SET cot_id = 964, cot_blt_id = 62, cot_pap_id = 12, cot_prc_comum = 60, cot_prc_min = 60, cot_prc_max = 60, cot_prc_med = 60, cot_prc_mediana = 60 WHERE cot_id = 964;</v>
      </c>
    </row>
    <row r="966" customFormat="false" ht="14.25" hidden="false" customHeight="false" outlineLevel="0" collapsed="false">
      <c r="A966" s="0" t="n">
        <v>965</v>
      </c>
      <c r="B966" s="0" t="n">
        <f aca="false">IF('Boletins Nuppa Site'!A966&lt;&gt;0,'Boletins Nuppa Site'!A966,"NULL")</f>
        <v>62</v>
      </c>
      <c r="C966" s="0" t="n">
        <v>13</v>
      </c>
      <c r="D966" s="30" t="n">
        <f aca="false">IF('Boletins Nuppa Site'!G966&lt;&gt;0,'Boletins Nuppa Site'!G966,"NULL")</f>
        <v>60</v>
      </c>
      <c r="E966" s="30" t="n">
        <f aca="false">IF('Boletins Nuppa Site'!H966&lt;&gt;0,'Boletins Nuppa Site'!H966,"NULL")</f>
        <v>48</v>
      </c>
      <c r="F966" s="30" t="n">
        <f aca="false">IF('Boletins Nuppa Site'!I966&lt;&gt;0,'Boletins Nuppa Site'!I966,"NULL")</f>
        <v>60</v>
      </c>
      <c r="G966" s="30" t="n">
        <f aca="false">IF('Boletins Nuppa Site'!J966&lt;&gt;0,'Boletins Nuppa Site'!J966,"NULL")</f>
        <v>54</v>
      </c>
      <c r="H966" s="30" t="n">
        <f aca="false">IF('Boletins Nuppa Site'!K966&lt;&gt;0,'Boletins Nuppa Site'!K966,"NULL")</f>
        <v>54</v>
      </c>
      <c r="I966" s="0" t="str">
        <f aca="false">"INSERT INTO COTACAO (cot_id, cot_blt_id, cot_pap_id, cot_prc_comum, cot_prc_min, cot_prc_max, cot_prc_med, cot_prc_mediana) VALUES ("&amp;A966&amp;", "&amp;B966&amp;", "&amp;C966&amp;", "&amp;D966&amp;", "&amp;E966&amp;", "&amp;F966&amp;", "&amp;G966&amp;", "&amp;H966&amp;");"</f>
        <v>INSERT INTO COTACAO (cot_id, cot_blt_id, cot_pap_id, cot_prc_comum, cot_prc_min, cot_prc_max, cot_prc_med, cot_prc_mediana) VALUES (965, 62, 13, 60, 48, 60, 54, 54);</v>
      </c>
      <c r="J966" s="0" t="str">
        <f aca="false">"UPDATE COTACAO SET cot_id = "&amp;A966&amp;", cot_blt_id = "&amp;B966&amp;", cot_pap_id = "&amp;C966&amp;", cot_prc_comum = "&amp;D966&amp;", cot_prc_min = "&amp;E966&amp;", cot_prc_max = "&amp;F966&amp;", cot_prc_med = "&amp;G966&amp;", cot_prc_mediana = "&amp;H966&amp;" WHERE cot_id = "&amp;A966&amp;";"</f>
        <v>UPDATE COTACAO SET cot_id = 965, cot_blt_id = 62, cot_pap_id = 13, cot_prc_comum = 60, cot_prc_min = 48, cot_prc_max = 60, cot_prc_med = 54, cot_prc_mediana = 54 WHERE cot_id = 965;</v>
      </c>
    </row>
    <row r="967" customFormat="false" ht="14.25" hidden="false" customHeight="false" outlineLevel="0" collapsed="false">
      <c r="A967" s="0" t="n">
        <v>966</v>
      </c>
      <c r="B967" s="0" t="n">
        <f aca="false">IF('Boletins Nuppa Site'!A967&lt;&gt;0,'Boletins Nuppa Site'!A967,"NULL")</f>
        <v>62</v>
      </c>
      <c r="C967" s="0" t="n">
        <v>14</v>
      </c>
      <c r="D967" s="30" t="n">
        <f aca="false">IF('Boletins Nuppa Site'!G967&lt;&gt;0,'Boletins Nuppa Site'!G967,"NULL")</f>
        <v>60</v>
      </c>
      <c r="E967" s="30" t="n">
        <f aca="false">IF('Boletins Nuppa Site'!H967&lt;&gt;0,'Boletins Nuppa Site'!H967,"NULL")</f>
        <v>60</v>
      </c>
      <c r="F967" s="30" t="n">
        <f aca="false">IF('Boletins Nuppa Site'!I967&lt;&gt;0,'Boletins Nuppa Site'!I967,"NULL")</f>
        <v>96</v>
      </c>
      <c r="G967" s="30" t="n">
        <f aca="false">IF('Boletins Nuppa Site'!J967&lt;&gt;0,'Boletins Nuppa Site'!J967,"NULL")</f>
        <v>75</v>
      </c>
      <c r="H967" s="30" t="n">
        <f aca="false">IF('Boletins Nuppa Site'!K967&lt;&gt;0,'Boletins Nuppa Site'!K967,"NULL")</f>
        <v>72</v>
      </c>
      <c r="I967" s="0" t="str">
        <f aca="false">"INSERT INTO COTACAO (cot_id, cot_blt_id, cot_pap_id, cot_prc_comum, cot_prc_min, cot_prc_max, cot_prc_med, cot_prc_mediana) VALUES ("&amp;A967&amp;", "&amp;B967&amp;", "&amp;C967&amp;", "&amp;D967&amp;", "&amp;E967&amp;", "&amp;F967&amp;", "&amp;G967&amp;", "&amp;H967&amp;");"</f>
        <v>INSERT INTO COTACAO (cot_id, cot_blt_id, cot_pap_id, cot_prc_comum, cot_prc_min, cot_prc_max, cot_prc_med, cot_prc_mediana) VALUES (966, 62, 14, 60, 60, 96, 75, 72);</v>
      </c>
      <c r="J967" s="0" t="str">
        <f aca="false">"UPDATE COTACAO SET cot_id = "&amp;A967&amp;", cot_blt_id = "&amp;B967&amp;", cot_pap_id = "&amp;C967&amp;", cot_prc_comum = "&amp;D967&amp;", cot_prc_min = "&amp;E967&amp;", cot_prc_max = "&amp;F967&amp;", cot_prc_med = "&amp;G967&amp;", cot_prc_mediana = "&amp;H967&amp;" WHERE cot_id = "&amp;A967&amp;";"</f>
        <v>UPDATE COTACAO SET cot_id = 966, cot_blt_id = 62, cot_pap_id = 14, cot_prc_comum = 60, cot_prc_min = 60, cot_prc_max = 96, cot_prc_med = 75, cot_prc_mediana = 72 WHERE cot_id = 966;</v>
      </c>
    </row>
    <row r="968" customFormat="false" ht="14.25" hidden="false" customHeight="false" outlineLevel="0" collapsed="false">
      <c r="A968" s="0" t="n">
        <v>967</v>
      </c>
      <c r="B968" s="0" t="n">
        <f aca="false">IF('Boletins Nuppa Site'!A968&lt;&gt;0,'Boletins Nuppa Site'!A968,"NULL")</f>
        <v>62</v>
      </c>
      <c r="C968" s="0" t="n">
        <v>15</v>
      </c>
      <c r="D968" s="30" t="n">
        <f aca="false">IF('Boletins Nuppa Site'!G968&lt;&gt;0,'Boletins Nuppa Site'!G968,"NULL")</f>
        <v>48</v>
      </c>
      <c r="E968" s="30" t="n">
        <f aca="false">IF('Boletins Nuppa Site'!H968&lt;&gt;0,'Boletins Nuppa Site'!H968,"NULL")</f>
        <v>25</v>
      </c>
      <c r="F968" s="30" t="n">
        <f aca="false">IF('Boletins Nuppa Site'!I968&lt;&gt;0,'Boletins Nuppa Site'!I968,"NULL")</f>
        <v>60</v>
      </c>
      <c r="G968" s="0" t="str">
        <f aca="false">IF('Boletins Nuppa Site'!J968&lt;&gt;0,'Boletins Nuppa Site'!J968,"NULL")</f>
        <v>43.4</v>
      </c>
      <c r="H968" s="30" t="n">
        <f aca="false">IF('Boletins Nuppa Site'!K968&lt;&gt;0,'Boletins Nuppa Site'!K968,"NULL")</f>
        <v>48</v>
      </c>
      <c r="I968" s="0" t="str">
        <f aca="false">"INSERT INTO COTACAO (cot_id, cot_blt_id, cot_pap_id, cot_prc_comum, cot_prc_min, cot_prc_max, cot_prc_med, cot_prc_mediana) VALUES ("&amp;A968&amp;", "&amp;B968&amp;", "&amp;C968&amp;", "&amp;D968&amp;", "&amp;E968&amp;", "&amp;F968&amp;", "&amp;G968&amp;", "&amp;H968&amp;");"</f>
        <v>INSERT INTO COTACAO (cot_id, cot_blt_id, cot_pap_id, cot_prc_comum, cot_prc_min, cot_prc_max, cot_prc_med, cot_prc_mediana) VALUES (967, 62, 15, 48, 25, 60, 43.4, 48);</v>
      </c>
      <c r="J968" s="0" t="str">
        <f aca="false">"UPDATE COTACAO SET cot_id = "&amp;A968&amp;", cot_blt_id = "&amp;B968&amp;", cot_pap_id = "&amp;C968&amp;", cot_prc_comum = "&amp;D968&amp;", cot_prc_min = "&amp;E968&amp;", cot_prc_max = "&amp;F968&amp;", cot_prc_med = "&amp;G968&amp;", cot_prc_mediana = "&amp;H968&amp;" WHERE cot_id = "&amp;A968&amp;";"</f>
        <v>UPDATE COTACAO SET cot_id = 967, cot_blt_id = 62, cot_pap_id = 15, cot_prc_comum = 48, cot_prc_min = 25, cot_prc_max = 60, cot_prc_med = 43.4, cot_prc_mediana = 48 WHERE cot_id = 967;</v>
      </c>
    </row>
    <row r="969" customFormat="false" ht="14.25" hidden="false" customHeight="false" outlineLevel="0" collapsed="false">
      <c r="A969" s="0" t="n">
        <v>968</v>
      </c>
      <c r="B969" s="0" t="n">
        <f aca="false">IF('Boletins Nuppa Site'!A969&lt;&gt;0,'Boletins Nuppa Site'!A969,"NULL")</f>
        <v>62</v>
      </c>
      <c r="C969" s="0" t="n">
        <v>16</v>
      </c>
      <c r="D969" s="30" t="n">
        <f aca="false">IF('Boletins Nuppa Site'!G969&lt;&gt;0,'Boletins Nuppa Site'!G969,"NULL")</f>
        <v>54</v>
      </c>
      <c r="E969" s="30" t="n">
        <f aca="false">IF('Boletins Nuppa Site'!H969&lt;&gt;0,'Boletins Nuppa Site'!H969,"NULL")</f>
        <v>48</v>
      </c>
      <c r="F969" s="30" t="n">
        <f aca="false">IF('Boletins Nuppa Site'!I969&lt;&gt;0,'Boletins Nuppa Site'!I969,"NULL")</f>
        <v>54</v>
      </c>
      <c r="G969" s="30" t="n">
        <f aca="false">IF('Boletins Nuppa Site'!J969&lt;&gt;0,'Boletins Nuppa Site'!J969,"NULL")</f>
        <v>51</v>
      </c>
      <c r="H969" s="30" t="n">
        <f aca="false">IF('Boletins Nuppa Site'!K969&lt;&gt;0,'Boletins Nuppa Site'!K969,"NULL")</f>
        <v>51</v>
      </c>
      <c r="I969" s="0" t="str">
        <f aca="false">"INSERT INTO COTACAO (cot_id, cot_blt_id, cot_pap_id, cot_prc_comum, cot_prc_min, cot_prc_max, cot_prc_med, cot_prc_mediana) VALUES ("&amp;A969&amp;", "&amp;B969&amp;", "&amp;C969&amp;", "&amp;D969&amp;", "&amp;E969&amp;", "&amp;F969&amp;", "&amp;G969&amp;", "&amp;H969&amp;");"</f>
        <v>INSERT INTO COTACAO (cot_id, cot_blt_id, cot_pap_id, cot_prc_comum, cot_prc_min, cot_prc_max, cot_prc_med, cot_prc_mediana) VALUES (968, 62, 16, 54, 48, 54, 51, 51);</v>
      </c>
      <c r="J969" s="0" t="str">
        <f aca="false">"UPDATE COTACAO SET cot_id = "&amp;A969&amp;", cot_blt_id = "&amp;B969&amp;", cot_pap_id = "&amp;C969&amp;", cot_prc_comum = "&amp;D969&amp;", cot_prc_min = "&amp;E969&amp;", cot_prc_max = "&amp;F969&amp;", cot_prc_med = "&amp;G969&amp;", cot_prc_mediana = "&amp;H969&amp;" WHERE cot_id = "&amp;A969&amp;";"</f>
        <v>UPDATE COTACAO SET cot_id = 968, cot_blt_id = 62, cot_pap_id = 16, cot_prc_comum = 54, cot_prc_min = 48, cot_prc_max = 54, cot_prc_med = 51, cot_prc_mediana = 51 WHERE cot_id = 968;</v>
      </c>
    </row>
    <row r="970" customFormat="false" ht="14.25" hidden="false" customHeight="false" outlineLevel="0" collapsed="false">
      <c r="A970" s="0" t="n">
        <v>969</v>
      </c>
      <c r="B970" s="0" t="n">
        <f aca="false">IF('Boletins Nuppa Site'!A970&lt;&gt;0,'Boletins Nuppa Site'!A970,"NULL")</f>
        <v>62</v>
      </c>
      <c r="C970" s="0" t="n">
        <v>17</v>
      </c>
      <c r="D970" s="30" t="n">
        <f aca="false">IF('Boletins Nuppa Site'!G970&lt;&gt;0,'Boletins Nuppa Site'!G970,"NULL")</f>
        <v>5</v>
      </c>
      <c r="E970" s="30" t="n">
        <f aca="false">IF('Boletins Nuppa Site'!H970&lt;&gt;0,'Boletins Nuppa Site'!H970,"NULL")</f>
        <v>5</v>
      </c>
      <c r="F970" s="30" t="n">
        <f aca="false">IF('Boletins Nuppa Site'!I970&lt;&gt;0,'Boletins Nuppa Site'!I970,"NULL")</f>
        <v>5</v>
      </c>
      <c r="G970" s="30" t="n">
        <f aca="false">IF('Boletins Nuppa Site'!J970&lt;&gt;0,'Boletins Nuppa Site'!J970,"NULL")</f>
        <v>5</v>
      </c>
      <c r="H970" s="30" t="n">
        <f aca="false">IF('Boletins Nuppa Site'!K970&lt;&gt;0,'Boletins Nuppa Site'!K970,"NULL")</f>
        <v>5</v>
      </c>
      <c r="I970" s="0" t="str">
        <f aca="false">"INSERT INTO COTACAO (cot_id, cot_blt_id, cot_pap_id, cot_prc_comum, cot_prc_min, cot_prc_max, cot_prc_med, cot_prc_mediana) VALUES ("&amp;A970&amp;", "&amp;B970&amp;", "&amp;C970&amp;", "&amp;D970&amp;", "&amp;E970&amp;", "&amp;F970&amp;", "&amp;G970&amp;", "&amp;H970&amp;");"</f>
        <v>INSERT INTO COTACAO (cot_id, cot_blt_id, cot_pap_id, cot_prc_comum, cot_prc_min, cot_prc_max, cot_prc_med, cot_prc_mediana) VALUES (969, 62, 17, 5, 5, 5, 5, 5);</v>
      </c>
      <c r="J970" s="0" t="str">
        <f aca="false">"UPDATE COTACAO SET cot_id = "&amp;A970&amp;", cot_blt_id = "&amp;B970&amp;", cot_pap_id = "&amp;C970&amp;", cot_prc_comum = "&amp;D970&amp;", cot_prc_min = "&amp;E970&amp;", cot_prc_max = "&amp;F970&amp;", cot_prc_med = "&amp;G970&amp;", cot_prc_mediana = "&amp;H970&amp;" WHERE cot_id = "&amp;A970&amp;";"</f>
        <v>UPDATE COTACAO SET cot_id = 969, cot_blt_id = 62, cot_pap_id = 17, cot_prc_comum = 5, cot_prc_min = 5, cot_prc_max = 5, cot_prc_med = 5, cot_prc_mediana = 5 WHERE cot_id = 969;</v>
      </c>
    </row>
    <row r="971" customFormat="false" ht="14.25" hidden="false" customHeight="false" outlineLevel="0" collapsed="false">
      <c r="A971" s="0" t="n">
        <v>970</v>
      </c>
      <c r="B971" s="0" t="n">
        <f aca="false">IF('Boletins Nuppa Site'!A971&lt;&gt;0,'Boletins Nuppa Site'!A971,"NULL")</f>
        <v>62</v>
      </c>
      <c r="C971" s="0" t="n">
        <v>18</v>
      </c>
      <c r="D971" s="30" t="n">
        <f aca="false">IF('Boletins Nuppa Site'!G971&lt;&gt;0,'Boletins Nuppa Site'!G971,"NULL")</f>
        <v>15</v>
      </c>
      <c r="E971" s="30" t="n">
        <f aca="false">IF('Boletins Nuppa Site'!H971&lt;&gt;0,'Boletins Nuppa Site'!H971,"NULL")</f>
        <v>10</v>
      </c>
      <c r="F971" s="30" t="n">
        <f aca="false">IF('Boletins Nuppa Site'!I971&lt;&gt;0,'Boletins Nuppa Site'!I971,"NULL")</f>
        <v>15</v>
      </c>
      <c r="G971" s="0" t="str">
        <f aca="false">IF('Boletins Nuppa Site'!J971&lt;&gt;0,'Boletins Nuppa Site'!J971,"NULL")</f>
        <v>12.4</v>
      </c>
      <c r="H971" s="30" t="n">
        <f aca="false">IF('Boletins Nuppa Site'!K971&lt;&gt;0,'Boletins Nuppa Site'!K971,"NULL")</f>
        <v>12</v>
      </c>
      <c r="I971" s="0" t="str">
        <f aca="false">"INSERT INTO COTACAO (cot_id, cot_blt_id, cot_pap_id, cot_prc_comum, cot_prc_min, cot_prc_max, cot_prc_med, cot_prc_mediana) VALUES ("&amp;A971&amp;", "&amp;B971&amp;", "&amp;C971&amp;", "&amp;D971&amp;", "&amp;E971&amp;", "&amp;F971&amp;", "&amp;G971&amp;", "&amp;H971&amp;");"</f>
        <v>INSERT INTO COTACAO (cot_id, cot_blt_id, cot_pap_id, cot_prc_comum, cot_prc_min, cot_prc_max, cot_prc_med, cot_prc_mediana) VALUES (970, 62, 18, 15, 10, 15, 12.4, 12);</v>
      </c>
      <c r="J971" s="0" t="str">
        <f aca="false">"UPDATE COTACAO SET cot_id = "&amp;A971&amp;", cot_blt_id = "&amp;B971&amp;", cot_pap_id = "&amp;C971&amp;", cot_prc_comum = "&amp;D971&amp;", cot_prc_min = "&amp;E971&amp;", cot_prc_max = "&amp;F971&amp;", cot_prc_med = "&amp;G971&amp;", cot_prc_mediana = "&amp;H971&amp;" WHERE cot_id = "&amp;A971&amp;";"</f>
        <v>UPDATE COTACAO SET cot_id = 970, cot_blt_id = 62, cot_pap_id = 18, cot_prc_comum = 15, cot_prc_min = 10, cot_prc_max = 15, cot_prc_med = 12.4, cot_prc_mediana = 12 WHERE cot_id = 970;</v>
      </c>
    </row>
    <row r="972" customFormat="false" ht="14.25" hidden="false" customHeight="false" outlineLevel="0" collapsed="false">
      <c r="A972" s="0" t="n">
        <v>971</v>
      </c>
      <c r="B972" s="0" t="n">
        <f aca="false">IF('Boletins Nuppa Site'!A972&lt;&gt;0,'Boletins Nuppa Site'!A972,"NULL")</f>
        <v>62</v>
      </c>
      <c r="C972" s="0" t="n">
        <v>19</v>
      </c>
      <c r="D972" s="30" t="n">
        <f aca="false">IF('Boletins Nuppa Site'!G972&lt;&gt;0,'Boletins Nuppa Site'!G972,"NULL")</f>
        <v>20</v>
      </c>
      <c r="E972" s="30" t="n">
        <f aca="false">IF('Boletins Nuppa Site'!H972&lt;&gt;0,'Boletins Nuppa Site'!H972,"NULL")</f>
        <v>20</v>
      </c>
      <c r="F972" s="30" t="n">
        <f aca="false">IF('Boletins Nuppa Site'!I972&lt;&gt;0,'Boletins Nuppa Site'!I972,"NULL")</f>
        <v>35</v>
      </c>
      <c r="G972" s="30" t="n">
        <f aca="false">IF('Boletins Nuppa Site'!J972&lt;&gt;0,'Boletins Nuppa Site'!J972,"NULL")</f>
        <v>26</v>
      </c>
      <c r="H972" s="30" t="n">
        <f aca="false">IF('Boletins Nuppa Site'!K972&lt;&gt;0,'Boletins Nuppa Site'!K972,"NULL")</f>
        <v>25</v>
      </c>
      <c r="I972" s="0" t="str">
        <f aca="false">"INSERT INTO COTACAO (cot_id, cot_blt_id, cot_pap_id, cot_prc_comum, cot_prc_min, cot_prc_max, cot_prc_med, cot_prc_mediana) VALUES ("&amp;A972&amp;", "&amp;B972&amp;", "&amp;C972&amp;", "&amp;D972&amp;", "&amp;E972&amp;", "&amp;F972&amp;", "&amp;G972&amp;", "&amp;H972&amp;");"</f>
        <v>INSERT INTO COTACAO (cot_id, cot_blt_id, cot_pap_id, cot_prc_comum, cot_prc_min, cot_prc_max, cot_prc_med, cot_prc_mediana) VALUES (971, 62, 19, 20, 20, 35, 26, 25);</v>
      </c>
      <c r="J972" s="0" t="str">
        <f aca="false">"UPDATE COTACAO SET cot_id = "&amp;A972&amp;", cot_blt_id = "&amp;B972&amp;", cot_pap_id = "&amp;C972&amp;", cot_prc_comum = "&amp;D972&amp;", cot_prc_min = "&amp;E972&amp;", cot_prc_max = "&amp;F972&amp;", cot_prc_med = "&amp;G972&amp;", cot_prc_mediana = "&amp;H972&amp;" WHERE cot_id = "&amp;A972&amp;";"</f>
        <v>UPDATE COTACAO SET cot_id = 971, cot_blt_id = 62, cot_pap_id = 19, cot_prc_comum = 20, cot_prc_min = 20, cot_prc_max = 35, cot_prc_med = 26, cot_prc_mediana = 25 WHERE cot_id = 971;</v>
      </c>
    </row>
    <row r="973" customFormat="false" ht="14.25" hidden="false" customHeight="false" outlineLevel="0" collapsed="false">
      <c r="A973" s="0" t="n">
        <v>972</v>
      </c>
      <c r="B973" s="0" t="n">
        <f aca="false">IF('Boletins Nuppa Site'!A973&lt;&gt;0,'Boletins Nuppa Site'!A973,"NULL")</f>
        <v>62</v>
      </c>
      <c r="C973" s="0" t="n">
        <v>20</v>
      </c>
      <c r="D973" s="0" t="str">
        <f aca="false">IF('Boletins Nuppa Site'!G973&lt;&gt;0,'Boletins Nuppa Site'!G973,"NULL")</f>
        <v>NULL</v>
      </c>
      <c r="E973" s="30" t="n">
        <f aca="false">IF('Boletins Nuppa Site'!H973&lt;&gt;0,'Boletins Nuppa Site'!H973,"NULL")</f>
        <v>85</v>
      </c>
      <c r="F973" s="30" t="n">
        <f aca="false">IF('Boletins Nuppa Site'!I973&lt;&gt;0,'Boletins Nuppa Site'!I973,"NULL")</f>
        <v>85</v>
      </c>
      <c r="G973" s="30" t="n">
        <f aca="false">IF('Boletins Nuppa Site'!J973&lt;&gt;0,'Boletins Nuppa Site'!J973,"NULL")</f>
        <v>85</v>
      </c>
      <c r="H973" s="30" t="n">
        <f aca="false">IF('Boletins Nuppa Site'!K973&lt;&gt;0,'Boletins Nuppa Site'!K973,"NULL")</f>
        <v>85</v>
      </c>
      <c r="I973" s="0" t="str">
        <f aca="false">"INSERT INTO COTACAO (cot_id, cot_blt_id, cot_pap_id, cot_prc_comum, cot_prc_min, cot_prc_max, cot_prc_med, cot_prc_mediana) VALUES ("&amp;A973&amp;", "&amp;B973&amp;", "&amp;C973&amp;", "&amp;D973&amp;", "&amp;E973&amp;", "&amp;F973&amp;", "&amp;G973&amp;", "&amp;H973&amp;");"</f>
        <v>INSERT INTO COTACAO (cot_id, cot_blt_id, cot_pap_id, cot_prc_comum, cot_prc_min, cot_prc_max, cot_prc_med, cot_prc_mediana) VALUES (972, 62, 20, NULL, 85, 85, 85, 85);</v>
      </c>
      <c r="J973" s="0" t="str">
        <f aca="false">"UPDATE COTACAO SET cot_id = "&amp;A973&amp;", cot_blt_id = "&amp;B973&amp;", cot_pap_id = "&amp;C973&amp;", cot_prc_comum = "&amp;D973&amp;", cot_prc_min = "&amp;E973&amp;", cot_prc_max = "&amp;F973&amp;", cot_prc_med = "&amp;G973&amp;", cot_prc_mediana = "&amp;H973&amp;" WHERE cot_id = "&amp;A973&amp;";"</f>
        <v>UPDATE COTACAO SET cot_id = 972, cot_blt_id = 62, cot_pap_id = 20, cot_prc_comum = NULL, cot_prc_min = 85, cot_prc_max = 85, cot_prc_med = 85, cot_prc_mediana = 85 WHERE cot_id = 972;</v>
      </c>
    </row>
    <row r="974" customFormat="false" ht="14.25" hidden="false" customHeight="false" outlineLevel="0" collapsed="false">
      <c r="A974" s="0" t="n">
        <v>973</v>
      </c>
      <c r="B974" s="0" t="n">
        <f aca="false">IF('Boletins Nuppa Site'!A974&lt;&gt;0,'Boletins Nuppa Site'!A974,"NULL")</f>
        <v>62</v>
      </c>
      <c r="C974" s="0" t="n">
        <v>21</v>
      </c>
      <c r="D974" s="30" t="n">
        <f aca="false">IF('Boletins Nuppa Site'!G974&lt;&gt;0,'Boletins Nuppa Site'!G974,"NULL")</f>
        <v>60</v>
      </c>
      <c r="E974" s="30" t="n">
        <f aca="false">IF('Boletins Nuppa Site'!H974&lt;&gt;0,'Boletins Nuppa Site'!H974,"NULL")</f>
        <v>50</v>
      </c>
      <c r="F974" s="30" t="n">
        <f aca="false">IF('Boletins Nuppa Site'!I974&lt;&gt;0,'Boletins Nuppa Site'!I974,"NULL")</f>
        <v>60</v>
      </c>
      <c r="G974" s="0" t="str">
        <f aca="false">IF('Boletins Nuppa Site'!J974&lt;&gt;0,'Boletins Nuppa Site'!J974,"NULL")</f>
        <v>56.25</v>
      </c>
      <c r="H974" s="0" t="str">
        <f aca="false">IF('Boletins Nuppa Site'!K974&lt;&gt;0,'Boletins Nuppa Site'!K974,"NULL")</f>
        <v>57.5</v>
      </c>
      <c r="I974" s="0" t="str">
        <f aca="false">"INSERT INTO COTACAO (cot_id, cot_blt_id, cot_pap_id, cot_prc_comum, cot_prc_min, cot_prc_max, cot_prc_med, cot_prc_mediana) VALUES ("&amp;A974&amp;", "&amp;B974&amp;", "&amp;C974&amp;", "&amp;D974&amp;", "&amp;E974&amp;", "&amp;F974&amp;", "&amp;G974&amp;", "&amp;H974&amp;");"</f>
        <v>INSERT INTO COTACAO (cot_id, cot_blt_id, cot_pap_id, cot_prc_comum, cot_prc_min, cot_prc_max, cot_prc_med, cot_prc_mediana) VALUES (973, 62, 21, 60, 50, 60, 56.25, 57.5);</v>
      </c>
      <c r="J974" s="0" t="str">
        <f aca="false">"UPDATE COTACAO SET cot_id = "&amp;A974&amp;", cot_blt_id = "&amp;B974&amp;", cot_pap_id = "&amp;C974&amp;", cot_prc_comum = "&amp;D974&amp;", cot_prc_min = "&amp;E974&amp;", cot_prc_max = "&amp;F974&amp;", cot_prc_med = "&amp;G974&amp;", cot_prc_mediana = "&amp;H974&amp;" WHERE cot_id = "&amp;A974&amp;";"</f>
        <v>UPDATE COTACAO SET cot_id = 973, cot_blt_id = 62, cot_pap_id = 21, cot_prc_comum = 60, cot_prc_min = 50, cot_prc_max = 60, cot_prc_med = 56.25, cot_prc_mediana = 57.5 WHERE cot_id = 973;</v>
      </c>
    </row>
    <row r="975" customFormat="false" ht="14.25" hidden="false" customHeight="false" outlineLevel="0" collapsed="false">
      <c r="A975" s="0" t="n">
        <v>974</v>
      </c>
      <c r="B975" s="0" t="n">
        <f aca="false">IF('Boletins Nuppa Site'!A975&lt;&gt;0,'Boletins Nuppa Site'!A975,"NULL")</f>
        <v>62</v>
      </c>
      <c r="C975" s="0" t="n">
        <v>22</v>
      </c>
      <c r="D975" s="30" t="n">
        <f aca="false">IF('Boletins Nuppa Site'!G975&lt;&gt;0,'Boletins Nuppa Site'!G975,"NULL")</f>
        <v>70</v>
      </c>
      <c r="E975" s="30" t="n">
        <f aca="false">IF('Boletins Nuppa Site'!H975&lt;&gt;0,'Boletins Nuppa Site'!H975,"NULL")</f>
        <v>45</v>
      </c>
      <c r="F975" s="30" t="n">
        <f aca="false">IF('Boletins Nuppa Site'!I975&lt;&gt;0,'Boletins Nuppa Site'!I975,"NULL")</f>
        <v>70</v>
      </c>
      <c r="G975" s="0" t="str">
        <f aca="false">IF('Boletins Nuppa Site'!J975&lt;&gt;0,'Boletins Nuppa Site'!J975,"NULL")</f>
        <v>63.75</v>
      </c>
      <c r="H975" s="30" t="n">
        <f aca="false">IF('Boletins Nuppa Site'!K975&lt;&gt;0,'Boletins Nuppa Site'!K975,"NULL")</f>
        <v>70</v>
      </c>
      <c r="I975" s="0" t="str">
        <f aca="false">"INSERT INTO COTACAO (cot_id, cot_blt_id, cot_pap_id, cot_prc_comum, cot_prc_min, cot_prc_max, cot_prc_med, cot_prc_mediana) VALUES ("&amp;A975&amp;", "&amp;B975&amp;", "&amp;C975&amp;", "&amp;D975&amp;", "&amp;E975&amp;", "&amp;F975&amp;", "&amp;G975&amp;", "&amp;H975&amp;");"</f>
        <v>INSERT INTO COTACAO (cot_id, cot_blt_id, cot_pap_id, cot_prc_comum, cot_prc_min, cot_prc_max, cot_prc_med, cot_prc_mediana) VALUES (974, 62, 22, 70, 45, 70, 63.75, 70);</v>
      </c>
      <c r="J975" s="0" t="str">
        <f aca="false">"UPDATE COTACAO SET cot_id = "&amp;A975&amp;", cot_blt_id = "&amp;B975&amp;", cot_pap_id = "&amp;C975&amp;", cot_prc_comum = "&amp;D975&amp;", cot_prc_min = "&amp;E975&amp;", cot_prc_max = "&amp;F975&amp;", cot_prc_med = "&amp;G975&amp;", cot_prc_mediana = "&amp;H975&amp;" WHERE cot_id = "&amp;A975&amp;";"</f>
        <v>UPDATE COTACAO SET cot_id = 974, cot_blt_id = 62, cot_pap_id = 22, cot_prc_comum = 70, cot_prc_min = 45, cot_prc_max = 70, cot_prc_med = 63.75, cot_prc_mediana = 70 WHERE cot_id = 974;</v>
      </c>
    </row>
    <row r="976" customFormat="false" ht="14.25" hidden="false" customHeight="false" outlineLevel="0" collapsed="false">
      <c r="A976" s="0" t="n">
        <v>975</v>
      </c>
      <c r="B976" s="0" t="n">
        <f aca="false">IF('Boletins Nuppa Site'!A976&lt;&gt;0,'Boletins Nuppa Site'!A976,"NULL")</f>
        <v>62</v>
      </c>
      <c r="C976" s="0" t="n">
        <v>23</v>
      </c>
      <c r="D976" s="30" t="n">
        <f aca="false">IF('Boletins Nuppa Site'!G976&lt;&gt;0,'Boletins Nuppa Site'!G976,"NULL")</f>
        <v>45</v>
      </c>
      <c r="E976" s="30" t="n">
        <f aca="false">IF('Boletins Nuppa Site'!H976&lt;&gt;0,'Boletins Nuppa Site'!H976,"NULL")</f>
        <v>40</v>
      </c>
      <c r="F976" s="30" t="n">
        <f aca="false">IF('Boletins Nuppa Site'!I976&lt;&gt;0,'Boletins Nuppa Site'!I976,"NULL")</f>
        <v>50</v>
      </c>
      <c r="G976" s="30" t="n">
        <f aca="false">IF('Boletins Nuppa Site'!J976&lt;&gt;0,'Boletins Nuppa Site'!J976,"NULL")</f>
        <v>46</v>
      </c>
      <c r="H976" s="30" t="n">
        <f aca="false">IF('Boletins Nuppa Site'!K976&lt;&gt;0,'Boletins Nuppa Site'!K976,"NULL")</f>
        <v>45</v>
      </c>
      <c r="I976" s="0" t="str">
        <f aca="false">"INSERT INTO COTACAO (cot_id, cot_blt_id, cot_pap_id, cot_prc_comum, cot_prc_min, cot_prc_max, cot_prc_med, cot_prc_mediana) VALUES ("&amp;A976&amp;", "&amp;B976&amp;", "&amp;C976&amp;", "&amp;D976&amp;", "&amp;E976&amp;", "&amp;F976&amp;", "&amp;G976&amp;", "&amp;H976&amp;");"</f>
        <v>INSERT INTO COTACAO (cot_id, cot_blt_id, cot_pap_id, cot_prc_comum, cot_prc_min, cot_prc_max, cot_prc_med, cot_prc_mediana) VALUES (975, 62, 23, 45, 40, 50, 46, 45);</v>
      </c>
      <c r="J976" s="0" t="str">
        <f aca="false">"UPDATE COTACAO SET cot_id = "&amp;A976&amp;", cot_blt_id = "&amp;B976&amp;", cot_pap_id = "&amp;C976&amp;", cot_prc_comum = "&amp;D976&amp;", cot_prc_min = "&amp;E976&amp;", cot_prc_max = "&amp;F976&amp;", cot_prc_med = "&amp;G976&amp;", cot_prc_mediana = "&amp;H976&amp;" WHERE cot_id = "&amp;A976&amp;";"</f>
        <v>UPDATE COTACAO SET cot_id = 975, cot_blt_id = 62, cot_pap_id = 23, cot_prc_comum = 45, cot_prc_min = 40, cot_prc_max = 50, cot_prc_med = 46, cot_prc_mediana = 45 WHERE cot_id = 975;</v>
      </c>
    </row>
    <row r="977" customFormat="false" ht="14.25" hidden="false" customHeight="false" outlineLevel="0" collapsed="false">
      <c r="A977" s="0" t="n">
        <v>976</v>
      </c>
      <c r="B977" s="0" t="n">
        <f aca="false">IF('Boletins Nuppa Site'!A977&lt;&gt;0,'Boletins Nuppa Site'!A977,"NULL")</f>
        <v>62</v>
      </c>
      <c r="C977" s="0" t="n">
        <v>24</v>
      </c>
      <c r="D977" s="0" t="str">
        <f aca="false">IF('Boletins Nuppa Site'!G977&lt;&gt;0,'Boletins Nuppa Site'!G977,"NULL")</f>
        <v>NULL</v>
      </c>
      <c r="E977" s="30" t="n">
        <f aca="false">IF('Boletins Nuppa Site'!H977&lt;&gt;0,'Boletins Nuppa Site'!H977,"NULL")</f>
        <v>90</v>
      </c>
      <c r="F977" s="30" t="n">
        <f aca="false">IF('Boletins Nuppa Site'!I977&lt;&gt;0,'Boletins Nuppa Site'!I977,"NULL")</f>
        <v>90</v>
      </c>
      <c r="G977" s="30" t="n">
        <f aca="false">IF('Boletins Nuppa Site'!J977&lt;&gt;0,'Boletins Nuppa Site'!J977,"NULL")</f>
        <v>90</v>
      </c>
      <c r="H977" s="30" t="n">
        <f aca="false">IF('Boletins Nuppa Site'!K977&lt;&gt;0,'Boletins Nuppa Site'!K977,"NULL")</f>
        <v>90</v>
      </c>
      <c r="I977" s="0" t="str">
        <f aca="false">"INSERT INTO COTACAO (cot_id, cot_blt_id, cot_pap_id, cot_prc_comum, cot_prc_min, cot_prc_max, cot_prc_med, cot_prc_mediana) VALUES ("&amp;A977&amp;", "&amp;B977&amp;", "&amp;C977&amp;", "&amp;D977&amp;", "&amp;E977&amp;", "&amp;F977&amp;", "&amp;G977&amp;", "&amp;H977&amp;");"</f>
        <v>INSERT INTO COTACAO (cot_id, cot_blt_id, cot_pap_id, cot_prc_comum, cot_prc_min, cot_prc_max, cot_prc_med, cot_prc_mediana) VALUES (976, 62, 24, NULL, 90, 90, 90, 90);</v>
      </c>
      <c r="J977" s="0" t="str">
        <f aca="false">"UPDATE COTACAO SET cot_id = "&amp;A977&amp;", cot_blt_id = "&amp;B977&amp;", cot_pap_id = "&amp;C977&amp;", cot_prc_comum = "&amp;D977&amp;", cot_prc_min = "&amp;E977&amp;", cot_prc_max = "&amp;F977&amp;", cot_prc_med = "&amp;G977&amp;", cot_prc_mediana = "&amp;H977&amp;" WHERE cot_id = "&amp;A977&amp;";"</f>
        <v>UPDATE COTACAO SET cot_id = 976, cot_blt_id = 62, cot_pap_id = 24, cot_prc_comum = NULL, cot_prc_min = 90, cot_prc_max = 90, cot_prc_med = 90, cot_prc_mediana = 90 WHERE cot_id = 976;</v>
      </c>
    </row>
    <row r="978" customFormat="false" ht="14.25" hidden="false" customHeight="false" outlineLevel="0" collapsed="false">
      <c r="A978" s="0" t="n">
        <v>977</v>
      </c>
      <c r="B978" s="0" t="n">
        <f aca="false">IF('Boletins Nuppa Site'!A978&lt;&gt;0,'Boletins Nuppa Site'!A978,"NULL")</f>
        <v>62</v>
      </c>
      <c r="C978" s="0" t="n">
        <v>25</v>
      </c>
      <c r="D978" s="30" t="n">
        <f aca="false">IF('Boletins Nuppa Site'!G978&lt;&gt;0,'Boletins Nuppa Site'!G978,"NULL")</f>
        <v>65</v>
      </c>
      <c r="E978" s="30" t="n">
        <f aca="false">IF('Boletins Nuppa Site'!H978&lt;&gt;0,'Boletins Nuppa Site'!H978,"NULL")</f>
        <v>60</v>
      </c>
      <c r="F978" s="30" t="n">
        <f aca="false">IF('Boletins Nuppa Site'!I978&lt;&gt;0,'Boletins Nuppa Site'!I978,"NULL")</f>
        <v>65</v>
      </c>
      <c r="G978" s="0" t="str">
        <f aca="false">IF('Boletins Nuppa Site'!J978&lt;&gt;0,'Boletins Nuppa Site'!J978,"NULL")</f>
        <v>62.5</v>
      </c>
      <c r="H978" s="0" t="str">
        <f aca="false">IF('Boletins Nuppa Site'!K978&lt;&gt;0,'Boletins Nuppa Site'!K978,"NULL")</f>
        <v>62.5</v>
      </c>
      <c r="I978" s="0" t="str">
        <f aca="false">"INSERT INTO COTACAO (cot_id, cot_blt_id, cot_pap_id, cot_prc_comum, cot_prc_min, cot_prc_max, cot_prc_med, cot_prc_mediana) VALUES ("&amp;A978&amp;", "&amp;B978&amp;", "&amp;C978&amp;", "&amp;D978&amp;", "&amp;E978&amp;", "&amp;F978&amp;", "&amp;G978&amp;", "&amp;H978&amp;");"</f>
        <v>INSERT INTO COTACAO (cot_id, cot_blt_id, cot_pap_id, cot_prc_comum, cot_prc_min, cot_prc_max, cot_prc_med, cot_prc_mediana) VALUES (977, 62, 25, 65, 60, 65, 62.5, 62.5);</v>
      </c>
      <c r="J978" s="0" t="str">
        <f aca="false">"UPDATE COTACAO SET cot_id = "&amp;A978&amp;", cot_blt_id = "&amp;B978&amp;", cot_pap_id = "&amp;C978&amp;", cot_prc_comum = "&amp;D978&amp;", cot_prc_min = "&amp;E978&amp;", cot_prc_max = "&amp;F978&amp;", cot_prc_med = "&amp;G978&amp;", cot_prc_mediana = "&amp;H978&amp;" WHERE cot_id = "&amp;A978&amp;";"</f>
        <v>UPDATE COTACAO SET cot_id = 977, cot_blt_id = 62, cot_pap_id = 25, cot_prc_comum = 65, cot_prc_min = 60, cot_prc_max = 65, cot_prc_med = 62.5, cot_prc_mediana = 62.5 WHERE cot_id = 977;</v>
      </c>
    </row>
    <row r="979" customFormat="false" ht="14.25" hidden="false" customHeight="false" outlineLevel="0" collapsed="false">
      <c r="A979" s="0" t="n">
        <v>978</v>
      </c>
      <c r="B979" s="0" t="n">
        <f aca="false">IF('Boletins Nuppa Site'!A979&lt;&gt;0,'Boletins Nuppa Site'!A979,"NULL")</f>
        <v>62</v>
      </c>
      <c r="C979" s="0" t="n">
        <v>26</v>
      </c>
      <c r="D979" s="0" t="str">
        <f aca="false">IF('Boletins Nuppa Site'!G979&lt;&gt;0,'Boletins Nuppa Site'!G979,"NULL")</f>
        <v>NULL</v>
      </c>
      <c r="E979" s="30" t="n">
        <f aca="false">IF('Boletins Nuppa Site'!H979&lt;&gt;0,'Boletins Nuppa Site'!H979,"NULL")</f>
        <v>40</v>
      </c>
      <c r="F979" s="30" t="n">
        <f aca="false">IF('Boletins Nuppa Site'!I979&lt;&gt;0,'Boletins Nuppa Site'!I979,"NULL")</f>
        <v>65</v>
      </c>
      <c r="G979" s="0" t="str">
        <f aca="false">IF('Boletins Nuppa Site'!J979&lt;&gt;0,'Boletins Nuppa Site'!J979,"NULL")</f>
        <v>52.5</v>
      </c>
      <c r="H979" s="0" t="str">
        <f aca="false">IF('Boletins Nuppa Site'!K979&lt;&gt;0,'Boletins Nuppa Site'!K979,"NULL")</f>
        <v>52.5</v>
      </c>
      <c r="I979" s="0" t="str">
        <f aca="false">"INSERT INTO COTACAO (cot_id, cot_blt_id, cot_pap_id, cot_prc_comum, cot_prc_min, cot_prc_max, cot_prc_med, cot_prc_mediana) VALUES ("&amp;A979&amp;", "&amp;B979&amp;", "&amp;C979&amp;", "&amp;D979&amp;", "&amp;E979&amp;", "&amp;F979&amp;", "&amp;G979&amp;", "&amp;H979&amp;");"</f>
        <v>INSERT INTO COTACAO (cot_id, cot_blt_id, cot_pap_id, cot_prc_comum, cot_prc_min, cot_prc_max, cot_prc_med, cot_prc_mediana) VALUES (978, 62, 26, NULL, 40, 65, 52.5, 52.5);</v>
      </c>
      <c r="J979" s="0" t="str">
        <f aca="false">"UPDATE COTACAO SET cot_id = "&amp;A979&amp;", cot_blt_id = "&amp;B979&amp;", cot_pap_id = "&amp;C979&amp;", cot_prc_comum = "&amp;D979&amp;", cot_prc_min = "&amp;E979&amp;", cot_prc_max = "&amp;F979&amp;", cot_prc_med = "&amp;G979&amp;", cot_prc_mediana = "&amp;H979&amp;" WHERE cot_id = "&amp;A979&amp;";"</f>
        <v>UPDATE COTACAO SET cot_id = 978, cot_blt_id = 62, cot_pap_id = 26, cot_prc_comum = NULL, cot_prc_min = 40, cot_prc_max = 65, cot_prc_med = 52.5, cot_prc_mediana = 52.5 WHERE cot_id = 978;</v>
      </c>
    </row>
    <row r="980" customFormat="false" ht="14.25" hidden="false" customHeight="false" outlineLevel="0" collapsed="false">
      <c r="A980" s="0" t="n">
        <v>979</v>
      </c>
      <c r="B980" s="0" t="n">
        <f aca="false">IF('Boletins Nuppa Site'!A980&lt;&gt;0,'Boletins Nuppa Site'!A980,"NULL")</f>
        <v>62</v>
      </c>
      <c r="C980" s="0" t="n">
        <v>27</v>
      </c>
      <c r="D980" s="30" t="n">
        <f aca="false">IF('Boletins Nuppa Site'!G980&lt;&gt;0,'Boletins Nuppa Site'!G980,"NULL")</f>
        <v>40</v>
      </c>
      <c r="E980" s="30" t="n">
        <f aca="false">IF('Boletins Nuppa Site'!H980&lt;&gt;0,'Boletins Nuppa Site'!H980,"NULL")</f>
        <v>40</v>
      </c>
      <c r="F980" s="30" t="n">
        <f aca="false">IF('Boletins Nuppa Site'!I980&lt;&gt;0,'Boletins Nuppa Site'!I980,"NULL")</f>
        <v>60</v>
      </c>
      <c r="G980" s="30" t="n">
        <f aca="false">IF('Boletins Nuppa Site'!J980&lt;&gt;0,'Boletins Nuppa Site'!J980,"NULL")</f>
        <v>46</v>
      </c>
      <c r="H980" s="30" t="n">
        <f aca="false">IF('Boletins Nuppa Site'!K980&lt;&gt;0,'Boletins Nuppa Site'!K980,"NULL")</f>
        <v>40</v>
      </c>
      <c r="I980" s="0" t="str">
        <f aca="false">"INSERT INTO COTACAO (cot_id, cot_blt_id, cot_pap_id, cot_prc_comum, cot_prc_min, cot_prc_max, cot_prc_med, cot_prc_mediana) VALUES ("&amp;A980&amp;", "&amp;B980&amp;", "&amp;C980&amp;", "&amp;D980&amp;", "&amp;E980&amp;", "&amp;F980&amp;", "&amp;G980&amp;", "&amp;H980&amp;");"</f>
        <v>INSERT INTO COTACAO (cot_id, cot_blt_id, cot_pap_id, cot_prc_comum, cot_prc_min, cot_prc_max, cot_prc_med, cot_prc_mediana) VALUES (979, 62, 27, 40, 40, 60, 46, 40);</v>
      </c>
      <c r="J980" s="0" t="str">
        <f aca="false">"UPDATE COTACAO SET cot_id = "&amp;A980&amp;", cot_blt_id = "&amp;B980&amp;", cot_pap_id = "&amp;C980&amp;", cot_prc_comum = "&amp;D980&amp;", cot_prc_min = "&amp;E980&amp;", cot_prc_max = "&amp;F980&amp;", cot_prc_med = "&amp;G980&amp;", cot_prc_mediana = "&amp;H980&amp;" WHERE cot_id = "&amp;A980&amp;";"</f>
        <v>UPDATE COTACAO SET cot_id = 979, cot_blt_id = 62, cot_pap_id = 27, cot_prc_comum = 40, cot_prc_min = 40, cot_prc_max = 60, cot_prc_med = 46, cot_prc_mediana = 40 WHERE cot_id = 979;</v>
      </c>
    </row>
    <row r="981" customFormat="false" ht="14.25" hidden="false" customHeight="false" outlineLevel="0" collapsed="false">
      <c r="A981" s="0" t="n">
        <v>980</v>
      </c>
      <c r="B981" s="0" t="n">
        <f aca="false">IF('Boletins Nuppa Site'!A981&lt;&gt;0,'Boletins Nuppa Site'!A981,"NULL")</f>
        <v>62</v>
      </c>
      <c r="C981" s="0" t="n">
        <v>28</v>
      </c>
      <c r="D981" s="0" t="str">
        <f aca="false">IF('Boletins Nuppa Site'!G981&lt;&gt;0,'Boletins Nuppa Site'!G981,"NULL")</f>
        <v>NULL</v>
      </c>
      <c r="E981" s="30" t="n">
        <f aca="false">IF('Boletins Nuppa Site'!H981&lt;&gt;0,'Boletins Nuppa Site'!H981,"NULL")</f>
        <v>85</v>
      </c>
      <c r="F981" s="30" t="n">
        <f aca="false">IF('Boletins Nuppa Site'!I981&lt;&gt;0,'Boletins Nuppa Site'!I981,"NULL")</f>
        <v>100</v>
      </c>
      <c r="G981" s="0" t="str">
        <f aca="false">IF('Boletins Nuppa Site'!J981&lt;&gt;0,'Boletins Nuppa Site'!J981,"NULL")</f>
        <v>91.67</v>
      </c>
      <c r="H981" s="30" t="n">
        <f aca="false">IF('Boletins Nuppa Site'!K981&lt;&gt;0,'Boletins Nuppa Site'!K981,"NULL")</f>
        <v>90</v>
      </c>
      <c r="I981" s="0" t="str">
        <f aca="false">"INSERT INTO COTACAO (cot_id, cot_blt_id, cot_pap_id, cot_prc_comum, cot_prc_min, cot_prc_max, cot_prc_med, cot_prc_mediana) VALUES ("&amp;A981&amp;", "&amp;B981&amp;", "&amp;C981&amp;", "&amp;D981&amp;", "&amp;E981&amp;", "&amp;F981&amp;", "&amp;G981&amp;", "&amp;H981&amp;");"</f>
        <v>INSERT INTO COTACAO (cot_id, cot_blt_id, cot_pap_id, cot_prc_comum, cot_prc_min, cot_prc_max, cot_prc_med, cot_prc_mediana) VALUES (980, 62, 28, NULL, 85, 100, 91.67, 90);</v>
      </c>
      <c r="J981" s="0" t="str">
        <f aca="false">"UPDATE COTACAO SET cot_id = "&amp;A981&amp;", cot_blt_id = "&amp;B981&amp;", cot_pap_id = "&amp;C981&amp;", cot_prc_comum = "&amp;D981&amp;", cot_prc_min = "&amp;E981&amp;", cot_prc_max = "&amp;F981&amp;", cot_prc_med = "&amp;G981&amp;", cot_prc_mediana = "&amp;H981&amp;" WHERE cot_id = "&amp;A981&amp;";"</f>
        <v>UPDATE COTACAO SET cot_id = 980, cot_blt_id = 62, cot_pap_id = 28, cot_prc_comum = NULL, cot_prc_min = 85, cot_prc_max = 100, cot_prc_med = 91.67, cot_prc_mediana = 90 WHERE cot_id = 980;</v>
      </c>
    </row>
    <row r="982" customFormat="false" ht="14.25" hidden="false" customHeight="false" outlineLevel="0" collapsed="false">
      <c r="A982" s="0" t="n">
        <v>981</v>
      </c>
      <c r="B982" s="0" t="n">
        <f aca="false">IF('Boletins Nuppa Site'!A982&lt;&gt;0,'Boletins Nuppa Site'!A982,"NULL")</f>
        <v>62</v>
      </c>
      <c r="C982" s="0" t="n">
        <v>29</v>
      </c>
      <c r="D982" s="0" t="str">
        <f aca="false">IF('Boletins Nuppa Site'!G982&lt;&gt;0,'Boletins Nuppa Site'!G982,"NULL")</f>
        <v>NULL</v>
      </c>
      <c r="E982" s="30" t="n">
        <f aca="false">IF('Boletins Nuppa Site'!H982&lt;&gt;0,'Boletins Nuppa Site'!H982,"NULL")</f>
        <v>45</v>
      </c>
      <c r="F982" s="30" t="n">
        <f aca="false">IF('Boletins Nuppa Site'!I982&lt;&gt;0,'Boletins Nuppa Site'!I982,"NULL")</f>
        <v>60</v>
      </c>
      <c r="G982" s="0" t="str">
        <f aca="false">IF('Boletins Nuppa Site'!J982&lt;&gt;0,'Boletins Nuppa Site'!J982,"NULL")</f>
        <v>52.5</v>
      </c>
      <c r="H982" s="0" t="str">
        <f aca="false">IF('Boletins Nuppa Site'!K982&lt;&gt;0,'Boletins Nuppa Site'!K982,"NULL")</f>
        <v>52.5</v>
      </c>
      <c r="I982" s="0" t="str">
        <f aca="false">"INSERT INTO COTACAO (cot_id, cot_blt_id, cot_pap_id, cot_prc_comum, cot_prc_min, cot_prc_max, cot_prc_med, cot_prc_mediana) VALUES ("&amp;A982&amp;", "&amp;B982&amp;", "&amp;C982&amp;", "&amp;D982&amp;", "&amp;E982&amp;", "&amp;F982&amp;", "&amp;G982&amp;", "&amp;H982&amp;");"</f>
        <v>INSERT INTO COTACAO (cot_id, cot_blt_id, cot_pap_id, cot_prc_comum, cot_prc_min, cot_prc_max, cot_prc_med, cot_prc_mediana) VALUES (981, 62, 29, NULL, 45, 60, 52.5, 52.5);</v>
      </c>
      <c r="J982" s="0" t="str">
        <f aca="false">"UPDATE COTACAO SET cot_id = "&amp;A982&amp;", cot_blt_id = "&amp;B982&amp;", cot_pap_id = "&amp;C982&amp;", cot_prc_comum = "&amp;D982&amp;", cot_prc_min = "&amp;E982&amp;", cot_prc_max = "&amp;F982&amp;", cot_prc_med = "&amp;G982&amp;", cot_prc_mediana = "&amp;H982&amp;" WHERE cot_id = "&amp;A982&amp;";"</f>
        <v>UPDATE COTACAO SET cot_id = 981, cot_blt_id = 62, cot_pap_id = 29, cot_prc_comum = NULL, cot_prc_min = 45, cot_prc_max = 60, cot_prc_med = 52.5, cot_prc_mediana = 52.5 WHERE cot_id = 981;</v>
      </c>
    </row>
    <row r="983" customFormat="false" ht="14.25" hidden="false" customHeight="false" outlineLevel="0" collapsed="false">
      <c r="A983" s="0" t="n">
        <v>982</v>
      </c>
      <c r="B983" s="0" t="n">
        <f aca="false">IF('Boletins Nuppa Site'!A983&lt;&gt;0,'Boletins Nuppa Site'!A983,"NULL")</f>
        <v>62</v>
      </c>
      <c r="C983" s="0" t="n">
        <v>30</v>
      </c>
      <c r="D983" s="30" t="n">
        <f aca="false">IF('Boletins Nuppa Site'!G983&lt;&gt;0,'Boletins Nuppa Site'!G983,"NULL")</f>
        <v>50</v>
      </c>
      <c r="E983" s="30" t="n">
        <f aca="false">IF('Boletins Nuppa Site'!H983&lt;&gt;0,'Boletins Nuppa Site'!H983,"NULL")</f>
        <v>50</v>
      </c>
      <c r="F983" s="30" t="n">
        <f aca="false">IF('Boletins Nuppa Site'!I983&lt;&gt;0,'Boletins Nuppa Site'!I983,"NULL")</f>
        <v>60</v>
      </c>
      <c r="G983" s="0" t="str">
        <f aca="false">IF('Boletins Nuppa Site'!J983&lt;&gt;0,'Boletins Nuppa Site'!J983,"NULL")</f>
        <v>53.33</v>
      </c>
      <c r="H983" s="30" t="n">
        <f aca="false">IF('Boletins Nuppa Site'!K983&lt;&gt;0,'Boletins Nuppa Site'!K983,"NULL")</f>
        <v>50</v>
      </c>
      <c r="I983" s="0" t="str">
        <f aca="false">"INSERT INTO COTACAO (cot_id, cot_blt_id, cot_pap_id, cot_prc_comum, cot_prc_min, cot_prc_max, cot_prc_med, cot_prc_mediana) VALUES ("&amp;A983&amp;", "&amp;B983&amp;", "&amp;C983&amp;", "&amp;D983&amp;", "&amp;E983&amp;", "&amp;F983&amp;", "&amp;G983&amp;", "&amp;H983&amp;");"</f>
        <v>INSERT INTO COTACAO (cot_id, cot_blt_id, cot_pap_id, cot_prc_comum, cot_prc_min, cot_prc_max, cot_prc_med, cot_prc_mediana) VALUES (982, 62, 30, 50, 50, 60, 53.33, 50);</v>
      </c>
      <c r="J983" s="0" t="str">
        <f aca="false">"UPDATE COTACAO SET cot_id = "&amp;A983&amp;", cot_blt_id = "&amp;B983&amp;", cot_pap_id = "&amp;C983&amp;", cot_prc_comum = "&amp;D983&amp;", cot_prc_min = "&amp;E983&amp;", cot_prc_max = "&amp;F983&amp;", cot_prc_med = "&amp;G983&amp;", cot_prc_mediana = "&amp;H983&amp;" WHERE cot_id = "&amp;A983&amp;";"</f>
        <v>UPDATE COTACAO SET cot_id = 982, cot_blt_id = 62, cot_pap_id = 30, cot_prc_comum = 50, cot_prc_min = 50, cot_prc_max = 60, cot_prc_med = 53.33, cot_prc_mediana = 50 WHERE cot_id = 982;</v>
      </c>
    </row>
    <row r="984" customFormat="false" ht="14.25" hidden="false" customHeight="false" outlineLevel="0" collapsed="false">
      <c r="A984" s="0" t="n">
        <v>983</v>
      </c>
      <c r="B984" s="0" t="n">
        <f aca="false">IF('Boletins Nuppa Site'!A984&lt;&gt;0,'Boletins Nuppa Site'!A984,"NULL")</f>
        <v>62</v>
      </c>
      <c r="C984" s="0" t="n">
        <v>31</v>
      </c>
      <c r="D984" s="30" t="n">
        <f aca="false">IF('Boletins Nuppa Site'!G984&lt;&gt;0,'Boletins Nuppa Site'!G984,"NULL")</f>
        <v>80</v>
      </c>
      <c r="E984" s="30" t="n">
        <f aca="false">IF('Boletins Nuppa Site'!H984&lt;&gt;0,'Boletins Nuppa Site'!H984,"NULL")</f>
        <v>70</v>
      </c>
      <c r="F984" s="30" t="n">
        <f aca="false">IF('Boletins Nuppa Site'!I984&lt;&gt;0,'Boletins Nuppa Site'!I984,"NULL")</f>
        <v>80</v>
      </c>
      <c r="G984" s="30" t="n">
        <f aca="false">IF('Boletins Nuppa Site'!J984&lt;&gt;0,'Boletins Nuppa Site'!J984,"NULL")</f>
        <v>75</v>
      </c>
      <c r="H984" s="30" t="n">
        <f aca="false">IF('Boletins Nuppa Site'!K984&lt;&gt;0,'Boletins Nuppa Site'!K984,"NULL")</f>
        <v>75</v>
      </c>
      <c r="I984" s="0" t="str">
        <f aca="false">"INSERT INTO COTACAO (cot_id, cot_blt_id, cot_pap_id, cot_prc_comum, cot_prc_min, cot_prc_max, cot_prc_med, cot_prc_mediana) VALUES ("&amp;A984&amp;", "&amp;B984&amp;", "&amp;C984&amp;", "&amp;D984&amp;", "&amp;E984&amp;", "&amp;F984&amp;", "&amp;G984&amp;", "&amp;H984&amp;");"</f>
        <v>INSERT INTO COTACAO (cot_id, cot_blt_id, cot_pap_id, cot_prc_comum, cot_prc_min, cot_prc_max, cot_prc_med, cot_prc_mediana) VALUES (983, 62, 31, 80, 70, 80, 75, 75);</v>
      </c>
      <c r="J984" s="0" t="str">
        <f aca="false">"UPDATE COTACAO SET cot_id = "&amp;A984&amp;", cot_blt_id = "&amp;B984&amp;", cot_pap_id = "&amp;C984&amp;", cot_prc_comum = "&amp;D984&amp;", cot_prc_min = "&amp;E984&amp;", cot_prc_max = "&amp;F984&amp;", cot_prc_med = "&amp;G984&amp;", cot_prc_mediana = "&amp;H984&amp;" WHERE cot_id = "&amp;A984&amp;";"</f>
        <v>UPDATE COTACAO SET cot_id = 983, cot_blt_id = 62, cot_pap_id = 31, cot_prc_comum = 80, cot_prc_min = 70, cot_prc_max = 80, cot_prc_med = 75, cot_prc_mediana = 75 WHERE cot_id = 983;</v>
      </c>
    </row>
    <row r="985" customFormat="false" ht="14.25" hidden="false" customHeight="false" outlineLevel="0" collapsed="false">
      <c r="A985" s="0" t="n">
        <v>984</v>
      </c>
      <c r="B985" s="0" t="n">
        <f aca="false">IF('Boletins Nuppa Site'!A985&lt;&gt;0,'Boletins Nuppa Site'!A985,"NULL")</f>
        <v>62</v>
      </c>
      <c r="C985" s="0" t="n">
        <v>32</v>
      </c>
      <c r="D985" s="0" t="str">
        <f aca="false">IF('Boletins Nuppa Site'!G985&lt;&gt;0,'Boletins Nuppa Site'!G985,"NULL")</f>
        <v>NULL</v>
      </c>
      <c r="E985" s="30" t="n">
        <f aca="false">IF('Boletins Nuppa Site'!H985&lt;&gt;0,'Boletins Nuppa Site'!H985,"NULL")</f>
        <v>40</v>
      </c>
      <c r="F985" s="30" t="n">
        <f aca="false">IF('Boletins Nuppa Site'!I985&lt;&gt;0,'Boletins Nuppa Site'!I985,"NULL")</f>
        <v>60</v>
      </c>
      <c r="G985" s="0" t="str">
        <f aca="false">IF('Boletins Nuppa Site'!J985&lt;&gt;0,'Boletins Nuppa Site'!J985,"NULL")</f>
        <v>51.25</v>
      </c>
      <c r="H985" s="0" t="str">
        <f aca="false">IF('Boletins Nuppa Site'!K985&lt;&gt;0,'Boletins Nuppa Site'!K985,"NULL")</f>
        <v>52.5</v>
      </c>
      <c r="I985" s="0" t="str">
        <f aca="false">"INSERT INTO COTACAO (cot_id, cot_blt_id, cot_pap_id, cot_prc_comum, cot_prc_min, cot_prc_max, cot_prc_med, cot_prc_mediana) VALUES ("&amp;A985&amp;", "&amp;B985&amp;", "&amp;C985&amp;", "&amp;D985&amp;", "&amp;E985&amp;", "&amp;F985&amp;", "&amp;G985&amp;", "&amp;H985&amp;");"</f>
        <v>INSERT INTO COTACAO (cot_id, cot_blt_id, cot_pap_id, cot_prc_comum, cot_prc_min, cot_prc_max, cot_prc_med, cot_prc_mediana) VALUES (984, 62, 32, NULL, 40, 60, 51.25, 52.5);</v>
      </c>
      <c r="J985" s="0" t="str">
        <f aca="false">"UPDATE COTACAO SET cot_id = "&amp;A985&amp;", cot_blt_id = "&amp;B985&amp;", cot_pap_id = "&amp;C985&amp;", cot_prc_comum = "&amp;D985&amp;", cot_prc_min = "&amp;E985&amp;", cot_prc_max = "&amp;F985&amp;", cot_prc_med = "&amp;G985&amp;", cot_prc_mediana = "&amp;H985&amp;" WHERE cot_id = "&amp;A985&amp;";"</f>
        <v>UPDATE COTACAO SET cot_id = 984, cot_blt_id = 62, cot_pap_id = 32, cot_prc_comum = NULL, cot_prc_min = 40, cot_prc_max = 60, cot_prc_med = 51.25, cot_prc_mediana = 52.5 WHERE cot_id = 984;</v>
      </c>
    </row>
    <row r="986" customFormat="false" ht="14.25" hidden="false" customHeight="false" outlineLevel="0" collapsed="false">
      <c r="A986" s="0" t="n">
        <v>985</v>
      </c>
      <c r="B986" s="0" t="n">
        <f aca="false">IF('Boletins Nuppa Site'!A986&lt;&gt;0,'Boletins Nuppa Site'!A986,"NULL")</f>
        <v>62</v>
      </c>
      <c r="C986" s="0" t="n">
        <v>33</v>
      </c>
      <c r="D986" s="0" t="str">
        <f aca="false">IF('Boletins Nuppa Site'!G986&lt;&gt;0,'Boletins Nuppa Site'!G986,"NULL")</f>
        <v>NULL</v>
      </c>
      <c r="E986" s="30" t="n">
        <f aca="false">IF('Boletins Nuppa Site'!H986&lt;&gt;0,'Boletins Nuppa Site'!H986,"NULL")</f>
        <v>130</v>
      </c>
      <c r="F986" s="30" t="n">
        <f aca="false">IF('Boletins Nuppa Site'!I986&lt;&gt;0,'Boletins Nuppa Site'!I986,"NULL")</f>
        <v>150</v>
      </c>
      <c r="G986" s="30" t="n">
        <f aca="false">IF('Boletins Nuppa Site'!J986&lt;&gt;0,'Boletins Nuppa Site'!J986,"NULL")</f>
        <v>140</v>
      </c>
      <c r="H986" s="30" t="n">
        <f aca="false">IF('Boletins Nuppa Site'!K986&lt;&gt;0,'Boletins Nuppa Site'!K986,"NULL")</f>
        <v>140</v>
      </c>
      <c r="I986" s="0" t="str">
        <f aca="false">"INSERT INTO COTACAO (cot_id, cot_blt_id, cot_pap_id, cot_prc_comum, cot_prc_min, cot_prc_max, cot_prc_med, cot_prc_mediana) VALUES ("&amp;A986&amp;", "&amp;B986&amp;", "&amp;C986&amp;", "&amp;D986&amp;", "&amp;E986&amp;", "&amp;F986&amp;", "&amp;G986&amp;", "&amp;H986&amp;");"</f>
        <v>INSERT INTO COTACAO (cot_id, cot_blt_id, cot_pap_id, cot_prc_comum, cot_prc_min, cot_prc_max, cot_prc_med, cot_prc_mediana) VALUES (985, 62, 33, NULL, 130, 150, 140, 140);</v>
      </c>
      <c r="J986" s="0" t="str">
        <f aca="false">"UPDATE COTACAO SET cot_id = "&amp;A986&amp;", cot_blt_id = "&amp;B986&amp;", cot_pap_id = "&amp;C986&amp;", cot_prc_comum = "&amp;D986&amp;", cot_prc_min = "&amp;E986&amp;", cot_prc_max = "&amp;F986&amp;", cot_prc_med = "&amp;G986&amp;", cot_prc_mediana = "&amp;H986&amp;" WHERE cot_id = "&amp;A986&amp;";"</f>
        <v>UPDATE COTACAO SET cot_id = 985, cot_blt_id = 62, cot_pap_id = 33, cot_prc_comum = NULL, cot_prc_min = 130, cot_prc_max = 150, cot_prc_med = 140, cot_prc_mediana = 140 WHERE cot_id = 985;</v>
      </c>
    </row>
    <row r="987" customFormat="false" ht="14.25" hidden="false" customHeight="false" outlineLevel="0" collapsed="false">
      <c r="A987" s="0" t="n">
        <v>986</v>
      </c>
      <c r="B987" s="0" t="n">
        <f aca="false">IF('Boletins Nuppa Site'!A987&lt;&gt;0,'Boletins Nuppa Site'!A987,"NULL")</f>
        <v>62</v>
      </c>
      <c r="C987" s="0" t="n">
        <v>34</v>
      </c>
      <c r="D987" s="30" t="n">
        <f aca="false">IF('Boletins Nuppa Site'!G987&lt;&gt;0,'Boletins Nuppa Site'!G987,"NULL")</f>
        <v>70</v>
      </c>
      <c r="E987" s="30" t="n">
        <f aca="false">IF('Boletins Nuppa Site'!H987&lt;&gt;0,'Boletins Nuppa Site'!H987,"NULL")</f>
        <v>70</v>
      </c>
      <c r="F987" s="30" t="n">
        <f aca="false">IF('Boletins Nuppa Site'!I987&lt;&gt;0,'Boletins Nuppa Site'!I987,"NULL")</f>
        <v>100</v>
      </c>
      <c r="G987" s="30" t="n">
        <f aca="false">IF('Boletins Nuppa Site'!J987&lt;&gt;0,'Boletins Nuppa Site'!J987,"NULL")</f>
        <v>84</v>
      </c>
      <c r="H987" s="30" t="n">
        <f aca="false">IF('Boletins Nuppa Site'!K987&lt;&gt;0,'Boletins Nuppa Site'!K987,"NULL")</f>
        <v>90</v>
      </c>
      <c r="I987" s="0" t="str">
        <f aca="false">"INSERT INTO COTACAO (cot_id, cot_blt_id, cot_pap_id, cot_prc_comum, cot_prc_min, cot_prc_max, cot_prc_med, cot_prc_mediana) VALUES ("&amp;A987&amp;", "&amp;B987&amp;", "&amp;C987&amp;", "&amp;D987&amp;", "&amp;E987&amp;", "&amp;F987&amp;", "&amp;G987&amp;", "&amp;H987&amp;");"</f>
        <v>INSERT INTO COTACAO (cot_id, cot_blt_id, cot_pap_id, cot_prc_comum, cot_prc_min, cot_prc_max, cot_prc_med, cot_prc_mediana) VALUES (986, 62, 34, 70, 70, 100, 84, 90);</v>
      </c>
      <c r="J987" s="0" t="str">
        <f aca="false">"UPDATE COTACAO SET cot_id = "&amp;A987&amp;", cot_blt_id = "&amp;B987&amp;", cot_pap_id = "&amp;C987&amp;", cot_prc_comum = "&amp;D987&amp;", cot_prc_min = "&amp;E987&amp;", cot_prc_max = "&amp;F987&amp;", cot_prc_med = "&amp;G987&amp;", cot_prc_mediana = "&amp;H987&amp;" WHERE cot_id = "&amp;A987&amp;";"</f>
        <v>UPDATE COTACAO SET cot_id = 986, cot_blt_id = 62, cot_pap_id = 34, cot_prc_comum = 70, cot_prc_min = 70, cot_prc_max = 100, cot_prc_med = 84, cot_prc_mediana = 90 WHERE cot_id = 986;</v>
      </c>
    </row>
    <row r="988" customFormat="false" ht="14.25" hidden="false" customHeight="false" outlineLevel="0" collapsed="false">
      <c r="A988" s="0" t="n">
        <v>987</v>
      </c>
      <c r="B988" s="0" t="n">
        <f aca="false">IF('Boletins Nuppa Site'!A988&lt;&gt;0,'Boletins Nuppa Site'!A988,"NULL")</f>
        <v>62</v>
      </c>
      <c r="C988" s="0" t="n">
        <v>35</v>
      </c>
      <c r="D988" s="30" t="n">
        <f aca="false">IF('Boletins Nuppa Site'!G988&lt;&gt;0,'Boletins Nuppa Site'!G988,"NULL")</f>
        <v>140</v>
      </c>
      <c r="E988" s="30" t="n">
        <f aca="false">IF('Boletins Nuppa Site'!H988&lt;&gt;0,'Boletins Nuppa Site'!H988,"NULL")</f>
        <v>120</v>
      </c>
      <c r="F988" s="30" t="n">
        <f aca="false">IF('Boletins Nuppa Site'!I988&lt;&gt;0,'Boletins Nuppa Site'!I988,"NULL")</f>
        <v>140</v>
      </c>
      <c r="G988" s="0" t="str">
        <f aca="false">IF('Boletins Nuppa Site'!J988&lt;&gt;0,'Boletins Nuppa Site'!J988,"NULL")</f>
        <v>133.33</v>
      </c>
      <c r="H988" s="30" t="n">
        <f aca="false">IF('Boletins Nuppa Site'!K988&lt;&gt;0,'Boletins Nuppa Site'!K988,"NULL")</f>
        <v>140</v>
      </c>
      <c r="I988" s="0" t="str">
        <f aca="false">"INSERT INTO COTACAO (cot_id, cot_blt_id, cot_pap_id, cot_prc_comum, cot_prc_min, cot_prc_max, cot_prc_med, cot_prc_mediana) VALUES ("&amp;A988&amp;", "&amp;B988&amp;", "&amp;C988&amp;", "&amp;D988&amp;", "&amp;E988&amp;", "&amp;F988&amp;", "&amp;G988&amp;", "&amp;H988&amp;");"</f>
        <v>INSERT INTO COTACAO (cot_id, cot_blt_id, cot_pap_id, cot_prc_comum, cot_prc_min, cot_prc_max, cot_prc_med, cot_prc_mediana) VALUES (987, 62, 35, 140, 120, 140, 133.33, 140);</v>
      </c>
      <c r="J988" s="0" t="str">
        <f aca="false">"UPDATE COTACAO SET cot_id = "&amp;A988&amp;", cot_blt_id = "&amp;B988&amp;", cot_pap_id = "&amp;C988&amp;", cot_prc_comum = "&amp;D988&amp;", cot_prc_min = "&amp;E988&amp;", cot_prc_max = "&amp;F988&amp;", cot_prc_med = "&amp;G988&amp;", cot_prc_mediana = "&amp;H988&amp;" WHERE cot_id = "&amp;A988&amp;";"</f>
        <v>UPDATE COTACAO SET cot_id = 987, cot_blt_id = 62, cot_pap_id = 35, cot_prc_comum = 140, cot_prc_min = 120, cot_prc_max = 140, cot_prc_med = 133.33, cot_prc_mediana = 140 WHERE cot_id = 987;</v>
      </c>
    </row>
    <row r="989" customFormat="false" ht="14.25" hidden="false" customHeight="false" outlineLevel="0" collapsed="false">
      <c r="A989" s="0" t="n">
        <v>988</v>
      </c>
      <c r="B989" s="0" t="n">
        <f aca="false">IF('Boletins Nuppa Site'!A989&lt;&gt;0,'Boletins Nuppa Site'!A989,"NULL")</f>
        <v>62</v>
      </c>
      <c r="C989" s="0" t="n">
        <v>36</v>
      </c>
      <c r="D989" s="0" t="str">
        <f aca="false">IF('Boletins Nuppa Site'!G989&lt;&gt;0,'Boletins Nuppa Site'!G989,"NULL")</f>
        <v>NULL</v>
      </c>
      <c r="E989" s="0" t="str">
        <f aca="false">IF('Boletins Nuppa Site'!H989&lt;&gt;0,'Boletins Nuppa Site'!H989,"NULL")</f>
        <v>NULL</v>
      </c>
      <c r="F989" s="0" t="str">
        <f aca="false">IF('Boletins Nuppa Site'!I989&lt;&gt;0,'Boletins Nuppa Site'!I989,"NULL")</f>
        <v>NULL</v>
      </c>
      <c r="G989" s="0" t="str">
        <f aca="false">IF('Boletins Nuppa Site'!J989&lt;&gt;0,'Boletins Nuppa Site'!J989,"NULL")</f>
        <v>NULL</v>
      </c>
      <c r="H989" s="0" t="str">
        <f aca="false">IF('Boletins Nuppa Site'!K989&lt;&gt;0,'Boletins Nuppa Site'!K989,"NULL")</f>
        <v>NULL</v>
      </c>
      <c r="I989" s="0" t="str">
        <f aca="false">"INSERT INTO COTACAO (cot_id, cot_blt_id, cot_pap_id, cot_prc_comum, cot_prc_min, cot_prc_max, cot_prc_med, cot_prc_mediana) VALUES ("&amp;A989&amp;", "&amp;B989&amp;", "&amp;C989&amp;", "&amp;D989&amp;", "&amp;E989&amp;", "&amp;F989&amp;", "&amp;G989&amp;", "&amp;H989&amp;");"</f>
        <v>INSERT INTO COTACAO (cot_id, cot_blt_id, cot_pap_id, cot_prc_comum, cot_prc_min, cot_prc_max, cot_prc_med, cot_prc_mediana) VALUES (988, 62, 36, NULL, NULL, NULL, NULL, NULL);</v>
      </c>
      <c r="J989" s="0" t="str">
        <f aca="false">"UPDATE COTACAO SET cot_id = "&amp;A989&amp;", cot_blt_id = "&amp;B989&amp;", cot_pap_id = "&amp;C989&amp;", cot_prc_comum = "&amp;D989&amp;", cot_prc_min = "&amp;E989&amp;", cot_prc_max = "&amp;F989&amp;", cot_prc_med = "&amp;G989&amp;", cot_prc_mediana = "&amp;H989&amp;" WHERE cot_id = "&amp;A989&amp;";"</f>
        <v>UPDATE COTACAO SET cot_id = 988, cot_blt_id = 62, cot_pap_id = 36, cot_prc_comum = NULL, cot_prc_min = NULL, cot_prc_max = NULL, cot_prc_med = NULL, cot_prc_mediana = NULL WHERE cot_id = 988;</v>
      </c>
    </row>
    <row r="990" customFormat="false" ht="14.25" hidden="false" customHeight="false" outlineLevel="0" collapsed="false">
      <c r="A990" s="0" t="n">
        <v>989</v>
      </c>
      <c r="B990" s="0" t="n">
        <f aca="false">IF('Boletins Nuppa Site'!A990&lt;&gt;0,'Boletins Nuppa Site'!A990,"NULL")</f>
        <v>62</v>
      </c>
      <c r="C990" s="0" t="n">
        <v>37</v>
      </c>
      <c r="D990" s="0" t="str">
        <f aca="false">IF('Boletins Nuppa Site'!G990&lt;&gt;0,'Boletins Nuppa Site'!G990,"NULL")</f>
        <v>NULL</v>
      </c>
      <c r="E990" s="0" t="str">
        <f aca="false">IF('Boletins Nuppa Site'!H990&lt;&gt;0,'Boletins Nuppa Site'!H990,"NULL")</f>
        <v>NULL</v>
      </c>
      <c r="F990" s="0" t="str">
        <f aca="false">IF('Boletins Nuppa Site'!I990&lt;&gt;0,'Boletins Nuppa Site'!I990,"NULL")</f>
        <v>NULL</v>
      </c>
      <c r="G990" s="0" t="str">
        <f aca="false">IF('Boletins Nuppa Site'!J990&lt;&gt;0,'Boletins Nuppa Site'!J990,"NULL")</f>
        <v>NULL</v>
      </c>
      <c r="H990" s="0" t="str">
        <f aca="false">IF('Boletins Nuppa Site'!K990&lt;&gt;0,'Boletins Nuppa Site'!K990,"NULL")</f>
        <v>NULL</v>
      </c>
      <c r="I990" s="0" t="str">
        <f aca="false">"INSERT INTO COTACAO (cot_id, cot_blt_id, cot_pap_id, cot_prc_comum, cot_prc_min, cot_prc_max, cot_prc_med, cot_prc_mediana) VALUES ("&amp;A990&amp;", "&amp;B990&amp;", "&amp;C990&amp;", "&amp;D990&amp;", "&amp;E990&amp;", "&amp;F990&amp;", "&amp;G990&amp;", "&amp;H990&amp;");"</f>
        <v>INSERT INTO COTACAO (cot_id, cot_blt_id, cot_pap_id, cot_prc_comum, cot_prc_min, cot_prc_max, cot_prc_med, cot_prc_mediana) VALUES (989, 62, 37, NULL, NULL, NULL, NULL, NULL);</v>
      </c>
      <c r="J990" s="0" t="str">
        <f aca="false">"UPDATE COTACAO SET cot_id = "&amp;A990&amp;", cot_blt_id = "&amp;B990&amp;", cot_pap_id = "&amp;C990&amp;", cot_prc_comum = "&amp;D990&amp;", cot_prc_min = "&amp;E990&amp;", cot_prc_max = "&amp;F990&amp;", cot_prc_med = "&amp;G990&amp;", cot_prc_mediana = "&amp;H990&amp;" WHERE cot_id = "&amp;A990&amp;";"</f>
        <v>UPDATE COTACAO SET cot_id = 989, cot_blt_id = 62, cot_pap_id = 37, cot_prc_comum = NULL, cot_prc_min = NULL, cot_prc_max = NULL, cot_prc_med = NULL, cot_prc_mediana = NULL WHERE cot_id = 989;</v>
      </c>
    </row>
    <row r="991" customFormat="false" ht="14.25" hidden="false" customHeight="false" outlineLevel="0" collapsed="false">
      <c r="A991" s="0" t="n">
        <v>990</v>
      </c>
      <c r="B991" s="0" t="n">
        <f aca="false">IF('Boletins Nuppa Site'!A991&lt;&gt;0,'Boletins Nuppa Site'!A991,"NULL")</f>
        <v>62</v>
      </c>
      <c r="C991" s="0" t="n">
        <v>38</v>
      </c>
      <c r="D991" s="0" t="str">
        <f aca="false">IF('Boletins Nuppa Site'!G991&lt;&gt;0,'Boletins Nuppa Site'!G991,"NULL")</f>
        <v>NULL</v>
      </c>
      <c r="E991" s="0" t="str">
        <f aca="false">IF('Boletins Nuppa Site'!H991&lt;&gt;0,'Boletins Nuppa Site'!H991,"NULL")</f>
        <v>NULL</v>
      </c>
      <c r="F991" s="0" t="str">
        <f aca="false">IF('Boletins Nuppa Site'!I991&lt;&gt;0,'Boletins Nuppa Site'!I991,"NULL")</f>
        <v>NULL</v>
      </c>
      <c r="G991" s="0" t="str">
        <f aca="false">IF('Boletins Nuppa Site'!J991&lt;&gt;0,'Boletins Nuppa Site'!J991,"NULL")</f>
        <v>NULL</v>
      </c>
      <c r="H991" s="0" t="str">
        <f aca="false">IF('Boletins Nuppa Site'!K991&lt;&gt;0,'Boletins Nuppa Site'!K991,"NULL")</f>
        <v>NULL</v>
      </c>
      <c r="I991" s="0" t="str">
        <f aca="false">"INSERT INTO COTACAO (cot_id, cot_blt_id, cot_pap_id, cot_prc_comum, cot_prc_min, cot_prc_max, cot_prc_med, cot_prc_mediana) VALUES ("&amp;A991&amp;", "&amp;B991&amp;", "&amp;C991&amp;", "&amp;D991&amp;", "&amp;E991&amp;", "&amp;F991&amp;", "&amp;G991&amp;", "&amp;H991&amp;");"</f>
        <v>INSERT INTO COTACAO (cot_id, cot_blt_id, cot_pap_id, cot_prc_comum, cot_prc_min, cot_prc_max, cot_prc_med, cot_prc_mediana) VALUES (990, 62, 38, NULL, NULL, NULL, NULL, NULL);</v>
      </c>
      <c r="J991" s="0" t="str">
        <f aca="false">"UPDATE COTACAO SET cot_id = "&amp;A991&amp;", cot_blt_id = "&amp;B991&amp;", cot_pap_id = "&amp;C991&amp;", cot_prc_comum = "&amp;D991&amp;", cot_prc_min = "&amp;E991&amp;", cot_prc_max = "&amp;F991&amp;", cot_prc_med = "&amp;G991&amp;", cot_prc_mediana = "&amp;H991&amp;" WHERE cot_id = "&amp;A991&amp;";"</f>
        <v>UPDATE COTACAO SET cot_id = 990, cot_blt_id = 62, cot_pap_id = 38, cot_prc_comum = NULL, cot_prc_min = NULL, cot_prc_max = NULL, cot_prc_med = NULL, cot_prc_mediana = NULL WHERE cot_id = 990;</v>
      </c>
    </row>
    <row r="992" customFormat="false" ht="14.25" hidden="false" customHeight="false" outlineLevel="0" collapsed="false">
      <c r="A992" s="0" t="n">
        <v>991</v>
      </c>
      <c r="B992" s="0" t="n">
        <f aca="false">IF('Boletins Nuppa Site'!A992&lt;&gt;0,'Boletins Nuppa Site'!A992,"NULL")</f>
        <v>62</v>
      </c>
      <c r="C992" s="0" t="n">
        <v>39</v>
      </c>
      <c r="D992" s="0" t="str">
        <f aca="false">IF('Boletins Nuppa Site'!G992&lt;&gt;0,'Boletins Nuppa Site'!G992,"NULL")</f>
        <v>NULL</v>
      </c>
      <c r="E992" s="30" t="n">
        <f aca="false">IF('Boletins Nuppa Site'!H992&lt;&gt;0,'Boletins Nuppa Site'!H992,"NULL")</f>
        <v>60</v>
      </c>
      <c r="F992" s="30" t="n">
        <f aca="false">IF('Boletins Nuppa Site'!I992&lt;&gt;0,'Boletins Nuppa Site'!I992,"NULL")</f>
        <v>60</v>
      </c>
      <c r="G992" s="30" t="n">
        <f aca="false">IF('Boletins Nuppa Site'!J992&lt;&gt;0,'Boletins Nuppa Site'!J992,"NULL")</f>
        <v>60</v>
      </c>
      <c r="H992" s="30" t="n">
        <f aca="false">IF('Boletins Nuppa Site'!K992&lt;&gt;0,'Boletins Nuppa Site'!K992,"NULL")</f>
        <v>60</v>
      </c>
      <c r="I992" s="0" t="str">
        <f aca="false">"INSERT INTO COTACAO (cot_id, cot_blt_id, cot_pap_id, cot_prc_comum, cot_prc_min, cot_prc_max, cot_prc_med, cot_prc_mediana) VALUES ("&amp;A992&amp;", "&amp;B992&amp;", "&amp;C992&amp;", "&amp;D992&amp;", "&amp;E992&amp;", "&amp;F992&amp;", "&amp;G992&amp;", "&amp;H992&amp;");"</f>
        <v>INSERT INTO COTACAO (cot_id, cot_blt_id, cot_pap_id, cot_prc_comum, cot_prc_min, cot_prc_max, cot_prc_med, cot_prc_mediana) VALUES (991, 62, 39, NULL, 60, 60, 60, 60);</v>
      </c>
      <c r="J992" s="0" t="str">
        <f aca="false">"UPDATE COTACAO SET cot_id = "&amp;A992&amp;", cot_blt_id = "&amp;B992&amp;", cot_pap_id = "&amp;C992&amp;", cot_prc_comum = "&amp;D992&amp;", cot_prc_min = "&amp;E992&amp;", cot_prc_max = "&amp;F992&amp;", cot_prc_med = "&amp;G992&amp;", cot_prc_mediana = "&amp;H992&amp;" WHERE cot_id = "&amp;A992&amp;";"</f>
        <v>UPDATE COTACAO SET cot_id = 991, cot_blt_id = 62, cot_pap_id = 39, cot_prc_comum = NULL, cot_prc_min = 60, cot_prc_max = 60, cot_prc_med = 60, cot_prc_mediana = 60 WHERE cot_id = 991;</v>
      </c>
    </row>
    <row r="993" customFormat="false" ht="14.25" hidden="false" customHeight="false" outlineLevel="0" collapsed="false">
      <c r="A993" s="0" t="n">
        <v>992</v>
      </c>
      <c r="B993" s="0" t="n">
        <f aca="false">IF('Boletins Nuppa Site'!A993&lt;&gt;0,'Boletins Nuppa Site'!A993,"NULL")</f>
        <v>62</v>
      </c>
      <c r="C993" s="0" t="n">
        <v>40</v>
      </c>
      <c r="D993" s="0" t="str">
        <f aca="false">IF('Boletins Nuppa Site'!G993&lt;&gt;0,'Boletins Nuppa Site'!G993,"NULL")</f>
        <v>NULL</v>
      </c>
      <c r="E993" s="30" t="n">
        <f aca="false">IF('Boletins Nuppa Site'!H993&lt;&gt;0,'Boletins Nuppa Site'!H993,"NULL")</f>
        <v>80</v>
      </c>
      <c r="F993" s="30" t="n">
        <f aca="false">IF('Boletins Nuppa Site'!I993&lt;&gt;0,'Boletins Nuppa Site'!I993,"NULL")</f>
        <v>80</v>
      </c>
      <c r="G993" s="30" t="n">
        <f aca="false">IF('Boletins Nuppa Site'!J993&lt;&gt;0,'Boletins Nuppa Site'!J993,"NULL")</f>
        <v>80</v>
      </c>
      <c r="H993" s="30" t="n">
        <f aca="false">IF('Boletins Nuppa Site'!K993&lt;&gt;0,'Boletins Nuppa Site'!K993,"NULL")</f>
        <v>80</v>
      </c>
      <c r="I993" s="0" t="str">
        <f aca="false">"INSERT INTO COTACAO (cot_id, cot_blt_id, cot_pap_id, cot_prc_comum, cot_prc_min, cot_prc_max, cot_prc_med, cot_prc_mediana) VALUES ("&amp;A993&amp;", "&amp;B993&amp;", "&amp;C993&amp;", "&amp;D993&amp;", "&amp;E993&amp;", "&amp;F993&amp;", "&amp;G993&amp;", "&amp;H993&amp;");"</f>
        <v>INSERT INTO COTACAO (cot_id, cot_blt_id, cot_pap_id, cot_prc_comum, cot_prc_min, cot_prc_max, cot_prc_med, cot_prc_mediana) VALUES (992, 62, 40, NULL, 80, 80, 80, 80);</v>
      </c>
      <c r="J993" s="0" t="str">
        <f aca="false">"UPDATE COTACAO SET cot_id = "&amp;A993&amp;", cot_blt_id = "&amp;B993&amp;", cot_pap_id = "&amp;C993&amp;", cot_prc_comum = "&amp;D993&amp;", cot_prc_min = "&amp;E993&amp;", cot_prc_max = "&amp;F993&amp;", cot_prc_med = "&amp;G993&amp;", cot_prc_mediana = "&amp;H993&amp;" WHERE cot_id = "&amp;A993&amp;";"</f>
        <v>UPDATE COTACAO SET cot_id = 992, cot_blt_id = 62, cot_pap_id = 40, cot_prc_comum = NULL, cot_prc_min = 80, cot_prc_max = 80, cot_prc_med = 80, cot_prc_mediana = 80 WHERE cot_id = 992;</v>
      </c>
    </row>
    <row r="994" customFormat="false" ht="14.25" hidden="false" customHeight="false" outlineLevel="0" collapsed="false">
      <c r="A994" s="0" t="n">
        <v>993</v>
      </c>
      <c r="B994" s="0" t="n">
        <f aca="false">IF('Boletins Nuppa Site'!A994&lt;&gt;0,'Boletins Nuppa Site'!A994,"NULL")</f>
        <v>63</v>
      </c>
      <c r="C994" s="0" t="n">
        <v>1</v>
      </c>
      <c r="D994" s="30" t="n">
        <f aca="false">IF('Boletins Nuppa Site'!G994&lt;&gt;0,'Boletins Nuppa Site'!G994,"NULL")</f>
        <v>60</v>
      </c>
      <c r="E994" s="30" t="n">
        <f aca="false">IF('Boletins Nuppa Site'!H994&lt;&gt;0,'Boletins Nuppa Site'!H994,"NULL")</f>
        <v>48</v>
      </c>
      <c r="F994" s="30" t="n">
        <f aca="false">IF('Boletins Nuppa Site'!I994&lt;&gt;0,'Boletins Nuppa Site'!I994,"NULL")</f>
        <v>48</v>
      </c>
      <c r="G994" s="30" t="n">
        <f aca="false">IF('Boletins Nuppa Site'!J994&lt;&gt;0,'Boletins Nuppa Site'!J994,"NULL")</f>
        <v>60</v>
      </c>
      <c r="H994" s="24" t="n">
        <f aca="false">IF('Boletins Nuppa Site'!K994&lt;&gt;0,'Boletins Nuppa Site'!K994,"NULL")</f>
        <v>52.8</v>
      </c>
      <c r="I994" s="0" t="str">
        <f aca="false">"INSERT INTO COTACAO (cot_id, cot_blt_id, cot_pap_id, cot_prc_comum, cot_prc_min, cot_prc_max, cot_prc_med, cot_prc_mediana) VALUES ("&amp;A994&amp;", "&amp;B994&amp;", "&amp;C994&amp;", "&amp;D994&amp;", "&amp;E994&amp;", "&amp;F994&amp;", "&amp;G994&amp;", "&amp;H994&amp;");"</f>
        <v>INSERT INTO COTACAO (cot_id, cot_blt_id, cot_pap_id, cot_prc_comum, cot_prc_min, cot_prc_max, cot_prc_med, cot_prc_mediana) VALUES (993, 63, 1, 60, 48, 48, 60, 52,8);</v>
      </c>
      <c r="J994" s="0" t="str">
        <f aca="false">"UPDATE COTACAO SET cot_id = "&amp;A994&amp;", cot_blt_id = "&amp;B994&amp;", cot_pap_id = "&amp;C994&amp;", cot_prc_comum = "&amp;D994&amp;", cot_prc_min = "&amp;E994&amp;", cot_prc_max = "&amp;F994&amp;", cot_prc_med = "&amp;G994&amp;", cot_prc_mediana = "&amp;H994&amp;" WHERE cot_id = "&amp;A994&amp;";"</f>
        <v>UPDATE COTACAO SET cot_id = 993, cot_blt_id = 63, cot_pap_id = 1, cot_prc_comum = 60, cot_prc_min = 48, cot_prc_max = 48, cot_prc_med = 60, cot_prc_mediana = 52,8 WHERE cot_id = 993;</v>
      </c>
    </row>
    <row r="995" customFormat="false" ht="14.25" hidden="false" customHeight="false" outlineLevel="0" collapsed="false">
      <c r="A995" s="0" t="n">
        <v>994</v>
      </c>
      <c r="B995" s="0" t="n">
        <f aca="false">IF('Boletins Nuppa Site'!A995&lt;&gt;0,'Boletins Nuppa Site'!A995,"NULL")</f>
        <v>63</v>
      </c>
      <c r="C995" s="0" t="n">
        <v>2</v>
      </c>
      <c r="D995" s="30" t="n">
        <f aca="false">IF('Boletins Nuppa Site'!G995&lt;&gt;0,'Boletins Nuppa Site'!G995,"NULL")</f>
        <v>84</v>
      </c>
      <c r="E995" s="30" t="n">
        <f aca="false">IF('Boletins Nuppa Site'!H995&lt;&gt;0,'Boletins Nuppa Site'!H995,"NULL")</f>
        <v>72</v>
      </c>
      <c r="F995" s="30" t="n">
        <f aca="false">IF('Boletins Nuppa Site'!I995&lt;&gt;0,'Boletins Nuppa Site'!I995,"NULL")</f>
        <v>72</v>
      </c>
      <c r="G995" s="30" t="n">
        <f aca="false">IF('Boletins Nuppa Site'!J995&lt;&gt;0,'Boletins Nuppa Site'!J995,"NULL")</f>
        <v>84</v>
      </c>
      <c r="H995" s="30" t="n">
        <f aca="false">IF('Boletins Nuppa Site'!K995&lt;&gt;0,'Boletins Nuppa Site'!K995,"NULL")</f>
        <v>78</v>
      </c>
      <c r="I995" s="0" t="str">
        <f aca="false">"INSERT INTO COTACAO (cot_id, cot_blt_id, cot_pap_id, cot_prc_comum, cot_prc_min, cot_prc_max, cot_prc_med, cot_prc_mediana) VALUES ("&amp;A995&amp;", "&amp;B995&amp;", "&amp;C995&amp;", "&amp;D995&amp;", "&amp;E995&amp;", "&amp;F995&amp;", "&amp;G995&amp;", "&amp;H995&amp;");"</f>
        <v>INSERT INTO COTACAO (cot_id, cot_blt_id, cot_pap_id, cot_prc_comum, cot_prc_min, cot_prc_max, cot_prc_med, cot_prc_mediana) VALUES (994, 63, 2, 84, 72, 72, 84, 78);</v>
      </c>
      <c r="J995" s="0" t="str">
        <f aca="false">"UPDATE COTACAO SET cot_id = "&amp;A995&amp;", cot_blt_id = "&amp;B995&amp;", cot_pap_id = "&amp;C995&amp;", cot_prc_comum = "&amp;D995&amp;", cot_prc_min = "&amp;E995&amp;", cot_prc_max = "&amp;F995&amp;", cot_prc_med = "&amp;G995&amp;", cot_prc_mediana = "&amp;H995&amp;" WHERE cot_id = "&amp;A995&amp;";"</f>
        <v>UPDATE COTACAO SET cot_id = 994, cot_blt_id = 63, cot_pap_id = 2, cot_prc_comum = 84, cot_prc_min = 72, cot_prc_max = 72, cot_prc_med = 84, cot_prc_mediana = 78 WHERE cot_id = 994;</v>
      </c>
    </row>
    <row r="996" customFormat="false" ht="14.25" hidden="false" customHeight="false" outlineLevel="0" collapsed="false">
      <c r="A996" s="0" t="n">
        <v>995</v>
      </c>
      <c r="B996" s="0" t="n">
        <f aca="false">IF('Boletins Nuppa Site'!A996&lt;&gt;0,'Boletins Nuppa Site'!A996,"NULL")</f>
        <v>63</v>
      </c>
      <c r="C996" s="0" t="n">
        <v>3</v>
      </c>
      <c r="D996" s="30" t="n">
        <f aca="false">IF('Boletins Nuppa Site'!G996&lt;&gt;0,'Boletins Nuppa Site'!G996,"NULL")</f>
        <v>36</v>
      </c>
      <c r="E996" s="30" t="n">
        <f aca="false">IF('Boletins Nuppa Site'!H996&lt;&gt;0,'Boletins Nuppa Site'!H996,"NULL")</f>
        <v>36</v>
      </c>
      <c r="F996" s="30" t="n">
        <f aca="false">IF('Boletins Nuppa Site'!I996&lt;&gt;0,'Boletins Nuppa Site'!I996,"NULL")</f>
        <v>30</v>
      </c>
      <c r="G996" s="30" t="n">
        <f aca="false">IF('Boletins Nuppa Site'!J996&lt;&gt;0,'Boletins Nuppa Site'!J996,"NULL")</f>
        <v>42</v>
      </c>
      <c r="H996" s="24" t="n">
        <f aca="false">IF('Boletins Nuppa Site'!K996&lt;&gt;0,'Boletins Nuppa Site'!K996,"NULL")</f>
        <v>35.8</v>
      </c>
      <c r="I996" s="0" t="str">
        <f aca="false">"INSERT INTO COTACAO (cot_id, cot_blt_id, cot_pap_id, cot_prc_comum, cot_prc_min, cot_prc_max, cot_prc_med, cot_prc_mediana) VALUES ("&amp;A996&amp;", "&amp;B996&amp;", "&amp;C996&amp;", "&amp;D996&amp;", "&amp;E996&amp;", "&amp;F996&amp;", "&amp;G996&amp;", "&amp;H996&amp;");"</f>
        <v>INSERT INTO COTACAO (cot_id, cot_blt_id, cot_pap_id, cot_prc_comum, cot_prc_min, cot_prc_max, cot_prc_med, cot_prc_mediana) VALUES (995, 63, 3, 36, 36, 30, 42, 35,8);</v>
      </c>
      <c r="J996" s="0" t="str">
        <f aca="false">"UPDATE COTACAO SET cot_id = "&amp;A996&amp;", cot_blt_id = "&amp;B996&amp;", cot_pap_id = "&amp;C996&amp;", cot_prc_comum = "&amp;D996&amp;", cot_prc_min = "&amp;E996&amp;", cot_prc_max = "&amp;F996&amp;", cot_prc_med = "&amp;G996&amp;", cot_prc_mediana = "&amp;H996&amp;" WHERE cot_id = "&amp;A996&amp;";"</f>
        <v>UPDATE COTACAO SET cot_id = 995, cot_blt_id = 63, cot_pap_id = 3, cot_prc_comum = 36, cot_prc_min = 36, cot_prc_max = 30, cot_prc_med = 42, cot_prc_mediana = 35,8 WHERE cot_id = 995;</v>
      </c>
    </row>
    <row r="997" customFormat="false" ht="14.25" hidden="false" customHeight="false" outlineLevel="0" collapsed="false">
      <c r="A997" s="0" t="n">
        <v>996</v>
      </c>
      <c r="B997" s="0" t="n">
        <f aca="false">IF('Boletins Nuppa Site'!A997&lt;&gt;0,'Boletins Nuppa Site'!A997,"NULL")</f>
        <v>63</v>
      </c>
      <c r="C997" s="0" t="n">
        <v>4</v>
      </c>
      <c r="D997" s="30" t="n">
        <f aca="false">IF('Boletins Nuppa Site'!G997&lt;&gt;0,'Boletins Nuppa Site'!G997,"NULL")</f>
        <v>24</v>
      </c>
      <c r="E997" s="30" t="n">
        <f aca="false">IF('Boletins Nuppa Site'!H997&lt;&gt;0,'Boletins Nuppa Site'!H997,"NULL")</f>
        <v>18</v>
      </c>
      <c r="F997" s="30" t="n">
        <f aca="false">IF('Boletins Nuppa Site'!I997&lt;&gt;0,'Boletins Nuppa Site'!I997,"NULL")</f>
        <v>18</v>
      </c>
      <c r="G997" s="30" t="n">
        <f aca="false">IF('Boletins Nuppa Site'!J997&lt;&gt;0,'Boletins Nuppa Site'!J997,"NULL")</f>
        <v>24</v>
      </c>
      <c r="H997" s="24" t="n">
        <f aca="false">IF('Boletins Nuppa Site'!K997&lt;&gt;0,'Boletins Nuppa Site'!K997,"NULL")</f>
        <v>20.8</v>
      </c>
      <c r="I997" s="0" t="str">
        <f aca="false">"INSERT INTO COTACAO (cot_id, cot_blt_id, cot_pap_id, cot_prc_comum, cot_prc_min, cot_prc_max, cot_prc_med, cot_prc_mediana) VALUES ("&amp;A997&amp;", "&amp;B997&amp;", "&amp;C997&amp;", "&amp;D997&amp;", "&amp;E997&amp;", "&amp;F997&amp;", "&amp;G997&amp;", "&amp;H997&amp;");"</f>
        <v>INSERT INTO COTACAO (cot_id, cot_blt_id, cot_pap_id, cot_prc_comum, cot_prc_min, cot_prc_max, cot_prc_med, cot_prc_mediana) VALUES (996, 63, 4, 24, 18, 18, 24, 20,8);</v>
      </c>
      <c r="J997" s="0" t="str">
        <f aca="false">"UPDATE COTACAO SET cot_id = "&amp;A997&amp;", cot_blt_id = "&amp;B997&amp;", cot_pap_id = "&amp;C997&amp;", cot_prc_comum = "&amp;D997&amp;", cot_prc_min = "&amp;E997&amp;", cot_prc_max = "&amp;F997&amp;", cot_prc_med = "&amp;G997&amp;", cot_prc_mediana = "&amp;H997&amp;" WHERE cot_id = "&amp;A997&amp;";"</f>
        <v>UPDATE COTACAO SET cot_id = 996, cot_blt_id = 63, cot_pap_id = 4, cot_prc_comum = 24, cot_prc_min = 18, cot_prc_max = 18, cot_prc_med = 24, cot_prc_mediana = 20,8 WHERE cot_id = 996;</v>
      </c>
    </row>
    <row r="998" customFormat="false" ht="14.25" hidden="false" customHeight="false" outlineLevel="0" collapsed="false">
      <c r="A998" s="0" t="n">
        <v>997</v>
      </c>
      <c r="B998" s="0" t="n">
        <f aca="false">IF('Boletins Nuppa Site'!A998&lt;&gt;0,'Boletins Nuppa Site'!A998,"NULL")</f>
        <v>63</v>
      </c>
      <c r="C998" s="0" t="n">
        <v>5</v>
      </c>
      <c r="D998" s="30" t="n">
        <f aca="false">IF('Boletins Nuppa Site'!G998&lt;&gt;0,'Boletins Nuppa Site'!G998,"NULL")</f>
        <v>30</v>
      </c>
      <c r="E998" s="30" t="n">
        <f aca="false">IF('Boletins Nuppa Site'!H998&lt;&gt;0,'Boletins Nuppa Site'!H998,"NULL")</f>
        <v>24</v>
      </c>
      <c r="F998" s="30" t="n">
        <f aca="false">IF('Boletins Nuppa Site'!I998&lt;&gt;0,'Boletins Nuppa Site'!I998,"NULL")</f>
        <v>18</v>
      </c>
      <c r="G998" s="30" t="n">
        <f aca="false">IF('Boletins Nuppa Site'!J998&lt;&gt;0,'Boletins Nuppa Site'!J998,"NULL")</f>
        <v>24</v>
      </c>
      <c r="H998" s="24" t="n">
        <f aca="false">IF('Boletins Nuppa Site'!K998&lt;&gt;0,'Boletins Nuppa Site'!K998,"NULL")</f>
        <v>21.5</v>
      </c>
      <c r="I998" s="0" t="str">
        <f aca="false">"INSERT INTO COTACAO (cot_id, cot_blt_id, cot_pap_id, cot_prc_comum, cot_prc_min, cot_prc_max, cot_prc_med, cot_prc_mediana) VALUES ("&amp;A998&amp;", "&amp;B998&amp;", "&amp;C998&amp;", "&amp;D998&amp;", "&amp;E998&amp;", "&amp;F998&amp;", "&amp;G998&amp;", "&amp;H998&amp;");"</f>
        <v>INSERT INTO COTACAO (cot_id, cot_blt_id, cot_pap_id, cot_prc_comum, cot_prc_min, cot_prc_max, cot_prc_med, cot_prc_mediana) VALUES (997, 63, 5, 30, 24, 18, 24, 21,5);</v>
      </c>
      <c r="J998" s="0" t="str">
        <f aca="false">"UPDATE COTACAO SET cot_id = "&amp;A998&amp;", cot_blt_id = "&amp;B998&amp;", cot_pap_id = "&amp;C998&amp;", cot_prc_comum = "&amp;D998&amp;", cot_prc_min = "&amp;E998&amp;", cot_prc_max = "&amp;F998&amp;", cot_prc_med = "&amp;G998&amp;", cot_prc_mediana = "&amp;H998&amp;" WHERE cot_id = "&amp;A998&amp;";"</f>
        <v>UPDATE COTACAO SET cot_id = 997, cot_blt_id = 63, cot_pap_id = 5, cot_prc_comum = 30, cot_prc_min = 24, cot_prc_max = 18, cot_prc_med = 24, cot_prc_mediana = 21,5 WHERE cot_id = 997;</v>
      </c>
    </row>
    <row r="999" customFormat="false" ht="14.25" hidden="false" customHeight="false" outlineLevel="0" collapsed="false">
      <c r="A999" s="0" t="n">
        <v>998</v>
      </c>
      <c r="B999" s="0" t="n">
        <f aca="false">IF('Boletins Nuppa Site'!A999&lt;&gt;0,'Boletins Nuppa Site'!A999,"NULL")</f>
        <v>63</v>
      </c>
      <c r="C999" s="0" t="n">
        <v>6</v>
      </c>
      <c r="D999" s="30" t="n">
        <f aca="false">IF('Boletins Nuppa Site'!G999&lt;&gt;0,'Boletins Nuppa Site'!G999,"NULL")</f>
        <v>60</v>
      </c>
      <c r="E999" s="30" t="n">
        <f aca="false">IF('Boletins Nuppa Site'!H999&lt;&gt;0,'Boletins Nuppa Site'!H999,"NULL")</f>
        <v>60</v>
      </c>
      <c r="F999" s="30" t="n">
        <f aca="false">IF('Boletins Nuppa Site'!I999&lt;&gt;0,'Boletins Nuppa Site'!I999,"NULL")</f>
        <v>60</v>
      </c>
      <c r="G999" s="30" t="n">
        <f aca="false">IF('Boletins Nuppa Site'!J999&lt;&gt;0,'Boletins Nuppa Site'!J999,"NULL")</f>
        <v>60</v>
      </c>
      <c r="H999" s="30" t="n">
        <f aca="false">IF('Boletins Nuppa Site'!K999&lt;&gt;0,'Boletins Nuppa Site'!K999,"NULL")</f>
        <v>60</v>
      </c>
      <c r="I999" s="0" t="str">
        <f aca="false">"INSERT INTO COTACAO (cot_id, cot_blt_id, cot_pap_id, cot_prc_comum, cot_prc_min, cot_prc_max, cot_prc_med, cot_prc_mediana) VALUES ("&amp;A999&amp;", "&amp;B999&amp;", "&amp;C999&amp;", "&amp;D999&amp;", "&amp;E999&amp;", "&amp;F999&amp;", "&amp;G999&amp;", "&amp;H999&amp;");"</f>
        <v>INSERT INTO COTACAO (cot_id, cot_blt_id, cot_pap_id, cot_prc_comum, cot_prc_min, cot_prc_max, cot_prc_med, cot_prc_mediana) VALUES (998, 63, 6, 60, 60, 60, 60, 60);</v>
      </c>
      <c r="J999" s="0" t="str">
        <f aca="false">"UPDATE COTACAO SET cot_id = "&amp;A999&amp;", cot_blt_id = "&amp;B999&amp;", cot_pap_id = "&amp;C999&amp;", cot_prc_comum = "&amp;D999&amp;", cot_prc_min = "&amp;E999&amp;", cot_prc_max = "&amp;F999&amp;", cot_prc_med = "&amp;G999&amp;", cot_prc_mediana = "&amp;H999&amp;" WHERE cot_id = "&amp;A999&amp;";"</f>
        <v>UPDATE COTACAO SET cot_id = 998, cot_blt_id = 63, cot_pap_id = 6, cot_prc_comum = 60, cot_prc_min = 60, cot_prc_max = 60, cot_prc_med = 60, cot_prc_mediana = 60 WHERE cot_id = 998;</v>
      </c>
    </row>
    <row r="1000" customFormat="false" ht="14.25" hidden="false" customHeight="false" outlineLevel="0" collapsed="false">
      <c r="A1000" s="0" t="n">
        <v>999</v>
      </c>
      <c r="B1000" s="0" t="n">
        <f aca="false">IF('Boletins Nuppa Site'!A1000&lt;&gt;0,'Boletins Nuppa Site'!A1000,"NULL")</f>
        <v>63</v>
      </c>
      <c r="C1000" s="0" t="n">
        <v>7</v>
      </c>
      <c r="D1000" s="30" t="n">
        <f aca="false">IF('Boletins Nuppa Site'!G1000&lt;&gt;0,'Boletins Nuppa Site'!G1000,"NULL")</f>
        <v>60</v>
      </c>
      <c r="E1000" s="30" t="n">
        <f aca="false">IF('Boletins Nuppa Site'!H1000&lt;&gt;0,'Boletins Nuppa Site'!H1000,"NULL")</f>
        <v>48</v>
      </c>
      <c r="F1000" s="30" t="n">
        <f aca="false">IF('Boletins Nuppa Site'!I1000&lt;&gt;0,'Boletins Nuppa Site'!I1000,"NULL")</f>
        <v>48</v>
      </c>
      <c r="G1000" s="30" t="n">
        <f aca="false">IF('Boletins Nuppa Site'!J1000&lt;&gt;0,'Boletins Nuppa Site'!J1000,"NULL")</f>
        <v>60</v>
      </c>
      <c r="H1000" s="30" t="n">
        <f aca="false">IF('Boletins Nuppa Site'!K1000&lt;&gt;0,'Boletins Nuppa Site'!K1000,"NULL")</f>
        <v>54</v>
      </c>
      <c r="I1000" s="0" t="str">
        <f aca="false">"INSERT INTO COTACAO (cot_id, cot_blt_id, cot_pap_id, cot_prc_comum, cot_prc_min, cot_prc_max, cot_prc_med, cot_prc_mediana) VALUES ("&amp;A1000&amp;", "&amp;B1000&amp;", "&amp;C1000&amp;", "&amp;D1000&amp;", "&amp;E1000&amp;", "&amp;F1000&amp;", "&amp;G1000&amp;", "&amp;H1000&amp;");"</f>
        <v>INSERT INTO COTACAO (cot_id, cot_blt_id, cot_pap_id, cot_prc_comum, cot_prc_min, cot_prc_max, cot_prc_med, cot_prc_mediana) VALUES (999, 63, 7, 60, 48, 48, 60, 54);</v>
      </c>
      <c r="J1000" s="0" t="str">
        <f aca="false">"UPDATE COTACAO SET cot_id = "&amp;A1000&amp;", cot_blt_id = "&amp;B1000&amp;", cot_pap_id = "&amp;C1000&amp;", cot_prc_comum = "&amp;D1000&amp;", cot_prc_min = "&amp;E1000&amp;", cot_prc_max = "&amp;F1000&amp;", cot_prc_med = "&amp;G1000&amp;", cot_prc_mediana = "&amp;H1000&amp;" WHERE cot_id = "&amp;A1000&amp;";"</f>
        <v>UPDATE COTACAO SET cot_id = 999, cot_blt_id = 63, cot_pap_id = 7, cot_prc_comum = 60, cot_prc_min = 48, cot_prc_max = 48, cot_prc_med = 60, cot_prc_mediana = 54 WHERE cot_id = 999;</v>
      </c>
    </row>
    <row r="1001" customFormat="false" ht="14.25" hidden="false" customHeight="false" outlineLevel="0" collapsed="false">
      <c r="A1001" s="0" t="n">
        <v>1000</v>
      </c>
      <c r="B1001" s="0" t="n">
        <f aca="false">IF('Boletins Nuppa Site'!A1001&lt;&gt;0,'Boletins Nuppa Site'!A1001,"NULL")</f>
        <v>63</v>
      </c>
      <c r="C1001" s="0" t="n">
        <v>8</v>
      </c>
      <c r="D1001" s="30" t="n">
        <f aca="false">IF('Boletins Nuppa Site'!G1001&lt;&gt;0,'Boletins Nuppa Site'!G1001,"NULL")</f>
        <v>84</v>
      </c>
      <c r="E1001" s="30" t="n">
        <f aca="false">IF('Boletins Nuppa Site'!H1001&lt;&gt;0,'Boletins Nuppa Site'!H1001,"NULL")</f>
        <v>60</v>
      </c>
      <c r="F1001" s="30" t="n">
        <f aca="false">IF('Boletins Nuppa Site'!I1001&lt;&gt;0,'Boletins Nuppa Site'!I1001,"NULL")</f>
        <v>60</v>
      </c>
      <c r="G1001" s="30" t="n">
        <f aca="false">IF('Boletins Nuppa Site'!J1001&lt;&gt;0,'Boletins Nuppa Site'!J1001,"NULL")</f>
        <v>84</v>
      </c>
      <c r="H1001" s="30" t="n">
        <f aca="false">IF('Boletins Nuppa Site'!K1001&lt;&gt;0,'Boletins Nuppa Site'!K1001,"NULL")</f>
        <v>72</v>
      </c>
      <c r="I1001" s="0" t="str">
        <f aca="false">"INSERT INTO COTACAO (cot_id, cot_blt_id, cot_pap_id, cot_prc_comum, cot_prc_min, cot_prc_max, cot_prc_med, cot_prc_mediana) VALUES ("&amp;A1001&amp;", "&amp;B1001&amp;", "&amp;C1001&amp;", "&amp;D1001&amp;", "&amp;E1001&amp;", "&amp;F1001&amp;", "&amp;G1001&amp;", "&amp;H1001&amp;");"</f>
        <v>INSERT INTO COTACAO (cot_id, cot_blt_id, cot_pap_id, cot_prc_comum, cot_prc_min, cot_prc_max, cot_prc_med, cot_prc_mediana) VALUES (1000, 63, 8, 84, 60, 60, 84, 72);</v>
      </c>
      <c r="J1001" s="0" t="str">
        <f aca="false">"UPDATE COTACAO SET cot_id = "&amp;A1001&amp;", cot_blt_id = "&amp;B1001&amp;", cot_pap_id = "&amp;C1001&amp;", cot_prc_comum = "&amp;D1001&amp;", cot_prc_min = "&amp;E1001&amp;", cot_prc_max = "&amp;F1001&amp;", cot_prc_med = "&amp;G1001&amp;", cot_prc_mediana = "&amp;H1001&amp;" WHERE cot_id = "&amp;A1001&amp;";"</f>
        <v>UPDATE COTACAO SET cot_id = 1000, cot_blt_id = 63, cot_pap_id = 8, cot_prc_comum = 84, cot_prc_min = 60, cot_prc_max = 60, cot_prc_med = 84, cot_prc_mediana = 72 WHERE cot_id = 1000;</v>
      </c>
    </row>
    <row r="1002" customFormat="false" ht="14.25" hidden="false" customHeight="false" outlineLevel="0" collapsed="false">
      <c r="A1002" s="0" t="n">
        <v>1001</v>
      </c>
      <c r="B1002" s="0" t="n">
        <f aca="false">IF('Boletins Nuppa Site'!A1002&lt;&gt;0,'Boletins Nuppa Site'!A1002,"NULL")</f>
        <v>63</v>
      </c>
      <c r="C1002" s="0" t="n">
        <v>9</v>
      </c>
      <c r="D1002" s="30" t="n">
        <f aca="false">IF('Boletins Nuppa Site'!G1002&lt;&gt;0,'Boletins Nuppa Site'!G1002,"NULL")</f>
        <v>24</v>
      </c>
      <c r="E1002" s="30" t="n">
        <f aca="false">IF('Boletins Nuppa Site'!H1002&lt;&gt;0,'Boletins Nuppa Site'!H1002,"NULL")</f>
        <v>18</v>
      </c>
      <c r="F1002" s="30" t="n">
        <f aca="false">IF('Boletins Nuppa Site'!I1002&lt;&gt;0,'Boletins Nuppa Site'!I1002,"NULL")</f>
        <v>18</v>
      </c>
      <c r="G1002" s="30" t="n">
        <f aca="false">IF('Boletins Nuppa Site'!J1002&lt;&gt;0,'Boletins Nuppa Site'!J1002,"NULL")</f>
        <v>25</v>
      </c>
      <c r="H1002" s="24" t="n">
        <f aca="false">IF('Boletins Nuppa Site'!K1002&lt;&gt;0,'Boletins Nuppa Site'!K1002,"NULL")</f>
        <v>21.8</v>
      </c>
      <c r="I1002" s="0" t="str">
        <f aca="false">"INSERT INTO COTACAO (cot_id, cot_blt_id, cot_pap_id, cot_prc_comum, cot_prc_min, cot_prc_max, cot_prc_med, cot_prc_mediana) VALUES ("&amp;A1002&amp;", "&amp;B1002&amp;", "&amp;C1002&amp;", "&amp;D1002&amp;", "&amp;E1002&amp;", "&amp;F1002&amp;", "&amp;G1002&amp;", "&amp;H1002&amp;");"</f>
        <v>INSERT INTO COTACAO (cot_id, cot_blt_id, cot_pap_id, cot_prc_comum, cot_prc_min, cot_prc_max, cot_prc_med, cot_prc_mediana) VALUES (1001, 63, 9, 24, 18, 18, 25, 21,8);</v>
      </c>
      <c r="J1002" s="0" t="str">
        <f aca="false">"UPDATE COTACAO SET cot_id = "&amp;A1002&amp;", cot_blt_id = "&amp;B1002&amp;", cot_pap_id = "&amp;C1002&amp;", cot_prc_comum = "&amp;D1002&amp;", cot_prc_min = "&amp;E1002&amp;", cot_prc_max = "&amp;F1002&amp;", cot_prc_med = "&amp;G1002&amp;", cot_prc_mediana = "&amp;H1002&amp;" WHERE cot_id = "&amp;A1002&amp;";"</f>
        <v>UPDATE COTACAO SET cot_id = 1001, cot_blt_id = 63, cot_pap_id = 9, cot_prc_comum = 24, cot_prc_min = 18, cot_prc_max = 18, cot_prc_med = 25, cot_prc_mediana = 21,8 WHERE cot_id = 1001;</v>
      </c>
    </row>
    <row r="1003" customFormat="false" ht="14.25" hidden="false" customHeight="false" outlineLevel="0" collapsed="false">
      <c r="A1003" s="0" t="n">
        <v>1002</v>
      </c>
      <c r="B1003" s="0" t="n">
        <f aca="false">IF('Boletins Nuppa Site'!A1003&lt;&gt;0,'Boletins Nuppa Site'!A1003,"NULL")</f>
        <v>63</v>
      </c>
      <c r="C1003" s="0" t="n">
        <v>10</v>
      </c>
      <c r="D1003" s="30" t="n">
        <f aca="false">IF('Boletins Nuppa Site'!G1003&lt;&gt;0,'Boletins Nuppa Site'!G1003,"NULL")</f>
        <v>72</v>
      </c>
      <c r="E1003" s="30" t="n">
        <f aca="false">IF('Boletins Nuppa Site'!H1003&lt;&gt;0,'Boletins Nuppa Site'!H1003,"NULL")</f>
        <v>60</v>
      </c>
      <c r="F1003" s="30" t="n">
        <f aca="false">IF('Boletins Nuppa Site'!I1003&lt;&gt;0,'Boletins Nuppa Site'!I1003,"NULL")</f>
        <v>60</v>
      </c>
      <c r="G1003" s="30" t="n">
        <f aca="false">IF('Boletins Nuppa Site'!J1003&lt;&gt;0,'Boletins Nuppa Site'!J1003,"NULL")</f>
        <v>84</v>
      </c>
      <c r="H1003" s="30" t="n">
        <f aca="false">IF('Boletins Nuppa Site'!K1003&lt;&gt;0,'Boletins Nuppa Site'!K1003,"NULL")</f>
        <v>72</v>
      </c>
      <c r="I1003" s="0" t="str">
        <f aca="false">"INSERT INTO COTACAO (cot_id, cot_blt_id, cot_pap_id, cot_prc_comum, cot_prc_min, cot_prc_max, cot_prc_med, cot_prc_mediana) VALUES ("&amp;A1003&amp;", "&amp;B1003&amp;", "&amp;C1003&amp;", "&amp;D1003&amp;", "&amp;E1003&amp;", "&amp;F1003&amp;", "&amp;G1003&amp;", "&amp;H1003&amp;");"</f>
        <v>INSERT INTO COTACAO (cot_id, cot_blt_id, cot_pap_id, cot_prc_comum, cot_prc_min, cot_prc_max, cot_prc_med, cot_prc_mediana) VALUES (1002, 63, 10, 72, 60, 60, 84, 72);</v>
      </c>
      <c r="J1003" s="0" t="str">
        <f aca="false">"UPDATE COTACAO SET cot_id = "&amp;A1003&amp;", cot_blt_id = "&amp;B1003&amp;", cot_pap_id = "&amp;C1003&amp;", cot_prc_comum = "&amp;D1003&amp;", cot_prc_min = "&amp;E1003&amp;", cot_prc_max = "&amp;F1003&amp;", cot_prc_med = "&amp;G1003&amp;", cot_prc_mediana = "&amp;H1003&amp;" WHERE cot_id = "&amp;A1003&amp;";"</f>
        <v>UPDATE COTACAO SET cot_id = 1002, cot_blt_id = 63, cot_pap_id = 10, cot_prc_comum = 72, cot_prc_min = 60, cot_prc_max = 60, cot_prc_med = 84, cot_prc_mediana = 72 WHERE cot_id = 1002;</v>
      </c>
    </row>
    <row r="1004" customFormat="false" ht="14.25" hidden="false" customHeight="false" outlineLevel="0" collapsed="false">
      <c r="A1004" s="0" t="n">
        <v>1003</v>
      </c>
      <c r="B1004" s="0" t="n">
        <f aca="false">IF('Boletins Nuppa Site'!A1004&lt;&gt;0,'Boletins Nuppa Site'!A1004,"NULL")</f>
        <v>63</v>
      </c>
      <c r="C1004" s="0" t="n">
        <v>11</v>
      </c>
      <c r="D1004" s="30" t="n">
        <f aca="false">IF('Boletins Nuppa Site'!G1004&lt;&gt;0,'Boletins Nuppa Site'!G1004,"NULL")</f>
        <v>30</v>
      </c>
      <c r="E1004" s="30" t="n">
        <f aca="false">IF('Boletins Nuppa Site'!H1004&lt;&gt;0,'Boletins Nuppa Site'!H1004,"NULL")</f>
        <v>24</v>
      </c>
      <c r="F1004" s="30" t="n">
        <f aca="false">IF('Boletins Nuppa Site'!I1004&lt;&gt;0,'Boletins Nuppa Site'!I1004,"NULL")</f>
        <v>18</v>
      </c>
      <c r="G1004" s="30" t="n">
        <f aca="false">IF('Boletins Nuppa Site'!J1004&lt;&gt;0,'Boletins Nuppa Site'!J1004,"NULL")</f>
        <v>24</v>
      </c>
      <c r="H1004" s="30" t="n">
        <f aca="false">IF('Boletins Nuppa Site'!K1004&lt;&gt;0,'Boletins Nuppa Site'!K1004,"NULL")</f>
        <v>22</v>
      </c>
      <c r="I1004" s="0" t="str">
        <f aca="false">"INSERT INTO COTACAO (cot_id, cot_blt_id, cot_pap_id, cot_prc_comum, cot_prc_min, cot_prc_max, cot_prc_med, cot_prc_mediana) VALUES ("&amp;A1004&amp;", "&amp;B1004&amp;", "&amp;C1004&amp;", "&amp;D1004&amp;", "&amp;E1004&amp;", "&amp;F1004&amp;", "&amp;G1004&amp;", "&amp;H1004&amp;");"</f>
        <v>INSERT INTO COTACAO (cot_id, cot_blt_id, cot_pap_id, cot_prc_comum, cot_prc_min, cot_prc_max, cot_prc_med, cot_prc_mediana) VALUES (1003, 63, 11, 30, 24, 18, 24, 22);</v>
      </c>
      <c r="J1004" s="0" t="str">
        <f aca="false">"UPDATE COTACAO SET cot_id = "&amp;A1004&amp;", cot_blt_id = "&amp;B1004&amp;", cot_pap_id = "&amp;C1004&amp;", cot_prc_comum = "&amp;D1004&amp;", cot_prc_min = "&amp;E1004&amp;", cot_prc_max = "&amp;F1004&amp;", cot_prc_med = "&amp;G1004&amp;", cot_prc_mediana = "&amp;H1004&amp;" WHERE cot_id = "&amp;A1004&amp;";"</f>
        <v>UPDATE COTACAO SET cot_id = 1003, cot_blt_id = 63, cot_pap_id = 11, cot_prc_comum = 30, cot_prc_min = 24, cot_prc_max = 18, cot_prc_med = 24, cot_prc_mediana = 22 WHERE cot_id = 1003;</v>
      </c>
    </row>
    <row r="1005" customFormat="false" ht="14.25" hidden="false" customHeight="false" outlineLevel="0" collapsed="false">
      <c r="A1005" s="0" t="n">
        <v>1004</v>
      </c>
      <c r="B1005" s="0" t="n">
        <f aca="false">IF('Boletins Nuppa Site'!A1005&lt;&gt;0,'Boletins Nuppa Site'!A1005,"NULL")</f>
        <v>63</v>
      </c>
      <c r="C1005" s="0" t="n">
        <v>12</v>
      </c>
      <c r="D1005" s="30" t="n">
        <f aca="false">IF('Boletins Nuppa Site'!G1005&lt;&gt;0,'Boletins Nuppa Site'!G1005,"NULL")</f>
        <v>60</v>
      </c>
      <c r="E1005" s="30" t="n">
        <f aca="false">IF('Boletins Nuppa Site'!H1005&lt;&gt;0,'Boletins Nuppa Site'!H1005,"NULL")</f>
        <v>60</v>
      </c>
      <c r="F1005" s="30" t="n">
        <f aca="false">IF('Boletins Nuppa Site'!I1005&lt;&gt;0,'Boletins Nuppa Site'!I1005,"NULL")</f>
        <v>60</v>
      </c>
      <c r="G1005" s="30" t="n">
        <f aca="false">IF('Boletins Nuppa Site'!J1005&lt;&gt;0,'Boletins Nuppa Site'!J1005,"NULL")</f>
        <v>72</v>
      </c>
      <c r="H1005" s="30" t="n">
        <f aca="false">IF('Boletins Nuppa Site'!K1005&lt;&gt;0,'Boletins Nuppa Site'!K1005,"NULL")</f>
        <v>66</v>
      </c>
      <c r="I1005" s="0" t="str">
        <f aca="false">"INSERT INTO COTACAO (cot_id, cot_blt_id, cot_pap_id, cot_prc_comum, cot_prc_min, cot_prc_max, cot_prc_med, cot_prc_mediana) VALUES ("&amp;A1005&amp;", "&amp;B1005&amp;", "&amp;C1005&amp;", "&amp;D1005&amp;", "&amp;E1005&amp;", "&amp;F1005&amp;", "&amp;G1005&amp;", "&amp;H1005&amp;");"</f>
        <v>INSERT INTO COTACAO (cot_id, cot_blt_id, cot_pap_id, cot_prc_comum, cot_prc_min, cot_prc_max, cot_prc_med, cot_prc_mediana) VALUES (1004, 63, 12, 60, 60, 60, 72, 66);</v>
      </c>
      <c r="J1005" s="0" t="str">
        <f aca="false">"UPDATE COTACAO SET cot_id = "&amp;A1005&amp;", cot_blt_id = "&amp;B1005&amp;", cot_pap_id = "&amp;C1005&amp;", cot_prc_comum = "&amp;D1005&amp;", cot_prc_min = "&amp;E1005&amp;", cot_prc_max = "&amp;F1005&amp;", cot_prc_med = "&amp;G1005&amp;", cot_prc_mediana = "&amp;H1005&amp;" WHERE cot_id = "&amp;A1005&amp;";"</f>
        <v>UPDATE COTACAO SET cot_id = 1004, cot_blt_id = 63, cot_pap_id = 12, cot_prc_comum = 60, cot_prc_min = 60, cot_prc_max = 60, cot_prc_med = 72, cot_prc_mediana = 66 WHERE cot_id = 1004;</v>
      </c>
    </row>
    <row r="1006" customFormat="false" ht="14.25" hidden="false" customHeight="false" outlineLevel="0" collapsed="false">
      <c r="A1006" s="0" t="n">
        <v>1005</v>
      </c>
      <c r="B1006" s="0" t="n">
        <f aca="false">IF('Boletins Nuppa Site'!A1006&lt;&gt;0,'Boletins Nuppa Site'!A1006,"NULL")</f>
        <v>63</v>
      </c>
      <c r="C1006" s="0" t="n">
        <v>13</v>
      </c>
      <c r="D1006" s="30" t="n">
        <f aca="false">IF('Boletins Nuppa Site'!G1006&lt;&gt;0,'Boletins Nuppa Site'!G1006,"NULL")</f>
        <v>60</v>
      </c>
      <c r="E1006" s="30" t="n">
        <f aca="false">IF('Boletins Nuppa Site'!H1006&lt;&gt;0,'Boletins Nuppa Site'!H1006,"NULL")</f>
        <v>60</v>
      </c>
      <c r="F1006" s="30" t="n">
        <f aca="false">IF('Boletins Nuppa Site'!I1006&lt;&gt;0,'Boletins Nuppa Site'!I1006,"NULL")</f>
        <v>48</v>
      </c>
      <c r="G1006" s="30" t="n">
        <f aca="false">IF('Boletins Nuppa Site'!J1006&lt;&gt;0,'Boletins Nuppa Site'!J1006,"NULL")</f>
        <v>60</v>
      </c>
      <c r="H1006" s="24" t="n">
        <f aca="false">IF('Boletins Nuppa Site'!K1006&lt;&gt;0,'Boletins Nuppa Site'!K1006,"NULL")</f>
        <v>55.2</v>
      </c>
      <c r="I1006" s="0" t="str">
        <f aca="false">"INSERT INTO COTACAO (cot_id, cot_blt_id, cot_pap_id, cot_prc_comum, cot_prc_min, cot_prc_max, cot_prc_med, cot_prc_mediana) VALUES ("&amp;A1006&amp;", "&amp;B1006&amp;", "&amp;C1006&amp;", "&amp;D1006&amp;", "&amp;E1006&amp;", "&amp;F1006&amp;", "&amp;G1006&amp;", "&amp;H1006&amp;");"</f>
        <v>INSERT INTO COTACAO (cot_id, cot_blt_id, cot_pap_id, cot_prc_comum, cot_prc_min, cot_prc_max, cot_prc_med, cot_prc_mediana) VALUES (1005, 63, 13, 60, 60, 48, 60, 55,2);</v>
      </c>
      <c r="J1006" s="0" t="str">
        <f aca="false">"UPDATE COTACAO SET cot_id = "&amp;A1006&amp;", cot_blt_id = "&amp;B1006&amp;", cot_pap_id = "&amp;C1006&amp;", cot_prc_comum = "&amp;D1006&amp;", cot_prc_min = "&amp;E1006&amp;", cot_prc_max = "&amp;F1006&amp;", cot_prc_med = "&amp;G1006&amp;", cot_prc_mediana = "&amp;H1006&amp;" WHERE cot_id = "&amp;A1006&amp;";"</f>
        <v>UPDATE COTACAO SET cot_id = 1005, cot_blt_id = 63, cot_pap_id = 13, cot_prc_comum = 60, cot_prc_min = 60, cot_prc_max = 48, cot_prc_med = 60, cot_prc_mediana = 55,2 WHERE cot_id = 1005;</v>
      </c>
    </row>
    <row r="1007" customFormat="false" ht="14.25" hidden="false" customHeight="false" outlineLevel="0" collapsed="false">
      <c r="A1007" s="0" t="n">
        <v>1006</v>
      </c>
      <c r="B1007" s="0" t="n">
        <f aca="false">IF('Boletins Nuppa Site'!A1007&lt;&gt;0,'Boletins Nuppa Site'!A1007,"NULL")</f>
        <v>63</v>
      </c>
      <c r="C1007" s="0" t="n">
        <v>14</v>
      </c>
      <c r="D1007" s="30" t="n">
        <f aca="false">IF('Boletins Nuppa Site'!G1007&lt;&gt;0,'Boletins Nuppa Site'!G1007,"NULL")</f>
        <v>60</v>
      </c>
      <c r="E1007" s="24" t="n">
        <f aca="false">IF('Boletins Nuppa Site'!H1007&lt;&gt;0,'Boletins Nuppa Site'!H1007,"NULL")</f>
        <v>48</v>
      </c>
      <c r="F1007" s="30" t="n">
        <f aca="false">IF('Boletins Nuppa Site'!I1007&lt;&gt;0,'Boletins Nuppa Site'!I1007,"NULL")</f>
        <v>48</v>
      </c>
      <c r="G1007" s="30" t="n">
        <f aca="false">IF('Boletins Nuppa Site'!J1007&lt;&gt;0,'Boletins Nuppa Site'!J1007,"NULL")</f>
        <v>78</v>
      </c>
      <c r="H1007" s="30" t="n">
        <f aca="false">IF('Boletins Nuppa Site'!K1007&lt;&gt;0,'Boletins Nuppa Site'!K1007,"NULL")</f>
        <v>59</v>
      </c>
      <c r="I1007" s="0" t="str">
        <f aca="false">"INSERT INTO COTACAO (cot_id, cot_blt_id, cot_pap_id, cot_prc_comum, cot_prc_min, cot_prc_max, cot_prc_med, cot_prc_mediana) VALUES ("&amp;A1007&amp;", "&amp;B1007&amp;", "&amp;C1007&amp;", "&amp;D1007&amp;", "&amp;E1007&amp;", "&amp;F1007&amp;", "&amp;G1007&amp;", "&amp;H1007&amp;");"</f>
        <v>INSERT INTO COTACAO (cot_id, cot_blt_id, cot_pap_id, cot_prc_comum, cot_prc_min, cot_prc_max, cot_prc_med, cot_prc_mediana) VALUES (1006, 63, 14, 60, 48, 48, 78, 59);</v>
      </c>
      <c r="J1007" s="0" t="str">
        <f aca="false">"UPDATE COTACAO SET cot_id = "&amp;A1007&amp;", cot_blt_id = "&amp;B1007&amp;", cot_pap_id = "&amp;C1007&amp;", cot_prc_comum = "&amp;D1007&amp;", cot_prc_min = "&amp;E1007&amp;", cot_prc_max = "&amp;F1007&amp;", cot_prc_med = "&amp;G1007&amp;", cot_prc_mediana = "&amp;H1007&amp;" WHERE cot_id = "&amp;A1007&amp;";"</f>
        <v>UPDATE COTACAO SET cot_id = 1006, cot_blt_id = 63, cot_pap_id = 14, cot_prc_comum = 60, cot_prc_min = 48, cot_prc_max = 48, cot_prc_med = 78, cot_prc_mediana = 59 WHERE cot_id = 1006;</v>
      </c>
    </row>
    <row r="1008" customFormat="false" ht="14.25" hidden="false" customHeight="false" outlineLevel="0" collapsed="false">
      <c r="A1008" s="0" t="n">
        <v>1007</v>
      </c>
      <c r="B1008" s="0" t="n">
        <f aca="false">IF('Boletins Nuppa Site'!A1008&lt;&gt;0,'Boletins Nuppa Site'!A1008,"NULL")</f>
        <v>63</v>
      </c>
      <c r="C1008" s="0" t="n">
        <v>15</v>
      </c>
      <c r="D1008" s="30" t="n">
        <f aca="false">IF('Boletins Nuppa Site'!G1008&lt;&gt;0,'Boletins Nuppa Site'!G1008,"NULL")</f>
        <v>48</v>
      </c>
      <c r="E1008" s="30" t="n">
        <f aca="false">IF('Boletins Nuppa Site'!H1008&lt;&gt;0,'Boletins Nuppa Site'!H1008,"NULL")</f>
        <v>48</v>
      </c>
      <c r="F1008" s="30" t="n">
        <f aca="false">IF('Boletins Nuppa Site'!I1008&lt;&gt;0,'Boletins Nuppa Site'!I1008,"NULL")</f>
        <v>36</v>
      </c>
      <c r="G1008" s="30" t="n">
        <f aca="false">IF('Boletins Nuppa Site'!J1008&lt;&gt;0,'Boletins Nuppa Site'!J1008,"NULL")</f>
        <v>48</v>
      </c>
      <c r="H1008" s="24" t="n">
        <f aca="false">IF('Boletins Nuppa Site'!K1008&lt;&gt;0,'Boletins Nuppa Site'!K1008,"NULL")</f>
        <v>41.6</v>
      </c>
      <c r="I1008" s="0" t="str">
        <f aca="false">"INSERT INTO COTACAO (cot_id, cot_blt_id, cot_pap_id, cot_prc_comum, cot_prc_min, cot_prc_max, cot_prc_med, cot_prc_mediana) VALUES ("&amp;A1008&amp;", "&amp;B1008&amp;", "&amp;C1008&amp;", "&amp;D1008&amp;", "&amp;E1008&amp;", "&amp;F1008&amp;", "&amp;G1008&amp;", "&amp;H1008&amp;");"</f>
        <v>INSERT INTO COTACAO (cot_id, cot_blt_id, cot_pap_id, cot_prc_comum, cot_prc_min, cot_prc_max, cot_prc_med, cot_prc_mediana) VALUES (1007, 63, 15, 48, 48, 36, 48, 41,6);</v>
      </c>
      <c r="J1008" s="0" t="str">
        <f aca="false">"UPDATE COTACAO SET cot_id = "&amp;A1008&amp;", cot_blt_id = "&amp;B1008&amp;", cot_pap_id = "&amp;C1008&amp;", cot_prc_comum = "&amp;D1008&amp;", cot_prc_min = "&amp;E1008&amp;", cot_prc_max = "&amp;F1008&amp;", cot_prc_med = "&amp;G1008&amp;", cot_prc_mediana = "&amp;H1008&amp;" WHERE cot_id = "&amp;A1008&amp;";"</f>
        <v>UPDATE COTACAO SET cot_id = 1007, cot_blt_id = 63, cot_pap_id = 15, cot_prc_comum = 48, cot_prc_min = 48, cot_prc_max = 36, cot_prc_med = 48, cot_prc_mediana = 41,6 WHERE cot_id = 1007;</v>
      </c>
    </row>
    <row r="1009" customFormat="false" ht="14.25" hidden="false" customHeight="false" outlineLevel="0" collapsed="false">
      <c r="A1009" s="0" t="n">
        <v>1008</v>
      </c>
      <c r="B1009" s="0" t="n">
        <f aca="false">IF('Boletins Nuppa Site'!A1009&lt;&gt;0,'Boletins Nuppa Site'!A1009,"NULL")</f>
        <v>63</v>
      </c>
      <c r="C1009" s="0" t="n">
        <v>16</v>
      </c>
      <c r="D1009" s="30" t="n">
        <f aca="false">IF('Boletins Nuppa Site'!G1009&lt;&gt;0,'Boletins Nuppa Site'!G1009,"NULL")</f>
        <v>54</v>
      </c>
      <c r="E1009" s="30" t="str">
        <f aca="false">IF('Boletins Nuppa Site'!H1009&lt;&gt;0,'Boletins Nuppa Site'!H1009,"NULL")</f>
        <v>NULL</v>
      </c>
      <c r="F1009" s="30" t="n">
        <f aca="false">IF('Boletins Nuppa Site'!I1009&lt;&gt;0,'Boletins Nuppa Site'!I1009,"NULL")</f>
        <v>48</v>
      </c>
      <c r="G1009" s="30" t="n">
        <f aca="false">IF('Boletins Nuppa Site'!J1009&lt;&gt;0,'Boletins Nuppa Site'!J1009,"NULL")</f>
        <v>54</v>
      </c>
      <c r="H1009" s="24" t="n">
        <f aca="false">IF('Boletins Nuppa Site'!K1009&lt;&gt;0,'Boletins Nuppa Site'!K1009,"NULL")</f>
        <v>50.4</v>
      </c>
      <c r="I1009" s="0" t="str">
        <f aca="false">"INSERT INTO COTACAO (cot_id, cot_blt_id, cot_pap_id, cot_prc_comum, cot_prc_min, cot_prc_max, cot_prc_med, cot_prc_mediana) VALUES ("&amp;A1009&amp;", "&amp;B1009&amp;", "&amp;C1009&amp;", "&amp;D1009&amp;", "&amp;E1009&amp;", "&amp;F1009&amp;", "&amp;G1009&amp;", "&amp;H1009&amp;");"</f>
        <v>INSERT INTO COTACAO (cot_id, cot_blt_id, cot_pap_id, cot_prc_comum, cot_prc_min, cot_prc_max, cot_prc_med, cot_prc_mediana) VALUES (1008, 63, 16, 54, NULL, 48, 54, 50,4);</v>
      </c>
      <c r="J1009" s="0" t="str">
        <f aca="false">"UPDATE COTACAO SET cot_id = "&amp;A1009&amp;", cot_blt_id = "&amp;B1009&amp;", cot_pap_id = "&amp;C1009&amp;", cot_prc_comum = "&amp;D1009&amp;", cot_prc_min = "&amp;E1009&amp;", cot_prc_max = "&amp;F1009&amp;", cot_prc_med = "&amp;G1009&amp;", cot_prc_mediana = "&amp;H1009&amp;" WHERE cot_id = "&amp;A1009&amp;";"</f>
        <v>UPDATE COTACAO SET cot_id = 1008, cot_blt_id = 63, cot_pap_id = 16, cot_prc_comum = 54, cot_prc_min = NULL, cot_prc_max = 48, cot_prc_med = 54, cot_prc_mediana = 50,4 WHERE cot_id = 1008;</v>
      </c>
    </row>
    <row r="1010" customFormat="false" ht="14.25" hidden="false" customHeight="false" outlineLevel="0" collapsed="false">
      <c r="A1010" s="0" t="n">
        <v>1009</v>
      </c>
      <c r="B1010" s="0" t="n">
        <f aca="false">IF('Boletins Nuppa Site'!A1010&lt;&gt;0,'Boletins Nuppa Site'!A1010,"NULL")</f>
        <v>63</v>
      </c>
      <c r="C1010" s="0" t="n">
        <v>17</v>
      </c>
      <c r="D1010" s="30" t="n">
        <f aca="false">IF('Boletins Nuppa Site'!G1010&lt;&gt;0,'Boletins Nuppa Site'!G1010,"NULL")</f>
        <v>5</v>
      </c>
      <c r="E1010" s="30" t="n">
        <f aca="false">IF('Boletins Nuppa Site'!H1010&lt;&gt;0,'Boletins Nuppa Site'!H1010,"NULL")</f>
        <v>4</v>
      </c>
      <c r="F1010" s="30" t="n">
        <f aca="false">IF('Boletins Nuppa Site'!I1010&lt;&gt;0,'Boletins Nuppa Site'!I1010,"NULL")</f>
        <v>5</v>
      </c>
      <c r="G1010" s="24" t="n">
        <f aca="false">IF('Boletins Nuppa Site'!J1010&lt;&gt;0,'Boletins Nuppa Site'!J1010,"NULL")</f>
        <v>4.8</v>
      </c>
      <c r="H1010" s="30" t="n">
        <f aca="false">IF('Boletins Nuppa Site'!K1010&lt;&gt;0,'Boletins Nuppa Site'!K1010,"NULL")</f>
        <v>5</v>
      </c>
      <c r="I1010" s="0" t="str">
        <f aca="false">"INSERT INTO COTACAO (cot_id, cot_blt_id, cot_pap_id, cot_prc_comum, cot_prc_min, cot_prc_max, cot_prc_med, cot_prc_mediana) VALUES ("&amp;A1010&amp;", "&amp;B1010&amp;", "&amp;C1010&amp;", "&amp;D1010&amp;", "&amp;E1010&amp;", "&amp;F1010&amp;", "&amp;G1010&amp;", "&amp;H1010&amp;");"</f>
        <v>INSERT INTO COTACAO (cot_id, cot_blt_id, cot_pap_id, cot_prc_comum, cot_prc_min, cot_prc_max, cot_prc_med, cot_prc_mediana) VALUES (1009, 63, 17, 5, 4, 5, 4,8, 5);</v>
      </c>
      <c r="J1010" s="0" t="str">
        <f aca="false">"UPDATE COTACAO SET cot_id = "&amp;A1010&amp;", cot_blt_id = "&amp;B1010&amp;", cot_pap_id = "&amp;C1010&amp;", cot_prc_comum = "&amp;D1010&amp;", cot_prc_min = "&amp;E1010&amp;", cot_prc_max = "&amp;F1010&amp;", cot_prc_med = "&amp;G1010&amp;", cot_prc_mediana = "&amp;H1010&amp;" WHERE cot_id = "&amp;A1010&amp;";"</f>
        <v>UPDATE COTACAO SET cot_id = 1009, cot_blt_id = 63, cot_pap_id = 17, cot_prc_comum = 5, cot_prc_min = 4, cot_prc_max = 5, cot_prc_med = 4,8, cot_prc_mediana = 5 WHERE cot_id = 1009;</v>
      </c>
    </row>
    <row r="1011" customFormat="false" ht="14.25" hidden="false" customHeight="false" outlineLevel="0" collapsed="false">
      <c r="A1011" s="0" t="n">
        <v>1010</v>
      </c>
      <c r="B1011" s="0" t="n">
        <f aca="false">IF('Boletins Nuppa Site'!A1011&lt;&gt;0,'Boletins Nuppa Site'!A1011,"NULL")</f>
        <v>63</v>
      </c>
      <c r="C1011" s="0" t="n">
        <v>18</v>
      </c>
      <c r="D1011" s="30" t="n">
        <f aca="false">IF('Boletins Nuppa Site'!G1011&lt;&gt;0,'Boletins Nuppa Site'!G1011,"NULL")</f>
        <v>12</v>
      </c>
      <c r="E1011" s="30" t="n">
        <f aca="false">IF('Boletins Nuppa Site'!H1011&lt;&gt;0,'Boletins Nuppa Site'!H1011,"NULL")</f>
        <v>10</v>
      </c>
      <c r="F1011" s="30" t="n">
        <f aca="false">IF('Boletins Nuppa Site'!I1011&lt;&gt;0,'Boletins Nuppa Site'!I1011,"NULL")</f>
        <v>12</v>
      </c>
      <c r="G1011" s="24" t="n">
        <f aca="false">IF('Boletins Nuppa Site'!J1011&lt;&gt;0,'Boletins Nuppa Site'!J1011,"NULL")</f>
        <v>11.2</v>
      </c>
      <c r="H1011" s="30" t="n">
        <f aca="false">IF('Boletins Nuppa Site'!K1011&lt;&gt;0,'Boletins Nuppa Site'!K1011,"NULL")</f>
        <v>12</v>
      </c>
      <c r="I1011" s="0" t="str">
        <f aca="false">"INSERT INTO COTACAO (cot_id, cot_blt_id, cot_pap_id, cot_prc_comum, cot_prc_min, cot_prc_max, cot_prc_med, cot_prc_mediana) VALUES ("&amp;A1011&amp;", "&amp;B1011&amp;", "&amp;C1011&amp;", "&amp;D1011&amp;", "&amp;E1011&amp;", "&amp;F1011&amp;", "&amp;G1011&amp;", "&amp;H1011&amp;");"</f>
        <v>INSERT INTO COTACAO (cot_id, cot_blt_id, cot_pap_id, cot_prc_comum, cot_prc_min, cot_prc_max, cot_prc_med, cot_prc_mediana) VALUES (1010, 63, 18, 12, 10, 12, 11,2, 12);</v>
      </c>
      <c r="J1011" s="0" t="str">
        <f aca="false">"UPDATE COTACAO SET cot_id = "&amp;A1011&amp;", cot_blt_id = "&amp;B1011&amp;", cot_pap_id = "&amp;C1011&amp;", cot_prc_comum = "&amp;D1011&amp;", cot_prc_min = "&amp;E1011&amp;", cot_prc_max = "&amp;F1011&amp;", cot_prc_med = "&amp;G1011&amp;", cot_prc_mediana = "&amp;H1011&amp;" WHERE cot_id = "&amp;A1011&amp;";"</f>
        <v>UPDATE COTACAO SET cot_id = 1010, cot_blt_id = 63, cot_pap_id = 18, cot_prc_comum = 12, cot_prc_min = 10, cot_prc_max = 12, cot_prc_med = 11,2, cot_prc_mediana = 12 WHERE cot_id = 1010;</v>
      </c>
    </row>
    <row r="1012" customFormat="false" ht="14.25" hidden="false" customHeight="false" outlineLevel="0" collapsed="false">
      <c r="A1012" s="0" t="n">
        <v>1011</v>
      </c>
      <c r="B1012" s="0" t="n">
        <f aca="false">IF('Boletins Nuppa Site'!A1012&lt;&gt;0,'Boletins Nuppa Site'!A1012,"NULL")</f>
        <v>63</v>
      </c>
      <c r="C1012" s="0" t="n">
        <v>19</v>
      </c>
      <c r="D1012" s="30" t="n">
        <f aca="false">IF('Boletins Nuppa Site'!G1012&lt;&gt;0,'Boletins Nuppa Site'!G1012,"NULL")</f>
        <v>20</v>
      </c>
      <c r="E1012" s="30" t="n">
        <f aca="false">IF('Boletins Nuppa Site'!H1012&lt;&gt;0,'Boletins Nuppa Site'!H1012,"NULL")</f>
        <v>20</v>
      </c>
      <c r="F1012" s="30" t="n">
        <f aca="false">IF('Boletins Nuppa Site'!I1012&lt;&gt;0,'Boletins Nuppa Site'!I1012,"NULL")</f>
        <v>30</v>
      </c>
      <c r="G1012" s="30" t="n">
        <f aca="false">IF('Boletins Nuppa Site'!J1012&lt;&gt;0,'Boletins Nuppa Site'!J1012,"NULL")</f>
        <v>24</v>
      </c>
      <c r="H1012" s="30" t="n">
        <f aca="false">IF('Boletins Nuppa Site'!K1012&lt;&gt;0,'Boletins Nuppa Site'!K1012,"NULL")</f>
        <v>20</v>
      </c>
      <c r="I1012" s="0" t="str">
        <f aca="false">"INSERT INTO COTACAO (cot_id, cot_blt_id, cot_pap_id, cot_prc_comum, cot_prc_min, cot_prc_max, cot_prc_med, cot_prc_mediana) VALUES ("&amp;A1012&amp;", "&amp;B1012&amp;", "&amp;C1012&amp;", "&amp;D1012&amp;", "&amp;E1012&amp;", "&amp;F1012&amp;", "&amp;G1012&amp;", "&amp;H1012&amp;");"</f>
        <v>INSERT INTO COTACAO (cot_id, cot_blt_id, cot_pap_id, cot_prc_comum, cot_prc_min, cot_prc_max, cot_prc_med, cot_prc_mediana) VALUES (1011, 63, 19, 20, 20, 30, 24, 20);</v>
      </c>
      <c r="J1012" s="0" t="str">
        <f aca="false">"UPDATE COTACAO SET cot_id = "&amp;A1012&amp;", cot_blt_id = "&amp;B1012&amp;", cot_pap_id = "&amp;C1012&amp;", cot_prc_comum = "&amp;D1012&amp;", cot_prc_min = "&amp;E1012&amp;", cot_prc_max = "&amp;F1012&amp;", cot_prc_med = "&amp;G1012&amp;", cot_prc_mediana = "&amp;H1012&amp;" WHERE cot_id = "&amp;A1012&amp;";"</f>
        <v>UPDATE COTACAO SET cot_id = 1011, cot_blt_id = 63, cot_pap_id = 19, cot_prc_comum = 20, cot_prc_min = 20, cot_prc_max = 30, cot_prc_med = 24, cot_prc_mediana = 20 WHERE cot_id = 1011;</v>
      </c>
    </row>
    <row r="1013" customFormat="false" ht="14.25" hidden="false" customHeight="false" outlineLevel="0" collapsed="false">
      <c r="A1013" s="0" t="n">
        <v>1012</v>
      </c>
      <c r="B1013" s="0" t="n">
        <f aca="false">IF('Boletins Nuppa Site'!A1013&lt;&gt;0,'Boletins Nuppa Site'!A1013,"NULL")</f>
        <v>63</v>
      </c>
      <c r="C1013" s="0" t="n">
        <v>20</v>
      </c>
      <c r="D1013" s="0" t="str">
        <f aca="false">IF('Boletins Nuppa Site'!G1013&lt;&gt;0,'Boletins Nuppa Site'!G1013,"NULL")</f>
        <v>NULL</v>
      </c>
      <c r="E1013" s="30" t="n">
        <f aca="false">IF('Boletins Nuppa Site'!H1013&lt;&gt;0,'Boletins Nuppa Site'!H1013,"NULL")</f>
        <v>80</v>
      </c>
      <c r="F1013" s="30" t="n">
        <f aca="false">IF('Boletins Nuppa Site'!I1013&lt;&gt;0,'Boletins Nuppa Site'!I1013,"NULL")</f>
        <v>80</v>
      </c>
      <c r="G1013" s="30" t="n">
        <f aca="false">IF('Boletins Nuppa Site'!J1013&lt;&gt;0,'Boletins Nuppa Site'!J1013,"NULL")</f>
        <v>80</v>
      </c>
      <c r="H1013" s="30" t="n">
        <f aca="false">IF('Boletins Nuppa Site'!K1013&lt;&gt;0,'Boletins Nuppa Site'!K1013,"NULL")</f>
        <v>80</v>
      </c>
      <c r="I1013" s="0" t="str">
        <f aca="false">"INSERT INTO COTACAO (cot_id, cot_blt_id, cot_pap_id, cot_prc_comum, cot_prc_min, cot_prc_max, cot_prc_med, cot_prc_mediana) VALUES ("&amp;A1013&amp;", "&amp;B1013&amp;", "&amp;C1013&amp;", "&amp;D1013&amp;", "&amp;E1013&amp;", "&amp;F1013&amp;", "&amp;G1013&amp;", "&amp;H1013&amp;");"</f>
        <v>INSERT INTO COTACAO (cot_id, cot_blt_id, cot_pap_id, cot_prc_comum, cot_prc_min, cot_prc_max, cot_prc_med, cot_prc_mediana) VALUES (1012, 63, 20, NULL, 80, 80, 80, 80);</v>
      </c>
      <c r="J1013" s="0" t="str">
        <f aca="false">"UPDATE COTACAO SET cot_id = "&amp;A1013&amp;", cot_blt_id = "&amp;B1013&amp;", cot_pap_id = "&amp;C1013&amp;", cot_prc_comum = "&amp;D1013&amp;", cot_prc_min = "&amp;E1013&amp;", cot_prc_max = "&amp;F1013&amp;", cot_prc_med = "&amp;G1013&amp;", cot_prc_mediana = "&amp;H1013&amp;" WHERE cot_id = "&amp;A1013&amp;";"</f>
        <v>UPDATE COTACAO SET cot_id = 1012, cot_blt_id = 63, cot_pap_id = 20, cot_prc_comum = NULL, cot_prc_min = 80, cot_prc_max = 80, cot_prc_med = 80, cot_prc_mediana = 80 WHERE cot_id = 1012;</v>
      </c>
    </row>
    <row r="1014" customFormat="false" ht="14.25" hidden="false" customHeight="false" outlineLevel="0" collapsed="false">
      <c r="A1014" s="0" t="n">
        <v>1013</v>
      </c>
      <c r="B1014" s="0" t="n">
        <f aca="false">IF('Boletins Nuppa Site'!A1014&lt;&gt;0,'Boletins Nuppa Site'!A1014,"NULL")</f>
        <v>63</v>
      </c>
      <c r="C1014" s="0" t="n">
        <v>21</v>
      </c>
      <c r="D1014" s="30" t="n">
        <f aca="false">IF('Boletins Nuppa Site'!G1014&lt;&gt;0,'Boletins Nuppa Site'!G1014,"NULL")</f>
        <v>60</v>
      </c>
      <c r="E1014" s="30" t="n">
        <f aca="false">IF('Boletins Nuppa Site'!H1014&lt;&gt;0,'Boletins Nuppa Site'!H1014,"NULL")</f>
        <v>40</v>
      </c>
      <c r="F1014" s="30" t="n">
        <f aca="false">IF('Boletins Nuppa Site'!I1014&lt;&gt;0,'Boletins Nuppa Site'!I1014,"NULL")</f>
        <v>75</v>
      </c>
      <c r="G1014" s="0" t="str">
        <f aca="false">IF('Boletins Nuppa Site'!J1014&lt;&gt;0,'Boletins Nuppa Site'!J1014,"NULL")</f>
        <v>58.33</v>
      </c>
      <c r="H1014" s="30" t="n">
        <f aca="false">IF('Boletins Nuppa Site'!K1014&lt;&gt;0,'Boletins Nuppa Site'!K1014,"NULL")</f>
        <v>60</v>
      </c>
      <c r="I1014" s="0" t="str">
        <f aca="false">"INSERT INTO COTACAO (cot_id, cot_blt_id, cot_pap_id, cot_prc_comum, cot_prc_min, cot_prc_max, cot_prc_med, cot_prc_mediana) VALUES ("&amp;A1014&amp;", "&amp;B1014&amp;", "&amp;C1014&amp;", "&amp;D1014&amp;", "&amp;E1014&amp;", "&amp;F1014&amp;", "&amp;G1014&amp;", "&amp;H1014&amp;");"</f>
        <v>INSERT INTO COTACAO (cot_id, cot_blt_id, cot_pap_id, cot_prc_comum, cot_prc_min, cot_prc_max, cot_prc_med, cot_prc_mediana) VALUES (1013, 63, 21, 60, 40, 75, 58.33, 60);</v>
      </c>
      <c r="J1014" s="0" t="str">
        <f aca="false">"UPDATE COTACAO SET cot_id = "&amp;A1014&amp;", cot_blt_id = "&amp;B1014&amp;", cot_pap_id = "&amp;C1014&amp;", cot_prc_comum = "&amp;D1014&amp;", cot_prc_min = "&amp;E1014&amp;", cot_prc_max = "&amp;F1014&amp;", cot_prc_med = "&amp;G1014&amp;", cot_prc_mediana = "&amp;H1014&amp;" WHERE cot_id = "&amp;A1014&amp;";"</f>
        <v>UPDATE COTACAO SET cot_id = 1013, cot_blt_id = 63, cot_pap_id = 21, cot_prc_comum = 60, cot_prc_min = 40, cot_prc_max = 75, cot_prc_med = 58.33, cot_prc_mediana = 60 WHERE cot_id = 1013;</v>
      </c>
    </row>
    <row r="1015" customFormat="false" ht="14.25" hidden="false" customHeight="false" outlineLevel="0" collapsed="false">
      <c r="A1015" s="0" t="n">
        <v>1014</v>
      </c>
      <c r="B1015" s="0" t="n">
        <f aca="false">IF('Boletins Nuppa Site'!A1015&lt;&gt;0,'Boletins Nuppa Site'!A1015,"NULL")</f>
        <v>63</v>
      </c>
      <c r="C1015" s="0" t="n">
        <v>22</v>
      </c>
      <c r="D1015" s="30" t="n">
        <f aca="false">IF('Boletins Nuppa Site'!G1015&lt;&gt;0,'Boletins Nuppa Site'!G1015,"NULL")</f>
        <v>70</v>
      </c>
      <c r="E1015" s="30" t="n">
        <f aca="false">IF('Boletins Nuppa Site'!H1015&lt;&gt;0,'Boletins Nuppa Site'!H1015,"NULL")</f>
        <v>45</v>
      </c>
      <c r="F1015" s="30" t="n">
        <f aca="false">IF('Boletins Nuppa Site'!I1015&lt;&gt;0,'Boletins Nuppa Site'!I1015,"NULL")</f>
        <v>75</v>
      </c>
      <c r="G1015" s="0" t="str">
        <f aca="false">IF('Boletins Nuppa Site'!J1015&lt;&gt;0,'Boletins Nuppa Site'!J1015,"NULL")</f>
        <v>61.67</v>
      </c>
      <c r="H1015" s="30" t="n">
        <f aca="false">IF('Boletins Nuppa Site'!K1015&lt;&gt;0,'Boletins Nuppa Site'!K1015,"NULL")</f>
        <v>65</v>
      </c>
      <c r="I1015" s="0" t="str">
        <f aca="false">"INSERT INTO COTACAO (cot_id, cot_blt_id, cot_pap_id, cot_prc_comum, cot_prc_min, cot_prc_max, cot_prc_med, cot_prc_mediana) VALUES ("&amp;A1015&amp;", "&amp;B1015&amp;", "&amp;C1015&amp;", "&amp;D1015&amp;", "&amp;E1015&amp;", "&amp;F1015&amp;", "&amp;G1015&amp;", "&amp;H1015&amp;");"</f>
        <v>INSERT INTO COTACAO (cot_id, cot_blt_id, cot_pap_id, cot_prc_comum, cot_prc_min, cot_prc_max, cot_prc_med, cot_prc_mediana) VALUES (1014, 63, 22, 70, 45, 75, 61.67, 65);</v>
      </c>
      <c r="J1015" s="0" t="str">
        <f aca="false">"UPDATE COTACAO SET cot_id = "&amp;A1015&amp;", cot_blt_id = "&amp;B1015&amp;", cot_pap_id = "&amp;C1015&amp;", cot_prc_comum = "&amp;D1015&amp;", cot_prc_min = "&amp;E1015&amp;", cot_prc_max = "&amp;F1015&amp;", cot_prc_med = "&amp;G1015&amp;", cot_prc_mediana = "&amp;H1015&amp;" WHERE cot_id = "&amp;A1015&amp;";"</f>
        <v>UPDATE COTACAO SET cot_id = 1014, cot_blt_id = 63, cot_pap_id = 22, cot_prc_comum = 70, cot_prc_min = 45, cot_prc_max = 75, cot_prc_med = 61.67, cot_prc_mediana = 65 WHERE cot_id = 1014;</v>
      </c>
    </row>
    <row r="1016" customFormat="false" ht="14.25" hidden="false" customHeight="false" outlineLevel="0" collapsed="false">
      <c r="A1016" s="0" t="n">
        <v>1015</v>
      </c>
      <c r="B1016" s="0" t="n">
        <f aca="false">IF('Boletins Nuppa Site'!A1016&lt;&gt;0,'Boletins Nuppa Site'!A1016,"NULL")</f>
        <v>63</v>
      </c>
      <c r="C1016" s="0" t="n">
        <v>23</v>
      </c>
      <c r="D1016" s="30" t="n">
        <f aca="false">IF('Boletins Nuppa Site'!G1016&lt;&gt;0,'Boletins Nuppa Site'!G1016,"NULL")</f>
        <v>40</v>
      </c>
      <c r="E1016" s="30" t="n">
        <f aca="false">IF('Boletins Nuppa Site'!H1016&lt;&gt;0,'Boletins Nuppa Site'!H1016,"NULL")</f>
        <v>40</v>
      </c>
      <c r="F1016" s="30" t="n">
        <f aca="false">IF('Boletins Nuppa Site'!I1016&lt;&gt;0,'Boletins Nuppa Site'!I1016,"NULL")</f>
        <v>50</v>
      </c>
      <c r="G1016" s="0" t="str">
        <f aca="false">IF('Boletins Nuppa Site'!J1016&lt;&gt;0,'Boletins Nuppa Site'!J1016,"NULL")</f>
        <v>43.75</v>
      </c>
      <c r="H1016" s="0" t="str">
        <f aca="false">IF('Boletins Nuppa Site'!K1016&lt;&gt;0,'Boletins Nuppa Site'!K1016,"NULL")</f>
        <v>42.5</v>
      </c>
      <c r="I1016" s="0" t="str">
        <f aca="false">"INSERT INTO COTACAO (cot_id, cot_blt_id, cot_pap_id, cot_prc_comum, cot_prc_min, cot_prc_max, cot_prc_med, cot_prc_mediana) VALUES ("&amp;A1016&amp;", "&amp;B1016&amp;", "&amp;C1016&amp;", "&amp;D1016&amp;", "&amp;E1016&amp;", "&amp;F1016&amp;", "&amp;G1016&amp;", "&amp;H1016&amp;");"</f>
        <v>INSERT INTO COTACAO (cot_id, cot_blt_id, cot_pap_id, cot_prc_comum, cot_prc_min, cot_prc_max, cot_prc_med, cot_prc_mediana) VALUES (1015, 63, 23, 40, 40, 50, 43.75, 42.5);</v>
      </c>
      <c r="J1016" s="0" t="str">
        <f aca="false">"UPDATE COTACAO SET cot_id = "&amp;A1016&amp;", cot_blt_id = "&amp;B1016&amp;", cot_pap_id = "&amp;C1016&amp;", cot_prc_comum = "&amp;D1016&amp;", cot_prc_min = "&amp;E1016&amp;", cot_prc_max = "&amp;F1016&amp;", cot_prc_med = "&amp;G1016&amp;", cot_prc_mediana = "&amp;H1016&amp;" WHERE cot_id = "&amp;A1016&amp;";"</f>
        <v>UPDATE COTACAO SET cot_id = 1015, cot_blt_id = 63, cot_pap_id = 23, cot_prc_comum = 40, cot_prc_min = 40, cot_prc_max = 50, cot_prc_med = 43.75, cot_prc_mediana = 42.5 WHERE cot_id = 1015;</v>
      </c>
    </row>
    <row r="1017" customFormat="false" ht="14.25" hidden="false" customHeight="false" outlineLevel="0" collapsed="false">
      <c r="A1017" s="0" t="n">
        <v>1016</v>
      </c>
      <c r="B1017" s="0" t="n">
        <f aca="false">IF('Boletins Nuppa Site'!A1017&lt;&gt;0,'Boletins Nuppa Site'!A1017,"NULL")</f>
        <v>63</v>
      </c>
      <c r="C1017" s="0" t="n">
        <v>24</v>
      </c>
      <c r="D1017" s="0" t="str">
        <f aca="false">IF('Boletins Nuppa Site'!G1017&lt;&gt;0,'Boletins Nuppa Site'!G1017,"NULL")</f>
        <v>NULL</v>
      </c>
      <c r="E1017" s="30" t="n">
        <f aca="false">IF('Boletins Nuppa Site'!H1017&lt;&gt;0,'Boletins Nuppa Site'!H1017,"NULL")</f>
        <v>90</v>
      </c>
      <c r="F1017" s="30" t="n">
        <f aca="false">IF('Boletins Nuppa Site'!I1017&lt;&gt;0,'Boletins Nuppa Site'!I1017,"NULL")</f>
        <v>105</v>
      </c>
      <c r="G1017" s="0" t="str">
        <f aca="false">IF('Boletins Nuppa Site'!J1017&lt;&gt;0,'Boletins Nuppa Site'!J1017,"NULL")</f>
        <v>97.5</v>
      </c>
      <c r="H1017" s="0" t="str">
        <f aca="false">IF('Boletins Nuppa Site'!K1017&lt;&gt;0,'Boletins Nuppa Site'!K1017,"NULL")</f>
        <v>97.5</v>
      </c>
      <c r="I1017" s="0" t="str">
        <f aca="false">"INSERT INTO COTACAO (cot_id, cot_blt_id, cot_pap_id, cot_prc_comum, cot_prc_min, cot_prc_max, cot_prc_med, cot_prc_mediana) VALUES ("&amp;A1017&amp;", "&amp;B1017&amp;", "&amp;C1017&amp;", "&amp;D1017&amp;", "&amp;E1017&amp;", "&amp;F1017&amp;", "&amp;G1017&amp;", "&amp;H1017&amp;");"</f>
        <v>INSERT INTO COTACAO (cot_id, cot_blt_id, cot_pap_id, cot_prc_comum, cot_prc_min, cot_prc_max, cot_prc_med, cot_prc_mediana) VALUES (1016, 63, 24, NULL, 90, 105, 97.5, 97.5);</v>
      </c>
      <c r="J1017" s="0" t="str">
        <f aca="false">"UPDATE COTACAO SET cot_id = "&amp;A1017&amp;", cot_blt_id = "&amp;B1017&amp;", cot_pap_id = "&amp;C1017&amp;", cot_prc_comum = "&amp;D1017&amp;", cot_prc_min = "&amp;E1017&amp;", cot_prc_max = "&amp;F1017&amp;", cot_prc_med = "&amp;G1017&amp;", cot_prc_mediana = "&amp;H1017&amp;" WHERE cot_id = "&amp;A1017&amp;";"</f>
        <v>UPDATE COTACAO SET cot_id = 1016, cot_blt_id = 63, cot_pap_id = 24, cot_prc_comum = NULL, cot_prc_min = 90, cot_prc_max = 105, cot_prc_med = 97.5, cot_prc_mediana = 97.5 WHERE cot_id = 1016;</v>
      </c>
    </row>
    <row r="1018" customFormat="false" ht="14.25" hidden="false" customHeight="false" outlineLevel="0" collapsed="false">
      <c r="A1018" s="0" t="n">
        <v>1017</v>
      </c>
      <c r="B1018" s="0" t="n">
        <f aca="false">IF('Boletins Nuppa Site'!A1018&lt;&gt;0,'Boletins Nuppa Site'!A1018,"NULL")</f>
        <v>63</v>
      </c>
      <c r="C1018" s="0" t="n">
        <v>25</v>
      </c>
      <c r="D1018" s="30" t="n">
        <f aca="false">IF('Boletins Nuppa Site'!G1018&lt;&gt;0,'Boletins Nuppa Site'!G1018,"NULL")</f>
        <v>55</v>
      </c>
      <c r="E1018" s="30" t="n">
        <f aca="false">IF('Boletins Nuppa Site'!H1018&lt;&gt;0,'Boletins Nuppa Site'!H1018,"NULL")</f>
        <v>55</v>
      </c>
      <c r="F1018" s="30" t="n">
        <f aca="false">IF('Boletins Nuppa Site'!I1018&lt;&gt;0,'Boletins Nuppa Site'!I1018,"NULL")</f>
        <v>60</v>
      </c>
      <c r="G1018" s="0" t="str">
        <f aca="false">IF('Boletins Nuppa Site'!J1018&lt;&gt;0,'Boletins Nuppa Site'!J1018,"NULL")</f>
        <v>56.67</v>
      </c>
      <c r="H1018" s="30" t="n">
        <f aca="false">IF('Boletins Nuppa Site'!K1018&lt;&gt;0,'Boletins Nuppa Site'!K1018,"NULL")</f>
        <v>55</v>
      </c>
      <c r="I1018" s="0" t="str">
        <f aca="false">"INSERT INTO COTACAO (cot_id, cot_blt_id, cot_pap_id, cot_prc_comum, cot_prc_min, cot_prc_max, cot_prc_med, cot_prc_mediana) VALUES ("&amp;A1018&amp;", "&amp;B1018&amp;", "&amp;C1018&amp;", "&amp;D1018&amp;", "&amp;E1018&amp;", "&amp;F1018&amp;", "&amp;G1018&amp;", "&amp;H1018&amp;");"</f>
        <v>INSERT INTO COTACAO (cot_id, cot_blt_id, cot_pap_id, cot_prc_comum, cot_prc_min, cot_prc_max, cot_prc_med, cot_prc_mediana) VALUES (1017, 63, 25, 55, 55, 60, 56.67, 55);</v>
      </c>
      <c r="J1018" s="0" t="str">
        <f aca="false">"UPDATE COTACAO SET cot_id = "&amp;A1018&amp;", cot_blt_id = "&amp;B1018&amp;", cot_pap_id = "&amp;C1018&amp;", cot_prc_comum = "&amp;D1018&amp;", cot_prc_min = "&amp;E1018&amp;", cot_prc_max = "&amp;F1018&amp;", cot_prc_med = "&amp;G1018&amp;", cot_prc_mediana = "&amp;H1018&amp;" WHERE cot_id = "&amp;A1018&amp;";"</f>
        <v>UPDATE COTACAO SET cot_id = 1017, cot_blt_id = 63, cot_pap_id = 25, cot_prc_comum = 55, cot_prc_min = 55, cot_prc_max = 60, cot_prc_med = 56.67, cot_prc_mediana = 55 WHERE cot_id = 1017;</v>
      </c>
    </row>
    <row r="1019" customFormat="false" ht="14.25" hidden="false" customHeight="false" outlineLevel="0" collapsed="false">
      <c r="A1019" s="0" t="n">
        <v>1018</v>
      </c>
      <c r="B1019" s="0" t="n">
        <f aca="false">IF('Boletins Nuppa Site'!A1019&lt;&gt;0,'Boletins Nuppa Site'!A1019,"NULL")</f>
        <v>63</v>
      </c>
      <c r="C1019" s="0" t="n">
        <v>26</v>
      </c>
      <c r="D1019" s="30" t="n">
        <f aca="false">IF('Boletins Nuppa Site'!G1019&lt;&gt;0,'Boletins Nuppa Site'!G1019,"NULL")</f>
        <v>60</v>
      </c>
      <c r="E1019" s="30" t="n">
        <f aca="false">IF('Boletins Nuppa Site'!H1019&lt;&gt;0,'Boletins Nuppa Site'!H1019,"NULL")</f>
        <v>45</v>
      </c>
      <c r="F1019" s="30" t="n">
        <f aca="false">IF('Boletins Nuppa Site'!I1019&lt;&gt;0,'Boletins Nuppa Site'!I1019,"NULL")</f>
        <v>60</v>
      </c>
      <c r="G1019" s="0" t="str">
        <f aca="false">IF('Boletins Nuppa Site'!J1019&lt;&gt;0,'Boletins Nuppa Site'!J1019,"NULL")</f>
        <v>53.33</v>
      </c>
      <c r="H1019" s="30" t="n">
        <f aca="false">IF('Boletins Nuppa Site'!K1019&lt;&gt;0,'Boletins Nuppa Site'!K1019,"NULL")</f>
        <v>55</v>
      </c>
      <c r="I1019" s="0" t="str">
        <f aca="false">"INSERT INTO COTACAO (cot_id, cot_blt_id, cot_pap_id, cot_prc_comum, cot_prc_min, cot_prc_max, cot_prc_med, cot_prc_mediana) VALUES ("&amp;A1019&amp;", "&amp;B1019&amp;", "&amp;C1019&amp;", "&amp;D1019&amp;", "&amp;E1019&amp;", "&amp;F1019&amp;", "&amp;G1019&amp;", "&amp;H1019&amp;");"</f>
        <v>INSERT INTO COTACAO (cot_id, cot_blt_id, cot_pap_id, cot_prc_comum, cot_prc_min, cot_prc_max, cot_prc_med, cot_prc_mediana) VALUES (1018, 63, 26, 60, 45, 60, 53.33, 55);</v>
      </c>
      <c r="J1019" s="0" t="str">
        <f aca="false">"UPDATE COTACAO SET cot_id = "&amp;A1019&amp;", cot_blt_id = "&amp;B1019&amp;", cot_pap_id = "&amp;C1019&amp;", cot_prc_comum = "&amp;D1019&amp;", cot_prc_min = "&amp;E1019&amp;", cot_prc_max = "&amp;F1019&amp;", cot_prc_med = "&amp;G1019&amp;", cot_prc_mediana = "&amp;H1019&amp;" WHERE cot_id = "&amp;A1019&amp;";"</f>
        <v>UPDATE COTACAO SET cot_id = 1018, cot_blt_id = 63, cot_pap_id = 26, cot_prc_comum = 60, cot_prc_min = 45, cot_prc_max = 60, cot_prc_med = 53.33, cot_prc_mediana = 55 WHERE cot_id = 1018;</v>
      </c>
    </row>
    <row r="1020" customFormat="false" ht="14.25" hidden="false" customHeight="false" outlineLevel="0" collapsed="false">
      <c r="A1020" s="0" t="n">
        <v>1019</v>
      </c>
      <c r="B1020" s="0" t="n">
        <f aca="false">IF('Boletins Nuppa Site'!A1020&lt;&gt;0,'Boletins Nuppa Site'!A1020,"NULL")</f>
        <v>63</v>
      </c>
      <c r="C1020" s="0" t="n">
        <v>27</v>
      </c>
      <c r="D1020" s="30" t="n">
        <f aca="false">IF('Boletins Nuppa Site'!G1020&lt;&gt;0,'Boletins Nuppa Site'!G1020,"NULL")</f>
        <v>60</v>
      </c>
      <c r="E1020" s="30" t="n">
        <f aca="false">IF('Boletins Nuppa Site'!H1020&lt;&gt;0,'Boletins Nuppa Site'!H1020,"NULL")</f>
        <v>45</v>
      </c>
      <c r="F1020" s="30" t="n">
        <f aca="false">IF('Boletins Nuppa Site'!I1020&lt;&gt;0,'Boletins Nuppa Site'!I1020,"NULL")</f>
        <v>65</v>
      </c>
      <c r="G1020" s="0" t="str">
        <f aca="false">IF('Boletins Nuppa Site'!J1020&lt;&gt;0,'Boletins Nuppa Site'!J1020,"NULL")</f>
        <v>58.33</v>
      </c>
      <c r="H1020" s="30" t="n">
        <f aca="false">IF('Boletins Nuppa Site'!K1020&lt;&gt;0,'Boletins Nuppa Site'!K1020,"NULL")</f>
        <v>60</v>
      </c>
      <c r="I1020" s="0" t="str">
        <f aca="false">"INSERT INTO COTACAO (cot_id, cot_blt_id, cot_pap_id, cot_prc_comum, cot_prc_min, cot_prc_max, cot_prc_med, cot_prc_mediana) VALUES ("&amp;A1020&amp;", "&amp;B1020&amp;", "&amp;C1020&amp;", "&amp;D1020&amp;", "&amp;E1020&amp;", "&amp;F1020&amp;", "&amp;G1020&amp;", "&amp;H1020&amp;");"</f>
        <v>INSERT INTO COTACAO (cot_id, cot_blt_id, cot_pap_id, cot_prc_comum, cot_prc_min, cot_prc_max, cot_prc_med, cot_prc_mediana) VALUES (1019, 63, 27, 60, 45, 65, 58.33, 60);</v>
      </c>
      <c r="J1020" s="0" t="str">
        <f aca="false">"UPDATE COTACAO SET cot_id = "&amp;A1020&amp;", cot_blt_id = "&amp;B1020&amp;", cot_pap_id = "&amp;C1020&amp;", cot_prc_comum = "&amp;D1020&amp;", cot_prc_min = "&amp;E1020&amp;", cot_prc_max = "&amp;F1020&amp;", cot_prc_med = "&amp;G1020&amp;", cot_prc_mediana = "&amp;H1020&amp;" WHERE cot_id = "&amp;A1020&amp;";"</f>
        <v>UPDATE COTACAO SET cot_id = 1019, cot_blt_id = 63, cot_pap_id = 27, cot_prc_comum = 60, cot_prc_min = 45, cot_prc_max = 65, cot_prc_med = 58.33, cot_prc_mediana = 60 WHERE cot_id = 1019;</v>
      </c>
    </row>
    <row r="1021" customFormat="false" ht="14.25" hidden="false" customHeight="false" outlineLevel="0" collapsed="false">
      <c r="A1021" s="0" t="n">
        <v>1020</v>
      </c>
      <c r="B1021" s="0" t="n">
        <f aca="false">IF('Boletins Nuppa Site'!A1021&lt;&gt;0,'Boletins Nuppa Site'!A1021,"NULL")</f>
        <v>63</v>
      </c>
      <c r="C1021" s="0" t="n">
        <v>28</v>
      </c>
      <c r="D1021" s="30" t="n">
        <f aca="false">IF('Boletins Nuppa Site'!G1021&lt;&gt;0,'Boletins Nuppa Site'!G1021,"NULL")</f>
        <v>90</v>
      </c>
      <c r="E1021" s="30" t="n">
        <f aca="false">IF('Boletins Nuppa Site'!H1021&lt;&gt;0,'Boletins Nuppa Site'!H1021,"NULL")</f>
        <v>60</v>
      </c>
      <c r="F1021" s="30" t="n">
        <f aca="false">IF('Boletins Nuppa Site'!I1021&lt;&gt;0,'Boletins Nuppa Site'!I1021,"NULL")</f>
        <v>100</v>
      </c>
      <c r="G1021" s="30" t="n">
        <f aca="false">IF('Boletins Nuppa Site'!J1021&lt;&gt;0,'Boletins Nuppa Site'!J1021,"NULL")</f>
        <v>86</v>
      </c>
      <c r="H1021" s="30" t="n">
        <f aca="false">IF('Boletins Nuppa Site'!K1021&lt;&gt;0,'Boletins Nuppa Site'!K1021,"NULL")</f>
        <v>90</v>
      </c>
      <c r="I1021" s="0" t="str">
        <f aca="false">"INSERT INTO COTACAO (cot_id, cot_blt_id, cot_pap_id, cot_prc_comum, cot_prc_min, cot_prc_max, cot_prc_med, cot_prc_mediana) VALUES ("&amp;A1021&amp;", "&amp;B1021&amp;", "&amp;C1021&amp;", "&amp;D1021&amp;", "&amp;E1021&amp;", "&amp;F1021&amp;", "&amp;G1021&amp;", "&amp;H1021&amp;");"</f>
        <v>INSERT INTO COTACAO (cot_id, cot_blt_id, cot_pap_id, cot_prc_comum, cot_prc_min, cot_prc_max, cot_prc_med, cot_prc_mediana) VALUES (1020, 63, 28, 90, 60, 100, 86, 90);</v>
      </c>
      <c r="J1021" s="0" t="str">
        <f aca="false">"UPDATE COTACAO SET cot_id = "&amp;A1021&amp;", cot_blt_id = "&amp;B1021&amp;", cot_pap_id = "&amp;C1021&amp;", cot_prc_comum = "&amp;D1021&amp;", cot_prc_min = "&amp;E1021&amp;", cot_prc_max = "&amp;F1021&amp;", cot_prc_med = "&amp;G1021&amp;", cot_prc_mediana = "&amp;H1021&amp;" WHERE cot_id = "&amp;A1021&amp;";"</f>
        <v>UPDATE COTACAO SET cot_id = 1020, cot_blt_id = 63, cot_pap_id = 28, cot_prc_comum = 90, cot_prc_min = 60, cot_prc_max = 100, cot_prc_med = 86, cot_prc_mediana = 90 WHERE cot_id = 1020;</v>
      </c>
    </row>
    <row r="1022" customFormat="false" ht="14.25" hidden="false" customHeight="false" outlineLevel="0" collapsed="false">
      <c r="A1022" s="0" t="n">
        <v>1021</v>
      </c>
      <c r="B1022" s="0" t="n">
        <f aca="false">IF('Boletins Nuppa Site'!A1022&lt;&gt;0,'Boletins Nuppa Site'!A1022,"NULL")</f>
        <v>63</v>
      </c>
      <c r="C1022" s="0" t="n">
        <v>29</v>
      </c>
      <c r="D1022" s="30" t="n">
        <f aca="false">IF('Boletins Nuppa Site'!G1022&lt;&gt;0,'Boletins Nuppa Site'!G1022,"NULL")</f>
        <v>60</v>
      </c>
      <c r="E1022" s="30" t="n">
        <f aca="false">IF('Boletins Nuppa Site'!H1022&lt;&gt;0,'Boletins Nuppa Site'!H1022,"NULL")</f>
        <v>60</v>
      </c>
      <c r="F1022" s="30" t="n">
        <f aca="false">IF('Boletins Nuppa Site'!I1022&lt;&gt;0,'Boletins Nuppa Site'!I1022,"NULL")</f>
        <v>60</v>
      </c>
      <c r="G1022" s="30" t="n">
        <f aca="false">IF('Boletins Nuppa Site'!J1022&lt;&gt;0,'Boletins Nuppa Site'!J1022,"NULL")</f>
        <v>60</v>
      </c>
      <c r="H1022" s="30" t="n">
        <f aca="false">IF('Boletins Nuppa Site'!K1022&lt;&gt;0,'Boletins Nuppa Site'!K1022,"NULL")</f>
        <v>60</v>
      </c>
      <c r="I1022" s="0" t="str">
        <f aca="false">"INSERT INTO COTACAO (cot_id, cot_blt_id, cot_pap_id, cot_prc_comum, cot_prc_min, cot_prc_max, cot_prc_med, cot_prc_mediana) VALUES ("&amp;A1022&amp;", "&amp;B1022&amp;", "&amp;C1022&amp;", "&amp;D1022&amp;", "&amp;E1022&amp;", "&amp;F1022&amp;", "&amp;G1022&amp;", "&amp;H1022&amp;");"</f>
        <v>INSERT INTO COTACAO (cot_id, cot_blt_id, cot_pap_id, cot_prc_comum, cot_prc_min, cot_prc_max, cot_prc_med, cot_prc_mediana) VALUES (1021, 63, 29, 60, 60, 60, 60, 60);</v>
      </c>
      <c r="J1022" s="0" t="str">
        <f aca="false">"UPDATE COTACAO SET cot_id = "&amp;A1022&amp;", cot_blt_id = "&amp;B1022&amp;", cot_pap_id = "&amp;C1022&amp;", cot_prc_comum = "&amp;D1022&amp;", cot_prc_min = "&amp;E1022&amp;", cot_prc_max = "&amp;F1022&amp;", cot_prc_med = "&amp;G1022&amp;", cot_prc_mediana = "&amp;H1022&amp;" WHERE cot_id = "&amp;A1022&amp;";"</f>
        <v>UPDATE COTACAO SET cot_id = 1021, cot_blt_id = 63, cot_pap_id = 29, cot_prc_comum = 60, cot_prc_min = 60, cot_prc_max = 60, cot_prc_med = 60, cot_prc_mediana = 60 WHERE cot_id = 1021;</v>
      </c>
    </row>
    <row r="1023" customFormat="false" ht="14.25" hidden="false" customHeight="false" outlineLevel="0" collapsed="false">
      <c r="A1023" s="0" t="n">
        <v>1022</v>
      </c>
      <c r="B1023" s="0" t="n">
        <f aca="false">IF('Boletins Nuppa Site'!A1023&lt;&gt;0,'Boletins Nuppa Site'!A1023,"NULL")</f>
        <v>63</v>
      </c>
      <c r="C1023" s="0" t="n">
        <v>30</v>
      </c>
      <c r="D1023" s="30" t="n">
        <f aca="false">IF('Boletins Nuppa Site'!G1023&lt;&gt;0,'Boletins Nuppa Site'!G1023,"NULL")</f>
        <v>65</v>
      </c>
      <c r="E1023" s="30" t="n">
        <f aca="false">IF('Boletins Nuppa Site'!H1023&lt;&gt;0,'Boletins Nuppa Site'!H1023,"NULL")</f>
        <v>50</v>
      </c>
      <c r="F1023" s="30" t="n">
        <f aca="false">IF('Boletins Nuppa Site'!I1023&lt;&gt;0,'Boletins Nuppa Site'!I1023,"NULL")</f>
        <v>65</v>
      </c>
      <c r="G1023" s="30" t="n">
        <f aca="false">IF('Boletins Nuppa Site'!J1023&lt;&gt;0,'Boletins Nuppa Site'!J1023,"NULL")</f>
        <v>60</v>
      </c>
      <c r="H1023" s="0" t="str">
        <f aca="false">IF('Boletins Nuppa Site'!K1023&lt;&gt;0,'Boletins Nuppa Site'!K1023,"NULL")</f>
        <v>62.5</v>
      </c>
      <c r="I1023" s="0" t="str">
        <f aca="false">"INSERT INTO COTACAO (cot_id, cot_blt_id, cot_pap_id, cot_prc_comum, cot_prc_min, cot_prc_max, cot_prc_med, cot_prc_mediana) VALUES ("&amp;A1023&amp;", "&amp;B1023&amp;", "&amp;C1023&amp;", "&amp;D1023&amp;", "&amp;E1023&amp;", "&amp;F1023&amp;", "&amp;G1023&amp;", "&amp;H1023&amp;");"</f>
        <v>INSERT INTO COTACAO (cot_id, cot_blt_id, cot_pap_id, cot_prc_comum, cot_prc_min, cot_prc_max, cot_prc_med, cot_prc_mediana) VALUES (1022, 63, 30, 65, 50, 65, 60, 62.5);</v>
      </c>
      <c r="J1023" s="0" t="str">
        <f aca="false">"UPDATE COTACAO SET cot_id = "&amp;A1023&amp;", cot_blt_id = "&amp;B1023&amp;", cot_pap_id = "&amp;C1023&amp;", cot_prc_comum = "&amp;D1023&amp;", cot_prc_min = "&amp;E1023&amp;", cot_prc_max = "&amp;F1023&amp;", cot_prc_med = "&amp;G1023&amp;", cot_prc_mediana = "&amp;H1023&amp;" WHERE cot_id = "&amp;A1023&amp;";"</f>
        <v>UPDATE COTACAO SET cot_id = 1022, cot_blt_id = 63, cot_pap_id = 30, cot_prc_comum = 65, cot_prc_min = 50, cot_prc_max = 65, cot_prc_med = 60, cot_prc_mediana = 62.5 WHERE cot_id = 1022;</v>
      </c>
    </row>
    <row r="1024" customFormat="false" ht="14.25" hidden="false" customHeight="false" outlineLevel="0" collapsed="false">
      <c r="A1024" s="0" t="n">
        <v>1023</v>
      </c>
      <c r="B1024" s="0" t="n">
        <f aca="false">IF('Boletins Nuppa Site'!A1024&lt;&gt;0,'Boletins Nuppa Site'!A1024,"NULL")</f>
        <v>63</v>
      </c>
      <c r="C1024" s="0" t="n">
        <v>31</v>
      </c>
      <c r="D1024" s="30" t="n">
        <f aca="false">IF('Boletins Nuppa Site'!G1024&lt;&gt;0,'Boletins Nuppa Site'!G1024,"NULL")</f>
        <v>90</v>
      </c>
      <c r="E1024" s="30" t="n">
        <f aca="false">IF('Boletins Nuppa Site'!H1024&lt;&gt;0,'Boletins Nuppa Site'!H1024,"NULL")</f>
        <v>50</v>
      </c>
      <c r="F1024" s="30" t="n">
        <f aca="false">IF('Boletins Nuppa Site'!I1024&lt;&gt;0,'Boletins Nuppa Site'!I1024,"NULL")</f>
        <v>90</v>
      </c>
      <c r="G1024" s="0" t="str">
        <f aca="false">IF('Boletins Nuppa Site'!J1024&lt;&gt;0,'Boletins Nuppa Site'!J1024,"NULL")</f>
        <v>76.67</v>
      </c>
      <c r="H1024" s="30" t="n">
        <f aca="false">IF('Boletins Nuppa Site'!K1024&lt;&gt;0,'Boletins Nuppa Site'!K1024,"NULL")</f>
        <v>80</v>
      </c>
      <c r="I1024" s="0" t="str">
        <f aca="false">"INSERT INTO COTACAO (cot_id, cot_blt_id, cot_pap_id, cot_prc_comum, cot_prc_min, cot_prc_max, cot_prc_med, cot_prc_mediana) VALUES ("&amp;A1024&amp;", "&amp;B1024&amp;", "&amp;C1024&amp;", "&amp;D1024&amp;", "&amp;E1024&amp;", "&amp;F1024&amp;", "&amp;G1024&amp;", "&amp;H1024&amp;");"</f>
        <v>INSERT INTO COTACAO (cot_id, cot_blt_id, cot_pap_id, cot_prc_comum, cot_prc_min, cot_prc_max, cot_prc_med, cot_prc_mediana) VALUES (1023, 63, 31, 90, 50, 90, 76.67, 80);</v>
      </c>
      <c r="J1024" s="0" t="str">
        <f aca="false">"UPDATE COTACAO SET cot_id = "&amp;A1024&amp;", cot_blt_id = "&amp;B1024&amp;", cot_pap_id = "&amp;C1024&amp;", cot_prc_comum = "&amp;D1024&amp;", cot_prc_min = "&amp;E1024&amp;", cot_prc_max = "&amp;F1024&amp;", cot_prc_med = "&amp;G1024&amp;", cot_prc_mediana = "&amp;H1024&amp;" WHERE cot_id = "&amp;A1024&amp;";"</f>
        <v>UPDATE COTACAO SET cot_id = 1023, cot_blt_id = 63, cot_pap_id = 31, cot_prc_comum = 90, cot_prc_min = 50, cot_prc_max = 90, cot_prc_med = 76.67, cot_prc_mediana = 80 WHERE cot_id = 1023;</v>
      </c>
    </row>
    <row r="1025" customFormat="false" ht="14.25" hidden="false" customHeight="false" outlineLevel="0" collapsed="false">
      <c r="A1025" s="0" t="n">
        <v>1024</v>
      </c>
      <c r="B1025" s="0" t="n">
        <f aca="false">IF('Boletins Nuppa Site'!A1025&lt;&gt;0,'Boletins Nuppa Site'!A1025,"NULL")</f>
        <v>63</v>
      </c>
      <c r="C1025" s="0" t="n">
        <v>32</v>
      </c>
      <c r="D1025" s="30" t="n">
        <f aca="false">IF('Boletins Nuppa Site'!G1025&lt;&gt;0,'Boletins Nuppa Site'!G1025,"NULL")</f>
        <v>50</v>
      </c>
      <c r="E1025" s="30" t="n">
        <f aca="false">IF('Boletins Nuppa Site'!H1025&lt;&gt;0,'Boletins Nuppa Site'!H1025,"NULL")</f>
        <v>40</v>
      </c>
      <c r="F1025" s="30" t="n">
        <f aca="false">IF('Boletins Nuppa Site'!I1025&lt;&gt;0,'Boletins Nuppa Site'!I1025,"NULL")</f>
        <v>80</v>
      </c>
      <c r="G1025" s="30" t="n">
        <f aca="false">IF('Boletins Nuppa Site'!J1025&lt;&gt;0,'Boletins Nuppa Site'!J1025,"NULL")</f>
        <v>55</v>
      </c>
      <c r="H1025" s="30" t="n">
        <f aca="false">IF('Boletins Nuppa Site'!K1025&lt;&gt;0,'Boletins Nuppa Site'!K1025,"NULL")</f>
        <v>50</v>
      </c>
      <c r="I1025" s="0" t="str">
        <f aca="false">"INSERT INTO COTACAO (cot_id, cot_blt_id, cot_pap_id, cot_prc_comum, cot_prc_min, cot_prc_max, cot_prc_med, cot_prc_mediana) VALUES ("&amp;A1025&amp;", "&amp;B1025&amp;", "&amp;C1025&amp;", "&amp;D1025&amp;", "&amp;E1025&amp;", "&amp;F1025&amp;", "&amp;G1025&amp;", "&amp;H1025&amp;");"</f>
        <v>INSERT INTO COTACAO (cot_id, cot_blt_id, cot_pap_id, cot_prc_comum, cot_prc_min, cot_prc_max, cot_prc_med, cot_prc_mediana) VALUES (1024, 63, 32, 50, 40, 80, 55, 50);</v>
      </c>
      <c r="J1025" s="0" t="str">
        <f aca="false">"UPDATE COTACAO SET cot_id = "&amp;A1025&amp;", cot_blt_id = "&amp;B1025&amp;", cot_pap_id = "&amp;C1025&amp;", cot_prc_comum = "&amp;D1025&amp;", cot_prc_min = "&amp;E1025&amp;", cot_prc_max = "&amp;F1025&amp;", cot_prc_med = "&amp;G1025&amp;", cot_prc_mediana = "&amp;H1025&amp;" WHERE cot_id = "&amp;A1025&amp;";"</f>
        <v>UPDATE COTACAO SET cot_id = 1024, cot_blt_id = 63, cot_pap_id = 32, cot_prc_comum = 50, cot_prc_min = 40, cot_prc_max = 80, cot_prc_med = 55, cot_prc_mediana = 50 WHERE cot_id = 1024;</v>
      </c>
    </row>
    <row r="1026" customFormat="false" ht="14.25" hidden="false" customHeight="false" outlineLevel="0" collapsed="false">
      <c r="A1026" s="0" t="n">
        <v>1025</v>
      </c>
      <c r="B1026" s="0" t="n">
        <f aca="false">IF('Boletins Nuppa Site'!A1026&lt;&gt;0,'Boletins Nuppa Site'!A1026,"NULL")</f>
        <v>63</v>
      </c>
      <c r="C1026" s="0" t="n">
        <v>33</v>
      </c>
      <c r="D1026" s="30" t="n">
        <f aca="false">IF('Boletins Nuppa Site'!G1026&lt;&gt;0,'Boletins Nuppa Site'!G1026,"NULL")</f>
        <v>120</v>
      </c>
      <c r="E1026" s="30" t="n">
        <f aca="false">IF('Boletins Nuppa Site'!H1026&lt;&gt;0,'Boletins Nuppa Site'!H1026,"NULL")</f>
        <v>100</v>
      </c>
      <c r="F1026" s="30" t="n">
        <f aca="false">IF('Boletins Nuppa Site'!I1026&lt;&gt;0,'Boletins Nuppa Site'!I1026,"NULL")</f>
        <v>150</v>
      </c>
      <c r="G1026" s="30" t="n">
        <f aca="false">IF('Boletins Nuppa Site'!J1026&lt;&gt;0,'Boletins Nuppa Site'!J1026,"NULL")</f>
        <v>125</v>
      </c>
      <c r="H1026" s="30" t="n">
        <f aca="false">IF('Boletins Nuppa Site'!K1026&lt;&gt;0,'Boletins Nuppa Site'!K1026,"NULL")</f>
        <v>125</v>
      </c>
      <c r="I1026" s="0" t="str">
        <f aca="false">"INSERT INTO COTACAO (cot_id, cot_blt_id, cot_pap_id, cot_prc_comum, cot_prc_min, cot_prc_max, cot_prc_med, cot_prc_mediana) VALUES ("&amp;A1026&amp;", "&amp;B1026&amp;", "&amp;C1026&amp;", "&amp;D1026&amp;", "&amp;E1026&amp;", "&amp;F1026&amp;", "&amp;G1026&amp;", "&amp;H1026&amp;");"</f>
        <v>INSERT INTO COTACAO (cot_id, cot_blt_id, cot_pap_id, cot_prc_comum, cot_prc_min, cot_prc_max, cot_prc_med, cot_prc_mediana) VALUES (1025, 63, 33, 120, 100, 150, 125, 125);</v>
      </c>
      <c r="J1026" s="0" t="str">
        <f aca="false">"UPDATE COTACAO SET cot_id = "&amp;A1026&amp;", cot_blt_id = "&amp;B1026&amp;", cot_pap_id = "&amp;C1026&amp;", cot_prc_comum = "&amp;D1026&amp;", cot_prc_min = "&amp;E1026&amp;", cot_prc_max = "&amp;F1026&amp;", cot_prc_med = "&amp;G1026&amp;", cot_prc_mediana = "&amp;H1026&amp;" WHERE cot_id = "&amp;A1026&amp;";"</f>
        <v>UPDATE COTACAO SET cot_id = 1025, cot_blt_id = 63, cot_pap_id = 33, cot_prc_comum = 120, cot_prc_min = 100, cot_prc_max = 150, cot_prc_med = 125, cot_prc_mediana = 125 WHERE cot_id = 1025;</v>
      </c>
    </row>
    <row r="1027" customFormat="false" ht="14.25" hidden="false" customHeight="false" outlineLevel="0" collapsed="false">
      <c r="A1027" s="0" t="n">
        <v>1026</v>
      </c>
      <c r="B1027" s="0" t="n">
        <f aca="false">IF('Boletins Nuppa Site'!A1027&lt;&gt;0,'Boletins Nuppa Site'!A1027,"NULL")</f>
        <v>63</v>
      </c>
      <c r="C1027" s="0" t="n">
        <v>34</v>
      </c>
      <c r="D1027" s="30" t="n">
        <f aca="false">IF('Boletins Nuppa Site'!G1027&lt;&gt;0,'Boletins Nuppa Site'!G1027,"NULL")</f>
        <v>80</v>
      </c>
      <c r="E1027" s="30" t="n">
        <f aca="false">IF('Boletins Nuppa Site'!H1027&lt;&gt;0,'Boletins Nuppa Site'!H1027,"NULL")</f>
        <v>50</v>
      </c>
      <c r="F1027" s="30" t="n">
        <f aca="false">IF('Boletins Nuppa Site'!I1027&lt;&gt;0,'Boletins Nuppa Site'!I1027,"NULL")</f>
        <v>90</v>
      </c>
      <c r="G1027" s="0" t="str">
        <f aca="false">IF('Boletins Nuppa Site'!J1027&lt;&gt;0,'Boletins Nuppa Site'!J1027,"NULL")</f>
        <v>72.14</v>
      </c>
      <c r="H1027" s="30" t="n">
        <f aca="false">IF('Boletins Nuppa Site'!K1027&lt;&gt;0,'Boletins Nuppa Site'!K1027,"NULL")</f>
        <v>75</v>
      </c>
      <c r="I1027" s="0" t="str">
        <f aca="false">"INSERT INTO COTACAO (cot_id, cot_blt_id, cot_pap_id, cot_prc_comum, cot_prc_min, cot_prc_max, cot_prc_med, cot_prc_mediana) VALUES ("&amp;A1027&amp;", "&amp;B1027&amp;", "&amp;C1027&amp;", "&amp;D1027&amp;", "&amp;E1027&amp;", "&amp;F1027&amp;", "&amp;G1027&amp;", "&amp;H1027&amp;");"</f>
        <v>INSERT INTO COTACAO (cot_id, cot_blt_id, cot_pap_id, cot_prc_comum, cot_prc_min, cot_prc_max, cot_prc_med, cot_prc_mediana) VALUES (1026, 63, 34, 80, 50, 90, 72.14, 75);</v>
      </c>
      <c r="J1027" s="0" t="str">
        <f aca="false">"UPDATE COTACAO SET cot_id = "&amp;A1027&amp;", cot_blt_id = "&amp;B1027&amp;", cot_pap_id = "&amp;C1027&amp;", cot_prc_comum = "&amp;D1027&amp;", cot_prc_min = "&amp;E1027&amp;", cot_prc_max = "&amp;F1027&amp;", cot_prc_med = "&amp;G1027&amp;", cot_prc_mediana = "&amp;H1027&amp;" WHERE cot_id = "&amp;A1027&amp;";"</f>
        <v>UPDATE COTACAO SET cot_id = 1026, cot_blt_id = 63, cot_pap_id = 34, cot_prc_comum = 80, cot_prc_min = 50, cot_prc_max = 90, cot_prc_med = 72.14, cot_prc_mediana = 75 WHERE cot_id = 1026;</v>
      </c>
    </row>
    <row r="1028" customFormat="false" ht="14.25" hidden="false" customHeight="false" outlineLevel="0" collapsed="false">
      <c r="A1028" s="0" t="n">
        <v>1027</v>
      </c>
      <c r="B1028" s="0" t="n">
        <f aca="false">IF('Boletins Nuppa Site'!A1028&lt;&gt;0,'Boletins Nuppa Site'!A1028,"NULL")</f>
        <v>63</v>
      </c>
      <c r="C1028" s="0" t="n">
        <v>35</v>
      </c>
      <c r="D1028" s="0" t="str">
        <f aca="false">IF('Boletins Nuppa Site'!G1028&lt;&gt;0,'Boletins Nuppa Site'!G1028,"NULL")</f>
        <v>NULL</v>
      </c>
      <c r="E1028" s="30" t="n">
        <f aca="false">IF('Boletins Nuppa Site'!H1028&lt;&gt;0,'Boletins Nuppa Site'!H1028,"NULL")</f>
        <v>85</v>
      </c>
      <c r="F1028" s="30" t="n">
        <f aca="false">IF('Boletins Nuppa Site'!I1028&lt;&gt;0,'Boletins Nuppa Site'!I1028,"NULL")</f>
        <v>190</v>
      </c>
      <c r="G1028" s="0" t="str">
        <f aca="false">IF('Boletins Nuppa Site'!J1028&lt;&gt;0,'Boletins Nuppa Site'!J1028,"NULL")</f>
        <v>143.75</v>
      </c>
      <c r="H1028" s="30" t="n">
        <f aca="false">IF('Boletins Nuppa Site'!K1028&lt;&gt;0,'Boletins Nuppa Site'!K1028,"NULL")</f>
        <v>150</v>
      </c>
      <c r="I1028" s="0" t="str">
        <f aca="false">"INSERT INTO COTACAO (cot_id, cot_blt_id, cot_pap_id, cot_prc_comum, cot_prc_min, cot_prc_max, cot_prc_med, cot_prc_mediana) VALUES ("&amp;A1028&amp;", "&amp;B1028&amp;", "&amp;C1028&amp;", "&amp;D1028&amp;", "&amp;E1028&amp;", "&amp;F1028&amp;", "&amp;G1028&amp;", "&amp;H1028&amp;");"</f>
        <v>INSERT INTO COTACAO (cot_id, cot_blt_id, cot_pap_id, cot_prc_comum, cot_prc_min, cot_prc_max, cot_prc_med, cot_prc_mediana) VALUES (1027, 63, 35, NULL, 85, 190, 143.75, 150);</v>
      </c>
      <c r="J1028" s="0" t="str">
        <f aca="false">"UPDATE COTACAO SET cot_id = "&amp;A1028&amp;", cot_blt_id = "&amp;B1028&amp;", cot_pap_id = "&amp;C1028&amp;", cot_prc_comum = "&amp;D1028&amp;", cot_prc_min = "&amp;E1028&amp;", cot_prc_max = "&amp;F1028&amp;", cot_prc_med = "&amp;G1028&amp;", cot_prc_mediana = "&amp;H1028&amp;" WHERE cot_id = "&amp;A1028&amp;";"</f>
        <v>UPDATE COTACAO SET cot_id = 1027, cot_blt_id = 63, cot_pap_id = 35, cot_prc_comum = NULL, cot_prc_min = 85, cot_prc_max = 190, cot_prc_med = 143.75, cot_prc_mediana = 150 WHERE cot_id = 1027;</v>
      </c>
    </row>
    <row r="1029" customFormat="false" ht="14.25" hidden="false" customHeight="false" outlineLevel="0" collapsed="false">
      <c r="A1029" s="0" t="n">
        <v>1028</v>
      </c>
      <c r="B1029" s="0" t="n">
        <f aca="false">IF('Boletins Nuppa Site'!A1029&lt;&gt;0,'Boletins Nuppa Site'!A1029,"NULL")</f>
        <v>63</v>
      </c>
      <c r="C1029" s="0" t="n">
        <v>36</v>
      </c>
      <c r="D1029" s="0" t="str">
        <f aca="false">IF('Boletins Nuppa Site'!G1029&lt;&gt;0,'Boletins Nuppa Site'!G1029,"NULL")</f>
        <v>NULL</v>
      </c>
      <c r="E1029" s="0" t="str">
        <f aca="false">IF('Boletins Nuppa Site'!H1029&lt;&gt;0,'Boletins Nuppa Site'!H1029,"NULL")</f>
        <v>NULL</v>
      </c>
      <c r="F1029" s="0" t="str">
        <f aca="false">IF('Boletins Nuppa Site'!I1029&lt;&gt;0,'Boletins Nuppa Site'!I1029,"NULL")</f>
        <v>NULL</v>
      </c>
      <c r="G1029" s="0" t="str">
        <f aca="false">IF('Boletins Nuppa Site'!J1029&lt;&gt;0,'Boletins Nuppa Site'!J1029,"NULL")</f>
        <v>NULL</v>
      </c>
      <c r="H1029" s="0" t="str">
        <f aca="false">IF('Boletins Nuppa Site'!K1029&lt;&gt;0,'Boletins Nuppa Site'!K1029,"NULL")</f>
        <v>NULL</v>
      </c>
      <c r="I1029" s="0" t="str">
        <f aca="false">"INSERT INTO COTACAO (cot_id, cot_blt_id, cot_pap_id, cot_prc_comum, cot_prc_min, cot_prc_max, cot_prc_med, cot_prc_mediana) VALUES ("&amp;A1029&amp;", "&amp;B1029&amp;", "&amp;C1029&amp;", "&amp;D1029&amp;", "&amp;E1029&amp;", "&amp;F1029&amp;", "&amp;G1029&amp;", "&amp;H1029&amp;");"</f>
        <v>INSERT INTO COTACAO (cot_id, cot_blt_id, cot_pap_id, cot_prc_comum, cot_prc_min, cot_prc_max, cot_prc_med, cot_prc_mediana) VALUES (1028, 63, 36, NULL, NULL, NULL, NULL, NULL);</v>
      </c>
      <c r="J1029" s="0" t="str">
        <f aca="false">"UPDATE COTACAO SET cot_id = "&amp;A1029&amp;", cot_blt_id = "&amp;B1029&amp;", cot_pap_id = "&amp;C1029&amp;", cot_prc_comum = "&amp;D1029&amp;", cot_prc_min = "&amp;E1029&amp;", cot_prc_max = "&amp;F1029&amp;", cot_prc_med = "&amp;G1029&amp;", cot_prc_mediana = "&amp;H1029&amp;" WHERE cot_id = "&amp;A1029&amp;";"</f>
        <v>UPDATE COTACAO SET cot_id = 1028, cot_blt_id = 63, cot_pap_id = 36, cot_prc_comum = NULL, cot_prc_min = NULL, cot_prc_max = NULL, cot_prc_med = NULL, cot_prc_mediana = NULL WHERE cot_id = 1028;</v>
      </c>
    </row>
    <row r="1030" customFormat="false" ht="14.25" hidden="false" customHeight="false" outlineLevel="0" collapsed="false">
      <c r="A1030" s="0" t="n">
        <v>1029</v>
      </c>
      <c r="B1030" s="0" t="n">
        <f aca="false">IF('Boletins Nuppa Site'!A1030&lt;&gt;0,'Boletins Nuppa Site'!A1030,"NULL")</f>
        <v>63</v>
      </c>
      <c r="C1030" s="0" t="n">
        <v>37</v>
      </c>
      <c r="D1030" s="0" t="str">
        <f aca="false">IF('Boletins Nuppa Site'!G1030&lt;&gt;0,'Boletins Nuppa Site'!G1030,"NULL")</f>
        <v>NULL</v>
      </c>
      <c r="E1030" s="0" t="str">
        <f aca="false">IF('Boletins Nuppa Site'!H1030&lt;&gt;0,'Boletins Nuppa Site'!H1030,"NULL")</f>
        <v>NULL</v>
      </c>
      <c r="F1030" s="0" t="str">
        <f aca="false">IF('Boletins Nuppa Site'!I1030&lt;&gt;0,'Boletins Nuppa Site'!I1030,"NULL")</f>
        <v>NULL</v>
      </c>
      <c r="G1030" s="0" t="str">
        <f aca="false">IF('Boletins Nuppa Site'!J1030&lt;&gt;0,'Boletins Nuppa Site'!J1030,"NULL")</f>
        <v>NULL</v>
      </c>
      <c r="H1030" s="0" t="str">
        <f aca="false">IF('Boletins Nuppa Site'!K1030&lt;&gt;0,'Boletins Nuppa Site'!K1030,"NULL")</f>
        <v>NULL</v>
      </c>
      <c r="I1030" s="0" t="str">
        <f aca="false">"INSERT INTO COTACAO (cot_id, cot_blt_id, cot_pap_id, cot_prc_comum, cot_prc_min, cot_prc_max, cot_prc_med, cot_prc_mediana) VALUES ("&amp;A1030&amp;", "&amp;B1030&amp;", "&amp;C1030&amp;", "&amp;D1030&amp;", "&amp;E1030&amp;", "&amp;F1030&amp;", "&amp;G1030&amp;", "&amp;H1030&amp;");"</f>
        <v>INSERT INTO COTACAO (cot_id, cot_blt_id, cot_pap_id, cot_prc_comum, cot_prc_min, cot_prc_max, cot_prc_med, cot_prc_mediana) VALUES (1029, 63, 37, NULL, NULL, NULL, NULL, NULL);</v>
      </c>
      <c r="J1030" s="0" t="str">
        <f aca="false">"UPDATE COTACAO SET cot_id = "&amp;A1030&amp;", cot_blt_id = "&amp;B1030&amp;", cot_pap_id = "&amp;C1030&amp;", cot_prc_comum = "&amp;D1030&amp;", cot_prc_min = "&amp;E1030&amp;", cot_prc_max = "&amp;F1030&amp;", cot_prc_med = "&amp;G1030&amp;", cot_prc_mediana = "&amp;H1030&amp;" WHERE cot_id = "&amp;A1030&amp;";"</f>
        <v>UPDATE COTACAO SET cot_id = 1029, cot_blt_id = 63, cot_pap_id = 37, cot_prc_comum = NULL, cot_prc_min = NULL, cot_prc_max = NULL, cot_prc_med = NULL, cot_prc_mediana = NULL WHERE cot_id = 1029;</v>
      </c>
    </row>
    <row r="1031" customFormat="false" ht="14.25" hidden="false" customHeight="false" outlineLevel="0" collapsed="false">
      <c r="A1031" s="0" t="n">
        <v>1030</v>
      </c>
      <c r="B1031" s="0" t="n">
        <f aca="false">IF('Boletins Nuppa Site'!A1031&lt;&gt;0,'Boletins Nuppa Site'!A1031,"NULL")</f>
        <v>63</v>
      </c>
      <c r="C1031" s="0" t="n">
        <v>38</v>
      </c>
      <c r="D1031" s="0" t="str">
        <f aca="false">IF('Boletins Nuppa Site'!G1031&lt;&gt;0,'Boletins Nuppa Site'!G1031,"NULL")</f>
        <v>NULL</v>
      </c>
      <c r="E1031" s="0" t="str">
        <f aca="false">IF('Boletins Nuppa Site'!H1031&lt;&gt;0,'Boletins Nuppa Site'!H1031,"NULL")</f>
        <v>NULL</v>
      </c>
      <c r="F1031" s="0" t="str">
        <f aca="false">IF('Boletins Nuppa Site'!I1031&lt;&gt;0,'Boletins Nuppa Site'!I1031,"NULL")</f>
        <v>NULL</v>
      </c>
      <c r="G1031" s="0" t="str">
        <f aca="false">IF('Boletins Nuppa Site'!J1031&lt;&gt;0,'Boletins Nuppa Site'!J1031,"NULL")</f>
        <v>NULL</v>
      </c>
      <c r="H1031" s="0" t="str">
        <f aca="false">IF('Boletins Nuppa Site'!K1031&lt;&gt;0,'Boletins Nuppa Site'!K1031,"NULL")</f>
        <v>NULL</v>
      </c>
      <c r="I1031" s="0" t="str">
        <f aca="false">"INSERT INTO COTACAO (cot_id, cot_blt_id, cot_pap_id, cot_prc_comum, cot_prc_min, cot_prc_max, cot_prc_med, cot_prc_mediana) VALUES ("&amp;A1031&amp;", "&amp;B1031&amp;", "&amp;C1031&amp;", "&amp;D1031&amp;", "&amp;E1031&amp;", "&amp;F1031&amp;", "&amp;G1031&amp;", "&amp;H1031&amp;");"</f>
        <v>INSERT INTO COTACAO (cot_id, cot_blt_id, cot_pap_id, cot_prc_comum, cot_prc_min, cot_prc_max, cot_prc_med, cot_prc_mediana) VALUES (1030, 63, 38, NULL, NULL, NULL, NULL, NULL);</v>
      </c>
      <c r="J1031" s="0" t="str">
        <f aca="false">"UPDATE COTACAO SET cot_id = "&amp;A1031&amp;", cot_blt_id = "&amp;B1031&amp;", cot_pap_id = "&amp;C1031&amp;", cot_prc_comum = "&amp;D1031&amp;", cot_prc_min = "&amp;E1031&amp;", cot_prc_max = "&amp;F1031&amp;", cot_prc_med = "&amp;G1031&amp;", cot_prc_mediana = "&amp;H1031&amp;" WHERE cot_id = "&amp;A1031&amp;";"</f>
        <v>UPDATE COTACAO SET cot_id = 1030, cot_blt_id = 63, cot_pap_id = 38, cot_prc_comum = NULL, cot_prc_min = NULL, cot_prc_max = NULL, cot_prc_med = NULL, cot_prc_mediana = NULL WHERE cot_id = 1030;</v>
      </c>
    </row>
    <row r="1032" customFormat="false" ht="14.25" hidden="false" customHeight="false" outlineLevel="0" collapsed="false">
      <c r="A1032" s="0" t="n">
        <v>1031</v>
      </c>
      <c r="B1032" s="0" t="n">
        <f aca="false">IF('Boletins Nuppa Site'!A1032&lt;&gt;0,'Boletins Nuppa Site'!A1032,"NULL")</f>
        <v>63</v>
      </c>
      <c r="C1032" s="0" t="n">
        <v>39</v>
      </c>
      <c r="D1032" s="24" t="n">
        <f aca="false">IF('Boletins Nuppa Site'!G1032&lt;&gt;0,'Boletins Nuppa Site'!G1032,"NULL")</f>
        <v>65</v>
      </c>
      <c r="E1032" s="30" t="n">
        <f aca="false">IF('Boletins Nuppa Site'!H1032&lt;&gt;0,'Boletins Nuppa Site'!H1032,"NULL")</f>
        <v>65</v>
      </c>
      <c r="F1032" s="30" t="n">
        <f aca="false">IF('Boletins Nuppa Site'!I1032&lt;&gt;0,'Boletins Nuppa Site'!I1032,"NULL")</f>
        <v>65</v>
      </c>
      <c r="G1032" s="30" t="n">
        <f aca="false">IF('Boletins Nuppa Site'!J1032&lt;&gt;0,'Boletins Nuppa Site'!J1032,"NULL")</f>
        <v>65</v>
      </c>
      <c r="H1032" s="30" t="n">
        <f aca="false">IF('Boletins Nuppa Site'!K1032&lt;&gt;0,'Boletins Nuppa Site'!K1032,"NULL")</f>
        <v>65</v>
      </c>
      <c r="I1032" s="0" t="str">
        <f aca="false">"INSERT INTO COTACAO (cot_id, cot_blt_id, cot_pap_id, cot_prc_comum, cot_prc_min, cot_prc_max, cot_prc_med, cot_prc_mediana) VALUES ("&amp;A1032&amp;", "&amp;B1032&amp;", "&amp;C1032&amp;", "&amp;D1032&amp;", "&amp;E1032&amp;", "&amp;F1032&amp;", "&amp;G1032&amp;", "&amp;H1032&amp;");"</f>
        <v>INSERT INTO COTACAO (cot_id, cot_blt_id, cot_pap_id, cot_prc_comum, cot_prc_min, cot_prc_max, cot_prc_med, cot_prc_mediana) VALUES (1031, 63, 39, 65, 65, 65, 65, 65);</v>
      </c>
      <c r="J1032" s="0" t="str">
        <f aca="false">"UPDATE COTACAO SET cot_id = "&amp;A1032&amp;", cot_blt_id = "&amp;B1032&amp;", cot_pap_id = "&amp;C1032&amp;", cot_prc_comum = "&amp;D1032&amp;", cot_prc_min = "&amp;E1032&amp;", cot_prc_max = "&amp;F1032&amp;", cot_prc_med = "&amp;G1032&amp;", cot_prc_mediana = "&amp;H1032&amp;" WHERE cot_id = "&amp;A1032&amp;";"</f>
        <v>UPDATE COTACAO SET cot_id = 1031, cot_blt_id = 63, cot_pap_id = 39, cot_prc_comum = 65, cot_prc_min = 65, cot_prc_max = 65, cot_prc_med = 65, cot_prc_mediana = 65 WHERE cot_id = 1031;</v>
      </c>
    </row>
    <row r="1033" customFormat="false" ht="14.25" hidden="false" customHeight="false" outlineLevel="0" collapsed="false">
      <c r="A1033" s="0" t="n">
        <v>1032</v>
      </c>
      <c r="B1033" s="0" t="n">
        <f aca="false">IF('Boletins Nuppa Site'!A1033&lt;&gt;0,'Boletins Nuppa Site'!A1033,"NULL")</f>
        <v>63</v>
      </c>
      <c r="C1033" s="0" t="n">
        <v>40</v>
      </c>
      <c r="D1033" s="24" t="n">
        <f aca="false">IF('Boletins Nuppa Site'!G1033&lt;&gt;0,'Boletins Nuppa Site'!G1033,"NULL")</f>
        <v>50</v>
      </c>
      <c r="E1033" s="30" t="n">
        <f aca="false">IF('Boletins Nuppa Site'!H1033&lt;&gt;0,'Boletins Nuppa Site'!H1033,"NULL")</f>
        <v>50</v>
      </c>
      <c r="F1033" s="30" t="n">
        <f aca="false">IF('Boletins Nuppa Site'!I1033&lt;&gt;0,'Boletins Nuppa Site'!I1033,"NULL")</f>
        <v>50</v>
      </c>
      <c r="G1033" s="30" t="n">
        <f aca="false">IF('Boletins Nuppa Site'!J1033&lt;&gt;0,'Boletins Nuppa Site'!J1033,"NULL")</f>
        <v>50</v>
      </c>
      <c r="H1033" s="30" t="n">
        <f aca="false">IF('Boletins Nuppa Site'!K1033&lt;&gt;0,'Boletins Nuppa Site'!K1033,"NULL")</f>
        <v>50</v>
      </c>
      <c r="I1033" s="0" t="str">
        <f aca="false">"INSERT INTO COTACAO (cot_id, cot_blt_id, cot_pap_id, cot_prc_comum, cot_prc_min, cot_prc_max, cot_prc_med, cot_prc_mediana) VALUES ("&amp;A1033&amp;", "&amp;B1033&amp;", "&amp;C1033&amp;", "&amp;D1033&amp;", "&amp;E1033&amp;", "&amp;F1033&amp;", "&amp;G1033&amp;", "&amp;H1033&amp;");"</f>
        <v>INSERT INTO COTACAO (cot_id, cot_blt_id, cot_pap_id, cot_prc_comum, cot_prc_min, cot_prc_max, cot_prc_med, cot_prc_mediana) VALUES (1032, 63, 40, 50, 50, 50, 50, 50);</v>
      </c>
      <c r="J1033" s="0" t="str">
        <f aca="false">"UPDATE COTACAO SET cot_id = "&amp;A1033&amp;", cot_blt_id = "&amp;B1033&amp;", cot_pap_id = "&amp;C1033&amp;", cot_prc_comum = "&amp;D1033&amp;", cot_prc_min = "&amp;E1033&amp;", cot_prc_max = "&amp;F1033&amp;", cot_prc_med = "&amp;G1033&amp;", cot_prc_mediana = "&amp;H1033&amp;" WHERE cot_id = "&amp;A1033&amp;";"</f>
        <v>UPDATE COTACAO SET cot_id = 1032, cot_blt_id = 63, cot_pap_id = 40, cot_prc_comum = 50, cot_prc_min = 50, cot_prc_max = 50, cot_prc_med = 50, cot_prc_mediana = 50 WHERE cot_id = 1032;</v>
      </c>
    </row>
    <row r="1034" customFormat="false" ht="14.25" hidden="false" customHeight="false" outlineLevel="0" collapsed="false">
      <c r="A1034" s="0" t="n">
        <v>1033</v>
      </c>
      <c r="B1034" s="0" t="n">
        <f aca="false">IF('Boletins Nuppa Site'!A1034&lt;&gt;0,'Boletins Nuppa Site'!A1034,"NULL")</f>
        <v>64</v>
      </c>
      <c r="C1034" s="0" t="n">
        <v>1</v>
      </c>
      <c r="D1034" s="0" t="str">
        <f aca="false">IF('Boletins Nuppa Site'!G1034&lt;&gt;0,'Boletins Nuppa Site'!G1034,"NULL")</f>
        <v>NULL</v>
      </c>
      <c r="E1034" s="30" t="n">
        <f aca="false">IF('Boletins Nuppa Site'!H1034&lt;&gt;0,'Boletins Nuppa Site'!H1034,"NULL")</f>
        <v>48</v>
      </c>
      <c r="F1034" s="30" t="n">
        <f aca="false">IF('Boletins Nuppa Site'!I1034&lt;&gt;0,'Boletins Nuppa Site'!I1034,"NULL")</f>
        <v>60</v>
      </c>
      <c r="G1034" s="30" t="n">
        <f aca="false">IF('Boletins Nuppa Site'!J1034&lt;&gt;0,'Boletins Nuppa Site'!J1034,"NULL")</f>
        <v>54</v>
      </c>
      <c r="H1034" s="30" t="n">
        <f aca="false">IF('Boletins Nuppa Site'!K1034&lt;&gt;0,'Boletins Nuppa Site'!K1034,"NULL")</f>
        <v>54</v>
      </c>
      <c r="I1034" s="0" t="str">
        <f aca="false">"INSERT INTO COTACAO (cot_id, cot_blt_id, cot_pap_id, cot_prc_comum, cot_prc_min, cot_prc_max, cot_prc_med, cot_prc_mediana) VALUES ("&amp;A1034&amp;", "&amp;B1034&amp;", "&amp;C1034&amp;", "&amp;D1034&amp;", "&amp;E1034&amp;", "&amp;F1034&amp;", "&amp;G1034&amp;", "&amp;H1034&amp;");"</f>
        <v>INSERT INTO COTACAO (cot_id, cot_blt_id, cot_pap_id, cot_prc_comum, cot_prc_min, cot_prc_max, cot_prc_med, cot_prc_mediana) VALUES (1033, 64, 1, NULL, 48, 60, 54, 54);</v>
      </c>
      <c r="J1034" s="0" t="str">
        <f aca="false">"UPDATE COTACAO SET cot_id = "&amp;A1034&amp;", cot_blt_id = "&amp;B1034&amp;", cot_pap_id = "&amp;C1034&amp;", cot_prc_comum = "&amp;D1034&amp;", cot_prc_min = "&amp;E1034&amp;", cot_prc_max = "&amp;F1034&amp;", cot_prc_med = "&amp;G1034&amp;", cot_prc_mediana = "&amp;H1034&amp;" WHERE cot_id = "&amp;A1034&amp;";"</f>
        <v>UPDATE COTACAO SET cot_id = 1033, cot_blt_id = 64, cot_pap_id = 1, cot_prc_comum = NULL, cot_prc_min = 48, cot_prc_max = 60, cot_prc_med = 54, cot_prc_mediana = 54 WHERE cot_id = 1033;</v>
      </c>
    </row>
    <row r="1035" customFormat="false" ht="14.25" hidden="false" customHeight="false" outlineLevel="0" collapsed="false">
      <c r="A1035" s="0" t="n">
        <v>1034</v>
      </c>
      <c r="B1035" s="0" t="n">
        <f aca="false">IF('Boletins Nuppa Site'!A1035&lt;&gt;0,'Boletins Nuppa Site'!A1035,"NULL")</f>
        <v>64</v>
      </c>
      <c r="C1035" s="0" t="n">
        <v>2</v>
      </c>
      <c r="D1035" s="0" t="str">
        <f aca="false">IF('Boletins Nuppa Site'!G1035&lt;&gt;0,'Boletins Nuppa Site'!G1035,"NULL")</f>
        <v>NULL</v>
      </c>
      <c r="E1035" s="30" t="n">
        <f aca="false">IF('Boletins Nuppa Site'!H1035&lt;&gt;0,'Boletins Nuppa Site'!H1035,"NULL")</f>
        <v>60</v>
      </c>
      <c r="F1035" s="30" t="n">
        <f aca="false">IF('Boletins Nuppa Site'!I1035&lt;&gt;0,'Boletins Nuppa Site'!I1035,"NULL")</f>
        <v>84</v>
      </c>
      <c r="G1035" s="30" t="n">
        <f aca="false">IF('Boletins Nuppa Site'!J1035&lt;&gt;0,'Boletins Nuppa Site'!J1035,"NULL")</f>
        <v>72</v>
      </c>
      <c r="H1035" s="30" t="n">
        <f aca="false">IF('Boletins Nuppa Site'!K1035&lt;&gt;0,'Boletins Nuppa Site'!K1035,"NULL")</f>
        <v>72</v>
      </c>
      <c r="I1035" s="0" t="str">
        <f aca="false">"INSERT INTO COTACAO (cot_id, cot_blt_id, cot_pap_id, cot_prc_comum, cot_prc_min, cot_prc_max, cot_prc_med, cot_prc_mediana) VALUES ("&amp;A1035&amp;", "&amp;B1035&amp;", "&amp;C1035&amp;", "&amp;D1035&amp;", "&amp;E1035&amp;", "&amp;F1035&amp;", "&amp;G1035&amp;", "&amp;H1035&amp;");"</f>
        <v>INSERT INTO COTACAO (cot_id, cot_blt_id, cot_pap_id, cot_prc_comum, cot_prc_min, cot_prc_max, cot_prc_med, cot_prc_mediana) VALUES (1034, 64, 2, NULL, 60, 84, 72, 72);</v>
      </c>
      <c r="J1035" s="0" t="str">
        <f aca="false">"UPDATE COTACAO SET cot_id = "&amp;A1035&amp;", cot_blt_id = "&amp;B1035&amp;", cot_pap_id = "&amp;C1035&amp;", cot_prc_comum = "&amp;D1035&amp;", cot_prc_min = "&amp;E1035&amp;", cot_prc_max = "&amp;F1035&amp;", cot_prc_med = "&amp;G1035&amp;", cot_prc_mediana = "&amp;H1035&amp;" WHERE cot_id = "&amp;A1035&amp;";"</f>
        <v>UPDATE COTACAO SET cot_id = 1034, cot_blt_id = 64, cot_pap_id = 2, cot_prc_comum = NULL, cot_prc_min = 60, cot_prc_max = 84, cot_prc_med = 72, cot_prc_mediana = 72 WHERE cot_id = 1034;</v>
      </c>
    </row>
    <row r="1036" customFormat="false" ht="14.25" hidden="false" customHeight="false" outlineLevel="0" collapsed="false">
      <c r="A1036" s="0" t="n">
        <v>1035</v>
      </c>
      <c r="B1036" s="0" t="n">
        <f aca="false">IF('Boletins Nuppa Site'!A1036&lt;&gt;0,'Boletins Nuppa Site'!A1036,"NULL")</f>
        <v>64</v>
      </c>
      <c r="C1036" s="0" t="n">
        <v>3</v>
      </c>
      <c r="D1036" s="0" t="str">
        <f aca="false">IF('Boletins Nuppa Site'!G1036&lt;&gt;0,'Boletins Nuppa Site'!G1036,"NULL")</f>
        <v>NULL</v>
      </c>
      <c r="E1036" s="30" t="n">
        <f aca="false">IF('Boletins Nuppa Site'!H1036&lt;&gt;0,'Boletins Nuppa Site'!H1036,"NULL")</f>
        <v>30</v>
      </c>
      <c r="F1036" s="30" t="n">
        <f aca="false">IF('Boletins Nuppa Site'!I1036&lt;&gt;0,'Boletins Nuppa Site'!I1036,"NULL")</f>
        <v>36</v>
      </c>
      <c r="G1036" s="0" t="str">
        <f aca="false">IF('Boletins Nuppa Site'!J1036&lt;&gt;0,'Boletins Nuppa Site'!J1036,"NULL")</f>
        <v>33.67</v>
      </c>
      <c r="H1036" s="30" t="n">
        <f aca="false">IF('Boletins Nuppa Site'!K1036&lt;&gt;0,'Boletins Nuppa Site'!K1036,"NULL")</f>
        <v>35</v>
      </c>
      <c r="I1036" s="0" t="str">
        <f aca="false">"INSERT INTO COTACAO (cot_id, cot_blt_id, cot_pap_id, cot_prc_comum, cot_prc_min, cot_prc_max, cot_prc_med, cot_prc_mediana) VALUES ("&amp;A1036&amp;", "&amp;B1036&amp;", "&amp;C1036&amp;", "&amp;D1036&amp;", "&amp;E1036&amp;", "&amp;F1036&amp;", "&amp;G1036&amp;", "&amp;H1036&amp;");"</f>
        <v>INSERT INTO COTACAO (cot_id, cot_blt_id, cot_pap_id, cot_prc_comum, cot_prc_min, cot_prc_max, cot_prc_med, cot_prc_mediana) VALUES (1035, 64, 3, NULL, 30, 36, 33.67, 35);</v>
      </c>
      <c r="J1036" s="0" t="str">
        <f aca="false">"UPDATE COTACAO SET cot_id = "&amp;A1036&amp;", cot_blt_id = "&amp;B1036&amp;", cot_pap_id = "&amp;C1036&amp;", cot_prc_comum = "&amp;D1036&amp;", cot_prc_min = "&amp;E1036&amp;", cot_prc_max = "&amp;F1036&amp;", cot_prc_med = "&amp;G1036&amp;", cot_prc_mediana = "&amp;H1036&amp;" WHERE cot_id = "&amp;A1036&amp;";"</f>
        <v>UPDATE COTACAO SET cot_id = 1035, cot_blt_id = 64, cot_pap_id = 3, cot_prc_comum = NULL, cot_prc_min = 30, cot_prc_max = 36, cot_prc_med = 33.67, cot_prc_mediana = 35 WHERE cot_id = 1035;</v>
      </c>
    </row>
    <row r="1037" customFormat="false" ht="14.25" hidden="false" customHeight="false" outlineLevel="0" collapsed="false">
      <c r="A1037" s="0" t="n">
        <v>1036</v>
      </c>
      <c r="B1037" s="0" t="n">
        <f aca="false">IF('Boletins Nuppa Site'!A1037&lt;&gt;0,'Boletins Nuppa Site'!A1037,"NULL")</f>
        <v>64</v>
      </c>
      <c r="C1037" s="0" t="n">
        <v>4</v>
      </c>
      <c r="D1037" s="30" t="n">
        <f aca="false">IF('Boletins Nuppa Site'!G1037&lt;&gt;0,'Boletins Nuppa Site'!G1037,"NULL")</f>
        <v>18</v>
      </c>
      <c r="E1037" s="30" t="n">
        <f aca="false">IF('Boletins Nuppa Site'!H1037&lt;&gt;0,'Boletins Nuppa Site'!H1037,"NULL")</f>
        <v>15</v>
      </c>
      <c r="F1037" s="30" t="n">
        <f aca="false">IF('Boletins Nuppa Site'!I1037&lt;&gt;0,'Boletins Nuppa Site'!I1037,"NULL")</f>
        <v>18</v>
      </c>
      <c r="G1037" s="30" t="n">
        <f aca="false">IF('Boletins Nuppa Site'!J1037&lt;&gt;0,'Boletins Nuppa Site'!J1037,"NULL")</f>
        <v>17</v>
      </c>
      <c r="H1037" s="30" t="n">
        <f aca="false">IF('Boletins Nuppa Site'!K1037&lt;&gt;0,'Boletins Nuppa Site'!K1037,"NULL")</f>
        <v>18</v>
      </c>
      <c r="I1037" s="0" t="str">
        <f aca="false">"INSERT INTO COTACAO (cot_id, cot_blt_id, cot_pap_id, cot_prc_comum, cot_prc_min, cot_prc_max, cot_prc_med, cot_prc_mediana) VALUES ("&amp;A1037&amp;", "&amp;B1037&amp;", "&amp;C1037&amp;", "&amp;D1037&amp;", "&amp;E1037&amp;", "&amp;F1037&amp;", "&amp;G1037&amp;", "&amp;H1037&amp;");"</f>
        <v>INSERT INTO COTACAO (cot_id, cot_blt_id, cot_pap_id, cot_prc_comum, cot_prc_min, cot_prc_max, cot_prc_med, cot_prc_mediana) VALUES (1036, 64, 4, 18, 15, 18, 17, 18);</v>
      </c>
      <c r="J1037" s="0" t="str">
        <f aca="false">"UPDATE COTACAO SET cot_id = "&amp;A1037&amp;", cot_blt_id = "&amp;B1037&amp;", cot_pap_id = "&amp;C1037&amp;", cot_prc_comum = "&amp;D1037&amp;", cot_prc_min = "&amp;E1037&amp;", cot_prc_max = "&amp;F1037&amp;", cot_prc_med = "&amp;G1037&amp;", cot_prc_mediana = "&amp;H1037&amp;" WHERE cot_id = "&amp;A1037&amp;";"</f>
        <v>UPDATE COTACAO SET cot_id = 1036, cot_blt_id = 64, cot_pap_id = 4, cot_prc_comum = 18, cot_prc_min = 15, cot_prc_max = 18, cot_prc_med = 17, cot_prc_mediana = 18 WHERE cot_id = 1036;</v>
      </c>
    </row>
    <row r="1038" customFormat="false" ht="14.25" hidden="false" customHeight="false" outlineLevel="0" collapsed="false">
      <c r="A1038" s="0" t="n">
        <v>1037</v>
      </c>
      <c r="B1038" s="0" t="n">
        <f aca="false">IF('Boletins Nuppa Site'!A1038&lt;&gt;0,'Boletins Nuppa Site'!A1038,"NULL")</f>
        <v>64</v>
      </c>
      <c r="C1038" s="0" t="n">
        <v>5</v>
      </c>
      <c r="D1038" s="0" t="str">
        <f aca="false">IF('Boletins Nuppa Site'!G1038&lt;&gt;0,'Boletins Nuppa Site'!G1038,"NULL")</f>
        <v>NULL</v>
      </c>
      <c r="E1038" s="30" t="n">
        <f aca="false">IF('Boletins Nuppa Site'!H1038&lt;&gt;0,'Boletins Nuppa Site'!H1038,"NULL")</f>
        <v>15</v>
      </c>
      <c r="F1038" s="30" t="n">
        <f aca="false">IF('Boletins Nuppa Site'!I1038&lt;&gt;0,'Boletins Nuppa Site'!I1038,"NULL")</f>
        <v>60</v>
      </c>
      <c r="G1038" s="0" t="str">
        <f aca="false">IF('Boletins Nuppa Site'!J1038&lt;&gt;0,'Boletins Nuppa Site'!J1038,"NULL")</f>
        <v>37.5</v>
      </c>
      <c r="H1038" s="0" t="str">
        <f aca="false">IF('Boletins Nuppa Site'!K1038&lt;&gt;0,'Boletins Nuppa Site'!K1038,"NULL")</f>
        <v>37.5</v>
      </c>
      <c r="I1038" s="0" t="str">
        <f aca="false">"INSERT INTO COTACAO (cot_id, cot_blt_id, cot_pap_id, cot_prc_comum, cot_prc_min, cot_prc_max, cot_prc_med, cot_prc_mediana) VALUES ("&amp;A1038&amp;", "&amp;B1038&amp;", "&amp;C1038&amp;", "&amp;D1038&amp;", "&amp;E1038&amp;", "&amp;F1038&amp;", "&amp;G1038&amp;", "&amp;H1038&amp;");"</f>
        <v>INSERT INTO COTACAO (cot_id, cot_blt_id, cot_pap_id, cot_prc_comum, cot_prc_min, cot_prc_max, cot_prc_med, cot_prc_mediana) VALUES (1037, 64, 5, NULL, 15, 60, 37.5, 37.5);</v>
      </c>
      <c r="J1038" s="0" t="str">
        <f aca="false">"UPDATE COTACAO SET cot_id = "&amp;A1038&amp;", cot_blt_id = "&amp;B1038&amp;", cot_pap_id = "&amp;C1038&amp;", cot_prc_comum = "&amp;D1038&amp;", cot_prc_min = "&amp;E1038&amp;", cot_prc_max = "&amp;F1038&amp;", cot_prc_med = "&amp;G1038&amp;", cot_prc_mediana = "&amp;H1038&amp;" WHERE cot_id = "&amp;A1038&amp;";"</f>
        <v>UPDATE COTACAO SET cot_id = 1037, cot_blt_id = 64, cot_pap_id = 5, cot_prc_comum = NULL, cot_prc_min = 15, cot_prc_max = 60, cot_prc_med = 37.5, cot_prc_mediana = 37.5 WHERE cot_id = 1037;</v>
      </c>
    </row>
    <row r="1039" customFormat="false" ht="14.25" hidden="false" customHeight="false" outlineLevel="0" collapsed="false">
      <c r="A1039" s="0" t="n">
        <v>1038</v>
      </c>
      <c r="B1039" s="0" t="n">
        <f aca="false">IF('Boletins Nuppa Site'!A1039&lt;&gt;0,'Boletins Nuppa Site'!A1039,"NULL")</f>
        <v>64</v>
      </c>
      <c r="C1039" s="0" t="n">
        <v>6</v>
      </c>
      <c r="D1039" s="30" t="n">
        <f aca="false">IF('Boletins Nuppa Site'!G1039&lt;&gt;0,'Boletins Nuppa Site'!G1039,"NULL")</f>
        <v>60</v>
      </c>
      <c r="E1039" s="30" t="n">
        <f aca="false">IF('Boletins Nuppa Site'!H1039&lt;&gt;0,'Boletins Nuppa Site'!H1039,"NULL")</f>
        <v>60</v>
      </c>
      <c r="F1039" s="30" t="n">
        <f aca="false">IF('Boletins Nuppa Site'!I1039&lt;&gt;0,'Boletins Nuppa Site'!I1039,"NULL")</f>
        <v>60</v>
      </c>
      <c r="G1039" s="30" t="n">
        <f aca="false">IF('Boletins Nuppa Site'!J1039&lt;&gt;0,'Boletins Nuppa Site'!J1039,"NULL")</f>
        <v>60</v>
      </c>
      <c r="H1039" s="30" t="n">
        <f aca="false">IF('Boletins Nuppa Site'!K1039&lt;&gt;0,'Boletins Nuppa Site'!K1039,"NULL")</f>
        <v>60</v>
      </c>
      <c r="I1039" s="0" t="str">
        <f aca="false">"INSERT INTO COTACAO (cot_id, cot_blt_id, cot_pap_id, cot_prc_comum, cot_prc_min, cot_prc_max, cot_prc_med, cot_prc_mediana) VALUES ("&amp;A1039&amp;", "&amp;B1039&amp;", "&amp;C1039&amp;", "&amp;D1039&amp;", "&amp;E1039&amp;", "&amp;F1039&amp;", "&amp;G1039&amp;", "&amp;H1039&amp;");"</f>
        <v>INSERT INTO COTACAO (cot_id, cot_blt_id, cot_pap_id, cot_prc_comum, cot_prc_min, cot_prc_max, cot_prc_med, cot_prc_mediana) VALUES (1038, 64, 6, 60, 60, 60, 60, 60);</v>
      </c>
      <c r="J1039" s="0" t="str">
        <f aca="false">"UPDATE COTACAO SET cot_id = "&amp;A1039&amp;", cot_blt_id = "&amp;B1039&amp;", cot_pap_id = "&amp;C1039&amp;", cot_prc_comum = "&amp;D1039&amp;", cot_prc_min = "&amp;E1039&amp;", cot_prc_max = "&amp;F1039&amp;", cot_prc_med = "&amp;G1039&amp;", cot_prc_mediana = "&amp;H1039&amp;" WHERE cot_id = "&amp;A1039&amp;";"</f>
        <v>UPDATE COTACAO SET cot_id = 1038, cot_blt_id = 64, cot_pap_id = 6, cot_prc_comum = 60, cot_prc_min = 60, cot_prc_max = 60, cot_prc_med = 60, cot_prc_mediana = 60 WHERE cot_id = 1038;</v>
      </c>
    </row>
    <row r="1040" customFormat="false" ht="14.25" hidden="false" customHeight="false" outlineLevel="0" collapsed="false">
      <c r="A1040" s="0" t="n">
        <v>1039</v>
      </c>
      <c r="B1040" s="0" t="n">
        <f aca="false">IF('Boletins Nuppa Site'!A1040&lt;&gt;0,'Boletins Nuppa Site'!A1040,"NULL")</f>
        <v>64</v>
      </c>
      <c r="C1040" s="0" t="n">
        <v>7</v>
      </c>
      <c r="D1040" s="0" t="str">
        <f aca="false">IF('Boletins Nuppa Site'!G1040&lt;&gt;0,'Boletins Nuppa Site'!G1040,"NULL")</f>
        <v>NULL</v>
      </c>
      <c r="E1040" s="30" t="n">
        <f aca="false">IF('Boletins Nuppa Site'!H1040&lt;&gt;0,'Boletins Nuppa Site'!H1040,"NULL")</f>
        <v>60</v>
      </c>
      <c r="F1040" s="30" t="n">
        <f aca="false">IF('Boletins Nuppa Site'!I1040&lt;&gt;0,'Boletins Nuppa Site'!I1040,"NULL")</f>
        <v>72</v>
      </c>
      <c r="G1040" s="30" t="n">
        <f aca="false">IF('Boletins Nuppa Site'!J1040&lt;&gt;0,'Boletins Nuppa Site'!J1040,"NULL")</f>
        <v>66</v>
      </c>
      <c r="H1040" s="30" t="n">
        <f aca="false">IF('Boletins Nuppa Site'!K1040&lt;&gt;0,'Boletins Nuppa Site'!K1040,"NULL")</f>
        <v>66</v>
      </c>
      <c r="I1040" s="0" t="str">
        <f aca="false">"INSERT INTO COTACAO (cot_id, cot_blt_id, cot_pap_id, cot_prc_comum, cot_prc_min, cot_prc_max, cot_prc_med, cot_prc_mediana) VALUES ("&amp;A1040&amp;", "&amp;B1040&amp;", "&amp;C1040&amp;", "&amp;D1040&amp;", "&amp;E1040&amp;", "&amp;F1040&amp;", "&amp;G1040&amp;", "&amp;H1040&amp;");"</f>
        <v>INSERT INTO COTACAO (cot_id, cot_blt_id, cot_pap_id, cot_prc_comum, cot_prc_min, cot_prc_max, cot_prc_med, cot_prc_mediana) VALUES (1039, 64, 7, NULL, 60, 72, 66, 66);</v>
      </c>
      <c r="J1040" s="0" t="str">
        <f aca="false">"UPDATE COTACAO SET cot_id = "&amp;A1040&amp;", cot_blt_id = "&amp;B1040&amp;", cot_pap_id = "&amp;C1040&amp;", cot_prc_comum = "&amp;D1040&amp;", cot_prc_min = "&amp;E1040&amp;", cot_prc_max = "&amp;F1040&amp;", cot_prc_med = "&amp;G1040&amp;", cot_prc_mediana = "&amp;H1040&amp;" WHERE cot_id = "&amp;A1040&amp;";"</f>
        <v>UPDATE COTACAO SET cot_id = 1039, cot_blt_id = 64, cot_pap_id = 7, cot_prc_comum = NULL, cot_prc_min = 60, cot_prc_max = 72, cot_prc_med = 66, cot_prc_mediana = 66 WHERE cot_id = 1039;</v>
      </c>
    </row>
    <row r="1041" customFormat="false" ht="14.25" hidden="false" customHeight="false" outlineLevel="0" collapsed="false">
      <c r="A1041" s="0" t="n">
        <v>1040</v>
      </c>
      <c r="B1041" s="0" t="n">
        <f aca="false">IF('Boletins Nuppa Site'!A1041&lt;&gt;0,'Boletins Nuppa Site'!A1041,"NULL")</f>
        <v>64</v>
      </c>
      <c r="C1041" s="0" t="n">
        <v>8</v>
      </c>
      <c r="D1041" s="30" t="n">
        <f aca="false">IF('Boletins Nuppa Site'!G1041&lt;&gt;0,'Boletins Nuppa Site'!G1041,"NULL")</f>
        <v>72</v>
      </c>
      <c r="E1041" s="30" t="n">
        <f aca="false">IF('Boletins Nuppa Site'!H1041&lt;&gt;0,'Boletins Nuppa Site'!H1041,"NULL")</f>
        <v>72</v>
      </c>
      <c r="F1041" s="30" t="n">
        <f aca="false">IF('Boletins Nuppa Site'!I1041&lt;&gt;0,'Boletins Nuppa Site'!I1041,"NULL")</f>
        <v>72</v>
      </c>
      <c r="G1041" s="30" t="n">
        <f aca="false">IF('Boletins Nuppa Site'!J1041&lt;&gt;0,'Boletins Nuppa Site'!J1041,"NULL")</f>
        <v>72</v>
      </c>
      <c r="H1041" s="30" t="n">
        <f aca="false">IF('Boletins Nuppa Site'!K1041&lt;&gt;0,'Boletins Nuppa Site'!K1041,"NULL")</f>
        <v>72</v>
      </c>
      <c r="I1041" s="0" t="str">
        <f aca="false">"INSERT INTO COTACAO (cot_id, cot_blt_id, cot_pap_id, cot_prc_comum, cot_prc_min, cot_prc_max, cot_prc_med, cot_prc_mediana) VALUES ("&amp;A1041&amp;", "&amp;B1041&amp;", "&amp;C1041&amp;", "&amp;D1041&amp;", "&amp;E1041&amp;", "&amp;F1041&amp;", "&amp;G1041&amp;", "&amp;H1041&amp;");"</f>
        <v>INSERT INTO COTACAO (cot_id, cot_blt_id, cot_pap_id, cot_prc_comum, cot_prc_min, cot_prc_max, cot_prc_med, cot_prc_mediana) VALUES (1040, 64, 8, 72, 72, 72, 72, 72);</v>
      </c>
      <c r="J1041" s="0" t="str">
        <f aca="false">"UPDATE COTACAO SET cot_id = "&amp;A1041&amp;", cot_blt_id = "&amp;B1041&amp;", cot_pap_id = "&amp;C1041&amp;", cot_prc_comum = "&amp;D1041&amp;", cot_prc_min = "&amp;E1041&amp;", cot_prc_max = "&amp;F1041&amp;", cot_prc_med = "&amp;G1041&amp;", cot_prc_mediana = "&amp;H1041&amp;" WHERE cot_id = "&amp;A1041&amp;";"</f>
        <v>UPDATE COTACAO SET cot_id = 1040, cot_blt_id = 64, cot_pap_id = 8, cot_prc_comum = 72, cot_prc_min = 72, cot_prc_max = 72, cot_prc_med = 72, cot_prc_mediana = 72 WHERE cot_id = 1040;</v>
      </c>
    </row>
    <row r="1042" customFormat="false" ht="14.25" hidden="false" customHeight="false" outlineLevel="0" collapsed="false">
      <c r="A1042" s="0" t="n">
        <v>1041</v>
      </c>
      <c r="B1042" s="0" t="n">
        <f aca="false">IF('Boletins Nuppa Site'!A1042&lt;&gt;0,'Boletins Nuppa Site'!A1042,"NULL")</f>
        <v>64</v>
      </c>
      <c r="C1042" s="0" t="n">
        <v>9</v>
      </c>
      <c r="D1042" s="30" t="n">
        <f aca="false">IF('Boletins Nuppa Site'!G1042&lt;&gt;0,'Boletins Nuppa Site'!G1042,"NULL")</f>
        <v>18</v>
      </c>
      <c r="E1042" s="30" t="n">
        <f aca="false">IF('Boletins Nuppa Site'!H1042&lt;&gt;0,'Boletins Nuppa Site'!H1042,"NULL")</f>
        <v>18</v>
      </c>
      <c r="F1042" s="30" t="n">
        <f aca="false">IF('Boletins Nuppa Site'!I1042&lt;&gt;0,'Boletins Nuppa Site'!I1042,"NULL")</f>
        <v>24</v>
      </c>
      <c r="G1042" s="30" t="n">
        <f aca="false">IF('Boletins Nuppa Site'!J1042&lt;&gt;0,'Boletins Nuppa Site'!J1042,"NULL")</f>
        <v>20</v>
      </c>
      <c r="H1042" s="30" t="n">
        <f aca="false">IF('Boletins Nuppa Site'!K1042&lt;&gt;0,'Boletins Nuppa Site'!K1042,"NULL")</f>
        <v>18</v>
      </c>
      <c r="I1042" s="0" t="str">
        <f aca="false">"INSERT INTO COTACAO (cot_id, cot_blt_id, cot_pap_id, cot_prc_comum, cot_prc_min, cot_prc_max, cot_prc_med, cot_prc_mediana) VALUES ("&amp;A1042&amp;", "&amp;B1042&amp;", "&amp;C1042&amp;", "&amp;D1042&amp;", "&amp;E1042&amp;", "&amp;F1042&amp;", "&amp;G1042&amp;", "&amp;H1042&amp;");"</f>
        <v>INSERT INTO COTACAO (cot_id, cot_blt_id, cot_pap_id, cot_prc_comum, cot_prc_min, cot_prc_max, cot_prc_med, cot_prc_mediana) VALUES (1041, 64, 9, 18, 18, 24, 20, 18);</v>
      </c>
      <c r="J1042" s="0" t="str">
        <f aca="false">"UPDATE COTACAO SET cot_id = "&amp;A1042&amp;", cot_blt_id = "&amp;B1042&amp;", cot_pap_id = "&amp;C1042&amp;", cot_prc_comum = "&amp;D1042&amp;", cot_prc_min = "&amp;E1042&amp;", cot_prc_max = "&amp;F1042&amp;", cot_prc_med = "&amp;G1042&amp;", cot_prc_mediana = "&amp;H1042&amp;" WHERE cot_id = "&amp;A1042&amp;";"</f>
        <v>UPDATE COTACAO SET cot_id = 1041, cot_blt_id = 64, cot_pap_id = 9, cot_prc_comum = 18, cot_prc_min = 18, cot_prc_max = 24, cot_prc_med = 20, cot_prc_mediana = 18 WHERE cot_id = 1041;</v>
      </c>
    </row>
    <row r="1043" customFormat="false" ht="14.25" hidden="false" customHeight="false" outlineLevel="0" collapsed="false">
      <c r="A1043" s="0" t="n">
        <v>1042</v>
      </c>
      <c r="B1043" s="0" t="n">
        <f aca="false">IF('Boletins Nuppa Site'!A1043&lt;&gt;0,'Boletins Nuppa Site'!A1043,"NULL")</f>
        <v>64</v>
      </c>
      <c r="C1043" s="0" t="n">
        <v>10</v>
      </c>
      <c r="D1043" s="0" t="str">
        <f aca="false">IF('Boletins Nuppa Site'!G1043&lt;&gt;0,'Boletins Nuppa Site'!G1043,"NULL")</f>
        <v>NULL</v>
      </c>
      <c r="E1043" s="30" t="n">
        <f aca="false">IF('Boletins Nuppa Site'!H1043&lt;&gt;0,'Boletins Nuppa Site'!H1043,"NULL")</f>
        <v>72</v>
      </c>
      <c r="F1043" s="30" t="n">
        <f aca="false">IF('Boletins Nuppa Site'!I1043&lt;&gt;0,'Boletins Nuppa Site'!I1043,"NULL")</f>
        <v>84</v>
      </c>
      <c r="G1043" s="30" t="n">
        <f aca="false">IF('Boletins Nuppa Site'!J1043&lt;&gt;0,'Boletins Nuppa Site'!J1043,"NULL")</f>
        <v>78</v>
      </c>
      <c r="H1043" s="30" t="n">
        <f aca="false">IF('Boletins Nuppa Site'!K1043&lt;&gt;0,'Boletins Nuppa Site'!K1043,"NULL")</f>
        <v>78</v>
      </c>
      <c r="I1043" s="0" t="str">
        <f aca="false">"INSERT INTO COTACAO (cot_id, cot_blt_id, cot_pap_id, cot_prc_comum, cot_prc_min, cot_prc_max, cot_prc_med, cot_prc_mediana) VALUES ("&amp;A1043&amp;", "&amp;B1043&amp;", "&amp;C1043&amp;", "&amp;D1043&amp;", "&amp;E1043&amp;", "&amp;F1043&amp;", "&amp;G1043&amp;", "&amp;H1043&amp;");"</f>
        <v>INSERT INTO COTACAO (cot_id, cot_blt_id, cot_pap_id, cot_prc_comum, cot_prc_min, cot_prc_max, cot_prc_med, cot_prc_mediana) VALUES (1042, 64, 10, NULL, 72, 84, 78, 78);</v>
      </c>
      <c r="J1043" s="0" t="str">
        <f aca="false">"UPDATE COTACAO SET cot_id = "&amp;A1043&amp;", cot_blt_id = "&amp;B1043&amp;", cot_pap_id = "&amp;C1043&amp;", cot_prc_comum = "&amp;D1043&amp;", cot_prc_min = "&amp;E1043&amp;", cot_prc_max = "&amp;F1043&amp;", cot_prc_med = "&amp;G1043&amp;", cot_prc_mediana = "&amp;H1043&amp;" WHERE cot_id = "&amp;A1043&amp;";"</f>
        <v>UPDATE COTACAO SET cot_id = 1042, cot_blt_id = 64, cot_pap_id = 10, cot_prc_comum = NULL, cot_prc_min = 72, cot_prc_max = 84, cot_prc_med = 78, cot_prc_mediana = 78 WHERE cot_id = 1042;</v>
      </c>
    </row>
    <row r="1044" customFormat="false" ht="14.25" hidden="false" customHeight="false" outlineLevel="0" collapsed="false">
      <c r="A1044" s="0" t="n">
        <v>1043</v>
      </c>
      <c r="B1044" s="0" t="n">
        <f aca="false">IF('Boletins Nuppa Site'!A1044&lt;&gt;0,'Boletins Nuppa Site'!A1044,"NULL")</f>
        <v>64</v>
      </c>
      <c r="C1044" s="0" t="n">
        <v>11</v>
      </c>
      <c r="D1044" s="0" t="str">
        <f aca="false">IF('Boletins Nuppa Site'!G1044&lt;&gt;0,'Boletins Nuppa Site'!G1044,"NULL")</f>
        <v>NULL</v>
      </c>
      <c r="E1044" s="30" t="n">
        <f aca="false">IF('Boletins Nuppa Site'!H1044&lt;&gt;0,'Boletins Nuppa Site'!H1044,"NULL")</f>
        <v>15</v>
      </c>
      <c r="F1044" s="30" t="n">
        <f aca="false">IF('Boletins Nuppa Site'!I1044&lt;&gt;0,'Boletins Nuppa Site'!I1044,"NULL")</f>
        <v>24</v>
      </c>
      <c r="G1044" s="30" t="n">
        <f aca="false">IF('Boletins Nuppa Site'!J1044&lt;&gt;0,'Boletins Nuppa Site'!J1044,"NULL")</f>
        <v>19</v>
      </c>
      <c r="H1044" s="30" t="n">
        <f aca="false">IF('Boletins Nuppa Site'!K1044&lt;&gt;0,'Boletins Nuppa Site'!K1044,"NULL")</f>
        <v>18</v>
      </c>
      <c r="I1044" s="0" t="str">
        <f aca="false">"INSERT INTO COTACAO (cot_id, cot_blt_id, cot_pap_id, cot_prc_comum, cot_prc_min, cot_prc_max, cot_prc_med, cot_prc_mediana) VALUES ("&amp;A1044&amp;", "&amp;B1044&amp;", "&amp;C1044&amp;", "&amp;D1044&amp;", "&amp;E1044&amp;", "&amp;F1044&amp;", "&amp;G1044&amp;", "&amp;H1044&amp;");"</f>
        <v>INSERT INTO COTACAO (cot_id, cot_blt_id, cot_pap_id, cot_prc_comum, cot_prc_min, cot_prc_max, cot_prc_med, cot_prc_mediana) VALUES (1043, 64, 11, NULL, 15, 24, 19, 18);</v>
      </c>
      <c r="J1044" s="0" t="str">
        <f aca="false">"UPDATE COTACAO SET cot_id = "&amp;A1044&amp;", cot_blt_id = "&amp;B1044&amp;", cot_pap_id = "&amp;C1044&amp;", cot_prc_comum = "&amp;D1044&amp;", cot_prc_min = "&amp;E1044&amp;", cot_prc_max = "&amp;F1044&amp;", cot_prc_med = "&amp;G1044&amp;", cot_prc_mediana = "&amp;H1044&amp;" WHERE cot_id = "&amp;A1044&amp;";"</f>
        <v>UPDATE COTACAO SET cot_id = 1043, cot_blt_id = 64, cot_pap_id = 11, cot_prc_comum = NULL, cot_prc_min = 15, cot_prc_max = 24, cot_prc_med = 19, cot_prc_mediana = 18 WHERE cot_id = 1043;</v>
      </c>
    </row>
    <row r="1045" customFormat="false" ht="14.25" hidden="false" customHeight="false" outlineLevel="0" collapsed="false">
      <c r="A1045" s="0" t="n">
        <v>1044</v>
      </c>
      <c r="B1045" s="0" t="n">
        <f aca="false">IF('Boletins Nuppa Site'!A1045&lt;&gt;0,'Boletins Nuppa Site'!A1045,"NULL")</f>
        <v>64</v>
      </c>
      <c r="C1045" s="0" t="n">
        <v>12</v>
      </c>
      <c r="D1045" s="0" t="str">
        <f aca="false">IF('Boletins Nuppa Site'!G1045&lt;&gt;0,'Boletins Nuppa Site'!G1045,"NULL")</f>
        <v>NULL</v>
      </c>
      <c r="E1045" s="30" t="n">
        <f aca="false">IF('Boletins Nuppa Site'!H1045&lt;&gt;0,'Boletins Nuppa Site'!H1045,"NULL")</f>
        <v>48</v>
      </c>
      <c r="F1045" s="30" t="n">
        <f aca="false">IF('Boletins Nuppa Site'!I1045&lt;&gt;0,'Boletins Nuppa Site'!I1045,"NULL")</f>
        <v>72</v>
      </c>
      <c r="G1045" s="30" t="n">
        <f aca="false">IF('Boletins Nuppa Site'!J1045&lt;&gt;0,'Boletins Nuppa Site'!J1045,"NULL")</f>
        <v>60</v>
      </c>
      <c r="H1045" s="30" t="n">
        <f aca="false">IF('Boletins Nuppa Site'!K1045&lt;&gt;0,'Boletins Nuppa Site'!K1045,"NULL")</f>
        <v>60</v>
      </c>
      <c r="I1045" s="0" t="str">
        <f aca="false">"INSERT INTO COTACAO (cot_id, cot_blt_id, cot_pap_id, cot_prc_comum, cot_prc_min, cot_prc_max, cot_prc_med, cot_prc_mediana) VALUES ("&amp;A1045&amp;", "&amp;B1045&amp;", "&amp;C1045&amp;", "&amp;D1045&amp;", "&amp;E1045&amp;", "&amp;F1045&amp;", "&amp;G1045&amp;", "&amp;H1045&amp;");"</f>
        <v>INSERT INTO COTACAO (cot_id, cot_blt_id, cot_pap_id, cot_prc_comum, cot_prc_min, cot_prc_max, cot_prc_med, cot_prc_mediana) VALUES (1044, 64, 12, NULL, 48, 72, 60, 60);</v>
      </c>
      <c r="J1045" s="0" t="str">
        <f aca="false">"UPDATE COTACAO SET cot_id = "&amp;A1045&amp;", cot_blt_id = "&amp;B1045&amp;", cot_pap_id = "&amp;C1045&amp;", cot_prc_comum = "&amp;D1045&amp;", cot_prc_min = "&amp;E1045&amp;", cot_prc_max = "&amp;F1045&amp;", cot_prc_med = "&amp;G1045&amp;", cot_prc_mediana = "&amp;H1045&amp;" WHERE cot_id = "&amp;A1045&amp;";"</f>
        <v>UPDATE COTACAO SET cot_id = 1044, cot_blt_id = 64, cot_pap_id = 12, cot_prc_comum = NULL, cot_prc_min = 48, cot_prc_max = 72, cot_prc_med = 60, cot_prc_mediana = 60 WHERE cot_id = 1044;</v>
      </c>
    </row>
    <row r="1046" customFormat="false" ht="14.25" hidden="false" customHeight="false" outlineLevel="0" collapsed="false">
      <c r="A1046" s="0" t="n">
        <v>1045</v>
      </c>
      <c r="B1046" s="0" t="n">
        <f aca="false">IF('Boletins Nuppa Site'!A1046&lt;&gt;0,'Boletins Nuppa Site'!A1046,"NULL")</f>
        <v>64</v>
      </c>
      <c r="C1046" s="0" t="n">
        <v>13</v>
      </c>
      <c r="D1046" s="30" t="n">
        <f aca="false">IF('Boletins Nuppa Site'!G1046&lt;&gt;0,'Boletins Nuppa Site'!G1046,"NULL")</f>
        <v>60</v>
      </c>
      <c r="E1046" s="30" t="n">
        <f aca="false">IF('Boletins Nuppa Site'!H1046&lt;&gt;0,'Boletins Nuppa Site'!H1046,"NULL")</f>
        <v>48</v>
      </c>
      <c r="F1046" s="30" t="n">
        <f aca="false">IF('Boletins Nuppa Site'!I1046&lt;&gt;0,'Boletins Nuppa Site'!I1046,"NULL")</f>
        <v>60</v>
      </c>
      <c r="G1046" s="30" t="n">
        <f aca="false">IF('Boletins Nuppa Site'!J1046&lt;&gt;0,'Boletins Nuppa Site'!J1046,"NULL")</f>
        <v>56</v>
      </c>
      <c r="H1046" s="30" t="n">
        <f aca="false">IF('Boletins Nuppa Site'!K1046&lt;&gt;0,'Boletins Nuppa Site'!K1046,"NULL")</f>
        <v>60</v>
      </c>
      <c r="I1046" s="0" t="str">
        <f aca="false">"INSERT INTO COTACAO (cot_id, cot_blt_id, cot_pap_id, cot_prc_comum, cot_prc_min, cot_prc_max, cot_prc_med, cot_prc_mediana) VALUES ("&amp;A1046&amp;", "&amp;B1046&amp;", "&amp;C1046&amp;", "&amp;D1046&amp;", "&amp;E1046&amp;", "&amp;F1046&amp;", "&amp;G1046&amp;", "&amp;H1046&amp;");"</f>
        <v>INSERT INTO COTACAO (cot_id, cot_blt_id, cot_pap_id, cot_prc_comum, cot_prc_min, cot_prc_max, cot_prc_med, cot_prc_mediana) VALUES (1045, 64, 13, 60, 48, 60, 56, 60);</v>
      </c>
      <c r="J1046" s="0" t="str">
        <f aca="false">"UPDATE COTACAO SET cot_id = "&amp;A1046&amp;", cot_blt_id = "&amp;B1046&amp;", cot_pap_id = "&amp;C1046&amp;", cot_prc_comum = "&amp;D1046&amp;", cot_prc_min = "&amp;E1046&amp;", cot_prc_max = "&amp;F1046&amp;", cot_prc_med = "&amp;G1046&amp;", cot_prc_mediana = "&amp;H1046&amp;" WHERE cot_id = "&amp;A1046&amp;";"</f>
        <v>UPDATE COTACAO SET cot_id = 1045, cot_blt_id = 64, cot_pap_id = 13, cot_prc_comum = 60, cot_prc_min = 48, cot_prc_max = 60, cot_prc_med = 56, cot_prc_mediana = 60 WHERE cot_id = 1045;</v>
      </c>
    </row>
    <row r="1047" customFormat="false" ht="14.25" hidden="false" customHeight="false" outlineLevel="0" collapsed="false">
      <c r="A1047" s="0" t="n">
        <v>1046</v>
      </c>
      <c r="B1047" s="0" t="n">
        <f aca="false">IF('Boletins Nuppa Site'!A1047&lt;&gt;0,'Boletins Nuppa Site'!A1047,"NULL")</f>
        <v>64</v>
      </c>
      <c r="C1047" s="0" t="n">
        <v>14</v>
      </c>
      <c r="D1047" s="0" t="str">
        <f aca="false">IF('Boletins Nuppa Site'!G1047&lt;&gt;0,'Boletins Nuppa Site'!G1047,"NULL")</f>
        <v>NULL</v>
      </c>
      <c r="E1047" s="30" t="n">
        <f aca="false">IF('Boletins Nuppa Site'!H1047&lt;&gt;0,'Boletins Nuppa Site'!H1047,"NULL")</f>
        <v>45</v>
      </c>
      <c r="F1047" s="30" t="n">
        <f aca="false">IF('Boletins Nuppa Site'!I1047&lt;&gt;0,'Boletins Nuppa Site'!I1047,"NULL")</f>
        <v>60</v>
      </c>
      <c r="G1047" s="0" t="str">
        <f aca="false">IF('Boletins Nuppa Site'!J1047&lt;&gt;0,'Boletins Nuppa Site'!J1047,"NULL")</f>
        <v>52.5</v>
      </c>
      <c r="H1047" s="0" t="str">
        <f aca="false">IF('Boletins Nuppa Site'!K1047&lt;&gt;0,'Boletins Nuppa Site'!K1047,"NULL")</f>
        <v>52.5</v>
      </c>
      <c r="I1047" s="0" t="str">
        <f aca="false">"INSERT INTO COTACAO (cot_id, cot_blt_id, cot_pap_id, cot_prc_comum, cot_prc_min, cot_prc_max, cot_prc_med, cot_prc_mediana) VALUES ("&amp;A1047&amp;", "&amp;B1047&amp;", "&amp;C1047&amp;", "&amp;D1047&amp;", "&amp;E1047&amp;", "&amp;F1047&amp;", "&amp;G1047&amp;", "&amp;H1047&amp;");"</f>
        <v>INSERT INTO COTACAO (cot_id, cot_blt_id, cot_pap_id, cot_prc_comum, cot_prc_min, cot_prc_max, cot_prc_med, cot_prc_mediana) VALUES (1046, 64, 14, NULL, 45, 60, 52.5, 52.5);</v>
      </c>
      <c r="J1047" s="0" t="str">
        <f aca="false">"UPDATE COTACAO SET cot_id = "&amp;A1047&amp;", cot_blt_id = "&amp;B1047&amp;", cot_pap_id = "&amp;C1047&amp;", cot_prc_comum = "&amp;D1047&amp;", cot_prc_min = "&amp;E1047&amp;", cot_prc_max = "&amp;F1047&amp;", cot_prc_med = "&amp;G1047&amp;", cot_prc_mediana = "&amp;H1047&amp;" WHERE cot_id = "&amp;A1047&amp;";"</f>
        <v>UPDATE COTACAO SET cot_id = 1046, cot_blt_id = 64, cot_pap_id = 14, cot_prc_comum = NULL, cot_prc_min = 45, cot_prc_max = 60, cot_prc_med = 52.5, cot_prc_mediana = 52.5 WHERE cot_id = 1046;</v>
      </c>
    </row>
    <row r="1048" customFormat="false" ht="14.25" hidden="false" customHeight="false" outlineLevel="0" collapsed="false">
      <c r="A1048" s="0" t="n">
        <v>1047</v>
      </c>
      <c r="B1048" s="0" t="n">
        <f aca="false">IF('Boletins Nuppa Site'!A1048&lt;&gt;0,'Boletins Nuppa Site'!A1048,"NULL")</f>
        <v>64</v>
      </c>
      <c r="C1048" s="0" t="n">
        <v>15</v>
      </c>
      <c r="D1048" s="0" t="str">
        <f aca="false">IF('Boletins Nuppa Site'!G1048&lt;&gt;0,'Boletins Nuppa Site'!G1048,"NULL")</f>
        <v>NULL</v>
      </c>
      <c r="E1048" s="30" t="n">
        <f aca="false">IF('Boletins Nuppa Site'!H1048&lt;&gt;0,'Boletins Nuppa Site'!H1048,"NULL")</f>
        <v>36</v>
      </c>
      <c r="F1048" s="30" t="n">
        <f aca="false">IF('Boletins Nuppa Site'!I1048&lt;&gt;0,'Boletins Nuppa Site'!I1048,"NULL")</f>
        <v>40</v>
      </c>
      <c r="G1048" s="30" t="n">
        <f aca="false">IF('Boletins Nuppa Site'!J1048&lt;&gt;0,'Boletins Nuppa Site'!J1048,"NULL")</f>
        <v>38</v>
      </c>
      <c r="H1048" s="30" t="n">
        <f aca="false">IF('Boletins Nuppa Site'!K1048&lt;&gt;0,'Boletins Nuppa Site'!K1048,"NULL")</f>
        <v>38</v>
      </c>
      <c r="I1048" s="0" t="str">
        <f aca="false">"INSERT INTO COTACAO (cot_id, cot_blt_id, cot_pap_id, cot_prc_comum, cot_prc_min, cot_prc_max, cot_prc_med, cot_prc_mediana) VALUES ("&amp;A1048&amp;", "&amp;B1048&amp;", "&amp;C1048&amp;", "&amp;D1048&amp;", "&amp;E1048&amp;", "&amp;F1048&amp;", "&amp;G1048&amp;", "&amp;H1048&amp;");"</f>
        <v>INSERT INTO COTACAO (cot_id, cot_blt_id, cot_pap_id, cot_prc_comum, cot_prc_min, cot_prc_max, cot_prc_med, cot_prc_mediana) VALUES (1047, 64, 15, NULL, 36, 40, 38, 38);</v>
      </c>
      <c r="J1048" s="0" t="str">
        <f aca="false">"UPDATE COTACAO SET cot_id = "&amp;A1048&amp;", cot_blt_id = "&amp;B1048&amp;", cot_pap_id = "&amp;C1048&amp;", cot_prc_comum = "&amp;D1048&amp;", cot_prc_min = "&amp;E1048&amp;", cot_prc_max = "&amp;F1048&amp;", cot_prc_med = "&amp;G1048&amp;", cot_prc_mediana = "&amp;H1048&amp;" WHERE cot_id = "&amp;A1048&amp;";"</f>
        <v>UPDATE COTACAO SET cot_id = 1047, cot_blt_id = 64, cot_pap_id = 15, cot_prc_comum = NULL, cot_prc_min = 36, cot_prc_max = 40, cot_prc_med = 38, cot_prc_mediana = 38 WHERE cot_id = 1047;</v>
      </c>
    </row>
    <row r="1049" customFormat="false" ht="14.25" hidden="false" customHeight="false" outlineLevel="0" collapsed="false">
      <c r="A1049" s="0" t="n">
        <v>1048</v>
      </c>
      <c r="B1049" s="0" t="n">
        <f aca="false">IF('Boletins Nuppa Site'!A1049&lt;&gt;0,'Boletins Nuppa Site'!A1049,"NULL")</f>
        <v>64</v>
      </c>
      <c r="C1049" s="0" t="n">
        <v>16</v>
      </c>
      <c r="D1049" s="0" t="str">
        <f aca="false">IF('Boletins Nuppa Site'!G1049&lt;&gt;0,'Boletins Nuppa Site'!G1049,"NULL")</f>
        <v>NULL</v>
      </c>
      <c r="E1049" s="30" t="n">
        <f aca="false">IF('Boletins Nuppa Site'!H1049&lt;&gt;0,'Boletins Nuppa Site'!H1049,"NULL")</f>
        <v>42</v>
      </c>
      <c r="F1049" s="30" t="n">
        <f aca="false">IF('Boletins Nuppa Site'!I1049&lt;&gt;0,'Boletins Nuppa Site'!I1049,"NULL")</f>
        <v>54</v>
      </c>
      <c r="G1049" s="30" t="n">
        <f aca="false">IF('Boletins Nuppa Site'!J1049&lt;&gt;0,'Boletins Nuppa Site'!J1049,"NULL")</f>
        <v>48</v>
      </c>
      <c r="H1049" s="30" t="n">
        <f aca="false">IF('Boletins Nuppa Site'!K1049&lt;&gt;0,'Boletins Nuppa Site'!K1049,"NULL")</f>
        <v>48</v>
      </c>
      <c r="I1049" s="0" t="str">
        <f aca="false">"INSERT INTO COTACAO (cot_id, cot_blt_id, cot_pap_id, cot_prc_comum, cot_prc_min, cot_prc_max, cot_prc_med, cot_prc_mediana) VALUES ("&amp;A1049&amp;", "&amp;B1049&amp;", "&amp;C1049&amp;", "&amp;D1049&amp;", "&amp;E1049&amp;", "&amp;F1049&amp;", "&amp;G1049&amp;", "&amp;H1049&amp;");"</f>
        <v>INSERT INTO COTACAO (cot_id, cot_blt_id, cot_pap_id, cot_prc_comum, cot_prc_min, cot_prc_max, cot_prc_med, cot_prc_mediana) VALUES (1048, 64, 16, NULL, 42, 54, 48, 48);</v>
      </c>
      <c r="J1049" s="0" t="str">
        <f aca="false">"UPDATE COTACAO SET cot_id = "&amp;A1049&amp;", cot_blt_id = "&amp;B1049&amp;", cot_pap_id = "&amp;C1049&amp;", cot_prc_comum = "&amp;D1049&amp;", cot_prc_min = "&amp;E1049&amp;", cot_prc_max = "&amp;F1049&amp;", cot_prc_med = "&amp;G1049&amp;", cot_prc_mediana = "&amp;H1049&amp;" WHERE cot_id = "&amp;A1049&amp;";"</f>
        <v>UPDATE COTACAO SET cot_id = 1048, cot_blt_id = 64, cot_pap_id = 16, cot_prc_comum = NULL, cot_prc_min = 42, cot_prc_max = 54, cot_prc_med = 48, cot_prc_mediana = 48 WHERE cot_id = 1048;</v>
      </c>
    </row>
    <row r="1050" customFormat="false" ht="14.25" hidden="false" customHeight="false" outlineLevel="0" collapsed="false">
      <c r="A1050" s="0" t="n">
        <v>1049</v>
      </c>
      <c r="B1050" s="0" t="n">
        <f aca="false">IF('Boletins Nuppa Site'!A1050&lt;&gt;0,'Boletins Nuppa Site'!A1050,"NULL")</f>
        <v>64</v>
      </c>
      <c r="C1050" s="0" t="n">
        <v>17</v>
      </c>
      <c r="D1050" s="30" t="n">
        <f aca="false">IF('Boletins Nuppa Site'!G1050&lt;&gt;0,'Boletins Nuppa Site'!G1050,"NULL")</f>
        <v>5</v>
      </c>
      <c r="E1050" s="30" t="n">
        <f aca="false">IF('Boletins Nuppa Site'!H1050&lt;&gt;0,'Boletins Nuppa Site'!H1050,"NULL")</f>
        <v>5</v>
      </c>
      <c r="F1050" s="30" t="n">
        <f aca="false">IF('Boletins Nuppa Site'!I1050&lt;&gt;0,'Boletins Nuppa Site'!I1050,"NULL")</f>
        <v>5</v>
      </c>
      <c r="G1050" s="30" t="n">
        <f aca="false">IF('Boletins Nuppa Site'!J1050&lt;&gt;0,'Boletins Nuppa Site'!J1050,"NULL")</f>
        <v>5</v>
      </c>
      <c r="H1050" s="30" t="n">
        <f aca="false">IF('Boletins Nuppa Site'!K1050&lt;&gt;0,'Boletins Nuppa Site'!K1050,"NULL")</f>
        <v>5</v>
      </c>
      <c r="I1050" s="0" t="str">
        <f aca="false">"INSERT INTO COTACAO (cot_id, cot_blt_id, cot_pap_id, cot_prc_comum, cot_prc_min, cot_prc_max, cot_prc_med, cot_prc_mediana) VALUES ("&amp;A1050&amp;", "&amp;B1050&amp;", "&amp;C1050&amp;", "&amp;D1050&amp;", "&amp;E1050&amp;", "&amp;F1050&amp;", "&amp;G1050&amp;", "&amp;H1050&amp;");"</f>
        <v>INSERT INTO COTACAO (cot_id, cot_blt_id, cot_pap_id, cot_prc_comum, cot_prc_min, cot_prc_max, cot_prc_med, cot_prc_mediana) VALUES (1049, 64, 17, 5, 5, 5, 5, 5);</v>
      </c>
      <c r="J1050" s="0" t="str">
        <f aca="false">"UPDATE COTACAO SET cot_id = "&amp;A1050&amp;", cot_blt_id = "&amp;B1050&amp;", cot_pap_id = "&amp;C1050&amp;", cot_prc_comum = "&amp;D1050&amp;", cot_prc_min = "&amp;E1050&amp;", cot_prc_max = "&amp;F1050&amp;", cot_prc_med = "&amp;G1050&amp;", cot_prc_mediana = "&amp;H1050&amp;" WHERE cot_id = "&amp;A1050&amp;";"</f>
        <v>UPDATE COTACAO SET cot_id = 1049, cot_blt_id = 64, cot_pap_id = 17, cot_prc_comum = 5, cot_prc_min = 5, cot_prc_max = 5, cot_prc_med = 5, cot_prc_mediana = 5 WHERE cot_id = 1049;</v>
      </c>
    </row>
    <row r="1051" customFormat="false" ht="14.25" hidden="false" customHeight="false" outlineLevel="0" collapsed="false">
      <c r="A1051" s="0" t="n">
        <v>1050</v>
      </c>
      <c r="B1051" s="0" t="n">
        <f aca="false">IF('Boletins Nuppa Site'!A1051&lt;&gt;0,'Boletins Nuppa Site'!A1051,"NULL")</f>
        <v>64</v>
      </c>
      <c r="C1051" s="0" t="n">
        <v>18</v>
      </c>
      <c r="D1051" s="30" t="n">
        <f aca="false">IF('Boletins Nuppa Site'!G1051&lt;&gt;0,'Boletins Nuppa Site'!G1051,"NULL")</f>
        <v>12</v>
      </c>
      <c r="E1051" s="30" t="n">
        <f aca="false">IF('Boletins Nuppa Site'!H1051&lt;&gt;0,'Boletins Nuppa Site'!H1051,"NULL")</f>
        <v>10</v>
      </c>
      <c r="F1051" s="30" t="n">
        <f aca="false">IF('Boletins Nuppa Site'!I1051&lt;&gt;0,'Boletins Nuppa Site'!I1051,"NULL")</f>
        <v>12</v>
      </c>
      <c r="G1051" s="0" t="str">
        <f aca="false">IF('Boletins Nuppa Site'!J1051&lt;&gt;0,'Boletins Nuppa Site'!J1051,"NULL")</f>
        <v>11.33</v>
      </c>
      <c r="H1051" s="30" t="n">
        <f aca="false">IF('Boletins Nuppa Site'!K1051&lt;&gt;0,'Boletins Nuppa Site'!K1051,"NULL")</f>
        <v>12</v>
      </c>
      <c r="I1051" s="0" t="str">
        <f aca="false">"INSERT INTO COTACAO (cot_id, cot_blt_id, cot_pap_id, cot_prc_comum, cot_prc_min, cot_prc_max, cot_prc_med, cot_prc_mediana) VALUES ("&amp;A1051&amp;", "&amp;B1051&amp;", "&amp;C1051&amp;", "&amp;D1051&amp;", "&amp;E1051&amp;", "&amp;F1051&amp;", "&amp;G1051&amp;", "&amp;H1051&amp;");"</f>
        <v>INSERT INTO COTACAO (cot_id, cot_blt_id, cot_pap_id, cot_prc_comum, cot_prc_min, cot_prc_max, cot_prc_med, cot_prc_mediana) VALUES (1050, 64, 18, 12, 10, 12, 11.33, 12);</v>
      </c>
      <c r="J1051" s="0" t="str">
        <f aca="false">"UPDATE COTACAO SET cot_id = "&amp;A1051&amp;", cot_blt_id = "&amp;B1051&amp;", cot_pap_id = "&amp;C1051&amp;", cot_prc_comum = "&amp;D1051&amp;", cot_prc_min = "&amp;E1051&amp;", cot_prc_max = "&amp;F1051&amp;", cot_prc_med = "&amp;G1051&amp;", cot_prc_mediana = "&amp;H1051&amp;" WHERE cot_id = "&amp;A1051&amp;";"</f>
        <v>UPDATE COTACAO SET cot_id = 1050, cot_blt_id = 64, cot_pap_id = 18, cot_prc_comum = 12, cot_prc_min = 10, cot_prc_max = 12, cot_prc_med = 11.33, cot_prc_mediana = 12 WHERE cot_id = 1050;</v>
      </c>
    </row>
    <row r="1052" customFormat="false" ht="14.25" hidden="false" customHeight="false" outlineLevel="0" collapsed="false">
      <c r="A1052" s="0" t="n">
        <v>1051</v>
      </c>
      <c r="B1052" s="0" t="n">
        <f aca="false">IF('Boletins Nuppa Site'!A1052&lt;&gt;0,'Boletins Nuppa Site'!A1052,"NULL")</f>
        <v>64</v>
      </c>
      <c r="C1052" s="0" t="n">
        <v>19</v>
      </c>
      <c r="D1052" s="0" t="str">
        <f aca="false">IF('Boletins Nuppa Site'!G1052&lt;&gt;0,'Boletins Nuppa Site'!G1052,"NULL")</f>
        <v>NULL</v>
      </c>
      <c r="E1052" s="30" t="n">
        <f aca="false">IF('Boletins Nuppa Site'!H1052&lt;&gt;0,'Boletins Nuppa Site'!H1052,"NULL")</f>
        <v>15</v>
      </c>
      <c r="F1052" s="30" t="n">
        <f aca="false">IF('Boletins Nuppa Site'!I1052&lt;&gt;0,'Boletins Nuppa Site'!I1052,"NULL")</f>
        <v>30</v>
      </c>
      <c r="G1052" s="0" t="str">
        <f aca="false">IF('Boletins Nuppa Site'!J1052&lt;&gt;0,'Boletins Nuppa Site'!J1052,"NULL")</f>
        <v>21.67</v>
      </c>
      <c r="H1052" s="30" t="n">
        <f aca="false">IF('Boletins Nuppa Site'!K1052&lt;&gt;0,'Boletins Nuppa Site'!K1052,"NULL")</f>
        <v>20</v>
      </c>
      <c r="I1052" s="0" t="str">
        <f aca="false">"INSERT INTO COTACAO (cot_id, cot_blt_id, cot_pap_id, cot_prc_comum, cot_prc_min, cot_prc_max, cot_prc_med, cot_prc_mediana) VALUES ("&amp;A1052&amp;", "&amp;B1052&amp;", "&amp;C1052&amp;", "&amp;D1052&amp;", "&amp;E1052&amp;", "&amp;F1052&amp;", "&amp;G1052&amp;", "&amp;H1052&amp;");"</f>
        <v>INSERT INTO COTACAO (cot_id, cot_blt_id, cot_pap_id, cot_prc_comum, cot_prc_min, cot_prc_max, cot_prc_med, cot_prc_mediana) VALUES (1051, 64, 19, NULL, 15, 30, 21.67, 20);</v>
      </c>
      <c r="J1052" s="0" t="str">
        <f aca="false">"UPDATE COTACAO SET cot_id = "&amp;A1052&amp;", cot_blt_id = "&amp;B1052&amp;", cot_pap_id = "&amp;C1052&amp;", cot_prc_comum = "&amp;D1052&amp;", cot_prc_min = "&amp;E1052&amp;", cot_prc_max = "&amp;F1052&amp;", cot_prc_med = "&amp;G1052&amp;", cot_prc_mediana = "&amp;H1052&amp;" WHERE cot_id = "&amp;A1052&amp;";"</f>
        <v>UPDATE COTACAO SET cot_id = 1051, cot_blt_id = 64, cot_pap_id = 19, cot_prc_comum = NULL, cot_prc_min = 15, cot_prc_max = 30, cot_prc_med = 21.67, cot_prc_mediana = 20 WHERE cot_id = 1051;</v>
      </c>
    </row>
    <row r="1053" customFormat="false" ht="14.25" hidden="false" customHeight="false" outlineLevel="0" collapsed="false">
      <c r="A1053" s="0" t="n">
        <v>1052</v>
      </c>
      <c r="B1053" s="0" t="n">
        <f aca="false">IF('Boletins Nuppa Site'!A1053&lt;&gt;0,'Boletins Nuppa Site'!A1053,"NULL")</f>
        <v>64</v>
      </c>
      <c r="C1053" s="0" t="n">
        <v>20</v>
      </c>
      <c r="D1053" s="0" t="str">
        <f aca="false">IF('Boletins Nuppa Site'!G1053&lt;&gt;0,'Boletins Nuppa Site'!G1053,"NULL")</f>
        <v>NULL</v>
      </c>
      <c r="E1053" s="30" t="n">
        <f aca="false">IF('Boletins Nuppa Site'!H1053&lt;&gt;0,'Boletins Nuppa Site'!H1053,"NULL")</f>
        <v>75</v>
      </c>
      <c r="F1053" s="30" t="n">
        <f aca="false">IF('Boletins Nuppa Site'!I1053&lt;&gt;0,'Boletins Nuppa Site'!I1053,"NULL")</f>
        <v>80</v>
      </c>
      <c r="G1053" s="0" t="str">
        <f aca="false">IF('Boletins Nuppa Site'!J1053&lt;&gt;0,'Boletins Nuppa Site'!J1053,"NULL")</f>
        <v>77.5</v>
      </c>
      <c r="H1053" s="0" t="str">
        <f aca="false">IF('Boletins Nuppa Site'!K1053&lt;&gt;0,'Boletins Nuppa Site'!K1053,"NULL")</f>
        <v>77.5</v>
      </c>
      <c r="I1053" s="0" t="str">
        <f aca="false">"INSERT INTO COTACAO (cot_id, cot_blt_id, cot_pap_id, cot_prc_comum, cot_prc_min, cot_prc_max, cot_prc_med, cot_prc_mediana) VALUES ("&amp;A1053&amp;", "&amp;B1053&amp;", "&amp;C1053&amp;", "&amp;D1053&amp;", "&amp;E1053&amp;", "&amp;F1053&amp;", "&amp;G1053&amp;", "&amp;H1053&amp;");"</f>
        <v>INSERT INTO COTACAO (cot_id, cot_blt_id, cot_pap_id, cot_prc_comum, cot_prc_min, cot_prc_max, cot_prc_med, cot_prc_mediana) VALUES (1052, 64, 20, NULL, 75, 80, 77.5, 77.5);</v>
      </c>
      <c r="J1053" s="0" t="str">
        <f aca="false">"UPDATE COTACAO SET cot_id = "&amp;A1053&amp;", cot_blt_id = "&amp;B1053&amp;", cot_pap_id = "&amp;C1053&amp;", cot_prc_comum = "&amp;D1053&amp;", cot_prc_min = "&amp;E1053&amp;", cot_prc_max = "&amp;F1053&amp;", cot_prc_med = "&amp;G1053&amp;", cot_prc_mediana = "&amp;H1053&amp;" WHERE cot_id = "&amp;A1053&amp;";"</f>
        <v>UPDATE COTACAO SET cot_id = 1052, cot_blt_id = 64, cot_pap_id = 20, cot_prc_comum = NULL, cot_prc_min = 75, cot_prc_max = 80, cot_prc_med = 77.5, cot_prc_mediana = 77.5 WHERE cot_id = 1052;</v>
      </c>
    </row>
    <row r="1054" customFormat="false" ht="14.25" hidden="false" customHeight="false" outlineLevel="0" collapsed="false">
      <c r="A1054" s="0" t="n">
        <v>1053</v>
      </c>
      <c r="B1054" s="0" t="n">
        <f aca="false">IF('Boletins Nuppa Site'!A1054&lt;&gt;0,'Boletins Nuppa Site'!A1054,"NULL")</f>
        <v>64</v>
      </c>
      <c r="C1054" s="0" t="n">
        <v>21</v>
      </c>
      <c r="D1054" s="30" t="n">
        <f aca="false">IF('Boletins Nuppa Site'!G1054&lt;&gt;0,'Boletins Nuppa Site'!G1054,"NULL")</f>
        <v>50</v>
      </c>
      <c r="E1054" s="30" t="n">
        <f aca="false">IF('Boletins Nuppa Site'!H1054&lt;&gt;0,'Boletins Nuppa Site'!H1054,"NULL")</f>
        <v>40</v>
      </c>
      <c r="F1054" s="30" t="n">
        <f aca="false">IF('Boletins Nuppa Site'!I1054&lt;&gt;0,'Boletins Nuppa Site'!I1054,"NULL")</f>
        <v>60</v>
      </c>
      <c r="G1054" s="30" t="n">
        <f aca="false">IF('Boletins Nuppa Site'!J1054&lt;&gt;0,'Boletins Nuppa Site'!J1054,"NULL")</f>
        <v>51</v>
      </c>
      <c r="H1054" s="30" t="n">
        <f aca="false">IF('Boletins Nuppa Site'!K1054&lt;&gt;0,'Boletins Nuppa Site'!K1054,"NULL")</f>
        <v>50</v>
      </c>
      <c r="I1054" s="0" t="str">
        <f aca="false">"INSERT INTO COTACAO (cot_id, cot_blt_id, cot_pap_id, cot_prc_comum, cot_prc_min, cot_prc_max, cot_prc_med, cot_prc_mediana) VALUES ("&amp;A1054&amp;", "&amp;B1054&amp;", "&amp;C1054&amp;", "&amp;D1054&amp;", "&amp;E1054&amp;", "&amp;F1054&amp;", "&amp;G1054&amp;", "&amp;H1054&amp;");"</f>
        <v>INSERT INTO COTACAO (cot_id, cot_blt_id, cot_pap_id, cot_prc_comum, cot_prc_min, cot_prc_max, cot_prc_med, cot_prc_mediana) VALUES (1053, 64, 21, 50, 40, 60, 51, 50);</v>
      </c>
      <c r="J1054" s="0" t="str">
        <f aca="false">"UPDATE COTACAO SET cot_id = "&amp;A1054&amp;", cot_blt_id = "&amp;B1054&amp;", cot_pap_id = "&amp;C1054&amp;", cot_prc_comum = "&amp;D1054&amp;", cot_prc_min = "&amp;E1054&amp;", cot_prc_max = "&amp;F1054&amp;", cot_prc_med = "&amp;G1054&amp;", cot_prc_mediana = "&amp;H1054&amp;" WHERE cot_id = "&amp;A1054&amp;";"</f>
        <v>UPDATE COTACAO SET cot_id = 1053, cot_blt_id = 64, cot_pap_id = 21, cot_prc_comum = 50, cot_prc_min = 40, cot_prc_max = 60, cot_prc_med = 51, cot_prc_mediana = 50 WHERE cot_id = 1053;</v>
      </c>
    </row>
    <row r="1055" customFormat="false" ht="14.25" hidden="false" customHeight="false" outlineLevel="0" collapsed="false">
      <c r="A1055" s="0" t="n">
        <v>1054</v>
      </c>
      <c r="B1055" s="0" t="n">
        <f aca="false">IF('Boletins Nuppa Site'!A1055&lt;&gt;0,'Boletins Nuppa Site'!A1055,"NULL")</f>
        <v>64</v>
      </c>
      <c r="C1055" s="0" t="n">
        <v>22</v>
      </c>
      <c r="D1055" s="30" t="n">
        <f aca="false">IF('Boletins Nuppa Site'!G1055&lt;&gt;0,'Boletins Nuppa Site'!G1055,"NULL")</f>
        <v>70</v>
      </c>
      <c r="E1055" s="30" t="n">
        <f aca="false">IF('Boletins Nuppa Site'!H1055&lt;&gt;0,'Boletins Nuppa Site'!H1055,"NULL")</f>
        <v>40</v>
      </c>
      <c r="F1055" s="30" t="n">
        <f aca="false">IF('Boletins Nuppa Site'!I1055&lt;&gt;0,'Boletins Nuppa Site'!I1055,"NULL")</f>
        <v>70</v>
      </c>
      <c r="G1055" s="30" t="n">
        <f aca="false">IF('Boletins Nuppa Site'!J1055&lt;&gt;0,'Boletins Nuppa Site'!J1055,"NULL")</f>
        <v>55</v>
      </c>
      <c r="H1055" s="30" t="n">
        <f aca="false">IF('Boletins Nuppa Site'!K1055&lt;&gt;0,'Boletins Nuppa Site'!K1055,"NULL")</f>
        <v>50</v>
      </c>
      <c r="I1055" s="0" t="str">
        <f aca="false">"INSERT INTO COTACAO (cot_id, cot_blt_id, cot_pap_id, cot_prc_comum, cot_prc_min, cot_prc_max, cot_prc_med, cot_prc_mediana) VALUES ("&amp;A1055&amp;", "&amp;B1055&amp;", "&amp;C1055&amp;", "&amp;D1055&amp;", "&amp;E1055&amp;", "&amp;F1055&amp;", "&amp;G1055&amp;", "&amp;H1055&amp;");"</f>
        <v>INSERT INTO COTACAO (cot_id, cot_blt_id, cot_pap_id, cot_prc_comum, cot_prc_min, cot_prc_max, cot_prc_med, cot_prc_mediana) VALUES (1054, 64, 22, 70, 40, 70, 55, 50);</v>
      </c>
      <c r="J1055" s="0" t="str">
        <f aca="false">"UPDATE COTACAO SET cot_id = "&amp;A1055&amp;", cot_blt_id = "&amp;B1055&amp;", cot_pap_id = "&amp;C1055&amp;", cot_prc_comum = "&amp;D1055&amp;", cot_prc_min = "&amp;E1055&amp;", cot_prc_max = "&amp;F1055&amp;", cot_prc_med = "&amp;G1055&amp;", cot_prc_mediana = "&amp;H1055&amp;" WHERE cot_id = "&amp;A1055&amp;";"</f>
        <v>UPDATE COTACAO SET cot_id = 1054, cot_blt_id = 64, cot_pap_id = 22, cot_prc_comum = 70, cot_prc_min = 40, cot_prc_max = 70, cot_prc_med = 55, cot_prc_mediana = 50 WHERE cot_id = 1054;</v>
      </c>
    </row>
    <row r="1056" customFormat="false" ht="14.25" hidden="false" customHeight="false" outlineLevel="0" collapsed="false">
      <c r="A1056" s="0" t="n">
        <v>1055</v>
      </c>
      <c r="B1056" s="0" t="n">
        <f aca="false">IF('Boletins Nuppa Site'!A1056&lt;&gt;0,'Boletins Nuppa Site'!A1056,"NULL")</f>
        <v>64</v>
      </c>
      <c r="C1056" s="0" t="n">
        <v>23</v>
      </c>
      <c r="D1056" s="30" t="n">
        <f aca="false">IF('Boletins Nuppa Site'!G1056&lt;&gt;0,'Boletins Nuppa Site'!G1056,"NULL")</f>
        <v>50</v>
      </c>
      <c r="E1056" s="30" t="n">
        <f aca="false">IF('Boletins Nuppa Site'!H1056&lt;&gt;0,'Boletins Nuppa Site'!H1056,"NULL")</f>
        <v>35</v>
      </c>
      <c r="F1056" s="30" t="n">
        <f aca="false">IF('Boletins Nuppa Site'!I1056&lt;&gt;0,'Boletins Nuppa Site'!I1056,"NULL")</f>
        <v>50</v>
      </c>
      <c r="G1056" s="30" t="n">
        <f aca="false">IF('Boletins Nuppa Site'!J1056&lt;&gt;0,'Boletins Nuppa Site'!J1056,"NULL")</f>
        <v>44</v>
      </c>
      <c r="H1056" s="30" t="n">
        <f aca="false">IF('Boletins Nuppa Site'!K1056&lt;&gt;0,'Boletins Nuppa Site'!K1056,"NULL")</f>
        <v>45</v>
      </c>
      <c r="I1056" s="0" t="str">
        <f aca="false">"INSERT INTO COTACAO (cot_id, cot_blt_id, cot_pap_id, cot_prc_comum, cot_prc_min, cot_prc_max, cot_prc_med, cot_prc_mediana) VALUES ("&amp;A1056&amp;", "&amp;B1056&amp;", "&amp;C1056&amp;", "&amp;D1056&amp;", "&amp;E1056&amp;", "&amp;F1056&amp;", "&amp;G1056&amp;", "&amp;H1056&amp;");"</f>
        <v>INSERT INTO COTACAO (cot_id, cot_blt_id, cot_pap_id, cot_prc_comum, cot_prc_min, cot_prc_max, cot_prc_med, cot_prc_mediana) VALUES (1055, 64, 23, 50, 35, 50, 44, 45);</v>
      </c>
      <c r="J1056" s="0" t="str">
        <f aca="false">"UPDATE COTACAO SET cot_id = "&amp;A1056&amp;", cot_blt_id = "&amp;B1056&amp;", cot_pap_id = "&amp;C1056&amp;", cot_prc_comum = "&amp;D1056&amp;", cot_prc_min = "&amp;E1056&amp;", cot_prc_max = "&amp;F1056&amp;", cot_prc_med = "&amp;G1056&amp;", cot_prc_mediana = "&amp;H1056&amp;" WHERE cot_id = "&amp;A1056&amp;";"</f>
        <v>UPDATE COTACAO SET cot_id = 1055, cot_blt_id = 64, cot_pap_id = 23, cot_prc_comum = 50, cot_prc_min = 35, cot_prc_max = 50, cot_prc_med = 44, cot_prc_mediana = 45 WHERE cot_id = 1055;</v>
      </c>
    </row>
    <row r="1057" customFormat="false" ht="14.25" hidden="false" customHeight="false" outlineLevel="0" collapsed="false">
      <c r="A1057" s="0" t="n">
        <v>1056</v>
      </c>
      <c r="B1057" s="0" t="n">
        <f aca="false">IF('Boletins Nuppa Site'!A1057&lt;&gt;0,'Boletins Nuppa Site'!A1057,"NULL")</f>
        <v>64</v>
      </c>
      <c r="C1057" s="0" t="n">
        <v>24</v>
      </c>
      <c r="D1057" s="0" t="str">
        <f aca="false">IF('Boletins Nuppa Site'!G1057&lt;&gt;0,'Boletins Nuppa Site'!G1057,"NULL")</f>
        <v>NULL</v>
      </c>
      <c r="E1057" s="30" t="n">
        <f aca="false">IF('Boletins Nuppa Site'!H1057&lt;&gt;0,'Boletins Nuppa Site'!H1057,"NULL")</f>
        <v>90</v>
      </c>
      <c r="F1057" s="30" t="n">
        <f aca="false">IF('Boletins Nuppa Site'!I1057&lt;&gt;0,'Boletins Nuppa Site'!I1057,"NULL")</f>
        <v>100</v>
      </c>
      <c r="G1057" s="30" t="n">
        <f aca="false">IF('Boletins Nuppa Site'!J1057&lt;&gt;0,'Boletins Nuppa Site'!J1057,"NULL")</f>
        <v>95</v>
      </c>
      <c r="H1057" s="30" t="n">
        <f aca="false">IF('Boletins Nuppa Site'!K1057&lt;&gt;0,'Boletins Nuppa Site'!K1057,"NULL")</f>
        <v>95</v>
      </c>
      <c r="I1057" s="0" t="str">
        <f aca="false">"INSERT INTO COTACAO (cot_id, cot_blt_id, cot_pap_id, cot_prc_comum, cot_prc_min, cot_prc_max, cot_prc_med, cot_prc_mediana) VALUES ("&amp;A1057&amp;", "&amp;B1057&amp;", "&amp;C1057&amp;", "&amp;D1057&amp;", "&amp;E1057&amp;", "&amp;F1057&amp;", "&amp;G1057&amp;", "&amp;H1057&amp;");"</f>
        <v>INSERT INTO COTACAO (cot_id, cot_blt_id, cot_pap_id, cot_prc_comum, cot_prc_min, cot_prc_max, cot_prc_med, cot_prc_mediana) VALUES (1056, 64, 24, NULL, 90, 100, 95, 95);</v>
      </c>
      <c r="J1057" s="0" t="str">
        <f aca="false">"UPDATE COTACAO SET cot_id = "&amp;A1057&amp;", cot_blt_id = "&amp;B1057&amp;", cot_pap_id = "&amp;C1057&amp;", cot_prc_comum = "&amp;D1057&amp;", cot_prc_min = "&amp;E1057&amp;", cot_prc_max = "&amp;F1057&amp;", cot_prc_med = "&amp;G1057&amp;", cot_prc_mediana = "&amp;H1057&amp;" WHERE cot_id = "&amp;A1057&amp;";"</f>
        <v>UPDATE COTACAO SET cot_id = 1056, cot_blt_id = 64, cot_pap_id = 24, cot_prc_comum = NULL, cot_prc_min = 90, cot_prc_max = 100, cot_prc_med = 95, cot_prc_mediana = 95 WHERE cot_id = 1056;</v>
      </c>
    </row>
    <row r="1058" customFormat="false" ht="14.25" hidden="false" customHeight="false" outlineLevel="0" collapsed="false">
      <c r="A1058" s="0" t="n">
        <v>1057</v>
      </c>
      <c r="B1058" s="0" t="n">
        <f aca="false">IF('Boletins Nuppa Site'!A1058&lt;&gt;0,'Boletins Nuppa Site'!A1058,"NULL")</f>
        <v>64</v>
      </c>
      <c r="C1058" s="0" t="n">
        <v>25</v>
      </c>
      <c r="D1058" s="30" t="n">
        <f aca="false">IF('Boletins Nuppa Site'!G1058&lt;&gt;0,'Boletins Nuppa Site'!G1058,"NULL")</f>
        <v>60</v>
      </c>
      <c r="E1058" s="30" t="n">
        <f aca="false">IF('Boletins Nuppa Site'!H1058&lt;&gt;0,'Boletins Nuppa Site'!H1058,"NULL")</f>
        <v>57</v>
      </c>
      <c r="F1058" s="30" t="n">
        <f aca="false">IF('Boletins Nuppa Site'!I1058&lt;&gt;0,'Boletins Nuppa Site'!I1058,"NULL")</f>
        <v>60</v>
      </c>
      <c r="G1058" s="0" t="str">
        <f aca="false">IF('Boletins Nuppa Site'!J1058&lt;&gt;0,'Boletins Nuppa Site'!J1058,"NULL")</f>
        <v>59.4</v>
      </c>
      <c r="H1058" s="30" t="n">
        <f aca="false">IF('Boletins Nuppa Site'!K1058&lt;&gt;0,'Boletins Nuppa Site'!K1058,"NULL")</f>
        <v>60</v>
      </c>
      <c r="I1058" s="0" t="str">
        <f aca="false">"INSERT INTO COTACAO (cot_id, cot_blt_id, cot_pap_id, cot_prc_comum, cot_prc_min, cot_prc_max, cot_prc_med, cot_prc_mediana) VALUES ("&amp;A1058&amp;", "&amp;B1058&amp;", "&amp;C1058&amp;", "&amp;D1058&amp;", "&amp;E1058&amp;", "&amp;F1058&amp;", "&amp;G1058&amp;", "&amp;H1058&amp;");"</f>
        <v>INSERT INTO COTACAO (cot_id, cot_blt_id, cot_pap_id, cot_prc_comum, cot_prc_min, cot_prc_max, cot_prc_med, cot_prc_mediana) VALUES (1057, 64, 25, 60, 57, 60, 59.4, 60);</v>
      </c>
      <c r="J1058" s="0" t="str">
        <f aca="false">"UPDATE COTACAO SET cot_id = "&amp;A1058&amp;", cot_blt_id = "&amp;B1058&amp;", cot_pap_id = "&amp;C1058&amp;", cot_prc_comum = "&amp;D1058&amp;", cot_prc_min = "&amp;E1058&amp;", cot_prc_max = "&amp;F1058&amp;", cot_prc_med = "&amp;G1058&amp;", cot_prc_mediana = "&amp;H1058&amp;" WHERE cot_id = "&amp;A1058&amp;";"</f>
        <v>UPDATE COTACAO SET cot_id = 1057, cot_blt_id = 64, cot_pap_id = 25, cot_prc_comum = 60, cot_prc_min = 57, cot_prc_max = 60, cot_prc_med = 59.4, cot_prc_mediana = 60 WHERE cot_id = 1057;</v>
      </c>
    </row>
    <row r="1059" customFormat="false" ht="14.25" hidden="false" customHeight="false" outlineLevel="0" collapsed="false">
      <c r="A1059" s="0" t="n">
        <v>1058</v>
      </c>
      <c r="B1059" s="0" t="n">
        <f aca="false">IF('Boletins Nuppa Site'!A1059&lt;&gt;0,'Boletins Nuppa Site'!A1059,"NULL")</f>
        <v>64</v>
      </c>
      <c r="C1059" s="0" t="n">
        <v>26</v>
      </c>
      <c r="D1059" s="30" t="n">
        <f aca="false">IF('Boletins Nuppa Site'!G1059&lt;&gt;0,'Boletins Nuppa Site'!G1059,"NULL")</f>
        <v>60</v>
      </c>
      <c r="E1059" s="30" t="n">
        <f aca="false">IF('Boletins Nuppa Site'!H1059&lt;&gt;0,'Boletins Nuppa Site'!H1059,"NULL")</f>
        <v>40</v>
      </c>
      <c r="F1059" s="30" t="n">
        <f aca="false">IF('Boletins Nuppa Site'!I1059&lt;&gt;0,'Boletins Nuppa Site'!I1059,"NULL")</f>
        <v>60</v>
      </c>
      <c r="G1059" s="30" t="n">
        <f aca="false">IF('Boletins Nuppa Site'!J1059&lt;&gt;0,'Boletins Nuppa Site'!J1059,"NULL")</f>
        <v>55</v>
      </c>
      <c r="H1059" s="30" t="n">
        <f aca="false">IF('Boletins Nuppa Site'!K1059&lt;&gt;0,'Boletins Nuppa Site'!K1059,"NULL")</f>
        <v>60</v>
      </c>
      <c r="I1059" s="0" t="str">
        <f aca="false">"INSERT INTO COTACAO (cot_id, cot_blt_id, cot_pap_id, cot_prc_comum, cot_prc_min, cot_prc_max, cot_prc_med, cot_prc_mediana) VALUES ("&amp;A1059&amp;", "&amp;B1059&amp;", "&amp;C1059&amp;", "&amp;D1059&amp;", "&amp;E1059&amp;", "&amp;F1059&amp;", "&amp;G1059&amp;", "&amp;H1059&amp;");"</f>
        <v>INSERT INTO COTACAO (cot_id, cot_blt_id, cot_pap_id, cot_prc_comum, cot_prc_min, cot_prc_max, cot_prc_med, cot_prc_mediana) VALUES (1058, 64, 26, 60, 40, 60, 55, 60);</v>
      </c>
      <c r="J1059" s="0" t="str">
        <f aca="false">"UPDATE COTACAO SET cot_id = "&amp;A1059&amp;", cot_blt_id = "&amp;B1059&amp;", cot_pap_id = "&amp;C1059&amp;", cot_prc_comum = "&amp;D1059&amp;", cot_prc_min = "&amp;E1059&amp;", cot_prc_max = "&amp;F1059&amp;", cot_prc_med = "&amp;G1059&amp;", cot_prc_mediana = "&amp;H1059&amp;" WHERE cot_id = "&amp;A1059&amp;";"</f>
        <v>UPDATE COTACAO SET cot_id = 1058, cot_blt_id = 64, cot_pap_id = 26, cot_prc_comum = 60, cot_prc_min = 40, cot_prc_max = 60, cot_prc_med = 55, cot_prc_mediana = 60 WHERE cot_id = 1058;</v>
      </c>
    </row>
    <row r="1060" customFormat="false" ht="14.25" hidden="false" customHeight="false" outlineLevel="0" collapsed="false">
      <c r="A1060" s="0" t="n">
        <v>1059</v>
      </c>
      <c r="B1060" s="0" t="n">
        <f aca="false">IF('Boletins Nuppa Site'!A1060&lt;&gt;0,'Boletins Nuppa Site'!A1060,"NULL")</f>
        <v>64</v>
      </c>
      <c r="C1060" s="0" t="n">
        <v>27</v>
      </c>
      <c r="D1060" s="30" t="n">
        <f aca="false">IF('Boletins Nuppa Site'!G1060&lt;&gt;0,'Boletins Nuppa Site'!G1060,"NULL")</f>
        <v>45</v>
      </c>
      <c r="E1060" s="30" t="n">
        <f aca="false">IF('Boletins Nuppa Site'!H1060&lt;&gt;0,'Boletins Nuppa Site'!H1060,"NULL")</f>
        <v>45</v>
      </c>
      <c r="F1060" s="30" t="n">
        <f aca="false">IF('Boletins Nuppa Site'!I1060&lt;&gt;0,'Boletins Nuppa Site'!I1060,"NULL")</f>
        <v>75</v>
      </c>
      <c r="G1060" s="30" t="n">
        <f aca="false">IF('Boletins Nuppa Site'!J1060&lt;&gt;0,'Boletins Nuppa Site'!J1060,"NULL")</f>
        <v>57</v>
      </c>
      <c r="H1060" s="30" t="n">
        <f aca="false">IF('Boletins Nuppa Site'!K1060&lt;&gt;0,'Boletins Nuppa Site'!K1060,"NULL")</f>
        <v>60</v>
      </c>
      <c r="I1060" s="0" t="str">
        <f aca="false">"INSERT INTO COTACAO (cot_id, cot_blt_id, cot_pap_id, cot_prc_comum, cot_prc_min, cot_prc_max, cot_prc_med, cot_prc_mediana) VALUES ("&amp;A1060&amp;", "&amp;B1060&amp;", "&amp;C1060&amp;", "&amp;D1060&amp;", "&amp;E1060&amp;", "&amp;F1060&amp;", "&amp;G1060&amp;", "&amp;H1060&amp;");"</f>
        <v>INSERT INTO COTACAO (cot_id, cot_blt_id, cot_pap_id, cot_prc_comum, cot_prc_min, cot_prc_max, cot_prc_med, cot_prc_mediana) VALUES (1059, 64, 27, 45, 45, 75, 57, 60);</v>
      </c>
      <c r="J1060" s="0" t="str">
        <f aca="false">"UPDATE COTACAO SET cot_id = "&amp;A1060&amp;", cot_blt_id = "&amp;B1060&amp;", cot_pap_id = "&amp;C1060&amp;", cot_prc_comum = "&amp;D1060&amp;", cot_prc_min = "&amp;E1060&amp;", cot_prc_max = "&amp;F1060&amp;", cot_prc_med = "&amp;G1060&amp;", cot_prc_mediana = "&amp;H1060&amp;" WHERE cot_id = "&amp;A1060&amp;";"</f>
        <v>UPDATE COTACAO SET cot_id = 1059, cot_blt_id = 64, cot_pap_id = 27, cot_prc_comum = 45, cot_prc_min = 45, cot_prc_max = 75, cot_prc_med = 57, cot_prc_mediana = 60 WHERE cot_id = 1059;</v>
      </c>
    </row>
    <row r="1061" customFormat="false" ht="14.25" hidden="false" customHeight="false" outlineLevel="0" collapsed="false">
      <c r="A1061" s="0" t="n">
        <v>1060</v>
      </c>
      <c r="B1061" s="0" t="n">
        <f aca="false">IF('Boletins Nuppa Site'!A1061&lt;&gt;0,'Boletins Nuppa Site'!A1061,"NULL")</f>
        <v>64</v>
      </c>
      <c r="C1061" s="0" t="n">
        <v>28</v>
      </c>
      <c r="D1061" s="0" t="str">
        <f aca="false">IF('Boletins Nuppa Site'!G1061&lt;&gt;0,'Boletins Nuppa Site'!G1061,"NULL")</f>
        <v>NULL</v>
      </c>
      <c r="E1061" s="30" t="n">
        <f aca="false">IF('Boletins Nuppa Site'!H1061&lt;&gt;0,'Boletins Nuppa Site'!H1061,"NULL")</f>
        <v>70</v>
      </c>
      <c r="F1061" s="30" t="n">
        <f aca="false">IF('Boletins Nuppa Site'!I1061&lt;&gt;0,'Boletins Nuppa Site'!I1061,"NULL")</f>
        <v>100</v>
      </c>
      <c r="G1061" s="30" t="n">
        <f aca="false">IF('Boletins Nuppa Site'!J1061&lt;&gt;0,'Boletins Nuppa Site'!J1061,"NULL")</f>
        <v>85</v>
      </c>
      <c r="H1061" s="30" t="n">
        <f aca="false">IF('Boletins Nuppa Site'!K1061&lt;&gt;0,'Boletins Nuppa Site'!K1061,"NULL")</f>
        <v>85</v>
      </c>
      <c r="I1061" s="0" t="str">
        <f aca="false">"INSERT INTO COTACAO (cot_id, cot_blt_id, cot_pap_id, cot_prc_comum, cot_prc_min, cot_prc_max, cot_prc_med, cot_prc_mediana) VALUES ("&amp;A1061&amp;", "&amp;B1061&amp;", "&amp;C1061&amp;", "&amp;D1061&amp;", "&amp;E1061&amp;", "&amp;F1061&amp;", "&amp;G1061&amp;", "&amp;H1061&amp;");"</f>
        <v>INSERT INTO COTACAO (cot_id, cot_blt_id, cot_pap_id, cot_prc_comum, cot_prc_min, cot_prc_max, cot_prc_med, cot_prc_mediana) VALUES (1060, 64, 28, NULL, 70, 100, 85, 85);</v>
      </c>
      <c r="J1061" s="0" t="str">
        <f aca="false">"UPDATE COTACAO SET cot_id = "&amp;A1061&amp;", cot_blt_id = "&amp;B1061&amp;", cot_pap_id = "&amp;C1061&amp;", cot_prc_comum = "&amp;D1061&amp;", cot_prc_min = "&amp;E1061&amp;", cot_prc_max = "&amp;F1061&amp;", cot_prc_med = "&amp;G1061&amp;", cot_prc_mediana = "&amp;H1061&amp;" WHERE cot_id = "&amp;A1061&amp;";"</f>
        <v>UPDATE COTACAO SET cot_id = 1060, cot_blt_id = 64, cot_pap_id = 28, cot_prc_comum = NULL, cot_prc_min = 70, cot_prc_max = 100, cot_prc_med = 85, cot_prc_mediana = 85 WHERE cot_id = 1060;</v>
      </c>
    </row>
    <row r="1062" customFormat="false" ht="14.25" hidden="false" customHeight="false" outlineLevel="0" collapsed="false">
      <c r="A1062" s="0" t="n">
        <v>1061</v>
      </c>
      <c r="B1062" s="0" t="n">
        <f aca="false">IF('Boletins Nuppa Site'!A1062&lt;&gt;0,'Boletins Nuppa Site'!A1062,"NULL")</f>
        <v>64</v>
      </c>
      <c r="C1062" s="0" t="n">
        <v>29</v>
      </c>
      <c r="D1062" s="0" t="str">
        <f aca="false">IF('Boletins Nuppa Site'!G1062&lt;&gt;0,'Boletins Nuppa Site'!G1062,"NULL")</f>
        <v>NULL</v>
      </c>
      <c r="E1062" s="30" t="n">
        <f aca="false">IF('Boletins Nuppa Site'!H1062&lt;&gt;0,'Boletins Nuppa Site'!H1062,"NULL")</f>
        <v>60</v>
      </c>
      <c r="F1062" s="30" t="n">
        <f aca="false">IF('Boletins Nuppa Site'!I1062&lt;&gt;0,'Boletins Nuppa Site'!I1062,"NULL")</f>
        <v>65</v>
      </c>
      <c r="G1062" s="0" t="str">
        <f aca="false">IF('Boletins Nuppa Site'!J1062&lt;&gt;0,'Boletins Nuppa Site'!J1062,"NULL")</f>
        <v>62.5</v>
      </c>
      <c r="H1062" s="0" t="str">
        <f aca="false">IF('Boletins Nuppa Site'!K1062&lt;&gt;0,'Boletins Nuppa Site'!K1062,"NULL")</f>
        <v>62.5</v>
      </c>
      <c r="I1062" s="0" t="str">
        <f aca="false">"INSERT INTO COTACAO (cot_id, cot_blt_id, cot_pap_id, cot_prc_comum, cot_prc_min, cot_prc_max, cot_prc_med, cot_prc_mediana) VALUES ("&amp;A1062&amp;", "&amp;B1062&amp;", "&amp;C1062&amp;", "&amp;D1062&amp;", "&amp;E1062&amp;", "&amp;F1062&amp;", "&amp;G1062&amp;", "&amp;H1062&amp;");"</f>
        <v>INSERT INTO COTACAO (cot_id, cot_blt_id, cot_pap_id, cot_prc_comum, cot_prc_min, cot_prc_max, cot_prc_med, cot_prc_mediana) VALUES (1061, 64, 29, NULL, 60, 65, 62.5, 62.5);</v>
      </c>
      <c r="J1062" s="0" t="str">
        <f aca="false">"UPDATE COTACAO SET cot_id = "&amp;A1062&amp;", cot_blt_id = "&amp;B1062&amp;", cot_pap_id = "&amp;C1062&amp;", cot_prc_comum = "&amp;D1062&amp;", cot_prc_min = "&amp;E1062&amp;", cot_prc_max = "&amp;F1062&amp;", cot_prc_med = "&amp;G1062&amp;", cot_prc_mediana = "&amp;H1062&amp;" WHERE cot_id = "&amp;A1062&amp;";"</f>
        <v>UPDATE COTACAO SET cot_id = 1061, cot_blt_id = 64, cot_pap_id = 29, cot_prc_comum = NULL, cot_prc_min = 60, cot_prc_max = 65, cot_prc_med = 62.5, cot_prc_mediana = 62.5 WHERE cot_id = 1061;</v>
      </c>
    </row>
    <row r="1063" customFormat="false" ht="14.25" hidden="false" customHeight="false" outlineLevel="0" collapsed="false">
      <c r="A1063" s="0" t="n">
        <v>1062</v>
      </c>
      <c r="B1063" s="0" t="n">
        <f aca="false">IF('Boletins Nuppa Site'!A1063&lt;&gt;0,'Boletins Nuppa Site'!A1063,"NULL")</f>
        <v>64</v>
      </c>
      <c r="C1063" s="0" t="n">
        <v>30</v>
      </c>
      <c r="D1063" s="30" t="n">
        <f aca="false">IF('Boletins Nuppa Site'!G1063&lt;&gt;0,'Boletins Nuppa Site'!G1063,"NULL")</f>
        <v>50</v>
      </c>
      <c r="E1063" s="30" t="n">
        <f aca="false">IF('Boletins Nuppa Site'!H1063&lt;&gt;0,'Boletins Nuppa Site'!H1063,"NULL")</f>
        <v>50</v>
      </c>
      <c r="F1063" s="30" t="n">
        <f aca="false">IF('Boletins Nuppa Site'!I1063&lt;&gt;0,'Boletins Nuppa Site'!I1063,"NULL")</f>
        <v>60</v>
      </c>
      <c r="G1063" s="0" t="str">
        <f aca="false">IF('Boletins Nuppa Site'!J1063&lt;&gt;0,'Boletins Nuppa Site'!J1063,"NULL")</f>
        <v>53.75</v>
      </c>
      <c r="H1063" s="0" t="str">
        <f aca="false">IF('Boletins Nuppa Site'!K1063&lt;&gt;0,'Boletins Nuppa Site'!K1063,"NULL")</f>
        <v>52.5</v>
      </c>
      <c r="I1063" s="0" t="str">
        <f aca="false">"INSERT INTO COTACAO (cot_id, cot_blt_id, cot_pap_id, cot_prc_comum, cot_prc_min, cot_prc_max, cot_prc_med, cot_prc_mediana) VALUES ("&amp;A1063&amp;", "&amp;B1063&amp;", "&amp;C1063&amp;", "&amp;D1063&amp;", "&amp;E1063&amp;", "&amp;F1063&amp;", "&amp;G1063&amp;", "&amp;H1063&amp;");"</f>
        <v>INSERT INTO COTACAO (cot_id, cot_blt_id, cot_pap_id, cot_prc_comum, cot_prc_min, cot_prc_max, cot_prc_med, cot_prc_mediana) VALUES (1062, 64, 30, 50, 50, 60, 53.75, 52.5);</v>
      </c>
      <c r="J1063" s="0" t="str">
        <f aca="false">"UPDATE COTACAO SET cot_id = "&amp;A1063&amp;", cot_blt_id = "&amp;B1063&amp;", cot_pap_id = "&amp;C1063&amp;", cot_prc_comum = "&amp;D1063&amp;", cot_prc_min = "&amp;E1063&amp;", cot_prc_max = "&amp;F1063&amp;", cot_prc_med = "&amp;G1063&amp;", cot_prc_mediana = "&amp;H1063&amp;" WHERE cot_id = "&amp;A1063&amp;";"</f>
        <v>UPDATE COTACAO SET cot_id = 1062, cot_blt_id = 64, cot_pap_id = 30, cot_prc_comum = 50, cot_prc_min = 50, cot_prc_max = 60, cot_prc_med = 53.75, cot_prc_mediana = 52.5 WHERE cot_id = 1062;</v>
      </c>
    </row>
    <row r="1064" customFormat="false" ht="14.25" hidden="false" customHeight="false" outlineLevel="0" collapsed="false">
      <c r="A1064" s="0" t="n">
        <v>1063</v>
      </c>
      <c r="B1064" s="0" t="n">
        <f aca="false">IF('Boletins Nuppa Site'!A1064&lt;&gt;0,'Boletins Nuppa Site'!A1064,"NULL")</f>
        <v>64</v>
      </c>
      <c r="C1064" s="0" t="n">
        <v>31</v>
      </c>
      <c r="D1064" s="30" t="n">
        <f aca="false">IF('Boletins Nuppa Site'!G1064&lt;&gt;0,'Boletins Nuppa Site'!G1064,"NULL")</f>
        <v>80</v>
      </c>
      <c r="E1064" s="30" t="n">
        <f aca="false">IF('Boletins Nuppa Site'!H1064&lt;&gt;0,'Boletins Nuppa Site'!H1064,"NULL")</f>
        <v>70</v>
      </c>
      <c r="F1064" s="30" t="n">
        <f aca="false">IF('Boletins Nuppa Site'!I1064&lt;&gt;0,'Boletins Nuppa Site'!I1064,"NULL")</f>
        <v>80</v>
      </c>
      <c r="G1064" s="30" t="n">
        <f aca="false">IF('Boletins Nuppa Site'!J1064&lt;&gt;0,'Boletins Nuppa Site'!J1064,"NULL")</f>
        <v>77</v>
      </c>
      <c r="H1064" s="30" t="n">
        <f aca="false">IF('Boletins Nuppa Site'!K1064&lt;&gt;0,'Boletins Nuppa Site'!K1064,"NULL")</f>
        <v>80</v>
      </c>
      <c r="I1064" s="0" t="str">
        <f aca="false">"INSERT INTO COTACAO (cot_id, cot_blt_id, cot_pap_id, cot_prc_comum, cot_prc_min, cot_prc_max, cot_prc_med, cot_prc_mediana) VALUES ("&amp;A1064&amp;", "&amp;B1064&amp;", "&amp;C1064&amp;", "&amp;D1064&amp;", "&amp;E1064&amp;", "&amp;F1064&amp;", "&amp;G1064&amp;", "&amp;H1064&amp;");"</f>
        <v>INSERT INTO COTACAO (cot_id, cot_blt_id, cot_pap_id, cot_prc_comum, cot_prc_min, cot_prc_max, cot_prc_med, cot_prc_mediana) VALUES (1063, 64, 31, 80, 70, 80, 77, 80);</v>
      </c>
      <c r="J1064" s="0" t="str">
        <f aca="false">"UPDATE COTACAO SET cot_id = "&amp;A1064&amp;", cot_blt_id = "&amp;B1064&amp;", cot_pap_id = "&amp;C1064&amp;", cot_prc_comum = "&amp;D1064&amp;", cot_prc_min = "&amp;E1064&amp;", cot_prc_max = "&amp;F1064&amp;", cot_prc_med = "&amp;G1064&amp;", cot_prc_mediana = "&amp;H1064&amp;" WHERE cot_id = "&amp;A1064&amp;";"</f>
        <v>UPDATE COTACAO SET cot_id = 1063, cot_blt_id = 64, cot_pap_id = 31, cot_prc_comum = 80, cot_prc_min = 70, cot_prc_max = 80, cot_prc_med = 77, cot_prc_mediana = 80 WHERE cot_id = 1063;</v>
      </c>
    </row>
    <row r="1065" customFormat="false" ht="14.25" hidden="false" customHeight="false" outlineLevel="0" collapsed="false">
      <c r="A1065" s="0" t="n">
        <v>1064</v>
      </c>
      <c r="B1065" s="0" t="n">
        <f aca="false">IF('Boletins Nuppa Site'!A1065&lt;&gt;0,'Boletins Nuppa Site'!A1065,"NULL")</f>
        <v>64</v>
      </c>
      <c r="C1065" s="0" t="n">
        <v>32</v>
      </c>
      <c r="D1065" s="30" t="n">
        <f aca="false">IF('Boletins Nuppa Site'!G1065&lt;&gt;0,'Boletins Nuppa Site'!G1065,"NULL")</f>
        <v>50</v>
      </c>
      <c r="E1065" s="30" t="n">
        <f aca="false">IF('Boletins Nuppa Site'!H1065&lt;&gt;0,'Boletins Nuppa Site'!H1065,"NULL")</f>
        <v>45</v>
      </c>
      <c r="F1065" s="30" t="n">
        <f aca="false">IF('Boletins Nuppa Site'!I1065&lt;&gt;0,'Boletins Nuppa Site'!I1065,"NULL")</f>
        <v>70</v>
      </c>
      <c r="G1065" s="30" t="n">
        <f aca="false">IF('Boletins Nuppa Site'!J1065&lt;&gt;0,'Boletins Nuppa Site'!J1065,"NULL")</f>
        <v>54</v>
      </c>
      <c r="H1065" s="30" t="n">
        <f aca="false">IF('Boletins Nuppa Site'!K1065&lt;&gt;0,'Boletins Nuppa Site'!K1065,"NULL")</f>
        <v>50</v>
      </c>
      <c r="I1065" s="0" t="str">
        <f aca="false">"INSERT INTO COTACAO (cot_id, cot_blt_id, cot_pap_id, cot_prc_comum, cot_prc_min, cot_prc_max, cot_prc_med, cot_prc_mediana) VALUES ("&amp;A1065&amp;", "&amp;B1065&amp;", "&amp;C1065&amp;", "&amp;D1065&amp;", "&amp;E1065&amp;", "&amp;F1065&amp;", "&amp;G1065&amp;", "&amp;H1065&amp;");"</f>
        <v>INSERT INTO COTACAO (cot_id, cot_blt_id, cot_pap_id, cot_prc_comum, cot_prc_min, cot_prc_max, cot_prc_med, cot_prc_mediana) VALUES (1064, 64, 32, 50, 45, 70, 54, 50);</v>
      </c>
      <c r="J1065" s="0" t="str">
        <f aca="false">"UPDATE COTACAO SET cot_id = "&amp;A1065&amp;", cot_blt_id = "&amp;B1065&amp;", cot_pap_id = "&amp;C1065&amp;", cot_prc_comum = "&amp;D1065&amp;", cot_prc_min = "&amp;E1065&amp;", cot_prc_max = "&amp;F1065&amp;", cot_prc_med = "&amp;G1065&amp;", cot_prc_mediana = "&amp;H1065&amp;" WHERE cot_id = "&amp;A1065&amp;";"</f>
        <v>UPDATE COTACAO SET cot_id = 1064, cot_blt_id = 64, cot_pap_id = 32, cot_prc_comum = 50, cot_prc_min = 45, cot_prc_max = 70, cot_prc_med = 54, cot_prc_mediana = 50 WHERE cot_id = 1064;</v>
      </c>
    </row>
    <row r="1066" customFormat="false" ht="14.25" hidden="false" customHeight="false" outlineLevel="0" collapsed="false">
      <c r="A1066" s="0" t="n">
        <v>1065</v>
      </c>
      <c r="B1066" s="0" t="n">
        <f aca="false">IF('Boletins Nuppa Site'!A1066&lt;&gt;0,'Boletins Nuppa Site'!A1066,"NULL")</f>
        <v>64</v>
      </c>
      <c r="C1066" s="0" t="n">
        <v>33</v>
      </c>
      <c r="D1066" s="30" t="n">
        <f aca="false">IF('Boletins Nuppa Site'!G1066&lt;&gt;0,'Boletins Nuppa Site'!G1066,"NULL")</f>
        <v>110</v>
      </c>
      <c r="E1066" s="30" t="n">
        <f aca="false">IF('Boletins Nuppa Site'!H1066&lt;&gt;0,'Boletins Nuppa Site'!H1066,"NULL")</f>
        <v>100</v>
      </c>
      <c r="F1066" s="30" t="n">
        <f aca="false">IF('Boletins Nuppa Site'!I1066&lt;&gt;0,'Boletins Nuppa Site'!I1066,"NULL")</f>
        <v>155</v>
      </c>
      <c r="G1066" s="0" t="str">
        <f aca="false">IF('Boletins Nuppa Site'!J1066&lt;&gt;0,'Boletins Nuppa Site'!J1066,"NULL")</f>
        <v>118.75</v>
      </c>
      <c r="H1066" s="30" t="n">
        <f aca="false">IF('Boletins Nuppa Site'!K1066&lt;&gt;0,'Boletins Nuppa Site'!K1066,"NULL")</f>
        <v>110</v>
      </c>
      <c r="I1066" s="0" t="str">
        <f aca="false">"INSERT INTO COTACAO (cot_id, cot_blt_id, cot_pap_id, cot_prc_comum, cot_prc_min, cot_prc_max, cot_prc_med, cot_prc_mediana) VALUES ("&amp;A1066&amp;", "&amp;B1066&amp;", "&amp;C1066&amp;", "&amp;D1066&amp;", "&amp;E1066&amp;", "&amp;F1066&amp;", "&amp;G1066&amp;", "&amp;H1066&amp;");"</f>
        <v>INSERT INTO COTACAO (cot_id, cot_blt_id, cot_pap_id, cot_prc_comum, cot_prc_min, cot_prc_max, cot_prc_med, cot_prc_mediana) VALUES (1065, 64, 33, 110, 100, 155, 118.75, 110);</v>
      </c>
      <c r="J1066" s="0" t="str">
        <f aca="false">"UPDATE COTACAO SET cot_id = "&amp;A1066&amp;", cot_blt_id = "&amp;B1066&amp;", cot_pap_id = "&amp;C1066&amp;", cot_prc_comum = "&amp;D1066&amp;", cot_prc_min = "&amp;E1066&amp;", cot_prc_max = "&amp;F1066&amp;", cot_prc_med = "&amp;G1066&amp;", cot_prc_mediana = "&amp;H1066&amp;" WHERE cot_id = "&amp;A1066&amp;";"</f>
        <v>UPDATE COTACAO SET cot_id = 1065, cot_blt_id = 64, cot_pap_id = 33, cot_prc_comum = 110, cot_prc_min = 100, cot_prc_max = 155, cot_prc_med = 118.75, cot_prc_mediana = 110 WHERE cot_id = 1065;</v>
      </c>
    </row>
    <row r="1067" customFormat="false" ht="14.25" hidden="false" customHeight="false" outlineLevel="0" collapsed="false">
      <c r="A1067" s="0" t="n">
        <v>1066</v>
      </c>
      <c r="B1067" s="0" t="n">
        <f aca="false">IF('Boletins Nuppa Site'!A1067&lt;&gt;0,'Boletins Nuppa Site'!A1067,"NULL")</f>
        <v>64</v>
      </c>
      <c r="C1067" s="0" t="n">
        <v>34</v>
      </c>
      <c r="D1067" s="30" t="n">
        <f aca="false">IF('Boletins Nuppa Site'!G1067&lt;&gt;0,'Boletins Nuppa Site'!G1067,"NULL")</f>
        <v>60</v>
      </c>
      <c r="E1067" s="30" t="n">
        <f aca="false">IF('Boletins Nuppa Site'!H1067&lt;&gt;0,'Boletins Nuppa Site'!H1067,"NULL")</f>
        <v>60</v>
      </c>
      <c r="F1067" s="30" t="n">
        <f aca="false">IF('Boletins Nuppa Site'!I1067&lt;&gt;0,'Boletins Nuppa Site'!I1067,"NULL")</f>
        <v>80</v>
      </c>
      <c r="G1067" s="30" t="n">
        <f aca="false">IF('Boletins Nuppa Site'!J1067&lt;&gt;0,'Boletins Nuppa Site'!J1067,"NULL")</f>
        <v>66</v>
      </c>
      <c r="H1067" s="30" t="n">
        <f aca="false">IF('Boletins Nuppa Site'!K1067&lt;&gt;0,'Boletins Nuppa Site'!K1067,"NULL")</f>
        <v>60</v>
      </c>
      <c r="I1067" s="0" t="str">
        <f aca="false">"INSERT INTO COTACAO (cot_id, cot_blt_id, cot_pap_id, cot_prc_comum, cot_prc_min, cot_prc_max, cot_prc_med, cot_prc_mediana) VALUES ("&amp;A1067&amp;", "&amp;B1067&amp;", "&amp;C1067&amp;", "&amp;D1067&amp;", "&amp;E1067&amp;", "&amp;F1067&amp;", "&amp;G1067&amp;", "&amp;H1067&amp;");"</f>
        <v>INSERT INTO COTACAO (cot_id, cot_blt_id, cot_pap_id, cot_prc_comum, cot_prc_min, cot_prc_max, cot_prc_med, cot_prc_mediana) VALUES (1066, 64, 34, 60, 60, 80, 66, 60);</v>
      </c>
      <c r="J1067" s="0" t="str">
        <f aca="false">"UPDATE COTACAO SET cot_id = "&amp;A1067&amp;", cot_blt_id = "&amp;B1067&amp;", cot_pap_id = "&amp;C1067&amp;", cot_prc_comum = "&amp;D1067&amp;", cot_prc_min = "&amp;E1067&amp;", cot_prc_max = "&amp;F1067&amp;", cot_prc_med = "&amp;G1067&amp;", cot_prc_mediana = "&amp;H1067&amp;" WHERE cot_id = "&amp;A1067&amp;";"</f>
        <v>UPDATE COTACAO SET cot_id = 1066, cot_blt_id = 64, cot_pap_id = 34, cot_prc_comum = 60, cot_prc_min = 60, cot_prc_max = 80, cot_prc_med = 66, cot_prc_mediana = 60 WHERE cot_id = 1066;</v>
      </c>
    </row>
    <row r="1068" customFormat="false" ht="14.25" hidden="false" customHeight="false" outlineLevel="0" collapsed="false">
      <c r="A1068" s="0" t="n">
        <v>1067</v>
      </c>
      <c r="B1068" s="0" t="n">
        <f aca="false">IF('Boletins Nuppa Site'!A1068&lt;&gt;0,'Boletins Nuppa Site'!A1068,"NULL")</f>
        <v>64</v>
      </c>
      <c r="C1068" s="0" t="n">
        <v>35</v>
      </c>
      <c r="D1068" s="0" t="str">
        <f aca="false">IF('Boletins Nuppa Site'!G1068&lt;&gt;0,'Boletins Nuppa Site'!G1068,"NULL")</f>
        <v>NULL</v>
      </c>
      <c r="E1068" s="30" t="n">
        <f aca="false">IF('Boletins Nuppa Site'!H1068&lt;&gt;0,'Boletins Nuppa Site'!H1068,"NULL")</f>
        <v>150</v>
      </c>
      <c r="F1068" s="30" t="n">
        <f aca="false">IF('Boletins Nuppa Site'!I1068&lt;&gt;0,'Boletins Nuppa Site'!I1068,"NULL")</f>
        <v>160</v>
      </c>
      <c r="G1068" s="30" t="n">
        <f aca="false">IF('Boletins Nuppa Site'!J1068&lt;&gt;0,'Boletins Nuppa Site'!J1068,"NULL")</f>
        <v>155</v>
      </c>
      <c r="H1068" s="30" t="n">
        <f aca="false">IF('Boletins Nuppa Site'!K1068&lt;&gt;0,'Boletins Nuppa Site'!K1068,"NULL")</f>
        <v>155</v>
      </c>
      <c r="I1068" s="0" t="str">
        <f aca="false">"INSERT INTO COTACAO (cot_id, cot_blt_id, cot_pap_id, cot_prc_comum, cot_prc_min, cot_prc_max, cot_prc_med, cot_prc_mediana) VALUES ("&amp;A1068&amp;", "&amp;B1068&amp;", "&amp;C1068&amp;", "&amp;D1068&amp;", "&amp;E1068&amp;", "&amp;F1068&amp;", "&amp;G1068&amp;", "&amp;H1068&amp;");"</f>
        <v>INSERT INTO COTACAO (cot_id, cot_blt_id, cot_pap_id, cot_prc_comum, cot_prc_min, cot_prc_max, cot_prc_med, cot_prc_mediana) VALUES (1067, 64, 35, NULL, 150, 160, 155, 155);</v>
      </c>
      <c r="J1068" s="0" t="str">
        <f aca="false">"UPDATE COTACAO SET cot_id = "&amp;A1068&amp;", cot_blt_id = "&amp;B1068&amp;", cot_pap_id = "&amp;C1068&amp;", cot_prc_comum = "&amp;D1068&amp;", cot_prc_min = "&amp;E1068&amp;", cot_prc_max = "&amp;F1068&amp;", cot_prc_med = "&amp;G1068&amp;", cot_prc_mediana = "&amp;H1068&amp;" WHERE cot_id = "&amp;A1068&amp;";"</f>
        <v>UPDATE COTACAO SET cot_id = 1067, cot_blt_id = 64, cot_pap_id = 35, cot_prc_comum = NULL, cot_prc_min = 150, cot_prc_max = 160, cot_prc_med = 155, cot_prc_mediana = 155 WHERE cot_id = 1067;</v>
      </c>
    </row>
    <row r="1069" customFormat="false" ht="14.25" hidden="false" customHeight="false" outlineLevel="0" collapsed="false">
      <c r="A1069" s="0" t="n">
        <v>1068</v>
      </c>
      <c r="B1069" s="0" t="n">
        <f aca="false">IF('Boletins Nuppa Site'!A1069&lt;&gt;0,'Boletins Nuppa Site'!A1069,"NULL")</f>
        <v>64</v>
      </c>
      <c r="C1069" s="0" t="n">
        <v>36</v>
      </c>
      <c r="D1069" s="0" t="str">
        <f aca="false">IF('Boletins Nuppa Site'!G1069&lt;&gt;0,'Boletins Nuppa Site'!G1069,"NULL")</f>
        <v>NULL</v>
      </c>
      <c r="E1069" s="0" t="str">
        <f aca="false">IF('Boletins Nuppa Site'!H1069&lt;&gt;0,'Boletins Nuppa Site'!H1069,"NULL")</f>
        <v>NULL</v>
      </c>
      <c r="F1069" s="0" t="str">
        <f aca="false">IF('Boletins Nuppa Site'!I1069&lt;&gt;0,'Boletins Nuppa Site'!I1069,"NULL")</f>
        <v>NULL</v>
      </c>
      <c r="G1069" s="0" t="str">
        <f aca="false">IF('Boletins Nuppa Site'!J1069&lt;&gt;0,'Boletins Nuppa Site'!J1069,"NULL")</f>
        <v>NULL</v>
      </c>
      <c r="H1069" s="0" t="str">
        <f aca="false">IF('Boletins Nuppa Site'!K1069&lt;&gt;0,'Boletins Nuppa Site'!K1069,"NULL")</f>
        <v>NULL</v>
      </c>
      <c r="I1069" s="0" t="str">
        <f aca="false">"INSERT INTO COTACAO (cot_id, cot_blt_id, cot_pap_id, cot_prc_comum, cot_prc_min, cot_prc_max, cot_prc_med, cot_prc_mediana) VALUES ("&amp;A1069&amp;", "&amp;B1069&amp;", "&amp;C1069&amp;", "&amp;D1069&amp;", "&amp;E1069&amp;", "&amp;F1069&amp;", "&amp;G1069&amp;", "&amp;H1069&amp;");"</f>
        <v>INSERT INTO COTACAO (cot_id, cot_blt_id, cot_pap_id, cot_prc_comum, cot_prc_min, cot_prc_max, cot_prc_med, cot_prc_mediana) VALUES (1068, 64, 36, NULL, NULL, NULL, NULL, NULL);</v>
      </c>
      <c r="J1069" s="0" t="str">
        <f aca="false">"UPDATE COTACAO SET cot_id = "&amp;A1069&amp;", cot_blt_id = "&amp;B1069&amp;", cot_pap_id = "&amp;C1069&amp;", cot_prc_comum = "&amp;D1069&amp;", cot_prc_min = "&amp;E1069&amp;", cot_prc_max = "&amp;F1069&amp;", cot_prc_med = "&amp;G1069&amp;", cot_prc_mediana = "&amp;H1069&amp;" WHERE cot_id = "&amp;A1069&amp;";"</f>
        <v>UPDATE COTACAO SET cot_id = 1068, cot_blt_id = 64, cot_pap_id = 36, cot_prc_comum = NULL, cot_prc_min = NULL, cot_prc_max = NULL, cot_prc_med = NULL, cot_prc_mediana = NULL WHERE cot_id = 1068;</v>
      </c>
    </row>
    <row r="1070" customFormat="false" ht="14.25" hidden="false" customHeight="false" outlineLevel="0" collapsed="false">
      <c r="A1070" s="0" t="n">
        <v>1069</v>
      </c>
      <c r="B1070" s="0" t="n">
        <f aca="false">IF('Boletins Nuppa Site'!A1070&lt;&gt;0,'Boletins Nuppa Site'!A1070,"NULL")</f>
        <v>64</v>
      </c>
      <c r="C1070" s="0" t="n">
        <v>37</v>
      </c>
      <c r="D1070" s="0" t="str">
        <f aca="false">IF('Boletins Nuppa Site'!G1070&lt;&gt;0,'Boletins Nuppa Site'!G1070,"NULL")</f>
        <v>NULL</v>
      </c>
      <c r="E1070" s="0" t="str">
        <f aca="false">IF('Boletins Nuppa Site'!H1070&lt;&gt;0,'Boletins Nuppa Site'!H1070,"NULL")</f>
        <v>NULL</v>
      </c>
      <c r="F1070" s="0" t="str">
        <f aca="false">IF('Boletins Nuppa Site'!I1070&lt;&gt;0,'Boletins Nuppa Site'!I1070,"NULL")</f>
        <v>NULL</v>
      </c>
      <c r="G1070" s="0" t="str">
        <f aca="false">IF('Boletins Nuppa Site'!J1070&lt;&gt;0,'Boletins Nuppa Site'!J1070,"NULL")</f>
        <v>NULL</v>
      </c>
      <c r="H1070" s="0" t="str">
        <f aca="false">IF('Boletins Nuppa Site'!K1070&lt;&gt;0,'Boletins Nuppa Site'!K1070,"NULL")</f>
        <v>NULL</v>
      </c>
      <c r="I1070" s="0" t="str">
        <f aca="false">"INSERT INTO COTACAO (cot_id, cot_blt_id, cot_pap_id, cot_prc_comum, cot_prc_min, cot_prc_max, cot_prc_med, cot_prc_mediana) VALUES ("&amp;A1070&amp;", "&amp;B1070&amp;", "&amp;C1070&amp;", "&amp;D1070&amp;", "&amp;E1070&amp;", "&amp;F1070&amp;", "&amp;G1070&amp;", "&amp;H1070&amp;");"</f>
        <v>INSERT INTO COTACAO (cot_id, cot_blt_id, cot_pap_id, cot_prc_comum, cot_prc_min, cot_prc_max, cot_prc_med, cot_prc_mediana) VALUES (1069, 64, 37, NULL, NULL, NULL, NULL, NULL);</v>
      </c>
      <c r="J1070" s="0" t="str">
        <f aca="false">"UPDATE COTACAO SET cot_id = "&amp;A1070&amp;", cot_blt_id = "&amp;B1070&amp;", cot_pap_id = "&amp;C1070&amp;", cot_prc_comum = "&amp;D1070&amp;", cot_prc_min = "&amp;E1070&amp;", cot_prc_max = "&amp;F1070&amp;", cot_prc_med = "&amp;G1070&amp;", cot_prc_mediana = "&amp;H1070&amp;" WHERE cot_id = "&amp;A1070&amp;";"</f>
        <v>UPDATE COTACAO SET cot_id = 1069, cot_blt_id = 64, cot_pap_id = 37, cot_prc_comum = NULL, cot_prc_min = NULL, cot_prc_max = NULL, cot_prc_med = NULL, cot_prc_mediana = NULL WHERE cot_id = 1069;</v>
      </c>
    </row>
    <row r="1071" customFormat="false" ht="14.25" hidden="false" customHeight="false" outlineLevel="0" collapsed="false">
      <c r="A1071" s="0" t="n">
        <v>1070</v>
      </c>
      <c r="B1071" s="0" t="n">
        <f aca="false">IF('Boletins Nuppa Site'!A1071&lt;&gt;0,'Boletins Nuppa Site'!A1071,"NULL")</f>
        <v>64</v>
      </c>
      <c r="C1071" s="0" t="n">
        <v>38</v>
      </c>
      <c r="D1071" s="0" t="str">
        <f aca="false">IF('Boletins Nuppa Site'!G1071&lt;&gt;0,'Boletins Nuppa Site'!G1071,"NULL")</f>
        <v>NULL</v>
      </c>
      <c r="E1071" s="0" t="str">
        <f aca="false">IF('Boletins Nuppa Site'!H1071&lt;&gt;0,'Boletins Nuppa Site'!H1071,"NULL")</f>
        <v>NULL</v>
      </c>
      <c r="F1071" s="0" t="str">
        <f aca="false">IF('Boletins Nuppa Site'!I1071&lt;&gt;0,'Boletins Nuppa Site'!I1071,"NULL")</f>
        <v>NULL</v>
      </c>
      <c r="G1071" s="0" t="str">
        <f aca="false">IF('Boletins Nuppa Site'!J1071&lt;&gt;0,'Boletins Nuppa Site'!J1071,"NULL")</f>
        <v>NULL</v>
      </c>
      <c r="H1071" s="0" t="str">
        <f aca="false">IF('Boletins Nuppa Site'!K1071&lt;&gt;0,'Boletins Nuppa Site'!K1071,"NULL")</f>
        <v>NULL</v>
      </c>
      <c r="I1071" s="0" t="str">
        <f aca="false">"INSERT INTO COTACAO (cot_id, cot_blt_id, cot_pap_id, cot_prc_comum, cot_prc_min, cot_prc_max, cot_prc_med, cot_prc_mediana) VALUES ("&amp;A1071&amp;", "&amp;B1071&amp;", "&amp;C1071&amp;", "&amp;D1071&amp;", "&amp;E1071&amp;", "&amp;F1071&amp;", "&amp;G1071&amp;", "&amp;H1071&amp;");"</f>
        <v>INSERT INTO COTACAO (cot_id, cot_blt_id, cot_pap_id, cot_prc_comum, cot_prc_min, cot_prc_max, cot_prc_med, cot_prc_mediana) VALUES (1070, 64, 38, NULL, NULL, NULL, NULL, NULL);</v>
      </c>
      <c r="J1071" s="0" t="str">
        <f aca="false">"UPDATE COTACAO SET cot_id = "&amp;A1071&amp;", cot_blt_id = "&amp;B1071&amp;", cot_pap_id = "&amp;C1071&amp;", cot_prc_comum = "&amp;D1071&amp;", cot_prc_min = "&amp;E1071&amp;", cot_prc_max = "&amp;F1071&amp;", cot_prc_med = "&amp;G1071&amp;", cot_prc_mediana = "&amp;H1071&amp;" WHERE cot_id = "&amp;A1071&amp;";"</f>
        <v>UPDATE COTACAO SET cot_id = 1070, cot_blt_id = 64, cot_pap_id = 38, cot_prc_comum = NULL, cot_prc_min = NULL, cot_prc_max = NULL, cot_prc_med = NULL, cot_prc_mediana = NULL WHERE cot_id = 1070;</v>
      </c>
    </row>
    <row r="1072" customFormat="false" ht="14.25" hidden="false" customHeight="false" outlineLevel="0" collapsed="false">
      <c r="A1072" s="0" t="n">
        <v>1071</v>
      </c>
      <c r="B1072" s="0" t="n">
        <f aca="false">IF('Boletins Nuppa Site'!A1072&lt;&gt;0,'Boletins Nuppa Site'!A1072,"NULL")</f>
        <v>64</v>
      </c>
      <c r="C1072" s="0" t="n">
        <v>39</v>
      </c>
      <c r="D1072" s="0" t="str">
        <f aca="false">IF('Boletins Nuppa Site'!G1072&lt;&gt;0,'Boletins Nuppa Site'!G1072,"NULL")</f>
        <v>NULL</v>
      </c>
      <c r="E1072" s="30" t="n">
        <f aca="false">IF('Boletins Nuppa Site'!H1072&lt;&gt;0,'Boletins Nuppa Site'!H1072,"NULL")</f>
        <v>60</v>
      </c>
      <c r="F1072" s="30" t="n">
        <f aca="false">IF('Boletins Nuppa Site'!I1072&lt;&gt;0,'Boletins Nuppa Site'!I1072,"NULL")</f>
        <v>60</v>
      </c>
      <c r="G1072" s="30" t="n">
        <f aca="false">IF('Boletins Nuppa Site'!J1072&lt;&gt;0,'Boletins Nuppa Site'!J1072,"NULL")</f>
        <v>60</v>
      </c>
      <c r="H1072" s="30" t="n">
        <f aca="false">IF('Boletins Nuppa Site'!K1072&lt;&gt;0,'Boletins Nuppa Site'!K1072,"NULL")</f>
        <v>60</v>
      </c>
      <c r="I1072" s="0" t="str">
        <f aca="false">"INSERT INTO COTACAO (cot_id, cot_blt_id, cot_pap_id, cot_prc_comum, cot_prc_min, cot_prc_max, cot_prc_med, cot_prc_mediana) VALUES ("&amp;A1072&amp;", "&amp;B1072&amp;", "&amp;C1072&amp;", "&amp;D1072&amp;", "&amp;E1072&amp;", "&amp;F1072&amp;", "&amp;G1072&amp;", "&amp;H1072&amp;");"</f>
        <v>INSERT INTO COTACAO (cot_id, cot_blt_id, cot_pap_id, cot_prc_comum, cot_prc_min, cot_prc_max, cot_prc_med, cot_prc_mediana) VALUES (1071, 64, 39, NULL, 60, 60, 60, 60);</v>
      </c>
      <c r="J1072" s="0" t="str">
        <f aca="false">"UPDATE COTACAO SET cot_id = "&amp;A1072&amp;", cot_blt_id = "&amp;B1072&amp;", cot_pap_id = "&amp;C1072&amp;", cot_prc_comum = "&amp;D1072&amp;", cot_prc_min = "&amp;E1072&amp;", cot_prc_max = "&amp;F1072&amp;", cot_prc_med = "&amp;G1072&amp;", cot_prc_mediana = "&amp;H1072&amp;" WHERE cot_id = "&amp;A1072&amp;";"</f>
        <v>UPDATE COTACAO SET cot_id = 1071, cot_blt_id = 64, cot_pap_id = 39, cot_prc_comum = NULL, cot_prc_min = 60, cot_prc_max = 60, cot_prc_med = 60, cot_prc_mediana = 60 WHERE cot_id = 1071;</v>
      </c>
    </row>
    <row r="1073" customFormat="false" ht="14.25" hidden="false" customHeight="false" outlineLevel="0" collapsed="false">
      <c r="A1073" s="0" t="n">
        <v>1072</v>
      </c>
      <c r="B1073" s="0" t="n">
        <f aca="false">IF('Boletins Nuppa Site'!A1073&lt;&gt;0,'Boletins Nuppa Site'!A1073,"NULL")</f>
        <v>64</v>
      </c>
      <c r="C1073" s="0" t="n">
        <v>40</v>
      </c>
      <c r="D1073" s="0" t="str">
        <f aca="false">IF('Boletins Nuppa Site'!G1073&lt;&gt;0,'Boletins Nuppa Site'!G1073,"NULL")</f>
        <v>NULL</v>
      </c>
      <c r="E1073" s="0" t="str">
        <f aca="false">IF('Boletins Nuppa Site'!H1073&lt;&gt;0,'Boletins Nuppa Site'!H1073,"NULL")</f>
        <v>NULL</v>
      </c>
      <c r="F1073" s="0" t="str">
        <f aca="false">IF('Boletins Nuppa Site'!I1073&lt;&gt;0,'Boletins Nuppa Site'!I1073,"NULL")</f>
        <v>NULL</v>
      </c>
      <c r="G1073" s="0" t="str">
        <f aca="false">IF('Boletins Nuppa Site'!J1073&lt;&gt;0,'Boletins Nuppa Site'!J1073,"NULL")</f>
        <v>NULL</v>
      </c>
      <c r="H1073" s="0" t="str">
        <f aca="false">IF('Boletins Nuppa Site'!K1073&lt;&gt;0,'Boletins Nuppa Site'!K1073,"NULL")</f>
        <v>NULL</v>
      </c>
      <c r="I1073" s="0" t="str">
        <f aca="false">"INSERT INTO COTACAO (cot_id, cot_blt_id, cot_pap_id, cot_prc_comum, cot_prc_min, cot_prc_max, cot_prc_med, cot_prc_mediana) VALUES ("&amp;A1073&amp;", "&amp;B1073&amp;", "&amp;C1073&amp;", "&amp;D1073&amp;", "&amp;E1073&amp;", "&amp;F1073&amp;", "&amp;G1073&amp;", "&amp;H1073&amp;");"</f>
        <v>INSERT INTO COTACAO (cot_id, cot_blt_id, cot_pap_id, cot_prc_comum, cot_prc_min, cot_prc_max, cot_prc_med, cot_prc_mediana) VALUES (1072, 64, 40, NULL, NULL, NULL, NULL, NULL);</v>
      </c>
      <c r="J1073" s="0" t="str">
        <f aca="false">"UPDATE COTACAO SET cot_id = "&amp;A1073&amp;", cot_blt_id = "&amp;B1073&amp;", cot_pap_id = "&amp;C1073&amp;", cot_prc_comum = "&amp;D1073&amp;", cot_prc_min = "&amp;E1073&amp;", cot_prc_max = "&amp;F1073&amp;", cot_prc_med = "&amp;G1073&amp;", cot_prc_mediana = "&amp;H1073&amp;" WHERE cot_id = "&amp;A1073&amp;";"</f>
        <v>UPDATE COTACAO SET cot_id = 1072, cot_blt_id = 64, cot_pap_id = 40, cot_prc_comum = NULL, cot_prc_min = NULL, cot_prc_max = NULL, cot_prc_med = NULL, cot_prc_mediana = NULL WHERE cot_id = 1072;</v>
      </c>
    </row>
    <row r="1074" customFormat="false" ht="14.25" hidden="false" customHeight="false" outlineLevel="0" collapsed="false">
      <c r="A1074" s="0" t="n">
        <v>1073</v>
      </c>
      <c r="B1074" s="0" t="n">
        <f aca="false">IF('Boletins Nuppa Site'!A1074&lt;&gt;0,'Boletins Nuppa Site'!A1074,"NULL")</f>
        <v>65</v>
      </c>
      <c r="C1074" s="0" t="n">
        <v>1</v>
      </c>
      <c r="D1074" s="30" t="n">
        <f aca="false">IF('Boletins Nuppa Site'!G1074&lt;&gt;0,'Boletins Nuppa Site'!G1074,"NULL")</f>
        <v>48</v>
      </c>
      <c r="E1074" s="30" t="n">
        <f aca="false">IF('Boletins Nuppa Site'!H1074&lt;&gt;0,'Boletins Nuppa Site'!H1074,"NULL")</f>
        <v>48</v>
      </c>
      <c r="F1074" s="30" t="n">
        <f aca="false">IF('Boletins Nuppa Site'!I1074&lt;&gt;0,'Boletins Nuppa Site'!I1074,"NULL")</f>
        <v>80</v>
      </c>
      <c r="G1074" s="30" t="n">
        <f aca="false">IF('Boletins Nuppa Site'!J1074&lt;&gt;0,'Boletins Nuppa Site'!J1074,"NULL")</f>
        <v>56</v>
      </c>
      <c r="H1074" s="30" t="n">
        <f aca="false">IF('Boletins Nuppa Site'!K1074&lt;&gt;0,'Boletins Nuppa Site'!K1074,"NULL")</f>
        <v>48</v>
      </c>
      <c r="I1074" s="0" t="str">
        <f aca="false">"INSERT INTO COTACAO (cot_id, cot_blt_id, cot_pap_id, cot_prc_comum, cot_prc_min, cot_prc_max, cot_prc_med, cot_prc_mediana) VALUES ("&amp;A1074&amp;", "&amp;B1074&amp;", "&amp;C1074&amp;", "&amp;D1074&amp;", "&amp;E1074&amp;", "&amp;F1074&amp;", "&amp;G1074&amp;", "&amp;H1074&amp;");"</f>
        <v>INSERT INTO COTACAO (cot_id, cot_blt_id, cot_pap_id, cot_prc_comum, cot_prc_min, cot_prc_max, cot_prc_med, cot_prc_mediana) VALUES (1073, 65, 1, 48, 48, 80, 56, 48);</v>
      </c>
      <c r="J1074" s="0" t="str">
        <f aca="false">"UPDATE COTACAO SET cot_id = "&amp;A1074&amp;", cot_blt_id = "&amp;B1074&amp;", cot_pap_id = "&amp;C1074&amp;", cot_prc_comum = "&amp;D1074&amp;", cot_prc_min = "&amp;E1074&amp;", cot_prc_max = "&amp;F1074&amp;", cot_prc_med = "&amp;G1074&amp;", cot_prc_mediana = "&amp;H1074&amp;" WHERE cot_id = "&amp;A1074&amp;";"</f>
        <v>UPDATE COTACAO SET cot_id = 1073, cot_blt_id = 65, cot_pap_id = 1, cot_prc_comum = 48, cot_prc_min = 48, cot_prc_max = 80, cot_prc_med = 56, cot_prc_mediana = 48 WHERE cot_id = 1073;</v>
      </c>
    </row>
    <row r="1075" customFormat="false" ht="14.25" hidden="false" customHeight="false" outlineLevel="0" collapsed="false">
      <c r="A1075" s="0" t="n">
        <v>1074</v>
      </c>
      <c r="B1075" s="0" t="n">
        <f aca="false">IF('Boletins Nuppa Site'!A1075&lt;&gt;0,'Boletins Nuppa Site'!A1075,"NULL")</f>
        <v>65</v>
      </c>
      <c r="C1075" s="0" t="n">
        <v>2</v>
      </c>
      <c r="D1075" s="30" t="n">
        <f aca="false">IF('Boletins Nuppa Site'!G1075&lt;&gt;0,'Boletins Nuppa Site'!G1075,"NULL")</f>
        <v>72</v>
      </c>
      <c r="E1075" s="30" t="n">
        <f aca="false">IF('Boletins Nuppa Site'!H1075&lt;&gt;0,'Boletins Nuppa Site'!H1075,"NULL")</f>
        <v>72</v>
      </c>
      <c r="F1075" s="30" t="n">
        <f aca="false">IF('Boletins Nuppa Site'!I1075&lt;&gt;0,'Boletins Nuppa Site'!I1075,"NULL")</f>
        <v>84</v>
      </c>
      <c r="G1075" s="30" t="n">
        <f aca="false">IF('Boletins Nuppa Site'!J1075&lt;&gt;0,'Boletins Nuppa Site'!J1075,"NULL")</f>
        <v>77</v>
      </c>
      <c r="H1075" s="30" t="n">
        <f aca="false">IF('Boletins Nuppa Site'!K1075&lt;&gt;0,'Boletins Nuppa Site'!K1075,"NULL")</f>
        <v>76</v>
      </c>
      <c r="I1075" s="0" t="str">
        <f aca="false">"INSERT INTO COTACAO (cot_id, cot_blt_id, cot_pap_id, cot_prc_comum, cot_prc_min, cot_prc_max, cot_prc_med, cot_prc_mediana) VALUES ("&amp;A1075&amp;", "&amp;B1075&amp;", "&amp;C1075&amp;", "&amp;D1075&amp;", "&amp;E1075&amp;", "&amp;F1075&amp;", "&amp;G1075&amp;", "&amp;H1075&amp;");"</f>
        <v>INSERT INTO COTACAO (cot_id, cot_blt_id, cot_pap_id, cot_prc_comum, cot_prc_min, cot_prc_max, cot_prc_med, cot_prc_mediana) VALUES (1074, 65, 2, 72, 72, 84, 77, 76);</v>
      </c>
      <c r="J1075" s="0" t="str">
        <f aca="false">"UPDATE COTACAO SET cot_id = "&amp;A1075&amp;", cot_blt_id = "&amp;B1075&amp;", cot_pap_id = "&amp;C1075&amp;", cot_prc_comum = "&amp;D1075&amp;", cot_prc_min = "&amp;E1075&amp;", cot_prc_max = "&amp;F1075&amp;", cot_prc_med = "&amp;G1075&amp;", cot_prc_mediana = "&amp;H1075&amp;" WHERE cot_id = "&amp;A1075&amp;";"</f>
        <v>UPDATE COTACAO SET cot_id = 1074, cot_blt_id = 65, cot_pap_id = 2, cot_prc_comum = 72, cot_prc_min = 72, cot_prc_max = 84, cot_prc_med = 77, cot_prc_mediana = 76 WHERE cot_id = 1074;</v>
      </c>
    </row>
    <row r="1076" customFormat="false" ht="14.25" hidden="false" customHeight="false" outlineLevel="0" collapsed="false">
      <c r="A1076" s="0" t="n">
        <v>1075</v>
      </c>
      <c r="B1076" s="0" t="n">
        <f aca="false">IF('Boletins Nuppa Site'!A1076&lt;&gt;0,'Boletins Nuppa Site'!A1076,"NULL")</f>
        <v>65</v>
      </c>
      <c r="C1076" s="0" t="n">
        <v>3</v>
      </c>
      <c r="D1076" s="30" t="n">
        <f aca="false">IF('Boletins Nuppa Site'!G1076&lt;&gt;0,'Boletins Nuppa Site'!G1076,"NULL")</f>
        <v>36</v>
      </c>
      <c r="E1076" s="30" t="n">
        <f aca="false">IF('Boletins Nuppa Site'!H1076&lt;&gt;0,'Boletins Nuppa Site'!H1076,"NULL")</f>
        <v>30</v>
      </c>
      <c r="F1076" s="30" t="n">
        <f aca="false">IF('Boletins Nuppa Site'!I1076&lt;&gt;0,'Boletins Nuppa Site'!I1076,"NULL")</f>
        <v>142</v>
      </c>
      <c r="G1076" s="0" t="str">
        <f aca="false">IF('Boletins Nuppa Site'!J1076&lt;&gt;0,'Boletins Nuppa Site'!J1076,"NULL")</f>
        <v>55.8</v>
      </c>
      <c r="H1076" s="30" t="n">
        <f aca="false">IF('Boletins Nuppa Site'!K1076&lt;&gt;0,'Boletins Nuppa Site'!K1076,"NULL")</f>
        <v>36</v>
      </c>
      <c r="I1076" s="0" t="str">
        <f aca="false">"INSERT INTO COTACAO (cot_id, cot_blt_id, cot_pap_id, cot_prc_comum, cot_prc_min, cot_prc_max, cot_prc_med, cot_prc_mediana) VALUES ("&amp;A1076&amp;", "&amp;B1076&amp;", "&amp;C1076&amp;", "&amp;D1076&amp;", "&amp;E1076&amp;", "&amp;F1076&amp;", "&amp;G1076&amp;", "&amp;H1076&amp;");"</f>
        <v>INSERT INTO COTACAO (cot_id, cot_blt_id, cot_pap_id, cot_prc_comum, cot_prc_min, cot_prc_max, cot_prc_med, cot_prc_mediana) VALUES (1075, 65, 3, 36, 30, 142, 55.8, 36);</v>
      </c>
      <c r="J1076" s="0" t="str">
        <f aca="false">"UPDATE COTACAO SET cot_id = "&amp;A1076&amp;", cot_blt_id = "&amp;B1076&amp;", cot_pap_id = "&amp;C1076&amp;", cot_prc_comum = "&amp;D1076&amp;", cot_prc_min = "&amp;E1076&amp;", cot_prc_max = "&amp;F1076&amp;", cot_prc_med = "&amp;G1076&amp;", cot_prc_mediana = "&amp;H1076&amp;" WHERE cot_id = "&amp;A1076&amp;";"</f>
        <v>UPDATE COTACAO SET cot_id = 1075, cot_blt_id = 65, cot_pap_id = 3, cot_prc_comum = 36, cot_prc_min = 30, cot_prc_max = 142, cot_prc_med = 55.8, cot_prc_mediana = 36 WHERE cot_id = 1075;</v>
      </c>
    </row>
    <row r="1077" customFormat="false" ht="14.25" hidden="false" customHeight="false" outlineLevel="0" collapsed="false">
      <c r="A1077" s="0" t="n">
        <v>1076</v>
      </c>
      <c r="B1077" s="0" t="n">
        <f aca="false">IF('Boletins Nuppa Site'!A1077&lt;&gt;0,'Boletins Nuppa Site'!A1077,"NULL")</f>
        <v>65</v>
      </c>
      <c r="C1077" s="0" t="n">
        <v>4</v>
      </c>
      <c r="D1077" s="30" t="n">
        <f aca="false">IF('Boletins Nuppa Site'!G1077&lt;&gt;0,'Boletins Nuppa Site'!G1077,"NULL")</f>
        <v>24</v>
      </c>
      <c r="E1077" s="30" t="n">
        <f aca="false">IF('Boletins Nuppa Site'!H1077&lt;&gt;0,'Boletins Nuppa Site'!H1077,"NULL")</f>
        <v>18</v>
      </c>
      <c r="F1077" s="30" t="n">
        <f aca="false">IF('Boletins Nuppa Site'!I1077&lt;&gt;0,'Boletins Nuppa Site'!I1077,"NULL")</f>
        <v>36</v>
      </c>
      <c r="G1077" s="0" t="str">
        <f aca="false">IF('Boletins Nuppa Site'!J1077&lt;&gt;0,'Boletins Nuppa Site'!J1077,"NULL")</f>
        <v>25.2</v>
      </c>
      <c r="H1077" s="30" t="n">
        <f aca="false">IF('Boletins Nuppa Site'!K1077&lt;&gt;0,'Boletins Nuppa Site'!K1077,"NULL")</f>
        <v>24</v>
      </c>
      <c r="I1077" s="0" t="str">
        <f aca="false">"INSERT INTO COTACAO (cot_id, cot_blt_id, cot_pap_id, cot_prc_comum, cot_prc_min, cot_prc_max, cot_prc_med, cot_prc_mediana) VALUES ("&amp;A1077&amp;", "&amp;B1077&amp;", "&amp;C1077&amp;", "&amp;D1077&amp;", "&amp;E1077&amp;", "&amp;F1077&amp;", "&amp;G1077&amp;", "&amp;H1077&amp;");"</f>
        <v>INSERT INTO COTACAO (cot_id, cot_blt_id, cot_pap_id, cot_prc_comum, cot_prc_min, cot_prc_max, cot_prc_med, cot_prc_mediana) VALUES (1076, 65, 4, 24, 18, 36, 25.2, 24);</v>
      </c>
      <c r="J1077" s="0" t="str">
        <f aca="false">"UPDATE COTACAO SET cot_id = "&amp;A1077&amp;", cot_blt_id = "&amp;B1077&amp;", cot_pap_id = "&amp;C1077&amp;", cot_prc_comum = "&amp;D1077&amp;", cot_prc_min = "&amp;E1077&amp;", cot_prc_max = "&amp;F1077&amp;", cot_prc_med = "&amp;G1077&amp;", cot_prc_mediana = "&amp;H1077&amp;" WHERE cot_id = "&amp;A1077&amp;";"</f>
        <v>UPDATE COTACAO SET cot_id = 1076, cot_blt_id = 65, cot_pap_id = 4, cot_prc_comum = 24, cot_prc_min = 18, cot_prc_max = 36, cot_prc_med = 25.2, cot_prc_mediana = 24 WHERE cot_id = 1076;</v>
      </c>
    </row>
    <row r="1078" customFormat="false" ht="14.25" hidden="false" customHeight="false" outlineLevel="0" collapsed="false">
      <c r="A1078" s="0" t="n">
        <v>1077</v>
      </c>
      <c r="B1078" s="0" t="n">
        <f aca="false">IF('Boletins Nuppa Site'!A1078&lt;&gt;0,'Boletins Nuppa Site'!A1078,"NULL")</f>
        <v>65</v>
      </c>
      <c r="C1078" s="0" t="n">
        <v>5</v>
      </c>
      <c r="D1078" s="30" t="n">
        <f aca="false">IF('Boletins Nuppa Site'!G1078&lt;&gt;0,'Boletins Nuppa Site'!G1078,"NULL")</f>
        <v>24</v>
      </c>
      <c r="E1078" s="30" t="n">
        <f aca="false">IF('Boletins Nuppa Site'!H1078&lt;&gt;0,'Boletins Nuppa Site'!H1078,"NULL")</f>
        <v>18</v>
      </c>
      <c r="F1078" s="30" t="n">
        <f aca="false">IF('Boletins Nuppa Site'!I1078&lt;&gt;0,'Boletins Nuppa Site'!I1078,"NULL")</f>
        <v>24</v>
      </c>
      <c r="G1078" s="0" t="str">
        <f aca="false">IF('Boletins Nuppa Site'!J1078&lt;&gt;0,'Boletins Nuppa Site'!J1078,"NULL")</f>
        <v>22.8</v>
      </c>
      <c r="H1078" s="30" t="n">
        <f aca="false">IF('Boletins Nuppa Site'!K1078&lt;&gt;0,'Boletins Nuppa Site'!K1078,"NULL")</f>
        <v>24</v>
      </c>
      <c r="I1078" s="0" t="str">
        <f aca="false">"INSERT INTO COTACAO (cot_id, cot_blt_id, cot_pap_id, cot_prc_comum, cot_prc_min, cot_prc_max, cot_prc_med, cot_prc_mediana) VALUES ("&amp;A1078&amp;", "&amp;B1078&amp;", "&amp;C1078&amp;", "&amp;D1078&amp;", "&amp;E1078&amp;", "&amp;F1078&amp;", "&amp;G1078&amp;", "&amp;H1078&amp;");"</f>
        <v>INSERT INTO COTACAO (cot_id, cot_blt_id, cot_pap_id, cot_prc_comum, cot_prc_min, cot_prc_max, cot_prc_med, cot_prc_mediana) VALUES (1077, 65, 5, 24, 18, 24, 22.8, 24);</v>
      </c>
      <c r="J1078" s="0" t="str">
        <f aca="false">"UPDATE COTACAO SET cot_id = "&amp;A1078&amp;", cot_blt_id = "&amp;B1078&amp;", cot_pap_id = "&amp;C1078&amp;", cot_prc_comum = "&amp;D1078&amp;", cot_prc_min = "&amp;E1078&amp;", cot_prc_max = "&amp;F1078&amp;", cot_prc_med = "&amp;G1078&amp;", cot_prc_mediana = "&amp;H1078&amp;" WHERE cot_id = "&amp;A1078&amp;";"</f>
        <v>UPDATE COTACAO SET cot_id = 1077, cot_blt_id = 65, cot_pap_id = 5, cot_prc_comum = 24, cot_prc_min = 18, cot_prc_max = 24, cot_prc_med = 22.8, cot_prc_mediana = 24 WHERE cot_id = 1077;</v>
      </c>
    </row>
    <row r="1079" customFormat="false" ht="14.25" hidden="false" customHeight="false" outlineLevel="0" collapsed="false">
      <c r="A1079" s="0" t="n">
        <v>1078</v>
      </c>
      <c r="B1079" s="0" t="n">
        <f aca="false">IF('Boletins Nuppa Site'!A1079&lt;&gt;0,'Boletins Nuppa Site'!A1079,"NULL")</f>
        <v>65</v>
      </c>
      <c r="C1079" s="0" t="n">
        <v>6</v>
      </c>
      <c r="D1079" s="30" t="n">
        <f aca="false">IF('Boletins Nuppa Site'!G1079&lt;&gt;0,'Boletins Nuppa Site'!G1079,"NULL")</f>
        <v>60</v>
      </c>
      <c r="E1079" s="30" t="n">
        <f aca="false">IF('Boletins Nuppa Site'!H1079&lt;&gt;0,'Boletins Nuppa Site'!H1079,"NULL")</f>
        <v>60</v>
      </c>
      <c r="F1079" s="30" t="n">
        <f aca="false">IF('Boletins Nuppa Site'!I1079&lt;&gt;0,'Boletins Nuppa Site'!I1079,"NULL")</f>
        <v>60</v>
      </c>
      <c r="G1079" s="30" t="n">
        <f aca="false">IF('Boletins Nuppa Site'!J1079&lt;&gt;0,'Boletins Nuppa Site'!J1079,"NULL")</f>
        <v>60</v>
      </c>
      <c r="H1079" s="30" t="n">
        <f aca="false">IF('Boletins Nuppa Site'!K1079&lt;&gt;0,'Boletins Nuppa Site'!K1079,"NULL")</f>
        <v>60</v>
      </c>
      <c r="I1079" s="0" t="str">
        <f aca="false">"INSERT INTO COTACAO (cot_id, cot_blt_id, cot_pap_id, cot_prc_comum, cot_prc_min, cot_prc_max, cot_prc_med, cot_prc_mediana) VALUES ("&amp;A1079&amp;", "&amp;B1079&amp;", "&amp;C1079&amp;", "&amp;D1079&amp;", "&amp;E1079&amp;", "&amp;F1079&amp;", "&amp;G1079&amp;", "&amp;H1079&amp;");"</f>
        <v>INSERT INTO COTACAO (cot_id, cot_blt_id, cot_pap_id, cot_prc_comum, cot_prc_min, cot_prc_max, cot_prc_med, cot_prc_mediana) VALUES (1078, 65, 6, 60, 60, 60, 60, 60);</v>
      </c>
      <c r="J1079" s="0" t="str">
        <f aca="false">"UPDATE COTACAO SET cot_id = "&amp;A1079&amp;", cot_blt_id = "&amp;B1079&amp;", cot_pap_id = "&amp;C1079&amp;", cot_prc_comum = "&amp;D1079&amp;", cot_prc_min = "&amp;E1079&amp;", cot_prc_max = "&amp;F1079&amp;", cot_prc_med = "&amp;G1079&amp;", cot_prc_mediana = "&amp;H1079&amp;" WHERE cot_id = "&amp;A1079&amp;";"</f>
        <v>UPDATE COTACAO SET cot_id = 1078, cot_blt_id = 65, cot_pap_id = 6, cot_prc_comum = 60, cot_prc_min = 60, cot_prc_max = 60, cot_prc_med = 60, cot_prc_mediana = 60 WHERE cot_id = 1078;</v>
      </c>
    </row>
    <row r="1080" customFormat="false" ht="14.25" hidden="false" customHeight="false" outlineLevel="0" collapsed="false">
      <c r="A1080" s="0" t="n">
        <v>1079</v>
      </c>
      <c r="B1080" s="0" t="n">
        <f aca="false">IF('Boletins Nuppa Site'!A1080&lt;&gt;0,'Boletins Nuppa Site'!A1080,"NULL")</f>
        <v>65</v>
      </c>
      <c r="C1080" s="0" t="n">
        <v>7</v>
      </c>
      <c r="D1080" s="30" t="n">
        <f aca="false">IF('Boletins Nuppa Site'!G1080&lt;&gt;0,'Boletins Nuppa Site'!G1080,"NULL")</f>
        <v>72</v>
      </c>
      <c r="E1080" s="30" t="n">
        <f aca="false">IF('Boletins Nuppa Site'!H1080&lt;&gt;0,'Boletins Nuppa Site'!H1080,"NULL")</f>
        <v>60</v>
      </c>
      <c r="F1080" s="30" t="n">
        <f aca="false">IF('Boletins Nuppa Site'!I1080&lt;&gt;0,'Boletins Nuppa Site'!I1080,"NULL")</f>
        <v>84</v>
      </c>
      <c r="G1080" s="30" t="n">
        <f aca="false">IF('Boletins Nuppa Site'!J1080&lt;&gt;0,'Boletins Nuppa Site'!J1080,"NULL")</f>
        <v>72</v>
      </c>
      <c r="H1080" s="30" t="n">
        <f aca="false">IF('Boletins Nuppa Site'!K1080&lt;&gt;0,'Boletins Nuppa Site'!K1080,"NULL")</f>
        <v>72</v>
      </c>
      <c r="I1080" s="0" t="str">
        <f aca="false">"INSERT INTO COTACAO (cot_id, cot_blt_id, cot_pap_id, cot_prc_comum, cot_prc_min, cot_prc_max, cot_prc_med, cot_prc_mediana) VALUES ("&amp;A1080&amp;", "&amp;B1080&amp;", "&amp;C1080&amp;", "&amp;D1080&amp;", "&amp;E1080&amp;", "&amp;F1080&amp;", "&amp;G1080&amp;", "&amp;H1080&amp;");"</f>
        <v>INSERT INTO COTACAO (cot_id, cot_blt_id, cot_pap_id, cot_prc_comum, cot_prc_min, cot_prc_max, cot_prc_med, cot_prc_mediana) VALUES (1079, 65, 7, 72, 60, 84, 72, 72);</v>
      </c>
      <c r="J1080" s="0" t="str">
        <f aca="false">"UPDATE COTACAO SET cot_id = "&amp;A1080&amp;", cot_blt_id = "&amp;B1080&amp;", cot_pap_id = "&amp;C1080&amp;", cot_prc_comum = "&amp;D1080&amp;", cot_prc_min = "&amp;E1080&amp;", cot_prc_max = "&amp;F1080&amp;", cot_prc_med = "&amp;G1080&amp;", cot_prc_mediana = "&amp;H1080&amp;" WHERE cot_id = "&amp;A1080&amp;";"</f>
        <v>UPDATE COTACAO SET cot_id = 1079, cot_blt_id = 65, cot_pap_id = 7, cot_prc_comum = 72, cot_prc_min = 60, cot_prc_max = 84, cot_prc_med = 72, cot_prc_mediana = 72 WHERE cot_id = 1079;</v>
      </c>
    </row>
    <row r="1081" customFormat="false" ht="14.25" hidden="false" customHeight="false" outlineLevel="0" collapsed="false">
      <c r="A1081" s="0" t="n">
        <v>1080</v>
      </c>
      <c r="B1081" s="0" t="n">
        <f aca="false">IF('Boletins Nuppa Site'!A1081&lt;&gt;0,'Boletins Nuppa Site'!A1081,"NULL")</f>
        <v>65</v>
      </c>
      <c r="C1081" s="0" t="n">
        <v>8</v>
      </c>
      <c r="D1081" s="30" t="n">
        <f aca="false">IF('Boletins Nuppa Site'!G1081&lt;&gt;0,'Boletins Nuppa Site'!G1081,"NULL")</f>
        <v>84</v>
      </c>
      <c r="E1081" s="30" t="n">
        <f aca="false">IF('Boletins Nuppa Site'!H1081&lt;&gt;0,'Boletins Nuppa Site'!H1081,"NULL")</f>
        <v>60</v>
      </c>
      <c r="F1081" s="30" t="n">
        <f aca="false">IF('Boletins Nuppa Site'!I1081&lt;&gt;0,'Boletins Nuppa Site'!I1081,"NULL")</f>
        <v>84</v>
      </c>
      <c r="G1081" s="0" t="str">
        <f aca="false">IF('Boletins Nuppa Site'!J1081&lt;&gt;0,'Boletins Nuppa Site'!J1081,"NULL")</f>
        <v>74.4</v>
      </c>
      <c r="H1081" s="30" t="n">
        <f aca="false">IF('Boletins Nuppa Site'!K1081&lt;&gt;0,'Boletins Nuppa Site'!K1081,"NULL")</f>
        <v>72</v>
      </c>
      <c r="I1081" s="0" t="str">
        <f aca="false">"INSERT INTO COTACAO (cot_id, cot_blt_id, cot_pap_id, cot_prc_comum, cot_prc_min, cot_prc_max, cot_prc_med, cot_prc_mediana) VALUES ("&amp;A1081&amp;", "&amp;B1081&amp;", "&amp;C1081&amp;", "&amp;D1081&amp;", "&amp;E1081&amp;", "&amp;F1081&amp;", "&amp;G1081&amp;", "&amp;H1081&amp;");"</f>
        <v>INSERT INTO COTACAO (cot_id, cot_blt_id, cot_pap_id, cot_prc_comum, cot_prc_min, cot_prc_max, cot_prc_med, cot_prc_mediana) VALUES (1080, 65, 8, 84, 60, 84, 74.4, 72);</v>
      </c>
      <c r="J1081" s="0" t="str">
        <f aca="false">"UPDATE COTACAO SET cot_id = "&amp;A1081&amp;", cot_blt_id = "&amp;B1081&amp;", cot_pap_id = "&amp;C1081&amp;", cot_prc_comum = "&amp;D1081&amp;", cot_prc_min = "&amp;E1081&amp;", cot_prc_max = "&amp;F1081&amp;", cot_prc_med = "&amp;G1081&amp;", cot_prc_mediana = "&amp;H1081&amp;" WHERE cot_id = "&amp;A1081&amp;";"</f>
        <v>UPDATE COTACAO SET cot_id = 1080, cot_blt_id = 65, cot_pap_id = 8, cot_prc_comum = 84, cot_prc_min = 60, cot_prc_max = 84, cot_prc_med = 74.4, cot_prc_mediana = 72 WHERE cot_id = 1080;</v>
      </c>
    </row>
    <row r="1082" customFormat="false" ht="14.25" hidden="false" customHeight="false" outlineLevel="0" collapsed="false">
      <c r="A1082" s="0" t="n">
        <v>1081</v>
      </c>
      <c r="B1082" s="0" t="n">
        <f aca="false">IF('Boletins Nuppa Site'!A1082&lt;&gt;0,'Boletins Nuppa Site'!A1082,"NULL")</f>
        <v>65</v>
      </c>
      <c r="C1082" s="0" t="n">
        <v>9</v>
      </c>
      <c r="D1082" s="30" t="n">
        <f aca="false">IF('Boletins Nuppa Site'!G1082&lt;&gt;0,'Boletins Nuppa Site'!G1082,"NULL")</f>
        <v>24</v>
      </c>
      <c r="E1082" s="30" t="n">
        <f aca="false">IF('Boletins Nuppa Site'!H1082&lt;&gt;0,'Boletins Nuppa Site'!H1082,"NULL")</f>
        <v>18</v>
      </c>
      <c r="F1082" s="30" t="n">
        <f aca="false">IF('Boletins Nuppa Site'!I1082&lt;&gt;0,'Boletins Nuppa Site'!I1082,"NULL")</f>
        <v>25</v>
      </c>
      <c r="G1082" s="0" t="str">
        <f aca="false">IF('Boletins Nuppa Site'!J1082&lt;&gt;0,'Boletins Nuppa Site'!J1082,"NULL")</f>
        <v>21.8</v>
      </c>
      <c r="H1082" s="30" t="n">
        <f aca="false">IF('Boletins Nuppa Site'!K1082&lt;&gt;0,'Boletins Nuppa Site'!K1082,"NULL")</f>
        <v>24</v>
      </c>
      <c r="I1082" s="0" t="str">
        <f aca="false">"INSERT INTO COTACAO (cot_id, cot_blt_id, cot_pap_id, cot_prc_comum, cot_prc_min, cot_prc_max, cot_prc_med, cot_prc_mediana) VALUES ("&amp;A1082&amp;", "&amp;B1082&amp;", "&amp;C1082&amp;", "&amp;D1082&amp;", "&amp;E1082&amp;", "&amp;F1082&amp;", "&amp;G1082&amp;", "&amp;H1082&amp;");"</f>
        <v>INSERT INTO COTACAO (cot_id, cot_blt_id, cot_pap_id, cot_prc_comum, cot_prc_min, cot_prc_max, cot_prc_med, cot_prc_mediana) VALUES (1081, 65, 9, 24, 18, 25, 21.8, 24);</v>
      </c>
      <c r="J1082" s="0" t="str">
        <f aca="false">"UPDATE COTACAO SET cot_id = "&amp;A1082&amp;", cot_blt_id = "&amp;B1082&amp;", cot_pap_id = "&amp;C1082&amp;", cot_prc_comum = "&amp;D1082&amp;", cot_prc_min = "&amp;E1082&amp;", cot_prc_max = "&amp;F1082&amp;", cot_prc_med = "&amp;G1082&amp;", cot_prc_mediana = "&amp;H1082&amp;" WHERE cot_id = "&amp;A1082&amp;";"</f>
        <v>UPDATE COTACAO SET cot_id = 1081, cot_blt_id = 65, cot_pap_id = 9, cot_prc_comum = 24, cot_prc_min = 18, cot_prc_max = 25, cot_prc_med = 21.8, cot_prc_mediana = 24 WHERE cot_id = 1081;</v>
      </c>
    </row>
    <row r="1083" customFormat="false" ht="14.25" hidden="false" customHeight="false" outlineLevel="0" collapsed="false">
      <c r="A1083" s="0" t="n">
        <v>1082</v>
      </c>
      <c r="B1083" s="0" t="n">
        <f aca="false">IF('Boletins Nuppa Site'!A1083&lt;&gt;0,'Boletins Nuppa Site'!A1083,"NULL")</f>
        <v>65</v>
      </c>
      <c r="C1083" s="0" t="n">
        <v>10</v>
      </c>
      <c r="D1083" s="30" t="n">
        <f aca="false">IF('Boletins Nuppa Site'!G1083&lt;&gt;0,'Boletins Nuppa Site'!G1083,"NULL")</f>
        <v>72</v>
      </c>
      <c r="E1083" s="30" t="n">
        <f aca="false">IF('Boletins Nuppa Site'!H1083&lt;&gt;0,'Boletins Nuppa Site'!H1083,"NULL")</f>
        <v>72</v>
      </c>
      <c r="F1083" s="30" t="n">
        <f aca="false">IF('Boletins Nuppa Site'!I1083&lt;&gt;0,'Boletins Nuppa Site'!I1083,"NULL")</f>
        <v>84</v>
      </c>
      <c r="G1083" s="30" t="n">
        <f aca="false">IF('Boletins Nuppa Site'!J1083&lt;&gt;0,'Boletins Nuppa Site'!J1083,"NULL")</f>
        <v>75</v>
      </c>
      <c r="H1083" s="30" t="n">
        <f aca="false">IF('Boletins Nuppa Site'!K1083&lt;&gt;0,'Boletins Nuppa Site'!K1083,"NULL")</f>
        <v>72</v>
      </c>
      <c r="I1083" s="0" t="str">
        <f aca="false">"INSERT INTO COTACAO (cot_id, cot_blt_id, cot_pap_id, cot_prc_comum, cot_prc_min, cot_prc_max, cot_prc_med, cot_prc_mediana) VALUES ("&amp;A1083&amp;", "&amp;B1083&amp;", "&amp;C1083&amp;", "&amp;D1083&amp;", "&amp;E1083&amp;", "&amp;F1083&amp;", "&amp;G1083&amp;", "&amp;H1083&amp;");"</f>
        <v>INSERT INTO COTACAO (cot_id, cot_blt_id, cot_pap_id, cot_prc_comum, cot_prc_min, cot_prc_max, cot_prc_med, cot_prc_mediana) VALUES (1082, 65, 10, 72, 72, 84, 75, 72);</v>
      </c>
      <c r="J1083" s="0" t="str">
        <f aca="false">"UPDATE COTACAO SET cot_id = "&amp;A1083&amp;", cot_blt_id = "&amp;B1083&amp;", cot_pap_id = "&amp;C1083&amp;", cot_prc_comum = "&amp;D1083&amp;", cot_prc_min = "&amp;E1083&amp;", cot_prc_max = "&amp;F1083&amp;", cot_prc_med = "&amp;G1083&amp;", cot_prc_mediana = "&amp;H1083&amp;" WHERE cot_id = "&amp;A1083&amp;";"</f>
        <v>UPDATE COTACAO SET cot_id = 1082, cot_blt_id = 65, cot_pap_id = 10, cot_prc_comum = 72, cot_prc_min = 72, cot_prc_max = 84, cot_prc_med = 75, cot_prc_mediana = 72 WHERE cot_id = 1082;</v>
      </c>
    </row>
    <row r="1084" customFormat="false" ht="14.25" hidden="false" customHeight="false" outlineLevel="0" collapsed="false">
      <c r="A1084" s="0" t="n">
        <v>1083</v>
      </c>
      <c r="B1084" s="0" t="n">
        <f aca="false">IF('Boletins Nuppa Site'!A1084&lt;&gt;0,'Boletins Nuppa Site'!A1084,"NULL")</f>
        <v>65</v>
      </c>
      <c r="C1084" s="0" t="n">
        <v>11</v>
      </c>
      <c r="D1084" s="30" t="n">
        <f aca="false">IF('Boletins Nuppa Site'!G1084&lt;&gt;0,'Boletins Nuppa Site'!G1084,"NULL")</f>
        <v>24</v>
      </c>
      <c r="E1084" s="30" t="n">
        <f aca="false">IF('Boletins Nuppa Site'!H1084&lt;&gt;0,'Boletins Nuppa Site'!H1084,"NULL")</f>
        <v>18</v>
      </c>
      <c r="F1084" s="30" t="n">
        <f aca="false">IF('Boletins Nuppa Site'!I1084&lt;&gt;0,'Boletins Nuppa Site'!I1084,"NULL")</f>
        <v>24</v>
      </c>
      <c r="G1084" s="0" t="str">
        <f aca="false">IF('Boletins Nuppa Site'!J1084&lt;&gt;0,'Boletins Nuppa Site'!J1084,"NULL")</f>
        <v>22.8</v>
      </c>
      <c r="H1084" s="30" t="n">
        <f aca="false">IF('Boletins Nuppa Site'!K1084&lt;&gt;0,'Boletins Nuppa Site'!K1084,"NULL")</f>
        <v>24</v>
      </c>
      <c r="I1084" s="0" t="str">
        <f aca="false">"INSERT INTO COTACAO (cot_id, cot_blt_id, cot_pap_id, cot_prc_comum, cot_prc_min, cot_prc_max, cot_prc_med, cot_prc_mediana) VALUES ("&amp;A1084&amp;", "&amp;B1084&amp;", "&amp;C1084&amp;", "&amp;D1084&amp;", "&amp;E1084&amp;", "&amp;F1084&amp;", "&amp;G1084&amp;", "&amp;H1084&amp;");"</f>
        <v>INSERT INTO COTACAO (cot_id, cot_blt_id, cot_pap_id, cot_prc_comum, cot_prc_min, cot_prc_max, cot_prc_med, cot_prc_mediana) VALUES (1083, 65, 11, 24, 18, 24, 22.8, 24);</v>
      </c>
      <c r="J1084" s="0" t="str">
        <f aca="false">"UPDATE COTACAO SET cot_id = "&amp;A1084&amp;", cot_blt_id = "&amp;B1084&amp;", cot_pap_id = "&amp;C1084&amp;", cot_prc_comum = "&amp;D1084&amp;", cot_prc_min = "&amp;E1084&amp;", cot_prc_max = "&amp;F1084&amp;", cot_prc_med = "&amp;G1084&amp;", cot_prc_mediana = "&amp;H1084&amp;" WHERE cot_id = "&amp;A1084&amp;";"</f>
        <v>UPDATE COTACAO SET cot_id = 1083, cot_blt_id = 65, cot_pap_id = 11, cot_prc_comum = 24, cot_prc_min = 18, cot_prc_max = 24, cot_prc_med = 22.8, cot_prc_mediana = 24 WHERE cot_id = 1083;</v>
      </c>
    </row>
    <row r="1085" customFormat="false" ht="14.25" hidden="false" customHeight="false" outlineLevel="0" collapsed="false">
      <c r="A1085" s="0" t="n">
        <v>1084</v>
      </c>
      <c r="B1085" s="0" t="n">
        <f aca="false">IF('Boletins Nuppa Site'!A1085&lt;&gt;0,'Boletins Nuppa Site'!A1085,"NULL")</f>
        <v>65</v>
      </c>
      <c r="C1085" s="0" t="n">
        <v>12</v>
      </c>
      <c r="D1085" s="30" t="n">
        <f aca="false">IF('Boletins Nuppa Site'!G1085&lt;&gt;0,'Boletins Nuppa Site'!G1085,"NULL")</f>
        <v>60</v>
      </c>
      <c r="E1085" s="30" t="n">
        <f aca="false">IF('Boletins Nuppa Site'!H1085&lt;&gt;0,'Boletins Nuppa Site'!H1085,"NULL")</f>
        <v>60</v>
      </c>
      <c r="F1085" s="30" t="n">
        <f aca="false">IF('Boletins Nuppa Site'!I1085&lt;&gt;0,'Boletins Nuppa Site'!I1085,"NULL")</f>
        <v>72</v>
      </c>
      <c r="G1085" s="30" t="n">
        <f aca="false">IF('Boletins Nuppa Site'!J1085&lt;&gt;0,'Boletins Nuppa Site'!J1085,"NULL")</f>
        <v>63</v>
      </c>
      <c r="H1085" s="30" t="n">
        <f aca="false">IF('Boletins Nuppa Site'!K1085&lt;&gt;0,'Boletins Nuppa Site'!K1085,"NULL")</f>
        <v>60</v>
      </c>
      <c r="I1085" s="0" t="str">
        <f aca="false">"INSERT INTO COTACAO (cot_id, cot_blt_id, cot_pap_id, cot_prc_comum, cot_prc_min, cot_prc_max, cot_prc_med, cot_prc_mediana) VALUES ("&amp;A1085&amp;", "&amp;B1085&amp;", "&amp;C1085&amp;", "&amp;D1085&amp;", "&amp;E1085&amp;", "&amp;F1085&amp;", "&amp;G1085&amp;", "&amp;H1085&amp;");"</f>
        <v>INSERT INTO COTACAO (cot_id, cot_blt_id, cot_pap_id, cot_prc_comum, cot_prc_min, cot_prc_max, cot_prc_med, cot_prc_mediana) VALUES (1084, 65, 12, 60, 60, 72, 63, 60);</v>
      </c>
      <c r="J1085" s="0" t="str">
        <f aca="false">"UPDATE COTACAO SET cot_id = "&amp;A1085&amp;", cot_blt_id = "&amp;B1085&amp;", cot_pap_id = "&amp;C1085&amp;", cot_prc_comum = "&amp;D1085&amp;", cot_prc_min = "&amp;E1085&amp;", cot_prc_max = "&amp;F1085&amp;", cot_prc_med = "&amp;G1085&amp;", cot_prc_mediana = "&amp;H1085&amp;" WHERE cot_id = "&amp;A1085&amp;";"</f>
        <v>UPDATE COTACAO SET cot_id = 1084, cot_blt_id = 65, cot_pap_id = 12, cot_prc_comum = 60, cot_prc_min = 60, cot_prc_max = 72, cot_prc_med = 63, cot_prc_mediana = 60 WHERE cot_id = 1084;</v>
      </c>
    </row>
    <row r="1086" customFormat="false" ht="14.25" hidden="false" customHeight="false" outlineLevel="0" collapsed="false">
      <c r="A1086" s="0" t="n">
        <v>1085</v>
      </c>
      <c r="B1086" s="0" t="n">
        <f aca="false">IF('Boletins Nuppa Site'!A1086&lt;&gt;0,'Boletins Nuppa Site'!A1086,"NULL")</f>
        <v>65</v>
      </c>
      <c r="C1086" s="0" t="n">
        <v>13</v>
      </c>
      <c r="D1086" s="30" t="n">
        <f aca="false">IF('Boletins Nuppa Site'!G1086&lt;&gt;0,'Boletins Nuppa Site'!G1086,"NULL")</f>
        <v>60</v>
      </c>
      <c r="E1086" s="30" t="n">
        <f aca="false">IF('Boletins Nuppa Site'!H1086&lt;&gt;0,'Boletins Nuppa Site'!H1086,"NULL")</f>
        <v>48</v>
      </c>
      <c r="F1086" s="30" t="n">
        <f aca="false">IF('Boletins Nuppa Site'!I1086&lt;&gt;0,'Boletins Nuppa Site'!I1086,"NULL")</f>
        <v>60</v>
      </c>
      <c r="G1086" s="0" t="str">
        <f aca="false">IF('Boletins Nuppa Site'!J1086&lt;&gt;0,'Boletins Nuppa Site'!J1086,"NULL")</f>
        <v>55.2</v>
      </c>
      <c r="H1086" s="30" t="n">
        <f aca="false">IF('Boletins Nuppa Site'!K1086&lt;&gt;0,'Boletins Nuppa Site'!K1086,"NULL")</f>
        <v>60</v>
      </c>
      <c r="I1086" s="0" t="str">
        <f aca="false">"INSERT INTO COTACAO (cot_id, cot_blt_id, cot_pap_id, cot_prc_comum, cot_prc_min, cot_prc_max, cot_prc_med, cot_prc_mediana) VALUES ("&amp;A1086&amp;", "&amp;B1086&amp;", "&amp;C1086&amp;", "&amp;D1086&amp;", "&amp;E1086&amp;", "&amp;F1086&amp;", "&amp;G1086&amp;", "&amp;H1086&amp;");"</f>
        <v>INSERT INTO COTACAO (cot_id, cot_blt_id, cot_pap_id, cot_prc_comum, cot_prc_min, cot_prc_max, cot_prc_med, cot_prc_mediana) VALUES (1085, 65, 13, 60, 48, 60, 55.2, 60);</v>
      </c>
      <c r="J1086" s="0" t="str">
        <f aca="false">"UPDATE COTACAO SET cot_id = "&amp;A1086&amp;", cot_blt_id = "&amp;B1086&amp;", cot_pap_id = "&amp;C1086&amp;", cot_prc_comum = "&amp;D1086&amp;", cot_prc_min = "&amp;E1086&amp;", cot_prc_max = "&amp;F1086&amp;", cot_prc_med = "&amp;G1086&amp;", cot_prc_mediana = "&amp;H1086&amp;" WHERE cot_id = "&amp;A1086&amp;";"</f>
        <v>UPDATE COTACAO SET cot_id = 1085, cot_blt_id = 65, cot_pap_id = 13, cot_prc_comum = 60, cot_prc_min = 48, cot_prc_max = 60, cot_prc_med = 55.2, cot_prc_mediana = 60 WHERE cot_id = 1085;</v>
      </c>
    </row>
    <row r="1087" customFormat="false" ht="14.25" hidden="false" customHeight="false" outlineLevel="0" collapsed="false">
      <c r="A1087" s="0" t="n">
        <v>1086</v>
      </c>
      <c r="B1087" s="0" t="n">
        <f aca="false">IF('Boletins Nuppa Site'!A1087&lt;&gt;0,'Boletins Nuppa Site'!A1087,"NULL")</f>
        <v>65</v>
      </c>
      <c r="C1087" s="0" t="n">
        <v>14</v>
      </c>
      <c r="D1087" s="30" t="n">
        <f aca="false">IF('Boletins Nuppa Site'!G1087&lt;&gt;0,'Boletins Nuppa Site'!G1087,"NULL")</f>
        <v>48</v>
      </c>
      <c r="E1087" s="30" t="n">
        <f aca="false">IF('Boletins Nuppa Site'!H1087&lt;&gt;0,'Boletins Nuppa Site'!H1087,"NULL")</f>
        <v>45</v>
      </c>
      <c r="F1087" s="30" t="n">
        <f aca="false">IF('Boletins Nuppa Site'!I1087&lt;&gt;0,'Boletins Nuppa Site'!I1087,"NULL")</f>
        <v>72</v>
      </c>
      <c r="G1087" s="0" t="str">
        <f aca="false">IF('Boletins Nuppa Site'!J1087&lt;&gt;0,'Boletins Nuppa Site'!J1087,"NULL")</f>
        <v>53.25</v>
      </c>
      <c r="H1087" s="30" t="n">
        <f aca="false">IF('Boletins Nuppa Site'!K1087&lt;&gt;0,'Boletins Nuppa Site'!K1087,"NULL")</f>
        <v>48</v>
      </c>
      <c r="I1087" s="0" t="str">
        <f aca="false">"INSERT INTO COTACAO (cot_id, cot_blt_id, cot_pap_id, cot_prc_comum, cot_prc_min, cot_prc_max, cot_prc_med, cot_prc_mediana) VALUES ("&amp;A1087&amp;", "&amp;B1087&amp;", "&amp;C1087&amp;", "&amp;D1087&amp;", "&amp;E1087&amp;", "&amp;F1087&amp;", "&amp;G1087&amp;", "&amp;H1087&amp;");"</f>
        <v>INSERT INTO COTACAO (cot_id, cot_blt_id, cot_pap_id, cot_prc_comum, cot_prc_min, cot_prc_max, cot_prc_med, cot_prc_mediana) VALUES (1086, 65, 14, 48, 45, 72, 53.25, 48);</v>
      </c>
      <c r="J1087" s="0" t="str">
        <f aca="false">"UPDATE COTACAO SET cot_id = "&amp;A1087&amp;", cot_blt_id = "&amp;B1087&amp;", cot_pap_id = "&amp;C1087&amp;", cot_prc_comum = "&amp;D1087&amp;", cot_prc_min = "&amp;E1087&amp;", cot_prc_max = "&amp;F1087&amp;", cot_prc_med = "&amp;G1087&amp;", cot_prc_mediana = "&amp;H1087&amp;" WHERE cot_id = "&amp;A1087&amp;";"</f>
        <v>UPDATE COTACAO SET cot_id = 1086, cot_blt_id = 65, cot_pap_id = 14, cot_prc_comum = 48, cot_prc_min = 45, cot_prc_max = 72, cot_prc_med = 53.25, cot_prc_mediana = 48 WHERE cot_id = 1086;</v>
      </c>
    </row>
    <row r="1088" customFormat="false" ht="14.25" hidden="false" customHeight="false" outlineLevel="0" collapsed="false">
      <c r="A1088" s="0" t="n">
        <v>1087</v>
      </c>
      <c r="B1088" s="0" t="n">
        <f aca="false">IF('Boletins Nuppa Site'!A1088&lt;&gt;0,'Boletins Nuppa Site'!A1088,"NULL")</f>
        <v>65</v>
      </c>
      <c r="C1088" s="0" t="n">
        <v>15</v>
      </c>
      <c r="D1088" s="30" t="n">
        <f aca="false">IF('Boletins Nuppa Site'!G1088&lt;&gt;0,'Boletins Nuppa Site'!G1088,"NULL")</f>
        <v>40</v>
      </c>
      <c r="E1088" s="30" t="n">
        <f aca="false">IF('Boletins Nuppa Site'!H1088&lt;&gt;0,'Boletins Nuppa Site'!H1088,"NULL")</f>
        <v>36</v>
      </c>
      <c r="F1088" s="30" t="n">
        <f aca="false">IF('Boletins Nuppa Site'!I1088&lt;&gt;0,'Boletins Nuppa Site'!I1088,"NULL")</f>
        <v>42</v>
      </c>
      <c r="G1088" s="0" t="str">
        <f aca="false">IF('Boletins Nuppa Site'!J1088&lt;&gt;0,'Boletins Nuppa Site'!J1088,"NULL")</f>
        <v>38.8</v>
      </c>
      <c r="H1088" s="30" t="n">
        <f aca="false">IF('Boletins Nuppa Site'!K1088&lt;&gt;0,'Boletins Nuppa Site'!K1088,"NULL")</f>
        <v>40</v>
      </c>
      <c r="I1088" s="0" t="str">
        <f aca="false">"INSERT INTO COTACAO (cot_id, cot_blt_id, cot_pap_id, cot_prc_comum, cot_prc_min, cot_prc_max, cot_prc_med, cot_prc_mediana) VALUES ("&amp;A1088&amp;", "&amp;B1088&amp;", "&amp;C1088&amp;", "&amp;D1088&amp;", "&amp;E1088&amp;", "&amp;F1088&amp;", "&amp;G1088&amp;", "&amp;H1088&amp;");"</f>
        <v>INSERT INTO COTACAO (cot_id, cot_blt_id, cot_pap_id, cot_prc_comum, cot_prc_min, cot_prc_max, cot_prc_med, cot_prc_mediana) VALUES (1087, 65, 15, 40, 36, 42, 38.8, 40);</v>
      </c>
      <c r="J1088" s="0" t="str">
        <f aca="false">"UPDATE COTACAO SET cot_id = "&amp;A1088&amp;", cot_blt_id = "&amp;B1088&amp;", cot_pap_id = "&amp;C1088&amp;", cot_prc_comum = "&amp;D1088&amp;", cot_prc_min = "&amp;E1088&amp;", cot_prc_max = "&amp;F1088&amp;", cot_prc_med = "&amp;G1088&amp;", cot_prc_mediana = "&amp;H1088&amp;" WHERE cot_id = "&amp;A1088&amp;";"</f>
        <v>UPDATE COTACAO SET cot_id = 1087, cot_blt_id = 65, cot_pap_id = 15, cot_prc_comum = 40, cot_prc_min = 36, cot_prc_max = 42, cot_prc_med = 38.8, cot_prc_mediana = 40 WHERE cot_id = 1087;</v>
      </c>
    </row>
    <row r="1089" customFormat="false" ht="14.25" hidden="false" customHeight="false" outlineLevel="0" collapsed="false">
      <c r="A1089" s="0" t="n">
        <v>1088</v>
      </c>
      <c r="B1089" s="0" t="n">
        <f aca="false">IF('Boletins Nuppa Site'!A1089&lt;&gt;0,'Boletins Nuppa Site'!A1089,"NULL")</f>
        <v>65</v>
      </c>
      <c r="C1089" s="0" t="n">
        <v>16</v>
      </c>
      <c r="D1089" s="30" t="n">
        <f aca="false">IF('Boletins Nuppa Site'!G1089&lt;&gt;0,'Boletins Nuppa Site'!G1089,"NULL")</f>
        <v>48</v>
      </c>
      <c r="E1089" s="30" t="n">
        <f aca="false">IF('Boletins Nuppa Site'!H1089&lt;&gt;0,'Boletins Nuppa Site'!H1089,"NULL")</f>
        <v>48</v>
      </c>
      <c r="F1089" s="30" t="n">
        <f aca="false">IF('Boletins Nuppa Site'!I1089&lt;&gt;0,'Boletins Nuppa Site'!I1089,"NULL")</f>
        <v>54</v>
      </c>
      <c r="G1089" s="0" t="str">
        <f aca="false">IF('Boletins Nuppa Site'!J1089&lt;&gt;0,'Boletins Nuppa Site'!J1089,"NULL")</f>
        <v>49.2</v>
      </c>
      <c r="H1089" s="30" t="n">
        <f aca="false">IF('Boletins Nuppa Site'!K1089&lt;&gt;0,'Boletins Nuppa Site'!K1089,"NULL")</f>
        <v>48</v>
      </c>
      <c r="I1089" s="0" t="str">
        <f aca="false">"INSERT INTO COTACAO (cot_id, cot_blt_id, cot_pap_id, cot_prc_comum, cot_prc_min, cot_prc_max, cot_prc_med, cot_prc_mediana) VALUES ("&amp;A1089&amp;", "&amp;B1089&amp;", "&amp;C1089&amp;", "&amp;D1089&amp;", "&amp;E1089&amp;", "&amp;F1089&amp;", "&amp;G1089&amp;", "&amp;H1089&amp;");"</f>
        <v>INSERT INTO COTACAO (cot_id, cot_blt_id, cot_pap_id, cot_prc_comum, cot_prc_min, cot_prc_max, cot_prc_med, cot_prc_mediana) VALUES (1088, 65, 16, 48, 48, 54, 49.2, 48);</v>
      </c>
      <c r="J1089" s="0" t="str">
        <f aca="false">"UPDATE COTACAO SET cot_id = "&amp;A1089&amp;", cot_blt_id = "&amp;B1089&amp;", cot_pap_id = "&amp;C1089&amp;", cot_prc_comum = "&amp;D1089&amp;", cot_prc_min = "&amp;E1089&amp;", cot_prc_max = "&amp;F1089&amp;", cot_prc_med = "&amp;G1089&amp;", cot_prc_mediana = "&amp;H1089&amp;" WHERE cot_id = "&amp;A1089&amp;";"</f>
        <v>UPDATE COTACAO SET cot_id = 1088, cot_blt_id = 65, cot_pap_id = 16, cot_prc_comum = 48, cot_prc_min = 48, cot_prc_max = 54, cot_prc_med = 49.2, cot_prc_mediana = 48 WHERE cot_id = 1088;</v>
      </c>
    </row>
    <row r="1090" customFormat="false" ht="14.25" hidden="false" customHeight="false" outlineLevel="0" collapsed="false">
      <c r="A1090" s="0" t="n">
        <v>1089</v>
      </c>
      <c r="B1090" s="0" t="n">
        <f aca="false">IF('Boletins Nuppa Site'!A1090&lt;&gt;0,'Boletins Nuppa Site'!A1090,"NULL")</f>
        <v>65</v>
      </c>
      <c r="C1090" s="0" t="n">
        <v>17</v>
      </c>
      <c r="D1090" s="30" t="n">
        <f aca="false">IF('Boletins Nuppa Site'!G1090&lt;&gt;0,'Boletins Nuppa Site'!G1090,"NULL")</f>
        <v>48</v>
      </c>
      <c r="E1090" s="30" t="n">
        <f aca="false">IF('Boletins Nuppa Site'!H1090&lt;&gt;0,'Boletins Nuppa Site'!H1090,"NULL")</f>
        <v>48</v>
      </c>
      <c r="F1090" s="30" t="n">
        <f aca="false">IF('Boletins Nuppa Site'!I1090&lt;&gt;0,'Boletins Nuppa Site'!I1090,"NULL")</f>
        <v>80</v>
      </c>
      <c r="G1090" s="30" t="n">
        <f aca="false">IF('Boletins Nuppa Site'!J1090&lt;&gt;0,'Boletins Nuppa Site'!J1090,"NULL")</f>
        <v>56</v>
      </c>
      <c r="H1090" s="30" t="n">
        <f aca="false">IF('Boletins Nuppa Site'!K1090&lt;&gt;0,'Boletins Nuppa Site'!K1090,"NULL")</f>
        <v>48</v>
      </c>
      <c r="I1090" s="0" t="str">
        <f aca="false">"INSERT INTO COTACAO (cot_id, cot_blt_id, cot_pap_id, cot_prc_comum, cot_prc_min, cot_prc_max, cot_prc_med, cot_prc_mediana) VALUES ("&amp;A1090&amp;", "&amp;B1090&amp;", "&amp;C1090&amp;", "&amp;D1090&amp;", "&amp;E1090&amp;", "&amp;F1090&amp;", "&amp;G1090&amp;", "&amp;H1090&amp;");"</f>
        <v>INSERT INTO COTACAO (cot_id, cot_blt_id, cot_pap_id, cot_prc_comum, cot_prc_min, cot_prc_max, cot_prc_med, cot_prc_mediana) VALUES (1089, 65, 17, 48, 48, 80, 56, 48);</v>
      </c>
      <c r="J1090" s="0" t="str">
        <f aca="false">"UPDATE COTACAO SET cot_id = "&amp;A1090&amp;", cot_blt_id = "&amp;B1090&amp;", cot_pap_id = "&amp;C1090&amp;", cot_prc_comum = "&amp;D1090&amp;", cot_prc_min = "&amp;E1090&amp;", cot_prc_max = "&amp;F1090&amp;", cot_prc_med = "&amp;G1090&amp;", cot_prc_mediana = "&amp;H1090&amp;" WHERE cot_id = "&amp;A1090&amp;";"</f>
        <v>UPDATE COTACAO SET cot_id = 1089, cot_blt_id = 65, cot_pap_id = 17, cot_prc_comum = 48, cot_prc_min = 48, cot_prc_max = 80, cot_prc_med = 56, cot_prc_mediana = 48 WHERE cot_id = 1089;</v>
      </c>
    </row>
    <row r="1091" customFormat="false" ht="14.25" hidden="false" customHeight="false" outlineLevel="0" collapsed="false">
      <c r="A1091" s="0" t="n">
        <v>1090</v>
      </c>
      <c r="B1091" s="0" t="n">
        <f aca="false">IF('Boletins Nuppa Site'!A1091&lt;&gt;0,'Boletins Nuppa Site'!A1091,"NULL")</f>
        <v>65</v>
      </c>
      <c r="C1091" s="0" t="n">
        <v>18</v>
      </c>
      <c r="D1091" s="30" t="n">
        <f aca="false">IF('Boletins Nuppa Site'!G1091&lt;&gt;0,'Boletins Nuppa Site'!G1091,"NULL")</f>
        <v>72</v>
      </c>
      <c r="E1091" s="30" t="n">
        <f aca="false">IF('Boletins Nuppa Site'!H1091&lt;&gt;0,'Boletins Nuppa Site'!H1091,"NULL")</f>
        <v>72</v>
      </c>
      <c r="F1091" s="30" t="n">
        <f aca="false">IF('Boletins Nuppa Site'!I1091&lt;&gt;0,'Boletins Nuppa Site'!I1091,"NULL")</f>
        <v>84</v>
      </c>
      <c r="G1091" s="30" t="n">
        <f aca="false">IF('Boletins Nuppa Site'!J1091&lt;&gt;0,'Boletins Nuppa Site'!J1091,"NULL")</f>
        <v>77</v>
      </c>
      <c r="H1091" s="30" t="n">
        <f aca="false">IF('Boletins Nuppa Site'!K1091&lt;&gt;0,'Boletins Nuppa Site'!K1091,"NULL")</f>
        <v>76</v>
      </c>
      <c r="I1091" s="0" t="str">
        <f aca="false">"INSERT INTO COTACAO (cot_id, cot_blt_id, cot_pap_id, cot_prc_comum, cot_prc_min, cot_prc_max, cot_prc_med, cot_prc_mediana) VALUES ("&amp;A1091&amp;", "&amp;B1091&amp;", "&amp;C1091&amp;", "&amp;D1091&amp;", "&amp;E1091&amp;", "&amp;F1091&amp;", "&amp;G1091&amp;", "&amp;H1091&amp;");"</f>
        <v>INSERT INTO COTACAO (cot_id, cot_blt_id, cot_pap_id, cot_prc_comum, cot_prc_min, cot_prc_max, cot_prc_med, cot_prc_mediana) VALUES (1090, 65, 18, 72, 72, 84, 77, 76);</v>
      </c>
      <c r="J1091" s="0" t="str">
        <f aca="false">"UPDATE COTACAO SET cot_id = "&amp;A1091&amp;", cot_blt_id = "&amp;B1091&amp;", cot_pap_id = "&amp;C1091&amp;", cot_prc_comum = "&amp;D1091&amp;", cot_prc_min = "&amp;E1091&amp;", cot_prc_max = "&amp;F1091&amp;", cot_prc_med = "&amp;G1091&amp;", cot_prc_mediana = "&amp;H1091&amp;" WHERE cot_id = "&amp;A1091&amp;";"</f>
        <v>UPDATE COTACAO SET cot_id = 1090, cot_blt_id = 65, cot_pap_id = 18, cot_prc_comum = 72, cot_prc_min = 72, cot_prc_max = 84, cot_prc_med = 77, cot_prc_mediana = 76 WHERE cot_id = 1090;</v>
      </c>
    </row>
    <row r="1092" customFormat="false" ht="14.25" hidden="false" customHeight="false" outlineLevel="0" collapsed="false">
      <c r="A1092" s="0" t="n">
        <v>1091</v>
      </c>
      <c r="B1092" s="0" t="n">
        <f aca="false">IF('Boletins Nuppa Site'!A1092&lt;&gt;0,'Boletins Nuppa Site'!A1092,"NULL")</f>
        <v>65</v>
      </c>
      <c r="C1092" s="0" t="n">
        <v>19</v>
      </c>
      <c r="D1092" s="30" t="n">
        <f aca="false">IF('Boletins Nuppa Site'!G1092&lt;&gt;0,'Boletins Nuppa Site'!G1092,"NULL")</f>
        <v>36</v>
      </c>
      <c r="E1092" s="30" t="n">
        <f aca="false">IF('Boletins Nuppa Site'!H1092&lt;&gt;0,'Boletins Nuppa Site'!H1092,"NULL")</f>
        <v>30</v>
      </c>
      <c r="F1092" s="30" t="n">
        <f aca="false">IF('Boletins Nuppa Site'!I1092&lt;&gt;0,'Boletins Nuppa Site'!I1092,"NULL")</f>
        <v>142</v>
      </c>
      <c r="G1092" s="0" t="str">
        <f aca="false">IF('Boletins Nuppa Site'!J1092&lt;&gt;0,'Boletins Nuppa Site'!J1092,"NULL")</f>
        <v>55.8</v>
      </c>
      <c r="H1092" s="30" t="n">
        <f aca="false">IF('Boletins Nuppa Site'!K1092&lt;&gt;0,'Boletins Nuppa Site'!K1092,"NULL")</f>
        <v>36</v>
      </c>
      <c r="I1092" s="0" t="str">
        <f aca="false">"INSERT INTO COTACAO (cot_id, cot_blt_id, cot_pap_id, cot_prc_comum, cot_prc_min, cot_prc_max, cot_prc_med, cot_prc_mediana) VALUES ("&amp;A1092&amp;", "&amp;B1092&amp;", "&amp;C1092&amp;", "&amp;D1092&amp;", "&amp;E1092&amp;", "&amp;F1092&amp;", "&amp;G1092&amp;", "&amp;H1092&amp;");"</f>
        <v>INSERT INTO COTACAO (cot_id, cot_blt_id, cot_pap_id, cot_prc_comum, cot_prc_min, cot_prc_max, cot_prc_med, cot_prc_mediana) VALUES (1091, 65, 19, 36, 30, 142, 55.8, 36);</v>
      </c>
      <c r="J1092" s="0" t="str">
        <f aca="false">"UPDATE COTACAO SET cot_id = "&amp;A1092&amp;", cot_blt_id = "&amp;B1092&amp;", cot_pap_id = "&amp;C1092&amp;", cot_prc_comum = "&amp;D1092&amp;", cot_prc_min = "&amp;E1092&amp;", cot_prc_max = "&amp;F1092&amp;", cot_prc_med = "&amp;G1092&amp;", cot_prc_mediana = "&amp;H1092&amp;" WHERE cot_id = "&amp;A1092&amp;";"</f>
        <v>UPDATE COTACAO SET cot_id = 1091, cot_blt_id = 65, cot_pap_id = 19, cot_prc_comum = 36, cot_prc_min = 30, cot_prc_max = 142, cot_prc_med = 55.8, cot_prc_mediana = 36 WHERE cot_id = 1091;</v>
      </c>
    </row>
    <row r="1093" customFormat="false" ht="14.25" hidden="false" customHeight="false" outlineLevel="0" collapsed="false">
      <c r="A1093" s="0" t="n">
        <v>1092</v>
      </c>
      <c r="B1093" s="0" t="n">
        <f aca="false">IF('Boletins Nuppa Site'!A1093&lt;&gt;0,'Boletins Nuppa Site'!A1093,"NULL")</f>
        <v>65</v>
      </c>
      <c r="C1093" s="0" t="n">
        <v>20</v>
      </c>
      <c r="D1093" s="0" t="str">
        <f aca="false">IF('Boletins Nuppa Site'!G1093&lt;&gt;0,'Boletins Nuppa Site'!G1093,"NULL")</f>
        <v>NULL</v>
      </c>
      <c r="E1093" s="30" t="n">
        <f aca="false">IF('Boletins Nuppa Site'!H1093&lt;&gt;0,'Boletins Nuppa Site'!H1093,"NULL")</f>
        <v>70</v>
      </c>
      <c r="F1093" s="30" t="n">
        <f aca="false">IF('Boletins Nuppa Site'!I1093&lt;&gt;0,'Boletins Nuppa Site'!I1093,"NULL")</f>
        <v>70</v>
      </c>
      <c r="G1093" s="30" t="n">
        <f aca="false">IF('Boletins Nuppa Site'!J1093&lt;&gt;0,'Boletins Nuppa Site'!J1093,"NULL")</f>
        <v>70</v>
      </c>
      <c r="H1093" s="30" t="n">
        <f aca="false">IF('Boletins Nuppa Site'!K1093&lt;&gt;0,'Boletins Nuppa Site'!K1093,"NULL")</f>
        <v>70</v>
      </c>
      <c r="I1093" s="0" t="str">
        <f aca="false">"INSERT INTO COTACAO (cot_id, cot_blt_id, cot_pap_id, cot_prc_comum, cot_prc_min, cot_prc_max, cot_prc_med, cot_prc_mediana) VALUES ("&amp;A1093&amp;", "&amp;B1093&amp;", "&amp;C1093&amp;", "&amp;D1093&amp;", "&amp;E1093&amp;", "&amp;F1093&amp;", "&amp;G1093&amp;", "&amp;H1093&amp;");"</f>
        <v>INSERT INTO COTACAO (cot_id, cot_blt_id, cot_pap_id, cot_prc_comum, cot_prc_min, cot_prc_max, cot_prc_med, cot_prc_mediana) VALUES (1092, 65, 20, NULL, 70, 70, 70, 70);</v>
      </c>
      <c r="J1093" s="0" t="str">
        <f aca="false">"UPDATE COTACAO SET cot_id = "&amp;A1093&amp;", cot_blt_id = "&amp;B1093&amp;", cot_pap_id = "&amp;C1093&amp;", cot_prc_comum = "&amp;D1093&amp;", cot_prc_min = "&amp;E1093&amp;", cot_prc_max = "&amp;F1093&amp;", cot_prc_med = "&amp;G1093&amp;", cot_prc_mediana = "&amp;H1093&amp;" WHERE cot_id = "&amp;A1093&amp;";"</f>
        <v>UPDATE COTACAO SET cot_id = 1092, cot_blt_id = 65, cot_pap_id = 20, cot_prc_comum = NULL, cot_prc_min = 70, cot_prc_max = 70, cot_prc_med = 70, cot_prc_mediana = 70 WHERE cot_id = 1092;</v>
      </c>
    </row>
    <row r="1094" customFormat="false" ht="14.25" hidden="false" customHeight="false" outlineLevel="0" collapsed="false">
      <c r="A1094" s="0" t="n">
        <v>1093</v>
      </c>
      <c r="B1094" s="0" t="n">
        <f aca="false">IF('Boletins Nuppa Site'!A1094&lt;&gt;0,'Boletins Nuppa Site'!A1094,"NULL")</f>
        <v>65</v>
      </c>
      <c r="C1094" s="0" t="n">
        <v>21</v>
      </c>
      <c r="D1094" s="30" t="n">
        <f aca="false">IF('Boletins Nuppa Site'!G1094&lt;&gt;0,'Boletins Nuppa Site'!G1094,"NULL")</f>
        <v>80</v>
      </c>
      <c r="E1094" s="30" t="n">
        <f aca="false">IF('Boletins Nuppa Site'!H1094&lt;&gt;0,'Boletins Nuppa Site'!H1094,"NULL")</f>
        <v>70</v>
      </c>
      <c r="F1094" s="30" t="n">
        <f aca="false">IF('Boletins Nuppa Site'!I1094&lt;&gt;0,'Boletins Nuppa Site'!I1094,"NULL")</f>
        <v>80</v>
      </c>
      <c r="G1094" s="30" t="n">
        <f aca="false">IF('Boletins Nuppa Site'!J1094&lt;&gt;0,'Boletins Nuppa Site'!J1094,"NULL")</f>
        <v>75</v>
      </c>
      <c r="H1094" s="30" t="n">
        <f aca="false">IF('Boletins Nuppa Site'!K1094&lt;&gt;0,'Boletins Nuppa Site'!K1094,"NULL")</f>
        <v>75</v>
      </c>
      <c r="I1094" s="0" t="str">
        <f aca="false">"INSERT INTO COTACAO (cot_id, cot_blt_id, cot_pap_id, cot_prc_comum, cot_prc_min, cot_prc_max, cot_prc_med, cot_prc_mediana) VALUES ("&amp;A1094&amp;", "&amp;B1094&amp;", "&amp;C1094&amp;", "&amp;D1094&amp;", "&amp;E1094&amp;", "&amp;F1094&amp;", "&amp;G1094&amp;", "&amp;H1094&amp;");"</f>
        <v>INSERT INTO COTACAO (cot_id, cot_blt_id, cot_pap_id, cot_prc_comum, cot_prc_min, cot_prc_max, cot_prc_med, cot_prc_mediana) VALUES (1093, 65, 21, 80, 70, 80, 75, 75);</v>
      </c>
      <c r="J1094" s="0" t="str">
        <f aca="false">"UPDATE COTACAO SET cot_id = "&amp;A1094&amp;", cot_blt_id = "&amp;B1094&amp;", cot_pap_id = "&amp;C1094&amp;", cot_prc_comum = "&amp;D1094&amp;", cot_prc_min = "&amp;E1094&amp;", cot_prc_max = "&amp;F1094&amp;", cot_prc_med = "&amp;G1094&amp;", cot_prc_mediana = "&amp;H1094&amp;" WHERE cot_id = "&amp;A1094&amp;";"</f>
        <v>UPDATE COTACAO SET cot_id = 1093, cot_blt_id = 65, cot_pap_id = 21, cot_prc_comum = 80, cot_prc_min = 70, cot_prc_max = 80, cot_prc_med = 75, cot_prc_mediana = 75 WHERE cot_id = 1093;</v>
      </c>
    </row>
    <row r="1095" customFormat="false" ht="14.25" hidden="false" customHeight="false" outlineLevel="0" collapsed="false">
      <c r="A1095" s="0" t="n">
        <v>1094</v>
      </c>
      <c r="B1095" s="0" t="n">
        <f aca="false">IF('Boletins Nuppa Site'!A1095&lt;&gt;0,'Boletins Nuppa Site'!A1095,"NULL")</f>
        <v>65</v>
      </c>
      <c r="C1095" s="0" t="n">
        <v>22</v>
      </c>
      <c r="D1095" s="30" t="n">
        <f aca="false">IF('Boletins Nuppa Site'!G1095&lt;&gt;0,'Boletins Nuppa Site'!G1095,"NULL")</f>
        <v>70</v>
      </c>
      <c r="E1095" s="30" t="n">
        <f aca="false">IF('Boletins Nuppa Site'!H1095&lt;&gt;0,'Boletins Nuppa Site'!H1095,"NULL")</f>
        <v>30</v>
      </c>
      <c r="F1095" s="30" t="n">
        <f aca="false">IF('Boletins Nuppa Site'!I1095&lt;&gt;0,'Boletins Nuppa Site'!I1095,"NULL")</f>
        <v>70</v>
      </c>
      <c r="G1095" s="30" t="n">
        <f aca="false">IF('Boletins Nuppa Site'!J1095&lt;&gt;0,'Boletins Nuppa Site'!J1095,"NULL")</f>
        <v>53</v>
      </c>
      <c r="H1095" s="30" t="n">
        <f aca="false">IF('Boletins Nuppa Site'!K1095&lt;&gt;0,'Boletins Nuppa Site'!K1095,"NULL")</f>
        <v>50</v>
      </c>
      <c r="I1095" s="0" t="str">
        <f aca="false">"INSERT INTO COTACAO (cot_id, cot_blt_id, cot_pap_id, cot_prc_comum, cot_prc_min, cot_prc_max, cot_prc_med, cot_prc_mediana) VALUES ("&amp;A1095&amp;", "&amp;B1095&amp;", "&amp;C1095&amp;", "&amp;D1095&amp;", "&amp;E1095&amp;", "&amp;F1095&amp;", "&amp;G1095&amp;", "&amp;H1095&amp;");"</f>
        <v>INSERT INTO COTACAO (cot_id, cot_blt_id, cot_pap_id, cot_prc_comum, cot_prc_min, cot_prc_max, cot_prc_med, cot_prc_mediana) VALUES (1094, 65, 22, 70, 30, 70, 53, 50);</v>
      </c>
      <c r="J1095" s="0" t="str">
        <f aca="false">"UPDATE COTACAO SET cot_id = "&amp;A1095&amp;", cot_blt_id = "&amp;B1095&amp;", cot_pap_id = "&amp;C1095&amp;", cot_prc_comum = "&amp;D1095&amp;", cot_prc_min = "&amp;E1095&amp;", cot_prc_max = "&amp;F1095&amp;", cot_prc_med = "&amp;G1095&amp;", cot_prc_mediana = "&amp;H1095&amp;" WHERE cot_id = "&amp;A1095&amp;";"</f>
        <v>UPDATE COTACAO SET cot_id = 1094, cot_blt_id = 65, cot_pap_id = 22, cot_prc_comum = 70, cot_prc_min = 30, cot_prc_max = 70, cot_prc_med = 53, cot_prc_mediana = 50 WHERE cot_id = 1094;</v>
      </c>
    </row>
    <row r="1096" customFormat="false" ht="14.25" hidden="false" customHeight="false" outlineLevel="0" collapsed="false">
      <c r="A1096" s="0" t="n">
        <v>1095</v>
      </c>
      <c r="B1096" s="0" t="n">
        <f aca="false">IF('Boletins Nuppa Site'!A1096&lt;&gt;0,'Boletins Nuppa Site'!A1096,"NULL")</f>
        <v>65</v>
      </c>
      <c r="C1096" s="0" t="n">
        <v>23</v>
      </c>
      <c r="D1096" s="30" t="n">
        <f aca="false">IF('Boletins Nuppa Site'!G1096&lt;&gt;0,'Boletins Nuppa Site'!G1096,"NULL")</f>
        <v>50</v>
      </c>
      <c r="E1096" s="30" t="n">
        <f aca="false">IF('Boletins Nuppa Site'!H1096&lt;&gt;0,'Boletins Nuppa Site'!H1096,"NULL")</f>
        <v>45</v>
      </c>
      <c r="F1096" s="30" t="n">
        <f aca="false">IF('Boletins Nuppa Site'!I1096&lt;&gt;0,'Boletins Nuppa Site'!I1096,"NULL")</f>
        <v>60</v>
      </c>
      <c r="G1096" s="0" t="str">
        <f aca="false">IF('Boletins Nuppa Site'!J1096&lt;&gt;0,'Boletins Nuppa Site'!J1096,"NULL")</f>
        <v>51.25</v>
      </c>
      <c r="H1096" s="30" t="n">
        <f aca="false">IF('Boletins Nuppa Site'!K1096&lt;&gt;0,'Boletins Nuppa Site'!K1096,"NULL")</f>
        <v>50</v>
      </c>
      <c r="I1096" s="0" t="str">
        <f aca="false">"INSERT INTO COTACAO (cot_id, cot_blt_id, cot_pap_id, cot_prc_comum, cot_prc_min, cot_prc_max, cot_prc_med, cot_prc_mediana) VALUES ("&amp;A1096&amp;", "&amp;B1096&amp;", "&amp;C1096&amp;", "&amp;D1096&amp;", "&amp;E1096&amp;", "&amp;F1096&amp;", "&amp;G1096&amp;", "&amp;H1096&amp;");"</f>
        <v>INSERT INTO COTACAO (cot_id, cot_blt_id, cot_pap_id, cot_prc_comum, cot_prc_min, cot_prc_max, cot_prc_med, cot_prc_mediana) VALUES (1095, 65, 23, 50, 45, 60, 51.25, 50);</v>
      </c>
      <c r="J1096" s="0" t="str">
        <f aca="false">"UPDATE COTACAO SET cot_id = "&amp;A1096&amp;", cot_blt_id = "&amp;B1096&amp;", cot_pap_id = "&amp;C1096&amp;", cot_prc_comum = "&amp;D1096&amp;", cot_prc_min = "&amp;E1096&amp;", cot_prc_max = "&amp;F1096&amp;", cot_prc_med = "&amp;G1096&amp;", cot_prc_mediana = "&amp;H1096&amp;" WHERE cot_id = "&amp;A1096&amp;";"</f>
        <v>UPDATE COTACAO SET cot_id = 1095, cot_blt_id = 65, cot_pap_id = 23, cot_prc_comum = 50, cot_prc_min = 45, cot_prc_max = 60, cot_prc_med = 51.25, cot_prc_mediana = 50 WHERE cot_id = 1095;</v>
      </c>
    </row>
    <row r="1097" customFormat="false" ht="14.25" hidden="false" customHeight="false" outlineLevel="0" collapsed="false">
      <c r="A1097" s="0" t="n">
        <v>1096</v>
      </c>
      <c r="B1097" s="0" t="n">
        <f aca="false">IF('Boletins Nuppa Site'!A1097&lt;&gt;0,'Boletins Nuppa Site'!A1097,"NULL")</f>
        <v>65</v>
      </c>
      <c r="C1097" s="0" t="n">
        <v>24</v>
      </c>
      <c r="D1097" s="0" t="str">
        <f aca="false">IF('Boletins Nuppa Site'!G1097&lt;&gt;0,'Boletins Nuppa Site'!G1097,"NULL")</f>
        <v>NULL</v>
      </c>
      <c r="E1097" s="30" t="n">
        <f aca="false">IF('Boletins Nuppa Site'!H1097&lt;&gt;0,'Boletins Nuppa Site'!H1097,"NULL")</f>
        <v>90</v>
      </c>
      <c r="F1097" s="30" t="n">
        <f aca="false">IF('Boletins Nuppa Site'!I1097&lt;&gt;0,'Boletins Nuppa Site'!I1097,"NULL")</f>
        <v>100</v>
      </c>
      <c r="G1097" s="30" t="n">
        <f aca="false">IF('Boletins Nuppa Site'!J1097&lt;&gt;0,'Boletins Nuppa Site'!J1097,"NULL")</f>
        <v>95</v>
      </c>
      <c r="H1097" s="30" t="n">
        <f aca="false">IF('Boletins Nuppa Site'!K1097&lt;&gt;0,'Boletins Nuppa Site'!K1097,"NULL")</f>
        <v>95</v>
      </c>
      <c r="I1097" s="0" t="str">
        <f aca="false">"INSERT INTO COTACAO (cot_id, cot_blt_id, cot_pap_id, cot_prc_comum, cot_prc_min, cot_prc_max, cot_prc_med, cot_prc_mediana) VALUES ("&amp;A1097&amp;", "&amp;B1097&amp;", "&amp;C1097&amp;", "&amp;D1097&amp;", "&amp;E1097&amp;", "&amp;F1097&amp;", "&amp;G1097&amp;", "&amp;H1097&amp;");"</f>
        <v>INSERT INTO COTACAO (cot_id, cot_blt_id, cot_pap_id, cot_prc_comum, cot_prc_min, cot_prc_max, cot_prc_med, cot_prc_mediana) VALUES (1096, 65, 24, NULL, 90, 100, 95, 95);</v>
      </c>
      <c r="J1097" s="0" t="str">
        <f aca="false">"UPDATE COTACAO SET cot_id = "&amp;A1097&amp;", cot_blt_id = "&amp;B1097&amp;", cot_pap_id = "&amp;C1097&amp;", cot_prc_comum = "&amp;D1097&amp;", cot_prc_min = "&amp;E1097&amp;", cot_prc_max = "&amp;F1097&amp;", cot_prc_med = "&amp;G1097&amp;", cot_prc_mediana = "&amp;H1097&amp;" WHERE cot_id = "&amp;A1097&amp;";"</f>
        <v>UPDATE COTACAO SET cot_id = 1096, cot_blt_id = 65, cot_pap_id = 24, cot_prc_comum = NULL, cot_prc_min = 90, cot_prc_max = 100, cot_prc_med = 95, cot_prc_mediana = 95 WHERE cot_id = 1096;</v>
      </c>
    </row>
    <row r="1098" customFormat="false" ht="14.25" hidden="false" customHeight="false" outlineLevel="0" collapsed="false">
      <c r="A1098" s="0" t="n">
        <v>1097</v>
      </c>
      <c r="B1098" s="0" t="n">
        <f aca="false">IF('Boletins Nuppa Site'!A1098&lt;&gt;0,'Boletins Nuppa Site'!A1098,"NULL")</f>
        <v>65</v>
      </c>
      <c r="C1098" s="0" t="n">
        <v>25</v>
      </c>
      <c r="D1098" s="30" t="n">
        <f aca="false">IF('Boletins Nuppa Site'!G1098&lt;&gt;0,'Boletins Nuppa Site'!G1098,"NULL")</f>
        <v>70</v>
      </c>
      <c r="E1098" s="30" t="n">
        <f aca="false">IF('Boletins Nuppa Site'!H1098&lt;&gt;0,'Boletins Nuppa Site'!H1098,"NULL")</f>
        <v>60</v>
      </c>
      <c r="F1098" s="30" t="n">
        <f aca="false">IF('Boletins Nuppa Site'!I1098&lt;&gt;0,'Boletins Nuppa Site'!I1098,"NULL")</f>
        <v>70</v>
      </c>
      <c r="G1098" s="30" t="n">
        <f aca="false">IF('Boletins Nuppa Site'!J1098&lt;&gt;0,'Boletins Nuppa Site'!J1098,"NULL")</f>
        <v>65</v>
      </c>
      <c r="H1098" s="30" t="n">
        <f aca="false">IF('Boletins Nuppa Site'!K1098&lt;&gt;0,'Boletins Nuppa Site'!K1098,"NULL")</f>
        <v>65</v>
      </c>
      <c r="I1098" s="0" t="str">
        <f aca="false">"INSERT INTO COTACAO (cot_id, cot_blt_id, cot_pap_id, cot_prc_comum, cot_prc_min, cot_prc_max, cot_prc_med, cot_prc_mediana) VALUES ("&amp;A1098&amp;", "&amp;B1098&amp;", "&amp;C1098&amp;", "&amp;D1098&amp;", "&amp;E1098&amp;", "&amp;F1098&amp;", "&amp;G1098&amp;", "&amp;H1098&amp;");"</f>
        <v>INSERT INTO COTACAO (cot_id, cot_blt_id, cot_pap_id, cot_prc_comum, cot_prc_min, cot_prc_max, cot_prc_med, cot_prc_mediana) VALUES (1097, 65, 25, 70, 60, 70, 65, 65);</v>
      </c>
      <c r="J1098" s="0" t="str">
        <f aca="false">"UPDATE COTACAO SET cot_id = "&amp;A1098&amp;", cot_blt_id = "&amp;B1098&amp;", cot_pap_id = "&amp;C1098&amp;", cot_prc_comum = "&amp;D1098&amp;", cot_prc_min = "&amp;E1098&amp;", cot_prc_max = "&amp;F1098&amp;", cot_prc_med = "&amp;G1098&amp;", cot_prc_mediana = "&amp;H1098&amp;" WHERE cot_id = "&amp;A1098&amp;";"</f>
        <v>UPDATE COTACAO SET cot_id = 1097, cot_blt_id = 65, cot_pap_id = 25, cot_prc_comum = 70, cot_prc_min = 60, cot_prc_max = 70, cot_prc_med = 65, cot_prc_mediana = 65 WHERE cot_id = 1097;</v>
      </c>
    </row>
    <row r="1099" customFormat="false" ht="14.25" hidden="false" customHeight="false" outlineLevel="0" collapsed="false">
      <c r="A1099" s="0" t="n">
        <v>1098</v>
      </c>
      <c r="B1099" s="0" t="n">
        <f aca="false">IF('Boletins Nuppa Site'!A1099&lt;&gt;0,'Boletins Nuppa Site'!A1099,"NULL")</f>
        <v>65</v>
      </c>
      <c r="C1099" s="0" t="n">
        <v>26</v>
      </c>
      <c r="D1099" s="30" t="n">
        <f aca="false">IF('Boletins Nuppa Site'!G1099&lt;&gt;0,'Boletins Nuppa Site'!G1099,"NULL")</f>
        <v>60</v>
      </c>
      <c r="E1099" s="30" t="n">
        <f aca="false">IF('Boletins Nuppa Site'!H1099&lt;&gt;0,'Boletins Nuppa Site'!H1099,"NULL")</f>
        <v>45</v>
      </c>
      <c r="F1099" s="30" t="n">
        <f aca="false">IF('Boletins Nuppa Site'!I1099&lt;&gt;0,'Boletins Nuppa Site'!I1099,"NULL")</f>
        <v>60</v>
      </c>
      <c r="G1099" s="0" t="str">
        <f aca="false">IF('Boletins Nuppa Site'!J1099&lt;&gt;0,'Boletins Nuppa Site'!J1099,"NULL")</f>
        <v>53.75</v>
      </c>
      <c r="H1099" s="30" t="n">
        <f aca="false">IF('Boletins Nuppa Site'!K1099&lt;&gt;0,'Boletins Nuppa Site'!K1099,"NULL")</f>
        <v>55</v>
      </c>
      <c r="I1099" s="0" t="str">
        <f aca="false">"INSERT INTO COTACAO (cot_id, cot_blt_id, cot_pap_id, cot_prc_comum, cot_prc_min, cot_prc_max, cot_prc_med, cot_prc_mediana) VALUES ("&amp;A1099&amp;", "&amp;B1099&amp;", "&amp;C1099&amp;", "&amp;D1099&amp;", "&amp;E1099&amp;", "&amp;F1099&amp;", "&amp;G1099&amp;", "&amp;H1099&amp;");"</f>
        <v>INSERT INTO COTACAO (cot_id, cot_blt_id, cot_pap_id, cot_prc_comum, cot_prc_min, cot_prc_max, cot_prc_med, cot_prc_mediana) VALUES (1098, 65, 26, 60, 45, 60, 53.75, 55);</v>
      </c>
      <c r="J1099" s="0" t="str">
        <f aca="false">"UPDATE COTACAO SET cot_id = "&amp;A1099&amp;", cot_blt_id = "&amp;B1099&amp;", cot_pap_id = "&amp;C1099&amp;", cot_prc_comum = "&amp;D1099&amp;", cot_prc_min = "&amp;E1099&amp;", cot_prc_max = "&amp;F1099&amp;", cot_prc_med = "&amp;G1099&amp;", cot_prc_mediana = "&amp;H1099&amp;" WHERE cot_id = "&amp;A1099&amp;";"</f>
        <v>UPDATE COTACAO SET cot_id = 1098, cot_blt_id = 65, cot_pap_id = 26, cot_prc_comum = 60, cot_prc_min = 45, cot_prc_max = 60, cot_prc_med = 53.75, cot_prc_mediana = 55 WHERE cot_id = 1098;</v>
      </c>
    </row>
    <row r="1100" customFormat="false" ht="14.25" hidden="false" customHeight="false" outlineLevel="0" collapsed="false">
      <c r="A1100" s="0" t="n">
        <v>1099</v>
      </c>
      <c r="B1100" s="0" t="n">
        <f aca="false">IF('Boletins Nuppa Site'!A1100&lt;&gt;0,'Boletins Nuppa Site'!A1100,"NULL")</f>
        <v>65</v>
      </c>
      <c r="C1100" s="0" t="n">
        <v>27</v>
      </c>
      <c r="D1100" s="0" t="str">
        <f aca="false">IF('Boletins Nuppa Site'!G1100&lt;&gt;0,'Boletins Nuppa Site'!G1100,"NULL")</f>
        <v>NULL</v>
      </c>
      <c r="E1100" s="30" t="n">
        <f aca="false">IF('Boletins Nuppa Site'!H1100&lt;&gt;0,'Boletins Nuppa Site'!H1100,"NULL")</f>
        <v>50</v>
      </c>
      <c r="F1100" s="30" t="n">
        <f aca="false">IF('Boletins Nuppa Site'!I1100&lt;&gt;0,'Boletins Nuppa Site'!I1100,"NULL")</f>
        <v>70</v>
      </c>
      <c r="G1100" s="0" t="str">
        <f aca="false">IF('Boletins Nuppa Site'!J1100&lt;&gt;0,'Boletins Nuppa Site'!J1100,"NULL")</f>
        <v>61.25</v>
      </c>
      <c r="H1100" s="0" t="str">
        <f aca="false">IF('Boletins Nuppa Site'!K1100&lt;&gt;0,'Boletins Nuppa Site'!K1100,"NULL")</f>
        <v>62.5</v>
      </c>
      <c r="I1100" s="0" t="str">
        <f aca="false">"INSERT INTO COTACAO (cot_id, cot_blt_id, cot_pap_id, cot_prc_comum, cot_prc_min, cot_prc_max, cot_prc_med, cot_prc_mediana) VALUES ("&amp;A1100&amp;", "&amp;B1100&amp;", "&amp;C1100&amp;", "&amp;D1100&amp;", "&amp;E1100&amp;", "&amp;F1100&amp;", "&amp;G1100&amp;", "&amp;H1100&amp;");"</f>
        <v>INSERT INTO COTACAO (cot_id, cot_blt_id, cot_pap_id, cot_prc_comum, cot_prc_min, cot_prc_max, cot_prc_med, cot_prc_mediana) VALUES (1099, 65, 27, NULL, 50, 70, 61.25, 62.5);</v>
      </c>
      <c r="J1100" s="0" t="str">
        <f aca="false">"UPDATE COTACAO SET cot_id = "&amp;A1100&amp;", cot_blt_id = "&amp;B1100&amp;", cot_pap_id = "&amp;C1100&amp;", cot_prc_comum = "&amp;D1100&amp;", cot_prc_min = "&amp;E1100&amp;", cot_prc_max = "&amp;F1100&amp;", cot_prc_med = "&amp;G1100&amp;", cot_prc_mediana = "&amp;H1100&amp;" WHERE cot_id = "&amp;A1100&amp;";"</f>
        <v>UPDATE COTACAO SET cot_id = 1099, cot_blt_id = 65, cot_pap_id = 27, cot_prc_comum = NULL, cot_prc_min = 50, cot_prc_max = 70, cot_prc_med = 61.25, cot_prc_mediana = 62.5 WHERE cot_id = 1099;</v>
      </c>
    </row>
    <row r="1101" customFormat="false" ht="14.25" hidden="false" customHeight="false" outlineLevel="0" collapsed="false">
      <c r="A1101" s="0" t="n">
        <v>1100</v>
      </c>
      <c r="B1101" s="0" t="n">
        <f aca="false">IF('Boletins Nuppa Site'!A1101&lt;&gt;0,'Boletins Nuppa Site'!A1101,"NULL")</f>
        <v>65</v>
      </c>
      <c r="C1101" s="0" t="n">
        <v>28</v>
      </c>
      <c r="D1101" s="0" t="str">
        <f aca="false">IF('Boletins Nuppa Site'!G1101&lt;&gt;0,'Boletins Nuppa Site'!G1101,"NULL")</f>
        <v>NULL</v>
      </c>
      <c r="E1101" s="30" t="n">
        <f aca="false">IF('Boletins Nuppa Site'!H1101&lt;&gt;0,'Boletins Nuppa Site'!H1101,"NULL")</f>
        <v>70</v>
      </c>
      <c r="F1101" s="30" t="n">
        <f aca="false">IF('Boletins Nuppa Site'!I1101&lt;&gt;0,'Boletins Nuppa Site'!I1101,"NULL")</f>
        <v>100</v>
      </c>
      <c r="G1101" s="0" t="str">
        <f aca="false">IF('Boletins Nuppa Site'!J1101&lt;&gt;0,'Boletins Nuppa Site'!J1101,"NULL")</f>
        <v>86.67</v>
      </c>
      <c r="H1101" s="30" t="n">
        <f aca="false">IF('Boletins Nuppa Site'!K1101&lt;&gt;0,'Boletins Nuppa Site'!K1101,"NULL")</f>
        <v>90</v>
      </c>
      <c r="I1101" s="0" t="str">
        <f aca="false">"INSERT INTO COTACAO (cot_id, cot_blt_id, cot_pap_id, cot_prc_comum, cot_prc_min, cot_prc_max, cot_prc_med, cot_prc_mediana) VALUES ("&amp;A1101&amp;", "&amp;B1101&amp;", "&amp;C1101&amp;", "&amp;D1101&amp;", "&amp;E1101&amp;", "&amp;F1101&amp;", "&amp;G1101&amp;", "&amp;H1101&amp;");"</f>
        <v>INSERT INTO COTACAO (cot_id, cot_blt_id, cot_pap_id, cot_prc_comum, cot_prc_min, cot_prc_max, cot_prc_med, cot_prc_mediana) VALUES (1100, 65, 28, NULL, 70, 100, 86.67, 90);</v>
      </c>
      <c r="J1101" s="0" t="str">
        <f aca="false">"UPDATE COTACAO SET cot_id = "&amp;A1101&amp;", cot_blt_id = "&amp;B1101&amp;", cot_pap_id = "&amp;C1101&amp;", cot_prc_comum = "&amp;D1101&amp;", cot_prc_min = "&amp;E1101&amp;", cot_prc_max = "&amp;F1101&amp;", cot_prc_med = "&amp;G1101&amp;", cot_prc_mediana = "&amp;H1101&amp;" WHERE cot_id = "&amp;A1101&amp;";"</f>
        <v>UPDATE COTACAO SET cot_id = 1100, cot_blt_id = 65, cot_pap_id = 28, cot_prc_comum = NULL, cot_prc_min = 70, cot_prc_max = 100, cot_prc_med = 86.67, cot_prc_mediana = 90 WHERE cot_id = 1100;</v>
      </c>
    </row>
    <row r="1102" customFormat="false" ht="14.25" hidden="false" customHeight="false" outlineLevel="0" collapsed="false">
      <c r="A1102" s="0" t="n">
        <v>1101</v>
      </c>
      <c r="B1102" s="0" t="n">
        <f aca="false">IF('Boletins Nuppa Site'!A1102&lt;&gt;0,'Boletins Nuppa Site'!A1102,"NULL")</f>
        <v>65</v>
      </c>
      <c r="C1102" s="0" t="n">
        <v>29</v>
      </c>
      <c r="D1102" s="0" t="str">
        <f aca="false">IF('Boletins Nuppa Site'!G1102&lt;&gt;0,'Boletins Nuppa Site'!G1102,"NULL")</f>
        <v>NULL</v>
      </c>
      <c r="E1102" s="30" t="n">
        <f aca="false">IF('Boletins Nuppa Site'!H1102&lt;&gt;0,'Boletins Nuppa Site'!H1102,"NULL")</f>
        <v>60</v>
      </c>
      <c r="F1102" s="30" t="n">
        <f aca="false">IF('Boletins Nuppa Site'!I1102&lt;&gt;0,'Boletins Nuppa Site'!I1102,"NULL")</f>
        <v>65</v>
      </c>
      <c r="G1102" s="0" t="str">
        <f aca="false">IF('Boletins Nuppa Site'!J1102&lt;&gt;0,'Boletins Nuppa Site'!J1102,"NULL")</f>
        <v>62.5</v>
      </c>
      <c r="H1102" s="0" t="str">
        <f aca="false">IF('Boletins Nuppa Site'!K1102&lt;&gt;0,'Boletins Nuppa Site'!K1102,"NULL")</f>
        <v>62.5</v>
      </c>
      <c r="I1102" s="0" t="str">
        <f aca="false">"INSERT INTO COTACAO (cot_id, cot_blt_id, cot_pap_id, cot_prc_comum, cot_prc_min, cot_prc_max, cot_prc_med, cot_prc_mediana) VALUES ("&amp;A1102&amp;", "&amp;B1102&amp;", "&amp;C1102&amp;", "&amp;D1102&amp;", "&amp;E1102&amp;", "&amp;F1102&amp;", "&amp;G1102&amp;", "&amp;H1102&amp;");"</f>
        <v>INSERT INTO COTACAO (cot_id, cot_blt_id, cot_pap_id, cot_prc_comum, cot_prc_min, cot_prc_max, cot_prc_med, cot_prc_mediana) VALUES (1101, 65, 29, NULL, 60, 65, 62.5, 62.5);</v>
      </c>
      <c r="J1102" s="0" t="str">
        <f aca="false">"UPDATE COTACAO SET cot_id = "&amp;A1102&amp;", cot_blt_id = "&amp;B1102&amp;", cot_pap_id = "&amp;C1102&amp;", cot_prc_comum = "&amp;D1102&amp;", cot_prc_min = "&amp;E1102&amp;", cot_prc_max = "&amp;F1102&amp;", cot_prc_med = "&amp;G1102&amp;", cot_prc_mediana = "&amp;H1102&amp;" WHERE cot_id = "&amp;A1102&amp;";"</f>
        <v>UPDATE COTACAO SET cot_id = 1101, cot_blt_id = 65, cot_pap_id = 29, cot_prc_comum = NULL, cot_prc_min = 60, cot_prc_max = 65, cot_prc_med = 62.5, cot_prc_mediana = 62.5 WHERE cot_id = 1101;</v>
      </c>
    </row>
    <row r="1103" customFormat="false" ht="14.25" hidden="false" customHeight="false" outlineLevel="0" collapsed="false">
      <c r="A1103" s="0" t="n">
        <v>1102</v>
      </c>
      <c r="B1103" s="0" t="n">
        <f aca="false">IF('Boletins Nuppa Site'!A1103&lt;&gt;0,'Boletins Nuppa Site'!A1103,"NULL")</f>
        <v>65</v>
      </c>
      <c r="C1103" s="0" t="n">
        <v>30</v>
      </c>
      <c r="D1103" s="0" t="str">
        <f aca="false">IF('Boletins Nuppa Site'!G1103&lt;&gt;0,'Boletins Nuppa Site'!G1103,"NULL")</f>
        <v>NULL</v>
      </c>
      <c r="E1103" s="30" t="n">
        <f aca="false">IF('Boletins Nuppa Site'!H1103&lt;&gt;0,'Boletins Nuppa Site'!H1103,"NULL")</f>
        <v>55</v>
      </c>
      <c r="F1103" s="30" t="n">
        <f aca="false">IF('Boletins Nuppa Site'!I1103&lt;&gt;0,'Boletins Nuppa Site'!I1103,"NULL")</f>
        <v>80</v>
      </c>
      <c r="G1103" s="0" t="str">
        <f aca="false">IF('Boletins Nuppa Site'!J1103&lt;&gt;0,'Boletins Nuppa Site'!J1103,"NULL")</f>
        <v>66.25</v>
      </c>
      <c r="H1103" s="30" t="n">
        <f aca="false">IF('Boletins Nuppa Site'!K1103&lt;&gt;0,'Boletins Nuppa Site'!K1103,"NULL")</f>
        <v>65</v>
      </c>
      <c r="I1103" s="0" t="str">
        <f aca="false">"INSERT INTO COTACAO (cot_id, cot_blt_id, cot_pap_id, cot_prc_comum, cot_prc_min, cot_prc_max, cot_prc_med, cot_prc_mediana) VALUES ("&amp;A1103&amp;", "&amp;B1103&amp;", "&amp;C1103&amp;", "&amp;D1103&amp;", "&amp;E1103&amp;", "&amp;F1103&amp;", "&amp;G1103&amp;", "&amp;H1103&amp;");"</f>
        <v>INSERT INTO COTACAO (cot_id, cot_blt_id, cot_pap_id, cot_prc_comum, cot_prc_min, cot_prc_max, cot_prc_med, cot_prc_mediana) VALUES (1102, 65, 30, NULL, 55, 80, 66.25, 65);</v>
      </c>
      <c r="J1103" s="0" t="str">
        <f aca="false">"UPDATE COTACAO SET cot_id = "&amp;A1103&amp;", cot_blt_id = "&amp;B1103&amp;", cot_pap_id = "&amp;C1103&amp;", cot_prc_comum = "&amp;D1103&amp;", cot_prc_min = "&amp;E1103&amp;", cot_prc_max = "&amp;F1103&amp;", cot_prc_med = "&amp;G1103&amp;", cot_prc_mediana = "&amp;H1103&amp;" WHERE cot_id = "&amp;A1103&amp;";"</f>
        <v>UPDATE COTACAO SET cot_id = 1102, cot_blt_id = 65, cot_pap_id = 30, cot_prc_comum = NULL, cot_prc_min = 55, cot_prc_max = 80, cot_prc_med = 66.25, cot_prc_mediana = 65 WHERE cot_id = 1102;</v>
      </c>
    </row>
    <row r="1104" customFormat="false" ht="14.25" hidden="false" customHeight="false" outlineLevel="0" collapsed="false">
      <c r="A1104" s="0" t="n">
        <v>1103</v>
      </c>
      <c r="B1104" s="0" t="n">
        <f aca="false">IF('Boletins Nuppa Site'!A1104&lt;&gt;0,'Boletins Nuppa Site'!A1104,"NULL")</f>
        <v>65</v>
      </c>
      <c r="C1104" s="0" t="n">
        <v>31</v>
      </c>
      <c r="D1104" s="30" t="n">
        <f aca="false">IF('Boletins Nuppa Site'!G1104&lt;&gt;0,'Boletins Nuppa Site'!G1104,"NULL")</f>
        <v>90</v>
      </c>
      <c r="E1104" s="30" t="n">
        <f aca="false">IF('Boletins Nuppa Site'!H1104&lt;&gt;0,'Boletins Nuppa Site'!H1104,"NULL")</f>
        <v>70</v>
      </c>
      <c r="F1104" s="30" t="n">
        <f aca="false">IF('Boletins Nuppa Site'!I1104&lt;&gt;0,'Boletins Nuppa Site'!I1104,"NULL")</f>
        <v>100</v>
      </c>
      <c r="G1104" s="30" t="n">
        <f aca="false">IF('Boletins Nuppa Site'!J1104&lt;&gt;0,'Boletins Nuppa Site'!J1104,"NULL")</f>
        <v>86</v>
      </c>
      <c r="H1104" s="30" t="n">
        <f aca="false">IF('Boletins Nuppa Site'!K1104&lt;&gt;0,'Boletins Nuppa Site'!K1104,"NULL")</f>
        <v>90</v>
      </c>
      <c r="I1104" s="0" t="str">
        <f aca="false">"INSERT INTO COTACAO (cot_id, cot_blt_id, cot_pap_id, cot_prc_comum, cot_prc_min, cot_prc_max, cot_prc_med, cot_prc_mediana) VALUES ("&amp;A1104&amp;", "&amp;B1104&amp;", "&amp;C1104&amp;", "&amp;D1104&amp;", "&amp;E1104&amp;", "&amp;F1104&amp;", "&amp;G1104&amp;", "&amp;H1104&amp;");"</f>
        <v>INSERT INTO COTACAO (cot_id, cot_blt_id, cot_pap_id, cot_prc_comum, cot_prc_min, cot_prc_max, cot_prc_med, cot_prc_mediana) VALUES (1103, 65, 31, 90, 70, 100, 86, 90);</v>
      </c>
      <c r="J1104" s="0" t="str">
        <f aca="false">"UPDATE COTACAO SET cot_id = "&amp;A1104&amp;", cot_blt_id = "&amp;B1104&amp;", cot_pap_id = "&amp;C1104&amp;", cot_prc_comum = "&amp;D1104&amp;", cot_prc_min = "&amp;E1104&amp;", cot_prc_max = "&amp;F1104&amp;", cot_prc_med = "&amp;G1104&amp;", cot_prc_mediana = "&amp;H1104&amp;" WHERE cot_id = "&amp;A1104&amp;";"</f>
        <v>UPDATE COTACAO SET cot_id = 1103, cot_blt_id = 65, cot_pap_id = 31, cot_prc_comum = 90, cot_prc_min = 70, cot_prc_max = 100, cot_prc_med = 86, cot_prc_mediana = 90 WHERE cot_id = 1103;</v>
      </c>
    </row>
    <row r="1105" customFormat="false" ht="14.25" hidden="false" customHeight="false" outlineLevel="0" collapsed="false">
      <c r="A1105" s="0" t="n">
        <v>1104</v>
      </c>
      <c r="B1105" s="0" t="n">
        <f aca="false">IF('Boletins Nuppa Site'!A1105&lt;&gt;0,'Boletins Nuppa Site'!A1105,"NULL")</f>
        <v>65</v>
      </c>
      <c r="C1105" s="0" t="n">
        <v>32</v>
      </c>
      <c r="D1105" s="30" t="n">
        <f aca="false">IF('Boletins Nuppa Site'!G1105&lt;&gt;0,'Boletins Nuppa Site'!G1105,"NULL")</f>
        <v>50</v>
      </c>
      <c r="E1105" s="30" t="n">
        <f aca="false">IF('Boletins Nuppa Site'!H1105&lt;&gt;0,'Boletins Nuppa Site'!H1105,"NULL")</f>
        <v>30</v>
      </c>
      <c r="F1105" s="30" t="n">
        <f aca="false">IF('Boletins Nuppa Site'!I1105&lt;&gt;0,'Boletins Nuppa Site'!I1105,"NULL")</f>
        <v>50</v>
      </c>
      <c r="G1105" s="30" t="n">
        <f aca="false">IF('Boletins Nuppa Site'!J1105&lt;&gt;0,'Boletins Nuppa Site'!J1105,"NULL")</f>
        <v>45</v>
      </c>
      <c r="H1105" s="30" t="n">
        <f aca="false">IF('Boletins Nuppa Site'!K1105&lt;&gt;0,'Boletins Nuppa Site'!K1105,"NULL")</f>
        <v>50</v>
      </c>
      <c r="I1105" s="0" t="str">
        <f aca="false">"INSERT INTO COTACAO (cot_id, cot_blt_id, cot_pap_id, cot_prc_comum, cot_prc_min, cot_prc_max, cot_prc_med, cot_prc_mediana) VALUES ("&amp;A1105&amp;", "&amp;B1105&amp;", "&amp;C1105&amp;", "&amp;D1105&amp;", "&amp;E1105&amp;", "&amp;F1105&amp;", "&amp;G1105&amp;", "&amp;H1105&amp;");"</f>
        <v>INSERT INTO COTACAO (cot_id, cot_blt_id, cot_pap_id, cot_prc_comum, cot_prc_min, cot_prc_max, cot_prc_med, cot_prc_mediana) VALUES (1104, 65, 32, 50, 30, 50, 45, 50);</v>
      </c>
      <c r="J1105" s="0" t="str">
        <f aca="false">"UPDATE COTACAO SET cot_id = "&amp;A1105&amp;", cot_blt_id = "&amp;B1105&amp;", cot_pap_id = "&amp;C1105&amp;", cot_prc_comum = "&amp;D1105&amp;", cot_prc_min = "&amp;E1105&amp;", cot_prc_max = "&amp;F1105&amp;", cot_prc_med = "&amp;G1105&amp;", cot_prc_mediana = "&amp;H1105&amp;" WHERE cot_id = "&amp;A1105&amp;";"</f>
        <v>UPDATE COTACAO SET cot_id = 1104, cot_blt_id = 65, cot_pap_id = 32, cot_prc_comum = 50, cot_prc_min = 30, cot_prc_max = 50, cot_prc_med = 45, cot_prc_mediana = 50 WHERE cot_id = 1104;</v>
      </c>
    </row>
    <row r="1106" customFormat="false" ht="14.25" hidden="false" customHeight="false" outlineLevel="0" collapsed="false">
      <c r="A1106" s="0" t="n">
        <v>1105</v>
      </c>
      <c r="B1106" s="0" t="n">
        <f aca="false">IF('Boletins Nuppa Site'!A1106&lt;&gt;0,'Boletins Nuppa Site'!A1106,"NULL")</f>
        <v>65</v>
      </c>
      <c r="C1106" s="0" t="n">
        <v>33</v>
      </c>
      <c r="D1106" s="0" t="str">
        <f aca="false">IF('Boletins Nuppa Site'!G1106&lt;&gt;0,'Boletins Nuppa Site'!G1106,"NULL")</f>
        <v>NULL</v>
      </c>
      <c r="E1106" s="30" t="n">
        <f aca="false">IF('Boletins Nuppa Site'!H1106&lt;&gt;0,'Boletins Nuppa Site'!H1106,"NULL")</f>
        <v>100</v>
      </c>
      <c r="F1106" s="30" t="n">
        <f aca="false">IF('Boletins Nuppa Site'!I1106&lt;&gt;0,'Boletins Nuppa Site'!I1106,"NULL")</f>
        <v>200</v>
      </c>
      <c r="G1106" s="0" t="str">
        <f aca="false">IF('Boletins Nuppa Site'!J1106&lt;&gt;0,'Boletins Nuppa Site'!J1106,"NULL")</f>
        <v>157.5</v>
      </c>
      <c r="H1106" s="30" t="n">
        <f aca="false">IF('Boletins Nuppa Site'!K1106&lt;&gt;0,'Boletins Nuppa Site'!K1106,"NULL")</f>
        <v>165</v>
      </c>
      <c r="I1106" s="0" t="str">
        <f aca="false">"INSERT INTO COTACAO (cot_id, cot_blt_id, cot_pap_id, cot_prc_comum, cot_prc_min, cot_prc_max, cot_prc_med, cot_prc_mediana) VALUES ("&amp;A1106&amp;", "&amp;B1106&amp;", "&amp;C1106&amp;", "&amp;D1106&amp;", "&amp;E1106&amp;", "&amp;F1106&amp;", "&amp;G1106&amp;", "&amp;H1106&amp;");"</f>
        <v>INSERT INTO COTACAO (cot_id, cot_blt_id, cot_pap_id, cot_prc_comum, cot_prc_min, cot_prc_max, cot_prc_med, cot_prc_mediana) VALUES (1105, 65, 33, NULL, 100, 200, 157.5, 165);</v>
      </c>
      <c r="J1106" s="0" t="str">
        <f aca="false">"UPDATE COTACAO SET cot_id = "&amp;A1106&amp;", cot_blt_id = "&amp;B1106&amp;", cot_pap_id = "&amp;C1106&amp;", cot_prc_comum = "&amp;D1106&amp;", cot_prc_min = "&amp;E1106&amp;", cot_prc_max = "&amp;F1106&amp;", cot_prc_med = "&amp;G1106&amp;", cot_prc_mediana = "&amp;H1106&amp;" WHERE cot_id = "&amp;A1106&amp;";"</f>
        <v>UPDATE COTACAO SET cot_id = 1105, cot_blt_id = 65, cot_pap_id = 33, cot_prc_comum = NULL, cot_prc_min = 100, cot_prc_max = 200, cot_prc_med = 157.5, cot_prc_mediana = 165 WHERE cot_id = 1105;</v>
      </c>
    </row>
    <row r="1107" customFormat="false" ht="14.25" hidden="false" customHeight="false" outlineLevel="0" collapsed="false">
      <c r="A1107" s="0" t="n">
        <v>1106</v>
      </c>
      <c r="B1107" s="0" t="n">
        <f aca="false">IF('Boletins Nuppa Site'!A1107&lt;&gt;0,'Boletins Nuppa Site'!A1107,"NULL")</f>
        <v>65</v>
      </c>
      <c r="C1107" s="0" t="n">
        <v>34</v>
      </c>
      <c r="D1107" s="30" t="n">
        <f aca="false">IF('Boletins Nuppa Site'!G1107&lt;&gt;0,'Boletins Nuppa Site'!G1107,"NULL")</f>
        <v>90</v>
      </c>
      <c r="E1107" s="30" t="n">
        <f aca="false">IF('Boletins Nuppa Site'!H1107&lt;&gt;0,'Boletins Nuppa Site'!H1107,"NULL")</f>
        <v>50</v>
      </c>
      <c r="F1107" s="30" t="n">
        <f aca="false">IF('Boletins Nuppa Site'!I1107&lt;&gt;0,'Boletins Nuppa Site'!I1107,"NULL")</f>
        <v>90</v>
      </c>
      <c r="G1107" s="30" t="n">
        <f aca="false">IF('Boletins Nuppa Site'!J1107&lt;&gt;0,'Boletins Nuppa Site'!J1107,"NULL")</f>
        <v>70</v>
      </c>
      <c r="H1107" s="30" t="n">
        <f aca="false">IF('Boletins Nuppa Site'!K1107&lt;&gt;0,'Boletins Nuppa Site'!K1107,"NULL")</f>
        <v>60</v>
      </c>
      <c r="I1107" s="0" t="str">
        <f aca="false">"INSERT INTO COTACAO (cot_id, cot_blt_id, cot_pap_id, cot_prc_comum, cot_prc_min, cot_prc_max, cot_prc_med, cot_prc_mediana) VALUES ("&amp;A1107&amp;", "&amp;B1107&amp;", "&amp;C1107&amp;", "&amp;D1107&amp;", "&amp;E1107&amp;", "&amp;F1107&amp;", "&amp;G1107&amp;", "&amp;H1107&amp;");"</f>
        <v>INSERT INTO COTACAO (cot_id, cot_blt_id, cot_pap_id, cot_prc_comum, cot_prc_min, cot_prc_max, cot_prc_med, cot_prc_mediana) VALUES (1106, 65, 34, 90, 50, 90, 70, 60);</v>
      </c>
      <c r="J1107" s="0" t="str">
        <f aca="false">"UPDATE COTACAO SET cot_id = "&amp;A1107&amp;", cot_blt_id = "&amp;B1107&amp;", cot_pap_id = "&amp;C1107&amp;", cot_prc_comum = "&amp;D1107&amp;", cot_prc_min = "&amp;E1107&amp;", cot_prc_max = "&amp;F1107&amp;", cot_prc_med = "&amp;G1107&amp;", cot_prc_mediana = "&amp;H1107&amp;" WHERE cot_id = "&amp;A1107&amp;";"</f>
        <v>UPDATE COTACAO SET cot_id = 1106, cot_blt_id = 65, cot_pap_id = 34, cot_prc_comum = 90, cot_prc_min = 50, cot_prc_max = 90, cot_prc_med = 70, cot_prc_mediana = 60 WHERE cot_id = 1106;</v>
      </c>
    </row>
    <row r="1108" customFormat="false" ht="14.25" hidden="false" customHeight="false" outlineLevel="0" collapsed="false">
      <c r="A1108" s="0" t="n">
        <v>1107</v>
      </c>
      <c r="B1108" s="0" t="n">
        <f aca="false">IF('Boletins Nuppa Site'!A1108&lt;&gt;0,'Boletins Nuppa Site'!A1108,"NULL")</f>
        <v>65</v>
      </c>
      <c r="C1108" s="0" t="n">
        <v>35</v>
      </c>
      <c r="D1108" s="30" t="n">
        <f aca="false">IF('Boletins Nuppa Site'!G1108&lt;&gt;0,'Boletins Nuppa Site'!G1108,"NULL")</f>
        <v>150</v>
      </c>
      <c r="E1108" s="30" t="n">
        <f aca="false">IF('Boletins Nuppa Site'!H1108&lt;&gt;0,'Boletins Nuppa Site'!H1108,"NULL")</f>
        <v>100</v>
      </c>
      <c r="F1108" s="30" t="n">
        <f aca="false">IF('Boletins Nuppa Site'!I1108&lt;&gt;0,'Boletins Nuppa Site'!I1108,"NULL")</f>
        <v>200</v>
      </c>
      <c r="G1108" s="30" t="n">
        <f aca="false">IF('Boletins Nuppa Site'!J1108&lt;&gt;0,'Boletins Nuppa Site'!J1108,"NULL")</f>
        <v>150</v>
      </c>
      <c r="H1108" s="30" t="n">
        <f aca="false">IF('Boletins Nuppa Site'!K1108&lt;&gt;0,'Boletins Nuppa Site'!K1108,"NULL")</f>
        <v>150</v>
      </c>
      <c r="I1108" s="0" t="str">
        <f aca="false">"INSERT INTO COTACAO (cot_id, cot_blt_id, cot_pap_id, cot_prc_comum, cot_prc_min, cot_prc_max, cot_prc_med, cot_prc_mediana) VALUES ("&amp;A1108&amp;", "&amp;B1108&amp;", "&amp;C1108&amp;", "&amp;D1108&amp;", "&amp;E1108&amp;", "&amp;F1108&amp;", "&amp;G1108&amp;", "&amp;H1108&amp;");"</f>
        <v>INSERT INTO COTACAO (cot_id, cot_blt_id, cot_pap_id, cot_prc_comum, cot_prc_min, cot_prc_max, cot_prc_med, cot_prc_mediana) VALUES (1107, 65, 35, 150, 100, 200, 150, 150);</v>
      </c>
      <c r="J1108" s="0" t="str">
        <f aca="false">"UPDATE COTACAO SET cot_id = "&amp;A1108&amp;", cot_blt_id = "&amp;B1108&amp;", cot_pap_id = "&amp;C1108&amp;", cot_prc_comum = "&amp;D1108&amp;", cot_prc_min = "&amp;E1108&amp;", cot_prc_max = "&amp;F1108&amp;", cot_prc_med = "&amp;G1108&amp;", cot_prc_mediana = "&amp;H1108&amp;" WHERE cot_id = "&amp;A1108&amp;";"</f>
        <v>UPDATE COTACAO SET cot_id = 1107, cot_blt_id = 65, cot_pap_id = 35, cot_prc_comum = 150, cot_prc_min = 100, cot_prc_max = 200, cot_prc_med = 150, cot_prc_mediana = 150 WHERE cot_id = 1107;</v>
      </c>
    </row>
    <row r="1109" customFormat="false" ht="14.25" hidden="false" customHeight="false" outlineLevel="0" collapsed="false">
      <c r="A1109" s="0" t="n">
        <v>1108</v>
      </c>
      <c r="B1109" s="0" t="n">
        <f aca="false">IF('Boletins Nuppa Site'!A1109&lt;&gt;0,'Boletins Nuppa Site'!A1109,"NULL")</f>
        <v>65</v>
      </c>
      <c r="C1109" s="0" t="n">
        <v>36</v>
      </c>
      <c r="D1109" s="0" t="str">
        <f aca="false">IF('Boletins Nuppa Site'!G1109&lt;&gt;0,'Boletins Nuppa Site'!G1109,"NULL")</f>
        <v>NULL</v>
      </c>
      <c r="E1109" s="0" t="str">
        <f aca="false">IF('Boletins Nuppa Site'!H1109&lt;&gt;0,'Boletins Nuppa Site'!H1109,"NULL")</f>
        <v>NULL</v>
      </c>
      <c r="F1109" s="0" t="str">
        <f aca="false">IF('Boletins Nuppa Site'!I1109&lt;&gt;0,'Boletins Nuppa Site'!I1109,"NULL")</f>
        <v>NULL</v>
      </c>
      <c r="G1109" s="0" t="str">
        <f aca="false">IF('Boletins Nuppa Site'!J1109&lt;&gt;0,'Boletins Nuppa Site'!J1109,"NULL")</f>
        <v>NULL</v>
      </c>
      <c r="H1109" s="0" t="str">
        <f aca="false">IF('Boletins Nuppa Site'!K1109&lt;&gt;0,'Boletins Nuppa Site'!K1109,"NULL")</f>
        <v>NULL</v>
      </c>
      <c r="I1109" s="0" t="str">
        <f aca="false">"INSERT INTO COTACAO (cot_id, cot_blt_id, cot_pap_id, cot_prc_comum, cot_prc_min, cot_prc_max, cot_prc_med, cot_prc_mediana) VALUES ("&amp;A1109&amp;", "&amp;B1109&amp;", "&amp;C1109&amp;", "&amp;D1109&amp;", "&amp;E1109&amp;", "&amp;F1109&amp;", "&amp;G1109&amp;", "&amp;H1109&amp;");"</f>
        <v>INSERT INTO COTACAO (cot_id, cot_blt_id, cot_pap_id, cot_prc_comum, cot_prc_min, cot_prc_max, cot_prc_med, cot_prc_mediana) VALUES (1108, 65, 36, NULL, NULL, NULL, NULL, NULL);</v>
      </c>
      <c r="J1109" s="0" t="str">
        <f aca="false">"UPDATE COTACAO SET cot_id = "&amp;A1109&amp;", cot_blt_id = "&amp;B1109&amp;", cot_pap_id = "&amp;C1109&amp;", cot_prc_comum = "&amp;D1109&amp;", cot_prc_min = "&amp;E1109&amp;", cot_prc_max = "&amp;F1109&amp;", cot_prc_med = "&amp;G1109&amp;", cot_prc_mediana = "&amp;H1109&amp;" WHERE cot_id = "&amp;A1109&amp;";"</f>
        <v>UPDATE COTACAO SET cot_id = 1108, cot_blt_id = 65, cot_pap_id = 36, cot_prc_comum = NULL, cot_prc_min = NULL, cot_prc_max = NULL, cot_prc_med = NULL, cot_prc_mediana = NULL WHERE cot_id = 1108;</v>
      </c>
    </row>
    <row r="1110" customFormat="false" ht="14.25" hidden="false" customHeight="false" outlineLevel="0" collapsed="false">
      <c r="A1110" s="0" t="n">
        <v>1109</v>
      </c>
      <c r="B1110" s="0" t="n">
        <f aca="false">IF('Boletins Nuppa Site'!A1110&lt;&gt;0,'Boletins Nuppa Site'!A1110,"NULL")</f>
        <v>65</v>
      </c>
      <c r="C1110" s="0" t="n">
        <v>37</v>
      </c>
      <c r="D1110" s="0" t="str">
        <f aca="false">IF('Boletins Nuppa Site'!G1110&lt;&gt;0,'Boletins Nuppa Site'!G1110,"NULL")</f>
        <v>NULL</v>
      </c>
      <c r="E1110" s="0" t="str">
        <f aca="false">IF('Boletins Nuppa Site'!H1110&lt;&gt;0,'Boletins Nuppa Site'!H1110,"NULL")</f>
        <v>NULL</v>
      </c>
      <c r="F1110" s="0" t="str">
        <f aca="false">IF('Boletins Nuppa Site'!I1110&lt;&gt;0,'Boletins Nuppa Site'!I1110,"NULL")</f>
        <v>NULL</v>
      </c>
      <c r="G1110" s="0" t="str">
        <f aca="false">IF('Boletins Nuppa Site'!J1110&lt;&gt;0,'Boletins Nuppa Site'!J1110,"NULL")</f>
        <v>NULL</v>
      </c>
      <c r="H1110" s="0" t="str">
        <f aca="false">IF('Boletins Nuppa Site'!K1110&lt;&gt;0,'Boletins Nuppa Site'!K1110,"NULL")</f>
        <v>NULL</v>
      </c>
      <c r="I1110" s="0" t="str">
        <f aca="false">"INSERT INTO COTACAO (cot_id, cot_blt_id, cot_pap_id, cot_prc_comum, cot_prc_min, cot_prc_max, cot_prc_med, cot_prc_mediana) VALUES ("&amp;A1110&amp;", "&amp;B1110&amp;", "&amp;C1110&amp;", "&amp;D1110&amp;", "&amp;E1110&amp;", "&amp;F1110&amp;", "&amp;G1110&amp;", "&amp;H1110&amp;");"</f>
        <v>INSERT INTO COTACAO (cot_id, cot_blt_id, cot_pap_id, cot_prc_comum, cot_prc_min, cot_prc_max, cot_prc_med, cot_prc_mediana) VALUES (1109, 65, 37, NULL, NULL, NULL, NULL, NULL);</v>
      </c>
      <c r="J1110" s="0" t="str">
        <f aca="false">"UPDATE COTACAO SET cot_id = "&amp;A1110&amp;", cot_blt_id = "&amp;B1110&amp;", cot_pap_id = "&amp;C1110&amp;", cot_prc_comum = "&amp;D1110&amp;", cot_prc_min = "&amp;E1110&amp;", cot_prc_max = "&amp;F1110&amp;", cot_prc_med = "&amp;G1110&amp;", cot_prc_mediana = "&amp;H1110&amp;" WHERE cot_id = "&amp;A1110&amp;";"</f>
        <v>UPDATE COTACAO SET cot_id = 1109, cot_blt_id = 65, cot_pap_id = 37, cot_prc_comum = NULL, cot_prc_min = NULL, cot_prc_max = NULL, cot_prc_med = NULL, cot_prc_mediana = NULL WHERE cot_id = 1109;</v>
      </c>
    </row>
    <row r="1111" customFormat="false" ht="14.25" hidden="false" customHeight="false" outlineLevel="0" collapsed="false">
      <c r="A1111" s="0" t="n">
        <v>1110</v>
      </c>
      <c r="B1111" s="0" t="n">
        <f aca="false">IF('Boletins Nuppa Site'!A1111&lt;&gt;0,'Boletins Nuppa Site'!A1111,"NULL")</f>
        <v>65</v>
      </c>
      <c r="C1111" s="0" t="n">
        <v>38</v>
      </c>
      <c r="D1111" s="0" t="str">
        <f aca="false">IF('Boletins Nuppa Site'!G1111&lt;&gt;0,'Boletins Nuppa Site'!G1111,"NULL")</f>
        <v>NULL</v>
      </c>
      <c r="E1111" s="0" t="str">
        <f aca="false">IF('Boletins Nuppa Site'!H1111&lt;&gt;0,'Boletins Nuppa Site'!H1111,"NULL")</f>
        <v>NULL</v>
      </c>
      <c r="F1111" s="0" t="str">
        <f aca="false">IF('Boletins Nuppa Site'!I1111&lt;&gt;0,'Boletins Nuppa Site'!I1111,"NULL")</f>
        <v>NULL</v>
      </c>
      <c r="G1111" s="0" t="str">
        <f aca="false">IF('Boletins Nuppa Site'!J1111&lt;&gt;0,'Boletins Nuppa Site'!J1111,"NULL")</f>
        <v>NULL</v>
      </c>
      <c r="H1111" s="0" t="str">
        <f aca="false">IF('Boletins Nuppa Site'!K1111&lt;&gt;0,'Boletins Nuppa Site'!K1111,"NULL")</f>
        <v>NULL</v>
      </c>
      <c r="I1111" s="0" t="str">
        <f aca="false">"INSERT INTO COTACAO (cot_id, cot_blt_id, cot_pap_id, cot_prc_comum, cot_prc_min, cot_prc_max, cot_prc_med, cot_prc_mediana) VALUES ("&amp;A1111&amp;", "&amp;B1111&amp;", "&amp;C1111&amp;", "&amp;D1111&amp;", "&amp;E1111&amp;", "&amp;F1111&amp;", "&amp;G1111&amp;", "&amp;H1111&amp;");"</f>
        <v>INSERT INTO COTACAO (cot_id, cot_blt_id, cot_pap_id, cot_prc_comum, cot_prc_min, cot_prc_max, cot_prc_med, cot_prc_mediana) VALUES (1110, 65, 38, NULL, NULL, NULL, NULL, NULL);</v>
      </c>
      <c r="J1111" s="0" t="str">
        <f aca="false">"UPDATE COTACAO SET cot_id = "&amp;A1111&amp;", cot_blt_id = "&amp;B1111&amp;", cot_pap_id = "&amp;C1111&amp;", cot_prc_comum = "&amp;D1111&amp;", cot_prc_min = "&amp;E1111&amp;", cot_prc_max = "&amp;F1111&amp;", cot_prc_med = "&amp;G1111&amp;", cot_prc_mediana = "&amp;H1111&amp;" WHERE cot_id = "&amp;A1111&amp;";"</f>
        <v>UPDATE COTACAO SET cot_id = 1110, cot_blt_id = 65, cot_pap_id = 38, cot_prc_comum = NULL, cot_prc_min = NULL, cot_prc_max = NULL, cot_prc_med = NULL, cot_prc_mediana = NULL WHERE cot_id = 1110;</v>
      </c>
    </row>
    <row r="1112" customFormat="false" ht="14.25" hidden="false" customHeight="false" outlineLevel="0" collapsed="false">
      <c r="A1112" s="0" t="n">
        <v>1111</v>
      </c>
      <c r="B1112" s="0" t="n">
        <f aca="false">IF('Boletins Nuppa Site'!A1112&lt;&gt;0,'Boletins Nuppa Site'!A1112,"NULL")</f>
        <v>65</v>
      </c>
      <c r="C1112" s="0" t="n">
        <v>39</v>
      </c>
      <c r="D1112" s="0" t="str">
        <f aca="false">IF('Boletins Nuppa Site'!G1112&lt;&gt;0,'Boletins Nuppa Site'!G1112,"NULL")</f>
        <v>NULL</v>
      </c>
      <c r="E1112" s="30" t="n">
        <f aca="false">IF('Boletins Nuppa Site'!H1112&lt;&gt;0,'Boletins Nuppa Site'!H1112,"NULL")</f>
        <v>60</v>
      </c>
      <c r="F1112" s="30" t="n">
        <f aca="false">IF('Boletins Nuppa Site'!I1112&lt;&gt;0,'Boletins Nuppa Site'!I1112,"NULL")</f>
        <v>60</v>
      </c>
      <c r="G1112" s="30" t="n">
        <f aca="false">IF('Boletins Nuppa Site'!J1112&lt;&gt;0,'Boletins Nuppa Site'!J1112,"NULL")</f>
        <v>60</v>
      </c>
      <c r="H1112" s="30" t="n">
        <f aca="false">IF('Boletins Nuppa Site'!K1112&lt;&gt;0,'Boletins Nuppa Site'!K1112,"NULL")</f>
        <v>60</v>
      </c>
      <c r="I1112" s="0" t="str">
        <f aca="false">"INSERT INTO COTACAO (cot_id, cot_blt_id, cot_pap_id, cot_prc_comum, cot_prc_min, cot_prc_max, cot_prc_med, cot_prc_mediana) VALUES ("&amp;A1112&amp;", "&amp;B1112&amp;", "&amp;C1112&amp;", "&amp;D1112&amp;", "&amp;E1112&amp;", "&amp;F1112&amp;", "&amp;G1112&amp;", "&amp;H1112&amp;");"</f>
        <v>INSERT INTO COTACAO (cot_id, cot_blt_id, cot_pap_id, cot_prc_comum, cot_prc_min, cot_prc_max, cot_prc_med, cot_prc_mediana) VALUES (1111, 65, 39, NULL, 60, 60, 60, 60);</v>
      </c>
      <c r="J1112" s="0" t="str">
        <f aca="false">"UPDATE COTACAO SET cot_id = "&amp;A1112&amp;", cot_blt_id = "&amp;B1112&amp;", cot_pap_id = "&amp;C1112&amp;", cot_prc_comum = "&amp;D1112&amp;", cot_prc_min = "&amp;E1112&amp;", cot_prc_max = "&amp;F1112&amp;", cot_prc_med = "&amp;G1112&amp;", cot_prc_mediana = "&amp;H1112&amp;" WHERE cot_id = "&amp;A1112&amp;";"</f>
        <v>UPDATE COTACAO SET cot_id = 1111, cot_blt_id = 65, cot_pap_id = 39, cot_prc_comum = NULL, cot_prc_min = 60, cot_prc_max = 60, cot_prc_med = 60, cot_prc_mediana = 60 WHERE cot_id = 1111;</v>
      </c>
    </row>
    <row r="1113" customFormat="false" ht="14.25" hidden="false" customHeight="false" outlineLevel="0" collapsed="false">
      <c r="A1113" s="0" t="n">
        <v>1112</v>
      </c>
      <c r="B1113" s="0" t="n">
        <f aca="false">IF('Boletins Nuppa Site'!A1113&lt;&gt;0,'Boletins Nuppa Site'!A1113,"NULL")</f>
        <v>65</v>
      </c>
      <c r="C1113" s="0" t="n">
        <v>40</v>
      </c>
      <c r="D1113" s="0" t="str">
        <f aca="false">IF('Boletins Nuppa Site'!G1113&lt;&gt;0,'Boletins Nuppa Site'!G1113,"NULL")</f>
        <v>NULL</v>
      </c>
      <c r="E1113" s="0" t="str">
        <f aca="false">IF('Boletins Nuppa Site'!H1113&lt;&gt;0,'Boletins Nuppa Site'!H1113,"NULL")</f>
        <v>NULL</v>
      </c>
      <c r="F1113" s="0" t="str">
        <f aca="false">IF('Boletins Nuppa Site'!I1113&lt;&gt;0,'Boletins Nuppa Site'!I1113,"NULL")</f>
        <v>NULL</v>
      </c>
      <c r="G1113" s="0" t="str">
        <f aca="false">IF('Boletins Nuppa Site'!J1113&lt;&gt;0,'Boletins Nuppa Site'!J1113,"NULL")</f>
        <v>NULL</v>
      </c>
      <c r="H1113" s="0" t="str">
        <f aca="false">IF('Boletins Nuppa Site'!K1113&lt;&gt;0,'Boletins Nuppa Site'!K1113,"NULL")</f>
        <v>NULL</v>
      </c>
      <c r="I1113" s="0" t="str">
        <f aca="false">"INSERT INTO COTACAO (cot_id, cot_blt_id, cot_pap_id, cot_prc_comum, cot_prc_min, cot_prc_max, cot_prc_med, cot_prc_mediana) VALUES ("&amp;A1113&amp;", "&amp;B1113&amp;", "&amp;C1113&amp;", "&amp;D1113&amp;", "&amp;E1113&amp;", "&amp;F1113&amp;", "&amp;G1113&amp;", "&amp;H1113&amp;");"</f>
        <v>INSERT INTO COTACAO (cot_id, cot_blt_id, cot_pap_id, cot_prc_comum, cot_prc_min, cot_prc_max, cot_prc_med, cot_prc_mediana) VALUES (1112, 65, 40, NULL, NULL, NULL, NULL, NULL);</v>
      </c>
      <c r="J1113" s="0" t="str">
        <f aca="false">"UPDATE COTACAO SET cot_id = "&amp;A1113&amp;", cot_blt_id = "&amp;B1113&amp;", cot_pap_id = "&amp;C1113&amp;", cot_prc_comum = "&amp;D1113&amp;", cot_prc_min = "&amp;E1113&amp;", cot_prc_max = "&amp;F1113&amp;", cot_prc_med = "&amp;G1113&amp;", cot_prc_mediana = "&amp;H1113&amp;" WHERE cot_id = "&amp;A1113&amp;";"</f>
        <v>UPDATE COTACAO SET cot_id = 1112, cot_blt_id = 65, cot_pap_id = 40, cot_prc_comum = NULL, cot_prc_min = NULL, cot_prc_max = NULL, cot_prc_med = NULL, cot_prc_mediana = NULL WHERE cot_id = 1112;</v>
      </c>
    </row>
    <row r="1114" customFormat="false" ht="14.25" hidden="false" customHeight="false" outlineLevel="0" collapsed="false">
      <c r="A1114" s="0" t="n">
        <v>1113</v>
      </c>
      <c r="B1114" s="0" t="n">
        <f aca="false">IF('Boletins Nuppa Site'!A1114&lt;&gt;0,'Boletins Nuppa Site'!A1114,"NULL")</f>
        <v>66</v>
      </c>
      <c r="C1114" s="0" t="n">
        <v>1</v>
      </c>
      <c r="D1114" s="0" t="str">
        <f aca="false">IF('Boletins Nuppa Site'!G1114&lt;&gt;0,'Boletins Nuppa Site'!G1114,"NULL")</f>
        <v>NULL</v>
      </c>
      <c r="E1114" s="30" t="n">
        <f aca="false">IF('Boletins Nuppa Site'!H1114&lt;&gt;0,'Boletins Nuppa Site'!H1114,"NULL")</f>
        <v>36</v>
      </c>
      <c r="F1114" s="30" t="n">
        <f aca="false">IF('Boletins Nuppa Site'!I1114&lt;&gt;0,'Boletins Nuppa Site'!I1114,"NULL")</f>
        <v>60</v>
      </c>
      <c r="G1114" s="30" t="n">
        <f aca="false">IF('Boletins Nuppa Site'!J1114&lt;&gt;0,'Boletins Nuppa Site'!J1114,"NULL")</f>
        <v>48</v>
      </c>
      <c r="H1114" s="30" t="n">
        <f aca="false">IF('Boletins Nuppa Site'!K1114&lt;&gt;0,'Boletins Nuppa Site'!K1114,"NULL")</f>
        <v>48</v>
      </c>
      <c r="I1114" s="0" t="str">
        <f aca="false">"INSERT INTO COTACAO (cot_id, cot_blt_id, cot_pap_id, cot_prc_comum, cot_prc_min, cot_prc_max, cot_prc_med, cot_prc_mediana) VALUES ("&amp;A1114&amp;", "&amp;B1114&amp;", "&amp;C1114&amp;", "&amp;D1114&amp;", "&amp;E1114&amp;", "&amp;F1114&amp;", "&amp;G1114&amp;", "&amp;H1114&amp;");"</f>
        <v>INSERT INTO COTACAO (cot_id, cot_blt_id, cot_pap_id, cot_prc_comum, cot_prc_min, cot_prc_max, cot_prc_med, cot_prc_mediana) VALUES (1113, 66, 1, NULL, 36, 60, 48, 48);</v>
      </c>
      <c r="J1114" s="0" t="str">
        <f aca="false">"UPDATE COTACAO SET cot_id = "&amp;A1114&amp;", cot_blt_id = "&amp;B1114&amp;", cot_pap_id = "&amp;C1114&amp;", cot_prc_comum = "&amp;D1114&amp;", cot_prc_min = "&amp;E1114&amp;", cot_prc_max = "&amp;F1114&amp;", cot_prc_med = "&amp;G1114&amp;", cot_prc_mediana = "&amp;H1114&amp;" WHERE cot_id = "&amp;A1114&amp;";"</f>
        <v>UPDATE COTACAO SET cot_id = 1113, cot_blt_id = 66, cot_pap_id = 1, cot_prc_comum = NULL, cot_prc_min = 36, cot_prc_max = 60, cot_prc_med = 48, cot_prc_mediana = 48 WHERE cot_id = 1113;</v>
      </c>
    </row>
    <row r="1115" customFormat="false" ht="14.25" hidden="false" customHeight="false" outlineLevel="0" collapsed="false">
      <c r="A1115" s="0" t="n">
        <v>1114</v>
      </c>
      <c r="B1115" s="0" t="n">
        <f aca="false">IF('Boletins Nuppa Site'!A1115&lt;&gt;0,'Boletins Nuppa Site'!A1115,"NULL")</f>
        <v>66</v>
      </c>
      <c r="C1115" s="0" t="n">
        <v>2</v>
      </c>
      <c r="D1115" s="30" t="n">
        <f aca="false">IF('Boletins Nuppa Site'!G1115&lt;&gt;0,'Boletins Nuppa Site'!G1115,"NULL")</f>
        <v>72</v>
      </c>
      <c r="E1115" s="30" t="n">
        <f aca="false">IF('Boletins Nuppa Site'!H1115&lt;&gt;0,'Boletins Nuppa Site'!H1115,"NULL")</f>
        <v>72</v>
      </c>
      <c r="F1115" s="30" t="n">
        <f aca="false">IF('Boletins Nuppa Site'!I1115&lt;&gt;0,'Boletins Nuppa Site'!I1115,"NULL")</f>
        <v>84</v>
      </c>
      <c r="G1115" s="30" t="n">
        <f aca="false">IF('Boletins Nuppa Site'!J1115&lt;&gt;0,'Boletins Nuppa Site'!J1115,"NULL")</f>
        <v>76</v>
      </c>
      <c r="H1115" s="30" t="n">
        <f aca="false">IF('Boletins Nuppa Site'!K1115&lt;&gt;0,'Boletins Nuppa Site'!K1115,"NULL")</f>
        <v>72</v>
      </c>
      <c r="I1115" s="0" t="str">
        <f aca="false">"INSERT INTO COTACAO (cot_id, cot_blt_id, cot_pap_id, cot_prc_comum, cot_prc_min, cot_prc_max, cot_prc_med, cot_prc_mediana) VALUES ("&amp;A1115&amp;", "&amp;B1115&amp;", "&amp;C1115&amp;", "&amp;D1115&amp;", "&amp;E1115&amp;", "&amp;F1115&amp;", "&amp;G1115&amp;", "&amp;H1115&amp;");"</f>
        <v>INSERT INTO COTACAO (cot_id, cot_blt_id, cot_pap_id, cot_prc_comum, cot_prc_min, cot_prc_max, cot_prc_med, cot_prc_mediana) VALUES (1114, 66, 2, 72, 72, 84, 76, 72);</v>
      </c>
      <c r="J1115" s="0" t="str">
        <f aca="false">"UPDATE COTACAO SET cot_id = "&amp;A1115&amp;", cot_blt_id = "&amp;B1115&amp;", cot_pap_id = "&amp;C1115&amp;", cot_prc_comum = "&amp;D1115&amp;", cot_prc_min = "&amp;E1115&amp;", cot_prc_max = "&amp;F1115&amp;", cot_prc_med = "&amp;G1115&amp;", cot_prc_mediana = "&amp;H1115&amp;" WHERE cot_id = "&amp;A1115&amp;";"</f>
        <v>UPDATE COTACAO SET cot_id = 1114, cot_blt_id = 66, cot_pap_id = 2, cot_prc_comum = 72, cot_prc_min = 72, cot_prc_max = 84, cot_prc_med = 76, cot_prc_mediana = 72 WHERE cot_id = 1114;</v>
      </c>
    </row>
    <row r="1116" customFormat="false" ht="14.25" hidden="false" customHeight="false" outlineLevel="0" collapsed="false">
      <c r="A1116" s="0" t="n">
        <v>1115</v>
      </c>
      <c r="B1116" s="0" t="n">
        <f aca="false">IF('Boletins Nuppa Site'!A1116&lt;&gt;0,'Boletins Nuppa Site'!A1116,"NULL")</f>
        <v>66</v>
      </c>
      <c r="C1116" s="0" t="n">
        <v>3</v>
      </c>
      <c r="D1116" s="30" t="n">
        <f aca="false">IF('Boletins Nuppa Site'!G1116&lt;&gt;0,'Boletins Nuppa Site'!G1116,"NULL")</f>
        <v>36</v>
      </c>
      <c r="E1116" s="30" t="n">
        <f aca="false">IF('Boletins Nuppa Site'!H1116&lt;&gt;0,'Boletins Nuppa Site'!H1116,"NULL")</f>
        <v>30</v>
      </c>
      <c r="F1116" s="30" t="n">
        <f aca="false">IF('Boletins Nuppa Site'!I1116&lt;&gt;0,'Boletins Nuppa Site'!I1116,"NULL")</f>
        <v>42</v>
      </c>
      <c r="G1116" s="30" t="n">
        <f aca="false">IF('Boletins Nuppa Site'!J1116&lt;&gt;0,'Boletins Nuppa Site'!J1116,"NULL")</f>
        <v>36</v>
      </c>
      <c r="H1116" s="30" t="n">
        <f aca="false">IF('Boletins Nuppa Site'!K1116&lt;&gt;0,'Boletins Nuppa Site'!K1116,"NULL")</f>
        <v>36</v>
      </c>
      <c r="I1116" s="0" t="str">
        <f aca="false">"INSERT INTO COTACAO (cot_id, cot_blt_id, cot_pap_id, cot_prc_comum, cot_prc_min, cot_prc_max, cot_prc_med, cot_prc_mediana) VALUES ("&amp;A1116&amp;", "&amp;B1116&amp;", "&amp;C1116&amp;", "&amp;D1116&amp;", "&amp;E1116&amp;", "&amp;F1116&amp;", "&amp;G1116&amp;", "&amp;H1116&amp;");"</f>
        <v>INSERT INTO COTACAO (cot_id, cot_blt_id, cot_pap_id, cot_prc_comum, cot_prc_min, cot_prc_max, cot_prc_med, cot_prc_mediana) VALUES (1115, 66, 3, 36, 30, 42, 36, 36);</v>
      </c>
      <c r="J1116" s="0" t="str">
        <f aca="false">"UPDATE COTACAO SET cot_id = "&amp;A1116&amp;", cot_blt_id = "&amp;B1116&amp;", cot_pap_id = "&amp;C1116&amp;", cot_prc_comum = "&amp;D1116&amp;", cot_prc_min = "&amp;E1116&amp;", cot_prc_max = "&amp;F1116&amp;", cot_prc_med = "&amp;G1116&amp;", cot_prc_mediana = "&amp;H1116&amp;" WHERE cot_id = "&amp;A1116&amp;";"</f>
        <v>UPDATE COTACAO SET cot_id = 1115, cot_blt_id = 66, cot_pap_id = 3, cot_prc_comum = 36, cot_prc_min = 30, cot_prc_max = 42, cot_prc_med = 36, cot_prc_mediana = 36 WHERE cot_id = 1115;</v>
      </c>
    </row>
    <row r="1117" customFormat="false" ht="14.25" hidden="false" customHeight="false" outlineLevel="0" collapsed="false">
      <c r="A1117" s="0" t="n">
        <v>1116</v>
      </c>
      <c r="B1117" s="0" t="n">
        <f aca="false">IF('Boletins Nuppa Site'!A1117&lt;&gt;0,'Boletins Nuppa Site'!A1117,"NULL")</f>
        <v>66</v>
      </c>
      <c r="C1117" s="0" t="n">
        <v>4</v>
      </c>
      <c r="D1117" s="30" t="n">
        <f aca="false">IF('Boletins Nuppa Site'!G1117&lt;&gt;0,'Boletins Nuppa Site'!G1117,"NULL")</f>
        <v>18</v>
      </c>
      <c r="E1117" s="30" t="n">
        <f aca="false">IF('Boletins Nuppa Site'!H1117&lt;&gt;0,'Boletins Nuppa Site'!H1117,"NULL")</f>
        <v>18</v>
      </c>
      <c r="F1117" s="30" t="n">
        <f aca="false">IF('Boletins Nuppa Site'!I1117&lt;&gt;0,'Boletins Nuppa Site'!I1117,"NULL")</f>
        <v>24</v>
      </c>
      <c r="G1117" s="30" t="n">
        <f aca="false">IF('Boletins Nuppa Site'!J1117&lt;&gt;0,'Boletins Nuppa Site'!J1117,"NULL")</f>
        <v>21</v>
      </c>
      <c r="H1117" s="30" t="n">
        <f aca="false">IF('Boletins Nuppa Site'!K1117&lt;&gt;0,'Boletins Nuppa Site'!K1117,"NULL")</f>
        <v>21</v>
      </c>
      <c r="I1117" s="0" t="str">
        <f aca="false">"INSERT INTO COTACAO (cot_id, cot_blt_id, cot_pap_id, cot_prc_comum, cot_prc_min, cot_prc_max, cot_prc_med, cot_prc_mediana) VALUES ("&amp;A1117&amp;", "&amp;B1117&amp;", "&amp;C1117&amp;", "&amp;D1117&amp;", "&amp;E1117&amp;", "&amp;F1117&amp;", "&amp;G1117&amp;", "&amp;H1117&amp;");"</f>
        <v>INSERT INTO COTACAO (cot_id, cot_blt_id, cot_pap_id, cot_prc_comum, cot_prc_min, cot_prc_max, cot_prc_med, cot_prc_mediana) VALUES (1116, 66, 4, 18, 18, 24, 21, 21);</v>
      </c>
      <c r="J1117" s="0" t="str">
        <f aca="false">"UPDATE COTACAO SET cot_id = "&amp;A1117&amp;", cot_blt_id = "&amp;B1117&amp;", cot_pap_id = "&amp;C1117&amp;", cot_prc_comum = "&amp;D1117&amp;", cot_prc_min = "&amp;E1117&amp;", cot_prc_max = "&amp;F1117&amp;", cot_prc_med = "&amp;G1117&amp;", cot_prc_mediana = "&amp;H1117&amp;" WHERE cot_id = "&amp;A1117&amp;";"</f>
        <v>UPDATE COTACAO SET cot_id = 1116, cot_blt_id = 66, cot_pap_id = 4, cot_prc_comum = 18, cot_prc_min = 18, cot_prc_max = 24, cot_prc_med = 21, cot_prc_mediana = 21 WHERE cot_id = 1116;</v>
      </c>
    </row>
    <row r="1118" customFormat="false" ht="14.25" hidden="false" customHeight="false" outlineLevel="0" collapsed="false">
      <c r="A1118" s="0" t="n">
        <v>1117</v>
      </c>
      <c r="B1118" s="0" t="n">
        <f aca="false">IF('Boletins Nuppa Site'!A1118&lt;&gt;0,'Boletins Nuppa Site'!A1118,"NULL")</f>
        <v>66</v>
      </c>
      <c r="C1118" s="0" t="n">
        <v>5</v>
      </c>
      <c r="D1118" s="30" t="n">
        <f aca="false">IF('Boletins Nuppa Site'!G1118&lt;&gt;0,'Boletins Nuppa Site'!G1118,"NULL")</f>
        <v>24</v>
      </c>
      <c r="E1118" s="30" t="n">
        <f aca="false">IF('Boletins Nuppa Site'!H1118&lt;&gt;0,'Boletins Nuppa Site'!H1118,"NULL")</f>
        <v>18</v>
      </c>
      <c r="F1118" s="30" t="n">
        <f aca="false">IF('Boletins Nuppa Site'!I1118&lt;&gt;0,'Boletins Nuppa Site'!I1118,"NULL")</f>
        <v>24</v>
      </c>
      <c r="G1118" s="30" t="n">
        <f aca="false">IF('Boletins Nuppa Site'!J1118&lt;&gt;0,'Boletins Nuppa Site'!J1118,"NULL")</f>
        <v>22</v>
      </c>
      <c r="H1118" s="30" t="n">
        <f aca="false">IF('Boletins Nuppa Site'!K1118&lt;&gt;0,'Boletins Nuppa Site'!K1118,"NULL")</f>
        <v>24</v>
      </c>
      <c r="I1118" s="0" t="str">
        <f aca="false">"INSERT INTO COTACAO (cot_id, cot_blt_id, cot_pap_id, cot_prc_comum, cot_prc_min, cot_prc_max, cot_prc_med, cot_prc_mediana) VALUES ("&amp;A1118&amp;", "&amp;B1118&amp;", "&amp;C1118&amp;", "&amp;D1118&amp;", "&amp;E1118&amp;", "&amp;F1118&amp;", "&amp;G1118&amp;", "&amp;H1118&amp;");"</f>
        <v>INSERT INTO COTACAO (cot_id, cot_blt_id, cot_pap_id, cot_prc_comum, cot_prc_min, cot_prc_max, cot_prc_med, cot_prc_mediana) VALUES (1117, 66, 5, 24, 18, 24, 22, 24);</v>
      </c>
      <c r="J1118" s="0" t="str">
        <f aca="false">"UPDATE COTACAO SET cot_id = "&amp;A1118&amp;", cot_blt_id = "&amp;B1118&amp;", cot_pap_id = "&amp;C1118&amp;", cot_prc_comum = "&amp;D1118&amp;", cot_prc_min = "&amp;E1118&amp;", cot_prc_max = "&amp;F1118&amp;", cot_prc_med = "&amp;G1118&amp;", cot_prc_mediana = "&amp;H1118&amp;" WHERE cot_id = "&amp;A1118&amp;";"</f>
        <v>UPDATE COTACAO SET cot_id = 1117, cot_blt_id = 66, cot_pap_id = 5, cot_prc_comum = 24, cot_prc_min = 18, cot_prc_max = 24, cot_prc_med = 22, cot_prc_mediana = 24 WHERE cot_id = 1117;</v>
      </c>
    </row>
    <row r="1119" customFormat="false" ht="14.25" hidden="false" customHeight="false" outlineLevel="0" collapsed="false">
      <c r="A1119" s="0" t="n">
        <v>1118</v>
      </c>
      <c r="B1119" s="0" t="n">
        <f aca="false">IF('Boletins Nuppa Site'!A1119&lt;&gt;0,'Boletins Nuppa Site'!A1119,"NULL")</f>
        <v>66</v>
      </c>
      <c r="C1119" s="0" t="n">
        <v>6</v>
      </c>
      <c r="D1119" s="30" t="n">
        <f aca="false">IF('Boletins Nuppa Site'!G1119&lt;&gt;0,'Boletins Nuppa Site'!G1119,"NULL")</f>
        <v>60</v>
      </c>
      <c r="E1119" s="30" t="n">
        <f aca="false">IF('Boletins Nuppa Site'!H1119&lt;&gt;0,'Boletins Nuppa Site'!H1119,"NULL")</f>
        <v>60</v>
      </c>
      <c r="F1119" s="30" t="n">
        <f aca="false">IF('Boletins Nuppa Site'!I1119&lt;&gt;0,'Boletins Nuppa Site'!I1119,"NULL")</f>
        <v>60</v>
      </c>
      <c r="G1119" s="30" t="n">
        <f aca="false">IF('Boletins Nuppa Site'!J1119&lt;&gt;0,'Boletins Nuppa Site'!J1119,"NULL")</f>
        <v>60</v>
      </c>
      <c r="H1119" s="30" t="n">
        <f aca="false">IF('Boletins Nuppa Site'!K1119&lt;&gt;0,'Boletins Nuppa Site'!K1119,"NULL")</f>
        <v>60</v>
      </c>
      <c r="I1119" s="0" t="str">
        <f aca="false">"INSERT INTO COTACAO (cot_id, cot_blt_id, cot_pap_id, cot_prc_comum, cot_prc_min, cot_prc_max, cot_prc_med, cot_prc_mediana) VALUES ("&amp;A1119&amp;", "&amp;B1119&amp;", "&amp;C1119&amp;", "&amp;D1119&amp;", "&amp;E1119&amp;", "&amp;F1119&amp;", "&amp;G1119&amp;", "&amp;H1119&amp;");"</f>
        <v>INSERT INTO COTACAO (cot_id, cot_blt_id, cot_pap_id, cot_prc_comum, cot_prc_min, cot_prc_max, cot_prc_med, cot_prc_mediana) VALUES (1118, 66, 6, 60, 60, 60, 60, 60);</v>
      </c>
      <c r="J1119" s="0" t="str">
        <f aca="false">"UPDATE COTACAO SET cot_id = "&amp;A1119&amp;", cot_blt_id = "&amp;B1119&amp;", cot_pap_id = "&amp;C1119&amp;", cot_prc_comum = "&amp;D1119&amp;", cot_prc_min = "&amp;E1119&amp;", cot_prc_max = "&amp;F1119&amp;", cot_prc_med = "&amp;G1119&amp;", cot_prc_mediana = "&amp;H1119&amp;" WHERE cot_id = "&amp;A1119&amp;";"</f>
        <v>UPDATE COTACAO SET cot_id = 1118, cot_blt_id = 66, cot_pap_id = 6, cot_prc_comum = 60, cot_prc_min = 60, cot_prc_max = 60, cot_prc_med = 60, cot_prc_mediana = 60 WHERE cot_id = 1118;</v>
      </c>
    </row>
    <row r="1120" customFormat="false" ht="14.25" hidden="false" customHeight="false" outlineLevel="0" collapsed="false">
      <c r="A1120" s="0" t="n">
        <v>1119</v>
      </c>
      <c r="B1120" s="0" t="n">
        <f aca="false">IF('Boletins Nuppa Site'!A1120&lt;&gt;0,'Boletins Nuppa Site'!A1120,"NULL")</f>
        <v>66</v>
      </c>
      <c r="C1120" s="0" t="n">
        <v>7</v>
      </c>
      <c r="D1120" s="30" t="n">
        <f aca="false">IF('Boletins Nuppa Site'!G1120&lt;&gt;0,'Boletins Nuppa Site'!G1120,"NULL")</f>
        <v>60</v>
      </c>
      <c r="E1120" s="30" t="n">
        <f aca="false">IF('Boletins Nuppa Site'!H1120&lt;&gt;0,'Boletins Nuppa Site'!H1120,"NULL")</f>
        <v>48</v>
      </c>
      <c r="F1120" s="30" t="n">
        <f aca="false">IF('Boletins Nuppa Site'!I1120&lt;&gt;0,'Boletins Nuppa Site'!I1120,"NULL")</f>
        <v>66</v>
      </c>
      <c r="G1120" s="0" t="str">
        <f aca="false">IF('Boletins Nuppa Site'!J1120&lt;&gt;0,'Boletins Nuppa Site'!J1120,"NULL")</f>
        <v>58.5</v>
      </c>
      <c r="H1120" s="30" t="n">
        <f aca="false">IF('Boletins Nuppa Site'!K1120&lt;&gt;0,'Boletins Nuppa Site'!K1120,"NULL")</f>
        <v>60</v>
      </c>
      <c r="I1120" s="0" t="str">
        <f aca="false">"INSERT INTO COTACAO (cot_id, cot_blt_id, cot_pap_id, cot_prc_comum, cot_prc_min, cot_prc_max, cot_prc_med, cot_prc_mediana) VALUES ("&amp;A1120&amp;", "&amp;B1120&amp;", "&amp;C1120&amp;", "&amp;D1120&amp;", "&amp;E1120&amp;", "&amp;F1120&amp;", "&amp;G1120&amp;", "&amp;H1120&amp;");"</f>
        <v>INSERT INTO COTACAO (cot_id, cot_blt_id, cot_pap_id, cot_prc_comum, cot_prc_min, cot_prc_max, cot_prc_med, cot_prc_mediana) VALUES (1119, 66, 7, 60, 48, 66, 58.5, 60);</v>
      </c>
      <c r="J1120" s="0" t="str">
        <f aca="false">"UPDATE COTACAO SET cot_id = "&amp;A1120&amp;", cot_blt_id = "&amp;B1120&amp;", cot_pap_id = "&amp;C1120&amp;", cot_prc_comum = "&amp;D1120&amp;", cot_prc_min = "&amp;E1120&amp;", cot_prc_max = "&amp;F1120&amp;", cot_prc_med = "&amp;G1120&amp;", cot_prc_mediana = "&amp;H1120&amp;" WHERE cot_id = "&amp;A1120&amp;";"</f>
        <v>UPDATE COTACAO SET cot_id = 1119, cot_blt_id = 66, cot_pap_id = 7, cot_prc_comum = 60, cot_prc_min = 48, cot_prc_max = 66, cot_prc_med = 58.5, cot_prc_mediana = 60 WHERE cot_id = 1119;</v>
      </c>
    </row>
    <row r="1121" customFormat="false" ht="14.25" hidden="false" customHeight="false" outlineLevel="0" collapsed="false">
      <c r="A1121" s="0" t="n">
        <v>1120</v>
      </c>
      <c r="B1121" s="0" t="n">
        <f aca="false">IF('Boletins Nuppa Site'!A1121&lt;&gt;0,'Boletins Nuppa Site'!A1121,"NULL")</f>
        <v>66</v>
      </c>
      <c r="C1121" s="0" t="n">
        <v>8</v>
      </c>
      <c r="D1121" s="30" t="n">
        <f aca="false">IF('Boletins Nuppa Site'!G1121&lt;&gt;0,'Boletins Nuppa Site'!G1121,"NULL")</f>
        <v>60</v>
      </c>
      <c r="E1121" s="30" t="n">
        <f aca="false">IF('Boletins Nuppa Site'!H1121&lt;&gt;0,'Boletins Nuppa Site'!H1121,"NULL")</f>
        <v>60</v>
      </c>
      <c r="F1121" s="30" t="n">
        <f aca="false">IF('Boletins Nuppa Site'!I1121&lt;&gt;0,'Boletins Nuppa Site'!I1121,"NULL")</f>
        <v>72</v>
      </c>
      <c r="G1121" s="30" t="n">
        <f aca="false">IF('Boletins Nuppa Site'!J1121&lt;&gt;0,'Boletins Nuppa Site'!J1121,"NULL")</f>
        <v>66</v>
      </c>
      <c r="H1121" s="30" t="n">
        <f aca="false">IF('Boletins Nuppa Site'!K1121&lt;&gt;0,'Boletins Nuppa Site'!K1121,"NULL")</f>
        <v>66</v>
      </c>
      <c r="I1121" s="0" t="str">
        <f aca="false">"INSERT INTO COTACAO (cot_id, cot_blt_id, cot_pap_id, cot_prc_comum, cot_prc_min, cot_prc_max, cot_prc_med, cot_prc_mediana) VALUES ("&amp;A1121&amp;", "&amp;B1121&amp;", "&amp;C1121&amp;", "&amp;D1121&amp;", "&amp;E1121&amp;", "&amp;F1121&amp;", "&amp;G1121&amp;", "&amp;H1121&amp;");"</f>
        <v>INSERT INTO COTACAO (cot_id, cot_blt_id, cot_pap_id, cot_prc_comum, cot_prc_min, cot_prc_max, cot_prc_med, cot_prc_mediana) VALUES (1120, 66, 8, 60, 60, 72, 66, 66);</v>
      </c>
      <c r="J1121" s="0" t="str">
        <f aca="false">"UPDATE COTACAO SET cot_id = "&amp;A1121&amp;", cot_blt_id = "&amp;B1121&amp;", cot_pap_id = "&amp;C1121&amp;", cot_prc_comum = "&amp;D1121&amp;", cot_prc_min = "&amp;E1121&amp;", cot_prc_max = "&amp;F1121&amp;", cot_prc_med = "&amp;G1121&amp;", cot_prc_mediana = "&amp;H1121&amp;" WHERE cot_id = "&amp;A1121&amp;";"</f>
        <v>UPDATE COTACAO SET cot_id = 1120, cot_blt_id = 66, cot_pap_id = 8, cot_prc_comum = 60, cot_prc_min = 60, cot_prc_max = 72, cot_prc_med = 66, cot_prc_mediana = 66 WHERE cot_id = 1120;</v>
      </c>
    </row>
    <row r="1122" customFormat="false" ht="14.25" hidden="false" customHeight="false" outlineLevel="0" collapsed="false">
      <c r="A1122" s="0" t="n">
        <v>1121</v>
      </c>
      <c r="B1122" s="0" t="n">
        <f aca="false">IF('Boletins Nuppa Site'!A1122&lt;&gt;0,'Boletins Nuppa Site'!A1122,"NULL")</f>
        <v>66</v>
      </c>
      <c r="C1122" s="0" t="n">
        <v>9</v>
      </c>
      <c r="D1122" s="30" t="n">
        <f aca="false">IF('Boletins Nuppa Site'!G1122&lt;&gt;0,'Boletins Nuppa Site'!G1122,"NULL")</f>
        <v>18</v>
      </c>
      <c r="E1122" s="30" t="n">
        <f aca="false">IF('Boletins Nuppa Site'!H1122&lt;&gt;0,'Boletins Nuppa Site'!H1122,"NULL")</f>
        <v>18</v>
      </c>
      <c r="F1122" s="30" t="n">
        <f aca="false">IF('Boletins Nuppa Site'!I1122&lt;&gt;0,'Boletins Nuppa Site'!I1122,"NULL")</f>
        <v>24</v>
      </c>
      <c r="G1122" s="30" t="n">
        <f aca="false">IF('Boletins Nuppa Site'!J1122&lt;&gt;0,'Boletins Nuppa Site'!J1122,"NULL")</f>
        <v>20</v>
      </c>
      <c r="H1122" s="30" t="n">
        <f aca="false">IF('Boletins Nuppa Site'!K1122&lt;&gt;0,'Boletins Nuppa Site'!K1122,"NULL")</f>
        <v>19</v>
      </c>
      <c r="I1122" s="0" t="str">
        <f aca="false">"INSERT INTO COTACAO (cot_id, cot_blt_id, cot_pap_id, cot_prc_comum, cot_prc_min, cot_prc_max, cot_prc_med, cot_prc_mediana) VALUES ("&amp;A1122&amp;", "&amp;B1122&amp;", "&amp;C1122&amp;", "&amp;D1122&amp;", "&amp;E1122&amp;", "&amp;F1122&amp;", "&amp;G1122&amp;", "&amp;H1122&amp;");"</f>
        <v>INSERT INTO COTACAO (cot_id, cot_blt_id, cot_pap_id, cot_prc_comum, cot_prc_min, cot_prc_max, cot_prc_med, cot_prc_mediana) VALUES (1121, 66, 9, 18, 18, 24, 20, 19);</v>
      </c>
      <c r="J1122" s="0" t="str">
        <f aca="false">"UPDATE COTACAO SET cot_id = "&amp;A1122&amp;", cot_blt_id = "&amp;B1122&amp;", cot_pap_id = "&amp;C1122&amp;", cot_prc_comum = "&amp;D1122&amp;", cot_prc_min = "&amp;E1122&amp;", cot_prc_max = "&amp;F1122&amp;", cot_prc_med = "&amp;G1122&amp;", cot_prc_mediana = "&amp;H1122&amp;" WHERE cot_id = "&amp;A1122&amp;";"</f>
        <v>UPDATE COTACAO SET cot_id = 1121, cot_blt_id = 66, cot_pap_id = 9, cot_prc_comum = 18, cot_prc_min = 18, cot_prc_max = 24, cot_prc_med = 20, cot_prc_mediana = 19 WHERE cot_id = 1121;</v>
      </c>
    </row>
    <row r="1123" customFormat="false" ht="14.25" hidden="false" customHeight="false" outlineLevel="0" collapsed="false">
      <c r="A1123" s="0" t="n">
        <v>1122</v>
      </c>
      <c r="B1123" s="0" t="n">
        <f aca="false">IF('Boletins Nuppa Site'!A1123&lt;&gt;0,'Boletins Nuppa Site'!A1123,"NULL")</f>
        <v>66</v>
      </c>
      <c r="C1123" s="0" t="n">
        <v>10</v>
      </c>
      <c r="D1123" s="0" t="str">
        <f aca="false">IF('Boletins Nuppa Site'!G1123&lt;&gt;0,'Boletins Nuppa Site'!G1123,"NULL")</f>
        <v>NULL</v>
      </c>
      <c r="E1123" s="30" t="n">
        <f aca="false">IF('Boletins Nuppa Site'!H1123&lt;&gt;0,'Boletins Nuppa Site'!H1123,"NULL")</f>
        <v>48</v>
      </c>
      <c r="F1123" s="30" t="n">
        <f aca="false">IF('Boletins Nuppa Site'!I1123&lt;&gt;0,'Boletins Nuppa Site'!I1123,"NULL")</f>
        <v>72</v>
      </c>
      <c r="G1123" s="0" t="str">
        <f aca="false">IF('Boletins Nuppa Site'!J1123&lt;&gt;0,'Boletins Nuppa Site'!J1123,"NULL")</f>
        <v>56.67</v>
      </c>
      <c r="H1123" s="30" t="n">
        <f aca="false">IF('Boletins Nuppa Site'!K1123&lt;&gt;0,'Boletins Nuppa Site'!K1123,"NULL")</f>
        <v>50</v>
      </c>
      <c r="I1123" s="0" t="str">
        <f aca="false">"INSERT INTO COTACAO (cot_id, cot_blt_id, cot_pap_id, cot_prc_comum, cot_prc_min, cot_prc_max, cot_prc_med, cot_prc_mediana) VALUES ("&amp;A1123&amp;", "&amp;B1123&amp;", "&amp;C1123&amp;", "&amp;D1123&amp;", "&amp;E1123&amp;", "&amp;F1123&amp;", "&amp;G1123&amp;", "&amp;H1123&amp;");"</f>
        <v>INSERT INTO COTACAO (cot_id, cot_blt_id, cot_pap_id, cot_prc_comum, cot_prc_min, cot_prc_max, cot_prc_med, cot_prc_mediana) VALUES (1122, 66, 10, NULL, 48, 72, 56.67, 50);</v>
      </c>
      <c r="J1123" s="0" t="str">
        <f aca="false">"UPDATE COTACAO SET cot_id = "&amp;A1123&amp;", cot_blt_id = "&amp;B1123&amp;", cot_pap_id = "&amp;C1123&amp;", cot_prc_comum = "&amp;D1123&amp;", cot_prc_min = "&amp;E1123&amp;", cot_prc_max = "&amp;F1123&amp;", cot_prc_med = "&amp;G1123&amp;", cot_prc_mediana = "&amp;H1123&amp;" WHERE cot_id = "&amp;A1123&amp;";"</f>
        <v>UPDATE COTACAO SET cot_id = 1122, cot_blt_id = 66, cot_pap_id = 10, cot_prc_comum = NULL, cot_prc_min = 48, cot_prc_max = 72, cot_prc_med = 56.67, cot_prc_mediana = 50 WHERE cot_id = 1122;</v>
      </c>
    </row>
    <row r="1124" customFormat="false" ht="14.25" hidden="false" customHeight="false" outlineLevel="0" collapsed="false">
      <c r="A1124" s="0" t="n">
        <v>1123</v>
      </c>
      <c r="B1124" s="0" t="n">
        <f aca="false">IF('Boletins Nuppa Site'!A1124&lt;&gt;0,'Boletins Nuppa Site'!A1124,"NULL")</f>
        <v>66</v>
      </c>
      <c r="C1124" s="0" t="n">
        <v>11</v>
      </c>
      <c r="D1124" s="30" t="n">
        <f aca="false">IF('Boletins Nuppa Site'!G1124&lt;&gt;0,'Boletins Nuppa Site'!G1124,"NULL")</f>
        <v>18</v>
      </c>
      <c r="E1124" s="30" t="n">
        <f aca="false">IF('Boletins Nuppa Site'!H1124&lt;&gt;0,'Boletins Nuppa Site'!H1124,"NULL")</f>
        <v>18</v>
      </c>
      <c r="F1124" s="30" t="n">
        <f aca="false">IF('Boletins Nuppa Site'!I1124&lt;&gt;0,'Boletins Nuppa Site'!I1124,"NULL")</f>
        <v>24</v>
      </c>
      <c r="G1124" s="30" t="n">
        <f aca="false">IF('Boletins Nuppa Site'!J1124&lt;&gt;0,'Boletins Nuppa Site'!J1124,"NULL")</f>
        <v>21</v>
      </c>
      <c r="H1124" s="30" t="n">
        <f aca="false">IF('Boletins Nuppa Site'!K1124&lt;&gt;0,'Boletins Nuppa Site'!K1124,"NULL")</f>
        <v>21</v>
      </c>
      <c r="I1124" s="0" t="str">
        <f aca="false">"INSERT INTO COTACAO (cot_id, cot_blt_id, cot_pap_id, cot_prc_comum, cot_prc_min, cot_prc_max, cot_prc_med, cot_prc_mediana) VALUES ("&amp;A1124&amp;", "&amp;B1124&amp;", "&amp;C1124&amp;", "&amp;D1124&amp;", "&amp;E1124&amp;", "&amp;F1124&amp;", "&amp;G1124&amp;", "&amp;H1124&amp;");"</f>
        <v>INSERT INTO COTACAO (cot_id, cot_blt_id, cot_pap_id, cot_prc_comum, cot_prc_min, cot_prc_max, cot_prc_med, cot_prc_mediana) VALUES (1123, 66, 11, 18, 18, 24, 21, 21);</v>
      </c>
      <c r="J1124" s="0" t="str">
        <f aca="false">"UPDATE COTACAO SET cot_id = "&amp;A1124&amp;", cot_blt_id = "&amp;B1124&amp;", cot_pap_id = "&amp;C1124&amp;", cot_prc_comum = "&amp;D1124&amp;", cot_prc_min = "&amp;E1124&amp;", cot_prc_max = "&amp;F1124&amp;", cot_prc_med = "&amp;G1124&amp;", cot_prc_mediana = "&amp;H1124&amp;" WHERE cot_id = "&amp;A1124&amp;";"</f>
        <v>UPDATE COTACAO SET cot_id = 1123, cot_blt_id = 66, cot_pap_id = 11, cot_prc_comum = 18, cot_prc_min = 18, cot_prc_max = 24, cot_prc_med = 21, cot_prc_mediana = 21 WHERE cot_id = 1123;</v>
      </c>
    </row>
    <row r="1125" customFormat="false" ht="14.25" hidden="false" customHeight="false" outlineLevel="0" collapsed="false">
      <c r="A1125" s="0" t="n">
        <v>1124</v>
      </c>
      <c r="B1125" s="0" t="n">
        <f aca="false">IF('Boletins Nuppa Site'!A1125&lt;&gt;0,'Boletins Nuppa Site'!A1125,"NULL")</f>
        <v>66</v>
      </c>
      <c r="C1125" s="0" t="n">
        <v>12</v>
      </c>
      <c r="D1125" s="30" t="n">
        <f aca="false">IF('Boletins Nuppa Site'!G1125&lt;&gt;0,'Boletins Nuppa Site'!G1125,"NULL")</f>
        <v>60</v>
      </c>
      <c r="E1125" s="30" t="n">
        <f aca="false">IF('Boletins Nuppa Site'!H1125&lt;&gt;0,'Boletins Nuppa Site'!H1125,"NULL")</f>
        <v>48</v>
      </c>
      <c r="F1125" s="30" t="n">
        <f aca="false">IF('Boletins Nuppa Site'!I1125&lt;&gt;0,'Boletins Nuppa Site'!I1125,"NULL")</f>
        <v>60</v>
      </c>
      <c r="G1125" s="30" t="n">
        <f aca="false">IF('Boletins Nuppa Site'!J1125&lt;&gt;0,'Boletins Nuppa Site'!J1125,"NULL")</f>
        <v>56</v>
      </c>
      <c r="H1125" s="30" t="n">
        <f aca="false">IF('Boletins Nuppa Site'!K1125&lt;&gt;0,'Boletins Nuppa Site'!K1125,"NULL")</f>
        <v>60</v>
      </c>
      <c r="I1125" s="0" t="str">
        <f aca="false">"INSERT INTO COTACAO (cot_id, cot_blt_id, cot_pap_id, cot_prc_comum, cot_prc_min, cot_prc_max, cot_prc_med, cot_prc_mediana) VALUES ("&amp;A1125&amp;", "&amp;B1125&amp;", "&amp;C1125&amp;", "&amp;D1125&amp;", "&amp;E1125&amp;", "&amp;F1125&amp;", "&amp;G1125&amp;", "&amp;H1125&amp;");"</f>
        <v>INSERT INTO COTACAO (cot_id, cot_blt_id, cot_pap_id, cot_prc_comum, cot_prc_min, cot_prc_max, cot_prc_med, cot_prc_mediana) VALUES (1124, 66, 12, 60, 48, 60, 56, 60);</v>
      </c>
      <c r="J1125" s="0" t="str">
        <f aca="false">"UPDATE COTACAO SET cot_id = "&amp;A1125&amp;", cot_blt_id = "&amp;B1125&amp;", cot_pap_id = "&amp;C1125&amp;", cot_prc_comum = "&amp;D1125&amp;", cot_prc_min = "&amp;E1125&amp;", cot_prc_max = "&amp;F1125&amp;", cot_prc_med = "&amp;G1125&amp;", cot_prc_mediana = "&amp;H1125&amp;" WHERE cot_id = "&amp;A1125&amp;";"</f>
        <v>UPDATE COTACAO SET cot_id = 1124, cot_blt_id = 66, cot_pap_id = 12, cot_prc_comum = 60, cot_prc_min = 48, cot_prc_max = 60, cot_prc_med = 56, cot_prc_mediana = 60 WHERE cot_id = 1124;</v>
      </c>
    </row>
    <row r="1126" customFormat="false" ht="14.25" hidden="false" customHeight="false" outlineLevel="0" collapsed="false">
      <c r="A1126" s="0" t="n">
        <v>1125</v>
      </c>
      <c r="B1126" s="0" t="n">
        <f aca="false">IF('Boletins Nuppa Site'!A1126&lt;&gt;0,'Boletins Nuppa Site'!A1126,"NULL")</f>
        <v>66</v>
      </c>
      <c r="C1126" s="0" t="n">
        <v>13</v>
      </c>
      <c r="D1126" s="30" t="n">
        <f aca="false">IF('Boletins Nuppa Site'!G1126&lt;&gt;0,'Boletins Nuppa Site'!G1126,"NULL")</f>
        <v>48</v>
      </c>
      <c r="E1126" s="30" t="n">
        <f aca="false">IF('Boletins Nuppa Site'!H1126&lt;&gt;0,'Boletins Nuppa Site'!H1126,"NULL")</f>
        <v>48</v>
      </c>
      <c r="F1126" s="30" t="n">
        <f aca="false">IF('Boletins Nuppa Site'!I1126&lt;&gt;0,'Boletins Nuppa Site'!I1126,"NULL")</f>
        <v>60</v>
      </c>
      <c r="G1126" s="30" t="n">
        <f aca="false">IF('Boletins Nuppa Site'!J1126&lt;&gt;0,'Boletins Nuppa Site'!J1126,"NULL")</f>
        <v>54</v>
      </c>
      <c r="H1126" s="30" t="n">
        <f aca="false">IF('Boletins Nuppa Site'!K1126&lt;&gt;0,'Boletins Nuppa Site'!K1126,"NULL")</f>
        <v>54</v>
      </c>
      <c r="I1126" s="0" t="str">
        <f aca="false">"INSERT INTO COTACAO (cot_id, cot_blt_id, cot_pap_id, cot_prc_comum, cot_prc_min, cot_prc_max, cot_prc_med, cot_prc_mediana) VALUES ("&amp;A1126&amp;", "&amp;B1126&amp;", "&amp;C1126&amp;", "&amp;D1126&amp;", "&amp;E1126&amp;", "&amp;F1126&amp;", "&amp;G1126&amp;", "&amp;H1126&amp;");"</f>
        <v>INSERT INTO COTACAO (cot_id, cot_blt_id, cot_pap_id, cot_prc_comum, cot_prc_min, cot_prc_max, cot_prc_med, cot_prc_mediana) VALUES (1125, 66, 13, 48, 48, 60, 54, 54);</v>
      </c>
      <c r="J1126" s="0" t="str">
        <f aca="false">"UPDATE COTACAO SET cot_id = "&amp;A1126&amp;", cot_blt_id = "&amp;B1126&amp;", cot_pap_id = "&amp;C1126&amp;", cot_prc_comum = "&amp;D1126&amp;", cot_prc_min = "&amp;E1126&amp;", cot_prc_max = "&amp;F1126&amp;", cot_prc_med = "&amp;G1126&amp;", cot_prc_mediana = "&amp;H1126&amp;" WHERE cot_id = "&amp;A1126&amp;";"</f>
        <v>UPDATE COTACAO SET cot_id = 1125, cot_blt_id = 66, cot_pap_id = 13, cot_prc_comum = 48, cot_prc_min = 48, cot_prc_max = 60, cot_prc_med = 54, cot_prc_mediana = 54 WHERE cot_id = 1125;</v>
      </c>
    </row>
    <row r="1127" customFormat="false" ht="14.25" hidden="false" customHeight="false" outlineLevel="0" collapsed="false">
      <c r="A1127" s="0" t="n">
        <v>1126</v>
      </c>
      <c r="B1127" s="0" t="n">
        <f aca="false">IF('Boletins Nuppa Site'!A1127&lt;&gt;0,'Boletins Nuppa Site'!A1127,"NULL")</f>
        <v>66</v>
      </c>
      <c r="C1127" s="0" t="n">
        <v>14</v>
      </c>
      <c r="D1127" s="30" t="n">
        <f aca="false">IF('Boletins Nuppa Site'!G1127&lt;&gt;0,'Boletins Nuppa Site'!G1127,"NULL")</f>
        <v>60</v>
      </c>
      <c r="E1127" s="30" t="n">
        <f aca="false">IF('Boletins Nuppa Site'!H1127&lt;&gt;0,'Boletins Nuppa Site'!H1127,"NULL")</f>
        <v>48</v>
      </c>
      <c r="F1127" s="30" t="n">
        <f aca="false">IF('Boletins Nuppa Site'!I1127&lt;&gt;0,'Boletins Nuppa Site'!I1127,"NULL")</f>
        <v>60</v>
      </c>
      <c r="G1127" s="30" t="n">
        <f aca="false">IF('Boletins Nuppa Site'!J1127&lt;&gt;0,'Boletins Nuppa Site'!J1127,"NULL")</f>
        <v>56</v>
      </c>
      <c r="H1127" s="30" t="n">
        <f aca="false">IF('Boletins Nuppa Site'!K1127&lt;&gt;0,'Boletins Nuppa Site'!K1127,"NULL")</f>
        <v>60</v>
      </c>
      <c r="I1127" s="0" t="str">
        <f aca="false">"INSERT INTO COTACAO (cot_id, cot_blt_id, cot_pap_id, cot_prc_comum, cot_prc_min, cot_prc_max, cot_prc_med, cot_prc_mediana) VALUES ("&amp;A1127&amp;", "&amp;B1127&amp;", "&amp;C1127&amp;", "&amp;D1127&amp;", "&amp;E1127&amp;", "&amp;F1127&amp;", "&amp;G1127&amp;", "&amp;H1127&amp;");"</f>
        <v>INSERT INTO COTACAO (cot_id, cot_blt_id, cot_pap_id, cot_prc_comum, cot_prc_min, cot_prc_max, cot_prc_med, cot_prc_mediana) VALUES (1126, 66, 14, 60, 48, 60, 56, 60);</v>
      </c>
      <c r="J1127" s="0" t="str">
        <f aca="false">"UPDATE COTACAO SET cot_id = "&amp;A1127&amp;", cot_blt_id = "&amp;B1127&amp;", cot_pap_id = "&amp;C1127&amp;", cot_prc_comum = "&amp;D1127&amp;", cot_prc_min = "&amp;E1127&amp;", cot_prc_max = "&amp;F1127&amp;", cot_prc_med = "&amp;G1127&amp;", cot_prc_mediana = "&amp;H1127&amp;" WHERE cot_id = "&amp;A1127&amp;";"</f>
        <v>UPDATE COTACAO SET cot_id = 1126, cot_blt_id = 66, cot_pap_id = 14, cot_prc_comum = 60, cot_prc_min = 48, cot_prc_max = 60, cot_prc_med = 56, cot_prc_mediana = 60 WHERE cot_id = 1126;</v>
      </c>
    </row>
    <row r="1128" customFormat="false" ht="14.25" hidden="false" customHeight="false" outlineLevel="0" collapsed="false">
      <c r="A1128" s="0" t="n">
        <v>1127</v>
      </c>
      <c r="B1128" s="0" t="n">
        <f aca="false">IF('Boletins Nuppa Site'!A1128&lt;&gt;0,'Boletins Nuppa Site'!A1128,"NULL")</f>
        <v>66</v>
      </c>
      <c r="C1128" s="0" t="n">
        <v>15</v>
      </c>
      <c r="D1128" s="30" t="n">
        <f aca="false">IF('Boletins Nuppa Site'!G1128&lt;&gt;0,'Boletins Nuppa Site'!G1128,"NULL")</f>
        <v>36</v>
      </c>
      <c r="E1128" s="30" t="n">
        <f aca="false">IF('Boletins Nuppa Site'!H1128&lt;&gt;0,'Boletins Nuppa Site'!H1128,"NULL")</f>
        <v>36</v>
      </c>
      <c r="F1128" s="30" t="n">
        <f aca="false">IF('Boletins Nuppa Site'!I1128&lt;&gt;0,'Boletins Nuppa Site'!I1128,"NULL")</f>
        <v>45</v>
      </c>
      <c r="G1128" s="0" t="str">
        <f aca="false">IF('Boletins Nuppa Site'!J1128&lt;&gt;0,'Boletins Nuppa Site'!J1128,"NULL")</f>
        <v>39.25</v>
      </c>
      <c r="H1128" s="30" t="n">
        <f aca="false">IF('Boletins Nuppa Site'!K1128&lt;&gt;0,'Boletins Nuppa Site'!K1128,"NULL")</f>
        <v>38</v>
      </c>
      <c r="I1128" s="0" t="str">
        <f aca="false">"INSERT INTO COTACAO (cot_id, cot_blt_id, cot_pap_id, cot_prc_comum, cot_prc_min, cot_prc_max, cot_prc_med, cot_prc_mediana) VALUES ("&amp;A1128&amp;", "&amp;B1128&amp;", "&amp;C1128&amp;", "&amp;D1128&amp;", "&amp;E1128&amp;", "&amp;F1128&amp;", "&amp;G1128&amp;", "&amp;H1128&amp;");"</f>
        <v>INSERT INTO COTACAO (cot_id, cot_blt_id, cot_pap_id, cot_prc_comum, cot_prc_min, cot_prc_max, cot_prc_med, cot_prc_mediana) VALUES (1127, 66, 15, 36, 36, 45, 39.25, 38);</v>
      </c>
      <c r="J1128" s="0" t="str">
        <f aca="false">"UPDATE COTACAO SET cot_id = "&amp;A1128&amp;", cot_blt_id = "&amp;B1128&amp;", cot_pap_id = "&amp;C1128&amp;", cot_prc_comum = "&amp;D1128&amp;", cot_prc_min = "&amp;E1128&amp;", cot_prc_max = "&amp;F1128&amp;", cot_prc_med = "&amp;G1128&amp;", cot_prc_mediana = "&amp;H1128&amp;" WHERE cot_id = "&amp;A1128&amp;";"</f>
        <v>UPDATE COTACAO SET cot_id = 1127, cot_blt_id = 66, cot_pap_id = 15, cot_prc_comum = 36, cot_prc_min = 36, cot_prc_max = 45, cot_prc_med = 39.25, cot_prc_mediana = 38 WHERE cot_id = 1127;</v>
      </c>
    </row>
    <row r="1129" customFormat="false" ht="14.25" hidden="false" customHeight="false" outlineLevel="0" collapsed="false">
      <c r="A1129" s="0" t="n">
        <v>1128</v>
      </c>
      <c r="B1129" s="0" t="n">
        <f aca="false">IF('Boletins Nuppa Site'!A1129&lt;&gt;0,'Boletins Nuppa Site'!A1129,"NULL")</f>
        <v>66</v>
      </c>
      <c r="C1129" s="0" t="n">
        <v>16</v>
      </c>
      <c r="D1129" s="30" t="n">
        <f aca="false">IF('Boletins Nuppa Site'!G1129&lt;&gt;0,'Boletins Nuppa Site'!G1129,"NULL")</f>
        <v>48</v>
      </c>
      <c r="E1129" s="30" t="n">
        <f aca="false">IF('Boletins Nuppa Site'!H1129&lt;&gt;0,'Boletins Nuppa Site'!H1129,"NULL")</f>
        <v>42</v>
      </c>
      <c r="F1129" s="30" t="n">
        <f aca="false">IF('Boletins Nuppa Site'!I1129&lt;&gt;0,'Boletins Nuppa Site'!I1129,"NULL")</f>
        <v>48</v>
      </c>
      <c r="G1129" s="0" t="str">
        <f aca="false">IF('Boletins Nuppa Site'!J1129&lt;&gt;0,'Boletins Nuppa Site'!J1129,"NULL")</f>
        <v>46.5</v>
      </c>
      <c r="H1129" s="30" t="n">
        <f aca="false">IF('Boletins Nuppa Site'!K1129&lt;&gt;0,'Boletins Nuppa Site'!K1129,"NULL")</f>
        <v>48</v>
      </c>
      <c r="I1129" s="0" t="str">
        <f aca="false">"INSERT INTO COTACAO (cot_id, cot_blt_id, cot_pap_id, cot_prc_comum, cot_prc_min, cot_prc_max, cot_prc_med, cot_prc_mediana) VALUES ("&amp;A1129&amp;", "&amp;B1129&amp;", "&amp;C1129&amp;", "&amp;D1129&amp;", "&amp;E1129&amp;", "&amp;F1129&amp;", "&amp;G1129&amp;", "&amp;H1129&amp;");"</f>
        <v>INSERT INTO COTACAO (cot_id, cot_blt_id, cot_pap_id, cot_prc_comum, cot_prc_min, cot_prc_max, cot_prc_med, cot_prc_mediana) VALUES (1128, 66, 16, 48, 42, 48, 46.5, 48);</v>
      </c>
      <c r="J1129" s="0" t="str">
        <f aca="false">"UPDATE COTACAO SET cot_id = "&amp;A1129&amp;", cot_blt_id = "&amp;B1129&amp;", cot_pap_id = "&amp;C1129&amp;", cot_prc_comum = "&amp;D1129&amp;", cot_prc_min = "&amp;E1129&amp;", cot_prc_max = "&amp;F1129&amp;", cot_prc_med = "&amp;G1129&amp;", cot_prc_mediana = "&amp;H1129&amp;" WHERE cot_id = "&amp;A1129&amp;";"</f>
        <v>UPDATE COTACAO SET cot_id = 1128, cot_blt_id = 66, cot_pap_id = 16, cot_prc_comum = 48, cot_prc_min = 42, cot_prc_max = 48, cot_prc_med = 46.5, cot_prc_mediana = 48 WHERE cot_id = 1128;</v>
      </c>
    </row>
    <row r="1130" customFormat="false" ht="14.25" hidden="false" customHeight="false" outlineLevel="0" collapsed="false">
      <c r="A1130" s="0" t="n">
        <v>1129</v>
      </c>
      <c r="B1130" s="0" t="n">
        <f aca="false">IF('Boletins Nuppa Site'!A1130&lt;&gt;0,'Boletins Nuppa Site'!A1130,"NULL")</f>
        <v>66</v>
      </c>
      <c r="C1130" s="0" t="n">
        <v>17</v>
      </c>
      <c r="D1130" s="30" t="n">
        <f aca="false">IF('Boletins Nuppa Site'!G1130&lt;&gt;0,'Boletins Nuppa Site'!G1130,"NULL")</f>
        <v>5</v>
      </c>
      <c r="E1130" s="30" t="n">
        <f aca="false">IF('Boletins Nuppa Site'!H1130&lt;&gt;0,'Boletins Nuppa Site'!H1130,"NULL")</f>
        <v>5</v>
      </c>
      <c r="F1130" s="0" t="str">
        <f aca="false">IF('Boletins Nuppa Site'!I1130&lt;&gt;0,'Boletins Nuppa Site'!I1130,"NULL")</f>
        <v>5.5</v>
      </c>
      <c r="G1130" s="0" t="str">
        <f aca="false">IF('Boletins Nuppa Site'!J1130&lt;&gt;0,'Boletins Nuppa Site'!J1130,"NULL")</f>
        <v>5.13</v>
      </c>
      <c r="H1130" s="30" t="n">
        <f aca="false">IF('Boletins Nuppa Site'!K1130&lt;&gt;0,'Boletins Nuppa Site'!K1130,"NULL")</f>
        <v>5</v>
      </c>
      <c r="I1130" s="0" t="str">
        <f aca="false">"INSERT INTO COTACAO (cot_id, cot_blt_id, cot_pap_id, cot_prc_comum, cot_prc_min, cot_prc_max, cot_prc_med, cot_prc_mediana) VALUES ("&amp;A1130&amp;", "&amp;B1130&amp;", "&amp;C1130&amp;", "&amp;D1130&amp;", "&amp;E1130&amp;", "&amp;F1130&amp;", "&amp;G1130&amp;", "&amp;H1130&amp;");"</f>
        <v>INSERT INTO COTACAO (cot_id, cot_blt_id, cot_pap_id, cot_prc_comum, cot_prc_min, cot_prc_max, cot_prc_med, cot_prc_mediana) VALUES (1129, 66, 17, 5, 5, 5.5, 5.13, 5);</v>
      </c>
      <c r="J1130" s="0" t="str">
        <f aca="false">"UPDATE COTACAO SET cot_id = "&amp;A1130&amp;", cot_blt_id = "&amp;B1130&amp;", cot_pap_id = "&amp;C1130&amp;", cot_prc_comum = "&amp;D1130&amp;", cot_prc_min = "&amp;E1130&amp;", cot_prc_max = "&amp;F1130&amp;", cot_prc_med = "&amp;G1130&amp;", cot_prc_mediana = "&amp;H1130&amp;" WHERE cot_id = "&amp;A1130&amp;";"</f>
        <v>UPDATE COTACAO SET cot_id = 1129, cot_blt_id = 66, cot_pap_id = 17, cot_prc_comum = 5, cot_prc_min = 5, cot_prc_max = 5.5, cot_prc_med = 5.13, cot_prc_mediana = 5 WHERE cot_id = 1129;</v>
      </c>
    </row>
    <row r="1131" customFormat="false" ht="14.25" hidden="false" customHeight="false" outlineLevel="0" collapsed="false">
      <c r="A1131" s="0" t="n">
        <v>1130</v>
      </c>
      <c r="B1131" s="0" t="n">
        <f aca="false">IF('Boletins Nuppa Site'!A1131&lt;&gt;0,'Boletins Nuppa Site'!A1131,"NULL")</f>
        <v>66</v>
      </c>
      <c r="C1131" s="0" t="n">
        <v>18</v>
      </c>
      <c r="D1131" s="30" t="n">
        <f aca="false">IF('Boletins Nuppa Site'!G1131&lt;&gt;0,'Boletins Nuppa Site'!G1131,"NULL")</f>
        <v>12</v>
      </c>
      <c r="E1131" s="30" t="n">
        <f aca="false">IF('Boletins Nuppa Site'!H1131&lt;&gt;0,'Boletins Nuppa Site'!H1131,"NULL")</f>
        <v>10</v>
      </c>
      <c r="F1131" s="30" t="n">
        <f aca="false">IF('Boletins Nuppa Site'!I1131&lt;&gt;0,'Boletins Nuppa Site'!I1131,"NULL")</f>
        <v>12</v>
      </c>
      <c r="G1131" s="30" t="n">
        <f aca="false">IF('Boletins Nuppa Site'!J1131&lt;&gt;0,'Boletins Nuppa Site'!J1131,"NULL")</f>
        <v>11</v>
      </c>
      <c r="H1131" s="30" t="n">
        <f aca="false">IF('Boletins Nuppa Site'!K1131&lt;&gt;0,'Boletins Nuppa Site'!K1131,"NULL")</f>
        <v>11</v>
      </c>
      <c r="I1131" s="0" t="str">
        <f aca="false">"INSERT INTO COTACAO (cot_id, cot_blt_id, cot_pap_id, cot_prc_comum, cot_prc_min, cot_prc_max, cot_prc_med, cot_prc_mediana) VALUES ("&amp;A1131&amp;", "&amp;B1131&amp;", "&amp;C1131&amp;", "&amp;D1131&amp;", "&amp;E1131&amp;", "&amp;F1131&amp;", "&amp;G1131&amp;", "&amp;H1131&amp;");"</f>
        <v>INSERT INTO COTACAO (cot_id, cot_blt_id, cot_pap_id, cot_prc_comum, cot_prc_min, cot_prc_max, cot_prc_med, cot_prc_mediana) VALUES (1130, 66, 18, 12, 10, 12, 11, 11);</v>
      </c>
      <c r="J1131" s="0" t="str">
        <f aca="false">"UPDATE COTACAO SET cot_id = "&amp;A1131&amp;", cot_blt_id = "&amp;B1131&amp;", cot_pap_id = "&amp;C1131&amp;", cot_prc_comum = "&amp;D1131&amp;", cot_prc_min = "&amp;E1131&amp;", cot_prc_max = "&amp;F1131&amp;", cot_prc_med = "&amp;G1131&amp;", cot_prc_mediana = "&amp;H1131&amp;" WHERE cot_id = "&amp;A1131&amp;";"</f>
        <v>UPDATE COTACAO SET cot_id = 1130, cot_blt_id = 66, cot_pap_id = 18, cot_prc_comum = 12, cot_prc_min = 10, cot_prc_max = 12, cot_prc_med = 11, cot_prc_mediana = 11 WHERE cot_id = 1130;</v>
      </c>
    </row>
    <row r="1132" customFormat="false" ht="14.25" hidden="false" customHeight="false" outlineLevel="0" collapsed="false">
      <c r="A1132" s="0" t="n">
        <v>1131</v>
      </c>
      <c r="B1132" s="0" t="n">
        <f aca="false">IF('Boletins Nuppa Site'!A1132&lt;&gt;0,'Boletins Nuppa Site'!A1132,"NULL")</f>
        <v>66</v>
      </c>
      <c r="C1132" s="0" t="n">
        <v>19</v>
      </c>
      <c r="D1132" s="0" t="str">
        <f aca="false">IF('Boletins Nuppa Site'!G1132&lt;&gt;0,'Boletins Nuppa Site'!G1132,"NULL")</f>
        <v>NULL</v>
      </c>
      <c r="E1132" s="30" t="n">
        <f aca="false">IF('Boletins Nuppa Site'!H1132&lt;&gt;0,'Boletins Nuppa Site'!H1132,"NULL")</f>
        <v>10</v>
      </c>
      <c r="F1132" s="30" t="n">
        <f aca="false">IF('Boletins Nuppa Site'!I1132&lt;&gt;0,'Boletins Nuppa Site'!I1132,"NULL")</f>
        <v>30</v>
      </c>
      <c r="G1132" s="0" t="str">
        <f aca="false">IF('Boletins Nuppa Site'!J1132&lt;&gt;0,'Boletins Nuppa Site'!J1132,"NULL")</f>
        <v>18.75</v>
      </c>
      <c r="H1132" s="0" t="str">
        <f aca="false">IF('Boletins Nuppa Site'!K1132&lt;&gt;0,'Boletins Nuppa Site'!K1132,"NULL")</f>
        <v>17.5</v>
      </c>
      <c r="I1132" s="0" t="str">
        <f aca="false">"INSERT INTO COTACAO (cot_id, cot_blt_id, cot_pap_id, cot_prc_comum, cot_prc_min, cot_prc_max, cot_prc_med, cot_prc_mediana) VALUES ("&amp;A1132&amp;", "&amp;B1132&amp;", "&amp;C1132&amp;", "&amp;D1132&amp;", "&amp;E1132&amp;", "&amp;F1132&amp;", "&amp;G1132&amp;", "&amp;H1132&amp;");"</f>
        <v>INSERT INTO COTACAO (cot_id, cot_blt_id, cot_pap_id, cot_prc_comum, cot_prc_min, cot_prc_max, cot_prc_med, cot_prc_mediana) VALUES (1131, 66, 19, NULL, 10, 30, 18.75, 17.5);</v>
      </c>
      <c r="J1132" s="0" t="str">
        <f aca="false">"UPDATE COTACAO SET cot_id = "&amp;A1132&amp;", cot_blt_id = "&amp;B1132&amp;", cot_pap_id = "&amp;C1132&amp;", cot_prc_comum = "&amp;D1132&amp;", cot_prc_min = "&amp;E1132&amp;", cot_prc_max = "&amp;F1132&amp;", cot_prc_med = "&amp;G1132&amp;", cot_prc_mediana = "&amp;H1132&amp;" WHERE cot_id = "&amp;A1132&amp;";"</f>
        <v>UPDATE COTACAO SET cot_id = 1131, cot_blt_id = 66, cot_pap_id = 19, cot_prc_comum = NULL, cot_prc_min = 10, cot_prc_max = 30, cot_prc_med = 18.75, cot_prc_mediana = 17.5 WHERE cot_id = 1131;</v>
      </c>
    </row>
    <row r="1133" customFormat="false" ht="14.25" hidden="false" customHeight="false" outlineLevel="0" collapsed="false">
      <c r="A1133" s="0" t="n">
        <v>1132</v>
      </c>
      <c r="B1133" s="0" t="n">
        <f aca="false">IF('Boletins Nuppa Site'!A1133&lt;&gt;0,'Boletins Nuppa Site'!A1133,"NULL")</f>
        <v>66</v>
      </c>
      <c r="C1133" s="0" t="n">
        <v>20</v>
      </c>
      <c r="D1133" s="0" t="str">
        <f aca="false">IF('Boletins Nuppa Site'!G1133&lt;&gt;0,'Boletins Nuppa Site'!G1133,"NULL")</f>
        <v>NULL</v>
      </c>
      <c r="E1133" s="30" t="n">
        <f aca="false">IF('Boletins Nuppa Site'!H1133&lt;&gt;0,'Boletins Nuppa Site'!H1133,"NULL")</f>
        <v>75</v>
      </c>
      <c r="F1133" s="30" t="n">
        <f aca="false">IF('Boletins Nuppa Site'!I1133&lt;&gt;0,'Boletins Nuppa Site'!I1133,"NULL")</f>
        <v>75</v>
      </c>
      <c r="G1133" s="30" t="n">
        <f aca="false">IF('Boletins Nuppa Site'!J1133&lt;&gt;0,'Boletins Nuppa Site'!J1133,"NULL")</f>
        <v>75</v>
      </c>
      <c r="H1133" s="30" t="n">
        <f aca="false">IF('Boletins Nuppa Site'!K1133&lt;&gt;0,'Boletins Nuppa Site'!K1133,"NULL")</f>
        <v>75</v>
      </c>
      <c r="I1133" s="0" t="str">
        <f aca="false">"INSERT INTO COTACAO (cot_id, cot_blt_id, cot_pap_id, cot_prc_comum, cot_prc_min, cot_prc_max, cot_prc_med, cot_prc_mediana) VALUES ("&amp;A1133&amp;", "&amp;B1133&amp;", "&amp;C1133&amp;", "&amp;D1133&amp;", "&amp;E1133&amp;", "&amp;F1133&amp;", "&amp;G1133&amp;", "&amp;H1133&amp;");"</f>
        <v>INSERT INTO COTACAO (cot_id, cot_blt_id, cot_pap_id, cot_prc_comum, cot_prc_min, cot_prc_max, cot_prc_med, cot_prc_mediana) VALUES (1132, 66, 20, NULL, 75, 75, 75, 75);</v>
      </c>
      <c r="J1133" s="0" t="str">
        <f aca="false">"UPDATE COTACAO SET cot_id = "&amp;A1133&amp;", cot_blt_id = "&amp;B1133&amp;", cot_pap_id = "&amp;C1133&amp;", cot_prc_comum = "&amp;D1133&amp;", cot_prc_min = "&amp;E1133&amp;", cot_prc_max = "&amp;F1133&amp;", cot_prc_med = "&amp;G1133&amp;", cot_prc_mediana = "&amp;H1133&amp;" WHERE cot_id = "&amp;A1133&amp;";"</f>
        <v>UPDATE COTACAO SET cot_id = 1132, cot_blt_id = 66, cot_pap_id = 20, cot_prc_comum = NULL, cot_prc_min = 75, cot_prc_max = 75, cot_prc_med = 75, cot_prc_mediana = 75 WHERE cot_id = 1132;</v>
      </c>
    </row>
    <row r="1134" customFormat="false" ht="14.25" hidden="false" customHeight="false" outlineLevel="0" collapsed="false">
      <c r="A1134" s="0" t="n">
        <v>1133</v>
      </c>
      <c r="B1134" s="0" t="n">
        <f aca="false">IF('Boletins Nuppa Site'!A1134&lt;&gt;0,'Boletins Nuppa Site'!A1134,"NULL")</f>
        <v>66</v>
      </c>
      <c r="C1134" s="0" t="n">
        <v>21</v>
      </c>
      <c r="D1134" s="30" t="n">
        <f aca="false">IF('Boletins Nuppa Site'!G1134&lt;&gt;0,'Boletins Nuppa Site'!G1134,"NULL")</f>
        <v>60</v>
      </c>
      <c r="E1134" s="30" t="n">
        <f aca="false">IF('Boletins Nuppa Site'!H1134&lt;&gt;0,'Boletins Nuppa Site'!H1134,"NULL")</f>
        <v>50</v>
      </c>
      <c r="F1134" s="30" t="n">
        <f aca="false">IF('Boletins Nuppa Site'!I1134&lt;&gt;0,'Boletins Nuppa Site'!I1134,"NULL")</f>
        <v>60</v>
      </c>
      <c r="G1134" s="30" t="n">
        <f aca="false">IF('Boletins Nuppa Site'!J1134&lt;&gt;0,'Boletins Nuppa Site'!J1134,"NULL")</f>
        <v>57</v>
      </c>
      <c r="H1134" s="30" t="n">
        <f aca="false">IF('Boletins Nuppa Site'!K1134&lt;&gt;0,'Boletins Nuppa Site'!K1134,"NULL")</f>
        <v>60</v>
      </c>
      <c r="I1134" s="0" t="str">
        <f aca="false">"INSERT INTO COTACAO (cot_id, cot_blt_id, cot_pap_id, cot_prc_comum, cot_prc_min, cot_prc_max, cot_prc_med, cot_prc_mediana) VALUES ("&amp;A1134&amp;", "&amp;B1134&amp;", "&amp;C1134&amp;", "&amp;D1134&amp;", "&amp;E1134&amp;", "&amp;F1134&amp;", "&amp;G1134&amp;", "&amp;H1134&amp;");"</f>
        <v>INSERT INTO COTACAO (cot_id, cot_blt_id, cot_pap_id, cot_prc_comum, cot_prc_min, cot_prc_max, cot_prc_med, cot_prc_mediana) VALUES (1133, 66, 21, 60, 50, 60, 57, 60);</v>
      </c>
      <c r="J1134" s="0" t="str">
        <f aca="false">"UPDATE COTACAO SET cot_id = "&amp;A1134&amp;", cot_blt_id = "&amp;B1134&amp;", cot_pap_id = "&amp;C1134&amp;", cot_prc_comum = "&amp;D1134&amp;", cot_prc_min = "&amp;E1134&amp;", cot_prc_max = "&amp;F1134&amp;", cot_prc_med = "&amp;G1134&amp;", cot_prc_mediana = "&amp;H1134&amp;" WHERE cot_id = "&amp;A1134&amp;";"</f>
        <v>UPDATE COTACAO SET cot_id = 1133, cot_blt_id = 66, cot_pap_id = 21, cot_prc_comum = 60, cot_prc_min = 50, cot_prc_max = 60, cot_prc_med = 57, cot_prc_mediana = 60 WHERE cot_id = 1133;</v>
      </c>
    </row>
    <row r="1135" customFormat="false" ht="14.25" hidden="false" customHeight="false" outlineLevel="0" collapsed="false">
      <c r="A1135" s="0" t="n">
        <v>1134</v>
      </c>
      <c r="B1135" s="0" t="n">
        <f aca="false">IF('Boletins Nuppa Site'!A1135&lt;&gt;0,'Boletins Nuppa Site'!A1135,"NULL")</f>
        <v>66</v>
      </c>
      <c r="C1135" s="0" t="n">
        <v>22</v>
      </c>
      <c r="D1135" s="30" t="n">
        <f aca="false">IF('Boletins Nuppa Site'!G1135&lt;&gt;0,'Boletins Nuppa Site'!G1135,"NULL")</f>
        <v>70</v>
      </c>
      <c r="E1135" s="30" t="n">
        <f aca="false">IF('Boletins Nuppa Site'!H1135&lt;&gt;0,'Boletins Nuppa Site'!H1135,"NULL")</f>
        <v>45</v>
      </c>
      <c r="F1135" s="30" t="n">
        <f aca="false">IF('Boletins Nuppa Site'!I1135&lt;&gt;0,'Boletins Nuppa Site'!I1135,"NULL")</f>
        <v>70</v>
      </c>
      <c r="G1135" s="30" t="n">
        <f aca="false">IF('Boletins Nuppa Site'!J1135&lt;&gt;0,'Boletins Nuppa Site'!J1135,"NULL")</f>
        <v>63</v>
      </c>
      <c r="H1135" s="30" t="n">
        <f aca="false">IF('Boletins Nuppa Site'!K1135&lt;&gt;0,'Boletins Nuppa Site'!K1135,"NULL")</f>
        <v>70</v>
      </c>
      <c r="I1135" s="0" t="str">
        <f aca="false">"INSERT INTO COTACAO (cot_id, cot_blt_id, cot_pap_id, cot_prc_comum, cot_prc_min, cot_prc_max, cot_prc_med, cot_prc_mediana) VALUES ("&amp;A1135&amp;", "&amp;B1135&amp;", "&amp;C1135&amp;", "&amp;D1135&amp;", "&amp;E1135&amp;", "&amp;F1135&amp;", "&amp;G1135&amp;", "&amp;H1135&amp;");"</f>
        <v>INSERT INTO COTACAO (cot_id, cot_blt_id, cot_pap_id, cot_prc_comum, cot_prc_min, cot_prc_max, cot_prc_med, cot_prc_mediana) VALUES (1134, 66, 22, 70, 45, 70, 63, 70);</v>
      </c>
      <c r="J1135" s="0" t="str">
        <f aca="false">"UPDATE COTACAO SET cot_id = "&amp;A1135&amp;", cot_blt_id = "&amp;B1135&amp;", cot_pap_id = "&amp;C1135&amp;", cot_prc_comum = "&amp;D1135&amp;", cot_prc_min = "&amp;E1135&amp;", cot_prc_max = "&amp;F1135&amp;", cot_prc_med = "&amp;G1135&amp;", cot_prc_mediana = "&amp;H1135&amp;" WHERE cot_id = "&amp;A1135&amp;";"</f>
        <v>UPDATE COTACAO SET cot_id = 1134, cot_blt_id = 66, cot_pap_id = 22, cot_prc_comum = 70, cot_prc_min = 45, cot_prc_max = 70, cot_prc_med = 63, cot_prc_mediana = 70 WHERE cot_id = 1134;</v>
      </c>
    </row>
    <row r="1136" customFormat="false" ht="14.25" hidden="false" customHeight="false" outlineLevel="0" collapsed="false">
      <c r="A1136" s="0" t="n">
        <v>1135</v>
      </c>
      <c r="B1136" s="0" t="n">
        <f aca="false">IF('Boletins Nuppa Site'!A1136&lt;&gt;0,'Boletins Nuppa Site'!A1136,"NULL")</f>
        <v>66</v>
      </c>
      <c r="C1136" s="0" t="n">
        <v>23</v>
      </c>
      <c r="D1136" s="30" t="n">
        <f aca="false">IF('Boletins Nuppa Site'!G1136&lt;&gt;0,'Boletins Nuppa Site'!G1136,"NULL")</f>
        <v>50</v>
      </c>
      <c r="E1136" s="30" t="n">
        <f aca="false">IF('Boletins Nuppa Site'!H1136&lt;&gt;0,'Boletins Nuppa Site'!H1136,"NULL")</f>
        <v>45</v>
      </c>
      <c r="F1136" s="30" t="n">
        <f aca="false">IF('Boletins Nuppa Site'!I1136&lt;&gt;0,'Boletins Nuppa Site'!I1136,"NULL")</f>
        <v>60</v>
      </c>
      <c r="G1136" s="30" t="n">
        <f aca="false">IF('Boletins Nuppa Site'!J1136&lt;&gt;0,'Boletins Nuppa Site'!J1136,"NULL")</f>
        <v>52</v>
      </c>
      <c r="H1136" s="30" t="n">
        <f aca="false">IF('Boletins Nuppa Site'!K1136&lt;&gt;0,'Boletins Nuppa Site'!K1136,"NULL")</f>
        <v>50</v>
      </c>
      <c r="I1136" s="0" t="str">
        <f aca="false">"INSERT INTO COTACAO (cot_id, cot_blt_id, cot_pap_id, cot_prc_comum, cot_prc_min, cot_prc_max, cot_prc_med, cot_prc_mediana) VALUES ("&amp;A1136&amp;", "&amp;B1136&amp;", "&amp;C1136&amp;", "&amp;D1136&amp;", "&amp;E1136&amp;", "&amp;F1136&amp;", "&amp;G1136&amp;", "&amp;H1136&amp;");"</f>
        <v>INSERT INTO COTACAO (cot_id, cot_blt_id, cot_pap_id, cot_prc_comum, cot_prc_min, cot_prc_max, cot_prc_med, cot_prc_mediana) VALUES (1135, 66, 23, 50, 45, 60, 52, 50);</v>
      </c>
      <c r="J1136" s="0" t="str">
        <f aca="false">"UPDATE COTACAO SET cot_id = "&amp;A1136&amp;", cot_blt_id = "&amp;B1136&amp;", cot_pap_id = "&amp;C1136&amp;", cot_prc_comum = "&amp;D1136&amp;", cot_prc_min = "&amp;E1136&amp;", cot_prc_max = "&amp;F1136&amp;", cot_prc_med = "&amp;G1136&amp;", cot_prc_mediana = "&amp;H1136&amp;" WHERE cot_id = "&amp;A1136&amp;";"</f>
        <v>UPDATE COTACAO SET cot_id = 1135, cot_blt_id = 66, cot_pap_id = 23, cot_prc_comum = 50, cot_prc_min = 45, cot_prc_max = 60, cot_prc_med = 52, cot_prc_mediana = 50 WHERE cot_id = 1135;</v>
      </c>
    </row>
    <row r="1137" customFormat="false" ht="14.25" hidden="false" customHeight="false" outlineLevel="0" collapsed="false">
      <c r="A1137" s="0" t="n">
        <v>1136</v>
      </c>
      <c r="B1137" s="0" t="n">
        <f aca="false">IF('Boletins Nuppa Site'!A1137&lt;&gt;0,'Boletins Nuppa Site'!A1137,"NULL")</f>
        <v>66</v>
      </c>
      <c r="C1137" s="0" t="n">
        <v>24</v>
      </c>
      <c r="D1137" s="0" t="str">
        <f aca="false">IF('Boletins Nuppa Site'!G1137&lt;&gt;0,'Boletins Nuppa Site'!G1137,"NULL")</f>
        <v>NULL</v>
      </c>
      <c r="E1137" s="30" t="n">
        <f aca="false">IF('Boletins Nuppa Site'!H1137&lt;&gt;0,'Boletins Nuppa Site'!H1137,"NULL")</f>
        <v>90</v>
      </c>
      <c r="F1137" s="30" t="n">
        <f aca="false">IF('Boletins Nuppa Site'!I1137&lt;&gt;0,'Boletins Nuppa Site'!I1137,"NULL")</f>
        <v>90</v>
      </c>
      <c r="G1137" s="30" t="n">
        <f aca="false">IF('Boletins Nuppa Site'!J1137&lt;&gt;0,'Boletins Nuppa Site'!J1137,"NULL")</f>
        <v>90</v>
      </c>
      <c r="H1137" s="30" t="n">
        <f aca="false">IF('Boletins Nuppa Site'!K1137&lt;&gt;0,'Boletins Nuppa Site'!K1137,"NULL")</f>
        <v>90</v>
      </c>
      <c r="I1137" s="0" t="str">
        <f aca="false">"INSERT INTO COTACAO (cot_id, cot_blt_id, cot_pap_id, cot_prc_comum, cot_prc_min, cot_prc_max, cot_prc_med, cot_prc_mediana) VALUES ("&amp;A1137&amp;", "&amp;B1137&amp;", "&amp;C1137&amp;", "&amp;D1137&amp;", "&amp;E1137&amp;", "&amp;F1137&amp;", "&amp;G1137&amp;", "&amp;H1137&amp;");"</f>
        <v>INSERT INTO COTACAO (cot_id, cot_blt_id, cot_pap_id, cot_prc_comum, cot_prc_min, cot_prc_max, cot_prc_med, cot_prc_mediana) VALUES (1136, 66, 24, NULL, 90, 90, 90, 90);</v>
      </c>
      <c r="J1137" s="0" t="str">
        <f aca="false">"UPDATE COTACAO SET cot_id = "&amp;A1137&amp;", cot_blt_id = "&amp;B1137&amp;", cot_pap_id = "&amp;C1137&amp;", cot_prc_comum = "&amp;D1137&amp;", cot_prc_min = "&amp;E1137&amp;", cot_prc_max = "&amp;F1137&amp;", cot_prc_med = "&amp;G1137&amp;", cot_prc_mediana = "&amp;H1137&amp;" WHERE cot_id = "&amp;A1137&amp;";"</f>
        <v>UPDATE COTACAO SET cot_id = 1136, cot_blt_id = 66, cot_pap_id = 24, cot_prc_comum = NULL, cot_prc_min = 90, cot_prc_max = 90, cot_prc_med = 90, cot_prc_mediana = 90 WHERE cot_id = 1136;</v>
      </c>
    </row>
    <row r="1138" customFormat="false" ht="14.25" hidden="false" customHeight="false" outlineLevel="0" collapsed="false">
      <c r="A1138" s="0" t="n">
        <v>1137</v>
      </c>
      <c r="B1138" s="0" t="n">
        <f aca="false">IF('Boletins Nuppa Site'!A1138&lt;&gt;0,'Boletins Nuppa Site'!A1138,"NULL")</f>
        <v>66</v>
      </c>
      <c r="C1138" s="0" t="n">
        <v>25</v>
      </c>
      <c r="D1138" s="30" t="n">
        <f aca="false">IF('Boletins Nuppa Site'!G1138&lt;&gt;0,'Boletins Nuppa Site'!G1138,"NULL")</f>
        <v>70</v>
      </c>
      <c r="E1138" s="30" t="n">
        <f aca="false">IF('Boletins Nuppa Site'!H1138&lt;&gt;0,'Boletins Nuppa Site'!H1138,"NULL")</f>
        <v>60</v>
      </c>
      <c r="F1138" s="30" t="n">
        <f aca="false">IF('Boletins Nuppa Site'!I1138&lt;&gt;0,'Boletins Nuppa Site'!I1138,"NULL")</f>
        <v>70</v>
      </c>
      <c r="G1138" s="30" t="n">
        <f aca="false">IF('Boletins Nuppa Site'!J1138&lt;&gt;0,'Boletins Nuppa Site'!J1138,"NULL")</f>
        <v>65</v>
      </c>
      <c r="H1138" s="30" t="n">
        <f aca="false">IF('Boletins Nuppa Site'!K1138&lt;&gt;0,'Boletins Nuppa Site'!K1138,"NULL")</f>
        <v>65</v>
      </c>
      <c r="I1138" s="0" t="str">
        <f aca="false">"INSERT INTO COTACAO (cot_id, cot_blt_id, cot_pap_id, cot_prc_comum, cot_prc_min, cot_prc_max, cot_prc_med, cot_prc_mediana) VALUES ("&amp;A1138&amp;", "&amp;B1138&amp;", "&amp;C1138&amp;", "&amp;D1138&amp;", "&amp;E1138&amp;", "&amp;F1138&amp;", "&amp;G1138&amp;", "&amp;H1138&amp;");"</f>
        <v>INSERT INTO COTACAO (cot_id, cot_blt_id, cot_pap_id, cot_prc_comum, cot_prc_min, cot_prc_max, cot_prc_med, cot_prc_mediana) VALUES (1137, 66, 25, 70, 60, 70, 65, 65);</v>
      </c>
      <c r="J1138" s="0" t="str">
        <f aca="false">"UPDATE COTACAO SET cot_id = "&amp;A1138&amp;", cot_blt_id = "&amp;B1138&amp;", cot_pap_id = "&amp;C1138&amp;", cot_prc_comum = "&amp;D1138&amp;", cot_prc_min = "&amp;E1138&amp;", cot_prc_max = "&amp;F1138&amp;", cot_prc_med = "&amp;G1138&amp;", cot_prc_mediana = "&amp;H1138&amp;" WHERE cot_id = "&amp;A1138&amp;";"</f>
        <v>UPDATE COTACAO SET cot_id = 1137, cot_blt_id = 66, cot_pap_id = 25, cot_prc_comum = 70, cot_prc_min = 60, cot_prc_max = 70, cot_prc_med = 65, cot_prc_mediana = 65 WHERE cot_id = 1137;</v>
      </c>
    </row>
    <row r="1139" customFormat="false" ht="14.25" hidden="false" customHeight="false" outlineLevel="0" collapsed="false">
      <c r="A1139" s="0" t="n">
        <v>1138</v>
      </c>
      <c r="B1139" s="0" t="n">
        <f aca="false">IF('Boletins Nuppa Site'!A1139&lt;&gt;0,'Boletins Nuppa Site'!A1139,"NULL")</f>
        <v>66</v>
      </c>
      <c r="C1139" s="0" t="n">
        <v>26</v>
      </c>
      <c r="D1139" s="30" t="n">
        <f aca="false">IF('Boletins Nuppa Site'!G1139&lt;&gt;0,'Boletins Nuppa Site'!G1139,"NULL")</f>
        <v>60</v>
      </c>
      <c r="E1139" s="30" t="n">
        <f aca="false">IF('Boletins Nuppa Site'!H1139&lt;&gt;0,'Boletins Nuppa Site'!H1139,"NULL")</f>
        <v>45</v>
      </c>
      <c r="F1139" s="30" t="n">
        <f aca="false">IF('Boletins Nuppa Site'!I1139&lt;&gt;0,'Boletins Nuppa Site'!I1139,"NULL")</f>
        <v>65</v>
      </c>
      <c r="G1139" s="30" t="n">
        <f aca="false">IF('Boletins Nuppa Site'!J1139&lt;&gt;0,'Boletins Nuppa Site'!J1139,"NULL")</f>
        <v>57</v>
      </c>
      <c r="H1139" s="30" t="n">
        <f aca="false">IF('Boletins Nuppa Site'!K1139&lt;&gt;0,'Boletins Nuppa Site'!K1139,"NULL")</f>
        <v>60</v>
      </c>
      <c r="I1139" s="0" t="str">
        <f aca="false">"INSERT INTO COTACAO (cot_id, cot_blt_id, cot_pap_id, cot_prc_comum, cot_prc_min, cot_prc_max, cot_prc_med, cot_prc_mediana) VALUES ("&amp;A1139&amp;", "&amp;B1139&amp;", "&amp;C1139&amp;", "&amp;D1139&amp;", "&amp;E1139&amp;", "&amp;F1139&amp;", "&amp;G1139&amp;", "&amp;H1139&amp;");"</f>
        <v>INSERT INTO COTACAO (cot_id, cot_blt_id, cot_pap_id, cot_prc_comum, cot_prc_min, cot_prc_max, cot_prc_med, cot_prc_mediana) VALUES (1138, 66, 26, 60, 45, 65, 57, 60);</v>
      </c>
      <c r="J1139" s="0" t="str">
        <f aca="false">"UPDATE COTACAO SET cot_id = "&amp;A1139&amp;", cot_blt_id = "&amp;B1139&amp;", cot_pap_id = "&amp;C1139&amp;", cot_prc_comum = "&amp;D1139&amp;", cot_prc_min = "&amp;E1139&amp;", cot_prc_max = "&amp;F1139&amp;", cot_prc_med = "&amp;G1139&amp;", cot_prc_mediana = "&amp;H1139&amp;" WHERE cot_id = "&amp;A1139&amp;";"</f>
        <v>UPDATE COTACAO SET cot_id = 1138, cot_blt_id = 66, cot_pap_id = 26, cot_prc_comum = 60, cot_prc_min = 45, cot_prc_max = 65, cot_prc_med = 57, cot_prc_mediana = 60 WHERE cot_id = 1138;</v>
      </c>
    </row>
    <row r="1140" customFormat="false" ht="14.25" hidden="false" customHeight="false" outlineLevel="0" collapsed="false">
      <c r="A1140" s="0" t="n">
        <v>1139</v>
      </c>
      <c r="B1140" s="0" t="n">
        <f aca="false">IF('Boletins Nuppa Site'!A1140&lt;&gt;0,'Boletins Nuppa Site'!A1140,"NULL")</f>
        <v>66</v>
      </c>
      <c r="C1140" s="0" t="n">
        <v>27</v>
      </c>
      <c r="D1140" s="30" t="n">
        <f aca="false">IF('Boletins Nuppa Site'!G1140&lt;&gt;0,'Boletins Nuppa Site'!G1140,"NULL")</f>
        <v>60</v>
      </c>
      <c r="E1140" s="30" t="n">
        <f aca="false">IF('Boletins Nuppa Site'!H1140&lt;&gt;0,'Boletins Nuppa Site'!H1140,"NULL")</f>
        <v>55</v>
      </c>
      <c r="F1140" s="30" t="n">
        <f aca="false">IF('Boletins Nuppa Site'!I1140&lt;&gt;0,'Boletins Nuppa Site'!I1140,"NULL")</f>
        <v>80</v>
      </c>
      <c r="G1140" s="30" t="n">
        <f aca="false">IF('Boletins Nuppa Site'!J1140&lt;&gt;0,'Boletins Nuppa Site'!J1140,"NULL")</f>
        <v>66</v>
      </c>
      <c r="H1140" s="30" t="n">
        <f aca="false">IF('Boletins Nuppa Site'!K1140&lt;&gt;0,'Boletins Nuppa Site'!K1140,"NULL")</f>
        <v>60</v>
      </c>
      <c r="I1140" s="0" t="str">
        <f aca="false">"INSERT INTO COTACAO (cot_id, cot_blt_id, cot_pap_id, cot_prc_comum, cot_prc_min, cot_prc_max, cot_prc_med, cot_prc_mediana) VALUES ("&amp;A1140&amp;", "&amp;B1140&amp;", "&amp;C1140&amp;", "&amp;D1140&amp;", "&amp;E1140&amp;", "&amp;F1140&amp;", "&amp;G1140&amp;", "&amp;H1140&amp;");"</f>
        <v>INSERT INTO COTACAO (cot_id, cot_blt_id, cot_pap_id, cot_prc_comum, cot_prc_min, cot_prc_max, cot_prc_med, cot_prc_mediana) VALUES (1139, 66, 27, 60, 55, 80, 66, 60);</v>
      </c>
      <c r="J1140" s="0" t="str">
        <f aca="false">"UPDATE COTACAO SET cot_id = "&amp;A1140&amp;", cot_blt_id = "&amp;B1140&amp;", cot_pap_id = "&amp;C1140&amp;", cot_prc_comum = "&amp;D1140&amp;", cot_prc_min = "&amp;E1140&amp;", cot_prc_max = "&amp;F1140&amp;", cot_prc_med = "&amp;G1140&amp;", cot_prc_mediana = "&amp;H1140&amp;" WHERE cot_id = "&amp;A1140&amp;";"</f>
        <v>UPDATE COTACAO SET cot_id = 1139, cot_blt_id = 66, cot_pap_id = 27, cot_prc_comum = 60, cot_prc_min = 55, cot_prc_max = 80, cot_prc_med = 66, cot_prc_mediana = 60 WHERE cot_id = 1139;</v>
      </c>
    </row>
    <row r="1141" customFormat="false" ht="14.25" hidden="false" customHeight="false" outlineLevel="0" collapsed="false">
      <c r="A1141" s="0" t="n">
        <v>1140</v>
      </c>
      <c r="B1141" s="0" t="n">
        <f aca="false">IF('Boletins Nuppa Site'!A1141&lt;&gt;0,'Boletins Nuppa Site'!A1141,"NULL")</f>
        <v>66</v>
      </c>
      <c r="C1141" s="0" t="n">
        <v>28</v>
      </c>
      <c r="D1141" s="30" t="n">
        <f aca="false">IF('Boletins Nuppa Site'!G1141&lt;&gt;0,'Boletins Nuppa Site'!G1141,"NULL")</f>
        <v>90</v>
      </c>
      <c r="E1141" s="30" t="n">
        <f aca="false">IF('Boletins Nuppa Site'!H1141&lt;&gt;0,'Boletins Nuppa Site'!H1141,"NULL")</f>
        <v>90</v>
      </c>
      <c r="F1141" s="30" t="n">
        <f aca="false">IF('Boletins Nuppa Site'!I1141&lt;&gt;0,'Boletins Nuppa Site'!I1141,"NULL")</f>
        <v>100</v>
      </c>
      <c r="G1141" s="0" t="str">
        <f aca="false">IF('Boletins Nuppa Site'!J1141&lt;&gt;0,'Boletins Nuppa Site'!J1141,"NULL")</f>
        <v>93.75</v>
      </c>
      <c r="H1141" s="0" t="str">
        <f aca="false">IF('Boletins Nuppa Site'!K1141&lt;&gt;0,'Boletins Nuppa Site'!K1141,"NULL")</f>
        <v>92.5</v>
      </c>
      <c r="I1141" s="0" t="str">
        <f aca="false">"INSERT INTO COTACAO (cot_id, cot_blt_id, cot_pap_id, cot_prc_comum, cot_prc_min, cot_prc_max, cot_prc_med, cot_prc_mediana) VALUES ("&amp;A1141&amp;", "&amp;B1141&amp;", "&amp;C1141&amp;", "&amp;D1141&amp;", "&amp;E1141&amp;", "&amp;F1141&amp;", "&amp;G1141&amp;", "&amp;H1141&amp;");"</f>
        <v>INSERT INTO COTACAO (cot_id, cot_blt_id, cot_pap_id, cot_prc_comum, cot_prc_min, cot_prc_max, cot_prc_med, cot_prc_mediana) VALUES (1140, 66, 28, 90, 90, 100, 93.75, 92.5);</v>
      </c>
      <c r="J1141" s="0" t="str">
        <f aca="false">"UPDATE COTACAO SET cot_id = "&amp;A1141&amp;", cot_blt_id = "&amp;B1141&amp;", cot_pap_id = "&amp;C1141&amp;", cot_prc_comum = "&amp;D1141&amp;", cot_prc_min = "&amp;E1141&amp;", cot_prc_max = "&amp;F1141&amp;", cot_prc_med = "&amp;G1141&amp;", cot_prc_mediana = "&amp;H1141&amp;" WHERE cot_id = "&amp;A1141&amp;";"</f>
        <v>UPDATE COTACAO SET cot_id = 1140, cot_blt_id = 66, cot_pap_id = 28, cot_prc_comum = 90, cot_prc_min = 90, cot_prc_max = 100, cot_prc_med = 93.75, cot_prc_mediana = 92.5 WHERE cot_id = 1140;</v>
      </c>
    </row>
    <row r="1142" customFormat="false" ht="14.25" hidden="false" customHeight="false" outlineLevel="0" collapsed="false">
      <c r="A1142" s="0" t="n">
        <v>1141</v>
      </c>
      <c r="B1142" s="0" t="n">
        <f aca="false">IF('Boletins Nuppa Site'!A1142&lt;&gt;0,'Boletins Nuppa Site'!A1142,"NULL")</f>
        <v>66</v>
      </c>
      <c r="C1142" s="0" t="n">
        <v>29</v>
      </c>
      <c r="D1142" s="0" t="str">
        <f aca="false">IF('Boletins Nuppa Site'!G1142&lt;&gt;0,'Boletins Nuppa Site'!G1142,"NULL")</f>
        <v>NULL</v>
      </c>
      <c r="E1142" s="30" t="n">
        <f aca="false">IF('Boletins Nuppa Site'!H1142&lt;&gt;0,'Boletins Nuppa Site'!H1142,"NULL")</f>
        <v>50</v>
      </c>
      <c r="F1142" s="30" t="n">
        <f aca="false">IF('Boletins Nuppa Site'!I1142&lt;&gt;0,'Boletins Nuppa Site'!I1142,"NULL")</f>
        <v>65</v>
      </c>
      <c r="G1142" s="0" t="str">
        <f aca="false">IF('Boletins Nuppa Site'!J1142&lt;&gt;0,'Boletins Nuppa Site'!J1142,"NULL")</f>
        <v>57.5</v>
      </c>
      <c r="H1142" s="0" t="str">
        <f aca="false">IF('Boletins Nuppa Site'!K1142&lt;&gt;0,'Boletins Nuppa Site'!K1142,"NULL")</f>
        <v>57.5</v>
      </c>
      <c r="I1142" s="0" t="str">
        <f aca="false">"INSERT INTO COTACAO (cot_id, cot_blt_id, cot_pap_id, cot_prc_comum, cot_prc_min, cot_prc_max, cot_prc_med, cot_prc_mediana) VALUES ("&amp;A1142&amp;", "&amp;B1142&amp;", "&amp;C1142&amp;", "&amp;D1142&amp;", "&amp;E1142&amp;", "&amp;F1142&amp;", "&amp;G1142&amp;", "&amp;H1142&amp;");"</f>
        <v>INSERT INTO COTACAO (cot_id, cot_blt_id, cot_pap_id, cot_prc_comum, cot_prc_min, cot_prc_max, cot_prc_med, cot_prc_mediana) VALUES (1141, 66, 29, NULL, 50, 65, 57.5, 57.5);</v>
      </c>
      <c r="J1142" s="0" t="str">
        <f aca="false">"UPDATE COTACAO SET cot_id = "&amp;A1142&amp;", cot_blt_id = "&amp;B1142&amp;", cot_pap_id = "&amp;C1142&amp;", cot_prc_comum = "&amp;D1142&amp;", cot_prc_min = "&amp;E1142&amp;", cot_prc_max = "&amp;F1142&amp;", cot_prc_med = "&amp;G1142&amp;", cot_prc_mediana = "&amp;H1142&amp;" WHERE cot_id = "&amp;A1142&amp;";"</f>
        <v>UPDATE COTACAO SET cot_id = 1141, cot_blt_id = 66, cot_pap_id = 29, cot_prc_comum = NULL, cot_prc_min = 50, cot_prc_max = 65, cot_prc_med = 57.5, cot_prc_mediana = 57.5 WHERE cot_id = 1141;</v>
      </c>
    </row>
    <row r="1143" customFormat="false" ht="14.25" hidden="false" customHeight="false" outlineLevel="0" collapsed="false">
      <c r="A1143" s="0" t="n">
        <v>1142</v>
      </c>
      <c r="B1143" s="0" t="n">
        <f aca="false">IF('Boletins Nuppa Site'!A1143&lt;&gt;0,'Boletins Nuppa Site'!A1143,"NULL")</f>
        <v>66</v>
      </c>
      <c r="C1143" s="0" t="n">
        <v>30</v>
      </c>
      <c r="D1143" s="0" t="str">
        <f aca="false">IF('Boletins Nuppa Site'!G1143&lt;&gt;0,'Boletins Nuppa Site'!G1143,"NULL")</f>
        <v>NULL</v>
      </c>
      <c r="E1143" s="30" t="n">
        <f aca="false">IF('Boletins Nuppa Site'!H1143&lt;&gt;0,'Boletins Nuppa Site'!H1143,"NULL")</f>
        <v>60</v>
      </c>
      <c r="F1143" s="30" t="n">
        <f aca="false">IF('Boletins Nuppa Site'!I1143&lt;&gt;0,'Boletins Nuppa Site'!I1143,"NULL")</f>
        <v>85</v>
      </c>
      <c r="G1143" s="0" t="str">
        <f aca="false">IF('Boletins Nuppa Site'!J1143&lt;&gt;0,'Boletins Nuppa Site'!J1143,"NULL")</f>
        <v>71.25</v>
      </c>
      <c r="H1143" s="30" t="n">
        <f aca="false">IF('Boletins Nuppa Site'!K1143&lt;&gt;0,'Boletins Nuppa Site'!K1143,"NULL")</f>
        <v>70</v>
      </c>
      <c r="I1143" s="0" t="str">
        <f aca="false">"INSERT INTO COTACAO (cot_id, cot_blt_id, cot_pap_id, cot_prc_comum, cot_prc_min, cot_prc_max, cot_prc_med, cot_prc_mediana) VALUES ("&amp;A1143&amp;", "&amp;B1143&amp;", "&amp;C1143&amp;", "&amp;D1143&amp;", "&amp;E1143&amp;", "&amp;F1143&amp;", "&amp;G1143&amp;", "&amp;H1143&amp;");"</f>
        <v>INSERT INTO COTACAO (cot_id, cot_blt_id, cot_pap_id, cot_prc_comum, cot_prc_min, cot_prc_max, cot_prc_med, cot_prc_mediana) VALUES (1142, 66, 30, NULL, 60, 85, 71.25, 70);</v>
      </c>
      <c r="J1143" s="0" t="str">
        <f aca="false">"UPDATE COTACAO SET cot_id = "&amp;A1143&amp;", cot_blt_id = "&amp;B1143&amp;", cot_pap_id = "&amp;C1143&amp;", cot_prc_comum = "&amp;D1143&amp;", cot_prc_min = "&amp;E1143&amp;", cot_prc_max = "&amp;F1143&amp;", cot_prc_med = "&amp;G1143&amp;", cot_prc_mediana = "&amp;H1143&amp;" WHERE cot_id = "&amp;A1143&amp;";"</f>
        <v>UPDATE COTACAO SET cot_id = 1142, cot_blt_id = 66, cot_pap_id = 30, cot_prc_comum = NULL, cot_prc_min = 60, cot_prc_max = 85, cot_prc_med = 71.25, cot_prc_mediana = 70 WHERE cot_id = 1142;</v>
      </c>
    </row>
    <row r="1144" customFormat="false" ht="14.25" hidden="false" customHeight="false" outlineLevel="0" collapsed="false">
      <c r="A1144" s="0" t="n">
        <v>1143</v>
      </c>
      <c r="B1144" s="0" t="n">
        <f aca="false">IF('Boletins Nuppa Site'!A1144&lt;&gt;0,'Boletins Nuppa Site'!A1144,"NULL")</f>
        <v>66</v>
      </c>
      <c r="C1144" s="0" t="n">
        <v>31</v>
      </c>
      <c r="D1144" s="30" t="n">
        <f aca="false">IF('Boletins Nuppa Site'!G1144&lt;&gt;0,'Boletins Nuppa Site'!G1144,"NULL")</f>
        <v>90</v>
      </c>
      <c r="E1144" s="30" t="n">
        <f aca="false">IF('Boletins Nuppa Site'!H1144&lt;&gt;0,'Boletins Nuppa Site'!H1144,"NULL")</f>
        <v>80</v>
      </c>
      <c r="F1144" s="30" t="n">
        <f aca="false">IF('Boletins Nuppa Site'!I1144&lt;&gt;0,'Boletins Nuppa Site'!I1144,"NULL")</f>
        <v>100</v>
      </c>
      <c r="G1144" s="30" t="n">
        <f aca="false">IF('Boletins Nuppa Site'!J1144&lt;&gt;0,'Boletins Nuppa Site'!J1144,"NULL")</f>
        <v>90</v>
      </c>
      <c r="H1144" s="30" t="n">
        <f aca="false">IF('Boletins Nuppa Site'!K1144&lt;&gt;0,'Boletins Nuppa Site'!K1144,"NULL")</f>
        <v>90</v>
      </c>
      <c r="I1144" s="0" t="str">
        <f aca="false">"INSERT INTO COTACAO (cot_id, cot_blt_id, cot_pap_id, cot_prc_comum, cot_prc_min, cot_prc_max, cot_prc_med, cot_prc_mediana) VALUES ("&amp;A1144&amp;", "&amp;B1144&amp;", "&amp;C1144&amp;", "&amp;D1144&amp;", "&amp;E1144&amp;", "&amp;F1144&amp;", "&amp;G1144&amp;", "&amp;H1144&amp;");"</f>
        <v>INSERT INTO COTACAO (cot_id, cot_blt_id, cot_pap_id, cot_prc_comum, cot_prc_min, cot_prc_max, cot_prc_med, cot_prc_mediana) VALUES (1143, 66, 31, 90, 80, 100, 90, 90);</v>
      </c>
      <c r="J1144" s="0" t="str">
        <f aca="false">"UPDATE COTACAO SET cot_id = "&amp;A1144&amp;", cot_blt_id = "&amp;B1144&amp;", cot_pap_id = "&amp;C1144&amp;", cot_prc_comum = "&amp;D1144&amp;", cot_prc_min = "&amp;E1144&amp;", cot_prc_max = "&amp;F1144&amp;", cot_prc_med = "&amp;G1144&amp;", cot_prc_mediana = "&amp;H1144&amp;" WHERE cot_id = "&amp;A1144&amp;";"</f>
        <v>UPDATE COTACAO SET cot_id = 1143, cot_blt_id = 66, cot_pap_id = 31, cot_prc_comum = 90, cot_prc_min = 80, cot_prc_max = 100, cot_prc_med = 90, cot_prc_mediana = 90 WHERE cot_id = 1143;</v>
      </c>
    </row>
    <row r="1145" customFormat="false" ht="14.25" hidden="false" customHeight="false" outlineLevel="0" collapsed="false">
      <c r="A1145" s="0" t="n">
        <v>1144</v>
      </c>
      <c r="B1145" s="0" t="n">
        <f aca="false">IF('Boletins Nuppa Site'!A1145&lt;&gt;0,'Boletins Nuppa Site'!A1145,"NULL")</f>
        <v>66</v>
      </c>
      <c r="C1145" s="0" t="n">
        <v>32</v>
      </c>
      <c r="D1145" s="30" t="n">
        <f aca="false">IF('Boletins Nuppa Site'!G1145&lt;&gt;0,'Boletins Nuppa Site'!G1145,"NULL")</f>
        <v>55</v>
      </c>
      <c r="E1145" s="30" t="n">
        <f aca="false">IF('Boletins Nuppa Site'!H1145&lt;&gt;0,'Boletins Nuppa Site'!H1145,"NULL")</f>
        <v>50</v>
      </c>
      <c r="F1145" s="30" t="n">
        <f aca="false">IF('Boletins Nuppa Site'!I1145&lt;&gt;0,'Boletins Nuppa Site'!I1145,"NULL")</f>
        <v>70</v>
      </c>
      <c r="G1145" s="30" t="n">
        <f aca="false">IF('Boletins Nuppa Site'!J1145&lt;&gt;0,'Boletins Nuppa Site'!J1145,"NULL")</f>
        <v>56</v>
      </c>
      <c r="H1145" s="30" t="n">
        <f aca="false">IF('Boletins Nuppa Site'!K1145&lt;&gt;0,'Boletins Nuppa Site'!K1145,"NULL")</f>
        <v>55</v>
      </c>
      <c r="I1145" s="0" t="str">
        <f aca="false">"INSERT INTO COTACAO (cot_id, cot_blt_id, cot_pap_id, cot_prc_comum, cot_prc_min, cot_prc_max, cot_prc_med, cot_prc_mediana) VALUES ("&amp;A1145&amp;", "&amp;B1145&amp;", "&amp;C1145&amp;", "&amp;D1145&amp;", "&amp;E1145&amp;", "&amp;F1145&amp;", "&amp;G1145&amp;", "&amp;H1145&amp;");"</f>
        <v>INSERT INTO COTACAO (cot_id, cot_blt_id, cot_pap_id, cot_prc_comum, cot_prc_min, cot_prc_max, cot_prc_med, cot_prc_mediana) VALUES (1144, 66, 32, 55, 50, 70, 56, 55);</v>
      </c>
      <c r="J1145" s="0" t="str">
        <f aca="false">"UPDATE COTACAO SET cot_id = "&amp;A1145&amp;", cot_blt_id = "&amp;B1145&amp;", cot_pap_id = "&amp;C1145&amp;", cot_prc_comum = "&amp;D1145&amp;", cot_prc_min = "&amp;E1145&amp;", cot_prc_max = "&amp;F1145&amp;", cot_prc_med = "&amp;G1145&amp;", cot_prc_mediana = "&amp;H1145&amp;" WHERE cot_id = "&amp;A1145&amp;";"</f>
        <v>UPDATE COTACAO SET cot_id = 1144, cot_blt_id = 66, cot_pap_id = 32, cot_prc_comum = 55, cot_prc_min = 50, cot_prc_max = 70, cot_prc_med = 56, cot_prc_mediana = 55 WHERE cot_id = 1144;</v>
      </c>
    </row>
    <row r="1146" customFormat="false" ht="14.25" hidden="false" customHeight="false" outlineLevel="0" collapsed="false">
      <c r="A1146" s="0" t="n">
        <v>1145</v>
      </c>
      <c r="B1146" s="0" t="n">
        <f aca="false">IF('Boletins Nuppa Site'!A1146&lt;&gt;0,'Boletins Nuppa Site'!A1146,"NULL")</f>
        <v>66</v>
      </c>
      <c r="C1146" s="0" t="n">
        <v>33</v>
      </c>
      <c r="D1146" s="30" t="n">
        <f aca="false">IF('Boletins Nuppa Site'!G1146&lt;&gt;0,'Boletins Nuppa Site'!G1146,"NULL")</f>
        <v>130</v>
      </c>
      <c r="E1146" s="30" t="n">
        <f aca="false">IF('Boletins Nuppa Site'!H1146&lt;&gt;0,'Boletins Nuppa Site'!H1146,"NULL")</f>
        <v>130</v>
      </c>
      <c r="F1146" s="30" t="n">
        <f aca="false">IF('Boletins Nuppa Site'!I1146&lt;&gt;0,'Boletins Nuppa Site'!I1146,"NULL")</f>
        <v>150</v>
      </c>
      <c r="G1146" s="0" t="str">
        <f aca="false">IF('Boletins Nuppa Site'!J1146&lt;&gt;0,'Boletins Nuppa Site'!J1146,"NULL")</f>
        <v>137.5</v>
      </c>
      <c r="H1146" s="30" t="n">
        <f aca="false">IF('Boletins Nuppa Site'!K1146&lt;&gt;0,'Boletins Nuppa Site'!K1146,"NULL")</f>
        <v>135</v>
      </c>
      <c r="I1146" s="0" t="str">
        <f aca="false">"INSERT INTO COTACAO (cot_id, cot_blt_id, cot_pap_id, cot_prc_comum, cot_prc_min, cot_prc_max, cot_prc_med, cot_prc_mediana) VALUES ("&amp;A1146&amp;", "&amp;B1146&amp;", "&amp;C1146&amp;", "&amp;D1146&amp;", "&amp;E1146&amp;", "&amp;F1146&amp;", "&amp;G1146&amp;", "&amp;H1146&amp;");"</f>
        <v>INSERT INTO COTACAO (cot_id, cot_blt_id, cot_pap_id, cot_prc_comum, cot_prc_min, cot_prc_max, cot_prc_med, cot_prc_mediana) VALUES (1145, 66, 33, 130, 130, 150, 137.5, 135);</v>
      </c>
      <c r="J1146" s="0" t="str">
        <f aca="false">"UPDATE COTACAO SET cot_id = "&amp;A1146&amp;", cot_blt_id = "&amp;B1146&amp;", cot_pap_id = "&amp;C1146&amp;", cot_prc_comum = "&amp;D1146&amp;", cot_prc_min = "&amp;E1146&amp;", cot_prc_max = "&amp;F1146&amp;", cot_prc_med = "&amp;G1146&amp;", cot_prc_mediana = "&amp;H1146&amp;" WHERE cot_id = "&amp;A1146&amp;";"</f>
        <v>UPDATE COTACAO SET cot_id = 1145, cot_blt_id = 66, cot_pap_id = 33, cot_prc_comum = 130, cot_prc_min = 130, cot_prc_max = 150, cot_prc_med = 137.5, cot_prc_mediana = 135 WHERE cot_id = 1145;</v>
      </c>
    </row>
    <row r="1147" customFormat="false" ht="14.25" hidden="false" customHeight="false" outlineLevel="0" collapsed="false">
      <c r="A1147" s="0" t="n">
        <v>1146</v>
      </c>
      <c r="B1147" s="0" t="n">
        <f aca="false">IF('Boletins Nuppa Site'!A1147&lt;&gt;0,'Boletins Nuppa Site'!A1147,"NULL")</f>
        <v>66</v>
      </c>
      <c r="C1147" s="0" t="n">
        <v>34</v>
      </c>
      <c r="D1147" s="30" t="n">
        <f aca="false">IF('Boletins Nuppa Site'!G1147&lt;&gt;0,'Boletins Nuppa Site'!G1147,"NULL")</f>
        <v>60</v>
      </c>
      <c r="E1147" s="30" t="n">
        <f aca="false">IF('Boletins Nuppa Site'!H1147&lt;&gt;0,'Boletins Nuppa Site'!H1147,"NULL")</f>
        <v>45</v>
      </c>
      <c r="F1147" s="30" t="n">
        <f aca="false">IF('Boletins Nuppa Site'!I1147&lt;&gt;0,'Boletins Nuppa Site'!I1147,"NULL")</f>
        <v>65</v>
      </c>
      <c r="G1147" s="30" t="n">
        <f aca="false">IF('Boletins Nuppa Site'!J1147&lt;&gt;0,'Boletins Nuppa Site'!J1147,"NULL")</f>
        <v>58</v>
      </c>
      <c r="H1147" s="30" t="n">
        <f aca="false">IF('Boletins Nuppa Site'!K1147&lt;&gt;0,'Boletins Nuppa Site'!K1147,"NULL")</f>
        <v>60</v>
      </c>
      <c r="I1147" s="0" t="str">
        <f aca="false">"INSERT INTO COTACAO (cot_id, cot_blt_id, cot_pap_id, cot_prc_comum, cot_prc_min, cot_prc_max, cot_prc_med, cot_prc_mediana) VALUES ("&amp;A1147&amp;", "&amp;B1147&amp;", "&amp;C1147&amp;", "&amp;D1147&amp;", "&amp;E1147&amp;", "&amp;F1147&amp;", "&amp;G1147&amp;", "&amp;H1147&amp;");"</f>
        <v>INSERT INTO COTACAO (cot_id, cot_blt_id, cot_pap_id, cot_prc_comum, cot_prc_min, cot_prc_max, cot_prc_med, cot_prc_mediana) VALUES (1146, 66, 34, 60, 45, 65, 58, 60);</v>
      </c>
      <c r="J1147" s="0" t="str">
        <f aca="false">"UPDATE COTACAO SET cot_id = "&amp;A1147&amp;", cot_blt_id = "&amp;B1147&amp;", cot_pap_id = "&amp;C1147&amp;", cot_prc_comum = "&amp;D1147&amp;", cot_prc_min = "&amp;E1147&amp;", cot_prc_max = "&amp;F1147&amp;", cot_prc_med = "&amp;G1147&amp;", cot_prc_mediana = "&amp;H1147&amp;" WHERE cot_id = "&amp;A1147&amp;";"</f>
        <v>UPDATE COTACAO SET cot_id = 1146, cot_blt_id = 66, cot_pap_id = 34, cot_prc_comum = 60, cot_prc_min = 45, cot_prc_max = 65, cot_prc_med = 58, cot_prc_mediana = 60 WHERE cot_id = 1146;</v>
      </c>
    </row>
    <row r="1148" customFormat="false" ht="14.25" hidden="false" customHeight="false" outlineLevel="0" collapsed="false">
      <c r="A1148" s="0" t="n">
        <v>1147</v>
      </c>
      <c r="B1148" s="0" t="n">
        <f aca="false">IF('Boletins Nuppa Site'!A1148&lt;&gt;0,'Boletins Nuppa Site'!A1148,"NULL")</f>
        <v>66</v>
      </c>
      <c r="C1148" s="0" t="n">
        <v>35</v>
      </c>
      <c r="D1148" s="30" t="n">
        <f aca="false">IF('Boletins Nuppa Site'!G1148&lt;&gt;0,'Boletins Nuppa Site'!G1148,"NULL")</f>
        <v>150</v>
      </c>
      <c r="E1148" s="30" t="n">
        <f aca="false">IF('Boletins Nuppa Site'!H1148&lt;&gt;0,'Boletins Nuppa Site'!H1148,"NULL")</f>
        <v>140</v>
      </c>
      <c r="F1148" s="30" t="n">
        <f aca="false">IF('Boletins Nuppa Site'!I1148&lt;&gt;0,'Boletins Nuppa Site'!I1148,"NULL")</f>
        <v>150</v>
      </c>
      <c r="G1148" s="0" t="str">
        <f aca="false">IF('Boletins Nuppa Site'!J1148&lt;&gt;0,'Boletins Nuppa Site'!J1148,"NULL")</f>
        <v>147.5</v>
      </c>
      <c r="H1148" s="30" t="n">
        <f aca="false">IF('Boletins Nuppa Site'!K1148&lt;&gt;0,'Boletins Nuppa Site'!K1148,"NULL")</f>
        <v>150</v>
      </c>
      <c r="I1148" s="0" t="str">
        <f aca="false">"INSERT INTO COTACAO (cot_id, cot_blt_id, cot_pap_id, cot_prc_comum, cot_prc_min, cot_prc_max, cot_prc_med, cot_prc_mediana) VALUES ("&amp;A1148&amp;", "&amp;B1148&amp;", "&amp;C1148&amp;", "&amp;D1148&amp;", "&amp;E1148&amp;", "&amp;F1148&amp;", "&amp;G1148&amp;", "&amp;H1148&amp;");"</f>
        <v>INSERT INTO COTACAO (cot_id, cot_blt_id, cot_pap_id, cot_prc_comum, cot_prc_min, cot_prc_max, cot_prc_med, cot_prc_mediana) VALUES (1147, 66, 35, 150, 140, 150, 147.5, 150);</v>
      </c>
      <c r="J1148" s="0" t="str">
        <f aca="false">"UPDATE COTACAO SET cot_id = "&amp;A1148&amp;", cot_blt_id = "&amp;B1148&amp;", cot_pap_id = "&amp;C1148&amp;", cot_prc_comum = "&amp;D1148&amp;", cot_prc_min = "&amp;E1148&amp;", cot_prc_max = "&amp;F1148&amp;", cot_prc_med = "&amp;G1148&amp;", cot_prc_mediana = "&amp;H1148&amp;" WHERE cot_id = "&amp;A1148&amp;";"</f>
        <v>UPDATE COTACAO SET cot_id = 1147, cot_blt_id = 66, cot_pap_id = 35, cot_prc_comum = 150, cot_prc_min = 140, cot_prc_max = 150, cot_prc_med = 147.5, cot_prc_mediana = 150 WHERE cot_id = 1147;</v>
      </c>
    </row>
    <row r="1149" customFormat="false" ht="14.25" hidden="false" customHeight="false" outlineLevel="0" collapsed="false">
      <c r="A1149" s="0" t="n">
        <v>1148</v>
      </c>
      <c r="B1149" s="0" t="n">
        <f aca="false">IF('Boletins Nuppa Site'!A1149&lt;&gt;0,'Boletins Nuppa Site'!A1149,"NULL")</f>
        <v>66</v>
      </c>
      <c r="C1149" s="0" t="n">
        <v>36</v>
      </c>
      <c r="D1149" s="0" t="str">
        <f aca="false">IF('Boletins Nuppa Site'!G1149&lt;&gt;0,'Boletins Nuppa Site'!G1149,"NULL")</f>
        <v>NULL</v>
      </c>
      <c r="E1149" s="0" t="str">
        <f aca="false">IF('Boletins Nuppa Site'!H1149&lt;&gt;0,'Boletins Nuppa Site'!H1149,"NULL")</f>
        <v>NULL</v>
      </c>
      <c r="F1149" s="0" t="str">
        <f aca="false">IF('Boletins Nuppa Site'!I1149&lt;&gt;0,'Boletins Nuppa Site'!I1149,"NULL")</f>
        <v>NULL</v>
      </c>
      <c r="G1149" s="0" t="str">
        <f aca="false">IF('Boletins Nuppa Site'!J1149&lt;&gt;0,'Boletins Nuppa Site'!J1149,"NULL")</f>
        <v>NULL</v>
      </c>
      <c r="H1149" s="0" t="str">
        <f aca="false">IF('Boletins Nuppa Site'!K1149&lt;&gt;0,'Boletins Nuppa Site'!K1149,"NULL")</f>
        <v>NULL</v>
      </c>
      <c r="I1149" s="0" t="str">
        <f aca="false">"INSERT INTO COTACAO (cot_id, cot_blt_id, cot_pap_id, cot_prc_comum, cot_prc_min, cot_prc_max, cot_prc_med, cot_prc_mediana) VALUES ("&amp;A1149&amp;", "&amp;B1149&amp;", "&amp;C1149&amp;", "&amp;D1149&amp;", "&amp;E1149&amp;", "&amp;F1149&amp;", "&amp;G1149&amp;", "&amp;H1149&amp;");"</f>
        <v>INSERT INTO COTACAO (cot_id, cot_blt_id, cot_pap_id, cot_prc_comum, cot_prc_min, cot_prc_max, cot_prc_med, cot_prc_mediana) VALUES (1148, 66, 36, NULL, NULL, NULL, NULL, NULL);</v>
      </c>
      <c r="J1149" s="0" t="str">
        <f aca="false">"UPDATE COTACAO SET cot_id = "&amp;A1149&amp;", cot_blt_id = "&amp;B1149&amp;", cot_pap_id = "&amp;C1149&amp;", cot_prc_comum = "&amp;D1149&amp;", cot_prc_min = "&amp;E1149&amp;", cot_prc_max = "&amp;F1149&amp;", cot_prc_med = "&amp;G1149&amp;", cot_prc_mediana = "&amp;H1149&amp;" WHERE cot_id = "&amp;A1149&amp;";"</f>
        <v>UPDATE COTACAO SET cot_id = 1148, cot_blt_id = 66, cot_pap_id = 36, cot_prc_comum = NULL, cot_prc_min = NULL, cot_prc_max = NULL, cot_prc_med = NULL, cot_prc_mediana = NULL WHERE cot_id = 1148;</v>
      </c>
    </row>
    <row r="1150" customFormat="false" ht="14.25" hidden="false" customHeight="false" outlineLevel="0" collapsed="false">
      <c r="A1150" s="0" t="n">
        <v>1149</v>
      </c>
      <c r="B1150" s="0" t="n">
        <f aca="false">IF('Boletins Nuppa Site'!A1150&lt;&gt;0,'Boletins Nuppa Site'!A1150,"NULL")</f>
        <v>66</v>
      </c>
      <c r="C1150" s="0" t="n">
        <v>37</v>
      </c>
      <c r="D1150" s="0" t="str">
        <f aca="false">IF('Boletins Nuppa Site'!G1150&lt;&gt;0,'Boletins Nuppa Site'!G1150,"NULL")</f>
        <v>NULL</v>
      </c>
      <c r="E1150" s="0" t="str">
        <f aca="false">IF('Boletins Nuppa Site'!H1150&lt;&gt;0,'Boletins Nuppa Site'!H1150,"NULL")</f>
        <v>NULL</v>
      </c>
      <c r="F1150" s="0" t="str">
        <f aca="false">IF('Boletins Nuppa Site'!I1150&lt;&gt;0,'Boletins Nuppa Site'!I1150,"NULL")</f>
        <v>NULL</v>
      </c>
      <c r="G1150" s="0" t="str">
        <f aca="false">IF('Boletins Nuppa Site'!J1150&lt;&gt;0,'Boletins Nuppa Site'!J1150,"NULL")</f>
        <v>NULL</v>
      </c>
      <c r="H1150" s="0" t="str">
        <f aca="false">IF('Boletins Nuppa Site'!K1150&lt;&gt;0,'Boletins Nuppa Site'!K1150,"NULL")</f>
        <v>NULL</v>
      </c>
      <c r="I1150" s="0" t="str">
        <f aca="false">"INSERT INTO COTACAO (cot_id, cot_blt_id, cot_pap_id, cot_prc_comum, cot_prc_min, cot_prc_max, cot_prc_med, cot_prc_mediana) VALUES ("&amp;A1150&amp;", "&amp;B1150&amp;", "&amp;C1150&amp;", "&amp;D1150&amp;", "&amp;E1150&amp;", "&amp;F1150&amp;", "&amp;G1150&amp;", "&amp;H1150&amp;");"</f>
        <v>INSERT INTO COTACAO (cot_id, cot_blt_id, cot_pap_id, cot_prc_comum, cot_prc_min, cot_prc_max, cot_prc_med, cot_prc_mediana) VALUES (1149, 66, 37, NULL, NULL, NULL, NULL, NULL);</v>
      </c>
      <c r="J1150" s="0" t="str">
        <f aca="false">"UPDATE COTACAO SET cot_id = "&amp;A1150&amp;", cot_blt_id = "&amp;B1150&amp;", cot_pap_id = "&amp;C1150&amp;", cot_prc_comum = "&amp;D1150&amp;", cot_prc_min = "&amp;E1150&amp;", cot_prc_max = "&amp;F1150&amp;", cot_prc_med = "&amp;G1150&amp;", cot_prc_mediana = "&amp;H1150&amp;" WHERE cot_id = "&amp;A1150&amp;";"</f>
        <v>UPDATE COTACAO SET cot_id = 1149, cot_blt_id = 66, cot_pap_id = 37, cot_prc_comum = NULL, cot_prc_min = NULL, cot_prc_max = NULL, cot_prc_med = NULL, cot_prc_mediana = NULL WHERE cot_id = 1149;</v>
      </c>
    </row>
    <row r="1151" customFormat="false" ht="14.25" hidden="false" customHeight="false" outlineLevel="0" collapsed="false">
      <c r="A1151" s="0" t="n">
        <v>1150</v>
      </c>
      <c r="B1151" s="0" t="n">
        <f aca="false">IF('Boletins Nuppa Site'!A1151&lt;&gt;0,'Boletins Nuppa Site'!A1151,"NULL")</f>
        <v>66</v>
      </c>
      <c r="C1151" s="0" t="n">
        <v>38</v>
      </c>
      <c r="D1151" s="0" t="str">
        <f aca="false">IF('Boletins Nuppa Site'!G1151&lt;&gt;0,'Boletins Nuppa Site'!G1151,"NULL")</f>
        <v>NULL</v>
      </c>
      <c r="E1151" s="0" t="str">
        <f aca="false">IF('Boletins Nuppa Site'!H1151&lt;&gt;0,'Boletins Nuppa Site'!H1151,"NULL")</f>
        <v>NULL</v>
      </c>
      <c r="F1151" s="0" t="str">
        <f aca="false">IF('Boletins Nuppa Site'!I1151&lt;&gt;0,'Boletins Nuppa Site'!I1151,"NULL")</f>
        <v>NULL</v>
      </c>
      <c r="G1151" s="0" t="str">
        <f aca="false">IF('Boletins Nuppa Site'!J1151&lt;&gt;0,'Boletins Nuppa Site'!J1151,"NULL")</f>
        <v>NULL</v>
      </c>
      <c r="H1151" s="0" t="str">
        <f aca="false">IF('Boletins Nuppa Site'!K1151&lt;&gt;0,'Boletins Nuppa Site'!K1151,"NULL")</f>
        <v>NULL</v>
      </c>
      <c r="I1151" s="0" t="str">
        <f aca="false">"INSERT INTO COTACAO (cot_id, cot_blt_id, cot_pap_id, cot_prc_comum, cot_prc_min, cot_prc_max, cot_prc_med, cot_prc_mediana) VALUES ("&amp;A1151&amp;", "&amp;B1151&amp;", "&amp;C1151&amp;", "&amp;D1151&amp;", "&amp;E1151&amp;", "&amp;F1151&amp;", "&amp;G1151&amp;", "&amp;H1151&amp;");"</f>
        <v>INSERT INTO COTACAO (cot_id, cot_blt_id, cot_pap_id, cot_prc_comum, cot_prc_min, cot_prc_max, cot_prc_med, cot_prc_mediana) VALUES (1150, 66, 38, NULL, NULL, NULL, NULL, NULL);</v>
      </c>
      <c r="J1151" s="0" t="str">
        <f aca="false">"UPDATE COTACAO SET cot_id = "&amp;A1151&amp;", cot_blt_id = "&amp;B1151&amp;", cot_pap_id = "&amp;C1151&amp;", cot_prc_comum = "&amp;D1151&amp;", cot_prc_min = "&amp;E1151&amp;", cot_prc_max = "&amp;F1151&amp;", cot_prc_med = "&amp;G1151&amp;", cot_prc_mediana = "&amp;H1151&amp;" WHERE cot_id = "&amp;A1151&amp;";"</f>
        <v>UPDATE COTACAO SET cot_id = 1150, cot_blt_id = 66, cot_pap_id = 38, cot_prc_comum = NULL, cot_prc_min = NULL, cot_prc_max = NULL, cot_prc_med = NULL, cot_prc_mediana = NULL WHERE cot_id = 1150;</v>
      </c>
    </row>
    <row r="1152" customFormat="false" ht="14.25" hidden="false" customHeight="false" outlineLevel="0" collapsed="false">
      <c r="A1152" s="0" t="n">
        <v>1151</v>
      </c>
      <c r="B1152" s="0" t="n">
        <f aca="false">IF('Boletins Nuppa Site'!A1152&lt;&gt;0,'Boletins Nuppa Site'!A1152,"NULL")</f>
        <v>66</v>
      </c>
      <c r="C1152" s="0" t="n">
        <v>39</v>
      </c>
      <c r="D1152" s="0" t="str">
        <f aca="false">IF('Boletins Nuppa Site'!G1152&lt;&gt;0,'Boletins Nuppa Site'!G1152,"NULL")</f>
        <v>NULL</v>
      </c>
      <c r="E1152" s="30" t="n">
        <f aca="false">IF('Boletins Nuppa Site'!H1152&lt;&gt;0,'Boletins Nuppa Site'!H1152,"NULL")</f>
        <v>60</v>
      </c>
      <c r="F1152" s="30" t="n">
        <f aca="false">IF('Boletins Nuppa Site'!I1152&lt;&gt;0,'Boletins Nuppa Site'!I1152,"NULL")</f>
        <v>60</v>
      </c>
      <c r="G1152" s="30" t="n">
        <f aca="false">IF('Boletins Nuppa Site'!J1152&lt;&gt;0,'Boletins Nuppa Site'!J1152,"NULL")</f>
        <v>60</v>
      </c>
      <c r="H1152" s="30" t="n">
        <f aca="false">IF('Boletins Nuppa Site'!K1152&lt;&gt;0,'Boletins Nuppa Site'!K1152,"NULL")</f>
        <v>60</v>
      </c>
      <c r="I1152" s="0" t="str">
        <f aca="false">"INSERT INTO COTACAO (cot_id, cot_blt_id, cot_pap_id, cot_prc_comum, cot_prc_min, cot_prc_max, cot_prc_med, cot_prc_mediana) VALUES ("&amp;A1152&amp;", "&amp;B1152&amp;", "&amp;C1152&amp;", "&amp;D1152&amp;", "&amp;E1152&amp;", "&amp;F1152&amp;", "&amp;G1152&amp;", "&amp;H1152&amp;");"</f>
        <v>INSERT INTO COTACAO (cot_id, cot_blt_id, cot_pap_id, cot_prc_comum, cot_prc_min, cot_prc_max, cot_prc_med, cot_prc_mediana) VALUES (1151, 66, 39, NULL, 60, 60, 60, 60);</v>
      </c>
      <c r="J1152" s="0" t="str">
        <f aca="false">"UPDATE COTACAO SET cot_id = "&amp;A1152&amp;", cot_blt_id = "&amp;B1152&amp;", cot_pap_id = "&amp;C1152&amp;", cot_prc_comum = "&amp;D1152&amp;", cot_prc_min = "&amp;E1152&amp;", cot_prc_max = "&amp;F1152&amp;", cot_prc_med = "&amp;G1152&amp;", cot_prc_mediana = "&amp;H1152&amp;" WHERE cot_id = "&amp;A1152&amp;";"</f>
        <v>UPDATE COTACAO SET cot_id = 1151, cot_blt_id = 66, cot_pap_id = 39, cot_prc_comum = NULL, cot_prc_min = 60, cot_prc_max = 60, cot_prc_med = 60, cot_prc_mediana = 60 WHERE cot_id = 1151;</v>
      </c>
    </row>
    <row r="1153" customFormat="false" ht="14.25" hidden="false" customHeight="false" outlineLevel="0" collapsed="false">
      <c r="A1153" s="0" t="n">
        <v>1152</v>
      </c>
      <c r="B1153" s="0" t="n">
        <f aca="false">IF('Boletins Nuppa Site'!A1153&lt;&gt;0,'Boletins Nuppa Site'!A1153,"NULL")</f>
        <v>66</v>
      </c>
      <c r="C1153" s="0" t="n">
        <v>40</v>
      </c>
      <c r="D1153" s="0" t="str">
        <f aca="false">IF('Boletins Nuppa Site'!G1153&lt;&gt;0,'Boletins Nuppa Site'!G1153,"NULL")</f>
        <v>NULL</v>
      </c>
      <c r="E1153" s="0" t="str">
        <f aca="false">IF('Boletins Nuppa Site'!H1153&lt;&gt;0,'Boletins Nuppa Site'!H1153,"NULL")</f>
        <v>NULL</v>
      </c>
      <c r="F1153" s="0" t="str">
        <f aca="false">IF('Boletins Nuppa Site'!I1153&lt;&gt;0,'Boletins Nuppa Site'!I1153,"NULL")</f>
        <v>NULL</v>
      </c>
      <c r="G1153" s="0" t="str">
        <f aca="false">IF('Boletins Nuppa Site'!J1153&lt;&gt;0,'Boletins Nuppa Site'!J1153,"NULL")</f>
        <v>NULL</v>
      </c>
      <c r="H1153" s="0" t="str">
        <f aca="false">IF('Boletins Nuppa Site'!K1153&lt;&gt;0,'Boletins Nuppa Site'!K1153,"NULL")</f>
        <v>NULL</v>
      </c>
      <c r="I1153" s="0" t="str">
        <f aca="false">"INSERT INTO COTACAO (cot_id, cot_blt_id, cot_pap_id, cot_prc_comum, cot_prc_min, cot_prc_max, cot_prc_med, cot_prc_mediana) VALUES ("&amp;A1153&amp;", "&amp;B1153&amp;", "&amp;C1153&amp;", "&amp;D1153&amp;", "&amp;E1153&amp;", "&amp;F1153&amp;", "&amp;G1153&amp;", "&amp;H1153&amp;");"</f>
        <v>INSERT INTO COTACAO (cot_id, cot_blt_id, cot_pap_id, cot_prc_comum, cot_prc_min, cot_prc_max, cot_prc_med, cot_prc_mediana) VALUES (1152, 66, 40, NULL, NULL, NULL, NULL, NULL);</v>
      </c>
      <c r="J1153" s="0" t="str">
        <f aca="false">"UPDATE COTACAO SET cot_id = "&amp;A1153&amp;", cot_blt_id = "&amp;B1153&amp;", cot_pap_id = "&amp;C1153&amp;", cot_prc_comum = "&amp;D1153&amp;", cot_prc_min = "&amp;E1153&amp;", cot_prc_max = "&amp;F1153&amp;", cot_prc_med = "&amp;G1153&amp;", cot_prc_mediana = "&amp;H1153&amp;" WHERE cot_id = "&amp;A1153&amp;";"</f>
        <v>UPDATE COTACAO SET cot_id = 1152, cot_blt_id = 66, cot_pap_id = 40, cot_prc_comum = NULL, cot_prc_min = NULL, cot_prc_max = NULL, cot_prc_med = NULL, cot_prc_mediana = NULL WHERE cot_id = 1152;</v>
      </c>
    </row>
    <row r="1154" customFormat="false" ht="14.25" hidden="false" customHeight="false" outlineLevel="0" collapsed="false">
      <c r="A1154" s="0" t="n">
        <v>1153</v>
      </c>
      <c r="B1154" s="0" t="n">
        <f aca="false">IF('Boletins Nuppa Site'!A1154&lt;&gt;0,'Boletins Nuppa Site'!A1154,"NULL")</f>
        <v>67</v>
      </c>
      <c r="C1154" s="0" t="n">
        <v>1</v>
      </c>
      <c r="D1154" s="30" t="n">
        <f aca="false">IF('Boletins Nuppa Site'!G1154&lt;&gt;0,'Boletins Nuppa Site'!G1154,"NULL")</f>
        <v>48</v>
      </c>
      <c r="E1154" s="30" t="n">
        <f aca="false">IF('Boletins Nuppa Site'!H1154&lt;&gt;0,'Boletins Nuppa Site'!H1154,"NULL")</f>
        <v>48</v>
      </c>
      <c r="F1154" s="30" t="n">
        <f aca="false">IF('Boletins Nuppa Site'!I1154&lt;&gt;0,'Boletins Nuppa Site'!I1154,"NULL")</f>
        <v>48</v>
      </c>
      <c r="G1154" s="30" t="n">
        <f aca="false">IF('Boletins Nuppa Site'!J1154&lt;&gt;0,'Boletins Nuppa Site'!J1154,"NULL")</f>
        <v>48</v>
      </c>
      <c r="H1154" s="30" t="n">
        <f aca="false">IF('Boletins Nuppa Site'!K1154&lt;&gt;0,'Boletins Nuppa Site'!K1154,"NULL")</f>
        <v>48</v>
      </c>
      <c r="I1154" s="0" t="str">
        <f aca="false">"INSERT INTO COTACAO (cot_id, cot_blt_id, cot_pap_id, cot_prc_comum, cot_prc_min, cot_prc_max, cot_prc_med, cot_prc_mediana) VALUES ("&amp;A1154&amp;", "&amp;B1154&amp;", "&amp;C1154&amp;", "&amp;D1154&amp;", "&amp;E1154&amp;", "&amp;F1154&amp;", "&amp;G1154&amp;", "&amp;H1154&amp;");"</f>
        <v>INSERT INTO COTACAO (cot_id, cot_blt_id, cot_pap_id, cot_prc_comum, cot_prc_min, cot_prc_max, cot_prc_med, cot_prc_mediana) VALUES (1153, 67, 1, 48, 48, 48, 48, 48);</v>
      </c>
      <c r="J1154" s="0" t="str">
        <f aca="false">"UPDATE COTACAO SET cot_id = "&amp;A1154&amp;", cot_blt_id = "&amp;B1154&amp;", cot_pap_id = "&amp;C1154&amp;", cot_prc_comum = "&amp;D1154&amp;", cot_prc_min = "&amp;E1154&amp;", cot_prc_max = "&amp;F1154&amp;", cot_prc_med = "&amp;G1154&amp;", cot_prc_mediana = "&amp;H1154&amp;" WHERE cot_id = "&amp;A1154&amp;";"</f>
        <v>UPDATE COTACAO SET cot_id = 1153, cot_blt_id = 67, cot_pap_id = 1, cot_prc_comum = 48, cot_prc_min = 48, cot_prc_max = 48, cot_prc_med = 48, cot_prc_mediana = 48 WHERE cot_id = 1153;</v>
      </c>
    </row>
    <row r="1155" customFormat="false" ht="14.25" hidden="false" customHeight="false" outlineLevel="0" collapsed="false">
      <c r="A1155" s="0" t="n">
        <v>1154</v>
      </c>
      <c r="B1155" s="0" t="n">
        <f aca="false">IF('Boletins Nuppa Site'!A1155&lt;&gt;0,'Boletins Nuppa Site'!A1155,"NULL")</f>
        <v>67</v>
      </c>
      <c r="C1155" s="0" t="n">
        <v>2</v>
      </c>
      <c r="D1155" s="0" t="str">
        <f aca="false">IF('Boletins Nuppa Site'!G1155&lt;&gt;0,'Boletins Nuppa Site'!G1155,"NULL")</f>
        <v>NULL</v>
      </c>
      <c r="E1155" s="30" t="n">
        <f aca="false">IF('Boletins Nuppa Site'!H1155&lt;&gt;0,'Boletins Nuppa Site'!H1155,"NULL")</f>
        <v>60</v>
      </c>
      <c r="F1155" s="30" t="n">
        <f aca="false">IF('Boletins Nuppa Site'!I1155&lt;&gt;0,'Boletins Nuppa Site'!I1155,"NULL")</f>
        <v>84</v>
      </c>
      <c r="G1155" s="30" t="n">
        <f aca="false">IF('Boletins Nuppa Site'!J1155&lt;&gt;0,'Boletins Nuppa Site'!J1155,"NULL")</f>
        <v>72</v>
      </c>
      <c r="H1155" s="30" t="n">
        <f aca="false">IF('Boletins Nuppa Site'!K1155&lt;&gt;0,'Boletins Nuppa Site'!K1155,"NULL")</f>
        <v>72</v>
      </c>
      <c r="I1155" s="0" t="str">
        <f aca="false">"INSERT INTO COTACAO (cot_id, cot_blt_id, cot_pap_id, cot_prc_comum, cot_prc_min, cot_prc_max, cot_prc_med, cot_prc_mediana) VALUES ("&amp;A1155&amp;", "&amp;B1155&amp;", "&amp;C1155&amp;", "&amp;D1155&amp;", "&amp;E1155&amp;", "&amp;F1155&amp;", "&amp;G1155&amp;", "&amp;H1155&amp;");"</f>
        <v>INSERT INTO COTACAO (cot_id, cot_blt_id, cot_pap_id, cot_prc_comum, cot_prc_min, cot_prc_max, cot_prc_med, cot_prc_mediana) VALUES (1154, 67, 2, NULL, 60, 84, 72, 72);</v>
      </c>
      <c r="J1155" s="0" t="str">
        <f aca="false">"UPDATE COTACAO SET cot_id = "&amp;A1155&amp;", cot_blt_id = "&amp;B1155&amp;", cot_pap_id = "&amp;C1155&amp;", cot_prc_comum = "&amp;D1155&amp;", cot_prc_min = "&amp;E1155&amp;", cot_prc_max = "&amp;F1155&amp;", cot_prc_med = "&amp;G1155&amp;", cot_prc_mediana = "&amp;H1155&amp;" WHERE cot_id = "&amp;A1155&amp;";"</f>
        <v>UPDATE COTACAO SET cot_id = 1154, cot_blt_id = 67, cot_pap_id = 2, cot_prc_comum = NULL, cot_prc_min = 60, cot_prc_max = 84, cot_prc_med = 72, cot_prc_mediana = 72 WHERE cot_id = 1154;</v>
      </c>
    </row>
    <row r="1156" customFormat="false" ht="14.25" hidden="false" customHeight="false" outlineLevel="0" collapsed="false">
      <c r="A1156" s="0" t="n">
        <v>1155</v>
      </c>
      <c r="B1156" s="0" t="n">
        <f aca="false">IF('Boletins Nuppa Site'!A1156&lt;&gt;0,'Boletins Nuppa Site'!A1156,"NULL")</f>
        <v>67</v>
      </c>
      <c r="C1156" s="0" t="n">
        <v>3</v>
      </c>
      <c r="D1156" s="30" t="n">
        <f aca="false">IF('Boletins Nuppa Site'!G1156&lt;&gt;0,'Boletins Nuppa Site'!G1156,"NULL")</f>
        <v>30</v>
      </c>
      <c r="E1156" s="30" t="n">
        <f aca="false">IF('Boletins Nuppa Site'!H1156&lt;&gt;0,'Boletins Nuppa Site'!H1156,"NULL")</f>
        <v>30</v>
      </c>
      <c r="F1156" s="30" t="n">
        <f aca="false">IF('Boletins Nuppa Site'!I1156&lt;&gt;0,'Boletins Nuppa Site'!I1156,"NULL")</f>
        <v>42</v>
      </c>
      <c r="G1156" s="0" t="str">
        <f aca="false">IF('Boletins Nuppa Site'!J1156&lt;&gt;0,'Boletins Nuppa Site'!J1156,"NULL")</f>
        <v>34.5</v>
      </c>
      <c r="H1156" s="30" t="n">
        <f aca="false">IF('Boletins Nuppa Site'!K1156&lt;&gt;0,'Boletins Nuppa Site'!K1156,"NULL")</f>
        <v>33</v>
      </c>
      <c r="I1156" s="0" t="str">
        <f aca="false">"INSERT INTO COTACAO (cot_id, cot_blt_id, cot_pap_id, cot_prc_comum, cot_prc_min, cot_prc_max, cot_prc_med, cot_prc_mediana) VALUES ("&amp;A1156&amp;", "&amp;B1156&amp;", "&amp;C1156&amp;", "&amp;D1156&amp;", "&amp;E1156&amp;", "&amp;F1156&amp;", "&amp;G1156&amp;", "&amp;H1156&amp;");"</f>
        <v>INSERT INTO COTACAO (cot_id, cot_blt_id, cot_pap_id, cot_prc_comum, cot_prc_min, cot_prc_max, cot_prc_med, cot_prc_mediana) VALUES (1155, 67, 3, 30, 30, 42, 34.5, 33);</v>
      </c>
      <c r="J1156" s="0" t="str">
        <f aca="false">"UPDATE COTACAO SET cot_id = "&amp;A1156&amp;", cot_blt_id = "&amp;B1156&amp;", cot_pap_id = "&amp;C1156&amp;", cot_prc_comum = "&amp;D1156&amp;", cot_prc_min = "&amp;E1156&amp;", cot_prc_max = "&amp;F1156&amp;", cot_prc_med = "&amp;G1156&amp;", cot_prc_mediana = "&amp;H1156&amp;" WHERE cot_id = "&amp;A1156&amp;";"</f>
        <v>UPDATE COTACAO SET cot_id = 1155, cot_blt_id = 67, cot_pap_id = 3, cot_prc_comum = 30, cot_prc_min = 30, cot_prc_max = 42, cot_prc_med = 34.5, cot_prc_mediana = 33 WHERE cot_id = 1155;</v>
      </c>
    </row>
    <row r="1157" customFormat="false" ht="14.25" hidden="false" customHeight="false" outlineLevel="0" collapsed="false">
      <c r="A1157" s="0" t="n">
        <v>1156</v>
      </c>
      <c r="B1157" s="0" t="n">
        <f aca="false">IF('Boletins Nuppa Site'!A1157&lt;&gt;0,'Boletins Nuppa Site'!A1157,"NULL")</f>
        <v>67</v>
      </c>
      <c r="C1157" s="0" t="n">
        <v>4</v>
      </c>
      <c r="D1157" s="30" t="n">
        <f aca="false">IF('Boletins Nuppa Site'!G1157&lt;&gt;0,'Boletins Nuppa Site'!G1157,"NULL")</f>
        <v>24</v>
      </c>
      <c r="E1157" s="30" t="n">
        <f aca="false">IF('Boletins Nuppa Site'!H1157&lt;&gt;0,'Boletins Nuppa Site'!H1157,"NULL")</f>
        <v>18</v>
      </c>
      <c r="F1157" s="30" t="n">
        <f aca="false">IF('Boletins Nuppa Site'!I1157&lt;&gt;0,'Boletins Nuppa Site'!I1157,"NULL")</f>
        <v>24</v>
      </c>
      <c r="G1157" s="30" t="n">
        <f aca="false">IF('Boletins Nuppa Site'!J1157&lt;&gt;0,'Boletins Nuppa Site'!J1157,"NULL")</f>
        <v>21</v>
      </c>
      <c r="H1157" s="30" t="n">
        <f aca="false">IF('Boletins Nuppa Site'!K1157&lt;&gt;0,'Boletins Nuppa Site'!K1157,"NULL")</f>
        <v>21</v>
      </c>
      <c r="I1157" s="0" t="str">
        <f aca="false">"INSERT INTO COTACAO (cot_id, cot_blt_id, cot_pap_id, cot_prc_comum, cot_prc_min, cot_prc_max, cot_prc_med, cot_prc_mediana) VALUES ("&amp;A1157&amp;", "&amp;B1157&amp;", "&amp;C1157&amp;", "&amp;D1157&amp;", "&amp;E1157&amp;", "&amp;F1157&amp;", "&amp;G1157&amp;", "&amp;H1157&amp;");"</f>
        <v>INSERT INTO COTACAO (cot_id, cot_blt_id, cot_pap_id, cot_prc_comum, cot_prc_min, cot_prc_max, cot_prc_med, cot_prc_mediana) VALUES (1156, 67, 4, 24, 18, 24, 21, 21);</v>
      </c>
      <c r="J1157" s="0" t="str">
        <f aca="false">"UPDATE COTACAO SET cot_id = "&amp;A1157&amp;", cot_blt_id = "&amp;B1157&amp;", cot_pap_id = "&amp;C1157&amp;", cot_prc_comum = "&amp;D1157&amp;", cot_prc_min = "&amp;E1157&amp;", cot_prc_max = "&amp;F1157&amp;", cot_prc_med = "&amp;G1157&amp;", cot_prc_mediana = "&amp;H1157&amp;" WHERE cot_id = "&amp;A1157&amp;";"</f>
        <v>UPDATE COTACAO SET cot_id = 1156, cot_blt_id = 67, cot_pap_id = 4, cot_prc_comum = 24, cot_prc_min = 18, cot_prc_max = 24, cot_prc_med = 21, cot_prc_mediana = 21 WHERE cot_id = 1156;</v>
      </c>
    </row>
    <row r="1158" customFormat="false" ht="14.25" hidden="false" customHeight="false" outlineLevel="0" collapsed="false">
      <c r="A1158" s="0" t="n">
        <v>1157</v>
      </c>
      <c r="B1158" s="0" t="n">
        <f aca="false">IF('Boletins Nuppa Site'!A1158&lt;&gt;0,'Boletins Nuppa Site'!A1158,"NULL")</f>
        <v>67</v>
      </c>
      <c r="C1158" s="0" t="n">
        <v>5</v>
      </c>
      <c r="D1158" s="30" t="n">
        <f aca="false">IF('Boletins Nuppa Site'!G1158&lt;&gt;0,'Boletins Nuppa Site'!G1158,"NULL")</f>
        <v>24</v>
      </c>
      <c r="E1158" s="30" t="n">
        <f aca="false">IF('Boletins Nuppa Site'!H1158&lt;&gt;0,'Boletins Nuppa Site'!H1158,"NULL")</f>
        <v>18</v>
      </c>
      <c r="F1158" s="30" t="n">
        <f aca="false">IF('Boletins Nuppa Site'!I1158&lt;&gt;0,'Boletins Nuppa Site'!I1158,"NULL")</f>
        <v>24</v>
      </c>
      <c r="G1158" s="30" t="n">
        <f aca="false">IF('Boletins Nuppa Site'!J1158&lt;&gt;0,'Boletins Nuppa Site'!J1158,"NULL")</f>
        <v>22</v>
      </c>
      <c r="H1158" s="30" t="n">
        <f aca="false">IF('Boletins Nuppa Site'!K1158&lt;&gt;0,'Boletins Nuppa Site'!K1158,"NULL")</f>
        <v>24</v>
      </c>
      <c r="I1158" s="0" t="str">
        <f aca="false">"INSERT INTO COTACAO (cot_id, cot_blt_id, cot_pap_id, cot_prc_comum, cot_prc_min, cot_prc_max, cot_prc_med, cot_prc_mediana) VALUES ("&amp;A1158&amp;", "&amp;B1158&amp;", "&amp;C1158&amp;", "&amp;D1158&amp;", "&amp;E1158&amp;", "&amp;F1158&amp;", "&amp;G1158&amp;", "&amp;H1158&amp;");"</f>
        <v>INSERT INTO COTACAO (cot_id, cot_blt_id, cot_pap_id, cot_prc_comum, cot_prc_min, cot_prc_max, cot_prc_med, cot_prc_mediana) VALUES (1157, 67, 5, 24, 18, 24, 22, 24);</v>
      </c>
      <c r="J1158" s="0" t="str">
        <f aca="false">"UPDATE COTACAO SET cot_id = "&amp;A1158&amp;", cot_blt_id = "&amp;B1158&amp;", cot_pap_id = "&amp;C1158&amp;", cot_prc_comum = "&amp;D1158&amp;", cot_prc_min = "&amp;E1158&amp;", cot_prc_max = "&amp;F1158&amp;", cot_prc_med = "&amp;G1158&amp;", cot_prc_mediana = "&amp;H1158&amp;" WHERE cot_id = "&amp;A1158&amp;";"</f>
        <v>UPDATE COTACAO SET cot_id = 1157, cot_blt_id = 67, cot_pap_id = 5, cot_prc_comum = 24, cot_prc_min = 18, cot_prc_max = 24, cot_prc_med = 22, cot_prc_mediana = 24 WHERE cot_id = 1157;</v>
      </c>
    </row>
    <row r="1159" customFormat="false" ht="14.25" hidden="false" customHeight="false" outlineLevel="0" collapsed="false">
      <c r="A1159" s="0" t="n">
        <v>1158</v>
      </c>
      <c r="B1159" s="0" t="n">
        <f aca="false">IF('Boletins Nuppa Site'!A1159&lt;&gt;0,'Boletins Nuppa Site'!A1159,"NULL")</f>
        <v>67</v>
      </c>
      <c r="C1159" s="0" t="n">
        <v>6</v>
      </c>
      <c r="D1159" s="30" t="n">
        <f aca="false">IF('Boletins Nuppa Site'!G1159&lt;&gt;0,'Boletins Nuppa Site'!G1159,"NULL")</f>
        <v>60</v>
      </c>
      <c r="E1159" s="30" t="n">
        <f aca="false">IF('Boletins Nuppa Site'!H1159&lt;&gt;0,'Boletins Nuppa Site'!H1159,"NULL")</f>
        <v>48</v>
      </c>
      <c r="F1159" s="30" t="n">
        <f aca="false">IF('Boletins Nuppa Site'!I1159&lt;&gt;0,'Boletins Nuppa Site'!I1159,"NULL")</f>
        <v>60</v>
      </c>
      <c r="G1159" s="30" t="n">
        <f aca="false">IF('Boletins Nuppa Site'!J1159&lt;&gt;0,'Boletins Nuppa Site'!J1159,"NULL")</f>
        <v>56</v>
      </c>
      <c r="H1159" s="30" t="n">
        <f aca="false">IF('Boletins Nuppa Site'!K1159&lt;&gt;0,'Boletins Nuppa Site'!K1159,"NULL")</f>
        <v>60</v>
      </c>
      <c r="I1159" s="0" t="str">
        <f aca="false">"INSERT INTO COTACAO (cot_id, cot_blt_id, cot_pap_id, cot_prc_comum, cot_prc_min, cot_prc_max, cot_prc_med, cot_prc_mediana) VALUES ("&amp;A1159&amp;", "&amp;B1159&amp;", "&amp;C1159&amp;", "&amp;D1159&amp;", "&amp;E1159&amp;", "&amp;F1159&amp;", "&amp;G1159&amp;", "&amp;H1159&amp;");"</f>
        <v>INSERT INTO COTACAO (cot_id, cot_blt_id, cot_pap_id, cot_prc_comum, cot_prc_min, cot_prc_max, cot_prc_med, cot_prc_mediana) VALUES (1158, 67, 6, 60, 48, 60, 56, 60);</v>
      </c>
      <c r="J1159" s="0" t="str">
        <f aca="false">"UPDATE COTACAO SET cot_id = "&amp;A1159&amp;", cot_blt_id = "&amp;B1159&amp;", cot_pap_id = "&amp;C1159&amp;", cot_prc_comum = "&amp;D1159&amp;", cot_prc_min = "&amp;E1159&amp;", cot_prc_max = "&amp;F1159&amp;", cot_prc_med = "&amp;G1159&amp;", cot_prc_mediana = "&amp;H1159&amp;" WHERE cot_id = "&amp;A1159&amp;";"</f>
        <v>UPDATE COTACAO SET cot_id = 1158, cot_blt_id = 67, cot_pap_id = 6, cot_prc_comum = 60, cot_prc_min = 48, cot_prc_max = 60, cot_prc_med = 56, cot_prc_mediana = 60 WHERE cot_id = 1158;</v>
      </c>
    </row>
    <row r="1160" customFormat="false" ht="14.25" hidden="false" customHeight="false" outlineLevel="0" collapsed="false">
      <c r="A1160" s="0" t="n">
        <v>1159</v>
      </c>
      <c r="B1160" s="0" t="n">
        <f aca="false">IF('Boletins Nuppa Site'!A1160&lt;&gt;0,'Boletins Nuppa Site'!A1160,"NULL")</f>
        <v>67</v>
      </c>
      <c r="C1160" s="0" t="n">
        <v>7</v>
      </c>
      <c r="D1160" s="30" t="n">
        <f aca="false">IF('Boletins Nuppa Site'!G1160&lt;&gt;0,'Boletins Nuppa Site'!G1160,"NULL")</f>
        <v>60</v>
      </c>
      <c r="E1160" s="30" t="n">
        <f aca="false">IF('Boletins Nuppa Site'!H1160&lt;&gt;0,'Boletins Nuppa Site'!H1160,"NULL")</f>
        <v>60</v>
      </c>
      <c r="F1160" s="30" t="n">
        <f aca="false">IF('Boletins Nuppa Site'!I1160&lt;&gt;0,'Boletins Nuppa Site'!I1160,"NULL")</f>
        <v>60</v>
      </c>
      <c r="G1160" s="30" t="n">
        <f aca="false">IF('Boletins Nuppa Site'!J1160&lt;&gt;0,'Boletins Nuppa Site'!J1160,"NULL")</f>
        <v>60</v>
      </c>
      <c r="H1160" s="30" t="n">
        <f aca="false">IF('Boletins Nuppa Site'!K1160&lt;&gt;0,'Boletins Nuppa Site'!K1160,"NULL")</f>
        <v>60</v>
      </c>
      <c r="I1160" s="0" t="str">
        <f aca="false">"INSERT INTO COTACAO (cot_id, cot_blt_id, cot_pap_id, cot_prc_comum, cot_prc_min, cot_prc_max, cot_prc_med, cot_prc_mediana) VALUES ("&amp;A1160&amp;", "&amp;B1160&amp;", "&amp;C1160&amp;", "&amp;D1160&amp;", "&amp;E1160&amp;", "&amp;F1160&amp;", "&amp;G1160&amp;", "&amp;H1160&amp;");"</f>
        <v>INSERT INTO COTACAO (cot_id, cot_blt_id, cot_pap_id, cot_prc_comum, cot_prc_min, cot_prc_max, cot_prc_med, cot_prc_mediana) VALUES (1159, 67, 7, 60, 60, 60, 60, 60);</v>
      </c>
      <c r="J1160" s="0" t="str">
        <f aca="false">"UPDATE COTACAO SET cot_id = "&amp;A1160&amp;", cot_blt_id = "&amp;B1160&amp;", cot_pap_id = "&amp;C1160&amp;", cot_prc_comum = "&amp;D1160&amp;", cot_prc_min = "&amp;E1160&amp;", cot_prc_max = "&amp;F1160&amp;", cot_prc_med = "&amp;G1160&amp;", cot_prc_mediana = "&amp;H1160&amp;" WHERE cot_id = "&amp;A1160&amp;";"</f>
        <v>UPDATE COTACAO SET cot_id = 1159, cot_blt_id = 67, cot_pap_id = 7, cot_prc_comum = 60, cot_prc_min = 60, cot_prc_max = 60, cot_prc_med = 60, cot_prc_mediana = 60 WHERE cot_id = 1159;</v>
      </c>
    </row>
    <row r="1161" customFormat="false" ht="14.25" hidden="false" customHeight="false" outlineLevel="0" collapsed="false">
      <c r="A1161" s="0" t="n">
        <v>1160</v>
      </c>
      <c r="B1161" s="0" t="n">
        <f aca="false">IF('Boletins Nuppa Site'!A1161&lt;&gt;0,'Boletins Nuppa Site'!A1161,"NULL")</f>
        <v>67</v>
      </c>
      <c r="C1161" s="0" t="n">
        <v>8</v>
      </c>
      <c r="D1161" s="30" t="n">
        <f aca="false">IF('Boletins Nuppa Site'!G1161&lt;&gt;0,'Boletins Nuppa Site'!G1161,"NULL")</f>
        <v>72</v>
      </c>
      <c r="E1161" s="30" t="n">
        <f aca="false">IF('Boletins Nuppa Site'!H1161&lt;&gt;0,'Boletins Nuppa Site'!H1161,"NULL")</f>
        <v>40</v>
      </c>
      <c r="F1161" s="30" t="n">
        <f aca="false">IF('Boletins Nuppa Site'!I1161&lt;&gt;0,'Boletins Nuppa Site'!I1161,"NULL")</f>
        <v>72</v>
      </c>
      <c r="G1161" s="30" t="n">
        <f aca="false">IF('Boletins Nuppa Site'!J1161&lt;&gt;0,'Boletins Nuppa Site'!J1161,"NULL")</f>
        <v>64</v>
      </c>
      <c r="H1161" s="30" t="n">
        <f aca="false">IF('Boletins Nuppa Site'!K1161&lt;&gt;0,'Boletins Nuppa Site'!K1161,"NULL")</f>
        <v>72</v>
      </c>
      <c r="I1161" s="0" t="str">
        <f aca="false">"INSERT INTO COTACAO (cot_id, cot_blt_id, cot_pap_id, cot_prc_comum, cot_prc_min, cot_prc_max, cot_prc_med, cot_prc_mediana) VALUES ("&amp;A1161&amp;", "&amp;B1161&amp;", "&amp;C1161&amp;", "&amp;D1161&amp;", "&amp;E1161&amp;", "&amp;F1161&amp;", "&amp;G1161&amp;", "&amp;H1161&amp;");"</f>
        <v>INSERT INTO COTACAO (cot_id, cot_blt_id, cot_pap_id, cot_prc_comum, cot_prc_min, cot_prc_max, cot_prc_med, cot_prc_mediana) VALUES (1160, 67, 8, 72, 40, 72, 64, 72);</v>
      </c>
      <c r="J1161" s="0" t="str">
        <f aca="false">"UPDATE COTACAO SET cot_id = "&amp;A1161&amp;", cot_blt_id = "&amp;B1161&amp;", cot_pap_id = "&amp;C1161&amp;", cot_prc_comum = "&amp;D1161&amp;", cot_prc_min = "&amp;E1161&amp;", cot_prc_max = "&amp;F1161&amp;", cot_prc_med = "&amp;G1161&amp;", cot_prc_mediana = "&amp;H1161&amp;" WHERE cot_id = "&amp;A1161&amp;";"</f>
        <v>UPDATE COTACAO SET cot_id = 1160, cot_blt_id = 67, cot_pap_id = 8, cot_prc_comum = 72, cot_prc_min = 40, cot_prc_max = 72, cot_prc_med = 64, cot_prc_mediana = 72 WHERE cot_id = 1160;</v>
      </c>
    </row>
    <row r="1162" customFormat="false" ht="14.25" hidden="false" customHeight="false" outlineLevel="0" collapsed="false">
      <c r="A1162" s="0" t="n">
        <v>1161</v>
      </c>
      <c r="B1162" s="0" t="n">
        <f aca="false">IF('Boletins Nuppa Site'!A1162&lt;&gt;0,'Boletins Nuppa Site'!A1162,"NULL")</f>
        <v>67</v>
      </c>
      <c r="C1162" s="0" t="n">
        <v>9</v>
      </c>
      <c r="D1162" s="30" t="n">
        <f aca="false">IF('Boletins Nuppa Site'!G1162&lt;&gt;0,'Boletins Nuppa Site'!G1162,"NULL")</f>
        <v>24</v>
      </c>
      <c r="E1162" s="30" t="n">
        <f aca="false">IF('Boletins Nuppa Site'!H1162&lt;&gt;0,'Boletins Nuppa Site'!H1162,"NULL")</f>
        <v>15</v>
      </c>
      <c r="F1162" s="30" t="n">
        <f aca="false">IF('Boletins Nuppa Site'!I1162&lt;&gt;0,'Boletins Nuppa Site'!I1162,"NULL")</f>
        <v>24</v>
      </c>
      <c r="G1162" s="0" t="str">
        <f aca="false">IF('Boletins Nuppa Site'!J1162&lt;&gt;0,'Boletins Nuppa Site'!J1162,"NULL")</f>
        <v>20.25</v>
      </c>
      <c r="H1162" s="30" t="n">
        <f aca="false">IF('Boletins Nuppa Site'!K1162&lt;&gt;0,'Boletins Nuppa Site'!K1162,"NULL")</f>
        <v>21</v>
      </c>
      <c r="I1162" s="0" t="str">
        <f aca="false">"INSERT INTO COTACAO (cot_id, cot_blt_id, cot_pap_id, cot_prc_comum, cot_prc_min, cot_prc_max, cot_prc_med, cot_prc_mediana) VALUES ("&amp;A1162&amp;", "&amp;B1162&amp;", "&amp;C1162&amp;", "&amp;D1162&amp;", "&amp;E1162&amp;", "&amp;F1162&amp;", "&amp;G1162&amp;", "&amp;H1162&amp;");"</f>
        <v>INSERT INTO COTACAO (cot_id, cot_blt_id, cot_pap_id, cot_prc_comum, cot_prc_min, cot_prc_max, cot_prc_med, cot_prc_mediana) VALUES (1161, 67, 9, 24, 15, 24, 20.25, 21);</v>
      </c>
      <c r="J1162" s="0" t="str">
        <f aca="false">"UPDATE COTACAO SET cot_id = "&amp;A1162&amp;", cot_blt_id = "&amp;B1162&amp;", cot_pap_id = "&amp;C1162&amp;", cot_prc_comum = "&amp;D1162&amp;", cot_prc_min = "&amp;E1162&amp;", cot_prc_max = "&amp;F1162&amp;", cot_prc_med = "&amp;G1162&amp;", cot_prc_mediana = "&amp;H1162&amp;" WHERE cot_id = "&amp;A1162&amp;";"</f>
        <v>UPDATE COTACAO SET cot_id = 1161, cot_blt_id = 67, cot_pap_id = 9, cot_prc_comum = 24, cot_prc_min = 15, cot_prc_max = 24, cot_prc_med = 20.25, cot_prc_mediana = 21 WHERE cot_id = 1161;</v>
      </c>
    </row>
    <row r="1163" customFormat="false" ht="14.25" hidden="false" customHeight="false" outlineLevel="0" collapsed="false">
      <c r="A1163" s="0" t="n">
        <v>1162</v>
      </c>
      <c r="B1163" s="0" t="n">
        <f aca="false">IF('Boletins Nuppa Site'!A1163&lt;&gt;0,'Boletins Nuppa Site'!A1163,"NULL")</f>
        <v>67</v>
      </c>
      <c r="C1163" s="0" t="n">
        <v>10</v>
      </c>
      <c r="D1163" s="30" t="n">
        <f aca="false">IF('Boletins Nuppa Site'!G1163&lt;&gt;0,'Boletins Nuppa Site'!G1163,"NULL")</f>
        <v>60</v>
      </c>
      <c r="E1163" s="30" t="n">
        <f aca="false">IF('Boletins Nuppa Site'!H1163&lt;&gt;0,'Boletins Nuppa Site'!H1163,"NULL")</f>
        <v>60</v>
      </c>
      <c r="F1163" s="30" t="n">
        <f aca="false">IF('Boletins Nuppa Site'!I1163&lt;&gt;0,'Boletins Nuppa Site'!I1163,"NULL")</f>
        <v>72</v>
      </c>
      <c r="G1163" s="30" t="n">
        <f aca="false">IF('Boletins Nuppa Site'!J1163&lt;&gt;0,'Boletins Nuppa Site'!J1163,"NULL")</f>
        <v>64</v>
      </c>
      <c r="H1163" s="30" t="n">
        <f aca="false">IF('Boletins Nuppa Site'!K1163&lt;&gt;0,'Boletins Nuppa Site'!K1163,"NULL")</f>
        <v>60</v>
      </c>
      <c r="I1163" s="0" t="str">
        <f aca="false">"INSERT INTO COTACAO (cot_id, cot_blt_id, cot_pap_id, cot_prc_comum, cot_prc_min, cot_prc_max, cot_prc_med, cot_prc_mediana) VALUES ("&amp;A1163&amp;", "&amp;B1163&amp;", "&amp;C1163&amp;", "&amp;D1163&amp;", "&amp;E1163&amp;", "&amp;F1163&amp;", "&amp;G1163&amp;", "&amp;H1163&amp;");"</f>
        <v>INSERT INTO COTACAO (cot_id, cot_blt_id, cot_pap_id, cot_prc_comum, cot_prc_min, cot_prc_max, cot_prc_med, cot_prc_mediana) VALUES (1162, 67, 10, 60, 60, 72, 64, 60);</v>
      </c>
      <c r="J1163" s="0" t="str">
        <f aca="false">"UPDATE COTACAO SET cot_id = "&amp;A1163&amp;", cot_blt_id = "&amp;B1163&amp;", cot_pap_id = "&amp;C1163&amp;", cot_prc_comum = "&amp;D1163&amp;", cot_prc_min = "&amp;E1163&amp;", cot_prc_max = "&amp;F1163&amp;", cot_prc_med = "&amp;G1163&amp;", cot_prc_mediana = "&amp;H1163&amp;" WHERE cot_id = "&amp;A1163&amp;";"</f>
        <v>UPDATE COTACAO SET cot_id = 1162, cot_blt_id = 67, cot_pap_id = 10, cot_prc_comum = 60, cot_prc_min = 60, cot_prc_max = 72, cot_prc_med = 64, cot_prc_mediana = 60 WHERE cot_id = 1162;</v>
      </c>
    </row>
    <row r="1164" customFormat="false" ht="14.25" hidden="false" customHeight="false" outlineLevel="0" collapsed="false">
      <c r="A1164" s="0" t="n">
        <v>1163</v>
      </c>
      <c r="B1164" s="0" t="n">
        <f aca="false">IF('Boletins Nuppa Site'!A1164&lt;&gt;0,'Boletins Nuppa Site'!A1164,"NULL")</f>
        <v>67</v>
      </c>
      <c r="C1164" s="0" t="n">
        <v>11</v>
      </c>
      <c r="D1164" s="30" t="n">
        <f aca="false">IF('Boletins Nuppa Site'!G1164&lt;&gt;0,'Boletins Nuppa Site'!G1164,"NULL")</f>
        <v>24</v>
      </c>
      <c r="E1164" s="30" t="n">
        <f aca="false">IF('Boletins Nuppa Site'!H1164&lt;&gt;0,'Boletins Nuppa Site'!H1164,"NULL")</f>
        <v>18</v>
      </c>
      <c r="F1164" s="30" t="n">
        <f aca="false">IF('Boletins Nuppa Site'!I1164&lt;&gt;0,'Boletins Nuppa Site'!I1164,"NULL")</f>
        <v>24</v>
      </c>
      <c r="G1164" s="0" t="str">
        <f aca="false">IF('Boletins Nuppa Site'!J1164&lt;&gt;0,'Boletins Nuppa Site'!J1164,"NULL")</f>
        <v>22.5</v>
      </c>
      <c r="H1164" s="30" t="n">
        <f aca="false">IF('Boletins Nuppa Site'!K1164&lt;&gt;0,'Boletins Nuppa Site'!K1164,"NULL")</f>
        <v>24</v>
      </c>
      <c r="I1164" s="0" t="str">
        <f aca="false">"INSERT INTO COTACAO (cot_id, cot_blt_id, cot_pap_id, cot_prc_comum, cot_prc_min, cot_prc_max, cot_prc_med, cot_prc_mediana) VALUES ("&amp;A1164&amp;", "&amp;B1164&amp;", "&amp;C1164&amp;", "&amp;D1164&amp;", "&amp;E1164&amp;", "&amp;F1164&amp;", "&amp;G1164&amp;", "&amp;H1164&amp;");"</f>
        <v>INSERT INTO COTACAO (cot_id, cot_blt_id, cot_pap_id, cot_prc_comum, cot_prc_min, cot_prc_max, cot_prc_med, cot_prc_mediana) VALUES (1163, 67, 11, 24, 18, 24, 22.5, 24);</v>
      </c>
      <c r="J1164" s="0" t="str">
        <f aca="false">"UPDATE COTACAO SET cot_id = "&amp;A1164&amp;", cot_blt_id = "&amp;B1164&amp;", cot_pap_id = "&amp;C1164&amp;", cot_prc_comum = "&amp;D1164&amp;", cot_prc_min = "&amp;E1164&amp;", cot_prc_max = "&amp;F1164&amp;", cot_prc_med = "&amp;G1164&amp;", cot_prc_mediana = "&amp;H1164&amp;" WHERE cot_id = "&amp;A1164&amp;";"</f>
        <v>UPDATE COTACAO SET cot_id = 1163, cot_blt_id = 67, cot_pap_id = 11, cot_prc_comum = 24, cot_prc_min = 18, cot_prc_max = 24, cot_prc_med = 22.5, cot_prc_mediana = 24 WHERE cot_id = 1163;</v>
      </c>
    </row>
    <row r="1165" customFormat="false" ht="14.25" hidden="false" customHeight="false" outlineLevel="0" collapsed="false">
      <c r="A1165" s="0" t="n">
        <v>1164</v>
      </c>
      <c r="B1165" s="0" t="n">
        <f aca="false">IF('Boletins Nuppa Site'!A1165&lt;&gt;0,'Boletins Nuppa Site'!A1165,"NULL")</f>
        <v>67</v>
      </c>
      <c r="C1165" s="0" t="n">
        <v>12</v>
      </c>
      <c r="D1165" s="30" t="n">
        <f aca="false">IF('Boletins Nuppa Site'!G1165&lt;&gt;0,'Boletins Nuppa Site'!G1165,"NULL")</f>
        <v>60</v>
      </c>
      <c r="E1165" s="30" t="n">
        <f aca="false">IF('Boletins Nuppa Site'!H1165&lt;&gt;0,'Boletins Nuppa Site'!H1165,"NULL")</f>
        <v>48</v>
      </c>
      <c r="F1165" s="30" t="n">
        <f aca="false">IF('Boletins Nuppa Site'!I1165&lt;&gt;0,'Boletins Nuppa Site'!I1165,"NULL")</f>
        <v>60</v>
      </c>
      <c r="G1165" s="30" t="n">
        <f aca="false">IF('Boletins Nuppa Site'!J1165&lt;&gt;0,'Boletins Nuppa Site'!J1165,"NULL")</f>
        <v>56</v>
      </c>
      <c r="H1165" s="30" t="n">
        <f aca="false">IF('Boletins Nuppa Site'!K1165&lt;&gt;0,'Boletins Nuppa Site'!K1165,"NULL")</f>
        <v>60</v>
      </c>
      <c r="I1165" s="0" t="str">
        <f aca="false">"INSERT INTO COTACAO (cot_id, cot_blt_id, cot_pap_id, cot_prc_comum, cot_prc_min, cot_prc_max, cot_prc_med, cot_prc_mediana) VALUES ("&amp;A1165&amp;", "&amp;B1165&amp;", "&amp;C1165&amp;", "&amp;D1165&amp;", "&amp;E1165&amp;", "&amp;F1165&amp;", "&amp;G1165&amp;", "&amp;H1165&amp;");"</f>
        <v>INSERT INTO COTACAO (cot_id, cot_blt_id, cot_pap_id, cot_prc_comum, cot_prc_min, cot_prc_max, cot_prc_med, cot_prc_mediana) VALUES (1164, 67, 12, 60, 48, 60, 56, 60);</v>
      </c>
      <c r="J1165" s="0" t="str">
        <f aca="false">"UPDATE COTACAO SET cot_id = "&amp;A1165&amp;", cot_blt_id = "&amp;B1165&amp;", cot_pap_id = "&amp;C1165&amp;", cot_prc_comum = "&amp;D1165&amp;", cot_prc_min = "&amp;E1165&amp;", cot_prc_max = "&amp;F1165&amp;", cot_prc_med = "&amp;G1165&amp;", cot_prc_mediana = "&amp;H1165&amp;" WHERE cot_id = "&amp;A1165&amp;";"</f>
        <v>UPDATE COTACAO SET cot_id = 1164, cot_blt_id = 67, cot_pap_id = 12, cot_prc_comum = 60, cot_prc_min = 48, cot_prc_max = 60, cot_prc_med = 56, cot_prc_mediana = 60 WHERE cot_id = 1164;</v>
      </c>
    </row>
    <row r="1166" customFormat="false" ht="14.25" hidden="false" customHeight="false" outlineLevel="0" collapsed="false">
      <c r="A1166" s="0" t="n">
        <v>1165</v>
      </c>
      <c r="B1166" s="0" t="n">
        <f aca="false">IF('Boletins Nuppa Site'!A1166&lt;&gt;0,'Boletins Nuppa Site'!A1166,"NULL")</f>
        <v>67</v>
      </c>
      <c r="C1166" s="0" t="n">
        <v>13</v>
      </c>
      <c r="D1166" s="30" t="n">
        <f aca="false">IF('Boletins Nuppa Site'!G1166&lt;&gt;0,'Boletins Nuppa Site'!G1166,"NULL")</f>
        <v>48</v>
      </c>
      <c r="E1166" s="30" t="n">
        <f aca="false">IF('Boletins Nuppa Site'!H1166&lt;&gt;0,'Boletins Nuppa Site'!H1166,"NULL")</f>
        <v>42</v>
      </c>
      <c r="F1166" s="30" t="n">
        <f aca="false">IF('Boletins Nuppa Site'!I1166&lt;&gt;0,'Boletins Nuppa Site'!I1166,"NULL")</f>
        <v>48</v>
      </c>
      <c r="G1166" s="0" t="str">
        <f aca="false">IF('Boletins Nuppa Site'!J1166&lt;&gt;0,'Boletins Nuppa Site'!J1166,"NULL")</f>
        <v>46.5</v>
      </c>
      <c r="H1166" s="30" t="n">
        <f aca="false">IF('Boletins Nuppa Site'!K1166&lt;&gt;0,'Boletins Nuppa Site'!K1166,"NULL")</f>
        <v>48</v>
      </c>
      <c r="I1166" s="0" t="str">
        <f aca="false">"INSERT INTO COTACAO (cot_id, cot_blt_id, cot_pap_id, cot_prc_comum, cot_prc_min, cot_prc_max, cot_prc_med, cot_prc_mediana) VALUES ("&amp;A1166&amp;", "&amp;B1166&amp;", "&amp;C1166&amp;", "&amp;D1166&amp;", "&amp;E1166&amp;", "&amp;F1166&amp;", "&amp;G1166&amp;", "&amp;H1166&amp;");"</f>
        <v>INSERT INTO COTACAO (cot_id, cot_blt_id, cot_pap_id, cot_prc_comum, cot_prc_min, cot_prc_max, cot_prc_med, cot_prc_mediana) VALUES (1165, 67, 13, 48, 42, 48, 46.5, 48);</v>
      </c>
      <c r="J1166" s="0" t="str">
        <f aca="false">"UPDATE COTACAO SET cot_id = "&amp;A1166&amp;", cot_blt_id = "&amp;B1166&amp;", cot_pap_id = "&amp;C1166&amp;", cot_prc_comum = "&amp;D1166&amp;", cot_prc_min = "&amp;E1166&amp;", cot_prc_max = "&amp;F1166&amp;", cot_prc_med = "&amp;G1166&amp;", cot_prc_mediana = "&amp;H1166&amp;" WHERE cot_id = "&amp;A1166&amp;";"</f>
        <v>UPDATE COTACAO SET cot_id = 1165, cot_blt_id = 67, cot_pap_id = 13, cot_prc_comum = 48, cot_prc_min = 42, cot_prc_max = 48, cot_prc_med = 46.5, cot_prc_mediana = 48 WHERE cot_id = 1165;</v>
      </c>
    </row>
    <row r="1167" customFormat="false" ht="14.25" hidden="false" customHeight="false" outlineLevel="0" collapsed="false">
      <c r="A1167" s="0" t="n">
        <v>1166</v>
      </c>
      <c r="B1167" s="0" t="n">
        <f aca="false">IF('Boletins Nuppa Site'!A1167&lt;&gt;0,'Boletins Nuppa Site'!A1167,"NULL")</f>
        <v>67</v>
      </c>
      <c r="C1167" s="0" t="n">
        <v>14</v>
      </c>
      <c r="D1167" s="30" t="n">
        <f aca="false">IF('Boletins Nuppa Site'!G1167&lt;&gt;0,'Boletins Nuppa Site'!G1167,"NULL")</f>
        <v>60</v>
      </c>
      <c r="E1167" s="30" t="n">
        <f aca="false">IF('Boletins Nuppa Site'!H1167&lt;&gt;0,'Boletins Nuppa Site'!H1167,"NULL")</f>
        <v>60</v>
      </c>
      <c r="F1167" s="30" t="n">
        <f aca="false">IF('Boletins Nuppa Site'!I1167&lt;&gt;0,'Boletins Nuppa Site'!I1167,"NULL")</f>
        <v>60</v>
      </c>
      <c r="G1167" s="30" t="n">
        <f aca="false">IF('Boletins Nuppa Site'!J1167&lt;&gt;0,'Boletins Nuppa Site'!J1167,"NULL")</f>
        <v>60</v>
      </c>
      <c r="H1167" s="30" t="n">
        <f aca="false">IF('Boletins Nuppa Site'!K1167&lt;&gt;0,'Boletins Nuppa Site'!K1167,"NULL")</f>
        <v>60</v>
      </c>
      <c r="I1167" s="0" t="str">
        <f aca="false">"INSERT INTO COTACAO (cot_id, cot_blt_id, cot_pap_id, cot_prc_comum, cot_prc_min, cot_prc_max, cot_prc_med, cot_prc_mediana) VALUES ("&amp;A1167&amp;", "&amp;B1167&amp;", "&amp;C1167&amp;", "&amp;D1167&amp;", "&amp;E1167&amp;", "&amp;F1167&amp;", "&amp;G1167&amp;", "&amp;H1167&amp;");"</f>
        <v>INSERT INTO COTACAO (cot_id, cot_blt_id, cot_pap_id, cot_prc_comum, cot_prc_min, cot_prc_max, cot_prc_med, cot_prc_mediana) VALUES (1166, 67, 14, 60, 60, 60, 60, 60);</v>
      </c>
      <c r="J1167" s="0" t="str">
        <f aca="false">"UPDATE COTACAO SET cot_id = "&amp;A1167&amp;", cot_blt_id = "&amp;B1167&amp;", cot_pap_id = "&amp;C1167&amp;", cot_prc_comum = "&amp;D1167&amp;", cot_prc_min = "&amp;E1167&amp;", cot_prc_max = "&amp;F1167&amp;", cot_prc_med = "&amp;G1167&amp;", cot_prc_mediana = "&amp;H1167&amp;" WHERE cot_id = "&amp;A1167&amp;";"</f>
        <v>UPDATE COTACAO SET cot_id = 1166, cot_blt_id = 67, cot_pap_id = 14, cot_prc_comum = 60, cot_prc_min = 60, cot_prc_max = 60, cot_prc_med = 60, cot_prc_mediana = 60 WHERE cot_id = 1166;</v>
      </c>
    </row>
    <row r="1168" customFormat="false" ht="14.25" hidden="false" customHeight="false" outlineLevel="0" collapsed="false">
      <c r="A1168" s="0" t="n">
        <v>1167</v>
      </c>
      <c r="B1168" s="0" t="n">
        <f aca="false">IF('Boletins Nuppa Site'!A1168&lt;&gt;0,'Boletins Nuppa Site'!A1168,"NULL")</f>
        <v>67</v>
      </c>
      <c r="C1168" s="0" t="n">
        <v>15</v>
      </c>
      <c r="D1168" s="30" t="n">
        <f aca="false">IF('Boletins Nuppa Site'!G1168&lt;&gt;0,'Boletins Nuppa Site'!G1168,"NULL")</f>
        <v>36</v>
      </c>
      <c r="E1168" s="30" t="n">
        <f aca="false">IF('Boletins Nuppa Site'!H1168&lt;&gt;0,'Boletins Nuppa Site'!H1168,"NULL")</f>
        <v>30</v>
      </c>
      <c r="F1168" s="30" t="n">
        <f aca="false">IF('Boletins Nuppa Site'!I1168&lt;&gt;0,'Boletins Nuppa Site'!I1168,"NULL")</f>
        <v>36</v>
      </c>
      <c r="G1168" s="0" t="str">
        <f aca="false">IF('Boletins Nuppa Site'!J1168&lt;&gt;0,'Boletins Nuppa Site'!J1168,"NULL")</f>
        <v>34.25</v>
      </c>
      <c r="H1168" s="0" t="str">
        <f aca="false">IF('Boletins Nuppa Site'!K1168&lt;&gt;0,'Boletins Nuppa Site'!K1168,"NULL")</f>
        <v>35.5</v>
      </c>
      <c r="I1168" s="0" t="str">
        <f aca="false">"INSERT INTO COTACAO (cot_id, cot_blt_id, cot_pap_id, cot_prc_comum, cot_prc_min, cot_prc_max, cot_prc_med, cot_prc_mediana) VALUES ("&amp;A1168&amp;", "&amp;B1168&amp;", "&amp;C1168&amp;", "&amp;D1168&amp;", "&amp;E1168&amp;", "&amp;F1168&amp;", "&amp;G1168&amp;", "&amp;H1168&amp;");"</f>
        <v>INSERT INTO COTACAO (cot_id, cot_blt_id, cot_pap_id, cot_prc_comum, cot_prc_min, cot_prc_max, cot_prc_med, cot_prc_mediana) VALUES (1167, 67, 15, 36, 30, 36, 34.25, 35.5);</v>
      </c>
      <c r="J1168" s="0" t="str">
        <f aca="false">"UPDATE COTACAO SET cot_id = "&amp;A1168&amp;", cot_blt_id = "&amp;B1168&amp;", cot_pap_id = "&amp;C1168&amp;", cot_prc_comum = "&amp;D1168&amp;", cot_prc_min = "&amp;E1168&amp;", cot_prc_max = "&amp;F1168&amp;", cot_prc_med = "&amp;G1168&amp;", cot_prc_mediana = "&amp;H1168&amp;" WHERE cot_id = "&amp;A1168&amp;";"</f>
        <v>UPDATE COTACAO SET cot_id = 1167, cot_blt_id = 67, cot_pap_id = 15, cot_prc_comum = 36, cot_prc_min = 30, cot_prc_max = 36, cot_prc_med = 34.25, cot_prc_mediana = 35.5 WHERE cot_id = 1167;</v>
      </c>
    </row>
    <row r="1169" customFormat="false" ht="14.25" hidden="false" customHeight="false" outlineLevel="0" collapsed="false">
      <c r="A1169" s="0" t="n">
        <v>1168</v>
      </c>
      <c r="B1169" s="0" t="n">
        <f aca="false">IF('Boletins Nuppa Site'!A1169&lt;&gt;0,'Boletins Nuppa Site'!A1169,"NULL")</f>
        <v>67</v>
      </c>
      <c r="C1169" s="0" t="n">
        <v>16</v>
      </c>
      <c r="D1169" s="30" t="n">
        <f aca="false">IF('Boletins Nuppa Site'!G1169&lt;&gt;0,'Boletins Nuppa Site'!G1169,"NULL")</f>
        <v>48</v>
      </c>
      <c r="E1169" s="30" t="n">
        <f aca="false">IF('Boletins Nuppa Site'!H1169&lt;&gt;0,'Boletins Nuppa Site'!H1169,"NULL")</f>
        <v>48</v>
      </c>
      <c r="F1169" s="30" t="n">
        <f aca="false">IF('Boletins Nuppa Site'!I1169&lt;&gt;0,'Boletins Nuppa Site'!I1169,"NULL")</f>
        <v>54</v>
      </c>
      <c r="G1169" s="0" t="str">
        <f aca="false">IF('Boletins Nuppa Site'!J1169&lt;&gt;0,'Boletins Nuppa Site'!J1169,"NULL")</f>
        <v>49.5</v>
      </c>
      <c r="H1169" s="30" t="n">
        <f aca="false">IF('Boletins Nuppa Site'!K1169&lt;&gt;0,'Boletins Nuppa Site'!K1169,"NULL")</f>
        <v>48</v>
      </c>
      <c r="I1169" s="0" t="str">
        <f aca="false">"INSERT INTO COTACAO (cot_id, cot_blt_id, cot_pap_id, cot_prc_comum, cot_prc_min, cot_prc_max, cot_prc_med, cot_prc_mediana) VALUES ("&amp;A1169&amp;", "&amp;B1169&amp;", "&amp;C1169&amp;", "&amp;D1169&amp;", "&amp;E1169&amp;", "&amp;F1169&amp;", "&amp;G1169&amp;", "&amp;H1169&amp;");"</f>
        <v>INSERT INTO COTACAO (cot_id, cot_blt_id, cot_pap_id, cot_prc_comum, cot_prc_min, cot_prc_max, cot_prc_med, cot_prc_mediana) VALUES (1168, 67, 16, 48, 48, 54, 49.5, 48);</v>
      </c>
      <c r="J1169" s="0" t="str">
        <f aca="false">"UPDATE COTACAO SET cot_id = "&amp;A1169&amp;", cot_blt_id = "&amp;B1169&amp;", cot_pap_id = "&amp;C1169&amp;", cot_prc_comum = "&amp;D1169&amp;", cot_prc_min = "&amp;E1169&amp;", cot_prc_max = "&amp;F1169&amp;", cot_prc_med = "&amp;G1169&amp;", cot_prc_mediana = "&amp;H1169&amp;" WHERE cot_id = "&amp;A1169&amp;";"</f>
        <v>UPDATE COTACAO SET cot_id = 1168, cot_blt_id = 67, cot_pap_id = 16, cot_prc_comum = 48, cot_prc_min = 48, cot_prc_max = 54, cot_prc_med = 49.5, cot_prc_mediana = 48 WHERE cot_id = 1168;</v>
      </c>
    </row>
    <row r="1170" customFormat="false" ht="14.25" hidden="false" customHeight="false" outlineLevel="0" collapsed="false">
      <c r="A1170" s="0" t="n">
        <v>1169</v>
      </c>
      <c r="B1170" s="0" t="n">
        <f aca="false">IF('Boletins Nuppa Site'!A1170&lt;&gt;0,'Boletins Nuppa Site'!A1170,"NULL")</f>
        <v>67</v>
      </c>
      <c r="C1170" s="0" t="n">
        <v>17</v>
      </c>
      <c r="D1170" s="30" t="n">
        <f aca="false">IF('Boletins Nuppa Site'!G1170&lt;&gt;0,'Boletins Nuppa Site'!G1170,"NULL")</f>
        <v>5</v>
      </c>
      <c r="E1170" s="30" t="n">
        <f aca="false">IF('Boletins Nuppa Site'!H1170&lt;&gt;0,'Boletins Nuppa Site'!H1170,"NULL")</f>
        <v>5</v>
      </c>
      <c r="F1170" s="30" t="n">
        <f aca="false">IF('Boletins Nuppa Site'!I1170&lt;&gt;0,'Boletins Nuppa Site'!I1170,"NULL")</f>
        <v>5</v>
      </c>
      <c r="G1170" s="30" t="n">
        <f aca="false">IF('Boletins Nuppa Site'!J1170&lt;&gt;0,'Boletins Nuppa Site'!J1170,"NULL")</f>
        <v>5</v>
      </c>
      <c r="H1170" s="30" t="n">
        <f aca="false">IF('Boletins Nuppa Site'!K1170&lt;&gt;0,'Boletins Nuppa Site'!K1170,"NULL")</f>
        <v>5</v>
      </c>
      <c r="I1170" s="0" t="str">
        <f aca="false">"INSERT INTO COTACAO (cot_id, cot_blt_id, cot_pap_id, cot_prc_comum, cot_prc_min, cot_prc_max, cot_prc_med, cot_prc_mediana) VALUES ("&amp;A1170&amp;", "&amp;B1170&amp;", "&amp;C1170&amp;", "&amp;D1170&amp;", "&amp;E1170&amp;", "&amp;F1170&amp;", "&amp;G1170&amp;", "&amp;H1170&amp;");"</f>
        <v>INSERT INTO COTACAO (cot_id, cot_blt_id, cot_pap_id, cot_prc_comum, cot_prc_min, cot_prc_max, cot_prc_med, cot_prc_mediana) VALUES (1169, 67, 17, 5, 5, 5, 5, 5);</v>
      </c>
      <c r="J1170" s="0" t="str">
        <f aca="false">"UPDATE COTACAO SET cot_id = "&amp;A1170&amp;", cot_blt_id = "&amp;B1170&amp;", cot_pap_id = "&amp;C1170&amp;", cot_prc_comum = "&amp;D1170&amp;", cot_prc_min = "&amp;E1170&amp;", cot_prc_max = "&amp;F1170&amp;", cot_prc_med = "&amp;G1170&amp;", cot_prc_mediana = "&amp;H1170&amp;" WHERE cot_id = "&amp;A1170&amp;";"</f>
        <v>UPDATE COTACAO SET cot_id = 1169, cot_blt_id = 67, cot_pap_id = 17, cot_prc_comum = 5, cot_prc_min = 5, cot_prc_max = 5, cot_prc_med = 5, cot_prc_mediana = 5 WHERE cot_id = 1169;</v>
      </c>
    </row>
    <row r="1171" customFormat="false" ht="14.25" hidden="false" customHeight="false" outlineLevel="0" collapsed="false">
      <c r="A1171" s="0" t="n">
        <v>1170</v>
      </c>
      <c r="B1171" s="0" t="n">
        <f aca="false">IF('Boletins Nuppa Site'!A1171&lt;&gt;0,'Boletins Nuppa Site'!A1171,"NULL")</f>
        <v>67</v>
      </c>
      <c r="C1171" s="0" t="n">
        <v>18</v>
      </c>
      <c r="D1171" s="30" t="n">
        <f aca="false">IF('Boletins Nuppa Site'!G1171&lt;&gt;0,'Boletins Nuppa Site'!G1171,"NULL")</f>
        <v>10</v>
      </c>
      <c r="E1171" s="30" t="n">
        <f aca="false">IF('Boletins Nuppa Site'!H1171&lt;&gt;0,'Boletins Nuppa Site'!H1171,"NULL")</f>
        <v>10</v>
      </c>
      <c r="F1171" s="30" t="n">
        <f aca="false">IF('Boletins Nuppa Site'!I1171&lt;&gt;0,'Boletins Nuppa Site'!I1171,"NULL")</f>
        <v>10</v>
      </c>
      <c r="G1171" s="30" t="n">
        <f aca="false">IF('Boletins Nuppa Site'!J1171&lt;&gt;0,'Boletins Nuppa Site'!J1171,"NULL")</f>
        <v>10</v>
      </c>
      <c r="H1171" s="30" t="n">
        <f aca="false">IF('Boletins Nuppa Site'!K1171&lt;&gt;0,'Boletins Nuppa Site'!K1171,"NULL")</f>
        <v>10</v>
      </c>
      <c r="I1171" s="0" t="str">
        <f aca="false">"INSERT INTO COTACAO (cot_id, cot_blt_id, cot_pap_id, cot_prc_comum, cot_prc_min, cot_prc_max, cot_prc_med, cot_prc_mediana) VALUES ("&amp;A1171&amp;", "&amp;B1171&amp;", "&amp;C1171&amp;", "&amp;D1171&amp;", "&amp;E1171&amp;", "&amp;F1171&amp;", "&amp;G1171&amp;", "&amp;H1171&amp;");"</f>
        <v>INSERT INTO COTACAO (cot_id, cot_blt_id, cot_pap_id, cot_prc_comum, cot_prc_min, cot_prc_max, cot_prc_med, cot_prc_mediana) VALUES (1170, 67, 18, 10, 10, 10, 10, 10);</v>
      </c>
      <c r="J1171" s="0" t="str">
        <f aca="false">"UPDATE COTACAO SET cot_id = "&amp;A1171&amp;", cot_blt_id = "&amp;B1171&amp;", cot_pap_id = "&amp;C1171&amp;", cot_prc_comum = "&amp;D1171&amp;", cot_prc_min = "&amp;E1171&amp;", cot_prc_max = "&amp;F1171&amp;", cot_prc_med = "&amp;G1171&amp;", cot_prc_mediana = "&amp;H1171&amp;" WHERE cot_id = "&amp;A1171&amp;";"</f>
        <v>UPDATE COTACAO SET cot_id = 1170, cot_blt_id = 67, cot_pap_id = 18, cot_prc_comum = 10, cot_prc_min = 10, cot_prc_max = 10, cot_prc_med = 10, cot_prc_mediana = 10 WHERE cot_id = 1170;</v>
      </c>
    </row>
    <row r="1172" customFormat="false" ht="14.25" hidden="false" customHeight="false" outlineLevel="0" collapsed="false">
      <c r="A1172" s="0" t="n">
        <v>1171</v>
      </c>
      <c r="B1172" s="0" t="n">
        <f aca="false">IF('Boletins Nuppa Site'!A1172&lt;&gt;0,'Boletins Nuppa Site'!A1172,"NULL")</f>
        <v>67</v>
      </c>
      <c r="C1172" s="0" t="n">
        <v>19</v>
      </c>
      <c r="D1172" s="30" t="n">
        <f aca="false">IF('Boletins Nuppa Site'!G1172&lt;&gt;0,'Boletins Nuppa Site'!G1172,"NULL")</f>
        <v>20</v>
      </c>
      <c r="E1172" s="30" t="n">
        <f aca="false">IF('Boletins Nuppa Site'!H1172&lt;&gt;0,'Boletins Nuppa Site'!H1172,"NULL")</f>
        <v>20</v>
      </c>
      <c r="F1172" s="30" t="n">
        <f aca="false">IF('Boletins Nuppa Site'!I1172&lt;&gt;0,'Boletins Nuppa Site'!I1172,"NULL")</f>
        <v>30</v>
      </c>
      <c r="G1172" s="0" t="str">
        <f aca="false">IF('Boletins Nuppa Site'!J1172&lt;&gt;0,'Boletins Nuppa Site'!J1172,"NULL")</f>
        <v>23.75</v>
      </c>
      <c r="H1172" s="0" t="str">
        <f aca="false">IF('Boletins Nuppa Site'!K1172&lt;&gt;0,'Boletins Nuppa Site'!K1172,"NULL")</f>
        <v>22.5</v>
      </c>
      <c r="I1172" s="0" t="str">
        <f aca="false">"INSERT INTO COTACAO (cot_id, cot_blt_id, cot_pap_id, cot_prc_comum, cot_prc_min, cot_prc_max, cot_prc_med, cot_prc_mediana) VALUES ("&amp;A1172&amp;", "&amp;B1172&amp;", "&amp;C1172&amp;", "&amp;D1172&amp;", "&amp;E1172&amp;", "&amp;F1172&amp;", "&amp;G1172&amp;", "&amp;H1172&amp;");"</f>
        <v>INSERT INTO COTACAO (cot_id, cot_blt_id, cot_pap_id, cot_prc_comum, cot_prc_min, cot_prc_max, cot_prc_med, cot_prc_mediana) VALUES (1171, 67, 19, 20, 20, 30, 23.75, 22.5);</v>
      </c>
      <c r="J1172" s="0" t="str">
        <f aca="false">"UPDATE COTACAO SET cot_id = "&amp;A1172&amp;", cot_blt_id = "&amp;B1172&amp;", cot_pap_id = "&amp;C1172&amp;", cot_prc_comum = "&amp;D1172&amp;", cot_prc_min = "&amp;E1172&amp;", cot_prc_max = "&amp;F1172&amp;", cot_prc_med = "&amp;G1172&amp;", cot_prc_mediana = "&amp;H1172&amp;" WHERE cot_id = "&amp;A1172&amp;";"</f>
        <v>UPDATE COTACAO SET cot_id = 1171, cot_blt_id = 67, cot_pap_id = 19, cot_prc_comum = 20, cot_prc_min = 20, cot_prc_max = 30, cot_prc_med = 23.75, cot_prc_mediana = 22.5 WHERE cot_id = 1171;</v>
      </c>
    </row>
    <row r="1173" customFormat="false" ht="14.25" hidden="false" customHeight="false" outlineLevel="0" collapsed="false">
      <c r="A1173" s="0" t="n">
        <v>1172</v>
      </c>
      <c r="B1173" s="0" t="n">
        <f aca="false">IF('Boletins Nuppa Site'!A1173&lt;&gt;0,'Boletins Nuppa Site'!A1173,"NULL")</f>
        <v>67</v>
      </c>
      <c r="C1173" s="0" t="n">
        <v>20</v>
      </c>
      <c r="D1173" s="0" t="str">
        <f aca="false">IF('Boletins Nuppa Site'!G1173&lt;&gt;0,'Boletins Nuppa Site'!G1173,"NULL")</f>
        <v>NULL</v>
      </c>
      <c r="E1173" s="30" t="n">
        <f aca="false">IF('Boletins Nuppa Site'!H1173&lt;&gt;0,'Boletins Nuppa Site'!H1173,"NULL")</f>
        <v>70</v>
      </c>
      <c r="F1173" s="30" t="n">
        <f aca="false">IF('Boletins Nuppa Site'!I1173&lt;&gt;0,'Boletins Nuppa Site'!I1173,"NULL")</f>
        <v>80</v>
      </c>
      <c r="G1173" s="30" t="n">
        <f aca="false">IF('Boletins Nuppa Site'!J1173&lt;&gt;0,'Boletins Nuppa Site'!J1173,"NULL")</f>
        <v>75</v>
      </c>
      <c r="H1173" s="30" t="n">
        <f aca="false">IF('Boletins Nuppa Site'!K1173&lt;&gt;0,'Boletins Nuppa Site'!K1173,"NULL")</f>
        <v>75</v>
      </c>
      <c r="I1173" s="0" t="str">
        <f aca="false">"INSERT INTO COTACAO (cot_id, cot_blt_id, cot_pap_id, cot_prc_comum, cot_prc_min, cot_prc_max, cot_prc_med, cot_prc_mediana) VALUES ("&amp;A1173&amp;", "&amp;B1173&amp;", "&amp;C1173&amp;", "&amp;D1173&amp;", "&amp;E1173&amp;", "&amp;F1173&amp;", "&amp;G1173&amp;", "&amp;H1173&amp;");"</f>
        <v>INSERT INTO COTACAO (cot_id, cot_blt_id, cot_pap_id, cot_prc_comum, cot_prc_min, cot_prc_max, cot_prc_med, cot_prc_mediana) VALUES (1172, 67, 20, NULL, 70, 80, 75, 75);</v>
      </c>
      <c r="J1173" s="0" t="str">
        <f aca="false">"UPDATE COTACAO SET cot_id = "&amp;A1173&amp;", cot_blt_id = "&amp;B1173&amp;", cot_pap_id = "&amp;C1173&amp;", cot_prc_comum = "&amp;D1173&amp;", cot_prc_min = "&amp;E1173&amp;", cot_prc_max = "&amp;F1173&amp;", cot_prc_med = "&amp;G1173&amp;", cot_prc_mediana = "&amp;H1173&amp;" WHERE cot_id = "&amp;A1173&amp;";"</f>
        <v>UPDATE COTACAO SET cot_id = 1172, cot_blt_id = 67, cot_pap_id = 20, cot_prc_comum = NULL, cot_prc_min = 70, cot_prc_max = 80, cot_prc_med = 75, cot_prc_mediana = 75 WHERE cot_id = 1172;</v>
      </c>
    </row>
    <row r="1174" customFormat="false" ht="14.25" hidden="false" customHeight="false" outlineLevel="0" collapsed="false">
      <c r="A1174" s="0" t="n">
        <v>1173</v>
      </c>
      <c r="B1174" s="0" t="n">
        <f aca="false">IF('Boletins Nuppa Site'!A1174&lt;&gt;0,'Boletins Nuppa Site'!A1174,"NULL")</f>
        <v>67</v>
      </c>
      <c r="C1174" s="0" t="n">
        <v>21</v>
      </c>
      <c r="D1174" s="30" t="n">
        <f aca="false">IF('Boletins Nuppa Site'!G1174&lt;&gt;0,'Boletins Nuppa Site'!G1174,"NULL")</f>
        <v>60</v>
      </c>
      <c r="E1174" s="30" t="n">
        <f aca="false">IF('Boletins Nuppa Site'!H1174&lt;&gt;0,'Boletins Nuppa Site'!H1174,"NULL")</f>
        <v>50</v>
      </c>
      <c r="F1174" s="30" t="n">
        <f aca="false">IF('Boletins Nuppa Site'!I1174&lt;&gt;0,'Boletins Nuppa Site'!I1174,"NULL")</f>
        <v>60</v>
      </c>
      <c r="G1174" s="0" t="str">
        <f aca="false">IF('Boletins Nuppa Site'!J1174&lt;&gt;0,'Boletins Nuppa Site'!J1174,"NULL")</f>
        <v>57.5</v>
      </c>
      <c r="H1174" s="30" t="n">
        <f aca="false">IF('Boletins Nuppa Site'!K1174&lt;&gt;0,'Boletins Nuppa Site'!K1174,"NULL")</f>
        <v>60</v>
      </c>
      <c r="I1174" s="0" t="str">
        <f aca="false">"INSERT INTO COTACAO (cot_id, cot_blt_id, cot_pap_id, cot_prc_comum, cot_prc_min, cot_prc_max, cot_prc_med, cot_prc_mediana) VALUES ("&amp;A1174&amp;", "&amp;B1174&amp;", "&amp;C1174&amp;", "&amp;D1174&amp;", "&amp;E1174&amp;", "&amp;F1174&amp;", "&amp;G1174&amp;", "&amp;H1174&amp;");"</f>
        <v>INSERT INTO COTACAO (cot_id, cot_blt_id, cot_pap_id, cot_prc_comum, cot_prc_min, cot_prc_max, cot_prc_med, cot_prc_mediana) VALUES (1173, 67, 21, 60, 50, 60, 57.5, 60);</v>
      </c>
      <c r="J1174" s="0" t="str">
        <f aca="false">"UPDATE COTACAO SET cot_id = "&amp;A1174&amp;", cot_blt_id = "&amp;B1174&amp;", cot_pap_id = "&amp;C1174&amp;", cot_prc_comum = "&amp;D1174&amp;", cot_prc_min = "&amp;E1174&amp;", cot_prc_max = "&amp;F1174&amp;", cot_prc_med = "&amp;G1174&amp;", cot_prc_mediana = "&amp;H1174&amp;" WHERE cot_id = "&amp;A1174&amp;";"</f>
        <v>UPDATE COTACAO SET cot_id = 1173, cot_blt_id = 67, cot_pap_id = 21, cot_prc_comum = 60, cot_prc_min = 50, cot_prc_max = 60, cot_prc_med = 57.5, cot_prc_mediana = 60 WHERE cot_id = 1173;</v>
      </c>
    </row>
    <row r="1175" customFormat="false" ht="14.25" hidden="false" customHeight="false" outlineLevel="0" collapsed="false">
      <c r="A1175" s="0" t="n">
        <v>1174</v>
      </c>
      <c r="B1175" s="0" t="n">
        <f aca="false">IF('Boletins Nuppa Site'!A1175&lt;&gt;0,'Boletins Nuppa Site'!A1175,"NULL")</f>
        <v>67</v>
      </c>
      <c r="C1175" s="0" t="n">
        <v>22</v>
      </c>
      <c r="D1175" s="0" t="str">
        <f aca="false">IF('Boletins Nuppa Site'!G1175&lt;&gt;0,'Boletins Nuppa Site'!G1175,"NULL")</f>
        <v>NULL</v>
      </c>
      <c r="E1175" s="30" t="n">
        <f aca="false">IF('Boletins Nuppa Site'!H1175&lt;&gt;0,'Boletins Nuppa Site'!H1175,"NULL")</f>
        <v>35</v>
      </c>
      <c r="F1175" s="30" t="n">
        <f aca="false">IF('Boletins Nuppa Site'!I1175&lt;&gt;0,'Boletins Nuppa Site'!I1175,"NULL")</f>
        <v>80</v>
      </c>
      <c r="G1175" s="30" t="n">
        <f aca="false">IF('Boletins Nuppa Site'!J1175&lt;&gt;0,'Boletins Nuppa Site'!J1175,"NULL")</f>
        <v>56</v>
      </c>
      <c r="H1175" s="30" t="n">
        <f aca="false">IF('Boletins Nuppa Site'!K1175&lt;&gt;0,'Boletins Nuppa Site'!K1175,"NULL")</f>
        <v>50</v>
      </c>
      <c r="I1175" s="0" t="str">
        <f aca="false">"INSERT INTO COTACAO (cot_id, cot_blt_id, cot_pap_id, cot_prc_comum, cot_prc_min, cot_prc_max, cot_prc_med, cot_prc_mediana) VALUES ("&amp;A1175&amp;", "&amp;B1175&amp;", "&amp;C1175&amp;", "&amp;D1175&amp;", "&amp;E1175&amp;", "&amp;F1175&amp;", "&amp;G1175&amp;", "&amp;H1175&amp;");"</f>
        <v>INSERT INTO COTACAO (cot_id, cot_blt_id, cot_pap_id, cot_prc_comum, cot_prc_min, cot_prc_max, cot_prc_med, cot_prc_mediana) VALUES (1174, 67, 22, NULL, 35, 80, 56, 50);</v>
      </c>
      <c r="J1175" s="0" t="str">
        <f aca="false">"UPDATE COTACAO SET cot_id = "&amp;A1175&amp;", cot_blt_id = "&amp;B1175&amp;", cot_pap_id = "&amp;C1175&amp;", cot_prc_comum = "&amp;D1175&amp;", cot_prc_min = "&amp;E1175&amp;", cot_prc_max = "&amp;F1175&amp;", cot_prc_med = "&amp;G1175&amp;", cot_prc_mediana = "&amp;H1175&amp;" WHERE cot_id = "&amp;A1175&amp;";"</f>
        <v>UPDATE COTACAO SET cot_id = 1174, cot_blt_id = 67, cot_pap_id = 22, cot_prc_comum = NULL, cot_prc_min = 35, cot_prc_max = 80, cot_prc_med = 56, cot_prc_mediana = 50 WHERE cot_id = 1174;</v>
      </c>
    </row>
    <row r="1176" customFormat="false" ht="14.25" hidden="false" customHeight="false" outlineLevel="0" collapsed="false">
      <c r="A1176" s="0" t="n">
        <v>1175</v>
      </c>
      <c r="B1176" s="0" t="n">
        <f aca="false">IF('Boletins Nuppa Site'!A1176&lt;&gt;0,'Boletins Nuppa Site'!A1176,"NULL")</f>
        <v>67</v>
      </c>
      <c r="C1176" s="0" t="n">
        <v>23</v>
      </c>
      <c r="D1176" s="30" t="n">
        <f aca="false">IF('Boletins Nuppa Site'!G1176&lt;&gt;0,'Boletins Nuppa Site'!G1176,"NULL")</f>
        <v>45</v>
      </c>
      <c r="E1176" s="30" t="n">
        <f aca="false">IF('Boletins Nuppa Site'!H1176&lt;&gt;0,'Boletins Nuppa Site'!H1176,"NULL")</f>
        <v>45</v>
      </c>
      <c r="F1176" s="30" t="n">
        <f aca="false">IF('Boletins Nuppa Site'!I1176&lt;&gt;0,'Boletins Nuppa Site'!I1176,"NULL")</f>
        <v>60</v>
      </c>
      <c r="G1176" s="30" t="n">
        <f aca="false">IF('Boletins Nuppa Site'!J1176&lt;&gt;0,'Boletins Nuppa Site'!J1176,"NULL")</f>
        <v>50</v>
      </c>
      <c r="H1176" s="0" t="str">
        <f aca="false">IF('Boletins Nuppa Site'!K1176&lt;&gt;0,'Boletins Nuppa Site'!K1176,"NULL")</f>
        <v>47.5</v>
      </c>
      <c r="I1176" s="0" t="str">
        <f aca="false">"INSERT INTO COTACAO (cot_id, cot_blt_id, cot_pap_id, cot_prc_comum, cot_prc_min, cot_prc_max, cot_prc_med, cot_prc_mediana) VALUES ("&amp;A1176&amp;", "&amp;B1176&amp;", "&amp;C1176&amp;", "&amp;D1176&amp;", "&amp;E1176&amp;", "&amp;F1176&amp;", "&amp;G1176&amp;", "&amp;H1176&amp;");"</f>
        <v>INSERT INTO COTACAO (cot_id, cot_blt_id, cot_pap_id, cot_prc_comum, cot_prc_min, cot_prc_max, cot_prc_med, cot_prc_mediana) VALUES (1175, 67, 23, 45, 45, 60, 50, 47.5);</v>
      </c>
      <c r="J1176" s="0" t="str">
        <f aca="false">"UPDATE COTACAO SET cot_id = "&amp;A1176&amp;", cot_blt_id = "&amp;B1176&amp;", cot_pap_id = "&amp;C1176&amp;", cot_prc_comum = "&amp;D1176&amp;", cot_prc_min = "&amp;E1176&amp;", cot_prc_max = "&amp;F1176&amp;", cot_prc_med = "&amp;G1176&amp;", cot_prc_mediana = "&amp;H1176&amp;" WHERE cot_id = "&amp;A1176&amp;";"</f>
        <v>UPDATE COTACAO SET cot_id = 1175, cot_blt_id = 67, cot_pap_id = 23, cot_prc_comum = 45, cot_prc_min = 45, cot_prc_max = 60, cot_prc_med = 50, cot_prc_mediana = 47.5 WHERE cot_id = 1175;</v>
      </c>
    </row>
    <row r="1177" customFormat="false" ht="14.25" hidden="false" customHeight="false" outlineLevel="0" collapsed="false">
      <c r="A1177" s="0" t="n">
        <v>1176</v>
      </c>
      <c r="B1177" s="0" t="n">
        <f aca="false">IF('Boletins Nuppa Site'!A1177&lt;&gt;0,'Boletins Nuppa Site'!A1177,"NULL")</f>
        <v>67</v>
      </c>
      <c r="C1177" s="0" t="n">
        <v>24</v>
      </c>
      <c r="D1177" s="0" t="str">
        <f aca="false">IF('Boletins Nuppa Site'!G1177&lt;&gt;0,'Boletins Nuppa Site'!G1177,"NULL")</f>
        <v>NULL</v>
      </c>
      <c r="E1177" s="0" t="str">
        <f aca="false">IF('Boletins Nuppa Site'!H1177&lt;&gt;0,'Boletins Nuppa Site'!H1177,"NULL")</f>
        <v>NULL</v>
      </c>
      <c r="F1177" s="0" t="str">
        <f aca="false">IF('Boletins Nuppa Site'!I1177&lt;&gt;0,'Boletins Nuppa Site'!I1177,"NULL")</f>
        <v>NULL</v>
      </c>
      <c r="G1177" s="0" t="str">
        <f aca="false">IF('Boletins Nuppa Site'!J1177&lt;&gt;0,'Boletins Nuppa Site'!J1177,"NULL")</f>
        <v>NULL</v>
      </c>
      <c r="H1177" s="0" t="str">
        <f aca="false">IF('Boletins Nuppa Site'!K1177&lt;&gt;0,'Boletins Nuppa Site'!K1177,"NULL")</f>
        <v>NULL</v>
      </c>
      <c r="I1177" s="0" t="str">
        <f aca="false">"INSERT INTO COTACAO (cot_id, cot_blt_id, cot_pap_id, cot_prc_comum, cot_prc_min, cot_prc_max, cot_prc_med, cot_prc_mediana) VALUES ("&amp;A1177&amp;", "&amp;B1177&amp;", "&amp;C1177&amp;", "&amp;D1177&amp;", "&amp;E1177&amp;", "&amp;F1177&amp;", "&amp;G1177&amp;", "&amp;H1177&amp;");"</f>
        <v>INSERT INTO COTACAO (cot_id, cot_blt_id, cot_pap_id, cot_prc_comum, cot_prc_min, cot_prc_max, cot_prc_med, cot_prc_mediana) VALUES (1176, 67, 24, NULL, NULL, NULL, NULL, NULL);</v>
      </c>
      <c r="J1177" s="0" t="str">
        <f aca="false">"UPDATE COTACAO SET cot_id = "&amp;A1177&amp;", cot_blt_id = "&amp;B1177&amp;", cot_pap_id = "&amp;C1177&amp;", cot_prc_comum = "&amp;D1177&amp;", cot_prc_min = "&amp;E1177&amp;", cot_prc_max = "&amp;F1177&amp;", cot_prc_med = "&amp;G1177&amp;", cot_prc_mediana = "&amp;H1177&amp;" WHERE cot_id = "&amp;A1177&amp;";"</f>
        <v>UPDATE COTACAO SET cot_id = 1176, cot_blt_id = 67, cot_pap_id = 24, cot_prc_comum = NULL, cot_prc_min = NULL, cot_prc_max = NULL, cot_prc_med = NULL, cot_prc_mediana = NULL WHERE cot_id = 1176;</v>
      </c>
    </row>
    <row r="1178" customFormat="false" ht="14.25" hidden="false" customHeight="false" outlineLevel="0" collapsed="false">
      <c r="A1178" s="0" t="n">
        <v>1177</v>
      </c>
      <c r="B1178" s="0" t="n">
        <f aca="false">IF('Boletins Nuppa Site'!A1178&lt;&gt;0,'Boletins Nuppa Site'!A1178,"NULL")</f>
        <v>67</v>
      </c>
      <c r="C1178" s="0" t="n">
        <v>25</v>
      </c>
      <c r="D1178" s="30" t="n">
        <f aca="false">IF('Boletins Nuppa Site'!G1178&lt;&gt;0,'Boletins Nuppa Site'!G1178,"NULL")</f>
        <v>60</v>
      </c>
      <c r="E1178" s="30" t="n">
        <f aca="false">IF('Boletins Nuppa Site'!H1178&lt;&gt;0,'Boletins Nuppa Site'!H1178,"NULL")</f>
        <v>35</v>
      </c>
      <c r="F1178" s="30" t="n">
        <f aca="false">IF('Boletins Nuppa Site'!I1178&lt;&gt;0,'Boletins Nuppa Site'!I1178,"NULL")</f>
        <v>70</v>
      </c>
      <c r="G1178" s="30" t="n">
        <f aca="false">IF('Boletins Nuppa Site'!J1178&lt;&gt;0,'Boletins Nuppa Site'!J1178,"NULL")</f>
        <v>57</v>
      </c>
      <c r="H1178" s="30" t="n">
        <f aca="false">IF('Boletins Nuppa Site'!K1178&lt;&gt;0,'Boletins Nuppa Site'!K1178,"NULL")</f>
        <v>60</v>
      </c>
      <c r="I1178" s="0" t="str">
        <f aca="false">"INSERT INTO COTACAO (cot_id, cot_blt_id, cot_pap_id, cot_prc_comum, cot_prc_min, cot_prc_max, cot_prc_med, cot_prc_mediana) VALUES ("&amp;A1178&amp;", "&amp;B1178&amp;", "&amp;C1178&amp;", "&amp;D1178&amp;", "&amp;E1178&amp;", "&amp;F1178&amp;", "&amp;G1178&amp;", "&amp;H1178&amp;");"</f>
        <v>INSERT INTO COTACAO (cot_id, cot_blt_id, cot_pap_id, cot_prc_comum, cot_prc_min, cot_prc_max, cot_prc_med, cot_prc_mediana) VALUES (1177, 67, 25, 60, 35, 70, 57, 60);</v>
      </c>
      <c r="J1178" s="0" t="str">
        <f aca="false">"UPDATE COTACAO SET cot_id = "&amp;A1178&amp;", cot_blt_id = "&amp;B1178&amp;", cot_pap_id = "&amp;C1178&amp;", cot_prc_comum = "&amp;D1178&amp;", cot_prc_min = "&amp;E1178&amp;", cot_prc_max = "&amp;F1178&amp;", cot_prc_med = "&amp;G1178&amp;", cot_prc_mediana = "&amp;H1178&amp;" WHERE cot_id = "&amp;A1178&amp;";"</f>
        <v>UPDATE COTACAO SET cot_id = 1177, cot_blt_id = 67, cot_pap_id = 25, cot_prc_comum = 60, cot_prc_min = 35, cot_prc_max = 70, cot_prc_med = 57, cot_prc_mediana = 60 WHERE cot_id = 1177;</v>
      </c>
    </row>
    <row r="1179" customFormat="false" ht="14.25" hidden="false" customHeight="false" outlineLevel="0" collapsed="false">
      <c r="A1179" s="0" t="n">
        <v>1178</v>
      </c>
      <c r="B1179" s="0" t="n">
        <f aca="false">IF('Boletins Nuppa Site'!A1179&lt;&gt;0,'Boletins Nuppa Site'!A1179,"NULL")</f>
        <v>67</v>
      </c>
      <c r="C1179" s="0" t="n">
        <v>26</v>
      </c>
      <c r="D1179" s="30" t="n">
        <f aca="false">IF('Boletins Nuppa Site'!G1179&lt;&gt;0,'Boletins Nuppa Site'!G1179,"NULL")</f>
        <v>60</v>
      </c>
      <c r="E1179" s="30" t="n">
        <f aca="false">IF('Boletins Nuppa Site'!H1179&lt;&gt;0,'Boletins Nuppa Site'!H1179,"NULL")</f>
        <v>35</v>
      </c>
      <c r="F1179" s="30" t="n">
        <f aca="false">IF('Boletins Nuppa Site'!I1179&lt;&gt;0,'Boletins Nuppa Site'!I1179,"NULL")</f>
        <v>60</v>
      </c>
      <c r="G1179" s="30" t="n">
        <f aca="false">IF('Boletins Nuppa Site'!J1179&lt;&gt;0,'Boletins Nuppa Site'!J1179,"NULL")</f>
        <v>46</v>
      </c>
      <c r="H1179" s="30" t="n">
        <f aca="false">IF('Boletins Nuppa Site'!K1179&lt;&gt;0,'Boletins Nuppa Site'!K1179,"NULL")</f>
        <v>40</v>
      </c>
      <c r="I1179" s="0" t="str">
        <f aca="false">"INSERT INTO COTACAO (cot_id, cot_blt_id, cot_pap_id, cot_prc_comum, cot_prc_min, cot_prc_max, cot_prc_med, cot_prc_mediana) VALUES ("&amp;A1179&amp;", "&amp;B1179&amp;", "&amp;C1179&amp;", "&amp;D1179&amp;", "&amp;E1179&amp;", "&amp;F1179&amp;", "&amp;G1179&amp;", "&amp;H1179&amp;");"</f>
        <v>INSERT INTO COTACAO (cot_id, cot_blt_id, cot_pap_id, cot_prc_comum, cot_prc_min, cot_prc_max, cot_prc_med, cot_prc_mediana) VALUES (1178, 67, 26, 60, 35, 60, 46, 40);</v>
      </c>
      <c r="J1179" s="0" t="str">
        <f aca="false">"UPDATE COTACAO SET cot_id = "&amp;A1179&amp;", cot_blt_id = "&amp;B1179&amp;", cot_pap_id = "&amp;C1179&amp;", cot_prc_comum = "&amp;D1179&amp;", cot_prc_min = "&amp;E1179&amp;", cot_prc_max = "&amp;F1179&amp;", cot_prc_med = "&amp;G1179&amp;", cot_prc_mediana = "&amp;H1179&amp;" WHERE cot_id = "&amp;A1179&amp;";"</f>
        <v>UPDATE COTACAO SET cot_id = 1178, cot_blt_id = 67, cot_pap_id = 26, cot_prc_comum = 60, cot_prc_min = 35, cot_prc_max = 60, cot_prc_med = 46, cot_prc_mediana = 40 WHERE cot_id = 1178;</v>
      </c>
    </row>
    <row r="1180" customFormat="false" ht="14.25" hidden="false" customHeight="false" outlineLevel="0" collapsed="false">
      <c r="A1180" s="0" t="n">
        <v>1179</v>
      </c>
      <c r="B1180" s="0" t="n">
        <f aca="false">IF('Boletins Nuppa Site'!A1180&lt;&gt;0,'Boletins Nuppa Site'!A1180,"NULL")</f>
        <v>67</v>
      </c>
      <c r="C1180" s="0" t="n">
        <v>27</v>
      </c>
      <c r="D1180" s="0" t="str">
        <f aca="false">IF('Boletins Nuppa Site'!G1180&lt;&gt;0,'Boletins Nuppa Site'!G1180,"NULL")</f>
        <v>NULL</v>
      </c>
      <c r="E1180" s="30" t="n">
        <f aca="false">IF('Boletins Nuppa Site'!H1180&lt;&gt;0,'Boletins Nuppa Site'!H1180,"NULL")</f>
        <v>50</v>
      </c>
      <c r="F1180" s="30" t="n">
        <f aca="false">IF('Boletins Nuppa Site'!I1180&lt;&gt;0,'Boletins Nuppa Site'!I1180,"NULL")</f>
        <v>80</v>
      </c>
      <c r="G1180" s="30" t="n">
        <f aca="false">IF('Boletins Nuppa Site'!J1180&lt;&gt;0,'Boletins Nuppa Site'!J1180,"NULL")</f>
        <v>65</v>
      </c>
      <c r="H1180" s="30" t="n">
        <f aca="false">IF('Boletins Nuppa Site'!K1180&lt;&gt;0,'Boletins Nuppa Site'!K1180,"NULL")</f>
        <v>65</v>
      </c>
      <c r="I1180" s="0" t="str">
        <f aca="false">"INSERT INTO COTACAO (cot_id, cot_blt_id, cot_pap_id, cot_prc_comum, cot_prc_min, cot_prc_max, cot_prc_med, cot_prc_mediana) VALUES ("&amp;A1180&amp;", "&amp;B1180&amp;", "&amp;C1180&amp;", "&amp;D1180&amp;", "&amp;E1180&amp;", "&amp;F1180&amp;", "&amp;G1180&amp;", "&amp;H1180&amp;");"</f>
        <v>INSERT INTO COTACAO (cot_id, cot_blt_id, cot_pap_id, cot_prc_comum, cot_prc_min, cot_prc_max, cot_prc_med, cot_prc_mediana) VALUES (1179, 67, 27, NULL, 50, 80, 65, 65);</v>
      </c>
      <c r="J1180" s="0" t="str">
        <f aca="false">"UPDATE COTACAO SET cot_id = "&amp;A1180&amp;", cot_blt_id = "&amp;B1180&amp;", cot_pap_id = "&amp;C1180&amp;", cot_prc_comum = "&amp;D1180&amp;", cot_prc_min = "&amp;E1180&amp;", cot_prc_max = "&amp;F1180&amp;", cot_prc_med = "&amp;G1180&amp;", cot_prc_mediana = "&amp;H1180&amp;" WHERE cot_id = "&amp;A1180&amp;";"</f>
        <v>UPDATE COTACAO SET cot_id = 1179, cot_blt_id = 67, cot_pap_id = 27, cot_prc_comum = NULL, cot_prc_min = 50, cot_prc_max = 80, cot_prc_med = 65, cot_prc_mediana = 65 WHERE cot_id = 1179;</v>
      </c>
    </row>
    <row r="1181" customFormat="false" ht="14.25" hidden="false" customHeight="false" outlineLevel="0" collapsed="false">
      <c r="A1181" s="0" t="n">
        <v>1180</v>
      </c>
      <c r="B1181" s="0" t="n">
        <f aca="false">IF('Boletins Nuppa Site'!A1181&lt;&gt;0,'Boletins Nuppa Site'!A1181,"NULL")</f>
        <v>67</v>
      </c>
      <c r="C1181" s="0" t="n">
        <v>28</v>
      </c>
      <c r="D1181" s="0" t="str">
        <f aca="false">IF('Boletins Nuppa Site'!G1181&lt;&gt;0,'Boletins Nuppa Site'!G1181,"NULL")</f>
        <v>NULL</v>
      </c>
      <c r="E1181" s="30" t="n">
        <f aca="false">IF('Boletins Nuppa Site'!H1181&lt;&gt;0,'Boletins Nuppa Site'!H1181,"NULL")</f>
        <v>80</v>
      </c>
      <c r="F1181" s="30" t="n">
        <f aca="false">IF('Boletins Nuppa Site'!I1181&lt;&gt;0,'Boletins Nuppa Site'!I1181,"NULL")</f>
        <v>110</v>
      </c>
      <c r="G1181" s="30" t="n">
        <f aca="false">IF('Boletins Nuppa Site'!J1181&lt;&gt;0,'Boletins Nuppa Site'!J1181,"NULL")</f>
        <v>95</v>
      </c>
      <c r="H1181" s="30" t="n">
        <f aca="false">IF('Boletins Nuppa Site'!K1181&lt;&gt;0,'Boletins Nuppa Site'!K1181,"NULL")</f>
        <v>95</v>
      </c>
      <c r="I1181" s="0" t="str">
        <f aca="false">"INSERT INTO COTACAO (cot_id, cot_blt_id, cot_pap_id, cot_prc_comum, cot_prc_min, cot_prc_max, cot_prc_med, cot_prc_mediana) VALUES ("&amp;A1181&amp;", "&amp;B1181&amp;", "&amp;C1181&amp;", "&amp;D1181&amp;", "&amp;E1181&amp;", "&amp;F1181&amp;", "&amp;G1181&amp;", "&amp;H1181&amp;");"</f>
        <v>INSERT INTO COTACAO (cot_id, cot_blt_id, cot_pap_id, cot_prc_comum, cot_prc_min, cot_prc_max, cot_prc_med, cot_prc_mediana) VALUES (1180, 67, 28, NULL, 80, 110, 95, 95);</v>
      </c>
      <c r="J1181" s="0" t="str">
        <f aca="false">"UPDATE COTACAO SET cot_id = "&amp;A1181&amp;", cot_blt_id = "&amp;B1181&amp;", cot_pap_id = "&amp;C1181&amp;", cot_prc_comum = "&amp;D1181&amp;", cot_prc_min = "&amp;E1181&amp;", cot_prc_max = "&amp;F1181&amp;", cot_prc_med = "&amp;G1181&amp;", cot_prc_mediana = "&amp;H1181&amp;" WHERE cot_id = "&amp;A1181&amp;";"</f>
        <v>UPDATE COTACAO SET cot_id = 1180, cot_blt_id = 67, cot_pap_id = 28, cot_prc_comum = NULL, cot_prc_min = 80, cot_prc_max = 110, cot_prc_med = 95, cot_prc_mediana = 95 WHERE cot_id = 1180;</v>
      </c>
    </row>
    <row r="1182" customFormat="false" ht="14.25" hidden="false" customHeight="false" outlineLevel="0" collapsed="false">
      <c r="A1182" s="0" t="n">
        <v>1181</v>
      </c>
      <c r="B1182" s="0" t="n">
        <f aca="false">IF('Boletins Nuppa Site'!A1182&lt;&gt;0,'Boletins Nuppa Site'!A1182,"NULL")</f>
        <v>67</v>
      </c>
      <c r="C1182" s="0" t="n">
        <v>29</v>
      </c>
      <c r="D1182" s="0" t="str">
        <f aca="false">IF('Boletins Nuppa Site'!G1182&lt;&gt;0,'Boletins Nuppa Site'!G1182,"NULL")</f>
        <v>NULL</v>
      </c>
      <c r="E1182" s="0" t="str">
        <f aca="false">IF('Boletins Nuppa Site'!H1182&lt;&gt;0,'Boletins Nuppa Site'!H1182,"NULL")</f>
        <v>NULL</v>
      </c>
      <c r="F1182" s="0" t="str">
        <f aca="false">IF('Boletins Nuppa Site'!I1182&lt;&gt;0,'Boletins Nuppa Site'!I1182,"NULL")</f>
        <v>NULL</v>
      </c>
      <c r="G1182" s="0" t="str">
        <f aca="false">IF('Boletins Nuppa Site'!J1182&lt;&gt;0,'Boletins Nuppa Site'!J1182,"NULL")</f>
        <v>NULL</v>
      </c>
      <c r="H1182" s="0" t="str">
        <f aca="false">IF('Boletins Nuppa Site'!K1182&lt;&gt;0,'Boletins Nuppa Site'!K1182,"NULL")</f>
        <v>NULL</v>
      </c>
      <c r="I1182" s="0" t="str">
        <f aca="false">"INSERT INTO COTACAO (cot_id, cot_blt_id, cot_pap_id, cot_prc_comum, cot_prc_min, cot_prc_max, cot_prc_med, cot_prc_mediana) VALUES ("&amp;A1182&amp;", "&amp;B1182&amp;", "&amp;C1182&amp;", "&amp;D1182&amp;", "&amp;E1182&amp;", "&amp;F1182&amp;", "&amp;G1182&amp;", "&amp;H1182&amp;");"</f>
        <v>INSERT INTO COTACAO (cot_id, cot_blt_id, cot_pap_id, cot_prc_comum, cot_prc_min, cot_prc_max, cot_prc_med, cot_prc_mediana) VALUES (1181, 67, 29, NULL, NULL, NULL, NULL, NULL);</v>
      </c>
      <c r="J1182" s="0" t="str">
        <f aca="false">"UPDATE COTACAO SET cot_id = "&amp;A1182&amp;", cot_blt_id = "&amp;B1182&amp;", cot_pap_id = "&amp;C1182&amp;", cot_prc_comum = "&amp;D1182&amp;", cot_prc_min = "&amp;E1182&amp;", cot_prc_max = "&amp;F1182&amp;", cot_prc_med = "&amp;G1182&amp;", cot_prc_mediana = "&amp;H1182&amp;" WHERE cot_id = "&amp;A1182&amp;";"</f>
        <v>UPDATE COTACAO SET cot_id = 1181, cot_blt_id = 67, cot_pap_id = 29, cot_prc_comum = NULL, cot_prc_min = NULL, cot_prc_max = NULL, cot_prc_med = NULL, cot_prc_mediana = NULL WHERE cot_id = 1181;</v>
      </c>
    </row>
    <row r="1183" customFormat="false" ht="14.25" hidden="false" customHeight="false" outlineLevel="0" collapsed="false">
      <c r="A1183" s="0" t="n">
        <v>1182</v>
      </c>
      <c r="B1183" s="0" t="n">
        <f aca="false">IF('Boletins Nuppa Site'!A1183&lt;&gt;0,'Boletins Nuppa Site'!A1183,"NULL")</f>
        <v>67</v>
      </c>
      <c r="C1183" s="0" t="n">
        <v>30</v>
      </c>
      <c r="D1183" s="0" t="str">
        <f aca="false">IF('Boletins Nuppa Site'!G1183&lt;&gt;0,'Boletins Nuppa Site'!G1183,"NULL")</f>
        <v>NULL</v>
      </c>
      <c r="E1183" s="30" t="n">
        <f aca="false">IF('Boletins Nuppa Site'!H1183&lt;&gt;0,'Boletins Nuppa Site'!H1183,"NULL")</f>
        <v>25</v>
      </c>
      <c r="F1183" s="30" t="n">
        <f aca="false">IF('Boletins Nuppa Site'!I1183&lt;&gt;0,'Boletins Nuppa Site'!I1183,"NULL")</f>
        <v>80</v>
      </c>
      <c r="G1183" s="0" t="str">
        <f aca="false">IF('Boletins Nuppa Site'!J1183&lt;&gt;0,'Boletins Nuppa Site'!J1183,"NULL")</f>
        <v>58.33</v>
      </c>
      <c r="H1183" s="30" t="n">
        <f aca="false">IF('Boletins Nuppa Site'!K1183&lt;&gt;0,'Boletins Nuppa Site'!K1183,"NULL")</f>
        <v>70</v>
      </c>
      <c r="I1183" s="0" t="str">
        <f aca="false">"INSERT INTO COTACAO (cot_id, cot_blt_id, cot_pap_id, cot_prc_comum, cot_prc_min, cot_prc_max, cot_prc_med, cot_prc_mediana) VALUES ("&amp;A1183&amp;", "&amp;B1183&amp;", "&amp;C1183&amp;", "&amp;D1183&amp;", "&amp;E1183&amp;", "&amp;F1183&amp;", "&amp;G1183&amp;", "&amp;H1183&amp;");"</f>
        <v>INSERT INTO COTACAO (cot_id, cot_blt_id, cot_pap_id, cot_prc_comum, cot_prc_min, cot_prc_max, cot_prc_med, cot_prc_mediana) VALUES (1182, 67, 30, NULL, 25, 80, 58.33, 70);</v>
      </c>
      <c r="J1183" s="0" t="str">
        <f aca="false">"UPDATE COTACAO SET cot_id = "&amp;A1183&amp;", cot_blt_id = "&amp;B1183&amp;", cot_pap_id = "&amp;C1183&amp;", cot_prc_comum = "&amp;D1183&amp;", cot_prc_min = "&amp;E1183&amp;", cot_prc_max = "&amp;F1183&amp;", cot_prc_med = "&amp;G1183&amp;", cot_prc_mediana = "&amp;H1183&amp;" WHERE cot_id = "&amp;A1183&amp;";"</f>
        <v>UPDATE COTACAO SET cot_id = 1182, cot_blt_id = 67, cot_pap_id = 30, cot_prc_comum = NULL, cot_prc_min = 25, cot_prc_max = 80, cot_prc_med = 58.33, cot_prc_mediana = 70 WHERE cot_id = 1182;</v>
      </c>
    </row>
    <row r="1184" customFormat="false" ht="14.25" hidden="false" customHeight="false" outlineLevel="0" collapsed="false">
      <c r="A1184" s="0" t="n">
        <v>1183</v>
      </c>
      <c r="B1184" s="0" t="n">
        <f aca="false">IF('Boletins Nuppa Site'!A1184&lt;&gt;0,'Boletins Nuppa Site'!A1184,"NULL")</f>
        <v>67</v>
      </c>
      <c r="C1184" s="0" t="n">
        <v>31</v>
      </c>
      <c r="D1184" s="0" t="str">
        <f aca="false">IF('Boletins Nuppa Site'!G1184&lt;&gt;0,'Boletins Nuppa Site'!G1184,"NULL")</f>
        <v>NULL</v>
      </c>
      <c r="E1184" s="30" t="n">
        <f aca="false">IF('Boletins Nuppa Site'!H1184&lt;&gt;0,'Boletins Nuppa Site'!H1184,"NULL")</f>
        <v>70</v>
      </c>
      <c r="F1184" s="30" t="n">
        <f aca="false">IF('Boletins Nuppa Site'!I1184&lt;&gt;0,'Boletins Nuppa Site'!I1184,"NULL")</f>
        <v>120</v>
      </c>
      <c r="G1184" s="30" t="n">
        <f aca="false">IF('Boletins Nuppa Site'!J1184&lt;&gt;0,'Boletins Nuppa Site'!J1184,"NULL")</f>
        <v>90</v>
      </c>
      <c r="H1184" s="30" t="n">
        <f aca="false">IF('Boletins Nuppa Site'!K1184&lt;&gt;0,'Boletins Nuppa Site'!K1184,"NULL")</f>
        <v>80</v>
      </c>
      <c r="I1184" s="0" t="str">
        <f aca="false">"INSERT INTO COTACAO (cot_id, cot_blt_id, cot_pap_id, cot_prc_comum, cot_prc_min, cot_prc_max, cot_prc_med, cot_prc_mediana) VALUES ("&amp;A1184&amp;", "&amp;B1184&amp;", "&amp;C1184&amp;", "&amp;D1184&amp;", "&amp;E1184&amp;", "&amp;F1184&amp;", "&amp;G1184&amp;", "&amp;H1184&amp;");"</f>
        <v>INSERT INTO COTACAO (cot_id, cot_blt_id, cot_pap_id, cot_prc_comum, cot_prc_min, cot_prc_max, cot_prc_med, cot_prc_mediana) VALUES (1183, 67, 31, NULL, 70, 120, 90, 80);</v>
      </c>
      <c r="J1184" s="0" t="str">
        <f aca="false">"UPDATE COTACAO SET cot_id = "&amp;A1184&amp;", cot_blt_id = "&amp;B1184&amp;", cot_pap_id = "&amp;C1184&amp;", cot_prc_comum = "&amp;D1184&amp;", cot_prc_min = "&amp;E1184&amp;", cot_prc_max = "&amp;F1184&amp;", cot_prc_med = "&amp;G1184&amp;", cot_prc_mediana = "&amp;H1184&amp;" WHERE cot_id = "&amp;A1184&amp;";"</f>
        <v>UPDATE COTACAO SET cot_id = 1183, cot_blt_id = 67, cot_pap_id = 31, cot_prc_comum = NULL, cot_prc_min = 70, cot_prc_max = 120, cot_prc_med = 90, cot_prc_mediana = 80 WHERE cot_id = 1183;</v>
      </c>
    </row>
    <row r="1185" customFormat="false" ht="14.25" hidden="false" customHeight="false" outlineLevel="0" collapsed="false">
      <c r="A1185" s="0" t="n">
        <v>1184</v>
      </c>
      <c r="B1185" s="0" t="n">
        <f aca="false">IF('Boletins Nuppa Site'!A1185&lt;&gt;0,'Boletins Nuppa Site'!A1185,"NULL")</f>
        <v>67</v>
      </c>
      <c r="C1185" s="0" t="n">
        <v>32</v>
      </c>
      <c r="D1185" s="30" t="n">
        <f aca="false">IF('Boletins Nuppa Site'!G1185&lt;&gt;0,'Boletins Nuppa Site'!G1185,"NULL")</f>
        <v>50</v>
      </c>
      <c r="E1185" s="30" t="n">
        <f aca="false">IF('Boletins Nuppa Site'!H1185&lt;&gt;0,'Boletins Nuppa Site'!H1185,"NULL")</f>
        <v>25</v>
      </c>
      <c r="F1185" s="30" t="n">
        <f aca="false">IF('Boletins Nuppa Site'!I1185&lt;&gt;0,'Boletins Nuppa Site'!I1185,"NULL")</f>
        <v>60</v>
      </c>
      <c r="G1185" s="30" t="n">
        <f aca="false">IF('Boletins Nuppa Site'!J1185&lt;&gt;0,'Boletins Nuppa Site'!J1185,"NULL")</f>
        <v>48</v>
      </c>
      <c r="H1185" s="30" t="n">
        <f aca="false">IF('Boletins Nuppa Site'!K1185&lt;&gt;0,'Boletins Nuppa Site'!K1185,"NULL")</f>
        <v>50</v>
      </c>
      <c r="I1185" s="0" t="str">
        <f aca="false">"INSERT INTO COTACAO (cot_id, cot_blt_id, cot_pap_id, cot_prc_comum, cot_prc_min, cot_prc_max, cot_prc_med, cot_prc_mediana) VALUES ("&amp;A1185&amp;", "&amp;B1185&amp;", "&amp;C1185&amp;", "&amp;D1185&amp;", "&amp;E1185&amp;", "&amp;F1185&amp;", "&amp;G1185&amp;", "&amp;H1185&amp;");"</f>
        <v>INSERT INTO COTACAO (cot_id, cot_blt_id, cot_pap_id, cot_prc_comum, cot_prc_min, cot_prc_max, cot_prc_med, cot_prc_mediana) VALUES (1184, 67, 32, 50, 25, 60, 48, 50);</v>
      </c>
      <c r="J1185" s="0" t="str">
        <f aca="false">"UPDATE COTACAO SET cot_id = "&amp;A1185&amp;", cot_blt_id = "&amp;B1185&amp;", cot_pap_id = "&amp;C1185&amp;", cot_prc_comum = "&amp;D1185&amp;", cot_prc_min = "&amp;E1185&amp;", cot_prc_max = "&amp;F1185&amp;", cot_prc_med = "&amp;G1185&amp;", cot_prc_mediana = "&amp;H1185&amp;" WHERE cot_id = "&amp;A1185&amp;";"</f>
        <v>UPDATE COTACAO SET cot_id = 1184, cot_blt_id = 67, cot_pap_id = 32, cot_prc_comum = 50, cot_prc_min = 25, cot_prc_max = 60, cot_prc_med = 48, cot_prc_mediana = 50 WHERE cot_id = 1184;</v>
      </c>
    </row>
    <row r="1186" customFormat="false" ht="14.25" hidden="false" customHeight="false" outlineLevel="0" collapsed="false">
      <c r="A1186" s="0" t="n">
        <v>1185</v>
      </c>
      <c r="B1186" s="0" t="n">
        <f aca="false">IF('Boletins Nuppa Site'!A1186&lt;&gt;0,'Boletins Nuppa Site'!A1186,"NULL")</f>
        <v>67</v>
      </c>
      <c r="C1186" s="0" t="n">
        <v>33</v>
      </c>
      <c r="D1186" s="0" t="str">
        <f aca="false">IF('Boletins Nuppa Site'!G1186&lt;&gt;0,'Boletins Nuppa Site'!G1186,"NULL")</f>
        <v>NULL</v>
      </c>
      <c r="E1186" s="30" t="n">
        <f aca="false">IF('Boletins Nuppa Site'!H1186&lt;&gt;0,'Boletins Nuppa Site'!H1186,"NULL")</f>
        <v>120</v>
      </c>
      <c r="F1186" s="30" t="n">
        <f aca="false">IF('Boletins Nuppa Site'!I1186&lt;&gt;0,'Boletins Nuppa Site'!I1186,"NULL")</f>
        <v>140</v>
      </c>
      <c r="G1186" s="30" t="n">
        <f aca="false">IF('Boletins Nuppa Site'!J1186&lt;&gt;0,'Boletins Nuppa Site'!J1186,"NULL")</f>
        <v>130</v>
      </c>
      <c r="H1186" s="30" t="n">
        <f aca="false">IF('Boletins Nuppa Site'!K1186&lt;&gt;0,'Boletins Nuppa Site'!K1186,"NULL")</f>
        <v>130</v>
      </c>
      <c r="I1186" s="0" t="str">
        <f aca="false">"INSERT INTO COTACAO (cot_id, cot_blt_id, cot_pap_id, cot_prc_comum, cot_prc_min, cot_prc_max, cot_prc_med, cot_prc_mediana) VALUES ("&amp;A1186&amp;", "&amp;B1186&amp;", "&amp;C1186&amp;", "&amp;D1186&amp;", "&amp;E1186&amp;", "&amp;F1186&amp;", "&amp;G1186&amp;", "&amp;H1186&amp;");"</f>
        <v>INSERT INTO COTACAO (cot_id, cot_blt_id, cot_pap_id, cot_prc_comum, cot_prc_min, cot_prc_max, cot_prc_med, cot_prc_mediana) VALUES (1185, 67, 33, NULL, 120, 140, 130, 130);</v>
      </c>
      <c r="J1186" s="0" t="str">
        <f aca="false">"UPDATE COTACAO SET cot_id = "&amp;A1186&amp;", cot_blt_id = "&amp;B1186&amp;", cot_pap_id = "&amp;C1186&amp;", cot_prc_comum = "&amp;D1186&amp;", cot_prc_min = "&amp;E1186&amp;", cot_prc_max = "&amp;F1186&amp;", cot_prc_med = "&amp;G1186&amp;", cot_prc_mediana = "&amp;H1186&amp;" WHERE cot_id = "&amp;A1186&amp;";"</f>
        <v>UPDATE COTACAO SET cot_id = 1185, cot_blt_id = 67, cot_pap_id = 33, cot_prc_comum = NULL, cot_prc_min = 120, cot_prc_max = 140, cot_prc_med = 130, cot_prc_mediana = 130 WHERE cot_id = 1185;</v>
      </c>
    </row>
    <row r="1187" customFormat="false" ht="14.25" hidden="false" customHeight="false" outlineLevel="0" collapsed="false">
      <c r="A1187" s="0" t="n">
        <v>1186</v>
      </c>
      <c r="B1187" s="0" t="n">
        <f aca="false">IF('Boletins Nuppa Site'!A1187&lt;&gt;0,'Boletins Nuppa Site'!A1187,"NULL")</f>
        <v>67</v>
      </c>
      <c r="C1187" s="0" t="n">
        <v>34</v>
      </c>
      <c r="D1187" s="30" t="n">
        <f aca="false">IF('Boletins Nuppa Site'!G1187&lt;&gt;0,'Boletins Nuppa Site'!G1187,"NULL")</f>
        <v>60</v>
      </c>
      <c r="E1187" s="30" t="n">
        <f aca="false">IF('Boletins Nuppa Site'!H1187&lt;&gt;0,'Boletins Nuppa Site'!H1187,"NULL")</f>
        <v>45</v>
      </c>
      <c r="F1187" s="30" t="n">
        <f aca="false">IF('Boletins Nuppa Site'!I1187&lt;&gt;0,'Boletins Nuppa Site'!I1187,"NULL")</f>
        <v>60</v>
      </c>
      <c r="G1187" s="0" t="str">
        <f aca="false">IF('Boletins Nuppa Site'!J1187&lt;&gt;0,'Boletins Nuppa Site'!J1187,"NULL")</f>
        <v>53.75</v>
      </c>
      <c r="H1187" s="30" t="n">
        <f aca="false">IF('Boletins Nuppa Site'!K1187&lt;&gt;0,'Boletins Nuppa Site'!K1187,"NULL")</f>
        <v>55</v>
      </c>
      <c r="I1187" s="0" t="str">
        <f aca="false">"INSERT INTO COTACAO (cot_id, cot_blt_id, cot_pap_id, cot_prc_comum, cot_prc_min, cot_prc_max, cot_prc_med, cot_prc_mediana) VALUES ("&amp;A1187&amp;", "&amp;B1187&amp;", "&amp;C1187&amp;", "&amp;D1187&amp;", "&amp;E1187&amp;", "&amp;F1187&amp;", "&amp;G1187&amp;", "&amp;H1187&amp;");"</f>
        <v>INSERT INTO COTACAO (cot_id, cot_blt_id, cot_pap_id, cot_prc_comum, cot_prc_min, cot_prc_max, cot_prc_med, cot_prc_mediana) VALUES (1186, 67, 34, 60, 45, 60, 53.75, 55);</v>
      </c>
      <c r="J1187" s="0" t="str">
        <f aca="false">"UPDATE COTACAO SET cot_id = "&amp;A1187&amp;", cot_blt_id = "&amp;B1187&amp;", cot_pap_id = "&amp;C1187&amp;", cot_prc_comum = "&amp;D1187&amp;", cot_prc_min = "&amp;E1187&amp;", cot_prc_max = "&amp;F1187&amp;", cot_prc_med = "&amp;G1187&amp;", cot_prc_mediana = "&amp;H1187&amp;" WHERE cot_id = "&amp;A1187&amp;";"</f>
        <v>UPDATE COTACAO SET cot_id = 1186, cot_blt_id = 67, cot_pap_id = 34, cot_prc_comum = 60, cot_prc_min = 45, cot_prc_max = 60, cot_prc_med = 53.75, cot_prc_mediana = 55 WHERE cot_id = 1186;</v>
      </c>
    </row>
    <row r="1188" customFormat="false" ht="14.25" hidden="false" customHeight="false" outlineLevel="0" collapsed="false">
      <c r="A1188" s="0" t="n">
        <v>1187</v>
      </c>
      <c r="B1188" s="0" t="n">
        <f aca="false">IF('Boletins Nuppa Site'!A1188&lt;&gt;0,'Boletins Nuppa Site'!A1188,"NULL")</f>
        <v>67</v>
      </c>
      <c r="C1188" s="0" t="n">
        <v>35</v>
      </c>
      <c r="D1188" s="0" t="str">
        <f aca="false">IF('Boletins Nuppa Site'!G1188&lt;&gt;0,'Boletins Nuppa Site'!G1188,"NULL")</f>
        <v>NULL</v>
      </c>
      <c r="E1188" s="30" t="n">
        <f aca="false">IF('Boletins Nuppa Site'!H1188&lt;&gt;0,'Boletins Nuppa Site'!H1188,"NULL")</f>
        <v>120</v>
      </c>
      <c r="F1188" s="30" t="n">
        <f aca="false">IF('Boletins Nuppa Site'!I1188&lt;&gt;0,'Boletins Nuppa Site'!I1188,"NULL")</f>
        <v>120</v>
      </c>
      <c r="G1188" s="30" t="n">
        <f aca="false">IF('Boletins Nuppa Site'!J1188&lt;&gt;0,'Boletins Nuppa Site'!J1188,"NULL")</f>
        <v>120</v>
      </c>
      <c r="H1188" s="30" t="n">
        <f aca="false">IF('Boletins Nuppa Site'!K1188&lt;&gt;0,'Boletins Nuppa Site'!K1188,"NULL")</f>
        <v>120</v>
      </c>
      <c r="I1188" s="0" t="str">
        <f aca="false">"INSERT INTO COTACAO (cot_id, cot_blt_id, cot_pap_id, cot_prc_comum, cot_prc_min, cot_prc_max, cot_prc_med, cot_prc_mediana) VALUES ("&amp;A1188&amp;", "&amp;B1188&amp;", "&amp;C1188&amp;", "&amp;D1188&amp;", "&amp;E1188&amp;", "&amp;F1188&amp;", "&amp;G1188&amp;", "&amp;H1188&amp;");"</f>
        <v>INSERT INTO COTACAO (cot_id, cot_blt_id, cot_pap_id, cot_prc_comum, cot_prc_min, cot_prc_max, cot_prc_med, cot_prc_mediana) VALUES (1187, 67, 35, NULL, 120, 120, 120, 120);</v>
      </c>
      <c r="J1188" s="0" t="str">
        <f aca="false">"UPDATE COTACAO SET cot_id = "&amp;A1188&amp;", cot_blt_id = "&amp;B1188&amp;", cot_pap_id = "&amp;C1188&amp;", cot_prc_comum = "&amp;D1188&amp;", cot_prc_min = "&amp;E1188&amp;", cot_prc_max = "&amp;F1188&amp;", cot_prc_med = "&amp;G1188&amp;", cot_prc_mediana = "&amp;H1188&amp;" WHERE cot_id = "&amp;A1188&amp;";"</f>
        <v>UPDATE COTACAO SET cot_id = 1187, cot_blt_id = 67, cot_pap_id = 35, cot_prc_comum = NULL, cot_prc_min = 120, cot_prc_max = 120, cot_prc_med = 120, cot_prc_mediana = 120 WHERE cot_id = 1187;</v>
      </c>
    </row>
    <row r="1189" customFormat="false" ht="14.25" hidden="false" customHeight="false" outlineLevel="0" collapsed="false">
      <c r="A1189" s="0" t="n">
        <v>1188</v>
      </c>
      <c r="B1189" s="0" t="n">
        <f aca="false">IF('Boletins Nuppa Site'!A1189&lt;&gt;0,'Boletins Nuppa Site'!A1189,"NULL")</f>
        <v>67</v>
      </c>
      <c r="C1189" s="0" t="n">
        <v>36</v>
      </c>
      <c r="D1189" s="0" t="str">
        <f aca="false">IF('Boletins Nuppa Site'!G1189&lt;&gt;0,'Boletins Nuppa Site'!G1189,"NULL")</f>
        <v>NULL</v>
      </c>
      <c r="E1189" s="0" t="str">
        <f aca="false">IF('Boletins Nuppa Site'!H1189&lt;&gt;0,'Boletins Nuppa Site'!H1189,"NULL")</f>
        <v>NULL</v>
      </c>
      <c r="F1189" s="0" t="str">
        <f aca="false">IF('Boletins Nuppa Site'!I1189&lt;&gt;0,'Boletins Nuppa Site'!I1189,"NULL")</f>
        <v>NULL</v>
      </c>
      <c r="G1189" s="0" t="str">
        <f aca="false">IF('Boletins Nuppa Site'!J1189&lt;&gt;0,'Boletins Nuppa Site'!J1189,"NULL")</f>
        <v>NULL</v>
      </c>
      <c r="H1189" s="0" t="str">
        <f aca="false">IF('Boletins Nuppa Site'!K1189&lt;&gt;0,'Boletins Nuppa Site'!K1189,"NULL")</f>
        <v>NULL</v>
      </c>
      <c r="I1189" s="0" t="str">
        <f aca="false">"INSERT INTO COTACAO (cot_id, cot_blt_id, cot_pap_id, cot_prc_comum, cot_prc_min, cot_prc_max, cot_prc_med, cot_prc_mediana) VALUES ("&amp;A1189&amp;", "&amp;B1189&amp;", "&amp;C1189&amp;", "&amp;D1189&amp;", "&amp;E1189&amp;", "&amp;F1189&amp;", "&amp;G1189&amp;", "&amp;H1189&amp;");"</f>
        <v>INSERT INTO COTACAO (cot_id, cot_blt_id, cot_pap_id, cot_prc_comum, cot_prc_min, cot_prc_max, cot_prc_med, cot_prc_mediana) VALUES (1188, 67, 36, NULL, NULL, NULL, NULL, NULL);</v>
      </c>
      <c r="J1189" s="0" t="str">
        <f aca="false">"UPDATE COTACAO SET cot_id = "&amp;A1189&amp;", cot_blt_id = "&amp;B1189&amp;", cot_pap_id = "&amp;C1189&amp;", cot_prc_comum = "&amp;D1189&amp;", cot_prc_min = "&amp;E1189&amp;", cot_prc_max = "&amp;F1189&amp;", cot_prc_med = "&amp;G1189&amp;", cot_prc_mediana = "&amp;H1189&amp;" WHERE cot_id = "&amp;A1189&amp;";"</f>
        <v>UPDATE COTACAO SET cot_id = 1188, cot_blt_id = 67, cot_pap_id = 36, cot_prc_comum = NULL, cot_prc_min = NULL, cot_prc_max = NULL, cot_prc_med = NULL, cot_prc_mediana = NULL WHERE cot_id = 1188;</v>
      </c>
    </row>
    <row r="1190" customFormat="false" ht="14.25" hidden="false" customHeight="false" outlineLevel="0" collapsed="false">
      <c r="A1190" s="0" t="n">
        <v>1189</v>
      </c>
      <c r="B1190" s="0" t="n">
        <f aca="false">IF('Boletins Nuppa Site'!A1190&lt;&gt;0,'Boletins Nuppa Site'!A1190,"NULL")</f>
        <v>67</v>
      </c>
      <c r="C1190" s="0" t="n">
        <v>37</v>
      </c>
      <c r="D1190" s="0" t="str">
        <f aca="false">IF('Boletins Nuppa Site'!G1190&lt;&gt;0,'Boletins Nuppa Site'!G1190,"NULL")</f>
        <v>NULL</v>
      </c>
      <c r="E1190" s="0" t="str">
        <f aca="false">IF('Boletins Nuppa Site'!H1190&lt;&gt;0,'Boletins Nuppa Site'!H1190,"NULL")</f>
        <v>NULL</v>
      </c>
      <c r="F1190" s="0" t="str">
        <f aca="false">IF('Boletins Nuppa Site'!I1190&lt;&gt;0,'Boletins Nuppa Site'!I1190,"NULL")</f>
        <v>NULL</v>
      </c>
      <c r="G1190" s="0" t="str">
        <f aca="false">IF('Boletins Nuppa Site'!J1190&lt;&gt;0,'Boletins Nuppa Site'!J1190,"NULL")</f>
        <v>NULL</v>
      </c>
      <c r="H1190" s="0" t="str">
        <f aca="false">IF('Boletins Nuppa Site'!K1190&lt;&gt;0,'Boletins Nuppa Site'!K1190,"NULL")</f>
        <v>NULL</v>
      </c>
      <c r="I1190" s="0" t="str">
        <f aca="false">"INSERT INTO COTACAO (cot_id, cot_blt_id, cot_pap_id, cot_prc_comum, cot_prc_min, cot_prc_max, cot_prc_med, cot_prc_mediana) VALUES ("&amp;A1190&amp;", "&amp;B1190&amp;", "&amp;C1190&amp;", "&amp;D1190&amp;", "&amp;E1190&amp;", "&amp;F1190&amp;", "&amp;G1190&amp;", "&amp;H1190&amp;");"</f>
        <v>INSERT INTO COTACAO (cot_id, cot_blt_id, cot_pap_id, cot_prc_comum, cot_prc_min, cot_prc_max, cot_prc_med, cot_prc_mediana) VALUES (1189, 67, 37, NULL, NULL, NULL, NULL, NULL);</v>
      </c>
      <c r="J1190" s="0" t="str">
        <f aca="false">"UPDATE COTACAO SET cot_id = "&amp;A1190&amp;", cot_blt_id = "&amp;B1190&amp;", cot_pap_id = "&amp;C1190&amp;", cot_prc_comum = "&amp;D1190&amp;", cot_prc_min = "&amp;E1190&amp;", cot_prc_max = "&amp;F1190&amp;", cot_prc_med = "&amp;G1190&amp;", cot_prc_mediana = "&amp;H1190&amp;" WHERE cot_id = "&amp;A1190&amp;";"</f>
        <v>UPDATE COTACAO SET cot_id = 1189, cot_blt_id = 67, cot_pap_id = 37, cot_prc_comum = NULL, cot_prc_min = NULL, cot_prc_max = NULL, cot_prc_med = NULL, cot_prc_mediana = NULL WHERE cot_id = 1189;</v>
      </c>
    </row>
    <row r="1191" customFormat="false" ht="14.25" hidden="false" customHeight="false" outlineLevel="0" collapsed="false">
      <c r="A1191" s="0" t="n">
        <v>1190</v>
      </c>
      <c r="B1191" s="0" t="n">
        <f aca="false">IF('Boletins Nuppa Site'!A1191&lt;&gt;0,'Boletins Nuppa Site'!A1191,"NULL")</f>
        <v>67</v>
      </c>
      <c r="C1191" s="0" t="n">
        <v>38</v>
      </c>
      <c r="D1191" s="0" t="str">
        <f aca="false">IF('Boletins Nuppa Site'!G1191&lt;&gt;0,'Boletins Nuppa Site'!G1191,"NULL")</f>
        <v>NULL</v>
      </c>
      <c r="E1191" s="0" t="str">
        <f aca="false">IF('Boletins Nuppa Site'!H1191&lt;&gt;0,'Boletins Nuppa Site'!H1191,"NULL")</f>
        <v>NULL</v>
      </c>
      <c r="F1191" s="0" t="str">
        <f aca="false">IF('Boletins Nuppa Site'!I1191&lt;&gt;0,'Boletins Nuppa Site'!I1191,"NULL")</f>
        <v>NULL</v>
      </c>
      <c r="G1191" s="0" t="str">
        <f aca="false">IF('Boletins Nuppa Site'!J1191&lt;&gt;0,'Boletins Nuppa Site'!J1191,"NULL")</f>
        <v>NULL</v>
      </c>
      <c r="H1191" s="0" t="str">
        <f aca="false">IF('Boletins Nuppa Site'!K1191&lt;&gt;0,'Boletins Nuppa Site'!K1191,"NULL")</f>
        <v>NULL</v>
      </c>
      <c r="I1191" s="0" t="str">
        <f aca="false">"INSERT INTO COTACAO (cot_id, cot_blt_id, cot_pap_id, cot_prc_comum, cot_prc_min, cot_prc_max, cot_prc_med, cot_prc_mediana) VALUES ("&amp;A1191&amp;", "&amp;B1191&amp;", "&amp;C1191&amp;", "&amp;D1191&amp;", "&amp;E1191&amp;", "&amp;F1191&amp;", "&amp;G1191&amp;", "&amp;H1191&amp;");"</f>
        <v>INSERT INTO COTACAO (cot_id, cot_blt_id, cot_pap_id, cot_prc_comum, cot_prc_min, cot_prc_max, cot_prc_med, cot_prc_mediana) VALUES (1190, 67, 38, NULL, NULL, NULL, NULL, NULL);</v>
      </c>
      <c r="J1191" s="0" t="str">
        <f aca="false">"UPDATE COTACAO SET cot_id = "&amp;A1191&amp;", cot_blt_id = "&amp;B1191&amp;", cot_pap_id = "&amp;C1191&amp;", cot_prc_comum = "&amp;D1191&amp;", cot_prc_min = "&amp;E1191&amp;", cot_prc_max = "&amp;F1191&amp;", cot_prc_med = "&amp;G1191&amp;", cot_prc_mediana = "&amp;H1191&amp;" WHERE cot_id = "&amp;A1191&amp;";"</f>
        <v>UPDATE COTACAO SET cot_id = 1190, cot_blt_id = 67, cot_pap_id = 38, cot_prc_comum = NULL, cot_prc_min = NULL, cot_prc_max = NULL, cot_prc_med = NULL, cot_prc_mediana = NULL WHERE cot_id = 1190;</v>
      </c>
    </row>
    <row r="1192" customFormat="false" ht="14.25" hidden="false" customHeight="false" outlineLevel="0" collapsed="false">
      <c r="A1192" s="0" t="n">
        <v>1191</v>
      </c>
      <c r="B1192" s="0" t="n">
        <f aca="false">IF('Boletins Nuppa Site'!A1192&lt;&gt;0,'Boletins Nuppa Site'!A1192,"NULL")</f>
        <v>67</v>
      </c>
      <c r="C1192" s="0" t="n">
        <v>39</v>
      </c>
      <c r="D1192" s="0" t="str">
        <f aca="false">IF('Boletins Nuppa Site'!G1192&lt;&gt;0,'Boletins Nuppa Site'!G1192,"NULL")</f>
        <v>NULL</v>
      </c>
      <c r="E1192" s="30" t="n">
        <f aca="false">IF('Boletins Nuppa Site'!H1192&lt;&gt;0,'Boletins Nuppa Site'!H1192,"NULL")</f>
        <v>60</v>
      </c>
      <c r="F1192" s="30" t="n">
        <f aca="false">IF('Boletins Nuppa Site'!I1192&lt;&gt;0,'Boletins Nuppa Site'!I1192,"NULL")</f>
        <v>60</v>
      </c>
      <c r="G1192" s="30" t="n">
        <f aca="false">IF('Boletins Nuppa Site'!J1192&lt;&gt;0,'Boletins Nuppa Site'!J1192,"NULL")</f>
        <v>60</v>
      </c>
      <c r="H1192" s="30" t="n">
        <f aca="false">IF('Boletins Nuppa Site'!K1192&lt;&gt;0,'Boletins Nuppa Site'!K1192,"NULL")</f>
        <v>60</v>
      </c>
      <c r="I1192" s="0" t="str">
        <f aca="false">"INSERT INTO COTACAO (cot_id, cot_blt_id, cot_pap_id, cot_prc_comum, cot_prc_min, cot_prc_max, cot_prc_med, cot_prc_mediana) VALUES ("&amp;A1192&amp;", "&amp;B1192&amp;", "&amp;C1192&amp;", "&amp;D1192&amp;", "&amp;E1192&amp;", "&amp;F1192&amp;", "&amp;G1192&amp;", "&amp;H1192&amp;");"</f>
        <v>INSERT INTO COTACAO (cot_id, cot_blt_id, cot_pap_id, cot_prc_comum, cot_prc_min, cot_prc_max, cot_prc_med, cot_prc_mediana) VALUES (1191, 67, 39, NULL, 60, 60, 60, 60);</v>
      </c>
      <c r="J1192" s="0" t="str">
        <f aca="false">"UPDATE COTACAO SET cot_id = "&amp;A1192&amp;", cot_blt_id = "&amp;B1192&amp;", cot_pap_id = "&amp;C1192&amp;", cot_prc_comum = "&amp;D1192&amp;", cot_prc_min = "&amp;E1192&amp;", cot_prc_max = "&amp;F1192&amp;", cot_prc_med = "&amp;G1192&amp;", cot_prc_mediana = "&amp;H1192&amp;" WHERE cot_id = "&amp;A1192&amp;";"</f>
        <v>UPDATE COTACAO SET cot_id = 1191, cot_blt_id = 67, cot_pap_id = 39, cot_prc_comum = NULL, cot_prc_min = 60, cot_prc_max = 60, cot_prc_med = 60, cot_prc_mediana = 60 WHERE cot_id = 1191;</v>
      </c>
    </row>
    <row r="1193" customFormat="false" ht="14.25" hidden="false" customHeight="false" outlineLevel="0" collapsed="false">
      <c r="A1193" s="0" t="n">
        <v>1192</v>
      </c>
      <c r="B1193" s="0" t="n">
        <f aca="false">IF('Boletins Nuppa Site'!A1193&lt;&gt;0,'Boletins Nuppa Site'!A1193,"NULL")</f>
        <v>67</v>
      </c>
      <c r="C1193" s="0" t="n">
        <v>40</v>
      </c>
      <c r="D1193" s="0" t="str">
        <f aca="false">IF('Boletins Nuppa Site'!G1193&lt;&gt;0,'Boletins Nuppa Site'!G1193,"NULL")</f>
        <v>NULL</v>
      </c>
      <c r="E1193" s="30" t="n">
        <f aca="false">IF('Boletins Nuppa Site'!H1193&lt;&gt;0,'Boletins Nuppa Site'!H1193,"NULL")</f>
        <v>80</v>
      </c>
      <c r="F1193" s="30" t="n">
        <f aca="false">IF('Boletins Nuppa Site'!I1193&lt;&gt;0,'Boletins Nuppa Site'!I1193,"NULL")</f>
        <v>80</v>
      </c>
      <c r="G1193" s="30" t="n">
        <f aca="false">IF('Boletins Nuppa Site'!J1193&lt;&gt;0,'Boletins Nuppa Site'!J1193,"NULL")</f>
        <v>80</v>
      </c>
      <c r="H1193" s="30" t="n">
        <f aca="false">IF('Boletins Nuppa Site'!K1193&lt;&gt;0,'Boletins Nuppa Site'!K1193,"NULL")</f>
        <v>80</v>
      </c>
      <c r="I1193" s="0" t="str">
        <f aca="false">"INSERT INTO COTACAO (cot_id, cot_blt_id, cot_pap_id, cot_prc_comum, cot_prc_min, cot_prc_max, cot_prc_med, cot_prc_mediana) VALUES ("&amp;A1193&amp;", "&amp;B1193&amp;", "&amp;C1193&amp;", "&amp;D1193&amp;", "&amp;E1193&amp;", "&amp;F1193&amp;", "&amp;G1193&amp;", "&amp;H1193&amp;");"</f>
        <v>INSERT INTO COTACAO (cot_id, cot_blt_id, cot_pap_id, cot_prc_comum, cot_prc_min, cot_prc_max, cot_prc_med, cot_prc_mediana) VALUES (1192, 67, 40, NULL, 80, 80, 80, 80);</v>
      </c>
      <c r="J1193" s="0" t="str">
        <f aca="false">"UPDATE COTACAO SET cot_id = "&amp;A1193&amp;", cot_blt_id = "&amp;B1193&amp;", cot_pap_id = "&amp;C1193&amp;", cot_prc_comum = "&amp;D1193&amp;", cot_prc_min = "&amp;E1193&amp;", cot_prc_max = "&amp;F1193&amp;", cot_prc_med = "&amp;G1193&amp;", cot_prc_mediana = "&amp;H1193&amp;" WHERE cot_id = "&amp;A1193&amp;";"</f>
        <v>UPDATE COTACAO SET cot_id = 1192, cot_blt_id = 67, cot_pap_id = 40, cot_prc_comum = NULL, cot_prc_min = 80, cot_prc_max = 80, cot_prc_med = 80, cot_prc_mediana = 80 WHERE cot_id = 1192;</v>
      </c>
    </row>
    <row r="1194" customFormat="false" ht="14.25" hidden="false" customHeight="false" outlineLevel="0" collapsed="false">
      <c r="A1194" s="0" t="n">
        <v>1193</v>
      </c>
      <c r="B1194" s="0" t="n">
        <f aca="false">IF('Boletins Nuppa Site'!A1194&lt;&gt;0,'Boletins Nuppa Site'!A1194,"NULL")</f>
        <v>68</v>
      </c>
      <c r="C1194" s="0" t="n">
        <v>1</v>
      </c>
      <c r="D1194" s="30" t="n">
        <f aca="false">IF('Boletins Nuppa Site'!G1194&lt;&gt;0,'Boletins Nuppa Site'!G1194,"NULL")</f>
        <v>48</v>
      </c>
      <c r="E1194" s="30" t="n">
        <f aca="false">IF('Boletins Nuppa Site'!H1194&lt;&gt;0,'Boletins Nuppa Site'!H1194,"NULL")</f>
        <v>48</v>
      </c>
      <c r="F1194" s="30" t="n">
        <f aca="false">IF('Boletins Nuppa Site'!I1194&lt;&gt;0,'Boletins Nuppa Site'!I1194,"NULL")</f>
        <v>60</v>
      </c>
      <c r="G1194" s="0" t="str">
        <f aca="false">IF('Boletins Nuppa Site'!J1194&lt;&gt;0,'Boletins Nuppa Site'!J1194,"NULL")</f>
        <v>50.4</v>
      </c>
      <c r="H1194" s="30" t="n">
        <f aca="false">IF('Boletins Nuppa Site'!K1194&lt;&gt;0,'Boletins Nuppa Site'!K1194,"NULL")</f>
        <v>48</v>
      </c>
      <c r="I1194" s="0" t="str">
        <f aca="false">"INSERT INTO COTACAO (cot_id, cot_blt_id, cot_pap_id, cot_prc_comum, cot_prc_min, cot_prc_max, cot_prc_med, cot_prc_mediana) VALUES ("&amp;A1194&amp;", "&amp;B1194&amp;", "&amp;C1194&amp;", "&amp;D1194&amp;", "&amp;E1194&amp;", "&amp;F1194&amp;", "&amp;G1194&amp;", "&amp;H1194&amp;");"</f>
        <v>INSERT INTO COTACAO (cot_id, cot_blt_id, cot_pap_id, cot_prc_comum, cot_prc_min, cot_prc_max, cot_prc_med, cot_prc_mediana) VALUES (1193, 68, 1, 48, 48, 60, 50.4, 48);</v>
      </c>
      <c r="J1194" s="0" t="str">
        <f aca="false">"UPDATE COTACAO SET cot_id = "&amp;A1194&amp;", cot_blt_id = "&amp;B1194&amp;", cot_pap_id = "&amp;C1194&amp;", cot_prc_comum = "&amp;D1194&amp;", cot_prc_min = "&amp;E1194&amp;", cot_prc_max = "&amp;F1194&amp;", cot_prc_med = "&amp;G1194&amp;", cot_prc_mediana = "&amp;H1194&amp;" WHERE cot_id = "&amp;A1194&amp;";"</f>
        <v>UPDATE COTACAO SET cot_id = 1193, cot_blt_id = 68, cot_pap_id = 1, cot_prc_comum = 48, cot_prc_min = 48, cot_prc_max = 60, cot_prc_med = 50.4, cot_prc_mediana = 48 WHERE cot_id = 1193;</v>
      </c>
    </row>
    <row r="1195" customFormat="false" ht="14.25" hidden="false" customHeight="false" outlineLevel="0" collapsed="false">
      <c r="A1195" s="0" t="n">
        <v>1194</v>
      </c>
      <c r="B1195" s="0" t="n">
        <f aca="false">IF('Boletins Nuppa Site'!A1195&lt;&gt;0,'Boletins Nuppa Site'!A1195,"NULL")</f>
        <v>68</v>
      </c>
      <c r="C1195" s="0" t="n">
        <v>2</v>
      </c>
      <c r="D1195" s="30" t="n">
        <f aca="false">IF('Boletins Nuppa Site'!G1195&lt;&gt;0,'Boletins Nuppa Site'!G1195,"NULL")</f>
        <v>72</v>
      </c>
      <c r="E1195" s="30" t="n">
        <f aca="false">IF('Boletins Nuppa Site'!H1195&lt;&gt;0,'Boletins Nuppa Site'!H1195,"NULL")</f>
        <v>72</v>
      </c>
      <c r="F1195" s="30" t="n">
        <f aca="false">IF('Boletins Nuppa Site'!I1195&lt;&gt;0,'Boletins Nuppa Site'!I1195,"NULL")</f>
        <v>96</v>
      </c>
      <c r="G1195" s="30" t="n">
        <f aca="false">IF('Boletins Nuppa Site'!J1195&lt;&gt;0,'Boletins Nuppa Site'!J1195,"NULL")</f>
        <v>81</v>
      </c>
      <c r="H1195" s="30" t="n">
        <f aca="false">IF('Boletins Nuppa Site'!K1195&lt;&gt;0,'Boletins Nuppa Site'!K1195,"NULL")</f>
        <v>78</v>
      </c>
      <c r="I1195" s="0" t="str">
        <f aca="false">"INSERT INTO COTACAO (cot_id, cot_blt_id, cot_pap_id, cot_prc_comum, cot_prc_min, cot_prc_max, cot_prc_med, cot_prc_mediana) VALUES ("&amp;A1195&amp;", "&amp;B1195&amp;", "&amp;C1195&amp;", "&amp;D1195&amp;", "&amp;E1195&amp;", "&amp;F1195&amp;", "&amp;G1195&amp;", "&amp;H1195&amp;");"</f>
        <v>INSERT INTO COTACAO (cot_id, cot_blt_id, cot_pap_id, cot_prc_comum, cot_prc_min, cot_prc_max, cot_prc_med, cot_prc_mediana) VALUES (1194, 68, 2, 72, 72, 96, 81, 78);</v>
      </c>
      <c r="J1195" s="0" t="str">
        <f aca="false">"UPDATE COTACAO SET cot_id = "&amp;A1195&amp;", cot_blt_id = "&amp;B1195&amp;", cot_pap_id = "&amp;C1195&amp;", cot_prc_comum = "&amp;D1195&amp;", cot_prc_min = "&amp;E1195&amp;", cot_prc_max = "&amp;F1195&amp;", cot_prc_med = "&amp;G1195&amp;", cot_prc_mediana = "&amp;H1195&amp;" WHERE cot_id = "&amp;A1195&amp;";"</f>
        <v>UPDATE COTACAO SET cot_id = 1194, cot_blt_id = 68, cot_pap_id = 2, cot_prc_comum = 72, cot_prc_min = 72, cot_prc_max = 96, cot_prc_med = 81, cot_prc_mediana = 78 WHERE cot_id = 1194;</v>
      </c>
    </row>
    <row r="1196" customFormat="false" ht="14.25" hidden="false" customHeight="false" outlineLevel="0" collapsed="false">
      <c r="A1196" s="0" t="n">
        <v>1195</v>
      </c>
      <c r="B1196" s="0" t="n">
        <f aca="false">IF('Boletins Nuppa Site'!A1196&lt;&gt;0,'Boletins Nuppa Site'!A1196,"NULL")</f>
        <v>68</v>
      </c>
      <c r="C1196" s="0" t="n">
        <v>3</v>
      </c>
      <c r="D1196" s="30" t="n">
        <f aca="false">IF('Boletins Nuppa Site'!G1196&lt;&gt;0,'Boletins Nuppa Site'!G1196,"NULL")</f>
        <v>36</v>
      </c>
      <c r="E1196" s="30" t="n">
        <f aca="false">IF('Boletins Nuppa Site'!H1196&lt;&gt;0,'Boletins Nuppa Site'!H1196,"NULL")</f>
        <v>25</v>
      </c>
      <c r="F1196" s="30" t="n">
        <f aca="false">IF('Boletins Nuppa Site'!I1196&lt;&gt;0,'Boletins Nuppa Site'!I1196,"NULL")</f>
        <v>42</v>
      </c>
      <c r="G1196" s="30" t="n">
        <f aca="false">IF('Boletins Nuppa Site'!J1196&lt;&gt;0,'Boletins Nuppa Site'!J1196,"NULL")</f>
        <v>35</v>
      </c>
      <c r="H1196" s="30" t="n">
        <f aca="false">IF('Boletins Nuppa Site'!K1196&lt;&gt;0,'Boletins Nuppa Site'!K1196,"NULL")</f>
        <v>36</v>
      </c>
      <c r="I1196" s="0" t="str">
        <f aca="false">"INSERT INTO COTACAO (cot_id, cot_blt_id, cot_pap_id, cot_prc_comum, cot_prc_min, cot_prc_max, cot_prc_med, cot_prc_mediana) VALUES ("&amp;A1196&amp;", "&amp;B1196&amp;", "&amp;C1196&amp;", "&amp;D1196&amp;", "&amp;E1196&amp;", "&amp;F1196&amp;", "&amp;G1196&amp;", "&amp;H1196&amp;");"</f>
        <v>INSERT INTO COTACAO (cot_id, cot_blt_id, cot_pap_id, cot_prc_comum, cot_prc_min, cot_prc_max, cot_prc_med, cot_prc_mediana) VALUES (1195, 68, 3, 36, 25, 42, 35, 36);</v>
      </c>
      <c r="J1196" s="0" t="str">
        <f aca="false">"UPDATE COTACAO SET cot_id = "&amp;A1196&amp;", cot_blt_id = "&amp;B1196&amp;", cot_pap_id = "&amp;C1196&amp;", cot_prc_comum = "&amp;D1196&amp;", cot_prc_min = "&amp;E1196&amp;", cot_prc_max = "&amp;F1196&amp;", cot_prc_med = "&amp;G1196&amp;", cot_prc_mediana = "&amp;H1196&amp;" WHERE cot_id = "&amp;A1196&amp;";"</f>
        <v>UPDATE COTACAO SET cot_id = 1195, cot_blt_id = 68, cot_pap_id = 3, cot_prc_comum = 36, cot_prc_min = 25, cot_prc_max = 42, cot_prc_med = 35, cot_prc_mediana = 36 WHERE cot_id = 1195;</v>
      </c>
    </row>
    <row r="1197" customFormat="false" ht="14.25" hidden="false" customHeight="false" outlineLevel="0" collapsed="false">
      <c r="A1197" s="0" t="n">
        <v>1196</v>
      </c>
      <c r="B1197" s="0" t="n">
        <f aca="false">IF('Boletins Nuppa Site'!A1197&lt;&gt;0,'Boletins Nuppa Site'!A1197,"NULL")</f>
        <v>68</v>
      </c>
      <c r="C1197" s="0" t="n">
        <v>4</v>
      </c>
      <c r="D1197" s="30" t="n">
        <f aca="false">IF('Boletins Nuppa Site'!G1197&lt;&gt;0,'Boletins Nuppa Site'!G1197,"NULL")</f>
        <v>24</v>
      </c>
      <c r="E1197" s="30" t="n">
        <f aca="false">IF('Boletins Nuppa Site'!H1197&lt;&gt;0,'Boletins Nuppa Site'!H1197,"NULL")</f>
        <v>18</v>
      </c>
      <c r="F1197" s="30" t="n">
        <f aca="false">IF('Boletins Nuppa Site'!I1197&lt;&gt;0,'Boletins Nuppa Site'!I1197,"NULL")</f>
        <v>24</v>
      </c>
      <c r="G1197" s="0" t="str">
        <f aca="false">IF('Boletins Nuppa Site'!J1197&lt;&gt;0,'Boletins Nuppa Site'!J1197,"NULL")</f>
        <v>21.6</v>
      </c>
      <c r="H1197" s="30" t="n">
        <f aca="false">IF('Boletins Nuppa Site'!K1197&lt;&gt;0,'Boletins Nuppa Site'!K1197,"NULL")</f>
        <v>24</v>
      </c>
      <c r="I1197" s="0" t="str">
        <f aca="false">"INSERT INTO COTACAO (cot_id, cot_blt_id, cot_pap_id, cot_prc_comum, cot_prc_min, cot_prc_max, cot_prc_med, cot_prc_mediana) VALUES ("&amp;A1197&amp;", "&amp;B1197&amp;", "&amp;C1197&amp;", "&amp;D1197&amp;", "&amp;E1197&amp;", "&amp;F1197&amp;", "&amp;G1197&amp;", "&amp;H1197&amp;");"</f>
        <v>INSERT INTO COTACAO (cot_id, cot_blt_id, cot_pap_id, cot_prc_comum, cot_prc_min, cot_prc_max, cot_prc_med, cot_prc_mediana) VALUES (1196, 68, 4, 24, 18, 24, 21.6, 24);</v>
      </c>
      <c r="J1197" s="0" t="str">
        <f aca="false">"UPDATE COTACAO SET cot_id = "&amp;A1197&amp;", cot_blt_id = "&amp;B1197&amp;", cot_pap_id = "&amp;C1197&amp;", cot_prc_comum = "&amp;D1197&amp;", cot_prc_min = "&amp;E1197&amp;", cot_prc_max = "&amp;F1197&amp;", cot_prc_med = "&amp;G1197&amp;", cot_prc_mediana = "&amp;H1197&amp;" WHERE cot_id = "&amp;A1197&amp;";"</f>
        <v>UPDATE COTACAO SET cot_id = 1196, cot_blt_id = 68, cot_pap_id = 4, cot_prc_comum = 24, cot_prc_min = 18, cot_prc_max = 24, cot_prc_med = 21.6, cot_prc_mediana = 24 WHERE cot_id = 1196;</v>
      </c>
    </row>
    <row r="1198" customFormat="false" ht="14.25" hidden="false" customHeight="false" outlineLevel="0" collapsed="false">
      <c r="A1198" s="0" t="n">
        <v>1197</v>
      </c>
      <c r="B1198" s="0" t="n">
        <f aca="false">IF('Boletins Nuppa Site'!A1198&lt;&gt;0,'Boletins Nuppa Site'!A1198,"NULL")</f>
        <v>68</v>
      </c>
      <c r="C1198" s="0" t="n">
        <v>5</v>
      </c>
      <c r="D1198" s="30" t="n">
        <f aca="false">IF('Boletins Nuppa Site'!G1198&lt;&gt;0,'Boletins Nuppa Site'!G1198,"NULL")</f>
        <v>24</v>
      </c>
      <c r="E1198" s="30" t="n">
        <f aca="false">IF('Boletins Nuppa Site'!H1198&lt;&gt;0,'Boletins Nuppa Site'!H1198,"NULL")</f>
        <v>18</v>
      </c>
      <c r="F1198" s="30" t="n">
        <f aca="false">IF('Boletins Nuppa Site'!I1198&lt;&gt;0,'Boletins Nuppa Site'!I1198,"NULL")</f>
        <v>24</v>
      </c>
      <c r="G1198" s="30" t="n">
        <f aca="false">IF('Boletins Nuppa Site'!J1198&lt;&gt;0,'Boletins Nuppa Site'!J1198,"NULL")</f>
        <v>21</v>
      </c>
      <c r="H1198" s="30" t="n">
        <f aca="false">IF('Boletins Nuppa Site'!K1198&lt;&gt;0,'Boletins Nuppa Site'!K1198,"NULL")</f>
        <v>21</v>
      </c>
      <c r="I1198" s="0" t="str">
        <f aca="false">"INSERT INTO COTACAO (cot_id, cot_blt_id, cot_pap_id, cot_prc_comum, cot_prc_min, cot_prc_max, cot_prc_med, cot_prc_mediana) VALUES ("&amp;A1198&amp;", "&amp;B1198&amp;", "&amp;C1198&amp;", "&amp;D1198&amp;", "&amp;E1198&amp;", "&amp;F1198&amp;", "&amp;G1198&amp;", "&amp;H1198&amp;");"</f>
        <v>INSERT INTO COTACAO (cot_id, cot_blt_id, cot_pap_id, cot_prc_comum, cot_prc_min, cot_prc_max, cot_prc_med, cot_prc_mediana) VALUES (1197, 68, 5, 24, 18, 24, 21, 21);</v>
      </c>
      <c r="J1198" s="0" t="str">
        <f aca="false">"UPDATE COTACAO SET cot_id = "&amp;A1198&amp;", cot_blt_id = "&amp;B1198&amp;", cot_pap_id = "&amp;C1198&amp;", cot_prc_comum = "&amp;D1198&amp;", cot_prc_min = "&amp;E1198&amp;", cot_prc_max = "&amp;F1198&amp;", cot_prc_med = "&amp;G1198&amp;", cot_prc_mediana = "&amp;H1198&amp;" WHERE cot_id = "&amp;A1198&amp;";"</f>
        <v>UPDATE COTACAO SET cot_id = 1197, cot_blt_id = 68, cot_pap_id = 5, cot_prc_comum = 24, cot_prc_min = 18, cot_prc_max = 24, cot_prc_med = 21, cot_prc_mediana = 21 WHERE cot_id = 1197;</v>
      </c>
    </row>
    <row r="1199" customFormat="false" ht="14.25" hidden="false" customHeight="false" outlineLevel="0" collapsed="false">
      <c r="A1199" s="0" t="n">
        <v>1198</v>
      </c>
      <c r="B1199" s="0" t="n">
        <f aca="false">IF('Boletins Nuppa Site'!A1199&lt;&gt;0,'Boletins Nuppa Site'!A1199,"NULL")</f>
        <v>68</v>
      </c>
      <c r="C1199" s="0" t="n">
        <v>6</v>
      </c>
      <c r="D1199" s="30" t="n">
        <f aca="false">IF('Boletins Nuppa Site'!G1199&lt;&gt;0,'Boletins Nuppa Site'!G1199,"NULL")</f>
        <v>60</v>
      </c>
      <c r="E1199" s="30" t="n">
        <f aca="false">IF('Boletins Nuppa Site'!H1199&lt;&gt;0,'Boletins Nuppa Site'!H1199,"NULL")</f>
        <v>48</v>
      </c>
      <c r="F1199" s="30" t="n">
        <f aca="false">IF('Boletins Nuppa Site'!I1199&lt;&gt;0,'Boletins Nuppa Site'!I1199,"NULL")</f>
        <v>60</v>
      </c>
      <c r="G1199" s="30" t="n">
        <f aca="false">IF('Boletins Nuppa Site'!J1199&lt;&gt;0,'Boletins Nuppa Site'!J1199,"NULL")</f>
        <v>54</v>
      </c>
      <c r="H1199" s="30" t="n">
        <f aca="false">IF('Boletins Nuppa Site'!K1199&lt;&gt;0,'Boletins Nuppa Site'!K1199,"NULL")</f>
        <v>54</v>
      </c>
      <c r="I1199" s="0" t="str">
        <f aca="false">"INSERT INTO COTACAO (cot_id, cot_blt_id, cot_pap_id, cot_prc_comum, cot_prc_min, cot_prc_max, cot_prc_med, cot_prc_mediana) VALUES ("&amp;A1199&amp;", "&amp;B1199&amp;", "&amp;C1199&amp;", "&amp;D1199&amp;", "&amp;E1199&amp;", "&amp;F1199&amp;", "&amp;G1199&amp;", "&amp;H1199&amp;");"</f>
        <v>INSERT INTO COTACAO (cot_id, cot_blt_id, cot_pap_id, cot_prc_comum, cot_prc_min, cot_prc_max, cot_prc_med, cot_prc_mediana) VALUES (1198, 68, 6, 60, 48, 60, 54, 54);</v>
      </c>
      <c r="J1199" s="0" t="str">
        <f aca="false">"UPDATE COTACAO SET cot_id = "&amp;A1199&amp;", cot_blt_id = "&amp;B1199&amp;", cot_pap_id = "&amp;C1199&amp;", cot_prc_comum = "&amp;D1199&amp;", cot_prc_min = "&amp;E1199&amp;", cot_prc_max = "&amp;F1199&amp;", cot_prc_med = "&amp;G1199&amp;", cot_prc_mediana = "&amp;H1199&amp;" WHERE cot_id = "&amp;A1199&amp;";"</f>
        <v>UPDATE COTACAO SET cot_id = 1198, cot_blt_id = 68, cot_pap_id = 6, cot_prc_comum = 60, cot_prc_min = 48, cot_prc_max = 60, cot_prc_med = 54, cot_prc_mediana = 54 WHERE cot_id = 1198;</v>
      </c>
    </row>
    <row r="1200" customFormat="false" ht="14.25" hidden="false" customHeight="false" outlineLevel="0" collapsed="false">
      <c r="A1200" s="0" t="n">
        <v>1199</v>
      </c>
      <c r="B1200" s="0" t="n">
        <f aca="false">IF('Boletins Nuppa Site'!A1200&lt;&gt;0,'Boletins Nuppa Site'!A1200,"NULL")</f>
        <v>68</v>
      </c>
      <c r="C1200" s="0" t="n">
        <v>7</v>
      </c>
      <c r="D1200" s="30" t="n">
        <f aca="false">IF('Boletins Nuppa Site'!G1200&lt;&gt;0,'Boletins Nuppa Site'!G1200,"NULL")</f>
        <v>60</v>
      </c>
      <c r="E1200" s="30" t="n">
        <f aca="false">IF('Boletins Nuppa Site'!H1200&lt;&gt;0,'Boletins Nuppa Site'!H1200,"NULL")</f>
        <v>48</v>
      </c>
      <c r="F1200" s="30" t="n">
        <f aca="false">IF('Boletins Nuppa Site'!I1200&lt;&gt;0,'Boletins Nuppa Site'!I1200,"NULL")</f>
        <v>72</v>
      </c>
      <c r="G1200" s="30" t="n">
        <f aca="false">IF('Boletins Nuppa Site'!J1200&lt;&gt;0,'Boletins Nuppa Site'!J1200,"NULL")</f>
        <v>60</v>
      </c>
      <c r="H1200" s="30" t="n">
        <f aca="false">IF('Boletins Nuppa Site'!K1200&lt;&gt;0,'Boletins Nuppa Site'!K1200,"NULL")</f>
        <v>60</v>
      </c>
      <c r="I1200" s="0" t="str">
        <f aca="false">"INSERT INTO COTACAO (cot_id, cot_blt_id, cot_pap_id, cot_prc_comum, cot_prc_min, cot_prc_max, cot_prc_med, cot_prc_mediana) VALUES ("&amp;A1200&amp;", "&amp;B1200&amp;", "&amp;C1200&amp;", "&amp;D1200&amp;", "&amp;E1200&amp;", "&amp;F1200&amp;", "&amp;G1200&amp;", "&amp;H1200&amp;");"</f>
        <v>INSERT INTO COTACAO (cot_id, cot_blt_id, cot_pap_id, cot_prc_comum, cot_prc_min, cot_prc_max, cot_prc_med, cot_prc_mediana) VALUES (1199, 68, 7, 60, 48, 72, 60, 60);</v>
      </c>
      <c r="J1200" s="0" t="str">
        <f aca="false">"UPDATE COTACAO SET cot_id = "&amp;A1200&amp;", cot_blt_id = "&amp;B1200&amp;", cot_pap_id = "&amp;C1200&amp;", cot_prc_comum = "&amp;D1200&amp;", cot_prc_min = "&amp;E1200&amp;", cot_prc_max = "&amp;F1200&amp;", cot_prc_med = "&amp;G1200&amp;", cot_prc_mediana = "&amp;H1200&amp;" WHERE cot_id = "&amp;A1200&amp;";"</f>
        <v>UPDATE COTACAO SET cot_id = 1199, cot_blt_id = 68, cot_pap_id = 7, cot_prc_comum = 60, cot_prc_min = 48, cot_prc_max = 72, cot_prc_med = 60, cot_prc_mediana = 60 WHERE cot_id = 1199;</v>
      </c>
    </row>
    <row r="1201" customFormat="false" ht="14.25" hidden="false" customHeight="false" outlineLevel="0" collapsed="false">
      <c r="A1201" s="0" t="n">
        <v>1200</v>
      </c>
      <c r="B1201" s="0" t="n">
        <f aca="false">IF('Boletins Nuppa Site'!A1201&lt;&gt;0,'Boletins Nuppa Site'!A1201,"NULL")</f>
        <v>68</v>
      </c>
      <c r="C1201" s="0" t="n">
        <v>8</v>
      </c>
      <c r="D1201" s="30" t="n">
        <f aca="false">IF('Boletins Nuppa Site'!G1201&lt;&gt;0,'Boletins Nuppa Site'!G1201,"NULL")</f>
        <v>72</v>
      </c>
      <c r="E1201" s="30" t="n">
        <f aca="false">IF('Boletins Nuppa Site'!H1201&lt;&gt;0,'Boletins Nuppa Site'!H1201,"NULL")</f>
        <v>60</v>
      </c>
      <c r="F1201" s="30" t="n">
        <f aca="false">IF('Boletins Nuppa Site'!I1201&lt;&gt;0,'Boletins Nuppa Site'!I1201,"NULL")</f>
        <v>72</v>
      </c>
      <c r="G1201" s="0" t="str">
        <f aca="false">IF('Boletins Nuppa Site'!J1201&lt;&gt;0,'Boletins Nuppa Site'!J1201,"NULL")</f>
        <v>69.6</v>
      </c>
      <c r="H1201" s="30" t="n">
        <f aca="false">IF('Boletins Nuppa Site'!K1201&lt;&gt;0,'Boletins Nuppa Site'!K1201,"NULL")</f>
        <v>72</v>
      </c>
      <c r="I1201" s="0" t="str">
        <f aca="false">"INSERT INTO COTACAO (cot_id, cot_blt_id, cot_pap_id, cot_prc_comum, cot_prc_min, cot_prc_max, cot_prc_med, cot_prc_mediana) VALUES ("&amp;A1201&amp;", "&amp;B1201&amp;", "&amp;C1201&amp;", "&amp;D1201&amp;", "&amp;E1201&amp;", "&amp;F1201&amp;", "&amp;G1201&amp;", "&amp;H1201&amp;");"</f>
        <v>INSERT INTO COTACAO (cot_id, cot_blt_id, cot_pap_id, cot_prc_comum, cot_prc_min, cot_prc_max, cot_prc_med, cot_prc_mediana) VALUES (1200, 68, 8, 72, 60, 72, 69.6, 72);</v>
      </c>
      <c r="J1201" s="0" t="str">
        <f aca="false">"UPDATE COTACAO SET cot_id = "&amp;A1201&amp;", cot_blt_id = "&amp;B1201&amp;", cot_pap_id = "&amp;C1201&amp;", cot_prc_comum = "&amp;D1201&amp;", cot_prc_min = "&amp;E1201&amp;", cot_prc_max = "&amp;F1201&amp;", cot_prc_med = "&amp;G1201&amp;", cot_prc_mediana = "&amp;H1201&amp;" WHERE cot_id = "&amp;A1201&amp;";"</f>
        <v>UPDATE COTACAO SET cot_id = 1200, cot_blt_id = 68, cot_pap_id = 8, cot_prc_comum = 72, cot_prc_min = 60, cot_prc_max = 72, cot_prc_med = 69.6, cot_prc_mediana = 72 WHERE cot_id = 1200;</v>
      </c>
    </row>
    <row r="1202" customFormat="false" ht="14.25" hidden="false" customHeight="false" outlineLevel="0" collapsed="false">
      <c r="A1202" s="0" t="n">
        <v>1201</v>
      </c>
      <c r="B1202" s="0" t="n">
        <f aca="false">IF('Boletins Nuppa Site'!A1202&lt;&gt;0,'Boletins Nuppa Site'!A1202,"NULL")</f>
        <v>68</v>
      </c>
      <c r="C1202" s="0" t="n">
        <v>9</v>
      </c>
      <c r="D1202" s="30" t="n">
        <f aca="false">IF('Boletins Nuppa Site'!G1202&lt;&gt;0,'Boletins Nuppa Site'!G1202,"NULL")</f>
        <v>18</v>
      </c>
      <c r="E1202" s="30" t="n">
        <f aca="false">IF('Boletins Nuppa Site'!H1202&lt;&gt;0,'Boletins Nuppa Site'!H1202,"NULL")</f>
        <v>18</v>
      </c>
      <c r="F1202" s="30" t="n">
        <f aca="false">IF('Boletins Nuppa Site'!I1202&lt;&gt;0,'Boletins Nuppa Site'!I1202,"NULL")</f>
        <v>24</v>
      </c>
      <c r="G1202" s="0" t="str">
        <f aca="false">IF('Boletins Nuppa Site'!J1202&lt;&gt;0,'Boletins Nuppa Site'!J1202,"NULL")</f>
        <v>20.4</v>
      </c>
      <c r="H1202" s="30" t="n">
        <f aca="false">IF('Boletins Nuppa Site'!K1202&lt;&gt;0,'Boletins Nuppa Site'!K1202,"NULL")</f>
        <v>18</v>
      </c>
      <c r="I1202" s="0" t="str">
        <f aca="false">"INSERT INTO COTACAO (cot_id, cot_blt_id, cot_pap_id, cot_prc_comum, cot_prc_min, cot_prc_max, cot_prc_med, cot_prc_mediana) VALUES ("&amp;A1202&amp;", "&amp;B1202&amp;", "&amp;C1202&amp;", "&amp;D1202&amp;", "&amp;E1202&amp;", "&amp;F1202&amp;", "&amp;G1202&amp;", "&amp;H1202&amp;");"</f>
        <v>INSERT INTO COTACAO (cot_id, cot_blt_id, cot_pap_id, cot_prc_comum, cot_prc_min, cot_prc_max, cot_prc_med, cot_prc_mediana) VALUES (1201, 68, 9, 18, 18, 24, 20.4, 18);</v>
      </c>
      <c r="J1202" s="0" t="str">
        <f aca="false">"UPDATE COTACAO SET cot_id = "&amp;A1202&amp;", cot_blt_id = "&amp;B1202&amp;", cot_pap_id = "&amp;C1202&amp;", cot_prc_comum = "&amp;D1202&amp;", cot_prc_min = "&amp;E1202&amp;", cot_prc_max = "&amp;F1202&amp;", cot_prc_med = "&amp;G1202&amp;", cot_prc_mediana = "&amp;H1202&amp;" WHERE cot_id = "&amp;A1202&amp;";"</f>
        <v>UPDATE COTACAO SET cot_id = 1201, cot_blt_id = 68, cot_pap_id = 9, cot_prc_comum = 18, cot_prc_min = 18, cot_prc_max = 24, cot_prc_med = 20.4, cot_prc_mediana = 18 WHERE cot_id = 1201;</v>
      </c>
    </row>
    <row r="1203" customFormat="false" ht="14.25" hidden="false" customHeight="false" outlineLevel="0" collapsed="false">
      <c r="A1203" s="0" t="n">
        <v>1202</v>
      </c>
      <c r="B1203" s="0" t="n">
        <f aca="false">IF('Boletins Nuppa Site'!A1203&lt;&gt;0,'Boletins Nuppa Site'!A1203,"NULL")</f>
        <v>68</v>
      </c>
      <c r="C1203" s="0" t="n">
        <v>10</v>
      </c>
      <c r="D1203" s="30" t="n">
        <f aca="false">IF('Boletins Nuppa Site'!G1203&lt;&gt;0,'Boletins Nuppa Site'!G1203,"NULL")</f>
        <v>60</v>
      </c>
      <c r="E1203" s="30" t="n">
        <f aca="false">IF('Boletins Nuppa Site'!H1203&lt;&gt;0,'Boletins Nuppa Site'!H1203,"NULL")</f>
        <v>60</v>
      </c>
      <c r="F1203" s="30" t="n">
        <f aca="false">IF('Boletins Nuppa Site'!I1203&lt;&gt;0,'Boletins Nuppa Site'!I1203,"NULL")</f>
        <v>78</v>
      </c>
      <c r="G1203" s="0" t="str">
        <f aca="false">IF('Boletins Nuppa Site'!J1203&lt;&gt;0,'Boletins Nuppa Site'!J1203,"NULL")</f>
        <v>64.5</v>
      </c>
      <c r="H1203" s="30" t="n">
        <f aca="false">IF('Boletins Nuppa Site'!K1203&lt;&gt;0,'Boletins Nuppa Site'!K1203,"NULL")</f>
        <v>60</v>
      </c>
      <c r="I1203" s="0" t="str">
        <f aca="false">"INSERT INTO COTACAO (cot_id, cot_blt_id, cot_pap_id, cot_prc_comum, cot_prc_min, cot_prc_max, cot_prc_med, cot_prc_mediana) VALUES ("&amp;A1203&amp;", "&amp;B1203&amp;", "&amp;C1203&amp;", "&amp;D1203&amp;", "&amp;E1203&amp;", "&amp;F1203&amp;", "&amp;G1203&amp;", "&amp;H1203&amp;");"</f>
        <v>INSERT INTO COTACAO (cot_id, cot_blt_id, cot_pap_id, cot_prc_comum, cot_prc_min, cot_prc_max, cot_prc_med, cot_prc_mediana) VALUES (1202, 68, 10, 60, 60, 78, 64.5, 60);</v>
      </c>
      <c r="J1203" s="0" t="str">
        <f aca="false">"UPDATE COTACAO SET cot_id = "&amp;A1203&amp;", cot_blt_id = "&amp;B1203&amp;", cot_pap_id = "&amp;C1203&amp;", cot_prc_comum = "&amp;D1203&amp;", cot_prc_min = "&amp;E1203&amp;", cot_prc_max = "&amp;F1203&amp;", cot_prc_med = "&amp;G1203&amp;", cot_prc_mediana = "&amp;H1203&amp;" WHERE cot_id = "&amp;A1203&amp;";"</f>
        <v>UPDATE COTACAO SET cot_id = 1202, cot_blt_id = 68, cot_pap_id = 10, cot_prc_comum = 60, cot_prc_min = 60, cot_prc_max = 78, cot_prc_med = 64.5, cot_prc_mediana = 60 WHERE cot_id = 1202;</v>
      </c>
    </row>
    <row r="1204" customFormat="false" ht="14.25" hidden="false" customHeight="false" outlineLevel="0" collapsed="false">
      <c r="A1204" s="0" t="n">
        <v>1203</v>
      </c>
      <c r="B1204" s="0" t="n">
        <f aca="false">IF('Boletins Nuppa Site'!A1204&lt;&gt;0,'Boletins Nuppa Site'!A1204,"NULL")</f>
        <v>68</v>
      </c>
      <c r="C1204" s="0" t="n">
        <v>11</v>
      </c>
      <c r="D1204" s="30" t="n">
        <f aca="false">IF('Boletins Nuppa Site'!G1204&lt;&gt;0,'Boletins Nuppa Site'!G1204,"NULL")</f>
        <v>24</v>
      </c>
      <c r="E1204" s="30" t="n">
        <f aca="false">IF('Boletins Nuppa Site'!H1204&lt;&gt;0,'Boletins Nuppa Site'!H1204,"NULL")</f>
        <v>18</v>
      </c>
      <c r="F1204" s="30" t="n">
        <f aca="false">IF('Boletins Nuppa Site'!I1204&lt;&gt;0,'Boletins Nuppa Site'!I1204,"NULL")</f>
        <v>24</v>
      </c>
      <c r="G1204" s="0" t="str">
        <f aca="false">IF('Boletins Nuppa Site'!J1204&lt;&gt;0,'Boletins Nuppa Site'!J1204,"NULL")</f>
        <v>22.8</v>
      </c>
      <c r="H1204" s="30" t="n">
        <f aca="false">IF('Boletins Nuppa Site'!K1204&lt;&gt;0,'Boletins Nuppa Site'!K1204,"NULL")</f>
        <v>24</v>
      </c>
      <c r="I1204" s="0" t="str">
        <f aca="false">"INSERT INTO COTACAO (cot_id, cot_blt_id, cot_pap_id, cot_prc_comum, cot_prc_min, cot_prc_max, cot_prc_med, cot_prc_mediana) VALUES ("&amp;A1204&amp;", "&amp;B1204&amp;", "&amp;C1204&amp;", "&amp;D1204&amp;", "&amp;E1204&amp;", "&amp;F1204&amp;", "&amp;G1204&amp;", "&amp;H1204&amp;");"</f>
        <v>INSERT INTO COTACAO (cot_id, cot_blt_id, cot_pap_id, cot_prc_comum, cot_prc_min, cot_prc_max, cot_prc_med, cot_prc_mediana) VALUES (1203, 68, 11, 24, 18, 24, 22.8, 24);</v>
      </c>
      <c r="J1204" s="0" t="str">
        <f aca="false">"UPDATE COTACAO SET cot_id = "&amp;A1204&amp;", cot_blt_id = "&amp;B1204&amp;", cot_pap_id = "&amp;C1204&amp;", cot_prc_comum = "&amp;D1204&amp;", cot_prc_min = "&amp;E1204&amp;", cot_prc_max = "&amp;F1204&amp;", cot_prc_med = "&amp;G1204&amp;", cot_prc_mediana = "&amp;H1204&amp;" WHERE cot_id = "&amp;A1204&amp;";"</f>
        <v>UPDATE COTACAO SET cot_id = 1203, cot_blt_id = 68, cot_pap_id = 11, cot_prc_comum = 24, cot_prc_min = 18, cot_prc_max = 24, cot_prc_med = 22.8, cot_prc_mediana = 24 WHERE cot_id = 1203;</v>
      </c>
    </row>
    <row r="1205" customFormat="false" ht="14.25" hidden="false" customHeight="false" outlineLevel="0" collapsed="false">
      <c r="A1205" s="0" t="n">
        <v>1204</v>
      </c>
      <c r="B1205" s="0" t="n">
        <f aca="false">IF('Boletins Nuppa Site'!A1205&lt;&gt;0,'Boletins Nuppa Site'!A1205,"NULL")</f>
        <v>68</v>
      </c>
      <c r="C1205" s="0" t="n">
        <v>12</v>
      </c>
      <c r="D1205" s="30" t="n">
        <f aca="false">IF('Boletins Nuppa Site'!G1205&lt;&gt;0,'Boletins Nuppa Site'!G1205,"NULL")</f>
        <v>60</v>
      </c>
      <c r="E1205" s="30" t="n">
        <f aca="false">IF('Boletins Nuppa Site'!H1205&lt;&gt;0,'Boletins Nuppa Site'!H1205,"NULL")</f>
        <v>48</v>
      </c>
      <c r="F1205" s="30" t="n">
        <f aca="false">IF('Boletins Nuppa Site'!I1205&lt;&gt;0,'Boletins Nuppa Site'!I1205,"NULL")</f>
        <v>60</v>
      </c>
      <c r="G1205" s="30" t="n">
        <f aca="false">IF('Boletins Nuppa Site'!J1205&lt;&gt;0,'Boletins Nuppa Site'!J1205,"NULL")</f>
        <v>54</v>
      </c>
      <c r="H1205" s="30" t="n">
        <f aca="false">IF('Boletins Nuppa Site'!K1205&lt;&gt;0,'Boletins Nuppa Site'!K1205,"NULL")</f>
        <v>54</v>
      </c>
      <c r="I1205" s="0" t="str">
        <f aca="false">"INSERT INTO COTACAO (cot_id, cot_blt_id, cot_pap_id, cot_prc_comum, cot_prc_min, cot_prc_max, cot_prc_med, cot_prc_mediana) VALUES ("&amp;A1205&amp;", "&amp;B1205&amp;", "&amp;C1205&amp;", "&amp;D1205&amp;", "&amp;E1205&amp;", "&amp;F1205&amp;", "&amp;G1205&amp;", "&amp;H1205&amp;");"</f>
        <v>INSERT INTO COTACAO (cot_id, cot_blt_id, cot_pap_id, cot_prc_comum, cot_prc_min, cot_prc_max, cot_prc_med, cot_prc_mediana) VALUES (1204, 68, 12, 60, 48, 60, 54, 54);</v>
      </c>
      <c r="J1205" s="0" t="str">
        <f aca="false">"UPDATE COTACAO SET cot_id = "&amp;A1205&amp;", cot_blt_id = "&amp;B1205&amp;", cot_pap_id = "&amp;C1205&amp;", cot_prc_comum = "&amp;D1205&amp;", cot_prc_min = "&amp;E1205&amp;", cot_prc_max = "&amp;F1205&amp;", cot_prc_med = "&amp;G1205&amp;", cot_prc_mediana = "&amp;H1205&amp;" WHERE cot_id = "&amp;A1205&amp;";"</f>
        <v>UPDATE COTACAO SET cot_id = 1204, cot_blt_id = 68, cot_pap_id = 12, cot_prc_comum = 60, cot_prc_min = 48, cot_prc_max = 60, cot_prc_med = 54, cot_prc_mediana = 54 WHERE cot_id = 1204;</v>
      </c>
    </row>
    <row r="1206" customFormat="false" ht="14.25" hidden="false" customHeight="false" outlineLevel="0" collapsed="false">
      <c r="A1206" s="0" t="n">
        <v>1205</v>
      </c>
      <c r="B1206" s="0" t="n">
        <f aca="false">IF('Boletins Nuppa Site'!A1206&lt;&gt;0,'Boletins Nuppa Site'!A1206,"NULL")</f>
        <v>68</v>
      </c>
      <c r="C1206" s="0" t="n">
        <v>13</v>
      </c>
      <c r="D1206" s="30" t="n">
        <f aca="false">IF('Boletins Nuppa Site'!G1206&lt;&gt;0,'Boletins Nuppa Site'!G1206,"NULL")</f>
        <v>48</v>
      </c>
      <c r="E1206" s="30" t="n">
        <f aca="false">IF('Boletins Nuppa Site'!H1206&lt;&gt;0,'Boletins Nuppa Site'!H1206,"NULL")</f>
        <v>42</v>
      </c>
      <c r="F1206" s="30" t="n">
        <f aca="false">IF('Boletins Nuppa Site'!I1206&lt;&gt;0,'Boletins Nuppa Site'!I1206,"NULL")</f>
        <v>60</v>
      </c>
      <c r="G1206" s="0" t="str">
        <f aca="false">IF('Boletins Nuppa Site'!J1206&lt;&gt;0,'Boletins Nuppa Site'!J1206,"NULL")</f>
        <v>49.2</v>
      </c>
      <c r="H1206" s="30" t="n">
        <f aca="false">IF('Boletins Nuppa Site'!K1206&lt;&gt;0,'Boletins Nuppa Site'!K1206,"NULL")</f>
        <v>48</v>
      </c>
      <c r="I1206" s="0" t="str">
        <f aca="false">"INSERT INTO COTACAO (cot_id, cot_blt_id, cot_pap_id, cot_prc_comum, cot_prc_min, cot_prc_max, cot_prc_med, cot_prc_mediana) VALUES ("&amp;A1206&amp;", "&amp;B1206&amp;", "&amp;C1206&amp;", "&amp;D1206&amp;", "&amp;E1206&amp;", "&amp;F1206&amp;", "&amp;G1206&amp;", "&amp;H1206&amp;");"</f>
        <v>INSERT INTO COTACAO (cot_id, cot_blt_id, cot_pap_id, cot_prc_comum, cot_prc_min, cot_prc_max, cot_prc_med, cot_prc_mediana) VALUES (1205, 68, 13, 48, 42, 60, 49.2, 48);</v>
      </c>
      <c r="J1206" s="0" t="str">
        <f aca="false">"UPDATE COTACAO SET cot_id = "&amp;A1206&amp;", cot_blt_id = "&amp;B1206&amp;", cot_pap_id = "&amp;C1206&amp;", cot_prc_comum = "&amp;D1206&amp;", cot_prc_min = "&amp;E1206&amp;", cot_prc_max = "&amp;F1206&amp;", cot_prc_med = "&amp;G1206&amp;", cot_prc_mediana = "&amp;H1206&amp;" WHERE cot_id = "&amp;A1206&amp;";"</f>
        <v>UPDATE COTACAO SET cot_id = 1205, cot_blt_id = 68, cot_pap_id = 13, cot_prc_comum = 48, cot_prc_min = 42, cot_prc_max = 60, cot_prc_med = 49.2, cot_prc_mediana = 48 WHERE cot_id = 1205;</v>
      </c>
    </row>
    <row r="1207" customFormat="false" ht="14.25" hidden="false" customHeight="false" outlineLevel="0" collapsed="false">
      <c r="A1207" s="0" t="n">
        <v>1206</v>
      </c>
      <c r="B1207" s="0" t="n">
        <f aca="false">IF('Boletins Nuppa Site'!A1207&lt;&gt;0,'Boletins Nuppa Site'!A1207,"NULL")</f>
        <v>68</v>
      </c>
      <c r="C1207" s="0" t="n">
        <v>14</v>
      </c>
      <c r="D1207" s="30" t="n">
        <f aca="false">IF('Boletins Nuppa Site'!G1207&lt;&gt;0,'Boletins Nuppa Site'!G1207,"NULL")</f>
        <v>48</v>
      </c>
      <c r="E1207" s="30" t="n">
        <f aca="false">IF('Boletins Nuppa Site'!H1207&lt;&gt;0,'Boletins Nuppa Site'!H1207,"NULL")</f>
        <v>48</v>
      </c>
      <c r="F1207" s="30" t="n">
        <f aca="false">IF('Boletins Nuppa Site'!I1207&lt;&gt;0,'Boletins Nuppa Site'!I1207,"NULL")</f>
        <v>84</v>
      </c>
      <c r="G1207" s="30" t="n">
        <f aca="false">IF('Boletins Nuppa Site'!J1207&lt;&gt;0,'Boletins Nuppa Site'!J1207,"NULL")</f>
        <v>60</v>
      </c>
      <c r="H1207" s="30" t="n">
        <f aca="false">IF('Boletins Nuppa Site'!K1207&lt;&gt;0,'Boletins Nuppa Site'!K1207,"NULL")</f>
        <v>54</v>
      </c>
      <c r="I1207" s="0" t="str">
        <f aca="false">"INSERT INTO COTACAO (cot_id, cot_blt_id, cot_pap_id, cot_prc_comum, cot_prc_min, cot_prc_max, cot_prc_med, cot_prc_mediana) VALUES ("&amp;A1207&amp;", "&amp;B1207&amp;", "&amp;C1207&amp;", "&amp;D1207&amp;", "&amp;E1207&amp;", "&amp;F1207&amp;", "&amp;G1207&amp;", "&amp;H1207&amp;");"</f>
        <v>INSERT INTO COTACAO (cot_id, cot_blt_id, cot_pap_id, cot_prc_comum, cot_prc_min, cot_prc_max, cot_prc_med, cot_prc_mediana) VALUES (1206, 68, 14, 48, 48, 84, 60, 54);</v>
      </c>
      <c r="J1207" s="0" t="str">
        <f aca="false">"UPDATE COTACAO SET cot_id = "&amp;A1207&amp;", cot_blt_id = "&amp;B1207&amp;", cot_pap_id = "&amp;C1207&amp;", cot_prc_comum = "&amp;D1207&amp;", cot_prc_min = "&amp;E1207&amp;", cot_prc_max = "&amp;F1207&amp;", cot_prc_med = "&amp;G1207&amp;", cot_prc_mediana = "&amp;H1207&amp;" WHERE cot_id = "&amp;A1207&amp;";"</f>
        <v>UPDATE COTACAO SET cot_id = 1206, cot_blt_id = 68, cot_pap_id = 14, cot_prc_comum = 48, cot_prc_min = 48, cot_prc_max = 84, cot_prc_med = 60, cot_prc_mediana = 54 WHERE cot_id = 1206;</v>
      </c>
    </row>
    <row r="1208" customFormat="false" ht="14.25" hidden="false" customHeight="false" outlineLevel="0" collapsed="false">
      <c r="A1208" s="0" t="n">
        <v>1207</v>
      </c>
      <c r="B1208" s="0" t="n">
        <f aca="false">IF('Boletins Nuppa Site'!A1208&lt;&gt;0,'Boletins Nuppa Site'!A1208,"NULL")</f>
        <v>68</v>
      </c>
      <c r="C1208" s="0" t="n">
        <v>15</v>
      </c>
      <c r="D1208" s="30" t="n">
        <f aca="false">IF('Boletins Nuppa Site'!G1208&lt;&gt;0,'Boletins Nuppa Site'!G1208,"NULL")</f>
        <v>36</v>
      </c>
      <c r="E1208" s="30" t="n">
        <f aca="false">IF('Boletins Nuppa Site'!H1208&lt;&gt;0,'Boletins Nuppa Site'!H1208,"NULL")</f>
        <v>20</v>
      </c>
      <c r="F1208" s="30" t="n">
        <f aca="false">IF('Boletins Nuppa Site'!I1208&lt;&gt;0,'Boletins Nuppa Site'!I1208,"NULL")</f>
        <v>40</v>
      </c>
      <c r="G1208" s="0" t="str">
        <f aca="false">IF('Boletins Nuppa Site'!J1208&lt;&gt;0,'Boletins Nuppa Site'!J1208,"NULL")</f>
        <v>33.6</v>
      </c>
      <c r="H1208" s="30" t="n">
        <f aca="false">IF('Boletins Nuppa Site'!K1208&lt;&gt;0,'Boletins Nuppa Site'!K1208,"NULL")</f>
        <v>36</v>
      </c>
      <c r="I1208" s="0" t="str">
        <f aca="false">"INSERT INTO COTACAO (cot_id, cot_blt_id, cot_pap_id, cot_prc_comum, cot_prc_min, cot_prc_max, cot_prc_med, cot_prc_mediana) VALUES ("&amp;A1208&amp;", "&amp;B1208&amp;", "&amp;C1208&amp;", "&amp;D1208&amp;", "&amp;E1208&amp;", "&amp;F1208&amp;", "&amp;G1208&amp;", "&amp;H1208&amp;");"</f>
        <v>INSERT INTO COTACAO (cot_id, cot_blt_id, cot_pap_id, cot_prc_comum, cot_prc_min, cot_prc_max, cot_prc_med, cot_prc_mediana) VALUES (1207, 68, 15, 36, 20, 40, 33.6, 36);</v>
      </c>
      <c r="J1208" s="0" t="str">
        <f aca="false">"UPDATE COTACAO SET cot_id = "&amp;A1208&amp;", cot_blt_id = "&amp;B1208&amp;", cot_pap_id = "&amp;C1208&amp;", cot_prc_comum = "&amp;D1208&amp;", cot_prc_min = "&amp;E1208&amp;", cot_prc_max = "&amp;F1208&amp;", cot_prc_med = "&amp;G1208&amp;", cot_prc_mediana = "&amp;H1208&amp;" WHERE cot_id = "&amp;A1208&amp;";"</f>
        <v>UPDATE COTACAO SET cot_id = 1207, cot_blt_id = 68, cot_pap_id = 15, cot_prc_comum = 36, cot_prc_min = 20, cot_prc_max = 40, cot_prc_med = 33.6, cot_prc_mediana = 36 WHERE cot_id = 1207;</v>
      </c>
    </row>
    <row r="1209" customFormat="false" ht="14.25" hidden="false" customHeight="false" outlineLevel="0" collapsed="false">
      <c r="A1209" s="0" t="n">
        <v>1208</v>
      </c>
      <c r="B1209" s="0" t="n">
        <f aca="false">IF('Boletins Nuppa Site'!A1209&lt;&gt;0,'Boletins Nuppa Site'!A1209,"NULL")</f>
        <v>68</v>
      </c>
      <c r="C1209" s="0" t="n">
        <v>16</v>
      </c>
      <c r="D1209" s="30" t="n">
        <f aca="false">IF('Boletins Nuppa Site'!G1209&lt;&gt;0,'Boletins Nuppa Site'!G1209,"NULL")</f>
        <v>48</v>
      </c>
      <c r="E1209" s="30" t="n">
        <f aca="false">IF('Boletins Nuppa Site'!H1209&lt;&gt;0,'Boletins Nuppa Site'!H1209,"NULL")</f>
        <v>48</v>
      </c>
      <c r="F1209" s="30" t="n">
        <f aca="false">IF('Boletins Nuppa Site'!I1209&lt;&gt;0,'Boletins Nuppa Site'!I1209,"NULL")</f>
        <v>54</v>
      </c>
      <c r="G1209" s="0" t="str">
        <f aca="false">IF('Boletins Nuppa Site'!J1209&lt;&gt;0,'Boletins Nuppa Site'!J1209,"NULL")</f>
        <v>49.2</v>
      </c>
      <c r="H1209" s="30" t="n">
        <f aca="false">IF('Boletins Nuppa Site'!K1209&lt;&gt;0,'Boletins Nuppa Site'!K1209,"NULL")</f>
        <v>48</v>
      </c>
      <c r="I1209" s="0" t="str">
        <f aca="false">"INSERT INTO COTACAO (cot_id, cot_blt_id, cot_pap_id, cot_prc_comum, cot_prc_min, cot_prc_max, cot_prc_med, cot_prc_mediana) VALUES ("&amp;A1209&amp;", "&amp;B1209&amp;", "&amp;C1209&amp;", "&amp;D1209&amp;", "&amp;E1209&amp;", "&amp;F1209&amp;", "&amp;G1209&amp;", "&amp;H1209&amp;");"</f>
        <v>INSERT INTO COTACAO (cot_id, cot_blt_id, cot_pap_id, cot_prc_comum, cot_prc_min, cot_prc_max, cot_prc_med, cot_prc_mediana) VALUES (1208, 68, 16, 48, 48, 54, 49.2, 48);</v>
      </c>
      <c r="J1209" s="0" t="str">
        <f aca="false">"UPDATE COTACAO SET cot_id = "&amp;A1209&amp;", cot_blt_id = "&amp;B1209&amp;", cot_pap_id = "&amp;C1209&amp;", cot_prc_comum = "&amp;D1209&amp;", cot_prc_min = "&amp;E1209&amp;", cot_prc_max = "&amp;F1209&amp;", cot_prc_med = "&amp;G1209&amp;", cot_prc_mediana = "&amp;H1209&amp;" WHERE cot_id = "&amp;A1209&amp;";"</f>
        <v>UPDATE COTACAO SET cot_id = 1208, cot_blt_id = 68, cot_pap_id = 16, cot_prc_comum = 48, cot_prc_min = 48, cot_prc_max = 54, cot_prc_med = 49.2, cot_prc_mediana = 48 WHERE cot_id = 1208;</v>
      </c>
    </row>
    <row r="1210" customFormat="false" ht="14.25" hidden="false" customHeight="false" outlineLevel="0" collapsed="false">
      <c r="A1210" s="0" t="n">
        <v>1209</v>
      </c>
      <c r="B1210" s="0" t="n">
        <f aca="false">IF('Boletins Nuppa Site'!A1210&lt;&gt;0,'Boletins Nuppa Site'!A1210,"NULL")</f>
        <v>68</v>
      </c>
      <c r="C1210" s="0" t="n">
        <v>17</v>
      </c>
      <c r="D1210" s="30" t="n">
        <f aca="false">IF('Boletins Nuppa Site'!G1210&lt;&gt;0,'Boletins Nuppa Site'!G1210,"NULL")</f>
        <v>5</v>
      </c>
      <c r="E1210" s="30" t="n">
        <f aca="false">IF('Boletins Nuppa Site'!H1210&lt;&gt;0,'Boletins Nuppa Site'!H1210,"NULL")</f>
        <v>5</v>
      </c>
      <c r="F1210" s="30" t="n">
        <f aca="false">IF('Boletins Nuppa Site'!I1210&lt;&gt;0,'Boletins Nuppa Site'!I1210,"NULL")</f>
        <v>5</v>
      </c>
      <c r="G1210" s="30" t="n">
        <f aca="false">IF('Boletins Nuppa Site'!J1210&lt;&gt;0,'Boletins Nuppa Site'!J1210,"NULL")</f>
        <v>5</v>
      </c>
      <c r="H1210" s="30" t="n">
        <f aca="false">IF('Boletins Nuppa Site'!K1210&lt;&gt;0,'Boletins Nuppa Site'!K1210,"NULL")</f>
        <v>5</v>
      </c>
      <c r="I1210" s="0" t="str">
        <f aca="false">"INSERT INTO COTACAO (cot_id, cot_blt_id, cot_pap_id, cot_prc_comum, cot_prc_min, cot_prc_max, cot_prc_med, cot_prc_mediana) VALUES ("&amp;A1210&amp;", "&amp;B1210&amp;", "&amp;C1210&amp;", "&amp;D1210&amp;", "&amp;E1210&amp;", "&amp;F1210&amp;", "&amp;G1210&amp;", "&amp;H1210&amp;");"</f>
        <v>INSERT INTO COTACAO (cot_id, cot_blt_id, cot_pap_id, cot_prc_comum, cot_prc_min, cot_prc_max, cot_prc_med, cot_prc_mediana) VALUES (1209, 68, 17, 5, 5, 5, 5, 5);</v>
      </c>
      <c r="J1210" s="0" t="str">
        <f aca="false">"UPDATE COTACAO SET cot_id = "&amp;A1210&amp;", cot_blt_id = "&amp;B1210&amp;", cot_pap_id = "&amp;C1210&amp;", cot_prc_comum = "&amp;D1210&amp;", cot_prc_min = "&amp;E1210&amp;", cot_prc_max = "&amp;F1210&amp;", cot_prc_med = "&amp;G1210&amp;", cot_prc_mediana = "&amp;H1210&amp;" WHERE cot_id = "&amp;A1210&amp;";"</f>
        <v>UPDATE COTACAO SET cot_id = 1209, cot_blt_id = 68, cot_pap_id = 17, cot_prc_comum = 5, cot_prc_min = 5, cot_prc_max = 5, cot_prc_med = 5, cot_prc_mediana = 5 WHERE cot_id = 1209;</v>
      </c>
    </row>
    <row r="1211" customFormat="false" ht="14.25" hidden="false" customHeight="false" outlineLevel="0" collapsed="false">
      <c r="A1211" s="0" t="n">
        <v>1210</v>
      </c>
      <c r="B1211" s="0" t="n">
        <f aca="false">IF('Boletins Nuppa Site'!A1211&lt;&gt;0,'Boletins Nuppa Site'!A1211,"NULL")</f>
        <v>68</v>
      </c>
      <c r="C1211" s="0" t="n">
        <v>18</v>
      </c>
      <c r="D1211" s="30" t="n">
        <f aca="false">IF('Boletins Nuppa Site'!G1211&lt;&gt;0,'Boletins Nuppa Site'!G1211,"NULL")</f>
        <v>10</v>
      </c>
      <c r="E1211" s="30" t="n">
        <f aca="false">IF('Boletins Nuppa Site'!H1211&lt;&gt;0,'Boletins Nuppa Site'!H1211,"NULL")</f>
        <v>10</v>
      </c>
      <c r="F1211" s="30" t="n">
        <f aca="false">IF('Boletins Nuppa Site'!I1211&lt;&gt;0,'Boletins Nuppa Site'!I1211,"NULL")</f>
        <v>10</v>
      </c>
      <c r="G1211" s="30" t="n">
        <f aca="false">IF('Boletins Nuppa Site'!J1211&lt;&gt;0,'Boletins Nuppa Site'!J1211,"NULL")</f>
        <v>10</v>
      </c>
      <c r="H1211" s="30" t="n">
        <f aca="false">IF('Boletins Nuppa Site'!K1211&lt;&gt;0,'Boletins Nuppa Site'!K1211,"NULL")</f>
        <v>10</v>
      </c>
      <c r="I1211" s="0" t="str">
        <f aca="false">"INSERT INTO COTACAO (cot_id, cot_blt_id, cot_pap_id, cot_prc_comum, cot_prc_min, cot_prc_max, cot_prc_med, cot_prc_mediana) VALUES ("&amp;A1211&amp;", "&amp;B1211&amp;", "&amp;C1211&amp;", "&amp;D1211&amp;", "&amp;E1211&amp;", "&amp;F1211&amp;", "&amp;G1211&amp;", "&amp;H1211&amp;");"</f>
        <v>INSERT INTO COTACAO (cot_id, cot_blt_id, cot_pap_id, cot_prc_comum, cot_prc_min, cot_prc_max, cot_prc_med, cot_prc_mediana) VALUES (1210, 68, 18, 10, 10, 10, 10, 10);</v>
      </c>
      <c r="J1211" s="0" t="str">
        <f aca="false">"UPDATE COTACAO SET cot_id = "&amp;A1211&amp;", cot_blt_id = "&amp;B1211&amp;", cot_pap_id = "&amp;C1211&amp;", cot_prc_comum = "&amp;D1211&amp;", cot_prc_min = "&amp;E1211&amp;", cot_prc_max = "&amp;F1211&amp;", cot_prc_med = "&amp;G1211&amp;", cot_prc_mediana = "&amp;H1211&amp;" WHERE cot_id = "&amp;A1211&amp;";"</f>
        <v>UPDATE COTACAO SET cot_id = 1210, cot_blt_id = 68, cot_pap_id = 18, cot_prc_comum = 10, cot_prc_min = 10, cot_prc_max = 10, cot_prc_med = 10, cot_prc_mediana = 10 WHERE cot_id = 1210;</v>
      </c>
    </row>
    <row r="1212" customFormat="false" ht="14.25" hidden="false" customHeight="false" outlineLevel="0" collapsed="false">
      <c r="A1212" s="0" t="n">
        <v>1211</v>
      </c>
      <c r="B1212" s="0" t="n">
        <f aca="false">IF('Boletins Nuppa Site'!A1212&lt;&gt;0,'Boletins Nuppa Site'!A1212,"NULL")</f>
        <v>68</v>
      </c>
      <c r="C1212" s="0" t="n">
        <v>19</v>
      </c>
      <c r="D1212" s="30" t="n">
        <f aca="false">IF('Boletins Nuppa Site'!G1212&lt;&gt;0,'Boletins Nuppa Site'!G1212,"NULL")</f>
        <v>15</v>
      </c>
      <c r="E1212" s="30" t="n">
        <f aca="false">IF('Boletins Nuppa Site'!H1212&lt;&gt;0,'Boletins Nuppa Site'!H1212,"NULL")</f>
        <v>15</v>
      </c>
      <c r="F1212" s="30" t="n">
        <f aca="false">IF('Boletins Nuppa Site'!I1212&lt;&gt;0,'Boletins Nuppa Site'!I1212,"NULL")</f>
        <v>30</v>
      </c>
      <c r="G1212" s="30" t="n">
        <f aca="false">IF('Boletins Nuppa Site'!J1212&lt;&gt;0,'Boletins Nuppa Site'!J1212,"NULL")</f>
        <v>21</v>
      </c>
      <c r="H1212" s="30" t="n">
        <f aca="false">IF('Boletins Nuppa Site'!K1212&lt;&gt;0,'Boletins Nuppa Site'!K1212,"NULL")</f>
        <v>20</v>
      </c>
      <c r="I1212" s="0" t="str">
        <f aca="false">"INSERT INTO COTACAO (cot_id, cot_blt_id, cot_pap_id, cot_prc_comum, cot_prc_min, cot_prc_max, cot_prc_med, cot_prc_mediana) VALUES ("&amp;A1212&amp;", "&amp;B1212&amp;", "&amp;C1212&amp;", "&amp;D1212&amp;", "&amp;E1212&amp;", "&amp;F1212&amp;", "&amp;G1212&amp;", "&amp;H1212&amp;");"</f>
        <v>INSERT INTO COTACAO (cot_id, cot_blt_id, cot_pap_id, cot_prc_comum, cot_prc_min, cot_prc_max, cot_prc_med, cot_prc_mediana) VALUES (1211, 68, 19, 15, 15, 30, 21, 20);</v>
      </c>
      <c r="J1212" s="0" t="str">
        <f aca="false">"UPDATE COTACAO SET cot_id = "&amp;A1212&amp;", cot_blt_id = "&amp;B1212&amp;", cot_pap_id = "&amp;C1212&amp;", cot_prc_comum = "&amp;D1212&amp;", cot_prc_min = "&amp;E1212&amp;", cot_prc_max = "&amp;F1212&amp;", cot_prc_med = "&amp;G1212&amp;", cot_prc_mediana = "&amp;H1212&amp;" WHERE cot_id = "&amp;A1212&amp;";"</f>
        <v>UPDATE COTACAO SET cot_id = 1211, cot_blt_id = 68, cot_pap_id = 19, cot_prc_comum = 15, cot_prc_min = 15, cot_prc_max = 30, cot_prc_med = 21, cot_prc_mediana = 20 WHERE cot_id = 1211;</v>
      </c>
    </row>
    <row r="1213" customFormat="false" ht="14.25" hidden="false" customHeight="false" outlineLevel="0" collapsed="false">
      <c r="A1213" s="0" t="n">
        <v>1212</v>
      </c>
      <c r="B1213" s="0" t="n">
        <f aca="false">IF('Boletins Nuppa Site'!A1213&lt;&gt;0,'Boletins Nuppa Site'!A1213,"NULL")</f>
        <v>68</v>
      </c>
      <c r="C1213" s="0" t="n">
        <v>20</v>
      </c>
      <c r="D1213" s="30" t="n">
        <f aca="false">IF('Boletins Nuppa Site'!G1213&lt;&gt;0,'Boletins Nuppa Site'!G1213,"NULL")</f>
        <v>75</v>
      </c>
      <c r="E1213" s="30" t="n">
        <f aca="false">IF('Boletins Nuppa Site'!H1213&lt;&gt;0,'Boletins Nuppa Site'!H1213,"NULL")</f>
        <v>75</v>
      </c>
      <c r="F1213" s="30" t="n">
        <f aca="false">IF('Boletins Nuppa Site'!I1213&lt;&gt;0,'Boletins Nuppa Site'!I1213,"NULL")</f>
        <v>75</v>
      </c>
      <c r="G1213" s="30" t="n">
        <f aca="false">IF('Boletins Nuppa Site'!J1213&lt;&gt;0,'Boletins Nuppa Site'!J1213,"NULL")</f>
        <v>75</v>
      </c>
      <c r="H1213" s="30" t="n">
        <f aca="false">IF('Boletins Nuppa Site'!K1213&lt;&gt;0,'Boletins Nuppa Site'!K1213,"NULL")</f>
        <v>75</v>
      </c>
      <c r="I1213" s="0" t="str">
        <f aca="false">"INSERT INTO COTACAO (cot_id, cot_blt_id, cot_pap_id, cot_prc_comum, cot_prc_min, cot_prc_max, cot_prc_med, cot_prc_mediana) VALUES ("&amp;A1213&amp;", "&amp;B1213&amp;", "&amp;C1213&amp;", "&amp;D1213&amp;", "&amp;E1213&amp;", "&amp;F1213&amp;", "&amp;G1213&amp;", "&amp;H1213&amp;");"</f>
        <v>INSERT INTO COTACAO (cot_id, cot_blt_id, cot_pap_id, cot_prc_comum, cot_prc_min, cot_prc_max, cot_prc_med, cot_prc_mediana) VALUES (1212, 68, 20, 75, 75, 75, 75, 75);</v>
      </c>
      <c r="J1213" s="0" t="str">
        <f aca="false">"UPDATE COTACAO SET cot_id = "&amp;A1213&amp;", cot_blt_id = "&amp;B1213&amp;", cot_pap_id = "&amp;C1213&amp;", cot_prc_comum = "&amp;D1213&amp;", cot_prc_min = "&amp;E1213&amp;", cot_prc_max = "&amp;F1213&amp;", cot_prc_med = "&amp;G1213&amp;", cot_prc_mediana = "&amp;H1213&amp;" WHERE cot_id = "&amp;A1213&amp;";"</f>
        <v>UPDATE COTACAO SET cot_id = 1212, cot_blt_id = 68, cot_pap_id = 20, cot_prc_comum = 75, cot_prc_min = 75, cot_prc_max = 75, cot_prc_med = 75, cot_prc_mediana = 75 WHERE cot_id = 1212;</v>
      </c>
    </row>
    <row r="1214" customFormat="false" ht="14.25" hidden="false" customHeight="false" outlineLevel="0" collapsed="false">
      <c r="A1214" s="0" t="n">
        <v>1213</v>
      </c>
      <c r="B1214" s="0" t="n">
        <f aca="false">IF('Boletins Nuppa Site'!A1214&lt;&gt;0,'Boletins Nuppa Site'!A1214,"NULL")</f>
        <v>68</v>
      </c>
      <c r="C1214" s="0" t="n">
        <v>21</v>
      </c>
      <c r="D1214" s="30" t="n">
        <f aca="false">IF('Boletins Nuppa Site'!G1214&lt;&gt;0,'Boletins Nuppa Site'!G1214,"NULL")</f>
        <v>45</v>
      </c>
      <c r="E1214" s="30" t="n">
        <f aca="false">IF('Boletins Nuppa Site'!H1214&lt;&gt;0,'Boletins Nuppa Site'!H1214,"NULL")</f>
        <v>30</v>
      </c>
      <c r="F1214" s="30" t="n">
        <f aca="false">IF('Boletins Nuppa Site'!I1214&lt;&gt;0,'Boletins Nuppa Site'!I1214,"NULL")</f>
        <v>50</v>
      </c>
      <c r="G1214" s="30" t="n">
        <f aca="false">IF('Boletins Nuppa Site'!J1214&lt;&gt;0,'Boletins Nuppa Site'!J1214,"NULL")</f>
        <v>42</v>
      </c>
      <c r="H1214" s="30" t="n">
        <f aca="false">IF('Boletins Nuppa Site'!K1214&lt;&gt;0,'Boletins Nuppa Site'!K1214,"NULL")</f>
        <v>45</v>
      </c>
      <c r="I1214" s="0" t="str">
        <f aca="false">"INSERT INTO COTACAO (cot_id, cot_blt_id, cot_pap_id, cot_prc_comum, cot_prc_min, cot_prc_max, cot_prc_med, cot_prc_mediana) VALUES ("&amp;A1214&amp;", "&amp;B1214&amp;", "&amp;C1214&amp;", "&amp;D1214&amp;", "&amp;E1214&amp;", "&amp;F1214&amp;", "&amp;G1214&amp;", "&amp;H1214&amp;");"</f>
        <v>INSERT INTO COTACAO (cot_id, cot_blt_id, cot_pap_id, cot_prc_comum, cot_prc_min, cot_prc_max, cot_prc_med, cot_prc_mediana) VALUES (1213, 68, 21, 45, 30, 50, 42, 45);</v>
      </c>
      <c r="J1214" s="0" t="str">
        <f aca="false">"UPDATE COTACAO SET cot_id = "&amp;A1214&amp;", cot_blt_id = "&amp;B1214&amp;", cot_pap_id = "&amp;C1214&amp;", cot_prc_comum = "&amp;D1214&amp;", cot_prc_min = "&amp;E1214&amp;", cot_prc_max = "&amp;F1214&amp;", cot_prc_med = "&amp;G1214&amp;", cot_prc_mediana = "&amp;H1214&amp;" WHERE cot_id = "&amp;A1214&amp;";"</f>
        <v>UPDATE COTACAO SET cot_id = 1213, cot_blt_id = 68, cot_pap_id = 21, cot_prc_comum = 45, cot_prc_min = 30, cot_prc_max = 50, cot_prc_med = 42, cot_prc_mediana = 45 WHERE cot_id = 1213;</v>
      </c>
    </row>
    <row r="1215" customFormat="false" ht="14.25" hidden="false" customHeight="false" outlineLevel="0" collapsed="false">
      <c r="A1215" s="0" t="n">
        <v>1214</v>
      </c>
      <c r="B1215" s="0" t="n">
        <f aca="false">IF('Boletins Nuppa Site'!A1215&lt;&gt;0,'Boletins Nuppa Site'!A1215,"NULL")</f>
        <v>68</v>
      </c>
      <c r="C1215" s="0" t="n">
        <v>22</v>
      </c>
      <c r="D1215" s="30" t="n">
        <f aca="false">IF('Boletins Nuppa Site'!G1215&lt;&gt;0,'Boletins Nuppa Site'!G1215,"NULL")</f>
        <v>70</v>
      </c>
      <c r="E1215" s="30" t="n">
        <f aca="false">IF('Boletins Nuppa Site'!H1215&lt;&gt;0,'Boletins Nuppa Site'!H1215,"NULL")</f>
        <v>45</v>
      </c>
      <c r="F1215" s="30" t="n">
        <f aca="false">IF('Boletins Nuppa Site'!I1215&lt;&gt;0,'Boletins Nuppa Site'!I1215,"NULL")</f>
        <v>70</v>
      </c>
      <c r="G1215" s="30" t="n">
        <f aca="false">IF('Boletins Nuppa Site'!J1215&lt;&gt;0,'Boletins Nuppa Site'!J1215,"NULL")</f>
        <v>60</v>
      </c>
      <c r="H1215" s="30" t="n">
        <f aca="false">IF('Boletins Nuppa Site'!K1215&lt;&gt;0,'Boletins Nuppa Site'!K1215,"NULL")</f>
        <v>65</v>
      </c>
      <c r="I1215" s="0" t="str">
        <f aca="false">"INSERT INTO COTACAO (cot_id, cot_blt_id, cot_pap_id, cot_prc_comum, cot_prc_min, cot_prc_max, cot_prc_med, cot_prc_mediana) VALUES ("&amp;A1215&amp;", "&amp;B1215&amp;", "&amp;C1215&amp;", "&amp;D1215&amp;", "&amp;E1215&amp;", "&amp;F1215&amp;", "&amp;G1215&amp;", "&amp;H1215&amp;");"</f>
        <v>INSERT INTO COTACAO (cot_id, cot_blt_id, cot_pap_id, cot_prc_comum, cot_prc_min, cot_prc_max, cot_prc_med, cot_prc_mediana) VALUES (1214, 68, 22, 70, 45, 70, 60, 65);</v>
      </c>
      <c r="J1215" s="0" t="str">
        <f aca="false">"UPDATE COTACAO SET cot_id = "&amp;A1215&amp;", cot_blt_id = "&amp;B1215&amp;", cot_pap_id = "&amp;C1215&amp;", cot_prc_comum = "&amp;D1215&amp;", cot_prc_min = "&amp;E1215&amp;", cot_prc_max = "&amp;F1215&amp;", cot_prc_med = "&amp;G1215&amp;", cot_prc_mediana = "&amp;H1215&amp;" WHERE cot_id = "&amp;A1215&amp;";"</f>
        <v>UPDATE COTACAO SET cot_id = 1214, cot_blt_id = 68, cot_pap_id = 22, cot_prc_comum = 70, cot_prc_min = 45, cot_prc_max = 70, cot_prc_med = 60, cot_prc_mediana = 65 WHERE cot_id = 1214;</v>
      </c>
    </row>
    <row r="1216" customFormat="false" ht="14.25" hidden="false" customHeight="false" outlineLevel="0" collapsed="false">
      <c r="A1216" s="0" t="n">
        <v>1215</v>
      </c>
      <c r="B1216" s="0" t="n">
        <f aca="false">IF('Boletins Nuppa Site'!A1216&lt;&gt;0,'Boletins Nuppa Site'!A1216,"NULL")</f>
        <v>68</v>
      </c>
      <c r="C1216" s="0" t="n">
        <v>23</v>
      </c>
      <c r="D1216" s="30" t="n">
        <f aca="false">IF('Boletins Nuppa Site'!G1216&lt;&gt;0,'Boletins Nuppa Site'!G1216,"NULL")</f>
        <v>50</v>
      </c>
      <c r="E1216" s="30" t="n">
        <f aca="false">IF('Boletins Nuppa Site'!H1216&lt;&gt;0,'Boletins Nuppa Site'!H1216,"NULL")</f>
        <v>40</v>
      </c>
      <c r="F1216" s="30" t="n">
        <f aca="false">IF('Boletins Nuppa Site'!I1216&lt;&gt;0,'Boletins Nuppa Site'!I1216,"NULL")</f>
        <v>50</v>
      </c>
      <c r="G1216" s="30" t="n">
        <f aca="false">IF('Boletins Nuppa Site'!J1216&lt;&gt;0,'Boletins Nuppa Site'!J1216,"NULL")</f>
        <v>46</v>
      </c>
      <c r="H1216" s="30" t="n">
        <f aca="false">IF('Boletins Nuppa Site'!K1216&lt;&gt;0,'Boletins Nuppa Site'!K1216,"NULL")</f>
        <v>50</v>
      </c>
      <c r="I1216" s="0" t="str">
        <f aca="false">"INSERT INTO COTACAO (cot_id, cot_blt_id, cot_pap_id, cot_prc_comum, cot_prc_min, cot_prc_max, cot_prc_med, cot_prc_mediana) VALUES ("&amp;A1216&amp;", "&amp;B1216&amp;", "&amp;C1216&amp;", "&amp;D1216&amp;", "&amp;E1216&amp;", "&amp;F1216&amp;", "&amp;G1216&amp;", "&amp;H1216&amp;");"</f>
        <v>INSERT INTO COTACAO (cot_id, cot_blt_id, cot_pap_id, cot_prc_comum, cot_prc_min, cot_prc_max, cot_prc_med, cot_prc_mediana) VALUES (1215, 68, 23, 50, 40, 50, 46, 50);</v>
      </c>
      <c r="J1216" s="0" t="str">
        <f aca="false">"UPDATE COTACAO SET cot_id = "&amp;A1216&amp;", cot_blt_id = "&amp;B1216&amp;", cot_pap_id = "&amp;C1216&amp;", cot_prc_comum = "&amp;D1216&amp;", cot_prc_min = "&amp;E1216&amp;", cot_prc_max = "&amp;F1216&amp;", cot_prc_med = "&amp;G1216&amp;", cot_prc_mediana = "&amp;H1216&amp;" WHERE cot_id = "&amp;A1216&amp;";"</f>
        <v>UPDATE COTACAO SET cot_id = 1215, cot_blt_id = 68, cot_pap_id = 23, cot_prc_comum = 50, cot_prc_min = 40, cot_prc_max = 50, cot_prc_med = 46, cot_prc_mediana = 50 WHERE cot_id = 1215;</v>
      </c>
    </row>
    <row r="1217" customFormat="false" ht="14.25" hidden="false" customHeight="false" outlineLevel="0" collapsed="false">
      <c r="A1217" s="0" t="n">
        <v>1216</v>
      </c>
      <c r="B1217" s="0" t="n">
        <f aca="false">IF('Boletins Nuppa Site'!A1217&lt;&gt;0,'Boletins Nuppa Site'!A1217,"NULL")</f>
        <v>68</v>
      </c>
      <c r="C1217" s="0" t="n">
        <v>24</v>
      </c>
      <c r="D1217" s="0" t="str">
        <f aca="false">IF('Boletins Nuppa Site'!G1217&lt;&gt;0,'Boletins Nuppa Site'!G1217,"NULL")</f>
        <v>NULL</v>
      </c>
      <c r="E1217" s="30" t="n">
        <f aca="false">IF('Boletins Nuppa Site'!H1217&lt;&gt;0,'Boletins Nuppa Site'!H1217,"NULL")</f>
        <v>90</v>
      </c>
      <c r="F1217" s="30" t="n">
        <f aca="false">IF('Boletins Nuppa Site'!I1217&lt;&gt;0,'Boletins Nuppa Site'!I1217,"NULL")</f>
        <v>100</v>
      </c>
      <c r="G1217" s="30" t="n">
        <f aca="false">IF('Boletins Nuppa Site'!J1217&lt;&gt;0,'Boletins Nuppa Site'!J1217,"NULL")</f>
        <v>95</v>
      </c>
      <c r="H1217" s="30" t="n">
        <f aca="false">IF('Boletins Nuppa Site'!K1217&lt;&gt;0,'Boletins Nuppa Site'!K1217,"NULL")</f>
        <v>95</v>
      </c>
      <c r="I1217" s="0" t="str">
        <f aca="false">"INSERT INTO COTACAO (cot_id, cot_blt_id, cot_pap_id, cot_prc_comum, cot_prc_min, cot_prc_max, cot_prc_med, cot_prc_mediana) VALUES ("&amp;A1217&amp;", "&amp;B1217&amp;", "&amp;C1217&amp;", "&amp;D1217&amp;", "&amp;E1217&amp;", "&amp;F1217&amp;", "&amp;G1217&amp;", "&amp;H1217&amp;");"</f>
        <v>INSERT INTO COTACAO (cot_id, cot_blt_id, cot_pap_id, cot_prc_comum, cot_prc_min, cot_prc_max, cot_prc_med, cot_prc_mediana) VALUES (1216, 68, 24, NULL, 90, 100, 95, 95);</v>
      </c>
      <c r="J1217" s="0" t="str">
        <f aca="false">"UPDATE COTACAO SET cot_id = "&amp;A1217&amp;", cot_blt_id = "&amp;B1217&amp;", cot_pap_id = "&amp;C1217&amp;", cot_prc_comum = "&amp;D1217&amp;", cot_prc_min = "&amp;E1217&amp;", cot_prc_max = "&amp;F1217&amp;", cot_prc_med = "&amp;G1217&amp;", cot_prc_mediana = "&amp;H1217&amp;" WHERE cot_id = "&amp;A1217&amp;";"</f>
        <v>UPDATE COTACAO SET cot_id = 1216, cot_blt_id = 68, cot_pap_id = 24, cot_prc_comum = NULL, cot_prc_min = 90, cot_prc_max = 100, cot_prc_med = 95, cot_prc_mediana = 95 WHERE cot_id = 1216;</v>
      </c>
    </row>
    <row r="1218" customFormat="false" ht="14.25" hidden="false" customHeight="false" outlineLevel="0" collapsed="false">
      <c r="A1218" s="0" t="n">
        <v>1217</v>
      </c>
      <c r="B1218" s="0" t="n">
        <f aca="false">IF('Boletins Nuppa Site'!A1218&lt;&gt;0,'Boletins Nuppa Site'!A1218,"NULL")</f>
        <v>68</v>
      </c>
      <c r="C1218" s="0" t="n">
        <v>25</v>
      </c>
      <c r="D1218" s="30" t="n">
        <f aca="false">IF('Boletins Nuppa Site'!G1218&lt;&gt;0,'Boletins Nuppa Site'!G1218,"NULL")</f>
        <v>60</v>
      </c>
      <c r="E1218" s="30" t="n">
        <f aca="false">IF('Boletins Nuppa Site'!H1218&lt;&gt;0,'Boletins Nuppa Site'!H1218,"NULL")</f>
        <v>60</v>
      </c>
      <c r="F1218" s="30" t="n">
        <f aca="false">IF('Boletins Nuppa Site'!I1218&lt;&gt;0,'Boletins Nuppa Site'!I1218,"NULL")</f>
        <v>65</v>
      </c>
      <c r="G1218" s="30" t="n">
        <f aca="false">IF('Boletins Nuppa Site'!J1218&lt;&gt;0,'Boletins Nuppa Site'!J1218,"NULL")</f>
        <v>62</v>
      </c>
      <c r="H1218" s="30" t="n">
        <f aca="false">IF('Boletins Nuppa Site'!K1218&lt;&gt;0,'Boletins Nuppa Site'!K1218,"NULL")</f>
        <v>60</v>
      </c>
      <c r="I1218" s="0" t="str">
        <f aca="false">"INSERT INTO COTACAO (cot_id, cot_blt_id, cot_pap_id, cot_prc_comum, cot_prc_min, cot_prc_max, cot_prc_med, cot_prc_mediana) VALUES ("&amp;A1218&amp;", "&amp;B1218&amp;", "&amp;C1218&amp;", "&amp;D1218&amp;", "&amp;E1218&amp;", "&amp;F1218&amp;", "&amp;G1218&amp;", "&amp;H1218&amp;");"</f>
        <v>INSERT INTO COTACAO (cot_id, cot_blt_id, cot_pap_id, cot_prc_comum, cot_prc_min, cot_prc_max, cot_prc_med, cot_prc_mediana) VALUES (1217, 68, 25, 60, 60, 65, 62, 60);</v>
      </c>
      <c r="J1218" s="0" t="str">
        <f aca="false">"UPDATE COTACAO SET cot_id = "&amp;A1218&amp;", cot_blt_id = "&amp;B1218&amp;", cot_pap_id = "&amp;C1218&amp;", cot_prc_comum = "&amp;D1218&amp;", cot_prc_min = "&amp;E1218&amp;", cot_prc_max = "&amp;F1218&amp;", cot_prc_med = "&amp;G1218&amp;", cot_prc_mediana = "&amp;H1218&amp;" WHERE cot_id = "&amp;A1218&amp;";"</f>
        <v>UPDATE COTACAO SET cot_id = 1217, cot_blt_id = 68, cot_pap_id = 25, cot_prc_comum = 60, cot_prc_min = 60, cot_prc_max = 65, cot_prc_med = 62, cot_prc_mediana = 60 WHERE cot_id = 1217;</v>
      </c>
    </row>
    <row r="1219" customFormat="false" ht="14.25" hidden="false" customHeight="false" outlineLevel="0" collapsed="false">
      <c r="A1219" s="0" t="n">
        <v>1218</v>
      </c>
      <c r="B1219" s="0" t="n">
        <f aca="false">IF('Boletins Nuppa Site'!A1219&lt;&gt;0,'Boletins Nuppa Site'!A1219,"NULL")</f>
        <v>68</v>
      </c>
      <c r="C1219" s="0" t="n">
        <v>26</v>
      </c>
      <c r="D1219" s="30" t="n">
        <f aca="false">IF('Boletins Nuppa Site'!G1219&lt;&gt;0,'Boletins Nuppa Site'!G1219,"NULL")</f>
        <v>55</v>
      </c>
      <c r="E1219" s="30" t="n">
        <f aca="false">IF('Boletins Nuppa Site'!H1219&lt;&gt;0,'Boletins Nuppa Site'!H1219,"NULL")</f>
        <v>35</v>
      </c>
      <c r="F1219" s="30" t="n">
        <f aca="false">IF('Boletins Nuppa Site'!I1219&lt;&gt;0,'Boletins Nuppa Site'!I1219,"NULL")</f>
        <v>60</v>
      </c>
      <c r="G1219" s="30" t="n">
        <f aca="false">IF('Boletins Nuppa Site'!J1219&lt;&gt;0,'Boletins Nuppa Site'!J1219,"NULL")</f>
        <v>51</v>
      </c>
      <c r="H1219" s="30" t="n">
        <f aca="false">IF('Boletins Nuppa Site'!K1219&lt;&gt;0,'Boletins Nuppa Site'!K1219,"NULL")</f>
        <v>55</v>
      </c>
      <c r="I1219" s="0" t="str">
        <f aca="false">"INSERT INTO COTACAO (cot_id, cot_blt_id, cot_pap_id, cot_prc_comum, cot_prc_min, cot_prc_max, cot_prc_med, cot_prc_mediana) VALUES ("&amp;A1219&amp;", "&amp;B1219&amp;", "&amp;C1219&amp;", "&amp;D1219&amp;", "&amp;E1219&amp;", "&amp;F1219&amp;", "&amp;G1219&amp;", "&amp;H1219&amp;");"</f>
        <v>INSERT INTO COTACAO (cot_id, cot_blt_id, cot_pap_id, cot_prc_comum, cot_prc_min, cot_prc_max, cot_prc_med, cot_prc_mediana) VALUES (1218, 68, 26, 55, 35, 60, 51, 55);</v>
      </c>
      <c r="J1219" s="0" t="str">
        <f aca="false">"UPDATE COTACAO SET cot_id = "&amp;A1219&amp;", cot_blt_id = "&amp;B1219&amp;", cot_pap_id = "&amp;C1219&amp;", cot_prc_comum = "&amp;D1219&amp;", cot_prc_min = "&amp;E1219&amp;", cot_prc_max = "&amp;F1219&amp;", cot_prc_med = "&amp;G1219&amp;", cot_prc_mediana = "&amp;H1219&amp;" WHERE cot_id = "&amp;A1219&amp;";"</f>
        <v>UPDATE COTACAO SET cot_id = 1218, cot_blt_id = 68, cot_pap_id = 26, cot_prc_comum = 55, cot_prc_min = 35, cot_prc_max = 60, cot_prc_med = 51, cot_prc_mediana = 55 WHERE cot_id = 1218;</v>
      </c>
    </row>
    <row r="1220" customFormat="false" ht="14.25" hidden="false" customHeight="false" outlineLevel="0" collapsed="false">
      <c r="A1220" s="0" t="n">
        <v>1219</v>
      </c>
      <c r="B1220" s="0" t="n">
        <f aca="false">IF('Boletins Nuppa Site'!A1220&lt;&gt;0,'Boletins Nuppa Site'!A1220,"NULL")</f>
        <v>68</v>
      </c>
      <c r="C1220" s="0" t="n">
        <v>27</v>
      </c>
      <c r="D1220" s="30" t="n">
        <f aca="false">IF('Boletins Nuppa Site'!G1220&lt;&gt;0,'Boletins Nuppa Site'!G1220,"NULL")</f>
        <v>65</v>
      </c>
      <c r="E1220" s="30" t="n">
        <f aca="false">IF('Boletins Nuppa Site'!H1220&lt;&gt;0,'Boletins Nuppa Site'!H1220,"NULL")</f>
        <v>50</v>
      </c>
      <c r="F1220" s="30" t="n">
        <f aca="false">IF('Boletins Nuppa Site'!I1220&lt;&gt;0,'Boletins Nuppa Site'!I1220,"NULL")</f>
        <v>65</v>
      </c>
      <c r="G1220" s="30" t="n">
        <f aca="false">IF('Boletins Nuppa Site'!J1220&lt;&gt;0,'Boletins Nuppa Site'!J1220,"NULL")</f>
        <v>58</v>
      </c>
      <c r="H1220" s="30" t="n">
        <f aca="false">IF('Boletins Nuppa Site'!K1220&lt;&gt;0,'Boletins Nuppa Site'!K1220,"NULL")</f>
        <v>60</v>
      </c>
      <c r="I1220" s="0" t="str">
        <f aca="false">"INSERT INTO COTACAO (cot_id, cot_blt_id, cot_pap_id, cot_prc_comum, cot_prc_min, cot_prc_max, cot_prc_med, cot_prc_mediana) VALUES ("&amp;A1220&amp;", "&amp;B1220&amp;", "&amp;C1220&amp;", "&amp;D1220&amp;", "&amp;E1220&amp;", "&amp;F1220&amp;", "&amp;G1220&amp;", "&amp;H1220&amp;");"</f>
        <v>INSERT INTO COTACAO (cot_id, cot_blt_id, cot_pap_id, cot_prc_comum, cot_prc_min, cot_prc_max, cot_prc_med, cot_prc_mediana) VALUES (1219, 68, 27, 65, 50, 65, 58, 60);</v>
      </c>
      <c r="J1220" s="0" t="str">
        <f aca="false">"UPDATE COTACAO SET cot_id = "&amp;A1220&amp;", cot_blt_id = "&amp;B1220&amp;", cot_pap_id = "&amp;C1220&amp;", cot_prc_comum = "&amp;D1220&amp;", cot_prc_min = "&amp;E1220&amp;", cot_prc_max = "&amp;F1220&amp;", cot_prc_med = "&amp;G1220&amp;", cot_prc_mediana = "&amp;H1220&amp;" WHERE cot_id = "&amp;A1220&amp;";"</f>
        <v>UPDATE COTACAO SET cot_id = 1219, cot_blt_id = 68, cot_pap_id = 27, cot_prc_comum = 65, cot_prc_min = 50, cot_prc_max = 65, cot_prc_med = 58, cot_prc_mediana = 60 WHERE cot_id = 1219;</v>
      </c>
    </row>
    <row r="1221" customFormat="false" ht="14.25" hidden="false" customHeight="false" outlineLevel="0" collapsed="false">
      <c r="A1221" s="0" t="n">
        <v>1220</v>
      </c>
      <c r="B1221" s="0" t="n">
        <f aca="false">IF('Boletins Nuppa Site'!A1221&lt;&gt;0,'Boletins Nuppa Site'!A1221,"NULL")</f>
        <v>68</v>
      </c>
      <c r="C1221" s="0" t="n">
        <v>28</v>
      </c>
      <c r="D1221" s="30" t="n">
        <f aca="false">IF('Boletins Nuppa Site'!G1221&lt;&gt;0,'Boletins Nuppa Site'!G1221,"NULL")</f>
        <v>90</v>
      </c>
      <c r="E1221" s="30" t="n">
        <f aca="false">IF('Boletins Nuppa Site'!H1221&lt;&gt;0,'Boletins Nuppa Site'!H1221,"NULL")</f>
        <v>70</v>
      </c>
      <c r="F1221" s="30" t="n">
        <f aca="false">IF('Boletins Nuppa Site'!I1221&lt;&gt;0,'Boletins Nuppa Site'!I1221,"NULL")</f>
        <v>100</v>
      </c>
      <c r="G1221" s="0" t="str">
        <f aca="false">IF('Boletins Nuppa Site'!J1221&lt;&gt;0,'Boletins Nuppa Site'!J1221,"NULL")</f>
        <v>87.5</v>
      </c>
      <c r="H1221" s="30" t="n">
        <f aca="false">IF('Boletins Nuppa Site'!K1221&lt;&gt;0,'Boletins Nuppa Site'!K1221,"NULL")</f>
        <v>90</v>
      </c>
      <c r="I1221" s="0" t="str">
        <f aca="false">"INSERT INTO COTACAO (cot_id, cot_blt_id, cot_pap_id, cot_prc_comum, cot_prc_min, cot_prc_max, cot_prc_med, cot_prc_mediana) VALUES ("&amp;A1221&amp;", "&amp;B1221&amp;", "&amp;C1221&amp;", "&amp;D1221&amp;", "&amp;E1221&amp;", "&amp;F1221&amp;", "&amp;G1221&amp;", "&amp;H1221&amp;");"</f>
        <v>INSERT INTO COTACAO (cot_id, cot_blt_id, cot_pap_id, cot_prc_comum, cot_prc_min, cot_prc_max, cot_prc_med, cot_prc_mediana) VALUES (1220, 68, 28, 90, 70, 100, 87.5, 90);</v>
      </c>
      <c r="J1221" s="0" t="str">
        <f aca="false">"UPDATE COTACAO SET cot_id = "&amp;A1221&amp;", cot_blt_id = "&amp;B1221&amp;", cot_pap_id = "&amp;C1221&amp;", cot_prc_comum = "&amp;D1221&amp;", cot_prc_min = "&amp;E1221&amp;", cot_prc_max = "&amp;F1221&amp;", cot_prc_med = "&amp;G1221&amp;", cot_prc_mediana = "&amp;H1221&amp;" WHERE cot_id = "&amp;A1221&amp;";"</f>
        <v>UPDATE COTACAO SET cot_id = 1220, cot_blt_id = 68, cot_pap_id = 28, cot_prc_comum = 90, cot_prc_min = 70, cot_prc_max = 100, cot_prc_med = 87.5, cot_prc_mediana = 90 WHERE cot_id = 1220;</v>
      </c>
    </row>
    <row r="1222" customFormat="false" ht="14.25" hidden="false" customHeight="false" outlineLevel="0" collapsed="false">
      <c r="A1222" s="0" t="n">
        <v>1221</v>
      </c>
      <c r="B1222" s="0" t="n">
        <f aca="false">IF('Boletins Nuppa Site'!A1222&lt;&gt;0,'Boletins Nuppa Site'!A1222,"NULL")</f>
        <v>68</v>
      </c>
      <c r="C1222" s="0" t="n">
        <v>29</v>
      </c>
      <c r="D1222" s="0" t="str">
        <f aca="false">IF('Boletins Nuppa Site'!G1222&lt;&gt;0,'Boletins Nuppa Site'!G1222,"NULL")</f>
        <v>NULL</v>
      </c>
      <c r="E1222" s="30" t="n">
        <f aca="false">IF('Boletins Nuppa Site'!H1222&lt;&gt;0,'Boletins Nuppa Site'!H1222,"NULL")</f>
        <v>60</v>
      </c>
      <c r="F1222" s="30" t="n">
        <f aca="false">IF('Boletins Nuppa Site'!I1222&lt;&gt;0,'Boletins Nuppa Site'!I1222,"NULL")</f>
        <v>60</v>
      </c>
      <c r="G1222" s="30" t="n">
        <f aca="false">IF('Boletins Nuppa Site'!J1222&lt;&gt;0,'Boletins Nuppa Site'!J1222,"NULL")</f>
        <v>60</v>
      </c>
      <c r="H1222" s="30" t="n">
        <f aca="false">IF('Boletins Nuppa Site'!K1222&lt;&gt;0,'Boletins Nuppa Site'!K1222,"NULL")</f>
        <v>60</v>
      </c>
      <c r="I1222" s="0" t="str">
        <f aca="false">"INSERT INTO COTACAO (cot_id, cot_blt_id, cot_pap_id, cot_prc_comum, cot_prc_min, cot_prc_max, cot_prc_med, cot_prc_mediana) VALUES ("&amp;A1222&amp;", "&amp;B1222&amp;", "&amp;C1222&amp;", "&amp;D1222&amp;", "&amp;E1222&amp;", "&amp;F1222&amp;", "&amp;G1222&amp;", "&amp;H1222&amp;");"</f>
        <v>INSERT INTO COTACAO (cot_id, cot_blt_id, cot_pap_id, cot_prc_comum, cot_prc_min, cot_prc_max, cot_prc_med, cot_prc_mediana) VALUES (1221, 68, 29, NULL, 60, 60, 60, 60);</v>
      </c>
      <c r="J1222" s="0" t="str">
        <f aca="false">"UPDATE COTACAO SET cot_id = "&amp;A1222&amp;", cot_blt_id = "&amp;B1222&amp;", cot_pap_id = "&amp;C1222&amp;", cot_prc_comum = "&amp;D1222&amp;", cot_prc_min = "&amp;E1222&amp;", cot_prc_max = "&amp;F1222&amp;", cot_prc_med = "&amp;G1222&amp;", cot_prc_mediana = "&amp;H1222&amp;" WHERE cot_id = "&amp;A1222&amp;";"</f>
        <v>UPDATE COTACAO SET cot_id = 1221, cot_blt_id = 68, cot_pap_id = 29, cot_prc_comum = NULL, cot_prc_min = 60, cot_prc_max = 60, cot_prc_med = 60, cot_prc_mediana = 60 WHERE cot_id = 1221;</v>
      </c>
    </row>
    <row r="1223" customFormat="false" ht="14.25" hidden="false" customHeight="false" outlineLevel="0" collapsed="false">
      <c r="A1223" s="0" t="n">
        <v>1222</v>
      </c>
      <c r="B1223" s="0" t="n">
        <f aca="false">IF('Boletins Nuppa Site'!A1223&lt;&gt;0,'Boletins Nuppa Site'!A1223,"NULL")</f>
        <v>68</v>
      </c>
      <c r="C1223" s="0" t="n">
        <v>30</v>
      </c>
      <c r="D1223" s="0" t="str">
        <f aca="false">IF('Boletins Nuppa Site'!G1223&lt;&gt;0,'Boletins Nuppa Site'!G1223,"NULL")</f>
        <v>NULL</v>
      </c>
      <c r="E1223" s="30" t="n">
        <f aca="false">IF('Boletins Nuppa Site'!H1223&lt;&gt;0,'Boletins Nuppa Site'!H1223,"NULL")</f>
        <v>70</v>
      </c>
      <c r="F1223" s="30" t="n">
        <f aca="false">IF('Boletins Nuppa Site'!I1223&lt;&gt;0,'Boletins Nuppa Site'!I1223,"NULL")</f>
        <v>85</v>
      </c>
      <c r="G1223" s="0" t="str">
        <f aca="false">IF('Boletins Nuppa Site'!J1223&lt;&gt;0,'Boletins Nuppa Site'!J1223,"NULL")</f>
        <v>77.5</v>
      </c>
      <c r="H1223" s="0" t="str">
        <f aca="false">IF('Boletins Nuppa Site'!K1223&lt;&gt;0,'Boletins Nuppa Site'!K1223,"NULL")</f>
        <v>77.5</v>
      </c>
      <c r="I1223" s="0" t="str">
        <f aca="false">"INSERT INTO COTACAO (cot_id, cot_blt_id, cot_pap_id, cot_prc_comum, cot_prc_min, cot_prc_max, cot_prc_med, cot_prc_mediana) VALUES ("&amp;A1223&amp;", "&amp;B1223&amp;", "&amp;C1223&amp;", "&amp;D1223&amp;", "&amp;E1223&amp;", "&amp;F1223&amp;", "&amp;G1223&amp;", "&amp;H1223&amp;");"</f>
        <v>INSERT INTO COTACAO (cot_id, cot_blt_id, cot_pap_id, cot_prc_comum, cot_prc_min, cot_prc_max, cot_prc_med, cot_prc_mediana) VALUES (1222, 68, 30, NULL, 70, 85, 77.5, 77.5);</v>
      </c>
      <c r="J1223" s="0" t="str">
        <f aca="false">"UPDATE COTACAO SET cot_id = "&amp;A1223&amp;", cot_blt_id = "&amp;B1223&amp;", cot_pap_id = "&amp;C1223&amp;", cot_prc_comum = "&amp;D1223&amp;", cot_prc_min = "&amp;E1223&amp;", cot_prc_max = "&amp;F1223&amp;", cot_prc_med = "&amp;G1223&amp;", cot_prc_mediana = "&amp;H1223&amp;" WHERE cot_id = "&amp;A1223&amp;";"</f>
        <v>UPDATE COTACAO SET cot_id = 1222, cot_blt_id = 68, cot_pap_id = 30, cot_prc_comum = NULL, cot_prc_min = 70, cot_prc_max = 85, cot_prc_med = 77.5, cot_prc_mediana = 77.5 WHERE cot_id = 1222;</v>
      </c>
    </row>
    <row r="1224" customFormat="false" ht="14.25" hidden="false" customHeight="false" outlineLevel="0" collapsed="false">
      <c r="A1224" s="0" t="n">
        <v>1223</v>
      </c>
      <c r="B1224" s="0" t="n">
        <f aca="false">IF('Boletins Nuppa Site'!A1224&lt;&gt;0,'Boletins Nuppa Site'!A1224,"NULL")</f>
        <v>68</v>
      </c>
      <c r="C1224" s="0" t="n">
        <v>31</v>
      </c>
      <c r="D1224" s="30" t="n">
        <f aca="false">IF('Boletins Nuppa Site'!G1224&lt;&gt;0,'Boletins Nuppa Site'!G1224,"NULL")</f>
        <v>120</v>
      </c>
      <c r="E1224" s="30" t="n">
        <f aca="false">IF('Boletins Nuppa Site'!H1224&lt;&gt;0,'Boletins Nuppa Site'!H1224,"NULL")</f>
        <v>80</v>
      </c>
      <c r="F1224" s="30" t="n">
        <f aca="false">IF('Boletins Nuppa Site'!I1224&lt;&gt;0,'Boletins Nuppa Site'!I1224,"NULL")</f>
        <v>120</v>
      </c>
      <c r="G1224" s="30" t="n">
        <f aca="false">IF('Boletins Nuppa Site'!J1224&lt;&gt;0,'Boletins Nuppa Site'!J1224,"NULL")</f>
        <v>103</v>
      </c>
      <c r="H1224" s="30" t="n">
        <f aca="false">IF('Boletins Nuppa Site'!K1224&lt;&gt;0,'Boletins Nuppa Site'!K1224,"NULL")</f>
        <v>110</v>
      </c>
      <c r="I1224" s="0" t="str">
        <f aca="false">"INSERT INTO COTACAO (cot_id, cot_blt_id, cot_pap_id, cot_prc_comum, cot_prc_min, cot_prc_max, cot_prc_med, cot_prc_mediana) VALUES ("&amp;A1224&amp;", "&amp;B1224&amp;", "&amp;C1224&amp;", "&amp;D1224&amp;", "&amp;E1224&amp;", "&amp;F1224&amp;", "&amp;G1224&amp;", "&amp;H1224&amp;");"</f>
        <v>INSERT INTO COTACAO (cot_id, cot_blt_id, cot_pap_id, cot_prc_comum, cot_prc_min, cot_prc_max, cot_prc_med, cot_prc_mediana) VALUES (1223, 68, 31, 120, 80, 120, 103, 110);</v>
      </c>
      <c r="J1224" s="0" t="str">
        <f aca="false">"UPDATE COTACAO SET cot_id = "&amp;A1224&amp;", cot_blt_id = "&amp;B1224&amp;", cot_pap_id = "&amp;C1224&amp;", cot_prc_comum = "&amp;D1224&amp;", cot_prc_min = "&amp;E1224&amp;", cot_prc_max = "&amp;F1224&amp;", cot_prc_med = "&amp;G1224&amp;", cot_prc_mediana = "&amp;H1224&amp;" WHERE cot_id = "&amp;A1224&amp;";"</f>
        <v>UPDATE COTACAO SET cot_id = 1223, cot_blt_id = 68, cot_pap_id = 31, cot_prc_comum = 120, cot_prc_min = 80, cot_prc_max = 120, cot_prc_med = 103, cot_prc_mediana = 110 WHERE cot_id = 1223;</v>
      </c>
    </row>
    <row r="1225" customFormat="false" ht="14.25" hidden="false" customHeight="false" outlineLevel="0" collapsed="false">
      <c r="A1225" s="0" t="n">
        <v>1224</v>
      </c>
      <c r="B1225" s="0" t="n">
        <f aca="false">IF('Boletins Nuppa Site'!A1225&lt;&gt;0,'Boletins Nuppa Site'!A1225,"NULL")</f>
        <v>68</v>
      </c>
      <c r="C1225" s="0" t="n">
        <v>32</v>
      </c>
      <c r="D1225" s="30" t="n">
        <f aca="false">IF('Boletins Nuppa Site'!G1225&lt;&gt;0,'Boletins Nuppa Site'!G1225,"NULL")</f>
        <v>50</v>
      </c>
      <c r="E1225" s="30" t="n">
        <f aca="false">IF('Boletins Nuppa Site'!H1225&lt;&gt;0,'Boletins Nuppa Site'!H1225,"NULL")</f>
        <v>50</v>
      </c>
      <c r="F1225" s="30" t="n">
        <f aca="false">IF('Boletins Nuppa Site'!I1225&lt;&gt;0,'Boletins Nuppa Site'!I1225,"NULL")</f>
        <v>60</v>
      </c>
      <c r="G1225" s="30" t="n">
        <f aca="false">IF('Boletins Nuppa Site'!J1225&lt;&gt;0,'Boletins Nuppa Site'!J1225,"NULL")</f>
        <v>53</v>
      </c>
      <c r="H1225" s="30" t="n">
        <f aca="false">IF('Boletins Nuppa Site'!K1225&lt;&gt;0,'Boletins Nuppa Site'!K1225,"NULL")</f>
        <v>50</v>
      </c>
      <c r="I1225" s="0" t="str">
        <f aca="false">"INSERT INTO COTACAO (cot_id, cot_blt_id, cot_pap_id, cot_prc_comum, cot_prc_min, cot_prc_max, cot_prc_med, cot_prc_mediana) VALUES ("&amp;A1225&amp;", "&amp;B1225&amp;", "&amp;C1225&amp;", "&amp;D1225&amp;", "&amp;E1225&amp;", "&amp;F1225&amp;", "&amp;G1225&amp;", "&amp;H1225&amp;");"</f>
        <v>INSERT INTO COTACAO (cot_id, cot_blt_id, cot_pap_id, cot_prc_comum, cot_prc_min, cot_prc_max, cot_prc_med, cot_prc_mediana) VALUES (1224, 68, 32, 50, 50, 60, 53, 50);</v>
      </c>
      <c r="J1225" s="0" t="str">
        <f aca="false">"UPDATE COTACAO SET cot_id = "&amp;A1225&amp;", cot_blt_id = "&amp;B1225&amp;", cot_pap_id = "&amp;C1225&amp;", cot_prc_comum = "&amp;D1225&amp;", cot_prc_min = "&amp;E1225&amp;", cot_prc_max = "&amp;F1225&amp;", cot_prc_med = "&amp;G1225&amp;", cot_prc_mediana = "&amp;H1225&amp;" WHERE cot_id = "&amp;A1225&amp;";"</f>
        <v>UPDATE COTACAO SET cot_id = 1224, cot_blt_id = 68, cot_pap_id = 32, cot_prc_comum = 50, cot_prc_min = 50, cot_prc_max = 60, cot_prc_med = 53, cot_prc_mediana = 50 WHERE cot_id = 1224;</v>
      </c>
    </row>
    <row r="1226" customFormat="false" ht="14.25" hidden="false" customHeight="false" outlineLevel="0" collapsed="false">
      <c r="A1226" s="0" t="n">
        <v>1225</v>
      </c>
      <c r="B1226" s="0" t="n">
        <f aca="false">IF('Boletins Nuppa Site'!A1226&lt;&gt;0,'Boletins Nuppa Site'!A1226,"NULL")</f>
        <v>68</v>
      </c>
      <c r="C1226" s="0" t="n">
        <v>33</v>
      </c>
      <c r="D1226" s="0" t="str">
        <f aca="false">IF('Boletins Nuppa Site'!G1226&lt;&gt;0,'Boletins Nuppa Site'!G1226,"NULL")</f>
        <v>NULL</v>
      </c>
      <c r="E1226" s="30" t="n">
        <f aca="false">IF('Boletins Nuppa Site'!H1226&lt;&gt;0,'Boletins Nuppa Site'!H1226,"NULL")</f>
        <v>110</v>
      </c>
      <c r="F1226" s="30" t="n">
        <f aca="false">IF('Boletins Nuppa Site'!I1226&lt;&gt;0,'Boletins Nuppa Site'!I1226,"NULL")</f>
        <v>160</v>
      </c>
      <c r="G1226" s="30" t="n">
        <f aca="false">IF('Boletins Nuppa Site'!J1226&lt;&gt;0,'Boletins Nuppa Site'!J1226,"NULL")</f>
        <v>137</v>
      </c>
      <c r="H1226" s="30" t="n">
        <f aca="false">IF('Boletins Nuppa Site'!K1226&lt;&gt;0,'Boletins Nuppa Site'!K1226,"NULL")</f>
        <v>140</v>
      </c>
      <c r="I1226" s="0" t="str">
        <f aca="false">"INSERT INTO COTACAO (cot_id, cot_blt_id, cot_pap_id, cot_prc_comum, cot_prc_min, cot_prc_max, cot_prc_med, cot_prc_mediana) VALUES ("&amp;A1226&amp;", "&amp;B1226&amp;", "&amp;C1226&amp;", "&amp;D1226&amp;", "&amp;E1226&amp;", "&amp;F1226&amp;", "&amp;G1226&amp;", "&amp;H1226&amp;");"</f>
        <v>INSERT INTO COTACAO (cot_id, cot_blt_id, cot_pap_id, cot_prc_comum, cot_prc_min, cot_prc_max, cot_prc_med, cot_prc_mediana) VALUES (1225, 68, 33, NULL, 110, 160, 137, 140);</v>
      </c>
      <c r="J1226" s="0" t="str">
        <f aca="false">"UPDATE COTACAO SET cot_id = "&amp;A1226&amp;", cot_blt_id = "&amp;B1226&amp;", cot_pap_id = "&amp;C1226&amp;", cot_prc_comum = "&amp;D1226&amp;", cot_prc_min = "&amp;E1226&amp;", cot_prc_max = "&amp;F1226&amp;", cot_prc_med = "&amp;G1226&amp;", cot_prc_mediana = "&amp;H1226&amp;" WHERE cot_id = "&amp;A1226&amp;";"</f>
        <v>UPDATE COTACAO SET cot_id = 1225, cot_blt_id = 68, cot_pap_id = 33, cot_prc_comum = NULL, cot_prc_min = 110, cot_prc_max = 160, cot_prc_med = 137, cot_prc_mediana = 140 WHERE cot_id = 1225;</v>
      </c>
    </row>
    <row r="1227" customFormat="false" ht="14.25" hidden="false" customHeight="false" outlineLevel="0" collapsed="false">
      <c r="A1227" s="0" t="n">
        <v>1226</v>
      </c>
      <c r="B1227" s="0" t="n">
        <f aca="false">IF('Boletins Nuppa Site'!A1227&lt;&gt;0,'Boletins Nuppa Site'!A1227,"NULL")</f>
        <v>68</v>
      </c>
      <c r="C1227" s="0" t="n">
        <v>34</v>
      </c>
      <c r="D1227" s="30" t="n">
        <f aca="false">IF('Boletins Nuppa Site'!G1227&lt;&gt;0,'Boletins Nuppa Site'!G1227,"NULL")</f>
        <v>60</v>
      </c>
      <c r="E1227" s="30" t="n">
        <f aca="false">IF('Boletins Nuppa Site'!H1227&lt;&gt;0,'Boletins Nuppa Site'!H1227,"NULL")</f>
        <v>45</v>
      </c>
      <c r="F1227" s="30" t="n">
        <f aca="false">IF('Boletins Nuppa Site'!I1227&lt;&gt;0,'Boletins Nuppa Site'!I1227,"NULL")</f>
        <v>60</v>
      </c>
      <c r="G1227" s="30" t="n">
        <f aca="false">IF('Boletins Nuppa Site'!J1227&lt;&gt;0,'Boletins Nuppa Site'!J1227,"NULL")</f>
        <v>53</v>
      </c>
      <c r="H1227" s="30" t="n">
        <f aca="false">IF('Boletins Nuppa Site'!K1227&lt;&gt;0,'Boletins Nuppa Site'!K1227,"NULL")</f>
        <v>50</v>
      </c>
      <c r="I1227" s="0" t="str">
        <f aca="false">"INSERT INTO COTACAO (cot_id, cot_blt_id, cot_pap_id, cot_prc_comum, cot_prc_min, cot_prc_max, cot_prc_med, cot_prc_mediana) VALUES ("&amp;A1227&amp;", "&amp;B1227&amp;", "&amp;C1227&amp;", "&amp;D1227&amp;", "&amp;E1227&amp;", "&amp;F1227&amp;", "&amp;G1227&amp;", "&amp;H1227&amp;");"</f>
        <v>INSERT INTO COTACAO (cot_id, cot_blt_id, cot_pap_id, cot_prc_comum, cot_prc_min, cot_prc_max, cot_prc_med, cot_prc_mediana) VALUES (1226, 68, 34, 60, 45, 60, 53, 50);</v>
      </c>
      <c r="J1227" s="0" t="str">
        <f aca="false">"UPDATE COTACAO SET cot_id = "&amp;A1227&amp;", cot_blt_id = "&amp;B1227&amp;", cot_pap_id = "&amp;C1227&amp;", cot_prc_comum = "&amp;D1227&amp;", cot_prc_min = "&amp;E1227&amp;", cot_prc_max = "&amp;F1227&amp;", cot_prc_med = "&amp;G1227&amp;", cot_prc_mediana = "&amp;H1227&amp;" WHERE cot_id = "&amp;A1227&amp;";"</f>
        <v>UPDATE COTACAO SET cot_id = 1226, cot_blt_id = 68, cot_pap_id = 34, cot_prc_comum = 60, cot_prc_min = 45, cot_prc_max = 60, cot_prc_med = 53, cot_prc_mediana = 50 WHERE cot_id = 1226;</v>
      </c>
    </row>
    <row r="1228" customFormat="false" ht="14.25" hidden="false" customHeight="false" outlineLevel="0" collapsed="false">
      <c r="A1228" s="0" t="n">
        <v>1227</v>
      </c>
      <c r="B1228" s="0" t="n">
        <f aca="false">IF('Boletins Nuppa Site'!A1228&lt;&gt;0,'Boletins Nuppa Site'!A1228,"NULL")</f>
        <v>68</v>
      </c>
      <c r="C1228" s="0" t="n">
        <v>35</v>
      </c>
      <c r="D1228" s="0" t="str">
        <f aca="false">IF('Boletins Nuppa Site'!G1228&lt;&gt;0,'Boletins Nuppa Site'!G1228,"NULL")</f>
        <v>NULL</v>
      </c>
      <c r="E1228" s="30" t="n">
        <f aca="false">IF('Boletins Nuppa Site'!H1228&lt;&gt;0,'Boletins Nuppa Site'!H1228,"NULL")</f>
        <v>120</v>
      </c>
      <c r="F1228" s="30" t="n">
        <f aca="false">IF('Boletins Nuppa Site'!I1228&lt;&gt;0,'Boletins Nuppa Site'!I1228,"NULL")</f>
        <v>150</v>
      </c>
      <c r="G1228" s="30" t="n">
        <f aca="false">IF('Boletins Nuppa Site'!J1228&lt;&gt;0,'Boletins Nuppa Site'!J1228,"NULL")</f>
        <v>135</v>
      </c>
      <c r="H1228" s="30" t="n">
        <f aca="false">IF('Boletins Nuppa Site'!K1228&lt;&gt;0,'Boletins Nuppa Site'!K1228,"NULL")</f>
        <v>135</v>
      </c>
      <c r="I1228" s="0" t="str">
        <f aca="false">"INSERT INTO COTACAO (cot_id, cot_blt_id, cot_pap_id, cot_prc_comum, cot_prc_min, cot_prc_max, cot_prc_med, cot_prc_mediana) VALUES ("&amp;A1228&amp;", "&amp;B1228&amp;", "&amp;C1228&amp;", "&amp;D1228&amp;", "&amp;E1228&amp;", "&amp;F1228&amp;", "&amp;G1228&amp;", "&amp;H1228&amp;");"</f>
        <v>INSERT INTO COTACAO (cot_id, cot_blt_id, cot_pap_id, cot_prc_comum, cot_prc_min, cot_prc_max, cot_prc_med, cot_prc_mediana) VALUES (1227, 68, 35, NULL, 120, 150, 135, 135);</v>
      </c>
      <c r="J1228" s="0" t="str">
        <f aca="false">"UPDATE COTACAO SET cot_id = "&amp;A1228&amp;", cot_blt_id = "&amp;B1228&amp;", cot_pap_id = "&amp;C1228&amp;", cot_prc_comum = "&amp;D1228&amp;", cot_prc_min = "&amp;E1228&amp;", cot_prc_max = "&amp;F1228&amp;", cot_prc_med = "&amp;G1228&amp;", cot_prc_mediana = "&amp;H1228&amp;" WHERE cot_id = "&amp;A1228&amp;";"</f>
        <v>UPDATE COTACAO SET cot_id = 1227, cot_blt_id = 68, cot_pap_id = 35, cot_prc_comum = NULL, cot_prc_min = 120, cot_prc_max = 150, cot_prc_med = 135, cot_prc_mediana = 135 WHERE cot_id = 1227;</v>
      </c>
    </row>
    <row r="1229" customFormat="false" ht="14.25" hidden="false" customHeight="false" outlineLevel="0" collapsed="false">
      <c r="A1229" s="0" t="n">
        <v>1228</v>
      </c>
      <c r="B1229" s="0" t="n">
        <f aca="false">IF('Boletins Nuppa Site'!A1229&lt;&gt;0,'Boletins Nuppa Site'!A1229,"NULL")</f>
        <v>68</v>
      </c>
      <c r="C1229" s="0" t="n">
        <v>36</v>
      </c>
      <c r="D1229" s="0" t="str">
        <f aca="false">IF('Boletins Nuppa Site'!G1229&lt;&gt;0,'Boletins Nuppa Site'!G1229,"NULL")</f>
        <v>NULL</v>
      </c>
      <c r="E1229" s="0" t="str">
        <f aca="false">IF('Boletins Nuppa Site'!H1229&lt;&gt;0,'Boletins Nuppa Site'!H1229,"NULL")</f>
        <v>NULL</v>
      </c>
      <c r="F1229" s="0" t="str">
        <f aca="false">IF('Boletins Nuppa Site'!I1229&lt;&gt;0,'Boletins Nuppa Site'!I1229,"NULL")</f>
        <v>NULL</v>
      </c>
      <c r="G1229" s="0" t="str">
        <f aca="false">IF('Boletins Nuppa Site'!J1229&lt;&gt;0,'Boletins Nuppa Site'!J1229,"NULL")</f>
        <v>NULL</v>
      </c>
      <c r="H1229" s="0" t="str">
        <f aca="false">IF('Boletins Nuppa Site'!K1229&lt;&gt;0,'Boletins Nuppa Site'!K1229,"NULL")</f>
        <v>NULL</v>
      </c>
      <c r="I1229" s="0" t="str">
        <f aca="false">"INSERT INTO COTACAO (cot_id, cot_blt_id, cot_pap_id, cot_prc_comum, cot_prc_min, cot_prc_max, cot_prc_med, cot_prc_mediana) VALUES ("&amp;A1229&amp;", "&amp;B1229&amp;", "&amp;C1229&amp;", "&amp;D1229&amp;", "&amp;E1229&amp;", "&amp;F1229&amp;", "&amp;G1229&amp;", "&amp;H1229&amp;");"</f>
        <v>INSERT INTO COTACAO (cot_id, cot_blt_id, cot_pap_id, cot_prc_comum, cot_prc_min, cot_prc_max, cot_prc_med, cot_prc_mediana) VALUES (1228, 68, 36, NULL, NULL, NULL, NULL, NULL);</v>
      </c>
      <c r="J1229" s="0" t="str">
        <f aca="false">"UPDATE COTACAO SET cot_id = "&amp;A1229&amp;", cot_blt_id = "&amp;B1229&amp;", cot_pap_id = "&amp;C1229&amp;", cot_prc_comum = "&amp;D1229&amp;", cot_prc_min = "&amp;E1229&amp;", cot_prc_max = "&amp;F1229&amp;", cot_prc_med = "&amp;G1229&amp;", cot_prc_mediana = "&amp;H1229&amp;" WHERE cot_id = "&amp;A1229&amp;";"</f>
        <v>UPDATE COTACAO SET cot_id = 1228, cot_blt_id = 68, cot_pap_id = 36, cot_prc_comum = NULL, cot_prc_min = NULL, cot_prc_max = NULL, cot_prc_med = NULL, cot_prc_mediana = NULL WHERE cot_id = 1228;</v>
      </c>
    </row>
    <row r="1230" customFormat="false" ht="14.25" hidden="false" customHeight="false" outlineLevel="0" collapsed="false">
      <c r="A1230" s="0" t="n">
        <v>1229</v>
      </c>
      <c r="B1230" s="0" t="n">
        <f aca="false">IF('Boletins Nuppa Site'!A1230&lt;&gt;0,'Boletins Nuppa Site'!A1230,"NULL")</f>
        <v>68</v>
      </c>
      <c r="C1230" s="0" t="n">
        <v>37</v>
      </c>
      <c r="D1230" s="0" t="str">
        <f aca="false">IF('Boletins Nuppa Site'!G1230&lt;&gt;0,'Boletins Nuppa Site'!G1230,"NULL")</f>
        <v>NULL</v>
      </c>
      <c r="E1230" s="0" t="str">
        <f aca="false">IF('Boletins Nuppa Site'!H1230&lt;&gt;0,'Boletins Nuppa Site'!H1230,"NULL")</f>
        <v>NULL</v>
      </c>
      <c r="F1230" s="0" t="str">
        <f aca="false">IF('Boletins Nuppa Site'!I1230&lt;&gt;0,'Boletins Nuppa Site'!I1230,"NULL")</f>
        <v>NULL</v>
      </c>
      <c r="G1230" s="0" t="str">
        <f aca="false">IF('Boletins Nuppa Site'!J1230&lt;&gt;0,'Boletins Nuppa Site'!J1230,"NULL")</f>
        <v>NULL</v>
      </c>
      <c r="H1230" s="0" t="str">
        <f aca="false">IF('Boletins Nuppa Site'!K1230&lt;&gt;0,'Boletins Nuppa Site'!K1230,"NULL")</f>
        <v>NULL</v>
      </c>
      <c r="I1230" s="0" t="str">
        <f aca="false">"INSERT INTO COTACAO (cot_id, cot_blt_id, cot_pap_id, cot_prc_comum, cot_prc_min, cot_prc_max, cot_prc_med, cot_prc_mediana) VALUES ("&amp;A1230&amp;", "&amp;B1230&amp;", "&amp;C1230&amp;", "&amp;D1230&amp;", "&amp;E1230&amp;", "&amp;F1230&amp;", "&amp;G1230&amp;", "&amp;H1230&amp;");"</f>
        <v>INSERT INTO COTACAO (cot_id, cot_blt_id, cot_pap_id, cot_prc_comum, cot_prc_min, cot_prc_max, cot_prc_med, cot_prc_mediana) VALUES (1229, 68, 37, NULL, NULL, NULL, NULL, NULL);</v>
      </c>
      <c r="J1230" s="0" t="str">
        <f aca="false">"UPDATE COTACAO SET cot_id = "&amp;A1230&amp;", cot_blt_id = "&amp;B1230&amp;", cot_pap_id = "&amp;C1230&amp;", cot_prc_comum = "&amp;D1230&amp;", cot_prc_min = "&amp;E1230&amp;", cot_prc_max = "&amp;F1230&amp;", cot_prc_med = "&amp;G1230&amp;", cot_prc_mediana = "&amp;H1230&amp;" WHERE cot_id = "&amp;A1230&amp;";"</f>
        <v>UPDATE COTACAO SET cot_id = 1229, cot_blt_id = 68, cot_pap_id = 37, cot_prc_comum = NULL, cot_prc_min = NULL, cot_prc_max = NULL, cot_prc_med = NULL, cot_prc_mediana = NULL WHERE cot_id = 1229;</v>
      </c>
    </row>
    <row r="1231" customFormat="false" ht="14.25" hidden="false" customHeight="false" outlineLevel="0" collapsed="false">
      <c r="A1231" s="0" t="n">
        <v>1230</v>
      </c>
      <c r="B1231" s="0" t="n">
        <f aca="false">IF('Boletins Nuppa Site'!A1231&lt;&gt;0,'Boletins Nuppa Site'!A1231,"NULL")</f>
        <v>68</v>
      </c>
      <c r="C1231" s="0" t="n">
        <v>38</v>
      </c>
      <c r="D1231" s="0" t="str">
        <f aca="false">IF('Boletins Nuppa Site'!G1231&lt;&gt;0,'Boletins Nuppa Site'!G1231,"NULL")</f>
        <v>NULL</v>
      </c>
      <c r="E1231" s="0" t="str">
        <f aca="false">IF('Boletins Nuppa Site'!H1231&lt;&gt;0,'Boletins Nuppa Site'!H1231,"NULL")</f>
        <v>NULL</v>
      </c>
      <c r="F1231" s="0" t="str">
        <f aca="false">IF('Boletins Nuppa Site'!I1231&lt;&gt;0,'Boletins Nuppa Site'!I1231,"NULL")</f>
        <v>NULL</v>
      </c>
      <c r="G1231" s="0" t="str">
        <f aca="false">IF('Boletins Nuppa Site'!J1231&lt;&gt;0,'Boletins Nuppa Site'!J1231,"NULL")</f>
        <v>NULL</v>
      </c>
      <c r="H1231" s="0" t="str">
        <f aca="false">IF('Boletins Nuppa Site'!K1231&lt;&gt;0,'Boletins Nuppa Site'!K1231,"NULL")</f>
        <v>NULL</v>
      </c>
      <c r="I1231" s="0" t="str">
        <f aca="false">"INSERT INTO COTACAO (cot_id, cot_blt_id, cot_pap_id, cot_prc_comum, cot_prc_min, cot_prc_max, cot_prc_med, cot_prc_mediana) VALUES ("&amp;A1231&amp;", "&amp;B1231&amp;", "&amp;C1231&amp;", "&amp;D1231&amp;", "&amp;E1231&amp;", "&amp;F1231&amp;", "&amp;G1231&amp;", "&amp;H1231&amp;");"</f>
        <v>INSERT INTO COTACAO (cot_id, cot_blt_id, cot_pap_id, cot_prc_comum, cot_prc_min, cot_prc_max, cot_prc_med, cot_prc_mediana) VALUES (1230, 68, 38, NULL, NULL, NULL, NULL, NULL);</v>
      </c>
      <c r="J1231" s="0" t="str">
        <f aca="false">"UPDATE COTACAO SET cot_id = "&amp;A1231&amp;", cot_blt_id = "&amp;B1231&amp;", cot_pap_id = "&amp;C1231&amp;", cot_prc_comum = "&amp;D1231&amp;", cot_prc_min = "&amp;E1231&amp;", cot_prc_max = "&amp;F1231&amp;", cot_prc_med = "&amp;G1231&amp;", cot_prc_mediana = "&amp;H1231&amp;" WHERE cot_id = "&amp;A1231&amp;";"</f>
        <v>UPDATE COTACAO SET cot_id = 1230, cot_blt_id = 68, cot_pap_id = 38, cot_prc_comum = NULL, cot_prc_min = NULL, cot_prc_max = NULL, cot_prc_med = NULL, cot_prc_mediana = NULL WHERE cot_id = 1230;</v>
      </c>
    </row>
    <row r="1232" customFormat="false" ht="14.25" hidden="false" customHeight="false" outlineLevel="0" collapsed="false">
      <c r="A1232" s="0" t="n">
        <v>1231</v>
      </c>
      <c r="B1232" s="0" t="n">
        <f aca="false">IF('Boletins Nuppa Site'!A1232&lt;&gt;0,'Boletins Nuppa Site'!A1232,"NULL")</f>
        <v>68</v>
      </c>
      <c r="C1232" s="0" t="n">
        <v>39</v>
      </c>
      <c r="D1232" s="0" t="str">
        <f aca="false">IF('Boletins Nuppa Site'!G1232&lt;&gt;0,'Boletins Nuppa Site'!G1232,"NULL")</f>
        <v>NULL</v>
      </c>
      <c r="E1232" s="30" t="n">
        <f aca="false">IF('Boletins Nuppa Site'!H1232&lt;&gt;0,'Boletins Nuppa Site'!H1232,"NULL")</f>
        <v>60</v>
      </c>
      <c r="F1232" s="30" t="n">
        <f aca="false">IF('Boletins Nuppa Site'!I1232&lt;&gt;0,'Boletins Nuppa Site'!I1232,"NULL")</f>
        <v>60</v>
      </c>
      <c r="G1232" s="30" t="n">
        <f aca="false">IF('Boletins Nuppa Site'!J1232&lt;&gt;0,'Boletins Nuppa Site'!J1232,"NULL")</f>
        <v>60</v>
      </c>
      <c r="H1232" s="30" t="n">
        <f aca="false">IF('Boletins Nuppa Site'!K1232&lt;&gt;0,'Boletins Nuppa Site'!K1232,"NULL")</f>
        <v>60</v>
      </c>
      <c r="I1232" s="0" t="str">
        <f aca="false">"INSERT INTO COTACAO (cot_id, cot_blt_id, cot_pap_id, cot_prc_comum, cot_prc_min, cot_prc_max, cot_prc_med, cot_prc_mediana) VALUES ("&amp;A1232&amp;", "&amp;B1232&amp;", "&amp;C1232&amp;", "&amp;D1232&amp;", "&amp;E1232&amp;", "&amp;F1232&amp;", "&amp;G1232&amp;", "&amp;H1232&amp;");"</f>
        <v>INSERT INTO COTACAO (cot_id, cot_blt_id, cot_pap_id, cot_prc_comum, cot_prc_min, cot_prc_max, cot_prc_med, cot_prc_mediana) VALUES (1231, 68, 39, NULL, 60, 60, 60, 60);</v>
      </c>
      <c r="J1232" s="0" t="str">
        <f aca="false">"UPDATE COTACAO SET cot_id = "&amp;A1232&amp;", cot_blt_id = "&amp;B1232&amp;", cot_pap_id = "&amp;C1232&amp;", cot_prc_comum = "&amp;D1232&amp;", cot_prc_min = "&amp;E1232&amp;", cot_prc_max = "&amp;F1232&amp;", cot_prc_med = "&amp;G1232&amp;", cot_prc_mediana = "&amp;H1232&amp;" WHERE cot_id = "&amp;A1232&amp;";"</f>
        <v>UPDATE COTACAO SET cot_id = 1231, cot_blt_id = 68, cot_pap_id = 39, cot_prc_comum = NULL, cot_prc_min = 60, cot_prc_max = 60, cot_prc_med = 60, cot_prc_mediana = 60 WHERE cot_id = 1231;</v>
      </c>
    </row>
    <row r="1233" customFormat="false" ht="14.25" hidden="false" customHeight="false" outlineLevel="0" collapsed="false">
      <c r="A1233" s="0" t="n">
        <v>1232</v>
      </c>
      <c r="B1233" s="0" t="n">
        <f aca="false">IF('Boletins Nuppa Site'!A1233&lt;&gt;0,'Boletins Nuppa Site'!A1233,"NULL")</f>
        <v>68</v>
      </c>
      <c r="C1233" s="0" t="n">
        <v>40</v>
      </c>
      <c r="D1233" s="0" t="str">
        <f aca="false">IF('Boletins Nuppa Site'!G1233&lt;&gt;0,'Boletins Nuppa Site'!G1233,"NULL")</f>
        <v>NULL</v>
      </c>
      <c r="E1233" s="0" t="str">
        <f aca="false">IF('Boletins Nuppa Site'!H1233&lt;&gt;0,'Boletins Nuppa Site'!H1233,"NULL")</f>
        <v>NULL</v>
      </c>
      <c r="F1233" s="0" t="str">
        <f aca="false">IF('Boletins Nuppa Site'!I1233&lt;&gt;0,'Boletins Nuppa Site'!I1233,"NULL")</f>
        <v>NULL</v>
      </c>
      <c r="G1233" s="0" t="str">
        <f aca="false">IF('Boletins Nuppa Site'!J1233&lt;&gt;0,'Boletins Nuppa Site'!J1233,"NULL")</f>
        <v>NULL</v>
      </c>
      <c r="H1233" s="0" t="str">
        <f aca="false">IF('Boletins Nuppa Site'!K1233&lt;&gt;0,'Boletins Nuppa Site'!K1233,"NULL")</f>
        <v>NULL</v>
      </c>
      <c r="I1233" s="0" t="str">
        <f aca="false">"INSERT INTO COTACAO (cot_id, cot_blt_id, cot_pap_id, cot_prc_comum, cot_prc_min, cot_prc_max, cot_prc_med, cot_prc_mediana) VALUES ("&amp;A1233&amp;", "&amp;B1233&amp;", "&amp;C1233&amp;", "&amp;D1233&amp;", "&amp;E1233&amp;", "&amp;F1233&amp;", "&amp;G1233&amp;", "&amp;H1233&amp;");"</f>
        <v>INSERT INTO COTACAO (cot_id, cot_blt_id, cot_pap_id, cot_prc_comum, cot_prc_min, cot_prc_max, cot_prc_med, cot_prc_mediana) VALUES (1232, 68, 40, NULL, NULL, NULL, NULL, NULL);</v>
      </c>
      <c r="J1233" s="0" t="str">
        <f aca="false">"UPDATE COTACAO SET cot_id = "&amp;A1233&amp;", cot_blt_id = "&amp;B1233&amp;", cot_pap_id = "&amp;C1233&amp;", cot_prc_comum = "&amp;D1233&amp;", cot_prc_min = "&amp;E1233&amp;", cot_prc_max = "&amp;F1233&amp;", cot_prc_med = "&amp;G1233&amp;", cot_prc_mediana = "&amp;H1233&amp;" WHERE cot_id = "&amp;A1233&amp;";"</f>
        <v>UPDATE COTACAO SET cot_id = 1232, cot_blt_id = 68, cot_pap_id = 40, cot_prc_comum = NULL, cot_prc_min = NULL, cot_prc_max = NULL, cot_prc_med = NULL, cot_prc_mediana = NULL WHERE cot_id = 1232;</v>
      </c>
    </row>
    <row r="1234" customFormat="false" ht="14.25" hidden="false" customHeight="false" outlineLevel="0" collapsed="false">
      <c r="A1234" s="0" t="n">
        <v>1233</v>
      </c>
      <c r="B1234" s="0" t="n">
        <f aca="false">IF('Boletins Nuppa Site'!A1234&lt;&gt;0,'Boletins Nuppa Site'!A1234,"NULL")</f>
        <v>69</v>
      </c>
      <c r="C1234" s="0" t="n">
        <v>1</v>
      </c>
      <c r="D1234" s="30" t="n">
        <f aca="false">IF('Boletins Nuppa Site'!G1234&lt;&gt;0,'Boletins Nuppa Site'!G1234,"NULL")</f>
        <v>48</v>
      </c>
      <c r="E1234" s="30" t="n">
        <f aca="false">IF('Boletins Nuppa Site'!H1234&lt;&gt;0,'Boletins Nuppa Site'!H1234,"NULL")</f>
        <v>5</v>
      </c>
      <c r="F1234" s="30" t="n">
        <f aca="false">IF('Boletins Nuppa Site'!I1234&lt;&gt;0,'Boletins Nuppa Site'!I1234,"NULL")</f>
        <v>48</v>
      </c>
      <c r="G1234" s="0" t="str">
        <f aca="false">IF('Boletins Nuppa Site'!J1234&lt;&gt;0,'Boletins Nuppa Site'!J1234,"NULL")</f>
        <v>32.2</v>
      </c>
      <c r="H1234" s="30" t="n">
        <f aca="false">IF('Boletins Nuppa Site'!K1234&lt;&gt;0,'Boletins Nuppa Site'!K1234,"NULL")</f>
        <v>36</v>
      </c>
      <c r="I1234" s="0" t="str">
        <f aca="false">"INSERT INTO COTACAO (cot_id, cot_blt_id, cot_pap_id, cot_prc_comum, cot_prc_min, cot_prc_max, cot_prc_med, cot_prc_mediana) VALUES ("&amp;A1234&amp;", "&amp;B1234&amp;", "&amp;C1234&amp;", "&amp;D1234&amp;", "&amp;E1234&amp;", "&amp;F1234&amp;", "&amp;G1234&amp;", "&amp;H1234&amp;");"</f>
        <v>INSERT INTO COTACAO (cot_id, cot_blt_id, cot_pap_id, cot_prc_comum, cot_prc_min, cot_prc_max, cot_prc_med, cot_prc_mediana) VALUES (1233, 69, 1, 48, 5, 48, 32.2, 36);</v>
      </c>
      <c r="J1234" s="0" t="str">
        <f aca="false">"UPDATE COTACAO SET cot_id = "&amp;A1234&amp;", cot_blt_id = "&amp;B1234&amp;", cot_pap_id = "&amp;C1234&amp;", cot_prc_comum = "&amp;D1234&amp;", cot_prc_min = "&amp;E1234&amp;", cot_prc_max = "&amp;F1234&amp;", cot_prc_med = "&amp;G1234&amp;", cot_prc_mediana = "&amp;H1234&amp;" WHERE cot_id = "&amp;A1234&amp;";"</f>
        <v>UPDATE COTACAO SET cot_id = 1233, cot_blt_id = 69, cot_pap_id = 1, cot_prc_comum = 48, cot_prc_min = 5, cot_prc_max = 48, cot_prc_med = 32.2, cot_prc_mediana = 36 WHERE cot_id = 1233;</v>
      </c>
    </row>
    <row r="1235" customFormat="false" ht="14.25" hidden="false" customHeight="false" outlineLevel="0" collapsed="false">
      <c r="A1235" s="0" t="n">
        <v>1234</v>
      </c>
      <c r="B1235" s="0" t="n">
        <f aca="false">IF('Boletins Nuppa Site'!A1235&lt;&gt;0,'Boletins Nuppa Site'!A1235,"NULL")</f>
        <v>69</v>
      </c>
      <c r="C1235" s="0" t="n">
        <v>2</v>
      </c>
      <c r="D1235" s="30" t="n">
        <f aca="false">IF('Boletins Nuppa Site'!G1235&lt;&gt;0,'Boletins Nuppa Site'!G1235,"NULL")</f>
        <v>60</v>
      </c>
      <c r="E1235" s="30" t="n">
        <f aca="false">IF('Boletins Nuppa Site'!H1235&lt;&gt;0,'Boletins Nuppa Site'!H1235,"NULL")</f>
        <v>7</v>
      </c>
      <c r="F1235" s="30" t="n">
        <f aca="false">IF('Boletins Nuppa Site'!I1235&lt;&gt;0,'Boletins Nuppa Site'!I1235,"NULL")</f>
        <v>72</v>
      </c>
      <c r="G1235" s="0" t="str">
        <f aca="false">IF('Boletins Nuppa Site'!J1235&lt;&gt;0,'Boletins Nuppa Site'!J1235,"NULL")</f>
        <v>51.8</v>
      </c>
      <c r="H1235" s="30" t="n">
        <f aca="false">IF('Boletins Nuppa Site'!K1235&lt;&gt;0,'Boletins Nuppa Site'!K1235,"NULL")</f>
        <v>60</v>
      </c>
      <c r="I1235" s="0" t="str">
        <f aca="false">"INSERT INTO COTACAO (cot_id, cot_blt_id, cot_pap_id, cot_prc_comum, cot_prc_min, cot_prc_max, cot_prc_med, cot_prc_mediana) VALUES ("&amp;A1235&amp;", "&amp;B1235&amp;", "&amp;C1235&amp;", "&amp;D1235&amp;", "&amp;E1235&amp;", "&amp;F1235&amp;", "&amp;G1235&amp;", "&amp;H1235&amp;");"</f>
        <v>INSERT INTO COTACAO (cot_id, cot_blt_id, cot_pap_id, cot_prc_comum, cot_prc_min, cot_prc_max, cot_prc_med, cot_prc_mediana) VALUES (1234, 69, 2, 60, 7, 72, 51.8, 60);</v>
      </c>
      <c r="J1235" s="0" t="str">
        <f aca="false">"UPDATE COTACAO SET cot_id = "&amp;A1235&amp;", cot_blt_id = "&amp;B1235&amp;", cot_pap_id = "&amp;C1235&amp;", cot_prc_comum = "&amp;D1235&amp;", cot_prc_min = "&amp;E1235&amp;", cot_prc_max = "&amp;F1235&amp;", cot_prc_med = "&amp;G1235&amp;", cot_prc_mediana = "&amp;H1235&amp;" WHERE cot_id = "&amp;A1235&amp;";"</f>
        <v>UPDATE COTACAO SET cot_id = 1234, cot_blt_id = 69, cot_pap_id = 2, cot_prc_comum = 60, cot_prc_min = 7, cot_prc_max = 72, cot_prc_med = 51.8, cot_prc_mediana = 60 WHERE cot_id = 1234;</v>
      </c>
    </row>
    <row r="1236" customFormat="false" ht="14.25" hidden="false" customHeight="false" outlineLevel="0" collapsed="false">
      <c r="A1236" s="0" t="n">
        <v>1235</v>
      </c>
      <c r="B1236" s="0" t="n">
        <f aca="false">IF('Boletins Nuppa Site'!A1236&lt;&gt;0,'Boletins Nuppa Site'!A1236,"NULL")</f>
        <v>69</v>
      </c>
      <c r="C1236" s="0" t="n">
        <v>3</v>
      </c>
      <c r="D1236" s="30" t="n">
        <f aca="false">IF('Boletins Nuppa Site'!G1236&lt;&gt;0,'Boletins Nuppa Site'!G1236,"NULL")</f>
        <v>30</v>
      </c>
      <c r="E1236" s="30" t="n">
        <f aca="false">IF('Boletins Nuppa Site'!H1236&lt;&gt;0,'Boletins Nuppa Site'!H1236,"NULL")</f>
        <v>30</v>
      </c>
      <c r="F1236" s="30" t="n">
        <f aca="false">IF('Boletins Nuppa Site'!I1236&lt;&gt;0,'Boletins Nuppa Site'!I1236,"NULL")</f>
        <v>36</v>
      </c>
      <c r="G1236" s="30" t="n">
        <f aca="false">IF('Boletins Nuppa Site'!J1236&lt;&gt;0,'Boletins Nuppa Site'!J1236,"NULL")</f>
        <v>31</v>
      </c>
      <c r="H1236" s="30" t="n">
        <f aca="false">IF('Boletins Nuppa Site'!K1236&lt;&gt;0,'Boletins Nuppa Site'!K1236,"NULL")</f>
        <v>30</v>
      </c>
      <c r="I1236" s="0" t="str">
        <f aca="false">"INSERT INTO COTACAO (cot_id, cot_blt_id, cot_pap_id, cot_prc_comum, cot_prc_min, cot_prc_max, cot_prc_med, cot_prc_mediana) VALUES ("&amp;A1236&amp;", "&amp;B1236&amp;", "&amp;C1236&amp;", "&amp;D1236&amp;", "&amp;E1236&amp;", "&amp;F1236&amp;", "&amp;G1236&amp;", "&amp;H1236&amp;");"</f>
        <v>INSERT INTO COTACAO (cot_id, cot_blt_id, cot_pap_id, cot_prc_comum, cot_prc_min, cot_prc_max, cot_prc_med, cot_prc_mediana) VALUES (1235, 69, 3, 30, 30, 36, 31, 30);</v>
      </c>
      <c r="J1236" s="0" t="str">
        <f aca="false">"UPDATE COTACAO SET cot_id = "&amp;A1236&amp;", cot_blt_id = "&amp;B1236&amp;", cot_pap_id = "&amp;C1236&amp;", cot_prc_comum = "&amp;D1236&amp;", cot_prc_min = "&amp;E1236&amp;", cot_prc_max = "&amp;F1236&amp;", cot_prc_med = "&amp;G1236&amp;", cot_prc_mediana = "&amp;H1236&amp;" WHERE cot_id = "&amp;A1236&amp;";"</f>
        <v>UPDATE COTACAO SET cot_id = 1235, cot_blt_id = 69, cot_pap_id = 3, cot_prc_comum = 30, cot_prc_min = 30, cot_prc_max = 36, cot_prc_med = 31, cot_prc_mediana = 30 WHERE cot_id = 1235;</v>
      </c>
    </row>
    <row r="1237" customFormat="false" ht="14.25" hidden="false" customHeight="false" outlineLevel="0" collapsed="false">
      <c r="A1237" s="0" t="n">
        <v>1236</v>
      </c>
      <c r="B1237" s="0" t="n">
        <f aca="false">IF('Boletins Nuppa Site'!A1237&lt;&gt;0,'Boletins Nuppa Site'!A1237,"NULL")</f>
        <v>69</v>
      </c>
      <c r="C1237" s="0" t="n">
        <v>4</v>
      </c>
      <c r="D1237" s="30" t="n">
        <f aca="false">IF('Boletins Nuppa Site'!G1237&lt;&gt;0,'Boletins Nuppa Site'!G1237,"NULL")</f>
        <v>18</v>
      </c>
      <c r="E1237" s="30" t="n">
        <f aca="false">IF('Boletins Nuppa Site'!H1237&lt;&gt;0,'Boletins Nuppa Site'!H1237,"NULL")</f>
        <v>15</v>
      </c>
      <c r="F1237" s="30" t="n">
        <f aca="false">IF('Boletins Nuppa Site'!I1237&lt;&gt;0,'Boletins Nuppa Site'!I1237,"NULL")</f>
        <v>24</v>
      </c>
      <c r="G1237" s="30" t="n">
        <f aca="false">IF('Boletins Nuppa Site'!J1237&lt;&gt;0,'Boletins Nuppa Site'!J1237,"NULL")</f>
        <v>19</v>
      </c>
      <c r="H1237" s="30" t="n">
        <f aca="false">IF('Boletins Nuppa Site'!K1237&lt;&gt;0,'Boletins Nuppa Site'!K1237,"NULL")</f>
        <v>18</v>
      </c>
      <c r="I1237" s="0" t="str">
        <f aca="false">"INSERT INTO COTACAO (cot_id, cot_blt_id, cot_pap_id, cot_prc_comum, cot_prc_min, cot_prc_max, cot_prc_med, cot_prc_mediana) VALUES ("&amp;A1237&amp;", "&amp;B1237&amp;", "&amp;C1237&amp;", "&amp;D1237&amp;", "&amp;E1237&amp;", "&amp;F1237&amp;", "&amp;G1237&amp;", "&amp;H1237&amp;");"</f>
        <v>INSERT INTO COTACAO (cot_id, cot_blt_id, cot_pap_id, cot_prc_comum, cot_prc_min, cot_prc_max, cot_prc_med, cot_prc_mediana) VALUES (1236, 69, 4, 18, 15, 24, 19, 18);</v>
      </c>
      <c r="J1237" s="0" t="str">
        <f aca="false">"UPDATE COTACAO SET cot_id = "&amp;A1237&amp;", cot_blt_id = "&amp;B1237&amp;", cot_pap_id = "&amp;C1237&amp;", cot_prc_comum = "&amp;D1237&amp;", cot_prc_min = "&amp;E1237&amp;", cot_prc_max = "&amp;F1237&amp;", cot_prc_med = "&amp;G1237&amp;", cot_prc_mediana = "&amp;H1237&amp;" WHERE cot_id = "&amp;A1237&amp;";"</f>
        <v>UPDATE COTACAO SET cot_id = 1236, cot_blt_id = 69, cot_pap_id = 4, cot_prc_comum = 18, cot_prc_min = 15, cot_prc_max = 24, cot_prc_med = 19, cot_prc_mediana = 18 WHERE cot_id = 1236;</v>
      </c>
    </row>
    <row r="1238" customFormat="false" ht="14.25" hidden="false" customHeight="false" outlineLevel="0" collapsed="false">
      <c r="A1238" s="0" t="n">
        <v>1237</v>
      </c>
      <c r="B1238" s="0" t="n">
        <f aca="false">IF('Boletins Nuppa Site'!A1238&lt;&gt;0,'Boletins Nuppa Site'!A1238,"NULL")</f>
        <v>69</v>
      </c>
      <c r="C1238" s="0" t="n">
        <v>5</v>
      </c>
      <c r="D1238" s="30" t="n">
        <f aca="false">IF('Boletins Nuppa Site'!G1238&lt;&gt;0,'Boletins Nuppa Site'!G1238,"NULL")</f>
        <v>24</v>
      </c>
      <c r="E1238" s="30" t="n">
        <f aca="false">IF('Boletins Nuppa Site'!H1238&lt;&gt;0,'Boletins Nuppa Site'!H1238,"NULL")</f>
        <v>15</v>
      </c>
      <c r="F1238" s="30" t="n">
        <f aca="false">IF('Boletins Nuppa Site'!I1238&lt;&gt;0,'Boletins Nuppa Site'!I1238,"NULL")</f>
        <v>24</v>
      </c>
      <c r="G1238" s="0" t="str">
        <f aca="false">IF('Boletins Nuppa Site'!J1238&lt;&gt;0,'Boletins Nuppa Site'!J1238,"NULL")</f>
        <v>20.4</v>
      </c>
      <c r="H1238" s="30" t="n">
        <f aca="false">IF('Boletins Nuppa Site'!K1238&lt;&gt;0,'Boletins Nuppa Site'!K1238,"NULL")</f>
        <v>24</v>
      </c>
      <c r="I1238" s="0" t="str">
        <f aca="false">"INSERT INTO COTACAO (cot_id, cot_blt_id, cot_pap_id, cot_prc_comum, cot_prc_min, cot_prc_max, cot_prc_med, cot_prc_mediana) VALUES ("&amp;A1238&amp;", "&amp;B1238&amp;", "&amp;C1238&amp;", "&amp;D1238&amp;", "&amp;E1238&amp;", "&amp;F1238&amp;", "&amp;G1238&amp;", "&amp;H1238&amp;");"</f>
        <v>INSERT INTO COTACAO (cot_id, cot_blt_id, cot_pap_id, cot_prc_comum, cot_prc_min, cot_prc_max, cot_prc_med, cot_prc_mediana) VALUES (1237, 69, 5, 24, 15, 24, 20.4, 24);</v>
      </c>
      <c r="J1238" s="0" t="str">
        <f aca="false">"UPDATE COTACAO SET cot_id = "&amp;A1238&amp;", cot_blt_id = "&amp;B1238&amp;", cot_pap_id = "&amp;C1238&amp;", cot_prc_comum = "&amp;D1238&amp;", cot_prc_min = "&amp;E1238&amp;", cot_prc_max = "&amp;F1238&amp;", cot_prc_med = "&amp;G1238&amp;", cot_prc_mediana = "&amp;H1238&amp;" WHERE cot_id = "&amp;A1238&amp;";"</f>
        <v>UPDATE COTACAO SET cot_id = 1237, cot_blt_id = 69, cot_pap_id = 5, cot_prc_comum = 24, cot_prc_min = 15, cot_prc_max = 24, cot_prc_med = 20.4, cot_prc_mediana = 24 WHERE cot_id = 1237;</v>
      </c>
    </row>
    <row r="1239" customFormat="false" ht="14.25" hidden="false" customHeight="false" outlineLevel="0" collapsed="false">
      <c r="A1239" s="0" t="n">
        <v>1238</v>
      </c>
      <c r="B1239" s="0" t="n">
        <f aca="false">IF('Boletins Nuppa Site'!A1239&lt;&gt;0,'Boletins Nuppa Site'!A1239,"NULL")</f>
        <v>69</v>
      </c>
      <c r="C1239" s="0" t="n">
        <v>6</v>
      </c>
      <c r="D1239" s="30" t="n">
        <f aca="false">IF('Boletins Nuppa Site'!G1239&lt;&gt;0,'Boletins Nuppa Site'!G1239,"NULL")</f>
        <v>60</v>
      </c>
      <c r="E1239" s="30" t="n">
        <f aca="false">IF('Boletins Nuppa Site'!H1239&lt;&gt;0,'Boletins Nuppa Site'!H1239,"NULL")</f>
        <v>5</v>
      </c>
      <c r="F1239" s="30" t="n">
        <f aca="false">IF('Boletins Nuppa Site'!I1239&lt;&gt;0,'Boletins Nuppa Site'!I1239,"NULL")</f>
        <v>60</v>
      </c>
      <c r="G1239" s="0" t="str">
        <f aca="false">IF('Boletins Nuppa Site'!J1239&lt;&gt;0,'Boletins Nuppa Site'!J1239,"NULL")</f>
        <v>46.6</v>
      </c>
      <c r="H1239" s="30" t="n">
        <f aca="false">IF('Boletins Nuppa Site'!K1239&lt;&gt;0,'Boletins Nuppa Site'!K1239,"NULL")</f>
        <v>60</v>
      </c>
      <c r="I1239" s="0" t="str">
        <f aca="false">"INSERT INTO COTACAO (cot_id, cot_blt_id, cot_pap_id, cot_prc_comum, cot_prc_min, cot_prc_max, cot_prc_med, cot_prc_mediana) VALUES ("&amp;A1239&amp;", "&amp;B1239&amp;", "&amp;C1239&amp;", "&amp;D1239&amp;", "&amp;E1239&amp;", "&amp;F1239&amp;", "&amp;G1239&amp;", "&amp;H1239&amp;");"</f>
        <v>INSERT INTO COTACAO (cot_id, cot_blt_id, cot_pap_id, cot_prc_comum, cot_prc_min, cot_prc_max, cot_prc_med, cot_prc_mediana) VALUES (1238, 69, 6, 60, 5, 60, 46.6, 60);</v>
      </c>
      <c r="J1239" s="0" t="str">
        <f aca="false">"UPDATE COTACAO SET cot_id = "&amp;A1239&amp;", cot_blt_id = "&amp;B1239&amp;", cot_pap_id = "&amp;C1239&amp;", cot_prc_comum = "&amp;D1239&amp;", cot_prc_min = "&amp;E1239&amp;", cot_prc_max = "&amp;F1239&amp;", cot_prc_med = "&amp;G1239&amp;", cot_prc_mediana = "&amp;H1239&amp;" WHERE cot_id = "&amp;A1239&amp;";"</f>
        <v>UPDATE COTACAO SET cot_id = 1238, cot_blt_id = 69, cot_pap_id = 6, cot_prc_comum = 60, cot_prc_min = 5, cot_prc_max = 60, cot_prc_med = 46.6, cot_prc_mediana = 60 WHERE cot_id = 1238;</v>
      </c>
    </row>
    <row r="1240" customFormat="false" ht="14.25" hidden="false" customHeight="false" outlineLevel="0" collapsed="false">
      <c r="A1240" s="0" t="n">
        <v>1239</v>
      </c>
      <c r="B1240" s="0" t="n">
        <f aca="false">IF('Boletins Nuppa Site'!A1240&lt;&gt;0,'Boletins Nuppa Site'!A1240,"NULL")</f>
        <v>69</v>
      </c>
      <c r="C1240" s="0" t="n">
        <v>7</v>
      </c>
      <c r="D1240" s="0" t="str">
        <f aca="false">IF('Boletins Nuppa Site'!G1240&lt;&gt;0,'Boletins Nuppa Site'!G1240,"NULL")</f>
        <v>NULL</v>
      </c>
      <c r="E1240" s="30" t="n">
        <f aca="false">IF('Boletins Nuppa Site'!H1240&lt;&gt;0,'Boletins Nuppa Site'!H1240,"NULL")</f>
        <v>6</v>
      </c>
      <c r="F1240" s="30" t="n">
        <f aca="false">IF('Boletins Nuppa Site'!I1240&lt;&gt;0,'Boletins Nuppa Site'!I1240,"NULL")</f>
        <v>60</v>
      </c>
      <c r="G1240" s="30" t="n">
        <f aca="false">IF('Boletins Nuppa Site'!J1240&lt;&gt;0,'Boletins Nuppa Site'!J1240,"NULL")</f>
        <v>42</v>
      </c>
      <c r="H1240" s="30" t="n">
        <f aca="false">IF('Boletins Nuppa Site'!K1240&lt;&gt;0,'Boletins Nuppa Site'!K1240,"NULL")</f>
        <v>48</v>
      </c>
      <c r="I1240" s="0" t="str">
        <f aca="false">"INSERT INTO COTACAO (cot_id, cot_blt_id, cot_pap_id, cot_prc_comum, cot_prc_min, cot_prc_max, cot_prc_med, cot_prc_mediana) VALUES ("&amp;A1240&amp;", "&amp;B1240&amp;", "&amp;C1240&amp;", "&amp;D1240&amp;", "&amp;E1240&amp;", "&amp;F1240&amp;", "&amp;G1240&amp;", "&amp;H1240&amp;");"</f>
        <v>INSERT INTO COTACAO (cot_id, cot_blt_id, cot_pap_id, cot_prc_comum, cot_prc_min, cot_prc_max, cot_prc_med, cot_prc_mediana) VALUES (1239, 69, 7, NULL, 6, 60, 42, 48);</v>
      </c>
      <c r="J1240" s="0" t="str">
        <f aca="false">"UPDATE COTACAO SET cot_id = "&amp;A1240&amp;", cot_blt_id = "&amp;B1240&amp;", cot_pap_id = "&amp;C1240&amp;", cot_prc_comum = "&amp;D1240&amp;", cot_prc_min = "&amp;E1240&amp;", cot_prc_max = "&amp;F1240&amp;", cot_prc_med = "&amp;G1240&amp;", cot_prc_mediana = "&amp;H1240&amp;" WHERE cot_id = "&amp;A1240&amp;";"</f>
        <v>UPDATE COTACAO SET cot_id = 1239, cot_blt_id = 69, cot_pap_id = 7, cot_prc_comum = NULL, cot_prc_min = 6, cot_prc_max = 60, cot_prc_med = 42, cot_prc_mediana = 48 WHERE cot_id = 1239;</v>
      </c>
    </row>
    <row r="1241" customFormat="false" ht="14.25" hidden="false" customHeight="false" outlineLevel="0" collapsed="false">
      <c r="A1241" s="0" t="n">
        <v>1240</v>
      </c>
      <c r="B1241" s="0" t="n">
        <f aca="false">IF('Boletins Nuppa Site'!A1241&lt;&gt;0,'Boletins Nuppa Site'!A1241,"NULL")</f>
        <v>69</v>
      </c>
      <c r="C1241" s="0" t="n">
        <v>8</v>
      </c>
      <c r="D1241" s="30" t="n">
        <f aca="false">IF('Boletins Nuppa Site'!G1241&lt;&gt;0,'Boletins Nuppa Site'!G1241,"NULL")</f>
        <v>72</v>
      </c>
      <c r="E1241" s="30" t="n">
        <f aca="false">IF('Boletins Nuppa Site'!H1241&lt;&gt;0,'Boletins Nuppa Site'!H1241,"NULL")</f>
        <v>7</v>
      </c>
      <c r="F1241" s="30" t="n">
        <f aca="false">IF('Boletins Nuppa Site'!I1241&lt;&gt;0,'Boletins Nuppa Site'!I1241,"NULL")</f>
        <v>96</v>
      </c>
      <c r="G1241" s="0" t="str">
        <f aca="false">IF('Boletins Nuppa Site'!J1241&lt;&gt;0,'Boletins Nuppa Site'!J1241,"NULL")</f>
        <v>61.17</v>
      </c>
      <c r="H1241" s="30" t="n">
        <f aca="false">IF('Boletins Nuppa Site'!K1241&lt;&gt;0,'Boletins Nuppa Site'!K1241,"NULL")</f>
        <v>66</v>
      </c>
      <c r="I1241" s="0" t="str">
        <f aca="false">"INSERT INTO COTACAO (cot_id, cot_blt_id, cot_pap_id, cot_prc_comum, cot_prc_min, cot_prc_max, cot_prc_med, cot_prc_mediana) VALUES ("&amp;A1241&amp;", "&amp;B1241&amp;", "&amp;C1241&amp;", "&amp;D1241&amp;", "&amp;E1241&amp;", "&amp;F1241&amp;", "&amp;G1241&amp;", "&amp;H1241&amp;");"</f>
        <v>INSERT INTO COTACAO (cot_id, cot_blt_id, cot_pap_id, cot_prc_comum, cot_prc_min, cot_prc_max, cot_prc_med, cot_prc_mediana) VALUES (1240, 69, 8, 72, 7, 96, 61.17, 66);</v>
      </c>
      <c r="J1241" s="0" t="str">
        <f aca="false">"UPDATE COTACAO SET cot_id = "&amp;A1241&amp;", cot_blt_id = "&amp;B1241&amp;", cot_pap_id = "&amp;C1241&amp;", cot_prc_comum = "&amp;D1241&amp;", cot_prc_min = "&amp;E1241&amp;", cot_prc_max = "&amp;F1241&amp;", cot_prc_med = "&amp;G1241&amp;", cot_prc_mediana = "&amp;H1241&amp;" WHERE cot_id = "&amp;A1241&amp;";"</f>
        <v>UPDATE COTACAO SET cot_id = 1240, cot_blt_id = 69, cot_pap_id = 8, cot_prc_comum = 72, cot_prc_min = 7, cot_prc_max = 96, cot_prc_med = 61.17, cot_prc_mediana = 66 WHERE cot_id = 1240;</v>
      </c>
    </row>
    <row r="1242" customFormat="false" ht="14.25" hidden="false" customHeight="false" outlineLevel="0" collapsed="false">
      <c r="A1242" s="0" t="n">
        <v>1241</v>
      </c>
      <c r="B1242" s="0" t="n">
        <f aca="false">IF('Boletins Nuppa Site'!A1242&lt;&gt;0,'Boletins Nuppa Site'!A1242,"NULL")</f>
        <v>69</v>
      </c>
      <c r="C1242" s="0" t="n">
        <v>9</v>
      </c>
      <c r="D1242" s="30" t="n">
        <f aca="false">IF('Boletins Nuppa Site'!G1242&lt;&gt;0,'Boletins Nuppa Site'!G1242,"NULL")</f>
        <v>24</v>
      </c>
      <c r="E1242" s="30" t="n">
        <f aca="false">IF('Boletins Nuppa Site'!H1242&lt;&gt;0,'Boletins Nuppa Site'!H1242,"NULL")</f>
        <v>2</v>
      </c>
      <c r="F1242" s="30" t="n">
        <f aca="false">IF('Boletins Nuppa Site'!I1242&lt;&gt;0,'Boletins Nuppa Site'!I1242,"NULL")</f>
        <v>24</v>
      </c>
      <c r="G1242" s="0" t="str">
        <f aca="false">IF('Boletins Nuppa Site'!J1242&lt;&gt;0,'Boletins Nuppa Site'!J1242,"NULL")</f>
        <v>18.33</v>
      </c>
      <c r="H1242" s="30" t="n">
        <f aca="false">IF('Boletins Nuppa Site'!K1242&lt;&gt;0,'Boletins Nuppa Site'!K1242,"NULL")</f>
        <v>21</v>
      </c>
      <c r="I1242" s="0" t="str">
        <f aca="false">"INSERT INTO COTACAO (cot_id, cot_blt_id, cot_pap_id, cot_prc_comum, cot_prc_min, cot_prc_max, cot_prc_med, cot_prc_mediana) VALUES ("&amp;A1242&amp;", "&amp;B1242&amp;", "&amp;C1242&amp;", "&amp;D1242&amp;", "&amp;E1242&amp;", "&amp;F1242&amp;", "&amp;G1242&amp;", "&amp;H1242&amp;");"</f>
        <v>INSERT INTO COTACAO (cot_id, cot_blt_id, cot_pap_id, cot_prc_comum, cot_prc_min, cot_prc_max, cot_prc_med, cot_prc_mediana) VALUES (1241, 69, 9, 24, 2, 24, 18.33, 21);</v>
      </c>
      <c r="J1242" s="0" t="str">
        <f aca="false">"UPDATE COTACAO SET cot_id = "&amp;A1242&amp;", cot_blt_id = "&amp;B1242&amp;", cot_pap_id = "&amp;C1242&amp;", cot_prc_comum = "&amp;D1242&amp;", cot_prc_min = "&amp;E1242&amp;", cot_prc_max = "&amp;F1242&amp;", cot_prc_med = "&amp;G1242&amp;", cot_prc_mediana = "&amp;H1242&amp;" WHERE cot_id = "&amp;A1242&amp;";"</f>
        <v>UPDATE COTACAO SET cot_id = 1241, cot_blt_id = 69, cot_pap_id = 9, cot_prc_comum = 24, cot_prc_min = 2, cot_prc_max = 24, cot_prc_med = 18.33, cot_prc_mediana = 21 WHERE cot_id = 1241;</v>
      </c>
    </row>
    <row r="1243" customFormat="false" ht="14.25" hidden="false" customHeight="false" outlineLevel="0" collapsed="false">
      <c r="A1243" s="0" t="n">
        <v>1242</v>
      </c>
      <c r="B1243" s="0" t="n">
        <f aca="false">IF('Boletins Nuppa Site'!A1243&lt;&gt;0,'Boletins Nuppa Site'!A1243,"NULL")</f>
        <v>69</v>
      </c>
      <c r="C1243" s="0" t="n">
        <v>10</v>
      </c>
      <c r="D1243" s="30" t="n">
        <f aca="false">IF('Boletins Nuppa Site'!G1243&lt;&gt;0,'Boletins Nuppa Site'!G1243,"NULL")</f>
        <v>60</v>
      </c>
      <c r="E1243" s="30" t="n">
        <f aca="false">IF('Boletins Nuppa Site'!H1243&lt;&gt;0,'Boletins Nuppa Site'!H1243,"NULL")</f>
        <v>15</v>
      </c>
      <c r="F1243" s="30" t="n">
        <f aca="false">IF('Boletins Nuppa Site'!I1243&lt;&gt;0,'Boletins Nuppa Site'!I1243,"NULL")</f>
        <v>60</v>
      </c>
      <c r="G1243" s="0" t="str">
        <f aca="false">IF('Boletins Nuppa Site'!J1243&lt;&gt;0,'Boletins Nuppa Site'!J1243,"NULL")</f>
        <v>41.4</v>
      </c>
      <c r="H1243" s="30" t="n">
        <f aca="false">IF('Boletins Nuppa Site'!K1243&lt;&gt;0,'Boletins Nuppa Site'!K1243,"NULL")</f>
        <v>48</v>
      </c>
      <c r="I1243" s="0" t="str">
        <f aca="false">"INSERT INTO COTACAO (cot_id, cot_blt_id, cot_pap_id, cot_prc_comum, cot_prc_min, cot_prc_max, cot_prc_med, cot_prc_mediana) VALUES ("&amp;A1243&amp;", "&amp;B1243&amp;", "&amp;C1243&amp;", "&amp;D1243&amp;", "&amp;E1243&amp;", "&amp;F1243&amp;", "&amp;G1243&amp;", "&amp;H1243&amp;");"</f>
        <v>INSERT INTO COTACAO (cot_id, cot_blt_id, cot_pap_id, cot_prc_comum, cot_prc_min, cot_prc_max, cot_prc_med, cot_prc_mediana) VALUES (1242, 69, 10, 60, 15, 60, 41.4, 48);</v>
      </c>
      <c r="J1243" s="0" t="str">
        <f aca="false">"UPDATE COTACAO SET cot_id = "&amp;A1243&amp;", cot_blt_id = "&amp;B1243&amp;", cot_pap_id = "&amp;C1243&amp;", cot_prc_comum = "&amp;D1243&amp;", cot_prc_min = "&amp;E1243&amp;", cot_prc_max = "&amp;F1243&amp;", cot_prc_med = "&amp;G1243&amp;", cot_prc_mediana = "&amp;H1243&amp;" WHERE cot_id = "&amp;A1243&amp;";"</f>
        <v>UPDATE COTACAO SET cot_id = 1242, cot_blt_id = 69, cot_pap_id = 10, cot_prc_comum = 60, cot_prc_min = 15, cot_prc_max = 60, cot_prc_med = 41.4, cot_prc_mediana = 48 WHERE cot_id = 1242;</v>
      </c>
    </row>
    <row r="1244" customFormat="false" ht="14.25" hidden="false" customHeight="false" outlineLevel="0" collapsed="false">
      <c r="A1244" s="0" t="n">
        <v>1243</v>
      </c>
      <c r="B1244" s="0" t="n">
        <f aca="false">IF('Boletins Nuppa Site'!A1244&lt;&gt;0,'Boletins Nuppa Site'!A1244,"NULL")</f>
        <v>69</v>
      </c>
      <c r="C1244" s="0" t="n">
        <v>11</v>
      </c>
      <c r="D1244" s="30" t="n">
        <f aca="false">IF('Boletins Nuppa Site'!G1244&lt;&gt;0,'Boletins Nuppa Site'!G1244,"NULL")</f>
        <v>24</v>
      </c>
      <c r="E1244" s="30" t="n">
        <f aca="false">IF('Boletins Nuppa Site'!H1244&lt;&gt;0,'Boletins Nuppa Site'!H1244,"NULL")</f>
        <v>6</v>
      </c>
      <c r="F1244" s="30" t="n">
        <f aca="false">IF('Boletins Nuppa Site'!I1244&lt;&gt;0,'Boletins Nuppa Site'!I1244,"NULL")</f>
        <v>60</v>
      </c>
      <c r="G1244" s="30" t="n">
        <f aca="false">IF('Boletins Nuppa Site'!J1244&lt;&gt;0,'Boletins Nuppa Site'!J1244,"NULL")</f>
        <v>27</v>
      </c>
      <c r="H1244" s="30" t="n">
        <f aca="false">IF('Boletins Nuppa Site'!K1244&lt;&gt;0,'Boletins Nuppa Site'!K1244,"NULL")</f>
        <v>24</v>
      </c>
      <c r="I1244" s="0" t="str">
        <f aca="false">"INSERT INTO COTACAO (cot_id, cot_blt_id, cot_pap_id, cot_prc_comum, cot_prc_min, cot_prc_max, cot_prc_med, cot_prc_mediana) VALUES ("&amp;A1244&amp;", "&amp;B1244&amp;", "&amp;C1244&amp;", "&amp;D1244&amp;", "&amp;E1244&amp;", "&amp;F1244&amp;", "&amp;G1244&amp;", "&amp;H1244&amp;");"</f>
        <v>INSERT INTO COTACAO (cot_id, cot_blt_id, cot_pap_id, cot_prc_comum, cot_prc_min, cot_prc_max, cot_prc_med, cot_prc_mediana) VALUES (1243, 69, 11, 24, 6, 60, 27, 24);</v>
      </c>
      <c r="J1244" s="0" t="str">
        <f aca="false">"UPDATE COTACAO SET cot_id = "&amp;A1244&amp;", cot_blt_id = "&amp;B1244&amp;", cot_pap_id = "&amp;C1244&amp;", cot_prc_comum = "&amp;D1244&amp;", cot_prc_min = "&amp;E1244&amp;", cot_prc_max = "&amp;F1244&amp;", cot_prc_med = "&amp;G1244&amp;", cot_prc_mediana = "&amp;H1244&amp;" WHERE cot_id = "&amp;A1244&amp;";"</f>
        <v>UPDATE COTACAO SET cot_id = 1243, cot_blt_id = 69, cot_pap_id = 11, cot_prc_comum = 24, cot_prc_min = 6, cot_prc_max = 60, cot_prc_med = 27, cot_prc_mediana = 24 WHERE cot_id = 1243;</v>
      </c>
    </row>
    <row r="1245" customFormat="false" ht="14.25" hidden="false" customHeight="false" outlineLevel="0" collapsed="false">
      <c r="A1245" s="0" t="n">
        <v>1244</v>
      </c>
      <c r="B1245" s="0" t="n">
        <f aca="false">IF('Boletins Nuppa Site'!A1245&lt;&gt;0,'Boletins Nuppa Site'!A1245,"NULL")</f>
        <v>69</v>
      </c>
      <c r="C1245" s="0" t="n">
        <v>12</v>
      </c>
      <c r="D1245" s="30" t="n">
        <f aca="false">IF('Boletins Nuppa Site'!G1245&lt;&gt;0,'Boletins Nuppa Site'!G1245,"NULL")</f>
        <v>48</v>
      </c>
      <c r="E1245" s="30" t="n">
        <f aca="false">IF('Boletins Nuppa Site'!H1245&lt;&gt;0,'Boletins Nuppa Site'!H1245,"NULL")</f>
        <v>5</v>
      </c>
      <c r="F1245" s="30" t="n">
        <f aca="false">IF('Boletins Nuppa Site'!I1245&lt;&gt;0,'Boletins Nuppa Site'!I1245,"NULL")</f>
        <v>60</v>
      </c>
      <c r="G1245" s="0" t="str">
        <f aca="false">IF('Boletins Nuppa Site'!J1245&lt;&gt;0,'Boletins Nuppa Site'!J1245,"NULL")</f>
        <v>44.2</v>
      </c>
      <c r="H1245" s="30" t="n">
        <f aca="false">IF('Boletins Nuppa Site'!K1245&lt;&gt;0,'Boletins Nuppa Site'!K1245,"NULL")</f>
        <v>48</v>
      </c>
      <c r="I1245" s="0" t="str">
        <f aca="false">"INSERT INTO COTACAO (cot_id, cot_blt_id, cot_pap_id, cot_prc_comum, cot_prc_min, cot_prc_max, cot_prc_med, cot_prc_mediana) VALUES ("&amp;A1245&amp;", "&amp;B1245&amp;", "&amp;C1245&amp;", "&amp;D1245&amp;", "&amp;E1245&amp;", "&amp;F1245&amp;", "&amp;G1245&amp;", "&amp;H1245&amp;");"</f>
        <v>INSERT INTO COTACAO (cot_id, cot_blt_id, cot_pap_id, cot_prc_comum, cot_prc_min, cot_prc_max, cot_prc_med, cot_prc_mediana) VALUES (1244, 69, 12, 48, 5, 60, 44.2, 48);</v>
      </c>
      <c r="J1245" s="0" t="str">
        <f aca="false">"UPDATE COTACAO SET cot_id = "&amp;A1245&amp;", cot_blt_id = "&amp;B1245&amp;", cot_pap_id = "&amp;C1245&amp;", cot_prc_comum = "&amp;D1245&amp;", cot_prc_min = "&amp;E1245&amp;", cot_prc_max = "&amp;F1245&amp;", cot_prc_med = "&amp;G1245&amp;", cot_prc_mediana = "&amp;H1245&amp;" WHERE cot_id = "&amp;A1245&amp;";"</f>
        <v>UPDATE COTACAO SET cot_id = 1244, cot_blt_id = 69, cot_pap_id = 12, cot_prc_comum = 48, cot_prc_min = 5, cot_prc_max = 60, cot_prc_med = 44.2, cot_prc_mediana = 48 WHERE cot_id = 1244;</v>
      </c>
    </row>
    <row r="1246" customFormat="false" ht="14.25" hidden="false" customHeight="false" outlineLevel="0" collapsed="false">
      <c r="A1246" s="0" t="n">
        <v>1245</v>
      </c>
      <c r="B1246" s="0" t="n">
        <f aca="false">IF('Boletins Nuppa Site'!A1246&lt;&gt;0,'Boletins Nuppa Site'!A1246,"NULL")</f>
        <v>69</v>
      </c>
      <c r="C1246" s="0" t="n">
        <v>13</v>
      </c>
      <c r="D1246" s="30" t="n">
        <f aca="false">IF('Boletins Nuppa Site'!G1246&lt;&gt;0,'Boletins Nuppa Site'!G1246,"NULL")</f>
        <v>48</v>
      </c>
      <c r="E1246" s="30" t="n">
        <f aca="false">IF('Boletins Nuppa Site'!H1246&lt;&gt;0,'Boletins Nuppa Site'!H1246,"NULL")</f>
        <v>7</v>
      </c>
      <c r="F1246" s="30" t="n">
        <f aca="false">IF('Boletins Nuppa Site'!I1246&lt;&gt;0,'Boletins Nuppa Site'!I1246,"NULL")</f>
        <v>60</v>
      </c>
      <c r="G1246" s="0" t="str">
        <f aca="false">IF('Boletins Nuppa Site'!J1246&lt;&gt;0,'Boletins Nuppa Site'!J1246,"NULL")</f>
        <v>42.2</v>
      </c>
      <c r="H1246" s="30" t="n">
        <f aca="false">IF('Boletins Nuppa Site'!K1246&lt;&gt;0,'Boletins Nuppa Site'!K1246,"NULL")</f>
        <v>48</v>
      </c>
      <c r="I1246" s="0" t="str">
        <f aca="false">"INSERT INTO COTACAO (cot_id, cot_blt_id, cot_pap_id, cot_prc_comum, cot_prc_min, cot_prc_max, cot_prc_med, cot_prc_mediana) VALUES ("&amp;A1246&amp;", "&amp;B1246&amp;", "&amp;C1246&amp;", "&amp;D1246&amp;", "&amp;E1246&amp;", "&amp;F1246&amp;", "&amp;G1246&amp;", "&amp;H1246&amp;");"</f>
        <v>INSERT INTO COTACAO (cot_id, cot_blt_id, cot_pap_id, cot_prc_comum, cot_prc_min, cot_prc_max, cot_prc_med, cot_prc_mediana) VALUES (1245, 69, 13, 48, 7, 60, 42.2, 48);</v>
      </c>
      <c r="J1246" s="0" t="str">
        <f aca="false">"UPDATE COTACAO SET cot_id = "&amp;A1246&amp;", cot_blt_id = "&amp;B1246&amp;", cot_pap_id = "&amp;C1246&amp;", cot_prc_comum = "&amp;D1246&amp;", cot_prc_min = "&amp;E1246&amp;", cot_prc_max = "&amp;F1246&amp;", cot_prc_med = "&amp;G1246&amp;", cot_prc_mediana = "&amp;H1246&amp;" WHERE cot_id = "&amp;A1246&amp;";"</f>
        <v>UPDATE COTACAO SET cot_id = 1245, cot_blt_id = 69, cot_pap_id = 13, cot_prc_comum = 48, cot_prc_min = 7, cot_prc_max = 60, cot_prc_med = 42.2, cot_prc_mediana = 48 WHERE cot_id = 1245;</v>
      </c>
    </row>
    <row r="1247" customFormat="false" ht="14.25" hidden="false" customHeight="false" outlineLevel="0" collapsed="false">
      <c r="A1247" s="0" t="n">
        <v>1246</v>
      </c>
      <c r="B1247" s="0" t="n">
        <f aca="false">IF('Boletins Nuppa Site'!A1247&lt;&gt;0,'Boletins Nuppa Site'!A1247,"NULL")</f>
        <v>69</v>
      </c>
      <c r="C1247" s="0" t="n">
        <v>14</v>
      </c>
      <c r="D1247" s="30" t="n">
        <f aca="false">IF('Boletins Nuppa Site'!G1247&lt;&gt;0,'Boletins Nuppa Site'!G1247,"NULL")</f>
        <v>48</v>
      </c>
      <c r="E1247" s="30" t="n">
        <f aca="false">IF('Boletins Nuppa Site'!H1247&lt;&gt;0,'Boletins Nuppa Site'!H1247,"NULL")</f>
        <v>20</v>
      </c>
      <c r="F1247" s="30" t="n">
        <f aca="false">IF('Boletins Nuppa Site'!I1247&lt;&gt;0,'Boletins Nuppa Site'!I1247,"NULL")</f>
        <v>60</v>
      </c>
      <c r="G1247" s="0" t="str">
        <f aca="false">IF('Boletins Nuppa Site'!J1247&lt;&gt;0,'Boletins Nuppa Site'!J1247,"NULL")</f>
        <v>42.4</v>
      </c>
      <c r="H1247" s="30" t="n">
        <f aca="false">IF('Boletins Nuppa Site'!K1247&lt;&gt;0,'Boletins Nuppa Site'!K1247,"NULL")</f>
        <v>48</v>
      </c>
      <c r="I1247" s="0" t="str">
        <f aca="false">"INSERT INTO COTACAO (cot_id, cot_blt_id, cot_pap_id, cot_prc_comum, cot_prc_min, cot_prc_max, cot_prc_med, cot_prc_mediana) VALUES ("&amp;A1247&amp;", "&amp;B1247&amp;", "&amp;C1247&amp;", "&amp;D1247&amp;", "&amp;E1247&amp;", "&amp;F1247&amp;", "&amp;G1247&amp;", "&amp;H1247&amp;");"</f>
        <v>INSERT INTO COTACAO (cot_id, cot_blt_id, cot_pap_id, cot_prc_comum, cot_prc_min, cot_prc_max, cot_prc_med, cot_prc_mediana) VALUES (1246, 69, 14, 48, 20, 60, 42.4, 48);</v>
      </c>
      <c r="J1247" s="0" t="str">
        <f aca="false">"UPDATE COTACAO SET cot_id = "&amp;A1247&amp;", cot_blt_id = "&amp;B1247&amp;", cot_pap_id = "&amp;C1247&amp;", cot_prc_comum = "&amp;D1247&amp;", cot_prc_min = "&amp;E1247&amp;", cot_prc_max = "&amp;F1247&amp;", cot_prc_med = "&amp;G1247&amp;", cot_prc_mediana = "&amp;H1247&amp;" WHERE cot_id = "&amp;A1247&amp;";"</f>
        <v>UPDATE COTACAO SET cot_id = 1246, cot_blt_id = 69, cot_pap_id = 14, cot_prc_comum = 48, cot_prc_min = 20, cot_prc_max = 60, cot_prc_med = 42.4, cot_prc_mediana = 48 WHERE cot_id = 1246;</v>
      </c>
    </row>
    <row r="1248" customFormat="false" ht="14.25" hidden="false" customHeight="false" outlineLevel="0" collapsed="false">
      <c r="A1248" s="0" t="n">
        <v>1247</v>
      </c>
      <c r="B1248" s="0" t="n">
        <f aca="false">IF('Boletins Nuppa Site'!A1248&lt;&gt;0,'Boletins Nuppa Site'!A1248,"NULL")</f>
        <v>69</v>
      </c>
      <c r="C1248" s="0" t="n">
        <v>15</v>
      </c>
      <c r="D1248" s="30" t="n">
        <f aca="false">IF('Boletins Nuppa Site'!G1248&lt;&gt;0,'Boletins Nuppa Site'!G1248,"NULL")</f>
        <v>36</v>
      </c>
      <c r="E1248" s="30" t="n">
        <f aca="false">IF('Boletins Nuppa Site'!H1248&lt;&gt;0,'Boletins Nuppa Site'!H1248,"NULL")</f>
        <v>4</v>
      </c>
      <c r="F1248" s="30" t="n">
        <f aca="false">IF('Boletins Nuppa Site'!I1248&lt;&gt;0,'Boletins Nuppa Site'!I1248,"NULL")</f>
        <v>50</v>
      </c>
      <c r="G1248" s="30" t="n">
        <f aca="false">IF('Boletins Nuppa Site'!J1248&lt;&gt;0,'Boletins Nuppa Site'!J1248,"NULL")</f>
        <v>33</v>
      </c>
      <c r="H1248" s="30" t="n">
        <f aca="false">IF('Boletins Nuppa Site'!K1248&lt;&gt;0,'Boletins Nuppa Site'!K1248,"NULL")</f>
        <v>36</v>
      </c>
      <c r="I1248" s="0" t="str">
        <f aca="false">"INSERT INTO COTACAO (cot_id, cot_blt_id, cot_pap_id, cot_prc_comum, cot_prc_min, cot_prc_max, cot_prc_med, cot_prc_mediana) VALUES ("&amp;A1248&amp;", "&amp;B1248&amp;", "&amp;C1248&amp;", "&amp;D1248&amp;", "&amp;E1248&amp;", "&amp;F1248&amp;", "&amp;G1248&amp;", "&amp;H1248&amp;");"</f>
        <v>INSERT INTO COTACAO (cot_id, cot_blt_id, cot_pap_id, cot_prc_comum, cot_prc_min, cot_prc_max, cot_prc_med, cot_prc_mediana) VALUES (1247, 69, 15, 36, 4, 50, 33, 36);</v>
      </c>
      <c r="J1248" s="0" t="str">
        <f aca="false">"UPDATE COTACAO SET cot_id = "&amp;A1248&amp;", cot_blt_id = "&amp;B1248&amp;", cot_pap_id = "&amp;C1248&amp;", cot_prc_comum = "&amp;D1248&amp;", cot_prc_min = "&amp;E1248&amp;", cot_prc_max = "&amp;F1248&amp;", cot_prc_med = "&amp;G1248&amp;", cot_prc_mediana = "&amp;H1248&amp;" WHERE cot_id = "&amp;A1248&amp;";"</f>
        <v>UPDATE COTACAO SET cot_id = 1247, cot_blt_id = 69, cot_pap_id = 15, cot_prc_comum = 36, cot_prc_min = 4, cot_prc_max = 50, cot_prc_med = 33, cot_prc_mediana = 36 WHERE cot_id = 1247;</v>
      </c>
    </row>
    <row r="1249" customFormat="false" ht="14.25" hidden="false" customHeight="false" outlineLevel="0" collapsed="false">
      <c r="A1249" s="0" t="n">
        <v>1248</v>
      </c>
      <c r="B1249" s="0" t="n">
        <f aca="false">IF('Boletins Nuppa Site'!A1249&lt;&gt;0,'Boletins Nuppa Site'!A1249,"NULL")</f>
        <v>69</v>
      </c>
      <c r="C1249" s="0" t="n">
        <v>16</v>
      </c>
      <c r="D1249" s="30" t="n">
        <f aca="false">IF('Boletins Nuppa Site'!G1249&lt;&gt;0,'Boletins Nuppa Site'!G1249,"NULL")</f>
        <v>48</v>
      </c>
      <c r="E1249" s="0" t="str">
        <f aca="false">IF('Boletins Nuppa Site'!H1249&lt;&gt;0,'Boletins Nuppa Site'!H1249,"NULL")</f>
        <v>4.5</v>
      </c>
      <c r="F1249" s="30" t="n">
        <f aca="false">IF('Boletins Nuppa Site'!I1249&lt;&gt;0,'Boletins Nuppa Site'!I1249,"NULL")</f>
        <v>60</v>
      </c>
      <c r="G1249" s="0" t="str">
        <f aca="false">IF('Boletins Nuppa Site'!J1249&lt;&gt;0,'Boletins Nuppa Site'!J1249,"NULL")</f>
        <v>42.75</v>
      </c>
      <c r="H1249" s="30" t="n">
        <f aca="false">IF('Boletins Nuppa Site'!K1249&lt;&gt;0,'Boletins Nuppa Site'!K1249,"NULL")</f>
        <v>48</v>
      </c>
      <c r="I1249" s="0" t="str">
        <f aca="false">"INSERT INTO COTACAO (cot_id, cot_blt_id, cot_pap_id, cot_prc_comum, cot_prc_min, cot_prc_max, cot_prc_med, cot_prc_mediana) VALUES ("&amp;A1249&amp;", "&amp;B1249&amp;", "&amp;C1249&amp;", "&amp;D1249&amp;", "&amp;E1249&amp;", "&amp;F1249&amp;", "&amp;G1249&amp;", "&amp;H1249&amp;");"</f>
        <v>INSERT INTO COTACAO (cot_id, cot_blt_id, cot_pap_id, cot_prc_comum, cot_prc_min, cot_prc_max, cot_prc_med, cot_prc_mediana) VALUES (1248, 69, 16, 48, 4.5, 60, 42.75, 48);</v>
      </c>
      <c r="J1249" s="0" t="str">
        <f aca="false">"UPDATE COTACAO SET cot_id = "&amp;A1249&amp;", cot_blt_id = "&amp;B1249&amp;", cot_pap_id = "&amp;C1249&amp;", cot_prc_comum = "&amp;D1249&amp;", cot_prc_min = "&amp;E1249&amp;", cot_prc_max = "&amp;F1249&amp;", cot_prc_med = "&amp;G1249&amp;", cot_prc_mediana = "&amp;H1249&amp;" WHERE cot_id = "&amp;A1249&amp;";"</f>
        <v>UPDATE COTACAO SET cot_id = 1248, cot_blt_id = 69, cot_pap_id = 16, cot_prc_comum = 48, cot_prc_min = 4.5, cot_prc_max = 60, cot_prc_med = 42.75, cot_prc_mediana = 48 WHERE cot_id = 1248;</v>
      </c>
    </row>
    <row r="1250" customFormat="false" ht="14.25" hidden="false" customHeight="false" outlineLevel="0" collapsed="false">
      <c r="A1250" s="0" t="n">
        <v>1249</v>
      </c>
      <c r="B1250" s="0" t="n">
        <f aca="false">IF('Boletins Nuppa Site'!A1250&lt;&gt;0,'Boletins Nuppa Site'!A1250,"NULL")</f>
        <v>69</v>
      </c>
      <c r="C1250" s="0" t="n">
        <v>17</v>
      </c>
      <c r="D1250" s="30" t="n">
        <f aca="false">IF('Boletins Nuppa Site'!G1250&lt;&gt;0,'Boletins Nuppa Site'!G1250,"NULL")</f>
        <v>5</v>
      </c>
      <c r="E1250" s="30" t="n">
        <f aca="false">IF('Boletins Nuppa Site'!H1250&lt;&gt;0,'Boletins Nuppa Site'!H1250,"NULL")</f>
        <v>4</v>
      </c>
      <c r="F1250" s="30" t="n">
        <f aca="false">IF('Boletins Nuppa Site'!I1250&lt;&gt;0,'Boletins Nuppa Site'!I1250,"NULL")</f>
        <v>5</v>
      </c>
      <c r="G1250" s="0" t="str">
        <f aca="false">IF('Boletins Nuppa Site'!J1250&lt;&gt;0,'Boletins Nuppa Site'!J1250,"NULL")</f>
        <v>4.8</v>
      </c>
      <c r="H1250" s="30" t="n">
        <f aca="false">IF('Boletins Nuppa Site'!K1250&lt;&gt;0,'Boletins Nuppa Site'!K1250,"NULL")</f>
        <v>5</v>
      </c>
      <c r="I1250" s="0" t="str">
        <f aca="false">"INSERT INTO COTACAO (cot_id, cot_blt_id, cot_pap_id, cot_prc_comum, cot_prc_min, cot_prc_max, cot_prc_med, cot_prc_mediana) VALUES ("&amp;A1250&amp;", "&amp;B1250&amp;", "&amp;C1250&amp;", "&amp;D1250&amp;", "&amp;E1250&amp;", "&amp;F1250&amp;", "&amp;G1250&amp;", "&amp;H1250&amp;");"</f>
        <v>INSERT INTO COTACAO (cot_id, cot_blt_id, cot_pap_id, cot_prc_comum, cot_prc_min, cot_prc_max, cot_prc_med, cot_prc_mediana) VALUES (1249, 69, 17, 5, 4, 5, 4.8, 5);</v>
      </c>
      <c r="J1250" s="0" t="str">
        <f aca="false">"UPDATE COTACAO SET cot_id = "&amp;A1250&amp;", cot_blt_id = "&amp;B1250&amp;", cot_pap_id = "&amp;C1250&amp;", cot_prc_comum = "&amp;D1250&amp;", cot_prc_min = "&amp;E1250&amp;", cot_prc_max = "&amp;F1250&amp;", cot_prc_med = "&amp;G1250&amp;", cot_prc_mediana = "&amp;H1250&amp;" WHERE cot_id = "&amp;A1250&amp;";"</f>
        <v>UPDATE COTACAO SET cot_id = 1249, cot_blt_id = 69, cot_pap_id = 17, cot_prc_comum = 5, cot_prc_min = 4, cot_prc_max = 5, cot_prc_med = 4.8, cot_prc_mediana = 5 WHERE cot_id = 1249;</v>
      </c>
    </row>
    <row r="1251" customFormat="false" ht="14.25" hidden="false" customHeight="false" outlineLevel="0" collapsed="false">
      <c r="A1251" s="0" t="n">
        <v>1250</v>
      </c>
      <c r="B1251" s="0" t="n">
        <f aca="false">IF('Boletins Nuppa Site'!A1251&lt;&gt;0,'Boletins Nuppa Site'!A1251,"NULL")</f>
        <v>69</v>
      </c>
      <c r="C1251" s="0" t="n">
        <v>18</v>
      </c>
      <c r="D1251" s="30" t="n">
        <f aca="false">IF('Boletins Nuppa Site'!G1251&lt;&gt;0,'Boletins Nuppa Site'!G1251,"NULL")</f>
        <v>10</v>
      </c>
      <c r="E1251" s="30" t="n">
        <f aca="false">IF('Boletins Nuppa Site'!H1251&lt;&gt;0,'Boletins Nuppa Site'!H1251,"NULL")</f>
        <v>8</v>
      </c>
      <c r="F1251" s="30" t="n">
        <f aca="false">IF('Boletins Nuppa Site'!I1251&lt;&gt;0,'Boletins Nuppa Site'!I1251,"NULL")</f>
        <v>12</v>
      </c>
      <c r="G1251" s="30" t="n">
        <f aca="false">IF('Boletins Nuppa Site'!J1251&lt;&gt;0,'Boletins Nuppa Site'!J1251,"NULL")</f>
        <v>10</v>
      </c>
      <c r="H1251" s="30" t="n">
        <f aca="false">IF('Boletins Nuppa Site'!K1251&lt;&gt;0,'Boletins Nuppa Site'!K1251,"NULL")</f>
        <v>10</v>
      </c>
      <c r="I1251" s="0" t="str">
        <f aca="false">"INSERT INTO COTACAO (cot_id, cot_blt_id, cot_pap_id, cot_prc_comum, cot_prc_min, cot_prc_max, cot_prc_med, cot_prc_mediana) VALUES ("&amp;A1251&amp;", "&amp;B1251&amp;", "&amp;C1251&amp;", "&amp;D1251&amp;", "&amp;E1251&amp;", "&amp;F1251&amp;", "&amp;G1251&amp;", "&amp;H1251&amp;");"</f>
        <v>INSERT INTO COTACAO (cot_id, cot_blt_id, cot_pap_id, cot_prc_comum, cot_prc_min, cot_prc_max, cot_prc_med, cot_prc_mediana) VALUES (1250, 69, 18, 10, 8, 12, 10, 10);</v>
      </c>
      <c r="J1251" s="0" t="str">
        <f aca="false">"UPDATE COTACAO SET cot_id = "&amp;A1251&amp;", cot_blt_id = "&amp;B1251&amp;", cot_pap_id = "&amp;C1251&amp;", cot_prc_comum = "&amp;D1251&amp;", cot_prc_min = "&amp;E1251&amp;", cot_prc_max = "&amp;F1251&amp;", cot_prc_med = "&amp;G1251&amp;", cot_prc_mediana = "&amp;H1251&amp;" WHERE cot_id = "&amp;A1251&amp;";"</f>
        <v>UPDATE COTACAO SET cot_id = 1250, cot_blt_id = 69, cot_pap_id = 18, cot_prc_comum = 10, cot_prc_min = 8, cot_prc_max = 12, cot_prc_med = 10, cot_prc_mediana = 10 WHERE cot_id = 1250;</v>
      </c>
    </row>
    <row r="1252" customFormat="false" ht="14.25" hidden="false" customHeight="false" outlineLevel="0" collapsed="false">
      <c r="A1252" s="0" t="n">
        <v>1251</v>
      </c>
      <c r="B1252" s="0" t="n">
        <f aca="false">IF('Boletins Nuppa Site'!A1252&lt;&gt;0,'Boletins Nuppa Site'!A1252,"NULL")</f>
        <v>69</v>
      </c>
      <c r="C1252" s="0" t="n">
        <v>19</v>
      </c>
      <c r="D1252" s="30" t="n">
        <f aca="false">IF('Boletins Nuppa Site'!G1252&lt;&gt;0,'Boletins Nuppa Site'!G1252,"NULL")</f>
        <v>30</v>
      </c>
      <c r="E1252" s="30" t="n">
        <f aca="false">IF('Boletins Nuppa Site'!H1252&lt;&gt;0,'Boletins Nuppa Site'!H1252,"NULL")</f>
        <v>10</v>
      </c>
      <c r="F1252" s="30" t="n">
        <f aca="false">IF('Boletins Nuppa Site'!I1252&lt;&gt;0,'Boletins Nuppa Site'!I1252,"NULL")</f>
        <v>30</v>
      </c>
      <c r="G1252" s="30" t="n">
        <f aca="false">IF('Boletins Nuppa Site'!J1252&lt;&gt;0,'Boletins Nuppa Site'!J1252,"NULL")</f>
        <v>21</v>
      </c>
      <c r="H1252" s="30" t="n">
        <f aca="false">IF('Boletins Nuppa Site'!K1252&lt;&gt;0,'Boletins Nuppa Site'!K1252,"NULL")</f>
        <v>20</v>
      </c>
      <c r="I1252" s="0" t="str">
        <f aca="false">"INSERT INTO COTACAO (cot_id, cot_blt_id, cot_pap_id, cot_prc_comum, cot_prc_min, cot_prc_max, cot_prc_med, cot_prc_mediana) VALUES ("&amp;A1252&amp;", "&amp;B1252&amp;", "&amp;C1252&amp;", "&amp;D1252&amp;", "&amp;E1252&amp;", "&amp;F1252&amp;", "&amp;G1252&amp;", "&amp;H1252&amp;");"</f>
        <v>INSERT INTO COTACAO (cot_id, cot_blt_id, cot_pap_id, cot_prc_comum, cot_prc_min, cot_prc_max, cot_prc_med, cot_prc_mediana) VALUES (1251, 69, 19, 30, 10, 30, 21, 20);</v>
      </c>
      <c r="J1252" s="0" t="str">
        <f aca="false">"UPDATE COTACAO SET cot_id = "&amp;A1252&amp;", cot_blt_id = "&amp;B1252&amp;", cot_pap_id = "&amp;C1252&amp;", cot_prc_comum = "&amp;D1252&amp;", cot_prc_min = "&amp;E1252&amp;", cot_prc_max = "&amp;F1252&amp;", cot_prc_med = "&amp;G1252&amp;", cot_prc_mediana = "&amp;H1252&amp;" WHERE cot_id = "&amp;A1252&amp;";"</f>
        <v>UPDATE COTACAO SET cot_id = 1251, cot_blt_id = 69, cot_pap_id = 19, cot_prc_comum = 30, cot_prc_min = 10, cot_prc_max = 30, cot_prc_med = 21, cot_prc_mediana = 20 WHERE cot_id = 1251;</v>
      </c>
    </row>
    <row r="1253" customFormat="false" ht="14.25" hidden="false" customHeight="false" outlineLevel="0" collapsed="false">
      <c r="A1253" s="0" t="n">
        <v>1252</v>
      </c>
      <c r="B1253" s="0" t="n">
        <f aca="false">IF('Boletins Nuppa Site'!A1253&lt;&gt;0,'Boletins Nuppa Site'!A1253,"NULL")</f>
        <v>69</v>
      </c>
      <c r="C1253" s="0" t="n">
        <v>20</v>
      </c>
      <c r="D1253" s="30" t="n">
        <f aca="false">IF('Boletins Nuppa Site'!G1253&lt;&gt;0,'Boletins Nuppa Site'!G1253,"NULL")</f>
        <v>70</v>
      </c>
      <c r="E1253" s="30" t="n">
        <f aca="false">IF('Boletins Nuppa Site'!H1253&lt;&gt;0,'Boletins Nuppa Site'!H1253,"NULL")</f>
        <v>65</v>
      </c>
      <c r="F1253" s="30" t="n">
        <f aca="false">IF('Boletins Nuppa Site'!I1253&lt;&gt;0,'Boletins Nuppa Site'!I1253,"NULL")</f>
        <v>70</v>
      </c>
      <c r="G1253" s="0" t="str">
        <f aca="false">IF('Boletins Nuppa Site'!J1253&lt;&gt;0,'Boletins Nuppa Site'!J1253,"NULL")</f>
        <v>68.33</v>
      </c>
      <c r="H1253" s="30" t="n">
        <f aca="false">IF('Boletins Nuppa Site'!K1253&lt;&gt;0,'Boletins Nuppa Site'!K1253,"NULL")</f>
        <v>70</v>
      </c>
      <c r="I1253" s="0" t="str">
        <f aca="false">"INSERT INTO COTACAO (cot_id, cot_blt_id, cot_pap_id, cot_prc_comum, cot_prc_min, cot_prc_max, cot_prc_med, cot_prc_mediana) VALUES ("&amp;A1253&amp;", "&amp;B1253&amp;", "&amp;C1253&amp;", "&amp;D1253&amp;", "&amp;E1253&amp;", "&amp;F1253&amp;", "&amp;G1253&amp;", "&amp;H1253&amp;");"</f>
        <v>INSERT INTO COTACAO (cot_id, cot_blt_id, cot_pap_id, cot_prc_comum, cot_prc_min, cot_prc_max, cot_prc_med, cot_prc_mediana) VALUES (1252, 69, 20, 70, 65, 70, 68.33, 70);</v>
      </c>
      <c r="J1253" s="0" t="str">
        <f aca="false">"UPDATE COTACAO SET cot_id = "&amp;A1253&amp;", cot_blt_id = "&amp;B1253&amp;", cot_pap_id = "&amp;C1253&amp;", cot_prc_comum = "&amp;D1253&amp;", cot_prc_min = "&amp;E1253&amp;", cot_prc_max = "&amp;F1253&amp;", cot_prc_med = "&amp;G1253&amp;", cot_prc_mediana = "&amp;H1253&amp;" WHERE cot_id = "&amp;A1253&amp;";"</f>
        <v>UPDATE COTACAO SET cot_id = 1252, cot_blt_id = 69, cot_pap_id = 20, cot_prc_comum = 70, cot_prc_min = 65, cot_prc_max = 70, cot_prc_med = 68.33, cot_prc_mediana = 70 WHERE cot_id = 1252;</v>
      </c>
    </row>
    <row r="1254" customFormat="false" ht="14.25" hidden="false" customHeight="false" outlineLevel="0" collapsed="false">
      <c r="A1254" s="0" t="n">
        <v>1253</v>
      </c>
      <c r="B1254" s="0" t="n">
        <f aca="false">IF('Boletins Nuppa Site'!A1254&lt;&gt;0,'Boletins Nuppa Site'!A1254,"NULL")</f>
        <v>69</v>
      </c>
      <c r="C1254" s="0" t="n">
        <v>21</v>
      </c>
      <c r="D1254" s="30" t="n">
        <f aca="false">IF('Boletins Nuppa Site'!G1254&lt;&gt;0,'Boletins Nuppa Site'!G1254,"NULL")</f>
        <v>50</v>
      </c>
      <c r="E1254" s="30" t="n">
        <f aca="false">IF('Boletins Nuppa Site'!H1254&lt;&gt;0,'Boletins Nuppa Site'!H1254,"NULL")</f>
        <v>25</v>
      </c>
      <c r="F1254" s="30" t="n">
        <f aca="false">IF('Boletins Nuppa Site'!I1254&lt;&gt;0,'Boletins Nuppa Site'!I1254,"NULL")</f>
        <v>50</v>
      </c>
      <c r="G1254" s="30" t="n">
        <f aca="false">IF('Boletins Nuppa Site'!J1254&lt;&gt;0,'Boletins Nuppa Site'!J1254,"NULL")</f>
        <v>40</v>
      </c>
      <c r="H1254" s="30" t="n">
        <f aca="false">IF('Boletins Nuppa Site'!K1254&lt;&gt;0,'Boletins Nuppa Site'!K1254,"NULL")</f>
        <v>40</v>
      </c>
      <c r="I1254" s="0" t="str">
        <f aca="false">"INSERT INTO COTACAO (cot_id, cot_blt_id, cot_pap_id, cot_prc_comum, cot_prc_min, cot_prc_max, cot_prc_med, cot_prc_mediana) VALUES ("&amp;A1254&amp;", "&amp;B1254&amp;", "&amp;C1254&amp;", "&amp;D1254&amp;", "&amp;E1254&amp;", "&amp;F1254&amp;", "&amp;G1254&amp;", "&amp;H1254&amp;");"</f>
        <v>INSERT INTO COTACAO (cot_id, cot_blt_id, cot_pap_id, cot_prc_comum, cot_prc_min, cot_prc_max, cot_prc_med, cot_prc_mediana) VALUES (1253, 69, 21, 50, 25, 50, 40, 40);</v>
      </c>
      <c r="J1254" s="0" t="str">
        <f aca="false">"UPDATE COTACAO SET cot_id = "&amp;A1254&amp;", cot_blt_id = "&amp;B1254&amp;", cot_pap_id = "&amp;C1254&amp;", cot_prc_comum = "&amp;D1254&amp;", cot_prc_min = "&amp;E1254&amp;", cot_prc_max = "&amp;F1254&amp;", cot_prc_med = "&amp;G1254&amp;", cot_prc_mediana = "&amp;H1254&amp;" WHERE cot_id = "&amp;A1254&amp;";"</f>
        <v>UPDATE COTACAO SET cot_id = 1253, cot_blt_id = 69, cot_pap_id = 21, cot_prc_comum = 50, cot_prc_min = 25, cot_prc_max = 50, cot_prc_med = 40, cot_prc_mediana = 40 WHERE cot_id = 1253;</v>
      </c>
    </row>
    <row r="1255" customFormat="false" ht="14.25" hidden="false" customHeight="false" outlineLevel="0" collapsed="false">
      <c r="A1255" s="0" t="n">
        <v>1254</v>
      </c>
      <c r="B1255" s="0" t="n">
        <f aca="false">IF('Boletins Nuppa Site'!A1255&lt;&gt;0,'Boletins Nuppa Site'!A1255,"NULL")</f>
        <v>69</v>
      </c>
      <c r="C1255" s="0" t="n">
        <v>22</v>
      </c>
      <c r="D1255" s="30" t="n">
        <f aca="false">IF('Boletins Nuppa Site'!G1255&lt;&gt;0,'Boletins Nuppa Site'!G1255,"NULL")</f>
        <v>80</v>
      </c>
      <c r="E1255" s="30" t="n">
        <f aca="false">IF('Boletins Nuppa Site'!H1255&lt;&gt;0,'Boletins Nuppa Site'!H1255,"NULL")</f>
        <v>45</v>
      </c>
      <c r="F1255" s="30" t="n">
        <f aca="false">IF('Boletins Nuppa Site'!I1255&lt;&gt;0,'Boletins Nuppa Site'!I1255,"NULL")</f>
        <v>80</v>
      </c>
      <c r="G1255" s="30" t="n">
        <f aca="false">IF('Boletins Nuppa Site'!J1255&lt;&gt;0,'Boletins Nuppa Site'!J1255,"NULL")</f>
        <v>68</v>
      </c>
      <c r="H1255" s="30" t="n">
        <f aca="false">IF('Boletins Nuppa Site'!K1255&lt;&gt;0,'Boletins Nuppa Site'!K1255,"NULL")</f>
        <v>70</v>
      </c>
      <c r="I1255" s="0" t="str">
        <f aca="false">"INSERT INTO COTACAO (cot_id, cot_blt_id, cot_pap_id, cot_prc_comum, cot_prc_min, cot_prc_max, cot_prc_med, cot_prc_mediana) VALUES ("&amp;A1255&amp;", "&amp;B1255&amp;", "&amp;C1255&amp;", "&amp;D1255&amp;", "&amp;E1255&amp;", "&amp;F1255&amp;", "&amp;G1255&amp;", "&amp;H1255&amp;");"</f>
        <v>INSERT INTO COTACAO (cot_id, cot_blt_id, cot_pap_id, cot_prc_comum, cot_prc_min, cot_prc_max, cot_prc_med, cot_prc_mediana) VALUES (1254, 69, 22, 80, 45, 80, 68, 70);</v>
      </c>
      <c r="J1255" s="0" t="str">
        <f aca="false">"UPDATE COTACAO SET cot_id = "&amp;A1255&amp;", cot_blt_id = "&amp;B1255&amp;", cot_pap_id = "&amp;C1255&amp;", cot_prc_comum = "&amp;D1255&amp;", cot_prc_min = "&amp;E1255&amp;", cot_prc_max = "&amp;F1255&amp;", cot_prc_med = "&amp;G1255&amp;", cot_prc_mediana = "&amp;H1255&amp;" WHERE cot_id = "&amp;A1255&amp;";"</f>
        <v>UPDATE COTACAO SET cot_id = 1254, cot_blt_id = 69, cot_pap_id = 22, cot_prc_comum = 80, cot_prc_min = 45, cot_prc_max = 80, cot_prc_med = 68, cot_prc_mediana = 70 WHERE cot_id = 1254;</v>
      </c>
    </row>
    <row r="1256" customFormat="false" ht="14.25" hidden="false" customHeight="false" outlineLevel="0" collapsed="false">
      <c r="A1256" s="0" t="n">
        <v>1255</v>
      </c>
      <c r="B1256" s="0" t="n">
        <f aca="false">IF('Boletins Nuppa Site'!A1256&lt;&gt;0,'Boletins Nuppa Site'!A1256,"NULL")</f>
        <v>69</v>
      </c>
      <c r="C1256" s="0" t="n">
        <v>23</v>
      </c>
      <c r="D1256" s="30" t="n">
        <f aca="false">IF('Boletins Nuppa Site'!G1256&lt;&gt;0,'Boletins Nuppa Site'!G1256,"NULL")</f>
        <v>50</v>
      </c>
      <c r="E1256" s="30" t="n">
        <f aca="false">IF('Boletins Nuppa Site'!H1256&lt;&gt;0,'Boletins Nuppa Site'!H1256,"NULL")</f>
        <v>45</v>
      </c>
      <c r="F1256" s="30" t="n">
        <f aca="false">IF('Boletins Nuppa Site'!I1256&lt;&gt;0,'Boletins Nuppa Site'!I1256,"NULL")</f>
        <v>60</v>
      </c>
      <c r="G1256" s="30" t="n">
        <f aca="false">IF('Boletins Nuppa Site'!J1256&lt;&gt;0,'Boletins Nuppa Site'!J1256,"NULL")</f>
        <v>51</v>
      </c>
      <c r="H1256" s="30" t="n">
        <f aca="false">IF('Boletins Nuppa Site'!K1256&lt;&gt;0,'Boletins Nuppa Site'!K1256,"NULL")</f>
        <v>50</v>
      </c>
      <c r="I1256" s="0" t="str">
        <f aca="false">"INSERT INTO COTACAO (cot_id, cot_blt_id, cot_pap_id, cot_prc_comum, cot_prc_min, cot_prc_max, cot_prc_med, cot_prc_mediana) VALUES ("&amp;A1256&amp;", "&amp;B1256&amp;", "&amp;C1256&amp;", "&amp;D1256&amp;", "&amp;E1256&amp;", "&amp;F1256&amp;", "&amp;G1256&amp;", "&amp;H1256&amp;");"</f>
        <v>INSERT INTO COTACAO (cot_id, cot_blt_id, cot_pap_id, cot_prc_comum, cot_prc_min, cot_prc_max, cot_prc_med, cot_prc_mediana) VALUES (1255, 69, 23, 50, 45, 60, 51, 50);</v>
      </c>
      <c r="J1256" s="0" t="str">
        <f aca="false">"UPDATE COTACAO SET cot_id = "&amp;A1256&amp;", cot_blt_id = "&amp;B1256&amp;", cot_pap_id = "&amp;C1256&amp;", cot_prc_comum = "&amp;D1256&amp;", cot_prc_min = "&amp;E1256&amp;", cot_prc_max = "&amp;F1256&amp;", cot_prc_med = "&amp;G1256&amp;", cot_prc_mediana = "&amp;H1256&amp;" WHERE cot_id = "&amp;A1256&amp;";"</f>
        <v>UPDATE COTACAO SET cot_id = 1255, cot_blt_id = 69, cot_pap_id = 23, cot_prc_comum = 50, cot_prc_min = 45, cot_prc_max = 60, cot_prc_med = 51, cot_prc_mediana = 50 WHERE cot_id = 1255;</v>
      </c>
    </row>
    <row r="1257" customFormat="false" ht="14.25" hidden="false" customHeight="false" outlineLevel="0" collapsed="false">
      <c r="A1257" s="0" t="n">
        <v>1256</v>
      </c>
      <c r="B1257" s="0" t="n">
        <f aca="false">IF('Boletins Nuppa Site'!A1257&lt;&gt;0,'Boletins Nuppa Site'!A1257,"NULL")</f>
        <v>69</v>
      </c>
      <c r="C1257" s="0" t="n">
        <v>24</v>
      </c>
      <c r="D1257" s="30" t="n">
        <f aca="false">IF('Boletins Nuppa Site'!G1257&lt;&gt;0,'Boletins Nuppa Site'!G1257,"NULL")</f>
        <v>90</v>
      </c>
      <c r="E1257" s="30" t="n">
        <f aca="false">IF('Boletins Nuppa Site'!H1257&lt;&gt;0,'Boletins Nuppa Site'!H1257,"NULL")</f>
        <v>90</v>
      </c>
      <c r="F1257" s="30" t="n">
        <f aca="false">IF('Boletins Nuppa Site'!I1257&lt;&gt;0,'Boletins Nuppa Site'!I1257,"NULL")</f>
        <v>100</v>
      </c>
      <c r="G1257" s="0" t="str">
        <f aca="false">IF('Boletins Nuppa Site'!J1257&lt;&gt;0,'Boletins Nuppa Site'!J1257,"NULL")</f>
        <v>93.33</v>
      </c>
      <c r="H1257" s="30" t="n">
        <f aca="false">IF('Boletins Nuppa Site'!K1257&lt;&gt;0,'Boletins Nuppa Site'!K1257,"NULL")</f>
        <v>90</v>
      </c>
      <c r="I1257" s="0" t="str">
        <f aca="false">"INSERT INTO COTACAO (cot_id, cot_blt_id, cot_pap_id, cot_prc_comum, cot_prc_min, cot_prc_max, cot_prc_med, cot_prc_mediana) VALUES ("&amp;A1257&amp;", "&amp;B1257&amp;", "&amp;C1257&amp;", "&amp;D1257&amp;", "&amp;E1257&amp;", "&amp;F1257&amp;", "&amp;G1257&amp;", "&amp;H1257&amp;");"</f>
        <v>INSERT INTO COTACAO (cot_id, cot_blt_id, cot_pap_id, cot_prc_comum, cot_prc_min, cot_prc_max, cot_prc_med, cot_prc_mediana) VALUES (1256, 69, 24, 90, 90, 100, 93.33, 90);</v>
      </c>
      <c r="J1257" s="0" t="str">
        <f aca="false">"UPDATE COTACAO SET cot_id = "&amp;A1257&amp;", cot_blt_id = "&amp;B1257&amp;", cot_pap_id = "&amp;C1257&amp;", cot_prc_comum = "&amp;D1257&amp;", cot_prc_min = "&amp;E1257&amp;", cot_prc_max = "&amp;F1257&amp;", cot_prc_med = "&amp;G1257&amp;", cot_prc_mediana = "&amp;H1257&amp;" WHERE cot_id = "&amp;A1257&amp;";"</f>
        <v>UPDATE COTACAO SET cot_id = 1256, cot_blt_id = 69, cot_pap_id = 24, cot_prc_comum = 90, cot_prc_min = 90, cot_prc_max = 100, cot_prc_med = 93.33, cot_prc_mediana = 90 WHERE cot_id = 1256;</v>
      </c>
    </row>
    <row r="1258" customFormat="false" ht="14.25" hidden="false" customHeight="false" outlineLevel="0" collapsed="false">
      <c r="A1258" s="0" t="n">
        <v>1257</v>
      </c>
      <c r="B1258" s="0" t="n">
        <f aca="false">IF('Boletins Nuppa Site'!A1258&lt;&gt;0,'Boletins Nuppa Site'!A1258,"NULL")</f>
        <v>69</v>
      </c>
      <c r="C1258" s="0" t="n">
        <v>25</v>
      </c>
      <c r="D1258" s="30" t="n">
        <f aca="false">IF('Boletins Nuppa Site'!G1258&lt;&gt;0,'Boletins Nuppa Site'!G1258,"NULL")</f>
        <v>60</v>
      </c>
      <c r="E1258" s="30" t="n">
        <f aca="false">IF('Boletins Nuppa Site'!H1258&lt;&gt;0,'Boletins Nuppa Site'!H1258,"NULL")</f>
        <v>60</v>
      </c>
      <c r="F1258" s="30" t="n">
        <f aca="false">IF('Boletins Nuppa Site'!I1258&lt;&gt;0,'Boletins Nuppa Site'!I1258,"NULL")</f>
        <v>80</v>
      </c>
      <c r="G1258" s="30" t="n">
        <f aca="false">IF('Boletins Nuppa Site'!J1258&lt;&gt;0,'Boletins Nuppa Site'!J1258,"NULL")</f>
        <v>68</v>
      </c>
      <c r="H1258" s="30" t="n">
        <f aca="false">IF('Boletins Nuppa Site'!K1258&lt;&gt;0,'Boletins Nuppa Site'!K1258,"NULL")</f>
        <v>70</v>
      </c>
      <c r="I1258" s="0" t="str">
        <f aca="false">"INSERT INTO COTACAO (cot_id, cot_blt_id, cot_pap_id, cot_prc_comum, cot_prc_min, cot_prc_max, cot_prc_med, cot_prc_mediana) VALUES ("&amp;A1258&amp;", "&amp;B1258&amp;", "&amp;C1258&amp;", "&amp;D1258&amp;", "&amp;E1258&amp;", "&amp;F1258&amp;", "&amp;G1258&amp;", "&amp;H1258&amp;");"</f>
        <v>INSERT INTO COTACAO (cot_id, cot_blt_id, cot_pap_id, cot_prc_comum, cot_prc_min, cot_prc_max, cot_prc_med, cot_prc_mediana) VALUES (1257, 69, 25, 60, 60, 80, 68, 70);</v>
      </c>
      <c r="J1258" s="0" t="str">
        <f aca="false">"UPDATE COTACAO SET cot_id = "&amp;A1258&amp;", cot_blt_id = "&amp;B1258&amp;", cot_pap_id = "&amp;C1258&amp;", cot_prc_comum = "&amp;D1258&amp;", cot_prc_min = "&amp;E1258&amp;", cot_prc_max = "&amp;F1258&amp;", cot_prc_med = "&amp;G1258&amp;", cot_prc_mediana = "&amp;H1258&amp;" WHERE cot_id = "&amp;A1258&amp;";"</f>
        <v>UPDATE COTACAO SET cot_id = 1257, cot_blt_id = 69, cot_pap_id = 25, cot_prc_comum = 60, cot_prc_min = 60, cot_prc_max = 80, cot_prc_med = 68, cot_prc_mediana = 70 WHERE cot_id = 1257;</v>
      </c>
    </row>
    <row r="1259" customFormat="false" ht="14.25" hidden="false" customHeight="false" outlineLevel="0" collapsed="false">
      <c r="A1259" s="0" t="n">
        <v>1258</v>
      </c>
      <c r="B1259" s="0" t="n">
        <f aca="false">IF('Boletins Nuppa Site'!A1259&lt;&gt;0,'Boletins Nuppa Site'!A1259,"NULL")</f>
        <v>69</v>
      </c>
      <c r="C1259" s="0" t="n">
        <v>26</v>
      </c>
      <c r="D1259" s="30" t="n">
        <f aca="false">IF('Boletins Nuppa Site'!G1259&lt;&gt;0,'Boletins Nuppa Site'!G1259,"NULL")</f>
        <v>55</v>
      </c>
      <c r="E1259" s="30" t="n">
        <f aca="false">IF('Boletins Nuppa Site'!H1259&lt;&gt;0,'Boletins Nuppa Site'!H1259,"NULL")</f>
        <v>40</v>
      </c>
      <c r="F1259" s="30" t="n">
        <f aca="false">IF('Boletins Nuppa Site'!I1259&lt;&gt;0,'Boletins Nuppa Site'!I1259,"NULL")</f>
        <v>55</v>
      </c>
      <c r="G1259" s="30" t="n">
        <f aca="false">IF('Boletins Nuppa Site'!J1259&lt;&gt;0,'Boletins Nuppa Site'!J1259,"NULL")</f>
        <v>48</v>
      </c>
      <c r="H1259" s="30" t="n">
        <f aca="false">IF('Boletins Nuppa Site'!K1259&lt;&gt;0,'Boletins Nuppa Site'!K1259,"NULL")</f>
        <v>50</v>
      </c>
      <c r="I1259" s="0" t="str">
        <f aca="false">"INSERT INTO COTACAO (cot_id, cot_blt_id, cot_pap_id, cot_prc_comum, cot_prc_min, cot_prc_max, cot_prc_med, cot_prc_mediana) VALUES ("&amp;A1259&amp;", "&amp;B1259&amp;", "&amp;C1259&amp;", "&amp;D1259&amp;", "&amp;E1259&amp;", "&amp;F1259&amp;", "&amp;G1259&amp;", "&amp;H1259&amp;");"</f>
        <v>INSERT INTO COTACAO (cot_id, cot_blt_id, cot_pap_id, cot_prc_comum, cot_prc_min, cot_prc_max, cot_prc_med, cot_prc_mediana) VALUES (1258, 69, 26, 55, 40, 55, 48, 50);</v>
      </c>
      <c r="J1259" s="0" t="str">
        <f aca="false">"UPDATE COTACAO SET cot_id = "&amp;A1259&amp;", cot_blt_id = "&amp;B1259&amp;", cot_pap_id = "&amp;C1259&amp;", cot_prc_comum = "&amp;D1259&amp;", cot_prc_min = "&amp;E1259&amp;", cot_prc_max = "&amp;F1259&amp;", cot_prc_med = "&amp;G1259&amp;", cot_prc_mediana = "&amp;H1259&amp;" WHERE cot_id = "&amp;A1259&amp;";"</f>
        <v>UPDATE COTACAO SET cot_id = 1258, cot_blt_id = 69, cot_pap_id = 26, cot_prc_comum = 55, cot_prc_min = 40, cot_prc_max = 55, cot_prc_med = 48, cot_prc_mediana = 50 WHERE cot_id = 1258;</v>
      </c>
    </row>
    <row r="1260" customFormat="false" ht="14.25" hidden="false" customHeight="false" outlineLevel="0" collapsed="false">
      <c r="A1260" s="0" t="n">
        <v>1259</v>
      </c>
      <c r="B1260" s="0" t="n">
        <f aca="false">IF('Boletins Nuppa Site'!A1260&lt;&gt;0,'Boletins Nuppa Site'!A1260,"NULL")</f>
        <v>69</v>
      </c>
      <c r="C1260" s="0" t="n">
        <v>27</v>
      </c>
      <c r="D1260" s="30" t="n">
        <f aca="false">IF('Boletins Nuppa Site'!G1260&lt;&gt;0,'Boletins Nuppa Site'!G1260,"NULL")</f>
        <v>50</v>
      </c>
      <c r="E1260" s="30" t="n">
        <f aca="false">IF('Boletins Nuppa Site'!H1260&lt;&gt;0,'Boletins Nuppa Site'!H1260,"NULL")</f>
        <v>50</v>
      </c>
      <c r="F1260" s="30" t="n">
        <f aca="false">IF('Boletins Nuppa Site'!I1260&lt;&gt;0,'Boletins Nuppa Site'!I1260,"NULL")</f>
        <v>80</v>
      </c>
      <c r="G1260" s="30" t="n">
        <f aca="false">IF('Boletins Nuppa Site'!J1260&lt;&gt;0,'Boletins Nuppa Site'!J1260,"NULL")</f>
        <v>57</v>
      </c>
      <c r="H1260" s="30" t="n">
        <f aca="false">IF('Boletins Nuppa Site'!K1260&lt;&gt;0,'Boletins Nuppa Site'!K1260,"NULL")</f>
        <v>50</v>
      </c>
      <c r="I1260" s="0" t="str">
        <f aca="false">"INSERT INTO COTACAO (cot_id, cot_blt_id, cot_pap_id, cot_prc_comum, cot_prc_min, cot_prc_max, cot_prc_med, cot_prc_mediana) VALUES ("&amp;A1260&amp;", "&amp;B1260&amp;", "&amp;C1260&amp;", "&amp;D1260&amp;", "&amp;E1260&amp;", "&amp;F1260&amp;", "&amp;G1260&amp;", "&amp;H1260&amp;");"</f>
        <v>INSERT INTO COTACAO (cot_id, cot_blt_id, cot_pap_id, cot_prc_comum, cot_prc_min, cot_prc_max, cot_prc_med, cot_prc_mediana) VALUES (1259, 69, 27, 50, 50, 80, 57, 50);</v>
      </c>
      <c r="J1260" s="0" t="str">
        <f aca="false">"UPDATE COTACAO SET cot_id = "&amp;A1260&amp;", cot_blt_id = "&amp;B1260&amp;", cot_pap_id = "&amp;C1260&amp;", cot_prc_comum = "&amp;D1260&amp;", cot_prc_min = "&amp;E1260&amp;", cot_prc_max = "&amp;F1260&amp;", cot_prc_med = "&amp;G1260&amp;", cot_prc_mediana = "&amp;H1260&amp;" WHERE cot_id = "&amp;A1260&amp;";"</f>
        <v>UPDATE COTACAO SET cot_id = 1259, cot_blt_id = 69, cot_pap_id = 27, cot_prc_comum = 50, cot_prc_min = 50, cot_prc_max = 80, cot_prc_med = 57, cot_prc_mediana = 50 WHERE cot_id = 1259;</v>
      </c>
    </row>
    <row r="1261" customFormat="false" ht="14.25" hidden="false" customHeight="false" outlineLevel="0" collapsed="false">
      <c r="A1261" s="0" t="n">
        <v>1260</v>
      </c>
      <c r="B1261" s="0" t="n">
        <f aca="false">IF('Boletins Nuppa Site'!A1261&lt;&gt;0,'Boletins Nuppa Site'!A1261,"NULL")</f>
        <v>69</v>
      </c>
      <c r="C1261" s="0" t="n">
        <v>28</v>
      </c>
      <c r="D1261" s="30" t="n">
        <f aca="false">IF('Boletins Nuppa Site'!G1261&lt;&gt;0,'Boletins Nuppa Site'!G1261,"NULL")</f>
        <v>90</v>
      </c>
      <c r="E1261" s="30" t="n">
        <f aca="false">IF('Boletins Nuppa Site'!H1261&lt;&gt;0,'Boletins Nuppa Site'!H1261,"NULL")</f>
        <v>70</v>
      </c>
      <c r="F1261" s="30" t="n">
        <f aca="false">IF('Boletins Nuppa Site'!I1261&lt;&gt;0,'Boletins Nuppa Site'!I1261,"NULL")</f>
        <v>100</v>
      </c>
      <c r="G1261" s="0" t="str">
        <f aca="false">IF('Boletins Nuppa Site'!J1261&lt;&gt;0,'Boletins Nuppa Site'!J1261,"NULL")</f>
        <v>87.5</v>
      </c>
      <c r="H1261" s="30" t="n">
        <f aca="false">IF('Boletins Nuppa Site'!K1261&lt;&gt;0,'Boletins Nuppa Site'!K1261,"NULL")</f>
        <v>90</v>
      </c>
      <c r="I1261" s="0" t="str">
        <f aca="false">"INSERT INTO COTACAO (cot_id, cot_blt_id, cot_pap_id, cot_prc_comum, cot_prc_min, cot_prc_max, cot_prc_med, cot_prc_mediana) VALUES ("&amp;A1261&amp;", "&amp;B1261&amp;", "&amp;C1261&amp;", "&amp;D1261&amp;", "&amp;E1261&amp;", "&amp;F1261&amp;", "&amp;G1261&amp;", "&amp;H1261&amp;");"</f>
        <v>INSERT INTO COTACAO (cot_id, cot_blt_id, cot_pap_id, cot_prc_comum, cot_prc_min, cot_prc_max, cot_prc_med, cot_prc_mediana) VALUES (1260, 69, 28, 90, 70, 100, 87.5, 90);</v>
      </c>
      <c r="J1261" s="0" t="str">
        <f aca="false">"UPDATE COTACAO SET cot_id = "&amp;A1261&amp;", cot_blt_id = "&amp;B1261&amp;", cot_pap_id = "&amp;C1261&amp;", cot_prc_comum = "&amp;D1261&amp;", cot_prc_min = "&amp;E1261&amp;", cot_prc_max = "&amp;F1261&amp;", cot_prc_med = "&amp;G1261&amp;", cot_prc_mediana = "&amp;H1261&amp;" WHERE cot_id = "&amp;A1261&amp;";"</f>
        <v>UPDATE COTACAO SET cot_id = 1260, cot_blt_id = 69, cot_pap_id = 28, cot_prc_comum = 90, cot_prc_min = 70, cot_prc_max = 100, cot_prc_med = 87.5, cot_prc_mediana = 90 WHERE cot_id = 1260;</v>
      </c>
    </row>
    <row r="1262" customFormat="false" ht="14.25" hidden="false" customHeight="false" outlineLevel="0" collapsed="false">
      <c r="A1262" s="0" t="n">
        <v>1261</v>
      </c>
      <c r="B1262" s="0" t="n">
        <f aca="false">IF('Boletins Nuppa Site'!A1262&lt;&gt;0,'Boletins Nuppa Site'!A1262,"NULL")</f>
        <v>69</v>
      </c>
      <c r="C1262" s="0" t="n">
        <v>29</v>
      </c>
      <c r="D1262" s="0" t="str">
        <f aca="false">IF('Boletins Nuppa Site'!G1262&lt;&gt;0,'Boletins Nuppa Site'!G1262,"NULL")</f>
        <v>NULL</v>
      </c>
      <c r="E1262" s="30" t="n">
        <f aca="false">IF('Boletins Nuppa Site'!H1262&lt;&gt;0,'Boletins Nuppa Site'!H1262,"NULL")</f>
        <v>35</v>
      </c>
      <c r="F1262" s="30" t="n">
        <f aca="false">IF('Boletins Nuppa Site'!I1262&lt;&gt;0,'Boletins Nuppa Site'!I1262,"NULL")</f>
        <v>50</v>
      </c>
      <c r="G1262" s="0" t="str">
        <f aca="false">IF('Boletins Nuppa Site'!J1262&lt;&gt;0,'Boletins Nuppa Site'!J1262,"NULL")</f>
        <v>41.67</v>
      </c>
      <c r="H1262" s="30" t="n">
        <f aca="false">IF('Boletins Nuppa Site'!K1262&lt;&gt;0,'Boletins Nuppa Site'!K1262,"NULL")</f>
        <v>40</v>
      </c>
      <c r="I1262" s="0" t="str">
        <f aca="false">"INSERT INTO COTACAO (cot_id, cot_blt_id, cot_pap_id, cot_prc_comum, cot_prc_min, cot_prc_max, cot_prc_med, cot_prc_mediana) VALUES ("&amp;A1262&amp;", "&amp;B1262&amp;", "&amp;C1262&amp;", "&amp;D1262&amp;", "&amp;E1262&amp;", "&amp;F1262&amp;", "&amp;G1262&amp;", "&amp;H1262&amp;");"</f>
        <v>INSERT INTO COTACAO (cot_id, cot_blt_id, cot_pap_id, cot_prc_comum, cot_prc_min, cot_prc_max, cot_prc_med, cot_prc_mediana) VALUES (1261, 69, 29, NULL, 35, 50, 41.67, 40);</v>
      </c>
      <c r="J1262" s="0" t="str">
        <f aca="false">"UPDATE COTACAO SET cot_id = "&amp;A1262&amp;", cot_blt_id = "&amp;B1262&amp;", cot_pap_id = "&amp;C1262&amp;", cot_prc_comum = "&amp;D1262&amp;", cot_prc_min = "&amp;E1262&amp;", cot_prc_max = "&amp;F1262&amp;", cot_prc_med = "&amp;G1262&amp;", cot_prc_mediana = "&amp;H1262&amp;" WHERE cot_id = "&amp;A1262&amp;";"</f>
        <v>UPDATE COTACAO SET cot_id = 1261, cot_blt_id = 69, cot_pap_id = 29, cot_prc_comum = NULL, cot_prc_min = 35, cot_prc_max = 50, cot_prc_med = 41.67, cot_prc_mediana = 40 WHERE cot_id = 1261;</v>
      </c>
    </row>
    <row r="1263" customFormat="false" ht="14.25" hidden="false" customHeight="false" outlineLevel="0" collapsed="false">
      <c r="A1263" s="0" t="n">
        <v>1262</v>
      </c>
      <c r="B1263" s="0" t="n">
        <f aca="false">IF('Boletins Nuppa Site'!A1263&lt;&gt;0,'Boletins Nuppa Site'!A1263,"NULL")</f>
        <v>69</v>
      </c>
      <c r="C1263" s="0" t="n">
        <v>30</v>
      </c>
      <c r="D1263" s="0" t="str">
        <f aca="false">IF('Boletins Nuppa Site'!G1263&lt;&gt;0,'Boletins Nuppa Site'!G1263,"NULL")</f>
        <v>NULL</v>
      </c>
      <c r="E1263" s="30" t="n">
        <f aca="false">IF('Boletins Nuppa Site'!H1263&lt;&gt;0,'Boletins Nuppa Site'!H1263,"NULL")</f>
        <v>85</v>
      </c>
      <c r="F1263" s="30" t="n">
        <f aca="false">IF('Boletins Nuppa Site'!I1263&lt;&gt;0,'Boletins Nuppa Site'!I1263,"NULL")</f>
        <v>100</v>
      </c>
      <c r="G1263" s="0" t="str">
        <f aca="false">IF('Boletins Nuppa Site'!J1263&lt;&gt;0,'Boletins Nuppa Site'!J1263,"NULL")</f>
        <v>91.67</v>
      </c>
      <c r="H1263" s="30" t="n">
        <f aca="false">IF('Boletins Nuppa Site'!K1263&lt;&gt;0,'Boletins Nuppa Site'!K1263,"NULL")</f>
        <v>90</v>
      </c>
      <c r="I1263" s="0" t="str">
        <f aca="false">"INSERT INTO COTACAO (cot_id, cot_blt_id, cot_pap_id, cot_prc_comum, cot_prc_min, cot_prc_max, cot_prc_med, cot_prc_mediana) VALUES ("&amp;A1263&amp;", "&amp;B1263&amp;", "&amp;C1263&amp;", "&amp;D1263&amp;", "&amp;E1263&amp;", "&amp;F1263&amp;", "&amp;G1263&amp;", "&amp;H1263&amp;");"</f>
        <v>INSERT INTO COTACAO (cot_id, cot_blt_id, cot_pap_id, cot_prc_comum, cot_prc_min, cot_prc_max, cot_prc_med, cot_prc_mediana) VALUES (1262, 69, 30, NULL, 85, 100, 91.67, 90);</v>
      </c>
      <c r="J1263" s="0" t="str">
        <f aca="false">"UPDATE COTACAO SET cot_id = "&amp;A1263&amp;", cot_blt_id = "&amp;B1263&amp;", cot_pap_id = "&amp;C1263&amp;", cot_prc_comum = "&amp;D1263&amp;", cot_prc_min = "&amp;E1263&amp;", cot_prc_max = "&amp;F1263&amp;", cot_prc_med = "&amp;G1263&amp;", cot_prc_mediana = "&amp;H1263&amp;" WHERE cot_id = "&amp;A1263&amp;";"</f>
        <v>UPDATE COTACAO SET cot_id = 1262, cot_blt_id = 69, cot_pap_id = 30, cot_prc_comum = NULL, cot_prc_min = 85, cot_prc_max = 100, cot_prc_med = 91.67, cot_prc_mediana = 90 WHERE cot_id = 1262;</v>
      </c>
    </row>
    <row r="1264" customFormat="false" ht="14.25" hidden="false" customHeight="false" outlineLevel="0" collapsed="false">
      <c r="A1264" s="0" t="n">
        <v>1263</v>
      </c>
      <c r="B1264" s="0" t="n">
        <f aca="false">IF('Boletins Nuppa Site'!A1264&lt;&gt;0,'Boletins Nuppa Site'!A1264,"NULL")</f>
        <v>69</v>
      </c>
      <c r="C1264" s="0" t="n">
        <v>31</v>
      </c>
      <c r="D1264" s="30" t="n">
        <f aca="false">IF('Boletins Nuppa Site'!G1264&lt;&gt;0,'Boletins Nuppa Site'!G1264,"NULL")</f>
        <v>100</v>
      </c>
      <c r="E1264" s="30" t="n">
        <f aca="false">IF('Boletins Nuppa Site'!H1264&lt;&gt;0,'Boletins Nuppa Site'!H1264,"NULL")</f>
        <v>100</v>
      </c>
      <c r="F1264" s="30" t="n">
        <f aca="false">IF('Boletins Nuppa Site'!I1264&lt;&gt;0,'Boletins Nuppa Site'!I1264,"NULL")</f>
        <v>135</v>
      </c>
      <c r="G1264" s="30" t="n">
        <f aca="false">IF('Boletins Nuppa Site'!J1264&lt;&gt;0,'Boletins Nuppa Site'!J1264,"NULL")</f>
        <v>117</v>
      </c>
      <c r="H1264" s="30" t="n">
        <f aca="false">IF('Boletins Nuppa Site'!K1264&lt;&gt;0,'Boletins Nuppa Site'!K1264,"NULL")</f>
        <v>120</v>
      </c>
      <c r="I1264" s="0" t="str">
        <f aca="false">"INSERT INTO COTACAO (cot_id, cot_blt_id, cot_pap_id, cot_prc_comum, cot_prc_min, cot_prc_max, cot_prc_med, cot_prc_mediana) VALUES ("&amp;A1264&amp;", "&amp;B1264&amp;", "&amp;C1264&amp;", "&amp;D1264&amp;", "&amp;E1264&amp;", "&amp;F1264&amp;", "&amp;G1264&amp;", "&amp;H1264&amp;");"</f>
        <v>INSERT INTO COTACAO (cot_id, cot_blt_id, cot_pap_id, cot_prc_comum, cot_prc_min, cot_prc_max, cot_prc_med, cot_prc_mediana) VALUES (1263, 69, 31, 100, 100, 135, 117, 120);</v>
      </c>
      <c r="J1264" s="0" t="str">
        <f aca="false">"UPDATE COTACAO SET cot_id = "&amp;A1264&amp;", cot_blt_id = "&amp;B1264&amp;", cot_pap_id = "&amp;C1264&amp;", cot_prc_comum = "&amp;D1264&amp;", cot_prc_min = "&amp;E1264&amp;", cot_prc_max = "&amp;F1264&amp;", cot_prc_med = "&amp;G1264&amp;", cot_prc_mediana = "&amp;H1264&amp;" WHERE cot_id = "&amp;A1264&amp;";"</f>
        <v>UPDATE COTACAO SET cot_id = 1263, cot_blt_id = 69, cot_pap_id = 31, cot_prc_comum = 100, cot_prc_min = 100, cot_prc_max = 135, cot_prc_med = 117, cot_prc_mediana = 120 WHERE cot_id = 1263;</v>
      </c>
    </row>
    <row r="1265" customFormat="false" ht="14.25" hidden="false" customHeight="false" outlineLevel="0" collapsed="false">
      <c r="A1265" s="0" t="n">
        <v>1264</v>
      </c>
      <c r="B1265" s="0" t="n">
        <f aca="false">IF('Boletins Nuppa Site'!A1265&lt;&gt;0,'Boletins Nuppa Site'!A1265,"NULL")</f>
        <v>69</v>
      </c>
      <c r="C1265" s="0" t="n">
        <v>32</v>
      </c>
      <c r="D1265" s="30" t="n">
        <f aca="false">IF('Boletins Nuppa Site'!G1265&lt;&gt;0,'Boletins Nuppa Site'!G1265,"NULL")</f>
        <v>60</v>
      </c>
      <c r="E1265" s="30" t="n">
        <f aca="false">IF('Boletins Nuppa Site'!H1265&lt;&gt;0,'Boletins Nuppa Site'!H1265,"NULL")</f>
        <v>40</v>
      </c>
      <c r="F1265" s="30" t="n">
        <f aca="false">IF('Boletins Nuppa Site'!I1265&lt;&gt;0,'Boletins Nuppa Site'!I1265,"NULL")</f>
        <v>60</v>
      </c>
      <c r="G1265" s="30" t="n">
        <f aca="false">IF('Boletins Nuppa Site'!J1265&lt;&gt;0,'Boletins Nuppa Site'!J1265,"NULL")</f>
        <v>53</v>
      </c>
      <c r="H1265" s="30" t="n">
        <f aca="false">IF('Boletins Nuppa Site'!K1265&lt;&gt;0,'Boletins Nuppa Site'!K1265,"NULL")</f>
        <v>55</v>
      </c>
      <c r="I1265" s="0" t="str">
        <f aca="false">"INSERT INTO COTACAO (cot_id, cot_blt_id, cot_pap_id, cot_prc_comum, cot_prc_min, cot_prc_max, cot_prc_med, cot_prc_mediana) VALUES ("&amp;A1265&amp;", "&amp;B1265&amp;", "&amp;C1265&amp;", "&amp;D1265&amp;", "&amp;E1265&amp;", "&amp;F1265&amp;", "&amp;G1265&amp;", "&amp;H1265&amp;");"</f>
        <v>INSERT INTO COTACAO (cot_id, cot_blt_id, cot_pap_id, cot_prc_comum, cot_prc_min, cot_prc_max, cot_prc_med, cot_prc_mediana) VALUES (1264, 69, 32, 60, 40, 60, 53, 55);</v>
      </c>
      <c r="J1265" s="0" t="str">
        <f aca="false">"UPDATE COTACAO SET cot_id = "&amp;A1265&amp;", cot_blt_id = "&amp;B1265&amp;", cot_pap_id = "&amp;C1265&amp;", cot_prc_comum = "&amp;D1265&amp;", cot_prc_min = "&amp;E1265&amp;", cot_prc_max = "&amp;F1265&amp;", cot_prc_med = "&amp;G1265&amp;", cot_prc_mediana = "&amp;H1265&amp;" WHERE cot_id = "&amp;A1265&amp;";"</f>
        <v>UPDATE COTACAO SET cot_id = 1264, cot_blt_id = 69, cot_pap_id = 32, cot_prc_comum = 60, cot_prc_min = 40, cot_prc_max = 60, cot_prc_med = 53, cot_prc_mediana = 55 WHERE cot_id = 1264;</v>
      </c>
    </row>
    <row r="1266" customFormat="false" ht="14.25" hidden="false" customHeight="false" outlineLevel="0" collapsed="false">
      <c r="A1266" s="0" t="n">
        <v>1265</v>
      </c>
      <c r="B1266" s="0" t="n">
        <f aca="false">IF('Boletins Nuppa Site'!A1266&lt;&gt;0,'Boletins Nuppa Site'!A1266,"NULL")</f>
        <v>69</v>
      </c>
      <c r="C1266" s="0" t="n">
        <v>33</v>
      </c>
      <c r="D1266" s="30" t="n">
        <f aca="false">IF('Boletins Nuppa Site'!G1266&lt;&gt;0,'Boletins Nuppa Site'!G1266,"NULL")</f>
        <v>150</v>
      </c>
      <c r="E1266" s="30" t="n">
        <f aca="false">IF('Boletins Nuppa Site'!H1266&lt;&gt;0,'Boletins Nuppa Site'!H1266,"NULL")</f>
        <v>140</v>
      </c>
      <c r="F1266" s="30" t="n">
        <f aca="false">IF('Boletins Nuppa Site'!I1266&lt;&gt;0,'Boletins Nuppa Site'!I1266,"NULL")</f>
        <v>150</v>
      </c>
      <c r="G1266" s="30" t="n">
        <f aca="false">IF('Boletins Nuppa Site'!J1266&lt;&gt;0,'Boletins Nuppa Site'!J1266,"NULL")</f>
        <v>146</v>
      </c>
      <c r="H1266" s="30" t="n">
        <f aca="false">IF('Boletins Nuppa Site'!K1266&lt;&gt;0,'Boletins Nuppa Site'!K1266,"NULL")</f>
        <v>150</v>
      </c>
      <c r="I1266" s="0" t="str">
        <f aca="false">"INSERT INTO COTACAO (cot_id, cot_blt_id, cot_pap_id, cot_prc_comum, cot_prc_min, cot_prc_max, cot_prc_med, cot_prc_mediana) VALUES ("&amp;A1266&amp;", "&amp;B1266&amp;", "&amp;C1266&amp;", "&amp;D1266&amp;", "&amp;E1266&amp;", "&amp;F1266&amp;", "&amp;G1266&amp;", "&amp;H1266&amp;");"</f>
        <v>INSERT INTO COTACAO (cot_id, cot_blt_id, cot_pap_id, cot_prc_comum, cot_prc_min, cot_prc_max, cot_prc_med, cot_prc_mediana) VALUES (1265, 69, 33, 150, 140, 150, 146, 150);</v>
      </c>
      <c r="J1266" s="0" t="str">
        <f aca="false">"UPDATE COTACAO SET cot_id = "&amp;A1266&amp;", cot_blt_id = "&amp;B1266&amp;", cot_pap_id = "&amp;C1266&amp;", cot_prc_comum = "&amp;D1266&amp;", cot_prc_min = "&amp;E1266&amp;", cot_prc_max = "&amp;F1266&amp;", cot_prc_med = "&amp;G1266&amp;", cot_prc_mediana = "&amp;H1266&amp;" WHERE cot_id = "&amp;A1266&amp;";"</f>
        <v>UPDATE COTACAO SET cot_id = 1265, cot_blt_id = 69, cot_pap_id = 33, cot_prc_comum = 150, cot_prc_min = 140, cot_prc_max = 150, cot_prc_med = 146, cot_prc_mediana = 150 WHERE cot_id = 1265;</v>
      </c>
    </row>
    <row r="1267" customFormat="false" ht="14.25" hidden="false" customHeight="false" outlineLevel="0" collapsed="false">
      <c r="A1267" s="0" t="n">
        <v>1266</v>
      </c>
      <c r="B1267" s="0" t="n">
        <f aca="false">IF('Boletins Nuppa Site'!A1267&lt;&gt;0,'Boletins Nuppa Site'!A1267,"NULL")</f>
        <v>69</v>
      </c>
      <c r="C1267" s="0" t="n">
        <v>34</v>
      </c>
      <c r="D1267" s="30" t="n">
        <f aca="false">IF('Boletins Nuppa Site'!G1267&lt;&gt;0,'Boletins Nuppa Site'!G1267,"NULL")</f>
        <v>70</v>
      </c>
      <c r="E1267" s="30" t="n">
        <f aca="false">IF('Boletins Nuppa Site'!H1267&lt;&gt;0,'Boletins Nuppa Site'!H1267,"NULL")</f>
        <v>60</v>
      </c>
      <c r="F1267" s="30" t="n">
        <f aca="false">IF('Boletins Nuppa Site'!I1267&lt;&gt;0,'Boletins Nuppa Site'!I1267,"NULL")</f>
        <v>80</v>
      </c>
      <c r="G1267" s="30" t="n">
        <f aca="false">IF('Boletins Nuppa Site'!J1267&lt;&gt;0,'Boletins Nuppa Site'!J1267,"NULL")</f>
        <v>69</v>
      </c>
      <c r="H1267" s="30" t="n">
        <f aca="false">IF('Boletins Nuppa Site'!K1267&lt;&gt;0,'Boletins Nuppa Site'!K1267,"NULL")</f>
        <v>70</v>
      </c>
      <c r="I1267" s="0" t="str">
        <f aca="false">"INSERT INTO COTACAO (cot_id, cot_blt_id, cot_pap_id, cot_prc_comum, cot_prc_min, cot_prc_max, cot_prc_med, cot_prc_mediana) VALUES ("&amp;A1267&amp;", "&amp;B1267&amp;", "&amp;C1267&amp;", "&amp;D1267&amp;", "&amp;E1267&amp;", "&amp;F1267&amp;", "&amp;G1267&amp;", "&amp;H1267&amp;");"</f>
        <v>INSERT INTO COTACAO (cot_id, cot_blt_id, cot_pap_id, cot_prc_comum, cot_prc_min, cot_prc_max, cot_prc_med, cot_prc_mediana) VALUES (1266, 69, 34, 70, 60, 80, 69, 70);</v>
      </c>
      <c r="J1267" s="0" t="str">
        <f aca="false">"UPDATE COTACAO SET cot_id = "&amp;A1267&amp;", cot_blt_id = "&amp;B1267&amp;", cot_pap_id = "&amp;C1267&amp;", cot_prc_comum = "&amp;D1267&amp;", cot_prc_min = "&amp;E1267&amp;", cot_prc_max = "&amp;F1267&amp;", cot_prc_med = "&amp;G1267&amp;", cot_prc_mediana = "&amp;H1267&amp;" WHERE cot_id = "&amp;A1267&amp;";"</f>
        <v>UPDATE COTACAO SET cot_id = 1266, cot_blt_id = 69, cot_pap_id = 34, cot_prc_comum = 70, cot_prc_min = 60, cot_prc_max = 80, cot_prc_med = 69, cot_prc_mediana = 70 WHERE cot_id = 1266;</v>
      </c>
    </row>
    <row r="1268" customFormat="false" ht="14.25" hidden="false" customHeight="false" outlineLevel="0" collapsed="false">
      <c r="A1268" s="0" t="n">
        <v>1267</v>
      </c>
      <c r="B1268" s="0" t="n">
        <f aca="false">IF('Boletins Nuppa Site'!A1268&lt;&gt;0,'Boletins Nuppa Site'!A1268,"NULL")</f>
        <v>69</v>
      </c>
      <c r="C1268" s="0" t="n">
        <v>35</v>
      </c>
      <c r="D1268" s="30" t="n">
        <f aca="false">IF('Boletins Nuppa Site'!G1268&lt;&gt;0,'Boletins Nuppa Site'!G1268,"NULL")</f>
        <v>150</v>
      </c>
      <c r="E1268" s="30" t="n">
        <f aca="false">IF('Boletins Nuppa Site'!H1268&lt;&gt;0,'Boletins Nuppa Site'!H1268,"NULL")</f>
        <v>120</v>
      </c>
      <c r="F1268" s="30" t="n">
        <f aca="false">IF('Boletins Nuppa Site'!I1268&lt;&gt;0,'Boletins Nuppa Site'!I1268,"NULL")</f>
        <v>150</v>
      </c>
      <c r="G1268" s="30" t="n">
        <f aca="false">IF('Boletins Nuppa Site'!J1268&lt;&gt;0,'Boletins Nuppa Site'!J1268,"NULL")</f>
        <v>140</v>
      </c>
      <c r="H1268" s="30" t="n">
        <f aca="false">IF('Boletins Nuppa Site'!K1268&lt;&gt;0,'Boletins Nuppa Site'!K1268,"NULL")</f>
        <v>150</v>
      </c>
      <c r="I1268" s="0" t="str">
        <f aca="false">"INSERT INTO COTACAO (cot_id, cot_blt_id, cot_pap_id, cot_prc_comum, cot_prc_min, cot_prc_max, cot_prc_med, cot_prc_mediana) VALUES ("&amp;A1268&amp;", "&amp;B1268&amp;", "&amp;C1268&amp;", "&amp;D1268&amp;", "&amp;E1268&amp;", "&amp;F1268&amp;", "&amp;G1268&amp;", "&amp;H1268&amp;");"</f>
        <v>INSERT INTO COTACAO (cot_id, cot_blt_id, cot_pap_id, cot_prc_comum, cot_prc_min, cot_prc_max, cot_prc_med, cot_prc_mediana) VALUES (1267, 69, 35, 150, 120, 150, 140, 150);</v>
      </c>
      <c r="J1268" s="0" t="str">
        <f aca="false">"UPDATE COTACAO SET cot_id = "&amp;A1268&amp;", cot_blt_id = "&amp;B1268&amp;", cot_pap_id = "&amp;C1268&amp;", cot_prc_comum = "&amp;D1268&amp;", cot_prc_min = "&amp;E1268&amp;", cot_prc_max = "&amp;F1268&amp;", cot_prc_med = "&amp;G1268&amp;", cot_prc_mediana = "&amp;H1268&amp;" WHERE cot_id = "&amp;A1268&amp;";"</f>
        <v>UPDATE COTACAO SET cot_id = 1267, cot_blt_id = 69, cot_pap_id = 35, cot_prc_comum = 150, cot_prc_min = 120, cot_prc_max = 150, cot_prc_med = 140, cot_prc_mediana = 150 WHERE cot_id = 1267;</v>
      </c>
    </row>
    <row r="1269" customFormat="false" ht="14.25" hidden="false" customHeight="false" outlineLevel="0" collapsed="false">
      <c r="A1269" s="0" t="n">
        <v>1268</v>
      </c>
      <c r="B1269" s="0" t="n">
        <f aca="false">IF('Boletins Nuppa Site'!A1269&lt;&gt;0,'Boletins Nuppa Site'!A1269,"NULL")</f>
        <v>69</v>
      </c>
      <c r="C1269" s="0" t="n">
        <v>36</v>
      </c>
      <c r="D1269" s="0" t="str">
        <f aca="false">IF('Boletins Nuppa Site'!G1269&lt;&gt;0,'Boletins Nuppa Site'!G1269,"NULL")</f>
        <v>NULL</v>
      </c>
      <c r="E1269" s="0" t="str">
        <f aca="false">IF('Boletins Nuppa Site'!H1269&lt;&gt;0,'Boletins Nuppa Site'!H1269,"NULL")</f>
        <v>NULL</v>
      </c>
      <c r="F1269" s="0" t="str">
        <f aca="false">IF('Boletins Nuppa Site'!I1269&lt;&gt;0,'Boletins Nuppa Site'!I1269,"NULL")</f>
        <v>NULL</v>
      </c>
      <c r="G1269" s="0" t="str">
        <f aca="false">IF('Boletins Nuppa Site'!J1269&lt;&gt;0,'Boletins Nuppa Site'!J1269,"NULL")</f>
        <v>NULL</v>
      </c>
      <c r="H1269" s="0" t="str">
        <f aca="false">IF('Boletins Nuppa Site'!K1269&lt;&gt;0,'Boletins Nuppa Site'!K1269,"NULL")</f>
        <v>NULL</v>
      </c>
      <c r="I1269" s="0" t="str">
        <f aca="false">"INSERT INTO COTACAO (cot_id, cot_blt_id, cot_pap_id, cot_prc_comum, cot_prc_min, cot_prc_max, cot_prc_med, cot_prc_mediana) VALUES ("&amp;A1269&amp;", "&amp;B1269&amp;", "&amp;C1269&amp;", "&amp;D1269&amp;", "&amp;E1269&amp;", "&amp;F1269&amp;", "&amp;G1269&amp;", "&amp;H1269&amp;");"</f>
        <v>INSERT INTO COTACAO (cot_id, cot_blt_id, cot_pap_id, cot_prc_comum, cot_prc_min, cot_prc_max, cot_prc_med, cot_prc_mediana) VALUES (1268, 69, 36, NULL, NULL, NULL, NULL, NULL);</v>
      </c>
      <c r="J1269" s="0" t="str">
        <f aca="false">"UPDATE COTACAO SET cot_id = "&amp;A1269&amp;", cot_blt_id = "&amp;B1269&amp;", cot_pap_id = "&amp;C1269&amp;", cot_prc_comum = "&amp;D1269&amp;", cot_prc_min = "&amp;E1269&amp;", cot_prc_max = "&amp;F1269&amp;", cot_prc_med = "&amp;G1269&amp;", cot_prc_mediana = "&amp;H1269&amp;" WHERE cot_id = "&amp;A1269&amp;";"</f>
        <v>UPDATE COTACAO SET cot_id = 1268, cot_blt_id = 69, cot_pap_id = 36, cot_prc_comum = NULL, cot_prc_min = NULL, cot_prc_max = NULL, cot_prc_med = NULL, cot_prc_mediana = NULL WHERE cot_id = 1268;</v>
      </c>
    </row>
    <row r="1270" customFormat="false" ht="14.25" hidden="false" customHeight="false" outlineLevel="0" collapsed="false">
      <c r="A1270" s="0" t="n">
        <v>1269</v>
      </c>
      <c r="B1270" s="0" t="n">
        <f aca="false">IF('Boletins Nuppa Site'!A1270&lt;&gt;0,'Boletins Nuppa Site'!A1270,"NULL")</f>
        <v>69</v>
      </c>
      <c r="C1270" s="0" t="n">
        <v>37</v>
      </c>
      <c r="D1270" s="0" t="str">
        <f aca="false">IF('Boletins Nuppa Site'!G1270&lt;&gt;0,'Boletins Nuppa Site'!G1270,"NULL")</f>
        <v>NULL</v>
      </c>
      <c r="E1270" s="0" t="str">
        <f aca="false">IF('Boletins Nuppa Site'!H1270&lt;&gt;0,'Boletins Nuppa Site'!H1270,"NULL")</f>
        <v>NULL</v>
      </c>
      <c r="F1270" s="0" t="str">
        <f aca="false">IF('Boletins Nuppa Site'!I1270&lt;&gt;0,'Boletins Nuppa Site'!I1270,"NULL")</f>
        <v>NULL</v>
      </c>
      <c r="G1270" s="0" t="str">
        <f aca="false">IF('Boletins Nuppa Site'!J1270&lt;&gt;0,'Boletins Nuppa Site'!J1270,"NULL")</f>
        <v>NULL</v>
      </c>
      <c r="H1270" s="0" t="str">
        <f aca="false">IF('Boletins Nuppa Site'!K1270&lt;&gt;0,'Boletins Nuppa Site'!K1270,"NULL")</f>
        <v>NULL</v>
      </c>
      <c r="I1270" s="0" t="str">
        <f aca="false">"INSERT INTO COTACAO (cot_id, cot_blt_id, cot_pap_id, cot_prc_comum, cot_prc_min, cot_prc_max, cot_prc_med, cot_prc_mediana) VALUES ("&amp;A1270&amp;", "&amp;B1270&amp;", "&amp;C1270&amp;", "&amp;D1270&amp;", "&amp;E1270&amp;", "&amp;F1270&amp;", "&amp;G1270&amp;", "&amp;H1270&amp;");"</f>
        <v>INSERT INTO COTACAO (cot_id, cot_blt_id, cot_pap_id, cot_prc_comum, cot_prc_min, cot_prc_max, cot_prc_med, cot_prc_mediana) VALUES (1269, 69, 37, NULL, NULL, NULL, NULL, NULL);</v>
      </c>
      <c r="J1270" s="0" t="str">
        <f aca="false">"UPDATE COTACAO SET cot_id = "&amp;A1270&amp;", cot_blt_id = "&amp;B1270&amp;", cot_pap_id = "&amp;C1270&amp;", cot_prc_comum = "&amp;D1270&amp;", cot_prc_min = "&amp;E1270&amp;", cot_prc_max = "&amp;F1270&amp;", cot_prc_med = "&amp;G1270&amp;", cot_prc_mediana = "&amp;H1270&amp;" WHERE cot_id = "&amp;A1270&amp;";"</f>
        <v>UPDATE COTACAO SET cot_id = 1269, cot_blt_id = 69, cot_pap_id = 37, cot_prc_comum = NULL, cot_prc_min = NULL, cot_prc_max = NULL, cot_prc_med = NULL, cot_prc_mediana = NULL WHERE cot_id = 1269;</v>
      </c>
    </row>
    <row r="1271" customFormat="false" ht="14.25" hidden="false" customHeight="false" outlineLevel="0" collapsed="false">
      <c r="A1271" s="0" t="n">
        <v>1270</v>
      </c>
      <c r="B1271" s="0" t="n">
        <f aca="false">IF('Boletins Nuppa Site'!A1271&lt;&gt;0,'Boletins Nuppa Site'!A1271,"NULL")</f>
        <v>69</v>
      </c>
      <c r="C1271" s="0" t="n">
        <v>38</v>
      </c>
      <c r="D1271" s="0" t="str">
        <f aca="false">IF('Boletins Nuppa Site'!G1271&lt;&gt;0,'Boletins Nuppa Site'!G1271,"NULL")</f>
        <v>NULL</v>
      </c>
      <c r="E1271" s="0" t="str">
        <f aca="false">IF('Boletins Nuppa Site'!H1271&lt;&gt;0,'Boletins Nuppa Site'!H1271,"NULL")</f>
        <v>NULL</v>
      </c>
      <c r="F1271" s="0" t="str">
        <f aca="false">IF('Boletins Nuppa Site'!I1271&lt;&gt;0,'Boletins Nuppa Site'!I1271,"NULL")</f>
        <v>NULL</v>
      </c>
      <c r="G1271" s="0" t="str">
        <f aca="false">IF('Boletins Nuppa Site'!J1271&lt;&gt;0,'Boletins Nuppa Site'!J1271,"NULL")</f>
        <v>NULL</v>
      </c>
      <c r="H1271" s="0" t="str">
        <f aca="false">IF('Boletins Nuppa Site'!K1271&lt;&gt;0,'Boletins Nuppa Site'!K1271,"NULL")</f>
        <v>NULL</v>
      </c>
      <c r="I1271" s="0" t="str">
        <f aca="false">"INSERT INTO COTACAO (cot_id, cot_blt_id, cot_pap_id, cot_prc_comum, cot_prc_min, cot_prc_max, cot_prc_med, cot_prc_mediana) VALUES ("&amp;A1271&amp;", "&amp;B1271&amp;", "&amp;C1271&amp;", "&amp;D1271&amp;", "&amp;E1271&amp;", "&amp;F1271&amp;", "&amp;G1271&amp;", "&amp;H1271&amp;");"</f>
        <v>INSERT INTO COTACAO (cot_id, cot_blt_id, cot_pap_id, cot_prc_comum, cot_prc_min, cot_prc_max, cot_prc_med, cot_prc_mediana) VALUES (1270, 69, 38, NULL, NULL, NULL, NULL, NULL);</v>
      </c>
      <c r="J1271" s="0" t="str">
        <f aca="false">"UPDATE COTACAO SET cot_id = "&amp;A1271&amp;", cot_blt_id = "&amp;B1271&amp;", cot_pap_id = "&amp;C1271&amp;", cot_prc_comum = "&amp;D1271&amp;", cot_prc_min = "&amp;E1271&amp;", cot_prc_max = "&amp;F1271&amp;", cot_prc_med = "&amp;G1271&amp;", cot_prc_mediana = "&amp;H1271&amp;" WHERE cot_id = "&amp;A1271&amp;";"</f>
        <v>UPDATE COTACAO SET cot_id = 1270, cot_blt_id = 69, cot_pap_id = 38, cot_prc_comum = NULL, cot_prc_min = NULL, cot_prc_max = NULL, cot_prc_med = NULL, cot_prc_mediana = NULL WHERE cot_id = 1270;</v>
      </c>
    </row>
    <row r="1272" customFormat="false" ht="14.25" hidden="false" customHeight="false" outlineLevel="0" collapsed="false">
      <c r="A1272" s="0" t="n">
        <v>1271</v>
      </c>
      <c r="B1272" s="0" t="n">
        <f aca="false">IF('Boletins Nuppa Site'!A1272&lt;&gt;0,'Boletins Nuppa Site'!A1272,"NULL")</f>
        <v>69</v>
      </c>
      <c r="C1272" s="0" t="n">
        <v>39</v>
      </c>
      <c r="D1272" s="0" t="str">
        <f aca="false">IF('Boletins Nuppa Site'!G1272&lt;&gt;0,'Boletins Nuppa Site'!G1272,"NULL")</f>
        <v>NULL</v>
      </c>
      <c r="E1272" s="30" t="n">
        <f aca="false">IF('Boletins Nuppa Site'!H1272&lt;&gt;0,'Boletins Nuppa Site'!H1272,"NULL")</f>
        <v>50</v>
      </c>
      <c r="F1272" s="30" t="n">
        <f aca="false">IF('Boletins Nuppa Site'!I1272&lt;&gt;0,'Boletins Nuppa Site'!I1272,"NULL")</f>
        <v>50</v>
      </c>
      <c r="G1272" s="30" t="n">
        <f aca="false">IF('Boletins Nuppa Site'!J1272&lt;&gt;0,'Boletins Nuppa Site'!J1272,"NULL")</f>
        <v>50</v>
      </c>
      <c r="H1272" s="30" t="n">
        <f aca="false">IF('Boletins Nuppa Site'!K1272&lt;&gt;0,'Boletins Nuppa Site'!K1272,"NULL")</f>
        <v>50</v>
      </c>
      <c r="I1272" s="0" t="str">
        <f aca="false">"INSERT INTO COTACAO (cot_id, cot_blt_id, cot_pap_id, cot_prc_comum, cot_prc_min, cot_prc_max, cot_prc_med, cot_prc_mediana) VALUES ("&amp;A1272&amp;", "&amp;B1272&amp;", "&amp;C1272&amp;", "&amp;D1272&amp;", "&amp;E1272&amp;", "&amp;F1272&amp;", "&amp;G1272&amp;", "&amp;H1272&amp;");"</f>
        <v>INSERT INTO COTACAO (cot_id, cot_blt_id, cot_pap_id, cot_prc_comum, cot_prc_min, cot_prc_max, cot_prc_med, cot_prc_mediana) VALUES (1271, 69, 39, NULL, 50, 50, 50, 50);</v>
      </c>
      <c r="J1272" s="0" t="str">
        <f aca="false">"UPDATE COTACAO SET cot_id = "&amp;A1272&amp;", cot_blt_id = "&amp;B1272&amp;", cot_pap_id = "&amp;C1272&amp;", cot_prc_comum = "&amp;D1272&amp;", cot_prc_min = "&amp;E1272&amp;", cot_prc_max = "&amp;F1272&amp;", cot_prc_med = "&amp;G1272&amp;", cot_prc_mediana = "&amp;H1272&amp;" WHERE cot_id = "&amp;A1272&amp;";"</f>
        <v>UPDATE COTACAO SET cot_id = 1271, cot_blt_id = 69, cot_pap_id = 39, cot_prc_comum = NULL, cot_prc_min = 50, cot_prc_max = 50, cot_prc_med = 50, cot_prc_mediana = 50 WHERE cot_id = 1271;</v>
      </c>
    </row>
    <row r="1273" customFormat="false" ht="14.25" hidden="false" customHeight="false" outlineLevel="0" collapsed="false">
      <c r="A1273" s="0" t="n">
        <v>1272</v>
      </c>
      <c r="B1273" s="0" t="n">
        <f aca="false">IF('Boletins Nuppa Site'!A1273&lt;&gt;0,'Boletins Nuppa Site'!A1273,"NULL")</f>
        <v>69</v>
      </c>
      <c r="C1273" s="0" t="n">
        <v>40</v>
      </c>
      <c r="D1273" s="0" t="str">
        <f aca="false">IF('Boletins Nuppa Site'!G1273&lt;&gt;0,'Boletins Nuppa Site'!G1273,"NULL")</f>
        <v>NULL</v>
      </c>
      <c r="E1273" s="0" t="str">
        <f aca="false">IF('Boletins Nuppa Site'!H1273&lt;&gt;0,'Boletins Nuppa Site'!H1273,"NULL")</f>
        <v>NULL</v>
      </c>
      <c r="F1273" s="0" t="str">
        <f aca="false">IF('Boletins Nuppa Site'!I1273&lt;&gt;0,'Boletins Nuppa Site'!I1273,"NULL")</f>
        <v>NULL</v>
      </c>
      <c r="G1273" s="0" t="str">
        <f aca="false">IF('Boletins Nuppa Site'!J1273&lt;&gt;0,'Boletins Nuppa Site'!J1273,"NULL")</f>
        <v>NULL</v>
      </c>
      <c r="H1273" s="0" t="str">
        <f aca="false">IF('Boletins Nuppa Site'!K1273&lt;&gt;0,'Boletins Nuppa Site'!K1273,"NULL")</f>
        <v>NULL</v>
      </c>
      <c r="I1273" s="0" t="str">
        <f aca="false">"INSERT INTO COTACAO (cot_id, cot_blt_id, cot_pap_id, cot_prc_comum, cot_prc_min, cot_prc_max, cot_prc_med, cot_prc_mediana) VALUES ("&amp;A1273&amp;", "&amp;B1273&amp;", "&amp;C1273&amp;", "&amp;D1273&amp;", "&amp;E1273&amp;", "&amp;F1273&amp;", "&amp;G1273&amp;", "&amp;H1273&amp;");"</f>
        <v>INSERT INTO COTACAO (cot_id, cot_blt_id, cot_pap_id, cot_prc_comum, cot_prc_min, cot_prc_max, cot_prc_med, cot_prc_mediana) VALUES (1272, 69, 40, NULL, NULL, NULL, NULL, NULL);</v>
      </c>
      <c r="J1273" s="0" t="str">
        <f aca="false">"UPDATE COTACAO SET cot_id = "&amp;A1273&amp;", cot_blt_id = "&amp;B1273&amp;", cot_pap_id = "&amp;C1273&amp;", cot_prc_comum = "&amp;D1273&amp;", cot_prc_min = "&amp;E1273&amp;", cot_prc_max = "&amp;F1273&amp;", cot_prc_med = "&amp;G1273&amp;", cot_prc_mediana = "&amp;H1273&amp;" WHERE cot_id = "&amp;A1273&amp;";"</f>
        <v>UPDATE COTACAO SET cot_id = 1272, cot_blt_id = 69, cot_pap_id = 40, cot_prc_comum = NULL, cot_prc_min = NULL, cot_prc_max = NULL, cot_prc_med = NULL, cot_prc_mediana = NULL WHERE cot_id = 1272;</v>
      </c>
    </row>
    <row r="1274" customFormat="false" ht="14.25" hidden="false" customHeight="false" outlineLevel="0" collapsed="false">
      <c r="A1274" s="0" t="n">
        <v>1273</v>
      </c>
      <c r="B1274" s="0" t="n">
        <f aca="false">IF('Boletins Nuppa Site'!A1274&lt;&gt;0,'Boletins Nuppa Site'!A1274,"NULL")</f>
        <v>70</v>
      </c>
      <c r="C1274" s="0" t="n">
        <v>1</v>
      </c>
      <c r="D1274" s="30" t="n">
        <f aca="false">IF('Boletins Nuppa Site'!G1274&lt;&gt;0,'Boletins Nuppa Site'!G1274,"NULL")</f>
        <v>48</v>
      </c>
      <c r="E1274" s="30" t="n">
        <f aca="false">IF('Boletins Nuppa Site'!H1274&lt;&gt;0,'Boletins Nuppa Site'!H1274,"NULL")</f>
        <v>48</v>
      </c>
      <c r="F1274" s="30" t="n">
        <f aca="false">IF('Boletins Nuppa Site'!I1274&lt;&gt;0,'Boletins Nuppa Site'!I1274,"NULL")</f>
        <v>60</v>
      </c>
      <c r="G1274" s="30" t="n">
        <f aca="false">IF('Boletins Nuppa Site'!J1274&lt;&gt;0,'Boletins Nuppa Site'!J1274,"NULL")</f>
        <v>51</v>
      </c>
      <c r="H1274" s="30" t="n">
        <f aca="false">IF('Boletins Nuppa Site'!K1274&lt;&gt;0,'Boletins Nuppa Site'!K1274,"NULL")</f>
        <v>48</v>
      </c>
      <c r="I1274" s="0" t="str">
        <f aca="false">"INSERT INTO COTACAO (cot_id, cot_blt_id, cot_pap_id, cot_prc_comum, cot_prc_min, cot_prc_max, cot_prc_med, cot_prc_mediana) VALUES ("&amp;A1274&amp;", "&amp;B1274&amp;", "&amp;C1274&amp;", "&amp;D1274&amp;", "&amp;E1274&amp;", "&amp;F1274&amp;", "&amp;G1274&amp;", "&amp;H1274&amp;");"</f>
        <v>INSERT INTO COTACAO (cot_id, cot_blt_id, cot_pap_id, cot_prc_comum, cot_prc_min, cot_prc_max, cot_prc_med, cot_prc_mediana) VALUES (1273, 70, 1, 48, 48, 60, 51, 48);</v>
      </c>
      <c r="J1274" s="0" t="str">
        <f aca="false">"UPDATE COTACAO SET cot_id = "&amp;A1274&amp;", cot_blt_id = "&amp;B1274&amp;", cot_pap_id = "&amp;C1274&amp;", cot_prc_comum = "&amp;D1274&amp;", cot_prc_min = "&amp;E1274&amp;", cot_prc_max = "&amp;F1274&amp;", cot_prc_med = "&amp;G1274&amp;", cot_prc_mediana = "&amp;H1274&amp;" WHERE cot_id = "&amp;A1274&amp;";"</f>
        <v>UPDATE COTACAO SET cot_id = 1273, cot_blt_id = 70, cot_pap_id = 1, cot_prc_comum = 48, cot_prc_min = 48, cot_prc_max = 60, cot_prc_med = 51, cot_prc_mediana = 48 WHERE cot_id = 1273;</v>
      </c>
    </row>
    <row r="1275" customFormat="false" ht="14.25" hidden="false" customHeight="false" outlineLevel="0" collapsed="false">
      <c r="A1275" s="0" t="n">
        <v>1274</v>
      </c>
      <c r="B1275" s="0" t="n">
        <f aca="false">IF('Boletins Nuppa Site'!A1275&lt;&gt;0,'Boletins Nuppa Site'!A1275,"NULL")</f>
        <v>70</v>
      </c>
      <c r="C1275" s="0" t="n">
        <v>2</v>
      </c>
      <c r="D1275" s="30" t="n">
        <f aca="false">IF('Boletins Nuppa Site'!G1275&lt;&gt;0,'Boletins Nuppa Site'!G1275,"NULL")</f>
        <v>84</v>
      </c>
      <c r="E1275" s="30" t="n">
        <f aca="false">IF('Boletins Nuppa Site'!H1275&lt;&gt;0,'Boletins Nuppa Site'!H1275,"NULL")</f>
        <v>60</v>
      </c>
      <c r="F1275" s="30" t="n">
        <f aca="false">IF('Boletins Nuppa Site'!I1275&lt;&gt;0,'Boletins Nuppa Site'!I1275,"NULL")</f>
        <v>84</v>
      </c>
      <c r="G1275" s="30" t="n">
        <f aca="false">IF('Boletins Nuppa Site'!J1275&lt;&gt;0,'Boletins Nuppa Site'!J1275,"NULL")</f>
        <v>75</v>
      </c>
      <c r="H1275" s="30" t="n">
        <f aca="false">IF('Boletins Nuppa Site'!K1275&lt;&gt;0,'Boletins Nuppa Site'!K1275,"NULL")</f>
        <v>78</v>
      </c>
      <c r="I1275" s="0" t="str">
        <f aca="false">"INSERT INTO COTACAO (cot_id, cot_blt_id, cot_pap_id, cot_prc_comum, cot_prc_min, cot_prc_max, cot_prc_med, cot_prc_mediana) VALUES ("&amp;A1275&amp;", "&amp;B1275&amp;", "&amp;C1275&amp;", "&amp;D1275&amp;", "&amp;E1275&amp;", "&amp;F1275&amp;", "&amp;G1275&amp;", "&amp;H1275&amp;");"</f>
        <v>INSERT INTO COTACAO (cot_id, cot_blt_id, cot_pap_id, cot_prc_comum, cot_prc_min, cot_prc_max, cot_prc_med, cot_prc_mediana) VALUES (1274, 70, 2, 84, 60, 84, 75, 78);</v>
      </c>
      <c r="J1275" s="0" t="str">
        <f aca="false">"UPDATE COTACAO SET cot_id = "&amp;A1275&amp;", cot_blt_id = "&amp;B1275&amp;", cot_pap_id = "&amp;C1275&amp;", cot_prc_comum = "&amp;D1275&amp;", cot_prc_min = "&amp;E1275&amp;", cot_prc_max = "&amp;F1275&amp;", cot_prc_med = "&amp;G1275&amp;", cot_prc_mediana = "&amp;H1275&amp;" WHERE cot_id = "&amp;A1275&amp;";"</f>
        <v>UPDATE COTACAO SET cot_id = 1274, cot_blt_id = 70, cot_pap_id = 2, cot_prc_comum = 84, cot_prc_min = 60, cot_prc_max = 84, cot_prc_med = 75, cot_prc_mediana = 78 WHERE cot_id = 1274;</v>
      </c>
    </row>
    <row r="1276" customFormat="false" ht="14.25" hidden="false" customHeight="false" outlineLevel="0" collapsed="false">
      <c r="A1276" s="0" t="n">
        <v>1275</v>
      </c>
      <c r="B1276" s="0" t="n">
        <f aca="false">IF('Boletins Nuppa Site'!A1276&lt;&gt;0,'Boletins Nuppa Site'!A1276,"NULL")</f>
        <v>70</v>
      </c>
      <c r="C1276" s="0" t="n">
        <v>3</v>
      </c>
      <c r="D1276" s="30" t="n">
        <f aca="false">IF('Boletins Nuppa Site'!G1276&lt;&gt;0,'Boletins Nuppa Site'!G1276,"NULL")</f>
        <v>36</v>
      </c>
      <c r="E1276" s="30" t="n">
        <f aca="false">IF('Boletins Nuppa Site'!H1276&lt;&gt;0,'Boletins Nuppa Site'!H1276,"NULL")</f>
        <v>36</v>
      </c>
      <c r="F1276" s="30" t="n">
        <f aca="false">IF('Boletins Nuppa Site'!I1276&lt;&gt;0,'Boletins Nuppa Site'!I1276,"NULL")</f>
        <v>48</v>
      </c>
      <c r="G1276" s="0" t="str">
        <f aca="false">IF('Boletins Nuppa Site'!J1276&lt;&gt;0,'Boletins Nuppa Site'!J1276,"NULL")</f>
        <v>38.4</v>
      </c>
      <c r="H1276" s="30" t="n">
        <f aca="false">IF('Boletins Nuppa Site'!K1276&lt;&gt;0,'Boletins Nuppa Site'!K1276,"NULL")</f>
        <v>36</v>
      </c>
      <c r="I1276" s="0" t="str">
        <f aca="false">"INSERT INTO COTACAO (cot_id, cot_blt_id, cot_pap_id, cot_prc_comum, cot_prc_min, cot_prc_max, cot_prc_med, cot_prc_mediana) VALUES ("&amp;A1276&amp;", "&amp;B1276&amp;", "&amp;C1276&amp;", "&amp;D1276&amp;", "&amp;E1276&amp;", "&amp;F1276&amp;", "&amp;G1276&amp;", "&amp;H1276&amp;");"</f>
        <v>INSERT INTO COTACAO (cot_id, cot_blt_id, cot_pap_id, cot_prc_comum, cot_prc_min, cot_prc_max, cot_prc_med, cot_prc_mediana) VALUES (1275, 70, 3, 36, 36, 48, 38.4, 36);</v>
      </c>
      <c r="J1276" s="0" t="str">
        <f aca="false">"UPDATE COTACAO SET cot_id = "&amp;A1276&amp;", cot_blt_id = "&amp;B1276&amp;", cot_pap_id = "&amp;C1276&amp;", cot_prc_comum = "&amp;D1276&amp;", cot_prc_min = "&amp;E1276&amp;", cot_prc_max = "&amp;F1276&amp;", cot_prc_med = "&amp;G1276&amp;", cot_prc_mediana = "&amp;H1276&amp;" WHERE cot_id = "&amp;A1276&amp;";"</f>
        <v>UPDATE COTACAO SET cot_id = 1275, cot_blt_id = 70, cot_pap_id = 3, cot_prc_comum = 36, cot_prc_min = 36, cot_prc_max = 48, cot_prc_med = 38.4, cot_prc_mediana = 36 WHERE cot_id = 1275;</v>
      </c>
    </row>
    <row r="1277" customFormat="false" ht="14.25" hidden="false" customHeight="false" outlineLevel="0" collapsed="false">
      <c r="A1277" s="0" t="n">
        <v>1276</v>
      </c>
      <c r="B1277" s="0" t="n">
        <f aca="false">IF('Boletins Nuppa Site'!A1277&lt;&gt;0,'Boletins Nuppa Site'!A1277,"NULL")</f>
        <v>70</v>
      </c>
      <c r="C1277" s="0" t="n">
        <v>4</v>
      </c>
      <c r="D1277" s="30" t="n">
        <f aca="false">IF('Boletins Nuppa Site'!G1277&lt;&gt;0,'Boletins Nuppa Site'!G1277,"NULL")</f>
        <v>24</v>
      </c>
      <c r="E1277" s="30" t="n">
        <f aca="false">IF('Boletins Nuppa Site'!H1277&lt;&gt;0,'Boletins Nuppa Site'!H1277,"NULL")</f>
        <v>15</v>
      </c>
      <c r="F1277" s="30" t="n">
        <f aca="false">IF('Boletins Nuppa Site'!I1277&lt;&gt;0,'Boletins Nuppa Site'!I1277,"NULL")</f>
        <v>36</v>
      </c>
      <c r="G1277" s="0" t="str">
        <f aca="false">IF('Boletins Nuppa Site'!J1277&lt;&gt;0,'Boletins Nuppa Site'!J1277,"NULL")</f>
        <v>23.4</v>
      </c>
      <c r="H1277" s="30" t="n">
        <f aca="false">IF('Boletins Nuppa Site'!K1277&lt;&gt;0,'Boletins Nuppa Site'!K1277,"NULL")</f>
        <v>24</v>
      </c>
      <c r="I1277" s="0" t="str">
        <f aca="false">"INSERT INTO COTACAO (cot_id, cot_blt_id, cot_pap_id, cot_prc_comum, cot_prc_min, cot_prc_max, cot_prc_med, cot_prc_mediana) VALUES ("&amp;A1277&amp;", "&amp;B1277&amp;", "&amp;C1277&amp;", "&amp;D1277&amp;", "&amp;E1277&amp;", "&amp;F1277&amp;", "&amp;G1277&amp;", "&amp;H1277&amp;");"</f>
        <v>INSERT INTO COTACAO (cot_id, cot_blt_id, cot_pap_id, cot_prc_comum, cot_prc_min, cot_prc_max, cot_prc_med, cot_prc_mediana) VALUES (1276, 70, 4, 24, 15, 36, 23.4, 24);</v>
      </c>
      <c r="J1277" s="0" t="str">
        <f aca="false">"UPDATE COTACAO SET cot_id = "&amp;A1277&amp;", cot_blt_id = "&amp;B1277&amp;", cot_pap_id = "&amp;C1277&amp;", cot_prc_comum = "&amp;D1277&amp;", cot_prc_min = "&amp;E1277&amp;", cot_prc_max = "&amp;F1277&amp;", cot_prc_med = "&amp;G1277&amp;", cot_prc_mediana = "&amp;H1277&amp;" WHERE cot_id = "&amp;A1277&amp;";"</f>
        <v>UPDATE COTACAO SET cot_id = 1276, cot_blt_id = 70, cot_pap_id = 4, cot_prc_comum = 24, cot_prc_min = 15, cot_prc_max = 36, cot_prc_med = 23.4, cot_prc_mediana = 24 WHERE cot_id = 1276;</v>
      </c>
    </row>
    <row r="1278" customFormat="false" ht="14.25" hidden="false" customHeight="false" outlineLevel="0" collapsed="false">
      <c r="A1278" s="0" t="n">
        <v>1277</v>
      </c>
      <c r="B1278" s="0" t="n">
        <f aca="false">IF('Boletins Nuppa Site'!A1278&lt;&gt;0,'Boletins Nuppa Site'!A1278,"NULL")</f>
        <v>70</v>
      </c>
      <c r="C1278" s="0" t="n">
        <v>5</v>
      </c>
      <c r="D1278" s="30" t="n">
        <f aca="false">IF('Boletins Nuppa Site'!G1278&lt;&gt;0,'Boletins Nuppa Site'!G1278,"NULL")</f>
        <v>24</v>
      </c>
      <c r="E1278" s="30" t="n">
        <f aca="false">IF('Boletins Nuppa Site'!H1278&lt;&gt;0,'Boletins Nuppa Site'!H1278,"NULL")</f>
        <v>15</v>
      </c>
      <c r="F1278" s="30" t="n">
        <f aca="false">IF('Boletins Nuppa Site'!I1278&lt;&gt;0,'Boletins Nuppa Site'!I1278,"NULL")</f>
        <v>36</v>
      </c>
      <c r="G1278" s="0" t="str">
        <f aca="false">IF('Boletins Nuppa Site'!J1278&lt;&gt;0,'Boletins Nuppa Site'!J1278,"NULL")</f>
        <v>24.75</v>
      </c>
      <c r="H1278" s="30" t="n">
        <f aca="false">IF('Boletins Nuppa Site'!K1278&lt;&gt;0,'Boletins Nuppa Site'!K1278,"NULL")</f>
        <v>24</v>
      </c>
      <c r="I1278" s="0" t="str">
        <f aca="false">"INSERT INTO COTACAO (cot_id, cot_blt_id, cot_pap_id, cot_prc_comum, cot_prc_min, cot_prc_max, cot_prc_med, cot_prc_mediana) VALUES ("&amp;A1278&amp;", "&amp;B1278&amp;", "&amp;C1278&amp;", "&amp;D1278&amp;", "&amp;E1278&amp;", "&amp;F1278&amp;", "&amp;G1278&amp;", "&amp;H1278&amp;");"</f>
        <v>INSERT INTO COTACAO (cot_id, cot_blt_id, cot_pap_id, cot_prc_comum, cot_prc_min, cot_prc_max, cot_prc_med, cot_prc_mediana) VALUES (1277, 70, 5, 24, 15, 36, 24.75, 24);</v>
      </c>
      <c r="J1278" s="0" t="str">
        <f aca="false">"UPDATE COTACAO SET cot_id = "&amp;A1278&amp;", cot_blt_id = "&amp;B1278&amp;", cot_pap_id = "&amp;C1278&amp;", cot_prc_comum = "&amp;D1278&amp;", cot_prc_min = "&amp;E1278&amp;", cot_prc_max = "&amp;F1278&amp;", cot_prc_med = "&amp;G1278&amp;", cot_prc_mediana = "&amp;H1278&amp;" WHERE cot_id = "&amp;A1278&amp;";"</f>
        <v>UPDATE COTACAO SET cot_id = 1277, cot_blt_id = 70, cot_pap_id = 5, cot_prc_comum = 24, cot_prc_min = 15, cot_prc_max = 36, cot_prc_med = 24.75, cot_prc_mediana = 24 WHERE cot_id = 1277;</v>
      </c>
    </row>
    <row r="1279" customFormat="false" ht="14.25" hidden="false" customHeight="false" outlineLevel="0" collapsed="false">
      <c r="A1279" s="0" t="n">
        <v>1278</v>
      </c>
      <c r="B1279" s="0" t="n">
        <f aca="false">IF('Boletins Nuppa Site'!A1279&lt;&gt;0,'Boletins Nuppa Site'!A1279,"NULL")</f>
        <v>70</v>
      </c>
      <c r="C1279" s="0" t="n">
        <v>6</v>
      </c>
      <c r="D1279" s="30" t="n">
        <f aca="false">IF('Boletins Nuppa Site'!G1279&lt;&gt;0,'Boletins Nuppa Site'!G1279,"NULL")</f>
        <v>60</v>
      </c>
      <c r="E1279" s="30" t="n">
        <f aca="false">IF('Boletins Nuppa Site'!H1279&lt;&gt;0,'Boletins Nuppa Site'!H1279,"NULL")</f>
        <v>60</v>
      </c>
      <c r="F1279" s="30" t="n">
        <f aca="false">IF('Boletins Nuppa Site'!I1279&lt;&gt;0,'Boletins Nuppa Site'!I1279,"NULL")</f>
        <v>60</v>
      </c>
      <c r="G1279" s="30" t="n">
        <f aca="false">IF('Boletins Nuppa Site'!J1279&lt;&gt;0,'Boletins Nuppa Site'!J1279,"NULL")</f>
        <v>60</v>
      </c>
      <c r="H1279" s="30" t="n">
        <f aca="false">IF('Boletins Nuppa Site'!K1279&lt;&gt;0,'Boletins Nuppa Site'!K1279,"NULL")</f>
        <v>60</v>
      </c>
      <c r="I1279" s="0" t="str">
        <f aca="false">"INSERT INTO COTACAO (cot_id, cot_blt_id, cot_pap_id, cot_prc_comum, cot_prc_min, cot_prc_max, cot_prc_med, cot_prc_mediana) VALUES ("&amp;A1279&amp;", "&amp;B1279&amp;", "&amp;C1279&amp;", "&amp;D1279&amp;", "&amp;E1279&amp;", "&amp;F1279&amp;", "&amp;G1279&amp;", "&amp;H1279&amp;");"</f>
        <v>INSERT INTO COTACAO (cot_id, cot_blt_id, cot_pap_id, cot_prc_comum, cot_prc_min, cot_prc_max, cot_prc_med, cot_prc_mediana) VALUES (1278, 70, 6, 60, 60, 60, 60, 60);</v>
      </c>
      <c r="J1279" s="0" t="str">
        <f aca="false">"UPDATE COTACAO SET cot_id = "&amp;A1279&amp;", cot_blt_id = "&amp;B1279&amp;", cot_pap_id = "&amp;C1279&amp;", cot_prc_comum = "&amp;D1279&amp;", cot_prc_min = "&amp;E1279&amp;", cot_prc_max = "&amp;F1279&amp;", cot_prc_med = "&amp;G1279&amp;", cot_prc_mediana = "&amp;H1279&amp;" WHERE cot_id = "&amp;A1279&amp;";"</f>
        <v>UPDATE COTACAO SET cot_id = 1278, cot_blt_id = 70, cot_pap_id = 6, cot_prc_comum = 60, cot_prc_min = 60, cot_prc_max = 60, cot_prc_med = 60, cot_prc_mediana = 60 WHERE cot_id = 1278;</v>
      </c>
    </row>
    <row r="1280" customFormat="false" ht="14.25" hidden="false" customHeight="false" outlineLevel="0" collapsed="false">
      <c r="A1280" s="0" t="n">
        <v>1279</v>
      </c>
      <c r="B1280" s="0" t="n">
        <f aca="false">IF('Boletins Nuppa Site'!A1280&lt;&gt;0,'Boletins Nuppa Site'!A1280,"NULL")</f>
        <v>70</v>
      </c>
      <c r="C1280" s="0" t="n">
        <v>7</v>
      </c>
      <c r="D1280" s="30" t="n">
        <f aca="false">IF('Boletins Nuppa Site'!G1280&lt;&gt;0,'Boletins Nuppa Site'!G1280,"NULL")</f>
        <v>48</v>
      </c>
      <c r="E1280" s="30" t="n">
        <f aca="false">IF('Boletins Nuppa Site'!H1280&lt;&gt;0,'Boletins Nuppa Site'!H1280,"NULL")</f>
        <v>48</v>
      </c>
      <c r="F1280" s="30" t="n">
        <f aca="false">IF('Boletins Nuppa Site'!I1280&lt;&gt;0,'Boletins Nuppa Site'!I1280,"NULL")</f>
        <v>72</v>
      </c>
      <c r="G1280" s="30" t="n">
        <f aca="false">IF('Boletins Nuppa Site'!J1280&lt;&gt;0,'Boletins Nuppa Site'!J1280,"NULL")</f>
        <v>57</v>
      </c>
      <c r="H1280" s="30" t="n">
        <f aca="false">IF('Boletins Nuppa Site'!K1280&lt;&gt;0,'Boletins Nuppa Site'!K1280,"NULL")</f>
        <v>54</v>
      </c>
      <c r="I1280" s="0" t="str">
        <f aca="false">"INSERT INTO COTACAO (cot_id, cot_blt_id, cot_pap_id, cot_prc_comum, cot_prc_min, cot_prc_max, cot_prc_med, cot_prc_mediana) VALUES ("&amp;A1280&amp;", "&amp;B1280&amp;", "&amp;C1280&amp;", "&amp;D1280&amp;", "&amp;E1280&amp;", "&amp;F1280&amp;", "&amp;G1280&amp;", "&amp;H1280&amp;");"</f>
        <v>INSERT INTO COTACAO (cot_id, cot_blt_id, cot_pap_id, cot_prc_comum, cot_prc_min, cot_prc_max, cot_prc_med, cot_prc_mediana) VALUES (1279, 70, 7, 48, 48, 72, 57, 54);</v>
      </c>
      <c r="J1280" s="0" t="str">
        <f aca="false">"UPDATE COTACAO SET cot_id = "&amp;A1280&amp;", cot_blt_id = "&amp;B1280&amp;", cot_pap_id = "&amp;C1280&amp;", cot_prc_comum = "&amp;D1280&amp;", cot_prc_min = "&amp;E1280&amp;", cot_prc_max = "&amp;F1280&amp;", cot_prc_med = "&amp;G1280&amp;", cot_prc_mediana = "&amp;H1280&amp;" WHERE cot_id = "&amp;A1280&amp;";"</f>
        <v>UPDATE COTACAO SET cot_id = 1279, cot_blt_id = 70, cot_pap_id = 7, cot_prc_comum = 48, cot_prc_min = 48, cot_prc_max = 72, cot_prc_med = 57, cot_prc_mediana = 54 WHERE cot_id = 1279;</v>
      </c>
    </row>
    <row r="1281" customFormat="false" ht="14.25" hidden="false" customHeight="false" outlineLevel="0" collapsed="false">
      <c r="A1281" s="0" t="n">
        <v>1280</v>
      </c>
      <c r="B1281" s="0" t="n">
        <f aca="false">IF('Boletins Nuppa Site'!A1281&lt;&gt;0,'Boletins Nuppa Site'!A1281,"NULL")</f>
        <v>70</v>
      </c>
      <c r="C1281" s="0" t="n">
        <v>8</v>
      </c>
      <c r="D1281" s="30" t="n">
        <f aca="false">IF('Boletins Nuppa Site'!G1281&lt;&gt;0,'Boletins Nuppa Site'!G1281,"NULL")</f>
        <v>72</v>
      </c>
      <c r="E1281" s="30" t="n">
        <f aca="false">IF('Boletins Nuppa Site'!H1281&lt;&gt;0,'Boletins Nuppa Site'!H1281,"NULL")</f>
        <v>60</v>
      </c>
      <c r="F1281" s="30" t="n">
        <f aca="false">IF('Boletins Nuppa Site'!I1281&lt;&gt;0,'Boletins Nuppa Site'!I1281,"NULL")</f>
        <v>72</v>
      </c>
      <c r="G1281" s="0" t="str">
        <f aca="false">IF('Boletins Nuppa Site'!J1281&lt;&gt;0,'Boletins Nuppa Site'!J1281,"NULL")</f>
        <v>67.2</v>
      </c>
      <c r="H1281" s="30" t="n">
        <f aca="false">IF('Boletins Nuppa Site'!K1281&lt;&gt;0,'Boletins Nuppa Site'!K1281,"NULL")</f>
        <v>72</v>
      </c>
      <c r="I1281" s="0" t="str">
        <f aca="false">"INSERT INTO COTACAO (cot_id, cot_blt_id, cot_pap_id, cot_prc_comum, cot_prc_min, cot_prc_max, cot_prc_med, cot_prc_mediana) VALUES ("&amp;A1281&amp;", "&amp;B1281&amp;", "&amp;C1281&amp;", "&amp;D1281&amp;", "&amp;E1281&amp;", "&amp;F1281&amp;", "&amp;G1281&amp;", "&amp;H1281&amp;");"</f>
        <v>INSERT INTO COTACAO (cot_id, cot_blt_id, cot_pap_id, cot_prc_comum, cot_prc_min, cot_prc_max, cot_prc_med, cot_prc_mediana) VALUES (1280, 70, 8, 72, 60, 72, 67.2, 72);</v>
      </c>
      <c r="J1281" s="0" t="str">
        <f aca="false">"UPDATE COTACAO SET cot_id = "&amp;A1281&amp;", cot_blt_id = "&amp;B1281&amp;", cot_pap_id = "&amp;C1281&amp;", cot_prc_comum = "&amp;D1281&amp;", cot_prc_min = "&amp;E1281&amp;", cot_prc_max = "&amp;F1281&amp;", cot_prc_med = "&amp;G1281&amp;", cot_prc_mediana = "&amp;H1281&amp;" WHERE cot_id = "&amp;A1281&amp;";"</f>
        <v>UPDATE COTACAO SET cot_id = 1280, cot_blt_id = 70, cot_pap_id = 8, cot_prc_comum = 72, cot_prc_min = 60, cot_prc_max = 72, cot_prc_med = 67.2, cot_prc_mediana = 72 WHERE cot_id = 1280;</v>
      </c>
    </row>
    <row r="1282" customFormat="false" ht="14.25" hidden="false" customHeight="false" outlineLevel="0" collapsed="false">
      <c r="A1282" s="0" t="n">
        <v>1281</v>
      </c>
      <c r="B1282" s="0" t="n">
        <f aca="false">IF('Boletins Nuppa Site'!A1282&lt;&gt;0,'Boletins Nuppa Site'!A1282,"NULL")</f>
        <v>70</v>
      </c>
      <c r="C1282" s="0" t="n">
        <v>9</v>
      </c>
      <c r="D1282" s="30" t="n">
        <f aca="false">IF('Boletins Nuppa Site'!G1282&lt;&gt;0,'Boletins Nuppa Site'!G1282,"NULL")</f>
        <v>24</v>
      </c>
      <c r="E1282" s="30" t="n">
        <f aca="false">IF('Boletins Nuppa Site'!H1282&lt;&gt;0,'Boletins Nuppa Site'!H1282,"NULL")</f>
        <v>18</v>
      </c>
      <c r="F1282" s="30" t="n">
        <f aca="false">IF('Boletins Nuppa Site'!I1282&lt;&gt;0,'Boletins Nuppa Site'!I1282,"NULL")</f>
        <v>24</v>
      </c>
      <c r="G1282" s="0" t="str">
        <f aca="false">IF('Boletins Nuppa Site'!J1282&lt;&gt;0,'Boletins Nuppa Site'!J1282,"NULL")</f>
        <v>21.6</v>
      </c>
      <c r="H1282" s="30" t="n">
        <f aca="false">IF('Boletins Nuppa Site'!K1282&lt;&gt;0,'Boletins Nuppa Site'!K1282,"NULL")</f>
        <v>24</v>
      </c>
      <c r="I1282" s="0" t="str">
        <f aca="false">"INSERT INTO COTACAO (cot_id, cot_blt_id, cot_pap_id, cot_prc_comum, cot_prc_min, cot_prc_max, cot_prc_med, cot_prc_mediana) VALUES ("&amp;A1282&amp;", "&amp;B1282&amp;", "&amp;C1282&amp;", "&amp;D1282&amp;", "&amp;E1282&amp;", "&amp;F1282&amp;", "&amp;G1282&amp;", "&amp;H1282&amp;");"</f>
        <v>INSERT INTO COTACAO (cot_id, cot_blt_id, cot_pap_id, cot_prc_comum, cot_prc_min, cot_prc_max, cot_prc_med, cot_prc_mediana) VALUES (1281, 70, 9, 24, 18, 24, 21.6, 24);</v>
      </c>
      <c r="J1282" s="0" t="str">
        <f aca="false">"UPDATE COTACAO SET cot_id = "&amp;A1282&amp;", cot_blt_id = "&amp;B1282&amp;", cot_pap_id = "&amp;C1282&amp;", cot_prc_comum = "&amp;D1282&amp;", cot_prc_min = "&amp;E1282&amp;", cot_prc_max = "&amp;F1282&amp;", cot_prc_med = "&amp;G1282&amp;", cot_prc_mediana = "&amp;H1282&amp;" WHERE cot_id = "&amp;A1282&amp;";"</f>
        <v>UPDATE COTACAO SET cot_id = 1281, cot_blt_id = 70, cot_pap_id = 9, cot_prc_comum = 24, cot_prc_min = 18, cot_prc_max = 24, cot_prc_med = 21.6, cot_prc_mediana = 24 WHERE cot_id = 1281;</v>
      </c>
    </row>
    <row r="1283" customFormat="false" ht="14.25" hidden="false" customHeight="false" outlineLevel="0" collapsed="false">
      <c r="A1283" s="0" t="n">
        <v>1282</v>
      </c>
      <c r="B1283" s="0" t="n">
        <f aca="false">IF('Boletins Nuppa Site'!A1283&lt;&gt;0,'Boletins Nuppa Site'!A1283,"NULL")</f>
        <v>70</v>
      </c>
      <c r="C1283" s="0" t="n">
        <v>10</v>
      </c>
      <c r="D1283" s="30" t="n">
        <f aca="false">IF('Boletins Nuppa Site'!G1283&lt;&gt;0,'Boletins Nuppa Site'!G1283,"NULL")</f>
        <v>60</v>
      </c>
      <c r="E1283" s="30" t="n">
        <f aca="false">IF('Boletins Nuppa Site'!H1283&lt;&gt;0,'Boletins Nuppa Site'!H1283,"NULL")</f>
        <v>60</v>
      </c>
      <c r="F1283" s="30" t="n">
        <f aca="false">IF('Boletins Nuppa Site'!I1283&lt;&gt;0,'Boletins Nuppa Site'!I1283,"NULL")</f>
        <v>72</v>
      </c>
      <c r="G1283" s="0" t="str">
        <f aca="false">IF('Boletins Nuppa Site'!J1283&lt;&gt;0,'Boletins Nuppa Site'!J1283,"NULL")</f>
        <v>65.5</v>
      </c>
      <c r="H1283" s="30" t="n">
        <f aca="false">IF('Boletins Nuppa Site'!K1283&lt;&gt;0,'Boletins Nuppa Site'!K1283,"NULL")</f>
        <v>65</v>
      </c>
      <c r="I1283" s="0" t="str">
        <f aca="false">"INSERT INTO COTACAO (cot_id, cot_blt_id, cot_pap_id, cot_prc_comum, cot_prc_min, cot_prc_max, cot_prc_med, cot_prc_mediana) VALUES ("&amp;A1283&amp;", "&amp;B1283&amp;", "&amp;C1283&amp;", "&amp;D1283&amp;", "&amp;E1283&amp;", "&amp;F1283&amp;", "&amp;G1283&amp;", "&amp;H1283&amp;");"</f>
        <v>INSERT INTO COTACAO (cot_id, cot_blt_id, cot_pap_id, cot_prc_comum, cot_prc_min, cot_prc_max, cot_prc_med, cot_prc_mediana) VALUES (1282, 70, 10, 60, 60, 72, 65.5, 65);</v>
      </c>
      <c r="J1283" s="0" t="str">
        <f aca="false">"UPDATE COTACAO SET cot_id = "&amp;A1283&amp;", cot_blt_id = "&amp;B1283&amp;", cot_pap_id = "&amp;C1283&amp;", cot_prc_comum = "&amp;D1283&amp;", cot_prc_min = "&amp;E1283&amp;", cot_prc_max = "&amp;F1283&amp;", cot_prc_med = "&amp;G1283&amp;", cot_prc_mediana = "&amp;H1283&amp;" WHERE cot_id = "&amp;A1283&amp;";"</f>
        <v>UPDATE COTACAO SET cot_id = 1282, cot_blt_id = 70, cot_pap_id = 10, cot_prc_comum = 60, cot_prc_min = 60, cot_prc_max = 72, cot_prc_med = 65.5, cot_prc_mediana = 65 WHERE cot_id = 1282;</v>
      </c>
    </row>
    <row r="1284" customFormat="false" ht="14.25" hidden="false" customHeight="false" outlineLevel="0" collapsed="false">
      <c r="A1284" s="0" t="n">
        <v>1283</v>
      </c>
      <c r="B1284" s="0" t="n">
        <f aca="false">IF('Boletins Nuppa Site'!A1284&lt;&gt;0,'Boletins Nuppa Site'!A1284,"NULL")</f>
        <v>70</v>
      </c>
      <c r="C1284" s="0" t="n">
        <v>11</v>
      </c>
      <c r="D1284" s="30" t="n">
        <f aca="false">IF('Boletins Nuppa Site'!G1284&lt;&gt;0,'Boletins Nuppa Site'!G1284,"NULL")</f>
        <v>24</v>
      </c>
      <c r="E1284" s="30" t="n">
        <f aca="false">IF('Boletins Nuppa Site'!H1284&lt;&gt;0,'Boletins Nuppa Site'!H1284,"NULL")</f>
        <v>15</v>
      </c>
      <c r="F1284" s="30" t="n">
        <f aca="false">IF('Boletins Nuppa Site'!I1284&lt;&gt;0,'Boletins Nuppa Site'!I1284,"NULL")</f>
        <v>24</v>
      </c>
      <c r="G1284" s="30" t="n">
        <f aca="false">IF('Boletins Nuppa Site'!J1284&lt;&gt;0,'Boletins Nuppa Site'!J1284,"NULL")</f>
        <v>21</v>
      </c>
      <c r="H1284" s="30" t="n">
        <f aca="false">IF('Boletins Nuppa Site'!K1284&lt;&gt;0,'Boletins Nuppa Site'!K1284,"NULL")</f>
        <v>24</v>
      </c>
      <c r="I1284" s="0" t="str">
        <f aca="false">"INSERT INTO COTACAO (cot_id, cot_blt_id, cot_pap_id, cot_prc_comum, cot_prc_min, cot_prc_max, cot_prc_med, cot_prc_mediana) VALUES ("&amp;A1284&amp;", "&amp;B1284&amp;", "&amp;C1284&amp;", "&amp;D1284&amp;", "&amp;E1284&amp;", "&amp;F1284&amp;", "&amp;G1284&amp;", "&amp;H1284&amp;");"</f>
        <v>INSERT INTO COTACAO (cot_id, cot_blt_id, cot_pap_id, cot_prc_comum, cot_prc_min, cot_prc_max, cot_prc_med, cot_prc_mediana) VALUES (1283, 70, 11, 24, 15, 24, 21, 24);</v>
      </c>
      <c r="J1284" s="0" t="str">
        <f aca="false">"UPDATE COTACAO SET cot_id = "&amp;A1284&amp;", cot_blt_id = "&amp;B1284&amp;", cot_pap_id = "&amp;C1284&amp;", cot_prc_comum = "&amp;D1284&amp;", cot_prc_min = "&amp;E1284&amp;", cot_prc_max = "&amp;F1284&amp;", cot_prc_med = "&amp;G1284&amp;", cot_prc_mediana = "&amp;H1284&amp;" WHERE cot_id = "&amp;A1284&amp;";"</f>
        <v>UPDATE COTACAO SET cot_id = 1283, cot_blt_id = 70, cot_pap_id = 11, cot_prc_comum = 24, cot_prc_min = 15, cot_prc_max = 24, cot_prc_med = 21, cot_prc_mediana = 24 WHERE cot_id = 1283;</v>
      </c>
    </row>
    <row r="1285" customFormat="false" ht="14.25" hidden="false" customHeight="false" outlineLevel="0" collapsed="false">
      <c r="A1285" s="0" t="n">
        <v>1284</v>
      </c>
      <c r="B1285" s="0" t="n">
        <f aca="false">IF('Boletins Nuppa Site'!A1285&lt;&gt;0,'Boletins Nuppa Site'!A1285,"NULL")</f>
        <v>70</v>
      </c>
      <c r="C1285" s="0" t="n">
        <v>12</v>
      </c>
      <c r="D1285" s="30" t="n">
        <f aca="false">IF('Boletins Nuppa Site'!G1285&lt;&gt;0,'Boletins Nuppa Site'!G1285,"NULL")</f>
        <v>48</v>
      </c>
      <c r="E1285" s="30" t="n">
        <f aca="false">IF('Boletins Nuppa Site'!H1285&lt;&gt;0,'Boletins Nuppa Site'!H1285,"NULL")</f>
        <v>48</v>
      </c>
      <c r="F1285" s="30" t="n">
        <f aca="false">IF('Boletins Nuppa Site'!I1285&lt;&gt;0,'Boletins Nuppa Site'!I1285,"NULL")</f>
        <v>72</v>
      </c>
      <c r="G1285" s="30" t="n">
        <f aca="false">IF('Boletins Nuppa Site'!J1285&lt;&gt;0,'Boletins Nuppa Site'!J1285,"NULL")</f>
        <v>57</v>
      </c>
      <c r="H1285" s="30" t="n">
        <f aca="false">IF('Boletins Nuppa Site'!K1285&lt;&gt;0,'Boletins Nuppa Site'!K1285,"NULL")</f>
        <v>54</v>
      </c>
      <c r="I1285" s="0" t="str">
        <f aca="false">"INSERT INTO COTACAO (cot_id, cot_blt_id, cot_pap_id, cot_prc_comum, cot_prc_min, cot_prc_max, cot_prc_med, cot_prc_mediana) VALUES ("&amp;A1285&amp;", "&amp;B1285&amp;", "&amp;C1285&amp;", "&amp;D1285&amp;", "&amp;E1285&amp;", "&amp;F1285&amp;", "&amp;G1285&amp;", "&amp;H1285&amp;");"</f>
        <v>INSERT INTO COTACAO (cot_id, cot_blt_id, cot_pap_id, cot_prc_comum, cot_prc_min, cot_prc_max, cot_prc_med, cot_prc_mediana) VALUES (1284, 70, 12, 48, 48, 72, 57, 54);</v>
      </c>
      <c r="J1285" s="0" t="str">
        <f aca="false">"UPDATE COTACAO SET cot_id = "&amp;A1285&amp;", cot_blt_id = "&amp;B1285&amp;", cot_pap_id = "&amp;C1285&amp;", cot_prc_comum = "&amp;D1285&amp;", cot_prc_min = "&amp;E1285&amp;", cot_prc_max = "&amp;F1285&amp;", cot_prc_med = "&amp;G1285&amp;", cot_prc_mediana = "&amp;H1285&amp;" WHERE cot_id = "&amp;A1285&amp;";"</f>
        <v>UPDATE COTACAO SET cot_id = 1284, cot_blt_id = 70, cot_pap_id = 12, cot_prc_comum = 48, cot_prc_min = 48, cot_prc_max = 72, cot_prc_med = 57, cot_prc_mediana = 54 WHERE cot_id = 1284;</v>
      </c>
    </row>
    <row r="1286" customFormat="false" ht="14.25" hidden="false" customHeight="false" outlineLevel="0" collapsed="false">
      <c r="A1286" s="0" t="n">
        <v>1285</v>
      </c>
      <c r="B1286" s="0" t="n">
        <f aca="false">IF('Boletins Nuppa Site'!A1286&lt;&gt;0,'Boletins Nuppa Site'!A1286,"NULL")</f>
        <v>70</v>
      </c>
      <c r="C1286" s="0" t="n">
        <v>13</v>
      </c>
      <c r="D1286" s="30" t="n">
        <f aca="false">IF('Boletins Nuppa Site'!G1286&lt;&gt;0,'Boletins Nuppa Site'!G1286,"NULL")</f>
        <v>48</v>
      </c>
      <c r="E1286" s="30" t="n">
        <f aca="false">IF('Boletins Nuppa Site'!H1286&lt;&gt;0,'Boletins Nuppa Site'!H1286,"NULL")</f>
        <v>36</v>
      </c>
      <c r="F1286" s="30" t="n">
        <f aca="false">IF('Boletins Nuppa Site'!I1286&lt;&gt;0,'Boletins Nuppa Site'!I1286,"NULL")</f>
        <v>60</v>
      </c>
      <c r="G1286" s="0" t="str">
        <f aca="false">IF('Boletins Nuppa Site'!J1286&lt;&gt;0,'Boletins Nuppa Site'!J1286,"NULL")</f>
        <v>50.4</v>
      </c>
      <c r="H1286" s="30" t="n">
        <f aca="false">IF('Boletins Nuppa Site'!K1286&lt;&gt;0,'Boletins Nuppa Site'!K1286,"NULL")</f>
        <v>48</v>
      </c>
      <c r="I1286" s="0" t="str">
        <f aca="false">"INSERT INTO COTACAO (cot_id, cot_blt_id, cot_pap_id, cot_prc_comum, cot_prc_min, cot_prc_max, cot_prc_med, cot_prc_mediana) VALUES ("&amp;A1286&amp;", "&amp;B1286&amp;", "&amp;C1286&amp;", "&amp;D1286&amp;", "&amp;E1286&amp;", "&amp;F1286&amp;", "&amp;G1286&amp;", "&amp;H1286&amp;");"</f>
        <v>INSERT INTO COTACAO (cot_id, cot_blt_id, cot_pap_id, cot_prc_comum, cot_prc_min, cot_prc_max, cot_prc_med, cot_prc_mediana) VALUES (1285, 70, 13, 48, 36, 60, 50.4, 48);</v>
      </c>
      <c r="J1286" s="0" t="str">
        <f aca="false">"UPDATE COTACAO SET cot_id = "&amp;A1286&amp;", cot_blt_id = "&amp;B1286&amp;", cot_pap_id = "&amp;C1286&amp;", cot_prc_comum = "&amp;D1286&amp;", cot_prc_min = "&amp;E1286&amp;", cot_prc_max = "&amp;F1286&amp;", cot_prc_med = "&amp;G1286&amp;", cot_prc_mediana = "&amp;H1286&amp;" WHERE cot_id = "&amp;A1286&amp;";"</f>
        <v>UPDATE COTACAO SET cot_id = 1285, cot_blt_id = 70, cot_pap_id = 13, cot_prc_comum = 48, cot_prc_min = 36, cot_prc_max = 60, cot_prc_med = 50.4, cot_prc_mediana = 48 WHERE cot_id = 1285;</v>
      </c>
    </row>
    <row r="1287" customFormat="false" ht="14.25" hidden="false" customHeight="false" outlineLevel="0" collapsed="false">
      <c r="A1287" s="0" t="n">
        <v>1286</v>
      </c>
      <c r="B1287" s="0" t="n">
        <f aca="false">IF('Boletins Nuppa Site'!A1287&lt;&gt;0,'Boletins Nuppa Site'!A1287,"NULL")</f>
        <v>70</v>
      </c>
      <c r="C1287" s="0" t="n">
        <v>14</v>
      </c>
      <c r="D1287" s="30" t="n">
        <f aca="false">IF('Boletins Nuppa Site'!G1287&lt;&gt;0,'Boletins Nuppa Site'!G1287,"NULL")</f>
        <v>60</v>
      </c>
      <c r="E1287" s="30" t="n">
        <f aca="false">IF('Boletins Nuppa Site'!H1287&lt;&gt;0,'Boletins Nuppa Site'!H1287,"NULL")</f>
        <v>48</v>
      </c>
      <c r="F1287" s="30" t="n">
        <f aca="false">IF('Boletins Nuppa Site'!I1287&lt;&gt;0,'Boletins Nuppa Site'!I1287,"NULL")</f>
        <v>60</v>
      </c>
      <c r="G1287" s="30" t="n">
        <f aca="false">IF('Boletins Nuppa Site'!J1287&lt;&gt;0,'Boletins Nuppa Site'!J1287,"NULL")</f>
        <v>54</v>
      </c>
      <c r="H1287" s="30" t="n">
        <f aca="false">IF('Boletins Nuppa Site'!K1287&lt;&gt;0,'Boletins Nuppa Site'!K1287,"NULL")</f>
        <v>54</v>
      </c>
      <c r="I1287" s="0" t="str">
        <f aca="false">"INSERT INTO COTACAO (cot_id, cot_blt_id, cot_pap_id, cot_prc_comum, cot_prc_min, cot_prc_max, cot_prc_med, cot_prc_mediana) VALUES ("&amp;A1287&amp;", "&amp;B1287&amp;", "&amp;C1287&amp;", "&amp;D1287&amp;", "&amp;E1287&amp;", "&amp;F1287&amp;", "&amp;G1287&amp;", "&amp;H1287&amp;");"</f>
        <v>INSERT INTO COTACAO (cot_id, cot_blt_id, cot_pap_id, cot_prc_comum, cot_prc_min, cot_prc_max, cot_prc_med, cot_prc_mediana) VALUES (1286, 70, 14, 60, 48, 60, 54, 54);</v>
      </c>
      <c r="J1287" s="0" t="str">
        <f aca="false">"UPDATE COTACAO SET cot_id = "&amp;A1287&amp;", cot_blt_id = "&amp;B1287&amp;", cot_pap_id = "&amp;C1287&amp;", cot_prc_comum = "&amp;D1287&amp;", cot_prc_min = "&amp;E1287&amp;", cot_prc_max = "&amp;F1287&amp;", cot_prc_med = "&amp;G1287&amp;", cot_prc_mediana = "&amp;H1287&amp;" WHERE cot_id = "&amp;A1287&amp;";"</f>
        <v>UPDATE COTACAO SET cot_id = 1286, cot_blt_id = 70, cot_pap_id = 14, cot_prc_comum = 60, cot_prc_min = 48, cot_prc_max = 60, cot_prc_med = 54, cot_prc_mediana = 54 WHERE cot_id = 1286;</v>
      </c>
    </row>
    <row r="1288" customFormat="false" ht="14.25" hidden="false" customHeight="false" outlineLevel="0" collapsed="false">
      <c r="A1288" s="0" t="n">
        <v>1287</v>
      </c>
      <c r="B1288" s="0" t="n">
        <f aca="false">IF('Boletins Nuppa Site'!A1288&lt;&gt;0,'Boletins Nuppa Site'!A1288,"NULL")</f>
        <v>70</v>
      </c>
      <c r="C1288" s="0" t="n">
        <v>15</v>
      </c>
      <c r="D1288" s="30" t="n">
        <f aca="false">IF('Boletins Nuppa Site'!G1288&lt;&gt;0,'Boletins Nuppa Site'!G1288,"NULL")</f>
        <v>36</v>
      </c>
      <c r="E1288" s="30" t="n">
        <f aca="false">IF('Boletins Nuppa Site'!H1288&lt;&gt;0,'Boletins Nuppa Site'!H1288,"NULL")</f>
        <v>20</v>
      </c>
      <c r="F1288" s="30" t="n">
        <f aca="false">IF('Boletins Nuppa Site'!I1288&lt;&gt;0,'Boletins Nuppa Site'!I1288,"NULL")</f>
        <v>36</v>
      </c>
      <c r="G1288" s="0" t="str">
        <f aca="false">IF('Boletins Nuppa Site'!J1288&lt;&gt;0,'Boletins Nuppa Site'!J1288,"NULL")</f>
        <v>31.6</v>
      </c>
      <c r="H1288" s="30" t="n">
        <f aca="false">IF('Boletins Nuppa Site'!K1288&lt;&gt;0,'Boletins Nuppa Site'!K1288,"NULL")</f>
        <v>36</v>
      </c>
      <c r="I1288" s="0" t="str">
        <f aca="false">"INSERT INTO COTACAO (cot_id, cot_blt_id, cot_pap_id, cot_prc_comum, cot_prc_min, cot_prc_max, cot_prc_med, cot_prc_mediana) VALUES ("&amp;A1288&amp;", "&amp;B1288&amp;", "&amp;C1288&amp;", "&amp;D1288&amp;", "&amp;E1288&amp;", "&amp;F1288&amp;", "&amp;G1288&amp;", "&amp;H1288&amp;");"</f>
        <v>INSERT INTO COTACAO (cot_id, cot_blt_id, cot_pap_id, cot_prc_comum, cot_prc_min, cot_prc_max, cot_prc_med, cot_prc_mediana) VALUES (1287, 70, 15, 36, 20, 36, 31.6, 36);</v>
      </c>
      <c r="J1288" s="0" t="str">
        <f aca="false">"UPDATE COTACAO SET cot_id = "&amp;A1288&amp;", cot_blt_id = "&amp;B1288&amp;", cot_pap_id = "&amp;C1288&amp;", cot_prc_comum = "&amp;D1288&amp;", cot_prc_min = "&amp;E1288&amp;", cot_prc_max = "&amp;F1288&amp;", cot_prc_med = "&amp;G1288&amp;", cot_prc_mediana = "&amp;H1288&amp;" WHERE cot_id = "&amp;A1288&amp;";"</f>
        <v>UPDATE COTACAO SET cot_id = 1287, cot_blt_id = 70, cot_pap_id = 15, cot_prc_comum = 36, cot_prc_min = 20, cot_prc_max = 36, cot_prc_med = 31.6, cot_prc_mediana = 36 WHERE cot_id = 1287;</v>
      </c>
    </row>
    <row r="1289" customFormat="false" ht="14.25" hidden="false" customHeight="false" outlineLevel="0" collapsed="false">
      <c r="A1289" s="0" t="n">
        <v>1288</v>
      </c>
      <c r="B1289" s="0" t="n">
        <f aca="false">IF('Boletins Nuppa Site'!A1289&lt;&gt;0,'Boletins Nuppa Site'!A1289,"NULL")</f>
        <v>70</v>
      </c>
      <c r="C1289" s="0" t="n">
        <v>16</v>
      </c>
      <c r="D1289" s="30" t="n">
        <f aca="false">IF('Boletins Nuppa Site'!G1289&lt;&gt;0,'Boletins Nuppa Site'!G1289,"NULL")</f>
        <v>48</v>
      </c>
      <c r="E1289" s="30" t="n">
        <f aca="false">IF('Boletins Nuppa Site'!H1289&lt;&gt;0,'Boletins Nuppa Site'!H1289,"NULL")</f>
        <v>48</v>
      </c>
      <c r="F1289" s="30" t="n">
        <f aca="false">IF('Boletins Nuppa Site'!I1289&lt;&gt;0,'Boletins Nuppa Site'!I1289,"NULL")</f>
        <v>54</v>
      </c>
      <c r="G1289" s="0" t="str">
        <f aca="false">IF('Boletins Nuppa Site'!J1289&lt;&gt;0,'Boletins Nuppa Site'!J1289,"NULL")</f>
        <v>49.2</v>
      </c>
      <c r="H1289" s="30" t="n">
        <f aca="false">IF('Boletins Nuppa Site'!K1289&lt;&gt;0,'Boletins Nuppa Site'!K1289,"NULL")</f>
        <v>48</v>
      </c>
      <c r="I1289" s="0" t="str">
        <f aca="false">"INSERT INTO COTACAO (cot_id, cot_blt_id, cot_pap_id, cot_prc_comum, cot_prc_min, cot_prc_max, cot_prc_med, cot_prc_mediana) VALUES ("&amp;A1289&amp;", "&amp;B1289&amp;", "&amp;C1289&amp;", "&amp;D1289&amp;", "&amp;E1289&amp;", "&amp;F1289&amp;", "&amp;G1289&amp;", "&amp;H1289&amp;");"</f>
        <v>INSERT INTO COTACAO (cot_id, cot_blt_id, cot_pap_id, cot_prc_comum, cot_prc_min, cot_prc_max, cot_prc_med, cot_prc_mediana) VALUES (1288, 70, 16, 48, 48, 54, 49.2, 48);</v>
      </c>
      <c r="J1289" s="0" t="str">
        <f aca="false">"UPDATE COTACAO SET cot_id = "&amp;A1289&amp;", cot_blt_id = "&amp;B1289&amp;", cot_pap_id = "&amp;C1289&amp;", cot_prc_comum = "&amp;D1289&amp;", cot_prc_min = "&amp;E1289&amp;", cot_prc_max = "&amp;F1289&amp;", cot_prc_med = "&amp;G1289&amp;", cot_prc_mediana = "&amp;H1289&amp;" WHERE cot_id = "&amp;A1289&amp;";"</f>
        <v>UPDATE COTACAO SET cot_id = 1288, cot_blt_id = 70, cot_pap_id = 16, cot_prc_comum = 48, cot_prc_min = 48, cot_prc_max = 54, cot_prc_med = 49.2, cot_prc_mediana = 48 WHERE cot_id = 1288;</v>
      </c>
    </row>
    <row r="1290" customFormat="false" ht="14.25" hidden="false" customHeight="false" outlineLevel="0" collapsed="false">
      <c r="A1290" s="0" t="n">
        <v>1289</v>
      </c>
      <c r="B1290" s="0" t="n">
        <f aca="false">IF('Boletins Nuppa Site'!A1290&lt;&gt;0,'Boletins Nuppa Site'!A1290,"NULL")</f>
        <v>70</v>
      </c>
      <c r="C1290" s="0" t="n">
        <v>17</v>
      </c>
      <c r="D1290" s="30" t="n">
        <f aca="false">IF('Boletins Nuppa Site'!G1290&lt;&gt;0,'Boletins Nuppa Site'!G1290,"NULL")</f>
        <v>5</v>
      </c>
      <c r="E1290" s="30" t="n">
        <f aca="false">IF('Boletins Nuppa Site'!H1290&lt;&gt;0,'Boletins Nuppa Site'!H1290,"NULL")</f>
        <v>5</v>
      </c>
      <c r="F1290" s="30" t="n">
        <f aca="false">IF('Boletins Nuppa Site'!I1290&lt;&gt;0,'Boletins Nuppa Site'!I1290,"NULL")</f>
        <v>5</v>
      </c>
      <c r="G1290" s="30" t="n">
        <f aca="false">IF('Boletins Nuppa Site'!J1290&lt;&gt;0,'Boletins Nuppa Site'!J1290,"NULL")</f>
        <v>5</v>
      </c>
      <c r="H1290" s="30" t="n">
        <f aca="false">IF('Boletins Nuppa Site'!K1290&lt;&gt;0,'Boletins Nuppa Site'!K1290,"NULL")</f>
        <v>5</v>
      </c>
      <c r="I1290" s="0" t="str">
        <f aca="false">"INSERT INTO COTACAO (cot_id, cot_blt_id, cot_pap_id, cot_prc_comum, cot_prc_min, cot_prc_max, cot_prc_med, cot_prc_mediana) VALUES ("&amp;A1290&amp;", "&amp;B1290&amp;", "&amp;C1290&amp;", "&amp;D1290&amp;", "&amp;E1290&amp;", "&amp;F1290&amp;", "&amp;G1290&amp;", "&amp;H1290&amp;");"</f>
        <v>INSERT INTO COTACAO (cot_id, cot_blt_id, cot_pap_id, cot_prc_comum, cot_prc_min, cot_prc_max, cot_prc_med, cot_prc_mediana) VALUES (1289, 70, 17, 5, 5, 5, 5, 5);</v>
      </c>
      <c r="J1290" s="0" t="str">
        <f aca="false">"UPDATE COTACAO SET cot_id = "&amp;A1290&amp;", cot_blt_id = "&amp;B1290&amp;", cot_pap_id = "&amp;C1290&amp;", cot_prc_comum = "&amp;D1290&amp;", cot_prc_min = "&amp;E1290&amp;", cot_prc_max = "&amp;F1290&amp;", cot_prc_med = "&amp;G1290&amp;", cot_prc_mediana = "&amp;H1290&amp;" WHERE cot_id = "&amp;A1290&amp;";"</f>
        <v>UPDATE COTACAO SET cot_id = 1289, cot_blt_id = 70, cot_pap_id = 17, cot_prc_comum = 5, cot_prc_min = 5, cot_prc_max = 5, cot_prc_med = 5, cot_prc_mediana = 5 WHERE cot_id = 1289;</v>
      </c>
    </row>
    <row r="1291" customFormat="false" ht="14.25" hidden="false" customHeight="false" outlineLevel="0" collapsed="false">
      <c r="A1291" s="0" t="n">
        <v>1290</v>
      </c>
      <c r="B1291" s="0" t="n">
        <f aca="false">IF('Boletins Nuppa Site'!A1291&lt;&gt;0,'Boletins Nuppa Site'!A1291,"NULL")</f>
        <v>70</v>
      </c>
      <c r="C1291" s="0" t="n">
        <v>18</v>
      </c>
      <c r="D1291" s="30" t="n">
        <f aca="false">IF('Boletins Nuppa Site'!G1291&lt;&gt;0,'Boletins Nuppa Site'!G1291,"NULL")</f>
        <v>10</v>
      </c>
      <c r="E1291" s="30" t="n">
        <f aca="false">IF('Boletins Nuppa Site'!H1291&lt;&gt;0,'Boletins Nuppa Site'!H1291,"NULL")</f>
        <v>10</v>
      </c>
      <c r="F1291" s="30" t="n">
        <f aca="false">IF('Boletins Nuppa Site'!I1291&lt;&gt;0,'Boletins Nuppa Site'!I1291,"NULL")</f>
        <v>12</v>
      </c>
      <c r="G1291" s="0" t="str">
        <f aca="false">IF('Boletins Nuppa Site'!J1291&lt;&gt;0,'Boletins Nuppa Site'!J1291,"NULL")</f>
        <v>10.4</v>
      </c>
      <c r="H1291" s="30" t="n">
        <f aca="false">IF('Boletins Nuppa Site'!K1291&lt;&gt;0,'Boletins Nuppa Site'!K1291,"NULL")</f>
        <v>10</v>
      </c>
      <c r="I1291" s="0" t="str">
        <f aca="false">"INSERT INTO COTACAO (cot_id, cot_blt_id, cot_pap_id, cot_prc_comum, cot_prc_min, cot_prc_max, cot_prc_med, cot_prc_mediana) VALUES ("&amp;A1291&amp;", "&amp;B1291&amp;", "&amp;C1291&amp;", "&amp;D1291&amp;", "&amp;E1291&amp;", "&amp;F1291&amp;", "&amp;G1291&amp;", "&amp;H1291&amp;");"</f>
        <v>INSERT INTO COTACAO (cot_id, cot_blt_id, cot_pap_id, cot_prc_comum, cot_prc_min, cot_prc_max, cot_prc_med, cot_prc_mediana) VALUES (1290, 70, 18, 10, 10, 12, 10.4, 10);</v>
      </c>
      <c r="J1291" s="0" t="str">
        <f aca="false">"UPDATE COTACAO SET cot_id = "&amp;A1291&amp;", cot_blt_id = "&amp;B1291&amp;", cot_pap_id = "&amp;C1291&amp;", cot_prc_comum = "&amp;D1291&amp;", cot_prc_min = "&amp;E1291&amp;", cot_prc_max = "&amp;F1291&amp;", cot_prc_med = "&amp;G1291&amp;", cot_prc_mediana = "&amp;H1291&amp;" WHERE cot_id = "&amp;A1291&amp;";"</f>
        <v>UPDATE COTACAO SET cot_id = 1290, cot_blt_id = 70, cot_pap_id = 18, cot_prc_comum = 10, cot_prc_min = 10, cot_prc_max = 12, cot_prc_med = 10.4, cot_prc_mediana = 10 WHERE cot_id = 1290;</v>
      </c>
    </row>
    <row r="1292" customFormat="false" ht="14.25" hidden="false" customHeight="false" outlineLevel="0" collapsed="false">
      <c r="A1292" s="0" t="n">
        <v>1291</v>
      </c>
      <c r="B1292" s="0" t="n">
        <f aca="false">IF('Boletins Nuppa Site'!A1292&lt;&gt;0,'Boletins Nuppa Site'!A1292,"NULL")</f>
        <v>70</v>
      </c>
      <c r="C1292" s="0" t="n">
        <v>19</v>
      </c>
      <c r="D1292" s="30" t="n">
        <f aca="false">IF('Boletins Nuppa Site'!G1292&lt;&gt;0,'Boletins Nuppa Site'!G1292,"NULL")</f>
        <v>30</v>
      </c>
      <c r="E1292" s="30" t="n">
        <f aca="false">IF('Boletins Nuppa Site'!H1292&lt;&gt;0,'Boletins Nuppa Site'!H1292,"NULL")</f>
        <v>15</v>
      </c>
      <c r="F1292" s="30" t="n">
        <f aca="false">IF('Boletins Nuppa Site'!I1292&lt;&gt;0,'Boletins Nuppa Site'!I1292,"NULL")</f>
        <v>30</v>
      </c>
      <c r="G1292" s="30" t="n">
        <f aca="false">IF('Boletins Nuppa Site'!J1292&lt;&gt;0,'Boletins Nuppa Site'!J1292,"NULL")</f>
        <v>25</v>
      </c>
      <c r="H1292" s="30" t="n">
        <f aca="false">IF('Boletins Nuppa Site'!K1292&lt;&gt;0,'Boletins Nuppa Site'!K1292,"NULL")</f>
        <v>30</v>
      </c>
      <c r="I1292" s="0" t="str">
        <f aca="false">"INSERT INTO COTACAO (cot_id, cot_blt_id, cot_pap_id, cot_prc_comum, cot_prc_min, cot_prc_max, cot_prc_med, cot_prc_mediana) VALUES ("&amp;A1292&amp;", "&amp;B1292&amp;", "&amp;C1292&amp;", "&amp;D1292&amp;", "&amp;E1292&amp;", "&amp;F1292&amp;", "&amp;G1292&amp;", "&amp;H1292&amp;");"</f>
        <v>INSERT INTO COTACAO (cot_id, cot_blt_id, cot_pap_id, cot_prc_comum, cot_prc_min, cot_prc_max, cot_prc_med, cot_prc_mediana) VALUES (1291, 70, 19, 30, 15, 30, 25, 30);</v>
      </c>
      <c r="J1292" s="0" t="str">
        <f aca="false">"UPDATE COTACAO SET cot_id = "&amp;A1292&amp;", cot_blt_id = "&amp;B1292&amp;", cot_pap_id = "&amp;C1292&amp;", cot_prc_comum = "&amp;D1292&amp;", cot_prc_min = "&amp;E1292&amp;", cot_prc_max = "&amp;F1292&amp;", cot_prc_med = "&amp;G1292&amp;", cot_prc_mediana = "&amp;H1292&amp;" WHERE cot_id = "&amp;A1292&amp;";"</f>
        <v>UPDATE COTACAO SET cot_id = 1291, cot_blt_id = 70, cot_pap_id = 19, cot_prc_comum = 30, cot_prc_min = 15, cot_prc_max = 30, cot_prc_med = 25, cot_prc_mediana = 30 WHERE cot_id = 1291;</v>
      </c>
    </row>
    <row r="1293" customFormat="false" ht="14.25" hidden="false" customHeight="false" outlineLevel="0" collapsed="false">
      <c r="A1293" s="0" t="n">
        <v>1292</v>
      </c>
      <c r="B1293" s="0" t="n">
        <f aca="false">IF('Boletins Nuppa Site'!A1293&lt;&gt;0,'Boletins Nuppa Site'!A1293,"NULL")</f>
        <v>70</v>
      </c>
      <c r="C1293" s="0" t="n">
        <v>20</v>
      </c>
      <c r="D1293" s="0" t="str">
        <f aca="false">IF('Boletins Nuppa Site'!G1293&lt;&gt;0,'Boletins Nuppa Site'!G1293,"NULL")</f>
        <v>NULL</v>
      </c>
      <c r="E1293" s="30" t="n">
        <f aca="false">IF('Boletins Nuppa Site'!H1293&lt;&gt;0,'Boletins Nuppa Site'!H1293,"NULL")</f>
        <v>70</v>
      </c>
      <c r="F1293" s="30" t="n">
        <f aca="false">IF('Boletins Nuppa Site'!I1293&lt;&gt;0,'Boletins Nuppa Site'!I1293,"NULL")</f>
        <v>80</v>
      </c>
      <c r="G1293" s="30" t="n">
        <f aca="false">IF('Boletins Nuppa Site'!J1293&lt;&gt;0,'Boletins Nuppa Site'!J1293,"NULL")</f>
        <v>75</v>
      </c>
      <c r="H1293" s="30" t="n">
        <f aca="false">IF('Boletins Nuppa Site'!K1293&lt;&gt;0,'Boletins Nuppa Site'!K1293,"NULL")</f>
        <v>75</v>
      </c>
      <c r="I1293" s="0" t="str">
        <f aca="false">"INSERT INTO COTACAO (cot_id, cot_blt_id, cot_pap_id, cot_prc_comum, cot_prc_min, cot_prc_max, cot_prc_med, cot_prc_mediana) VALUES ("&amp;A1293&amp;", "&amp;B1293&amp;", "&amp;C1293&amp;", "&amp;D1293&amp;", "&amp;E1293&amp;", "&amp;F1293&amp;", "&amp;G1293&amp;", "&amp;H1293&amp;");"</f>
        <v>INSERT INTO COTACAO (cot_id, cot_blt_id, cot_pap_id, cot_prc_comum, cot_prc_min, cot_prc_max, cot_prc_med, cot_prc_mediana) VALUES (1292, 70, 20, NULL, 70, 80, 75, 75);</v>
      </c>
      <c r="J1293" s="0" t="str">
        <f aca="false">"UPDATE COTACAO SET cot_id = "&amp;A1293&amp;", cot_blt_id = "&amp;B1293&amp;", cot_pap_id = "&amp;C1293&amp;", cot_prc_comum = "&amp;D1293&amp;", cot_prc_min = "&amp;E1293&amp;", cot_prc_max = "&amp;F1293&amp;", cot_prc_med = "&amp;G1293&amp;", cot_prc_mediana = "&amp;H1293&amp;" WHERE cot_id = "&amp;A1293&amp;";"</f>
        <v>UPDATE COTACAO SET cot_id = 1292, cot_blt_id = 70, cot_pap_id = 20, cot_prc_comum = NULL, cot_prc_min = 70, cot_prc_max = 80, cot_prc_med = 75, cot_prc_mediana = 75 WHERE cot_id = 1292;</v>
      </c>
    </row>
    <row r="1294" customFormat="false" ht="14.25" hidden="false" customHeight="false" outlineLevel="0" collapsed="false">
      <c r="A1294" s="0" t="n">
        <v>1293</v>
      </c>
      <c r="B1294" s="0" t="n">
        <f aca="false">IF('Boletins Nuppa Site'!A1294&lt;&gt;0,'Boletins Nuppa Site'!A1294,"NULL")</f>
        <v>70</v>
      </c>
      <c r="C1294" s="0" t="n">
        <v>21</v>
      </c>
      <c r="D1294" s="30" t="n">
        <f aca="false">IF('Boletins Nuppa Site'!G1294&lt;&gt;0,'Boletins Nuppa Site'!G1294,"NULL")</f>
        <v>40</v>
      </c>
      <c r="E1294" s="30" t="n">
        <f aca="false">IF('Boletins Nuppa Site'!H1294&lt;&gt;0,'Boletins Nuppa Site'!H1294,"NULL")</f>
        <v>40</v>
      </c>
      <c r="F1294" s="30" t="n">
        <f aca="false">IF('Boletins Nuppa Site'!I1294&lt;&gt;0,'Boletins Nuppa Site'!I1294,"NULL")</f>
        <v>50</v>
      </c>
      <c r="G1294" s="30" t="n">
        <f aca="false">IF('Boletins Nuppa Site'!J1294&lt;&gt;0,'Boletins Nuppa Site'!J1294,"NULL")</f>
        <v>45</v>
      </c>
      <c r="H1294" s="30" t="n">
        <f aca="false">IF('Boletins Nuppa Site'!K1294&lt;&gt;0,'Boletins Nuppa Site'!K1294,"NULL")</f>
        <v>45</v>
      </c>
      <c r="I1294" s="0" t="str">
        <f aca="false">"INSERT INTO COTACAO (cot_id, cot_blt_id, cot_pap_id, cot_prc_comum, cot_prc_min, cot_prc_max, cot_prc_med, cot_prc_mediana) VALUES ("&amp;A1294&amp;", "&amp;B1294&amp;", "&amp;C1294&amp;", "&amp;D1294&amp;", "&amp;E1294&amp;", "&amp;F1294&amp;", "&amp;G1294&amp;", "&amp;H1294&amp;");"</f>
        <v>INSERT INTO COTACAO (cot_id, cot_blt_id, cot_pap_id, cot_prc_comum, cot_prc_min, cot_prc_max, cot_prc_med, cot_prc_mediana) VALUES (1293, 70, 21, 40, 40, 50, 45, 45);</v>
      </c>
      <c r="J1294" s="0" t="str">
        <f aca="false">"UPDATE COTACAO SET cot_id = "&amp;A1294&amp;", cot_blt_id = "&amp;B1294&amp;", cot_pap_id = "&amp;C1294&amp;", cot_prc_comum = "&amp;D1294&amp;", cot_prc_min = "&amp;E1294&amp;", cot_prc_max = "&amp;F1294&amp;", cot_prc_med = "&amp;G1294&amp;", cot_prc_mediana = "&amp;H1294&amp;" WHERE cot_id = "&amp;A1294&amp;";"</f>
        <v>UPDATE COTACAO SET cot_id = 1293, cot_blt_id = 70, cot_pap_id = 21, cot_prc_comum = 40, cot_prc_min = 40, cot_prc_max = 50, cot_prc_med = 45, cot_prc_mediana = 45 WHERE cot_id = 1293;</v>
      </c>
    </row>
    <row r="1295" customFormat="false" ht="14.25" hidden="false" customHeight="false" outlineLevel="0" collapsed="false">
      <c r="A1295" s="0" t="n">
        <v>1294</v>
      </c>
      <c r="B1295" s="0" t="n">
        <f aca="false">IF('Boletins Nuppa Site'!A1295&lt;&gt;0,'Boletins Nuppa Site'!A1295,"NULL")</f>
        <v>70</v>
      </c>
      <c r="C1295" s="0" t="n">
        <v>22</v>
      </c>
      <c r="D1295" s="30" t="n">
        <f aca="false">IF('Boletins Nuppa Site'!G1295&lt;&gt;0,'Boletins Nuppa Site'!G1295,"NULL")</f>
        <v>70</v>
      </c>
      <c r="E1295" s="30" t="n">
        <f aca="false">IF('Boletins Nuppa Site'!H1295&lt;&gt;0,'Boletins Nuppa Site'!H1295,"NULL")</f>
        <v>45</v>
      </c>
      <c r="F1295" s="30" t="n">
        <f aca="false">IF('Boletins Nuppa Site'!I1295&lt;&gt;0,'Boletins Nuppa Site'!I1295,"NULL")</f>
        <v>70</v>
      </c>
      <c r="G1295" s="0" t="str">
        <f aca="false">IF('Boletins Nuppa Site'!J1295&lt;&gt;0,'Boletins Nuppa Site'!J1295,"NULL")</f>
        <v>58.33</v>
      </c>
      <c r="H1295" s="0" t="str">
        <f aca="false">IF('Boletins Nuppa Site'!K1295&lt;&gt;0,'Boletins Nuppa Site'!K1295,"NULL")</f>
        <v>57.5</v>
      </c>
      <c r="I1295" s="0" t="str">
        <f aca="false">"INSERT INTO COTACAO (cot_id, cot_blt_id, cot_pap_id, cot_prc_comum, cot_prc_min, cot_prc_max, cot_prc_med, cot_prc_mediana) VALUES ("&amp;A1295&amp;", "&amp;B1295&amp;", "&amp;C1295&amp;", "&amp;D1295&amp;", "&amp;E1295&amp;", "&amp;F1295&amp;", "&amp;G1295&amp;", "&amp;H1295&amp;");"</f>
        <v>INSERT INTO COTACAO (cot_id, cot_blt_id, cot_pap_id, cot_prc_comum, cot_prc_min, cot_prc_max, cot_prc_med, cot_prc_mediana) VALUES (1294, 70, 22, 70, 45, 70, 58.33, 57.5);</v>
      </c>
      <c r="J1295" s="0" t="str">
        <f aca="false">"UPDATE COTACAO SET cot_id = "&amp;A1295&amp;", cot_blt_id = "&amp;B1295&amp;", cot_pap_id = "&amp;C1295&amp;", cot_prc_comum = "&amp;D1295&amp;", cot_prc_min = "&amp;E1295&amp;", cot_prc_max = "&amp;F1295&amp;", cot_prc_med = "&amp;G1295&amp;", cot_prc_mediana = "&amp;H1295&amp;" WHERE cot_id = "&amp;A1295&amp;";"</f>
        <v>UPDATE COTACAO SET cot_id = 1294, cot_blt_id = 70, cot_pap_id = 22, cot_prc_comum = 70, cot_prc_min = 45, cot_prc_max = 70, cot_prc_med = 58.33, cot_prc_mediana = 57.5 WHERE cot_id = 1294;</v>
      </c>
    </row>
    <row r="1296" customFormat="false" ht="14.25" hidden="false" customHeight="false" outlineLevel="0" collapsed="false">
      <c r="A1296" s="0" t="n">
        <v>1295</v>
      </c>
      <c r="B1296" s="0" t="n">
        <f aca="false">IF('Boletins Nuppa Site'!A1296&lt;&gt;0,'Boletins Nuppa Site'!A1296,"NULL")</f>
        <v>70</v>
      </c>
      <c r="C1296" s="0" t="n">
        <v>23</v>
      </c>
      <c r="D1296" s="30" t="n">
        <f aca="false">IF('Boletins Nuppa Site'!G1296&lt;&gt;0,'Boletins Nuppa Site'!G1296,"NULL")</f>
        <v>50</v>
      </c>
      <c r="E1296" s="30" t="n">
        <f aca="false">IF('Boletins Nuppa Site'!H1296&lt;&gt;0,'Boletins Nuppa Site'!H1296,"NULL")</f>
        <v>50</v>
      </c>
      <c r="F1296" s="30" t="n">
        <f aca="false">IF('Boletins Nuppa Site'!I1296&lt;&gt;0,'Boletins Nuppa Site'!I1296,"NULL")</f>
        <v>90</v>
      </c>
      <c r="G1296" s="30" t="n">
        <f aca="false">IF('Boletins Nuppa Site'!J1296&lt;&gt;0,'Boletins Nuppa Site'!J1296,"NULL")</f>
        <v>59</v>
      </c>
      <c r="H1296" s="30" t="n">
        <f aca="false">IF('Boletins Nuppa Site'!K1296&lt;&gt;0,'Boletins Nuppa Site'!K1296,"NULL")</f>
        <v>50</v>
      </c>
      <c r="I1296" s="0" t="str">
        <f aca="false">"INSERT INTO COTACAO (cot_id, cot_blt_id, cot_pap_id, cot_prc_comum, cot_prc_min, cot_prc_max, cot_prc_med, cot_prc_mediana) VALUES ("&amp;A1296&amp;", "&amp;B1296&amp;", "&amp;C1296&amp;", "&amp;D1296&amp;", "&amp;E1296&amp;", "&amp;F1296&amp;", "&amp;G1296&amp;", "&amp;H1296&amp;");"</f>
        <v>INSERT INTO COTACAO (cot_id, cot_blt_id, cot_pap_id, cot_prc_comum, cot_prc_min, cot_prc_max, cot_prc_med, cot_prc_mediana) VALUES (1295, 70, 23, 50, 50, 90, 59, 50);</v>
      </c>
      <c r="J1296" s="0" t="str">
        <f aca="false">"UPDATE COTACAO SET cot_id = "&amp;A1296&amp;", cot_blt_id = "&amp;B1296&amp;", cot_pap_id = "&amp;C1296&amp;", cot_prc_comum = "&amp;D1296&amp;", cot_prc_min = "&amp;E1296&amp;", cot_prc_max = "&amp;F1296&amp;", cot_prc_med = "&amp;G1296&amp;", cot_prc_mediana = "&amp;H1296&amp;" WHERE cot_id = "&amp;A1296&amp;";"</f>
        <v>UPDATE COTACAO SET cot_id = 1295, cot_blt_id = 70, cot_pap_id = 23, cot_prc_comum = 50, cot_prc_min = 50, cot_prc_max = 90, cot_prc_med = 59, cot_prc_mediana = 50 WHERE cot_id = 1295;</v>
      </c>
    </row>
    <row r="1297" customFormat="false" ht="14.25" hidden="false" customHeight="false" outlineLevel="0" collapsed="false">
      <c r="A1297" s="0" t="n">
        <v>1296</v>
      </c>
      <c r="B1297" s="0" t="n">
        <f aca="false">IF('Boletins Nuppa Site'!A1297&lt;&gt;0,'Boletins Nuppa Site'!A1297,"NULL")</f>
        <v>70</v>
      </c>
      <c r="C1297" s="0" t="n">
        <v>24</v>
      </c>
      <c r="D1297" s="0" t="str">
        <f aca="false">IF('Boletins Nuppa Site'!G1297&lt;&gt;0,'Boletins Nuppa Site'!G1297,"NULL")</f>
        <v>NULL</v>
      </c>
      <c r="E1297" s="30" t="n">
        <f aca="false">IF('Boletins Nuppa Site'!H1297&lt;&gt;0,'Boletins Nuppa Site'!H1297,"NULL")</f>
        <v>45</v>
      </c>
      <c r="F1297" s="30" t="n">
        <f aca="false">IF('Boletins Nuppa Site'!I1297&lt;&gt;0,'Boletins Nuppa Site'!I1297,"NULL")</f>
        <v>100</v>
      </c>
      <c r="G1297" s="0" t="str">
        <f aca="false">IF('Boletins Nuppa Site'!J1297&lt;&gt;0,'Boletins Nuppa Site'!J1297,"NULL")</f>
        <v>78.33</v>
      </c>
      <c r="H1297" s="30" t="n">
        <f aca="false">IF('Boletins Nuppa Site'!K1297&lt;&gt;0,'Boletins Nuppa Site'!K1297,"NULL")</f>
        <v>90</v>
      </c>
      <c r="I1297" s="0" t="str">
        <f aca="false">"INSERT INTO COTACAO (cot_id, cot_blt_id, cot_pap_id, cot_prc_comum, cot_prc_min, cot_prc_max, cot_prc_med, cot_prc_mediana) VALUES ("&amp;A1297&amp;", "&amp;B1297&amp;", "&amp;C1297&amp;", "&amp;D1297&amp;", "&amp;E1297&amp;", "&amp;F1297&amp;", "&amp;G1297&amp;", "&amp;H1297&amp;");"</f>
        <v>INSERT INTO COTACAO (cot_id, cot_blt_id, cot_pap_id, cot_prc_comum, cot_prc_min, cot_prc_max, cot_prc_med, cot_prc_mediana) VALUES (1296, 70, 24, NULL, 45, 100, 78.33, 90);</v>
      </c>
      <c r="J1297" s="0" t="str">
        <f aca="false">"UPDATE COTACAO SET cot_id = "&amp;A1297&amp;", cot_blt_id = "&amp;B1297&amp;", cot_pap_id = "&amp;C1297&amp;", cot_prc_comum = "&amp;D1297&amp;", cot_prc_min = "&amp;E1297&amp;", cot_prc_max = "&amp;F1297&amp;", cot_prc_med = "&amp;G1297&amp;", cot_prc_mediana = "&amp;H1297&amp;" WHERE cot_id = "&amp;A1297&amp;";"</f>
        <v>UPDATE COTACAO SET cot_id = 1296, cot_blt_id = 70, cot_pap_id = 24, cot_prc_comum = NULL, cot_prc_min = 45, cot_prc_max = 100, cot_prc_med = 78.33, cot_prc_mediana = 90 WHERE cot_id = 1296;</v>
      </c>
    </row>
    <row r="1298" customFormat="false" ht="14.25" hidden="false" customHeight="false" outlineLevel="0" collapsed="false">
      <c r="A1298" s="0" t="n">
        <v>1297</v>
      </c>
      <c r="B1298" s="0" t="n">
        <f aca="false">IF('Boletins Nuppa Site'!A1298&lt;&gt;0,'Boletins Nuppa Site'!A1298,"NULL")</f>
        <v>70</v>
      </c>
      <c r="C1298" s="0" t="n">
        <v>25</v>
      </c>
      <c r="D1298" s="30" t="n">
        <f aca="false">IF('Boletins Nuppa Site'!G1298&lt;&gt;0,'Boletins Nuppa Site'!G1298,"NULL")</f>
        <v>60</v>
      </c>
      <c r="E1298" s="30" t="n">
        <f aca="false">IF('Boletins Nuppa Site'!H1298&lt;&gt;0,'Boletins Nuppa Site'!H1298,"NULL")</f>
        <v>60</v>
      </c>
      <c r="F1298" s="30" t="n">
        <f aca="false">IF('Boletins Nuppa Site'!I1298&lt;&gt;0,'Boletins Nuppa Site'!I1298,"NULL")</f>
        <v>70</v>
      </c>
      <c r="G1298" s="0" t="str">
        <f aca="false">IF('Boletins Nuppa Site'!J1298&lt;&gt;0,'Boletins Nuppa Site'!J1298,"NULL")</f>
        <v>64.17</v>
      </c>
      <c r="H1298" s="0" t="str">
        <f aca="false">IF('Boletins Nuppa Site'!K1298&lt;&gt;0,'Boletins Nuppa Site'!K1298,"NULL")</f>
        <v>62.5</v>
      </c>
      <c r="I1298" s="0" t="str">
        <f aca="false">"INSERT INTO COTACAO (cot_id, cot_blt_id, cot_pap_id, cot_prc_comum, cot_prc_min, cot_prc_max, cot_prc_med, cot_prc_mediana) VALUES ("&amp;A1298&amp;", "&amp;B1298&amp;", "&amp;C1298&amp;", "&amp;D1298&amp;", "&amp;E1298&amp;", "&amp;F1298&amp;", "&amp;G1298&amp;", "&amp;H1298&amp;");"</f>
        <v>INSERT INTO COTACAO (cot_id, cot_blt_id, cot_pap_id, cot_prc_comum, cot_prc_min, cot_prc_max, cot_prc_med, cot_prc_mediana) VALUES (1297, 70, 25, 60, 60, 70, 64.17, 62.5);</v>
      </c>
      <c r="J1298" s="0" t="str">
        <f aca="false">"UPDATE COTACAO SET cot_id = "&amp;A1298&amp;", cot_blt_id = "&amp;B1298&amp;", cot_pap_id = "&amp;C1298&amp;", cot_prc_comum = "&amp;D1298&amp;", cot_prc_min = "&amp;E1298&amp;", cot_prc_max = "&amp;F1298&amp;", cot_prc_med = "&amp;G1298&amp;", cot_prc_mediana = "&amp;H1298&amp;" WHERE cot_id = "&amp;A1298&amp;";"</f>
        <v>UPDATE COTACAO SET cot_id = 1297, cot_blt_id = 70, cot_pap_id = 25, cot_prc_comum = 60, cot_prc_min = 60, cot_prc_max = 70, cot_prc_med = 64.17, cot_prc_mediana = 62.5 WHERE cot_id = 1297;</v>
      </c>
    </row>
    <row r="1299" customFormat="false" ht="14.25" hidden="false" customHeight="false" outlineLevel="0" collapsed="false">
      <c r="A1299" s="0" t="n">
        <v>1298</v>
      </c>
      <c r="B1299" s="0" t="n">
        <f aca="false">IF('Boletins Nuppa Site'!A1299&lt;&gt;0,'Boletins Nuppa Site'!A1299,"NULL")</f>
        <v>70</v>
      </c>
      <c r="C1299" s="0" t="n">
        <v>26</v>
      </c>
      <c r="D1299" s="30" t="n">
        <f aca="false">IF('Boletins Nuppa Site'!G1299&lt;&gt;0,'Boletins Nuppa Site'!G1299,"NULL")</f>
        <v>55</v>
      </c>
      <c r="E1299" s="30" t="n">
        <f aca="false">IF('Boletins Nuppa Site'!H1299&lt;&gt;0,'Boletins Nuppa Site'!H1299,"NULL")</f>
        <v>40</v>
      </c>
      <c r="F1299" s="30" t="n">
        <f aca="false">IF('Boletins Nuppa Site'!I1299&lt;&gt;0,'Boletins Nuppa Site'!I1299,"NULL")</f>
        <v>60</v>
      </c>
      <c r="G1299" s="0" t="str">
        <f aca="false">IF('Boletins Nuppa Site'!J1299&lt;&gt;0,'Boletins Nuppa Site'!J1299,"NULL")</f>
        <v>50.83</v>
      </c>
      <c r="H1299" s="0" t="str">
        <f aca="false">IF('Boletins Nuppa Site'!K1299&lt;&gt;0,'Boletins Nuppa Site'!K1299,"NULL")</f>
        <v>52.5</v>
      </c>
      <c r="I1299" s="0" t="str">
        <f aca="false">"INSERT INTO COTACAO (cot_id, cot_blt_id, cot_pap_id, cot_prc_comum, cot_prc_min, cot_prc_max, cot_prc_med, cot_prc_mediana) VALUES ("&amp;A1299&amp;", "&amp;B1299&amp;", "&amp;C1299&amp;", "&amp;D1299&amp;", "&amp;E1299&amp;", "&amp;F1299&amp;", "&amp;G1299&amp;", "&amp;H1299&amp;");"</f>
        <v>INSERT INTO COTACAO (cot_id, cot_blt_id, cot_pap_id, cot_prc_comum, cot_prc_min, cot_prc_max, cot_prc_med, cot_prc_mediana) VALUES (1298, 70, 26, 55, 40, 60, 50.83, 52.5);</v>
      </c>
      <c r="J1299" s="0" t="str">
        <f aca="false">"UPDATE COTACAO SET cot_id = "&amp;A1299&amp;", cot_blt_id = "&amp;B1299&amp;", cot_pap_id = "&amp;C1299&amp;", cot_prc_comum = "&amp;D1299&amp;", cot_prc_min = "&amp;E1299&amp;", cot_prc_max = "&amp;F1299&amp;", cot_prc_med = "&amp;G1299&amp;", cot_prc_mediana = "&amp;H1299&amp;" WHERE cot_id = "&amp;A1299&amp;";"</f>
        <v>UPDATE COTACAO SET cot_id = 1298, cot_blt_id = 70, cot_pap_id = 26, cot_prc_comum = 55, cot_prc_min = 40, cot_prc_max = 60, cot_prc_med = 50.83, cot_prc_mediana = 52.5 WHERE cot_id = 1298;</v>
      </c>
    </row>
    <row r="1300" customFormat="false" ht="14.25" hidden="false" customHeight="false" outlineLevel="0" collapsed="false">
      <c r="A1300" s="0" t="n">
        <v>1299</v>
      </c>
      <c r="B1300" s="0" t="n">
        <f aca="false">IF('Boletins Nuppa Site'!A1300&lt;&gt;0,'Boletins Nuppa Site'!A1300,"NULL")</f>
        <v>70</v>
      </c>
      <c r="C1300" s="0" t="n">
        <v>27</v>
      </c>
      <c r="D1300" s="30" t="n">
        <f aca="false">IF('Boletins Nuppa Site'!G1300&lt;&gt;0,'Boletins Nuppa Site'!G1300,"NULL")</f>
        <v>60</v>
      </c>
      <c r="E1300" s="30" t="n">
        <f aca="false">IF('Boletins Nuppa Site'!H1300&lt;&gt;0,'Boletins Nuppa Site'!H1300,"NULL")</f>
        <v>50</v>
      </c>
      <c r="F1300" s="30" t="n">
        <f aca="false">IF('Boletins Nuppa Site'!I1300&lt;&gt;0,'Boletins Nuppa Site'!I1300,"NULL")</f>
        <v>70</v>
      </c>
      <c r="G1300" s="0" t="str">
        <f aca="false">IF('Boletins Nuppa Site'!J1300&lt;&gt;0,'Boletins Nuppa Site'!J1300,"NULL")</f>
        <v>62.5</v>
      </c>
      <c r="H1300" s="0" t="str">
        <f aca="false">IF('Boletins Nuppa Site'!K1300&lt;&gt;0,'Boletins Nuppa Site'!K1300,"NULL")</f>
        <v>62.5</v>
      </c>
      <c r="I1300" s="0" t="str">
        <f aca="false">"INSERT INTO COTACAO (cot_id, cot_blt_id, cot_pap_id, cot_prc_comum, cot_prc_min, cot_prc_max, cot_prc_med, cot_prc_mediana) VALUES ("&amp;A1300&amp;", "&amp;B1300&amp;", "&amp;C1300&amp;", "&amp;D1300&amp;", "&amp;E1300&amp;", "&amp;F1300&amp;", "&amp;G1300&amp;", "&amp;H1300&amp;");"</f>
        <v>INSERT INTO COTACAO (cot_id, cot_blt_id, cot_pap_id, cot_prc_comum, cot_prc_min, cot_prc_max, cot_prc_med, cot_prc_mediana) VALUES (1299, 70, 27, 60, 50, 70, 62.5, 62.5);</v>
      </c>
      <c r="J1300" s="0" t="str">
        <f aca="false">"UPDATE COTACAO SET cot_id = "&amp;A1300&amp;", cot_blt_id = "&amp;B1300&amp;", cot_pap_id = "&amp;C1300&amp;", cot_prc_comum = "&amp;D1300&amp;", cot_prc_min = "&amp;E1300&amp;", cot_prc_max = "&amp;F1300&amp;", cot_prc_med = "&amp;G1300&amp;", cot_prc_mediana = "&amp;H1300&amp;" WHERE cot_id = "&amp;A1300&amp;";"</f>
        <v>UPDATE COTACAO SET cot_id = 1299, cot_blt_id = 70, cot_pap_id = 27, cot_prc_comum = 60, cot_prc_min = 50, cot_prc_max = 70, cot_prc_med = 62.5, cot_prc_mediana = 62.5 WHERE cot_id = 1299;</v>
      </c>
    </row>
    <row r="1301" customFormat="false" ht="14.25" hidden="false" customHeight="false" outlineLevel="0" collapsed="false">
      <c r="A1301" s="0" t="n">
        <v>1300</v>
      </c>
      <c r="B1301" s="0" t="n">
        <f aca="false">IF('Boletins Nuppa Site'!A1301&lt;&gt;0,'Boletins Nuppa Site'!A1301,"NULL")</f>
        <v>70</v>
      </c>
      <c r="C1301" s="0" t="n">
        <v>28</v>
      </c>
      <c r="D1301" s="30" t="n">
        <f aca="false">IF('Boletins Nuppa Site'!G1301&lt;&gt;0,'Boletins Nuppa Site'!G1301,"NULL")</f>
        <v>100</v>
      </c>
      <c r="E1301" s="30" t="n">
        <f aca="false">IF('Boletins Nuppa Site'!H1301&lt;&gt;0,'Boletins Nuppa Site'!H1301,"NULL")</f>
        <v>80</v>
      </c>
      <c r="F1301" s="30" t="n">
        <f aca="false">IF('Boletins Nuppa Site'!I1301&lt;&gt;0,'Boletins Nuppa Site'!I1301,"NULL")</f>
        <v>120</v>
      </c>
      <c r="G1301" s="30" t="n">
        <f aca="false">IF('Boletins Nuppa Site'!J1301&lt;&gt;0,'Boletins Nuppa Site'!J1301,"NULL")</f>
        <v>98</v>
      </c>
      <c r="H1301" s="30" t="n">
        <f aca="false">IF('Boletins Nuppa Site'!K1301&lt;&gt;0,'Boletins Nuppa Site'!K1301,"NULL")</f>
        <v>100</v>
      </c>
      <c r="I1301" s="0" t="str">
        <f aca="false">"INSERT INTO COTACAO (cot_id, cot_blt_id, cot_pap_id, cot_prc_comum, cot_prc_min, cot_prc_max, cot_prc_med, cot_prc_mediana) VALUES ("&amp;A1301&amp;", "&amp;B1301&amp;", "&amp;C1301&amp;", "&amp;D1301&amp;", "&amp;E1301&amp;", "&amp;F1301&amp;", "&amp;G1301&amp;", "&amp;H1301&amp;");"</f>
        <v>INSERT INTO COTACAO (cot_id, cot_blt_id, cot_pap_id, cot_prc_comum, cot_prc_min, cot_prc_max, cot_prc_med, cot_prc_mediana) VALUES (1300, 70, 28, 100, 80, 120, 98, 100);</v>
      </c>
      <c r="J1301" s="0" t="str">
        <f aca="false">"UPDATE COTACAO SET cot_id = "&amp;A1301&amp;", cot_blt_id = "&amp;B1301&amp;", cot_pap_id = "&amp;C1301&amp;", cot_prc_comum = "&amp;D1301&amp;", cot_prc_min = "&amp;E1301&amp;", cot_prc_max = "&amp;F1301&amp;", cot_prc_med = "&amp;G1301&amp;", cot_prc_mediana = "&amp;H1301&amp;" WHERE cot_id = "&amp;A1301&amp;";"</f>
        <v>UPDATE COTACAO SET cot_id = 1300, cot_blt_id = 70, cot_pap_id = 28, cot_prc_comum = 100, cot_prc_min = 80, cot_prc_max = 120, cot_prc_med = 98, cot_prc_mediana = 100 WHERE cot_id = 1300;</v>
      </c>
    </row>
    <row r="1302" customFormat="false" ht="14.25" hidden="false" customHeight="false" outlineLevel="0" collapsed="false">
      <c r="A1302" s="0" t="n">
        <v>1301</v>
      </c>
      <c r="B1302" s="0" t="n">
        <f aca="false">IF('Boletins Nuppa Site'!A1302&lt;&gt;0,'Boletins Nuppa Site'!A1302,"NULL")</f>
        <v>70</v>
      </c>
      <c r="C1302" s="0" t="n">
        <v>29</v>
      </c>
      <c r="D1302" s="0" t="str">
        <f aca="false">IF('Boletins Nuppa Site'!G1302&lt;&gt;0,'Boletins Nuppa Site'!G1302,"NULL")</f>
        <v>NULL</v>
      </c>
      <c r="E1302" s="30" t="n">
        <f aca="false">IF('Boletins Nuppa Site'!H1302&lt;&gt;0,'Boletins Nuppa Site'!H1302,"NULL")</f>
        <v>40</v>
      </c>
      <c r="F1302" s="30" t="n">
        <f aca="false">IF('Boletins Nuppa Site'!I1302&lt;&gt;0,'Boletins Nuppa Site'!I1302,"NULL")</f>
        <v>50</v>
      </c>
      <c r="G1302" s="30" t="n">
        <f aca="false">IF('Boletins Nuppa Site'!J1302&lt;&gt;0,'Boletins Nuppa Site'!J1302,"NULL")</f>
        <v>45</v>
      </c>
      <c r="H1302" s="30" t="n">
        <f aca="false">IF('Boletins Nuppa Site'!K1302&lt;&gt;0,'Boletins Nuppa Site'!K1302,"NULL")</f>
        <v>45</v>
      </c>
      <c r="I1302" s="0" t="str">
        <f aca="false">"INSERT INTO COTACAO (cot_id, cot_blt_id, cot_pap_id, cot_prc_comum, cot_prc_min, cot_prc_max, cot_prc_med, cot_prc_mediana) VALUES ("&amp;A1302&amp;", "&amp;B1302&amp;", "&amp;C1302&amp;", "&amp;D1302&amp;", "&amp;E1302&amp;", "&amp;F1302&amp;", "&amp;G1302&amp;", "&amp;H1302&amp;");"</f>
        <v>INSERT INTO COTACAO (cot_id, cot_blt_id, cot_pap_id, cot_prc_comum, cot_prc_min, cot_prc_max, cot_prc_med, cot_prc_mediana) VALUES (1301, 70, 29, NULL, 40, 50, 45, 45);</v>
      </c>
      <c r="J1302" s="0" t="str">
        <f aca="false">"UPDATE COTACAO SET cot_id = "&amp;A1302&amp;", cot_blt_id = "&amp;B1302&amp;", cot_pap_id = "&amp;C1302&amp;", cot_prc_comum = "&amp;D1302&amp;", cot_prc_min = "&amp;E1302&amp;", cot_prc_max = "&amp;F1302&amp;", cot_prc_med = "&amp;G1302&amp;", cot_prc_mediana = "&amp;H1302&amp;" WHERE cot_id = "&amp;A1302&amp;";"</f>
        <v>UPDATE COTACAO SET cot_id = 1301, cot_blt_id = 70, cot_pap_id = 29, cot_prc_comum = NULL, cot_prc_min = 40, cot_prc_max = 50, cot_prc_med = 45, cot_prc_mediana = 45 WHERE cot_id = 1301;</v>
      </c>
    </row>
    <row r="1303" customFormat="false" ht="14.25" hidden="false" customHeight="false" outlineLevel="0" collapsed="false">
      <c r="A1303" s="0" t="n">
        <v>1302</v>
      </c>
      <c r="B1303" s="0" t="n">
        <f aca="false">IF('Boletins Nuppa Site'!A1303&lt;&gt;0,'Boletins Nuppa Site'!A1303,"NULL")</f>
        <v>70</v>
      </c>
      <c r="C1303" s="0" t="n">
        <v>30</v>
      </c>
      <c r="D1303" s="30" t="n">
        <f aca="false">IF('Boletins Nuppa Site'!G1303&lt;&gt;0,'Boletins Nuppa Site'!G1303,"NULL")</f>
        <v>100</v>
      </c>
      <c r="E1303" s="30" t="n">
        <f aca="false">IF('Boletins Nuppa Site'!H1303&lt;&gt;0,'Boletins Nuppa Site'!H1303,"NULL")</f>
        <v>90</v>
      </c>
      <c r="F1303" s="30" t="n">
        <f aca="false">IF('Boletins Nuppa Site'!I1303&lt;&gt;0,'Boletins Nuppa Site'!I1303,"NULL")</f>
        <v>100</v>
      </c>
      <c r="G1303" s="0" t="str">
        <f aca="false">IF('Boletins Nuppa Site'!J1303&lt;&gt;0,'Boletins Nuppa Site'!J1303,"NULL")</f>
        <v>96.67</v>
      </c>
      <c r="H1303" s="30" t="n">
        <f aca="false">IF('Boletins Nuppa Site'!K1303&lt;&gt;0,'Boletins Nuppa Site'!K1303,"NULL")</f>
        <v>100</v>
      </c>
      <c r="I1303" s="0" t="str">
        <f aca="false">"INSERT INTO COTACAO (cot_id, cot_blt_id, cot_pap_id, cot_prc_comum, cot_prc_min, cot_prc_max, cot_prc_med, cot_prc_mediana) VALUES ("&amp;A1303&amp;", "&amp;B1303&amp;", "&amp;C1303&amp;", "&amp;D1303&amp;", "&amp;E1303&amp;", "&amp;F1303&amp;", "&amp;G1303&amp;", "&amp;H1303&amp;");"</f>
        <v>INSERT INTO COTACAO (cot_id, cot_blt_id, cot_pap_id, cot_prc_comum, cot_prc_min, cot_prc_max, cot_prc_med, cot_prc_mediana) VALUES (1302, 70, 30, 100, 90, 100, 96.67, 100);</v>
      </c>
      <c r="J1303" s="0" t="str">
        <f aca="false">"UPDATE COTACAO SET cot_id = "&amp;A1303&amp;", cot_blt_id = "&amp;B1303&amp;", cot_pap_id = "&amp;C1303&amp;", cot_prc_comum = "&amp;D1303&amp;", cot_prc_min = "&amp;E1303&amp;", cot_prc_max = "&amp;F1303&amp;", cot_prc_med = "&amp;G1303&amp;", cot_prc_mediana = "&amp;H1303&amp;" WHERE cot_id = "&amp;A1303&amp;";"</f>
        <v>UPDATE COTACAO SET cot_id = 1302, cot_blt_id = 70, cot_pap_id = 30, cot_prc_comum = 100, cot_prc_min = 90, cot_prc_max = 100, cot_prc_med = 96.67, cot_prc_mediana = 100 WHERE cot_id = 1302;</v>
      </c>
    </row>
    <row r="1304" customFormat="false" ht="14.25" hidden="false" customHeight="false" outlineLevel="0" collapsed="false">
      <c r="A1304" s="0" t="n">
        <v>1303</v>
      </c>
      <c r="B1304" s="0" t="n">
        <f aca="false">IF('Boletins Nuppa Site'!A1304&lt;&gt;0,'Boletins Nuppa Site'!A1304,"NULL")</f>
        <v>70</v>
      </c>
      <c r="C1304" s="0" t="n">
        <v>31</v>
      </c>
      <c r="D1304" s="30" t="n">
        <f aca="false">IF('Boletins Nuppa Site'!G1304&lt;&gt;0,'Boletins Nuppa Site'!G1304,"NULL")</f>
        <v>140</v>
      </c>
      <c r="E1304" s="30" t="n">
        <f aca="false">IF('Boletins Nuppa Site'!H1304&lt;&gt;0,'Boletins Nuppa Site'!H1304,"NULL")</f>
        <v>80</v>
      </c>
      <c r="F1304" s="30" t="n">
        <f aca="false">IF('Boletins Nuppa Site'!I1304&lt;&gt;0,'Boletins Nuppa Site'!I1304,"NULL")</f>
        <v>140</v>
      </c>
      <c r="G1304" s="0" t="str">
        <f aca="false">IF('Boletins Nuppa Site'!J1304&lt;&gt;0,'Boletins Nuppa Site'!J1304,"NULL")</f>
        <v>121.67</v>
      </c>
      <c r="H1304" s="30" t="n">
        <f aca="false">IF('Boletins Nuppa Site'!K1304&lt;&gt;0,'Boletins Nuppa Site'!K1304,"NULL")</f>
        <v>135</v>
      </c>
      <c r="I1304" s="0" t="str">
        <f aca="false">"INSERT INTO COTACAO (cot_id, cot_blt_id, cot_pap_id, cot_prc_comum, cot_prc_min, cot_prc_max, cot_prc_med, cot_prc_mediana) VALUES ("&amp;A1304&amp;", "&amp;B1304&amp;", "&amp;C1304&amp;", "&amp;D1304&amp;", "&amp;E1304&amp;", "&amp;F1304&amp;", "&amp;G1304&amp;", "&amp;H1304&amp;");"</f>
        <v>INSERT INTO COTACAO (cot_id, cot_blt_id, cot_pap_id, cot_prc_comum, cot_prc_min, cot_prc_max, cot_prc_med, cot_prc_mediana) VALUES (1303, 70, 31, 140, 80, 140, 121.67, 135);</v>
      </c>
      <c r="J1304" s="0" t="str">
        <f aca="false">"UPDATE COTACAO SET cot_id = "&amp;A1304&amp;", cot_blt_id = "&amp;B1304&amp;", cot_pap_id = "&amp;C1304&amp;", cot_prc_comum = "&amp;D1304&amp;", cot_prc_min = "&amp;E1304&amp;", cot_prc_max = "&amp;F1304&amp;", cot_prc_med = "&amp;G1304&amp;", cot_prc_mediana = "&amp;H1304&amp;" WHERE cot_id = "&amp;A1304&amp;";"</f>
        <v>UPDATE COTACAO SET cot_id = 1303, cot_blt_id = 70, cot_pap_id = 31, cot_prc_comum = 140, cot_prc_min = 80, cot_prc_max = 140, cot_prc_med = 121.67, cot_prc_mediana = 135 WHERE cot_id = 1303;</v>
      </c>
    </row>
    <row r="1305" customFormat="false" ht="14.25" hidden="false" customHeight="false" outlineLevel="0" collapsed="false">
      <c r="A1305" s="0" t="n">
        <v>1304</v>
      </c>
      <c r="B1305" s="0" t="n">
        <f aca="false">IF('Boletins Nuppa Site'!A1305&lt;&gt;0,'Boletins Nuppa Site'!A1305,"NULL")</f>
        <v>70</v>
      </c>
      <c r="C1305" s="0" t="n">
        <v>32</v>
      </c>
      <c r="D1305" s="30" t="n">
        <f aca="false">IF('Boletins Nuppa Site'!G1305&lt;&gt;0,'Boletins Nuppa Site'!G1305,"NULL")</f>
        <v>50</v>
      </c>
      <c r="E1305" s="30" t="n">
        <f aca="false">IF('Boletins Nuppa Site'!H1305&lt;&gt;0,'Boletins Nuppa Site'!H1305,"NULL")</f>
        <v>50</v>
      </c>
      <c r="F1305" s="30" t="n">
        <f aca="false">IF('Boletins Nuppa Site'!I1305&lt;&gt;0,'Boletins Nuppa Site'!I1305,"NULL")</f>
        <v>80</v>
      </c>
      <c r="G1305" s="0" t="str">
        <f aca="false">IF('Boletins Nuppa Site'!J1305&lt;&gt;0,'Boletins Nuppa Site'!J1305,"NULL")</f>
        <v>55.83</v>
      </c>
      <c r="H1305" s="30" t="n">
        <f aca="false">IF('Boletins Nuppa Site'!K1305&lt;&gt;0,'Boletins Nuppa Site'!K1305,"NULL")</f>
        <v>50</v>
      </c>
      <c r="I1305" s="0" t="str">
        <f aca="false">"INSERT INTO COTACAO (cot_id, cot_blt_id, cot_pap_id, cot_prc_comum, cot_prc_min, cot_prc_max, cot_prc_med, cot_prc_mediana) VALUES ("&amp;A1305&amp;", "&amp;B1305&amp;", "&amp;C1305&amp;", "&amp;D1305&amp;", "&amp;E1305&amp;", "&amp;F1305&amp;", "&amp;G1305&amp;", "&amp;H1305&amp;");"</f>
        <v>INSERT INTO COTACAO (cot_id, cot_blt_id, cot_pap_id, cot_prc_comum, cot_prc_min, cot_prc_max, cot_prc_med, cot_prc_mediana) VALUES (1304, 70, 32, 50, 50, 80, 55.83, 50);</v>
      </c>
      <c r="J1305" s="0" t="str">
        <f aca="false">"UPDATE COTACAO SET cot_id = "&amp;A1305&amp;", cot_blt_id = "&amp;B1305&amp;", cot_pap_id = "&amp;C1305&amp;", cot_prc_comum = "&amp;D1305&amp;", cot_prc_min = "&amp;E1305&amp;", cot_prc_max = "&amp;F1305&amp;", cot_prc_med = "&amp;G1305&amp;", cot_prc_mediana = "&amp;H1305&amp;" WHERE cot_id = "&amp;A1305&amp;";"</f>
        <v>UPDATE COTACAO SET cot_id = 1304, cot_blt_id = 70, cot_pap_id = 32, cot_prc_comum = 50, cot_prc_min = 50, cot_prc_max = 80, cot_prc_med = 55.83, cot_prc_mediana = 50 WHERE cot_id = 1304;</v>
      </c>
    </row>
    <row r="1306" customFormat="false" ht="14.25" hidden="false" customHeight="false" outlineLevel="0" collapsed="false">
      <c r="A1306" s="0" t="n">
        <v>1305</v>
      </c>
      <c r="B1306" s="0" t="n">
        <f aca="false">IF('Boletins Nuppa Site'!A1306&lt;&gt;0,'Boletins Nuppa Site'!A1306,"NULL")</f>
        <v>70</v>
      </c>
      <c r="C1306" s="0" t="n">
        <v>33</v>
      </c>
      <c r="D1306" s="30" t="n">
        <f aca="false">IF('Boletins Nuppa Site'!G1306&lt;&gt;0,'Boletins Nuppa Site'!G1306,"NULL")</f>
        <v>140</v>
      </c>
      <c r="E1306" s="30" t="n">
        <f aca="false">IF('Boletins Nuppa Site'!H1306&lt;&gt;0,'Boletins Nuppa Site'!H1306,"NULL")</f>
        <v>50</v>
      </c>
      <c r="F1306" s="30" t="n">
        <f aca="false">IF('Boletins Nuppa Site'!I1306&lt;&gt;0,'Boletins Nuppa Site'!I1306,"NULL")</f>
        <v>150</v>
      </c>
      <c r="G1306" s="0" t="str">
        <f aca="false">IF('Boletins Nuppa Site'!J1306&lt;&gt;0,'Boletins Nuppa Site'!J1306,"NULL")</f>
        <v>123.33</v>
      </c>
      <c r="H1306" s="30" t="n">
        <f aca="false">IF('Boletins Nuppa Site'!K1306&lt;&gt;0,'Boletins Nuppa Site'!K1306,"NULL")</f>
        <v>135</v>
      </c>
      <c r="I1306" s="0" t="str">
        <f aca="false">"INSERT INTO COTACAO (cot_id, cot_blt_id, cot_pap_id, cot_prc_comum, cot_prc_min, cot_prc_max, cot_prc_med, cot_prc_mediana) VALUES ("&amp;A1306&amp;", "&amp;B1306&amp;", "&amp;C1306&amp;", "&amp;D1306&amp;", "&amp;E1306&amp;", "&amp;F1306&amp;", "&amp;G1306&amp;", "&amp;H1306&amp;");"</f>
        <v>INSERT INTO COTACAO (cot_id, cot_blt_id, cot_pap_id, cot_prc_comum, cot_prc_min, cot_prc_max, cot_prc_med, cot_prc_mediana) VALUES (1305, 70, 33, 140, 50, 150, 123.33, 135);</v>
      </c>
      <c r="J1306" s="0" t="str">
        <f aca="false">"UPDATE COTACAO SET cot_id = "&amp;A1306&amp;", cot_blt_id = "&amp;B1306&amp;", cot_pap_id = "&amp;C1306&amp;", cot_prc_comum = "&amp;D1306&amp;", cot_prc_min = "&amp;E1306&amp;", cot_prc_max = "&amp;F1306&amp;", cot_prc_med = "&amp;G1306&amp;", cot_prc_mediana = "&amp;H1306&amp;" WHERE cot_id = "&amp;A1306&amp;";"</f>
        <v>UPDATE COTACAO SET cot_id = 1305, cot_blt_id = 70, cot_pap_id = 33, cot_prc_comum = 140, cot_prc_min = 50, cot_prc_max = 150, cot_prc_med = 123.33, cot_prc_mediana = 135 WHERE cot_id = 1305;</v>
      </c>
    </row>
    <row r="1307" customFormat="false" ht="14.25" hidden="false" customHeight="false" outlineLevel="0" collapsed="false">
      <c r="A1307" s="0" t="n">
        <v>1306</v>
      </c>
      <c r="B1307" s="0" t="n">
        <f aca="false">IF('Boletins Nuppa Site'!A1307&lt;&gt;0,'Boletins Nuppa Site'!A1307,"NULL")</f>
        <v>70</v>
      </c>
      <c r="C1307" s="0" t="n">
        <v>34</v>
      </c>
      <c r="D1307" s="30" t="n">
        <f aca="false">IF('Boletins Nuppa Site'!G1307&lt;&gt;0,'Boletins Nuppa Site'!G1307,"NULL")</f>
        <v>70</v>
      </c>
      <c r="E1307" s="30" t="n">
        <f aca="false">IF('Boletins Nuppa Site'!H1307&lt;&gt;0,'Boletins Nuppa Site'!H1307,"NULL")</f>
        <v>50</v>
      </c>
      <c r="F1307" s="30" t="n">
        <f aca="false">IF('Boletins Nuppa Site'!I1307&lt;&gt;0,'Boletins Nuppa Site'!I1307,"NULL")</f>
        <v>80</v>
      </c>
      <c r="G1307" s="30" t="n">
        <f aca="false">IF('Boletins Nuppa Site'!J1307&lt;&gt;0,'Boletins Nuppa Site'!J1307,"NULL")</f>
        <v>65</v>
      </c>
      <c r="H1307" s="0" t="str">
        <f aca="false">IF('Boletins Nuppa Site'!K1307&lt;&gt;0,'Boletins Nuppa Site'!K1307,"NULL")</f>
        <v>67.5</v>
      </c>
      <c r="I1307" s="0" t="str">
        <f aca="false">"INSERT INTO COTACAO (cot_id, cot_blt_id, cot_pap_id, cot_prc_comum, cot_prc_min, cot_prc_max, cot_prc_med, cot_prc_mediana) VALUES ("&amp;A1307&amp;", "&amp;B1307&amp;", "&amp;C1307&amp;", "&amp;D1307&amp;", "&amp;E1307&amp;", "&amp;F1307&amp;", "&amp;G1307&amp;", "&amp;H1307&amp;");"</f>
        <v>INSERT INTO COTACAO (cot_id, cot_blt_id, cot_pap_id, cot_prc_comum, cot_prc_min, cot_prc_max, cot_prc_med, cot_prc_mediana) VALUES (1306, 70, 34, 70, 50, 80, 65, 67.5);</v>
      </c>
      <c r="J1307" s="0" t="str">
        <f aca="false">"UPDATE COTACAO SET cot_id = "&amp;A1307&amp;", cot_blt_id = "&amp;B1307&amp;", cot_pap_id = "&amp;C1307&amp;", cot_prc_comum = "&amp;D1307&amp;", cot_prc_min = "&amp;E1307&amp;", cot_prc_max = "&amp;F1307&amp;", cot_prc_med = "&amp;G1307&amp;", cot_prc_mediana = "&amp;H1307&amp;" WHERE cot_id = "&amp;A1307&amp;";"</f>
        <v>UPDATE COTACAO SET cot_id = 1306, cot_blt_id = 70, cot_pap_id = 34, cot_prc_comum = 70, cot_prc_min = 50, cot_prc_max = 80, cot_prc_med = 65, cot_prc_mediana = 67.5 WHERE cot_id = 1306;</v>
      </c>
    </row>
    <row r="1308" customFormat="false" ht="14.25" hidden="false" customHeight="false" outlineLevel="0" collapsed="false">
      <c r="A1308" s="0" t="n">
        <v>1307</v>
      </c>
      <c r="B1308" s="0" t="n">
        <f aca="false">IF('Boletins Nuppa Site'!A1308&lt;&gt;0,'Boletins Nuppa Site'!A1308,"NULL")</f>
        <v>70</v>
      </c>
      <c r="C1308" s="0" t="n">
        <v>35</v>
      </c>
      <c r="D1308" s="30" t="n">
        <f aca="false">IF('Boletins Nuppa Site'!G1308&lt;&gt;0,'Boletins Nuppa Site'!G1308,"NULL")</f>
        <v>130</v>
      </c>
      <c r="E1308" s="30" t="n">
        <f aca="false">IF('Boletins Nuppa Site'!H1308&lt;&gt;0,'Boletins Nuppa Site'!H1308,"NULL")</f>
        <v>120</v>
      </c>
      <c r="F1308" s="30" t="n">
        <f aca="false">IF('Boletins Nuppa Site'!I1308&lt;&gt;0,'Boletins Nuppa Site'!I1308,"NULL")</f>
        <v>150</v>
      </c>
      <c r="G1308" s="30" t="n">
        <f aca="false">IF('Boletins Nuppa Site'!J1308&lt;&gt;0,'Boletins Nuppa Site'!J1308,"NULL")</f>
        <v>130</v>
      </c>
      <c r="H1308" s="30" t="n">
        <f aca="false">IF('Boletins Nuppa Site'!K1308&lt;&gt;0,'Boletins Nuppa Site'!K1308,"NULL")</f>
        <v>130</v>
      </c>
      <c r="I1308" s="0" t="str">
        <f aca="false">"INSERT INTO COTACAO (cot_id, cot_blt_id, cot_pap_id, cot_prc_comum, cot_prc_min, cot_prc_max, cot_prc_med, cot_prc_mediana) VALUES ("&amp;A1308&amp;", "&amp;B1308&amp;", "&amp;C1308&amp;", "&amp;D1308&amp;", "&amp;E1308&amp;", "&amp;F1308&amp;", "&amp;G1308&amp;", "&amp;H1308&amp;");"</f>
        <v>INSERT INTO COTACAO (cot_id, cot_blt_id, cot_pap_id, cot_prc_comum, cot_prc_min, cot_prc_max, cot_prc_med, cot_prc_mediana) VALUES (1307, 70, 35, 130, 120, 150, 130, 130);</v>
      </c>
      <c r="J1308" s="0" t="str">
        <f aca="false">"UPDATE COTACAO SET cot_id = "&amp;A1308&amp;", cot_blt_id = "&amp;B1308&amp;", cot_pap_id = "&amp;C1308&amp;", cot_prc_comum = "&amp;D1308&amp;", cot_prc_min = "&amp;E1308&amp;", cot_prc_max = "&amp;F1308&amp;", cot_prc_med = "&amp;G1308&amp;", cot_prc_mediana = "&amp;H1308&amp;" WHERE cot_id = "&amp;A1308&amp;";"</f>
        <v>UPDATE COTACAO SET cot_id = 1307, cot_blt_id = 70, cot_pap_id = 35, cot_prc_comum = 130, cot_prc_min = 120, cot_prc_max = 150, cot_prc_med = 130, cot_prc_mediana = 130 WHERE cot_id = 1307;</v>
      </c>
    </row>
    <row r="1309" customFormat="false" ht="14.25" hidden="false" customHeight="false" outlineLevel="0" collapsed="false">
      <c r="A1309" s="0" t="n">
        <v>1308</v>
      </c>
      <c r="B1309" s="0" t="n">
        <f aca="false">IF('Boletins Nuppa Site'!A1309&lt;&gt;0,'Boletins Nuppa Site'!A1309,"NULL")</f>
        <v>70</v>
      </c>
      <c r="C1309" s="0" t="n">
        <v>36</v>
      </c>
      <c r="D1309" s="0" t="str">
        <f aca="false">IF('Boletins Nuppa Site'!G1309&lt;&gt;0,'Boletins Nuppa Site'!G1309,"NULL")</f>
        <v>NULL</v>
      </c>
      <c r="E1309" s="0" t="str">
        <f aca="false">IF('Boletins Nuppa Site'!H1309&lt;&gt;0,'Boletins Nuppa Site'!H1309,"NULL")</f>
        <v>NULL</v>
      </c>
      <c r="F1309" s="0" t="str">
        <f aca="false">IF('Boletins Nuppa Site'!I1309&lt;&gt;0,'Boletins Nuppa Site'!I1309,"NULL")</f>
        <v>NULL</v>
      </c>
      <c r="G1309" s="0" t="str">
        <f aca="false">IF('Boletins Nuppa Site'!J1309&lt;&gt;0,'Boletins Nuppa Site'!J1309,"NULL")</f>
        <v>NULL</v>
      </c>
      <c r="H1309" s="0" t="str">
        <f aca="false">IF('Boletins Nuppa Site'!K1309&lt;&gt;0,'Boletins Nuppa Site'!K1309,"NULL")</f>
        <v>NULL</v>
      </c>
      <c r="I1309" s="0" t="str">
        <f aca="false">"INSERT INTO COTACAO (cot_id, cot_blt_id, cot_pap_id, cot_prc_comum, cot_prc_min, cot_prc_max, cot_prc_med, cot_prc_mediana) VALUES ("&amp;A1309&amp;", "&amp;B1309&amp;", "&amp;C1309&amp;", "&amp;D1309&amp;", "&amp;E1309&amp;", "&amp;F1309&amp;", "&amp;G1309&amp;", "&amp;H1309&amp;");"</f>
        <v>INSERT INTO COTACAO (cot_id, cot_blt_id, cot_pap_id, cot_prc_comum, cot_prc_min, cot_prc_max, cot_prc_med, cot_prc_mediana) VALUES (1308, 70, 36, NULL, NULL, NULL, NULL, NULL);</v>
      </c>
      <c r="J1309" s="0" t="str">
        <f aca="false">"UPDATE COTACAO SET cot_id = "&amp;A1309&amp;", cot_blt_id = "&amp;B1309&amp;", cot_pap_id = "&amp;C1309&amp;", cot_prc_comum = "&amp;D1309&amp;", cot_prc_min = "&amp;E1309&amp;", cot_prc_max = "&amp;F1309&amp;", cot_prc_med = "&amp;G1309&amp;", cot_prc_mediana = "&amp;H1309&amp;" WHERE cot_id = "&amp;A1309&amp;";"</f>
        <v>UPDATE COTACAO SET cot_id = 1308, cot_blt_id = 70, cot_pap_id = 36, cot_prc_comum = NULL, cot_prc_min = NULL, cot_prc_max = NULL, cot_prc_med = NULL, cot_prc_mediana = NULL WHERE cot_id = 1308;</v>
      </c>
    </row>
    <row r="1310" customFormat="false" ht="14.25" hidden="false" customHeight="false" outlineLevel="0" collapsed="false">
      <c r="A1310" s="0" t="n">
        <v>1309</v>
      </c>
      <c r="B1310" s="0" t="n">
        <f aca="false">IF('Boletins Nuppa Site'!A1310&lt;&gt;0,'Boletins Nuppa Site'!A1310,"NULL")</f>
        <v>70</v>
      </c>
      <c r="C1310" s="0" t="n">
        <v>37</v>
      </c>
      <c r="D1310" s="0" t="str">
        <f aca="false">IF('Boletins Nuppa Site'!G1310&lt;&gt;0,'Boletins Nuppa Site'!G1310,"NULL")</f>
        <v>NULL</v>
      </c>
      <c r="E1310" s="0" t="str">
        <f aca="false">IF('Boletins Nuppa Site'!H1310&lt;&gt;0,'Boletins Nuppa Site'!H1310,"NULL")</f>
        <v>NULL</v>
      </c>
      <c r="F1310" s="0" t="str">
        <f aca="false">IF('Boletins Nuppa Site'!I1310&lt;&gt;0,'Boletins Nuppa Site'!I1310,"NULL")</f>
        <v>NULL</v>
      </c>
      <c r="G1310" s="0" t="str">
        <f aca="false">IF('Boletins Nuppa Site'!J1310&lt;&gt;0,'Boletins Nuppa Site'!J1310,"NULL")</f>
        <v>NULL</v>
      </c>
      <c r="H1310" s="0" t="str">
        <f aca="false">IF('Boletins Nuppa Site'!K1310&lt;&gt;0,'Boletins Nuppa Site'!K1310,"NULL")</f>
        <v>NULL</v>
      </c>
      <c r="I1310" s="0" t="str">
        <f aca="false">"INSERT INTO COTACAO (cot_id, cot_blt_id, cot_pap_id, cot_prc_comum, cot_prc_min, cot_prc_max, cot_prc_med, cot_prc_mediana) VALUES ("&amp;A1310&amp;", "&amp;B1310&amp;", "&amp;C1310&amp;", "&amp;D1310&amp;", "&amp;E1310&amp;", "&amp;F1310&amp;", "&amp;G1310&amp;", "&amp;H1310&amp;");"</f>
        <v>INSERT INTO COTACAO (cot_id, cot_blt_id, cot_pap_id, cot_prc_comum, cot_prc_min, cot_prc_max, cot_prc_med, cot_prc_mediana) VALUES (1309, 70, 37, NULL, NULL, NULL, NULL, NULL);</v>
      </c>
      <c r="J1310" s="0" t="str">
        <f aca="false">"UPDATE COTACAO SET cot_id = "&amp;A1310&amp;", cot_blt_id = "&amp;B1310&amp;", cot_pap_id = "&amp;C1310&amp;", cot_prc_comum = "&amp;D1310&amp;", cot_prc_min = "&amp;E1310&amp;", cot_prc_max = "&amp;F1310&amp;", cot_prc_med = "&amp;G1310&amp;", cot_prc_mediana = "&amp;H1310&amp;" WHERE cot_id = "&amp;A1310&amp;";"</f>
        <v>UPDATE COTACAO SET cot_id = 1309, cot_blt_id = 70, cot_pap_id = 37, cot_prc_comum = NULL, cot_prc_min = NULL, cot_prc_max = NULL, cot_prc_med = NULL, cot_prc_mediana = NULL WHERE cot_id = 1309;</v>
      </c>
    </row>
    <row r="1311" customFormat="false" ht="14.25" hidden="false" customHeight="false" outlineLevel="0" collapsed="false">
      <c r="A1311" s="0" t="n">
        <v>1310</v>
      </c>
      <c r="B1311" s="0" t="n">
        <f aca="false">IF('Boletins Nuppa Site'!A1311&lt;&gt;0,'Boletins Nuppa Site'!A1311,"NULL")</f>
        <v>70</v>
      </c>
      <c r="C1311" s="0" t="n">
        <v>38</v>
      </c>
      <c r="D1311" s="0" t="str">
        <f aca="false">IF('Boletins Nuppa Site'!G1311&lt;&gt;0,'Boletins Nuppa Site'!G1311,"NULL")</f>
        <v>NULL</v>
      </c>
      <c r="E1311" s="0" t="str">
        <f aca="false">IF('Boletins Nuppa Site'!H1311&lt;&gt;0,'Boletins Nuppa Site'!H1311,"NULL")</f>
        <v>NULL</v>
      </c>
      <c r="F1311" s="0" t="str">
        <f aca="false">IF('Boletins Nuppa Site'!I1311&lt;&gt;0,'Boletins Nuppa Site'!I1311,"NULL")</f>
        <v>NULL</v>
      </c>
      <c r="G1311" s="0" t="str">
        <f aca="false">IF('Boletins Nuppa Site'!J1311&lt;&gt;0,'Boletins Nuppa Site'!J1311,"NULL")</f>
        <v>NULL</v>
      </c>
      <c r="H1311" s="0" t="str">
        <f aca="false">IF('Boletins Nuppa Site'!K1311&lt;&gt;0,'Boletins Nuppa Site'!K1311,"NULL")</f>
        <v>NULL</v>
      </c>
      <c r="I1311" s="0" t="str">
        <f aca="false">"INSERT INTO COTACAO (cot_id, cot_blt_id, cot_pap_id, cot_prc_comum, cot_prc_min, cot_prc_max, cot_prc_med, cot_prc_mediana) VALUES ("&amp;A1311&amp;", "&amp;B1311&amp;", "&amp;C1311&amp;", "&amp;D1311&amp;", "&amp;E1311&amp;", "&amp;F1311&amp;", "&amp;G1311&amp;", "&amp;H1311&amp;");"</f>
        <v>INSERT INTO COTACAO (cot_id, cot_blt_id, cot_pap_id, cot_prc_comum, cot_prc_min, cot_prc_max, cot_prc_med, cot_prc_mediana) VALUES (1310, 70, 38, NULL, NULL, NULL, NULL, NULL);</v>
      </c>
      <c r="J1311" s="0" t="str">
        <f aca="false">"UPDATE COTACAO SET cot_id = "&amp;A1311&amp;", cot_blt_id = "&amp;B1311&amp;", cot_pap_id = "&amp;C1311&amp;", cot_prc_comum = "&amp;D1311&amp;", cot_prc_min = "&amp;E1311&amp;", cot_prc_max = "&amp;F1311&amp;", cot_prc_med = "&amp;G1311&amp;", cot_prc_mediana = "&amp;H1311&amp;" WHERE cot_id = "&amp;A1311&amp;";"</f>
        <v>UPDATE COTACAO SET cot_id = 1310, cot_blt_id = 70, cot_pap_id = 38, cot_prc_comum = NULL, cot_prc_min = NULL, cot_prc_max = NULL, cot_prc_med = NULL, cot_prc_mediana = NULL WHERE cot_id = 1310;</v>
      </c>
    </row>
    <row r="1312" customFormat="false" ht="14.25" hidden="false" customHeight="false" outlineLevel="0" collapsed="false">
      <c r="A1312" s="0" t="n">
        <v>1311</v>
      </c>
      <c r="B1312" s="0" t="n">
        <f aca="false">IF('Boletins Nuppa Site'!A1312&lt;&gt;0,'Boletins Nuppa Site'!A1312,"NULL")</f>
        <v>70</v>
      </c>
      <c r="C1312" s="0" t="n">
        <v>39</v>
      </c>
      <c r="D1312" s="0" t="str">
        <f aca="false">IF('Boletins Nuppa Site'!G1312&lt;&gt;0,'Boletins Nuppa Site'!G1312,"NULL")</f>
        <v>NULL</v>
      </c>
      <c r="E1312" s="30" t="n">
        <f aca="false">IF('Boletins Nuppa Site'!H1312&lt;&gt;0,'Boletins Nuppa Site'!H1312,"NULL")</f>
        <v>50</v>
      </c>
      <c r="F1312" s="30" t="n">
        <f aca="false">IF('Boletins Nuppa Site'!I1312&lt;&gt;0,'Boletins Nuppa Site'!I1312,"NULL")</f>
        <v>50</v>
      </c>
      <c r="G1312" s="30" t="n">
        <f aca="false">IF('Boletins Nuppa Site'!J1312&lt;&gt;0,'Boletins Nuppa Site'!J1312,"NULL")</f>
        <v>50</v>
      </c>
      <c r="H1312" s="30" t="n">
        <f aca="false">IF('Boletins Nuppa Site'!K1312&lt;&gt;0,'Boletins Nuppa Site'!K1312,"NULL")</f>
        <v>50</v>
      </c>
      <c r="I1312" s="0" t="str">
        <f aca="false">"INSERT INTO COTACAO (cot_id, cot_blt_id, cot_pap_id, cot_prc_comum, cot_prc_min, cot_prc_max, cot_prc_med, cot_prc_mediana) VALUES ("&amp;A1312&amp;", "&amp;B1312&amp;", "&amp;C1312&amp;", "&amp;D1312&amp;", "&amp;E1312&amp;", "&amp;F1312&amp;", "&amp;G1312&amp;", "&amp;H1312&amp;");"</f>
        <v>INSERT INTO COTACAO (cot_id, cot_blt_id, cot_pap_id, cot_prc_comum, cot_prc_min, cot_prc_max, cot_prc_med, cot_prc_mediana) VALUES (1311, 70, 39, NULL, 50, 50, 50, 50);</v>
      </c>
      <c r="J1312" s="0" t="str">
        <f aca="false">"UPDATE COTACAO SET cot_id = "&amp;A1312&amp;", cot_blt_id = "&amp;B1312&amp;", cot_pap_id = "&amp;C1312&amp;", cot_prc_comum = "&amp;D1312&amp;", cot_prc_min = "&amp;E1312&amp;", cot_prc_max = "&amp;F1312&amp;", cot_prc_med = "&amp;G1312&amp;", cot_prc_mediana = "&amp;H1312&amp;" WHERE cot_id = "&amp;A1312&amp;";"</f>
        <v>UPDATE COTACAO SET cot_id = 1311, cot_blt_id = 70, cot_pap_id = 39, cot_prc_comum = NULL, cot_prc_min = 50, cot_prc_max = 50, cot_prc_med = 50, cot_prc_mediana = 50 WHERE cot_id = 1311;</v>
      </c>
    </row>
    <row r="1313" customFormat="false" ht="14.25" hidden="false" customHeight="false" outlineLevel="0" collapsed="false">
      <c r="A1313" s="0" t="n">
        <v>1312</v>
      </c>
      <c r="B1313" s="0" t="n">
        <f aca="false">IF('Boletins Nuppa Site'!A1313&lt;&gt;0,'Boletins Nuppa Site'!A1313,"NULL")</f>
        <v>70</v>
      </c>
      <c r="C1313" s="0" t="n">
        <v>40</v>
      </c>
      <c r="D1313" s="0" t="str">
        <f aca="false">IF('Boletins Nuppa Site'!G1313&lt;&gt;0,'Boletins Nuppa Site'!G1313,"NULL")</f>
        <v>NULL</v>
      </c>
      <c r="E1313" s="0" t="str">
        <f aca="false">IF('Boletins Nuppa Site'!H1313&lt;&gt;0,'Boletins Nuppa Site'!H1313,"NULL")</f>
        <v>NULL</v>
      </c>
      <c r="F1313" s="0" t="str">
        <f aca="false">IF('Boletins Nuppa Site'!I1313&lt;&gt;0,'Boletins Nuppa Site'!I1313,"NULL")</f>
        <v>NULL</v>
      </c>
      <c r="G1313" s="0" t="str">
        <f aca="false">IF('Boletins Nuppa Site'!J1313&lt;&gt;0,'Boletins Nuppa Site'!J1313,"NULL")</f>
        <v>NULL</v>
      </c>
      <c r="H1313" s="0" t="str">
        <f aca="false">IF('Boletins Nuppa Site'!K1313&lt;&gt;0,'Boletins Nuppa Site'!K1313,"NULL")</f>
        <v>NULL</v>
      </c>
      <c r="I1313" s="0" t="str">
        <f aca="false">"INSERT INTO COTACAO (cot_id, cot_blt_id, cot_pap_id, cot_prc_comum, cot_prc_min, cot_prc_max, cot_prc_med, cot_prc_mediana) VALUES ("&amp;A1313&amp;", "&amp;B1313&amp;", "&amp;C1313&amp;", "&amp;D1313&amp;", "&amp;E1313&amp;", "&amp;F1313&amp;", "&amp;G1313&amp;", "&amp;H1313&amp;");"</f>
        <v>INSERT INTO COTACAO (cot_id, cot_blt_id, cot_pap_id, cot_prc_comum, cot_prc_min, cot_prc_max, cot_prc_med, cot_prc_mediana) VALUES (1312, 70, 40, NULL, NULL, NULL, NULL, NULL);</v>
      </c>
      <c r="J1313" s="0" t="str">
        <f aca="false">"UPDATE COTACAO SET cot_id = "&amp;A1313&amp;", cot_blt_id = "&amp;B1313&amp;", cot_pap_id = "&amp;C1313&amp;", cot_prc_comum = "&amp;D1313&amp;", cot_prc_min = "&amp;E1313&amp;", cot_prc_max = "&amp;F1313&amp;", cot_prc_med = "&amp;G1313&amp;", cot_prc_mediana = "&amp;H1313&amp;" WHERE cot_id = "&amp;A1313&amp;";"</f>
        <v>UPDATE COTACAO SET cot_id = 1312, cot_blt_id = 70, cot_pap_id = 40, cot_prc_comum = NULL, cot_prc_min = NULL, cot_prc_max = NULL, cot_prc_med = NULL, cot_prc_mediana = NULL WHERE cot_id = 1312;</v>
      </c>
    </row>
    <row r="1314" customFormat="false" ht="14.25" hidden="false" customHeight="false" outlineLevel="0" collapsed="false">
      <c r="A1314" s="0" t="n">
        <v>1313</v>
      </c>
      <c r="B1314" s="0" t="n">
        <f aca="false">IF('Boletins Nuppa Site'!A1314&lt;&gt;0,'Boletins Nuppa Site'!A1314,"NULL")</f>
        <v>71</v>
      </c>
      <c r="C1314" s="0" t="n">
        <v>1</v>
      </c>
      <c r="D1314" s="30" t="n">
        <f aca="false">IF('Boletins Nuppa Site'!G1314&lt;&gt;0,'Boletins Nuppa Site'!G1314,"NULL")</f>
        <v>36</v>
      </c>
      <c r="E1314" s="30" t="n">
        <f aca="false">IF('Boletins Nuppa Site'!H1314&lt;&gt;0,'Boletins Nuppa Site'!H1314,"NULL")</f>
        <v>30</v>
      </c>
      <c r="F1314" s="30" t="n">
        <f aca="false">IF('Boletins Nuppa Site'!I1314&lt;&gt;0,'Boletins Nuppa Site'!I1314,"NULL")</f>
        <v>48</v>
      </c>
      <c r="G1314" s="0" t="str">
        <f aca="false">IF('Boletins Nuppa Site'!J1314&lt;&gt;0,'Boletins Nuppa Site'!J1314,"NULL")</f>
        <v>39.6</v>
      </c>
      <c r="H1314" s="30" t="n">
        <f aca="false">IF('Boletins Nuppa Site'!K1314&lt;&gt;0,'Boletins Nuppa Site'!K1314,"NULL")</f>
        <v>36</v>
      </c>
      <c r="I1314" s="0" t="str">
        <f aca="false">"INSERT INTO COTACAO (cot_id, cot_blt_id, cot_pap_id, cot_prc_comum, cot_prc_min, cot_prc_max, cot_prc_med, cot_prc_mediana) VALUES ("&amp;A1314&amp;", "&amp;B1314&amp;", "&amp;C1314&amp;", "&amp;D1314&amp;", "&amp;E1314&amp;", "&amp;F1314&amp;", "&amp;G1314&amp;", "&amp;H1314&amp;");"</f>
        <v>INSERT INTO COTACAO (cot_id, cot_blt_id, cot_pap_id, cot_prc_comum, cot_prc_min, cot_prc_max, cot_prc_med, cot_prc_mediana) VALUES (1313, 71, 1, 36, 30, 48, 39.6, 36);</v>
      </c>
      <c r="J1314" s="0" t="str">
        <f aca="false">"UPDATE COTACAO SET cot_id = "&amp;A1314&amp;", cot_blt_id = "&amp;B1314&amp;", cot_pap_id = "&amp;C1314&amp;", cot_prc_comum = "&amp;D1314&amp;", cot_prc_min = "&amp;E1314&amp;", cot_prc_max = "&amp;F1314&amp;", cot_prc_med = "&amp;G1314&amp;", cot_prc_mediana = "&amp;H1314&amp;" WHERE cot_id = "&amp;A1314&amp;";"</f>
        <v>UPDATE COTACAO SET cot_id = 1313, cot_blt_id = 71, cot_pap_id = 1, cot_prc_comum = 36, cot_prc_min = 30, cot_prc_max = 48, cot_prc_med = 39.6, cot_prc_mediana = 36 WHERE cot_id = 1313;</v>
      </c>
    </row>
    <row r="1315" customFormat="false" ht="14.25" hidden="false" customHeight="false" outlineLevel="0" collapsed="false">
      <c r="A1315" s="0" t="n">
        <v>1314</v>
      </c>
      <c r="B1315" s="0" t="n">
        <f aca="false">IF('Boletins Nuppa Site'!A1315&lt;&gt;0,'Boletins Nuppa Site'!A1315,"NULL")</f>
        <v>71</v>
      </c>
      <c r="C1315" s="0" t="n">
        <v>2</v>
      </c>
      <c r="D1315" s="30" t="n">
        <f aca="false">IF('Boletins Nuppa Site'!G1315&lt;&gt;0,'Boletins Nuppa Site'!G1315,"NULL")</f>
        <v>60</v>
      </c>
      <c r="E1315" s="30" t="n">
        <f aca="false">IF('Boletins Nuppa Site'!H1315&lt;&gt;0,'Boletins Nuppa Site'!H1315,"NULL")</f>
        <v>60</v>
      </c>
      <c r="F1315" s="30" t="n">
        <f aca="false">IF('Boletins Nuppa Site'!I1315&lt;&gt;0,'Boletins Nuppa Site'!I1315,"NULL")</f>
        <v>72</v>
      </c>
      <c r="G1315" s="30" t="n">
        <f aca="false">IF('Boletins Nuppa Site'!J1315&lt;&gt;0,'Boletins Nuppa Site'!J1315,"NULL")</f>
        <v>64</v>
      </c>
      <c r="H1315" s="30" t="n">
        <f aca="false">IF('Boletins Nuppa Site'!K1315&lt;&gt;0,'Boletins Nuppa Site'!K1315,"NULL")</f>
        <v>60</v>
      </c>
      <c r="I1315" s="0" t="str">
        <f aca="false">"INSERT INTO COTACAO (cot_id, cot_blt_id, cot_pap_id, cot_prc_comum, cot_prc_min, cot_prc_max, cot_prc_med, cot_prc_mediana) VALUES ("&amp;A1315&amp;", "&amp;B1315&amp;", "&amp;C1315&amp;", "&amp;D1315&amp;", "&amp;E1315&amp;", "&amp;F1315&amp;", "&amp;G1315&amp;", "&amp;H1315&amp;");"</f>
        <v>INSERT INTO COTACAO (cot_id, cot_blt_id, cot_pap_id, cot_prc_comum, cot_prc_min, cot_prc_max, cot_prc_med, cot_prc_mediana) VALUES (1314, 71, 2, 60, 60, 72, 64, 60);</v>
      </c>
      <c r="J1315" s="0" t="str">
        <f aca="false">"UPDATE COTACAO SET cot_id = "&amp;A1315&amp;", cot_blt_id = "&amp;B1315&amp;", cot_pap_id = "&amp;C1315&amp;", cot_prc_comum = "&amp;D1315&amp;", cot_prc_min = "&amp;E1315&amp;", cot_prc_max = "&amp;F1315&amp;", cot_prc_med = "&amp;G1315&amp;", cot_prc_mediana = "&amp;H1315&amp;" WHERE cot_id = "&amp;A1315&amp;";"</f>
        <v>UPDATE COTACAO SET cot_id = 1314, cot_blt_id = 71, cot_pap_id = 2, cot_prc_comum = 60, cot_prc_min = 60, cot_prc_max = 72, cot_prc_med = 64, cot_prc_mediana = 60 WHERE cot_id = 1314;</v>
      </c>
    </row>
    <row r="1316" customFormat="false" ht="14.25" hidden="false" customHeight="false" outlineLevel="0" collapsed="false">
      <c r="A1316" s="0" t="n">
        <v>1315</v>
      </c>
      <c r="B1316" s="0" t="n">
        <f aca="false">IF('Boletins Nuppa Site'!A1316&lt;&gt;0,'Boletins Nuppa Site'!A1316,"NULL")</f>
        <v>71</v>
      </c>
      <c r="C1316" s="0" t="n">
        <v>3</v>
      </c>
      <c r="D1316" s="30" t="n">
        <f aca="false">IF('Boletins Nuppa Site'!G1316&lt;&gt;0,'Boletins Nuppa Site'!G1316,"NULL")</f>
        <v>30</v>
      </c>
      <c r="E1316" s="30" t="n">
        <f aca="false">IF('Boletins Nuppa Site'!H1316&lt;&gt;0,'Boletins Nuppa Site'!H1316,"NULL")</f>
        <v>25</v>
      </c>
      <c r="F1316" s="30" t="n">
        <f aca="false">IF('Boletins Nuppa Site'!I1316&lt;&gt;0,'Boletins Nuppa Site'!I1316,"NULL")</f>
        <v>36</v>
      </c>
      <c r="G1316" s="0" t="str">
        <f aca="false">IF('Boletins Nuppa Site'!J1316&lt;&gt;0,'Boletins Nuppa Site'!J1316,"NULL")</f>
        <v>30.25</v>
      </c>
      <c r="H1316" s="30" t="n">
        <f aca="false">IF('Boletins Nuppa Site'!K1316&lt;&gt;0,'Boletins Nuppa Site'!K1316,"NULL")</f>
        <v>30</v>
      </c>
      <c r="I1316" s="0" t="str">
        <f aca="false">"INSERT INTO COTACAO (cot_id, cot_blt_id, cot_pap_id, cot_prc_comum, cot_prc_min, cot_prc_max, cot_prc_med, cot_prc_mediana) VALUES ("&amp;A1316&amp;", "&amp;B1316&amp;", "&amp;C1316&amp;", "&amp;D1316&amp;", "&amp;E1316&amp;", "&amp;F1316&amp;", "&amp;G1316&amp;", "&amp;H1316&amp;");"</f>
        <v>INSERT INTO COTACAO (cot_id, cot_blt_id, cot_pap_id, cot_prc_comum, cot_prc_min, cot_prc_max, cot_prc_med, cot_prc_mediana) VALUES (1315, 71, 3, 30, 25, 36, 30.25, 30);</v>
      </c>
      <c r="J1316" s="0" t="str">
        <f aca="false">"UPDATE COTACAO SET cot_id = "&amp;A1316&amp;", cot_blt_id = "&amp;B1316&amp;", cot_pap_id = "&amp;C1316&amp;", cot_prc_comum = "&amp;D1316&amp;", cot_prc_min = "&amp;E1316&amp;", cot_prc_max = "&amp;F1316&amp;", cot_prc_med = "&amp;G1316&amp;", cot_prc_mediana = "&amp;H1316&amp;" WHERE cot_id = "&amp;A1316&amp;";"</f>
        <v>UPDATE COTACAO SET cot_id = 1315, cot_blt_id = 71, cot_pap_id = 3, cot_prc_comum = 30, cot_prc_min = 25, cot_prc_max = 36, cot_prc_med = 30.25, cot_prc_mediana = 30 WHERE cot_id = 1315;</v>
      </c>
    </row>
    <row r="1317" customFormat="false" ht="14.25" hidden="false" customHeight="false" outlineLevel="0" collapsed="false">
      <c r="A1317" s="0" t="n">
        <v>1316</v>
      </c>
      <c r="B1317" s="0" t="n">
        <f aca="false">IF('Boletins Nuppa Site'!A1317&lt;&gt;0,'Boletins Nuppa Site'!A1317,"NULL")</f>
        <v>71</v>
      </c>
      <c r="C1317" s="0" t="n">
        <v>4</v>
      </c>
      <c r="D1317" s="30" t="n">
        <f aca="false">IF('Boletins Nuppa Site'!G1317&lt;&gt;0,'Boletins Nuppa Site'!G1317,"NULL")</f>
        <v>18</v>
      </c>
      <c r="E1317" s="30" t="n">
        <f aca="false">IF('Boletins Nuppa Site'!H1317&lt;&gt;0,'Boletins Nuppa Site'!H1317,"NULL")</f>
        <v>18</v>
      </c>
      <c r="F1317" s="30" t="n">
        <f aca="false">IF('Boletins Nuppa Site'!I1317&lt;&gt;0,'Boletins Nuppa Site'!I1317,"NULL")</f>
        <v>30</v>
      </c>
      <c r="G1317" s="0" t="str">
        <f aca="false">IF('Boletins Nuppa Site'!J1317&lt;&gt;0,'Boletins Nuppa Site'!J1317,"NULL")</f>
        <v>22.5</v>
      </c>
      <c r="H1317" s="30" t="n">
        <f aca="false">IF('Boletins Nuppa Site'!K1317&lt;&gt;0,'Boletins Nuppa Site'!K1317,"NULL")</f>
        <v>21</v>
      </c>
      <c r="I1317" s="0" t="str">
        <f aca="false">"INSERT INTO COTACAO (cot_id, cot_blt_id, cot_pap_id, cot_prc_comum, cot_prc_min, cot_prc_max, cot_prc_med, cot_prc_mediana) VALUES ("&amp;A1317&amp;", "&amp;B1317&amp;", "&amp;C1317&amp;", "&amp;D1317&amp;", "&amp;E1317&amp;", "&amp;F1317&amp;", "&amp;G1317&amp;", "&amp;H1317&amp;");"</f>
        <v>INSERT INTO COTACAO (cot_id, cot_blt_id, cot_pap_id, cot_prc_comum, cot_prc_min, cot_prc_max, cot_prc_med, cot_prc_mediana) VALUES (1316, 71, 4, 18, 18, 30, 22.5, 21);</v>
      </c>
      <c r="J1317" s="0" t="str">
        <f aca="false">"UPDATE COTACAO SET cot_id = "&amp;A1317&amp;", cot_blt_id = "&amp;B1317&amp;", cot_pap_id = "&amp;C1317&amp;", cot_prc_comum = "&amp;D1317&amp;", cot_prc_min = "&amp;E1317&amp;", cot_prc_max = "&amp;F1317&amp;", cot_prc_med = "&amp;G1317&amp;", cot_prc_mediana = "&amp;H1317&amp;" WHERE cot_id = "&amp;A1317&amp;";"</f>
        <v>UPDATE COTACAO SET cot_id = 1316, cot_blt_id = 71, cot_pap_id = 4, cot_prc_comum = 18, cot_prc_min = 18, cot_prc_max = 30, cot_prc_med = 22.5, cot_prc_mediana = 21 WHERE cot_id = 1316;</v>
      </c>
    </row>
    <row r="1318" customFormat="false" ht="14.25" hidden="false" customHeight="false" outlineLevel="0" collapsed="false">
      <c r="A1318" s="0" t="n">
        <v>1317</v>
      </c>
      <c r="B1318" s="0" t="n">
        <f aca="false">IF('Boletins Nuppa Site'!A1318&lt;&gt;0,'Boletins Nuppa Site'!A1318,"NULL")</f>
        <v>71</v>
      </c>
      <c r="C1318" s="0" t="n">
        <v>5</v>
      </c>
      <c r="D1318" s="30" t="n">
        <f aca="false">IF('Boletins Nuppa Site'!G1318&lt;&gt;0,'Boletins Nuppa Site'!G1318,"NULL")</f>
        <v>18</v>
      </c>
      <c r="E1318" s="30" t="n">
        <f aca="false">IF('Boletins Nuppa Site'!H1318&lt;&gt;0,'Boletins Nuppa Site'!H1318,"NULL")</f>
        <v>18</v>
      </c>
      <c r="F1318" s="30" t="n">
        <f aca="false">IF('Boletins Nuppa Site'!I1318&lt;&gt;0,'Boletins Nuppa Site'!I1318,"NULL")</f>
        <v>30</v>
      </c>
      <c r="G1318" s="0" t="str">
        <f aca="false">IF('Boletins Nuppa Site'!J1318&lt;&gt;0,'Boletins Nuppa Site'!J1318,"NULL")</f>
        <v>22.5</v>
      </c>
      <c r="H1318" s="30" t="n">
        <f aca="false">IF('Boletins Nuppa Site'!K1318&lt;&gt;0,'Boletins Nuppa Site'!K1318,"NULL")</f>
        <v>21</v>
      </c>
      <c r="I1318" s="0" t="str">
        <f aca="false">"INSERT INTO COTACAO (cot_id, cot_blt_id, cot_pap_id, cot_prc_comum, cot_prc_min, cot_prc_max, cot_prc_med, cot_prc_mediana) VALUES ("&amp;A1318&amp;", "&amp;B1318&amp;", "&amp;C1318&amp;", "&amp;D1318&amp;", "&amp;E1318&amp;", "&amp;F1318&amp;", "&amp;G1318&amp;", "&amp;H1318&amp;");"</f>
        <v>INSERT INTO COTACAO (cot_id, cot_blt_id, cot_pap_id, cot_prc_comum, cot_prc_min, cot_prc_max, cot_prc_med, cot_prc_mediana) VALUES (1317, 71, 5, 18, 18, 30, 22.5, 21);</v>
      </c>
      <c r="J1318" s="0" t="str">
        <f aca="false">"UPDATE COTACAO SET cot_id = "&amp;A1318&amp;", cot_blt_id = "&amp;B1318&amp;", cot_pap_id = "&amp;C1318&amp;", cot_prc_comum = "&amp;D1318&amp;", cot_prc_min = "&amp;E1318&amp;", cot_prc_max = "&amp;F1318&amp;", cot_prc_med = "&amp;G1318&amp;", cot_prc_mediana = "&amp;H1318&amp;" WHERE cot_id = "&amp;A1318&amp;";"</f>
        <v>UPDATE COTACAO SET cot_id = 1317, cot_blt_id = 71, cot_pap_id = 5, cot_prc_comum = 18, cot_prc_min = 18, cot_prc_max = 30, cot_prc_med = 22.5, cot_prc_mediana = 21 WHERE cot_id = 1317;</v>
      </c>
    </row>
    <row r="1319" customFormat="false" ht="14.25" hidden="false" customHeight="false" outlineLevel="0" collapsed="false">
      <c r="A1319" s="0" t="n">
        <v>1318</v>
      </c>
      <c r="B1319" s="0" t="n">
        <f aca="false">IF('Boletins Nuppa Site'!A1319&lt;&gt;0,'Boletins Nuppa Site'!A1319,"NULL")</f>
        <v>71</v>
      </c>
      <c r="C1319" s="0" t="n">
        <v>6</v>
      </c>
      <c r="D1319" s="30" t="n">
        <f aca="false">IF('Boletins Nuppa Site'!G1319&lt;&gt;0,'Boletins Nuppa Site'!G1319,"NULL")</f>
        <v>60</v>
      </c>
      <c r="E1319" s="30" t="n">
        <f aca="false">IF('Boletins Nuppa Site'!H1319&lt;&gt;0,'Boletins Nuppa Site'!H1319,"NULL")</f>
        <v>48</v>
      </c>
      <c r="F1319" s="30" t="n">
        <f aca="false">IF('Boletins Nuppa Site'!I1319&lt;&gt;0,'Boletins Nuppa Site'!I1319,"NULL")</f>
        <v>60</v>
      </c>
      <c r="G1319" s="30" t="n">
        <f aca="false">IF('Boletins Nuppa Site'!J1319&lt;&gt;0,'Boletins Nuppa Site'!J1319,"NULL")</f>
        <v>54</v>
      </c>
      <c r="H1319" s="30" t="n">
        <f aca="false">IF('Boletins Nuppa Site'!K1319&lt;&gt;0,'Boletins Nuppa Site'!K1319,"NULL")</f>
        <v>54</v>
      </c>
      <c r="I1319" s="0" t="str">
        <f aca="false">"INSERT INTO COTACAO (cot_id, cot_blt_id, cot_pap_id, cot_prc_comum, cot_prc_min, cot_prc_max, cot_prc_med, cot_prc_mediana) VALUES ("&amp;A1319&amp;", "&amp;B1319&amp;", "&amp;C1319&amp;", "&amp;D1319&amp;", "&amp;E1319&amp;", "&amp;F1319&amp;", "&amp;G1319&amp;", "&amp;H1319&amp;");"</f>
        <v>INSERT INTO COTACAO (cot_id, cot_blt_id, cot_pap_id, cot_prc_comum, cot_prc_min, cot_prc_max, cot_prc_med, cot_prc_mediana) VALUES (1318, 71, 6, 60, 48, 60, 54, 54);</v>
      </c>
      <c r="J1319" s="0" t="str">
        <f aca="false">"UPDATE COTACAO SET cot_id = "&amp;A1319&amp;", cot_blt_id = "&amp;B1319&amp;", cot_pap_id = "&amp;C1319&amp;", cot_prc_comum = "&amp;D1319&amp;", cot_prc_min = "&amp;E1319&amp;", cot_prc_max = "&amp;F1319&amp;", cot_prc_med = "&amp;G1319&amp;", cot_prc_mediana = "&amp;H1319&amp;" WHERE cot_id = "&amp;A1319&amp;";"</f>
        <v>UPDATE COTACAO SET cot_id = 1318, cot_blt_id = 71, cot_pap_id = 6, cot_prc_comum = 60, cot_prc_min = 48, cot_prc_max = 60, cot_prc_med = 54, cot_prc_mediana = 54 WHERE cot_id = 1318;</v>
      </c>
    </row>
    <row r="1320" customFormat="false" ht="14.25" hidden="false" customHeight="false" outlineLevel="0" collapsed="false">
      <c r="A1320" s="0" t="n">
        <v>1319</v>
      </c>
      <c r="B1320" s="0" t="n">
        <f aca="false">IF('Boletins Nuppa Site'!A1320&lt;&gt;0,'Boletins Nuppa Site'!A1320,"NULL")</f>
        <v>71</v>
      </c>
      <c r="C1320" s="0" t="n">
        <v>7</v>
      </c>
      <c r="D1320" s="0" t="str">
        <f aca="false">IF('Boletins Nuppa Site'!G1320&lt;&gt;0,'Boletins Nuppa Site'!G1320,"NULL")</f>
        <v>NULL</v>
      </c>
      <c r="E1320" s="30" t="n">
        <f aca="false">IF('Boletins Nuppa Site'!H1320&lt;&gt;0,'Boletins Nuppa Site'!H1320,"NULL")</f>
        <v>48</v>
      </c>
      <c r="F1320" s="30" t="n">
        <f aca="false">IF('Boletins Nuppa Site'!I1320&lt;&gt;0,'Boletins Nuppa Site'!I1320,"NULL")</f>
        <v>72</v>
      </c>
      <c r="G1320" s="30" t="n">
        <f aca="false">IF('Boletins Nuppa Site'!J1320&lt;&gt;0,'Boletins Nuppa Site'!J1320,"NULL")</f>
        <v>58</v>
      </c>
      <c r="H1320" s="30" t="n">
        <f aca="false">IF('Boletins Nuppa Site'!K1320&lt;&gt;0,'Boletins Nuppa Site'!K1320,"NULL")</f>
        <v>54</v>
      </c>
      <c r="I1320" s="0" t="str">
        <f aca="false">"INSERT INTO COTACAO (cot_id, cot_blt_id, cot_pap_id, cot_prc_comum, cot_prc_min, cot_prc_max, cot_prc_med, cot_prc_mediana) VALUES ("&amp;A1320&amp;", "&amp;B1320&amp;", "&amp;C1320&amp;", "&amp;D1320&amp;", "&amp;E1320&amp;", "&amp;F1320&amp;", "&amp;G1320&amp;", "&amp;H1320&amp;");"</f>
        <v>INSERT INTO COTACAO (cot_id, cot_blt_id, cot_pap_id, cot_prc_comum, cot_prc_min, cot_prc_max, cot_prc_med, cot_prc_mediana) VALUES (1319, 71, 7, NULL, 48, 72, 58, 54);</v>
      </c>
      <c r="J1320" s="0" t="str">
        <f aca="false">"UPDATE COTACAO SET cot_id = "&amp;A1320&amp;", cot_blt_id = "&amp;B1320&amp;", cot_pap_id = "&amp;C1320&amp;", cot_prc_comum = "&amp;D1320&amp;", cot_prc_min = "&amp;E1320&amp;", cot_prc_max = "&amp;F1320&amp;", cot_prc_med = "&amp;G1320&amp;", cot_prc_mediana = "&amp;H1320&amp;" WHERE cot_id = "&amp;A1320&amp;";"</f>
        <v>UPDATE COTACAO SET cot_id = 1319, cot_blt_id = 71, cot_pap_id = 7, cot_prc_comum = NULL, cot_prc_min = 48, cot_prc_max = 72, cot_prc_med = 58, cot_prc_mediana = 54 WHERE cot_id = 1319;</v>
      </c>
    </row>
    <row r="1321" customFormat="false" ht="14.25" hidden="false" customHeight="false" outlineLevel="0" collapsed="false">
      <c r="A1321" s="0" t="n">
        <v>1320</v>
      </c>
      <c r="B1321" s="0" t="n">
        <f aca="false">IF('Boletins Nuppa Site'!A1321&lt;&gt;0,'Boletins Nuppa Site'!A1321,"NULL")</f>
        <v>71</v>
      </c>
      <c r="C1321" s="0" t="n">
        <v>8</v>
      </c>
      <c r="D1321" s="30" t="n">
        <f aca="false">IF('Boletins Nuppa Site'!G1321&lt;&gt;0,'Boletins Nuppa Site'!G1321,"NULL")</f>
        <v>60</v>
      </c>
      <c r="E1321" s="30" t="n">
        <f aca="false">IF('Boletins Nuppa Site'!H1321&lt;&gt;0,'Boletins Nuppa Site'!H1321,"NULL")</f>
        <v>60</v>
      </c>
      <c r="F1321" s="30" t="n">
        <f aca="false">IF('Boletins Nuppa Site'!I1321&lt;&gt;0,'Boletins Nuppa Site'!I1321,"NULL")</f>
        <v>60</v>
      </c>
      <c r="G1321" s="30" t="n">
        <f aca="false">IF('Boletins Nuppa Site'!J1321&lt;&gt;0,'Boletins Nuppa Site'!J1321,"NULL")</f>
        <v>60</v>
      </c>
      <c r="H1321" s="30" t="n">
        <f aca="false">IF('Boletins Nuppa Site'!K1321&lt;&gt;0,'Boletins Nuppa Site'!K1321,"NULL")</f>
        <v>60</v>
      </c>
      <c r="I1321" s="0" t="str">
        <f aca="false">"INSERT INTO COTACAO (cot_id, cot_blt_id, cot_pap_id, cot_prc_comum, cot_prc_min, cot_prc_max, cot_prc_med, cot_prc_mediana) VALUES ("&amp;A1321&amp;", "&amp;B1321&amp;", "&amp;C1321&amp;", "&amp;D1321&amp;", "&amp;E1321&amp;", "&amp;F1321&amp;", "&amp;G1321&amp;", "&amp;H1321&amp;");"</f>
        <v>INSERT INTO COTACAO (cot_id, cot_blt_id, cot_pap_id, cot_prc_comum, cot_prc_min, cot_prc_max, cot_prc_med, cot_prc_mediana) VALUES (1320, 71, 8, 60, 60, 60, 60, 60);</v>
      </c>
      <c r="J1321" s="0" t="str">
        <f aca="false">"UPDATE COTACAO SET cot_id = "&amp;A1321&amp;", cot_blt_id = "&amp;B1321&amp;", cot_pap_id = "&amp;C1321&amp;", cot_prc_comum = "&amp;D1321&amp;", cot_prc_min = "&amp;E1321&amp;", cot_prc_max = "&amp;F1321&amp;", cot_prc_med = "&amp;G1321&amp;", cot_prc_mediana = "&amp;H1321&amp;" WHERE cot_id = "&amp;A1321&amp;";"</f>
        <v>UPDATE COTACAO SET cot_id = 1320, cot_blt_id = 71, cot_pap_id = 8, cot_prc_comum = 60, cot_prc_min = 60, cot_prc_max = 60, cot_prc_med = 60, cot_prc_mediana = 60 WHERE cot_id = 1320;</v>
      </c>
    </row>
    <row r="1322" customFormat="false" ht="14.25" hidden="false" customHeight="false" outlineLevel="0" collapsed="false">
      <c r="A1322" s="0" t="n">
        <v>1321</v>
      </c>
      <c r="B1322" s="0" t="n">
        <f aca="false">IF('Boletins Nuppa Site'!A1322&lt;&gt;0,'Boletins Nuppa Site'!A1322,"NULL")</f>
        <v>71</v>
      </c>
      <c r="C1322" s="0" t="n">
        <v>9</v>
      </c>
      <c r="D1322" s="30" t="n">
        <f aca="false">IF('Boletins Nuppa Site'!G1322&lt;&gt;0,'Boletins Nuppa Site'!G1322,"NULL")</f>
        <v>18</v>
      </c>
      <c r="E1322" s="30" t="n">
        <f aca="false">IF('Boletins Nuppa Site'!H1322&lt;&gt;0,'Boletins Nuppa Site'!H1322,"NULL")</f>
        <v>18</v>
      </c>
      <c r="F1322" s="30" t="n">
        <f aca="false">IF('Boletins Nuppa Site'!I1322&lt;&gt;0,'Boletins Nuppa Site'!I1322,"NULL")</f>
        <v>48</v>
      </c>
      <c r="G1322" s="0" t="str">
        <f aca="false">IF('Boletins Nuppa Site'!J1322&lt;&gt;0,'Boletins Nuppa Site'!J1322,"NULL")</f>
        <v>25.6</v>
      </c>
      <c r="H1322" s="30" t="n">
        <f aca="false">IF('Boletins Nuppa Site'!K1322&lt;&gt;0,'Boletins Nuppa Site'!K1322,"NULL")</f>
        <v>20</v>
      </c>
      <c r="I1322" s="0" t="str">
        <f aca="false">"INSERT INTO COTACAO (cot_id, cot_blt_id, cot_pap_id, cot_prc_comum, cot_prc_min, cot_prc_max, cot_prc_med, cot_prc_mediana) VALUES ("&amp;A1322&amp;", "&amp;B1322&amp;", "&amp;C1322&amp;", "&amp;D1322&amp;", "&amp;E1322&amp;", "&amp;F1322&amp;", "&amp;G1322&amp;", "&amp;H1322&amp;");"</f>
        <v>INSERT INTO COTACAO (cot_id, cot_blt_id, cot_pap_id, cot_prc_comum, cot_prc_min, cot_prc_max, cot_prc_med, cot_prc_mediana) VALUES (1321, 71, 9, 18, 18, 48, 25.6, 20);</v>
      </c>
      <c r="J1322" s="0" t="str">
        <f aca="false">"UPDATE COTACAO SET cot_id = "&amp;A1322&amp;", cot_blt_id = "&amp;B1322&amp;", cot_pap_id = "&amp;C1322&amp;", cot_prc_comum = "&amp;D1322&amp;", cot_prc_min = "&amp;E1322&amp;", cot_prc_max = "&amp;F1322&amp;", cot_prc_med = "&amp;G1322&amp;", cot_prc_mediana = "&amp;H1322&amp;" WHERE cot_id = "&amp;A1322&amp;";"</f>
        <v>UPDATE COTACAO SET cot_id = 1321, cot_blt_id = 71, cot_pap_id = 9, cot_prc_comum = 18, cot_prc_min = 18, cot_prc_max = 48, cot_prc_med = 25.6, cot_prc_mediana = 20 WHERE cot_id = 1321;</v>
      </c>
    </row>
    <row r="1323" customFormat="false" ht="14.25" hidden="false" customHeight="false" outlineLevel="0" collapsed="false">
      <c r="A1323" s="0" t="n">
        <v>1322</v>
      </c>
      <c r="B1323" s="0" t="n">
        <f aca="false">IF('Boletins Nuppa Site'!A1323&lt;&gt;0,'Boletins Nuppa Site'!A1323,"NULL")</f>
        <v>71</v>
      </c>
      <c r="C1323" s="0" t="n">
        <v>10</v>
      </c>
      <c r="D1323" s="30" t="n">
        <f aca="false">IF('Boletins Nuppa Site'!G1323&lt;&gt;0,'Boletins Nuppa Site'!G1323,"NULL")</f>
        <v>60</v>
      </c>
      <c r="E1323" s="30" t="n">
        <f aca="false">IF('Boletins Nuppa Site'!H1323&lt;&gt;0,'Boletins Nuppa Site'!H1323,"NULL")</f>
        <v>60</v>
      </c>
      <c r="F1323" s="30" t="n">
        <f aca="false">IF('Boletins Nuppa Site'!I1323&lt;&gt;0,'Boletins Nuppa Site'!I1323,"NULL")</f>
        <v>60</v>
      </c>
      <c r="G1323" s="30" t="n">
        <f aca="false">IF('Boletins Nuppa Site'!J1323&lt;&gt;0,'Boletins Nuppa Site'!J1323,"NULL")</f>
        <v>60</v>
      </c>
      <c r="H1323" s="30" t="n">
        <f aca="false">IF('Boletins Nuppa Site'!K1323&lt;&gt;0,'Boletins Nuppa Site'!K1323,"NULL")</f>
        <v>60</v>
      </c>
      <c r="I1323" s="0" t="str">
        <f aca="false">"INSERT INTO COTACAO (cot_id, cot_blt_id, cot_pap_id, cot_prc_comum, cot_prc_min, cot_prc_max, cot_prc_med, cot_prc_mediana) VALUES ("&amp;A1323&amp;", "&amp;B1323&amp;", "&amp;C1323&amp;", "&amp;D1323&amp;", "&amp;E1323&amp;", "&amp;F1323&amp;", "&amp;G1323&amp;", "&amp;H1323&amp;");"</f>
        <v>INSERT INTO COTACAO (cot_id, cot_blt_id, cot_pap_id, cot_prc_comum, cot_prc_min, cot_prc_max, cot_prc_med, cot_prc_mediana) VALUES (1322, 71, 10, 60, 60, 60, 60, 60);</v>
      </c>
      <c r="J1323" s="0" t="str">
        <f aca="false">"UPDATE COTACAO SET cot_id = "&amp;A1323&amp;", cot_blt_id = "&amp;B1323&amp;", cot_pap_id = "&amp;C1323&amp;", cot_prc_comum = "&amp;D1323&amp;", cot_prc_min = "&amp;E1323&amp;", cot_prc_max = "&amp;F1323&amp;", cot_prc_med = "&amp;G1323&amp;", cot_prc_mediana = "&amp;H1323&amp;" WHERE cot_id = "&amp;A1323&amp;";"</f>
        <v>UPDATE COTACAO SET cot_id = 1322, cot_blt_id = 71, cot_pap_id = 10, cot_prc_comum = 60, cot_prc_min = 60, cot_prc_max = 60, cot_prc_med = 60, cot_prc_mediana = 60 WHERE cot_id = 1322;</v>
      </c>
    </row>
    <row r="1324" customFormat="false" ht="14.25" hidden="false" customHeight="false" outlineLevel="0" collapsed="false">
      <c r="A1324" s="0" t="n">
        <v>1323</v>
      </c>
      <c r="B1324" s="0" t="n">
        <f aca="false">IF('Boletins Nuppa Site'!A1324&lt;&gt;0,'Boletins Nuppa Site'!A1324,"NULL")</f>
        <v>71</v>
      </c>
      <c r="C1324" s="0" t="n">
        <v>11</v>
      </c>
      <c r="D1324" s="30" t="n">
        <f aca="false">IF('Boletins Nuppa Site'!G1324&lt;&gt;0,'Boletins Nuppa Site'!G1324,"NULL")</f>
        <v>18</v>
      </c>
      <c r="E1324" s="30" t="n">
        <f aca="false">IF('Boletins Nuppa Site'!H1324&lt;&gt;0,'Boletins Nuppa Site'!H1324,"NULL")</f>
        <v>18</v>
      </c>
      <c r="F1324" s="30" t="n">
        <f aca="false">IF('Boletins Nuppa Site'!I1324&lt;&gt;0,'Boletins Nuppa Site'!I1324,"NULL")</f>
        <v>24</v>
      </c>
      <c r="G1324" s="0" t="str">
        <f aca="false">IF('Boletins Nuppa Site'!J1324&lt;&gt;0,'Boletins Nuppa Site'!J1324,"NULL")</f>
        <v>19.5</v>
      </c>
      <c r="H1324" s="30" t="n">
        <f aca="false">IF('Boletins Nuppa Site'!K1324&lt;&gt;0,'Boletins Nuppa Site'!K1324,"NULL")</f>
        <v>18</v>
      </c>
      <c r="I1324" s="0" t="str">
        <f aca="false">"INSERT INTO COTACAO (cot_id, cot_blt_id, cot_pap_id, cot_prc_comum, cot_prc_min, cot_prc_max, cot_prc_med, cot_prc_mediana) VALUES ("&amp;A1324&amp;", "&amp;B1324&amp;", "&amp;C1324&amp;", "&amp;D1324&amp;", "&amp;E1324&amp;", "&amp;F1324&amp;", "&amp;G1324&amp;", "&amp;H1324&amp;");"</f>
        <v>INSERT INTO COTACAO (cot_id, cot_blt_id, cot_pap_id, cot_prc_comum, cot_prc_min, cot_prc_max, cot_prc_med, cot_prc_mediana) VALUES (1323, 71, 11, 18, 18, 24, 19.5, 18);</v>
      </c>
      <c r="J1324" s="0" t="str">
        <f aca="false">"UPDATE COTACAO SET cot_id = "&amp;A1324&amp;", cot_blt_id = "&amp;B1324&amp;", cot_pap_id = "&amp;C1324&amp;", cot_prc_comum = "&amp;D1324&amp;", cot_prc_min = "&amp;E1324&amp;", cot_prc_max = "&amp;F1324&amp;", cot_prc_med = "&amp;G1324&amp;", cot_prc_mediana = "&amp;H1324&amp;" WHERE cot_id = "&amp;A1324&amp;";"</f>
        <v>UPDATE COTACAO SET cot_id = 1323, cot_blt_id = 71, cot_pap_id = 11, cot_prc_comum = 18, cot_prc_min = 18, cot_prc_max = 24, cot_prc_med = 19.5, cot_prc_mediana = 18 WHERE cot_id = 1323;</v>
      </c>
    </row>
    <row r="1325" customFormat="false" ht="14.25" hidden="false" customHeight="false" outlineLevel="0" collapsed="false">
      <c r="A1325" s="0" t="n">
        <v>1324</v>
      </c>
      <c r="B1325" s="0" t="n">
        <f aca="false">IF('Boletins Nuppa Site'!A1325&lt;&gt;0,'Boletins Nuppa Site'!A1325,"NULL")</f>
        <v>71</v>
      </c>
      <c r="C1325" s="0" t="n">
        <v>12</v>
      </c>
      <c r="D1325" s="30" t="n">
        <f aca="false">IF('Boletins Nuppa Site'!G1325&lt;&gt;0,'Boletins Nuppa Site'!G1325,"NULL")</f>
        <v>48</v>
      </c>
      <c r="E1325" s="30" t="n">
        <f aca="false">IF('Boletins Nuppa Site'!H1325&lt;&gt;0,'Boletins Nuppa Site'!H1325,"NULL")</f>
        <v>48</v>
      </c>
      <c r="F1325" s="30" t="n">
        <f aca="false">IF('Boletins Nuppa Site'!I1325&lt;&gt;0,'Boletins Nuppa Site'!I1325,"NULL")</f>
        <v>72</v>
      </c>
      <c r="G1325" s="30" t="n">
        <f aca="false">IF('Boletins Nuppa Site'!J1325&lt;&gt;0,'Boletins Nuppa Site'!J1325,"NULL")</f>
        <v>56</v>
      </c>
      <c r="H1325" s="30" t="n">
        <f aca="false">IF('Boletins Nuppa Site'!K1325&lt;&gt;0,'Boletins Nuppa Site'!K1325,"NULL")</f>
        <v>48</v>
      </c>
      <c r="I1325" s="0" t="str">
        <f aca="false">"INSERT INTO COTACAO (cot_id, cot_blt_id, cot_pap_id, cot_prc_comum, cot_prc_min, cot_prc_max, cot_prc_med, cot_prc_mediana) VALUES ("&amp;A1325&amp;", "&amp;B1325&amp;", "&amp;C1325&amp;", "&amp;D1325&amp;", "&amp;E1325&amp;", "&amp;F1325&amp;", "&amp;G1325&amp;", "&amp;H1325&amp;");"</f>
        <v>INSERT INTO COTACAO (cot_id, cot_blt_id, cot_pap_id, cot_prc_comum, cot_prc_min, cot_prc_max, cot_prc_med, cot_prc_mediana) VALUES (1324, 71, 12, 48, 48, 72, 56, 48);</v>
      </c>
      <c r="J1325" s="0" t="str">
        <f aca="false">"UPDATE COTACAO SET cot_id = "&amp;A1325&amp;", cot_blt_id = "&amp;B1325&amp;", cot_pap_id = "&amp;C1325&amp;", cot_prc_comum = "&amp;D1325&amp;", cot_prc_min = "&amp;E1325&amp;", cot_prc_max = "&amp;F1325&amp;", cot_prc_med = "&amp;G1325&amp;", cot_prc_mediana = "&amp;H1325&amp;" WHERE cot_id = "&amp;A1325&amp;";"</f>
        <v>UPDATE COTACAO SET cot_id = 1324, cot_blt_id = 71, cot_pap_id = 12, cot_prc_comum = 48, cot_prc_min = 48, cot_prc_max = 72, cot_prc_med = 56, cot_prc_mediana = 48 WHERE cot_id = 1324;</v>
      </c>
    </row>
    <row r="1326" customFormat="false" ht="14.25" hidden="false" customHeight="false" outlineLevel="0" collapsed="false">
      <c r="A1326" s="0" t="n">
        <v>1325</v>
      </c>
      <c r="B1326" s="0" t="n">
        <f aca="false">IF('Boletins Nuppa Site'!A1326&lt;&gt;0,'Boletins Nuppa Site'!A1326,"NULL")</f>
        <v>71</v>
      </c>
      <c r="C1326" s="0" t="n">
        <v>13</v>
      </c>
      <c r="D1326" s="30" t="n">
        <f aca="false">IF('Boletins Nuppa Site'!G1326&lt;&gt;0,'Boletins Nuppa Site'!G1326,"NULL")</f>
        <v>48</v>
      </c>
      <c r="E1326" s="30" t="n">
        <f aca="false">IF('Boletins Nuppa Site'!H1326&lt;&gt;0,'Boletins Nuppa Site'!H1326,"NULL")</f>
        <v>48</v>
      </c>
      <c r="F1326" s="30" t="n">
        <f aca="false">IF('Boletins Nuppa Site'!I1326&lt;&gt;0,'Boletins Nuppa Site'!I1326,"NULL")</f>
        <v>60</v>
      </c>
      <c r="G1326" s="30" t="n">
        <f aca="false">IF('Boletins Nuppa Site'!J1326&lt;&gt;0,'Boletins Nuppa Site'!J1326,"NULL")</f>
        <v>51</v>
      </c>
      <c r="H1326" s="30" t="n">
        <f aca="false">IF('Boletins Nuppa Site'!K1326&lt;&gt;0,'Boletins Nuppa Site'!K1326,"NULL")</f>
        <v>48</v>
      </c>
      <c r="I1326" s="0" t="str">
        <f aca="false">"INSERT INTO COTACAO (cot_id, cot_blt_id, cot_pap_id, cot_prc_comum, cot_prc_min, cot_prc_max, cot_prc_med, cot_prc_mediana) VALUES ("&amp;A1326&amp;", "&amp;B1326&amp;", "&amp;C1326&amp;", "&amp;D1326&amp;", "&amp;E1326&amp;", "&amp;F1326&amp;", "&amp;G1326&amp;", "&amp;H1326&amp;");"</f>
        <v>INSERT INTO COTACAO (cot_id, cot_blt_id, cot_pap_id, cot_prc_comum, cot_prc_min, cot_prc_max, cot_prc_med, cot_prc_mediana) VALUES (1325, 71, 13, 48, 48, 60, 51, 48);</v>
      </c>
      <c r="J1326" s="0" t="str">
        <f aca="false">"UPDATE COTACAO SET cot_id = "&amp;A1326&amp;", cot_blt_id = "&amp;B1326&amp;", cot_pap_id = "&amp;C1326&amp;", cot_prc_comum = "&amp;D1326&amp;", cot_prc_min = "&amp;E1326&amp;", cot_prc_max = "&amp;F1326&amp;", cot_prc_med = "&amp;G1326&amp;", cot_prc_mediana = "&amp;H1326&amp;" WHERE cot_id = "&amp;A1326&amp;";"</f>
        <v>UPDATE COTACAO SET cot_id = 1325, cot_blt_id = 71, cot_pap_id = 13, cot_prc_comum = 48, cot_prc_min = 48, cot_prc_max = 60, cot_prc_med = 51, cot_prc_mediana = 48 WHERE cot_id = 1325;</v>
      </c>
    </row>
    <row r="1327" customFormat="false" ht="14.25" hidden="false" customHeight="false" outlineLevel="0" collapsed="false">
      <c r="A1327" s="0" t="n">
        <v>1326</v>
      </c>
      <c r="B1327" s="0" t="n">
        <f aca="false">IF('Boletins Nuppa Site'!A1327&lt;&gt;0,'Boletins Nuppa Site'!A1327,"NULL")</f>
        <v>71</v>
      </c>
      <c r="C1327" s="0" t="n">
        <v>14</v>
      </c>
      <c r="D1327" s="30" t="n">
        <f aca="false">IF('Boletins Nuppa Site'!G1327&lt;&gt;0,'Boletins Nuppa Site'!G1327,"NULL")</f>
        <v>48</v>
      </c>
      <c r="E1327" s="30" t="n">
        <f aca="false">IF('Boletins Nuppa Site'!H1327&lt;&gt;0,'Boletins Nuppa Site'!H1327,"NULL")</f>
        <v>48</v>
      </c>
      <c r="F1327" s="30" t="n">
        <f aca="false">IF('Boletins Nuppa Site'!I1327&lt;&gt;0,'Boletins Nuppa Site'!I1327,"NULL")</f>
        <v>72</v>
      </c>
      <c r="G1327" s="30" t="n">
        <f aca="false">IF('Boletins Nuppa Site'!J1327&lt;&gt;0,'Boletins Nuppa Site'!J1327,"NULL")</f>
        <v>57</v>
      </c>
      <c r="H1327" s="30" t="n">
        <f aca="false">IF('Boletins Nuppa Site'!K1327&lt;&gt;0,'Boletins Nuppa Site'!K1327,"NULL")</f>
        <v>54</v>
      </c>
      <c r="I1327" s="0" t="str">
        <f aca="false">"INSERT INTO COTACAO (cot_id, cot_blt_id, cot_pap_id, cot_prc_comum, cot_prc_min, cot_prc_max, cot_prc_med, cot_prc_mediana) VALUES ("&amp;A1327&amp;", "&amp;B1327&amp;", "&amp;C1327&amp;", "&amp;D1327&amp;", "&amp;E1327&amp;", "&amp;F1327&amp;", "&amp;G1327&amp;", "&amp;H1327&amp;");"</f>
        <v>INSERT INTO COTACAO (cot_id, cot_blt_id, cot_pap_id, cot_prc_comum, cot_prc_min, cot_prc_max, cot_prc_med, cot_prc_mediana) VALUES (1326, 71, 14, 48, 48, 72, 57, 54);</v>
      </c>
      <c r="J1327" s="0" t="str">
        <f aca="false">"UPDATE COTACAO SET cot_id = "&amp;A1327&amp;", cot_blt_id = "&amp;B1327&amp;", cot_pap_id = "&amp;C1327&amp;", cot_prc_comum = "&amp;D1327&amp;", cot_prc_min = "&amp;E1327&amp;", cot_prc_max = "&amp;F1327&amp;", cot_prc_med = "&amp;G1327&amp;", cot_prc_mediana = "&amp;H1327&amp;" WHERE cot_id = "&amp;A1327&amp;";"</f>
        <v>UPDATE COTACAO SET cot_id = 1326, cot_blt_id = 71, cot_pap_id = 14, cot_prc_comum = 48, cot_prc_min = 48, cot_prc_max = 72, cot_prc_med = 57, cot_prc_mediana = 54 WHERE cot_id = 1326;</v>
      </c>
    </row>
    <row r="1328" customFormat="false" ht="14.25" hidden="false" customHeight="false" outlineLevel="0" collapsed="false">
      <c r="A1328" s="0" t="n">
        <v>1327</v>
      </c>
      <c r="B1328" s="0" t="n">
        <f aca="false">IF('Boletins Nuppa Site'!A1328&lt;&gt;0,'Boletins Nuppa Site'!A1328,"NULL")</f>
        <v>71</v>
      </c>
      <c r="C1328" s="0" t="n">
        <v>15</v>
      </c>
      <c r="D1328" s="30" t="n">
        <f aca="false">IF('Boletins Nuppa Site'!G1328&lt;&gt;0,'Boletins Nuppa Site'!G1328,"NULL")</f>
        <v>36</v>
      </c>
      <c r="E1328" s="30" t="n">
        <f aca="false">IF('Boletins Nuppa Site'!H1328&lt;&gt;0,'Boletins Nuppa Site'!H1328,"NULL")</f>
        <v>24</v>
      </c>
      <c r="F1328" s="30" t="n">
        <f aca="false">IF('Boletins Nuppa Site'!I1328&lt;&gt;0,'Boletins Nuppa Site'!I1328,"NULL")</f>
        <v>40</v>
      </c>
      <c r="G1328" s="30" t="n">
        <f aca="false">IF('Boletins Nuppa Site'!J1328&lt;&gt;0,'Boletins Nuppa Site'!J1328,"NULL")</f>
        <v>32</v>
      </c>
      <c r="H1328" s="30" t="n">
        <f aca="false">IF('Boletins Nuppa Site'!K1328&lt;&gt;0,'Boletins Nuppa Site'!K1328,"NULL")</f>
        <v>36</v>
      </c>
      <c r="I1328" s="0" t="str">
        <f aca="false">"INSERT INTO COTACAO (cot_id, cot_blt_id, cot_pap_id, cot_prc_comum, cot_prc_min, cot_prc_max, cot_prc_med, cot_prc_mediana) VALUES ("&amp;A1328&amp;", "&amp;B1328&amp;", "&amp;C1328&amp;", "&amp;D1328&amp;", "&amp;E1328&amp;", "&amp;F1328&amp;", "&amp;G1328&amp;", "&amp;H1328&amp;");"</f>
        <v>INSERT INTO COTACAO (cot_id, cot_blt_id, cot_pap_id, cot_prc_comum, cot_prc_min, cot_prc_max, cot_prc_med, cot_prc_mediana) VALUES (1327, 71, 15, 36, 24, 40, 32, 36);</v>
      </c>
      <c r="J1328" s="0" t="str">
        <f aca="false">"UPDATE COTACAO SET cot_id = "&amp;A1328&amp;", cot_blt_id = "&amp;B1328&amp;", cot_pap_id = "&amp;C1328&amp;", cot_prc_comum = "&amp;D1328&amp;", cot_prc_min = "&amp;E1328&amp;", cot_prc_max = "&amp;F1328&amp;", cot_prc_med = "&amp;G1328&amp;", cot_prc_mediana = "&amp;H1328&amp;" WHERE cot_id = "&amp;A1328&amp;";"</f>
        <v>UPDATE COTACAO SET cot_id = 1327, cot_blt_id = 71, cot_pap_id = 15, cot_prc_comum = 36, cot_prc_min = 24, cot_prc_max = 40, cot_prc_med = 32, cot_prc_mediana = 36 WHERE cot_id = 1327;</v>
      </c>
    </row>
    <row r="1329" customFormat="false" ht="14.25" hidden="false" customHeight="false" outlineLevel="0" collapsed="false">
      <c r="A1329" s="0" t="n">
        <v>1328</v>
      </c>
      <c r="B1329" s="0" t="n">
        <f aca="false">IF('Boletins Nuppa Site'!A1329&lt;&gt;0,'Boletins Nuppa Site'!A1329,"NULL")</f>
        <v>71</v>
      </c>
      <c r="C1329" s="0" t="n">
        <v>16</v>
      </c>
      <c r="D1329" s="30" t="n">
        <f aca="false">IF('Boletins Nuppa Site'!G1329&lt;&gt;0,'Boletins Nuppa Site'!G1329,"NULL")</f>
        <v>48</v>
      </c>
      <c r="E1329" s="30" t="n">
        <f aca="false">IF('Boletins Nuppa Site'!H1329&lt;&gt;0,'Boletins Nuppa Site'!H1329,"NULL")</f>
        <v>42</v>
      </c>
      <c r="F1329" s="30" t="n">
        <f aca="false">IF('Boletins Nuppa Site'!I1329&lt;&gt;0,'Boletins Nuppa Site'!I1329,"NULL")</f>
        <v>48</v>
      </c>
      <c r="G1329" s="0" t="str">
        <f aca="false">IF('Boletins Nuppa Site'!J1329&lt;&gt;0,'Boletins Nuppa Site'!J1329,"NULL")</f>
        <v>46.5</v>
      </c>
      <c r="H1329" s="30" t="n">
        <f aca="false">IF('Boletins Nuppa Site'!K1329&lt;&gt;0,'Boletins Nuppa Site'!K1329,"NULL")</f>
        <v>48</v>
      </c>
      <c r="I1329" s="0" t="str">
        <f aca="false">"INSERT INTO COTACAO (cot_id, cot_blt_id, cot_pap_id, cot_prc_comum, cot_prc_min, cot_prc_max, cot_prc_med, cot_prc_mediana) VALUES ("&amp;A1329&amp;", "&amp;B1329&amp;", "&amp;C1329&amp;", "&amp;D1329&amp;", "&amp;E1329&amp;", "&amp;F1329&amp;", "&amp;G1329&amp;", "&amp;H1329&amp;");"</f>
        <v>INSERT INTO COTACAO (cot_id, cot_blt_id, cot_pap_id, cot_prc_comum, cot_prc_min, cot_prc_max, cot_prc_med, cot_prc_mediana) VALUES (1328, 71, 16, 48, 42, 48, 46.5, 48);</v>
      </c>
      <c r="J1329" s="0" t="str">
        <f aca="false">"UPDATE COTACAO SET cot_id = "&amp;A1329&amp;", cot_blt_id = "&amp;B1329&amp;", cot_pap_id = "&amp;C1329&amp;", cot_prc_comum = "&amp;D1329&amp;", cot_prc_min = "&amp;E1329&amp;", cot_prc_max = "&amp;F1329&amp;", cot_prc_med = "&amp;G1329&amp;", cot_prc_mediana = "&amp;H1329&amp;" WHERE cot_id = "&amp;A1329&amp;";"</f>
        <v>UPDATE COTACAO SET cot_id = 1328, cot_blt_id = 71, cot_pap_id = 16, cot_prc_comum = 48, cot_prc_min = 42, cot_prc_max = 48, cot_prc_med = 46.5, cot_prc_mediana = 48 WHERE cot_id = 1328;</v>
      </c>
    </row>
    <row r="1330" customFormat="false" ht="14.25" hidden="false" customHeight="false" outlineLevel="0" collapsed="false">
      <c r="A1330" s="0" t="n">
        <v>1329</v>
      </c>
      <c r="B1330" s="0" t="n">
        <f aca="false">IF('Boletins Nuppa Site'!A1330&lt;&gt;0,'Boletins Nuppa Site'!A1330,"NULL")</f>
        <v>71</v>
      </c>
      <c r="C1330" s="0" t="n">
        <v>17</v>
      </c>
      <c r="D1330" s="30" t="n">
        <f aca="false">IF('Boletins Nuppa Site'!G1330&lt;&gt;0,'Boletins Nuppa Site'!G1330,"NULL")</f>
        <v>5</v>
      </c>
      <c r="E1330" s="30" t="n">
        <f aca="false">IF('Boletins Nuppa Site'!H1330&lt;&gt;0,'Boletins Nuppa Site'!H1330,"NULL")</f>
        <v>4</v>
      </c>
      <c r="F1330" s="30" t="n">
        <f aca="false">IF('Boletins Nuppa Site'!I1330&lt;&gt;0,'Boletins Nuppa Site'!I1330,"NULL")</f>
        <v>5</v>
      </c>
      <c r="G1330" s="0" t="str">
        <f aca="false">IF('Boletins Nuppa Site'!J1330&lt;&gt;0,'Boletins Nuppa Site'!J1330,"NULL")</f>
        <v>4.67</v>
      </c>
      <c r="H1330" s="30" t="n">
        <f aca="false">IF('Boletins Nuppa Site'!K1330&lt;&gt;0,'Boletins Nuppa Site'!K1330,"NULL")</f>
        <v>5</v>
      </c>
      <c r="I1330" s="0" t="str">
        <f aca="false">"INSERT INTO COTACAO (cot_id, cot_blt_id, cot_pap_id, cot_prc_comum, cot_prc_min, cot_prc_max, cot_prc_med, cot_prc_mediana) VALUES ("&amp;A1330&amp;", "&amp;B1330&amp;", "&amp;C1330&amp;", "&amp;D1330&amp;", "&amp;E1330&amp;", "&amp;F1330&amp;", "&amp;G1330&amp;", "&amp;H1330&amp;");"</f>
        <v>INSERT INTO COTACAO (cot_id, cot_blt_id, cot_pap_id, cot_prc_comum, cot_prc_min, cot_prc_max, cot_prc_med, cot_prc_mediana) VALUES (1329, 71, 17, 5, 4, 5, 4.67, 5);</v>
      </c>
      <c r="J1330" s="0" t="str">
        <f aca="false">"UPDATE COTACAO SET cot_id = "&amp;A1330&amp;", cot_blt_id = "&amp;B1330&amp;", cot_pap_id = "&amp;C1330&amp;", cot_prc_comum = "&amp;D1330&amp;", cot_prc_min = "&amp;E1330&amp;", cot_prc_max = "&amp;F1330&amp;", cot_prc_med = "&amp;G1330&amp;", cot_prc_mediana = "&amp;H1330&amp;" WHERE cot_id = "&amp;A1330&amp;";"</f>
        <v>UPDATE COTACAO SET cot_id = 1329, cot_blt_id = 71, cot_pap_id = 17, cot_prc_comum = 5, cot_prc_min = 4, cot_prc_max = 5, cot_prc_med = 4.67, cot_prc_mediana = 5 WHERE cot_id = 1329;</v>
      </c>
    </row>
    <row r="1331" customFormat="false" ht="14.25" hidden="false" customHeight="false" outlineLevel="0" collapsed="false">
      <c r="A1331" s="0" t="n">
        <v>1330</v>
      </c>
      <c r="B1331" s="0" t="n">
        <f aca="false">IF('Boletins Nuppa Site'!A1331&lt;&gt;0,'Boletins Nuppa Site'!A1331,"NULL")</f>
        <v>71</v>
      </c>
      <c r="C1331" s="0" t="n">
        <v>18</v>
      </c>
      <c r="D1331" s="30" t="n">
        <f aca="false">IF('Boletins Nuppa Site'!G1331&lt;&gt;0,'Boletins Nuppa Site'!G1331,"NULL")</f>
        <v>10</v>
      </c>
      <c r="E1331" s="30" t="n">
        <f aca="false">IF('Boletins Nuppa Site'!H1331&lt;&gt;0,'Boletins Nuppa Site'!H1331,"NULL")</f>
        <v>10</v>
      </c>
      <c r="F1331" s="30" t="n">
        <f aca="false">IF('Boletins Nuppa Site'!I1331&lt;&gt;0,'Boletins Nuppa Site'!I1331,"NULL")</f>
        <v>15</v>
      </c>
      <c r="G1331" s="0" t="str">
        <f aca="false">IF('Boletins Nuppa Site'!J1331&lt;&gt;0,'Boletins Nuppa Site'!J1331,"NULL")</f>
        <v>11.75</v>
      </c>
      <c r="H1331" s="30" t="n">
        <f aca="false">IF('Boletins Nuppa Site'!K1331&lt;&gt;0,'Boletins Nuppa Site'!K1331,"NULL")</f>
        <v>11</v>
      </c>
      <c r="I1331" s="0" t="str">
        <f aca="false">"INSERT INTO COTACAO (cot_id, cot_blt_id, cot_pap_id, cot_prc_comum, cot_prc_min, cot_prc_max, cot_prc_med, cot_prc_mediana) VALUES ("&amp;A1331&amp;", "&amp;B1331&amp;", "&amp;C1331&amp;", "&amp;D1331&amp;", "&amp;E1331&amp;", "&amp;F1331&amp;", "&amp;G1331&amp;", "&amp;H1331&amp;");"</f>
        <v>INSERT INTO COTACAO (cot_id, cot_blt_id, cot_pap_id, cot_prc_comum, cot_prc_min, cot_prc_max, cot_prc_med, cot_prc_mediana) VALUES (1330, 71, 18, 10, 10, 15, 11.75, 11);</v>
      </c>
      <c r="J1331" s="0" t="str">
        <f aca="false">"UPDATE COTACAO SET cot_id = "&amp;A1331&amp;", cot_blt_id = "&amp;B1331&amp;", cot_pap_id = "&amp;C1331&amp;", cot_prc_comum = "&amp;D1331&amp;", cot_prc_min = "&amp;E1331&amp;", cot_prc_max = "&amp;F1331&amp;", cot_prc_med = "&amp;G1331&amp;", cot_prc_mediana = "&amp;H1331&amp;" WHERE cot_id = "&amp;A1331&amp;";"</f>
        <v>UPDATE COTACAO SET cot_id = 1330, cot_blt_id = 71, cot_pap_id = 18, cot_prc_comum = 10, cot_prc_min = 10, cot_prc_max = 15, cot_prc_med = 11.75, cot_prc_mediana = 11 WHERE cot_id = 1330;</v>
      </c>
    </row>
    <row r="1332" customFormat="false" ht="14.25" hidden="false" customHeight="false" outlineLevel="0" collapsed="false">
      <c r="A1332" s="0" t="n">
        <v>1331</v>
      </c>
      <c r="B1332" s="0" t="n">
        <f aca="false">IF('Boletins Nuppa Site'!A1332&lt;&gt;0,'Boletins Nuppa Site'!A1332,"NULL")</f>
        <v>71</v>
      </c>
      <c r="C1332" s="0" t="n">
        <v>19</v>
      </c>
      <c r="D1332" s="30" t="n">
        <f aca="false">IF('Boletins Nuppa Site'!G1332&lt;&gt;0,'Boletins Nuppa Site'!G1332,"NULL")</f>
        <v>20</v>
      </c>
      <c r="E1332" s="30" t="n">
        <f aca="false">IF('Boletins Nuppa Site'!H1332&lt;&gt;0,'Boletins Nuppa Site'!H1332,"NULL")</f>
        <v>20</v>
      </c>
      <c r="F1332" s="30" t="n">
        <f aca="false">IF('Boletins Nuppa Site'!I1332&lt;&gt;0,'Boletins Nuppa Site'!I1332,"NULL")</f>
        <v>25</v>
      </c>
      <c r="G1332" s="0" t="str">
        <f aca="false">IF('Boletins Nuppa Site'!J1332&lt;&gt;0,'Boletins Nuppa Site'!J1332,"NULL")</f>
        <v>21.25</v>
      </c>
      <c r="H1332" s="30" t="n">
        <f aca="false">IF('Boletins Nuppa Site'!K1332&lt;&gt;0,'Boletins Nuppa Site'!K1332,"NULL")</f>
        <v>20</v>
      </c>
      <c r="I1332" s="0" t="str">
        <f aca="false">"INSERT INTO COTACAO (cot_id, cot_blt_id, cot_pap_id, cot_prc_comum, cot_prc_min, cot_prc_max, cot_prc_med, cot_prc_mediana) VALUES ("&amp;A1332&amp;", "&amp;B1332&amp;", "&amp;C1332&amp;", "&amp;D1332&amp;", "&amp;E1332&amp;", "&amp;F1332&amp;", "&amp;G1332&amp;", "&amp;H1332&amp;");"</f>
        <v>INSERT INTO COTACAO (cot_id, cot_blt_id, cot_pap_id, cot_prc_comum, cot_prc_min, cot_prc_max, cot_prc_med, cot_prc_mediana) VALUES (1331, 71, 19, 20, 20, 25, 21.25, 20);</v>
      </c>
      <c r="J1332" s="0" t="str">
        <f aca="false">"UPDATE COTACAO SET cot_id = "&amp;A1332&amp;", cot_blt_id = "&amp;B1332&amp;", cot_pap_id = "&amp;C1332&amp;", cot_prc_comum = "&amp;D1332&amp;", cot_prc_min = "&amp;E1332&amp;", cot_prc_max = "&amp;F1332&amp;", cot_prc_med = "&amp;G1332&amp;", cot_prc_mediana = "&amp;H1332&amp;" WHERE cot_id = "&amp;A1332&amp;";"</f>
        <v>UPDATE COTACAO SET cot_id = 1331, cot_blt_id = 71, cot_pap_id = 19, cot_prc_comum = 20, cot_prc_min = 20, cot_prc_max = 25, cot_prc_med = 21.25, cot_prc_mediana = 20 WHERE cot_id = 1331;</v>
      </c>
    </row>
    <row r="1333" customFormat="false" ht="14.25" hidden="false" customHeight="false" outlineLevel="0" collapsed="false">
      <c r="A1333" s="0" t="n">
        <v>1332</v>
      </c>
      <c r="B1333" s="0" t="n">
        <f aca="false">IF('Boletins Nuppa Site'!A1333&lt;&gt;0,'Boletins Nuppa Site'!A1333,"NULL")</f>
        <v>71</v>
      </c>
      <c r="C1333" s="0" t="n">
        <v>20</v>
      </c>
      <c r="D1333" s="0" t="str">
        <f aca="false">IF('Boletins Nuppa Site'!G1333&lt;&gt;0,'Boletins Nuppa Site'!G1333,"NULL")</f>
        <v>NULL</v>
      </c>
      <c r="E1333" s="30" t="n">
        <f aca="false">IF('Boletins Nuppa Site'!H1333&lt;&gt;0,'Boletins Nuppa Site'!H1333,"NULL")</f>
        <v>80</v>
      </c>
      <c r="F1333" s="30" t="n">
        <f aca="false">IF('Boletins Nuppa Site'!I1333&lt;&gt;0,'Boletins Nuppa Site'!I1333,"NULL")</f>
        <v>85</v>
      </c>
      <c r="G1333" s="0" t="str">
        <f aca="false">IF('Boletins Nuppa Site'!J1333&lt;&gt;0,'Boletins Nuppa Site'!J1333,"NULL")</f>
        <v>82.5</v>
      </c>
      <c r="H1333" s="0" t="str">
        <f aca="false">IF('Boletins Nuppa Site'!K1333&lt;&gt;0,'Boletins Nuppa Site'!K1333,"NULL")</f>
        <v>82.5</v>
      </c>
      <c r="I1333" s="0" t="str">
        <f aca="false">"INSERT INTO COTACAO (cot_id, cot_blt_id, cot_pap_id, cot_prc_comum, cot_prc_min, cot_prc_max, cot_prc_med, cot_prc_mediana) VALUES ("&amp;A1333&amp;", "&amp;B1333&amp;", "&amp;C1333&amp;", "&amp;D1333&amp;", "&amp;E1333&amp;", "&amp;F1333&amp;", "&amp;G1333&amp;", "&amp;H1333&amp;");"</f>
        <v>INSERT INTO COTACAO (cot_id, cot_blt_id, cot_pap_id, cot_prc_comum, cot_prc_min, cot_prc_max, cot_prc_med, cot_prc_mediana) VALUES (1332, 71, 20, NULL, 80, 85, 82.5, 82.5);</v>
      </c>
      <c r="J1333" s="0" t="str">
        <f aca="false">"UPDATE COTACAO SET cot_id = "&amp;A1333&amp;", cot_blt_id = "&amp;B1333&amp;", cot_pap_id = "&amp;C1333&amp;", cot_prc_comum = "&amp;D1333&amp;", cot_prc_min = "&amp;E1333&amp;", cot_prc_max = "&amp;F1333&amp;", cot_prc_med = "&amp;G1333&amp;", cot_prc_mediana = "&amp;H1333&amp;" WHERE cot_id = "&amp;A1333&amp;";"</f>
        <v>UPDATE COTACAO SET cot_id = 1332, cot_blt_id = 71, cot_pap_id = 20, cot_prc_comum = NULL, cot_prc_min = 80, cot_prc_max = 85, cot_prc_med = 82.5, cot_prc_mediana = 82.5 WHERE cot_id = 1332;</v>
      </c>
    </row>
    <row r="1334" customFormat="false" ht="14.25" hidden="false" customHeight="false" outlineLevel="0" collapsed="false">
      <c r="A1334" s="0" t="n">
        <v>1333</v>
      </c>
      <c r="B1334" s="0" t="n">
        <f aca="false">IF('Boletins Nuppa Site'!A1334&lt;&gt;0,'Boletins Nuppa Site'!A1334,"NULL")</f>
        <v>71</v>
      </c>
      <c r="C1334" s="0" t="n">
        <v>21</v>
      </c>
      <c r="D1334" s="30" t="n">
        <f aca="false">IF('Boletins Nuppa Site'!G1334&lt;&gt;0,'Boletins Nuppa Site'!G1334,"NULL")</f>
        <v>35</v>
      </c>
      <c r="E1334" s="30" t="n">
        <f aca="false">IF('Boletins Nuppa Site'!H1334&lt;&gt;0,'Boletins Nuppa Site'!H1334,"NULL")</f>
        <v>35</v>
      </c>
      <c r="F1334" s="30" t="n">
        <f aca="false">IF('Boletins Nuppa Site'!I1334&lt;&gt;0,'Boletins Nuppa Site'!I1334,"NULL")</f>
        <v>50</v>
      </c>
      <c r="G1334" s="30" t="n">
        <f aca="false">IF('Boletins Nuppa Site'!J1334&lt;&gt;0,'Boletins Nuppa Site'!J1334,"NULL")</f>
        <v>42</v>
      </c>
      <c r="H1334" s="30" t="n">
        <f aca="false">IF('Boletins Nuppa Site'!K1334&lt;&gt;0,'Boletins Nuppa Site'!K1334,"NULL")</f>
        <v>45</v>
      </c>
      <c r="I1334" s="0" t="str">
        <f aca="false">"INSERT INTO COTACAO (cot_id, cot_blt_id, cot_pap_id, cot_prc_comum, cot_prc_min, cot_prc_max, cot_prc_med, cot_prc_mediana) VALUES ("&amp;A1334&amp;", "&amp;B1334&amp;", "&amp;C1334&amp;", "&amp;D1334&amp;", "&amp;E1334&amp;", "&amp;F1334&amp;", "&amp;G1334&amp;", "&amp;H1334&amp;");"</f>
        <v>INSERT INTO COTACAO (cot_id, cot_blt_id, cot_pap_id, cot_prc_comum, cot_prc_min, cot_prc_max, cot_prc_med, cot_prc_mediana) VALUES (1333, 71, 21, 35, 35, 50, 42, 45);</v>
      </c>
      <c r="J1334" s="0" t="str">
        <f aca="false">"UPDATE COTACAO SET cot_id = "&amp;A1334&amp;", cot_blt_id = "&amp;B1334&amp;", cot_pap_id = "&amp;C1334&amp;", cot_prc_comum = "&amp;D1334&amp;", cot_prc_min = "&amp;E1334&amp;", cot_prc_max = "&amp;F1334&amp;", cot_prc_med = "&amp;G1334&amp;", cot_prc_mediana = "&amp;H1334&amp;" WHERE cot_id = "&amp;A1334&amp;";"</f>
        <v>UPDATE COTACAO SET cot_id = 1333, cot_blt_id = 71, cot_pap_id = 21, cot_prc_comum = 35, cot_prc_min = 35, cot_prc_max = 50, cot_prc_med = 42, cot_prc_mediana = 45 WHERE cot_id = 1333;</v>
      </c>
    </row>
    <row r="1335" customFormat="false" ht="14.25" hidden="false" customHeight="false" outlineLevel="0" collapsed="false">
      <c r="A1335" s="0" t="n">
        <v>1334</v>
      </c>
      <c r="B1335" s="0" t="n">
        <f aca="false">IF('Boletins Nuppa Site'!A1335&lt;&gt;0,'Boletins Nuppa Site'!A1335,"NULL")</f>
        <v>71</v>
      </c>
      <c r="C1335" s="0" t="n">
        <v>22</v>
      </c>
      <c r="D1335" s="30" t="n">
        <f aca="false">IF('Boletins Nuppa Site'!G1335&lt;&gt;0,'Boletins Nuppa Site'!G1335,"NULL")</f>
        <v>70</v>
      </c>
      <c r="E1335" s="30" t="n">
        <f aca="false">IF('Boletins Nuppa Site'!H1335&lt;&gt;0,'Boletins Nuppa Site'!H1335,"NULL")</f>
        <v>45</v>
      </c>
      <c r="F1335" s="30" t="n">
        <f aca="false">IF('Boletins Nuppa Site'!I1335&lt;&gt;0,'Boletins Nuppa Site'!I1335,"NULL")</f>
        <v>70</v>
      </c>
      <c r="G1335" s="30" t="n">
        <f aca="false">IF('Boletins Nuppa Site'!J1335&lt;&gt;0,'Boletins Nuppa Site'!J1335,"NULL")</f>
        <v>64</v>
      </c>
      <c r="H1335" s="30" t="n">
        <f aca="false">IF('Boletins Nuppa Site'!K1335&lt;&gt;0,'Boletins Nuppa Site'!K1335,"NULL")</f>
        <v>70</v>
      </c>
      <c r="I1335" s="0" t="str">
        <f aca="false">"INSERT INTO COTACAO (cot_id, cot_blt_id, cot_pap_id, cot_prc_comum, cot_prc_min, cot_prc_max, cot_prc_med, cot_prc_mediana) VALUES ("&amp;A1335&amp;", "&amp;B1335&amp;", "&amp;C1335&amp;", "&amp;D1335&amp;", "&amp;E1335&amp;", "&amp;F1335&amp;", "&amp;G1335&amp;", "&amp;H1335&amp;");"</f>
        <v>INSERT INTO COTACAO (cot_id, cot_blt_id, cot_pap_id, cot_prc_comum, cot_prc_min, cot_prc_max, cot_prc_med, cot_prc_mediana) VALUES (1334, 71, 22, 70, 45, 70, 64, 70);</v>
      </c>
      <c r="J1335" s="0" t="str">
        <f aca="false">"UPDATE COTACAO SET cot_id = "&amp;A1335&amp;", cot_blt_id = "&amp;B1335&amp;", cot_pap_id = "&amp;C1335&amp;", cot_prc_comum = "&amp;D1335&amp;", cot_prc_min = "&amp;E1335&amp;", cot_prc_max = "&amp;F1335&amp;", cot_prc_med = "&amp;G1335&amp;", cot_prc_mediana = "&amp;H1335&amp;" WHERE cot_id = "&amp;A1335&amp;";"</f>
        <v>UPDATE COTACAO SET cot_id = 1334, cot_blt_id = 71, cot_pap_id = 22, cot_prc_comum = 70, cot_prc_min = 45, cot_prc_max = 70, cot_prc_med = 64, cot_prc_mediana = 70 WHERE cot_id = 1334;</v>
      </c>
    </row>
    <row r="1336" customFormat="false" ht="14.25" hidden="false" customHeight="false" outlineLevel="0" collapsed="false">
      <c r="A1336" s="0" t="n">
        <v>1335</v>
      </c>
      <c r="B1336" s="0" t="n">
        <f aca="false">IF('Boletins Nuppa Site'!A1336&lt;&gt;0,'Boletins Nuppa Site'!A1336,"NULL")</f>
        <v>71</v>
      </c>
      <c r="C1336" s="0" t="n">
        <v>23</v>
      </c>
      <c r="D1336" s="0" t="str">
        <f aca="false">IF('Boletins Nuppa Site'!G1336&lt;&gt;0,'Boletins Nuppa Site'!G1336,"NULL")</f>
        <v>NULL</v>
      </c>
      <c r="E1336" s="30" t="n">
        <f aca="false">IF('Boletins Nuppa Site'!H1336&lt;&gt;0,'Boletins Nuppa Site'!H1336,"NULL")</f>
        <v>45</v>
      </c>
      <c r="F1336" s="30" t="n">
        <f aca="false">IF('Boletins Nuppa Site'!I1336&lt;&gt;0,'Boletins Nuppa Site'!I1336,"NULL")</f>
        <v>60</v>
      </c>
      <c r="G1336" s="0" t="str">
        <f aca="false">IF('Boletins Nuppa Site'!J1336&lt;&gt;0,'Boletins Nuppa Site'!J1336,"NULL")</f>
        <v>51.67</v>
      </c>
      <c r="H1336" s="30" t="n">
        <f aca="false">IF('Boletins Nuppa Site'!K1336&lt;&gt;0,'Boletins Nuppa Site'!K1336,"NULL")</f>
        <v>50</v>
      </c>
      <c r="I1336" s="0" t="str">
        <f aca="false">"INSERT INTO COTACAO (cot_id, cot_blt_id, cot_pap_id, cot_prc_comum, cot_prc_min, cot_prc_max, cot_prc_med, cot_prc_mediana) VALUES ("&amp;A1336&amp;", "&amp;B1336&amp;", "&amp;C1336&amp;", "&amp;D1336&amp;", "&amp;E1336&amp;", "&amp;F1336&amp;", "&amp;G1336&amp;", "&amp;H1336&amp;");"</f>
        <v>INSERT INTO COTACAO (cot_id, cot_blt_id, cot_pap_id, cot_prc_comum, cot_prc_min, cot_prc_max, cot_prc_med, cot_prc_mediana) VALUES (1335, 71, 23, NULL, 45, 60, 51.67, 50);</v>
      </c>
      <c r="J1336" s="0" t="str">
        <f aca="false">"UPDATE COTACAO SET cot_id = "&amp;A1336&amp;", cot_blt_id = "&amp;B1336&amp;", cot_pap_id = "&amp;C1336&amp;", cot_prc_comum = "&amp;D1336&amp;", cot_prc_min = "&amp;E1336&amp;", cot_prc_max = "&amp;F1336&amp;", cot_prc_med = "&amp;G1336&amp;", cot_prc_mediana = "&amp;H1336&amp;" WHERE cot_id = "&amp;A1336&amp;";"</f>
        <v>UPDATE COTACAO SET cot_id = 1335, cot_blt_id = 71, cot_pap_id = 23, cot_prc_comum = NULL, cot_prc_min = 45, cot_prc_max = 60, cot_prc_med = 51.67, cot_prc_mediana = 50 WHERE cot_id = 1335;</v>
      </c>
    </row>
    <row r="1337" customFormat="false" ht="14.25" hidden="false" customHeight="false" outlineLevel="0" collapsed="false">
      <c r="A1337" s="0" t="n">
        <v>1336</v>
      </c>
      <c r="B1337" s="0" t="n">
        <f aca="false">IF('Boletins Nuppa Site'!A1337&lt;&gt;0,'Boletins Nuppa Site'!A1337,"NULL")</f>
        <v>71</v>
      </c>
      <c r="C1337" s="0" t="n">
        <v>24</v>
      </c>
      <c r="D1337" s="0" t="str">
        <f aca="false">IF('Boletins Nuppa Site'!G1337&lt;&gt;0,'Boletins Nuppa Site'!G1337,"NULL")</f>
        <v>NULL</v>
      </c>
      <c r="E1337" s="30" t="n">
        <f aca="false">IF('Boletins Nuppa Site'!H1337&lt;&gt;0,'Boletins Nuppa Site'!H1337,"NULL")</f>
        <v>50</v>
      </c>
      <c r="F1337" s="30" t="n">
        <f aca="false">IF('Boletins Nuppa Site'!I1337&lt;&gt;0,'Boletins Nuppa Site'!I1337,"NULL")</f>
        <v>110</v>
      </c>
      <c r="G1337" s="0" t="str">
        <f aca="false">IF('Boletins Nuppa Site'!J1337&lt;&gt;0,'Boletins Nuppa Site'!J1337,"NULL")</f>
        <v>83.33</v>
      </c>
      <c r="H1337" s="30" t="n">
        <f aca="false">IF('Boletins Nuppa Site'!K1337&lt;&gt;0,'Boletins Nuppa Site'!K1337,"NULL")</f>
        <v>90</v>
      </c>
      <c r="I1337" s="0" t="str">
        <f aca="false">"INSERT INTO COTACAO (cot_id, cot_blt_id, cot_pap_id, cot_prc_comum, cot_prc_min, cot_prc_max, cot_prc_med, cot_prc_mediana) VALUES ("&amp;A1337&amp;", "&amp;B1337&amp;", "&amp;C1337&amp;", "&amp;D1337&amp;", "&amp;E1337&amp;", "&amp;F1337&amp;", "&amp;G1337&amp;", "&amp;H1337&amp;");"</f>
        <v>INSERT INTO COTACAO (cot_id, cot_blt_id, cot_pap_id, cot_prc_comum, cot_prc_min, cot_prc_max, cot_prc_med, cot_prc_mediana) VALUES (1336, 71, 24, NULL, 50, 110, 83.33, 90);</v>
      </c>
      <c r="J1337" s="0" t="str">
        <f aca="false">"UPDATE COTACAO SET cot_id = "&amp;A1337&amp;", cot_blt_id = "&amp;B1337&amp;", cot_pap_id = "&amp;C1337&amp;", cot_prc_comum = "&amp;D1337&amp;", cot_prc_min = "&amp;E1337&amp;", cot_prc_max = "&amp;F1337&amp;", cot_prc_med = "&amp;G1337&amp;", cot_prc_mediana = "&amp;H1337&amp;" WHERE cot_id = "&amp;A1337&amp;";"</f>
        <v>UPDATE COTACAO SET cot_id = 1336, cot_blt_id = 71, cot_pap_id = 24, cot_prc_comum = NULL, cot_prc_min = 50, cot_prc_max = 110, cot_prc_med = 83.33, cot_prc_mediana = 90 WHERE cot_id = 1336;</v>
      </c>
    </row>
    <row r="1338" customFormat="false" ht="14.25" hidden="false" customHeight="false" outlineLevel="0" collapsed="false">
      <c r="A1338" s="0" t="n">
        <v>1337</v>
      </c>
      <c r="B1338" s="0" t="n">
        <f aca="false">IF('Boletins Nuppa Site'!A1338&lt;&gt;0,'Boletins Nuppa Site'!A1338,"NULL")</f>
        <v>71</v>
      </c>
      <c r="C1338" s="0" t="n">
        <v>25</v>
      </c>
      <c r="D1338" s="30" t="n">
        <f aca="false">IF('Boletins Nuppa Site'!G1338&lt;&gt;0,'Boletins Nuppa Site'!G1338,"NULL")</f>
        <v>70</v>
      </c>
      <c r="E1338" s="30" t="n">
        <f aca="false">IF('Boletins Nuppa Site'!H1338&lt;&gt;0,'Boletins Nuppa Site'!H1338,"NULL")</f>
        <v>60</v>
      </c>
      <c r="F1338" s="30" t="n">
        <f aca="false">IF('Boletins Nuppa Site'!I1338&lt;&gt;0,'Boletins Nuppa Site'!I1338,"NULL")</f>
        <v>70</v>
      </c>
      <c r="G1338" s="30" t="n">
        <f aca="false">IF('Boletins Nuppa Site'!J1338&lt;&gt;0,'Boletins Nuppa Site'!J1338,"NULL")</f>
        <v>65</v>
      </c>
      <c r="H1338" s="30" t="n">
        <f aca="false">IF('Boletins Nuppa Site'!K1338&lt;&gt;0,'Boletins Nuppa Site'!K1338,"NULL")</f>
        <v>65</v>
      </c>
      <c r="I1338" s="0" t="str">
        <f aca="false">"INSERT INTO COTACAO (cot_id, cot_blt_id, cot_pap_id, cot_prc_comum, cot_prc_min, cot_prc_max, cot_prc_med, cot_prc_mediana) VALUES ("&amp;A1338&amp;", "&amp;B1338&amp;", "&amp;C1338&amp;", "&amp;D1338&amp;", "&amp;E1338&amp;", "&amp;F1338&amp;", "&amp;G1338&amp;", "&amp;H1338&amp;");"</f>
        <v>INSERT INTO COTACAO (cot_id, cot_blt_id, cot_pap_id, cot_prc_comum, cot_prc_min, cot_prc_max, cot_prc_med, cot_prc_mediana) VALUES (1337, 71, 25, 70, 60, 70, 65, 65);</v>
      </c>
      <c r="J1338" s="0" t="str">
        <f aca="false">"UPDATE COTACAO SET cot_id = "&amp;A1338&amp;", cot_blt_id = "&amp;B1338&amp;", cot_pap_id = "&amp;C1338&amp;", cot_prc_comum = "&amp;D1338&amp;", cot_prc_min = "&amp;E1338&amp;", cot_prc_max = "&amp;F1338&amp;", cot_prc_med = "&amp;G1338&amp;", cot_prc_mediana = "&amp;H1338&amp;" WHERE cot_id = "&amp;A1338&amp;";"</f>
        <v>UPDATE COTACAO SET cot_id = 1337, cot_blt_id = 71, cot_pap_id = 25, cot_prc_comum = 70, cot_prc_min = 60, cot_prc_max = 70, cot_prc_med = 65, cot_prc_mediana = 65 WHERE cot_id = 1337;</v>
      </c>
    </row>
    <row r="1339" customFormat="false" ht="14.25" hidden="false" customHeight="false" outlineLevel="0" collapsed="false">
      <c r="A1339" s="0" t="n">
        <v>1338</v>
      </c>
      <c r="B1339" s="0" t="n">
        <f aca="false">IF('Boletins Nuppa Site'!A1339&lt;&gt;0,'Boletins Nuppa Site'!A1339,"NULL")</f>
        <v>71</v>
      </c>
      <c r="C1339" s="0" t="n">
        <v>26</v>
      </c>
      <c r="D1339" s="30" t="n">
        <f aca="false">IF('Boletins Nuppa Site'!G1339&lt;&gt;0,'Boletins Nuppa Site'!G1339,"NULL")</f>
        <v>60</v>
      </c>
      <c r="E1339" s="30" t="n">
        <f aca="false">IF('Boletins Nuppa Site'!H1339&lt;&gt;0,'Boletins Nuppa Site'!H1339,"NULL")</f>
        <v>35</v>
      </c>
      <c r="F1339" s="30" t="n">
        <f aca="false">IF('Boletins Nuppa Site'!I1339&lt;&gt;0,'Boletins Nuppa Site'!I1339,"NULL")</f>
        <v>60</v>
      </c>
      <c r="G1339" s="30" t="n">
        <f aca="false">IF('Boletins Nuppa Site'!J1339&lt;&gt;0,'Boletins Nuppa Site'!J1339,"NULL")</f>
        <v>50</v>
      </c>
      <c r="H1339" s="30" t="n">
        <f aca="false">IF('Boletins Nuppa Site'!K1339&lt;&gt;0,'Boletins Nuppa Site'!K1339,"NULL")</f>
        <v>55</v>
      </c>
      <c r="I1339" s="0" t="str">
        <f aca="false">"INSERT INTO COTACAO (cot_id, cot_blt_id, cot_pap_id, cot_prc_comum, cot_prc_min, cot_prc_max, cot_prc_med, cot_prc_mediana) VALUES ("&amp;A1339&amp;", "&amp;B1339&amp;", "&amp;C1339&amp;", "&amp;D1339&amp;", "&amp;E1339&amp;", "&amp;F1339&amp;", "&amp;G1339&amp;", "&amp;H1339&amp;");"</f>
        <v>INSERT INTO COTACAO (cot_id, cot_blt_id, cot_pap_id, cot_prc_comum, cot_prc_min, cot_prc_max, cot_prc_med, cot_prc_mediana) VALUES (1338, 71, 26, 60, 35, 60, 50, 55);</v>
      </c>
      <c r="J1339" s="0" t="str">
        <f aca="false">"UPDATE COTACAO SET cot_id = "&amp;A1339&amp;", cot_blt_id = "&amp;B1339&amp;", cot_pap_id = "&amp;C1339&amp;", cot_prc_comum = "&amp;D1339&amp;", cot_prc_min = "&amp;E1339&amp;", cot_prc_max = "&amp;F1339&amp;", cot_prc_med = "&amp;G1339&amp;", cot_prc_mediana = "&amp;H1339&amp;" WHERE cot_id = "&amp;A1339&amp;";"</f>
        <v>UPDATE COTACAO SET cot_id = 1338, cot_blt_id = 71, cot_pap_id = 26, cot_prc_comum = 60, cot_prc_min = 35, cot_prc_max = 60, cot_prc_med = 50, cot_prc_mediana = 55 WHERE cot_id = 1338;</v>
      </c>
    </row>
    <row r="1340" customFormat="false" ht="14.25" hidden="false" customHeight="false" outlineLevel="0" collapsed="false">
      <c r="A1340" s="0" t="n">
        <v>1339</v>
      </c>
      <c r="B1340" s="0" t="n">
        <f aca="false">IF('Boletins Nuppa Site'!A1340&lt;&gt;0,'Boletins Nuppa Site'!A1340,"NULL")</f>
        <v>71</v>
      </c>
      <c r="C1340" s="0" t="n">
        <v>27</v>
      </c>
      <c r="D1340" s="30" t="n">
        <f aca="false">IF('Boletins Nuppa Site'!G1340&lt;&gt;0,'Boletins Nuppa Site'!G1340,"NULL")</f>
        <v>60</v>
      </c>
      <c r="E1340" s="30" t="n">
        <f aca="false">IF('Boletins Nuppa Site'!H1340&lt;&gt;0,'Boletins Nuppa Site'!H1340,"NULL")</f>
        <v>60</v>
      </c>
      <c r="F1340" s="30" t="n">
        <f aca="false">IF('Boletins Nuppa Site'!I1340&lt;&gt;0,'Boletins Nuppa Site'!I1340,"NULL")</f>
        <v>80</v>
      </c>
      <c r="G1340" s="30" t="n">
        <f aca="false">IF('Boletins Nuppa Site'!J1340&lt;&gt;0,'Boletins Nuppa Site'!J1340,"NULL")</f>
        <v>68</v>
      </c>
      <c r="H1340" s="30" t="n">
        <f aca="false">IF('Boletins Nuppa Site'!K1340&lt;&gt;0,'Boletins Nuppa Site'!K1340,"NULL")</f>
        <v>70</v>
      </c>
      <c r="I1340" s="0" t="str">
        <f aca="false">"INSERT INTO COTACAO (cot_id, cot_blt_id, cot_pap_id, cot_prc_comum, cot_prc_min, cot_prc_max, cot_prc_med, cot_prc_mediana) VALUES ("&amp;A1340&amp;", "&amp;B1340&amp;", "&amp;C1340&amp;", "&amp;D1340&amp;", "&amp;E1340&amp;", "&amp;F1340&amp;", "&amp;G1340&amp;", "&amp;H1340&amp;");"</f>
        <v>INSERT INTO COTACAO (cot_id, cot_blt_id, cot_pap_id, cot_prc_comum, cot_prc_min, cot_prc_max, cot_prc_med, cot_prc_mediana) VALUES (1339, 71, 27, 60, 60, 80, 68, 70);</v>
      </c>
      <c r="J1340" s="0" t="str">
        <f aca="false">"UPDATE COTACAO SET cot_id = "&amp;A1340&amp;", cot_blt_id = "&amp;B1340&amp;", cot_pap_id = "&amp;C1340&amp;", cot_prc_comum = "&amp;D1340&amp;", cot_prc_min = "&amp;E1340&amp;", cot_prc_max = "&amp;F1340&amp;", cot_prc_med = "&amp;G1340&amp;", cot_prc_mediana = "&amp;H1340&amp;" WHERE cot_id = "&amp;A1340&amp;";"</f>
        <v>UPDATE COTACAO SET cot_id = 1339, cot_blt_id = 71, cot_pap_id = 27, cot_prc_comum = 60, cot_prc_min = 60, cot_prc_max = 80, cot_prc_med = 68, cot_prc_mediana = 70 WHERE cot_id = 1339;</v>
      </c>
    </row>
    <row r="1341" customFormat="false" ht="14.25" hidden="false" customHeight="false" outlineLevel="0" collapsed="false">
      <c r="A1341" s="0" t="n">
        <v>1340</v>
      </c>
      <c r="B1341" s="0" t="n">
        <f aca="false">IF('Boletins Nuppa Site'!A1341&lt;&gt;0,'Boletins Nuppa Site'!A1341,"NULL")</f>
        <v>71</v>
      </c>
      <c r="C1341" s="0" t="n">
        <v>28</v>
      </c>
      <c r="D1341" s="0" t="str">
        <f aca="false">IF('Boletins Nuppa Site'!G1341&lt;&gt;0,'Boletins Nuppa Site'!G1341,"NULL")</f>
        <v>NULL</v>
      </c>
      <c r="E1341" s="30" t="n">
        <f aca="false">IF('Boletins Nuppa Site'!H1341&lt;&gt;0,'Boletins Nuppa Site'!H1341,"NULL")</f>
        <v>90</v>
      </c>
      <c r="F1341" s="30" t="n">
        <f aca="false">IF('Boletins Nuppa Site'!I1341&lt;&gt;0,'Boletins Nuppa Site'!I1341,"NULL")</f>
        <v>120</v>
      </c>
      <c r="G1341" s="30" t="n">
        <f aca="false">IF('Boletins Nuppa Site'!J1341&lt;&gt;0,'Boletins Nuppa Site'!J1341,"NULL")</f>
        <v>105</v>
      </c>
      <c r="H1341" s="30" t="n">
        <f aca="false">IF('Boletins Nuppa Site'!K1341&lt;&gt;0,'Boletins Nuppa Site'!K1341,"NULL")</f>
        <v>105</v>
      </c>
      <c r="I1341" s="0" t="str">
        <f aca="false">"INSERT INTO COTACAO (cot_id, cot_blt_id, cot_pap_id, cot_prc_comum, cot_prc_min, cot_prc_max, cot_prc_med, cot_prc_mediana) VALUES ("&amp;A1341&amp;", "&amp;B1341&amp;", "&amp;C1341&amp;", "&amp;D1341&amp;", "&amp;E1341&amp;", "&amp;F1341&amp;", "&amp;G1341&amp;", "&amp;H1341&amp;");"</f>
        <v>INSERT INTO COTACAO (cot_id, cot_blt_id, cot_pap_id, cot_prc_comum, cot_prc_min, cot_prc_max, cot_prc_med, cot_prc_mediana) VALUES (1340, 71, 28, NULL, 90, 120, 105, 105);</v>
      </c>
      <c r="J1341" s="0" t="str">
        <f aca="false">"UPDATE COTACAO SET cot_id = "&amp;A1341&amp;", cot_blt_id = "&amp;B1341&amp;", cot_pap_id = "&amp;C1341&amp;", cot_prc_comum = "&amp;D1341&amp;", cot_prc_min = "&amp;E1341&amp;", cot_prc_max = "&amp;F1341&amp;", cot_prc_med = "&amp;G1341&amp;", cot_prc_mediana = "&amp;H1341&amp;" WHERE cot_id = "&amp;A1341&amp;";"</f>
        <v>UPDATE COTACAO SET cot_id = 1340, cot_blt_id = 71, cot_pap_id = 28, cot_prc_comum = NULL, cot_prc_min = 90, cot_prc_max = 120, cot_prc_med = 105, cot_prc_mediana = 105 WHERE cot_id = 1340;</v>
      </c>
    </row>
    <row r="1342" customFormat="false" ht="14.25" hidden="false" customHeight="false" outlineLevel="0" collapsed="false">
      <c r="A1342" s="0" t="n">
        <v>1341</v>
      </c>
      <c r="B1342" s="0" t="n">
        <f aca="false">IF('Boletins Nuppa Site'!A1342&lt;&gt;0,'Boletins Nuppa Site'!A1342,"NULL")</f>
        <v>71</v>
      </c>
      <c r="C1342" s="0" t="n">
        <v>29</v>
      </c>
      <c r="D1342" s="0" t="str">
        <f aca="false">IF('Boletins Nuppa Site'!G1342&lt;&gt;0,'Boletins Nuppa Site'!G1342,"NULL")</f>
        <v>NULL</v>
      </c>
      <c r="E1342" s="30" t="n">
        <f aca="false">IF('Boletins Nuppa Site'!H1342&lt;&gt;0,'Boletins Nuppa Site'!H1342,"NULL")</f>
        <v>65</v>
      </c>
      <c r="F1342" s="30" t="n">
        <f aca="false">IF('Boletins Nuppa Site'!I1342&lt;&gt;0,'Boletins Nuppa Site'!I1342,"NULL")</f>
        <v>65</v>
      </c>
      <c r="G1342" s="30" t="n">
        <f aca="false">IF('Boletins Nuppa Site'!J1342&lt;&gt;0,'Boletins Nuppa Site'!J1342,"NULL")</f>
        <v>65</v>
      </c>
      <c r="H1342" s="30" t="n">
        <f aca="false">IF('Boletins Nuppa Site'!K1342&lt;&gt;0,'Boletins Nuppa Site'!K1342,"NULL")</f>
        <v>65</v>
      </c>
      <c r="I1342" s="0" t="str">
        <f aca="false">"INSERT INTO COTACAO (cot_id, cot_blt_id, cot_pap_id, cot_prc_comum, cot_prc_min, cot_prc_max, cot_prc_med, cot_prc_mediana) VALUES ("&amp;A1342&amp;", "&amp;B1342&amp;", "&amp;C1342&amp;", "&amp;D1342&amp;", "&amp;E1342&amp;", "&amp;F1342&amp;", "&amp;G1342&amp;", "&amp;H1342&amp;");"</f>
        <v>INSERT INTO COTACAO (cot_id, cot_blt_id, cot_pap_id, cot_prc_comum, cot_prc_min, cot_prc_max, cot_prc_med, cot_prc_mediana) VALUES (1341, 71, 29, NULL, 65, 65, 65, 65);</v>
      </c>
      <c r="J1342" s="0" t="str">
        <f aca="false">"UPDATE COTACAO SET cot_id = "&amp;A1342&amp;", cot_blt_id = "&amp;B1342&amp;", cot_pap_id = "&amp;C1342&amp;", cot_prc_comum = "&amp;D1342&amp;", cot_prc_min = "&amp;E1342&amp;", cot_prc_max = "&amp;F1342&amp;", cot_prc_med = "&amp;G1342&amp;", cot_prc_mediana = "&amp;H1342&amp;" WHERE cot_id = "&amp;A1342&amp;";"</f>
        <v>UPDATE COTACAO SET cot_id = 1341, cot_blt_id = 71, cot_pap_id = 29, cot_prc_comum = NULL, cot_prc_min = 65, cot_prc_max = 65, cot_prc_med = 65, cot_prc_mediana = 65 WHERE cot_id = 1341;</v>
      </c>
    </row>
    <row r="1343" customFormat="false" ht="14.25" hidden="false" customHeight="false" outlineLevel="0" collapsed="false">
      <c r="A1343" s="0" t="n">
        <v>1342</v>
      </c>
      <c r="B1343" s="0" t="n">
        <f aca="false">IF('Boletins Nuppa Site'!A1343&lt;&gt;0,'Boletins Nuppa Site'!A1343,"NULL")</f>
        <v>71</v>
      </c>
      <c r="C1343" s="0" t="n">
        <v>30</v>
      </c>
      <c r="D1343" s="30" t="n">
        <f aca="false">IF('Boletins Nuppa Site'!G1343&lt;&gt;0,'Boletins Nuppa Site'!G1343,"NULL")</f>
        <v>100</v>
      </c>
      <c r="E1343" s="30" t="n">
        <f aca="false">IF('Boletins Nuppa Site'!H1343&lt;&gt;0,'Boletins Nuppa Site'!H1343,"NULL")</f>
        <v>80</v>
      </c>
      <c r="F1343" s="30" t="n">
        <f aca="false">IF('Boletins Nuppa Site'!I1343&lt;&gt;0,'Boletins Nuppa Site'!I1343,"NULL")</f>
        <v>100</v>
      </c>
      <c r="G1343" s="0" t="str">
        <f aca="false">IF('Boletins Nuppa Site'!J1343&lt;&gt;0,'Boletins Nuppa Site'!J1343,"NULL")</f>
        <v>93.33</v>
      </c>
      <c r="H1343" s="30" t="n">
        <f aca="false">IF('Boletins Nuppa Site'!K1343&lt;&gt;0,'Boletins Nuppa Site'!K1343,"NULL")</f>
        <v>100</v>
      </c>
      <c r="I1343" s="0" t="str">
        <f aca="false">"INSERT INTO COTACAO (cot_id, cot_blt_id, cot_pap_id, cot_prc_comum, cot_prc_min, cot_prc_max, cot_prc_med, cot_prc_mediana) VALUES ("&amp;A1343&amp;", "&amp;B1343&amp;", "&amp;C1343&amp;", "&amp;D1343&amp;", "&amp;E1343&amp;", "&amp;F1343&amp;", "&amp;G1343&amp;", "&amp;H1343&amp;");"</f>
        <v>INSERT INTO COTACAO (cot_id, cot_blt_id, cot_pap_id, cot_prc_comum, cot_prc_min, cot_prc_max, cot_prc_med, cot_prc_mediana) VALUES (1342, 71, 30, 100, 80, 100, 93.33, 100);</v>
      </c>
      <c r="J1343" s="0" t="str">
        <f aca="false">"UPDATE COTACAO SET cot_id = "&amp;A1343&amp;", cot_blt_id = "&amp;B1343&amp;", cot_pap_id = "&amp;C1343&amp;", cot_prc_comum = "&amp;D1343&amp;", cot_prc_min = "&amp;E1343&amp;", cot_prc_max = "&amp;F1343&amp;", cot_prc_med = "&amp;G1343&amp;", cot_prc_mediana = "&amp;H1343&amp;" WHERE cot_id = "&amp;A1343&amp;";"</f>
        <v>UPDATE COTACAO SET cot_id = 1342, cot_blt_id = 71, cot_pap_id = 30, cot_prc_comum = 100, cot_prc_min = 80, cot_prc_max = 100, cot_prc_med = 93.33, cot_prc_mediana = 100 WHERE cot_id = 1342;</v>
      </c>
    </row>
    <row r="1344" customFormat="false" ht="14.25" hidden="false" customHeight="false" outlineLevel="0" collapsed="false">
      <c r="A1344" s="0" t="n">
        <v>1343</v>
      </c>
      <c r="B1344" s="0" t="n">
        <f aca="false">IF('Boletins Nuppa Site'!A1344&lt;&gt;0,'Boletins Nuppa Site'!A1344,"NULL")</f>
        <v>71</v>
      </c>
      <c r="C1344" s="0" t="n">
        <v>31</v>
      </c>
      <c r="D1344" s="0" t="str">
        <f aca="false">IF('Boletins Nuppa Site'!G1344&lt;&gt;0,'Boletins Nuppa Site'!G1344,"NULL")</f>
        <v>NULL</v>
      </c>
      <c r="E1344" s="30" t="n">
        <f aca="false">IF('Boletins Nuppa Site'!H1344&lt;&gt;0,'Boletins Nuppa Site'!H1344,"NULL")</f>
        <v>100</v>
      </c>
      <c r="F1344" s="30" t="n">
        <f aca="false">IF('Boletins Nuppa Site'!I1344&lt;&gt;0,'Boletins Nuppa Site'!I1344,"NULL")</f>
        <v>145</v>
      </c>
      <c r="G1344" s="0" t="str">
        <f aca="false">IF('Boletins Nuppa Site'!J1344&lt;&gt;0,'Boletins Nuppa Site'!J1344,"NULL")</f>
        <v>126.25</v>
      </c>
      <c r="H1344" s="30" t="n">
        <f aca="false">IF('Boletins Nuppa Site'!K1344&lt;&gt;0,'Boletins Nuppa Site'!K1344,"NULL")</f>
        <v>130</v>
      </c>
      <c r="I1344" s="0" t="str">
        <f aca="false">"INSERT INTO COTACAO (cot_id, cot_blt_id, cot_pap_id, cot_prc_comum, cot_prc_min, cot_prc_max, cot_prc_med, cot_prc_mediana) VALUES ("&amp;A1344&amp;", "&amp;B1344&amp;", "&amp;C1344&amp;", "&amp;D1344&amp;", "&amp;E1344&amp;", "&amp;F1344&amp;", "&amp;G1344&amp;", "&amp;H1344&amp;");"</f>
        <v>INSERT INTO COTACAO (cot_id, cot_blt_id, cot_pap_id, cot_prc_comum, cot_prc_min, cot_prc_max, cot_prc_med, cot_prc_mediana) VALUES (1343, 71, 31, NULL, 100, 145, 126.25, 130);</v>
      </c>
      <c r="J1344" s="0" t="str">
        <f aca="false">"UPDATE COTACAO SET cot_id = "&amp;A1344&amp;", cot_blt_id = "&amp;B1344&amp;", cot_pap_id = "&amp;C1344&amp;", cot_prc_comum = "&amp;D1344&amp;", cot_prc_min = "&amp;E1344&amp;", cot_prc_max = "&amp;F1344&amp;", cot_prc_med = "&amp;G1344&amp;", cot_prc_mediana = "&amp;H1344&amp;" WHERE cot_id = "&amp;A1344&amp;";"</f>
        <v>UPDATE COTACAO SET cot_id = 1343, cot_blt_id = 71, cot_pap_id = 31, cot_prc_comum = NULL, cot_prc_min = 100, cot_prc_max = 145, cot_prc_med = 126.25, cot_prc_mediana = 130 WHERE cot_id = 1343;</v>
      </c>
    </row>
    <row r="1345" customFormat="false" ht="14.25" hidden="false" customHeight="false" outlineLevel="0" collapsed="false">
      <c r="A1345" s="0" t="n">
        <v>1344</v>
      </c>
      <c r="B1345" s="0" t="n">
        <f aca="false">IF('Boletins Nuppa Site'!A1345&lt;&gt;0,'Boletins Nuppa Site'!A1345,"NULL")</f>
        <v>71</v>
      </c>
      <c r="C1345" s="0" t="n">
        <v>32</v>
      </c>
      <c r="D1345" s="30" t="n">
        <f aca="false">IF('Boletins Nuppa Site'!G1345&lt;&gt;0,'Boletins Nuppa Site'!G1345,"NULL")</f>
        <v>55</v>
      </c>
      <c r="E1345" s="30" t="n">
        <f aca="false">IF('Boletins Nuppa Site'!H1345&lt;&gt;0,'Boletins Nuppa Site'!H1345,"NULL")</f>
        <v>40</v>
      </c>
      <c r="F1345" s="30" t="n">
        <f aca="false">IF('Boletins Nuppa Site'!I1345&lt;&gt;0,'Boletins Nuppa Site'!I1345,"NULL")</f>
        <v>55</v>
      </c>
      <c r="G1345" s="30" t="n">
        <f aca="false">IF('Boletins Nuppa Site'!J1345&lt;&gt;0,'Boletins Nuppa Site'!J1345,"NULL")</f>
        <v>49</v>
      </c>
      <c r="H1345" s="30" t="n">
        <f aca="false">IF('Boletins Nuppa Site'!K1345&lt;&gt;0,'Boletins Nuppa Site'!K1345,"NULL")</f>
        <v>50</v>
      </c>
      <c r="I1345" s="0" t="str">
        <f aca="false">"INSERT INTO COTACAO (cot_id, cot_blt_id, cot_pap_id, cot_prc_comum, cot_prc_min, cot_prc_max, cot_prc_med, cot_prc_mediana) VALUES ("&amp;A1345&amp;", "&amp;B1345&amp;", "&amp;C1345&amp;", "&amp;D1345&amp;", "&amp;E1345&amp;", "&amp;F1345&amp;", "&amp;G1345&amp;", "&amp;H1345&amp;");"</f>
        <v>INSERT INTO COTACAO (cot_id, cot_blt_id, cot_pap_id, cot_prc_comum, cot_prc_min, cot_prc_max, cot_prc_med, cot_prc_mediana) VALUES (1344, 71, 32, 55, 40, 55, 49, 50);</v>
      </c>
      <c r="J1345" s="0" t="str">
        <f aca="false">"UPDATE COTACAO SET cot_id = "&amp;A1345&amp;", cot_blt_id = "&amp;B1345&amp;", cot_pap_id = "&amp;C1345&amp;", cot_prc_comum = "&amp;D1345&amp;", cot_prc_min = "&amp;E1345&amp;", cot_prc_max = "&amp;F1345&amp;", cot_prc_med = "&amp;G1345&amp;", cot_prc_mediana = "&amp;H1345&amp;" WHERE cot_id = "&amp;A1345&amp;";"</f>
        <v>UPDATE COTACAO SET cot_id = 1344, cot_blt_id = 71, cot_pap_id = 32, cot_prc_comum = 55, cot_prc_min = 40, cot_prc_max = 55, cot_prc_med = 49, cot_prc_mediana = 50 WHERE cot_id = 1344;</v>
      </c>
    </row>
    <row r="1346" customFormat="false" ht="14.25" hidden="false" customHeight="false" outlineLevel="0" collapsed="false">
      <c r="A1346" s="0" t="n">
        <v>1345</v>
      </c>
      <c r="B1346" s="0" t="n">
        <f aca="false">IF('Boletins Nuppa Site'!A1346&lt;&gt;0,'Boletins Nuppa Site'!A1346,"NULL")</f>
        <v>71</v>
      </c>
      <c r="C1346" s="0" t="n">
        <v>33</v>
      </c>
      <c r="D1346" s="30" t="n">
        <f aca="false">IF('Boletins Nuppa Site'!G1346&lt;&gt;0,'Boletins Nuppa Site'!G1346,"NULL")</f>
        <v>140</v>
      </c>
      <c r="E1346" s="30" t="n">
        <f aca="false">IF('Boletins Nuppa Site'!H1346&lt;&gt;0,'Boletins Nuppa Site'!H1346,"NULL")</f>
        <v>140</v>
      </c>
      <c r="F1346" s="30" t="n">
        <f aca="false">IF('Boletins Nuppa Site'!I1346&lt;&gt;0,'Boletins Nuppa Site'!I1346,"NULL")</f>
        <v>150</v>
      </c>
      <c r="G1346" s="30" t="n">
        <f aca="false">IF('Boletins Nuppa Site'!J1346&lt;&gt;0,'Boletins Nuppa Site'!J1346,"NULL")</f>
        <v>144</v>
      </c>
      <c r="H1346" s="30" t="n">
        <f aca="false">IF('Boletins Nuppa Site'!K1346&lt;&gt;0,'Boletins Nuppa Site'!K1346,"NULL")</f>
        <v>140</v>
      </c>
      <c r="I1346" s="0" t="str">
        <f aca="false">"INSERT INTO COTACAO (cot_id, cot_blt_id, cot_pap_id, cot_prc_comum, cot_prc_min, cot_prc_max, cot_prc_med, cot_prc_mediana) VALUES ("&amp;A1346&amp;", "&amp;B1346&amp;", "&amp;C1346&amp;", "&amp;D1346&amp;", "&amp;E1346&amp;", "&amp;F1346&amp;", "&amp;G1346&amp;", "&amp;H1346&amp;");"</f>
        <v>INSERT INTO COTACAO (cot_id, cot_blt_id, cot_pap_id, cot_prc_comum, cot_prc_min, cot_prc_max, cot_prc_med, cot_prc_mediana) VALUES (1345, 71, 33, 140, 140, 150, 144, 140);</v>
      </c>
      <c r="J1346" s="0" t="str">
        <f aca="false">"UPDATE COTACAO SET cot_id = "&amp;A1346&amp;", cot_blt_id = "&amp;B1346&amp;", cot_pap_id = "&amp;C1346&amp;", cot_prc_comum = "&amp;D1346&amp;", cot_prc_min = "&amp;E1346&amp;", cot_prc_max = "&amp;F1346&amp;", cot_prc_med = "&amp;G1346&amp;", cot_prc_mediana = "&amp;H1346&amp;" WHERE cot_id = "&amp;A1346&amp;";"</f>
        <v>UPDATE COTACAO SET cot_id = 1345, cot_blt_id = 71, cot_pap_id = 33, cot_prc_comum = 140, cot_prc_min = 140, cot_prc_max = 150, cot_prc_med = 144, cot_prc_mediana = 140 WHERE cot_id = 1345;</v>
      </c>
    </row>
    <row r="1347" customFormat="false" ht="14.25" hidden="false" customHeight="false" outlineLevel="0" collapsed="false">
      <c r="A1347" s="0" t="n">
        <v>1346</v>
      </c>
      <c r="B1347" s="0" t="n">
        <f aca="false">IF('Boletins Nuppa Site'!A1347&lt;&gt;0,'Boletins Nuppa Site'!A1347,"NULL")</f>
        <v>71</v>
      </c>
      <c r="C1347" s="0" t="n">
        <v>34</v>
      </c>
      <c r="D1347" s="30" t="n">
        <f aca="false">IF('Boletins Nuppa Site'!G1347&lt;&gt;0,'Boletins Nuppa Site'!G1347,"NULL")</f>
        <v>60</v>
      </c>
      <c r="E1347" s="30" t="n">
        <f aca="false">IF('Boletins Nuppa Site'!H1347&lt;&gt;0,'Boletins Nuppa Site'!H1347,"NULL")</f>
        <v>50</v>
      </c>
      <c r="F1347" s="30" t="n">
        <f aca="false">IF('Boletins Nuppa Site'!I1347&lt;&gt;0,'Boletins Nuppa Site'!I1347,"NULL")</f>
        <v>90</v>
      </c>
      <c r="G1347" s="30" t="n">
        <f aca="false">IF('Boletins Nuppa Site'!J1347&lt;&gt;0,'Boletins Nuppa Site'!J1347,"NULL")</f>
        <v>66</v>
      </c>
      <c r="H1347" s="30" t="n">
        <f aca="false">IF('Boletins Nuppa Site'!K1347&lt;&gt;0,'Boletins Nuppa Site'!K1347,"NULL")</f>
        <v>60</v>
      </c>
      <c r="I1347" s="0" t="str">
        <f aca="false">"INSERT INTO COTACAO (cot_id, cot_blt_id, cot_pap_id, cot_prc_comum, cot_prc_min, cot_prc_max, cot_prc_med, cot_prc_mediana) VALUES ("&amp;A1347&amp;", "&amp;B1347&amp;", "&amp;C1347&amp;", "&amp;D1347&amp;", "&amp;E1347&amp;", "&amp;F1347&amp;", "&amp;G1347&amp;", "&amp;H1347&amp;");"</f>
        <v>INSERT INTO COTACAO (cot_id, cot_blt_id, cot_pap_id, cot_prc_comum, cot_prc_min, cot_prc_max, cot_prc_med, cot_prc_mediana) VALUES (1346, 71, 34, 60, 50, 90, 66, 60);</v>
      </c>
      <c r="J1347" s="0" t="str">
        <f aca="false">"UPDATE COTACAO SET cot_id = "&amp;A1347&amp;", cot_blt_id = "&amp;B1347&amp;", cot_pap_id = "&amp;C1347&amp;", cot_prc_comum = "&amp;D1347&amp;", cot_prc_min = "&amp;E1347&amp;", cot_prc_max = "&amp;F1347&amp;", cot_prc_med = "&amp;G1347&amp;", cot_prc_mediana = "&amp;H1347&amp;" WHERE cot_id = "&amp;A1347&amp;";"</f>
        <v>UPDATE COTACAO SET cot_id = 1346, cot_blt_id = 71, cot_pap_id = 34, cot_prc_comum = 60, cot_prc_min = 50, cot_prc_max = 90, cot_prc_med = 66, cot_prc_mediana = 60 WHERE cot_id = 1346;</v>
      </c>
    </row>
    <row r="1348" customFormat="false" ht="14.25" hidden="false" customHeight="false" outlineLevel="0" collapsed="false">
      <c r="A1348" s="0" t="n">
        <v>1347</v>
      </c>
      <c r="B1348" s="0" t="n">
        <f aca="false">IF('Boletins Nuppa Site'!A1348&lt;&gt;0,'Boletins Nuppa Site'!A1348,"NULL")</f>
        <v>71</v>
      </c>
      <c r="C1348" s="0" t="n">
        <v>35</v>
      </c>
      <c r="D1348" s="0" t="str">
        <f aca="false">IF('Boletins Nuppa Site'!G1348&lt;&gt;0,'Boletins Nuppa Site'!G1348,"NULL")</f>
        <v>NULL</v>
      </c>
      <c r="E1348" s="30" t="n">
        <f aca="false">IF('Boletins Nuppa Site'!H1348&lt;&gt;0,'Boletins Nuppa Site'!H1348,"NULL")</f>
        <v>100</v>
      </c>
      <c r="F1348" s="30" t="n">
        <f aca="false">IF('Boletins Nuppa Site'!I1348&lt;&gt;0,'Boletins Nuppa Site'!I1348,"NULL")</f>
        <v>130</v>
      </c>
      <c r="G1348" s="0" t="str">
        <f aca="false">IF('Boletins Nuppa Site'!J1348&lt;&gt;0,'Boletins Nuppa Site'!J1348,"NULL")</f>
        <v>116.67</v>
      </c>
      <c r="H1348" s="30" t="n">
        <f aca="false">IF('Boletins Nuppa Site'!K1348&lt;&gt;0,'Boletins Nuppa Site'!K1348,"NULL")</f>
        <v>120</v>
      </c>
      <c r="I1348" s="0" t="str">
        <f aca="false">"INSERT INTO COTACAO (cot_id, cot_blt_id, cot_pap_id, cot_prc_comum, cot_prc_min, cot_prc_max, cot_prc_med, cot_prc_mediana) VALUES ("&amp;A1348&amp;", "&amp;B1348&amp;", "&amp;C1348&amp;", "&amp;D1348&amp;", "&amp;E1348&amp;", "&amp;F1348&amp;", "&amp;G1348&amp;", "&amp;H1348&amp;");"</f>
        <v>INSERT INTO COTACAO (cot_id, cot_blt_id, cot_pap_id, cot_prc_comum, cot_prc_min, cot_prc_max, cot_prc_med, cot_prc_mediana) VALUES (1347, 71, 35, NULL, 100, 130, 116.67, 120);</v>
      </c>
      <c r="J1348" s="0" t="str">
        <f aca="false">"UPDATE COTACAO SET cot_id = "&amp;A1348&amp;", cot_blt_id = "&amp;B1348&amp;", cot_pap_id = "&amp;C1348&amp;", cot_prc_comum = "&amp;D1348&amp;", cot_prc_min = "&amp;E1348&amp;", cot_prc_max = "&amp;F1348&amp;", cot_prc_med = "&amp;G1348&amp;", cot_prc_mediana = "&amp;H1348&amp;" WHERE cot_id = "&amp;A1348&amp;";"</f>
        <v>UPDATE COTACAO SET cot_id = 1347, cot_blt_id = 71, cot_pap_id = 35, cot_prc_comum = NULL, cot_prc_min = 100, cot_prc_max = 130, cot_prc_med = 116.67, cot_prc_mediana = 120 WHERE cot_id = 1347;</v>
      </c>
    </row>
    <row r="1349" customFormat="false" ht="14.25" hidden="false" customHeight="false" outlineLevel="0" collapsed="false">
      <c r="A1349" s="0" t="n">
        <v>1348</v>
      </c>
      <c r="B1349" s="0" t="n">
        <f aca="false">IF('Boletins Nuppa Site'!A1349&lt;&gt;0,'Boletins Nuppa Site'!A1349,"NULL")</f>
        <v>71</v>
      </c>
      <c r="C1349" s="0" t="n">
        <v>36</v>
      </c>
      <c r="D1349" s="0" t="str">
        <f aca="false">IF('Boletins Nuppa Site'!G1349&lt;&gt;0,'Boletins Nuppa Site'!G1349,"NULL")</f>
        <v>NULL</v>
      </c>
      <c r="E1349" s="0" t="str">
        <f aca="false">IF('Boletins Nuppa Site'!H1349&lt;&gt;0,'Boletins Nuppa Site'!H1349,"NULL")</f>
        <v>NULL</v>
      </c>
      <c r="F1349" s="0" t="str">
        <f aca="false">IF('Boletins Nuppa Site'!I1349&lt;&gt;0,'Boletins Nuppa Site'!I1349,"NULL")</f>
        <v>NULL</v>
      </c>
      <c r="G1349" s="0" t="str">
        <f aca="false">IF('Boletins Nuppa Site'!J1349&lt;&gt;0,'Boletins Nuppa Site'!J1349,"NULL")</f>
        <v>NULL</v>
      </c>
      <c r="H1349" s="0" t="str">
        <f aca="false">IF('Boletins Nuppa Site'!K1349&lt;&gt;0,'Boletins Nuppa Site'!K1349,"NULL")</f>
        <v>NULL</v>
      </c>
      <c r="I1349" s="0" t="str">
        <f aca="false">"INSERT INTO COTACAO (cot_id, cot_blt_id, cot_pap_id, cot_prc_comum, cot_prc_min, cot_prc_max, cot_prc_med, cot_prc_mediana) VALUES ("&amp;A1349&amp;", "&amp;B1349&amp;", "&amp;C1349&amp;", "&amp;D1349&amp;", "&amp;E1349&amp;", "&amp;F1349&amp;", "&amp;G1349&amp;", "&amp;H1349&amp;");"</f>
        <v>INSERT INTO COTACAO (cot_id, cot_blt_id, cot_pap_id, cot_prc_comum, cot_prc_min, cot_prc_max, cot_prc_med, cot_prc_mediana) VALUES (1348, 71, 36, NULL, NULL, NULL, NULL, NULL);</v>
      </c>
      <c r="J1349" s="0" t="str">
        <f aca="false">"UPDATE COTACAO SET cot_id = "&amp;A1349&amp;", cot_blt_id = "&amp;B1349&amp;", cot_pap_id = "&amp;C1349&amp;", cot_prc_comum = "&amp;D1349&amp;", cot_prc_min = "&amp;E1349&amp;", cot_prc_max = "&amp;F1349&amp;", cot_prc_med = "&amp;G1349&amp;", cot_prc_mediana = "&amp;H1349&amp;" WHERE cot_id = "&amp;A1349&amp;";"</f>
        <v>UPDATE COTACAO SET cot_id = 1348, cot_blt_id = 71, cot_pap_id = 36, cot_prc_comum = NULL, cot_prc_min = NULL, cot_prc_max = NULL, cot_prc_med = NULL, cot_prc_mediana = NULL WHERE cot_id = 1348;</v>
      </c>
    </row>
    <row r="1350" customFormat="false" ht="14.25" hidden="false" customHeight="false" outlineLevel="0" collapsed="false">
      <c r="A1350" s="0" t="n">
        <v>1349</v>
      </c>
      <c r="B1350" s="0" t="n">
        <f aca="false">IF('Boletins Nuppa Site'!A1350&lt;&gt;0,'Boletins Nuppa Site'!A1350,"NULL")</f>
        <v>71</v>
      </c>
      <c r="C1350" s="0" t="n">
        <v>37</v>
      </c>
      <c r="D1350" s="0" t="str">
        <f aca="false">IF('Boletins Nuppa Site'!G1350&lt;&gt;0,'Boletins Nuppa Site'!G1350,"NULL")</f>
        <v>NULL</v>
      </c>
      <c r="E1350" s="0" t="str">
        <f aca="false">IF('Boletins Nuppa Site'!H1350&lt;&gt;0,'Boletins Nuppa Site'!H1350,"NULL")</f>
        <v>NULL</v>
      </c>
      <c r="F1350" s="0" t="str">
        <f aca="false">IF('Boletins Nuppa Site'!I1350&lt;&gt;0,'Boletins Nuppa Site'!I1350,"NULL")</f>
        <v>NULL</v>
      </c>
      <c r="G1350" s="0" t="str">
        <f aca="false">IF('Boletins Nuppa Site'!J1350&lt;&gt;0,'Boletins Nuppa Site'!J1350,"NULL")</f>
        <v>NULL</v>
      </c>
      <c r="H1350" s="0" t="str">
        <f aca="false">IF('Boletins Nuppa Site'!K1350&lt;&gt;0,'Boletins Nuppa Site'!K1350,"NULL")</f>
        <v>NULL</v>
      </c>
      <c r="I1350" s="0" t="str">
        <f aca="false">"INSERT INTO COTACAO (cot_id, cot_blt_id, cot_pap_id, cot_prc_comum, cot_prc_min, cot_prc_max, cot_prc_med, cot_prc_mediana) VALUES ("&amp;A1350&amp;", "&amp;B1350&amp;", "&amp;C1350&amp;", "&amp;D1350&amp;", "&amp;E1350&amp;", "&amp;F1350&amp;", "&amp;G1350&amp;", "&amp;H1350&amp;");"</f>
        <v>INSERT INTO COTACAO (cot_id, cot_blt_id, cot_pap_id, cot_prc_comum, cot_prc_min, cot_prc_max, cot_prc_med, cot_prc_mediana) VALUES (1349, 71, 37, NULL, NULL, NULL, NULL, NULL);</v>
      </c>
      <c r="J1350" s="0" t="str">
        <f aca="false">"UPDATE COTACAO SET cot_id = "&amp;A1350&amp;", cot_blt_id = "&amp;B1350&amp;", cot_pap_id = "&amp;C1350&amp;", cot_prc_comum = "&amp;D1350&amp;", cot_prc_min = "&amp;E1350&amp;", cot_prc_max = "&amp;F1350&amp;", cot_prc_med = "&amp;G1350&amp;", cot_prc_mediana = "&amp;H1350&amp;" WHERE cot_id = "&amp;A1350&amp;";"</f>
        <v>UPDATE COTACAO SET cot_id = 1349, cot_blt_id = 71, cot_pap_id = 37, cot_prc_comum = NULL, cot_prc_min = NULL, cot_prc_max = NULL, cot_prc_med = NULL, cot_prc_mediana = NULL WHERE cot_id = 1349;</v>
      </c>
    </row>
    <row r="1351" customFormat="false" ht="14.25" hidden="false" customHeight="false" outlineLevel="0" collapsed="false">
      <c r="A1351" s="0" t="n">
        <v>1350</v>
      </c>
      <c r="B1351" s="0" t="n">
        <f aca="false">IF('Boletins Nuppa Site'!A1351&lt;&gt;0,'Boletins Nuppa Site'!A1351,"NULL")</f>
        <v>71</v>
      </c>
      <c r="C1351" s="0" t="n">
        <v>38</v>
      </c>
      <c r="D1351" s="0" t="str">
        <f aca="false">IF('Boletins Nuppa Site'!G1351&lt;&gt;0,'Boletins Nuppa Site'!G1351,"NULL")</f>
        <v>NULL</v>
      </c>
      <c r="E1351" s="0" t="str">
        <f aca="false">IF('Boletins Nuppa Site'!H1351&lt;&gt;0,'Boletins Nuppa Site'!H1351,"NULL")</f>
        <v>NULL</v>
      </c>
      <c r="F1351" s="0" t="str">
        <f aca="false">IF('Boletins Nuppa Site'!I1351&lt;&gt;0,'Boletins Nuppa Site'!I1351,"NULL")</f>
        <v>NULL</v>
      </c>
      <c r="G1351" s="0" t="str">
        <f aca="false">IF('Boletins Nuppa Site'!J1351&lt;&gt;0,'Boletins Nuppa Site'!J1351,"NULL")</f>
        <v>NULL</v>
      </c>
      <c r="H1351" s="0" t="str">
        <f aca="false">IF('Boletins Nuppa Site'!K1351&lt;&gt;0,'Boletins Nuppa Site'!K1351,"NULL")</f>
        <v>NULL</v>
      </c>
      <c r="I1351" s="0" t="str">
        <f aca="false">"INSERT INTO COTACAO (cot_id, cot_blt_id, cot_pap_id, cot_prc_comum, cot_prc_min, cot_prc_max, cot_prc_med, cot_prc_mediana) VALUES ("&amp;A1351&amp;", "&amp;B1351&amp;", "&amp;C1351&amp;", "&amp;D1351&amp;", "&amp;E1351&amp;", "&amp;F1351&amp;", "&amp;G1351&amp;", "&amp;H1351&amp;");"</f>
        <v>INSERT INTO COTACAO (cot_id, cot_blt_id, cot_pap_id, cot_prc_comum, cot_prc_min, cot_prc_max, cot_prc_med, cot_prc_mediana) VALUES (1350, 71, 38, NULL, NULL, NULL, NULL, NULL);</v>
      </c>
      <c r="J1351" s="0" t="str">
        <f aca="false">"UPDATE COTACAO SET cot_id = "&amp;A1351&amp;", cot_blt_id = "&amp;B1351&amp;", cot_pap_id = "&amp;C1351&amp;", cot_prc_comum = "&amp;D1351&amp;", cot_prc_min = "&amp;E1351&amp;", cot_prc_max = "&amp;F1351&amp;", cot_prc_med = "&amp;G1351&amp;", cot_prc_mediana = "&amp;H1351&amp;" WHERE cot_id = "&amp;A1351&amp;";"</f>
        <v>UPDATE COTACAO SET cot_id = 1350, cot_blt_id = 71, cot_pap_id = 38, cot_prc_comum = NULL, cot_prc_min = NULL, cot_prc_max = NULL, cot_prc_med = NULL, cot_prc_mediana = NULL WHERE cot_id = 1350;</v>
      </c>
    </row>
    <row r="1352" customFormat="false" ht="14.25" hidden="false" customHeight="false" outlineLevel="0" collapsed="false">
      <c r="A1352" s="0" t="n">
        <v>1351</v>
      </c>
      <c r="B1352" s="0" t="n">
        <f aca="false">IF('Boletins Nuppa Site'!A1352&lt;&gt;0,'Boletins Nuppa Site'!A1352,"NULL")</f>
        <v>71</v>
      </c>
      <c r="C1352" s="0" t="n">
        <v>39</v>
      </c>
      <c r="D1352" s="0" t="str">
        <f aca="false">IF('Boletins Nuppa Site'!G1352&lt;&gt;0,'Boletins Nuppa Site'!G1352,"NULL")</f>
        <v>NULL</v>
      </c>
      <c r="E1352" s="30" t="n">
        <f aca="false">IF('Boletins Nuppa Site'!H1352&lt;&gt;0,'Boletins Nuppa Site'!H1352,"NULL")</f>
        <v>50</v>
      </c>
      <c r="F1352" s="30" t="n">
        <f aca="false">IF('Boletins Nuppa Site'!I1352&lt;&gt;0,'Boletins Nuppa Site'!I1352,"NULL")</f>
        <v>50</v>
      </c>
      <c r="G1352" s="30" t="n">
        <f aca="false">IF('Boletins Nuppa Site'!J1352&lt;&gt;0,'Boletins Nuppa Site'!J1352,"NULL")</f>
        <v>50</v>
      </c>
      <c r="H1352" s="30" t="n">
        <f aca="false">IF('Boletins Nuppa Site'!K1352&lt;&gt;0,'Boletins Nuppa Site'!K1352,"NULL")</f>
        <v>50</v>
      </c>
      <c r="I1352" s="0" t="str">
        <f aca="false">"INSERT INTO COTACAO (cot_id, cot_blt_id, cot_pap_id, cot_prc_comum, cot_prc_min, cot_prc_max, cot_prc_med, cot_prc_mediana) VALUES ("&amp;A1352&amp;", "&amp;B1352&amp;", "&amp;C1352&amp;", "&amp;D1352&amp;", "&amp;E1352&amp;", "&amp;F1352&amp;", "&amp;G1352&amp;", "&amp;H1352&amp;");"</f>
        <v>INSERT INTO COTACAO (cot_id, cot_blt_id, cot_pap_id, cot_prc_comum, cot_prc_min, cot_prc_max, cot_prc_med, cot_prc_mediana) VALUES (1351, 71, 39, NULL, 50, 50, 50, 50);</v>
      </c>
      <c r="J1352" s="0" t="str">
        <f aca="false">"UPDATE COTACAO SET cot_id = "&amp;A1352&amp;", cot_blt_id = "&amp;B1352&amp;", cot_pap_id = "&amp;C1352&amp;", cot_prc_comum = "&amp;D1352&amp;", cot_prc_min = "&amp;E1352&amp;", cot_prc_max = "&amp;F1352&amp;", cot_prc_med = "&amp;G1352&amp;", cot_prc_mediana = "&amp;H1352&amp;" WHERE cot_id = "&amp;A1352&amp;";"</f>
        <v>UPDATE COTACAO SET cot_id = 1351, cot_blt_id = 71, cot_pap_id = 39, cot_prc_comum = NULL, cot_prc_min = 50, cot_prc_max = 50, cot_prc_med = 50, cot_prc_mediana = 50 WHERE cot_id = 1351;</v>
      </c>
    </row>
    <row r="1353" customFormat="false" ht="14.25" hidden="false" customHeight="false" outlineLevel="0" collapsed="false">
      <c r="A1353" s="0" t="n">
        <v>1352</v>
      </c>
      <c r="B1353" s="0" t="n">
        <f aca="false">IF('Boletins Nuppa Site'!A1353&lt;&gt;0,'Boletins Nuppa Site'!A1353,"NULL")</f>
        <v>71</v>
      </c>
      <c r="C1353" s="0" t="n">
        <v>40</v>
      </c>
      <c r="D1353" s="0" t="str">
        <f aca="false">IF('Boletins Nuppa Site'!G1353&lt;&gt;0,'Boletins Nuppa Site'!G1353,"NULL")</f>
        <v>NULL</v>
      </c>
      <c r="E1353" s="0" t="str">
        <f aca="false">IF('Boletins Nuppa Site'!H1353&lt;&gt;0,'Boletins Nuppa Site'!H1353,"NULL")</f>
        <v>NULL</v>
      </c>
      <c r="F1353" s="0" t="str">
        <f aca="false">IF('Boletins Nuppa Site'!I1353&lt;&gt;0,'Boletins Nuppa Site'!I1353,"NULL")</f>
        <v>NULL</v>
      </c>
      <c r="G1353" s="0" t="str">
        <f aca="false">IF('Boletins Nuppa Site'!J1353&lt;&gt;0,'Boletins Nuppa Site'!J1353,"NULL")</f>
        <v>NULL</v>
      </c>
      <c r="H1353" s="0" t="str">
        <f aca="false">IF('Boletins Nuppa Site'!K1353&lt;&gt;0,'Boletins Nuppa Site'!K1353,"NULL")</f>
        <v>NULL</v>
      </c>
      <c r="I1353" s="0" t="str">
        <f aca="false">"INSERT INTO COTACAO (cot_id, cot_blt_id, cot_pap_id, cot_prc_comum, cot_prc_min, cot_prc_max, cot_prc_med, cot_prc_mediana) VALUES ("&amp;A1353&amp;", "&amp;B1353&amp;", "&amp;C1353&amp;", "&amp;D1353&amp;", "&amp;E1353&amp;", "&amp;F1353&amp;", "&amp;G1353&amp;", "&amp;H1353&amp;");"</f>
        <v>INSERT INTO COTACAO (cot_id, cot_blt_id, cot_pap_id, cot_prc_comum, cot_prc_min, cot_prc_max, cot_prc_med, cot_prc_mediana) VALUES (1352, 71, 40, NULL, NULL, NULL, NULL, NULL);</v>
      </c>
      <c r="J1353" s="0" t="str">
        <f aca="false">"UPDATE COTACAO SET cot_id = "&amp;A1353&amp;", cot_blt_id = "&amp;B1353&amp;", cot_pap_id = "&amp;C1353&amp;", cot_prc_comum = "&amp;D1353&amp;", cot_prc_min = "&amp;E1353&amp;", cot_prc_max = "&amp;F1353&amp;", cot_prc_med = "&amp;G1353&amp;", cot_prc_mediana = "&amp;H1353&amp;" WHERE cot_id = "&amp;A1353&amp;";"</f>
        <v>UPDATE COTACAO SET cot_id = 1352, cot_blt_id = 71, cot_pap_id = 40, cot_prc_comum = NULL, cot_prc_min = NULL, cot_prc_max = NULL, cot_prc_med = NULL, cot_prc_mediana = NULL WHERE cot_id = 1352;</v>
      </c>
    </row>
    <row r="1354" customFormat="false" ht="14.25" hidden="false" customHeight="false" outlineLevel="0" collapsed="false">
      <c r="A1354" s="0" t="n">
        <v>1353</v>
      </c>
      <c r="B1354" s="0" t="n">
        <f aca="false">IF('Boletins Nuppa Site'!A1354&lt;&gt;0,'Boletins Nuppa Site'!A1354,"NULL")</f>
        <v>72</v>
      </c>
      <c r="C1354" s="0" t="n">
        <v>1</v>
      </c>
      <c r="D1354" s="30" t="n">
        <f aca="false">IF('Boletins Nuppa Site'!G1354&lt;&gt;0,'Boletins Nuppa Site'!G1354,"NULL")</f>
        <v>48</v>
      </c>
      <c r="E1354" s="30" t="n">
        <f aca="false">IF('Boletins Nuppa Site'!H1354&lt;&gt;0,'Boletins Nuppa Site'!H1354,"NULL")</f>
        <v>48</v>
      </c>
      <c r="F1354" s="30" t="n">
        <f aca="false">IF('Boletins Nuppa Site'!I1354&lt;&gt;0,'Boletins Nuppa Site'!I1354,"NULL")</f>
        <v>60</v>
      </c>
      <c r="G1354" s="30" t="n">
        <f aca="false">IF('Boletins Nuppa Site'!J1354&lt;&gt;0,'Boletins Nuppa Site'!J1354,"NULL")</f>
        <v>51</v>
      </c>
      <c r="H1354" s="30" t="n">
        <f aca="false">IF('Boletins Nuppa Site'!K1354&lt;&gt;0,'Boletins Nuppa Site'!K1354,"NULL")</f>
        <v>48</v>
      </c>
      <c r="I1354" s="0" t="str">
        <f aca="false">"INSERT INTO COTACAO (cot_id, cot_blt_id, cot_pap_id, cot_prc_comum, cot_prc_min, cot_prc_max, cot_prc_med, cot_prc_mediana) VALUES ("&amp;A1354&amp;", "&amp;B1354&amp;", "&amp;C1354&amp;", "&amp;D1354&amp;", "&amp;E1354&amp;", "&amp;F1354&amp;", "&amp;G1354&amp;", "&amp;H1354&amp;");"</f>
        <v>INSERT INTO COTACAO (cot_id, cot_blt_id, cot_pap_id, cot_prc_comum, cot_prc_min, cot_prc_max, cot_prc_med, cot_prc_mediana) VALUES (1353, 72, 1, 48, 48, 60, 51, 48);</v>
      </c>
      <c r="J1354" s="0" t="str">
        <f aca="false">"UPDATE COTACAO SET cot_id = "&amp;A1354&amp;", cot_blt_id = "&amp;B1354&amp;", cot_pap_id = "&amp;C1354&amp;", cot_prc_comum = "&amp;D1354&amp;", cot_prc_min = "&amp;E1354&amp;", cot_prc_max = "&amp;F1354&amp;", cot_prc_med = "&amp;G1354&amp;", cot_prc_mediana = "&amp;H1354&amp;" WHERE cot_id = "&amp;A1354&amp;";"</f>
        <v>UPDATE COTACAO SET cot_id = 1353, cot_blt_id = 72, cot_pap_id = 1, cot_prc_comum = 48, cot_prc_min = 48, cot_prc_max = 60, cot_prc_med = 51, cot_prc_mediana = 48 WHERE cot_id = 1353;</v>
      </c>
    </row>
    <row r="1355" customFormat="false" ht="14.25" hidden="false" customHeight="false" outlineLevel="0" collapsed="false">
      <c r="A1355" s="0" t="n">
        <v>1354</v>
      </c>
      <c r="B1355" s="0" t="n">
        <f aca="false">IF('Boletins Nuppa Site'!A1355&lt;&gt;0,'Boletins Nuppa Site'!A1355,"NULL")</f>
        <v>72</v>
      </c>
      <c r="C1355" s="0" t="n">
        <v>2</v>
      </c>
      <c r="D1355" s="30" t="n">
        <f aca="false">IF('Boletins Nuppa Site'!G1355&lt;&gt;0,'Boletins Nuppa Site'!G1355,"NULL")</f>
        <v>72</v>
      </c>
      <c r="E1355" s="30" t="n">
        <f aca="false">IF('Boletins Nuppa Site'!H1355&lt;&gt;0,'Boletins Nuppa Site'!H1355,"NULL")</f>
        <v>72</v>
      </c>
      <c r="F1355" s="30" t="n">
        <f aca="false">IF('Boletins Nuppa Site'!I1355&lt;&gt;0,'Boletins Nuppa Site'!I1355,"NULL")</f>
        <v>84</v>
      </c>
      <c r="G1355" s="30" t="n">
        <f aca="false">IF('Boletins Nuppa Site'!J1355&lt;&gt;0,'Boletins Nuppa Site'!J1355,"NULL")</f>
        <v>76</v>
      </c>
      <c r="H1355" s="30" t="n">
        <f aca="false">IF('Boletins Nuppa Site'!K1355&lt;&gt;0,'Boletins Nuppa Site'!K1355,"NULL")</f>
        <v>72</v>
      </c>
      <c r="I1355" s="0" t="str">
        <f aca="false">"INSERT INTO COTACAO (cot_id, cot_blt_id, cot_pap_id, cot_prc_comum, cot_prc_min, cot_prc_max, cot_prc_med, cot_prc_mediana) VALUES ("&amp;A1355&amp;", "&amp;B1355&amp;", "&amp;C1355&amp;", "&amp;D1355&amp;", "&amp;E1355&amp;", "&amp;F1355&amp;", "&amp;G1355&amp;", "&amp;H1355&amp;");"</f>
        <v>INSERT INTO COTACAO (cot_id, cot_blt_id, cot_pap_id, cot_prc_comum, cot_prc_min, cot_prc_max, cot_prc_med, cot_prc_mediana) VALUES (1354, 72, 2, 72, 72, 84, 76, 72);</v>
      </c>
      <c r="J1355" s="0" t="str">
        <f aca="false">"UPDATE COTACAO SET cot_id = "&amp;A1355&amp;", cot_blt_id = "&amp;B1355&amp;", cot_pap_id = "&amp;C1355&amp;", cot_prc_comum = "&amp;D1355&amp;", cot_prc_min = "&amp;E1355&amp;", cot_prc_max = "&amp;F1355&amp;", cot_prc_med = "&amp;G1355&amp;", cot_prc_mediana = "&amp;H1355&amp;" WHERE cot_id = "&amp;A1355&amp;";"</f>
        <v>UPDATE COTACAO SET cot_id = 1354, cot_blt_id = 72, cot_pap_id = 2, cot_prc_comum = 72, cot_prc_min = 72, cot_prc_max = 84, cot_prc_med = 76, cot_prc_mediana = 72 WHERE cot_id = 1354;</v>
      </c>
    </row>
    <row r="1356" customFormat="false" ht="14.25" hidden="false" customHeight="false" outlineLevel="0" collapsed="false">
      <c r="A1356" s="0" t="n">
        <v>1355</v>
      </c>
      <c r="B1356" s="0" t="n">
        <f aca="false">IF('Boletins Nuppa Site'!A1356&lt;&gt;0,'Boletins Nuppa Site'!A1356,"NULL")</f>
        <v>72</v>
      </c>
      <c r="C1356" s="0" t="n">
        <v>3</v>
      </c>
      <c r="D1356" s="30" t="n">
        <f aca="false">IF('Boletins Nuppa Site'!G1356&lt;&gt;0,'Boletins Nuppa Site'!G1356,"NULL")</f>
        <v>30</v>
      </c>
      <c r="E1356" s="30" t="n">
        <f aca="false">IF('Boletins Nuppa Site'!H1356&lt;&gt;0,'Boletins Nuppa Site'!H1356,"NULL")</f>
        <v>30</v>
      </c>
      <c r="F1356" s="30" t="n">
        <f aca="false">IF('Boletins Nuppa Site'!I1356&lt;&gt;0,'Boletins Nuppa Site'!I1356,"NULL")</f>
        <v>36</v>
      </c>
      <c r="G1356" s="30" t="n">
        <f aca="false">IF('Boletins Nuppa Site'!J1356&lt;&gt;0,'Boletins Nuppa Site'!J1356,"NULL")</f>
        <v>33</v>
      </c>
      <c r="H1356" s="30" t="n">
        <f aca="false">IF('Boletins Nuppa Site'!K1356&lt;&gt;0,'Boletins Nuppa Site'!K1356,"NULL")</f>
        <v>33</v>
      </c>
      <c r="I1356" s="0" t="str">
        <f aca="false">"INSERT INTO COTACAO (cot_id, cot_blt_id, cot_pap_id, cot_prc_comum, cot_prc_min, cot_prc_max, cot_prc_med, cot_prc_mediana) VALUES ("&amp;A1356&amp;", "&amp;B1356&amp;", "&amp;C1356&amp;", "&amp;D1356&amp;", "&amp;E1356&amp;", "&amp;F1356&amp;", "&amp;G1356&amp;", "&amp;H1356&amp;");"</f>
        <v>INSERT INTO COTACAO (cot_id, cot_blt_id, cot_pap_id, cot_prc_comum, cot_prc_min, cot_prc_max, cot_prc_med, cot_prc_mediana) VALUES (1355, 72, 3, 30, 30, 36, 33, 33);</v>
      </c>
      <c r="J1356" s="0" t="str">
        <f aca="false">"UPDATE COTACAO SET cot_id = "&amp;A1356&amp;", cot_blt_id = "&amp;B1356&amp;", cot_pap_id = "&amp;C1356&amp;", cot_prc_comum = "&amp;D1356&amp;", cot_prc_min = "&amp;E1356&amp;", cot_prc_max = "&amp;F1356&amp;", cot_prc_med = "&amp;G1356&amp;", cot_prc_mediana = "&amp;H1356&amp;" WHERE cot_id = "&amp;A1356&amp;";"</f>
        <v>UPDATE COTACAO SET cot_id = 1355, cot_blt_id = 72, cot_pap_id = 3, cot_prc_comum = 30, cot_prc_min = 30, cot_prc_max = 36, cot_prc_med = 33, cot_prc_mediana = 33 WHERE cot_id = 1355;</v>
      </c>
    </row>
    <row r="1357" customFormat="false" ht="14.25" hidden="false" customHeight="false" outlineLevel="0" collapsed="false">
      <c r="A1357" s="0" t="n">
        <v>1356</v>
      </c>
      <c r="B1357" s="0" t="n">
        <f aca="false">IF('Boletins Nuppa Site'!A1357&lt;&gt;0,'Boletins Nuppa Site'!A1357,"NULL")</f>
        <v>72</v>
      </c>
      <c r="C1357" s="0" t="n">
        <v>4</v>
      </c>
      <c r="D1357" s="30" t="n">
        <f aca="false">IF('Boletins Nuppa Site'!G1357&lt;&gt;0,'Boletins Nuppa Site'!G1357,"NULL")</f>
        <v>24</v>
      </c>
      <c r="E1357" s="30" t="n">
        <f aca="false">IF('Boletins Nuppa Site'!H1357&lt;&gt;0,'Boletins Nuppa Site'!H1357,"NULL")</f>
        <v>18</v>
      </c>
      <c r="F1357" s="30" t="n">
        <f aca="false">IF('Boletins Nuppa Site'!I1357&lt;&gt;0,'Boletins Nuppa Site'!I1357,"NULL")</f>
        <v>24</v>
      </c>
      <c r="G1357" s="0" t="str">
        <f aca="false">IF('Boletins Nuppa Site'!J1357&lt;&gt;0,'Boletins Nuppa Site'!J1357,"NULL")</f>
        <v>21.5</v>
      </c>
      <c r="H1357" s="30" t="n">
        <f aca="false">IF('Boletins Nuppa Site'!K1357&lt;&gt;0,'Boletins Nuppa Site'!K1357,"NULL")</f>
        <v>22</v>
      </c>
      <c r="I1357" s="0" t="str">
        <f aca="false">"INSERT INTO COTACAO (cot_id, cot_blt_id, cot_pap_id, cot_prc_comum, cot_prc_min, cot_prc_max, cot_prc_med, cot_prc_mediana) VALUES ("&amp;A1357&amp;", "&amp;B1357&amp;", "&amp;C1357&amp;", "&amp;D1357&amp;", "&amp;E1357&amp;", "&amp;F1357&amp;", "&amp;G1357&amp;", "&amp;H1357&amp;");"</f>
        <v>INSERT INTO COTACAO (cot_id, cot_blt_id, cot_pap_id, cot_prc_comum, cot_prc_min, cot_prc_max, cot_prc_med, cot_prc_mediana) VALUES (1356, 72, 4, 24, 18, 24, 21.5, 22);</v>
      </c>
      <c r="J1357" s="0" t="str">
        <f aca="false">"UPDATE COTACAO SET cot_id = "&amp;A1357&amp;", cot_blt_id = "&amp;B1357&amp;", cot_pap_id = "&amp;C1357&amp;", cot_prc_comum = "&amp;D1357&amp;", cot_prc_min = "&amp;E1357&amp;", cot_prc_max = "&amp;F1357&amp;", cot_prc_med = "&amp;G1357&amp;", cot_prc_mediana = "&amp;H1357&amp;" WHERE cot_id = "&amp;A1357&amp;";"</f>
        <v>UPDATE COTACAO SET cot_id = 1356, cot_blt_id = 72, cot_pap_id = 4, cot_prc_comum = 24, cot_prc_min = 18, cot_prc_max = 24, cot_prc_med = 21.5, cot_prc_mediana = 22 WHERE cot_id = 1356;</v>
      </c>
    </row>
    <row r="1358" customFormat="false" ht="14.25" hidden="false" customHeight="false" outlineLevel="0" collapsed="false">
      <c r="A1358" s="0" t="n">
        <v>1357</v>
      </c>
      <c r="B1358" s="0" t="n">
        <f aca="false">IF('Boletins Nuppa Site'!A1358&lt;&gt;0,'Boletins Nuppa Site'!A1358,"NULL")</f>
        <v>72</v>
      </c>
      <c r="C1358" s="0" t="n">
        <v>5</v>
      </c>
      <c r="D1358" s="30" t="n">
        <f aca="false">IF('Boletins Nuppa Site'!G1358&lt;&gt;0,'Boletins Nuppa Site'!G1358,"NULL")</f>
        <v>24</v>
      </c>
      <c r="E1358" s="30" t="n">
        <f aca="false">IF('Boletins Nuppa Site'!H1358&lt;&gt;0,'Boletins Nuppa Site'!H1358,"NULL")</f>
        <v>18</v>
      </c>
      <c r="F1358" s="30" t="n">
        <f aca="false">IF('Boletins Nuppa Site'!I1358&lt;&gt;0,'Boletins Nuppa Site'!I1358,"NULL")</f>
        <v>24</v>
      </c>
      <c r="G1358" s="0" t="str">
        <f aca="false">IF('Boletins Nuppa Site'!J1358&lt;&gt;0,'Boletins Nuppa Site'!J1358,"NULL")</f>
        <v>21.5</v>
      </c>
      <c r="H1358" s="30" t="n">
        <f aca="false">IF('Boletins Nuppa Site'!K1358&lt;&gt;0,'Boletins Nuppa Site'!K1358,"NULL")</f>
        <v>22</v>
      </c>
      <c r="I1358" s="0" t="str">
        <f aca="false">"INSERT INTO COTACAO (cot_id, cot_blt_id, cot_pap_id, cot_prc_comum, cot_prc_min, cot_prc_max, cot_prc_med, cot_prc_mediana) VALUES ("&amp;A1358&amp;", "&amp;B1358&amp;", "&amp;C1358&amp;", "&amp;D1358&amp;", "&amp;E1358&amp;", "&amp;F1358&amp;", "&amp;G1358&amp;", "&amp;H1358&amp;");"</f>
        <v>INSERT INTO COTACAO (cot_id, cot_blt_id, cot_pap_id, cot_prc_comum, cot_prc_min, cot_prc_max, cot_prc_med, cot_prc_mediana) VALUES (1357, 72, 5, 24, 18, 24, 21.5, 22);</v>
      </c>
      <c r="J1358" s="0" t="str">
        <f aca="false">"UPDATE COTACAO SET cot_id = "&amp;A1358&amp;", cot_blt_id = "&amp;B1358&amp;", cot_pap_id = "&amp;C1358&amp;", cot_prc_comum = "&amp;D1358&amp;", cot_prc_min = "&amp;E1358&amp;", cot_prc_max = "&amp;F1358&amp;", cot_prc_med = "&amp;G1358&amp;", cot_prc_mediana = "&amp;H1358&amp;" WHERE cot_id = "&amp;A1358&amp;";"</f>
        <v>UPDATE COTACAO SET cot_id = 1357, cot_blt_id = 72, cot_pap_id = 5, cot_prc_comum = 24, cot_prc_min = 18, cot_prc_max = 24, cot_prc_med = 21.5, cot_prc_mediana = 22 WHERE cot_id = 1357;</v>
      </c>
    </row>
    <row r="1359" customFormat="false" ht="14.25" hidden="false" customHeight="false" outlineLevel="0" collapsed="false">
      <c r="A1359" s="0" t="n">
        <v>1358</v>
      </c>
      <c r="B1359" s="0" t="n">
        <f aca="false">IF('Boletins Nuppa Site'!A1359&lt;&gt;0,'Boletins Nuppa Site'!A1359,"NULL")</f>
        <v>72</v>
      </c>
      <c r="C1359" s="0" t="n">
        <v>6</v>
      </c>
      <c r="D1359" s="30" t="n">
        <f aca="false">IF('Boletins Nuppa Site'!G1359&lt;&gt;0,'Boletins Nuppa Site'!G1359,"NULL")</f>
        <v>48</v>
      </c>
      <c r="E1359" s="30" t="n">
        <f aca="false">IF('Boletins Nuppa Site'!H1359&lt;&gt;0,'Boletins Nuppa Site'!H1359,"NULL")</f>
        <v>48</v>
      </c>
      <c r="F1359" s="30" t="n">
        <f aca="false">IF('Boletins Nuppa Site'!I1359&lt;&gt;0,'Boletins Nuppa Site'!I1359,"NULL")</f>
        <v>60</v>
      </c>
      <c r="G1359" s="30" t="n">
        <f aca="false">IF('Boletins Nuppa Site'!J1359&lt;&gt;0,'Boletins Nuppa Site'!J1359,"NULL")</f>
        <v>52</v>
      </c>
      <c r="H1359" s="30" t="n">
        <f aca="false">IF('Boletins Nuppa Site'!K1359&lt;&gt;0,'Boletins Nuppa Site'!K1359,"NULL")</f>
        <v>48</v>
      </c>
      <c r="I1359" s="0" t="str">
        <f aca="false">"INSERT INTO COTACAO (cot_id, cot_blt_id, cot_pap_id, cot_prc_comum, cot_prc_min, cot_prc_max, cot_prc_med, cot_prc_mediana) VALUES ("&amp;A1359&amp;", "&amp;B1359&amp;", "&amp;C1359&amp;", "&amp;D1359&amp;", "&amp;E1359&amp;", "&amp;F1359&amp;", "&amp;G1359&amp;", "&amp;H1359&amp;");"</f>
        <v>INSERT INTO COTACAO (cot_id, cot_blt_id, cot_pap_id, cot_prc_comum, cot_prc_min, cot_prc_max, cot_prc_med, cot_prc_mediana) VALUES (1358, 72, 6, 48, 48, 60, 52, 48);</v>
      </c>
      <c r="J1359" s="0" t="str">
        <f aca="false">"UPDATE COTACAO SET cot_id = "&amp;A1359&amp;", cot_blt_id = "&amp;B1359&amp;", cot_pap_id = "&amp;C1359&amp;", cot_prc_comum = "&amp;D1359&amp;", cot_prc_min = "&amp;E1359&amp;", cot_prc_max = "&amp;F1359&amp;", cot_prc_med = "&amp;G1359&amp;", cot_prc_mediana = "&amp;H1359&amp;" WHERE cot_id = "&amp;A1359&amp;";"</f>
        <v>UPDATE COTACAO SET cot_id = 1358, cot_blt_id = 72, cot_pap_id = 6, cot_prc_comum = 48, cot_prc_min = 48, cot_prc_max = 60, cot_prc_med = 52, cot_prc_mediana = 48 WHERE cot_id = 1358;</v>
      </c>
    </row>
    <row r="1360" customFormat="false" ht="14.25" hidden="false" customHeight="false" outlineLevel="0" collapsed="false">
      <c r="A1360" s="0" t="n">
        <v>1359</v>
      </c>
      <c r="B1360" s="0" t="n">
        <f aca="false">IF('Boletins Nuppa Site'!A1360&lt;&gt;0,'Boletins Nuppa Site'!A1360,"NULL")</f>
        <v>72</v>
      </c>
      <c r="C1360" s="0" t="n">
        <v>7</v>
      </c>
      <c r="D1360" s="0" t="str">
        <f aca="false">IF('Boletins Nuppa Site'!G1360&lt;&gt;0,'Boletins Nuppa Site'!G1360,"NULL")</f>
        <v>NULL</v>
      </c>
      <c r="E1360" s="30" t="n">
        <f aca="false">IF('Boletins Nuppa Site'!H1360&lt;&gt;0,'Boletins Nuppa Site'!H1360,"NULL")</f>
        <v>48</v>
      </c>
      <c r="F1360" s="30" t="n">
        <f aca="false">IF('Boletins Nuppa Site'!I1360&lt;&gt;0,'Boletins Nuppa Site'!I1360,"NULL")</f>
        <v>60</v>
      </c>
      <c r="G1360" s="30" t="n">
        <f aca="false">IF('Boletins Nuppa Site'!J1360&lt;&gt;0,'Boletins Nuppa Site'!J1360,"NULL")</f>
        <v>54</v>
      </c>
      <c r="H1360" s="30" t="n">
        <f aca="false">IF('Boletins Nuppa Site'!K1360&lt;&gt;0,'Boletins Nuppa Site'!K1360,"NULL")</f>
        <v>54</v>
      </c>
      <c r="I1360" s="0" t="str">
        <f aca="false">"INSERT INTO COTACAO (cot_id, cot_blt_id, cot_pap_id, cot_prc_comum, cot_prc_min, cot_prc_max, cot_prc_med, cot_prc_mediana) VALUES ("&amp;A1360&amp;", "&amp;B1360&amp;", "&amp;C1360&amp;", "&amp;D1360&amp;", "&amp;E1360&amp;", "&amp;F1360&amp;", "&amp;G1360&amp;", "&amp;H1360&amp;");"</f>
        <v>INSERT INTO COTACAO (cot_id, cot_blt_id, cot_pap_id, cot_prc_comum, cot_prc_min, cot_prc_max, cot_prc_med, cot_prc_mediana) VALUES (1359, 72, 7, NULL, 48, 60, 54, 54);</v>
      </c>
      <c r="J1360" s="0" t="str">
        <f aca="false">"UPDATE COTACAO SET cot_id = "&amp;A1360&amp;", cot_blt_id = "&amp;B1360&amp;", cot_pap_id = "&amp;C1360&amp;", cot_prc_comum = "&amp;D1360&amp;", cot_prc_min = "&amp;E1360&amp;", cot_prc_max = "&amp;F1360&amp;", cot_prc_med = "&amp;G1360&amp;", cot_prc_mediana = "&amp;H1360&amp;" WHERE cot_id = "&amp;A1360&amp;";"</f>
        <v>UPDATE COTACAO SET cot_id = 1359, cot_blt_id = 72, cot_pap_id = 7, cot_prc_comum = NULL, cot_prc_min = 48, cot_prc_max = 60, cot_prc_med = 54, cot_prc_mediana = 54 WHERE cot_id = 1359;</v>
      </c>
    </row>
    <row r="1361" customFormat="false" ht="14.25" hidden="false" customHeight="false" outlineLevel="0" collapsed="false">
      <c r="A1361" s="0" t="n">
        <v>1360</v>
      </c>
      <c r="B1361" s="0" t="n">
        <f aca="false">IF('Boletins Nuppa Site'!A1361&lt;&gt;0,'Boletins Nuppa Site'!A1361,"NULL")</f>
        <v>72</v>
      </c>
      <c r="C1361" s="0" t="n">
        <v>8</v>
      </c>
      <c r="D1361" s="30" t="n">
        <f aca="false">IF('Boletins Nuppa Site'!G1361&lt;&gt;0,'Boletins Nuppa Site'!G1361,"NULL")</f>
        <v>72</v>
      </c>
      <c r="E1361" s="30" t="n">
        <f aca="false">IF('Boletins Nuppa Site'!H1361&lt;&gt;0,'Boletins Nuppa Site'!H1361,"NULL")</f>
        <v>72</v>
      </c>
      <c r="F1361" s="30" t="n">
        <f aca="false">IF('Boletins Nuppa Site'!I1361&lt;&gt;0,'Boletins Nuppa Site'!I1361,"NULL")</f>
        <v>72</v>
      </c>
      <c r="G1361" s="30" t="n">
        <f aca="false">IF('Boletins Nuppa Site'!J1361&lt;&gt;0,'Boletins Nuppa Site'!J1361,"NULL")</f>
        <v>72</v>
      </c>
      <c r="H1361" s="30" t="n">
        <f aca="false">IF('Boletins Nuppa Site'!K1361&lt;&gt;0,'Boletins Nuppa Site'!K1361,"NULL")</f>
        <v>72</v>
      </c>
      <c r="I1361" s="0" t="str">
        <f aca="false">"INSERT INTO COTACAO (cot_id, cot_blt_id, cot_pap_id, cot_prc_comum, cot_prc_min, cot_prc_max, cot_prc_med, cot_prc_mediana) VALUES ("&amp;A1361&amp;", "&amp;B1361&amp;", "&amp;C1361&amp;", "&amp;D1361&amp;", "&amp;E1361&amp;", "&amp;F1361&amp;", "&amp;G1361&amp;", "&amp;H1361&amp;");"</f>
        <v>INSERT INTO COTACAO (cot_id, cot_blt_id, cot_pap_id, cot_prc_comum, cot_prc_min, cot_prc_max, cot_prc_med, cot_prc_mediana) VALUES (1360, 72, 8, 72, 72, 72, 72, 72);</v>
      </c>
      <c r="J1361" s="0" t="str">
        <f aca="false">"UPDATE COTACAO SET cot_id = "&amp;A1361&amp;", cot_blt_id = "&amp;B1361&amp;", cot_pap_id = "&amp;C1361&amp;", cot_prc_comum = "&amp;D1361&amp;", cot_prc_min = "&amp;E1361&amp;", cot_prc_max = "&amp;F1361&amp;", cot_prc_med = "&amp;G1361&amp;", cot_prc_mediana = "&amp;H1361&amp;" WHERE cot_id = "&amp;A1361&amp;";"</f>
        <v>UPDATE COTACAO SET cot_id = 1360, cot_blt_id = 72, cot_pap_id = 8, cot_prc_comum = 72, cot_prc_min = 72, cot_prc_max = 72, cot_prc_med = 72, cot_prc_mediana = 72 WHERE cot_id = 1360;</v>
      </c>
    </row>
    <row r="1362" customFormat="false" ht="14.25" hidden="false" customHeight="false" outlineLevel="0" collapsed="false">
      <c r="A1362" s="0" t="n">
        <v>1361</v>
      </c>
      <c r="B1362" s="0" t="n">
        <f aca="false">IF('Boletins Nuppa Site'!A1362&lt;&gt;0,'Boletins Nuppa Site'!A1362,"NULL")</f>
        <v>72</v>
      </c>
      <c r="C1362" s="0" t="n">
        <v>9</v>
      </c>
      <c r="D1362" s="30" t="n">
        <f aca="false">IF('Boletins Nuppa Site'!G1362&lt;&gt;0,'Boletins Nuppa Site'!G1362,"NULL")</f>
        <v>24</v>
      </c>
      <c r="E1362" s="30" t="n">
        <f aca="false">IF('Boletins Nuppa Site'!H1362&lt;&gt;0,'Boletins Nuppa Site'!H1362,"NULL")</f>
        <v>18</v>
      </c>
      <c r="F1362" s="30" t="n">
        <f aca="false">IF('Boletins Nuppa Site'!I1362&lt;&gt;0,'Boletins Nuppa Site'!I1362,"NULL")</f>
        <v>24</v>
      </c>
      <c r="G1362" s="0" t="str">
        <f aca="false">IF('Boletins Nuppa Site'!J1362&lt;&gt;0,'Boletins Nuppa Site'!J1362,"NULL")</f>
        <v>22.5</v>
      </c>
      <c r="H1362" s="30" t="n">
        <f aca="false">IF('Boletins Nuppa Site'!K1362&lt;&gt;0,'Boletins Nuppa Site'!K1362,"NULL")</f>
        <v>24</v>
      </c>
      <c r="I1362" s="0" t="str">
        <f aca="false">"INSERT INTO COTACAO (cot_id, cot_blt_id, cot_pap_id, cot_prc_comum, cot_prc_min, cot_prc_max, cot_prc_med, cot_prc_mediana) VALUES ("&amp;A1362&amp;", "&amp;B1362&amp;", "&amp;C1362&amp;", "&amp;D1362&amp;", "&amp;E1362&amp;", "&amp;F1362&amp;", "&amp;G1362&amp;", "&amp;H1362&amp;");"</f>
        <v>INSERT INTO COTACAO (cot_id, cot_blt_id, cot_pap_id, cot_prc_comum, cot_prc_min, cot_prc_max, cot_prc_med, cot_prc_mediana) VALUES (1361, 72, 9, 24, 18, 24, 22.5, 24);</v>
      </c>
      <c r="J1362" s="0" t="str">
        <f aca="false">"UPDATE COTACAO SET cot_id = "&amp;A1362&amp;", cot_blt_id = "&amp;B1362&amp;", cot_pap_id = "&amp;C1362&amp;", cot_prc_comum = "&amp;D1362&amp;", cot_prc_min = "&amp;E1362&amp;", cot_prc_max = "&amp;F1362&amp;", cot_prc_med = "&amp;G1362&amp;", cot_prc_mediana = "&amp;H1362&amp;" WHERE cot_id = "&amp;A1362&amp;";"</f>
        <v>UPDATE COTACAO SET cot_id = 1361, cot_blt_id = 72, cot_pap_id = 9, cot_prc_comum = 24, cot_prc_min = 18, cot_prc_max = 24, cot_prc_med = 22.5, cot_prc_mediana = 24 WHERE cot_id = 1361;</v>
      </c>
    </row>
    <row r="1363" customFormat="false" ht="14.25" hidden="false" customHeight="false" outlineLevel="0" collapsed="false">
      <c r="A1363" s="0" t="n">
        <v>1362</v>
      </c>
      <c r="B1363" s="0" t="n">
        <f aca="false">IF('Boletins Nuppa Site'!A1363&lt;&gt;0,'Boletins Nuppa Site'!A1363,"NULL")</f>
        <v>72</v>
      </c>
      <c r="C1363" s="0" t="n">
        <v>10</v>
      </c>
      <c r="D1363" s="30" t="n">
        <f aca="false">IF('Boletins Nuppa Site'!G1363&lt;&gt;0,'Boletins Nuppa Site'!G1363,"NULL")</f>
        <v>60</v>
      </c>
      <c r="E1363" s="30" t="n">
        <f aca="false">IF('Boletins Nuppa Site'!H1363&lt;&gt;0,'Boletins Nuppa Site'!H1363,"NULL")</f>
        <v>50</v>
      </c>
      <c r="F1363" s="30" t="n">
        <f aca="false">IF('Boletins Nuppa Site'!I1363&lt;&gt;0,'Boletins Nuppa Site'!I1363,"NULL")</f>
        <v>60</v>
      </c>
      <c r="G1363" s="0" t="str">
        <f aca="false">IF('Boletins Nuppa Site'!J1363&lt;&gt;0,'Boletins Nuppa Site'!J1363,"NULL")</f>
        <v>56.67</v>
      </c>
      <c r="H1363" s="30" t="n">
        <f aca="false">IF('Boletins Nuppa Site'!K1363&lt;&gt;0,'Boletins Nuppa Site'!K1363,"NULL")</f>
        <v>60</v>
      </c>
      <c r="I1363" s="0" t="str">
        <f aca="false">"INSERT INTO COTACAO (cot_id, cot_blt_id, cot_pap_id, cot_prc_comum, cot_prc_min, cot_prc_max, cot_prc_med, cot_prc_mediana) VALUES ("&amp;A1363&amp;", "&amp;B1363&amp;", "&amp;C1363&amp;", "&amp;D1363&amp;", "&amp;E1363&amp;", "&amp;F1363&amp;", "&amp;G1363&amp;", "&amp;H1363&amp;");"</f>
        <v>INSERT INTO COTACAO (cot_id, cot_blt_id, cot_pap_id, cot_prc_comum, cot_prc_min, cot_prc_max, cot_prc_med, cot_prc_mediana) VALUES (1362, 72, 10, 60, 50, 60, 56.67, 60);</v>
      </c>
      <c r="J1363" s="0" t="str">
        <f aca="false">"UPDATE COTACAO SET cot_id = "&amp;A1363&amp;", cot_blt_id = "&amp;B1363&amp;", cot_pap_id = "&amp;C1363&amp;", cot_prc_comum = "&amp;D1363&amp;", cot_prc_min = "&amp;E1363&amp;", cot_prc_max = "&amp;F1363&amp;", cot_prc_med = "&amp;G1363&amp;", cot_prc_mediana = "&amp;H1363&amp;" WHERE cot_id = "&amp;A1363&amp;";"</f>
        <v>UPDATE COTACAO SET cot_id = 1362, cot_blt_id = 72, cot_pap_id = 10, cot_prc_comum = 60, cot_prc_min = 50, cot_prc_max = 60, cot_prc_med = 56.67, cot_prc_mediana = 60 WHERE cot_id = 1362;</v>
      </c>
    </row>
    <row r="1364" customFormat="false" ht="14.25" hidden="false" customHeight="false" outlineLevel="0" collapsed="false">
      <c r="A1364" s="0" t="n">
        <v>1363</v>
      </c>
      <c r="B1364" s="0" t="n">
        <f aca="false">IF('Boletins Nuppa Site'!A1364&lt;&gt;0,'Boletins Nuppa Site'!A1364,"NULL")</f>
        <v>72</v>
      </c>
      <c r="C1364" s="0" t="n">
        <v>11</v>
      </c>
      <c r="D1364" s="30" t="n">
        <f aca="false">IF('Boletins Nuppa Site'!G1364&lt;&gt;0,'Boletins Nuppa Site'!G1364,"NULL")</f>
        <v>24</v>
      </c>
      <c r="E1364" s="30" t="n">
        <f aca="false">IF('Boletins Nuppa Site'!H1364&lt;&gt;0,'Boletins Nuppa Site'!H1364,"NULL")</f>
        <v>20</v>
      </c>
      <c r="F1364" s="30" t="n">
        <f aca="false">IF('Boletins Nuppa Site'!I1364&lt;&gt;0,'Boletins Nuppa Site'!I1364,"NULL")</f>
        <v>24</v>
      </c>
      <c r="G1364" s="30" t="n">
        <f aca="false">IF('Boletins Nuppa Site'!J1364&lt;&gt;0,'Boletins Nuppa Site'!J1364,"NULL")</f>
        <v>23</v>
      </c>
      <c r="H1364" s="30" t="n">
        <f aca="false">IF('Boletins Nuppa Site'!K1364&lt;&gt;0,'Boletins Nuppa Site'!K1364,"NULL")</f>
        <v>24</v>
      </c>
      <c r="I1364" s="0" t="str">
        <f aca="false">"INSERT INTO COTACAO (cot_id, cot_blt_id, cot_pap_id, cot_prc_comum, cot_prc_min, cot_prc_max, cot_prc_med, cot_prc_mediana) VALUES ("&amp;A1364&amp;", "&amp;B1364&amp;", "&amp;C1364&amp;", "&amp;D1364&amp;", "&amp;E1364&amp;", "&amp;F1364&amp;", "&amp;G1364&amp;", "&amp;H1364&amp;");"</f>
        <v>INSERT INTO COTACAO (cot_id, cot_blt_id, cot_pap_id, cot_prc_comum, cot_prc_min, cot_prc_max, cot_prc_med, cot_prc_mediana) VALUES (1363, 72, 11, 24, 20, 24, 23, 24);</v>
      </c>
      <c r="J1364" s="0" t="str">
        <f aca="false">"UPDATE COTACAO SET cot_id = "&amp;A1364&amp;", cot_blt_id = "&amp;B1364&amp;", cot_pap_id = "&amp;C1364&amp;", cot_prc_comum = "&amp;D1364&amp;", cot_prc_min = "&amp;E1364&amp;", cot_prc_max = "&amp;F1364&amp;", cot_prc_med = "&amp;G1364&amp;", cot_prc_mediana = "&amp;H1364&amp;" WHERE cot_id = "&amp;A1364&amp;";"</f>
        <v>UPDATE COTACAO SET cot_id = 1363, cot_blt_id = 72, cot_pap_id = 11, cot_prc_comum = 24, cot_prc_min = 20, cot_prc_max = 24, cot_prc_med = 23, cot_prc_mediana = 24 WHERE cot_id = 1363;</v>
      </c>
    </row>
    <row r="1365" customFormat="false" ht="14.25" hidden="false" customHeight="false" outlineLevel="0" collapsed="false">
      <c r="A1365" s="0" t="n">
        <v>1364</v>
      </c>
      <c r="B1365" s="0" t="n">
        <f aca="false">IF('Boletins Nuppa Site'!A1365&lt;&gt;0,'Boletins Nuppa Site'!A1365,"NULL")</f>
        <v>72</v>
      </c>
      <c r="C1365" s="0" t="n">
        <v>12</v>
      </c>
      <c r="D1365" s="30" t="n">
        <f aca="false">IF('Boletins Nuppa Site'!G1365&lt;&gt;0,'Boletins Nuppa Site'!G1365,"NULL")</f>
        <v>48</v>
      </c>
      <c r="E1365" s="30" t="n">
        <f aca="false">IF('Boletins Nuppa Site'!H1365&lt;&gt;0,'Boletins Nuppa Site'!H1365,"NULL")</f>
        <v>48</v>
      </c>
      <c r="F1365" s="30" t="n">
        <f aca="false">IF('Boletins Nuppa Site'!I1365&lt;&gt;0,'Boletins Nuppa Site'!I1365,"NULL")</f>
        <v>72</v>
      </c>
      <c r="G1365" s="30" t="n">
        <f aca="false">IF('Boletins Nuppa Site'!J1365&lt;&gt;0,'Boletins Nuppa Site'!J1365,"NULL")</f>
        <v>56</v>
      </c>
      <c r="H1365" s="30" t="n">
        <f aca="false">IF('Boletins Nuppa Site'!K1365&lt;&gt;0,'Boletins Nuppa Site'!K1365,"NULL")</f>
        <v>48</v>
      </c>
      <c r="I1365" s="0" t="str">
        <f aca="false">"INSERT INTO COTACAO (cot_id, cot_blt_id, cot_pap_id, cot_prc_comum, cot_prc_min, cot_prc_max, cot_prc_med, cot_prc_mediana) VALUES ("&amp;A1365&amp;", "&amp;B1365&amp;", "&amp;C1365&amp;", "&amp;D1365&amp;", "&amp;E1365&amp;", "&amp;F1365&amp;", "&amp;G1365&amp;", "&amp;H1365&amp;");"</f>
        <v>INSERT INTO COTACAO (cot_id, cot_blt_id, cot_pap_id, cot_prc_comum, cot_prc_min, cot_prc_max, cot_prc_med, cot_prc_mediana) VALUES (1364, 72, 12, 48, 48, 72, 56, 48);</v>
      </c>
      <c r="J1365" s="0" t="str">
        <f aca="false">"UPDATE COTACAO SET cot_id = "&amp;A1365&amp;", cot_blt_id = "&amp;B1365&amp;", cot_pap_id = "&amp;C1365&amp;", cot_prc_comum = "&amp;D1365&amp;", cot_prc_min = "&amp;E1365&amp;", cot_prc_max = "&amp;F1365&amp;", cot_prc_med = "&amp;G1365&amp;", cot_prc_mediana = "&amp;H1365&amp;" WHERE cot_id = "&amp;A1365&amp;";"</f>
        <v>UPDATE COTACAO SET cot_id = 1364, cot_blt_id = 72, cot_pap_id = 12, cot_prc_comum = 48, cot_prc_min = 48, cot_prc_max = 72, cot_prc_med = 56, cot_prc_mediana = 48 WHERE cot_id = 1364;</v>
      </c>
    </row>
    <row r="1366" customFormat="false" ht="14.25" hidden="false" customHeight="false" outlineLevel="0" collapsed="false">
      <c r="A1366" s="0" t="n">
        <v>1365</v>
      </c>
      <c r="B1366" s="0" t="n">
        <f aca="false">IF('Boletins Nuppa Site'!A1366&lt;&gt;0,'Boletins Nuppa Site'!A1366,"NULL")</f>
        <v>72</v>
      </c>
      <c r="C1366" s="0" t="n">
        <v>13</v>
      </c>
      <c r="D1366" s="30" t="n">
        <f aca="false">IF('Boletins Nuppa Site'!G1366&lt;&gt;0,'Boletins Nuppa Site'!G1366,"NULL")</f>
        <v>60</v>
      </c>
      <c r="E1366" s="30" t="n">
        <f aca="false">IF('Boletins Nuppa Site'!H1366&lt;&gt;0,'Boletins Nuppa Site'!H1366,"NULL")</f>
        <v>48</v>
      </c>
      <c r="F1366" s="30" t="n">
        <f aca="false">IF('Boletins Nuppa Site'!I1366&lt;&gt;0,'Boletins Nuppa Site'!I1366,"NULL")</f>
        <v>60</v>
      </c>
      <c r="G1366" s="30" t="n">
        <f aca="false">IF('Boletins Nuppa Site'!J1366&lt;&gt;0,'Boletins Nuppa Site'!J1366,"NULL")</f>
        <v>54</v>
      </c>
      <c r="H1366" s="30" t="n">
        <f aca="false">IF('Boletins Nuppa Site'!K1366&lt;&gt;0,'Boletins Nuppa Site'!K1366,"NULL")</f>
        <v>54</v>
      </c>
      <c r="I1366" s="0" t="str">
        <f aca="false">"INSERT INTO COTACAO (cot_id, cot_blt_id, cot_pap_id, cot_prc_comum, cot_prc_min, cot_prc_max, cot_prc_med, cot_prc_mediana) VALUES ("&amp;A1366&amp;", "&amp;B1366&amp;", "&amp;C1366&amp;", "&amp;D1366&amp;", "&amp;E1366&amp;", "&amp;F1366&amp;", "&amp;G1366&amp;", "&amp;H1366&amp;");"</f>
        <v>INSERT INTO COTACAO (cot_id, cot_blt_id, cot_pap_id, cot_prc_comum, cot_prc_min, cot_prc_max, cot_prc_med, cot_prc_mediana) VALUES (1365, 72, 13, 60, 48, 60, 54, 54);</v>
      </c>
      <c r="J1366" s="0" t="str">
        <f aca="false">"UPDATE COTACAO SET cot_id = "&amp;A1366&amp;", cot_blt_id = "&amp;B1366&amp;", cot_pap_id = "&amp;C1366&amp;", cot_prc_comum = "&amp;D1366&amp;", cot_prc_min = "&amp;E1366&amp;", cot_prc_max = "&amp;F1366&amp;", cot_prc_med = "&amp;G1366&amp;", cot_prc_mediana = "&amp;H1366&amp;" WHERE cot_id = "&amp;A1366&amp;";"</f>
        <v>UPDATE COTACAO SET cot_id = 1365, cot_blt_id = 72, cot_pap_id = 13, cot_prc_comum = 60, cot_prc_min = 48, cot_prc_max = 60, cot_prc_med = 54, cot_prc_mediana = 54 WHERE cot_id = 1365;</v>
      </c>
    </row>
    <row r="1367" customFormat="false" ht="14.25" hidden="false" customHeight="false" outlineLevel="0" collapsed="false">
      <c r="A1367" s="0" t="n">
        <v>1366</v>
      </c>
      <c r="B1367" s="0" t="n">
        <f aca="false">IF('Boletins Nuppa Site'!A1367&lt;&gt;0,'Boletins Nuppa Site'!A1367,"NULL")</f>
        <v>72</v>
      </c>
      <c r="C1367" s="0" t="n">
        <v>14</v>
      </c>
      <c r="D1367" s="30" t="n">
        <f aca="false">IF('Boletins Nuppa Site'!G1367&lt;&gt;0,'Boletins Nuppa Site'!G1367,"NULL")</f>
        <v>48</v>
      </c>
      <c r="E1367" s="30" t="n">
        <f aca="false">IF('Boletins Nuppa Site'!H1367&lt;&gt;0,'Boletins Nuppa Site'!H1367,"NULL")</f>
        <v>35</v>
      </c>
      <c r="F1367" s="30" t="n">
        <f aca="false">IF('Boletins Nuppa Site'!I1367&lt;&gt;0,'Boletins Nuppa Site'!I1367,"NULL")</f>
        <v>48</v>
      </c>
      <c r="G1367" s="0" t="str">
        <f aca="false">IF('Boletins Nuppa Site'!J1367&lt;&gt;0,'Boletins Nuppa Site'!J1367,"NULL")</f>
        <v>43.67</v>
      </c>
      <c r="H1367" s="30" t="n">
        <f aca="false">IF('Boletins Nuppa Site'!K1367&lt;&gt;0,'Boletins Nuppa Site'!K1367,"NULL")</f>
        <v>48</v>
      </c>
      <c r="I1367" s="0" t="str">
        <f aca="false">"INSERT INTO COTACAO (cot_id, cot_blt_id, cot_pap_id, cot_prc_comum, cot_prc_min, cot_prc_max, cot_prc_med, cot_prc_mediana) VALUES ("&amp;A1367&amp;", "&amp;B1367&amp;", "&amp;C1367&amp;", "&amp;D1367&amp;", "&amp;E1367&amp;", "&amp;F1367&amp;", "&amp;G1367&amp;", "&amp;H1367&amp;");"</f>
        <v>INSERT INTO COTACAO (cot_id, cot_blt_id, cot_pap_id, cot_prc_comum, cot_prc_min, cot_prc_max, cot_prc_med, cot_prc_mediana) VALUES (1366, 72, 14, 48, 35, 48, 43.67, 48);</v>
      </c>
      <c r="J1367" s="0" t="str">
        <f aca="false">"UPDATE COTACAO SET cot_id = "&amp;A1367&amp;", cot_blt_id = "&amp;B1367&amp;", cot_pap_id = "&amp;C1367&amp;", cot_prc_comum = "&amp;D1367&amp;", cot_prc_min = "&amp;E1367&amp;", cot_prc_max = "&amp;F1367&amp;", cot_prc_med = "&amp;G1367&amp;", cot_prc_mediana = "&amp;H1367&amp;" WHERE cot_id = "&amp;A1367&amp;";"</f>
        <v>UPDATE COTACAO SET cot_id = 1366, cot_blt_id = 72, cot_pap_id = 14, cot_prc_comum = 48, cot_prc_min = 35, cot_prc_max = 48, cot_prc_med = 43.67, cot_prc_mediana = 48 WHERE cot_id = 1366;</v>
      </c>
    </row>
    <row r="1368" customFormat="false" ht="14.25" hidden="false" customHeight="false" outlineLevel="0" collapsed="false">
      <c r="A1368" s="0" t="n">
        <v>1367</v>
      </c>
      <c r="B1368" s="0" t="n">
        <f aca="false">IF('Boletins Nuppa Site'!A1368&lt;&gt;0,'Boletins Nuppa Site'!A1368,"NULL")</f>
        <v>72</v>
      </c>
      <c r="C1368" s="0" t="n">
        <v>15</v>
      </c>
      <c r="D1368" s="30" t="n">
        <f aca="false">IF('Boletins Nuppa Site'!G1368&lt;&gt;0,'Boletins Nuppa Site'!G1368,"NULL")</f>
        <v>30</v>
      </c>
      <c r="E1368" s="30" t="n">
        <f aca="false">IF('Boletins Nuppa Site'!H1368&lt;&gt;0,'Boletins Nuppa Site'!H1368,"NULL")</f>
        <v>24</v>
      </c>
      <c r="F1368" s="30" t="n">
        <f aca="false">IF('Boletins Nuppa Site'!I1368&lt;&gt;0,'Boletins Nuppa Site'!I1368,"NULL")</f>
        <v>36</v>
      </c>
      <c r="G1368" s="30" t="n">
        <f aca="false">IF('Boletins Nuppa Site'!J1368&lt;&gt;0,'Boletins Nuppa Site'!J1368,"NULL")</f>
        <v>30</v>
      </c>
      <c r="H1368" s="30" t="n">
        <f aca="false">IF('Boletins Nuppa Site'!K1368&lt;&gt;0,'Boletins Nuppa Site'!K1368,"NULL")</f>
        <v>30</v>
      </c>
      <c r="I1368" s="0" t="str">
        <f aca="false">"INSERT INTO COTACAO (cot_id, cot_blt_id, cot_pap_id, cot_prc_comum, cot_prc_min, cot_prc_max, cot_prc_med, cot_prc_mediana) VALUES ("&amp;A1368&amp;", "&amp;B1368&amp;", "&amp;C1368&amp;", "&amp;D1368&amp;", "&amp;E1368&amp;", "&amp;F1368&amp;", "&amp;G1368&amp;", "&amp;H1368&amp;");"</f>
        <v>INSERT INTO COTACAO (cot_id, cot_blt_id, cot_pap_id, cot_prc_comum, cot_prc_min, cot_prc_max, cot_prc_med, cot_prc_mediana) VALUES (1367, 72, 15, 30, 24, 36, 30, 30);</v>
      </c>
      <c r="J1368" s="0" t="str">
        <f aca="false">"UPDATE COTACAO SET cot_id = "&amp;A1368&amp;", cot_blt_id = "&amp;B1368&amp;", cot_pap_id = "&amp;C1368&amp;", cot_prc_comum = "&amp;D1368&amp;", cot_prc_min = "&amp;E1368&amp;", cot_prc_max = "&amp;F1368&amp;", cot_prc_med = "&amp;G1368&amp;", cot_prc_mediana = "&amp;H1368&amp;" WHERE cot_id = "&amp;A1368&amp;";"</f>
        <v>UPDATE COTACAO SET cot_id = 1367, cot_blt_id = 72, cot_pap_id = 15, cot_prc_comum = 30, cot_prc_min = 24, cot_prc_max = 36, cot_prc_med = 30, cot_prc_mediana = 30 WHERE cot_id = 1367;</v>
      </c>
    </row>
    <row r="1369" customFormat="false" ht="14.25" hidden="false" customHeight="false" outlineLevel="0" collapsed="false">
      <c r="A1369" s="0" t="n">
        <v>1368</v>
      </c>
      <c r="B1369" s="0" t="n">
        <f aca="false">IF('Boletins Nuppa Site'!A1369&lt;&gt;0,'Boletins Nuppa Site'!A1369,"NULL")</f>
        <v>72</v>
      </c>
      <c r="C1369" s="0" t="n">
        <v>16</v>
      </c>
      <c r="D1369" s="30" t="n">
        <f aca="false">IF('Boletins Nuppa Site'!G1369&lt;&gt;0,'Boletins Nuppa Site'!G1369,"NULL")</f>
        <v>48</v>
      </c>
      <c r="E1369" s="30" t="n">
        <f aca="false">IF('Boletins Nuppa Site'!H1369&lt;&gt;0,'Boletins Nuppa Site'!H1369,"NULL")</f>
        <v>48</v>
      </c>
      <c r="F1369" s="30" t="n">
        <f aca="false">IF('Boletins Nuppa Site'!I1369&lt;&gt;0,'Boletins Nuppa Site'!I1369,"NULL")</f>
        <v>54</v>
      </c>
      <c r="G1369" s="0" t="str">
        <f aca="false">IF('Boletins Nuppa Site'!J1369&lt;&gt;0,'Boletins Nuppa Site'!J1369,"NULL")</f>
        <v>49.5</v>
      </c>
      <c r="H1369" s="30" t="n">
        <f aca="false">IF('Boletins Nuppa Site'!K1369&lt;&gt;0,'Boletins Nuppa Site'!K1369,"NULL")</f>
        <v>48</v>
      </c>
      <c r="I1369" s="0" t="str">
        <f aca="false">"INSERT INTO COTACAO (cot_id, cot_blt_id, cot_pap_id, cot_prc_comum, cot_prc_min, cot_prc_max, cot_prc_med, cot_prc_mediana) VALUES ("&amp;A1369&amp;", "&amp;B1369&amp;", "&amp;C1369&amp;", "&amp;D1369&amp;", "&amp;E1369&amp;", "&amp;F1369&amp;", "&amp;G1369&amp;", "&amp;H1369&amp;");"</f>
        <v>INSERT INTO COTACAO (cot_id, cot_blt_id, cot_pap_id, cot_prc_comum, cot_prc_min, cot_prc_max, cot_prc_med, cot_prc_mediana) VALUES (1368, 72, 16, 48, 48, 54, 49.5, 48);</v>
      </c>
      <c r="J1369" s="0" t="str">
        <f aca="false">"UPDATE COTACAO SET cot_id = "&amp;A1369&amp;", cot_blt_id = "&amp;B1369&amp;", cot_pap_id = "&amp;C1369&amp;", cot_prc_comum = "&amp;D1369&amp;", cot_prc_min = "&amp;E1369&amp;", cot_prc_max = "&amp;F1369&amp;", cot_prc_med = "&amp;G1369&amp;", cot_prc_mediana = "&amp;H1369&amp;" WHERE cot_id = "&amp;A1369&amp;";"</f>
        <v>UPDATE COTACAO SET cot_id = 1368, cot_blt_id = 72, cot_pap_id = 16, cot_prc_comum = 48, cot_prc_min = 48, cot_prc_max = 54, cot_prc_med = 49.5, cot_prc_mediana = 48 WHERE cot_id = 1368;</v>
      </c>
    </row>
    <row r="1370" customFormat="false" ht="14.25" hidden="false" customHeight="false" outlineLevel="0" collapsed="false">
      <c r="A1370" s="0" t="n">
        <v>1369</v>
      </c>
      <c r="B1370" s="0" t="n">
        <f aca="false">IF('Boletins Nuppa Site'!A1370&lt;&gt;0,'Boletins Nuppa Site'!A1370,"NULL")</f>
        <v>72</v>
      </c>
      <c r="C1370" s="0" t="n">
        <v>17</v>
      </c>
      <c r="D1370" s="30" t="n">
        <f aca="false">IF('Boletins Nuppa Site'!G1370&lt;&gt;0,'Boletins Nuppa Site'!G1370,"NULL")</f>
        <v>5</v>
      </c>
      <c r="E1370" s="30" t="n">
        <f aca="false">IF('Boletins Nuppa Site'!H1370&lt;&gt;0,'Boletins Nuppa Site'!H1370,"NULL")</f>
        <v>4</v>
      </c>
      <c r="F1370" s="30" t="n">
        <f aca="false">IF('Boletins Nuppa Site'!I1370&lt;&gt;0,'Boletins Nuppa Site'!I1370,"NULL")</f>
        <v>5</v>
      </c>
      <c r="G1370" s="0" t="str">
        <f aca="false">IF('Boletins Nuppa Site'!J1370&lt;&gt;0,'Boletins Nuppa Site'!J1370,"NULL")</f>
        <v>4.75</v>
      </c>
      <c r="H1370" s="30" t="n">
        <f aca="false">IF('Boletins Nuppa Site'!K1370&lt;&gt;0,'Boletins Nuppa Site'!K1370,"NULL")</f>
        <v>5</v>
      </c>
      <c r="I1370" s="0" t="str">
        <f aca="false">"INSERT INTO COTACAO (cot_id, cot_blt_id, cot_pap_id, cot_prc_comum, cot_prc_min, cot_prc_max, cot_prc_med, cot_prc_mediana) VALUES ("&amp;A1370&amp;", "&amp;B1370&amp;", "&amp;C1370&amp;", "&amp;D1370&amp;", "&amp;E1370&amp;", "&amp;F1370&amp;", "&amp;G1370&amp;", "&amp;H1370&amp;");"</f>
        <v>INSERT INTO COTACAO (cot_id, cot_blt_id, cot_pap_id, cot_prc_comum, cot_prc_min, cot_prc_max, cot_prc_med, cot_prc_mediana) VALUES (1369, 72, 17, 5, 4, 5, 4.75, 5);</v>
      </c>
      <c r="J1370" s="0" t="str">
        <f aca="false">"UPDATE COTACAO SET cot_id = "&amp;A1370&amp;", cot_blt_id = "&amp;B1370&amp;", cot_pap_id = "&amp;C1370&amp;", cot_prc_comum = "&amp;D1370&amp;", cot_prc_min = "&amp;E1370&amp;", cot_prc_max = "&amp;F1370&amp;", cot_prc_med = "&amp;G1370&amp;", cot_prc_mediana = "&amp;H1370&amp;" WHERE cot_id = "&amp;A1370&amp;";"</f>
        <v>UPDATE COTACAO SET cot_id = 1369, cot_blt_id = 72, cot_pap_id = 17, cot_prc_comum = 5, cot_prc_min = 4, cot_prc_max = 5, cot_prc_med = 4.75, cot_prc_mediana = 5 WHERE cot_id = 1369;</v>
      </c>
    </row>
    <row r="1371" customFormat="false" ht="14.25" hidden="false" customHeight="false" outlineLevel="0" collapsed="false">
      <c r="A1371" s="0" t="n">
        <v>1370</v>
      </c>
      <c r="B1371" s="0" t="n">
        <f aca="false">IF('Boletins Nuppa Site'!A1371&lt;&gt;0,'Boletins Nuppa Site'!A1371,"NULL")</f>
        <v>72</v>
      </c>
      <c r="C1371" s="0" t="n">
        <v>18</v>
      </c>
      <c r="D1371" s="30" t="n">
        <f aca="false">IF('Boletins Nuppa Site'!G1371&lt;&gt;0,'Boletins Nuppa Site'!G1371,"NULL")</f>
        <v>12</v>
      </c>
      <c r="E1371" s="30" t="n">
        <f aca="false">IF('Boletins Nuppa Site'!H1371&lt;&gt;0,'Boletins Nuppa Site'!H1371,"NULL")</f>
        <v>12</v>
      </c>
      <c r="F1371" s="30" t="n">
        <f aca="false">IF('Boletins Nuppa Site'!I1371&lt;&gt;0,'Boletins Nuppa Site'!I1371,"NULL")</f>
        <v>15</v>
      </c>
      <c r="G1371" s="0" t="str">
        <f aca="false">IF('Boletins Nuppa Site'!J1371&lt;&gt;0,'Boletins Nuppa Site'!J1371,"NULL")</f>
        <v>12.75</v>
      </c>
      <c r="H1371" s="30" t="n">
        <f aca="false">IF('Boletins Nuppa Site'!K1371&lt;&gt;0,'Boletins Nuppa Site'!K1371,"NULL")</f>
        <v>12</v>
      </c>
      <c r="I1371" s="0" t="str">
        <f aca="false">"INSERT INTO COTACAO (cot_id, cot_blt_id, cot_pap_id, cot_prc_comum, cot_prc_min, cot_prc_max, cot_prc_med, cot_prc_mediana) VALUES ("&amp;A1371&amp;", "&amp;B1371&amp;", "&amp;C1371&amp;", "&amp;D1371&amp;", "&amp;E1371&amp;", "&amp;F1371&amp;", "&amp;G1371&amp;", "&amp;H1371&amp;");"</f>
        <v>INSERT INTO COTACAO (cot_id, cot_blt_id, cot_pap_id, cot_prc_comum, cot_prc_min, cot_prc_max, cot_prc_med, cot_prc_mediana) VALUES (1370, 72, 18, 12, 12, 15, 12.75, 12);</v>
      </c>
      <c r="J1371" s="0" t="str">
        <f aca="false">"UPDATE COTACAO SET cot_id = "&amp;A1371&amp;", cot_blt_id = "&amp;B1371&amp;", cot_pap_id = "&amp;C1371&amp;", cot_prc_comum = "&amp;D1371&amp;", cot_prc_min = "&amp;E1371&amp;", cot_prc_max = "&amp;F1371&amp;", cot_prc_med = "&amp;G1371&amp;", cot_prc_mediana = "&amp;H1371&amp;" WHERE cot_id = "&amp;A1371&amp;";"</f>
        <v>UPDATE COTACAO SET cot_id = 1370, cot_blt_id = 72, cot_pap_id = 18, cot_prc_comum = 12, cot_prc_min = 12, cot_prc_max = 15, cot_prc_med = 12.75, cot_prc_mediana = 12 WHERE cot_id = 1370;</v>
      </c>
    </row>
    <row r="1372" customFormat="false" ht="14.25" hidden="false" customHeight="false" outlineLevel="0" collapsed="false">
      <c r="A1372" s="0" t="n">
        <v>1371</v>
      </c>
      <c r="B1372" s="0" t="n">
        <f aca="false">IF('Boletins Nuppa Site'!A1372&lt;&gt;0,'Boletins Nuppa Site'!A1372,"NULL")</f>
        <v>72</v>
      </c>
      <c r="C1372" s="0" t="n">
        <v>19</v>
      </c>
      <c r="D1372" s="30" t="n">
        <f aca="false">IF('Boletins Nuppa Site'!G1372&lt;&gt;0,'Boletins Nuppa Site'!G1372,"NULL")</f>
        <v>20</v>
      </c>
      <c r="E1372" s="30" t="n">
        <f aca="false">IF('Boletins Nuppa Site'!H1372&lt;&gt;0,'Boletins Nuppa Site'!H1372,"NULL")</f>
        <v>20</v>
      </c>
      <c r="F1372" s="30" t="n">
        <f aca="false">IF('Boletins Nuppa Site'!I1372&lt;&gt;0,'Boletins Nuppa Site'!I1372,"NULL")</f>
        <v>30</v>
      </c>
      <c r="G1372" s="0" t="str">
        <f aca="false">IF('Boletins Nuppa Site'!J1372&lt;&gt;0,'Boletins Nuppa Site'!J1372,"NULL")</f>
        <v>23.75</v>
      </c>
      <c r="H1372" s="0" t="str">
        <f aca="false">IF('Boletins Nuppa Site'!K1372&lt;&gt;0,'Boletins Nuppa Site'!K1372,"NULL")</f>
        <v>22.5</v>
      </c>
      <c r="I1372" s="0" t="str">
        <f aca="false">"INSERT INTO COTACAO (cot_id, cot_blt_id, cot_pap_id, cot_prc_comum, cot_prc_min, cot_prc_max, cot_prc_med, cot_prc_mediana) VALUES ("&amp;A1372&amp;", "&amp;B1372&amp;", "&amp;C1372&amp;", "&amp;D1372&amp;", "&amp;E1372&amp;", "&amp;F1372&amp;", "&amp;G1372&amp;", "&amp;H1372&amp;");"</f>
        <v>INSERT INTO COTACAO (cot_id, cot_blt_id, cot_pap_id, cot_prc_comum, cot_prc_min, cot_prc_max, cot_prc_med, cot_prc_mediana) VALUES (1371, 72, 19, 20, 20, 30, 23.75, 22.5);</v>
      </c>
      <c r="J1372" s="0" t="str">
        <f aca="false">"UPDATE COTACAO SET cot_id = "&amp;A1372&amp;", cot_blt_id = "&amp;B1372&amp;", cot_pap_id = "&amp;C1372&amp;", cot_prc_comum = "&amp;D1372&amp;", cot_prc_min = "&amp;E1372&amp;", cot_prc_max = "&amp;F1372&amp;", cot_prc_med = "&amp;G1372&amp;", cot_prc_mediana = "&amp;H1372&amp;" WHERE cot_id = "&amp;A1372&amp;";"</f>
        <v>UPDATE COTACAO SET cot_id = 1371, cot_blt_id = 72, cot_pap_id = 19, cot_prc_comum = 20, cot_prc_min = 20, cot_prc_max = 30, cot_prc_med = 23.75, cot_prc_mediana = 22.5 WHERE cot_id = 1371;</v>
      </c>
    </row>
    <row r="1373" customFormat="false" ht="14.25" hidden="false" customHeight="false" outlineLevel="0" collapsed="false">
      <c r="A1373" s="0" t="n">
        <v>1372</v>
      </c>
      <c r="B1373" s="0" t="n">
        <f aca="false">IF('Boletins Nuppa Site'!A1373&lt;&gt;0,'Boletins Nuppa Site'!A1373,"NULL")</f>
        <v>72</v>
      </c>
      <c r="C1373" s="0" t="n">
        <v>20</v>
      </c>
      <c r="D1373" s="30" t="n">
        <f aca="false">IF('Boletins Nuppa Site'!G1373&lt;&gt;0,'Boletins Nuppa Site'!G1373,"NULL")</f>
        <v>80</v>
      </c>
      <c r="E1373" s="30" t="n">
        <f aca="false">IF('Boletins Nuppa Site'!H1373&lt;&gt;0,'Boletins Nuppa Site'!H1373,"NULL")</f>
        <v>75</v>
      </c>
      <c r="F1373" s="30" t="n">
        <f aca="false">IF('Boletins Nuppa Site'!I1373&lt;&gt;0,'Boletins Nuppa Site'!I1373,"NULL")</f>
        <v>80</v>
      </c>
      <c r="G1373" s="0" t="str">
        <f aca="false">IF('Boletins Nuppa Site'!J1373&lt;&gt;0,'Boletins Nuppa Site'!J1373,"NULL")</f>
        <v>78.33</v>
      </c>
      <c r="H1373" s="30" t="n">
        <f aca="false">IF('Boletins Nuppa Site'!K1373&lt;&gt;0,'Boletins Nuppa Site'!K1373,"NULL")</f>
        <v>80</v>
      </c>
      <c r="I1373" s="0" t="str">
        <f aca="false">"INSERT INTO COTACAO (cot_id, cot_blt_id, cot_pap_id, cot_prc_comum, cot_prc_min, cot_prc_max, cot_prc_med, cot_prc_mediana) VALUES ("&amp;A1373&amp;", "&amp;B1373&amp;", "&amp;C1373&amp;", "&amp;D1373&amp;", "&amp;E1373&amp;", "&amp;F1373&amp;", "&amp;G1373&amp;", "&amp;H1373&amp;");"</f>
        <v>INSERT INTO COTACAO (cot_id, cot_blt_id, cot_pap_id, cot_prc_comum, cot_prc_min, cot_prc_max, cot_prc_med, cot_prc_mediana) VALUES (1372, 72, 20, 80, 75, 80, 78.33, 80);</v>
      </c>
      <c r="J1373" s="0" t="str">
        <f aca="false">"UPDATE COTACAO SET cot_id = "&amp;A1373&amp;", cot_blt_id = "&amp;B1373&amp;", cot_pap_id = "&amp;C1373&amp;", cot_prc_comum = "&amp;D1373&amp;", cot_prc_min = "&amp;E1373&amp;", cot_prc_max = "&amp;F1373&amp;", cot_prc_med = "&amp;G1373&amp;", cot_prc_mediana = "&amp;H1373&amp;" WHERE cot_id = "&amp;A1373&amp;";"</f>
        <v>UPDATE COTACAO SET cot_id = 1372, cot_blt_id = 72, cot_pap_id = 20, cot_prc_comum = 80, cot_prc_min = 75, cot_prc_max = 80, cot_prc_med = 78.33, cot_prc_mediana = 80 WHERE cot_id = 1372;</v>
      </c>
    </row>
    <row r="1374" customFormat="false" ht="14.25" hidden="false" customHeight="false" outlineLevel="0" collapsed="false">
      <c r="A1374" s="0" t="n">
        <v>1373</v>
      </c>
      <c r="B1374" s="0" t="n">
        <f aca="false">IF('Boletins Nuppa Site'!A1374&lt;&gt;0,'Boletins Nuppa Site'!A1374,"NULL")</f>
        <v>72</v>
      </c>
      <c r="C1374" s="0" t="n">
        <v>21</v>
      </c>
      <c r="D1374" s="30" t="n">
        <f aca="false">IF('Boletins Nuppa Site'!G1374&lt;&gt;0,'Boletins Nuppa Site'!G1374,"NULL")</f>
        <v>35</v>
      </c>
      <c r="E1374" s="30" t="n">
        <f aca="false">IF('Boletins Nuppa Site'!H1374&lt;&gt;0,'Boletins Nuppa Site'!H1374,"NULL")</f>
        <v>35</v>
      </c>
      <c r="F1374" s="30" t="n">
        <f aca="false">IF('Boletins Nuppa Site'!I1374&lt;&gt;0,'Boletins Nuppa Site'!I1374,"NULL")</f>
        <v>50</v>
      </c>
      <c r="G1374" s="0" t="str">
        <f aca="false">IF('Boletins Nuppa Site'!J1374&lt;&gt;0,'Boletins Nuppa Site'!J1374,"NULL")</f>
        <v>41.25</v>
      </c>
      <c r="H1374" s="30" t="n">
        <f aca="false">IF('Boletins Nuppa Site'!K1374&lt;&gt;0,'Boletins Nuppa Site'!K1374,"NULL")</f>
        <v>40</v>
      </c>
      <c r="I1374" s="0" t="str">
        <f aca="false">"INSERT INTO COTACAO (cot_id, cot_blt_id, cot_pap_id, cot_prc_comum, cot_prc_min, cot_prc_max, cot_prc_med, cot_prc_mediana) VALUES ("&amp;A1374&amp;", "&amp;B1374&amp;", "&amp;C1374&amp;", "&amp;D1374&amp;", "&amp;E1374&amp;", "&amp;F1374&amp;", "&amp;G1374&amp;", "&amp;H1374&amp;");"</f>
        <v>INSERT INTO COTACAO (cot_id, cot_blt_id, cot_pap_id, cot_prc_comum, cot_prc_min, cot_prc_max, cot_prc_med, cot_prc_mediana) VALUES (1373, 72, 21, 35, 35, 50, 41.25, 40);</v>
      </c>
      <c r="J1374" s="0" t="str">
        <f aca="false">"UPDATE COTACAO SET cot_id = "&amp;A1374&amp;", cot_blt_id = "&amp;B1374&amp;", cot_pap_id = "&amp;C1374&amp;", cot_prc_comum = "&amp;D1374&amp;", cot_prc_min = "&amp;E1374&amp;", cot_prc_max = "&amp;F1374&amp;", cot_prc_med = "&amp;G1374&amp;", cot_prc_mediana = "&amp;H1374&amp;" WHERE cot_id = "&amp;A1374&amp;";"</f>
        <v>UPDATE COTACAO SET cot_id = 1373, cot_blt_id = 72, cot_pap_id = 21, cot_prc_comum = 35, cot_prc_min = 35, cot_prc_max = 50, cot_prc_med = 41.25, cot_prc_mediana = 40 WHERE cot_id = 1373;</v>
      </c>
    </row>
    <row r="1375" customFormat="false" ht="14.25" hidden="false" customHeight="false" outlineLevel="0" collapsed="false">
      <c r="A1375" s="0" t="n">
        <v>1374</v>
      </c>
      <c r="B1375" s="0" t="n">
        <f aca="false">IF('Boletins Nuppa Site'!A1375&lt;&gt;0,'Boletins Nuppa Site'!A1375,"NULL")</f>
        <v>72</v>
      </c>
      <c r="C1375" s="0" t="n">
        <v>22</v>
      </c>
      <c r="D1375" s="30" t="n">
        <f aca="false">IF('Boletins Nuppa Site'!G1375&lt;&gt;0,'Boletins Nuppa Site'!G1375,"NULL")</f>
        <v>70</v>
      </c>
      <c r="E1375" s="30" t="n">
        <f aca="false">IF('Boletins Nuppa Site'!H1375&lt;&gt;0,'Boletins Nuppa Site'!H1375,"NULL")</f>
        <v>45</v>
      </c>
      <c r="F1375" s="30" t="n">
        <f aca="false">IF('Boletins Nuppa Site'!I1375&lt;&gt;0,'Boletins Nuppa Site'!I1375,"NULL")</f>
        <v>70</v>
      </c>
      <c r="G1375" s="0" t="str">
        <f aca="false">IF('Boletins Nuppa Site'!J1375&lt;&gt;0,'Boletins Nuppa Site'!J1375,"NULL")</f>
        <v>62.5</v>
      </c>
      <c r="H1375" s="0" t="str">
        <f aca="false">IF('Boletins Nuppa Site'!K1375&lt;&gt;0,'Boletins Nuppa Site'!K1375,"NULL")</f>
        <v>67.5</v>
      </c>
      <c r="I1375" s="0" t="str">
        <f aca="false">"INSERT INTO COTACAO (cot_id, cot_blt_id, cot_pap_id, cot_prc_comum, cot_prc_min, cot_prc_max, cot_prc_med, cot_prc_mediana) VALUES ("&amp;A1375&amp;", "&amp;B1375&amp;", "&amp;C1375&amp;", "&amp;D1375&amp;", "&amp;E1375&amp;", "&amp;F1375&amp;", "&amp;G1375&amp;", "&amp;H1375&amp;");"</f>
        <v>INSERT INTO COTACAO (cot_id, cot_blt_id, cot_pap_id, cot_prc_comum, cot_prc_min, cot_prc_max, cot_prc_med, cot_prc_mediana) VALUES (1374, 72, 22, 70, 45, 70, 62.5, 67.5);</v>
      </c>
      <c r="J1375" s="0" t="str">
        <f aca="false">"UPDATE COTACAO SET cot_id = "&amp;A1375&amp;", cot_blt_id = "&amp;B1375&amp;", cot_pap_id = "&amp;C1375&amp;", cot_prc_comum = "&amp;D1375&amp;", cot_prc_min = "&amp;E1375&amp;", cot_prc_max = "&amp;F1375&amp;", cot_prc_med = "&amp;G1375&amp;", cot_prc_mediana = "&amp;H1375&amp;" WHERE cot_id = "&amp;A1375&amp;";"</f>
        <v>UPDATE COTACAO SET cot_id = 1374, cot_blt_id = 72, cot_pap_id = 22, cot_prc_comum = 70, cot_prc_min = 45, cot_prc_max = 70, cot_prc_med = 62.5, cot_prc_mediana = 67.5 WHERE cot_id = 1374;</v>
      </c>
    </row>
    <row r="1376" customFormat="false" ht="14.25" hidden="false" customHeight="false" outlineLevel="0" collapsed="false">
      <c r="A1376" s="0" t="n">
        <v>1375</v>
      </c>
      <c r="B1376" s="0" t="n">
        <f aca="false">IF('Boletins Nuppa Site'!A1376&lt;&gt;0,'Boletins Nuppa Site'!A1376,"NULL")</f>
        <v>72</v>
      </c>
      <c r="C1376" s="0" t="n">
        <v>23</v>
      </c>
      <c r="D1376" s="30" t="n">
        <f aca="false">IF('Boletins Nuppa Site'!G1376&lt;&gt;0,'Boletins Nuppa Site'!G1376,"NULL")</f>
        <v>60</v>
      </c>
      <c r="E1376" s="30" t="n">
        <f aca="false">IF('Boletins Nuppa Site'!H1376&lt;&gt;0,'Boletins Nuppa Site'!H1376,"NULL")</f>
        <v>50</v>
      </c>
      <c r="F1376" s="30" t="n">
        <f aca="false">IF('Boletins Nuppa Site'!I1376&lt;&gt;0,'Boletins Nuppa Site'!I1376,"NULL")</f>
        <v>60</v>
      </c>
      <c r="G1376" s="0" t="str">
        <f aca="false">IF('Boletins Nuppa Site'!J1376&lt;&gt;0,'Boletins Nuppa Site'!J1376,"NULL")</f>
        <v>57.5</v>
      </c>
      <c r="H1376" s="30" t="n">
        <f aca="false">IF('Boletins Nuppa Site'!K1376&lt;&gt;0,'Boletins Nuppa Site'!K1376,"NULL")</f>
        <v>60</v>
      </c>
      <c r="I1376" s="0" t="str">
        <f aca="false">"INSERT INTO COTACAO (cot_id, cot_blt_id, cot_pap_id, cot_prc_comum, cot_prc_min, cot_prc_max, cot_prc_med, cot_prc_mediana) VALUES ("&amp;A1376&amp;", "&amp;B1376&amp;", "&amp;C1376&amp;", "&amp;D1376&amp;", "&amp;E1376&amp;", "&amp;F1376&amp;", "&amp;G1376&amp;", "&amp;H1376&amp;");"</f>
        <v>INSERT INTO COTACAO (cot_id, cot_blt_id, cot_pap_id, cot_prc_comum, cot_prc_min, cot_prc_max, cot_prc_med, cot_prc_mediana) VALUES (1375, 72, 23, 60, 50, 60, 57.5, 60);</v>
      </c>
      <c r="J1376" s="0" t="str">
        <f aca="false">"UPDATE COTACAO SET cot_id = "&amp;A1376&amp;", cot_blt_id = "&amp;B1376&amp;", cot_pap_id = "&amp;C1376&amp;", cot_prc_comum = "&amp;D1376&amp;", cot_prc_min = "&amp;E1376&amp;", cot_prc_max = "&amp;F1376&amp;", cot_prc_med = "&amp;G1376&amp;", cot_prc_mediana = "&amp;H1376&amp;" WHERE cot_id = "&amp;A1376&amp;";"</f>
        <v>UPDATE COTACAO SET cot_id = 1375, cot_blt_id = 72, cot_pap_id = 23, cot_prc_comum = 60, cot_prc_min = 50, cot_prc_max = 60, cot_prc_med = 57.5, cot_prc_mediana = 60 WHERE cot_id = 1375;</v>
      </c>
    </row>
    <row r="1377" customFormat="false" ht="14.25" hidden="false" customHeight="false" outlineLevel="0" collapsed="false">
      <c r="A1377" s="0" t="n">
        <v>1376</v>
      </c>
      <c r="B1377" s="0" t="n">
        <f aca="false">IF('Boletins Nuppa Site'!A1377&lt;&gt;0,'Boletins Nuppa Site'!A1377,"NULL")</f>
        <v>72</v>
      </c>
      <c r="C1377" s="0" t="n">
        <v>24</v>
      </c>
      <c r="D1377" s="0" t="str">
        <f aca="false">IF('Boletins Nuppa Site'!G1377&lt;&gt;0,'Boletins Nuppa Site'!G1377,"NULL")</f>
        <v>NULL</v>
      </c>
      <c r="E1377" s="30" t="n">
        <f aca="false">IF('Boletins Nuppa Site'!H1377&lt;&gt;0,'Boletins Nuppa Site'!H1377,"NULL")</f>
        <v>75</v>
      </c>
      <c r="F1377" s="30" t="n">
        <f aca="false">IF('Boletins Nuppa Site'!I1377&lt;&gt;0,'Boletins Nuppa Site'!I1377,"NULL")</f>
        <v>120</v>
      </c>
      <c r="G1377" s="0" t="str">
        <f aca="false">IF('Boletins Nuppa Site'!J1377&lt;&gt;0,'Boletins Nuppa Site'!J1377,"NULL")</f>
        <v>97.5</v>
      </c>
      <c r="H1377" s="0" t="str">
        <f aca="false">IF('Boletins Nuppa Site'!K1377&lt;&gt;0,'Boletins Nuppa Site'!K1377,"NULL")</f>
        <v>97.5</v>
      </c>
      <c r="I1377" s="0" t="str">
        <f aca="false">"INSERT INTO COTACAO (cot_id, cot_blt_id, cot_pap_id, cot_prc_comum, cot_prc_min, cot_prc_max, cot_prc_med, cot_prc_mediana) VALUES ("&amp;A1377&amp;", "&amp;B1377&amp;", "&amp;C1377&amp;", "&amp;D1377&amp;", "&amp;E1377&amp;", "&amp;F1377&amp;", "&amp;G1377&amp;", "&amp;H1377&amp;");"</f>
        <v>INSERT INTO COTACAO (cot_id, cot_blt_id, cot_pap_id, cot_prc_comum, cot_prc_min, cot_prc_max, cot_prc_med, cot_prc_mediana) VALUES (1376, 72, 24, NULL, 75, 120, 97.5, 97.5);</v>
      </c>
      <c r="J1377" s="0" t="str">
        <f aca="false">"UPDATE COTACAO SET cot_id = "&amp;A1377&amp;", cot_blt_id = "&amp;B1377&amp;", cot_pap_id = "&amp;C1377&amp;", cot_prc_comum = "&amp;D1377&amp;", cot_prc_min = "&amp;E1377&amp;", cot_prc_max = "&amp;F1377&amp;", cot_prc_med = "&amp;G1377&amp;", cot_prc_mediana = "&amp;H1377&amp;" WHERE cot_id = "&amp;A1377&amp;";"</f>
        <v>UPDATE COTACAO SET cot_id = 1376, cot_blt_id = 72, cot_pap_id = 24, cot_prc_comum = NULL, cot_prc_min = 75, cot_prc_max = 120, cot_prc_med = 97.5, cot_prc_mediana = 97.5 WHERE cot_id = 1376;</v>
      </c>
    </row>
    <row r="1378" customFormat="false" ht="14.25" hidden="false" customHeight="false" outlineLevel="0" collapsed="false">
      <c r="A1378" s="0" t="n">
        <v>1377</v>
      </c>
      <c r="B1378" s="0" t="n">
        <f aca="false">IF('Boletins Nuppa Site'!A1378&lt;&gt;0,'Boletins Nuppa Site'!A1378,"NULL")</f>
        <v>72</v>
      </c>
      <c r="C1378" s="0" t="n">
        <v>25</v>
      </c>
      <c r="D1378" s="0" t="str">
        <f aca="false">IF('Boletins Nuppa Site'!G1378&lt;&gt;0,'Boletins Nuppa Site'!G1378,"NULL")</f>
        <v>NULL</v>
      </c>
      <c r="E1378" s="30" t="n">
        <f aca="false">IF('Boletins Nuppa Site'!H1378&lt;&gt;0,'Boletins Nuppa Site'!H1378,"NULL")</f>
        <v>60</v>
      </c>
      <c r="F1378" s="30" t="n">
        <f aca="false">IF('Boletins Nuppa Site'!I1378&lt;&gt;0,'Boletins Nuppa Site'!I1378,"NULL")</f>
        <v>80</v>
      </c>
      <c r="G1378" s="0" t="str">
        <f aca="false">IF('Boletins Nuppa Site'!J1378&lt;&gt;0,'Boletins Nuppa Site'!J1378,"NULL")</f>
        <v>68.75</v>
      </c>
      <c r="H1378" s="0" t="str">
        <f aca="false">IF('Boletins Nuppa Site'!K1378&lt;&gt;0,'Boletins Nuppa Site'!K1378,"NULL")</f>
        <v>67.5</v>
      </c>
      <c r="I1378" s="0" t="str">
        <f aca="false">"INSERT INTO COTACAO (cot_id, cot_blt_id, cot_pap_id, cot_prc_comum, cot_prc_min, cot_prc_max, cot_prc_med, cot_prc_mediana) VALUES ("&amp;A1378&amp;", "&amp;B1378&amp;", "&amp;C1378&amp;", "&amp;D1378&amp;", "&amp;E1378&amp;", "&amp;F1378&amp;", "&amp;G1378&amp;", "&amp;H1378&amp;");"</f>
        <v>INSERT INTO COTACAO (cot_id, cot_blt_id, cot_pap_id, cot_prc_comum, cot_prc_min, cot_prc_max, cot_prc_med, cot_prc_mediana) VALUES (1377, 72, 25, NULL, 60, 80, 68.75, 67.5);</v>
      </c>
      <c r="J1378" s="0" t="str">
        <f aca="false">"UPDATE COTACAO SET cot_id = "&amp;A1378&amp;", cot_blt_id = "&amp;B1378&amp;", cot_pap_id = "&amp;C1378&amp;", cot_prc_comum = "&amp;D1378&amp;", cot_prc_min = "&amp;E1378&amp;", cot_prc_max = "&amp;F1378&amp;", cot_prc_med = "&amp;G1378&amp;", cot_prc_mediana = "&amp;H1378&amp;" WHERE cot_id = "&amp;A1378&amp;";"</f>
        <v>UPDATE COTACAO SET cot_id = 1377, cot_blt_id = 72, cot_pap_id = 25, cot_prc_comum = NULL, cot_prc_min = 60, cot_prc_max = 80, cot_prc_med = 68.75, cot_prc_mediana = 67.5 WHERE cot_id = 1377;</v>
      </c>
    </row>
    <row r="1379" customFormat="false" ht="14.25" hidden="false" customHeight="false" outlineLevel="0" collapsed="false">
      <c r="A1379" s="0" t="n">
        <v>1378</v>
      </c>
      <c r="B1379" s="0" t="n">
        <f aca="false">IF('Boletins Nuppa Site'!A1379&lt;&gt;0,'Boletins Nuppa Site'!A1379,"NULL")</f>
        <v>72</v>
      </c>
      <c r="C1379" s="0" t="n">
        <v>26</v>
      </c>
      <c r="D1379" s="30" t="n">
        <f aca="false">IF('Boletins Nuppa Site'!G1379&lt;&gt;0,'Boletins Nuppa Site'!G1379,"NULL")</f>
        <v>55</v>
      </c>
      <c r="E1379" s="30" t="n">
        <f aca="false">IF('Boletins Nuppa Site'!H1379&lt;&gt;0,'Boletins Nuppa Site'!H1379,"NULL")</f>
        <v>30</v>
      </c>
      <c r="F1379" s="30" t="n">
        <f aca="false">IF('Boletins Nuppa Site'!I1379&lt;&gt;0,'Boletins Nuppa Site'!I1379,"NULL")</f>
        <v>60</v>
      </c>
      <c r="G1379" s="30" t="n">
        <f aca="false">IF('Boletins Nuppa Site'!J1379&lt;&gt;0,'Boletins Nuppa Site'!J1379,"NULL")</f>
        <v>50</v>
      </c>
      <c r="H1379" s="30" t="n">
        <f aca="false">IF('Boletins Nuppa Site'!K1379&lt;&gt;0,'Boletins Nuppa Site'!K1379,"NULL")</f>
        <v>55</v>
      </c>
      <c r="I1379" s="0" t="str">
        <f aca="false">"INSERT INTO COTACAO (cot_id, cot_blt_id, cot_pap_id, cot_prc_comum, cot_prc_min, cot_prc_max, cot_prc_med, cot_prc_mediana) VALUES ("&amp;A1379&amp;", "&amp;B1379&amp;", "&amp;C1379&amp;", "&amp;D1379&amp;", "&amp;E1379&amp;", "&amp;F1379&amp;", "&amp;G1379&amp;", "&amp;H1379&amp;");"</f>
        <v>INSERT INTO COTACAO (cot_id, cot_blt_id, cot_pap_id, cot_prc_comum, cot_prc_min, cot_prc_max, cot_prc_med, cot_prc_mediana) VALUES (1378, 72, 26, 55, 30, 60, 50, 55);</v>
      </c>
      <c r="J1379" s="0" t="str">
        <f aca="false">"UPDATE COTACAO SET cot_id = "&amp;A1379&amp;", cot_blt_id = "&amp;B1379&amp;", cot_pap_id = "&amp;C1379&amp;", cot_prc_comum = "&amp;D1379&amp;", cot_prc_min = "&amp;E1379&amp;", cot_prc_max = "&amp;F1379&amp;", cot_prc_med = "&amp;G1379&amp;", cot_prc_mediana = "&amp;H1379&amp;" WHERE cot_id = "&amp;A1379&amp;";"</f>
        <v>UPDATE COTACAO SET cot_id = 1378, cot_blt_id = 72, cot_pap_id = 26, cot_prc_comum = 55, cot_prc_min = 30, cot_prc_max = 60, cot_prc_med = 50, cot_prc_mediana = 55 WHERE cot_id = 1378;</v>
      </c>
    </row>
    <row r="1380" customFormat="false" ht="14.25" hidden="false" customHeight="false" outlineLevel="0" collapsed="false">
      <c r="A1380" s="0" t="n">
        <v>1379</v>
      </c>
      <c r="B1380" s="0" t="n">
        <f aca="false">IF('Boletins Nuppa Site'!A1380&lt;&gt;0,'Boletins Nuppa Site'!A1380,"NULL")</f>
        <v>72</v>
      </c>
      <c r="C1380" s="0" t="n">
        <v>27</v>
      </c>
      <c r="D1380" s="30" t="n">
        <f aca="false">IF('Boletins Nuppa Site'!G1380&lt;&gt;0,'Boletins Nuppa Site'!G1380,"NULL")</f>
        <v>60</v>
      </c>
      <c r="E1380" s="30" t="n">
        <f aca="false">IF('Boletins Nuppa Site'!H1380&lt;&gt;0,'Boletins Nuppa Site'!H1380,"NULL")</f>
        <v>60</v>
      </c>
      <c r="F1380" s="30" t="n">
        <f aca="false">IF('Boletins Nuppa Site'!I1380&lt;&gt;0,'Boletins Nuppa Site'!I1380,"NULL")</f>
        <v>85</v>
      </c>
      <c r="G1380" s="0" t="str">
        <f aca="false">IF('Boletins Nuppa Site'!J1380&lt;&gt;0,'Boletins Nuppa Site'!J1380,"NULL")</f>
        <v>67.5</v>
      </c>
      <c r="H1380" s="0" t="str">
        <f aca="false">IF('Boletins Nuppa Site'!K1380&lt;&gt;0,'Boletins Nuppa Site'!K1380,"NULL")</f>
        <v>62.5</v>
      </c>
      <c r="I1380" s="0" t="str">
        <f aca="false">"INSERT INTO COTACAO (cot_id, cot_blt_id, cot_pap_id, cot_prc_comum, cot_prc_min, cot_prc_max, cot_prc_med, cot_prc_mediana) VALUES ("&amp;A1380&amp;", "&amp;B1380&amp;", "&amp;C1380&amp;", "&amp;D1380&amp;", "&amp;E1380&amp;", "&amp;F1380&amp;", "&amp;G1380&amp;", "&amp;H1380&amp;");"</f>
        <v>INSERT INTO COTACAO (cot_id, cot_blt_id, cot_pap_id, cot_prc_comum, cot_prc_min, cot_prc_max, cot_prc_med, cot_prc_mediana) VALUES (1379, 72, 27, 60, 60, 85, 67.5, 62.5);</v>
      </c>
      <c r="J1380" s="0" t="str">
        <f aca="false">"UPDATE COTACAO SET cot_id = "&amp;A1380&amp;", cot_blt_id = "&amp;B1380&amp;", cot_pap_id = "&amp;C1380&amp;", cot_prc_comum = "&amp;D1380&amp;", cot_prc_min = "&amp;E1380&amp;", cot_prc_max = "&amp;F1380&amp;", cot_prc_med = "&amp;G1380&amp;", cot_prc_mediana = "&amp;H1380&amp;" WHERE cot_id = "&amp;A1380&amp;";"</f>
        <v>UPDATE COTACAO SET cot_id = 1379, cot_blt_id = 72, cot_pap_id = 27, cot_prc_comum = 60, cot_prc_min = 60, cot_prc_max = 85, cot_prc_med = 67.5, cot_prc_mediana = 62.5 WHERE cot_id = 1379;</v>
      </c>
    </row>
    <row r="1381" customFormat="false" ht="14.25" hidden="false" customHeight="false" outlineLevel="0" collapsed="false">
      <c r="A1381" s="0" t="n">
        <v>1380</v>
      </c>
      <c r="B1381" s="0" t="n">
        <f aca="false">IF('Boletins Nuppa Site'!A1381&lt;&gt;0,'Boletins Nuppa Site'!A1381,"NULL")</f>
        <v>72</v>
      </c>
      <c r="C1381" s="0" t="n">
        <v>28</v>
      </c>
      <c r="D1381" s="30" t="n">
        <f aca="false">IF('Boletins Nuppa Site'!G1381&lt;&gt;0,'Boletins Nuppa Site'!G1381,"NULL")</f>
        <v>120</v>
      </c>
      <c r="E1381" s="30" t="n">
        <f aca="false">IF('Boletins Nuppa Site'!H1381&lt;&gt;0,'Boletins Nuppa Site'!H1381,"NULL")</f>
        <v>120</v>
      </c>
      <c r="F1381" s="30" t="n">
        <f aca="false">IF('Boletins Nuppa Site'!I1381&lt;&gt;0,'Boletins Nuppa Site'!I1381,"NULL")</f>
        <v>120</v>
      </c>
      <c r="G1381" s="30" t="n">
        <f aca="false">IF('Boletins Nuppa Site'!J1381&lt;&gt;0,'Boletins Nuppa Site'!J1381,"NULL")</f>
        <v>120</v>
      </c>
      <c r="H1381" s="30" t="n">
        <f aca="false">IF('Boletins Nuppa Site'!K1381&lt;&gt;0,'Boletins Nuppa Site'!K1381,"NULL")</f>
        <v>120</v>
      </c>
      <c r="I1381" s="0" t="str">
        <f aca="false">"INSERT INTO COTACAO (cot_id, cot_blt_id, cot_pap_id, cot_prc_comum, cot_prc_min, cot_prc_max, cot_prc_med, cot_prc_mediana) VALUES ("&amp;A1381&amp;", "&amp;B1381&amp;", "&amp;C1381&amp;", "&amp;D1381&amp;", "&amp;E1381&amp;", "&amp;F1381&amp;", "&amp;G1381&amp;", "&amp;H1381&amp;");"</f>
        <v>INSERT INTO COTACAO (cot_id, cot_blt_id, cot_pap_id, cot_prc_comum, cot_prc_min, cot_prc_max, cot_prc_med, cot_prc_mediana) VALUES (1380, 72, 28, 120, 120, 120, 120, 120);</v>
      </c>
      <c r="J1381" s="0" t="str">
        <f aca="false">"UPDATE COTACAO SET cot_id = "&amp;A1381&amp;", cot_blt_id = "&amp;B1381&amp;", cot_pap_id = "&amp;C1381&amp;", cot_prc_comum = "&amp;D1381&amp;", cot_prc_min = "&amp;E1381&amp;", cot_prc_max = "&amp;F1381&amp;", cot_prc_med = "&amp;G1381&amp;", cot_prc_mediana = "&amp;H1381&amp;" WHERE cot_id = "&amp;A1381&amp;";"</f>
        <v>UPDATE COTACAO SET cot_id = 1380, cot_blt_id = 72, cot_pap_id = 28, cot_prc_comum = 120, cot_prc_min = 120, cot_prc_max = 120, cot_prc_med = 120, cot_prc_mediana = 120 WHERE cot_id = 1380;</v>
      </c>
    </row>
    <row r="1382" customFormat="false" ht="14.25" hidden="false" customHeight="false" outlineLevel="0" collapsed="false">
      <c r="A1382" s="0" t="n">
        <v>1381</v>
      </c>
      <c r="B1382" s="0" t="n">
        <f aca="false">IF('Boletins Nuppa Site'!A1382&lt;&gt;0,'Boletins Nuppa Site'!A1382,"NULL")</f>
        <v>72</v>
      </c>
      <c r="C1382" s="0" t="n">
        <v>29</v>
      </c>
      <c r="D1382" s="0" t="str">
        <f aca="false">IF('Boletins Nuppa Site'!G1382&lt;&gt;0,'Boletins Nuppa Site'!G1382,"NULL")</f>
        <v>NULL</v>
      </c>
      <c r="E1382" s="30" t="n">
        <f aca="false">IF('Boletins Nuppa Site'!H1382&lt;&gt;0,'Boletins Nuppa Site'!H1382,"NULL")</f>
        <v>50</v>
      </c>
      <c r="F1382" s="30" t="n">
        <f aca="false">IF('Boletins Nuppa Site'!I1382&lt;&gt;0,'Boletins Nuppa Site'!I1382,"NULL")</f>
        <v>50</v>
      </c>
      <c r="G1382" s="30" t="n">
        <f aca="false">IF('Boletins Nuppa Site'!J1382&lt;&gt;0,'Boletins Nuppa Site'!J1382,"NULL")</f>
        <v>50</v>
      </c>
      <c r="H1382" s="30" t="n">
        <f aca="false">IF('Boletins Nuppa Site'!K1382&lt;&gt;0,'Boletins Nuppa Site'!K1382,"NULL")</f>
        <v>50</v>
      </c>
      <c r="I1382" s="0" t="str">
        <f aca="false">"INSERT INTO COTACAO (cot_id, cot_blt_id, cot_pap_id, cot_prc_comum, cot_prc_min, cot_prc_max, cot_prc_med, cot_prc_mediana) VALUES ("&amp;A1382&amp;", "&amp;B1382&amp;", "&amp;C1382&amp;", "&amp;D1382&amp;", "&amp;E1382&amp;", "&amp;F1382&amp;", "&amp;G1382&amp;", "&amp;H1382&amp;");"</f>
        <v>INSERT INTO COTACAO (cot_id, cot_blt_id, cot_pap_id, cot_prc_comum, cot_prc_min, cot_prc_max, cot_prc_med, cot_prc_mediana) VALUES (1381, 72, 29, NULL, 50, 50, 50, 50);</v>
      </c>
      <c r="J1382" s="0" t="str">
        <f aca="false">"UPDATE COTACAO SET cot_id = "&amp;A1382&amp;", cot_blt_id = "&amp;B1382&amp;", cot_pap_id = "&amp;C1382&amp;", cot_prc_comum = "&amp;D1382&amp;", cot_prc_min = "&amp;E1382&amp;", cot_prc_max = "&amp;F1382&amp;", cot_prc_med = "&amp;G1382&amp;", cot_prc_mediana = "&amp;H1382&amp;" WHERE cot_id = "&amp;A1382&amp;";"</f>
        <v>UPDATE COTACAO SET cot_id = 1381, cot_blt_id = 72, cot_pap_id = 29, cot_prc_comum = NULL, cot_prc_min = 50, cot_prc_max = 50, cot_prc_med = 50, cot_prc_mediana = 50 WHERE cot_id = 1381;</v>
      </c>
    </row>
    <row r="1383" customFormat="false" ht="14.25" hidden="false" customHeight="false" outlineLevel="0" collapsed="false">
      <c r="A1383" s="0" t="n">
        <v>1382</v>
      </c>
      <c r="B1383" s="0" t="n">
        <f aca="false">IF('Boletins Nuppa Site'!A1383&lt;&gt;0,'Boletins Nuppa Site'!A1383,"NULL")</f>
        <v>72</v>
      </c>
      <c r="C1383" s="0" t="n">
        <v>30</v>
      </c>
      <c r="D1383" s="30" t="n">
        <f aca="false">IF('Boletins Nuppa Site'!G1383&lt;&gt;0,'Boletins Nuppa Site'!G1383,"NULL")</f>
        <v>100</v>
      </c>
      <c r="E1383" s="30" t="n">
        <f aca="false">IF('Boletins Nuppa Site'!H1383&lt;&gt;0,'Boletins Nuppa Site'!H1383,"NULL")</f>
        <v>100</v>
      </c>
      <c r="F1383" s="30" t="n">
        <f aca="false">IF('Boletins Nuppa Site'!I1383&lt;&gt;0,'Boletins Nuppa Site'!I1383,"NULL")</f>
        <v>100</v>
      </c>
      <c r="G1383" s="30" t="n">
        <f aca="false">IF('Boletins Nuppa Site'!J1383&lt;&gt;0,'Boletins Nuppa Site'!J1383,"NULL")</f>
        <v>100</v>
      </c>
      <c r="H1383" s="30" t="n">
        <f aca="false">IF('Boletins Nuppa Site'!K1383&lt;&gt;0,'Boletins Nuppa Site'!K1383,"NULL")</f>
        <v>100</v>
      </c>
      <c r="I1383" s="0" t="str">
        <f aca="false">"INSERT INTO COTACAO (cot_id, cot_blt_id, cot_pap_id, cot_prc_comum, cot_prc_min, cot_prc_max, cot_prc_med, cot_prc_mediana) VALUES ("&amp;A1383&amp;", "&amp;B1383&amp;", "&amp;C1383&amp;", "&amp;D1383&amp;", "&amp;E1383&amp;", "&amp;F1383&amp;", "&amp;G1383&amp;", "&amp;H1383&amp;");"</f>
        <v>INSERT INTO COTACAO (cot_id, cot_blt_id, cot_pap_id, cot_prc_comum, cot_prc_min, cot_prc_max, cot_prc_med, cot_prc_mediana) VALUES (1382, 72, 30, 100, 100, 100, 100, 100);</v>
      </c>
      <c r="J1383" s="0" t="str">
        <f aca="false">"UPDATE COTACAO SET cot_id = "&amp;A1383&amp;", cot_blt_id = "&amp;B1383&amp;", cot_pap_id = "&amp;C1383&amp;", cot_prc_comum = "&amp;D1383&amp;", cot_prc_min = "&amp;E1383&amp;", cot_prc_max = "&amp;F1383&amp;", cot_prc_med = "&amp;G1383&amp;", cot_prc_mediana = "&amp;H1383&amp;" WHERE cot_id = "&amp;A1383&amp;";"</f>
        <v>UPDATE COTACAO SET cot_id = 1382, cot_blt_id = 72, cot_pap_id = 30, cot_prc_comum = 100, cot_prc_min = 100, cot_prc_max = 100, cot_prc_med = 100, cot_prc_mediana = 100 WHERE cot_id = 1382;</v>
      </c>
    </row>
    <row r="1384" customFormat="false" ht="14.25" hidden="false" customHeight="false" outlineLevel="0" collapsed="false">
      <c r="A1384" s="0" t="n">
        <v>1383</v>
      </c>
      <c r="B1384" s="0" t="n">
        <f aca="false">IF('Boletins Nuppa Site'!A1384&lt;&gt;0,'Boletins Nuppa Site'!A1384,"NULL")</f>
        <v>72</v>
      </c>
      <c r="C1384" s="0" t="n">
        <v>31</v>
      </c>
      <c r="D1384" s="30" t="n">
        <f aca="false">IF('Boletins Nuppa Site'!G1384&lt;&gt;0,'Boletins Nuppa Site'!G1384,"NULL")</f>
        <v>120</v>
      </c>
      <c r="E1384" s="30" t="n">
        <f aca="false">IF('Boletins Nuppa Site'!H1384&lt;&gt;0,'Boletins Nuppa Site'!H1384,"NULL")</f>
        <v>120</v>
      </c>
      <c r="F1384" s="30" t="n">
        <f aca="false">IF('Boletins Nuppa Site'!I1384&lt;&gt;0,'Boletins Nuppa Site'!I1384,"NULL")</f>
        <v>140</v>
      </c>
      <c r="G1384" s="0" t="str">
        <f aca="false">IF('Boletins Nuppa Site'!J1384&lt;&gt;0,'Boletins Nuppa Site'!J1384,"NULL")</f>
        <v>127.5</v>
      </c>
      <c r="H1384" s="30" t="n">
        <f aca="false">IF('Boletins Nuppa Site'!K1384&lt;&gt;0,'Boletins Nuppa Site'!K1384,"NULL")</f>
        <v>125</v>
      </c>
      <c r="I1384" s="0" t="str">
        <f aca="false">"INSERT INTO COTACAO (cot_id, cot_blt_id, cot_pap_id, cot_prc_comum, cot_prc_min, cot_prc_max, cot_prc_med, cot_prc_mediana) VALUES ("&amp;A1384&amp;", "&amp;B1384&amp;", "&amp;C1384&amp;", "&amp;D1384&amp;", "&amp;E1384&amp;", "&amp;F1384&amp;", "&amp;G1384&amp;", "&amp;H1384&amp;");"</f>
        <v>INSERT INTO COTACAO (cot_id, cot_blt_id, cot_pap_id, cot_prc_comum, cot_prc_min, cot_prc_max, cot_prc_med, cot_prc_mediana) VALUES (1383, 72, 31, 120, 120, 140, 127.5, 125);</v>
      </c>
      <c r="J1384" s="0" t="str">
        <f aca="false">"UPDATE COTACAO SET cot_id = "&amp;A1384&amp;", cot_blt_id = "&amp;B1384&amp;", cot_pap_id = "&amp;C1384&amp;", cot_prc_comum = "&amp;D1384&amp;", cot_prc_min = "&amp;E1384&amp;", cot_prc_max = "&amp;F1384&amp;", cot_prc_med = "&amp;G1384&amp;", cot_prc_mediana = "&amp;H1384&amp;" WHERE cot_id = "&amp;A1384&amp;";"</f>
        <v>UPDATE COTACAO SET cot_id = 1383, cot_blt_id = 72, cot_pap_id = 31, cot_prc_comum = 120, cot_prc_min = 120, cot_prc_max = 140, cot_prc_med = 127.5, cot_prc_mediana = 125 WHERE cot_id = 1383;</v>
      </c>
    </row>
    <row r="1385" customFormat="false" ht="14.25" hidden="false" customHeight="false" outlineLevel="0" collapsed="false">
      <c r="A1385" s="0" t="n">
        <v>1384</v>
      </c>
      <c r="B1385" s="0" t="n">
        <f aca="false">IF('Boletins Nuppa Site'!A1385&lt;&gt;0,'Boletins Nuppa Site'!A1385,"NULL")</f>
        <v>72</v>
      </c>
      <c r="C1385" s="0" t="n">
        <v>32</v>
      </c>
      <c r="D1385" s="0" t="str">
        <f aca="false">IF('Boletins Nuppa Site'!G1385&lt;&gt;0,'Boletins Nuppa Site'!G1385,"NULL")</f>
        <v>NULL</v>
      </c>
      <c r="E1385" s="30" t="n">
        <f aca="false">IF('Boletins Nuppa Site'!H1385&lt;&gt;0,'Boletins Nuppa Site'!H1385,"NULL")</f>
        <v>45</v>
      </c>
      <c r="F1385" s="30" t="n">
        <f aca="false">IF('Boletins Nuppa Site'!I1385&lt;&gt;0,'Boletins Nuppa Site'!I1385,"NULL")</f>
        <v>80</v>
      </c>
      <c r="G1385" s="30" t="n">
        <f aca="false">IF('Boletins Nuppa Site'!J1385&lt;&gt;0,'Boletins Nuppa Site'!J1385,"NULL")</f>
        <v>60</v>
      </c>
      <c r="H1385" s="0" t="str">
        <f aca="false">IF('Boletins Nuppa Site'!K1385&lt;&gt;0,'Boletins Nuppa Site'!K1385,"NULL")</f>
        <v>57.5</v>
      </c>
      <c r="I1385" s="0" t="str">
        <f aca="false">"INSERT INTO COTACAO (cot_id, cot_blt_id, cot_pap_id, cot_prc_comum, cot_prc_min, cot_prc_max, cot_prc_med, cot_prc_mediana) VALUES ("&amp;A1385&amp;", "&amp;B1385&amp;", "&amp;C1385&amp;", "&amp;D1385&amp;", "&amp;E1385&amp;", "&amp;F1385&amp;", "&amp;G1385&amp;", "&amp;H1385&amp;");"</f>
        <v>INSERT INTO COTACAO (cot_id, cot_blt_id, cot_pap_id, cot_prc_comum, cot_prc_min, cot_prc_max, cot_prc_med, cot_prc_mediana) VALUES (1384, 72, 32, NULL, 45, 80, 60, 57.5);</v>
      </c>
      <c r="J1385" s="0" t="str">
        <f aca="false">"UPDATE COTACAO SET cot_id = "&amp;A1385&amp;", cot_blt_id = "&amp;B1385&amp;", cot_pap_id = "&amp;C1385&amp;", cot_prc_comum = "&amp;D1385&amp;", cot_prc_min = "&amp;E1385&amp;", cot_prc_max = "&amp;F1385&amp;", cot_prc_med = "&amp;G1385&amp;", cot_prc_mediana = "&amp;H1385&amp;" WHERE cot_id = "&amp;A1385&amp;";"</f>
        <v>UPDATE COTACAO SET cot_id = 1384, cot_blt_id = 72, cot_pap_id = 32, cot_prc_comum = NULL, cot_prc_min = 45, cot_prc_max = 80, cot_prc_med = 60, cot_prc_mediana = 57.5 WHERE cot_id = 1384;</v>
      </c>
    </row>
    <row r="1386" customFormat="false" ht="14.25" hidden="false" customHeight="false" outlineLevel="0" collapsed="false">
      <c r="A1386" s="0" t="n">
        <v>1385</v>
      </c>
      <c r="B1386" s="0" t="n">
        <f aca="false">IF('Boletins Nuppa Site'!A1386&lt;&gt;0,'Boletins Nuppa Site'!A1386,"NULL")</f>
        <v>72</v>
      </c>
      <c r="C1386" s="0" t="n">
        <v>33</v>
      </c>
      <c r="D1386" s="30" t="n">
        <f aca="false">IF('Boletins Nuppa Site'!G1386&lt;&gt;0,'Boletins Nuppa Site'!G1386,"NULL")</f>
        <v>140</v>
      </c>
      <c r="E1386" s="30" t="n">
        <f aca="false">IF('Boletins Nuppa Site'!H1386&lt;&gt;0,'Boletins Nuppa Site'!H1386,"NULL")</f>
        <v>140</v>
      </c>
      <c r="F1386" s="30" t="n">
        <f aca="false">IF('Boletins Nuppa Site'!I1386&lt;&gt;0,'Boletins Nuppa Site'!I1386,"NULL")</f>
        <v>175</v>
      </c>
      <c r="G1386" s="0" t="str">
        <f aca="false">IF('Boletins Nuppa Site'!J1386&lt;&gt;0,'Boletins Nuppa Site'!J1386,"NULL")</f>
        <v>151.25</v>
      </c>
      <c r="H1386" s="30" t="n">
        <f aca="false">IF('Boletins Nuppa Site'!K1386&lt;&gt;0,'Boletins Nuppa Site'!K1386,"NULL")</f>
        <v>145</v>
      </c>
      <c r="I1386" s="0" t="str">
        <f aca="false">"INSERT INTO COTACAO (cot_id, cot_blt_id, cot_pap_id, cot_prc_comum, cot_prc_min, cot_prc_max, cot_prc_med, cot_prc_mediana) VALUES ("&amp;A1386&amp;", "&amp;B1386&amp;", "&amp;C1386&amp;", "&amp;D1386&amp;", "&amp;E1386&amp;", "&amp;F1386&amp;", "&amp;G1386&amp;", "&amp;H1386&amp;");"</f>
        <v>INSERT INTO COTACAO (cot_id, cot_blt_id, cot_pap_id, cot_prc_comum, cot_prc_min, cot_prc_max, cot_prc_med, cot_prc_mediana) VALUES (1385, 72, 33, 140, 140, 175, 151.25, 145);</v>
      </c>
      <c r="J1386" s="0" t="str">
        <f aca="false">"UPDATE COTACAO SET cot_id = "&amp;A1386&amp;", cot_blt_id = "&amp;B1386&amp;", cot_pap_id = "&amp;C1386&amp;", cot_prc_comum = "&amp;D1386&amp;", cot_prc_min = "&amp;E1386&amp;", cot_prc_max = "&amp;F1386&amp;", cot_prc_med = "&amp;G1386&amp;", cot_prc_mediana = "&amp;H1386&amp;" WHERE cot_id = "&amp;A1386&amp;";"</f>
        <v>UPDATE COTACAO SET cot_id = 1385, cot_blt_id = 72, cot_pap_id = 33, cot_prc_comum = 140, cot_prc_min = 140, cot_prc_max = 175, cot_prc_med = 151.25, cot_prc_mediana = 145 WHERE cot_id = 1385;</v>
      </c>
    </row>
    <row r="1387" customFormat="false" ht="14.25" hidden="false" customHeight="false" outlineLevel="0" collapsed="false">
      <c r="A1387" s="0" t="n">
        <v>1386</v>
      </c>
      <c r="B1387" s="0" t="n">
        <f aca="false">IF('Boletins Nuppa Site'!A1387&lt;&gt;0,'Boletins Nuppa Site'!A1387,"NULL")</f>
        <v>72</v>
      </c>
      <c r="C1387" s="0" t="n">
        <v>34</v>
      </c>
      <c r="D1387" s="30" t="n">
        <f aca="false">IF('Boletins Nuppa Site'!G1387&lt;&gt;0,'Boletins Nuppa Site'!G1387,"NULL")</f>
        <v>80</v>
      </c>
      <c r="E1387" s="30" t="n">
        <f aca="false">IF('Boletins Nuppa Site'!H1387&lt;&gt;0,'Boletins Nuppa Site'!H1387,"NULL")</f>
        <v>45</v>
      </c>
      <c r="F1387" s="30" t="n">
        <f aca="false">IF('Boletins Nuppa Site'!I1387&lt;&gt;0,'Boletins Nuppa Site'!I1387,"NULL")</f>
        <v>90</v>
      </c>
      <c r="G1387" s="0" t="str">
        <f aca="false">IF('Boletins Nuppa Site'!J1387&lt;&gt;0,'Boletins Nuppa Site'!J1387,"NULL")</f>
        <v>73.75</v>
      </c>
      <c r="H1387" s="30" t="n">
        <f aca="false">IF('Boletins Nuppa Site'!K1387&lt;&gt;0,'Boletins Nuppa Site'!K1387,"NULL")</f>
        <v>80</v>
      </c>
      <c r="I1387" s="0" t="str">
        <f aca="false">"INSERT INTO COTACAO (cot_id, cot_blt_id, cot_pap_id, cot_prc_comum, cot_prc_min, cot_prc_max, cot_prc_med, cot_prc_mediana) VALUES ("&amp;A1387&amp;", "&amp;B1387&amp;", "&amp;C1387&amp;", "&amp;D1387&amp;", "&amp;E1387&amp;", "&amp;F1387&amp;", "&amp;G1387&amp;", "&amp;H1387&amp;");"</f>
        <v>INSERT INTO COTACAO (cot_id, cot_blt_id, cot_pap_id, cot_prc_comum, cot_prc_min, cot_prc_max, cot_prc_med, cot_prc_mediana) VALUES (1386, 72, 34, 80, 45, 90, 73.75, 80);</v>
      </c>
      <c r="J1387" s="0" t="str">
        <f aca="false">"UPDATE COTACAO SET cot_id = "&amp;A1387&amp;", cot_blt_id = "&amp;B1387&amp;", cot_pap_id = "&amp;C1387&amp;", cot_prc_comum = "&amp;D1387&amp;", cot_prc_min = "&amp;E1387&amp;", cot_prc_max = "&amp;F1387&amp;", cot_prc_med = "&amp;G1387&amp;", cot_prc_mediana = "&amp;H1387&amp;" WHERE cot_id = "&amp;A1387&amp;";"</f>
        <v>UPDATE COTACAO SET cot_id = 1386, cot_blt_id = 72, cot_pap_id = 34, cot_prc_comum = 80, cot_prc_min = 45, cot_prc_max = 90, cot_prc_med = 73.75, cot_prc_mediana = 80 WHERE cot_id = 1386;</v>
      </c>
    </row>
    <row r="1388" customFormat="false" ht="14.25" hidden="false" customHeight="false" outlineLevel="0" collapsed="false">
      <c r="A1388" s="0" t="n">
        <v>1387</v>
      </c>
      <c r="B1388" s="0" t="n">
        <f aca="false">IF('Boletins Nuppa Site'!A1388&lt;&gt;0,'Boletins Nuppa Site'!A1388,"NULL")</f>
        <v>72</v>
      </c>
      <c r="C1388" s="0" t="n">
        <v>35</v>
      </c>
      <c r="D1388" s="30" t="n">
        <f aca="false">IF('Boletins Nuppa Site'!G1388&lt;&gt;0,'Boletins Nuppa Site'!G1388,"NULL")</f>
        <v>110</v>
      </c>
      <c r="E1388" s="30" t="n">
        <f aca="false">IF('Boletins Nuppa Site'!H1388&lt;&gt;0,'Boletins Nuppa Site'!H1388,"NULL")</f>
        <v>110</v>
      </c>
      <c r="F1388" s="30" t="n">
        <f aca="false">IF('Boletins Nuppa Site'!I1388&lt;&gt;0,'Boletins Nuppa Site'!I1388,"NULL")</f>
        <v>120</v>
      </c>
      <c r="G1388" s="0" t="str">
        <f aca="false">IF('Boletins Nuppa Site'!J1388&lt;&gt;0,'Boletins Nuppa Site'!J1388,"NULL")</f>
        <v>113.33</v>
      </c>
      <c r="H1388" s="30" t="n">
        <f aca="false">IF('Boletins Nuppa Site'!K1388&lt;&gt;0,'Boletins Nuppa Site'!K1388,"NULL")</f>
        <v>110</v>
      </c>
      <c r="I1388" s="0" t="str">
        <f aca="false">"INSERT INTO COTACAO (cot_id, cot_blt_id, cot_pap_id, cot_prc_comum, cot_prc_min, cot_prc_max, cot_prc_med, cot_prc_mediana) VALUES ("&amp;A1388&amp;", "&amp;B1388&amp;", "&amp;C1388&amp;", "&amp;D1388&amp;", "&amp;E1388&amp;", "&amp;F1388&amp;", "&amp;G1388&amp;", "&amp;H1388&amp;");"</f>
        <v>INSERT INTO COTACAO (cot_id, cot_blt_id, cot_pap_id, cot_prc_comum, cot_prc_min, cot_prc_max, cot_prc_med, cot_prc_mediana) VALUES (1387, 72, 35, 110, 110, 120, 113.33, 110);</v>
      </c>
      <c r="J1388" s="0" t="str">
        <f aca="false">"UPDATE COTACAO SET cot_id = "&amp;A1388&amp;", cot_blt_id = "&amp;B1388&amp;", cot_pap_id = "&amp;C1388&amp;", cot_prc_comum = "&amp;D1388&amp;", cot_prc_min = "&amp;E1388&amp;", cot_prc_max = "&amp;F1388&amp;", cot_prc_med = "&amp;G1388&amp;", cot_prc_mediana = "&amp;H1388&amp;" WHERE cot_id = "&amp;A1388&amp;";"</f>
        <v>UPDATE COTACAO SET cot_id = 1387, cot_blt_id = 72, cot_pap_id = 35, cot_prc_comum = 110, cot_prc_min = 110, cot_prc_max = 120, cot_prc_med = 113.33, cot_prc_mediana = 110 WHERE cot_id = 1387;</v>
      </c>
    </row>
    <row r="1389" customFormat="false" ht="14.25" hidden="false" customHeight="false" outlineLevel="0" collapsed="false">
      <c r="A1389" s="0" t="n">
        <v>1388</v>
      </c>
      <c r="B1389" s="0" t="n">
        <f aca="false">IF('Boletins Nuppa Site'!A1389&lt;&gt;0,'Boletins Nuppa Site'!A1389,"NULL")</f>
        <v>72</v>
      </c>
      <c r="C1389" s="0" t="n">
        <v>36</v>
      </c>
      <c r="D1389" s="0" t="str">
        <f aca="false">IF('Boletins Nuppa Site'!G1389&lt;&gt;0,'Boletins Nuppa Site'!G1389,"NULL")</f>
        <v>NULL</v>
      </c>
      <c r="E1389" s="0" t="str">
        <f aca="false">IF('Boletins Nuppa Site'!H1389&lt;&gt;0,'Boletins Nuppa Site'!H1389,"NULL")</f>
        <v>NULL</v>
      </c>
      <c r="F1389" s="0" t="str">
        <f aca="false">IF('Boletins Nuppa Site'!I1389&lt;&gt;0,'Boletins Nuppa Site'!I1389,"NULL")</f>
        <v>NULL</v>
      </c>
      <c r="G1389" s="0" t="str">
        <f aca="false">IF('Boletins Nuppa Site'!J1389&lt;&gt;0,'Boletins Nuppa Site'!J1389,"NULL")</f>
        <v>NULL</v>
      </c>
      <c r="H1389" s="0" t="str">
        <f aca="false">IF('Boletins Nuppa Site'!K1389&lt;&gt;0,'Boletins Nuppa Site'!K1389,"NULL")</f>
        <v>NULL</v>
      </c>
      <c r="I1389" s="0" t="str">
        <f aca="false">"INSERT INTO COTACAO (cot_id, cot_blt_id, cot_pap_id, cot_prc_comum, cot_prc_min, cot_prc_max, cot_prc_med, cot_prc_mediana) VALUES ("&amp;A1389&amp;", "&amp;B1389&amp;", "&amp;C1389&amp;", "&amp;D1389&amp;", "&amp;E1389&amp;", "&amp;F1389&amp;", "&amp;G1389&amp;", "&amp;H1389&amp;");"</f>
        <v>INSERT INTO COTACAO (cot_id, cot_blt_id, cot_pap_id, cot_prc_comum, cot_prc_min, cot_prc_max, cot_prc_med, cot_prc_mediana) VALUES (1388, 72, 36, NULL, NULL, NULL, NULL, NULL);</v>
      </c>
      <c r="J1389" s="0" t="str">
        <f aca="false">"UPDATE COTACAO SET cot_id = "&amp;A1389&amp;", cot_blt_id = "&amp;B1389&amp;", cot_pap_id = "&amp;C1389&amp;", cot_prc_comum = "&amp;D1389&amp;", cot_prc_min = "&amp;E1389&amp;", cot_prc_max = "&amp;F1389&amp;", cot_prc_med = "&amp;G1389&amp;", cot_prc_mediana = "&amp;H1389&amp;" WHERE cot_id = "&amp;A1389&amp;";"</f>
        <v>UPDATE COTACAO SET cot_id = 1388, cot_blt_id = 72, cot_pap_id = 36, cot_prc_comum = NULL, cot_prc_min = NULL, cot_prc_max = NULL, cot_prc_med = NULL, cot_prc_mediana = NULL WHERE cot_id = 1388;</v>
      </c>
    </row>
    <row r="1390" customFormat="false" ht="14.25" hidden="false" customHeight="false" outlineLevel="0" collapsed="false">
      <c r="A1390" s="0" t="n">
        <v>1389</v>
      </c>
      <c r="B1390" s="0" t="n">
        <f aca="false">IF('Boletins Nuppa Site'!A1390&lt;&gt;0,'Boletins Nuppa Site'!A1390,"NULL")</f>
        <v>72</v>
      </c>
      <c r="C1390" s="0" t="n">
        <v>37</v>
      </c>
      <c r="D1390" s="0" t="str">
        <f aca="false">IF('Boletins Nuppa Site'!G1390&lt;&gt;0,'Boletins Nuppa Site'!G1390,"NULL")</f>
        <v>NULL</v>
      </c>
      <c r="E1390" s="0" t="str">
        <f aca="false">IF('Boletins Nuppa Site'!H1390&lt;&gt;0,'Boletins Nuppa Site'!H1390,"NULL")</f>
        <v>NULL</v>
      </c>
      <c r="F1390" s="0" t="str">
        <f aca="false">IF('Boletins Nuppa Site'!I1390&lt;&gt;0,'Boletins Nuppa Site'!I1390,"NULL")</f>
        <v>NULL</v>
      </c>
      <c r="G1390" s="0" t="str">
        <f aca="false">IF('Boletins Nuppa Site'!J1390&lt;&gt;0,'Boletins Nuppa Site'!J1390,"NULL")</f>
        <v>NULL</v>
      </c>
      <c r="H1390" s="0" t="str">
        <f aca="false">IF('Boletins Nuppa Site'!K1390&lt;&gt;0,'Boletins Nuppa Site'!K1390,"NULL")</f>
        <v>NULL</v>
      </c>
      <c r="I1390" s="0" t="str">
        <f aca="false">"INSERT INTO COTACAO (cot_id, cot_blt_id, cot_pap_id, cot_prc_comum, cot_prc_min, cot_prc_max, cot_prc_med, cot_prc_mediana) VALUES ("&amp;A1390&amp;", "&amp;B1390&amp;", "&amp;C1390&amp;", "&amp;D1390&amp;", "&amp;E1390&amp;", "&amp;F1390&amp;", "&amp;G1390&amp;", "&amp;H1390&amp;");"</f>
        <v>INSERT INTO COTACAO (cot_id, cot_blt_id, cot_pap_id, cot_prc_comum, cot_prc_min, cot_prc_max, cot_prc_med, cot_prc_mediana) VALUES (1389, 72, 37, NULL, NULL, NULL, NULL, NULL);</v>
      </c>
      <c r="J1390" s="0" t="str">
        <f aca="false">"UPDATE COTACAO SET cot_id = "&amp;A1390&amp;", cot_blt_id = "&amp;B1390&amp;", cot_pap_id = "&amp;C1390&amp;", cot_prc_comum = "&amp;D1390&amp;", cot_prc_min = "&amp;E1390&amp;", cot_prc_max = "&amp;F1390&amp;", cot_prc_med = "&amp;G1390&amp;", cot_prc_mediana = "&amp;H1390&amp;" WHERE cot_id = "&amp;A1390&amp;";"</f>
        <v>UPDATE COTACAO SET cot_id = 1389, cot_blt_id = 72, cot_pap_id = 37, cot_prc_comum = NULL, cot_prc_min = NULL, cot_prc_max = NULL, cot_prc_med = NULL, cot_prc_mediana = NULL WHERE cot_id = 1389;</v>
      </c>
    </row>
    <row r="1391" customFormat="false" ht="14.25" hidden="false" customHeight="false" outlineLevel="0" collapsed="false">
      <c r="A1391" s="0" t="n">
        <v>1390</v>
      </c>
      <c r="B1391" s="0" t="n">
        <f aca="false">IF('Boletins Nuppa Site'!A1391&lt;&gt;0,'Boletins Nuppa Site'!A1391,"NULL")</f>
        <v>72</v>
      </c>
      <c r="C1391" s="0" t="n">
        <v>38</v>
      </c>
      <c r="D1391" s="0" t="str">
        <f aca="false">IF('Boletins Nuppa Site'!G1391&lt;&gt;0,'Boletins Nuppa Site'!G1391,"NULL")</f>
        <v>NULL</v>
      </c>
      <c r="E1391" s="0" t="str">
        <f aca="false">IF('Boletins Nuppa Site'!H1391&lt;&gt;0,'Boletins Nuppa Site'!H1391,"NULL")</f>
        <v>NULL</v>
      </c>
      <c r="F1391" s="0" t="str">
        <f aca="false">IF('Boletins Nuppa Site'!I1391&lt;&gt;0,'Boletins Nuppa Site'!I1391,"NULL")</f>
        <v>NULL</v>
      </c>
      <c r="G1391" s="0" t="str">
        <f aca="false">IF('Boletins Nuppa Site'!J1391&lt;&gt;0,'Boletins Nuppa Site'!J1391,"NULL")</f>
        <v>NULL</v>
      </c>
      <c r="H1391" s="0" t="str">
        <f aca="false">IF('Boletins Nuppa Site'!K1391&lt;&gt;0,'Boletins Nuppa Site'!K1391,"NULL")</f>
        <v>NULL</v>
      </c>
      <c r="I1391" s="0" t="str">
        <f aca="false">"INSERT INTO COTACAO (cot_id, cot_blt_id, cot_pap_id, cot_prc_comum, cot_prc_min, cot_prc_max, cot_prc_med, cot_prc_mediana) VALUES ("&amp;A1391&amp;", "&amp;B1391&amp;", "&amp;C1391&amp;", "&amp;D1391&amp;", "&amp;E1391&amp;", "&amp;F1391&amp;", "&amp;G1391&amp;", "&amp;H1391&amp;");"</f>
        <v>INSERT INTO COTACAO (cot_id, cot_blt_id, cot_pap_id, cot_prc_comum, cot_prc_min, cot_prc_max, cot_prc_med, cot_prc_mediana) VALUES (1390, 72, 38, NULL, NULL, NULL, NULL, NULL);</v>
      </c>
      <c r="J1391" s="0" t="str">
        <f aca="false">"UPDATE COTACAO SET cot_id = "&amp;A1391&amp;", cot_blt_id = "&amp;B1391&amp;", cot_pap_id = "&amp;C1391&amp;", cot_prc_comum = "&amp;D1391&amp;", cot_prc_min = "&amp;E1391&amp;", cot_prc_max = "&amp;F1391&amp;", cot_prc_med = "&amp;G1391&amp;", cot_prc_mediana = "&amp;H1391&amp;" WHERE cot_id = "&amp;A1391&amp;";"</f>
        <v>UPDATE COTACAO SET cot_id = 1390, cot_blt_id = 72, cot_pap_id = 38, cot_prc_comum = NULL, cot_prc_min = NULL, cot_prc_max = NULL, cot_prc_med = NULL, cot_prc_mediana = NULL WHERE cot_id = 1390;</v>
      </c>
    </row>
    <row r="1392" customFormat="false" ht="14.25" hidden="false" customHeight="false" outlineLevel="0" collapsed="false">
      <c r="A1392" s="0" t="n">
        <v>1391</v>
      </c>
      <c r="B1392" s="0" t="n">
        <f aca="false">IF('Boletins Nuppa Site'!A1392&lt;&gt;0,'Boletins Nuppa Site'!A1392,"NULL")</f>
        <v>72</v>
      </c>
      <c r="C1392" s="0" t="n">
        <v>39</v>
      </c>
      <c r="D1392" s="0" t="str">
        <f aca="false">IF('Boletins Nuppa Site'!G1392&lt;&gt;0,'Boletins Nuppa Site'!G1392,"NULL")</f>
        <v>NULL</v>
      </c>
      <c r="E1392" s="30" t="n">
        <f aca="false">IF('Boletins Nuppa Site'!H1392&lt;&gt;0,'Boletins Nuppa Site'!H1392,"NULL")</f>
        <v>60</v>
      </c>
      <c r="F1392" s="30" t="n">
        <f aca="false">IF('Boletins Nuppa Site'!I1392&lt;&gt;0,'Boletins Nuppa Site'!I1392,"NULL")</f>
        <v>60</v>
      </c>
      <c r="G1392" s="30" t="n">
        <f aca="false">IF('Boletins Nuppa Site'!J1392&lt;&gt;0,'Boletins Nuppa Site'!J1392,"NULL")</f>
        <v>60</v>
      </c>
      <c r="H1392" s="30" t="n">
        <f aca="false">IF('Boletins Nuppa Site'!K1392&lt;&gt;0,'Boletins Nuppa Site'!K1392,"NULL")</f>
        <v>60</v>
      </c>
      <c r="I1392" s="0" t="str">
        <f aca="false">"INSERT INTO COTACAO (cot_id, cot_blt_id, cot_pap_id, cot_prc_comum, cot_prc_min, cot_prc_max, cot_prc_med, cot_prc_mediana) VALUES ("&amp;A1392&amp;", "&amp;B1392&amp;", "&amp;C1392&amp;", "&amp;D1392&amp;", "&amp;E1392&amp;", "&amp;F1392&amp;", "&amp;G1392&amp;", "&amp;H1392&amp;");"</f>
        <v>INSERT INTO COTACAO (cot_id, cot_blt_id, cot_pap_id, cot_prc_comum, cot_prc_min, cot_prc_max, cot_prc_med, cot_prc_mediana) VALUES (1391, 72, 39, NULL, 60, 60, 60, 60);</v>
      </c>
      <c r="J1392" s="0" t="str">
        <f aca="false">"UPDATE COTACAO SET cot_id = "&amp;A1392&amp;", cot_blt_id = "&amp;B1392&amp;", cot_pap_id = "&amp;C1392&amp;", cot_prc_comum = "&amp;D1392&amp;", cot_prc_min = "&amp;E1392&amp;", cot_prc_max = "&amp;F1392&amp;", cot_prc_med = "&amp;G1392&amp;", cot_prc_mediana = "&amp;H1392&amp;" WHERE cot_id = "&amp;A1392&amp;";"</f>
        <v>UPDATE COTACAO SET cot_id = 1391, cot_blt_id = 72, cot_pap_id = 39, cot_prc_comum = NULL, cot_prc_min = 60, cot_prc_max = 60, cot_prc_med = 60, cot_prc_mediana = 60 WHERE cot_id = 1391;</v>
      </c>
    </row>
    <row r="1393" customFormat="false" ht="14.25" hidden="false" customHeight="false" outlineLevel="0" collapsed="false">
      <c r="A1393" s="0" t="n">
        <v>1392</v>
      </c>
      <c r="B1393" s="0" t="n">
        <f aca="false">IF('Boletins Nuppa Site'!A1393&lt;&gt;0,'Boletins Nuppa Site'!A1393,"NULL")</f>
        <v>72</v>
      </c>
      <c r="C1393" s="0" t="n">
        <v>40</v>
      </c>
      <c r="D1393" s="0" t="str">
        <f aca="false">IF('Boletins Nuppa Site'!G1393&lt;&gt;0,'Boletins Nuppa Site'!G1393,"NULL")</f>
        <v>NULL</v>
      </c>
      <c r="E1393" s="0" t="str">
        <f aca="false">IF('Boletins Nuppa Site'!H1393&lt;&gt;0,'Boletins Nuppa Site'!H1393,"NULL")</f>
        <v>NULL</v>
      </c>
      <c r="F1393" s="0" t="str">
        <f aca="false">IF('Boletins Nuppa Site'!I1393&lt;&gt;0,'Boletins Nuppa Site'!I1393,"NULL")</f>
        <v>NULL</v>
      </c>
      <c r="G1393" s="0" t="str">
        <f aca="false">IF('Boletins Nuppa Site'!J1393&lt;&gt;0,'Boletins Nuppa Site'!J1393,"NULL")</f>
        <v>NULL</v>
      </c>
      <c r="H1393" s="0" t="str">
        <f aca="false">IF('Boletins Nuppa Site'!K1393&lt;&gt;0,'Boletins Nuppa Site'!K1393,"NULL")</f>
        <v>NULL</v>
      </c>
      <c r="I1393" s="0" t="str">
        <f aca="false">"INSERT INTO COTACAO (cot_id, cot_blt_id, cot_pap_id, cot_prc_comum, cot_prc_min, cot_prc_max, cot_prc_med, cot_prc_mediana) VALUES ("&amp;A1393&amp;", "&amp;B1393&amp;", "&amp;C1393&amp;", "&amp;D1393&amp;", "&amp;E1393&amp;", "&amp;F1393&amp;", "&amp;G1393&amp;", "&amp;H1393&amp;");"</f>
        <v>INSERT INTO COTACAO (cot_id, cot_blt_id, cot_pap_id, cot_prc_comum, cot_prc_min, cot_prc_max, cot_prc_med, cot_prc_mediana) VALUES (1392, 72, 40, NULL, NULL, NULL, NULL, NULL);</v>
      </c>
      <c r="J1393" s="0" t="str">
        <f aca="false">"UPDATE COTACAO SET cot_id = "&amp;A1393&amp;", cot_blt_id = "&amp;B1393&amp;", cot_pap_id = "&amp;C1393&amp;", cot_prc_comum = "&amp;D1393&amp;", cot_prc_min = "&amp;E1393&amp;", cot_prc_max = "&amp;F1393&amp;", cot_prc_med = "&amp;G1393&amp;", cot_prc_mediana = "&amp;H1393&amp;" WHERE cot_id = "&amp;A1393&amp;";"</f>
        <v>UPDATE COTACAO SET cot_id = 1392, cot_blt_id = 72, cot_pap_id = 40, cot_prc_comum = NULL, cot_prc_min = NULL, cot_prc_max = NULL, cot_prc_med = NULL, cot_prc_mediana = NULL WHERE cot_id = 1392;</v>
      </c>
    </row>
    <row r="1394" customFormat="false" ht="14.25" hidden="false" customHeight="false" outlineLevel="0" collapsed="false">
      <c r="A1394" s="0" t="n">
        <v>1393</v>
      </c>
      <c r="B1394" s="0" t="n">
        <f aca="false">IF('Boletins Nuppa Site'!A1394&lt;&gt;0,'Boletins Nuppa Site'!A1394,"NULL")</f>
        <v>73</v>
      </c>
      <c r="C1394" s="0" t="n">
        <v>1</v>
      </c>
      <c r="D1394" s="30" t="n">
        <f aca="false">IF('Boletins Nuppa Site'!G1394&lt;&gt;0,'Boletins Nuppa Site'!G1394,"NULL")</f>
        <v>48</v>
      </c>
      <c r="E1394" s="30" t="n">
        <f aca="false">IF('Boletins Nuppa Site'!H1394&lt;&gt;0,'Boletins Nuppa Site'!H1394,"NULL")</f>
        <v>36</v>
      </c>
      <c r="F1394" s="30" t="n">
        <f aca="false">IF('Boletins Nuppa Site'!I1394&lt;&gt;0,'Boletins Nuppa Site'!I1394,"NULL")</f>
        <v>60</v>
      </c>
      <c r="G1394" s="30" t="n">
        <f aca="false">IF('Boletins Nuppa Site'!J1394&lt;&gt;0,'Boletins Nuppa Site'!J1394,"NULL")</f>
        <v>48</v>
      </c>
      <c r="H1394" s="30" t="n">
        <f aca="false">IF('Boletins Nuppa Site'!K1394&lt;&gt;0,'Boletins Nuppa Site'!K1394,"NULL")</f>
        <v>48</v>
      </c>
      <c r="I1394" s="0" t="str">
        <f aca="false">"INSERT INTO COTACAO (cot_id, cot_blt_id, cot_pap_id, cot_prc_comum, cot_prc_min, cot_prc_max, cot_prc_med, cot_prc_mediana) VALUES ("&amp;A1394&amp;", "&amp;B1394&amp;", "&amp;C1394&amp;", "&amp;D1394&amp;", "&amp;E1394&amp;", "&amp;F1394&amp;", "&amp;G1394&amp;", "&amp;H1394&amp;");"</f>
        <v>INSERT INTO COTACAO (cot_id, cot_blt_id, cot_pap_id, cot_prc_comum, cot_prc_min, cot_prc_max, cot_prc_med, cot_prc_mediana) VALUES (1393, 73, 1, 48, 36, 60, 48, 48);</v>
      </c>
      <c r="J1394" s="0" t="str">
        <f aca="false">"UPDATE COTACAO SET cot_id = "&amp;A1394&amp;", cot_blt_id = "&amp;B1394&amp;", cot_pap_id = "&amp;C1394&amp;", cot_prc_comum = "&amp;D1394&amp;", cot_prc_min = "&amp;E1394&amp;", cot_prc_max = "&amp;F1394&amp;", cot_prc_med = "&amp;G1394&amp;", cot_prc_mediana = "&amp;H1394&amp;" WHERE cot_id = "&amp;A1394&amp;";"</f>
        <v>UPDATE COTACAO SET cot_id = 1393, cot_blt_id = 73, cot_pap_id = 1, cot_prc_comum = 48, cot_prc_min = 36, cot_prc_max = 60, cot_prc_med = 48, cot_prc_mediana = 48 WHERE cot_id = 1393;</v>
      </c>
    </row>
    <row r="1395" customFormat="false" ht="14.25" hidden="false" customHeight="false" outlineLevel="0" collapsed="false">
      <c r="A1395" s="0" t="n">
        <v>1394</v>
      </c>
      <c r="B1395" s="0" t="n">
        <f aca="false">IF('Boletins Nuppa Site'!A1395&lt;&gt;0,'Boletins Nuppa Site'!A1395,"NULL")</f>
        <v>73</v>
      </c>
      <c r="C1395" s="0" t="n">
        <v>2</v>
      </c>
      <c r="D1395" s="30" t="n">
        <f aca="false">IF('Boletins Nuppa Site'!G1395&lt;&gt;0,'Boletins Nuppa Site'!G1395,"NULL")</f>
        <v>84</v>
      </c>
      <c r="E1395" s="30" t="n">
        <f aca="false">IF('Boletins Nuppa Site'!H1395&lt;&gt;0,'Boletins Nuppa Site'!H1395,"NULL")</f>
        <v>72</v>
      </c>
      <c r="F1395" s="30" t="n">
        <f aca="false">IF('Boletins Nuppa Site'!I1395&lt;&gt;0,'Boletins Nuppa Site'!I1395,"NULL")</f>
        <v>84</v>
      </c>
      <c r="G1395" s="30" t="n">
        <f aca="false">IF('Boletins Nuppa Site'!J1395&lt;&gt;0,'Boletins Nuppa Site'!J1395,"NULL")</f>
        <v>80</v>
      </c>
      <c r="H1395" s="30" t="n">
        <f aca="false">IF('Boletins Nuppa Site'!K1395&lt;&gt;0,'Boletins Nuppa Site'!K1395,"NULL")</f>
        <v>84</v>
      </c>
      <c r="I1395" s="0" t="str">
        <f aca="false">"INSERT INTO COTACAO (cot_id, cot_blt_id, cot_pap_id, cot_prc_comum, cot_prc_min, cot_prc_max, cot_prc_med, cot_prc_mediana) VALUES ("&amp;A1395&amp;", "&amp;B1395&amp;", "&amp;C1395&amp;", "&amp;D1395&amp;", "&amp;E1395&amp;", "&amp;F1395&amp;", "&amp;G1395&amp;", "&amp;H1395&amp;");"</f>
        <v>INSERT INTO COTACAO (cot_id, cot_blt_id, cot_pap_id, cot_prc_comum, cot_prc_min, cot_prc_max, cot_prc_med, cot_prc_mediana) VALUES (1394, 73, 2, 84, 72, 84, 80, 84);</v>
      </c>
      <c r="J1395" s="0" t="str">
        <f aca="false">"UPDATE COTACAO SET cot_id = "&amp;A1395&amp;", cot_blt_id = "&amp;B1395&amp;", cot_pap_id = "&amp;C1395&amp;", cot_prc_comum = "&amp;D1395&amp;", cot_prc_min = "&amp;E1395&amp;", cot_prc_max = "&amp;F1395&amp;", cot_prc_med = "&amp;G1395&amp;", cot_prc_mediana = "&amp;H1395&amp;" WHERE cot_id = "&amp;A1395&amp;";"</f>
        <v>UPDATE COTACAO SET cot_id = 1394, cot_blt_id = 73, cot_pap_id = 2, cot_prc_comum = 84, cot_prc_min = 72, cot_prc_max = 84, cot_prc_med = 80, cot_prc_mediana = 84 WHERE cot_id = 1394;</v>
      </c>
    </row>
    <row r="1396" customFormat="false" ht="14.25" hidden="false" customHeight="false" outlineLevel="0" collapsed="false">
      <c r="A1396" s="0" t="n">
        <v>1395</v>
      </c>
      <c r="B1396" s="0" t="n">
        <f aca="false">IF('Boletins Nuppa Site'!A1396&lt;&gt;0,'Boletins Nuppa Site'!A1396,"NULL")</f>
        <v>73</v>
      </c>
      <c r="C1396" s="0" t="n">
        <v>3</v>
      </c>
      <c r="D1396" s="30" t="n">
        <f aca="false">IF('Boletins Nuppa Site'!G1396&lt;&gt;0,'Boletins Nuppa Site'!G1396,"NULL")</f>
        <v>36</v>
      </c>
      <c r="E1396" s="30" t="n">
        <f aca="false">IF('Boletins Nuppa Site'!H1396&lt;&gt;0,'Boletins Nuppa Site'!H1396,"NULL")</f>
        <v>25</v>
      </c>
      <c r="F1396" s="30" t="n">
        <f aca="false">IF('Boletins Nuppa Site'!I1396&lt;&gt;0,'Boletins Nuppa Site'!I1396,"NULL")</f>
        <v>42</v>
      </c>
      <c r="G1396" s="0" t="str">
        <f aca="false">IF('Boletins Nuppa Site'!J1396&lt;&gt;0,'Boletins Nuppa Site'!J1396,"NULL")</f>
        <v>34.75</v>
      </c>
      <c r="H1396" s="30" t="n">
        <f aca="false">IF('Boletins Nuppa Site'!K1396&lt;&gt;0,'Boletins Nuppa Site'!K1396,"NULL")</f>
        <v>36</v>
      </c>
      <c r="I1396" s="0" t="str">
        <f aca="false">"INSERT INTO COTACAO (cot_id, cot_blt_id, cot_pap_id, cot_prc_comum, cot_prc_min, cot_prc_max, cot_prc_med, cot_prc_mediana) VALUES ("&amp;A1396&amp;", "&amp;B1396&amp;", "&amp;C1396&amp;", "&amp;D1396&amp;", "&amp;E1396&amp;", "&amp;F1396&amp;", "&amp;G1396&amp;", "&amp;H1396&amp;");"</f>
        <v>INSERT INTO COTACAO (cot_id, cot_blt_id, cot_pap_id, cot_prc_comum, cot_prc_min, cot_prc_max, cot_prc_med, cot_prc_mediana) VALUES (1395, 73, 3, 36, 25, 42, 34.75, 36);</v>
      </c>
      <c r="J1396" s="0" t="str">
        <f aca="false">"UPDATE COTACAO SET cot_id = "&amp;A1396&amp;", cot_blt_id = "&amp;B1396&amp;", cot_pap_id = "&amp;C1396&amp;", cot_prc_comum = "&amp;D1396&amp;", cot_prc_min = "&amp;E1396&amp;", cot_prc_max = "&amp;F1396&amp;", cot_prc_med = "&amp;G1396&amp;", cot_prc_mediana = "&amp;H1396&amp;" WHERE cot_id = "&amp;A1396&amp;";"</f>
        <v>UPDATE COTACAO SET cot_id = 1395, cot_blt_id = 73, cot_pap_id = 3, cot_prc_comum = 36, cot_prc_min = 25, cot_prc_max = 42, cot_prc_med = 34.75, cot_prc_mediana = 36 WHERE cot_id = 1395;</v>
      </c>
    </row>
    <row r="1397" customFormat="false" ht="14.25" hidden="false" customHeight="false" outlineLevel="0" collapsed="false">
      <c r="A1397" s="0" t="n">
        <v>1396</v>
      </c>
      <c r="B1397" s="0" t="n">
        <f aca="false">IF('Boletins Nuppa Site'!A1397&lt;&gt;0,'Boletins Nuppa Site'!A1397,"NULL")</f>
        <v>73</v>
      </c>
      <c r="C1397" s="0" t="n">
        <v>4</v>
      </c>
      <c r="D1397" s="30" t="n">
        <f aca="false">IF('Boletins Nuppa Site'!G1397&lt;&gt;0,'Boletins Nuppa Site'!G1397,"NULL")</f>
        <v>18</v>
      </c>
      <c r="E1397" s="30" t="n">
        <f aca="false">IF('Boletins Nuppa Site'!H1397&lt;&gt;0,'Boletins Nuppa Site'!H1397,"NULL")</f>
        <v>18</v>
      </c>
      <c r="F1397" s="30" t="n">
        <f aca="false">IF('Boletins Nuppa Site'!I1397&lt;&gt;0,'Boletins Nuppa Site'!I1397,"NULL")</f>
        <v>24</v>
      </c>
      <c r="G1397" s="30" t="n">
        <f aca="false">IF('Boletins Nuppa Site'!J1397&lt;&gt;0,'Boletins Nuppa Site'!J1397,"NULL")</f>
        <v>21</v>
      </c>
      <c r="H1397" s="30" t="n">
        <f aca="false">IF('Boletins Nuppa Site'!K1397&lt;&gt;0,'Boletins Nuppa Site'!K1397,"NULL")</f>
        <v>21</v>
      </c>
      <c r="I1397" s="0" t="str">
        <f aca="false">"INSERT INTO COTACAO (cot_id, cot_blt_id, cot_pap_id, cot_prc_comum, cot_prc_min, cot_prc_max, cot_prc_med, cot_prc_mediana) VALUES ("&amp;A1397&amp;", "&amp;B1397&amp;", "&amp;C1397&amp;", "&amp;D1397&amp;", "&amp;E1397&amp;", "&amp;F1397&amp;", "&amp;G1397&amp;", "&amp;H1397&amp;");"</f>
        <v>INSERT INTO COTACAO (cot_id, cot_blt_id, cot_pap_id, cot_prc_comum, cot_prc_min, cot_prc_max, cot_prc_med, cot_prc_mediana) VALUES (1396, 73, 4, 18, 18, 24, 21, 21);</v>
      </c>
      <c r="J1397" s="0" t="str">
        <f aca="false">"UPDATE COTACAO SET cot_id = "&amp;A1397&amp;", cot_blt_id = "&amp;B1397&amp;", cot_pap_id = "&amp;C1397&amp;", cot_prc_comum = "&amp;D1397&amp;", cot_prc_min = "&amp;E1397&amp;", cot_prc_max = "&amp;F1397&amp;", cot_prc_med = "&amp;G1397&amp;", cot_prc_mediana = "&amp;H1397&amp;" WHERE cot_id = "&amp;A1397&amp;";"</f>
        <v>UPDATE COTACAO SET cot_id = 1396, cot_blt_id = 73, cot_pap_id = 4, cot_prc_comum = 18, cot_prc_min = 18, cot_prc_max = 24, cot_prc_med = 21, cot_prc_mediana = 21 WHERE cot_id = 1396;</v>
      </c>
    </row>
    <row r="1398" customFormat="false" ht="14.25" hidden="false" customHeight="false" outlineLevel="0" collapsed="false">
      <c r="A1398" s="0" t="n">
        <v>1397</v>
      </c>
      <c r="B1398" s="0" t="n">
        <f aca="false">IF('Boletins Nuppa Site'!A1398&lt;&gt;0,'Boletins Nuppa Site'!A1398,"NULL")</f>
        <v>73</v>
      </c>
      <c r="C1398" s="0" t="n">
        <v>5</v>
      </c>
      <c r="D1398" s="30" t="n">
        <f aca="false">IF('Boletins Nuppa Site'!G1398&lt;&gt;0,'Boletins Nuppa Site'!G1398,"NULL")</f>
        <v>18</v>
      </c>
      <c r="E1398" s="30" t="n">
        <f aca="false">IF('Boletins Nuppa Site'!H1398&lt;&gt;0,'Boletins Nuppa Site'!H1398,"NULL")</f>
        <v>18</v>
      </c>
      <c r="F1398" s="30" t="n">
        <f aca="false">IF('Boletins Nuppa Site'!I1398&lt;&gt;0,'Boletins Nuppa Site'!I1398,"NULL")</f>
        <v>24</v>
      </c>
      <c r="G1398" s="30" t="n">
        <f aca="false">IF('Boletins Nuppa Site'!J1398&lt;&gt;0,'Boletins Nuppa Site'!J1398,"NULL")</f>
        <v>21</v>
      </c>
      <c r="H1398" s="30" t="n">
        <f aca="false">IF('Boletins Nuppa Site'!K1398&lt;&gt;0,'Boletins Nuppa Site'!K1398,"NULL")</f>
        <v>21</v>
      </c>
      <c r="I1398" s="0" t="str">
        <f aca="false">"INSERT INTO COTACAO (cot_id, cot_blt_id, cot_pap_id, cot_prc_comum, cot_prc_min, cot_prc_max, cot_prc_med, cot_prc_mediana) VALUES ("&amp;A1398&amp;", "&amp;B1398&amp;", "&amp;C1398&amp;", "&amp;D1398&amp;", "&amp;E1398&amp;", "&amp;F1398&amp;", "&amp;G1398&amp;", "&amp;H1398&amp;");"</f>
        <v>INSERT INTO COTACAO (cot_id, cot_blt_id, cot_pap_id, cot_prc_comum, cot_prc_min, cot_prc_max, cot_prc_med, cot_prc_mediana) VALUES (1397, 73, 5, 18, 18, 24, 21, 21);</v>
      </c>
      <c r="J1398" s="0" t="str">
        <f aca="false">"UPDATE COTACAO SET cot_id = "&amp;A1398&amp;", cot_blt_id = "&amp;B1398&amp;", cot_pap_id = "&amp;C1398&amp;", cot_prc_comum = "&amp;D1398&amp;", cot_prc_min = "&amp;E1398&amp;", cot_prc_max = "&amp;F1398&amp;", cot_prc_med = "&amp;G1398&amp;", cot_prc_mediana = "&amp;H1398&amp;" WHERE cot_id = "&amp;A1398&amp;";"</f>
        <v>UPDATE COTACAO SET cot_id = 1397, cot_blt_id = 73, cot_pap_id = 5, cot_prc_comum = 18, cot_prc_min = 18, cot_prc_max = 24, cot_prc_med = 21, cot_prc_mediana = 21 WHERE cot_id = 1397;</v>
      </c>
    </row>
    <row r="1399" customFormat="false" ht="14.25" hidden="false" customHeight="false" outlineLevel="0" collapsed="false">
      <c r="A1399" s="0" t="n">
        <v>1398</v>
      </c>
      <c r="B1399" s="0" t="n">
        <f aca="false">IF('Boletins Nuppa Site'!A1399&lt;&gt;0,'Boletins Nuppa Site'!A1399,"NULL")</f>
        <v>73</v>
      </c>
      <c r="C1399" s="0" t="n">
        <v>6</v>
      </c>
      <c r="D1399" s="30" t="n">
        <f aca="false">IF('Boletins Nuppa Site'!G1399&lt;&gt;0,'Boletins Nuppa Site'!G1399,"NULL")</f>
        <v>60</v>
      </c>
      <c r="E1399" s="30" t="n">
        <f aca="false">IF('Boletins Nuppa Site'!H1399&lt;&gt;0,'Boletins Nuppa Site'!H1399,"NULL")</f>
        <v>60</v>
      </c>
      <c r="F1399" s="30" t="n">
        <f aca="false">IF('Boletins Nuppa Site'!I1399&lt;&gt;0,'Boletins Nuppa Site'!I1399,"NULL")</f>
        <v>60</v>
      </c>
      <c r="G1399" s="30" t="n">
        <f aca="false">IF('Boletins Nuppa Site'!J1399&lt;&gt;0,'Boletins Nuppa Site'!J1399,"NULL")</f>
        <v>60</v>
      </c>
      <c r="H1399" s="30" t="n">
        <f aca="false">IF('Boletins Nuppa Site'!K1399&lt;&gt;0,'Boletins Nuppa Site'!K1399,"NULL")</f>
        <v>60</v>
      </c>
      <c r="I1399" s="0" t="str">
        <f aca="false">"INSERT INTO COTACAO (cot_id, cot_blt_id, cot_pap_id, cot_prc_comum, cot_prc_min, cot_prc_max, cot_prc_med, cot_prc_mediana) VALUES ("&amp;A1399&amp;", "&amp;B1399&amp;", "&amp;C1399&amp;", "&amp;D1399&amp;", "&amp;E1399&amp;", "&amp;F1399&amp;", "&amp;G1399&amp;", "&amp;H1399&amp;");"</f>
        <v>INSERT INTO COTACAO (cot_id, cot_blt_id, cot_pap_id, cot_prc_comum, cot_prc_min, cot_prc_max, cot_prc_med, cot_prc_mediana) VALUES (1398, 73, 6, 60, 60, 60, 60, 60);</v>
      </c>
      <c r="J1399" s="0" t="str">
        <f aca="false">"UPDATE COTACAO SET cot_id = "&amp;A1399&amp;", cot_blt_id = "&amp;B1399&amp;", cot_pap_id = "&amp;C1399&amp;", cot_prc_comum = "&amp;D1399&amp;", cot_prc_min = "&amp;E1399&amp;", cot_prc_max = "&amp;F1399&amp;", cot_prc_med = "&amp;G1399&amp;", cot_prc_mediana = "&amp;H1399&amp;" WHERE cot_id = "&amp;A1399&amp;";"</f>
        <v>UPDATE COTACAO SET cot_id = 1398, cot_blt_id = 73, cot_pap_id = 6, cot_prc_comum = 60, cot_prc_min = 60, cot_prc_max = 60, cot_prc_med = 60, cot_prc_mediana = 60 WHERE cot_id = 1398;</v>
      </c>
    </row>
    <row r="1400" customFormat="false" ht="14.25" hidden="false" customHeight="false" outlineLevel="0" collapsed="false">
      <c r="A1400" s="0" t="n">
        <v>1399</v>
      </c>
      <c r="B1400" s="0" t="n">
        <f aca="false">IF('Boletins Nuppa Site'!A1400&lt;&gt;0,'Boletins Nuppa Site'!A1400,"NULL")</f>
        <v>73</v>
      </c>
      <c r="C1400" s="0" t="n">
        <v>7</v>
      </c>
      <c r="D1400" s="0" t="str">
        <f aca="false">IF('Boletins Nuppa Site'!G1400&lt;&gt;0,'Boletins Nuppa Site'!G1400,"NULL")</f>
        <v>NULL</v>
      </c>
      <c r="E1400" s="30" t="n">
        <f aca="false">IF('Boletins Nuppa Site'!H1400&lt;&gt;0,'Boletins Nuppa Site'!H1400,"NULL")</f>
        <v>42</v>
      </c>
      <c r="F1400" s="30" t="n">
        <f aca="false">IF('Boletins Nuppa Site'!I1400&lt;&gt;0,'Boletins Nuppa Site'!I1400,"NULL")</f>
        <v>72</v>
      </c>
      <c r="G1400" s="30" t="n">
        <f aca="false">IF('Boletins Nuppa Site'!J1400&lt;&gt;0,'Boletins Nuppa Site'!J1400,"NULL")</f>
        <v>58</v>
      </c>
      <c r="H1400" s="30" t="n">
        <f aca="false">IF('Boletins Nuppa Site'!K1400&lt;&gt;0,'Boletins Nuppa Site'!K1400,"NULL")</f>
        <v>60</v>
      </c>
      <c r="I1400" s="0" t="str">
        <f aca="false">"INSERT INTO COTACAO (cot_id, cot_blt_id, cot_pap_id, cot_prc_comum, cot_prc_min, cot_prc_max, cot_prc_med, cot_prc_mediana) VALUES ("&amp;A1400&amp;", "&amp;B1400&amp;", "&amp;C1400&amp;", "&amp;D1400&amp;", "&amp;E1400&amp;", "&amp;F1400&amp;", "&amp;G1400&amp;", "&amp;H1400&amp;");"</f>
        <v>INSERT INTO COTACAO (cot_id, cot_blt_id, cot_pap_id, cot_prc_comum, cot_prc_min, cot_prc_max, cot_prc_med, cot_prc_mediana) VALUES (1399, 73, 7, NULL, 42, 72, 58, 60);</v>
      </c>
      <c r="J1400" s="0" t="str">
        <f aca="false">"UPDATE COTACAO SET cot_id = "&amp;A1400&amp;", cot_blt_id = "&amp;B1400&amp;", cot_pap_id = "&amp;C1400&amp;", cot_prc_comum = "&amp;D1400&amp;", cot_prc_min = "&amp;E1400&amp;", cot_prc_max = "&amp;F1400&amp;", cot_prc_med = "&amp;G1400&amp;", cot_prc_mediana = "&amp;H1400&amp;" WHERE cot_id = "&amp;A1400&amp;";"</f>
        <v>UPDATE COTACAO SET cot_id = 1399, cot_blt_id = 73, cot_pap_id = 7, cot_prc_comum = NULL, cot_prc_min = 42, cot_prc_max = 72, cot_prc_med = 58, cot_prc_mediana = 60 WHERE cot_id = 1399;</v>
      </c>
    </row>
    <row r="1401" customFormat="false" ht="14.25" hidden="false" customHeight="false" outlineLevel="0" collapsed="false">
      <c r="A1401" s="0" t="n">
        <v>1400</v>
      </c>
      <c r="B1401" s="0" t="n">
        <f aca="false">IF('Boletins Nuppa Site'!A1401&lt;&gt;0,'Boletins Nuppa Site'!A1401,"NULL")</f>
        <v>73</v>
      </c>
      <c r="C1401" s="0" t="n">
        <v>8</v>
      </c>
      <c r="D1401" s="30" t="n">
        <f aca="false">IF('Boletins Nuppa Site'!G1401&lt;&gt;0,'Boletins Nuppa Site'!G1401,"NULL")</f>
        <v>72</v>
      </c>
      <c r="E1401" s="30" t="n">
        <f aca="false">IF('Boletins Nuppa Site'!H1401&lt;&gt;0,'Boletins Nuppa Site'!H1401,"NULL")</f>
        <v>60</v>
      </c>
      <c r="F1401" s="30" t="n">
        <f aca="false">IF('Boletins Nuppa Site'!I1401&lt;&gt;0,'Boletins Nuppa Site'!I1401,"NULL")</f>
        <v>72</v>
      </c>
      <c r="G1401" s="30" t="n">
        <f aca="false">IF('Boletins Nuppa Site'!J1401&lt;&gt;0,'Boletins Nuppa Site'!J1401,"NULL")</f>
        <v>69</v>
      </c>
      <c r="H1401" s="30" t="n">
        <f aca="false">IF('Boletins Nuppa Site'!K1401&lt;&gt;0,'Boletins Nuppa Site'!K1401,"NULL")</f>
        <v>72</v>
      </c>
      <c r="I1401" s="0" t="str">
        <f aca="false">"INSERT INTO COTACAO (cot_id, cot_blt_id, cot_pap_id, cot_prc_comum, cot_prc_min, cot_prc_max, cot_prc_med, cot_prc_mediana) VALUES ("&amp;A1401&amp;", "&amp;B1401&amp;", "&amp;C1401&amp;", "&amp;D1401&amp;", "&amp;E1401&amp;", "&amp;F1401&amp;", "&amp;G1401&amp;", "&amp;H1401&amp;");"</f>
        <v>INSERT INTO COTACAO (cot_id, cot_blt_id, cot_pap_id, cot_prc_comum, cot_prc_min, cot_prc_max, cot_prc_med, cot_prc_mediana) VALUES (1400, 73, 8, 72, 60, 72, 69, 72);</v>
      </c>
      <c r="J1401" s="0" t="str">
        <f aca="false">"UPDATE COTACAO SET cot_id = "&amp;A1401&amp;", cot_blt_id = "&amp;B1401&amp;", cot_pap_id = "&amp;C1401&amp;", cot_prc_comum = "&amp;D1401&amp;", cot_prc_min = "&amp;E1401&amp;", cot_prc_max = "&amp;F1401&amp;", cot_prc_med = "&amp;G1401&amp;", cot_prc_mediana = "&amp;H1401&amp;" WHERE cot_id = "&amp;A1401&amp;";"</f>
        <v>UPDATE COTACAO SET cot_id = 1400, cot_blt_id = 73, cot_pap_id = 8, cot_prc_comum = 72, cot_prc_min = 60, cot_prc_max = 72, cot_prc_med = 69, cot_prc_mediana = 72 WHERE cot_id = 1400;</v>
      </c>
    </row>
    <row r="1402" customFormat="false" ht="14.25" hidden="false" customHeight="false" outlineLevel="0" collapsed="false">
      <c r="A1402" s="0" t="n">
        <v>1401</v>
      </c>
      <c r="B1402" s="0" t="n">
        <f aca="false">IF('Boletins Nuppa Site'!A1402&lt;&gt;0,'Boletins Nuppa Site'!A1402,"NULL")</f>
        <v>73</v>
      </c>
      <c r="C1402" s="0" t="n">
        <v>9</v>
      </c>
      <c r="D1402" s="30" t="n">
        <f aca="false">IF('Boletins Nuppa Site'!G1402&lt;&gt;0,'Boletins Nuppa Site'!G1402,"NULL")</f>
        <v>18</v>
      </c>
      <c r="E1402" s="30" t="n">
        <f aca="false">IF('Boletins Nuppa Site'!H1402&lt;&gt;0,'Boletins Nuppa Site'!H1402,"NULL")</f>
        <v>18</v>
      </c>
      <c r="F1402" s="30" t="n">
        <f aca="false">IF('Boletins Nuppa Site'!I1402&lt;&gt;0,'Boletins Nuppa Site'!I1402,"NULL")</f>
        <v>24</v>
      </c>
      <c r="G1402" s="30" t="n">
        <f aca="false">IF('Boletins Nuppa Site'!J1402&lt;&gt;0,'Boletins Nuppa Site'!J1402,"NULL")</f>
        <v>21</v>
      </c>
      <c r="H1402" s="30" t="n">
        <f aca="false">IF('Boletins Nuppa Site'!K1402&lt;&gt;0,'Boletins Nuppa Site'!K1402,"NULL")</f>
        <v>21</v>
      </c>
      <c r="I1402" s="0" t="str">
        <f aca="false">"INSERT INTO COTACAO (cot_id, cot_blt_id, cot_pap_id, cot_prc_comum, cot_prc_min, cot_prc_max, cot_prc_med, cot_prc_mediana) VALUES ("&amp;A1402&amp;", "&amp;B1402&amp;", "&amp;C1402&amp;", "&amp;D1402&amp;", "&amp;E1402&amp;", "&amp;F1402&amp;", "&amp;G1402&amp;", "&amp;H1402&amp;");"</f>
        <v>INSERT INTO COTACAO (cot_id, cot_blt_id, cot_pap_id, cot_prc_comum, cot_prc_min, cot_prc_max, cot_prc_med, cot_prc_mediana) VALUES (1401, 73, 9, 18, 18, 24, 21, 21);</v>
      </c>
      <c r="J1402" s="0" t="str">
        <f aca="false">"UPDATE COTACAO SET cot_id = "&amp;A1402&amp;", cot_blt_id = "&amp;B1402&amp;", cot_pap_id = "&amp;C1402&amp;", cot_prc_comum = "&amp;D1402&amp;", cot_prc_min = "&amp;E1402&amp;", cot_prc_max = "&amp;F1402&amp;", cot_prc_med = "&amp;G1402&amp;", cot_prc_mediana = "&amp;H1402&amp;" WHERE cot_id = "&amp;A1402&amp;";"</f>
        <v>UPDATE COTACAO SET cot_id = 1401, cot_blt_id = 73, cot_pap_id = 9, cot_prc_comum = 18, cot_prc_min = 18, cot_prc_max = 24, cot_prc_med = 21, cot_prc_mediana = 21 WHERE cot_id = 1401;</v>
      </c>
    </row>
    <row r="1403" customFormat="false" ht="14.25" hidden="false" customHeight="false" outlineLevel="0" collapsed="false">
      <c r="A1403" s="0" t="n">
        <v>1402</v>
      </c>
      <c r="B1403" s="0" t="n">
        <f aca="false">IF('Boletins Nuppa Site'!A1403&lt;&gt;0,'Boletins Nuppa Site'!A1403,"NULL")</f>
        <v>73</v>
      </c>
      <c r="C1403" s="0" t="n">
        <v>10</v>
      </c>
      <c r="D1403" s="0" t="str">
        <f aca="false">IF('Boletins Nuppa Site'!G1403&lt;&gt;0,'Boletins Nuppa Site'!G1403,"NULL")</f>
        <v>NULL</v>
      </c>
      <c r="E1403" s="30" t="n">
        <f aca="false">IF('Boletins Nuppa Site'!H1403&lt;&gt;0,'Boletins Nuppa Site'!H1403,"NULL")</f>
        <v>50</v>
      </c>
      <c r="F1403" s="30" t="n">
        <f aca="false">IF('Boletins Nuppa Site'!I1403&lt;&gt;0,'Boletins Nuppa Site'!I1403,"NULL")</f>
        <v>78</v>
      </c>
      <c r="G1403" s="0" t="str">
        <f aca="false">IF('Boletins Nuppa Site'!J1403&lt;&gt;0,'Boletins Nuppa Site'!J1403,"NULL")</f>
        <v>62.67</v>
      </c>
      <c r="H1403" s="30" t="n">
        <f aca="false">IF('Boletins Nuppa Site'!K1403&lt;&gt;0,'Boletins Nuppa Site'!K1403,"NULL")</f>
        <v>60</v>
      </c>
      <c r="I1403" s="0" t="str">
        <f aca="false">"INSERT INTO COTACAO (cot_id, cot_blt_id, cot_pap_id, cot_prc_comum, cot_prc_min, cot_prc_max, cot_prc_med, cot_prc_mediana) VALUES ("&amp;A1403&amp;", "&amp;B1403&amp;", "&amp;C1403&amp;", "&amp;D1403&amp;", "&amp;E1403&amp;", "&amp;F1403&amp;", "&amp;G1403&amp;", "&amp;H1403&amp;");"</f>
        <v>INSERT INTO COTACAO (cot_id, cot_blt_id, cot_pap_id, cot_prc_comum, cot_prc_min, cot_prc_max, cot_prc_med, cot_prc_mediana) VALUES (1402, 73, 10, NULL, 50, 78, 62.67, 60);</v>
      </c>
      <c r="J1403" s="0" t="str">
        <f aca="false">"UPDATE COTACAO SET cot_id = "&amp;A1403&amp;", cot_blt_id = "&amp;B1403&amp;", cot_pap_id = "&amp;C1403&amp;", cot_prc_comum = "&amp;D1403&amp;", cot_prc_min = "&amp;E1403&amp;", cot_prc_max = "&amp;F1403&amp;", cot_prc_med = "&amp;G1403&amp;", cot_prc_mediana = "&amp;H1403&amp;" WHERE cot_id = "&amp;A1403&amp;";"</f>
        <v>UPDATE COTACAO SET cot_id = 1402, cot_blt_id = 73, cot_pap_id = 10, cot_prc_comum = NULL, cot_prc_min = 50, cot_prc_max = 78, cot_prc_med = 62.67, cot_prc_mediana = 60 WHERE cot_id = 1402;</v>
      </c>
    </row>
    <row r="1404" customFormat="false" ht="14.25" hidden="false" customHeight="false" outlineLevel="0" collapsed="false">
      <c r="A1404" s="0" t="n">
        <v>1403</v>
      </c>
      <c r="B1404" s="0" t="n">
        <f aca="false">IF('Boletins Nuppa Site'!A1404&lt;&gt;0,'Boletins Nuppa Site'!A1404,"NULL")</f>
        <v>73</v>
      </c>
      <c r="C1404" s="0" t="n">
        <v>11</v>
      </c>
      <c r="D1404" s="30" t="n">
        <f aca="false">IF('Boletins Nuppa Site'!G1404&lt;&gt;0,'Boletins Nuppa Site'!G1404,"NULL")</f>
        <v>18</v>
      </c>
      <c r="E1404" s="30" t="n">
        <f aca="false">IF('Boletins Nuppa Site'!H1404&lt;&gt;0,'Boletins Nuppa Site'!H1404,"NULL")</f>
        <v>18</v>
      </c>
      <c r="F1404" s="30" t="n">
        <f aca="false">IF('Boletins Nuppa Site'!I1404&lt;&gt;0,'Boletins Nuppa Site'!I1404,"NULL")</f>
        <v>24</v>
      </c>
      <c r="G1404" s="30" t="n">
        <f aca="false">IF('Boletins Nuppa Site'!J1404&lt;&gt;0,'Boletins Nuppa Site'!J1404,"NULL")</f>
        <v>21</v>
      </c>
      <c r="H1404" s="30" t="n">
        <f aca="false">IF('Boletins Nuppa Site'!K1404&lt;&gt;0,'Boletins Nuppa Site'!K1404,"NULL")</f>
        <v>21</v>
      </c>
      <c r="I1404" s="0" t="str">
        <f aca="false">"INSERT INTO COTACAO (cot_id, cot_blt_id, cot_pap_id, cot_prc_comum, cot_prc_min, cot_prc_max, cot_prc_med, cot_prc_mediana) VALUES ("&amp;A1404&amp;", "&amp;B1404&amp;", "&amp;C1404&amp;", "&amp;D1404&amp;", "&amp;E1404&amp;", "&amp;F1404&amp;", "&amp;G1404&amp;", "&amp;H1404&amp;");"</f>
        <v>INSERT INTO COTACAO (cot_id, cot_blt_id, cot_pap_id, cot_prc_comum, cot_prc_min, cot_prc_max, cot_prc_med, cot_prc_mediana) VALUES (1403, 73, 11, 18, 18, 24, 21, 21);</v>
      </c>
      <c r="J1404" s="0" t="str">
        <f aca="false">"UPDATE COTACAO SET cot_id = "&amp;A1404&amp;", cot_blt_id = "&amp;B1404&amp;", cot_pap_id = "&amp;C1404&amp;", cot_prc_comum = "&amp;D1404&amp;", cot_prc_min = "&amp;E1404&amp;", cot_prc_max = "&amp;F1404&amp;", cot_prc_med = "&amp;G1404&amp;", cot_prc_mediana = "&amp;H1404&amp;" WHERE cot_id = "&amp;A1404&amp;";"</f>
        <v>UPDATE COTACAO SET cot_id = 1403, cot_blt_id = 73, cot_pap_id = 11, cot_prc_comum = 18, cot_prc_min = 18, cot_prc_max = 24, cot_prc_med = 21, cot_prc_mediana = 21 WHERE cot_id = 1403;</v>
      </c>
    </row>
    <row r="1405" customFormat="false" ht="14.25" hidden="false" customHeight="false" outlineLevel="0" collapsed="false">
      <c r="A1405" s="0" t="n">
        <v>1404</v>
      </c>
      <c r="B1405" s="0" t="n">
        <f aca="false">IF('Boletins Nuppa Site'!A1405&lt;&gt;0,'Boletins Nuppa Site'!A1405,"NULL")</f>
        <v>73</v>
      </c>
      <c r="C1405" s="0" t="n">
        <v>12</v>
      </c>
      <c r="D1405" s="30" t="n">
        <f aca="false">IF('Boletins Nuppa Site'!G1405&lt;&gt;0,'Boletins Nuppa Site'!G1405,"NULL")</f>
        <v>60</v>
      </c>
      <c r="E1405" s="30" t="n">
        <f aca="false">IF('Boletins Nuppa Site'!H1405&lt;&gt;0,'Boletins Nuppa Site'!H1405,"NULL")</f>
        <v>48</v>
      </c>
      <c r="F1405" s="30" t="n">
        <f aca="false">IF('Boletins Nuppa Site'!I1405&lt;&gt;0,'Boletins Nuppa Site'!I1405,"NULL")</f>
        <v>60</v>
      </c>
      <c r="G1405" s="30" t="n">
        <f aca="false">IF('Boletins Nuppa Site'!J1405&lt;&gt;0,'Boletins Nuppa Site'!J1405,"NULL")</f>
        <v>56</v>
      </c>
      <c r="H1405" s="30" t="n">
        <f aca="false">IF('Boletins Nuppa Site'!K1405&lt;&gt;0,'Boletins Nuppa Site'!K1405,"NULL")</f>
        <v>60</v>
      </c>
      <c r="I1405" s="0" t="str">
        <f aca="false">"INSERT INTO COTACAO (cot_id, cot_blt_id, cot_pap_id, cot_prc_comum, cot_prc_min, cot_prc_max, cot_prc_med, cot_prc_mediana) VALUES ("&amp;A1405&amp;", "&amp;B1405&amp;", "&amp;C1405&amp;", "&amp;D1405&amp;", "&amp;E1405&amp;", "&amp;F1405&amp;", "&amp;G1405&amp;", "&amp;H1405&amp;");"</f>
        <v>INSERT INTO COTACAO (cot_id, cot_blt_id, cot_pap_id, cot_prc_comum, cot_prc_min, cot_prc_max, cot_prc_med, cot_prc_mediana) VALUES (1404, 73, 12, 60, 48, 60, 56, 60);</v>
      </c>
      <c r="J1405" s="0" t="str">
        <f aca="false">"UPDATE COTACAO SET cot_id = "&amp;A1405&amp;", cot_blt_id = "&amp;B1405&amp;", cot_pap_id = "&amp;C1405&amp;", cot_prc_comum = "&amp;D1405&amp;", cot_prc_min = "&amp;E1405&amp;", cot_prc_max = "&amp;F1405&amp;", cot_prc_med = "&amp;G1405&amp;", cot_prc_mediana = "&amp;H1405&amp;" WHERE cot_id = "&amp;A1405&amp;";"</f>
        <v>UPDATE COTACAO SET cot_id = 1404, cot_blt_id = 73, cot_pap_id = 12, cot_prc_comum = 60, cot_prc_min = 48, cot_prc_max = 60, cot_prc_med = 56, cot_prc_mediana = 60 WHERE cot_id = 1404;</v>
      </c>
    </row>
    <row r="1406" customFormat="false" ht="14.25" hidden="false" customHeight="false" outlineLevel="0" collapsed="false">
      <c r="A1406" s="0" t="n">
        <v>1405</v>
      </c>
      <c r="B1406" s="0" t="n">
        <f aca="false">IF('Boletins Nuppa Site'!A1406&lt;&gt;0,'Boletins Nuppa Site'!A1406,"NULL")</f>
        <v>73</v>
      </c>
      <c r="C1406" s="0" t="n">
        <v>13</v>
      </c>
      <c r="D1406" s="30" t="n">
        <f aca="false">IF('Boletins Nuppa Site'!G1406&lt;&gt;0,'Boletins Nuppa Site'!G1406,"NULL")</f>
        <v>60</v>
      </c>
      <c r="E1406" s="30" t="n">
        <f aca="false">IF('Boletins Nuppa Site'!H1406&lt;&gt;0,'Boletins Nuppa Site'!H1406,"NULL")</f>
        <v>36</v>
      </c>
      <c r="F1406" s="30" t="n">
        <f aca="false">IF('Boletins Nuppa Site'!I1406&lt;&gt;0,'Boletins Nuppa Site'!I1406,"NULL")</f>
        <v>60</v>
      </c>
      <c r="G1406" s="30" t="n">
        <f aca="false">IF('Boletins Nuppa Site'!J1406&lt;&gt;0,'Boletins Nuppa Site'!J1406,"NULL")</f>
        <v>51</v>
      </c>
      <c r="H1406" s="30" t="n">
        <f aca="false">IF('Boletins Nuppa Site'!K1406&lt;&gt;0,'Boletins Nuppa Site'!K1406,"NULL")</f>
        <v>54</v>
      </c>
      <c r="I1406" s="0" t="str">
        <f aca="false">"INSERT INTO COTACAO (cot_id, cot_blt_id, cot_pap_id, cot_prc_comum, cot_prc_min, cot_prc_max, cot_prc_med, cot_prc_mediana) VALUES ("&amp;A1406&amp;", "&amp;B1406&amp;", "&amp;C1406&amp;", "&amp;D1406&amp;", "&amp;E1406&amp;", "&amp;F1406&amp;", "&amp;G1406&amp;", "&amp;H1406&amp;");"</f>
        <v>INSERT INTO COTACAO (cot_id, cot_blt_id, cot_pap_id, cot_prc_comum, cot_prc_min, cot_prc_max, cot_prc_med, cot_prc_mediana) VALUES (1405, 73, 13, 60, 36, 60, 51, 54);</v>
      </c>
      <c r="J1406" s="0" t="str">
        <f aca="false">"UPDATE COTACAO SET cot_id = "&amp;A1406&amp;", cot_blt_id = "&amp;B1406&amp;", cot_pap_id = "&amp;C1406&amp;", cot_prc_comum = "&amp;D1406&amp;", cot_prc_min = "&amp;E1406&amp;", cot_prc_max = "&amp;F1406&amp;", cot_prc_med = "&amp;G1406&amp;", cot_prc_mediana = "&amp;H1406&amp;" WHERE cot_id = "&amp;A1406&amp;";"</f>
        <v>UPDATE COTACAO SET cot_id = 1405, cot_blt_id = 73, cot_pap_id = 13, cot_prc_comum = 60, cot_prc_min = 36, cot_prc_max = 60, cot_prc_med = 51, cot_prc_mediana = 54 WHERE cot_id = 1405;</v>
      </c>
    </row>
    <row r="1407" customFormat="false" ht="14.25" hidden="false" customHeight="false" outlineLevel="0" collapsed="false">
      <c r="A1407" s="0" t="n">
        <v>1406</v>
      </c>
      <c r="B1407" s="0" t="n">
        <f aca="false">IF('Boletins Nuppa Site'!A1407&lt;&gt;0,'Boletins Nuppa Site'!A1407,"NULL")</f>
        <v>73</v>
      </c>
      <c r="C1407" s="0" t="n">
        <v>14</v>
      </c>
      <c r="D1407" s="0" t="str">
        <f aca="false">IF('Boletins Nuppa Site'!G1407&lt;&gt;0,'Boletins Nuppa Site'!G1407,"NULL")</f>
        <v>NULL</v>
      </c>
      <c r="E1407" s="30" t="n">
        <f aca="false">IF('Boletins Nuppa Site'!H1407&lt;&gt;0,'Boletins Nuppa Site'!H1407,"NULL")</f>
        <v>48</v>
      </c>
      <c r="F1407" s="30" t="n">
        <f aca="false">IF('Boletins Nuppa Site'!I1407&lt;&gt;0,'Boletins Nuppa Site'!I1407,"NULL")</f>
        <v>72</v>
      </c>
      <c r="G1407" s="30" t="n">
        <f aca="false">IF('Boletins Nuppa Site'!J1407&lt;&gt;0,'Boletins Nuppa Site'!J1407,"NULL")</f>
        <v>60</v>
      </c>
      <c r="H1407" s="30" t="n">
        <f aca="false">IF('Boletins Nuppa Site'!K1407&lt;&gt;0,'Boletins Nuppa Site'!K1407,"NULL")</f>
        <v>60</v>
      </c>
      <c r="I1407" s="0" t="str">
        <f aca="false">"INSERT INTO COTACAO (cot_id, cot_blt_id, cot_pap_id, cot_prc_comum, cot_prc_min, cot_prc_max, cot_prc_med, cot_prc_mediana) VALUES ("&amp;A1407&amp;", "&amp;B1407&amp;", "&amp;C1407&amp;", "&amp;D1407&amp;", "&amp;E1407&amp;", "&amp;F1407&amp;", "&amp;G1407&amp;", "&amp;H1407&amp;");"</f>
        <v>INSERT INTO COTACAO (cot_id, cot_blt_id, cot_pap_id, cot_prc_comum, cot_prc_min, cot_prc_max, cot_prc_med, cot_prc_mediana) VALUES (1406, 73, 14, NULL, 48, 72, 60, 60);</v>
      </c>
      <c r="J1407" s="0" t="str">
        <f aca="false">"UPDATE COTACAO SET cot_id = "&amp;A1407&amp;", cot_blt_id = "&amp;B1407&amp;", cot_pap_id = "&amp;C1407&amp;", cot_prc_comum = "&amp;D1407&amp;", cot_prc_min = "&amp;E1407&amp;", cot_prc_max = "&amp;F1407&amp;", cot_prc_med = "&amp;G1407&amp;", cot_prc_mediana = "&amp;H1407&amp;" WHERE cot_id = "&amp;A1407&amp;";"</f>
        <v>UPDATE COTACAO SET cot_id = 1406, cot_blt_id = 73, cot_pap_id = 14, cot_prc_comum = NULL, cot_prc_min = 48, cot_prc_max = 72, cot_prc_med = 60, cot_prc_mediana = 60 WHERE cot_id = 1406;</v>
      </c>
    </row>
    <row r="1408" customFormat="false" ht="14.25" hidden="false" customHeight="false" outlineLevel="0" collapsed="false">
      <c r="A1408" s="0" t="n">
        <v>1407</v>
      </c>
      <c r="B1408" s="0" t="n">
        <f aca="false">IF('Boletins Nuppa Site'!A1408&lt;&gt;0,'Boletins Nuppa Site'!A1408,"NULL")</f>
        <v>73</v>
      </c>
      <c r="C1408" s="0" t="n">
        <v>15</v>
      </c>
      <c r="D1408" s="30" t="n">
        <f aca="false">IF('Boletins Nuppa Site'!G1408&lt;&gt;0,'Boletins Nuppa Site'!G1408,"NULL")</f>
        <v>24</v>
      </c>
      <c r="E1408" s="30" t="n">
        <f aca="false">IF('Boletins Nuppa Site'!H1408&lt;&gt;0,'Boletins Nuppa Site'!H1408,"NULL")</f>
        <v>24</v>
      </c>
      <c r="F1408" s="30" t="n">
        <f aca="false">IF('Boletins Nuppa Site'!I1408&lt;&gt;0,'Boletins Nuppa Site'!I1408,"NULL")</f>
        <v>36</v>
      </c>
      <c r="G1408" s="0" t="str">
        <f aca="false">IF('Boletins Nuppa Site'!J1408&lt;&gt;0,'Boletins Nuppa Site'!J1408,"NULL")</f>
        <v>28.5</v>
      </c>
      <c r="H1408" s="30" t="n">
        <f aca="false">IF('Boletins Nuppa Site'!K1408&lt;&gt;0,'Boletins Nuppa Site'!K1408,"NULL")</f>
        <v>27</v>
      </c>
      <c r="I1408" s="0" t="str">
        <f aca="false">"INSERT INTO COTACAO (cot_id, cot_blt_id, cot_pap_id, cot_prc_comum, cot_prc_min, cot_prc_max, cot_prc_med, cot_prc_mediana) VALUES ("&amp;A1408&amp;", "&amp;B1408&amp;", "&amp;C1408&amp;", "&amp;D1408&amp;", "&amp;E1408&amp;", "&amp;F1408&amp;", "&amp;G1408&amp;", "&amp;H1408&amp;");"</f>
        <v>INSERT INTO COTACAO (cot_id, cot_blt_id, cot_pap_id, cot_prc_comum, cot_prc_min, cot_prc_max, cot_prc_med, cot_prc_mediana) VALUES (1407, 73, 15, 24, 24, 36, 28.5, 27);</v>
      </c>
      <c r="J1408" s="0" t="str">
        <f aca="false">"UPDATE COTACAO SET cot_id = "&amp;A1408&amp;", cot_blt_id = "&amp;B1408&amp;", cot_pap_id = "&amp;C1408&amp;", cot_prc_comum = "&amp;D1408&amp;", cot_prc_min = "&amp;E1408&amp;", cot_prc_max = "&amp;F1408&amp;", cot_prc_med = "&amp;G1408&amp;", cot_prc_mediana = "&amp;H1408&amp;" WHERE cot_id = "&amp;A1408&amp;";"</f>
        <v>UPDATE COTACAO SET cot_id = 1407, cot_blt_id = 73, cot_pap_id = 15, cot_prc_comum = 24, cot_prc_min = 24, cot_prc_max = 36, cot_prc_med = 28.5, cot_prc_mediana = 27 WHERE cot_id = 1407;</v>
      </c>
    </row>
    <row r="1409" customFormat="false" ht="14.25" hidden="false" customHeight="false" outlineLevel="0" collapsed="false">
      <c r="A1409" s="0" t="n">
        <v>1408</v>
      </c>
      <c r="B1409" s="0" t="n">
        <f aca="false">IF('Boletins Nuppa Site'!A1409&lt;&gt;0,'Boletins Nuppa Site'!A1409,"NULL")</f>
        <v>73</v>
      </c>
      <c r="C1409" s="0" t="n">
        <v>17</v>
      </c>
      <c r="D1409" s="30" t="n">
        <f aca="false">IF('Boletins Nuppa Site'!G1409&lt;&gt;0,'Boletins Nuppa Site'!G1409,"NULL")</f>
        <v>5</v>
      </c>
      <c r="E1409" s="30" t="n">
        <f aca="false">IF('Boletins Nuppa Site'!H1409&lt;&gt;0,'Boletins Nuppa Site'!H1409,"NULL")</f>
        <v>5</v>
      </c>
      <c r="F1409" s="30" t="n">
        <f aca="false">IF('Boletins Nuppa Site'!I1409&lt;&gt;0,'Boletins Nuppa Site'!I1409,"NULL")</f>
        <v>5</v>
      </c>
      <c r="G1409" s="30" t="n">
        <f aca="false">IF('Boletins Nuppa Site'!J1409&lt;&gt;0,'Boletins Nuppa Site'!J1409,"NULL")</f>
        <v>5</v>
      </c>
      <c r="H1409" s="30" t="n">
        <f aca="false">IF('Boletins Nuppa Site'!K1409&lt;&gt;0,'Boletins Nuppa Site'!K1409,"NULL")</f>
        <v>5</v>
      </c>
      <c r="I1409" s="0" t="str">
        <f aca="false">"INSERT INTO COTACAO (cot_id, cot_blt_id, cot_pap_id, cot_prc_comum, cot_prc_min, cot_prc_max, cot_prc_med, cot_prc_mediana) VALUES ("&amp;A1409&amp;", "&amp;B1409&amp;", "&amp;C1409&amp;", "&amp;D1409&amp;", "&amp;E1409&amp;", "&amp;F1409&amp;", "&amp;G1409&amp;", "&amp;H1409&amp;");"</f>
        <v>INSERT INTO COTACAO (cot_id, cot_blt_id, cot_pap_id, cot_prc_comum, cot_prc_min, cot_prc_max, cot_prc_med, cot_prc_mediana) VALUES (1408, 73, 17, 5, 5, 5, 5, 5);</v>
      </c>
      <c r="J1409" s="0" t="str">
        <f aca="false">"UPDATE COTACAO SET cot_id = "&amp;A1409&amp;", cot_blt_id = "&amp;B1409&amp;", cot_pap_id = "&amp;C1409&amp;", cot_prc_comum = "&amp;D1409&amp;", cot_prc_min = "&amp;E1409&amp;", cot_prc_max = "&amp;F1409&amp;", cot_prc_med = "&amp;G1409&amp;", cot_prc_mediana = "&amp;H1409&amp;" WHERE cot_id = "&amp;A1409&amp;";"</f>
        <v>UPDATE COTACAO SET cot_id = 1408, cot_blt_id = 73, cot_pap_id = 17, cot_prc_comum = 5, cot_prc_min = 5, cot_prc_max = 5, cot_prc_med = 5, cot_prc_mediana = 5 WHERE cot_id = 1408;</v>
      </c>
    </row>
    <row r="1410" customFormat="false" ht="14.25" hidden="false" customHeight="false" outlineLevel="0" collapsed="false">
      <c r="A1410" s="0" t="n">
        <v>1409</v>
      </c>
      <c r="B1410" s="0" t="n">
        <f aca="false">IF('Boletins Nuppa Site'!A1410&lt;&gt;0,'Boletins Nuppa Site'!A1410,"NULL")</f>
        <v>73</v>
      </c>
      <c r="C1410" s="0" t="n">
        <v>18</v>
      </c>
      <c r="D1410" s="30" t="n">
        <f aca="false">IF('Boletins Nuppa Site'!G1410&lt;&gt;0,'Boletins Nuppa Site'!G1410,"NULL")</f>
        <v>12</v>
      </c>
      <c r="E1410" s="30" t="n">
        <f aca="false">IF('Boletins Nuppa Site'!H1410&lt;&gt;0,'Boletins Nuppa Site'!H1410,"NULL")</f>
        <v>12</v>
      </c>
      <c r="F1410" s="30" t="n">
        <f aca="false">IF('Boletins Nuppa Site'!I1410&lt;&gt;0,'Boletins Nuppa Site'!I1410,"NULL")</f>
        <v>15</v>
      </c>
      <c r="G1410" s="0" t="str">
        <f aca="false">IF('Boletins Nuppa Site'!J1410&lt;&gt;0,'Boletins Nuppa Site'!J1410,"NULL")</f>
        <v>13.5</v>
      </c>
      <c r="H1410" s="0" t="str">
        <f aca="false">IF('Boletins Nuppa Site'!K1410&lt;&gt;0,'Boletins Nuppa Site'!K1410,"NULL")</f>
        <v>13.5</v>
      </c>
      <c r="I1410" s="0" t="str">
        <f aca="false">"INSERT INTO COTACAO (cot_id, cot_blt_id, cot_pap_id, cot_prc_comum, cot_prc_min, cot_prc_max, cot_prc_med, cot_prc_mediana) VALUES ("&amp;A1410&amp;", "&amp;B1410&amp;", "&amp;C1410&amp;", "&amp;D1410&amp;", "&amp;E1410&amp;", "&amp;F1410&amp;", "&amp;G1410&amp;", "&amp;H1410&amp;");"</f>
        <v>INSERT INTO COTACAO (cot_id, cot_blt_id, cot_pap_id, cot_prc_comum, cot_prc_min, cot_prc_max, cot_prc_med, cot_prc_mediana) VALUES (1409, 73, 18, 12, 12, 15, 13.5, 13.5);</v>
      </c>
      <c r="J1410" s="0" t="str">
        <f aca="false">"UPDATE COTACAO SET cot_id = "&amp;A1410&amp;", cot_blt_id = "&amp;B1410&amp;", cot_pap_id = "&amp;C1410&amp;", cot_prc_comum = "&amp;D1410&amp;", cot_prc_min = "&amp;E1410&amp;", cot_prc_max = "&amp;F1410&amp;", cot_prc_med = "&amp;G1410&amp;", cot_prc_mediana = "&amp;H1410&amp;" WHERE cot_id = "&amp;A1410&amp;";"</f>
        <v>UPDATE COTACAO SET cot_id = 1409, cot_blt_id = 73, cot_pap_id = 18, cot_prc_comum = 12, cot_prc_min = 12, cot_prc_max = 15, cot_prc_med = 13.5, cot_prc_mediana = 13.5 WHERE cot_id = 1409;</v>
      </c>
    </row>
    <row r="1411" customFormat="false" ht="14.25" hidden="false" customHeight="false" outlineLevel="0" collapsed="false">
      <c r="A1411" s="0" t="n">
        <v>1410</v>
      </c>
      <c r="B1411" s="0" t="n">
        <f aca="false">IF('Boletins Nuppa Site'!A1411&lt;&gt;0,'Boletins Nuppa Site'!A1411,"NULL")</f>
        <v>73</v>
      </c>
      <c r="C1411" s="0" t="n">
        <v>19</v>
      </c>
      <c r="D1411" s="0" t="str">
        <f aca="false">IF('Boletins Nuppa Site'!G1411&lt;&gt;0,'Boletins Nuppa Site'!G1411,"NULL")</f>
        <v>NULL</v>
      </c>
      <c r="E1411" s="30" t="n">
        <f aca="false">IF('Boletins Nuppa Site'!H1411&lt;&gt;0,'Boletins Nuppa Site'!H1411,"NULL")</f>
        <v>35</v>
      </c>
      <c r="F1411" s="30" t="n">
        <f aca="false">IF('Boletins Nuppa Site'!I1411&lt;&gt;0,'Boletins Nuppa Site'!I1411,"NULL")</f>
        <v>20</v>
      </c>
      <c r="G1411" s="30" t="n">
        <f aca="false">IF('Boletins Nuppa Site'!J1411&lt;&gt;0,'Boletins Nuppa Site'!J1411,"NULL")</f>
        <v>35</v>
      </c>
      <c r="H1411" s="0" t="str">
        <f aca="false">IF('Boletins Nuppa Site'!K1411&lt;&gt;0,'Boletins Nuppa Site'!K1411,"NULL")</f>
        <v>28.75</v>
      </c>
      <c r="I1411" s="0" t="str">
        <f aca="false">"INSERT INTO COTACAO (cot_id, cot_blt_id, cot_pap_id, cot_prc_comum, cot_prc_min, cot_prc_max, cot_prc_med, cot_prc_mediana) VALUES ("&amp;A1411&amp;", "&amp;B1411&amp;", "&amp;C1411&amp;", "&amp;D1411&amp;", "&amp;E1411&amp;", "&amp;F1411&amp;", "&amp;G1411&amp;", "&amp;H1411&amp;");"</f>
        <v>INSERT INTO COTACAO (cot_id, cot_blt_id, cot_pap_id, cot_prc_comum, cot_prc_min, cot_prc_max, cot_prc_med, cot_prc_mediana) VALUES (1410, 73, 19, NULL, 35, 20, 35, 28.75);</v>
      </c>
      <c r="J1411" s="0" t="str">
        <f aca="false">"UPDATE COTACAO SET cot_id = "&amp;A1411&amp;", cot_blt_id = "&amp;B1411&amp;", cot_pap_id = "&amp;C1411&amp;", cot_prc_comum = "&amp;D1411&amp;", cot_prc_min = "&amp;E1411&amp;", cot_prc_max = "&amp;F1411&amp;", cot_prc_med = "&amp;G1411&amp;", cot_prc_mediana = "&amp;H1411&amp;" WHERE cot_id = "&amp;A1411&amp;";"</f>
        <v>UPDATE COTACAO SET cot_id = 1410, cot_blt_id = 73, cot_pap_id = 19, cot_prc_comum = NULL, cot_prc_min = 35, cot_prc_max = 20, cot_prc_med = 35, cot_prc_mediana = 28.75 WHERE cot_id = 1410;</v>
      </c>
    </row>
    <row r="1412" customFormat="false" ht="14.25" hidden="false" customHeight="false" outlineLevel="0" collapsed="false">
      <c r="A1412" s="0" t="n">
        <v>1411</v>
      </c>
      <c r="B1412" s="0" t="n">
        <f aca="false">IF('Boletins Nuppa Site'!A1412&lt;&gt;0,'Boletins Nuppa Site'!A1412,"NULL")</f>
        <v>73</v>
      </c>
      <c r="C1412" s="0" t="n">
        <v>20</v>
      </c>
      <c r="D1412" s="0" t="str">
        <f aca="false">IF('Boletins Nuppa Site'!G1412&lt;&gt;0,'Boletins Nuppa Site'!G1412,"NULL")</f>
        <v>NULL</v>
      </c>
      <c r="E1412" s="30" t="n">
        <f aca="false">IF('Boletins Nuppa Site'!H1412&lt;&gt;0,'Boletins Nuppa Site'!H1412,"NULL")</f>
        <v>80</v>
      </c>
      <c r="F1412" s="30" t="n">
        <f aca="false">IF('Boletins Nuppa Site'!I1412&lt;&gt;0,'Boletins Nuppa Site'!I1412,"NULL")</f>
        <v>80</v>
      </c>
      <c r="G1412" s="30" t="n">
        <f aca="false">IF('Boletins Nuppa Site'!J1412&lt;&gt;0,'Boletins Nuppa Site'!J1412,"NULL")</f>
        <v>80</v>
      </c>
      <c r="H1412" s="30" t="n">
        <f aca="false">IF('Boletins Nuppa Site'!K1412&lt;&gt;0,'Boletins Nuppa Site'!K1412,"NULL")</f>
        <v>80</v>
      </c>
      <c r="I1412" s="0" t="str">
        <f aca="false">"INSERT INTO COTACAO (cot_id, cot_blt_id, cot_pap_id, cot_prc_comum, cot_prc_min, cot_prc_max, cot_prc_med, cot_prc_mediana) VALUES ("&amp;A1412&amp;", "&amp;B1412&amp;", "&amp;C1412&amp;", "&amp;D1412&amp;", "&amp;E1412&amp;", "&amp;F1412&amp;", "&amp;G1412&amp;", "&amp;H1412&amp;");"</f>
        <v>INSERT INTO COTACAO (cot_id, cot_blt_id, cot_pap_id, cot_prc_comum, cot_prc_min, cot_prc_max, cot_prc_med, cot_prc_mediana) VALUES (1411, 73, 20, NULL, 80, 80, 80, 80);</v>
      </c>
      <c r="J1412" s="0" t="str">
        <f aca="false">"UPDATE COTACAO SET cot_id = "&amp;A1412&amp;", cot_blt_id = "&amp;B1412&amp;", cot_pap_id = "&amp;C1412&amp;", cot_prc_comum = "&amp;D1412&amp;", cot_prc_min = "&amp;E1412&amp;", cot_prc_max = "&amp;F1412&amp;", cot_prc_med = "&amp;G1412&amp;", cot_prc_mediana = "&amp;H1412&amp;" WHERE cot_id = "&amp;A1412&amp;";"</f>
        <v>UPDATE COTACAO SET cot_id = 1411, cot_blt_id = 73, cot_pap_id = 20, cot_prc_comum = NULL, cot_prc_min = 80, cot_prc_max = 80, cot_prc_med = 80, cot_prc_mediana = 80 WHERE cot_id = 1411;</v>
      </c>
    </row>
    <row r="1413" customFormat="false" ht="14.25" hidden="false" customHeight="false" outlineLevel="0" collapsed="false">
      <c r="A1413" s="0" t="n">
        <v>1412</v>
      </c>
      <c r="B1413" s="0" t="n">
        <f aca="false">IF('Boletins Nuppa Site'!A1413&lt;&gt;0,'Boletins Nuppa Site'!A1413,"NULL")</f>
        <v>73</v>
      </c>
      <c r="C1413" s="0" t="n">
        <v>21</v>
      </c>
      <c r="D1413" s="30" t="n">
        <f aca="false">IF('Boletins Nuppa Site'!G1413&lt;&gt;0,'Boletins Nuppa Site'!G1413,"NULL")</f>
        <v>40</v>
      </c>
      <c r="E1413" s="30" t="n">
        <f aca="false">IF('Boletins Nuppa Site'!H1413&lt;&gt;0,'Boletins Nuppa Site'!H1413,"NULL")</f>
        <v>30</v>
      </c>
      <c r="F1413" s="30" t="n">
        <f aca="false">IF('Boletins Nuppa Site'!I1413&lt;&gt;0,'Boletins Nuppa Site'!I1413,"NULL")</f>
        <v>40</v>
      </c>
      <c r="G1413" s="30" t="n">
        <f aca="false">IF('Boletins Nuppa Site'!J1413&lt;&gt;0,'Boletins Nuppa Site'!J1413,"NULL")</f>
        <v>35</v>
      </c>
      <c r="H1413" s="30" t="n">
        <f aca="false">IF('Boletins Nuppa Site'!K1413&lt;&gt;0,'Boletins Nuppa Site'!K1413,"NULL")</f>
        <v>35</v>
      </c>
      <c r="I1413" s="0" t="str">
        <f aca="false">"INSERT INTO COTACAO (cot_id, cot_blt_id, cot_pap_id, cot_prc_comum, cot_prc_min, cot_prc_max, cot_prc_med, cot_prc_mediana) VALUES ("&amp;A1413&amp;", "&amp;B1413&amp;", "&amp;C1413&amp;", "&amp;D1413&amp;", "&amp;E1413&amp;", "&amp;F1413&amp;", "&amp;G1413&amp;", "&amp;H1413&amp;");"</f>
        <v>INSERT INTO COTACAO (cot_id, cot_blt_id, cot_pap_id, cot_prc_comum, cot_prc_min, cot_prc_max, cot_prc_med, cot_prc_mediana) VALUES (1412, 73, 21, 40, 30, 40, 35, 35);</v>
      </c>
      <c r="J1413" s="0" t="str">
        <f aca="false">"UPDATE COTACAO SET cot_id = "&amp;A1413&amp;", cot_blt_id = "&amp;B1413&amp;", cot_pap_id = "&amp;C1413&amp;", cot_prc_comum = "&amp;D1413&amp;", cot_prc_min = "&amp;E1413&amp;", cot_prc_max = "&amp;F1413&amp;", cot_prc_med = "&amp;G1413&amp;", cot_prc_mediana = "&amp;H1413&amp;" WHERE cot_id = "&amp;A1413&amp;";"</f>
        <v>UPDATE COTACAO SET cot_id = 1412, cot_blt_id = 73, cot_pap_id = 21, cot_prc_comum = 40, cot_prc_min = 30, cot_prc_max = 40, cot_prc_med = 35, cot_prc_mediana = 35 WHERE cot_id = 1412;</v>
      </c>
    </row>
    <row r="1414" customFormat="false" ht="14.25" hidden="false" customHeight="false" outlineLevel="0" collapsed="false">
      <c r="A1414" s="0" t="n">
        <v>1413</v>
      </c>
      <c r="B1414" s="0" t="n">
        <f aca="false">IF('Boletins Nuppa Site'!A1414&lt;&gt;0,'Boletins Nuppa Site'!A1414,"NULL")</f>
        <v>73</v>
      </c>
      <c r="C1414" s="0" t="n">
        <v>22</v>
      </c>
      <c r="D1414" s="30" t="n">
        <f aca="false">IF('Boletins Nuppa Site'!G1414&lt;&gt;0,'Boletins Nuppa Site'!G1414,"NULL")</f>
        <v>45</v>
      </c>
      <c r="E1414" s="30" t="n">
        <f aca="false">IF('Boletins Nuppa Site'!H1414&lt;&gt;0,'Boletins Nuppa Site'!H1414,"NULL")</f>
        <v>45</v>
      </c>
      <c r="F1414" s="30" t="n">
        <f aca="false">IF('Boletins Nuppa Site'!I1414&lt;&gt;0,'Boletins Nuppa Site'!I1414,"NULL")</f>
        <v>70</v>
      </c>
      <c r="G1414" s="0" t="str">
        <f aca="false">IF('Boletins Nuppa Site'!J1414&lt;&gt;0,'Boletins Nuppa Site'!J1414,"NULL")</f>
        <v>56.25</v>
      </c>
      <c r="H1414" s="30" t="n">
        <f aca="false">IF('Boletins Nuppa Site'!K1414&lt;&gt;0,'Boletins Nuppa Site'!K1414,"NULL")</f>
        <v>55</v>
      </c>
      <c r="I1414" s="0" t="str">
        <f aca="false">"INSERT INTO COTACAO (cot_id, cot_blt_id, cot_pap_id, cot_prc_comum, cot_prc_min, cot_prc_max, cot_prc_med, cot_prc_mediana) VALUES ("&amp;A1414&amp;", "&amp;B1414&amp;", "&amp;C1414&amp;", "&amp;D1414&amp;", "&amp;E1414&amp;", "&amp;F1414&amp;", "&amp;G1414&amp;", "&amp;H1414&amp;");"</f>
        <v>INSERT INTO COTACAO (cot_id, cot_blt_id, cot_pap_id, cot_prc_comum, cot_prc_min, cot_prc_max, cot_prc_med, cot_prc_mediana) VALUES (1413, 73, 22, 45, 45, 70, 56.25, 55);</v>
      </c>
      <c r="J1414" s="0" t="str">
        <f aca="false">"UPDATE COTACAO SET cot_id = "&amp;A1414&amp;", cot_blt_id = "&amp;B1414&amp;", cot_pap_id = "&amp;C1414&amp;", cot_prc_comum = "&amp;D1414&amp;", cot_prc_min = "&amp;E1414&amp;", cot_prc_max = "&amp;F1414&amp;", cot_prc_med = "&amp;G1414&amp;", cot_prc_mediana = "&amp;H1414&amp;" WHERE cot_id = "&amp;A1414&amp;";"</f>
        <v>UPDATE COTACAO SET cot_id = 1413, cot_blt_id = 73, cot_pap_id = 22, cot_prc_comum = 45, cot_prc_min = 45, cot_prc_max = 70, cot_prc_med = 56.25, cot_prc_mediana = 55 WHERE cot_id = 1413;</v>
      </c>
    </row>
    <row r="1415" customFormat="false" ht="14.25" hidden="false" customHeight="false" outlineLevel="0" collapsed="false">
      <c r="A1415" s="0" t="n">
        <v>1414</v>
      </c>
      <c r="B1415" s="0" t="n">
        <f aca="false">IF('Boletins Nuppa Site'!A1415&lt;&gt;0,'Boletins Nuppa Site'!A1415,"NULL")</f>
        <v>73</v>
      </c>
      <c r="C1415" s="0" t="n">
        <v>23</v>
      </c>
      <c r="D1415" s="0" t="str">
        <f aca="false">IF('Boletins Nuppa Site'!G1415&lt;&gt;0,'Boletins Nuppa Site'!G1415,"NULL")</f>
        <v>NULL</v>
      </c>
      <c r="E1415" s="30" t="n">
        <f aca="false">IF('Boletins Nuppa Site'!H1415&lt;&gt;0,'Boletins Nuppa Site'!H1415,"NULL")</f>
        <v>50</v>
      </c>
      <c r="F1415" s="30" t="n">
        <f aca="false">IF('Boletins Nuppa Site'!I1415&lt;&gt;0,'Boletins Nuppa Site'!I1415,"NULL")</f>
        <v>70</v>
      </c>
      <c r="G1415" s="30" t="n">
        <f aca="false">IF('Boletins Nuppa Site'!J1415&lt;&gt;0,'Boletins Nuppa Site'!J1415,"NULL")</f>
        <v>60</v>
      </c>
      <c r="H1415" s="30" t="n">
        <f aca="false">IF('Boletins Nuppa Site'!K1415&lt;&gt;0,'Boletins Nuppa Site'!K1415,"NULL")</f>
        <v>60</v>
      </c>
      <c r="I1415" s="0" t="str">
        <f aca="false">"INSERT INTO COTACAO (cot_id, cot_blt_id, cot_pap_id, cot_prc_comum, cot_prc_min, cot_prc_max, cot_prc_med, cot_prc_mediana) VALUES ("&amp;A1415&amp;", "&amp;B1415&amp;", "&amp;C1415&amp;", "&amp;D1415&amp;", "&amp;E1415&amp;", "&amp;F1415&amp;", "&amp;G1415&amp;", "&amp;H1415&amp;");"</f>
        <v>INSERT INTO COTACAO (cot_id, cot_blt_id, cot_pap_id, cot_prc_comum, cot_prc_min, cot_prc_max, cot_prc_med, cot_prc_mediana) VALUES (1414, 73, 23, NULL, 50, 70, 60, 60);</v>
      </c>
      <c r="J1415" s="0" t="str">
        <f aca="false">"UPDATE COTACAO SET cot_id = "&amp;A1415&amp;", cot_blt_id = "&amp;B1415&amp;", cot_pap_id = "&amp;C1415&amp;", cot_prc_comum = "&amp;D1415&amp;", cot_prc_min = "&amp;E1415&amp;", cot_prc_max = "&amp;F1415&amp;", cot_prc_med = "&amp;G1415&amp;", cot_prc_mediana = "&amp;H1415&amp;" WHERE cot_id = "&amp;A1415&amp;";"</f>
        <v>UPDATE COTACAO SET cot_id = 1414, cot_blt_id = 73, cot_pap_id = 23, cot_prc_comum = NULL, cot_prc_min = 50, cot_prc_max = 70, cot_prc_med = 60, cot_prc_mediana = 60 WHERE cot_id = 1414;</v>
      </c>
    </row>
    <row r="1416" customFormat="false" ht="14.25" hidden="false" customHeight="false" outlineLevel="0" collapsed="false">
      <c r="A1416" s="0" t="n">
        <v>1415</v>
      </c>
      <c r="B1416" s="0" t="n">
        <f aca="false">IF('Boletins Nuppa Site'!A1416&lt;&gt;0,'Boletins Nuppa Site'!A1416,"NULL")</f>
        <v>73</v>
      </c>
      <c r="C1416" s="0" t="n">
        <v>24</v>
      </c>
      <c r="D1416" s="0" t="str">
        <f aca="false">IF('Boletins Nuppa Site'!G1416&lt;&gt;0,'Boletins Nuppa Site'!G1416,"NULL")</f>
        <v>NULL</v>
      </c>
      <c r="E1416" s="30" t="n">
        <f aca="false">IF('Boletins Nuppa Site'!H1416&lt;&gt;0,'Boletins Nuppa Site'!H1416,"NULL")</f>
        <v>45</v>
      </c>
      <c r="F1416" s="30" t="n">
        <f aca="false">IF('Boletins Nuppa Site'!I1416&lt;&gt;0,'Boletins Nuppa Site'!I1416,"NULL")</f>
        <v>110</v>
      </c>
      <c r="G1416" s="0" t="str">
        <f aca="false">IF('Boletins Nuppa Site'!J1416&lt;&gt;0,'Boletins Nuppa Site'!J1416,"NULL")</f>
        <v>81.67</v>
      </c>
      <c r="H1416" s="30" t="n">
        <f aca="false">IF('Boletins Nuppa Site'!K1416&lt;&gt;0,'Boletins Nuppa Site'!K1416,"NULL")</f>
        <v>90</v>
      </c>
      <c r="I1416" s="0" t="str">
        <f aca="false">"INSERT INTO COTACAO (cot_id, cot_blt_id, cot_pap_id, cot_prc_comum, cot_prc_min, cot_prc_max, cot_prc_med, cot_prc_mediana) VALUES ("&amp;A1416&amp;", "&amp;B1416&amp;", "&amp;C1416&amp;", "&amp;D1416&amp;", "&amp;E1416&amp;", "&amp;F1416&amp;", "&amp;G1416&amp;", "&amp;H1416&amp;");"</f>
        <v>INSERT INTO COTACAO (cot_id, cot_blt_id, cot_pap_id, cot_prc_comum, cot_prc_min, cot_prc_max, cot_prc_med, cot_prc_mediana) VALUES (1415, 73, 24, NULL, 45, 110, 81.67, 90);</v>
      </c>
      <c r="J1416" s="0" t="str">
        <f aca="false">"UPDATE COTACAO SET cot_id = "&amp;A1416&amp;", cot_blt_id = "&amp;B1416&amp;", cot_pap_id = "&amp;C1416&amp;", cot_prc_comum = "&amp;D1416&amp;", cot_prc_min = "&amp;E1416&amp;", cot_prc_max = "&amp;F1416&amp;", cot_prc_med = "&amp;G1416&amp;", cot_prc_mediana = "&amp;H1416&amp;" WHERE cot_id = "&amp;A1416&amp;";"</f>
        <v>UPDATE COTACAO SET cot_id = 1415, cot_blt_id = 73, cot_pap_id = 24, cot_prc_comum = NULL, cot_prc_min = 45, cot_prc_max = 110, cot_prc_med = 81.67, cot_prc_mediana = 90 WHERE cot_id = 1415;</v>
      </c>
    </row>
    <row r="1417" customFormat="false" ht="14.25" hidden="false" customHeight="false" outlineLevel="0" collapsed="false">
      <c r="A1417" s="0" t="n">
        <v>1416</v>
      </c>
      <c r="B1417" s="0" t="n">
        <f aca="false">IF('Boletins Nuppa Site'!A1417&lt;&gt;0,'Boletins Nuppa Site'!A1417,"NULL")</f>
        <v>73</v>
      </c>
      <c r="C1417" s="0" t="n">
        <v>26</v>
      </c>
      <c r="D1417" s="30" t="n">
        <f aca="false">IF('Boletins Nuppa Site'!G1417&lt;&gt;0,'Boletins Nuppa Site'!G1417,"NULL")</f>
        <v>55</v>
      </c>
      <c r="E1417" s="30" t="n">
        <f aca="false">IF('Boletins Nuppa Site'!H1417&lt;&gt;0,'Boletins Nuppa Site'!H1417,"NULL")</f>
        <v>40</v>
      </c>
      <c r="F1417" s="30" t="n">
        <f aca="false">IF('Boletins Nuppa Site'!I1417&lt;&gt;0,'Boletins Nuppa Site'!I1417,"NULL")</f>
        <v>55</v>
      </c>
      <c r="G1417" s="0" t="str">
        <f aca="false">IF('Boletins Nuppa Site'!J1417&lt;&gt;0,'Boletins Nuppa Site'!J1417,"NULL")</f>
        <v>48.75</v>
      </c>
      <c r="H1417" s="30" t="n">
        <f aca="false">IF('Boletins Nuppa Site'!K1417&lt;&gt;0,'Boletins Nuppa Site'!K1417,"NULL")</f>
        <v>50</v>
      </c>
      <c r="I1417" s="0" t="str">
        <f aca="false">"INSERT INTO COTACAO (cot_id, cot_blt_id, cot_pap_id, cot_prc_comum, cot_prc_min, cot_prc_max, cot_prc_med, cot_prc_mediana) VALUES ("&amp;A1417&amp;", "&amp;B1417&amp;", "&amp;C1417&amp;", "&amp;D1417&amp;", "&amp;E1417&amp;", "&amp;F1417&amp;", "&amp;G1417&amp;", "&amp;H1417&amp;");"</f>
        <v>INSERT INTO COTACAO (cot_id, cot_blt_id, cot_pap_id, cot_prc_comum, cot_prc_min, cot_prc_max, cot_prc_med, cot_prc_mediana) VALUES (1416, 73, 26, 55, 40, 55, 48.75, 50);</v>
      </c>
      <c r="J1417" s="0" t="str">
        <f aca="false">"UPDATE COTACAO SET cot_id = "&amp;A1417&amp;", cot_blt_id = "&amp;B1417&amp;", cot_pap_id = "&amp;C1417&amp;", cot_prc_comum = "&amp;D1417&amp;", cot_prc_min = "&amp;E1417&amp;", cot_prc_max = "&amp;F1417&amp;", cot_prc_med = "&amp;G1417&amp;", cot_prc_mediana = "&amp;H1417&amp;" WHERE cot_id = "&amp;A1417&amp;";"</f>
        <v>UPDATE COTACAO SET cot_id = 1416, cot_blt_id = 73, cot_pap_id = 26, cot_prc_comum = 55, cot_prc_min = 40, cot_prc_max = 55, cot_prc_med = 48.75, cot_prc_mediana = 50 WHERE cot_id = 1416;</v>
      </c>
    </row>
    <row r="1418" customFormat="false" ht="14.25" hidden="false" customHeight="false" outlineLevel="0" collapsed="false">
      <c r="A1418" s="0" t="n">
        <v>1417</v>
      </c>
      <c r="B1418" s="0" t="n">
        <f aca="false">IF('Boletins Nuppa Site'!A1418&lt;&gt;0,'Boletins Nuppa Site'!A1418,"NULL")</f>
        <v>73</v>
      </c>
      <c r="C1418" s="0" t="n">
        <v>27</v>
      </c>
      <c r="D1418" s="0" t="str">
        <f aca="false">IF('Boletins Nuppa Site'!G1418&lt;&gt;0,'Boletins Nuppa Site'!G1418,"NULL")</f>
        <v>NULL</v>
      </c>
      <c r="E1418" s="30" t="n">
        <f aca="false">IF('Boletins Nuppa Site'!H1418&lt;&gt;0,'Boletins Nuppa Site'!H1418,"NULL")</f>
        <v>55</v>
      </c>
      <c r="F1418" s="30" t="n">
        <f aca="false">IF('Boletins Nuppa Site'!I1418&lt;&gt;0,'Boletins Nuppa Site'!I1418,"NULL")</f>
        <v>85</v>
      </c>
      <c r="G1418" s="0" t="str">
        <f aca="false">IF('Boletins Nuppa Site'!J1418&lt;&gt;0,'Boletins Nuppa Site'!J1418,"NULL")</f>
        <v>68.75</v>
      </c>
      <c r="H1418" s="0" t="str">
        <f aca="false">IF('Boletins Nuppa Site'!K1418&lt;&gt;0,'Boletins Nuppa Site'!K1418,"NULL")</f>
        <v>67.5</v>
      </c>
      <c r="I1418" s="0" t="str">
        <f aca="false">"INSERT INTO COTACAO (cot_id, cot_blt_id, cot_pap_id, cot_prc_comum, cot_prc_min, cot_prc_max, cot_prc_med, cot_prc_mediana) VALUES ("&amp;A1418&amp;", "&amp;B1418&amp;", "&amp;C1418&amp;", "&amp;D1418&amp;", "&amp;E1418&amp;", "&amp;F1418&amp;", "&amp;G1418&amp;", "&amp;H1418&amp;");"</f>
        <v>INSERT INTO COTACAO (cot_id, cot_blt_id, cot_pap_id, cot_prc_comum, cot_prc_min, cot_prc_max, cot_prc_med, cot_prc_mediana) VALUES (1417, 73, 27, NULL, 55, 85, 68.75, 67.5);</v>
      </c>
      <c r="J1418" s="0" t="str">
        <f aca="false">"UPDATE COTACAO SET cot_id = "&amp;A1418&amp;", cot_blt_id = "&amp;B1418&amp;", cot_pap_id = "&amp;C1418&amp;", cot_prc_comum = "&amp;D1418&amp;", cot_prc_min = "&amp;E1418&amp;", cot_prc_max = "&amp;F1418&amp;", cot_prc_med = "&amp;G1418&amp;", cot_prc_mediana = "&amp;H1418&amp;" WHERE cot_id = "&amp;A1418&amp;";"</f>
        <v>UPDATE COTACAO SET cot_id = 1417, cot_blt_id = 73, cot_pap_id = 27, cot_prc_comum = NULL, cot_prc_min = 55, cot_prc_max = 85, cot_prc_med = 68.75, cot_prc_mediana = 67.5 WHERE cot_id = 1417;</v>
      </c>
    </row>
    <row r="1419" customFormat="false" ht="14.25" hidden="false" customHeight="false" outlineLevel="0" collapsed="false">
      <c r="A1419" s="0" t="n">
        <v>1418</v>
      </c>
      <c r="B1419" s="0" t="n">
        <f aca="false">IF('Boletins Nuppa Site'!A1419&lt;&gt;0,'Boletins Nuppa Site'!A1419,"NULL")</f>
        <v>73</v>
      </c>
      <c r="C1419" s="0" t="n">
        <v>28</v>
      </c>
      <c r="D1419" s="0" t="str">
        <f aca="false">IF('Boletins Nuppa Site'!G1419&lt;&gt;0,'Boletins Nuppa Site'!G1419,"NULL")</f>
        <v>NULL</v>
      </c>
      <c r="E1419" s="30" t="n">
        <f aca="false">IF('Boletins Nuppa Site'!H1419&lt;&gt;0,'Boletins Nuppa Site'!H1419,"NULL")</f>
        <v>90</v>
      </c>
      <c r="F1419" s="30" t="n">
        <f aca="false">IF('Boletins Nuppa Site'!I1419&lt;&gt;0,'Boletins Nuppa Site'!I1419,"NULL")</f>
        <v>100</v>
      </c>
      <c r="G1419" s="30" t="n">
        <f aca="false">IF('Boletins Nuppa Site'!J1419&lt;&gt;0,'Boletins Nuppa Site'!J1419,"NULL")</f>
        <v>95</v>
      </c>
      <c r="H1419" s="30" t="n">
        <f aca="false">IF('Boletins Nuppa Site'!K1419&lt;&gt;0,'Boletins Nuppa Site'!K1419,"NULL")</f>
        <v>95</v>
      </c>
      <c r="I1419" s="0" t="str">
        <f aca="false">"INSERT INTO COTACAO (cot_id, cot_blt_id, cot_pap_id, cot_prc_comum, cot_prc_min, cot_prc_max, cot_prc_med, cot_prc_mediana) VALUES ("&amp;A1419&amp;", "&amp;B1419&amp;", "&amp;C1419&amp;", "&amp;D1419&amp;", "&amp;E1419&amp;", "&amp;F1419&amp;", "&amp;G1419&amp;", "&amp;H1419&amp;");"</f>
        <v>INSERT INTO COTACAO (cot_id, cot_blt_id, cot_pap_id, cot_prc_comum, cot_prc_min, cot_prc_max, cot_prc_med, cot_prc_mediana) VALUES (1418, 73, 28, NULL, 90, 100, 95, 95);</v>
      </c>
      <c r="J1419" s="0" t="str">
        <f aca="false">"UPDATE COTACAO SET cot_id = "&amp;A1419&amp;", cot_blt_id = "&amp;B1419&amp;", cot_pap_id = "&amp;C1419&amp;", cot_prc_comum = "&amp;D1419&amp;", cot_prc_min = "&amp;E1419&amp;", cot_prc_max = "&amp;F1419&amp;", cot_prc_med = "&amp;G1419&amp;", cot_prc_mediana = "&amp;H1419&amp;" WHERE cot_id = "&amp;A1419&amp;";"</f>
        <v>UPDATE COTACAO SET cot_id = 1418, cot_blt_id = 73, cot_pap_id = 28, cot_prc_comum = NULL, cot_prc_min = 90, cot_prc_max = 100, cot_prc_med = 95, cot_prc_mediana = 95 WHERE cot_id = 1418;</v>
      </c>
    </row>
    <row r="1420" customFormat="false" ht="14.25" hidden="false" customHeight="false" outlineLevel="0" collapsed="false">
      <c r="A1420" s="0" t="n">
        <v>1419</v>
      </c>
      <c r="B1420" s="0" t="n">
        <f aca="false">IF('Boletins Nuppa Site'!A1420&lt;&gt;0,'Boletins Nuppa Site'!A1420,"NULL")</f>
        <v>73</v>
      </c>
      <c r="C1420" s="0" t="n">
        <v>29</v>
      </c>
      <c r="D1420" s="0" t="str">
        <f aca="false">IF('Boletins Nuppa Site'!G1420&lt;&gt;0,'Boletins Nuppa Site'!G1420,"NULL")</f>
        <v>NULL</v>
      </c>
      <c r="E1420" s="30" t="n">
        <f aca="false">IF('Boletins Nuppa Site'!H1420&lt;&gt;0,'Boletins Nuppa Site'!H1420,"NULL")</f>
        <v>70</v>
      </c>
      <c r="F1420" s="30" t="n">
        <f aca="false">IF('Boletins Nuppa Site'!I1420&lt;&gt;0,'Boletins Nuppa Site'!I1420,"NULL")</f>
        <v>70</v>
      </c>
      <c r="G1420" s="30" t="n">
        <f aca="false">IF('Boletins Nuppa Site'!J1420&lt;&gt;0,'Boletins Nuppa Site'!J1420,"NULL")</f>
        <v>70</v>
      </c>
      <c r="H1420" s="30" t="n">
        <f aca="false">IF('Boletins Nuppa Site'!K1420&lt;&gt;0,'Boletins Nuppa Site'!K1420,"NULL")</f>
        <v>70</v>
      </c>
      <c r="I1420" s="0" t="str">
        <f aca="false">"INSERT INTO COTACAO (cot_id, cot_blt_id, cot_pap_id, cot_prc_comum, cot_prc_min, cot_prc_max, cot_prc_med, cot_prc_mediana) VALUES ("&amp;A1420&amp;", "&amp;B1420&amp;", "&amp;C1420&amp;", "&amp;D1420&amp;", "&amp;E1420&amp;", "&amp;F1420&amp;", "&amp;G1420&amp;", "&amp;H1420&amp;");"</f>
        <v>INSERT INTO COTACAO (cot_id, cot_blt_id, cot_pap_id, cot_prc_comum, cot_prc_min, cot_prc_max, cot_prc_med, cot_prc_mediana) VALUES (1419, 73, 29, NULL, 70, 70, 70, 70);</v>
      </c>
      <c r="J1420" s="0" t="str">
        <f aca="false">"UPDATE COTACAO SET cot_id = "&amp;A1420&amp;", cot_blt_id = "&amp;B1420&amp;", cot_pap_id = "&amp;C1420&amp;", cot_prc_comum = "&amp;D1420&amp;", cot_prc_min = "&amp;E1420&amp;", cot_prc_max = "&amp;F1420&amp;", cot_prc_med = "&amp;G1420&amp;", cot_prc_mediana = "&amp;H1420&amp;" WHERE cot_id = "&amp;A1420&amp;";"</f>
        <v>UPDATE COTACAO SET cot_id = 1419, cot_blt_id = 73, cot_pap_id = 29, cot_prc_comum = NULL, cot_prc_min = 70, cot_prc_max = 70, cot_prc_med = 70, cot_prc_mediana = 70 WHERE cot_id = 1419;</v>
      </c>
    </row>
    <row r="1421" customFormat="false" ht="14.25" hidden="false" customHeight="false" outlineLevel="0" collapsed="false">
      <c r="A1421" s="0" t="n">
        <v>1420</v>
      </c>
      <c r="B1421" s="0" t="n">
        <f aca="false">IF('Boletins Nuppa Site'!A1421&lt;&gt;0,'Boletins Nuppa Site'!A1421,"NULL")</f>
        <v>73</v>
      </c>
      <c r="C1421" s="0" t="n">
        <v>30</v>
      </c>
      <c r="D1421" s="0" t="str">
        <f aca="false">IF('Boletins Nuppa Site'!G1421&lt;&gt;0,'Boletins Nuppa Site'!G1421,"NULL")</f>
        <v>NULL</v>
      </c>
      <c r="E1421" s="30" t="n">
        <f aca="false">IF('Boletins Nuppa Site'!H1421&lt;&gt;0,'Boletins Nuppa Site'!H1421,"NULL")</f>
        <v>70</v>
      </c>
      <c r="F1421" s="30" t="n">
        <f aca="false">IF('Boletins Nuppa Site'!I1421&lt;&gt;0,'Boletins Nuppa Site'!I1421,"NULL")</f>
        <v>80</v>
      </c>
      <c r="G1421" s="30" t="n">
        <f aca="false">IF('Boletins Nuppa Site'!J1421&lt;&gt;0,'Boletins Nuppa Site'!J1421,"NULL")</f>
        <v>75</v>
      </c>
      <c r="H1421" s="30" t="n">
        <f aca="false">IF('Boletins Nuppa Site'!K1421&lt;&gt;0,'Boletins Nuppa Site'!K1421,"NULL")</f>
        <v>75</v>
      </c>
      <c r="I1421" s="0" t="str">
        <f aca="false">"INSERT INTO COTACAO (cot_id, cot_blt_id, cot_pap_id, cot_prc_comum, cot_prc_min, cot_prc_max, cot_prc_med, cot_prc_mediana) VALUES ("&amp;A1421&amp;", "&amp;B1421&amp;", "&amp;C1421&amp;", "&amp;D1421&amp;", "&amp;E1421&amp;", "&amp;F1421&amp;", "&amp;G1421&amp;", "&amp;H1421&amp;");"</f>
        <v>INSERT INTO COTACAO (cot_id, cot_blt_id, cot_pap_id, cot_prc_comum, cot_prc_min, cot_prc_max, cot_prc_med, cot_prc_mediana) VALUES (1420, 73, 30, NULL, 70, 80, 75, 75);</v>
      </c>
      <c r="J1421" s="0" t="str">
        <f aca="false">"UPDATE COTACAO SET cot_id = "&amp;A1421&amp;", cot_blt_id = "&amp;B1421&amp;", cot_pap_id = "&amp;C1421&amp;", cot_prc_comum = "&amp;D1421&amp;", cot_prc_min = "&amp;E1421&amp;", cot_prc_max = "&amp;F1421&amp;", cot_prc_med = "&amp;G1421&amp;", cot_prc_mediana = "&amp;H1421&amp;" WHERE cot_id = "&amp;A1421&amp;";"</f>
        <v>UPDATE COTACAO SET cot_id = 1420, cot_blt_id = 73, cot_pap_id = 30, cot_prc_comum = NULL, cot_prc_min = 70, cot_prc_max = 80, cot_prc_med = 75, cot_prc_mediana = 75 WHERE cot_id = 1420;</v>
      </c>
    </row>
    <row r="1422" customFormat="false" ht="14.25" hidden="false" customHeight="false" outlineLevel="0" collapsed="false">
      <c r="A1422" s="0" t="n">
        <v>1421</v>
      </c>
      <c r="B1422" s="0" t="n">
        <f aca="false">IF('Boletins Nuppa Site'!A1422&lt;&gt;0,'Boletins Nuppa Site'!A1422,"NULL")</f>
        <v>73</v>
      </c>
      <c r="C1422" s="0" t="n">
        <v>31</v>
      </c>
      <c r="D1422" s="30" t="n">
        <f aca="false">IF('Boletins Nuppa Site'!G1422&lt;&gt;0,'Boletins Nuppa Site'!G1422,"NULL")</f>
        <v>100</v>
      </c>
      <c r="E1422" s="30" t="n">
        <f aca="false">IF('Boletins Nuppa Site'!H1422&lt;&gt;0,'Boletins Nuppa Site'!H1422,"NULL")</f>
        <v>75</v>
      </c>
      <c r="F1422" s="30" t="n">
        <f aca="false">IF('Boletins Nuppa Site'!I1422&lt;&gt;0,'Boletins Nuppa Site'!I1422,"NULL")</f>
        <v>100</v>
      </c>
      <c r="G1422" s="0" t="str">
        <f aca="false">IF('Boletins Nuppa Site'!J1422&lt;&gt;0,'Boletins Nuppa Site'!J1422,"NULL")</f>
        <v>88.75</v>
      </c>
      <c r="H1422" s="30" t="n">
        <f aca="false">IF('Boletins Nuppa Site'!K1422&lt;&gt;0,'Boletins Nuppa Site'!K1422,"NULL")</f>
        <v>90</v>
      </c>
      <c r="I1422" s="0" t="str">
        <f aca="false">"INSERT INTO COTACAO (cot_id, cot_blt_id, cot_pap_id, cot_prc_comum, cot_prc_min, cot_prc_max, cot_prc_med, cot_prc_mediana) VALUES ("&amp;A1422&amp;", "&amp;B1422&amp;", "&amp;C1422&amp;", "&amp;D1422&amp;", "&amp;E1422&amp;", "&amp;F1422&amp;", "&amp;G1422&amp;", "&amp;H1422&amp;");"</f>
        <v>INSERT INTO COTACAO (cot_id, cot_blt_id, cot_pap_id, cot_prc_comum, cot_prc_min, cot_prc_max, cot_prc_med, cot_prc_mediana) VALUES (1421, 73, 31, 100, 75, 100, 88.75, 90);</v>
      </c>
      <c r="J1422" s="0" t="str">
        <f aca="false">"UPDATE COTACAO SET cot_id = "&amp;A1422&amp;", cot_blt_id = "&amp;B1422&amp;", cot_pap_id = "&amp;C1422&amp;", cot_prc_comum = "&amp;D1422&amp;", cot_prc_min = "&amp;E1422&amp;", cot_prc_max = "&amp;F1422&amp;", cot_prc_med = "&amp;G1422&amp;", cot_prc_mediana = "&amp;H1422&amp;" WHERE cot_id = "&amp;A1422&amp;";"</f>
        <v>UPDATE COTACAO SET cot_id = 1421, cot_blt_id = 73, cot_pap_id = 31, cot_prc_comum = 100, cot_prc_min = 75, cot_prc_max = 100, cot_prc_med = 88.75, cot_prc_mediana = 90 WHERE cot_id = 1421;</v>
      </c>
    </row>
    <row r="1423" customFormat="false" ht="14.25" hidden="false" customHeight="false" outlineLevel="0" collapsed="false">
      <c r="A1423" s="0" t="n">
        <v>1422</v>
      </c>
      <c r="B1423" s="0" t="n">
        <f aca="false">IF('Boletins Nuppa Site'!A1423&lt;&gt;0,'Boletins Nuppa Site'!A1423,"NULL")</f>
        <v>73</v>
      </c>
      <c r="C1423" s="0" t="n">
        <v>32</v>
      </c>
      <c r="D1423" s="30" t="n">
        <f aca="false">IF('Boletins Nuppa Site'!G1423&lt;&gt;0,'Boletins Nuppa Site'!G1423,"NULL")</f>
        <v>45</v>
      </c>
      <c r="E1423" s="30" t="n">
        <f aca="false">IF('Boletins Nuppa Site'!H1423&lt;&gt;0,'Boletins Nuppa Site'!H1423,"NULL")</f>
        <v>45</v>
      </c>
      <c r="F1423" s="30" t="n">
        <f aca="false">IF('Boletins Nuppa Site'!I1423&lt;&gt;0,'Boletins Nuppa Site'!I1423,"NULL")</f>
        <v>85</v>
      </c>
      <c r="G1423" s="0" t="str">
        <f aca="false">IF('Boletins Nuppa Site'!J1423&lt;&gt;0,'Boletins Nuppa Site'!J1423,"NULL")</f>
        <v>57.5</v>
      </c>
      <c r="H1423" s="30" t="n">
        <f aca="false">IF('Boletins Nuppa Site'!K1423&lt;&gt;0,'Boletins Nuppa Site'!K1423,"NULL")</f>
        <v>50</v>
      </c>
      <c r="I1423" s="0" t="str">
        <f aca="false">"INSERT INTO COTACAO (cot_id, cot_blt_id, cot_pap_id, cot_prc_comum, cot_prc_min, cot_prc_max, cot_prc_med, cot_prc_mediana) VALUES ("&amp;A1423&amp;", "&amp;B1423&amp;", "&amp;C1423&amp;", "&amp;D1423&amp;", "&amp;E1423&amp;", "&amp;F1423&amp;", "&amp;G1423&amp;", "&amp;H1423&amp;");"</f>
        <v>INSERT INTO COTACAO (cot_id, cot_blt_id, cot_pap_id, cot_prc_comum, cot_prc_min, cot_prc_max, cot_prc_med, cot_prc_mediana) VALUES (1422, 73, 32, 45, 45, 85, 57.5, 50);</v>
      </c>
      <c r="J1423" s="0" t="str">
        <f aca="false">"UPDATE COTACAO SET cot_id = "&amp;A1423&amp;", cot_blt_id = "&amp;B1423&amp;", cot_pap_id = "&amp;C1423&amp;", cot_prc_comum = "&amp;D1423&amp;", cot_prc_min = "&amp;E1423&amp;", cot_prc_max = "&amp;F1423&amp;", cot_prc_med = "&amp;G1423&amp;", cot_prc_mediana = "&amp;H1423&amp;" WHERE cot_id = "&amp;A1423&amp;";"</f>
        <v>UPDATE COTACAO SET cot_id = 1422, cot_blt_id = 73, cot_pap_id = 32, cot_prc_comum = 45, cot_prc_min = 45, cot_prc_max = 85, cot_prc_med = 57.5, cot_prc_mediana = 50 WHERE cot_id = 1422;</v>
      </c>
    </row>
    <row r="1424" customFormat="false" ht="14.25" hidden="false" customHeight="false" outlineLevel="0" collapsed="false">
      <c r="A1424" s="0" t="n">
        <v>1423</v>
      </c>
      <c r="B1424" s="0" t="n">
        <f aca="false">IF('Boletins Nuppa Site'!A1424&lt;&gt;0,'Boletins Nuppa Site'!A1424,"NULL")</f>
        <v>73</v>
      </c>
      <c r="C1424" s="0" t="n">
        <v>33</v>
      </c>
      <c r="D1424" s="30" t="n">
        <f aca="false">IF('Boletins Nuppa Site'!G1424&lt;&gt;0,'Boletins Nuppa Site'!G1424,"NULL")</f>
        <v>160</v>
      </c>
      <c r="E1424" s="30" t="n">
        <f aca="false">IF('Boletins Nuppa Site'!H1424&lt;&gt;0,'Boletins Nuppa Site'!H1424,"NULL")</f>
        <v>150</v>
      </c>
      <c r="F1424" s="30" t="n">
        <f aca="false">IF('Boletins Nuppa Site'!I1424&lt;&gt;0,'Boletins Nuppa Site'!I1424,"NULL")</f>
        <v>180</v>
      </c>
      <c r="G1424" s="0" t="str">
        <f aca="false">IF('Boletins Nuppa Site'!J1424&lt;&gt;0,'Boletins Nuppa Site'!J1424,"NULL")</f>
        <v>162.5</v>
      </c>
      <c r="H1424" s="30" t="n">
        <f aca="false">IF('Boletins Nuppa Site'!K1424&lt;&gt;0,'Boletins Nuppa Site'!K1424,"NULL")</f>
        <v>160</v>
      </c>
      <c r="I1424" s="0" t="str">
        <f aca="false">"INSERT INTO COTACAO (cot_id, cot_blt_id, cot_pap_id, cot_prc_comum, cot_prc_min, cot_prc_max, cot_prc_med, cot_prc_mediana) VALUES ("&amp;A1424&amp;", "&amp;B1424&amp;", "&amp;C1424&amp;", "&amp;D1424&amp;", "&amp;E1424&amp;", "&amp;F1424&amp;", "&amp;G1424&amp;", "&amp;H1424&amp;");"</f>
        <v>INSERT INTO COTACAO (cot_id, cot_blt_id, cot_pap_id, cot_prc_comum, cot_prc_min, cot_prc_max, cot_prc_med, cot_prc_mediana) VALUES (1423, 73, 33, 160, 150, 180, 162.5, 160);</v>
      </c>
      <c r="J1424" s="0" t="str">
        <f aca="false">"UPDATE COTACAO SET cot_id = "&amp;A1424&amp;", cot_blt_id = "&amp;B1424&amp;", cot_pap_id = "&amp;C1424&amp;", cot_prc_comum = "&amp;D1424&amp;", cot_prc_min = "&amp;E1424&amp;", cot_prc_max = "&amp;F1424&amp;", cot_prc_med = "&amp;G1424&amp;", cot_prc_mediana = "&amp;H1424&amp;" WHERE cot_id = "&amp;A1424&amp;";"</f>
        <v>UPDATE COTACAO SET cot_id = 1423, cot_blt_id = 73, cot_pap_id = 33, cot_prc_comum = 160, cot_prc_min = 150, cot_prc_max = 180, cot_prc_med = 162.5, cot_prc_mediana = 160 WHERE cot_id = 1423;</v>
      </c>
    </row>
    <row r="1425" customFormat="false" ht="14.25" hidden="false" customHeight="false" outlineLevel="0" collapsed="false">
      <c r="A1425" s="0" t="n">
        <v>1424</v>
      </c>
      <c r="B1425" s="0" t="n">
        <f aca="false">IF('Boletins Nuppa Site'!A1425&lt;&gt;0,'Boletins Nuppa Site'!A1425,"NULL")</f>
        <v>73</v>
      </c>
      <c r="C1425" s="0" t="n">
        <v>34</v>
      </c>
      <c r="D1425" s="0" t="str">
        <f aca="false">IF('Boletins Nuppa Site'!G1425&lt;&gt;0,'Boletins Nuppa Site'!G1425,"NULL")</f>
        <v>NULL</v>
      </c>
      <c r="E1425" s="30" t="n">
        <f aca="false">IF('Boletins Nuppa Site'!H1425&lt;&gt;0,'Boletins Nuppa Site'!H1425,"NULL")</f>
        <v>50</v>
      </c>
      <c r="F1425" s="30" t="n">
        <f aca="false">IF('Boletins Nuppa Site'!I1425&lt;&gt;0,'Boletins Nuppa Site'!I1425,"NULL")</f>
        <v>80</v>
      </c>
      <c r="G1425" s="30" t="n">
        <f aca="false">IF('Boletins Nuppa Site'!J1425&lt;&gt;0,'Boletins Nuppa Site'!J1425,"NULL")</f>
        <v>65</v>
      </c>
      <c r="H1425" s="30" t="n">
        <f aca="false">IF('Boletins Nuppa Site'!K1425&lt;&gt;0,'Boletins Nuppa Site'!K1425,"NULL")</f>
        <v>65</v>
      </c>
      <c r="I1425" s="0" t="str">
        <f aca="false">"INSERT INTO COTACAO (cot_id, cot_blt_id, cot_pap_id, cot_prc_comum, cot_prc_min, cot_prc_max, cot_prc_med, cot_prc_mediana) VALUES ("&amp;A1425&amp;", "&amp;B1425&amp;", "&amp;C1425&amp;", "&amp;D1425&amp;", "&amp;E1425&amp;", "&amp;F1425&amp;", "&amp;G1425&amp;", "&amp;H1425&amp;");"</f>
        <v>INSERT INTO COTACAO (cot_id, cot_blt_id, cot_pap_id, cot_prc_comum, cot_prc_min, cot_prc_max, cot_prc_med, cot_prc_mediana) VALUES (1424, 73, 34, NULL, 50, 80, 65, 65);</v>
      </c>
      <c r="J1425" s="0" t="str">
        <f aca="false">"UPDATE COTACAO SET cot_id = "&amp;A1425&amp;", cot_blt_id = "&amp;B1425&amp;", cot_pap_id = "&amp;C1425&amp;", cot_prc_comum = "&amp;D1425&amp;", cot_prc_min = "&amp;E1425&amp;", cot_prc_max = "&amp;F1425&amp;", cot_prc_med = "&amp;G1425&amp;", cot_prc_mediana = "&amp;H1425&amp;" WHERE cot_id = "&amp;A1425&amp;";"</f>
        <v>UPDATE COTACAO SET cot_id = 1424, cot_blt_id = 73, cot_pap_id = 34, cot_prc_comum = NULL, cot_prc_min = 50, cot_prc_max = 80, cot_prc_med = 65, cot_prc_mediana = 65 WHERE cot_id = 1424;</v>
      </c>
    </row>
    <row r="1426" customFormat="false" ht="14.25" hidden="false" customHeight="false" outlineLevel="0" collapsed="false">
      <c r="A1426" s="0" t="n">
        <v>1425</v>
      </c>
      <c r="B1426" s="0" t="n">
        <f aca="false">IF('Boletins Nuppa Site'!A1426&lt;&gt;0,'Boletins Nuppa Site'!A1426,"NULL")</f>
        <v>73</v>
      </c>
      <c r="C1426" s="0" t="n">
        <v>35</v>
      </c>
      <c r="D1426" s="0" t="str">
        <f aca="false">IF('Boletins Nuppa Site'!G1426&lt;&gt;0,'Boletins Nuppa Site'!G1426,"NULL")</f>
        <v>NULL</v>
      </c>
      <c r="E1426" s="0" t="str">
        <f aca="false">IF('Boletins Nuppa Site'!H1426&lt;&gt;0,'Boletins Nuppa Site'!H1426,"NULL")</f>
        <v>NULL</v>
      </c>
      <c r="F1426" s="30" t="n">
        <f aca="false">IF('Boletins Nuppa Site'!I1426&lt;&gt;0,'Boletins Nuppa Site'!I1426,"NULL")</f>
        <v>90</v>
      </c>
      <c r="G1426" s="30" t="n">
        <f aca="false">IF('Boletins Nuppa Site'!J1426&lt;&gt;0,'Boletins Nuppa Site'!J1426,"NULL")</f>
        <v>120</v>
      </c>
      <c r="H1426" s="0" t="str">
        <f aca="false">IF('Boletins Nuppa Site'!K1426&lt;&gt;0,'Boletins Nuppa Site'!K1426,"NULL")</f>
        <v>103.33</v>
      </c>
      <c r="I1426" s="0" t="str">
        <f aca="false">"INSERT INTO COTACAO (cot_id, cot_blt_id, cot_pap_id, cot_prc_comum, cot_prc_min, cot_prc_max, cot_prc_med, cot_prc_mediana) VALUES ("&amp;A1426&amp;", "&amp;B1426&amp;", "&amp;C1426&amp;", "&amp;D1426&amp;", "&amp;E1426&amp;", "&amp;F1426&amp;", "&amp;G1426&amp;", "&amp;H1426&amp;");"</f>
        <v>INSERT INTO COTACAO (cot_id, cot_blt_id, cot_pap_id, cot_prc_comum, cot_prc_min, cot_prc_max, cot_prc_med, cot_prc_mediana) VALUES (1425, 73, 35, NULL, NULL, 90, 120, 103.33);</v>
      </c>
      <c r="J1426" s="0" t="str">
        <f aca="false">"UPDATE COTACAO SET cot_id = "&amp;A1426&amp;", cot_blt_id = "&amp;B1426&amp;", cot_pap_id = "&amp;C1426&amp;", cot_prc_comum = "&amp;D1426&amp;", cot_prc_min = "&amp;E1426&amp;", cot_prc_max = "&amp;F1426&amp;", cot_prc_med = "&amp;G1426&amp;", cot_prc_mediana = "&amp;H1426&amp;" WHERE cot_id = "&amp;A1426&amp;";"</f>
        <v>UPDATE COTACAO SET cot_id = 1425, cot_blt_id = 73, cot_pap_id = 35, cot_prc_comum = NULL, cot_prc_min = NULL, cot_prc_max = 90, cot_prc_med = 120, cot_prc_mediana = 103.33 WHERE cot_id = 1425;</v>
      </c>
    </row>
    <row r="1427" customFormat="false" ht="14.25" hidden="false" customHeight="false" outlineLevel="0" collapsed="false">
      <c r="A1427" s="0" t="n">
        <v>1426</v>
      </c>
      <c r="B1427" s="0" t="n">
        <f aca="false">IF('Boletins Nuppa Site'!A1427&lt;&gt;0,'Boletins Nuppa Site'!A1427,"NULL")</f>
        <v>73</v>
      </c>
      <c r="C1427" s="0" t="n">
        <v>36</v>
      </c>
      <c r="D1427" s="0" t="str">
        <f aca="false">IF('Boletins Nuppa Site'!G1427&lt;&gt;0,'Boletins Nuppa Site'!G1427,"NULL")</f>
        <v>NULL</v>
      </c>
      <c r="E1427" s="0" t="str">
        <f aca="false">IF('Boletins Nuppa Site'!H1427&lt;&gt;0,'Boletins Nuppa Site'!H1427,"NULL")</f>
        <v>NULL</v>
      </c>
      <c r="F1427" s="0" t="str">
        <f aca="false">IF('Boletins Nuppa Site'!I1427&lt;&gt;0,'Boletins Nuppa Site'!I1427,"NULL")</f>
        <v>NULL</v>
      </c>
      <c r="G1427" s="0" t="str">
        <f aca="false">IF('Boletins Nuppa Site'!J1427&lt;&gt;0,'Boletins Nuppa Site'!J1427,"NULL")</f>
        <v>NULL</v>
      </c>
      <c r="H1427" s="0" t="str">
        <f aca="false">IF('Boletins Nuppa Site'!K1427&lt;&gt;0,'Boletins Nuppa Site'!K1427,"NULL")</f>
        <v>NULL</v>
      </c>
      <c r="I1427" s="0" t="str">
        <f aca="false">"INSERT INTO COTACAO (cot_id, cot_blt_id, cot_pap_id, cot_prc_comum, cot_prc_min, cot_prc_max, cot_prc_med, cot_prc_mediana) VALUES ("&amp;A1427&amp;", "&amp;B1427&amp;", "&amp;C1427&amp;", "&amp;D1427&amp;", "&amp;E1427&amp;", "&amp;F1427&amp;", "&amp;G1427&amp;", "&amp;H1427&amp;");"</f>
        <v>INSERT INTO COTACAO (cot_id, cot_blt_id, cot_pap_id, cot_prc_comum, cot_prc_min, cot_prc_max, cot_prc_med, cot_prc_mediana) VALUES (1426, 73, 36, NULL, NULL, NULL, NULL, NULL);</v>
      </c>
      <c r="J1427" s="0" t="str">
        <f aca="false">"UPDATE COTACAO SET cot_id = "&amp;A1427&amp;", cot_blt_id = "&amp;B1427&amp;", cot_pap_id = "&amp;C1427&amp;", cot_prc_comum = "&amp;D1427&amp;", cot_prc_min = "&amp;E1427&amp;", cot_prc_max = "&amp;F1427&amp;", cot_prc_med = "&amp;G1427&amp;", cot_prc_mediana = "&amp;H1427&amp;" WHERE cot_id = "&amp;A1427&amp;";"</f>
        <v>UPDATE COTACAO SET cot_id = 1426, cot_blt_id = 73, cot_pap_id = 36, cot_prc_comum = NULL, cot_prc_min = NULL, cot_prc_max = NULL, cot_prc_med = NULL, cot_prc_mediana = NULL WHERE cot_id = 1426;</v>
      </c>
    </row>
    <row r="1428" customFormat="false" ht="14.25" hidden="false" customHeight="false" outlineLevel="0" collapsed="false">
      <c r="A1428" s="0" t="n">
        <v>1427</v>
      </c>
      <c r="B1428" s="0" t="n">
        <f aca="false">IF('Boletins Nuppa Site'!A1428&lt;&gt;0,'Boletins Nuppa Site'!A1428,"NULL")</f>
        <v>73</v>
      </c>
      <c r="C1428" s="0" t="n">
        <v>37</v>
      </c>
      <c r="D1428" s="0" t="str">
        <f aca="false">IF('Boletins Nuppa Site'!G1428&lt;&gt;0,'Boletins Nuppa Site'!G1428,"NULL")</f>
        <v>NULL</v>
      </c>
      <c r="E1428" s="0" t="str">
        <f aca="false">IF('Boletins Nuppa Site'!H1428&lt;&gt;0,'Boletins Nuppa Site'!H1428,"NULL")</f>
        <v>NULL</v>
      </c>
      <c r="F1428" s="0" t="str">
        <f aca="false">IF('Boletins Nuppa Site'!I1428&lt;&gt;0,'Boletins Nuppa Site'!I1428,"NULL")</f>
        <v>NULL</v>
      </c>
      <c r="G1428" s="0" t="str">
        <f aca="false">IF('Boletins Nuppa Site'!J1428&lt;&gt;0,'Boletins Nuppa Site'!J1428,"NULL")</f>
        <v>NULL</v>
      </c>
      <c r="H1428" s="0" t="str">
        <f aca="false">IF('Boletins Nuppa Site'!K1428&lt;&gt;0,'Boletins Nuppa Site'!K1428,"NULL")</f>
        <v>NULL</v>
      </c>
      <c r="I1428" s="0" t="str">
        <f aca="false">"INSERT INTO COTACAO (cot_id, cot_blt_id, cot_pap_id, cot_prc_comum, cot_prc_min, cot_prc_max, cot_prc_med, cot_prc_mediana) VALUES ("&amp;A1428&amp;", "&amp;B1428&amp;", "&amp;C1428&amp;", "&amp;D1428&amp;", "&amp;E1428&amp;", "&amp;F1428&amp;", "&amp;G1428&amp;", "&amp;H1428&amp;");"</f>
        <v>INSERT INTO COTACAO (cot_id, cot_blt_id, cot_pap_id, cot_prc_comum, cot_prc_min, cot_prc_max, cot_prc_med, cot_prc_mediana) VALUES (1427, 73, 37, NULL, NULL, NULL, NULL, NULL);</v>
      </c>
      <c r="J1428" s="0" t="str">
        <f aca="false">"UPDATE COTACAO SET cot_id = "&amp;A1428&amp;", cot_blt_id = "&amp;B1428&amp;", cot_pap_id = "&amp;C1428&amp;", cot_prc_comum = "&amp;D1428&amp;", cot_prc_min = "&amp;E1428&amp;", cot_prc_max = "&amp;F1428&amp;", cot_prc_med = "&amp;G1428&amp;", cot_prc_mediana = "&amp;H1428&amp;" WHERE cot_id = "&amp;A1428&amp;";"</f>
        <v>UPDATE COTACAO SET cot_id = 1427, cot_blt_id = 73, cot_pap_id = 37, cot_prc_comum = NULL, cot_prc_min = NULL, cot_prc_max = NULL, cot_prc_med = NULL, cot_prc_mediana = NULL WHERE cot_id = 1427;</v>
      </c>
    </row>
    <row r="1429" customFormat="false" ht="14.25" hidden="false" customHeight="false" outlineLevel="0" collapsed="false">
      <c r="A1429" s="0" t="n">
        <v>1428</v>
      </c>
      <c r="B1429" s="0" t="n">
        <f aca="false">IF('Boletins Nuppa Site'!A1429&lt;&gt;0,'Boletins Nuppa Site'!A1429,"NULL")</f>
        <v>73</v>
      </c>
      <c r="C1429" s="0" t="n">
        <v>38</v>
      </c>
      <c r="D1429" s="0" t="str">
        <f aca="false">IF('Boletins Nuppa Site'!G1429&lt;&gt;0,'Boletins Nuppa Site'!G1429,"NULL")</f>
        <v>NULL</v>
      </c>
      <c r="E1429" s="0" t="str">
        <f aca="false">IF('Boletins Nuppa Site'!H1429&lt;&gt;0,'Boletins Nuppa Site'!H1429,"NULL")</f>
        <v>NULL</v>
      </c>
      <c r="F1429" s="0" t="str">
        <f aca="false">IF('Boletins Nuppa Site'!I1429&lt;&gt;0,'Boletins Nuppa Site'!I1429,"NULL")</f>
        <v>NULL</v>
      </c>
      <c r="G1429" s="0" t="str">
        <f aca="false">IF('Boletins Nuppa Site'!J1429&lt;&gt;0,'Boletins Nuppa Site'!J1429,"NULL")</f>
        <v>NULL</v>
      </c>
      <c r="H1429" s="0" t="str">
        <f aca="false">IF('Boletins Nuppa Site'!K1429&lt;&gt;0,'Boletins Nuppa Site'!K1429,"NULL")</f>
        <v>NULL</v>
      </c>
      <c r="I1429" s="0" t="str">
        <f aca="false">"INSERT INTO COTACAO (cot_id, cot_blt_id, cot_pap_id, cot_prc_comum, cot_prc_min, cot_prc_max, cot_prc_med, cot_prc_mediana) VALUES ("&amp;A1429&amp;", "&amp;B1429&amp;", "&amp;C1429&amp;", "&amp;D1429&amp;", "&amp;E1429&amp;", "&amp;F1429&amp;", "&amp;G1429&amp;", "&amp;H1429&amp;");"</f>
        <v>INSERT INTO COTACAO (cot_id, cot_blt_id, cot_pap_id, cot_prc_comum, cot_prc_min, cot_prc_max, cot_prc_med, cot_prc_mediana) VALUES (1428, 73, 38, NULL, NULL, NULL, NULL, NULL);</v>
      </c>
      <c r="J1429" s="0" t="str">
        <f aca="false">"UPDATE COTACAO SET cot_id = "&amp;A1429&amp;", cot_blt_id = "&amp;B1429&amp;", cot_pap_id = "&amp;C1429&amp;", cot_prc_comum = "&amp;D1429&amp;", cot_prc_min = "&amp;E1429&amp;", cot_prc_max = "&amp;F1429&amp;", cot_prc_med = "&amp;G1429&amp;", cot_prc_mediana = "&amp;H1429&amp;" WHERE cot_id = "&amp;A1429&amp;";"</f>
        <v>UPDATE COTACAO SET cot_id = 1428, cot_blt_id = 73, cot_pap_id = 38, cot_prc_comum = NULL, cot_prc_min = NULL, cot_prc_max = NULL, cot_prc_med = NULL, cot_prc_mediana = NULL WHERE cot_id = 1428;</v>
      </c>
    </row>
    <row r="1430" customFormat="false" ht="14.25" hidden="false" customHeight="false" outlineLevel="0" collapsed="false">
      <c r="A1430" s="0" t="n">
        <v>1429</v>
      </c>
      <c r="B1430" s="0" t="n">
        <f aca="false">IF('Boletins Nuppa Site'!A1430&lt;&gt;0,'Boletins Nuppa Site'!A1430,"NULL")</f>
        <v>73</v>
      </c>
      <c r="C1430" s="0" t="n">
        <v>39</v>
      </c>
      <c r="D1430" s="0" t="str">
        <f aca="false">IF('Boletins Nuppa Site'!G1430&lt;&gt;0,'Boletins Nuppa Site'!G1430,"NULL")</f>
        <v>NULL</v>
      </c>
      <c r="E1430" s="30" t="n">
        <f aca="false">IF('Boletins Nuppa Site'!H1430&lt;&gt;0,'Boletins Nuppa Site'!H1430,"NULL")</f>
        <v>70</v>
      </c>
      <c r="F1430" s="30" t="n">
        <f aca="false">IF('Boletins Nuppa Site'!I1430&lt;&gt;0,'Boletins Nuppa Site'!I1430,"NULL")</f>
        <v>70</v>
      </c>
      <c r="G1430" s="30" t="n">
        <f aca="false">IF('Boletins Nuppa Site'!J1430&lt;&gt;0,'Boletins Nuppa Site'!J1430,"NULL")</f>
        <v>70</v>
      </c>
      <c r="H1430" s="30" t="n">
        <f aca="false">IF('Boletins Nuppa Site'!K1430&lt;&gt;0,'Boletins Nuppa Site'!K1430,"NULL")</f>
        <v>70</v>
      </c>
      <c r="I1430" s="0" t="str">
        <f aca="false">"INSERT INTO COTACAO (cot_id, cot_blt_id, cot_pap_id, cot_prc_comum, cot_prc_min, cot_prc_max, cot_prc_med, cot_prc_mediana) VALUES ("&amp;A1430&amp;", "&amp;B1430&amp;", "&amp;C1430&amp;", "&amp;D1430&amp;", "&amp;E1430&amp;", "&amp;F1430&amp;", "&amp;G1430&amp;", "&amp;H1430&amp;");"</f>
        <v>INSERT INTO COTACAO (cot_id, cot_blt_id, cot_pap_id, cot_prc_comum, cot_prc_min, cot_prc_max, cot_prc_med, cot_prc_mediana) VALUES (1429, 73, 39, NULL, 70, 70, 70, 70);</v>
      </c>
      <c r="J1430" s="0" t="str">
        <f aca="false">"UPDATE COTACAO SET cot_id = "&amp;A1430&amp;", cot_blt_id = "&amp;B1430&amp;", cot_pap_id = "&amp;C1430&amp;", cot_prc_comum = "&amp;D1430&amp;", cot_prc_min = "&amp;E1430&amp;", cot_prc_max = "&amp;F1430&amp;", cot_prc_med = "&amp;G1430&amp;", cot_prc_mediana = "&amp;H1430&amp;" WHERE cot_id = "&amp;A1430&amp;";"</f>
        <v>UPDATE COTACAO SET cot_id = 1429, cot_blt_id = 73, cot_pap_id = 39, cot_prc_comum = NULL, cot_prc_min = 70, cot_prc_max = 70, cot_prc_med = 70, cot_prc_mediana = 70 WHERE cot_id = 1429;</v>
      </c>
    </row>
    <row r="1431" customFormat="false" ht="14.25" hidden="false" customHeight="false" outlineLevel="0" collapsed="false">
      <c r="A1431" s="0" t="n">
        <v>1430</v>
      </c>
      <c r="B1431" s="0" t="n">
        <f aca="false">IF('Boletins Nuppa Site'!A1431&lt;&gt;0,'Boletins Nuppa Site'!A1431,"NULL")</f>
        <v>73</v>
      </c>
      <c r="C1431" s="0" t="n">
        <v>40</v>
      </c>
      <c r="D1431" s="0" t="str">
        <f aca="false">IF('Boletins Nuppa Site'!G1431&lt;&gt;0,'Boletins Nuppa Site'!G1431,"NULL")</f>
        <v>NULL</v>
      </c>
      <c r="E1431" s="30" t="str">
        <f aca="false">IF('Boletins Nuppa Site'!H1431&lt;&gt;0,'Boletins Nuppa Site'!H1431,"NULL")</f>
        <v>NULL</v>
      </c>
      <c r="F1431" s="30" t="str">
        <f aca="false">IF('Boletins Nuppa Site'!I1431&lt;&gt;0,'Boletins Nuppa Site'!I1431,"NULL")</f>
        <v>NULL</v>
      </c>
      <c r="G1431" s="30" t="str">
        <f aca="false">IF('Boletins Nuppa Site'!J1431&lt;&gt;0,'Boletins Nuppa Site'!J1431,"NULL")</f>
        <v>NULL</v>
      </c>
      <c r="H1431" s="30" t="str">
        <f aca="false">IF('Boletins Nuppa Site'!K1431&lt;&gt;0,'Boletins Nuppa Site'!K1431,"NULL")</f>
        <v>NULL</v>
      </c>
      <c r="I1431" s="0" t="str">
        <f aca="false">"INSERT INTO COTACAO (cot_id, cot_blt_id, cot_pap_id, cot_prc_comum, cot_prc_min, cot_prc_max, cot_prc_med, cot_prc_mediana) VALUES ("&amp;A1431&amp;", "&amp;B1431&amp;", "&amp;C1431&amp;", "&amp;D1431&amp;", "&amp;E1431&amp;", "&amp;F1431&amp;", "&amp;G1431&amp;", "&amp;H1431&amp;");"</f>
        <v>INSERT INTO COTACAO (cot_id, cot_blt_id, cot_pap_id, cot_prc_comum, cot_prc_min, cot_prc_max, cot_prc_med, cot_prc_mediana) VALUES (1430, 73, 40, NULL, NULL, NULL, NULL, NULL);</v>
      </c>
      <c r="J1431" s="0" t="str">
        <f aca="false">"UPDATE COTACAO SET cot_id = "&amp;A1431&amp;", cot_blt_id = "&amp;B1431&amp;", cot_pap_id = "&amp;C1431&amp;", cot_prc_comum = "&amp;D1431&amp;", cot_prc_min = "&amp;E1431&amp;", cot_prc_max = "&amp;F1431&amp;", cot_prc_med = "&amp;G1431&amp;", cot_prc_mediana = "&amp;H1431&amp;" WHERE cot_id = "&amp;A1431&amp;";"</f>
        <v>UPDATE COTACAO SET cot_id = 1430, cot_blt_id = 73, cot_pap_id = 40, cot_prc_comum = NULL, cot_prc_min = NULL, cot_prc_max = NULL, cot_prc_med = NULL, cot_prc_mediana = NULL WHERE cot_id = 1430;</v>
      </c>
    </row>
    <row r="1432" customFormat="false" ht="14.25" hidden="false" customHeight="false" outlineLevel="0" collapsed="false">
      <c r="A1432" s="0" t="n">
        <v>1431</v>
      </c>
      <c r="B1432" s="0" t="n">
        <f aca="false">IF('Boletins Nuppa Site'!A1432&lt;&gt;0,'Boletins Nuppa Site'!A1432,"NULL")</f>
        <v>74</v>
      </c>
      <c r="C1432" s="0" t="n">
        <v>1</v>
      </c>
      <c r="D1432" s="31" t="n">
        <f aca="false">IF('Boletins Nuppa Site'!G1432&lt;&gt;0,'Boletins Nuppa Site'!G1432,"NULL")</f>
        <v>48</v>
      </c>
      <c r="E1432" s="30" t="n">
        <f aca="false">IF('Boletins Nuppa Site'!H1432&lt;&gt;0,'Boletins Nuppa Site'!H1432,"NULL")</f>
        <v>36</v>
      </c>
      <c r="F1432" s="30" t="n">
        <f aca="false">IF('Boletins Nuppa Site'!I1432&lt;&gt;0,'Boletins Nuppa Site'!I1432,"NULL")</f>
        <v>60</v>
      </c>
      <c r="G1432" s="30" t="n">
        <f aca="false">IF('Boletins Nuppa Site'!J1432&lt;&gt;0,'Boletins Nuppa Site'!J1432,"NULL")</f>
        <v>48</v>
      </c>
      <c r="H1432" s="30" t="n">
        <f aca="false">IF('Boletins Nuppa Site'!K1432&lt;&gt;0,'Boletins Nuppa Site'!K1432,"NULL")</f>
        <v>48</v>
      </c>
      <c r="I1432" s="0" t="str">
        <f aca="false">"INSERT INTO COTACAO (cot_id, cot_blt_id, cot_pap_id, cot_prc_comum, cot_prc_min, cot_prc_max, cot_prc_med, cot_prc_mediana) VALUES ("&amp;A1432&amp;", "&amp;B1432&amp;", "&amp;C1432&amp;", "&amp;D1432&amp;", "&amp;E1432&amp;", "&amp;F1432&amp;", "&amp;G1432&amp;", "&amp;H1432&amp;");"</f>
        <v>INSERT INTO COTACAO (cot_id, cot_blt_id, cot_pap_id, cot_prc_comum, cot_prc_min, cot_prc_max, cot_prc_med, cot_prc_mediana) VALUES (1431, 74, 1, 48, 36, 60, 48, 48);</v>
      </c>
      <c r="J1432" s="0" t="str">
        <f aca="false">"UPDATE COTACAO SET cot_id = "&amp;A1432&amp;", cot_blt_id = "&amp;B1432&amp;", cot_pap_id = "&amp;C1432&amp;", cot_prc_comum = "&amp;D1432&amp;", cot_prc_min = "&amp;E1432&amp;", cot_prc_max = "&amp;F1432&amp;", cot_prc_med = "&amp;G1432&amp;", cot_prc_mediana = "&amp;H1432&amp;" WHERE cot_id = "&amp;A1432&amp;";"</f>
        <v>UPDATE COTACAO SET cot_id = 1431, cot_blt_id = 74, cot_pap_id = 1, cot_prc_comum = 48, cot_prc_min = 36, cot_prc_max = 60, cot_prc_med = 48, cot_prc_mediana = 48 WHERE cot_id = 1431;</v>
      </c>
    </row>
    <row r="1433" customFormat="false" ht="14.25" hidden="false" customHeight="false" outlineLevel="0" collapsed="false">
      <c r="A1433" s="0" t="n">
        <v>1432</v>
      </c>
      <c r="B1433" s="0" t="n">
        <f aca="false">IF('Boletins Nuppa Site'!A1433&lt;&gt;0,'Boletins Nuppa Site'!A1433,"NULL")</f>
        <v>74</v>
      </c>
      <c r="C1433" s="0" t="n">
        <v>2</v>
      </c>
      <c r="D1433" s="31" t="n">
        <f aca="false">IF('Boletins Nuppa Site'!G1433&lt;&gt;0,'Boletins Nuppa Site'!G1433,"NULL")</f>
        <v>84</v>
      </c>
      <c r="E1433" s="30" t="n">
        <f aca="false">IF('Boletins Nuppa Site'!H1433&lt;&gt;0,'Boletins Nuppa Site'!H1433,"NULL")</f>
        <v>72</v>
      </c>
      <c r="F1433" s="30" t="n">
        <f aca="false">IF('Boletins Nuppa Site'!I1433&lt;&gt;0,'Boletins Nuppa Site'!I1433,"NULL")</f>
        <v>84</v>
      </c>
      <c r="G1433" s="30" t="n">
        <f aca="false">IF('Boletins Nuppa Site'!J1433&lt;&gt;0,'Boletins Nuppa Site'!J1433,"NULL")</f>
        <v>80</v>
      </c>
      <c r="H1433" s="30" t="n">
        <f aca="false">IF('Boletins Nuppa Site'!K1433&lt;&gt;0,'Boletins Nuppa Site'!K1433,"NULL")</f>
        <v>84</v>
      </c>
      <c r="I1433" s="0" t="str">
        <f aca="false">"INSERT INTO COTACAO (cot_id, cot_blt_id, cot_pap_id, cot_prc_comum, cot_prc_min, cot_prc_max, cot_prc_med, cot_prc_mediana) VALUES ("&amp;A1433&amp;", "&amp;B1433&amp;", "&amp;C1433&amp;", "&amp;D1433&amp;", "&amp;E1433&amp;", "&amp;F1433&amp;", "&amp;G1433&amp;", "&amp;H1433&amp;");"</f>
        <v>INSERT INTO COTACAO (cot_id, cot_blt_id, cot_pap_id, cot_prc_comum, cot_prc_min, cot_prc_max, cot_prc_med, cot_prc_mediana) VALUES (1432, 74, 2, 84, 72, 84, 80, 84);</v>
      </c>
      <c r="J1433" s="0" t="str">
        <f aca="false">"UPDATE COTACAO SET cot_id = "&amp;A1433&amp;", cot_blt_id = "&amp;B1433&amp;", cot_pap_id = "&amp;C1433&amp;", cot_prc_comum = "&amp;D1433&amp;", cot_prc_min = "&amp;E1433&amp;", cot_prc_max = "&amp;F1433&amp;", cot_prc_med = "&amp;G1433&amp;", cot_prc_mediana = "&amp;H1433&amp;" WHERE cot_id = "&amp;A1433&amp;";"</f>
        <v>UPDATE COTACAO SET cot_id = 1432, cot_blt_id = 74, cot_pap_id = 2, cot_prc_comum = 84, cot_prc_min = 72, cot_prc_max = 84, cot_prc_med = 80, cot_prc_mediana = 84 WHERE cot_id = 1432;</v>
      </c>
    </row>
    <row r="1434" customFormat="false" ht="14.25" hidden="false" customHeight="false" outlineLevel="0" collapsed="false">
      <c r="A1434" s="0" t="n">
        <v>1433</v>
      </c>
      <c r="B1434" s="0" t="n">
        <f aca="false">IF('Boletins Nuppa Site'!A1434&lt;&gt;0,'Boletins Nuppa Site'!A1434,"NULL")</f>
        <v>74</v>
      </c>
      <c r="C1434" s="0" t="n">
        <v>3</v>
      </c>
      <c r="D1434" s="31" t="n">
        <f aca="false">IF('Boletins Nuppa Site'!G1434&lt;&gt;0,'Boletins Nuppa Site'!G1434,"NULL")</f>
        <v>36</v>
      </c>
      <c r="E1434" s="30" t="n">
        <f aca="false">IF('Boletins Nuppa Site'!H1434&lt;&gt;0,'Boletins Nuppa Site'!H1434,"NULL")</f>
        <v>25</v>
      </c>
      <c r="F1434" s="30" t="n">
        <f aca="false">IF('Boletins Nuppa Site'!I1434&lt;&gt;0,'Boletins Nuppa Site'!I1434,"NULL")</f>
        <v>42</v>
      </c>
      <c r="G1434" s="30" t="str">
        <f aca="false">IF('Boletins Nuppa Site'!J1434&lt;&gt;0,'Boletins Nuppa Site'!J1434,"NULL")</f>
        <v>34.75</v>
      </c>
      <c r="H1434" s="30" t="n">
        <f aca="false">IF('Boletins Nuppa Site'!K1434&lt;&gt;0,'Boletins Nuppa Site'!K1434,"NULL")</f>
        <v>36</v>
      </c>
      <c r="I1434" s="0" t="str">
        <f aca="false">"INSERT INTO COTACAO (cot_id, cot_blt_id, cot_pap_id, cot_prc_comum, cot_prc_min, cot_prc_max, cot_prc_med, cot_prc_mediana) VALUES ("&amp;A1434&amp;", "&amp;B1434&amp;", "&amp;C1434&amp;", "&amp;D1434&amp;", "&amp;E1434&amp;", "&amp;F1434&amp;", "&amp;G1434&amp;", "&amp;H1434&amp;");"</f>
        <v>INSERT INTO COTACAO (cot_id, cot_blt_id, cot_pap_id, cot_prc_comum, cot_prc_min, cot_prc_max, cot_prc_med, cot_prc_mediana) VALUES (1433, 74, 3, 36, 25, 42, 34.75, 36);</v>
      </c>
      <c r="J1434" s="0" t="str">
        <f aca="false">"UPDATE COTACAO SET cot_id = "&amp;A1434&amp;", cot_blt_id = "&amp;B1434&amp;", cot_pap_id = "&amp;C1434&amp;", cot_prc_comum = "&amp;D1434&amp;", cot_prc_min = "&amp;E1434&amp;", cot_prc_max = "&amp;F1434&amp;", cot_prc_med = "&amp;G1434&amp;", cot_prc_mediana = "&amp;H1434&amp;" WHERE cot_id = "&amp;A1434&amp;";"</f>
        <v>UPDATE COTACAO SET cot_id = 1433, cot_blt_id = 74, cot_pap_id = 3, cot_prc_comum = 36, cot_prc_min = 25, cot_prc_max = 42, cot_prc_med = 34.75, cot_prc_mediana = 36 WHERE cot_id = 1433;</v>
      </c>
    </row>
    <row r="1435" customFormat="false" ht="14.25" hidden="false" customHeight="false" outlineLevel="0" collapsed="false">
      <c r="A1435" s="0" t="n">
        <v>1434</v>
      </c>
      <c r="B1435" s="0" t="n">
        <f aca="false">IF('Boletins Nuppa Site'!A1435&lt;&gt;0,'Boletins Nuppa Site'!A1435,"NULL")</f>
        <v>74</v>
      </c>
      <c r="C1435" s="0" t="n">
        <v>4</v>
      </c>
      <c r="D1435" s="31" t="n">
        <f aca="false">IF('Boletins Nuppa Site'!G1435&lt;&gt;0,'Boletins Nuppa Site'!G1435,"NULL")</f>
        <v>18</v>
      </c>
      <c r="E1435" s="30" t="n">
        <f aca="false">IF('Boletins Nuppa Site'!H1435&lt;&gt;0,'Boletins Nuppa Site'!H1435,"NULL")</f>
        <v>18</v>
      </c>
      <c r="F1435" s="30" t="n">
        <f aca="false">IF('Boletins Nuppa Site'!I1435&lt;&gt;0,'Boletins Nuppa Site'!I1435,"NULL")</f>
        <v>24</v>
      </c>
      <c r="G1435" s="30" t="n">
        <f aca="false">IF('Boletins Nuppa Site'!J1435&lt;&gt;0,'Boletins Nuppa Site'!J1435,"NULL")</f>
        <v>21</v>
      </c>
      <c r="H1435" s="30" t="n">
        <f aca="false">IF('Boletins Nuppa Site'!K1435&lt;&gt;0,'Boletins Nuppa Site'!K1435,"NULL")</f>
        <v>21</v>
      </c>
      <c r="I1435" s="0" t="str">
        <f aca="false">"INSERT INTO COTACAO (cot_id, cot_blt_id, cot_pap_id, cot_prc_comum, cot_prc_min, cot_prc_max, cot_prc_med, cot_prc_mediana) VALUES ("&amp;A1435&amp;", "&amp;B1435&amp;", "&amp;C1435&amp;", "&amp;D1435&amp;", "&amp;E1435&amp;", "&amp;F1435&amp;", "&amp;G1435&amp;", "&amp;H1435&amp;");"</f>
        <v>INSERT INTO COTACAO (cot_id, cot_blt_id, cot_pap_id, cot_prc_comum, cot_prc_min, cot_prc_max, cot_prc_med, cot_prc_mediana) VALUES (1434, 74, 4, 18, 18, 24, 21, 21);</v>
      </c>
      <c r="J1435" s="0" t="str">
        <f aca="false">"UPDATE COTACAO SET cot_id = "&amp;A1435&amp;", cot_blt_id = "&amp;B1435&amp;", cot_pap_id = "&amp;C1435&amp;", cot_prc_comum = "&amp;D1435&amp;", cot_prc_min = "&amp;E1435&amp;", cot_prc_max = "&amp;F1435&amp;", cot_prc_med = "&amp;G1435&amp;", cot_prc_mediana = "&amp;H1435&amp;" WHERE cot_id = "&amp;A1435&amp;";"</f>
        <v>UPDATE COTACAO SET cot_id = 1434, cot_blt_id = 74, cot_pap_id = 4, cot_prc_comum = 18, cot_prc_min = 18, cot_prc_max = 24, cot_prc_med = 21, cot_prc_mediana = 21 WHERE cot_id = 1434;</v>
      </c>
    </row>
    <row r="1436" customFormat="false" ht="14.25" hidden="false" customHeight="false" outlineLevel="0" collapsed="false">
      <c r="A1436" s="0" t="n">
        <v>1435</v>
      </c>
      <c r="B1436" s="0" t="n">
        <f aca="false">IF('Boletins Nuppa Site'!A1436&lt;&gt;0,'Boletins Nuppa Site'!A1436,"NULL")</f>
        <v>74</v>
      </c>
      <c r="C1436" s="0" t="n">
        <v>5</v>
      </c>
      <c r="D1436" s="31" t="n">
        <f aca="false">IF('Boletins Nuppa Site'!G1436&lt;&gt;0,'Boletins Nuppa Site'!G1436,"NULL")</f>
        <v>18</v>
      </c>
      <c r="E1436" s="30" t="n">
        <f aca="false">IF('Boletins Nuppa Site'!H1436&lt;&gt;0,'Boletins Nuppa Site'!H1436,"NULL")</f>
        <v>18</v>
      </c>
      <c r="F1436" s="30" t="n">
        <f aca="false">IF('Boletins Nuppa Site'!I1436&lt;&gt;0,'Boletins Nuppa Site'!I1436,"NULL")</f>
        <v>24</v>
      </c>
      <c r="G1436" s="30" t="n">
        <f aca="false">IF('Boletins Nuppa Site'!J1436&lt;&gt;0,'Boletins Nuppa Site'!J1436,"NULL")</f>
        <v>21</v>
      </c>
      <c r="H1436" s="30" t="n">
        <f aca="false">IF('Boletins Nuppa Site'!K1436&lt;&gt;0,'Boletins Nuppa Site'!K1436,"NULL")</f>
        <v>21</v>
      </c>
      <c r="I1436" s="0" t="str">
        <f aca="false">"INSERT INTO COTACAO (cot_id, cot_blt_id, cot_pap_id, cot_prc_comum, cot_prc_min, cot_prc_max, cot_prc_med, cot_prc_mediana) VALUES ("&amp;A1436&amp;", "&amp;B1436&amp;", "&amp;C1436&amp;", "&amp;D1436&amp;", "&amp;E1436&amp;", "&amp;F1436&amp;", "&amp;G1436&amp;", "&amp;H1436&amp;");"</f>
        <v>INSERT INTO COTACAO (cot_id, cot_blt_id, cot_pap_id, cot_prc_comum, cot_prc_min, cot_prc_max, cot_prc_med, cot_prc_mediana) VALUES (1435, 74, 5, 18, 18, 24, 21, 21);</v>
      </c>
      <c r="J1436" s="0" t="str">
        <f aca="false">"UPDATE COTACAO SET cot_id = "&amp;A1436&amp;", cot_blt_id = "&amp;B1436&amp;", cot_pap_id = "&amp;C1436&amp;", cot_prc_comum = "&amp;D1436&amp;", cot_prc_min = "&amp;E1436&amp;", cot_prc_max = "&amp;F1436&amp;", cot_prc_med = "&amp;G1436&amp;", cot_prc_mediana = "&amp;H1436&amp;" WHERE cot_id = "&amp;A1436&amp;";"</f>
        <v>UPDATE COTACAO SET cot_id = 1435, cot_blt_id = 74, cot_pap_id = 5, cot_prc_comum = 18, cot_prc_min = 18, cot_prc_max = 24, cot_prc_med = 21, cot_prc_mediana = 21 WHERE cot_id = 1435;</v>
      </c>
    </row>
    <row r="1437" customFormat="false" ht="14.25" hidden="false" customHeight="false" outlineLevel="0" collapsed="false">
      <c r="A1437" s="0" t="n">
        <v>1436</v>
      </c>
      <c r="B1437" s="0" t="n">
        <f aca="false">IF('Boletins Nuppa Site'!A1437&lt;&gt;0,'Boletins Nuppa Site'!A1437,"NULL")</f>
        <v>74</v>
      </c>
      <c r="C1437" s="0" t="n">
        <v>6</v>
      </c>
      <c r="D1437" s="31" t="n">
        <f aca="false">IF('Boletins Nuppa Site'!G1437&lt;&gt;0,'Boletins Nuppa Site'!G1437,"NULL")</f>
        <v>60</v>
      </c>
      <c r="E1437" s="30" t="n">
        <f aca="false">IF('Boletins Nuppa Site'!H1437&lt;&gt;0,'Boletins Nuppa Site'!H1437,"NULL")</f>
        <v>60</v>
      </c>
      <c r="F1437" s="30" t="n">
        <f aca="false">IF('Boletins Nuppa Site'!I1437&lt;&gt;0,'Boletins Nuppa Site'!I1437,"NULL")</f>
        <v>60</v>
      </c>
      <c r="G1437" s="30" t="n">
        <f aca="false">IF('Boletins Nuppa Site'!J1437&lt;&gt;0,'Boletins Nuppa Site'!J1437,"NULL")</f>
        <v>60</v>
      </c>
      <c r="H1437" s="30" t="n">
        <f aca="false">IF('Boletins Nuppa Site'!K1437&lt;&gt;0,'Boletins Nuppa Site'!K1437,"NULL")</f>
        <v>60</v>
      </c>
      <c r="I1437" s="0" t="str">
        <f aca="false">"INSERT INTO COTACAO (cot_id, cot_blt_id, cot_pap_id, cot_prc_comum, cot_prc_min, cot_prc_max, cot_prc_med, cot_prc_mediana) VALUES ("&amp;A1437&amp;", "&amp;B1437&amp;", "&amp;C1437&amp;", "&amp;D1437&amp;", "&amp;E1437&amp;", "&amp;F1437&amp;", "&amp;G1437&amp;", "&amp;H1437&amp;");"</f>
        <v>INSERT INTO COTACAO (cot_id, cot_blt_id, cot_pap_id, cot_prc_comum, cot_prc_min, cot_prc_max, cot_prc_med, cot_prc_mediana) VALUES (1436, 74, 6, 60, 60, 60, 60, 60);</v>
      </c>
      <c r="J1437" s="0" t="str">
        <f aca="false">"UPDATE COTACAO SET cot_id = "&amp;A1437&amp;", cot_blt_id = "&amp;B1437&amp;", cot_pap_id = "&amp;C1437&amp;", cot_prc_comum = "&amp;D1437&amp;", cot_prc_min = "&amp;E1437&amp;", cot_prc_max = "&amp;F1437&amp;", cot_prc_med = "&amp;G1437&amp;", cot_prc_mediana = "&amp;H1437&amp;" WHERE cot_id = "&amp;A1437&amp;";"</f>
        <v>UPDATE COTACAO SET cot_id = 1436, cot_blt_id = 74, cot_pap_id = 6, cot_prc_comum = 60, cot_prc_min = 60, cot_prc_max = 60, cot_prc_med = 60, cot_prc_mediana = 60 WHERE cot_id = 1436;</v>
      </c>
    </row>
    <row r="1438" customFormat="false" ht="14.25" hidden="false" customHeight="false" outlineLevel="0" collapsed="false">
      <c r="A1438" s="0" t="n">
        <v>1437</v>
      </c>
      <c r="B1438" s="0" t="n">
        <f aca="false">IF('Boletins Nuppa Site'!A1438&lt;&gt;0,'Boletins Nuppa Site'!A1438,"NULL")</f>
        <v>74</v>
      </c>
      <c r="C1438" s="0" t="n">
        <v>7</v>
      </c>
      <c r="D1438" s="0" t="str">
        <f aca="false">IF('Boletins Nuppa Site'!G1438&lt;&gt;0,'Boletins Nuppa Site'!G1438,"NULL")</f>
        <v>NULL</v>
      </c>
      <c r="E1438" s="30" t="n">
        <f aca="false">IF('Boletins Nuppa Site'!H1438&lt;&gt;0,'Boletins Nuppa Site'!H1438,"NULL")</f>
        <v>42</v>
      </c>
      <c r="F1438" s="30" t="n">
        <f aca="false">IF('Boletins Nuppa Site'!I1438&lt;&gt;0,'Boletins Nuppa Site'!I1438,"NULL")</f>
        <v>72</v>
      </c>
      <c r="G1438" s="30" t="n">
        <f aca="false">IF('Boletins Nuppa Site'!J1438&lt;&gt;0,'Boletins Nuppa Site'!J1438,"NULL")</f>
        <v>58</v>
      </c>
      <c r="H1438" s="30" t="n">
        <f aca="false">IF('Boletins Nuppa Site'!K1438&lt;&gt;0,'Boletins Nuppa Site'!K1438,"NULL")</f>
        <v>60</v>
      </c>
      <c r="I1438" s="0" t="str">
        <f aca="false">"INSERT INTO COTACAO (cot_id, cot_blt_id, cot_pap_id, cot_prc_comum, cot_prc_min, cot_prc_max, cot_prc_med, cot_prc_mediana) VALUES ("&amp;A1438&amp;", "&amp;B1438&amp;", "&amp;C1438&amp;", "&amp;D1438&amp;", "&amp;E1438&amp;", "&amp;F1438&amp;", "&amp;G1438&amp;", "&amp;H1438&amp;");"</f>
        <v>INSERT INTO COTACAO (cot_id, cot_blt_id, cot_pap_id, cot_prc_comum, cot_prc_min, cot_prc_max, cot_prc_med, cot_prc_mediana) VALUES (1437, 74, 7, NULL, 42, 72, 58, 60);</v>
      </c>
      <c r="J1438" s="0" t="str">
        <f aca="false">"UPDATE COTACAO SET cot_id = "&amp;A1438&amp;", cot_blt_id = "&amp;B1438&amp;", cot_pap_id = "&amp;C1438&amp;", cot_prc_comum = "&amp;D1438&amp;", cot_prc_min = "&amp;E1438&amp;", cot_prc_max = "&amp;F1438&amp;", cot_prc_med = "&amp;G1438&amp;", cot_prc_mediana = "&amp;H1438&amp;" WHERE cot_id = "&amp;A1438&amp;";"</f>
        <v>UPDATE COTACAO SET cot_id = 1437, cot_blt_id = 74, cot_pap_id = 7, cot_prc_comum = NULL, cot_prc_min = 42, cot_prc_max = 72, cot_prc_med = 58, cot_prc_mediana = 60 WHERE cot_id = 1437;</v>
      </c>
    </row>
    <row r="1439" customFormat="false" ht="14.25" hidden="false" customHeight="false" outlineLevel="0" collapsed="false">
      <c r="A1439" s="0" t="n">
        <v>1438</v>
      </c>
      <c r="B1439" s="0" t="n">
        <f aca="false">IF('Boletins Nuppa Site'!A1439&lt;&gt;0,'Boletins Nuppa Site'!A1439,"NULL")</f>
        <v>74</v>
      </c>
      <c r="C1439" s="0" t="n">
        <v>8</v>
      </c>
      <c r="D1439" s="31" t="n">
        <f aca="false">IF('Boletins Nuppa Site'!G1439&lt;&gt;0,'Boletins Nuppa Site'!G1439,"NULL")</f>
        <v>72</v>
      </c>
      <c r="E1439" s="30" t="n">
        <f aca="false">IF('Boletins Nuppa Site'!H1439&lt;&gt;0,'Boletins Nuppa Site'!H1439,"NULL")</f>
        <v>60</v>
      </c>
      <c r="F1439" s="30" t="n">
        <f aca="false">IF('Boletins Nuppa Site'!I1439&lt;&gt;0,'Boletins Nuppa Site'!I1439,"NULL")</f>
        <v>72</v>
      </c>
      <c r="G1439" s="30" t="n">
        <f aca="false">IF('Boletins Nuppa Site'!J1439&lt;&gt;0,'Boletins Nuppa Site'!J1439,"NULL")</f>
        <v>69</v>
      </c>
      <c r="H1439" s="30" t="n">
        <f aca="false">IF('Boletins Nuppa Site'!K1439&lt;&gt;0,'Boletins Nuppa Site'!K1439,"NULL")</f>
        <v>72</v>
      </c>
      <c r="I1439" s="0" t="str">
        <f aca="false">"INSERT INTO COTACAO (cot_id, cot_blt_id, cot_pap_id, cot_prc_comum, cot_prc_min, cot_prc_max, cot_prc_med, cot_prc_mediana) VALUES ("&amp;A1439&amp;", "&amp;B1439&amp;", "&amp;C1439&amp;", "&amp;D1439&amp;", "&amp;E1439&amp;", "&amp;F1439&amp;", "&amp;G1439&amp;", "&amp;H1439&amp;");"</f>
        <v>INSERT INTO COTACAO (cot_id, cot_blt_id, cot_pap_id, cot_prc_comum, cot_prc_min, cot_prc_max, cot_prc_med, cot_prc_mediana) VALUES (1438, 74, 8, 72, 60, 72, 69, 72);</v>
      </c>
      <c r="J1439" s="0" t="str">
        <f aca="false">"UPDATE COTACAO SET cot_id = "&amp;A1439&amp;", cot_blt_id = "&amp;B1439&amp;", cot_pap_id = "&amp;C1439&amp;", cot_prc_comum = "&amp;D1439&amp;", cot_prc_min = "&amp;E1439&amp;", cot_prc_max = "&amp;F1439&amp;", cot_prc_med = "&amp;G1439&amp;", cot_prc_mediana = "&amp;H1439&amp;" WHERE cot_id = "&amp;A1439&amp;";"</f>
        <v>UPDATE COTACAO SET cot_id = 1438, cot_blt_id = 74, cot_pap_id = 8, cot_prc_comum = 72, cot_prc_min = 60, cot_prc_max = 72, cot_prc_med = 69, cot_prc_mediana = 72 WHERE cot_id = 1438;</v>
      </c>
    </row>
    <row r="1440" customFormat="false" ht="14.25" hidden="false" customHeight="false" outlineLevel="0" collapsed="false">
      <c r="A1440" s="0" t="n">
        <v>1439</v>
      </c>
      <c r="B1440" s="0" t="n">
        <f aca="false">IF('Boletins Nuppa Site'!A1440&lt;&gt;0,'Boletins Nuppa Site'!A1440,"NULL")</f>
        <v>74</v>
      </c>
      <c r="C1440" s="0" t="n">
        <v>9</v>
      </c>
      <c r="D1440" s="31" t="n">
        <f aca="false">IF('Boletins Nuppa Site'!G1440&lt;&gt;0,'Boletins Nuppa Site'!G1440,"NULL")</f>
        <v>18</v>
      </c>
      <c r="E1440" s="30" t="n">
        <f aca="false">IF('Boletins Nuppa Site'!H1440&lt;&gt;0,'Boletins Nuppa Site'!H1440,"NULL")</f>
        <v>18</v>
      </c>
      <c r="F1440" s="30" t="n">
        <f aca="false">IF('Boletins Nuppa Site'!I1440&lt;&gt;0,'Boletins Nuppa Site'!I1440,"NULL")</f>
        <v>24</v>
      </c>
      <c r="G1440" s="30" t="n">
        <f aca="false">IF('Boletins Nuppa Site'!J1440&lt;&gt;0,'Boletins Nuppa Site'!J1440,"NULL")</f>
        <v>21</v>
      </c>
      <c r="H1440" s="30" t="n">
        <f aca="false">IF('Boletins Nuppa Site'!K1440&lt;&gt;0,'Boletins Nuppa Site'!K1440,"NULL")</f>
        <v>21</v>
      </c>
      <c r="I1440" s="0" t="str">
        <f aca="false">"INSERT INTO COTACAO (cot_id, cot_blt_id, cot_pap_id, cot_prc_comum, cot_prc_min, cot_prc_max, cot_prc_med, cot_prc_mediana) VALUES ("&amp;A1440&amp;", "&amp;B1440&amp;", "&amp;C1440&amp;", "&amp;D1440&amp;", "&amp;E1440&amp;", "&amp;F1440&amp;", "&amp;G1440&amp;", "&amp;H1440&amp;");"</f>
        <v>INSERT INTO COTACAO (cot_id, cot_blt_id, cot_pap_id, cot_prc_comum, cot_prc_min, cot_prc_max, cot_prc_med, cot_prc_mediana) VALUES (1439, 74, 9, 18, 18, 24, 21, 21);</v>
      </c>
      <c r="J1440" s="0" t="str">
        <f aca="false">"UPDATE COTACAO SET cot_id = "&amp;A1440&amp;", cot_blt_id = "&amp;B1440&amp;", cot_pap_id = "&amp;C1440&amp;", cot_prc_comum = "&amp;D1440&amp;", cot_prc_min = "&amp;E1440&amp;", cot_prc_max = "&amp;F1440&amp;", cot_prc_med = "&amp;G1440&amp;", cot_prc_mediana = "&amp;H1440&amp;" WHERE cot_id = "&amp;A1440&amp;";"</f>
        <v>UPDATE COTACAO SET cot_id = 1439, cot_blt_id = 74, cot_pap_id = 9, cot_prc_comum = 18, cot_prc_min = 18, cot_prc_max = 24, cot_prc_med = 21, cot_prc_mediana = 21 WHERE cot_id = 1439;</v>
      </c>
    </row>
    <row r="1441" customFormat="false" ht="14.25" hidden="false" customHeight="false" outlineLevel="0" collapsed="false">
      <c r="A1441" s="0" t="n">
        <v>1440</v>
      </c>
      <c r="B1441" s="0" t="n">
        <f aca="false">IF('Boletins Nuppa Site'!A1441&lt;&gt;0,'Boletins Nuppa Site'!A1441,"NULL")</f>
        <v>74</v>
      </c>
      <c r="C1441" s="0" t="n">
        <v>10</v>
      </c>
      <c r="D1441" s="0" t="str">
        <f aca="false">IF('Boletins Nuppa Site'!G1441&lt;&gt;0,'Boletins Nuppa Site'!G1441,"NULL")</f>
        <v>NULL</v>
      </c>
      <c r="E1441" s="30" t="n">
        <f aca="false">IF('Boletins Nuppa Site'!H1441&lt;&gt;0,'Boletins Nuppa Site'!H1441,"NULL")</f>
        <v>50</v>
      </c>
      <c r="F1441" s="30" t="n">
        <f aca="false">IF('Boletins Nuppa Site'!I1441&lt;&gt;0,'Boletins Nuppa Site'!I1441,"NULL")</f>
        <v>78</v>
      </c>
      <c r="G1441" s="30" t="str">
        <f aca="false">IF('Boletins Nuppa Site'!J1441&lt;&gt;0,'Boletins Nuppa Site'!J1441,"NULL")</f>
        <v>62.67</v>
      </c>
      <c r="H1441" s="30" t="n">
        <f aca="false">IF('Boletins Nuppa Site'!K1441&lt;&gt;0,'Boletins Nuppa Site'!K1441,"NULL")</f>
        <v>60</v>
      </c>
      <c r="I1441" s="0" t="str">
        <f aca="false">"INSERT INTO COTACAO (cot_id, cot_blt_id, cot_pap_id, cot_prc_comum, cot_prc_min, cot_prc_max, cot_prc_med, cot_prc_mediana) VALUES ("&amp;A1441&amp;", "&amp;B1441&amp;", "&amp;C1441&amp;", "&amp;D1441&amp;", "&amp;E1441&amp;", "&amp;F1441&amp;", "&amp;G1441&amp;", "&amp;H1441&amp;");"</f>
        <v>INSERT INTO COTACAO (cot_id, cot_blt_id, cot_pap_id, cot_prc_comum, cot_prc_min, cot_prc_max, cot_prc_med, cot_prc_mediana) VALUES (1440, 74, 10, NULL, 50, 78, 62.67, 60);</v>
      </c>
      <c r="J1441" s="0" t="str">
        <f aca="false">"UPDATE COTACAO SET cot_id = "&amp;A1441&amp;", cot_blt_id = "&amp;B1441&amp;", cot_pap_id = "&amp;C1441&amp;", cot_prc_comum = "&amp;D1441&amp;", cot_prc_min = "&amp;E1441&amp;", cot_prc_max = "&amp;F1441&amp;", cot_prc_med = "&amp;G1441&amp;", cot_prc_mediana = "&amp;H1441&amp;" WHERE cot_id = "&amp;A1441&amp;";"</f>
        <v>UPDATE COTACAO SET cot_id = 1440, cot_blt_id = 74, cot_pap_id = 10, cot_prc_comum = NULL, cot_prc_min = 50, cot_prc_max = 78, cot_prc_med = 62.67, cot_prc_mediana = 60 WHERE cot_id = 1440;</v>
      </c>
    </row>
    <row r="1442" customFormat="false" ht="14.25" hidden="false" customHeight="false" outlineLevel="0" collapsed="false">
      <c r="A1442" s="0" t="n">
        <v>1441</v>
      </c>
      <c r="B1442" s="0" t="n">
        <f aca="false">IF('Boletins Nuppa Site'!A1442&lt;&gt;0,'Boletins Nuppa Site'!A1442,"NULL")</f>
        <v>74</v>
      </c>
      <c r="C1442" s="0" t="n">
        <v>11</v>
      </c>
      <c r="D1442" s="31" t="n">
        <f aca="false">IF('Boletins Nuppa Site'!G1442&lt;&gt;0,'Boletins Nuppa Site'!G1442,"NULL")</f>
        <v>18</v>
      </c>
      <c r="E1442" s="30" t="n">
        <f aca="false">IF('Boletins Nuppa Site'!H1442&lt;&gt;0,'Boletins Nuppa Site'!H1442,"NULL")</f>
        <v>18</v>
      </c>
      <c r="F1442" s="30" t="n">
        <f aca="false">IF('Boletins Nuppa Site'!I1442&lt;&gt;0,'Boletins Nuppa Site'!I1442,"NULL")</f>
        <v>24</v>
      </c>
      <c r="G1442" s="30" t="n">
        <f aca="false">IF('Boletins Nuppa Site'!J1442&lt;&gt;0,'Boletins Nuppa Site'!J1442,"NULL")</f>
        <v>21</v>
      </c>
      <c r="H1442" s="30" t="n">
        <f aca="false">IF('Boletins Nuppa Site'!K1442&lt;&gt;0,'Boletins Nuppa Site'!K1442,"NULL")</f>
        <v>21</v>
      </c>
      <c r="I1442" s="0" t="str">
        <f aca="false">"INSERT INTO COTACAO (cot_id, cot_blt_id, cot_pap_id, cot_prc_comum, cot_prc_min, cot_prc_max, cot_prc_med, cot_prc_mediana) VALUES ("&amp;A1442&amp;", "&amp;B1442&amp;", "&amp;C1442&amp;", "&amp;D1442&amp;", "&amp;E1442&amp;", "&amp;F1442&amp;", "&amp;G1442&amp;", "&amp;H1442&amp;");"</f>
        <v>INSERT INTO COTACAO (cot_id, cot_blt_id, cot_pap_id, cot_prc_comum, cot_prc_min, cot_prc_max, cot_prc_med, cot_prc_mediana) VALUES (1441, 74, 11, 18, 18, 24, 21, 21);</v>
      </c>
      <c r="J1442" s="0" t="str">
        <f aca="false">"UPDATE COTACAO SET cot_id = "&amp;A1442&amp;", cot_blt_id = "&amp;B1442&amp;", cot_pap_id = "&amp;C1442&amp;", cot_prc_comum = "&amp;D1442&amp;", cot_prc_min = "&amp;E1442&amp;", cot_prc_max = "&amp;F1442&amp;", cot_prc_med = "&amp;G1442&amp;", cot_prc_mediana = "&amp;H1442&amp;" WHERE cot_id = "&amp;A1442&amp;";"</f>
        <v>UPDATE COTACAO SET cot_id = 1441, cot_blt_id = 74, cot_pap_id = 11, cot_prc_comum = 18, cot_prc_min = 18, cot_prc_max = 24, cot_prc_med = 21, cot_prc_mediana = 21 WHERE cot_id = 1441;</v>
      </c>
    </row>
    <row r="1443" customFormat="false" ht="14.25" hidden="false" customHeight="false" outlineLevel="0" collapsed="false">
      <c r="A1443" s="0" t="n">
        <v>1442</v>
      </c>
      <c r="B1443" s="0" t="n">
        <f aca="false">IF('Boletins Nuppa Site'!A1443&lt;&gt;0,'Boletins Nuppa Site'!A1443,"NULL")</f>
        <v>74</v>
      </c>
      <c r="C1443" s="0" t="n">
        <v>12</v>
      </c>
      <c r="D1443" s="31" t="n">
        <f aca="false">IF('Boletins Nuppa Site'!G1443&lt;&gt;0,'Boletins Nuppa Site'!G1443,"NULL")</f>
        <v>60</v>
      </c>
      <c r="E1443" s="30" t="n">
        <f aca="false">IF('Boletins Nuppa Site'!H1443&lt;&gt;0,'Boletins Nuppa Site'!H1443,"NULL")</f>
        <v>48</v>
      </c>
      <c r="F1443" s="30" t="n">
        <f aca="false">IF('Boletins Nuppa Site'!I1443&lt;&gt;0,'Boletins Nuppa Site'!I1443,"NULL")</f>
        <v>60</v>
      </c>
      <c r="G1443" s="30" t="n">
        <f aca="false">IF('Boletins Nuppa Site'!J1443&lt;&gt;0,'Boletins Nuppa Site'!J1443,"NULL")</f>
        <v>56</v>
      </c>
      <c r="H1443" s="30" t="n">
        <f aca="false">IF('Boletins Nuppa Site'!K1443&lt;&gt;0,'Boletins Nuppa Site'!K1443,"NULL")</f>
        <v>60</v>
      </c>
      <c r="I1443" s="0" t="str">
        <f aca="false">"INSERT INTO COTACAO (cot_id, cot_blt_id, cot_pap_id, cot_prc_comum, cot_prc_min, cot_prc_max, cot_prc_med, cot_prc_mediana) VALUES ("&amp;A1443&amp;", "&amp;B1443&amp;", "&amp;C1443&amp;", "&amp;D1443&amp;", "&amp;E1443&amp;", "&amp;F1443&amp;", "&amp;G1443&amp;", "&amp;H1443&amp;");"</f>
        <v>INSERT INTO COTACAO (cot_id, cot_blt_id, cot_pap_id, cot_prc_comum, cot_prc_min, cot_prc_max, cot_prc_med, cot_prc_mediana) VALUES (1442, 74, 12, 60, 48, 60, 56, 60);</v>
      </c>
      <c r="J1443" s="0" t="str">
        <f aca="false">"UPDATE COTACAO SET cot_id = "&amp;A1443&amp;", cot_blt_id = "&amp;B1443&amp;", cot_pap_id = "&amp;C1443&amp;", cot_prc_comum = "&amp;D1443&amp;", cot_prc_min = "&amp;E1443&amp;", cot_prc_max = "&amp;F1443&amp;", cot_prc_med = "&amp;G1443&amp;", cot_prc_mediana = "&amp;H1443&amp;" WHERE cot_id = "&amp;A1443&amp;";"</f>
        <v>UPDATE COTACAO SET cot_id = 1442, cot_blt_id = 74, cot_pap_id = 12, cot_prc_comum = 60, cot_prc_min = 48, cot_prc_max = 60, cot_prc_med = 56, cot_prc_mediana = 60 WHERE cot_id = 1442;</v>
      </c>
    </row>
    <row r="1444" customFormat="false" ht="14.25" hidden="false" customHeight="false" outlineLevel="0" collapsed="false">
      <c r="A1444" s="0" t="n">
        <v>1443</v>
      </c>
      <c r="B1444" s="0" t="n">
        <f aca="false">IF('Boletins Nuppa Site'!A1444&lt;&gt;0,'Boletins Nuppa Site'!A1444,"NULL")</f>
        <v>74</v>
      </c>
      <c r="C1444" s="0" t="n">
        <v>13</v>
      </c>
      <c r="D1444" s="31" t="n">
        <f aca="false">IF('Boletins Nuppa Site'!G1444&lt;&gt;0,'Boletins Nuppa Site'!G1444,"NULL")</f>
        <v>60</v>
      </c>
      <c r="E1444" s="30" t="n">
        <f aca="false">IF('Boletins Nuppa Site'!H1444&lt;&gt;0,'Boletins Nuppa Site'!H1444,"NULL")</f>
        <v>36</v>
      </c>
      <c r="F1444" s="30" t="n">
        <f aca="false">IF('Boletins Nuppa Site'!I1444&lt;&gt;0,'Boletins Nuppa Site'!I1444,"NULL")</f>
        <v>60</v>
      </c>
      <c r="G1444" s="30" t="n">
        <f aca="false">IF('Boletins Nuppa Site'!J1444&lt;&gt;0,'Boletins Nuppa Site'!J1444,"NULL")</f>
        <v>51</v>
      </c>
      <c r="H1444" s="30" t="n">
        <f aca="false">IF('Boletins Nuppa Site'!K1444&lt;&gt;0,'Boletins Nuppa Site'!K1444,"NULL")</f>
        <v>54</v>
      </c>
      <c r="I1444" s="0" t="str">
        <f aca="false">"INSERT INTO COTACAO (cot_id, cot_blt_id, cot_pap_id, cot_prc_comum, cot_prc_min, cot_prc_max, cot_prc_med, cot_prc_mediana) VALUES ("&amp;A1444&amp;", "&amp;B1444&amp;", "&amp;C1444&amp;", "&amp;D1444&amp;", "&amp;E1444&amp;", "&amp;F1444&amp;", "&amp;G1444&amp;", "&amp;H1444&amp;");"</f>
        <v>INSERT INTO COTACAO (cot_id, cot_blt_id, cot_pap_id, cot_prc_comum, cot_prc_min, cot_prc_max, cot_prc_med, cot_prc_mediana) VALUES (1443, 74, 13, 60, 36, 60, 51, 54);</v>
      </c>
      <c r="J1444" s="0" t="str">
        <f aca="false">"UPDATE COTACAO SET cot_id = "&amp;A1444&amp;", cot_blt_id = "&amp;B1444&amp;", cot_pap_id = "&amp;C1444&amp;", cot_prc_comum = "&amp;D1444&amp;", cot_prc_min = "&amp;E1444&amp;", cot_prc_max = "&amp;F1444&amp;", cot_prc_med = "&amp;G1444&amp;", cot_prc_mediana = "&amp;H1444&amp;" WHERE cot_id = "&amp;A1444&amp;";"</f>
        <v>UPDATE COTACAO SET cot_id = 1443, cot_blt_id = 74, cot_pap_id = 13, cot_prc_comum = 60, cot_prc_min = 36, cot_prc_max = 60, cot_prc_med = 51, cot_prc_mediana = 54 WHERE cot_id = 1443;</v>
      </c>
    </row>
    <row r="1445" customFormat="false" ht="14.25" hidden="false" customHeight="false" outlineLevel="0" collapsed="false">
      <c r="A1445" s="0" t="n">
        <v>1444</v>
      </c>
      <c r="B1445" s="0" t="n">
        <f aca="false">IF('Boletins Nuppa Site'!A1445&lt;&gt;0,'Boletins Nuppa Site'!A1445,"NULL")</f>
        <v>74</v>
      </c>
      <c r="C1445" s="0" t="n">
        <v>14</v>
      </c>
      <c r="D1445" s="0" t="str">
        <f aca="false">IF('Boletins Nuppa Site'!G1445&lt;&gt;0,'Boletins Nuppa Site'!G1445,"NULL")</f>
        <v>NULL</v>
      </c>
      <c r="E1445" s="30" t="n">
        <f aca="false">IF('Boletins Nuppa Site'!H1445&lt;&gt;0,'Boletins Nuppa Site'!H1445,"NULL")</f>
        <v>48</v>
      </c>
      <c r="F1445" s="30" t="n">
        <f aca="false">IF('Boletins Nuppa Site'!I1445&lt;&gt;0,'Boletins Nuppa Site'!I1445,"NULL")</f>
        <v>72</v>
      </c>
      <c r="G1445" s="30" t="n">
        <f aca="false">IF('Boletins Nuppa Site'!J1445&lt;&gt;0,'Boletins Nuppa Site'!J1445,"NULL")</f>
        <v>60</v>
      </c>
      <c r="H1445" s="30" t="n">
        <f aca="false">IF('Boletins Nuppa Site'!K1445&lt;&gt;0,'Boletins Nuppa Site'!K1445,"NULL")</f>
        <v>60</v>
      </c>
      <c r="I1445" s="0" t="str">
        <f aca="false">"INSERT INTO COTACAO (cot_id, cot_blt_id, cot_pap_id, cot_prc_comum, cot_prc_min, cot_prc_max, cot_prc_med, cot_prc_mediana) VALUES ("&amp;A1445&amp;", "&amp;B1445&amp;", "&amp;C1445&amp;", "&amp;D1445&amp;", "&amp;E1445&amp;", "&amp;F1445&amp;", "&amp;G1445&amp;", "&amp;H1445&amp;");"</f>
        <v>INSERT INTO COTACAO (cot_id, cot_blt_id, cot_pap_id, cot_prc_comum, cot_prc_min, cot_prc_max, cot_prc_med, cot_prc_mediana) VALUES (1444, 74, 14, NULL, 48, 72, 60, 60);</v>
      </c>
      <c r="J1445" s="0" t="str">
        <f aca="false">"UPDATE COTACAO SET cot_id = "&amp;A1445&amp;", cot_blt_id = "&amp;B1445&amp;", cot_pap_id = "&amp;C1445&amp;", cot_prc_comum = "&amp;D1445&amp;", cot_prc_min = "&amp;E1445&amp;", cot_prc_max = "&amp;F1445&amp;", cot_prc_med = "&amp;G1445&amp;", cot_prc_mediana = "&amp;H1445&amp;" WHERE cot_id = "&amp;A1445&amp;";"</f>
        <v>UPDATE COTACAO SET cot_id = 1444, cot_blt_id = 74, cot_pap_id = 14, cot_prc_comum = NULL, cot_prc_min = 48, cot_prc_max = 72, cot_prc_med = 60, cot_prc_mediana = 60 WHERE cot_id = 1444;</v>
      </c>
    </row>
    <row r="1446" customFormat="false" ht="14.25" hidden="false" customHeight="false" outlineLevel="0" collapsed="false">
      <c r="A1446" s="0" t="n">
        <v>1445</v>
      </c>
      <c r="B1446" s="0" t="n">
        <f aca="false">IF('Boletins Nuppa Site'!A1446&lt;&gt;0,'Boletins Nuppa Site'!A1446,"NULL")</f>
        <v>74</v>
      </c>
      <c r="C1446" s="0" t="n">
        <v>15</v>
      </c>
      <c r="D1446" s="31" t="n">
        <f aca="false">IF('Boletins Nuppa Site'!G1446&lt;&gt;0,'Boletins Nuppa Site'!G1446,"NULL")</f>
        <v>24</v>
      </c>
      <c r="E1446" s="30" t="n">
        <f aca="false">IF('Boletins Nuppa Site'!H1446&lt;&gt;0,'Boletins Nuppa Site'!H1446,"NULL")</f>
        <v>24</v>
      </c>
      <c r="F1446" s="30" t="n">
        <f aca="false">IF('Boletins Nuppa Site'!I1446&lt;&gt;0,'Boletins Nuppa Site'!I1446,"NULL")</f>
        <v>36</v>
      </c>
      <c r="G1446" s="30" t="str">
        <f aca="false">IF('Boletins Nuppa Site'!J1446&lt;&gt;0,'Boletins Nuppa Site'!J1446,"NULL")</f>
        <v>28.5</v>
      </c>
      <c r="H1446" s="30" t="n">
        <f aca="false">IF('Boletins Nuppa Site'!K1446&lt;&gt;0,'Boletins Nuppa Site'!K1446,"NULL")</f>
        <v>27</v>
      </c>
      <c r="I1446" s="0" t="str">
        <f aca="false">"INSERT INTO COTACAO (cot_id, cot_blt_id, cot_pap_id, cot_prc_comum, cot_prc_min, cot_prc_max, cot_prc_med, cot_prc_mediana) VALUES ("&amp;A1446&amp;", "&amp;B1446&amp;", "&amp;C1446&amp;", "&amp;D1446&amp;", "&amp;E1446&amp;", "&amp;F1446&amp;", "&amp;G1446&amp;", "&amp;H1446&amp;");"</f>
        <v>INSERT INTO COTACAO (cot_id, cot_blt_id, cot_pap_id, cot_prc_comum, cot_prc_min, cot_prc_max, cot_prc_med, cot_prc_mediana) VALUES (1445, 74, 15, 24, 24, 36, 28.5, 27);</v>
      </c>
      <c r="J1446" s="0" t="str">
        <f aca="false">"UPDATE COTACAO SET cot_id = "&amp;A1446&amp;", cot_blt_id = "&amp;B1446&amp;", cot_pap_id = "&amp;C1446&amp;", cot_prc_comum = "&amp;D1446&amp;", cot_prc_min = "&amp;E1446&amp;", cot_prc_max = "&amp;F1446&amp;", cot_prc_med = "&amp;G1446&amp;", cot_prc_mediana = "&amp;H1446&amp;" WHERE cot_id = "&amp;A1446&amp;";"</f>
        <v>UPDATE COTACAO SET cot_id = 1445, cot_blt_id = 74, cot_pap_id = 15, cot_prc_comum = 24, cot_prc_min = 24, cot_prc_max = 36, cot_prc_med = 28.5, cot_prc_mediana = 27 WHERE cot_id = 1445;</v>
      </c>
    </row>
    <row r="1447" customFormat="false" ht="14.25" hidden="false" customHeight="false" outlineLevel="0" collapsed="false">
      <c r="A1447" s="0" t="n">
        <v>1446</v>
      </c>
      <c r="B1447" s="0" t="n">
        <f aca="false">IF('Boletins Nuppa Site'!A1447&lt;&gt;0,'Boletins Nuppa Site'!A1447,"NULL")</f>
        <v>74</v>
      </c>
      <c r="C1447" s="0" t="n">
        <v>16</v>
      </c>
      <c r="D1447" s="31" t="n">
        <f aca="false">IF('Boletins Nuppa Site'!G1447&lt;&gt;0,'Boletins Nuppa Site'!G1447,"NULL")</f>
        <v>48</v>
      </c>
      <c r="E1447" s="30" t="n">
        <f aca="false">IF('Boletins Nuppa Site'!H1447&lt;&gt;0,'Boletins Nuppa Site'!H1447,"NULL")</f>
        <v>48</v>
      </c>
      <c r="F1447" s="30" t="n">
        <f aca="false">IF('Boletins Nuppa Site'!I1447&lt;&gt;0,'Boletins Nuppa Site'!I1447,"NULL")</f>
        <v>48</v>
      </c>
      <c r="G1447" s="30" t="n">
        <f aca="false">IF('Boletins Nuppa Site'!J1447&lt;&gt;0,'Boletins Nuppa Site'!J1447,"NULL")</f>
        <v>48</v>
      </c>
      <c r="H1447" s="30" t="n">
        <f aca="false">IF('Boletins Nuppa Site'!K1447&lt;&gt;0,'Boletins Nuppa Site'!K1447,"NULL")</f>
        <v>48</v>
      </c>
      <c r="I1447" s="0" t="str">
        <f aca="false">"INSERT INTO COTACAO (cot_id, cot_blt_id, cot_pap_id, cot_prc_comum, cot_prc_min, cot_prc_max, cot_prc_med, cot_prc_mediana) VALUES ("&amp;A1447&amp;", "&amp;B1447&amp;", "&amp;C1447&amp;", "&amp;D1447&amp;", "&amp;E1447&amp;", "&amp;F1447&amp;", "&amp;G1447&amp;", "&amp;H1447&amp;");"</f>
        <v>INSERT INTO COTACAO (cot_id, cot_blt_id, cot_pap_id, cot_prc_comum, cot_prc_min, cot_prc_max, cot_prc_med, cot_prc_mediana) VALUES (1446, 74, 16, 48, 48, 48, 48, 48);</v>
      </c>
      <c r="J1447" s="0" t="str">
        <f aca="false">"UPDATE COTACAO SET cot_id = "&amp;A1447&amp;", cot_blt_id = "&amp;B1447&amp;", cot_pap_id = "&amp;C1447&amp;", cot_prc_comum = "&amp;D1447&amp;", cot_prc_min = "&amp;E1447&amp;", cot_prc_max = "&amp;F1447&amp;", cot_prc_med = "&amp;G1447&amp;", cot_prc_mediana = "&amp;H1447&amp;" WHERE cot_id = "&amp;A1447&amp;";"</f>
        <v>UPDATE COTACAO SET cot_id = 1446, cot_blt_id = 74, cot_pap_id = 16, cot_prc_comum = 48, cot_prc_min = 48, cot_prc_max = 48, cot_prc_med = 48, cot_prc_mediana = 48 WHERE cot_id = 1446;</v>
      </c>
    </row>
    <row r="1448" customFormat="false" ht="14.25" hidden="false" customHeight="false" outlineLevel="0" collapsed="false">
      <c r="A1448" s="0" t="n">
        <v>1447</v>
      </c>
      <c r="B1448" s="0" t="n">
        <f aca="false">IF('Boletins Nuppa Site'!A1448&lt;&gt;0,'Boletins Nuppa Site'!A1448,"NULL")</f>
        <v>74</v>
      </c>
      <c r="C1448" s="0" t="n">
        <v>17</v>
      </c>
      <c r="D1448" s="31" t="n">
        <f aca="false">IF('Boletins Nuppa Site'!G1448&lt;&gt;0,'Boletins Nuppa Site'!G1448,"NULL")</f>
        <v>5</v>
      </c>
      <c r="E1448" s="30" t="n">
        <f aca="false">IF('Boletins Nuppa Site'!H1448&lt;&gt;0,'Boletins Nuppa Site'!H1448,"NULL")</f>
        <v>5</v>
      </c>
      <c r="F1448" s="30" t="n">
        <f aca="false">IF('Boletins Nuppa Site'!I1448&lt;&gt;0,'Boletins Nuppa Site'!I1448,"NULL")</f>
        <v>5</v>
      </c>
      <c r="G1448" s="30" t="n">
        <f aca="false">IF('Boletins Nuppa Site'!J1448&lt;&gt;0,'Boletins Nuppa Site'!J1448,"NULL")</f>
        <v>5</v>
      </c>
      <c r="H1448" s="30" t="n">
        <f aca="false">IF('Boletins Nuppa Site'!K1448&lt;&gt;0,'Boletins Nuppa Site'!K1448,"NULL")</f>
        <v>5</v>
      </c>
      <c r="I1448" s="0" t="str">
        <f aca="false">"INSERT INTO COTACAO (cot_id, cot_blt_id, cot_pap_id, cot_prc_comum, cot_prc_min, cot_prc_max, cot_prc_med, cot_prc_mediana) VALUES ("&amp;A1448&amp;", "&amp;B1448&amp;", "&amp;C1448&amp;", "&amp;D1448&amp;", "&amp;E1448&amp;", "&amp;F1448&amp;", "&amp;G1448&amp;", "&amp;H1448&amp;");"</f>
        <v>INSERT INTO COTACAO (cot_id, cot_blt_id, cot_pap_id, cot_prc_comum, cot_prc_min, cot_prc_max, cot_prc_med, cot_prc_mediana) VALUES (1447, 74, 17, 5, 5, 5, 5, 5);</v>
      </c>
      <c r="J1448" s="0" t="str">
        <f aca="false">"UPDATE COTACAO SET cot_id = "&amp;A1448&amp;", cot_blt_id = "&amp;B1448&amp;", cot_pap_id = "&amp;C1448&amp;", cot_prc_comum = "&amp;D1448&amp;", cot_prc_min = "&amp;E1448&amp;", cot_prc_max = "&amp;F1448&amp;", cot_prc_med = "&amp;G1448&amp;", cot_prc_mediana = "&amp;H1448&amp;" WHERE cot_id = "&amp;A1448&amp;";"</f>
        <v>UPDATE COTACAO SET cot_id = 1447, cot_blt_id = 74, cot_pap_id = 17, cot_prc_comum = 5, cot_prc_min = 5, cot_prc_max = 5, cot_prc_med = 5, cot_prc_mediana = 5 WHERE cot_id = 1447;</v>
      </c>
    </row>
    <row r="1449" customFormat="false" ht="14.25" hidden="false" customHeight="false" outlineLevel="0" collapsed="false">
      <c r="A1449" s="0" t="n">
        <v>1448</v>
      </c>
      <c r="B1449" s="0" t="n">
        <f aca="false">IF('Boletins Nuppa Site'!A1449&lt;&gt;0,'Boletins Nuppa Site'!A1449,"NULL")</f>
        <v>74</v>
      </c>
      <c r="C1449" s="0" t="n">
        <v>18</v>
      </c>
      <c r="D1449" s="31" t="n">
        <f aca="false">IF('Boletins Nuppa Site'!G1449&lt;&gt;0,'Boletins Nuppa Site'!G1449,"NULL")</f>
        <v>12</v>
      </c>
      <c r="E1449" s="30" t="n">
        <f aca="false">IF('Boletins Nuppa Site'!H1449&lt;&gt;0,'Boletins Nuppa Site'!H1449,"NULL")</f>
        <v>12</v>
      </c>
      <c r="F1449" s="30" t="n">
        <f aca="false">IF('Boletins Nuppa Site'!I1449&lt;&gt;0,'Boletins Nuppa Site'!I1449,"NULL")</f>
        <v>15</v>
      </c>
      <c r="G1449" s="30" t="str">
        <f aca="false">IF('Boletins Nuppa Site'!J1449&lt;&gt;0,'Boletins Nuppa Site'!J1449,"NULL")</f>
        <v>13.5</v>
      </c>
      <c r="H1449" s="30" t="str">
        <f aca="false">IF('Boletins Nuppa Site'!K1449&lt;&gt;0,'Boletins Nuppa Site'!K1449,"NULL")</f>
        <v>13.5</v>
      </c>
      <c r="I1449" s="0" t="str">
        <f aca="false">"INSERT INTO COTACAO (cot_id, cot_blt_id, cot_pap_id, cot_prc_comum, cot_prc_min, cot_prc_max, cot_prc_med, cot_prc_mediana) VALUES ("&amp;A1449&amp;", "&amp;B1449&amp;", "&amp;C1449&amp;", "&amp;D1449&amp;", "&amp;E1449&amp;", "&amp;F1449&amp;", "&amp;G1449&amp;", "&amp;H1449&amp;");"</f>
        <v>INSERT INTO COTACAO (cot_id, cot_blt_id, cot_pap_id, cot_prc_comum, cot_prc_min, cot_prc_max, cot_prc_med, cot_prc_mediana) VALUES (1448, 74, 18, 12, 12, 15, 13.5, 13.5);</v>
      </c>
      <c r="J1449" s="0" t="str">
        <f aca="false">"UPDATE COTACAO SET cot_id = "&amp;A1449&amp;", cot_blt_id = "&amp;B1449&amp;", cot_pap_id = "&amp;C1449&amp;", cot_prc_comum = "&amp;D1449&amp;", cot_prc_min = "&amp;E1449&amp;", cot_prc_max = "&amp;F1449&amp;", cot_prc_med = "&amp;G1449&amp;", cot_prc_mediana = "&amp;H1449&amp;" WHERE cot_id = "&amp;A1449&amp;";"</f>
        <v>UPDATE COTACAO SET cot_id = 1448, cot_blt_id = 74, cot_pap_id = 18, cot_prc_comum = 12, cot_prc_min = 12, cot_prc_max = 15, cot_prc_med = 13.5, cot_prc_mediana = 13.5 WHERE cot_id = 1448;</v>
      </c>
    </row>
    <row r="1450" customFormat="false" ht="14.25" hidden="false" customHeight="false" outlineLevel="0" collapsed="false">
      <c r="A1450" s="0" t="n">
        <v>1449</v>
      </c>
      <c r="B1450" s="0" t="n">
        <f aca="false">IF('Boletins Nuppa Site'!A1450&lt;&gt;0,'Boletins Nuppa Site'!A1450,"NULL")</f>
        <v>74</v>
      </c>
      <c r="C1450" s="0" t="n">
        <v>19</v>
      </c>
      <c r="D1450" s="31" t="n">
        <f aca="false">IF('Boletins Nuppa Site'!G1450&lt;&gt;0,'Boletins Nuppa Site'!G1450,"NULL")</f>
        <v>35</v>
      </c>
      <c r="E1450" s="30" t="n">
        <f aca="false">IF('Boletins Nuppa Site'!H1450&lt;&gt;0,'Boletins Nuppa Site'!H1450,"NULL")</f>
        <v>20</v>
      </c>
      <c r="F1450" s="30" t="n">
        <f aca="false">IF('Boletins Nuppa Site'!I1450&lt;&gt;0,'Boletins Nuppa Site'!I1450,"NULL")</f>
        <v>35</v>
      </c>
      <c r="G1450" s="30" t="str">
        <f aca="false">IF('Boletins Nuppa Site'!J1450&lt;&gt;0,'Boletins Nuppa Site'!J1450,"NULL")</f>
        <v>28.75</v>
      </c>
      <c r="H1450" s="30" t="n">
        <f aca="false">IF('Boletins Nuppa Site'!K1450&lt;&gt;0,'Boletins Nuppa Site'!K1450,"NULL")</f>
        <v>30</v>
      </c>
      <c r="I1450" s="0" t="str">
        <f aca="false">"INSERT INTO COTACAO (cot_id, cot_blt_id, cot_pap_id, cot_prc_comum, cot_prc_min, cot_prc_max, cot_prc_med, cot_prc_mediana) VALUES ("&amp;A1450&amp;", "&amp;B1450&amp;", "&amp;C1450&amp;", "&amp;D1450&amp;", "&amp;E1450&amp;", "&amp;F1450&amp;", "&amp;G1450&amp;", "&amp;H1450&amp;");"</f>
        <v>INSERT INTO COTACAO (cot_id, cot_blt_id, cot_pap_id, cot_prc_comum, cot_prc_min, cot_prc_max, cot_prc_med, cot_prc_mediana) VALUES (1449, 74, 19, 35, 20, 35, 28.75, 30);</v>
      </c>
      <c r="J1450" s="0" t="str">
        <f aca="false">"UPDATE COTACAO SET cot_id = "&amp;A1450&amp;", cot_blt_id = "&amp;B1450&amp;", cot_pap_id = "&amp;C1450&amp;", cot_prc_comum = "&amp;D1450&amp;", cot_prc_min = "&amp;E1450&amp;", cot_prc_max = "&amp;F1450&amp;", cot_prc_med = "&amp;G1450&amp;", cot_prc_mediana = "&amp;H1450&amp;" WHERE cot_id = "&amp;A1450&amp;";"</f>
        <v>UPDATE COTACAO SET cot_id = 1449, cot_blt_id = 74, cot_pap_id = 19, cot_prc_comum = 35, cot_prc_min = 20, cot_prc_max = 35, cot_prc_med = 28.75, cot_prc_mediana = 30 WHERE cot_id = 1449;</v>
      </c>
    </row>
    <row r="1451" customFormat="false" ht="14.25" hidden="false" customHeight="false" outlineLevel="0" collapsed="false">
      <c r="A1451" s="0" t="n">
        <v>1450</v>
      </c>
      <c r="B1451" s="0" t="n">
        <f aca="false">IF('Boletins Nuppa Site'!A1451&lt;&gt;0,'Boletins Nuppa Site'!A1451,"NULL")</f>
        <v>74</v>
      </c>
      <c r="C1451" s="0" t="n">
        <v>20</v>
      </c>
      <c r="D1451" s="0" t="str">
        <f aca="false">IF('Boletins Nuppa Site'!G1451&lt;&gt;0,'Boletins Nuppa Site'!G1451,"NULL")</f>
        <v>NULL</v>
      </c>
      <c r="E1451" s="30" t="n">
        <f aca="false">IF('Boletins Nuppa Site'!H1451&lt;&gt;0,'Boletins Nuppa Site'!H1451,"NULL")</f>
        <v>80</v>
      </c>
      <c r="F1451" s="30" t="n">
        <f aca="false">IF('Boletins Nuppa Site'!I1451&lt;&gt;0,'Boletins Nuppa Site'!I1451,"NULL")</f>
        <v>80</v>
      </c>
      <c r="G1451" s="30" t="n">
        <f aca="false">IF('Boletins Nuppa Site'!J1451&lt;&gt;0,'Boletins Nuppa Site'!J1451,"NULL")</f>
        <v>80</v>
      </c>
      <c r="H1451" s="30" t="n">
        <f aca="false">IF('Boletins Nuppa Site'!K1451&lt;&gt;0,'Boletins Nuppa Site'!K1451,"NULL")</f>
        <v>80</v>
      </c>
      <c r="I1451" s="0" t="str">
        <f aca="false">"INSERT INTO COTACAO (cot_id, cot_blt_id, cot_pap_id, cot_prc_comum, cot_prc_min, cot_prc_max, cot_prc_med, cot_prc_mediana) VALUES ("&amp;A1451&amp;", "&amp;B1451&amp;", "&amp;C1451&amp;", "&amp;D1451&amp;", "&amp;E1451&amp;", "&amp;F1451&amp;", "&amp;G1451&amp;", "&amp;H1451&amp;");"</f>
        <v>INSERT INTO COTACAO (cot_id, cot_blt_id, cot_pap_id, cot_prc_comum, cot_prc_min, cot_prc_max, cot_prc_med, cot_prc_mediana) VALUES (1450, 74, 20, NULL, 80, 80, 80, 80);</v>
      </c>
      <c r="J1451" s="0" t="str">
        <f aca="false">"UPDATE COTACAO SET cot_id = "&amp;A1451&amp;", cot_blt_id = "&amp;B1451&amp;", cot_pap_id = "&amp;C1451&amp;", cot_prc_comum = "&amp;D1451&amp;", cot_prc_min = "&amp;E1451&amp;", cot_prc_max = "&amp;F1451&amp;", cot_prc_med = "&amp;G1451&amp;", cot_prc_mediana = "&amp;H1451&amp;" WHERE cot_id = "&amp;A1451&amp;";"</f>
        <v>UPDATE COTACAO SET cot_id = 1450, cot_blt_id = 74, cot_pap_id = 20, cot_prc_comum = NULL, cot_prc_min = 80, cot_prc_max = 80, cot_prc_med = 80, cot_prc_mediana = 80 WHERE cot_id = 1450;</v>
      </c>
    </row>
    <row r="1452" customFormat="false" ht="14.25" hidden="false" customHeight="false" outlineLevel="0" collapsed="false">
      <c r="A1452" s="0" t="n">
        <v>1451</v>
      </c>
      <c r="B1452" s="0" t="n">
        <f aca="false">IF('Boletins Nuppa Site'!A1452&lt;&gt;0,'Boletins Nuppa Site'!A1452,"NULL")</f>
        <v>74</v>
      </c>
      <c r="C1452" s="0" t="n">
        <v>21</v>
      </c>
      <c r="D1452" s="31" t="n">
        <f aca="false">IF('Boletins Nuppa Site'!G1452&lt;&gt;0,'Boletins Nuppa Site'!G1452,"NULL")</f>
        <v>40</v>
      </c>
      <c r="E1452" s="30" t="n">
        <f aca="false">IF('Boletins Nuppa Site'!H1452&lt;&gt;0,'Boletins Nuppa Site'!H1452,"NULL")</f>
        <v>30</v>
      </c>
      <c r="F1452" s="30" t="n">
        <f aca="false">IF('Boletins Nuppa Site'!I1452&lt;&gt;0,'Boletins Nuppa Site'!I1452,"NULL")</f>
        <v>40</v>
      </c>
      <c r="G1452" s="30" t="n">
        <f aca="false">IF('Boletins Nuppa Site'!J1452&lt;&gt;0,'Boletins Nuppa Site'!J1452,"NULL")</f>
        <v>35</v>
      </c>
      <c r="H1452" s="30" t="n">
        <f aca="false">IF('Boletins Nuppa Site'!K1452&lt;&gt;0,'Boletins Nuppa Site'!K1452,"NULL")</f>
        <v>35</v>
      </c>
      <c r="I1452" s="0" t="str">
        <f aca="false">"INSERT INTO COTACAO (cot_id, cot_blt_id, cot_pap_id, cot_prc_comum, cot_prc_min, cot_prc_max, cot_prc_med, cot_prc_mediana) VALUES ("&amp;A1452&amp;", "&amp;B1452&amp;", "&amp;C1452&amp;", "&amp;D1452&amp;", "&amp;E1452&amp;", "&amp;F1452&amp;", "&amp;G1452&amp;", "&amp;H1452&amp;");"</f>
        <v>INSERT INTO COTACAO (cot_id, cot_blt_id, cot_pap_id, cot_prc_comum, cot_prc_min, cot_prc_max, cot_prc_med, cot_prc_mediana) VALUES (1451, 74, 21, 40, 30, 40, 35, 35);</v>
      </c>
      <c r="J1452" s="0" t="str">
        <f aca="false">"UPDATE COTACAO SET cot_id = "&amp;A1452&amp;", cot_blt_id = "&amp;B1452&amp;", cot_pap_id = "&amp;C1452&amp;", cot_prc_comum = "&amp;D1452&amp;", cot_prc_min = "&amp;E1452&amp;", cot_prc_max = "&amp;F1452&amp;", cot_prc_med = "&amp;G1452&amp;", cot_prc_mediana = "&amp;H1452&amp;" WHERE cot_id = "&amp;A1452&amp;";"</f>
        <v>UPDATE COTACAO SET cot_id = 1451, cot_blt_id = 74, cot_pap_id = 21, cot_prc_comum = 40, cot_prc_min = 30, cot_prc_max = 40, cot_prc_med = 35, cot_prc_mediana = 35 WHERE cot_id = 1451;</v>
      </c>
    </row>
    <row r="1453" customFormat="false" ht="14.25" hidden="false" customHeight="false" outlineLevel="0" collapsed="false">
      <c r="A1453" s="0" t="n">
        <v>1452</v>
      </c>
      <c r="B1453" s="0" t="n">
        <f aca="false">IF('Boletins Nuppa Site'!A1453&lt;&gt;0,'Boletins Nuppa Site'!A1453,"NULL")</f>
        <v>74</v>
      </c>
      <c r="C1453" s="0" t="n">
        <v>22</v>
      </c>
      <c r="D1453" s="31" t="n">
        <f aca="false">IF('Boletins Nuppa Site'!G1453&lt;&gt;0,'Boletins Nuppa Site'!G1453,"NULL")</f>
        <v>45</v>
      </c>
      <c r="E1453" s="30" t="n">
        <f aca="false">IF('Boletins Nuppa Site'!H1453&lt;&gt;0,'Boletins Nuppa Site'!H1453,"NULL")</f>
        <v>45</v>
      </c>
      <c r="F1453" s="30" t="n">
        <f aca="false">IF('Boletins Nuppa Site'!I1453&lt;&gt;0,'Boletins Nuppa Site'!I1453,"NULL")</f>
        <v>70</v>
      </c>
      <c r="G1453" s="30" t="str">
        <f aca="false">IF('Boletins Nuppa Site'!J1453&lt;&gt;0,'Boletins Nuppa Site'!J1453,"NULL")</f>
        <v>56.25</v>
      </c>
      <c r="H1453" s="30" t="n">
        <f aca="false">IF('Boletins Nuppa Site'!K1453&lt;&gt;0,'Boletins Nuppa Site'!K1453,"NULL")</f>
        <v>55</v>
      </c>
      <c r="I1453" s="0" t="str">
        <f aca="false">"INSERT INTO COTACAO (cot_id, cot_blt_id, cot_pap_id, cot_prc_comum, cot_prc_min, cot_prc_max, cot_prc_med, cot_prc_mediana) VALUES ("&amp;A1453&amp;", "&amp;B1453&amp;", "&amp;C1453&amp;", "&amp;D1453&amp;", "&amp;E1453&amp;", "&amp;F1453&amp;", "&amp;G1453&amp;", "&amp;H1453&amp;");"</f>
        <v>INSERT INTO COTACAO (cot_id, cot_blt_id, cot_pap_id, cot_prc_comum, cot_prc_min, cot_prc_max, cot_prc_med, cot_prc_mediana) VALUES (1452, 74, 22, 45, 45, 70, 56.25, 55);</v>
      </c>
      <c r="J1453" s="0" t="str">
        <f aca="false">"UPDATE COTACAO SET cot_id = "&amp;A1453&amp;", cot_blt_id = "&amp;B1453&amp;", cot_pap_id = "&amp;C1453&amp;", cot_prc_comum = "&amp;D1453&amp;", cot_prc_min = "&amp;E1453&amp;", cot_prc_max = "&amp;F1453&amp;", cot_prc_med = "&amp;G1453&amp;", cot_prc_mediana = "&amp;H1453&amp;" WHERE cot_id = "&amp;A1453&amp;";"</f>
        <v>UPDATE COTACAO SET cot_id = 1452, cot_blt_id = 74, cot_pap_id = 22, cot_prc_comum = 45, cot_prc_min = 45, cot_prc_max = 70, cot_prc_med = 56.25, cot_prc_mediana = 55 WHERE cot_id = 1452;</v>
      </c>
    </row>
    <row r="1454" customFormat="false" ht="14.25" hidden="false" customHeight="false" outlineLevel="0" collapsed="false">
      <c r="A1454" s="0" t="n">
        <v>1453</v>
      </c>
      <c r="B1454" s="0" t="n">
        <f aca="false">IF('Boletins Nuppa Site'!A1454&lt;&gt;0,'Boletins Nuppa Site'!A1454,"NULL")</f>
        <v>74</v>
      </c>
      <c r="C1454" s="0" t="n">
        <v>23</v>
      </c>
      <c r="D1454" s="0" t="str">
        <f aca="false">IF('Boletins Nuppa Site'!G1454&lt;&gt;0,'Boletins Nuppa Site'!G1454,"NULL")</f>
        <v>NULL</v>
      </c>
      <c r="E1454" s="30" t="n">
        <f aca="false">IF('Boletins Nuppa Site'!H1454&lt;&gt;0,'Boletins Nuppa Site'!H1454,"NULL")</f>
        <v>50</v>
      </c>
      <c r="F1454" s="30" t="n">
        <f aca="false">IF('Boletins Nuppa Site'!I1454&lt;&gt;0,'Boletins Nuppa Site'!I1454,"NULL")</f>
        <v>70</v>
      </c>
      <c r="G1454" s="30" t="n">
        <f aca="false">IF('Boletins Nuppa Site'!J1454&lt;&gt;0,'Boletins Nuppa Site'!J1454,"NULL")</f>
        <v>60</v>
      </c>
      <c r="H1454" s="30" t="n">
        <f aca="false">IF('Boletins Nuppa Site'!K1454&lt;&gt;0,'Boletins Nuppa Site'!K1454,"NULL")</f>
        <v>60</v>
      </c>
      <c r="I1454" s="0" t="str">
        <f aca="false">"INSERT INTO COTACAO (cot_id, cot_blt_id, cot_pap_id, cot_prc_comum, cot_prc_min, cot_prc_max, cot_prc_med, cot_prc_mediana) VALUES ("&amp;A1454&amp;", "&amp;B1454&amp;", "&amp;C1454&amp;", "&amp;D1454&amp;", "&amp;E1454&amp;", "&amp;F1454&amp;", "&amp;G1454&amp;", "&amp;H1454&amp;");"</f>
        <v>INSERT INTO COTACAO (cot_id, cot_blt_id, cot_pap_id, cot_prc_comum, cot_prc_min, cot_prc_max, cot_prc_med, cot_prc_mediana) VALUES (1453, 74, 23, NULL, 50, 70, 60, 60);</v>
      </c>
      <c r="J1454" s="0" t="str">
        <f aca="false">"UPDATE COTACAO SET cot_id = "&amp;A1454&amp;", cot_blt_id = "&amp;B1454&amp;", cot_pap_id = "&amp;C1454&amp;", cot_prc_comum = "&amp;D1454&amp;", cot_prc_min = "&amp;E1454&amp;", cot_prc_max = "&amp;F1454&amp;", cot_prc_med = "&amp;G1454&amp;", cot_prc_mediana = "&amp;H1454&amp;" WHERE cot_id = "&amp;A1454&amp;";"</f>
        <v>UPDATE COTACAO SET cot_id = 1453, cot_blt_id = 74, cot_pap_id = 23, cot_prc_comum = NULL, cot_prc_min = 50, cot_prc_max = 70, cot_prc_med = 60, cot_prc_mediana = 60 WHERE cot_id = 1453;</v>
      </c>
    </row>
    <row r="1455" customFormat="false" ht="14.25" hidden="false" customHeight="false" outlineLevel="0" collapsed="false">
      <c r="A1455" s="0" t="n">
        <v>1454</v>
      </c>
      <c r="B1455" s="0" t="n">
        <f aca="false">IF('Boletins Nuppa Site'!A1455&lt;&gt;0,'Boletins Nuppa Site'!A1455,"NULL")</f>
        <v>74</v>
      </c>
      <c r="C1455" s="0" t="n">
        <v>24</v>
      </c>
      <c r="D1455" s="0" t="str">
        <f aca="false">IF('Boletins Nuppa Site'!G1455&lt;&gt;0,'Boletins Nuppa Site'!G1455,"NULL")</f>
        <v>NULL</v>
      </c>
      <c r="E1455" s="30" t="n">
        <f aca="false">IF('Boletins Nuppa Site'!H1455&lt;&gt;0,'Boletins Nuppa Site'!H1455,"NULL")</f>
        <v>45</v>
      </c>
      <c r="F1455" s="30" t="n">
        <f aca="false">IF('Boletins Nuppa Site'!I1455&lt;&gt;0,'Boletins Nuppa Site'!I1455,"NULL")</f>
        <v>110</v>
      </c>
      <c r="G1455" s="30" t="str">
        <f aca="false">IF('Boletins Nuppa Site'!J1455&lt;&gt;0,'Boletins Nuppa Site'!J1455,"NULL")</f>
        <v>81.67</v>
      </c>
      <c r="H1455" s="30" t="n">
        <f aca="false">IF('Boletins Nuppa Site'!K1455&lt;&gt;0,'Boletins Nuppa Site'!K1455,"NULL")</f>
        <v>90</v>
      </c>
      <c r="I1455" s="0" t="str">
        <f aca="false">"INSERT INTO COTACAO (cot_id, cot_blt_id, cot_pap_id, cot_prc_comum, cot_prc_min, cot_prc_max, cot_prc_med, cot_prc_mediana) VALUES ("&amp;A1455&amp;", "&amp;B1455&amp;", "&amp;C1455&amp;", "&amp;D1455&amp;", "&amp;E1455&amp;", "&amp;F1455&amp;", "&amp;G1455&amp;", "&amp;H1455&amp;");"</f>
        <v>INSERT INTO COTACAO (cot_id, cot_blt_id, cot_pap_id, cot_prc_comum, cot_prc_min, cot_prc_max, cot_prc_med, cot_prc_mediana) VALUES (1454, 74, 24, NULL, 45, 110, 81.67, 90);</v>
      </c>
      <c r="J1455" s="0" t="str">
        <f aca="false">"UPDATE COTACAO SET cot_id = "&amp;A1455&amp;", cot_blt_id = "&amp;B1455&amp;", cot_pap_id = "&amp;C1455&amp;", cot_prc_comum = "&amp;D1455&amp;", cot_prc_min = "&amp;E1455&amp;", cot_prc_max = "&amp;F1455&amp;", cot_prc_med = "&amp;G1455&amp;", cot_prc_mediana = "&amp;H1455&amp;" WHERE cot_id = "&amp;A1455&amp;";"</f>
        <v>UPDATE COTACAO SET cot_id = 1454, cot_blt_id = 74, cot_pap_id = 24, cot_prc_comum = NULL, cot_prc_min = 45, cot_prc_max = 110, cot_prc_med = 81.67, cot_prc_mediana = 90 WHERE cot_id = 1454;</v>
      </c>
    </row>
    <row r="1456" customFormat="false" ht="14.25" hidden="false" customHeight="false" outlineLevel="0" collapsed="false">
      <c r="A1456" s="0" t="n">
        <v>1455</v>
      </c>
      <c r="B1456" s="0" t="n">
        <f aca="false">IF('Boletins Nuppa Site'!A1456&lt;&gt;0,'Boletins Nuppa Site'!A1456,"NULL")</f>
        <v>74</v>
      </c>
      <c r="C1456" s="0" t="n">
        <v>25</v>
      </c>
      <c r="D1456" s="0" t="str">
        <f aca="false">IF('Boletins Nuppa Site'!G1456&lt;&gt;0,'Boletins Nuppa Site'!G1456,"NULL")</f>
        <v>NULL</v>
      </c>
      <c r="E1456" s="30" t="n">
        <f aca="false">IF('Boletins Nuppa Site'!H1456&lt;&gt;0,'Boletins Nuppa Site'!H1456,"NULL")</f>
        <v>55</v>
      </c>
      <c r="F1456" s="30" t="n">
        <f aca="false">IF('Boletins Nuppa Site'!I1456&lt;&gt;0,'Boletins Nuppa Site'!I1456,"NULL")</f>
        <v>70</v>
      </c>
      <c r="G1456" s="30" t="str">
        <f aca="false">IF('Boletins Nuppa Site'!J1456&lt;&gt;0,'Boletins Nuppa Site'!J1456,"NULL")</f>
        <v>62.5</v>
      </c>
      <c r="H1456" s="30" t="str">
        <f aca="false">IF('Boletins Nuppa Site'!K1456&lt;&gt;0,'Boletins Nuppa Site'!K1456,"NULL")</f>
        <v>62.5</v>
      </c>
      <c r="I1456" s="0" t="str">
        <f aca="false">"INSERT INTO COTACAO (cot_id, cot_blt_id, cot_pap_id, cot_prc_comum, cot_prc_min, cot_prc_max, cot_prc_med, cot_prc_mediana) VALUES ("&amp;A1456&amp;", "&amp;B1456&amp;", "&amp;C1456&amp;", "&amp;D1456&amp;", "&amp;E1456&amp;", "&amp;F1456&amp;", "&amp;G1456&amp;", "&amp;H1456&amp;");"</f>
        <v>INSERT INTO COTACAO (cot_id, cot_blt_id, cot_pap_id, cot_prc_comum, cot_prc_min, cot_prc_max, cot_prc_med, cot_prc_mediana) VALUES (1455, 74, 25, NULL, 55, 70, 62.5, 62.5);</v>
      </c>
      <c r="J1456" s="0" t="str">
        <f aca="false">"UPDATE COTACAO SET cot_id = "&amp;A1456&amp;", cot_blt_id = "&amp;B1456&amp;", cot_pap_id = "&amp;C1456&amp;", cot_prc_comum = "&amp;D1456&amp;", cot_prc_min = "&amp;E1456&amp;", cot_prc_max = "&amp;F1456&amp;", cot_prc_med = "&amp;G1456&amp;", cot_prc_mediana = "&amp;H1456&amp;" WHERE cot_id = "&amp;A1456&amp;";"</f>
        <v>UPDATE COTACAO SET cot_id = 1455, cot_blt_id = 74, cot_pap_id = 25, cot_prc_comum = NULL, cot_prc_min = 55, cot_prc_max = 70, cot_prc_med = 62.5, cot_prc_mediana = 62.5 WHERE cot_id = 1455;</v>
      </c>
    </row>
    <row r="1457" customFormat="false" ht="14.25" hidden="false" customHeight="false" outlineLevel="0" collapsed="false">
      <c r="A1457" s="0" t="n">
        <v>1456</v>
      </c>
      <c r="B1457" s="0" t="n">
        <f aca="false">IF('Boletins Nuppa Site'!A1457&lt;&gt;0,'Boletins Nuppa Site'!A1457,"NULL")</f>
        <v>74</v>
      </c>
      <c r="C1457" s="0" t="n">
        <v>26</v>
      </c>
      <c r="D1457" s="31" t="n">
        <f aca="false">IF('Boletins Nuppa Site'!G1457&lt;&gt;0,'Boletins Nuppa Site'!G1457,"NULL")</f>
        <v>55</v>
      </c>
      <c r="E1457" s="30" t="n">
        <f aca="false">IF('Boletins Nuppa Site'!H1457&lt;&gt;0,'Boletins Nuppa Site'!H1457,"NULL")</f>
        <v>40</v>
      </c>
      <c r="F1457" s="30" t="n">
        <f aca="false">IF('Boletins Nuppa Site'!I1457&lt;&gt;0,'Boletins Nuppa Site'!I1457,"NULL")</f>
        <v>55</v>
      </c>
      <c r="G1457" s="30" t="str">
        <f aca="false">IF('Boletins Nuppa Site'!J1457&lt;&gt;0,'Boletins Nuppa Site'!J1457,"NULL")</f>
        <v>48.75</v>
      </c>
      <c r="H1457" s="30" t="n">
        <f aca="false">IF('Boletins Nuppa Site'!K1457&lt;&gt;0,'Boletins Nuppa Site'!K1457,"NULL")</f>
        <v>50</v>
      </c>
      <c r="I1457" s="0" t="str">
        <f aca="false">"INSERT INTO COTACAO (cot_id, cot_blt_id, cot_pap_id, cot_prc_comum, cot_prc_min, cot_prc_max, cot_prc_med, cot_prc_mediana) VALUES ("&amp;A1457&amp;", "&amp;B1457&amp;", "&amp;C1457&amp;", "&amp;D1457&amp;", "&amp;E1457&amp;", "&amp;F1457&amp;", "&amp;G1457&amp;", "&amp;H1457&amp;");"</f>
        <v>INSERT INTO COTACAO (cot_id, cot_blt_id, cot_pap_id, cot_prc_comum, cot_prc_min, cot_prc_max, cot_prc_med, cot_prc_mediana) VALUES (1456, 74, 26, 55, 40, 55, 48.75, 50);</v>
      </c>
      <c r="J1457" s="0" t="str">
        <f aca="false">"UPDATE COTACAO SET cot_id = "&amp;A1457&amp;", cot_blt_id = "&amp;B1457&amp;", cot_pap_id = "&amp;C1457&amp;", cot_prc_comum = "&amp;D1457&amp;", cot_prc_min = "&amp;E1457&amp;", cot_prc_max = "&amp;F1457&amp;", cot_prc_med = "&amp;G1457&amp;", cot_prc_mediana = "&amp;H1457&amp;" WHERE cot_id = "&amp;A1457&amp;";"</f>
        <v>UPDATE COTACAO SET cot_id = 1456, cot_blt_id = 74, cot_pap_id = 26, cot_prc_comum = 55, cot_prc_min = 40, cot_prc_max = 55, cot_prc_med = 48.75, cot_prc_mediana = 50 WHERE cot_id = 1456;</v>
      </c>
    </row>
    <row r="1458" customFormat="false" ht="14.25" hidden="false" customHeight="false" outlineLevel="0" collapsed="false">
      <c r="A1458" s="0" t="n">
        <v>1457</v>
      </c>
      <c r="B1458" s="0" t="n">
        <f aca="false">IF('Boletins Nuppa Site'!A1458&lt;&gt;0,'Boletins Nuppa Site'!A1458,"NULL")</f>
        <v>74</v>
      </c>
      <c r="C1458" s="0" t="n">
        <v>27</v>
      </c>
      <c r="D1458" s="0" t="str">
        <f aca="false">IF('Boletins Nuppa Site'!G1458&lt;&gt;0,'Boletins Nuppa Site'!G1458,"NULL")</f>
        <v>NULL</v>
      </c>
      <c r="E1458" s="30" t="n">
        <f aca="false">IF('Boletins Nuppa Site'!H1458&lt;&gt;0,'Boletins Nuppa Site'!H1458,"NULL")</f>
        <v>55</v>
      </c>
      <c r="F1458" s="30" t="n">
        <f aca="false">IF('Boletins Nuppa Site'!I1458&lt;&gt;0,'Boletins Nuppa Site'!I1458,"NULL")</f>
        <v>85</v>
      </c>
      <c r="G1458" s="30" t="str">
        <f aca="false">IF('Boletins Nuppa Site'!J1458&lt;&gt;0,'Boletins Nuppa Site'!J1458,"NULL")</f>
        <v>68.75</v>
      </c>
      <c r="H1458" s="30" t="str">
        <f aca="false">IF('Boletins Nuppa Site'!K1458&lt;&gt;0,'Boletins Nuppa Site'!K1458,"NULL")</f>
        <v>67.5</v>
      </c>
      <c r="I1458" s="0" t="str">
        <f aca="false">"INSERT INTO COTACAO (cot_id, cot_blt_id, cot_pap_id, cot_prc_comum, cot_prc_min, cot_prc_max, cot_prc_med, cot_prc_mediana) VALUES ("&amp;A1458&amp;", "&amp;B1458&amp;", "&amp;C1458&amp;", "&amp;D1458&amp;", "&amp;E1458&amp;", "&amp;F1458&amp;", "&amp;G1458&amp;", "&amp;H1458&amp;");"</f>
        <v>INSERT INTO COTACAO (cot_id, cot_blt_id, cot_pap_id, cot_prc_comum, cot_prc_min, cot_prc_max, cot_prc_med, cot_prc_mediana) VALUES (1457, 74, 27, NULL, 55, 85, 68.75, 67.5);</v>
      </c>
      <c r="J1458" s="0" t="str">
        <f aca="false">"UPDATE COTACAO SET cot_id = "&amp;A1458&amp;", cot_blt_id = "&amp;B1458&amp;", cot_pap_id = "&amp;C1458&amp;", cot_prc_comum = "&amp;D1458&amp;", cot_prc_min = "&amp;E1458&amp;", cot_prc_max = "&amp;F1458&amp;", cot_prc_med = "&amp;G1458&amp;", cot_prc_mediana = "&amp;H1458&amp;" WHERE cot_id = "&amp;A1458&amp;";"</f>
        <v>UPDATE COTACAO SET cot_id = 1457, cot_blt_id = 74, cot_pap_id = 27, cot_prc_comum = NULL, cot_prc_min = 55, cot_prc_max = 85, cot_prc_med = 68.75, cot_prc_mediana = 67.5 WHERE cot_id = 1457;</v>
      </c>
    </row>
    <row r="1459" customFormat="false" ht="14.25" hidden="false" customHeight="false" outlineLevel="0" collapsed="false">
      <c r="A1459" s="0" t="n">
        <v>1458</v>
      </c>
      <c r="B1459" s="0" t="n">
        <f aca="false">IF('Boletins Nuppa Site'!A1459&lt;&gt;0,'Boletins Nuppa Site'!A1459,"NULL")</f>
        <v>74</v>
      </c>
      <c r="C1459" s="0" t="n">
        <v>28</v>
      </c>
      <c r="D1459" s="0" t="str">
        <f aca="false">IF('Boletins Nuppa Site'!G1459&lt;&gt;0,'Boletins Nuppa Site'!G1459,"NULL")</f>
        <v>NULL</v>
      </c>
      <c r="E1459" s="30" t="n">
        <f aca="false">IF('Boletins Nuppa Site'!H1459&lt;&gt;0,'Boletins Nuppa Site'!H1459,"NULL")</f>
        <v>90</v>
      </c>
      <c r="F1459" s="30" t="n">
        <f aca="false">IF('Boletins Nuppa Site'!I1459&lt;&gt;0,'Boletins Nuppa Site'!I1459,"NULL")</f>
        <v>100</v>
      </c>
      <c r="G1459" s="30" t="n">
        <f aca="false">IF('Boletins Nuppa Site'!J1459&lt;&gt;0,'Boletins Nuppa Site'!J1459,"NULL")</f>
        <v>95</v>
      </c>
      <c r="H1459" s="30" t="n">
        <f aca="false">IF('Boletins Nuppa Site'!K1459&lt;&gt;0,'Boletins Nuppa Site'!K1459,"NULL")</f>
        <v>95</v>
      </c>
      <c r="I1459" s="0" t="str">
        <f aca="false">"INSERT INTO COTACAO (cot_id, cot_blt_id, cot_pap_id, cot_prc_comum, cot_prc_min, cot_prc_max, cot_prc_med, cot_prc_mediana) VALUES ("&amp;A1459&amp;", "&amp;B1459&amp;", "&amp;C1459&amp;", "&amp;D1459&amp;", "&amp;E1459&amp;", "&amp;F1459&amp;", "&amp;G1459&amp;", "&amp;H1459&amp;");"</f>
        <v>INSERT INTO COTACAO (cot_id, cot_blt_id, cot_pap_id, cot_prc_comum, cot_prc_min, cot_prc_max, cot_prc_med, cot_prc_mediana) VALUES (1458, 74, 28, NULL, 90, 100, 95, 95);</v>
      </c>
      <c r="J1459" s="0" t="str">
        <f aca="false">"UPDATE COTACAO SET cot_id = "&amp;A1459&amp;", cot_blt_id = "&amp;B1459&amp;", cot_pap_id = "&amp;C1459&amp;", cot_prc_comum = "&amp;D1459&amp;", cot_prc_min = "&amp;E1459&amp;", cot_prc_max = "&amp;F1459&amp;", cot_prc_med = "&amp;G1459&amp;", cot_prc_mediana = "&amp;H1459&amp;" WHERE cot_id = "&amp;A1459&amp;";"</f>
        <v>UPDATE COTACAO SET cot_id = 1458, cot_blt_id = 74, cot_pap_id = 28, cot_prc_comum = NULL, cot_prc_min = 90, cot_prc_max = 100, cot_prc_med = 95, cot_prc_mediana = 95 WHERE cot_id = 1458;</v>
      </c>
    </row>
    <row r="1460" customFormat="false" ht="14.25" hidden="false" customHeight="false" outlineLevel="0" collapsed="false">
      <c r="A1460" s="0" t="n">
        <v>1459</v>
      </c>
      <c r="B1460" s="0" t="n">
        <f aca="false">IF('Boletins Nuppa Site'!A1460&lt;&gt;0,'Boletins Nuppa Site'!A1460,"NULL")</f>
        <v>74</v>
      </c>
      <c r="C1460" s="0" t="n">
        <v>29</v>
      </c>
      <c r="D1460" s="0" t="str">
        <f aca="false">IF('Boletins Nuppa Site'!G1460&lt;&gt;0,'Boletins Nuppa Site'!G1460,"NULL")</f>
        <v>NULL</v>
      </c>
      <c r="E1460" s="30" t="n">
        <f aca="false">IF('Boletins Nuppa Site'!H1460&lt;&gt;0,'Boletins Nuppa Site'!H1460,"NULL")</f>
        <v>70</v>
      </c>
      <c r="F1460" s="30" t="n">
        <f aca="false">IF('Boletins Nuppa Site'!I1460&lt;&gt;0,'Boletins Nuppa Site'!I1460,"NULL")</f>
        <v>70</v>
      </c>
      <c r="G1460" s="30" t="n">
        <f aca="false">IF('Boletins Nuppa Site'!J1460&lt;&gt;0,'Boletins Nuppa Site'!J1460,"NULL")</f>
        <v>70</v>
      </c>
      <c r="H1460" s="30" t="n">
        <f aca="false">IF('Boletins Nuppa Site'!K1460&lt;&gt;0,'Boletins Nuppa Site'!K1460,"NULL")</f>
        <v>70</v>
      </c>
      <c r="I1460" s="0" t="str">
        <f aca="false">"INSERT INTO COTACAO (cot_id, cot_blt_id, cot_pap_id, cot_prc_comum, cot_prc_min, cot_prc_max, cot_prc_med, cot_prc_mediana) VALUES ("&amp;A1460&amp;", "&amp;B1460&amp;", "&amp;C1460&amp;", "&amp;D1460&amp;", "&amp;E1460&amp;", "&amp;F1460&amp;", "&amp;G1460&amp;", "&amp;H1460&amp;");"</f>
        <v>INSERT INTO COTACAO (cot_id, cot_blt_id, cot_pap_id, cot_prc_comum, cot_prc_min, cot_prc_max, cot_prc_med, cot_prc_mediana) VALUES (1459, 74, 29, NULL, 70, 70, 70, 70);</v>
      </c>
      <c r="J1460" s="0" t="str">
        <f aca="false">"UPDATE COTACAO SET cot_id = "&amp;A1460&amp;", cot_blt_id = "&amp;B1460&amp;", cot_pap_id = "&amp;C1460&amp;", cot_prc_comum = "&amp;D1460&amp;", cot_prc_min = "&amp;E1460&amp;", cot_prc_max = "&amp;F1460&amp;", cot_prc_med = "&amp;G1460&amp;", cot_prc_mediana = "&amp;H1460&amp;" WHERE cot_id = "&amp;A1460&amp;";"</f>
        <v>UPDATE COTACAO SET cot_id = 1459, cot_blt_id = 74, cot_pap_id = 29, cot_prc_comum = NULL, cot_prc_min = 70, cot_prc_max = 70, cot_prc_med = 70, cot_prc_mediana = 70 WHERE cot_id = 1459;</v>
      </c>
    </row>
    <row r="1461" customFormat="false" ht="14.25" hidden="false" customHeight="false" outlineLevel="0" collapsed="false">
      <c r="A1461" s="0" t="n">
        <v>1460</v>
      </c>
      <c r="B1461" s="0" t="n">
        <f aca="false">IF('Boletins Nuppa Site'!A1461&lt;&gt;0,'Boletins Nuppa Site'!A1461,"NULL")</f>
        <v>74</v>
      </c>
      <c r="C1461" s="0" t="n">
        <v>30</v>
      </c>
      <c r="D1461" s="0" t="str">
        <f aca="false">IF('Boletins Nuppa Site'!G1461&lt;&gt;0,'Boletins Nuppa Site'!G1461,"NULL")</f>
        <v>NULL</v>
      </c>
      <c r="E1461" s="30" t="n">
        <f aca="false">IF('Boletins Nuppa Site'!H1461&lt;&gt;0,'Boletins Nuppa Site'!H1461,"NULL")</f>
        <v>70</v>
      </c>
      <c r="F1461" s="30" t="n">
        <f aca="false">IF('Boletins Nuppa Site'!I1461&lt;&gt;0,'Boletins Nuppa Site'!I1461,"NULL")</f>
        <v>80</v>
      </c>
      <c r="G1461" s="30" t="n">
        <f aca="false">IF('Boletins Nuppa Site'!J1461&lt;&gt;0,'Boletins Nuppa Site'!J1461,"NULL")</f>
        <v>75</v>
      </c>
      <c r="H1461" s="30" t="n">
        <f aca="false">IF('Boletins Nuppa Site'!K1461&lt;&gt;0,'Boletins Nuppa Site'!K1461,"NULL")</f>
        <v>75</v>
      </c>
      <c r="I1461" s="0" t="str">
        <f aca="false">"INSERT INTO COTACAO (cot_id, cot_blt_id, cot_pap_id, cot_prc_comum, cot_prc_min, cot_prc_max, cot_prc_med, cot_prc_mediana) VALUES ("&amp;A1461&amp;", "&amp;B1461&amp;", "&amp;C1461&amp;", "&amp;D1461&amp;", "&amp;E1461&amp;", "&amp;F1461&amp;", "&amp;G1461&amp;", "&amp;H1461&amp;");"</f>
        <v>INSERT INTO COTACAO (cot_id, cot_blt_id, cot_pap_id, cot_prc_comum, cot_prc_min, cot_prc_max, cot_prc_med, cot_prc_mediana) VALUES (1460, 74, 30, NULL, 70, 80, 75, 75);</v>
      </c>
      <c r="J1461" s="0" t="str">
        <f aca="false">"UPDATE COTACAO SET cot_id = "&amp;A1461&amp;", cot_blt_id = "&amp;B1461&amp;", cot_pap_id = "&amp;C1461&amp;", cot_prc_comum = "&amp;D1461&amp;", cot_prc_min = "&amp;E1461&amp;", cot_prc_max = "&amp;F1461&amp;", cot_prc_med = "&amp;G1461&amp;", cot_prc_mediana = "&amp;H1461&amp;" WHERE cot_id = "&amp;A1461&amp;";"</f>
        <v>UPDATE COTACAO SET cot_id = 1460, cot_blt_id = 74, cot_pap_id = 30, cot_prc_comum = NULL, cot_prc_min = 70, cot_prc_max = 80, cot_prc_med = 75, cot_prc_mediana = 75 WHERE cot_id = 1460;</v>
      </c>
    </row>
    <row r="1462" customFormat="false" ht="14.25" hidden="false" customHeight="false" outlineLevel="0" collapsed="false">
      <c r="A1462" s="0" t="n">
        <v>1461</v>
      </c>
      <c r="B1462" s="0" t="n">
        <f aca="false">IF('Boletins Nuppa Site'!A1462&lt;&gt;0,'Boletins Nuppa Site'!A1462,"NULL")</f>
        <v>74</v>
      </c>
      <c r="C1462" s="0" t="n">
        <v>31</v>
      </c>
      <c r="D1462" s="31" t="n">
        <f aca="false">IF('Boletins Nuppa Site'!G1462&lt;&gt;0,'Boletins Nuppa Site'!G1462,"NULL")</f>
        <v>100</v>
      </c>
      <c r="E1462" s="30" t="n">
        <f aca="false">IF('Boletins Nuppa Site'!H1462&lt;&gt;0,'Boletins Nuppa Site'!H1462,"NULL")</f>
        <v>75</v>
      </c>
      <c r="F1462" s="30" t="n">
        <f aca="false">IF('Boletins Nuppa Site'!I1462&lt;&gt;0,'Boletins Nuppa Site'!I1462,"NULL")</f>
        <v>100</v>
      </c>
      <c r="G1462" s="30" t="str">
        <f aca="false">IF('Boletins Nuppa Site'!J1462&lt;&gt;0,'Boletins Nuppa Site'!J1462,"NULL")</f>
        <v>88.75</v>
      </c>
      <c r="H1462" s="30" t="n">
        <f aca="false">IF('Boletins Nuppa Site'!K1462&lt;&gt;0,'Boletins Nuppa Site'!K1462,"NULL")</f>
        <v>90</v>
      </c>
      <c r="I1462" s="0" t="str">
        <f aca="false">"INSERT INTO COTACAO (cot_id, cot_blt_id, cot_pap_id, cot_prc_comum, cot_prc_min, cot_prc_max, cot_prc_med, cot_prc_mediana) VALUES ("&amp;A1462&amp;", "&amp;B1462&amp;", "&amp;C1462&amp;", "&amp;D1462&amp;", "&amp;E1462&amp;", "&amp;F1462&amp;", "&amp;G1462&amp;", "&amp;H1462&amp;");"</f>
        <v>INSERT INTO COTACAO (cot_id, cot_blt_id, cot_pap_id, cot_prc_comum, cot_prc_min, cot_prc_max, cot_prc_med, cot_prc_mediana) VALUES (1461, 74, 31, 100, 75, 100, 88.75, 90);</v>
      </c>
      <c r="J1462" s="0" t="str">
        <f aca="false">"UPDATE COTACAO SET cot_id = "&amp;A1462&amp;", cot_blt_id = "&amp;B1462&amp;", cot_pap_id = "&amp;C1462&amp;", cot_prc_comum = "&amp;D1462&amp;", cot_prc_min = "&amp;E1462&amp;", cot_prc_max = "&amp;F1462&amp;", cot_prc_med = "&amp;G1462&amp;", cot_prc_mediana = "&amp;H1462&amp;" WHERE cot_id = "&amp;A1462&amp;";"</f>
        <v>UPDATE COTACAO SET cot_id = 1461, cot_blt_id = 74, cot_pap_id = 31, cot_prc_comum = 100, cot_prc_min = 75, cot_prc_max = 100, cot_prc_med = 88.75, cot_prc_mediana = 90 WHERE cot_id = 1461;</v>
      </c>
    </row>
    <row r="1463" customFormat="false" ht="14.25" hidden="false" customHeight="false" outlineLevel="0" collapsed="false">
      <c r="A1463" s="0" t="n">
        <v>1462</v>
      </c>
      <c r="B1463" s="0" t="n">
        <f aca="false">IF('Boletins Nuppa Site'!A1463&lt;&gt;0,'Boletins Nuppa Site'!A1463,"NULL")</f>
        <v>74</v>
      </c>
      <c r="C1463" s="0" t="n">
        <v>32</v>
      </c>
      <c r="D1463" s="31" t="n">
        <f aca="false">IF('Boletins Nuppa Site'!G1463&lt;&gt;0,'Boletins Nuppa Site'!G1463,"NULL")</f>
        <v>45</v>
      </c>
      <c r="E1463" s="30" t="n">
        <f aca="false">IF('Boletins Nuppa Site'!H1463&lt;&gt;0,'Boletins Nuppa Site'!H1463,"NULL")</f>
        <v>45</v>
      </c>
      <c r="F1463" s="30" t="n">
        <f aca="false">IF('Boletins Nuppa Site'!I1463&lt;&gt;0,'Boletins Nuppa Site'!I1463,"NULL")</f>
        <v>85</v>
      </c>
      <c r="G1463" s="30" t="str">
        <f aca="false">IF('Boletins Nuppa Site'!J1463&lt;&gt;0,'Boletins Nuppa Site'!J1463,"NULL")</f>
        <v>57.5</v>
      </c>
      <c r="H1463" s="30" t="n">
        <f aca="false">IF('Boletins Nuppa Site'!K1463&lt;&gt;0,'Boletins Nuppa Site'!K1463,"NULL")</f>
        <v>50</v>
      </c>
      <c r="I1463" s="0" t="str">
        <f aca="false">"INSERT INTO COTACAO (cot_id, cot_blt_id, cot_pap_id, cot_prc_comum, cot_prc_min, cot_prc_max, cot_prc_med, cot_prc_mediana) VALUES ("&amp;A1463&amp;", "&amp;B1463&amp;", "&amp;C1463&amp;", "&amp;D1463&amp;", "&amp;E1463&amp;", "&amp;F1463&amp;", "&amp;G1463&amp;", "&amp;H1463&amp;");"</f>
        <v>INSERT INTO COTACAO (cot_id, cot_blt_id, cot_pap_id, cot_prc_comum, cot_prc_min, cot_prc_max, cot_prc_med, cot_prc_mediana) VALUES (1462, 74, 32, 45, 45, 85, 57.5, 50);</v>
      </c>
      <c r="J1463" s="0" t="str">
        <f aca="false">"UPDATE COTACAO SET cot_id = "&amp;A1463&amp;", cot_blt_id = "&amp;B1463&amp;", cot_pap_id = "&amp;C1463&amp;", cot_prc_comum = "&amp;D1463&amp;", cot_prc_min = "&amp;E1463&amp;", cot_prc_max = "&amp;F1463&amp;", cot_prc_med = "&amp;G1463&amp;", cot_prc_mediana = "&amp;H1463&amp;" WHERE cot_id = "&amp;A1463&amp;";"</f>
        <v>UPDATE COTACAO SET cot_id = 1462, cot_blt_id = 74, cot_pap_id = 32, cot_prc_comum = 45, cot_prc_min = 45, cot_prc_max = 85, cot_prc_med = 57.5, cot_prc_mediana = 50 WHERE cot_id = 1462;</v>
      </c>
    </row>
    <row r="1464" customFormat="false" ht="14.25" hidden="false" customHeight="false" outlineLevel="0" collapsed="false">
      <c r="A1464" s="0" t="n">
        <v>1463</v>
      </c>
      <c r="B1464" s="0" t="n">
        <f aca="false">IF('Boletins Nuppa Site'!A1464&lt;&gt;0,'Boletins Nuppa Site'!A1464,"NULL")</f>
        <v>74</v>
      </c>
      <c r="C1464" s="0" t="n">
        <v>33</v>
      </c>
      <c r="D1464" s="31" t="n">
        <f aca="false">IF('Boletins Nuppa Site'!G1464&lt;&gt;0,'Boletins Nuppa Site'!G1464,"NULL")</f>
        <v>160</v>
      </c>
      <c r="E1464" s="30" t="n">
        <f aca="false">IF('Boletins Nuppa Site'!H1464&lt;&gt;0,'Boletins Nuppa Site'!H1464,"NULL")</f>
        <v>150</v>
      </c>
      <c r="F1464" s="30" t="n">
        <f aca="false">IF('Boletins Nuppa Site'!I1464&lt;&gt;0,'Boletins Nuppa Site'!I1464,"NULL")</f>
        <v>180</v>
      </c>
      <c r="G1464" s="30" t="str">
        <f aca="false">IF('Boletins Nuppa Site'!J1464&lt;&gt;0,'Boletins Nuppa Site'!J1464,"NULL")</f>
        <v>162.5</v>
      </c>
      <c r="H1464" s="30" t="n">
        <f aca="false">IF('Boletins Nuppa Site'!K1464&lt;&gt;0,'Boletins Nuppa Site'!K1464,"NULL")</f>
        <v>160</v>
      </c>
      <c r="I1464" s="0" t="str">
        <f aca="false">"INSERT INTO COTACAO (cot_id, cot_blt_id, cot_pap_id, cot_prc_comum, cot_prc_min, cot_prc_max, cot_prc_med, cot_prc_mediana) VALUES ("&amp;A1464&amp;", "&amp;B1464&amp;", "&amp;C1464&amp;", "&amp;D1464&amp;", "&amp;E1464&amp;", "&amp;F1464&amp;", "&amp;G1464&amp;", "&amp;H1464&amp;");"</f>
        <v>INSERT INTO COTACAO (cot_id, cot_blt_id, cot_pap_id, cot_prc_comum, cot_prc_min, cot_prc_max, cot_prc_med, cot_prc_mediana) VALUES (1463, 74, 33, 160, 150, 180, 162.5, 160);</v>
      </c>
      <c r="J1464" s="0" t="str">
        <f aca="false">"UPDATE COTACAO SET cot_id = "&amp;A1464&amp;", cot_blt_id = "&amp;B1464&amp;", cot_pap_id = "&amp;C1464&amp;", cot_prc_comum = "&amp;D1464&amp;", cot_prc_min = "&amp;E1464&amp;", cot_prc_max = "&amp;F1464&amp;", cot_prc_med = "&amp;G1464&amp;", cot_prc_mediana = "&amp;H1464&amp;" WHERE cot_id = "&amp;A1464&amp;";"</f>
        <v>UPDATE COTACAO SET cot_id = 1463, cot_blt_id = 74, cot_pap_id = 33, cot_prc_comum = 160, cot_prc_min = 150, cot_prc_max = 180, cot_prc_med = 162.5, cot_prc_mediana = 160 WHERE cot_id = 1463;</v>
      </c>
    </row>
    <row r="1465" customFormat="false" ht="14.25" hidden="false" customHeight="false" outlineLevel="0" collapsed="false">
      <c r="A1465" s="0" t="n">
        <v>1464</v>
      </c>
      <c r="B1465" s="0" t="n">
        <f aca="false">IF('Boletins Nuppa Site'!A1465&lt;&gt;0,'Boletins Nuppa Site'!A1465,"NULL")</f>
        <v>74</v>
      </c>
      <c r="C1465" s="0" t="n">
        <v>34</v>
      </c>
      <c r="D1465" s="0" t="str">
        <f aca="false">IF('Boletins Nuppa Site'!G1465&lt;&gt;0,'Boletins Nuppa Site'!G1465,"NULL")</f>
        <v>NULL</v>
      </c>
      <c r="E1465" s="30" t="n">
        <f aca="false">IF('Boletins Nuppa Site'!H1465&lt;&gt;0,'Boletins Nuppa Site'!H1465,"NULL")</f>
        <v>50</v>
      </c>
      <c r="F1465" s="30" t="n">
        <f aca="false">IF('Boletins Nuppa Site'!I1465&lt;&gt;0,'Boletins Nuppa Site'!I1465,"NULL")</f>
        <v>80</v>
      </c>
      <c r="G1465" s="30" t="n">
        <f aca="false">IF('Boletins Nuppa Site'!J1465&lt;&gt;0,'Boletins Nuppa Site'!J1465,"NULL")</f>
        <v>65</v>
      </c>
      <c r="H1465" s="30" t="n">
        <f aca="false">IF('Boletins Nuppa Site'!K1465&lt;&gt;0,'Boletins Nuppa Site'!K1465,"NULL")</f>
        <v>65</v>
      </c>
      <c r="I1465" s="0" t="str">
        <f aca="false">"INSERT INTO COTACAO (cot_id, cot_blt_id, cot_pap_id, cot_prc_comum, cot_prc_min, cot_prc_max, cot_prc_med, cot_prc_mediana) VALUES ("&amp;A1465&amp;", "&amp;B1465&amp;", "&amp;C1465&amp;", "&amp;D1465&amp;", "&amp;E1465&amp;", "&amp;F1465&amp;", "&amp;G1465&amp;", "&amp;H1465&amp;");"</f>
        <v>INSERT INTO COTACAO (cot_id, cot_blt_id, cot_pap_id, cot_prc_comum, cot_prc_min, cot_prc_max, cot_prc_med, cot_prc_mediana) VALUES (1464, 74, 34, NULL, 50, 80, 65, 65);</v>
      </c>
      <c r="J1465" s="0" t="str">
        <f aca="false">"UPDATE COTACAO SET cot_id = "&amp;A1465&amp;", cot_blt_id = "&amp;B1465&amp;", cot_pap_id = "&amp;C1465&amp;", cot_prc_comum = "&amp;D1465&amp;", cot_prc_min = "&amp;E1465&amp;", cot_prc_max = "&amp;F1465&amp;", cot_prc_med = "&amp;G1465&amp;", cot_prc_mediana = "&amp;H1465&amp;" WHERE cot_id = "&amp;A1465&amp;";"</f>
        <v>UPDATE COTACAO SET cot_id = 1464, cot_blt_id = 74, cot_pap_id = 34, cot_prc_comum = NULL, cot_prc_min = 50, cot_prc_max = 80, cot_prc_med = 65, cot_prc_mediana = 65 WHERE cot_id = 1464;</v>
      </c>
    </row>
    <row r="1466" customFormat="false" ht="14.25" hidden="false" customHeight="false" outlineLevel="0" collapsed="false">
      <c r="A1466" s="0" t="n">
        <v>1465</v>
      </c>
      <c r="B1466" s="0" t="n">
        <f aca="false">IF('Boletins Nuppa Site'!A1466&lt;&gt;0,'Boletins Nuppa Site'!A1466,"NULL")</f>
        <v>74</v>
      </c>
      <c r="C1466" s="0" t="n">
        <v>35</v>
      </c>
      <c r="D1466" s="0" t="str">
        <f aca="false">IF('Boletins Nuppa Site'!G1466&lt;&gt;0,'Boletins Nuppa Site'!G1466,"NULL")</f>
        <v>NULL</v>
      </c>
      <c r="E1466" s="30" t="n">
        <f aca="false">IF('Boletins Nuppa Site'!H1466&lt;&gt;0,'Boletins Nuppa Site'!H1466,"NULL")</f>
        <v>90</v>
      </c>
      <c r="F1466" s="30" t="n">
        <f aca="false">IF('Boletins Nuppa Site'!I1466&lt;&gt;0,'Boletins Nuppa Site'!I1466,"NULL")</f>
        <v>120</v>
      </c>
      <c r="G1466" s="30" t="str">
        <f aca="false">IF('Boletins Nuppa Site'!J1466&lt;&gt;0,'Boletins Nuppa Site'!J1466,"NULL")</f>
        <v>103.33</v>
      </c>
      <c r="H1466" s="30" t="n">
        <f aca="false">IF('Boletins Nuppa Site'!K1466&lt;&gt;0,'Boletins Nuppa Site'!K1466,"NULL")</f>
        <v>100</v>
      </c>
      <c r="I1466" s="0" t="str">
        <f aca="false">"INSERT INTO COTACAO (cot_id, cot_blt_id, cot_pap_id, cot_prc_comum, cot_prc_min, cot_prc_max, cot_prc_med, cot_prc_mediana) VALUES ("&amp;A1466&amp;", "&amp;B1466&amp;", "&amp;C1466&amp;", "&amp;D1466&amp;", "&amp;E1466&amp;", "&amp;F1466&amp;", "&amp;G1466&amp;", "&amp;H1466&amp;");"</f>
        <v>INSERT INTO COTACAO (cot_id, cot_blt_id, cot_pap_id, cot_prc_comum, cot_prc_min, cot_prc_max, cot_prc_med, cot_prc_mediana) VALUES (1465, 74, 35, NULL, 90, 120, 103.33, 100);</v>
      </c>
      <c r="J1466" s="0" t="str">
        <f aca="false">"UPDATE COTACAO SET cot_id = "&amp;A1466&amp;", cot_blt_id = "&amp;B1466&amp;", cot_pap_id = "&amp;C1466&amp;", cot_prc_comum = "&amp;D1466&amp;", cot_prc_min = "&amp;E1466&amp;", cot_prc_max = "&amp;F1466&amp;", cot_prc_med = "&amp;G1466&amp;", cot_prc_mediana = "&amp;H1466&amp;" WHERE cot_id = "&amp;A1466&amp;";"</f>
        <v>UPDATE COTACAO SET cot_id = 1465, cot_blt_id = 74, cot_pap_id = 35, cot_prc_comum = NULL, cot_prc_min = 90, cot_prc_max = 120, cot_prc_med = 103.33, cot_prc_mediana = 100 WHERE cot_id = 1465;</v>
      </c>
    </row>
    <row r="1467" customFormat="false" ht="14.25" hidden="false" customHeight="false" outlineLevel="0" collapsed="false">
      <c r="A1467" s="0" t="n">
        <v>1466</v>
      </c>
      <c r="B1467" s="0" t="n">
        <f aca="false">IF('Boletins Nuppa Site'!A1467&lt;&gt;0,'Boletins Nuppa Site'!A1467,"NULL")</f>
        <v>74</v>
      </c>
      <c r="C1467" s="0" t="n">
        <v>36</v>
      </c>
      <c r="D1467" s="0" t="str">
        <f aca="false">IF('Boletins Nuppa Site'!G1467&lt;&gt;0,'Boletins Nuppa Site'!G1467,"NULL")</f>
        <v>NULL</v>
      </c>
      <c r="E1467" s="30" t="str">
        <f aca="false">IF('Boletins Nuppa Site'!H1467&lt;&gt;0,'Boletins Nuppa Site'!H1467,"NULL")</f>
        <v>NULL</v>
      </c>
      <c r="F1467" s="30" t="str">
        <f aca="false">IF('Boletins Nuppa Site'!I1467&lt;&gt;0,'Boletins Nuppa Site'!I1467,"NULL")</f>
        <v>NULL</v>
      </c>
      <c r="G1467" s="30" t="str">
        <f aca="false">IF('Boletins Nuppa Site'!J1467&lt;&gt;0,'Boletins Nuppa Site'!J1467,"NULL")</f>
        <v>NULL</v>
      </c>
      <c r="H1467" s="30" t="str">
        <f aca="false">IF('Boletins Nuppa Site'!K1467&lt;&gt;0,'Boletins Nuppa Site'!K1467,"NULL")</f>
        <v>NULL</v>
      </c>
      <c r="I1467" s="0" t="str">
        <f aca="false">"INSERT INTO COTACAO (cot_id, cot_blt_id, cot_pap_id, cot_prc_comum, cot_prc_min, cot_prc_max, cot_prc_med, cot_prc_mediana) VALUES ("&amp;A1467&amp;", "&amp;B1467&amp;", "&amp;C1467&amp;", "&amp;D1467&amp;", "&amp;E1467&amp;", "&amp;F1467&amp;", "&amp;G1467&amp;", "&amp;H1467&amp;");"</f>
        <v>INSERT INTO COTACAO (cot_id, cot_blt_id, cot_pap_id, cot_prc_comum, cot_prc_min, cot_prc_max, cot_prc_med, cot_prc_mediana) VALUES (1466, 74, 36, NULL, NULL, NULL, NULL, NULL);</v>
      </c>
      <c r="J1467" s="0" t="str">
        <f aca="false">"UPDATE COTACAO SET cot_id = "&amp;A1467&amp;", cot_blt_id = "&amp;B1467&amp;", cot_pap_id = "&amp;C1467&amp;", cot_prc_comum = "&amp;D1467&amp;", cot_prc_min = "&amp;E1467&amp;", cot_prc_max = "&amp;F1467&amp;", cot_prc_med = "&amp;G1467&amp;", cot_prc_mediana = "&amp;H1467&amp;" WHERE cot_id = "&amp;A1467&amp;";"</f>
        <v>UPDATE COTACAO SET cot_id = 1466, cot_blt_id = 74, cot_pap_id = 36, cot_prc_comum = NULL, cot_prc_min = NULL, cot_prc_max = NULL, cot_prc_med = NULL, cot_prc_mediana = NULL WHERE cot_id = 1466;</v>
      </c>
    </row>
    <row r="1468" customFormat="false" ht="14.25" hidden="false" customHeight="false" outlineLevel="0" collapsed="false">
      <c r="A1468" s="0" t="n">
        <v>1467</v>
      </c>
      <c r="B1468" s="0" t="n">
        <f aca="false">IF('Boletins Nuppa Site'!A1468&lt;&gt;0,'Boletins Nuppa Site'!A1468,"NULL")</f>
        <v>74</v>
      </c>
      <c r="C1468" s="0" t="n">
        <v>37</v>
      </c>
      <c r="D1468" s="0" t="str">
        <f aca="false">IF('Boletins Nuppa Site'!G1468&lt;&gt;0,'Boletins Nuppa Site'!G1468,"NULL")</f>
        <v>NULL</v>
      </c>
      <c r="E1468" s="30" t="str">
        <f aca="false">IF('Boletins Nuppa Site'!H1468&lt;&gt;0,'Boletins Nuppa Site'!H1468,"NULL")</f>
        <v>NULL</v>
      </c>
      <c r="F1468" s="30" t="str">
        <f aca="false">IF('Boletins Nuppa Site'!I1468&lt;&gt;0,'Boletins Nuppa Site'!I1468,"NULL")</f>
        <v>NULL</v>
      </c>
      <c r="G1468" s="30" t="str">
        <f aca="false">IF('Boletins Nuppa Site'!J1468&lt;&gt;0,'Boletins Nuppa Site'!J1468,"NULL")</f>
        <v>NULL</v>
      </c>
      <c r="H1468" s="30" t="str">
        <f aca="false">IF('Boletins Nuppa Site'!K1468&lt;&gt;0,'Boletins Nuppa Site'!K1468,"NULL")</f>
        <v>NULL</v>
      </c>
      <c r="I1468" s="0" t="str">
        <f aca="false">"INSERT INTO COTACAO (cot_id, cot_blt_id, cot_pap_id, cot_prc_comum, cot_prc_min, cot_prc_max, cot_prc_med, cot_prc_mediana) VALUES ("&amp;A1468&amp;", "&amp;B1468&amp;", "&amp;C1468&amp;", "&amp;D1468&amp;", "&amp;E1468&amp;", "&amp;F1468&amp;", "&amp;G1468&amp;", "&amp;H1468&amp;");"</f>
        <v>INSERT INTO COTACAO (cot_id, cot_blt_id, cot_pap_id, cot_prc_comum, cot_prc_min, cot_prc_max, cot_prc_med, cot_prc_mediana) VALUES (1467, 74, 37, NULL, NULL, NULL, NULL, NULL);</v>
      </c>
      <c r="J1468" s="0" t="str">
        <f aca="false">"UPDATE COTACAO SET cot_id = "&amp;A1468&amp;", cot_blt_id = "&amp;B1468&amp;", cot_pap_id = "&amp;C1468&amp;", cot_prc_comum = "&amp;D1468&amp;", cot_prc_min = "&amp;E1468&amp;", cot_prc_max = "&amp;F1468&amp;", cot_prc_med = "&amp;G1468&amp;", cot_prc_mediana = "&amp;H1468&amp;" WHERE cot_id = "&amp;A1468&amp;";"</f>
        <v>UPDATE COTACAO SET cot_id = 1467, cot_blt_id = 74, cot_pap_id = 37, cot_prc_comum = NULL, cot_prc_min = NULL, cot_prc_max = NULL, cot_prc_med = NULL, cot_prc_mediana = NULL WHERE cot_id = 1467;</v>
      </c>
    </row>
    <row r="1469" customFormat="false" ht="14.25" hidden="false" customHeight="false" outlineLevel="0" collapsed="false">
      <c r="A1469" s="0" t="n">
        <v>1468</v>
      </c>
      <c r="B1469" s="0" t="n">
        <f aca="false">IF('Boletins Nuppa Site'!A1469&lt;&gt;0,'Boletins Nuppa Site'!A1469,"NULL")</f>
        <v>74</v>
      </c>
      <c r="C1469" s="0" t="n">
        <v>38</v>
      </c>
      <c r="D1469" s="0" t="str">
        <f aca="false">IF('Boletins Nuppa Site'!G1469&lt;&gt;0,'Boletins Nuppa Site'!G1469,"NULL")</f>
        <v>NULL</v>
      </c>
      <c r="E1469" s="30" t="str">
        <f aca="false">IF('Boletins Nuppa Site'!H1469&lt;&gt;0,'Boletins Nuppa Site'!H1469,"NULL")</f>
        <v>NULL</v>
      </c>
      <c r="F1469" s="30" t="str">
        <f aca="false">IF('Boletins Nuppa Site'!I1469&lt;&gt;0,'Boletins Nuppa Site'!I1469,"NULL")</f>
        <v>NULL</v>
      </c>
      <c r="G1469" s="30" t="str">
        <f aca="false">IF('Boletins Nuppa Site'!J1469&lt;&gt;0,'Boletins Nuppa Site'!J1469,"NULL")</f>
        <v>NULL</v>
      </c>
      <c r="H1469" s="30" t="str">
        <f aca="false">IF('Boletins Nuppa Site'!K1469&lt;&gt;0,'Boletins Nuppa Site'!K1469,"NULL")</f>
        <v>NULL</v>
      </c>
      <c r="I1469" s="0" t="str">
        <f aca="false">"INSERT INTO COTACAO (cot_id, cot_blt_id, cot_pap_id, cot_prc_comum, cot_prc_min, cot_prc_max, cot_prc_med, cot_prc_mediana) VALUES ("&amp;A1469&amp;", "&amp;B1469&amp;", "&amp;C1469&amp;", "&amp;D1469&amp;", "&amp;E1469&amp;", "&amp;F1469&amp;", "&amp;G1469&amp;", "&amp;H1469&amp;");"</f>
        <v>INSERT INTO COTACAO (cot_id, cot_blt_id, cot_pap_id, cot_prc_comum, cot_prc_min, cot_prc_max, cot_prc_med, cot_prc_mediana) VALUES (1468, 74, 38, NULL, NULL, NULL, NULL, NULL);</v>
      </c>
      <c r="J1469" s="0" t="str">
        <f aca="false">"UPDATE COTACAO SET cot_id = "&amp;A1469&amp;", cot_blt_id = "&amp;B1469&amp;", cot_pap_id = "&amp;C1469&amp;", cot_prc_comum = "&amp;D1469&amp;", cot_prc_min = "&amp;E1469&amp;", cot_prc_max = "&amp;F1469&amp;", cot_prc_med = "&amp;G1469&amp;", cot_prc_mediana = "&amp;H1469&amp;" WHERE cot_id = "&amp;A1469&amp;";"</f>
        <v>UPDATE COTACAO SET cot_id = 1468, cot_blt_id = 74, cot_pap_id = 38, cot_prc_comum = NULL, cot_prc_min = NULL, cot_prc_max = NULL, cot_prc_med = NULL, cot_prc_mediana = NULL WHERE cot_id = 1468;</v>
      </c>
    </row>
    <row r="1470" customFormat="false" ht="14.25" hidden="false" customHeight="false" outlineLevel="0" collapsed="false">
      <c r="A1470" s="0" t="n">
        <v>1469</v>
      </c>
      <c r="B1470" s="0" t="n">
        <f aca="false">IF('Boletins Nuppa Site'!A1470&lt;&gt;0,'Boletins Nuppa Site'!A1470,"NULL")</f>
        <v>74</v>
      </c>
      <c r="C1470" s="0" t="n">
        <v>39</v>
      </c>
      <c r="D1470" s="0" t="str">
        <f aca="false">IF('Boletins Nuppa Site'!G1470&lt;&gt;0,'Boletins Nuppa Site'!G1470,"NULL")</f>
        <v>NULL</v>
      </c>
      <c r="E1470" s="30" t="n">
        <f aca="false">IF('Boletins Nuppa Site'!H1470&lt;&gt;0,'Boletins Nuppa Site'!H1470,"NULL")</f>
        <v>70</v>
      </c>
      <c r="F1470" s="30" t="n">
        <f aca="false">IF('Boletins Nuppa Site'!I1470&lt;&gt;0,'Boletins Nuppa Site'!I1470,"NULL")</f>
        <v>70</v>
      </c>
      <c r="G1470" s="30" t="n">
        <f aca="false">IF('Boletins Nuppa Site'!J1470&lt;&gt;0,'Boletins Nuppa Site'!J1470,"NULL")</f>
        <v>70</v>
      </c>
      <c r="H1470" s="30" t="n">
        <f aca="false">IF('Boletins Nuppa Site'!K1470&lt;&gt;0,'Boletins Nuppa Site'!K1470,"NULL")</f>
        <v>70</v>
      </c>
      <c r="I1470" s="0" t="str">
        <f aca="false">"INSERT INTO COTACAO (cot_id, cot_blt_id, cot_pap_id, cot_prc_comum, cot_prc_min, cot_prc_max, cot_prc_med, cot_prc_mediana) VALUES ("&amp;A1470&amp;", "&amp;B1470&amp;", "&amp;C1470&amp;", "&amp;D1470&amp;", "&amp;E1470&amp;", "&amp;F1470&amp;", "&amp;G1470&amp;", "&amp;H1470&amp;");"</f>
        <v>INSERT INTO COTACAO (cot_id, cot_blt_id, cot_pap_id, cot_prc_comum, cot_prc_min, cot_prc_max, cot_prc_med, cot_prc_mediana) VALUES (1469, 74, 39, NULL, 70, 70, 70, 70);</v>
      </c>
      <c r="J1470" s="0" t="str">
        <f aca="false">"UPDATE COTACAO SET cot_id = "&amp;A1470&amp;", cot_blt_id = "&amp;B1470&amp;", cot_pap_id = "&amp;C1470&amp;", cot_prc_comum = "&amp;D1470&amp;", cot_prc_min = "&amp;E1470&amp;", cot_prc_max = "&amp;F1470&amp;", cot_prc_med = "&amp;G1470&amp;", cot_prc_mediana = "&amp;H1470&amp;" WHERE cot_id = "&amp;A1470&amp;";"</f>
        <v>UPDATE COTACAO SET cot_id = 1469, cot_blt_id = 74, cot_pap_id = 39, cot_prc_comum = NULL, cot_prc_min = 70, cot_prc_max = 70, cot_prc_med = 70, cot_prc_mediana = 70 WHERE cot_id = 1469;</v>
      </c>
    </row>
    <row r="1471" customFormat="false" ht="14.25" hidden="false" customHeight="false" outlineLevel="0" collapsed="false">
      <c r="A1471" s="0" t="n">
        <v>1470</v>
      </c>
      <c r="B1471" s="0" t="n">
        <f aca="false">IF('Boletins Nuppa Site'!A1471&lt;&gt;0,'Boletins Nuppa Site'!A1471,"NULL")</f>
        <v>74</v>
      </c>
      <c r="C1471" s="0" t="n">
        <v>40</v>
      </c>
      <c r="D1471" s="0" t="str">
        <f aca="false">IF('Boletins Nuppa Site'!G1471&lt;&gt;0,'Boletins Nuppa Site'!G1471,"NULL")</f>
        <v>NULL</v>
      </c>
      <c r="E1471" s="30" t="str">
        <f aca="false">IF('Boletins Nuppa Site'!H1471&lt;&gt;0,'Boletins Nuppa Site'!H1471,"NULL")</f>
        <v>NULL</v>
      </c>
      <c r="F1471" s="30" t="str">
        <f aca="false">IF('Boletins Nuppa Site'!I1471&lt;&gt;0,'Boletins Nuppa Site'!I1471,"NULL")</f>
        <v>NULL</v>
      </c>
      <c r="G1471" s="30" t="str">
        <f aca="false">IF('Boletins Nuppa Site'!J1471&lt;&gt;0,'Boletins Nuppa Site'!J1471,"NULL")</f>
        <v>NULL</v>
      </c>
      <c r="H1471" s="30" t="str">
        <f aca="false">IF('Boletins Nuppa Site'!K1471&lt;&gt;0,'Boletins Nuppa Site'!K1471,"NULL")</f>
        <v>NULL</v>
      </c>
      <c r="I1471" s="0" t="str">
        <f aca="false">"INSERT INTO COTACAO (cot_id, cot_blt_id, cot_pap_id, cot_prc_comum, cot_prc_min, cot_prc_max, cot_prc_med, cot_prc_mediana) VALUES ("&amp;A1471&amp;", "&amp;B1471&amp;", "&amp;C1471&amp;", "&amp;D1471&amp;", "&amp;E1471&amp;", "&amp;F1471&amp;", "&amp;G1471&amp;", "&amp;H1471&amp;");"</f>
        <v>INSERT INTO COTACAO (cot_id, cot_blt_id, cot_pap_id, cot_prc_comum, cot_prc_min, cot_prc_max, cot_prc_med, cot_prc_mediana) VALUES (1470, 74, 40, NULL, NULL, NULL, NULL, NULL);</v>
      </c>
      <c r="J1471" s="0" t="str">
        <f aca="false">"UPDATE COTACAO SET cot_id = "&amp;A1471&amp;", cot_blt_id = "&amp;B1471&amp;", cot_pap_id = "&amp;C1471&amp;", cot_prc_comum = "&amp;D1471&amp;", cot_prc_min = "&amp;E1471&amp;", cot_prc_max = "&amp;F1471&amp;", cot_prc_med = "&amp;G1471&amp;", cot_prc_mediana = "&amp;H1471&amp;" WHERE cot_id = "&amp;A1471&amp;";"</f>
        <v>UPDATE COTACAO SET cot_id = 1470, cot_blt_id = 74, cot_pap_id = 40, cot_prc_comum = NULL, cot_prc_min = NULL, cot_prc_max = NULL, cot_prc_med = NULL, cot_prc_mediana = NULL WHERE cot_id = 1470;</v>
      </c>
    </row>
    <row r="1472" customFormat="false" ht="14.25" hidden="false" customHeight="false" outlineLevel="0" collapsed="false">
      <c r="A1472" s="0" t="n">
        <v>1471</v>
      </c>
      <c r="B1472" s="0" t="n">
        <f aca="false">IF('Boletins Nuppa Site'!A1472&lt;&gt;0,'Boletins Nuppa Site'!A1472,"NULL")</f>
        <v>75</v>
      </c>
      <c r="C1472" s="0" t="n">
        <v>1</v>
      </c>
      <c r="D1472" s="0" t="str">
        <f aca="false">IF('Boletins Nuppa Site'!G1472&lt;&gt;0,'Boletins Nuppa Site'!G1472,"NULL")</f>
        <v>NULL</v>
      </c>
      <c r="E1472" s="30" t="n">
        <f aca="false">IF('Boletins Nuppa Site'!H1472&lt;&gt;0,'Boletins Nuppa Site'!H1472,"NULL")</f>
        <v>36</v>
      </c>
      <c r="F1472" s="30" t="n">
        <f aca="false">IF('Boletins Nuppa Site'!I1472&lt;&gt;0,'Boletins Nuppa Site'!I1472,"NULL")</f>
        <v>60</v>
      </c>
      <c r="G1472" s="30" t="n">
        <f aca="false">IF('Boletins Nuppa Site'!J1472&lt;&gt;0,'Boletins Nuppa Site'!J1472,"NULL")</f>
        <v>48</v>
      </c>
      <c r="H1472" s="30" t="n">
        <f aca="false">IF('Boletins Nuppa Site'!K1472&lt;&gt;0,'Boletins Nuppa Site'!K1472,"NULL")</f>
        <v>48</v>
      </c>
      <c r="I1472" s="0" t="str">
        <f aca="false">"INSERT INTO COTACAO (cot_id, cot_blt_id, cot_pap_id, cot_prc_comum, cot_prc_min, cot_prc_max, cot_prc_med, cot_prc_mediana) VALUES ("&amp;A1472&amp;", "&amp;B1472&amp;", "&amp;C1472&amp;", "&amp;D1472&amp;", "&amp;E1472&amp;", "&amp;F1472&amp;", "&amp;G1472&amp;", "&amp;H1472&amp;");"</f>
        <v>INSERT INTO COTACAO (cot_id, cot_blt_id, cot_pap_id, cot_prc_comum, cot_prc_min, cot_prc_max, cot_prc_med, cot_prc_mediana) VALUES (1471, 75, 1, NULL, 36, 60, 48, 48);</v>
      </c>
      <c r="J1472" s="0" t="str">
        <f aca="false">"UPDATE COTACAO SET cot_id = "&amp;A1472&amp;", cot_blt_id = "&amp;B1472&amp;", cot_pap_id = "&amp;C1472&amp;", cot_prc_comum = "&amp;D1472&amp;", cot_prc_min = "&amp;E1472&amp;", cot_prc_max = "&amp;F1472&amp;", cot_prc_med = "&amp;G1472&amp;", cot_prc_mediana = "&amp;H1472&amp;" WHERE cot_id = "&amp;A1472&amp;";"</f>
        <v>UPDATE COTACAO SET cot_id = 1471, cot_blt_id = 75, cot_pap_id = 1, cot_prc_comum = NULL, cot_prc_min = 36, cot_prc_max = 60, cot_prc_med = 48, cot_prc_mediana = 48 WHERE cot_id = 1471;</v>
      </c>
    </row>
    <row r="1473" customFormat="false" ht="14.25" hidden="false" customHeight="false" outlineLevel="0" collapsed="false">
      <c r="A1473" s="0" t="n">
        <v>1472</v>
      </c>
      <c r="B1473" s="0" t="n">
        <f aca="false">IF('Boletins Nuppa Site'!A1473&lt;&gt;0,'Boletins Nuppa Site'!A1473,"NULL")</f>
        <v>75</v>
      </c>
      <c r="C1473" s="0" t="n">
        <v>2</v>
      </c>
      <c r="D1473" s="31" t="n">
        <f aca="false">IF('Boletins Nuppa Site'!G1473&lt;&gt;0,'Boletins Nuppa Site'!G1473,"NULL")</f>
        <v>72</v>
      </c>
      <c r="E1473" s="30" t="n">
        <f aca="false">IF('Boletins Nuppa Site'!H1473&lt;&gt;0,'Boletins Nuppa Site'!H1473,"NULL")</f>
        <v>78</v>
      </c>
      <c r="F1473" s="30" t="n">
        <f aca="false">IF('Boletins Nuppa Site'!I1473&lt;&gt;0,'Boletins Nuppa Site'!I1473,"NULL")</f>
        <v>84</v>
      </c>
      <c r="G1473" s="30" t="n">
        <f aca="false">IF('Boletins Nuppa Site'!J1473&lt;&gt;0,'Boletins Nuppa Site'!J1473,"NULL")</f>
        <v>78</v>
      </c>
      <c r="H1473" s="30" t="n">
        <f aca="false">IF('Boletins Nuppa Site'!K1473&lt;&gt;0,'Boletins Nuppa Site'!K1473,"NULL")</f>
        <v>78</v>
      </c>
      <c r="I1473" s="0" t="str">
        <f aca="false">"INSERT INTO COTACAO (cot_id, cot_blt_id, cot_pap_id, cot_prc_comum, cot_prc_min, cot_prc_max, cot_prc_med, cot_prc_mediana) VALUES ("&amp;A1473&amp;", "&amp;B1473&amp;", "&amp;C1473&amp;", "&amp;D1473&amp;", "&amp;E1473&amp;", "&amp;F1473&amp;", "&amp;G1473&amp;", "&amp;H1473&amp;");"</f>
        <v>INSERT INTO COTACAO (cot_id, cot_blt_id, cot_pap_id, cot_prc_comum, cot_prc_min, cot_prc_max, cot_prc_med, cot_prc_mediana) VALUES (1472, 75, 2, 72, 78, 84, 78, 78);</v>
      </c>
      <c r="J1473" s="0" t="str">
        <f aca="false">"UPDATE COTACAO SET cot_id = "&amp;A1473&amp;", cot_blt_id = "&amp;B1473&amp;", cot_pap_id = "&amp;C1473&amp;", cot_prc_comum = "&amp;D1473&amp;", cot_prc_min = "&amp;E1473&amp;", cot_prc_max = "&amp;F1473&amp;", cot_prc_med = "&amp;G1473&amp;", cot_prc_mediana = "&amp;H1473&amp;" WHERE cot_id = "&amp;A1473&amp;";"</f>
        <v>UPDATE COTACAO SET cot_id = 1472, cot_blt_id = 75, cot_pap_id = 2, cot_prc_comum = 72, cot_prc_min = 78, cot_prc_max = 84, cot_prc_med = 78, cot_prc_mediana = 78 WHERE cot_id = 1472;</v>
      </c>
    </row>
    <row r="1474" customFormat="false" ht="14.25" hidden="false" customHeight="false" outlineLevel="0" collapsed="false">
      <c r="A1474" s="0" t="n">
        <v>1473</v>
      </c>
      <c r="B1474" s="0" t="n">
        <f aca="false">IF('Boletins Nuppa Site'!A1474&lt;&gt;0,'Boletins Nuppa Site'!A1474,"NULL")</f>
        <v>75</v>
      </c>
      <c r="C1474" s="0" t="n">
        <v>3</v>
      </c>
      <c r="D1474" s="31" t="n">
        <f aca="false">IF('Boletins Nuppa Site'!G1474&lt;&gt;0,'Boletins Nuppa Site'!G1474,"NULL")</f>
        <v>30</v>
      </c>
      <c r="E1474" s="30" t="n">
        <f aca="false">IF('Boletins Nuppa Site'!H1474&lt;&gt;0,'Boletins Nuppa Site'!H1474,"NULL")</f>
        <v>30</v>
      </c>
      <c r="F1474" s="30" t="n">
        <f aca="false">IF('Boletins Nuppa Site'!I1474&lt;&gt;0,'Boletins Nuppa Site'!I1474,"NULL")</f>
        <v>30</v>
      </c>
      <c r="G1474" s="30" t="n">
        <f aca="false">IF('Boletins Nuppa Site'!J1474&lt;&gt;0,'Boletins Nuppa Site'!J1474,"NULL")</f>
        <v>30</v>
      </c>
      <c r="H1474" s="30" t="n">
        <f aca="false">IF('Boletins Nuppa Site'!K1474&lt;&gt;0,'Boletins Nuppa Site'!K1474,"NULL")</f>
        <v>30</v>
      </c>
      <c r="I1474" s="0" t="str">
        <f aca="false">"INSERT INTO COTACAO (cot_id, cot_blt_id, cot_pap_id, cot_prc_comum, cot_prc_min, cot_prc_max, cot_prc_med, cot_prc_mediana) VALUES ("&amp;A1474&amp;", "&amp;B1474&amp;", "&amp;C1474&amp;", "&amp;D1474&amp;", "&amp;E1474&amp;", "&amp;F1474&amp;", "&amp;G1474&amp;", "&amp;H1474&amp;");"</f>
        <v>INSERT INTO COTACAO (cot_id, cot_blt_id, cot_pap_id, cot_prc_comum, cot_prc_min, cot_prc_max, cot_prc_med, cot_prc_mediana) VALUES (1473, 75, 3, 30, 30, 30, 30, 30);</v>
      </c>
      <c r="J1474" s="0" t="str">
        <f aca="false">"UPDATE COTACAO SET cot_id = "&amp;A1474&amp;", cot_blt_id = "&amp;B1474&amp;", cot_pap_id = "&amp;C1474&amp;", cot_prc_comum = "&amp;D1474&amp;", cot_prc_min = "&amp;E1474&amp;", cot_prc_max = "&amp;F1474&amp;", cot_prc_med = "&amp;G1474&amp;", cot_prc_mediana = "&amp;H1474&amp;" WHERE cot_id = "&amp;A1474&amp;";"</f>
        <v>UPDATE COTACAO SET cot_id = 1473, cot_blt_id = 75, cot_pap_id = 3, cot_prc_comum = 30, cot_prc_min = 30, cot_prc_max = 30, cot_prc_med = 30, cot_prc_mediana = 30 WHERE cot_id = 1473;</v>
      </c>
    </row>
    <row r="1475" customFormat="false" ht="14.25" hidden="false" customHeight="false" outlineLevel="0" collapsed="false">
      <c r="A1475" s="0" t="n">
        <v>1474</v>
      </c>
      <c r="B1475" s="0" t="n">
        <f aca="false">IF('Boletins Nuppa Site'!A1475&lt;&gt;0,'Boletins Nuppa Site'!A1475,"NULL")</f>
        <v>75</v>
      </c>
      <c r="C1475" s="0" t="n">
        <v>4</v>
      </c>
      <c r="D1475" s="31" t="n">
        <f aca="false">IF('Boletins Nuppa Site'!G1475&lt;&gt;0,'Boletins Nuppa Site'!G1475,"NULL")</f>
        <v>18</v>
      </c>
      <c r="E1475" s="30" t="n">
        <f aca="false">IF('Boletins Nuppa Site'!H1475&lt;&gt;0,'Boletins Nuppa Site'!H1475,"NULL")</f>
        <v>18</v>
      </c>
      <c r="F1475" s="30" t="n">
        <f aca="false">IF('Boletins Nuppa Site'!I1475&lt;&gt;0,'Boletins Nuppa Site'!I1475,"NULL")</f>
        <v>20</v>
      </c>
      <c r="G1475" s="30" t="str">
        <f aca="false">IF('Boletins Nuppa Site'!J1475&lt;&gt;0,'Boletins Nuppa Site'!J1475,"NULL")</f>
        <v>18.67</v>
      </c>
      <c r="H1475" s="30" t="n">
        <f aca="false">IF('Boletins Nuppa Site'!K1475&lt;&gt;0,'Boletins Nuppa Site'!K1475,"NULL")</f>
        <v>18</v>
      </c>
      <c r="I1475" s="0" t="str">
        <f aca="false">"INSERT INTO COTACAO (cot_id, cot_blt_id, cot_pap_id, cot_prc_comum, cot_prc_min, cot_prc_max, cot_prc_med, cot_prc_mediana) VALUES ("&amp;A1475&amp;", "&amp;B1475&amp;", "&amp;C1475&amp;", "&amp;D1475&amp;", "&amp;E1475&amp;", "&amp;F1475&amp;", "&amp;G1475&amp;", "&amp;H1475&amp;");"</f>
        <v>INSERT INTO COTACAO (cot_id, cot_blt_id, cot_pap_id, cot_prc_comum, cot_prc_min, cot_prc_max, cot_prc_med, cot_prc_mediana) VALUES (1474, 75, 4, 18, 18, 20, 18.67, 18);</v>
      </c>
      <c r="J1475" s="0" t="str">
        <f aca="false">"UPDATE COTACAO SET cot_id = "&amp;A1475&amp;", cot_blt_id = "&amp;B1475&amp;", cot_pap_id = "&amp;C1475&amp;", cot_prc_comum = "&amp;D1475&amp;", cot_prc_min = "&amp;E1475&amp;", cot_prc_max = "&amp;F1475&amp;", cot_prc_med = "&amp;G1475&amp;", cot_prc_mediana = "&amp;H1475&amp;" WHERE cot_id = "&amp;A1475&amp;";"</f>
        <v>UPDATE COTACAO SET cot_id = 1474, cot_blt_id = 75, cot_pap_id = 4, cot_prc_comum = 18, cot_prc_min = 18, cot_prc_max = 20, cot_prc_med = 18.67, cot_prc_mediana = 18 WHERE cot_id = 1474;</v>
      </c>
    </row>
    <row r="1476" customFormat="false" ht="14.25" hidden="false" customHeight="false" outlineLevel="0" collapsed="false">
      <c r="A1476" s="0" t="n">
        <v>1475</v>
      </c>
      <c r="B1476" s="0" t="n">
        <f aca="false">IF('Boletins Nuppa Site'!A1476&lt;&gt;0,'Boletins Nuppa Site'!A1476,"NULL")</f>
        <v>75</v>
      </c>
      <c r="C1476" s="0" t="n">
        <v>5</v>
      </c>
      <c r="D1476" s="31" t="n">
        <f aca="false">IF('Boletins Nuppa Site'!G1476&lt;&gt;0,'Boletins Nuppa Site'!G1476,"NULL")</f>
        <v>18</v>
      </c>
      <c r="E1476" s="30" t="n">
        <f aca="false">IF('Boletins Nuppa Site'!H1476&lt;&gt;0,'Boletins Nuppa Site'!H1476,"NULL")</f>
        <v>18</v>
      </c>
      <c r="F1476" s="30" t="n">
        <f aca="false">IF('Boletins Nuppa Site'!I1476&lt;&gt;0,'Boletins Nuppa Site'!I1476,"NULL")</f>
        <v>20</v>
      </c>
      <c r="G1476" s="30" t="str">
        <f aca="false">IF('Boletins Nuppa Site'!J1476&lt;&gt;0,'Boletins Nuppa Site'!J1476,"NULL")</f>
        <v>18.67</v>
      </c>
      <c r="H1476" s="30" t="n">
        <f aca="false">IF('Boletins Nuppa Site'!K1476&lt;&gt;0,'Boletins Nuppa Site'!K1476,"NULL")</f>
        <v>18</v>
      </c>
      <c r="I1476" s="0" t="str">
        <f aca="false">"INSERT INTO COTACAO (cot_id, cot_blt_id, cot_pap_id, cot_prc_comum, cot_prc_min, cot_prc_max, cot_prc_med, cot_prc_mediana) VALUES ("&amp;A1476&amp;", "&amp;B1476&amp;", "&amp;C1476&amp;", "&amp;D1476&amp;", "&amp;E1476&amp;", "&amp;F1476&amp;", "&amp;G1476&amp;", "&amp;H1476&amp;");"</f>
        <v>INSERT INTO COTACAO (cot_id, cot_blt_id, cot_pap_id, cot_prc_comum, cot_prc_min, cot_prc_max, cot_prc_med, cot_prc_mediana) VALUES (1475, 75, 5, 18, 18, 20, 18.67, 18);</v>
      </c>
      <c r="J1476" s="0" t="str">
        <f aca="false">"UPDATE COTACAO SET cot_id = "&amp;A1476&amp;", cot_blt_id = "&amp;B1476&amp;", cot_pap_id = "&amp;C1476&amp;", cot_prc_comum = "&amp;D1476&amp;", cot_prc_min = "&amp;E1476&amp;", cot_prc_max = "&amp;F1476&amp;", cot_prc_med = "&amp;G1476&amp;", cot_prc_mediana = "&amp;H1476&amp;" WHERE cot_id = "&amp;A1476&amp;";"</f>
        <v>UPDATE COTACAO SET cot_id = 1475, cot_blt_id = 75, cot_pap_id = 5, cot_prc_comum = 18, cot_prc_min = 18, cot_prc_max = 20, cot_prc_med = 18.67, cot_prc_mediana = 18 WHERE cot_id = 1475;</v>
      </c>
    </row>
    <row r="1477" customFormat="false" ht="14.25" hidden="false" customHeight="false" outlineLevel="0" collapsed="false">
      <c r="A1477" s="0" t="n">
        <v>1476</v>
      </c>
      <c r="B1477" s="0" t="n">
        <f aca="false">IF('Boletins Nuppa Site'!A1477&lt;&gt;0,'Boletins Nuppa Site'!A1477,"NULL")</f>
        <v>75</v>
      </c>
      <c r="C1477" s="0" t="n">
        <v>6</v>
      </c>
      <c r="D1477" s="31" t="n">
        <f aca="false">IF('Boletins Nuppa Site'!G1477&lt;&gt;0,'Boletins Nuppa Site'!G1477,"NULL")</f>
        <v>48</v>
      </c>
      <c r="E1477" s="30" t="str">
        <f aca="false">IF('Boletins Nuppa Site'!H1477&lt;&gt;0,'Boletins Nuppa Site'!H1477,"NULL")</f>
        <v>NULL</v>
      </c>
      <c r="F1477" s="30" t="n">
        <f aca="false">IF('Boletins Nuppa Site'!I1477&lt;&gt;0,'Boletins Nuppa Site'!I1477,"NULL")</f>
        <v>60</v>
      </c>
      <c r="G1477" s="30" t="n">
        <f aca="false">IF('Boletins Nuppa Site'!J1477&lt;&gt;0,'Boletins Nuppa Site'!J1477,"NULL")</f>
        <v>54</v>
      </c>
      <c r="H1477" s="30" t="n">
        <f aca="false">IF('Boletins Nuppa Site'!K1477&lt;&gt;0,'Boletins Nuppa Site'!K1477,"NULL")</f>
        <v>54</v>
      </c>
      <c r="I1477" s="0" t="str">
        <f aca="false">"INSERT INTO COTACAO (cot_id, cot_blt_id, cot_pap_id, cot_prc_comum, cot_prc_min, cot_prc_max, cot_prc_med, cot_prc_mediana) VALUES ("&amp;A1477&amp;", "&amp;B1477&amp;", "&amp;C1477&amp;", "&amp;D1477&amp;", "&amp;E1477&amp;", "&amp;F1477&amp;", "&amp;G1477&amp;", "&amp;H1477&amp;");"</f>
        <v>INSERT INTO COTACAO (cot_id, cot_blt_id, cot_pap_id, cot_prc_comum, cot_prc_min, cot_prc_max, cot_prc_med, cot_prc_mediana) VALUES (1476, 75, 6, 48, NULL, 60, 54, 54);</v>
      </c>
      <c r="J1477" s="0" t="str">
        <f aca="false">"UPDATE COTACAO SET cot_id = "&amp;A1477&amp;", cot_blt_id = "&amp;B1477&amp;", cot_pap_id = "&amp;C1477&amp;", cot_prc_comum = "&amp;D1477&amp;", cot_prc_min = "&amp;E1477&amp;", cot_prc_max = "&amp;F1477&amp;", cot_prc_med = "&amp;G1477&amp;", cot_prc_mediana = "&amp;H1477&amp;" WHERE cot_id = "&amp;A1477&amp;";"</f>
        <v>UPDATE COTACAO SET cot_id = 1476, cot_blt_id = 75, cot_pap_id = 6, cot_prc_comum = 48, cot_prc_min = NULL, cot_prc_max = 60, cot_prc_med = 54, cot_prc_mediana = 54 WHERE cot_id = 1476;</v>
      </c>
    </row>
    <row r="1478" customFormat="false" ht="14.25" hidden="false" customHeight="false" outlineLevel="0" collapsed="false">
      <c r="A1478" s="0" t="n">
        <v>1477</v>
      </c>
      <c r="B1478" s="0" t="n">
        <f aca="false">IF('Boletins Nuppa Site'!A1478&lt;&gt;0,'Boletins Nuppa Site'!A1478,"NULL")</f>
        <v>75</v>
      </c>
      <c r="C1478" s="0" t="n">
        <v>7</v>
      </c>
      <c r="D1478" s="31" t="n">
        <f aca="false">IF('Boletins Nuppa Site'!G1478&lt;&gt;0,'Boletins Nuppa Site'!G1478,"NULL")</f>
        <v>60</v>
      </c>
      <c r="E1478" s="30" t="str">
        <f aca="false">IF('Boletins Nuppa Site'!H1478&lt;&gt;0,'Boletins Nuppa Site'!H1478,"NULL")</f>
        <v>NULL</v>
      </c>
      <c r="F1478" s="30" t="n">
        <f aca="false">IF('Boletins Nuppa Site'!I1478&lt;&gt;0,'Boletins Nuppa Site'!I1478,"NULL")</f>
        <v>72</v>
      </c>
      <c r="G1478" s="30" t="n">
        <f aca="false">IF('Boletins Nuppa Site'!J1478&lt;&gt;0,'Boletins Nuppa Site'!J1478,"NULL")</f>
        <v>66</v>
      </c>
      <c r="H1478" s="30" t="n">
        <f aca="false">IF('Boletins Nuppa Site'!K1478&lt;&gt;0,'Boletins Nuppa Site'!K1478,"NULL")</f>
        <v>66</v>
      </c>
      <c r="I1478" s="0" t="str">
        <f aca="false">"INSERT INTO COTACAO (cot_id, cot_blt_id, cot_pap_id, cot_prc_comum, cot_prc_min, cot_prc_max, cot_prc_med, cot_prc_mediana) VALUES ("&amp;A1478&amp;", "&amp;B1478&amp;", "&amp;C1478&amp;", "&amp;D1478&amp;", "&amp;E1478&amp;", "&amp;F1478&amp;", "&amp;G1478&amp;", "&amp;H1478&amp;");"</f>
        <v>INSERT INTO COTACAO (cot_id, cot_blt_id, cot_pap_id, cot_prc_comum, cot_prc_min, cot_prc_max, cot_prc_med, cot_prc_mediana) VALUES (1477, 75, 7, 60, NULL, 72, 66, 66);</v>
      </c>
      <c r="J1478" s="0" t="str">
        <f aca="false">"UPDATE COTACAO SET cot_id = "&amp;A1478&amp;", cot_blt_id = "&amp;B1478&amp;", cot_pap_id = "&amp;C1478&amp;", cot_prc_comum = "&amp;D1478&amp;", cot_prc_min = "&amp;E1478&amp;", cot_prc_max = "&amp;F1478&amp;", cot_prc_med = "&amp;G1478&amp;", cot_prc_mediana = "&amp;H1478&amp;" WHERE cot_id = "&amp;A1478&amp;";"</f>
        <v>UPDATE COTACAO SET cot_id = 1477, cot_blt_id = 75, cot_pap_id = 7, cot_prc_comum = 60, cot_prc_min = NULL, cot_prc_max = 72, cot_prc_med = 66, cot_prc_mediana = 66 WHERE cot_id = 1477;</v>
      </c>
    </row>
    <row r="1479" customFormat="false" ht="14.25" hidden="false" customHeight="false" outlineLevel="0" collapsed="false">
      <c r="A1479" s="0" t="n">
        <v>1478</v>
      </c>
      <c r="B1479" s="0" t="n">
        <f aca="false">IF('Boletins Nuppa Site'!A1479&lt;&gt;0,'Boletins Nuppa Site'!A1479,"NULL")</f>
        <v>75</v>
      </c>
      <c r="C1479" s="0" t="n">
        <v>8</v>
      </c>
      <c r="D1479" s="31" t="n">
        <f aca="false">IF('Boletins Nuppa Site'!G1479&lt;&gt;0,'Boletins Nuppa Site'!G1479,"NULL")</f>
        <v>72</v>
      </c>
      <c r="E1479" s="30" t="n">
        <f aca="false">IF('Boletins Nuppa Site'!H1479&lt;&gt;0,'Boletins Nuppa Site'!H1479,"NULL")</f>
        <v>72</v>
      </c>
      <c r="F1479" s="30" t="n">
        <f aca="false">IF('Boletins Nuppa Site'!I1479&lt;&gt;0,'Boletins Nuppa Site'!I1479,"NULL")</f>
        <v>72</v>
      </c>
      <c r="G1479" s="30" t="n">
        <f aca="false">IF('Boletins Nuppa Site'!J1479&lt;&gt;0,'Boletins Nuppa Site'!J1479,"NULL")</f>
        <v>72</v>
      </c>
      <c r="H1479" s="30" t="n">
        <f aca="false">IF('Boletins Nuppa Site'!K1479&lt;&gt;0,'Boletins Nuppa Site'!K1479,"NULL")</f>
        <v>72</v>
      </c>
      <c r="I1479" s="0" t="str">
        <f aca="false">"INSERT INTO COTACAO (cot_id, cot_blt_id, cot_pap_id, cot_prc_comum, cot_prc_min, cot_prc_max, cot_prc_med, cot_prc_mediana) VALUES ("&amp;A1479&amp;", "&amp;B1479&amp;", "&amp;C1479&amp;", "&amp;D1479&amp;", "&amp;E1479&amp;", "&amp;F1479&amp;", "&amp;G1479&amp;", "&amp;H1479&amp;");"</f>
        <v>INSERT INTO COTACAO (cot_id, cot_blt_id, cot_pap_id, cot_prc_comum, cot_prc_min, cot_prc_max, cot_prc_med, cot_prc_mediana) VALUES (1478, 75, 8, 72, 72, 72, 72, 72);</v>
      </c>
      <c r="J1479" s="0" t="str">
        <f aca="false">"UPDATE COTACAO SET cot_id = "&amp;A1479&amp;", cot_blt_id = "&amp;B1479&amp;", cot_pap_id = "&amp;C1479&amp;", cot_prc_comum = "&amp;D1479&amp;", cot_prc_min = "&amp;E1479&amp;", cot_prc_max = "&amp;F1479&amp;", cot_prc_med = "&amp;G1479&amp;", cot_prc_mediana = "&amp;H1479&amp;" WHERE cot_id = "&amp;A1479&amp;";"</f>
        <v>UPDATE COTACAO SET cot_id = 1478, cot_blt_id = 75, cot_pap_id = 8, cot_prc_comum = 72, cot_prc_min = 72, cot_prc_max = 72, cot_prc_med = 72, cot_prc_mediana = 72 WHERE cot_id = 1478;</v>
      </c>
    </row>
    <row r="1480" customFormat="false" ht="14.25" hidden="false" customHeight="false" outlineLevel="0" collapsed="false">
      <c r="A1480" s="0" t="n">
        <v>1479</v>
      </c>
      <c r="B1480" s="0" t="n">
        <f aca="false">IF('Boletins Nuppa Site'!A1480&lt;&gt;0,'Boletins Nuppa Site'!A1480,"NULL")</f>
        <v>75</v>
      </c>
      <c r="C1480" s="0" t="n">
        <v>9</v>
      </c>
      <c r="D1480" s="31" t="n">
        <f aca="false">IF('Boletins Nuppa Site'!G1480&lt;&gt;0,'Boletins Nuppa Site'!G1480,"NULL")</f>
        <v>18</v>
      </c>
      <c r="E1480" s="30" t="n">
        <f aca="false">IF('Boletins Nuppa Site'!H1480&lt;&gt;0,'Boletins Nuppa Site'!H1480,"NULL")</f>
        <v>18</v>
      </c>
      <c r="F1480" s="30" t="n">
        <f aca="false">IF('Boletins Nuppa Site'!I1480&lt;&gt;0,'Boletins Nuppa Site'!I1480,"NULL")</f>
        <v>25</v>
      </c>
      <c r="G1480" s="30" t="str">
        <f aca="false">IF('Boletins Nuppa Site'!J1480&lt;&gt;0,'Boletins Nuppa Site'!J1480,"NULL")</f>
        <v>20.33</v>
      </c>
      <c r="H1480" s="30" t="n">
        <f aca="false">IF('Boletins Nuppa Site'!K1480&lt;&gt;0,'Boletins Nuppa Site'!K1480,"NULL")</f>
        <v>18</v>
      </c>
      <c r="I1480" s="0" t="str">
        <f aca="false">"INSERT INTO COTACAO (cot_id, cot_blt_id, cot_pap_id, cot_prc_comum, cot_prc_min, cot_prc_max, cot_prc_med, cot_prc_mediana) VALUES ("&amp;A1480&amp;", "&amp;B1480&amp;", "&amp;C1480&amp;", "&amp;D1480&amp;", "&amp;E1480&amp;", "&amp;F1480&amp;", "&amp;G1480&amp;", "&amp;H1480&amp;");"</f>
        <v>INSERT INTO COTACAO (cot_id, cot_blt_id, cot_pap_id, cot_prc_comum, cot_prc_min, cot_prc_max, cot_prc_med, cot_prc_mediana) VALUES (1479, 75, 9, 18, 18, 25, 20.33, 18);</v>
      </c>
      <c r="J1480" s="0" t="str">
        <f aca="false">"UPDATE COTACAO SET cot_id = "&amp;A1480&amp;", cot_blt_id = "&amp;B1480&amp;", cot_pap_id = "&amp;C1480&amp;", cot_prc_comum = "&amp;D1480&amp;", cot_prc_min = "&amp;E1480&amp;", cot_prc_max = "&amp;F1480&amp;", cot_prc_med = "&amp;G1480&amp;", cot_prc_mediana = "&amp;H1480&amp;" WHERE cot_id = "&amp;A1480&amp;";"</f>
        <v>UPDATE COTACAO SET cot_id = 1479, cot_blt_id = 75, cot_pap_id = 9, cot_prc_comum = 18, cot_prc_min = 18, cot_prc_max = 25, cot_prc_med = 20.33, cot_prc_mediana = 18 WHERE cot_id = 1479;</v>
      </c>
    </row>
    <row r="1481" customFormat="false" ht="14.25" hidden="false" customHeight="false" outlineLevel="0" collapsed="false">
      <c r="A1481" s="0" t="n">
        <v>1480</v>
      </c>
      <c r="B1481" s="0" t="n">
        <f aca="false">IF('Boletins Nuppa Site'!A1481&lt;&gt;0,'Boletins Nuppa Site'!A1481,"NULL")</f>
        <v>75</v>
      </c>
      <c r="C1481" s="0" t="n">
        <v>10</v>
      </c>
      <c r="D1481" s="31" t="n">
        <f aca="false">IF('Boletins Nuppa Site'!G1481&lt;&gt;0,'Boletins Nuppa Site'!G1481,"NULL")</f>
        <v>72</v>
      </c>
      <c r="E1481" s="30" t="n">
        <f aca="false">IF('Boletins Nuppa Site'!H1481&lt;&gt;0,'Boletins Nuppa Site'!H1481,"NULL")</f>
        <v>72</v>
      </c>
      <c r="F1481" s="30" t="n">
        <f aca="false">IF('Boletins Nuppa Site'!I1481&lt;&gt;0,'Boletins Nuppa Site'!I1481,"NULL")</f>
        <v>72</v>
      </c>
      <c r="G1481" s="30" t="n">
        <f aca="false">IF('Boletins Nuppa Site'!J1481&lt;&gt;0,'Boletins Nuppa Site'!J1481,"NULL")</f>
        <v>72</v>
      </c>
      <c r="H1481" s="30" t="n">
        <f aca="false">IF('Boletins Nuppa Site'!K1481&lt;&gt;0,'Boletins Nuppa Site'!K1481,"NULL")</f>
        <v>72</v>
      </c>
      <c r="I1481" s="0" t="str">
        <f aca="false">"INSERT INTO COTACAO (cot_id, cot_blt_id, cot_pap_id, cot_prc_comum, cot_prc_min, cot_prc_max, cot_prc_med, cot_prc_mediana) VALUES ("&amp;A1481&amp;", "&amp;B1481&amp;", "&amp;C1481&amp;", "&amp;D1481&amp;", "&amp;E1481&amp;", "&amp;F1481&amp;", "&amp;G1481&amp;", "&amp;H1481&amp;");"</f>
        <v>INSERT INTO COTACAO (cot_id, cot_blt_id, cot_pap_id, cot_prc_comum, cot_prc_min, cot_prc_max, cot_prc_med, cot_prc_mediana) VALUES (1480, 75, 10, 72, 72, 72, 72, 72);</v>
      </c>
      <c r="J1481" s="0" t="str">
        <f aca="false">"UPDATE COTACAO SET cot_id = "&amp;A1481&amp;", cot_blt_id = "&amp;B1481&amp;", cot_pap_id = "&amp;C1481&amp;", cot_prc_comum = "&amp;D1481&amp;", cot_prc_min = "&amp;E1481&amp;", cot_prc_max = "&amp;F1481&amp;", cot_prc_med = "&amp;G1481&amp;", cot_prc_mediana = "&amp;H1481&amp;" WHERE cot_id = "&amp;A1481&amp;";"</f>
        <v>UPDATE COTACAO SET cot_id = 1480, cot_blt_id = 75, cot_pap_id = 10, cot_prc_comum = 72, cot_prc_min = 72, cot_prc_max = 72, cot_prc_med = 72, cot_prc_mediana = 72 WHERE cot_id = 1480;</v>
      </c>
    </row>
    <row r="1482" customFormat="false" ht="14.25" hidden="false" customHeight="false" outlineLevel="0" collapsed="false">
      <c r="A1482" s="0" t="n">
        <v>1481</v>
      </c>
      <c r="B1482" s="0" t="n">
        <f aca="false">IF('Boletins Nuppa Site'!A1482&lt;&gt;0,'Boletins Nuppa Site'!A1482,"NULL")</f>
        <v>75</v>
      </c>
      <c r="C1482" s="0" t="n">
        <v>11</v>
      </c>
      <c r="D1482" s="31" t="n">
        <f aca="false">IF('Boletins Nuppa Site'!G1482&lt;&gt;0,'Boletins Nuppa Site'!G1482,"NULL")</f>
        <v>18</v>
      </c>
      <c r="E1482" s="30" t="n">
        <f aca="false">IF('Boletins Nuppa Site'!H1482&lt;&gt;0,'Boletins Nuppa Site'!H1482,"NULL")</f>
        <v>18</v>
      </c>
      <c r="F1482" s="30" t="n">
        <f aca="false">IF('Boletins Nuppa Site'!I1482&lt;&gt;0,'Boletins Nuppa Site'!I1482,"NULL")</f>
        <v>20</v>
      </c>
      <c r="G1482" s="30" t="str">
        <f aca="false">IF('Boletins Nuppa Site'!J1482&lt;&gt;0,'Boletins Nuppa Site'!J1482,"NULL")</f>
        <v>18.67</v>
      </c>
      <c r="H1482" s="30" t="n">
        <f aca="false">IF('Boletins Nuppa Site'!K1482&lt;&gt;0,'Boletins Nuppa Site'!K1482,"NULL")</f>
        <v>18</v>
      </c>
      <c r="I1482" s="0" t="str">
        <f aca="false">"INSERT INTO COTACAO (cot_id, cot_blt_id, cot_pap_id, cot_prc_comum, cot_prc_min, cot_prc_max, cot_prc_med, cot_prc_mediana) VALUES ("&amp;A1482&amp;", "&amp;B1482&amp;", "&amp;C1482&amp;", "&amp;D1482&amp;", "&amp;E1482&amp;", "&amp;F1482&amp;", "&amp;G1482&amp;", "&amp;H1482&amp;");"</f>
        <v>INSERT INTO COTACAO (cot_id, cot_blt_id, cot_pap_id, cot_prc_comum, cot_prc_min, cot_prc_max, cot_prc_med, cot_prc_mediana) VALUES (1481, 75, 11, 18, 18, 20, 18.67, 18);</v>
      </c>
      <c r="J1482" s="0" t="str">
        <f aca="false">"UPDATE COTACAO SET cot_id = "&amp;A1482&amp;", cot_blt_id = "&amp;B1482&amp;", cot_pap_id = "&amp;C1482&amp;", cot_prc_comum = "&amp;D1482&amp;", cot_prc_min = "&amp;E1482&amp;", cot_prc_max = "&amp;F1482&amp;", cot_prc_med = "&amp;G1482&amp;", cot_prc_mediana = "&amp;H1482&amp;" WHERE cot_id = "&amp;A1482&amp;";"</f>
        <v>UPDATE COTACAO SET cot_id = 1481, cot_blt_id = 75, cot_pap_id = 11, cot_prc_comum = 18, cot_prc_min = 18, cot_prc_max = 20, cot_prc_med = 18.67, cot_prc_mediana = 18 WHERE cot_id = 1481;</v>
      </c>
    </row>
    <row r="1483" customFormat="false" ht="14.25" hidden="false" customHeight="false" outlineLevel="0" collapsed="false">
      <c r="A1483" s="0" t="n">
        <v>1482</v>
      </c>
      <c r="B1483" s="0" t="n">
        <f aca="false">IF('Boletins Nuppa Site'!A1483&lt;&gt;0,'Boletins Nuppa Site'!A1483,"NULL")</f>
        <v>75</v>
      </c>
      <c r="C1483" s="0" t="n">
        <v>12</v>
      </c>
      <c r="D1483" s="31" t="n">
        <f aca="false">IF('Boletins Nuppa Site'!G1483&lt;&gt;0,'Boletins Nuppa Site'!G1483,"NULL")</f>
        <v>48</v>
      </c>
      <c r="E1483" s="30" t="n">
        <f aca="false">IF('Boletins Nuppa Site'!H1483&lt;&gt;0,'Boletins Nuppa Site'!H1483,"NULL")</f>
        <v>48</v>
      </c>
      <c r="F1483" s="30" t="n">
        <f aca="false">IF('Boletins Nuppa Site'!I1483&lt;&gt;0,'Boletins Nuppa Site'!I1483,"NULL")</f>
        <v>72</v>
      </c>
      <c r="G1483" s="30" t="n">
        <f aca="false">IF('Boletins Nuppa Site'!J1483&lt;&gt;0,'Boletins Nuppa Site'!J1483,"NULL")</f>
        <v>60</v>
      </c>
      <c r="H1483" s="30" t="n">
        <f aca="false">IF('Boletins Nuppa Site'!K1483&lt;&gt;0,'Boletins Nuppa Site'!K1483,"NULL")</f>
        <v>60</v>
      </c>
      <c r="I1483" s="0" t="str">
        <f aca="false">"INSERT INTO COTACAO (cot_id, cot_blt_id, cot_pap_id, cot_prc_comum, cot_prc_min, cot_prc_max, cot_prc_med, cot_prc_mediana) VALUES ("&amp;A1483&amp;", "&amp;B1483&amp;", "&amp;C1483&amp;", "&amp;D1483&amp;", "&amp;E1483&amp;", "&amp;F1483&amp;", "&amp;G1483&amp;", "&amp;H1483&amp;");"</f>
        <v>INSERT INTO COTACAO (cot_id, cot_blt_id, cot_pap_id, cot_prc_comum, cot_prc_min, cot_prc_max, cot_prc_med, cot_prc_mediana) VALUES (1482, 75, 12, 48, 48, 72, 60, 60);</v>
      </c>
      <c r="J1483" s="0" t="str">
        <f aca="false">"UPDATE COTACAO SET cot_id = "&amp;A1483&amp;", cot_blt_id = "&amp;B1483&amp;", cot_pap_id = "&amp;C1483&amp;", cot_prc_comum = "&amp;D1483&amp;", cot_prc_min = "&amp;E1483&amp;", cot_prc_max = "&amp;F1483&amp;", cot_prc_med = "&amp;G1483&amp;", cot_prc_mediana = "&amp;H1483&amp;" WHERE cot_id = "&amp;A1483&amp;";"</f>
        <v>UPDATE COTACAO SET cot_id = 1482, cot_blt_id = 75, cot_pap_id = 12, cot_prc_comum = 48, cot_prc_min = 48, cot_prc_max = 72, cot_prc_med = 60, cot_prc_mediana = 60 WHERE cot_id = 1482;</v>
      </c>
    </row>
    <row r="1484" customFormat="false" ht="14.25" hidden="false" customHeight="false" outlineLevel="0" collapsed="false">
      <c r="A1484" s="0" t="n">
        <v>1483</v>
      </c>
      <c r="B1484" s="0" t="n">
        <f aca="false">IF('Boletins Nuppa Site'!A1484&lt;&gt;0,'Boletins Nuppa Site'!A1484,"NULL")</f>
        <v>75</v>
      </c>
      <c r="C1484" s="0" t="n">
        <v>13</v>
      </c>
      <c r="D1484" s="31" t="n">
        <f aca="false">IF('Boletins Nuppa Site'!G1484&lt;&gt;0,'Boletins Nuppa Site'!G1484,"NULL")</f>
        <v>48</v>
      </c>
      <c r="E1484" s="30" t="n">
        <f aca="false">IF('Boletins Nuppa Site'!H1484&lt;&gt;0,'Boletins Nuppa Site'!H1484,"NULL")</f>
        <v>40</v>
      </c>
      <c r="F1484" s="30" t="n">
        <f aca="false">IF('Boletins Nuppa Site'!I1484&lt;&gt;0,'Boletins Nuppa Site'!I1484,"NULL")</f>
        <v>60</v>
      </c>
      <c r="G1484" s="30" t="n">
        <f aca="false">IF('Boletins Nuppa Site'!J1484&lt;&gt;0,'Boletins Nuppa Site'!J1484,"NULL")</f>
        <v>52</v>
      </c>
      <c r="H1484" s="30" t="n">
        <f aca="false">IF('Boletins Nuppa Site'!K1484&lt;&gt;0,'Boletins Nuppa Site'!K1484,"NULL")</f>
        <v>50</v>
      </c>
      <c r="I1484" s="0" t="str">
        <f aca="false">"INSERT INTO COTACAO (cot_id, cot_blt_id, cot_pap_id, cot_prc_comum, cot_prc_min, cot_prc_max, cot_prc_med, cot_prc_mediana) VALUES ("&amp;A1484&amp;", "&amp;B1484&amp;", "&amp;C1484&amp;", "&amp;D1484&amp;", "&amp;E1484&amp;", "&amp;F1484&amp;", "&amp;G1484&amp;", "&amp;H1484&amp;");"</f>
        <v>INSERT INTO COTACAO (cot_id, cot_blt_id, cot_pap_id, cot_prc_comum, cot_prc_min, cot_prc_max, cot_prc_med, cot_prc_mediana) VALUES (1483, 75, 13, 48, 40, 60, 52, 50);</v>
      </c>
      <c r="J1484" s="0" t="str">
        <f aca="false">"UPDATE COTACAO SET cot_id = "&amp;A1484&amp;", cot_blt_id = "&amp;B1484&amp;", cot_pap_id = "&amp;C1484&amp;", cot_prc_comum = "&amp;D1484&amp;", cot_prc_min = "&amp;E1484&amp;", cot_prc_max = "&amp;F1484&amp;", cot_prc_med = "&amp;G1484&amp;", cot_prc_mediana = "&amp;H1484&amp;" WHERE cot_id = "&amp;A1484&amp;";"</f>
        <v>UPDATE COTACAO SET cot_id = 1483, cot_blt_id = 75, cot_pap_id = 13, cot_prc_comum = 48, cot_prc_min = 40, cot_prc_max = 60, cot_prc_med = 52, cot_prc_mediana = 50 WHERE cot_id = 1483;</v>
      </c>
    </row>
    <row r="1485" customFormat="false" ht="14.25" hidden="false" customHeight="false" outlineLevel="0" collapsed="false">
      <c r="A1485" s="0" t="n">
        <v>1484</v>
      </c>
      <c r="B1485" s="0" t="n">
        <f aca="false">IF('Boletins Nuppa Site'!A1485&lt;&gt;0,'Boletins Nuppa Site'!A1485,"NULL")</f>
        <v>75</v>
      </c>
      <c r="C1485" s="0" t="n">
        <v>14</v>
      </c>
      <c r="D1485" s="31" t="n">
        <f aca="false">IF('Boletins Nuppa Site'!G1485&lt;&gt;0,'Boletins Nuppa Site'!G1485,"NULL")</f>
        <v>48</v>
      </c>
      <c r="E1485" s="30" t="str">
        <f aca="false">IF('Boletins Nuppa Site'!H1485&lt;&gt;0,'Boletins Nuppa Site'!H1485,"NULL")</f>
        <v>NULL</v>
      </c>
      <c r="F1485" s="30" t="n">
        <f aca="false">IF('Boletins Nuppa Site'!I1485&lt;&gt;0,'Boletins Nuppa Site'!I1485,"NULL")</f>
        <v>60</v>
      </c>
      <c r="G1485" s="30" t="n">
        <f aca="false">IF('Boletins Nuppa Site'!J1485&lt;&gt;0,'Boletins Nuppa Site'!J1485,"NULL")</f>
        <v>50</v>
      </c>
      <c r="H1485" s="30" t="str">
        <f aca="false">IF('Boletins Nuppa Site'!K1485&lt;&gt;0,'Boletins Nuppa Site'!K1485,"NULL")</f>
        <v>NULL</v>
      </c>
      <c r="I1485" s="0" t="str">
        <f aca="false">"INSERT INTO COTACAO (cot_id, cot_blt_id, cot_pap_id, cot_prc_comum, cot_prc_min, cot_prc_max, cot_prc_med, cot_prc_mediana) VALUES ("&amp;A1485&amp;", "&amp;B1485&amp;", "&amp;C1485&amp;", "&amp;D1485&amp;", "&amp;E1485&amp;", "&amp;F1485&amp;", "&amp;G1485&amp;", "&amp;H1485&amp;");"</f>
        <v>INSERT INTO COTACAO (cot_id, cot_blt_id, cot_pap_id, cot_prc_comum, cot_prc_min, cot_prc_max, cot_prc_med, cot_prc_mediana) VALUES (1484, 75, 14, 48, NULL, 60, 50, NULL);</v>
      </c>
      <c r="J1485" s="0" t="str">
        <f aca="false">"UPDATE COTACAO SET cot_id = "&amp;A1485&amp;", cot_blt_id = "&amp;B1485&amp;", cot_pap_id = "&amp;C1485&amp;", cot_prc_comum = "&amp;D1485&amp;", cot_prc_min = "&amp;E1485&amp;", cot_prc_max = "&amp;F1485&amp;", cot_prc_med = "&amp;G1485&amp;", cot_prc_mediana = "&amp;H1485&amp;" WHERE cot_id = "&amp;A1485&amp;";"</f>
        <v>UPDATE COTACAO SET cot_id = 1484, cot_blt_id = 75, cot_pap_id = 14, cot_prc_comum = 48, cot_prc_min = NULL, cot_prc_max = 60, cot_prc_med = 50, cot_prc_mediana = NULL WHERE cot_id = 1484;</v>
      </c>
    </row>
    <row r="1486" customFormat="false" ht="14.25" hidden="false" customHeight="false" outlineLevel="0" collapsed="false">
      <c r="A1486" s="0" t="n">
        <v>1485</v>
      </c>
      <c r="B1486" s="0" t="n">
        <f aca="false">IF('Boletins Nuppa Site'!A1486&lt;&gt;0,'Boletins Nuppa Site'!A1486,"NULL")</f>
        <v>75</v>
      </c>
      <c r="C1486" s="0" t="n">
        <v>15</v>
      </c>
      <c r="D1486" s="31" t="n">
        <f aca="false">IF('Boletins Nuppa Site'!G1486&lt;&gt;0,'Boletins Nuppa Site'!G1486,"NULL")</f>
        <v>30</v>
      </c>
      <c r="E1486" s="30" t="n">
        <f aca="false">IF('Boletins Nuppa Site'!H1486&lt;&gt;0,'Boletins Nuppa Site'!H1486,"NULL")</f>
        <v>24</v>
      </c>
      <c r="F1486" s="30" t="n">
        <f aca="false">IF('Boletins Nuppa Site'!I1486&lt;&gt;0,'Boletins Nuppa Site'!I1486,"NULL")</f>
        <v>30</v>
      </c>
      <c r="G1486" s="30" t="n">
        <f aca="false">IF('Boletins Nuppa Site'!J1486&lt;&gt;0,'Boletins Nuppa Site'!J1486,"NULL")</f>
        <v>28</v>
      </c>
      <c r="H1486" s="30" t="n">
        <f aca="false">IF('Boletins Nuppa Site'!K1486&lt;&gt;0,'Boletins Nuppa Site'!K1486,"NULL")</f>
        <v>30</v>
      </c>
      <c r="I1486" s="0" t="str">
        <f aca="false">"INSERT INTO COTACAO (cot_id, cot_blt_id, cot_pap_id, cot_prc_comum, cot_prc_min, cot_prc_max, cot_prc_med, cot_prc_mediana) VALUES ("&amp;A1486&amp;", "&amp;B1486&amp;", "&amp;C1486&amp;", "&amp;D1486&amp;", "&amp;E1486&amp;", "&amp;F1486&amp;", "&amp;G1486&amp;", "&amp;H1486&amp;");"</f>
        <v>INSERT INTO COTACAO (cot_id, cot_blt_id, cot_pap_id, cot_prc_comum, cot_prc_min, cot_prc_max, cot_prc_med, cot_prc_mediana) VALUES (1485, 75, 15, 30, 24, 30, 28, 30);</v>
      </c>
      <c r="J1486" s="0" t="str">
        <f aca="false">"UPDATE COTACAO SET cot_id = "&amp;A1486&amp;", cot_blt_id = "&amp;B1486&amp;", cot_pap_id = "&amp;C1486&amp;", cot_prc_comum = "&amp;D1486&amp;", cot_prc_min = "&amp;E1486&amp;", cot_prc_max = "&amp;F1486&amp;", cot_prc_med = "&amp;G1486&amp;", cot_prc_mediana = "&amp;H1486&amp;" WHERE cot_id = "&amp;A1486&amp;";"</f>
        <v>UPDATE COTACAO SET cot_id = 1485, cot_blt_id = 75, cot_pap_id = 15, cot_prc_comum = 30, cot_prc_min = 24, cot_prc_max = 30, cot_prc_med = 28, cot_prc_mediana = 30 WHERE cot_id = 1485;</v>
      </c>
    </row>
    <row r="1487" customFormat="false" ht="14.25" hidden="false" customHeight="false" outlineLevel="0" collapsed="false">
      <c r="A1487" s="0" t="n">
        <v>1486</v>
      </c>
      <c r="B1487" s="0" t="n">
        <f aca="false">IF('Boletins Nuppa Site'!A1487&lt;&gt;0,'Boletins Nuppa Site'!A1487,"NULL")</f>
        <v>75</v>
      </c>
      <c r="C1487" s="0" t="n">
        <v>16</v>
      </c>
      <c r="D1487" s="31" t="n">
        <f aca="false">IF('Boletins Nuppa Site'!G1487&lt;&gt;0,'Boletins Nuppa Site'!G1487,"NULL")</f>
        <v>48</v>
      </c>
      <c r="E1487" s="30" t="str">
        <f aca="false">IF('Boletins Nuppa Site'!H1487&lt;&gt;0,'Boletins Nuppa Site'!H1487,"NULL")</f>
        <v>NULL</v>
      </c>
      <c r="F1487" s="30" t="n">
        <f aca="false">IF('Boletins Nuppa Site'!I1487&lt;&gt;0,'Boletins Nuppa Site'!I1487,"NULL")</f>
        <v>60</v>
      </c>
      <c r="G1487" s="30" t="n">
        <f aca="false">IF('Boletins Nuppa Site'!J1487&lt;&gt;0,'Boletins Nuppa Site'!J1487,"NULL")</f>
        <v>54</v>
      </c>
      <c r="H1487" s="30" t="n">
        <f aca="false">IF('Boletins Nuppa Site'!K1487&lt;&gt;0,'Boletins Nuppa Site'!K1487,"NULL")</f>
        <v>54</v>
      </c>
      <c r="I1487" s="0" t="str">
        <f aca="false">"INSERT INTO COTACAO (cot_id, cot_blt_id, cot_pap_id, cot_prc_comum, cot_prc_min, cot_prc_max, cot_prc_med, cot_prc_mediana) VALUES ("&amp;A1487&amp;", "&amp;B1487&amp;", "&amp;C1487&amp;", "&amp;D1487&amp;", "&amp;E1487&amp;", "&amp;F1487&amp;", "&amp;G1487&amp;", "&amp;H1487&amp;");"</f>
        <v>INSERT INTO COTACAO (cot_id, cot_blt_id, cot_pap_id, cot_prc_comum, cot_prc_min, cot_prc_max, cot_prc_med, cot_prc_mediana) VALUES (1486, 75, 16, 48, NULL, 60, 54, 54);</v>
      </c>
      <c r="J1487" s="0" t="str">
        <f aca="false">"UPDATE COTACAO SET cot_id = "&amp;A1487&amp;", cot_blt_id = "&amp;B1487&amp;", cot_pap_id = "&amp;C1487&amp;", cot_prc_comum = "&amp;D1487&amp;", cot_prc_min = "&amp;E1487&amp;", cot_prc_max = "&amp;F1487&amp;", cot_prc_med = "&amp;G1487&amp;", cot_prc_mediana = "&amp;H1487&amp;" WHERE cot_id = "&amp;A1487&amp;";"</f>
        <v>UPDATE COTACAO SET cot_id = 1486, cot_blt_id = 75, cot_pap_id = 16, cot_prc_comum = 48, cot_prc_min = NULL, cot_prc_max = 60, cot_prc_med = 54, cot_prc_mediana = 54 WHERE cot_id = 1486;</v>
      </c>
    </row>
    <row r="1488" customFormat="false" ht="14.25" hidden="false" customHeight="false" outlineLevel="0" collapsed="false">
      <c r="A1488" s="0" t="n">
        <v>1487</v>
      </c>
      <c r="B1488" s="0" t="n">
        <f aca="false">IF('Boletins Nuppa Site'!A1488&lt;&gt;0,'Boletins Nuppa Site'!A1488,"NULL")</f>
        <v>75</v>
      </c>
      <c r="C1488" s="0" t="n">
        <v>17</v>
      </c>
      <c r="D1488" s="31" t="n">
        <f aca="false">IF('Boletins Nuppa Site'!G1488&lt;&gt;0,'Boletins Nuppa Site'!G1488,"NULL")</f>
        <v>5</v>
      </c>
      <c r="E1488" s="30" t="n">
        <f aca="false">IF('Boletins Nuppa Site'!H1488&lt;&gt;0,'Boletins Nuppa Site'!H1488,"NULL")</f>
        <v>5</v>
      </c>
      <c r="F1488" s="30" t="n">
        <f aca="false">IF('Boletins Nuppa Site'!I1488&lt;&gt;0,'Boletins Nuppa Site'!I1488,"NULL")</f>
        <v>5</v>
      </c>
      <c r="G1488" s="30" t="n">
        <f aca="false">IF('Boletins Nuppa Site'!J1488&lt;&gt;0,'Boletins Nuppa Site'!J1488,"NULL")</f>
        <v>5</v>
      </c>
      <c r="H1488" s="30" t="n">
        <f aca="false">IF('Boletins Nuppa Site'!K1488&lt;&gt;0,'Boletins Nuppa Site'!K1488,"NULL")</f>
        <v>5</v>
      </c>
      <c r="I1488" s="0" t="str">
        <f aca="false">"INSERT INTO COTACAO (cot_id, cot_blt_id, cot_pap_id, cot_prc_comum, cot_prc_min, cot_prc_max, cot_prc_med, cot_prc_mediana) VALUES ("&amp;A1488&amp;", "&amp;B1488&amp;", "&amp;C1488&amp;", "&amp;D1488&amp;", "&amp;E1488&amp;", "&amp;F1488&amp;", "&amp;G1488&amp;", "&amp;H1488&amp;");"</f>
        <v>INSERT INTO COTACAO (cot_id, cot_blt_id, cot_pap_id, cot_prc_comum, cot_prc_min, cot_prc_max, cot_prc_med, cot_prc_mediana) VALUES (1487, 75, 17, 5, 5, 5, 5, 5);</v>
      </c>
      <c r="J1488" s="0" t="str">
        <f aca="false">"UPDATE COTACAO SET cot_id = "&amp;A1488&amp;", cot_blt_id = "&amp;B1488&amp;", cot_pap_id = "&amp;C1488&amp;", cot_prc_comum = "&amp;D1488&amp;", cot_prc_min = "&amp;E1488&amp;", cot_prc_max = "&amp;F1488&amp;", cot_prc_med = "&amp;G1488&amp;", cot_prc_mediana = "&amp;H1488&amp;" WHERE cot_id = "&amp;A1488&amp;";"</f>
        <v>UPDATE COTACAO SET cot_id = 1487, cot_blt_id = 75, cot_pap_id = 17, cot_prc_comum = 5, cot_prc_min = 5, cot_prc_max = 5, cot_prc_med = 5, cot_prc_mediana = 5 WHERE cot_id = 1487;</v>
      </c>
    </row>
    <row r="1489" customFormat="false" ht="14.25" hidden="false" customHeight="false" outlineLevel="0" collapsed="false">
      <c r="A1489" s="0" t="n">
        <v>1488</v>
      </c>
      <c r="B1489" s="0" t="n">
        <f aca="false">IF('Boletins Nuppa Site'!A1489&lt;&gt;0,'Boletins Nuppa Site'!A1489,"NULL")</f>
        <v>75</v>
      </c>
      <c r="C1489" s="0" t="n">
        <v>18</v>
      </c>
      <c r="D1489" s="31" t="n">
        <f aca="false">IF('Boletins Nuppa Site'!G1489&lt;&gt;0,'Boletins Nuppa Site'!G1489,"NULL")</f>
        <v>15</v>
      </c>
      <c r="E1489" s="30" t="n">
        <f aca="false">IF('Boletins Nuppa Site'!H1489&lt;&gt;0,'Boletins Nuppa Site'!H1489,"NULL")</f>
        <v>12</v>
      </c>
      <c r="F1489" s="30" t="n">
        <f aca="false">IF('Boletins Nuppa Site'!I1489&lt;&gt;0,'Boletins Nuppa Site'!I1489,"NULL")</f>
        <v>15</v>
      </c>
      <c r="G1489" s="30" t="n">
        <f aca="false">IF('Boletins Nuppa Site'!J1489&lt;&gt;0,'Boletins Nuppa Site'!J1489,"NULL")</f>
        <v>14</v>
      </c>
      <c r="H1489" s="30" t="n">
        <f aca="false">IF('Boletins Nuppa Site'!K1489&lt;&gt;0,'Boletins Nuppa Site'!K1489,"NULL")</f>
        <v>15</v>
      </c>
      <c r="I1489" s="0" t="str">
        <f aca="false">"INSERT INTO COTACAO (cot_id, cot_blt_id, cot_pap_id, cot_prc_comum, cot_prc_min, cot_prc_max, cot_prc_med, cot_prc_mediana) VALUES ("&amp;A1489&amp;", "&amp;B1489&amp;", "&amp;C1489&amp;", "&amp;D1489&amp;", "&amp;E1489&amp;", "&amp;F1489&amp;", "&amp;G1489&amp;", "&amp;H1489&amp;");"</f>
        <v>INSERT INTO COTACAO (cot_id, cot_blt_id, cot_pap_id, cot_prc_comum, cot_prc_min, cot_prc_max, cot_prc_med, cot_prc_mediana) VALUES (1488, 75, 18, 15, 12, 15, 14, 15);</v>
      </c>
      <c r="J1489" s="0" t="str">
        <f aca="false">"UPDATE COTACAO SET cot_id = "&amp;A1489&amp;", cot_blt_id = "&amp;B1489&amp;", cot_pap_id = "&amp;C1489&amp;", cot_prc_comum = "&amp;D1489&amp;", cot_prc_min = "&amp;E1489&amp;", cot_prc_max = "&amp;F1489&amp;", cot_prc_med = "&amp;G1489&amp;", cot_prc_mediana = "&amp;H1489&amp;" WHERE cot_id = "&amp;A1489&amp;";"</f>
        <v>UPDATE COTACAO SET cot_id = 1488, cot_blt_id = 75, cot_pap_id = 18, cot_prc_comum = 15, cot_prc_min = 12, cot_prc_max = 15, cot_prc_med = 14, cot_prc_mediana = 15 WHERE cot_id = 1488;</v>
      </c>
    </row>
    <row r="1490" customFormat="false" ht="14.25" hidden="false" customHeight="false" outlineLevel="0" collapsed="false">
      <c r="A1490" s="0" t="n">
        <v>1489</v>
      </c>
      <c r="B1490" s="0" t="n">
        <f aca="false">IF('Boletins Nuppa Site'!A1490&lt;&gt;0,'Boletins Nuppa Site'!A1490,"NULL")</f>
        <v>75</v>
      </c>
      <c r="C1490" s="0" t="n">
        <v>19</v>
      </c>
      <c r="D1490" s="31" t="n">
        <f aca="false">IF('Boletins Nuppa Site'!G1490&lt;&gt;0,'Boletins Nuppa Site'!G1490,"NULL")</f>
        <v>25</v>
      </c>
      <c r="E1490" s="30" t="n">
        <f aca="false">IF('Boletins Nuppa Site'!H1490&lt;&gt;0,'Boletins Nuppa Site'!H1490,"NULL")</f>
        <v>25</v>
      </c>
      <c r="F1490" s="30" t="n">
        <f aca="false">IF('Boletins Nuppa Site'!I1490&lt;&gt;0,'Boletins Nuppa Site'!I1490,"NULL")</f>
        <v>30</v>
      </c>
      <c r="G1490" s="30" t="str">
        <f aca="false">IF('Boletins Nuppa Site'!J1490&lt;&gt;0,'Boletins Nuppa Site'!J1490,"NULL")</f>
        <v>26.67</v>
      </c>
      <c r="H1490" s="30" t="n">
        <f aca="false">IF('Boletins Nuppa Site'!K1490&lt;&gt;0,'Boletins Nuppa Site'!K1490,"NULL")</f>
        <v>25</v>
      </c>
      <c r="I1490" s="0" t="str">
        <f aca="false">"INSERT INTO COTACAO (cot_id, cot_blt_id, cot_pap_id, cot_prc_comum, cot_prc_min, cot_prc_max, cot_prc_med, cot_prc_mediana) VALUES ("&amp;A1490&amp;", "&amp;B1490&amp;", "&amp;C1490&amp;", "&amp;D1490&amp;", "&amp;E1490&amp;", "&amp;F1490&amp;", "&amp;G1490&amp;", "&amp;H1490&amp;");"</f>
        <v>INSERT INTO COTACAO (cot_id, cot_blt_id, cot_pap_id, cot_prc_comum, cot_prc_min, cot_prc_max, cot_prc_med, cot_prc_mediana) VALUES (1489, 75, 19, 25, 25, 30, 26.67, 25);</v>
      </c>
      <c r="J1490" s="0" t="str">
        <f aca="false">"UPDATE COTACAO SET cot_id = "&amp;A1490&amp;", cot_blt_id = "&amp;B1490&amp;", cot_pap_id = "&amp;C1490&amp;", cot_prc_comum = "&amp;D1490&amp;", cot_prc_min = "&amp;E1490&amp;", cot_prc_max = "&amp;F1490&amp;", cot_prc_med = "&amp;G1490&amp;", cot_prc_mediana = "&amp;H1490&amp;" WHERE cot_id = "&amp;A1490&amp;";"</f>
        <v>UPDATE COTACAO SET cot_id = 1489, cot_blt_id = 75, cot_pap_id = 19, cot_prc_comum = 25, cot_prc_min = 25, cot_prc_max = 30, cot_prc_med = 26.67, cot_prc_mediana = 25 WHERE cot_id = 1489;</v>
      </c>
    </row>
    <row r="1491" customFormat="false" ht="14.25" hidden="false" customHeight="false" outlineLevel="0" collapsed="false">
      <c r="A1491" s="0" t="n">
        <v>1490</v>
      </c>
      <c r="B1491" s="0" t="n">
        <f aca="false">IF('Boletins Nuppa Site'!A1491&lt;&gt;0,'Boletins Nuppa Site'!A1491,"NULL")</f>
        <v>75</v>
      </c>
      <c r="C1491" s="0" t="n">
        <v>20</v>
      </c>
      <c r="D1491" s="31" t="n">
        <f aca="false">IF('Boletins Nuppa Site'!G1491&lt;&gt;0,'Boletins Nuppa Site'!G1491,"NULL")</f>
        <v>75</v>
      </c>
      <c r="E1491" s="30" t="n">
        <f aca="false">IF('Boletins Nuppa Site'!H1491&lt;&gt;0,'Boletins Nuppa Site'!H1491,"NULL")</f>
        <v>75</v>
      </c>
      <c r="F1491" s="30" t="n">
        <f aca="false">IF('Boletins Nuppa Site'!I1491&lt;&gt;0,'Boletins Nuppa Site'!I1491,"NULL")</f>
        <v>80</v>
      </c>
      <c r="G1491" s="30" t="str">
        <f aca="false">IF('Boletins Nuppa Site'!J1491&lt;&gt;0,'Boletins Nuppa Site'!J1491,"NULL")</f>
        <v>76.67</v>
      </c>
      <c r="H1491" s="30" t="n">
        <f aca="false">IF('Boletins Nuppa Site'!K1491&lt;&gt;0,'Boletins Nuppa Site'!K1491,"NULL")</f>
        <v>75</v>
      </c>
      <c r="I1491" s="0" t="str">
        <f aca="false">"INSERT INTO COTACAO (cot_id, cot_blt_id, cot_pap_id, cot_prc_comum, cot_prc_min, cot_prc_max, cot_prc_med, cot_prc_mediana) VALUES ("&amp;A1491&amp;", "&amp;B1491&amp;", "&amp;C1491&amp;", "&amp;D1491&amp;", "&amp;E1491&amp;", "&amp;F1491&amp;", "&amp;G1491&amp;", "&amp;H1491&amp;");"</f>
        <v>INSERT INTO COTACAO (cot_id, cot_blt_id, cot_pap_id, cot_prc_comum, cot_prc_min, cot_prc_max, cot_prc_med, cot_prc_mediana) VALUES (1490, 75, 20, 75, 75, 80, 76.67, 75);</v>
      </c>
      <c r="J1491" s="0" t="str">
        <f aca="false">"UPDATE COTACAO SET cot_id = "&amp;A1491&amp;", cot_blt_id = "&amp;B1491&amp;", cot_pap_id = "&amp;C1491&amp;", cot_prc_comum = "&amp;D1491&amp;", cot_prc_min = "&amp;E1491&amp;", cot_prc_max = "&amp;F1491&amp;", cot_prc_med = "&amp;G1491&amp;", cot_prc_mediana = "&amp;H1491&amp;" WHERE cot_id = "&amp;A1491&amp;";"</f>
        <v>UPDATE COTACAO SET cot_id = 1490, cot_blt_id = 75, cot_pap_id = 20, cot_prc_comum = 75, cot_prc_min = 75, cot_prc_max = 80, cot_prc_med = 76.67, cot_prc_mediana = 75 WHERE cot_id = 1490;</v>
      </c>
    </row>
    <row r="1492" customFormat="false" ht="14.25" hidden="false" customHeight="false" outlineLevel="0" collapsed="false">
      <c r="A1492" s="0" t="n">
        <v>1491</v>
      </c>
      <c r="B1492" s="0" t="n">
        <f aca="false">IF('Boletins Nuppa Site'!A1492&lt;&gt;0,'Boletins Nuppa Site'!A1492,"NULL")</f>
        <v>75</v>
      </c>
      <c r="C1492" s="0" t="n">
        <v>21</v>
      </c>
      <c r="D1492" s="31" t="n">
        <f aca="false">IF('Boletins Nuppa Site'!G1492&lt;&gt;0,'Boletins Nuppa Site'!G1492,"NULL")</f>
        <v>25</v>
      </c>
      <c r="E1492" s="30" t="n">
        <f aca="false">IF('Boletins Nuppa Site'!H1492&lt;&gt;0,'Boletins Nuppa Site'!H1492,"NULL")</f>
        <v>25</v>
      </c>
      <c r="F1492" s="30" t="n">
        <f aca="false">IF('Boletins Nuppa Site'!I1492&lt;&gt;0,'Boletins Nuppa Site'!I1492,"NULL")</f>
        <v>40</v>
      </c>
      <c r="G1492" s="30" t="str">
        <f aca="false">IF('Boletins Nuppa Site'!J1492&lt;&gt;0,'Boletins Nuppa Site'!J1492,"NULL")</f>
        <v>28.57</v>
      </c>
      <c r="H1492" s="30" t="n">
        <f aca="false">IF('Boletins Nuppa Site'!K1492&lt;&gt;0,'Boletins Nuppa Site'!K1492,"NULL")</f>
        <v>25</v>
      </c>
      <c r="I1492" s="0" t="str">
        <f aca="false">"INSERT INTO COTACAO (cot_id, cot_blt_id, cot_pap_id, cot_prc_comum, cot_prc_min, cot_prc_max, cot_prc_med, cot_prc_mediana) VALUES ("&amp;A1492&amp;", "&amp;B1492&amp;", "&amp;C1492&amp;", "&amp;D1492&amp;", "&amp;E1492&amp;", "&amp;F1492&amp;", "&amp;G1492&amp;", "&amp;H1492&amp;");"</f>
        <v>INSERT INTO COTACAO (cot_id, cot_blt_id, cot_pap_id, cot_prc_comum, cot_prc_min, cot_prc_max, cot_prc_med, cot_prc_mediana) VALUES (1491, 75, 21, 25, 25, 40, 28.57, 25);</v>
      </c>
      <c r="J1492" s="0" t="str">
        <f aca="false">"UPDATE COTACAO SET cot_id = "&amp;A1492&amp;", cot_blt_id = "&amp;B1492&amp;", cot_pap_id = "&amp;C1492&amp;", cot_prc_comum = "&amp;D1492&amp;", cot_prc_min = "&amp;E1492&amp;", cot_prc_max = "&amp;F1492&amp;", cot_prc_med = "&amp;G1492&amp;", cot_prc_mediana = "&amp;H1492&amp;" WHERE cot_id = "&amp;A1492&amp;";"</f>
        <v>UPDATE COTACAO SET cot_id = 1491, cot_blt_id = 75, cot_pap_id = 21, cot_prc_comum = 25, cot_prc_min = 25, cot_prc_max = 40, cot_prc_med = 28.57, cot_prc_mediana = 25 WHERE cot_id = 1491;</v>
      </c>
    </row>
    <row r="1493" customFormat="false" ht="14.25" hidden="false" customHeight="false" outlineLevel="0" collapsed="false">
      <c r="A1493" s="0" t="n">
        <v>1492</v>
      </c>
      <c r="B1493" s="0" t="n">
        <f aca="false">IF('Boletins Nuppa Site'!A1493&lt;&gt;0,'Boletins Nuppa Site'!A1493,"NULL")</f>
        <v>75</v>
      </c>
      <c r="C1493" s="0" t="n">
        <v>22</v>
      </c>
      <c r="D1493" s="31" t="n">
        <f aca="false">IF('Boletins Nuppa Site'!G1493&lt;&gt;0,'Boletins Nuppa Site'!G1493,"NULL")</f>
        <v>70</v>
      </c>
      <c r="E1493" s="30" t="n">
        <f aca="false">IF('Boletins Nuppa Site'!H1493&lt;&gt;0,'Boletins Nuppa Site'!H1493,"NULL")</f>
        <v>45</v>
      </c>
      <c r="F1493" s="30" t="n">
        <f aca="false">IF('Boletins Nuppa Site'!I1493&lt;&gt;0,'Boletins Nuppa Site'!I1493,"NULL")</f>
        <v>70</v>
      </c>
      <c r="G1493" s="30" t="str">
        <f aca="false">IF('Boletins Nuppa Site'!J1493&lt;&gt;0,'Boletins Nuppa Site'!J1493,"NULL")</f>
        <v>60.83</v>
      </c>
      <c r="H1493" s="30" t="str">
        <f aca="false">IF('Boletins Nuppa Site'!K1493&lt;&gt;0,'Boletins Nuppa Site'!K1493,"NULL")</f>
        <v>67.5</v>
      </c>
      <c r="I1493" s="0" t="str">
        <f aca="false">"INSERT INTO COTACAO (cot_id, cot_blt_id, cot_pap_id, cot_prc_comum, cot_prc_min, cot_prc_max, cot_prc_med, cot_prc_mediana) VALUES ("&amp;A1493&amp;", "&amp;B1493&amp;", "&amp;C1493&amp;", "&amp;D1493&amp;", "&amp;E1493&amp;", "&amp;F1493&amp;", "&amp;G1493&amp;", "&amp;H1493&amp;");"</f>
        <v>INSERT INTO COTACAO (cot_id, cot_blt_id, cot_pap_id, cot_prc_comum, cot_prc_min, cot_prc_max, cot_prc_med, cot_prc_mediana) VALUES (1492, 75, 22, 70, 45, 70, 60.83, 67.5);</v>
      </c>
      <c r="J1493" s="0" t="str">
        <f aca="false">"UPDATE COTACAO SET cot_id = "&amp;A1493&amp;", cot_blt_id = "&amp;B1493&amp;", cot_pap_id = "&amp;C1493&amp;", cot_prc_comum = "&amp;D1493&amp;", cot_prc_min = "&amp;E1493&amp;", cot_prc_max = "&amp;F1493&amp;", cot_prc_med = "&amp;G1493&amp;", cot_prc_mediana = "&amp;H1493&amp;" WHERE cot_id = "&amp;A1493&amp;";"</f>
        <v>UPDATE COTACAO SET cot_id = 1492, cot_blt_id = 75, cot_pap_id = 22, cot_prc_comum = 70, cot_prc_min = 45, cot_prc_max = 70, cot_prc_med = 60.83, cot_prc_mediana = 67.5 WHERE cot_id = 1492;</v>
      </c>
    </row>
    <row r="1494" customFormat="false" ht="14.25" hidden="false" customHeight="false" outlineLevel="0" collapsed="false">
      <c r="A1494" s="0" t="n">
        <v>1493</v>
      </c>
      <c r="B1494" s="0" t="n">
        <f aca="false">IF('Boletins Nuppa Site'!A1494&lt;&gt;0,'Boletins Nuppa Site'!A1494,"NULL")</f>
        <v>75</v>
      </c>
      <c r="C1494" s="0" t="n">
        <v>23</v>
      </c>
      <c r="D1494" s="31" t="n">
        <f aca="false">IF('Boletins Nuppa Site'!G1494&lt;&gt;0,'Boletins Nuppa Site'!G1494,"NULL")</f>
        <v>50</v>
      </c>
      <c r="E1494" s="30" t="n">
        <f aca="false">IF('Boletins Nuppa Site'!H1494&lt;&gt;0,'Boletins Nuppa Site'!H1494,"NULL")</f>
        <v>50</v>
      </c>
      <c r="F1494" s="30" t="n">
        <f aca="false">IF('Boletins Nuppa Site'!I1494&lt;&gt;0,'Boletins Nuppa Site'!I1494,"NULL")</f>
        <v>65</v>
      </c>
      <c r="G1494" s="30" t="n">
        <f aca="false">IF('Boletins Nuppa Site'!J1494&lt;&gt;0,'Boletins Nuppa Site'!J1494,"NULL")</f>
        <v>56</v>
      </c>
      <c r="H1494" s="30" t="n">
        <f aca="false">IF('Boletins Nuppa Site'!K1494&lt;&gt;0,'Boletins Nuppa Site'!K1494,"NULL")</f>
        <v>55</v>
      </c>
      <c r="I1494" s="0" t="str">
        <f aca="false">"INSERT INTO COTACAO (cot_id, cot_blt_id, cot_pap_id, cot_prc_comum, cot_prc_min, cot_prc_max, cot_prc_med, cot_prc_mediana) VALUES ("&amp;A1494&amp;", "&amp;B1494&amp;", "&amp;C1494&amp;", "&amp;D1494&amp;", "&amp;E1494&amp;", "&amp;F1494&amp;", "&amp;G1494&amp;", "&amp;H1494&amp;");"</f>
        <v>INSERT INTO COTACAO (cot_id, cot_blt_id, cot_pap_id, cot_prc_comum, cot_prc_min, cot_prc_max, cot_prc_med, cot_prc_mediana) VALUES (1493, 75, 23, 50, 50, 65, 56, 55);</v>
      </c>
      <c r="J1494" s="0" t="str">
        <f aca="false">"UPDATE COTACAO SET cot_id = "&amp;A1494&amp;", cot_blt_id = "&amp;B1494&amp;", cot_pap_id = "&amp;C1494&amp;", cot_prc_comum = "&amp;D1494&amp;", cot_prc_min = "&amp;E1494&amp;", cot_prc_max = "&amp;F1494&amp;", cot_prc_med = "&amp;G1494&amp;", cot_prc_mediana = "&amp;H1494&amp;" WHERE cot_id = "&amp;A1494&amp;";"</f>
        <v>UPDATE COTACAO SET cot_id = 1493, cot_blt_id = 75, cot_pap_id = 23, cot_prc_comum = 50, cot_prc_min = 50, cot_prc_max = 65, cot_prc_med = 56, cot_prc_mediana = 55 WHERE cot_id = 1493;</v>
      </c>
    </row>
    <row r="1495" customFormat="false" ht="14.25" hidden="false" customHeight="false" outlineLevel="0" collapsed="false">
      <c r="A1495" s="0" t="n">
        <v>1494</v>
      </c>
      <c r="B1495" s="0" t="n">
        <f aca="false">IF('Boletins Nuppa Site'!A1495&lt;&gt;0,'Boletins Nuppa Site'!A1495,"NULL")</f>
        <v>75</v>
      </c>
      <c r="C1495" s="0" t="n">
        <v>24</v>
      </c>
      <c r="D1495" s="31" t="n">
        <f aca="false">IF('Boletins Nuppa Site'!G1495&lt;&gt;0,'Boletins Nuppa Site'!G1495,"NULL")</f>
        <v>45</v>
      </c>
      <c r="E1495" s="30" t="str">
        <f aca="false">IF('Boletins Nuppa Site'!H1495&lt;&gt;0,'Boletins Nuppa Site'!H1495,"NULL")</f>
        <v>NULL</v>
      </c>
      <c r="F1495" s="30" t="n">
        <f aca="false">IF('Boletins Nuppa Site'!I1495&lt;&gt;0,'Boletins Nuppa Site'!I1495,"NULL")</f>
        <v>80</v>
      </c>
      <c r="G1495" s="30" t="str">
        <f aca="false">IF('Boletins Nuppa Site'!J1495&lt;&gt;0,'Boletins Nuppa Site'!J1495,"NULL")</f>
        <v>66.67</v>
      </c>
      <c r="H1495" s="30" t="n">
        <f aca="false">IF('Boletins Nuppa Site'!K1495&lt;&gt;0,'Boletins Nuppa Site'!K1495,"NULL")</f>
        <v>75</v>
      </c>
      <c r="I1495" s="0" t="str">
        <f aca="false">"INSERT INTO COTACAO (cot_id, cot_blt_id, cot_pap_id, cot_prc_comum, cot_prc_min, cot_prc_max, cot_prc_med, cot_prc_mediana) VALUES ("&amp;A1495&amp;", "&amp;B1495&amp;", "&amp;C1495&amp;", "&amp;D1495&amp;", "&amp;E1495&amp;", "&amp;F1495&amp;", "&amp;G1495&amp;", "&amp;H1495&amp;");"</f>
        <v>INSERT INTO COTACAO (cot_id, cot_blt_id, cot_pap_id, cot_prc_comum, cot_prc_min, cot_prc_max, cot_prc_med, cot_prc_mediana) VALUES (1494, 75, 24, 45, NULL, 80, 66.67, 75);</v>
      </c>
      <c r="J1495" s="0" t="str">
        <f aca="false">"UPDATE COTACAO SET cot_id = "&amp;A1495&amp;", cot_blt_id = "&amp;B1495&amp;", cot_pap_id = "&amp;C1495&amp;", cot_prc_comum = "&amp;D1495&amp;", cot_prc_min = "&amp;E1495&amp;", cot_prc_max = "&amp;F1495&amp;", cot_prc_med = "&amp;G1495&amp;", cot_prc_mediana = "&amp;H1495&amp;" WHERE cot_id = "&amp;A1495&amp;";"</f>
        <v>UPDATE COTACAO SET cot_id = 1494, cot_blt_id = 75, cot_pap_id = 24, cot_prc_comum = 45, cot_prc_min = NULL, cot_prc_max = 80, cot_prc_med = 66.67, cot_prc_mediana = 75 WHERE cot_id = 1494;</v>
      </c>
    </row>
    <row r="1496" customFormat="false" ht="14.25" hidden="false" customHeight="false" outlineLevel="0" collapsed="false">
      <c r="A1496" s="0" t="n">
        <v>1495</v>
      </c>
      <c r="B1496" s="0" t="n">
        <f aca="false">IF('Boletins Nuppa Site'!A1496&lt;&gt;0,'Boletins Nuppa Site'!A1496,"NULL")</f>
        <v>75</v>
      </c>
      <c r="C1496" s="0" t="n">
        <v>25</v>
      </c>
      <c r="D1496" s="31" t="n">
        <f aca="false">IF('Boletins Nuppa Site'!G1496&lt;&gt;0,'Boletins Nuppa Site'!G1496,"NULL")</f>
        <v>50</v>
      </c>
      <c r="E1496" s="30" t="n">
        <f aca="false">IF('Boletins Nuppa Site'!H1496&lt;&gt;0,'Boletins Nuppa Site'!H1496,"NULL")</f>
        <v>50</v>
      </c>
      <c r="F1496" s="30" t="n">
        <f aca="false">IF('Boletins Nuppa Site'!I1496&lt;&gt;0,'Boletins Nuppa Site'!I1496,"NULL")</f>
        <v>65</v>
      </c>
      <c r="G1496" s="30" t="str">
        <f aca="false">IF('Boletins Nuppa Site'!J1496&lt;&gt;0,'Boletins Nuppa Site'!J1496,"NULL")</f>
        <v>57.5</v>
      </c>
      <c r="H1496" s="30" t="str">
        <f aca="false">IF('Boletins Nuppa Site'!K1496&lt;&gt;0,'Boletins Nuppa Site'!K1496,"NULL")</f>
        <v>56.67</v>
      </c>
      <c r="I1496" s="0" t="str">
        <f aca="false">"INSERT INTO COTACAO (cot_id, cot_blt_id, cot_pap_id, cot_prc_comum, cot_prc_min, cot_prc_max, cot_prc_med, cot_prc_mediana) VALUES ("&amp;A1496&amp;", "&amp;B1496&amp;", "&amp;C1496&amp;", "&amp;D1496&amp;", "&amp;E1496&amp;", "&amp;F1496&amp;", "&amp;G1496&amp;", "&amp;H1496&amp;");"</f>
        <v>INSERT INTO COTACAO (cot_id, cot_blt_id, cot_pap_id, cot_prc_comum, cot_prc_min, cot_prc_max, cot_prc_med, cot_prc_mediana) VALUES (1495, 75, 25, 50, 50, 65, 57.5, 56.67);</v>
      </c>
      <c r="J1496" s="0" t="str">
        <f aca="false">"UPDATE COTACAO SET cot_id = "&amp;A1496&amp;", cot_blt_id = "&amp;B1496&amp;", cot_pap_id = "&amp;C1496&amp;", cot_prc_comum = "&amp;D1496&amp;", cot_prc_min = "&amp;E1496&amp;", cot_prc_max = "&amp;F1496&amp;", cot_prc_med = "&amp;G1496&amp;", cot_prc_mediana = "&amp;H1496&amp;" WHERE cot_id = "&amp;A1496&amp;";"</f>
        <v>UPDATE COTACAO SET cot_id = 1495, cot_blt_id = 75, cot_pap_id = 25, cot_prc_comum = 50, cot_prc_min = 50, cot_prc_max = 65, cot_prc_med = 57.5, cot_prc_mediana = 56.67 WHERE cot_id = 1495;</v>
      </c>
    </row>
    <row r="1497" customFormat="false" ht="14.25" hidden="false" customHeight="false" outlineLevel="0" collapsed="false">
      <c r="A1497" s="0" t="n">
        <v>1496</v>
      </c>
      <c r="B1497" s="0" t="n">
        <f aca="false">IF('Boletins Nuppa Site'!A1497&lt;&gt;0,'Boletins Nuppa Site'!A1497,"NULL")</f>
        <v>75</v>
      </c>
      <c r="C1497" s="0" t="n">
        <v>26</v>
      </c>
      <c r="D1497" s="31" t="n">
        <f aca="false">IF('Boletins Nuppa Site'!G1497&lt;&gt;0,'Boletins Nuppa Site'!G1497,"NULL")</f>
        <v>45</v>
      </c>
      <c r="E1497" s="30" t="n">
        <f aca="false">IF('Boletins Nuppa Site'!H1497&lt;&gt;0,'Boletins Nuppa Site'!H1497,"NULL")</f>
        <v>40</v>
      </c>
      <c r="F1497" s="30" t="n">
        <f aca="false">IF('Boletins Nuppa Site'!I1497&lt;&gt;0,'Boletins Nuppa Site'!I1497,"NULL")</f>
        <v>60</v>
      </c>
      <c r="G1497" s="30" t="str">
        <f aca="false">IF('Boletins Nuppa Site'!J1497&lt;&gt;0,'Boletins Nuppa Site'!J1497,"NULL")</f>
        <v>48.57</v>
      </c>
      <c r="H1497" s="30" t="n">
        <f aca="false">IF('Boletins Nuppa Site'!K1497&lt;&gt;0,'Boletins Nuppa Site'!K1497,"NULL")</f>
        <v>45</v>
      </c>
      <c r="I1497" s="0" t="str">
        <f aca="false">"INSERT INTO COTACAO (cot_id, cot_blt_id, cot_pap_id, cot_prc_comum, cot_prc_min, cot_prc_max, cot_prc_med, cot_prc_mediana) VALUES ("&amp;A1497&amp;", "&amp;B1497&amp;", "&amp;C1497&amp;", "&amp;D1497&amp;", "&amp;E1497&amp;", "&amp;F1497&amp;", "&amp;G1497&amp;", "&amp;H1497&amp;");"</f>
        <v>INSERT INTO COTACAO (cot_id, cot_blt_id, cot_pap_id, cot_prc_comum, cot_prc_min, cot_prc_max, cot_prc_med, cot_prc_mediana) VALUES (1496, 75, 26, 45, 40, 60, 48.57, 45);</v>
      </c>
      <c r="J1497" s="0" t="str">
        <f aca="false">"UPDATE COTACAO SET cot_id = "&amp;A1497&amp;", cot_blt_id = "&amp;B1497&amp;", cot_pap_id = "&amp;C1497&amp;", cot_prc_comum = "&amp;D1497&amp;", cot_prc_min = "&amp;E1497&amp;", cot_prc_max = "&amp;F1497&amp;", cot_prc_med = "&amp;G1497&amp;", cot_prc_mediana = "&amp;H1497&amp;" WHERE cot_id = "&amp;A1497&amp;";"</f>
        <v>UPDATE COTACAO SET cot_id = 1496, cot_blt_id = 75, cot_pap_id = 26, cot_prc_comum = 45, cot_prc_min = 40, cot_prc_max = 60, cot_prc_med = 48.57, cot_prc_mediana = 45 WHERE cot_id = 1496;</v>
      </c>
    </row>
    <row r="1498" customFormat="false" ht="14.25" hidden="false" customHeight="false" outlineLevel="0" collapsed="false">
      <c r="A1498" s="0" t="n">
        <v>1497</v>
      </c>
      <c r="B1498" s="0" t="n">
        <f aca="false">IF('Boletins Nuppa Site'!A1498&lt;&gt;0,'Boletins Nuppa Site'!A1498,"NULL")</f>
        <v>75</v>
      </c>
      <c r="C1498" s="0" t="n">
        <v>27</v>
      </c>
      <c r="D1498" s="31" t="n">
        <f aca="false">IF('Boletins Nuppa Site'!G1498&lt;&gt;0,'Boletins Nuppa Site'!G1498,"NULL")</f>
        <v>40</v>
      </c>
      <c r="E1498" s="30" t="n">
        <f aca="false">IF('Boletins Nuppa Site'!H1498&lt;&gt;0,'Boletins Nuppa Site'!H1498,"NULL")</f>
        <v>55</v>
      </c>
      <c r="F1498" s="30" t="n">
        <f aca="false">IF('Boletins Nuppa Site'!I1498&lt;&gt;0,'Boletins Nuppa Site'!I1498,"NULL")</f>
        <v>55</v>
      </c>
      <c r="G1498" s="30" t="str">
        <f aca="false">IF('Boletins Nuppa Site'!J1498&lt;&gt;0,'Boletins Nuppa Site'!J1498,"NULL")</f>
        <v>51.43</v>
      </c>
      <c r="H1498" s="30" t="n">
        <f aca="false">IF('Boletins Nuppa Site'!K1498&lt;&gt;0,'Boletins Nuppa Site'!K1498,"NULL")</f>
        <v>55</v>
      </c>
      <c r="I1498" s="0" t="str">
        <f aca="false">"INSERT INTO COTACAO (cot_id, cot_blt_id, cot_pap_id, cot_prc_comum, cot_prc_min, cot_prc_max, cot_prc_med, cot_prc_mediana) VALUES ("&amp;A1498&amp;", "&amp;B1498&amp;", "&amp;C1498&amp;", "&amp;D1498&amp;", "&amp;E1498&amp;", "&amp;F1498&amp;", "&amp;G1498&amp;", "&amp;H1498&amp;");"</f>
        <v>INSERT INTO COTACAO (cot_id, cot_blt_id, cot_pap_id, cot_prc_comum, cot_prc_min, cot_prc_max, cot_prc_med, cot_prc_mediana) VALUES (1497, 75, 27, 40, 55, 55, 51.43, 55);</v>
      </c>
      <c r="J1498" s="0" t="str">
        <f aca="false">"UPDATE COTACAO SET cot_id = "&amp;A1498&amp;", cot_blt_id = "&amp;B1498&amp;", cot_pap_id = "&amp;C1498&amp;", cot_prc_comum = "&amp;D1498&amp;", cot_prc_min = "&amp;E1498&amp;", cot_prc_max = "&amp;F1498&amp;", cot_prc_med = "&amp;G1498&amp;", cot_prc_mediana = "&amp;H1498&amp;" WHERE cot_id = "&amp;A1498&amp;";"</f>
        <v>UPDATE COTACAO SET cot_id = 1497, cot_blt_id = 75, cot_pap_id = 27, cot_prc_comum = 40, cot_prc_min = 55, cot_prc_max = 55, cot_prc_med = 51.43, cot_prc_mediana = 55 WHERE cot_id = 1497;</v>
      </c>
    </row>
    <row r="1499" customFormat="false" ht="14.25" hidden="false" customHeight="false" outlineLevel="0" collapsed="false">
      <c r="A1499" s="0" t="n">
        <v>1498</v>
      </c>
      <c r="B1499" s="0" t="n">
        <f aca="false">IF('Boletins Nuppa Site'!A1499&lt;&gt;0,'Boletins Nuppa Site'!A1499,"NULL")</f>
        <v>75</v>
      </c>
      <c r="C1499" s="0" t="n">
        <v>28</v>
      </c>
      <c r="D1499" s="31" t="n">
        <f aca="false">IF('Boletins Nuppa Site'!G1499&lt;&gt;0,'Boletins Nuppa Site'!G1499,"NULL")</f>
        <v>100</v>
      </c>
      <c r="E1499" s="30" t="n">
        <f aca="false">IF('Boletins Nuppa Site'!H1499&lt;&gt;0,'Boletins Nuppa Site'!H1499,"NULL")</f>
        <v>120</v>
      </c>
      <c r="F1499" s="30" t="n">
        <f aca="false">IF('Boletins Nuppa Site'!I1499&lt;&gt;0,'Boletins Nuppa Site'!I1499,"NULL")</f>
        <v>130</v>
      </c>
      <c r="G1499" s="30" t="n">
        <f aca="false">IF('Boletins Nuppa Site'!J1499&lt;&gt;0,'Boletins Nuppa Site'!J1499,"NULL")</f>
        <v>116</v>
      </c>
      <c r="H1499" s="30" t="n">
        <f aca="false">IF('Boletins Nuppa Site'!K1499&lt;&gt;0,'Boletins Nuppa Site'!K1499,"NULL")</f>
        <v>120</v>
      </c>
      <c r="I1499" s="0" t="str">
        <f aca="false">"INSERT INTO COTACAO (cot_id, cot_blt_id, cot_pap_id, cot_prc_comum, cot_prc_min, cot_prc_max, cot_prc_med, cot_prc_mediana) VALUES ("&amp;A1499&amp;", "&amp;B1499&amp;", "&amp;C1499&amp;", "&amp;D1499&amp;", "&amp;E1499&amp;", "&amp;F1499&amp;", "&amp;G1499&amp;", "&amp;H1499&amp;");"</f>
        <v>INSERT INTO COTACAO (cot_id, cot_blt_id, cot_pap_id, cot_prc_comum, cot_prc_min, cot_prc_max, cot_prc_med, cot_prc_mediana) VALUES (1498, 75, 28, 100, 120, 130, 116, 120);</v>
      </c>
      <c r="J1499" s="0" t="str">
        <f aca="false">"UPDATE COTACAO SET cot_id = "&amp;A1499&amp;", cot_blt_id = "&amp;B1499&amp;", cot_pap_id = "&amp;C1499&amp;", cot_prc_comum = "&amp;D1499&amp;", cot_prc_min = "&amp;E1499&amp;", cot_prc_max = "&amp;F1499&amp;", cot_prc_med = "&amp;G1499&amp;", cot_prc_mediana = "&amp;H1499&amp;" WHERE cot_id = "&amp;A1499&amp;";"</f>
        <v>UPDATE COTACAO SET cot_id = 1498, cot_blt_id = 75, cot_pap_id = 28, cot_prc_comum = 100, cot_prc_min = 120, cot_prc_max = 130, cot_prc_med = 116, cot_prc_mediana = 120 WHERE cot_id = 1498;</v>
      </c>
    </row>
    <row r="1500" customFormat="false" ht="14.25" hidden="false" customHeight="false" outlineLevel="0" collapsed="false">
      <c r="A1500" s="0" t="n">
        <v>1499</v>
      </c>
      <c r="B1500" s="0" t="n">
        <f aca="false">IF('Boletins Nuppa Site'!A1500&lt;&gt;0,'Boletins Nuppa Site'!A1500,"NULL")</f>
        <v>75</v>
      </c>
      <c r="C1500" s="0" t="n">
        <v>29</v>
      </c>
      <c r="D1500" s="31" t="n">
        <f aca="false">IF('Boletins Nuppa Site'!G1500&lt;&gt;0,'Boletins Nuppa Site'!G1500,"NULL")</f>
        <v>55</v>
      </c>
      <c r="E1500" s="30" t="str">
        <f aca="false">IF('Boletins Nuppa Site'!H1500&lt;&gt;0,'Boletins Nuppa Site'!H1500,"NULL")</f>
        <v>NULL</v>
      </c>
      <c r="F1500" s="30" t="n">
        <f aca="false">IF('Boletins Nuppa Site'!I1500&lt;&gt;0,'Boletins Nuppa Site'!I1500,"NULL")</f>
        <v>55</v>
      </c>
      <c r="G1500" s="30" t="n">
        <f aca="false">IF('Boletins Nuppa Site'!J1500&lt;&gt;0,'Boletins Nuppa Site'!J1500,"NULL")</f>
        <v>55</v>
      </c>
      <c r="H1500" s="30" t="n">
        <f aca="false">IF('Boletins Nuppa Site'!K1500&lt;&gt;0,'Boletins Nuppa Site'!K1500,"NULL")</f>
        <v>55</v>
      </c>
      <c r="I1500" s="0" t="str">
        <f aca="false">"INSERT INTO COTACAO (cot_id, cot_blt_id, cot_pap_id, cot_prc_comum, cot_prc_min, cot_prc_max, cot_prc_med, cot_prc_mediana) VALUES ("&amp;A1500&amp;", "&amp;B1500&amp;", "&amp;C1500&amp;", "&amp;D1500&amp;", "&amp;E1500&amp;", "&amp;F1500&amp;", "&amp;G1500&amp;", "&amp;H1500&amp;");"</f>
        <v>INSERT INTO COTACAO (cot_id, cot_blt_id, cot_pap_id, cot_prc_comum, cot_prc_min, cot_prc_max, cot_prc_med, cot_prc_mediana) VALUES (1499, 75, 29, 55, NULL, 55, 55, 55);</v>
      </c>
      <c r="J1500" s="0" t="str">
        <f aca="false">"UPDATE COTACAO SET cot_id = "&amp;A1500&amp;", cot_blt_id = "&amp;B1500&amp;", cot_pap_id = "&amp;C1500&amp;", cot_prc_comum = "&amp;D1500&amp;", cot_prc_min = "&amp;E1500&amp;", cot_prc_max = "&amp;F1500&amp;", cot_prc_med = "&amp;G1500&amp;", cot_prc_mediana = "&amp;H1500&amp;" WHERE cot_id = "&amp;A1500&amp;";"</f>
        <v>UPDATE COTACAO SET cot_id = 1499, cot_blt_id = 75, cot_pap_id = 29, cot_prc_comum = 55, cot_prc_min = NULL, cot_prc_max = 55, cot_prc_med = 55, cot_prc_mediana = 55 WHERE cot_id = 1499;</v>
      </c>
    </row>
    <row r="1501" customFormat="false" ht="14.25" hidden="false" customHeight="false" outlineLevel="0" collapsed="false">
      <c r="A1501" s="0" t="n">
        <v>1500</v>
      </c>
      <c r="B1501" s="0" t="n">
        <f aca="false">IF('Boletins Nuppa Site'!A1501&lt;&gt;0,'Boletins Nuppa Site'!A1501,"NULL")</f>
        <v>75</v>
      </c>
      <c r="C1501" s="0" t="n">
        <v>30</v>
      </c>
      <c r="D1501" s="31" t="n">
        <f aca="false">IF('Boletins Nuppa Site'!G1501&lt;&gt;0,'Boletins Nuppa Site'!G1501,"NULL")</f>
        <v>60</v>
      </c>
      <c r="E1501" s="30" t="n">
        <f aca="false">IF('Boletins Nuppa Site'!H1501&lt;&gt;0,'Boletins Nuppa Site'!H1501,"NULL")</f>
        <v>50</v>
      </c>
      <c r="F1501" s="30" t="n">
        <f aca="false">IF('Boletins Nuppa Site'!I1501&lt;&gt;0,'Boletins Nuppa Site'!I1501,"NULL")</f>
        <v>85</v>
      </c>
      <c r="G1501" s="30" t="n">
        <f aca="false">IF('Boletins Nuppa Site'!J1501&lt;&gt;0,'Boletins Nuppa Site'!J1501,"NULL")</f>
        <v>60</v>
      </c>
      <c r="H1501" s="30" t="str">
        <f aca="false">IF('Boletins Nuppa Site'!K1501&lt;&gt;0,'Boletins Nuppa Site'!K1501,"NULL")</f>
        <v>63.75</v>
      </c>
      <c r="I1501" s="0" t="str">
        <f aca="false">"INSERT INTO COTACAO (cot_id, cot_blt_id, cot_pap_id, cot_prc_comum, cot_prc_min, cot_prc_max, cot_prc_med, cot_prc_mediana) VALUES ("&amp;A1501&amp;", "&amp;B1501&amp;", "&amp;C1501&amp;", "&amp;D1501&amp;", "&amp;E1501&amp;", "&amp;F1501&amp;", "&amp;G1501&amp;", "&amp;H1501&amp;");"</f>
        <v>INSERT INTO COTACAO (cot_id, cot_blt_id, cot_pap_id, cot_prc_comum, cot_prc_min, cot_prc_max, cot_prc_med, cot_prc_mediana) VALUES (1500, 75, 30, 60, 50, 85, 60, 63.75);</v>
      </c>
      <c r="J1501" s="0" t="str">
        <f aca="false">"UPDATE COTACAO SET cot_id = "&amp;A1501&amp;", cot_blt_id = "&amp;B1501&amp;", cot_pap_id = "&amp;C1501&amp;", cot_prc_comum = "&amp;D1501&amp;", cot_prc_min = "&amp;E1501&amp;", cot_prc_max = "&amp;F1501&amp;", cot_prc_med = "&amp;G1501&amp;", cot_prc_mediana = "&amp;H1501&amp;" WHERE cot_id = "&amp;A1501&amp;";"</f>
        <v>UPDATE COTACAO SET cot_id = 1500, cot_blt_id = 75, cot_pap_id = 30, cot_prc_comum = 60, cot_prc_min = 50, cot_prc_max = 85, cot_prc_med = 60, cot_prc_mediana = 63.75 WHERE cot_id = 1500;</v>
      </c>
    </row>
    <row r="1502" customFormat="false" ht="14.25" hidden="false" customHeight="false" outlineLevel="0" collapsed="false">
      <c r="A1502" s="0" t="n">
        <v>1501</v>
      </c>
      <c r="B1502" s="0" t="n">
        <f aca="false">IF('Boletins Nuppa Site'!A1502&lt;&gt;0,'Boletins Nuppa Site'!A1502,"NULL")</f>
        <v>75</v>
      </c>
      <c r="C1502" s="0" t="n">
        <v>31</v>
      </c>
      <c r="D1502" s="31" t="n">
        <f aca="false">IF('Boletins Nuppa Site'!G1502&lt;&gt;0,'Boletins Nuppa Site'!G1502,"NULL")</f>
        <v>75</v>
      </c>
      <c r="E1502" s="30" t="str">
        <f aca="false">IF('Boletins Nuppa Site'!H1502&lt;&gt;0,'Boletins Nuppa Site'!H1502,"NULL")</f>
        <v>NULL</v>
      </c>
      <c r="F1502" s="30" t="n">
        <f aca="false">IF('Boletins Nuppa Site'!I1502&lt;&gt;0,'Boletins Nuppa Site'!I1502,"NULL")</f>
        <v>100</v>
      </c>
      <c r="G1502" s="30" t="str">
        <f aca="false">IF('Boletins Nuppa Site'!J1502&lt;&gt;0,'Boletins Nuppa Site'!J1502,"NULL")</f>
        <v>87.5</v>
      </c>
      <c r="H1502" s="30" t="str">
        <f aca="false">IF('Boletins Nuppa Site'!K1502&lt;&gt;0,'Boletins Nuppa Site'!K1502,"NULL")</f>
        <v>87.5</v>
      </c>
      <c r="I1502" s="0" t="str">
        <f aca="false">"INSERT INTO COTACAO (cot_id, cot_blt_id, cot_pap_id, cot_prc_comum, cot_prc_min, cot_prc_max, cot_prc_med, cot_prc_mediana) VALUES ("&amp;A1502&amp;", "&amp;B1502&amp;", "&amp;C1502&amp;", "&amp;D1502&amp;", "&amp;E1502&amp;", "&amp;F1502&amp;", "&amp;G1502&amp;", "&amp;H1502&amp;");"</f>
        <v>INSERT INTO COTACAO (cot_id, cot_blt_id, cot_pap_id, cot_prc_comum, cot_prc_min, cot_prc_max, cot_prc_med, cot_prc_mediana) VALUES (1501, 75, 31, 75, NULL, 100, 87.5, 87.5);</v>
      </c>
      <c r="J1502" s="0" t="str">
        <f aca="false">"UPDATE COTACAO SET cot_id = "&amp;A1502&amp;", cot_blt_id = "&amp;B1502&amp;", cot_pap_id = "&amp;C1502&amp;", cot_prc_comum = "&amp;D1502&amp;", cot_prc_min = "&amp;E1502&amp;", cot_prc_max = "&amp;F1502&amp;", cot_prc_med = "&amp;G1502&amp;", cot_prc_mediana = "&amp;H1502&amp;" WHERE cot_id = "&amp;A1502&amp;";"</f>
        <v>UPDATE COTACAO SET cot_id = 1501, cot_blt_id = 75, cot_pap_id = 31, cot_prc_comum = 75, cot_prc_min = NULL, cot_prc_max = 100, cot_prc_med = 87.5, cot_prc_mediana = 87.5 WHERE cot_id = 1501;</v>
      </c>
    </row>
    <row r="1503" customFormat="false" ht="14.25" hidden="false" customHeight="false" outlineLevel="0" collapsed="false">
      <c r="A1503" s="0" t="n">
        <v>1502</v>
      </c>
      <c r="B1503" s="0" t="n">
        <f aca="false">IF('Boletins Nuppa Site'!A1503&lt;&gt;0,'Boletins Nuppa Site'!A1503,"NULL")</f>
        <v>75</v>
      </c>
      <c r="C1503" s="0" t="n">
        <v>32</v>
      </c>
      <c r="D1503" s="31" t="n">
        <f aca="false">IF('Boletins Nuppa Site'!G1503&lt;&gt;0,'Boletins Nuppa Site'!G1503,"NULL")</f>
        <v>40</v>
      </c>
      <c r="E1503" s="30" t="n">
        <f aca="false">IF('Boletins Nuppa Site'!H1503&lt;&gt;0,'Boletins Nuppa Site'!H1503,"NULL")</f>
        <v>50</v>
      </c>
      <c r="F1503" s="30" t="n">
        <f aca="false">IF('Boletins Nuppa Site'!I1503&lt;&gt;0,'Boletins Nuppa Site'!I1503,"NULL")</f>
        <v>70</v>
      </c>
      <c r="G1503" s="30" t="str">
        <f aca="false">IF('Boletins Nuppa Site'!J1503&lt;&gt;0,'Boletins Nuppa Site'!J1503,"NULL")</f>
        <v>52.14</v>
      </c>
      <c r="H1503" s="30" t="n">
        <f aca="false">IF('Boletins Nuppa Site'!K1503&lt;&gt;0,'Boletins Nuppa Site'!K1503,"NULL")</f>
        <v>50</v>
      </c>
      <c r="I1503" s="0" t="str">
        <f aca="false">"INSERT INTO COTACAO (cot_id, cot_blt_id, cot_pap_id, cot_prc_comum, cot_prc_min, cot_prc_max, cot_prc_med, cot_prc_mediana) VALUES ("&amp;A1503&amp;", "&amp;B1503&amp;", "&amp;C1503&amp;", "&amp;D1503&amp;", "&amp;E1503&amp;", "&amp;F1503&amp;", "&amp;G1503&amp;", "&amp;H1503&amp;");"</f>
        <v>INSERT INTO COTACAO (cot_id, cot_blt_id, cot_pap_id, cot_prc_comum, cot_prc_min, cot_prc_max, cot_prc_med, cot_prc_mediana) VALUES (1502, 75, 32, 40, 50, 70, 52.14, 50);</v>
      </c>
      <c r="J1503" s="0" t="str">
        <f aca="false">"UPDATE COTACAO SET cot_id = "&amp;A1503&amp;", cot_blt_id = "&amp;B1503&amp;", cot_pap_id = "&amp;C1503&amp;", cot_prc_comum = "&amp;D1503&amp;", cot_prc_min = "&amp;E1503&amp;", cot_prc_max = "&amp;F1503&amp;", cot_prc_med = "&amp;G1503&amp;", cot_prc_mediana = "&amp;H1503&amp;" WHERE cot_id = "&amp;A1503&amp;";"</f>
        <v>UPDATE COTACAO SET cot_id = 1502, cot_blt_id = 75, cot_pap_id = 32, cot_prc_comum = 40, cot_prc_min = 50, cot_prc_max = 70, cot_prc_med = 52.14, cot_prc_mediana = 50 WHERE cot_id = 1502;</v>
      </c>
    </row>
    <row r="1504" customFormat="false" ht="14.25" hidden="false" customHeight="false" outlineLevel="0" collapsed="false">
      <c r="A1504" s="0" t="n">
        <v>1503</v>
      </c>
      <c r="B1504" s="0" t="n">
        <f aca="false">IF('Boletins Nuppa Site'!A1504&lt;&gt;0,'Boletins Nuppa Site'!A1504,"NULL")</f>
        <v>75</v>
      </c>
      <c r="C1504" s="0" t="n">
        <v>33</v>
      </c>
      <c r="D1504" s="31" t="n">
        <f aca="false">IF('Boletins Nuppa Site'!G1504&lt;&gt;0,'Boletins Nuppa Site'!G1504,"NULL")</f>
        <v>180</v>
      </c>
      <c r="E1504" s="30" t="n">
        <f aca="false">IF('Boletins Nuppa Site'!H1504&lt;&gt;0,'Boletins Nuppa Site'!H1504,"NULL")</f>
        <v>150</v>
      </c>
      <c r="F1504" s="30" t="n">
        <f aca="false">IF('Boletins Nuppa Site'!I1504&lt;&gt;0,'Boletins Nuppa Site'!I1504,"NULL")</f>
        <v>180</v>
      </c>
      <c r="G1504" s="30" t="str">
        <f aca="false">IF('Boletins Nuppa Site'!J1504&lt;&gt;0,'Boletins Nuppa Site'!J1504,"NULL")</f>
        <v>166.67</v>
      </c>
      <c r="H1504" s="30" t="n">
        <f aca="false">IF('Boletins Nuppa Site'!K1504&lt;&gt;0,'Boletins Nuppa Site'!K1504,"NULL")</f>
        <v>165</v>
      </c>
      <c r="I1504" s="0" t="str">
        <f aca="false">"INSERT INTO COTACAO (cot_id, cot_blt_id, cot_pap_id, cot_prc_comum, cot_prc_min, cot_prc_max, cot_prc_med, cot_prc_mediana) VALUES ("&amp;A1504&amp;", "&amp;B1504&amp;", "&amp;C1504&amp;", "&amp;D1504&amp;", "&amp;E1504&amp;", "&amp;F1504&amp;", "&amp;G1504&amp;", "&amp;H1504&amp;");"</f>
        <v>INSERT INTO COTACAO (cot_id, cot_blt_id, cot_pap_id, cot_prc_comum, cot_prc_min, cot_prc_max, cot_prc_med, cot_prc_mediana) VALUES (1503, 75, 33, 180, 150, 180, 166.67, 165);</v>
      </c>
      <c r="J1504" s="0" t="str">
        <f aca="false">"UPDATE COTACAO SET cot_id = "&amp;A1504&amp;", cot_blt_id = "&amp;B1504&amp;", cot_pap_id = "&amp;C1504&amp;", cot_prc_comum = "&amp;D1504&amp;", cot_prc_min = "&amp;E1504&amp;", cot_prc_max = "&amp;F1504&amp;", cot_prc_med = "&amp;G1504&amp;", cot_prc_mediana = "&amp;H1504&amp;" WHERE cot_id = "&amp;A1504&amp;";"</f>
        <v>UPDATE COTACAO SET cot_id = 1503, cot_blt_id = 75, cot_pap_id = 33, cot_prc_comum = 180, cot_prc_min = 150, cot_prc_max = 180, cot_prc_med = 166.67, cot_prc_mediana = 165 WHERE cot_id = 1503;</v>
      </c>
    </row>
    <row r="1505" customFormat="false" ht="14.25" hidden="false" customHeight="false" outlineLevel="0" collapsed="false">
      <c r="A1505" s="0" t="n">
        <v>1504</v>
      </c>
      <c r="B1505" s="0" t="n">
        <f aca="false">IF('Boletins Nuppa Site'!A1505&lt;&gt;0,'Boletins Nuppa Site'!A1505,"NULL")</f>
        <v>75</v>
      </c>
      <c r="C1505" s="0" t="n">
        <v>34</v>
      </c>
      <c r="D1505" s="31" t="n">
        <f aca="false">IF('Boletins Nuppa Site'!G1505&lt;&gt;0,'Boletins Nuppa Site'!G1505,"NULL")</f>
        <v>60</v>
      </c>
      <c r="E1505" s="30" t="n">
        <f aca="false">IF('Boletins Nuppa Site'!H1505&lt;&gt;0,'Boletins Nuppa Site'!H1505,"NULL")</f>
        <v>70</v>
      </c>
      <c r="F1505" s="30" t="n">
        <f aca="false">IF('Boletins Nuppa Site'!I1505&lt;&gt;0,'Boletins Nuppa Site'!I1505,"NULL")</f>
        <v>80</v>
      </c>
      <c r="G1505" s="30" t="str">
        <f aca="false">IF('Boletins Nuppa Site'!J1505&lt;&gt;0,'Boletins Nuppa Site'!J1505,"NULL")</f>
        <v>68.57</v>
      </c>
      <c r="H1505" s="30" t="n">
        <f aca="false">IF('Boletins Nuppa Site'!K1505&lt;&gt;0,'Boletins Nuppa Site'!K1505,"NULL")</f>
        <v>70</v>
      </c>
      <c r="I1505" s="0" t="str">
        <f aca="false">"INSERT INTO COTACAO (cot_id, cot_blt_id, cot_pap_id, cot_prc_comum, cot_prc_min, cot_prc_max, cot_prc_med, cot_prc_mediana) VALUES ("&amp;A1505&amp;", "&amp;B1505&amp;", "&amp;C1505&amp;", "&amp;D1505&amp;", "&amp;E1505&amp;", "&amp;F1505&amp;", "&amp;G1505&amp;", "&amp;H1505&amp;");"</f>
        <v>INSERT INTO COTACAO (cot_id, cot_blt_id, cot_pap_id, cot_prc_comum, cot_prc_min, cot_prc_max, cot_prc_med, cot_prc_mediana) VALUES (1504, 75, 34, 60, 70, 80, 68.57, 70);</v>
      </c>
      <c r="J1505" s="0" t="str">
        <f aca="false">"UPDATE COTACAO SET cot_id = "&amp;A1505&amp;", cot_blt_id = "&amp;B1505&amp;", cot_pap_id = "&amp;C1505&amp;", cot_prc_comum = "&amp;D1505&amp;", cot_prc_min = "&amp;E1505&amp;", cot_prc_max = "&amp;F1505&amp;", cot_prc_med = "&amp;G1505&amp;", cot_prc_mediana = "&amp;H1505&amp;" WHERE cot_id = "&amp;A1505&amp;";"</f>
        <v>UPDATE COTACAO SET cot_id = 1504, cot_blt_id = 75, cot_pap_id = 34, cot_prc_comum = 60, cot_prc_min = 70, cot_prc_max = 80, cot_prc_med = 68.57, cot_prc_mediana = 70 WHERE cot_id = 1504;</v>
      </c>
    </row>
    <row r="1506" customFormat="false" ht="14.25" hidden="false" customHeight="false" outlineLevel="0" collapsed="false">
      <c r="A1506" s="0" t="n">
        <v>1505</v>
      </c>
      <c r="B1506" s="0" t="n">
        <f aca="false">IF('Boletins Nuppa Site'!A1506&lt;&gt;0,'Boletins Nuppa Site'!A1506,"NULL")</f>
        <v>75</v>
      </c>
      <c r="C1506" s="0" t="n">
        <v>35</v>
      </c>
      <c r="D1506" s="31" t="n">
        <f aca="false">IF('Boletins Nuppa Site'!G1506&lt;&gt;0,'Boletins Nuppa Site'!G1506,"NULL")</f>
        <v>80</v>
      </c>
      <c r="E1506" s="30" t="str">
        <f aca="false">IF('Boletins Nuppa Site'!H1506&lt;&gt;0,'Boletins Nuppa Site'!H1506,"NULL")</f>
        <v>NULL</v>
      </c>
      <c r="F1506" s="30" t="n">
        <f aca="false">IF('Boletins Nuppa Site'!I1506&lt;&gt;0,'Boletins Nuppa Site'!I1506,"NULL")</f>
        <v>120</v>
      </c>
      <c r="G1506" s="30" t="n">
        <f aca="false">IF('Boletins Nuppa Site'!J1506&lt;&gt;0,'Boletins Nuppa Site'!J1506,"NULL")</f>
        <v>95</v>
      </c>
      <c r="H1506" s="30" t="str">
        <f aca="false">IF('Boletins Nuppa Site'!K1506&lt;&gt;0,'Boletins Nuppa Site'!K1506,"NULL")</f>
        <v>97.5</v>
      </c>
      <c r="I1506" s="0" t="str">
        <f aca="false">"INSERT INTO COTACAO (cot_id, cot_blt_id, cot_pap_id, cot_prc_comum, cot_prc_min, cot_prc_max, cot_prc_med, cot_prc_mediana) VALUES ("&amp;A1506&amp;", "&amp;B1506&amp;", "&amp;C1506&amp;", "&amp;D1506&amp;", "&amp;E1506&amp;", "&amp;F1506&amp;", "&amp;G1506&amp;", "&amp;H1506&amp;");"</f>
        <v>INSERT INTO COTACAO (cot_id, cot_blt_id, cot_pap_id, cot_prc_comum, cot_prc_min, cot_prc_max, cot_prc_med, cot_prc_mediana) VALUES (1505, 75, 35, 80, NULL, 120, 95, 97.5);</v>
      </c>
      <c r="J1506" s="0" t="str">
        <f aca="false">"UPDATE COTACAO SET cot_id = "&amp;A1506&amp;", cot_blt_id = "&amp;B1506&amp;", cot_pap_id = "&amp;C1506&amp;", cot_prc_comum = "&amp;D1506&amp;", cot_prc_min = "&amp;E1506&amp;", cot_prc_max = "&amp;F1506&amp;", cot_prc_med = "&amp;G1506&amp;", cot_prc_mediana = "&amp;H1506&amp;" WHERE cot_id = "&amp;A1506&amp;";"</f>
        <v>UPDATE COTACAO SET cot_id = 1505, cot_blt_id = 75, cot_pap_id = 35, cot_prc_comum = 80, cot_prc_min = NULL, cot_prc_max = 120, cot_prc_med = 95, cot_prc_mediana = 97.5 WHERE cot_id = 1505;</v>
      </c>
    </row>
    <row r="1507" customFormat="false" ht="14.25" hidden="false" customHeight="false" outlineLevel="0" collapsed="false">
      <c r="A1507" s="0" t="n">
        <v>1506</v>
      </c>
      <c r="B1507" s="0" t="n">
        <f aca="false">IF('Boletins Nuppa Site'!A1507&lt;&gt;0,'Boletins Nuppa Site'!A1507,"NULL")</f>
        <v>75</v>
      </c>
      <c r="C1507" s="0" t="n">
        <v>36</v>
      </c>
      <c r="D1507" s="0" t="str">
        <f aca="false">IF('Boletins Nuppa Site'!G1507&lt;&gt;0,'Boletins Nuppa Site'!G1507,"NULL")</f>
        <v>NULL</v>
      </c>
      <c r="E1507" s="30" t="str">
        <f aca="false">IF('Boletins Nuppa Site'!H1507&lt;&gt;0,'Boletins Nuppa Site'!H1507,"NULL")</f>
        <v>NULL</v>
      </c>
      <c r="F1507" s="30" t="str">
        <f aca="false">IF('Boletins Nuppa Site'!I1507&lt;&gt;0,'Boletins Nuppa Site'!I1507,"NULL")</f>
        <v>NULL</v>
      </c>
      <c r="G1507" s="30" t="str">
        <f aca="false">IF('Boletins Nuppa Site'!J1507&lt;&gt;0,'Boletins Nuppa Site'!J1507,"NULL")</f>
        <v>NULL</v>
      </c>
      <c r="H1507" s="30" t="str">
        <f aca="false">IF('Boletins Nuppa Site'!K1507&lt;&gt;0,'Boletins Nuppa Site'!K1507,"NULL")</f>
        <v>NULL</v>
      </c>
      <c r="I1507" s="0" t="str">
        <f aca="false">"INSERT INTO COTACAO (cot_id, cot_blt_id, cot_pap_id, cot_prc_comum, cot_prc_min, cot_prc_max, cot_prc_med, cot_prc_mediana) VALUES ("&amp;A1507&amp;", "&amp;B1507&amp;", "&amp;C1507&amp;", "&amp;D1507&amp;", "&amp;E1507&amp;", "&amp;F1507&amp;", "&amp;G1507&amp;", "&amp;H1507&amp;");"</f>
        <v>INSERT INTO COTACAO (cot_id, cot_blt_id, cot_pap_id, cot_prc_comum, cot_prc_min, cot_prc_max, cot_prc_med, cot_prc_mediana) VALUES (1506, 75, 36, NULL, NULL, NULL, NULL, NULL);</v>
      </c>
      <c r="J1507" s="0" t="str">
        <f aca="false">"UPDATE COTACAO SET cot_id = "&amp;A1507&amp;", cot_blt_id = "&amp;B1507&amp;", cot_pap_id = "&amp;C1507&amp;", cot_prc_comum = "&amp;D1507&amp;", cot_prc_min = "&amp;E1507&amp;", cot_prc_max = "&amp;F1507&amp;", cot_prc_med = "&amp;G1507&amp;", cot_prc_mediana = "&amp;H1507&amp;" WHERE cot_id = "&amp;A1507&amp;";"</f>
        <v>UPDATE COTACAO SET cot_id = 1506, cot_blt_id = 75, cot_pap_id = 36, cot_prc_comum = NULL, cot_prc_min = NULL, cot_prc_max = NULL, cot_prc_med = NULL, cot_prc_mediana = NULL WHERE cot_id = 1506;</v>
      </c>
    </row>
    <row r="1508" customFormat="false" ht="14.25" hidden="false" customHeight="false" outlineLevel="0" collapsed="false">
      <c r="A1508" s="0" t="n">
        <v>1507</v>
      </c>
      <c r="B1508" s="0" t="n">
        <f aca="false">IF('Boletins Nuppa Site'!A1508&lt;&gt;0,'Boletins Nuppa Site'!A1508,"NULL")</f>
        <v>75</v>
      </c>
      <c r="C1508" s="0" t="n">
        <v>37</v>
      </c>
      <c r="D1508" s="0" t="str">
        <f aca="false">IF('Boletins Nuppa Site'!G1508&lt;&gt;0,'Boletins Nuppa Site'!G1508,"NULL")</f>
        <v>NULL</v>
      </c>
      <c r="E1508" s="30" t="str">
        <f aca="false">IF('Boletins Nuppa Site'!H1508&lt;&gt;0,'Boletins Nuppa Site'!H1508,"NULL")</f>
        <v>NULL</v>
      </c>
      <c r="F1508" s="30" t="str">
        <f aca="false">IF('Boletins Nuppa Site'!I1508&lt;&gt;0,'Boletins Nuppa Site'!I1508,"NULL")</f>
        <v>NULL</v>
      </c>
      <c r="G1508" s="30" t="str">
        <f aca="false">IF('Boletins Nuppa Site'!J1508&lt;&gt;0,'Boletins Nuppa Site'!J1508,"NULL")</f>
        <v>NULL</v>
      </c>
      <c r="H1508" s="30" t="str">
        <f aca="false">IF('Boletins Nuppa Site'!K1508&lt;&gt;0,'Boletins Nuppa Site'!K1508,"NULL")</f>
        <v>NULL</v>
      </c>
      <c r="I1508" s="0" t="str">
        <f aca="false">"INSERT INTO COTACAO (cot_id, cot_blt_id, cot_pap_id, cot_prc_comum, cot_prc_min, cot_prc_max, cot_prc_med, cot_prc_mediana) VALUES ("&amp;A1508&amp;", "&amp;B1508&amp;", "&amp;C1508&amp;", "&amp;D1508&amp;", "&amp;E1508&amp;", "&amp;F1508&amp;", "&amp;G1508&amp;", "&amp;H1508&amp;");"</f>
        <v>INSERT INTO COTACAO (cot_id, cot_blt_id, cot_pap_id, cot_prc_comum, cot_prc_min, cot_prc_max, cot_prc_med, cot_prc_mediana) VALUES (1507, 75, 37, NULL, NULL, NULL, NULL, NULL);</v>
      </c>
      <c r="J1508" s="0" t="str">
        <f aca="false">"UPDATE COTACAO SET cot_id = "&amp;A1508&amp;", cot_blt_id = "&amp;B1508&amp;", cot_pap_id = "&amp;C1508&amp;", cot_prc_comum = "&amp;D1508&amp;", cot_prc_min = "&amp;E1508&amp;", cot_prc_max = "&amp;F1508&amp;", cot_prc_med = "&amp;G1508&amp;", cot_prc_mediana = "&amp;H1508&amp;" WHERE cot_id = "&amp;A1508&amp;";"</f>
        <v>UPDATE COTACAO SET cot_id = 1507, cot_blt_id = 75, cot_pap_id = 37, cot_prc_comum = NULL, cot_prc_min = NULL, cot_prc_max = NULL, cot_prc_med = NULL, cot_prc_mediana = NULL WHERE cot_id = 1507;</v>
      </c>
    </row>
    <row r="1509" customFormat="false" ht="14.25" hidden="false" customHeight="false" outlineLevel="0" collapsed="false">
      <c r="A1509" s="0" t="n">
        <v>1508</v>
      </c>
      <c r="B1509" s="0" t="n">
        <f aca="false">IF('Boletins Nuppa Site'!A1509&lt;&gt;0,'Boletins Nuppa Site'!A1509,"NULL")</f>
        <v>75</v>
      </c>
      <c r="C1509" s="0" t="n">
        <v>38</v>
      </c>
      <c r="D1509" s="0" t="str">
        <f aca="false">IF('Boletins Nuppa Site'!G1509&lt;&gt;0,'Boletins Nuppa Site'!G1509,"NULL")</f>
        <v>NULL</v>
      </c>
      <c r="E1509" s="30" t="str">
        <f aca="false">IF('Boletins Nuppa Site'!H1509&lt;&gt;0,'Boletins Nuppa Site'!H1509,"NULL")</f>
        <v>NULL</v>
      </c>
      <c r="F1509" s="30" t="str">
        <f aca="false">IF('Boletins Nuppa Site'!I1509&lt;&gt;0,'Boletins Nuppa Site'!I1509,"NULL")</f>
        <v>NULL</v>
      </c>
      <c r="G1509" s="30" t="str">
        <f aca="false">IF('Boletins Nuppa Site'!J1509&lt;&gt;0,'Boletins Nuppa Site'!J1509,"NULL")</f>
        <v>NULL</v>
      </c>
      <c r="H1509" s="30" t="str">
        <f aca="false">IF('Boletins Nuppa Site'!K1509&lt;&gt;0,'Boletins Nuppa Site'!K1509,"NULL")</f>
        <v>NULL</v>
      </c>
      <c r="I1509" s="0" t="str">
        <f aca="false">"INSERT INTO COTACAO (cot_id, cot_blt_id, cot_pap_id, cot_prc_comum, cot_prc_min, cot_prc_max, cot_prc_med, cot_prc_mediana) VALUES ("&amp;A1509&amp;", "&amp;B1509&amp;", "&amp;C1509&amp;", "&amp;D1509&amp;", "&amp;E1509&amp;", "&amp;F1509&amp;", "&amp;G1509&amp;", "&amp;H1509&amp;");"</f>
        <v>INSERT INTO COTACAO (cot_id, cot_blt_id, cot_pap_id, cot_prc_comum, cot_prc_min, cot_prc_max, cot_prc_med, cot_prc_mediana) VALUES (1508, 75, 38, NULL, NULL, NULL, NULL, NULL);</v>
      </c>
      <c r="J1509" s="0" t="str">
        <f aca="false">"UPDATE COTACAO SET cot_id = "&amp;A1509&amp;", cot_blt_id = "&amp;B1509&amp;", cot_pap_id = "&amp;C1509&amp;", cot_prc_comum = "&amp;D1509&amp;", cot_prc_min = "&amp;E1509&amp;", cot_prc_max = "&amp;F1509&amp;", cot_prc_med = "&amp;G1509&amp;", cot_prc_mediana = "&amp;H1509&amp;" WHERE cot_id = "&amp;A1509&amp;";"</f>
        <v>UPDATE COTACAO SET cot_id = 1508, cot_blt_id = 75, cot_pap_id = 38, cot_prc_comum = NULL, cot_prc_min = NULL, cot_prc_max = NULL, cot_prc_med = NULL, cot_prc_mediana = NULL WHERE cot_id = 1508;</v>
      </c>
    </row>
    <row r="1510" customFormat="false" ht="14.25" hidden="false" customHeight="false" outlineLevel="0" collapsed="false">
      <c r="A1510" s="0" t="n">
        <v>1509</v>
      </c>
      <c r="B1510" s="0" t="n">
        <f aca="false">IF('Boletins Nuppa Site'!A1510&lt;&gt;0,'Boletins Nuppa Site'!A1510,"NULL")</f>
        <v>75</v>
      </c>
      <c r="C1510" s="0" t="n">
        <v>39</v>
      </c>
      <c r="D1510" s="0" t="str">
        <f aca="false">IF('Boletins Nuppa Site'!G1510&lt;&gt;0,'Boletins Nuppa Site'!G1510,"NULL")</f>
        <v>NULL</v>
      </c>
      <c r="E1510" s="30" t="str">
        <f aca="false">IF('Boletins Nuppa Site'!H1510&lt;&gt;0,'Boletins Nuppa Site'!H1510,"NULL")</f>
        <v>NULL</v>
      </c>
      <c r="F1510" s="30" t="str">
        <f aca="false">IF('Boletins Nuppa Site'!I1510&lt;&gt;0,'Boletins Nuppa Site'!I1510,"NULL")</f>
        <v>NULL</v>
      </c>
      <c r="G1510" s="30" t="str">
        <f aca="false">IF('Boletins Nuppa Site'!J1510&lt;&gt;0,'Boletins Nuppa Site'!J1510,"NULL")</f>
        <v>NULL</v>
      </c>
      <c r="H1510" s="30" t="str">
        <f aca="false">IF('Boletins Nuppa Site'!K1510&lt;&gt;0,'Boletins Nuppa Site'!K1510,"NULL")</f>
        <v>NULL</v>
      </c>
      <c r="I1510" s="0" t="str">
        <f aca="false">"INSERT INTO COTACAO (cot_id, cot_blt_id, cot_pap_id, cot_prc_comum, cot_prc_min, cot_prc_max, cot_prc_med, cot_prc_mediana) VALUES ("&amp;A1510&amp;", "&amp;B1510&amp;", "&amp;C1510&amp;", "&amp;D1510&amp;", "&amp;E1510&amp;", "&amp;F1510&amp;", "&amp;G1510&amp;", "&amp;H1510&amp;");"</f>
        <v>INSERT INTO COTACAO (cot_id, cot_blt_id, cot_pap_id, cot_prc_comum, cot_prc_min, cot_prc_max, cot_prc_med, cot_prc_mediana) VALUES (1509, 75, 39, NULL, NULL, NULL, NULL, NULL);</v>
      </c>
      <c r="J1510" s="0" t="str">
        <f aca="false">"UPDATE COTACAO SET cot_id = "&amp;A1510&amp;", cot_blt_id = "&amp;B1510&amp;", cot_pap_id = "&amp;C1510&amp;", cot_prc_comum = "&amp;D1510&amp;", cot_prc_min = "&amp;E1510&amp;", cot_prc_max = "&amp;F1510&amp;", cot_prc_med = "&amp;G1510&amp;", cot_prc_mediana = "&amp;H1510&amp;" WHERE cot_id = "&amp;A1510&amp;";"</f>
        <v>UPDATE COTACAO SET cot_id = 1509, cot_blt_id = 75, cot_pap_id = 39, cot_prc_comum = NULL, cot_prc_min = NULL, cot_prc_max = NULL, cot_prc_med = NULL, cot_prc_mediana = NULL WHERE cot_id = 1509;</v>
      </c>
    </row>
    <row r="1511" customFormat="false" ht="14.25" hidden="false" customHeight="false" outlineLevel="0" collapsed="false">
      <c r="A1511" s="0" t="n">
        <v>1510</v>
      </c>
      <c r="B1511" s="0" t="n">
        <f aca="false">IF('Boletins Nuppa Site'!A1511&lt;&gt;0,'Boletins Nuppa Site'!A1511,"NULL")</f>
        <v>75</v>
      </c>
      <c r="C1511" s="0" t="n">
        <v>40</v>
      </c>
      <c r="D1511" s="0" t="str">
        <f aca="false">IF('Boletins Nuppa Site'!G1511&lt;&gt;0,'Boletins Nuppa Site'!G1511,"NULL")</f>
        <v>NULL</v>
      </c>
      <c r="E1511" s="30" t="str">
        <f aca="false">IF('Boletins Nuppa Site'!H1511&lt;&gt;0,'Boletins Nuppa Site'!H1511,"NULL")</f>
        <v>NULL</v>
      </c>
      <c r="F1511" s="30" t="str">
        <f aca="false">IF('Boletins Nuppa Site'!I1511&lt;&gt;0,'Boletins Nuppa Site'!I1511,"NULL")</f>
        <v>NULL</v>
      </c>
      <c r="G1511" s="30" t="str">
        <f aca="false">IF('Boletins Nuppa Site'!J1511&lt;&gt;0,'Boletins Nuppa Site'!J1511,"NULL")</f>
        <v>NULL</v>
      </c>
      <c r="H1511" s="30" t="str">
        <f aca="false">IF('Boletins Nuppa Site'!K1511&lt;&gt;0,'Boletins Nuppa Site'!K1511,"NULL")</f>
        <v>NULL</v>
      </c>
      <c r="I1511" s="0" t="str">
        <f aca="false">"INSERT INTO COTACAO (cot_id, cot_blt_id, cot_pap_id, cot_prc_comum, cot_prc_min, cot_prc_max, cot_prc_med, cot_prc_mediana) VALUES ("&amp;A1511&amp;", "&amp;B1511&amp;", "&amp;C1511&amp;", "&amp;D1511&amp;", "&amp;E1511&amp;", "&amp;F1511&amp;", "&amp;G1511&amp;", "&amp;H1511&amp;");"</f>
        <v>INSERT INTO COTACAO (cot_id, cot_blt_id, cot_pap_id, cot_prc_comum, cot_prc_min, cot_prc_max, cot_prc_med, cot_prc_mediana) VALUES (1510, 75, 40, NULL, NULL, NULL, NULL, NULL);</v>
      </c>
      <c r="J1511" s="0" t="str">
        <f aca="false">"UPDATE COTACAO SET cot_id = "&amp;A1511&amp;", cot_blt_id = "&amp;B1511&amp;", cot_pap_id = "&amp;C1511&amp;", cot_prc_comum = "&amp;D1511&amp;", cot_prc_min = "&amp;E1511&amp;", cot_prc_max = "&amp;F1511&amp;", cot_prc_med = "&amp;G1511&amp;", cot_prc_mediana = "&amp;H1511&amp;" WHERE cot_id = "&amp;A1511&amp;";"</f>
        <v>UPDATE COTACAO SET cot_id = 1510, cot_blt_id = 75, cot_pap_id = 40, cot_prc_comum = NULL, cot_prc_min = NULL, cot_prc_max = NULL, cot_prc_med = NULL, cot_prc_mediana = NULL WHERE cot_id = 1510;</v>
      </c>
    </row>
    <row r="1512" customFormat="false" ht="14.25" hidden="false" customHeight="false" outlineLevel="0" collapsed="false">
      <c r="A1512" s="0" t="n">
        <v>1511</v>
      </c>
      <c r="B1512" s="0" t="n">
        <f aca="false">IF('Boletins Nuppa Site'!A1512&lt;&gt;0,'Boletins Nuppa Site'!A1512,"NULL")</f>
        <v>76</v>
      </c>
      <c r="C1512" s="0" t="n">
        <v>1</v>
      </c>
      <c r="D1512" s="0" t="str">
        <f aca="false">IF('Boletins Nuppa Site'!G1512&lt;&gt;0,'Boletins Nuppa Site'!G1512,"NULL")</f>
        <v> 48.00</v>
      </c>
      <c r="E1512" s="30" t="str">
        <f aca="false">IF('Boletins Nuppa Site'!H1512&lt;&gt;0,'Boletins Nuppa Site'!H1512,"NULL")</f>
        <v> 48.00</v>
      </c>
      <c r="F1512" s="30" t="str">
        <f aca="false">IF('Boletins Nuppa Site'!I1512&lt;&gt;0,'Boletins Nuppa Site'!I1512,"NULL")</f>
        <v> 60.00</v>
      </c>
      <c r="G1512" s="30" t="str">
        <f aca="false">IF('Boletins Nuppa Site'!J1512&lt;&gt;0,'Boletins Nuppa Site'!J1512,"NULL")</f>
        <v> 54.00</v>
      </c>
      <c r="H1512" s="30" t="str">
        <f aca="false">IF('Boletins Nuppa Site'!K1512&lt;&gt;0,'Boletins Nuppa Site'!K1512,"NULL")</f>
        <v> 54.00</v>
      </c>
      <c r="I1512" s="0" t="str">
        <f aca="false">"INSERT INTO COTACAO (cot_id, cot_blt_id, cot_pap_id, cot_prc_comum, cot_prc_min, cot_prc_max, cot_prc_med, cot_prc_mediana) VALUES ("&amp;A1512&amp;", "&amp;B1512&amp;", "&amp;C1512&amp;", "&amp;D1512&amp;", "&amp;E1512&amp;", "&amp;F1512&amp;", "&amp;G1512&amp;", "&amp;H1512&amp;");"</f>
        <v>INSERT INTO COTACAO (cot_id, cot_blt_id, cot_pap_id, cot_prc_comum, cot_prc_min, cot_prc_max, cot_prc_med, cot_prc_mediana) VALUES (1511, 76, 1,  48.00,  48.00,  60.00,  54.00,  54.00);</v>
      </c>
      <c r="J1512" s="0" t="str">
        <f aca="false">"UPDATE COTACAO SET cot_id = "&amp;A1512&amp;", cot_blt_id = "&amp;B1512&amp;", cot_pap_id = "&amp;C1512&amp;", cot_prc_comum = "&amp;D1512&amp;", cot_prc_min = "&amp;E1512&amp;", cot_prc_max = "&amp;F1512&amp;", cot_prc_med = "&amp;G1512&amp;", cot_prc_mediana = "&amp;H1512&amp;" WHERE cot_id = "&amp;A1512&amp;";"</f>
        <v>UPDATE COTACAO SET cot_id = 1511, cot_blt_id = 76, cot_pap_id = 1, cot_prc_comum =  48.00, cot_prc_min =  48.00, cot_prc_max =  60.00, cot_prc_med =  54.00, cot_prc_mediana =  54.00 WHERE cot_id = 1511;</v>
      </c>
    </row>
    <row r="1513" customFormat="false" ht="14.25" hidden="false" customHeight="false" outlineLevel="0" collapsed="false">
      <c r="A1513" s="0" t="n">
        <v>1512</v>
      </c>
      <c r="B1513" s="0" t="n">
        <f aca="false">IF('Boletins Nuppa Site'!A1513&lt;&gt;0,'Boletins Nuppa Site'!A1513,"NULL")</f>
        <v>76</v>
      </c>
      <c r="C1513" s="0" t="n">
        <v>2</v>
      </c>
      <c r="D1513" s="0" t="str">
        <f aca="false">IF('Boletins Nuppa Site'!G1513&lt;&gt;0,'Boletins Nuppa Site'!G1513,"NULL")</f>
        <v> 72.00</v>
      </c>
      <c r="E1513" s="30" t="str">
        <f aca="false">IF('Boletins Nuppa Site'!H1513&lt;&gt;0,'Boletins Nuppa Site'!H1513,"NULL")</f>
        <v> 60.00</v>
      </c>
      <c r="F1513" s="30" t="str">
        <f aca="false">IF('Boletins Nuppa Site'!I1513&lt;&gt;0,'Boletins Nuppa Site'!I1513,"NULL")</f>
        <v> 84.00</v>
      </c>
      <c r="G1513" s="30" t="str">
        <f aca="false">IF('Boletins Nuppa Site'!J1513&lt;&gt;0,'Boletins Nuppa Site'!J1513,"NULL")</f>
        <v> 72.00</v>
      </c>
      <c r="H1513" s="30" t="str">
        <f aca="false">IF('Boletins Nuppa Site'!K1513&lt;&gt;0,'Boletins Nuppa Site'!K1513,"NULL")</f>
        <v> 72.00</v>
      </c>
      <c r="I1513" s="0" t="str">
        <f aca="false">"INSERT INTO COTACAO (cot_id, cot_blt_id, cot_pap_id, cot_prc_comum, cot_prc_min, cot_prc_max, cot_prc_med, cot_prc_mediana) VALUES ("&amp;A1513&amp;", "&amp;B1513&amp;", "&amp;C1513&amp;", "&amp;D1513&amp;", "&amp;E1513&amp;", "&amp;F1513&amp;", "&amp;G1513&amp;", "&amp;H1513&amp;");"</f>
        <v>INSERT INTO COTACAO (cot_id, cot_blt_id, cot_pap_id, cot_prc_comum, cot_prc_min, cot_prc_max, cot_prc_med, cot_prc_mediana) VALUES (1512, 76, 2,  72.00,  60.00,  84.00,  72.00,  72.00);</v>
      </c>
      <c r="J1513" s="0" t="str">
        <f aca="false">"UPDATE COTACAO SET cot_id = "&amp;A1513&amp;", cot_blt_id = "&amp;B1513&amp;", cot_pap_id = "&amp;C1513&amp;", cot_prc_comum = "&amp;D1513&amp;", cot_prc_min = "&amp;E1513&amp;", cot_prc_max = "&amp;F1513&amp;", cot_prc_med = "&amp;G1513&amp;", cot_prc_mediana = "&amp;H1513&amp;" WHERE cot_id = "&amp;A1513&amp;";"</f>
        <v>UPDATE COTACAO SET cot_id = 1512, cot_blt_id = 76, cot_pap_id = 2, cot_prc_comum =  72.00, cot_prc_min =  60.00, cot_prc_max =  84.00, cot_prc_med =  72.00, cot_prc_mediana =  72.00 WHERE cot_id = 1512;</v>
      </c>
    </row>
    <row r="1514" customFormat="false" ht="14.25" hidden="false" customHeight="false" outlineLevel="0" collapsed="false">
      <c r="A1514" s="0" t="n">
        <v>1513</v>
      </c>
      <c r="B1514" s="0" t="n">
        <f aca="false">IF('Boletins Nuppa Site'!A1514&lt;&gt;0,'Boletins Nuppa Site'!A1514,"NULL")</f>
        <v>76</v>
      </c>
      <c r="C1514" s="0" t="n">
        <v>3</v>
      </c>
      <c r="D1514" s="0" t="str">
        <f aca="false">IF('Boletins Nuppa Site'!G1514&lt;&gt;0,'Boletins Nuppa Site'!G1514,"NULL")</f>
        <v> 30.00</v>
      </c>
      <c r="E1514" s="30" t="str">
        <f aca="false">IF('Boletins Nuppa Site'!H1514&lt;&gt;0,'Boletins Nuppa Site'!H1514,"NULL")</f>
        <v> 30.00</v>
      </c>
      <c r="F1514" s="30" t="str">
        <f aca="false">IF('Boletins Nuppa Site'!I1514&lt;&gt;0,'Boletins Nuppa Site'!I1514,"NULL")</f>
        <v> 42.00</v>
      </c>
      <c r="G1514" s="30" t="str">
        <f aca="false">IF('Boletins Nuppa Site'!J1514&lt;&gt;0,'Boletins Nuppa Site'!J1514,"NULL")</f>
        <v> 34.50</v>
      </c>
      <c r="H1514" s="30" t="str">
        <f aca="false">IF('Boletins Nuppa Site'!K1514&lt;&gt;0,'Boletins Nuppa Site'!K1514,"NULL")</f>
        <v> 33.00</v>
      </c>
      <c r="I1514" s="0" t="str">
        <f aca="false">"INSERT INTO COTACAO (cot_id, cot_blt_id, cot_pap_id, cot_prc_comum, cot_prc_min, cot_prc_max, cot_prc_med, cot_prc_mediana) VALUES ("&amp;A1514&amp;", "&amp;B1514&amp;", "&amp;C1514&amp;", "&amp;D1514&amp;", "&amp;E1514&amp;", "&amp;F1514&amp;", "&amp;G1514&amp;", "&amp;H1514&amp;");"</f>
        <v>INSERT INTO COTACAO (cot_id, cot_blt_id, cot_pap_id, cot_prc_comum, cot_prc_min, cot_prc_max, cot_prc_med, cot_prc_mediana) VALUES (1513, 76, 3,  30.00,  30.00,  42.00,  34.50,  33.00);</v>
      </c>
      <c r="J1514" s="0" t="str">
        <f aca="false">"UPDATE COTACAO SET cot_id = "&amp;A1514&amp;", cot_blt_id = "&amp;B1514&amp;", cot_pap_id = "&amp;C1514&amp;", cot_prc_comum = "&amp;D1514&amp;", cot_prc_min = "&amp;E1514&amp;", cot_prc_max = "&amp;F1514&amp;", cot_prc_med = "&amp;G1514&amp;", cot_prc_mediana = "&amp;H1514&amp;" WHERE cot_id = "&amp;A1514&amp;";"</f>
        <v>UPDATE COTACAO SET cot_id = 1513, cot_blt_id = 76, cot_pap_id = 3, cot_prc_comum =  30.00, cot_prc_min =  30.00, cot_prc_max =  42.00, cot_prc_med =  34.50, cot_prc_mediana =  33.00 WHERE cot_id = 1513;</v>
      </c>
    </row>
    <row r="1515" customFormat="false" ht="14.25" hidden="false" customHeight="false" outlineLevel="0" collapsed="false">
      <c r="A1515" s="0" t="n">
        <v>1514</v>
      </c>
      <c r="B1515" s="0" t="n">
        <f aca="false">IF('Boletins Nuppa Site'!A1515&lt;&gt;0,'Boletins Nuppa Site'!A1515,"NULL")</f>
        <v>76</v>
      </c>
      <c r="C1515" s="0" t="n">
        <v>4</v>
      </c>
      <c r="D1515" s="0" t="str">
        <f aca="false">IF('Boletins Nuppa Site'!G1515&lt;&gt;0,'Boletins Nuppa Site'!G1515,"NULL")</f>
        <v> 24.00</v>
      </c>
      <c r="E1515" s="30" t="str">
        <f aca="false">IF('Boletins Nuppa Site'!H1515&lt;&gt;0,'Boletins Nuppa Site'!H1515,"NULL")</f>
        <v> 18.00</v>
      </c>
      <c r="F1515" s="30" t="str">
        <f aca="false">IF('Boletins Nuppa Site'!I1515&lt;&gt;0,'Boletins Nuppa Site'!I1515,"NULL")</f>
        <v> 24.00</v>
      </c>
      <c r="G1515" s="30" t="str">
        <f aca="false">IF('Boletins Nuppa Site'!J1515&lt;&gt;0,'Boletins Nuppa Site'!J1515,"NULL")</f>
        <v> 22.50</v>
      </c>
      <c r="H1515" s="30" t="str">
        <f aca="false">IF('Boletins Nuppa Site'!K1515&lt;&gt;0,'Boletins Nuppa Site'!K1515,"NULL")</f>
        <v> 24.00</v>
      </c>
      <c r="I1515" s="0" t="str">
        <f aca="false">"INSERT INTO COTACAO (cot_id, cot_blt_id, cot_pap_id, cot_prc_comum, cot_prc_min, cot_prc_max, cot_prc_med, cot_prc_mediana) VALUES ("&amp;A1515&amp;", "&amp;B1515&amp;", "&amp;C1515&amp;", "&amp;D1515&amp;", "&amp;E1515&amp;", "&amp;F1515&amp;", "&amp;G1515&amp;", "&amp;H1515&amp;");"</f>
        <v>INSERT INTO COTACAO (cot_id, cot_blt_id, cot_pap_id, cot_prc_comum, cot_prc_min, cot_prc_max, cot_prc_med, cot_prc_mediana) VALUES (1514, 76, 4,  24.00,  18.00,  24.00,  22.50,  24.00);</v>
      </c>
      <c r="J1515" s="0" t="str">
        <f aca="false">"UPDATE COTACAO SET cot_id = "&amp;A1515&amp;", cot_blt_id = "&amp;B1515&amp;", cot_pap_id = "&amp;C1515&amp;", cot_prc_comum = "&amp;D1515&amp;", cot_prc_min = "&amp;E1515&amp;", cot_prc_max = "&amp;F1515&amp;", cot_prc_med = "&amp;G1515&amp;", cot_prc_mediana = "&amp;H1515&amp;" WHERE cot_id = "&amp;A1515&amp;";"</f>
        <v>UPDATE COTACAO SET cot_id = 1514, cot_blt_id = 76, cot_pap_id = 4, cot_prc_comum =  24.00, cot_prc_min =  18.00, cot_prc_max =  24.00, cot_prc_med =  22.50, cot_prc_mediana =  24.00 WHERE cot_id = 1514;</v>
      </c>
    </row>
    <row r="1516" customFormat="false" ht="14.25" hidden="false" customHeight="false" outlineLevel="0" collapsed="false">
      <c r="A1516" s="0" t="n">
        <v>1515</v>
      </c>
      <c r="B1516" s="0" t="n">
        <f aca="false">IF('Boletins Nuppa Site'!A1516&lt;&gt;0,'Boletins Nuppa Site'!A1516,"NULL")</f>
        <v>76</v>
      </c>
      <c r="C1516" s="0" t="n">
        <v>5</v>
      </c>
      <c r="D1516" s="0" t="str">
        <f aca="false">IF('Boletins Nuppa Site'!G1516&lt;&gt;0,'Boletins Nuppa Site'!G1516,"NULL")</f>
        <v> 24.00</v>
      </c>
      <c r="E1516" s="30" t="str">
        <f aca="false">IF('Boletins Nuppa Site'!H1516&lt;&gt;0,'Boletins Nuppa Site'!H1516,"NULL")</f>
        <v> 24.00</v>
      </c>
      <c r="F1516" s="30" t="str">
        <f aca="false">IF('Boletins Nuppa Site'!I1516&lt;&gt;0,'Boletins Nuppa Site'!I1516,"NULL")</f>
        <v> 60.00</v>
      </c>
      <c r="G1516" s="30" t="str">
        <f aca="false">IF('Boletins Nuppa Site'!J1516&lt;&gt;0,'Boletins Nuppa Site'!J1516,"NULL")</f>
        <v> 33.00</v>
      </c>
      <c r="H1516" s="30" t="str">
        <f aca="false">IF('Boletins Nuppa Site'!K1516&lt;&gt;0,'Boletins Nuppa Site'!K1516,"NULL")</f>
        <v> 24.00</v>
      </c>
      <c r="I1516" s="0" t="str">
        <f aca="false">"INSERT INTO COTACAO (cot_id, cot_blt_id, cot_pap_id, cot_prc_comum, cot_prc_min, cot_prc_max, cot_prc_med, cot_prc_mediana) VALUES ("&amp;A1516&amp;", "&amp;B1516&amp;", "&amp;C1516&amp;", "&amp;D1516&amp;", "&amp;E1516&amp;", "&amp;F1516&amp;", "&amp;G1516&amp;", "&amp;H1516&amp;");"</f>
        <v>INSERT INTO COTACAO (cot_id, cot_blt_id, cot_pap_id, cot_prc_comum, cot_prc_min, cot_prc_max, cot_prc_med, cot_prc_mediana) VALUES (1515, 76, 5,  24.00,  24.00,  60.00,  33.00,  24.00);</v>
      </c>
      <c r="J1516" s="0" t="str">
        <f aca="false">"UPDATE COTACAO SET cot_id = "&amp;A1516&amp;", cot_blt_id = "&amp;B1516&amp;", cot_pap_id = "&amp;C1516&amp;", cot_prc_comum = "&amp;D1516&amp;", cot_prc_min = "&amp;E1516&amp;", cot_prc_max = "&amp;F1516&amp;", cot_prc_med = "&amp;G1516&amp;", cot_prc_mediana = "&amp;H1516&amp;" WHERE cot_id = "&amp;A1516&amp;";"</f>
        <v>UPDATE COTACAO SET cot_id = 1515, cot_blt_id = 76, cot_pap_id = 5, cot_prc_comum =  24.00, cot_prc_min =  24.00, cot_prc_max =  60.00, cot_prc_med =  33.00, cot_prc_mediana =  24.00 WHERE cot_id = 1515;</v>
      </c>
    </row>
    <row r="1517" customFormat="false" ht="14.25" hidden="false" customHeight="false" outlineLevel="0" collapsed="false">
      <c r="A1517" s="0" t="n">
        <v>1516</v>
      </c>
      <c r="B1517" s="0" t="n">
        <f aca="false">IF('Boletins Nuppa Site'!A1517&lt;&gt;0,'Boletins Nuppa Site'!A1517,"NULL")</f>
        <v>76</v>
      </c>
      <c r="C1517" s="0" t="n">
        <v>6</v>
      </c>
      <c r="D1517" s="0" t="str">
        <f aca="false">IF('Boletins Nuppa Site'!G1517&lt;&gt;0,'Boletins Nuppa Site'!G1517,"NULL")</f>
        <v> 60.00</v>
      </c>
      <c r="E1517" s="30" t="str">
        <f aca="false">IF('Boletins Nuppa Site'!H1517&lt;&gt;0,'Boletins Nuppa Site'!H1517,"NULL")</f>
        <v> 60.00</v>
      </c>
      <c r="F1517" s="30" t="str">
        <f aca="false">IF('Boletins Nuppa Site'!I1517&lt;&gt;0,'Boletins Nuppa Site'!I1517,"NULL")</f>
        <v> 60.00</v>
      </c>
      <c r="G1517" s="30" t="str">
        <f aca="false">IF('Boletins Nuppa Site'!J1517&lt;&gt;0,'Boletins Nuppa Site'!J1517,"NULL")</f>
        <v> 60.00</v>
      </c>
      <c r="H1517" s="30" t="str">
        <f aca="false">IF('Boletins Nuppa Site'!K1517&lt;&gt;0,'Boletins Nuppa Site'!K1517,"NULL")</f>
        <v> 60.00</v>
      </c>
      <c r="I1517" s="0" t="str">
        <f aca="false">"INSERT INTO COTACAO (cot_id, cot_blt_id, cot_pap_id, cot_prc_comum, cot_prc_min, cot_prc_max, cot_prc_med, cot_prc_mediana) VALUES ("&amp;A1517&amp;", "&amp;B1517&amp;", "&amp;C1517&amp;", "&amp;D1517&amp;", "&amp;E1517&amp;", "&amp;F1517&amp;", "&amp;G1517&amp;", "&amp;H1517&amp;");"</f>
        <v>INSERT INTO COTACAO (cot_id, cot_blt_id, cot_pap_id, cot_prc_comum, cot_prc_min, cot_prc_max, cot_prc_med, cot_prc_mediana) VALUES (1516, 76, 6,  60.00,  60.00,  60.00,  60.00,  60.00);</v>
      </c>
      <c r="J1517" s="0" t="str">
        <f aca="false">"UPDATE COTACAO SET cot_id = "&amp;A1517&amp;", cot_blt_id = "&amp;B1517&amp;", cot_pap_id = "&amp;C1517&amp;", cot_prc_comum = "&amp;D1517&amp;", cot_prc_min = "&amp;E1517&amp;", cot_prc_max = "&amp;F1517&amp;", cot_prc_med = "&amp;G1517&amp;", cot_prc_mediana = "&amp;H1517&amp;" WHERE cot_id = "&amp;A1517&amp;";"</f>
        <v>UPDATE COTACAO SET cot_id = 1516, cot_blt_id = 76, cot_pap_id = 6, cot_prc_comum =  60.00, cot_prc_min =  60.00, cot_prc_max =  60.00, cot_prc_med =  60.00, cot_prc_mediana =  60.00 WHERE cot_id = 1516;</v>
      </c>
    </row>
    <row r="1518" customFormat="false" ht="14.25" hidden="false" customHeight="false" outlineLevel="0" collapsed="false">
      <c r="A1518" s="0" t="n">
        <v>1517</v>
      </c>
      <c r="B1518" s="0" t="n">
        <f aca="false">IF('Boletins Nuppa Site'!A1518&lt;&gt;0,'Boletins Nuppa Site'!A1518,"NULL")</f>
        <v>76</v>
      </c>
      <c r="C1518" s="0" t="n">
        <v>7</v>
      </c>
      <c r="D1518" s="0" t="str">
        <f aca="false">IF('Boletins Nuppa Site'!G1518&lt;&gt;0,'Boletins Nuppa Site'!G1518,"NULL")</f>
        <v> 60.00</v>
      </c>
      <c r="E1518" s="30" t="str">
        <f aca="false">IF('Boletins Nuppa Site'!H1518&lt;&gt;0,'Boletins Nuppa Site'!H1518,"NULL")</f>
        <v> 60.00</v>
      </c>
      <c r="F1518" s="30" t="str">
        <f aca="false">IF('Boletins Nuppa Site'!I1518&lt;&gt;0,'Boletins Nuppa Site'!I1518,"NULL")</f>
        <v> 72.00</v>
      </c>
      <c r="G1518" s="30" t="str">
        <f aca="false">IF('Boletins Nuppa Site'!J1518&lt;&gt;0,'Boletins Nuppa Site'!J1518,"NULL")</f>
        <v> 64.00</v>
      </c>
      <c r="H1518" s="30" t="str">
        <f aca="false">IF('Boletins Nuppa Site'!K1518&lt;&gt;0,'Boletins Nuppa Site'!K1518,"NULL")</f>
        <v> 60.00</v>
      </c>
      <c r="I1518" s="0" t="str">
        <f aca="false">"INSERT INTO COTACAO (cot_id, cot_blt_id, cot_pap_id, cot_prc_comum, cot_prc_min, cot_prc_max, cot_prc_med, cot_prc_mediana) VALUES ("&amp;A1518&amp;", "&amp;B1518&amp;", "&amp;C1518&amp;", "&amp;D1518&amp;", "&amp;E1518&amp;", "&amp;F1518&amp;", "&amp;G1518&amp;", "&amp;H1518&amp;");"</f>
        <v>INSERT INTO COTACAO (cot_id, cot_blt_id, cot_pap_id, cot_prc_comum, cot_prc_min, cot_prc_max, cot_prc_med, cot_prc_mediana) VALUES (1517, 76, 7,  60.00,  60.00,  72.00,  64.00,  60.00);</v>
      </c>
      <c r="J1518" s="0" t="str">
        <f aca="false">"UPDATE COTACAO SET cot_id = "&amp;A1518&amp;", cot_blt_id = "&amp;B1518&amp;", cot_pap_id = "&amp;C1518&amp;", cot_prc_comum = "&amp;D1518&amp;", cot_prc_min = "&amp;E1518&amp;", cot_prc_max = "&amp;F1518&amp;", cot_prc_med = "&amp;G1518&amp;", cot_prc_mediana = "&amp;H1518&amp;" WHERE cot_id = "&amp;A1518&amp;";"</f>
        <v>UPDATE COTACAO SET cot_id = 1517, cot_blt_id = 76, cot_pap_id = 7, cot_prc_comum =  60.00, cot_prc_min =  60.00, cot_prc_max =  72.00, cot_prc_med =  64.00, cot_prc_mediana =  60.00 WHERE cot_id = 1517;</v>
      </c>
    </row>
    <row r="1519" customFormat="false" ht="14.25" hidden="false" customHeight="false" outlineLevel="0" collapsed="false">
      <c r="A1519" s="0" t="n">
        <v>1518</v>
      </c>
      <c r="B1519" s="0" t="n">
        <f aca="false">IF('Boletins Nuppa Site'!A1519&lt;&gt;0,'Boletins Nuppa Site'!A1519,"NULL")</f>
        <v>76</v>
      </c>
      <c r="C1519" s="0" t="n">
        <v>8</v>
      </c>
      <c r="D1519" s="0" t="str">
        <f aca="false">IF('Boletins Nuppa Site'!G1519&lt;&gt;0,'Boletins Nuppa Site'!G1519,"NULL")</f>
        <v> 72.00</v>
      </c>
      <c r="E1519" s="30" t="str">
        <f aca="false">IF('Boletins Nuppa Site'!H1519&lt;&gt;0,'Boletins Nuppa Site'!H1519,"NULL")</f>
        <v> 70.00</v>
      </c>
      <c r="F1519" s="30" t="str">
        <f aca="false">IF('Boletins Nuppa Site'!I1519&lt;&gt;0,'Boletins Nuppa Site'!I1519,"NULL")</f>
        <v> 72.00</v>
      </c>
      <c r="G1519" s="30" t="str">
        <f aca="false">IF('Boletins Nuppa Site'!J1519&lt;&gt;0,'Boletins Nuppa Site'!J1519,"NULL")</f>
        <v> 71.50</v>
      </c>
      <c r="H1519" s="30" t="str">
        <f aca="false">IF('Boletins Nuppa Site'!K1519&lt;&gt;0,'Boletins Nuppa Site'!K1519,"NULL")</f>
        <v> 72.00</v>
      </c>
      <c r="I1519" s="0" t="str">
        <f aca="false">"INSERT INTO COTACAO (cot_id, cot_blt_id, cot_pap_id, cot_prc_comum, cot_prc_min, cot_prc_max, cot_prc_med, cot_prc_mediana) VALUES ("&amp;A1519&amp;", "&amp;B1519&amp;", "&amp;C1519&amp;", "&amp;D1519&amp;", "&amp;E1519&amp;", "&amp;F1519&amp;", "&amp;G1519&amp;", "&amp;H1519&amp;");"</f>
        <v>INSERT INTO COTACAO (cot_id, cot_blt_id, cot_pap_id, cot_prc_comum, cot_prc_min, cot_prc_max, cot_prc_med, cot_prc_mediana) VALUES (1518, 76, 8,  72.00,  70.00,  72.00,  71.50,  72.00);</v>
      </c>
      <c r="J1519" s="0" t="str">
        <f aca="false">"UPDATE COTACAO SET cot_id = "&amp;A1519&amp;", cot_blt_id = "&amp;B1519&amp;", cot_pap_id = "&amp;C1519&amp;", cot_prc_comum = "&amp;D1519&amp;", cot_prc_min = "&amp;E1519&amp;", cot_prc_max = "&amp;F1519&amp;", cot_prc_med = "&amp;G1519&amp;", cot_prc_mediana = "&amp;H1519&amp;" WHERE cot_id = "&amp;A1519&amp;";"</f>
        <v>UPDATE COTACAO SET cot_id = 1518, cot_blt_id = 76, cot_pap_id = 8, cot_prc_comum =  72.00, cot_prc_min =  70.00, cot_prc_max =  72.00, cot_prc_med =  71.50, cot_prc_mediana =  72.00 WHERE cot_id = 1518;</v>
      </c>
    </row>
    <row r="1520" customFormat="false" ht="14.25" hidden="false" customHeight="false" outlineLevel="0" collapsed="false">
      <c r="A1520" s="0" t="n">
        <v>1519</v>
      </c>
      <c r="B1520" s="0" t="n">
        <f aca="false">IF('Boletins Nuppa Site'!A1520&lt;&gt;0,'Boletins Nuppa Site'!A1520,"NULL")</f>
        <v>76</v>
      </c>
      <c r="C1520" s="0" t="n">
        <v>9</v>
      </c>
      <c r="D1520" s="0" t="str">
        <f aca="false">IF('Boletins Nuppa Site'!G1520&lt;&gt;0,'Boletins Nuppa Site'!G1520,"NULL")</f>
        <v> 24.00</v>
      </c>
      <c r="E1520" s="30" t="str">
        <f aca="false">IF('Boletins Nuppa Site'!H1520&lt;&gt;0,'Boletins Nuppa Site'!H1520,"NULL")</f>
        <v> 18.00</v>
      </c>
      <c r="F1520" s="30" t="str">
        <f aca="false">IF('Boletins Nuppa Site'!I1520&lt;&gt;0,'Boletins Nuppa Site'!I1520,"NULL")</f>
        <v> 24.00</v>
      </c>
      <c r="G1520" s="30" t="str">
        <f aca="false">IF('Boletins Nuppa Site'!J1520&lt;&gt;0,'Boletins Nuppa Site'!J1520,"NULL")</f>
        <v> 21.50</v>
      </c>
      <c r="H1520" s="30" t="str">
        <f aca="false">IF('Boletins Nuppa Site'!K1520&lt;&gt;0,'Boletins Nuppa Site'!K1520,"NULL")</f>
        <v> 22.00</v>
      </c>
      <c r="I1520" s="0" t="str">
        <f aca="false">"INSERT INTO COTACAO (cot_id, cot_blt_id, cot_pap_id, cot_prc_comum, cot_prc_min, cot_prc_max, cot_prc_med, cot_prc_mediana) VALUES ("&amp;A1520&amp;", "&amp;B1520&amp;", "&amp;C1520&amp;", "&amp;D1520&amp;", "&amp;E1520&amp;", "&amp;F1520&amp;", "&amp;G1520&amp;", "&amp;H1520&amp;");"</f>
        <v>INSERT INTO COTACAO (cot_id, cot_blt_id, cot_pap_id, cot_prc_comum, cot_prc_min, cot_prc_max, cot_prc_med, cot_prc_mediana) VALUES (1519, 76, 9,  24.00,  18.00,  24.00,  21.50,  22.00);</v>
      </c>
      <c r="J1520" s="0" t="str">
        <f aca="false">"UPDATE COTACAO SET cot_id = "&amp;A1520&amp;", cot_blt_id = "&amp;B1520&amp;", cot_pap_id = "&amp;C1520&amp;", cot_prc_comum = "&amp;D1520&amp;", cot_prc_min = "&amp;E1520&amp;", cot_prc_max = "&amp;F1520&amp;", cot_prc_med = "&amp;G1520&amp;", cot_prc_mediana = "&amp;H1520&amp;" WHERE cot_id = "&amp;A1520&amp;";"</f>
        <v>UPDATE COTACAO SET cot_id = 1519, cot_blt_id = 76, cot_pap_id = 9, cot_prc_comum =  24.00, cot_prc_min =  18.00, cot_prc_max =  24.00, cot_prc_med =  21.50, cot_prc_mediana =  22.00 WHERE cot_id = 1519;</v>
      </c>
    </row>
    <row r="1521" customFormat="false" ht="14.25" hidden="false" customHeight="false" outlineLevel="0" collapsed="false">
      <c r="A1521" s="0" t="n">
        <v>1520</v>
      </c>
      <c r="B1521" s="0" t="n">
        <f aca="false">IF('Boletins Nuppa Site'!A1521&lt;&gt;0,'Boletins Nuppa Site'!A1521,"NULL")</f>
        <v>76</v>
      </c>
      <c r="C1521" s="0" t="n">
        <v>10</v>
      </c>
      <c r="D1521" s="0" t="str">
        <f aca="false">IF('Boletins Nuppa Site'!G1521&lt;&gt;0,'Boletins Nuppa Site'!G1521,"NULL")</f>
        <v> 60.00</v>
      </c>
      <c r="E1521" s="30" t="str">
        <f aca="false">IF('Boletins Nuppa Site'!H1521&lt;&gt;0,'Boletins Nuppa Site'!H1521,"NULL")</f>
        <v> 60.00</v>
      </c>
      <c r="F1521" s="30" t="str">
        <f aca="false">IF('Boletins Nuppa Site'!I1521&lt;&gt;0,'Boletins Nuppa Site'!I1521,"NULL")</f>
        <v> 70.00</v>
      </c>
      <c r="G1521" s="30" t="str">
        <f aca="false">IF('Boletins Nuppa Site'!J1521&lt;&gt;0,'Boletins Nuppa Site'!J1521,"NULL")</f>
        <v> 63.33</v>
      </c>
      <c r="H1521" s="30" t="str">
        <f aca="false">IF('Boletins Nuppa Site'!K1521&lt;&gt;0,'Boletins Nuppa Site'!K1521,"NULL")</f>
        <v> 60.00</v>
      </c>
      <c r="I1521" s="0" t="str">
        <f aca="false">"INSERT INTO COTACAO (cot_id, cot_blt_id, cot_pap_id, cot_prc_comum, cot_prc_min, cot_prc_max, cot_prc_med, cot_prc_mediana) VALUES ("&amp;A1521&amp;", "&amp;B1521&amp;", "&amp;C1521&amp;", "&amp;D1521&amp;", "&amp;E1521&amp;", "&amp;F1521&amp;", "&amp;G1521&amp;", "&amp;H1521&amp;");"</f>
        <v>INSERT INTO COTACAO (cot_id, cot_blt_id, cot_pap_id, cot_prc_comum, cot_prc_min, cot_prc_max, cot_prc_med, cot_prc_mediana) VALUES (1520, 76, 10,  60.00,  60.00,  70.00,  63.33,  60.00);</v>
      </c>
      <c r="J1521" s="0" t="str">
        <f aca="false">"UPDATE COTACAO SET cot_id = "&amp;A1521&amp;", cot_blt_id = "&amp;B1521&amp;", cot_pap_id = "&amp;C1521&amp;", cot_prc_comum = "&amp;D1521&amp;", cot_prc_min = "&amp;E1521&amp;", cot_prc_max = "&amp;F1521&amp;", cot_prc_med = "&amp;G1521&amp;", cot_prc_mediana = "&amp;H1521&amp;" WHERE cot_id = "&amp;A1521&amp;";"</f>
        <v>UPDATE COTACAO SET cot_id = 1520, cot_blt_id = 76, cot_pap_id = 10, cot_prc_comum =  60.00, cot_prc_min =  60.00, cot_prc_max =  70.00, cot_prc_med =  63.33, cot_prc_mediana =  60.00 WHERE cot_id = 1520;</v>
      </c>
    </row>
    <row r="1522" customFormat="false" ht="14.25" hidden="false" customHeight="false" outlineLevel="0" collapsed="false">
      <c r="A1522" s="0" t="n">
        <v>1521</v>
      </c>
      <c r="B1522" s="0" t="n">
        <f aca="false">IF('Boletins Nuppa Site'!A1522&lt;&gt;0,'Boletins Nuppa Site'!A1522,"NULL")</f>
        <v>76</v>
      </c>
      <c r="C1522" s="0" t="n">
        <v>11</v>
      </c>
      <c r="D1522" s="0" t="str">
        <f aca="false">IF('Boletins Nuppa Site'!G1522&lt;&gt;0,'Boletins Nuppa Site'!G1522,"NULL")</f>
        <v> 24.00</v>
      </c>
      <c r="E1522" s="30" t="str">
        <f aca="false">IF('Boletins Nuppa Site'!H1522&lt;&gt;0,'Boletins Nuppa Site'!H1522,"NULL")</f>
        <v> 18.00</v>
      </c>
      <c r="F1522" s="30" t="str">
        <f aca="false">IF('Boletins Nuppa Site'!I1522&lt;&gt;0,'Boletins Nuppa Site'!I1522,"NULL")</f>
        <v> 24.00</v>
      </c>
      <c r="G1522" s="30" t="str">
        <f aca="false">IF('Boletins Nuppa Site'!J1522&lt;&gt;0,'Boletins Nuppa Site'!J1522,"NULL")</f>
        <v> 22.50</v>
      </c>
      <c r="H1522" s="30" t="str">
        <f aca="false">IF('Boletins Nuppa Site'!K1522&lt;&gt;0,'Boletins Nuppa Site'!K1522,"NULL")</f>
        <v> 24.00</v>
      </c>
      <c r="I1522" s="0" t="str">
        <f aca="false">"INSERT INTO COTACAO (cot_id, cot_blt_id, cot_pap_id, cot_prc_comum, cot_prc_min, cot_prc_max, cot_prc_med, cot_prc_mediana) VALUES ("&amp;A1522&amp;", "&amp;B1522&amp;", "&amp;C1522&amp;", "&amp;D1522&amp;", "&amp;E1522&amp;", "&amp;F1522&amp;", "&amp;G1522&amp;", "&amp;H1522&amp;");"</f>
        <v>INSERT INTO COTACAO (cot_id, cot_blt_id, cot_pap_id, cot_prc_comum, cot_prc_min, cot_prc_max, cot_prc_med, cot_prc_mediana) VALUES (1521, 76, 11,  24.00,  18.00,  24.00,  22.50,  24.00);</v>
      </c>
      <c r="J1522" s="0" t="str">
        <f aca="false">"UPDATE COTACAO SET cot_id = "&amp;A1522&amp;", cot_blt_id = "&amp;B1522&amp;", cot_pap_id = "&amp;C1522&amp;", cot_prc_comum = "&amp;D1522&amp;", cot_prc_min = "&amp;E1522&amp;", cot_prc_max = "&amp;F1522&amp;", cot_prc_med = "&amp;G1522&amp;", cot_prc_mediana = "&amp;H1522&amp;" WHERE cot_id = "&amp;A1522&amp;";"</f>
        <v>UPDATE COTACAO SET cot_id = 1521, cot_blt_id = 76, cot_pap_id = 11, cot_prc_comum =  24.00, cot_prc_min =  18.00, cot_prc_max =  24.00, cot_prc_med =  22.50, cot_prc_mediana =  24.00 WHERE cot_id = 1521;</v>
      </c>
    </row>
    <row r="1523" customFormat="false" ht="14.25" hidden="false" customHeight="false" outlineLevel="0" collapsed="false">
      <c r="A1523" s="0" t="n">
        <v>1522</v>
      </c>
      <c r="B1523" s="0" t="n">
        <f aca="false">IF('Boletins Nuppa Site'!A1523&lt;&gt;0,'Boletins Nuppa Site'!A1523,"NULL")</f>
        <v>76</v>
      </c>
      <c r="C1523" s="0" t="n">
        <v>12</v>
      </c>
      <c r="D1523" s="0" t="str">
        <f aca="false">IF('Boletins Nuppa Site'!G1523&lt;&gt;0,'Boletins Nuppa Site'!G1523,"NULL")</f>
        <v> 60.00</v>
      </c>
      <c r="E1523" s="30" t="str">
        <f aca="false">IF('Boletins Nuppa Site'!H1523&lt;&gt;0,'Boletins Nuppa Site'!H1523,"NULL")</f>
        <v> 60.00</v>
      </c>
      <c r="F1523" s="30" t="str">
        <f aca="false">IF('Boletins Nuppa Site'!I1523&lt;&gt;0,'Boletins Nuppa Site'!I1523,"NULL")</f>
        <v> 72.00</v>
      </c>
      <c r="G1523" s="30" t="str">
        <f aca="false">IF('Boletins Nuppa Site'!J1523&lt;&gt;0,'Boletins Nuppa Site'!J1523,"NULL")</f>
        <v> 63.00</v>
      </c>
      <c r="H1523" s="30" t="str">
        <f aca="false">IF('Boletins Nuppa Site'!K1523&lt;&gt;0,'Boletins Nuppa Site'!K1523,"NULL")</f>
        <v> 60.00</v>
      </c>
      <c r="I1523" s="0" t="str">
        <f aca="false">"INSERT INTO COTACAO (cot_id, cot_blt_id, cot_pap_id, cot_prc_comum, cot_prc_min, cot_prc_max, cot_prc_med, cot_prc_mediana) VALUES ("&amp;A1523&amp;", "&amp;B1523&amp;", "&amp;C1523&amp;", "&amp;D1523&amp;", "&amp;E1523&amp;", "&amp;F1523&amp;", "&amp;G1523&amp;", "&amp;H1523&amp;");"</f>
        <v>INSERT INTO COTACAO (cot_id, cot_blt_id, cot_pap_id, cot_prc_comum, cot_prc_min, cot_prc_max, cot_prc_med, cot_prc_mediana) VALUES (1522, 76, 12,  60.00,  60.00,  72.00,  63.00,  60.00);</v>
      </c>
      <c r="J1523" s="0" t="str">
        <f aca="false">"UPDATE COTACAO SET cot_id = "&amp;A1523&amp;", cot_blt_id = "&amp;B1523&amp;", cot_pap_id = "&amp;C1523&amp;", cot_prc_comum = "&amp;D1523&amp;", cot_prc_min = "&amp;E1523&amp;", cot_prc_max = "&amp;F1523&amp;", cot_prc_med = "&amp;G1523&amp;", cot_prc_mediana = "&amp;H1523&amp;" WHERE cot_id = "&amp;A1523&amp;";"</f>
        <v>UPDATE COTACAO SET cot_id = 1522, cot_blt_id = 76, cot_pap_id = 12, cot_prc_comum =  60.00, cot_prc_min =  60.00, cot_prc_max =  72.00, cot_prc_med =  63.00, cot_prc_mediana =  60.00 WHERE cot_id = 1522;</v>
      </c>
    </row>
    <row r="1524" customFormat="false" ht="14.25" hidden="false" customHeight="false" outlineLevel="0" collapsed="false">
      <c r="A1524" s="0" t="n">
        <v>1523</v>
      </c>
      <c r="B1524" s="0" t="n">
        <f aca="false">IF('Boletins Nuppa Site'!A1524&lt;&gt;0,'Boletins Nuppa Site'!A1524,"NULL")</f>
        <v>76</v>
      </c>
      <c r="C1524" s="0" t="n">
        <v>13</v>
      </c>
      <c r="D1524" s="0" t="str">
        <f aca="false">IF('Boletins Nuppa Site'!G1524&lt;&gt;0,'Boletins Nuppa Site'!G1524,"NULL")</f>
        <v> 48.00</v>
      </c>
      <c r="E1524" s="30" t="str">
        <f aca="false">IF('Boletins Nuppa Site'!H1524&lt;&gt;0,'Boletins Nuppa Site'!H1524,"NULL")</f>
        <v> 48.00</v>
      </c>
      <c r="F1524" s="30" t="str">
        <f aca="false">IF('Boletins Nuppa Site'!I1524&lt;&gt;0,'Boletins Nuppa Site'!I1524,"NULL")</f>
        <v> 60.00</v>
      </c>
      <c r="G1524" s="30" t="str">
        <f aca="false">IF('Boletins Nuppa Site'!J1524&lt;&gt;0,'Boletins Nuppa Site'!J1524,"NULL")</f>
        <v> 54.00</v>
      </c>
      <c r="H1524" s="30" t="str">
        <f aca="false">IF('Boletins Nuppa Site'!K1524&lt;&gt;0,'Boletins Nuppa Site'!K1524,"NULL")</f>
        <v> 54.00</v>
      </c>
      <c r="I1524" s="0" t="str">
        <f aca="false">"INSERT INTO COTACAO (cot_id, cot_blt_id, cot_pap_id, cot_prc_comum, cot_prc_min, cot_prc_max, cot_prc_med, cot_prc_mediana) VALUES ("&amp;A1524&amp;", "&amp;B1524&amp;", "&amp;C1524&amp;", "&amp;D1524&amp;", "&amp;E1524&amp;", "&amp;F1524&amp;", "&amp;G1524&amp;", "&amp;H1524&amp;");"</f>
        <v>INSERT INTO COTACAO (cot_id, cot_blt_id, cot_pap_id, cot_prc_comum, cot_prc_min, cot_prc_max, cot_prc_med, cot_prc_mediana) VALUES (1523, 76, 13,  48.00,  48.00,  60.00,  54.00,  54.00);</v>
      </c>
      <c r="J1524" s="0" t="str">
        <f aca="false">"UPDATE COTACAO SET cot_id = "&amp;A1524&amp;", cot_blt_id = "&amp;B1524&amp;", cot_pap_id = "&amp;C1524&amp;", cot_prc_comum = "&amp;D1524&amp;", cot_prc_min = "&amp;E1524&amp;", cot_prc_max = "&amp;F1524&amp;", cot_prc_med = "&amp;G1524&amp;", cot_prc_mediana = "&amp;H1524&amp;" WHERE cot_id = "&amp;A1524&amp;";"</f>
        <v>UPDATE COTACAO SET cot_id = 1523, cot_blt_id = 76, cot_pap_id = 13, cot_prc_comum =  48.00, cot_prc_min =  48.00, cot_prc_max =  60.00, cot_prc_med =  54.00, cot_prc_mediana =  54.00 WHERE cot_id = 1523;</v>
      </c>
    </row>
    <row r="1525" customFormat="false" ht="14.25" hidden="false" customHeight="false" outlineLevel="0" collapsed="false">
      <c r="A1525" s="0" t="n">
        <v>1524</v>
      </c>
      <c r="B1525" s="0" t="n">
        <f aca="false">IF('Boletins Nuppa Site'!A1525&lt;&gt;0,'Boletins Nuppa Site'!A1525,"NULL")</f>
        <v>76</v>
      </c>
      <c r="C1525" s="0" t="n">
        <v>14</v>
      </c>
      <c r="D1525" s="0" t="str">
        <f aca="false">IF('Boletins Nuppa Site'!G1525&lt;&gt;0,'Boletins Nuppa Site'!G1525,"NULL")</f>
        <v> 72.00</v>
      </c>
      <c r="E1525" s="30" t="str">
        <f aca="false">IF('Boletins Nuppa Site'!H1525&lt;&gt;0,'Boletins Nuppa Site'!H1525,"NULL")</f>
        <v> 48.00</v>
      </c>
      <c r="F1525" s="30" t="str">
        <f aca="false">IF('Boletins Nuppa Site'!I1525&lt;&gt;0,'Boletins Nuppa Site'!I1525,"NULL")</f>
        <v> 72.00</v>
      </c>
      <c r="G1525" s="30" t="str">
        <f aca="false">IF('Boletins Nuppa Site'!J1525&lt;&gt;0,'Boletins Nuppa Site'!J1525,"NULL")</f>
        <v> 64.00</v>
      </c>
      <c r="H1525" s="30" t="str">
        <f aca="false">IF('Boletins Nuppa Site'!K1525&lt;&gt;0,'Boletins Nuppa Site'!K1525,"NULL")</f>
        <v> 72.00</v>
      </c>
      <c r="I1525" s="0" t="str">
        <f aca="false">"INSERT INTO COTACAO (cot_id, cot_blt_id, cot_pap_id, cot_prc_comum, cot_prc_min, cot_prc_max, cot_prc_med, cot_prc_mediana) VALUES ("&amp;A1525&amp;", "&amp;B1525&amp;", "&amp;C1525&amp;", "&amp;D1525&amp;", "&amp;E1525&amp;", "&amp;F1525&amp;", "&amp;G1525&amp;", "&amp;H1525&amp;");"</f>
        <v>INSERT INTO COTACAO (cot_id, cot_blt_id, cot_pap_id, cot_prc_comum, cot_prc_min, cot_prc_max, cot_prc_med, cot_prc_mediana) VALUES (1524, 76, 14,  72.00,  48.00,  72.00,  64.00,  72.00);</v>
      </c>
      <c r="J1525" s="0" t="str">
        <f aca="false">"UPDATE COTACAO SET cot_id = "&amp;A1525&amp;", cot_blt_id = "&amp;B1525&amp;", cot_pap_id = "&amp;C1525&amp;", cot_prc_comum = "&amp;D1525&amp;", cot_prc_min = "&amp;E1525&amp;", cot_prc_max = "&amp;F1525&amp;", cot_prc_med = "&amp;G1525&amp;", cot_prc_mediana = "&amp;H1525&amp;" WHERE cot_id = "&amp;A1525&amp;";"</f>
        <v>UPDATE COTACAO SET cot_id = 1524, cot_blt_id = 76, cot_pap_id = 14, cot_prc_comum =  72.00, cot_prc_min =  48.00, cot_prc_max =  72.00, cot_prc_med =  64.00, cot_prc_mediana =  72.00 WHERE cot_id = 1524;</v>
      </c>
    </row>
    <row r="1526" customFormat="false" ht="14.25" hidden="false" customHeight="false" outlineLevel="0" collapsed="false">
      <c r="A1526" s="0" t="n">
        <v>1525</v>
      </c>
      <c r="B1526" s="0" t="n">
        <f aca="false">IF('Boletins Nuppa Site'!A1526&lt;&gt;0,'Boletins Nuppa Site'!A1526,"NULL")</f>
        <v>76</v>
      </c>
      <c r="C1526" s="0" t="n">
        <v>15</v>
      </c>
      <c r="D1526" s="0" t="str">
        <f aca="false">IF('Boletins Nuppa Site'!G1526&lt;&gt;0,'Boletins Nuppa Site'!G1526,"NULL")</f>
        <v> 24.00</v>
      </c>
      <c r="E1526" s="30" t="str">
        <f aca="false">IF('Boletins Nuppa Site'!H1526&lt;&gt;0,'Boletins Nuppa Site'!H1526,"NULL")</f>
        <v> 24.00</v>
      </c>
      <c r="F1526" s="30" t="str">
        <f aca="false">IF('Boletins Nuppa Site'!I1526&lt;&gt;0,'Boletins Nuppa Site'!I1526,"NULL")</f>
        <v> 30.00</v>
      </c>
      <c r="G1526" s="30" t="str">
        <f aca="false">IF('Boletins Nuppa Site'!J1526&lt;&gt;0,'Boletins Nuppa Site'!J1526,"NULL")</f>
        <v> 25.50</v>
      </c>
      <c r="H1526" s="30" t="str">
        <f aca="false">IF('Boletins Nuppa Site'!K1526&lt;&gt;0,'Boletins Nuppa Site'!K1526,"NULL")</f>
        <v> 24.00</v>
      </c>
      <c r="I1526" s="0" t="str">
        <f aca="false">"INSERT INTO COTACAO (cot_id, cot_blt_id, cot_pap_id, cot_prc_comum, cot_prc_min, cot_prc_max, cot_prc_med, cot_prc_mediana) VALUES ("&amp;A1526&amp;", "&amp;B1526&amp;", "&amp;C1526&amp;", "&amp;D1526&amp;", "&amp;E1526&amp;", "&amp;F1526&amp;", "&amp;G1526&amp;", "&amp;H1526&amp;");"</f>
        <v>INSERT INTO COTACAO (cot_id, cot_blt_id, cot_pap_id, cot_prc_comum, cot_prc_min, cot_prc_max, cot_prc_med, cot_prc_mediana) VALUES (1525, 76, 15,  24.00,  24.00,  30.00,  25.50,  24.00);</v>
      </c>
      <c r="J1526" s="0" t="str">
        <f aca="false">"UPDATE COTACAO SET cot_id = "&amp;A1526&amp;", cot_blt_id = "&amp;B1526&amp;", cot_pap_id = "&amp;C1526&amp;", cot_prc_comum = "&amp;D1526&amp;", cot_prc_min = "&amp;E1526&amp;", cot_prc_max = "&amp;F1526&amp;", cot_prc_med = "&amp;G1526&amp;", cot_prc_mediana = "&amp;H1526&amp;" WHERE cot_id = "&amp;A1526&amp;";"</f>
        <v>UPDATE COTACAO SET cot_id = 1525, cot_blt_id = 76, cot_pap_id = 15, cot_prc_comum =  24.00, cot_prc_min =  24.00, cot_prc_max =  30.00, cot_prc_med =  25.50, cot_prc_mediana =  24.00 WHERE cot_id = 1525;</v>
      </c>
    </row>
    <row r="1527" customFormat="false" ht="14.25" hidden="false" customHeight="false" outlineLevel="0" collapsed="false">
      <c r="A1527" s="0" t="n">
        <v>1526</v>
      </c>
      <c r="B1527" s="0" t="n">
        <f aca="false">IF('Boletins Nuppa Site'!A1527&lt;&gt;0,'Boletins Nuppa Site'!A1527,"NULL")</f>
        <v>76</v>
      </c>
      <c r="C1527" s="0" t="n">
        <v>16</v>
      </c>
      <c r="D1527" s="0" t="str">
        <f aca="false">IF('Boletins Nuppa Site'!G1527&lt;&gt;0,'Boletins Nuppa Site'!G1527,"NULL")</f>
        <v> 48.00</v>
      </c>
      <c r="E1527" s="30" t="str">
        <f aca="false">IF('Boletins Nuppa Site'!H1527&lt;&gt;0,'Boletins Nuppa Site'!H1527,"NULL")</f>
        <v> 48.00</v>
      </c>
      <c r="F1527" s="30" t="str">
        <f aca="false">IF('Boletins Nuppa Site'!I1527&lt;&gt;0,'Boletins Nuppa Site'!I1527,"NULL")</f>
        <v> 60.00</v>
      </c>
      <c r="G1527" s="30" t="str">
        <f aca="false">IF('Boletins Nuppa Site'!J1527&lt;&gt;0,'Boletins Nuppa Site'!J1527,"NULL")</f>
        <v> 51.00</v>
      </c>
      <c r="H1527" s="30" t="str">
        <f aca="false">IF('Boletins Nuppa Site'!K1527&lt;&gt;0,'Boletins Nuppa Site'!K1527,"NULL")</f>
        <v> 48.00</v>
      </c>
      <c r="I1527" s="0" t="str">
        <f aca="false">"INSERT INTO COTACAO (cot_id, cot_blt_id, cot_pap_id, cot_prc_comum, cot_prc_min, cot_prc_max, cot_prc_med, cot_prc_mediana) VALUES ("&amp;A1527&amp;", "&amp;B1527&amp;", "&amp;C1527&amp;", "&amp;D1527&amp;", "&amp;E1527&amp;", "&amp;F1527&amp;", "&amp;G1527&amp;", "&amp;H1527&amp;");"</f>
        <v>INSERT INTO COTACAO (cot_id, cot_blt_id, cot_pap_id, cot_prc_comum, cot_prc_min, cot_prc_max, cot_prc_med, cot_prc_mediana) VALUES (1526, 76, 16,  48.00,  48.00,  60.00,  51.00,  48.00);</v>
      </c>
      <c r="J1527" s="0" t="str">
        <f aca="false">"UPDATE COTACAO SET cot_id = "&amp;A1527&amp;", cot_blt_id = "&amp;B1527&amp;", cot_pap_id = "&amp;C1527&amp;", cot_prc_comum = "&amp;D1527&amp;", cot_prc_min = "&amp;E1527&amp;", cot_prc_max = "&amp;F1527&amp;", cot_prc_med = "&amp;G1527&amp;", cot_prc_mediana = "&amp;H1527&amp;" WHERE cot_id = "&amp;A1527&amp;";"</f>
        <v>UPDATE COTACAO SET cot_id = 1526, cot_blt_id = 76, cot_pap_id = 16, cot_prc_comum =  48.00, cot_prc_min =  48.00, cot_prc_max =  60.00, cot_prc_med =  51.00, cot_prc_mediana =  48.00 WHERE cot_id = 1526;</v>
      </c>
    </row>
    <row r="1528" customFormat="false" ht="14.25" hidden="false" customHeight="false" outlineLevel="0" collapsed="false">
      <c r="A1528" s="0" t="n">
        <v>1527</v>
      </c>
      <c r="B1528" s="0" t="n">
        <f aca="false">IF('Boletins Nuppa Site'!A1528&lt;&gt;0,'Boletins Nuppa Site'!A1528,"NULL")</f>
        <v>76</v>
      </c>
      <c r="C1528" s="0" t="n">
        <v>17</v>
      </c>
      <c r="D1528" s="0" t="str">
        <f aca="false">IF('Boletins Nuppa Site'!G1528&lt;&gt;0,'Boletins Nuppa Site'!G1528,"NULL")</f>
        <v> 5.00</v>
      </c>
      <c r="E1528" s="30" t="str">
        <f aca="false">IF('Boletins Nuppa Site'!H1528&lt;&gt;0,'Boletins Nuppa Site'!H1528,"NULL")</f>
        <v> 5.00</v>
      </c>
      <c r="F1528" s="30" t="str">
        <f aca="false">IF('Boletins Nuppa Site'!I1528&lt;&gt;0,'Boletins Nuppa Site'!I1528,"NULL")</f>
        <v> 5.00</v>
      </c>
      <c r="G1528" s="30" t="str">
        <f aca="false">IF('Boletins Nuppa Site'!J1528&lt;&gt;0,'Boletins Nuppa Site'!J1528,"NULL")</f>
        <v> 5.00</v>
      </c>
      <c r="H1528" s="30" t="str">
        <f aca="false">IF('Boletins Nuppa Site'!K1528&lt;&gt;0,'Boletins Nuppa Site'!K1528,"NULL")</f>
        <v> 5.00</v>
      </c>
      <c r="I1528" s="0" t="str">
        <f aca="false">"INSERT INTO COTACAO (cot_id, cot_blt_id, cot_pap_id, cot_prc_comum, cot_prc_min, cot_prc_max, cot_prc_med, cot_prc_mediana) VALUES ("&amp;A1528&amp;", "&amp;B1528&amp;", "&amp;C1528&amp;", "&amp;D1528&amp;", "&amp;E1528&amp;", "&amp;F1528&amp;", "&amp;G1528&amp;", "&amp;H1528&amp;");"</f>
        <v>INSERT INTO COTACAO (cot_id, cot_blt_id, cot_pap_id, cot_prc_comum, cot_prc_min, cot_prc_max, cot_prc_med, cot_prc_mediana) VALUES (1527, 76, 17,  5.00,  5.00,  5.00,  5.00,  5.00);</v>
      </c>
      <c r="J1528" s="0" t="str">
        <f aca="false">"UPDATE COTACAO SET cot_id = "&amp;A1528&amp;", cot_blt_id = "&amp;B1528&amp;", cot_pap_id = "&amp;C1528&amp;", cot_prc_comum = "&amp;D1528&amp;", cot_prc_min = "&amp;E1528&amp;", cot_prc_max = "&amp;F1528&amp;", cot_prc_med = "&amp;G1528&amp;", cot_prc_mediana = "&amp;H1528&amp;" WHERE cot_id = "&amp;A1528&amp;";"</f>
        <v>UPDATE COTACAO SET cot_id = 1527, cot_blt_id = 76, cot_pap_id = 17, cot_prc_comum =  5.00, cot_prc_min =  5.00, cot_prc_max =  5.00, cot_prc_med =  5.00, cot_prc_mediana =  5.00 WHERE cot_id = 1527;</v>
      </c>
    </row>
    <row r="1529" customFormat="false" ht="14.25" hidden="false" customHeight="false" outlineLevel="0" collapsed="false">
      <c r="A1529" s="0" t="n">
        <v>1528</v>
      </c>
      <c r="B1529" s="0" t="n">
        <f aca="false">IF('Boletins Nuppa Site'!A1529&lt;&gt;0,'Boletins Nuppa Site'!A1529,"NULL")</f>
        <v>76</v>
      </c>
      <c r="C1529" s="0" t="n">
        <v>18</v>
      </c>
      <c r="D1529" s="0" t="str">
        <f aca="false">IF('Boletins Nuppa Site'!G1529&lt;&gt;0,'Boletins Nuppa Site'!G1529,"NULL")</f>
        <v> 15.00</v>
      </c>
      <c r="E1529" s="30" t="str">
        <f aca="false">IF('Boletins Nuppa Site'!H1529&lt;&gt;0,'Boletins Nuppa Site'!H1529,"NULL")</f>
        <v> 12.00</v>
      </c>
      <c r="F1529" s="30" t="str">
        <f aca="false">IF('Boletins Nuppa Site'!I1529&lt;&gt;0,'Boletins Nuppa Site'!I1529,"NULL")</f>
        <v> 15.00</v>
      </c>
      <c r="G1529" s="30" t="str">
        <f aca="false">IF('Boletins Nuppa Site'!J1529&lt;&gt;0,'Boletins Nuppa Site'!J1529,"NULL")</f>
        <v> 14.25</v>
      </c>
      <c r="H1529" s="30" t="str">
        <f aca="false">IF('Boletins Nuppa Site'!K1529&lt;&gt;0,'Boletins Nuppa Site'!K1529,"NULL")</f>
        <v> 15.00</v>
      </c>
      <c r="I1529" s="0" t="str">
        <f aca="false">"INSERT INTO COTACAO (cot_id, cot_blt_id, cot_pap_id, cot_prc_comum, cot_prc_min, cot_prc_max, cot_prc_med, cot_prc_mediana) VALUES ("&amp;A1529&amp;", "&amp;B1529&amp;", "&amp;C1529&amp;", "&amp;D1529&amp;", "&amp;E1529&amp;", "&amp;F1529&amp;", "&amp;G1529&amp;", "&amp;H1529&amp;");"</f>
        <v>INSERT INTO COTACAO (cot_id, cot_blt_id, cot_pap_id, cot_prc_comum, cot_prc_min, cot_prc_max, cot_prc_med, cot_prc_mediana) VALUES (1528, 76, 18,  15.00,  12.00,  15.00,  14.25,  15.00);</v>
      </c>
      <c r="J1529" s="0" t="str">
        <f aca="false">"UPDATE COTACAO SET cot_id = "&amp;A1529&amp;", cot_blt_id = "&amp;B1529&amp;", cot_pap_id = "&amp;C1529&amp;", cot_prc_comum = "&amp;D1529&amp;", cot_prc_min = "&amp;E1529&amp;", cot_prc_max = "&amp;F1529&amp;", cot_prc_med = "&amp;G1529&amp;", cot_prc_mediana = "&amp;H1529&amp;" WHERE cot_id = "&amp;A1529&amp;";"</f>
        <v>UPDATE COTACAO SET cot_id = 1528, cot_blt_id = 76, cot_pap_id = 18, cot_prc_comum =  15.00, cot_prc_min =  12.00, cot_prc_max =  15.00, cot_prc_med =  14.25, cot_prc_mediana =  15.00 WHERE cot_id = 1528;</v>
      </c>
    </row>
    <row r="1530" customFormat="false" ht="14.25" hidden="false" customHeight="false" outlineLevel="0" collapsed="false">
      <c r="A1530" s="0" t="n">
        <v>1529</v>
      </c>
      <c r="B1530" s="0" t="n">
        <f aca="false">IF('Boletins Nuppa Site'!A1530&lt;&gt;0,'Boletins Nuppa Site'!A1530,"NULL")</f>
        <v>76</v>
      </c>
      <c r="C1530" s="0" t="n">
        <v>19</v>
      </c>
      <c r="D1530" s="0" t="str">
        <f aca="false">IF('Boletins Nuppa Site'!G1530&lt;&gt;0,'Boletins Nuppa Site'!G1530,"NULL")</f>
        <v> 30.00</v>
      </c>
      <c r="E1530" s="30" t="str">
        <f aca="false">IF('Boletins Nuppa Site'!H1530&lt;&gt;0,'Boletins Nuppa Site'!H1530,"NULL")</f>
        <v> 20.00</v>
      </c>
      <c r="F1530" s="30" t="str">
        <f aca="false">IF('Boletins Nuppa Site'!I1530&lt;&gt;0,'Boletins Nuppa Site'!I1530,"NULL")</f>
        <v> 30.00</v>
      </c>
      <c r="G1530" s="30" t="str">
        <f aca="false">IF('Boletins Nuppa Site'!J1530&lt;&gt;0,'Boletins Nuppa Site'!J1530,"NULL")</f>
        <v> 26.25</v>
      </c>
      <c r="H1530" s="30" t="str">
        <f aca="false">IF('Boletins Nuppa Site'!K1530&lt;&gt;0,'Boletins Nuppa Site'!K1530,"NULL")</f>
        <v> 27.50</v>
      </c>
      <c r="I1530" s="0" t="str">
        <f aca="false">"INSERT INTO COTACAO (cot_id, cot_blt_id, cot_pap_id, cot_prc_comum, cot_prc_min, cot_prc_max, cot_prc_med, cot_prc_mediana) VALUES ("&amp;A1530&amp;", "&amp;B1530&amp;", "&amp;C1530&amp;", "&amp;D1530&amp;", "&amp;E1530&amp;", "&amp;F1530&amp;", "&amp;G1530&amp;", "&amp;H1530&amp;");"</f>
        <v>INSERT INTO COTACAO (cot_id, cot_blt_id, cot_pap_id, cot_prc_comum, cot_prc_min, cot_prc_max, cot_prc_med, cot_prc_mediana) VALUES (1529, 76, 19,  30.00,  20.00,  30.00,  26.25,  27.50);</v>
      </c>
      <c r="J1530" s="0" t="str">
        <f aca="false">"UPDATE COTACAO SET cot_id = "&amp;A1530&amp;", cot_blt_id = "&amp;B1530&amp;", cot_pap_id = "&amp;C1530&amp;", cot_prc_comum = "&amp;D1530&amp;", cot_prc_min = "&amp;E1530&amp;", cot_prc_max = "&amp;F1530&amp;", cot_prc_med = "&amp;G1530&amp;", cot_prc_mediana = "&amp;H1530&amp;" WHERE cot_id = "&amp;A1530&amp;";"</f>
        <v>UPDATE COTACAO SET cot_id = 1529, cot_blt_id = 76, cot_pap_id = 19, cot_prc_comum =  30.00, cot_prc_min =  20.00, cot_prc_max =  30.00, cot_prc_med =  26.25, cot_prc_mediana =  27.50 WHERE cot_id = 1529;</v>
      </c>
    </row>
    <row r="1531" customFormat="false" ht="14.25" hidden="false" customHeight="false" outlineLevel="0" collapsed="false">
      <c r="A1531" s="0" t="n">
        <v>1530</v>
      </c>
      <c r="B1531" s="0" t="n">
        <f aca="false">IF('Boletins Nuppa Site'!A1531&lt;&gt;0,'Boletins Nuppa Site'!A1531,"NULL")</f>
        <v>76</v>
      </c>
      <c r="C1531" s="0" t="n">
        <v>20</v>
      </c>
      <c r="D1531" s="0" t="str">
        <f aca="false">IF('Boletins Nuppa Site'!G1531&lt;&gt;0,'Boletins Nuppa Site'!G1531,"NULL")</f>
        <v>NULL</v>
      </c>
      <c r="E1531" s="30" t="str">
        <f aca="false">IF('Boletins Nuppa Site'!H1531&lt;&gt;0,'Boletins Nuppa Site'!H1531,"NULL")</f>
        <v> 75.00</v>
      </c>
      <c r="F1531" s="30" t="str">
        <f aca="false">IF('Boletins Nuppa Site'!I1531&lt;&gt;0,'Boletins Nuppa Site'!I1531,"NULL")</f>
        <v> 80.00</v>
      </c>
      <c r="G1531" s="30" t="str">
        <f aca="false">IF('Boletins Nuppa Site'!J1531&lt;&gt;0,'Boletins Nuppa Site'!J1531,"NULL")</f>
        <v> 77.50</v>
      </c>
      <c r="H1531" s="30" t="str">
        <f aca="false">IF('Boletins Nuppa Site'!K1531&lt;&gt;0,'Boletins Nuppa Site'!K1531,"NULL")</f>
        <v> 77.50</v>
      </c>
      <c r="I1531" s="0" t="str">
        <f aca="false">"INSERT INTO COTACAO (cot_id, cot_blt_id, cot_pap_id, cot_prc_comum, cot_prc_min, cot_prc_max, cot_prc_med, cot_prc_mediana) VALUES ("&amp;A1531&amp;", "&amp;B1531&amp;", "&amp;C1531&amp;", "&amp;D1531&amp;", "&amp;E1531&amp;", "&amp;F1531&amp;", "&amp;G1531&amp;", "&amp;H1531&amp;");"</f>
        <v>INSERT INTO COTACAO (cot_id, cot_blt_id, cot_pap_id, cot_prc_comum, cot_prc_min, cot_prc_max, cot_prc_med, cot_prc_mediana) VALUES (1530, 76, 20, NULL,  75.00,  80.00,  77.50,  77.50);</v>
      </c>
      <c r="J1531" s="0" t="str">
        <f aca="false">"UPDATE COTACAO SET cot_id = "&amp;A1531&amp;", cot_blt_id = "&amp;B1531&amp;", cot_pap_id = "&amp;C1531&amp;", cot_prc_comum = "&amp;D1531&amp;", cot_prc_min = "&amp;E1531&amp;", cot_prc_max = "&amp;F1531&amp;", cot_prc_med = "&amp;G1531&amp;", cot_prc_mediana = "&amp;H1531&amp;" WHERE cot_id = "&amp;A1531&amp;";"</f>
        <v>UPDATE COTACAO SET cot_id = 1530, cot_blt_id = 76, cot_pap_id = 20, cot_prc_comum = NULL, cot_prc_min =  75.00, cot_prc_max =  80.00, cot_prc_med =  77.50, cot_prc_mediana =  77.50 WHERE cot_id = 1530;</v>
      </c>
    </row>
    <row r="1532" customFormat="false" ht="14.25" hidden="false" customHeight="false" outlineLevel="0" collapsed="false">
      <c r="A1532" s="0" t="n">
        <v>1531</v>
      </c>
      <c r="B1532" s="0" t="n">
        <f aca="false">IF('Boletins Nuppa Site'!A1532&lt;&gt;0,'Boletins Nuppa Site'!A1532,"NULL")</f>
        <v>76</v>
      </c>
      <c r="C1532" s="0" t="n">
        <v>21</v>
      </c>
      <c r="D1532" s="0" t="str">
        <f aca="false">IF('Boletins Nuppa Site'!G1532&lt;&gt;0,'Boletins Nuppa Site'!G1532,"NULL")</f>
        <v> 35.00</v>
      </c>
      <c r="E1532" s="30" t="str">
        <f aca="false">IF('Boletins Nuppa Site'!H1532&lt;&gt;0,'Boletins Nuppa Site'!H1532,"NULL")</f>
        <v> 30.00</v>
      </c>
      <c r="F1532" s="30" t="str">
        <f aca="false">IF('Boletins Nuppa Site'!I1532&lt;&gt;0,'Boletins Nuppa Site'!I1532,"NULL")</f>
        <v> 35.00</v>
      </c>
      <c r="G1532" s="30" t="str">
        <f aca="false">IF('Boletins Nuppa Site'!J1532&lt;&gt;0,'Boletins Nuppa Site'!J1532,"NULL")</f>
        <v> 33.75</v>
      </c>
      <c r="H1532" s="30" t="str">
        <f aca="false">IF('Boletins Nuppa Site'!K1532&lt;&gt;0,'Boletins Nuppa Site'!K1532,"NULL")</f>
        <v> 35.00</v>
      </c>
      <c r="I1532" s="0" t="str">
        <f aca="false">"INSERT INTO COTACAO (cot_id, cot_blt_id, cot_pap_id, cot_prc_comum, cot_prc_min, cot_prc_max, cot_prc_med, cot_prc_mediana) VALUES ("&amp;A1532&amp;", "&amp;B1532&amp;", "&amp;C1532&amp;", "&amp;D1532&amp;", "&amp;E1532&amp;", "&amp;F1532&amp;", "&amp;G1532&amp;", "&amp;H1532&amp;");"</f>
        <v>INSERT INTO COTACAO (cot_id, cot_blt_id, cot_pap_id, cot_prc_comum, cot_prc_min, cot_prc_max, cot_prc_med, cot_prc_mediana) VALUES (1531, 76, 21,  35.00,  30.00,  35.00,  33.75,  35.00);</v>
      </c>
      <c r="J1532" s="0" t="str">
        <f aca="false">"UPDATE COTACAO SET cot_id = "&amp;A1532&amp;", cot_blt_id = "&amp;B1532&amp;", cot_pap_id = "&amp;C1532&amp;", cot_prc_comum = "&amp;D1532&amp;", cot_prc_min = "&amp;E1532&amp;", cot_prc_max = "&amp;F1532&amp;", cot_prc_med = "&amp;G1532&amp;", cot_prc_mediana = "&amp;H1532&amp;" WHERE cot_id = "&amp;A1532&amp;";"</f>
        <v>UPDATE COTACAO SET cot_id = 1531, cot_blt_id = 76, cot_pap_id = 21, cot_prc_comum =  35.00, cot_prc_min =  30.00, cot_prc_max =  35.00, cot_prc_med =  33.75, cot_prc_mediana =  35.00 WHERE cot_id = 1531;</v>
      </c>
    </row>
    <row r="1533" customFormat="false" ht="14.25" hidden="false" customHeight="false" outlineLevel="0" collapsed="false">
      <c r="A1533" s="0" t="n">
        <v>1532</v>
      </c>
      <c r="B1533" s="0" t="n">
        <f aca="false">IF('Boletins Nuppa Site'!A1533&lt;&gt;0,'Boletins Nuppa Site'!A1533,"NULL")</f>
        <v>76</v>
      </c>
      <c r="C1533" s="0" t="n">
        <v>22</v>
      </c>
      <c r="D1533" s="0" t="str">
        <f aca="false">IF('Boletins Nuppa Site'!G1533&lt;&gt;0,'Boletins Nuppa Site'!G1533,"NULL")</f>
        <v>NULL</v>
      </c>
      <c r="E1533" s="30" t="str">
        <f aca="false">IF('Boletins Nuppa Site'!H1533&lt;&gt;0,'Boletins Nuppa Site'!H1533,"NULL")</f>
        <v> 45.00</v>
      </c>
      <c r="F1533" s="30" t="str">
        <f aca="false">IF('Boletins Nuppa Site'!I1533&lt;&gt;0,'Boletins Nuppa Site'!I1533,"NULL")</f>
        <v> 70.00</v>
      </c>
      <c r="G1533" s="30" t="str">
        <f aca="false">IF('Boletins Nuppa Site'!J1533&lt;&gt;0,'Boletins Nuppa Site'!J1533,"NULL")</f>
        <v> 60.00</v>
      </c>
      <c r="H1533" s="30" t="str">
        <f aca="false">IF('Boletins Nuppa Site'!K1533&lt;&gt;0,'Boletins Nuppa Site'!K1533,"NULL")</f>
        <v> 62.50</v>
      </c>
      <c r="I1533" s="0" t="str">
        <f aca="false">"INSERT INTO COTACAO (cot_id, cot_blt_id, cot_pap_id, cot_prc_comum, cot_prc_min, cot_prc_max, cot_prc_med, cot_prc_mediana) VALUES ("&amp;A1533&amp;", "&amp;B1533&amp;", "&amp;C1533&amp;", "&amp;D1533&amp;", "&amp;E1533&amp;", "&amp;F1533&amp;", "&amp;G1533&amp;", "&amp;H1533&amp;");"</f>
        <v>INSERT INTO COTACAO (cot_id, cot_blt_id, cot_pap_id, cot_prc_comum, cot_prc_min, cot_prc_max, cot_prc_med, cot_prc_mediana) VALUES (1532, 76, 22, NULL,  45.00,  70.00,  60.00,  62.50);</v>
      </c>
      <c r="J1533" s="0" t="str">
        <f aca="false">"UPDATE COTACAO SET cot_id = "&amp;A1533&amp;", cot_blt_id = "&amp;B1533&amp;", cot_pap_id = "&amp;C1533&amp;", cot_prc_comum = "&amp;D1533&amp;", cot_prc_min = "&amp;E1533&amp;", cot_prc_max = "&amp;F1533&amp;", cot_prc_med = "&amp;G1533&amp;", cot_prc_mediana = "&amp;H1533&amp;" WHERE cot_id = "&amp;A1533&amp;";"</f>
        <v>UPDATE COTACAO SET cot_id = 1532, cot_blt_id = 76, cot_pap_id = 22, cot_prc_comum = NULL, cot_prc_min =  45.00, cot_prc_max =  70.00, cot_prc_med =  60.00, cot_prc_mediana =  62.50 WHERE cot_id = 1532;</v>
      </c>
    </row>
    <row r="1534" customFormat="false" ht="14.25" hidden="false" customHeight="false" outlineLevel="0" collapsed="false">
      <c r="A1534" s="0" t="n">
        <v>1533</v>
      </c>
      <c r="B1534" s="0" t="n">
        <f aca="false">IF('Boletins Nuppa Site'!A1534&lt;&gt;0,'Boletins Nuppa Site'!A1534,"NULL")</f>
        <v>76</v>
      </c>
      <c r="C1534" s="0" t="n">
        <v>23</v>
      </c>
      <c r="D1534" s="0" t="str">
        <f aca="false">IF('Boletins Nuppa Site'!G1534&lt;&gt;0,'Boletins Nuppa Site'!G1534,"NULL")</f>
        <v>NULL</v>
      </c>
      <c r="E1534" s="30" t="str">
        <f aca="false">IF('Boletins Nuppa Site'!H1534&lt;&gt;0,'Boletins Nuppa Site'!H1534,"NULL")</f>
        <v> 45.00</v>
      </c>
      <c r="F1534" s="30" t="str">
        <f aca="false">IF('Boletins Nuppa Site'!I1534&lt;&gt;0,'Boletins Nuppa Site'!I1534,"NULL")</f>
        <v> 60.00</v>
      </c>
      <c r="G1534" s="30" t="str">
        <f aca="false">IF('Boletins Nuppa Site'!J1534&lt;&gt;0,'Boletins Nuppa Site'!J1534,"NULL")</f>
        <v> 51.67</v>
      </c>
      <c r="H1534" s="30" t="str">
        <f aca="false">IF('Boletins Nuppa Site'!K1534&lt;&gt;0,'Boletins Nuppa Site'!K1534,"NULL")</f>
        <v> 50.00</v>
      </c>
      <c r="I1534" s="0" t="str">
        <f aca="false">"INSERT INTO COTACAO (cot_id, cot_blt_id, cot_pap_id, cot_prc_comum, cot_prc_min, cot_prc_max, cot_prc_med, cot_prc_mediana) VALUES ("&amp;A1534&amp;", "&amp;B1534&amp;", "&amp;C1534&amp;", "&amp;D1534&amp;", "&amp;E1534&amp;", "&amp;F1534&amp;", "&amp;G1534&amp;", "&amp;H1534&amp;");"</f>
        <v>INSERT INTO COTACAO (cot_id, cot_blt_id, cot_pap_id, cot_prc_comum, cot_prc_min, cot_prc_max, cot_prc_med, cot_prc_mediana) VALUES (1533, 76, 23, NULL,  45.00,  60.00,  51.67,  50.00);</v>
      </c>
      <c r="J1534" s="0" t="str">
        <f aca="false">"UPDATE COTACAO SET cot_id = "&amp;A1534&amp;", cot_blt_id = "&amp;B1534&amp;", cot_pap_id = "&amp;C1534&amp;", cot_prc_comum = "&amp;D1534&amp;", cot_prc_min = "&amp;E1534&amp;", cot_prc_max = "&amp;F1534&amp;", cot_prc_med = "&amp;G1534&amp;", cot_prc_mediana = "&amp;H1534&amp;" WHERE cot_id = "&amp;A1534&amp;";"</f>
        <v>UPDATE COTACAO SET cot_id = 1533, cot_blt_id = 76, cot_pap_id = 23, cot_prc_comum = NULL, cot_prc_min =  45.00, cot_prc_max =  60.00, cot_prc_med =  51.67, cot_prc_mediana =  50.00 WHERE cot_id = 1533;</v>
      </c>
    </row>
    <row r="1535" customFormat="false" ht="14.25" hidden="false" customHeight="false" outlineLevel="0" collapsed="false">
      <c r="A1535" s="0" t="n">
        <v>1534</v>
      </c>
      <c r="B1535" s="0" t="n">
        <f aca="false">IF('Boletins Nuppa Site'!A1535&lt;&gt;0,'Boletins Nuppa Site'!A1535,"NULL")</f>
        <v>76</v>
      </c>
      <c r="C1535" s="0" t="n">
        <v>24</v>
      </c>
      <c r="D1535" s="0" t="str">
        <f aca="false">IF('Boletins Nuppa Site'!G1535&lt;&gt;0,'Boletins Nuppa Site'!G1535,"NULL")</f>
        <v>NULL</v>
      </c>
      <c r="E1535" s="30" t="str">
        <f aca="false">IF('Boletins Nuppa Site'!H1535&lt;&gt;0,'Boletins Nuppa Site'!H1535,"NULL")</f>
        <v> 60.00</v>
      </c>
      <c r="F1535" s="30" t="str">
        <f aca="false">IF('Boletins Nuppa Site'!I1535&lt;&gt;0,'Boletins Nuppa Site'!I1535,"NULL")</f>
        <v> 60.00</v>
      </c>
      <c r="G1535" s="30" t="str">
        <f aca="false">IF('Boletins Nuppa Site'!J1535&lt;&gt;0,'Boletins Nuppa Site'!J1535,"NULL")</f>
        <v> 60.00</v>
      </c>
      <c r="H1535" s="30" t="str">
        <f aca="false">IF('Boletins Nuppa Site'!K1535&lt;&gt;0,'Boletins Nuppa Site'!K1535,"NULL")</f>
        <v> 60.00</v>
      </c>
      <c r="I1535" s="0" t="str">
        <f aca="false">"INSERT INTO COTACAO (cot_id, cot_blt_id, cot_pap_id, cot_prc_comum, cot_prc_min, cot_prc_max, cot_prc_med, cot_prc_mediana) VALUES ("&amp;A1535&amp;", "&amp;B1535&amp;", "&amp;C1535&amp;", "&amp;D1535&amp;", "&amp;E1535&amp;", "&amp;F1535&amp;", "&amp;G1535&amp;", "&amp;H1535&amp;");"</f>
        <v>INSERT INTO COTACAO (cot_id, cot_blt_id, cot_pap_id, cot_prc_comum, cot_prc_min, cot_prc_max, cot_prc_med, cot_prc_mediana) VALUES (1534, 76, 24, NULL,  60.00,  60.00,  60.00,  60.00);</v>
      </c>
      <c r="J1535" s="0" t="str">
        <f aca="false">"UPDATE COTACAO SET cot_id = "&amp;A1535&amp;", cot_blt_id = "&amp;B1535&amp;", cot_pap_id = "&amp;C1535&amp;", cot_prc_comum = "&amp;D1535&amp;", cot_prc_min = "&amp;E1535&amp;", cot_prc_max = "&amp;F1535&amp;", cot_prc_med = "&amp;G1535&amp;", cot_prc_mediana = "&amp;H1535&amp;" WHERE cot_id = "&amp;A1535&amp;";"</f>
        <v>UPDATE COTACAO SET cot_id = 1534, cot_blt_id = 76, cot_pap_id = 24, cot_prc_comum = NULL, cot_prc_min =  60.00, cot_prc_max =  60.00, cot_prc_med =  60.00, cot_prc_mediana =  60.00 WHERE cot_id = 1534;</v>
      </c>
    </row>
    <row r="1536" customFormat="false" ht="14.25" hidden="false" customHeight="false" outlineLevel="0" collapsed="false">
      <c r="A1536" s="0" t="n">
        <v>1535</v>
      </c>
      <c r="B1536" s="0" t="n">
        <f aca="false">IF('Boletins Nuppa Site'!A1536&lt;&gt;0,'Boletins Nuppa Site'!A1536,"NULL")</f>
        <v>76</v>
      </c>
      <c r="C1536" s="0" t="n">
        <v>25</v>
      </c>
      <c r="D1536" s="0" t="str">
        <f aca="false">IF('Boletins Nuppa Site'!G1536&lt;&gt;0,'Boletins Nuppa Site'!G1536,"NULL")</f>
        <v> 50.00</v>
      </c>
      <c r="E1536" s="30" t="str">
        <f aca="false">IF('Boletins Nuppa Site'!H1536&lt;&gt;0,'Boletins Nuppa Site'!H1536,"NULL")</f>
        <v> 50.00</v>
      </c>
      <c r="F1536" s="30" t="str">
        <f aca="false">IF('Boletins Nuppa Site'!I1536&lt;&gt;0,'Boletins Nuppa Site'!I1536,"NULL")</f>
        <v> 65.00</v>
      </c>
      <c r="G1536" s="30" t="str">
        <f aca="false">IF('Boletins Nuppa Site'!J1536&lt;&gt;0,'Boletins Nuppa Site'!J1536,"NULL")</f>
        <v> 56.25</v>
      </c>
      <c r="H1536" s="30" t="str">
        <f aca="false">IF('Boletins Nuppa Site'!K1536&lt;&gt;0,'Boletins Nuppa Site'!K1536,"NULL")</f>
        <v> 55.00</v>
      </c>
      <c r="I1536" s="0" t="str">
        <f aca="false">"INSERT INTO COTACAO (cot_id, cot_blt_id, cot_pap_id, cot_prc_comum, cot_prc_min, cot_prc_max, cot_prc_med, cot_prc_mediana) VALUES ("&amp;A1536&amp;", "&amp;B1536&amp;", "&amp;C1536&amp;", "&amp;D1536&amp;", "&amp;E1536&amp;", "&amp;F1536&amp;", "&amp;G1536&amp;", "&amp;H1536&amp;");"</f>
        <v>INSERT INTO COTACAO (cot_id, cot_blt_id, cot_pap_id, cot_prc_comum, cot_prc_min, cot_prc_max, cot_prc_med, cot_prc_mediana) VALUES (1535, 76, 25,  50.00,  50.00,  65.00,  56.25,  55.00);</v>
      </c>
      <c r="J1536" s="0" t="str">
        <f aca="false">"UPDATE COTACAO SET cot_id = "&amp;A1536&amp;", cot_blt_id = "&amp;B1536&amp;", cot_pap_id = "&amp;C1536&amp;", cot_prc_comum = "&amp;D1536&amp;", cot_prc_min = "&amp;E1536&amp;", cot_prc_max = "&amp;F1536&amp;", cot_prc_med = "&amp;G1536&amp;", cot_prc_mediana = "&amp;H1536&amp;" WHERE cot_id = "&amp;A1536&amp;";"</f>
        <v>UPDATE COTACAO SET cot_id = 1535, cot_blt_id = 76, cot_pap_id = 25, cot_prc_comum =  50.00, cot_prc_min =  50.00, cot_prc_max =  65.00, cot_prc_med =  56.25, cot_prc_mediana =  55.00 WHERE cot_id = 1535;</v>
      </c>
    </row>
    <row r="1537" customFormat="false" ht="14.25" hidden="false" customHeight="false" outlineLevel="0" collapsed="false">
      <c r="A1537" s="0" t="n">
        <v>1536</v>
      </c>
      <c r="B1537" s="0" t="n">
        <f aca="false">IF('Boletins Nuppa Site'!A1537&lt;&gt;0,'Boletins Nuppa Site'!A1537,"NULL")</f>
        <v>76</v>
      </c>
      <c r="C1537" s="0" t="n">
        <v>26</v>
      </c>
      <c r="D1537" s="0" t="str">
        <f aca="false">IF('Boletins Nuppa Site'!G1537&lt;&gt;0,'Boletins Nuppa Site'!G1537,"NULL")</f>
        <v> 55.00</v>
      </c>
      <c r="E1537" s="30" t="str">
        <f aca="false">IF('Boletins Nuppa Site'!H1537&lt;&gt;0,'Boletins Nuppa Site'!H1537,"NULL")</f>
        <v> 40.00</v>
      </c>
      <c r="F1537" s="30" t="str">
        <f aca="false">IF('Boletins Nuppa Site'!I1537&lt;&gt;0,'Boletins Nuppa Site'!I1537,"NULL")</f>
        <v> 55.00</v>
      </c>
      <c r="G1537" s="30" t="str">
        <f aca="false">IF('Boletins Nuppa Site'!J1537&lt;&gt;0,'Boletins Nuppa Site'!J1537,"NULL")</f>
        <v> 48.75</v>
      </c>
      <c r="H1537" s="30" t="str">
        <f aca="false">IF('Boletins Nuppa Site'!K1537&lt;&gt;0,'Boletins Nuppa Site'!K1537,"NULL")</f>
        <v> 50.00</v>
      </c>
      <c r="I1537" s="0" t="str">
        <f aca="false">"INSERT INTO COTACAO (cot_id, cot_blt_id, cot_pap_id, cot_prc_comum, cot_prc_min, cot_prc_max, cot_prc_med, cot_prc_mediana) VALUES ("&amp;A1537&amp;", "&amp;B1537&amp;", "&amp;C1537&amp;", "&amp;D1537&amp;", "&amp;E1537&amp;", "&amp;F1537&amp;", "&amp;G1537&amp;", "&amp;H1537&amp;");"</f>
        <v>INSERT INTO COTACAO (cot_id, cot_blt_id, cot_pap_id, cot_prc_comum, cot_prc_min, cot_prc_max, cot_prc_med, cot_prc_mediana) VALUES (1536, 76, 26,  55.00,  40.00,  55.00,  48.75,  50.00);</v>
      </c>
      <c r="J1537" s="0" t="str">
        <f aca="false">"UPDATE COTACAO SET cot_id = "&amp;A1537&amp;", cot_blt_id = "&amp;B1537&amp;", cot_pap_id = "&amp;C1537&amp;", cot_prc_comum = "&amp;D1537&amp;", cot_prc_min = "&amp;E1537&amp;", cot_prc_max = "&amp;F1537&amp;", cot_prc_med = "&amp;G1537&amp;", cot_prc_mediana = "&amp;H1537&amp;" WHERE cot_id = "&amp;A1537&amp;";"</f>
        <v>UPDATE COTACAO SET cot_id = 1536, cot_blt_id = 76, cot_pap_id = 26, cot_prc_comum =  55.00, cot_prc_min =  40.00, cot_prc_max =  55.00, cot_prc_med =  48.75, cot_prc_mediana =  50.00 WHERE cot_id = 1536;</v>
      </c>
    </row>
    <row r="1538" customFormat="false" ht="14.25" hidden="false" customHeight="false" outlineLevel="0" collapsed="false">
      <c r="A1538" s="0" t="n">
        <v>1537</v>
      </c>
      <c r="B1538" s="0" t="n">
        <f aca="false">IF('Boletins Nuppa Site'!A1538&lt;&gt;0,'Boletins Nuppa Site'!A1538,"NULL")</f>
        <v>76</v>
      </c>
      <c r="C1538" s="0" t="n">
        <v>27</v>
      </c>
      <c r="D1538" s="0" t="str">
        <f aca="false">IF('Boletins Nuppa Site'!G1538&lt;&gt;0,'Boletins Nuppa Site'!G1538,"NULL")</f>
        <v> 50.00</v>
      </c>
      <c r="E1538" s="30" t="str">
        <f aca="false">IF('Boletins Nuppa Site'!H1538&lt;&gt;0,'Boletins Nuppa Site'!H1538,"NULL")</f>
        <v> 50.00</v>
      </c>
      <c r="F1538" s="30" t="str">
        <f aca="false">IF('Boletins Nuppa Site'!I1538&lt;&gt;0,'Boletins Nuppa Site'!I1538,"NULL")</f>
        <v> 75.00</v>
      </c>
      <c r="G1538" s="30" t="str">
        <f aca="false">IF('Boletins Nuppa Site'!J1538&lt;&gt;0,'Boletins Nuppa Site'!J1538,"NULL")</f>
        <v> 57.50</v>
      </c>
      <c r="H1538" s="30" t="str">
        <f aca="false">IF('Boletins Nuppa Site'!K1538&lt;&gt;0,'Boletins Nuppa Site'!K1538,"NULL")</f>
        <v> 52.50</v>
      </c>
      <c r="I1538" s="0" t="str">
        <f aca="false">"INSERT INTO COTACAO (cot_id, cot_blt_id, cot_pap_id, cot_prc_comum, cot_prc_min, cot_prc_max, cot_prc_med, cot_prc_mediana) VALUES ("&amp;A1538&amp;", "&amp;B1538&amp;", "&amp;C1538&amp;", "&amp;D1538&amp;", "&amp;E1538&amp;", "&amp;F1538&amp;", "&amp;G1538&amp;", "&amp;H1538&amp;");"</f>
        <v>INSERT INTO COTACAO (cot_id, cot_blt_id, cot_pap_id, cot_prc_comum, cot_prc_min, cot_prc_max, cot_prc_med, cot_prc_mediana) VALUES (1537, 76, 27,  50.00,  50.00,  75.00,  57.50,  52.50);</v>
      </c>
      <c r="J1538" s="0" t="str">
        <f aca="false">"UPDATE COTACAO SET cot_id = "&amp;A1538&amp;", cot_blt_id = "&amp;B1538&amp;", cot_pap_id = "&amp;C1538&amp;", cot_prc_comum = "&amp;D1538&amp;", cot_prc_min = "&amp;E1538&amp;", cot_prc_max = "&amp;F1538&amp;", cot_prc_med = "&amp;G1538&amp;", cot_prc_mediana = "&amp;H1538&amp;" WHERE cot_id = "&amp;A1538&amp;";"</f>
        <v>UPDATE COTACAO SET cot_id = 1537, cot_blt_id = 76, cot_pap_id = 27, cot_prc_comum =  50.00, cot_prc_min =  50.00, cot_prc_max =  75.00, cot_prc_med =  57.50, cot_prc_mediana =  52.50 WHERE cot_id = 1537;</v>
      </c>
    </row>
    <row r="1539" customFormat="false" ht="14.25" hidden="false" customHeight="false" outlineLevel="0" collapsed="false">
      <c r="A1539" s="0" t="n">
        <v>1538</v>
      </c>
      <c r="B1539" s="0" t="n">
        <f aca="false">IF('Boletins Nuppa Site'!A1539&lt;&gt;0,'Boletins Nuppa Site'!A1539,"NULL")</f>
        <v>76</v>
      </c>
      <c r="C1539" s="0" t="n">
        <v>28</v>
      </c>
      <c r="D1539" s="0" t="str">
        <f aca="false">IF('Boletins Nuppa Site'!G1539&lt;&gt;0,'Boletins Nuppa Site'!G1539,"NULL")</f>
        <v>NULL</v>
      </c>
      <c r="E1539" s="30" t="str">
        <f aca="false">IF('Boletins Nuppa Site'!H1539&lt;&gt;0,'Boletins Nuppa Site'!H1539,"NULL")</f>
        <v> 80.00</v>
      </c>
      <c r="F1539" s="30" t="str">
        <f aca="false">IF('Boletins Nuppa Site'!I1539&lt;&gt;0,'Boletins Nuppa Site'!I1539,"NULL")</f>
        <v> 120.00</v>
      </c>
      <c r="G1539" s="30" t="str">
        <f aca="false">IF('Boletins Nuppa Site'!J1539&lt;&gt;0,'Boletins Nuppa Site'!J1539,"NULL")</f>
        <v> 103.33</v>
      </c>
      <c r="H1539" s="30" t="str">
        <f aca="false">IF('Boletins Nuppa Site'!K1539&lt;&gt;0,'Boletins Nuppa Site'!K1539,"NULL")</f>
        <v> 110.00</v>
      </c>
      <c r="I1539" s="0" t="str">
        <f aca="false">"INSERT INTO COTACAO (cot_id, cot_blt_id, cot_pap_id, cot_prc_comum, cot_prc_min, cot_prc_max, cot_prc_med, cot_prc_mediana) VALUES ("&amp;A1539&amp;", "&amp;B1539&amp;", "&amp;C1539&amp;", "&amp;D1539&amp;", "&amp;E1539&amp;", "&amp;F1539&amp;", "&amp;G1539&amp;", "&amp;H1539&amp;");"</f>
        <v>INSERT INTO COTACAO (cot_id, cot_blt_id, cot_pap_id, cot_prc_comum, cot_prc_min, cot_prc_max, cot_prc_med, cot_prc_mediana) VALUES (1538, 76, 28, NULL,  80.00,  120.00,  103.33,  110.00);</v>
      </c>
      <c r="J1539" s="0" t="str">
        <f aca="false">"UPDATE COTACAO SET cot_id = "&amp;A1539&amp;", cot_blt_id = "&amp;B1539&amp;", cot_pap_id = "&amp;C1539&amp;", cot_prc_comum = "&amp;D1539&amp;", cot_prc_min = "&amp;E1539&amp;", cot_prc_max = "&amp;F1539&amp;", cot_prc_med = "&amp;G1539&amp;", cot_prc_mediana = "&amp;H1539&amp;" WHERE cot_id = "&amp;A1539&amp;";"</f>
        <v>UPDATE COTACAO SET cot_id = 1538, cot_blt_id = 76, cot_pap_id = 28, cot_prc_comum = NULL, cot_prc_min =  80.00, cot_prc_max =  120.00, cot_prc_med =  103.33, cot_prc_mediana =  110.00 WHERE cot_id = 1538;</v>
      </c>
    </row>
    <row r="1540" customFormat="false" ht="14.25" hidden="false" customHeight="false" outlineLevel="0" collapsed="false">
      <c r="A1540" s="0" t="n">
        <v>1539</v>
      </c>
      <c r="B1540" s="0" t="n">
        <f aca="false">IF('Boletins Nuppa Site'!A1540&lt;&gt;0,'Boletins Nuppa Site'!A1540,"NULL")</f>
        <v>76</v>
      </c>
      <c r="C1540" s="0" t="n">
        <v>29</v>
      </c>
      <c r="D1540" s="0" t="str">
        <f aca="false">IF('Boletins Nuppa Site'!G1540&lt;&gt;0,'Boletins Nuppa Site'!G1540,"NULL")</f>
        <v>NULL</v>
      </c>
      <c r="E1540" s="30" t="str">
        <f aca="false">IF('Boletins Nuppa Site'!H1540&lt;&gt;0,'Boletins Nuppa Site'!H1540,"NULL")</f>
        <v> 50.00</v>
      </c>
      <c r="F1540" s="30" t="str">
        <f aca="false">IF('Boletins Nuppa Site'!I1540&lt;&gt;0,'Boletins Nuppa Site'!I1540,"NULL")</f>
        <v> 60.00</v>
      </c>
      <c r="G1540" s="30" t="str">
        <f aca="false">IF('Boletins Nuppa Site'!J1540&lt;&gt;0,'Boletins Nuppa Site'!J1540,"NULL")</f>
        <v> 55.00</v>
      </c>
      <c r="H1540" s="30" t="str">
        <f aca="false">IF('Boletins Nuppa Site'!K1540&lt;&gt;0,'Boletins Nuppa Site'!K1540,"NULL")</f>
        <v> 55.00</v>
      </c>
      <c r="I1540" s="0" t="str">
        <f aca="false">"INSERT INTO COTACAO (cot_id, cot_blt_id, cot_pap_id, cot_prc_comum, cot_prc_min, cot_prc_max, cot_prc_med, cot_prc_mediana) VALUES ("&amp;A1540&amp;", "&amp;B1540&amp;", "&amp;C1540&amp;", "&amp;D1540&amp;", "&amp;E1540&amp;", "&amp;F1540&amp;", "&amp;G1540&amp;", "&amp;H1540&amp;");"</f>
        <v>INSERT INTO COTACAO (cot_id, cot_blt_id, cot_pap_id, cot_prc_comum, cot_prc_min, cot_prc_max, cot_prc_med, cot_prc_mediana) VALUES (1539, 76, 29, NULL,  50.00,  60.00,  55.00,  55.00);</v>
      </c>
      <c r="J1540" s="0" t="str">
        <f aca="false">"UPDATE COTACAO SET cot_id = "&amp;A1540&amp;", cot_blt_id = "&amp;B1540&amp;", cot_pap_id = "&amp;C1540&amp;", cot_prc_comum = "&amp;D1540&amp;", cot_prc_min = "&amp;E1540&amp;", cot_prc_max = "&amp;F1540&amp;", cot_prc_med = "&amp;G1540&amp;", cot_prc_mediana = "&amp;H1540&amp;" WHERE cot_id = "&amp;A1540&amp;";"</f>
        <v>UPDATE COTACAO SET cot_id = 1539, cot_blt_id = 76, cot_pap_id = 29, cot_prc_comum = NULL, cot_prc_min =  50.00, cot_prc_max =  60.00, cot_prc_med =  55.00, cot_prc_mediana =  55.00 WHERE cot_id = 1539;</v>
      </c>
    </row>
    <row r="1541" customFormat="false" ht="14.25" hidden="false" customHeight="false" outlineLevel="0" collapsed="false">
      <c r="A1541" s="0" t="n">
        <v>1540</v>
      </c>
      <c r="B1541" s="0" t="n">
        <f aca="false">IF('Boletins Nuppa Site'!A1541&lt;&gt;0,'Boletins Nuppa Site'!A1541,"NULL")</f>
        <v>76</v>
      </c>
      <c r="C1541" s="0" t="n">
        <v>30</v>
      </c>
      <c r="D1541" s="0" t="str">
        <f aca="false">IF('Boletins Nuppa Site'!G1541&lt;&gt;0,'Boletins Nuppa Site'!G1541,"NULL")</f>
        <v> 50.00</v>
      </c>
      <c r="E1541" s="30" t="str">
        <f aca="false">IF('Boletins Nuppa Site'!H1541&lt;&gt;0,'Boletins Nuppa Site'!H1541,"NULL")</f>
        <v> 40.00</v>
      </c>
      <c r="F1541" s="30" t="str">
        <f aca="false">IF('Boletins Nuppa Site'!I1541&lt;&gt;0,'Boletins Nuppa Site'!I1541,"NULL")</f>
        <v> 50.00</v>
      </c>
      <c r="G1541" s="30" t="str">
        <f aca="false">IF('Boletins Nuppa Site'!J1541&lt;&gt;0,'Boletins Nuppa Site'!J1541,"NULL")</f>
        <v> 47.50</v>
      </c>
      <c r="H1541" s="30" t="str">
        <f aca="false">IF('Boletins Nuppa Site'!K1541&lt;&gt;0,'Boletins Nuppa Site'!K1541,"NULL")</f>
        <v> 50.00</v>
      </c>
      <c r="I1541" s="0" t="str">
        <f aca="false">"INSERT INTO COTACAO (cot_id, cot_blt_id, cot_pap_id, cot_prc_comum, cot_prc_min, cot_prc_max, cot_prc_med, cot_prc_mediana) VALUES ("&amp;A1541&amp;", "&amp;B1541&amp;", "&amp;C1541&amp;", "&amp;D1541&amp;", "&amp;E1541&amp;", "&amp;F1541&amp;", "&amp;G1541&amp;", "&amp;H1541&amp;");"</f>
        <v>INSERT INTO COTACAO (cot_id, cot_blt_id, cot_pap_id, cot_prc_comum, cot_prc_min, cot_prc_max, cot_prc_med, cot_prc_mediana) VALUES (1540, 76, 30,  50.00,  40.00,  50.00,  47.50,  50.00);</v>
      </c>
      <c r="J1541" s="0" t="str">
        <f aca="false">"UPDATE COTACAO SET cot_id = "&amp;A1541&amp;", cot_blt_id = "&amp;B1541&amp;", cot_pap_id = "&amp;C1541&amp;", cot_prc_comum = "&amp;D1541&amp;", cot_prc_min = "&amp;E1541&amp;", cot_prc_max = "&amp;F1541&amp;", cot_prc_med = "&amp;G1541&amp;", cot_prc_mediana = "&amp;H1541&amp;" WHERE cot_id = "&amp;A1541&amp;";"</f>
        <v>UPDATE COTACAO SET cot_id = 1540, cot_blt_id = 76, cot_pap_id = 30, cot_prc_comum =  50.00, cot_prc_min =  40.00, cot_prc_max =  50.00, cot_prc_med =  47.50, cot_prc_mediana =  50.00 WHERE cot_id = 1540;</v>
      </c>
    </row>
    <row r="1542" customFormat="false" ht="14.25" hidden="false" customHeight="false" outlineLevel="0" collapsed="false">
      <c r="A1542" s="0" t="n">
        <v>1541</v>
      </c>
      <c r="B1542" s="0" t="n">
        <f aca="false">IF('Boletins Nuppa Site'!A1542&lt;&gt;0,'Boletins Nuppa Site'!A1542,"NULL")</f>
        <v>76</v>
      </c>
      <c r="C1542" s="0" t="n">
        <v>31</v>
      </c>
      <c r="D1542" s="0" t="str">
        <f aca="false">IF('Boletins Nuppa Site'!G1542&lt;&gt;0,'Boletins Nuppa Site'!G1542,"NULL")</f>
        <v> 70.00</v>
      </c>
      <c r="E1542" s="30" t="str">
        <f aca="false">IF('Boletins Nuppa Site'!H1542&lt;&gt;0,'Boletins Nuppa Site'!H1542,"NULL")</f>
        <v> 65.00</v>
      </c>
      <c r="F1542" s="30" t="str">
        <f aca="false">IF('Boletins Nuppa Site'!I1542&lt;&gt;0,'Boletins Nuppa Site'!I1542,"NULL")</f>
        <v> 90.00</v>
      </c>
      <c r="G1542" s="30" t="str">
        <f aca="false">IF('Boletins Nuppa Site'!J1542&lt;&gt;0,'Boletins Nuppa Site'!J1542,"NULL")</f>
        <v> 73.75</v>
      </c>
      <c r="H1542" s="30" t="str">
        <f aca="false">IF('Boletins Nuppa Site'!K1542&lt;&gt;0,'Boletins Nuppa Site'!K1542,"NULL")</f>
        <v> 70.00</v>
      </c>
      <c r="I1542" s="0" t="str">
        <f aca="false">"INSERT INTO COTACAO (cot_id, cot_blt_id, cot_pap_id, cot_prc_comum, cot_prc_min, cot_prc_max, cot_prc_med, cot_prc_mediana) VALUES ("&amp;A1542&amp;", "&amp;B1542&amp;", "&amp;C1542&amp;", "&amp;D1542&amp;", "&amp;E1542&amp;", "&amp;F1542&amp;", "&amp;G1542&amp;", "&amp;H1542&amp;");"</f>
        <v>INSERT INTO COTACAO (cot_id, cot_blt_id, cot_pap_id, cot_prc_comum, cot_prc_min, cot_prc_max, cot_prc_med, cot_prc_mediana) VALUES (1541, 76, 31,  70.00,  65.00,  90.00,  73.75,  70.00);</v>
      </c>
      <c r="J1542" s="0" t="str">
        <f aca="false">"UPDATE COTACAO SET cot_id = "&amp;A1542&amp;", cot_blt_id = "&amp;B1542&amp;", cot_pap_id = "&amp;C1542&amp;", cot_prc_comum = "&amp;D1542&amp;", cot_prc_min = "&amp;E1542&amp;", cot_prc_max = "&amp;F1542&amp;", cot_prc_med = "&amp;G1542&amp;", cot_prc_mediana = "&amp;H1542&amp;" WHERE cot_id = "&amp;A1542&amp;";"</f>
        <v>UPDATE COTACAO SET cot_id = 1541, cot_blt_id = 76, cot_pap_id = 31, cot_prc_comum =  70.00, cot_prc_min =  65.00, cot_prc_max =  90.00, cot_prc_med =  73.75, cot_prc_mediana =  70.00 WHERE cot_id = 1541;</v>
      </c>
    </row>
    <row r="1543" customFormat="false" ht="14.25" hidden="false" customHeight="false" outlineLevel="0" collapsed="false">
      <c r="A1543" s="0" t="n">
        <v>1542</v>
      </c>
      <c r="B1543" s="0" t="n">
        <f aca="false">IF('Boletins Nuppa Site'!A1543&lt;&gt;0,'Boletins Nuppa Site'!A1543,"NULL")</f>
        <v>76</v>
      </c>
      <c r="C1543" s="0" t="n">
        <v>32</v>
      </c>
      <c r="D1543" s="0" t="str">
        <f aca="false">IF('Boletins Nuppa Site'!G1543&lt;&gt;0,'Boletins Nuppa Site'!G1543,"NULL")</f>
        <v> 50.00</v>
      </c>
      <c r="E1543" s="30" t="str">
        <f aca="false">IF('Boletins Nuppa Site'!H1543&lt;&gt;0,'Boletins Nuppa Site'!H1543,"NULL")</f>
        <v> 40.00</v>
      </c>
      <c r="F1543" s="30" t="str">
        <f aca="false">IF('Boletins Nuppa Site'!I1543&lt;&gt;0,'Boletins Nuppa Site'!I1543,"NULL")</f>
        <v> 50.00</v>
      </c>
      <c r="G1543" s="30" t="str">
        <f aca="false">IF('Boletins Nuppa Site'!J1543&lt;&gt;0,'Boletins Nuppa Site'!J1543,"NULL")</f>
        <v> 46.25</v>
      </c>
      <c r="H1543" s="30" t="str">
        <f aca="false">IF('Boletins Nuppa Site'!K1543&lt;&gt;0,'Boletins Nuppa Site'!K1543,"NULL")</f>
        <v> 47.50</v>
      </c>
      <c r="I1543" s="0" t="str">
        <f aca="false">"INSERT INTO COTACAO (cot_id, cot_blt_id, cot_pap_id, cot_prc_comum, cot_prc_min, cot_prc_max, cot_prc_med, cot_prc_mediana) VALUES ("&amp;A1543&amp;", "&amp;B1543&amp;", "&amp;C1543&amp;", "&amp;D1543&amp;", "&amp;E1543&amp;", "&amp;F1543&amp;", "&amp;G1543&amp;", "&amp;H1543&amp;");"</f>
        <v>INSERT INTO COTACAO (cot_id, cot_blt_id, cot_pap_id, cot_prc_comum, cot_prc_min, cot_prc_max, cot_prc_med, cot_prc_mediana) VALUES (1542, 76, 32,  50.00,  40.00,  50.00,  46.25,  47.50);</v>
      </c>
      <c r="J1543" s="0" t="str">
        <f aca="false">"UPDATE COTACAO SET cot_id = "&amp;A1543&amp;", cot_blt_id = "&amp;B1543&amp;", cot_pap_id = "&amp;C1543&amp;", cot_prc_comum = "&amp;D1543&amp;", cot_prc_min = "&amp;E1543&amp;", cot_prc_max = "&amp;F1543&amp;", cot_prc_med = "&amp;G1543&amp;", cot_prc_mediana = "&amp;H1543&amp;" WHERE cot_id = "&amp;A1543&amp;";"</f>
        <v>UPDATE COTACAO SET cot_id = 1542, cot_blt_id = 76, cot_pap_id = 32, cot_prc_comum =  50.00, cot_prc_min =  40.00, cot_prc_max =  50.00, cot_prc_med =  46.25, cot_prc_mediana =  47.50 WHERE cot_id = 1542;</v>
      </c>
    </row>
    <row r="1544" customFormat="false" ht="14.25" hidden="false" customHeight="false" outlineLevel="0" collapsed="false">
      <c r="A1544" s="0" t="n">
        <v>1543</v>
      </c>
      <c r="B1544" s="0" t="n">
        <f aca="false">IF('Boletins Nuppa Site'!A1544&lt;&gt;0,'Boletins Nuppa Site'!A1544,"NULL")</f>
        <v>76</v>
      </c>
      <c r="C1544" s="0" t="n">
        <v>33</v>
      </c>
      <c r="D1544" s="0" t="str">
        <f aca="false">IF('Boletins Nuppa Site'!G1544&lt;&gt;0,'Boletins Nuppa Site'!G1544,"NULL")</f>
        <v>NULL</v>
      </c>
      <c r="E1544" s="30" t="str">
        <f aca="false">IF('Boletins Nuppa Site'!H1544&lt;&gt;0,'Boletins Nuppa Site'!H1544,"NULL")</f>
        <v> 150.00</v>
      </c>
      <c r="F1544" s="30" t="str">
        <f aca="false">IF('Boletins Nuppa Site'!I1544&lt;&gt;0,'Boletins Nuppa Site'!I1544,"NULL")</f>
        <v> 180.00</v>
      </c>
      <c r="G1544" s="30" t="str">
        <f aca="false">IF('Boletins Nuppa Site'!J1544&lt;&gt;0,'Boletins Nuppa Site'!J1544,"NULL")</f>
        <v> 163.33</v>
      </c>
      <c r="H1544" s="30" t="str">
        <f aca="false">IF('Boletins Nuppa Site'!K1544&lt;&gt;0,'Boletins Nuppa Site'!K1544,"NULL")</f>
        <v> 160.00</v>
      </c>
      <c r="I1544" s="0" t="str">
        <f aca="false">"INSERT INTO COTACAO (cot_id, cot_blt_id, cot_pap_id, cot_prc_comum, cot_prc_min, cot_prc_max, cot_prc_med, cot_prc_mediana) VALUES ("&amp;A1544&amp;", "&amp;B1544&amp;", "&amp;C1544&amp;", "&amp;D1544&amp;", "&amp;E1544&amp;", "&amp;F1544&amp;", "&amp;G1544&amp;", "&amp;H1544&amp;");"</f>
        <v>INSERT INTO COTACAO (cot_id, cot_blt_id, cot_pap_id, cot_prc_comum, cot_prc_min, cot_prc_max, cot_prc_med, cot_prc_mediana) VALUES (1543, 76, 33, NULL,  150.00,  180.00,  163.33,  160.00);</v>
      </c>
      <c r="J1544" s="0" t="str">
        <f aca="false">"UPDATE COTACAO SET cot_id = "&amp;A1544&amp;", cot_blt_id = "&amp;B1544&amp;", cot_pap_id = "&amp;C1544&amp;", cot_prc_comum = "&amp;D1544&amp;", cot_prc_min = "&amp;E1544&amp;", cot_prc_max = "&amp;F1544&amp;", cot_prc_med = "&amp;G1544&amp;", cot_prc_mediana = "&amp;H1544&amp;" WHERE cot_id = "&amp;A1544&amp;";"</f>
        <v>UPDATE COTACAO SET cot_id = 1543, cot_blt_id = 76, cot_pap_id = 33, cot_prc_comum = NULL, cot_prc_min =  150.00, cot_prc_max =  180.00, cot_prc_med =  163.33, cot_prc_mediana =  160.00 WHERE cot_id = 1543;</v>
      </c>
    </row>
    <row r="1545" customFormat="false" ht="14.25" hidden="false" customHeight="false" outlineLevel="0" collapsed="false">
      <c r="A1545" s="0" t="n">
        <v>1544</v>
      </c>
      <c r="B1545" s="0" t="n">
        <f aca="false">IF('Boletins Nuppa Site'!A1545&lt;&gt;0,'Boletins Nuppa Site'!A1545,"NULL")</f>
        <v>76</v>
      </c>
      <c r="C1545" s="0" t="n">
        <v>34</v>
      </c>
      <c r="D1545" s="0" t="str">
        <f aca="false">IF('Boletins Nuppa Site'!G1545&lt;&gt;0,'Boletins Nuppa Site'!G1545,"NULL")</f>
        <v> 80.00</v>
      </c>
      <c r="E1545" s="30" t="str">
        <f aca="false">IF('Boletins Nuppa Site'!H1545&lt;&gt;0,'Boletins Nuppa Site'!H1545,"NULL")</f>
        <v> 70.00</v>
      </c>
      <c r="F1545" s="30" t="str">
        <f aca="false">IF('Boletins Nuppa Site'!I1545&lt;&gt;0,'Boletins Nuppa Site'!I1545,"NULL")</f>
        <v> 95.00</v>
      </c>
      <c r="G1545" s="30" t="str">
        <f aca="false">IF('Boletins Nuppa Site'!J1545&lt;&gt;0,'Boletins Nuppa Site'!J1545,"NULL")</f>
        <v> 81.25</v>
      </c>
      <c r="H1545" s="30" t="str">
        <f aca="false">IF('Boletins Nuppa Site'!K1545&lt;&gt;0,'Boletins Nuppa Site'!K1545,"NULL")</f>
        <v> 80.00</v>
      </c>
      <c r="I1545" s="0" t="str">
        <f aca="false">"INSERT INTO COTACAO (cot_id, cot_blt_id, cot_pap_id, cot_prc_comum, cot_prc_min, cot_prc_max, cot_prc_med, cot_prc_mediana) VALUES ("&amp;A1545&amp;", "&amp;B1545&amp;", "&amp;C1545&amp;", "&amp;D1545&amp;", "&amp;E1545&amp;", "&amp;F1545&amp;", "&amp;G1545&amp;", "&amp;H1545&amp;");"</f>
        <v>INSERT INTO COTACAO (cot_id, cot_blt_id, cot_pap_id, cot_prc_comum, cot_prc_min, cot_prc_max, cot_prc_med, cot_prc_mediana) VALUES (1544, 76, 34,  80.00,  70.00,  95.00,  81.25,  80.00);</v>
      </c>
      <c r="J1545" s="0" t="str">
        <f aca="false">"UPDATE COTACAO SET cot_id = "&amp;A1545&amp;", cot_blt_id = "&amp;B1545&amp;", cot_pap_id = "&amp;C1545&amp;", cot_prc_comum = "&amp;D1545&amp;", cot_prc_min = "&amp;E1545&amp;", cot_prc_max = "&amp;F1545&amp;", cot_prc_med = "&amp;G1545&amp;", cot_prc_mediana = "&amp;H1545&amp;" WHERE cot_id = "&amp;A1545&amp;";"</f>
        <v>UPDATE COTACAO SET cot_id = 1544, cot_blt_id = 76, cot_pap_id = 34, cot_prc_comum =  80.00, cot_prc_min =  70.00, cot_prc_max =  95.00, cot_prc_med =  81.25, cot_prc_mediana =  80.00 WHERE cot_id = 1544;</v>
      </c>
    </row>
    <row r="1546" customFormat="false" ht="14.25" hidden="false" customHeight="false" outlineLevel="0" collapsed="false">
      <c r="A1546" s="0" t="n">
        <v>1545</v>
      </c>
      <c r="B1546" s="0" t="n">
        <f aca="false">IF('Boletins Nuppa Site'!A1546&lt;&gt;0,'Boletins Nuppa Site'!A1546,"NULL")</f>
        <v>76</v>
      </c>
      <c r="C1546" s="0" t="n">
        <v>35</v>
      </c>
      <c r="D1546" s="0" t="str">
        <f aca="false">IF('Boletins Nuppa Site'!G1546&lt;&gt;0,'Boletins Nuppa Site'!G1546,"NULL")</f>
        <v>NULL</v>
      </c>
      <c r="E1546" s="30" t="str">
        <f aca="false">IF('Boletins Nuppa Site'!H1546&lt;&gt;0,'Boletins Nuppa Site'!H1546,"NULL")</f>
        <v> 90.00</v>
      </c>
      <c r="F1546" s="30" t="str">
        <f aca="false">IF('Boletins Nuppa Site'!I1546&lt;&gt;0,'Boletins Nuppa Site'!I1546,"NULL")</f>
        <v> 180.00</v>
      </c>
      <c r="G1546" s="30" t="str">
        <f aca="false">IF('Boletins Nuppa Site'!J1546&lt;&gt;0,'Boletins Nuppa Site'!J1546,"NULL")</f>
        <v> 123.33</v>
      </c>
      <c r="H1546" s="30" t="str">
        <f aca="false">IF('Boletins Nuppa Site'!K1546&lt;&gt;0,'Boletins Nuppa Site'!K1546,"NULL")</f>
        <v> 100.00</v>
      </c>
      <c r="I1546" s="0" t="str">
        <f aca="false">"INSERT INTO COTACAO (cot_id, cot_blt_id, cot_pap_id, cot_prc_comum, cot_prc_min, cot_prc_max, cot_prc_med, cot_prc_mediana) VALUES ("&amp;A1546&amp;", "&amp;B1546&amp;", "&amp;C1546&amp;", "&amp;D1546&amp;", "&amp;E1546&amp;", "&amp;F1546&amp;", "&amp;G1546&amp;", "&amp;H1546&amp;");"</f>
        <v>INSERT INTO COTACAO (cot_id, cot_blt_id, cot_pap_id, cot_prc_comum, cot_prc_min, cot_prc_max, cot_prc_med, cot_prc_mediana) VALUES (1545, 76, 35, NULL,  90.00,  180.00,  123.33,  100.00);</v>
      </c>
      <c r="J1546" s="0" t="str">
        <f aca="false">"UPDATE COTACAO SET cot_id = "&amp;A1546&amp;", cot_blt_id = "&amp;B1546&amp;", cot_pap_id = "&amp;C1546&amp;", cot_prc_comum = "&amp;D1546&amp;", cot_prc_min = "&amp;E1546&amp;", cot_prc_max = "&amp;F1546&amp;", cot_prc_med = "&amp;G1546&amp;", cot_prc_mediana = "&amp;H1546&amp;" WHERE cot_id = "&amp;A1546&amp;";"</f>
        <v>UPDATE COTACAO SET cot_id = 1545, cot_blt_id = 76, cot_pap_id = 35, cot_prc_comum = NULL, cot_prc_min =  90.00, cot_prc_max =  180.00, cot_prc_med =  123.33, cot_prc_mediana =  100.00 WHERE cot_id = 1545;</v>
      </c>
    </row>
    <row r="1547" customFormat="false" ht="14.25" hidden="false" customHeight="false" outlineLevel="0" collapsed="false">
      <c r="A1547" s="0" t="n">
        <v>1546</v>
      </c>
      <c r="B1547" s="0" t="n">
        <f aca="false">IF('Boletins Nuppa Site'!A1547&lt;&gt;0,'Boletins Nuppa Site'!A1547,"NULL")</f>
        <v>76</v>
      </c>
      <c r="C1547" s="0" t="n">
        <v>36</v>
      </c>
      <c r="D1547" s="0" t="str">
        <f aca="false">IF('Boletins Nuppa Site'!G1547&lt;&gt;0,'Boletins Nuppa Site'!G1547,"NULL")</f>
        <v>NULL</v>
      </c>
      <c r="E1547" s="30" t="str">
        <f aca="false">IF('Boletins Nuppa Site'!H1547&lt;&gt;0,'Boletins Nuppa Site'!H1547,"NULL")</f>
        <v>NULL</v>
      </c>
      <c r="F1547" s="30" t="str">
        <f aca="false">IF('Boletins Nuppa Site'!I1547&lt;&gt;0,'Boletins Nuppa Site'!I1547,"NULL")</f>
        <v>NULL</v>
      </c>
      <c r="G1547" s="30" t="str">
        <f aca="false">IF('Boletins Nuppa Site'!J1547&lt;&gt;0,'Boletins Nuppa Site'!J1547,"NULL")</f>
        <v>NULL</v>
      </c>
      <c r="H1547" s="30" t="str">
        <f aca="false">IF('Boletins Nuppa Site'!K1547&lt;&gt;0,'Boletins Nuppa Site'!K1547,"NULL")</f>
        <v>NULL</v>
      </c>
      <c r="I1547" s="0" t="str">
        <f aca="false">"INSERT INTO COTACAO (cot_id, cot_blt_id, cot_pap_id, cot_prc_comum, cot_prc_min, cot_prc_max, cot_prc_med, cot_prc_mediana) VALUES ("&amp;A1547&amp;", "&amp;B1547&amp;", "&amp;C1547&amp;", "&amp;D1547&amp;", "&amp;E1547&amp;", "&amp;F1547&amp;", "&amp;G1547&amp;", "&amp;H1547&amp;");"</f>
        <v>INSERT INTO COTACAO (cot_id, cot_blt_id, cot_pap_id, cot_prc_comum, cot_prc_min, cot_prc_max, cot_prc_med, cot_prc_mediana) VALUES (1546, 76, 36, NULL, NULL, NULL, NULL, NULL);</v>
      </c>
      <c r="J1547" s="0" t="str">
        <f aca="false">"UPDATE COTACAO SET cot_id = "&amp;A1547&amp;", cot_blt_id = "&amp;B1547&amp;", cot_pap_id = "&amp;C1547&amp;", cot_prc_comum = "&amp;D1547&amp;", cot_prc_min = "&amp;E1547&amp;", cot_prc_max = "&amp;F1547&amp;", cot_prc_med = "&amp;G1547&amp;", cot_prc_mediana = "&amp;H1547&amp;" WHERE cot_id = "&amp;A1547&amp;";"</f>
        <v>UPDATE COTACAO SET cot_id = 1546, cot_blt_id = 76, cot_pap_id = 36, cot_prc_comum = NULL, cot_prc_min = NULL, cot_prc_max = NULL, cot_prc_med = NULL, cot_prc_mediana = NULL WHERE cot_id = 1546;</v>
      </c>
    </row>
    <row r="1548" customFormat="false" ht="14.25" hidden="false" customHeight="false" outlineLevel="0" collapsed="false">
      <c r="A1548" s="0" t="n">
        <v>1547</v>
      </c>
      <c r="B1548" s="0" t="n">
        <f aca="false">IF('Boletins Nuppa Site'!A1548&lt;&gt;0,'Boletins Nuppa Site'!A1548,"NULL")</f>
        <v>76</v>
      </c>
      <c r="C1548" s="0" t="n">
        <v>37</v>
      </c>
      <c r="D1548" s="0" t="str">
        <f aca="false">IF('Boletins Nuppa Site'!G1548&lt;&gt;0,'Boletins Nuppa Site'!G1548,"NULL")</f>
        <v>NULL</v>
      </c>
      <c r="E1548" s="30" t="str">
        <f aca="false">IF('Boletins Nuppa Site'!H1548&lt;&gt;0,'Boletins Nuppa Site'!H1548,"NULL")</f>
        <v>NULL</v>
      </c>
      <c r="F1548" s="30" t="str">
        <f aca="false">IF('Boletins Nuppa Site'!I1548&lt;&gt;0,'Boletins Nuppa Site'!I1548,"NULL")</f>
        <v>NULL</v>
      </c>
      <c r="G1548" s="30" t="str">
        <f aca="false">IF('Boletins Nuppa Site'!J1548&lt;&gt;0,'Boletins Nuppa Site'!J1548,"NULL")</f>
        <v>NULL</v>
      </c>
      <c r="H1548" s="30" t="str">
        <f aca="false">IF('Boletins Nuppa Site'!K1548&lt;&gt;0,'Boletins Nuppa Site'!K1548,"NULL")</f>
        <v>NULL</v>
      </c>
      <c r="I1548" s="0" t="str">
        <f aca="false">"INSERT INTO COTACAO (cot_id, cot_blt_id, cot_pap_id, cot_prc_comum, cot_prc_min, cot_prc_max, cot_prc_med, cot_prc_mediana) VALUES ("&amp;A1548&amp;", "&amp;B1548&amp;", "&amp;C1548&amp;", "&amp;D1548&amp;", "&amp;E1548&amp;", "&amp;F1548&amp;", "&amp;G1548&amp;", "&amp;H1548&amp;");"</f>
        <v>INSERT INTO COTACAO (cot_id, cot_blt_id, cot_pap_id, cot_prc_comum, cot_prc_min, cot_prc_max, cot_prc_med, cot_prc_mediana) VALUES (1547, 76, 37, NULL, NULL, NULL, NULL, NULL);</v>
      </c>
      <c r="J1548" s="0" t="str">
        <f aca="false">"UPDATE COTACAO SET cot_id = "&amp;A1548&amp;", cot_blt_id = "&amp;B1548&amp;", cot_pap_id = "&amp;C1548&amp;", cot_prc_comum = "&amp;D1548&amp;", cot_prc_min = "&amp;E1548&amp;", cot_prc_max = "&amp;F1548&amp;", cot_prc_med = "&amp;G1548&amp;", cot_prc_mediana = "&amp;H1548&amp;" WHERE cot_id = "&amp;A1548&amp;";"</f>
        <v>UPDATE COTACAO SET cot_id = 1547, cot_blt_id = 76, cot_pap_id = 37, cot_prc_comum = NULL, cot_prc_min = NULL, cot_prc_max = NULL, cot_prc_med = NULL, cot_prc_mediana = NULL WHERE cot_id = 1547;</v>
      </c>
    </row>
    <row r="1549" customFormat="false" ht="14.25" hidden="false" customHeight="false" outlineLevel="0" collapsed="false">
      <c r="A1549" s="0" t="n">
        <v>1548</v>
      </c>
      <c r="B1549" s="0" t="n">
        <f aca="false">IF('Boletins Nuppa Site'!A1549&lt;&gt;0,'Boletins Nuppa Site'!A1549,"NULL")</f>
        <v>76</v>
      </c>
      <c r="C1549" s="0" t="n">
        <v>38</v>
      </c>
      <c r="D1549" s="0" t="str">
        <f aca="false">IF('Boletins Nuppa Site'!G1549&lt;&gt;0,'Boletins Nuppa Site'!G1549,"NULL")</f>
        <v>NULL</v>
      </c>
      <c r="E1549" s="30" t="str">
        <f aca="false">IF('Boletins Nuppa Site'!H1549&lt;&gt;0,'Boletins Nuppa Site'!H1549,"NULL")</f>
        <v>NULL</v>
      </c>
      <c r="F1549" s="30" t="str">
        <f aca="false">IF('Boletins Nuppa Site'!I1549&lt;&gt;0,'Boletins Nuppa Site'!I1549,"NULL")</f>
        <v>NULL</v>
      </c>
      <c r="G1549" s="30" t="str">
        <f aca="false">IF('Boletins Nuppa Site'!J1549&lt;&gt;0,'Boletins Nuppa Site'!J1549,"NULL")</f>
        <v>NULL</v>
      </c>
      <c r="H1549" s="30" t="str">
        <f aca="false">IF('Boletins Nuppa Site'!K1549&lt;&gt;0,'Boletins Nuppa Site'!K1549,"NULL")</f>
        <v>NULL</v>
      </c>
      <c r="I1549" s="0" t="str">
        <f aca="false">"INSERT INTO COTACAO (cot_id, cot_blt_id, cot_pap_id, cot_prc_comum, cot_prc_min, cot_prc_max, cot_prc_med, cot_prc_mediana) VALUES ("&amp;A1549&amp;", "&amp;B1549&amp;", "&amp;C1549&amp;", "&amp;D1549&amp;", "&amp;E1549&amp;", "&amp;F1549&amp;", "&amp;G1549&amp;", "&amp;H1549&amp;");"</f>
        <v>INSERT INTO COTACAO (cot_id, cot_blt_id, cot_pap_id, cot_prc_comum, cot_prc_min, cot_prc_max, cot_prc_med, cot_prc_mediana) VALUES (1548, 76, 38, NULL, NULL, NULL, NULL, NULL);</v>
      </c>
      <c r="J1549" s="0" t="str">
        <f aca="false">"UPDATE COTACAO SET cot_id = "&amp;A1549&amp;", cot_blt_id = "&amp;B1549&amp;", cot_pap_id = "&amp;C1549&amp;", cot_prc_comum = "&amp;D1549&amp;", cot_prc_min = "&amp;E1549&amp;", cot_prc_max = "&amp;F1549&amp;", cot_prc_med = "&amp;G1549&amp;", cot_prc_mediana = "&amp;H1549&amp;" WHERE cot_id = "&amp;A1549&amp;";"</f>
        <v>UPDATE COTACAO SET cot_id = 1548, cot_blt_id = 76, cot_pap_id = 38, cot_prc_comum = NULL, cot_prc_min = NULL, cot_prc_max = NULL, cot_prc_med = NULL, cot_prc_mediana = NULL WHERE cot_id = 1548;</v>
      </c>
    </row>
    <row r="1550" customFormat="false" ht="14.25" hidden="false" customHeight="false" outlineLevel="0" collapsed="false">
      <c r="A1550" s="0" t="n">
        <v>1549</v>
      </c>
      <c r="B1550" s="0" t="n">
        <f aca="false">IF('Boletins Nuppa Site'!A1550&lt;&gt;0,'Boletins Nuppa Site'!A1550,"NULL")</f>
        <v>76</v>
      </c>
      <c r="C1550" s="0" t="n">
        <v>39</v>
      </c>
      <c r="D1550" s="0" t="str">
        <f aca="false">IF('Boletins Nuppa Site'!G1550&lt;&gt;0,'Boletins Nuppa Site'!G1550,"NULL")</f>
        <v>NULL</v>
      </c>
      <c r="E1550" s="30" t="str">
        <f aca="false">IF('Boletins Nuppa Site'!H1550&lt;&gt;0,'Boletins Nuppa Site'!H1550,"NULL")</f>
        <v> 70.00</v>
      </c>
      <c r="F1550" s="30" t="str">
        <f aca="false">IF('Boletins Nuppa Site'!I1550&lt;&gt;0,'Boletins Nuppa Site'!I1550,"NULL")</f>
        <v> 70.00</v>
      </c>
      <c r="G1550" s="30" t="str">
        <f aca="false">IF('Boletins Nuppa Site'!J1550&lt;&gt;0,'Boletins Nuppa Site'!J1550,"NULL")</f>
        <v> 70.00</v>
      </c>
      <c r="H1550" s="30" t="str">
        <f aca="false">IF('Boletins Nuppa Site'!K1550&lt;&gt;0,'Boletins Nuppa Site'!K1550,"NULL")</f>
        <v> 70.00</v>
      </c>
      <c r="I1550" s="0" t="str">
        <f aca="false">"INSERT INTO COTACAO (cot_id, cot_blt_id, cot_pap_id, cot_prc_comum, cot_prc_min, cot_prc_max, cot_prc_med, cot_prc_mediana) VALUES ("&amp;A1550&amp;", "&amp;B1550&amp;", "&amp;C1550&amp;", "&amp;D1550&amp;", "&amp;E1550&amp;", "&amp;F1550&amp;", "&amp;G1550&amp;", "&amp;H1550&amp;");"</f>
        <v>INSERT INTO COTACAO (cot_id, cot_blt_id, cot_pap_id, cot_prc_comum, cot_prc_min, cot_prc_max, cot_prc_med, cot_prc_mediana) VALUES (1549, 76, 39, NULL,  70.00,  70.00,  70.00,  70.00);</v>
      </c>
      <c r="J1550" s="0" t="str">
        <f aca="false">"UPDATE COTACAO SET cot_id = "&amp;A1550&amp;", cot_blt_id = "&amp;B1550&amp;", cot_pap_id = "&amp;C1550&amp;", cot_prc_comum = "&amp;D1550&amp;", cot_prc_min = "&amp;E1550&amp;", cot_prc_max = "&amp;F1550&amp;", cot_prc_med = "&amp;G1550&amp;", cot_prc_mediana = "&amp;H1550&amp;" WHERE cot_id = "&amp;A1550&amp;";"</f>
        <v>UPDATE COTACAO SET cot_id = 1549, cot_blt_id = 76, cot_pap_id = 39, cot_prc_comum = NULL, cot_prc_min =  70.00, cot_prc_max =  70.00, cot_prc_med =  70.00, cot_prc_mediana =  70.00 WHERE cot_id = 1549;</v>
      </c>
    </row>
    <row r="1551" customFormat="false" ht="14.25" hidden="false" customHeight="false" outlineLevel="0" collapsed="false">
      <c r="A1551" s="0" t="n">
        <v>1550</v>
      </c>
      <c r="B1551" s="0" t="n">
        <f aca="false">IF('Boletins Nuppa Site'!A1551&lt;&gt;0,'Boletins Nuppa Site'!A1551,"NULL")</f>
        <v>76</v>
      </c>
      <c r="C1551" s="0" t="n">
        <v>40</v>
      </c>
      <c r="D1551" s="0" t="str">
        <f aca="false">IF('Boletins Nuppa Site'!G1551&lt;&gt;0,'Boletins Nuppa Site'!G1551,"NULL")</f>
        <v>NULL</v>
      </c>
      <c r="E1551" s="30" t="str">
        <f aca="false">IF('Boletins Nuppa Site'!H1551&lt;&gt;0,'Boletins Nuppa Site'!H1551,"NULL")</f>
        <v>NULL</v>
      </c>
      <c r="F1551" s="30" t="str">
        <f aca="false">IF('Boletins Nuppa Site'!I1551&lt;&gt;0,'Boletins Nuppa Site'!I1551,"NULL")</f>
        <v>NULL</v>
      </c>
      <c r="G1551" s="30" t="str">
        <f aca="false">IF('Boletins Nuppa Site'!J1551&lt;&gt;0,'Boletins Nuppa Site'!J1551,"NULL")</f>
        <v>NULL</v>
      </c>
      <c r="H1551" s="30" t="str">
        <f aca="false">IF('Boletins Nuppa Site'!K1551&lt;&gt;0,'Boletins Nuppa Site'!K1551,"NULL")</f>
        <v>NULL</v>
      </c>
      <c r="I1551" s="0" t="str">
        <f aca="false">"INSERT INTO COTACAO (cot_id, cot_blt_id, cot_pap_id, cot_prc_comum, cot_prc_min, cot_prc_max, cot_prc_med, cot_prc_mediana) VALUES ("&amp;A1551&amp;", "&amp;B1551&amp;", "&amp;C1551&amp;", "&amp;D1551&amp;", "&amp;E1551&amp;", "&amp;F1551&amp;", "&amp;G1551&amp;", "&amp;H1551&amp;");"</f>
        <v>INSERT INTO COTACAO (cot_id, cot_blt_id, cot_pap_id, cot_prc_comum, cot_prc_min, cot_prc_max, cot_prc_med, cot_prc_mediana) VALUES (1550, 76, 40, NULL, NULL, NULL, NULL, NULL);</v>
      </c>
      <c r="J1551" s="0" t="str">
        <f aca="false">"UPDATE COTACAO SET cot_id = "&amp;A1551&amp;", cot_blt_id = "&amp;B1551&amp;", cot_pap_id = "&amp;C1551&amp;", cot_prc_comum = "&amp;D1551&amp;", cot_prc_min = "&amp;E1551&amp;", cot_prc_max = "&amp;F1551&amp;", cot_prc_med = "&amp;G1551&amp;", cot_prc_mediana = "&amp;H1551&amp;" WHERE cot_id = "&amp;A1551&amp;";"</f>
        <v>UPDATE COTACAO SET cot_id = 1550, cot_blt_id = 76, cot_pap_id = 40, cot_prc_comum = NULL, cot_prc_min = NULL, cot_prc_max = NULL, cot_prc_med = NULL, cot_prc_mediana = NULL WHERE cot_id = 1550;</v>
      </c>
    </row>
    <row r="1552" customFormat="false" ht="14.25" hidden="false" customHeight="false" outlineLevel="0" collapsed="false">
      <c r="A1552" s="0" t="n">
        <v>1551</v>
      </c>
      <c r="B1552" s="0" t="n">
        <f aca="false">IF('Boletins Nuppa Site'!A1552&lt;&gt;0,'Boletins Nuppa Site'!A1552,"NULL")</f>
        <v>77</v>
      </c>
      <c r="C1552" s="0" t="n">
        <v>1</v>
      </c>
      <c r="D1552" s="0" t="str">
        <f aca="false">IF('Boletins Nuppa Site'!G1552&lt;&gt;0,'Boletins Nuppa Site'!G1552,"NULL")</f>
        <v> 48.00</v>
      </c>
      <c r="E1552" s="30" t="str">
        <f aca="false">IF('Boletins Nuppa Site'!H1552&lt;&gt;0,'Boletins Nuppa Site'!H1552,"NULL")</f>
        <v> 48.00</v>
      </c>
      <c r="F1552" s="30" t="str">
        <f aca="false">IF('Boletins Nuppa Site'!I1552&lt;&gt;0,'Boletins Nuppa Site'!I1552,"NULL")</f>
        <v> 60.00</v>
      </c>
      <c r="G1552" s="30" t="str">
        <f aca="false">IF('Boletins Nuppa Site'!J1552&lt;&gt;0,'Boletins Nuppa Site'!J1552,"NULL")</f>
        <v> 54.00</v>
      </c>
      <c r="H1552" s="30" t="str">
        <f aca="false">IF('Boletins Nuppa Site'!K1552&lt;&gt;0,'Boletins Nuppa Site'!K1552,"NULL")</f>
        <v> 54.00</v>
      </c>
      <c r="I1552" s="0" t="str">
        <f aca="false">"INSERT INTO COTACAO (cot_id, cot_blt_id, cot_pap_id, cot_prc_comum, cot_prc_min, cot_prc_max, cot_prc_med, cot_prc_mediana) VALUES ("&amp;A1552&amp;", "&amp;B1552&amp;", "&amp;C1552&amp;", "&amp;D1552&amp;", "&amp;E1552&amp;", "&amp;F1552&amp;", "&amp;G1552&amp;", "&amp;H1552&amp;");"</f>
        <v>INSERT INTO COTACAO (cot_id, cot_blt_id, cot_pap_id, cot_prc_comum, cot_prc_min, cot_prc_max, cot_prc_med, cot_prc_mediana) VALUES (1551, 77, 1,  48.00,  48.00,  60.00,  54.00,  54.00);</v>
      </c>
      <c r="J1552" s="0" t="str">
        <f aca="false">"UPDATE COTACAO SET cot_id = "&amp;A1552&amp;", cot_blt_id = "&amp;B1552&amp;", cot_pap_id = "&amp;C1552&amp;", cot_prc_comum = "&amp;D1552&amp;", cot_prc_min = "&amp;E1552&amp;", cot_prc_max = "&amp;F1552&amp;", cot_prc_med = "&amp;G1552&amp;", cot_prc_mediana = "&amp;H1552&amp;" WHERE cot_id = "&amp;A1552&amp;";"</f>
        <v>UPDATE COTACAO SET cot_id = 1551, cot_blt_id = 77, cot_pap_id = 1, cot_prc_comum =  48.00, cot_prc_min =  48.00, cot_prc_max =  60.00, cot_prc_med =  54.00, cot_prc_mediana =  54.00 WHERE cot_id = 1551;</v>
      </c>
    </row>
    <row r="1553" customFormat="false" ht="14.25" hidden="false" customHeight="false" outlineLevel="0" collapsed="false">
      <c r="A1553" s="0" t="n">
        <v>1552</v>
      </c>
      <c r="B1553" s="0" t="n">
        <f aca="false">IF('Boletins Nuppa Site'!A1553&lt;&gt;0,'Boletins Nuppa Site'!A1553,"NULL")</f>
        <v>77</v>
      </c>
      <c r="C1553" s="0" t="n">
        <v>2</v>
      </c>
      <c r="D1553" s="0" t="str">
        <f aca="false">IF('Boletins Nuppa Site'!G1553&lt;&gt;0,'Boletins Nuppa Site'!G1553,"NULL")</f>
        <v> 72.00</v>
      </c>
      <c r="E1553" s="30" t="str">
        <f aca="false">IF('Boletins Nuppa Site'!H1553&lt;&gt;0,'Boletins Nuppa Site'!H1553,"NULL")</f>
        <v> 72.00</v>
      </c>
      <c r="F1553" s="30" t="str">
        <f aca="false">IF('Boletins Nuppa Site'!I1553&lt;&gt;0,'Boletins Nuppa Site'!I1553,"NULL")</f>
        <v> 72.00</v>
      </c>
      <c r="G1553" s="30" t="str">
        <f aca="false">IF('Boletins Nuppa Site'!J1553&lt;&gt;0,'Boletins Nuppa Site'!J1553,"NULL")</f>
        <v> 72.00</v>
      </c>
      <c r="H1553" s="30" t="str">
        <f aca="false">IF('Boletins Nuppa Site'!K1553&lt;&gt;0,'Boletins Nuppa Site'!K1553,"NULL")</f>
        <v> 72.00</v>
      </c>
      <c r="I1553" s="0" t="str">
        <f aca="false">"INSERT INTO COTACAO (cot_id, cot_blt_id, cot_pap_id, cot_prc_comum, cot_prc_min, cot_prc_max, cot_prc_med, cot_prc_mediana) VALUES ("&amp;A1553&amp;", "&amp;B1553&amp;", "&amp;C1553&amp;", "&amp;D1553&amp;", "&amp;E1553&amp;", "&amp;F1553&amp;", "&amp;G1553&amp;", "&amp;H1553&amp;");"</f>
        <v>INSERT INTO COTACAO (cot_id, cot_blt_id, cot_pap_id, cot_prc_comum, cot_prc_min, cot_prc_max, cot_prc_med, cot_prc_mediana) VALUES (1552, 77, 2,  72.00,  72.00,  72.00,  72.00,  72.00);</v>
      </c>
      <c r="J1553" s="0" t="str">
        <f aca="false">"UPDATE COTACAO SET cot_id = "&amp;A1553&amp;", cot_blt_id = "&amp;B1553&amp;", cot_pap_id = "&amp;C1553&amp;", cot_prc_comum = "&amp;D1553&amp;", cot_prc_min = "&amp;E1553&amp;", cot_prc_max = "&amp;F1553&amp;", cot_prc_med = "&amp;G1553&amp;", cot_prc_mediana = "&amp;H1553&amp;" WHERE cot_id = "&amp;A1553&amp;";"</f>
        <v>UPDATE COTACAO SET cot_id = 1552, cot_blt_id = 77, cot_pap_id = 2, cot_prc_comum =  72.00, cot_prc_min =  72.00, cot_prc_max =  72.00, cot_prc_med =  72.00, cot_prc_mediana =  72.00 WHERE cot_id = 1552;</v>
      </c>
    </row>
    <row r="1554" customFormat="false" ht="14.25" hidden="false" customHeight="false" outlineLevel="0" collapsed="false">
      <c r="A1554" s="0" t="n">
        <v>1553</v>
      </c>
      <c r="B1554" s="0" t="n">
        <f aca="false">IF('Boletins Nuppa Site'!A1554&lt;&gt;0,'Boletins Nuppa Site'!A1554,"NULL")</f>
        <v>77</v>
      </c>
      <c r="C1554" s="0" t="n">
        <v>3</v>
      </c>
      <c r="D1554" s="0" t="str">
        <f aca="false">IF('Boletins Nuppa Site'!G1554&lt;&gt;0,'Boletins Nuppa Site'!G1554,"NULL")</f>
        <v> 42.00</v>
      </c>
      <c r="E1554" s="30" t="str">
        <f aca="false">IF('Boletins Nuppa Site'!H1554&lt;&gt;0,'Boletins Nuppa Site'!H1554,"NULL")</f>
        <v> 42.00</v>
      </c>
      <c r="F1554" s="30" t="str">
        <f aca="false">IF('Boletins Nuppa Site'!I1554&lt;&gt;0,'Boletins Nuppa Site'!I1554,"NULL")</f>
        <v> 48.00</v>
      </c>
      <c r="G1554" s="30" t="str">
        <f aca="false">IF('Boletins Nuppa Site'!J1554&lt;&gt;0,'Boletins Nuppa Site'!J1554,"NULL")</f>
        <v> 45.00</v>
      </c>
      <c r="H1554" s="30" t="str">
        <f aca="false">IF('Boletins Nuppa Site'!K1554&lt;&gt;0,'Boletins Nuppa Site'!K1554,"NULL")</f>
        <v> 45.00</v>
      </c>
      <c r="I1554" s="0" t="str">
        <f aca="false">"INSERT INTO COTACAO (cot_id, cot_blt_id, cot_pap_id, cot_prc_comum, cot_prc_min, cot_prc_max, cot_prc_med, cot_prc_mediana) VALUES ("&amp;A1554&amp;", "&amp;B1554&amp;", "&amp;C1554&amp;", "&amp;D1554&amp;", "&amp;E1554&amp;", "&amp;F1554&amp;", "&amp;G1554&amp;", "&amp;H1554&amp;");"</f>
        <v>INSERT INTO COTACAO (cot_id, cot_blt_id, cot_pap_id, cot_prc_comum, cot_prc_min, cot_prc_max, cot_prc_med, cot_prc_mediana) VALUES (1553, 77, 3,  42.00,  42.00,  48.00,  45.00,  45.00);</v>
      </c>
      <c r="J1554" s="0" t="str">
        <f aca="false">"UPDATE COTACAO SET cot_id = "&amp;A1554&amp;", cot_blt_id = "&amp;B1554&amp;", cot_pap_id = "&amp;C1554&amp;", cot_prc_comum = "&amp;D1554&amp;", cot_prc_min = "&amp;E1554&amp;", cot_prc_max = "&amp;F1554&amp;", cot_prc_med = "&amp;G1554&amp;", cot_prc_mediana = "&amp;H1554&amp;" WHERE cot_id = "&amp;A1554&amp;";"</f>
        <v>UPDATE COTACAO SET cot_id = 1553, cot_blt_id = 77, cot_pap_id = 3, cot_prc_comum =  42.00, cot_prc_min =  42.00, cot_prc_max =  48.00, cot_prc_med =  45.00, cot_prc_mediana =  45.00 WHERE cot_id = 1553;</v>
      </c>
    </row>
    <row r="1555" customFormat="false" ht="14.25" hidden="false" customHeight="false" outlineLevel="0" collapsed="false">
      <c r="A1555" s="0" t="n">
        <v>1554</v>
      </c>
      <c r="B1555" s="0" t="n">
        <f aca="false">IF('Boletins Nuppa Site'!A1555&lt;&gt;0,'Boletins Nuppa Site'!A1555,"NULL")</f>
        <v>77</v>
      </c>
      <c r="C1555" s="0" t="n">
        <v>4</v>
      </c>
      <c r="D1555" s="0" t="str">
        <f aca="false">IF('Boletins Nuppa Site'!G1555&lt;&gt;0,'Boletins Nuppa Site'!G1555,"NULL")</f>
        <v> 30.00</v>
      </c>
      <c r="E1555" s="30" t="str">
        <f aca="false">IF('Boletins Nuppa Site'!H1555&lt;&gt;0,'Boletins Nuppa Site'!H1555,"NULL")</f>
        <v> 30.00</v>
      </c>
      <c r="F1555" s="30" t="str">
        <f aca="false">IF('Boletins Nuppa Site'!I1555&lt;&gt;0,'Boletins Nuppa Site'!I1555,"NULL")</f>
        <v> 30.00</v>
      </c>
      <c r="G1555" s="30" t="str">
        <f aca="false">IF('Boletins Nuppa Site'!J1555&lt;&gt;0,'Boletins Nuppa Site'!J1555,"NULL")</f>
        <v> 30.00</v>
      </c>
      <c r="H1555" s="30" t="str">
        <f aca="false">IF('Boletins Nuppa Site'!K1555&lt;&gt;0,'Boletins Nuppa Site'!K1555,"NULL")</f>
        <v> 30.00</v>
      </c>
      <c r="I1555" s="0" t="str">
        <f aca="false">"INSERT INTO COTACAO (cot_id, cot_blt_id, cot_pap_id, cot_prc_comum, cot_prc_min, cot_prc_max, cot_prc_med, cot_prc_mediana) VALUES ("&amp;A1555&amp;", "&amp;B1555&amp;", "&amp;C1555&amp;", "&amp;D1555&amp;", "&amp;E1555&amp;", "&amp;F1555&amp;", "&amp;G1555&amp;", "&amp;H1555&amp;");"</f>
        <v>INSERT INTO COTACAO (cot_id, cot_blt_id, cot_pap_id, cot_prc_comum, cot_prc_min, cot_prc_max, cot_prc_med, cot_prc_mediana) VALUES (1554, 77, 4,  30.00,  30.00,  30.00,  30.00,  30.00);</v>
      </c>
      <c r="J1555" s="0" t="str">
        <f aca="false">"UPDATE COTACAO SET cot_id = "&amp;A1555&amp;", cot_blt_id = "&amp;B1555&amp;", cot_pap_id = "&amp;C1555&amp;", cot_prc_comum = "&amp;D1555&amp;", cot_prc_min = "&amp;E1555&amp;", cot_prc_max = "&amp;F1555&amp;", cot_prc_med = "&amp;G1555&amp;", cot_prc_mediana = "&amp;H1555&amp;" WHERE cot_id = "&amp;A1555&amp;";"</f>
        <v>UPDATE COTACAO SET cot_id = 1554, cot_blt_id = 77, cot_pap_id = 4, cot_prc_comum =  30.00, cot_prc_min =  30.00, cot_prc_max =  30.00, cot_prc_med =  30.00, cot_prc_mediana =  30.00 WHERE cot_id = 1554;</v>
      </c>
    </row>
    <row r="1556" customFormat="false" ht="14.25" hidden="false" customHeight="false" outlineLevel="0" collapsed="false">
      <c r="A1556" s="0" t="n">
        <v>1555</v>
      </c>
      <c r="B1556" s="0" t="n">
        <f aca="false">IF('Boletins Nuppa Site'!A1556&lt;&gt;0,'Boletins Nuppa Site'!A1556,"NULL")</f>
        <v>77</v>
      </c>
      <c r="C1556" s="0" t="n">
        <v>5</v>
      </c>
      <c r="D1556" s="0" t="str">
        <f aca="false">IF('Boletins Nuppa Site'!G1556&lt;&gt;0,'Boletins Nuppa Site'!G1556,"NULL")</f>
        <v> 30.00</v>
      </c>
      <c r="E1556" s="30" t="str">
        <f aca="false">IF('Boletins Nuppa Site'!H1556&lt;&gt;0,'Boletins Nuppa Site'!H1556,"NULL")</f>
        <v> 30.00</v>
      </c>
      <c r="F1556" s="30" t="str">
        <f aca="false">IF('Boletins Nuppa Site'!I1556&lt;&gt;0,'Boletins Nuppa Site'!I1556,"NULL")</f>
        <v> 30.00</v>
      </c>
      <c r="G1556" s="30" t="str">
        <f aca="false">IF('Boletins Nuppa Site'!J1556&lt;&gt;0,'Boletins Nuppa Site'!J1556,"NULL")</f>
        <v> 30.00</v>
      </c>
      <c r="H1556" s="30" t="str">
        <f aca="false">IF('Boletins Nuppa Site'!K1556&lt;&gt;0,'Boletins Nuppa Site'!K1556,"NULL")</f>
        <v> 30.00</v>
      </c>
      <c r="I1556" s="0" t="str">
        <f aca="false">"INSERT INTO COTACAO (cot_id, cot_blt_id, cot_pap_id, cot_prc_comum, cot_prc_min, cot_prc_max, cot_prc_med, cot_prc_mediana) VALUES ("&amp;A1556&amp;", "&amp;B1556&amp;", "&amp;C1556&amp;", "&amp;D1556&amp;", "&amp;E1556&amp;", "&amp;F1556&amp;", "&amp;G1556&amp;", "&amp;H1556&amp;");"</f>
        <v>INSERT INTO COTACAO (cot_id, cot_blt_id, cot_pap_id, cot_prc_comum, cot_prc_min, cot_prc_max, cot_prc_med, cot_prc_mediana) VALUES (1555, 77, 5,  30.00,  30.00,  30.00,  30.00,  30.00);</v>
      </c>
      <c r="J1556" s="0" t="str">
        <f aca="false">"UPDATE COTACAO SET cot_id = "&amp;A1556&amp;", cot_blt_id = "&amp;B1556&amp;", cot_pap_id = "&amp;C1556&amp;", cot_prc_comum = "&amp;D1556&amp;", cot_prc_min = "&amp;E1556&amp;", cot_prc_max = "&amp;F1556&amp;", cot_prc_med = "&amp;G1556&amp;", cot_prc_mediana = "&amp;H1556&amp;" WHERE cot_id = "&amp;A1556&amp;";"</f>
        <v>UPDATE COTACAO SET cot_id = 1555, cot_blt_id = 77, cot_pap_id = 5, cot_prc_comum =  30.00, cot_prc_min =  30.00, cot_prc_max =  30.00, cot_prc_med =  30.00, cot_prc_mediana =  30.00 WHERE cot_id = 1555;</v>
      </c>
    </row>
    <row r="1557" customFormat="false" ht="14.25" hidden="false" customHeight="false" outlineLevel="0" collapsed="false">
      <c r="A1557" s="0" t="n">
        <v>1556</v>
      </c>
      <c r="B1557" s="0" t="n">
        <f aca="false">IF('Boletins Nuppa Site'!A1557&lt;&gt;0,'Boletins Nuppa Site'!A1557,"NULL")</f>
        <v>77</v>
      </c>
      <c r="C1557" s="0" t="n">
        <v>6</v>
      </c>
      <c r="D1557" s="0" t="str">
        <f aca="false">IF('Boletins Nuppa Site'!G1557&lt;&gt;0,'Boletins Nuppa Site'!G1557,"NULL")</f>
        <v> 60.00</v>
      </c>
      <c r="E1557" s="30" t="str">
        <f aca="false">IF('Boletins Nuppa Site'!H1557&lt;&gt;0,'Boletins Nuppa Site'!H1557,"NULL")</f>
        <v> 60.00</v>
      </c>
      <c r="F1557" s="30" t="str">
        <f aca="false">IF('Boletins Nuppa Site'!I1557&lt;&gt;0,'Boletins Nuppa Site'!I1557,"NULL")</f>
        <v> 60.00</v>
      </c>
      <c r="G1557" s="30" t="str">
        <f aca="false">IF('Boletins Nuppa Site'!J1557&lt;&gt;0,'Boletins Nuppa Site'!J1557,"NULL")</f>
        <v> 60.00</v>
      </c>
      <c r="H1557" s="30" t="str">
        <f aca="false">IF('Boletins Nuppa Site'!K1557&lt;&gt;0,'Boletins Nuppa Site'!K1557,"NULL")</f>
        <v> 60.00</v>
      </c>
      <c r="I1557" s="0" t="str">
        <f aca="false">"INSERT INTO COTACAO (cot_id, cot_blt_id, cot_pap_id, cot_prc_comum, cot_prc_min, cot_prc_max, cot_prc_med, cot_prc_mediana) VALUES ("&amp;A1557&amp;", "&amp;B1557&amp;", "&amp;C1557&amp;", "&amp;D1557&amp;", "&amp;E1557&amp;", "&amp;F1557&amp;", "&amp;G1557&amp;", "&amp;H1557&amp;");"</f>
        <v>INSERT INTO COTACAO (cot_id, cot_blt_id, cot_pap_id, cot_prc_comum, cot_prc_min, cot_prc_max, cot_prc_med, cot_prc_mediana) VALUES (1556, 77, 6,  60.00,  60.00,  60.00,  60.00,  60.00);</v>
      </c>
      <c r="J1557" s="0" t="str">
        <f aca="false">"UPDATE COTACAO SET cot_id = "&amp;A1557&amp;", cot_blt_id = "&amp;B1557&amp;", cot_pap_id = "&amp;C1557&amp;", cot_prc_comum = "&amp;D1557&amp;", cot_prc_min = "&amp;E1557&amp;", cot_prc_max = "&amp;F1557&amp;", cot_prc_med = "&amp;G1557&amp;", cot_prc_mediana = "&amp;H1557&amp;" WHERE cot_id = "&amp;A1557&amp;";"</f>
        <v>UPDATE COTACAO SET cot_id = 1556, cot_blt_id = 77, cot_pap_id = 6, cot_prc_comum =  60.00, cot_prc_min =  60.00, cot_prc_max =  60.00, cot_prc_med =  60.00, cot_prc_mediana =  60.00 WHERE cot_id = 1556;</v>
      </c>
    </row>
    <row r="1558" customFormat="false" ht="14.25" hidden="false" customHeight="false" outlineLevel="0" collapsed="false">
      <c r="A1558" s="0" t="n">
        <v>1557</v>
      </c>
      <c r="B1558" s="0" t="n">
        <f aca="false">IF('Boletins Nuppa Site'!A1558&lt;&gt;0,'Boletins Nuppa Site'!A1558,"NULL")</f>
        <v>77</v>
      </c>
      <c r="C1558" s="0" t="n">
        <v>7</v>
      </c>
      <c r="D1558" s="0" t="str">
        <f aca="false">IF('Boletins Nuppa Site'!G1558&lt;&gt;0,'Boletins Nuppa Site'!G1558,"NULL")</f>
        <v> 66.00</v>
      </c>
      <c r="E1558" s="30" t="str">
        <f aca="false">IF('Boletins Nuppa Site'!H1558&lt;&gt;0,'Boletins Nuppa Site'!H1558,"NULL")</f>
        <v> 66.00</v>
      </c>
      <c r="F1558" s="30" t="str">
        <f aca="false">IF('Boletins Nuppa Site'!I1558&lt;&gt;0,'Boletins Nuppa Site'!I1558,"NULL")</f>
        <v> 84.00</v>
      </c>
      <c r="G1558" s="30" t="str">
        <f aca="false">IF('Boletins Nuppa Site'!J1558&lt;&gt;0,'Boletins Nuppa Site'!J1558,"NULL")</f>
        <v> 75.00</v>
      </c>
      <c r="H1558" s="30" t="str">
        <f aca="false">IF('Boletins Nuppa Site'!K1558&lt;&gt;0,'Boletins Nuppa Site'!K1558,"NULL")</f>
        <v> 75.00</v>
      </c>
      <c r="I1558" s="0" t="str">
        <f aca="false">"INSERT INTO COTACAO (cot_id, cot_blt_id, cot_pap_id, cot_prc_comum, cot_prc_min, cot_prc_max, cot_prc_med, cot_prc_mediana) VALUES ("&amp;A1558&amp;", "&amp;B1558&amp;", "&amp;C1558&amp;", "&amp;D1558&amp;", "&amp;E1558&amp;", "&amp;F1558&amp;", "&amp;G1558&amp;", "&amp;H1558&amp;");"</f>
        <v>INSERT INTO COTACAO (cot_id, cot_blt_id, cot_pap_id, cot_prc_comum, cot_prc_min, cot_prc_max, cot_prc_med, cot_prc_mediana) VALUES (1557, 77, 7,  66.00,  66.00,  84.00,  75.00,  75.00);</v>
      </c>
      <c r="J1558" s="0" t="str">
        <f aca="false">"UPDATE COTACAO SET cot_id = "&amp;A1558&amp;", cot_blt_id = "&amp;B1558&amp;", cot_pap_id = "&amp;C1558&amp;", cot_prc_comum = "&amp;D1558&amp;", cot_prc_min = "&amp;E1558&amp;", cot_prc_max = "&amp;F1558&amp;", cot_prc_med = "&amp;G1558&amp;", cot_prc_mediana = "&amp;H1558&amp;" WHERE cot_id = "&amp;A1558&amp;";"</f>
        <v>UPDATE COTACAO SET cot_id = 1557, cot_blt_id = 77, cot_pap_id = 7, cot_prc_comum =  66.00, cot_prc_min =  66.00, cot_prc_max =  84.00, cot_prc_med =  75.00, cot_prc_mediana =  75.00 WHERE cot_id = 1557;</v>
      </c>
    </row>
    <row r="1559" customFormat="false" ht="14.25" hidden="false" customHeight="false" outlineLevel="0" collapsed="false">
      <c r="A1559" s="0" t="n">
        <v>1558</v>
      </c>
      <c r="B1559" s="0" t="n">
        <f aca="false">IF('Boletins Nuppa Site'!A1559&lt;&gt;0,'Boletins Nuppa Site'!A1559,"NULL")</f>
        <v>77</v>
      </c>
      <c r="C1559" s="0" t="n">
        <v>8</v>
      </c>
      <c r="D1559" s="0" t="str">
        <f aca="false">IF('Boletins Nuppa Site'!G1559&lt;&gt;0,'Boletins Nuppa Site'!G1559,"NULL")</f>
        <v> 60.00</v>
      </c>
      <c r="E1559" s="30" t="str">
        <f aca="false">IF('Boletins Nuppa Site'!H1559&lt;&gt;0,'Boletins Nuppa Site'!H1559,"NULL")</f>
        <v> 60.00</v>
      </c>
      <c r="F1559" s="30" t="str">
        <f aca="false">IF('Boletins Nuppa Site'!I1559&lt;&gt;0,'Boletins Nuppa Site'!I1559,"NULL")</f>
        <v> 72.00</v>
      </c>
      <c r="G1559" s="30" t="str">
        <f aca="false">IF('Boletins Nuppa Site'!J1559&lt;&gt;0,'Boletins Nuppa Site'!J1559,"NULL")</f>
        <v> 66.00</v>
      </c>
      <c r="H1559" s="30" t="str">
        <f aca="false">IF('Boletins Nuppa Site'!K1559&lt;&gt;0,'Boletins Nuppa Site'!K1559,"NULL")</f>
        <v> 66.00</v>
      </c>
      <c r="I1559" s="0" t="str">
        <f aca="false">"INSERT INTO COTACAO (cot_id, cot_blt_id, cot_pap_id, cot_prc_comum, cot_prc_min, cot_prc_max, cot_prc_med, cot_prc_mediana) VALUES ("&amp;A1559&amp;", "&amp;B1559&amp;", "&amp;C1559&amp;", "&amp;D1559&amp;", "&amp;E1559&amp;", "&amp;F1559&amp;", "&amp;G1559&amp;", "&amp;H1559&amp;");"</f>
        <v>INSERT INTO COTACAO (cot_id, cot_blt_id, cot_pap_id, cot_prc_comum, cot_prc_min, cot_prc_max, cot_prc_med, cot_prc_mediana) VALUES (1558, 77, 8,  60.00,  60.00,  72.00,  66.00,  66.00);</v>
      </c>
      <c r="J1559" s="0" t="str">
        <f aca="false">"UPDATE COTACAO SET cot_id = "&amp;A1559&amp;", cot_blt_id = "&amp;B1559&amp;", cot_pap_id = "&amp;C1559&amp;", cot_prc_comum = "&amp;D1559&amp;", cot_prc_min = "&amp;E1559&amp;", cot_prc_max = "&amp;F1559&amp;", cot_prc_med = "&amp;G1559&amp;", cot_prc_mediana = "&amp;H1559&amp;" WHERE cot_id = "&amp;A1559&amp;";"</f>
        <v>UPDATE COTACAO SET cot_id = 1558, cot_blt_id = 77, cot_pap_id = 8, cot_prc_comum =  60.00, cot_prc_min =  60.00, cot_prc_max =  72.00, cot_prc_med =  66.00, cot_prc_mediana =  66.00 WHERE cot_id = 1558;</v>
      </c>
    </row>
    <row r="1560" customFormat="false" ht="14.25" hidden="false" customHeight="false" outlineLevel="0" collapsed="false">
      <c r="A1560" s="0" t="n">
        <v>1559</v>
      </c>
      <c r="B1560" s="0" t="n">
        <f aca="false">IF('Boletins Nuppa Site'!A1560&lt;&gt;0,'Boletins Nuppa Site'!A1560,"NULL")</f>
        <v>77</v>
      </c>
      <c r="C1560" s="0" t="n">
        <v>9</v>
      </c>
      <c r="D1560" s="0" t="str">
        <f aca="false">IF('Boletins Nuppa Site'!G1560&lt;&gt;0,'Boletins Nuppa Site'!G1560,"NULL")</f>
        <v> 24.00</v>
      </c>
      <c r="E1560" s="30" t="str">
        <f aca="false">IF('Boletins Nuppa Site'!H1560&lt;&gt;0,'Boletins Nuppa Site'!H1560,"NULL")</f>
        <v> 24.00</v>
      </c>
      <c r="F1560" s="30" t="str">
        <f aca="false">IF('Boletins Nuppa Site'!I1560&lt;&gt;0,'Boletins Nuppa Site'!I1560,"NULL")</f>
        <v> 24.00</v>
      </c>
      <c r="G1560" s="30" t="str">
        <f aca="false">IF('Boletins Nuppa Site'!J1560&lt;&gt;0,'Boletins Nuppa Site'!J1560,"NULL")</f>
        <v> 24.00</v>
      </c>
      <c r="H1560" s="30" t="str">
        <f aca="false">IF('Boletins Nuppa Site'!K1560&lt;&gt;0,'Boletins Nuppa Site'!K1560,"NULL")</f>
        <v> 24.00</v>
      </c>
      <c r="I1560" s="0" t="str">
        <f aca="false">"INSERT INTO COTACAO (cot_id, cot_blt_id, cot_pap_id, cot_prc_comum, cot_prc_min, cot_prc_max, cot_prc_med, cot_prc_mediana) VALUES ("&amp;A1560&amp;", "&amp;B1560&amp;", "&amp;C1560&amp;", "&amp;D1560&amp;", "&amp;E1560&amp;", "&amp;F1560&amp;", "&amp;G1560&amp;", "&amp;H1560&amp;");"</f>
        <v>INSERT INTO COTACAO (cot_id, cot_blt_id, cot_pap_id, cot_prc_comum, cot_prc_min, cot_prc_max, cot_prc_med, cot_prc_mediana) VALUES (1559, 77, 9,  24.00,  24.00,  24.00,  24.00,  24.00);</v>
      </c>
      <c r="J1560" s="0" t="str">
        <f aca="false">"UPDATE COTACAO SET cot_id = "&amp;A1560&amp;", cot_blt_id = "&amp;B1560&amp;", cot_pap_id = "&amp;C1560&amp;", cot_prc_comum = "&amp;D1560&amp;", cot_prc_min = "&amp;E1560&amp;", cot_prc_max = "&amp;F1560&amp;", cot_prc_med = "&amp;G1560&amp;", cot_prc_mediana = "&amp;H1560&amp;" WHERE cot_id = "&amp;A1560&amp;";"</f>
        <v>UPDATE COTACAO SET cot_id = 1559, cot_blt_id = 77, cot_pap_id = 9, cot_prc_comum =  24.00, cot_prc_min =  24.00, cot_prc_max =  24.00, cot_prc_med =  24.00, cot_prc_mediana =  24.00 WHERE cot_id = 1559;</v>
      </c>
    </row>
    <row r="1561" customFormat="false" ht="14.25" hidden="false" customHeight="false" outlineLevel="0" collapsed="false">
      <c r="A1561" s="0" t="n">
        <v>1560</v>
      </c>
      <c r="B1561" s="0" t="n">
        <f aca="false">IF('Boletins Nuppa Site'!A1561&lt;&gt;0,'Boletins Nuppa Site'!A1561,"NULL")</f>
        <v>77</v>
      </c>
      <c r="C1561" s="0" t="n">
        <v>10</v>
      </c>
      <c r="D1561" s="0" t="str">
        <f aca="false">IF('Boletins Nuppa Site'!G1561&lt;&gt;0,'Boletins Nuppa Site'!G1561,"NULL")</f>
        <v> 60.00</v>
      </c>
      <c r="E1561" s="30" t="str">
        <f aca="false">IF('Boletins Nuppa Site'!H1561&lt;&gt;0,'Boletins Nuppa Site'!H1561,"NULL")</f>
        <v> 60.00</v>
      </c>
      <c r="F1561" s="30" t="str">
        <f aca="false">IF('Boletins Nuppa Site'!I1561&lt;&gt;0,'Boletins Nuppa Site'!I1561,"NULL")</f>
        <v> 78.00</v>
      </c>
      <c r="G1561" s="30" t="str">
        <f aca="false">IF('Boletins Nuppa Site'!J1561&lt;&gt;0,'Boletins Nuppa Site'!J1561,"NULL")</f>
        <v> 69.00</v>
      </c>
      <c r="H1561" s="30" t="str">
        <f aca="false">IF('Boletins Nuppa Site'!K1561&lt;&gt;0,'Boletins Nuppa Site'!K1561,"NULL")</f>
        <v> 69.00</v>
      </c>
      <c r="I1561" s="0" t="str">
        <f aca="false">"INSERT INTO COTACAO (cot_id, cot_blt_id, cot_pap_id, cot_prc_comum, cot_prc_min, cot_prc_max, cot_prc_med, cot_prc_mediana) VALUES ("&amp;A1561&amp;", "&amp;B1561&amp;", "&amp;C1561&amp;", "&amp;D1561&amp;", "&amp;E1561&amp;", "&amp;F1561&amp;", "&amp;G1561&amp;", "&amp;H1561&amp;");"</f>
        <v>INSERT INTO COTACAO (cot_id, cot_blt_id, cot_pap_id, cot_prc_comum, cot_prc_min, cot_prc_max, cot_prc_med, cot_prc_mediana) VALUES (1560, 77, 10,  60.00,  60.00,  78.00,  69.00,  69.00);</v>
      </c>
      <c r="J1561" s="0" t="str">
        <f aca="false">"UPDATE COTACAO SET cot_id = "&amp;A1561&amp;", cot_blt_id = "&amp;B1561&amp;", cot_pap_id = "&amp;C1561&amp;", cot_prc_comum = "&amp;D1561&amp;", cot_prc_min = "&amp;E1561&amp;", cot_prc_max = "&amp;F1561&amp;", cot_prc_med = "&amp;G1561&amp;", cot_prc_mediana = "&amp;H1561&amp;" WHERE cot_id = "&amp;A1561&amp;";"</f>
        <v>UPDATE COTACAO SET cot_id = 1560, cot_blt_id = 77, cot_pap_id = 10, cot_prc_comum =  60.00, cot_prc_min =  60.00, cot_prc_max =  78.00, cot_prc_med =  69.00, cot_prc_mediana =  69.00 WHERE cot_id = 1560;</v>
      </c>
    </row>
    <row r="1562" customFormat="false" ht="14.25" hidden="false" customHeight="false" outlineLevel="0" collapsed="false">
      <c r="A1562" s="0" t="n">
        <v>1561</v>
      </c>
      <c r="B1562" s="0" t="n">
        <f aca="false">IF('Boletins Nuppa Site'!A1562&lt;&gt;0,'Boletins Nuppa Site'!A1562,"NULL")</f>
        <v>77</v>
      </c>
      <c r="C1562" s="0" t="n">
        <v>11</v>
      </c>
      <c r="D1562" s="0" t="str">
        <f aca="false">IF('Boletins Nuppa Site'!G1562&lt;&gt;0,'Boletins Nuppa Site'!G1562,"NULL")</f>
        <v> 30.00</v>
      </c>
      <c r="E1562" s="30" t="str">
        <f aca="false">IF('Boletins Nuppa Site'!H1562&lt;&gt;0,'Boletins Nuppa Site'!H1562,"NULL")</f>
        <v> 30.00</v>
      </c>
      <c r="F1562" s="30" t="str">
        <f aca="false">IF('Boletins Nuppa Site'!I1562&lt;&gt;0,'Boletins Nuppa Site'!I1562,"NULL")</f>
        <v> 30.00</v>
      </c>
      <c r="G1562" s="30" t="str">
        <f aca="false">IF('Boletins Nuppa Site'!J1562&lt;&gt;0,'Boletins Nuppa Site'!J1562,"NULL")</f>
        <v> 30.00</v>
      </c>
      <c r="H1562" s="30" t="str">
        <f aca="false">IF('Boletins Nuppa Site'!K1562&lt;&gt;0,'Boletins Nuppa Site'!K1562,"NULL")</f>
        <v> 30.00</v>
      </c>
      <c r="I1562" s="0" t="str">
        <f aca="false">"INSERT INTO COTACAO (cot_id, cot_blt_id, cot_pap_id, cot_prc_comum, cot_prc_min, cot_prc_max, cot_prc_med, cot_prc_mediana) VALUES ("&amp;A1562&amp;", "&amp;B1562&amp;", "&amp;C1562&amp;", "&amp;D1562&amp;", "&amp;E1562&amp;", "&amp;F1562&amp;", "&amp;G1562&amp;", "&amp;H1562&amp;");"</f>
        <v>INSERT INTO COTACAO (cot_id, cot_blt_id, cot_pap_id, cot_prc_comum, cot_prc_min, cot_prc_max, cot_prc_med, cot_prc_mediana) VALUES (1561, 77, 11,  30.00,  30.00,  30.00,  30.00,  30.00);</v>
      </c>
      <c r="J1562" s="0" t="str">
        <f aca="false">"UPDATE COTACAO SET cot_id = "&amp;A1562&amp;", cot_blt_id = "&amp;B1562&amp;", cot_pap_id = "&amp;C1562&amp;", cot_prc_comum = "&amp;D1562&amp;", cot_prc_min = "&amp;E1562&amp;", cot_prc_max = "&amp;F1562&amp;", cot_prc_med = "&amp;G1562&amp;", cot_prc_mediana = "&amp;H1562&amp;" WHERE cot_id = "&amp;A1562&amp;";"</f>
        <v>UPDATE COTACAO SET cot_id = 1561, cot_blt_id = 77, cot_pap_id = 11, cot_prc_comum =  30.00, cot_prc_min =  30.00, cot_prc_max =  30.00, cot_prc_med =  30.00, cot_prc_mediana =  30.00 WHERE cot_id = 1561;</v>
      </c>
    </row>
    <row r="1563" customFormat="false" ht="14.25" hidden="false" customHeight="false" outlineLevel="0" collapsed="false">
      <c r="A1563" s="0" t="n">
        <v>1562</v>
      </c>
      <c r="B1563" s="0" t="n">
        <f aca="false">IF('Boletins Nuppa Site'!A1563&lt;&gt;0,'Boletins Nuppa Site'!A1563,"NULL")</f>
        <v>77</v>
      </c>
      <c r="C1563" s="0" t="n">
        <v>12</v>
      </c>
      <c r="D1563" s="0" t="str">
        <f aca="false">IF('Boletins Nuppa Site'!G1563&lt;&gt;0,'Boletins Nuppa Site'!G1563,"NULL")</f>
        <v> 50.00</v>
      </c>
      <c r="E1563" s="30" t="str">
        <f aca="false">IF('Boletins Nuppa Site'!H1563&lt;&gt;0,'Boletins Nuppa Site'!H1563,"NULL")</f>
        <v> 50.00</v>
      </c>
      <c r="F1563" s="30" t="str">
        <f aca="false">IF('Boletins Nuppa Site'!I1563&lt;&gt;0,'Boletins Nuppa Site'!I1563,"NULL")</f>
        <v> 60.00</v>
      </c>
      <c r="G1563" s="30" t="str">
        <f aca="false">IF('Boletins Nuppa Site'!J1563&lt;&gt;0,'Boletins Nuppa Site'!J1563,"NULL")</f>
        <v> 55.00</v>
      </c>
      <c r="H1563" s="30" t="str">
        <f aca="false">IF('Boletins Nuppa Site'!K1563&lt;&gt;0,'Boletins Nuppa Site'!K1563,"NULL")</f>
        <v> 55.00</v>
      </c>
      <c r="I1563" s="0" t="str">
        <f aca="false">"INSERT INTO COTACAO (cot_id, cot_blt_id, cot_pap_id, cot_prc_comum, cot_prc_min, cot_prc_max, cot_prc_med, cot_prc_mediana) VALUES ("&amp;A1563&amp;", "&amp;B1563&amp;", "&amp;C1563&amp;", "&amp;D1563&amp;", "&amp;E1563&amp;", "&amp;F1563&amp;", "&amp;G1563&amp;", "&amp;H1563&amp;");"</f>
        <v>INSERT INTO COTACAO (cot_id, cot_blt_id, cot_pap_id, cot_prc_comum, cot_prc_min, cot_prc_max, cot_prc_med, cot_prc_mediana) VALUES (1562, 77, 12,  50.00,  50.00,  60.00,  55.00,  55.00);</v>
      </c>
      <c r="J1563" s="0" t="str">
        <f aca="false">"UPDATE COTACAO SET cot_id = "&amp;A1563&amp;", cot_blt_id = "&amp;B1563&amp;", cot_pap_id = "&amp;C1563&amp;", cot_prc_comum = "&amp;D1563&amp;", cot_prc_min = "&amp;E1563&amp;", cot_prc_max = "&amp;F1563&amp;", cot_prc_med = "&amp;G1563&amp;", cot_prc_mediana = "&amp;H1563&amp;" WHERE cot_id = "&amp;A1563&amp;";"</f>
        <v>UPDATE COTACAO SET cot_id = 1562, cot_blt_id = 77, cot_pap_id = 12, cot_prc_comum =  50.00, cot_prc_min =  50.00, cot_prc_max =  60.00, cot_prc_med =  55.00, cot_prc_mediana =  55.00 WHERE cot_id = 1562;</v>
      </c>
    </row>
    <row r="1564" customFormat="false" ht="14.25" hidden="false" customHeight="false" outlineLevel="0" collapsed="false">
      <c r="A1564" s="0" t="n">
        <v>1563</v>
      </c>
      <c r="B1564" s="0" t="n">
        <f aca="false">IF('Boletins Nuppa Site'!A1564&lt;&gt;0,'Boletins Nuppa Site'!A1564,"NULL")</f>
        <v>77</v>
      </c>
      <c r="C1564" s="0" t="n">
        <v>13</v>
      </c>
      <c r="D1564" s="0" t="str">
        <f aca="false">IF('Boletins Nuppa Site'!G1564&lt;&gt;0,'Boletins Nuppa Site'!G1564,"NULL")</f>
        <v> 60.00</v>
      </c>
      <c r="E1564" s="30" t="str">
        <f aca="false">IF('Boletins Nuppa Site'!H1564&lt;&gt;0,'Boletins Nuppa Site'!H1564,"NULL")</f>
        <v> 60.00</v>
      </c>
      <c r="F1564" s="30" t="str">
        <f aca="false">IF('Boletins Nuppa Site'!I1564&lt;&gt;0,'Boletins Nuppa Site'!I1564,"NULL")</f>
        <v> 72.00</v>
      </c>
      <c r="G1564" s="30" t="str">
        <f aca="false">IF('Boletins Nuppa Site'!J1564&lt;&gt;0,'Boletins Nuppa Site'!J1564,"NULL")</f>
        <v> 66.00</v>
      </c>
      <c r="H1564" s="30" t="str">
        <f aca="false">IF('Boletins Nuppa Site'!K1564&lt;&gt;0,'Boletins Nuppa Site'!K1564,"NULL")</f>
        <v> 66.00</v>
      </c>
      <c r="I1564" s="0" t="str">
        <f aca="false">"INSERT INTO COTACAO (cot_id, cot_blt_id, cot_pap_id, cot_prc_comum, cot_prc_min, cot_prc_max, cot_prc_med, cot_prc_mediana) VALUES ("&amp;A1564&amp;", "&amp;B1564&amp;", "&amp;C1564&amp;", "&amp;D1564&amp;", "&amp;E1564&amp;", "&amp;F1564&amp;", "&amp;G1564&amp;", "&amp;H1564&amp;");"</f>
        <v>INSERT INTO COTACAO (cot_id, cot_blt_id, cot_pap_id, cot_prc_comum, cot_prc_min, cot_prc_max, cot_prc_med, cot_prc_mediana) VALUES (1563, 77, 13,  60.00,  60.00,  72.00,  66.00,  66.00);</v>
      </c>
      <c r="J1564" s="0" t="str">
        <f aca="false">"UPDATE COTACAO SET cot_id = "&amp;A1564&amp;", cot_blt_id = "&amp;B1564&amp;", cot_pap_id = "&amp;C1564&amp;", cot_prc_comum = "&amp;D1564&amp;", cot_prc_min = "&amp;E1564&amp;", cot_prc_max = "&amp;F1564&amp;", cot_prc_med = "&amp;G1564&amp;", cot_prc_mediana = "&amp;H1564&amp;" WHERE cot_id = "&amp;A1564&amp;";"</f>
        <v>UPDATE COTACAO SET cot_id = 1563, cot_blt_id = 77, cot_pap_id = 13, cot_prc_comum =  60.00, cot_prc_min =  60.00, cot_prc_max =  72.00, cot_prc_med =  66.00, cot_prc_mediana =  66.00 WHERE cot_id = 1563;</v>
      </c>
    </row>
    <row r="1565" customFormat="false" ht="14.25" hidden="false" customHeight="false" outlineLevel="0" collapsed="false">
      <c r="A1565" s="0" t="n">
        <v>1564</v>
      </c>
      <c r="B1565" s="0" t="n">
        <f aca="false">IF('Boletins Nuppa Site'!A1565&lt;&gt;0,'Boletins Nuppa Site'!A1565,"NULL")</f>
        <v>77</v>
      </c>
      <c r="C1565" s="0" t="n">
        <v>14</v>
      </c>
      <c r="D1565" s="0" t="str">
        <f aca="false">IF('Boletins Nuppa Site'!G1565&lt;&gt;0,'Boletins Nuppa Site'!G1565,"NULL")</f>
        <v> 72.00</v>
      </c>
      <c r="E1565" s="30" t="str">
        <f aca="false">IF('Boletins Nuppa Site'!H1565&lt;&gt;0,'Boletins Nuppa Site'!H1565,"NULL")</f>
        <v> 72.00</v>
      </c>
      <c r="F1565" s="30" t="str">
        <f aca="false">IF('Boletins Nuppa Site'!I1565&lt;&gt;0,'Boletins Nuppa Site'!I1565,"NULL")</f>
        <v> 72.00</v>
      </c>
      <c r="G1565" s="30" t="str">
        <f aca="false">IF('Boletins Nuppa Site'!J1565&lt;&gt;0,'Boletins Nuppa Site'!J1565,"NULL")</f>
        <v> 72.00</v>
      </c>
      <c r="H1565" s="30" t="str">
        <f aca="false">IF('Boletins Nuppa Site'!K1565&lt;&gt;0,'Boletins Nuppa Site'!K1565,"NULL")</f>
        <v> 72.00</v>
      </c>
      <c r="I1565" s="0" t="str">
        <f aca="false">"INSERT INTO COTACAO (cot_id, cot_blt_id, cot_pap_id, cot_prc_comum, cot_prc_min, cot_prc_max, cot_prc_med, cot_prc_mediana) VALUES ("&amp;A1565&amp;", "&amp;B1565&amp;", "&amp;C1565&amp;", "&amp;D1565&amp;", "&amp;E1565&amp;", "&amp;F1565&amp;", "&amp;G1565&amp;", "&amp;H1565&amp;");"</f>
        <v>INSERT INTO COTACAO (cot_id, cot_blt_id, cot_pap_id, cot_prc_comum, cot_prc_min, cot_prc_max, cot_prc_med, cot_prc_mediana) VALUES (1564, 77, 14,  72.00,  72.00,  72.00,  72.00,  72.00);</v>
      </c>
      <c r="J1565" s="0" t="str">
        <f aca="false">"UPDATE COTACAO SET cot_id = "&amp;A1565&amp;", cot_blt_id = "&amp;B1565&amp;", cot_pap_id = "&amp;C1565&amp;", cot_prc_comum = "&amp;D1565&amp;", cot_prc_min = "&amp;E1565&amp;", cot_prc_max = "&amp;F1565&amp;", cot_prc_med = "&amp;G1565&amp;", cot_prc_mediana = "&amp;H1565&amp;" WHERE cot_id = "&amp;A1565&amp;";"</f>
        <v>UPDATE COTACAO SET cot_id = 1564, cot_blt_id = 77, cot_pap_id = 14, cot_prc_comum =  72.00, cot_prc_min =  72.00, cot_prc_max =  72.00, cot_prc_med =  72.00, cot_prc_mediana =  72.00 WHERE cot_id = 1564;</v>
      </c>
    </row>
    <row r="1566" customFormat="false" ht="14.25" hidden="false" customHeight="false" outlineLevel="0" collapsed="false">
      <c r="A1566" s="0" t="n">
        <v>1565</v>
      </c>
      <c r="B1566" s="0" t="n">
        <f aca="false">IF('Boletins Nuppa Site'!A1566&lt;&gt;0,'Boletins Nuppa Site'!A1566,"NULL")</f>
        <v>77</v>
      </c>
      <c r="C1566" s="0" t="n">
        <v>15</v>
      </c>
      <c r="D1566" s="0" t="str">
        <f aca="false">IF('Boletins Nuppa Site'!G1566&lt;&gt;0,'Boletins Nuppa Site'!G1566,"NULL")</f>
        <v> 25.00</v>
      </c>
      <c r="E1566" s="30" t="str">
        <f aca="false">IF('Boletins Nuppa Site'!H1566&lt;&gt;0,'Boletins Nuppa Site'!H1566,"NULL")</f>
        <v> 25.00</v>
      </c>
      <c r="F1566" s="30" t="str">
        <f aca="false">IF('Boletins Nuppa Site'!I1566&lt;&gt;0,'Boletins Nuppa Site'!I1566,"NULL")</f>
        <v> 30.00</v>
      </c>
      <c r="G1566" s="30" t="str">
        <f aca="false">IF('Boletins Nuppa Site'!J1566&lt;&gt;0,'Boletins Nuppa Site'!J1566,"NULL")</f>
        <v> 27.50</v>
      </c>
      <c r="H1566" s="30" t="str">
        <f aca="false">IF('Boletins Nuppa Site'!K1566&lt;&gt;0,'Boletins Nuppa Site'!K1566,"NULL")</f>
        <v> 27.50</v>
      </c>
      <c r="I1566" s="0" t="str">
        <f aca="false">"INSERT INTO COTACAO (cot_id, cot_blt_id, cot_pap_id, cot_prc_comum, cot_prc_min, cot_prc_max, cot_prc_med, cot_prc_mediana) VALUES ("&amp;A1566&amp;", "&amp;B1566&amp;", "&amp;C1566&amp;", "&amp;D1566&amp;", "&amp;E1566&amp;", "&amp;F1566&amp;", "&amp;G1566&amp;", "&amp;H1566&amp;");"</f>
        <v>INSERT INTO COTACAO (cot_id, cot_blt_id, cot_pap_id, cot_prc_comum, cot_prc_min, cot_prc_max, cot_prc_med, cot_prc_mediana) VALUES (1565, 77, 15,  25.00,  25.00,  30.00,  27.50,  27.50);</v>
      </c>
      <c r="J1566" s="0" t="str">
        <f aca="false">"UPDATE COTACAO SET cot_id = "&amp;A1566&amp;", cot_blt_id = "&amp;B1566&amp;", cot_pap_id = "&amp;C1566&amp;", cot_prc_comum = "&amp;D1566&amp;", cot_prc_min = "&amp;E1566&amp;", cot_prc_max = "&amp;F1566&amp;", cot_prc_med = "&amp;G1566&amp;", cot_prc_mediana = "&amp;H1566&amp;" WHERE cot_id = "&amp;A1566&amp;";"</f>
        <v>UPDATE COTACAO SET cot_id = 1565, cot_blt_id = 77, cot_pap_id = 15, cot_prc_comum =  25.00, cot_prc_min =  25.00, cot_prc_max =  30.00, cot_prc_med =  27.50, cot_prc_mediana =  27.50 WHERE cot_id = 1565;</v>
      </c>
    </row>
    <row r="1567" customFormat="false" ht="14.25" hidden="false" customHeight="false" outlineLevel="0" collapsed="false">
      <c r="A1567" s="0" t="n">
        <v>1566</v>
      </c>
      <c r="B1567" s="0" t="n">
        <f aca="false">IF('Boletins Nuppa Site'!A1567&lt;&gt;0,'Boletins Nuppa Site'!A1567,"NULL")</f>
        <v>77</v>
      </c>
      <c r="C1567" s="0" t="n">
        <v>16</v>
      </c>
      <c r="D1567" s="0" t="str">
        <f aca="false">IF('Boletins Nuppa Site'!G1567&lt;&gt;0,'Boletins Nuppa Site'!G1567,"NULL")</f>
        <v> 48.00</v>
      </c>
      <c r="E1567" s="30" t="str">
        <f aca="false">IF('Boletins Nuppa Site'!H1567&lt;&gt;0,'Boletins Nuppa Site'!H1567,"NULL")</f>
        <v> 48.00</v>
      </c>
      <c r="F1567" s="30" t="str">
        <f aca="false">IF('Boletins Nuppa Site'!I1567&lt;&gt;0,'Boletins Nuppa Site'!I1567,"NULL")</f>
        <v> 48.00</v>
      </c>
      <c r="G1567" s="30" t="str">
        <f aca="false">IF('Boletins Nuppa Site'!J1567&lt;&gt;0,'Boletins Nuppa Site'!J1567,"NULL")</f>
        <v> 48.00</v>
      </c>
      <c r="H1567" s="30" t="str">
        <f aca="false">IF('Boletins Nuppa Site'!K1567&lt;&gt;0,'Boletins Nuppa Site'!K1567,"NULL")</f>
        <v> 48.00</v>
      </c>
      <c r="I1567" s="0" t="str">
        <f aca="false">"INSERT INTO COTACAO (cot_id, cot_blt_id, cot_pap_id, cot_prc_comum, cot_prc_min, cot_prc_max, cot_prc_med, cot_prc_mediana) VALUES ("&amp;A1567&amp;", "&amp;B1567&amp;", "&amp;C1567&amp;", "&amp;D1567&amp;", "&amp;E1567&amp;", "&amp;F1567&amp;", "&amp;G1567&amp;", "&amp;H1567&amp;");"</f>
        <v>INSERT INTO COTACAO (cot_id, cot_blt_id, cot_pap_id, cot_prc_comum, cot_prc_min, cot_prc_max, cot_prc_med, cot_prc_mediana) VALUES (1566, 77, 16,  48.00,  48.00,  48.00,  48.00,  48.00);</v>
      </c>
      <c r="J1567" s="0" t="str">
        <f aca="false">"UPDATE COTACAO SET cot_id = "&amp;A1567&amp;", cot_blt_id = "&amp;B1567&amp;", cot_pap_id = "&amp;C1567&amp;", cot_prc_comum = "&amp;D1567&amp;", cot_prc_min = "&amp;E1567&amp;", cot_prc_max = "&amp;F1567&amp;", cot_prc_med = "&amp;G1567&amp;", cot_prc_mediana = "&amp;H1567&amp;" WHERE cot_id = "&amp;A1567&amp;";"</f>
        <v>UPDATE COTACAO SET cot_id = 1566, cot_blt_id = 77, cot_pap_id = 16, cot_prc_comum =  48.00, cot_prc_min =  48.00, cot_prc_max =  48.00, cot_prc_med =  48.00, cot_prc_mediana =  48.00 WHERE cot_id = 1566;</v>
      </c>
    </row>
    <row r="1568" customFormat="false" ht="14.25" hidden="false" customHeight="false" outlineLevel="0" collapsed="false">
      <c r="A1568" s="0" t="n">
        <v>1567</v>
      </c>
      <c r="B1568" s="0" t="n">
        <f aca="false">IF('Boletins Nuppa Site'!A1568&lt;&gt;0,'Boletins Nuppa Site'!A1568,"NULL")</f>
        <v>77</v>
      </c>
      <c r="C1568" s="0" t="n">
        <v>17</v>
      </c>
      <c r="D1568" s="0" t="str">
        <f aca="false">IF('Boletins Nuppa Site'!G1568&lt;&gt;0,'Boletins Nuppa Site'!G1568,"NULL")</f>
        <v> 5.00</v>
      </c>
      <c r="E1568" s="30" t="str">
        <f aca="false">IF('Boletins Nuppa Site'!H1568&lt;&gt;0,'Boletins Nuppa Site'!H1568,"NULL")</f>
        <v> 5.00</v>
      </c>
      <c r="F1568" s="30" t="str">
        <f aca="false">IF('Boletins Nuppa Site'!I1568&lt;&gt;0,'Boletins Nuppa Site'!I1568,"NULL")</f>
        <v> 5.00</v>
      </c>
      <c r="G1568" s="30" t="str">
        <f aca="false">IF('Boletins Nuppa Site'!J1568&lt;&gt;0,'Boletins Nuppa Site'!J1568,"NULL")</f>
        <v> 5.00</v>
      </c>
      <c r="H1568" s="30" t="str">
        <f aca="false">IF('Boletins Nuppa Site'!K1568&lt;&gt;0,'Boletins Nuppa Site'!K1568,"NULL")</f>
        <v> 5.00</v>
      </c>
      <c r="I1568" s="0" t="str">
        <f aca="false">"INSERT INTO COTACAO (cot_id, cot_blt_id, cot_pap_id, cot_prc_comum, cot_prc_min, cot_prc_max, cot_prc_med, cot_prc_mediana) VALUES ("&amp;A1568&amp;", "&amp;B1568&amp;", "&amp;C1568&amp;", "&amp;D1568&amp;", "&amp;E1568&amp;", "&amp;F1568&amp;", "&amp;G1568&amp;", "&amp;H1568&amp;");"</f>
        <v>INSERT INTO COTACAO (cot_id, cot_blt_id, cot_pap_id, cot_prc_comum, cot_prc_min, cot_prc_max, cot_prc_med, cot_prc_mediana) VALUES (1567, 77, 17,  5.00,  5.00,  5.00,  5.00,  5.00);</v>
      </c>
      <c r="J1568" s="0" t="str">
        <f aca="false">"UPDATE COTACAO SET cot_id = "&amp;A1568&amp;", cot_blt_id = "&amp;B1568&amp;", cot_pap_id = "&amp;C1568&amp;", cot_prc_comum = "&amp;D1568&amp;", cot_prc_min = "&amp;E1568&amp;", cot_prc_max = "&amp;F1568&amp;", cot_prc_med = "&amp;G1568&amp;", cot_prc_mediana = "&amp;H1568&amp;" WHERE cot_id = "&amp;A1568&amp;";"</f>
        <v>UPDATE COTACAO SET cot_id = 1567, cot_blt_id = 77, cot_pap_id = 17, cot_prc_comum =  5.00, cot_prc_min =  5.00, cot_prc_max =  5.00, cot_prc_med =  5.00, cot_prc_mediana =  5.00 WHERE cot_id = 1567;</v>
      </c>
    </row>
    <row r="1569" customFormat="false" ht="14.25" hidden="false" customHeight="false" outlineLevel="0" collapsed="false">
      <c r="A1569" s="0" t="n">
        <v>1568</v>
      </c>
      <c r="B1569" s="0" t="n">
        <f aca="false">IF('Boletins Nuppa Site'!A1569&lt;&gt;0,'Boletins Nuppa Site'!A1569,"NULL")</f>
        <v>77</v>
      </c>
      <c r="C1569" s="0" t="n">
        <v>18</v>
      </c>
      <c r="D1569" s="0" t="str">
        <f aca="false">IF('Boletins Nuppa Site'!G1569&lt;&gt;0,'Boletins Nuppa Site'!G1569,"NULL")</f>
        <v> 15.00</v>
      </c>
      <c r="E1569" s="30" t="str">
        <f aca="false">IF('Boletins Nuppa Site'!H1569&lt;&gt;0,'Boletins Nuppa Site'!H1569,"NULL")</f>
        <v> 15.00</v>
      </c>
      <c r="F1569" s="30" t="str">
        <f aca="false">IF('Boletins Nuppa Site'!I1569&lt;&gt;0,'Boletins Nuppa Site'!I1569,"NULL")</f>
        <v> 20.00</v>
      </c>
      <c r="G1569" s="30" t="str">
        <f aca="false">IF('Boletins Nuppa Site'!J1569&lt;&gt;0,'Boletins Nuppa Site'!J1569,"NULL")</f>
        <v> 17.50</v>
      </c>
      <c r="H1569" s="30" t="str">
        <f aca="false">IF('Boletins Nuppa Site'!K1569&lt;&gt;0,'Boletins Nuppa Site'!K1569,"NULL")</f>
        <v> 17.50</v>
      </c>
      <c r="I1569" s="0" t="str">
        <f aca="false">"INSERT INTO COTACAO (cot_id, cot_blt_id, cot_pap_id, cot_prc_comum, cot_prc_min, cot_prc_max, cot_prc_med, cot_prc_mediana) VALUES ("&amp;A1569&amp;", "&amp;B1569&amp;", "&amp;C1569&amp;", "&amp;D1569&amp;", "&amp;E1569&amp;", "&amp;F1569&amp;", "&amp;G1569&amp;", "&amp;H1569&amp;");"</f>
        <v>INSERT INTO COTACAO (cot_id, cot_blt_id, cot_pap_id, cot_prc_comum, cot_prc_min, cot_prc_max, cot_prc_med, cot_prc_mediana) VALUES (1568, 77, 18,  15.00,  15.00,  20.00,  17.50,  17.50);</v>
      </c>
      <c r="J1569" s="0" t="str">
        <f aca="false">"UPDATE COTACAO SET cot_id = "&amp;A1569&amp;", cot_blt_id = "&amp;B1569&amp;", cot_pap_id = "&amp;C1569&amp;", cot_prc_comum = "&amp;D1569&amp;", cot_prc_min = "&amp;E1569&amp;", cot_prc_max = "&amp;F1569&amp;", cot_prc_med = "&amp;G1569&amp;", cot_prc_mediana = "&amp;H1569&amp;" WHERE cot_id = "&amp;A1569&amp;";"</f>
        <v>UPDATE COTACAO SET cot_id = 1568, cot_blt_id = 77, cot_pap_id = 18, cot_prc_comum =  15.00, cot_prc_min =  15.00, cot_prc_max =  20.00, cot_prc_med =  17.50, cot_prc_mediana =  17.50 WHERE cot_id = 1568;</v>
      </c>
    </row>
    <row r="1570" customFormat="false" ht="14.25" hidden="false" customHeight="false" outlineLevel="0" collapsed="false">
      <c r="A1570" s="0" t="n">
        <v>1569</v>
      </c>
      <c r="B1570" s="0" t="n">
        <f aca="false">IF('Boletins Nuppa Site'!A1570&lt;&gt;0,'Boletins Nuppa Site'!A1570,"NULL")</f>
        <v>77</v>
      </c>
      <c r="C1570" s="0" t="n">
        <v>19</v>
      </c>
      <c r="D1570" s="0" t="str">
        <f aca="false">IF('Boletins Nuppa Site'!G1570&lt;&gt;0,'Boletins Nuppa Site'!G1570,"NULL")</f>
        <v> 30.00</v>
      </c>
      <c r="E1570" s="30" t="str">
        <f aca="false">IF('Boletins Nuppa Site'!H1570&lt;&gt;0,'Boletins Nuppa Site'!H1570,"NULL")</f>
        <v> 30.00</v>
      </c>
      <c r="F1570" s="30" t="str">
        <f aca="false">IF('Boletins Nuppa Site'!I1570&lt;&gt;0,'Boletins Nuppa Site'!I1570,"NULL")</f>
        <v> 30.00</v>
      </c>
      <c r="G1570" s="30" t="str">
        <f aca="false">IF('Boletins Nuppa Site'!J1570&lt;&gt;0,'Boletins Nuppa Site'!J1570,"NULL")</f>
        <v> 30.00</v>
      </c>
      <c r="H1570" s="30" t="str">
        <f aca="false">IF('Boletins Nuppa Site'!K1570&lt;&gt;0,'Boletins Nuppa Site'!K1570,"NULL")</f>
        <v> 30.00</v>
      </c>
      <c r="I1570" s="0" t="str">
        <f aca="false">"INSERT INTO COTACAO (cot_id, cot_blt_id, cot_pap_id, cot_prc_comum, cot_prc_min, cot_prc_max, cot_prc_med, cot_prc_mediana) VALUES ("&amp;A1570&amp;", "&amp;B1570&amp;", "&amp;C1570&amp;", "&amp;D1570&amp;", "&amp;E1570&amp;", "&amp;F1570&amp;", "&amp;G1570&amp;", "&amp;H1570&amp;");"</f>
        <v>INSERT INTO COTACAO (cot_id, cot_blt_id, cot_pap_id, cot_prc_comum, cot_prc_min, cot_prc_max, cot_prc_med, cot_prc_mediana) VALUES (1569, 77, 19,  30.00,  30.00,  30.00,  30.00,  30.00);</v>
      </c>
      <c r="J1570" s="0" t="str">
        <f aca="false">"UPDATE COTACAO SET cot_id = "&amp;A1570&amp;", cot_blt_id = "&amp;B1570&amp;", cot_pap_id = "&amp;C1570&amp;", cot_prc_comum = "&amp;D1570&amp;", cot_prc_min = "&amp;E1570&amp;", cot_prc_max = "&amp;F1570&amp;", cot_prc_med = "&amp;G1570&amp;", cot_prc_mediana = "&amp;H1570&amp;" WHERE cot_id = "&amp;A1570&amp;";"</f>
        <v>UPDATE COTACAO SET cot_id = 1569, cot_blt_id = 77, cot_pap_id = 19, cot_prc_comum =  30.00, cot_prc_min =  30.00, cot_prc_max =  30.00, cot_prc_med =  30.00, cot_prc_mediana =  30.00 WHERE cot_id = 1569;</v>
      </c>
    </row>
    <row r="1571" customFormat="false" ht="14.25" hidden="false" customHeight="false" outlineLevel="0" collapsed="false">
      <c r="A1571" s="0" t="n">
        <v>1570</v>
      </c>
      <c r="B1571" s="0" t="n">
        <f aca="false">IF('Boletins Nuppa Site'!A1571&lt;&gt;0,'Boletins Nuppa Site'!A1571,"NULL")</f>
        <v>77</v>
      </c>
      <c r="C1571" s="0" t="n">
        <v>20</v>
      </c>
      <c r="D1571" s="0" t="str">
        <f aca="false">IF('Boletins Nuppa Site'!G1571&lt;&gt;0,'Boletins Nuppa Site'!G1571,"NULL")</f>
        <v> 80.00</v>
      </c>
      <c r="E1571" s="30" t="str">
        <f aca="false">IF('Boletins Nuppa Site'!H1571&lt;&gt;0,'Boletins Nuppa Site'!H1571,"NULL")</f>
        <v> 80.00</v>
      </c>
      <c r="F1571" s="30" t="str">
        <f aca="false">IF('Boletins Nuppa Site'!I1571&lt;&gt;0,'Boletins Nuppa Site'!I1571,"NULL")</f>
        <v> 80.00</v>
      </c>
      <c r="G1571" s="30" t="str">
        <f aca="false">IF('Boletins Nuppa Site'!J1571&lt;&gt;0,'Boletins Nuppa Site'!J1571,"NULL")</f>
        <v> 80.00</v>
      </c>
      <c r="H1571" s="30" t="str">
        <f aca="false">IF('Boletins Nuppa Site'!K1571&lt;&gt;0,'Boletins Nuppa Site'!K1571,"NULL")</f>
        <v> 80.00</v>
      </c>
      <c r="I1571" s="0" t="str">
        <f aca="false">"INSERT INTO COTACAO (cot_id, cot_blt_id, cot_pap_id, cot_prc_comum, cot_prc_min, cot_prc_max, cot_prc_med, cot_prc_mediana) VALUES ("&amp;A1571&amp;", "&amp;B1571&amp;", "&amp;C1571&amp;", "&amp;D1571&amp;", "&amp;E1571&amp;", "&amp;F1571&amp;", "&amp;G1571&amp;", "&amp;H1571&amp;");"</f>
        <v>INSERT INTO COTACAO (cot_id, cot_blt_id, cot_pap_id, cot_prc_comum, cot_prc_min, cot_prc_max, cot_prc_med, cot_prc_mediana) VALUES (1570, 77, 20,  80.00,  80.00,  80.00,  80.00,  80.00);</v>
      </c>
      <c r="J1571" s="0" t="str">
        <f aca="false">"UPDATE COTACAO SET cot_id = "&amp;A1571&amp;", cot_blt_id = "&amp;B1571&amp;", cot_pap_id = "&amp;C1571&amp;", cot_prc_comum = "&amp;D1571&amp;", cot_prc_min = "&amp;E1571&amp;", cot_prc_max = "&amp;F1571&amp;", cot_prc_med = "&amp;G1571&amp;", cot_prc_mediana = "&amp;H1571&amp;" WHERE cot_id = "&amp;A1571&amp;";"</f>
        <v>UPDATE COTACAO SET cot_id = 1570, cot_blt_id = 77, cot_pap_id = 20, cot_prc_comum =  80.00, cot_prc_min =  80.00, cot_prc_max =  80.00, cot_prc_med =  80.00, cot_prc_mediana =  80.00 WHERE cot_id = 1570;</v>
      </c>
    </row>
    <row r="1572" customFormat="false" ht="14.25" hidden="false" customHeight="false" outlineLevel="0" collapsed="false">
      <c r="A1572" s="0" t="n">
        <v>1571</v>
      </c>
      <c r="B1572" s="0" t="n">
        <f aca="false">IF('Boletins Nuppa Site'!A1572&lt;&gt;0,'Boletins Nuppa Site'!A1572,"NULL")</f>
        <v>77</v>
      </c>
      <c r="C1572" s="0" t="n">
        <v>21</v>
      </c>
      <c r="D1572" s="0" t="str">
        <f aca="false">IF('Boletins Nuppa Site'!G1572&lt;&gt;0,'Boletins Nuppa Site'!G1572,"NULL")</f>
        <v> 30.00</v>
      </c>
      <c r="E1572" s="30" t="str">
        <f aca="false">IF('Boletins Nuppa Site'!H1572&lt;&gt;0,'Boletins Nuppa Site'!H1572,"NULL")</f>
        <v> 30.00</v>
      </c>
      <c r="F1572" s="30" t="str">
        <f aca="false">IF('Boletins Nuppa Site'!I1572&lt;&gt;0,'Boletins Nuppa Site'!I1572,"NULL")</f>
        <v> 50.00</v>
      </c>
      <c r="G1572" s="30" t="str">
        <f aca="false">IF('Boletins Nuppa Site'!J1572&lt;&gt;0,'Boletins Nuppa Site'!J1572,"NULL")</f>
        <v> 40.00</v>
      </c>
      <c r="H1572" s="30" t="str">
        <f aca="false">IF('Boletins Nuppa Site'!K1572&lt;&gt;0,'Boletins Nuppa Site'!K1572,"NULL")</f>
        <v> 40.00</v>
      </c>
      <c r="I1572" s="0" t="str">
        <f aca="false">"INSERT INTO COTACAO (cot_id, cot_blt_id, cot_pap_id, cot_prc_comum, cot_prc_min, cot_prc_max, cot_prc_med, cot_prc_mediana) VALUES ("&amp;A1572&amp;", "&amp;B1572&amp;", "&amp;C1572&amp;", "&amp;D1572&amp;", "&amp;E1572&amp;", "&amp;F1572&amp;", "&amp;G1572&amp;", "&amp;H1572&amp;");"</f>
        <v>INSERT INTO COTACAO (cot_id, cot_blt_id, cot_pap_id, cot_prc_comum, cot_prc_min, cot_prc_max, cot_prc_med, cot_prc_mediana) VALUES (1571, 77, 21,  30.00,  30.00,  50.00,  40.00,  40.00);</v>
      </c>
      <c r="J1572" s="0" t="str">
        <f aca="false">"UPDATE COTACAO SET cot_id = "&amp;A1572&amp;", cot_blt_id = "&amp;B1572&amp;", cot_pap_id = "&amp;C1572&amp;", cot_prc_comum = "&amp;D1572&amp;", cot_prc_min = "&amp;E1572&amp;", cot_prc_max = "&amp;F1572&amp;", cot_prc_med = "&amp;G1572&amp;", cot_prc_mediana = "&amp;H1572&amp;" WHERE cot_id = "&amp;A1572&amp;";"</f>
        <v>UPDATE COTACAO SET cot_id = 1571, cot_blt_id = 77, cot_pap_id = 21, cot_prc_comum =  30.00, cot_prc_min =  30.00, cot_prc_max =  50.00, cot_prc_med =  40.00, cot_prc_mediana =  40.00 WHERE cot_id = 1571;</v>
      </c>
    </row>
    <row r="1573" customFormat="false" ht="14.25" hidden="false" customHeight="false" outlineLevel="0" collapsed="false">
      <c r="A1573" s="0" t="n">
        <v>1572</v>
      </c>
      <c r="B1573" s="0" t="n">
        <f aca="false">IF('Boletins Nuppa Site'!A1573&lt;&gt;0,'Boletins Nuppa Site'!A1573,"NULL")</f>
        <v>77</v>
      </c>
      <c r="C1573" s="0" t="n">
        <v>22</v>
      </c>
      <c r="D1573" s="0" t="str">
        <f aca="false">IF('Boletins Nuppa Site'!G1573&lt;&gt;0,'Boletins Nuppa Site'!G1573,"NULL")</f>
        <v> 45.00</v>
      </c>
      <c r="E1573" s="30" t="str">
        <f aca="false">IF('Boletins Nuppa Site'!H1573&lt;&gt;0,'Boletins Nuppa Site'!H1573,"NULL")</f>
        <v> 45.00</v>
      </c>
      <c r="F1573" s="30" t="str">
        <f aca="false">IF('Boletins Nuppa Site'!I1573&lt;&gt;0,'Boletins Nuppa Site'!I1573,"NULL")</f>
        <v> 75.00</v>
      </c>
      <c r="G1573" s="30" t="str">
        <f aca="false">IF('Boletins Nuppa Site'!J1573&lt;&gt;0,'Boletins Nuppa Site'!J1573,"NULL")</f>
        <v> 61.00</v>
      </c>
      <c r="H1573" s="30" t="str">
        <f aca="false">IF('Boletins Nuppa Site'!K1573&lt;&gt;0,'Boletins Nuppa Site'!K1573,"NULL")</f>
        <v> 65.00</v>
      </c>
      <c r="I1573" s="0" t="str">
        <f aca="false">"INSERT INTO COTACAO (cot_id, cot_blt_id, cot_pap_id, cot_prc_comum, cot_prc_min, cot_prc_max, cot_prc_med, cot_prc_mediana) VALUES ("&amp;A1573&amp;", "&amp;B1573&amp;", "&amp;C1573&amp;", "&amp;D1573&amp;", "&amp;E1573&amp;", "&amp;F1573&amp;", "&amp;G1573&amp;", "&amp;H1573&amp;");"</f>
        <v>INSERT INTO COTACAO (cot_id, cot_blt_id, cot_pap_id, cot_prc_comum, cot_prc_min, cot_prc_max, cot_prc_med, cot_prc_mediana) VALUES (1572, 77, 22,  45.00,  45.00,  75.00,  61.00,  65.00);</v>
      </c>
      <c r="J1573" s="0" t="str">
        <f aca="false">"UPDATE COTACAO SET cot_id = "&amp;A1573&amp;", cot_blt_id = "&amp;B1573&amp;", cot_pap_id = "&amp;C1573&amp;", cot_prc_comum = "&amp;D1573&amp;", cot_prc_min = "&amp;E1573&amp;", cot_prc_max = "&amp;F1573&amp;", cot_prc_med = "&amp;G1573&amp;", cot_prc_mediana = "&amp;H1573&amp;" WHERE cot_id = "&amp;A1573&amp;";"</f>
        <v>UPDATE COTACAO SET cot_id = 1572, cot_blt_id = 77, cot_pap_id = 22, cot_prc_comum =  45.00, cot_prc_min =  45.00, cot_prc_max =  75.00, cot_prc_med =  61.00, cot_prc_mediana =  65.00 WHERE cot_id = 1572;</v>
      </c>
    </row>
    <row r="1574" customFormat="false" ht="14.25" hidden="false" customHeight="false" outlineLevel="0" collapsed="false">
      <c r="A1574" s="0" t="n">
        <v>1573</v>
      </c>
      <c r="B1574" s="0" t="n">
        <f aca="false">IF('Boletins Nuppa Site'!A1574&lt;&gt;0,'Boletins Nuppa Site'!A1574,"NULL")</f>
        <v>77</v>
      </c>
      <c r="C1574" s="0" t="n">
        <v>23</v>
      </c>
      <c r="D1574" s="0" t="str">
        <f aca="false">IF('Boletins Nuppa Site'!G1574&lt;&gt;0,'Boletins Nuppa Site'!G1574,"NULL")</f>
        <v> 45.00</v>
      </c>
      <c r="E1574" s="30" t="str">
        <f aca="false">IF('Boletins Nuppa Site'!H1574&lt;&gt;0,'Boletins Nuppa Site'!H1574,"NULL")</f>
        <v> 45.00</v>
      </c>
      <c r="F1574" s="30" t="str">
        <f aca="false">IF('Boletins Nuppa Site'!I1574&lt;&gt;0,'Boletins Nuppa Site'!I1574,"NULL")</f>
        <v> 60.00</v>
      </c>
      <c r="G1574" s="30" t="str">
        <f aca="false">IF('Boletins Nuppa Site'!J1574&lt;&gt;0,'Boletins Nuppa Site'!J1574,"NULL")</f>
        <v> 53.00</v>
      </c>
      <c r="H1574" s="30" t="str">
        <f aca="false">IF('Boletins Nuppa Site'!K1574&lt;&gt;0,'Boletins Nuppa Site'!K1574,"NULL")</f>
        <v> 50.00</v>
      </c>
      <c r="I1574" s="0" t="str">
        <f aca="false">"INSERT INTO COTACAO (cot_id, cot_blt_id, cot_pap_id, cot_prc_comum, cot_prc_min, cot_prc_max, cot_prc_med, cot_prc_mediana) VALUES ("&amp;A1574&amp;", "&amp;B1574&amp;", "&amp;C1574&amp;", "&amp;D1574&amp;", "&amp;E1574&amp;", "&amp;F1574&amp;", "&amp;G1574&amp;", "&amp;H1574&amp;");"</f>
        <v>INSERT INTO COTACAO (cot_id, cot_blt_id, cot_pap_id, cot_prc_comum, cot_prc_min, cot_prc_max, cot_prc_med, cot_prc_mediana) VALUES (1573, 77, 23,  45.00,  45.00,  60.00,  53.00,  50.00);</v>
      </c>
      <c r="J1574" s="0" t="str">
        <f aca="false">"UPDATE COTACAO SET cot_id = "&amp;A1574&amp;", cot_blt_id = "&amp;B1574&amp;", cot_pap_id = "&amp;C1574&amp;", cot_prc_comum = "&amp;D1574&amp;", cot_prc_min = "&amp;E1574&amp;", cot_prc_max = "&amp;F1574&amp;", cot_prc_med = "&amp;G1574&amp;", cot_prc_mediana = "&amp;H1574&amp;" WHERE cot_id = "&amp;A1574&amp;";"</f>
        <v>UPDATE COTACAO SET cot_id = 1573, cot_blt_id = 77, cot_pap_id = 23, cot_prc_comum =  45.00, cot_prc_min =  45.00, cot_prc_max =  60.00, cot_prc_med =  53.00, cot_prc_mediana =  50.00 WHERE cot_id = 1573;</v>
      </c>
    </row>
    <row r="1575" customFormat="false" ht="14.25" hidden="false" customHeight="false" outlineLevel="0" collapsed="false">
      <c r="A1575" s="0" t="n">
        <v>1574</v>
      </c>
      <c r="B1575" s="0" t="n">
        <f aca="false">IF('Boletins Nuppa Site'!A1575&lt;&gt;0,'Boletins Nuppa Site'!A1575,"NULL")</f>
        <v>77</v>
      </c>
      <c r="C1575" s="0" t="n">
        <v>24</v>
      </c>
      <c r="D1575" s="0" t="str">
        <f aca="false">IF('Boletins Nuppa Site'!G1575&lt;&gt;0,'Boletins Nuppa Site'!G1575,"NULL")</f>
        <v> 65.00</v>
      </c>
      <c r="E1575" s="30" t="str">
        <f aca="false">IF('Boletins Nuppa Site'!H1575&lt;&gt;0,'Boletins Nuppa Site'!H1575,"NULL")</f>
        <v> 65.00</v>
      </c>
      <c r="F1575" s="30" t="str">
        <f aca="false">IF('Boletins Nuppa Site'!I1575&lt;&gt;0,'Boletins Nuppa Site'!I1575,"NULL")</f>
        <v> 65.00</v>
      </c>
      <c r="G1575" s="30" t="str">
        <f aca="false">IF('Boletins Nuppa Site'!J1575&lt;&gt;0,'Boletins Nuppa Site'!J1575,"NULL")</f>
        <v> 65.00</v>
      </c>
      <c r="H1575" s="30" t="str">
        <f aca="false">IF('Boletins Nuppa Site'!K1575&lt;&gt;0,'Boletins Nuppa Site'!K1575,"NULL")</f>
        <v> 65.00</v>
      </c>
      <c r="I1575" s="0" t="str">
        <f aca="false">"INSERT INTO COTACAO (cot_id, cot_blt_id, cot_pap_id, cot_prc_comum, cot_prc_min, cot_prc_max, cot_prc_med, cot_prc_mediana) VALUES ("&amp;A1575&amp;", "&amp;B1575&amp;", "&amp;C1575&amp;", "&amp;D1575&amp;", "&amp;E1575&amp;", "&amp;F1575&amp;", "&amp;G1575&amp;", "&amp;H1575&amp;");"</f>
        <v>INSERT INTO COTACAO (cot_id, cot_blt_id, cot_pap_id, cot_prc_comum, cot_prc_min, cot_prc_max, cot_prc_med, cot_prc_mediana) VALUES (1574, 77, 24,  65.00,  65.00,  65.00,  65.00,  65.00);</v>
      </c>
      <c r="J1575" s="0" t="str">
        <f aca="false">"UPDATE COTACAO SET cot_id = "&amp;A1575&amp;", cot_blt_id = "&amp;B1575&amp;", cot_pap_id = "&amp;C1575&amp;", cot_prc_comum = "&amp;D1575&amp;", cot_prc_min = "&amp;E1575&amp;", cot_prc_max = "&amp;F1575&amp;", cot_prc_med = "&amp;G1575&amp;", cot_prc_mediana = "&amp;H1575&amp;" WHERE cot_id = "&amp;A1575&amp;";"</f>
        <v>UPDATE COTACAO SET cot_id = 1574, cot_blt_id = 77, cot_pap_id = 24, cot_prc_comum =  65.00, cot_prc_min =  65.00, cot_prc_max =  65.00, cot_prc_med =  65.00, cot_prc_mediana =  65.00 WHERE cot_id = 1574;</v>
      </c>
    </row>
    <row r="1576" customFormat="false" ht="14.25" hidden="false" customHeight="false" outlineLevel="0" collapsed="false">
      <c r="A1576" s="0" t="n">
        <v>1575</v>
      </c>
      <c r="B1576" s="0" t="n">
        <f aca="false">IF('Boletins Nuppa Site'!A1576&lt;&gt;0,'Boletins Nuppa Site'!A1576,"NULL")</f>
        <v>77</v>
      </c>
      <c r="C1576" s="0" t="n">
        <v>25</v>
      </c>
      <c r="D1576" s="0" t="str">
        <f aca="false">IF('Boletins Nuppa Site'!G1576&lt;&gt;0,'Boletins Nuppa Site'!G1576,"NULL")</f>
        <v> 50.00</v>
      </c>
      <c r="E1576" s="30" t="str">
        <f aca="false">IF('Boletins Nuppa Site'!H1576&lt;&gt;0,'Boletins Nuppa Site'!H1576,"NULL")</f>
        <v> 50.00</v>
      </c>
      <c r="F1576" s="30" t="str">
        <f aca="false">IF('Boletins Nuppa Site'!I1576&lt;&gt;0,'Boletins Nuppa Site'!I1576,"NULL")</f>
        <v> 70.00</v>
      </c>
      <c r="G1576" s="30" t="str">
        <f aca="false">IF('Boletins Nuppa Site'!J1576&lt;&gt;0,'Boletins Nuppa Site'!J1576,"NULL")</f>
        <v> 58.00</v>
      </c>
      <c r="H1576" s="30" t="str">
        <f aca="false">IF('Boletins Nuppa Site'!K1576&lt;&gt;0,'Boletins Nuppa Site'!K1576,"NULL")</f>
        <v> 60.00</v>
      </c>
      <c r="I1576" s="0" t="str">
        <f aca="false">"INSERT INTO COTACAO (cot_id, cot_blt_id, cot_pap_id, cot_prc_comum, cot_prc_min, cot_prc_max, cot_prc_med, cot_prc_mediana) VALUES ("&amp;A1576&amp;", "&amp;B1576&amp;", "&amp;C1576&amp;", "&amp;D1576&amp;", "&amp;E1576&amp;", "&amp;F1576&amp;", "&amp;G1576&amp;", "&amp;H1576&amp;");"</f>
        <v>INSERT INTO COTACAO (cot_id, cot_blt_id, cot_pap_id, cot_prc_comum, cot_prc_min, cot_prc_max, cot_prc_med, cot_prc_mediana) VALUES (1575, 77, 25,  50.00,  50.00,  70.00,  58.00,  60.00);</v>
      </c>
      <c r="J1576" s="0" t="str">
        <f aca="false">"UPDATE COTACAO SET cot_id = "&amp;A1576&amp;", cot_blt_id = "&amp;B1576&amp;", cot_pap_id = "&amp;C1576&amp;", cot_prc_comum = "&amp;D1576&amp;", cot_prc_min = "&amp;E1576&amp;", cot_prc_max = "&amp;F1576&amp;", cot_prc_med = "&amp;G1576&amp;", cot_prc_mediana = "&amp;H1576&amp;" WHERE cot_id = "&amp;A1576&amp;";"</f>
        <v>UPDATE COTACAO SET cot_id = 1575, cot_blt_id = 77, cot_pap_id = 25, cot_prc_comum =  50.00, cot_prc_min =  50.00, cot_prc_max =  70.00, cot_prc_med =  58.00, cot_prc_mediana =  60.00 WHERE cot_id = 1575;</v>
      </c>
    </row>
    <row r="1577" customFormat="false" ht="14.25" hidden="false" customHeight="false" outlineLevel="0" collapsed="false">
      <c r="A1577" s="0" t="n">
        <v>1576</v>
      </c>
      <c r="B1577" s="0" t="n">
        <f aca="false">IF('Boletins Nuppa Site'!A1577&lt;&gt;0,'Boletins Nuppa Site'!A1577,"NULL")</f>
        <v>77</v>
      </c>
      <c r="C1577" s="0" t="n">
        <v>26</v>
      </c>
      <c r="D1577" s="0" t="str">
        <f aca="false">IF('Boletins Nuppa Site'!G1577&lt;&gt;0,'Boletins Nuppa Site'!G1577,"NULL")</f>
        <v> 50.00</v>
      </c>
      <c r="E1577" s="30" t="str">
        <f aca="false">IF('Boletins Nuppa Site'!H1577&lt;&gt;0,'Boletins Nuppa Site'!H1577,"NULL")</f>
        <v> 40.00</v>
      </c>
      <c r="F1577" s="30" t="str">
        <f aca="false">IF('Boletins Nuppa Site'!I1577&lt;&gt;0,'Boletins Nuppa Site'!I1577,"NULL")</f>
        <v> 55.00</v>
      </c>
      <c r="G1577" s="30" t="str">
        <f aca="false">IF('Boletins Nuppa Site'!J1577&lt;&gt;0,'Boletins Nuppa Site'!J1577,"NULL")</f>
        <v> 48.75</v>
      </c>
      <c r="H1577" s="30" t="str">
        <f aca="false">IF('Boletins Nuppa Site'!K1577&lt;&gt;0,'Boletins Nuppa Site'!K1577,"NULL")</f>
        <v> 50.00</v>
      </c>
      <c r="I1577" s="0" t="str">
        <f aca="false">"INSERT INTO COTACAO (cot_id, cot_blt_id, cot_pap_id, cot_prc_comum, cot_prc_min, cot_prc_max, cot_prc_med, cot_prc_mediana) VALUES ("&amp;A1577&amp;", "&amp;B1577&amp;", "&amp;C1577&amp;", "&amp;D1577&amp;", "&amp;E1577&amp;", "&amp;F1577&amp;", "&amp;G1577&amp;", "&amp;H1577&amp;");"</f>
        <v>INSERT INTO COTACAO (cot_id, cot_blt_id, cot_pap_id, cot_prc_comum, cot_prc_min, cot_prc_max, cot_prc_med, cot_prc_mediana) VALUES (1576, 77, 26,  50.00,  40.00,  55.00,  48.75,  50.00);</v>
      </c>
      <c r="J1577" s="0" t="str">
        <f aca="false">"UPDATE COTACAO SET cot_id = "&amp;A1577&amp;", cot_blt_id = "&amp;B1577&amp;", cot_pap_id = "&amp;C1577&amp;", cot_prc_comum = "&amp;D1577&amp;", cot_prc_min = "&amp;E1577&amp;", cot_prc_max = "&amp;F1577&amp;", cot_prc_med = "&amp;G1577&amp;", cot_prc_mediana = "&amp;H1577&amp;" WHERE cot_id = "&amp;A1577&amp;";"</f>
        <v>UPDATE COTACAO SET cot_id = 1576, cot_blt_id = 77, cot_pap_id = 26, cot_prc_comum =  50.00, cot_prc_min =  40.00, cot_prc_max =  55.00, cot_prc_med =  48.75, cot_prc_mediana =  50.00 WHERE cot_id = 1576;</v>
      </c>
    </row>
    <row r="1578" customFormat="false" ht="14.25" hidden="false" customHeight="false" outlineLevel="0" collapsed="false">
      <c r="A1578" s="0" t="n">
        <v>1577</v>
      </c>
      <c r="B1578" s="0" t="n">
        <f aca="false">IF('Boletins Nuppa Site'!A1578&lt;&gt;0,'Boletins Nuppa Site'!A1578,"NULL")</f>
        <v>77</v>
      </c>
      <c r="C1578" s="0" t="n">
        <v>27</v>
      </c>
      <c r="D1578" s="0" t="str">
        <f aca="false">IF('Boletins Nuppa Site'!G1578&lt;&gt;0,'Boletins Nuppa Site'!G1578,"NULL")</f>
        <v> 35.00</v>
      </c>
      <c r="E1578" s="30" t="str">
        <f aca="false">IF('Boletins Nuppa Site'!H1578&lt;&gt;0,'Boletins Nuppa Site'!H1578,"NULL")</f>
        <v> 35.00</v>
      </c>
      <c r="F1578" s="30" t="str">
        <f aca="false">IF('Boletins Nuppa Site'!I1578&lt;&gt;0,'Boletins Nuppa Site'!I1578,"NULL")</f>
        <v> 65.00</v>
      </c>
      <c r="G1578" s="30" t="str">
        <f aca="false">IF('Boletins Nuppa Site'!J1578&lt;&gt;0,'Boletins Nuppa Site'!J1578,"NULL")</f>
        <v> 50.00</v>
      </c>
      <c r="H1578" s="30" t="str">
        <f aca="false">IF('Boletins Nuppa Site'!K1578&lt;&gt;0,'Boletins Nuppa Site'!K1578,"NULL")</f>
        <v> 50.00</v>
      </c>
      <c r="I1578" s="0" t="str">
        <f aca="false">"INSERT INTO COTACAO (cot_id, cot_blt_id, cot_pap_id, cot_prc_comum, cot_prc_min, cot_prc_max, cot_prc_med, cot_prc_mediana) VALUES ("&amp;A1578&amp;", "&amp;B1578&amp;", "&amp;C1578&amp;", "&amp;D1578&amp;", "&amp;E1578&amp;", "&amp;F1578&amp;", "&amp;G1578&amp;", "&amp;H1578&amp;");"</f>
        <v>INSERT INTO COTACAO (cot_id, cot_blt_id, cot_pap_id, cot_prc_comum, cot_prc_min, cot_prc_max, cot_prc_med, cot_prc_mediana) VALUES (1577, 77, 27,  35.00,  35.00,  65.00,  50.00,  50.00);</v>
      </c>
      <c r="J1578" s="0" t="str">
        <f aca="false">"UPDATE COTACAO SET cot_id = "&amp;A1578&amp;", cot_blt_id = "&amp;B1578&amp;", cot_pap_id = "&amp;C1578&amp;", cot_prc_comum = "&amp;D1578&amp;", cot_prc_min = "&amp;E1578&amp;", cot_prc_max = "&amp;F1578&amp;", cot_prc_med = "&amp;G1578&amp;", cot_prc_mediana = "&amp;H1578&amp;" WHERE cot_id = "&amp;A1578&amp;";"</f>
        <v>UPDATE COTACAO SET cot_id = 1577, cot_blt_id = 77, cot_pap_id = 27, cot_prc_comum =  35.00, cot_prc_min =  35.00, cot_prc_max =  65.00, cot_prc_med =  50.00, cot_prc_mediana =  50.00 WHERE cot_id = 1577;</v>
      </c>
    </row>
    <row r="1579" customFormat="false" ht="14.25" hidden="false" customHeight="false" outlineLevel="0" collapsed="false">
      <c r="A1579" s="0" t="n">
        <v>1578</v>
      </c>
      <c r="B1579" s="0" t="n">
        <f aca="false">IF('Boletins Nuppa Site'!A1579&lt;&gt;0,'Boletins Nuppa Site'!A1579,"NULL")</f>
        <v>77</v>
      </c>
      <c r="C1579" s="0" t="n">
        <v>28</v>
      </c>
      <c r="D1579" s="0" t="str">
        <f aca="false">IF('Boletins Nuppa Site'!G1579&lt;&gt;0,'Boletins Nuppa Site'!G1579,"NULL")</f>
        <v> 120.00</v>
      </c>
      <c r="E1579" s="30" t="str">
        <f aca="false">IF('Boletins Nuppa Site'!H1579&lt;&gt;0,'Boletins Nuppa Site'!H1579,"NULL")</f>
        <v> 100.00</v>
      </c>
      <c r="F1579" s="30" t="str">
        <f aca="false">IF('Boletins Nuppa Site'!I1579&lt;&gt;0,'Boletins Nuppa Site'!I1579,"NULL")</f>
        <v> 120.00</v>
      </c>
      <c r="G1579" s="30" t="str">
        <f aca="false">IF('Boletins Nuppa Site'!J1579&lt;&gt;0,'Boletins Nuppa Site'!J1579,"NULL")</f>
        <v> 113.33</v>
      </c>
      <c r="H1579" s="30" t="str">
        <f aca="false">IF('Boletins Nuppa Site'!K1579&lt;&gt;0,'Boletins Nuppa Site'!K1579,"NULL")</f>
        <v> 120.00</v>
      </c>
      <c r="I1579" s="0" t="str">
        <f aca="false">"INSERT INTO COTACAO (cot_id, cot_blt_id, cot_pap_id, cot_prc_comum, cot_prc_min, cot_prc_max, cot_prc_med, cot_prc_mediana) VALUES ("&amp;A1579&amp;", "&amp;B1579&amp;", "&amp;C1579&amp;", "&amp;D1579&amp;", "&amp;E1579&amp;", "&amp;F1579&amp;", "&amp;G1579&amp;", "&amp;H1579&amp;");"</f>
        <v>INSERT INTO COTACAO (cot_id, cot_blt_id, cot_pap_id, cot_prc_comum, cot_prc_min, cot_prc_max, cot_prc_med, cot_prc_mediana) VALUES (1578, 77, 28,  120.00,  100.00,  120.00,  113.33,  120.00);</v>
      </c>
      <c r="J1579" s="0" t="str">
        <f aca="false">"UPDATE COTACAO SET cot_id = "&amp;A1579&amp;", cot_blt_id = "&amp;B1579&amp;", cot_pap_id = "&amp;C1579&amp;", cot_prc_comum = "&amp;D1579&amp;", cot_prc_min = "&amp;E1579&amp;", cot_prc_max = "&amp;F1579&amp;", cot_prc_med = "&amp;G1579&amp;", cot_prc_mediana = "&amp;H1579&amp;" WHERE cot_id = "&amp;A1579&amp;";"</f>
        <v>UPDATE COTACAO SET cot_id = 1578, cot_blt_id = 77, cot_pap_id = 28, cot_prc_comum =  120.00, cot_prc_min =  100.00, cot_prc_max =  120.00, cot_prc_med =  113.33, cot_prc_mediana =  120.00 WHERE cot_id = 1578;</v>
      </c>
    </row>
    <row r="1580" customFormat="false" ht="14.25" hidden="false" customHeight="false" outlineLevel="0" collapsed="false">
      <c r="A1580" s="0" t="n">
        <v>1579</v>
      </c>
      <c r="B1580" s="0" t="n">
        <f aca="false">IF('Boletins Nuppa Site'!A1580&lt;&gt;0,'Boletins Nuppa Site'!A1580,"NULL")</f>
        <v>77</v>
      </c>
      <c r="C1580" s="0" t="n">
        <v>29</v>
      </c>
      <c r="D1580" s="0" t="str">
        <f aca="false">IF('Boletins Nuppa Site'!G1580&lt;&gt;0,'Boletins Nuppa Site'!G1580,"NULL")</f>
        <v> 50.00</v>
      </c>
      <c r="E1580" s="30" t="str">
        <f aca="false">IF('Boletins Nuppa Site'!H1580&lt;&gt;0,'Boletins Nuppa Site'!H1580,"NULL")</f>
        <v> 50.00</v>
      </c>
      <c r="F1580" s="30" t="str">
        <f aca="false">IF('Boletins Nuppa Site'!I1580&lt;&gt;0,'Boletins Nuppa Site'!I1580,"NULL")</f>
        <v> 50.00</v>
      </c>
      <c r="G1580" s="30" t="str">
        <f aca="false">IF('Boletins Nuppa Site'!J1580&lt;&gt;0,'Boletins Nuppa Site'!J1580,"NULL")</f>
        <v> 50.00</v>
      </c>
      <c r="H1580" s="30" t="str">
        <f aca="false">IF('Boletins Nuppa Site'!K1580&lt;&gt;0,'Boletins Nuppa Site'!K1580,"NULL")</f>
        <v> 50.00</v>
      </c>
      <c r="I1580" s="0" t="str">
        <f aca="false">"INSERT INTO COTACAO (cot_id, cot_blt_id, cot_pap_id, cot_prc_comum, cot_prc_min, cot_prc_max, cot_prc_med, cot_prc_mediana) VALUES ("&amp;A1580&amp;", "&amp;B1580&amp;", "&amp;C1580&amp;", "&amp;D1580&amp;", "&amp;E1580&amp;", "&amp;F1580&amp;", "&amp;G1580&amp;", "&amp;H1580&amp;");"</f>
        <v>INSERT INTO COTACAO (cot_id, cot_blt_id, cot_pap_id, cot_prc_comum, cot_prc_min, cot_prc_max, cot_prc_med, cot_prc_mediana) VALUES (1579, 77, 29,  50.00,  50.00,  50.00,  50.00,  50.00);</v>
      </c>
      <c r="J1580" s="0" t="str">
        <f aca="false">"UPDATE COTACAO SET cot_id = "&amp;A1580&amp;", cot_blt_id = "&amp;B1580&amp;", cot_pap_id = "&amp;C1580&amp;", cot_prc_comum = "&amp;D1580&amp;", cot_prc_min = "&amp;E1580&amp;", cot_prc_max = "&amp;F1580&amp;", cot_prc_med = "&amp;G1580&amp;", cot_prc_mediana = "&amp;H1580&amp;" WHERE cot_id = "&amp;A1580&amp;";"</f>
        <v>UPDATE COTACAO SET cot_id = 1579, cot_blt_id = 77, cot_pap_id = 29, cot_prc_comum =  50.00, cot_prc_min =  50.00, cot_prc_max =  50.00, cot_prc_med =  50.00, cot_prc_mediana =  50.00 WHERE cot_id = 1579;</v>
      </c>
    </row>
    <row r="1581" customFormat="false" ht="14.25" hidden="false" customHeight="false" outlineLevel="0" collapsed="false">
      <c r="A1581" s="0" t="n">
        <v>1580</v>
      </c>
      <c r="B1581" s="0" t="n">
        <f aca="false">IF('Boletins Nuppa Site'!A1581&lt;&gt;0,'Boletins Nuppa Site'!A1581,"NULL")</f>
        <v>77</v>
      </c>
      <c r="C1581" s="0" t="n">
        <v>30</v>
      </c>
      <c r="D1581" s="0" t="str">
        <f aca="false">IF('Boletins Nuppa Site'!G1581&lt;&gt;0,'Boletins Nuppa Site'!G1581,"NULL")</f>
        <v> 45.00</v>
      </c>
      <c r="E1581" s="30" t="str">
        <f aca="false">IF('Boletins Nuppa Site'!H1581&lt;&gt;0,'Boletins Nuppa Site'!H1581,"NULL")</f>
        <v> 45.00</v>
      </c>
      <c r="F1581" s="30" t="str">
        <f aca="false">IF('Boletins Nuppa Site'!I1581&lt;&gt;0,'Boletins Nuppa Site'!I1581,"NULL")</f>
        <v> 55.00</v>
      </c>
      <c r="G1581" s="30" t="str">
        <f aca="false">IF('Boletins Nuppa Site'!J1581&lt;&gt;0,'Boletins Nuppa Site'!J1581,"NULL")</f>
        <v> 50.00</v>
      </c>
      <c r="H1581" s="30" t="str">
        <f aca="false">IF('Boletins Nuppa Site'!K1581&lt;&gt;0,'Boletins Nuppa Site'!K1581,"NULL")</f>
        <v> 50.00</v>
      </c>
      <c r="I1581" s="0" t="str">
        <f aca="false">"INSERT INTO COTACAO (cot_id, cot_blt_id, cot_pap_id, cot_prc_comum, cot_prc_min, cot_prc_max, cot_prc_med, cot_prc_mediana) VALUES ("&amp;A1581&amp;", "&amp;B1581&amp;", "&amp;C1581&amp;", "&amp;D1581&amp;", "&amp;E1581&amp;", "&amp;F1581&amp;", "&amp;G1581&amp;", "&amp;H1581&amp;");"</f>
        <v>INSERT INTO COTACAO (cot_id, cot_blt_id, cot_pap_id, cot_prc_comum, cot_prc_min, cot_prc_max, cot_prc_med, cot_prc_mediana) VALUES (1580, 77, 30,  45.00,  45.00,  55.00,  50.00,  50.00);</v>
      </c>
      <c r="J1581" s="0" t="str">
        <f aca="false">"UPDATE COTACAO SET cot_id = "&amp;A1581&amp;", cot_blt_id = "&amp;B1581&amp;", cot_pap_id = "&amp;C1581&amp;", cot_prc_comum = "&amp;D1581&amp;", cot_prc_min = "&amp;E1581&amp;", cot_prc_max = "&amp;F1581&amp;", cot_prc_med = "&amp;G1581&amp;", cot_prc_mediana = "&amp;H1581&amp;" WHERE cot_id = "&amp;A1581&amp;";"</f>
        <v>UPDATE COTACAO SET cot_id = 1580, cot_blt_id = 77, cot_pap_id = 30, cot_prc_comum =  45.00, cot_prc_min =  45.00, cot_prc_max =  55.00, cot_prc_med =  50.00, cot_prc_mediana =  50.00 WHERE cot_id = 1580;</v>
      </c>
    </row>
    <row r="1582" customFormat="false" ht="14.25" hidden="false" customHeight="false" outlineLevel="0" collapsed="false">
      <c r="A1582" s="0" t="n">
        <v>1581</v>
      </c>
      <c r="B1582" s="0" t="n">
        <f aca="false">IF('Boletins Nuppa Site'!A1582&lt;&gt;0,'Boletins Nuppa Site'!A1582,"NULL")</f>
        <v>77</v>
      </c>
      <c r="C1582" s="0" t="n">
        <v>31</v>
      </c>
      <c r="D1582" s="0" t="str">
        <f aca="false">IF('Boletins Nuppa Site'!G1582&lt;&gt;0,'Boletins Nuppa Site'!G1582,"NULL")</f>
        <v> 70.00</v>
      </c>
      <c r="E1582" s="30" t="str">
        <f aca="false">IF('Boletins Nuppa Site'!H1582&lt;&gt;0,'Boletins Nuppa Site'!H1582,"NULL")</f>
        <v> 65.00</v>
      </c>
      <c r="F1582" s="30" t="str">
        <f aca="false">IF('Boletins Nuppa Site'!I1582&lt;&gt;0,'Boletins Nuppa Site'!I1582,"NULL")</f>
        <v> 90.00</v>
      </c>
      <c r="G1582" s="30" t="str">
        <f aca="false">IF('Boletins Nuppa Site'!J1582&lt;&gt;0,'Boletins Nuppa Site'!J1582,"NULL")</f>
        <v> 75.00</v>
      </c>
      <c r="H1582" s="30" t="str">
        <f aca="false">IF('Boletins Nuppa Site'!K1582&lt;&gt;0,'Boletins Nuppa Site'!K1582,"NULL")</f>
        <v> 70.00</v>
      </c>
      <c r="I1582" s="0" t="str">
        <f aca="false">"INSERT INTO COTACAO (cot_id, cot_blt_id, cot_pap_id, cot_prc_comum, cot_prc_min, cot_prc_max, cot_prc_med, cot_prc_mediana) VALUES ("&amp;A1582&amp;", "&amp;B1582&amp;", "&amp;C1582&amp;", "&amp;D1582&amp;", "&amp;E1582&amp;", "&amp;F1582&amp;", "&amp;G1582&amp;", "&amp;H1582&amp;");"</f>
        <v>INSERT INTO COTACAO (cot_id, cot_blt_id, cot_pap_id, cot_prc_comum, cot_prc_min, cot_prc_max, cot_prc_med, cot_prc_mediana) VALUES (1581, 77, 31,  70.00,  65.00,  90.00,  75.00,  70.00);</v>
      </c>
      <c r="J1582" s="0" t="str">
        <f aca="false">"UPDATE COTACAO SET cot_id = "&amp;A1582&amp;", cot_blt_id = "&amp;B1582&amp;", cot_pap_id = "&amp;C1582&amp;", cot_prc_comum = "&amp;D1582&amp;", cot_prc_min = "&amp;E1582&amp;", cot_prc_max = "&amp;F1582&amp;", cot_prc_med = "&amp;G1582&amp;", cot_prc_mediana = "&amp;H1582&amp;" WHERE cot_id = "&amp;A1582&amp;";"</f>
        <v>UPDATE COTACAO SET cot_id = 1581, cot_blt_id = 77, cot_pap_id = 31, cot_prc_comum =  70.00, cot_prc_min =  65.00, cot_prc_max =  90.00, cot_prc_med =  75.00, cot_prc_mediana =  70.00 WHERE cot_id = 1581;</v>
      </c>
    </row>
    <row r="1583" customFormat="false" ht="14.25" hidden="false" customHeight="false" outlineLevel="0" collapsed="false">
      <c r="A1583" s="0" t="n">
        <v>1582</v>
      </c>
      <c r="B1583" s="0" t="n">
        <f aca="false">IF('Boletins Nuppa Site'!A1583&lt;&gt;0,'Boletins Nuppa Site'!A1583,"NULL")</f>
        <v>77</v>
      </c>
      <c r="C1583" s="0" t="n">
        <v>32</v>
      </c>
      <c r="D1583" s="0" t="str">
        <f aca="false">IF('Boletins Nuppa Site'!G1583&lt;&gt;0,'Boletins Nuppa Site'!G1583,"NULL")</f>
        <v> 50.00</v>
      </c>
      <c r="E1583" s="30" t="str">
        <f aca="false">IF('Boletins Nuppa Site'!H1583&lt;&gt;0,'Boletins Nuppa Site'!H1583,"NULL")</f>
        <v> 40.00</v>
      </c>
      <c r="F1583" s="30" t="str">
        <f aca="false">IF('Boletins Nuppa Site'!I1583&lt;&gt;0,'Boletins Nuppa Site'!I1583,"NULL")</f>
        <v> 55.00</v>
      </c>
      <c r="G1583" s="30" t="str">
        <f aca="false">IF('Boletins Nuppa Site'!J1583&lt;&gt;0,'Boletins Nuppa Site'!J1583,"NULL")</f>
        <v> 48.00</v>
      </c>
      <c r="H1583" s="30" t="str">
        <f aca="false">IF('Boletins Nuppa Site'!K1583&lt;&gt;0,'Boletins Nuppa Site'!K1583,"NULL")</f>
        <v> 50.00</v>
      </c>
      <c r="I1583" s="0" t="str">
        <f aca="false">"INSERT INTO COTACAO (cot_id, cot_blt_id, cot_pap_id, cot_prc_comum, cot_prc_min, cot_prc_max, cot_prc_med, cot_prc_mediana) VALUES ("&amp;A1583&amp;", "&amp;B1583&amp;", "&amp;C1583&amp;", "&amp;D1583&amp;", "&amp;E1583&amp;", "&amp;F1583&amp;", "&amp;G1583&amp;", "&amp;H1583&amp;");"</f>
        <v>INSERT INTO COTACAO (cot_id, cot_blt_id, cot_pap_id, cot_prc_comum, cot_prc_min, cot_prc_max, cot_prc_med, cot_prc_mediana) VALUES (1582, 77, 32,  50.00,  40.00,  55.00,  48.00,  50.00);</v>
      </c>
      <c r="J1583" s="0" t="str">
        <f aca="false">"UPDATE COTACAO SET cot_id = "&amp;A1583&amp;", cot_blt_id = "&amp;B1583&amp;", cot_pap_id = "&amp;C1583&amp;", cot_prc_comum = "&amp;D1583&amp;", cot_prc_min = "&amp;E1583&amp;", cot_prc_max = "&amp;F1583&amp;", cot_prc_med = "&amp;G1583&amp;", cot_prc_mediana = "&amp;H1583&amp;" WHERE cot_id = "&amp;A1583&amp;";"</f>
        <v>UPDATE COTACAO SET cot_id = 1582, cot_blt_id = 77, cot_pap_id = 32, cot_prc_comum =  50.00, cot_prc_min =  40.00, cot_prc_max =  55.00, cot_prc_med =  48.00, cot_prc_mediana =  50.00 WHERE cot_id = 1582;</v>
      </c>
    </row>
    <row r="1584" customFormat="false" ht="14.25" hidden="false" customHeight="false" outlineLevel="0" collapsed="false">
      <c r="A1584" s="0" t="n">
        <v>1583</v>
      </c>
      <c r="B1584" s="0" t="n">
        <f aca="false">IF('Boletins Nuppa Site'!A1584&lt;&gt;0,'Boletins Nuppa Site'!A1584,"NULL")</f>
        <v>77</v>
      </c>
      <c r="C1584" s="0" t="n">
        <v>33</v>
      </c>
      <c r="D1584" s="0" t="str">
        <f aca="false">IF('Boletins Nuppa Site'!G1584&lt;&gt;0,'Boletins Nuppa Site'!G1584,"NULL")</f>
        <v> 180.00</v>
      </c>
      <c r="E1584" s="30" t="str">
        <f aca="false">IF('Boletins Nuppa Site'!H1584&lt;&gt;0,'Boletins Nuppa Site'!H1584,"NULL")</f>
        <v> 160.00</v>
      </c>
      <c r="F1584" s="30" t="str">
        <f aca="false">IF('Boletins Nuppa Site'!I1584&lt;&gt;0,'Boletins Nuppa Site'!I1584,"NULL")</f>
        <v> 200.00</v>
      </c>
      <c r="G1584" s="30" t="str">
        <f aca="false">IF('Boletins Nuppa Site'!J1584&lt;&gt;0,'Boletins Nuppa Site'!J1584,"NULL")</f>
        <v> 178.00</v>
      </c>
      <c r="H1584" s="30" t="str">
        <f aca="false">IF('Boletins Nuppa Site'!K1584&lt;&gt;0,'Boletins Nuppa Site'!K1584,"NULL")</f>
        <v> 180.00</v>
      </c>
      <c r="I1584" s="0" t="str">
        <f aca="false">"INSERT INTO COTACAO (cot_id, cot_blt_id, cot_pap_id, cot_prc_comum, cot_prc_min, cot_prc_max, cot_prc_med, cot_prc_mediana) VALUES ("&amp;A1584&amp;", "&amp;B1584&amp;", "&amp;C1584&amp;", "&amp;D1584&amp;", "&amp;E1584&amp;", "&amp;F1584&amp;", "&amp;G1584&amp;", "&amp;H1584&amp;");"</f>
        <v>INSERT INTO COTACAO (cot_id, cot_blt_id, cot_pap_id, cot_prc_comum, cot_prc_min, cot_prc_max, cot_prc_med, cot_prc_mediana) VALUES (1583, 77, 33,  180.00,  160.00,  200.00,  178.00,  180.00);</v>
      </c>
      <c r="J1584" s="0" t="str">
        <f aca="false">"UPDATE COTACAO SET cot_id = "&amp;A1584&amp;", cot_blt_id = "&amp;B1584&amp;", cot_pap_id = "&amp;C1584&amp;", cot_prc_comum = "&amp;D1584&amp;", cot_prc_min = "&amp;E1584&amp;", cot_prc_max = "&amp;F1584&amp;", cot_prc_med = "&amp;G1584&amp;", cot_prc_mediana = "&amp;H1584&amp;" WHERE cot_id = "&amp;A1584&amp;";"</f>
        <v>UPDATE COTACAO SET cot_id = 1583, cot_blt_id = 77, cot_pap_id = 33, cot_prc_comum =  180.00, cot_prc_min =  160.00, cot_prc_max =  200.00, cot_prc_med =  178.00, cot_prc_mediana =  180.00 WHERE cot_id = 1583;</v>
      </c>
    </row>
    <row r="1585" customFormat="false" ht="14.25" hidden="false" customHeight="false" outlineLevel="0" collapsed="false">
      <c r="A1585" s="0" t="n">
        <v>1584</v>
      </c>
      <c r="B1585" s="0" t="n">
        <f aca="false">IF('Boletins Nuppa Site'!A1585&lt;&gt;0,'Boletins Nuppa Site'!A1585,"NULL")</f>
        <v>77</v>
      </c>
      <c r="C1585" s="0" t="n">
        <v>34</v>
      </c>
      <c r="D1585" s="0" t="str">
        <f aca="false">IF('Boletins Nuppa Site'!G1585&lt;&gt;0,'Boletins Nuppa Site'!G1585,"NULL")</f>
        <v> 65.00</v>
      </c>
      <c r="E1585" s="30" t="str">
        <f aca="false">IF('Boletins Nuppa Site'!H1585&lt;&gt;0,'Boletins Nuppa Site'!H1585,"NULL")</f>
        <v> 60.00</v>
      </c>
      <c r="F1585" s="30" t="str">
        <f aca="false">IF('Boletins Nuppa Site'!I1585&lt;&gt;0,'Boletins Nuppa Site'!I1585,"NULL")</f>
        <v> 70.00</v>
      </c>
      <c r="G1585" s="30" t="str">
        <f aca="false">IF('Boletins Nuppa Site'!J1585&lt;&gt;0,'Boletins Nuppa Site'!J1585,"NULL")</f>
        <v> 65.00</v>
      </c>
      <c r="H1585" s="30" t="str">
        <f aca="false">IF('Boletins Nuppa Site'!K1585&lt;&gt;0,'Boletins Nuppa Site'!K1585,"NULL")</f>
        <v> 65.00</v>
      </c>
      <c r="I1585" s="0" t="str">
        <f aca="false">"INSERT INTO COTACAO (cot_id, cot_blt_id, cot_pap_id, cot_prc_comum, cot_prc_min, cot_prc_max, cot_prc_med, cot_prc_mediana) VALUES ("&amp;A1585&amp;", "&amp;B1585&amp;", "&amp;C1585&amp;", "&amp;D1585&amp;", "&amp;E1585&amp;", "&amp;F1585&amp;", "&amp;G1585&amp;", "&amp;H1585&amp;");"</f>
        <v>INSERT INTO COTACAO (cot_id, cot_blt_id, cot_pap_id, cot_prc_comum, cot_prc_min, cot_prc_max, cot_prc_med, cot_prc_mediana) VALUES (1584, 77, 34,  65.00,  60.00,  70.00,  65.00,  65.00);</v>
      </c>
      <c r="J1585" s="0" t="str">
        <f aca="false">"UPDATE COTACAO SET cot_id = "&amp;A1585&amp;", cot_blt_id = "&amp;B1585&amp;", cot_pap_id = "&amp;C1585&amp;", cot_prc_comum = "&amp;D1585&amp;", cot_prc_min = "&amp;E1585&amp;", cot_prc_max = "&amp;F1585&amp;", cot_prc_med = "&amp;G1585&amp;", cot_prc_mediana = "&amp;H1585&amp;" WHERE cot_id = "&amp;A1585&amp;";"</f>
        <v>UPDATE COTACAO SET cot_id = 1584, cot_blt_id = 77, cot_pap_id = 34, cot_prc_comum =  65.00, cot_prc_min =  60.00, cot_prc_max =  70.00, cot_prc_med =  65.00, cot_prc_mediana =  65.00 WHERE cot_id = 1584;</v>
      </c>
    </row>
    <row r="1586" customFormat="false" ht="14.25" hidden="false" customHeight="false" outlineLevel="0" collapsed="false">
      <c r="A1586" s="0" t="n">
        <v>1585</v>
      </c>
      <c r="B1586" s="0" t="n">
        <f aca="false">IF('Boletins Nuppa Site'!A1586&lt;&gt;0,'Boletins Nuppa Site'!A1586,"NULL")</f>
        <v>77</v>
      </c>
      <c r="C1586" s="0" t="n">
        <v>35</v>
      </c>
      <c r="D1586" s="0" t="str">
        <f aca="false">IF('Boletins Nuppa Site'!G1586&lt;&gt;0,'Boletins Nuppa Site'!G1586,"NULL")</f>
        <v> 100.00</v>
      </c>
      <c r="E1586" s="30" t="str">
        <f aca="false">IF('Boletins Nuppa Site'!H1586&lt;&gt;0,'Boletins Nuppa Site'!H1586,"NULL")</f>
        <v> 50.00</v>
      </c>
      <c r="F1586" s="30" t="str">
        <f aca="false">IF('Boletins Nuppa Site'!I1586&lt;&gt;0,'Boletins Nuppa Site'!I1586,"NULL")</f>
        <v> 100.00</v>
      </c>
      <c r="G1586" s="30" t="str">
        <f aca="false">IF('Boletins Nuppa Site'!J1586&lt;&gt;0,'Boletins Nuppa Site'!J1586,"NULL")</f>
        <v> 83.33</v>
      </c>
      <c r="H1586" s="30" t="str">
        <f aca="false">IF('Boletins Nuppa Site'!K1586&lt;&gt;0,'Boletins Nuppa Site'!K1586,"NULL")</f>
        <v> 100.00</v>
      </c>
      <c r="I1586" s="0" t="str">
        <f aca="false">"INSERT INTO COTACAO (cot_id, cot_blt_id, cot_pap_id, cot_prc_comum, cot_prc_min, cot_prc_max, cot_prc_med, cot_prc_mediana) VALUES ("&amp;A1586&amp;", "&amp;B1586&amp;", "&amp;C1586&amp;", "&amp;D1586&amp;", "&amp;E1586&amp;", "&amp;F1586&amp;", "&amp;G1586&amp;", "&amp;H1586&amp;");"</f>
        <v>INSERT INTO COTACAO (cot_id, cot_blt_id, cot_pap_id, cot_prc_comum, cot_prc_min, cot_prc_max, cot_prc_med, cot_prc_mediana) VALUES (1585, 77, 35,  100.00,  50.00,  100.00,  83.33,  100.00);</v>
      </c>
      <c r="J1586" s="0" t="str">
        <f aca="false">"UPDATE COTACAO SET cot_id = "&amp;A1586&amp;", cot_blt_id = "&amp;B1586&amp;", cot_pap_id = "&amp;C1586&amp;", cot_prc_comum = "&amp;D1586&amp;", cot_prc_min = "&amp;E1586&amp;", cot_prc_max = "&amp;F1586&amp;", cot_prc_med = "&amp;G1586&amp;", cot_prc_mediana = "&amp;H1586&amp;" WHERE cot_id = "&amp;A1586&amp;";"</f>
        <v>UPDATE COTACAO SET cot_id = 1585, cot_blt_id = 77, cot_pap_id = 35, cot_prc_comum =  100.00, cot_prc_min =  50.00, cot_prc_max =  100.00, cot_prc_med =  83.33, cot_prc_mediana =  100.00 WHERE cot_id = 1585;</v>
      </c>
    </row>
    <row r="1587" customFormat="false" ht="14.25" hidden="false" customHeight="false" outlineLevel="0" collapsed="false">
      <c r="A1587" s="0" t="n">
        <v>1586</v>
      </c>
      <c r="B1587" s="0" t="n">
        <f aca="false">IF('Boletins Nuppa Site'!A1587&lt;&gt;0,'Boletins Nuppa Site'!A1587,"NULL")</f>
        <v>77</v>
      </c>
      <c r="C1587" s="0" t="n">
        <v>36</v>
      </c>
      <c r="D1587" s="0" t="str">
        <f aca="false">IF('Boletins Nuppa Site'!G1587&lt;&gt;0,'Boletins Nuppa Site'!G1587,"NULL")</f>
        <v>NULL</v>
      </c>
      <c r="E1587" s="30" t="str">
        <f aca="false">IF('Boletins Nuppa Site'!H1587&lt;&gt;0,'Boletins Nuppa Site'!H1587,"NULL")</f>
        <v>NULL</v>
      </c>
      <c r="F1587" s="30" t="str">
        <f aca="false">IF('Boletins Nuppa Site'!I1587&lt;&gt;0,'Boletins Nuppa Site'!I1587,"NULL")</f>
        <v>NULL</v>
      </c>
      <c r="G1587" s="30" t="str">
        <f aca="false">IF('Boletins Nuppa Site'!J1587&lt;&gt;0,'Boletins Nuppa Site'!J1587,"NULL")</f>
        <v>NULL</v>
      </c>
      <c r="H1587" s="30" t="str">
        <f aca="false">IF('Boletins Nuppa Site'!K1587&lt;&gt;0,'Boletins Nuppa Site'!K1587,"NULL")</f>
        <v>NULL</v>
      </c>
      <c r="I1587" s="0" t="str">
        <f aca="false">"INSERT INTO COTACAO (cot_id, cot_blt_id, cot_pap_id, cot_prc_comum, cot_prc_min, cot_prc_max, cot_prc_med, cot_prc_mediana) VALUES ("&amp;A1587&amp;", "&amp;B1587&amp;", "&amp;C1587&amp;", "&amp;D1587&amp;", "&amp;E1587&amp;", "&amp;F1587&amp;", "&amp;G1587&amp;", "&amp;H1587&amp;");"</f>
        <v>INSERT INTO COTACAO (cot_id, cot_blt_id, cot_pap_id, cot_prc_comum, cot_prc_min, cot_prc_max, cot_prc_med, cot_prc_mediana) VALUES (1586, 77, 36, NULL, NULL, NULL, NULL, NULL);</v>
      </c>
      <c r="J1587" s="0" t="str">
        <f aca="false">"UPDATE COTACAO SET cot_id = "&amp;A1587&amp;", cot_blt_id = "&amp;B1587&amp;", cot_pap_id = "&amp;C1587&amp;", cot_prc_comum = "&amp;D1587&amp;", cot_prc_min = "&amp;E1587&amp;", cot_prc_max = "&amp;F1587&amp;", cot_prc_med = "&amp;G1587&amp;", cot_prc_mediana = "&amp;H1587&amp;" WHERE cot_id = "&amp;A1587&amp;";"</f>
        <v>UPDATE COTACAO SET cot_id = 1586, cot_blt_id = 77, cot_pap_id = 36, cot_prc_comum = NULL, cot_prc_min = NULL, cot_prc_max = NULL, cot_prc_med = NULL, cot_prc_mediana = NULL WHERE cot_id = 1586;</v>
      </c>
    </row>
    <row r="1588" customFormat="false" ht="14.25" hidden="false" customHeight="false" outlineLevel="0" collapsed="false">
      <c r="A1588" s="0" t="n">
        <v>1587</v>
      </c>
      <c r="B1588" s="0" t="n">
        <f aca="false">IF('Boletins Nuppa Site'!A1588&lt;&gt;0,'Boletins Nuppa Site'!A1588,"NULL")</f>
        <v>77</v>
      </c>
      <c r="C1588" s="0" t="n">
        <v>37</v>
      </c>
      <c r="D1588" s="0" t="str">
        <f aca="false">IF('Boletins Nuppa Site'!G1588&lt;&gt;0,'Boletins Nuppa Site'!G1588,"NULL")</f>
        <v>NULL</v>
      </c>
      <c r="E1588" s="30" t="str">
        <f aca="false">IF('Boletins Nuppa Site'!H1588&lt;&gt;0,'Boletins Nuppa Site'!H1588,"NULL")</f>
        <v>NULL</v>
      </c>
      <c r="F1588" s="30" t="str">
        <f aca="false">IF('Boletins Nuppa Site'!I1588&lt;&gt;0,'Boletins Nuppa Site'!I1588,"NULL")</f>
        <v>NULL</v>
      </c>
      <c r="G1588" s="30" t="str">
        <f aca="false">IF('Boletins Nuppa Site'!J1588&lt;&gt;0,'Boletins Nuppa Site'!J1588,"NULL")</f>
        <v>NULL</v>
      </c>
      <c r="H1588" s="30" t="str">
        <f aca="false">IF('Boletins Nuppa Site'!K1588&lt;&gt;0,'Boletins Nuppa Site'!K1588,"NULL")</f>
        <v>NULL</v>
      </c>
      <c r="I1588" s="0" t="str">
        <f aca="false">"INSERT INTO COTACAO (cot_id, cot_blt_id, cot_pap_id, cot_prc_comum, cot_prc_min, cot_prc_max, cot_prc_med, cot_prc_mediana) VALUES ("&amp;A1588&amp;", "&amp;B1588&amp;", "&amp;C1588&amp;", "&amp;D1588&amp;", "&amp;E1588&amp;", "&amp;F1588&amp;", "&amp;G1588&amp;", "&amp;H1588&amp;");"</f>
        <v>INSERT INTO COTACAO (cot_id, cot_blt_id, cot_pap_id, cot_prc_comum, cot_prc_min, cot_prc_max, cot_prc_med, cot_prc_mediana) VALUES (1587, 77, 37, NULL, NULL, NULL, NULL, NULL);</v>
      </c>
      <c r="J1588" s="0" t="str">
        <f aca="false">"UPDATE COTACAO SET cot_id = "&amp;A1588&amp;", cot_blt_id = "&amp;B1588&amp;", cot_pap_id = "&amp;C1588&amp;", cot_prc_comum = "&amp;D1588&amp;", cot_prc_min = "&amp;E1588&amp;", cot_prc_max = "&amp;F1588&amp;", cot_prc_med = "&amp;G1588&amp;", cot_prc_mediana = "&amp;H1588&amp;" WHERE cot_id = "&amp;A1588&amp;";"</f>
        <v>UPDATE COTACAO SET cot_id = 1587, cot_blt_id = 77, cot_pap_id = 37, cot_prc_comum = NULL, cot_prc_min = NULL, cot_prc_max = NULL, cot_prc_med = NULL, cot_prc_mediana = NULL WHERE cot_id = 1587;</v>
      </c>
    </row>
    <row r="1589" customFormat="false" ht="14.25" hidden="false" customHeight="false" outlineLevel="0" collapsed="false">
      <c r="A1589" s="0" t="n">
        <v>1588</v>
      </c>
      <c r="B1589" s="0" t="n">
        <f aca="false">IF('Boletins Nuppa Site'!A1589&lt;&gt;0,'Boletins Nuppa Site'!A1589,"NULL")</f>
        <v>77</v>
      </c>
      <c r="C1589" s="0" t="n">
        <v>38</v>
      </c>
      <c r="D1589" s="0" t="str">
        <f aca="false">IF('Boletins Nuppa Site'!G1589&lt;&gt;0,'Boletins Nuppa Site'!G1589,"NULL")</f>
        <v>NULL</v>
      </c>
      <c r="E1589" s="30" t="str">
        <f aca="false">IF('Boletins Nuppa Site'!H1589&lt;&gt;0,'Boletins Nuppa Site'!H1589,"NULL")</f>
        <v>NULL</v>
      </c>
      <c r="F1589" s="30" t="str">
        <f aca="false">IF('Boletins Nuppa Site'!I1589&lt;&gt;0,'Boletins Nuppa Site'!I1589,"NULL")</f>
        <v>NULL</v>
      </c>
      <c r="G1589" s="30" t="str">
        <f aca="false">IF('Boletins Nuppa Site'!J1589&lt;&gt;0,'Boletins Nuppa Site'!J1589,"NULL")</f>
        <v>NULL</v>
      </c>
      <c r="H1589" s="30" t="str">
        <f aca="false">IF('Boletins Nuppa Site'!K1589&lt;&gt;0,'Boletins Nuppa Site'!K1589,"NULL")</f>
        <v>NULL</v>
      </c>
      <c r="I1589" s="0" t="str">
        <f aca="false">"INSERT INTO COTACAO (cot_id, cot_blt_id, cot_pap_id, cot_prc_comum, cot_prc_min, cot_prc_max, cot_prc_med, cot_prc_mediana) VALUES ("&amp;A1589&amp;", "&amp;B1589&amp;", "&amp;C1589&amp;", "&amp;D1589&amp;", "&amp;E1589&amp;", "&amp;F1589&amp;", "&amp;G1589&amp;", "&amp;H1589&amp;");"</f>
        <v>INSERT INTO COTACAO (cot_id, cot_blt_id, cot_pap_id, cot_prc_comum, cot_prc_min, cot_prc_max, cot_prc_med, cot_prc_mediana) VALUES (1588, 77, 38, NULL, NULL, NULL, NULL, NULL);</v>
      </c>
      <c r="J1589" s="0" t="str">
        <f aca="false">"UPDATE COTACAO SET cot_id = "&amp;A1589&amp;", cot_blt_id = "&amp;B1589&amp;", cot_pap_id = "&amp;C1589&amp;", cot_prc_comum = "&amp;D1589&amp;", cot_prc_min = "&amp;E1589&amp;", cot_prc_max = "&amp;F1589&amp;", cot_prc_med = "&amp;G1589&amp;", cot_prc_mediana = "&amp;H1589&amp;" WHERE cot_id = "&amp;A1589&amp;";"</f>
        <v>UPDATE COTACAO SET cot_id = 1588, cot_blt_id = 77, cot_pap_id = 38, cot_prc_comum = NULL, cot_prc_min = NULL, cot_prc_max = NULL, cot_prc_med = NULL, cot_prc_mediana = NULL WHERE cot_id = 1588;</v>
      </c>
    </row>
    <row r="1590" customFormat="false" ht="14.25" hidden="false" customHeight="false" outlineLevel="0" collapsed="false">
      <c r="A1590" s="0" t="n">
        <v>1589</v>
      </c>
      <c r="B1590" s="0" t="n">
        <f aca="false">IF('Boletins Nuppa Site'!A1590&lt;&gt;0,'Boletins Nuppa Site'!A1590,"NULL")</f>
        <v>77</v>
      </c>
      <c r="C1590" s="0" t="n">
        <v>39</v>
      </c>
      <c r="D1590" s="0" t="str">
        <f aca="false">IF('Boletins Nuppa Site'!G1590&lt;&gt;0,'Boletins Nuppa Site'!G1590,"NULL")</f>
        <v> 70.00</v>
      </c>
      <c r="E1590" s="30" t="str">
        <f aca="false">IF('Boletins Nuppa Site'!H1590&lt;&gt;0,'Boletins Nuppa Site'!H1590,"NULL")</f>
        <v> 70.00</v>
      </c>
      <c r="F1590" s="30" t="str">
        <f aca="false">IF('Boletins Nuppa Site'!I1590&lt;&gt;0,'Boletins Nuppa Site'!I1590,"NULL")</f>
        <v> 70.00</v>
      </c>
      <c r="G1590" s="30" t="str">
        <f aca="false">IF('Boletins Nuppa Site'!J1590&lt;&gt;0,'Boletins Nuppa Site'!J1590,"NULL")</f>
        <v> 70.00</v>
      </c>
      <c r="H1590" s="30" t="str">
        <f aca="false">IF('Boletins Nuppa Site'!K1590&lt;&gt;0,'Boletins Nuppa Site'!K1590,"NULL")</f>
        <v> 70.00</v>
      </c>
      <c r="I1590" s="0" t="str">
        <f aca="false">"INSERT INTO COTACAO (cot_id, cot_blt_id, cot_pap_id, cot_prc_comum, cot_prc_min, cot_prc_max, cot_prc_med, cot_prc_mediana) VALUES ("&amp;A1590&amp;", "&amp;B1590&amp;", "&amp;C1590&amp;", "&amp;D1590&amp;", "&amp;E1590&amp;", "&amp;F1590&amp;", "&amp;G1590&amp;", "&amp;H1590&amp;");"</f>
        <v>INSERT INTO COTACAO (cot_id, cot_blt_id, cot_pap_id, cot_prc_comum, cot_prc_min, cot_prc_max, cot_prc_med, cot_prc_mediana) VALUES (1589, 77, 39,  70.00,  70.00,  70.00,  70.00,  70.00);</v>
      </c>
      <c r="J1590" s="0" t="str">
        <f aca="false">"UPDATE COTACAO SET cot_id = "&amp;A1590&amp;", cot_blt_id = "&amp;B1590&amp;", cot_pap_id = "&amp;C1590&amp;", cot_prc_comum = "&amp;D1590&amp;", cot_prc_min = "&amp;E1590&amp;", cot_prc_max = "&amp;F1590&amp;", cot_prc_med = "&amp;G1590&amp;", cot_prc_mediana = "&amp;H1590&amp;" WHERE cot_id = "&amp;A1590&amp;";"</f>
        <v>UPDATE COTACAO SET cot_id = 1589, cot_blt_id = 77, cot_pap_id = 39, cot_prc_comum =  70.00, cot_prc_min =  70.00, cot_prc_max =  70.00, cot_prc_med =  70.00, cot_prc_mediana =  70.00 WHERE cot_id = 1589;</v>
      </c>
    </row>
    <row r="1591" customFormat="false" ht="14.25" hidden="false" customHeight="false" outlineLevel="0" collapsed="false">
      <c r="A1591" s="0" t="n">
        <v>1590</v>
      </c>
      <c r="B1591" s="0" t="n">
        <f aca="false">IF('Boletins Nuppa Site'!A1591&lt;&gt;0,'Boletins Nuppa Site'!A1591,"NULL")</f>
        <v>77</v>
      </c>
      <c r="C1591" s="0" t="n">
        <v>40</v>
      </c>
      <c r="D1591" s="0" t="str">
        <f aca="false">IF('Boletins Nuppa Site'!G1591&lt;&gt;0,'Boletins Nuppa Site'!G1591,"NULL")</f>
        <v>NULL</v>
      </c>
      <c r="E1591" s="30" t="str">
        <f aca="false">IF('Boletins Nuppa Site'!H1591&lt;&gt;0,'Boletins Nuppa Site'!H1591,"NULL")</f>
        <v>NULL</v>
      </c>
      <c r="F1591" s="30" t="str">
        <f aca="false">IF('Boletins Nuppa Site'!I1591&lt;&gt;0,'Boletins Nuppa Site'!I1591,"NULL")</f>
        <v>NULL</v>
      </c>
      <c r="G1591" s="30" t="str">
        <f aca="false">IF('Boletins Nuppa Site'!J1591&lt;&gt;0,'Boletins Nuppa Site'!J1591,"NULL")</f>
        <v>NULL</v>
      </c>
      <c r="H1591" s="30" t="str">
        <f aca="false">IF('Boletins Nuppa Site'!K1591&lt;&gt;0,'Boletins Nuppa Site'!K1591,"NULL")</f>
        <v>NULL</v>
      </c>
      <c r="I1591" s="0" t="str">
        <f aca="false">"INSERT INTO COTACAO (cot_id, cot_blt_id, cot_pap_id, cot_prc_comum, cot_prc_min, cot_prc_max, cot_prc_med, cot_prc_mediana) VALUES ("&amp;A1591&amp;", "&amp;B1591&amp;", "&amp;C1591&amp;", "&amp;D1591&amp;", "&amp;E1591&amp;", "&amp;F1591&amp;", "&amp;G1591&amp;", "&amp;H1591&amp;");"</f>
        <v>INSERT INTO COTACAO (cot_id, cot_blt_id, cot_pap_id, cot_prc_comum, cot_prc_min, cot_prc_max, cot_prc_med, cot_prc_mediana) VALUES (1590, 77, 40, NULL, NULL, NULL, NULL, NULL);</v>
      </c>
      <c r="J1591" s="0" t="str">
        <f aca="false">"UPDATE COTACAO SET cot_id = "&amp;A1591&amp;", cot_blt_id = "&amp;B1591&amp;", cot_pap_id = "&amp;C1591&amp;", cot_prc_comum = "&amp;D1591&amp;", cot_prc_min = "&amp;E1591&amp;", cot_prc_max = "&amp;F1591&amp;", cot_prc_med = "&amp;G1591&amp;", cot_prc_mediana = "&amp;H1591&amp;" WHERE cot_id = "&amp;A1591&amp;";"</f>
        <v>UPDATE COTACAO SET cot_id = 1590, cot_blt_id = 77, cot_pap_id = 40, cot_prc_comum = NULL, cot_prc_min = NULL, cot_prc_max = NULL, cot_prc_med = NULL, cot_prc_mediana = NULL WHERE cot_id = 1590;</v>
      </c>
    </row>
    <row r="1592" customFormat="false" ht="14.25" hidden="false" customHeight="false" outlineLevel="0" collapsed="false">
      <c r="A1592" s="0" t="n">
        <v>1591</v>
      </c>
      <c r="B1592" s="0" t="n">
        <f aca="false">IF('Boletins Nuppa Site'!A1592&lt;&gt;0,'Boletins Nuppa Site'!A1592,"NULL")</f>
        <v>78</v>
      </c>
      <c r="C1592" s="0" t="n">
        <v>1</v>
      </c>
      <c r="D1592" s="0" t="str">
        <f aca="false">IF('Boletins Nuppa Site'!G1592&lt;&gt;0,'Boletins Nuppa Site'!G1592,"NULL")</f>
        <v> 48.00</v>
      </c>
      <c r="E1592" s="30" t="str">
        <f aca="false">IF('Boletins Nuppa Site'!H1592&lt;&gt;0,'Boletins Nuppa Site'!H1592,"NULL")</f>
        <v> 48.00</v>
      </c>
      <c r="F1592" s="30" t="str">
        <f aca="false">IF('Boletins Nuppa Site'!I1592&lt;&gt;0,'Boletins Nuppa Site'!I1592,"NULL")</f>
        <v> 60.00</v>
      </c>
      <c r="G1592" s="30" t="str">
        <f aca="false">IF('Boletins Nuppa Site'!J1592&lt;&gt;0,'Boletins Nuppa Site'!J1592,"NULL")</f>
        <v> 52.00</v>
      </c>
      <c r="H1592" s="30" t="str">
        <f aca="false">IF('Boletins Nuppa Site'!K1592&lt;&gt;0,'Boletins Nuppa Site'!K1592,"NULL")</f>
        <v> 48.00</v>
      </c>
      <c r="I1592" s="0" t="str">
        <f aca="false">"INSERT INTO COTACAO (cot_id, cot_blt_id, cot_pap_id, cot_prc_comum, cot_prc_min, cot_prc_max, cot_prc_med, cot_prc_mediana) VALUES ("&amp;A1592&amp;", "&amp;B1592&amp;", "&amp;C1592&amp;", "&amp;D1592&amp;", "&amp;E1592&amp;", "&amp;F1592&amp;", "&amp;G1592&amp;", "&amp;H1592&amp;");"</f>
        <v>INSERT INTO COTACAO (cot_id, cot_blt_id, cot_pap_id, cot_prc_comum, cot_prc_min, cot_prc_max, cot_prc_med, cot_prc_mediana) VALUES (1591, 78, 1,  48.00,  48.00,  60.00,  52.00,  48.00);</v>
      </c>
      <c r="J1592" s="0" t="str">
        <f aca="false">"UPDATE COTACAO SET cot_id = "&amp;A1592&amp;", cot_blt_id = "&amp;B1592&amp;", cot_pap_id = "&amp;C1592&amp;", cot_prc_comum = "&amp;D1592&amp;", cot_prc_min = "&amp;E1592&amp;", cot_prc_max = "&amp;F1592&amp;", cot_prc_med = "&amp;G1592&amp;", cot_prc_mediana = "&amp;H1592&amp;" WHERE cot_id = "&amp;A1592&amp;";"</f>
        <v>UPDATE COTACAO SET cot_id = 1591, cot_blt_id = 78, cot_pap_id = 1, cot_prc_comum =  48.00, cot_prc_min =  48.00, cot_prc_max =  60.00, cot_prc_med =  52.00, cot_prc_mediana =  48.00 WHERE cot_id = 1591;</v>
      </c>
    </row>
    <row r="1593" customFormat="false" ht="14.25" hidden="false" customHeight="false" outlineLevel="0" collapsed="false">
      <c r="A1593" s="0" t="n">
        <v>1592</v>
      </c>
      <c r="B1593" s="0" t="n">
        <f aca="false">IF('Boletins Nuppa Site'!A1593&lt;&gt;0,'Boletins Nuppa Site'!A1593,"NULL")</f>
        <v>78</v>
      </c>
      <c r="C1593" s="0" t="n">
        <v>2</v>
      </c>
      <c r="D1593" s="0" t="str">
        <f aca="false">IF('Boletins Nuppa Site'!G1593&lt;&gt;0,'Boletins Nuppa Site'!G1593,"NULL")</f>
        <v> 60.00</v>
      </c>
      <c r="E1593" s="30" t="str">
        <f aca="false">IF('Boletins Nuppa Site'!H1593&lt;&gt;0,'Boletins Nuppa Site'!H1593,"NULL")</f>
        <v> 60.00</v>
      </c>
      <c r="F1593" s="30" t="str">
        <f aca="false">IF('Boletins Nuppa Site'!I1593&lt;&gt;0,'Boletins Nuppa Site'!I1593,"NULL")</f>
        <v> 84.00</v>
      </c>
      <c r="G1593" s="30" t="str">
        <f aca="false">IF('Boletins Nuppa Site'!J1593&lt;&gt;0,'Boletins Nuppa Site'!J1593,"NULL")</f>
        <v> 68.00</v>
      </c>
      <c r="H1593" s="30" t="str">
        <f aca="false">IF('Boletins Nuppa Site'!K1593&lt;&gt;0,'Boletins Nuppa Site'!K1593,"NULL")</f>
        <v> 60.00</v>
      </c>
      <c r="I1593" s="0" t="str">
        <f aca="false">"INSERT INTO COTACAO (cot_id, cot_blt_id, cot_pap_id, cot_prc_comum, cot_prc_min, cot_prc_max, cot_prc_med, cot_prc_mediana) VALUES ("&amp;A1593&amp;", "&amp;B1593&amp;", "&amp;C1593&amp;", "&amp;D1593&amp;", "&amp;E1593&amp;", "&amp;F1593&amp;", "&amp;G1593&amp;", "&amp;H1593&amp;");"</f>
        <v>INSERT INTO COTACAO (cot_id, cot_blt_id, cot_pap_id, cot_prc_comum, cot_prc_min, cot_prc_max, cot_prc_med, cot_prc_mediana) VALUES (1592, 78, 2,  60.00,  60.00,  84.00,  68.00,  60.00);</v>
      </c>
      <c r="J1593" s="0" t="str">
        <f aca="false">"UPDATE COTACAO SET cot_id = "&amp;A1593&amp;", cot_blt_id = "&amp;B1593&amp;", cot_pap_id = "&amp;C1593&amp;", cot_prc_comum = "&amp;D1593&amp;", cot_prc_min = "&amp;E1593&amp;", cot_prc_max = "&amp;F1593&amp;", cot_prc_med = "&amp;G1593&amp;", cot_prc_mediana = "&amp;H1593&amp;" WHERE cot_id = "&amp;A1593&amp;";"</f>
        <v>UPDATE COTACAO SET cot_id = 1592, cot_blt_id = 78, cot_pap_id = 2, cot_prc_comum =  60.00, cot_prc_min =  60.00, cot_prc_max =  84.00, cot_prc_med =  68.00, cot_prc_mediana =  60.00 WHERE cot_id = 1592;</v>
      </c>
    </row>
    <row r="1594" customFormat="false" ht="14.25" hidden="false" customHeight="false" outlineLevel="0" collapsed="false">
      <c r="A1594" s="0" t="n">
        <v>1593</v>
      </c>
      <c r="B1594" s="0" t="n">
        <f aca="false">IF('Boletins Nuppa Site'!A1594&lt;&gt;0,'Boletins Nuppa Site'!A1594,"NULL")</f>
        <v>78</v>
      </c>
      <c r="C1594" s="0" t="n">
        <v>3</v>
      </c>
      <c r="D1594" s="0" t="str">
        <f aca="false">IF('Boletins Nuppa Site'!G1594&lt;&gt;0,'Boletins Nuppa Site'!G1594,"NULL")</f>
        <v> 36.00</v>
      </c>
      <c r="E1594" s="30" t="str">
        <f aca="false">IF('Boletins Nuppa Site'!H1594&lt;&gt;0,'Boletins Nuppa Site'!H1594,"NULL")</f>
        <v> 30.00</v>
      </c>
      <c r="F1594" s="30" t="str">
        <f aca="false">IF('Boletins Nuppa Site'!I1594&lt;&gt;0,'Boletins Nuppa Site'!I1594,"NULL")</f>
        <v> 36.00</v>
      </c>
      <c r="G1594" s="30" t="str">
        <f aca="false">IF('Boletins Nuppa Site'!J1594&lt;&gt;0,'Boletins Nuppa Site'!J1594,"NULL")</f>
        <v> 34.50</v>
      </c>
      <c r="H1594" s="30" t="str">
        <f aca="false">IF('Boletins Nuppa Site'!K1594&lt;&gt;0,'Boletins Nuppa Site'!K1594,"NULL")</f>
        <v> 36.00</v>
      </c>
      <c r="I1594" s="0" t="str">
        <f aca="false">"INSERT INTO COTACAO (cot_id, cot_blt_id, cot_pap_id, cot_prc_comum, cot_prc_min, cot_prc_max, cot_prc_med, cot_prc_mediana) VALUES ("&amp;A1594&amp;", "&amp;B1594&amp;", "&amp;C1594&amp;", "&amp;D1594&amp;", "&amp;E1594&amp;", "&amp;F1594&amp;", "&amp;G1594&amp;", "&amp;H1594&amp;");"</f>
        <v>INSERT INTO COTACAO (cot_id, cot_blt_id, cot_pap_id, cot_prc_comum, cot_prc_min, cot_prc_max, cot_prc_med, cot_prc_mediana) VALUES (1593, 78, 3,  36.00,  30.00,  36.00,  34.50,  36.00);</v>
      </c>
      <c r="J1594" s="0" t="str">
        <f aca="false">"UPDATE COTACAO SET cot_id = "&amp;A1594&amp;", cot_blt_id = "&amp;B1594&amp;", cot_pap_id = "&amp;C1594&amp;", cot_prc_comum = "&amp;D1594&amp;", cot_prc_min = "&amp;E1594&amp;", cot_prc_max = "&amp;F1594&amp;", cot_prc_med = "&amp;G1594&amp;", cot_prc_mediana = "&amp;H1594&amp;" WHERE cot_id = "&amp;A1594&amp;";"</f>
        <v>UPDATE COTACAO SET cot_id = 1593, cot_blt_id = 78, cot_pap_id = 3, cot_prc_comum =  36.00, cot_prc_min =  30.00, cot_prc_max =  36.00, cot_prc_med =  34.50, cot_prc_mediana =  36.00 WHERE cot_id = 1593;</v>
      </c>
    </row>
    <row r="1595" customFormat="false" ht="14.25" hidden="false" customHeight="false" outlineLevel="0" collapsed="false">
      <c r="A1595" s="0" t="n">
        <v>1594</v>
      </c>
      <c r="B1595" s="0" t="n">
        <f aca="false">IF('Boletins Nuppa Site'!A1595&lt;&gt;0,'Boletins Nuppa Site'!A1595,"NULL")</f>
        <v>78</v>
      </c>
      <c r="C1595" s="0" t="n">
        <v>4</v>
      </c>
      <c r="D1595" s="0" t="str">
        <f aca="false">IF('Boletins Nuppa Site'!G1595&lt;&gt;0,'Boletins Nuppa Site'!G1595,"NULL")</f>
        <v> 30.00</v>
      </c>
      <c r="E1595" s="30" t="str">
        <f aca="false">IF('Boletins Nuppa Site'!H1595&lt;&gt;0,'Boletins Nuppa Site'!H1595,"NULL")</f>
        <v> 24.00</v>
      </c>
      <c r="F1595" s="30" t="str">
        <f aca="false">IF('Boletins Nuppa Site'!I1595&lt;&gt;0,'Boletins Nuppa Site'!I1595,"NULL")</f>
        <v> 30.00</v>
      </c>
      <c r="G1595" s="30" t="str">
        <f aca="false">IF('Boletins Nuppa Site'!J1595&lt;&gt;0,'Boletins Nuppa Site'!J1595,"NULL")</f>
        <v> 27.25</v>
      </c>
      <c r="H1595" s="30" t="str">
        <f aca="false">IF('Boletins Nuppa Site'!K1595&lt;&gt;0,'Boletins Nuppa Site'!K1595,"NULL")</f>
        <v> 27.50</v>
      </c>
      <c r="I1595" s="0" t="str">
        <f aca="false">"INSERT INTO COTACAO (cot_id, cot_blt_id, cot_pap_id, cot_prc_comum, cot_prc_min, cot_prc_max, cot_prc_med, cot_prc_mediana) VALUES ("&amp;A1595&amp;", "&amp;B1595&amp;", "&amp;C1595&amp;", "&amp;D1595&amp;", "&amp;E1595&amp;", "&amp;F1595&amp;", "&amp;G1595&amp;", "&amp;H1595&amp;");"</f>
        <v>INSERT INTO COTACAO (cot_id, cot_blt_id, cot_pap_id, cot_prc_comum, cot_prc_min, cot_prc_max, cot_prc_med, cot_prc_mediana) VALUES (1594, 78, 4,  30.00,  24.00,  30.00,  27.25,  27.50);</v>
      </c>
      <c r="J1595" s="0" t="str">
        <f aca="false">"UPDATE COTACAO SET cot_id = "&amp;A1595&amp;", cot_blt_id = "&amp;B1595&amp;", cot_pap_id = "&amp;C1595&amp;", cot_prc_comum = "&amp;D1595&amp;", cot_prc_min = "&amp;E1595&amp;", cot_prc_max = "&amp;F1595&amp;", cot_prc_med = "&amp;G1595&amp;", cot_prc_mediana = "&amp;H1595&amp;" WHERE cot_id = "&amp;A1595&amp;";"</f>
        <v>UPDATE COTACAO SET cot_id = 1594, cot_blt_id = 78, cot_pap_id = 4, cot_prc_comum =  30.00, cot_prc_min =  24.00, cot_prc_max =  30.00, cot_prc_med =  27.25, cot_prc_mediana =  27.50 WHERE cot_id = 1594;</v>
      </c>
    </row>
    <row r="1596" customFormat="false" ht="14.25" hidden="false" customHeight="false" outlineLevel="0" collapsed="false">
      <c r="A1596" s="0" t="n">
        <v>1595</v>
      </c>
      <c r="B1596" s="0" t="n">
        <f aca="false">IF('Boletins Nuppa Site'!A1596&lt;&gt;0,'Boletins Nuppa Site'!A1596,"NULL")</f>
        <v>78</v>
      </c>
      <c r="C1596" s="0" t="n">
        <v>5</v>
      </c>
      <c r="D1596" s="0" t="str">
        <f aca="false">IF('Boletins Nuppa Site'!G1596&lt;&gt;0,'Boletins Nuppa Site'!G1596,"NULL")</f>
        <v> 30.00</v>
      </c>
      <c r="E1596" s="30" t="str">
        <f aca="false">IF('Boletins Nuppa Site'!H1596&lt;&gt;0,'Boletins Nuppa Site'!H1596,"NULL")</f>
        <v> 24.00</v>
      </c>
      <c r="F1596" s="30" t="str">
        <f aca="false">IF('Boletins Nuppa Site'!I1596&lt;&gt;0,'Boletins Nuppa Site'!I1596,"NULL")</f>
        <v> 30.00</v>
      </c>
      <c r="G1596" s="30" t="str">
        <f aca="false">IF('Boletins Nuppa Site'!J1596&lt;&gt;0,'Boletins Nuppa Site'!J1596,"NULL")</f>
        <v> 26.33</v>
      </c>
      <c r="H1596" s="30" t="str">
        <f aca="false">IF('Boletins Nuppa Site'!K1596&lt;&gt;0,'Boletins Nuppa Site'!K1596,"NULL")</f>
        <v> 25.00</v>
      </c>
      <c r="I1596" s="0" t="str">
        <f aca="false">"INSERT INTO COTACAO (cot_id, cot_blt_id, cot_pap_id, cot_prc_comum, cot_prc_min, cot_prc_max, cot_prc_med, cot_prc_mediana) VALUES ("&amp;A1596&amp;", "&amp;B1596&amp;", "&amp;C1596&amp;", "&amp;D1596&amp;", "&amp;E1596&amp;", "&amp;F1596&amp;", "&amp;G1596&amp;", "&amp;H1596&amp;");"</f>
        <v>INSERT INTO COTACAO (cot_id, cot_blt_id, cot_pap_id, cot_prc_comum, cot_prc_min, cot_prc_max, cot_prc_med, cot_prc_mediana) VALUES (1595, 78, 5,  30.00,  24.00,  30.00,  26.33,  25.00);</v>
      </c>
      <c r="J1596" s="0" t="str">
        <f aca="false">"UPDATE COTACAO SET cot_id = "&amp;A1596&amp;", cot_blt_id = "&amp;B1596&amp;", cot_pap_id = "&amp;C1596&amp;", cot_prc_comum = "&amp;D1596&amp;", cot_prc_min = "&amp;E1596&amp;", cot_prc_max = "&amp;F1596&amp;", cot_prc_med = "&amp;G1596&amp;", cot_prc_mediana = "&amp;H1596&amp;" WHERE cot_id = "&amp;A1596&amp;";"</f>
        <v>UPDATE COTACAO SET cot_id = 1595, cot_blt_id = 78, cot_pap_id = 5, cot_prc_comum =  30.00, cot_prc_min =  24.00, cot_prc_max =  30.00, cot_prc_med =  26.33, cot_prc_mediana =  25.00 WHERE cot_id = 1595;</v>
      </c>
    </row>
    <row r="1597" customFormat="false" ht="14.25" hidden="false" customHeight="false" outlineLevel="0" collapsed="false">
      <c r="A1597" s="0" t="n">
        <v>1596</v>
      </c>
      <c r="B1597" s="0" t="n">
        <f aca="false">IF('Boletins Nuppa Site'!A1597&lt;&gt;0,'Boletins Nuppa Site'!A1597,"NULL")</f>
        <v>78</v>
      </c>
      <c r="C1597" s="0" t="n">
        <v>6</v>
      </c>
      <c r="D1597" s="0" t="str">
        <f aca="false">IF('Boletins Nuppa Site'!G1597&lt;&gt;0,'Boletins Nuppa Site'!G1597,"NULL")</f>
        <v> 60.00</v>
      </c>
      <c r="E1597" s="30" t="str">
        <f aca="false">IF('Boletins Nuppa Site'!H1597&lt;&gt;0,'Boletins Nuppa Site'!H1597,"NULL")</f>
        <v> 48.00</v>
      </c>
      <c r="F1597" s="30" t="str">
        <f aca="false">IF('Boletins Nuppa Site'!I1597&lt;&gt;0,'Boletins Nuppa Site'!I1597,"NULL")</f>
        <v> 60.00</v>
      </c>
      <c r="G1597" s="30" t="str">
        <f aca="false">IF('Boletins Nuppa Site'!J1597&lt;&gt;0,'Boletins Nuppa Site'!J1597,"NULL")</f>
        <v> 56.00</v>
      </c>
      <c r="H1597" s="30" t="str">
        <f aca="false">IF('Boletins Nuppa Site'!K1597&lt;&gt;0,'Boletins Nuppa Site'!K1597,"NULL")</f>
        <v> 60.00</v>
      </c>
      <c r="I1597" s="0" t="str">
        <f aca="false">"INSERT INTO COTACAO (cot_id, cot_blt_id, cot_pap_id, cot_prc_comum, cot_prc_min, cot_prc_max, cot_prc_med, cot_prc_mediana) VALUES ("&amp;A1597&amp;", "&amp;B1597&amp;", "&amp;C1597&amp;", "&amp;D1597&amp;", "&amp;E1597&amp;", "&amp;F1597&amp;", "&amp;G1597&amp;", "&amp;H1597&amp;");"</f>
        <v>INSERT INTO COTACAO (cot_id, cot_blt_id, cot_pap_id, cot_prc_comum, cot_prc_min, cot_prc_max, cot_prc_med, cot_prc_mediana) VALUES (1596, 78, 6,  60.00,  48.00,  60.00,  56.00,  60.00);</v>
      </c>
      <c r="J1597" s="0" t="str">
        <f aca="false">"UPDATE COTACAO SET cot_id = "&amp;A1597&amp;", cot_blt_id = "&amp;B1597&amp;", cot_pap_id = "&amp;C1597&amp;", cot_prc_comum = "&amp;D1597&amp;", cot_prc_min = "&amp;E1597&amp;", cot_prc_max = "&amp;F1597&amp;", cot_prc_med = "&amp;G1597&amp;", cot_prc_mediana = "&amp;H1597&amp;" WHERE cot_id = "&amp;A1597&amp;";"</f>
        <v>UPDATE COTACAO SET cot_id = 1596, cot_blt_id = 78, cot_pap_id = 6, cot_prc_comum =  60.00, cot_prc_min =  48.00, cot_prc_max =  60.00, cot_prc_med =  56.00, cot_prc_mediana =  60.00 WHERE cot_id = 1596;</v>
      </c>
    </row>
    <row r="1598" customFormat="false" ht="14.25" hidden="false" customHeight="false" outlineLevel="0" collapsed="false">
      <c r="A1598" s="0" t="n">
        <v>1597</v>
      </c>
      <c r="B1598" s="0" t="n">
        <f aca="false">IF('Boletins Nuppa Site'!A1598&lt;&gt;0,'Boletins Nuppa Site'!A1598,"NULL")</f>
        <v>78</v>
      </c>
      <c r="C1598" s="0" t="n">
        <v>7</v>
      </c>
      <c r="D1598" s="0" t="str">
        <f aca="false">IF('Boletins Nuppa Site'!G1598&lt;&gt;0,'Boletins Nuppa Site'!G1598,"NULL")</f>
        <v> 60.00</v>
      </c>
      <c r="E1598" s="30" t="str">
        <f aca="false">IF('Boletins Nuppa Site'!H1598&lt;&gt;0,'Boletins Nuppa Site'!H1598,"NULL")</f>
        <v> 60.00</v>
      </c>
      <c r="F1598" s="30" t="str">
        <f aca="false">IF('Boletins Nuppa Site'!I1598&lt;&gt;0,'Boletins Nuppa Site'!I1598,"NULL")</f>
        <v> 78.00</v>
      </c>
      <c r="G1598" s="30" t="str">
        <f aca="false">IF('Boletins Nuppa Site'!J1598&lt;&gt;0,'Boletins Nuppa Site'!J1598,"NULL")</f>
        <v> 67.50</v>
      </c>
      <c r="H1598" s="30" t="str">
        <f aca="false">IF('Boletins Nuppa Site'!K1598&lt;&gt;0,'Boletins Nuppa Site'!K1598,"NULL")</f>
        <v> 66.00</v>
      </c>
      <c r="I1598" s="0" t="str">
        <f aca="false">"INSERT INTO COTACAO (cot_id, cot_blt_id, cot_pap_id, cot_prc_comum, cot_prc_min, cot_prc_max, cot_prc_med, cot_prc_mediana) VALUES ("&amp;A1598&amp;", "&amp;B1598&amp;", "&amp;C1598&amp;", "&amp;D1598&amp;", "&amp;E1598&amp;", "&amp;F1598&amp;", "&amp;G1598&amp;", "&amp;H1598&amp;");"</f>
        <v>INSERT INTO COTACAO (cot_id, cot_blt_id, cot_pap_id, cot_prc_comum, cot_prc_min, cot_prc_max, cot_prc_med, cot_prc_mediana) VALUES (1597, 78, 7,  60.00,  60.00,  78.00,  67.50,  66.00);</v>
      </c>
      <c r="J1598" s="0" t="str">
        <f aca="false">"UPDATE COTACAO SET cot_id = "&amp;A1598&amp;", cot_blt_id = "&amp;B1598&amp;", cot_pap_id = "&amp;C1598&amp;", cot_prc_comum = "&amp;D1598&amp;", cot_prc_min = "&amp;E1598&amp;", cot_prc_max = "&amp;F1598&amp;", cot_prc_med = "&amp;G1598&amp;", cot_prc_mediana = "&amp;H1598&amp;" WHERE cot_id = "&amp;A1598&amp;";"</f>
        <v>UPDATE COTACAO SET cot_id = 1597, cot_blt_id = 78, cot_pap_id = 7, cot_prc_comum =  60.00, cot_prc_min =  60.00, cot_prc_max =  78.00, cot_prc_med =  67.50, cot_prc_mediana =  66.00 WHERE cot_id = 1597;</v>
      </c>
    </row>
    <row r="1599" customFormat="false" ht="14.25" hidden="false" customHeight="false" outlineLevel="0" collapsed="false">
      <c r="A1599" s="0" t="n">
        <v>1598</v>
      </c>
      <c r="B1599" s="0" t="n">
        <f aca="false">IF('Boletins Nuppa Site'!A1599&lt;&gt;0,'Boletins Nuppa Site'!A1599,"NULL")</f>
        <v>78</v>
      </c>
      <c r="C1599" s="0" t="n">
        <v>8</v>
      </c>
      <c r="D1599" s="0" t="str">
        <f aca="false">IF('Boletins Nuppa Site'!G1599&lt;&gt;0,'Boletins Nuppa Site'!G1599,"NULL")</f>
        <v> 72.00</v>
      </c>
      <c r="E1599" s="30" t="str">
        <f aca="false">IF('Boletins Nuppa Site'!H1599&lt;&gt;0,'Boletins Nuppa Site'!H1599,"NULL")</f>
        <v> 60.00</v>
      </c>
      <c r="F1599" s="30" t="str">
        <f aca="false">IF('Boletins Nuppa Site'!I1599&lt;&gt;0,'Boletins Nuppa Site'!I1599,"NULL")</f>
        <v> 72.00</v>
      </c>
      <c r="G1599" s="30" t="str">
        <f aca="false">IF('Boletins Nuppa Site'!J1599&lt;&gt;0,'Boletins Nuppa Site'!J1599,"NULL")</f>
        <v> 69.00</v>
      </c>
      <c r="H1599" s="30" t="str">
        <f aca="false">IF('Boletins Nuppa Site'!K1599&lt;&gt;0,'Boletins Nuppa Site'!K1599,"NULL")</f>
        <v> 72.00</v>
      </c>
      <c r="I1599" s="0" t="str">
        <f aca="false">"INSERT INTO COTACAO (cot_id, cot_blt_id, cot_pap_id, cot_prc_comum, cot_prc_min, cot_prc_max, cot_prc_med, cot_prc_mediana) VALUES ("&amp;A1599&amp;", "&amp;B1599&amp;", "&amp;C1599&amp;", "&amp;D1599&amp;", "&amp;E1599&amp;", "&amp;F1599&amp;", "&amp;G1599&amp;", "&amp;H1599&amp;");"</f>
        <v>INSERT INTO COTACAO (cot_id, cot_blt_id, cot_pap_id, cot_prc_comum, cot_prc_min, cot_prc_max, cot_prc_med, cot_prc_mediana) VALUES (1598, 78, 8,  72.00,  60.00,  72.00,  69.00,  72.00);</v>
      </c>
      <c r="J1599" s="0" t="str">
        <f aca="false">"UPDATE COTACAO SET cot_id = "&amp;A1599&amp;", cot_blt_id = "&amp;B1599&amp;", cot_pap_id = "&amp;C1599&amp;", cot_prc_comum = "&amp;D1599&amp;", cot_prc_min = "&amp;E1599&amp;", cot_prc_max = "&amp;F1599&amp;", cot_prc_med = "&amp;G1599&amp;", cot_prc_mediana = "&amp;H1599&amp;" WHERE cot_id = "&amp;A1599&amp;";"</f>
        <v>UPDATE COTACAO SET cot_id = 1598, cot_blt_id = 78, cot_pap_id = 8, cot_prc_comum =  72.00, cot_prc_min =  60.00, cot_prc_max =  72.00, cot_prc_med =  69.00, cot_prc_mediana =  72.00 WHERE cot_id = 1598;</v>
      </c>
    </row>
    <row r="1600" customFormat="false" ht="14.25" hidden="false" customHeight="false" outlineLevel="0" collapsed="false">
      <c r="A1600" s="0" t="n">
        <v>1599</v>
      </c>
      <c r="B1600" s="0" t="n">
        <f aca="false">IF('Boletins Nuppa Site'!A1600&lt;&gt;0,'Boletins Nuppa Site'!A1600,"NULL")</f>
        <v>78</v>
      </c>
      <c r="C1600" s="0" t="n">
        <v>9</v>
      </c>
      <c r="D1600" s="0" t="str">
        <f aca="false">IF('Boletins Nuppa Site'!G1600&lt;&gt;0,'Boletins Nuppa Site'!G1600,"NULL")</f>
        <v> 24.00</v>
      </c>
      <c r="E1600" s="30" t="str">
        <f aca="false">IF('Boletins Nuppa Site'!H1600&lt;&gt;0,'Boletins Nuppa Site'!H1600,"NULL")</f>
        <v> 18.00</v>
      </c>
      <c r="F1600" s="30" t="str">
        <f aca="false">IF('Boletins Nuppa Site'!I1600&lt;&gt;0,'Boletins Nuppa Site'!I1600,"NULL")</f>
        <v> 24.00</v>
      </c>
      <c r="G1600" s="30" t="str">
        <f aca="false">IF('Boletins Nuppa Site'!J1600&lt;&gt;0,'Boletins Nuppa Site'!J1600,"NULL")</f>
        <v> 21.50</v>
      </c>
      <c r="H1600" s="30" t="str">
        <f aca="false">IF('Boletins Nuppa Site'!K1600&lt;&gt;0,'Boletins Nuppa Site'!K1600,"NULL")</f>
        <v> 22.00</v>
      </c>
      <c r="I1600" s="0" t="str">
        <f aca="false">"INSERT INTO COTACAO (cot_id, cot_blt_id, cot_pap_id, cot_prc_comum, cot_prc_min, cot_prc_max, cot_prc_med, cot_prc_mediana) VALUES ("&amp;A1600&amp;", "&amp;B1600&amp;", "&amp;C1600&amp;", "&amp;D1600&amp;", "&amp;E1600&amp;", "&amp;F1600&amp;", "&amp;G1600&amp;", "&amp;H1600&amp;");"</f>
        <v>INSERT INTO COTACAO (cot_id, cot_blt_id, cot_pap_id, cot_prc_comum, cot_prc_min, cot_prc_max, cot_prc_med, cot_prc_mediana) VALUES (1599, 78, 9,  24.00,  18.00,  24.00,  21.50,  22.00);</v>
      </c>
      <c r="J1600" s="0" t="str">
        <f aca="false">"UPDATE COTACAO SET cot_id = "&amp;A1600&amp;", cot_blt_id = "&amp;B1600&amp;", cot_pap_id = "&amp;C1600&amp;", cot_prc_comum = "&amp;D1600&amp;", cot_prc_min = "&amp;E1600&amp;", cot_prc_max = "&amp;F1600&amp;", cot_prc_med = "&amp;G1600&amp;", cot_prc_mediana = "&amp;H1600&amp;" WHERE cot_id = "&amp;A1600&amp;";"</f>
        <v>UPDATE COTACAO SET cot_id = 1599, cot_blt_id = 78, cot_pap_id = 9, cot_prc_comum =  24.00, cot_prc_min =  18.00, cot_prc_max =  24.00, cot_prc_med =  21.50, cot_prc_mediana =  22.00 WHERE cot_id = 1599;</v>
      </c>
    </row>
    <row r="1601" customFormat="false" ht="14.25" hidden="false" customHeight="false" outlineLevel="0" collapsed="false">
      <c r="A1601" s="0" t="n">
        <v>1600</v>
      </c>
      <c r="B1601" s="0" t="n">
        <f aca="false">IF('Boletins Nuppa Site'!A1601&lt;&gt;0,'Boletins Nuppa Site'!A1601,"NULL")</f>
        <v>78</v>
      </c>
      <c r="C1601" s="0" t="n">
        <v>10</v>
      </c>
      <c r="D1601" s="0" t="str">
        <f aca="false">IF('Boletins Nuppa Site'!G1601&lt;&gt;0,'Boletins Nuppa Site'!G1601,"NULL")</f>
        <v> 60.00</v>
      </c>
      <c r="E1601" s="30" t="str">
        <f aca="false">IF('Boletins Nuppa Site'!H1601&lt;&gt;0,'Boletins Nuppa Site'!H1601,"NULL")</f>
        <v> 60.00</v>
      </c>
      <c r="F1601" s="30" t="str">
        <f aca="false">IF('Boletins Nuppa Site'!I1601&lt;&gt;0,'Boletins Nuppa Site'!I1601,"NULL")</f>
        <v> 60.00</v>
      </c>
      <c r="G1601" s="30" t="str">
        <f aca="false">IF('Boletins Nuppa Site'!J1601&lt;&gt;0,'Boletins Nuppa Site'!J1601,"NULL")</f>
        <v> 60.00</v>
      </c>
      <c r="H1601" s="30" t="str">
        <f aca="false">IF('Boletins Nuppa Site'!K1601&lt;&gt;0,'Boletins Nuppa Site'!K1601,"NULL")</f>
        <v> 60.00</v>
      </c>
      <c r="I1601" s="0" t="str">
        <f aca="false">"INSERT INTO COTACAO (cot_id, cot_blt_id, cot_pap_id, cot_prc_comum, cot_prc_min, cot_prc_max, cot_prc_med, cot_prc_mediana) VALUES ("&amp;A1601&amp;", "&amp;B1601&amp;", "&amp;C1601&amp;", "&amp;D1601&amp;", "&amp;E1601&amp;", "&amp;F1601&amp;", "&amp;G1601&amp;", "&amp;H1601&amp;");"</f>
        <v>INSERT INTO COTACAO (cot_id, cot_blt_id, cot_pap_id, cot_prc_comum, cot_prc_min, cot_prc_max, cot_prc_med, cot_prc_mediana) VALUES (1600, 78, 10,  60.00,  60.00,  60.00,  60.00,  60.00);</v>
      </c>
      <c r="J1601" s="0" t="str">
        <f aca="false">"UPDATE COTACAO SET cot_id = "&amp;A1601&amp;", cot_blt_id = "&amp;B1601&amp;", cot_pap_id = "&amp;C1601&amp;", cot_prc_comum = "&amp;D1601&amp;", cot_prc_min = "&amp;E1601&amp;", cot_prc_max = "&amp;F1601&amp;", cot_prc_med = "&amp;G1601&amp;", cot_prc_mediana = "&amp;H1601&amp;" WHERE cot_id = "&amp;A1601&amp;";"</f>
        <v>UPDATE COTACAO SET cot_id = 1600, cot_blt_id = 78, cot_pap_id = 10, cot_prc_comum =  60.00, cot_prc_min =  60.00, cot_prc_max =  60.00, cot_prc_med =  60.00, cot_prc_mediana =  60.00 WHERE cot_id = 1600;</v>
      </c>
    </row>
    <row r="1602" customFormat="false" ht="14.25" hidden="false" customHeight="false" outlineLevel="0" collapsed="false">
      <c r="A1602" s="0" t="n">
        <v>1601</v>
      </c>
      <c r="B1602" s="0" t="n">
        <f aca="false">IF('Boletins Nuppa Site'!A1602&lt;&gt;0,'Boletins Nuppa Site'!A1602,"NULL")</f>
        <v>78</v>
      </c>
      <c r="C1602" s="0" t="n">
        <v>11</v>
      </c>
      <c r="D1602" s="0" t="str">
        <f aca="false">IF('Boletins Nuppa Site'!G1602&lt;&gt;0,'Boletins Nuppa Site'!G1602,"NULL")</f>
        <v> 30.00</v>
      </c>
      <c r="E1602" s="30" t="str">
        <f aca="false">IF('Boletins Nuppa Site'!H1602&lt;&gt;0,'Boletins Nuppa Site'!H1602,"NULL")</f>
        <v> 18.00</v>
      </c>
      <c r="F1602" s="30" t="str">
        <f aca="false">IF('Boletins Nuppa Site'!I1602&lt;&gt;0,'Boletins Nuppa Site'!I1602,"NULL")</f>
        <v> 30.00</v>
      </c>
      <c r="G1602" s="30" t="str">
        <f aca="false">IF('Boletins Nuppa Site'!J1602&lt;&gt;0,'Boletins Nuppa Site'!J1602,"NULL")</f>
        <v> 24.25</v>
      </c>
      <c r="H1602" s="30" t="str">
        <f aca="false">IF('Boletins Nuppa Site'!K1602&lt;&gt;0,'Boletins Nuppa Site'!K1602,"NULL")</f>
        <v> 24.50</v>
      </c>
      <c r="I1602" s="0" t="str">
        <f aca="false">"INSERT INTO COTACAO (cot_id, cot_blt_id, cot_pap_id, cot_prc_comum, cot_prc_min, cot_prc_max, cot_prc_med, cot_prc_mediana) VALUES ("&amp;A1602&amp;", "&amp;B1602&amp;", "&amp;C1602&amp;", "&amp;D1602&amp;", "&amp;E1602&amp;", "&amp;F1602&amp;", "&amp;G1602&amp;", "&amp;H1602&amp;");"</f>
        <v>INSERT INTO COTACAO (cot_id, cot_blt_id, cot_pap_id, cot_prc_comum, cot_prc_min, cot_prc_max, cot_prc_med, cot_prc_mediana) VALUES (1601, 78, 11,  30.00,  18.00,  30.00,  24.25,  24.50);</v>
      </c>
      <c r="J1602" s="0" t="str">
        <f aca="false">"UPDATE COTACAO SET cot_id = "&amp;A1602&amp;", cot_blt_id = "&amp;B1602&amp;", cot_pap_id = "&amp;C1602&amp;", cot_prc_comum = "&amp;D1602&amp;", cot_prc_min = "&amp;E1602&amp;", cot_prc_max = "&amp;F1602&amp;", cot_prc_med = "&amp;G1602&amp;", cot_prc_mediana = "&amp;H1602&amp;" WHERE cot_id = "&amp;A1602&amp;";"</f>
        <v>UPDATE COTACAO SET cot_id = 1601, cot_blt_id = 78, cot_pap_id = 11, cot_prc_comum =  30.00, cot_prc_min =  18.00, cot_prc_max =  30.00, cot_prc_med =  24.25, cot_prc_mediana =  24.50 WHERE cot_id = 1601;</v>
      </c>
    </row>
    <row r="1603" customFormat="false" ht="14.25" hidden="false" customHeight="false" outlineLevel="0" collapsed="false">
      <c r="A1603" s="0" t="n">
        <v>1602</v>
      </c>
      <c r="B1603" s="0" t="n">
        <f aca="false">IF('Boletins Nuppa Site'!A1603&lt;&gt;0,'Boletins Nuppa Site'!A1603,"NULL")</f>
        <v>78</v>
      </c>
      <c r="C1603" s="0" t="n">
        <v>12</v>
      </c>
      <c r="D1603" s="0" t="str">
        <f aca="false">IF('Boletins Nuppa Site'!G1603&lt;&gt;0,'Boletins Nuppa Site'!G1603,"NULL")</f>
        <v> 60.00</v>
      </c>
      <c r="E1603" s="30" t="str">
        <f aca="false">IF('Boletins Nuppa Site'!H1603&lt;&gt;0,'Boletins Nuppa Site'!H1603,"NULL")</f>
        <v> 48.00</v>
      </c>
      <c r="F1603" s="30" t="str">
        <f aca="false">IF('Boletins Nuppa Site'!I1603&lt;&gt;0,'Boletins Nuppa Site'!I1603,"NULL")</f>
        <v> 60.00</v>
      </c>
      <c r="G1603" s="30" t="str">
        <f aca="false">IF('Boletins Nuppa Site'!J1603&lt;&gt;0,'Boletins Nuppa Site'!J1603,"NULL")</f>
        <v> 56.00</v>
      </c>
      <c r="H1603" s="30" t="str">
        <f aca="false">IF('Boletins Nuppa Site'!K1603&lt;&gt;0,'Boletins Nuppa Site'!K1603,"NULL")</f>
        <v> 60.00</v>
      </c>
      <c r="I1603" s="0" t="str">
        <f aca="false">"INSERT INTO COTACAO (cot_id, cot_blt_id, cot_pap_id, cot_prc_comum, cot_prc_min, cot_prc_max, cot_prc_med, cot_prc_mediana) VALUES ("&amp;A1603&amp;", "&amp;B1603&amp;", "&amp;C1603&amp;", "&amp;D1603&amp;", "&amp;E1603&amp;", "&amp;F1603&amp;", "&amp;G1603&amp;", "&amp;H1603&amp;");"</f>
        <v>INSERT INTO COTACAO (cot_id, cot_blt_id, cot_pap_id, cot_prc_comum, cot_prc_min, cot_prc_max, cot_prc_med, cot_prc_mediana) VALUES (1602, 78, 12,  60.00,  48.00,  60.00,  56.00,  60.00);</v>
      </c>
      <c r="J1603" s="0" t="str">
        <f aca="false">"UPDATE COTACAO SET cot_id = "&amp;A1603&amp;", cot_blt_id = "&amp;B1603&amp;", cot_pap_id = "&amp;C1603&amp;", cot_prc_comum = "&amp;D1603&amp;", cot_prc_min = "&amp;E1603&amp;", cot_prc_max = "&amp;F1603&amp;", cot_prc_med = "&amp;G1603&amp;", cot_prc_mediana = "&amp;H1603&amp;" WHERE cot_id = "&amp;A1603&amp;";"</f>
        <v>UPDATE COTACAO SET cot_id = 1602, cot_blt_id = 78, cot_pap_id = 12, cot_prc_comum =  60.00, cot_prc_min =  48.00, cot_prc_max =  60.00, cot_prc_med =  56.00, cot_prc_mediana =  60.00 WHERE cot_id = 1602;</v>
      </c>
    </row>
    <row r="1604" customFormat="false" ht="14.25" hidden="false" customHeight="false" outlineLevel="0" collapsed="false">
      <c r="A1604" s="0" t="n">
        <v>1603</v>
      </c>
      <c r="B1604" s="0" t="n">
        <f aca="false">IF('Boletins Nuppa Site'!A1604&lt;&gt;0,'Boletins Nuppa Site'!A1604,"NULL")</f>
        <v>78</v>
      </c>
      <c r="C1604" s="0" t="n">
        <v>13</v>
      </c>
      <c r="D1604" s="0" t="str">
        <f aca="false">IF('Boletins Nuppa Site'!G1604&lt;&gt;0,'Boletins Nuppa Site'!G1604,"NULL")</f>
        <v> 48.00</v>
      </c>
      <c r="E1604" s="30" t="str">
        <f aca="false">IF('Boletins Nuppa Site'!H1604&lt;&gt;0,'Boletins Nuppa Site'!H1604,"NULL")</f>
        <v> 48.00</v>
      </c>
      <c r="F1604" s="30" t="str">
        <f aca="false">IF('Boletins Nuppa Site'!I1604&lt;&gt;0,'Boletins Nuppa Site'!I1604,"NULL")</f>
        <v> 60.00</v>
      </c>
      <c r="G1604" s="30" t="str">
        <f aca="false">IF('Boletins Nuppa Site'!J1604&lt;&gt;0,'Boletins Nuppa Site'!J1604,"NULL")</f>
        <v> 54.00</v>
      </c>
      <c r="H1604" s="30" t="str">
        <f aca="false">IF('Boletins Nuppa Site'!K1604&lt;&gt;0,'Boletins Nuppa Site'!K1604,"NULL")</f>
        <v> 54.00</v>
      </c>
      <c r="I1604" s="0" t="str">
        <f aca="false">"INSERT INTO COTACAO (cot_id, cot_blt_id, cot_pap_id, cot_prc_comum, cot_prc_min, cot_prc_max, cot_prc_med, cot_prc_mediana) VALUES ("&amp;A1604&amp;", "&amp;B1604&amp;", "&amp;C1604&amp;", "&amp;D1604&amp;", "&amp;E1604&amp;", "&amp;F1604&amp;", "&amp;G1604&amp;", "&amp;H1604&amp;");"</f>
        <v>INSERT INTO COTACAO (cot_id, cot_blt_id, cot_pap_id, cot_prc_comum, cot_prc_min, cot_prc_max, cot_prc_med, cot_prc_mediana) VALUES (1603, 78, 13,  48.00,  48.00,  60.00,  54.00,  54.00);</v>
      </c>
      <c r="J1604" s="0" t="str">
        <f aca="false">"UPDATE COTACAO SET cot_id = "&amp;A1604&amp;", cot_blt_id = "&amp;B1604&amp;", cot_pap_id = "&amp;C1604&amp;", cot_prc_comum = "&amp;D1604&amp;", cot_prc_min = "&amp;E1604&amp;", cot_prc_max = "&amp;F1604&amp;", cot_prc_med = "&amp;G1604&amp;", cot_prc_mediana = "&amp;H1604&amp;" WHERE cot_id = "&amp;A1604&amp;";"</f>
        <v>UPDATE COTACAO SET cot_id = 1603, cot_blt_id = 78, cot_pap_id = 13, cot_prc_comum =  48.00, cot_prc_min =  48.00, cot_prc_max =  60.00, cot_prc_med =  54.00, cot_prc_mediana =  54.00 WHERE cot_id = 1603;</v>
      </c>
    </row>
    <row r="1605" customFormat="false" ht="14.25" hidden="false" customHeight="false" outlineLevel="0" collapsed="false">
      <c r="A1605" s="0" t="n">
        <v>1604</v>
      </c>
      <c r="B1605" s="0" t="n">
        <f aca="false">IF('Boletins Nuppa Site'!A1605&lt;&gt;0,'Boletins Nuppa Site'!A1605,"NULL")</f>
        <v>78</v>
      </c>
      <c r="C1605" s="0" t="n">
        <v>14</v>
      </c>
      <c r="D1605" s="0" t="str">
        <f aca="false">IF('Boletins Nuppa Site'!G1605&lt;&gt;0,'Boletins Nuppa Site'!G1605,"NULL")</f>
        <v> 48.00</v>
      </c>
      <c r="E1605" s="30" t="str">
        <f aca="false">IF('Boletins Nuppa Site'!H1605&lt;&gt;0,'Boletins Nuppa Site'!H1605,"NULL")</f>
        <v> 36.00</v>
      </c>
      <c r="F1605" s="30" t="str">
        <f aca="false">IF('Boletins Nuppa Site'!I1605&lt;&gt;0,'Boletins Nuppa Site'!I1605,"NULL")</f>
        <v> 48.00</v>
      </c>
      <c r="G1605" s="30" t="str">
        <f aca="false">IF('Boletins Nuppa Site'!J1605&lt;&gt;0,'Boletins Nuppa Site'!J1605,"NULL")</f>
        <v> 44.00</v>
      </c>
      <c r="H1605" s="30" t="str">
        <f aca="false">IF('Boletins Nuppa Site'!K1605&lt;&gt;0,'Boletins Nuppa Site'!K1605,"NULL")</f>
        <v> 48.00</v>
      </c>
      <c r="I1605" s="0" t="str">
        <f aca="false">"INSERT INTO COTACAO (cot_id, cot_blt_id, cot_pap_id, cot_prc_comum, cot_prc_min, cot_prc_max, cot_prc_med, cot_prc_mediana) VALUES ("&amp;A1605&amp;", "&amp;B1605&amp;", "&amp;C1605&amp;", "&amp;D1605&amp;", "&amp;E1605&amp;", "&amp;F1605&amp;", "&amp;G1605&amp;", "&amp;H1605&amp;");"</f>
        <v>INSERT INTO COTACAO (cot_id, cot_blt_id, cot_pap_id, cot_prc_comum, cot_prc_min, cot_prc_max, cot_prc_med, cot_prc_mediana) VALUES (1604, 78, 14,  48.00,  36.00,  48.00,  44.00,  48.00);</v>
      </c>
      <c r="J1605" s="0" t="str">
        <f aca="false">"UPDATE COTACAO SET cot_id = "&amp;A1605&amp;", cot_blt_id = "&amp;B1605&amp;", cot_pap_id = "&amp;C1605&amp;", cot_prc_comum = "&amp;D1605&amp;", cot_prc_min = "&amp;E1605&amp;", cot_prc_max = "&amp;F1605&amp;", cot_prc_med = "&amp;G1605&amp;", cot_prc_mediana = "&amp;H1605&amp;" WHERE cot_id = "&amp;A1605&amp;";"</f>
        <v>UPDATE COTACAO SET cot_id = 1604, cot_blt_id = 78, cot_pap_id = 14, cot_prc_comum =  48.00, cot_prc_min =  36.00, cot_prc_max =  48.00, cot_prc_med =  44.00, cot_prc_mediana =  48.00 WHERE cot_id = 1604;</v>
      </c>
    </row>
    <row r="1606" customFormat="false" ht="14.25" hidden="false" customHeight="false" outlineLevel="0" collapsed="false">
      <c r="A1606" s="0" t="n">
        <v>1605</v>
      </c>
      <c r="B1606" s="0" t="n">
        <f aca="false">IF('Boletins Nuppa Site'!A1606&lt;&gt;0,'Boletins Nuppa Site'!A1606,"NULL")</f>
        <v>78</v>
      </c>
      <c r="C1606" s="0" t="n">
        <v>15</v>
      </c>
      <c r="D1606" s="0" t="str">
        <f aca="false">IF('Boletins Nuppa Site'!G1606&lt;&gt;0,'Boletins Nuppa Site'!G1606,"NULL")</f>
        <v> 30.00</v>
      </c>
      <c r="E1606" s="30" t="str">
        <f aca="false">IF('Boletins Nuppa Site'!H1606&lt;&gt;0,'Boletins Nuppa Site'!H1606,"NULL")</f>
        <v> 24.00</v>
      </c>
      <c r="F1606" s="30" t="str">
        <f aca="false">IF('Boletins Nuppa Site'!I1606&lt;&gt;0,'Boletins Nuppa Site'!I1606,"NULL")</f>
        <v> 30.00</v>
      </c>
      <c r="G1606" s="30" t="str">
        <f aca="false">IF('Boletins Nuppa Site'!J1606&lt;&gt;0,'Boletins Nuppa Site'!J1606,"NULL")</f>
        <v> 28.50</v>
      </c>
      <c r="H1606" s="30" t="str">
        <f aca="false">IF('Boletins Nuppa Site'!K1606&lt;&gt;0,'Boletins Nuppa Site'!K1606,"NULL")</f>
        <v> 30.00</v>
      </c>
      <c r="I1606" s="0" t="str">
        <f aca="false">"INSERT INTO COTACAO (cot_id, cot_blt_id, cot_pap_id, cot_prc_comum, cot_prc_min, cot_prc_max, cot_prc_med, cot_prc_mediana) VALUES ("&amp;A1606&amp;", "&amp;B1606&amp;", "&amp;C1606&amp;", "&amp;D1606&amp;", "&amp;E1606&amp;", "&amp;F1606&amp;", "&amp;G1606&amp;", "&amp;H1606&amp;");"</f>
        <v>INSERT INTO COTACAO (cot_id, cot_blt_id, cot_pap_id, cot_prc_comum, cot_prc_min, cot_prc_max, cot_prc_med, cot_prc_mediana) VALUES (1605, 78, 15,  30.00,  24.00,  30.00,  28.50,  30.00);</v>
      </c>
      <c r="J1606" s="0" t="str">
        <f aca="false">"UPDATE COTACAO SET cot_id = "&amp;A1606&amp;", cot_blt_id = "&amp;B1606&amp;", cot_pap_id = "&amp;C1606&amp;", cot_prc_comum = "&amp;D1606&amp;", cot_prc_min = "&amp;E1606&amp;", cot_prc_max = "&amp;F1606&amp;", cot_prc_med = "&amp;G1606&amp;", cot_prc_mediana = "&amp;H1606&amp;" WHERE cot_id = "&amp;A1606&amp;";"</f>
        <v>UPDATE COTACAO SET cot_id = 1605, cot_blt_id = 78, cot_pap_id = 15, cot_prc_comum =  30.00, cot_prc_min =  24.00, cot_prc_max =  30.00, cot_prc_med =  28.50, cot_prc_mediana =  30.00 WHERE cot_id = 1605;</v>
      </c>
    </row>
    <row r="1607" customFormat="false" ht="14.25" hidden="false" customHeight="false" outlineLevel="0" collapsed="false">
      <c r="A1607" s="0" t="n">
        <v>1606</v>
      </c>
      <c r="B1607" s="0" t="n">
        <f aca="false">IF('Boletins Nuppa Site'!A1607&lt;&gt;0,'Boletins Nuppa Site'!A1607,"NULL")</f>
        <v>78</v>
      </c>
      <c r="C1607" s="0" t="n">
        <v>16</v>
      </c>
      <c r="D1607" s="0" t="str">
        <f aca="false">IF('Boletins Nuppa Site'!G1607&lt;&gt;0,'Boletins Nuppa Site'!G1607,"NULL")</f>
        <v> 48.00</v>
      </c>
      <c r="E1607" s="30" t="str">
        <f aca="false">IF('Boletins Nuppa Site'!H1607&lt;&gt;0,'Boletins Nuppa Site'!H1607,"NULL")</f>
        <v> 42.00</v>
      </c>
      <c r="F1607" s="30" t="str">
        <f aca="false">IF('Boletins Nuppa Site'!I1607&lt;&gt;0,'Boletins Nuppa Site'!I1607,"NULL")</f>
        <v> 60.00</v>
      </c>
      <c r="G1607" s="30" t="str">
        <f aca="false">IF('Boletins Nuppa Site'!J1607&lt;&gt;0,'Boletins Nuppa Site'!J1607,"NULL")</f>
        <v> 49.50</v>
      </c>
      <c r="H1607" s="30" t="str">
        <f aca="false">IF('Boletins Nuppa Site'!K1607&lt;&gt;0,'Boletins Nuppa Site'!K1607,"NULL")</f>
        <v> 48.00</v>
      </c>
      <c r="I1607" s="0" t="str">
        <f aca="false">"INSERT INTO COTACAO (cot_id, cot_blt_id, cot_pap_id, cot_prc_comum, cot_prc_min, cot_prc_max, cot_prc_med, cot_prc_mediana) VALUES ("&amp;A1607&amp;", "&amp;B1607&amp;", "&amp;C1607&amp;", "&amp;D1607&amp;", "&amp;E1607&amp;", "&amp;F1607&amp;", "&amp;G1607&amp;", "&amp;H1607&amp;");"</f>
        <v>INSERT INTO COTACAO (cot_id, cot_blt_id, cot_pap_id, cot_prc_comum, cot_prc_min, cot_prc_max, cot_prc_med, cot_prc_mediana) VALUES (1606, 78, 16,  48.00,  42.00,  60.00,  49.50,  48.00);</v>
      </c>
      <c r="J1607" s="0" t="str">
        <f aca="false">"UPDATE COTACAO SET cot_id = "&amp;A1607&amp;", cot_blt_id = "&amp;B1607&amp;", cot_pap_id = "&amp;C1607&amp;", cot_prc_comum = "&amp;D1607&amp;", cot_prc_min = "&amp;E1607&amp;", cot_prc_max = "&amp;F1607&amp;", cot_prc_med = "&amp;G1607&amp;", cot_prc_mediana = "&amp;H1607&amp;" WHERE cot_id = "&amp;A1607&amp;";"</f>
        <v>UPDATE COTACAO SET cot_id = 1606, cot_blt_id = 78, cot_pap_id = 16, cot_prc_comum =  48.00, cot_prc_min =  42.00, cot_prc_max =  60.00, cot_prc_med =  49.50, cot_prc_mediana =  48.00 WHERE cot_id = 1606;</v>
      </c>
    </row>
    <row r="1608" customFormat="false" ht="14.25" hidden="false" customHeight="false" outlineLevel="0" collapsed="false">
      <c r="A1608" s="0" t="n">
        <v>1607</v>
      </c>
      <c r="B1608" s="0" t="n">
        <f aca="false">IF('Boletins Nuppa Site'!A1608&lt;&gt;0,'Boletins Nuppa Site'!A1608,"NULL")</f>
        <v>78</v>
      </c>
      <c r="C1608" s="0" t="n">
        <v>17</v>
      </c>
      <c r="D1608" s="0" t="str">
        <f aca="false">IF('Boletins Nuppa Site'!G1608&lt;&gt;0,'Boletins Nuppa Site'!G1608,"NULL")</f>
        <v> 5.00</v>
      </c>
      <c r="E1608" s="30" t="str">
        <f aca="false">IF('Boletins Nuppa Site'!H1608&lt;&gt;0,'Boletins Nuppa Site'!H1608,"NULL")</f>
        <v> 5.00</v>
      </c>
      <c r="F1608" s="30" t="str">
        <f aca="false">IF('Boletins Nuppa Site'!I1608&lt;&gt;0,'Boletins Nuppa Site'!I1608,"NULL")</f>
        <v> 5.00</v>
      </c>
      <c r="G1608" s="30" t="str">
        <f aca="false">IF('Boletins Nuppa Site'!J1608&lt;&gt;0,'Boletins Nuppa Site'!J1608,"NULL")</f>
        <v> 5.00</v>
      </c>
      <c r="H1608" s="30" t="str">
        <f aca="false">IF('Boletins Nuppa Site'!K1608&lt;&gt;0,'Boletins Nuppa Site'!K1608,"NULL")</f>
        <v> 5.00</v>
      </c>
      <c r="I1608" s="0" t="str">
        <f aca="false">"INSERT INTO COTACAO (cot_id, cot_blt_id, cot_pap_id, cot_prc_comum, cot_prc_min, cot_prc_max, cot_prc_med, cot_prc_mediana) VALUES ("&amp;A1608&amp;", "&amp;B1608&amp;", "&amp;C1608&amp;", "&amp;D1608&amp;", "&amp;E1608&amp;", "&amp;F1608&amp;", "&amp;G1608&amp;", "&amp;H1608&amp;");"</f>
        <v>INSERT INTO COTACAO (cot_id, cot_blt_id, cot_pap_id, cot_prc_comum, cot_prc_min, cot_prc_max, cot_prc_med, cot_prc_mediana) VALUES (1607, 78, 17,  5.00,  5.00,  5.00,  5.00,  5.00);</v>
      </c>
      <c r="J1608" s="0" t="str">
        <f aca="false">"UPDATE COTACAO SET cot_id = "&amp;A1608&amp;", cot_blt_id = "&amp;B1608&amp;", cot_pap_id = "&amp;C1608&amp;", cot_prc_comum = "&amp;D1608&amp;", cot_prc_min = "&amp;E1608&amp;", cot_prc_max = "&amp;F1608&amp;", cot_prc_med = "&amp;G1608&amp;", cot_prc_mediana = "&amp;H1608&amp;" WHERE cot_id = "&amp;A1608&amp;";"</f>
        <v>UPDATE COTACAO SET cot_id = 1607, cot_blt_id = 78, cot_pap_id = 17, cot_prc_comum =  5.00, cot_prc_min =  5.00, cot_prc_max =  5.00, cot_prc_med =  5.00, cot_prc_mediana =  5.00 WHERE cot_id = 1607;</v>
      </c>
    </row>
    <row r="1609" customFormat="false" ht="14.25" hidden="false" customHeight="false" outlineLevel="0" collapsed="false">
      <c r="A1609" s="0" t="n">
        <v>1608</v>
      </c>
      <c r="B1609" s="0" t="n">
        <f aca="false">IF('Boletins Nuppa Site'!A1609&lt;&gt;0,'Boletins Nuppa Site'!A1609,"NULL")</f>
        <v>78</v>
      </c>
      <c r="C1609" s="0" t="n">
        <v>18</v>
      </c>
      <c r="D1609" s="0" t="str">
        <f aca="false">IF('Boletins Nuppa Site'!G1609&lt;&gt;0,'Boletins Nuppa Site'!G1609,"NULL")</f>
        <v> 15.00</v>
      </c>
      <c r="E1609" s="30" t="str">
        <f aca="false">IF('Boletins Nuppa Site'!H1609&lt;&gt;0,'Boletins Nuppa Site'!H1609,"NULL")</f>
        <v> 15.00</v>
      </c>
      <c r="F1609" s="30" t="str">
        <f aca="false">IF('Boletins Nuppa Site'!I1609&lt;&gt;0,'Boletins Nuppa Site'!I1609,"NULL")</f>
        <v> 20.00</v>
      </c>
      <c r="G1609" s="30" t="str">
        <f aca="false">IF('Boletins Nuppa Site'!J1609&lt;&gt;0,'Boletins Nuppa Site'!J1609,"NULL")</f>
        <v> 17.50</v>
      </c>
      <c r="H1609" s="30" t="str">
        <f aca="false">IF('Boletins Nuppa Site'!K1609&lt;&gt;0,'Boletins Nuppa Site'!K1609,"NULL")</f>
        <v> 17.50</v>
      </c>
      <c r="I1609" s="0" t="str">
        <f aca="false">"INSERT INTO COTACAO (cot_id, cot_blt_id, cot_pap_id, cot_prc_comum, cot_prc_min, cot_prc_max, cot_prc_med, cot_prc_mediana) VALUES ("&amp;A1609&amp;", "&amp;B1609&amp;", "&amp;C1609&amp;", "&amp;D1609&amp;", "&amp;E1609&amp;", "&amp;F1609&amp;", "&amp;G1609&amp;", "&amp;H1609&amp;");"</f>
        <v>INSERT INTO COTACAO (cot_id, cot_blt_id, cot_pap_id, cot_prc_comum, cot_prc_min, cot_prc_max, cot_prc_med, cot_prc_mediana) VALUES (1608, 78, 18,  15.00,  15.00,  20.00,  17.50,  17.50);</v>
      </c>
      <c r="J1609" s="0" t="str">
        <f aca="false">"UPDATE COTACAO SET cot_id = "&amp;A1609&amp;", cot_blt_id = "&amp;B1609&amp;", cot_pap_id = "&amp;C1609&amp;", cot_prc_comum = "&amp;D1609&amp;", cot_prc_min = "&amp;E1609&amp;", cot_prc_max = "&amp;F1609&amp;", cot_prc_med = "&amp;G1609&amp;", cot_prc_mediana = "&amp;H1609&amp;" WHERE cot_id = "&amp;A1609&amp;";"</f>
        <v>UPDATE COTACAO SET cot_id = 1608, cot_blt_id = 78, cot_pap_id = 18, cot_prc_comum =  15.00, cot_prc_min =  15.00, cot_prc_max =  20.00, cot_prc_med =  17.50, cot_prc_mediana =  17.50 WHERE cot_id = 1608;</v>
      </c>
    </row>
    <row r="1610" customFormat="false" ht="14.25" hidden="false" customHeight="false" outlineLevel="0" collapsed="false">
      <c r="A1610" s="0" t="n">
        <v>1609</v>
      </c>
      <c r="B1610" s="0" t="n">
        <f aca="false">IF('Boletins Nuppa Site'!A1610&lt;&gt;0,'Boletins Nuppa Site'!A1610,"NULL")</f>
        <v>78</v>
      </c>
      <c r="C1610" s="0" t="n">
        <v>19</v>
      </c>
      <c r="D1610" s="0" t="str">
        <f aca="false">IF('Boletins Nuppa Site'!G1610&lt;&gt;0,'Boletins Nuppa Site'!G1610,"NULL")</f>
        <v> 48.00</v>
      </c>
      <c r="E1610" s="30" t="str">
        <f aca="false">IF('Boletins Nuppa Site'!H1610&lt;&gt;0,'Boletins Nuppa Site'!H1610,"NULL")</f>
        <v> 42.00</v>
      </c>
      <c r="F1610" s="30" t="str">
        <f aca="false">IF('Boletins Nuppa Site'!I1610&lt;&gt;0,'Boletins Nuppa Site'!I1610,"NULL")</f>
        <v> 60.00</v>
      </c>
      <c r="G1610" s="30" t="str">
        <f aca="false">IF('Boletins Nuppa Site'!J1610&lt;&gt;0,'Boletins Nuppa Site'!J1610,"NULL")</f>
        <v> 49.50</v>
      </c>
      <c r="H1610" s="30" t="str">
        <f aca="false">IF('Boletins Nuppa Site'!K1610&lt;&gt;0,'Boletins Nuppa Site'!K1610,"NULL")</f>
        <v> 48.00</v>
      </c>
      <c r="I1610" s="0" t="str">
        <f aca="false">"INSERT INTO COTACAO (cot_id, cot_blt_id, cot_pap_id, cot_prc_comum, cot_prc_min, cot_prc_max, cot_prc_med, cot_prc_mediana) VALUES ("&amp;A1610&amp;", "&amp;B1610&amp;", "&amp;C1610&amp;", "&amp;D1610&amp;", "&amp;E1610&amp;", "&amp;F1610&amp;", "&amp;G1610&amp;", "&amp;H1610&amp;");"</f>
        <v>INSERT INTO COTACAO (cot_id, cot_blt_id, cot_pap_id, cot_prc_comum, cot_prc_min, cot_prc_max, cot_prc_med, cot_prc_mediana) VALUES (1609, 78, 19,  48.00,  42.00,  60.00,  49.50,  48.00);</v>
      </c>
      <c r="J1610" s="0" t="str">
        <f aca="false">"UPDATE COTACAO SET cot_id = "&amp;A1610&amp;", cot_blt_id = "&amp;B1610&amp;", cot_pap_id = "&amp;C1610&amp;", cot_prc_comum = "&amp;D1610&amp;", cot_prc_min = "&amp;E1610&amp;", cot_prc_max = "&amp;F1610&amp;", cot_prc_med = "&amp;G1610&amp;", cot_prc_mediana = "&amp;H1610&amp;" WHERE cot_id = "&amp;A1610&amp;";"</f>
        <v>UPDATE COTACAO SET cot_id = 1609, cot_blt_id = 78, cot_pap_id = 19, cot_prc_comum =  48.00, cot_prc_min =  42.00, cot_prc_max =  60.00, cot_prc_med =  49.50, cot_prc_mediana =  48.00 WHERE cot_id = 1609;</v>
      </c>
    </row>
    <row r="1611" customFormat="false" ht="14.25" hidden="false" customHeight="false" outlineLevel="0" collapsed="false">
      <c r="A1611" s="0" t="n">
        <v>1610</v>
      </c>
      <c r="B1611" s="0" t="n">
        <f aca="false">IF('Boletins Nuppa Site'!A1611&lt;&gt;0,'Boletins Nuppa Site'!A1611,"NULL")</f>
        <v>78</v>
      </c>
      <c r="C1611" s="0" t="n">
        <v>20</v>
      </c>
      <c r="D1611" s="0" t="str">
        <f aca="false">IF('Boletins Nuppa Site'!G1611&lt;&gt;0,'Boletins Nuppa Site'!G1611,"NULL")</f>
        <v> 75.00</v>
      </c>
      <c r="E1611" s="30" t="str">
        <f aca="false">IF('Boletins Nuppa Site'!H1611&lt;&gt;0,'Boletins Nuppa Site'!H1611,"NULL")</f>
        <v> 75.00</v>
      </c>
      <c r="F1611" s="30" t="str">
        <f aca="false">IF('Boletins Nuppa Site'!I1611&lt;&gt;0,'Boletins Nuppa Site'!I1611,"NULL")</f>
        <v> 80.00</v>
      </c>
      <c r="G1611" s="30" t="str">
        <f aca="false">IF('Boletins Nuppa Site'!J1611&lt;&gt;0,'Boletins Nuppa Site'!J1611,"NULL")</f>
        <v> 77.50</v>
      </c>
      <c r="H1611" s="30" t="str">
        <f aca="false">IF('Boletins Nuppa Site'!K1611&lt;&gt;0,'Boletins Nuppa Site'!K1611,"NULL")</f>
        <v> 77.50</v>
      </c>
      <c r="I1611" s="0" t="str">
        <f aca="false">"INSERT INTO COTACAO (cot_id, cot_blt_id, cot_pap_id, cot_prc_comum, cot_prc_min, cot_prc_max, cot_prc_med, cot_prc_mediana) VALUES ("&amp;A1611&amp;", "&amp;B1611&amp;", "&amp;C1611&amp;", "&amp;D1611&amp;", "&amp;E1611&amp;", "&amp;F1611&amp;", "&amp;G1611&amp;", "&amp;H1611&amp;");"</f>
        <v>INSERT INTO COTACAO (cot_id, cot_blt_id, cot_pap_id, cot_prc_comum, cot_prc_min, cot_prc_max, cot_prc_med, cot_prc_mediana) VALUES (1610, 78, 20,  75.00,  75.00,  80.00,  77.50,  77.50);</v>
      </c>
      <c r="J1611" s="0" t="str">
        <f aca="false">"UPDATE COTACAO SET cot_id = "&amp;A1611&amp;", cot_blt_id = "&amp;B1611&amp;", cot_pap_id = "&amp;C1611&amp;", cot_prc_comum = "&amp;D1611&amp;", cot_prc_min = "&amp;E1611&amp;", cot_prc_max = "&amp;F1611&amp;", cot_prc_med = "&amp;G1611&amp;", cot_prc_mediana = "&amp;H1611&amp;" WHERE cot_id = "&amp;A1611&amp;";"</f>
        <v>UPDATE COTACAO SET cot_id = 1610, cot_blt_id = 78, cot_pap_id = 20, cot_prc_comum =  75.00, cot_prc_min =  75.00, cot_prc_max =  80.00, cot_prc_med =  77.50, cot_prc_mediana =  77.50 WHERE cot_id = 1610;</v>
      </c>
    </row>
    <row r="1612" customFormat="false" ht="14.25" hidden="false" customHeight="false" outlineLevel="0" collapsed="false">
      <c r="A1612" s="0" t="n">
        <v>1611</v>
      </c>
      <c r="B1612" s="0" t="n">
        <f aca="false">IF('Boletins Nuppa Site'!A1612&lt;&gt;0,'Boletins Nuppa Site'!A1612,"NULL")</f>
        <v>78</v>
      </c>
      <c r="C1612" s="0" t="n">
        <v>21</v>
      </c>
      <c r="D1612" s="0" t="str">
        <f aca="false">IF('Boletins Nuppa Site'!G1612&lt;&gt;0,'Boletins Nuppa Site'!G1612,"NULL")</f>
        <v> 65.00</v>
      </c>
      <c r="E1612" s="30" t="str">
        <f aca="false">IF('Boletins Nuppa Site'!H1612&lt;&gt;0,'Boletins Nuppa Site'!H1612,"NULL")</f>
        <v> 50.00</v>
      </c>
      <c r="F1612" s="30" t="str">
        <f aca="false">IF('Boletins Nuppa Site'!I1612&lt;&gt;0,'Boletins Nuppa Site'!I1612,"NULL")</f>
        <v> 65.00</v>
      </c>
      <c r="G1612" s="30" t="str">
        <f aca="false">IF('Boletins Nuppa Site'!J1612&lt;&gt;0,'Boletins Nuppa Site'!J1612,"NULL")</f>
        <v> 60.00</v>
      </c>
      <c r="H1612" s="30" t="str">
        <f aca="false">IF('Boletins Nuppa Site'!K1612&lt;&gt;0,'Boletins Nuppa Site'!K1612,"NULL")</f>
        <v> 62.50</v>
      </c>
      <c r="I1612" s="0" t="str">
        <f aca="false">"INSERT INTO COTACAO (cot_id, cot_blt_id, cot_pap_id, cot_prc_comum, cot_prc_min, cot_prc_max, cot_prc_med, cot_prc_mediana) VALUES ("&amp;A1612&amp;", "&amp;B1612&amp;", "&amp;C1612&amp;", "&amp;D1612&amp;", "&amp;E1612&amp;", "&amp;F1612&amp;", "&amp;G1612&amp;", "&amp;H1612&amp;");"</f>
        <v>INSERT INTO COTACAO (cot_id, cot_blt_id, cot_pap_id, cot_prc_comum, cot_prc_min, cot_prc_max, cot_prc_med, cot_prc_mediana) VALUES (1611, 78, 21,  65.00,  50.00,  65.00,  60.00,  62.50);</v>
      </c>
      <c r="J1612" s="0" t="str">
        <f aca="false">"UPDATE COTACAO SET cot_id = "&amp;A1612&amp;", cot_blt_id = "&amp;B1612&amp;", cot_pap_id = "&amp;C1612&amp;", cot_prc_comum = "&amp;D1612&amp;", cot_prc_min = "&amp;E1612&amp;", cot_prc_max = "&amp;F1612&amp;", cot_prc_med = "&amp;G1612&amp;", cot_prc_mediana = "&amp;H1612&amp;" WHERE cot_id = "&amp;A1612&amp;";"</f>
        <v>UPDATE COTACAO SET cot_id = 1611, cot_blt_id = 78, cot_pap_id = 21, cot_prc_comum =  65.00, cot_prc_min =  50.00, cot_prc_max =  65.00, cot_prc_med =  60.00, cot_prc_mediana =  62.50 WHERE cot_id = 1611;</v>
      </c>
    </row>
    <row r="1613" customFormat="false" ht="14.25" hidden="false" customHeight="false" outlineLevel="0" collapsed="false">
      <c r="A1613" s="0" t="n">
        <v>1612</v>
      </c>
      <c r="B1613" s="0" t="n">
        <f aca="false">IF('Boletins Nuppa Site'!A1613&lt;&gt;0,'Boletins Nuppa Site'!A1613,"NULL")</f>
        <v>78</v>
      </c>
      <c r="C1613" s="0" t="n">
        <v>22</v>
      </c>
      <c r="D1613" s="0" t="str">
        <f aca="false">IF('Boletins Nuppa Site'!G1613&lt;&gt;0,'Boletins Nuppa Site'!G1613,"NULL")</f>
        <v> 70.00</v>
      </c>
      <c r="E1613" s="30" t="str">
        <f aca="false">IF('Boletins Nuppa Site'!H1613&lt;&gt;0,'Boletins Nuppa Site'!H1613,"NULL")</f>
        <v> 45.00</v>
      </c>
      <c r="F1613" s="30" t="str">
        <f aca="false">IF('Boletins Nuppa Site'!I1613&lt;&gt;0,'Boletins Nuppa Site'!I1613,"NULL")</f>
        <v> 70.00</v>
      </c>
      <c r="G1613" s="30" t="str">
        <f aca="false">IF('Boletins Nuppa Site'!J1613&lt;&gt;0,'Boletins Nuppa Site'!J1613,"NULL")</f>
        <v> 57.50</v>
      </c>
      <c r="H1613" s="30" t="str">
        <f aca="false">IF('Boletins Nuppa Site'!K1613&lt;&gt;0,'Boletins Nuppa Site'!K1613,"NULL")</f>
        <v> 57.50</v>
      </c>
      <c r="I1613" s="0" t="str">
        <f aca="false">"INSERT INTO COTACAO (cot_id, cot_blt_id, cot_pap_id, cot_prc_comum, cot_prc_min, cot_prc_max, cot_prc_med, cot_prc_mediana) VALUES ("&amp;A1613&amp;", "&amp;B1613&amp;", "&amp;C1613&amp;", "&amp;D1613&amp;", "&amp;E1613&amp;", "&amp;F1613&amp;", "&amp;G1613&amp;", "&amp;H1613&amp;");"</f>
        <v>INSERT INTO COTACAO (cot_id, cot_blt_id, cot_pap_id, cot_prc_comum, cot_prc_min, cot_prc_max, cot_prc_med, cot_prc_mediana) VALUES (1612, 78, 22,  70.00,  45.00,  70.00,  57.50,  57.50);</v>
      </c>
      <c r="J1613" s="0" t="str">
        <f aca="false">"UPDATE COTACAO SET cot_id = "&amp;A1613&amp;", cot_blt_id = "&amp;B1613&amp;", cot_pap_id = "&amp;C1613&amp;", cot_prc_comum = "&amp;D1613&amp;", cot_prc_min = "&amp;E1613&amp;", cot_prc_max = "&amp;F1613&amp;", cot_prc_med = "&amp;G1613&amp;", cot_prc_mediana = "&amp;H1613&amp;" WHERE cot_id = "&amp;A1613&amp;";"</f>
        <v>UPDATE COTACAO SET cot_id = 1612, cot_blt_id = 78, cot_pap_id = 22, cot_prc_comum =  70.00, cot_prc_min =  45.00, cot_prc_max =  70.00, cot_prc_med =  57.50, cot_prc_mediana =  57.50 WHERE cot_id = 1612;</v>
      </c>
    </row>
    <row r="1614" customFormat="false" ht="14.25" hidden="false" customHeight="false" outlineLevel="0" collapsed="false">
      <c r="A1614" s="0" t="n">
        <v>1613</v>
      </c>
      <c r="B1614" s="0" t="n">
        <f aca="false">IF('Boletins Nuppa Site'!A1614&lt;&gt;0,'Boletins Nuppa Site'!A1614,"NULL")</f>
        <v>78</v>
      </c>
      <c r="C1614" s="0" t="n">
        <v>23</v>
      </c>
      <c r="D1614" s="0" t="str">
        <f aca="false">IF('Boletins Nuppa Site'!G1614&lt;&gt;0,'Boletins Nuppa Site'!G1614,"NULL")</f>
        <v> 50.00</v>
      </c>
      <c r="E1614" s="30" t="str">
        <f aca="false">IF('Boletins Nuppa Site'!H1614&lt;&gt;0,'Boletins Nuppa Site'!H1614,"NULL")</f>
        <v> 45.00</v>
      </c>
      <c r="F1614" s="30" t="str">
        <f aca="false">IF('Boletins Nuppa Site'!I1614&lt;&gt;0,'Boletins Nuppa Site'!I1614,"NULL")</f>
        <v> 55.00</v>
      </c>
      <c r="G1614" s="30" t="str">
        <f aca="false">IF('Boletins Nuppa Site'!J1614&lt;&gt;0,'Boletins Nuppa Site'!J1614,"NULL")</f>
        <v> 50.00</v>
      </c>
      <c r="H1614" s="30" t="str">
        <f aca="false">IF('Boletins Nuppa Site'!K1614&lt;&gt;0,'Boletins Nuppa Site'!K1614,"NULL")</f>
        <v> 50.00</v>
      </c>
      <c r="I1614" s="0" t="str">
        <f aca="false">"INSERT INTO COTACAO (cot_id, cot_blt_id, cot_pap_id, cot_prc_comum, cot_prc_min, cot_prc_max, cot_prc_med, cot_prc_mediana) VALUES ("&amp;A1614&amp;", "&amp;B1614&amp;", "&amp;C1614&amp;", "&amp;D1614&amp;", "&amp;E1614&amp;", "&amp;F1614&amp;", "&amp;G1614&amp;", "&amp;H1614&amp;");"</f>
        <v>INSERT INTO COTACAO (cot_id, cot_blt_id, cot_pap_id, cot_prc_comum, cot_prc_min, cot_prc_max, cot_prc_med, cot_prc_mediana) VALUES (1613, 78, 23,  50.00,  45.00,  55.00,  50.00,  50.00);</v>
      </c>
      <c r="J1614" s="0" t="str">
        <f aca="false">"UPDATE COTACAO SET cot_id = "&amp;A1614&amp;", cot_blt_id = "&amp;B1614&amp;", cot_pap_id = "&amp;C1614&amp;", cot_prc_comum = "&amp;D1614&amp;", cot_prc_min = "&amp;E1614&amp;", cot_prc_max = "&amp;F1614&amp;", cot_prc_med = "&amp;G1614&amp;", cot_prc_mediana = "&amp;H1614&amp;" WHERE cot_id = "&amp;A1614&amp;";"</f>
        <v>UPDATE COTACAO SET cot_id = 1613, cot_blt_id = 78, cot_pap_id = 23, cot_prc_comum =  50.00, cot_prc_min =  45.00, cot_prc_max =  55.00, cot_prc_med =  50.00, cot_prc_mediana =  50.00 WHERE cot_id = 1613;</v>
      </c>
    </row>
    <row r="1615" customFormat="false" ht="14.25" hidden="false" customHeight="false" outlineLevel="0" collapsed="false">
      <c r="A1615" s="0" t="n">
        <v>1614</v>
      </c>
      <c r="B1615" s="0" t="n">
        <f aca="false">IF('Boletins Nuppa Site'!A1615&lt;&gt;0,'Boletins Nuppa Site'!A1615,"NULL")</f>
        <v>78</v>
      </c>
      <c r="C1615" s="0" t="n">
        <v>24</v>
      </c>
      <c r="D1615" s="0" t="str">
        <f aca="false">IF('Boletins Nuppa Site'!G1615&lt;&gt;0,'Boletins Nuppa Site'!G1615,"NULL")</f>
        <v> 90.00</v>
      </c>
      <c r="E1615" s="30" t="str">
        <f aca="false">IF('Boletins Nuppa Site'!H1615&lt;&gt;0,'Boletins Nuppa Site'!H1615,"NULL")</f>
        <v> 90.00</v>
      </c>
      <c r="F1615" s="30" t="str">
        <f aca="false">IF('Boletins Nuppa Site'!I1615&lt;&gt;0,'Boletins Nuppa Site'!I1615,"NULL")</f>
        <v> 90.00</v>
      </c>
      <c r="G1615" s="30" t="str">
        <f aca="false">IF('Boletins Nuppa Site'!J1615&lt;&gt;0,'Boletins Nuppa Site'!J1615,"NULL")</f>
        <v> 90.00</v>
      </c>
      <c r="H1615" s="30" t="str">
        <f aca="false">IF('Boletins Nuppa Site'!K1615&lt;&gt;0,'Boletins Nuppa Site'!K1615,"NULL")</f>
        <v> 90.00</v>
      </c>
      <c r="I1615" s="0" t="str">
        <f aca="false">"INSERT INTO COTACAO (cot_id, cot_blt_id, cot_pap_id, cot_prc_comum, cot_prc_min, cot_prc_max, cot_prc_med, cot_prc_mediana) VALUES ("&amp;A1615&amp;", "&amp;B1615&amp;", "&amp;C1615&amp;", "&amp;D1615&amp;", "&amp;E1615&amp;", "&amp;F1615&amp;", "&amp;G1615&amp;", "&amp;H1615&amp;");"</f>
        <v>INSERT INTO COTACAO (cot_id, cot_blt_id, cot_pap_id, cot_prc_comum, cot_prc_min, cot_prc_max, cot_prc_med, cot_prc_mediana) VALUES (1614, 78, 24,  90.00,  90.00,  90.00,  90.00,  90.00);</v>
      </c>
      <c r="J1615" s="0" t="str">
        <f aca="false">"UPDATE COTACAO SET cot_id = "&amp;A1615&amp;", cot_blt_id = "&amp;B1615&amp;", cot_pap_id = "&amp;C1615&amp;", cot_prc_comum = "&amp;D1615&amp;", cot_prc_min = "&amp;E1615&amp;", cot_prc_max = "&amp;F1615&amp;", cot_prc_med = "&amp;G1615&amp;", cot_prc_mediana = "&amp;H1615&amp;" WHERE cot_id = "&amp;A1615&amp;";"</f>
        <v>UPDATE COTACAO SET cot_id = 1614, cot_blt_id = 78, cot_pap_id = 24, cot_prc_comum =  90.00, cot_prc_min =  90.00, cot_prc_max =  90.00, cot_prc_med =  90.00, cot_prc_mediana =  90.00 WHERE cot_id = 1614;</v>
      </c>
    </row>
    <row r="1616" customFormat="false" ht="14.25" hidden="false" customHeight="false" outlineLevel="0" collapsed="false">
      <c r="A1616" s="0" t="n">
        <v>1615</v>
      </c>
      <c r="B1616" s="0" t="n">
        <f aca="false">IF('Boletins Nuppa Site'!A1616&lt;&gt;0,'Boletins Nuppa Site'!A1616,"NULL")</f>
        <v>78</v>
      </c>
      <c r="C1616" s="0" t="n">
        <v>25</v>
      </c>
      <c r="D1616" s="0" t="str">
        <f aca="false">IF('Boletins Nuppa Site'!G1616&lt;&gt;0,'Boletins Nuppa Site'!G1616,"NULL")</f>
        <v> 50.00</v>
      </c>
      <c r="E1616" s="30" t="str">
        <f aca="false">IF('Boletins Nuppa Site'!H1616&lt;&gt;0,'Boletins Nuppa Site'!H1616,"NULL")</f>
        <v> 50.00</v>
      </c>
      <c r="F1616" s="30" t="str">
        <f aca="false">IF('Boletins Nuppa Site'!I1616&lt;&gt;0,'Boletins Nuppa Site'!I1616,"NULL")</f>
        <v> 60.00</v>
      </c>
      <c r="G1616" s="30" t="str">
        <f aca="false">IF('Boletins Nuppa Site'!J1616&lt;&gt;0,'Boletins Nuppa Site'!J1616,"NULL")</f>
        <v> 55.00</v>
      </c>
      <c r="H1616" s="30" t="str">
        <f aca="false">IF('Boletins Nuppa Site'!K1616&lt;&gt;0,'Boletins Nuppa Site'!K1616,"NULL")</f>
        <v> 55.00</v>
      </c>
      <c r="I1616" s="0" t="str">
        <f aca="false">"INSERT INTO COTACAO (cot_id, cot_blt_id, cot_pap_id, cot_prc_comum, cot_prc_min, cot_prc_max, cot_prc_med, cot_prc_mediana) VALUES ("&amp;A1616&amp;", "&amp;B1616&amp;", "&amp;C1616&amp;", "&amp;D1616&amp;", "&amp;E1616&amp;", "&amp;F1616&amp;", "&amp;G1616&amp;", "&amp;H1616&amp;");"</f>
        <v>INSERT INTO COTACAO (cot_id, cot_blt_id, cot_pap_id, cot_prc_comum, cot_prc_min, cot_prc_max, cot_prc_med, cot_prc_mediana) VALUES (1615, 78, 25,  50.00,  50.00,  60.00,  55.00,  55.00);</v>
      </c>
      <c r="J1616" s="0" t="str">
        <f aca="false">"UPDATE COTACAO SET cot_id = "&amp;A1616&amp;", cot_blt_id = "&amp;B1616&amp;", cot_pap_id = "&amp;C1616&amp;", cot_prc_comum = "&amp;D1616&amp;", cot_prc_min = "&amp;E1616&amp;", cot_prc_max = "&amp;F1616&amp;", cot_prc_med = "&amp;G1616&amp;", cot_prc_mediana = "&amp;H1616&amp;" WHERE cot_id = "&amp;A1616&amp;";"</f>
        <v>UPDATE COTACAO SET cot_id = 1615, cot_blt_id = 78, cot_pap_id = 25, cot_prc_comum =  50.00, cot_prc_min =  50.00, cot_prc_max =  60.00, cot_prc_med =  55.00, cot_prc_mediana =  55.00 WHERE cot_id = 1615;</v>
      </c>
    </row>
    <row r="1617" customFormat="false" ht="14.25" hidden="false" customHeight="false" outlineLevel="0" collapsed="false">
      <c r="A1617" s="0" t="n">
        <v>1616</v>
      </c>
      <c r="B1617" s="0" t="n">
        <f aca="false">IF('Boletins Nuppa Site'!A1617&lt;&gt;0,'Boletins Nuppa Site'!A1617,"NULL")</f>
        <v>78</v>
      </c>
      <c r="C1617" s="0" t="n">
        <v>26</v>
      </c>
      <c r="D1617" s="0" t="str">
        <f aca="false">IF('Boletins Nuppa Site'!G1617&lt;&gt;0,'Boletins Nuppa Site'!G1617,"NULL")</f>
        <v> 45.00</v>
      </c>
      <c r="E1617" s="30" t="str">
        <f aca="false">IF('Boletins Nuppa Site'!H1617&lt;&gt;0,'Boletins Nuppa Site'!H1617,"NULL")</f>
        <v> 45.00</v>
      </c>
      <c r="F1617" s="30" t="str">
        <f aca="false">IF('Boletins Nuppa Site'!I1617&lt;&gt;0,'Boletins Nuppa Site'!I1617,"NULL")</f>
        <v> 65.00</v>
      </c>
      <c r="G1617" s="30" t="str">
        <f aca="false">IF('Boletins Nuppa Site'!J1617&lt;&gt;0,'Boletins Nuppa Site'!J1617,"NULL")</f>
        <v> 56.25</v>
      </c>
      <c r="H1617" s="30" t="str">
        <f aca="false">IF('Boletins Nuppa Site'!K1617&lt;&gt;0,'Boletins Nuppa Site'!K1617,"NULL")</f>
        <v> 57.50</v>
      </c>
      <c r="I1617" s="0" t="str">
        <f aca="false">"INSERT INTO COTACAO (cot_id, cot_blt_id, cot_pap_id, cot_prc_comum, cot_prc_min, cot_prc_max, cot_prc_med, cot_prc_mediana) VALUES ("&amp;A1617&amp;", "&amp;B1617&amp;", "&amp;C1617&amp;", "&amp;D1617&amp;", "&amp;E1617&amp;", "&amp;F1617&amp;", "&amp;G1617&amp;", "&amp;H1617&amp;");"</f>
        <v>INSERT INTO COTACAO (cot_id, cot_blt_id, cot_pap_id, cot_prc_comum, cot_prc_min, cot_prc_max, cot_prc_med, cot_prc_mediana) VALUES (1616, 78, 26,  45.00,  45.00,  65.00,  56.25,  57.50);</v>
      </c>
      <c r="J1617" s="0" t="str">
        <f aca="false">"UPDATE COTACAO SET cot_id = "&amp;A1617&amp;", cot_blt_id = "&amp;B1617&amp;", cot_pap_id = "&amp;C1617&amp;", cot_prc_comum = "&amp;D1617&amp;", cot_prc_min = "&amp;E1617&amp;", cot_prc_max = "&amp;F1617&amp;", cot_prc_med = "&amp;G1617&amp;", cot_prc_mediana = "&amp;H1617&amp;" WHERE cot_id = "&amp;A1617&amp;";"</f>
        <v>UPDATE COTACAO SET cot_id = 1616, cot_blt_id = 78, cot_pap_id = 26, cot_prc_comum =  45.00, cot_prc_min =  45.00, cot_prc_max =  65.00, cot_prc_med =  56.25, cot_prc_mediana =  57.50 WHERE cot_id = 1616;</v>
      </c>
    </row>
    <row r="1618" customFormat="false" ht="14.25" hidden="false" customHeight="false" outlineLevel="0" collapsed="false">
      <c r="A1618" s="0" t="n">
        <v>1617</v>
      </c>
      <c r="B1618" s="0" t="n">
        <f aca="false">IF('Boletins Nuppa Site'!A1618&lt;&gt;0,'Boletins Nuppa Site'!A1618,"NULL")</f>
        <v>78</v>
      </c>
      <c r="C1618" s="0" t="n">
        <v>27</v>
      </c>
      <c r="D1618" s="0" t="str">
        <f aca="false">IF('Boletins Nuppa Site'!G1618&lt;&gt;0,'Boletins Nuppa Site'!G1618,"NULL")</f>
        <v> 40.00</v>
      </c>
      <c r="E1618" s="30" t="str">
        <f aca="false">IF('Boletins Nuppa Site'!H1618&lt;&gt;0,'Boletins Nuppa Site'!H1618,"NULL")</f>
        <v> 40.00</v>
      </c>
      <c r="F1618" s="30" t="str">
        <f aca="false">IF('Boletins Nuppa Site'!I1618&lt;&gt;0,'Boletins Nuppa Site'!I1618,"NULL")</f>
        <v> 60.00</v>
      </c>
      <c r="G1618" s="30" t="str">
        <f aca="false">IF('Boletins Nuppa Site'!J1618&lt;&gt;0,'Boletins Nuppa Site'!J1618,"NULL")</f>
        <v> 46.25</v>
      </c>
      <c r="H1618" s="30" t="str">
        <f aca="false">IF('Boletins Nuppa Site'!K1618&lt;&gt;0,'Boletins Nuppa Site'!K1618,"NULL")</f>
        <v> 42.50</v>
      </c>
      <c r="I1618" s="0" t="str">
        <f aca="false">"INSERT INTO COTACAO (cot_id, cot_blt_id, cot_pap_id, cot_prc_comum, cot_prc_min, cot_prc_max, cot_prc_med, cot_prc_mediana) VALUES ("&amp;A1618&amp;", "&amp;B1618&amp;", "&amp;C1618&amp;", "&amp;D1618&amp;", "&amp;E1618&amp;", "&amp;F1618&amp;", "&amp;G1618&amp;", "&amp;H1618&amp;");"</f>
        <v>INSERT INTO COTACAO (cot_id, cot_blt_id, cot_pap_id, cot_prc_comum, cot_prc_min, cot_prc_max, cot_prc_med, cot_prc_mediana) VALUES (1617, 78, 27,  40.00,  40.00,  60.00,  46.25,  42.50);</v>
      </c>
      <c r="J1618" s="0" t="str">
        <f aca="false">"UPDATE COTACAO SET cot_id = "&amp;A1618&amp;", cot_blt_id = "&amp;B1618&amp;", cot_pap_id = "&amp;C1618&amp;", cot_prc_comum = "&amp;D1618&amp;", cot_prc_min = "&amp;E1618&amp;", cot_prc_max = "&amp;F1618&amp;", cot_prc_med = "&amp;G1618&amp;", cot_prc_mediana = "&amp;H1618&amp;" WHERE cot_id = "&amp;A1618&amp;";"</f>
        <v>UPDATE COTACAO SET cot_id = 1617, cot_blt_id = 78, cot_pap_id = 27, cot_prc_comum =  40.00, cot_prc_min =  40.00, cot_prc_max =  60.00, cot_prc_med =  46.25, cot_prc_mediana =  42.50 WHERE cot_id = 1617;</v>
      </c>
    </row>
    <row r="1619" customFormat="false" ht="14.25" hidden="false" customHeight="false" outlineLevel="0" collapsed="false">
      <c r="A1619" s="0" t="n">
        <v>1618</v>
      </c>
      <c r="B1619" s="0" t="n">
        <f aca="false">IF('Boletins Nuppa Site'!A1619&lt;&gt;0,'Boletins Nuppa Site'!A1619,"NULL")</f>
        <v>78</v>
      </c>
      <c r="C1619" s="0" t="n">
        <v>28</v>
      </c>
      <c r="D1619" s="0" t="str">
        <f aca="false">IF('Boletins Nuppa Site'!G1619&lt;&gt;0,'Boletins Nuppa Site'!G1619,"NULL")</f>
        <v> 100.00</v>
      </c>
      <c r="E1619" s="30" t="str">
        <f aca="false">IF('Boletins Nuppa Site'!H1619&lt;&gt;0,'Boletins Nuppa Site'!H1619,"NULL")</f>
        <v> 100.00</v>
      </c>
      <c r="F1619" s="30" t="str">
        <f aca="false">IF('Boletins Nuppa Site'!I1619&lt;&gt;0,'Boletins Nuppa Site'!I1619,"NULL")</f>
        <v> 120.00</v>
      </c>
      <c r="G1619" s="30" t="str">
        <f aca="false">IF('Boletins Nuppa Site'!J1619&lt;&gt;0,'Boletins Nuppa Site'!J1619,"NULL")</f>
        <v> 110.00</v>
      </c>
      <c r="H1619" s="30" t="str">
        <f aca="false">IF('Boletins Nuppa Site'!K1619&lt;&gt;0,'Boletins Nuppa Site'!K1619,"NULL")</f>
        <v> 110.00</v>
      </c>
      <c r="I1619" s="0" t="str">
        <f aca="false">"INSERT INTO COTACAO (cot_id, cot_blt_id, cot_pap_id, cot_prc_comum, cot_prc_min, cot_prc_max, cot_prc_med, cot_prc_mediana) VALUES ("&amp;A1619&amp;", "&amp;B1619&amp;", "&amp;C1619&amp;", "&amp;D1619&amp;", "&amp;E1619&amp;", "&amp;F1619&amp;", "&amp;G1619&amp;", "&amp;H1619&amp;");"</f>
        <v>INSERT INTO COTACAO (cot_id, cot_blt_id, cot_pap_id, cot_prc_comum, cot_prc_min, cot_prc_max, cot_prc_med, cot_prc_mediana) VALUES (1618, 78, 28,  100.00,  100.00,  120.00,  110.00,  110.00);</v>
      </c>
      <c r="J1619" s="0" t="str">
        <f aca="false">"UPDATE COTACAO SET cot_id = "&amp;A1619&amp;", cot_blt_id = "&amp;B1619&amp;", cot_pap_id = "&amp;C1619&amp;", cot_prc_comum = "&amp;D1619&amp;", cot_prc_min = "&amp;E1619&amp;", cot_prc_max = "&amp;F1619&amp;", cot_prc_med = "&amp;G1619&amp;", cot_prc_mediana = "&amp;H1619&amp;" WHERE cot_id = "&amp;A1619&amp;";"</f>
        <v>UPDATE COTACAO SET cot_id = 1618, cot_blt_id = 78, cot_pap_id = 28, cot_prc_comum =  100.00, cot_prc_min =  100.00, cot_prc_max =  120.00, cot_prc_med =  110.00, cot_prc_mediana =  110.00 WHERE cot_id = 1618;</v>
      </c>
    </row>
    <row r="1620" customFormat="false" ht="14.25" hidden="false" customHeight="false" outlineLevel="0" collapsed="false">
      <c r="A1620" s="0" t="n">
        <v>1619</v>
      </c>
      <c r="B1620" s="0" t="n">
        <f aca="false">IF('Boletins Nuppa Site'!A1620&lt;&gt;0,'Boletins Nuppa Site'!A1620,"NULL")</f>
        <v>78</v>
      </c>
      <c r="C1620" s="0" t="n">
        <v>29</v>
      </c>
      <c r="D1620" s="0" t="str">
        <f aca="false">IF('Boletins Nuppa Site'!G1620&lt;&gt;0,'Boletins Nuppa Site'!G1620,"NULL")</f>
        <v> 65.00</v>
      </c>
      <c r="E1620" s="30" t="str">
        <f aca="false">IF('Boletins Nuppa Site'!H1620&lt;&gt;0,'Boletins Nuppa Site'!H1620,"NULL")</f>
        <v> 65.00</v>
      </c>
      <c r="F1620" s="30" t="str">
        <f aca="false">IF('Boletins Nuppa Site'!I1620&lt;&gt;0,'Boletins Nuppa Site'!I1620,"NULL")</f>
        <v> 65.00</v>
      </c>
      <c r="G1620" s="30" t="str">
        <f aca="false">IF('Boletins Nuppa Site'!J1620&lt;&gt;0,'Boletins Nuppa Site'!J1620,"NULL")</f>
        <v> 65.00</v>
      </c>
      <c r="H1620" s="30" t="str">
        <f aca="false">IF('Boletins Nuppa Site'!K1620&lt;&gt;0,'Boletins Nuppa Site'!K1620,"NULL")</f>
        <v> 65.00</v>
      </c>
      <c r="I1620" s="0" t="str">
        <f aca="false">"INSERT INTO COTACAO (cot_id, cot_blt_id, cot_pap_id, cot_prc_comum, cot_prc_min, cot_prc_max, cot_prc_med, cot_prc_mediana) VALUES ("&amp;A1620&amp;", "&amp;B1620&amp;", "&amp;C1620&amp;", "&amp;D1620&amp;", "&amp;E1620&amp;", "&amp;F1620&amp;", "&amp;G1620&amp;", "&amp;H1620&amp;");"</f>
        <v>INSERT INTO COTACAO (cot_id, cot_blt_id, cot_pap_id, cot_prc_comum, cot_prc_min, cot_prc_max, cot_prc_med, cot_prc_mediana) VALUES (1619, 78, 29,  65.00,  65.00,  65.00,  65.00,  65.00);</v>
      </c>
      <c r="J1620" s="0" t="str">
        <f aca="false">"UPDATE COTACAO SET cot_id = "&amp;A1620&amp;", cot_blt_id = "&amp;B1620&amp;", cot_pap_id = "&amp;C1620&amp;", cot_prc_comum = "&amp;D1620&amp;", cot_prc_min = "&amp;E1620&amp;", cot_prc_max = "&amp;F1620&amp;", cot_prc_med = "&amp;G1620&amp;", cot_prc_mediana = "&amp;H1620&amp;" WHERE cot_id = "&amp;A1620&amp;";"</f>
        <v>UPDATE COTACAO SET cot_id = 1619, cot_blt_id = 78, cot_pap_id = 29, cot_prc_comum =  65.00, cot_prc_min =  65.00, cot_prc_max =  65.00, cot_prc_med =  65.00, cot_prc_mediana =  65.00 WHERE cot_id = 1619;</v>
      </c>
    </row>
    <row r="1621" customFormat="false" ht="14.25" hidden="false" customHeight="false" outlineLevel="0" collapsed="false">
      <c r="A1621" s="0" t="n">
        <v>1620</v>
      </c>
      <c r="B1621" s="0" t="n">
        <f aca="false">IF('Boletins Nuppa Site'!A1621&lt;&gt;0,'Boletins Nuppa Site'!A1621,"NULL")</f>
        <v>78</v>
      </c>
      <c r="C1621" s="0" t="n">
        <v>30</v>
      </c>
      <c r="D1621" s="0" t="str">
        <f aca="false">IF('Boletins Nuppa Site'!G1621&lt;&gt;0,'Boletins Nuppa Site'!G1621,"NULL")</f>
        <v> 45.00</v>
      </c>
      <c r="E1621" s="30" t="str">
        <f aca="false">IF('Boletins Nuppa Site'!H1621&lt;&gt;0,'Boletins Nuppa Site'!H1621,"NULL")</f>
        <v> 45.00</v>
      </c>
      <c r="F1621" s="30" t="str">
        <f aca="false">IF('Boletins Nuppa Site'!I1621&lt;&gt;0,'Boletins Nuppa Site'!I1621,"NULL")</f>
        <v> 70.00</v>
      </c>
      <c r="G1621" s="30" t="str">
        <f aca="false">IF('Boletins Nuppa Site'!J1621&lt;&gt;0,'Boletins Nuppa Site'!J1621,"NULL")</f>
        <v> 53.33</v>
      </c>
      <c r="H1621" s="30" t="str">
        <f aca="false">IF('Boletins Nuppa Site'!K1621&lt;&gt;0,'Boletins Nuppa Site'!K1621,"NULL")</f>
        <v> 45.00</v>
      </c>
      <c r="I1621" s="0" t="str">
        <f aca="false">"INSERT INTO COTACAO (cot_id, cot_blt_id, cot_pap_id, cot_prc_comum, cot_prc_min, cot_prc_max, cot_prc_med, cot_prc_mediana) VALUES ("&amp;A1621&amp;", "&amp;B1621&amp;", "&amp;C1621&amp;", "&amp;D1621&amp;", "&amp;E1621&amp;", "&amp;F1621&amp;", "&amp;G1621&amp;", "&amp;H1621&amp;");"</f>
        <v>INSERT INTO COTACAO (cot_id, cot_blt_id, cot_pap_id, cot_prc_comum, cot_prc_min, cot_prc_max, cot_prc_med, cot_prc_mediana) VALUES (1620, 78, 30,  45.00,  45.00,  70.00,  53.33,  45.00);</v>
      </c>
      <c r="J1621" s="0" t="str">
        <f aca="false">"UPDATE COTACAO SET cot_id = "&amp;A1621&amp;", cot_blt_id = "&amp;B1621&amp;", cot_pap_id = "&amp;C1621&amp;", cot_prc_comum = "&amp;D1621&amp;", cot_prc_min = "&amp;E1621&amp;", cot_prc_max = "&amp;F1621&amp;", cot_prc_med = "&amp;G1621&amp;", cot_prc_mediana = "&amp;H1621&amp;" WHERE cot_id = "&amp;A1621&amp;";"</f>
        <v>UPDATE COTACAO SET cot_id = 1620, cot_blt_id = 78, cot_pap_id = 30, cot_prc_comum =  45.00, cot_prc_min =  45.00, cot_prc_max =  70.00, cot_prc_med =  53.33, cot_prc_mediana =  45.00 WHERE cot_id = 1620;</v>
      </c>
    </row>
    <row r="1622" customFormat="false" ht="14.25" hidden="false" customHeight="false" outlineLevel="0" collapsed="false">
      <c r="A1622" s="0" t="n">
        <v>1621</v>
      </c>
      <c r="B1622" s="0" t="n">
        <f aca="false">IF('Boletins Nuppa Site'!A1622&lt;&gt;0,'Boletins Nuppa Site'!A1622,"NULL")</f>
        <v>78</v>
      </c>
      <c r="C1622" s="0" t="n">
        <v>31</v>
      </c>
      <c r="D1622" s="0" t="str">
        <f aca="false">IF('Boletins Nuppa Site'!G1622&lt;&gt;0,'Boletins Nuppa Site'!G1622,"NULL")</f>
        <v> 60.00</v>
      </c>
      <c r="E1622" s="30" t="str">
        <f aca="false">IF('Boletins Nuppa Site'!H1622&lt;&gt;0,'Boletins Nuppa Site'!H1622,"NULL")</f>
        <v> 50.00</v>
      </c>
      <c r="F1622" s="30" t="str">
        <f aca="false">IF('Boletins Nuppa Site'!I1622&lt;&gt;0,'Boletins Nuppa Site'!I1622,"NULL")</f>
        <v> 60.00</v>
      </c>
      <c r="G1622" s="30" t="str">
        <f aca="false">IF('Boletins Nuppa Site'!J1622&lt;&gt;0,'Boletins Nuppa Site'!J1622,"NULL")</f>
        <v> 57.50</v>
      </c>
      <c r="H1622" s="30" t="str">
        <f aca="false">IF('Boletins Nuppa Site'!K1622&lt;&gt;0,'Boletins Nuppa Site'!K1622,"NULL")</f>
        <v> 60.00</v>
      </c>
      <c r="I1622" s="0" t="str">
        <f aca="false">"INSERT INTO COTACAO (cot_id, cot_blt_id, cot_pap_id, cot_prc_comum, cot_prc_min, cot_prc_max, cot_prc_med, cot_prc_mediana) VALUES ("&amp;A1622&amp;", "&amp;B1622&amp;", "&amp;C1622&amp;", "&amp;D1622&amp;", "&amp;E1622&amp;", "&amp;F1622&amp;", "&amp;G1622&amp;", "&amp;H1622&amp;");"</f>
        <v>INSERT INTO COTACAO (cot_id, cot_blt_id, cot_pap_id, cot_prc_comum, cot_prc_min, cot_prc_max, cot_prc_med, cot_prc_mediana) VALUES (1621, 78, 31,  60.00,  50.00,  60.00,  57.50,  60.00);</v>
      </c>
      <c r="J1622" s="0" t="str">
        <f aca="false">"UPDATE COTACAO SET cot_id = "&amp;A1622&amp;", cot_blt_id = "&amp;B1622&amp;", cot_pap_id = "&amp;C1622&amp;", cot_prc_comum = "&amp;D1622&amp;", cot_prc_min = "&amp;E1622&amp;", cot_prc_max = "&amp;F1622&amp;", cot_prc_med = "&amp;G1622&amp;", cot_prc_mediana = "&amp;H1622&amp;" WHERE cot_id = "&amp;A1622&amp;";"</f>
        <v>UPDATE COTACAO SET cot_id = 1621, cot_blt_id = 78, cot_pap_id = 31, cot_prc_comum =  60.00, cot_prc_min =  50.00, cot_prc_max =  60.00, cot_prc_med =  57.50, cot_prc_mediana =  60.00 WHERE cot_id = 1621;</v>
      </c>
    </row>
    <row r="1623" customFormat="false" ht="14.25" hidden="false" customHeight="false" outlineLevel="0" collapsed="false">
      <c r="A1623" s="0" t="n">
        <v>1622</v>
      </c>
      <c r="B1623" s="0" t="n">
        <f aca="false">IF('Boletins Nuppa Site'!A1623&lt;&gt;0,'Boletins Nuppa Site'!A1623,"NULL")</f>
        <v>78</v>
      </c>
      <c r="C1623" s="0" t="n">
        <v>32</v>
      </c>
      <c r="D1623" s="0" t="str">
        <f aca="false">IF('Boletins Nuppa Site'!G1623&lt;&gt;0,'Boletins Nuppa Site'!G1623,"NULL")</f>
        <v> 50.00</v>
      </c>
      <c r="E1623" s="30" t="str">
        <f aca="false">IF('Boletins Nuppa Site'!H1623&lt;&gt;0,'Boletins Nuppa Site'!H1623,"NULL")</f>
        <v> 45.00</v>
      </c>
      <c r="F1623" s="30" t="str">
        <f aca="false">IF('Boletins Nuppa Site'!I1623&lt;&gt;0,'Boletins Nuppa Site'!I1623,"NULL")</f>
        <v> 50.00</v>
      </c>
      <c r="G1623" s="30" t="str">
        <f aca="false">IF('Boletins Nuppa Site'!J1623&lt;&gt;0,'Boletins Nuppa Site'!J1623,"NULL")</f>
        <v> 48.75</v>
      </c>
      <c r="H1623" s="30" t="str">
        <f aca="false">IF('Boletins Nuppa Site'!K1623&lt;&gt;0,'Boletins Nuppa Site'!K1623,"NULL")</f>
        <v> 50.00</v>
      </c>
      <c r="I1623" s="0" t="str">
        <f aca="false">"INSERT INTO COTACAO (cot_id, cot_blt_id, cot_pap_id, cot_prc_comum, cot_prc_min, cot_prc_max, cot_prc_med, cot_prc_mediana) VALUES ("&amp;A1623&amp;", "&amp;B1623&amp;", "&amp;C1623&amp;", "&amp;D1623&amp;", "&amp;E1623&amp;", "&amp;F1623&amp;", "&amp;G1623&amp;", "&amp;H1623&amp;");"</f>
        <v>INSERT INTO COTACAO (cot_id, cot_blt_id, cot_pap_id, cot_prc_comum, cot_prc_min, cot_prc_max, cot_prc_med, cot_prc_mediana) VALUES (1622, 78, 32,  50.00,  45.00,  50.00,  48.75,  50.00);</v>
      </c>
      <c r="J1623" s="0" t="str">
        <f aca="false">"UPDATE COTACAO SET cot_id = "&amp;A1623&amp;", cot_blt_id = "&amp;B1623&amp;", cot_pap_id = "&amp;C1623&amp;", cot_prc_comum = "&amp;D1623&amp;", cot_prc_min = "&amp;E1623&amp;", cot_prc_max = "&amp;F1623&amp;", cot_prc_med = "&amp;G1623&amp;", cot_prc_mediana = "&amp;H1623&amp;" WHERE cot_id = "&amp;A1623&amp;";"</f>
        <v>UPDATE COTACAO SET cot_id = 1622, cot_blt_id = 78, cot_pap_id = 32, cot_prc_comum =  50.00, cot_prc_min =  45.00, cot_prc_max =  50.00, cot_prc_med =  48.75, cot_prc_mediana =  50.00 WHERE cot_id = 1622;</v>
      </c>
    </row>
    <row r="1624" customFormat="false" ht="14.25" hidden="false" customHeight="false" outlineLevel="0" collapsed="false">
      <c r="A1624" s="0" t="n">
        <v>1623</v>
      </c>
      <c r="B1624" s="0" t="n">
        <f aca="false">IF('Boletins Nuppa Site'!A1624&lt;&gt;0,'Boletins Nuppa Site'!A1624,"NULL")</f>
        <v>78</v>
      </c>
      <c r="C1624" s="0" t="n">
        <v>33</v>
      </c>
      <c r="D1624" s="0" t="str">
        <f aca="false">IF('Boletins Nuppa Site'!G1624&lt;&gt;0,'Boletins Nuppa Site'!G1624,"NULL")</f>
        <v> 180.00</v>
      </c>
      <c r="E1624" s="30" t="str">
        <f aca="false">IF('Boletins Nuppa Site'!H1624&lt;&gt;0,'Boletins Nuppa Site'!H1624,"NULL")</f>
        <v> 180.00</v>
      </c>
      <c r="F1624" s="30" t="str">
        <f aca="false">IF('Boletins Nuppa Site'!I1624&lt;&gt;0,'Boletins Nuppa Site'!I1624,"NULL")</f>
        <v> 180.00</v>
      </c>
      <c r="G1624" s="30" t="str">
        <f aca="false">IF('Boletins Nuppa Site'!J1624&lt;&gt;0,'Boletins Nuppa Site'!J1624,"NULL")</f>
        <v> 180.00</v>
      </c>
      <c r="H1624" s="30" t="str">
        <f aca="false">IF('Boletins Nuppa Site'!K1624&lt;&gt;0,'Boletins Nuppa Site'!K1624,"NULL")</f>
        <v> 180.00</v>
      </c>
      <c r="I1624" s="0" t="str">
        <f aca="false">"INSERT INTO COTACAO (cot_id, cot_blt_id, cot_pap_id, cot_prc_comum, cot_prc_min, cot_prc_max, cot_prc_med, cot_prc_mediana) VALUES ("&amp;A1624&amp;", "&amp;B1624&amp;", "&amp;C1624&amp;", "&amp;D1624&amp;", "&amp;E1624&amp;", "&amp;F1624&amp;", "&amp;G1624&amp;", "&amp;H1624&amp;");"</f>
        <v>INSERT INTO COTACAO (cot_id, cot_blt_id, cot_pap_id, cot_prc_comum, cot_prc_min, cot_prc_max, cot_prc_med, cot_prc_mediana) VALUES (1623, 78, 33,  180.00,  180.00,  180.00,  180.00,  180.00);</v>
      </c>
      <c r="J1624" s="0" t="str">
        <f aca="false">"UPDATE COTACAO SET cot_id = "&amp;A1624&amp;", cot_blt_id = "&amp;B1624&amp;", cot_pap_id = "&amp;C1624&amp;", cot_prc_comum = "&amp;D1624&amp;", cot_prc_min = "&amp;E1624&amp;", cot_prc_max = "&amp;F1624&amp;", cot_prc_med = "&amp;G1624&amp;", cot_prc_mediana = "&amp;H1624&amp;" WHERE cot_id = "&amp;A1624&amp;";"</f>
        <v>UPDATE COTACAO SET cot_id = 1623, cot_blt_id = 78, cot_pap_id = 33, cot_prc_comum =  180.00, cot_prc_min =  180.00, cot_prc_max =  180.00, cot_prc_med =  180.00, cot_prc_mediana =  180.00 WHERE cot_id = 1623;</v>
      </c>
    </row>
    <row r="1625" customFormat="false" ht="14.25" hidden="false" customHeight="false" outlineLevel="0" collapsed="false">
      <c r="A1625" s="0" t="n">
        <v>1624</v>
      </c>
      <c r="B1625" s="0" t="n">
        <f aca="false">IF('Boletins Nuppa Site'!A1625&lt;&gt;0,'Boletins Nuppa Site'!A1625,"NULL")</f>
        <v>78</v>
      </c>
      <c r="C1625" s="0" t="n">
        <v>34</v>
      </c>
      <c r="D1625" s="0" t="str">
        <f aca="false">IF('Boletins Nuppa Site'!G1625&lt;&gt;0,'Boletins Nuppa Site'!G1625,"NULL")</f>
        <v> 65.00</v>
      </c>
      <c r="E1625" s="30" t="str">
        <f aca="false">IF('Boletins Nuppa Site'!H1625&lt;&gt;0,'Boletins Nuppa Site'!H1625,"NULL")</f>
        <v> 65.00</v>
      </c>
      <c r="F1625" s="30" t="str">
        <f aca="false">IF('Boletins Nuppa Site'!I1625&lt;&gt;0,'Boletins Nuppa Site'!I1625,"NULL")</f>
        <v> 80.00</v>
      </c>
      <c r="G1625" s="30" t="str">
        <f aca="false">IF('Boletins Nuppa Site'!J1625&lt;&gt;0,'Boletins Nuppa Site'!J1625,"NULL")</f>
        <v> 70.00</v>
      </c>
      <c r="H1625" s="30" t="str">
        <f aca="false">IF('Boletins Nuppa Site'!K1625&lt;&gt;0,'Boletins Nuppa Site'!K1625,"NULL")</f>
        <v> 67.50</v>
      </c>
      <c r="I1625" s="0" t="str">
        <f aca="false">"INSERT INTO COTACAO (cot_id, cot_blt_id, cot_pap_id, cot_prc_comum, cot_prc_min, cot_prc_max, cot_prc_med, cot_prc_mediana) VALUES ("&amp;A1625&amp;", "&amp;B1625&amp;", "&amp;C1625&amp;", "&amp;D1625&amp;", "&amp;E1625&amp;", "&amp;F1625&amp;", "&amp;G1625&amp;", "&amp;H1625&amp;");"</f>
        <v>INSERT INTO COTACAO (cot_id, cot_blt_id, cot_pap_id, cot_prc_comum, cot_prc_min, cot_prc_max, cot_prc_med, cot_prc_mediana) VALUES (1624, 78, 34,  65.00,  65.00,  80.00,  70.00,  67.50);</v>
      </c>
      <c r="J1625" s="0" t="str">
        <f aca="false">"UPDATE COTACAO SET cot_id = "&amp;A1625&amp;", cot_blt_id = "&amp;B1625&amp;", cot_pap_id = "&amp;C1625&amp;", cot_prc_comum = "&amp;D1625&amp;", cot_prc_min = "&amp;E1625&amp;", cot_prc_max = "&amp;F1625&amp;", cot_prc_med = "&amp;G1625&amp;", cot_prc_mediana = "&amp;H1625&amp;" WHERE cot_id = "&amp;A1625&amp;";"</f>
        <v>UPDATE COTACAO SET cot_id = 1624, cot_blt_id = 78, cot_pap_id = 34, cot_prc_comum =  65.00, cot_prc_min =  65.00, cot_prc_max =  80.00, cot_prc_med =  70.00, cot_prc_mediana =  67.50 WHERE cot_id = 1624;</v>
      </c>
    </row>
    <row r="1626" customFormat="false" ht="14.25" hidden="false" customHeight="false" outlineLevel="0" collapsed="false">
      <c r="A1626" s="0" t="n">
        <v>1625</v>
      </c>
      <c r="B1626" s="0" t="n">
        <f aca="false">IF('Boletins Nuppa Site'!A1626&lt;&gt;0,'Boletins Nuppa Site'!A1626,"NULL")</f>
        <v>78</v>
      </c>
      <c r="C1626" s="0" t="n">
        <v>35</v>
      </c>
      <c r="D1626" s="0" t="str">
        <f aca="false">IF('Boletins Nuppa Site'!G1626&lt;&gt;0,'Boletins Nuppa Site'!G1626,"NULL")</f>
        <v> 50.00</v>
      </c>
      <c r="E1626" s="30" t="str">
        <f aca="false">IF('Boletins Nuppa Site'!H1626&lt;&gt;0,'Boletins Nuppa Site'!H1626,"NULL")</f>
        <v> 50.00</v>
      </c>
      <c r="F1626" s="30" t="str">
        <f aca="false">IF('Boletins Nuppa Site'!I1626&lt;&gt;0,'Boletins Nuppa Site'!I1626,"NULL")</f>
        <v> 80.00</v>
      </c>
      <c r="G1626" s="30" t="str">
        <f aca="false">IF('Boletins Nuppa Site'!J1626&lt;&gt;0,'Boletins Nuppa Site'!J1626,"NULL")</f>
        <v> 60.00</v>
      </c>
      <c r="H1626" s="30" t="str">
        <f aca="false">IF('Boletins Nuppa Site'!K1626&lt;&gt;0,'Boletins Nuppa Site'!K1626,"NULL")</f>
        <v> 55.00</v>
      </c>
      <c r="I1626" s="0" t="str">
        <f aca="false">"INSERT INTO COTACAO (cot_id, cot_blt_id, cot_pap_id, cot_prc_comum, cot_prc_min, cot_prc_max, cot_prc_med, cot_prc_mediana) VALUES ("&amp;A1626&amp;", "&amp;B1626&amp;", "&amp;C1626&amp;", "&amp;D1626&amp;", "&amp;E1626&amp;", "&amp;F1626&amp;", "&amp;G1626&amp;", "&amp;H1626&amp;");"</f>
        <v>INSERT INTO COTACAO (cot_id, cot_blt_id, cot_pap_id, cot_prc_comum, cot_prc_min, cot_prc_max, cot_prc_med, cot_prc_mediana) VALUES (1625, 78, 35,  50.00,  50.00,  80.00,  60.00,  55.00);</v>
      </c>
      <c r="J1626" s="0" t="str">
        <f aca="false">"UPDATE COTACAO SET cot_id = "&amp;A1626&amp;", cot_blt_id = "&amp;B1626&amp;", cot_pap_id = "&amp;C1626&amp;", cot_prc_comum = "&amp;D1626&amp;", cot_prc_min = "&amp;E1626&amp;", cot_prc_max = "&amp;F1626&amp;", cot_prc_med = "&amp;G1626&amp;", cot_prc_mediana = "&amp;H1626&amp;" WHERE cot_id = "&amp;A1626&amp;";"</f>
        <v>UPDATE COTACAO SET cot_id = 1625, cot_blt_id = 78, cot_pap_id = 35, cot_prc_comum =  50.00, cot_prc_min =  50.00, cot_prc_max =  80.00, cot_prc_med =  60.00, cot_prc_mediana =  55.00 WHERE cot_id = 1625;</v>
      </c>
    </row>
    <row r="1627" customFormat="false" ht="14.25" hidden="false" customHeight="false" outlineLevel="0" collapsed="false">
      <c r="A1627" s="0" t="n">
        <v>1626</v>
      </c>
      <c r="B1627" s="0" t="n">
        <f aca="false">IF('Boletins Nuppa Site'!A1627&lt;&gt;0,'Boletins Nuppa Site'!A1627,"NULL")</f>
        <v>78</v>
      </c>
      <c r="C1627" s="0" t="n">
        <v>36</v>
      </c>
      <c r="D1627" s="0" t="str">
        <f aca="false">IF('Boletins Nuppa Site'!G1627&lt;&gt;0,'Boletins Nuppa Site'!G1627,"NULL")</f>
        <v>NULL</v>
      </c>
      <c r="E1627" s="30" t="str">
        <f aca="false">IF('Boletins Nuppa Site'!H1627&lt;&gt;0,'Boletins Nuppa Site'!H1627,"NULL")</f>
        <v>NULL</v>
      </c>
      <c r="F1627" s="30" t="str">
        <f aca="false">IF('Boletins Nuppa Site'!I1627&lt;&gt;0,'Boletins Nuppa Site'!I1627,"NULL")</f>
        <v>NULL</v>
      </c>
      <c r="G1627" s="30" t="str">
        <f aca="false">IF('Boletins Nuppa Site'!J1627&lt;&gt;0,'Boletins Nuppa Site'!J1627,"NULL")</f>
        <v>NULL</v>
      </c>
      <c r="H1627" s="30" t="str">
        <f aca="false">IF('Boletins Nuppa Site'!K1627&lt;&gt;0,'Boletins Nuppa Site'!K1627,"NULL")</f>
        <v>NULL</v>
      </c>
      <c r="I1627" s="0" t="str">
        <f aca="false">"INSERT INTO COTACAO (cot_id, cot_blt_id, cot_pap_id, cot_prc_comum, cot_prc_min, cot_prc_max, cot_prc_med, cot_prc_mediana) VALUES ("&amp;A1627&amp;", "&amp;B1627&amp;", "&amp;C1627&amp;", "&amp;D1627&amp;", "&amp;E1627&amp;", "&amp;F1627&amp;", "&amp;G1627&amp;", "&amp;H1627&amp;");"</f>
        <v>INSERT INTO COTACAO (cot_id, cot_blt_id, cot_pap_id, cot_prc_comum, cot_prc_min, cot_prc_max, cot_prc_med, cot_prc_mediana) VALUES (1626, 78, 36, NULL, NULL, NULL, NULL, NULL);</v>
      </c>
      <c r="J1627" s="0" t="str">
        <f aca="false">"UPDATE COTACAO SET cot_id = "&amp;A1627&amp;", cot_blt_id = "&amp;B1627&amp;", cot_pap_id = "&amp;C1627&amp;", cot_prc_comum = "&amp;D1627&amp;", cot_prc_min = "&amp;E1627&amp;", cot_prc_max = "&amp;F1627&amp;", cot_prc_med = "&amp;G1627&amp;", cot_prc_mediana = "&amp;H1627&amp;" WHERE cot_id = "&amp;A1627&amp;";"</f>
        <v>UPDATE COTACAO SET cot_id = 1626, cot_blt_id = 78, cot_pap_id = 36, cot_prc_comum = NULL, cot_prc_min = NULL, cot_prc_max = NULL, cot_prc_med = NULL, cot_prc_mediana = NULL WHERE cot_id = 1626;</v>
      </c>
    </row>
    <row r="1628" customFormat="false" ht="14.25" hidden="false" customHeight="false" outlineLevel="0" collapsed="false">
      <c r="A1628" s="0" t="n">
        <v>1627</v>
      </c>
      <c r="B1628" s="0" t="n">
        <f aca="false">IF('Boletins Nuppa Site'!A1628&lt;&gt;0,'Boletins Nuppa Site'!A1628,"NULL")</f>
        <v>78</v>
      </c>
      <c r="C1628" s="0" t="n">
        <v>37</v>
      </c>
      <c r="D1628" s="0" t="str">
        <f aca="false">IF('Boletins Nuppa Site'!G1628&lt;&gt;0,'Boletins Nuppa Site'!G1628,"NULL")</f>
        <v>NULL</v>
      </c>
      <c r="E1628" s="30" t="str">
        <f aca="false">IF('Boletins Nuppa Site'!H1628&lt;&gt;0,'Boletins Nuppa Site'!H1628,"NULL")</f>
        <v>NULL</v>
      </c>
      <c r="F1628" s="30" t="str">
        <f aca="false">IF('Boletins Nuppa Site'!I1628&lt;&gt;0,'Boletins Nuppa Site'!I1628,"NULL")</f>
        <v>NULL</v>
      </c>
      <c r="G1628" s="30" t="str">
        <f aca="false">IF('Boletins Nuppa Site'!J1628&lt;&gt;0,'Boletins Nuppa Site'!J1628,"NULL")</f>
        <v>NULL</v>
      </c>
      <c r="H1628" s="30" t="str">
        <f aca="false">IF('Boletins Nuppa Site'!K1628&lt;&gt;0,'Boletins Nuppa Site'!K1628,"NULL")</f>
        <v>NULL</v>
      </c>
      <c r="I1628" s="0" t="str">
        <f aca="false">"INSERT INTO COTACAO (cot_id, cot_blt_id, cot_pap_id, cot_prc_comum, cot_prc_min, cot_prc_max, cot_prc_med, cot_prc_mediana) VALUES ("&amp;A1628&amp;", "&amp;B1628&amp;", "&amp;C1628&amp;", "&amp;D1628&amp;", "&amp;E1628&amp;", "&amp;F1628&amp;", "&amp;G1628&amp;", "&amp;H1628&amp;");"</f>
        <v>INSERT INTO COTACAO (cot_id, cot_blt_id, cot_pap_id, cot_prc_comum, cot_prc_min, cot_prc_max, cot_prc_med, cot_prc_mediana) VALUES (1627, 78, 37, NULL, NULL, NULL, NULL, NULL);</v>
      </c>
      <c r="J1628" s="0" t="str">
        <f aca="false">"UPDATE COTACAO SET cot_id = "&amp;A1628&amp;", cot_blt_id = "&amp;B1628&amp;", cot_pap_id = "&amp;C1628&amp;", cot_prc_comum = "&amp;D1628&amp;", cot_prc_min = "&amp;E1628&amp;", cot_prc_max = "&amp;F1628&amp;", cot_prc_med = "&amp;G1628&amp;", cot_prc_mediana = "&amp;H1628&amp;" WHERE cot_id = "&amp;A1628&amp;";"</f>
        <v>UPDATE COTACAO SET cot_id = 1627, cot_blt_id = 78, cot_pap_id = 37, cot_prc_comum = NULL, cot_prc_min = NULL, cot_prc_max = NULL, cot_prc_med = NULL, cot_prc_mediana = NULL WHERE cot_id = 1627;</v>
      </c>
    </row>
    <row r="1629" customFormat="false" ht="14.25" hidden="false" customHeight="false" outlineLevel="0" collapsed="false">
      <c r="A1629" s="0" t="n">
        <v>1628</v>
      </c>
      <c r="B1629" s="0" t="n">
        <f aca="false">IF('Boletins Nuppa Site'!A1629&lt;&gt;0,'Boletins Nuppa Site'!A1629,"NULL")</f>
        <v>78</v>
      </c>
      <c r="C1629" s="0" t="n">
        <v>38</v>
      </c>
      <c r="D1629" s="0" t="str">
        <f aca="false">IF('Boletins Nuppa Site'!G1629&lt;&gt;0,'Boletins Nuppa Site'!G1629,"NULL")</f>
        <v>NULL</v>
      </c>
      <c r="E1629" s="30" t="str">
        <f aca="false">IF('Boletins Nuppa Site'!H1629&lt;&gt;0,'Boletins Nuppa Site'!H1629,"NULL")</f>
        <v>NULL</v>
      </c>
      <c r="F1629" s="30" t="str">
        <f aca="false">IF('Boletins Nuppa Site'!I1629&lt;&gt;0,'Boletins Nuppa Site'!I1629,"NULL")</f>
        <v>NULL</v>
      </c>
      <c r="G1629" s="30" t="str">
        <f aca="false">IF('Boletins Nuppa Site'!J1629&lt;&gt;0,'Boletins Nuppa Site'!J1629,"NULL")</f>
        <v>NULL</v>
      </c>
      <c r="H1629" s="30" t="str">
        <f aca="false">IF('Boletins Nuppa Site'!K1629&lt;&gt;0,'Boletins Nuppa Site'!K1629,"NULL")</f>
        <v>NULL</v>
      </c>
      <c r="I1629" s="0" t="str">
        <f aca="false">"INSERT INTO COTACAO (cot_id, cot_blt_id, cot_pap_id, cot_prc_comum, cot_prc_min, cot_prc_max, cot_prc_med, cot_prc_mediana) VALUES ("&amp;A1629&amp;", "&amp;B1629&amp;", "&amp;C1629&amp;", "&amp;D1629&amp;", "&amp;E1629&amp;", "&amp;F1629&amp;", "&amp;G1629&amp;", "&amp;H1629&amp;");"</f>
        <v>INSERT INTO COTACAO (cot_id, cot_blt_id, cot_pap_id, cot_prc_comum, cot_prc_min, cot_prc_max, cot_prc_med, cot_prc_mediana) VALUES (1628, 78, 38, NULL, NULL, NULL, NULL, NULL);</v>
      </c>
      <c r="J1629" s="0" t="str">
        <f aca="false">"UPDATE COTACAO SET cot_id = "&amp;A1629&amp;", cot_blt_id = "&amp;B1629&amp;", cot_pap_id = "&amp;C1629&amp;", cot_prc_comum = "&amp;D1629&amp;", cot_prc_min = "&amp;E1629&amp;", cot_prc_max = "&amp;F1629&amp;", cot_prc_med = "&amp;G1629&amp;", cot_prc_mediana = "&amp;H1629&amp;" WHERE cot_id = "&amp;A1629&amp;";"</f>
        <v>UPDATE COTACAO SET cot_id = 1628, cot_blt_id = 78, cot_pap_id = 38, cot_prc_comum = NULL, cot_prc_min = NULL, cot_prc_max = NULL, cot_prc_med = NULL, cot_prc_mediana = NULL WHERE cot_id = 1628;</v>
      </c>
    </row>
    <row r="1630" customFormat="false" ht="14.25" hidden="false" customHeight="false" outlineLevel="0" collapsed="false">
      <c r="A1630" s="0" t="n">
        <v>1629</v>
      </c>
      <c r="B1630" s="0" t="n">
        <f aca="false">IF('Boletins Nuppa Site'!A1630&lt;&gt;0,'Boletins Nuppa Site'!A1630,"NULL")</f>
        <v>78</v>
      </c>
      <c r="C1630" s="0" t="n">
        <v>39</v>
      </c>
      <c r="D1630" s="0" t="str">
        <f aca="false">IF('Boletins Nuppa Site'!G1630&lt;&gt;0,'Boletins Nuppa Site'!G1630,"NULL")</f>
        <v> 60.00</v>
      </c>
      <c r="E1630" s="30" t="str">
        <f aca="false">IF('Boletins Nuppa Site'!H1630&lt;&gt;0,'Boletins Nuppa Site'!H1630,"NULL")</f>
        <v> 60.00</v>
      </c>
      <c r="F1630" s="30" t="str">
        <f aca="false">IF('Boletins Nuppa Site'!I1630&lt;&gt;0,'Boletins Nuppa Site'!I1630,"NULL")</f>
        <v> 60.00</v>
      </c>
      <c r="G1630" s="30" t="str">
        <f aca="false">IF('Boletins Nuppa Site'!J1630&lt;&gt;0,'Boletins Nuppa Site'!J1630,"NULL")</f>
        <v> 60.00</v>
      </c>
      <c r="H1630" s="30" t="str">
        <f aca="false">IF('Boletins Nuppa Site'!K1630&lt;&gt;0,'Boletins Nuppa Site'!K1630,"NULL")</f>
        <v> 60.00</v>
      </c>
      <c r="I1630" s="0" t="str">
        <f aca="false">"INSERT INTO COTACAO (cot_id, cot_blt_id, cot_pap_id, cot_prc_comum, cot_prc_min, cot_prc_max, cot_prc_med, cot_prc_mediana) VALUES ("&amp;A1630&amp;", "&amp;B1630&amp;", "&amp;C1630&amp;", "&amp;D1630&amp;", "&amp;E1630&amp;", "&amp;F1630&amp;", "&amp;G1630&amp;", "&amp;H1630&amp;");"</f>
        <v>INSERT INTO COTACAO (cot_id, cot_blt_id, cot_pap_id, cot_prc_comum, cot_prc_min, cot_prc_max, cot_prc_med, cot_prc_mediana) VALUES (1629, 78, 39,  60.00,  60.00,  60.00,  60.00,  60.00);</v>
      </c>
      <c r="J1630" s="0" t="str">
        <f aca="false">"UPDATE COTACAO SET cot_id = "&amp;A1630&amp;", cot_blt_id = "&amp;B1630&amp;", cot_pap_id = "&amp;C1630&amp;", cot_prc_comum = "&amp;D1630&amp;", cot_prc_min = "&amp;E1630&amp;", cot_prc_max = "&amp;F1630&amp;", cot_prc_med = "&amp;G1630&amp;", cot_prc_mediana = "&amp;H1630&amp;" WHERE cot_id = "&amp;A1630&amp;";"</f>
        <v>UPDATE COTACAO SET cot_id = 1629, cot_blt_id = 78, cot_pap_id = 39, cot_prc_comum =  60.00, cot_prc_min =  60.00, cot_prc_max =  60.00, cot_prc_med =  60.00, cot_prc_mediana =  60.00 WHERE cot_id = 1629;</v>
      </c>
    </row>
    <row r="1631" customFormat="false" ht="14.25" hidden="false" customHeight="false" outlineLevel="0" collapsed="false">
      <c r="A1631" s="0" t="n">
        <v>1630</v>
      </c>
      <c r="B1631" s="0" t="n">
        <f aca="false">IF('Boletins Nuppa Site'!A1631&lt;&gt;0,'Boletins Nuppa Site'!A1631,"NULL")</f>
        <v>78</v>
      </c>
      <c r="C1631" s="0" t="n">
        <v>40</v>
      </c>
      <c r="D1631" s="0" t="str">
        <f aca="false">IF('Boletins Nuppa Site'!G1631&lt;&gt;0,'Boletins Nuppa Site'!G1631,"NULL")</f>
        <v>NULL</v>
      </c>
      <c r="E1631" s="30" t="str">
        <f aca="false">IF('Boletins Nuppa Site'!H1631&lt;&gt;0,'Boletins Nuppa Site'!H1631,"NULL")</f>
        <v>NULL</v>
      </c>
      <c r="F1631" s="30" t="str">
        <f aca="false">IF('Boletins Nuppa Site'!I1631&lt;&gt;0,'Boletins Nuppa Site'!I1631,"NULL")</f>
        <v>NULL</v>
      </c>
      <c r="G1631" s="30" t="str">
        <f aca="false">IF('Boletins Nuppa Site'!J1631&lt;&gt;0,'Boletins Nuppa Site'!J1631,"NULL")</f>
        <v>NULL</v>
      </c>
      <c r="H1631" s="30" t="str">
        <f aca="false">IF('Boletins Nuppa Site'!K1631&lt;&gt;0,'Boletins Nuppa Site'!K1631,"NULL")</f>
        <v>NULL</v>
      </c>
      <c r="I1631" s="0" t="str">
        <f aca="false">"INSERT INTO COTACAO (cot_id, cot_blt_id, cot_pap_id, cot_prc_comum, cot_prc_min, cot_prc_max, cot_prc_med, cot_prc_mediana) VALUES ("&amp;A1631&amp;", "&amp;B1631&amp;", "&amp;C1631&amp;", "&amp;D1631&amp;", "&amp;E1631&amp;", "&amp;F1631&amp;", "&amp;G1631&amp;", "&amp;H1631&amp;");"</f>
        <v>INSERT INTO COTACAO (cot_id, cot_blt_id, cot_pap_id, cot_prc_comum, cot_prc_min, cot_prc_max, cot_prc_med, cot_prc_mediana) VALUES (1630, 78, 40, NULL, NULL, NULL, NULL, NULL);</v>
      </c>
      <c r="J1631" s="0" t="str">
        <f aca="false">"UPDATE COTACAO SET cot_id = "&amp;A1631&amp;", cot_blt_id = "&amp;B1631&amp;", cot_pap_id = "&amp;C1631&amp;", cot_prc_comum = "&amp;D1631&amp;", cot_prc_min = "&amp;E1631&amp;", cot_prc_max = "&amp;F1631&amp;", cot_prc_med = "&amp;G1631&amp;", cot_prc_mediana = "&amp;H1631&amp;" WHERE cot_id = "&amp;A1631&amp;";"</f>
        <v>UPDATE COTACAO SET cot_id = 1630, cot_blt_id = 78, cot_pap_id = 40, cot_prc_comum = NULL, cot_prc_min = NULL, cot_prc_max = NULL, cot_prc_med = NULL, cot_prc_mediana = NULL WHERE cot_id = 1630;</v>
      </c>
    </row>
    <row r="1632" customFormat="false" ht="14.25" hidden="false" customHeight="false" outlineLevel="0" collapsed="false">
      <c r="A1632" s="0" t="n">
        <v>1631</v>
      </c>
      <c r="B1632" s="0" t="n">
        <f aca="false">IF('Boletins Nuppa Site'!A1632&lt;&gt;0,'Boletins Nuppa Site'!A1632,"NULL")</f>
        <v>79</v>
      </c>
      <c r="C1632" s="0" t="n">
        <v>1</v>
      </c>
      <c r="D1632" s="0" t="n">
        <f aca="false">IF('Boletins Nuppa Site'!G1632&lt;&gt;0,'Boletins Nuppa Site'!G1632,"NULL")</f>
        <v>60</v>
      </c>
      <c r="E1632" s="30" t="n">
        <f aca="false">IF('Boletins Nuppa Site'!H1632&lt;&gt;0,'Boletins Nuppa Site'!H1632,"NULL")</f>
        <v>48</v>
      </c>
      <c r="F1632" s="30" t="n">
        <f aca="false">IF('Boletins Nuppa Site'!I1632&lt;&gt;0,'Boletins Nuppa Site'!I1632,"NULL")</f>
        <v>60</v>
      </c>
      <c r="G1632" s="30" t="n">
        <f aca="false">IF('Boletins Nuppa Site'!J1632&lt;&gt;0,'Boletins Nuppa Site'!J1632,"NULL")</f>
        <v>56</v>
      </c>
      <c r="H1632" s="30" t="n">
        <f aca="false">IF('Boletins Nuppa Site'!K1632&lt;&gt;0,'Boletins Nuppa Site'!K1632,"NULL")</f>
        <v>60</v>
      </c>
      <c r="I1632" s="0" t="str">
        <f aca="false">"INSERT INTO COTACAO (cot_id, cot_blt_id, cot_pap_id, cot_prc_comum, cot_prc_min, cot_prc_max, cot_prc_med, cot_prc_mediana) VALUES ("&amp;A1632&amp;", "&amp;B1632&amp;", "&amp;C1632&amp;", "&amp;D1632&amp;", "&amp;E1632&amp;", "&amp;F1632&amp;", "&amp;G1632&amp;", "&amp;H1632&amp;");"</f>
        <v>INSERT INTO COTACAO (cot_id, cot_blt_id, cot_pap_id, cot_prc_comum, cot_prc_min, cot_prc_max, cot_prc_med, cot_prc_mediana) VALUES (1631, 79, 1, 60, 48, 60, 56, 60);</v>
      </c>
      <c r="J1632" s="0" t="str">
        <f aca="false">"UPDATE COTACAO SET cot_id = "&amp;A1632&amp;", cot_blt_id = "&amp;B1632&amp;", cot_pap_id = "&amp;C1632&amp;", cot_prc_comum = "&amp;D1632&amp;", cot_prc_min = "&amp;E1632&amp;", cot_prc_max = "&amp;F1632&amp;", cot_prc_med = "&amp;G1632&amp;", cot_prc_mediana = "&amp;H1632&amp;" WHERE cot_id = "&amp;A1632&amp;";"</f>
        <v>UPDATE COTACAO SET cot_id = 1631, cot_blt_id = 79, cot_pap_id = 1, cot_prc_comum = 60, cot_prc_min = 48, cot_prc_max = 60, cot_prc_med = 56, cot_prc_mediana = 60 WHERE cot_id = 1631;</v>
      </c>
    </row>
    <row r="1633" customFormat="false" ht="14.25" hidden="false" customHeight="false" outlineLevel="0" collapsed="false">
      <c r="A1633" s="0" t="n">
        <v>1632</v>
      </c>
      <c r="B1633" s="0" t="n">
        <f aca="false">IF('Boletins Nuppa Site'!A1633&lt;&gt;0,'Boletins Nuppa Site'!A1633,"NULL")</f>
        <v>79</v>
      </c>
      <c r="C1633" s="0" t="n">
        <v>2</v>
      </c>
      <c r="D1633" s="0" t="str">
        <f aca="false">IF('Boletins Nuppa Site'!G1633&lt;&gt;0,'Boletins Nuppa Site'!G1633,"NULL")</f>
        <v>NULL</v>
      </c>
      <c r="E1633" s="30" t="n">
        <f aca="false">IF('Boletins Nuppa Site'!H1633&lt;&gt;0,'Boletins Nuppa Site'!H1633,"NULL")</f>
        <v>84</v>
      </c>
      <c r="F1633" s="30" t="n">
        <f aca="false">IF('Boletins Nuppa Site'!I1633&lt;&gt;0,'Boletins Nuppa Site'!I1633,"NULL")</f>
        <v>90</v>
      </c>
      <c r="G1633" s="30" t="n">
        <f aca="false">IF('Boletins Nuppa Site'!J1633&lt;&gt;0,'Boletins Nuppa Site'!J1633,"NULL")</f>
        <v>87</v>
      </c>
      <c r="H1633" s="30" t="n">
        <f aca="false">IF('Boletins Nuppa Site'!K1633&lt;&gt;0,'Boletins Nuppa Site'!K1633,"NULL")</f>
        <v>87</v>
      </c>
      <c r="I1633" s="0" t="str">
        <f aca="false">"INSERT INTO COTACAO (cot_id, cot_blt_id, cot_pap_id, cot_prc_comum, cot_prc_min, cot_prc_max, cot_prc_med, cot_prc_mediana) VALUES ("&amp;A1633&amp;", "&amp;B1633&amp;", "&amp;C1633&amp;", "&amp;D1633&amp;", "&amp;E1633&amp;", "&amp;F1633&amp;", "&amp;G1633&amp;", "&amp;H1633&amp;");"</f>
        <v>INSERT INTO COTACAO (cot_id, cot_blt_id, cot_pap_id, cot_prc_comum, cot_prc_min, cot_prc_max, cot_prc_med, cot_prc_mediana) VALUES (1632, 79, 2, NULL, 84, 90, 87, 87);</v>
      </c>
      <c r="J1633" s="0" t="str">
        <f aca="false">"UPDATE COTACAO SET cot_id = "&amp;A1633&amp;", cot_blt_id = "&amp;B1633&amp;", cot_pap_id = "&amp;C1633&amp;", cot_prc_comum = "&amp;D1633&amp;", cot_prc_min = "&amp;E1633&amp;", cot_prc_max = "&amp;F1633&amp;", cot_prc_med = "&amp;G1633&amp;", cot_prc_mediana = "&amp;H1633&amp;" WHERE cot_id = "&amp;A1633&amp;";"</f>
        <v>UPDATE COTACAO SET cot_id = 1632, cot_blt_id = 79, cot_pap_id = 2, cot_prc_comum = NULL, cot_prc_min = 84, cot_prc_max = 90, cot_prc_med = 87, cot_prc_mediana = 87 WHERE cot_id = 1632;</v>
      </c>
    </row>
    <row r="1634" customFormat="false" ht="14.25" hidden="false" customHeight="false" outlineLevel="0" collapsed="false">
      <c r="A1634" s="0" t="n">
        <v>1633</v>
      </c>
      <c r="B1634" s="0" t="n">
        <f aca="false">IF('Boletins Nuppa Site'!A1634&lt;&gt;0,'Boletins Nuppa Site'!A1634,"NULL")</f>
        <v>79</v>
      </c>
      <c r="C1634" s="0" t="n">
        <v>3</v>
      </c>
      <c r="D1634" s="0" t="str">
        <f aca="false">IF('Boletins Nuppa Site'!G1634&lt;&gt;0,'Boletins Nuppa Site'!G1634,"NULL")</f>
        <v>NULL</v>
      </c>
      <c r="E1634" s="30" t="n">
        <f aca="false">IF('Boletins Nuppa Site'!H1634&lt;&gt;0,'Boletins Nuppa Site'!H1634,"NULL")</f>
        <v>45</v>
      </c>
      <c r="F1634" s="30" t="n">
        <f aca="false">IF('Boletins Nuppa Site'!I1634&lt;&gt;0,'Boletins Nuppa Site'!I1634,"NULL")</f>
        <v>60</v>
      </c>
      <c r="G1634" s="30" t="n">
        <f aca="false">IF('Boletins Nuppa Site'!J1634&lt;&gt;0,'Boletins Nuppa Site'!J1634,"NULL")</f>
        <v>51</v>
      </c>
      <c r="H1634" s="30" t="n">
        <f aca="false">IF('Boletins Nuppa Site'!K1634&lt;&gt;0,'Boletins Nuppa Site'!K1634,"NULL")</f>
        <v>48</v>
      </c>
      <c r="I1634" s="0" t="str">
        <f aca="false">"INSERT INTO COTACAO (cot_id, cot_blt_id, cot_pap_id, cot_prc_comum, cot_prc_min, cot_prc_max, cot_prc_med, cot_prc_mediana) VALUES ("&amp;A1634&amp;", "&amp;B1634&amp;", "&amp;C1634&amp;", "&amp;D1634&amp;", "&amp;E1634&amp;", "&amp;F1634&amp;", "&amp;G1634&amp;", "&amp;H1634&amp;");"</f>
        <v>INSERT INTO COTACAO (cot_id, cot_blt_id, cot_pap_id, cot_prc_comum, cot_prc_min, cot_prc_max, cot_prc_med, cot_prc_mediana) VALUES (1633, 79, 3, NULL, 45, 60, 51, 48);</v>
      </c>
      <c r="J1634" s="0" t="str">
        <f aca="false">"UPDATE COTACAO SET cot_id = "&amp;A1634&amp;", cot_blt_id = "&amp;B1634&amp;", cot_pap_id = "&amp;C1634&amp;", cot_prc_comum = "&amp;D1634&amp;", cot_prc_min = "&amp;E1634&amp;", cot_prc_max = "&amp;F1634&amp;", cot_prc_med = "&amp;G1634&amp;", cot_prc_mediana = "&amp;H1634&amp;" WHERE cot_id = "&amp;A1634&amp;";"</f>
        <v>UPDATE COTACAO SET cot_id = 1633, cot_blt_id = 79, cot_pap_id = 3, cot_prc_comum = NULL, cot_prc_min = 45, cot_prc_max = 60, cot_prc_med = 51, cot_prc_mediana = 48 WHERE cot_id = 1633;</v>
      </c>
    </row>
    <row r="1635" customFormat="false" ht="14.25" hidden="false" customHeight="false" outlineLevel="0" collapsed="false">
      <c r="A1635" s="0" t="n">
        <v>1634</v>
      </c>
      <c r="B1635" s="0" t="n">
        <f aca="false">IF('Boletins Nuppa Site'!A1635&lt;&gt;0,'Boletins Nuppa Site'!A1635,"NULL")</f>
        <v>79</v>
      </c>
      <c r="C1635" s="0" t="n">
        <v>4</v>
      </c>
      <c r="D1635" s="0" t="str">
        <f aca="false">IF('Boletins Nuppa Site'!G1635&lt;&gt;0,'Boletins Nuppa Site'!G1635,"NULL")</f>
        <v>NULL</v>
      </c>
      <c r="E1635" s="30" t="n">
        <f aca="false">IF('Boletins Nuppa Site'!H1635&lt;&gt;0,'Boletins Nuppa Site'!H1635,"NULL")</f>
        <v>30</v>
      </c>
      <c r="F1635" s="30" t="n">
        <f aca="false">IF('Boletins Nuppa Site'!I1635&lt;&gt;0,'Boletins Nuppa Site'!I1635,"NULL")</f>
        <v>36</v>
      </c>
      <c r="G1635" s="30" t="n">
        <f aca="false">IF('Boletins Nuppa Site'!J1635&lt;&gt;0,'Boletins Nuppa Site'!J1635,"NULL")</f>
        <v>33666667</v>
      </c>
      <c r="H1635" s="30" t="n">
        <f aca="false">IF('Boletins Nuppa Site'!K1635&lt;&gt;0,'Boletins Nuppa Site'!K1635,"NULL")</f>
        <v>35</v>
      </c>
      <c r="I1635" s="0" t="str">
        <f aca="false">"INSERT INTO COTACAO (cot_id, cot_blt_id, cot_pap_id, cot_prc_comum, cot_prc_min, cot_prc_max, cot_prc_med, cot_prc_mediana) VALUES ("&amp;A1635&amp;", "&amp;B1635&amp;", "&amp;C1635&amp;", "&amp;D1635&amp;", "&amp;E1635&amp;", "&amp;F1635&amp;", "&amp;G1635&amp;", "&amp;H1635&amp;");"</f>
        <v>INSERT INTO COTACAO (cot_id, cot_blt_id, cot_pap_id, cot_prc_comum, cot_prc_min, cot_prc_max, cot_prc_med, cot_prc_mediana) VALUES (1634, 79, 4, NULL, 30, 36, 33666667, 35);</v>
      </c>
      <c r="J1635" s="0" t="str">
        <f aca="false">"UPDATE COTACAO SET cot_id = "&amp;A1635&amp;", cot_blt_id = "&amp;B1635&amp;", cot_pap_id = "&amp;C1635&amp;", cot_prc_comum = "&amp;D1635&amp;", cot_prc_min = "&amp;E1635&amp;", cot_prc_max = "&amp;F1635&amp;", cot_prc_med = "&amp;G1635&amp;", cot_prc_mediana = "&amp;H1635&amp;" WHERE cot_id = "&amp;A1635&amp;";"</f>
        <v>UPDATE COTACAO SET cot_id = 1634, cot_blt_id = 79, cot_pap_id = 4, cot_prc_comum = NULL, cot_prc_min = 30, cot_prc_max = 36, cot_prc_med = 33666667, cot_prc_mediana = 35 WHERE cot_id = 1634;</v>
      </c>
    </row>
    <row r="1636" customFormat="false" ht="14.25" hidden="false" customHeight="false" outlineLevel="0" collapsed="false">
      <c r="A1636" s="0" t="n">
        <v>1635</v>
      </c>
      <c r="B1636" s="0" t="n">
        <f aca="false">IF('Boletins Nuppa Site'!A1636&lt;&gt;0,'Boletins Nuppa Site'!A1636,"NULL")</f>
        <v>79</v>
      </c>
      <c r="C1636" s="0" t="n">
        <v>5</v>
      </c>
      <c r="D1636" s="0" t="str">
        <f aca="false">IF('Boletins Nuppa Site'!G1636&lt;&gt;0,'Boletins Nuppa Site'!G1636,"NULL")</f>
        <v>NULL</v>
      </c>
      <c r="E1636" s="30" t="n">
        <f aca="false">IF('Boletins Nuppa Site'!H1636&lt;&gt;0,'Boletins Nuppa Site'!H1636,"NULL")</f>
        <v>35</v>
      </c>
      <c r="F1636" s="30" t="n">
        <f aca="false">IF('Boletins Nuppa Site'!I1636&lt;&gt;0,'Boletins Nuppa Site'!I1636,"NULL")</f>
        <v>36</v>
      </c>
      <c r="G1636" s="30" t="str">
        <f aca="false">IF('Boletins Nuppa Site'!J1636&lt;&gt;0,'Boletins Nuppa Site'!J1636,"NULL")</f>
        <v>35.5</v>
      </c>
      <c r="H1636" s="30" t="str">
        <f aca="false">IF('Boletins Nuppa Site'!K1636&lt;&gt;0,'Boletins Nuppa Site'!K1636,"NULL")</f>
        <v>35.5</v>
      </c>
      <c r="I1636" s="0" t="str">
        <f aca="false">"INSERT INTO COTACAO (cot_id, cot_blt_id, cot_pap_id, cot_prc_comum, cot_prc_min, cot_prc_max, cot_prc_med, cot_prc_mediana) VALUES ("&amp;A1636&amp;", "&amp;B1636&amp;", "&amp;C1636&amp;", "&amp;D1636&amp;", "&amp;E1636&amp;", "&amp;F1636&amp;", "&amp;G1636&amp;", "&amp;H1636&amp;");"</f>
        <v>INSERT INTO COTACAO (cot_id, cot_blt_id, cot_pap_id, cot_prc_comum, cot_prc_min, cot_prc_max, cot_prc_med, cot_prc_mediana) VALUES (1635, 79, 5, NULL, 35, 36, 35.5, 35.5);</v>
      </c>
      <c r="J1636" s="0" t="str">
        <f aca="false">"UPDATE COTACAO SET cot_id = "&amp;A1636&amp;", cot_blt_id = "&amp;B1636&amp;", cot_pap_id = "&amp;C1636&amp;", cot_prc_comum = "&amp;D1636&amp;", cot_prc_min = "&amp;E1636&amp;", cot_prc_max = "&amp;F1636&amp;", cot_prc_med = "&amp;G1636&amp;", cot_prc_mediana = "&amp;H1636&amp;" WHERE cot_id = "&amp;A1636&amp;";"</f>
        <v>UPDATE COTACAO SET cot_id = 1635, cot_blt_id = 79, cot_pap_id = 5, cot_prc_comum = NULL, cot_prc_min = 35, cot_prc_max = 36, cot_prc_med = 35.5, cot_prc_mediana = 35.5 WHERE cot_id = 1635;</v>
      </c>
    </row>
    <row r="1637" customFormat="false" ht="14.25" hidden="false" customHeight="false" outlineLevel="0" collapsed="false">
      <c r="A1637" s="0" t="n">
        <v>1636</v>
      </c>
      <c r="B1637" s="0" t="n">
        <f aca="false">IF('Boletins Nuppa Site'!A1637&lt;&gt;0,'Boletins Nuppa Site'!A1637,"NULL")</f>
        <v>79</v>
      </c>
      <c r="C1637" s="0" t="n">
        <v>6</v>
      </c>
      <c r="D1637" s="0" t="str">
        <f aca="false">IF('Boletins Nuppa Site'!G1637&lt;&gt;0,'Boletins Nuppa Site'!G1637,"NULL")</f>
        <v>NULL</v>
      </c>
      <c r="E1637" s="30" t="n">
        <f aca="false">IF('Boletins Nuppa Site'!H1637&lt;&gt;0,'Boletins Nuppa Site'!H1637,"NULL")</f>
        <v>66</v>
      </c>
      <c r="F1637" s="30" t="n">
        <f aca="false">IF('Boletins Nuppa Site'!I1637&lt;&gt;0,'Boletins Nuppa Site'!I1637,"NULL")</f>
        <v>72</v>
      </c>
      <c r="G1637" s="30" t="n">
        <f aca="false">IF('Boletins Nuppa Site'!J1637&lt;&gt;0,'Boletins Nuppa Site'!J1637,"NULL")</f>
        <v>69</v>
      </c>
      <c r="H1637" s="30" t="n">
        <f aca="false">IF('Boletins Nuppa Site'!K1637&lt;&gt;0,'Boletins Nuppa Site'!K1637,"NULL")</f>
        <v>69</v>
      </c>
      <c r="I1637" s="0" t="str">
        <f aca="false">"INSERT INTO COTACAO (cot_id, cot_blt_id, cot_pap_id, cot_prc_comum, cot_prc_min, cot_prc_max, cot_prc_med, cot_prc_mediana) VALUES ("&amp;A1637&amp;", "&amp;B1637&amp;", "&amp;C1637&amp;", "&amp;D1637&amp;", "&amp;E1637&amp;", "&amp;F1637&amp;", "&amp;G1637&amp;", "&amp;H1637&amp;");"</f>
        <v>INSERT INTO COTACAO (cot_id, cot_blt_id, cot_pap_id, cot_prc_comum, cot_prc_min, cot_prc_max, cot_prc_med, cot_prc_mediana) VALUES (1636, 79, 6, NULL, 66, 72, 69, 69);</v>
      </c>
      <c r="J1637" s="0" t="str">
        <f aca="false">"UPDATE COTACAO SET cot_id = "&amp;A1637&amp;", cot_blt_id = "&amp;B1637&amp;", cot_pap_id = "&amp;C1637&amp;", cot_prc_comum = "&amp;D1637&amp;", cot_prc_min = "&amp;E1637&amp;", cot_prc_max = "&amp;F1637&amp;", cot_prc_med = "&amp;G1637&amp;", cot_prc_mediana = "&amp;H1637&amp;" WHERE cot_id = "&amp;A1637&amp;";"</f>
        <v>UPDATE COTACAO SET cot_id = 1636, cot_blt_id = 79, cot_pap_id = 6, cot_prc_comum = NULL, cot_prc_min = 66, cot_prc_max = 72, cot_prc_med = 69, cot_prc_mediana = 69 WHERE cot_id = 1636;</v>
      </c>
    </row>
    <row r="1638" customFormat="false" ht="14.25" hidden="false" customHeight="false" outlineLevel="0" collapsed="false">
      <c r="A1638" s="0" t="n">
        <v>1637</v>
      </c>
      <c r="B1638" s="0" t="n">
        <f aca="false">IF('Boletins Nuppa Site'!A1638&lt;&gt;0,'Boletins Nuppa Site'!A1638,"NULL")</f>
        <v>79</v>
      </c>
      <c r="C1638" s="0" t="n">
        <v>7</v>
      </c>
      <c r="D1638" s="0" t="n">
        <f aca="false">IF('Boletins Nuppa Site'!G1638&lt;&gt;0,'Boletins Nuppa Site'!G1638,"NULL")</f>
        <v>60</v>
      </c>
      <c r="E1638" s="30" t="n">
        <f aca="false">IF('Boletins Nuppa Site'!H1638&lt;&gt;0,'Boletins Nuppa Site'!H1638,"NULL")</f>
        <v>60</v>
      </c>
      <c r="F1638" s="30" t="n">
        <f aca="false">IF('Boletins Nuppa Site'!I1638&lt;&gt;0,'Boletins Nuppa Site'!I1638,"NULL")</f>
        <v>78</v>
      </c>
      <c r="G1638" s="30" t="n">
        <f aca="false">IF('Boletins Nuppa Site'!J1638&lt;&gt;0,'Boletins Nuppa Site'!J1638,"NULL")</f>
        <v>66</v>
      </c>
      <c r="H1638" s="30" t="n">
        <f aca="false">IF('Boletins Nuppa Site'!K1638&lt;&gt;0,'Boletins Nuppa Site'!K1638,"NULL")</f>
        <v>60</v>
      </c>
      <c r="I1638" s="0" t="str">
        <f aca="false">"INSERT INTO COTACAO (cot_id, cot_blt_id, cot_pap_id, cot_prc_comum, cot_prc_min, cot_prc_max, cot_prc_med, cot_prc_mediana) VALUES ("&amp;A1638&amp;", "&amp;B1638&amp;", "&amp;C1638&amp;", "&amp;D1638&amp;", "&amp;E1638&amp;", "&amp;F1638&amp;", "&amp;G1638&amp;", "&amp;H1638&amp;");"</f>
        <v>INSERT INTO COTACAO (cot_id, cot_blt_id, cot_pap_id, cot_prc_comum, cot_prc_min, cot_prc_max, cot_prc_med, cot_prc_mediana) VALUES (1637, 79, 7, 60, 60, 78, 66, 60);</v>
      </c>
      <c r="J1638" s="0" t="str">
        <f aca="false">"UPDATE COTACAO SET cot_id = "&amp;A1638&amp;", cot_blt_id = "&amp;B1638&amp;", cot_pap_id = "&amp;C1638&amp;", cot_prc_comum = "&amp;D1638&amp;", cot_prc_min = "&amp;E1638&amp;", cot_prc_max = "&amp;F1638&amp;", cot_prc_med = "&amp;G1638&amp;", cot_prc_mediana = "&amp;H1638&amp;" WHERE cot_id = "&amp;A1638&amp;";"</f>
        <v>UPDATE COTACAO SET cot_id = 1637, cot_blt_id = 79, cot_pap_id = 7, cot_prc_comum = 60, cot_prc_min = 60, cot_prc_max = 78, cot_prc_med = 66, cot_prc_mediana = 60 WHERE cot_id = 1637;</v>
      </c>
    </row>
    <row r="1639" customFormat="false" ht="14.25" hidden="false" customHeight="false" outlineLevel="0" collapsed="false">
      <c r="A1639" s="0" t="n">
        <v>1638</v>
      </c>
      <c r="B1639" s="0" t="n">
        <f aca="false">IF('Boletins Nuppa Site'!A1639&lt;&gt;0,'Boletins Nuppa Site'!A1639,"NULL")</f>
        <v>79</v>
      </c>
      <c r="C1639" s="0" t="n">
        <v>8</v>
      </c>
      <c r="D1639" s="0" t="n">
        <f aca="false">IF('Boletins Nuppa Site'!G1639&lt;&gt;0,'Boletins Nuppa Site'!G1639,"NULL")</f>
        <v>72</v>
      </c>
      <c r="E1639" s="30" t="n">
        <f aca="false">IF('Boletins Nuppa Site'!H1639&lt;&gt;0,'Boletins Nuppa Site'!H1639,"NULL")</f>
        <v>72</v>
      </c>
      <c r="F1639" s="30" t="n">
        <f aca="false">IF('Boletins Nuppa Site'!I1639&lt;&gt;0,'Boletins Nuppa Site'!I1639,"NULL")</f>
        <v>84</v>
      </c>
      <c r="G1639" s="30" t="n">
        <f aca="false">IF('Boletins Nuppa Site'!J1639&lt;&gt;0,'Boletins Nuppa Site'!J1639,"NULL")</f>
        <v>76</v>
      </c>
      <c r="H1639" s="30" t="n">
        <f aca="false">IF('Boletins Nuppa Site'!K1639&lt;&gt;0,'Boletins Nuppa Site'!K1639,"NULL")</f>
        <v>72</v>
      </c>
      <c r="I1639" s="0" t="str">
        <f aca="false">"INSERT INTO COTACAO (cot_id, cot_blt_id, cot_pap_id, cot_prc_comum, cot_prc_min, cot_prc_max, cot_prc_med, cot_prc_mediana) VALUES ("&amp;A1639&amp;", "&amp;B1639&amp;", "&amp;C1639&amp;", "&amp;D1639&amp;", "&amp;E1639&amp;", "&amp;F1639&amp;", "&amp;G1639&amp;", "&amp;H1639&amp;");"</f>
        <v>INSERT INTO COTACAO (cot_id, cot_blt_id, cot_pap_id, cot_prc_comum, cot_prc_min, cot_prc_max, cot_prc_med, cot_prc_mediana) VALUES (1638, 79, 8, 72, 72, 84, 76, 72);</v>
      </c>
      <c r="J1639" s="0" t="str">
        <f aca="false">"UPDATE COTACAO SET cot_id = "&amp;A1639&amp;", cot_blt_id = "&amp;B1639&amp;", cot_pap_id = "&amp;C1639&amp;", cot_prc_comum = "&amp;D1639&amp;", cot_prc_min = "&amp;E1639&amp;", cot_prc_max = "&amp;F1639&amp;", cot_prc_med = "&amp;G1639&amp;", cot_prc_mediana = "&amp;H1639&amp;" WHERE cot_id = "&amp;A1639&amp;";"</f>
        <v>UPDATE COTACAO SET cot_id = 1638, cot_blt_id = 79, cot_pap_id = 8, cot_prc_comum = 72, cot_prc_min = 72, cot_prc_max = 84, cot_prc_med = 76, cot_prc_mediana = 72 WHERE cot_id = 1638;</v>
      </c>
    </row>
    <row r="1640" customFormat="false" ht="14.25" hidden="false" customHeight="false" outlineLevel="0" collapsed="false">
      <c r="A1640" s="0" t="n">
        <v>1639</v>
      </c>
      <c r="B1640" s="0" t="n">
        <f aca="false">IF('Boletins Nuppa Site'!A1640&lt;&gt;0,'Boletins Nuppa Site'!A1640,"NULL")</f>
        <v>79</v>
      </c>
      <c r="C1640" s="0" t="n">
        <v>9</v>
      </c>
      <c r="D1640" s="0" t="n">
        <f aca="false">IF('Boletins Nuppa Site'!G1640&lt;&gt;0,'Boletins Nuppa Site'!G1640,"NULL")</f>
        <v>24</v>
      </c>
      <c r="E1640" s="30" t="n">
        <f aca="false">IF('Boletins Nuppa Site'!H1640&lt;&gt;0,'Boletins Nuppa Site'!H1640,"NULL")</f>
        <v>18</v>
      </c>
      <c r="F1640" s="30" t="n">
        <f aca="false">IF('Boletins Nuppa Site'!I1640&lt;&gt;0,'Boletins Nuppa Site'!I1640,"NULL")</f>
        <v>24</v>
      </c>
      <c r="G1640" s="30" t="n">
        <f aca="false">IF('Boletins Nuppa Site'!J1640&lt;&gt;0,'Boletins Nuppa Site'!J1640,"NULL")</f>
        <v>22</v>
      </c>
      <c r="H1640" s="30" t="n">
        <f aca="false">IF('Boletins Nuppa Site'!K1640&lt;&gt;0,'Boletins Nuppa Site'!K1640,"NULL")</f>
        <v>24</v>
      </c>
      <c r="I1640" s="0" t="str">
        <f aca="false">"INSERT INTO COTACAO (cot_id, cot_blt_id, cot_pap_id, cot_prc_comum, cot_prc_min, cot_prc_max, cot_prc_med, cot_prc_mediana) VALUES ("&amp;A1640&amp;", "&amp;B1640&amp;", "&amp;C1640&amp;", "&amp;D1640&amp;", "&amp;E1640&amp;", "&amp;F1640&amp;", "&amp;G1640&amp;", "&amp;H1640&amp;");"</f>
        <v>INSERT INTO COTACAO (cot_id, cot_blt_id, cot_pap_id, cot_prc_comum, cot_prc_min, cot_prc_max, cot_prc_med, cot_prc_mediana) VALUES (1639, 79, 9, 24, 18, 24, 22, 24);</v>
      </c>
      <c r="J1640" s="0" t="str">
        <f aca="false">"UPDATE COTACAO SET cot_id = "&amp;A1640&amp;", cot_blt_id = "&amp;B1640&amp;", cot_pap_id = "&amp;C1640&amp;", cot_prc_comum = "&amp;D1640&amp;", cot_prc_min = "&amp;E1640&amp;", cot_prc_max = "&amp;F1640&amp;", cot_prc_med = "&amp;G1640&amp;", cot_prc_mediana = "&amp;H1640&amp;" WHERE cot_id = "&amp;A1640&amp;";"</f>
        <v>UPDATE COTACAO SET cot_id = 1639, cot_blt_id = 79, cot_pap_id = 9, cot_prc_comum = 24, cot_prc_min = 18, cot_prc_max = 24, cot_prc_med = 22, cot_prc_mediana = 24 WHERE cot_id = 1639;</v>
      </c>
    </row>
    <row r="1641" customFormat="false" ht="14.25" hidden="false" customHeight="false" outlineLevel="0" collapsed="false">
      <c r="A1641" s="0" t="n">
        <v>1640</v>
      </c>
      <c r="B1641" s="0" t="n">
        <f aca="false">IF('Boletins Nuppa Site'!A1641&lt;&gt;0,'Boletins Nuppa Site'!A1641,"NULL")</f>
        <v>79</v>
      </c>
      <c r="C1641" s="0" t="n">
        <v>10</v>
      </c>
      <c r="D1641" s="0" t="str">
        <f aca="false">IF('Boletins Nuppa Site'!G1641&lt;&gt;0,'Boletins Nuppa Site'!G1641,"NULL")</f>
        <v>NULL</v>
      </c>
      <c r="E1641" s="30" t="n">
        <f aca="false">IF('Boletins Nuppa Site'!H1641&lt;&gt;0,'Boletins Nuppa Site'!H1641,"NULL")</f>
        <v>72</v>
      </c>
      <c r="F1641" s="30" t="n">
        <f aca="false">IF('Boletins Nuppa Site'!I1641&lt;&gt;0,'Boletins Nuppa Site'!I1641,"NULL")</f>
        <v>84</v>
      </c>
      <c r="G1641" s="30" t="n">
        <f aca="false">IF('Boletins Nuppa Site'!J1641&lt;&gt;0,'Boletins Nuppa Site'!J1641,"NULL")</f>
        <v>78</v>
      </c>
      <c r="H1641" s="30" t="n">
        <f aca="false">IF('Boletins Nuppa Site'!K1641&lt;&gt;0,'Boletins Nuppa Site'!K1641,"NULL")</f>
        <v>78</v>
      </c>
      <c r="I1641" s="0" t="str">
        <f aca="false">"INSERT INTO COTACAO (cot_id, cot_blt_id, cot_pap_id, cot_prc_comum, cot_prc_min, cot_prc_max, cot_prc_med, cot_prc_mediana) VALUES ("&amp;A1641&amp;", "&amp;B1641&amp;", "&amp;C1641&amp;", "&amp;D1641&amp;", "&amp;E1641&amp;", "&amp;F1641&amp;", "&amp;G1641&amp;", "&amp;H1641&amp;");"</f>
        <v>INSERT INTO COTACAO (cot_id, cot_blt_id, cot_pap_id, cot_prc_comum, cot_prc_min, cot_prc_max, cot_prc_med, cot_prc_mediana) VALUES (1640, 79, 10, NULL, 72, 84, 78, 78);</v>
      </c>
      <c r="J1641" s="0" t="str">
        <f aca="false">"UPDATE COTACAO SET cot_id = "&amp;A1641&amp;", cot_blt_id = "&amp;B1641&amp;", cot_pap_id = "&amp;C1641&amp;", cot_prc_comum = "&amp;D1641&amp;", cot_prc_min = "&amp;E1641&amp;", cot_prc_max = "&amp;F1641&amp;", cot_prc_med = "&amp;G1641&amp;", cot_prc_mediana = "&amp;H1641&amp;" WHERE cot_id = "&amp;A1641&amp;";"</f>
        <v>UPDATE COTACAO SET cot_id = 1640, cot_blt_id = 79, cot_pap_id = 10, cot_prc_comum = NULL, cot_prc_min = 72, cot_prc_max = 84, cot_prc_med = 78, cot_prc_mediana = 78 WHERE cot_id = 1640;</v>
      </c>
    </row>
    <row r="1642" customFormat="false" ht="14.25" hidden="false" customHeight="false" outlineLevel="0" collapsed="false">
      <c r="A1642" s="0" t="n">
        <v>1641</v>
      </c>
      <c r="B1642" s="0" t="n">
        <f aca="false">IF('Boletins Nuppa Site'!A1642&lt;&gt;0,'Boletins Nuppa Site'!A1642,"NULL")</f>
        <v>79</v>
      </c>
      <c r="C1642" s="0" t="n">
        <v>11</v>
      </c>
      <c r="D1642" s="0" t="str">
        <f aca="false">IF('Boletins Nuppa Site'!G1642&lt;&gt;0,'Boletins Nuppa Site'!G1642,"NULL")</f>
        <v>NULL</v>
      </c>
      <c r="E1642" s="30" t="n">
        <f aca="false">IF('Boletins Nuppa Site'!H1642&lt;&gt;0,'Boletins Nuppa Site'!H1642,"NULL")</f>
        <v>24</v>
      </c>
      <c r="F1642" s="30" t="n">
        <f aca="false">IF('Boletins Nuppa Site'!I1642&lt;&gt;0,'Boletins Nuppa Site'!I1642,"NULL")</f>
        <v>36</v>
      </c>
      <c r="G1642" s="30" t="n">
        <f aca="false">IF('Boletins Nuppa Site'!J1642&lt;&gt;0,'Boletins Nuppa Site'!J1642,"NULL")</f>
        <v>31666667</v>
      </c>
      <c r="H1642" s="30" t="n">
        <f aca="false">IF('Boletins Nuppa Site'!K1642&lt;&gt;0,'Boletins Nuppa Site'!K1642,"NULL")</f>
        <v>35</v>
      </c>
      <c r="I1642" s="0" t="str">
        <f aca="false">"INSERT INTO COTACAO (cot_id, cot_blt_id, cot_pap_id, cot_prc_comum, cot_prc_min, cot_prc_max, cot_prc_med, cot_prc_mediana) VALUES ("&amp;A1642&amp;", "&amp;B1642&amp;", "&amp;C1642&amp;", "&amp;D1642&amp;", "&amp;E1642&amp;", "&amp;F1642&amp;", "&amp;G1642&amp;", "&amp;H1642&amp;");"</f>
        <v>INSERT INTO COTACAO (cot_id, cot_blt_id, cot_pap_id, cot_prc_comum, cot_prc_min, cot_prc_max, cot_prc_med, cot_prc_mediana) VALUES (1641, 79, 11, NULL, 24, 36, 31666667, 35);</v>
      </c>
      <c r="J1642" s="0" t="str">
        <f aca="false">"UPDATE COTACAO SET cot_id = "&amp;A1642&amp;", cot_blt_id = "&amp;B1642&amp;", cot_pap_id = "&amp;C1642&amp;", cot_prc_comum = "&amp;D1642&amp;", cot_prc_min = "&amp;E1642&amp;", cot_prc_max = "&amp;F1642&amp;", cot_prc_med = "&amp;G1642&amp;", cot_prc_mediana = "&amp;H1642&amp;" WHERE cot_id = "&amp;A1642&amp;";"</f>
        <v>UPDATE COTACAO SET cot_id = 1641, cot_blt_id = 79, cot_pap_id = 11, cot_prc_comum = NULL, cot_prc_min = 24, cot_prc_max = 36, cot_prc_med = 31666667, cot_prc_mediana = 35 WHERE cot_id = 1641;</v>
      </c>
    </row>
    <row r="1643" customFormat="false" ht="14.25" hidden="false" customHeight="false" outlineLevel="0" collapsed="false">
      <c r="A1643" s="0" t="n">
        <v>1642</v>
      </c>
      <c r="B1643" s="0" t="n">
        <f aca="false">IF('Boletins Nuppa Site'!A1643&lt;&gt;0,'Boletins Nuppa Site'!A1643,"NULL")</f>
        <v>79</v>
      </c>
      <c r="C1643" s="0" t="n">
        <v>12</v>
      </c>
      <c r="D1643" s="0" t="str">
        <f aca="false">IF('Boletins Nuppa Site'!G1643&lt;&gt;0,'Boletins Nuppa Site'!G1643,"NULL")</f>
        <v>NULL</v>
      </c>
      <c r="E1643" s="30" t="n">
        <f aca="false">IF('Boletins Nuppa Site'!H1643&lt;&gt;0,'Boletins Nuppa Site'!H1643,"NULL")</f>
        <v>72</v>
      </c>
      <c r="F1643" s="30" t="n">
        <f aca="false">IF('Boletins Nuppa Site'!I1643&lt;&gt;0,'Boletins Nuppa Site'!I1643,"NULL")</f>
        <v>84</v>
      </c>
      <c r="G1643" s="30" t="n">
        <f aca="false">IF('Boletins Nuppa Site'!J1643&lt;&gt;0,'Boletins Nuppa Site'!J1643,"NULL")</f>
        <v>78</v>
      </c>
      <c r="H1643" s="30" t="n">
        <f aca="false">IF('Boletins Nuppa Site'!K1643&lt;&gt;0,'Boletins Nuppa Site'!K1643,"NULL")</f>
        <v>78</v>
      </c>
      <c r="I1643" s="0" t="str">
        <f aca="false">"INSERT INTO COTACAO (cot_id, cot_blt_id, cot_pap_id, cot_prc_comum, cot_prc_min, cot_prc_max, cot_prc_med, cot_prc_mediana) VALUES ("&amp;A1643&amp;", "&amp;B1643&amp;", "&amp;C1643&amp;", "&amp;D1643&amp;", "&amp;E1643&amp;", "&amp;F1643&amp;", "&amp;G1643&amp;", "&amp;H1643&amp;");"</f>
        <v>INSERT INTO COTACAO (cot_id, cot_blt_id, cot_pap_id, cot_prc_comum, cot_prc_min, cot_prc_max, cot_prc_med, cot_prc_mediana) VALUES (1642, 79, 12, NULL, 72, 84, 78, 78);</v>
      </c>
      <c r="J1643" s="0" t="str">
        <f aca="false">"UPDATE COTACAO SET cot_id = "&amp;A1643&amp;", cot_blt_id = "&amp;B1643&amp;", cot_pap_id = "&amp;C1643&amp;", cot_prc_comum = "&amp;D1643&amp;", cot_prc_min = "&amp;E1643&amp;", cot_prc_max = "&amp;F1643&amp;", cot_prc_med = "&amp;G1643&amp;", cot_prc_mediana = "&amp;H1643&amp;" WHERE cot_id = "&amp;A1643&amp;";"</f>
        <v>UPDATE COTACAO SET cot_id = 1642, cot_blt_id = 79, cot_pap_id = 12, cot_prc_comum = NULL, cot_prc_min = 72, cot_prc_max = 84, cot_prc_med = 78, cot_prc_mediana = 78 WHERE cot_id = 1642;</v>
      </c>
    </row>
    <row r="1644" customFormat="false" ht="14.25" hidden="false" customHeight="false" outlineLevel="0" collapsed="false">
      <c r="A1644" s="0" t="n">
        <v>1643</v>
      </c>
      <c r="B1644" s="0" t="n">
        <f aca="false">IF('Boletins Nuppa Site'!A1644&lt;&gt;0,'Boletins Nuppa Site'!A1644,"NULL")</f>
        <v>79</v>
      </c>
      <c r="C1644" s="0" t="n">
        <v>13</v>
      </c>
      <c r="D1644" s="0" t="str">
        <f aca="false">IF('Boletins Nuppa Site'!G1644&lt;&gt;0,'Boletins Nuppa Site'!G1644,"NULL")</f>
        <v>NULL</v>
      </c>
      <c r="E1644" s="30" t="n">
        <f aca="false">IF('Boletins Nuppa Site'!H1644&lt;&gt;0,'Boletins Nuppa Site'!H1644,"NULL")</f>
        <v>60</v>
      </c>
      <c r="F1644" s="30" t="n">
        <f aca="false">IF('Boletins Nuppa Site'!I1644&lt;&gt;0,'Boletins Nuppa Site'!I1644,"NULL")</f>
        <v>78</v>
      </c>
      <c r="G1644" s="30" t="n">
        <f aca="false">IF('Boletins Nuppa Site'!J1644&lt;&gt;0,'Boletins Nuppa Site'!J1644,"NULL")</f>
        <v>70</v>
      </c>
      <c r="H1644" s="30" t="n">
        <f aca="false">IF('Boletins Nuppa Site'!K1644&lt;&gt;0,'Boletins Nuppa Site'!K1644,"NULL")</f>
        <v>72</v>
      </c>
      <c r="I1644" s="0" t="str">
        <f aca="false">"INSERT INTO COTACAO (cot_id, cot_blt_id, cot_pap_id, cot_prc_comum, cot_prc_min, cot_prc_max, cot_prc_med, cot_prc_mediana) VALUES ("&amp;A1644&amp;", "&amp;B1644&amp;", "&amp;C1644&amp;", "&amp;D1644&amp;", "&amp;E1644&amp;", "&amp;F1644&amp;", "&amp;G1644&amp;", "&amp;H1644&amp;");"</f>
        <v>INSERT INTO COTACAO (cot_id, cot_blt_id, cot_pap_id, cot_prc_comum, cot_prc_min, cot_prc_max, cot_prc_med, cot_prc_mediana) VALUES (1643, 79, 13, NULL, 60, 78, 70, 72);</v>
      </c>
      <c r="J1644" s="0" t="str">
        <f aca="false">"UPDATE COTACAO SET cot_id = "&amp;A1644&amp;", cot_blt_id = "&amp;B1644&amp;", cot_pap_id = "&amp;C1644&amp;", cot_prc_comum = "&amp;D1644&amp;", cot_prc_min = "&amp;E1644&amp;", cot_prc_max = "&amp;F1644&amp;", cot_prc_med = "&amp;G1644&amp;", cot_prc_mediana = "&amp;H1644&amp;" WHERE cot_id = "&amp;A1644&amp;";"</f>
        <v>UPDATE COTACAO SET cot_id = 1643, cot_blt_id = 79, cot_pap_id = 13, cot_prc_comum = NULL, cot_prc_min = 60, cot_prc_max = 78, cot_prc_med = 70, cot_prc_mediana = 72 WHERE cot_id = 1643;</v>
      </c>
    </row>
    <row r="1645" customFormat="false" ht="14.25" hidden="false" customHeight="false" outlineLevel="0" collapsed="false">
      <c r="A1645" s="0" t="n">
        <v>1644</v>
      </c>
      <c r="B1645" s="0" t="n">
        <f aca="false">IF('Boletins Nuppa Site'!A1645&lt;&gt;0,'Boletins Nuppa Site'!A1645,"NULL")</f>
        <v>79</v>
      </c>
      <c r="C1645" s="0" t="n">
        <v>14</v>
      </c>
      <c r="D1645" s="0" t="str">
        <f aca="false">IF('Boletins Nuppa Site'!G1645&lt;&gt;0,'Boletins Nuppa Site'!G1645,"NULL")</f>
        <v>NULL</v>
      </c>
      <c r="E1645" s="30" t="n">
        <f aca="false">IF('Boletins Nuppa Site'!H1645&lt;&gt;0,'Boletins Nuppa Site'!H1645,"NULL")</f>
        <v>40</v>
      </c>
      <c r="F1645" s="30" t="n">
        <f aca="false">IF('Boletins Nuppa Site'!I1645&lt;&gt;0,'Boletins Nuppa Site'!I1645,"NULL")</f>
        <v>72</v>
      </c>
      <c r="G1645" s="30" t="n">
        <f aca="false">IF('Boletins Nuppa Site'!J1645&lt;&gt;0,'Boletins Nuppa Site'!J1645,"NULL")</f>
        <v>56</v>
      </c>
      <c r="H1645" s="30" t="n">
        <f aca="false">IF('Boletins Nuppa Site'!K1645&lt;&gt;0,'Boletins Nuppa Site'!K1645,"NULL")</f>
        <v>56</v>
      </c>
      <c r="I1645" s="0" t="str">
        <f aca="false">"INSERT INTO COTACAO (cot_id, cot_blt_id, cot_pap_id, cot_prc_comum, cot_prc_min, cot_prc_max, cot_prc_med, cot_prc_mediana) VALUES ("&amp;A1645&amp;", "&amp;B1645&amp;", "&amp;C1645&amp;", "&amp;D1645&amp;", "&amp;E1645&amp;", "&amp;F1645&amp;", "&amp;G1645&amp;", "&amp;H1645&amp;");"</f>
        <v>INSERT INTO COTACAO (cot_id, cot_blt_id, cot_pap_id, cot_prc_comum, cot_prc_min, cot_prc_max, cot_prc_med, cot_prc_mediana) VALUES (1644, 79, 14, NULL, 40, 72, 56, 56);</v>
      </c>
      <c r="J1645" s="0" t="str">
        <f aca="false">"UPDATE COTACAO SET cot_id = "&amp;A1645&amp;", cot_blt_id = "&amp;B1645&amp;", cot_pap_id = "&amp;C1645&amp;", cot_prc_comum = "&amp;D1645&amp;", cot_prc_min = "&amp;E1645&amp;", cot_prc_max = "&amp;F1645&amp;", cot_prc_med = "&amp;G1645&amp;", cot_prc_mediana = "&amp;H1645&amp;" WHERE cot_id = "&amp;A1645&amp;";"</f>
        <v>UPDATE COTACAO SET cot_id = 1644, cot_blt_id = 79, cot_pap_id = 14, cot_prc_comum = NULL, cot_prc_min = 40, cot_prc_max = 72, cot_prc_med = 56, cot_prc_mediana = 56 WHERE cot_id = 1644;</v>
      </c>
    </row>
    <row r="1646" customFormat="false" ht="14.25" hidden="false" customHeight="false" outlineLevel="0" collapsed="false">
      <c r="A1646" s="0" t="n">
        <v>1645</v>
      </c>
      <c r="B1646" s="0" t="n">
        <f aca="false">IF('Boletins Nuppa Site'!A1646&lt;&gt;0,'Boletins Nuppa Site'!A1646,"NULL")</f>
        <v>79</v>
      </c>
      <c r="C1646" s="0" t="n">
        <v>15</v>
      </c>
      <c r="D1646" s="0" t="n">
        <f aca="false">IF('Boletins Nuppa Site'!G1646&lt;&gt;0,'Boletins Nuppa Site'!G1646,"NULL")</f>
        <v>30</v>
      </c>
      <c r="E1646" s="30" t="n">
        <f aca="false">IF('Boletins Nuppa Site'!H1646&lt;&gt;0,'Boletins Nuppa Site'!H1646,"NULL")</f>
        <v>30</v>
      </c>
      <c r="F1646" s="30" t="n">
        <f aca="false">IF('Boletins Nuppa Site'!I1646&lt;&gt;0,'Boletins Nuppa Site'!I1646,"NULL")</f>
        <v>35</v>
      </c>
      <c r="G1646" s="30" t="n">
        <f aca="false">IF('Boletins Nuppa Site'!J1646&lt;&gt;0,'Boletins Nuppa Site'!J1646,"NULL")</f>
        <v>31666667</v>
      </c>
      <c r="H1646" s="30" t="n">
        <f aca="false">IF('Boletins Nuppa Site'!K1646&lt;&gt;0,'Boletins Nuppa Site'!K1646,"NULL")</f>
        <v>30</v>
      </c>
      <c r="I1646" s="0" t="str">
        <f aca="false">"INSERT INTO COTACAO (cot_id, cot_blt_id, cot_pap_id, cot_prc_comum, cot_prc_min, cot_prc_max, cot_prc_med, cot_prc_mediana) VALUES ("&amp;A1646&amp;", "&amp;B1646&amp;", "&amp;C1646&amp;", "&amp;D1646&amp;", "&amp;E1646&amp;", "&amp;F1646&amp;", "&amp;G1646&amp;", "&amp;H1646&amp;");"</f>
        <v>INSERT INTO COTACAO (cot_id, cot_blt_id, cot_pap_id, cot_prc_comum, cot_prc_min, cot_prc_max, cot_prc_med, cot_prc_mediana) VALUES (1645, 79, 15, 30, 30, 35, 31666667, 30);</v>
      </c>
      <c r="J1646" s="0" t="str">
        <f aca="false">"UPDATE COTACAO SET cot_id = "&amp;A1646&amp;", cot_blt_id = "&amp;B1646&amp;", cot_pap_id = "&amp;C1646&amp;", cot_prc_comum = "&amp;D1646&amp;", cot_prc_min = "&amp;E1646&amp;", cot_prc_max = "&amp;F1646&amp;", cot_prc_med = "&amp;G1646&amp;", cot_prc_mediana = "&amp;H1646&amp;" WHERE cot_id = "&amp;A1646&amp;";"</f>
        <v>UPDATE COTACAO SET cot_id = 1645, cot_blt_id = 79, cot_pap_id = 15, cot_prc_comum = 30, cot_prc_min = 30, cot_prc_max = 35, cot_prc_med = 31666667, cot_prc_mediana = 30 WHERE cot_id = 1645;</v>
      </c>
    </row>
    <row r="1647" customFormat="false" ht="14.25" hidden="false" customHeight="false" outlineLevel="0" collapsed="false">
      <c r="A1647" s="0" t="n">
        <v>1646</v>
      </c>
      <c r="B1647" s="0" t="n">
        <f aca="false">IF('Boletins Nuppa Site'!A1647&lt;&gt;0,'Boletins Nuppa Site'!A1647,"NULL")</f>
        <v>79</v>
      </c>
      <c r="C1647" s="0" t="n">
        <v>16</v>
      </c>
      <c r="D1647" s="0" t="n">
        <f aca="false">IF('Boletins Nuppa Site'!G1647&lt;&gt;0,'Boletins Nuppa Site'!G1647,"NULL")</f>
        <v>54</v>
      </c>
      <c r="E1647" s="30" t="n">
        <f aca="false">IF('Boletins Nuppa Site'!H1647&lt;&gt;0,'Boletins Nuppa Site'!H1647,"NULL")</f>
        <v>54</v>
      </c>
      <c r="F1647" s="30" t="n">
        <f aca="false">IF('Boletins Nuppa Site'!I1647&lt;&gt;0,'Boletins Nuppa Site'!I1647,"NULL")</f>
        <v>60</v>
      </c>
      <c r="G1647" s="30" t="n">
        <f aca="false">IF('Boletins Nuppa Site'!J1647&lt;&gt;0,'Boletins Nuppa Site'!J1647,"NULL")</f>
        <v>56</v>
      </c>
      <c r="H1647" s="30" t="n">
        <f aca="false">IF('Boletins Nuppa Site'!K1647&lt;&gt;0,'Boletins Nuppa Site'!K1647,"NULL")</f>
        <v>54</v>
      </c>
      <c r="I1647" s="0" t="str">
        <f aca="false">"INSERT INTO COTACAO (cot_id, cot_blt_id, cot_pap_id, cot_prc_comum, cot_prc_min, cot_prc_max, cot_prc_med, cot_prc_mediana) VALUES ("&amp;A1647&amp;", "&amp;B1647&amp;", "&amp;C1647&amp;", "&amp;D1647&amp;", "&amp;E1647&amp;", "&amp;F1647&amp;", "&amp;G1647&amp;", "&amp;H1647&amp;");"</f>
        <v>INSERT INTO COTACAO (cot_id, cot_blt_id, cot_pap_id, cot_prc_comum, cot_prc_min, cot_prc_max, cot_prc_med, cot_prc_mediana) VALUES (1646, 79, 16, 54, 54, 60, 56, 54);</v>
      </c>
      <c r="J1647" s="0" t="str">
        <f aca="false">"UPDATE COTACAO SET cot_id = "&amp;A1647&amp;", cot_blt_id = "&amp;B1647&amp;", cot_pap_id = "&amp;C1647&amp;", cot_prc_comum = "&amp;D1647&amp;", cot_prc_min = "&amp;E1647&amp;", cot_prc_max = "&amp;F1647&amp;", cot_prc_med = "&amp;G1647&amp;", cot_prc_mediana = "&amp;H1647&amp;" WHERE cot_id = "&amp;A1647&amp;";"</f>
        <v>UPDATE COTACAO SET cot_id = 1646, cot_blt_id = 79, cot_pap_id = 16, cot_prc_comum = 54, cot_prc_min = 54, cot_prc_max = 60, cot_prc_med = 56, cot_prc_mediana = 54 WHERE cot_id = 1646;</v>
      </c>
    </row>
    <row r="1648" customFormat="false" ht="14.25" hidden="false" customHeight="false" outlineLevel="0" collapsed="false">
      <c r="A1648" s="0" t="n">
        <v>1647</v>
      </c>
      <c r="B1648" s="0" t="n">
        <f aca="false">IF('Boletins Nuppa Site'!A1648&lt;&gt;0,'Boletins Nuppa Site'!A1648,"NULL")</f>
        <v>79</v>
      </c>
      <c r="C1648" s="0" t="n">
        <v>17</v>
      </c>
      <c r="D1648" s="0" t="n">
        <f aca="false">IF('Boletins Nuppa Site'!G1648&lt;&gt;0,'Boletins Nuppa Site'!G1648,"NULL")</f>
        <v>5</v>
      </c>
      <c r="E1648" s="30" t="n">
        <f aca="false">IF('Boletins Nuppa Site'!H1648&lt;&gt;0,'Boletins Nuppa Site'!H1648,"NULL")</f>
        <v>5</v>
      </c>
      <c r="F1648" s="30" t="n">
        <f aca="false">IF('Boletins Nuppa Site'!I1648&lt;&gt;0,'Boletins Nuppa Site'!I1648,"NULL")</f>
        <v>5</v>
      </c>
      <c r="G1648" s="30" t="n">
        <f aca="false">IF('Boletins Nuppa Site'!J1648&lt;&gt;0,'Boletins Nuppa Site'!J1648,"NULL")</f>
        <v>5</v>
      </c>
      <c r="H1648" s="30" t="n">
        <f aca="false">IF('Boletins Nuppa Site'!K1648&lt;&gt;0,'Boletins Nuppa Site'!K1648,"NULL")</f>
        <v>5</v>
      </c>
      <c r="I1648" s="0" t="str">
        <f aca="false">"INSERT INTO COTACAO (cot_id, cot_blt_id, cot_pap_id, cot_prc_comum, cot_prc_min, cot_prc_max, cot_prc_med, cot_prc_mediana) VALUES ("&amp;A1648&amp;", "&amp;B1648&amp;", "&amp;C1648&amp;", "&amp;D1648&amp;", "&amp;E1648&amp;", "&amp;F1648&amp;", "&amp;G1648&amp;", "&amp;H1648&amp;");"</f>
        <v>INSERT INTO COTACAO (cot_id, cot_blt_id, cot_pap_id, cot_prc_comum, cot_prc_min, cot_prc_max, cot_prc_med, cot_prc_mediana) VALUES (1647, 79, 17, 5, 5, 5, 5, 5);</v>
      </c>
      <c r="J1648" s="0" t="str">
        <f aca="false">"UPDATE COTACAO SET cot_id = "&amp;A1648&amp;", cot_blt_id = "&amp;B1648&amp;", cot_pap_id = "&amp;C1648&amp;", cot_prc_comum = "&amp;D1648&amp;", cot_prc_min = "&amp;E1648&amp;", cot_prc_max = "&amp;F1648&amp;", cot_prc_med = "&amp;G1648&amp;", cot_prc_mediana = "&amp;H1648&amp;" WHERE cot_id = "&amp;A1648&amp;";"</f>
        <v>UPDATE COTACAO SET cot_id = 1647, cot_blt_id = 79, cot_pap_id = 17, cot_prc_comum = 5, cot_prc_min = 5, cot_prc_max = 5, cot_prc_med = 5, cot_prc_mediana = 5 WHERE cot_id = 1647;</v>
      </c>
    </row>
    <row r="1649" customFormat="false" ht="14.25" hidden="false" customHeight="false" outlineLevel="0" collapsed="false">
      <c r="A1649" s="0" t="n">
        <v>1648</v>
      </c>
      <c r="B1649" s="0" t="n">
        <f aca="false">IF('Boletins Nuppa Site'!A1649&lt;&gt;0,'Boletins Nuppa Site'!A1649,"NULL")</f>
        <v>79</v>
      </c>
      <c r="C1649" s="0" t="n">
        <v>18</v>
      </c>
      <c r="D1649" s="0" t="n">
        <f aca="false">IF('Boletins Nuppa Site'!G1649&lt;&gt;0,'Boletins Nuppa Site'!G1649,"NULL")</f>
        <v>20</v>
      </c>
      <c r="E1649" s="30" t="n">
        <f aca="false">IF('Boletins Nuppa Site'!H1649&lt;&gt;0,'Boletins Nuppa Site'!H1649,"NULL")</f>
        <v>20</v>
      </c>
      <c r="F1649" s="30" t="n">
        <f aca="false">IF('Boletins Nuppa Site'!I1649&lt;&gt;0,'Boletins Nuppa Site'!I1649,"NULL")</f>
        <v>20</v>
      </c>
      <c r="G1649" s="30" t="n">
        <f aca="false">IF('Boletins Nuppa Site'!J1649&lt;&gt;0,'Boletins Nuppa Site'!J1649,"NULL")</f>
        <v>20</v>
      </c>
      <c r="H1649" s="30" t="n">
        <f aca="false">IF('Boletins Nuppa Site'!K1649&lt;&gt;0,'Boletins Nuppa Site'!K1649,"NULL")</f>
        <v>20</v>
      </c>
      <c r="I1649" s="0" t="str">
        <f aca="false">"INSERT INTO COTACAO (cot_id, cot_blt_id, cot_pap_id, cot_prc_comum, cot_prc_min, cot_prc_max, cot_prc_med, cot_prc_mediana) VALUES ("&amp;A1649&amp;", "&amp;B1649&amp;", "&amp;C1649&amp;", "&amp;D1649&amp;", "&amp;E1649&amp;", "&amp;F1649&amp;", "&amp;G1649&amp;", "&amp;H1649&amp;");"</f>
        <v>INSERT INTO COTACAO (cot_id, cot_blt_id, cot_pap_id, cot_prc_comum, cot_prc_min, cot_prc_max, cot_prc_med, cot_prc_mediana) VALUES (1648, 79, 18, 20, 20, 20, 20, 20);</v>
      </c>
      <c r="J1649" s="0" t="str">
        <f aca="false">"UPDATE COTACAO SET cot_id = "&amp;A1649&amp;", cot_blt_id = "&amp;B1649&amp;", cot_pap_id = "&amp;C1649&amp;", cot_prc_comum = "&amp;D1649&amp;", cot_prc_min = "&amp;E1649&amp;", cot_prc_max = "&amp;F1649&amp;", cot_prc_med = "&amp;G1649&amp;", cot_prc_mediana = "&amp;H1649&amp;" WHERE cot_id = "&amp;A1649&amp;";"</f>
        <v>UPDATE COTACAO SET cot_id = 1648, cot_blt_id = 79, cot_pap_id = 18, cot_prc_comum = 20, cot_prc_min = 20, cot_prc_max = 20, cot_prc_med = 20, cot_prc_mediana = 20 WHERE cot_id = 1648;</v>
      </c>
    </row>
    <row r="1650" customFormat="false" ht="14.25" hidden="false" customHeight="false" outlineLevel="0" collapsed="false">
      <c r="A1650" s="0" t="n">
        <v>1649</v>
      </c>
      <c r="B1650" s="0" t="n">
        <f aca="false">IF('Boletins Nuppa Site'!A1650&lt;&gt;0,'Boletins Nuppa Site'!A1650,"NULL")</f>
        <v>79</v>
      </c>
      <c r="C1650" s="0" t="n">
        <v>19</v>
      </c>
      <c r="D1650" s="0" t="n">
        <f aca="false">IF('Boletins Nuppa Site'!G1650&lt;&gt;0,'Boletins Nuppa Site'!G1650,"NULL")</f>
        <v>30</v>
      </c>
      <c r="E1650" s="30" t="n">
        <f aca="false">IF('Boletins Nuppa Site'!H1650&lt;&gt;0,'Boletins Nuppa Site'!H1650,"NULL")</f>
        <v>25</v>
      </c>
      <c r="F1650" s="30" t="n">
        <f aca="false">IF('Boletins Nuppa Site'!I1650&lt;&gt;0,'Boletins Nuppa Site'!I1650,"NULL")</f>
        <v>30</v>
      </c>
      <c r="G1650" s="30" t="n">
        <f aca="false">IF('Boletins Nuppa Site'!J1650&lt;&gt;0,'Boletins Nuppa Site'!J1650,"NULL")</f>
        <v>28333333</v>
      </c>
      <c r="H1650" s="30" t="n">
        <f aca="false">IF('Boletins Nuppa Site'!K1650&lt;&gt;0,'Boletins Nuppa Site'!K1650,"NULL")</f>
        <v>30</v>
      </c>
      <c r="I1650" s="0" t="str">
        <f aca="false">"INSERT INTO COTACAO (cot_id, cot_blt_id, cot_pap_id, cot_prc_comum, cot_prc_min, cot_prc_max, cot_prc_med, cot_prc_mediana) VALUES ("&amp;A1650&amp;", "&amp;B1650&amp;", "&amp;C1650&amp;", "&amp;D1650&amp;", "&amp;E1650&amp;", "&amp;F1650&amp;", "&amp;G1650&amp;", "&amp;H1650&amp;");"</f>
        <v>INSERT INTO COTACAO (cot_id, cot_blt_id, cot_pap_id, cot_prc_comum, cot_prc_min, cot_prc_max, cot_prc_med, cot_prc_mediana) VALUES (1649, 79, 19, 30, 25, 30, 28333333, 30);</v>
      </c>
      <c r="J1650" s="0" t="str">
        <f aca="false">"UPDATE COTACAO SET cot_id = "&amp;A1650&amp;", cot_blt_id = "&amp;B1650&amp;", cot_pap_id = "&amp;C1650&amp;", cot_prc_comum = "&amp;D1650&amp;", cot_prc_min = "&amp;E1650&amp;", cot_prc_max = "&amp;F1650&amp;", cot_prc_med = "&amp;G1650&amp;", cot_prc_mediana = "&amp;H1650&amp;" WHERE cot_id = "&amp;A1650&amp;";"</f>
        <v>UPDATE COTACAO SET cot_id = 1649, cot_blt_id = 79, cot_pap_id = 19, cot_prc_comum = 30, cot_prc_min = 25, cot_prc_max = 30, cot_prc_med = 28333333, cot_prc_mediana = 30 WHERE cot_id = 1649;</v>
      </c>
    </row>
    <row r="1651" customFormat="false" ht="14.25" hidden="false" customHeight="false" outlineLevel="0" collapsed="false">
      <c r="A1651" s="0" t="n">
        <v>1650</v>
      </c>
      <c r="B1651" s="0" t="n">
        <f aca="false">IF('Boletins Nuppa Site'!A1651&lt;&gt;0,'Boletins Nuppa Site'!A1651,"NULL")</f>
        <v>79</v>
      </c>
      <c r="C1651" s="0" t="n">
        <v>20</v>
      </c>
      <c r="D1651" s="0" t="n">
        <f aca="false">IF('Boletins Nuppa Site'!G1651&lt;&gt;0,'Boletins Nuppa Site'!G1651,"NULL")</f>
        <v>80</v>
      </c>
      <c r="E1651" s="30" t="n">
        <f aca="false">IF('Boletins Nuppa Site'!H1651&lt;&gt;0,'Boletins Nuppa Site'!H1651,"NULL")</f>
        <v>75</v>
      </c>
      <c r="F1651" s="30" t="n">
        <f aca="false">IF('Boletins Nuppa Site'!I1651&lt;&gt;0,'Boletins Nuppa Site'!I1651,"NULL")</f>
        <v>80</v>
      </c>
      <c r="G1651" s="30" t="n">
        <f aca="false">IF('Boletins Nuppa Site'!J1651&lt;&gt;0,'Boletins Nuppa Site'!J1651,"NULL")</f>
        <v>78333333</v>
      </c>
      <c r="H1651" s="30" t="n">
        <f aca="false">IF('Boletins Nuppa Site'!K1651&lt;&gt;0,'Boletins Nuppa Site'!K1651,"NULL")</f>
        <v>80</v>
      </c>
      <c r="I1651" s="0" t="str">
        <f aca="false">"INSERT INTO COTACAO (cot_id, cot_blt_id, cot_pap_id, cot_prc_comum, cot_prc_min, cot_prc_max, cot_prc_med, cot_prc_mediana) VALUES ("&amp;A1651&amp;", "&amp;B1651&amp;", "&amp;C1651&amp;", "&amp;D1651&amp;", "&amp;E1651&amp;", "&amp;F1651&amp;", "&amp;G1651&amp;", "&amp;H1651&amp;");"</f>
        <v>INSERT INTO COTACAO (cot_id, cot_blt_id, cot_pap_id, cot_prc_comum, cot_prc_min, cot_prc_max, cot_prc_med, cot_prc_mediana) VALUES (1650, 79, 20, 80, 75, 80, 78333333, 80);</v>
      </c>
      <c r="J1651" s="0" t="str">
        <f aca="false">"UPDATE COTACAO SET cot_id = "&amp;A1651&amp;", cot_blt_id = "&amp;B1651&amp;", cot_pap_id = "&amp;C1651&amp;", cot_prc_comum = "&amp;D1651&amp;", cot_prc_min = "&amp;E1651&amp;", cot_prc_max = "&amp;F1651&amp;", cot_prc_med = "&amp;G1651&amp;", cot_prc_mediana = "&amp;H1651&amp;" WHERE cot_id = "&amp;A1651&amp;";"</f>
        <v>UPDATE COTACAO SET cot_id = 1650, cot_blt_id = 79, cot_pap_id = 20, cot_prc_comum = 80, cot_prc_min = 75, cot_prc_max = 80, cot_prc_med = 78333333, cot_prc_mediana = 80 WHERE cot_id = 1650;</v>
      </c>
    </row>
    <row r="1652" customFormat="false" ht="14.25" hidden="false" customHeight="false" outlineLevel="0" collapsed="false">
      <c r="A1652" s="0" t="n">
        <v>1651</v>
      </c>
      <c r="B1652" s="0" t="n">
        <f aca="false">IF('Boletins Nuppa Site'!A1652&lt;&gt;0,'Boletins Nuppa Site'!A1652,"NULL")</f>
        <v>79</v>
      </c>
      <c r="C1652" s="0" t="n">
        <v>21</v>
      </c>
      <c r="D1652" s="0" t="str">
        <f aca="false">IF('Boletins Nuppa Site'!G1652&lt;&gt;0,'Boletins Nuppa Site'!G1652,"NULL")</f>
        <v>NULL</v>
      </c>
      <c r="E1652" s="30" t="n">
        <f aca="false">IF('Boletins Nuppa Site'!H1652&lt;&gt;0,'Boletins Nuppa Site'!H1652,"NULL")</f>
        <v>40</v>
      </c>
      <c r="F1652" s="30" t="n">
        <f aca="false">IF('Boletins Nuppa Site'!I1652&lt;&gt;0,'Boletins Nuppa Site'!I1652,"NULL")</f>
        <v>80</v>
      </c>
      <c r="G1652" s="30" t="n">
        <f aca="false">IF('Boletins Nuppa Site'!J1652&lt;&gt;0,'Boletins Nuppa Site'!J1652,"NULL")</f>
        <v>58333333</v>
      </c>
      <c r="H1652" s="30" t="str">
        <f aca="false">IF('Boletins Nuppa Site'!K1652&lt;&gt;0,'Boletins Nuppa Site'!K1652,"NULL")</f>
        <v>57.5</v>
      </c>
      <c r="I1652" s="0" t="str">
        <f aca="false">"INSERT INTO COTACAO (cot_id, cot_blt_id, cot_pap_id, cot_prc_comum, cot_prc_min, cot_prc_max, cot_prc_med, cot_prc_mediana) VALUES ("&amp;A1652&amp;", "&amp;B1652&amp;", "&amp;C1652&amp;", "&amp;D1652&amp;", "&amp;E1652&amp;", "&amp;F1652&amp;", "&amp;G1652&amp;", "&amp;H1652&amp;");"</f>
        <v>INSERT INTO COTACAO (cot_id, cot_blt_id, cot_pap_id, cot_prc_comum, cot_prc_min, cot_prc_max, cot_prc_med, cot_prc_mediana) VALUES (1651, 79, 21, NULL, 40, 80, 58333333, 57.5);</v>
      </c>
      <c r="J1652" s="0" t="str">
        <f aca="false">"UPDATE COTACAO SET cot_id = "&amp;A1652&amp;", cot_blt_id = "&amp;B1652&amp;", cot_pap_id = "&amp;C1652&amp;", cot_prc_comum = "&amp;D1652&amp;", cot_prc_min = "&amp;E1652&amp;", cot_prc_max = "&amp;F1652&amp;", cot_prc_med = "&amp;G1652&amp;", cot_prc_mediana = "&amp;H1652&amp;" WHERE cot_id = "&amp;A1652&amp;";"</f>
        <v>UPDATE COTACAO SET cot_id = 1651, cot_blt_id = 79, cot_pap_id = 21, cot_prc_comum = NULL, cot_prc_min = 40, cot_prc_max = 80, cot_prc_med = 58333333, cot_prc_mediana = 57.5 WHERE cot_id = 1651;</v>
      </c>
    </row>
    <row r="1653" customFormat="false" ht="14.25" hidden="false" customHeight="false" outlineLevel="0" collapsed="false">
      <c r="A1653" s="0" t="n">
        <v>1652</v>
      </c>
      <c r="B1653" s="0" t="n">
        <f aca="false">IF('Boletins Nuppa Site'!A1653&lt;&gt;0,'Boletins Nuppa Site'!A1653,"NULL")</f>
        <v>79</v>
      </c>
      <c r="C1653" s="0" t="n">
        <v>22</v>
      </c>
      <c r="D1653" s="0" t="n">
        <f aca="false">IF('Boletins Nuppa Site'!G1653&lt;&gt;0,'Boletins Nuppa Site'!G1653,"NULL")</f>
        <v>65</v>
      </c>
      <c r="E1653" s="30" t="n">
        <f aca="false">IF('Boletins Nuppa Site'!H1653&lt;&gt;0,'Boletins Nuppa Site'!H1653,"NULL")</f>
        <v>45</v>
      </c>
      <c r="F1653" s="30" t="n">
        <f aca="false">IF('Boletins Nuppa Site'!I1653&lt;&gt;0,'Boletins Nuppa Site'!I1653,"NULL")</f>
        <v>70</v>
      </c>
      <c r="G1653" s="30" t="n">
        <f aca="false">IF('Boletins Nuppa Site'!J1653&lt;&gt;0,'Boletins Nuppa Site'!J1653,"NULL")</f>
        <v>60</v>
      </c>
      <c r="H1653" s="30" t="n">
        <f aca="false">IF('Boletins Nuppa Site'!K1653&lt;&gt;0,'Boletins Nuppa Site'!K1653,"NULL")</f>
        <v>65</v>
      </c>
      <c r="I1653" s="0" t="str">
        <f aca="false">"INSERT INTO COTACAO (cot_id, cot_blt_id, cot_pap_id, cot_prc_comum, cot_prc_min, cot_prc_max, cot_prc_med, cot_prc_mediana) VALUES ("&amp;A1653&amp;", "&amp;B1653&amp;", "&amp;C1653&amp;", "&amp;D1653&amp;", "&amp;E1653&amp;", "&amp;F1653&amp;", "&amp;G1653&amp;", "&amp;H1653&amp;");"</f>
        <v>INSERT INTO COTACAO (cot_id, cot_blt_id, cot_pap_id, cot_prc_comum, cot_prc_min, cot_prc_max, cot_prc_med, cot_prc_mediana) VALUES (1652, 79, 22, 65, 45, 70, 60, 65);</v>
      </c>
      <c r="J1653" s="0" t="str">
        <f aca="false">"UPDATE COTACAO SET cot_id = "&amp;A1653&amp;", cot_blt_id = "&amp;B1653&amp;", cot_pap_id = "&amp;C1653&amp;", cot_prc_comum = "&amp;D1653&amp;", cot_prc_min = "&amp;E1653&amp;", cot_prc_max = "&amp;F1653&amp;", cot_prc_med = "&amp;G1653&amp;", cot_prc_mediana = "&amp;H1653&amp;" WHERE cot_id = "&amp;A1653&amp;";"</f>
        <v>UPDATE COTACAO SET cot_id = 1652, cot_blt_id = 79, cot_pap_id = 22, cot_prc_comum = 65, cot_prc_min = 45, cot_prc_max = 70, cot_prc_med = 60, cot_prc_mediana = 65 WHERE cot_id = 1652;</v>
      </c>
    </row>
    <row r="1654" customFormat="false" ht="14.25" hidden="false" customHeight="false" outlineLevel="0" collapsed="false">
      <c r="A1654" s="0" t="n">
        <v>1653</v>
      </c>
      <c r="B1654" s="0" t="n">
        <f aca="false">IF('Boletins Nuppa Site'!A1654&lt;&gt;0,'Boletins Nuppa Site'!A1654,"NULL")</f>
        <v>79</v>
      </c>
      <c r="C1654" s="0" t="n">
        <v>23</v>
      </c>
      <c r="D1654" s="0" t="n">
        <f aca="false">IF('Boletins Nuppa Site'!G1654&lt;&gt;0,'Boletins Nuppa Site'!G1654,"NULL")</f>
        <v>55</v>
      </c>
      <c r="E1654" s="30" t="n">
        <f aca="false">IF('Boletins Nuppa Site'!H1654&lt;&gt;0,'Boletins Nuppa Site'!H1654,"NULL")</f>
        <v>50</v>
      </c>
      <c r="F1654" s="30" t="n">
        <f aca="false">IF('Boletins Nuppa Site'!I1654&lt;&gt;0,'Boletins Nuppa Site'!I1654,"NULL")</f>
        <v>60</v>
      </c>
      <c r="G1654" s="30" t="n">
        <f aca="false">IF('Boletins Nuppa Site'!J1654&lt;&gt;0,'Boletins Nuppa Site'!J1654,"NULL")</f>
        <v>54166667</v>
      </c>
      <c r="H1654" s="30" t="n">
        <f aca="false">IF('Boletins Nuppa Site'!K1654&lt;&gt;0,'Boletins Nuppa Site'!K1654,"NULL")</f>
        <v>55</v>
      </c>
      <c r="I1654" s="0" t="str">
        <f aca="false">"INSERT INTO COTACAO (cot_id, cot_blt_id, cot_pap_id, cot_prc_comum, cot_prc_min, cot_prc_max, cot_prc_med, cot_prc_mediana) VALUES ("&amp;A1654&amp;", "&amp;B1654&amp;", "&amp;C1654&amp;", "&amp;D1654&amp;", "&amp;E1654&amp;", "&amp;F1654&amp;", "&amp;G1654&amp;", "&amp;H1654&amp;");"</f>
        <v>INSERT INTO COTACAO (cot_id, cot_blt_id, cot_pap_id, cot_prc_comum, cot_prc_min, cot_prc_max, cot_prc_med, cot_prc_mediana) VALUES (1653, 79, 23, 55, 50, 60, 54166667, 55);</v>
      </c>
      <c r="J1654" s="0" t="str">
        <f aca="false">"UPDATE COTACAO SET cot_id = "&amp;A1654&amp;", cot_blt_id = "&amp;B1654&amp;", cot_pap_id = "&amp;C1654&amp;", cot_prc_comum = "&amp;D1654&amp;", cot_prc_min = "&amp;E1654&amp;", cot_prc_max = "&amp;F1654&amp;", cot_prc_med = "&amp;G1654&amp;", cot_prc_mediana = "&amp;H1654&amp;" WHERE cot_id = "&amp;A1654&amp;";"</f>
        <v>UPDATE COTACAO SET cot_id = 1653, cot_blt_id = 79, cot_pap_id = 23, cot_prc_comum = 55, cot_prc_min = 50, cot_prc_max = 60, cot_prc_med = 54166667, cot_prc_mediana = 55 WHERE cot_id = 1653;</v>
      </c>
    </row>
    <row r="1655" customFormat="false" ht="14.25" hidden="false" customHeight="false" outlineLevel="0" collapsed="false">
      <c r="A1655" s="0" t="n">
        <v>1654</v>
      </c>
      <c r="B1655" s="0" t="n">
        <f aca="false">IF('Boletins Nuppa Site'!A1655&lt;&gt;0,'Boletins Nuppa Site'!A1655,"NULL")</f>
        <v>79</v>
      </c>
      <c r="C1655" s="0" t="n">
        <v>24</v>
      </c>
      <c r="D1655" s="0" t="str">
        <f aca="false">IF('Boletins Nuppa Site'!G1655&lt;&gt;0,'Boletins Nuppa Site'!G1655,"NULL")</f>
        <v>NULL</v>
      </c>
      <c r="E1655" s="30" t="n">
        <f aca="false">IF('Boletins Nuppa Site'!H1655&lt;&gt;0,'Boletins Nuppa Site'!H1655,"NULL")</f>
        <v>90</v>
      </c>
      <c r="F1655" s="30" t="n">
        <f aca="false">IF('Boletins Nuppa Site'!I1655&lt;&gt;0,'Boletins Nuppa Site'!I1655,"NULL")</f>
        <v>120</v>
      </c>
      <c r="G1655" s="30" t="n">
        <f aca="false">IF('Boletins Nuppa Site'!J1655&lt;&gt;0,'Boletins Nuppa Site'!J1655,"NULL")</f>
        <v>105</v>
      </c>
      <c r="H1655" s="30" t="n">
        <f aca="false">IF('Boletins Nuppa Site'!K1655&lt;&gt;0,'Boletins Nuppa Site'!K1655,"NULL")</f>
        <v>105</v>
      </c>
      <c r="I1655" s="0" t="str">
        <f aca="false">"INSERT INTO COTACAO (cot_id, cot_blt_id, cot_pap_id, cot_prc_comum, cot_prc_min, cot_prc_max, cot_prc_med, cot_prc_mediana) VALUES ("&amp;A1655&amp;", "&amp;B1655&amp;", "&amp;C1655&amp;", "&amp;D1655&amp;", "&amp;E1655&amp;", "&amp;F1655&amp;", "&amp;G1655&amp;", "&amp;H1655&amp;");"</f>
        <v>INSERT INTO COTACAO (cot_id, cot_blt_id, cot_pap_id, cot_prc_comum, cot_prc_min, cot_prc_max, cot_prc_med, cot_prc_mediana) VALUES (1654, 79, 24, NULL, 90, 120, 105, 105);</v>
      </c>
      <c r="J1655" s="0" t="str">
        <f aca="false">"UPDATE COTACAO SET cot_id = "&amp;A1655&amp;", cot_blt_id = "&amp;B1655&amp;", cot_pap_id = "&amp;C1655&amp;", cot_prc_comum = "&amp;D1655&amp;", cot_prc_min = "&amp;E1655&amp;", cot_prc_max = "&amp;F1655&amp;", cot_prc_med = "&amp;G1655&amp;", cot_prc_mediana = "&amp;H1655&amp;" WHERE cot_id = "&amp;A1655&amp;";"</f>
        <v>UPDATE COTACAO SET cot_id = 1654, cot_blt_id = 79, cot_pap_id = 24, cot_prc_comum = NULL, cot_prc_min = 90, cot_prc_max = 120, cot_prc_med = 105, cot_prc_mediana = 105 WHERE cot_id = 1654;</v>
      </c>
    </row>
    <row r="1656" customFormat="false" ht="14.25" hidden="false" customHeight="false" outlineLevel="0" collapsed="false">
      <c r="A1656" s="0" t="n">
        <v>1655</v>
      </c>
      <c r="B1656" s="0" t="n">
        <f aca="false">IF('Boletins Nuppa Site'!A1656&lt;&gt;0,'Boletins Nuppa Site'!A1656,"NULL")</f>
        <v>79</v>
      </c>
      <c r="C1656" s="0" t="n">
        <v>25</v>
      </c>
      <c r="D1656" s="0" t="n">
        <f aca="false">IF('Boletins Nuppa Site'!G1656&lt;&gt;0,'Boletins Nuppa Site'!G1656,"NULL")</f>
        <v>60</v>
      </c>
      <c r="E1656" s="30" t="n">
        <f aca="false">IF('Boletins Nuppa Site'!H1656&lt;&gt;0,'Boletins Nuppa Site'!H1656,"NULL")</f>
        <v>50</v>
      </c>
      <c r="F1656" s="30" t="n">
        <f aca="false">IF('Boletins Nuppa Site'!I1656&lt;&gt;0,'Boletins Nuppa Site'!I1656,"NULL")</f>
        <v>65</v>
      </c>
      <c r="G1656" s="30" t="n">
        <f aca="false">IF('Boletins Nuppa Site'!J1656&lt;&gt;0,'Boletins Nuppa Site'!J1656,"NULL")</f>
        <v>58333333</v>
      </c>
      <c r="H1656" s="30" t="n">
        <f aca="false">IF('Boletins Nuppa Site'!K1656&lt;&gt;0,'Boletins Nuppa Site'!K1656,"NULL")</f>
        <v>60</v>
      </c>
      <c r="I1656" s="0" t="str">
        <f aca="false">"INSERT INTO COTACAO (cot_id, cot_blt_id, cot_pap_id, cot_prc_comum, cot_prc_min, cot_prc_max, cot_prc_med, cot_prc_mediana) VALUES ("&amp;A1656&amp;", "&amp;B1656&amp;", "&amp;C1656&amp;", "&amp;D1656&amp;", "&amp;E1656&amp;", "&amp;F1656&amp;", "&amp;G1656&amp;", "&amp;H1656&amp;");"</f>
        <v>INSERT INTO COTACAO (cot_id, cot_blt_id, cot_pap_id, cot_prc_comum, cot_prc_min, cot_prc_max, cot_prc_med, cot_prc_mediana) VALUES (1655, 79, 25, 60, 50, 65, 58333333, 60);</v>
      </c>
      <c r="J1656" s="0" t="str">
        <f aca="false">"UPDATE COTACAO SET cot_id = "&amp;A1656&amp;", cot_blt_id = "&amp;B1656&amp;", cot_pap_id = "&amp;C1656&amp;", cot_prc_comum = "&amp;D1656&amp;", cot_prc_min = "&amp;E1656&amp;", cot_prc_max = "&amp;F1656&amp;", cot_prc_med = "&amp;G1656&amp;", cot_prc_mediana = "&amp;H1656&amp;" WHERE cot_id = "&amp;A1656&amp;";"</f>
        <v>UPDATE COTACAO SET cot_id = 1655, cot_blt_id = 79, cot_pap_id = 25, cot_prc_comum = 60, cot_prc_min = 50, cot_prc_max = 65, cot_prc_med = 58333333, cot_prc_mediana = 60 WHERE cot_id = 1655;</v>
      </c>
    </row>
    <row r="1657" customFormat="false" ht="14.25" hidden="false" customHeight="false" outlineLevel="0" collapsed="false">
      <c r="A1657" s="0" t="n">
        <v>1656</v>
      </c>
      <c r="B1657" s="0" t="n">
        <f aca="false">IF('Boletins Nuppa Site'!A1657&lt;&gt;0,'Boletins Nuppa Site'!A1657,"NULL")</f>
        <v>79</v>
      </c>
      <c r="C1657" s="0" t="n">
        <v>26</v>
      </c>
      <c r="D1657" s="0" t="n">
        <f aca="false">IF('Boletins Nuppa Site'!G1657&lt;&gt;0,'Boletins Nuppa Site'!G1657,"NULL")</f>
        <v>50</v>
      </c>
      <c r="E1657" s="30" t="n">
        <f aca="false">IF('Boletins Nuppa Site'!H1657&lt;&gt;0,'Boletins Nuppa Site'!H1657,"NULL")</f>
        <v>50</v>
      </c>
      <c r="F1657" s="30" t="n">
        <f aca="false">IF('Boletins Nuppa Site'!I1657&lt;&gt;0,'Boletins Nuppa Site'!I1657,"NULL")</f>
        <v>65</v>
      </c>
      <c r="G1657" s="30" t="n">
        <f aca="false">IF('Boletins Nuppa Site'!J1657&lt;&gt;0,'Boletins Nuppa Site'!J1657,"NULL")</f>
        <v>56666667</v>
      </c>
      <c r="H1657" s="30" t="str">
        <f aca="false">IF('Boletins Nuppa Site'!K1657&lt;&gt;0,'Boletins Nuppa Site'!K1657,"NULL")</f>
        <v>57.5</v>
      </c>
      <c r="I1657" s="0" t="str">
        <f aca="false">"INSERT INTO COTACAO (cot_id, cot_blt_id, cot_pap_id, cot_prc_comum, cot_prc_min, cot_prc_max, cot_prc_med, cot_prc_mediana) VALUES ("&amp;A1657&amp;", "&amp;B1657&amp;", "&amp;C1657&amp;", "&amp;D1657&amp;", "&amp;E1657&amp;", "&amp;F1657&amp;", "&amp;G1657&amp;", "&amp;H1657&amp;");"</f>
        <v>INSERT INTO COTACAO (cot_id, cot_blt_id, cot_pap_id, cot_prc_comum, cot_prc_min, cot_prc_max, cot_prc_med, cot_prc_mediana) VALUES (1656, 79, 26, 50, 50, 65, 56666667, 57.5);</v>
      </c>
      <c r="J1657" s="0" t="str">
        <f aca="false">"UPDATE COTACAO SET cot_id = "&amp;A1657&amp;", cot_blt_id = "&amp;B1657&amp;", cot_pap_id = "&amp;C1657&amp;", cot_prc_comum = "&amp;D1657&amp;", cot_prc_min = "&amp;E1657&amp;", cot_prc_max = "&amp;F1657&amp;", cot_prc_med = "&amp;G1657&amp;", cot_prc_mediana = "&amp;H1657&amp;" WHERE cot_id = "&amp;A1657&amp;";"</f>
        <v>UPDATE COTACAO SET cot_id = 1656, cot_blt_id = 79, cot_pap_id = 26, cot_prc_comum = 50, cot_prc_min = 50, cot_prc_max = 65, cot_prc_med = 56666667, cot_prc_mediana = 57.5 WHERE cot_id = 1656;</v>
      </c>
    </row>
    <row r="1658" customFormat="false" ht="14.25" hidden="false" customHeight="false" outlineLevel="0" collapsed="false">
      <c r="A1658" s="0" t="n">
        <v>1657</v>
      </c>
      <c r="B1658" s="0" t="n">
        <f aca="false">IF('Boletins Nuppa Site'!A1658&lt;&gt;0,'Boletins Nuppa Site'!A1658,"NULL")</f>
        <v>79</v>
      </c>
      <c r="C1658" s="0" t="n">
        <v>27</v>
      </c>
      <c r="D1658" s="0" t="n">
        <f aca="false">IF('Boletins Nuppa Site'!G1658&lt;&gt;0,'Boletins Nuppa Site'!G1658,"NULL")</f>
        <v>40</v>
      </c>
      <c r="E1658" s="30" t="n">
        <f aca="false">IF('Boletins Nuppa Site'!H1658&lt;&gt;0,'Boletins Nuppa Site'!H1658,"NULL")</f>
        <v>35</v>
      </c>
      <c r="F1658" s="30" t="n">
        <f aca="false">IF('Boletins Nuppa Site'!I1658&lt;&gt;0,'Boletins Nuppa Site'!I1658,"NULL")</f>
        <v>50</v>
      </c>
      <c r="G1658" s="30" t="n">
        <f aca="false">IF('Boletins Nuppa Site'!J1658&lt;&gt;0,'Boletins Nuppa Site'!J1658,"NULL")</f>
        <v>41666667</v>
      </c>
      <c r="H1658" s="30" t="n">
        <f aca="false">IF('Boletins Nuppa Site'!K1658&lt;&gt;0,'Boletins Nuppa Site'!K1658,"NULL")</f>
        <v>40</v>
      </c>
      <c r="I1658" s="0" t="str">
        <f aca="false">"INSERT INTO COTACAO (cot_id, cot_blt_id, cot_pap_id, cot_prc_comum, cot_prc_min, cot_prc_max, cot_prc_med, cot_prc_mediana) VALUES ("&amp;A1658&amp;", "&amp;B1658&amp;", "&amp;C1658&amp;", "&amp;D1658&amp;", "&amp;E1658&amp;", "&amp;F1658&amp;", "&amp;G1658&amp;", "&amp;H1658&amp;");"</f>
        <v>INSERT INTO COTACAO (cot_id, cot_blt_id, cot_pap_id, cot_prc_comum, cot_prc_min, cot_prc_max, cot_prc_med, cot_prc_mediana) VALUES (1657, 79, 27, 40, 35, 50, 41666667, 40);</v>
      </c>
      <c r="J1658" s="0" t="str">
        <f aca="false">"UPDATE COTACAO SET cot_id = "&amp;A1658&amp;", cot_blt_id = "&amp;B1658&amp;", cot_pap_id = "&amp;C1658&amp;", cot_prc_comum = "&amp;D1658&amp;", cot_prc_min = "&amp;E1658&amp;", cot_prc_max = "&amp;F1658&amp;", cot_prc_med = "&amp;G1658&amp;", cot_prc_mediana = "&amp;H1658&amp;" WHERE cot_id = "&amp;A1658&amp;";"</f>
        <v>UPDATE COTACAO SET cot_id = 1657, cot_blt_id = 79, cot_pap_id = 27, cot_prc_comum = 40, cot_prc_min = 35, cot_prc_max = 50, cot_prc_med = 41666667, cot_prc_mediana = 40 WHERE cot_id = 1657;</v>
      </c>
    </row>
    <row r="1659" customFormat="false" ht="14.25" hidden="false" customHeight="false" outlineLevel="0" collapsed="false">
      <c r="A1659" s="0" t="n">
        <v>1658</v>
      </c>
      <c r="B1659" s="0" t="n">
        <f aca="false">IF('Boletins Nuppa Site'!A1659&lt;&gt;0,'Boletins Nuppa Site'!A1659,"NULL")</f>
        <v>79</v>
      </c>
      <c r="C1659" s="0" t="n">
        <v>28</v>
      </c>
      <c r="D1659" s="0" t="n">
        <f aca="false">IF('Boletins Nuppa Site'!G1659&lt;&gt;0,'Boletins Nuppa Site'!G1659,"NULL")</f>
        <v>110</v>
      </c>
      <c r="E1659" s="30" t="n">
        <f aca="false">IF('Boletins Nuppa Site'!H1659&lt;&gt;0,'Boletins Nuppa Site'!H1659,"NULL")</f>
        <v>110</v>
      </c>
      <c r="F1659" s="30" t="n">
        <f aca="false">IF('Boletins Nuppa Site'!I1659&lt;&gt;0,'Boletins Nuppa Site'!I1659,"NULL")</f>
        <v>130</v>
      </c>
      <c r="G1659" s="30" t="n">
        <f aca="false">IF('Boletins Nuppa Site'!J1659&lt;&gt;0,'Boletins Nuppa Site'!J1659,"NULL")</f>
        <v>118</v>
      </c>
      <c r="H1659" s="30" t="n">
        <f aca="false">IF('Boletins Nuppa Site'!K1659&lt;&gt;0,'Boletins Nuppa Site'!K1659,"NULL")</f>
        <v>120</v>
      </c>
      <c r="I1659" s="0" t="str">
        <f aca="false">"INSERT INTO COTACAO (cot_id, cot_blt_id, cot_pap_id, cot_prc_comum, cot_prc_min, cot_prc_max, cot_prc_med, cot_prc_mediana) VALUES ("&amp;A1659&amp;", "&amp;B1659&amp;", "&amp;C1659&amp;", "&amp;D1659&amp;", "&amp;E1659&amp;", "&amp;F1659&amp;", "&amp;G1659&amp;", "&amp;H1659&amp;");"</f>
        <v>INSERT INTO COTACAO (cot_id, cot_blt_id, cot_pap_id, cot_prc_comum, cot_prc_min, cot_prc_max, cot_prc_med, cot_prc_mediana) VALUES (1658, 79, 28, 110, 110, 130, 118, 120);</v>
      </c>
      <c r="J1659" s="0" t="str">
        <f aca="false">"UPDATE COTACAO SET cot_id = "&amp;A1659&amp;", cot_blt_id = "&amp;B1659&amp;", cot_pap_id = "&amp;C1659&amp;", cot_prc_comum = "&amp;D1659&amp;", cot_prc_min = "&amp;E1659&amp;", cot_prc_max = "&amp;F1659&amp;", cot_prc_med = "&amp;G1659&amp;", cot_prc_mediana = "&amp;H1659&amp;" WHERE cot_id = "&amp;A1659&amp;";"</f>
        <v>UPDATE COTACAO SET cot_id = 1658, cot_blt_id = 79, cot_pap_id = 28, cot_prc_comum = 110, cot_prc_min = 110, cot_prc_max = 130, cot_prc_med = 118, cot_prc_mediana = 120 WHERE cot_id = 1658;</v>
      </c>
    </row>
    <row r="1660" customFormat="false" ht="14.25" hidden="false" customHeight="false" outlineLevel="0" collapsed="false">
      <c r="A1660" s="0" t="n">
        <v>1659</v>
      </c>
      <c r="B1660" s="0" t="n">
        <f aca="false">IF('Boletins Nuppa Site'!A1660&lt;&gt;0,'Boletins Nuppa Site'!A1660,"NULL")</f>
        <v>79</v>
      </c>
      <c r="C1660" s="0" t="n">
        <v>29</v>
      </c>
      <c r="D1660" s="0" t="str">
        <f aca="false">IF('Boletins Nuppa Site'!G1660&lt;&gt;0,'Boletins Nuppa Site'!G1660,"NULL")</f>
        <v>NULL</v>
      </c>
      <c r="E1660" s="30" t="n">
        <f aca="false">IF('Boletins Nuppa Site'!H1660&lt;&gt;0,'Boletins Nuppa Site'!H1660,"NULL")</f>
        <v>70</v>
      </c>
      <c r="F1660" s="30" t="n">
        <f aca="false">IF('Boletins Nuppa Site'!I1660&lt;&gt;0,'Boletins Nuppa Site'!I1660,"NULL")</f>
        <v>70</v>
      </c>
      <c r="G1660" s="30" t="n">
        <f aca="false">IF('Boletins Nuppa Site'!J1660&lt;&gt;0,'Boletins Nuppa Site'!J1660,"NULL")</f>
        <v>70</v>
      </c>
      <c r="H1660" s="30" t="n">
        <f aca="false">IF('Boletins Nuppa Site'!K1660&lt;&gt;0,'Boletins Nuppa Site'!K1660,"NULL")</f>
        <v>70</v>
      </c>
      <c r="I1660" s="0" t="str">
        <f aca="false">"INSERT INTO COTACAO (cot_id, cot_blt_id, cot_pap_id, cot_prc_comum, cot_prc_min, cot_prc_max, cot_prc_med, cot_prc_mediana) VALUES ("&amp;A1660&amp;", "&amp;B1660&amp;", "&amp;C1660&amp;", "&amp;D1660&amp;", "&amp;E1660&amp;", "&amp;F1660&amp;", "&amp;G1660&amp;", "&amp;H1660&amp;");"</f>
        <v>INSERT INTO COTACAO (cot_id, cot_blt_id, cot_pap_id, cot_prc_comum, cot_prc_min, cot_prc_max, cot_prc_med, cot_prc_mediana) VALUES (1659, 79, 29, NULL, 70, 70, 70, 70);</v>
      </c>
      <c r="J1660" s="0" t="str">
        <f aca="false">"UPDATE COTACAO SET cot_id = "&amp;A1660&amp;", cot_blt_id = "&amp;B1660&amp;", cot_pap_id = "&amp;C1660&amp;", cot_prc_comum = "&amp;D1660&amp;", cot_prc_min = "&amp;E1660&amp;", cot_prc_max = "&amp;F1660&amp;", cot_prc_med = "&amp;G1660&amp;", cot_prc_mediana = "&amp;H1660&amp;" WHERE cot_id = "&amp;A1660&amp;";"</f>
        <v>UPDATE COTACAO SET cot_id = 1659, cot_blt_id = 79, cot_pap_id = 29, cot_prc_comum = NULL, cot_prc_min = 70, cot_prc_max = 70, cot_prc_med = 70, cot_prc_mediana = 70 WHERE cot_id = 1659;</v>
      </c>
    </row>
    <row r="1661" customFormat="false" ht="14.25" hidden="false" customHeight="false" outlineLevel="0" collapsed="false">
      <c r="A1661" s="0" t="n">
        <v>1660</v>
      </c>
      <c r="B1661" s="0" t="n">
        <f aca="false">IF('Boletins Nuppa Site'!A1661&lt;&gt;0,'Boletins Nuppa Site'!A1661,"NULL")</f>
        <v>79</v>
      </c>
      <c r="C1661" s="0" t="n">
        <v>30</v>
      </c>
      <c r="D1661" s="0" t="n">
        <f aca="false">IF('Boletins Nuppa Site'!G1661&lt;&gt;0,'Boletins Nuppa Site'!G1661,"NULL")</f>
        <v>50</v>
      </c>
      <c r="E1661" s="30" t="n">
        <f aca="false">IF('Boletins Nuppa Site'!H1661&lt;&gt;0,'Boletins Nuppa Site'!H1661,"NULL")</f>
        <v>40</v>
      </c>
      <c r="F1661" s="30" t="n">
        <f aca="false">IF('Boletins Nuppa Site'!I1661&lt;&gt;0,'Boletins Nuppa Site'!I1661,"NULL")</f>
        <v>50</v>
      </c>
      <c r="G1661" s="30" t="str">
        <f aca="false">IF('Boletins Nuppa Site'!J1661&lt;&gt;0,'Boletins Nuppa Site'!J1661,"NULL")</f>
        <v>47.5</v>
      </c>
      <c r="H1661" s="30" t="n">
        <f aca="false">IF('Boletins Nuppa Site'!K1661&lt;&gt;0,'Boletins Nuppa Site'!K1661,"NULL")</f>
        <v>50</v>
      </c>
      <c r="I1661" s="0" t="str">
        <f aca="false">"INSERT INTO COTACAO (cot_id, cot_blt_id, cot_pap_id, cot_prc_comum, cot_prc_min, cot_prc_max, cot_prc_med, cot_prc_mediana) VALUES ("&amp;A1661&amp;", "&amp;B1661&amp;", "&amp;C1661&amp;", "&amp;D1661&amp;", "&amp;E1661&amp;", "&amp;F1661&amp;", "&amp;G1661&amp;", "&amp;H1661&amp;");"</f>
        <v>INSERT INTO COTACAO (cot_id, cot_blt_id, cot_pap_id, cot_prc_comum, cot_prc_min, cot_prc_max, cot_prc_med, cot_prc_mediana) VALUES (1660, 79, 30, 50, 40, 50, 47.5, 50);</v>
      </c>
      <c r="J1661" s="0" t="str">
        <f aca="false">"UPDATE COTACAO SET cot_id = "&amp;A1661&amp;", cot_blt_id = "&amp;B1661&amp;", cot_pap_id = "&amp;C1661&amp;", cot_prc_comum = "&amp;D1661&amp;", cot_prc_min = "&amp;E1661&amp;", cot_prc_max = "&amp;F1661&amp;", cot_prc_med = "&amp;G1661&amp;", cot_prc_mediana = "&amp;H1661&amp;" WHERE cot_id = "&amp;A1661&amp;";"</f>
        <v>UPDATE COTACAO SET cot_id = 1660, cot_blt_id = 79, cot_pap_id = 30, cot_prc_comum = 50, cot_prc_min = 40, cot_prc_max = 50, cot_prc_med = 47.5, cot_prc_mediana = 50 WHERE cot_id = 1660;</v>
      </c>
    </row>
    <row r="1662" customFormat="false" ht="14.25" hidden="false" customHeight="false" outlineLevel="0" collapsed="false">
      <c r="A1662" s="0" t="n">
        <v>1661</v>
      </c>
      <c r="B1662" s="0" t="n">
        <f aca="false">IF('Boletins Nuppa Site'!A1662&lt;&gt;0,'Boletins Nuppa Site'!A1662,"NULL")</f>
        <v>79</v>
      </c>
      <c r="C1662" s="0" t="n">
        <v>31</v>
      </c>
      <c r="D1662" s="0" t="n">
        <f aca="false">IF('Boletins Nuppa Site'!G1662&lt;&gt;0,'Boletins Nuppa Site'!G1662,"NULL")</f>
        <v>60</v>
      </c>
      <c r="E1662" s="30" t="n">
        <f aca="false">IF('Boletins Nuppa Site'!H1662&lt;&gt;0,'Boletins Nuppa Site'!H1662,"NULL")</f>
        <v>45</v>
      </c>
      <c r="F1662" s="30" t="n">
        <f aca="false">IF('Boletins Nuppa Site'!I1662&lt;&gt;0,'Boletins Nuppa Site'!I1662,"NULL")</f>
        <v>70</v>
      </c>
      <c r="G1662" s="30" t="n">
        <f aca="false">IF('Boletins Nuppa Site'!J1662&lt;&gt;0,'Boletins Nuppa Site'!J1662,"NULL")</f>
        <v>58333333</v>
      </c>
      <c r="H1662" s="30" t="n">
        <f aca="false">IF('Boletins Nuppa Site'!K1662&lt;&gt;0,'Boletins Nuppa Site'!K1662,"NULL")</f>
        <v>60</v>
      </c>
      <c r="I1662" s="0" t="str">
        <f aca="false">"INSERT INTO COTACAO (cot_id, cot_blt_id, cot_pap_id, cot_prc_comum, cot_prc_min, cot_prc_max, cot_prc_med, cot_prc_mediana) VALUES ("&amp;A1662&amp;", "&amp;B1662&amp;", "&amp;C1662&amp;", "&amp;D1662&amp;", "&amp;E1662&amp;", "&amp;F1662&amp;", "&amp;G1662&amp;", "&amp;H1662&amp;");"</f>
        <v>INSERT INTO COTACAO (cot_id, cot_blt_id, cot_pap_id, cot_prc_comum, cot_prc_min, cot_prc_max, cot_prc_med, cot_prc_mediana) VALUES (1661, 79, 31, 60, 45, 70, 58333333, 60);</v>
      </c>
      <c r="J1662" s="0" t="str">
        <f aca="false">"UPDATE COTACAO SET cot_id = "&amp;A1662&amp;", cot_blt_id = "&amp;B1662&amp;", cot_pap_id = "&amp;C1662&amp;", cot_prc_comum = "&amp;D1662&amp;", cot_prc_min = "&amp;E1662&amp;", cot_prc_max = "&amp;F1662&amp;", cot_prc_med = "&amp;G1662&amp;", cot_prc_mediana = "&amp;H1662&amp;" WHERE cot_id = "&amp;A1662&amp;";"</f>
        <v>UPDATE COTACAO SET cot_id = 1661, cot_blt_id = 79, cot_pap_id = 31, cot_prc_comum = 60, cot_prc_min = 45, cot_prc_max = 70, cot_prc_med = 58333333, cot_prc_mediana = 60 WHERE cot_id = 1661;</v>
      </c>
    </row>
    <row r="1663" customFormat="false" ht="14.25" hidden="false" customHeight="false" outlineLevel="0" collapsed="false">
      <c r="A1663" s="0" t="n">
        <v>1662</v>
      </c>
      <c r="B1663" s="0" t="n">
        <f aca="false">IF('Boletins Nuppa Site'!A1663&lt;&gt;0,'Boletins Nuppa Site'!A1663,"NULL")</f>
        <v>79</v>
      </c>
      <c r="C1663" s="0" t="n">
        <v>32</v>
      </c>
      <c r="D1663" s="0" t="n">
        <f aca="false">IF('Boletins Nuppa Site'!G1663&lt;&gt;0,'Boletins Nuppa Site'!G1663,"NULL")</f>
        <v>55</v>
      </c>
      <c r="E1663" s="30" t="n">
        <f aca="false">IF('Boletins Nuppa Site'!H1663&lt;&gt;0,'Boletins Nuppa Site'!H1663,"NULL")</f>
        <v>40</v>
      </c>
      <c r="F1663" s="30" t="n">
        <f aca="false">IF('Boletins Nuppa Site'!I1663&lt;&gt;0,'Boletins Nuppa Site'!I1663,"NULL")</f>
        <v>55</v>
      </c>
      <c r="G1663" s="30" t="n">
        <f aca="false">IF('Boletins Nuppa Site'!J1663&lt;&gt;0,'Boletins Nuppa Site'!J1663,"NULL")</f>
        <v>49166667</v>
      </c>
      <c r="H1663" s="30" t="n">
        <f aca="false">IF('Boletins Nuppa Site'!K1663&lt;&gt;0,'Boletins Nuppa Site'!K1663,"NULL")</f>
        <v>50</v>
      </c>
      <c r="I1663" s="0" t="str">
        <f aca="false">"INSERT INTO COTACAO (cot_id, cot_blt_id, cot_pap_id, cot_prc_comum, cot_prc_min, cot_prc_max, cot_prc_med, cot_prc_mediana) VALUES ("&amp;A1663&amp;", "&amp;B1663&amp;", "&amp;C1663&amp;", "&amp;D1663&amp;", "&amp;E1663&amp;", "&amp;F1663&amp;", "&amp;G1663&amp;", "&amp;H1663&amp;");"</f>
        <v>INSERT INTO COTACAO (cot_id, cot_blt_id, cot_pap_id, cot_prc_comum, cot_prc_min, cot_prc_max, cot_prc_med, cot_prc_mediana) VALUES (1662, 79, 32, 55, 40, 55, 49166667, 50);</v>
      </c>
      <c r="J1663" s="0" t="str">
        <f aca="false">"UPDATE COTACAO SET cot_id = "&amp;A1663&amp;", cot_blt_id = "&amp;B1663&amp;", cot_pap_id = "&amp;C1663&amp;", cot_prc_comum = "&amp;D1663&amp;", cot_prc_min = "&amp;E1663&amp;", cot_prc_max = "&amp;F1663&amp;", cot_prc_med = "&amp;G1663&amp;", cot_prc_mediana = "&amp;H1663&amp;" WHERE cot_id = "&amp;A1663&amp;";"</f>
        <v>UPDATE COTACAO SET cot_id = 1662, cot_blt_id = 79, cot_pap_id = 32, cot_prc_comum = 55, cot_prc_min = 40, cot_prc_max = 55, cot_prc_med = 49166667, cot_prc_mediana = 50 WHERE cot_id = 1662;</v>
      </c>
    </row>
    <row r="1664" customFormat="false" ht="14.25" hidden="false" customHeight="false" outlineLevel="0" collapsed="false">
      <c r="A1664" s="0" t="n">
        <v>1663</v>
      </c>
      <c r="B1664" s="0" t="n">
        <f aca="false">IF('Boletins Nuppa Site'!A1664&lt;&gt;0,'Boletins Nuppa Site'!A1664,"NULL")</f>
        <v>79</v>
      </c>
      <c r="C1664" s="0" t="n">
        <v>33</v>
      </c>
      <c r="D1664" s="0" t="n">
        <f aca="false">IF('Boletins Nuppa Site'!G1664&lt;&gt;0,'Boletins Nuppa Site'!G1664,"NULL")</f>
        <v>170</v>
      </c>
      <c r="E1664" s="30" t="n">
        <f aca="false">IF('Boletins Nuppa Site'!H1664&lt;&gt;0,'Boletins Nuppa Site'!H1664,"NULL")</f>
        <v>140</v>
      </c>
      <c r="F1664" s="30" t="n">
        <f aca="false">IF('Boletins Nuppa Site'!I1664&lt;&gt;0,'Boletins Nuppa Site'!I1664,"NULL")</f>
        <v>180</v>
      </c>
      <c r="G1664" s="30" t="n">
        <f aca="false">IF('Boletins Nuppa Site'!J1664&lt;&gt;0,'Boletins Nuppa Site'!J1664,"NULL")</f>
        <v>16333333</v>
      </c>
      <c r="H1664" s="30" t="n">
        <f aca="false">IF('Boletins Nuppa Site'!K1664&lt;&gt;0,'Boletins Nuppa Site'!K1664,"NULL")</f>
        <v>165</v>
      </c>
      <c r="I1664" s="0" t="str">
        <f aca="false">"INSERT INTO COTACAO (cot_id, cot_blt_id, cot_pap_id, cot_prc_comum, cot_prc_min, cot_prc_max, cot_prc_med, cot_prc_mediana) VALUES ("&amp;A1664&amp;", "&amp;B1664&amp;", "&amp;C1664&amp;", "&amp;D1664&amp;", "&amp;E1664&amp;", "&amp;F1664&amp;", "&amp;G1664&amp;", "&amp;H1664&amp;");"</f>
        <v>INSERT INTO COTACAO (cot_id, cot_blt_id, cot_pap_id, cot_prc_comum, cot_prc_min, cot_prc_max, cot_prc_med, cot_prc_mediana) VALUES (1663, 79, 33, 170, 140, 180, 16333333, 165);</v>
      </c>
      <c r="J1664" s="0" t="str">
        <f aca="false">"UPDATE COTACAO SET cot_id = "&amp;A1664&amp;", cot_blt_id = "&amp;B1664&amp;", cot_pap_id = "&amp;C1664&amp;", cot_prc_comum = "&amp;D1664&amp;", cot_prc_min = "&amp;E1664&amp;", cot_prc_max = "&amp;F1664&amp;", cot_prc_med = "&amp;G1664&amp;", cot_prc_mediana = "&amp;H1664&amp;" WHERE cot_id = "&amp;A1664&amp;";"</f>
        <v>UPDATE COTACAO SET cot_id = 1663, cot_blt_id = 79, cot_pap_id = 33, cot_prc_comum = 170, cot_prc_min = 140, cot_prc_max = 180, cot_prc_med = 16333333, cot_prc_mediana = 165 WHERE cot_id = 1663;</v>
      </c>
    </row>
    <row r="1665" customFormat="false" ht="14.25" hidden="false" customHeight="false" outlineLevel="0" collapsed="false">
      <c r="A1665" s="0" t="n">
        <v>1664</v>
      </c>
      <c r="B1665" s="0" t="n">
        <f aca="false">IF('Boletins Nuppa Site'!A1665&lt;&gt;0,'Boletins Nuppa Site'!A1665,"NULL")</f>
        <v>79</v>
      </c>
      <c r="C1665" s="0" t="n">
        <v>34</v>
      </c>
      <c r="D1665" s="0" t="n">
        <f aca="false">IF('Boletins Nuppa Site'!G1665&lt;&gt;0,'Boletins Nuppa Site'!G1665,"NULL")</f>
        <v>60</v>
      </c>
      <c r="E1665" s="30" t="n">
        <f aca="false">IF('Boletins Nuppa Site'!H1665&lt;&gt;0,'Boletins Nuppa Site'!H1665,"NULL")</f>
        <v>50</v>
      </c>
      <c r="F1665" s="30" t="n">
        <f aca="false">IF('Boletins Nuppa Site'!I1665&lt;&gt;0,'Boletins Nuppa Site'!I1665,"NULL")</f>
        <v>90</v>
      </c>
      <c r="G1665" s="30" t="n">
        <f aca="false">IF('Boletins Nuppa Site'!J1665&lt;&gt;0,'Boletins Nuppa Site'!J1665,"NULL")</f>
        <v>65833333</v>
      </c>
      <c r="H1665" s="30" t="str">
        <f aca="false">IF('Boletins Nuppa Site'!K1665&lt;&gt;0,'Boletins Nuppa Site'!K1665,"NULL")</f>
        <v>62.5</v>
      </c>
      <c r="I1665" s="0" t="str">
        <f aca="false">"INSERT INTO COTACAO (cot_id, cot_blt_id, cot_pap_id, cot_prc_comum, cot_prc_min, cot_prc_max, cot_prc_med, cot_prc_mediana) VALUES ("&amp;A1665&amp;", "&amp;B1665&amp;", "&amp;C1665&amp;", "&amp;D1665&amp;", "&amp;E1665&amp;", "&amp;F1665&amp;", "&amp;G1665&amp;", "&amp;H1665&amp;");"</f>
        <v>INSERT INTO COTACAO (cot_id, cot_blt_id, cot_pap_id, cot_prc_comum, cot_prc_min, cot_prc_max, cot_prc_med, cot_prc_mediana) VALUES (1664, 79, 34, 60, 50, 90, 65833333, 62.5);</v>
      </c>
      <c r="J1665" s="0" t="str">
        <f aca="false">"UPDATE COTACAO SET cot_id = "&amp;A1665&amp;", cot_blt_id = "&amp;B1665&amp;", cot_pap_id = "&amp;C1665&amp;", cot_prc_comum = "&amp;D1665&amp;", cot_prc_min = "&amp;E1665&amp;", cot_prc_max = "&amp;F1665&amp;", cot_prc_med = "&amp;G1665&amp;", cot_prc_mediana = "&amp;H1665&amp;" WHERE cot_id = "&amp;A1665&amp;";"</f>
        <v>UPDATE COTACAO SET cot_id = 1664, cot_blt_id = 79, cot_pap_id = 34, cot_prc_comum = 60, cot_prc_min = 50, cot_prc_max = 90, cot_prc_med = 65833333, cot_prc_mediana = 62.5 WHERE cot_id = 1664;</v>
      </c>
    </row>
    <row r="1666" customFormat="false" ht="14.25" hidden="false" customHeight="false" outlineLevel="0" collapsed="false">
      <c r="A1666" s="0" t="n">
        <v>1665</v>
      </c>
      <c r="B1666" s="0" t="n">
        <f aca="false">IF('Boletins Nuppa Site'!A1666&lt;&gt;0,'Boletins Nuppa Site'!A1666,"NULL")</f>
        <v>79</v>
      </c>
      <c r="C1666" s="0" t="n">
        <v>35</v>
      </c>
      <c r="D1666" s="0" t="n">
        <f aca="false">IF('Boletins Nuppa Site'!G1666&lt;&gt;0,'Boletins Nuppa Site'!G1666,"NULL")</f>
        <v>50</v>
      </c>
      <c r="E1666" s="30" t="n">
        <f aca="false">IF('Boletins Nuppa Site'!H1666&lt;&gt;0,'Boletins Nuppa Site'!H1666,"NULL")</f>
        <v>50</v>
      </c>
      <c r="F1666" s="30" t="n">
        <f aca="false">IF('Boletins Nuppa Site'!I1666&lt;&gt;0,'Boletins Nuppa Site'!I1666,"NULL")</f>
        <v>80</v>
      </c>
      <c r="G1666" s="30" t="n">
        <f aca="false">IF('Boletins Nuppa Site'!J1666&lt;&gt;0,'Boletins Nuppa Site'!J1666,"NULL")</f>
        <v>58</v>
      </c>
      <c r="H1666" s="30" t="n">
        <f aca="false">IF('Boletins Nuppa Site'!K1666&lt;&gt;0,'Boletins Nuppa Site'!K1666,"NULL")</f>
        <v>50</v>
      </c>
      <c r="I1666" s="0" t="str">
        <f aca="false">"INSERT INTO COTACAO (cot_id, cot_blt_id, cot_pap_id, cot_prc_comum, cot_prc_min, cot_prc_max, cot_prc_med, cot_prc_mediana) VALUES ("&amp;A1666&amp;", "&amp;B1666&amp;", "&amp;C1666&amp;", "&amp;D1666&amp;", "&amp;E1666&amp;", "&amp;F1666&amp;", "&amp;G1666&amp;", "&amp;H1666&amp;");"</f>
        <v>INSERT INTO COTACAO (cot_id, cot_blt_id, cot_pap_id, cot_prc_comum, cot_prc_min, cot_prc_max, cot_prc_med, cot_prc_mediana) VALUES (1665, 79, 35, 50, 50, 80, 58, 50);</v>
      </c>
      <c r="J1666" s="0" t="str">
        <f aca="false">"UPDATE COTACAO SET cot_id = "&amp;A1666&amp;", cot_blt_id = "&amp;B1666&amp;", cot_pap_id = "&amp;C1666&amp;", cot_prc_comum = "&amp;D1666&amp;", cot_prc_min = "&amp;E1666&amp;", cot_prc_max = "&amp;F1666&amp;", cot_prc_med = "&amp;G1666&amp;", cot_prc_mediana = "&amp;H1666&amp;" WHERE cot_id = "&amp;A1666&amp;";"</f>
        <v>UPDATE COTACAO SET cot_id = 1665, cot_blt_id = 79, cot_pap_id = 35, cot_prc_comum = 50, cot_prc_min = 50, cot_prc_max = 80, cot_prc_med = 58, cot_prc_mediana = 50 WHERE cot_id = 1665;</v>
      </c>
    </row>
    <row r="1667" customFormat="false" ht="14.25" hidden="false" customHeight="false" outlineLevel="0" collapsed="false">
      <c r="A1667" s="0" t="n">
        <v>1666</v>
      </c>
      <c r="B1667" s="0" t="n">
        <f aca="false">IF('Boletins Nuppa Site'!A1667&lt;&gt;0,'Boletins Nuppa Site'!A1667,"NULL")</f>
        <v>79</v>
      </c>
      <c r="C1667" s="0" t="n">
        <v>36</v>
      </c>
      <c r="D1667" s="0" t="str">
        <f aca="false">IF('Boletins Nuppa Site'!G1667&lt;&gt;0,'Boletins Nuppa Site'!G1667,"NULL")</f>
        <v>NULL</v>
      </c>
      <c r="E1667" s="30" t="str">
        <f aca="false">IF('Boletins Nuppa Site'!H1667&lt;&gt;0,'Boletins Nuppa Site'!H1667,"NULL")</f>
        <v>             </v>
      </c>
      <c r="F1667" s="30" t="str">
        <f aca="false">IF('Boletins Nuppa Site'!I1667&lt;&gt;0,'Boletins Nuppa Site'!I1667,"NULL")</f>
        <v>             </v>
      </c>
      <c r="G1667" s="30" t="str">
        <f aca="false">IF('Boletins Nuppa Site'!J1667&lt;&gt;0,'Boletins Nuppa Site'!J1667,"NULL")</f>
        <v>NULL</v>
      </c>
      <c r="H1667" s="30" t="str">
        <f aca="false">IF('Boletins Nuppa Site'!K1667&lt;&gt;0,'Boletins Nuppa Site'!K1667,"NULL")</f>
        <v>NULL</v>
      </c>
      <c r="I1667" s="0" t="str">
        <f aca="false">"INSERT INTO COTACAO (cot_id, cot_blt_id, cot_pap_id, cot_prc_comum, cot_prc_min, cot_prc_max, cot_prc_med, cot_prc_mediana) VALUES ("&amp;A1667&amp;", "&amp;B1667&amp;", "&amp;C1667&amp;", "&amp;D1667&amp;", "&amp;E1667&amp;", "&amp;F1667&amp;", "&amp;G1667&amp;", "&amp;H1667&amp;");"</f>
        <v>INSERT INTO COTACAO (cot_id, cot_blt_id, cot_pap_id, cot_prc_comum, cot_prc_min, cot_prc_max, cot_prc_med, cot_prc_mediana) VALUES (1666, 79, 36, NULL,              ,              , NULL, NULL);</v>
      </c>
      <c r="J1667" s="0" t="str">
        <f aca="false">"UPDATE COTACAO SET cot_id = "&amp;A1667&amp;", cot_blt_id = "&amp;B1667&amp;", cot_pap_id = "&amp;C1667&amp;", cot_prc_comum = "&amp;D1667&amp;", cot_prc_min = "&amp;E1667&amp;", cot_prc_max = "&amp;F1667&amp;", cot_prc_med = "&amp;G1667&amp;", cot_prc_mediana = "&amp;H1667&amp;" WHERE cot_id = "&amp;A1667&amp;";"</f>
        <v>UPDATE COTACAO SET cot_id = 1666, cot_blt_id = 79, cot_pap_id = 36, cot_prc_comum = NULL, cot_prc_min =              , cot_prc_max =              , cot_prc_med = NULL, cot_prc_mediana = NULL WHERE cot_id = 1666;</v>
      </c>
    </row>
    <row r="1668" customFormat="false" ht="14.25" hidden="false" customHeight="false" outlineLevel="0" collapsed="false">
      <c r="A1668" s="0" t="n">
        <v>1667</v>
      </c>
      <c r="B1668" s="0" t="n">
        <f aca="false">IF('Boletins Nuppa Site'!A1668&lt;&gt;0,'Boletins Nuppa Site'!A1668,"NULL")</f>
        <v>79</v>
      </c>
      <c r="C1668" s="0" t="n">
        <v>37</v>
      </c>
      <c r="D1668" s="0" t="str">
        <f aca="false">IF('Boletins Nuppa Site'!G1668&lt;&gt;0,'Boletins Nuppa Site'!G1668,"NULL")</f>
        <v>NULL</v>
      </c>
      <c r="E1668" s="30" t="str">
        <f aca="false">IF('Boletins Nuppa Site'!H1668&lt;&gt;0,'Boletins Nuppa Site'!H1668,"NULL")</f>
        <v>             </v>
      </c>
      <c r="F1668" s="30" t="str">
        <f aca="false">IF('Boletins Nuppa Site'!I1668&lt;&gt;0,'Boletins Nuppa Site'!I1668,"NULL")</f>
        <v>             </v>
      </c>
      <c r="G1668" s="30" t="str">
        <f aca="false">IF('Boletins Nuppa Site'!J1668&lt;&gt;0,'Boletins Nuppa Site'!J1668,"NULL")</f>
        <v>NULL</v>
      </c>
      <c r="H1668" s="30" t="str">
        <f aca="false">IF('Boletins Nuppa Site'!K1668&lt;&gt;0,'Boletins Nuppa Site'!K1668,"NULL")</f>
        <v>NULL</v>
      </c>
      <c r="I1668" s="0" t="str">
        <f aca="false">"INSERT INTO COTACAO (cot_id, cot_blt_id, cot_pap_id, cot_prc_comum, cot_prc_min, cot_prc_max, cot_prc_med, cot_prc_mediana) VALUES ("&amp;A1668&amp;", "&amp;B1668&amp;", "&amp;C1668&amp;", "&amp;D1668&amp;", "&amp;E1668&amp;", "&amp;F1668&amp;", "&amp;G1668&amp;", "&amp;H1668&amp;");"</f>
        <v>INSERT INTO COTACAO (cot_id, cot_blt_id, cot_pap_id, cot_prc_comum, cot_prc_min, cot_prc_max, cot_prc_med, cot_prc_mediana) VALUES (1667, 79, 37, NULL,              ,              , NULL, NULL);</v>
      </c>
      <c r="J1668" s="0" t="str">
        <f aca="false">"UPDATE COTACAO SET cot_id = "&amp;A1668&amp;", cot_blt_id = "&amp;B1668&amp;", cot_pap_id = "&amp;C1668&amp;", cot_prc_comum = "&amp;D1668&amp;", cot_prc_min = "&amp;E1668&amp;", cot_prc_max = "&amp;F1668&amp;", cot_prc_med = "&amp;G1668&amp;", cot_prc_mediana = "&amp;H1668&amp;" WHERE cot_id = "&amp;A1668&amp;";"</f>
        <v>UPDATE COTACAO SET cot_id = 1667, cot_blt_id = 79, cot_pap_id = 37, cot_prc_comum = NULL, cot_prc_min =              , cot_prc_max =              , cot_prc_med = NULL, cot_prc_mediana = NULL WHERE cot_id = 1667;</v>
      </c>
    </row>
    <row r="1669" customFormat="false" ht="14.25" hidden="false" customHeight="false" outlineLevel="0" collapsed="false">
      <c r="A1669" s="0" t="n">
        <v>1668</v>
      </c>
      <c r="B1669" s="0" t="n">
        <f aca="false">IF('Boletins Nuppa Site'!A1669&lt;&gt;0,'Boletins Nuppa Site'!A1669,"NULL")</f>
        <v>79</v>
      </c>
      <c r="C1669" s="0" t="n">
        <v>38</v>
      </c>
      <c r="D1669" s="0" t="str">
        <f aca="false">IF('Boletins Nuppa Site'!G1669&lt;&gt;0,'Boletins Nuppa Site'!G1669,"NULL")</f>
        <v>NULL</v>
      </c>
      <c r="E1669" s="30" t="str">
        <f aca="false">IF('Boletins Nuppa Site'!H1669&lt;&gt;0,'Boletins Nuppa Site'!H1669,"NULL")</f>
        <v>             </v>
      </c>
      <c r="F1669" s="30" t="str">
        <f aca="false">IF('Boletins Nuppa Site'!I1669&lt;&gt;0,'Boletins Nuppa Site'!I1669,"NULL")</f>
        <v>             </v>
      </c>
      <c r="G1669" s="30" t="str">
        <f aca="false">IF('Boletins Nuppa Site'!J1669&lt;&gt;0,'Boletins Nuppa Site'!J1669,"NULL")</f>
        <v>NULL</v>
      </c>
      <c r="H1669" s="30" t="str">
        <f aca="false">IF('Boletins Nuppa Site'!K1669&lt;&gt;0,'Boletins Nuppa Site'!K1669,"NULL")</f>
        <v>NULL</v>
      </c>
      <c r="I1669" s="0" t="str">
        <f aca="false">"INSERT INTO COTACAO (cot_id, cot_blt_id, cot_pap_id, cot_prc_comum, cot_prc_min, cot_prc_max, cot_prc_med, cot_prc_mediana) VALUES ("&amp;A1669&amp;", "&amp;B1669&amp;", "&amp;C1669&amp;", "&amp;D1669&amp;", "&amp;E1669&amp;", "&amp;F1669&amp;", "&amp;G1669&amp;", "&amp;H1669&amp;");"</f>
        <v>INSERT INTO COTACAO (cot_id, cot_blt_id, cot_pap_id, cot_prc_comum, cot_prc_min, cot_prc_max, cot_prc_med, cot_prc_mediana) VALUES (1668, 79, 38, NULL,              ,              , NULL, NULL);</v>
      </c>
      <c r="J1669" s="0" t="str">
        <f aca="false">"UPDATE COTACAO SET cot_id = "&amp;A1669&amp;", cot_blt_id = "&amp;B1669&amp;", cot_pap_id = "&amp;C1669&amp;", cot_prc_comum = "&amp;D1669&amp;", cot_prc_min = "&amp;E1669&amp;", cot_prc_max = "&amp;F1669&amp;", cot_prc_med = "&amp;G1669&amp;", cot_prc_mediana = "&amp;H1669&amp;" WHERE cot_id = "&amp;A1669&amp;";"</f>
        <v>UPDATE COTACAO SET cot_id = 1668, cot_blt_id = 79, cot_pap_id = 38, cot_prc_comum = NULL, cot_prc_min =              , cot_prc_max =              , cot_prc_med = NULL, cot_prc_mediana = NULL WHERE cot_id = 1668;</v>
      </c>
    </row>
    <row r="1670" customFormat="false" ht="14.25" hidden="false" customHeight="false" outlineLevel="0" collapsed="false">
      <c r="A1670" s="0" t="n">
        <v>1669</v>
      </c>
      <c r="B1670" s="0" t="n">
        <f aca="false">IF('Boletins Nuppa Site'!A1670&lt;&gt;0,'Boletins Nuppa Site'!A1670,"NULL")</f>
        <v>79</v>
      </c>
      <c r="C1670" s="0" t="n">
        <v>39</v>
      </c>
      <c r="D1670" s="0" t="str">
        <f aca="false">IF('Boletins Nuppa Site'!G1670&lt;&gt;0,'Boletins Nuppa Site'!G1670,"NULL")</f>
        <v>NULL</v>
      </c>
      <c r="E1670" s="30" t="n">
        <f aca="false">IF('Boletins Nuppa Site'!H1670&lt;&gt;0,'Boletins Nuppa Site'!H1670,"NULL")</f>
        <v>70</v>
      </c>
      <c r="F1670" s="30" t="n">
        <f aca="false">IF('Boletins Nuppa Site'!I1670&lt;&gt;0,'Boletins Nuppa Site'!I1670,"NULL")</f>
        <v>70</v>
      </c>
      <c r="G1670" s="30" t="n">
        <f aca="false">IF('Boletins Nuppa Site'!J1670&lt;&gt;0,'Boletins Nuppa Site'!J1670,"NULL")</f>
        <v>70</v>
      </c>
      <c r="H1670" s="30" t="n">
        <f aca="false">IF('Boletins Nuppa Site'!K1670&lt;&gt;0,'Boletins Nuppa Site'!K1670,"NULL")</f>
        <v>70</v>
      </c>
      <c r="I1670" s="0" t="str">
        <f aca="false">"INSERT INTO COTACAO (cot_id, cot_blt_id, cot_pap_id, cot_prc_comum, cot_prc_min, cot_prc_max, cot_prc_med, cot_prc_mediana) VALUES ("&amp;A1670&amp;", "&amp;B1670&amp;", "&amp;C1670&amp;", "&amp;D1670&amp;", "&amp;E1670&amp;", "&amp;F1670&amp;", "&amp;G1670&amp;", "&amp;H1670&amp;");"</f>
        <v>INSERT INTO COTACAO (cot_id, cot_blt_id, cot_pap_id, cot_prc_comum, cot_prc_min, cot_prc_max, cot_prc_med, cot_prc_mediana) VALUES (1669, 79, 39, NULL, 70, 70, 70, 70);</v>
      </c>
      <c r="J1670" s="0" t="str">
        <f aca="false">"UPDATE COTACAO SET cot_id = "&amp;A1670&amp;", cot_blt_id = "&amp;B1670&amp;", cot_pap_id = "&amp;C1670&amp;", cot_prc_comum = "&amp;D1670&amp;", cot_prc_min = "&amp;E1670&amp;", cot_prc_max = "&amp;F1670&amp;", cot_prc_med = "&amp;G1670&amp;", cot_prc_mediana = "&amp;H1670&amp;" WHERE cot_id = "&amp;A1670&amp;";"</f>
        <v>UPDATE COTACAO SET cot_id = 1669, cot_blt_id = 79, cot_pap_id = 39, cot_prc_comum = NULL, cot_prc_min = 70, cot_prc_max = 70, cot_prc_med = 70, cot_prc_mediana = 70 WHERE cot_id = 1669;</v>
      </c>
    </row>
    <row r="1671" customFormat="false" ht="14.25" hidden="false" customHeight="false" outlineLevel="0" collapsed="false">
      <c r="A1671" s="0" t="n">
        <v>1670</v>
      </c>
      <c r="B1671" s="0" t="n">
        <f aca="false">IF('Boletins Nuppa Site'!A1671&lt;&gt;0,'Boletins Nuppa Site'!A1671,"NULL")</f>
        <v>79</v>
      </c>
      <c r="C1671" s="0" t="n">
        <v>40</v>
      </c>
      <c r="D1671" s="0" t="str">
        <f aca="false">IF('Boletins Nuppa Site'!G1671&lt;&gt;0,'Boletins Nuppa Site'!G1671,"NULL")</f>
        <v>NULL</v>
      </c>
      <c r="E1671" s="30" t="str">
        <f aca="false">IF('Boletins Nuppa Site'!H1671&lt;&gt;0,'Boletins Nuppa Site'!H1671,"NULL")</f>
        <v>             </v>
      </c>
      <c r="F1671" s="30" t="str">
        <f aca="false">IF('Boletins Nuppa Site'!I1671&lt;&gt;0,'Boletins Nuppa Site'!I1671,"NULL")</f>
        <v>             </v>
      </c>
      <c r="G1671" s="30" t="str">
        <f aca="false">IF('Boletins Nuppa Site'!J1671&lt;&gt;0,'Boletins Nuppa Site'!J1671,"NULL")</f>
        <v>NULL</v>
      </c>
      <c r="H1671" s="30" t="str">
        <f aca="false">IF('Boletins Nuppa Site'!K1671&lt;&gt;0,'Boletins Nuppa Site'!K1671,"NULL")</f>
        <v>NULL</v>
      </c>
      <c r="I1671" s="0" t="str">
        <f aca="false">"INSERT INTO COTACAO (cot_id, cot_blt_id, cot_pap_id, cot_prc_comum, cot_prc_min, cot_prc_max, cot_prc_med, cot_prc_mediana) VALUES ("&amp;A1671&amp;", "&amp;B1671&amp;", "&amp;C1671&amp;", "&amp;D1671&amp;", "&amp;E1671&amp;", "&amp;F1671&amp;", "&amp;G1671&amp;", "&amp;H1671&amp;");"</f>
        <v>INSERT INTO COTACAO (cot_id, cot_blt_id, cot_pap_id, cot_prc_comum, cot_prc_min, cot_prc_max, cot_prc_med, cot_prc_mediana) VALUES (1670, 79, 40, NULL,              ,              , NULL, NULL);</v>
      </c>
      <c r="J1671" s="0" t="str">
        <f aca="false">"UPDATE COTACAO SET cot_id = "&amp;A1671&amp;", cot_blt_id = "&amp;B1671&amp;", cot_pap_id = "&amp;C1671&amp;", cot_prc_comum = "&amp;D1671&amp;", cot_prc_min = "&amp;E1671&amp;", cot_prc_max = "&amp;F1671&amp;", cot_prc_med = "&amp;G1671&amp;", cot_prc_mediana = "&amp;H1671&amp;" WHERE cot_id = "&amp;A1671&amp;";"</f>
        <v>UPDATE COTACAO SET cot_id = 1670, cot_blt_id = 79, cot_pap_id = 40, cot_prc_comum = NULL, cot_prc_min =              , cot_prc_max =              , cot_prc_med = NULL, cot_prc_mediana = NULL WHERE cot_id = 1670;</v>
      </c>
    </row>
    <row r="1672" customFormat="false" ht="14.25" hidden="false" customHeight="false" outlineLevel="0" collapsed="false">
      <c r="A1672" s="0" t="n">
        <v>1671</v>
      </c>
      <c r="B1672" s="0" t="n">
        <f aca="false">IF('Boletins Nuppa Site'!A1672&lt;&gt;0,'Boletins Nuppa Site'!A1672,"NULL")</f>
        <v>80</v>
      </c>
      <c r="C1672" s="0" t="n">
        <v>1</v>
      </c>
      <c r="D1672" s="0" t="str">
        <f aca="false">IF('Boletins Nuppa Site'!G1672&lt;&gt;0,'Boletins Nuppa Site'!G1672,"NULL")</f>
        <v> 72.00</v>
      </c>
      <c r="E1672" s="30" t="str">
        <f aca="false">IF('Boletins Nuppa Site'!H1672&lt;&gt;0,'Boletins Nuppa Site'!H1672,"NULL")</f>
        <v> 72.00</v>
      </c>
      <c r="F1672" s="30" t="str">
        <f aca="false">IF('Boletins Nuppa Site'!I1672&lt;&gt;0,'Boletins Nuppa Site'!I1672,"NULL")</f>
        <v> 72.00</v>
      </c>
      <c r="G1672" s="30" t="str">
        <f aca="false">IF('Boletins Nuppa Site'!J1672&lt;&gt;0,'Boletins Nuppa Site'!J1672,"NULL")</f>
        <v> 72.00</v>
      </c>
      <c r="H1672" s="30" t="str">
        <f aca="false">IF('Boletins Nuppa Site'!K1672&lt;&gt;0,'Boletins Nuppa Site'!K1672,"NULL")</f>
        <v> 72.00</v>
      </c>
      <c r="I1672" s="0" t="str">
        <f aca="false">"INSERT INTO COTACAO (cot_id, cot_blt_id, cot_pap_id, cot_prc_comum, cot_prc_min, cot_prc_max, cot_prc_med, cot_prc_mediana) VALUES ("&amp;A1672&amp;", "&amp;B1672&amp;", "&amp;C1672&amp;", "&amp;D1672&amp;", "&amp;E1672&amp;", "&amp;F1672&amp;", "&amp;G1672&amp;", "&amp;H1672&amp;");"</f>
        <v>INSERT INTO COTACAO (cot_id, cot_blt_id, cot_pap_id, cot_prc_comum, cot_prc_min, cot_prc_max, cot_prc_med, cot_prc_mediana) VALUES (1671, 80, 1,  72.00,  72.00,  72.00,  72.00,  72.00);</v>
      </c>
      <c r="J1672" s="0" t="str">
        <f aca="false">"UPDATE COTACAO SET cot_id = "&amp;A1672&amp;", cot_blt_id = "&amp;B1672&amp;", cot_pap_id = "&amp;C1672&amp;", cot_prc_comum = "&amp;D1672&amp;", cot_prc_min = "&amp;E1672&amp;", cot_prc_max = "&amp;F1672&amp;", cot_prc_med = "&amp;G1672&amp;", cot_prc_mediana = "&amp;H1672&amp;" WHERE cot_id = "&amp;A1672&amp;";"</f>
        <v>UPDATE COTACAO SET cot_id = 1671, cot_blt_id = 80, cot_pap_id = 1, cot_prc_comum =  72.00, cot_prc_min =  72.00, cot_prc_max =  72.00, cot_prc_med =  72.00, cot_prc_mediana =  72.00 WHERE cot_id = 1671;</v>
      </c>
    </row>
    <row r="1673" customFormat="false" ht="14.25" hidden="false" customHeight="false" outlineLevel="0" collapsed="false">
      <c r="A1673" s="0" t="n">
        <v>1672</v>
      </c>
      <c r="B1673" s="0" t="n">
        <f aca="false">IF('Boletins Nuppa Site'!A1673&lt;&gt;0,'Boletins Nuppa Site'!A1673,"NULL")</f>
        <v>80</v>
      </c>
      <c r="C1673" s="0" t="n">
        <v>2</v>
      </c>
      <c r="D1673" s="0" t="str">
        <f aca="false">IF('Boletins Nuppa Site'!G1673&lt;&gt;0,'Boletins Nuppa Site'!G1673,"NULL")</f>
        <v> 84.00</v>
      </c>
      <c r="E1673" s="30" t="str">
        <f aca="false">IF('Boletins Nuppa Site'!H1673&lt;&gt;0,'Boletins Nuppa Site'!H1673,"NULL")</f>
        <v> 84.00</v>
      </c>
      <c r="F1673" s="30" t="str">
        <f aca="false">IF('Boletins Nuppa Site'!I1673&lt;&gt;0,'Boletins Nuppa Site'!I1673,"NULL")</f>
        <v> 84.00</v>
      </c>
      <c r="G1673" s="30" t="str">
        <f aca="false">IF('Boletins Nuppa Site'!J1673&lt;&gt;0,'Boletins Nuppa Site'!J1673,"NULL")</f>
        <v> 84.00</v>
      </c>
      <c r="H1673" s="30" t="str">
        <f aca="false">IF('Boletins Nuppa Site'!K1673&lt;&gt;0,'Boletins Nuppa Site'!K1673,"NULL")</f>
        <v> 84.00</v>
      </c>
      <c r="I1673" s="0" t="str">
        <f aca="false">"INSERT INTO COTACAO (cot_id, cot_blt_id, cot_pap_id, cot_prc_comum, cot_prc_min, cot_prc_max, cot_prc_med, cot_prc_mediana) VALUES ("&amp;A1673&amp;", "&amp;B1673&amp;", "&amp;C1673&amp;", "&amp;D1673&amp;", "&amp;E1673&amp;", "&amp;F1673&amp;", "&amp;G1673&amp;", "&amp;H1673&amp;");"</f>
        <v>INSERT INTO COTACAO (cot_id, cot_blt_id, cot_pap_id, cot_prc_comum, cot_prc_min, cot_prc_max, cot_prc_med, cot_prc_mediana) VALUES (1672, 80, 2,  84.00,  84.00,  84.00,  84.00,  84.00);</v>
      </c>
      <c r="J1673" s="0" t="str">
        <f aca="false">"UPDATE COTACAO SET cot_id = "&amp;A1673&amp;", cot_blt_id = "&amp;B1673&amp;", cot_pap_id = "&amp;C1673&amp;", cot_prc_comum = "&amp;D1673&amp;", cot_prc_min = "&amp;E1673&amp;", cot_prc_max = "&amp;F1673&amp;", cot_prc_med = "&amp;G1673&amp;", cot_prc_mediana = "&amp;H1673&amp;" WHERE cot_id = "&amp;A1673&amp;";"</f>
        <v>UPDATE COTACAO SET cot_id = 1672, cot_blt_id = 80, cot_pap_id = 2, cot_prc_comum =  84.00, cot_prc_min =  84.00, cot_prc_max =  84.00, cot_prc_med =  84.00, cot_prc_mediana =  84.00 WHERE cot_id = 1672;</v>
      </c>
    </row>
    <row r="1674" customFormat="false" ht="14.25" hidden="false" customHeight="false" outlineLevel="0" collapsed="false">
      <c r="A1674" s="0" t="n">
        <v>1673</v>
      </c>
      <c r="B1674" s="0" t="n">
        <f aca="false">IF('Boletins Nuppa Site'!A1674&lt;&gt;0,'Boletins Nuppa Site'!A1674,"NULL")</f>
        <v>80</v>
      </c>
      <c r="C1674" s="0" t="n">
        <v>3</v>
      </c>
      <c r="D1674" s="0" t="str">
        <f aca="false">IF('Boletins Nuppa Site'!G1674&lt;&gt;0,'Boletins Nuppa Site'!G1674,"NULL")</f>
        <v>NULL</v>
      </c>
      <c r="E1674" s="30" t="str">
        <f aca="false">IF('Boletins Nuppa Site'!H1674&lt;&gt;0,'Boletins Nuppa Site'!H1674,"NULL")</f>
        <v> 48.00</v>
      </c>
      <c r="F1674" s="30" t="str">
        <f aca="false">IF('Boletins Nuppa Site'!I1674&lt;&gt;0,'Boletins Nuppa Site'!I1674,"NULL")</f>
        <v> 60.00</v>
      </c>
      <c r="G1674" s="30" t="str">
        <f aca="false">IF('Boletins Nuppa Site'!J1674&lt;&gt;0,'Boletins Nuppa Site'!J1674,"NULL")</f>
        <v> 52.67</v>
      </c>
      <c r="H1674" s="30" t="str">
        <f aca="false">IF('Boletins Nuppa Site'!K1674&lt;&gt;0,'Boletins Nuppa Site'!K1674,"NULL")</f>
        <v> 50.00</v>
      </c>
      <c r="I1674" s="0" t="str">
        <f aca="false">"INSERT INTO COTACAO (cot_id, cot_blt_id, cot_pap_id, cot_prc_comum, cot_prc_min, cot_prc_max, cot_prc_med, cot_prc_mediana) VALUES ("&amp;A1674&amp;", "&amp;B1674&amp;", "&amp;C1674&amp;", "&amp;D1674&amp;", "&amp;E1674&amp;", "&amp;F1674&amp;", "&amp;G1674&amp;", "&amp;H1674&amp;");"</f>
        <v>INSERT INTO COTACAO (cot_id, cot_blt_id, cot_pap_id, cot_prc_comum, cot_prc_min, cot_prc_max, cot_prc_med, cot_prc_mediana) VALUES (1673, 80, 3, NULL,  48.00,  60.00,  52.67,  50.00);</v>
      </c>
      <c r="J1674" s="0" t="str">
        <f aca="false">"UPDATE COTACAO SET cot_id = "&amp;A1674&amp;", cot_blt_id = "&amp;B1674&amp;", cot_pap_id = "&amp;C1674&amp;", cot_prc_comum = "&amp;D1674&amp;", cot_prc_min = "&amp;E1674&amp;", cot_prc_max = "&amp;F1674&amp;", cot_prc_med = "&amp;G1674&amp;", cot_prc_mediana = "&amp;H1674&amp;" WHERE cot_id = "&amp;A1674&amp;";"</f>
        <v>UPDATE COTACAO SET cot_id = 1673, cot_blt_id = 80, cot_pap_id = 3, cot_prc_comum = NULL, cot_prc_min =  48.00, cot_prc_max =  60.00, cot_prc_med =  52.67, cot_prc_mediana =  50.00 WHERE cot_id = 1673;</v>
      </c>
    </row>
    <row r="1675" customFormat="false" ht="14.25" hidden="false" customHeight="false" outlineLevel="0" collapsed="false">
      <c r="A1675" s="0" t="n">
        <v>1674</v>
      </c>
      <c r="B1675" s="0" t="n">
        <f aca="false">IF('Boletins Nuppa Site'!A1675&lt;&gt;0,'Boletins Nuppa Site'!A1675,"NULL")</f>
        <v>80</v>
      </c>
      <c r="C1675" s="0" t="n">
        <v>4</v>
      </c>
      <c r="D1675" s="0" t="str">
        <f aca="false">IF('Boletins Nuppa Site'!G1675&lt;&gt;0,'Boletins Nuppa Site'!G1675,"NULL")</f>
        <v>NULL</v>
      </c>
      <c r="E1675" s="30" t="str">
        <f aca="false">IF('Boletins Nuppa Site'!H1675&lt;&gt;0,'Boletins Nuppa Site'!H1675,"NULL")</f>
        <v> 30.00</v>
      </c>
      <c r="F1675" s="30" t="str">
        <f aca="false">IF('Boletins Nuppa Site'!I1675&lt;&gt;0,'Boletins Nuppa Site'!I1675,"NULL")</f>
        <v> 60.00</v>
      </c>
      <c r="G1675" s="30" t="str">
        <f aca="false">IF('Boletins Nuppa Site'!J1675&lt;&gt;0,'Boletins Nuppa Site'!J1675,"NULL")</f>
        <v> 42.00</v>
      </c>
      <c r="H1675" s="30" t="str">
        <f aca="false">IF('Boletins Nuppa Site'!K1675&lt;&gt;0,'Boletins Nuppa Site'!K1675,"NULL")</f>
        <v> 36.00</v>
      </c>
      <c r="I1675" s="0" t="str">
        <f aca="false">"INSERT INTO COTACAO (cot_id, cot_blt_id, cot_pap_id, cot_prc_comum, cot_prc_min, cot_prc_max, cot_prc_med, cot_prc_mediana) VALUES ("&amp;A1675&amp;", "&amp;B1675&amp;", "&amp;C1675&amp;", "&amp;D1675&amp;", "&amp;E1675&amp;", "&amp;F1675&amp;", "&amp;G1675&amp;", "&amp;H1675&amp;");"</f>
        <v>INSERT INTO COTACAO (cot_id, cot_blt_id, cot_pap_id, cot_prc_comum, cot_prc_min, cot_prc_max, cot_prc_med, cot_prc_mediana) VALUES (1674, 80, 4, NULL,  30.00,  60.00,  42.00,  36.00);</v>
      </c>
      <c r="J1675" s="0" t="str">
        <f aca="false">"UPDATE COTACAO SET cot_id = "&amp;A1675&amp;", cot_blt_id = "&amp;B1675&amp;", cot_pap_id = "&amp;C1675&amp;", cot_prc_comum = "&amp;D1675&amp;", cot_prc_min = "&amp;E1675&amp;", cot_prc_max = "&amp;F1675&amp;", cot_prc_med = "&amp;G1675&amp;", cot_prc_mediana = "&amp;H1675&amp;" WHERE cot_id = "&amp;A1675&amp;";"</f>
        <v>UPDATE COTACAO SET cot_id = 1674, cot_blt_id = 80, cot_pap_id = 4, cot_prc_comum = NULL, cot_prc_min =  30.00, cot_prc_max =  60.00, cot_prc_med =  42.00, cot_prc_mediana =  36.00 WHERE cot_id = 1674;</v>
      </c>
    </row>
    <row r="1676" customFormat="false" ht="14.25" hidden="false" customHeight="false" outlineLevel="0" collapsed="false">
      <c r="A1676" s="0" t="n">
        <v>1675</v>
      </c>
      <c r="B1676" s="0" t="n">
        <f aca="false">IF('Boletins Nuppa Site'!A1676&lt;&gt;0,'Boletins Nuppa Site'!A1676,"NULL")</f>
        <v>80</v>
      </c>
      <c r="C1676" s="0" t="n">
        <v>5</v>
      </c>
      <c r="D1676" s="0" t="str">
        <f aca="false">IF('Boletins Nuppa Site'!G1676&lt;&gt;0,'Boletins Nuppa Site'!G1676,"NULL")</f>
        <v>NULL</v>
      </c>
      <c r="E1676" s="30" t="str">
        <f aca="false">IF('Boletins Nuppa Site'!H1676&lt;&gt;0,'Boletins Nuppa Site'!H1676,"NULL")</f>
        <v> 36.00</v>
      </c>
      <c r="F1676" s="30" t="str">
        <f aca="false">IF('Boletins Nuppa Site'!I1676&lt;&gt;0,'Boletins Nuppa Site'!I1676,"NULL")</f>
        <v> 60.00</v>
      </c>
      <c r="G1676" s="30" t="str">
        <f aca="false">IF('Boletins Nuppa Site'!J1676&lt;&gt;0,'Boletins Nuppa Site'!J1676,"NULL")</f>
        <v> 48.00</v>
      </c>
      <c r="H1676" s="30" t="str">
        <f aca="false">IF('Boletins Nuppa Site'!K1676&lt;&gt;0,'Boletins Nuppa Site'!K1676,"NULL")</f>
        <v> 48.00</v>
      </c>
      <c r="I1676" s="0" t="str">
        <f aca="false">"INSERT INTO COTACAO (cot_id, cot_blt_id, cot_pap_id, cot_prc_comum, cot_prc_min, cot_prc_max, cot_prc_med, cot_prc_mediana) VALUES ("&amp;A1676&amp;", "&amp;B1676&amp;", "&amp;C1676&amp;", "&amp;D1676&amp;", "&amp;E1676&amp;", "&amp;F1676&amp;", "&amp;G1676&amp;", "&amp;H1676&amp;");"</f>
        <v>INSERT INTO COTACAO (cot_id, cot_blt_id, cot_pap_id, cot_prc_comum, cot_prc_min, cot_prc_max, cot_prc_med, cot_prc_mediana) VALUES (1675, 80, 5, NULL,  36.00,  60.00,  48.00,  48.00);</v>
      </c>
      <c r="J1676" s="0" t="str">
        <f aca="false">"UPDATE COTACAO SET cot_id = "&amp;A1676&amp;", cot_blt_id = "&amp;B1676&amp;", cot_pap_id = "&amp;C1676&amp;", cot_prc_comum = "&amp;D1676&amp;", cot_prc_min = "&amp;E1676&amp;", cot_prc_max = "&amp;F1676&amp;", cot_prc_med = "&amp;G1676&amp;", cot_prc_mediana = "&amp;H1676&amp;" WHERE cot_id = "&amp;A1676&amp;";"</f>
        <v>UPDATE COTACAO SET cot_id = 1675, cot_blt_id = 80, cot_pap_id = 5, cot_prc_comum = NULL, cot_prc_min =  36.00, cot_prc_max =  60.00, cot_prc_med =  48.00, cot_prc_mediana =  48.00 WHERE cot_id = 1675;</v>
      </c>
    </row>
    <row r="1677" customFormat="false" ht="14.25" hidden="false" customHeight="false" outlineLevel="0" collapsed="false">
      <c r="A1677" s="0" t="n">
        <v>1676</v>
      </c>
      <c r="B1677" s="0" t="n">
        <f aca="false">IF('Boletins Nuppa Site'!A1677&lt;&gt;0,'Boletins Nuppa Site'!A1677,"NULL")</f>
        <v>80</v>
      </c>
      <c r="C1677" s="0" t="n">
        <v>6</v>
      </c>
      <c r="D1677" s="0" t="str">
        <f aca="false">IF('Boletins Nuppa Site'!G1677&lt;&gt;0,'Boletins Nuppa Site'!G1677,"NULL")</f>
        <v>NULL</v>
      </c>
      <c r="E1677" s="30" t="str">
        <f aca="false">IF('Boletins Nuppa Site'!H1677&lt;&gt;0,'Boletins Nuppa Site'!H1677,"NULL")</f>
        <v> 66.00</v>
      </c>
      <c r="F1677" s="30" t="str">
        <f aca="false">IF('Boletins Nuppa Site'!I1677&lt;&gt;0,'Boletins Nuppa Site'!I1677,"NULL")</f>
        <v> 72.00</v>
      </c>
      <c r="G1677" s="30" t="str">
        <f aca="false">IF('Boletins Nuppa Site'!J1677&lt;&gt;0,'Boletins Nuppa Site'!J1677,"NULL")</f>
        <v> 69.00</v>
      </c>
      <c r="H1677" s="30" t="str">
        <f aca="false">IF('Boletins Nuppa Site'!K1677&lt;&gt;0,'Boletins Nuppa Site'!K1677,"NULL")</f>
        <v> 69.00</v>
      </c>
      <c r="I1677" s="0" t="str">
        <f aca="false">"INSERT INTO COTACAO (cot_id, cot_blt_id, cot_pap_id, cot_prc_comum, cot_prc_min, cot_prc_max, cot_prc_med, cot_prc_mediana) VALUES ("&amp;A1677&amp;", "&amp;B1677&amp;", "&amp;C1677&amp;", "&amp;D1677&amp;", "&amp;E1677&amp;", "&amp;F1677&amp;", "&amp;G1677&amp;", "&amp;H1677&amp;");"</f>
        <v>INSERT INTO COTACAO (cot_id, cot_blt_id, cot_pap_id, cot_prc_comum, cot_prc_min, cot_prc_max, cot_prc_med, cot_prc_mediana) VALUES (1676, 80, 6, NULL,  66.00,  72.00,  69.00,  69.00);</v>
      </c>
      <c r="J1677" s="0" t="str">
        <f aca="false">"UPDATE COTACAO SET cot_id = "&amp;A1677&amp;", cot_blt_id = "&amp;B1677&amp;", cot_pap_id = "&amp;C1677&amp;", cot_prc_comum = "&amp;D1677&amp;", cot_prc_min = "&amp;E1677&amp;", cot_prc_max = "&amp;F1677&amp;", cot_prc_med = "&amp;G1677&amp;", cot_prc_mediana = "&amp;H1677&amp;" WHERE cot_id = "&amp;A1677&amp;";"</f>
        <v>UPDATE COTACAO SET cot_id = 1676, cot_blt_id = 80, cot_pap_id = 6, cot_prc_comum = NULL, cot_prc_min =  66.00, cot_prc_max =  72.00, cot_prc_med =  69.00, cot_prc_mediana =  69.00 WHERE cot_id = 1676;</v>
      </c>
    </row>
    <row r="1678" customFormat="false" ht="14.25" hidden="false" customHeight="false" outlineLevel="0" collapsed="false">
      <c r="A1678" s="0" t="n">
        <v>1677</v>
      </c>
      <c r="B1678" s="0" t="n">
        <f aca="false">IF('Boletins Nuppa Site'!A1678&lt;&gt;0,'Boletins Nuppa Site'!A1678,"NULL")</f>
        <v>80</v>
      </c>
      <c r="C1678" s="0" t="n">
        <v>7</v>
      </c>
      <c r="D1678" s="0" t="str">
        <f aca="false">IF('Boletins Nuppa Site'!G1678&lt;&gt;0,'Boletins Nuppa Site'!G1678,"NULL")</f>
        <v> 54.00</v>
      </c>
      <c r="E1678" s="30" t="str">
        <f aca="false">IF('Boletins Nuppa Site'!H1678&lt;&gt;0,'Boletins Nuppa Site'!H1678,"NULL")</f>
        <v> 78.00</v>
      </c>
      <c r="F1678" s="30" t="str">
        <f aca="false">IF('Boletins Nuppa Site'!I1678&lt;&gt;0,'Boletins Nuppa Site'!I1678,"NULL")</f>
        <v> 66.00</v>
      </c>
      <c r="G1678" s="30" t="str">
        <f aca="false">IF('Boletins Nuppa Site'!J1678&lt;&gt;0,'Boletins Nuppa Site'!J1678,"NULL")</f>
        <v> 66.00</v>
      </c>
      <c r="H1678" s="30" t="str">
        <f aca="false">IF('Boletins Nuppa Site'!K1678&lt;&gt;0,'Boletins Nuppa Site'!K1678,"NULL")</f>
        <v>NULL</v>
      </c>
      <c r="I1678" s="0" t="str">
        <f aca="false">"INSERT INTO COTACAO (cot_id, cot_blt_id, cot_pap_id, cot_prc_comum, cot_prc_min, cot_prc_max, cot_prc_med, cot_prc_mediana) VALUES ("&amp;A1678&amp;", "&amp;B1678&amp;", "&amp;C1678&amp;", "&amp;D1678&amp;", "&amp;E1678&amp;", "&amp;F1678&amp;", "&amp;G1678&amp;", "&amp;H1678&amp;");"</f>
        <v>INSERT INTO COTACAO (cot_id, cot_blt_id, cot_pap_id, cot_prc_comum, cot_prc_min, cot_prc_max, cot_prc_med, cot_prc_mediana) VALUES (1677, 80, 7,  54.00,  78.00,  66.00,  66.00, NULL);</v>
      </c>
      <c r="J1678" s="0" t="str">
        <f aca="false">"UPDATE COTACAO SET cot_id = "&amp;A1678&amp;", cot_blt_id = "&amp;B1678&amp;", cot_pap_id = "&amp;C1678&amp;", cot_prc_comum = "&amp;D1678&amp;", cot_prc_min = "&amp;E1678&amp;", cot_prc_max = "&amp;F1678&amp;", cot_prc_med = "&amp;G1678&amp;", cot_prc_mediana = "&amp;H1678&amp;" WHERE cot_id = "&amp;A1678&amp;";"</f>
        <v>UPDATE COTACAO SET cot_id = 1677, cot_blt_id = 80, cot_pap_id = 7, cot_prc_comum =  54.00, cot_prc_min =  78.00, cot_prc_max =  66.00, cot_prc_med =  66.00, cot_prc_mediana = NULL WHERE cot_id = 1677;</v>
      </c>
    </row>
    <row r="1679" customFormat="false" ht="14.25" hidden="false" customHeight="false" outlineLevel="0" collapsed="false">
      <c r="A1679" s="0" t="n">
        <v>1678</v>
      </c>
      <c r="B1679" s="0" t="n">
        <f aca="false">IF('Boletins Nuppa Site'!A1679&lt;&gt;0,'Boletins Nuppa Site'!A1679,"NULL")</f>
        <v>80</v>
      </c>
      <c r="C1679" s="0" t="n">
        <v>8</v>
      </c>
      <c r="D1679" s="0" t="str">
        <f aca="false">IF('Boletins Nuppa Site'!G1679&lt;&gt;0,'Boletins Nuppa Site'!G1679,"NULL")</f>
        <v> 72.00</v>
      </c>
      <c r="E1679" s="30" t="str">
        <f aca="false">IF('Boletins Nuppa Site'!H1679&lt;&gt;0,'Boletins Nuppa Site'!H1679,"NULL")</f>
        <v> 72.00</v>
      </c>
      <c r="F1679" s="30" t="str">
        <f aca="false">IF('Boletins Nuppa Site'!I1679&lt;&gt;0,'Boletins Nuppa Site'!I1679,"NULL")</f>
        <v> 78.00</v>
      </c>
      <c r="G1679" s="30" t="str">
        <f aca="false">IF('Boletins Nuppa Site'!J1679&lt;&gt;0,'Boletins Nuppa Site'!J1679,"NULL")</f>
        <v> 74.00</v>
      </c>
      <c r="H1679" s="30" t="str">
        <f aca="false">IF('Boletins Nuppa Site'!K1679&lt;&gt;0,'Boletins Nuppa Site'!K1679,"NULL")</f>
        <v> 72.00</v>
      </c>
      <c r="I1679" s="0" t="str">
        <f aca="false">"INSERT INTO COTACAO (cot_id, cot_blt_id, cot_pap_id, cot_prc_comum, cot_prc_min, cot_prc_max, cot_prc_med, cot_prc_mediana) VALUES ("&amp;A1679&amp;", "&amp;B1679&amp;", "&amp;C1679&amp;", "&amp;D1679&amp;", "&amp;E1679&amp;", "&amp;F1679&amp;", "&amp;G1679&amp;", "&amp;H1679&amp;");"</f>
        <v>INSERT INTO COTACAO (cot_id, cot_blt_id, cot_pap_id, cot_prc_comum, cot_prc_min, cot_prc_max, cot_prc_med, cot_prc_mediana) VALUES (1678, 80, 8,  72.00,  72.00,  78.00,  74.00,  72.00);</v>
      </c>
      <c r="J1679" s="0" t="str">
        <f aca="false">"UPDATE COTACAO SET cot_id = "&amp;A1679&amp;", cot_blt_id = "&amp;B1679&amp;", cot_pap_id = "&amp;C1679&amp;", cot_prc_comum = "&amp;D1679&amp;", cot_prc_min = "&amp;E1679&amp;", cot_prc_max = "&amp;F1679&amp;", cot_prc_med = "&amp;G1679&amp;", cot_prc_mediana = "&amp;H1679&amp;" WHERE cot_id = "&amp;A1679&amp;";"</f>
        <v>UPDATE COTACAO SET cot_id = 1678, cot_blt_id = 80, cot_pap_id = 8, cot_prc_comum =  72.00, cot_prc_min =  72.00, cot_prc_max =  78.00, cot_prc_med =  74.00, cot_prc_mediana =  72.00 WHERE cot_id = 1678;</v>
      </c>
    </row>
    <row r="1680" customFormat="false" ht="14.25" hidden="false" customHeight="false" outlineLevel="0" collapsed="false">
      <c r="A1680" s="0" t="n">
        <v>1679</v>
      </c>
      <c r="B1680" s="0" t="n">
        <f aca="false">IF('Boletins Nuppa Site'!A1680&lt;&gt;0,'Boletins Nuppa Site'!A1680,"NULL")</f>
        <v>80</v>
      </c>
      <c r="C1680" s="0" t="n">
        <v>9</v>
      </c>
      <c r="D1680" s="0" t="str">
        <f aca="false">IF('Boletins Nuppa Site'!G1680&lt;&gt;0,'Boletins Nuppa Site'!G1680,"NULL")</f>
        <v> 24.00</v>
      </c>
      <c r="E1680" s="30" t="str">
        <f aca="false">IF('Boletins Nuppa Site'!H1680&lt;&gt;0,'Boletins Nuppa Site'!H1680,"NULL")</f>
        <v> 18.00</v>
      </c>
      <c r="F1680" s="30" t="str">
        <f aca="false">IF('Boletins Nuppa Site'!I1680&lt;&gt;0,'Boletins Nuppa Site'!I1680,"NULL")</f>
        <v> 24.00</v>
      </c>
      <c r="G1680" s="30" t="str">
        <f aca="false">IF('Boletins Nuppa Site'!J1680&lt;&gt;0,'Boletins Nuppa Site'!J1680,"NULL")</f>
        <v> 22.00</v>
      </c>
      <c r="H1680" s="30" t="str">
        <f aca="false">IF('Boletins Nuppa Site'!K1680&lt;&gt;0,'Boletins Nuppa Site'!K1680,"NULL")</f>
        <v> 24.00</v>
      </c>
      <c r="I1680" s="0" t="str">
        <f aca="false">"INSERT INTO COTACAO (cot_id, cot_blt_id, cot_pap_id, cot_prc_comum, cot_prc_min, cot_prc_max, cot_prc_med, cot_prc_mediana) VALUES ("&amp;A1680&amp;", "&amp;B1680&amp;", "&amp;C1680&amp;", "&amp;D1680&amp;", "&amp;E1680&amp;", "&amp;F1680&amp;", "&amp;G1680&amp;", "&amp;H1680&amp;");"</f>
        <v>INSERT INTO COTACAO (cot_id, cot_blt_id, cot_pap_id, cot_prc_comum, cot_prc_min, cot_prc_max, cot_prc_med, cot_prc_mediana) VALUES (1679, 80, 9,  24.00,  18.00,  24.00,  22.00,  24.00);</v>
      </c>
      <c r="J1680" s="0" t="str">
        <f aca="false">"UPDATE COTACAO SET cot_id = "&amp;A1680&amp;", cot_blt_id = "&amp;B1680&amp;", cot_pap_id = "&amp;C1680&amp;", cot_prc_comum = "&amp;D1680&amp;", cot_prc_min = "&amp;E1680&amp;", cot_prc_max = "&amp;F1680&amp;", cot_prc_med = "&amp;G1680&amp;", cot_prc_mediana = "&amp;H1680&amp;" WHERE cot_id = "&amp;A1680&amp;";"</f>
        <v>UPDATE COTACAO SET cot_id = 1679, cot_blt_id = 80, cot_pap_id = 9, cot_prc_comum =  24.00, cot_prc_min =  18.00, cot_prc_max =  24.00, cot_prc_med =  22.00, cot_prc_mediana =  24.00 WHERE cot_id = 1679;</v>
      </c>
    </row>
    <row r="1681" customFormat="false" ht="14.25" hidden="false" customHeight="false" outlineLevel="0" collapsed="false">
      <c r="A1681" s="0" t="n">
        <v>1680</v>
      </c>
      <c r="B1681" s="0" t="n">
        <f aca="false">IF('Boletins Nuppa Site'!A1681&lt;&gt;0,'Boletins Nuppa Site'!A1681,"NULL")</f>
        <v>80</v>
      </c>
      <c r="C1681" s="0" t="n">
        <v>10</v>
      </c>
      <c r="D1681" s="0" t="str">
        <f aca="false">IF('Boletins Nuppa Site'!G1681&lt;&gt;0,'Boletins Nuppa Site'!G1681,"NULL")</f>
        <v>NULL</v>
      </c>
      <c r="E1681" s="30" t="str">
        <f aca="false">IF('Boletins Nuppa Site'!H1681&lt;&gt;0,'Boletins Nuppa Site'!H1681,"NULL")</f>
        <v> 70.00</v>
      </c>
      <c r="F1681" s="30" t="str">
        <f aca="false">IF('Boletins Nuppa Site'!I1681&lt;&gt;0,'Boletins Nuppa Site'!I1681,"NULL")</f>
        <v> 78.00</v>
      </c>
      <c r="G1681" s="30" t="str">
        <f aca="false">IF('Boletins Nuppa Site'!J1681&lt;&gt;0,'Boletins Nuppa Site'!J1681,"NULL")</f>
        <v> 74.00</v>
      </c>
      <c r="H1681" s="30" t="str">
        <f aca="false">IF('Boletins Nuppa Site'!K1681&lt;&gt;0,'Boletins Nuppa Site'!K1681,"NULL")</f>
        <v> 74.00</v>
      </c>
      <c r="I1681" s="0" t="str">
        <f aca="false">"INSERT INTO COTACAO (cot_id, cot_blt_id, cot_pap_id, cot_prc_comum, cot_prc_min, cot_prc_max, cot_prc_med, cot_prc_mediana) VALUES ("&amp;A1681&amp;", "&amp;B1681&amp;", "&amp;C1681&amp;", "&amp;D1681&amp;", "&amp;E1681&amp;", "&amp;F1681&amp;", "&amp;G1681&amp;", "&amp;H1681&amp;");"</f>
        <v>INSERT INTO COTACAO (cot_id, cot_blt_id, cot_pap_id, cot_prc_comum, cot_prc_min, cot_prc_max, cot_prc_med, cot_prc_mediana) VALUES (1680, 80, 10, NULL,  70.00,  78.00,  74.00,  74.00);</v>
      </c>
      <c r="J1681" s="0" t="str">
        <f aca="false">"UPDATE COTACAO SET cot_id = "&amp;A1681&amp;", cot_blt_id = "&amp;B1681&amp;", cot_pap_id = "&amp;C1681&amp;", cot_prc_comum = "&amp;D1681&amp;", cot_prc_min = "&amp;E1681&amp;", cot_prc_max = "&amp;F1681&amp;", cot_prc_med = "&amp;G1681&amp;", cot_prc_mediana = "&amp;H1681&amp;" WHERE cot_id = "&amp;A1681&amp;";"</f>
        <v>UPDATE COTACAO SET cot_id = 1680, cot_blt_id = 80, cot_pap_id = 10, cot_prc_comum = NULL, cot_prc_min =  70.00, cot_prc_max =  78.00, cot_prc_med =  74.00, cot_prc_mediana =  74.00 WHERE cot_id = 1680;</v>
      </c>
    </row>
    <row r="1682" customFormat="false" ht="14.25" hidden="false" customHeight="false" outlineLevel="0" collapsed="false">
      <c r="A1682" s="0" t="n">
        <v>1681</v>
      </c>
      <c r="B1682" s="0" t="n">
        <f aca="false">IF('Boletins Nuppa Site'!A1682&lt;&gt;0,'Boletins Nuppa Site'!A1682,"NULL")</f>
        <v>80</v>
      </c>
      <c r="C1682" s="0" t="n">
        <v>11</v>
      </c>
      <c r="D1682" s="0" t="str">
        <f aca="false">IF('Boletins Nuppa Site'!G1682&lt;&gt;0,'Boletins Nuppa Site'!G1682,"NULL")</f>
        <v>NULL</v>
      </c>
      <c r="E1682" s="30" t="str">
        <f aca="false">IF('Boletins Nuppa Site'!H1682&lt;&gt;0,'Boletins Nuppa Site'!H1682,"NULL")</f>
        <v> 24.00</v>
      </c>
      <c r="F1682" s="30" t="str">
        <f aca="false">IF('Boletins Nuppa Site'!I1682&lt;&gt;0,'Boletins Nuppa Site'!I1682,"NULL")</f>
        <v> 60.00</v>
      </c>
      <c r="G1682" s="30" t="str">
        <f aca="false">IF('Boletins Nuppa Site'!J1682&lt;&gt;0,'Boletins Nuppa Site'!J1682,"NULL")</f>
        <v> 40.00</v>
      </c>
      <c r="H1682" s="30" t="str">
        <f aca="false">IF('Boletins Nuppa Site'!K1682&lt;&gt;0,'Boletins Nuppa Site'!K1682,"NULL")</f>
        <v> 36.00</v>
      </c>
      <c r="I1682" s="0" t="str">
        <f aca="false">"INSERT INTO COTACAO (cot_id, cot_blt_id, cot_pap_id, cot_prc_comum, cot_prc_min, cot_prc_max, cot_prc_med, cot_prc_mediana) VALUES ("&amp;A1682&amp;", "&amp;B1682&amp;", "&amp;C1682&amp;", "&amp;D1682&amp;", "&amp;E1682&amp;", "&amp;F1682&amp;", "&amp;G1682&amp;", "&amp;H1682&amp;");"</f>
        <v>INSERT INTO COTACAO (cot_id, cot_blt_id, cot_pap_id, cot_prc_comum, cot_prc_min, cot_prc_max, cot_prc_med, cot_prc_mediana) VALUES (1681, 80, 11, NULL,  24.00,  60.00,  40.00,  36.00);</v>
      </c>
      <c r="J1682" s="0" t="str">
        <f aca="false">"UPDATE COTACAO SET cot_id = "&amp;A1682&amp;", cot_blt_id = "&amp;B1682&amp;", cot_pap_id = "&amp;C1682&amp;", cot_prc_comum = "&amp;D1682&amp;", cot_prc_min = "&amp;E1682&amp;", cot_prc_max = "&amp;F1682&amp;", cot_prc_med = "&amp;G1682&amp;", cot_prc_mediana = "&amp;H1682&amp;" WHERE cot_id = "&amp;A1682&amp;";"</f>
        <v>UPDATE COTACAO SET cot_id = 1681, cot_blt_id = 80, cot_pap_id = 11, cot_prc_comum = NULL, cot_prc_min =  24.00, cot_prc_max =  60.00, cot_prc_med =  40.00, cot_prc_mediana =  36.00 WHERE cot_id = 1681;</v>
      </c>
    </row>
    <row r="1683" customFormat="false" ht="14.25" hidden="false" customHeight="false" outlineLevel="0" collapsed="false">
      <c r="A1683" s="0" t="n">
        <v>1682</v>
      </c>
      <c r="B1683" s="0" t="n">
        <f aca="false">IF('Boletins Nuppa Site'!A1683&lt;&gt;0,'Boletins Nuppa Site'!A1683,"NULL")</f>
        <v>80</v>
      </c>
      <c r="C1683" s="0" t="n">
        <v>12</v>
      </c>
      <c r="D1683" s="0" t="str">
        <f aca="false">IF('Boletins Nuppa Site'!G1683&lt;&gt;0,'Boletins Nuppa Site'!G1683,"NULL")</f>
        <v>NULL</v>
      </c>
      <c r="E1683" s="30" t="str">
        <f aca="false">IF('Boletins Nuppa Site'!H1683&lt;&gt;0,'Boletins Nuppa Site'!H1683,"NULL")</f>
        <v> 72.00</v>
      </c>
      <c r="F1683" s="30" t="str">
        <f aca="false">IF('Boletins Nuppa Site'!I1683&lt;&gt;0,'Boletins Nuppa Site'!I1683,"NULL")</f>
        <v> 84.00</v>
      </c>
      <c r="G1683" s="30" t="str">
        <f aca="false">IF('Boletins Nuppa Site'!J1683&lt;&gt;0,'Boletins Nuppa Site'!J1683,"NULL")</f>
        <v> 78.00</v>
      </c>
      <c r="H1683" s="30" t="str">
        <f aca="false">IF('Boletins Nuppa Site'!K1683&lt;&gt;0,'Boletins Nuppa Site'!K1683,"NULL")</f>
        <v> 78.00</v>
      </c>
      <c r="I1683" s="0" t="str">
        <f aca="false">"INSERT INTO COTACAO (cot_id, cot_blt_id, cot_pap_id, cot_prc_comum, cot_prc_min, cot_prc_max, cot_prc_med, cot_prc_mediana) VALUES ("&amp;A1683&amp;", "&amp;B1683&amp;", "&amp;C1683&amp;", "&amp;D1683&amp;", "&amp;E1683&amp;", "&amp;F1683&amp;", "&amp;G1683&amp;", "&amp;H1683&amp;");"</f>
        <v>INSERT INTO COTACAO (cot_id, cot_blt_id, cot_pap_id, cot_prc_comum, cot_prc_min, cot_prc_max, cot_prc_med, cot_prc_mediana) VALUES (1682, 80, 12, NULL,  72.00,  84.00,  78.00,  78.00);</v>
      </c>
      <c r="J1683" s="0" t="str">
        <f aca="false">"UPDATE COTACAO SET cot_id = "&amp;A1683&amp;", cot_blt_id = "&amp;B1683&amp;", cot_pap_id = "&amp;C1683&amp;", cot_prc_comum = "&amp;D1683&amp;", cot_prc_min = "&amp;E1683&amp;", cot_prc_max = "&amp;F1683&amp;", cot_prc_med = "&amp;G1683&amp;", cot_prc_mediana = "&amp;H1683&amp;" WHERE cot_id = "&amp;A1683&amp;";"</f>
        <v>UPDATE COTACAO SET cot_id = 1682, cot_blt_id = 80, cot_pap_id = 12, cot_prc_comum = NULL, cot_prc_min =  72.00, cot_prc_max =  84.00, cot_prc_med =  78.00, cot_prc_mediana =  78.00 WHERE cot_id = 1682;</v>
      </c>
    </row>
    <row r="1684" customFormat="false" ht="14.25" hidden="false" customHeight="false" outlineLevel="0" collapsed="false">
      <c r="A1684" s="0" t="n">
        <v>1683</v>
      </c>
      <c r="B1684" s="0" t="n">
        <f aca="false">IF('Boletins Nuppa Site'!A1684&lt;&gt;0,'Boletins Nuppa Site'!A1684,"NULL")</f>
        <v>80</v>
      </c>
      <c r="C1684" s="0" t="n">
        <v>13</v>
      </c>
      <c r="D1684" s="0" t="str">
        <f aca="false">IF('Boletins Nuppa Site'!G1684&lt;&gt;0,'Boletins Nuppa Site'!G1684,"NULL")</f>
        <v>NULL</v>
      </c>
      <c r="E1684" s="30" t="str">
        <f aca="false">IF('Boletins Nuppa Site'!H1684&lt;&gt;0,'Boletins Nuppa Site'!H1684,"NULL")</f>
        <v> 60.00</v>
      </c>
      <c r="F1684" s="30" t="str">
        <f aca="false">IF('Boletins Nuppa Site'!I1684&lt;&gt;0,'Boletins Nuppa Site'!I1684,"NULL")</f>
        <v> 78.00</v>
      </c>
      <c r="G1684" s="30" t="str">
        <f aca="false">IF('Boletins Nuppa Site'!J1684&lt;&gt;0,'Boletins Nuppa Site'!J1684,"NULL")</f>
        <v> 70.00</v>
      </c>
      <c r="H1684" s="30" t="str">
        <f aca="false">IF('Boletins Nuppa Site'!K1684&lt;&gt;0,'Boletins Nuppa Site'!K1684,"NULL")</f>
        <v> 72.00</v>
      </c>
      <c r="I1684" s="0" t="str">
        <f aca="false">"INSERT INTO COTACAO (cot_id, cot_blt_id, cot_pap_id, cot_prc_comum, cot_prc_min, cot_prc_max, cot_prc_med, cot_prc_mediana) VALUES ("&amp;A1684&amp;", "&amp;B1684&amp;", "&amp;C1684&amp;", "&amp;D1684&amp;", "&amp;E1684&amp;", "&amp;F1684&amp;", "&amp;G1684&amp;", "&amp;H1684&amp;");"</f>
        <v>INSERT INTO COTACAO (cot_id, cot_blt_id, cot_pap_id, cot_prc_comum, cot_prc_min, cot_prc_max, cot_prc_med, cot_prc_mediana) VALUES (1683, 80, 13, NULL,  60.00,  78.00,  70.00,  72.00);</v>
      </c>
      <c r="J1684" s="0" t="str">
        <f aca="false">"UPDATE COTACAO SET cot_id = "&amp;A1684&amp;", cot_blt_id = "&amp;B1684&amp;", cot_pap_id = "&amp;C1684&amp;", cot_prc_comum = "&amp;D1684&amp;", cot_prc_min = "&amp;E1684&amp;", cot_prc_max = "&amp;F1684&amp;", cot_prc_med = "&amp;G1684&amp;", cot_prc_mediana = "&amp;H1684&amp;" WHERE cot_id = "&amp;A1684&amp;";"</f>
        <v>UPDATE COTACAO SET cot_id = 1683, cot_blt_id = 80, cot_pap_id = 13, cot_prc_comum = NULL, cot_prc_min =  60.00, cot_prc_max =  78.00, cot_prc_med =  70.00, cot_prc_mediana =  72.00 WHERE cot_id = 1683;</v>
      </c>
    </row>
    <row r="1685" customFormat="false" ht="14.25" hidden="false" customHeight="false" outlineLevel="0" collapsed="false">
      <c r="A1685" s="0" t="n">
        <v>1684</v>
      </c>
      <c r="B1685" s="0" t="n">
        <f aca="false">IF('Boletins Nuppa Site'!A1685&lt;&gt;0,'Boletins Nuppa Site'!A1685,"NULL")</f>
        <v>80</v>
      </c>
      <c r="C1685" s="0" t="n">
        <v>14</v>
      </c>
      <c r="D1685" s="0" t="str">
        <f aca="false">IF('Boletins Nuppa Site'!G1685&lt;&gt;0,'Boletins Nuppa Site'!G1685,"NULL")</f>
        <v>NULL</v>
      </c>
      <c r="E1685" s="30" t="str">
        <f aca="false">IF('Boletins Nuppa Site'!H1685&lt;&gt;0,'Boletins Nuppa Site'!H1685,"NULL")</f>
        <v> 40.00</v>
      </c>
      <c r="F1685" s="30" t="str">
        <f aca="false">IF('Boletins Nuppa Site'!I1685&lt;&gt;0,'Boletins Nuppa Site'!I1685,"NULL")</f>
        <v> 60.00</v>
      </c>
      <c r="G1685" s="30" t="str">
        <f aca="false">IF('Boletins Nuppa Site'!J1685&lt;&gt;0,'Boletins Nuppa Site'!J1685,"NULL")</f>
        <v> 50.00</v>
      </c>
      <c r="H1685" s="30" t="str">
        <f aca="false">IF('Boletins Nuppa Site'!K1685&lt;&gt;0,'Boletins Nuppa Site'!K1685,"NULL")</f>
        <v> 50.00</v>
      </c>
      <c r="I1685" s="0" t="str">
        <f aca="false">"INSERT INTO COTACAO (cot_id, cot_blt_id, cot_pap_id, cot_prc_comum, cot_prc_min, cot_prc_max, cot_prc_med, cot_prc_mediana) VALUES ("&amp;A1685&amp;", "&amp;B1685&amp;", "&amp;C1685&amp;", "&amp;D1685&amp;", "&amp;E1685&amp;", "&amp;F1685&amp;", "&amp;G1685&amp;", "&amp;H1685&amp;");"</f>
        <v>INSERT INTO COTACAO (cot_id, cot_blt_id, cot_pap_id, cot_prc_comum, cot_prc_min, cot_prc_max, cot_prc_med, cot_prc_mediana) VALUES (1684, 80, 14, NULL,  40.00,  60.00,  50.00,  50.00);</v>
      </c>
      <c r="J1685" s="0" t="str">
        <f aca="false">"UPDATE COTACAO SET cot_id = "&amp;A1685&amp;", cot_blt_id = "&amp;B1685&amp;", cot_pap_id = "&amp;C1685&amp;", cot_prc_comum = "&amp;D1685&amp;", cot_prc_min = "&amp;E1685&amp;", cot_prc_max = "&amp;F1685&amp;", cot_prc_med = "&amp;G1685&amp;", cot_prc_mediana = "&amp;H1685&amp;" WHERE cot_id = "&amp;A1685&amp;";"</f>
        <v>UPDATE COTACAO SET cot_id = 1684, cot_blt_id = 80, cot_pap_id = 14, cot_prc_comum = NULL, cot_prc_min =  40.00, cot_prc_max =  60.00, cot_prc_med =  50.00, cot_prc_mediana =  50.00 WHERE cot_id = 1684;</v>
      </c>
    </row>
    <row r="1686" customFormat="false" ht="14.25" hidden="false" customHeight="false" outlineLevel="0" collapsed="false">
      <c r="A1686" s="0" t="n">
        <v>1685</v>
      </c>
      <c r="B1686" s="0" t="n">
        <f aca="false">IF('Boletins Nuppa Site'!A1686&lt;&gt;0,'Boletins Nuppa Site'!A1686,"NULL")</f>
        <v>80</v>
      </c>
      <c r="C1686" s="0" t="n">
        <v>15</v>
      </c>
      <c r="D1686" s="0" t="str">
        <f aca="false">IF('Boletins Nuppa Site'!G1686&lt;&gt;0,'Boletins Nuppa Site'!G1686,"NULL")</f>
        <v>NULL</v>
      </c>
      <c r="E1686" s="30" t="str">
        <f aca="false">IF('Boletins Nuppa Site'!H1686&lt;&gt;0,'Boletins Nuppa Site'!H1686,"NULL")</f>
        <v> 24.00</v>
      </c>
      <c r="F1686" s="30" t="str">
        <f aca="false">IF('Boletins Nuppa Site'!I1686&lt;&gt;0,'Boletins Nuppa Site'!I1686,"NULL")</f>
        <v> 36.00</v>
      </c>
      <c r="G1686" s="30" t="str">
        <f aca="false">IF('Boletins Nuppa Site'!J1686&lt;&gt;0,'Boletins Nuppa Site'!J1686,"NULL")</f>
        <v> 30.00</v>
      </c>
      <c r="H1686" s="30" t="str">
        <f aca="false">IF('Boletins Nuppa Site'!K1686&lt;&gt;0,'Boletins Nuppa Site'!K1686,"NULL")</f>
        <v> 30.00</v>
      </c>
      <c r="I1686" s="0" t="str">
        <f aca="false">"INSERT INTO COTACAO (cot_id, cot_blt_id, cot_pap_id, cot_prc_comum, cot_prc_min, cot_prc_max, cot_prc_med, cot_prc_mediana) VALUES ("&amp;A1686&amp;", "&amp;B1686&amp;", "&amp;C1686&amp;", "&amp;D1686&amp;", "&amp;E1686&amp;", "&amp;F1686&amp;", "&amp;G1686&amp;", "&amp;H1686&amp;");"</f>
        <v>INSERT INTO COTACAO (cot_id, cot_blt_id, cot_pap_id, cot_prc_comum, cot_prc_min, cot_prc_max, cot_prc_med, cot_prc_mediana) VALUES (1685, 80, 15, NULL,  24.00,  36.00,  30.00,  30.00);</v>
      </c>
      <c r="J1686" s="0" t="str">
        <f aca="false">"UPDATE COTACAO SET cot_id = "&amp;A1686&amp;", cot_blt_id = "&amp;B1686&amp;", cot_pap_id = "&amp;C1686&amp;", cot_prc_comum = "&amp;D1686&amp;", cot_prc_min = "&amp;E1686&amp;", cot_prc_max = "&amp;F1686&amp;", cot_prc_med = "&amp;G1686&amp;", cot_prc_mediana = "&amp;H1686&amp;" WHERE cot_id = "&amp;A1686&amp;";"</f>
        <v>UPDATE COTACAO SET cot_id = 1685, cot_blt_id = 80, cot_pap_id = 15, cot_prc_comum = NULL, cot_prc_min =  24.00, cot_prc_max =  36.00, cot_prc_med =  30.00, cot_prc_mediana =  30.00 WHERE cot_id = 1685;</v>
      </c>
    </row>
    <row r="1687" customFormat="false" ht="14.25" hidden="false" customHeight="false" outlineLevel="0" collapsed="false">
      <c r="A1687" s="0" t="n">
        <v>1686</v>
      </c>
      <c r="B1687" s="0" t="n">
        <f aca="false">IF('Boletins Nuppa Site'!A1687&lt;&gt;0,'Boletins Nuppa Site'!A1687,"NULL")</f>
        <v>80</v>
      </c>
      <c r="C1687" s="0" t="n">
        <v>16</v>
      </c>
      <c r="D1687" s="0" t="str">
        <f aca="false">IF('Boletins Nuppa Site'!G1687&lt;&gt;0,'Boletins Nuppa Site'!G1687,"NULL")</f>
        <v>NULL</v>
      </c>
      <c r="E1687" s="30" t="str">
        <f aca="false">IF('Boletins Nuppa Site'!H1687&lt;&gt;0,'Boletins Nuppa Site'!H1687,"NULL")</f>
        <v> 42.00</v>
      </c>
      <c r="F1687" s="30" t="str">
        <f aca="false">IF('Boletins Nuppa Site'!I1687&lt;&gt;0,'Boletins Nuppa Site'!I1687,"NULL")</f>
        <v> 60.00</v>
      </c>
      <c r="G1687" s="30" t="str">
        <f aca="false">IF('Boletins Nuppa Site'!J1687&lt;&gt;0,'Boletins Nuppa Site'!J1687,"NULL")</f>
        <v> 52.00</v>
      </c>
      <c r="H1687" s="30" t="str">
        <f aca="false">IF('Boletins Nuppa Site'!K1687&lt;&gt;0,'Boletins Nuppa Site'!K1687,"NULL")</f>
        <v> 54.00</v>
      </c>
      <c r="I1687" s="0" t="str">
        <f aca="false">"INSERT INTO COTACAO (cot_id, cot_blt_id, cot_pap_id, cot_prc_comum, cot_prc_min, cot_prc_max, cot_prc_med, cot_prc_mediana) VALUES ("&amp;A1687&amp;", "&amp;B1687&amp;", "&amp;C1687&amp;", "&amp;D1687&amp;", "&amp;E1687&amp;", "&amp;F1687&amp;", "&amp;G1687&amp;", "&amp;H1687&amp;");"</f>
        <v>INSERT INTO COTACAO (cot_id, cot_blt_id, cot_pap_id, cot_prc_comum, cot_prc_min, cot_prc_max, cot_prc_med, cot_prc_mediana) VALUES (1686, 80, 16, NULL,  42.00,  60.00,  52.00,  54.00);</v>
      </c>
      <c r="J1687" s="0" t="str">
        <f aca="false">"UPDATE COTACAO SET cot_id = "&amp;A1687&amp;", cot_blt_id = "&amp;B1687&amp;", cot_pap_id = "&amp;C1687&amp;", cot_prc_comum = "&amp;D1687&amp;", cot_prc_min = "&amp;E1687&amp;", cot_prc_max = "&amp;F1687&amp;", cot_prc_med = "&amp;G1687&amp;", cot_prc_mediana = "&amp;H1687&amp;" WHERE cot_id = "&amp;A1687&amp;";"</f>
        <v>UPDATE COTACAO SET cot_id = 1686, cot_blt_id = 80, cot_pap_id = 16, cot_prc_comum = NULL, cot_prc_min =  42.00, cot_prc_max =  60.00, cot_prc_med =  52.00, cot_prc_mediana =  54.00 WHERE cot_id = 1686;</v>
      </c>
    </row>
    <row r="1688" customFormat="false" ht="14.25" hidden="false" customHeight="false" outlineLevel="0" collapsed="false">
      <c r="A1688" s="0" t="n">
        <v>1687</v>
      </c>
      <c r="B1688" s="0" t="n">
        <f aca="false">IF('Boletins Nuppa Site'!A1688&lt;&gt;0,'Boletins Nuppa Site'!A1688,"NULL")</f>
        <v>80</v>
      </c>
      <c r="C1688" s="0" t="n">
        <v>17</v>
      </c>
      <c r="D1688" s="0" t="str">
        <f aca="false">IF('Boletins Nuppa Site'!G1688&lt;&gt;0,'Boletins Nuppa Site'!G1688,"NULL")</f>
        <v> 5.00</v>
      </c>
      <c r="E1688" s="30" t="str">
        <f aca="false">IF('Boletins Nuppa Site'!H1688&lt;&gt;0,'Boletins Nuppa Site'!H1688,"NULL")</f>
        <v> 5.00</v>
      </c>
      <c r="F1688" s="30" t="str">
        <f aca="false">IF('Boletins Nuppa Site'!I1688&lt;&gt;0,'Boletins Nuppa Site'!I1688,"NULL")</f>
        <v> 5.00</v>
      </c>
      <c r="G1688" s="30" t="str">
        <f aca="false">IF('Boletins Nuppa Site'!J1688&lt;&gt;0,'Boletins Nuppa Site'!J1688,"NULL")</f>
        <v> 5.00</v>
      </c>
      <c r="H1688" s="30" t="str">
        <f aca="false">IF('Boletins Nuppa Site'!K1688&lt;&gt;0,'Boletins Nuppa Site'!K1688,"NULL")</f>
        <v> 5.00</v>
      </c>
      <c r="I1688" s="0" t="str">
        <f aca="false">"INSERT INTO COTACAO (cot_id, cot_blt_id, cot_pap_id, cot_prc_comum, cot_prc_min, cot_prc_max, cot_prc_med, cot_prc_mediana) VALUES ("&amp;A1688&amp;", "&amp;B1688&amp;", "&amp;C1688&amp;", "&amp;D1688&amp;", "&amp;E1688&amp;", "&amp;F1688&amp;", "&amp;G1688&amp;", "&amp;H1688&amp;");"</f>
        <v>INSERT INTO COTACAO (cot_id, cot_blt_id, cot_pap_id, cot_prc_comum, cot_prc_min, cot_prc_max, cot_prc_med, cot_prc_mediana) VALUES (1687, 80, 17,  5.00,  5.00,  5.00,  5.00,  5.00);</v>
      </c>
      <c r="J1688" s="0" t="str">
        <f aca="false">"UPDATE COTACAO SET cot_id = "&amp;A1688&amp;", cot_blt_id = "&amp;B1688&amp;", cot_pap_id = "&amp;C1688&amp;", cot_prc_comum = "&amp;D1688&amp;", cot_prc_min = "&amp;E1688&amp;", cot_prc_max = "&amp;F1688&amp;", cot_prc_med = "&amp;G1688&amp;", cot_prc_mediana = "&amp;H1688&amp;" WHERE cot_id = "&amp;A1688&amp;";"</f>
        <v>UPDATE COTACAO SET cot_id = 1687, cot_blt_id = 80, cot_pap_id = 17, cot_prc_comum =  5.00, cot_prc_min =  5.00, cot_prc_max =  5.00, cot_prc_med =  5.00, cot_prc_mediana =  5.00 WHERE cot_id = 1687;</v>
      </c>
    </row>
    <row r="1689" customFormat="false" ht="14.25" hidden="false" customHeight="false" outlineLevel="0" collapsed="false">
      <c r="A1689" s="0" t="n">
        <v>1688</v>
      </c>
      <c r="B1689" s="0" t="n">
        <f aca="false">IF('Boletins Nuppa Site'!A1689&lt;&gt;0,'Boletins Nuppa Site'!A1689,"NULL")</f>
        <v>80</v>
      </c>
      <c r="C1689" s="0" t="n">
        <v>18</v>
      </c>
      <c r="D1689" s="0" t="str">
        <f aca="false">IF('Boletins Nuppa Site'!G1689&lt;&gt;0,'Boletins Nuppa Site'!G1689,"NULL")</f>
        <v> 20.00</v>
      </c>
      <c r="E1689" s="30" t="str">
        <f aca="false">IF('Boletins Nuppa Site'!H1689&lt;&gt;0,'Boletins Nuppa Site'!H1689,"NULL")</f>
        <v> 20.00</v>
      </c>
      <c r="F1689" s="30" t="str">
        <f aca="false">IF('Boletins Nuppa Site'!I1689&lt;&gt;0,'Boletins Nuppa Site'!I1689,"NULL")</f>
        <v> 20.00</v>
      </c>
      <c r="G1689" s="30" t="str">
        <f aca="false">IF('Boletins Nuppa Site'!J1689&lt;&gt;0,'Boletins Nuppa Site'!J1689,"NULL")</f>
        <v> 20.00</v>
      </c>
      <c r="H1689" s="30" t="str">
        <f aca="false">IF('Boletins Nuppa Site'!K1689&lt;&gt;0,'Boletins Nuppa Site'!K1689,"NULL")</f>
        <v> 20.00</v>
      </c>
      <c r="I1689" s="0" t="str">
        <f aca="false">"INSERT INTO COTACAO (cot_id, cot_blt_id, cot_pap_id, cot_prc_comum, cot_prc_min, cot_prc_max, cot_prc_med, cot_prc_mediana) VALUES ("&amp;A1689&amp;", "&amp;B1689&amp;", "&amp;C1689&amp;", "&amp;D1689&amp;", "&amp;E1689&amp;", "&amp;F1689&amp;", "&amp;G1689&amp;", "&amp;H1689&amp;");"</f>
        <v>INSERT INTO COTACAO (cot_id, cot_blt_id, cot_pap_id, cot_prc_comum, cot_prc_min, cot_prc_max, cot_prc_med, cot_prc_mediana) VALUES (1688, 80, 18,  20.00,  20.00,  20.00,  20.00,  20.00);</v>
      </c>
      <c r="J1689" s="0" t="str">
        <f aca="false">"UPDATE COTACAO SET cot_id = "&amp;A1689&amp;", cot_blt_id = "&amp;B1689&amp;", cot_pap_id = "&amp;C1689&amp;", cot_prc_comum = "&amp;D1689&amp;", cot_prc_min = "&amp;E1689&amp;", cot_prc_max = "&amp;F1689&amp;", cot_prc_med = "&amp;G1689&amp;", cot_prc_mediana = "&amp;H1689&amp;" WHERE cot_id = "&amp;A1689&amp;";"</f>
        <v>UPDATE COTACAO SET cot_id = 1688, cot_blt_id = 80, cot_pap_id = 18, cot_prc_comum =  20.00, cot_prc_min =  20.00, cot_prc_max =  20.00, cot_prc_med =  20.00, cot_prc_mediana =  20.00 WHERE cot_id = 1688;</v>
      </c>
    </row>
    <row r="1690" customFormat="false" ht="14.25" hidden="false" customHeight="false" outlineLevel="0" collapsed="false">
      <c r="A1690" s="0" t="n">
        <v>1689</v>
      </c>
      <c r="B1690" s="0" t="n">
        <f aca="false">IF('Boletins Nuppa Site'!A1690&lt;&gt;0,'Boletins Nuppa Site'!A1690,"NULL")</f>
        <v>80</v>
      </c>
      <c r="C1690" s="0" t="n">
        <v>19</v>
      </c>
      <c r="D1690" s="0" t="str">
        <f aca="false">IF('Boletins Nuppa Site'!G1690&lt;&gt;0,'Boletins Nuppa Site'!G1690,"NULL")</f>
        <v>NULL</v>
      </c>
      <c r="E1690" s="30" t="str">
        <f aca="false">IF('Boletins Nuppa Site'!H1690&lt;&gt;0,'Boletins Nuppa Site'!H1690,"NULL")</f>
        <v> 25.00</v>
      </c>
      <c r="F1690" s="30" t="str">
        <f aca="false">IF('Boletins Nuppa Site'!I1690&lt;&gt;0,'Boletins Nuppa Site'!I1690,"NULL")</f>
        <v> 35.00</v>
      </c>
      <c r="G1690" s="30" t="str">
        <f aca="false">IF('Boletins Nuppa Site'!J1690&lt;&gt;0,'Boletins Nuppa Site'!J1690,"NULL")</f>
        <v> 30.00</v>
      </c>
      <c r="H1690" s="30" t="str">
        <f aca="false">IF('Boletins Nuppa Site'!K1690&lt;&gt;0,'Boletins Nuppa Site'!K1690,"NULL")</f>
        <v> 30.00</v>
      </c>
      <c r="I1690" s="0" t="str">
        <f aca="false">"INSERT INTO COTACAO (cot_id, cot_blt_id, cot_pap_id, cot_prc_comum, cot_prc_min, cot_prc_max, cot_prc_med, cot_prc_mediana) VALUES ("&amp;A1690&amp;", "&amp;B1690&amp;", "&amp;C1690&amp;", "&amp;D1690&amp;", "&amp;E1690&amp;", "&amp;F1690&amp;", "&amp;G1690&amp;", "&amp;H1690&amp;");"</f>
        <v>INSERT INTO COTACAO (cot_id, cot_blt_id, cot_pap_id, cot_prc_comum, cot_prc_min, cot_prc_max, cot_prc_med, cot_prc_mediana) VALUES (1689, 80, 19, NULL,  25.00,  35.00,  30.00,  30.00);</v>
      </c>
      <c r="J1690" s="0" t="str">
        <f aca="false">"UPDATE COTACAO SET cot_id = "&amp;A1690&amp;", cot_blt_id = "&amp;B1690&amp;", cot_pap_id = "&amp;C1690&amp;", cot_prc_comum = "&amp;D1690&amp;", cot_prc_min = "&amp;E1690&amp;", cot_prc_max = "&amp;F1690&amp;", cot_prc_med = "&amp;G1690&amp;", cot_prc_mediana = "&amp;H1690&amp;" WHERE cot_id = "&amp;A1690&amp;";"</f>
        <v>UPDATE COTACAO SET cot_id = 1689, cot_blt_id = 80, cot_pap_id = 19, cot_prc_comum = NULL, cot_prc_min =  25.00, cot_prc_max =  35.00, cot_prc_med =  30.00, cot_prc_mediana =  30.00 WHERE cot_id = 1689;</v>
      </c>
    </row>
    <row r="1691" customFormat="false" ht="14.25" hidden="false" customHeight="false" outlineLevel="0" collapsed="false">
      <c r="A1691" s="0" t="n">
        <v>1690</v>
      </c>
      <c r="B1691" s="0" t="n">
        <f aca="false">IF('Boletins Nuppa Site'!A1691&lt;&gt;0,'Boletins Nuppa Site'!A1691,"NULL")</f>
        <v>80</v>
      </c>
      <c r="C1691" s="0" t="n">
        <v>20</v>
      </c>
      <c r="D1691" s="0" t="str">
        <f aca="false">IF('Boletins Nuppa Site'!G1691&lt;&gt;0,'Boletins Nuppa Site'!G1691,"NULL")</f>
        <v> 80.00</v>
      </c>
      <c r="E1691" s="30" t="str">
        <f aca="false">IF('Boletins Nuppa Site'!H1691&lt;&gt;0,'Boletins Nuppa Site'!H1691,"NULL")</f>
        <v> 75.00</v>
      </c>
      <c r="F1691" s="30" t="str">
        <f aca="false">IF('Boletins Nuppa Site'!I1691&lt;&gt;0,'Boletins Nuppa Site'!I1691,"NULL")</f>
        <v> 80.00</v>
      </c>
      <c r="G1691" s="30" t="str">
        <f aca="false">IF('Boletins Nuppa Site'!J1691&lt;&gt;0,'Boletins Nuppa Site'!J1691,"NULL")</f>
        <v> 78.33</v>
      </c>
      <c r="H1691" s="30" t="str">
        <f aca="false">IF('Boletins Nuppa Site'!K1691&lt;&gt;0,'Boletins Nuppa Site'!K1691,"NULL")</f>
        <v> 80.00</v>
      </c>
      <c r="I1691" s="0" t="str">
        <f aca="false">"INSERT INTO COTACAO (cot_id, cot_blt_id, cot_pap_id, cot_prc_comum, cot_prc_min, cot_prc_max, cot_prc_med, cot_prc_mediana) VALUES ("&amp;A1691&amp;", "&amp;B1691&amp;", "&amp;C1691&amp;", "&amp;D1691&amp;", "&amp;E1691&amp;", "&amp;F1691&amp;", "&amp;G1691&amp;", "&amp;H1691&amp;");"</f>
        <v>INSERT INTO COTACAO (cot_id, cot_blt_id, cot_pap_id, cot_prc_comum, cot_prc_min, cot_prc_max, cot_prc_med, cot_prc_mediana) VALUES (1690, 80, 20,  80.00,  75.00,  80.00,  78.33,  80.00);</v>
      </c>
      <c r="J1691" s="0" t="str">
        <f aca="false">"UPDATE COTACAO SET cot_id = "&amp;A1691&amp;", cot_blt_id = "&amp;B1691&amp;", cot_pap_id = "&amp;C1691&amp;", cot_prc_comum = "&amp;D1691&amp;", cot_prc_min = "&amp;E1691&amp;", cot_prc_max = "&amp;F1691&amp;", cot_prc_med = "&amp;G1691&amp;", cot_prc_mediana = "&amp;H1691&amp;" WHERE cot_id = "&amp;A1691&amp;";"</f>
        <v>UPDATE COTACAO SET cot_id = 1690, cot_blt_id = 80, cot_pap_id = 20, cot_prc_comum =  80.00, cot_prc_min =  75.00, cot_prc_max =  80.00, cot_prc_med =  78.33, cot_prc_mediana =  80.00 WHERE cot_id = 1690;</v>
      </c>
    </row>
    <row r="1692" customFormat="false" ht="14.25" hidden="false" customHeight="false" outlineLevel="0" collapsed="false">
      <c r="A1692" s="0" t="n">
        <v>1691</v>
      </c>
      <c r="B1692" s="0" t="n">
        <f aca="false">IF('Boletins Nuppa Site'!A1692&lt;&gt;0,'Boletins Nuppa Site'!A1692,"NULL")</f>
        <v>80</v>
      </c>
      <c r="C1692" s="0" t="n">
        <v>21</v>
      </c>
      <c r="D1692" s="0" t="str">
        <f aca="false">IF('Boletins Nuppa Site'!G1692&lt;&gt;0,'Boletins Nuppa Site'!G1692,"NULL")</f>
        <v> 50.00</v>
      </c>
      <c r="E1692" s="30" t="str">
        <f aca="false">IF('Boletins Nuppa Site'!H1692&lt;&gt;0,'Boletins Nuppa Site'!H1692,"NULL")</f>
        <v> 35.00</v>
      </c>
      <c r="F1692" s="30" t="str">
        <f aca="false">IF('Boletins Nuppa Site'!I1692&lt;&gt;0,'Boletins Nuppa Site'!I1692,"NULL")</f>
        <v> 50.00</v>
      </c>
      <c r="G1692" s="30" t="str">
        <f aca="false">IF('Boletins Nuppa Site'!J1692&lt;&gt;0,'Boletins Nuppa Site'!J1692,"NULL")</f>
        <v> 45.00</v>
      </c>
      <c r="H1692" s="30" t="str">
        <f aca="false">IF('Boletins Nuppa Site'!K1692&lt;&gt;0,'Boletins Nuppa Site'!K1692,"NULL")</f>
        <v> 50.00</v>
      </c>
      <c r="I1692" s="0" t="str">
        <f aca="false">"INSERT INTO COTACAO (cot_id, cot_blt_id, cot_pap_id, cot_prc_comum, cot_prc_min, cot_prc_max, cot_prc_med, cot_prc_mediana) VALUES ("&amp;A1692&amp;", "&amp;B1692&amp;", "&amp;C1692&amp;", "&amp;D1692&amp;", "&amp;E1692&amp;", "&amp;F1692&amp;", "&amp;G1692&amp;", "&amp;H1692&amp;");"</f>
        <v>INSERT INTO COTACAO (cot_id, cot_blt_id, cot_pap_id, cot_prc_comum, cot_prc_min, cot_prc_max, cot_prc_med, cot_prc_mediana) VALUES (1691, 80, 21,  50.00,  35.00,  50.00,  45.00,  50.00);</v>
      </c>
      <c r="J1692" s="0" t="str">
        <f aca="false">"UPDATE COTACAO SET cot_id = "&amp;A1692&amp;", cot_blt_id = "&amp;B1692&amp;", cot_pap_id = "&amp;C1692&amp;", cot_prc_comum = "&amp;D1692&amp;", cot_prc_min = "&amp;E1692&amp;", cot_prc_max = "&amp;F1692&amp;", cot_prc_med = "&amp;G1692&amp;", cot_prc_mediana = "&amp;H1692&amp;" WHERE cot_id = "&amp;A1692&amp;";"</f>
        <v>UPDATE COTACAO SET cot_id = 1691, cot_blt_id = 80, cot_pap_id = 21, cot_prc_comum =  50.00, cot_prc_min =  35.00, cot_prc_max =  50.00, cot_prc_med =  45.00, cot_prc_mediana =  50.00 WHERE cot_id = 1691;</v>
      </c>
    </row>
    <row r="1693" customFormat="false" ht="14.25" hidden="false" customHeight="false" outlineLevel="0" collapsed="false">
      <c r="A1693" s="0" t="n">
        <v>1692</v>
      </c>
      <c r="B1693" s="0" t="n">
        <f aca="false">IF('Boletins Nuppa Site'!A1693&lt;&gt;0,'Boletins Nuppa Site'!A1693,"NULL")</f>
        <v>80</v>
      </c>
      <c r="C1693" s="0" t="n">
        <v>22</v>
      </c>
      <c r="D1693" s="0" t="str">
        <f aca="false">IF('Boletins Nuppa Site'!G1693&lt;&gt;0,'Boletins Nuppa Site'!G1693,"NULL")</f>
        <v> 45.00</v>
      </c>
      <c r="E1693" s="30" t="str">
        <f aca="false">IF('Boletins Nuppa Site'!H1693&lt;&gt;0,'Boletins Nuppa Site'!H1693,"NULL")</f>
        <v> 45.00</v>
      </c>
      <c r="F1693" s="30" t="str">
        <f aca="false">IF('Boletins Nuppa Site'!I1693&lt;&gt;0,'Boletins Nuppa Site'!I1693,"NULL")</f>
        <v> 70.00</v>
      </c>
      <c r="G1693" s="30" t="str">
        <f aca="false">IF('Boletins Nuppa Site'!J1693&lt;&gt;0,'Boletins Nuppa Site'!J1693,"NULL")</f>
        <v> 58.60</v>
      </c>
      <c r="H1693" s="30" t="str">
        <f aca="false">IF('Boletins Nuppa Site'!K1693&lt;&gt;0,'Boletins Nuppa Site'!K1693,"NULL")</f>
        <v> 65.00</v>
      </c>
      <c r="I1693" s="0" t="str">
        <f aca="false">"INSERT INTO COTACAO (cot_id, cot_blt_id, cot_pap_id, cot_prc_comum, cot_prc_min, cot_prc_max, cot_prc_med, cot_prc_mediana) VALUES ("&amp;A1693&amp;", "&amp;B1693&amp;", "&amp;C1693&amp;", "&amp;D1693&amp;", "&amp;E1693&amp;", "&amp;F1693&amp;", "&amp;G1693&amp;", "&amp;H1693&amp;");"</f>
        <v>INSERT INTO COTACAO (cot_id, cot_blt_id, cot_pap_id, cot_prc_comum, cot_prc_min, cot_prc_max, cot_prc_med, cot_prc_mediana) VALUES (1692, 80, 22,  45.00,  45.00,  70.00,  58.60,  65.00);</v>
      </c>
      <c r="J1693" s="0" t="str">
        <f aca="false">"UPDATE COTACAO SET cot_id = "&amp;A1693&amp;", cot_blt_id = "&amp;B1693&amp;", cot_pap_id = "&amp;C1693&amp;", cot_prc_comum = "&amp;D1693&amp;", cot_prc_min = "&amp;E1693&amp;", cot_prc_max = "&amp;F1693&amp;", cot_prc_med = "&amp;G1693&amp;", cot_prc_mediana = "&amp;H1693&amp;" WHERE cot_id = "&amp;A1693&amp;";"</f>
        <v>UPDATE COTACAO SET cot_id = 1692, cot_blt_id = 80, cot_pap_id = 22, cot_prc_comum =  45.00, cot_prc_min =  45.00, cot_prc_max =  70.00, cot_prc_med =  58.60, cot_prc_mediana =  65.00 WHERE cot_id = 1692;</v>
      </c>
    </row>
    <row r="1694" customFormat="false" ht="14.25" hidden="false" customHeight="false" outlineLevel="0" collapsed="false">
      <c r="A1694" s="0" t="n">
        <v>1693</v>
      </c>
      <c r="B1694" s="0" t="n">
        <f aca="false">IF('Boletins Nuppa Site'!A1694&lt;&gt;0,'Boletins Nuppa Site'!A1694,"NULL")</f>
        <v>80</v>
      </c>
      <c r="C1694" s="0" t="n">
        <v>23</v>
      </c>
      <c r="D1694" s="0" t="str">
        <f aca="false">IF('Boletins Nuppa Site'!G1694&lt;&gt;0,'Boletins Nuppa Site'!G1694,"NULL")</f>
        <v> 50.00</v>
      </c>
      <c r="E1694" s="30" t="str">
        <f aca="false">IF('Boletins Nuppa Site'!H1694&lt;&gt;0,'Boletins Nuppa Site'!H1694,"NULL")</f>
        <v> 50.00</v>
      </c>
      <c r="F1694" s="30" t="str">
        <f aca="false">IF('Boletins Nuppa Site'!I1694&lt;&gt;0,'Boletins Nuppa Site'!I1694,"NULL")</f>
        <v> 55.00</v>
      </c>
      <c r="G1694" s="30" t="str">
        <f aca="false">IF('Boletins Nuppa Site'!J1694&lt;&gt;0,'Boletins Nuppa Site'!J1694,"NULL")</f>
        <v> 52.00</v>
      </c>
      <c r="H1694" s="30" t="str">
        <f aca="false">IF('Boletins Nuppa Site'!K1694&lt;&gt;0,'Boletins Nuppa Site'!K1694,"NULL")</f>
        <v> 50.00</v>
      </c>
      <c r="I1694" s="0" t="str">
        <f aca="false">"INSERT INTO COTACAO (cot_id, cot_blt_id, cot_pap_id, cot_prc_comum, cot_prc_min, cot_prc_max, cot_prc_med, cot_prc_mediana) VALUES ("&amp;A1694&amp;", "&amp;B1694&amp;", "&amp;C1694&amp;", "&amp;D1694&amp;", "&amp;E1694&amp;", "&amp;F1694&amp;", "&amp;G1694&amp;", "&amp;H1694&amp;");"</f>
        <v>INSERT INTO COTACAO (cot_id, cot_blt_id, cot_pap_id, cot_prc_comum, cot_prc_min, cot_prc_max, cot_prc_med, cot_prc_mediana) VALUES (1693, 80, 23,  50.00,  50.00,  55.00,  52.00,  50.00);</v>
      </c>
      <c r="J1694" s="0" t="str">
        <f aca="false">"UPDATE COTACAO SET cot_id = "&amp;A1694&amp;", cot_blt_id = "&amp;B1694&amp;", cot_pap_id = "&amp;C1694&amp;", cot_prc_comum = "&amp;D1694&amp;", cot_prc_min = "&amp;E1694&amp;", cot_prc_max = "&amp;F1694&amp;", cot_prc_med = "&amp;G1694&amp;", cot_prc_mediana = "&amp;H1694&amp;" WHERE cot_id = "&amp;A1694&amp;";"</f>
        <v>UPDATE COTACAO SET cot_id = 1693, cot_blt_id = 80, cot_pap_id = 23, cot_prc_comum =  50.00, cot_prc_min =  50.00, cot_prc_max =  55.00, cot_prc_med =  52.00, cot_prc_mediana =  50.00 WHERE cot_id = 1693;</v>
      </c>
    </row>
    <row r="1695" customFormat="false" ht="14.25" hidden="false" customHeight="false" outlineLevel="0" collapsed="false">
      <c r="A1695" s="0" t="n">
        <v>1694</v>
      </c>
      <c r="B1695" s="0" t="n">
        <f aca="false">IF('Boletins Nuppa Site'!A1695&lt;&gt;0,'Boletins Nuppa Site'!A1695,"NULL")</f>
        <v>80</v>
      </c>
      <c r="C1695" s="0" t="n">
        <v>24</v>
      </c>
      <c r="D1695" s="0" t="str">
        <f aca="false">IF('Boletins Nuppa Site'!G1695&lt;&gt;0,'Boletins Nuppa Site'!G1695,"NULL")</f>
        <v>NULL</v>
      </c>
      <c r="E1695" s="30" t="str">
        <f aca="false">IF('Boletins Nuppa Site'!H1695&lt;&gt;0,'Boletins Nuppa Site'!H1695,"NULL")</f>
        <v> 90.00</v>
      </c>
      <c r="F1695" s="30" t="str">
        <f aca="false">IF('Boletins Nuppa Site'!I1695&lt;&gt;0,'Boletins Nuppa Site'!I1695,"NULL")</f>
        <v> 120.00</v>
      </c>
      <c r="G1695" s="30" t="str">
        <f aca="false">IF('Boletins Nuppa Site'!J1695&lt;&gt;0,'Boletins Nuppa Site'!J1695,"NULL")</f>
        <v> 105.00</v>
      </c>
      <c r="H1695" s="30" t="str">
        <f aca="false">IF('Boletins Nuppa Site'!K1695&lt;&gt;0,'Boletins Nuppa Site'!K1695,"NULL")</f>
        <v> 105.00</v>
      </c>
      <c r="I1695" s="0" t="str">
        <f aca="false">"INSERT INTO COTACAO (cot_id, cot_blt_id, cot_pap_id, cot_prc_comum, cot_prc_min, cot_prc_max, cot_prc_med, cot_prc_mediana) VALUES ("&amp;A1695&amp;", "&amp;B1695&amp;", "&amp;C1695&amp;", "&amp;D1695&amp;", "&amp;E1695&amp;", "&amp;F1695&amp;", "&amp;G1695&amp;", "&amp;H1695&amp;");"</f>
        <v>INSERT INTO COTACAO (cot_id, cot_blt_id, cot_pap_id, cot_prc_comum, cot_prc_min, cot_prc_max, cot_prc_med, cot_prc_mediana) VALUES (1694, 80, 24, NULL,  90.00,  120.00,  105.00,  105.00);</v>
      </c>
      <c r="J1695" s="0" t="str">
        <f aca="false">"UPDATE COTACAO SET cot_id = "&amp;A1695&amp;", cot_blt_id = "&amp;B1695&amp;", cot_pap_id = "&amp;C1695&amp;", cot_prc_comum = "&amp;D1695&amp;", cot_prc_min = "&amp;E1695&amp;", cot_prc_max = "&amp;F1695&amp;", cot_prc_med = "&amp;G1695&amp;", cot_prc_mediana = "&amp;H1695&amp;" WHERE cot_id = "&amp;A1695&amp;";"</f>
        <v>UPDATE COTACAO SET cot_id = 1694, cot_blt_id = 80, cot_pap_id = 24, cot_prc_comum = NULL, cot_prc_min =  90.00, cot_prc_max =  120.00, cot_prc_med =  105.00, cot_prc_mediana =  105.00 WHERE cot_id = 1694;</v>
      </c>
    </row>
    <row r="1696" customFormat="false" ht="14.25" hidden="false" customHeight="false" outlineLevel="0" collapsed="false">
      <c r="A1696" s="0" t="n">
        <v>1695</v>
      </c>
      <c r="B1696" s="0" t="n">
        <f aca="false">IF('Boletins Nuppa Site'!A1696&lt;&gt;0,'Boletins Nuppa Site'!A1696,"NULL")</f>
        <v>80</v>
      </c>
      <c r="C1696" s="0" t="n">
        <v>25</v>
      </c>
      <c r="D1696" s="0" t="str">
        <f aca="false">IF('Boletins Nuppa Site'!G1696&lt;&gt;0,'Boletins Nuppa Site'!G1696,"NULL")</f>
        <v> 60.00</v>
      </c>
      <c r="E1696" s="30" t="str">
        <f aca="false">IF('Boletins Nuppa Site'!H1696&lt;&gt;0,'Boletins Nuppa Site'!H1696,"NULL")</f>
        <v> 50.00</v>
      </c>
      <c r="F1696" s="30" t="str">
        <f aca="false">IF('Boletins Nuppa Site'!I1696&lt;&gt;0,'Boletins Nuppa Site'!I1696,"NULL")</f>
        <v> 70.00</v>
      </c>
      <c r="G1696" s="30" t="str">
        <f aca="false">IF('Boletins Nuppa Site'!J1696&lt;&gt;0,'Boletins Nuppa Site'!J1696,"NULL")</f>
        <v> 59.00</v>
      </c>
      <c r="H1696" s="30" t="str">
        <f aca="false">IF('Boletins Nuppa Site'!K1696&lt;&gt;0,'Boletins Nuppa Site'!K1696,"NULL")</f>
        <v> 60.00</v>
      </c>
      <c r="I1696" s="0" t="str">
        <f aca="false">"INSERT INTO COTACAO (cot_id, cot_blt_id, cot_pap_id, cot_prc_comum, cot_prc_min, cot_prc_max, cot_prc_med, cot_prc_mediana) VALUES ("&amp;A1696&amp;", "&amp;B1696&amp;", "&amp;C1696&amp;", "&amp;D1696&amp;", "&amp;E1696&amp;", "&amp;F1696&amp;", "&amp;G1696&amp;", "&amp;H1696&amp;");"</f>
        <v>INSERT INTO COTACAO (cot_id, cot_blt_id, cot_pap_id, cot_prc_comum, cot_prc_min, cot_prc_max, cot_prc_med, cot_prc_mediana) VALUES (1695, 80, 25,  60.00,  50.00,  70.00,  59.00,  60.00);</v>
      </c>
      <c r="J1696" s="0" t="str">
        <f aca="false">"UPDATE COTACAO SET cot_id = "&amp;A1696&amp;", cot_blt_id = "&amp;B1696&amp;", cot_pap_id = "&amp;C1696&amp;", cot_prc_comum = "&amp;D1696&amp;", cot_prc_min = "&amp;E1696&amp;", cot_prc_max = "&amp;F1696&amp;", cot_prc_med = "&amp;G1696&amp;", cot_prc_mediana = "&amp;H1696&amp;" WHERE cot_id = "&amp;A1696&amp;";"</f>
        <v>UPDATE COTACAO SET cot_id = 1695, cot_blt_id = 80, cot_pap_id = 25, cot_prc_comum =  60.00, cot_prc_min =  50.00, cot_prc_max =  70.00, cot_prc_med =  59.00, cot_prc_mediana =  60.00 WHERE cot_id = 1695;</v>
      </c>
    </row>
    <row r="1697" customFormat="false" ht="14.25" hidden="false" customHeight="false" outlineLevel="0" collapsed="false">
      <c r="A1697" s="0" t="n">
        <v>1696</v>
      </c>
      <c r="B1697" s="0" t="n">
        <f aca="false">IF('Boletins Nuppa Site'!A1697&lt;&gt;0,'Boletins Nuppa Site'!A1697,"NULL")</f>
        <v>80</v>
      </c>
      <c r="C1697" s="0" t="n">
        <v>26</v>
      </c>
      <c r="D1697" s="0" t="str">
        <f aca="false">IF('Boletins Nuppa Site'!G1697&lt;&gt;0,'Boletins Nuppa Site'!G1697,"NULL")</f>
        <v> 70.00</v>
      </c>
      <c r="E1697" s="30" t="str">
        <f aca="false">IF('Boletins Nuppa Site'!H1697&lt;&gt;0,'Boletins Nuppa Site'!H1697,"NULL")</f>
        <v> 50.00</v>
      </c>
      <c r="F1697" s="30" t="str">
        <f aca="false">IF('Boletins Nuppa Site'!I1697&lt;&gt;0,'Boletins Nuppa Site'!I1697,"NULL")</f>
        <v> 70.00</v>
      </c>
      <c r="G1697" s="30" t="str">
        <f aca="false">IF('Boletins Nuppa Site'!J1697&lt;&gt;0,'Boletins Nuppa Site'!J1697,"NULL")</f>
        <v> 61.00</v>
      </c>
      <c r="H1697" s="30" t="str">
        <f aca="false">IF('Boletins Nuppa Site'!K1697&lt;&gt;0,'Boletins Nuppa Site'!K1697,"NULL")</f>
        <v> 60.00</v>
      </c>
      <c r="I1697" s="0" t="str">
        <f aca="false">"INSERT INTO COTACAO (cot_id, cot_blt_id, cot_pap_id, cot_prc_comum, cot_prc_min, cot_prc_max, cot_prc_med, cot_prc_mediana) VALUES ("&amp;A1697&amp;", "&amp;B1697&amp;", "&amp;C1697&amp;", "&amp;D1697&amp;", "&amp;E1697&amp;", "&amp;F1697&amp;", "&amp;G1697&amp;", "&amp;H1697&amp;");"</f>
        <v>INSERT INTO COTACAO (cot_id, cot_blt_id, cot_pap_id, cot_prc_comum, cot_prc_min, cot_prc_max, cot_prc_med, cot_prc_mediana) VALUES (1696, 80, 26,  70.00,  50.00,  70.00,  61.00,  60.00);</v>
      </c>
      <c r="J1697" s="0" t="str">
        <f aca="false">"UPDATE COTACAO SET cot_id = "&amp;A1697&amp;", cot_blt_id = "&amp;B1697&amp;", cot_pap_id = "&amp;C1697&amp;", cot_prc_comum = "&amp;D1697&amp;", cot_prc_min = "&amp;E1697&amp;", cot_prc_max = "&amp;F1697&amp;", cot_prc_med = "&amp;G1697&amp;", cot_prc_mediana = "&amp;H1697&amp;" WHERE cot_id = "&amp;A1697&amp;";"</f>
        <v>UPDATE COTACAO SET cot_id = 1696, cot_blt_id = 80, cot_pap_id = 26, cot_prc_comum =  70.00, cot_prc_min =  50.00, cot_prc_max =  70.00, cot_prc_med =  61.00, cot_prc_mediana =  60.00 WHERE cot_id = 1696;</v>
      </c>
    </row>
    <row r="1698" customFormat="false" ht="14.25" hidden="false" customHeight="false" outlineLevel="0" collapsed="false">
      <c r="A1698" s="0" t="n">
        <v>1697</v>
      </c>
      <c r="B1698" s="0" t="n">
        <f aca="false">IF('Boletins Nuppa Site'!A1698&lt;&gt;0,'Boletins Nuppa Site'!A1698,"NULL")</f>
        <v>80</v>
      </c>
      <c r="C1698" s="0" t="n">
        <v>27</v>
      </c>
      <c r="D1698" s="0" t="str">
        <f aca="false">IF('Boletins Nuppa Site'!G1698&lt;&gt;0,'Boletins Nuppa Site'!G1698,"NULL")</f>
        <v> 50.00</v>
      </c>
      <c r="E1698" s="30" t="str">
        <f aca="false">IF('Boletins Nuppa Site'!H1698&lt;&gt;0,'Boletins Nuppa Site'!H1698,"NULL")</f>
        <v> 35.00</v>
      </c>
      <c r="F1698" s="30" t="str">
        <f aca="false">IF('Boletins Nuppa Site'!I1698&lt;&gt;0,'Boletins Nuppa Site'!I1698,"NULL")</f>
        <v> 50.00</v>
      </c>
      <c r="G1698" s="30" t="str">
        <f aca="false">IF('Boletins Nuppa Site'!J1698&lt;&gt;0,'Boletins Nuppa Site'!J1698,"NULL")</f>
        <v> 44.00</v>
      </c>
      <c r="H1698" s="30" t="str">
        <f aca="false">IF('Boletins Nuppa Site'!K1698&lt;&gt;0,'Boletins Nuppa Site'!K1698,"NULL")</f>
        <v> 45.00</v>
      </c>
      <c r="I1698" s="0" t="str">
        <f aca="false">"INSERT INTO COTACAO (cot_id, cot_blt_id, cot_pap_id, cot_prc_comum, cot_prc_min, cot_prc_max, cot_prc_med, cot_prc_mediana) VALUES ("&amp;A1698&amp;", "&amp;B1698&amp;", "&amp;C1698&amp;", "&amp;D1698&amp;", "&amp;E1698&amp;", "&amp;F1698&amp;", "&amp;G1698&amp;", "&amp;H1698&amp;");"</f>
        <v>INSERT INTO COTACAO (cot_id, cot_blt_id, cot_pap_id, cot_prc_comum, cot_prc_min, cot_prc_max, cot_prc_med, cot_prc_mediana) VALUES (1697, 80, 27,  50.00,  35.00,  50.00,  44.00,  45.00);</v>
      </c>
      <c r="J1698" s="0" t="str">
        <f aca="false">"UPDATE COTACAO SET cot_id = "&amp;A1698&amp;", cot_blt_id = "&amp;B1698&amp;", cot_pap_id = "&amp;C1698&amp;", cot_prc_comum = "&amp;D1698&amp;", cot_prc_min = "&amp;E1698&amp;", cot_prc_max = "&amp;F1698&amp;", cot_prc_med = "&amp;G1698&amp;", cot_prc_mediana = "&amp;H1698&amp;" WHERE cot_id = "&amp;A1698&amp;";"</f>
        <v>UPDATE COTACAO SET cot_id = 1697, cot_blt_id = 80, cot_pap_id = 27, cot_prc_comum =  50.00, cot_prc_min =  35.00, cot_prc_max =  50.00, cot_prc_med =  44.00, cot_prc_mediana =  45.00 WHERE cot_id = 1697;</v>
      </c>
    </row>
    <row r="1699" customFormat="false" ht="14.25" hidden="false" customHeight="false" outlineLevel="0" collapsed="false">
      <c r="A1699" s="0" t="n">
        <v>1698</v>
      </c>
      <c r="B1699" s="0" t="n">
        <f aca="false">IF('Boletins Nuppa Site'!A1699&lt;&gt;0,'Boletins Nuppa Site'!A1699,"NULL")</f>
        <v>80</v>
      </c>
      <c r="C1699" s="0" t="n">
        <v>28</v>
      </c>
      <c r="D1699" s="0" t="str">
        <f aca="false">IF('Boletins Nuppa Site'!G1699&lt;&gt;0,'Boletins Nuppa Site'!G1699,"NULL")</f>
        <v> 100.00</v>
      </c>
      <c r="E1699" s="30" t="str">
        <f aca="false">IF('Boletins Nuppa Site'!H1699&lt;&gt;0,'Boletins Nuppa Site'!H1699,"NULL")</f>
        <v> 80.00</v>
      </c>
      <c r="F1699" s="30" t="str">
        <f aca="false">IF('Boletins Nuppa Site'!I1699&lt;&gt;0,'Boletins Nuppa Site'!I1699,"NULL")</f>
        <v> 100.00</v>
      </c>
      <c r="G1699" s="30" t="str">
        <f aca="false">IF('Boletins Nuppa Site'!J1699&lt;&gt;0,'Boletins Nuppa Site'!J1699,"NULL")</f>
        <v> 94.00</v>
      </c>
      <c r="H1699" s="30" t="str">
        <f aca="false">IF('Boletins Nuppa Site'!K1699&lt;&gt;0,'Boletins Nuppa Site'!K1699,"NULL")</f>
        <v> 100.00</v>
      </c>
      <c r="I1699" s="0" t="str">
        <f aca="false">"INSERT INTO COTACAO (cot_id, cot_blt_id, cot_pap_id, cot_prc_comum, cot_prc_min, cot_prc_max, cot_prc_med, cot_prc_mediana) VALUES ("&amp;A1699&amp;", "&amp;B1699&amp;", "&amp;C1699&amp;", "&amp;D1699&amp;", "&amp;E1699&amp;", "&amp;F1699&amp;", "&amp;G1699&amp;", "&amp;H1699&amp;");"</f>
        <v>INSERT INTO COTACAO (cot_id, cot_blt_id, cot_pap_id, cot_prc_comum, cot_prc_min, cot_prc_max, cot_prc_med, cot_prc_mediana) VALUES (1698, 80, 28,  100.00,  80.00,  100.00,  94.00,  100.00);</v>
      </c>
      <c r="J1699" s="0" t="str">
        <f aca="false">"UPDATE COTACAO SET cot_id = "&amp;A1699&amp;", cot_blt_id = "&amp;B1699&amp;", cot_pap_id = "&amp;C1699&amp;", cot_prc_comum = "&amp;D1699&amp;", cot_prc_min = "&amp;E1699&amp;", cot_prc_max = "&amp;F1699&amp;", cot_prc_med = "&amp;G1699&amp;", cot_prc_mediana = "&amp;H1699&amp;" WHERE cot_id = "&amp;A1699&amp;";"</f>
        <v>UPDATE COTACAO SET cot_id = 1698, cot_blt_id = 80, cot_pap_id = 28, cot_prc_comum =  100.00, cot_prc_min =  80.00, cot_prc_max =  100.00, cot_prc_med =  94.00, cot_prc_mediana =  100.00 WHERE cot_id = 1698;</v>
      </c>
    </row>
    <row r="1700" customFormat="false" ht="14.25" hidden="false" customHeight="false" outlineLevel="0" collapsed="false">
      <c r="A1700" s="0" t="n">
        <v>1699</v>
      </c>
      <c r="B1700" s="0" t="n">
        <f aca="false">IF('Boletins Nuppa Site'!A1700&lt;&gt;0,'Boletins Nuppa Site'!A1700,"NULL")</f>
        <v>80</v>
      </c>
      <c r="C1700" s="0" t="n">
        <v>29</v>
      </c>
      <c r="D1700" s="0" t="str">
        <f aca="false">IF('Boletins Nuppa Site'!G1700&lt;&gt;0,'Boletins Nuppa Site'!G1700,"NULL")</f>
        <v>NULL</v>
      </c>
      <c r="E1700" s="30" t="str">
        <f aca="false">IF('Boletins Nuppa Site'!H1700&lt;&gt;0,'Boletins Nuppa Site'!H1700,"NULL")</f>
        <v> 50.00</v>
      </c>
      <c r="F1700" s="30" t="str">
        <f aca="false">IF('Boletins Nuppa Site'!I1700&lt;&gt;0,'Boletins Nuppa Site'!I1700,"NULL")</f>
        <v> 70.00</v>
      </c>
      <c r="G1700" s="30" t="str">
        <f aca="false">IF('Boletins Nuppa Site'!J1700&lt;&gt;0,'Boletins Nuppa Site'!J1700,"NULL")</f>
        <v> 60.00</v>
      </c>
      <c r="H1700" s="30" t="str">
        <f aca="false">IF('Boletins Nuppa Site'!K1700&lt;&gt;0,'Boletins Nuppa Site'!K1700,"NULL")</f>
        <v> 60.00</v>
      </c>
      <c r="I1700" s="0" t="str">
        <f aca="false">"INSERT INTO COTACAO (cot_id, cot_blt_id, cot_pap_id, cot_prc_comum, cot_prc_min, cot_prc_max, cot_prc_med, cot_prc_mediana) VALUES ("&amp;A1700&amp;", "&amp;B1700&amp;", "&amp;C1700&amp;", "&amp;D1700&amp;", "&amp;E1700&amp;", "&amp;F1700&amp;", "&amp;G1700&amp;", "&amp;H1700&amp;");"</f>
        <v>INSERT INTO COTACAO (cot_id, cot_blt_id, cot_pap_id, cot_prc_comum, cot_prc_min, cot_prc_max, cot_prc_med, cot_prc_mediana) VALUES (1699, 80, 29, NULL,  50.00,  70.00,  60.00,  60.00);</v>
      </c>
      <c r="J1700" s="0" t="str">
        <f aca="false">"UPDATE COTACAO SET cot_id = "&amp;A1700&amp;", cot_blt_id = "&amp;B1700&amp;", cot_pap_id = "&amp;C1700&amp;", cot_prc_comum = "&amp;D1700&amp;", cot_prc_min = "&amp;E1700&amp;", cot_prc_max = "&amp;F1700&amp;", cot_prc_med = "&amp;G1700&amp;", cot_prc_mediana = "&amp;H1700&amp;" WHERE cot_id = "&amp;A1700&amp;";"</f>
        <v>UPDATE COTACAO SET cot_id = 1699, cot_blt_id = 80, cot_pap_id = 29, cot_prc_comum = NULL, cot_prc_min =  50.00, cot_prc_max =  70.00, cot_prc_med =  60.00, cot_prc_mediana =  60.00 WHERE cot_id = 1699;</v>
      </c>
    </row>
    <row r="1701" customFormat="false" ht="14.25" hidden="false" customHeight="false" outlineLevel="0" collapsed="false">
      <c r="A1701" s="0" t="n">
        <v>1700</v>
      </c>
      <c r="B1701" s="0" t="n">
        <f aca="false">IF('Boletins Nuppa Site'!A1701&lt;&gt;0,'Boletins Nuppa Site'!A1701,"NULL")</f>
        <v>80</v>
      </c>
      <c r="C1701" s="0" t="n">
        <v>30</v>
      </c>
      <c r="D1701" s="0" t="str">
        <f aca="false">IF('Boletins Nuppa Site'!G1701&lt;&gt;0,'Boletins Nuppa Site'!G1701,"NULL")</f>
        <v> 50.00</v>
      </c>
      <c r="E1701" s="30" t="str">
        <f aca="false">IF('Boletins Nuppa Site'!H1701&lt;&gt;0,'Boletins Nuppa Site'!H1701,"NULL")</f>
        <v> 35.00</v>
      </c>
      <c r="F1701" s="30" t="str">
        <f aca="false">IF('Boletins Nuppa Site'!I1701&lt;&gt;0,'Boletins Nuppa Site'!I1701,"NULL")</f>
        <v> 50.00</v>
      </c>
      <c r="G1701" s="30" t="str">
        <f aca="false">IF('Boletins Nuppa Site'!J1701&lt;&gt;0,'Boletins Nuppa Site'!J1701,"NULL")</f>
        <v> 43.75</v>
      </c>
      <c r="H1701" s="30" t="str">
        <f aca="false">IF('Boletins Nuppa Site'!K1701&lt;&gt;0,'Boletins Nuppa Site'!K1701,"NULL")</f>
        <v> 45.00</v>
      </c>
      <c r="I1701" s="0" t="str">
        <f aca="false">"INSERT INTO COTACAO (cot_id, cot_blt_id, cot_pap_id, cot_prc_comum, cot_prc_min, cot_prc_max, cot_prc_med, cot_prc_mediana) VALUES ("&amp;A1701&amp;", "&amp;B1701&amp;", "&amp;C1701&amp;", "&amp;D1701&amp;", "&amp;E1701&amp;", "&amp;F1701&amp;", "&amp;G1701&amp;", "&amp;H1701&amp;");"</f>
        <v>INSERT INTO COTACAO (cot_id, cot_blt_id, cot_pap_id, cot_prc_comum, cot_prc_min, cot_prc_max, cot_prc_med, cot_prc_mediana) VALUES (1700, 80, 30,  50.00,  35.00,  50.00,  43.75,  45.00);</v>
      </c>
      <c r="J1701" s="0" t="str">
        <f aca="false">"UPDATE COTACAO SET cot_id = "&amp;A1701&amp;", cot_blt_id = "&amp;B1701&amp;", cot_pap_id = "&amp;C1701&amp;", cot_prc_comum = "&amp;D1701&amp;", cot_prc_min = "&amp;E1701&amp;", cot_prc_max = "&amp;F1701&amp;", cot_prc_med = "&amp;G1701&amp;", cot_prc_mediana = "&amp;H1701&amp;" WHERE cot_id = "&amp;A1701&amp;";"</f>
        <v>UPDATE COTACAO SET cot_id = 1700, cot_blt_id = 80, cot_pap_id = 30, cot_prc_comum =  50.00, cot_prc_min =  35.00, cot_prc_max =  50.00, cot_prc_med =  43.75, cot_prc_mediana =  45.00 WHERE cot_id = 1700;</v>
      </c>
    </row>
    <row r="1702" customFormat="false" ht="14.25" hidden="false" customHeight="false" outlineLevel="0" collapsed="false">
      <c r="A1702" s="0" t="n">
        <v>1701</v>
      </c>
      <c r="B1702" s="0" t="n">
        <f aca="false">IF('Boletins Nuppa Site'!A1702&lt;&gt;0,'Boletins Nuppa Site'!A1702,"NULL")</f>
        <v>80</v>
      </c>
      <c r="C1702" s="0" t="n">
        <v>31</v>
      </c>
      <c r="D1702" s="0" t="str">
        <f aca="false">IF('Boletins Nuppa Site'!G1702&lt;&gt;0,'Boletins Nuppa Site'!G1702,"NULL")</f>
        <v> 50.00</v>
      </c>
      <c r="E1702" s="30" t="str">
        <f aca="false">IF('Boletins Nuppa Site'!H1702&lt;&gt;0,'Boletins Nuppa Site'!H1702,"NULL")</f>
        <v> 40.00</v>
      </c>
      <c r="F1702" s="30" t="str">
        <f aca="false">IF('Boletins Nuppa Site'!I1702&lt;&gt;0,'Boletins Nuppa Site'!I1702,"NULL")</f>
        <v> 70.00</v>
      </c>
      <c r="G1702" s="30" t="str">
        <f aca="false">IF('Boletins Nuppa Site'!J1702&lt;&gt;0,'Boletins Nuppa Site'!J1702,"NULL")</f>
        <v> 54.00</v>
      </c>
      <c r="H1702" s="30" t="str">
        <f aca="false">IF('Boletins Nuppa Site'!K1702&lt;&gt;0,'Boletins Nuppa Site'!K1702,"NULL")</f>
        <v> 50.00</v>
      </c>
      <c r="I1702" s="0" t="str">
        <f aca="false">"INSERT INTO COTACAO (cot_id, cot_blt_id, cot_pap_id, cot_prc_comum, cot_prc_min, cot_prc_max, cot_prc_med, cot_prc_mediana) VALUES ("&amp;A1702&amp;", "&amp;B1702&amp;", "&amp;C1702&amp;", "&amp;D1702&amp;", "&amp;E1702&amp;", "&amp;F1702&amp;", "&amp;G1702&amp;", "&amp;H1702&amp;");"</f>
        <v>INSERT INTO COTACAO (cot_id, cot_blt_id, cot_pap_id, cot_prc_comum, cot_prc_min, cot_prc_max, cot_prc_med, cot_prc_mediana) VALUES (1701, 80, 31,  50.00,  40.00,  70.00,  54.00,  50.00);</v>
      </c>
      <c r="J1702" s="0" t="str">
        <f aca="false">"UPDATE COTACAO SET cot_id = "&amp;A1702&amp;", cot_blt_id = "&amp;B1702&amp;", cot_pap_id = "&amp;C1702&amp;", cot_prc_comum = "&amp;D1702&amp;", cot_prc_min = "&amp;E1702&amp;", cot_prc_max = "&amp;F1702&amp;", cot_prc_med = "&amp;G1702&amp;", cot_prc_mediana = "&amp;H1702&amp;" WHERE cot_id = "&amp;A1702&amp;";"</f>
        <v>UPDATE COTACAO SET cot_id = 1701, cot_blt_id = 80, cot_pap_id = 31, cot_prc_comum =  50.00, cot_prc_min =  40.00, cot_prc_max =  70.00, cot_prc_med =  54.00, cot_prc_mediana =  50.00 WHERE cot_id = 1701;</v>
      </c>
    </row>
    <row r="1703" customFormat="false" ht="14.25" hidden="false" customHeight="false" outlineLevel="0" collapsed="false">
      <c r="A1703" s="0" t="n">
        <v>1702</v>
      </c>
      <c r="B1703" s="0" t="n">
        <f aca="false">IF('Boletins Nuppa Site'!A1703&lt;&gt;0,'Boletins Nuppa Site'!A1703,"NULL")</f>
        <v>80</v>
      </c>
      <c r="C1703" s="0" t="n">
        <v>32</v>
      </c>
      <c r="D1703" s="0" t="str">
        <f aca="false">IF('Boletins Nuppa Site'!G1703&lt;&gt;0,'Boletins Nuppa Site'!G1703,"NULL")</f>
        <v> 50.00</v>
      </c>
      <c r="E1703" s="30" t="str">
        <f aca="false">IF('Boletins Nuppa Site'!H1703&lt;&gt;0,'Boletins Nuppa Site'!H1703,"NULL")</f>
        <v> 40.00</v>
      </c>
      <c r="F1703" s="30" t="str">
        <f aca="false">IF('Boletins Nuppa Site'!I1703&lt;&gt;0,'Boletins Nuppa Site'!I1703,"NULL")</f>
        <v> 55.00</v>
      </c>
      <c r="G1703" s="30" t="str">
        <f aca="false">IF('Boletins Nuppa Site'!J1703&lt;&gt;0,'Boletins Nuppa Site'!J1703,"NULL")</f>
        <v> 49.00</v>
      </c>
      <c r="H1703" s="30" t="str">
        <f aca="false">IF('Boletins Nuppa Site'!K1703&lt;&gt;0,'Boletins Nuppa Site'!K1703,"NULL")</f>
        <v> 50.00</v>
      </c>
      <c r="I1703" s="0" t="str">
        <f aca="false">"INSERT INTO COTACAO (cot_id, cot_blt_id, cot_pap_id, cot_prc_comum, cot_prc_min, cot_prc_max, cot_prc_med, cot_prc_mediana) VALUES ("&amp;A1703&amp;", "&amp;B1703&amp;", "&amp;C1703&amp;", "&amp;D1703&amp;", "&amp;E1703&amp;", "&amp;F1703&amp;", "&amp;G1703&amp;", "&amp;H1703&amp;");"</f>
        <v>INSERT INTO COTACAO (cot_id, cot_blt_id, cot_pap_id, cot_prc_comum, cot_prc_min, cot_prc_max, cot_prc_med, cot_prc_mediana) VALUES (1702, 80, 32,  50.00,  40.00,  55.00,  49.00,  50.00);</v>
      </c>
      <c r="J1703" s="0" t="str">
        <f aca="false">"UPDATE COTACAO SET cot_id = "&amp;A1703&amp;", cot_blt_id = "&amp;B1703&amp;", cot_pap_id = "&amp;C1703&amp;", cot_prc_comum = "&amp;D1703&amp;", cot_prc_min = "&amp;E1703&amp;", cot_prc_max = "&amp;F1703&amp;", cot_prc_med = "&amp;G1703&amp;", cot_prc_mediana = "&amp;H1703&amp;" WHERE cot_id = "&amp;A1703&amp;";"</f>
        <v>UPDATE COTACAO SET cot_id = 1702, cot_blt_id = 80, cot_pap_id = 32, cot_prc_comum =  50.00, cot_prc_min =  40.00, cot_prc_max =  55.00, cot_prc_med =  49.00, cot_prc_mediana =  50.00 WHERE cot_id = 1702;</v>
      </c>
    </row>
    <row r="1704" customFormat="false" ht="14.25" hidden="false" customHeight="false" outlineLevel="0" collapsed="false">
      <c r="A1704" s="0" t="n">
        <v>1703</v>
      </c>
      <c r="B1704" s="0" t="n">
        <f aca="false">IF('Boletins Nuppa Site'!A1704&lt;&gt;0,'Boletins Nuppa Site'!A1704,"NULL")</f>
        <v>80</v>
      </c>
      <c r="C1704" s="0" t="n">
        <v>33</v>
      </c>
      <c r="D1704" s="0" t="str">
        <f aca="false">IF('Boletins Nuppa Site'!G1704&lt;&gt;0,'Boletins Nuppa Site'!G1704,"NULL")</f>
        <v> 130.00</v>
      </c>
      <c r="E1704" s="30" t="str">
        <f aca="false">IF('Boletins Nuppa Site'!H1704&lt;&gt;0,'Boletins Nuppa Site'!H1704,"NULL")</f>
        <v> 120.00</v>
      </c>
      <c r="F1704" s="30" t="str">
        <f aca="false">IF('Boletins Nuppa Site'!I1704&lt;&gt;0,'Boletins Nuppa Site'!I1704,"NULL")</f>
        <v> 180.00</v>
      </c>
      <c r="G1704" s="30" t="str">
        <f aca="false">IF('Boletins Nuppa Site'!J1704&lt;&gt;0,'Boletins Nuppa Site'!J1704,"NULL")</f>
        <v> 142.00</v>
      </c>
      <c r="H1704" s="30" t="str">
        <f aca="false">IF('Boletins Nuppa Site'!K1704&lt;&gt;0,'Boletins Nuppa Site'!K1704,"NULL")</f>
        <v> 130.00</v>
      </c>
      <c r="I1704" s="0" t="str">
        <f aca="false">"INSERT INTO COTACAO (cot_id, cot_blt_id, cot_pap_id, cot_prc_comum, cot_prc_min, cot_prc_max, cot_prc_med, cot_prc_mediana) VALUES ("&amp;A1704&amp;", "&amp;B1704&amp;", "&amp;C1704&amp;", "&amp;D1704&amp;", "&amp;E1704&amp;", "&amp;F1704&amp;", "&amp;G1704&amp;", "&amp;H1704&amp;");"</f>
        <v>INSERT INTO COTACAO (cot_id, cot_blt_id, cot_pap_id, cot_prc_comum, cot_prc_min, cot_prc_max, cot_prc_med, cot_prc_mediana) VALUES (1703, 80, 33,  130.00,  120.00,  180.00,  142.00,  130.00);</v>
      </c>
      <c r="J1704" s="0" t="str">
        <f aca="false">"UPDATE COTACAO SET cot_id = "&amp;A1704&amp;", cot_blt_id = "&amp;B1704&amp;", cot_pap_id = "&amp;C1704&amp;", cot_prc_comum = "&amp;D1704&amp;", cot_prc_min = "&amp;E1704&amp;", cot_prc_max = "&amp;F1704&amp;", cot_prc_med = "&amp;G1704&amp;", cot_prc_mediana = "&amp;H1704&amp;" WHERE cot_id = "&amp;A1704&amp;";"</f>
        <v>UPDATE COTACAO SET cot_id = 1703, cot_blt_id = 80, cot_pap_id = 33, cot_prc_comum =  130.00, cot_prc_min =  120.00, cot_prc_max =  180.00, cot_prc_med =  142.00, cot_prc_mediana =  130.00 WHERE cot_id = 1703;</v>
      </c>
    </row>
    <row r="1705" customFormat="false" ht="14.25" hidden="false" customHeight="false" outlineLevel="0" collapsed="false">
      <c r="A1705" s="0" t="n">
        <v>1704</v>
      </c>
      <c r="B1705" s="0" t="n">
        <f aca="false">IF('Boletins Nuppa Site'!A1705&lt;&gt;0,'Boletins Nuppa Site'!A1705,"NULL")</f>
        <v>80</v>
      </c>
      <c r="C1705" s="0" t="n">
        <v>34</v>
      </c>
      <c r="D1705" s="0" t="str">
        <f aca="false">IF('Boletins Nuppa Site'!G1705&lt;&gt;0,'Boletins Nuppa Site'!G1705,"NULL")</f>
        <v> 80.00</v>
      </c>
      <c r="E1705" s="30" t="str">
        <f aca="false">IF('Boletins Nuppa Site'!H1705&lt;&gt;0,'Boletins Nuppa Site'!H1705,"NULL")</f>
        <v> 65.00</v>
      </c>
      <c r="F1705" s="30" t="str">
        <f aca="false">IF('Boletins Nuppa Site'!I1705&lt;&gt;0,'Boletins Nuppa Site'!I1705,"NULL")</f>
        <v> 100.00</v>
      </c>
      <c r="G1705" s="30" t="str">
        <f aca="false">IF('Boletins Nuppa Site'!J1705&lt;&gt;0,'Boletins Nuppa Site'!J1705,"NULL")</f>
        <v> 79.00</v>
      </c>
      <c r="H1705" s="30" t="str">
        <f aca="false">IF('Boletins Nuppa Site'!K1705&lt;&gt;0,'Boletins Nuppa Site'!K1705,"NULL")</f>
        <v> 80.00</v>
      </c>
      <c r="I1705" s="0" t="str">
        <f aca="false">"INSERT INTO COTACAO (cot_id, cot_blt_id, cot_pap_id, cot_prc_comum, cot_prc_min, cot_prc_max, cot_prc_med, cot_prc_mediana) VALUES ("&amp;A1705&amp;", "&amp;B1705&amp;", "&amp;C1705&amp;", "&amp;D1705&amp;", "&amp;E1705&amp;", "&amp;F1705&amp;", "&amp;G1705&amp;", "&amp;H1705&amp;");"</f>
        <v>INSERT INTO COTACAO (cot_id, cot_blt_id, cot_pap_id, cot_prc_comum, cot_prc_min, cot_prc_max, cot_prc_med, cot_prc_mediana) VALUES (1704, 80, 34,  80.00,  65.00,  100.00,  79.00,  80.00);</v>
      </c>
      <c r="J1705" s="0" t="str">
        <f aca="false">"UPDATE COTACAO SET cot_id = "&amp;A1705&amp;", cot_blt_id = "&amp;B1705&amp;", cot_pap_id = "&amp;C1705&amp;", cot_prc_comum = "&amp;D1705&amp;", cot_prc_min = "&amp;E1705&amp;", cot_prc_max = "&amp;F1705&amp;", cot_prc_med = "&amp;G1705&amp;", cot_prc_mediana = "&amp;H1705&amp;" WHERE cot_id = "&amp;A1705&amp;";"</f>
        <v>UPDATE COTACAO SET cot_id = 1704, cot_blt_id = 80, cot_pap_id = 34, cot_prc_comum =  80.00, cot_prc_min =  65.00, cot_prc_max =  100.00, cot_prc_med =  79.00, cot_prc_mediana =  80.00 WHERE cot_id = 1704;</v>
      </c>
    </row>
    <row r="1706" customFormat="false" ht="14.25" hidden="false" customHeight="false" outlineLevel="0" collapsed="false">
      <c r="A1706" s="0" t="n">
        <v>1705</v>
      </c>
      <c r="B1706" s="0" t="n">
        <f aca="false">IF('Boletins Nuppa Site'!A1706&lt;&gt;0,'Boletins Nuppa Site'!A1706,"NULL")</f>
        <v>80</v>
      </c>
      <c r="C1706" s="0" t="n">
        <v>35</v>
      </c>
      <c r="D1706" s="0" t="str">
        <f aca="false">IF('Boletins Nuppa Site'!G1706&lt;&gt;0,'Boletins Nuppa Site'!G1706,"NULL")</f>
        <v> 50.00</v>
      </c>
      <c r="E1706" s="30" t="str">
        <f aca="false">IF('Boletins Nuppa Site'!H1706&lt;&gt;0,'Boletins Nuppa Site'!H1706,"NULL")</f>
        <v> 50.00</v>
      </c>
      <c r="F1706" s="30" t="str">
        <f aca="false">IF('Boletins Nuppa Site'!I1706&lt;&gt;0,'Boletins Nuppa Site'!I1706,"NULL")</f>
        <v> 70.00</v>
      </c>
      <c r="G1706" s="30" t="str">
        <f aca="false">IF('Boletins Nuppa Site'!J1706&lt;&gt;0,'Boletins Nuppa Site'!J1706,"NULL")</f>
        <v> 57.50</v>
      </c>
      <c r="H1706" s="30" t="str">
        <f aca="false">IF('Boletins Nuppa Site'!K1706&lt;&gt;0,'Boletins Nuppa Site'!K1706,"NULL")</f>
        <v> 55.00</v>
      </c>
      <c r="I1706" s="0" t="str">
        <f aca="false">"INSERT INTO COTACAO (cot_id, cot_blt_id, cot_pap_id, cot_prc_comum, cot_prc_min, cot_prc_max, cot_prc_med, cot_prc_mediana) VALUES ("&amp;A1706&amp;", "&amp;B1706&amp;", "&amp;C1706&amp;", "&amp;D1706&amp;", "&amp;E1706&amp;", "&amp;F1706&amp;", "&amp;G1706&amp;", "&amp;H1706&amp;");"</f>
        <v>INSERT INTO COTACAO (cot_id, cot_blt_id, cot_pap_id, cot_prc_comum, cot_prc_min, cot_prc_max, cot_prc_med, cot_prc_mediana) VALUES (1705, 80, 35,  50.00,  50.00,  70.00,  57.50,  55.00);</v>
      </c>
      <c r="J1706" s="0" t="str">
        <f aca="false">"UPDATE COTACAO SET cot_id = "&amp;A1706&amp;", cot_blt_id = "&amp;B1706&amp;", cot_pap_id = "&amp;C1706&amp;", cot_prc_comum = "&amp;D1706&amp;", cot_prc_min = "&amp;E1706&amp;", cot_prc_max = "&amp;F1706&amp;", cot_prc_med = "&amp;G1706&amp;", cot_prc_mediana = "&amp;H1706&amp;" WHERE cot_id = "&amp;A1706&amp;";"</f>
        <v>UPDATE COTACAO SET cot_id = 1705, cot_blt_id = 80, cot_pap_id = 35, cot_prc_comum =  50.00, cot_prc_min =  50.00, cot_prc_max =  70.00, cot_prc_med =  57.50, cot_prc_mediana =  55.00 WHERE cot_id = 1705;</v>
      </c>
    </row>
    <row r="1707" customFormat="false" ht="14.25" hidden="false" customHeight="false" outlineLevel="0" collapsed="false">
      <c r="A1707" s="0" t="n">
        <v>1706</v>
      </c>
      <c r="B1707" s="0" t="n">
        <f aca="false">IF('Boletins Nuppa Site'!A1707&lt;&gt;0,'Boletins Nuppa Site'!A1707,"NULL")</f>
        <v>80</v>
      </c>
      <c r="C1707" s="0" t="n">
        <v>36</v>
      </c>
      <c r="D1707" s="0" t="str">
        <f aca="false">IF('Boletins Nuppa Site'!G1707&lt;&gt;0,'Boletins Nuppa Site'!G1707,"NULL")</f>
        <v>NULL</v>
      </c>
      <c r="E1707" s="30" t="str">
        <f aca="false">IF('Boletins Nuppa Site'!H1707&lt;&gt;0,'Boletins Nuppa Site'!H1707,"NULL")</f>
        <v>NULL</v>
      </c>
      <c r="F1707" s="30" t="str">
        <f aca="false">IF('Boletins Nuppa Site'!I1707&lt;&gt;0,'Boletins Nuppa Site'!I1707,"NULL")</f>
        <v>NULL</v>
      </c>
      <c r="G1707" s="30" t="str">
        <f aca="false">IF('Boletins Nuppa Site'!J1707&lt;&gt;0,'Boletins Nuppa Site'!J1707,"NULL")</f>
        <v>NULL</v>
      </c>
      <c r="H1707" s="30" t="str">
        <f aca="false">IF('Boletins Nuppa Site'!K1707&lt;&gt;0,'Boletins Nuppa Site'!K1707,"NULL")</f>
        <v>NULL</v>
      </c>
      <c r="I1707" s="0" t="str">
        <f aca="false">"INSERT INTO COTACAO (cot_id, cot_blt_id, cot_pap_id, cot_prc_comum, cot_prc_min, cot_prc_max, cot_prc_med, cot_prc_mediana) VALUES ("&amp;A1707&amp;", "&amp;B1707&amp;", "&amp;C1707&amp;", "&amp;D1707&amp;", "&amp;E1707&amp;", "&amp;F1707&amp;", "&amp;G1707&amp;", "&amp;H1707&amp;");"</f>
        <v>INSERT INTO COTACAO (cot_id, cot_blt_id, cot_pap_id, cot_prc_comum, cot_prc_min, cot_prc_max, cot_prc_med, cot_prc_mediana) VALUES (1706, 80, 36, NULL, NULL, NULL, NULL, NULL);</v>
      </c>
      <c r="J1707" s="0" t="str">
        <f aca="false">"UPDATE COTACAO SET cot_id = "&amp;A1707&amp;", cot_blt_id = "&amp;B1707&amp;", cot_pap_id = "&amp;C1707&amp;", cot_prc_comum = "&amp;D1707&amp;", cot_prc_min = "&amp;E1707&amp;", cot_prc_max = "&amp;F1707&amp;", cot_prc_med = "&amp;G1707&amp;", cot_prc_mediana = "&amp;H1707&amp;" WHERE cot_id = "&amp;A1707&amp;";"</f>
        <v>UPDATE COTACAO SET cot_id = 1706, cot_blt_id = 80, cot_pap_id = 36, cot_prc_comum = NULL, cot_prc_min = NULL, cot_prc_max = NULL, cot_prc_med = NULL, cot_prc_mediana = NULL WHERE cot_id = 1706;</v>
      </c>
    </row>
    <row r="1708" customFormat="false" ht="14.25" hidden="false" customHeight="false" outlineLevel="0" collapsed="false">
      <c r="A1708" s="0" t="n">
        <v>1707</v>
      </c>
      <c r="B1708" s="0" t="n">
        <f aca="false">IF('Boletins Nuppa Site'!A1708&lt;&gt;0,'Boletins Nuppa Site'!A1708,"NULL")</f>
        <v>80</v>
      </c>
      <c r="C1708" s="0" t="n">
        <v>37</v>
      </c>
      <c r="D1708" s="0" t="str">
        <f aca="false">IF('Boletins Nuppa Site'!G1708&lt;&gt;0,'Boletins Nuppa Site'!G1708,"NULL")</f>
        <v>NULL</v>
      </c>
      <c r="E1708" s="30" t="str">
        <f aca="false">IF('Boletins Nuppa Site'!H1708&lt;&gt;0,'Boletins Nuppa Site'!H1708,"NULL")</f>
        <v>NULL</v>
      </c>
      <c r="F1708" s="30" t="str">
        <f aca="false">IF('Boletins Nuppa Site'!I1708&lt;&gt;0,'Boletins Nuppa Site'!I1708,"NULL")</f>
        <v>NULL</v>
      </c>
      <c r="G1708" s="30" t="str">
        <f aca="false">IF('Boletins Nuppa Site'!J1708&lt;&gt;0,'Boletins Nuppa Site'!J1708,"NULL")</f>
        <v>NULL</v>
      </c>
      <c r="H1708" s="30" t="str">
        <f aca="false">IF('Boletins Nuppa Site'!K1708&lt;&gt;0,'Boletins Nuppa Site'!K1708,"NULL")</f>
        <v>NULL</v>
      </c>
      <c r="I1708" s="0" t="str">
        <f aca="false">"INSERT INTO COTACAO (cot_id, cot_blt_id, cot_pap_id, cot_prc_comum, cot_prc_min, cot_prc_max, cot_prc_med, cot_prc_mediana) VALUES ("&amp;A1708&amp;", "&amp;B1708&amp;", "&amp;C1708&amp;", "&amp;D1708&amp;", "&amp;E1708&amp;", "&amp;F1708&amp;", "&amp;G1708&amp;", "&amp;H1708&amp;");"</f>
        <v>INSERT INTO COTACAO (cot_id, cot_blt_id, cot_pap_id, cot_prc_comum, cot_prc_min, cot_prc_max, cot_prc_med, cot_prc_mediana) VALUES (1707, 80, 37, NULL, NULL, NULL, NULL, NULL);</v>
      </c>
      <c r="J1708" s="0" t="str">
        <f aca="false">"UPDATE COTACAO SET cot_id = "&amp;A1708&amp;", cot_blt_id = "&amp;B1708&amp;", cot_pap_id = "&amp;C1708&amp;", cot_prc_comum = "&amp;D1708&amp;", cot_prc_min = "&amp;E1708&amp;", cot_prc_max = "&amp;F1708&amp;", cot_prc_med = "&amp;G1708&amp;", cot_prc_mediana = "&amp;H1708&amp;" WHERE cot_id = "&amp;A1708&amp;";"</f>
        <v>UPDATE COTACAO SET cot_id = 1707, cot_blt_id = 80, cot_pap_id = 37, cot_prc_comum = NULL, cot_prc_min = NULL, cot_prc_max = NULL, cot_prc_med = NULL, cot_prc_mediana = NULL WHERE cot_id = 1707;</v>
      </c>
    </row>
    <row r="1709" customFormat="false" ht="14.25" hidden="false" customHeight="false" outlineLevel="0" collapsed="false">
      <c r="A1709" s="0" t="n">
        <v>1708</v>
      </c>
      <c r="B1709" s="0" t="n">
        <f aca="false">IF('Boletins Nuppa Site'!A1709&lt;&gt;0,'Boletins Nuppa Site'!A1709,"NULL")</f>
        <v>80</v>
      </c>
      <c r="C1709" s="0" t="n">
        <v>38</v>
      </c>
      <c r="D1709" s="0" t="str">
        <f aca="false">IF('Boletins Nuppa Site'!G1709&lt;&gt;0,'Boletins Nuppa Site'!G1709,"NULL")</f>
        <v>NULL</v>
      </c>
      <c r="E1709" s="30" t="str">
        <f aca="false">IF('Boletins Nuppa Site'!H1709&lt;&gt;0,'Boletins Nuppa Site'!H1709,"NULL")</f>
        <v>NULL</v>
      </c>
      <c r="F1709" s="30" t="str">
        <f aca="false">IF('Boletins Nuppa Site'!I1709&lt;&gt;0,'Boletins Nuppa Site'!I1709,"NULL")</f>
        <v>NULL</v>
      </c>
      <c r="G1709" s="30" t="str">
        <f aca="false">IF('Boletins Nuppa Site'!J1709&lt;&gt;0,'Boletins Nuppa Site'!J1709,"NULL")</f>
        <v>NULL</v>
      </c>
      <c r="H1709" s="30" t="str">
        <f aca="false">IF('Boletins Nuppa Site'!K1709&lt;&gt;0,'Boletins Nuppa Site'!K1709,"NULL")</f>
        <v>NULL</v>
      </c>
      <c r="I1709" s="0" t="str">
        <f aca="false">"INSERT INTO COTACAO (cot_id, cot_blt_id, cot_pap_id, cot_prc_comum, cot_prc_min, cot_prc_max, cot_prc_med, cot_prc_mediana) VALUES ("&amp;A1709&amp;", "&amp;B1709&amp;", "&amp;C1709&amp;", "&amp;D1709&amp;", "&amp;E1709&amp;", "&amp;F1709&amp;", "&amp;G1709&amp;", "&amp;H1709&amp;");"</f>
        <v>INSERT INTO COTACAO (cot_id, cot_blt_id, cot_pap_id, cot_prc_comum, cot_prc_min, cot_prc_max, cot_prc_med, cot_prc_mediana) VALUES (1708, 80, 38, NULL, NULL, NULL, NULL, NULL);</v>
      </c>
      <c r="J1709" s="0" t="str">
        <f aca="false">"UPDATE COTACAO SET cot_id = "&amp;A1709&amp;", cot_blt_id = "&amp;B1709&amp;", cot_pap_id = "&amp;C1709&amp;", cot_prc_comum = "&amp;D1709&amp;", cot_prc_min = "&amp;E1709&amp;", cot_prc_max = "&amp;F1709&amp;", cot_prc_med = "&amp;G1709&amp;", cot_prc_mediana = "&amp;H1709&amp;" WHERE cot_id = "&amp;A1709&amp;";"</f>
        <v>UPDATE COTACAO SET cot_id = 1708, cot_blt_id = 80, cot_pap_id = 38, cot_prc_comum = NULL, cot_prc_min = NULL, cot_prc_max = NULL, cot_prc_med = NULL, cot_prc_mediana = NULL WHERE cot_id = 1708;</v>
      </c>
    </row>
    <row r="1710" customFormat="false" ht="14.25" hidden="false" customHeight="false" outlineLevel="0" collapsed="false">
      <c r="A1710" s="0" t="n">
        <v>1709</v>
      </c>
      <c r="B1710" s="0" t="n">
        <f aca="false">IF('Boletins Nuppa Site'!A1710&lt;&gt;0,'Boletins Nuppa Site'!A1710,"NULL")</f>
        <v>80</v>
      </c>
      <c r="C1710" s="0" t="n">
        <v>39</v>
      </c>
      <c r="D1710" s="0" t="str">
        <f aca="false">IF('Boletins Nuppa Site'!G1710&lt;&gt;0,'Boletins Nuppa Site'!G1710,"NULL")</f>
        <v>NULL</v>
      </c>
      <c r="E1710" s="30" t="str">
        <f aca="false">IF('Boletins Nuppa Site'!H1710&lt;&gt;0,'Boletins Nuppa Site'!H1710,"NULL")</f>
        <v> 50.00</v>
      </c>
      <c r="F1710" s="30" t="str">
        <f aca="false">IF('Boletins Nuppa Site'!I1710&lt;&gt;0,'Boletins Nuppa Site'!I1710,"NULL")</f>
        <v> 50.00</v>
      </c>
      <c r="G1710" s="30" t="str">
        <f aca="false">IF('Boletins Nuppa Site'!J1710&lt;&gt;0,'Boletins Nuppa Site'!J1710,"NULL")</f>
        <v> 50.00</v>
      </c>
      <c r="H1710" s="30" t="str">
        <f aca="false">IF('Boletins Nuppa Site'!K1710&lt;&gt;0,'Boletins Nuppa Site'!K1710,"NULL")</f>
        <v> 50.00</v>
      </c>
      <c r="I1710" s="0" t="str">
        <f aca="false">"INSERT INTO COTACAO (cot_id, cot_blt_id, cot_pap_id, cot_prc_comum, cot_prc_min, cot_prc_max, cot_prc_med, cot_prc_mediana) VALUES ("&amp;A1710&amp;", "&amp;B1710&amp;", "&amp;C1710&amp;", "&amp;D1710&amp;", "&amp;E1710&amp;", "&amp;F1710&amp;", "&amp;G1710&amp;", "&amp;H1710&amp;");"</f>
        <v>INSERT INTO COTACAO (cot_id, cot_blt_id, cot_pap_id, cot_prc_comum, cot_prc_min, cot_prc_max, cot_prc_med, cot_prc_mediana) VALUES (1709, 80, 39, NULL,  50.00,  50.00,  50.00,  50.00);</v>
      </c>
      <c r="J1710" s="0" t="str">
        <f aca="false">"UPDATE COTACAO SET cot_id = "&amp;A1710&amp;", cot_blt_id = "&amp;B1710&amp;", cot_pap_id = "&amp;C1710&amp;", cot_prc_comum = "&amp;D1710&amp;", cot_prc_min = "&amp;E1710&amp;", cot_prc_max = "&amp;F1710&amp;", cot_prc_med = "&amp;G1710&amp;", cot_prc_mediana = "&amp;H1710&amp;" WHERE cot_id = "&amp;A1710&amp;";"</f>
        <v>UPDATE COTACAO SET cot_id = 1709, cot_blt_id = 80, cot_pap_id = 39, cot_prc_comum = NULL, cot_prc_min =  50.00, cot_prc_max =  50.00, cot_prc_med =  50.00, cot_prc_mediana =  50.00 WHERE cot_id = 1709;</v>
      </c>
    </row>
    <row r="1711" customFormat="false" ht="14.25" hidden="false" customHeight="false" outlineLevel="0" collapsed="false">
      <c r="A1711" s="0" t="n">
        <v>1710</v>
      </c>
      <c r="B1711" s="0" t="n">
        <f aca="false">IF('Boletins Nuppa Site'!A1711&lt;&gt;0,'Boletins Nuppa Site'!A1711,"NULL")</f>
        <v>80</v>
      </c>
      <c r="C1711" s="0" t="n">
        <v>40</v>
      </c>
      <c r="D1711" s="0" t="str">
        <f aca="false">IF('Boletins Nuppa Site'!G1711&lt;&gt;0,'Boletins Nuppa Site'!G1711,"NULL")</f>
        <v>NULL</v>
      </c>
      <c r="E1711" s="30" t="str">
        <f aca="false">IF('Boletins Nuppa Site'!H1711&lt;&gt;0,'Boletins Nuppa Site'!H1711,"NULL")</f>
        <v>NULL</v>
      </c>
      <c r="F1711" s="30" t="str">
        <f aca="false">IF('Boletins Nuppa Site'!I1711&lt;&gt;0,'Boletins Nuppa Site'!I1711,"NULL")</f>
        <v>NULL</v>
      </c>
      <c r="G1711" s="30" t="str">
        <f aca="false">IF('Boletins Nuppa Site'!J1711&lt;&gt;0,'Boletins Nuppa Site'!J1711,"NULL")</f>
        <v>NULL</v>
      </c>
      <c r="H1711" s="30" t="str">
        <f aca="false">IF('Boletins Nuppa Site'!K1711&lt;&gt;0,'Boletins Nuppa Site'!K1711,"NULL")</f>
        <v>NULL</v>
      </c>
      <c r="I1711" s="0" t="str">
        <f aca="false">"INSERT INTO COTACAO (cot_id, cot_blt_id, cot_pap_id, cot_prc_comum, cot_prc_min, cot_prc_max, cot_prc_med, cot_prc_mediana) VALUES ("&amp;A1711&amp;", "&amp;B1711&amp;", "&amp;C1711&amp;", "&amp;D1711&amp;", "&amp;E1711&amp;", "&amp;F1711&amp;", "&amp;G1711&amp;", "&amp;H1711&amp;");"</f>
        <v>INSERT INTO COTACAO (cot_id, cot_blt_id, cot_pap_id, cot_prc_comum, cot_prc_min, cot_prc_max, cot_prc_med, cot_prc_mediana) VALUES (1710, 80, 40, NULL, NULL, NULL, NULL, NULL);</v>
      </c>
      <c r="J1711" s="0" t="str">
        <f aca="false">"UPDATE COTACAO SET cot_id = "&amp;A1711&amp;", cot_blt_id = "&amp;B1711&amp;", cot_pap_id = "&amp;C1711&amp;", cot_prc_comum = "&amp;D1711&amp;", cot_prc_min = "&amp;E1711&amp;", cot_prc_max = "&amp;F1711&amp;", cot_prc_med = "&amp;G1711&amp;", cot_prc_mediana = "&amp;H1711&amp;" WHERE cot_id = "&amp;A1711&amp;";"</f>
        <v>UPDATE COTACAO SET cot_id = 1710, cot_blt_id = 80, cot_pap_id = 40, cot_prc_comum = NULL, cot_prc_min = NULL, cot_prc_max = NULL, cot_prc_med = NULL, cot_prc_mediana = NULL WHERE cot_id = 1710;</v>
      </c>
    </row>
    <row r="1712" customFormat="false" ht="14.25" hidden="false" customHeight="false" outlineLevel="0" collapsed="false">
      <c r="A1712" s="0" t="n">
        <v>1711</v>
      </c>
      <c r="B1712" s="0" t="n">
        <f aca="false">IF('Boletins Nuppa Site'!A1712&lt;&gt;0,'Boletins Nuppa Site'!A1712,"NULL")</f>
        <v>81</v>
      </c>
      <c r="C1712" s="0" t="n">
        <v>1</v>
      </c>
      <c r="D1712" s="0" t="str">
        <f aca="false">IF('Boletins Nuppa Site'!G1712&lt;&gt;0,'Boletins Nuppa Site'!G1712,"NULL")</f>
        <v> 36.00</v>
      </c>
      <c r="E1712" s="30" t="str">
        <f aca="false">IF('Boletins Nuppa Site'!H1712&lt;&gt;0,'Boletins Nuppa Site'!H1712,"NULL")</f>
        <v> 36.00</v>
      </c>
      <c r="F1712" s="30" t="str">
        <f aca="false">IF('Boletins Nuppa Site'!I1712&lt;&gt;0,'Boletins Nuppa Site'!I1712,"NULL")</f>
        <v> 48.00</v>
      </c>
      <c r="G1712" s="30" t="str">
        <f aca="false">IF('Boletins Nuppa Site'!J1712&lt;&gt;0,'Boletins Nuppa Site'!J1712,"NULL")</f>
        <v> 39.00</v>
      </c>
      <c r="H1712" s="30" t="str">
        <f aca="false">IF('Boletins Nuppa Site'!K1712&lt;&gt;0,'Boletins Nuppa Site'!K1712,"NULL")</f>
        <v> 36.00</v>
      </c>
      <c r="I1712" s="0" t="str">
        <f aca="false">"INSERT INTO COTACAO (cot_id, cot_blt_id, cot_pap_id, cot_prc_comum, cot_prc_min, cot_prc_max, cot_prc_med, cot_prc_mediana) VALUES ("&amp;A1712&amp;", "&amp;B1712&amp;", "&amp;C1712&amp;", "&amp;D1712&amp;", "&amp;E1712&amp;", "&amp;F1712&amp;", "&amp;G1712&amp;", "&amp;H1712&amp;");"</f>
        <v>INSERT INTO COTACAO (cot_id, cot_blt_id, cot_pap_id, cot_prc_comum, cot_prc_min, cot_prc_max, cot_prc_med, cot_prc_mediana) VALUES (1711, 81, 1,  36.00,  36.00,  48.00,  39.00,  36.00);</v>
      </c>
      <c r="J1712" s="0" t="str">
        <f aca="false">"UPDATE COTACAO SET cot_id = "&amp;A1712&amp;", cot_blt_id = "&amp;B1712&amp;", cot_pap_id = "&amp;C1712&amp;", cot_prc_comum = "&amp;D1712&amp;", cot_prc_min = "&amp;E1712&amp;", cot_prc_max = "&amp;F1712&amp;", cot_prc_med = "&amp;G1712&amp;", cot_prc_mediana = "&amp;H1712&amp;" WHERE cot_id = "&amp;A1712&amp;";"</f>
        <v>UPDATE COTACAO SET cot_id = 1711, cot_blt_id = 81, cot_pap_id = 1, cot_prc_comum =  36.00, cot_prc_min =  36.00, cot_prc_max =  48.00, cot_prc_med =  39.00, cot_prc_mediana =  36.00 WHERE cot_id = 1711;</v>
      </c>
    </row>
    <row r="1713" customFormat="false" ht="14.25" hidden="false" customHeight="false" outlineLevel="0" collapsed="false">
      <c r="A1713" s="0" t="n">
        <v>1712</v>
      </c>
      <c r="B1713" s="0" t="n">
        <f aca="false">IF('Boletins Nuppa Site'!A1713&lt;&gt;0,'Boletins Nuppa Site'!A1713,"NULL")</f>
        <v>81</v>
      </c>
      <c r="C1713" s="0" t="n">
        <v>2</v>
      </c>
      <c r="D1713" s="0" t="str">
        <f aca="false">IF('Boletins Nuppa Site'!G1713&lt;&gt;0,'Boletins Nuppa Site'!G1713,"NULL")</f>
        <v> 84.00</v>
      </c>
      <c r="E1713" s="30" t="str">
        <f aca="false">IF('Boletins Nuppa Site'!H1713&lt;&gt;0,'Boletins Nuppa Site'!H1713,"NULL")</f>
        <v> 60.00</v>
      </c>
      <c r="F1713" s="30" t="str">
        <f aca="false">IF('Boletins Nuppa Site'!I1713&lt;&gt;0,'Boletins Nuppa Site'!I1713,"NULL")</f>
        <v> 84.00</v>
      </c>
      <c r="G1713" s="30" t="str">
        <f aca="false">IF('Boletins Nuppa Site'!J1713&lt;&gt;0,'Boletins Nuppa Site'!J1713,"NULL")</f>
        <v> 75.00</v>
      </c>
      <c r="H1713" s="30" t="str">
        <f aca="false">IF('Boletins Nuppa Site'!K1713&lt;&gt;0,'Boletins Nuppa Site'!K1713,"NULL")</f>
        <v> 78.00</v>
      </c>
      <c r="I1713" s="0" t="str">
        <f aca="false">"INSERT INTO COTACAO (cot_id, cot_blt_id, cot_pap_id, cot_prc_comum, cot_prc_min, cot_prc_max, cot_prc_med, cot_prc_mediana) VALUES ("&amp;A1713&amp;", "&amp;B1713&amp;", "&amp;C1713&amp;", "&amp;D1713&amp;", "&amp;E1713&amp;", "&amp;F1713&amp;", "&amp;G1713&amp;", "&amp;H1713&amp;");"</f>
        <v>INSERT INTO COTACAO (cot_id, cot_blt_id, cot_pap_id, cot_prc_comum, cot_prc_min, cot_prc_max, cot_prc_med, cot_prc_mediana) VALUES (1712, 81, 2,  84.00,  60.00,  84.00,  75.00,  78.00);</v>
      </c>
      <c r="J1713" s="0" t="str">
        <f aca="false">"UPDATE COTACAO SET cot_id = "&amp;A1713&amp;", cot_blt_id = "&amp;B1713&amp;", cot_pap_id = "&amp;C1713&amp;", cot_prc_comum = "&amp;D1713&amp;", cot_prc_min = "&amp;E1713&amp;", cot_prc_max = "&amp;F1713&amp;", cot_prc_med = "&amp;G1713&amp;", cot_prc_mediana = "&amp;H1713&amp;" WHERE cot_id = "&amp;A1713&amp;";"</f>
        <v>UPDATE COTACAO SET cot_id = 1712, cot_blt_id = 81, cot_pap_id = 2, cot_prc_comum =  84.00, cot_prc_min =  60.00, cot_prc_max =  84.00, cot_prc_med =  75.00, cot_prc_mediana =  78.00 WHERE cot_id = 1712;</v>
      </c>
    </row>
    <row r="1714" customFormat="false" ht="14.25" hidden="false" customHeight="false" outlineLevel="0" collapsed="false">
      <c r="A1714" s="0" t="n">
        <v>1713</v>
      </c>
      <c r="B1714" s="0" t="n">
        <f aca="false">IF('Boletins Nuppa Site'!A1714&lt;&gt;0,'Boletins Nuppa Site'!A1714,"NULL")</f>
        <v>81</v>
      </c>
      <c r="C1714" s="0" t="n">
        <v>3</v>
      </c>
      <c r="D1714" s="0" t="str">
        <f aca="false">IF('Boletins Nuppa Site'!G1714&lt;&gt;0,'Boletins Nuppa Site'!G1714,"NULL")</f>
        <v>NULL</v>
      </c>
      <c r="E1714" s="30" t="str">
        <f aca="false">IF('Boletins Nuppa Site'!H1714&lt;&gt;0,'Boletins Nuppa Site'!H1714,"NULL")</f>
        <v> 30.00</v>
      </c>
      <c r="F1714" s="30" t="str">
        <f aca="false">IF('Boletins Nuppa Site'!I1714&lt;&gt;0,'Boletins Nuppa Site'!I1714,"NULL")</f>
        <v> 60.00</v>
      </c>
      <c r="G1714" s="30" t="str">
        <f aca="false">IF('Boletins Nuppa Site'!J1714&lt;&gt;0,'Boletins Nuppa Site'!J1714,"NULL")</f>
        <v> 45.00</v>
      </c>
      <c r="H1714" s="30" t="str">
        <f aca="false">IF('Boletins Nuppa Site'!K1714&lt;&gt;0,'Boletins Nuppa Site'!K1714,"NULL")</f>
        <v> 45.00</v>
      </c>
      <c r="I1714" s="0" t="str">
        <f aca="false">"INSERT INTO COTACAO (cot_id, cot_blt_id, cot_pap_id, cot_prc_comum, cot_prc_min, cot_prc_max, cot_prc_med, cot_prc_mediana) VALUES ("&amp;A1714&amp;", "&amp;B1714&amp;", "&amp;C1714&amp;", "&amp;D1714&amp;", "&amp;E1714&amp;", "&amp;F1714&amp;", "&amp;G1714&amp;", "&amp;H1714&amp;");"</f>
        <v>INSERT INTO COTACAO (cot_id, cot_blt_id, cot_pap_id, cot_prc_comum, cot_prc_min, cot_prc_max, cot_prc_med, cot_prc_mediana) VALUES (1713, 81, 3, NULL,  30.00,  60.00,  45.00,  45.00);</v>
      </c>
      <c r="J1714" s="0" t="str">
        <f aca="false">"UPDATE COTACAO SET cot_id = "&amp;A1714&amp;", cot_blt_id = "&amp;B1714&amp;", cot_pap_id = "&amp;C1714&amp;", cot_prc_comum = "&amp;D1714&amp;", cot_prc_min = "&amp;E1714&amp;", cot_prc_max = "&amp;F1714&amp;", cot_prc_med = "&amp;G1714&amp;", cot_prc_mediana = "&amp;H1714&amp;" WHERE cot_id = "&amp;A1714&amp;";"</f>
        <v>UPDATE COTACAO SET cot_id = 1713, cot_blt_id = 81, cot_pap_id = 3, cot_prc_comum = NULL, cot_prc_min =  30.00, cot_prc_max =  60.00, cot_prc_med =  45.00, cot_prc_mediana =  45.00 WHERE cot_id = 1713;</v>
      </c>
    </row>
    <row r="1715" customFormat="false" ht="14.25" hidden="false" customHeight="false" outlineLevel="0" collapsed="false">
      <c r="A1715" s="0" t="n">
        <v>1714</v>
      </c>
      <c r="B1715" s="0" t="n">
        <f aca="false">IF('Boletins Nuppa Site'!A1715&lt;&gt;0,'Boletins Nuppa Site'!A1715,"NULL")</f>
        <v>81</v>
      </c>
      <c r="C1715" s="0" t="n">
        <v>4</v>
      </c>
      <c r="D1715" s="0" t="str">
        <f aca="false">IF('Boletins Nuppa Site'!G1715&lt;&gt;0,'Boletins Nuppa Site'!G1715,"NULL")</f>
        <v> 30.00</v>
      </c>
      <c r="E1715" s="30" t="str">
        <f aca="false">IF('Boletins Nuppa Site'!H1715&lt;&gt;0,'Boletins Nuppa Site'!H1715,"NULL")</f>
        <v> 30.00</v>
      </c>
      <c r="F1715" s="30" t="str">
        <f aca="false">IF('Boletins Nuppa Site'!I1715&lt;&gt;0,'Boletins Nuppa Site'!I1715,"NULL")</f>
        <v> 36.00</v>
      </c>
      <c r="G1715" s="30" t="str">
        <f aca="false">IF('Boletins Nuppa Site'!J1715&lt;&gt;0,'Boletins Nuppa Site'!J1715,"NULL")</f>
        <v> 31.50</v>
      </c>
      <c r="H1715" s="30" t="str">
        <f aca="false">IF('Boletins Nuppa Site'!K1715&lt;&gt;0,'Boletins Nuppa Site'!K1715,"NULL")</f>
        <v> 30.00</v>
      </c>
      <c r="I1715" s="0" t="str">
        <f aca="false">"INSERT INTO COTACAO (cot_id, cot_blt_id, cot_pap_id, cot_prc_comum, cot_prc_min, cot_prc_max, cot_prc_med, cot_prc_mediana) VALUES ("&amp;A1715&amp;", "&amp;B1715&amp;", "&amp;C1715&amp;", "&amp;D1715&amp;", "&amp;E1715&amp;", "&amp;F1715&amp;", "&amp;G1715&amp;", "&amp;H1715&amp;");"</f>
        <v>INSERT INTO COTACAO (cot_id, cot_blt_id, cot_pap_id, cot_prc_comum, cot_prc_min, cot_prc_max, cot_prc_med, cot_prc_mediana) VALUES (1714, 81, 4,  30.00,  30.00,  36.00,  31.50,  30.00);</v>
      </c>
      <c r="J1715" s="0" t="str">
        <f aca="false">"UPDATE COTACAO SET cot_id = "&amp;A1715&amp;", cot_blt_id = "&amp;B1715&amp;", cot_pap_id = "&amp;C1715&amp;", cot_prc_comum = "&amp;D1715&amp;", cot_prc_min = "&amp;E1715&amp;", cot_prc_max = "&amp;F1715&amp;", cot_prc_med = "&amp;G1715&amp;", cot_prc_mediana = "&amp;H1715&amp;" WHERE cot_id = "&amp;A1715&amp;";"</f>
        <v>UPDATE COTACAO SET cot_id = 1714, cot_blt_id = 81, cot_pap_id = 4, cot_prc_comum =  30.00, cot_prc_min =  30.00, cot_prc_max =  36.00, cot_prc_med =  31.50, cot_prc_mediana =  30.00 WHERE cot_id = 1714;</v>
      </c>
    </row>
    <row r="1716" customFormat="false" ht="14.25" hidden="false" customHeight="false" outlineLevel="0" collapsed="false">
      <c r="A1716" s="0" t="n">
        <v>1715</v>
      </c>
      <c r="B1716" s="0" t="n">
        <f aca="false">IF('Boletins Nuppa Site'!A1716&lt;&gt;0,'Boletins Nuppa Site'!A1716,"NULL")</f>
        <v>81</v>
      </c>
      <c r="C1716" s="0" t="n">
        <v>5</v>
      </c>
      <c r="D1716" s="0" t="str">
        <f aca="false">IF('Boletins Nuppa Site'!G1716&lt;&gt;0,'Boletins Nuppa Site'!G1716,"NULL")</f>
        <v> 30.00</v>
      </c>
      <c r="E1716" s="30" t="str">
        <f aca="false">IF('Boletins Nuppa Site'!H1716&lt;&gt;0,'Boletins Nuppa Site'!H1716,"NULL")</f>
        <v> 30.00</v>
      </c>
      <c r="F1716" s="30" t="str">
        <f aca="false">IF('Boletins Nuppa Site'!I1716&lt;&gt;0,'Boletins Nuppa Site'!I1716,"NULL")</f>
        <v> 36.00</v>
      </c>
      <c r="G1716" s="30" t="str">
        <f aca="false">IF('Boletins Nuppa Site'!J1716&lt;&gt;0,'Boletins Nuppa Site'!J1716,"NULL")</f>
        <v> 31.50</v>
      </c>
      <c r="H1716" s="30" t="str">
        <f aca="false">IF('Boletins Nuppa Site'!K1716&lt;&gt;0,'Boletins Nuppa Site'!K1716,"NULL")</f>
        <v> 30.00</v>
      </c>
      <c r="I1716" s="0" t="str">
        <f aca="false">"INSERT INTO COTACAO (cot_id, cot_blt_id, cot_pap_id, cot_prc_comum, cot_prc_min, cot_prc_max, cot_prc_med, cot_prc_mediana) VALUES ("&amp;A1716&amp;", "&amp;B1716&amp;", "&amp;C1716&amp;", "&amp;D1716&amp;", "&amp;E1716&amp;", "&amp;F1716&amp;", "&amp;G1716&amp;", "&amp;H1716&amp;");"</f>
        <v>INSERT INTO COTACAO (cot_id, cot_blt_id, cot_pap_id, cot_prc_comum, cot_prc_min, cot_prc_max, cot_prc_med, cot_prc_mediana) VALUES (1715, 81, 5,  30.00,  30.00,  36.00,  31.50,  30.00);</v>
      </c>
      <c r="J1716" s="0" t="str">
        <f aca="false">"UPDATE COTACAO SET cot_id = "&amp;A1716&amp;", cot_blt_id = "&amp;B1716&amp;", cot_pap_id = "&amp;C1716&amp;", cot_prc_comum = "&amp;D1716&amp;", cot_prc_min = "&amp;E1716&amp;", cot_prc_max = "&amp;F1716&amp;", cot_prc_med = "&amp;G1716&amp;", cot_prc_mediana = "&amp;H1716&amp;" WHERE cot_id = "&amp;A1716&amp;";"</f>
        <v>UPDATE COTACAO SET cot_id = 1715, cot_blt_id = 81, cot_pap_id = 5, cot_prc_comum =  30.00, cot_prc_min =  30.00, cot_prc_max =  36.00, cot_prc_med =  31.50, cot_prc_mediana =  30.00 WHERE cot_id = 1715;</v>
      </c>
    </row>
    <row r="1717" customFormat="false" ht="14.25" hidden="false" customHeight="false" outlineLevel="0" collapsed="false">
      <c r="A1717" s="0" t="n">
        <v>1716</v>
      </c>
      <c r="B1717" s="0" t="n">
        <f aca="false">IF('Boletins Nuppa Site'!A1717&lt;&gt;0,'Boletins Nuppa Site'!A1717,"NULL")</f>
        <v>81</v>
      </c>
      <c r="C1717" s="0" t="n">
        <v>6</v>
      </c>
      <c r="D1717" s="0" t="str">
        <f aca="false">IF('Boletins Nuppa Site'!G1717&lt;&gt;0,'Boletins Nuppa Site'!G1717,"NULL")</f>
        <v> 60.00</v>
      </c>
      <c r="E1717" s="30" t="str">
        <f aca="false">IF('Boletins Nuppa Site'!H1717&lt;&gt;0,'Boletins Nuppa Site'!H1717,"NULL")</f>
        <v> 60.00</v>
      </c>
      <c r="F1717" s="30" t="str">
        <f aca="false">IF('Boletins Nuppa Site'!I1717&lt;&gt;0,'Boletins Nuppa Site'!I1717,"NULL")</f>
        <v> 66.00</v>
      </c>
      <c r="G1717" s="30" t="str">
        <f aca="false">IF('Boletins Nuppa Site'!J1717&lt;&gt;0,'Boletins Nuppa Site'!J1717,"NULL")</f>
        <v> 61.50</v>
      </c>
      <c r="H1717" s="30" t="str">
        <f aca="false">IF('Boletins Nuppa Site'!K1717&lt;&gt;0,'Boletins Nuppa Site'!K1717,"NULL")</f>
        <v> 60.00</v>
      </c>
      <c r="I1717" s="0" t="str">
        <f aca="false">"INSERT INTO COTACAO (cot_id, cot_blt_id, cot_pap_id, cot_prc_comum, cot_prc_min, cot_prc_max, cot_prc_med, cot_prc_mediana) VALUES ("&amp;A1717&amp;", "&amp;B1717&amp;", "&amp;C1717&amp;", "&amp;D1717&amp;", "&amp;E1717&amp;", "&amp;F1717&amp;", "&amp;G1717&amp;", "&amp;H1717&amp;");"</f>
        <v>INSERT INTO COTACAO (cot_id, cot_blt_id, cot_pap_id, cot_prc_comum, cot_prc_min, cot_prc_max, cot_prc_med, cot_prc_mediana) VALUES (1716, 81, 6,  60.00,  60.00,  66.00,  61.50,  60.00);</v>
      </c>
      <c r="J1717" s="0" t="str">
        <f aca="false">"UPDATE COTACAO SET cot_id = "&amp;A1717&amp;", cot_blt_id = "&amp;B1717&amp;", cot_pap_id = "&amp;C1717&amp;", cot_prc_comum = "&amp;D1717&amp;", cot_prc_min = "&amp;E1717&amp;", cot_prc_max = "&amp;F1717&amp;", cot_prc_med = "&amp;G1717&amp;", cot_prc_mediana = "&amp;H1717&amp;" WHERE cot_id = "&amp;A1717&amp;";"</f>
        <v>UPDATE COTACAO SET cot_id = 1716, cot_blt_id = 81, cot_pap_id = 6, cot_prc_comum =  60.00, cot_prc_min =  60.00, cot_prc_max =  66.00, cot_prc_med =  61.50, cot_prc_mediana =  60.00 WHERE cot_id = 1716;</v>
      </c>
    </row>
    <row r="1718" customFormat="false" ht="14.25" hidden="false" customHeight="false" outlineLevel="0" collapsed="false">
      <c r="A1718" s="0" t="n">
        <v>1717</v>
      </c>
      <c r="B1718" s="0" t="n">
        <f aca="false">IF('Boletins Nuppa Site'!A1718&lt;&gt;0,'Boletins Nuppa Site'!A1718,"NULL")</f>
        <v>81</v>
      </c>
      <c r="C1718" s="0" t="n">
        <v>7</v>
      </c>
      <c r="D1718" s="0" t="str">
        <f aca="false">IF('Boletins Nuppa Site'!G1718&lt;&gt;0,'Boletins Nuppa Site'!G1718,"NULL")</f>
        <v> 84.00</v>
      </c>
      <c r="E1718" s="30" t="str">
        <f aca="false">IF('Boletins Nuppa Site'!H1718&lt;&gt;0,'Boletins Nuppa Site'!H1718,"NULL")</f>
        <v> 48.00</v>
      </c>
      <c r="F1718" s="30" t="str">
        <f aca="false">IF('Boletins Nuppa Site'!I1718&lt;&gt;0,'Boletins Nuppa Site'!I1718,"NULL")</f>
        <v> 72.00</v>
      </c>
      <c r="G1718" s="30" t="str">
        <f aca="false">IF('Boletins Nuppa Site'!J1718&lt;&gt;0,'Boletins Nuppa Site'!J1718,"NULL")</f>
        <v> 58.50</v>
      </c>
      <c r="H1718" s="30" t="str">
        <f aca="false">IF('Boletins Nuppa Site'!K1718&lt;&gt;0,'Boletins Nuppa Site'!K1718,"NULL")</f>
        <v> 57.00</v>
      </c>
      <c r="I1718" s="0" t="str">
        <f aca="false">"INSERT INTO COTACAO (cot_id, cot_blt_id, cot_pap_id, cot_prc_comum, cot_prc_min, cot_prc_max, cot_prc_med, cot_prc_mediana) VALUES ("&amp;A1718&amp;", "&amp;B1718&amp;", "&amp;C1718&amp;", "&amp;D1718&amp;", "&amp;E1718&amp;", "&amp;F1718&amp;", "&amp;G1718&amp;", "&amp;H1718&amp;");"</f>
        <v>INSERT INTO COTACAO (cot_id, cot_blt_id, cot_pap_id, cot_prc_comum, cot_prc_min, cot_prc_max, cot_prc_med, cot_prc_mediana) VALUES (1717, 81, 7,  84.00,  48.00,  72.00,  58.50,  57.00);</v>
      </c>
      <c r="J1718" s="0" t="str">
        <f aca="false">"UPDATE COTACAO SET cot_id = "&amp;A1718&amp;", cot_blt_id = "&amp;B1718&amp;", cot_pap_id = "&amp;C1718&amp;", cot_prc_comum = "&amp;D1718&amp;", cot_prc_min = "&amp;E1718&amp;", cot_prc_max = "&amp;F1718&amp;", cot_prc_med = "&amp;G1718&amp;", cot_prc_mediana = "&amp;H1718&amp;" WHERE cot_id = "&amp;A1718&amp;";"</f>
        <v>UPDATE COTACAO SET cot_id = 1717, cot_blt_id = 81, cot_pap_id = 7, cot_prc_comum =  84.00, cot_prc_min =  48.00, cot_prc_max =  72.00, cot_prc_med =  58.50, cot_prc_mediana =  57.00 WHERE cot_id = 1717;</v>
      </c>
    </row>
    <row r="1719" customFormat="false" ht="14.25" hidden="false" customHeight="false" outlineLevel="0" collapsed="false">
      <c r="A1719" s="0" t="n">
        <v>1718</v>
      </c>
      <c r="B1719" s="0" t="n">
        <f aca="false">IF('Boletins Nuppa Site'!A1719&lt;&gt;0,'Boletins Nuppa Site'!A1719,"NULL")</f>
        <v>81</v>
      </c>
      <c r="C1719" s="0" t="n">
        <v>8</v>
      </c>
      <c r="D1719" s="0" t="str">
        <f aca="false">IF('Boletins Nuppa Site'!G1719&lt;&gt;0,'Boletins Nuppa Site'!G1719,"NULL")</f>
        <v>NULL</v>
      </c>
      <c r="E1719" s="30" t="str">
        <f aca="false">IF('Boletins Nuppa Site'!H1719&lt;&gt;0,'Boletins Nuppa Site'!H1719,"NULL")</f>
        <v> 72.00</v>
      </c>
      <c r="F1719" s="30" t="str">
        <f aca="false">IF('Boletins Nuppa Site'!I1719&lt;&gt;0,'Boletins Nuppa Site'!I1719,"NULL")</f>
        <v> 84.00</v>
      </c>
      <c r="G1719" s="30" t="str">
        <f aca="false">IF('Boletins Nuppa Site'!J1719&lt;&gt;0,'Boletins Nuppa Site'!J1719,"NULL")</f>
        <v> 78.00</v>
      </c>
      <c r="H1719" s="30" t="str">
        <f aca="false">IF('Boletins Nuppa Site'!K1719&lt;&gt;0,'Boletins Nuppa Site'!K1719,"NULL")</f>
        <v> 78.00</v>
      </c>
      <c r="I1719" s="0" t="str">
        <f aca="false">"INSERT INTO COTACAO (cot_id, cot_blt_id, cot_pap_id, cot_prc_comum, cot_prc_min, cot_prc_max, cot_prc_med, cot_prc_mediana) VALUES ("&amp;A1719&amp;", "&amp;B1719&amp;", "&amp;C1719&amp;", "&amp;D1719&amp;", "&amp;E1719&amp;", "&amp;F1719&amp;", "&amp;G1719&amp;", "&amp;H1719&amp;");"</f>
        <v>INSERT INTO COTACAO (cot_id, cot_blt_id, cot_pap_id, cot_prc_comum, cot_prc_min, cot_prc_max, cot_prc_med, cot_prc_mediana) VALUES (1718, 81, 8, NULL,  72.00,  84.00,  78.00,  78.00);</v>
      </c>
      <c r="J1719" s="0" t="str">
        <f aca="false">"UPDATE COTACAO SET cot_id = "&amp;A1719&amp;", cot_blt_id = "&amp;B1719&amp;", cot_pap_id = "&amp;C1719&amp;", cot_prc_comum = "&amp;D1719&amp;", cot_prc_min = "&amp;E1719&amp;", cot_prc_max = "&amp;F1719&amp;", cot_prc_med = "&amp;G1719&amp;", cot_prc_mediana = "&amp;H1719&amp;" WHERE cot_id = "&amp;A1719&amp;";"</f>
        <v>UPDATE COTACAO SET cot_id = 1718, cot_blt_id = 81, cot_pap_id = 8, cot_prc_comum = NULL, cot_prc_min =  72.00, cot_prc_max =  84.00, cot_prc_med =  78.00, cot_prc_mediana =  78.00 WHERE cot_id = 1718;</v>
      </c>
    </row>
    <row r="1720" customFormat="false" ht="14.25" hidden="false" customHeight="false" outlineLevel="0" collapsed="false">
      <c r="A1720" s="0" t="n">
        <v>1719</v>
      </c>
      <c r="B1720" s="0" t="n">
        <f aca="false">IF('Boletins Nuppa Site'!A1720&lt;&gt;0,'Boletins Nuppa Site'!A1720,"NULL")</f>
        <v>81</v>
      </c>
      <c r="C1720" s="0" t="n">
        <v>9</v>
      </c>
      <c r="D1720" s="0" t="str">
        <f aca="false">IF('Boletins Nuppa Site'!G1720&lt;&gt;0,'Boletins Nuppa Site'!G1720,"NULL")</f>
        <v> 24.00</v>
      </c>
      <c r="E1720" s="30" t="str">
        <f aca="false">IF('Boletins Nuppa Site'!H1720&lt;&gt;0,'Boletins Nuppa Site'!H1720,"NULL")</f>
        <v> 20.00</v>
      </c>
      <c r="F1720" s="30" t="str">
        <f aca="false">IF('Boletins Nuppa Site'!I1720&lt;&gt;0,'Boletins Nuppa Site'!I1720,"NULL")</f>
        <v> 24.00</v>
      </c>
      <c r="G1720" s="30" t="str">
        <f aca="false">IF('Boletins Nuppa Site'!J1720&lt;&gt;0,'Boletins Nuppa Site'!J1720,"NULL")</f>
        <v> 23.00</v>
      </c>
      <c r="H1720" s="30" t="str">
        <f aca="false">IF('Boletins Nuppa Site'!K1720&lt;&gt;0,'Boletins Nuppa Site'!K1720,"NULL")</f>
        <v> 24.00</v>
      </c>
      <c r="I1720" s="0" t="str">
        <f aca="false">"INSERT INTO COTACAO (cot_id, cot_blt_id, cot_pap_id, cot_prc_comum, cot_prc_min, cot_prc_max, cot_prc_med, cot_prc_mediana) VALUES ("&amp;A1720&amp;", "&amp;B1720&amp;", "&amp;C1720&amp;", "&amp;D1720&amp;", "&amp;E1720&amp;", "&amp;F1720&amp;", "&amp;G1720&amp;", "&amp;H1720&amp;");"</f>
        <v>INSERT INTO COTACAO (cot_id, cot_blt_id, cot_pap_id, cot_prc_comum, cot_prc_min, cot_prc_max, cot_prc_med, cot_prc_mediana) VALUES (1719, 81, 9,  24.00,  20.00,  24.00,  23.00,  24.00);</v>
      </c>
      <c r="J1720" s="0" t="str">
        <f aca="false">"UPDATE COTACAO SET cot_id = "&amp;A1720&amp;", cot_blt_id = "&amp;B1720&amp;", cot_pap_id = "&amp;C1720&amp;", cot_prc_comum = "&amp;D1720&amp;", cot_prc_min = "&amp;E1720&amp;", cot_prc_max = "&amp;F1720&amp;", cot_prc_med = "&amp;G1720&amp;", cot_prc_mediana = "&amp;H1720&amp;" WHERE cot_id = "&amp;A1720&amp;";"</f>
        <v>UPDATE COTACAO SET cot_id = 1719, cot_blt_id = 81, cot_pap_id = 9, cot_prc_comum =  24.00, cot_prc_min =  20.00, cot_prc_max =  24.00, cot_prc_med =  23.00, cot_prc_mediana =  24.00 WHERE cot_id = 1719;</v>
      </c>
    </row>
    <row r="1721" customFormat="false" ht="14.25" hidden="false" customHeight="false" outlineLevel="0" collapsed="false">
      <c r="A1721" s="0" t="n">
        <v>1720</v>
      </c>
      <c r="B1721" s="0" t="n">
        <f aca="false">IF('Boletins Nuppa Site'!A1721&lt;&gt;0,'Boletins Nuppa Site'!A1721,"NULL")</f>
        <v>81</v>
      </c>
      <c r="C1721" s="0" t="n">
        <v>10</v>
      </c>
      <c r="D1721" s="0" t="str">
        <f aca="false">IF('Boletins Nuppa Site'!G1721&lt;&gt;0,'Boletins Nuppa Site'!G1721,"NULL")</f>
        <v> 72.00</v>
      </c>
      <c r="E1721" s="30" t="str">
        <f aca="false">IF('Boletins Nuppa Site'!H1721&lt;&gt;0,'Boletins Nuppa Site'!H1721,"NULL")</f>
        <v> 72.00</v>
      </c>
      <c r="F1721" s="30" t="str">
        <f aca="false">IF('Boletins Nuppa Site'!I1721&lt;&gt;0,'Boletins Nuppa Site'!I1721,"NULL")</f>
        <v> 78.00</v>
      </c>
      <c r="G1721" s="30" t="str">
        <f aca="false">IF('Boletins Nuppa Site'!J1721&lt;&gt;0,'Boletins Nuppa Site'!J1721,"NULL")</f>
        <v> 75.00</v>
      </c>
      <c r="H1721" s="30" t="str">
        <f aca="false">IF('Boletins Nuppa Site'!K1721&lt;&gt;0,'Boletins Nuppa Site'!K1721,"NULL")</f>
        <v> 75.00</v>
      </c>
      <c r="I1721" s="0" t="str">
        <f aca="false">"INSERT INTO COTACAO (cot_id, cot_blt_id, cot_pap_id, cot_prc_comum, cot_prc_min, cot_prc_max, cot_prc_med, cot_prc_mediana) VALUES ("&amp;A1721&amp;", "&amp;B1721&amp;", "&amp;C1721&amp;", "&amp;D1721&amp;", "&amp;E1721&amp;", "&amp;F1721&amp;", "&amp;G1721&amp;", "&amp;H1721&amp;");"</f>
        <v>INSERT INTO COTACAO (cot_id, cot_blt_id, cot_pap_id, cot_prc_comum, cot_prc_min, cot_prc_max, cot_prc_med, cot_prc_mediana) VALUES (1720, 81, 10,  72.00,  72.00,  78.00,  75.00,  75.00);</v>
      </c>
      <c r="J1721" s="0" t="str">
        <f aca="false">"UPDATE COTACAO SET cot_id = "&amp;A1721&amp;", cot_blt_id = "&amp;B1721&amp;", cot_pap_id = "&amp;C1721&amp;", cot_prc_comum = "&amp;D1721&amp;", cot_prc_min = "&amp;E1721&amp;", cot_prc_max = "&amp;F1721&amp;", cot_prc_med = "&amp;G1721&amp;", cot_prc_mediana = "&amp;H1721&amp;" WHERE cot_id = "&amp;A1721&amp;";"</f>
        <v>UPDATE COTACAO SET cot_id = 1720, cot_blt_id = 81, cot_pap_id = 10, cot_prc_comum =  72.00, cot_prc_min =  72.00, cot_prc_max =  78.00, cot_prc_med =  75.00, cot_prc_mediana =  75.00 WHERE cot_id = 1720;</v>
      </c>
    </row>
    <row r="1722" customFormat="false" ht="14.25" hidden="false" customHeight="false" outlineLevel="0" collapsed="false">
      <c r="A1722" s="0" t="n">
        <v>1721</v>
      </c>
      <c r="B1722" s="0" t="n">
        <f aca="false">IF('Boletins Nuppa Site'!A1722&lt;&gt;0,'Boletins Nuppa Site'!A1722,"NULL")</f>
        <v>81</v>
      </c>
      <c r="C1722" s="0" t="n">
        <v>11</v>
      </c>
      <c r="D1722" s="0" t="str">
        <f aca="false">IF('Boletins Nuppa Site'!G1722&lt;&gt;0,'Boletins Nuppa Site'!G1722,"NULL")</f>
        <v> 30.00</v>
      </c>
      <c r="E1722" s="30" t="str">
        <f aca="false">IF('Boletins Nuppa Site'!H1722&lt;&gt;0,'Boletins Nuppa Site'!H1722,"NULL")</f>
        <v> 30.00</v>
      </c>
      <c r="F1722" s="30" t="str">
        <f aca="false">IF('Boletins Nuppa Site'!I1722&lt;&gt;0,'Boletins Nuppa Site'!I1722,"NULL")</f>
        <v> 36.00</v>
      </c>
      <c r="G1722" s="30" t="str">
        <f aca="false">IF('Boletins Nuppa Site'!J1722&lt;&gt;0,'Boletins Nuppa Site'!J1722,"NULL")</f>
        <v> 31.50</v>
      </c>
      <c r="H1722" s="30" t="str">
        <f aca="false">IF('Boletins Nuppa Site'!K1722&lt;&gt;0,'Boletins Nuppa Site'!K1722,"NULL")</f>
        <v> 30.00</v>
      </c>
      <c r="I1722" s="0" t="str">
        <f aca="false">"INSERT INTO COTACAO (cot_id, cot_blt_id, cot_pap_id, cot_prc_comum, cot_prc_min, cot_prc_max, cot_prc_med, cot_prc_mediana) VALUES ("&amp;A1722&amp;", "&amp;B1722&amp;", "&amp;C1722&amp;", "&amp;D1722&amp;", "&amp;E1722&amp;", "&amp;F1722&amp;", "&amp;G1722&amp;", "&amp;H1722&amp;");"</f>
        <v>INSERT INTO COTACAO (cot_id, cot_blt_id, cot_pap_id, cot_prc_comum, cot_prc_min, cot_prc_max, cot_prc_med, cot_prc_mediana) VALUES (1721, 81, 11,  30.00,  30.00,  36.00,  31.50,  30.00);</v>
      </c>
      <c r="J1722" s="0" t="str">
        <f aca="false">"UPDATE COTACAO SET cot_id = "&amp;A1722&amp;", cot_blt_id = "&amp;B1722&amp;", cot_pap_id = "&amp;C1722&amp;", cot_prc_comum = "&amp;D1722&amp;", cot_prc_min = "&amp;E1722&amp;", cot_prc_max = "&amp;F1722&amp;", cot_prc_med = "&amp;G1722&amp;", cot_prc_mediana = "&amp;H1722&amp;" WHERE cot_id = "&amp;A1722&amp;";"</f>
        <v>UPDATE COTACAO SET cot_id = 1721, cot_blt_id = 81, cot_pap_id = 11, cot_prc_comum =  30.00, cot_prc_min =  30.00, cot_prc_max =  36.00, cot_prc_med =  31.50, cot_prc_mediana =  30.00 WHERE cot_id = 1721;</v>
      </c>
    </row>
    <row r="1723" customFormat="false" ht="14.25" hidden="false" customHeight="false" outlineLevel="0" collapsed="false">
      <c r="A1723" s="0" t="n">
        <v>1722</v>
      </c>
      <c r="B1723" s="0" t="n">
        <f aca="false">IF('Boletins Nuppa Site'!A1723&lt;&gt;0,'Boletins Nuppa Site'!A1723,"NULL")</f>
        <v>81</v>
      </c>
      <c r="C1723" s="0" t="n">
        <v>12</v>
      </c>
      <c r="D1723" s="0" t="str">
        <f aca="false">IF('Boletins Nuppa Site'!G1723&lt;&gt;0,'Boletins Nuppa Site'!G1723,"NULL")</f>
        <v> 60.00</v>
      </c>
      <c r="E1723" s="30" t="str">
        <f aca="false">IF('Boletins Nuppa Site'!H1723&lt;&gt;0,'Boletins Nuppa Site'!H1723,"NULL")</f>
        <v> 60.00</v>
      </c>
      <c r="F1723" s="30" t="str">
        <f aca="false">IF('Boletins Nuppa Site'!I1723&lt;&gt;0,'Boletins Nuppa Site'!I1723,"NULL")</f>
        <v> 60.00</v>
      </c>
      <c r="G1723" s="30" t="str">
        <f aca="false">IF('Boletins Nuppa Site'!J1723&lt;&gt;0,'Boletins Nuppa Site'!J1723,"NULL")</f>
        <v> 60.00</v>
      </c>
      <c r="H1723" s="30" t="str">
        <f aca="false">IF('Boletins Nuppa Site'!K1723&lt;&gt;0,'Boletins Nuppa Site'!K1723,"NULL")</f>
        <v> 60.00</v>
      </c>
      <c r="I1723" s="0" t="str">
        <f aca="false">"INSERT INTO COTACAO (cot_id, cot_blt_id, cot_pap_id, cot_prc_comum, cot_prc_min, cot_prc_max, cot_prc_med, cot_prc_mediana) VALUES ("&amp;A1723&amp;", "&amp;B1723&amp;", "&amp;C1723&amp;", "&amp;D1723&amp;", "&amp;E1723&amp;", "&amp;F1723&amp;", "&amp;G1723&amp;", "&amp;H1723&amp;");"</f>
        <v>INSERT INTO COTACAO (cot_id, cot_blt_id, cot_pap_id, cot_prc_comum, cot_prc_min, cot_prc_max, cot_prc_med, cot_prc_mediana) VALUES (1722, 81, 12,  60.00,  60.00,  60.00,  60.00,  60.00);</v>
      </c>
      <c r="J1723" s="0" t="str">
        <f aca="false">"UPDATE COTACAO SET cot_id = "&amp;A1723&amp;", cot_blt_id = "&amp;B1723&amp;", cot_pap_id = "&amp;C1723&amp;", cot_prc_comum = "&amp;D1723&amp;", cot_prc_min = "&amp;E1723&amp;", cot_prc_max = "&amp;F1723&amp;", cot_prc_med = "&amp;G1723&amp;", cot_prc_mediana = "&amp;H1723&amp;" WHERE cot_id = "&amp;A1723&amp;";"</f>
        <v>UPDATE COTACAO SET cot_id = 1722, cot_blt_id = 81, cot_pap_id = 12, cot_prc_comum =  60.00, cot_prc_min =  60.00, cot_prc_max =  60.00, cot_prc_med =  60.00, cot_prc_mediana =  60.00 WHERE cot_id = 1722;</v>
      </c>
    </row>
    <row r="1724" customFormat="false" ht="14.25" hidden="false" customHeight="false" outlineLevel="0" collapsed="false">
      <c r="A1724" s="0" t="n">
        <v>1723</v>
      </c>
      <c r="B1724" s="0" t="n">
        <f aca="false">IF('Boletins Nuppa Site'!A1724&lt;&gt;0,'Boletins Nuppa Site'!A1724,"NULL")</f>
        <v>81</v>
      </c>
      <c r="C1724" s="0" t="n">
        <v>13</v>
      </c>
      <c r="D1724" s="0" t="str">
        <f aca="false">IF('Boletins Nuppa Site'!G1724&lt;&gt;0,'Boletins Nuppa Site'!G1724,"NULL")</f>
        <v> 60.00</v>
      </c>
      <c r="E1724" s="30" t="str">
        <f aca="false">IF('Boletins Nuppa Site'!H1724&lt;&gt;0,'Boletins Nuppa Site'!H1724,"NULL")</f>
        <v> 48.00</v>
      </c>
      <c r="F1724" s="30" t="str">
        <f aca="false">IF('Boletins Nuppa Site'!I1724&lt;&gt;0,'Boletins Nuppa Site'!I1724,"NULL")</f>
        <v> 60.00</v>
      </c>
      <c r="G1724" s="30" t="str">
        <f aca="false">IF('Boletins Nuppa Site'!J1724&lt;&gt;0,'Boletins Nuppa Site'!J1724,"NULL")</f>
        <v> 57.00</v>
      </c>
      <c r="H1724" s="30" t="str">
        <f aca="false">IF('Boletins Nuppa Site'!K1724&lt;&gt;0,'Boletins Nuppa Site'!K1724,"NULL")</f>
        <v> 60.00</v>
      </c>
      <c r="I1724" s="0" t="str">
        <f aca="false">"INSERT INTO COTACAO (cot_id, cot_blt_id, cot_pap_id, cot_prc_comum, cot_prc_min, cot_prc_max, cot_prc_med, cot_prc_mediana) VALUES ("&amp;A1724&amp;", "&amp;B1724&amp;", "&amp;C1724&amp;", "&amp;D1724&amp;", "&amp;E1724&amp;", "&amp;F1724&amp;", "&amp;G1724&amp;", "&amp;H1724&amp;");"</f>
        <v>INSERT INTO COTACAO (cot_id, cot_blt_id, cot_pap_id, cot_prc_comum, cot_prc_min, cot_prc_max, cot_prc_med, cot_prc_mediana) VALUES (1723, 81, 13,  60.00,  48.00,  60.00,  57.00,  60.00);</v>
      </c>
      <c r="J1724" s="0" t="str">
        <f aca="false">"UPDATE COTACAO SET cot_id = "&amp;A1724&amp;", cot_blt_id = "&amp;B1724&amp;", cot_pap_id = "&amp;C1724&amp;", cot_prc_comum = "&amp;D1724&amp;", cot_prc_min = "&amp;E1724&amp;", cot_prc_max = "&amp;F1724&amp;", cot_prc_med = "&amp;G1724&amp;", cot_prc_mediana = "&amp;H1724&amp;" WHERE cot_id = "&amp;A1724&amp;";"</f>
        <v>UPDATE COTACAO SET cot_id = 1723, cot_blt_id = 81, cot_pap_id = 13, cot_prc_comum =  60.00, cot_prc_min =  48.00, cot_prc_max =  60.00, cot_prc_med =  57.00, cot_prc_mediana =  60.00 WHERE cot_id = 1723;</v>
      </c>
    </row>
    <row r="1725" customFormat="false" ht="14.25" hidden="false" customHeight="false" outlineLevel="0" collapsed="false">
      <c r="A1725" s="0" t="n">
        <v>1724</v>
      </c>
      <c r="B1725" s="0" t="n">
        <f aca="false">IF('Boletins Nuppa Site'!A1725&lt;&gt;0,'Boletins Nuppa Site'!A1725,"NULL")</f>
        <v>81</v>
      </c>
      <c r="C1725" s="0" t="n">
        <v>14</v>
      </c>
      <c r="D1725" s="0" t="str">
        <f aca="false">IF('Boletins Nuppa Site'!G1725&lt;&gt;0,'Boletins Nuppa Site'!G1725,"NULL")</f>
        <v> 72.00</v>
      </c>
      <c r="E1725" s="30" t="str">
        <f aca="false">IF('Boletins Nuppa Site'!H1725&lt;&gt;0,'Boletins Nuppa Site'!H1725,"NULL")</f>
        <v> 48.00</v>
      </c>
      <c r="F1725" s="30" t="str">
        <f aca="false">IF('Boletins Nuppa Site'!I1725&lt;&gt;0,'Boletins Nuppa Site'!I1725,"NULL")</f>
        <v> 72.00</v>
      </c>
      <c r="G1725" s="30" t="str">
        <f aca="false">IF('Boletins Nuppa Site'!J1725&lt;&gt;0,'Boletins Nuppa Site'!J1725,"NULL")</f>
        <v> 63.00</v>
      </c>
      <c r="H1725" s="30" t="str">
        <f aca="false">IF('Boletins Nuppa Site'!K1725&lt;&gt;0,'Boletins Nuppa Site'!K1725,"NULL")</f>
        <v> 66.00</v>
      </c>
      <c r="I1725" s="0" t="str">
        <f aca="false">"INSERT INTO COTACAO (cot_id, cot_blt_id, cot_pap_id, cot_prc_comum, cot_prc_min, cot_prc_max, cot_prc_med, cot_prc_mediana) VALUES ("&amp;A1725&amp;", "&amp;B1725&amp;", "&amp;C1725&amp;", "&amp;D1725&amp;", "&amp;E1725&amp;", "&amp;F1725&amp;", "&amp;G1725&amp;", "&amp;H1725&amp;");"</f>
        <v>INSERT INTO COTACAO (cot_id, cot_blt_id, cot_pap_id, cot_prc_comum, cot_prc_min, cot_prc_max, cot_prc_med, cot_prc_mediana) VALUES (1724, 81, 14,  72.00,  48.00,  72.00,  63.00,  66.00);</v>
      </c>
      <c r="J1725" s="0" t="str">
        <f aca="false">"UPDATE COTACAO SET cot_id = "&amp;A1725&amp;", cot_blt_id = "&amp;B1725&amp;", cot_pap_id = "&amp;C1725&amp;", cot_prc_comum = "&amp;D1725&amp;", cot_prc_min = "&amp;E1725&amp;", cot_prc_max = "&amp;F1725&amp;", cot_prc_med = "&amp;G1725&amp;", cot_prc_mediana = "&amp;H1725&amp;" WHERE cot_id = "&amp;A1725&amp;";"</f>
        <v>UPDATE COTACAO SET cot_id = 1724, cot_blt_id = 81, cot_pap_id = 14, cot_prc_comum =  72.00, cot_prc_min =  48.00, cot_prc_max =  72.00, cot_prc_med =  63.00, cot_prc_mediana =  66.00 WHERE cot_id = 1724;</v>
      </c>
    </row>
    <row r="1726" customFormat="false" ht="14.25" hidden="false" customHeight="false" outlineLevel="0" collapsed="false">
      <c r="A1726" s="0" t="n">
        <v>1725</v>
      </c>
      <c r="B1726" s="0" t="n">
        <f aca="false">IF('Boletins Nuppa Site'!A1726&lt;&gt;0,'Boletins Nuppa Site'!A1726,"NULL")</f>
        <v>81</v>
      </c>
      <c r="C1726" s="0" t="n">
        <v>15</v>
      </c>
      <c r="D1726" s="0" t="str">
        <f aca="false">IF('Boletins Nuppa Site'!G1726&lt;&gt;0,'Boletins Nuppa Site'!G1726,"NULL")</f>
        <v> 30.00</v>
      </c>
      <c r="E1726" s="30" t="str">
        <f aca="false">IF('Boletins Nuppa Site'!H1726&lt;&gt;0,'Boletins Nuppa Site'!H1726,"NULL")</f>
        <v> 30.00</v>
      </c>
      <c r="F1726" s="30" t="str">
        <f aca="false">IF('Boletins Nuppa Site'!I1726&lt;&gt;0,'Boletins Nuppa Site'!I1726,"NULL")</f>
        <v> 36.00</v>
      </c>
      <c r="G1726" s="30" t="str">
        <f aca="false">IF('Boletins Nuppa Site'!J1726&lt;&gt;0,'Boletins Nuppa Site'!J1726,"NULL")</f>
        <v> 33.00</v>
      </c>
      <c r="H1726" s="30" t="str">
        <f aca="false">IF('Boletins Nuppa Site'!K1726&lt;&gt;0,'Boletins Nuppa Site'!K1726,"NULL")</f>
        <v> 33.00</v>
      </c>
      <c r="I1726" s="0" t="str">
        <f aca="false">"INSERT INTO COTACAO (cot_id, cot_blt_id, cot_pap_id, cot_prc_comum, cot_prc_min, cot_prc_max, cot_prc_med, cot_prc_mediana) VALUES ("&amp;A1726&amp;", "&amp;B1726&amp;", "&amp;C1726&amp;", "&amp;D1726&amp;", "&amp;E1726&amp;", "&amp;F1726&amp;", "&amp;G1726&amp;", "&amp;H1726&amp;");"</f>
        <v>INSERT INTO COTACAO (cot_id, cot_blt_id, cot_pap_id, cot_prc_comum, cot_prc_min, cot_prc_max, cot_prc_med, cot_prc_mediana) VALUES (1725, 81, 15,  30.00,  30.00,  36.00,  33.00,  33.00);</v>
      </c>
      <c r="J1726" s="0" t="str">
        <f aca="false">"UPDATE COTACAO SET cot_id = "&amp;A1726&amp;", cot_blt_id = "&amp;B1726&amp;", cot_pap_id = "&amp;C1726&amp;", cot_prc_comum = "&amp;D1726&amp;", cot_prc_min = "&amp;E1726&amp;", cot_prc_max = "&amp;F1726&amp;", cot_prc_med = "&amp;G1726&amp;", cot_prc_mediana = "&amp;H1726&amp;" WHERE cot_id = "&amp;A1726&amp;";"</f>
        <v>UPDATE COTACAO SET cot_id = 1725, cot_blt_id = 81, cot_pap_id = 15, cot_prc_comum =  30.00, cot_prc_min =  30.00, cot_prc_max =  36.00, cot_prc_med =  33.00, cot_prc_mediana =  33.00 WHERE cot_id = 1725;</v>
      </c>
    </row>
    <row r="1727" customFormat="false" ht="14.25" hidden="false" customHeight="false" outlineLevel="0" collapsed="false">
      <c r="A1727" s="0" t="n">
        <v>1726</v>
      </c>
      <c r="B1727" s="0" t="n">
        <f aca="false">IF('Boletins Nuppa Site'!A1727&lt;&gt;0,'Boletins Nuppa Site'!A1727,"NULL")</f>
        <v>81</v>
      </c>
      <c r="C1727" s="0" t="n">
        <v>16</v>
      </c>
      <c r="D1727" s="0" t="str">
        <f aca="false">IF('Boletins Nuppa Site'!G1727&lt;&gt;0,'Boletins Nuppa Site'!G1727,"NULL")</f>
        <v> 48.00</v>
      </c>
      <c r="E1727" s="30" t="str">
        <f aca="false">IF('Boletins Nuppa Site'!H1727&lt;&gt;0,'Boletins Nuppa Site'!H1727,"NULL")</f>
        <v> 48.00</v>
      </c>
      <c r="F1727" s="30" t="str">
        <f aca="false">IF('Boletins Nuppa Site'!I1727&lt;&gt;0,'Boletins Nuppa Site'!I1727,"NULL")</f>
        <v> 54.00</v>
      </c>
      <c r="G1727" s="30" t="str">
        <f aca="false">IF('Boletins Nuppa Site'!J1727&lt;&gt;0,'Boletins Nuppa Site'!J1727,"NULL")</f>
        <v> 49.50</v>
      </c>
      <c r="H1727" s="30" t="str">
        <f aca="false">IF('Boletins Nuppa Site'!K1727&lt;&gt;0,'Boletins Nuppa Site'!K1727,"NULL")</f>
        <v> 48.00</v>
      </c>
      <c r="I1727" s="0" t="str">
        <f aca="false">"INSERT INTO COTACAO (cot_id, cot_blt_id, cot_pap_id, cot_prc_comum, cot_prc_min, cot_prc_max, cot_prc_med, cot_prc_mediana) VALUES ("&amp;A1727&amp;", "&amp;B1727&amp;", "&amp;C1727&amp;", "&amp;D1727&amp;", "&amp;E1727&amp;", "&amp;F1727&amp;", "&amp;G1727&amp;", "&amp;H1727&amp;");"</f>
        <v>INSERT INTO COTACAO (cot_id, cot_blt_id, cot_pap_id, cot_prc_comum, cot_prc_min, cot_prc_max, cot_prc_med, cot_prc_mediana) VALUES (1726, 81, 16,  48.00,  48.00,  54.00,  49.50,  48.00);</v>
      </c>
      <c r="J1727" s="0" t="str">
        <f aca="false">"UPDATE COTACAO SET cot_id = "&amp;A1727&amp;", cot_blt_id = "&amp;B1727&amp;", cot_pap_id = "&amp;C1727&amp;", cot_prc_comum = "&amp;D1727&amp;", cot_prc_min = "&amp;E1727&amp;", cot_prc_max = "&amp;F1727&amp;", cot_prc_med = "&amp;G1727&amp;", cot_prc_mediana = "&amp;H1727&amp;" WHERE cot_id = "&amp;A1727&amp;";"</f>
        <v>UPDATE COTACAO SET cot_id = 1726, cot_blt_id = 81, cot_pap_id = 16, cot_prc_comum =  48.00, cot_prc_min =  48.00, cot_prc_max =  54.00, cot_prc_med =  49.50, cot_prc_mediana =  48.00 WHERE cot_id = 1726;</v>
      </c>
    </row>
    <row r="1728" customFormat="false" ht="14.25" hidden="false" customHeight="false" outlineLevel="0" collapsed="false">
      <c r="A1728" s="0" t="n">
        <v>1727</v>
      </c>
      <c r="B1728" s="0" t="n">
        <f aca="false">IF('Boletins Nuppa Site'!A1728&lt;&gt;0,'Boletins Nuppa Site'!A1728,"NULL")</f>
        <v>81</v>
      </c>
      <c r="C1728" s="0" t="n">
        <v>17</v>
      </c>
      <c r="D1728" s="0" t="str">
        <f aca="false">IF('Boletins Nuppa Site'!G1728&lt;&gt;0,'Boletins Nuppa Site'!G1728,"NULL")</f>
        <v> 5.00</v>
      </c>
      <c r="E1728" s="30" t="str">
        <f aca="false">IF('Boletins Nuppa Site'!H1728&lt;&gt;0,'Boletins Nuppa Site'!H1728,"NULL")</f>
        <v> 4.00</v>
      </c>
      <c r="F1728" s="30" t="str">
        <f aca="false">IF('Boletins Nuppa Site'!I1728&lt;&gt;0,'Boletins Nuppa Site'!I1728,"NULL")</f>
        <v> 5.00</v>
      </c>
      <c r="G1728" s="30" t="str">
        <f aca="false">IF('Boletins Nuppa Site'!J1728&lt;&gt;0,'Boletins Nuppa Site'!J1728,"NULL")</f>
        <v> 4.75</v>
      </c>
      <c r="H1728" s="30" t="str">
        <f aca="false">IF('Boletins Nuppa Site'!K1728&lt;&gt;0,'Boletins Nuppa Site'!K1728,"NULL")</f>
        <v> 5.00</v>
      </c>
      <c r="I1728" s="0" t="str">
        <f aca="false">"INSERT INTO COTACAO (cot_id, cot_blt_id, cot_pap_id, cot_prc_comum, cot_prc_min, cot_prc_max, cot_prc_med, cot_prc_mediana) VALUES ("&amp;A1728&amp;", "&amp;B1728&amp;", "&amp;C1728&amp;", "&amp;D1728&amp;", "&amp;E1728&amp;", "&amp;F1728&amp;", "&amp;G1728&amp;", "&amp;H1728&amp;");"</f>
        <v>INSERT INTO COTACAO (cot_id, cot_blt_id, cot_pap_id, cot_prc_comum, cot_prc_min, cot_prc_max, cot_prc_med, cot_prc_mediana) VALUES (1727, 81, 17,  5.00,  4.00,  5.00,  4.75,  5.00);</v>
      </c>
      <c r="J1728" s="0" t="str">
        <f aca="false">"UPDATE COTACAO SET cot_id = "&amp;A1728&amp;", cot_blt_id = "&amp;B1728&amp;", cot_pap_id = "&amp;C1728&amp;", cot_prc_comum = "&amp;D1728&amp;", cot_prc_min = "&amp;E1728&amp;", cot_prc_max = "&amp;F1728&amp;", cot_prc_med = "&amp;G1728&amp;", cot_prc_mediana = "&amp;H1728&amp;" WHERE cot_id = "&amp;A1728&amp;";"</f>
        <v>UPDATE COTACAO SET cot_id = 1727, cot_blt_id = 81, cot_pap_id = 17, cot_prc_comum =  5.00, cot_prc_min =  4.00, cot_prc_max =  5.00, cot_prc_med =  4.75, cot_prc_mediana =  5.00 WHERE cot_id = 1727;</v>
      </c>
    </row>
    <row r="1729" customFormat="false" ht="14.25" hidden="false" customHeight="false" outlineLevel="0" collapsed="false">
      <c r="A1729" s="0" t="n">
        <v>1728</v>
      </c>
      <c r="B1729" s="0" t="n">
        <f aca="false">IF('Boletins Nuppa Site'!A1729&lt;&gt;0,'Boletins Nuppa Site'!A1729,"NULL")</f>
        <v>81</v>
      </c>
      <c r="C1729" s="0" t="n">
        <v>18</v>
      </c>
      <c r="D1729" s="0" t="str">
        <f aca="false">IF('Boletins Nuppa Site'!G1729&lt;&gt;0,'Boletins Nuppa Site'!G1729,"NULL")</f>
        <v> 15.00</v>
      </c>
      <c r="E1729" s="30" t="str">
        <f aca="false">IF('Boletins Nuppa Site'!H1729&lt;&gt;0,'Boletins Nuppa Site'!H1729,"NULL")</f>
        <v> 15.00</v>
      </c>
      <c r="F1729" s="30" t="str">
        <f aca="false">IF('Boletins Nuppa Site'!I1729&lt;&gt;0,'Boletins Nuppa Site'!I1729,"NULL")</f>
        <v> 20.00</v>
      </c>
      <c r="G1729" s="30" t="str">
        <f aca="false">IF('Boletins Nuppa Site'!J1729&lt;&gt;0,'Boletins Nuppa Site'!J1729,"NULL")</f>
        <v> 17.00</v>
      </c>
      <c r="H1729" s="30" t="str">
        <f aca="false">IF('Boletins Nuppa Site'!K1729&lt;&gt;0,'Boletins Nuppa Site'!K1729,"NULL")</f>
        <v> 16.50</v>
      </c>
      <c r="I1729" s="0" t="str">
        <f aca="false">"INSERT INTO COTACAO (cot_id, cot_blt_id, cot_pap_id, cot_prc_comum, cot_prc_min, cot_prc_max, cot_prc_med, cot_prc_mediana) VALUES ("&amp;A1729&amp;", "&amp;B1729&amp;", "&amp;C1729&amp;", "&amp;D1729&amp;", "&amp;E1729&amp;", "&amp;F1729&amp;", "&amp;G1729&amp;", "&amp;H1729&amp;");"</f>
        <v>INSERT INTO COTACAO (cot_id, cot_blt_id, cot_pap_id, cot_prc_comum, cot_prc_min, cot_prc_max, cot_prc_med, cot_prc_mediana) VALUES (1728, 81, 18,  15.00,  15.00,  20.00,  17.00,  16.50);</v>
      </c>
      <c r="J1729" s="0" t="str">
        <f aca="false">"UPDATE COTACAO SET cot_id = "&amp;A1729&amp;", cot_blt_id = "&amp;B1729&amp;", cot_pap_id = "&amp;C1729&amp;", cot_prc_comum = "&amp;D1729&amp;", cot_prc_min = "&amp;E1729&amp;", cot_prc_max = "&amp;F1729&amp;", cot_prc_med = "&amp;G1729&amp;", cot_prc_mediana = "&amp;H1729&amp;" WHERE cot_id = "&amp;A1729&amp;";"</f>
        <v>UPDATE COTACAO SET cot_id = 1728, cot_blt_id = 81, cot_pap_id = 18, cot_prc_comum =  15.00, cot_prc_min =  15.00, cot_prc_max =  20.00, cot_prc_med =  17.00, cot_prc_mediana =  16.50 WHERE cot_id = 1728;</v>
      </c>
    </row>
    <row r="1730" customFormat="false" ht="14.25" hidden="false" customHeight="false" outlineLevel="0" collapsed="false">
      <c r="A1730" s="0" t="n">
        <v>1729</v>
      </c>
      <c r="B1730" s="0" t="n">
        <f aca="false">IF('Boletins Nuppa Site'!A1730&lt;&gt;0,'Boletins Nuppa Site'!A1730,"NULL")</f>
        <v>81</v>
      </c>
      <c r="C1730" s="0" t="n">
        <v>19</v>
      </c>
      <c r="D1730" s="0" t="str">
        <f aca="false">IF('Boletins Nuppa Site'!G1730&lt;&gt;0,'Boletins Nuppa Site'!G1730,"NULL")</f>
        <v> 20.00</v>
      </c>
      <c r="E1730" s="30" t="str">
        <f aca="false">IF('Boletins Nuppa Site'!H1730&lt;&gt;0,'Boletins Nuppa Site'!H1730,"NULL")</f>
        <v> 20.00</v>
      </c>
      <c r="F1730" s="30" t="str">
        <f aca="false">IF('Boletins Nuppa Site'!I1730&lt;&gt;0,'Boletins Nuppa Site'!I1730,"NULL")</f>
        <v> 30.00</v>
      </c>
      <c r="G1730" s="30" t="str">
        <f aca="false">IF('Boletins Nuppa Site'!J1730&lt;&gt;0,'Boletins Nuppa Site'!J1730,"NULL")</f>
        <v> 25.00</v>
      </c>
      <c r="H1730" s="30" t="str">
        <f aca="false">IF('Boletins Nuppa Site'!K1730&lt;&gt;0,'Boletins Nuppa Site'!K1730,"NULL")</f>
        <v> 25.00</v>
      </c>
      <c r="I1730" s="0" t="str">
        <f aca="false">"INSERT INTO COTACAO (cot_id, cot_blt_id, cot_pap_id, cot_prc_comum, cot_prc_min, cot_prc_max, cot_prc_med, cot_prc_mediana) VALUES ("&amp;A1730&amp;", "&amp;B1730&amp;", "&amp;C1730&amp;", "&amp;D1730&amp;", "&amp;E1730&amp;", "&amp;F1730&amp;", "&amp;G1730&amp;", "&amp;H1730&amp;");"</f>
        <v>INSERT INTO COTACAO (cot_id, cot_blt_id, cot_pap_id, cot_prc_comum, cot_prc_min, cot_prc_max, cot_prc_med, cot_prc_mediana) VALUES (1729, 81, 19,  20.00,  20.00,  30.00,  25.00,  25.00);</v>
      </c>
      <c r="J1730" s="0" t="str">
        <f aca="false">"UPDATE COTACAO SET cot_id = "&amp;A1730&amp;", cot_blt_id = "&amp;B1730&amp;", cot_pap_id = "&amp;C1730&amp;", cot_prc_comum = "&amp;D1730&amp;", cot_prc_min = "&amp;E1730&amp;", cot_prc_max = "&amp;F1730&amp;", cot_prc_med = "&amp;G1730&amp;", cot_prc_mediana = "&amp;H1730&amp;" WHERE cot_id = "&amp;A1730&amp;";"</f>
        <v>UPDATE COTACAO SET cot_id = 1729, cot_blt_id = 81, cot_pap_id = 19, cot_prc_comum =  20.00, cot_prc_min =  20.00, cot_prc_max =  30.00, cot_prc_med =  25.00, cot_prc_mediana =  25.00 WHERE cot_id = 1729;</v>
      </c>
    </row>
    <row r="1731" customFormat="false" ht="14.25" hidden="false" customHeight="false" outlineLevel="0" collapsed="false">
      <c r="A1731" s="0" t="n">
        <v>1730</v>
      </c>
      <c r="B1731" s="0" t="n">
        <f aca="false">IF('Boletins Nuppa Site'!A1731&lt;&gt;0,'Boletins Nuppa Site'!A1731,"NULL")</f>
        <v>81</v>
      </c>
      <c r="C1731" s="0" t="n">
        <v>20</v>
      </c>
      <c r="D1731" s="0" t="str">
        <f aca="false">IF('Boletins Nuppa Site'!G1731&lt;&gt;0,'Boletins Nuppa Site'!G1731,"NULL")</f>
        <v>NULL</v>
      </c>
      <c r="E1731" s="30" t="str">
        <f aca="false">IF('Boletins Nuppa Site'!H1731&lt;&gt;0,'Boletins Nuppa Site'!H1731,"NULL")</f>
        <v> 70.00</v>
      </c>
      <c r="F1731" s="30" t="str">
        <f aca="false">IF('Boletins Nuppa Site'!I1731&lt;&gt;0,'Boletins Nuppa Site'!I1731,"NULL")</f>
        <v> 70.00</v>
      </c>
      <c r="G1731" s="30" t="str">
        <f aca="false">IF('Boletins Nuppa Site'!J1731&lt;&gt;0,'Boletins Nuppa Site'!J1731,"NULL")</f>
        <v> 70.00</v>
      </c>
      <c r="H1731" s="30" t="str">
        <f aca="false">IF('Boletins Nuppa Site'!K1731&lt;&gt;0,'Boletins Nuppa Site'!K1731,"NULL")</f>
        <v> 70.00</v>
      </c>
      <c r="I1731" s="0" t="str">
        <f aca="false">"INSERT INTO COTACAO (cot_id, cot_blt_id, cot_pap_id, cot_prc_comum, cot_prc_min, cot_prc_max, cot_prc_med, cot_prc_mediana) VALUES ("&amp;A1731&amp;", "&amp;B1731&amp;", "&amp;C1731&amp;", "&amp;D1731&amp;", "&amp;E1731&amp;", "&amp;F1731&amp;", "&amp;G1731&amp;", "&amp;H1731&amp;");"</f>
        <v>INSERT INTO COTACAO (cot_id, cot_blt_id, cot_pap_id, cot_prc_comum, cot_prc_min, cot_prc_max, cot_prc_med, cot_prc_mediana) VALUES (1730, 81, 20, NULL,  70.00,  70.00,  70.00,  70.00);</v>
      </c>
      <c r="J1731" s="0" t="str">
        <f aca="false">"UPDATE COTACAO SET cot_id = "&amp;A1731&amp;", cot_blt_id = "&amp;B1731&amp;", cot_pap_id = "&amp;C1731&amp;", cot_prc_comum = "&amp;D1731&amp;", cot_prc_min = "&amp;E1731&amp;", cot_prc_max = "&amp;F1731&amp;", cot_prc_med = "&amp;G1731&amp;", cot_prc_mediana = "&amp;H1731&amp;" WHERE cot_id = "&amp;A1731&amp;";"</f>
        <v>UPDATE COTACAO SET cot_id = 1730, cot_blt_id = 81, cot_pap_id = 20, cot_prc_comum = NULL, cot_prc_min =  70.00, cot_prc_max =  70.00, cot_prc_med =  70.00, cot_prc_mediana =  70.00 WHERE cot_id = 1730;</v>
      </c>
    </row>
    <row r="1732" customFormat="false" ht="14.25" hidden="false" customHeight="false" outlineLevel="0" collapsed="false">
      <c r="A1732" s="0" t="n">
        <v>1731</v>
      </c>
      <c r="B1732" s="0" t="n">
        <f aca="false">IF('Boletins Nuppa Site'!A1732&lt;&gt;0,'Boletins Nuppa Site'!A1732,"NULL")</f>
        <v>81</v>
      </c>
      <c r="C1732" s="0" t="n">
        <v>21</v>
      </c>
      <c r="D1732" s="0" t="str">
        <f aca="false">IF('Boletins Nuppa Site'!G1732&lt;&gt;0,'Boletins Nuppa Site'!G1732,"NULL")</f>
        <v> 40.00</v>
      </c>
      <c r="E1732" s="30" t="str">
        <f aca="false">IF('Boletins Nuppa Site'!H1732&lt;&gt;0,'Boletins Nuppa Site'!H1732,"NULL")</f>
        <v> 30.00</v>
      </c>
      <c r="F1732" s="30" t="str">
        <f aca="false">IF('Boletins Nuppa Site'!I1732&lt;&gt;0,'Boletins Nuppa Site'!I1732,"NULL")</f>
        <v> 60.00</v>
      </c>
      <c r="G1732" s="30" t="str">
        <f aca="false">IF('Boletins Nuppa Site'!J1732&lt;&gt;0,'Boletins Nuppa Site'!J1732,"NULL")</f>
        <v> 44.17</v>
      </c>
      <c r="H1732" s="30" t="str">
        <f aca="false">IF('Boletins Nuppa Site'!K1732&lt;&gt;0,'Boletins Nuppa Site'!K1732,"NULL")</f>
        <v> 42.50</v>
      </c>
      <c r="I1732" s="0" t="str">
        <f aca="false">"INSERT INTO COTACAO (cot_id, cot_blt_id, cot_pap_id, cot_prc_comum, cot_prc_min, cot_prc_max, cot_prc_med, cot_prc_mediana) VALUES ("&amp;A1732&amp;", "&amp;B1732&amp;", "&amp;C1732&amp;", "&amp;D1732&amp;", "&amp;E1732&amp;", "&amp;F1732&amp;", "&amp;G1732&amp;", "&amp;H1732&amp;");"</f>
        <v>INSERT INTO COTACAO (cot_id, cot_blt_id, cot_pap_id, cot_prc_comum, cot_prc_min, cot_prc_max, cot_prc_med, cot_prc_mediana) VALUES (1731, 81, 21,  40.00,  30.00,  60.00,  44.17,  42.50);</v>
      </c>
      <c r="J1732" s="0" t="str">
        <f aca="false">"UPDATE COTACAO SET cot_id = "&amp;A1732&amp;", cot_blt_id = "&amp;B1732&amp;", cot_pap_id = "&amp;C1732&amp;", cot_prc_comum = "&amp;D1732&amp;", cot_prc_min = "&amp;E1732&amp;", cot_prc_max = "&amp;F1732&amp;", cot_prc_med = "&amp;G1732&amp;", cot_prc_mediana = "&amp;H1732&amp;" WHERE cot_id = "&amp;A1732&amp;";"</f>
        <v>UPDATE COTACAO SET cot_id = 1731, cot_blt_id = 81, cot_pap_id = 21, cot_prc_comum =  40.00, cot_prc_min =  30.00, cot_prc_max =  60.00, cot_prc_med =  44.17, cot_prc_mediana =  42.50 WHERE cot_id = 1731;</v>
      </c>
    </row>
    <row r="1733" customFormat="false" ht="14.25" hidden="false" customHeight="false" outlineLevel="0" collapsed="false">
      <c r="A1733" s="0" t="n">
        <v>1732</v>
      </c>
      <c r="B1733" s="0" t="n">
        <f aca="false">IF('Boletins Nuppa Site'!A1733&lt;&gt;0,'Boletins Nuppa Site'!A1733,"NULL")</f>
        <v>81</v>
      </c>
      <c r="C1733" s="0" t="n">
        <v>22</v>
      </c>
      <c r="D1733" s="0" t="str">
        <f aca="false">IF('Boletins Nuppa Site'!G1733&lt;&gt;0,'Boletins Nuppa Site'!G1733,"NULL")</f>
        <v> 70.00</v>
      </c>
      <c r="E1733" s="30" t="str">
        <f aca="false">IF('Boletins Nuppa Site'!H1733&lt;&gt;0,'Boletins Nuppa Site'!H1733,"NULL")</f>
        <v> 30.00</v>
      </c>
      <c r="F1733" s="30" t="str">
        <f aca="false">IF('Boletins Nuppa Site'!I1733&lt;&gt;0,'Boletins Nuppa Site'!I1733,"NULL")</f>
        <v> 70.00</v>
      </c>
      <c r="G1733" s="30" t="str">
        <f aca="false">IF('Boletins Nuppa Site'!J1733&lt;&gt;0,'Boletins Nuppa Site'!J1733,"NULL")</f>
        <v> 53.33</v>
      </c>
      <c r="H1733" s="30" t="str">
        <f aca="false">IF('Boletins Nuppa Site'!K1733&lt;&gt;0,'Boletins Nuppa Site'!K1733,"NULL")</f>
        <v> 55.00</v>
      </c>
      <c r="I1733" s="0" t="str">
        <f aca="false">"INSERT INTO COTACAO (cot_id, cot_blt_id, cot_pap_id, cot_prc_comum, cot_prc_min, cot_prc_max, cot_prc_med, cot_prc_mediana) VALUES ("&amp;A1733&amp;", "&amp;B1733&amp;", "&amp;C1733&amp;", "&amp;D1733&amp;", "&amp;E1733&amp;", "&amp;F1733&amp;", "&amp;G1733&amp;", "&amp;H1733&amp;");"</f>
        <v>INSERT INTO COTACAO (cot_id, cot_blt_id, cot_pap_id, cot_prc_comum, cot_prc_min, cot_prc_max, cot_prc_med, cot_prc_mediana) VALUES (1732, 81, 22,  70.00,  30.00,  70.00,  53.33,  55.00);</v>
      </c>
      <c r="J1733" s="0" t="str">
        <f aca="false">"UPDATE COTACAO SET cot_id = "&amp;A1733&amp;", cot_blt_id = "&amp;B1733&amp;", cot_pap_id = "&amp;C1733&amp;", cot_prc_comum = "&amp;D1733&amp;", cot_prc_min = "&amp;E1733&amp;", cot_prc_max = "&amp;F1733&amp;", cot_prc_med = "&amp;G1733&amp;", cot_prc_mediana = "&amp;H1733&amp;" WHERE cot_id = "&amp;A1733&amp;";"</f>
        <v>UPDATE COTACAO SET cot_id = 1732, cot_blt_id = 81, cot_pap_id = 22, cot_prc_comum =  70.00, cot_prc_min =  30.00, cot_prc_max =  70.00, cot_prc_med =  53.33, cot_prc_mediana =  55.00 WHERE cot_id = 1732;</v>
      </c>
    </row>
    <row r="1734" customFormat="false" ht="14.25" hidden="false" customHeight="false" outlineLevel="0" collapsed="false">
      <c r="A1734" s="0" t="n">
        <v>1733</v>
      </c>
      <c r="B1734" s="0" t="n">
        <f aca="false">IF('Boletins Nuppa Site'!A1734&lt;&gt;0,'Boletins Nuppa Site'!A1734,"NULL")</f>
        <v>81</v>
      </c>
      <c r="C1734" s="0" t="n">
        <v>23</v>
      </c>
      <c r="D1734" s="0" t="str">
        <f aca="false">IF('Boletins Nuppa Site'!G1734&lt;&gt;0,'Boletins Nuppa Site'!G1734,"NULL")</f>
        <v> 40.00</v>
      </c>
      <c r="E1734" s="30" t="str">
        <f aca="false">IF('Boletins Nuppa Site'!H1734&lt;&gt;0,'Boletins Nuppa Site'!H1734,"NULL")</f>
        <v> 40.00</v>
      </c>
      <c r="F1734" s="30" t="str">
        <f aca="false">IF('Boletins Nuppa Site'!I1734&lt;&gt;0,'Boletins Nuppa Site'!I1734,"NULL")</f>
        <v> 60.00</v>
      </c>
      <c r="G1734" s="30" t="str">
        <f aca="false">IF('Boletins Nuppa Site'!J1734&lt;&gt;0,'Boletins Nuppa Site'!J1734,"NULL")</f>
        <v> 45.71</v>
      </c>
      <c r="H1734" s="30" t="str">
        <f aca="false">IF('Boletins Nuppa Site'!K1734&lt;&gt;0,'Boletins Nuppa Site'!K1734,"NULL")</f>
        <v> 45.00</v>
      </c>
      <c r="I1734" s="0" t="str">
        <f aca="false">"INSERT INTO COTACAO (cot_id, cot_blt_id, cot_pap_id, cot_prc_comum, cot_prc_min, cot_prc_max, cot_prc_med, cot_prc_mediana) VALUES ("&amp;A1734&amp;", "&amp;B1734&amp;", "&amp;C1734&amp;", "&amp;D1734&amp;", "&amp;E1734&amp;", "&amp;F1734&amp;", "&amp;G1734&amp;", "&amp;H1734&amp;");"</f>
        <v>INSERT INTO COTACAO (cot_id, cot_blt_id, cot_pap_id, cot_prc_comum, cot_prc_min, cot_prc_max, cot_prc_med, cot_prc_mediana) VALUES (1733, 81, 23,  40.00,  40.00,  60.00,  45.71,  45.00);</v>
      </c>
      <c r="J1734" s="0" t="str">
        <f aca="false">"UPDATE COTACAO SET cot_id = "&amp;A1734&amp;", cot_blt_id = "&amp;B1734&amp;", cot_pap_id = "&amp;C1734&amp;", cot_prc_comum = "&amp;D1734&amp;", cot_prc_min = "&amp;E1734&amp;", cot_prc_max = "&amp;F1734&amp;", cot_prc_med = "&amp;G1734&amp;", cot_prc_mediana = "&amp;H1734&amp;" WHERE cot_id = "&amp;A1734&amp;";"</f>
        <v>UPDATE COTACAO SET cot_id = 1733, cot_blt_id = 81, cot_pap_id = 23, cot_prc_comum =  40.00, cot_prc_min =  40.00, cot_prc_max =  60.00, cot_prc_med =  45.71, cot_prc_mediana =  45.00 WHERE cot_id = 1733;</v>
      </c>
    </row>
    <row r="1735" customFormat="false" ht="14.25" hidden="false" customHeight="false" outlineLevel="0" collapsed="false">
      <c r="A1735" s="0" t="n">
        <v>1734</v>
      </c>
      <c r="B1735" s="0" t="n">
        <f aca="false">IF('Boletins Nuppa Site'!A1735&lt;&gt;0,'Boletins Nuppa Site'!A1735,"NULL")</f>
        <v>81</v>
      </c>
      <c r="C1735" s="0" t="n">
        <v>24</v>
      </c>
      <c r="D1735" s="0" t="str">
        <f aca="false">IF('Boletins Nuppa Site'!G1735&lt;&gt;0,'Boletins Nuppa Site'!G1735,"NULL")</f>
        <v>NULL</v>
      </c>
      <c r="E1735" s="30" t="str">
        <f aca="false">IF('Boletins Nuppa Site'!H1735&lt;&gt;0,'Boletins Nuppa Site'!H1735,"NULL")</f>
        <v> 80.00</v>
      </c>
      <c r="F1735" s="30" t="str">
        <f aca="false">IF('Boletins Nuppa Site'!I1735&lt;&gt;0,'Boletins Nuppa Site'!I1735,"NULL")</f>
        <v> 80.00</v>
      </c>
      <c r="G1735" s="30" t="str">
        <f aca="false">IF('Boletins Nuppa Site'!J1735&lt;&gt;0,'Boletins Nuppa Site'!J1735,"NULL")</f>
        <v> 80.00</v>
      </c>
      <c r="H1735" s="30" t="str">
        <f aca="false">IF('Boletins Nuppa Site'!K1735&lt;&gt;0,'Boletins Nuppa Site'!K1735,"NULL")</f>
        <v> 80.00</v>
      </c>
      <c r="I1735" s="0" t="str">
        <f aca="false">"INSERT INTO COTACAO (cot_id, cot_blt_id, cot_pap_id, cot_prc_comum, cot_prc_min, cot_prc_max, cot_prc_med, cot_prc_mediana) VALUES ("&amp;A1735&amp;", "&amp;B1735&amp;", "&amp;C1735&amp;", "&amp;D1735&amp;", "&amp;E1735&amp;", "&amp;F1735&amp;", "&amp;G1735&amp;", "&amp;H1735&amp;");"</f>
        <v>INSERT INTO COTACAO (cot_id, cot_blt_id, cot_pap_id, cot_prc_comum, cot_prc_min, cot_prc_max, cot_prc_med, cot_prc_mediana) VALUES (1734, 81, 24, NULL,  80.00,  80.00,  80.00,  80.00);</v>
      </c>
      <c r="J1735" s="0" t="str">
        <f aca="false">"UPDATE COTACAO SET cot_id = "&amp;A1735&amp;", cot_blt_id = "&amp;B1735&amp;", cot_pap_id = "&amp;C1735&amp;", cot_prc_comum = "&amp;D1735&amp;", cot_prc_min = "&amp;E1735&amp;", cot_prc_max = "&amp;F1735&amp;", cot_prc_med = "&amp;G1735&amp;", cot_prc_mediana = "&amp;H1735&amp;" WHERE cot_id = "&amp;A1735&amp;";"</f>
        <v>UPDATE COTACAO SET cot_id = 1734, cot_blt_id = 81, cot_pap_id = 24, cot_prc_comum = NULL, cot_prc_min =  80.00, cot_prc_max =  80.00, cot_prc_med =  80.00, cot_prc_mediana =  80.00 WHERE cot_id = 1734;</v>
      </c>
    </row>
    <row r="1736" customFormat="false" ht="14.25" hidden="false" customHeight="false" outlineLevel="0" collapsed="false">
      <c r="A1736" s="0" t="n">
        <v>1735</v>
      </c>
      <c r="B1736" s="0" t="n">
        <f aca="false">IF('Boletins Nuppa Site'!A1736&lt;&gt;0,'Boletins Nuppa Site'!A1736,"NULL")</f>
        <v>81</v>
      </c>
      <c r="C1736" s="0" t="n">
        <v>25</v>
      </c>
      <c r="D1736" s="0" t="str">
        <f aca="false">IF('Boletins Nuppa Site'!G1736&lt;&gt;0,'Boletins Nuppa Site'!G1736,"NULL")</f>
        <v> 60.00</v>
      </c>
      <c r="E1736" s="30" t="str">
        <f aca="false">IF('Boletins Nuppa Site'!H1736&lt;&gt;0,'Boletins Nuppa Site'!H1736,"NULL")</f>
        <v> 55.00</v>
      </c>
      <c r="F1736" s="30" t="str">
        <f aca="false">IF('Boletins Nuppa Site'!I1736&lt;&gt;0,'Boletins Nuppa Site'!I1736,"NULL")</f>
        <v> 60.00</v>
      </c>
      <c r="G1736" s="30" t="str">
        <f aca="false">IF('Boletins Nuppa Site'!J1736&lt;&gt;0,'Boletins Nuppa Site'!J1736,"NULL")</f>
        <v> 58.75</v>
      </c>
      <c r="H1736" s="30" t="str">
        <f aca="false">IF('Boletins Nuppa Site'!K1736&lt;&gt;0,'Boletins Nuppa Site'!K1736,"NULL")</f>
        <v> 60.00</v>
      </c>
      <c r="I1736" s="0" t="str">
        <f aca="false">"INSERT INTO COTACAO (cot_id, cot_blt_id, cot_pap_id, cot_prc_comum, cot_prc_min, cot_prc_max, cot_prc_med, cot_prc_mediana) VALUES ("&amp;A1736&amp;", "&amp;B1736&amp;", "&amp;C1736&amp;", "&amp;D1736&amp;", "&amp;E1736&amp;", "&amp;F1736&amp;", "&amp;G1736&amp;", "&amp;H1736&amp;");"</f>
        <v>INSERT INTO COTACAO (cot_id, cot_blt_id, cot_pap_id, cot_prc_comum, cot_prc_min, cot_prc_max, cot_prc_med, cot_prc_mediana) VALUES (1735, 81, 25,  60.00,  55.00,  60.00,  58.75,  60.00);</v>
      </c>
      <c r="J1736" s="0" t="str">
        <f aca="false">"UPDATE COTACAO SET cot_id = "&amp;A1736&amp;", cot_blt_id = "&amp;B1736&amp;", cot_pap_id = "&amp;C1736&amp;", cot_prc_comum = "&amp;D1736&amp;", cot_prc_min = "&amp;E1736&amp;", cot_prc_max = "&amp;F1736&amp;", cot_prc_med = "&amp;G1736&amp;", cot_prc_mediana = "&amp;H1736&amp;" WHERE cot_id = "&amp;A1736&amp;";"</f>
        <v>UPDATE COTACAO SET cot_id = 1735, cot_blt_id = 81, cot_pap_id = 25, cot_prc_comum =  60.00, cot_prc_min =  55.00, cot_prc_max =  60.00, cot_prc_med =  58.75, cot_prc_mediana =  60.00 WHERE cot_id = 1735;</v>
      </c>
    </row>
    <row r="1737" customFormat="false" ht="14.25" hidden="false" customHeight="false" outlineLevel="0" collapsed="false">
      <c r="A1737" s="0" t="n">
        <v>1736</v>
      </c>
      <c r="B1737" s="0" t="n">
        <f aca="false">IF('Boletins Nuppa Site'!A1737&lt;&gt;0,'Boletins Nuppa Site'!A1737,"NULL")</f>
        <v>81</v>
      </c>
      <c r="C1737" s="0" t="n">
        <v>26</v>
      </c>
      <c r="D1737" s="0" t="str">
        <f aca="false">IF('Boletins Nuppa Site'!G1737&lt;&gt;0,'Boletins Nuppa Site'!G1737,"NULL")</f>
        <v> 60.00</v>
      </c>
      <c r="E1737" s="30" t="str">
        <f aca="false">IF('Boletins Nuppa Site'!H1737&lt;&gt;0,'Boletins Nuppa Site'!H1737,"NULL")</f>
        <v> 40.00</v>
      </c>
      <c r="F1737" s="30" t="str">
        <f aca="false">IF('Boletins Nuppa Site'!I1737&lt;&gt;0,'Boletins Nuppa Site'!I1737,"NULL")</f>
        <v> 70.00</v>
      </c>
      <c r="G1737" s="30" t="str">
        <f aca="false">IF('Boletins Nuppa Site'!J1737&lt;&gt;0,'Boletins Nuppa Site'!J1737,"NULL")</f>
        <v> 53.33</v>
      </c>
      <c r="H1737" s="30" t="str">
        <f aca="false">IF('Boletins Nuppa Site'!K1737&lt;&gt;0,'Boletins Nuppa Site'!K1737,"NULL")</f>
        <v> 55.00</v>
      </c>
      <c r="I1737" s="0" t="str">
        <f aca="false">"INSERT INTO COTACAO (cot_id, cot_blt_id, cot_pap_id, cot_prc_comum, cot_prc_min, cot_prc_max, cot_prc_med, cot_prc_mediana) VALUES ("&amp;A1737&amp;", "&amp;B1737&amp;", "&amp;C1737&amp;", "&amp;D1737&amp;", "&amp;E1737&amp;", "&amp;F1737&amp;", "&amp;G1737&amp;", "&amp;H1737&amp;");"</f>
        <v>INSERT INTO COTACAO (cot_id, cot_blt_id, cot_pap_id, cot_prc_comum, cot_prc_min, cot_prc_max, cot_prc_med, cot_prc_mediana) VALUES (1736, 81, 26,  60.00,  40.00,  70.00,  53.33,  55.00);</v>
      </c>
      <c r="J1737" s="0" t="str">
        <f aca="false">"UPDATE COTACAO SET cot_id = "&amp;A1737&amp;", cot_blt_id = "&amp;B1737&amp;", cot_pap_id = "&amp;C1737&amp;", cot_prc_comum = "&amp;D1737&amp;", cot_prc_min = "&amp;E1737&amp;", cot_prc_max = "&amp;F1737&amp;", cot_prc_med = "&amp;G1737&amp;", cot_prc_mediana = "&amp;H1737&amp;" WHERE cot_id = "&amp;A1737&amp;";"</f>
        <v>UPDATE COTACAO SET cot_id = 1736, cot_blt_id = 81, cot_pap_id = 26, cot_prc_comum =  60.00, cot_prc_min =  40.00, cot_prc_max =  70.00, cot_prc_med =  53.33, cot_prc_mediana =  55.00 WHERE cot_id = 1736;</v>
      </c>
    </row>
    <row r="1738" customFormat="false" ht="14.25" hidden="false" customHeight="false" outlineLevel="0" collapsed="false">
      <c r="A1738" s="0" t="n">
        <v>1737</v>
      </c>
      <c r="B1738" s="0" t="n">
        <f aca="false">IF('Boletins Nuppa Site'!A1738&lt;&gt;0,'Boletins Nuppa Site'!A1738,"NULL")</f>
        <v>81</v>
      </c>
      <c r="C1738" s="0" t="n">
        <v>27</v>
      </c>
      <c r="D1738" s="0" t="str">
        <f aca="false">IF('Boletins Nuppa Site'!G1738&lt;&gt;0,'Boletins Nuppa Site'!G1738,"NULL")</f>
        <v> 40.00</v>
      </c>
      <c r="E1738" s="30" t="str">
        <f aca="false">IF('Boletins Nuppa Site'!H1738&lt;&gt;0,'Boletins Nuppa Site'!H1738,"NULL")</f>
        <v> 20.00</v>
      </c>
      <c r="F1738" s="30" t="str">
        <f aca="false">IF('Boletins Nuppa Site'!I1738&lt;&gt;0,'Boletins Nuppa Site'!I1738,"NULL")</f>
        <v> 40.00</v>
      </c>
      <c r="G1738" s="30" t="str">
        <f aca="false">IF('Boletins Nuppa Site'!J1738&lt;&gt;0,'Boletins Nuppa Site'!J1738,"NULL")</f>
        <v> 33.33</v>
      </c>
      <c r="H1738" s="30" t="str">
        <f aca="false">IF('Boletins Nuppa Site'!K1738&lt;&gt;0,'Boletins Nuppa Site'!K1738,"NULL")</f>
        <v> 35.00</v>
      </c>
      <c r="I1738" s="0" t="str">
        <f aca="false">"INSERT INTO COTACAO (cot_id, cot_blt_id, cot_pap_id, cot_prc_comum, cot_prc_min, cot_prc_max, cot_prc_med, cot_prc_mediana) VALUES ("&amp;A1738&amp;", "&amp;B1738&amp;", "&amp;C1738&amp;", "&amp;D1738&amp;", "&amp;E1738&amp;", "&amp;F1738&amp;", "&amp;G1738&amp;", "&amp;H1738&amp;");"</f>
        <v>INSERT INTO COTACAO (cot_id, cot_blt_id, cot_pap_id, cot_prc_comum, cot_prc_min, cot_prc_max, cot_prc_med, cot_prc_mediana) VALUES (1737, 81, 27,  40.00,  20.00,  40.00,  33.33,  35.00);</v>
      </c>
      <c r="J1738" s="0" t="str">
        <f aca="false">"UPDATE COTACAO SET cot_id = "&amp;A1738&amp;", cot_blt_id = "&amp;B1738&amp;", cot_pap_id = "&amp;C1738&amp;", cot_prc_comum = "&amp;D1738&amp;", cot_prc_min = "&amp;E1738&amp;", cot_prc_max = "&amp;F1738&amp;", cot_prc_med = "&amp;G1738&amp;", cot_prc_mediana = "&amp;H1738&amp;" WHERE cot_id = "&amp;A1738&amp;";"</f>
        <v>UPDATE COTACAO SET cot_id = 1737, cot_blt_id = 81, cot_pap_id = 27, cot_prc_comum =  40.00, cot_prc_min =  20.00, cot_prc_max =  40.00, cot_prc_med =  33.33, cot_prc_mediana =  35.00 WHERE cot_id = 1737;</v>
      </c>
    </row>
    <row r="1739" customFormat="false" ht="14.25" hidden="false" customHeight="false" outlineLevel="0" collapsed="false">
      <c r="A1739" s="0" t="n">
        <v>1738</v>
      </c>
      <c r="B1739" s="0" t="n">
        <f aca="false">IF('Boletins Nuppa Site'!A1739&lt;&gt;0,'Boletins Nuppa Site'!A1739,"NULL")</f>
        <v>81</v>
      </c>
      <c r="C1739" s="0" t="n">
        <v>28</v>
      </c>
      <c r="D1739" s="0" t="str">
        <f aca="false">IF('Boletins Nuppa Site'!G1739&lt;&gt;0,'Boletins Nuppa Site'!G1739,"NULL")</f>
        <v> 90.00</v>
      </c>
      <c r="E1739" s="30" t="str">
        <f aca="false">IF('Boletins Nuppa Site'!H1739&lt;&gt;0,'Boletins Nuppa Site'!H1739,"NULL")</f>
        <v> 80.00</v>
      </c>
      <c r="F1739" s="30" t="str">
        <f aca="false">IF('Boletins Nuppa Site'!I1739&lt;&gt;0,'Boletins Nuppa Site'!I1739,"NULL")</f>
        <v> 100.00</v>
      </c>
      <c r="G1739" s="30" t="str">
        <f aca="false">IF('Boletins Nuppa Site'!J1739&lt;&gt;0,'Boletins Nuppa Site'!J1739,"NULL")</f>
        <v> 92.00</v>
      </c>
      <c r="H1739" s="30" t="str">
        <f aca="false">IF('Boletins Nuppa Site'!K1739&lt;&gt;0,'Boletins Nuppa Site'!K1739,"NULL")</f>
        <v> 90.00</v>
      </c>
      <c r="I1739" s="0" t="str">
        <f aca="false">"INSERT INTO COTACAO (cot_id, cot_blt_id, cot_pap_id, cot_prc_comum, cot_prc_min, cot_prc_max, cot_prc_med, cot_prc_mediana) VALUES ("&amp;A1739&amp;", "&amp;B1739&amp;", "&amp;C1739&amp;", "&amp;D1739&amp;", "&amp;E1739&amp;", "&amp;F1739&amp;", "&amp;G1739&amp;", "&amp;H1739&amp;");"</f>
        <v>INSERT INTO COTACAO (cot_id, cot_blt_id, cot_pap_id, cot_prc_comum, cot_prc_min, cot_prc_max, cot_prc_med, cot_prc_mediana) VALUES (1738, 81, 28,  90.00,  80.00,  100.00,  92.00,  90.00);</v>
      </c>
      <c r="J1739" s="0" t="str">
        <f aca="false">"UPDATE COTACAO SET cot_id = "&amp;A1739&amp;", cot_blt_id = "&amp;B1739&amp;", cot_pap_id = "&amp;C1739&amp;", cot_prc_comum = "&amp;D1739&amp;", cot_prc_min = "&amp;E1739&amp;", cot_prc_max = "&amp;F1739&amp;", cot_prc_med = "&amp;G1739&amp;", cot_prc_mediana = "&amp;H1739&amp;" WHERE cot_id = "&amp;A1739&amp;";"</f>
        <v>UPDATE COTACAO SET cot_id = 1738, cot_blt_id = 81, cot_pap_id = 28, cot_prc_comum =  90.00, cot_prc_min =  80.00, cot_prc_max =  100.00, cot_prc_med =  92.00, cot_prc_mediana =  90.00 WHERE cot_id = 1738;</v>
      </c>
    </row>
    <row r="1740" customFormat="false" ht="14.25" hidden="false" customHeight="false" outlineLevel="0" collapsed="false">
      <c r="A1740" s="0" t="n">
        <v>1739</v>
      </c>
      <c r="B1740" s="0" t="n">
        <f aca="false">IF('Boletins Nuppa Site'!A1740&lt;&gt;0,'Boletins Nuppa Site'!A1740,"NULL")</f>
        <v>81</v>
      </c>
      <c r="C1740" s="0" t="n">
        <v>29</v>
      </c>
      <c r="D1740" s="0" t="str">
        <f aca="false">IF('Boletins Nuppa Site'!G1740&lt;&gt;0,'Boletins Nuppa Site'!G1740,"NULL")</f>
        <v>NULL</v>
      </c>
      <c r="E1740" s="30" t="str">
        <f aca="false">IF('Boletins Nuppa Site'!H1740&lt;&gt;0,'Boletins Nuppa Site'!H1740,"NULL")</f>
        <v> 50.00</v>
      </c>
      <c r="F1740" s="30" t="str">
        <f aca="false">IF('Boletins Nuppa Site'!I1740&lt;&gt;0,'Boletins Nuppa Site'!I1740,"NULL")</f>
        <v> 65.00</v>
      </c>
      <c r="G1740" s="30" t="str">
        <f aca="false">IF('Boletins Nuppa Site'!J1740&lt;&gt;0,'Boletins Nuppa Site'!J1740,"NULL")</f>
        <v> 57.50</v>
      </c>
      <c r="H1740" s="30" t="str">
        <f aca="false">IF('Boletins Nuppa Site'!K1740&lt;&gt;0,'Boletins Nuppa Site'!K1740,"NULL")</f>
        <v> 57.50</v>
      </c>
      <c r="I1740" s="0" t="str">
        <f aca="false">"INSERT INTO COTACAO (cot_id, cot_blt_id, cot_pap_id, cot_prc_comum, cot_prc_min, cot_prc_max, cot_prc_med, cot_prc_mediana) VALUES ("&amp;A1740&amp;", "&amp;B1740&amp;", "&amp;C1740&amp;", "&amp;D1740&amp;", "&amp;E1740&amp;", "&amp;F1740&amp;", "&amp;G1740&amp;", "&amp;H1740&amp;");"</f>
        <v>INSERT INTO COTACAO (cot_id, cot_blt_id, cot_pap_id, cot_prc_comum, cot_prc_min, cot_prc_max, cot_prc_med, cot_prc_mediana) VALUES (1739, 81, 29, NULL,  50.00,  65.00,  57.50,  57.50);</v>
      </c>
      <c r="J1740" s="0" t="str">
        <f aca="false">"UPDATE COTACAO SET cot_id = "&amp;A1740&amp;", cot_blt_id = "&amp;B1740&amp;", cot_pap_id = "&amp;C1740&amp;", cot_prc_comum = "&amp;D1740&amp;", cot_prc_min = "&amp;E1740&amp;", cot_prc_max = "&amp;F1740&amp;", cot_prc_med = "&amp;G1740&amp;", cot_prc_mediana = "&amp;H1740&amp;" WHERE cot_id = "&amp;A1740&amp;";"</f>
        <v>UPDATE COTACAO SET cot_id = 1739, cot_blt_id = 81, cot_pap_id = 29, cot_prc_comum = NULL, cot_prc_min =  50.00, cot_prc_max =  65.00, cot_prc_med =  57.50, cot_prc_mediana =  57.50 WHERE cot_id = 1739;</v>
      </c>
    </row>
    <row r="1741" customFormat="false" ht="14.25" hidden="false" customHeight="false" outlineLevel="0" collapsed="false">
      <c r="A1741" s="0" t="n">
        <v>1740</v>
      </c>
      <c r="B1741" s="0" t="n">
        <f aca="false">IF('Boletins Nuppa Site'!A1741&lt;&gt;0,'Boletins Nuppa Site'!A1741,"NULL")</f>
        <v>81</v>
      </c>
      <c r="C1741" s="0" t="n">
        <v>30</v>
      </c>
      <c r="D1741" s="0" t="str">
        <f aca="false">IF('Boletins Nuppa Site'!G1741&lt;&gt;0,'Boletins Nuppa Site'!G1741,"NULL")</f>
        <v> 40.00</v>
      </c>
      <c r="E1741" s="30" t="str">
        <f aca="false">IF('Boletins Nuppa Site'!H1741&lt;&gt;0,'Boletins Nuppa Site'!H1741,"NULL")</f>
        <v> 35.00</v>
      </c>
      <c r="F1741" s="30" t="str">
        <f aca="false">IF('Boletins Nuppa Site'!I1741&lt;&gt;0,'Boletins Nuppa Site'!I1741,"NULL")</f>
        <v> 60.00</v>
      </c>
      <c r="G1741" s="30" t="str">
        <f aca="false">IF('Boletins Nuppa Site'!J1741&lt;&gt;0,'Boletins Nuppa Site'!J1741,"NULL")</f>
        <v> 43.00</v>
      </c>
      <c r="H1741" s="30" t="str">
        <f aca="false">IF('Boletins Nuppa Site'!K1741&lt;&gt;0,'Boletins Nuppa Site'!K1741,"NULL")</f>
        <v> 40.00</v>
      </c>
      <c r="I1741" s="0" t="str">
        <f aca="false">"INSERT INTO COTACAO (cot_id, cot_blt_id, cot_pap_id, cot_prc_comum, cot_prc_min, cot_prc_max, cot_prc_med, cot_prc_mediana) VALUES ("&amp;A1741&amp;", "&amp;B1741&amp;", "&amp;C1741&amp;", "&amp;D1741&amp;", "&amp;E1741&amp;", "&amp;F1741&amp;", "&amp;G1741&amp;", "&amp;H1741&amp;");"</f>
        <v>INSERT INTO COTACAO (cot_id, cot_blt_id, cot_pap_id, cot_prc_comum, cot_prc_min, cot_prc_max, cot_prc_med, cot_prc_mediana) VALUES (1740, 81, 30,  40.00,  35.00,  60.00,  43.00,  40.00);</v>
      </c>
      <c r="J1741" s="0" t="str">
        <f aca="false">"UPDATE COTACAO SET cot_id = "&amp;A1741&amp;", cot_blt_id = "&amp;B1741&amp;", cot_pap_id = "&amp;C1741&amp;", cot_prc_comum = "&amp;D1741&amp;", cot_prc_min = "&amp;E1741&amp;", cot_prc_max = "&amp;F1741&amp;", cot_prc_med = "&amp;G1741&amp;", cot_prc_mediana = "&amp;H1741&amp;" WHERE cot_id = "&amp;A1741&amp;";"</f>
        <v>UPDATE COTACAO SET cot_id = 1740, cot_blt_id = 81, cot_pap_id = 30, cot_prc_comum =  40.00, cot_prc_min =  35.00, cot_prc_max =  60.00, cot_prc_med =  43.00, cot_prc_mediana =  40.00 WHERE cot_id = 1740;</v>
      </c>
    </row>
    <row r="1742" customFormat="false" ht="14.25" hidden="false" customHeight="false" outlineLevel="0" collapsed="false">
      <c r="A1742" s="0" t="n">
        <v>1741</v>
      </c>
      <c r="B1742" s="0" t="n">
        <f aca="false">IF('Boletins Nuppa Site'!A1742&lt;&gt;0,'Boletins Nuppa Site'!A1742,"NULL")</f>
        <v>81</v>
      </c>
      <c r="C1742" s="0" t="n">
        <v>31</v>
      </c>
      <c r="D1742" s="0" t="str">
        <f aca="false">IF('Boletins Nuppa Site'!G1742&lt;&gt;0,'Boletins Nuppa Site'!G1742,"NULL")</f>
        <v> 40.00</v>
      </c>
      <c r="E1742" s="30" t="str">
        <f aca="false">IF('Boletins Nuppa Site'!H1742&lt;&gt;0,'Boletins Nuppa Site'!H1742,"NULL")</f>
        <v> 40.00</v>
      </c>
      <c r="F1742" s="30" t="str">
        <f aca="false">IF('Boletins Nuppa Site'!I1742&lt;&gt;0,'Boletins Nuppa Site'!I1742,"NULL")</f>
        <v> 60.00</v>
      </c>
      <c r="G1742" s="30" t="str">
        <f aca="false">IF('Boletins Nuppa Site'!J1742&lt;&gt;0,'Boletins Nuppa Site'!J1742,"NULL")</f>
        <v> 46.43</v>
      </c>
      <c r="H1742" s="30" t="str">
        <f aca="false">IF('Boletins Nuppa Site'!K1742&lt;&gt;0,'Boletins Nuppa Site'!K1742,"NULL")</f>
        <v> 45.00</v>
      </c>
      <c r="I1742" s="0" t="str">
        <f aca="false">"INSERT INTO COTACAO (cot_id, cot_blt_id, cot_pap_id, cot_prc_comum, cot_prc_min, cot_prc_max, cot_prc_med, cot_prc_mediana) VALUES ("&amp;A1742&amp;", "&amp;B1742&amp;", "&amp;C1742&amp;", "&amp;D1742&amp;", "&amp;E1742&amp;", "&amp;F1742&amp;", "&amp;G1742&amp;", "&amp;H1742&amp;");"</f>
        <v>INSERT INTO COTACAO (cot_id, cot_blt_id, cot_pap_id, cot_prc_comum, cot_prc_min, cot_prc_max, cot_prc_med, cot_prc_mediana) VALUES (1741, 81, 31,  40.00,  40.00,  60.00,  46.43,  45.00);</v>
      </c>
      <c r="J1742" s="0" t="str">
        <f aca="false">"UPDATE COTACAO SET cot_id = "&amp;A1742&amp;", cot_blt_id = "&amp;B1742&amp;", cot_pap_id = "&amp;C1742&amp;", cot_prc_comum = "&amp;D1742&amp;", cot_prc_min = "&amp;E1742&amp;", cot_prc_max = "&amp;F1742&amp;", cot_prc_med = "&amp;G1742&amp;", cot_prc_mediana = "&amp;H1742&amp;" WHERE cot_id = "&amp;A1742&amp;";"</f>
        <v>UPDATE COTACAO SET cot_id = 1741, cot_blt_id = 81, cot_pap_id = 31, cot_prc_comum =  40.00, cot_prc_min =  40.00, cot_prc_max =  60.00, cot_prc_med =  46.43, cot_prc_mediana =  45.00 WHERE cot_id = 1741;</v>
      </c>
    </row>
    <row r="1743" customFormat="false" ht="14.25" hidden="false" customHeight="false" outlineLevel="0" collapsed="false">
      <c r="A1743" s="0" t="n">
        <v>1742</v>
      </c>
      <c r="B1743" s="0" t="n">
        <f aca="false">IF('Boletins Nuppa Site'!A1743&lt;&gt;0,'Boletins Nuppa Site'!A1743,"NULL")</f>
        <v>81</v>
      </c>
      <c r="C1743" s="0" t="n">
        <v>32</v>
      </c>
      <c r="D1743" s="0" t="str">
        <f aca="false">IF('Boletins Nuppa Site'!G1743&lt;&gt;0,'Boletins Nuppa Site'!G1743,"NULL")</f>
        <v> 40.00</v>
      </c>
      <c r="E1743" s="30" t="str">
        <f aca="false">IF('Boletins Nuppa Site'!H1743&lt;&gt;0,'Boletins Nuppa Site'!H1743,"NULL")</f>
        <v> 40.00</v>
      </c>
      <c r="F1743" s="30" t="str">
        <f aca="false">IF('Boletins Nuppa Site'!I1743&lt;&gt;0,'Boletins Nuppa Site'!I1743,"NULL")</f>
        <v> 50.00</v>
      </c>
      <c r="G1743" s="30" t="str">
        <f aca="false">IF('Boletins Nuppa Site'!J1743&lt;&gt;0,'Boletins Nuppa Site'!J1743,"NULL")</f>
        <v> 42.50</v>
      </c>
      <c r="H1743" s="30" t="str">
        <f aca="false">IF('Boletins Nuppa Site'!K1743&lt;&gt;0,'Boletins Nuppa Site'!K1743,"NULL")</f>
        <v> 40.00</v>
      </c>
      <c r="I1743" s="0" t="str">
        <f aca="false">"INSERT INTO COTACAO (cot_id, cot_blt_id, cot_pap_id, cot_prc_comum, cot_prc_min, cot_prc_max, cot_prc_med, cot_prc_mediana) VALUES ("&amp;A1743&amp;", "&amp;B1743&amp;", "&amp;C1743&amp;", "&amp;D1743&amp;", "&amp;E1743&amp;", "&amp;F1743&amp;", "&amp;G1743&amp;", "&amp;H1743&amp;");"</f>
        <v>INSERT INTO COTACAO (cot_id, cot_blt_id, cot_pap_id, cot_prc_comum, cot_prc_min, cot_prc_max, cot_prc_med, cot_prc_mediana) VALUES (1742, 81, 32,  40.00,  40.00,  50.00,  42.50,  40.00);</v>
      </c>
      <c r="J1743" s="0" t="str">
        <f aca="false">"UPDATE COTACAO SET cot_id = "&amp;A1743&amp;", cot_blt_id = "&amp;B1743&amp;", cot_pap_id = "&amp;C1743&amp;", cot_prc_comum = "&amp;D1743&amp;", cot_prc_min = "&amp;E1743&amp;", cot_prc_max = "&amp;F1743&amp;", cot_prc_med = "&amp;G1743&amp;", cot_prc_mediana = "&amp;H1743&amp;" WHERE cot_id = "&amp;A1743&amp;";"</f>
        <v>UPDATE COTACAO SET cot_id = 1742, cot_blt_id = 81, cot_pap_id = 32, cot_prc_comum =  40.00, cot_prc_min =  40.00, cot_prc_max =  50.00, cot_prc_med =  42.50, cot_prc_mediana =  40.00 WHERE cot_id = 1742;</v>
      </c>
    </row>
    <row r="1744" customFormat="false" ht="14.25" hidden="false" customHeight="false" outlineLevel="0" collapsed="false">
      <c r="A1744" s="0" t="n">
        <v>1743</v>
      </c>
      <c r="B1744" s="0" t="n">
        <f aca="false">IF('Boletins Nuppa Site'!A1744&lt;&gt;0,'Boletins Nuppa Site'!A1744,"NULL")</f>
        <v>81</v>
      </c>
      <c r="C1744" s="0" t="n">
        <v>33</v>
      </c>
      <c r="D1744" s="0" t="str">
        <f aca="false">IF('Boletins Nuppa Site'!G1744&lt;&gt;0,'Boletins Nuppa Site'!G1744,"NULL")</f>
        <v>NULL</v>
      </c>
      <c r="E1744" s="30" t="str">
        <f aca="false">IF('Boletins Nuppa Site'!H1744&lt;&gt;0,'Boletins Nuppa Site'!H1744,"NULL")</f>
        <v> 70.00</v>
      </c>
      <c r="F1744" s="30" t="str">
        <f aca="false">IF('Boletins Nuppa Site'!I1744&lt;&gt;0,'Boletins Nuppa Site'!I1744,"NULL")</f>
        <v> 120.00</v>
      </c>
      <c r="G1744" s="30" t="str">
        <f aca="false">IF('Boletins Nuppa Site'!J1744&lt;&gt;0,'Boletins Nuppa Site'!J1744,"NULL")</f>
        <v> 92.00</v>
      </c>
      <c r="H1744" s="30" t="str">
        <f aca="false">IF('Boletins Nuppa Site'!K1744&lt;&gt;0,'Boletins Nuppa Site'!K1744,"NULL")</f>
        <v> 90.00</v>
      </c>
      <c r="I1744" s="0" t="str">
        <f aca="false">"INSERT INTO COTACAO (cot_id, cot_blt_id, cot_pap_id, cot_prc_comum, cot_prc_min, cot_prc_max, cot_prc_med, cot_prc_mediana) VALUES ("&amp;A1744&amp;", "&amp;B1744&amp;", "&amp;C1744&amp;", "&amp;D1744&amp;", "&amp;E1744&amp;", "&amp;F1744&amp;", "&amp;G1744&amp;", "&amp;H1744&amp;");"</f>
        <v>INSERT INTO COTACAO (cot_id, cot_blt_id, cot_pap_id, cot_prc_comum, cot_prc_min, cot_prc_max, cot_prc_med, cot_prc_mediana) VALUES (1743, 81, 33, NULL,  70.00,  120.00,  92.00,  90.00);</v>
      </c>
      <c r="J1744" s="0" t="str">
        <f aca="false">"UPDATE COTACAO SET cot_id = "&amp;A1744&amp;", cot_blt_id = "&amp;B1744&amp;", cot_pap_id = "&amp;C1744&amp;", cot_prc_comum = "&amp;D1744&amp;", cot_prc_min = "&amp;E1744&amp;", cot_prc_max = "&amp;F1744&amp;", cot_prc_med = "&amp;G1744&amp;", cot_prc_mediana = "&amp;H1744&amp;" WHERE cot_id = "&amp;A1744&amp;";"</f>
        <v>UPDATE COTACAO SET cot_id = 1743, cot_blt_id = 81, cot_pap_id = 33, cot_prc_comum = NULL, cot_prc_min =  70.00, cot_prc_max =  120.00, cot_prc_med =  92.00, cot_prc_mediana =  90.00 WHERE cot_id = 1743;</v>
      </c>
    </row>
    <row r="1745" customFormat="false" ht="14.25" hidden="false" customHeight="false" outlineLevel="0" collapsed="false">
      <c r="A1745" s="0" t="n">
        <v>1744</v>
      </c>
      <c r="B1745" s="0" t="n">
        <f aca="false">IF('Boletins Nuppa Site'!A1745&lt;&gt;0,'Boletins Nuppa Site'!A1745,"NULL")</f>
        <v>81</v>
      </c>
      <c r="C1745" s="0" t="n">
        <v>34</v>
      </c>
      <c r="D1745" s="0" t="str">
        <f aca="false">IF('Boletins Nuppa Site'!G1745&lt;&gt;0,'Boletins Nuppa Site'!G1745,"NULL")</f>
        <v> 40.00</v>
      </c>
      <c r="E1745" s="30" t="str">
        <f aca="false">IF('Boletins Nuppa Site'!H1745&lt;&gt;0,'Boletins Nuppa Site'!H1745,"NULL")</f>
        <v> 40.00</v>
      </c>
      <c r="F1745" s="30" t="str">
        <f aca="false">IF('Boletins Nuppa Site'!I1745&lt;&gt;0,'Boletins Nuppa Site'!I1745,"NULL")</f>
        <v> 60.00</v>
      </c>
      <c r="G1745" s="30" t="str">
        <f aca="false">IF('Boletins Nuppa Site'!J1745&lt;&gt;0,'Boletins Nuppa Site'!J1745,"NULL")</f>
        <v> 50.71</v>
      </c>
      <c r="H1745" s="30" t="str">
        <f aca="false">IF('Boletins Nuppa Site'!K1745&lt;&gt;0,'Boletins Nuppa Site'!K1745,"NULL")</f>
        <v> 50.00</v>
      </c>
      <c r="I1745" s="0" t="str">
        <f aca="false">"INSERT INTO COTACAO (cot_id, cot_blt_id, cot_pap_id, cot_prc_comum, cot_prc_min, cot_prc_max, cot_prc_med, cot_prc_mediana) VALUES ("&amp;A1745&amp;", "&amp;B1745&amp;", "&amp;C1745&amp;", "&amp;D1745&amp;", "&amp;E1745&amp;", "&amp;F1745&amp;", "&amp;G1745&amp;", "&amp;H1745&amp;");"</f>
        <v>INSERT INTO COTACAO (cot_id, cot_blt_id, cot_pap_id, cot_prc_comum, cot_prc_min, cot_prc_max, cot_prc_med, cot_prc_mediana) VALUES (1744, 81, 34,  40.00,  40.00,  60.00,  50.71,  50.00);</v>
      </c>
      <c r="J1745" s="0" t="str">
        <f aca="false">"UPDATE COTACAO SET cot_id = "&amp;A1745&amp;", cot_blt_id = "&amp;B1745&amp;", cot_pap_id = "&amp;C1745&amp;", cot_prc_comum = "&amp;D1745&amp;", cot_prc_min = "&amp;E1745&amp;", cot_prc_max = "&amp;F1745&amp;", cot_prc_med = "&amp;G1745&amp;", cot_prc_mediana = "&amp;H1745&amp;" WHERE cot_id = "&amp;A1745&amp;";"</f>
        <v>UPDATE COTACAO SET cot_id = 1744, cot_blt_id = 81, cot_pap_id = 34, cot_prc_comum =  40.00, cot_prc_min =  40.00, cot_prc_max =  60.00, cot_prc_med =  50.71, cot_prc_mediana =  50.00 WHERE cot_id = 1744;</v>
      </c>
    </row>
    <row r="1746" customFormat="false" ht="14.25" hidden="false" customHeight="false" outlineLevel="0" collapsed="false">
      <c r="A1746" s="0" t="n">
        <v>1745</v>
      </c>
      <c r="B1746" s="0" t="n">
        <f aca="false">IF('Boletins Nuppa Site'!A1746&lt;&gt;0,'Boletins Nuppa Site'!A1746,"NULL")</f>
        <v>81</v>
      </c>
      <c r="C1746" s="0" t="n">
        <v>35</v>
      </c>
      <c r="D1746" s="0" t="str">
        <f aca="false">IF('Boletins Nuppa Site'!G1746&lt;&gt;0,'Boletins Nuppa Site'!G1746,"NULL")</f>
        <v> 60.00</v>
      </c>
      <c r="E1746" s="30" t="str">
        <f aca="false">IF('Boletins Nuppa Site'!H1746&lt;&gt;0,'Boletins Nuppa Site'!H1746,"NULL")</f>
        <v> 50.00</v>
      </c>
      <c r="F1746" s="30" t="str">
        <f aca="false">IF('Boletins Nuppa Site'!I1746&lt;&gt;0,'Boletins Nuppa Site'!I1746,"NULL")</f>
        <v> 60.00</v>
      </c>
      <c r="G1746" s="30" t="str">
        <f aca="false">IF('Boletins Nuppa Site'!J1746&lt;&gt;0,'Boletins Nuppa Site'!J1746,"NULL")</f>
        <v> 55.00</v>
      </c>
      <c r="H1746" s="30" t="str">
        <f aca="false">IF('Boletins Nuppa Site'!K1746&lt;&gt;0,'Boletins Nuppa Site'!K1746,"NULL")</f>
        <v> 55.00</v>
      </c>
      <c r="I1746" s="0" t="str">
        <f aca="false">"INSERT INTO COTACAO (cot_id, cot_blt_id, cot_pap_id, cot_prc_comum, cot_prc_min, cot_prc_max, cot_prc_med, cot_prc_mediana) VALUES ("&amp;A1746&amp;", "&amp;B1746&amp;", "&amp;C1746&amp;", "&amp;D1746&amp;", "&amp;E1746&amp;", "&amp;F1746&amp;", "&amp;G1746&amp;", "&amp;H1746&amp;");"</f>
        <v>INSERT INTO COTACAO (cot_id, cot_blt_id, cot_pap_id, cot_prc_comum, cot_prc_min, cot_prc_max, cot_prc_med, cot_prc_mediana) VALUES (1745, 81, 35,  60.00,  50.00,  60.00,  55.00,  55.00);</v>
      </c>
      <c r="J1746" s="0" t="str">
        <f aca="false">"UPDATE COTACAO SET cot_id = "&amp;A1746&amp;", cot_blt_id = "&amp;B1746&amp;", cot_pap_id = "&amp;C1746&amp;", cot_prc_comum = "&amp;D1746&amp;", cot_prc_min = "&amp;E1746&amp;", cot_prc_max = "&amp;F1746&amp;", cot_prc_med = "&amp;G1746&amp;", cot_prc_mediana = "&amp;H1746&amp;" WHERE cot_id = "&amp;A1746&amp;";"</f>
        <v>UPDATE COTACAO SET cot_id = 1745, cot_blt_id = 81, cot_pap_id = 35, cot_prc_comum =  60.00, cot_prc_min =  50.00, cot_prc_max =  60.00, cot_prc_med =  55.00, cot_prc_mediana =  55.00 WHERE cot_id = 1745;</v>
      </c>
    </row>
    <row r="1747" customFormat="false" ht="14.25" hidden="false" customHeight="false" outlineLevel="0" collapsed="false">
      <c r="A1747" s="0" t="n">
        <v>1746</v>
      </c>
      <c r="B1747" s="0" t="n">
        <f aca="false">IF('Boletins Nuppa Site'!A1747&lt;&gt;0,'Boletins Nuppa Site'!A1747,"NULL")</f>
        <v>81</v>
      </c>
      <c r="C1747" s="0" t="n">
        <v>36</v>
      </c>
      <c r="D1747" s="0" t="str">
        <f aca="false">IF('Boletins Nuppa Site'!G1747&lt;&gt;0,'Boletins Nuppa Site'!G1747,"NULL")</f>
        <v>NULL</v>
      </c>
      <c r="E1747" s="30" t="str">
        <f aca="false">IF('Boletins Nuppa Site'!H1747&lt;&gt;0,'Boletins Nuppa Site'!H1747,"NULL")</f>
        <v>NULL</v>
      </c>
      <c r="F1747" s="30" t="str">
        <f aca="false">IF('Boletins Nuppa Site'!I1747&lt;&gt;0,'Boletins Nuppa Site'!I1747,"NULL")</f>
        <v>NULL</v>
      </c>
      <c r="G1747" s="30" t="str">
        <f aca="false">IF('Boletins Nuppa Site'!J1747&lt;&gt;0,'Boletins Nuppa Site'!J1747,"NULL")</f>
        <v>NULL</v>
      </c>
      <c r="H1747" s="30" t="str">
        <f aca="false">IF('Boletins Nuppa Site'!K1747&lt;&gt;0,'Boletins Nuppa Site'!K1747,"NULL")</f>
        <v>NULL</v>
      </c>
      <c r="I1747" s="0" t="str">
        <f aca="false">"INSERT INTO COTACAO (cot_id, cot_blt_id, cot_pap_id, cot_prc_comum, cot_prc_min, cot_prc_max, cot_prc_med, cot_prc_mediana) VALUES ("&amp;A1747&amp;", "&amp;B1747&amp;", "&amp;C1747&amp;", "&amp;D1747&amp;", "&amp;E1747&amp;", "&amp;F1747&amp;", "&amp;G1747&amp;", "&amp;H1747&amp;");"</f>
        <v>INSERT INTO COTACAO (cot_id, cot_blt_id, cot_pap_id, cot_prc_comum, cot_prc_min, cot_prc_max, cot_prc_med, cot_prc_mediana) VALUES (1746, 81, 36, NULL, NULL, NULL, NULL, NULL);</v>
      </c>
      <c r="J1747" s="0" t="str">
        <f aca="false">"UPDATE COTACAO SET cot_id = "&amp;A1747&amp;", cot_blt_id = "&amp;B1747&amp;", cot_pap_id = "&amp;C1747&amp;", cot_prc_comum = "&amp;D1747&amp;", cot_prc_min = "&amp;E1747&amp;", cot_prc_max = "&amp;F1747&amp;", cot_prc_med = "&amp;G1747&amp;", cot_prc_mediana = "&amp;H1747&amp;" WHERE cot_id = "&amp;A1747&amp;";"</f>
        <v>UPDATE COTACAO SET cot_id = 1746, cot_blt_id = 81, cot_pap_id = 36, cot_prc_comum = NULL, cot_prc_min = NULL, cot_prc_max = NULL, cot_prc_med = NULL, cot_prc_mediana = NULL WHERE cot_id = 1746;</v>
      </c>
    </row>
    <row r="1748" customFormat="false" ht="14.25" hidden="false" customHeight="false" outlineLevel="0" collapsed="false">
      <c r="A1748" s="0" t="n">
        <v>1747</v>
      </c>
      <c r="B1748" s="0" t="n">
        <f aca="false">IF('Boletins Nuppa Site'!A1748&lt;&gt;0,'Boletins Nuppa Site'!A1748,"NULL")</f>
        <v>81</v>
      </c>
      <c r="C1748" s="0" t="n">
        <v>37</v>
      </c>
      <c r="D1748" s="0" t="str">
        <f aca="false">IF('Boletins Nuppa Site'!G1748&lt;&gt;0,'Boletins Nuppa Site'!G1748,"NULL")</f>
        <v>NULL</v>
      </c>
      <c r="E1748" s="30" t="str">
        <f aca="false">IF('Boletins Nuppa Site'!H1748&lt;&gt;0,'Boletins Nuppa Site'!H1748,"NULL")</f>
        <v>NULL</v>
      </c>
      <c r="F1748" s="30" t="str">
        <f aca="false">IF('Boletins Nuppa Site'!I1748&lt;&gt;0,'Boletins Nuppa Site'!I1748,"NULL")</f>
        <v>NULL</v>
      </c>
      <c r="G1748" s="30" t="str">
        <f aca="false">IF('Boletins Nuppa Site'!J1748&lt;&gt;0,'Boletins Nuppa Site'!J1748,"NULL")</f>
        <v>NULL</v>
      </c>
      <c r="H1748" s="30" t="str">
        <f aca="false">IF('Boletins Nuppa Site'!K1748&lt;&gt;0,'Boletins Nuppa Site'!K1748,"NULL")</f>
        <v>NULL</v>
      </c>
      <c r="I1748" s="0" t="str">
        <f aca="false">"INSERT INTO COTACAO (cot_id, cot_blt_id, cot_pap_id, cot_prc_comum, cot_prc_min, cot_prc_max, cot_prc_med, cot_prc_mediana) VALUES ("&amp;A1748&amp;", "&amp;B1748&amp;", "&amp;C1748&amp;", "&amp;D1748&amp;", "&amp;E1748&amp;", "&amp;F1748&amp;", "&amp;G1748&amp;", "&amp;H1748&amp;");"</f>
        <v>INSERT INTO COTACAO (cot_id, cot_blt_id, cot_pap_id, cot_prc_comum, cot_prc_min, cot_prc_max, cot_prc_med, cot_prc_mediana) VALUES (1747, 81, 37, NULL, NULL, NULL, NULL, NULL);</v>
      </c>
      <c r="J1748" s="0" t="str">
        <f aca="false">"UPDATE COTACAO SET cot_id = "&amp;A1748&amp;", cot_blt_id = "&amp;B1748&amp;", cot_pap_id = "&amp;C1748&amp;", cot_prc_comum = "&amp;D1748&amp;", cot_prc_min = "&amp;E1748&amp;", cot_prc_max = "&amp;F1748&amp;", cot_prc_med = "&amp;G1748&amp;", cot_prc_mediana = "&amp;H1748&amp;" WHERE cot_id = "&amp;A1748&amp;";"</f>
        <v>UPDATE COTACAO SET cot_id = 1747, cot_blt_id = 81, cot_pap_id = 37, cot_prc_comum = NULL, cot_prc_min = NULL, cot_prc_max = NULL, cot_prc_med = NULL, cot_prc_mediana = NULL WHERE cot_id = 1747;</v>
      </c>
    </row>
    <row r="1749" customFormat="false" ht="14.25" hidden="false" customHeight="false" outlineLevel="0" collapsed="false">
      <c r="A1749" s="0" t="n">
        <v>1748</v>
      </c>
      <c r="B1749" s="0" t="n">
        <f aca="false">IF('Boletins Nuppa Site'!A1749&lt;&gt;0,'Boletins Nuppa Site'!A1749,"NULL")</f>
        <v>81</v>
      </c>
      <c r="C1749" s="0" t="n">
        <v>38</v>
      </c>
      <c r="D1749" s="0" t="str">
        <f aca="false">IF('Boletins Nuppa Site'!G1749&lt;&gt;0,'Boletins Nuppa Site'!G1749,"NULL")</f>
        <v>NULL</v>
      </c>
      <c r="E1749" s="30" t="str">
        <f aca="false">IF('Boletins Nuppa Site'!H1749&lt;&gt;0,'Boletins Nuppa Site'!H1749,"NULL")</f>
        <v>NULL</v>
      </c>
      <c r="F1749" s="30" t="str">
        <f aca="false">IF('Boletins Nuppa Site'!I1749&lt;&gt;0,'Boletins Nuppa Site'!I1749,"NULL")</f>
        <v>NULL</v>
      </c>
      <c r="G1749" s="30" t="str">
        <f aca="false">IF('Boletins Nuppa Site'!J1749&lt;&gt;0,'Boletins Nuppa Site'!J1749,"NULL")</f>
        <v>NULL</v>
      </c>
      <c r="H1749" s="30" t="str">
        <f aca="false">IF('Boletins Nuppa Site'!K1749&lt;&gt;0,'Boletins Nuppa Site'!K1749,"NULL")</f>
        <v>NULL</v>
      </c>
      <c r="I1749" s="0" t="str">
        <f aca="false">"INSERT INTO COTACAO (cot_id, cot_blt_id, cot_pap_id, cot_prc_comum, cot_prc_min, cot_prc_max, cot_prc_med, cot_prc_mediana) VALUES ("&amp;A1749&amp;", "&amp;B1749&amp;", "&amp;C1749&amp;", "&amp;D1749&amp;", "&amp;E1749&amp;", "&amp;F1749&amp;", "&amp;G1749&amp;", "&amp;H1749&amp;");"</f>
        <v>INSERT INTO COTACAO (cot_id, cot_blt_id, cot_pap_id, cot_prc_comum, cot_prc_min, cot_prc_max, cot_prc_med, cot_prc_mediana) VALUES (1748, 81, 38, NULL, NULL, NULL, NULL, NULL);</v>
      </c>
      <c r="J1749" s="0" t="str">
        <f aca="false">"UPDATE COTACAO SET cot_id = "&amp;A1749&amp;", cot_blt_id = "&amp;B1749&amp;", cot_pap_id = "&amp;C1749&amp;", cot_prc_comum = "&amp;D1749&amp;", cot_prc_min = "&amp;E1749&amp;", cot_prc_max = "&amp;F1749&amp;", cot_prc_med = "&amp;G1749&amp;", cot_prc_mediana = "&amp;H1749&amp;" WHERE cot_id = "&amp;A1749&amp;";"</f>
        <v>UPDATE COTACAO SET cot_id = 1748, cot_blt_id = 81, cot_pap_id = 38, cot_prc_comum = NULL, cot_prc_min = NULL, cot_prc_max = NULL, cot_prc_med = NULL, cot_prc_mediana = NULL WHERE cot_id = 1748;</v>
      </c>
    </row>
    <row r="1750" customFormat="false" ht="14.25" hidden="false" customHeight="false" outlineLevel="0" collapsed="false">
      <c r="A1750" s="0" t="n">
        <v>1749</v>
      </c>
      <c r="B1750" s="0" t="n">
        <f aca="false">IF('Boletins Nuppa Site'!A1750&lt;&gt;0,'Boletins Nuppa Site'!A1750,"NULL")</f>
        <v>81</v>
      </c>
      <c r="C1750" s="0" t="n">
        <v>39</v>
      </c>
      <c r="D1750" s="0" t="str">
        <f aca="false">IF('Boletins Nuppa Site'!G1750&lt;&gt;0,'Boletins Nuppa Site'!G1750,"NULL")</f>
        <v>NULL</v>
      </c>
      <c r="E1750" s="30" t="str">
        <f aca="false">IF('Boletins Nuppa Site'!H1750&lt;&gt;0,'Boletins Nuppa Site'!H1750,"NULL")</f>
        <v> 55.00</v>
      </c>
      <c r="F1750" s="30" t="str">
        <f aca="false">IF('Boletins Nuppa Site'!I1750&lt;&gt;0,'Boletins Nuppa Site'!I1750,"NULL")</f>
        <v> 55.00</v>
      </c>
      <c r="G1750" s="30" t="str">
        <f aca="false">IF('Boletins Nuppa Site'!J1750&lt;&gt;0,'Boletins Nuppa Site'!J1750,"NULL")</f>
        <v> 55.00</v>
      </c>
      <c r="H1750" s="30" t="str">
        <f aca="false">IF('Boletins Nuppa Site'!K1750&lt;&gt;0,'Boletins Nuppa Site'!K1750,"NULL")</f>
        <v> 55.00</v>
      </c>
      <c r="I1750" s="0" t="str">
        <f aca="false">"INSERT INTO COTACAO (cot_id, cot_blt_id, cot_pap_id, cot_prc_comum, cot_prc_min, cot_prc_max, cot_prc_med, cot_prc_mediana) VALUES ("&amp;A1750&amp;", "&amp;B1750&amp;", "&amp;C1750&amp;", "&amp;D1750&amp;", "&amp;E1750&amp;", "&amp;F1750&amp;", "&amp;G1750&amp;", "&amp;H1750&amp;");"</f>
        <v>INSERT INTO COTACAO (cot_id, cot_blt_id, cot_pap_id, cot_prc_comum, cot_prc_min, cot_prc_max, cot_prc_med, cot_prc_mediana) VALUES (1749, 81, 39, NULL,  55.00,  55.00,  55.00,  55.00);</v>
      </c>
      <c r="J1750" s="0" t="str">
        <f aca="false">"UPDATE COTACAO SET cot_id = "&amp;A1750&amp;", cot_blt_id = "&amp;B1750&amp;", cot_pap_id = "&amp;C1750&amp;", cot_prc_comum = "&amp;D1750&amp;", cot_prc_min = "&amp;E1750&amp;", cot_prc_max = "&amp;F1750&amp;", cot_prc_med = "&amp;G1750&amp;", cot_prc_mediana = "&amp;H1750&amp;" WHERE cot_id = "&amp;A1750&amp;";"</f>
        <v>UPDATE COTACAO SET cot_id = 1749, cot_blt_id = 81, cot_pap_id = 39, cot_prc_comum = NULL, cot_prc_min =  55.00, cot_prc_max =  55.00, cot_prc_med =  55.00, cot_prc_mediana =  55.00 WHERE cot_id = 1749;</v>
      </c>
    </row>
    <row r="1751" customFormat="false" ht="14.25" hidden="false" customHeight="false" outlineLevel="0" collapsed="false">
      <c r="A1751" s="0" t="n">
        <v>1750</v>
      </c>
      <c r="B1751" s="0" t="n">
        <f aca="false">IF('Boletins Nuppa Site'!A1751&lt;&gt;0,'Boletins Nuppa Site'!A1751,"NULL")</f>
        <v>81</v>
      </c>
      <c r="C1751" s="0" t="n">
        <v>40</v>
      </c>
      <c r="D1751" s="0" t="str">
        <f aca="false">IF('Boletins Nuppa Site'!G1751&lt;&gt;0,'Boletins Nuppa Site'!G1751,"NULL")</f>
        <v>NULL</v>
      </c>
      <c r="E1751" s="30" t="str">
        <f aca="false">IF('Boletins Nuppa Site'!H1751&lt;&gt;0,'Boletins Nuppa Site'!H1751,"NULL")</f>
        <v>NULL</v>
      </c>
      <c r="F1751" s="30" t="str">
        <f aca="false">IF('Boletins Nuppa Site'!I1751&lt;&gt;0,'Boletins Nuppa Site'!I1751,"NULL")</f>
        <v>NULL</v>
      </c>
      <c r="G1751" s="30" t="str">
        <f aca="false">IF('Boletins Nuppa Site'!J1751&lt;&gt;0,'Boletins Nuppa Site'!J1751,"NULL")</f>
        <v>NULL</v>
      </c>
      <c r="H1751" s="30" t="str">
        <f aca="false">IF('Boletins Nuppa Site'!K1751&lt;&gt;0,'Boletins Nuppa Site'!K1751,"NULL")</f>
        <v>NULL</v>
      </c>
      <c r="I1751" s="0" t="str">
        <f aca="false">"INSERT INTO COTACAO (cot_id, cot_blt_id, cot_pap_id, cot_prc_comum, cot_prc_min, cot_prc_max, cot_prc_med, cot_prc_mediana) VALUES ("&amp;A1751&amp;", "&amp;B1751&amp;", "&amp;C1751&amp;", "&amp;D1751&amp;", "&amp;E1751&amp;", "&amp;F1751&amp;", "&amp;G1751&amp;", "&amp;H1751&amp;");"</f>
        <v>INSERT INTO COTACAO (cot_id, cot_blt_id, cot_pap_id, cot_prc_comum, cot_prc_min, cot_prc_max, cot_prc_med, cot_prc_mediana) VALUES (1750, 81, 40, NULL, NULL, NULL, NULL, NULL);</v>
      </c>
      <c r="J1751" s="0" t="str">
        <f aca="false">"UPDATE COTACAO SET cot_id = "&amp;A1751&amp;", cot_blt_id = "&amp;B1751&amp;", cot_pap_id = "&amp;C1751&amp;", cot_prc_comum = "&amp;D1751&amp;", cot_prc_min = "&amp;E1751&amp;", cot_prc_max = "&amp;F1751&amp;", cot_prc_med = "&amp;G1751&amp;", cot_prc_mediana = "&amp;H1751&amp;" WHERE cot_id = "&amp;A1751&amp;";"</f>
        <v>UPDATE COTACAO SET cot_id = 1750, cot_blt_id = 81, cot_pap_id = 40, cot_prc_comum = NULL, cot_prc_min = NULL, cot_prc_max = NULL, cot_prc_med = NULL, cot_prc_mediana = NULL WHERE cot_id = 1750;</v>
      </c>
    </row>
    <row r="1752" customFormat="false" ht="14.25" hidden="false" customHeight="false" outlineLevel="0" collapsed="false">
      <c r="A1752" s="0" t="n">
        <v>1751</v>
      </c>
      <c r="B1752" s="0" t="n">
        <f aca="false">IF('Boletins Nuppa Site'!A1752&lt;&gt;0,'Boletins Nuppa Site'!A1752,"NULL")</f>
        <v>82</v>
      </c>
      <c r="C1752" s="0" t="n">
        <v>1</v>
      </c>
      <c r="D1752" s="0" t="str">
        <f aca="false">IF('Boletins Nuppa Site'!G1752&lt;&gt;0,'Boletins Nuppa Site'!G1752,"NULL")</f>
        <v> 36.00</v>
      </c>
      <c r="E1752" s="30" t="str">
        <f aca="false">IF('Boletins Nuppa Site'!H1752&lt;&gt;0,'Boletins Nuppa Site'!H1752,"NULL")</f>
        <v> 72.00</v>
      </c>
      <c r="F1752" s="30" t="str">
        <f aca="false">IF('Boletins Nuppa Site'!I1752&lt;&gt;0,'Boletins Nuppa Site'!I1752,"NULL")</f>
        <v> 72.00</v>
      </c>
      <c r="G1752" s="30" t="str">
        <f aca="false">IF('Boletins Nuppa Site'!J1752&lt;&gt;0,'Boletins Nuppa Site'!J1752,"NULL")</f>
        <v> 57.00</v>
      </c>
      <c r="H1752" s="30" t="str">
        <f aca="false">IF('Boletins Nuppa Site'!K1752&lt;&gt;0,'Boletins Nuppa Site'!K1752,"NULL")</f>
        <v> 60.00</v>
      </c>
      <c r="I1752" s="0" t="str">
        <f aca="false">"INSERT INTO COTACAO (cot_id, cot_blt_id, cot_pap_id, cot_prc_comum, cot_prc_min, cot_prc_max, cot_prc_med, cot_prc_mediana) VALUES ("&amp;A1752&amp;", "&amp;B1752&amp;", "&amp;C1752&amp;", "&amp;D1752&amp;", "&amp;E1752&amp;", "&amp;F1752&amp;", "&amp;G1752&amp;", "&amp;H1752&amp;");"</f>
        <v>INSERT INTO COTACAO (cot_id, cot_blt_id, cot_pap_id, cot_prc_comum, cot_prc_min, cot_prc_max, cot_prc_med, cot_prc_mediana) VALUES (1751, 82, 1,  36.00,  72.00,  72.00,  57.00,  60.00);</v>
      </c>
      <c r="J1752" s="0" t="str">
        <f aca="false">"UPDATE COTACAO SET cot_id = "&amp;A1752&amp;", cot_blt_id = "&amp;B1752&amp;", cot_pap_id = "&amp;C1752&amp;", cot_prc_comum = "&amp;D1752&amp;", cot_prc_min = "&amp;E1752&amp;", cot_prc_max = "&amp;F1752&amp;", cot_prc_med = "&amp;G1752&amp;", cot_prc_mediana = "&amp;H1752&amp;" WHERE cot_id = "&amp;A1752&amp;";"</f>
        <v>UPDATE COTACAO SET cot_id = 1751, cot_blt_id = 82, cot_pap_id = 1, cot_prc_comum =  36.00, cot_prc_min =  72.00, cot_prc_max =  72.00, cot_prc_med =  57.00, cot_prc_mediana =  60.00 WHERE cot_id = 1751;</v>
      </c>
    </row>
    <row r="1753" customFormat="false" ht="14.25" hidden="false" customHeight="false" outlineLevel="0" collapsed="false">
      <c r="A1753" s="0" t="n">
        <v>1752</v>
      </c>
      <c r="B1753" s="0" t="n">
        <f aca="false">IF('Boletins Nuppa Site'!A1753&lt;&gt;0,'Boletins Nuppa Site'!A1753,"NULL")</f>
        <v>82</v>
      </c>
      <c r="C1753" s="0" t="n">
        <v>2</v>
      </c>
      <c r="D1753" s="0" t="str">
        <f aca="false">IF('Boletins Nuppa Site'!G1753&lt;&gt;0,'Boletins Nuppa Site'!G1753,"NULL")</f>
        <v>NULL</v>
      </c>
      <c r="E1753" s="30" t="str">
        <f aca="false">IF('Boletins Nuppa Site'!H1753&lt;&gt;0,'Boletins Nuppa Site'!H1753,"NULL")</f>
        <v> 48.00</v>
      </c>
      <c r="F1753" s="30" t="str">
        <f aca="false">IF('Boletins Nuppa Site'!I1753&lt;&gt;0,'Boletins Nuppa Site'!I1753,"NULL")</f>
        <v> 96.00</v>
      </c>
      <c r="G1753" s="30" t="str">
        <f aca="false">IF('Boletins Nuppa Site'!J1753&lt;&gt;0,'Boletins Nuppa Site'!J1753,"NULL")</f>
        <v> 67.00</v>
      </c>
      <c r="H1753" s="30" t="str">
        <f aca="false">IF('Boletins Nuppa Site'!K1753&lt;&gt;0,'Boletins Nuppa Site'!K1753,"NULL")</f>
        <v> 62.00</v>
      </c>
      <c r="I1753" s="0" t="str">
        <f aca="false">"INSERT INTO COTACAO (cot_id, cot_blt_id, cot_pap_id, cot_prc_comum, cot_prc_min, cot_prc_max, cot_prc_med, cot_prc_mediana) VALUES ("&amp;A1753&amp;", "&amp;B1753&amp;", "&amp;C1753&amp;", "&amp;D1753&amp;", "&amp;E1753&amp;", "&amp;F1753&amp;", "&amp;G1753&amp;", "&amp;H1753&amp;");"</f>
        <v>INSERT INTO COTACAO (cot_id, cot_blt_id, cot_pap_id, cot_prc_comum, cot_prc_min, cot_prc_max, cot_prc_med, cot_prc_mediana) VALUES (1752, 82, 2, NULL,  48.00,  96.00,  67.00,  62.00);</v>
      </c>
      <c r="J1753" s="0" t="str">
        <f aca="false">"UPDATE COTACAO SET cot_id = "&amp;A1753&amp;", cot_blt_id = "&amp;B1753&amp;", cot_pap_id = "&amp;C1753&amp;", cot_prc_comum = "&amp;D1753&amp;", cot_prc_min = "&amp;E1753&amp;", cot_prc_max = "&amp;F1753&amp;", cot_prc_med = "&amp;G1753&amp;", cot_prc_mediana = "&amp;H1753&amp;" WHERE cot_id = "&amp;A1753&amp;";"</f>
        <v>UPDATE COTACAO SET cot_id = 1752, cot_blt_id = 82, cot_pap_id = 2, cot_prc_comum = NULL, cot_prc_min =  48.00, cot_prc_max =  96.00, cot_prc_med =  67.00, cot_prc_mediana =  62.00 WHERE cot_id = 1752;</v>
      </c>
    </row>
    <row r="1754" customFormat="false" ht="14.25" hidden="false" customHeight="false" outlineLevel="0" collapsed="false">
      <c r="A1754" s="0" t="n">
        <v>1753</v>
      </c>
      <c r="B1754" s="0" t="n">
        <f aca="false">IF('Boletins Nuppa Site'!A1754&lt;&gt;0,'Boletins Nuppa Site'!A1754,"NULL")</f>
        <v>82</v>
      </c>
      <c r="C1754" s="0" t="n">
        <v>3</v>
      </c>
      <c r="D1754" s="0" t="str">
        <f aca="false">IF('Boletins Nuppa Site'!G1754&lt;&gt;0,'Boletins Nuppa Site'!G1754,"NULL")</f>
        <v>NULL</v>
      </c>
      <c r="E1754" s="30" t="str">
        <f aca="false">IF('Boletins Nuppa Site'!H1754&lt;&gt;0,'Boletins Nuppa Site'!H1754,"NULL")</f>
        <v> 60.00</v>
      </c>
      <c r="F1754" s="30" t="str">
        <f aca="false">IF('Boletins Nuppa Site'!I1754&lt;&gt;0,'Boletins Nuppa Site'!I1754,"NULL")</f>
        <v> 48.00</v>
      </c>
      <c r="G1754" s="30" t="str">
        <f aca="false">IF('Boletins Nuppa Site'!J1754&lt;&gt;0,'Boletins Nuppa Site'!J1754,"NULL")</f>
        <v> 48.00</v>
      </c>
      <c r="H1754" s="30" t="str">
        <f aca="false">IF('Boletins Nuppa Site'!K1754&lt;&gt;0,'Boletins Nuppa Site'!K1754,"NULL")</f>
        <v> 48.00</v>
      </c>
      <c r="I1754" s="0" t="str">
        <f aca="false">"INSERT INTO COTACAO (cot_id, cot_blt_id, cot_pap_id, cot_prc_comum, cot_prc_min, cot_prc_max, cot_prc_med, cot_prc_mediana) VALUES ("&amp;A1754&amp;", "&amp;B1754&amp;", "&amp;C1754&amp;", "&amp;D1754&amp;", "&amp;E1754&amp;", "&amp;F1754&amp;", "&amp;G1754&amp;", "&amp;H1754&amp;");"</f>
        <v>INSERT INTO COTACAO (cot_id, cot_blt_id, cot_pap_id, cot_prc_comum, cot_prc_min, cot_prc_max, cot_prc_med, cot_prc_mediana) VALUES (1753, 82, 3, NULL,  60.00,  48.00,  48.00,  48.00);</v>
      </c>
      <c r="J1754" s="0" t="str">
        <f aca="false">"UPDATE COTACAO SET cot_id = "&amp;A1754&amp;", cot_blt_id = "&amp;B1754&amp;", cot_pap_id = "&amp;C1754&amp;", cot_prc_comum = "&amp;D1754&amp;", cot_prc_min = "&amp;E1754&amp;", cot_prc_max = "&amp;F1754&amp;", cot_prc_med = "&amp;G1754&amp;", cot_prc_mediana = "&amp;H1754&amp;" WHERE cot_id = "&amp;A1754&amp;";"</f>
        <v>UPDATE COTACAO SET cot_id = 1753, cot_blt_id = 82, cot_pap_id = 3, cot_prc_comum = NULL, cot_prc_min =  60.00, cot_prc_max =  48.00, cot_prc_med =  48.00, cot_prc_mediana =  48.00 WHERE cot_id = 1753;</v>
      </c>
    </row>
    <row r="1755" customFormat="false" ht="14.25" hidden="false" customHeight="false" outlineLevel="0" collapsed="false">
      <c r="A1755" s="0" t="n">
        <v>1754</v>
      </c>
      <c r="B1755" s="0" t="n">
        <f aca="false">IF('Boletins Nuppa Site'!A1755&lt;&gt;0,'Boletins Nuppa Site'!A1755,"NULL")</f>
        <v>82</v>
      </c>
      <c r="C1755" s="0" t="n">
        <v>4</v>
      </c>
      <c r="D1755" s="0" t="str">
        <f aca="false">IF('Boletins Nuppa Site'!G1755&lt;&gt;0,'Boletins Nuppa Site'!G1755,"NULL")</f>
        <v> 36.00</v>
      </c>
      <c r="E1755" s="30" t="str">
        <f aca="false">IF('Boletins Nuppa Site'!H1755&lt;&gt;0,'Boletins Nuppa Site'!H1755,"NULL")</f>
        <v> 36.00</v>
      </c>
      <c r="F1755" s="30" t="str">
        <f aca="false">IF('Boletins Nuppa Site'!I1755&lt;&gt;0,'Boletins Nuppa Site'!I1755,"NULL")</f>
        <v> 36.00</v>
      </c>
      <c r="G1755" s="30" t="str">
        <f aca="false">IF('Boletins Nuppa Site'!J1755&lt;&gt;0,'Boletins Nuppa Site'!J1755,"NULL")</f>
        <v> 24.00</v>
      </c>
      <c r="H1755" s="30" t="str">
        <f aca="false">IF('Boletins Nuppa Site'!K1755&lt;&gt;0,'Boletins Nuppa Site'!K1755,"NULL")</f>
        <v> 30.20</v>
      </c>
      <c r="I1755" s="0" t="str">
        <f aca="false">"INSERT INTO COTACAO (cot_id, cot_blt_id, cot_pap_id, cot_prc_comum, cot_prc_min, cot_prc_max, cot_prc_med, cot_prc_mediana) VALUES ("&amp;A1755&amp;", "&amp;B1755&amp;", "&amp;C1755&amp;", "&amp;D1755&amp;", "&amp;E1755&amp;", "&amp;F1755&amp;", "&amp;G1755&amp;", "&amp;H1755&amp;");"</f>
        <v>INSERT INTO COTACAO (cot_id, cot_blt_id, cot_pap_id, cot_prc_comum, cot_prc_min, cot_prc_max, cot_prc_med, cot_prc_mediana) VALUES (1754, 82, 4,  36.00,  36.00,  36.00,  24.00,  30.20);</v>
      </c>
      <c r="J1755" s="0" t="str">
        <f aca="false">"UPDATE COTACAO SET cot_id = "&amp;A1755&amp;", cot_blt_id = "&amp;B1755&amp;", cot_pap_id = "&amp;C1755&amp;", cot_prc_comum = "&amp;D1755&amp;", cot_prc_min = "&amp;E1755&amp;", cot_prc_max = "&amp;F1755&amp;", cot_prc_med = "&amp;G1755&amp;", cot_prc_mediana = "&amp;H1755&amp;" WHERE cot_id = "&amp;A1755&amp;";"</f>
        <v>UPDATE COTACAO SET cot_id = 1754, cot_blt_id = 82, cot_pap_id = 4, cot_prc_comum =  36.00, cot_prc_min =  36.00, cot_prc_max =  36.00, cot_prc_med =  24.00, cot_prc_mediana =  30.20 WHERE cot_id = 1754;</v>
      </c>
    </row>
    <row r="1756" customFormat="false" ht="14.25" hidden="false" customHeight="false" outlineLevel="0" collapsed="false">
      <c r="A1756" s="0" t="n">
        <v>1755</v>
      </c>
      <c r="B1756" s="0" t="n">
        <f aca="false">IF('Boletins Nuppa Site'!A1756&lt;&gt;0,'Boletins Nuppa Site'!A1756,"NULL")</f>
        <v>82</v>
      </c>
      <c r="C1756" s="0" t="n">
        <v>5</v>
      </c>
      <c r="D1756" s="0" t="str">
        <f aca="false">IF('Boletins Nuppa Site'!G1756&lt;&gt;0,'Boletins Nuppa Site'!G1756,"NULL")</f>
        <v> 30.00</v>
      </c>
      <c r="E1756" s="30" t="str">
        <f aca="false">IF('Boletins Nuppa Site'!H1756&lt;&gt;0,'Boletins Nuppa Site'!H1756,"NULL")</f>
        <v> 25.00</v>
      </c>
      <c r="F1756" s="30" t="str">
        <f aca="false">IF('Boletins Nuppa Site'!I1756&lt;&gt;0,'Boletins Nuppa Site'!I1756,"NULL")</f>
        <v> 36.00</v>
      </c>
      <c r="G1756" s="30" t="str">
        <f aca="false">IF('Boletins Nuppa Site'!J1756&lt;&gt;0,'Boletins Nuppa Site'!J1756,"NULL")</f>
        <v> 30.25</v>
      </c>
      <c r="H1756" s="30" t="str">
        <f aca="false">IF('Boletins Nuppa Site'!K1756&lt;&gt;0,'Boletins Nuppa Site'!K1756,"NULL")</f>
        <v> 30.00</v>
      </c>
      <c r="I1756" s="0" t="str">
        <f aca="false">"INSERT INTO COTACAO (cot_id, cot_blt_id, cot_pap_id, cot_prc_comum, cot_prc_min, cot_prc_max, cot_prc_med, cot_prc_mediana) VALUES ("&amp;A1756&amp;", "&amp;B1756&amp;", "&amp;C1756&amp;", "&amp;D1756&amp;", "&amp;E1756&amp;", "&amp;F1756&amp;", "&amp;G1756&amp;", "&amp;H1756&amp;");"</f>
        <v>INSERT INTO COTACAO (cot_id, cot_blt_id, cot_pap_id, cot_prc_comum, cot_prc_min, cot_prc_max, cot_prc_med, cot_prc_mediana) VALUES (1755, 82, 5,  30.00,  25.00,  36.00,  30.25,  30.00);</v>
      </c>
      <c r="J1756" s="0" t="str">
        <f aca="false">"UPDATE COTACAO SET cot_id = "&amp;A1756&amp;", cot_blt_id = "&amp;B1756&amp;", cot_pap_id = "&amp;C1756&amp;", cot_prc_comum = "&amp;D1756&amp;", cot_prc_min = "&amp;E1756&amp;", cot_prc_max = "&amp;F1756&amp;", cot_prc_med = "&amp;G1756&amp;", cot_prc_mediana = "&amp;H1756&amp;" WHERE cot_id = "&amp;A1756&amp;";"</f>
        <v>UPDATE COTACAO SET cot_id = 1755, cot_blt_id = 82, cot_pap_id = 5, cot_prc_comum =  30.00, cot_prc_min =  25.00, cot_prc_max =  36.00, cot_prc_med =  30.25, cot_prc_mediana =  30.00 WHERE cot_id = 1755;</v>
      </c>
    </row>
    <row r="1757" customFormat="false" ht="14.25" hidden="false" customHeight="false" outlineLevel="0" collapsed="false">
      <c r="A1757" s="0" t="n">
        <v>1756</v>
      </c>
      <c r="B1757" s="0" t="n">
        <f aca="false">IF('Boletins Nuppa Site'!A1757&lt;&gt;0,'Boletins Nuppa Site'!A1757,"NULL")</f>
        <v>82</v>
      </c>
      <c r="C1757" s="0" t="n">
        <v>6</v>
      </c>
      <c r="D1757" s="0" t="str">
        <f aca="false">IF('Boletins Nuppa Site'!G1757&lt;&gt;0,'Boletins Nuppa Site'!G1757,"NULL")</f>
        <v> 60.00</v>
      </c>
      <c r="E1757" s="30" t="str">
        <f aca="false">IF('Boletins Nuppa Site'!H1757&lt;&gt;0,'Boletins Nuppa Site'!H1757,"NULL")</f>
        <v> 60.00</v>
      </c>
      <c r="F1757" s="30" t="str">
        <f aca="false">IF('Boletins Nuppa Site'!I1757&lt;&gt;0,'Boletins Nuppa Site'!I1757,"NULL")</f>
        <v> 66.00</v>
      </c>
      <c r="G1757" s="30" t="str">
        <f aca="false">IF('Boletins Nuppa Site'!J1757&lt;&gt;0,'Boletins Nuppa Site'!J1757,"NULL")</f>
        <v> 62.00</v>
      </c>
      <c r="H1757" s="30" t="str">
        <f aca="false">IF('Boletins Nuppa Site'!K1757&lt;&gt;0,'Boletins Nuppa Site'!K1757,"NULL")</f>
        <v> 60.00</v>
      </c>
      <c r="I1757" s="0" t="str">
        <f aca="false">"INSERT INTO COTACAO (cot_id, cot_blt_id, cot_pap_id, cot_prc_comum, cot_prc_min, cot_prc_max, cot_prc_med, cot_prc_mediana) VALUES ("&amp;A1757&amp;", "&amp;B1757&amp;", "&amp;C1757&amp;", "&amp;D1757&amp;", "&amp;E1757&amp;", "&amp;F1757&amp;", "&amp;G1757&amp;", "&amp;H1757&amp;");"</f>
        <v>INSERT INTO COTACAO (cot_id, cot_blt_id, cot_pap_id, cot_prc_comum, cot_prc_min, cot_prc_max, cot_prc_med, cot_prc_mediana) VALUES (1756, 82, 6,  60.00,  60.00,  66.00,  62.00,  60.00);</v>
      </c>
      <c r="J1757" s="0" t="str">
        <f aca="false">"UPDATE COTACAO SET cot_id = "&amp;A1757&amp;", cot_blt_id = "&amp;B1757&amp;", cot_pap_id = "&amp;C1757&amp;", cot_prc_comum = "&amp;D1757&amp;", cot_prc_min = "&amp;E1757&amp;", cot_prc_max = "&amp;F1757&amp;", cot_prc_med = "&amp;G1757&amp;", cot_prc_mediana = "&amp;H1757&amp;" WHERE cot_id = "&amp;A1757&amp;";"</f>
        <v>UPDATE COTACAO SET cot_id = 1756, cot_blt_id = 82, cot_pap_id = 6, cot_prc_comum =  60.00, cot_prc_min =  60.00, cot_prc_max =  66.00, cot_prc_med =  62.00, cot_prc_mediana =  60.00 WHERE cot_id = 1756;</v>
      </c>
    </row>
    <row r="1758" customFormat="false" ht="14.25" hidden="false" customHeight="false" outlineLevel="0" collapsed="false">
      <c r="A1758" s="0" t="n">
        <v>1757</v>
      </c>
      <c r="B1758" s="0" t="n">
        <f aca="false">IF('Boletins Nuppa Site'!A1758&lt;&gt;0,'Boletins Nuppa Site'!A1758,"NULL")</f>
        <v>82</v>
      </c>
      <c r="C1758" s="0" t="n">
        <v>7</v>
      </c>
      <c r="D1758" s="0" t="str">
        <f aca="false">IF('Boletins Nuppa Site'!G1758&lt;&gt;0,'Boletins Nuppa Site'!G1758,"NULL")</f>
        <v> 60.00</v>
      </c>
      <c r="E1758" s="30" t="str">
        <f aca="false">IF('Boletins Nuppa Site'!H1758&lt;&gt;0,'Boletins Nuppa Site'!H1758,"NULL")</f>
        <v> 60.00</v>
      </c>
      <c r="F1758" s="30" t="str">
        <f aca="false">IF('Boletins Nuppa Site'!I1758&lt;&gt;0,'Boletins Nuppa Site'!I1758,"NULL")</f>
        <v> 54.00</v>
      </c>
      <c r="G1758" s="30" t="str">
        <f aca="false">IF('Boletins Nuppa Site'!J1758&lt;&gt;0,'Boletins Nuppa Site'!J1758,"NULL")</f>
        <v> 58.50</v>
      </c>
      <c r="H1758" s="30" t="str">
        <f aca="false">IF('Boletins Nuppa Site'!K1758&lt;&gt;0,'Boletins Nuppa Site'!K1758,"NULL")</f>
        <v> 60.00</v>
      </c>
      <c r="I1758" s="0" t="str">
        <f aca="false">"INSERT INTO COTACAO (cot_id, cot_blt_id, cot_pap_id, cot_prc_comum, cot_prc_min, cot_prc_max, cot_prc_med, cot_prc_mediana) VALUES ("&amp;A1758&amp;", "&amp;B1758&amp;", "&amp;C1758&amp;", "&amp;D1758&amp;", "&amp;E1758&amp;", "&amp;F1758&amp;", "&amp;G1758&amp;", "&amp;H1758&amp;");"</f>
        <v>INSERT INTO COTACAO (cot_id, cot_blt_id, cot_pap_id, cot_prc_comum, cot_prc_min, cot_prc_max, cot_prc_med, cot_prc_mediana) VALUES (1757, 82, 7,  60.00,  60.00,  54.00,  58.50,  60.00);</v>
      </c>
      <c r="J1758" s="0" t="str">
        <f aca="false">"UPDATE COTACAO SET cot_id = "&amp;A1758&amp;", cot_blt_id = "&amp;B1758&amp;", cot_pap_id = "&amp;C1758&amp;", cot_prc_comum = "&amp;D1758&amp;", cot_prc_min = "&amp;E1758&amp;", cot_prc_max = "&amp;F1758&amp;", cot_prc_med = "&amp;G1758&amp;", cot_prc_mediana = "&amp;H1758&amp;" WHERE cot_id = "&amp;A1758&amp;";"</f>
        <v>UPDATE COTACAO SET cot_id = 1757, cot_blt_id = 82, cot_pap_id = 7, cot_prc_comum =  60.00, cot_prc_min =  60.00, cot_prc_max =  54.00, cot_prc_med =  58.50, cot_prc_mediana =  60.00 WHERE cot_id = 1757;</v>
      </c>
    </row>
    <row r="1759" customFormat="false" ht="14.25" hidden="false" customHeight="false" outlineLevel="0" collapsed="false">
      <c r="A1759" s="0" t="n">
        <v>1758</v>
      </c>
      <c r="B1759" s="0" t="n">
        <f aca="false">IF('Boletins Nuppa Site'!A1759&lt;&gt;0,'Boletins Nuppa Site'!A1759,"NULL")</f>
        <v>82</v>
      </c>
      <c r="C1759" s="0" t="n">
        <v>8</v>
      </c>
      <c r="D1759" s="0" t="str">
        <f aca="false">IF('Boletins Nuppa Site'!G1759&lt;&gt;0,'Boletins Nuppa Site'!G1759,"NULL")</f>
        <v> 72.00</v>
      </c>
      <c r="E1759" s="30" t="str">
        <f aca="false">IF('Boletins Nuppa Site'!H1759&lt;&gt;0,'Boletins Nuppa Site'!H1759,"NULL")</f>
        <v> 72.00</v>
      </c>
      <c r="F1759" s="30" t="str">
        <f aca="false">IF('Boletins Nuppa Site'!I1759&lt;&gt;0,'Boletins Nuppa Site'!I1759,"NULL")</f>
        <v> 72.00</v>
      </c>
      <c r="G1759" s="30" t="str">
        <f aca="false">IF('Boletins Nuppa Site'!J1759&lt;&gt;0,'Boletins Nuppa Site'!J1759,"NULL")</f>
        <v> 72.00</v>
      </c>
      <c r="H1759" s="30" t="str">
        <f aca="false">IF('Boletins Nuppa Site'!K1759&lt;&gt;0,'Boletins Nuppa Site'!K1759,"NULL")</f>
        <v> 72.00</v>
      </c>
      <c r="I1759" s="0" t="str">
        <f aca="false">"INSERT INTO COTACAO (cot_id, cot_blt_id, cot_pap_id, cot_prc_comum, cot_prc_min, cot_prc_max, cot_prc_med, cot_prc_mediana) VALUES ("&amp;A1759&amp;", "&amp;B1759&amp;", "&amp;C1759&amp;", "&amp;D1759&amp;", "&amp;E1759&amp;", "&amp;F1759&amp;", "&amp;G1759&amp;", "&amp;H1759&amp;");"</f>
        <v>INSERT INTO COTACAO (cot_id, cot_blt_id, cot_pap_id, cot_prc_comum, cot_prc_min, cot_prc_max, cot_prc_med, cot_prc_mediana) VALUES (1758, 82, 8,  72.00,  72.00,  72.00,  72.00,  72.00);</v>
      </c>
      <c r="J1759" s="0" t="str">
        <f aca="false">"UPDATE COTACAO SET cot_id = "&amp;A1759&amp;", cot_blt_id = "&amp;B1759&amp;", cot_pap_id = "&amp;C1759&amp;", cot_prc_comum = "&amp;D1759&amp;", cot_prc_min = "&amp;E1759&amp;", cot_prc_max = "&amp;F1759&amp;", cot_prc_med = "&amp;G1759&amp;", cot_prc_mediana = "&amp;H1759&amp;" WHERE cot_id = "&amp;A1759&amp;";"</f>
        <v>UPDATE COTACAO SET cot_id = 1758, cot_blt_id = 82, cot_pap_id = 8, cot_prc_comum =  72.00, cot_prc_min =  72.00, cot_prc_max =  72.00, cot_prc_med =  72.00, cot_prc_mediana =  72.00 WHERE cot_id = 1758;</v>
      </c>
    </row>
    <row r="1760" customFormat="false" ht="14.25" hidden="false" customHeight="false" outlineLevel="0" collapsed="false">
      <c r="A1760" s="0" t="n">
        <v>1759</v>
      </c>
      <c r="B1760" s="0" t="n">
        <f aca="false">IF('Boletins Nuppa Site'!A1760&lt;&gt;0,'Boletins Nuppa Site'!A1760,"NULL")</f>
        <v>82</v>
      </c>
      <c r="C1760" s="0" t="n">
        <v>9</v>
      </c>
      <c r="D1760" s="0" t="str">
        <f aca="false">IF('Boletins Nuppa Site'!G1760&lt;&gt;0,'Boletins Nuppa Site'!G1760,"NULL")</f>
        <v> 20.00</v>
      </c>
      <c r="E1760" s="30" t="str">
        <f aca="false">IF('Boletins Nuppa Site'!H1760&lt;&gt;0,'Boletins Nuppa Site'!H1760,"NULL")</f>
        <v> 24.00</v>
      </c>
      <c r="F1760" s="30" t="str">
        <f aca="false">IF('Boletins Nuppa Site'!I1760&lt;&gt;0,'Boletins Nuppa Site'!I1760,"NULL")</f>
        <v> 18.00</v>
      </c>
      <c r="G1760" s="30" t="str">
        <f aca="false">IF('Boletins Nuppa Site'!J1760&lt;&gt;0,'Boletins Nuppa Site'!J1760,"NULL")</f>
        <v> 21.20</v>
      </c>
      <c r="H1760" s="30" t="str">
        <f aca="false">IF('Boletins Nuppa Site'!K1760&lt;&gt;0,'Boletins Nuppa Site'!K1760,"NULL")</f>
        <v> 20.00</v>
      </c>
      <c r="I1760" s="0" t="str">
        <f aca="false">"INSERT INTO COTACAO (cot_id, cot_blt_id, cot_pap_id, cot_prc_comum, cot_prc_min, cot_prc_max, cot_prc_med, cot_prc_mediana) VALUES ("&amp;A1760&amp;", "&amp;B1760&amp;", "&amp;C1760&amp;", "&amp;D1760&amp;", "&amp;E1760&amp;", "&amp;F1760&amp;", "&amp;G1760&amp;", "&amp;H1760&amp;");"</f>
        <v>INSERT INTO COTACAO (cot_id, cot_blt_id, cot_pap_id, cot_prc_comum, cot_prc_min, cot_prc_max, cot_prc_med, cot_prc_mediana) VALUES (1759, 82, 9,  20.00,  24.00,  18.00,  21.20,  20.00);</v>
      </c>
      <c r="J1760" s="0" t="str">
        <f aca="false">"UPDATE COTACAO SET cot_id = "&amp;A1760&amp;", cot_blt_id = "&amp;B1760&amp;", cot_pap_id = "&amp;C1760&amp;", cot_prc_comum = "&amp;D1760&amp;", cot_prc_min = "&amp;E1760&amp;", cot_prc_max = "&amp;F1760&amp;", cot_prc_med = "&amp;G1760&amp;", cot_prc_mediana = "&amp;H1760&amp;" WHERE cot_id = "&amp;A1760&amp;";"</f>
        <v>UPDATE COTACAO SET cot_id = 1759, cot_blt_id = 82, cot_pap_id = 9, cot_prc_comum =  20.00, cot_prc_min =  24.00, cot_prc_max =  18.00, cot_prc_med =  21.20, cot_prc_mediana =  20.00 WHERE cot_id = 1759;</v>
      </c>
    </row>
    <row r="1761" customFormat="false" ht="14.25" hidden="false" customHeight="false" outlineLevel="0" collapsed="false">
      <c r="A1761" s="0" t="n">
        <v>1760</v>
      </c>
      <c r="B1761" s="0" t="n">
        <f aca="false">IF('Boletins Nuppa Site'!A1761&lt;&gt;0,'Boletins Nuppa Site'!A1761,"NULL")</f>
        <v>82</v>
      </c>
      <c r="C1761" s="0" t="n">
        <v>10</v>
      </c>
      <c r="D1761" s="0" t="str">
        <f aca="false">IF('Boletins Nuppa Site'!G1761&lt;&gt;0,'Boletins Nuppa Site'!G1761,"NULL")</f>
        <v> 84.00</v>
      </c>
      <c r="E1761" s="30" t="str">
        <f aca="false">IF('Boletins Nuppa Site'!H1761&lt;&gt;0,'Boletins Nuppa Site'!H1761,"NULL")</f>
        <v> 72.00</v>
      </c>
      <c r="F1761" s="30" t="str">
        <f aca="false">IF('Boletins Nuppa Site'!I1761&lt;&gt;0,'Boletins Nuppa Site'!I1761,"NULL")</f>
        <v> 84.00</v>
      </c>
      <c r="G1761" s="30" t="str">
        <f aca="false">IF('Boletins Nuppa Site'!J1761&lt;&gt;0,'Boletins Nuppa Site'!J1761,"NULL")</f>
        <v> 79.00</v>
      </c>
      <c r="H1761" s="30" t="str">
        <f aca="false">IF('Boletins Nuppa Site'!K1761&lt;&gt;0,'Boletins Nuppa Site'!K1761,"NULL")</f>
        <v> 80.00</v>
      </c>
      <c r="I1761" s="0" t="str">
        <f aca="false">"INSERT INTO COTACAO (cot_id, cot_blt_id, cot_pap_id, cot_prc_comum, cot_prc_min, cot_prc_max, cot_prc_med, cot_prc_mediana) VALUES ("&amp;A1761&amp;", "&amp;B1761&amp;", "&amp;C1761&amp;", "&amp;D1761&amp;", "&amp;E1761&amp;", "&amp;F1761&amp;", "&amp;G1761&amp;", "&amp;H1761&amp;");"</f>
        <v>INSERT INTO COTACAO (cot_id, cot_blt_id, cot_pap_id, cot_prc_comum, cot_prc_min, cot_prc_max, cot_prc_med, cot_prc_mediana) VALUES (1760, 82, 10,  84.00,  72.00,  84.00,  79.00,  80.00);</v>
      </c>
      <c r="J1761" s="0" t="str">
        <f aca="false">"UPDATE COTACAO SET cot_id = "&amp;A1761&amp;", cot_blt_id = "&amp;B1761&amp;", cot_pap_id = "&amp;C1761&amp;", cot_prc_comum = "&amp;D1761&amp;", cot_prc_min = "&amp;E1761&amp;", cot_prc_max = "&amp;F1761&amp;", cot_prc_med = "&amp;G1761&amp;", cot_prc_mediana = "&amp;H1761&amp;" WHERE cot_id = "&amp;A1761&amp;";"</f>
        <v>UPDATE COTACAO SET cot_id = 1760, cot_blt_id = 82, cot_pap_id = 10, cot_prc_comum =  84.00, cot_prc_min =  72.00, cot_prc_max =  84.00, cot_prc_med =  79.00, cot_prc_mediana =  80.00 WHERE cot_id = 1760;</v>
      </c>
    </row>
    <row r="1762" customFormat="false" ht="14.25" hidden="false" customHeight="false" outlineLevel="0" collapsed="false">
      <c r="A1762" s="0" t="n">
        <v>1761</v>
      </c>
      <c r="B1762" s="0" t="n">
        <f aca="false">IF('Boletins Nuppa Site'!A1762&lt;&gt;0,'Boletins Nuppa Site'!A1762,"NULL")</f>
        <v>82</v>
      </c>
      <c r="C1762" s="0" t="n">
        <v>11</v>
      </c>
      <c r="D1762" s="0" t="str">
        <f aca="false">IF('Boletins Nuppa Site'!G1762&lt;&gt;0,'Boletins Nuppa Site'!G1762,"NULL")</f>
        <v> 30.00</v>
      </c>
      <c r="E1762" s="30" t="str">
        <f aca="false">IF('Boletins Nuppa Site'!H1762&lt;&gt;0,'Boletins Nuppa Site'!H1762,"NULL")</f>
        <v> 30.00</v>
      </c>
      <c r="F1762" s="30" t="str">
        <f aca="false">IF('Boletins Nuppa Site'!I1762&lt;&gt;0,'Boletins Nuppa Site'!I1762,"NULL")</f>
        <v> 36.00</v>
      </c>
      <c r="G1762" s="30" t="str">
        <f aca="false">IF('Boletins Nuppa Site'!J1762&lt;&gt;0,'Boletins Nuppa Site'!J1762,"NULL")</f>
        <v> 33.00</v>
      </c>
      <c r="H1762" s="30" t="str">
        <f aca="false">IF('Boletins Nuppa Site'!K1762&lt;&gt;0,'Boletins Nuppa Site'!K1762,"NULL")</f>
        <v> 33.00</v>
      </c>
      <c r="I1762" s="0" t="str">
        <f aca="false">"INSERT INTO COTACAO (cot_id, cot_blt_id, cot_pap_id, cot_prc_comum, cot_prc_min, cot_prc_max, cot_prc_med, cot_prc_mediana) VALUES ("&amp;A1762&amp;", "&amp;B1762&amp;", "&amp;C1762&amp;", "&amp;D1762&amp;", "&amp;E1762&amp;", "&amp;F1762&amp;", "&amp;G1762&amp;", "&amp;H1762&amp;");"</f>
        <v>INSERT INTO COTACAO (cot_id, cot_blt_id, cot_pap_id, cot_prc_comum, cot_prc_min, cot_prc_max, cot_prc_med, cot_prc_mediana) VALUES (1761, 82, 11,  30.00,  30.00,  36.00,  33.00,  33.00);</v>
      </c>
      <c r="J1762" s="0" t="str">
        <f aca="false">"UPDATE COTACAO SET cot_id = "&amp;A1762&amp;", cot_blt_id = "&amp;B1762&amp;", cot_pap_id = "&amp;C1762&amp;", cot_prc_comum = "&amp;D1762&amp;", cot_prc_min = "&amp;E1762&amp;", cot_prc_max = "&amp;F1762&amp;", cot_prc_med = "&amp;G1762&amp;", cot_prc_mediana = "&amp;H1762&amp;" WHERE cot_id = "&amp;A1762&amp;";"</f>
        <v>UPDATE COTACAO SET cot_id = 1761, cot_blt_id = 82, cot_pap_id = 11, cot_prc_comum =  30.00, cot_prc_min =  30.00, cot_prc_max =  36.00, cot_prc_med =  33.00, cot_prc_mediana =  33.00 WHERE cot_id = 1761;</v>
      </c>
    </row>
    <row r="1763" customFormat="false" ht="14.25" hidden="false" customHeight="false" outlineLevel="0" collapsed="false">
      <c r="A1763" s="0" t="n">
        <v>1762</v>
      </c>
      <c r="B1763" s="0" t="n">
        <f aca="false">IF('Boletins Nuppa Site'!A1763&lt;&gt;0,'Boletins Nuppa Site'!A1763,"NULL")</f>
        <v>82</v>
      </c>
      <c r="C1763" s="0" t="n">
        <v>12</v>
      </c>
      <c r="D1763" s="0" t="str">
        <f aca="false">IF('Boletins Nuppa Site'!G1763&lt;&gt;0,'Boletins Nuppa Site'!G1763,"NULL")</f>
        <v> 60.00</v>
      </c>
      <c r="E1763" s="30" t="str">
        <f aca="false">IF('Boletins Nuppa Site'!H1763&lt;&gt;0,'Boletins Nuppa Site'!H1763,"NULL")</f>
        <v> 60.00</v>
      </c>
      <c r="F1763" s="30" t="str">
        <f aca="false">IF('Boletins Nuppa Site'!I1763&lt;&gt;0,'Boletins Nuppa Site'!I1763,"NULL")</f>
        <v> 60.00</v>
      </c>
      <c r="G1763" s="30" t="str">
        <f aca="false">IF('Boletins Nuppa Site'!J1763&lt;&gt;0,'Boletins Nuppa Site'!J1763,"NULL")</f>
        <v> 60.00</v>
      </c>
      <c r="H1763" s="30" t="str">
        <f aca="false">IF('Boletins Nuppa Site'!K1763&lt;&gt;0,'Boletins Nuppa Site'!K1763,"NULL")</f>
        <v> 60.00</v>
      </c>
      <c r="I1763" s="0" t="str">
        <f aca="false">"INSERT INTO COTACAO (cot_id, cot_blt_id, cot_pap_id, cot_prc_comum, cot_prc_min, cot_prc_max, cot_prc_med, cot_prc_mediana) VALUES ("&amp;A1763&amp;", "&amp;B1763&amp;", "&amp;C1763&amp;", "&amp;D1763&amp;", "&amp;E1763&amp;", "&amp;F1763&amp;", "&amp;G1763&amp;", "&amp;H1763&amp;");"</f>
        <v>INSERT INTO COTACAO (cot_id, cot_blt_id, cot_pap_id, cot_prc_comum, cot_prc_min, cot_prc_max, cot_prc_med, cot_prc_mediana) VALUES (1762, 82, 12,  60.00,  60.00,  60.00,  60.00,  60.00);</v>
      </c>
      <c r="J1763" s="0" t="str">
        <f aca="false">"UPDATE COTACAO SET cot_id = "&amp;A1763&amp;", cot_blt_id = "&amp;B1763&amp;", cot_pap_id = "&amp;C1763&amp;", cot_prc_comum = "&amp;D1763&amp;", cot_prc_min = "&amp;E1763&amp;", cot_prc_max = "&amp;F1763&amp;", cot_prc_med = "&amp;G1763&amp;", cot_prc_mediana = "&amp;H1763&amp;" WHERE cot_id = "&amp;A1763&amp;";"</f>
        <v>UPDATE COTACAO SET cot_id = 1762, cot_blt_id = 82, cot_pap_id = 12, cot_prc_comum =  60.00, cot_prc_min =  60.00, cot_prc_max =  60.00, cot_prc_med =  60.00, cot_prc_mediana =  60.00 WHERE cot_id = 1762;</v>
      </c>
    </row>
    <row r="1764" customFormat="false" ht="14.25" hidden="false" customHeight="false" outlineLevel="0" collapsed="false">
      <c r="A1764" s="0" t="n">
        <v>1763</v>
      </c>
      <c r="B1764" s="0" t="n">
        <f aca="false">IF('Boletins Nuppa Site'!A1764&lt;&gt;0,'Boletins Nuppa Site'!A1764,"NULL")</f>
        <v>82</v>
      </c>
      <c r="C1764" s="0" t="n">
        <v>13</v>
      </c>
      <c r="D1764" s="0" t="str">
        <f aca="false">IF('Boletins Nuppa Site'!G1764&lt;&gt;0,'Boletins Nuppa Site'!G1764,"NULL")</f>
        <v> 60.00</v>
      </c>
      <c r="E1764" s="30" t="str">
        <f aca="false">IF('Boletins Nuppa Site'!H1764&lt;&gt;0,'Boletins Nuppa Site'!H1764,"NULL")</f>
        <v> 60.00</v>
      </c>
      <c r="F1764" s="30" t="str">
        <f aca="false">IF('Boletins Nuppa Site'!I1764&lt;&gt;0,'Boletins Nuppa Site'!I1764,"NULL")</f>
        <v> 48.00</v>
      </c>
      <c r="G1764" s="30" t="str">
        <f aca="false">IF('Boletins Nuppa Site'!J1764&lt;&gt;0,'Boletins Nuppa Site'!J1764,"NULL")</f>
        <v> 60.00</v>
      </c>
      <c r="H1764" s="30" t="str">
        <f aca="false">IF('Boletins Nuppa Site'!K1764&lt;&gt;0,'Boletins Nuppa Site'!K1764,"NULL")</f>
        <v> 57.60</v>
      </c>
      <c r="I1764" s="0" t="str">
        <f aca="false">"INSERT INTO COTACAO (cot_id, cot_blt_id, cot_pap_id, cot_prc_comum, cot_prc_min, cot_prc_max, cot_prc_med, cot_prc_mediana) VALUES ("&amp;A1764&amp;", "&amp;B1764&amp;", "&amp;C1764&amp;", "&amp;D1764&amp;", "&amp;E1764&amp;", "&amp;F1764&amp;", "&amp;G1764&amp;", "&amp;H1764&amp;");"</f>
        <v>INSERT INTO COTACAO (cot_id, cot_blt_id, cot_pap_id, cot_prc_comum, cot_prc_min, cot_prc_max, cot_prc_med, cot_prc_mediana) VALUES (1763, 82, 13,  60.00,  60.00,  48.00,  60.00,  57.60);</v>
      </c>
      <c r="J1764" s="0" t="str">
        <f aca="false">"UPDATE COTACAO SET cot_id = "&amp;A1764&amp;", cot_blt_id = "&amp;B1764&amp;", cot_pap_id = "&amp;C1764&amp;", cot_prc_comum = "&amp;D1764&amp;", cot_prc_min = "&amp;E1764&amp;", cot_prc_max = "&amp;F1764&amp;", cot_prc_med = "&amp;G1764&amp;", cot_prc_mediana = "&amp;H1764&amp;" WHERE cot_id = "&amp;A1764&amp;";"</f>
        <v>UPDATE COTACAO SET cot_id = 1763, cot_blt_id = 82, cot_pap_id = 13, cot_prc_comum =  60.00, cot_prc_min =  60.00, cot_prc_max =  48.00, cot_prc_med =  60.00, cot_prc_mediana =  57.60 WHERE cot_id = 1763;</v>
      </c>
    </row>
    <row r="1765" customFormat="false" ht="14.25" hidden="false" customHeight="false" outlineLevel="0" collapsed="false">
      <c r="A1765" s="0" t="n">
        <v>1764</v>
      </c>
      <c r="B1765" s="0" t="n">
        <f aca="false">IF('Boletins Nuppa Site'!A1765&lt;&gt;0,'Boletins Nuppa Site'!A1765,"NULL")</f>
        <v>82</v>
      </c>
      <c r="C1765" s="0" t="n">
        <v>14</v>
      </c>
      <c r="D1765" s="0" t="str">
        <f aca="false">IF('Boletins Nuppa Site'!G1765&lt;&gt;0,'Boletins Nuppa Site'!G1765,"NULL")</f>
        <v> 90.00</v>
      </c>
      <c r="E1765" s="30" t="str">
        <f aca="false">IF('Boletins Nuppa Site'!H1765&lt;&gt;0,'Boletins Nuppa Site'!H1765,"NULL")</f>
        <v> 48.00</v>
      </c>
      <c r="F1765" s="30" t="str">
        <f aca="false">IF('Boletins Nuppa Site'!I1765&lt;&gt;0,'Boletins Nuppa Site'!I1765,"NULL")</f>
        <v> 48.00</v>
      </c>
      <c r="G1765" s="30" t="str">
        <f aca="false">IF('Boletins Nuppa Site'!J1765&lt;&gt;0,'Boletins Nuppa Site'!J1765,"NULL")</f>
        <v> 69.00</v>
      </c>
      <c r="H1765" s="30" t="str">
        <f aca="false">IF('Boletins Nuppa Site'!K1765&lt;&gt;0,'Boletins Nuppa Site'!K1765,"NULL")</f>
        <v> 69.00</v>
      </c>
      <c r="I1765" s="0" t="str">
        <f aca="false">"INSERT INTO COTACAO (cot_id, cot_blt_id, cot_pap_id, cot_prc_comum, cot_prc_min, cot_prc_max, cot_prc_med, cot_prc_mediana) VALUES ("&amp;A1765&amp;", "&amp;B1765&amp;", "&amp;C1765&amp;", "&amp;D1765&amp;", "&amp;E1765&amp;", "&amp;F1765&amp;", "&amp;G1765&amp;", "&amp;H1765&amp;");"</f>
        <v>INSERT INTO COTACAO (cot_id, cot_blt_id, cot_pap_id, cot_prc_comum, cot_prc_min, cot_prc_max, cot_prc_med, cot_prc_mediana) VALUES (1764, 82, 14,  90.00,  48.00,  48.00,  69.00,  69.00);</v>
      </c>
      <c r="J1765" s="0" t="str">
        <f aca="false">"UPDATE COTACAO SET cot_id = "&amp;A1765&amp;", cot_blt_id = "&amp;B1765&amp;", cot_pap_id = "&amp;C1765&amp;", cot_prc_comum = "&amp;D1765&amp;", cot_prc_min = "&amp;E1765&amp;", cot_prc_max = "&amp;F1765&amp;", cot_prc_med = "&amp;G1765&amp;", cot_prc_mediana = "&amp;H1765&amp;" WHERE cot_id = "&amp;A1765&amp;";"</f>
        <v>UPDATE COTACAO SET cot_id = 1764, cot_blt_id = 82, cot_pap_id = 14, cot_prc_comum =  90.00, cot_prc_min =  48.00, cot_prc_max =  48.00, cot_prc_med =  69.00, cot_prc_mediana =  69.00 WHERE cot_id = 1764;</v>
      </c>
    </row>
    <row r="1766" customFormat="false" ht="14.25" hidden="false" customHeight="false" outlineLevel="0" collapsed="false">
      <c r="A1766" s="0" t="n">
        <v>1765</v>
      </c>
      <c r="B1766" s="0" t="n">
        <f aca="false">IF('Boletins Nuppa Site'!A1766&lt;&gt;0,'Boletins Nuppa Site'!A1766,"NULL")</f>
        <v>82</v>
      </c>
      <c r="C1766" s="0" t="n">
        <v>15</v>
      </c>
      <c r="D1766" s="0" t="str">
        <f aca="false">IF('Boletins Nuppa Site'!G1766&lt;&gt;0,'Boletins Nuppa Site'!G1766,"NULL")</f>
        <v>NULL</v>
      </c>
      <c r="E1766" s="30" t="str">
        <f aca="false">IF('Boletins Nuppa Site'!H1766&lt;&gt;0,'Boletins Nuppa Site'!H1766,"NULL")</f>
        <v> 30.00</v>
      </c>
      <c r="F1766" s="30" t="str">
        <f aca="false">IF('Boletins Nuppa Site'!I1766&lt;&gt;0,'Boletins Nuppa Site'!I1766,"NULL")</f>
        <v> 36.00</v>
      </c>
      <c r="G1766" s="30" t="str">
        <f aca="false">IF('Boletins Nuppa Site'!J1766&lt;&gt;0,'Boletins Nuppa Site'!J1766,"NULL")</f>
        <v> 37.20</v>
      </c>
      <c r="H1766" s="30" t="str">
        <f aca="false">IF('Boletins Nuppa Site'!K1766&lt;&gt;0,'Boletins Nuppa Site'!K1766,"NULL")</f>
        <v> 36.00</v>
      </c>
      <c r="I1766" s="0" t="str">
        <f aca="false">"INSERT INTO COTACAO (cot_id, cot_blt_id, cot_pap_id, cot_prc_comum, cot_prc_min, cot_prc_max, cot_prc_med, cot_prc_mediana) VALUES ("&amp;A1766&amp;", "&amp;B1766&amp;", "&amp;C1766&amp;", "&amp;D1766&amp;", "&amp;E1766&amp;", "&amp;F1766&amp;", "&amp;G1766&amp;", "&amp;H1766&amp;");"</f>
        <v>INSERT INTO COTACAO (cot_id, cot_blt_id, cot_pap_id, cot_prc_comum, cot_prc_min, cot_prc_max, cot_prc_med, cot_prc_mediana) VALUES (1765, 82, 15, NULL,  30.00,  36.00,  37.20,  36.00);</v>
      </c>
      <c r="J1766" s="0" t="str">
        <f aca="false">"UPDATE COTACAO SET cot_id = "&amp;A1766&amp;", cot_blt_id = "&amp;B1766&amp;", cot_pap_id = "&amp;C1766&amp;", cot_prc_comum = "&amp;D1766&amp;", cot_prc_min = "&amp;E1766&amp;", cot_prc_max = "&amp;F1766&amp;", cot_prc_med = "&amp;G1766&amp;", cot_prc_mediana = "&amp;H1766&amp;" WHERE cot_id = "&amp;A1766&amp;";"</f>
        <v>UPDATE COTACAO SET cot_id = 1765, cot_blt_id = 82, cot_pap_id = 15, cot_prc_comum = NULL, cot_prc_min =  30.00, cot_prc_max =  36.00, cot_prc_med =  37.20, cot_prc_mediana =  36.00 WHERE cot_id = 1765;</v>
      </c>
    </row>
    <row r="1767" customFormat="false" ht="14.25" hidden="false" customHeight="false" outlineLevel="0" collapsed="false">
      <c r="A1767" s="0" t="n">
        <v>1766</v>
      </c>
      <c r="B1767" s="0" t="n">
        <f aca="false">IF('Boletins Nuppa Site'!A1767&lt;&gt;0,'Boletins Nuppa Site'!A1767,"NULL")</f>
        <v>82</v>
      </c>
      <c r="C1767" s="0" t="n">
        <v>16</v>
      </c>
      <c r="D1767" s="0" t="str">
        <f aca="false">IF('Boletins Nuppa Site'!G1767&lt;&gt;0,'Boletins Nuppa Site'!G1767,"NULL")</f>
        <v> 60.00</v>
      </c>
      <c r="E1767" s="30" t="str">
        <f aca="false">IF('Boletins Nuppa Site'!H1767&lt;&gt;0,'Boletins Nuppa Site'!H1767,"NULL")</f>
        <v> 48.00</v>
      </c>
      <c r="F1767" s="30" t="str">
        <f aca="false">IF('Boletins Nuppa Site'!I1767&lt;&gt;0,'Boletins Nuppa Site'!I1767,"NULL")</f>
        <v> 48.00</v>
      </c>
      <c r="G1767" s="30" t="str">
        <f aca="false">IF('Boletins Nuppa Site'!J1767&lt;&gt;0,'Boletins Nuppa Site'!J1767,"NULL")</f>
        <v> 51.60</v>
      </c>
      <c r="H1767" s="30" t="str">
        <f aca="false">IF('Boletins Nuppa Site'!K1767&lt;&gt;0,'Boletins Nuppa Site'!K1767,"NULL")</f>
        <v> 48.00</v>
      </c>
      <c r="I1767" s="0" t="str">
        <f aca="false">"INSERT INTO COTACAO (cot_id, cot_blt_id, cot_pap_id, cot_prc_comum, cot_prc_min, cot_prc_max, cot_prc_med, cot_prc_mediana) VALUES ("&amp;A1767&amp;", "&amp;B1767&amp;", "&amp;C1767&amp;", "&amp;D1767&amp;", "&amp;E1767&amp;", "&amp;F1767&amp;", "&amp;G1767&amp;", "&amp;H1767&amp;");"</f>
        <v>INSERT INTO COTACAO (cot_id, cot_blt_id, cot_pap_id, cot_prc_comum, cot_prc_min, cot_prc_max, cot_prc_med, cot_prc_mediana) VALUES (1766, 82, 16,  60.00,  48.00,  48.00,  51.60,  48.00);</v>
      </c>
      <c r="J1767" s="0" t="str">
        <f aca="false">"UPDATE COTACAO SET cot_id = "&amp;A1767&amp;", cot_blt_id = "&amp;B1767&amp;", cot_pap_id = "&amp;C1767&amp;", cot_prc_comum = "&amp;D1767&amp;", cot_prc_min = "&amp;E1767&amp;", cot_prc_max = "&amp;F1767&amp;", cot_prc_med = "&amp;G1767&amp;", cot_prc_mediana = "&amp;H1767&amp;" WHERE cot_id = "&amp;A1767&amp;";"</f>
        <v>UPDATE COTACAO SET cot_id = 1766, cot_blt_id = 82, cot_pap_id = 16, cot_prc_comum =  60.00, cot_prc_min =  48.00, cot_prc_max =  48.00, cot_prc_med =  51.60, cot_prc_mediana =  48.00 WHERE cot_id = 1766;</v>
      </c>
    </row>
    <row r="1768" customFormat="false" ht="14.25" hidden="false" customHeight="false" outlineLevel="0" collapsed="false">
      <c r="A1768" s="0" t="n">
        <v>1767</v>
      </c>
      <c r="B1768" s="0" t="n">
        <f aca="false">IF('Boletins Nuppa Site'!A1768&lt;&gt;0,'Boletins Nuppa Site'!A1768,"NULL")</f>
        <v>82</v>
      </c>
      <c r="C1768" s="0" t="n">
        <v>17</v>
      </c>
      <c r="D1768" s="0" t="str">
        <f aca="false">IF('Boletins Nuppa Site'!G1768&lt;&gt;0,'Boletins Nuppa Site'!G1768,"NULL")</f>
        <v> 4.00</v>
      </c>
      <c r="E1768" s="30" t="str">
        <f aca="false">IF('Boletins Nuppa Site'!H1768&lt;&gt;0,'Boletins Nuppa Site'!H1768,"NULL")</f>
        <v> 5.00</v>
      </c>
      <c r="F1768" s="30" t="str">
        <f aca="false">IF('Boletins Nuppa Site'!I1768&lt;&gt;0,'Boletins Nuppa Site'!I1768,"NULL")</f>
        <v> 5.00</v>
      </c>
      <c r="G1768" s="30" t="str">
        <f aca="false">IF('Boletins Nuppa Site'!J1768&lt;&gt;0,'Boletins Nuppa Site'!J1768,"NULL")</f>
        <v> 4.80</v>
      </c>
      <c r="H1768" s="30" t="str">
        <f aca="false">IF('Boletins Nuppa Site'!K1768&lt;&gt;0,'Boletins Nuppa Site'!K1768,"NULL")</f>
        <v> 5.00</v>
      </c>
      <c r="I1768" s="0" t="str">
        <f aca="false">"INSERT INTO COTACAO (cot_id, cot_blt_id, cot_pap_id, cot_prc_comum, cot_prc_min, cot_prc_max, cot_prc_med, cot_prc_mediana) VALUES ("&amp;A1768&amp;", "&amp;B1768&amp;", "&amp;C1768&amp;", "&amp;D1768&amp;", "&amp;E1768&amp;", "&amp;F1768&amp;", "&amp;G1768&amp;", "&amp;H1768&amp;");"</f>
        <v>INSERT INTO COTACAO (cot_id, cot_blt_id, cot_pap_id, cot_prc_comum, cot_prc_min, cot_prc_max, cot_prc_med, cot_prc_mediana) VALUES (1767, 82, 17,  4.00,  5.00,  5.00,  4.80,  5.00);</v>
      </c>
      <c r="J1768" s="0" t="str">
        <f aca="false">"UPDATE COTACAO SET cot_id = "&amp;A1768&amp;", cot_blt_id = "&amp;B1768&amp;", cot_pap_id = "&amp;C1768&amp;", cot_prc_comum = "&amp;D1768&amp;", cot_prc_min = "&amp;E1768&amp;", cot_prc_max = "&amp;F1768&amp;", cot_prc_med = "&amp;G1768&amp;", cot_prc_mediana = "&amp;H1768&amp;" WHERE cot_id = "&amp;A1768&amp;";"</f>
        <v>UPDATE COTACAO SET cot_id = 1767, cot_blt_id = 82, cot_pap_id = 17, cot_prc_comum =  4.00, cot_prc_min =  5.00, cot_prc_max =  5.00, cot_prc_med =  4.80, cot_prc_mediana =  5.00 WHERE cot_id = 1767;</v>
      </c>
    </row>
    <row r="1769" customFormat="false" ht="14.25" hidden="false" customHeight="false" outlineLevel="0" collapsed="false">
      <c r="A1769" s="0" t="n">
        <v>1768</v>
      </c>
      <c r="B1769" s="0" t="n">
        <f aca="false">IF('Boletins Nuppa Site'!A1769&lt;&gt;0,'Boletins Nuppa Site'!A1769,"NULL")</f>
        <v>82</v>
      </c>
      <c r="C1769" s="0" t="n">
        <v>18</v>
      </c>
      <c r="D1769" s="0" t="str">
        <f aca="false">IF('Boletins Nuppa Site'!G1769&lt;&gt;0,'Boletins Nuppa Site'!G1769,"NULL")</f>
        <v> 20.00</v>
      </c>
      <c r="E1769" s="30" t="str">
        <f aca="false">IF('Boletins Nuppa Site'!H1769&lt;&gt;0,'Boletins Nuppa Site'!H1769,"NULL")</f>
        <v> 15.00</v>
      </c>
      <c r="F1769" s="30" t="str">
        <f aca="false">IF('Boletins Nuppa Site'!I1769&lt;&gt;0,'Boletins Nuppa Site'!I1769,"NULL")</f>
        <v> 15.00</v>
      </c>
      <c r="G1769" s="30" t="str">
        <f aca="false">IF('Boletins Nuppa Site'!J1769&lt;&gt;0,'Boletins Nuppa Site'!J1769,"NULL")</f>
        <v> 16.00</v>
      </c>
      <c r="H1769" s="30" t="str">
        <f aca="false">IF('Boletins Nuppa Site'!K1769&lt;&gt;0,'Boletins Nuppa Site'!K1769,"NULL")</f>
        <v> 15.00</v>
      </c>
      <c r="I1769" s="0" t="str">
        <f aca="false">"INSERT INTO COTACAO (cot_id, cot_blt_id, cot_pap_id, cot_prc_comum, cot_prc_min, cot_prc_max, cot_prc_med, cot_prc_mediana) VALUES ("&amp;A1769&amp;", "&amp;B1769&amp;", "&amp;C1769&amp;", "&amp;D1769&amp;", "&amp;E1769&amp;", "&amp;F1769&amp;", "&amp;G1769&amp;", "&amp;H1769&amp;");"</f>
        <v>INSERT INTO COTACAO (cot_id, cot_blt_id, cot_pap_id, cot_prc_comum, cot_prc_min, cot_prc_max, cot_prc_med, cot_prc_mediana) VALUES (1768, 82, 18,  20.00,  15.00,  15.00,  16.00,  15.00);</v>
      </c>
      <c r="J1769" s="0" t="str">
        <f aca="false">"UPDATE COTACAO SET cot_id = "&amp;A1769&amp;", cot_blt_id = "&amp;B1769&amp;", cot_pap_id = "&amp;C1769&amp;", cot_prc_comum = "&amp;D1769&amp;", cot_prc_min = "&amp;E1769&amp;", cot_prc_max = "&amp;F1769&amp;", cot_prc_med = "&amp;G1769&amp;", cot_prc_mediana = "&amp;H1769&amp;" WHERE cot_id = "&amp;A1769&amp;";"</f>
        <v>UPDATE COTACAO SET cot_id = 1768, cot_blt_id = 82, cot_pap_id = 18, cot_prc_comum =  20.00, cot_prc_min =  15.00, cot_prc_max =  15.00, cot_prc_med =  16.00, cot_prc_mediana =  15.00 WHERE cot_id = 1768;</v>
      </c>
    </row>
    <row r="1770" customFormat="false" ht="14.25" hidden="false" customHeight="false" outlineLevel="0" collapsed="false">
      <c r="A1770" s="0" t="n">
        <v>1769</v>
      </c>
      <c r="B1770" s="0" t="n">
        <f aca="false">IF('Boletins Nuppa Site'!A1770&lt;&gt;0,'Boletins Nuppa Site'!A1770,"NULL")</f>
        <v>82</v>
      </c>
      <c r="C1770" s="0" t="n">
        <v>19</v>
      </c>
      <c r="D1770" s="0" t="str">
        <f aca="false">IF('Boletins Nuppa Site'!G1770&lt;&gt;0,'Boletins Nuppa Site'!G1770,"NULL")</f>
        <v> 30.00</v>
      </c>
      <c r="E1770" s="30" t="str">
        <f aca="false">IF('Boletins Nuppa Site'!H1770&lt;&gt;0,'Boletins Nuppa Site'!H1770,"NULL")</f>
        <v> 20.00</v>
      </c>
      <c r="F1770" s="30" t="str">
        <f aca="false">IF('Boletins Nuppa Site'!I1770&lt;&gt;0,'Boletins Nuppa Site'!I1770,"NULL")</f>
        <v> 20.00</v>
      </c>
      <c r="G1770" s="30" t="str">
        <f aca="false">IF('Boletins Nuppa Site'!J1770&lt;&gt;0,'Boletins Nuppa Site'!J1770,"NULL")</f>
        <v> 23.00</v>
      </c>
      <c r="H1770" s="30" t="str">
        <f aca="false">IF('Boletins Nuppa Site'!K1770&lt;&gt;0,'Boletins Nuppa Site'!K1770,"NULL")</f>
        <v> 20.00</v>
      </c>
      <c r="I1770" s="0" t="str">
        <f aca="false">"INSERT INTO COTACAO (cot_id, cot_blt_id, cot_pap_id, cot_prc_comum, cot_prc_min, cot_prc_max, cot_prc_med, cot_prc_mediana) VALUES ("&amp;A1770&amp;", "&amp;B1770&amp;", "&amp;C1770&amp;", "&amp;D1770&amp;", "&amp;E1770&amp;", "&amp;F1770&amp;", "&amp;G1770&amp;", "&amp;H1770&amp;");"</f>
        <v>INSERT INTO COTACAO (cot_id, cot_blt_id, cot_pap_id, cot_prc_comum, cot_prc_min, cot_prc_max, cot_prc_med, cot_prc_mediana) VALUES (1769, 82, 19,  30.00,  20.00,  20.00,  23.00,  20.00);</v>
      </c>
      <c r="J1770" s="0" t="str">
        <f aca="false">"UPDATE COTACAO SET cot_id = "&amp;A1770&amp;", cot_blt_id = "&amp;B1770&amp;", cot_pap_id = "&amp;C1770&amp;", cot_prc_comum = "&amp;D1770&amp;", cot_prc_min = "&amp;E1770&amp;", cot_prc_max = "&amp;F1770&amp;", cot_prc_med = "&amp;G1770&amp;", cot_prc_mediana = "&amp;H1770&amp;" WHERE cot_id = "&amp;A1770&amp;";"</f>
        <v>UPDATE COTACAO SET cot_id = 1769, cot_blt_id = 82, cot_pap_id = 19, cot_prc_comum =  30.00, cot_prc_min =  20.00, cot_prc_max =  20.00, cot_prc_med =  23.00, cot_prc_mediana =  20.00 WHERE cot_id = 1769;</v>
      </c>
    </row>
    <row r="1771" customFormat="false" ht="14.25" hidden="false" customHeight="false" outlineLevel="0" collapsed="false">
      <c r="A1771" s="0" t="n">
        <v>1770</v>
      </c>
      <c r="B1771" s="0" t="n">
        <f aca="false">IF('Boletins Nuppa Site'!A1771&lt;&gt;0,'Boletins Nuppa Site'!A1771,"NULL")</f>
        <v>82</v>
      </c>
      <c r="C1771" s="0" t="n">
        <v>20</v>
      </c>
      <c r="D1771" s="0" t="str">
        <f aca="false">IF('Boletins Nuppa Site'!G1771&lt;&gt;0,'Boletins Nuppa Site'!G1771,"NULL")</f>
        <v> 75.00</v>
      </c>
      <c r="E1771" s="30" t="str">
        <f aca="false">IF('Boletins Nuppa Site'!H1771&lt;&gt;0,'Boletins Nuppa Site'!H1771,"NULL")</f>
        <v> 75.00</v>
      </c>
      <c r="F1771" s="30" t="str">
        <f aca="false">IF('Boletins Nuppa Site'!I1771&lt;&gt;0,'Boletins Nuppa Site'!I1771,"NULL")</f>
        <v> 65.00</v>
      </c>
      <c r="G1771" s="30" t="str">
        <f aca="false">IF('Boletins Nuppa Site'!J1771&lt;&gt;0,'Boletins Nuppa Site'!J1771,"NULL")</f>
        <v> 71.67</v>
      </c>
      <c r="H1771" s="30" t="str">
        <f aca="false">IF('Boletins Nuppa Site'!K1771&lt;&gt;0,'Boletins Nuppa Site'!K1771,"NULL")</f>
        <v> 75.00</v>
      </c>
      <c r="I1771" s="0" t="str">
        <f aca="false">"INSERT INTO COTACAO (cot_id, cot_blt_id, cot_pap_id, cot_prc_comum, cot_prc_min, cot_prc_max, cot_prc_med, cot_prc_mediana) VALUES ("&amp;A1771&amp;", "&amp;B1771&amp;", "&amp;C1771&amp;", "&amp;D1771&amp;", "&amp;E1771&amp;", "&amp;F1771&amp;", "&amp;G1771&amp;", "&amp;H1771&amp;");"</f>
        <v>INSERT INTO COTACAO (cot_id, cot_blt_id, cot_pap_id, cot_prc_comum, cot_prc_min, cot_prc_max, cot_prc_med, cot_prc_mediana) VALUES (1770, 82, 20,  75.00,  75.00,  65.00,  71.67,  75.00);</v>
      </c>
      <c r="J1771" s="0" t="str">
        <f aca="false">"UPDATE COTACAO SET cot_id = "&amp;A1771&amp;", cot_blt_id = "&amp;B1771&amp;", cot_pap_id = "&amp;C1771&amp;", cot_prc_comum = "&amp;D1771&amp;", cot_prc_min = "&amp;E1771&amp;", cot_prc_max = "&amp;F1771&amp;", cot_prc_med = "&amp;G1771&amp;", cot_prc_mediana = "&amp;H1771&amp;" WHERE cot_id = "&amp;A1771&amp;";"</f>
        <v>UPDATE COTACAO SET cot_id = 1770, cot_blt_id = 82, cot_pap_id = 20, cot_prc_comum =  75.00, cot_prc_min =  75.00, cot_prc_max =  65.00, cot_prc_med =  71.67, cot_prc_mediana =  75.00 WHERE cot_id = 1770;</v>
      </c>
    </row>
    <row r="1772" customFormat="false" ht="14.25" hidden="false" customHeight="false" outlineLevel="0" collapsed="false">
      <c r="A1772" s="0" t="n">
        <v>1771</v>
      </c>
      <c r="B1772" s="0" t="n">
        <f aca="false">IF('Boletins Nuppa Site'!A1772&lt;&gt;0,'Boletins Nuppa Site'!A1772,"NULL")</f>
        <v>82</v>
      </c>
      <c r="C1772" s="0" t="n">
        <v>21</v>
      </c>
      <c r="D1772" s="0" t="str">
        <f aca="false">IF('Boletins Nuppa Site'!G1772&lt;&gt;0,'Boletins Nuppa Site'!G1772,"NULL")</f>
        <v> 60.00</v>
      </c>
      <c r="E1772" s="30" t="str">
        <f aca="false">IF('Boletins Nuppa Site'!H1772&lt;&gt;0,'Boletins Nuppa Site'!H1772,"NULL")</f>
        <v> 60.00</v>
      </c>
      <c r="F1772" s="30" t="str">
        <f aca="false">IF('Boletins Nuppa Site'!I1772&lt;&gt;0,'Boletins Nuppa Site'!I1772,"NULL")</f>
        <v> 80.00</v>
      </c>
      <c r="G1772" s="30" t="str">
        <f aca="false">IF('Boletins Nuppa Site'!J1772&lt;&gt;0,'Boletins Nuppa Site'!J1772,"NULL")</f>
        <v> 69.00</v>
      </c>
      <c r="H1772" s="30" t="str">
        <f aca="false">IF('Boletins Nuppa Site'!K1772&lt;&gt;0,'Boletins Nuppa Site'!K1772,"NULL")</f>
        <v> 70.00</v>
      </c>
      <c r="I1772" s="0" t="str">
        <f aca="false">"INSERT INTO COTACAO (cot_id, cot_blt_id, cot_pap_id, cot_prc_comum, cot_prc_min, cot_prc_max, cot_prc_med, cot_prc_mediana) VALUES ("&amp;A1772&amp;", "&amp;B1772&amp;", "&amp;C1772&amp;", "&amp;D1772&amp;", "&amp;E1772&amp;", "&amp;F1772&amp;", "&amp;G1772&amp;", "&amp;H1772&amp;");"</f>
        <v>INSERT INTO COTACAO (cot_id, cot_blt_id, cot_pap_id, cot_prc_comum, cot_prc_min, cot_prc_max, cot_prc_med, cot_prc_mediana) VALUES (1771, 82, 21,  60.00,  60.00,  80.00,  69.00,  70.00);</v>
      </c>
      <c r="J1772" s="0" t="str">
        <f aca="false">"UPDATE COTACAO SET cot_id = "&amp;A1772&amp;", cot_blt_id = "&amp;B1772&amp;", cot_pap_id = "&amp;C1772&amp;", cot_prc_comum = "&amp;D1772&amp;", cot_prc_min = "&amp;E1772&amp;", cot_prc_max = "&amp;F1772&amp;", cot_prc_med = "&amp;G1772&amp;", cot_prc_mediana = "&amp;H1772&amp;" WHERE cot_id = "&amp;A1772&amp;";"</f>
        <v>UPDATE COTACAO SET cot_id = 1771, cot_blt_id = 82, cot_pap_id = 21, cot_prc_comum =  60.00, cot_prc_min =  60.00, cot_prc_max =  80.00, cot_prc_med =  69.00, cot_prc_mediana =  70.00 WHERE cot_id = 1771;</v>
      </c>
    </row>
    <row r="1773" customFormat="false" ht="14.25" hidden="false" customHeight="false" outlineLevel="0" collapsed="false">
      <c r="A1773" s="0" t="n">
        <v>1772</v>
      </c>
      <c r="B1773" s="0" t="n">
        <f aca="false">IF('Boletins Nuppa Site'!A1773&lt;&gt;0,'Boletins Nuppa Site'!A1773,"NULL")</f>
        <v>82</v>
      </c>
      <c r="C1773" s="0" t="n">
        <v>22</v>
      </c>
      <c r="D1773" s="0" t="str">
        <f aca="false">IF('Boletins Nuppa Site'!G1773&lt;&gt;0,'Boletins Nuppa Site'!G1773,"NULL")</f>
        <v> 70.00</v>
      </c>
      <c r="E1773" s="30" t="str">
        <f aca="false">IF('Boletins Nuppa Site'!H1773&lt;&gt;0,'Boletins Nuppa Site'!H1773,"NULL")</f>
        <v> 45.00</v>
      </c>
      <c r="F1773" s="30" t="str">
        <f aca="false">IF('Boletins Nuppa Site'!I1773&lt;&gt;0,'Boletins Nuppa Site'!I1773,"NULL")</f>
        <v> 70.00</v>
      </c>
      <c r="G1773" s="30" t="str">
        <f aca="false">IF('Boletins Nuppa Site'!J1773&lt;&gt;0,'Boletins Nuppa Site'!J1773,"NULL")</f>
        <v> 60.00</v>
      </c>
      <c r="H1773" s="30" t="str">
        <f aca="false">IF('Boletins Nuppa Site'!K1773&lt;&gt;0,'Boletins Nuppa Site'!K1773,"NULL")</f>
        <v> 65.00</v>
      </c>
      <c r="I1773" s="0" t="str">
        <f aca="false">"INSERT INTO COTACAO (cot_id, cot_blt_id, cot_pap_id, cot_prc_comum, cot_prc_min, cot_prc_max, cot_prc_med, cot_prc_mediana) VALUES ("&amp;A1773&amp;", "&amp;B1773&amp;", "&amp;C1773&amp;", "&amp;D1773&amp;", "&amp;E1773&amp;", "&amp;F1773&amp;", "&amp;G1773&amp;", "&amp;H1773&amp;");"</f>
        <v>INSERT INTO COTACAO (cot_id, cot_blt_id, cot_pap_id, cot_prc_comum, cot_prc_min, cot_prc_max, cot_prc_med, cot_prc_mediana) VALUES (1772, 82, 22,  70.00,  45.00,  70.00,  60.00,  65.00);</v>
      </c>
      <c r="J1773" s="0" t="str">
        <f aca="false">"UPDATE COTACAO SET cot_id = "&amp;A1773&amp;", cot_blt_id = "&amp;B1773&amp;", cot_pap_id = "&amp;C1773&amp;", cot_prc_comum = "&amp;D1773&amp;", cot_prc_min = "&amp;E1773&amp;", cot_prc_max = "&amp;F1773&amp;", cot_prc_med = "&amp;G1773&amp;", cot_prc_mediana = "&amp;H1773&amp;" WHERE cot_id = "&amp;A1773&amp;";"</f>
        <v>UPDATE COTACAO SET cot_id = 1772, cot_blt_id = 82, cot_pap_id = 22, cot_prc_comum =  70.00, cot_prc_min =  45.00, cot_prc_max =  70.00, cot_prc_med =  60.00, cot_prc_mediana =  65.00 WHERE cot_id = 1772;</v>
      </c>
    </row>
    <row r="1774" customFormat="false" ht="14.25" hidden="false" customHeight="false" outlineLevel="0" collapsed="false">
      <c r="A1774" s="0" t="n">
        <v>1773</v>
      </c>
      <c r="B1774" s="0" t="n">
        <f aca="false">IF('Boletins Nuppa Site'!A1774&lt;&gt;0,'Boletins Nuppa Site'!A1774,"NULL")</f>
        <v>82</v>
      </c>
      <c r="C1774" s="0" t="n">
        <v>23</v>
      </c>
      <c r="D1774" s="0" t="str">
        <f aca="false">IF('Boletins Nuppa Site'!G1774&lt;&gt;0,'Boletins Nuppa Site'!G1774,"NULL")</f>
        <v> 50.00</v>
      </c>
      <c r="E1774" s="30" t="str">
        <f aca="false">IF('Boletins Nuppa Site'!H1774&lt;&gt;0,'Boletins Nuppa Site'!H1774,"NULL")</f>
        <v> 50.00</v>
      </c>
      <c r="F1774" s="30" t="str">
        <f aca="false">IF('Boletins Nuppa Site'!I1774&lt;&gt;0,'Boletins Nuppa Site'!I1774,"NULL")</f>
        <v> 50.00</v>
      </c>
      <c r="G1774" s="30" t="str">
        <f aca="false">IF('Boletins Nuppa Site'!J1774&lt;&gt;0,'Boletins Nuppa Site'!J1774,"NULL")</f>
        <v> 50.00</v>
      </c>
      <c r="H1774" s="30" t="str">
        <f aca="false">IF('Boletins Nuppa Site'!K1774&lt;&gt;0,'Boletins Nuppa Site'!K1774,"NULL")</f>
        <v> 50.00</v>
      </c>
      <c r="I1774" s="0" t="str">
        <f aca="false">"INSERT INTO COTACAO (cot_id, cot_blt_id, cot_pap_id, cot_prc_comum, cot_prc_min, cot_prc_max, cot_prc_med, cot_prc_mediana) VALUES ("&amp;A1774&amp;", "&amp;B1774&amp;", "&amp;C1774&amp;", "&amp;D1774&amp;", "&amp;E1774&amp;", "&amp;F1774&amp;", "&amp;G1774&amp;", "&amp;H1774&amp;");"</f>
        <v>INSERT INTO COTACAO (cot_id, cot_blt_id, cot_pap_id, cot_prc_comum, cot_prc_min, cot_prc_max, cot_prc_med, cot_prc_mediana) VALUES (1773, 82, 23,  50.00,  50.00,  50.00,  50.00,  50.00);</v>
      </c>
      <c r="J1774" s="0" t="str">
        <f aca="false">"UPDATE COTACAO SET cot_id = "&amp;A1774&amp;", cot_blt_id = "&amp;B1774&amp;", cot_pap_id = "&amp;C1774&amp;", cot_prc_comum = "&amp;D1774&amp;", cot_prc_min = "&amp;E1774&amp;", cot_prc_max = "&amp;F1774&amp;", cot_prc_med = "&amp;G1774&amp;", cot_prc_mediana = "&amp;H1774&amp;" WHERE cot_id = "&amp;A1774&amp;";"</f>
        <v>UPDATE COTACAO SET cot_id = 1773, cot_blt_id = 82, cot_pap_id = 23, cot_prc_comum =  50.00, cot_prc_min =  50.00, cot_prc_max =  50.00, cot_prc_med =  50.00, cot_prc_mediana =  50.00 WHERE cot_id = 1773;</v>
      </c>
    </row>
    <row r="1775" customFormat="false" ht="14.25" hidden="false" customHeight="false" outlineLevel="0" collapsed="false">
      <c r="A1775" s="0" t="n">
        <v>1774</v>
      </c>
      <c r="B1775" s="0" t="n">
        <f aca="false">IF('Boletins Nuppa Site'!A1775&lt;&gt;0,'Boletins Nuppa Site'!A1775,"NULL")</f>
        <v>82</v>
      </c>
      <c r="C1775" s="0" t="n">
        <v>24</v>
      </c>
      <c r="D1775" s="0" t="str">
        <f aca="false">IF('Boletins Nuppa Site'!G1775&lt;&gt;0,'Boletins Nuppa Site'!G1775,"NULL")</f>
        <v>NULL</v>
      </c>
      <c r="E1775" s="30" t="str">
        <f aca="false">IF('Boletins Nuppa Site'!H1775&lt;&gt;0,'Boletins Nuppa Site'!H1775,"NULL")</f>
        <v> 75.00</v>
      </c>
      <c r="F1775" s="30" t="str">
        <f aca="false">IF('Boletins Nuppa Site'!I1775&lt;&gt;0,'Boletins Nuppa Site'!I1775,"NULL")</f>
        <v> 75.00</v>
      </c>
      <c r="G1775" s="30" t="str">
        <f aca="false">IF('Boletins Nuppa Site'!J1775&lt;&gt;0,'Boletins Nuppa Site'!J1775,"NULL")</f>
        <v> 75.00</v>
      </c>
      <c r="H1775" s="30" t="str">
        <f aca="false">IF('Boletins Nuppa Site'!K1775&lt;&gt;0,'Boletins Nuppa Site'!K1775,"NULL")</f>
        <v> 75.00</v>
      </c>
      <c r="I1775" s="0" t="str">
        <f aca="false">"INSERT INTO COTACAO (cot_id, cot_blt_id, cot_pap_id, cot_prc_comum, cot_prc_min, cot_prc_max, cot_prc_med, cot_prc_mediana) VALUES ("&amp;A1775&amp;", "&amp;B1775&amp;", "&amp;C1775&amp;", "&amp;D1775&amp;", "&amp;E1775&amp;", "&amp;F1775&amp;", "&amp;G1775&amp;", "&amp;H1775&amp;");"</f>
        <v>INSERT INTO COTACAO (cot_id, cot_blt_id, cot_pap_id, cot_prc_comum, cot_prc_min, cot_prc_max, cot_prc_med, cot_prc_mediana) VALUES (1774, 82, 24, NULL,  75.00,  75.00,  75.00,  75.00);</v>
      </c>
      <c r="J1775" s="0" t="str">
        <f aca="false">"UPDATE COTACAO SET cot_id = "&amp;A1775&amp;", cot_blt_id = "&amp;B1775&amp;", cot_pap_id = "&amp;C1775&amp;", cot_prc_comum = "&amp;D1775&amp;", cot_prc_min = "&amp;E1775&amp;", cot_prc_max = "&amp;F1775&amp;", cot_prc_med = "&amp;G1775&amp;", cot_prc_mediana = "&amp;H1775&amp;" WHERE cot_id = "&amp;A1775&amp;";"</f>
        <v>UPDATE COTACAO SET cot_id = 1774, cot_blt_id = 82, cot_pap_id = 24, cot_prc_comum = NULL, cot_prc_min =  75.00, cot_prc_max =  75.00, cot_prc_med =  75.00, cot_prc_mediana =  75.00 WHERE cot_id = 1774;</v>
      </c>
    </row>
    <row r="1776" customFormat="false" ht="14.25" hidden="false" customHeight="false" outlineLevel="0" collapsed="false">
      <c r="A1776" s="0" t="n">
        <v>1775</v>
      </c>
      <c r="B1776" s="0" t="n">
        <f aca="false">IF('Boletins Nuppa Site'!A1776&lt;&gt;0,'Boletins Nuppa Site'!A1776,"NULL")</f>
        <v>82</v>
      </c>
      <c r="C1776" s="0" t="n">
        <v>25</v>
      </c>
      <c r="D1776" s="0" t="str">
        <f aca="false">IF('Boletins Nuppa Site'!G1776&lt;&gt;0,'Boletins Nuppa Site'!G1776,"NULL")</f>
        <v> 70.00</v>
      </c>
      <c r="E1776" s="30" t="str">
        <f aca="false">IF('Boletins Nuppa Site'!H1776&lt;&gt;0,'Boletins Nuppa Site'!H1776,"NULL")</f>
        <v> 50.00</v>
      </c>
      <c r="F1776" s="30" t="str">
        <f aca="false">IF('Boletins Nuppa Site'!I1776&lt;&gt;0,'Boletins Nuppa Site'!I1776,"NULL")</f>
        <v> 50.00</v>
      </c>
      <c r="G1776" s="30" t="str">
        <f aca="false">IF('Boletins Nuppa Site'!J1776&lt;&gt;0,'Boletins Nuppa Site'!J1776,"NULL")</f>
        <v> 57.00</v>
      </c>
      <c r="H1776" s="30" t="str">
        <f aca="false">IF('Boletins Nuppa Site'!K1776&lt;&gt;0,'Boletins Nuppa Site'!K1776,"NULL")</f>
        <v> 55.00</v>
      </c>
      <c r="I1776" s="0" t="str">
        <f aca="false">"INSERT INTO COTACAO (cot_id, cot_blt_id, cot_pap_id, cot_prc_comum, cot_prc_min, cot_prc_max, cot_prc_med, cot_prc_mediana) VALUES ("&amp;A1776&amp;", "&amp;B1776&amp;", "&amp;C1776&amp;", "&amp;D1776&amp;", "&amp;E1776&amp;", "&amp;F1776&amp;", "&amp;G1776&amp;", "&amp;H1776&amp;");"</f>
        <v>INSERT INTO COTACAO (cot_id, cot_blt_id, cot_pap_id, cot_prc_comum, cot_prc_min, cot_prc_max, cot_prc_med, cot_prc_mediana) VALUES (1775, 82, 25,  70.00,  50.00,  50.00,  57.00,  55.00);</v>
      </c>
      <c r="J1776" s="0" t="str">
        <f aca="false">"UPDATE COTACAO SET cot_id = "&amp;A1776&amp;", cot_blt_id = "&amp;B1776&amp;", cot_pap_id = "&amp;C1776&amp;", cot_prc_comum = "&amp;D1776&amp;", cot_prc_min = "&amp;E1776&amp;", cot_prc_max = "&amp;F1776&amp;", cot_prc_med = "&amp;G1776&amp;", cot_prc_mediana = "&amp;H1776&amp;" WHERE cot_id = "&amp;A1776&amp;";"</f>
        <v>UPDATE COTACAO SET cot_id = 1775, cot_blt_id = 82, cot_pap_id = 25, cot_prc_comum =  70.00, cot_prc_min =  50.00, cot_prc_max =  50.00, cot_prc_med =  57.00, cot_prc_mediana =  55.00 WHERE cot_id = 1775;</v>
      </c>
    </row>
    <row r="1777" customFormat="false" ht="14.25" hidden="false" customHeight="false" outlineLevel="0" collapsed="false">
      <c r="A1777" s="0" t="n">
        <v>1776</v>
      </c>
      <c r="B1777" s="0" t="n">
        <f aca="false">IF('Boletins Nuppa Site'!A1777&lt;&gt;0,'Boletins Nuppa Site'!A1777,"NULL")</f>
        <v>82</v>
      </c>
      <c r="C1777" s="0" t="n">
        <v>26</v>
      </c>
      <c r="D1777" s="0" t="str">
        <f aca="false">IF('Boletins Nuppa Site'!G1777&lt;&gt;0,'Boletins Nuppa Site'!G1777,"NULL")</f>
        <v> 70.00</v>
      </c>
      <c r="E1777" s="30" t="str">
        <f aca="false">IF('Boletins Nuppa Site'!H1777&lt;&gt;0,'Boletins Nuppa Site'!H1777,"NULL")</f>
        <v> 40.00</v>
      </c>
      <c r="F1777" s="30" t="str">
        <f aca="false">IF('Boletins Nuppa Site'!I1777&lt;&gt;0,'Boletins Nuppa Site'!I1777,"NULL")</f>
        <v> 50.00</v>
      </c>
      <c r="G1777" s="30" t="str">
        <f aca="false">IF('Boletins Nuppa Site'!J1777&lt;&gt;0,'Boletins Nuppa Site'!J1777,"NULL")</f>
        <v> 54.00</v>
      </c>
      <c r="H1777" s="30" t="str">
        <f aca="false">IF('Boletins Nuppa Site'!K1777&lt;&gt;0,'Boletins Nuppa Site'!K1777,"NULL")</f>
        <v> 50.00</v>
      </c>
      <c r="I1777" s="0" t="str">
        <f aca="false">"INSERT INTO COTACAO (cot_id, cot_blt_id, cot_pap_id, cot_prc_comum, cot_prc_min, cot_prc_max, cot_prc_med, cot_prc_mediana) VALUES ("&amp;A1777&amp;", "&amp;B1777&amp;", "&amp;C1777&amp;", "&amp;D1777&amp;", "&amp;E1777&amp;", "&amp;F1777&amp;", "&amp;G1777&amp;", "&amp;H1777&amp;");"</f>
        <v>INSERT INTO COTACAO (cot_id, cot_blt_id, cot_pap_id, cot_prc_comum, cot_prc_min, cot_prc_max, cot_prc_med, cot_prc_mediana) VALUES (1776, 82, 26,  70.00,  40.00,  50.00,  54.00,  50.00);</v>
      </c>
      <c r="J1777" s="0" t="str">
        <f aca="false">"UPDATE COTACAO SET cot_id = "&amp;A1777&amp;", cot_blt_id = "&amp;B1777&amp;", cot_pap_id = "&amp;C1777&amp;", cot_prc_comum = "&amp;D1777&amp;", cot_prc_min = "&amp;E1777&amp;", cot_prc_max = "&amp;F1777&amp;", cot_prc_med = "&amp;G1777&amp;", cot_prc_mediana = "&amp;H1777&amp;" WHERE cot_id = "&amp;A1777&amp;";"</f>
        <v>UPDATE COTACAO SET cot_id = 1776, cot_blt_id = 82, cot_pap_id = 26, cot_prc_comum =  70.00, cot_prc_min =  40.00, cot_prc_max =  50.00, cot_prc_med =  54.00, cot_prc_mediana =  50.00 WHERE cot_id = 1776;</v>
      </c>
    </row>
    <row r="1778" customFormat="false" ht="14.25" hidden="false" customHeight="false" outlineLevel="0" collapsed="false">
      <c r="A1778" s="0" t="n">
        <v>1777</v>
      </c>
      <c r="B1778" s="0" t="n">
        <f aca="false">IF('Boletins Nuppa Site'!A1778&lt;&gt;0,'Boletins Nuppa Site'!A1778,"NULL")</f>
        <v>82</v>
      </c>
      <c r="C1778" s="0" t="n">
        <v>27</v>
      </c>
      <c r="D1778" s="0" t="str">
        <f aca="false">IF('Boletins Nuppa Site'!G1778&lt;&gt;0,'Boletins Nuppa Site'!G1778,"NULL")</f>
        <v> 50.00</v>
      </c>
      <c r="E1778" s="30" t="str">
        <f aca="false">IF('Boletins Nuppa Site'!H1778&lt;&gt;0,'Boletins Nuppa Site'!H1778,"NULL")</f>
        <v> 40.00</v>
      </c>
      <c r="F1778" s="30" t="str">
        <f aca="false">IF('Boletins Nuppa Site'!I1778&lt;&gt;0,'Boletins Nuppa Site'!I1778,"NULL")</f>
        <v> 60.00</v>
      </c>
      <c r="G1778" s="30" t="str">
        <f aca="false">IF('Boletins Nuppa Site'!J1778&lt;&gt;0,'Boletins Nuppa Site'!J1778,"NULL")</f>
        <v> 50.00</v>
      </c>
      <c r="H1778" s="30" t="str">
        <f aca="false">IF('Boletins Nuppa Site'!K1778&lt;&gt;0,'Boletins Nuppa Site'!K1778,"NULL")</f>
        <v> 50.00</v>
      </c>
      <c r="I1778" s="0" t="str">
        <f aca="false">"INSERT INTO COTACAO (cot_id, cot_blt_id, cot_pap_id, cot_prc_comum, cot_prc_min, cot_prc_max, cot_prc_med, cot_prc_mediana) VALUES ("&amp;A1778&amp;", "&amp;B1778&amp;", "&amp;C1778&amp;", "&amp;D1778&amp;", "&amp;E1778&amp;", "&amp;F1778&amp;", "&amp;G1778&amp;", "&amp;H1778&amp;");"</f>
        <v>INSERT INTO COTACAO (cot_id, cot_blt_id, cot_pap_id, cot_prc_comum, cot_prc_min, cot_prc_max, cot_prc_med, cot_prc_mediana) VALUES (1777, 82, 27,  50.00,  40.00,  60.00,  50.00,  50.00);</v>
      </c>
      <c r="J1778" s="0" t="str">
        <f aca="false">"UPDATE COTACAO SET cot_id = "&amp;A1778&amp;", cot_blt_id = "&amp;B1778&amp;", cot_pap_id = "&amp;C1778&amp;", cot_prc_comum = "&amp;D1778&amp;", cot_prc_min = "&amp;E1778&amp;", cot_prc_max = "&amp;F1778&amp;", cot_prc_med = "&amp;G1778&amp;", cot_prc_mediana = "&amp;H1778&amp;" WHERE cot_id = "&amp;A1778&amp;";"</f>
        <v>UPDATE COTACAO SET cot_id = 1777, cot_blt_id = 82, cot_pap_id = 27, cot_prc_comum =  50.00, cot_prc_min =  40.00, cot_prc_max =  60.00, cot_prc_med =  50.00, cot_prc_mediana =  50.00 WHERE cot_id = 1777;</v>
      </c>
    </row>
    <row r="1779" customFormat="false" ht="14.25" hidden="false" customHeight="false" outlineLevel="0" collapsed="false">
      <c r="A1779" s="0" t="n">
        <v>1778</v>
      </c>
      <c r="B1779" s="0" t="n">
        <f aca="false">IF('Boletins Nuppa Site'!A1779&lt;&gt;0,'Boletins Nuppa Site'!A1779,"NULL")</f>
        <v>82</v>
      </c>
      <c r="C1779" s="0" t="n">
        <v>28</v>
      </c>
      <c r="D1779" s="0" t="str">
        <f aca="false">IF('Boletins Nuppa Site'!G1779&lt;&gt;0,'Boletins Nuppa Site'!G1779,"NULL")</f>
        <v> 90.00</v>
      </c>
      <c r="E1779" s="30" t="str">
        <f aca="false">IF('Boletins Nuppa Site'!H1779&lt;&gt;0,'Boletins Nuppa Site'!H1779,"NULL")</f>
        <v> 80.00</v>
      </c>
      <c r="F1779" s="30" t="str">
        <f aca="false">IF('Boletins Nuppa Site'!I1779&lt;&gt;0,'Boletins Nuppa Site'!I1779,"NULL")</f>
        <v> 80.00</v>
      </c>
      <c r="G1779" s="30" t="str">
        <f aca="false">IF('Boletins Nuppa Site'!J1779&lt;&gt;0,'Boletins Nuppa Site'!J1779,"NULL")</f>
        <v> 85.00</v>
      </c>
      <c r="H1779" s="30" t="str">
        <f aca="false">IF('Boletins Nuppa Site'!K1779&lt;&gt;0,'Boletins Nuppa Site'!K1779,"NULL")</f>
        <v> 85.00</v>
      </c>
      <c r="I1779" s="0" t="str">
        <f aca="false">"INSERT INTO COTACAO (cot_id, cot_blt_id, cot_pap_id, cot_prc_comum, cot_prc_min, cot_prc_max, cot_prc_med, cot_prc_mediana) VALUES ("&amp;A1779&amp;", "&amp;B1779&amp;", "&amp;C1779&amp;", "&amp;D1779&amp;", "&amp;E1779&amp;", "&amp;F1779&amp;", "&amp;G1779&amp;", "&amp;H1779&amp;");"</f>
        <v>INSERT INTO COTACAO (cot_id, cot_blt_id, cot_pap_id, cot_prc_comum, cot_prc_min, cot_prc_max, cot_prc_med, cot_prc_mediana) VALUES (1778, 82, 28,  90.00,  80.00,  80.00,  85.00,  85.00);</v>
      </c>
      <c r="J1779" s="0" t="str">
        <f aca="false">"UPDATE COTACAO SET cot_id = "&amp;A1779&amp;", cot_blt_id = "&amp;B1779&amp;", cot_pap_id = "&amp;C1779&amp;", cot_prc_comum = "&amp;D1779&amp;", cot_prc_min = "&amp;E1779&amp;", cot_prc_max = "&amp;F1779&amp;", cot_prc_med = "&amp;G1779&amp;", cot_prc_mediana = "&amp;H1779&amp;" WHERE cot_id = "&amp;A1779&amp;";"</f>
        <v>UPDATE COTACAO SET cot_id = 1778, cot_blt_id = 82, cot_pap_id = 28, cot_prc_comum =  90.00, cot_prc_min =  80.00, cot_prc_max =  80.00, cot_prc_med =  85.00, cot_prc_mediana =  85.00 WHERE cot_id = 1778;</v>
      </c>
    </row>
    <row r="1780" customFormat="false" ht="14.25" hidden="false" customHeight="false" outlineLevel="0" collapsed="false">
      <c r="A1780" s="0" t="n">
        <v>1779</v>
      </c>
      <c r="B1780" s="0" t="n">
        <f aca="false">IF('Boletins Nuppa Site'!A1780&lt;&gt;0,'Boletins Nuppa Site'!A1780,"NULL")</f>
        <v>82</v>
      </c>
      <c r="C1780" s="0" t="n">
        <v>29</v>
      </c>
      <c r="D1780" s="0" t="str">
        <f aca="false">IF('Boletins Nuppa Site'!G1780&lt;&gt;0,'Boletins Nuppa Site'!G1780,"NULL")</f>
        <v>NULL</v>
      </c>
      <c r="E1780" s="30" t="str">
        <f aca="false">IF('Boletins Nuppa Site'!H1780&lt;&gt;0,'Boletins Nuppa Site'!H1780,"NULL")</f>
        <v> 80.00</v>
      </c>
      <c r="F1780" s="30" t="str">
        <f aca="false">IF('Boletins Nuppa Site'!I1780&lt;&gt;0,'Boletins Nuppa Site'!I1780,"NULL")</f>
        <v> 70.00</v>
      </c>
      <c r="G1780" s="30" t="str">
        <f aca="false">IF('Boletins Nuppa Site'!J1780&lt;&gt;0,'Boletins Nuppa Site'!J1780,"NULL")</f>
        <v> 75.00</v>
      </c>
      <c r="H1780" s="30" t="str">
        <f aca="false">IF('Boletins Nuppa Site'!K1780&lt;&gt;0,'Boletins Nuppa Site'!K1780,"NULL")</f>
        <v> 75.00</v>
      </c>
      <c r="I1780" s="0" t="str">
        <f aca="false">"INSERT INTO COTACAO (cot_id, cot_blt_id, cot_pap_id, cot_prc_comum, cot_prc_min, cot_prc_max, cot_prc_med, cot_prc_mediana) VALUES ("&amp;A1780&amp;", "&amp;B1780&amp;", "&amp;C1780&amp;", "&amp;D1780&amp;", "&amp;E1780&amp;", "&amp;F1780&amp;", "&amp;G1780&amp;", "&amp;H1780&amp;");"</f>
        <v>INSERT INTO COTACAO (cot_id, cot_blt_id, cot_pap_id, cot_prc_comum, cot_prc_min, cot_prc_max, cot_prc_med, cot_prc_mediana) VALUES (1779, 82, 29, NULL,  80.00,  70.00,  75.00,  75.00);</v>
      </c>
      <c r="J1780" s="0" t="str">
        <f aca="false">"UPDATE COTACAO SET cot_id = "&amp;A1780&amp;", cot_blt_id = "&amp;B1780&amp;", cot_pap_id = "&amp;C1780&amp;", cot_prc_comum = "&amp;D1780&amp;", cot_prc_min = "&amp;E1780&amp;", cot_prc_max = "&amp;F1780&amp;", cot_prc_med = "&amp;G1780&amp;", cot_prc_mediana = "&amp;H1780&amp;" WHERE cot_id = "&amp;A1780&amp;";"</f>
        <v>UPDATE COTACAO SET cot_id = 1779, cot_blt_id = 82, cot_pap_id = 29, cot_prc_comum = NULL, cot_prc_min =  80.00, cot_prc_max =  70.00, cot_prc_med =  75.00, cot_prc_mediana =  75.00 WHERE cot_id = 1779;</v>
      </c>
    </row>
    <row r="1781" customFormat="false" ht="14.25" hidden="false" customHeight="false" outlineLevel="0" collapsed="false">
      <c r="A1781" s="0" t="n">
        <v>1780</v>
      </c>
      <c r="B1781" s="0" t="n">
        <f aca="false">IF('Boletins Nuppa Site'!A1781&lt;&gt;0,'Boletins Nuppa Site'!A1781,"NULL")</f>
        <v>82</v>
      </c>
      <c r="C1781" s="0" t="n">
        <v>30</v>
      </c>
      <c r="D1781" s="0" t="str">
        <f aca="false">IF('Boletins Nuppa Site'!G1781&lt;&gt;0,'Boletins Nuppa Site'!G1781,"NULL")</f>
        <v>NULL</v>
      </c>
      <c r="E1781" s="30" t="str">
        <f aca="false">IF('Boletins Nuppa Site'!H1781&lt;&gt;0,'Boletins Nuppa Site'!H1781,"NULL")</f>
        <v> 60.00</v>
      </c>
      <c r="F1781" s="30" t="str">
        <f aca="false">IF('Boletins Nuppa Site'!I1781&lt;&gt;0,'Boletins Nuppa Site'!I1781,"NULL")</f>
        <v> 40.00</v>
      </c>
      <c r="G1781" s="30" t="str">
        <f aca="false">IF('Boletins Nuppa Site'!J1781&lt;&gt;0,'Boletins Nuppa Site'!J1781,"NULL")</f>
        <v> 50.00</v>
      </c>
      <c r="H1781" s="30" t="str">
        <f aca="false">IF('Boletins Nuppa Site'!K1781&lt;&gt;0,'Boletins Nuppa Site'!K1781,"NULL")</f>
        <v> 50.00</v>
      </c>
      <c r="I1781" s="0" t="str">
        <f aca="false">"INSERT INTO COTACAO (cot_id, cot_blt_id, cot_pap_id, cot_prc_comum, cot_prc_min, cot_prc_max, cot_prc_med, cot_prc_mediana) VALUES ("&amp;A1781&amp;", "&amp;B1781&amp;", "&amp;C1781&amp;", "&amp;D1781&amp;", "&amp;E1781&amp;", "&amp;F1781&amp;", "&amp;G1781&amp;", "&amp;H1781&amp;");"</f>
        <v>INSERT INTO COTACAO (cot_id, cot_blt_id, cot_pap_id, cot_prc_comum, cot_prc_min, cot_prc_max, cot_prc_med, cot_prc_mediana) VALUES (1780, 82, 30, NULL,  60.00,  40.00,  50.00,  50.00);</v>
      </c>
      <c r="J1781" s="0" t="str">
        <f aca="false">"UPDATE COTACAO SET cot_id = "&amp;A1781&amp;", cot_blt_id = "&amp;B1781&amp;", cot_pap_id = "&amp;C1781&amp;", cot_prc_comum = "&amp;D1781&amp;", cot_prc_min = "&amp;E1781&amp;", cot_prc_max = "&amp;F1781&amp;", cot_prc_med = "&amp;G1781&amp;", cot_prc_mediana = "&amp;H1781&amp;" WHERE cot_id = "&amp;A1781&amp;";"</f>
        <v>UPDATE COTACAO SET cot_id = 1780, cot_blt_id = 82, cot_pap_id = 30, cot_prc_comum = NULL, cot_prc_min =  60.00, cot_prc_max =  40.00, cot_prc_med =  50.00, cot_prc_mediana =  50.00 WHERE cot_id = 1780;</v>
      </c>
    </row>
    <row r="1782" customFormat="false" ht="14.25" hidden="false" customHeight="false" outlineLevel="0" collapsed="false">
      <c r="A1782" s="0" t="n">
        <v>1781</v>
      </c>
      <c r="B1782" s="0" t="n">
        <f aca="false">IF('Boletins Nuppa Site'!A1782&lt;&gt;0,'Boletins Nuppa Site'!A1782,"NULL")</f>
        <v>82</v>
      </c>
      <c r="C1782" s="0" t="n">
        <v>31</v>
      </c>
      <c r="D1782" s="0" t="str">
        <f aca="false">IF('Boletins Nuppa Site'!G1782&lt;&gt;0,'Boletins Nuppa Site'!G1782,"NULL")</f>
        <v> 80.00</v>
      </c>
      <c r="E1782" s="30" t="str">
        <f aca="false">IF('Boletins Nuppa Site'!H1782&lt;&gt;0,'Boletins Nuppa Site'!H1782,"NULL")</f>
        <v> 70.00</v>
      </c>
      <c r="F1782" s="30" t="str">
        <f aca="false">IF('Boletins Nuppa Site'!I1782&lt;&gt;0,'Boletins Nuppa Site'!I1782,"NULL")</f>
        <v> 45.00</v>
      </c>
      <c r="G1782" s="30" t="str">
        <f aca="false">IF('Boletins Nuppa Site'!J1782&lt;&gt;0,'Boletins Nuppa Site'!J1782,"NULL")</f>
        <v> 62.00</v>
      </c>
      <c r="H1782" s="30" t="str">
        <f aca="false">IF('Boletins Nuppa Site'!K1782&lt;&gt;0,'Boletins Nuppa Site'!K1782,"NULL")</f>
        <v> 70.00</v>
      </c>
      <c r="I1782" s="0" t="str">
        <f aca="false">"INSERT INTO COTACAO (cot_id, cot_blt_id, cot_pap_id, cot_prc_comum, cot_prc_min, cot_prc_max, cot_prc_med, cot_prc_mediana) VALUES ("&amp;A1782&amp;", "&amp;B1782&amp;", "&amp;C1782&amp;", "&amp;D1782&amp;", "&amp;E1782&amp;", "&amp;F1782&amp;", "&amp;G1782&amp;", "&amp;H1782&amp;");"</f>
        <v>INSERT INTO COTACAO (cot_id, cot_blt_id, cot_pap_id, cot_prc_comum, cot_prc_min, cot_prc_max, cot_prc_med, cot_prc_mediana) VALUES (1781, 82, 31,  80.00,  70.00,  45.00,  62.00,  70.00);</v>
      </c>
      <c r="J1782" s="0" t="str">
        <f aca="false">"UPDATE COTACAO SET cot_id = "&amp;A1782&amp;", cot_blt_id = "&amp;B1782&amp;", cot_pap_id = "&amp;C1782&amp;", cot_prc_comum = "&amp;D1782&amp;", cot_prc_min = "&amp;E1782&amp;", cot_prc_max = "&amp;F1782&amp;", cot_prc_med = "&amp;G1782&amp;", cot_prc_mediana = "&amp;H1782&amp;" WHERE cot_id = "&amp;A1782&amp;";"</f>
        <v>UPDATE COTACAO SET cot_id = 1781, cot_blt_id = 82, cot_pap_id = 31, cot_prc_comum =  80.00, cot_prc_min =  70.00, cot_prc_max =  45.00, cot_prc_med =  62.00, cot_prc_mediana =  70.00 WHERE cot_id = 1781;</v>
      </c>
    </row>
    <row r="1783" customFormat="false" ht="14.25" hidden="false" customHeight="false" outlineLevel="0" collapsed="false">
      <c r="A1783" s="0" t="n">
        <v>1782</v>
      </c>
      <c r="B1783" s="0" t="n">
        <f aca="false">IF('Boletins Nuppa Site'!A1783&lt;&gt;0,'Boletins Nuppa Site'!A1783,"NULL")</f>
        <v>82</v>
      </c>
      <c r="C1783" s="0" t="n">
        <v>32</v>
      </c>
      <c r="D1783" s="0" t="str">
        <f aca="false">IF('Boletins Nuppa Site'!G1783&lt;&gt;0,'Boletins Nuppa Site'!G1783,"NULL")</f>
        <v> 50.00</v>
      </c>
      <c r="E1783" s="30" t="str">
        <f aca="false">IF('Boletins Nuppa Site'!H1783&lt;&gt;0,'Boletins Nuppa Site'!H1783,"NULL")</f>
        <v> 50.00</v>
      </c>
      <c r="F1783" s="30" t="str">
        <f aca="false">IF('Boletins Nuppa Site'!I1783&lt;&gt;0,'Boletins Nuppa Site'!I1783,"NULL")</f>
        <v> 40.00</v>
      </c>
      <c r="G1783" s="30" t="str">
        <f aca="false">IF('Boletins Nuppa Site'!J1783&lt;&gt;0,'Boletins Nuppa Site'!J1783,"NULL")</f>
        <v> 46.00</v>
      </c>
      <c r="H1783" s="30" t="str">
        <f aca="false">IF('Boletins Nuppa Site'!K1783&lt;&gt;0,'Boletins Nuppa Site'!K1783,"NULL")</f>
        <v> 45.00</v>
      </c>
      <c r="I1783" s="0" t="str">
        <f aca="false">"INSERT INTO COTACAO (cot_id, cot_blt_id, cot_pap_id, cot_prc_comum, cot_prc_min, cot_prc_max, cot_prc_med, cot_prc_mediana) VALUES ("&amp;A1783&amp;", "&amp;B1783&amp;", "&amp;C1783&amp;", "&amp;D1783&amp;", "&amp;E1783&amp;", "&amp;F1783&amp;", "&amp;G1783&amp;", "&amp;H1783&amp;");"</f>
        <v>INSERT INTO COTACAO (cot_id, cot_blt_id, cot_pap_id, cot_prc_comum, cot_prc_min, cot_prc_max, cot_prc_med, cot_prc_mediana) VALUES (1782, 82, 32,  50.00,  50.00,  40.00,  46.00,  45.00);</v>
      </c>
      <c r="J1783" s="0" t="str">
        <f aca="false">"UPDATE COTACAO SET cot_id = "&amp;A1783&amp;", cot_blt_id = "&amp;B1783&amp;", cot_pap_id = "&amp;C1783&amp;", cot_prc_comum = "&amp;D1783&amp;", cot_prc_min = "&amp;E1783&amp;", cot_prc_max = "&amp;F1783&amp;", cot_prc_med = "&amp;G1783&amp;", cot_prc_mediana = "&amp;H1783&amp;" WHERE cot_id = "&amp;A1783&amp;";"</f>
        <v>UPDATE COTACAO SET cot_id = 1782, cot_blt_id = 82, cot_pap_id = 32, cot_prc_comum =  50.00, cot_prc_min =  50.00, cot_prc_max =  40.00, cot_prc_med =  46.00, cot_prc_mediana =  45.00 WHERE cot_id = 1782;</v>
      </c>
    </row>
    <row r="1784" customFormat="false" ht="14.25" hidden="false" customHeight="false" outlineLevel="0" collapsed="false">
      <c r="A1784" s="0" t="n">
        <v>1783</v>
      </c>
      <c r="B1784" s="0" t="n">
        <f aca="false">IF('Boletins Nuppa Site'!A1784&lt;&gt;0,'Boletins Nuppa Site'!A1784,"NULL")</f>
        <v>82</v>
      </c>
      <c r="C1784" s="0" t="n">
        <v>33</v>
      </c>
      <c r="D1784" s="0" t="str">
        <f aca="false">IF('Boletins Nuppa Site'!G1784&lt;&gt;0,'Boletins Nuppa Site'!G1784,"NULL")</f>
        <v> 100.00</v>
      </c>
      <c r="E1784" s="30" t="str">
        <f aca="false">IF('Boletins Nuppa Site'!H1784&lt;&gt;0,'Boletins Nuppa Site'!H1784,"NULL")</f>
        <v> 85.00</v>
      </c>
      <c r="F1784" s="30" t="str">
        <f aca="false">IF('Boletins Nuppa Site'!I1784&lt;&gt;0,'Boletins Nuppa Site'!I1784,"NULL")</f>
        <v> 100.00</v>
      </c>
      <c r="G1784" s="30" t="str">
        <f aca="false">IF('Boletins Nuppa Site'!J1784&lt;&gt;0,'Boletins Nuppa Site'!J1784,"NULL")</f>
        <v> 95.00</v>
      </c>
      <c r="H1784" s="30" t="str">
        <f aca="false">IF('Boletins Nuppa Site'!K1784&lt;&gt;0,'Boletins Nuppa Site'!K1784,"NULL")</f>
        <v> 100.00</v>
      </c>
      <c r="I1784" s="0" t="str">
        <f aca="false">"INSERT INTO COTACAO (cot_id, cot_blt_id, cot_pap_id, cot_prc_comum, cot_prc_min, cot_prc_max, cot_prc_med, cot_prc_mediana) VALUES ("&amp;A1784&amp;", "&amp;B1784&amp;", "&amp;C1784&amp;", "&amp;D1784&amp;", "&amp;E1784&amp;", "&amp;F1784&amp;", "&amp;G1784&amp;", "&amp;H1784&amp;");"</f>
        <v>INSERT INTO COTACAO (cot_id, cot_blt_id, cot_pap_id, cot_prc_comum, cot_prc_min, cot_prc_max, cot_prc_med, cot_prc_mediana) VALUES (1783, 82, 33,  100.00,  85.00,  100.00,  95.00,  100.00);</v>
      </c>
      <c r="J1784" s="0" t="str">
        <f aca="false">"UPDATE COTACAO SET cot_id = "&amp;A1784&amp;", cot_blt_id = "&amp;B1784&amp;", cot_pap_id = "&amp;C1784&amp;", cot_prc_comum = "&amp;D1784&amp;", cot_prc_min = "&amp;E1784&amp;", cot_prc_max = "&amp;F1784&amp;", cot_prc_med = "&amp;G1784&amp;", cot_prc_mediana = "&amp;H1784&amp;" WHERE cot_id = "&amp;A1784&amp;";"</f>
        <v>UPDATE COTACAO SET cot_id = 1783, cot_blt_id = 82, cot_pap_id = 33, cot_prc_comum =  100.00, cot_prc_min =  85.00, cot_prc_max =  100.00, cot_prc_med =  95.00, cot_prc_mediana =  100.00 WHERE cot_id = 1783;</v>
      </c>
    </row>
    <row r="1785" customFormat="false" ht="14.25" hidden="false" customHeight="false" outlineLevel="0" collapsed="false">
      <c r="A1785" s="0" t="n">
        <v>1784</v>
      </c>
      <c r="B1785" s="0" t="n">
        <f aca="false">IF('Boletins Nuppa Site'!A1785&lt;&gt;0,'Boletins Nuppa Site'!A1785,"NULL")</f>
        <v>82</v>
      </c>
      <c r="C1785" s="0" t="n">
        <v>34</v>
      </c>
      <c r="D1785" s="0" t="str">
        <f aca="false">IF('Boletins Nuppa Site'!G1785&lt;&gt;0,'Boletins Nuppa Site'!G1785,"NULL")</f>
        <v> 50.00</v>
      </c>
      <c r="E1785" s="30" t="str">
        <f aca="false">IF('Boletins Nuppa Site'!H1785&lt;&gt;0,'Boletins Nuppa Site'!H1785,"NULL")</f>
        <v> 50.00</v>
      </c>
      <c r="F1785" s="30" t="str">
        <f aca="false">IF('Boletins Nuppa Site'!I1785&lt;&gt;0,'Boletins Nuppa Site'!I1785,"NULL")</f>
        <v> 70.00</v>
      </c>
      <c r="G1785" s="30" t="str">
        <f aca="false">IF('Boletins Nuppa Site'!J1785&lt;&gt;0,'Boletins Nuppa Site'!J1785,"NULL")</f>
        <v> 57.00</v>
      </c>
      <c r="H1785" s="30" t="str">
        <f aca="false">IF('Boletins Nuppa Site'!K1785&lt;&gt;0,'Boletins Nuppa Site'!K1785,"NULL")</f>
        <v> 55.00</v>
      </c>
      <c r="I1785" s="0" t="str">
        <f aca="false">"INSERT INTO COTACAO (cot_id, cot_blt_id, cot_pap_id, cot_prc_comum, cot_prc_min, cot_prc_max, cot_prc_med, cot_prc_mediana) VALUES ("&amp;A1785&amp;", "&amp;B1785&amp;", "&amp;C1785&amp;", "&amp;D1785&amp;", "&amp;E1785&amp;", "&amp;F1785&amp;", "&amp;G1785&amp;", "&amp;H1785&amp;");"</f>
        <v>INSERT INTO COTACAO (cot_id, cot_blt_id, cot_pap_id, cot_prc_comum, cot_prc_min, cot_prc_max, cot_prc_med, cot_prc_mediana) VALUES (1784, 82, 34,  50.00,  50.00,  70.00,  57.00,  55.00);</v>
      </c>
      <c r="J1785" s="0" t="str">
        <f aca="false">"UPDATE COTACAO SET cot_id = "&amp;A1785&amp;", cot_blt_id = "&amp;B1785&amp;", cot_pap_id = "&amp;C1785&amp;", cot_prc_comum = "&amp;D1785&amp;", cot_prc_min = "&amp;E1785&amp;", cot_prc_max = "&amp;F1785&amp;", cot_prc_med = "&amp;G1785&amp;", cot_prc_mediana = "&amp;H1785&amp;" WHERE cot_id = "&amp;A1785&amp;";"</f>
        <v>UPDATE COTACAO SET cot_id = 1784, cot_blt_id = 82, cot_pap_id = 34, cot_prc_comum =  50.00, cot_prc_min =  50.00, cot_prc_max =  70.00, cot_prc_med =  57.00, cot_prc_mediana =  55.00 WHERE cot_id = 1784;</v>
      </c>
    </row>
    <row r="1786" customFormat="false" ht="14.25" hidden="false" customHeight="false" outlineLevel="0" collapsed="false">
      <c r="A1786" s="0" t="n">
        <v>1785</v>
      </c>
      <c r="B1786" s="0" t="n">
        <f aca="false">IF('Boletins Nuppa Site'!A1786&lt;&gt;0,'Boletins Nuppa Site'!A1786,"NULL")</f>
        <v>82</v>
      </c>
      <c r="C1786" s="0" t="n">
        <v>35</v>
      </c>
      <c r="D1786" s="0" t="str">
        <f aca="false">IF('Boletins Nuppa Site'!G1786&lt;&gt;0,'Boletins Nuppa Site'!G1786,"NULL")</f>
        <v> 70.00</v>
      </c>
      <c r="E1786" s="30" t="str">
        <f aca="false">IF('Boletins Nuppa Site'!H1786&lt;&gt;0,'Boletins Nuppa Site'!H1786,"NULL")</f>
        <v> 70.00</v>
      </c>
      <c r="F1786" s="30" t="str">
        <f aca="false">IF('Boletins Nuppa Site'!I1786&lt;&gt;0,'Boletins Nuppa Site'!I1786,"NULL")</f>
        <v> 60.00</v>
      </c>
      <c r="G1786" s="30" t="str">
        <f aca="false">IF('Boletins Nuppa Site'!J1786&lt;&gt;0,'Boletins Nuppa Site'!J1786,"NULL")</f>
        <v> 66.00</v>
      </c>
      <c r="H1786" s="30" t="str">
        <f aca="false">IF('Boletins Nuppa Site'!K1786&lt;&gt;0,'Boletins Nuppa Site'!K1786,"NULL")</f>
        <v> 70.00</v>
      </c>
      <c r="I1786" s="0" t="str">
        <f aca="false">"INSERT INTO COTACAO (cot_id, cot_blt_id, cot_pap_id, cot_prc_comum, cot_prc_min, cot_prc_max, cot_prc_med, cot_prc_mediana) VALUES ("&amp;A1786&amp;", "&amp;B1786&amp;", "&amp;C1786&amp;", "&amp;D1786&amp;", "&amp;E1786&amp;", "&amp;F1786&amp;", "&amp;G1786&amp;", "&amp;H1786&amp;");"</f>
        <v>INSERT INTO COTACAO (cot_id, cot_blt_id, cot_pap_id, cot_prc_comum, cot_prc_min, cot_prc_max, cot_prc_med, cot_prc_mediana) VALUES (1785, 82, 35,  70.00,  70.00,  60.00,  66.00,  70.00);</v>
      </c>
      <c r="J1786" s="0" t="str">
        <f aca="false">"UPDATE COTACAO SET cot_id = "&amp;A1786&amp;", cot_blt_id = "&amp;B1786&amp;", cot_pap_id = "&amp;C1786&amp;", cot_prc_comum = "&amp;D1786&amp;", cot_prc_min = "&amp;E1786&amp;", cot_prc_max = "&amp;F1786&amp;", cot_prc_med = "&amp;G1786&amp;", cot_prc_mediana = "&amp;H1786&amp;" WHERE cot_id = "&amp;A1786&amp;";"</f>
        <v>UPDATE COTACAO SET cot_id = 1785, cot_blt_id = 82, cot_pap_id = 35, cot_prc_comum =  70.00, cot_prc_min =  70.00, cot_prc_max =  60.00, cot_prc_med =  66.00, cot_prc_mediana =  70.00 WHERE cot_id = 1785;</v>
      </c>
    </row>
    <row r="1787" customFormat="false" ht="14.25" hidden="false" customHeight="false" outlineLevel="0" collapsed="false">
      <c r="A1787" s="0" t="n">
        <v>1786</v>
      </c>
      <c r="B1787" s="0" t="n">
        <f aca="false">IF('Boletins Nuppa Site'!A1787&lt;&gt;0,'Boletins Nuppa Site'!A1787,"NULL")</f>
        <v>82</v>
      </c>
      <c r="C1787" s="0" t="n">
        <v>36</v>
      </c>
      <c r="D1787" s="0" t="str">
        <f aca="false">IF('Boletins Nuppa Site'!G1787&lt;&gt;0,'Boletins Nuppa Site'!G1787,"NULL")</f>
        <v>NULL</v>
      </c>
      <c r="E1787" s="30" t="str">
        <f aca="false">IF('Boletins Nuppa Site'!H1787&lt;&gt;0,'Boletins Nuppa Site'!H1787,"NULL")</f>
        <v>NULL</v>
      </c>
      <c r="F1787" s="30" t="str">
        <f aca="false">IF('Boletins Nuppa Site'!I1787&lt;&gt;0,'Boletins Nuppa Site'!I1787,"NULL")</f>
        <v>NULL</v>
      </c>
      <c r="G1787" s="30" t="str">
        <f aca="false">IF('Boletins Nuppa Site'!J1787&lt;&gt;0,'Boletins Nuppa Site'!J1787,"NULL")</f>
        <v>NULL</v>
      </c>
      <c r="H1787" s="30" t="str">
        <f aca="false">IF('Boletins Nuppa Site'!K1787&lt;&gt;0,'Boletins Nuppa Site'!K1787,"NULL")</f>
        <v>NULL</v>
      </c>
      <c r="I1787" s="0" t="str">
        <f aca="false">"INSERT INTO COTACAO (cot_id, cot_blt_id, cot_pap_id, cot_prc_comum, cot_prc_min, cot_prc_max, cot_prc_med, cot_prc_mediana) VALUES ("&amp;A1787&amp;", "&amp;B1787&amp;", "&amp;C1787&amp;", "&amp;D1787&amp;", "&amp;E1787&amp;", "&amp;F1787&amp;", "&amp;G1787&amp;", "&amp;H1787&amp;");"</f>
        <v>INSERT INTO COTACAO (cot_id, cot_blt_id, cot_pap_id, cot_prc_comum, cot_prc_min, cot_prc_max, cot_prc_med, cot_prc_mediana) VALUES (1786, 82, 36, NULL, NULL, NULL, NULL, NULL);</v>
      </c>
      <c r="J1787" s="0" t="str">
        <f aca="false">"UPDATE COTACAO SET cot_id = "&amp;A1787&amp;", cot_blt_id = "&amp;B1787&amp;", cot_pap_id = "&amp;C1787&amp;", cot_prc_comum = "&amp;D1787&amp;", cot_prc_min = "&amp;E1787&amp;", cot_prc_max = "&amp;F1787&amp;", cot_prc_med = "&amp;G1787&amp;", cot_prc_mediana = "&amp;H1787&amp;" WHERE cot_id = "&amp;A1787&amp;";"</f>
        <v>UPDATE COTACAO SET cot_id = 1786, cot_blt_id = 82, cot_pap_id = 36, cot_prc_comum = NULL, cot_prc_min = NULL, cot_prc_max = NULL, cot_prc_med = NULL, cot_prc_mediana = NULL WHERE cot_id = 1786;</v>
      </c>
    </row>
    <row r="1788" customFormat="false" ht="14.25" hidden="false" customHeight="false" outlineLevel="0" collapsed="false">
      <c r="A1788" s="0" t="n">
        <v>1787</v>
      </c>
      <c r="B1788" s="0" t="n">
        <f aca="false">IF('Boletins Nuppa Site'!A1788&lt;&gt;0,'Boletins Nuppa Site'!A1788,"NULL")</f>
        <v>82</v>
      </c>
      <c r="C1788" s="0" t="n">
        <v>37</v>
      </c>
      <c r="D1788" s="0" t="str">
        <f aca="false">IF('Boletins Nuppa Site'!G1788&lt;&gt;0,'Boletins Nuppa Site'!G1788,"NULL")</f>
        <v>NULL</v>
      </c>
      <c r="E1788" s="30" t="str">
        <f aca="false">IF('Boletins Nuppa Site'!H1788&lt;&gt;0,'Boletins Nuppa Site'!H1788,"NULL")</f>
        <v>NULL</v>
      </c>
      <c r="F1788" s="30" t="str">
        <f aca="false">IF('Boletins Nuppa Site'!I1788&lt;&gt;0,'Boletins Nuppa Site'!I1788,"NULL")</f>
        <v>NULL</v>
      </c>
      <c r="G1788" s="30" t="str">
        <f aca="false">IF('Boletins Nuppa Site'!J1788&lt;&gt;0,'Boletins Nuppa Site'!J1788,"NULL")</f>
        <v>NULL</v>
      </c>
      <c r="H1788" s="30" t="str">
        <f aca="false">IF('Boletins Nuppa Site'!K1788&lt;&gt;0,'Boletins Nuppa Site'!K1788,"NULL")</f>
        <v>NULL</v>
      </c>
      <c r="I1788" s="0" t="str">
        <f aca="false">"INSERT INTO COTACAO (cot_id, cot_blt_id, cot_pap_id, cot_prc_comum, cot_prc_min, cot_prc_max, cot_prc_med, cot_prc_mediana) VALUES ("&amp;A1788&amp;", "&amp;B1788&amp;", "&amp;C1788&amp;", "&amp;D1788&amp;", "&amp;E1788&amp;", "&amp;F1788&amp;", "&amp;G1788&amp;", "&amp;H1788&amp;");"</f>
        <v>INSERT INTO COTACAO (cot_id, cot_blt_id, cot_pap_id, cot_prc_comum, cot_prc_min, cot_prc_max, cot_prc_med, cot_prc_mediana) VALUES (1787, 82, 37, NULL, NULL, NULL, NULL, NULL);</v>
      </c>
      <c r="J1788" s="0" t="str">
        <f aca="false">"UPDATE COTACAO SET cot_id = "&amp;A1788&amp;", cot_blt_id = "&amp;B1788&amp;", cot_pap_id = "&amp;C1788&amp;", cot_prc_comum = "&amp;D1788&amp;", cot_prc_min = "&amp;E1788&amp;", cot_prc_max = "&amp;F1788&amp;", cot_prc_med = "&amp;G1788&amp;", cot_prc_mediana = "&amp;H1788&amp;" WHERE cot_id = "&amp;A1788&amp;";"</f>
        <v>UPDATE COTACAO SET cot_id = 1787, cot_blt_id = 82, cot_pap_id = 37, cot_prc_comum = NULL, cot_prc_min = NULL, cot_prc_max = NULL, cot_prc_med = NULL, cot_prc_mediana = NULL WHERE cot_id = 1787;</v>
      </c>
    </row>
    <row r="1789" customFormat="false" ht="14.25" hidden="false" customHeight="false" outlineLevel="0" collapsed="false">
      <c r="A1789" s="0" t="n">
        <v>1788</v>
      </c>
      <c r="B1789" s="0" t="n">
        <f aca="false">IF('Boletins Nuppa Site'!A1789&lt;&gt;0,'Boletins Nuppa Site'!A1789,"NULL")</f>
        <v>82</v>
      </c>
      <c r="C1789" s="0" t="n">
        <v>38</v>
      </c>
      <c r="D1789" s="0" t="str">
        <f aca="false">IF('Boletins Nuppa Site'!G1789&lt;&gt;0,'Boletins Nuppa Site'!G1789,"NULL")</f>
        <v>NULL</v>
      </c>
      <c r="E1789" s="30" t="str">
        <f aca="false">IF('Boletins Nuppa Site'!H1789&lt;&gt;0,'Boletins Nuppa Site'!H1789,"NULL")</f>
        <v>NULL</v>
      </c>
      <c r="F1789" s="30" t="str">
        <f aca="false">IF('Boletins Nuppa Site'!I1789&lt;&gt;0,'Boletins Nuppa Site'!I1789,"NULL")</f>
        <v>NULL</v>
      </c>
      <c r="G1789" s="30" t="str">
        <f aca="false">IF('Boletins Nuppa Site'!J1789&lt;&gt;0,'Boletins Nuppa Site'!J1789,"NULL")</f>
        <v>NULL</v>
      </c>
      <c r="H1789" s="30" t="str">
        <f aca="false">IF('Boletins Nuppa Site'!K1789&lt;&gt;0,'Boletins Nuppa Site'!K1789,"NULL")</f>
        <v>NULL</v>
      </c>
      <c r="I1789" s="0" t="str">
        <f aca="false">"INSERT INTO COTACAO (cot_id, cot_blt_id, cot_pap_id, cot_prc_comum, cot_prc_min, cot_prc_max, cot_prc_med, cot_prc_mediana) VALUES ("&amp;A1789&amp;", "&amp;B1789&amp;", "&amp;C1789&amp;", "&amp;D1789&amp;", "&amp;E1789&amp;", "&amp;F1789&amp;", "&amp;G1789&amp;", "&amp;H1789&amp;");"</f>
        <v>INSERT INTO COTACAO (cot_id, cot_blt_id, cot_pap_id, cot_prc_comum, cot_prc_min, cot_prc_max, cot_prc_med, cot_prc_mediana) VALUES (1788, 82, 38, NULL, NULL, NULL, NULL, NULL);</v>
      </c>
      <c r="J1789" s="0" t="str">
        <f aca="false">"UPDATE COTACAO SET cot_id = "&amp;A1789&amp;", cot_blt_id = "&amp;B1789&amp;", cot_pap_id = "&amp;C1789&amp;", cot_prc_comum = "&amp;D1789&amp;", cot_prc_min = "&amp;E1789&amp;", cot_prc_max = "&amp;F1789&amp;", cot_prc_med = "&amp;G1789&amp;", cot_prc_mediana = "&amp;H1789&amp;" WHERE cot_id = "&amp;A1789&amp;";"</f>
        <v>UPDATE COTACAO SET cot_id = 1788, cot_blt_id = 82, cot_pap_id = 38, cot_prc_comum = NULL, cot_prc_min = NULL, cot_prc_max = NULL, cot_prc_med = NULL, cot_prc_mediana = NULL WHERE cot_id = 1788;</v>
      </c>
    </row>
    <row r="1790" customFormat="false" ht="14.25" hidden="false" customHeight="false" outlineLevel="0" collapsed="false">
      <c r="A1790" s="0" t="n">
        <v>1789</v>
      </c>
      <c r="B1790" s="0" t="n">
        <f aca="false">IF('Boletins Nuppa Site'!A1790&lt;&gt;0,'Boletins Nuppa Site'!A1790,"NULL")</f>
        <v>82</v>
      </c>
      <c r="C1790" s="0" t="n">
        <v>39</v>
      </c>
      <c r="D1790" s="0" t="str">
        <f aca="false">IF('Boletins Nuppa Site'!G1790&lt;&gt;0,'Boletins Nuppa Site'!G1790,"NULL")</f>
        <v>NULL</v>
      </c>
      <c r="E1790" s="30" t="str">
        <f aca="false">IF('Boletins Nuppa Site'!H1790&lt;&gt;0,'Boletins Nuppa Site'!H1790,"NULL")</f>
        <v> 60.00</v>
      </c>
      <c r="F1790" s="30" t="str">
        <f aca="false">IF('Boletins Nuppa Site'!I1790&lt;&gt;0,'Boletins Nuppa Site'!I1790,"NULL")</f>
        <v> 60.00</v>
      </c>
      <c r="G1790" s="30" t="str">
        <f aca="false">IF('Boletins Nuppa Site'!J1790&lt;&gt;0,'Boletins Nuppa Site'!J1790,"NULL")</f>
        <v> 60.00</v>
      </c>
      <c r="H1790" s="30" t="str">
        <f aca="false">IF('Boletins Nuppa Site'!K1790&lt;&gt;0,'Boletins Nuppa Site'!K1790,"NULL")</f>
        <v> 60.00</v>
      </c>
      <c r="I1790" s="0" t="str">
        <f aca="false">"INSERT INTO COTACAO (cot_id, cot_blt_id, cot_pap_id, cot_prc_comum, cot_prc_min, cot_prc_max, cot_prc_med, cot_prc_mediana) VALUES ("&amp;A1790&amp;", "&amp;B1790&amp;", "&amp;C1790&amp;", "&amp;D1790&amp;", "&amp;E1790&amp;", "&amp;F1790&amp;", "&amp;G1790&amp;", "&amp;H1790&amp;");"</f>
        <v>INSERT INTO COTACAO (cot_id, cot_blt_id, cot_pap_id, cot_prc_comum, cot_prc_min, cot_prc_max, cot_prc_med, cot_prc_mediana) VALUES (1789, 82, 39, NULL,  60.00,  60.00,  60.00,  60.00);</v>
      </c>
      <c r="J1790" s="0" t="str">
        <f aca="false">"UPDATE COTACAO SET cot_id = "&amp;A1790&amp;", cot_blt_id = "&amp;B1790&amp;", cot_pap_id = "&amp;C1790&amp;", cot_prc_comum = "&amp;D1790&amp;", cot_prc_min = "&amp;E1790&amp;", cot_prc_max = "&amp;F1790&amp;", cot_prc_med = "&amp;G1790&amp;", cot_prc_mediana = "&amp;H1790&amp;" WHERE cot_id = "&amp;A1790&amp;";"</f>
        <v>UPDATE COTACAO SET cot_id = 1789, cot_blt_id = 82, cot_pap_id = 39, cot_prc_comum = NULL, cot_prc_min =  60.00, cot_prc_max =  60.00, cot_prc_med =  60.00, cot_prc_mediana =  60.00 WHERE cot_id = 1789;</v>
      </c>
    </row>
    <row r="1791" customFormat="false" ht="14.25" hidden="false" customHeight="false" outlineLevel="0" collapsed="false">
      <c r="A1791" s="0" t="n">
        <v>1790</v>
      </c>
      <c r="B1791" s="0" t="n">
        <f aca="false">IF('Boletins Nuppa Site'!A1791&lt;&gt;0,'Boletins Nuppa Site'!A1791,"NULL")</f>
        <v>82</v>
      </c>
      <c r="C1791" s="0" t="n">
        <v>40</v>
      </c>
      <c r="D1791" s="0" t="str">
        <f aca="false">IF('Boletins Nuppa Site'!G1791&lt;&gt;0,'Boletins Nuppa Site'!G1791,"NULL")</f>
        <v>NULL</v>
      </c>
      <c r="E1791" s="30" t="str">
        <f aca="false">IF('Boletins Nuppa Site'!H1791&lt;&gt;0,'Boletins Nuppa Site'!H1791,"NULL")</f>
        <v>NULL</v>
      </c>
      <c r="F1791" s="30" t="str">
        <f aca="false">IF('Boletins Nuppa Site'!I1791&lt;&gt;0,'Boletins Nuppa Site'!I1791,"NULL")</f>
        <v>NULL</v>
      </c>
      <c r="G1791" s="30" t="str">
        <f aca="false">IF('Boletins Nuppa Site'!J1791&lt;&gt;0,'Boletins Nuppa Site'!J1791,"NULL")</f>
        <v>NULL</v>
      </c>
      <c r="H1791" s="30" t="str">
        <f aca="false">IF('Boletins Nuppa Site'!K1791&lt;&gt;0,'Boletins Nuppa Site'!K1791,"NULL")</f>
        <v>NULL</v>
      </c>
      <c r="I1791" s="0" t="str">
        <f aca="false">"INSERT INTO COTACAO (cot_id, cot_blt_id, cot_pap_id, cot_prc_comum, cot_prc_min, cot_prc_max, cot_prc_med, cot_prc_mediana) VALUES ("&amp;A1791&amp;", "&amp;B1791&amp;", "&amp;C1791&amp;", "&amp;D1791&amp;", "&amp;E1791&amp;", "&amp;F1791&amp;", "&amp;G1791&amp;", "&amp;H1791&amp;");"</f>
        <v>INSERT INTO COTACAO (cot_id, cot_blt_id, cot_pap_id, cot_prc_comum, cot_prc_min, cot_prc_max, cot_prc_med, cot_prc_mediana) VALUES (1790, 82, 40, NULL, NULL, NULL, NULL, NULL);</v>
      </c>
      <c r="J1791" s="0" t="str">
        <f aca="false">"UPDATE COTACAO SET cot_id = "&amp;A1791&amp;", cot_blt_id = "&amp;B1791&amp;", cot_pap_id = "&amp;C1791&amp;", cot_prc_comum = "&amp;D1791&amp;", cot_prc_min = "&amp;E1791&amp;", cot_prc_max = "&amp;F1791&amp;", cot_prc_med = "&amp;G1791&amp;", cot_prc_mediana = "&amp;H1791&amp;" WHERE cot_id = "&amp;A1791&amp;";"</f>
        <v>UPDATE COTACAO SET cot_id = 1790, cot_blt_id = 82, cot_pap_id = 40, cot_prc_comum = NULL, cot_prc_min = NULL, cot_prc_max = NULL, cot_prc_med = NULL, cot_prc_mediana = NULL WHERE cot_id = 1790;</v>
      </c>
    </row>
    <row r="1792" customFormat="false" ht="14.25" hidden="false" customHeight="false" outlineLevel="0" collapsed="false">
      <c r="A1792" s="0" t="n">
        <v>1791</v>
      </c>
      <c r="B1792" s="0" t="n">
        <f aca="false">IF('Boletins Nuppa Site'!A1792&lt;&gt;0,'Boletins Nuppa Site'!A1792,"NULL")</f>
        <v>83</v>
      </c>
      <c r="C1792" s="0" t="n">
        <v>1</v>
      </c>
      <c r="D1792" s="0" t="str">
        <f aca="false">IF('Boletins Nuppa Site'!G1792&lt;&gt;0,'Boletins Nuppa Site'!G1792,"NULL")</f>
        <v> 60.00</v>
      </c>
      <c r="E1792" s="30" t="str">
        <f aca="false">IF('Boletins Nuppa Site'!H1792&lt;&gt;0,'Boletins Nuppa Site'!H1792,"NULL")</f>
        <v> 72.00</v>
      </c>
      <c r="F1792" s="30" t="str">
        <f aca="false">IF('Boletins Nuppa Site'!I1792&lt;&gt;0,'Boletins Nuppa Site'!I1792,"NULL")</f>
        <v> 72.00</v>
      </c>
      <c r="G1792" s="30" t="str">
        <f aca="false">IF('Boletins Nuppa Site'!J1792&lt;&gt;0,'Boletins Nuppa Site'!J1792,"NULL")</f>
        <v> 68.00</v>
      </c>
      <c r="H1792" s="30" t="str">
        <f aca="false">IF('Boletins Nuppa Site'!K1792&lt;&gt;0,'Boletins Nuppa Site'!K1792,"NULL")</f>
        <v> 72.00</v>
      </c>
      <c r="I1792" s="0" t="str">
        <f aca="false">"INSERT INTO COTACAO (cot_id, cot_blt_id, cot_pap_id, cot_prc_comum, cot_prc_min, cot_prc_max, cot_prc_med, cot_prc_mediana) VALUES ("&amp;A1792&amp;", "&amp;B1792&amp;", "&amp;C1792&amp;", "&amp;D1792&amp;", "&amp;E1792&amp;", "&amp;F1792&amp;", "&amp;G1792&amp;", "&amp;H1792&amp;");"</f>
        <v>INSERT INTO COTACAO (cot_id, cot_blt_id, cot_pap_id, cot_prc_comum, cot_prc_min, cot_prc_max, cot_prc_med, cot_prc_mediana) VALUES (1791, 83, 1,  60.00,  72.00,  72.00,  68.00,  72.00);</v>
      </c>
      <c r="J1792" s="0" t="str">
        <f aca="false">"UPDATE COTACAO SET cot_id = "&amp;A1792&amp;", cot_blt_id = "&amp;B1792&amp;", cot_pap_id = "&amp;C1792&amp;", cot_prc_comum = "&amp;D1792&amp;", cot_prc_min = "&amp;E1792&amp;", cot_prc_max = "&amp;F1792&amp;", cot_prc_med = "&amp;G1792&amp;", cot_prc_mediana = "&amp;H1792&amp;" WHERE cot_id = "&amp;A1792&amp;";"</f>
        <v>UPDATE COTACAO SET cot_id = 1791, cot_blt_id = 83, cot_pap_id = 1, cot_prc_comum =  60.00, cot_prc_min =  72.00, cot_prc_max =  72.00, cot_prc_med =  68.00, cot_prc_mediana =  72.00 WHERE cot_id = 1791;</v>
      </c>
    </row>
    <row r="1793" customFormat="false" ht="14.25" hidden="false" customHeight="false" outlineLevel="0" collapsed="false">
      <c r="A1793" s="0" t="n">
        <v>1792</v>
      </c>
      <c r="B1793" s="0" t="n">
        <f aca="false">IF('Boletins Nuppa Site'!A1793&lt;&gt;0,'Boletins Nuppa Site'!A1793,"NULL")</f>
        <v>83</v>
      </c>
      <c r="C1793" s="0" t="n">
        <v>2</v>
      </c>
      <c r="D1793" s="0" t="str">
        <f aca="false">IF('Boletins Nuppa Site'!G1793&lt;&gt;0,'Boletins Nuppa Site'!G1793,"NULL")</f>
        <v> 72.00</v>
      </c>
      <c r="E1793" s="30" t="str">
        <f aca="false">IF('Boletins Nuppa Site'!H1793&lt;&gt;0,'Boletins Nuppa Site'!H1793,"NULL")</f>
        <v> 84.00</v>
      </c>
      <c r="F1793" s="30" t="str">
        <f aca="false">IF('Boletins Nuppa Site'!I1793&lt;&gt;0,'Boletins Nuppa Site'!I1793,"NULL")</f>
        <v> 84.00</v>
      </c>
      <c r="G1793" s="30" t="str">
        <f aca="false">IF('Boletins Nuppa Site'!J1793&lt;&gt;0,'Boletins Nuppa Site'!J1793,"NULL")</f>
        <v> 80.00</v>
      </c>
      <c r="H1793" s="30" t="str">
        <f aca="false">IF('Boletins Nuppa Site'!K1793&lt;&gt;0,'Boletins Nuppa Site'!K1793,"NULL")</f>
        <v> 84.00</v>
      </c>
      <c r="I1793" s="0" t="str">
        <f aca="false">"INSERT INTO COTACAO (cot_id, cot_blt_id, cot_pap_id, cot_prc_comum, cot_prc_min, cot_prc_max, cot_prc_med, cot_prc_mediana) VALUES ("&amp;A1793&amp;", "&amp;B1793&amp;", "&amp;C1793&amp;", "&amp;D1793&amp;", "&amp;E1793&amp;", "&amp;F1793&amp;", "&amp;G1793&amp;", "&amp;H1793&amp;");"</f>
        <v>INSERT INTO COTACAO (cot_id, cot_blt_id, cot_pap_id, cot_prc_comum, cot_prc_min, cot_prc_max, cot_prc_med, cot_prc_mediana) VALUES (1792, 83, 2,  72.00,  84.00,  84.00,  80.00,  84.00);</v>
      </c>
      <c r="J1793" s="0" t="str">
        <f aca="false">"UPDATE COTACAO SET cot_id = "&amp;A1793&amp;", cot_blt_id = "&amp;B1793&amp;", cot_pap_id = "&amp;C1793&amp;", cot_prc_comum = "&amp;D1793&amp;", cot_prc_min = "&amp;E1793&amp;", cot_prc_max = "&amp;F1793&amp;", cot_prc_med = "&amp;G1793&amp;", cot_prc_mediana = "&amp;H1793&amp;" WHERE cot_id = "&amp;A1793&amp;";"</f>
        <v>UPDATE COTACAO SET cot_id = 1792, cot_blt_id = 83, cot_pap_id = 2, cot_prc_comum =  72.00, cot_prc_min =  84.00, cot_prc_max =  84.00, cot_prc_med =  80.00, cot_prc_mediana =  84.00 WHERE cot_id = 1792;</v>
      </c>
    </row>
    <row r="1794" customFormat="false" ht="14.25" hidden="false" customHeight="false" outlineLevel="0" collapsed="false">
      <c r="A1794" s="0" t="n">
        <v>1793</v>
      </c>
      <c r="B1794" s="0" t="n">
        <f aca="false">IF('Boletins Nuppa Site'!A1794&lt;&gt;0,'Boletins Nuppa Site'!A1794,"NULL")</f>
        <v>83</v>
      </c>
      <c r="C1794" s="0" t="n">
        <v>3</v>
      </c>
      <c r="D1794" s="0" t="str">
        <f aca="false">IF('Boletins Nuppa Site'!G1794&lt;&gt;0,'Boletins Nuppa Site'!G1794,"NULL")</f>
        <v> 36.00</v>
      </c>
      <c r="E1794" s="30" t="str">
        <f aca="false">IF('Boletins Nuppa Site'!H1794&lt;&gt;0,'Boletins Nuppa Site'!H1794,"NULL")</f>
        <v> 45.00</v>
      </c>
      <c r="F1794" s="30" t="str">
        <f aca="false">IF('Boletins Nuppa Site'!I1794&lt;&gt;0,'Boletins Nuppa Site'!I1794,"NULL")</f>
        <v> 60.00</v>
      </c>
      <c r="G1794" s="30" t="str">
        <f aca="false">IF('Boletins Nuppa Site'!J1794&lt;&gt;0,'Boletins Nuppa Site'!J1794,"NULL")</f>
        <v> 46.50</v>
      </c>
      <c r="H1794" s="30" t="str">
        <f aca="false">IF('Boletins Nuppa Site'!K1794&lt;&gt;0,'Boletins Nuppa Site'!K1794,"NULL")</f>
        <v> 45.00</v>
      </c>
      <c r="I1794" s="0" t="str">
        <f aca="false">"INSERT INTO COTACAO (cot_id, cot_blt_id, cot_pap_id, cot_prc_comum, cot_prc_min, cot_prc_max, cot_prc_med, cot_prc_mediana) VALUES ("&amp;A1794&amp;", "&amp;B1794&amp;", "&amp;C1794&amp;", "&amp;D1794&amp;", "&amp;E1794&amp;", "&amp;F1794&amp;", "&amp;G1794&amp;", "&amp;H1794&amp;");"</f>
        <v>INSERT INTO COTACAO (cot_id, cot_blt_id, cot_pap_id, cot_prc_comum, cot_prc_min, cot_prc_max, cot_prc_med, cot_prc_mediana) VALUES (1793, 83, 3,  36.00,  45.00,  60.00,  46.50,  45.00);</v>
      </c>
      <c r="J1794" s="0" t="str">
        <f aca="false">"UPDATE COTACAO SET cot_id = "&amp;A1794&amp;", cot_blt_id = "&amp;B1794&amp;", cot_pap_id = "&amp;C1794&amp;", cot_prc_comum = "&amp;D1794&amp;", cot_prc_min = "&amp;E1794&amp;", cot_prc_max = "&amp;F1794&amp;", cot_prc_med = "&amp;G1794&amp;", cot_prc_mediana = "&amp;H1794&amp;" WHERE cot_id = "&amp;A1794&amp;";"</f>
        <v>UPDATE COTACAO SET cot_id = 1793, cot_blt_id = 83, cot_pap_id = 3, cot_prc_comum =  36.00, cot_prc_min =  45.00, cot_prc_max =  60.00, cot_prc_med =  46.50, cot_prc_mediana =  45.00 WHERE cot_id = 1793;</v>
      </c>
    </row>
    <row r="1795" customFormat="false" ht="14.25" hidden="false" customHeight="false" outlineLevel="0" collapsed="false">
      <c r="A1795" s="0" t="n">
        <v>1794</v>
      </c>
      <c r="B1795" s="0" t="n">
        <f aca="false">IF('Boletins Nuppa Site'!A1795&lt;&gt;0,'Boletins Nuppa Site'!A1795,"NULL")</f>
        <v>83</v>
      </c>
      <c r="C1795" s="0" t="n">
        <v>4</v>
      </c>
      <c r="D1795" s="0" t="str">
        <f aca="false">IF('Boletins Nuppa Site'!G1795&lt;&gt;0,'Boletins Nuppa Site'!G1795,"NULL")</f>
        <v> 24.00</v>
      </c>
      <c r="E1795" s="30" t="str">
        <f aca="false">IF('Boletins Nuppa Site'!H1795&lt;&gt;0,'Boletins Nuppa Site'!H1795,"NULL")</f>
        <v> 30.00</v>
      </c>
      <c r="F1795" s="30" t="str">
        <f aca="false">IF('Boletins Nuppa Site'!I1795&lt;&gt;0,'Boletins Nuppa Site'!I1795,"NULL")</f>
        <v> 30.00</v>
      </c>
      <c r="G1795" s="30" t="str">
        <f aca="false">IF('Boletins Nuppa Site'!J1795&lt;&gt;0,'Boletins Nuppa Site'!J1795,"NULL")</f>
        <v> 27.25</v>
      </c>
      <c r="H1795" s="30" t="str">
        <f aca="false">IF('Boletins Nuppa Site'!K1795&lt;&gt;0,'Boletins Nuppa Site'!K1795,"NULL")</f>
        <v> 27.50</v>
      </c>
      <c r="I1795" s="0" t="str">
        <f aca="false">"INSERT INTO COTACAO (cot_id, cot_blt_id, cot_pap_id, cot_prc_comum, cot_prc_min, cot_prc_max, cot_prc_med, cot_prc_mediana) VALUES ("&amp;A1795&amp;", "&amp;B1795&amp;", "&amp;C1795&amp;", "&amp;D1795&amp;", "&amp;E1795&amp;", "&amp;F1795&amp;", "&amp;G1795&amp;", "&amp;H1795&amp;");"</f>
        <v>INSERT INTO COTACAO (cot_id, cot_blt_id, cot_pap_id, cot_prc_comum, cot_prc_min, cot_prc_max, cot_prc_med, cot_prc_mediana) VALUES (1794, 83, 4,  24.00,  30.00,  30.00,  27.25,  27.50);</v>
      </c>
      <c r="J1795" s="0" t="str">
        <f aca="false">"UPDATE COTACAO SET cot_id = "&amp;A1795&amp;", cot_blt_id = "&amp;B1795&amp;", cot_pap_id = "&amp;C1795&amp;", cot_prc_comum = "&amp;D1795&amp;", cot_prc_min = "&amp;E1795&amp;", cot_prc_max = "&amp;F1795&amp;", cot_prc_med = "&amp;G1795&amp;", cot_prc_mediana = "&amp;H1795&amp;" WHERE cot_id = "&amp;A1795&amp;";"</f>
        <v>UPDATE COTACAO SET cot_id = 1794, cot_blt_id = 83, cot_pap_id = 4, cot_prc_comum =  24.00, cot_prc_min =  30.00, cot_prc_max =  30.00, cot_prc_med =  27.25, cot_prc_mediana =  27.50 WHERE cot_id = 1794;</v>
      </c>
    </row>
    <row r="1796" customFormat="false" ht="14.25" hidden="false" customHeight="false" outlineLevel="0" collapsed="false">
      <c r="A1796" s="0" t="n">
        <v>1795</v>
      </c>
      <c r="B1796" s="0" t="n">
        <f aca="false">IF('Boletins Nuppa Site'!A1796&lt;&gt;0,'Boletins Nuppa Site'!A1796,"NULL")</f>
        <v>83</v>
      </c>
      <c r="C1796" s="0" t="n">
        <v>5</v>
      </c>
      <c r="D1796" s="0" t="str">
        <f aca="false">IF('Boletins Nuppa Site'!G1796&lt;&gt;0,'Boletins Nuppa Site'!G1796,"NULL")</f>
        <v> 25.00</v>
      </c>
      <c r="E1796" s="30" t="str">
        <f aca="false">IF('Boletins Nuppa Site'!H1796&lt;&gt;0,'Boletins Nuppa Site'!H1796,"NULL")</f>
        <v> 30.00</v>
      </c>
      <c r="F1796" s="30" t="str">
        <f aca="false">IF('Boletins Nuppa Site'!I1796&lt;&gt;0,'Boletins Nuppa Site'!I1796,"NULL")</f>
        <v> 30.00</v>
      </c>
      <c r="G1796" s="30" t="str">
        <f aca="false">IF('Boletins Nuppa Site'!J1796&lt;&gt;0,'Boletins Nuppa Site'!J1796,"NULL")</f>
        <v> 28.33</v>
      </c>
      <c r="H1796" s="30" t="str">
        <f aca="false">IF('Boletins Nuppa Site'!K1796&lt;&gt;0,'Boletins Nuppa Site'!K1796,"NULL")</f>
        <v> 30.00</v>
      </c>
      <c r="I1796" s="0" t="str">
        <f aca="false">"INSERT INTO COTACAO (cot_id, cot_blt_id, cot_pap_id, cot_prc_comum, cot_prc_min, cot_prc_max, cot_prc_med, cot_prc_mediana) VALUES ("&amp;A1796&amp;", "&amp;B1796&amp;", "&amp;C1796&amp;", "&amp;D1796&amp;", "&amp;E1796&amp;", "&amp;F1796&amp;", "&amp;G1796&amp;", "&amp;H1796&amp;");"</f>
        <v>INSERT INTO COTACAO (cot_id, cot_blt_id, cot_pap_id, cot_prc_comum, cot_prc_min, cot_prc_max, cot_prc_med, cot_prc_mediana) VALUES (1795, 83, 5,  25.00,  30.00,  30.00,  28.33,  30.00);</v>
      </c>
      <c r="J1796" s="0" t="str">
        <f aca="false">"UPDATE COTACAO SET cot_id = "&amp;A1796&amp;", cot_blt_id = "&amp;B1796&amp;", cot_pap_id = "&amp;C1796&amp;", cot_prc_comum = "&amp;D1796&amp;", cot_prc_min = "&amp;E1796&amp;", cot_prc_max = "&amp;F1796&amp;", cot_prc_med = "&amp;G1796&amp;", cot_prc_mediana = "&amp;H1796&amp;" WHERE cot_id = "&amp;A1796&amp;";"</f>
        <v>UPDATE COTACAO SET cot_id = 1795, cot_blt_id = 83, cot_pap_id = 5, cot_prc_comum =  25.00, cot_prc_min =  30.00, cot_prc_max =  30.00, cot_prc_med =  28.33, cot_prc_mediana =  30.00 WHERE cot_id = 1795;</v>
      </c>
    </row>
    <row r="1797" customFormat="false" ht="14.25" hidden="false" customHeight="false" outlineLevel="0" collapsed="false">
      <c r="A1797" s="0" t="n">
        <v>1796</v>
      </c>
      <c r="B1797" s="0" t="n">
        <f aca="false">IF('Boletins Nuppa Site'!A1797&lt;&gt;0,'Boletins Nuppa Site'!A1797,"NULL")</f>
        <v>83</v>
      </c>
      <c r="C1797" s="0" t="n">
        <v>6</v>
      </c>
      <c r="D1797" s="0" t="str">
        <f aca="false">IF('Boletins Nuppa Site'!G1797&lt;&gt;0,'Boletins Nuppa Site'!G1797,"NULL")</f>
        <v> 60.00</v>
      </c>
      <c r="E1797" s="30" t="str">
        <f aca="false">IF('Boletins Nuppa Site'!H1797&lt;&gt;0,'Boletins Nuppa Site'!H1797,"NULL")</f>
        <v> 60.00</v>
      </c>
      <c r="F1797" s="30" t="str">
        <f aca="false">IF('Boletins Nuppa Site'!I1797&lt;&gt;0,'Boletins Nuppa Site'!I1797,"NULL")</f>
        <v> 66.00</v>
      </c>
      <c r="G1797" s="30" t="str">
        <f aca="false">IF('Boletins Nuppa Site'!J1797&lt;&gt;0,'Boletins Nuppa Site'!J1797,"NULL")</f>
        <v> 62.00</v>
      </c>
      <c r="H1797" s="30" t="str">
        <f aca="false">IF('Boletins Nuppa Site'!K1797&lt;&gt;0,'Boletins Nuppa Site'!K1797,"NULL")</f>
        <v> 60.00</v>
      </c>
      <c r="I1797" s="0" t="str">
        <f aca="false">"INSERT INTO COTACAO (cot_id, cot_blt_id, cot_pap_id, cot_prc_comum, cot_prc_min, cot_prc_max, cot_prc_med, cot_prc_mediana) VALUES ("&amp;A1797&amp;", "&amp;B1797&amp;", "&amp;C1797&amp;", "&amp;D1797&amp;", "&amp;E1797&amp;", "&amp;F1797&amp;", "&amp;G1797&amp;", "&amp;H1797&amp;");"</f>
        <v>INSERT INTO COTACAO (cot_id, cot_blt_id, cot_pap_id, cot_prc_comum, cot_prc_min, cot_prc_max, cot_prc_med, cot_prc_mediana) VALUES (1796, 83, 6,  60.00,  60.00,  66.00,  62.00,  60.00);</v>
      </c>
      <c r="J1797" s="0" t="str">
        <f aca="false">"UPDATE COTACAO SET cot_id = "&amp;A1797&amp;", cot_blt_id = "&amp;B1797&amp;", cot_pap_id = "&amp;C1797&amp;", cot_prc_comum = "&amp;D1797&amp;", cot_prc_min = "&amp;E1797&amp;", cot_prc_max = "&amp;F1797&amp;", cot_prc_med = "&amp;G1797&amp;", cot_prc_mediana = "&amp;H1797&amp;" WHERE cot_id = "&amp;A1797&amp;";"</f>
        <v>UPDATE COTACAO SET cot_id = 1796, cot_blt_id = 83, cot_pap_id = 6, cot_prc_comum =  60.00, cot_prc_min =  60.00, cot_prc_max =  66.00, cot_prc_med =  62.00, cot_prc_mediana =  60.00 WHERE cot_id = 1796;</v>
      </c>
    </row>
    <row r="1798" customFormat="false" ht="14.25" hidden="false" customHeight="false" outlineLevel="0" collapsed="false">
      <c r="A1798" s="0" t="n">
        <v>1797</v>
      </c>
      <c r="B1798" s="0" t="n">
        <f aca="false">IF('Boletins Nuppa Site'!A1798&lt;&gt;0,'Boletins Nuppa Site'!A1798,"NULL")</f>
        <v>83</v>
      </c>
      <c r="C1798" s="0" t="n">
        <v>7</v>
      </c>
      <c r="D1798" s="0" t="str">
        <f aca="false">IF('Boletins Nuppa Site'!G1798&lt;&gt;0,'Boletins Nuppa Site'!G1798,"NULL")</f>
        <v> 70.00</v>
      </c>
      <c r="E1798" s="30" t="str">
        <f aca="false">IF('Boletins Nuppa Site'!H1798&lt;&gt;0,'Boletins Nuppa Site'!H1798,"NULL")</f>
        <v> 72.00</v>
      </c>
      <c r="F1798" s="30" t="str">
        <f aca="false">IF('Boletins Nuppa Site'!I1798&lt;&gt;0,'Boletins Nuppa Site'!I1798,"NULL")</f>
        <v> 72.00</v>
      </c>
      <c r="G1798" s="30" t="str">
        <f aca="false">IF('Boletins Nuppa Site'!J1798&lt;&gt;0,'Boletins Nuppa Site'!J1798,"NULL")</f>
        <v> 71.33</v>
      </c>
      <c r="H1798" s="30" t="str">
        <f aca="false">IF('Boletins Nuppa Site'!K1798&lt;&gt;0,'Boletins Nuppa Site'!K1798,"NULL")</f>
        <v> 72.00</v>
      </c>
      <c r="I1798" s="0" t="str">
        <f aca="false">"INSERT INTO COTACAO (cot_id, cot_blt_id, cot_pap_id, cot_prc_comum, cot_prc_min, cot_prc_max, cot_prc_med, cot_prc_mediana) VALUES ("&amp;A1798&amp;", "&amp;B1798&amp;", "&amp;C1798&amp;", "&amp;D1798&amp;", "&amp;E1798&amp;", "&amp;F1798&amp;", "&amp;G1798&amp;", "&amp;H1798&amp;");"</f>
        <v>INSERT INTO COTACAO (cot_id, cot_blt_id, cot_pap_id, cot_prc_comum, cot_prc_min, cot_prc_max, cot_prc_med, cot_prc_mediana) VALUES (1797, 83, 7,  70.00,  72.00,  72.00,  71.33,  72.00);</v>
      </c>
      <c r="J1798" s="0" t="str">
        <f aca="false">"UPDATE COTACAO SET cot_id = "&amp;A1798&amp;", cot_blt_id = "&amp;B1798&amp;", cot_pap_id = "&amp;C1798&amp;", cot_prc_comum = "&amp;D1798&amp;", cot_prc_min = "&amp;E1798&amp;", cot_prc_max = "&amp;F1798&amp;", cot_prc_med = "&amp;G1798&amp;", cot_prc_mediana = "&amp;H1798&amp;" WHERE cot_id = "&amp;A1798&amp;";"</f>
        <v>UPDATE COTACAO SET cot_id = 1797, cot_blt_id = 83, cot_pap_id = 7, cot_prc_comum =  70.00, cot_prc_min =  72.00, cot_prc_max =  72.00, cot_prc_med =  71.33, cot_prc_mediana =  72.00 WHERE cot_id = 1797;</v>
      </c>
    </row>
    <row r="1799" customFormat="false" ht="14.25" hidden="false" customHeight="false" outlineLevel="0" collapsed="false">
      <c r="A1799" s="0" t="n">
        <v>1798</v>
      </c>
      <c r="B1799" s="0" t="n">
        <f aca="false">IF('Boletins Nuppa Site'!A1799&lt;&gt;0,'Boletins Nuppa Site'!A1799,"NULL")</f>
        <v>83</v>
      </c>
      <c r="C1799" s="0" t="n">
        <v>8</v>
      </c>
      <c r="D1799" s="0" t="str">
        <f aca="false">IF('Boletins Nuppa Site'!G1799&lt;&gt;0,'Boletins Nuppa Site'!G1799,"NULL")</f>
        <v> 60.00</v>
      </c>
      <c r="E1799" s="30" t="str">
        <f aca="false">IF('Boletins Nuppa Site'!H1799&lt;&gt;0,'Boletins Nuppa Site'!H1799,"NULL")</f>
        <v> 72.00</v>
      </c>
      <c r="F1799" s="30" t="str">
        <f aca="false">IF('Boletins Nuppa Site'!I1799&lt;&gt;0,'Boletins Nuppa Site'!I1799,"NULL")</f>
        <v> 72.00</v>
      </c>
      <c r="G1799" s="30" t="str">
        <f aca="false">IF('Boletins Nuppa Site'!J1799&lt;&gt;0,'Boletins Nuppa Site'!J1799,"NULL")</f>
        <v> 69.00</v>
      </c>
      <c r="H1799" s="30" t="str">
        <f aca="false">IF('Boletins Nuppa Site'!K1799&lt;&gt;0,'Boletins Nuppa Site'!K1799,"NULL")</f>
        <v> 72.00</v>
      </c>
      <c r="I1799" s="0" t="str">
        <f aca="false">"INSERT INTO COTACAO (cot_id, cot_blt_id, cot_pap_id, cot_prc_comum, cot_prc_min, cot_prc_max, cot_prc_med, cot_prc_mediana) VALUES ("&amp;A1799&amp;", "&amp;B1799&amp;", "&amp;C1799&amp;", "&amp;D1799&amp;", "&amp;E1799&amp;", "&amp;F1799&amp;", "&amp;G1799&amp;", "&amp;H1799&amp;");"</f>
        <v>INSERT INTO COTACAO (cot_id, cot_blt_id, cot_pap_id, cot_prc_comum, cot_prc_min, cot_prc_max, cot_prc_med, cot_prc_mediana) VALUES (1798, 83, 8,  60.00,  72.00,  72.00,  69.00,  72.00);</v>
      </c>
      <c r="J1799" s="0" t="str">
        <f aca="false">"UPDATE COTACAO SET cot_id = "&amp;A1799&amp;", cot_blt_id = "&amp;B1799&amp;", cot_pap_id = "&amp;C1799&amp;", cot_prc_comum = "&amp;D1799&amp;", cot_prc_min = "&amp;E1799&amp;", cot_prc_max = "&amp;F1799&amp;", cot_prc_med = "&amp;G1799&amp;", cot_prc_mediana = "&amp;H1799&amp;" WHERE cot_id = "&amp;A1799&amp;";"</f>
        <v>UPDATE COTACAO SET cot_id = 1798, cot_blt_id = 83, cot_pap_id = 8, cot_prc_comum =  60.00, cot_prc_min =  72.00, cot_prc_max =  72.00, cot_prc_med =  69.00, cot_prc_mediana =  72.00 WHERE cot_id = 1798;</v>
      </c>
    </row>
    <row r="1800" customFormat="false" ht="14.25" hidden="false" customHeight="false" outlineLevel="0" collapsed="false">
      <c r="A1800" s="0" t="n">
        <v>1799</v>
      </c>
      <c r="B1800" s="0" t="n">
        <f aca="false">IF('Boletins Nuppa Site'!A1800&lt;&gt;0,'Boletins Nuppa Site'!A1800,"NULL")</f>
        <v>83</v>
      </c>
      <c r="C1800" s="0" t="n">
        <v>9</v>
      </c>
      <c r="D1800" s="0" t="str">
        <f aca="false">IF('Boletins Nuppa Site'!G1800&lt;&gt;0,'Boletins Nuppa Site'!G1800,"NULL")</f>
        <v> 18.00</v>
      </c>
      <c r="E1800" s="30" t="str">
        <f aca="false">IF('Boletins Nuppa Site'!H1800&lt;&gt;0,'Boletins Nuppa Site'!H1800,"NULL")</f>
        <v> 20.00</v>
      </c>
      <c r="F1800" s="30" t="str">
        <f aca="false">IF('Boletins Nuppa Site'!I1800&lt;&gt;0,'Boletins Nuppa Site'!I1800,"NULL")</f>
        <v> 24.00</v>
      </c>
      <c r="G1800" s="30" t="str">
        <f aca="false">IF('Boletins Nuppa Site'!J1800&lt;&gt;0,'Boletins Nuppa Site'!J1800,"NULL")</f>
        <v> 20.50</v>
      </c>
      <c r="H1800" s="30" t="str">
        <f aca="false">IF('Boletins Nuppa Site'!K1800&lt;&gt;0,'Boletins Nuppa Site'!K1800,"NULL")</f>
        <v> 20.00</v>
      </c>
      <c r="I1800" s="0" t="str">
        <f aca="false">"INSERT INTO COTACAO (cot_id, cot_blt_id, cot_pap_id, cot_prc_comum, cot_prc_min, cot_prc_max, cot_prc_med, cot_prc_mediana) VALUES ("&amp;A1800&amp;", "&amp;B1800&amp;", "&amp;C1800&amp;", "&amp;D1800&amp;", "&amp;E1800&amp;", "&amp;F1800&amp;", "&amp;G1800&amp;", "&amp;H1800&amp;");"</f>
        <v>INSERT INTO COTACAO (cot_id, cot_blt_id, cot_pap_id, cot_prc_comum, cot_prc_min, cot_prc_max, cot_prc_med, cot_prc_mediana) VALUES (1799, 83, 9,  18.00,  20.00,  24.00,  20.50,  20.00);</v>
      </c>
      <c r="J1800" s="0" t="str">
        <f aca="false">"UPDATE COTACAO SET cot_id = "&amp;A1800&amp;", cot_blt_id = "&amp;B1800&amp;", cot_pap_id = "&amp;C1800&amp;", cot_prc_comum = "&amp;D1800&amp;", cot_prc_min = "&amp;E1800&amp;", cot_prc_max = "&amp;F1800&amp;", cot_prc_med = "&amp;G1800&amp;", cot_prc_mediana = "&amp;H1800&amp;" WHERE cot_id = "&amp;A1800&amp;";"</f>
        <v>UPDATE COTACAO SET cot_id = 1799, cot_blt_id = 83, cot_pap_id = 9, cot_prc_comum =  18.00, cot_prc_min =  20.00, cot_prc_max =  24.00, cot_prc_med =  20.50, cot_prc_mediana =  20.00 WHERE cot_id = 1799;</v>
      </c>
    </row>
    <row r="1801" customFormat="false" ht="14.25" hidden="false" customHeight="false" outlineLevel="0" collapsed="false">
      <c r="A1801" s="0" t="n">
        <v>1800</v>
      </c>
      <c r="B1801" s="0" t="n">
        <f aca="false">IF('Boletins Nuppa Site'!A1801&lt;&gt;0,'Boletins Nuppa Site'!A1801,"NULL")</f>
        <v>83</v>
      </c>
      <c r="C1801" s="0" t="n">
        <v>10</v>
      </c>
      <c r="D1801" s="0" t="str">
        <f aca="false">IF('Boletins Nuppa Site'!G1801&lt;&gt;0,'Boletins Nuppa Site'!G1801,"NULL")</f>
        <v> 60.00</v>
      </c>
      <c r="E1801" s="30" t="str">
        <f aca="false">IF('Boletins Nuppa Site'!H1801&lt;&gt;0,'Boletins Nuppa Site'!H1801,"NULL")</f>
        <v> 84.00</v>
      </c>
      <c r="F1801" s="30" t="str">
        <f aca="false">IF('Boletins Nuppa Site'!I1801&lt;&gt;0,'Boletins Nuppa Site'!I1801,"NULL")</f>
        <v> 84.00</v>
      </c>
      <c r="G1801" s="30" t="str">
        <f aca="false">IF('Boletins Nuppa Site'!J1801&lt;&gt;0,'Boletins Nuppa Site'!J1801,"NULL")</f>
        <v> 76.00</v>
      </c>
      <c r="H1801" s="30" t="str">
        <f aca="false">IF('Boletins Nuppa Site'!K1801&lt;&gt;0,'Boletins Nuppa Site'!K1801,"NULL")</f>
        <v> 84.00</v>
      </c>
      <c r="I1801" s="0" t="str">
        <f aca="false">"INSERT INTO COTACAO (cot_id, cot_blt_id, cot_pap_id, cot_prc_comum, cot_prc_min, cot_prc_max, cot_prc_med, cot_prc_mediana) VALUES ("&amp;A1801&amp;", "&amp;B1801&amp;", "&amp;C1801&amp;", "&amp;D1801&amp;", "&amp;E1801&amp;", "&amp;F1801&amp;", "&amp;G1801&amp;", "&amp;H1801&amp;");"</f>
        <v>INSERT INTO COTACAO (cot_id, cot_blt_id, cot_pap_id, cot_prc_comum, cot_prc_min, cot_prc_max, cot_prc_med, cot_prc_mediana) VALUES (1800, 83, 10,  60.00,  84.00,  84.00,  76.00,  84.00);</v>
      </c>
      <c r="J1801" s="0" t="str">
        <f aca="false">"UPDATE COTACAO SET cot_id = "&amp;A1801&amp;", cot_blt_id = "&amp;B1801&amp;", cot_pap_id = "&amp;C1801&amp;", cot_prc_comum = "&amp;D1801&amp;", cot_prc_min = "&amp;E1801&amp;", cot_prc_max = "&amp;F1801&amp;", cot_prc_med = "&amp;G1801&amp;", cot_prc_mediana = "&amp;H1801&amp;" WHERE cot_id = "&amp;A1801&amp;";"</f>
        <v>UPDATE COTACAO SET cot_id = 1800, cot_blt_id = 83, cot_pap_id = 10, cot_prc_comum =  60.00, cot_prc_min =  84.00, cot_prc_max =  84.00, cot_prc_med =  76.00, cot_prc_mediana =  84.00 WHERE cot_id = 1800;</v>
      </c>
    </row>
    <row r="1802" customFormat="false" ht="14.25" hidden="false" customHeight="false" outlineLevel="0" collapsed="false">
      <c r="A1802" s="0" t="n">
        <v>1801</v>
      </c>
      <c r="B1802" s="0" t="n">
        <f aca="false">IF('Boletins Nuppa Site'!A1802&lt;&gt;0,'Boletins Nuppa Site'!A1802,"NULL")</f>
        <v>83</v>
      </c>
      <c r="C1802" s="0" t="n">
        <v>11</v>
      </c>
      <c r="D1802" s="0" t="str">
        <f aca="false">IF('Boletins Nuppa Site'!G1802&lt;&gt;0,'Boletins Nuppa Site'!G1802,"NULL")</f>
        <v> 24.00</v>
      </c>
      <c r="E1802" s="30" t="str">
        <f aca="false">IF('Boletins Nuppa Site'!H1802&lt;&gt;0,'Boletins Nuppa Site'!H1802,"NULL")</f>
        <v> 30.00</v>
      </c>
      <c r="F1802" s="30" t="str">
        <f aca="false">IF('Boletins Nuppa Site'!I1802&lt;&gt;0,'Boletins Nuppa Site'!I1802,"NULL")</f>
        <v> 30.00</v>
      </c>
      <c r="G1802" s="30" t="str">
        <f aca="false">IF('Boletins Nuppa Site'!J1802&lt;&gt;0,'Boletins Nuppa Site'!J1802,"NULL")</f>
        <v> 27.25</v>
      </c>
      <c r="H1802" s="30" t="str">
        <f aca="false">IF('Boletins Nuppa Site'!K1802&lt;&gt;0,'Boletins Nuppa Site'!K1802,"NULL")</f>
        <v> 27.50</v>
      </c>
      <c r="I1802" s="0" t="str">
        <f aca="false">"INSERT INTO COTACAO (cot_id, cot_blt_id, cot_pap_id, cot_prc_comum, cot_prc_min, cot_prc_max, cot_prc_med, cot_prc_mediana) VALUES ("&amp;A1802&amp;", "&amp;B1802&amp;", "&amp;C1802&amp;", "&amp;D1802&amp;", "&amp;E1802&amp;", "&amp;F1802&amp;", "&amp;G1802&amp;", "&amp;H1802&amp;");"</f>
        <v>INSERT INTO COTACAO (cot_id, cot_blt_id, cot_pap_id, cot_prc_comum, cot_prc_min, cot_prc_max, cot_prc_med, cot_prc_mediana) VALUES (1801, 83, 11,  24.00,  30.00,  30.00,  27.25,  27.50);</v>
      </c>
      <c r="J1802" s="0" t="str">
        <f aca="false">"UPDATE COTACAO SET cot_id = "&amp;A1802&amp;", cot_blt_id = "&amp;B1802&amp;", cot_pap_id = "&amp;C1802&amp;", cot_prc_comum = "&amp;D1802&amp;", cot_prc_min = "&amp;E1802&amp;", cot_prc_max = "&amp;F1802&amp;", cot_prc_med = "&amp;G1802&amp;", cot_prc_mediana = "&amp;H1802&amp;" WHERE cot_id = "&amp;A1802&amp;";"</f>
        <v>UPDATE COTACAO SET cot_id = 1801, cot_blt_id = 83, cot_pap_id = 11, cot_prc_comum =  24.00, cot_prc_min =  30.00, cot_prc_max =  30.00, cot_prc_med =  27.25, cot_prc_mediana =  27.50 WHERE cot_id = 1801;</v>
      </c>
    </row>
    <row r="1803" customFormat="false" ht="14.25" hidden="false" customHeight="false" outlineLevel="0" collapsed="false">
      <c r="A1803" s="0" t="n">
        <v>1802</v>
      </c>
      <c r="B1803" s="0" t="n">
        <f aca="false">IF('Boletins Nuppa Site'!A1803&lt;&gt;0,'Boletins Nuppa Site'!A1803,"NULL")</f>
        <v>83</v>
      </c>
      <c r="C1803" s="0" t="n">
        <v>12</v>
      </c>
      <c r="D1803" s="0" t="str">
        <f aca="false">IF('Boletins Nuppa Site'!G1803&lt;&gt;0,'Boletins Nuppa Site'!G1803,"NULL")</f>
        <v> 60.00</v>
      </c>
      <c r="E1803" s="30" t="str">
        <f aca="false">IF('Boletins Nuppa Site'!H1803&lt;&gt;0,'Boletins Nuppa Site'!H1803,"NULL")</f>
        <v> 60.00</v>
      </c>
      <c r="F1803" s="30" t="str">
        <f aca="false">IF('Boletins Nuppa Site'!I1803&lt;&gt;0,'Boletins Nuppa Site'!I1803,"NULL")</f>
        <v> 60.00</v>
      </c>
      <c r="G1803" s="30" t="str">
        <f aca="false">IF('Boletins Nuppa Site'!J1803&lt;&gt;0,'Boletins Nuppa Site'!J1803,"NULL")</f>
        <v> 60.00</v>
      </c>
      <c r="H1803" s="30" t="str">
        <f aca="false">IF('Boletins Nuppa Site'!K1803&lt;&gt;0,'Boletins Nuppa Site'!K1803,"NULL")</f>
        <v> 60.00</v>
      </c>
      <c r="I1803" s="0" t="str">
        <f aca="false">"INSERT INTO COTACAO (cot_id, cot_blt_id, cot_pap_id, cot_prc_comum, cot_prc_min, cot_prc_max, cot_prc_med, cot_prc_mediana) VALUES ("&amp;A1803&amp;", "&amp;B1803&amp;", "&amp;C1803&amp;", "&amp;D1803&amp;", "&amp;E1803&amp;", "&amp;F1803&amp;", "&amp;G1803&amp;", "&amp;H1803&amp;");"</f>
        <v>INSERT INTO COTACAO (cot_id, cot_blt_id, cot_pap_id, cot_prc_comum, cot_prc_min, cot_prc_max, cot_prc_med, cot_prc_mediana) VALUES (1802, 83, 12,  60.00,  60.00,  60.00,  60.00,  60.00);</v>
      </c>
      <c r="J1803" s="0" t="str">
        <f aca="false">"UPDATE COTACAO SET cot_id = "&amp;A1803&amp;", cot_blt_id = "&amp;B1803&amp;", cot_pap_id = "&amp;C1803&amp;", cot_prc_comum = "&amp;D1803&amp;", cot_prc_min = "&amp;E1803&amp;", cot_prc_max = "&amp;F1803&amp;", cot_prc_med = "&amp;G1803&amp;", cot_prc_mediana = "&amp;H1803&amp;" WHERE cot_id = "&amp;A1803&amp;";"</f>
        <v>UPDATE COTACAO SET cot_id = 1802, cot_blt_id = 83, cot_pap_id = 12, cot_prc_comum =  60.00, cot_prc_min =  60.00, cot_prc_max =  60.00, cot_prc_med =  60.00, cot_prc_mediana =  60.00 WHERE cot_id = 1802;</v>
      </c>
    </row>
    <row r="1804" customFormat="false" ht="14.25" hidden="false" customHeight="false" outlineLevel="0" collapsed="false">
      <c r="A1804" s="0" t="n">
        <v>1803</v>
      </c>
      <c r="B1804" s="0" t="n">
        <f aca="false">IF('Boletins Nuppa Site'!A1804&lt;&gt;0,'Boletins Nuppa Site'!A1804,"NULL")</f>
        <v>83</v>
      </c>
      <c r="C1804" s="0" t="n">
        <v>13</v>
      </c>
      <c r="D1804" s="0" t="str">
        <f aca="false">IF('Boletins Nuppa Site'!G1804&lt;&gt;0,'Boletins Nuppa Site'!G1804,"NULL")</f>
        <v> 60.00</v>
      </c>
      <c r="E1804" s="30" t="str">
        <f aca="false">IF('Boletins Nuppa Site'!H1804&lt;&gt;0,'Boletins Nuppa Site'!H1804,"NULL")</f>
        <v> 60.00</v>
      </c>
      <c r="F1804" s="30" t="str">
        <f aca="false">IF('Boletins Nuppa Site'!I1804&lt;&gt;0,'Boletins Nuppa Site'!I1804,"NULL")</f>
        <v> 60.00</v>
      </c>
      <c r="G1804" s="30" t="str">
        <f aca="false">IF('Boletins Nuppa Site'!J1804&lt;&gt;0,'Boletins Nuppa Site'!J1804,"NULL")</f>
        <v> 60.00</v>
      </c>
      <c r="H1804" s="30" t="str">
        <f aca="false">IF('Boletins Nuppa Site'!K1804&lt;&gt;0,'Boletins Nuppa Site'!K1804,"NULL")</f>
        <v> 60.00</v>
      </c>
      <c r="I1804" s="0" t="str">
        <f aca="false">"INSERT INTO COTACAO (cot_id, cot_blt_id, cot_pap_id, cot_prc_comum, cot_prc_min, cot_prc_max, cot_prc_med, cot_prc_mediana) VALUES ("&amp;A1804&amp;", "&amp;B1804&amp;", "&amp;C1804&amp;", "&amp;D1804&amp;", "&amp;E1804&amp;", "&amp;F1804&amp;", "&amp;G1804&amp;", "&amp;H1804&amp;");"</f>
        <v>INSERT INTO COTACAO (cot_id, cot_blt_id, cot_pap_id, cot_prc_comum, cot_prc_min, cot_prc_max, cot_prc_med, cot_prc_mediana) VALUES (1803, 83, 13,  60.00,  60.00,  60.00,  60.00,  60.00);</v>
      </c>
      <c r="J1804" s="0" t="str">
        <f aca="false">"UPDATE COTACAO SET cot_id = "&amp;A1804&amp;", cot_blt_id = "&amp;B1804&amp;", cot_pap_id = "&amp;C1804&amp;", cot_prc_comum = "&amp;D1804&amp;", cot_prc_min = "&amp;E1804&amp;", cot_prc_max = "&amp;F1804&amp;", cot_prc_med = "&amp;G1804&amp;", cot_prc_mediana = "&amp;H1804&amp;" WHERE cot_id = "&amp;A1804&amp;";"</f>
        <v>UPDATE COTACAO SET cot_id = 1803, cot_blt_id = 83, cot_pap_id = 13, cot_prc_comum =  60.00, cot_prc_min =  60.00, cot_prc_max =  60.00, cot_prc_med =  60.00, cot_prc_mediana =  60.00 WHERE cot_id = 1803;</v>
      </c>
    </row>
    <row r="1805" customFormat="false" ht="14.25" hidden="false" customHeight="false" outlineLevel="0" collapsed="false">
      <c r="A1805" s="0" t="n">
        <v>1804</v>
      </c>
      <c r="B1805" s="0" t="n">
        <f aca="false">IF('Boletins Nuppa Site'!A1805&lt;&gt;0,'Boletins Nuppa Site'!A1805,"NULL")</f>
        <v>83</v>
      </c>
      <c r="C1805" s="0" t="n">
        <v>14</v>
      </c>
      <c r="D1805" s="0" t="str">
        <f aca="false">IF('Boletins Nuppa Site'!G1805&lt;&gt;0,'Boletins Nuppa Site'!G1805,"NULL")</f>
        <v> 50.00</v>
      </c>
      <c r="E1805" s="30" t="str">
        <f aca="false">IF('Boletins Nuppa Site'!H1805&lt;&gt;0,'Boletins Nuppa Site'!H1805,"NULL")</f>
        <v> 58.67</v>
      </c>
      <c r="F1805" s="30" t="str">
        <f aca="false">IF('Boletins Nuppa Site'!I1805&lt;&gt;0,'Boletins Nuppa Site'!I1805,"NULL")</f>
        <v> 72.00</v>
      </c>
      <c r="G1805" s="30" t="str">
        <f aca="false">IF('Boletins Nuppa Site'!J1805&lt;&gt;0,'Boletins Nuppa Site'!J1805,"NULL")</f>
        <v> 54.00</v>
      </c>
      <c r="H1805" s="30" t="str">
        <f aca="false">IF('Boletins Nuppa Site'!K1805&lt;&gt;0,'Boletins Nuppa Site'!K1805,"NULL")</f>
        <v> 60.00</v>
      </c>
      <c r="I1805" s="0" t="str">
        <f aca="false">"INSERT INTO COTACAO (cot_id, cot_blt_id, cot_pap_id, cot_prc_comum, cot_prc_min, cot_prc_max, cot_prc_med, cot_prc_mediana) VALUES ("&amp;A1805&amp;", "&amp;B1805&amp;", "&amp;C1805&amp;", "&amp;D1805&amp;", "&amp;E1805&amp;", "&amp;F1805&amp;", "&amp;G1805&amp;", "&amp;H1805&amp;");"</f>
        <v>INSERT INTO COTACAO (cot_id, cot_blt_id, cot_pap_id, cot_prc_comum, cot_prc_min, cot_prc_max, cot_prc_med, cot_prc_mediana) VALUES (1804, 83, 14,  50.00,  58.67,  72.00,  54.00,  60.00);</v>
      </c>
      <c r="J1805" s="0" t="str">
        <f aca="false">"UPDATE COTACAO SET cot_id = "&amp;A1805&amp;", cot_blt_id = "&amp;B1805&amp;", cot_pap_id = "&amp;C1805&amp;", cot_prc_comum = "&amp;D1805&amp;", cot_prc_min = "&amp;E1805&amp;", cot_prc_max = "&amp;F1805&amp;", cot_prc_med = "&amp;G1805&amp;", cot_prc_mediana = "&amp;H1805&amp;" WHERE cot_id = "&amp;A1805&amp;";"</f>
        <v>UPDATE COTACAO SET cot_id = 1804, cot_blt_id = 83, cot_pap_id = 14, cot_prc_comum =  50.00, cot_prc_min =  58.67, cot_prc_max =  72.00, cot_prc_med =  54.00, cot_prc_mediana =  60.00 WHERE cot_id = 1804;</v>
      </c>
    </row>
    <row r="1806" customFormat="false" ht="14.25" hidden="false" customHeight="false" outlineLevel="0" collapsed="false">
      <c r="A1806" s="0" t="n">
        <v>1805</v>
      </c>
      <c r="B1806" s="0" t="n">
        <f aca="false">IF('Boletins Nuppa Site'!A1806&lt;&gt;0,'Boletins Nuppa Site'!A1806,"NULL")</f>
        <v>83</v>
      </c>
      <c r="C1806" s="0" t="n">
        <v>15</v>
      </c>
      <c r="D1806" s="0" t="str">
        <f aca="false">IF('Boletins Nuppa Site'!G1806&lt;&gt;0,'Boletins Nuppa Site'!G1806,"NULL")</f>
        <v> 36.00</v>
      </c>
      <c r="E1806" s="30" t="str">
        <f aca="false">IF('Boletins Nuppa Site'!H1806&lt;&gt;0,'Boletins Nuppa Site'!H1806,"NULL")</f>
        <v> 39.00</v>
      </c>
      <c r="F1806" s="30" t="str">
        <f aca="false">IF('Boletins Nuppa Site'!I1806&lt;&gt;0,'Boletins Nuppa Site'!I1806,"NULL")</f>
        <v> 48.00</v>
      </c>
      <c r="G1806" s="30" t="str">
        <f aca="false">IF('Boletins Nuppa Site'!J1806&lt;&gt;0,'Boletins Nuppa Site'!J1806,"NULL")</f>
        <v> 36.00</v>
      </c>
      <c r="H1806" s="30" t="str">
        <f aca="false">IF('Boletins Nuppa Site'!K1806&lt;&gt;0,'Boletins Nuppa Site'!K1806,"NULL")</f>
        <v> 36.00</v>
      </c>
      <c r="I1806" s="0" t="str">
        <f aca="false">"INSERT INTO COTACAO (cot_id, cot_blt_id, cot_pap_id, cot_prc_comum, cot_prc_min, cot_prc_max, cot_prc_med, cot_prc_mediana) VALUES ("&amp;A1806&amp;", "&amp;B1806&amp;", "&amp;C1806&amp;", "&amp;D1806&amp;", "&amp;E1806&amp;", "&amp;F1806&amp;", "&amp;G1806&amp;", "&amp;H1806&amp;");"</f>
        <v>INSERT INTO COTACAO (cot_id, cot_blt_id, cot_pap_id, cot_prc_comum, cot_prc_min, cot_prc_max, cot_prc_med, cot_prc_mediana) VALUES (1805, 83, 15,  36.00,  39.00,  48.00,  36.00,  36.00);</v>
      </c>
      <c r="J1806" s="0" t="str">
        <f aca="false">"UPDATE COTACAO SET cot_id = "&amp;A1806&amp;", cot_blt_id = "&amp;B1806&amp;", cot_pap_id = "&amp;C1806&amp;", cot_prc_comum = "&amp;D1806&amp;", cot_prc_min = "&amp;E1806&amp;", cot_prc_max = "&amp;F1806&amp;", cot_prc_med = "&amp;G1806&amp;", cot_prc_mediana = "&amp;H1806&amp;" WHERE cot_id = "&amp;A1806&amp;";"</f>
        <v>UPDATE COTACAO SET cot_id = 1805, cot_blt_id = 83, cot_pap_id = 15, cot_prc_comum =  36.00, cot_prc_min =  39.00, cot_prc_max =  48.00, cot_prc_med =  36.00, cot_prc_mediana =  36.00 WHERE cot_id = 1805;</v>
      </c>
    </row>
    <row r="1807" customFormat="false" ht="14.25" hidden="false" customHeight="false" outlineLevel="0" collapsed="false">
      <c r="A1807" s="0" t="n">
        <v>1806</v>
      </c>
      <c r="B1807" s="0" t="n">
        <f aca="false">IF('Boletins Nuppa Site'!A1807&lt;&gt;0,'Boletins Nuppa Site'!A1807,"NULL")</f>
        <v>83</v>
      </c>
      <c r="C1807" s="0" t="n">
        <v>16</v>
      </c>
      <c r="D1807" s="0" t="str">
        <f aca="false">IF('Boletins Nuppa Site'!G1807&lt;&gt;0,'Boletins Nuppa Site'!G1807,"NULL")</f>
        <v> 42.00</v>
      </c>
      <c r="E1807" s="30" t="str">
        <f aca="false">IF('Boletins Nuppa Site'!H1807&lt;&gt;0,'Boletins Nuppa Site'!H1807,"NULL")</f>
        <v> 48.00</v>
      </c>
      <c r="F1807" s="30" t="str">
        <f aca="false">IF('Boletins Nuppa Site'!I1807&lt;&gt;0,'Boletins Nuppa Site'!I1807,"NULL")</f>
        <v> 48.00</v>
      </c>
      <c r="G1807" s="30" t="str">
        <f aca="false">IF('Boletins Nuppa Site'!J1807&lt;&gt;0,'Boletins Nuppa Site'!J1807,"NULL")</f>
        <v> 46.00</v>
      </c>
      <c r="H1807" s="30" t="str">
        <f aca="false">IF('Boletins Nuppa Site'!K1807&lt;&gt;0,'Boletins Nuppa Site'!K1807,"NULL")</f>
        <v> 48.00</v>
      </c>
      <c r="I1807" s="0" t="str">
        <f aca="false">"INSERT INTO COTACAO (cot_id, cot_blt_id, cot_pap_id, cot_prc_comum, cot_prc_min, cot_prc_max, cot_prc_med, cot_prc_mediana) VALUES ("&amp;A1807&amp;", "&amp;B1807&amp;", "&amp;C1807&amp;", "&amp;D1807&amp;", "&amp;E1807&amp;", "&amp;F1807&amp;", "&amp;G1807&amp;", "&amp;H1807&amp;");"</f>
        <v>INSERT INTO COTACAO (cot_id, cot_blt_id, cot_pap_id, cot_prc_comum, cot_prc_min, cot_prc_max, cot_prc_med, cot_prc_mediana) VALUES (1806, 83, 16,  42.00,  48.00,  48.00,  46.00,  48.00);</v>
      </c>
      <c r="J1807" s="0" t="str">
        <f aca="false">"UPDATE COTACAO SET cot_id = "&amp;A1807&amp;", cot_blt_id = "&amp;B1807&amp;", cot_pap_id = "&amp;C1807&amp;", cot_prc_comum = "&amp;D1807&amp;", cot_prc_min = "&amp;E1807&amp;", cot_prc_max = "&amp;F1807&amp;", cot_prc_med = "&amp;G1807&amp;", cot_prc_mediana = "&amp;H1807&amp;" WHERE cot_id = "&amp;A1807&amp;";"</f>
        <v>UPDATE COTACAO SET cot_id = 1806, cot_blt_id = 83, cot_pap_id = 16, cot_prc_comum =  42.00, cot_prc_min =  48.00, cot_prc_max =  48.00, cot_prc_med =  46.00, cot_prc_mediana =  48.00 WHERE cot_id = 1806;</v>
      </c>
    </row>
    <row r="1808" customFormat="false" ht="14.25" hidden="false" customHeight="false" outlineLevel="0" collapsed="false">
      <c r="A1808" s="0" t="n">
        <v>1807</v>
      </c>
      <c r="B1808" s="0" t="n">
        <f aca="false">IF('Boletins Nuppa Site'!A1808&lt;&gt;0,'Boletins Nuppa Site'!A1808,"NULL")</f>
        <v>83</v>
      </c>
      <c r="C1808" s="0" t="n">
        <v>17</v>
      </c>
      <c r="D1808" s="0" t="str">
        <f aca="false">IF('Boletins Nuppa Site'!G1808&lt;&gt;0,'Boletins Nuppa Site'!G1808,"NULL")</f>
        <v> 5.00</v>
      </c>
      <c r="E1808" s="30" t="str">
        <f aca="false">IF('Boletins Nuppa Site'!H1808&lt;&gt;0,'Boletins Nuppa Site'!H1808,"NULL")</f>
        <v> 5.00</v>
      </c>
      <c r="F1808" s="30" t="str">
        <f aca="false">IF('Boletins Nuppa Site'!I1808&lt;&gt;0,'Boletins Nuppa Site'!I1808,"NULL")</f>
        <v> 5.00</v>
      </c>
      <c r="G1808" s="30" t="str">
        <f aca="false">IF('Boletins Nuppa Site'!J1808&lt;&gt;0,'Boletins Nuppa Site'!J1808,"NULL")</f>
        <v> 5.00</v>
      </c>
      <c r="H1808" s="30" t="str">
        <f aca="false">IF('Boletins Nuppa Site'!K1808&lt;&gt;0,'Boletins Nuppa Site'!K1808,"NULL")</f>
        <v> 5.00</v>
      </c>
      <c r="I1808" s="0" t="str">
        <f aca="false">"INSERT INTO COTACAO (cot_id, cot_blt_id, cot_pap_id, cot_prc_comum, cot_prc_min, cot_prc_max, cot_prc_med, cot_prc_mediana) VALUES ("&amp;A1808&amp;", "&amp;B1808&amp;", "&amp;C1808&amp;", "&amp;D1808&amp;", "&amp;E1808&amp;", "&amp;F1808&amp;", "&amp;G1808&amp;", "&amp;H1808&amp;");"</f>
        <v>INSERT INTO COTACAO (cot_id, cot_blt_id, cot_pap_id, cot_prc_comum, cot_prc_min, cot_prc_max, cot_prc_med, cot_prc_mediana) VALUES (1807, 83, 17,  5.00,  5.00,  5.00,  5.00,  5.00);</v>
      </c>
      <c r="J1808" s="0" t="str">
        <f aca="false">"UPDATE COTACAO SET cot_id = "&amp;A1808&amp;", cot_blt_id = "&amp;B1808&amp;", cot_pap_id = "&amp;C1808&amp;", cot_prc_comum = "&amp;D1808&amp;", cot_prc_min = "&amp;E1808&amp;", cot_prc_max = "&amp;F1808&amp;", cot_prc_med = "&amp;G1808&amp;", cot_prc_mediana = "&amp;H1808&amp;" WHERE cot_id = "&amp;A1808&amp;";"</f>
        <v>UPDATE COTACAO SET cot_id = 1807, cot_blt_id = 83, cot_pap_id = 17, cot_prc_comum =  5.00, cot_prc_min =  5.00, cot_prc_max =  5.00, cot_prc_med =  5.00, cot_prc_mediana =  5.00 WHERE cot_id = 1807;</v>
      </c>
    </row>
    <row r="1809" customFormat="false" ht="14.25" hidden="false" customHeight="false" outlineLevel="0" collapsed="false">
      <c r="A1809" s="0" t="n">
        <v>1808</v>
      </c>
      <c r="B1809" s="0" t="n">
        <f aca="false">IF('Boletins Nuppa Site'!A1809&lt;&gt;0,'Boletins Nuppa Site'!A1809,"NULL")</f>
        <v>83</v>
      </c>
      <c r="C1809" s="0" t="n">
        <v>18</v>
      </c>
      <c r="D1809" s="0" t="str">
        <f aca="false">IF('Boletins Nuppa Site'!G1809&lt;&gt;0,'Boletins Nuppa Site'!G1809,"NULL")</f>
        <v> 15.00</v>
      </c>
      <c r="E1809" s="30" t="str">
        <f aca="false">IF('Boletins Nuppa Site'!H1809&lt;&gt;0,'Boletins Nuppa Site'!H1809,"NULL")</f>
        <v> 15.00</v>
      </c>
      <c r="F1809" s="30" t="str">
        <f aca="false">IF('Boletins Nuppa Site'!I1809&lt;&gt;0,'Boletins Nuppa Site'!I1809,"NULL")</f>
        <v> 18.00</v>
      </c>
      <c r="G1809" s="30" t="str">
        <f aca="false">IF('Boletins Nuppa Site'!J1809&lt;&gt;0,'Boletins Nuppa Site'!J1809,"NULL")</f>
        <v> 15.75</v>
      </c>
      <c r="H1809" s="30" t="str">
        <f aca="false">IF('Boletins Nuppa Site'!K1809&lt;&gt;0,'Boletins Nuppa Site'!K1809,"NULL")</f>
        <v> 15.00</v>
      </c>
      <c r="I1809" s="0" t="str">
        <f aca="false">"INSERT INTO COTACAO (cot_id, cot_blt_id, cot_pap_id, cot_prc_comum, cot_prc_min, cot_prc_max, cot_prc_med, cot_prc_mediana) VALUES ("&amp;A1809&amp;", "&amp;B1809&amp;", "&amp;C1809&amp;", "&amp;D1809&amp;", "&amp;E1809&amp;", "&amp;F1809&amp;", "&amp;G1809&amp;", "&amp;H1809&amp;");"</f>
        <v>INSERT INTO COTACAO (cot_id, cot_blt_id, cot_pap_id, cot_prc_comum, cot_prc_min, cot_prc_max, cot_prc_med, cot_prc_mediana) VALUES (1808, 83, 18,  15.00,  15.00,  18.00,  15.75,  15.00);</v>
      </c>
      <c r="J1809" s="0" t="str">
        <f aca="false">"UPDATE COTACAO SET cot_id = "&amp;A1809&amp;", cot_blt_id = "&amp;B1809&amp;", cot_pap_id = "&amp;C1809&amp;", cot_prc_comum = "&amp;D1809&amp;", cot_prc_min = "&amp;E1809&amp;", cot_prc_max = "&amp;F1809&amp;", cot_prc_med = "&amp;G1809&amp;", cot_prc_mediana = "&amp;H1809&amp;" WHERE cot_id = "&amp;A1809&amp;";"</f>
        <v>UPDATE COTACAO SET cot_id = 1808, cot_blt_id = 83, cot_pap_id = 18, cot_prc_comum =  15.00, cot_prc_min =  15.00, cot_prc_max =  18.00, cot_prc_med =  15.75, cot_prc_mediana =  15.00 WHERE cot_id = 1808;</v>
      </c>
    </row>
    <row r="1810" customFormat="false" ht="14.25" hidden="false" customHeight="false" outlineLevel="0" collapsed="false">
      <c r="A1810" s="0" t="n">
        <v>1809</v>
      </c>
      <c r="B1810" s="0" t="n">
        <f aca="false">IF('Boletins Nuppa Site'!A1810&lt;&gt;0,'Boletins Nuppa Site'!A1810,"NULL")</f>
        <v>83</v>
      </c>
      <c r="C1810" s="0" t="n">
        <v>19</v>
      </c>
      <c r="D1810" s="0" t="str">
        <f aca="false">IF('Boletins Nuppa Site'!G1810&lt;&gt;0,'Boletins Nuppa Site'!G1810,"NULL")</f>
        <v> 20.00</v>
      </c>
      <c r="E1810" s="30" t="str">
        <f aca="false">IF('Boletins Nuppa Site'!H1810&lt;&gt;0,'Boletins Nuppa Site'!H1810,"NULL")</f>
        <v> 25.00</v>
      </c>
      <c r="F1810" s="30" t="str">
        <f aca="false">IF('Boletins Nuppa Site'!I1810&lt;&gt;0,'Boletins Nuppa Site'!I1810,"NULL")</f>
        <v> 30.00</v>
      </c>
      <c r="G1810" s="30" t="str">
        <f aca="false">IF('Boletins Nuppa Site'!J1810&lt;&gt;0,'Boletins Nuppa Site'!J1810,"NULL")</f>
        <v> 25.00</v>
      </c>
      <c r="H1810" s="30" t="str">
        <f aca="false">IF('Boletins Nuppa Site'!K1810&lt;&gt;0,'Boletins Nuppa Site'!K1810,"NULL")</f>
        <v> 25.00</v>
      </c>
      <c r="I1810" s="0" t="str">
        <f aca="false">"INSERT INTO COTACAO (cot_id, cot_blt_id, cot_pap_id, cot_prc_comum, cot_prc_min, cot_prc_max, cot_prc_med, cot_prc_mediana) VALUES ("&amp;A1810&amp;", "&amp;B1810&amp;", "&amp;C1810&amp;", "&amp;D1810&amp;", "&amp;E1810&amp;", "&amp;F1810&amp;", "&amp;G1810&amp;", "&amp;H1810&amp;");"</f>
        <v>INSERT INTO COTACAO (cot_id, cot_blt_id, cot_pap_id, cot_prc_comum, cot_prc_min, cot_prc_max, cot_prc_med, cot_prc_mediana) VALUES (1809, 83, 19,  20.00,  25.00,  30.00,  25.00,  25.00);</v>
      </c>
      <c r="J1810" s="0" t="str">
        <f aca="false">"UPDATE COTACAO SET cot_id = "&amp;A1810&amp;", cot_blt_id = "&amp;B1810&amp;", cot_pap_id = "&amp;C1810&amp;", cot_prc_comum = "&amp;D1810&amp;", cot_prc_min = "&amp;E1810&amp;", cot_prc_max = "&amp;F1810&amp;", cot_prc_med = "&amp;G1810&amp;", cot_prc_mediana = "&amp;H1810&amp;" WHERE cot_id = "&amp;A1810&amp;";"</f>
        <v>UPDATE COTACAO SET cot_id = 1809, cot_blt_id = 83, cot_pap_id = 19, cot_prc_comum =  20.00, cot_prc_min =  25.00, cot_prc_max =  30.00, cot_prc_med =  25.00, cot_prc_mediana =  25.00 WHERE cot_id = 1809;</v>
      </c>
    </row>
    <row r="1811" customFormat="false" ht="14.25" hidden="false" customHeight="false" outlineLevel="0" collapsed="false">
      <c r="A1811" s="0" t="n">
        <v>1810</v>
      </c>
      <c r="B1811" s="0" t="n">
        <f aca="false">IF('Boletins Nuppa Site'!A1811&lt;&gt;0,'Boletins Nuppa Site'!A1811,"NULL")</f>
        <v>83</v>
      </c>
      <c r="C1811" s="0" t="n">
        <v>20</v>
      </c>
      <c r="D1811" s="0" t="str">
        <f aca="false">IF('Boletins Nuppa Site'!G1811&lt;&gt;0,'Boletins Nuppa Site'!G1811,"NULL")</f>
        <v> 65.00</v>
      </c>
      <c r="E1811" s="30" t="str">
        <f aca="false">IF('Boletins Nuppa Site'!H1811&lt;&gt;0,'Boletins Nuppa Site'!H1811,"NULL")</f>
        <v> 75.00</v>
      </c>
      <c r="F1811" s="30" t="str">
        <f aca="false">IF('Boletins Nuppa Site'!I1811&lt;&gt;0,'Boletins Nuppa Site'!I1811,"NULL")</f>
        <v> 80.00</v>
      </c>
      <c r="G1811" s="30" t="str">
        <f aca="false">IF('Boletins Nuppa Site'!J1811&lt;&gt;0,'Boletins Nuppa Site'!J1811,"NULL")</f>
        <v> 73.75</v>
      </c>
      <c r="H1811" s="30" t="str">
        <f aca="false">IF('Boletins Nuppa Site'!K1811&lt;&gt;0,'Boletins Nuppa Site'!K1811,"NULL")</f>
        <v> 75.00</v>
      </c>
      <c r="I1811" s="0" t="str">
        <f aca="false">"INSERT INTO COTACAO (cot_id, cot_blt_id, cot_pap_id, cot_prc_comum, cot_prc_min, cot_prc_max, cot_prc_med, cot_prc_mediana) VALUES ("&amp;A1811&amp;", "&amp;B1811&amp;", "&amp;C1811&amp;", "&amp;D1811&amp;", "&amp;E1811&amp;", "&amp;F1811&amp;", "&amp;G1811&amp;", "&amp;H1811&amp;");"</f>
        <v>INSERT INTO COTACAO (cot_id, cot_blt_id, cot_pap_id, cot_prc_comum, cot_prc_min, cot_prc_max, cot_prc_med, cot_prc_mediana) VALUES (1810, 83, 20,  65.00,  75.00,  80.00,  73.75,  75.00);</v>
      </c>
      <c r="J1811" s="0" t="str">
        <f aca="false">"UPDATE COTACAO SET cot_id = "&amp;A1811&amp;", cot_blt_id = "&amp;B1811&amp;", cot_pap_id = "&amp;C1811&amp;", cot_prc_comum = "&amp;D1811&amp;", cot_prc_min = "&amp;E1811&amp;", cot_prc_max = "&amp;F1811&amp;", cot_prc_med = "&amp;G1811&amp;", cot_prc_mediana = "&amp;H1811&amp;" WHERE cot_id = "&amp;A1811&amp;";"</f>
        <v>UPDATE COTACAO SET cot_id = 1810, cot_blt_id = 83, cot_pap_id = 20, cot_prc_comum =  65.00, cot_prc_min =  75.00, cot_prc_max =  80.00, cot_prc_med =  73.75, cot_prc_mediana =  75.00 WHERE cot_id = 1810;</v>
      </c>
    </row>
    <row r="1812" customFormat="false" ht="14.25" hidden="false" customHeight="false" outlineLevel="0" collapsed="false">
      <c r="A1812" s="0" t="n">
        <v>1811</v>
      </c>
      <c r="B1812" s="0" t="n">
        <f aca="false">IF('Boletins Nuppa Site'!A1812&lt;&gt;0,'Boletins Nuppa Site'!A1812,"NULL")</f>
        <v>83</v>
      </c>
      <c r="C1812" s="0" t="n">
        <v>21</v>
      </c>
      <c r="D1812" s="0" t="str">
        <f aca="false">IF('Boletins Nuppa Site'!G1812&lt;&gt;0,'Boletins Nuppa Site'!G1812,"NULL")</f>
        <v> 35.00</v>
      </c>
      <c r="E1812" s="30" t="str">
        <f aca="false">IF('Boletins Nuppa Site'!H1812&lt;&gt;0,'Boletins Nuppa Site'!H1812,"NULL")</f>
        <v> 50.00</v>
      </c>
      <c r="F1812" s="30" t="str">
        <f aca="false">IF('Boletins Nuppa Site'!I1812&lt;&gt;0,'Boletins Nuppa Site'!I1812,"NULL")</f>
        <v> 60.00</v>
      </c>
      <c r="G1812" s="30" t="str">
        <f aca="false">IF('Boletins Nuppa Site'!J1812&lt;&gt;0,'Boletins Nuppa Site'!J1812,"NULL")</f>
        <v> 50.00</v>
      </c>
      <c r="H1812" s="30" t="str">
        <f aca="false">IF('Boletins Nuppa Site'!K1812&lt;&gt;0,'Boletins Nuppa Site'!K1812,"NULL")</f>
        <v> 50.00</v>
      </c>
      <c r="I1812" s="0" t="str">
        <f aca="false">"INSERT INTO COTACAO (cot_id, cot_blt_id, cot_pap_id, cot_prc_comum, cot_prc_min, cot_prc_max, cot_prc_med, cot_prc_mediana) VALUES ("&amp;A1812&amp;", "&amp;B1812&amp;", "&amp;C1812&amp;", "&amp;D1812&amp;", "&amp;E1812&amp;", "&amp;F1812&amp;", "&amp;G1812&amp;", "&amp;H1812&amp;");"</f>
        <v>INSERT INTO COTACAO (cot_id, cot_blt_id, cot_pap_id, cot_prc_comum, cot_prc_min, cot_prc_max, cot_prc_med, cot_prc_mediana) VALUES (1811, 83, 21,  35.00,  50.00,  60.00,  50.00,  50.00);</v>
      </c>
      <c r="J1812" s="0" t="str">
        <f aca="false">"UPDATE COTACAO SET cot_id = "&amp;A1812&amp;", cot_blt_id = "&amp;B1812&amp;", cot_pap_id = "&amp;C1812&amp;", cot_prc_comum = "&amp;D1812&amp;", cot_prc_min = "&amp;E1812&amp;", cot_prc_max = "&amp;F1812&amp;", cot_prc_med = "&amp;G1812&amp;", cot_prc_mediana = "&amp;H1812&amp;" WHERE cot_id = "&amp;A1812&amp;";"</f>
        <v>UPDATE COTACAO SET cot_id = 1811, cot_blt_id = 83, cot_pap_id = 21, cot_prc_comum =  35.00, cot_prc_min =  50.00, cot_prc_max =  60.00, cot_prc_med =  50.00, cot_prc_mediana =  50.00 WHERE cot_id = 1811;</v>
      </c>
    </row>
    <row r="1813" customFormat="false" ht="14.25" hidden="false" customHeight="false" outlineLevel="0" collapsed="false">
      <c r="A1813" s="0" t="n">
        <v>1812</v>
      </c>
      <c r="B1813" s="0" t="n">
        <f aca="false">IF('Boletins Nuppa Site'!A1813&lt;&gt;0,'Boletins Nuppa Site'!A1813,"NULL")</f>
        <v>83</v>
      </c>
      <c r="C1813" s="0" t="n">
        <v>22</v>
      </c>
      <c r="D1813" s="0" t="str">
        <f aca="false">IF('Boletins Nuppa Site'!G1813&lt;&gt;0,'Boletins Nuppa Site'!G1813,"NULL")</f>
        <v> 45.00</v>
      </c>
      <c r="E1813" s="30" t="str">
        <f aca="false">IF('Boletins Nuppa Site'!H1813&lt;&gt;0,'Boletins Nuppa Site'!H1813,"NULL")</f>
        <v> 70.00</v>
      </c>
      <c r="F1813" s="30" t="str">
        <f aca="false">IF('Boletins Nuppa Site'!I1813&lt;&gt;0,'Boletins Nuppa Site'!I1813,"NULL")</f>
        <v> 70.00</v>
      </c>
      <c r="G1813" s="30" t="str">
        <f aca="false">IF('Boletins Nuppa Site'!J1813&lt;&gt;0,'Boletins Nuppa Site'!J1813,"NULL")</f>
        <v> 60.83</v>
      </c>
      <c r="H1813" s="30" t="str">
        <f aca="false">IF('Boletins Nuppa Site'!K1813&lt;&gt;0,'Boletins Nuppa Site'!K1813,"NULL")</f>
        <v> 67.50</v>
      </c>
      <c r="I1813" s="0" t="str">
        <f aca="false">"INSERT INTO COTACAO (cot_id, cot_blt_id, cot_pap_id, cot_prc_comum, cot_prc_min, cot_prc_max, cot_prc_med, cot_prc_mediana) VALUES ("&amp;A1813&amp;", "&amp;B1813&amp;", "&amp;C1813&amp;", "&amp;D1813&amp;", "&amp;E1813&amp;", "&amp;F1813&amp;", "&amp;G1813&amp;", "&amp;H1813&amp;");"</f>
        <v>INSERT INTO COTACAO (cot_id, cot_blt_id, cot_pap_id, cot_prc_comum, cot_prc_min, cot_prc_max, cot_prc_med, cot_prc_mediana) VALUES (1812, 83, 22,  45.00,  70.00,  70.00,  60.83,  67.50);</v>
      </c>
      <c r="J1813" s="0" t="str">
        <f aca="false">"UPDATE COTACAO SET cot_id = "&amp;A1813&amp;", cot_blt_id = "&amp;B1813&amp;", cot_pap_id = "&amp;C1813&amp;", cot_prc_comum = "&amp;D1813&amp;", cot_prc_min = "&amp;E1813&amp;", cot_prc_max = "&amp;F1813&amp;", cot_prc_med = "&amp;G1813&amp;", cot_prc_mediana = "&amp;H1813&amp;" WHERE cot_id = "&amp;A1813&amp;";"</f>
        <v>UPDATE COTACAO SET cot_id = 1812, cot_blt_id = 83, cot_pap_id = 22, cot_prc_comum =  45.00, cot_prc_min =  70.00, cot_prc_max =  70.00, cot_prc_med =  60.83, cot_prc_mediana =  67.50 WHERE cot_id = 1812;</v>
      </c>
    </row>
    <row r="1814" customFormat="false" ht="14.25" hidden="false" customHeight="false" outlineLevel="0" collapsed="false">
      <c r="A1814" s="0" t="n">
        <v>1813</v>
      </c>
      <c r="B1814" s="0" t="n">
        <f aca="false">IF('Boletins Nuppa Site'!A1814&lt;&gt;0,'Boletins Nuppa Site'!A1814,"NULL")</f>
        <v>83</v>
      </c>
      <c r="C1814" s="0" t="n">
        <v>23</v>
      </c>
      <c r="D1814" s="0" t="str">
        <f aca="false">IF('Boletins Nuppa Site'!G1814&lt;&gt;0,'Boletins Nuppa Site'!G1814,"NULL")</f>
        <v> 45.00</v>
      </c>
      <c r="E1814" s="30" t="str">
        <f aca="false">IF('Boletins Nuppa Site'!H1814&lt;&gt;0,'Boletins Nuppa Site'!H1814,"NULL")</f>
        <v> 50.00</v>
      </c>
      <c r="F1814" s="30" t="str">
        <f aca="false">IF('Boletins Nuppa Site'!I1814&lt;&gt;0,'Boletins Nuppa Site'!I1814,"NULL")</f>
        <v> 50.00</v>
      </c>
      <c r="G1814" s="30" t="str">
        <f aca="false">IF('Boletins Nuppa Site'!J1814&lt;&gt;0,'Boletins Nuppa Site'!J1814,"NULL")</f>
        <v> 48.33</v>
      </c>
      <c r="H1814" s="30" t="str">
        <f aca="false">IF('Boletins Nuppa Site'!K1814&lt;&gt;0,'Boletins Nuppa Site'!K1814,"NULL")</f>
        <v> 50.00</v>
      </c>
      <c r="I1814" s="0" t="str">
        <f aca="false">"INSERT INTO COTACAO (cot_id, cot_blt_id, cot_pap_id, cot_prc_comum, cot_prc_min, cot_prc_max, cot_prc_med, cot_prc_mediana) VALUES ("&amp;A1814&amp;", "&amp;B1814&amp;", "&amp;C1814&amp;", "&amp;D1814&amp;", "&amp;E1814&amp;", "&amp;F1814&amp;", "&amp;G1814&amp;", "&amp;H1814&amp;");"</f>
        <v>INSERT INTO COTACAO (cot_id, cot_blt_id, cot_pap_id, cot_prc_comum, cot_prc_min, cot_prc_max, cot_prc_med, cot_prc_mediana) VALUES (1813, 83, 23,  45.00,  50.00,  50.00,  48.33,  50.00);</v>
      </c>
      <c r="J1814" s="0" t="str">
        <f aca="false">"UPDATE COTACAO SET cot_id = "&amp;A1814&amp;", cot_blt_id = "&amp;B1814&amp;", cot_pap_id = "&amp;C1814&amp;", cot_prc_comum = "&amp;D1814&amp;", cot_prc_min = "&amp;E1814&amp;", cot_prc_max = "&amp;F1814&amp;", cot_prc_med = "&amp;G1814&amp;", cot_prc_mediana = "&amp;H1814&amp;" WHERE cot_id = "&amp;A1814&amp;";"</f>
        <v>UPDATE COTACAO SET cot_id = 1813, cot_blt_id = 83, cot_pap_id = 23, cot_prc_comum =  45.00, cot_prc_min =  50.00, cot_prc_max =  50.00, cot_prc_med =  48.33, cot_prc_mediana =  50.00 WHERE cot_id = 1813;</v>
      </c>
    </row>
    <row r="1815" customFormat="false" ht="14.25" hidden="false" customHeight="false" outlineLevel="0" collapsed="false">
      <c r="A1815" s="0" t="n">
        <v>1814</v>
      </c>
      <c r="B1815" s="0" t="n">
        <f aca="false">IF('Boletins Nuppa Site'!A1815&lt;&gt;0,'Boletins Nuppa Site'!A1815,"NULL")</f>
        <v>83</v>
      </c>
      <c r="C1815" s="0" t="n">
        <v>24</v>
      </c>
      <c r="D1815" s="0" t="str">
        <f aca="false">IF('Boletins Nuppa Site'!G1815&lt;&gt;0,'Boletins Nuppa Site'!G1815,"NULL")</f>
        <v> 60.00</v>
      </c>
      <c r="E1815" s="30" t="str">
        <f aca="false">IF('Boletins Nuppa Site'!H1815&lt;&gt;0,'Boletins Nuppa Site'!H1815,"NULL")</f>
        <v> 70.00</v>
      </c>
      <c r="F1815" s="30" t="str">
        <f aca="false">IF('Boletins Nuppa Site'!I1815&lt;&gt;0,'Boletins Nuppa Site'!I1815,"NULL")</f>
        <v> 80.00</v>
      </c>
      <c r="G1815" s="30" t="str">
        <f aca="false">IF('Boletins Nuppa Site'!J1815&lt;&gt;0,'Boletins Nuppa Site'!J1815,"NULL")</f>
        <v> 70.00</v>
      </c>
      <c r="H1815" s="30" t="str">
        <f aca="false">IF('Boletins Nuppa Site'!K1815&lt;&gt;0,'Boletins Nuppa Site'!K1815,"NULL")</f>
        <v> 70.00</v>
      </c>
      <c r="I1815" s="0" t="str">
        <f aca="false">"INSERT INTO COTACAO (cot_id, cot_blt_id, cot_pap_id, cot_prc_comum, cot_prc_min, cot_prc_max, cot_prc_med, cot_prc_mediana) VALUES ("&amp;A1815&amp;", "&amp;B1815&amp;", "&amp;C1815&amp;", "&amp;D1815&amp;", "&amp;E1815&amp;", "&amp;F1815&amp;", "&amp;G1815&amp;", "&amp;H1815&amp;");"</f>
        <v>INSERT INTO COTACAO (cot_id, cot_blt_id, cot_pap_id, cot_prc_comum, cot_prc_min, cot_prc_max, cot_prc_med, cot_prc_mediana) VALUES (1814, 83, 24,  60.00,  70.00,  80.00,  70.00,  70.00);</v>
      </c>
      <c r="J1815" s="0" t="str">
        <f aca="false">"UPDATE COTACAO SET cot_id = "&amp;A1815&amp;", cot_blt_id = "&amp;B1815&amp;", cot_pap_id = "&amp;C1815&amp;", cot_prc_comum = "&amp;D1815&amp;", cot_prc_min = "&amp;E1815&amp;", cot_prc_max = "&amp;F1815&amp;", cot_prc_med = "&amp;G1815&amp;", cot_prc_mediana = "&amp;H1815&amp;" WHERE cot_id = "&amp;A1815&amp;";"</f>
        <v>UPDATE COTACAO SET cot_id = 1814, cot_blt_id = 83, cot_pap_id = 24, cot_prc_comum =  60.00, cot_prc_min =  70.00, cot_prc_max =  80.00, cot_prc_med =  70.00, cot_prc_mediana =  70.00 WHERE cot_id = 1814;</v>
      </c>
    </row>
    <row r="1816" customFormat="false" ht="14.25" hidden="false" customHeight="false" outlineLevel="0" collapsed="false">
      <c r="A1816" s="0" t="n">
        <v>1815</v>
      </c>
      <c r="B1816" s="0" t="n">
        <f aca="false">IF('Boletins Nuppa Site'!A1816&lt;&gt;0,'Boletins Nuppa Site'!A1816,"NULL")</f>
        <v>83</v>
      </c>
      <c r="C1816" s="0" t="n">
        <v>25</v>
      </c>
      <c r="D1816" s="0" t="str">
        <f aca="false">IF('Boletins Nuppa Site'!G1816&lt;&gt;0,'Boletins Nuppa Site'!G1816,"NULL")</f>
        <v> 35.00</v>
      </c>
      <c r="E1816" s="30" t="str">
        <f aca="false">IF('Boletins Nuppa Site'!H1816&lt;&gt;0,'Boletins Nuppa Site'!H1816,"NULL")</f>
        <v> 50.00</v>
      </c>
      <c r="F1816" s="30" t="str">
        <f aca="false">IF('Boletins Nuppa Site'!I1816&lt;&gt;0,'Boletins Nuppa Site'!I1816,"NULL")</f>
        <v> 60.00</v>
      </c>
      <c r="G1816" s="30" t="str">
        <f aca="false">IF('Boletins Nuppa Site'!J1816&lt;&gt;0,'Boletins Nuppa Site'!J1816,"NULL")</f>
        <v> 50.83</v>
      </c>
      <c r="H1816" s="30" t="str">
        <f aca="false">IF('Boletins Nuppa Site'!K1816&lt;&gt;0,'Boletins Nuppa Site'!K1816,"NULL")</f>
        <v> 52.50</v>
      </c>
      <c r="I1816" s="0" t="str">
        <f aca="false">"INSERT INTO COTACAO (cot_id, cot_blt_id, cot_pap_id, cot_prc_comum, cot_prc_min, cot_prc_max, cot_prc_med, cot_prc_mediana) VALUES ("&amp;A1816&amp;", "&amp;B1816&amp;", "&amp;C1816&amp;", "&amp;D1816&amp;", "&amp;E1816&amp;", "&amp;F1816&amp;", "&amp;G1816&amp;", "&amp;H1816&amp;");"</f>
        <v>INSERT INTO COTACAO (cot_id, cot_blt_id, cot_pap_id, cot_prc_comum, cot_prc_min, cot_prc_max, cot_prc_med, cot_prc_mediana) VALUES (1815, 83, 25,  35.00,  50.00,  60.00,  50.83,  52.50);</v>
      </c>
      <c r="J1816" s="0" t="str">
        <f aca="false">"UPDATE COTACAO SET cot_id = "&amp;A1816&amp;", cot_blt_id = "&amp;B1816&amp;", cot_pap_id = "&amp;C1816&amp;", cot_prc_comum = "&amp;D1816&amp;", cot_prc_min = "&amp;E1816&amp;", cot_prc_max = "&amp;F1816&amp;", cot_prc_med = "&amp;G1816&amp;", cot_prc_mediana = "&amp;H1816&amp;" WHERE cot_id = "&amp;A1816&amp;";"</f>
        <v>UPDATE COTACAO SET cot_id = 1815, cot_blt_id = 83, cot_pap_id = 25, cot_prc_comum =  35.00, cot_prc_min =  50.00, cot_prc_max =  60.00, cot_prc_med =  50.83, cot_prc_mediana =  52.50 WHERE cot_id = 1815;</v>
      </c>
    </row>
    <row r="1817" customFormat="false" ht="14.25" hidden="false" customHeight="false" outlineLevel="0" collapsed="false">
      <c r="A1817" s="0" t="n">
        <v>1816</v>
      </c>
      <c r="B1817" s="0" t="n">
        <f aca="false">IF('Boletins Nuppa Site'!A1817&lt;&gt;0,'Boletins Nuppa Site'!A1817,"NULL")</f>
        <v>83</v>
      </c>
      <c r="C1817" s="0" t="n">
        <v>26</v>
      </c>
      <c r="D1817" s="0" t="str">
        <f aca="false">IF('Boletins Nuppa Site'!G1817&lt;&gt;0,'Boletins Nuppa Site'!G1817,"NULL")</f>
        <v> 45.00</v>
      </c>
      <c r="E1817" s="30" t="str">
        <f aca="false">IF('Boletins Nuppa Site'!H1817&lt;&gt;0,'Boletins Nuppa Site'!H1817,"NULL")</f>
        <v> 50.00</v>
      </c>
      <c r="F1817" s="30" t="str">
        <f aca="false">IF('Boletins Nuppa Site'!I1817&lt;&gt;0,'Boletins Nuppa Site'!I1817,"NULL")</f>
        <v> 80.00</v>
      </c>
      <c r="G1817" s="30" t="str">
        <f aca="false">IF('Boletins Nuppa Site'!J1817&lt;&gt;0,'Boletins Nuppa Site'!J1817,"NULL")</f>
        <v> 60.00</v>
      </c>
      <c r="H1817" s="30" t="str">
        <f aca="false">IF('Boletins Nuppa Site'!K1817&lt;&gt;0,'Boletins Nuppa Site'!K1817,"NULL")</f>
        <v> 55.00</v>
      </c>
      <c r="I1817" s="0" t="str">
        <f aca="false">"INSERT INTO COTACAO (cot_id, cot_blt_id, cot_pap_id, cot_prc_comum, cot_prc_min, cot_prc_max, cot_prc_med, cot_prc_mediana) VALUES ("&amp;A1817&amp;", "&amp;B1817&amp;", "&amp;C1817&amp;", "&amp;D1817&amp;", "&amp;E1817&amp;", "&amp;F1817&amp;", "&amp;G1817&amp;", "&amp;H1817&amp;");"</f>
        <v>INSERT INTO COTACAO (cot_id, cot_blt_id, cot_pap_id, cot_prc_comum, cot_prc_min, cot_prc_max, cot_prc_med, cot_prc_mediana) VALUES (1816, 83, 26,  45.00,  50.00,  80.00,  60.00,  55.00);</v>
      </c>
      <c r="J1817" s="0" t="str">
        <f aca="false">"UPDATE COTACAO SET cot_id = "&amp;A1817&amp;", cot_blt_id = "&amp;B1817&amp;", cot_pap_id = "&amp;C1817&amp;", cot_prc_comum = "&amp;D1817&amp;", cot_prc_min = "&amp;E1817&amp;", cot_prc_max = "&amp;F1817&amp;", cot_prc_med = "&amp;G1817&amp;", cot_prc_mediana = "&amp;H1817&amp;" WHERE cot_id = "&amp;A1817&amp;";"</f>
        <v>UPDATE COTACAO SET cot_id = 1816, cot_blt_id = 83, cot_pap_id = 26, cot_prc_comum =  45.00, cot_prc_min =  50.00, cot_prc_max =  80.00, cot_prc_med =  60.00, cot_prc_mediana =  55.00 WHERE cot_id = 1816;</v>
      </c>
    </row>
    <row r="1818" customFormat="false" ht="14.25" hidden="false" customHeight="false" outlineLevel="0" collapsed="false">
      <c r="A1818" s="0" t="n">
        <v>1817</v>
      </c>
      <c r="B1818" s="0" t="n">
        <f aca="false">IF('Boletins Nuppa Site'!A1818&lt;&gt;0,'Boletins Nuppa Site'!A1818,"NULL")</f>
        <v>83</v>
      </c>
      <c r="C1818" s="0" t="n">
        <v>27</v>
      </c>
      <c r="D1818" s="0" t="str">
        <f aca="false">IF('Boletins Nuppa Site'!G1818&lt;&gt;0,'Boletins Nuppa Site'!G1818,"NULL")</f>
        <v> 35.00</v>
      </c>
      <c r="E1818" s="30" t="str">
        <f aca="false">IF('Boletins Nuppa Site'!H1818&lt;&gt;0,'Boletins Nuppa Site'!H1818,"NULL")</f>
        <v> 40.00</v>
      </c>
      <c r="F1818" s="30" t="str">
        <f aca="false">IF('Boletins Nuppa Site'!I1818&lt;&gt;0,'Boletins Nuppa Site'!I1818,"NULL")</f>
        <v> 60.00</v>
      </c>
      <c r="G1818" s="30" t="str">
        <f aca="false">IF('Boletins Nuppa Site'!J1818&lt;&gt;0,'Boletins Nuppa Site'!J1818,"NULL")</f>
        <v> 43.33</v>
      </c>
      <c r="H1818" s="30" t="str">
        <f aca="false">IF('Boletins Nuppa Site'!K1818&lt;&gt;0,'Boletins Nuppa Site'!K1818,"NULL")</f>
        <v> 40.00</v>
      </c>
      <c r="I1818" s="0" t="str">
        <f aca="false">"INSERT INTO COTACAO (cot_id, cot_blt_id, cot_pap_id, cot_prc_comum, cot_prc_min, cot_prc_max, cot_prc_med, cot_prc_mediana) VALUES ("&amp;A1818&amp;", "&amp;B1818&amp;", "&amp;C1818&amp;", "&amp;D1818&amp;", "&amp;E1818&amp;", "&amp;F1818&amp;", "&amp;G1818&amp;", "&amp;H1818&amp;");"</f>
        <v>INSERT INTO COTACAO (cot_id, cot_blt_id, cot_pap_id, cot_prc_comum, cot_prc_min, cot_prc_max, cot_prc_med, cot_prc_mediana) VALUES (1817, 83, 27,  35.00,  40.00,  60.00,  43.33,  40.00);</v>
      </c>
      <c r="J1818" s="0" t="str">
        <f aca="false">"UPDATE COTACAO SET cot_id = "&amp;A1818&amp;", cot_blt_id = "&amp;B1818&amp;", cot_pap_id = "&amp;C1818&amp;", cot_prc_comum = "&amp;D1818&amp;", cot_prc_min = "&amp;E1818&amp;", cot_prc_max = "&amp;F1818&amp;", cot_prc_med = "&amp;G1818&amp;", cot_prc_mediana = "&amp;H1818&amp;" WHERE cot_id = "&amp;A1818&amp;";"</f>
        <v>UPDATE COTACAO SET cot_id = 1817, cot_blt_id = 83, cot_pap_id = 27, cot_prc_comum =  35.00, cot_prc_min =  40.00, cot_prc_max =  60.00, cot_prc_med =  43.33, cot_prc_mediana =  40.00 WHERE cot_id = 1817;</v>
      </c>
    </row>
    <row r="1819" customFormat="false" ht="14.25" hidden="false" customHeight="false" outlineLevel="0" collapsed="false">
      <c r="A1819" s="0" t="n">
        <v>1818</v>
      </c>
      <c r="B1819" s="0" t="n">
        <f aca="false">IF('Boletins Nuppa Site'!A1819&lt;&gt;0,'Boletins Nuppa Site'!A1819,"NULL")</f>
        <v>83</v>
      </c>
      <c r="C1819" s="0" t="n">
        <v>28</v>
      </c>
      <c r="D1819" s="0" t="str">
        <f aca="false">IF('Boletins Nuppa Site'!G1819&lt;&gt;0,'Boletins Nuppa Site'!G1819,"NULL")</f>
        <v> 70.00</v>
      </c>
      <c r="E1819" s="30" t="str">
        <f aca="false">IF('Boletins Nuppa Site'!H1819&lt;&gt;0,'Boletins Nuppa Site'!H1819,"NULL")</f>
        <v> 80.00</v>
      </c>
      <c r="F1819" s="30" t="str">
        <f aca="false">IF('Boletins Nuppa Site'!I1819&lt;&gt;0,'Boletins Nuppa Site'!I1819,"NULL")</f>
        <v> 110.00</v>
      </c>
      <c r="G1819" s="30" t="str">
        <f aca="false">IF('Boletins Nuppa Site'!J1819&lt;&gt;0,'Boletins Nuppa Site'!J1819,"NULL")</f>
        <v> 82.50</v>
      </c>
      <c r="H1819" s="30" t="str">
        <f aca="false">IF('Boletins Nuppa Site'!K1819&lt;&gt;0,'Boletins Nuppa Site'!K1819,"NULL")</f>
        <v> 80.00</v>
      </c>
      <c r="I1819" s="0" t="str">
        <f aca="false">"INSERT INTO COTACAO (cot_id, cot_blt_id, cot_pap_id, cot_prc_comum, cot_prc_min, cot_prc_max, cot_prc_med, cot_prc_mediana) VALUES ("&amp;A1819&amp;", "&amp;B1819&amp;", "&amp;C1819&amp;", "&amp;D1819&amp;", "&amp;E1819&amp;", "&amp;F1819&amp;", "&amp;G1819&amp;", "&amp;H1819&amp;");"</f>
        <v>INSERT INTO COTACAO (cot_id, cot_blt_id, cot_pap_id, cot_prc_comum, cot_prc_min, cot_prc_max, cot_prc_med, cot_prc_mediana) VALUES (1818, 83, 28,  70.00,  80.00,  110.00,  82.50,  80.00);</v>
      </c>
      <c r="J1819" s="0" t="str">
        <f aca="false">"UPDATE COTACAO SET cot_id = "&amp;A1819&amp;", cot_blt_id = "&amp;B1819&amp;", cot_pap_id = "&amp;C1819&amp;", cot_prc_comum = "&amp;D1819&amp;", cot_prc_min = "&amp;E1819&amp;", cot_prc_max = "&amp;F1819&amp;", cot_prc_med = "&amp;G1819&amp;", cot_prc_mediana = "&amp;H1819&amp;" WHERE cot_id = "&amp;A1819&amp;";"</f>
        <v>UPDATE COTACAO SET cot_id = 1818, cot_blt_id = 83, cot_pap_id = 28, cot_prc_comum =  70.00, cot_prc_min =  80.00, cot_prc_max =  110.00, cot_prc_med =  82.50, cot_prc_mediana =  80.00 WHERE cot_id = 1818;</v>
      </c>
    </row>
    <row r="1820" customFormat="false" ht="14.25" hidden="false" customHeight="false" outlineLevel="0" collapsed="false">
      <c r="A1820" s="0" t="n">
        <v>1819</v>
      </c>
      <c r="B1820" s="0" t="n">
        <f aca="false">IF('Boletins Nuppa Site'!A1820&lt;&gt;0,'Boletins Nuppa Site'!A1820,"NULL")</f>
        <v>83</v>
      </c>
      <c r="C1820" s="0" t="n">
        <v>29</v>
      </c>
      <c r="D1820" s="0" t="str">
        <f aca="false">IF('Boletins Nuppa Site'!G1820&lt;&gt;0,'Boletins Nuppa Site'!G1820,"NULL")</f>
        <v> 75.00</v>
      </c>
      <c r="E1820" s="30" t="str">
        <f aca="false">IF('Boletins Nuppa Site'!H1820&lt;&gt;0,'Boletins Nuppa Site'!H1820,"NULL")</f>
        <v> 75.00</v>
      </c>
      <c r="F1820" s="30" t="str">
        <f aca="false">IF('Boletins Nuppa Site'!I1820&lt;&gt;0,'Boletins Nuppa Site'!I1820,"NULL")</f>
        <v> 75.00</v>
      </c>
      <c r="G1820" s="30" t="str">
        <f aca="false">IF('Boletins Nuppa Site'!J1820&lt;&gt;0,'Boletins Nuppa Site'!J1820,"NULL")</f>
        <v> 75.00</v>
      </c>
      <c r="H1820" s="30" t="str">
        <f aca="false">IF('Boletins Nuppa Site'!K1820&lt;&gt;0,'Boletins Nuppa Site'!K1820,"NULL")</f>
        <v> 75.00</v>
      </c>
      <c r="I1820" s="0" t="str">
        <f aca="false">"INSERT INTO COTACAO (cot_id, cot_blt_id, cot_pap_id, cot_prc_comum, cot_prc_min, cot_prc_max, cot_prc_med, cot_prc_mediana) VALUES ("&amp;A1820&amp;", "&amp;B1820&amp;", "&amp;C1820&amp;", "&amp;D1820&amp;", "&amp;E1820&amp;", "&amp;F1820&amp;", "&amp;G1820&amp;", "&amp;H1820&amp;");"</f>
        <v>INSERT INTO COTACAO (cot_id, cot_blt_id, cot_pap_id, cot_prc_comum, cot_prc_min, cot_prc_max, cot_prc_med, cot_prc_mediana) VALUES (1819, 83, 29,  75.00,  75.00,  75.00,  75.00,  75.00);</v>
      </c>
      <c r="J1820" s="0" t="str">
        <f aca="false">"UPDATE COTACAO SET cot_id = "&amp;A1820&amp;", cot_blt_id = "&amp;B1820&amp;", cot_pap_id = "&amp;C1820&amp;", cot_prc_comum = "&amp;D1820&amp;", cot_prc_min = "&amp;E1820&amp;", cot_prc_max = "&amp;F1820&amp;", cot_prc_med = "&amp;G1820&amp;", cot_prc_mediana = "&amp;H1820&amp;" WHERE cot_id = "&amp;A1820&amp;";"</f>
        <v>UPDATE COTACAO SET cot_id = 1819, cot_blt_id = 83, cot_pap_id = 29, cot_prc_comum =  75.00, cot_prc_min =  75.00, cot_prc_max =  75.00, cot_prc_med =  75.00, cot_prc_mediana =  75.00 WHERE cot_id = 1819;</v>
      </c>
    </row>
    <row r="1821" customFormat="false" ht="14.25" hidden="false" customHeight="false" outlineLevel="0" collapsed="false">
      <c r="A1821" s="0" t="n">
        <v>1820</v>
      </c>
      <c r="B1821" s="0" t="n">
        <f aca="false">IF('Boletins Nuppa Site'!A1821&lt;&gt;0,'Boletins Nuppa Site'!A1821,"NULL")</f>
        <v>83</v>
      </c>
      <c r="C1821" s="0" t="n">
        <v>30</v>
      </c>
      <c r="D1821" s="0" t="str">
        <f aca="false">IF('Boletins Nuppa Site'!G1821&lt;&gt;0,'Boletins Nuppa Site'!G1821,"NULL")</f>
        <v> 45.00</v>
      </c>
      <c r="E1821" s="30" t="str">
        <f aca="false">IF('Boletins Nuppa Site'!H1821&lt;&gt;0,'Boletins Nuppa Site'!H1821,"NULL")</f>
        <v> 50.00</v>
      </c>
      <c r="F1821" s="30" t="str">
        <f aca="false">IF('Boletins Nuppa Site'!I1821&lt;&gt;0,'Boletins Nuppa Site'!I1821,"NULL")</f>
        <v> 60.00</v>
      </c>
      <c r="G1821" s="30" t="str">
        <f aca="false">IF('Boletins Nuppa Site'!J1821&lt;&gt;0,'Boletins Nuppa Site'!J1821,"NULL")</f>
        <v> 51.25</v>
      </c>
      <c r="H1821" s="30" t="str">
        <f aca="false">IF('Boletins Nuppa Site'!K1821&lt;&gt;0,'Boletins Nuppa Site'!K1821,"NULL")</f>
        <v> 50.00</v>
      </c>
      <c r="I1821" s="0" t="str">
        <f aca="false">"INSERT INTO COTACAO (cot_id, cot_blt_id, cot_pap_id, cot_prc_comum, cot_prc_min, cot_prc_max, cot_prc_med, cot_prc_mediana) VALUES ("&amp;A1821&amp;", "&amp;B1821&amp;", "&amp;C1821&amp;", "&amp;D1821&amp;", "&amp;E1821&amp;", "&amp;F1821&amp;", "&amp;G1821&amp;", "&amp;H1821&amp;");"</f>
        <v>INSERT INTO COTACAO (cot_id, cot_blt_id, cot_pap_id, cot_prc_comum, cot_prc_min, cot_prc_max, cot_prc_med, cot_prc_mediana) VALUES (1820, 83, 30,  45.00,  50.00,  60.00,  51.25,  50.00);</v>
      </c>
      <c r="J1821" s="0" t="str">
        <f aca="false">"UPDATE COTACAO SET cot_id = "&amp;A1821&amp;", cot_blt_id = "&amp;B1821&amp;", cot_pap_id = "&amp;C1821&amp;", cot_prc_comum = "&amp;D1821&amp;", cot_prc_min = "&amp;E1821&amp;", cot_prc_max = "&amp;F1821&amp;", cot_prc_med = "&amp;G1821&amp;", cot_prc_mediana = "&amp;H1821&amp;" WHERE cot_id = "&amp;A1821&amp;";"</f>
        <v>UPDATE COTACAO SET cot_id = 1820, cot_blt_id = 83, cot_pap_id = 30, cot_prc_comum =  45.00, cot_prc_min =  50.00, cot_prc_max =  60.00, cot_prc_med =  51.25, cot_prc_mediana =  50.00 WHERE cot_id = 1820;</v>
      </c>
    </row>
    <row r="1822" customFormat="false" ht="14.25" hidden="false" customHeight="false" outlineLevel="0" collapsed="false">
      <c r="A1822" s="0" t="n">
        <v>1821</v>
      </c>
      <c r="B1822" s="0" t="n">
        <f aca="false">IF('Boletins Nuppa Site'!A1822&lt;&gt;0,'Boletins Nuppa Site'!A1822,"NULL")</f>
        <v>83</v>
      </c>
      <c r="C1822" s="0" t="n">
        <v>31</v>
      </c>
      <c r="D1822" s="0" t="str">
        <f aca="false">IF('Boletins Nuppa Site'!G1822&lt;&gt;0,'Boletins Nuppa Site'!G1822,"NULL")</f>
        <v> 80.00</v>
      </c>
      <c r="E1822" s="30" t="str">
        <f aca="false">IF('Boletins Nuppa Site'!H1822&lt;&gt;0,'Boletins Nuppa Site'!H1822,"NULL")</f>
        <v> 80.00</v>
      </c>
      <c r="F1822" s="30" t="str">
        <f aca="false">IF('Boletins Nuppa Site'!I1822&lt;&gt;0,'Boletins Nuppa Site'!I1822,"NULL")</f>
        <v> 90.00</v>
      </c>
      <c r="G1822" s="30" t="str">
        <f aca="false">IF('Boletins Nuppa Site'!J1822&lt;&gt;0,'Boletins Nuppa Site'!J1822,"NULL")</f>
        <v> 85.00</v>
      </c>
      <c r="H1822" s="30" t="str">
        <f aca="false">IF('Boletins Nuppa Site'!K1822&lt;&gt;0,'Boletins Nuppa Site'!K1822,"NULL")</f>
        <v> 85.00</v>
      </c>
      <c r="I1822" s="0" t="str">
        <f aca="false">"INSERT INTO COTACAO (cot_id, cot_blt_id, cot_pap_id, cot_prc_comum, cot_prc_min, cot_prc_max, cot_prc_med, cot_prc_mediana) VALUES ("&amp;A1822&amp;", "&amp;B1822&amp;", "&amp;C1822&amp;", "&amp;D1822&amp;", "&amp;E1822&amp;", "&amp;F1822&amp;", "&amp;G1822&amp;", "&amp;H1822&amp;");"</f>
        <v>INSERT INTO COTACAO (cot_id, cot_blt_id, cot_pap_id, cot_prc_comum, cot_prc_min, cot_prc_max, cot_prc_med, cot_prc_mediana) VALUES (1821, 83, 31,  80.00,  80.00,  90.00,  85.00,  85.00);</v>
      </c>
      <c r="J1822" s="0" t="str">
        <f aca="false">"UPDATE COTACAO SET cot_id = "&amp;A1822&amp;", cot_blt_id = "&amp;B1822&amp;", cot_pap_id = "&amp;C1822&amp;", cot_prc_comum = "&amp;D1822&amp;", cot_prc_min = "&amp;E1822&amp;", cot_prc_max = "&amp;F1822&amp;", cot_prc_med = "&amp;G1822&amp;", cot_prc_mediana = "&amp;H1822&amp;" WHERE cot_id = "&amp;A1822&amp;";"</f>
        <v>UPDATE COTACAO SET cot_id = 1821, cot_blt_id = 83, cot_pap_id = 31, cot_prc_comum =  80.00, cot_prc_min =  80.00, cot_prc_max =  90.00, cot_prc_med =  85.00, cot_prc_mediana =  85.00 WHERE cot_id = 1821;</v>
      </c>
    </row>
    <row r="1823" customFormat="false" ht="14.25" hidden="false" customHeight="false" outlineLevel="0" collapsed="false">
      <c r="A1823" s="0" t="n">
        <v>1822</v>
      </c>
      <c r="B1823" s="0" t="n">
        <f aca="false">IF('Boletins Nuppa Site'!A1823&lt;&gt;0,'Boletins Nuppa Site'!A1823,"NULL")</f>
        <v>83</v>
      </c>
      <c r="C1823" s="0" t="n">
        <v>32</v>
      </c>
      <c r="D1823" s="0" t="str">
        <f aca="false">IF('Boletins Nuppa Site'!G1823&lt;&gt;0,'Boletins Nuppa Site'!G1823,"NULL")</f>
        <v> 30.00</v>
      </c>
      <c r="E1823" s="30" t="str">
        <f aca="false">IF('Boletins Nuppa Site'!H1823&lt;&gt;0,'Boletins Nuppa Site'!H1823,"NULL")</f>
        <v> 40.00</v>
      </c>
      <c r="F1823" s="30" t="str">
        <f aca="false">IF('Boletins Nuppa Site'!I1823&lt;&gt;0,'Boletins Nuppa Site'!I1823,"NULL")</f>
        <v> 50.00</v>
      </c>
      <c r="G1823" s="30" t="str">
        <f aca="false">IF('Boletins Nuppa Site'!J1823&lt;&gt;0,'Boletins Nuppa Site'!J1823,"NULL")</f>
        <v> 42.50</v>
      </c>
      <c r="H1823" s="30" t="str">
        <f aca="false">IF('Boletins Nuppa Site'!K1823&lt;&gt;0,'Boletins Nuppa Site'!K1823,"NULL")</f>
        <v> 42.50</v>
      </c>
      <c r="I1823" s="0" t="str">
        <f aca="false">"INSERT INTO COTACAO (cot_id, cot_blt_id, cot_pap_id, cot_prc_comum, cot_prc_min, cot_prc_max, cot_prc_med, cot_prc_mediana) VALUES ("&amp;A1823&amp;", "&amp;B1823&amp;", "&amp;C1823&amp;", "&amp;D1823&amp;", "&amp;E1823&amp;", "&amp;F1823&amp;", "&amp;G1823&amp;", "&amp;H1823&amp;");"</f>
        <v>INSERT INTO COTACAO (cot_id, cot_blt_id, cot_pap_id, cot_prc_comum, cot_prc_min, cot_prc_max, cot_prc_med, cot_prc_mediana) VALUES (1822, 83, 32,  30.00,  40.00,  50.00,  42.50,  42.50);</v>
      </c>
      <c r="J1823" s="0" t="str">
        <f aca="false">"UPDATE COTACAO SET cot_id = "&amp;A1823&amp;", cot_blt_id = "&amp;B1823&amp;", cot_pap_id = "&amp;C1823&amp;", cot_prc_comum = "&amp;D1823&amp;", cot_prc_min = "&amp;E1823&amp;", cot_prc_max = "&amp;F1823&amp;", cot_prc_med = "&amp;G1823&amp;", cot_prc_mediana = "&amp;H1823&amp;" WHERE cot_id = "&amp;A1823&amp;";"</f>
        <v>UPDATE COTACAO SET cot_id = 1822, cot_blt_id = 83, cot_pap_id = 32, cot_prc_comum =  30.00, cot_prc_min =  40.00, cot_prc_max =  50.00, cot_prc_med =  42.50, cot_prc_mediana =  42.50 WHERE cot_id = 1822;</v>
      </c>
    </row>
    <row r="1824" customFormat="false" ht="14.25" hidden="false" customHeight="false" outlineLevel="0" collapsed="false">
      <c r="A1824" s="0" t="n">
        <v>1823</v>
      </c>
      <c r="B1824" s="0" t="n">
        <f aca="false">IF('Boletins Nuppa Site'!A1824&lt;&gt;0,'Boletins Nuppa Site'!A1824,"NULL")</f>
        <v>83</v>
      </c>
      <c r="C1824" s="0" t="n">
        <v>33</v>
      </c>
      <c r="D1824" s="0" t="str">
        <f aca="false">IF('Boletins Nuppa Site'!G1824&lt;&gt;0,'Boletins Nuppa Site'!G1824,"NULL")</f>
        <v> 90.00</v>
      </c>
      <c r="E1824" s="30" t="str">
        <f aca="false">IF('Boletins Nuppa Site'!H1824&lt;&gt;0,'Boletins Nuppa Site'!H1824,"NULL")</f>
        <v> 120.00</v>
      </c>
      <c r="F1824" s="30" t="str">
        <f aca="false">IF('Boletins Nuppa Site'!I1824&lt;&gt;0,'Boletins Nuppa Site'!I1824,"NULL")</f>
        <v> 140.00</v>
      </c>
      <c r="G1824" s="30" t="str">
        <f aca="false">IF('Boletins Nuppa Site'!J1824&lt;&gt;0,'Boletins Nuppa Site'!J1824,"NULL")</f>
        <v> 116.67</v>
      </c>
      <c r="H1824" s="30" t="str">
        <f aca="false">IF('Boletins Nuppa Site'!K1824&lt;&gt;0,'Boletins Nuppa Site'!K1824,"NULL")</f>
        <v> 120.00</v>
      </c>
      <c r="I1824" s="0" t="str">
        <f aca="false">"INSERT INTO COTACAO (cot_id, cot_blt_id, cot_pap_id, cot_prc_comum, cot_prc_min, cot_prc_max, cot_prc_med, cot_prc_mediana) VALUES ("&amp;A1824&amp;", "&amp;B1824&amp;", "&amp;C1824&amp;", "&amp;D1824&amp;", "&amp;E1824&amp;", "&amp;F1824&amp;", "&amp;G1824&amp;", "&amp;H1824&amp;");"</f>
        <v>INSERT INTO COTACAO (cot_id, cot_blt_id, cot_pap_id, cot_prc_comum, cot_prc_min, cot_prc_max, cot_prc_med, cot_prc_mediana) VALUES (1823, 83, 33,  90.00,  120.00,  140.00,  116.67,  120.00);</v>
      </c>
      <c r="J1824" s="0" t="str">
        <f aca="false">"UPDATE COTACAO SET cot_id = "&amp;A1824&amp;", cot_blt_id = "&amp;B1824&amp;", cot_pap_id = "&amp;C1824&amp;", cot_prc_comum = "&amp;D1824&amp;", cot_prc_min = "&amp;E1824&amp;", cot_prc_max = "&amp;F1824&amp;", cot_prc_med = "&amp;G1824&amp;", cot_prc_mediana = "&amp;H1824&amp;" WHERE cot_id = "&amp;A1824&amp;";"</f>
        <v>UPDATE COTACAO SET cot_id = 1823, cot_blt_id = 83, cot_pap_id = 33, cot_prc_comum =  90.00, cot_prc_min =  120.00, cot_prc_max =  140.00, cot_prc_med =  116.67, cot_prc_mediana =  120.00 WHERE cot_id = 1823;</v>
      </c>
    </row>
    <row r="1825" customFormat="false" ht="14.25" hidden="false" customHeight="false" outlineLevel="0" collapsed="false">
      <c r="A1825" s="0" t="n">
        <v>1824</v>
      </c>
      <c r="B1825" s="0" t="n">
        <f aca="false">IF('Boletins Nuppa Site'!A1825&lt;&gt;0,'Boletins Nuppa Site'!A1825,"NULL")</f>
        <v>83</v>
      </c>
      <c r="C1825" s="0" t="n">
        <v>34</v>
      </c>
      <c r="D1825" s="0" t="str">
        <f aca="false">IF('Boletins Nuppa Site'!G1825&lt;&gt;0,'Boletins Nuppa Site'!G1825,"NULL")</f>
        <v> 60.00</v>
      </c>
      <c r="E1825" s="30" t="str">
        <f aca="false">IF('Boletins Nuppa Site'!H1825&lt;&gt;0,'Boletins Nuppa Site'!H1825,"NULL")</f>
        <v> 60.00</v>
      </c>
      <c r="F1825" s="30" t="str">
        <f aca="false">IF('Boletins Nuppa Site'!I1825&lt;&gt;0,'Boletins Nuppa Site'!I1825,"NULL")</f>
        <v> 80.00</v>
      </c>
      <c r="G1825" s="30" t="str">
        <f aca="false">IF('Boletins Nuppa Site'!J1825&lt;&gt;0,'Boletins Nuppa Site'!J1825,"NULL")</f>
        <v> 67.50</v>
      </c>
      <c r="H1825" s="30" t="str">
        <f aca="false">IF('Boletins Nuppa Site'!K1825&lt;&gt;0,'Boletins Nuppa Site'!K1825,"NULL")</f>
        <v> 67.50</v>
      </c>
      <c r="I1825" s="0" t="str">
        <f aca="false">"INSERT INTO COTACAO (cot_id, cot_blt_id, cot_pap_id, cot_prc_comum, cot_prc_min, cot_prc_max, cot_prc_med, cot_prc_mediana) VALUES ("&amp;A1825&amp;", "&amp;B1825&amp;", "&amp;C1825&amp;", "&amp;D1825&amp;", "&amp;E1825&amp;", "&amp;F1825&amp;", "&amp;G1825&amp;", "&amp;H1825&amp;");"</f>
        <v>INSERT INTO COTACAO (cot_id, cot_blt_id, cot_pap_id, cot_prc_comum, cot_prc_min, cot_prc_max, cot_prc_med, cot_prc_mediana) VALUES (1824, 83, 34,  60.00,  60.00,  80.00,  67.50,  67.50);</v>
      </c>
      <c r="J1825" s="0" t="str">
        <f aca="false">"UPDATE COTACAO SET cot_id = "&amp;A1825&amp;", cot_blt_id = "&amp;B1825&amp;", cot_pap_id = "&amp;C1825&amp;", cot_prc_comum = "&amp;D1825&amp;", cot_prc_min = "&amp;E1825&amp;", cot_prc_max = "&amp;F1825&amp;", cot_prc_med = "&amp;G1825&amp;", cot_prc_mediana = "&amp;H1825&amp;" WHERE cot_id = "&amp;A1825&amp;";"</f>
        <v>UPDATE COTACAO SET cot_id = 1824, cot_blt_id = 83, cot_pap_id = 34, cot_prc_comum =  60.00, cot_prc_min =  60.00, cot_prc_max =  80.00, cot_prc_med =  67.50, cot_prc_mediana =  67.50 WHERE cot_id = 1824;</v>
      </c>
    </row>
    <row r="1826" customFormat="false" ht="14.25" hidden="false" customHeight="false" outlineLevel="0" collapsed="false">
      <c r="A1826" s="0" t="n">
        <v>1825</v>
      </c>
      <c r="B1826" s="0" t="n">
        <f aca="false">IF('Boletins Nuppa Site'!A1826&lt;&gt;0,'Boletins Nuppa Site'!A1826,"NULL")</f>
        <v>83</v>
      </c>
      <c r="C1826" s="0" t="n">
        <v>35</v>
      </c>
      <c r="D1826" s="0" t="str">
        <f aca="false">IF('Boletins Nuppa Site'!G1826&lt;&gt;0,'Boletins Nuppa Site'!G1826,"NULL")</f>
        <v> 110.00</v>
      </c>
      <c r="E1826" s="30" t="str">
        <f aca="false">IF('Boletins Nuppa Site'!H1826&lt;&gt;0,'Boletins Nuppa Site'!H1826,"NULL")</f>
        <v> 140.00</v>
      </c>
      <c r="F1826" s="30" t="str">
        <f aca="false">IF('Boletins Nuppa Site'!I1826&lt;&gt;0,'Boletins Nuppa Site'!I1826,"NULL")</f>
        <v> 160.00</v>
      </c>
      <c r="G1826" s="30" t="str">
        <f aca="false">IF('Boletins Nuppa Site'!J1826&lt;&gt;0,'Boletins Nuppa Site'!J1826,"NULL")</f>
        <v> 138.00</v>
      </c>
      <c r="H1826" s="30" t="str">
        <f aca="false">IF('Boletins Nuppa Site'!K1826&lt;&gt;0,'Boletins Nuppa Site'!K1826,"NULL")</f>
        <v> 140.00</v>
      </c>
      <c r="I1826" s="0" t="str">
        <f aca="false">"INSERT INTO COTACAO (cot_id, cot_blt_id, cot_pap_id, cot_prc_comum, cot_prc_min, cot_prc_max, cot_prc_med, cot_prc_mediana) VALUES ("&amp;A1826&amp;", "&amp;B1826&amp;", "&amp;C1826&amp;", "&amp;D1826&amp;", "&amp;E1826&amp;", "&amp;F1826&amp;", "&amp;G1826&amp;", "&amp;H1826&amp;");"</f>
        <v>INSERT INTO COTACAO (cot_id, cot_blt_id, cot_pap_id, cot_prc_comum, cot_prc_min, cot_prc_max, cot_prc_med, cot_prc_mediana) VALUES (1825, 83, 35,  110.00,  140.00,  160.00,  138.00,  140.00);</v>
      </c>
      <c r="J1826" s="0" t="str">
        <f aca="false">"UPDATE COTACAO SET cot_id = "&amp;A1826&amp;", cot_blt_id = "&amp;B1826&amp;", cot_pap_id = "&amp;C1826&amp;", cot_prc_comum = "&amp;D1826&amp;", cot_prc_min = "&amp;E1826&amp;", cot_prc_max = "&amp;F1826&amp;", cot_prc_med = "&amp;G1826&amp;", cot_prc_mediana = "&amp;H1826&amp;" WHERE cot_id = "&amp;A1826&amp;";"</f>
        <v>UPDATE COTACAO SET cot_id = 1825, cot_blt_id = 83, cot_pap_id = 35, cot_prc_comum =  110.00, cot_prc_min =  140.00, cot_prc_max =  160.00, cot_prc_med =  138.00, cot_prc_mediana =  140.00 WHERE cot_id = 1825;</v>
      </c>
    </row>
    <row r="1827" customFormat="false" ht="14.25" hidden="false" customHeight="false" outlineLevel="0" collapsed="false">
      <c r="A1827" s="0" t="n">
        <v>1826</v>
      </c>
      <c r="B1827" s="0" t="n">
        <f aca="false">IF('Boletins Nuppa Site'!A1827&lt;&gt;0,'Boletins Nuppa Site'!A1827,"NULL")</f>
        <v>83</v>
      </c>
      <c r="C1827" s="0" t="n">
        <v>36</v>
      </c>
      <c r="D1827" s="0" t="str">
        <f aca="false">IF('Boletins Nuppa Site'!G1827&lt;&gt;0,'Boletins Nuppa Site'!G1827,"NULL")</f>
        <v>NULL</v>
      </c>
      <c r="E1827" s="30" t="str">
        <f aca="false">IF('Boletins Nuppa Site'!H1827&lt;&gt;0,'Boletins Nuppa Site'!H1827,"NULL")</f>
        <v>NULL</v>
      </c>
      <c r="F1827" s="30" t="str">
        <f aca="false">IF('Boletins Nuppa Site'!I1827&lt;&gt;0,'Boletins Nuppa Site'!I1827,"NULL")</f>
        <v>NULL</v>
      </c>
      <c r="G1827" s="30" t="str">
        <f aca="false">IF('Boletins Nuppa Site'!J1827&lt;&gt;0,'Boletins Nuppa Site'!J1827,"NULL")</f>
        <v>NULL</v>
      </c>
      <c r="H1827" s="30" t="str">
        <f aca="false">IF('Boletins Nuppa Site'!K1827&lt;&gt;0,'Boletins Nuppa Site'!K1827,"NULL")</f>
        <v>NULL</v>
      </c>
      <c r="I1827" s="0" t="str">
        <f aca="false">"INSERT INTO COTACAO (cot_id, cot_blt_id, cot_pap_id, cot_prc_comum, cot_prc_min, cot_prc_max, cot_prc_med, cot_prc_mediana) VALUES ("&amp;A1827&amp;", "&amp;B1827&amp;", "&amp;C1827&amp;", "&amp;D1827&amp;", "&amp;E1827&amp;", "&amp;F1827&amp;", "&amp;G1827&amp;", "&amp;H1827&amp;");"</f>
        <v>INSERT INTO COTACAO (cot_id, cot_blt_id, cot_pap_id, cot_prc_comum, cot_prc_min, cot_prc_max, cot_prc_med, cot_prc_mediana) VALUES (1826, 83, 36, NULL, NULL, NULL, NULL, NULL);</v>
      </c>
      <c r="J1827" s="0" t="str">
        <f aca="false">"UPDATE COTACAO SET cot_id = "&amp;A1827&amp;", cot_blt_id = "&amp;B1827&amp;", cot_pap_id = "&amp;C1827&amp;", cot_prc_comum = "&amp;D1827&amp;", cot_prc_min = "&amp;E1827&amp;", cot_prc_max = "&amp;F1827&amp;", cot_prc_med = "&amp;G1827&amp;", cot_prc_mediana = "&amp;H1827&amp;" WHERE cot_id = "&amp;A1827&amp;";"</f>
        <v>UPDATE COTACAO SET cot_id = 1826, cot_blt_id = 83, cot_pap_id = 36, cot_prc_comum = NULL, cot_prc_min = NULL, cot_prc_max = NULL, cot_prc_med = NULL, cot_prc_mediana = NULL WHERE cot_id = 1826;</v>
      </c>
    </row>
    <row r="1828" customFormat="false" ht="14.25" hidden="false" customHeight="false" outlineLevel="0" collapsed="false">
      <c r="A1828" s="0" t="n">
        <v>1827</v>
      </c>
      <c r="B1828" s="0" t="n">
        <f aca="false">IF('Boletins Nuppa Site'!A1828&lt;&gt;0,'Boletins Nuppa Site'!A1828,"NULL")</f>
        <v>83</v>
      </c>
      <c r="C1828" s="0" t="n">
        <v>37</v>
      </c>
      <c r="D1828" s="0" t="str">
        <f aca="false">IF('Boletins Nuppa Site'!G1828&lt;&gt;0,'Boletins Nuppa Site'!G1828,"NULL")</f>
        <v>NULL</v>
      </c>
      <c r="E1828" s="30" t="str">
        <f aca="false">IF('Boletins Nuppa Site'!H1828&lt;&gt;0,'Boletins Nuppa Site'!H1828,"NULL")</f>
        <v>NULL</v>
      </c>
      <c r="F1828" s="30" t="str">
        <f aca="false">IF('Boletins Nuppa Site'!I1828&lt;&gt;0,'Boletins Nuppa Site'!I1828,"NULL")</f>
        <v>NULL</v>
      </c>
      <c r="G1828" s="30" t="str">
        <f aca="false">IF('Boletins Nuppa Site'!J1828&lt;&gt;0,'Boletins Nuppa Site'!J1828,"NULL")</f>
        <v>NULL</v>
      </c>
      <c r="H1828" s="30" t="str">
        <f aca="false">IF('Boletins Nuppa Site'!K1828&lt;&gt;0,'Boletins Nuppa Site'!K1828,"NULL")</f>
        <v>NULL</v>
      </c>
      <c r="I1828" s="0" t="str">
        <f aca="false">"INSERT INTO COTACAO (cot_id, cot_blt_id, cot_pap_id, cot_prc_comum, cot_prc_min, cot_prc_max, cot_prc_med, cot_prc_mediana) VALUES ("&amp;A1828&amp;", "&amp;B1828&amp;", "&amp;C1828&amp;", "&amp;D1828&amp;", "&amp;E1828&amp;", "&amp;F1828&amp;", "&amp;G1828&amp;", "&amp;H1828&amp;");"</f>
        <v>INSERT INTO COTACAO (cot_id, cot_blt_id, cot_pap_id, cot_prc_comum, cot_prc_min, cot_prc_max, cot_prc_med, cot_prc_mediana) VALUES (1827, 83, 37, NULL, NULL, NULL, NULL, NULL);</v>
      </c>
      <c r="J1828" s="0" t="str">
        <f aca="false">"UPDATE COTACAO SET cot_id = "&amp;A1828&amp;", cot_blt_id = "&amp;B1828&amp;", cot_pap_id = "&amp;C1828&amp;", cot_prc_comum = "&amp;D1828&amp;", cot_prc_min = "&amp;E1828&amp;", cot_prc_max = "&amp;F1828&amp;", cot_prc_med = "&amp;G1828&amp;", cot_prc_mediana = "&amp;H1828&amp;" WHERE cot_id = "&amp;A1828&amp;";"</f>
        <v>UPDATE COTACAO SET cot_id = 1827, cot_blt_id = 83, cot_pap_id = 37, cot_prc_comum = NULL, cot_prc_min = NULL, cot_prc_max = NULL, cot_prc_med = NULL, cot_prc_mediana = NULL WHERE cot_id = 1827;</v>
      </c>
    </row>
    <row r="1829" customFormat="false" ht="14.25" hidden="false" customHeight="false" outlineLevel="0" collapsed="false">
      <c r="A1829" s="0" t="n">
        <v>1828</v>
      </c>
      <c r="B1829" s="0" t="n">
        <f aca="false">IF('Boletins Nuppa Site'!A1829&lt;&gt;0,'Boletins Nuppa Site'!A1829,"NULL")</f>
        <v>83</v>
      </c>
      <c r="C1829" s="0" t="n">
        <v>38</v>
      </c>
      <c r="D1829" s="0" t="str">
        <f aca="false">IF('Boletins Nuppa Site'!G1829&lt;&gt;0,'Boletins Nuppa Site'!G1829,"NULL")</f>
        <v>NULL</v>
      </c>
      <c r="E1829" s="30" t="str">
        <f aca="false">IF('Boletins Nuppa Site'!H1829&lt;&gt;0,'Boletins Nuppa Site'!H1829,"NULL")</f>
        <v>NULL</v>
      </c>
      <c r="F1829" s="30" t="str">
        <f aca="false">IF('Boletins Nuppa Site'!I1829&lt;&gt;0,'Boletins Nuppa Site'!I1829,"NULL")</f>
        <v>NULL</v>
      </c>
      <c r="G1829" s="30" t="str">
        <f aca="false">IF('Boletins Nuppa Site'!J1829&lt;&gt;0,'Boletins Nuppa Site'!J1829,"NULL")</f>
        <v>NULL</v>
      </c>
      <c r="H1829" s="30" t="str">
        <f aca="false">IF('Boletins Nuppa Site'!K1829&lt;&gt;0,'Boletins Nuppa Site'!K1829,"NULL")</f>
        <v>NULL</v>
      </c>
      <c r="I1829" s="0" t="str">
        <f aca="false">"INSERT INTO COTACAO (cot_id, cot_blt_id, cot_pap_id, cot_prc_comum, cot_prc_min, cot_prc_max, cot_prc_med, cot_prc_mediana) VALUES ("&amp;A1829&amp;", "&amp;B1829&amp;", "&amp;C1829&amp;", "&amp;D1829&amp;", "&amp;E1829&amp;", "&amp;F1829&amp;", "&amp;G1829&amp;", "&amp;H1829&amp;");"</f>
        <v>INSERT INTO COTACAO (cot_id, cot_blt_id, cot_pap_id, cot_prc_comum, cot_prc_min, cot_prc_max, cot_prc_med, cot_prc_mediana) VALUES (1828, 83, 38, NULL, NULL, NULL, NULL, NULL);</v>
      </c>
      <c r="J1829" s="0" t="str">
        <f aca="false">"UPDATE COTACAO SET cot_id = "&amp;A1829&amp;", cot_blt_id = "&amp;B1829&amp;", cot_pap_id = "&amp;C1829&amp;", cot_prc_comum = "&amp;D1829&amp;", cot_prc_min = "&amp;E1829&amp;", cot_prc_max = "&amp;F1829&amp;", cot_prc_med = "&amp;G1829&amp;", cot_prc_mediana = "&amp;H1829&amp;" WHERE cot_id = "&amp;A1829&amp;";"</f>
        <v>UPDATE COTACAO SET cot_id = 1828, cot_blt_id = 83, cot_pap_id = 38, cot_prc_comum = NULL, cot_prc_min = NULL, cot_prc_max = NULL, cot_prc_med = NULL, cot_prc_mediana = NULL WHERE cot_id = 1828;</v>
      </c>
    </row>
    <row r="1830" customFormat="false" ht="14.25" hidden="false" customHeight="false" outlineLevel="0" collapsed="false">
      <c r="A1830" s="0" t="n">
        <v>1829</v>
      </c>
      <c r="B1830" s="0" t="n">
        <f aca="false">IF('Boletins Nuppa Site'!A1830&lt;&gt;0,'Boletins Nuppa Site'!A1830,"NULL")</f>
        <v>83</v>
      </c>
      <c r="C1830" s="0" t="n">
        <v>39</v>
      </c>
      <c r="D1830" s="0" t="str">
        <f aca="false">IF('Boletins Nuppa Site'!G1830&lt;&gt;0,'Boletins Nuppa Site'!G1830,"NULL")</f>
        <v> 60.00</v>
      </c>
      <c r="E1830" s="30" t="str">
        <f aca="false">IF('Boletins Nuppa Site'!H1830&lt;&gt;0,'Boletins Nuppa Site'!H1830,"NULL")</f>
        <v> 60.00</v>
      </c>
      <c r="F1830" s="30" t="str">
        <f aca="false">IF('Boletins Nuppa Site'!I1830&lt;&gt;0,'Boletins Nuppa Site'!I1830,"NULL")</f>
        <v> 60.00</v>
      </c>
      <c r="G1830" s="30" t="str">
        <f aca="false">IF('Boletins Nuppa Site'!J1830&lt;&gt;0,'Boletins Nuppa Site'!J1830,"NULL")</f>
        <v> 60.00</v>
      </c>
      <c r="H1830" s="30" t="str">
        <f aca="false">IF('Boletins Nuppa Site'!K1830&lt;&gt;0,'Boletins Nuppa Site'!K1830,"NULL")</f>
        <v> 60.00</v>
      </c>
      <c r="I1830" s="0" t="str">
        <f aca="false">"INSERT INTO COTACAO (cot_id, cot_blt_id, cot_pap_id, cot_prc_comum, cot_prc_min, cot_prc_max, cot_prc_med, cot_prc_mediana) VALUES ("&amp;A1830&amp;", "&amp;B1830&amp;", "&amp;C1830&amp;", "&amp;D1830&amp;", "&amp;E1830&amp;", "&amp;F1830&amp;", "&amp;G1830&amp;", "&amp;H1830&amp;");"</f>
        <v>INSERT INTO COTACAO (cot_id, cot_blt_id, cot_pap_id, cot_prc_comum, cot_prc_min, cot_prc_max, cot_prc_med, cot_prc_mediana) VALUES (1829, 83, 39,  60.00,  60.00,  60.00,  60.00,  60.00);</v>
      </c>
      <c r="J1830" s="0" t="str">
        <f aca="false">"UPDATE COTACAO SET cot_id = "&amp;A1830&amp;", cot_blt_id = "&amp;B1830&amp;", cot_pap_id = "&amp;C1830&amp;", cot_prc_comum = "&amp;D1830&amp;", cot_prc_min = "&amp;E1830&amp;", cot_prc_max = "&amp;F1830&amp;", cot_prc_med = "&amp;G1830&amp;", cot_prc_mediana = "&amp;H1830&amp;" WHERE cot_id = "&amp;A1830&amp;";"</f>
        <v>UPDATE COTACAO SET cot_id = 1829, cot_blt_id = 83, cot_pap_id = 39, cot_prc_comum =  60.00, cot_prc_min =  60.00, cot_prc_max =  60.00, cot_prc_med =  60.00, cot_prc_mediana =  60.00 WHERE cot_id = 1829;</v>
      </c>
    </row>
    <row r="1831" customFormat="false" ht="14.25" hidden="false" customHeight="false" outlineLevel="0" collapsed="false">
      <c r="A1831" s="0" t="n">
        <v>1830</v>
      </c>
      <c r="B1831" s="0" t="n">
        <f aca="false">IF('Boletins Nuppa Site'!A1831&lt;&gt;0,'Boletins Nuppa Site'!A1831,"NULL")</f>
        <v>83</v>
      </c>
      <c r="C1831" s="0" t="n">
        <v>40</v>
      </c>
      <c r="D1831" s="0" t="str">
        <f aca="false">IF('Boletins Nuppa Site'!G1831&lt;&gt;0,'Boletins Nuppa Site'!G1831,"NULL")</f>
        <v>NULL</v>
      </c>
      <c r="E1831" s="30" t="str">
        <f aca="false">IF('Boletins Nuppa Site'!H1831&lt;&gt;0,'Boletins Nuppa Site'!H1831,"NULL")</f>
        <v>NULL</v>
      </c>
      <c r="F1831" s="30" t="str">
        <f aca="false">IF('Boletins Nuppa Site'!I1831&lt;&gt;0,'Boletins Nuppa Site'!I1831,"NULL")</f>
        <v>NULL</v>
      </c>
      <c r="G1831" s="30" t="str">
        <f aca="false">IF('Boletins Nuppa Site'!J1831&lt;&gt;0,'Boletins Nuppa Site'!J1831,"NULL")</f>
        <v>NULL</v>
      </c>
      <c r="H1831" s="30" t="str">
        <f aca="false">IF('Boletins Nuppa Site'!K1831&lt;&gt;0,'Boletins Nuppa Site'!K1831,"NULL")</f>
        <v>NULL</v>
      </c>
      <c r="I1831" s="0" t="str">
        <f aca="false">"INSERT INTO COTACAO (cot_id, cot_blt_id, cot_pap_id, cot_prc_comum, cot_prc_min, cot_prc_max, cot_prc_med, cot_prc_mediana) VALUES ("&amp;A1831&amp;", "&amp;B1831&amp;", "&amp;C1831&amp;", "&amp;D1831&amp;", "&amp;E1831&amp;", "&amp;F1831&amp;", "&amp;G1831&amp;", "&amp;H1831&amp;");"</f>
        <v>INSERT INTO COTACAO (cot_id, cot_blt_id, cot_pap_id, cot_prc_comum, cot_prc_min, cot_prc_max, cot_prc_med, cot_prc_mediana) VALUES (1830, 83, 40, NULL, NULL, NULL, NULL, NULL);</v>
      </c>
      <c r="J1831" s="0" t="str">
        <f aca="false">"UPDATE COTACAO SET cot_id = "&amp;A1831&amp;", cot_blt_id = "&amp;B1831&amp;", cot_pap_id = "&amp;C1831&amp;", cot_prc_comum = "&amp;D1831&amp;", cot_prc_min = "&amp;E1831&amp;", cot_prc_max = "&amp;F1831&amp;", cot_prc_med = "&amp;G1831&amp;", cot_prc_mediana = "&amp;H1831&amp;" WHERE cot_id = "&amp;A1831&amp;";"</f>
        <v>UPDATE COTACAO SET cot_id = 1830, cot_blt_id = 83, cot_pap_id = 40, cot_prc_comum = NULL, cot_prc_min = NULL, cot_prc_max = NULL, cot_prc_med = NULL, cot_prc_mediana = NULL WHERE cot_id = 1830;</v>
      </c>
    </row>
    <row r="1832" customFormat="false" ht="14.25" hidden="false" customHeight="false" outlineLevel="0" collapsed="false">
      <c r="A1832" s="0" t="n">
        <v>1831</v>
      </c>
      <c r="B1832" s="0" t="n">
        <f aca="false">IF('Boletins Nuppa Site'!A1832&lt;&gt;0,'Boletins Nuppa Site'!A1832,"NULL")</f>
        <v>84</v>
      </c>
      <c r="C1832" s="0" t="n">
        <v>1</v>
      </c>
      <c r="D1832" s="0" t="str">
        <f aca="false">IF('Boletins Nuppa Site'!G1832&lt;&gt;0,'Boletins Nuppa Site'!G1832,"NULL")</f>
        <v> 48.00</v>
      </c>
      <c r="E1832" s="30" t="str">
        <f aca="false">IF('Boletins Nuppa Site'!H1832&lt;&gt;0,'Boletins Nuppa Site'!H1832,"NULL")</f>
        <v> 48.00</v>
      </c>
      <c r="F1832" s="30" t="str">
        <f aca="false">IF('Boletins Nuppa Site'!I1832&lt;&gt;0,'Boletins Nuppa Site'!I1832,"NULL")</f>
        <v> 72.00</v>
      </c>
      <c r="G1832" s="30" t="str">
        <f aca="false">IF('Boletins Nuppa Site'!J1832&lt;&gt;0,'Boletins Nuppa Site'!J1832,"NULL")</f>
        <v> 60.00</v>
      </c>
      <c r="H1832" s="30" t="str">
        <f aca="false">IF('Boletins Nuppa Site'!K1832&lt;&gt;0,'Boletins Nuppa Site'!K1832,"NULL")</f>
        <v> 60.00</v>
      </c>
      <c r="I1832" s="0" t="str">
        <f aca="false">"INSERT INTO COTACAO (cot_id, cot_blt_id, cot_pap_id, cot_prc_comum, cot_prc_min, cot_prc_max, cot_prc_med, cot_prc_mediana) VALUES ("&amp;A1832&amp;", "&amp;B1832&amp;", "&amp;C1832&amp;", "&amp;D1832&amp;", "&amp;E1832&amp;", "&amp;F1832&amp;", "&amp;G1832&amp;", "&amp;H1832&amp;");"</f>
        <v>INSERT INTO COTACAO (cot_id, cot_blt_id, cot_pap_id, cot_prc_comum, cot_prc_min, cot_prc_max, cot_prc_med, cot_prc_mediana) VALUES (1831, 84, 1,  48.00,  48.00,  72.00,  60.00,  60.00);</v>
      </c>
      <c r="J1832" s="0" t="str">
        <f aca="false">"UPDATE COTACAO SET cot_id = "&amp;A1832&amp;", cot_blt_id = "&amp;B1832&amp;", cot_pap_id = "&amp;C1832&amp;", cot_prc_comum = "&amp;D1832&amp;", cot_prc_min = "&amp;E1832&amp;", cot_prc_max = "&amp;F1832&amp;", cot_prc_med = "&amp;G1832&amp;", cot_prc_mediana = "&amp;H1832&amp;" WHERE cot_id = "&amp;A1832&amp;";"</f>
        <v>UPDATE COTACAO SET cot_id = 1831, cot_blt_id = 84, cot_pap_id = 1, cot_prc_comum =  48.00, cot_prc_min =  48.00, cot_prc_max =  72.00, cot_prc_med =  60.00, cot_prc_mediana =  60.00 WHERE cot_id = 1831;</v>
      </c>
    </row>
    <row r="1833" customFormat="false" ht="14.25" hidden="false" customHeight="false" outlineLevel="0" collapsed="false">
      <c r="A1833" s="0" t="n">
        <v>1832</v>
      </c>
      <c r="B1833" s="0" t="n">
        <f aca="false">IF('Boletins Nuppa Site'!A1833&lt;&gt;0,'Boletins Nuppa Site'!A1833,"NULL")</f>
        <v>84</v>
      </c>
      <c r="C1833" s="0" t="n">
        <v>2</v>
      </c>
      <c r="D1833" s="0" t="str">
        <f aca="false">IF('Boletins Nuppa Site'!G1833&lt;&gt;0,'Boletins Nuppa Site'!G1833,"NULL")</f>
        <v> 72.00</v>
      </c>
      <c r="E1833" s="30" t="str">
        <f aca="false">IF('Boletins Nuppa Site'!H1833&lt;&gt;0,'Boletins Nuppa Site'!H1833,"NULL")</f>
        <v> 72.00</v>
      </c>
      <c r="F1833" s="30" t="str">
        <f aca="false">IF('Boletins Nuppa Site'!I1833&lt;&gt;0,'Boletins Nuppa Site'!I1833,"NULL")</f>
        <v> 96.00</v>
      </c>
      <c r="G1833" s="30" t="str">
        <f aca="false">IF('Boletins Nuppa Site'!J1833&lt;&gt;0,'Boletins Nuppa Site'!J1833,"NULL")</f>
        <v> 81.00</v>
      </c>
      <c r="H1833" s="30" t="str">
        <f aca="false">IF('Boletins Nuppa Site'!K1833&lt;&gt;0,'Boletins Nuppa Site'!K1833,"NULL")</f>
        <v> 78.00</v>
      </c>
      <c r="I1833" s="0" t="str">
        <f aca="false">"INSERT INTO COTACAO (cot_id, cot_blt_id, cot_pap_id, cot_prc_comum, cot_prc_min, cot_prc_max, cot_prc_med, cot_prc_mediana) VALUES ("&amp;A1833&amp;", "&amp;B1833&amp;", "&amp;C1833&amp;", "&amp;D1833&amp;", "&amp;E1833&amp;", "&amp;F1833&amp;", "&amp;G1833&amp;", "&amp;H1833&amp;");"</f>
        <v>INSERT INTO COTACAO (cot_id, cot_blt_id, cot_pap_id, cot_prc_comum, cot_prc_min, cot_prc_max, cot_prc_med, cot_prc_mediana) VALUES (1832, 84, 2,  72.00,  72.00,  96.00,  81.00,  78.00);</v>
      </c>
      <c r="J1833" s="0" t="str">
        <f aca="false">"UPDATE COTACAO SET cot_id = "&amp;A1833&amp;", cot_blt_id = "&amp;B1833&amp;", cot_pap_id = "&amp;C1833&amp;", cot_prc_comum = "&amp;D1833&amp;", cot_prc_min = "&amp;E1833&amp;", cot_prc_max = "&amp;F1833&amp;", cot_prc_med = "&amp;G1833&amp;", cot_prc_mediana = "&amp;H1833&amp;" WHERE cot_id = "&amp;A1833&amp;";"</f>
        <v>UPDATE COTACAO SET cot_id = 1832, cot_blt_id = 84, cot_pap_id = 2, cot_prc_comum =  72.00, cot_prc_min =  72.00, cot_prc_max =  96.00, cot_prc_med =  81.00, cot_prc_mediana =  78.00 WHERE cot_id = 1832;</v>
      </c>
    </row>
    <row r="1834" customFormat="false" ht="14.25" hidden="false" customHeight="false" outlineLevel="0" collapsed="false">
      <c r="A1834" s="0" t="n">
        <v>1833</v>
      </c>
      <c r="B1834" s="0" t="n">
        <f aca="false">IF('Boletins Nuppa Site'!A1834&lt;&gt;0,'Boletins Nuppa Site'!A1834,"NULL")</f>
        <v>84</v>
      </c>
      <c r="C1834" s="0" t="n">
        <v>3</v>
      </c>
      <c r="D1834" s="0" t="str">
        <f aca="false">IF('Boletins Nuppa Site'!G1834&lt;&gt;0,'Boletins Nuppa Site'!G1834,"NULL")</f>
        <v> 36.00</v>
      </c>
      <c r="E1834" s="30" t="str">
        <f aca="false">IF('Boletins Nuppa Site'!H1834&lt;&gt;0,'Boletins Nuppa Site'!H1834,"NULL")</f>
        <v> 48.00</v>
      </c>
      <c r="F1834" s="30" t="str">
        <f aca="false">IF('Boletins Nuppa Site'!I1834&lt;&gt;0,'Boletins Nuppa Site'!I1834,"NULL")</f>
        <v> 60.00</v>
      </c>
      <c r="G1834" s="30" t="str">
        <f aca="false">IF('Boletins Nuppa Site'!J1834&lt;&gt;0,'Boletins Nuppa Site'!J1834,"NULL")</f>
        <v> 46.80</v>
      </c>
      <c r="H1834" s="30" t="str">
        <f aca="false">IF('Boletins Nuppa Site'!K1834&lt;&gt;0,'Boletins Nuppa Site'!K1834,"NULL")</f>
        <v> 48.00</v>
      </c>
      <c r="I1834" s="0" t="str">
        <f aca="false">"INSERT INTO COTACAO (cot_id, cot_blt_id, cot_pap_id, cot_prc_comum, cot_prc_min, cot_prc_max, cot_prc_med, cot_prc_mediana) VALUES ("&amp;A1834&amp;", "&amp;B1834&amp;", "&amp;C1834&amp;", "&amp;D1834&amp;", "&amp;E1834&amp;", "&amp;F1834&amp;", "&amp;G1834&amp;", "&amp;H1834&amp;");"</f>
        <v>INSERT INTO COTACAO (cot_id, cot_blt_id, cot_pap_id, cot_prc_comum, cot_prc_min, cot_prc_max, cot_prc_med, cot_prc_mediana) VALUES (1833, 84, 3,  36.00,  48.00,  60.00,  46.80,  48.00);</v>
      </c>
      <c r="J1834" s="0" t="str">
        <f aca="false">"UPDATE COTACAO SET cot_id = "&amp;A1834&amp;", cot_blt_id = "&amp;B1834&amp;", cot_pap_id = "&amp;C1834&amp;", cot_prc_comum = "&amp;D1834&amp;", cot_prc_min = "&amp;E1834&amp;", cot_prc_max = "&amp;F1834&amp;", cot_prc_med = "&amp;G1834&amp;", cot_prc_mediana = "&amp;H1834&amp;" WHERE cot_id = "&amp;A1834&amp;";"</f>
        <v>UPDATE COTACAO SET cot_id = 1833, cot_blt_id = 84, cot_pap_id = 3, cot_prc_comum =  36.00, cot_prc_min =  48.00, cot_prc_max =  60.00, cot_prc_med =  46.80, cot_prc_mediana =  48.00 WHERE cot_id = 1833;</v>
      </c>
    </row>
    <row r="1835" customFormat="false" ht="14.25" hidden="false" customHeight="false" outlineLevel="0" collapsed="false">
      <c r="A1835" s="0" t="n">
        <v>1834</v>
      </c>
      <c r="B1835" s="0" t="n">
        <f aca="false">IF('Boletins Nuppa Site'!A1835&lt;&gt;0,'Boletins Nuppa Site'!A1835,"NULL")</f>
        <v>84</v>
      </c>
      <c r="C1835" s="0" t="n">
        <v>4</v>
      </c>
      <c r="D1835" s="0" t="str">
        <f aca="false">IF('Boletins Nuppa Site'!G1835&lt;&gt;0,'Boletins Nuppa Site'!G1835,"NULL")</f>
        <v> 24.00</v>
      </c>
      <c r="E1835" s="30" t="str">
        <f aca="false">IF('Boletins Nuppa Site'!H1835&lt;&gt;0,'Boletins Nuppa Site'!H1835,"NULL")</f>
        <v> 30.00</v>
      </c>
      <c r="F1835" s="30" t="str">
        <f aca="false">IF('Boletins Nuppa Site'!I1835&lt;&gt;0,'Boletins Nuppa Site'!I1835,"NULL")</f>
        <v> 36.00</v>
      </c>
      <c r="G1835" s="30" t="str">
        <f aca="false">IF('Boletins Nuppa Site'!J1835&lt;&gt;0,'Boletins Nuppa Site'!J1835,"NULL")</f>
        <v> 30.00</v>
      </c>
      <c r="H1835" s="30" t="str">
        <f aca="false">IF('Boletins Nuppa Site'!K1835&lt;&gt;0,'Boletins Nuppa Site'!K1835,"NULL")</f>
        <v> 30.00</v>
      </c>
      <c r="I1835" s="0" t="str">
        <f aca="false">"INSERT INTO COTACAO (cot_id, cot_blt_id, cot_pap_id, cot_prc_comum, cot_prc_min, cot_prc_max, cot_prc_med, cot_prc_mediana) VALUES ("&amp;A1835&amp;", "&amp;B1835&amp;", "&amp;C1835&amp;", "&amp;D1835&amp;", "&amp;E1835&amp;", "&amp;F1835&amp;", "&amp;G1835&amp;", "&amp;H1835&amp;");"</f>
        <v>INSERT INTO COTACAO (cot_id, cot_blt_id, cot_pap_id, cot_prc_comum, cot_prc_min, cot_prc_max, cot_prc_med, cot_prc_mediana) VALUES (1834, 84, 4,  24.00,  30.00,  36.00,  30.00,  30.00);</v>
      </c>
      <c r="J1835" s="0" t="str">
        <f aca="false">"UPDATE COTACAO SET cot_id = "&amp;A1835&amp;", cot_blt_id = "&amp;B1835&amp;", cot_pap_id = "&amp;C1835&amp;", cot_prc_comum = "&amp;D1835&amp;", cot_prc_min = "&amp;E1835&amp;", cot_prc_max = "&amp;F1835&amp;", cot_prc_med = "&amp;G1835&amp;", cot_prc_mediana = "&amp;H1835&amp;" WHERE cot_id = "&amp;A1835&amp;";"</f>
        <v>UPDATE COTACAO SET cot_id = 1834, cot_blt_id = 84, cot_pap_id = 4, cot_prc_comum =  24.00, cot_prc_min =  30.00, cot_prc_max =  36.00, cot_prc_med =  30.00, cot_prc_mediana =  30.00 WHERE cot_id = 1834;</v>
      </c>
    </row>
    <row r="1836" customFormat="false" ht="14.25" hidden="false" customHeight="false" outlineLevel="0" collapsed="false">
      <c r="A1836" s="0" t="n">
        <v>1835</v>
      </c>
      <c r="B1836" s="0" t="n">
        <f aca="false">IF('Boletins Nuppa Site'!A1836&lt;&gt;0,'Boletins Nuppa Site'!A1836,"NULL")</f>
        <v>84</v>
      </c>
      <c r="C1836" s="0" t="n">
        <v>5</v>
      </c>
      <c r="D1836" s="0" t="str">
        <f aca="false">IF('Boletins Nuppa Site'!G1836&lt;&gt;0,'Boletins Nuppa Site'!G1836,"NULL")</f>
        <v> 25.00</v>
      </c>
      <c r="E1836" s="30" t="str">
        <f aca="false">IF('Boletins Nuppa Site'!H1836&lt;&gt;0,'Boletins Nuppa Site'!H1836,"NULL")</f>
        <v> 30.00</v>
      </c>
      <c r="F1836" s="30" t="str">
        <f aca="false">IF('Boletins Nuppa Site'!I1836&lt;&gt;0,'Boletins Nuppa Site'!I1836,"NULL")</f>
        <v> 36.00</v>
      </c>
      <c r="G1836" s="30" t="str">
        <f aca="false">IF('Boletins Nuppa Site'!J1836&lt;&gt;0,'Boletins Nuppa Site'!J1836,"NULL")</f>
        <v> 30.25</v>
      </c>
      <c r="H1836" s="30" t="str">
        <f aca="false">IF('Boletins Nuppa Site'!K1836&lt;&gt;0,'Boletins Nuppa Site'!K1836,"NULL")</f>
        <v> 30.00</v>
      </c>
      <c r="I1836" s="0" t="str">
        <f aca="false">"INSERT INTO COTACAO (cot_id, cot_blt_id, cot_pap_id, cot_prc_comum, cot_prc_min, cot_prc_max, cot_prc_med, cot_prc_mediana) VALUES ("&amp;A1836&amp;", "&amp;B1836&amp;", "&amp;C1836&amp;", "&amp;D1836&amp;", "&amp;E1836&amp;", "&amp;F1836&amp;", "&amp;G1836&amp;", "&amp;H1836&amp;");"</f>
        <v>INSERT INTO COTACAO (cot_id, cot_blt_id, cot_pap_id, cot_prc_comum, cot_prc_min, cot_prc_max, cot_prc_med, cot_prc_mediana) VALUES (1835, 84, 5,  25.00,  30.00,  36.00,  30.25,  30.00);</v>
      </c>
      <c r="J1836" s="0" t="str">
        <f aca="false">"UPDATE COTACAO SET cot_id = "&amp;A1836&amp;", cot_blt_id = "&amp;B1836&amp;", cot_pap_id = "&amp;C1836&amp;", cot_prc_comum = "&amp;D1836&amp;", cot_prc_min = "&amp;E1836&amp;", cot_prc_max = "&amp;F1836&amp;", cot_prc_med = "&amp;G1836&amp;", cot_prc_mediana = "&amp;H1836&amp;" WHERE cot_id = "&amp;A1836&amp;";"</f>
        <v>UPDATE COTACAO SET cot_id = 1835, cot_blt_id = 84, cot_pap_id = 5, cot_prc_comum =  25.00, cot_prc_min =  30.00, cot_prc_max =  36.00, cot_prc_med =  30.25, cot_prc_mediana =  30.00 WHERE cot_id = 1835;</v>
      </c>
    </row>
    <row r="1837" customFormat="false" ht="14.25" hidden="false" customHeight="false" outlineLevel="0" collapsed="false">
      <c r="A1837" s="0" t="n">
        <v>1836</v>
      </c>
      <c r="B1837" s="0" t="n">
        <f aca="false">IF('Boletins Nuppa Site'!A1837&lt;&gt;0,'Boletins Nuppa Site'!A1837,"NULL")</f>
        <v>84</v>
      </c>
      <c r="C1837" s="0" t="n">
        <v>6</v>
      </c>
      <c r="D1837" s="0" t="str">
        <f aca="false">IF('Boletins Nuppa Site'!G1837&lt;&gt;0,'Boletins Nuppa Site'!G1837,"NULL")</f>
        <v> 60.00</v>
      </c>
      <c r="E1837" s="30" t="str">
        <f aca="false">IF('Boletins Nuppa Site'!H1837&lt;&gt;0,'Boletins Nuppa Site'!H1837,"NULL")</f>
        <v> 60.00</v>
      </c>
      <c r="F1837" s="30" t="str">
        <f aca="false">IF('Boletins Nuppa Site'!I1837&lt;&gt;0,'Boletins Nuppa Site'!I1837,"NULL")</f>
        <v> 60.00</v>
      </c>
      <c r="G1837" s="30" t="str">
        <f aca="false">IF('Boletins Nuppa Site'!J1837&lt;&gt;0,'Boletins Nuppa Site'!J1837,"NULL")</f>
        <v> 60.00</v>
      </c>
      <c r="H1837" s="30" t="str">
        <f aca="false">IF('Boletins Nuppa Site'!K1837&lt;&gt;0,'Boletins Nuppa Site'!K1837,"NULL")</f>
        <v> 60.00</v>
      </c>
      <c r="I1837" s="0" t="str">
        <f aca="false">"INSERT INTO COTACAO (cot_id, cot_blt_id, cot_pap_id, cot_prc_comum, cot_prc_min, cot_prc_max, cot_prc_med, cot_prc_mediana) VALUES ("&amp;A1837&amp;", "&amp;B1837&amp;", "&amp;C1837&amp;", "&amp;D1837&amp;", "&amp;E1837&amp;", "&amp;F1837&amp;", "&amp;G1837&amp;", "&amp;H1837&amp;");"</f>
        <v>INSERT INTO COTACAO (cot_id, cot_blt_id, cot_pap_id, cot_prc_comum, cot_prc_min, cot_prc_max, cot_prc_med, cot_prc_mediana) VALUES (1836, 84, 6,  60.00,  60.00,  60.00,  60.00,  60.00);</v>
      </c>
      <c r="J1837" s="0" t="str">
        <f aca="false">"UPDATE COTACAO SET cot_id = "&amp;A1837&amp;", cot_blt_id = "&amp;B1837&amp;", cot_pap_id = "&amp;C1837&amp;", cot_prc_comum = "&amp;D1837&amp;", cot_prc_min = "&amp;E1837&amp;", cot_prc_max = "&amp;F1837&amp;", cot_prc_med = "&amp;G1837&amp;", cot_prc_mediana = "&amp;H1837&amp;" WHERE cot_id = "&amp;A1837&amp;";"</f>
        <v>UPDATE COTACAO SET cot_id = 1836, cot_blt_id = 84, cot_pap_id = 6, cot_prc_comum =  60.00, cot_prc_min =  60.00, cot_prc_max =  60.00, cot_prc_med =  60.00, cot_prc_mediana =  60.00 WHERE cot_id = 1836;</v>
      </c>
    </row>
    <row r="1838" customFormat="false" ht="14.25" hidden="false" customHeight="false" outlineLevel="0" collapsed="false">
      <c r="A1838" s="0" t="n">
        <v>1837</v>
      </c>
      <c r="B1838" s="0" t="n">
        <f aca="false">IF('Boletins Nuppa Site'!A1838&lt;&gt;0,'Boletins Nuppa Site'!A1838,"NULL")</f>
        <v>84</v>
      </c>
      <c r="C1838" s="0" t="n">
        <v>7</v>
      </c>
      <c r="D1838" s="0" t="str">
        <f aca="false">IF('Boletins Nuppa Site'!G1838&lt;&gt;0,'Boletins Nuppa Site'!G1838,"NULL")</f>
        <v> 72.00</v>
      </c>
      <c r="E1838" s="30" t="str">
        <f aca="false">IF('Boletins Nuppa Site'!H1838&lt;&gt;0,'Boletins Nuppa Site'!H1838,"NULL")</f>
        <v> 72.00</v>
      </c>
      <c r="F1838" s="30" t="str">
        <f aca="false">IF('Boletins Nuppa Site'!I1838&lt;&gt;0,'Boletins Nuppa Site'!I1838,"NULL")</f>
        <v> 72.00</v>
      </c>
      <c r="G1838" s="30" t="str">
        <f aca="false">IF('Boletins Nuppa Site'!J1838&lt;&gt;0,'Boletins Nuppa Site'!J1838,"NULL")</f>
        <v> 72.00</v>
      </c>
      <c r="H1838" s="30" t="str">
        <f aca="false">IF('Boletins Nuppa Site'!K1838&lt;&gt;0,'Boletins Nuppa Site'!K1838,"NULL")</f>
        <v> 72.00</v>
      </c>
      <c r="I1838" s="0" t="str">
        <f aca="false">"INSERT INTO COTACAO (cot_id, cot_blt_id, cot_pap_id, cot_prc_comum, cot_prc_min, cot_prc_max, cot_prc_med, cot_prc_mediana) VALUES ("&amp;A1838&amp;", "&amp;B1838&amp;", "&amp;C1838&amp;", "&amp;D1838&amp;", "&amp;E1838&amp;", "&amp;F1838&amp;", "&amp;G1838&amp;", "&amp;H1838&amp;");"</f>
        <v>INSERT INTO COTACAO (cot_id, cot_blt_id, cot_pap_id, cot_prc_comum, cot_prc_min, cot_prc_max, cot_prc_med, cot_prc_mediana) VALUES (1837, 84, 7,  72.00,  72.00,  72.00,  72.00,  72.00);</v>
      </c>
      <c r="J1838" s="0" t="str">
        <f aca="false">"UPDATE COTACAO SET cot_id = "&amp;A1838&amp;", cot_blt_id = "&amp;B1838&amp;", cot_pap_id = "&amp;C1838&amp;", cot_prc_comum = "&amp;D1838&amp;", cot_prc_min = "&amp;E1838&amp;", cot_prc_max = "&amp;F1838&amp;", cot_prc_med = "&amp;G1838&amp;", cot_prc_mediana = "&amp;H1838&amp;" WHERE cot_id = "&amp;A1838&amp;";"</f>
        <v>UPDATE COTACAO SET cot_id = 1837, cot_blt_id = 84, cot_pap_id = 7, cot_prc_comum =  72.00, cot_prc_min =  72.00, cot_prc_max =  72.00, cot_prc_med =  72.00, cot_prc_mediana =  72.00 WHERE cot_id = 1837;</v>
      </c>
    </row>
    <row r="1839" customFormat="false" ht="14.25" hidden="false" customHeight="false" outlineLevel="0" collapsed="false">
      <c r="A1839" s="0" t="n">
        <v>1838</v>
      </c>
      <c r="B1839" s="0" t="n">
        <f aca="false">IF('Boletins Nuppa Site'!A1839&lt;&gt;0,'Boletins Nuppa Site'!A1839,"NULL")</f>
        <v>84</v>
      </c>
      <c r="C1839" s="0" t="n">
        <v>8</v>
      </c>
      <c r="D1839" s="0" t="str">
        <f aca="false">IF('Boletins Nuppa Site'!G1839&lt;&gt;0,'Boletins Nuppa Site'!G1839,"NULL")</f>
        <v> 60.00</v>
      </c>
      <c r="E1839" s="30" t="str">
        <f aca="false">IF('Boletins Nuppa Site'!H1839&lt;&gt;0,'Boletins Nuppa Site'!H1839,"NULL")</f>
        <v> 72.00</v>
      </c>
      <c r="F1839" s="30" t="str">
        <f aca="false">IF('Boletins Nuppa Site'!I1839&lt;&gt;0,'Boletins Nuppa Site'!I1839,"NULL")</f>
        <v> 72.00</v>
      </c>
      <c r="G1839" s="30" t="str">
        <f aca="false">IF('Boletins Nuppa Site'!J1839&lt;&gt;0,'Boletins Nuppa Site'!J1839,"NULL")</f>
        <v> 69.60</v>
      </c>
      <c r="H1839" s="30" t="str">
        <f aca="false">IF('Boletins Nuppa Site'!K1839&lt;&gt;0,'Boletins Nuppa Site'!K1839,"NULL")</f>
        <v> 72.00</v>
      </c>
      <c r="I1839" s="0" t="str">
        <f aca="false">"INSERT INTO COTACAO (cot_id, cot_blt_id, cot_pap_id, cot_prc_comum, cot_prc_min, cot_prc_max, cot_prc_med, cot_prc_mediana) VALUES ("&amp;A1839&amp;", "&amp;B1839&amp;", "&amp;C1839&amp;", "&amp;D1839&amp;", "&amp;E1839&amp;", "&amp;F1839&amp;", "&amp;G1839&amp;", "&amp;H1839&amp;");"</f>
        <v>INSERT INTO COTACAO (cot_id, cot_blt_id, cot_pap_id, cot_prc_comum, cot_prc_min, cot_prc_max, cot_prc_med, cot_prc_mediana) VALUES (1838, 84, 8,  60.00,  72.00,  72.00,  69.60,  72.00);</v>
      </c>
      <c r="J1839" s="0" t="str">
        <f aca="false">"UPDATE COTACAO SET cot_id = "&amp;A1839&amp;", cot_blt_id = "&amp;B1839&amp;", cot_pap_id = "&amp;C1839&amp;", cot_prc_comum = "&amp;D1839&amp;", cot_prc_min = "&amp;E1839&amp;", cot_prc_max = "&amp;F1839&amp;", cot_prc_med = "&amp;G1839&amp;", cot_prc_mediana = "&amp;H1839&amp;" WHERE cot_id = "&amp;A1839&amp;";"</f>
        <v>UPDATE COTACAO SET cot_id = 1838, cot_blt_id = 84, cot_pap_id = 8, cot_prc_comum =  60.00, cot_prc_min =  72.00, cot_prc_max =  72.00, cot_prc_med =  69.60, cot_prc_mediana =  72.00 WHERE cot_id = 1838;</v>
      </c>
    </row>
    <row r="1840" customFormat="false" ht="14.25" hidden="false" customHeight="false" outlineLevel="0" collapsed="false">
      <c r="A1840" s="0" t="n">
        <v>1839</v>
      </c>
      <c r="B1840" s="0" t="n">
        <f aca="false">IF('Boletins Nuppa Site'!A1840&lt;&gt;0,'Boletins Nuppa Site'!A1840,"NULL")</f>
        <v>84</v>
      </c>
      <c r="C1840" s="0" t="n">
        <v>9</v>
      </c>
      <c r="D1840" s="0" t="str">
        <f aca="false">IF('Boletins Nuppa Site'!G1840&lt;&gt;0,'Boletins Nuppa Site'!G1840,"NULL")</f>
        <v> 18.00</v>
      </c>
      <c r="E1840" s="30" t="str">
        <f aca="false">IF('Boletins Nuppa Site'!H1840&lt;&gt;0,'Boletins Nuppa Site'!H1840,"NULL")</f>
        <v> 20.00</v>
      </c>
      <c r="F1840" s="30" t="str">
        <f aca="false">IF('Boletins Nuppa Site'!I1840&lt;&gt;0,'Boletins Nuppa Site'!I1840,"NULL")</f>
        <v> 24.00</v>
      </c>
      <c r="G1840" s="30" t="str">
        <f aca="false">IF('Boletins Nuppa Site'!J1840&lt;&gt;0,'Boletins Nuppa Site'!J1840,"NULL")</f>
        <v> 21.20</v>
      </c>
      <c r="H1840" s="30" t="str">
        <f aca="false">IF('Boletins Nuppa Site'!K1840&lt;&gt;0,'Boletins Nuppa Site'!K1840,"NULL")</f>
        <v> 20.00</v>
      </c>
      <c r="I1840" s="0" t="str">
        <f aca="false">"INSERT INTO COTACAO (cot_id, cot_blt_id, cot_pap_id, cot_prc_comum, cot_prc_min, cot_prc_max, cot_prc_med, cot_prc_mediana) VALUES ("&amp;A1840&amp;", "&amp;B1840&amp;", "&amp;C1840&amp;", "&amp;D1840&amp;", "&amp;E1840&amp;", "&amp;F1840&amp;", "&amp;G1840&amp;", "&amp;H1840&amp;");"</f>
        <v>INSERT INTO COTACAO (cot_id, cot_blt_id, cot_pap_id, cot_prc_comum, cot_prc_min, cot_prc_max, cot_prc_med, cot_prc_mediana) VALUES (1839, 84, 9,  18.00,  20.00,  24.00,  21.20,  20.00);</v>
      </c>
      <c r="J1840" s="0" t="str">
        <f aca="false">"UPDATE COTACAO SET cot_id = "&amp;A1840&amp;", cot_blt_id = "&amp;B1840&amp;", cot_pap_id = "&amp;C1840&amp;", cot_prc_comum = "&amp;D1840&amp;", cot_prc_min = "&amp;E1840&amp;", cot_prc_max = "&amp;F1840&amp;", cot_prc_med = "&amp;G1840&amp;", cot_prc_mediana = "&amp;H1840&amp;" WHERE cot_id = "&amp;A1840&amp;";"</f>
        <v>UPDATE COTACAO SET cot_id = 1839, cot_blt_id = 84, cot_pap_id = 9, cot_prc_comum =  18.00, cot_prc_min =  20.00, cot_prc_max =  24.00, cot_prc_med =  21.20, cot_prc_mediana =  20.00 WHERE cot_id = 1839;</v>
      </c>
    </row>
    <row r="1841" customFormat="false" ht="14.25" hidden="false" customHeight="false" outlineLevel="0" collapsed="false">
      <c r="A1841" s="0" t="n">
        <v>1840</v>
      </c>
      <c r="B1841" s="0" t="n">
        <f aca="false">IF('Boletins Nuppa Site'!A1841&lt;&gt;0,'Boletins Nuppa Site'!A1841,"NULL")</f>
        <v>84</v>
      </c>
      <c r="C1841" s="0" t="n">
        <v>10</v>
      </c>
      <c r="D1841" s="0" t="str">
        <f aca="false">IF('Boletins Nuppa Site'!G1841&lt;&gt;0,'Boletins Nuppa Site'!G1841,"NULL")</f>
        <v> 60.00</v>
      </c>
      <c r="E1841" s="30" t="str">
        <f aca="false">IF('Boletins Nuppa Site'!H1841&lt;&gt;0,'Boletins Nuppa Site'!H1841,"NULL")</f>
        <v> 80.00</v>
      </c>
      <c r="F1841" s="30" t="str">
        <f aca="false">IF('Boletins Nuppa Site'!I1841&lt;&gt;0,'Boletins Nuppa Site'!I1841,"NULL")</f>
        <v> 96.00</v>
      </c>
      <c r="G1841" s="30" t="str">
        <f aca="false">IF('Boletins Nuppa Site'!J1841&lt;&gt;0,'Boletins Nuppa Site'!J1841,"NULL")</f>
        <v> 80.00</v>
      </c>
      <c r="H1841" s="30" t="str">
        <f aca="false">IF('Boletins Nuppa Site'!K1841&lt;&gt;0,'Boletins Nuppa Site'!K1841,"NULL")</f>
        <v> 82.00</v>
      </c>
      <c r="I1841" s="0" t="str">
        <f aca="false">"INSERT INTO COTACAO (cot_id, cot_blt_id, cot_pap_id, cot_prc_comum, cot_prc_min, cot_prc_max, cot_prc_med, cot_prc_mediana) VALUES ("&amp;A1841&amp;", "&amp;B1841&amp;", "&amp;C1841&amp;", "&amp;D1841&amp;", "&amp;E1841&amp;", "&amp;F1841&amp;", "&amp;G1841&amp;", "&amp;H1841&amp;");"</f>
        <v>INSERT INTO COTACAO (cot_id, cot_blt_id, cot_pap_id, cot_prc_comum, cot_prc_min, cot_prc_max, cot_prc_med, cot_prc_mediana) VALUES (1840, 84, 10,  60.00,  80.00,  96.00,  80.00,  82.00);</v>
      </c>
      <c r="J1841" s="0" t="str">
        <f aca="false">"UPDATE COTACAO SET cot_id = "&amp;A1841&amp;", cot_blt_id = "&amp;B1841&amp;", cot_pap_id = "&amp;C1841&amp;", cot_prc_comum = "&amp;D1841&amp;", cot_prc_min = "&amp;E1841&amp;", cot_prc_max = "&amp;F1841&amp;", cot_prc_med = "&amp;G1841&amp;", cot_prc_mediana = "&amp;H1841&amp;" WHERE cot_id = "&amp;A1841&amp;";"</f>
        <v>UPDATE COTACAO SET cot_id = 1840, cot_blt_id = 84, cot_pap_id = 10, cot_prc_comum =  60.00, cot_prc_min =  80.00, cot_prc_max =  96.00, cot_prc_med =  80.00, cot_prc_mediana =  82.00 WHERE cot_id = 1840;</v>
      </c>
    </row>
    <row r="1842" customFormat="false" ht="14.25" hidden="false" customHeight="false" outlineLevel="0" collapsed="false">
      <c r="A1842" s="0" t="n">
        <v>1841</v>
      </c>
      <c r="B1842" s="0" t="n">
        <f aca="false">IF('Boletins Nuppa Site'!A1842&lt;&gt;0,'Boletins Nuppa Site'!A1842,"NULL")</f>
        <v>84</v>
      </c>
      <c r="C1842" s="0" t="n">
        <v>11</v>
      </c>
      <c r="D1842" s="0" t="str">
        <f aca="false">IF('Boletins Nuppa Site'!G1842&lt;&gt;0,'Boletins Nuppa Site'!G1842,"NULL")</f>
        <v> 30.00</v>
      </c>
      <c r="E1842" s="30" t="str">
        <f aca="false">IF('Boletins Nuppa Site'!H1842&lt;&gt;0,'Boletins Nuppa Site'!H1842,"NULL")</f>
        <v> 24.00</v>
      </c>
      <c r="F1842" s="30" t="str">
        <f aca="false">IF('Boletins Nuppa Site'!I1842&lt;&gt;0,'Boletins Nuppa Site'!I1842,"NULL")</f>
        <v> 36.00</v>
      </c>
      <c r="G1842" s="30" t="str">
        <f aca="false">IF('Boletins Nuppa Site'!J1842&lt;&gt;0,'Boletins Nuppa Site'!J1842,"NULL")</f>
        <v> 29.00</v>
      </c>
      <c r="H1842" s="30" t="str">
        <f aca="false">IF('Boletins Nuppa Site'!K1842&lt;&gt;0,'Boletins Nuppa Site'!K1842,"NULL")</f>
        <v> 30.00</v>
      </c>
      <c r="I1842" s="0" t="str">
        <f aca="false">"INSERT INTO COTACAO (cot_id, cot_blt_id, cot_pap_id, cot_prc_comum, cot_prc_min, cot_prc_max, cot_prc_med, cot_prc_mediana) VALUES ("&amp;A1842&amp;", "&amp;B1842&amp;", "&amp;C1842&amp;", "&amp;D1842&amp;", "&amp;E1842&amp;", "&amp;F1842&amp;", "&amp;G1842&amp;", "&amp;H1842&amp;");"</f>
        <v>INSERT INTO COTACAO (cot_id, cot_blt_id, cot_pap_id, cot_prc_comum, cot_prc_min, cot_prc_max, cot_prc_med, cot_prc_mediana) VALUES (1841, 84, 11,  30.00,  24.00,  36.00,  29.00,  30.00);</v>
      </c>
      <c r="J1842" s="0" t="str">
        <f aca="false">"UPDATE COTACAO SET cot_id = "&amp;A1842&amp;", cot_blt_id = "&amp;B1842&amp;", cot_pap_id = "&amp;C1842&amp;", cot_prc_comum = "&amp;D1842&amp;", cot_prc_min = "&amp;E1842&amp;", cot_prc_max = "&amp;F1842&amp;", cot_prc_med = "&amp;G1842&amp;", cot_prc_mediana = "&amp;H1842&amp;" WHERE cot_id = "&amp;A1842&amp;";"</f>
        <v>UPDATE COTACAO SET cot_id = 1841, cot_blt_id = 84, cot_pap_id = 11, cot_prc_comum =  30.00, cot_prc_min =  24.00, cot_prc_max =  36.00, cot_prc_med =  29.00, cot_prc_mediana =  30.00 WHERE cot_id = 1841;</v>
      </c>
    </row>
    <row r="1843" customFormat="false" ht="14.25" hidden="false" customHeight="false" outlineLevel="0" collapsed="false">
      <c r="A1843" s="0" t="n">
        <v>1842</v>
      </c>
      <c r="B1843" s="0" t="n">
        <f aca="false">IF('Boletins Nuppa Site'!A1843&lt;&gt;0,'Boletins Nuppa Site'!A1843,"NULL")</f>
        <v>84</v>
      </c>
      <c r="C1843" s="0" t="n">
        <v>12</v>
      </c>
      <c r="D1843" s="0" t="str">
        <f aca="false">IF('Boletins Nuppa Site'!G1843&lt;&gt;0,'Boletins Nuppa Site'!G1843,"NULL")</f>
        <v> 60.00</v>
      </c>
      <c r="E1843" s="30" t="str">
        <f aca="false">IF('Boletins Nuppa Site'!H1843&lt;&gt;0,'Boletins Nuppa Site'!H1843,"NULL")</f>
        <v> 60.00</v>
      </c>
      <c r="F1843" s="30" t="str">
        <f aca="false">IF('Boletins Nuppa Site'!I1843&lt;&gt;0,'Boletins Nuppa Site'!I1843,"NULL")</f>
        <v> 72.00</v>
      </c>
      <c r="G1843" s="30" t="str">
        <f aca="false">IF('Boletins Nuppa Site'!J1843&lt;&gt;0,'Boletins Nuppa Site'!J1843,"NULL")</f>
        <v> 63.00</v>
      </c>
      <c r="H1843" s="30" t="str">
        <f aca="false">IF('Boletins Nuppa Site'!K1843&lt;&gt;0,'Boletins Nuppa Site'!K1843,"NULL")</f>
        <v> 60.00</v>
      </c>
      <c r="I1843" s="0" t="str">
        <f aca="false">"INSERT INTO COTACAO (cot_id, cot_blt_id, cot_pap_id, cot_prc_comum, cot_prc_min, cot_prc_max, cot_prc_med, cot_prc_mediana) VALUES ("&amp;A1843&amp;", "&amp;B1843&amp;", "&amp;C1843&amp;", "&amp;D1843&amp;", "&amp;E1843&amp;", "&amp;F1843&amp;", "&amp;G1843&amp;", "&amp;H1843&amp;");"</f>
        <v>INSERT INTO COTACAO (cot_id, cot_blt_id, cot_pap_id, cot_prc_comum, cot_prc_min, cot_prc_max, cot_prc_med, cot_prc_mediana) VALUES (1842, 84, 12,  60.00,  60.00,  72.00,  63.00,  60.00);</v>
      </c>
      <c r="J1843" s="0" t="str">
        <f aca="false">"UPDATE COTACAO SET cot_id = "&amp;A1843&amp;", cot_blt_id = "&amp;B1843&amp;", cot_pap_id = "&amp;C1843&amp;", cot_prc_comum = "&amp;D1843&amp;", cot_prc_min = "&amp;E1843&amp;", cot_prc_max = "&amp;F1843&amp;", cot_prc_med = "&amp;G1843&amp;", cot_prc_mediana = "&amp;H1843&amp;" WHERE cot_id = "&amp;A1843&amp;";"</f>
        <v>UPDATE COTACAO SET cot_id = 1842, cot_blt_id = 84, cot_pap_id = 12, cot_prc_comum =  60.00, cot_prc_min =  60.00, cot_prc_max =  72.00, cot_prc_med =  63.00, cot_prc_mediana =  60.00 WHERE cot_id = 1842;</v>
      </c>
    </row>
    <row r="1844" customFormat="false" ht="14.25" hidden="false" customHeight="false" outlineLevel="0" collapsed="false">
      <c r="A1844" s="0" t="n">
        <v>1843</v>
      </c>
      <c r="B1844" s="0" t="n">
        <f aca="false">IF('Boletins Nuppa Site'!A1844&lt;&gt;0,'Boletins Nuppa Site'!A1844,"NULL")</f>
        <v>84</v>
      </c>
      <c r="C1844" s="0" t="n">
        <v>13</v>
      </c>
      <c r="D1844" s="0" t="str">
        <f aca="false">IF('Boletins Nuppa Site'!G1844&lt;&gt;0,'Boletins Nuppa Site'!G1844,"NULL")</f>
        <v> 60.00</v>
      </c>
      <c r="E1844" s="30" t="str">
        <f aca="false">IF('Boletins Nuppa Site'!H1844&lt;&gt;0,'Boletins Nuppa Site'!H1844,"NULL")</f>
        <v> 48.00</v>
      </c>
      <c r="F1844" s="30" t="str">
        <f aca="false">IF('Boletins Nuppa Site'!I1844&lt;&gt;0,'Boletins Nuppa Site'!I1844,"NULL")</f>
        <v> 60.00</v>
      </c>
      <c r="G1844" s="30" t="str">
        <f aca="false">IF('Boletins Nuppa Site'!J1844&lt;&gt;0,'Boletins Nuppa Site'!J1844,"NULL")</f>
        <v> 57.60</v>
      </c>
      <c r="H1844" s="30" t="str">
        <f aca="false">IF('Boletins Nuppa Site'!K1844&lt;&gt;0,'Boletins Nuppa Site'!K1844,"NULL")</f>
        <v> 60.00</v>
      </c>
      <c r="I1844" s="0" t="str">
        <f aca="false">"INSERT INTO COTACAO (cot_id, cot_blt_id, cot_pap_id, cot_prc_comum, cot_prc_min, cot_prc_max, cot_prc_med, cot_prc_mediana) VALUES ("&amp;A1844&amp;", "&amp;B1844&amp;", "&amp;C1844&amp;", "&amp;D1844&amp;", "&amp;E1844&amp;", "&amp;F1844&amp;", "&amp;G1844&amp;", "&amp;H1844&amp;");"</f>
        <v>INSERT INTO COTACAO (cot_id, cot_blt_id, cot_pap_id, cot_prc_comum, cot_prc_min, cot_prc_max, cot_prc_med, cot_prc_mediana) VALUES (1843, 84, 13,  60.00,  48.00,  60.00,  57.60,  60.00);</v>
      </c>
      <c r="J1844" s="0" t="str">
        <f aca="false">"UPDATE COTACAO SET cot_id = "&amp;A1844&amp;", cot_blt_id = "&amp;B1844&amp;", cot_pap_id = "&amp;C1844&amp;", cot_prc_comum = "&amp;D1844&amp;", cot_prc_min = "&amp;E1844&amp;", cot_prc_max = "&amp;F1844&amp;", cot_prc_med = "&amp;G1844&amp;", cot_prc_mediana = "&amp;H1844&amp;" WHERE cot_id = "&amp;A1844&amp;";"</f>
        <v>UPDATE COTACAO SET cot_id = 1843, cot_blt_id = 84, cot_pap_id = 13, cot_prc_comum =  60.00, cot_prc_min =  48.00, cot_prc_max =  60.00, cot_prc_med =  57.60, cot_prc_mediana =  60.00 WHERE cot_id = 1843;</v>
      </c>
    </row>
    <row r="1845" customFormat="false" ht="14.25" hidden="false" customHeight="false" outlineLevel="0" collapsed="false">
      <c r="A1845" s="0" t="n">
        <v>1844</v>
      </c>
      <c r="B1845" s="0" t="n">
        <f aca="false">IF('Boletins Nuppa Site'!A1845&lt;&gt;0,'Boletins Nuppa Site'!A1845,"NULL")</f>
        <v>84</v>
      </c>
      <c r="C1845" s="0" t="n">
        <v>14</v>
      </c>
      <c r="D1845" s="0" t="str">
        <f aca="false">IF('Boletins Nuppa Site'!G1845&lt;&gt;0,'Boletins Nuppa Site'!G1845,"NULL")</f>
        <v> 60.00</v>
      </c>
      <c r="E1845" s="30" t="str">
        <f aca="false">IF('Boletins Nuppa Site'!H1845&lt;&gt;0,'Boletins Nuppa Site'!H1845,"NULL")</f>
        <v> 72.00</v>
      </c>
      <c r="F1845" s="30" t="str">
        <f aca="false">IF('Boletins Nuppa Site'!I1845&lt;&gt;0,'Boletins Nuppa Site'!I1845,"NULL")</f>
        <v> 72.00</v>
      </c>
      <c r="G1845" s="30" t="str">
        <f aca="false">IF('Boletins Nuppa Site'!J1845&lt;&gt;0,'Boletins Nuppa Site'!J1845,"NULL")</f>
        <v> 68.50</v>
      </c>
      <c r="H1845" s="30" t="str">
        <f aca="false">IF('Boletins Nuppa Site'!K1845&lt;&gt;0,'Boletins Nuppa Site'!K1845,"NULL")</f>
        <v> 71.00</v>
      </c>
      <c r="I1845" s="0" t="str">
        <f aca="false">"INSERT INTO COTACAO (cot_id, cot_blt_id, cot_pap_id, cot_prc_comum, cot_prc_min, cot_prc_max, cot_prc_med, cot_prc_mediana) VALUES ("&amp;A1845&amp;", "&amp;B1845&amp;", "&amp;C1845&amp;", "&amp;D1845&amp;", "&amp;E1845&amp;", "&amp;F1845&amp;", "&amp;G1845&amp;", "&amp;H1845&amp;");"</f>
        <v>INSERT INTO COTACAO (cot_id, cot_blt_id, cot_pap_id, cot_prc_comum, cot_prc_min, cot_prc_max, cot_prc_med, cot_prc_mediana) VALUES (1844, 84, 14,  60.00,  72.00,  72.00,  68.50,  71.00);</v>
      </c>
      <c r="J1845" s="0" t="str">
        <f aca="false">"UPDATE COTACAO SET cot_id = "&amp;A1845&amp;", cot_blt_id = "&amp;B1845&amp;", cot_pap_id = "&amp;C1845&amp;", cot_prc_comum = "&amp;D1845&amp;", cot_prc_min = "&amp;E1845&amp;", cot_prc_max = "&amp;F1845&amp;", cot_prc_med = "&amp;G1845&amp;", cot_prc_mediana = "&amp;H1845&amp;" WHERE cot_id = "&amp;A1845&amp;";"</f>
        <v>UPDATE COTACAO SET cot_id = 1844, cot_blt_id = 84, cot_pap_id = 14, cot_prc_comum =  60.00, cot_prc_min =  72.00, cot_prc_max =  72.00, cot_prc_med =  68.50, cot_prc_mediana =  71.00 WHERE cot_id = 1844;</v>
      </c>
    </row>
    <row r="1846" customFormat="false" ht="14.25" hidden="false" customHeight="false" outlineLevel="0" collapsed="false">
      <c r="A1846" s="0" t="n">
        <v>1845</v>
      </c>
      <c r="B1846" s="0" t="n">
        <f aca="false">IF('Boletins Nuppa Site'!A1846&lt;&gt;0,'Boletins Nuppa Site'!A1846,"NULL")</f>
        <v>84</v>
      </c>
      <c r="C1846" s="0" t="n">
        <v>15</v>
      </c>
      <c r="D1846" s="0" t="str">
        <f aca="false">IF('Boletins Nuppa Site'!G1846&lt;&gt;0,'Boletins Nuppa Site'!G1846,"NULL")</f>
        <v> 35.00</v>
      </c>
      <c r="E1846" s="30" t="str">
        <f aca="false">IF('Boletins Nuppa Site'!H1846&lt;&gt;0,'Boletins Nuppa Site'!H1846,"NULL")</f>
        <v> 36.00</v>
      </c>
      <c r="F1846" s="30" t="str">
        <f aca="false">IF('Boletins Nuppa Site'!I1846&lt;&gt;0,'Boletins Nuppa Site'!I1846,"NULL")</f>
        <v> 60.00</v>
      </c>
      <c r="G1846" s="30" t="str">
        <f aca="false">IF('Boletins Nuppa Site'!J1846&lt;&gt;0,'Boletins Nuppa Site'!J1846,"NULL")</f>
        <v> 35.60</v>
      </c>
      <c r="H1846" s="30" t="str">
        <f aca="false">IF('Boletins Nuppa Site'!K1846&lt;&gt;0,'Boletins Nuppa Site'!K1846,"NULL")</f>
        <v> 36.00</v>
      </c>
      <c r="I1846" s="0" t="str">
        <f aca="false">"INSERT INTO COTACAO (cot_id, cot_blt_id, cot_pap_id, cot_prc_comum, cot_prc_min, cot_prc_max, cot_prc_med, cot_prc_mediana) VALUES ("&amp;A1846&amp;", "&amp;B1846&amp;", "&amp;C1846&amp;", "&amp;D1846&amp;", "&amp;E1846&amp;", "&amp;F1846&amp;", "&amp;G1846&amp;", "&amp;H1846&amp;");"</f>
        <v>INSERT INTO COTACAO (cot_id, cot_blt_id, cot_pap_id, cot_prc_comum, cot_prc_min, cot_prc_max, cot_prc_med, cot_prc_mediana) VALUES (1845, 84, 15,  35.00,  36.00,  60.00,  35.60,  36.00);</v>
      </c>
      <c r="J1846" s="0" t="str">
        <f aca="false">"UPDATE COTACAO SET cot_id = "&amp;A1846&amp;", cot_blt_id = "&amp;B1846&amp;", cot_pap_id = "&amp;C1846&amp;", cot_prc_comum = "&amp;D1846&amp;", cot_prc_min = "&amp;E1846&amp;", cot_prc_max = "&amp;F1846&amp;", cot_prc_med = "&amp;G1846&amp;", cot_prc_mediana = "&amp;H1846&amp;" WHERE cot_id = "&amp;A1846&amp;";"</f>
        <v>UPDATE COTACAO SET cot_id = 1845, cot_blt_id = 84, cot_pap_id = 15, cot_prc_comum =  35.00, cot_prc_min =  36.00, cot_prc_max =  60.00, cot_prc_med =  35.60, cot_prc_mediana =  36.00 WHERE cot_id = 1845;</v>
      </c>
    </row>
    <row r="1847" customFormat="false" ht="14.25" hidden="false" customHeight="false" outlineLevel="0" collapsed="false">
      <c r="A1847" s="0" t="n">
        <v>1846</v>
      </c>
      <c r="B1847" s="0" t="n">
        <f aca="false">IF('Boletins Nuppa Site'!A1847&lt;&gt;0,'Boletins Nuppa Site'!A1847,"NULL")</f>
        <v>84</v>
      </c>
      <c r="C1847" s="0" t="n">
        <v>16</v>
      </c>
      <c r="D1847" s="0" t="str">
        <f aca="false">IF('Boletins Nuppa Site'!G1847&lt;&gt;0,'Boletins Nuppa Site'!G1847,"NULL")</f>
        <v> 42.00</v>
      </c>
      <c r="E1847" s="30" t="str">
        <f aca="false">IF('Boletins Nuppa Site'!H1847&lt;&gt;0,'Boletins Nuppa Site'!H1847,"NULL")</f>
        <v> 60.00</v>
      </c>
      <c r="F1847" s="30" t="str">
        <f aca="false">IF('Boletins Nuppa Site'!I1847&lt;&gt;0,'Boletins Nuppa Site'!I1847,"NULL")</f>
        <v> 60.00</v>
      </c>
      <c r="G1847" s="30" t="str">
        <f aca="false">IF('Boletins Nuppa Site'!J1847&lt;&gt;0,'Boletins Nuppa Site'!J1847,"NULL")</f>
        <v> 55.20</v>
      </c>
      <c r="H1847" s="30" t="str">
        <f aca="false">IF('Boletins Nuppa Site'!K1847&lt;&gt;0,'Boletins Nuppa Site'!K1847,"NULL")</f>
        <v> 60.00</v>
      </c>
      <c r="I1847" s="0" t="str">
        <f aca="false">"INSERT INTO COTACAO (cot_id, cot_blt_id, cot_pap_id, cot_prc_comum, cot_prc_min, cot_prc_max, cot_prc_med, cot_prc_mediana) VALUES ("&amp;A1847&amp;", "&amp;B1847&amp;", "&amp;C1847&amp;", "&amp;D1847&amp;", "&amp;E1847&amp;", "&amp;F1847&amp;", "&amp;G1847&amp;", "&amp;H1847&amp;");"</f>
        <v>INSERT INTO COTACAO (cot_id, cot_blt_id, cot_pap_id, cot_prc_comum, cot_prc_min, cot_prc_max, cot_prc_med, cot_prc_mediana) VALUES (1846, 84, 16,  42.00,  60.00,  60.00,  55.20,  60.00);</v>
      </c>
      <c r="J1847" s="0" t="str">
        <f aca="false">"UPDATE COTACAO SET cot_id = "&amp;A1847&amp;", cot_blt_id = "&amp;B1847&amp;", cot_pap_id = "&amp;C1847&amp;", cot_prc_comum = "&amp;D1847&amp;", cot_prc_min = "&amp;E1847&amp;", cot_prc_max = "&amp;F1847&amp;", cot_prc_med = "&amp;G1847&amp;", cot_prc_mediana = "&amp;H1847&amp;" WHERE cot_id = "&amp;A1847&amp;";"</f>
        <v>UPDATE COTACAO SET cot_id = 1846, cot_blt_id = 84, cot_pap_id = 16, cot_prc_comum =  42.00, cot_prc_min =  60.00, cot_prc_max =  60.00, cot_prc_med =  55.20, cot_prc_mediana =  60.00 WHERE cot_id = 1846;</v>
      </c>
    </row>
    <row r="1848" customFormat="false" ht="14.25" hidden="false" customHeight="false" outlineLevel="0" collapsed="false">
      <c r="A1848" s="0" t="n">
        <v>1847</v>
      </c>
      <c r="B1848" s="0" t="n">
        <f aca="false">IF('Boletins Nuppa Site'!A1848&lt;&gt;0,'Boletins Nuppa Site'!A1848,"NULL")</f>
        <v>84</v>
      </c>
      <c r="C1848" s="0" t="n">
        <v>17</v>
      </c>
      <c r="D1848" s="0" t="str">
        <f aca="false">IF('Boletins Nuppa Site'!G1848&lt;&gt;0,'Boletins Nuppa Site'!G1848,"NULL")</f>
        <v> 5.00</v>
      </c>
      <c r="E1848" s="30" t="str">
        <f aca="false">IF('Boletins Nuppa Site'!H1848&lt;&gt;0,'Boletins Nuppa Site'!H1848,"NULL")</f>
        <v> 5.00</v>
      </c>
      <c r="F1848" s="30" t="str">
        <f aca="false">IF('Boletins Nuppa Site'!I1848&lt;&gt;0,'Boletins Nuppa Site'!I1848,"NULL")</f>
        <v> 5.00</v>
      </c>
      <c r="G1848" s="30" t="str">
        <f aca="false">IF('Boletins Nuppa Site'!J1848&lt;&gt;0,'Boletins Nuppa Site'!J1848,"NULL")</f>
        <v> 5.00</v>
      </c>
      <c r="H1848" s="30" t="str">
        <f aca="false">IF('Boletins Nuppa Site'!K1848&lt;&gt;0,'Boletins Nuppa Site'!K1848,"NULL")</f>
        <v> 5.00</v>
      </c>
      <c r="I1848" s="0" t="str">
        <f aca="false">"INSERT INTO COTACAO (cot_id, cot_blt_id, cot_pap_id, cot_prc_comum, cot_prc_min, cot_prc_max, cot_prc_med, cot_prc_mediana) VALUES ("&amp;A1848&amp;", "&amp;B1848&amp;", "&amp;C1848&amp;", "&amp;D1848&amp;", "&amp;E1848&amp;", "&amp;F1848&amp;", "&amp;G1848&amp;", "&amp;H1848&amp;");"</f>
        <v>INSERT INTO COTACAO (cot_id, cot_blt_id, cot_pap_id, cot_prc_comum, cot_prc_min, cot_prc_max, cot_prc_med, cot_prc_mediana) VALUES (1847, 84, 17,  5.00,  5.00,  5.00,  5.00,  5.00);</v>
      </c>
      <c r="J1848" s="0" t="str">
        <f aca="false">"UPDATE COTACAO SET cot_id = "&amp;A1848&amp;", cot_blt_id = "&amp;B1848&amp;", cot_pap_id = "&amp;C1848&amp;", cot_prc_comum = "&amp;D1848&amp;", cot_prc_min = "&amp;E1848&amp;", cot_prc_max = "&amp;F1848&amp;", cot_prc_med = "&amp;G1848&amp;", cot_prc_mediana = "&amp;H1848&amp;" WHERE cot_id = "&amp;A1848&amp;";"</f>
        <v>UPDATE COTACAO SET cot_id = 1847, cot_blt_id = 84, cot_pap_id = 17, cot_prc_comum =  5.00, cot_prc_min =  5.00, cot_prc_max =  5.00, cot_prc_med =  5.00, cot_prc_mediana =  5.00 WHERE cot_id = 1847;</v>
      </c>
    </row>
    <row r="1849" customFormat="false" ht="14.25" hidden="false" customHeight="false" outlineLevel="0" collapsed="false">
      <c r="A1849" s="0" t="n">
        <v>1848</v>
      </c>
      <c r="B1849" s="0" t="n">
        <f aca="false">IF('Boletins Nuppa Site'!A1849&lt;&gt;0,'Boletins Nuppa Site'!A1849,"NULL")</f>
        <v>84</v>
      </c>
      <c r="C1849" s="0" t="n">
        <v>18</v>
      </c>
      <c r="D1849" s="0" t="str">
        <f aca="false">IF('Boletins Nuppa Site'!G1849&lt;&gt;0,'Boletins Nuppa Site'!G1849,"NULL")</f>
        <v> 20.00</v>
      </c>
      <c r="E1849" s="30" t="str">
        <f aca="false">IF('Boletins Nuppa Site'!H1849&lt;&gt;0,'Boletins Nuppa Site'!H1849,"NULL")</f>
        <v> 18.00</v>
      </c>
      <c r="F1849" s="30" t="str">
        <f aca="false">IF('Boletins Nuppa Site'!I1849&lt;&gt;0,'Boletins Nuppa Site'!I1849,"NULL")</f>
        <v> 20.00</v>
      </c>
      <c r="G1849" s="30" t="str">
        <f aca="false">IF('Boletins Nuppa Site'!J1849&lt;&gt;0,'Boletins Nuppa Site'!J1849,"NULL")</f>
        <v> 19.20</v>
      </c>
      <c r="H1849" s="30" t="str">
        <f aca="false">IF('Boletins Nuppa Site'!K1849&lt;&gt;0,'Boletins Nuppa Site'!K1849,"NULL")</f>
        <v> 20.00</v>
      </c>
      <c r="I1849" s="0" t="str">
        <f aca="false">"INSERT INTO COTACAO (cot_id, cot_blt_id, cot_pap_id, cot_prc_comum, cot_prc_min, cot_prc_max, cot_prc_med, cot_prc_mediana) VALUES ("&amp;A1849&amp;", "&amp;B1849&amp;", "&amp;C1849&amp;", "&amp;D1849&amp;", "&amp;E1849&amp;", "&amp;F1849&amp;", "&amp;G1849&amp;", "&amp;H1849&amp;");"</f>
        <v>INSERT INTO COTACAO (cot_id, cot_blt_id, cot_pap_id, cot_prc_comum, cot_prc_min, cot_prc_max, cot_prc_med, cot_prc_mediana) VALUES (1848, 84, 18,  20.00,  18.00,  20.00,  19.20,  20.00);</v>
      </c>
      <c r="J1849" s="0" t="str">
        <f aca="false">"UPDATE COTACAO SET cot_id = "&amp;A1849&amp;", cot_blt_id = "&amp;B1849&amp;", cot_pap_id = "&amp;C1849&amp;", cot_prc_comum = "&amp;D1849&amp;", cot_prc_min = "&amp;E1849&amp;", cot_prc_max = "&amp;F1849&amp;", cot_prc_med = "&amp;G1849&amp;", cot_prc_mediana = "&amp;H1849&amp;" WHERE cot_id = "&amp;A1849&amp;";"</f>
        <v>UPDATE COTACAO SET cot_id = 1848, cot_blt_id = 84, cot_pap_id = 18, cot_prc_comum =  20.00, cot_prc_min =  18.00, cot_prc_max =  20.00, cot_prc_med =  19.20, cot_prc_mediana =  20.00 WHERE cot_id = 1848;</v>
      </c>
    </row>
    <row r="1850" customFormat="false" ht="14.25" hidden="false" customHeight="false" outlineLevel="0" collapsed="false">
      <c r="A1850" s="0" t="n">
        <v>1849</v>
      </c>
      <c r="B1850" s="0" t="n">
        <f aca="false">IF('Boletins Nuppa Site'!A1850&lt;&gt;0,'Boletins Nuppa Site'!A1850,"NULL")</f>
        <v>84</v>
      </c>
      <c r="C1850" s="0" t="n">
        <v>19</v>
      </c>
      <c r="D1850" s="0" t="str">
        <f aca="false">IF('Boletins Nuppa Site'!G1850&lt;&gt;0,'Boletins Nuppa Site'!G1850,"NULL")</f>
        <v> 25.00</v>
      </c>
      <c r="E1850" s="30" t="str">
        <f aca="false">IF('Boletins Nuppa Site'!H1850&lt;&gt;0,'Boletins Nuppa Site'!H1850,"NULL")</f>
        <v> 20.00</v>
      </c>
      <c r="F1850" s="30" t="str">
        <f aca="false">IF('Boletins Nuppa Site'!I1850&lt;&gt;0,'Boletins Nuppa Site'!I1850,"NULL")</f>
        <v> 30.00</v>
      </c>
      <c r="G1850" s="30" t="str">
        <f aca="false">IF('Boletins Nuppa Site'!J1850&lt;&gt;0,'Boletins Nuppa Site'!J1850,"NULL")</f>
        <v> 25.00</v>
      </c>
      <c r="H1850" s="30" t="str">
        <f aca="false">IF('Boletins Nuppa Site'!K1850&lt;&gt;0,'Boletins Nuppa Site'!K1850,"NULL")</f>
        <v> 25.00</v>
      </c>
      <c r="I1850" s="0" t="str">
        <f aca="false">"INSERT INTO COTACAO (cot_id, cot_blt_id, cot_pap_id, cot_prc_comum, cot_prc_min, cot_prc_max, cot_prc_med, cot_prc_mediana) VALUES ("&amp;A1850&amp;", "&amp;B1850&amp;", "&amp;C1850&amp;", "&amp;D1850&amp;", "&amp;E1850&amp;", "&amp;F1850&amp;", "&amp;G1850&amp;", "&amp;H1850&amp;");"</f>
        <v>INSERT INTO COTACAO (cot_id, cot_blt_id, cot_pap_id, cot_prc_comum, cot_prc_min, cot_prc_max, cot_prc_med, cot_prc_mediana) VALUES (1849, 84, 19,  25.00,  20.00,  30.00,  25.00,  25.00);</v>
      </c>
      <c r="J1850" s="0" t="str">
        <f aca="false">"UPDATE COTACAO SET cot_id = "&amp;A1850&amp;", cot_blt_id = "&amp;B1850&amp;", cot_pap_id = "&amp;C1850&amp;", cot_prc_comum = "&amp;D1850&amp;", cot_prc_min = "&amp;E1850&amp;", cot_prc_max = "&amp;F1850&amp;", cot_prc_med = "&amp;G1850&amp;", cot_prc_mediana = "&amp;H1850&amp;" WHERE cot_id = "&amp;A1850&amp;";"</f>
        <v>UPDATE COTACAO SET cot_id = 1849, cot_blt_id = 84, cot_pap_id = 19, cot_prc_comum =  25.00, cot_prc_min =  20.00, cot_prc_max =  30.00, cot_prc_med =  25.00, cot_prc_mediana =  25.00 WHERE cot_id = 1849;</v>
      </c>
    </row>
    <row r="1851" customFormat="false" ht="14.25" hidden="false" customHeight="false" outlineLevel="0" collapsed="false">
      <c r="A1851" s="0" t="n">
        <v>1850</v>
      </c>
      <c r="B1851" s="0" t="n">
        <f aca="false">IF('Boletins Nuppa Site'!A1851&lt;&gt;0,'Boletins Nuppa Site'!A1851,"NULL")</f>
        <v>84</v>
      </c>
      <c r="C1851" s="0" t="n">
        <v>20</v>
      </c>
      <c r="D1851" s="0" t="str">
        <f aca="false">IF('Boletins Nuppa Site'!G1851&lt;&gt;0,'Boletins Nuppa Site'!G1851,"NULL")</f>
        <v> 80.00</v>
      </c>
      <c r="E1851" s="30" t="str">
        <f aca="false">IF('Boletins Nuppa Site'!H1851&lt;&gt;0,'Boletins Nuppa Site'!H1851,"NULL")</f>
        <v> 80.00</v>
      </c>
      <c r="F1851" s="30" t="str">
        <f aca="false">IF('Boletins Nuppa Site'!I1851&lt;&gt;0,'Boletins Nuppa Site'!I1851,"NULL")</f>
        <v> 80.00</v>
      </c>
      <c r="G1851" s="30" t="str">
        <f aca="false">IF('Boletins Nuppa Site'!J1851&lt;&gt;0,'Boletins Nuppa Site'!J1851,"NULL")</f>
        <v> 80.00</v>
      </c>
      <c r="H1851" s="30" t="str">
        <f aca="false">IF('Boletins Nuppa Site'!K1851&lt;&gt;0,'Boletins Nuppa Site'!K1851,"NULL")</f>
        <v> 80.00</v>
      </c>
      <c r="I1851" s="0" t="str">
        <f aca="false">"INSERT INTO COTACAO (cot_id, cot_blt_id, cot_pap_id, cot_prc_comum, cot_prc_min, cot_prc_max, cot_prc_med, cot_prc_mediana) VALUES ("&amp;A1851&amp;", "&amp;B1851&amp;", "&amp;C1851&amp;", "&amp;D1851&amp;", "&amp;E1851&amp;", "&amp;F1851&amp;", "&amp;G1851&amp;", "&amp;H1851&amp;");"</f>
        <v>INSERT INTO COTACAO (cot_id, cot_blt_id, cot_pap_id, cot_prc_comum, cot_prc_min, cot_prc_max, cot_prc_med, cot_prc_mediana) VALUES (1850, 84, 20,  80.00,  80.00,  80.00,  80.00,  80.00);</v>
      </c>
      <c r="J1851" s="0" t="str">
        <f aca="false">"UPDATE COTACAO SET cot_id = "&amp;A1851&amp;", cot_blt_id = "&amp;B1851&amp;", cot_pap_id = "&amp;C1851&amp;", cot_prc_comum = "&amp;D1851&amp;", cot_prc_min = "&amp;E1851&amp;", cot_prc_max = "&amp;F1851&amp;", cot_prc_med = "&amp;G1851&amp;", cot_prc_mediana = "&amp;H1851&amp;" WHERE cot_id = "&amp;A1851&amp;";"</f>
        <v>UPDATE COTACAO SET cot_id = 1850, cot_blt_id = 84, cot_pap_id = 20, cot_prc_comum =  80.00, cot_prc_min =  80.00, cot_prc_max =  80.00, cot_prc_med =  80.00, cot_prc_mediana =  80.00 WHERE cot_id = 1850;</v>
      </c>
    </row>
    <row r="1852" customFormat="false" ht="14.25" hidden="false" customHeight="false" outlineLevel="0" collapsed="false">
      <c r="A1852" s="0" t="n">
        <v>1851</v>
      </c>
      <c r="B1852" s="0" t="n">
        <f aca="false">IF('Boletins Nuppa Site'!A1852&lt;&gt;0,'Boletins Nuppa Site'!A1852,"NULL")</f>
        <v>84</v>
      </c>
      <c r="C1852" s="0" t="n">
        <v>21</v>
      </c>
      <c r="D1852" s="0" t="str">
        <f aca="false">IF('Boletins Nuppa Site'!G1852&lt;&gt;0,'Boletins Nuppa Site'!G1852,"NULL")</f>
        <v> 45.00</v>
      </c>
      <c r="E1852" s="30" t="str">
        <f aca="false">IF('Boletins Nuppa Site'!H1852&lt;&gt;0,'Boletins Nuppa Site'!H1852,"NULL")</f>
        <v> 50.00</v>
      </c>
      <c r="F1852" s="30" t="str">
        <f aca="false">IF('Boletins Nuppa Site'!I1852&lt;&gt;0,'Boletins Nuppa Site'!I1852,"NULL")</f>
        <v> 50.00</v>
      </c>
      <c r="G1852" s="30" t="str">
        <f aca="false">IF('Boletins Nuppa Site'!J1852&lt;&gt;0,'Boletins Nuppa Site'!J1852,"NULL")</f>
        <v> 48.75</v>
      </c>
      <c r="H1852" s="30" t="str">
        <f aca="false">IF('Boletins Nuppa Site'!K1852&lt;&gt;0,'Boletins Nuppa Site'!K1852,"NULL")</f>
        <v> 50.00</v>
      </c>
      <c r="I1852" s="0" t="str">
        <f aca="false">"INSERT INTO COTACAO (cot_id, cot_blt_id, cot_pap_id, cot_prc_comum, cot_prc_min, cot_prc_max, cot_prc_med, cot_prc_mediana) VALUES ("&amp;A1852&amp;", "&amp;B1852&amp;", "&amp;C1852&amp;", "&amp;D1852&amp;", "&amp;E1852&amp;", "&amp;F1852&amp;", "&amp;G1852&amp;", "&amp;H1852&amp;");"</f>
        <v>INSERT INTO COTACAO (cot_id, cot_blt_id, cot_pap_id, cot_prc_comum, cot_prc_min, cot_prc_max, cot_prc_med, cot_prc_mediana) VALUES (1851, 84, 21,  45.00,  50.00,  50.00,  48.75,  50.00);</v>
      </c>
      <c r="J1852" s="0" t="str">
        <f aca="false">"UPDATE COTACAO SET cot_id = "&amp;A1852&amp;", cot_blt_id = "&amp;B1852&amp;", cot_pap_id = "&amp;C1852&amp;", cot_prc_comum = "&amp;D1852&amp;", cot_prc_min = "&amp;E1852&amp;", cot_prc_max = "&amp;F1852&amp;", cot_prc_med = "&amp;G1852&amp;", cot_prc_mediana = "&amp;H1852&amp;" WHERE cot_id = "&amp;A1852&amp;";"</f>
        <v>UPDATE COTACAO SET cot_id = 1851, cot_blt_id = 84, cot_pap_id = 21, cot_prc_comum =  45.00, cot_prc_min =  50.00, cot_prc_max =  50.00, cot_prc_med =  48.75, cot_prc_mediana =  50.00 WHERE cot_id = 1851;</v>
      </c>
    </row>
    <row r="1853" customFormat="false" ht="14.25" hidden="false" customHeight="false" outlineLevel="0" collapsed="false">
      <c r="A1853" s="0" t="n">
        <v>1852</v>
      </c>
      <c r="B1853" s="0" t="n">
        <f aca="false">IF('Boletins Nuppa Site'!A1853&lt;&gt;0,'Boletins Nuppa Site'!A1853,"NULL")</f>
        <v>84</v>
      </c>
      <c r="C1853" s="0" t="n">
        <v>22</v>
      </c>
      <c r="D1853" s="0" t="str">
        <f aca="false">IF('Boletins Nuppa Site'!G1853&lt;&gt;0,'Boletins Nuppa Site'!G1853,"NULL")</f>
        <v> 45.00</v>
      </c>
      <c r="E1853" s="30" t="str">
        <f aca="false">IF('Boletins Nuppa Site'!H1853&lt;&gt;0,'Boletins Nuppa Site'!H1853,"NULL")</f>
        <v> 57.50</v>
      </c>
      <c r="F1853" s="30" t="str">
        <f aca="false">IF('Boletins Nuppa Site'!I1853&lt;&gt;0,'Boletins Nuppa Site'!I1853,"NULL")</f>
        <v> 70.00</v>
      </c>
      <c r="G1853" s="30" t="str">
        <f aca="false">IF('Boletins Nuppa Site'!J1853&lt;&gt;0,'Boletins Nuppa Site'!J1853,"NULL")</f>
        <v> 57.50</v>
      </c>
      <c r="H1853" s="30" t="str">
        <f aca="false">IF('Boletins Nuppa Site'!K1853&lt;&gt;0,'Boletins Nuppa Site'!K1853,"NULL")</f>
        <v> 57.50</v>
      </c>
      <c r="I1853" s="0" t="str">
        <f aca="false">"INSERT INTO COTACAO (cot_id, cot_blt_id, cot_pap_id, cot_prc_comum, cot_prc_min, cot_prc_max, cot_prc_med, cot_prc_mediana) VALUES ("&amp;A1853&amp;", "&amp;B1853&amp;", "&amp;C1853&amp;", "&amp;D1853&amp;", "&amp;E1853&amp;", "&amp;F1853&amp;", "&amp;G1853&amp;", "&amp;H1853&amp;");"</f>
        <v>INSERT INTO COTACAO (cot_id, cot_blt_id, cot_pap_id, cot_prc_comum, cot_prc_min, cot_prc_max, cot_prc_med, cot_prc_mediana) VALUES (1852, 84, 22,  45.00,  57.50,  70.00,  57.50,  57.50);</v>
      </c>
      <c r="J1853" s="0" t="str">
        <f aca="false">"UPDATE COTACAO SET cot_id = "&amp;A1853&amp;", cot_blt_id = "&amp;B1853&amp;", cot_pap_id = "&amp;C1853&amp;", cot_prc_comum = "&amp;D1853&amp;", cot_prc_min = "&amp;E1853&amp;", cot_prc_max = "&amp;F1853&amp;", cot_prc_med = "&amp;G1853&amp;", cot_prc_mediana = "&amp;H1853&amp;" WHERE cot_id = "&amp;A1853&amp;";"</f>
        <v>UPDATE COTACAO SET cot_id = 1852, cot_blt_id = 84, cot_pap_id = 22, cot_prc_comum =  45.00, cot_prc_min =  57.50, cot_prc_max =  70.00, cot_prc_med =  57.50, cot_prc_mediana =  57.50 WHERE cot_id = 1852;</v>
      </c>
    </row>
    <row r="1854" customFormat="false" ht="14.25" hidden="false" customHeight="false" outlineLevel="0" collapsed="false">
      <c r="A1854" s="0" t="n">
        <v>1853</v>
      </c>
      <c r="B1854" s="0" t="n">
        <f aca="false">IF('Boletins Nuppa Site'!A1854&lt;&gt;0,'Boletins Nuppa Site'!A1854,"NULL")</f>
        <v>84</v>
      </c>
      <c r="C1854" s="0" t="n">
        <v>23</v>
      </c>
      <c r="D1854" s="0" t="str">
        <f aca="false">IF('Boletins Nuppa Site'!G1854&lt;&gt;0,'Boletins Nuppa Site'!G1854,"NULL")</f>
        <v> 50.00</v>
      </c>
      <c r="E1854" s="30" t="str">
        <f aca="false">IF('Boletins Nuppa Site'!H1854&lt;&gt;0,'Boletins Nuppa Site'!H1854,"NULL")</f>
        <v> 50.00</v>
      </c>
      <c r="F1854" s="30" t="str">
        <f aca="false">IF('Boletins Nuppa Site'!I1854&lt;&gt;0,'Boletins Nuppa Site'!I1854,"NULL")</f>
        <v> 55.00</v>
      </c>
      <c r="G1854" s="30" t="str">
        <f aca="false">IF('Boletins Nuppa Site'!J1854&lt;&gt;0,'Boletins Nuppa Site'!J1854,"NULL")</f>
        <v> 51.25</v>
      </c>
      <c r="H1854" s="30" t="str">
        <f aca="false">IF('Boletins Nuppa Site'!K1854&lt;&gt;0,'Boletins Nuppa Site'!K1854,"NULL")</f>
        <v> 50.00</v>
      </c>
      <c r="I1854" s="0" t="str">
        <f aca="false">"INSERT INTO COTACAO (cot_id, cot_blt_id, cot_pap_id, cot_prc_comum, cot_prc_min, cot_prc_max, cot_prc_med, cot_prc_mediana) VALUES ("&amp;A1854&amp;", "&amp;B1854&amp;", "&amp;C1854&amp;", "&amp;D1854&amp;", "&amp;E1854&amp;", "&amp;F1854&amp;", "&amp;G1854&amp;", "&amp;H1854&amp;");"</f>
        <v>INSERT INTO COTACAO (cot_id, cot_blt_id, cot_pap_id, cot_prc_comum, cot_prc_min, cot_prc_max, cot_prc_med, cot_prc_mediana) VALUES (1853, 84, 23,  50.00,  50.00,  55.00,  51.25,  50.00);</v>
      </c>
      <c r="J1854" s="0" t="str">
        <f aca="false">"UPDATE COTACAO SET cot_id = "&amp;A1854&amp;", cot_blt_id = "&amp;B1854&amp;", cot_pap_id = "&amp;C1854&amp;", cot_prc_comum = "&amp;D1854&amp;", cot_prc_min = "&amp;E1854&amp;", cot_prc_max = "&amp;F1854&amp;", cot_prc_med = "&amp;G1854&amp;", cot_prc_mediana = "&amp;H1854&amp;" WHERE cot_id = "&amp;A1854&amp;";"</f>
        <v>UPDATE COTACAO SET cot_id = 1853, cot_blt_id = 84, cot_pap_id = 23, cot_prc_comum =  50.00, cot_prc_min =  50.00, cot_prc_max =  55.00, cot_prc_med =  51.25, cot_prc_mediana =  50.00 WHERE cot_id = 1853;</v>
      </c>
    </row>
    <row r="1855" customFormat="false" ht="14.25" hidden="false" customHeight="false" outlineLevel="0" collapsed="false">
      <c r="A1855" s="0" t="n">
        <v>1854</v>
      </c>
      <c r="B1855" s="0" t="n">
        <f aca="false">IF('Boletins Nuppa Site'!A1855&lt;&gt;0,'Boletins Nuppa Site'!A1855,"NULL")</f>
        <v>84</v>
      </c>
      <c r="C1855" s="0" t="n">
        <v>24</v>
      </c>
      <c r="D1855" s="0" t="str">
        <f aca="false">IF('Boletins Nuppa Site'!G1855&lt;&gt;0,'Boletins Nuppa Site'!G1855,"NULL")</f>
        <v> 80.00</v>
      </c>
      <c r="E1855" s="30" t="str">
        <f aca="false">IF('Boletins Nuppa Site'!H1855&lt;&gt;0,'Boletins Nuppa Site'!H1855,"NULL")</f>
        <v> 80.00</v>
      </c>
      <c r="F1855" s="30" t="str">
        <f aca="false">IF('Boletins Nuppa Site'!I1855&lt;&gt;0,'Boletins Nuppa Site'!I1855,"NULL")</f>
        <v> 80.00</v>
      </c>
      <c r="G1855" s="30" t="str">
        <f aca="false">IF('Boletins Nuppa Site'!J1855&lt;&gt;0,'Boletins Nuppa Site'!J1855,"NULL")</f>
        <v> 80.00</v>
      </c>
      <c r="H1855" s="30" t="str">
        <f aca="false">IF('Boletins Nuppa Site'!K1855&lt;&gt;0,'Boletins Nuppa Site'!K1855,"NULL")</f>
        <v> 80.00</v>
      </c>
      <c r="I1855" s="0" t="str">
        <f aca="false">"INSERT INTO COTACAO (cot_id, cot_blt_id, cot_pap_id, cot_prc_comum, cot_prc_min, cot_prc_max, cot_prc_med, cot_prc_mediana) VALUES ("&amp;A1855&amp;", "&amp;B1855&amp;", "&amp;C1855&amp;", "&amp;D1855&amp;", "&amp;E1855&amp;", "&amp;F1855&amp;", "&amp;G1855&amp;", "&amp;H1855&amp;");"</f>
        <v>INSERT INTO COTACAO (cot_id, cot_blt_id, cot_pap_id, cot_prc_comum, cot_prc_min, cot_prc_max, cot_prc_med, cot_prc_mediana) VALUES (1854, 84, 24,  80.00,  80.00,  80.00,  80.00,  80.00);</v>
      </c>
      <c r="J1855" s="0" t="str">
        <f aca="false">"UPDATE COTACAO SET cot_id = "&amp;A1855&amp;", cot_blt_id = "&amp;B1855&amp;", cot_pap_id = "&amp;C1855&amp;", cot_prc_comum = "&amp;D1855&amp;", cot_prc_min = "&amp;E1855&amp;", cot_prc_max = "&amp;F1855&amp;", cot_prc_med = "&amp;G1855&amp;", cot_prc_mediana = "&amp;H1855&amp;" WHERE cot_id = "&amp;A1855&amp;";"</f>
        <v>UPDATE COTACAO SET cot_id = 1854, cot_blt_id = 84, cot_pap_id = 24, cot_prc_comum =  80.00, cot_prc_min =  80.00, cot_prc_max =  80.00, cot_prc_med =  80.00, cot_prc_mediana =  80.00 WHERE cot_id = 1854;</v>
      </c>
    </row>
    <row r="1856" customFormat="false" ht="14.25" hidden="false" customHeight="false" outlineLevel="0" collapsed="false">
      <c r="A1856" s="0" t="n">
        <v>1855</v>
      </c>
      <c r="B1856" s="0" t="n">
        <f aca="false">IF('Boletins Nuppa Site'!A1856&lt;&gt;0,'Boletins Nuppa Site'!A1856,"NULL")</f>
        <v>84</v>
      </c>
      <c r="C1856" s="0" t="n">
        <v>25</v>
      </c>
      <c r="D1856" s="0" t="str">
        <f aca="false">IF('Boletins Nuppa Site'!G1856&lt;&gt;0,'Boletins Nuppa Site'!G1856,"NULL")</f>
        <v> 55.00</v>
      </c>
      <c r="E1856" s="30" t="str">
        <f aca="false">IF('Boletins Nuppa Site'!H1856&lt;&gt;0,'Boletins Nuppa Site'!H1856,"NULL")</f>
        <v> 60.00</v>
      </c>
      <c r="F1856" s="30" t="str">
        <f aca="false">IF('Boletins Nuppa Site'!I1856&lt;&gt;0,'Boletins Nuppa Site'!I1856,"NULL")</f>
        <v> 65.00</v>
      </c>
      <c r="G1856" s="30" t="str">
        <f aca="false">IF('Boletins Nuppa Site'!J1856&lt;&gt;0,'Boletins Nuppa Site'!J1856,"NULL")</f>
        <v> 60.00</v>
      </c>
      <c r="H1856" s="30" t="str">
        <f aca="false">IF('Boletins Nuppa Site'!K1856&lt;&gt;0,'Boletins Nuppa Site'!K1856,"NULL")</f>
        <v> 60.00</v>
      </c>
      <c r="I1856" s="0" t="str">
        <f aca="false">"INSERT INTO COTACAO (cot_id, cot_blt_id, cot_pap_id, cot_prc_comum, cot_prc_min, cot_prc_max, cot_prc_med, cot_prc_mediana) VALUES ("&amp;A1856&amp;", "&amp;B1856&amp;", "&amp;C1856&amp;", "&amp;D1856&amp;", "&amp;E1856&amp;", "&amp;F1856&amp;", "&amp;G1856&amp;", "&amp;H1856&amp;");"</f>
        <v>INSERT INTO COTACAO (cot_id, cot_blt_id, cot_pap_id, cot_prc_comum, cot_prc_min, cot_prc_max, cot_prc_med, cot_prc_mediana) VALUES (1855, 84, 25,  55.00,  60.00,  65.00,  60.00,  60.00);</v>
      </c>
      <c r="J1856" s="0" t="str">
        <f aca="false">"UPDATE COTACAO SET cot_id = "&amp;A1856&amp;", cot_blt_id = "&amp;B1856&amp;", cot_pap_id = "&amp;C1856&amp;", cot_prc_comum = "&amp;D1856&amp;", cot_prc_min = "&amp;E1856&amp;", cot_prc_max = "&amp;F1856&amp;", cot_prc_med = "&amp;G1856&amp;", cot_prc_mediana = "&amp;H1856&amp;" WHERE cot_id = "&amp;A1856&amp;";"</f>
        <v>UPDATE COTACAO SET cot_id = 1855, cot_blt_id = 84, cot_pap_id = 25, cot_prc_comum =  55.00, cot_prc_min =  60.00, cot_prc_max =  65.00, cot_prc_med =  60.00, cot_prc_mediana =  60.00 WHERE cot_id = 1855;</v>
      </c>
    </row>
    <row r="1857" customFormat="false" ht="14.25" hidden="false" customHeight="false" outlineLevel="0" collapsed="false">
      <c r="A1857" s="0" t="n">
        <v>1856</v>
      </c>
      <c r="B1857" s="0" t="n">
        <f aca="false">IF('Boletins Nuppa Site'!A1857&lt;&gt;0,'Boletins Nuppa Site'!A1857,"NULL")</f>
        <v>84</v>
      </c>
      <c r="C1857" s="0" t="n">
        <v>26</v>
      </c>
      <c r="D1857" s="0" t="str">
        <f aca="false">IF('Boletins Nuppa Site'!G1857&lt;&gt;0,'Boletins Nuppa Site'!G1857,"NULL")</f>
        <v> 50.00</v>
      </c>
      <c r="E1857" s="30" t="str">
        <f aca="false">IF('Boletins Nuppa Site'!H1857&lt;&gt;0,'Boletins Nuppa Site'!H1857,"NULL")</f>
        <v> 85.00</v>
      </c>
      <c r="F1857" s="30" t="str">
        <f aca="false">IF('Boletins Nuppa Site'!I1857&lt;&gt;0,'Boletins Nuppa Site'!I1857,"NULL")</f>
        <v> 65.00</v>
      </c>
      <c r="G1857" s="30" t="str">
        <f aca="false">IF('Boletins Nuppa Site'!J1857&lt;&gt;0,'Boletins Nuppa Site'!J1857,"NULL")</f>
        <v> 65.00</v>
      </c>
      <c r="H1857" s="30" t="str">
        <f aca="false">IF('Boletins Nuppa Site'!K1857&lt;&gt;0,'Boletins Nuppa Site'!K1857,"NULL")</f>
        <v> 62.50</v>
      </c>
      <c r="I1857" s="0" t="str">
        <f aca="false">"INSERT INTO COTACAO (cot_id, cot_blt_id, cot_pap_id, cot_prc_comum, cot_prc_min, cot_prc_max, cot_prc_med, cot_prc_mediana) VALUES ("&amp;A1857&amp;", "&amp;B1857&amp;", "&amp;C1857&amp;", "&amp;D1857&amp;", "&amp;E1857&amp;", "&amp;F1857&amp;", "&amp;G1857&amp;", "&amp;H1857&amp;");"</f>
        <v>INSERT INTO COTACAO (cot_id, cot_blt_id, cot_pap_id, cot_prc_comum, cot_prc_min, cot_prc_max, cot_prc_med, cot_prc_mediana) VALUES (1856, 84, 26,  50.00,  85.00,  65.00,  65.00,  62.50);</v>
      </c>
      <c r="J1857" s="0" t="str">
        <f aca="false">"UPDATE COTACAO SET cot_id = "&amp;A1857&amp;", cot_blt_id = "&amp;B1857&amp;", cot_pap_id = "&amp;C1857&amp;", cot_prc_comum = "&amp;D1857&amp;", cot_prc_min = "&amp;E1857&amp;", cot_prc_max = "&amp;F1857&amp;", cot_prc_med = "&amp;G1857&amp;", cot_prc_mediana = "&amp;H1857&amp;" WHERE cot_id = "&amp;A1857&amp;";"</f>
        <v>UPDATE COTACAO SET cot_id = 1856, cot_blt_id = 84, cot_pap_id = 26, cot_prc_comum =  50.00, cot_prc_min =  85.00, cot_prc_max =  65.00, cot_prc_med =  65.00, cot_prc_mediana =  62.50 WHERE cot_id = 1856;</v>
      </c>
    </row>
    <row r="1858" customFormat="false" ht="14.25" hidden="false" customHeight="false" outlineLevel="0" collapsed="false">
      <c r="A1858" s="0" t="n">
        <v>1857</v>
      </c>
      <c r="B1858" s="0" t="n">
        <f aca="false">IF('Boletins Nuppa Site'!A1858&lt;&gt;0,'Boletins Nuppa Site'!A1858,"NULL")</f>
        <v>84</v>
      </c>
      <c r="C1858" s="0" t="n">
        <v>27</v>
      </c>
      <c r="D1858" s="0" t="str">
        <f aca="false">IF('Boletins Nuppa Site'!G1858&lt;&gt;0,'Boletins Nuppa Site'!G1858,"NULL")</f>
        <v> 60.00</v>
      </c>
      <c r="E1858" s="30" t="str">
        <f aca="false">IF('Boletins Nuppa Site'!H1858&lt;&gt;0,'Boletins Nuppa Site'!H1858,"NULL")</f>
        <v> 30.00</v>
      </c>
      <c r="F1858" s="30" t="str">
        <f aca="false">IF('Boletins Nuppa Site'!I1858&lt;&gt;0,'Boletins Nuppa Site'!I1858,"NULL")</f>
        <v> 60.00</v>
      </c>
      <c r="G1858" s="30" t="str">
        <f aca="false">IF('Boletins Nuppa Site'!J1858&lt;&gt;0,'Boletins Nuppa Site'!J1858,"NULL")</f>
        <v> 48.75</v>
      </c>
      <c r="H1858" s="30" t="str">
        <f aca="false">IF('Boletins Nuppa Site'!K1858&lt;&gt;0,'Boletins Nuppa Site'!K1858,"NULL")</f>
        <v> 52.50</v>
      </c>
      <c r="I1858" s="0" t="str">
        <f aca="false">"INSERT INTO COTACAO (cot_id, cot_blt_id, cot_pap_id, cot_prc_comum, cot_prc_min, cot_prc_max, cot_prc_med, cot_prc_mediana) VALUES ("&amp;A1858&amp;", "&amp;B1858&amp;", "&amp;C1858&amp;", "&amp;D1858&amp;", "&amp;E1858&amp;", "&amp;F1858&amp;", "&amp;G1858&amp;", "&amp;H1858&amp;");"</f>
        <v>INSERT INTO COTACAO (cot_id, cot_blt_id, cot_pap_id, cot_prc_comum, cot_prc_min, cot_prc_max, cot_prc_med, cot_prc_mediana) VALUES (1857, 84, 27,  60.00,  30.00,  60.00,  48.75,  52.50);</v>
      </c>
      <c r="J1858" s="0" t="str">
        <f aca="false">"UPDATE COTACAO SET cot_id = "&amp;A1858&amp;", cot_blt_id = "&amp;B1858&amp;", cot_pap_id = "&amp;C1858&amp;", cot_prc_comum = "&amp;D1858&amp;", cot_prc_min = "&amp;E1858&amp;", cot_prc_max = "&amp;F1858&amp;", cot_prc_med = "&amp;G1858&amp;", cot_prc_mediana = "&amp;H1858&amp;" WHERE cot_id = "&amp;A1858&amp;";"</f>
        <v>UPDATE COTACAO SET cot_id = 1857, cot_blt_id = 84, cot_pap_id = 27, cot_prc_comum =  60.00, cot_prc_min =  30.00, cot_prc_max =  60.00, cot_prc_med =  48.75, cot_prc_mediana =  52.50 WHERE cot_id = 1857;</v>
      </c>
    </row>
    <row r="1859" customFormat="false" ht="14.25" hidden="false" customHeight="false" outlineLevel="0" collapsed="false">
      <c r="A1859" s="0" t="n">
        <v>1858</v>
      </c>
      <c r="B1859" s="0" t="n">
        <f aca="false">IF('Boletins Nuppa Site'!A1859&lt;&gt;0,'Boletins Nuppa Site'!A1859,"NULL")</f>
        <v>84</v>
      </c>
      <c r="C1859" s="0" t="n">
        <v>28</v>
      </c>
      <c r="D1859" s="0" t="str">
        <f aca="false">IF('Boletins Nuppa Site'!G1859&lt;&gt;0,'Boletins Nuppa Site'!G1859,"NULL")</f>
        <v> 70.00</v>
      </c>
      <c r="E1859" s="30" t="str">
        <f aca="false">IF('Boletins Nuppa Site'!H1859&lt;&gt;0,'Boletins Nuppa Site'!H1859,"NULL")</f>
        <v> 70.00</v>
      </c>
      <c r="F1859" s="30" t="str">
        <f aca="false">IF('Boletins Nuppa Site'!I1859&lt;&gt;0,'Boletins Nuppa Site'!I1859,"NULL")</f>
        <v> 110.00</v>
      </c>
      <c r="G1859" s="30" t="str">
        <f aca="false">IF('Boletins Nuppa Site'!J1859&lt;&gt;0,'Boletins Nuppa Site'!J1859,"NULL")</f>
        <v> 85.00</v>
      </c>
      <c r="H1859" s="30" t="str">
        <f aca="false">IF('Boletins Nuppa Site'!K1859&lt;&gt;0,'Boletins Nuppa Site'!K1859,"NULL")</f>
        <v> 80.00</v>
      </c>
      <c r="I1859" s="0" t="str">
        <f aca="false">"INSERT INTO COTACAO (cot_id, cot_blt_id, cot_pap_id, cot_prc_comum, cot_prc_min, cot_prc_max, cot_prc_med, cot_prc_mediana) VALUES ("&amp;A1859&amp;", "&amp;B1859&amp;", "&amp;C1859&amp;", "&amp;D1859&amp;", "&amp;E1859&amp;", "&amp;F1859&amp;", "&amp;G1859&amp;", "&amp;H1859&amp;");"</f>
        <v>INSERT INTO COTACAO (cot_id, cot_blt_id, cot_pap_id, cot_prc_comum, cot_prc_min, cot_prc_max, cot_prc_med, cot_prc_mediana) VALUES (1858, 84, 28,  70.00,  70.00,  110.00,  85.00,  80.00);</v>
      </c>
      <c r="J1859" s="0" t="str">
        <f aca="false">"UPDATE COTACAO SET cot_id = "&amp;A1859&amp;", cot_blt_id = "&amp;B1859&amp;", cot_pap_id = "&amp;C1859&amp;", cot_prc_comum = "&amp;D1859&amp;", cot_prc_min = "&amp;E1859&amp;", cot_prc_max = "&amp;F1859&amp;", cot_prc_med = "&amp;G1859&amp;", cot_prc_mediana = "&amp;H1859&amp;" WHERE cot_id = "&amp;A1859&amp;";"</f>
        <v>UPDATE COTACAO SET cot_id = 1858, cot_blt_id = 84, cot_pap_id = 28, cot_prc_comum =  70.00, cot_prc_min =  70.00, cot_prc_max =  110.00, cot_prc_med =  85.00, cot_prc_mediana =  80.00 WHERE cot_id = 1858;</v>
      </c>
    </row>
    <row r="1860" customFormat="false" ht="14.25" hidden="false" customHeight="false" outlineLevel="0" collapsed="false">
      <c r="A1860" s="0" t="n">
        <v>1859</v>
      </c>
      <c r="B1860" s="0" t="n">
        <f aca="false">IF('Boletins Nuppa Site'!A1860&lt;&gt;0,'Boletins Nuppa Site'!A1860,"NULL")</f>
        <v>84</v>
      </c>
      <c r="C1860" s="0" t="n">
        <v>29</v>
      </c>
      <c r="D1860" s="0" t="str">
        <f aca="false">IF('Boletins Nuppa Site'!G1860&lt;&gt;0,'Boletins Nuppa Site'!G1860,"NULL")</f>
        <v> 65.00</v>
      </c>
      <c r="E1860" s="30" t="str">
        <f aca="false">IF('Boletins Nuppa Site'!H1860&lt;&gt;0,'Boletins Nuppa Site'!H1860,"NULL")</f>
        <v> 65.00</v>
      </c>
      <c r="F1860" s="30" t="str">
        <f aca="false">IF('Boletins Nuppa Site'!I1860&lt;&gt;0,'Boletins Nuppa Site'!I1860,"NULL")</f>
        <v> 65.00</v>
      </c>
      <c r="G1860" s="30" t="str">
        <f aca="false">IF('Boletins Nuppa Site'!J1860&lt;&gt;0,'Boletins Nuppa Site'!J1860,"NULL")</f>
        <v> 65.00</v>
      </c>
      <c r="H1860" s="30" t="str">
        <f aca="false">IF('Boletins Nuppa Site'!K1860&lt;&gt;0,'Boletins Nuppa Site'!K1860,"NULL")</f>
        <v> 65.00</v>
      </c>
      <c r="I1860" s="0" t="str">
        <f aca="false">"INSERT INTO COTACAO (cot_id, cot_blt_id, cot_pap_id, cot_prc_comum, cot_prc_min, cot_prc_max, cot_prc_med, cot_prc_mediana) VALUES ("&amp;A1860&amp;", "&amp;B1860&amp;", "&amp;C1860&amp;", "&amp;D1860&amp;", "&amp;E1860&amp;", "&amp;F1860&amp;", "&amp;G1860&amp;", "&amp;H1860&amp;");"</f>
        <v>INSERT INTO COTACAO (cot_id, cot_blt_id, cot_pap_id, cot_prc_comum, cot_prc_min, cot_prc_max, cot_prc_med, cot_prc_mediana) VALUES (1859, 84, 29,  65.00,  65.00,  65.00,  65.00,  65.00);</v>
      </c>
      <c r="J1860" s="0" t="str">
        <f aca="false">"UPDATE COTACAO SET cot_id = "&amp;A1860&amp;", cot_blt_id = "&amp;B1860&amp;", cot_pap_id = "&amp;C1860&amp;", cot_prc_comum = "&amp;D1860&amp;", cot_prc_min = "&amp;E1860&amp;", cot_prc_max = "&amp;F1860&amp;", cot_prc_med = "&amp;G1860&amp;", cot_prc_mediana = "&amp;H1860&amp;" WHERE cot_id = "&amp;A1860&amp;";"</f>
        <v>UPDATE COTACAO SET cot_id = 1859, cot_blt_id = 84, cot_pap_id = 29, cot_prc_comum =  65.00, cot_prc_min =  65.00, cot_prc_max =  65.00, cot_prc_med =  65.00, cot_prc_mediana =  65.00 WHERE cot_id = 1859;</v>
      </c>
    </row>
    <row r="1861" customFormat="false" ht="14.25" hidden="false" customHeight="false" outlineLevel="0" collapsed="false">
      <c r="A1861" s="0" t="n">
        <v>1860</v>
      </c>
      <c r="B1861" s="0" t="n">
        <f aca="false">IF('Boletins Nuppa Site'!A1861&lt;&gt;0,'Boletins Nuppa Site'!A1861,"NULL")</f>
        <v>84</v>
      </c>
      <c r="C1861" s="0" t="n">
        <v>30</v>
      </c>
      <c r="D1861" s="0" t="str">
        <f aca="false">IF('Boletins Nuppa Site'!G1861&lt;&gt;0,'Boletins Nuppa Site'!G1861,"NULL")</f>
        <v> 45.00</v>
      </c>
      <c r="E1861" s="30" t="str">
        <f aca="false">IF('Boletins Nuppa Site'!H1861&lt;&gt;0,'Boletins Nuppa Site'!H1861,"NULL")</f>
        <v> 70.00</v>
      </c>
      <c r="F1861" s="30" t="str">
        <f aca="false">IF('Boletins Nuppa Site'!I1861&lt;&gt;0,'Boletins Nuppa Site'!I1861,"NULL")</f>
        <v> 70.00</v>
      </c>
      <c r="G1861" s="30" t="str">
        <f aca="false">IF('Boletins Nuppa Site'!J1861&lt;&gt;0,'Boletins Nuppa Site'!J1861,"NULL")</f>
        <v> 61.67</v>
      </c>
      <c r="H1861" s="30" t="str">
        <f aca="false">IF('Boletins Nuppa Site'!K1861&lt;&gt;0,'Boletins Nuppa Site'!K1861,"NULL")</f>
        <v> 70.00</v>
      </c>
      <c r="I1861" s="0" t="str">
        <f aca="false">"INSERT INTO COTACAO (cot_id, cot_blt_id, cot_pap_id, cot_prc_comum, cot_prc_min, cot_prc_max, cot_prc_med, cot_prc_mediana) VALUES ("&amp;A1861&amp;", "&amp;B1861&amp;", "&amp;C1861&amp;", "&amp;D1861&amp;", "&amp;E1861&amp;", "&amp;F1861&amp;", "&amp;G1861&amp;", "&amp;H1861&amp;");"</f>
        <v>INSERT INTO COTACAO (cot_id, cot_blt_id, cot_pap_id, cot_prc_comum, cot_prc_min, cot_prc_max, cot_prc_med, cot_prc_mediana) VALUES (1860, 84, 30,  45.00,  70.00,  70.00,  61.67,  70.00);</v>
      </c>
      <c r="J1861" s="0" t="str">
        <f aca="false">"UPDATE COTACAO SET cot_id = "&amp;A1861&amp;", cot_blt_id = "&amp;B1861&amp;", cot_pap_id = "&amp;C1861&amp;", cot_prc_comum = "&amp;D1861&amp;", cot_prc_min = "&amp;E1861&amp;", cot_prc_max = "&amp;F1861&amp;", cot_prc_med = "&amp;G1861&amp;", cot_prc_mediana = "&amp;H1861&amp;" WHERE cot_id = "&amp;A1861&amp;";"</f>
        <v>UPDATE COTACAO SET cot_id = 1860, cot_blt_id = 84, cot_pap_id = 30, cot_prc_comum =  45.00, cot_prc_min =  70.00, cot_prc_max =  70.00, cot_prc_med =  61.67, cot_prc_mediana =  70.00 WHERE cot_id = 1860;</v>
      </c>
    </row>
    <row r="1862" customFormat="false" ht="14.25" hidden="false" customHeight="false" outlineLevel="0" collapsed="false">
      <c r="A1862" s="0" t="n">
        <v>1861</v>
      </c>
      <c r="B1862" s="0" t="n">
        <f aca="false">IF('Boletins Nuppa Site'!A1862&lt;&gt;0,'Boletins Nuppa Site'!A1862,"NULL")</f>
        <v>84</v>
      </c>
      <c r="C1862" s="0" t="n">
        <v>31</v>
      </c>
      <c r="D1862" s="0" t="str">
        <f aca="false">IF('Boletins Nuppa Site'!G1862&lt;&gt;0,'Boletins Nuppa Site'!G1862,"NULL")</f>
        <v> 80.00</v>
      </c>
      <c r="E1862" s="30" t="str">
        <f aca="false">IF('Boletins Nuppa Site'!H1862&lt;&gt;0,'Boletins Nuppa Site'!H1862,"NULL")</f>
        <v> 80.00</v>
      </c>
      <c r="F1862" s="30" t="str">
        <f aca="false">IF('Boletins Nuppa Site'!I1862&lt;&gt;0,'Boletins Nuppa Site'!I1862,"NULL")</f>
        <v> 95.00</v>
      </c>
      <c r="G1862" s="30" t="str">
        <f aca="false">IF('Boletins Nuppa Site'!J1862&lt;&gt;0,'Boletins Nuppa Site'!J1862,"NULL")</f>
        <v> 83.75</v>
      </c>
      <c r="H1862" s="30" t="str">
        <f aca="false">IF('Boletins Nuppa Site'!K1862&lt;&gt;0,'Boletins Nuppa Site'!K1862,"NULL")</f>
        <v> 80.00</v>
      </c>
      <c r="I1862" s="0" t="str">
        <f aca="false">"INSERT INTO COTACAO (cot_id, cot_blt_id, cot_pap_id, cot_prc_comum, cot_prc_min, cot_prc_max, cot_prc_med, cot_prc_mediana) VALUES ("&amp;A1862&amp;", "&amp;B1862&amp;", "&amp;C1862&amp;", "&amp;D1862&amp;", "&amp;E1862&amp;", "&amp;F1862&amp;", "&amp;G1862&amp;", "&amp;H1862&amp;");"</f>
        <v>INSERT INTO COTACAO (cot_id, cot_blt_id, cot_pap_id, cot_prc_comum, cot_prc_min, cot_prc_max, cot_prc_med, cot_prc_mediana) VALUES (1861, 84, 31,  80.00,  80.00,  95.00,  83.75,  80.00);</v>
      </c>
      <c r="J1862" s="0" t="str">
        <f aca="false">"UPDATE COTACAO SET cot_id = "&amp;A1862&amp;", cot_blt_id = "&amp;B1862&amp;", cot_pap_id = "&amp;C1862&amp;", cot_prc_comum = "&amp;D1862&amp;", cot_prc_min = "&amp;E1862&amp;", cot_prc_max = "&amp;F1862&amp;", cot_prc_med = "&amp;G1862&amp;", cot_prc_mediana = "&amp;H1862&amp;" WHERE cot_id = "&amp;A1862&amp;";"</f>
        <v>UPDATE COTACAO SET cot_id = 1861, cot_blt_id = 84, cot_pap_id = 31, cot_prc_comum =  80.00, cot_prc_min =  80.00, cot_prc_max =  95.00, cot_prc_med =  83.75, cot_prc_mediana =  80.00 WHERE cot_id = 1861;</v>
      </c>
    </row>
    <row r="1863" customFormat="false" ht="14.25" hidden="false" customHeight="false" outlineLevel="0" collapsed="false">
      <c r="A1863" s="0" t="n">
        <v>1862</v>
      </c>
      <c r="B1863" s="0" t="n">
        <f aca="false">IF('Boletins Nuppa Site'!A1863&lt;&gt;0,'Boletins Nuppa Site'!A1863,"NULL")</f>
        <v>84</v>
      </c>
      <c r="C1863" s="0" t="n">
        <v>32</v>
      </c>
      <c r="D1863" s="0" t="str">
        <f aca="false">IF('Boletins Nuppa Site'!G1863&lt;&gt;0,'Boletins Nuppa Site'!G1863,"NULL")</f>
        <v> 35.00</v>
      </c>
      <c r="E1863" s="30" t="str">
        <f aca="false">IF('Boletins Nuppa Site'!H1863&lt;&gt;0,'Boletins Nuppa Site'!H1863,"NULL")</f>
        <v> 55.00</v>
      </c>
      <c r="F1863" s="30" t="str">
        <f aca="false">IF('Boletins Nuppa Site'!I1863&lt;&gt;0,'Boletins Nuppa Site'!I1863,"NULL")</f>
        <v> 46.25</v>
      </c>
      <c r="G1863" s="30" t="str">
        <f aca="false">IF('Boletins Nuppa Site'!J1863&lt;&gt;0,'Boletins Nuppa Site'!J1863,"NULL")</f>
        <v> 47.50</v>
      </c>
      <c r="H1863" s="30" t="str">
        <f aca="false">IF('Boletins Nuppa Site'!K1863&lt;&gt;0,'Boletins Nuppa Site'!K1863,"NULL")</f>
        <v> 47.50</v>
      </c>
      <c r="I1863" s="0" t="str">
        <f aca="false">"INSERT INTO COTACAO (cot_id, cot_blt_id, cot_pap_id, cot_prc_comum, cot_prc_min, cot_prc_max, cot_prc_med, cot_prc_mediana) VALUES ("&amp;A1863&amp;", "&amp;B1863&amp;", "&amp;C1863&amp;", "&amp;D1863&amp;", "&amp;E1863&amp;", "&amp;F1863&amp;", "&amp;G1863&amp;", "&amp;H1863&amp;");"</f>
        <v>INSERT INTO COTACAO (cot_id, cot_blt_id, cot_pap_id, cot_prc_comum, cot_prc_min, cot_prc_max, cot_prc_med, cot_prc_mediana) VALUES (1862, 84, 32,  35.00,  55.00,  46.25,  47.50,  47.50);</v>
      </c>
      <c r="J1863" s="0" t="str">
        <f aca="false">"UPDATE COTACAO SET cot_id = "&amp;A1863&amp;", cot_blt_id = "&amp;B1863&amp;", cot_pap_id = "&amp;C1863&amp;", cot_prc_comum = "&amp;D1863&amp;", cot_prc_min = "&amp;E1863&amp;", cot_prc_max = "&amp;F1863&amp;", cot_prc_med = "&amp;G1863&amp;", cot_prc_mediana = "&amp;H1863&amp;" WHERE cot_id = "&amp;A1863&amp;";"</f>
        <v>UPDATE COTACAO SET cot_id = 1862, cot_blt_id = 84, cot_pap_id = 32, cot_prc_comum =  35.00, cot_prc_min =  55.00, cot_prc_max =  46.25, cot_prc_med =  47.50, cot_prc_mediana =  47.50 WHERE cot_id = 1862;</v>
      </c>
    </row>
    <row r="1864" customFormat="false" ht="14.25" hidden="false" customHeight="false" outlineLevel="0" collapsed="false">
      <c r="A1864" s="0" t="n">
        <v>1863</v>
      </c>
      <c r="B1864" s="0" t="n">
        <f aca="false">IF('Boletins Nuppa Site'!A1864&lt;&gt;0,'Boletins Nuppa Site'!A1864,"NULL")</f>
        <v>84</v>
      </c>
      <c r="C1864" s="0" t="n">
        <v>33</v>
      </c>
      <c r="D1864" s="0" t="str">
        <f aca="false">IF('Boletins Nuppa Site'!G1864&lt;&gt;0,'Boletins Nuppa Site'!G1864,"NULL")</f>
        <v> 90.00</v>
      </c>
      <c r="E1864" s="30" t="str">
        <f aca="false">IF('Boletins Nuppa Site'!H1864&lt;&gt;0,'Boletins Nuppa Site'!H1864,"NULL")</f>
        <v> 90.00</v>
      </c>
      <c r="F1864" s="30" t="str">
        <f aca="false">IF('Boletins Nuppa Site'!I1864&lt;&gt;0,'Boletins Nuppa Site'!I1864,"NULL")</f>
        <v> 100.00</v>
      </c>
      <c r="G1864" s="30" t="str">
        <f aca="false">IF('Boletins Nuppa Site'!J1864&lt;&gt;0,'Boletins Nuppa Site'!J1864,"NULL")</f>
        <v> 95.00</v>
      </c>
      <c r="H1864" s="30" t="str">
        <f aca="false">IF('Boletins Nuppa Site'!K1864&lt;&gt;0,'Boletins Nuppa Site'!K1864,"NULL")</f>
        <v> 95.00</v>
      </c>
      <c r="I1864" s="0" t="str">
        <f aca="false">"INSERT INTO COTACAO (cot_id, cot_blt_id, cot_pap_id, cot_prc_comum, cot_prc_min, cot_prc_max, cot_prc_med, cot_prc_mediana) VALUES ("&amp;A1864&amp;", "&amp;B1864&amp;", "&amp;C1864&amp;", "&amp;D1864&amp;", "&amp;E1864&amp;", "&amp;F1864&amp;", "&amp;G1864&amp;", "&amp;H1864&amp;");"</f>
        <v>INSERT INTO COTACAO (cot_id, cot_blt_id, cot_pap_id, cot_prc_comum, cot_prc_min, cot_prc_max, cot_prc_med, cot_prc_mediana) VALUES (1863, 84, 33,  90.00,  90.00,  100.00,  95.00,  95.00);</v>
      </c>
      <c r="J1864" s="0" t="str">
        <f aca="false">"UPDATE COTACAO SET cot_id = "&amp;A1864&amp;", cot_blt_id = "&amp;B1864&amp;", cot_pap_id = "&amp;C1864&amp;", cot_prc_comum = "&amp;D1864&amp;", cot_prc_min = "&amp;E1864&amp;", cot_prc_max = "&amp;F1864&amp;", cot_prc_med = "&amp;G1864&amp;", cot_prc_mediana = "&amp;H1864&amp;" WHERE cot_id = "&amp;A1864&amp;";"</f>
        <v>UPDATE COTACAO SET cot_id = 1863, cot_blt_id = 84, cot_pap_id = 33, cot_prc_comum =  90.00, cot_prc_min =  90.00, cot_prc_max =  100.00, cot_prc_med =  95.00, cot_prc_mediana =  95.00 WHERE cot_id = 1863;</v>
      </c>
    </row>
    <row r="1865" customFormat="false" ht="14.25" hidden="false" customHeight="false" outlineLevel="0" collapsed="false">
      <c r="A1865" s="0" t="n">
        <v>1864</v>
      </c>
      <c r="B1865" s="0" t="n">
        <f aca="false">IF('Boletins Nuppa Site'!A1865&lt;&gt;0,'Boletins Nuppa Site'!A1865,"NULL")</f>
        <v>84</v>
      </c>
      <c r="C1865" s="0" t="n">
        <v>34</v>
      </c>
      <c r="D1865" s="0" t="str">
        <f aca="false">IF('Boletins Nuppa Site'!G1865&lt;&gt;0,'Boletins Nuppa Site'!G1865,"NULL")</f>
        <v> 85.00</v>
      </c>
      <c r="E1865" s="30" t="str">
        <f aca="false">IF('Boletins Nuppa Site'!H1865&lt;&gt;0,'Boletins Nuppa Site'!H1865,"NULL")</f>
        <v> 120.00</v>
      </c>
      <c r="F1865" s="30" t="str">
        <f aca="false">IF('Boletins Nuppa Site'!I1865&lt;&gt;0,'Boletins Nuppa Site'!I1865,"NULL")</f>
        <v> 120.00</v>
      </c>
      <c r="G1865" s="30" t="str">
        <f aca="false">IF('Boletins Nuppa Site'!J1865&lt;&gt;0,'Boletins Nuppa Site'!J1865,"NULL")</f>
        <v> 106.25</v>
      </c>
      <c r="H1865" s="30" t="str">
        <f aca="false">IF('Boletins Nuppa Site'!K1865&lt;&gt;0,'Boletins Nuppa Site'!K1865,"NULL")</f>
        <v> 110.00</v>
      </c>
      <c r="I1865" s="0" t="str">
        <f aca="false">"INSERT INTO COTACAO (cot_id, cot_blt_id, cot_pap_id, cot_prc_comum, cot_prc_min, cot_prc_max, cot_prc_med, cot_prc_mediana) VALUES ("&amp;A1865&amp;", "&amp;B1865&amp;", "&amp;C1865&amp;", "&amp;D1865&amp;", "&amp;E1865&amp;", "&amp;F1865&amp;", "&amp;G1865&amp;", "&amp;H1865&amp;");"</f>
        <v>INSERT INTO COTACAO (cot_id, cot_blt_id, cot_pap_id, cot_prc_comum, cot_prc_min, cot_prc_max, cot_prc_med, cot_prc_mediana) VALUES (1864, 84, 34,  85.00,  120.00,  120.00,  106.25,  110.00);</v>
      </c>
      <c r="J1865" s="0" t="str">
        <f aca="false">"UPDATE COTACAO SET cot_id = "&amp;A1865&amp;", cot_blt_id = "&amp;B1865&amp;", cot_pap_id = "&amp;C1865&amp;", cot_prc_comum = "&amp;D1865&amp;", cot_prc_min = "&amp;E1865&amp;", cot_prc_max = "&amp;F1865&amp;", cot_prc_med = "&amp;G1865&amp;", cot_prc_mediana = "&amp;H1865&amp;" WHERE cot_id = "&amp;A1865&amp;";"</f>
        <v>UPDATE COTACAO SET cot_id = 1864, cot_blt_id = 84, cot_pap_id = 34, cot_prc_comum =  85.00, cot_prc_min =  120.00, cot_prc_max =  120.00, cot_prc_med =  106.25, cot_prc_mediana =  110.00 WHERE cot_id = 1864;</v>
      </c>
    </row>
    <row r="1866" customFormat="false" ht="14.25" hidden="false" customHeight="false" outlineLevel="0" collapsed="false">
      <c r="A1866" s="0" t="n">
        <v>1865</v>
      </c>
      <c r="B1866" s="0" t="n">
        <f aca="false">IF('Boletins Nuppa Site'!A1866&lt;&gt;0,'Boletins Nuppa Site'!A1866,"NULL")</f>
        <v>84</v>
      </c>
      <c r="C1866" s="0" t="n">
        <v>35</v>
      </c>
      <c r="D1866" s="0" t="str">
        <f aca="false">IF('Boletins Nuppa Site'!G1866&lt;&gt;0,'Boletins Nuppa Site'!G1866,"NULL")</f>
        <v> 120.00</v>
      </c>
      <c r="E1866" s="30" t="str">
        <f aca="false">IF('Boletins Nuppa Site'!H1866&lt;&gt;0,'Boletins Nuppa Site'!H1866,"NULL")</f>
        <v> 200.00</v>
      </c>
      <c r="F1866" s="30" t="str">
        <f aca="false">IF('Boletins Nuppa Site'!I1866&lt;&gt;0,'Boletins Nuppa Site'!I1866,"NULL")</f>
        <v> 166.67</v>
      </c>
      <c r="G1866" s="30" t="str">
        <f aca="false">IF('Boletins Nuppa Site'!J1866&lt;&gt;0,'Boletins Nuppa Site'!J1866,"NULL")</f>
        <v> 180.00</v>
      </c>
      <c r="H1866" s="30" t="str">
        <f aca="false">IF('Boletins Nuppa Site'!K1866&lt;&gt;0,'Boletins Nuppa Site'!K1866,"NULL")</f>
        <v> 180.00</v>
      </c>
      <c r="I1866" s="0" t="str">
        <f aca="false">"INSERT INTO COTACAO (cot_id, cot_blt_id, cot_pap_id, cot_prc_comum, cot_prc_min, cot_prc_max, cot_prc_med, cot_prc_mediana) VALUES ("&amp;A1866&amp;", "&amp;B1866&amp;", "&amp;C1866&amp;", "&amp;D1866&amp;", "&amp;E1866&amp;", "&amp;F1866&amp;", "&amp;G1866&amp;", "&amp;H1866&amp;");"</f>
        <v>INSERT INTO COTACAO (cot_id, cot_blt_id, cot_pap_id, cot_prc_comum, cot_prc_min, cot_prc_max, cot_prc_med, cot_prc_mediana) VALUES (1865, 84, 35,  120.00,  200.00,  166.67,  180.00,  180.00);</v>
      </c>
      <c r="J1866" s="0" t="str">
        <f aca="false">"UPDATE COTACAO SET cot_id = "&amp;A1866&amp;", cot_blt_id = "&amp;B1866&amp;", cot_pap_id = "&amp;C1866&amp;", cot_prc_comum = "&amp;D1866&amp;", cot_prc_min = "&amp;E1866&amp;", cot_prc_max = "&amp;F1866&amp;", cot_prc_med = "&amp;G1866&amp;", cot_prc_mediana = "&amp;H1866&amp;" WHERE cot_id = "&amp;A1866&amp;";"</f>
        <v>UPDATE COTACAO SET cot_id = 1865, cot_blt_id = 84, cot_pap_id = 35, cot_prc_comum =  120.00, cot_prc_min =  200.00, cot_prc_max =  166.67, cot_prc_med =  180.00, cot_prc_mediana =  180.00 WHERE cot_id = 1865;</v>
      </c>
    </row>
    <row r="1867" customFormat="false" ht="14.25" hidden="false" customHeight="false" outlineLevel="0" collapsed="false">
      <c r="A1867" s="0" t="n">
        <v>1866</v>
      </c>
      <c r="B1867" s="0" t="n">
        <f aca="false">IF('Boletins Nuppa Site'!A1867&lt;&gt;0,'Boletins Nuppa Site'!A1867,"NULL")</f>
        <v>84</v>
      </c>
      <c r="C1867" s="0" t="n">
        <v>36</v>
      </c>
      <c r="D1867" s="0" t="str">
        <f aca="false">IF('Boletins Nuppa Site'!G1867&lt;&gt;0,'Boletins Nuppa Site'!G1867,"NULL")</f>
        <v>NULL</v>
      </c>
      <c r="E1867" s="30" t="str">
        <f aca="false">IF('Boletins Nuppa Site'!H1867&lt;&gt;0,'Boletins Nuppa Site'!H1867,"NULL")</f>
        <v>NULL</v>
      </c>
      <c r="F1867" s="30" t="str">
        <f aca="false">IF('Boletins Nuppa Site'!I1867&lt;&gt;0,'Boletins Nuppa Site'!I1867,"NULL")</f>
        <v>NULL</v>
      </c>
      <c r="G1867" s="30" t="str">
        <f aca="false">IF('Boletins Nuppa Site'!J1867&lt;&gt;0,'Boletins Nuppa Site'!J1867,"NULL")</f>
        <v>NULL</v>
      </c>
      <c r="H1867" s="30" t="str">
        <f aca="false">IF('Boletins Nuppa Site'!K1867&lt;&gt;0,'Boletins Nuppa Site'!K1867,"NULL")</f>
        <v>NULL</v>
      </c>
      <c r="I1867" s="0" t="str">
        <f aca="false">"INSERT INTO COTACAO (cot_id, cot_blt_id, cot_pap_id, cot_prc_comum, cot_prc_min, cot_prc_max, cot_prc_med, cot_prc_mediana) VALUES ("&amp;A1867&amp;", "&amp;B1867&amp;", "&amp;C1867&amp;", "&amp;D1867&amp;", "&amp;E1867&amp;", "&amp;F1867&amp;", "&amp;G1867&amp;", "&amp;H1867&amp;");"</f>
        <v>INSERT INTO COTACAO (cot_id, cot_blt_id, cot_pap_id, cot_prc_comum, cot_prc_min, cot_prc_max, cot_prc_med, cot_prc_mediana) VALUES (1866, 84, 36, NULL, NULL, NULL, NULL, NULL);</v>
      </c>
      <c r="J1867" s="0" t="str">
        <f aca="false">"UPDATE COTACAO SET cot_id = "&amp;A1867&amp;", cot_blt_id = "&amp;B1867&amp;", cot_pap_id = "&amp;C1867&amp;", cot_prc_comum = "&amp;D1867&amp;", cot_prc_min = "&amp;E1867&amp;", cot_prc_max = "&amp;F1867&amp;", cot_prc_med = "&amp;G1867&amp;", cot_prc_mediana = "&amp;H1867&amp;" WHERE cot_id = "&amp;A1867&amp;";"</f>
        <v>UPDATE COTACAO SET cot_id = 1866, cot_blt_id = 84, cot_pap_id = 36, cot_prc_comum = NULL, cot_prc_min = NULL, cot_prc_max = NULL, cot_prc_med = NULL, cot_prc_mediana = NULL WHERE cot_id = 1866;</v>
      </c>
    </row>
    <row r="1868" customFormat="false" ht="14.25" hidden="false" customHeight="false" outlineLevel="0" collapsed="false">
      <c r="A1868" s="0" t="n">
        <v>1867</v>
      </c>
      <c r="B1868" s="0" t="n">
        <f aca="false">IF('Boletins Nuppa Site'!A1868&lt;&gt;0,'Boletins Nuppa Site'!A1868,"NULL")</f>
        <v>84</v>
      </c>
      <c r="C1868" s="0" t="n">
        <v>37</v>
      </c>
      <c r="D1868" s="0" t="str">
        <f aca="false">IF('Boletins Nuppa Site'!G1868&lt;&gt;0,'Boletins Nuppa Site'!G1868,"NULL")</f>
        <v>NULL</v>
      </c>
      <c r="E1868" s="30" t="str">
        <f aca="false">IF('Boletins Nuppa Site'!H1868&lt;&gt;0,'Boletins Nuppa Site'!H1868,"NULL")</f>
        <v>NULL</v>
      </c>
      <c r="F1868" s="30" t="str">
        <f aca="false">IF('Boletins Nuppa Site'!I1868&lt;&gt;0,'Boletins Nuppa Site'!I1868,"NULL")</f>
        <v>NULL</v>
      </c>
      <c r="G1868" s="30" t="str">
        <f aca="false">IF('Boletins Nuppa Site'!J1868&lt;&gt;0,'Boletins Nuppa Site'!J1868,"NULL")</f>
        <v>NULL</v>
      </c>
      <c r="H1868" s="30" t="str">
        <f aca="false">IF('Boletins Nuppa Site'!K1868&lt;&gt;0,'Boletins Nuppa Site'!K1868,"NULL")</f>
        <v>NULL</v>
      </c>
      <c r="I1868" s="0" t="str">
        <f aca="false">"INSERT INTO COTACAO (cot_id, cot_blt_id, cot_pap_id, cot_prc_comum, cot_prc_min, cot_prc_max, cot_prc_med, cot_prc_mediana) VALUES ("&amp;A1868&amp;", "&amp;B1868&amp;", "&amp;C1868&amp;", "&amp;D1868&amp;", "&amp;E1868&amp;", "&amp;F1868&amp;", "&amp;G1868&amp;", "&amp;H1868&amp;");"</f>
        <v>INSERT INTO COTACAO (cot_id, cot_blt_id, cot_pap_id, cot_prc_comum, cot_prc_min, cot_prc_max, cot_prc_med, cot_prc_mediana) VALUES (1867, 84, 37, NULL, NULL, NULL, NULL, NULL);</v>
      </c>
      <c r="J1868" s="0" t="str">
        <f aca="false">"UPDATE COTACAO SET cot_id = "&amp;A1868&amp;", cot_blt_id = "&amp;B1868&amp;", cot_pap_id = "&amp;C1868&amp;", cot_prc_comum = "&amp;D1868&amp;", cot_prc_min = "&amp;E1868&amp;", cot_prc_max = "&amp;F1868&amp;", cot_prc_med = "&amp;G1868&amp;", cot_prc_mediana = "&amp;H1868&amp;" WHERE cot_id = "&amp;A1868&amp;";"</f>
        <v>UPDATE COTACAO SET cot_id = 1867, cot_blt_id = 84, cot_pap_id = 37, cot_prc_comum = NULL, cot_prc_min = NULL, cot_prc_max = NULL, cot_prc_med = NULL, cot_prc_mediana = NULL WHERE cot_id = 1867;</v>
      </c>
    </row>
    <row r="1869" customFormat="false" ht="14.25" hidden="false" customHeight="false" outlineLevel="0" collapsed="false">
      <c r="A1869" s="0" t="n">
        <v>1868</v>
      </c>
      <c r="B1869" s="0" t="n">
        <f aca="false">IF('Boletins Nuppa Site'!A1869&lt;&gt;0,'Boletins Nuppa Site'!A1869,"NULL")</f>
        <v>84</v>
      </c>
      <c r="C1869" s="0" t="n">
        <v>38</v>
      </c>
      <c r="D1869" s="0" t="str">
        <f aca="false">IF('Boletins Nuppa Site'!G1869&lt;&gt;0,'Boletins Nuppa Site'!G1869,"NULL")</f>
        <v>NULL</v>
      </c>
      <c r="E1869" s="30" t="str">
        <f aca="false">IF('Boletins Nuppa Site'!H1869&lt;&gt;0,'Boletins Nuppa Site'!H1869,"NULL")</f>
        <v>NULL</v>
      </c>
      <c r="F1869" s="30" t="str">
        <f aca="false">IF('Boletins Nuppa Site'!I1869&lt;&gt;0,'Boletins Nuppa Site'!I1869,"NULL")</f>
        <v>NULL</v>
      </c>
      <c r="G1869" s="30" t="str">
        <f aca="false">IF('Boletins Nuppa Site'!J1869&lt;&gt;0,'Boletins Nuppa Site'!J1869,"NULL")</f>
        <v>NULL</v>
      </c>
      <c r="H1869" s="30" t="str">
        <f aca="false">IF('Boletins Nuppa Site'!K1869&lt;&gt;0,'Boletins Nuppa Site'!K1869,"NULL")</f>
        <v>NULL</v>
      </c>
      <c r="I1869" s="0" t="str">
        <f aca="false">"INSERT INTO COTACAO (cot_id, cot_blt_id, cot_pap_id, cot_prc_comum, cot_prc_min, cot_prc_max, cot_prc_med, cot_prc_mediana) VALUES ("&amp;A1869&amp;", "&amp;B1869&amp;", "&amp;C1869&amp;", "&amp;D1869&amp;", "&amp;E1869&amp;", "&amp;F1869&amp;", "&amp;G1869&amp;", "&amp;H1869&amp;");"</f>
        <v>INSERT INTO COTACAO (cot_id, cot_blt_id, cot_pap_id, cot_prc_comum, cot_prc_min, cot_prc_max, cot_prc_med, cot_prc_mediana) VALUES (1868, 84, 38, NULL, NULL, NULL, NULL, NULL);</v>
      </c>
      <c r="J1869" s="0" t="str">
        <f aca="false">"UPDATE COTACAO SET cot_id = "&amp;A1869&amp;", cot_blt_id = "&amp;B1869&amp;", cot_pap_id = "&amp;C1869&amp;", cot_prc_comum = "&amp;D1869&amp;", cot_prc_min = "&amp;E1869&amp;", cot_prc_max = "&amp;F1869&amp;", cot_prc_med = "&amp;G1869&amp;", cot_prc_mediana = "&amp;H1869&amp;" WHERE cot_id = "&amp;A1869&amp;";"</f>
        <v>UPDATE COTACAO SET cot_id = 1868, cot_blt_id = 84, cot_pap_id = 38, cot_prc_comum = NULL, cot_prc_min = NULL, cot_prc_max = NULL, cot_prc_med = NULL, cot_prc_mediana = NULL WHERE cot_id = 1868;</v>
      </c>
    </row>
    <row r="1870" customFormat="false" ht="14.25" hidden="false" customHeight="false" outlineLevel="0" collapsed="false">
      <c r="A1870" s="0" t="n">
        <v>1869</v>
      </c>
      <c r="B1870" s="0" t="n">
        <f aca="false">IF('Boletins Nuppa Site'!A1870&lt;&gt;0,'Boletins Nuppa Site'!A1870,"NULL")</f>
        <v>84</v>
      </c>
      <c r="C1870" s="0" t="n">
        <v>39</v>
      </c>
      <c r="D1870" s="0" t="str">
        <f aca="false">IF('Boletins Nuppa Site'!G1870&lt;&gt;0,'Boletins Nuppa Site'!G1870,"NULL")</f>
        <v> 60.00</v>
      </c>
      <c r="E1870" s="30" t="str">
        <f aca="false">IF('Boletins Nuppa Site'!H1870&lt;&gt;0,'Boletins Nuppa Site'!H1870,"NULL")</f>
        <v> 60.00</v>
      </c>
      <c r="F1870" s="30" t="str">
        <f aca="false">IF('Boletins Nuppa Site'!I1870&lt;&gt;0,'Boletins Nuppa Site'!I1870,"NULL")</f>
        <v> 60.00</v>
      </c>
      <c r="G1870" s="30" t="str">
        <f aca="false">IF('Boletins Nuppa Site'!J1870&lt;&gt;0,'Boletins Nuppa Site'!J1870,"NULL")</f>
        <v> 60.00</v>
      </c>
      <c r="H1870" s="30" t="str">
        <f aca="false">IF('Boletins Nuppa Site'!K1870&lt;&gt;0,'Boletins Nuppa Site'!K1870,"NULL")</f>
        <v> 60.00</v>
      </c>
      <c r="I1870" s="0" t="str">
        <f aca="false">"INSERT INTO COTACAO (cot_id, cot_blt_id, cot_pap_id, cot_prc_comum, cot_prc_min, cot_prc_max, cot_prc_med, cot_prc_mediana) VALUES ("&amp;A1870&amp;", "&amp;B1870&amp;", "&amp;C1870&amp;", "&amp;D1870&amp;", "&amp;E1870&amp;", "&amp;F1870&amp;", "&amp;G1870&amp;", "&amp;H1870&amp;");"</f>
        <v>INSERT INTO COTACAO (cot_id, cot_blt_id, cot_pap_id, cot_prc_comum, cot_prc_min, cot_prc_max, cot_prc_med, cot_prc_mediana) VALUES (1869, 84, 39,  60.00,  60.00,  60.00,  60.00,  60.00);</v>
      </c>
      <c r="J1870" s="0" t="str">
        <f aca="false">"UPDATE COTACAO SET cot_id = "&amp;A1870&amp;", cot_blt_id = "&amp;B1870&amp;", cot_pap_id = "&amp;C1870&amp;", cot_prc_comum = "&amp;D1870&amp;", cot_prc_min = "&amp;E1870&amp;", cot_prc_max = "&amp;F1870&amp;", cot_prc_med = "&amp;G1870&amp;", cot_prc_mediana = "&amp;H1870&amp;" WHERE cot_id = "&amp;A1870&amp;";"</f>
        <v>UPDATE COTACAO SET cot_id = 1869, cot_blt_id = 84, cot_pap_id = 39, cot_prc_comum =  60.00, cot_prc_min =  60.00, cot_prc_max =  60.00, cot_prc_med =  60.00, cot_prc_mediana =  60.00 WHERE cot_id = 1869;</v>
      </c>
    </row>
    <row r="1871" customFormat="false" ht="14.25" hidden="false" customHeight="false" outlineLevel="0" collapsed="false">
      <c r="A1871" s="0" t="n">
        <v>1870</v>
      </c>
      <c r="B1871" s="0" t="n">
        <f aca="false">IF('Boletins Nuppa Site'!A1871&lt;&gt;0,'Boletins Nuppa Site'!A1871,"NULL")</f>
        <v>84</v>
      </c>
      <c r="C1871" s="0" t="n">
        <v>40</v>
      </c>
      <c r="D1871" s="0" t="str">
        <f aca="false">IF('Boletins Nuppa Site'!G1871&lt;&gt;0,'Boletins Nuppa Site'!G1871,"NULL")</f>
        <v>NULL</v>
      </c>
      <c r="E1871" s="30" t="str">
        <f aca="false">IF('Boletins Nuppa Site'!H1871&lt;&gt;0,'Boletins Nuppa Site'!H1871,"NULL")</f>
        <v>NULL</v>
      </c>
      <c r="F1871" s="30" t="str">
        <f aca="false">IF('Boletins Nuppa Site'!I1871&lt;&gt;0,'Boletins Nuppa Site'!I1871,"NULL")</f>
        <v>NULL</v>
      </c>
      <c r="G1871" s="30" t="str">
        <f aca="false">IF('Boletins Nuppa Site'!J1871&lt;&gt;0,'Boletins Nuppa Site'!J1871,"NULL")</f>
        <v>NULL</v>
      </c>
      <c r="H1871" s="30" t="str">
        <f aca="false">IF('Boletins Nuppa Site'!K1871&lt;&gt;0,'Boletins Nuppa Site'!K1871,"NULL")</f>
        <v>NULL</v>
      </c>
      <c r="I1871" s="0" t="str">
        <f aca="false">"INSERT INTO COTACAO (cot_id, cot_blt_id, cot_pap_id, cot_prc_comum, cot_prc_min, cot_prc_max, cot_prc_med, cot_prc_mediana) VALUES ("&amp;A1871&amp;", "&amp;B1871&amp;", "&amp;C1871&amp;", "&amp;D1871&amp;", "&amp;E1871&amp;", "&amp;F1871&amp;", "&amp;G1871&amp;", "&amp;H1871&amp;");"</f>
        <v>INSERT INTO COTACAO (cot_id, cot_blt_id, cot_pap_id, cot_prc_comum, cot_prc_min, cot_prc_max, cot_prc_med, cot_prc_mediana) VALUES (1870, 84, 40, NULL, NULL, NULL, NULL, NULL);</v>
      </c>
      <c r="J1871" s="0" t="str">
        <f aca="false">"UPDATE COTACAO SET cot_id = "&amp;A1871&amp;", cot_blt_id = "&amp;B1871&amp;", cot_pap_id = "&amp;C1871&amp;", cot_prc_comum = "&amp;D1871&amp;", cot_prc_min = "&amp;E1871&amp;", cot_prc_max = "&amp;F1871&amp;", cot_prc_med = "&amp;G1871&amp;", cot_prc_mediana = "&amp;H1871&amp;" WHERE cot_id = "&amp;A1871&amp;";"</f>
        <v>UPDATE COTACAO SET cot_id = 1870, cot_blt_id = 84, cot_pap_id = 40, cot_prc_comum = NULL, cot_prc_min = NULL, cot_prc_max = NULL, cot_prc_med = NULL, cot_prc_mediana = NULL WHERE cot_id = 1870;</v>
      </c>
    </row>
    <row r="1872" customFormat="false" ht="14.25" hidden="false" customHeight="false" outlineLevel="0" collapsed="false">
      <c r="A1872" s="0" t="n">
        <v>1871</v>
      </c>
      <c r="B1872" s="0" t="n">
        <f aca="false">IF('Boletins Nuppa Site'!A1872&lt;&gt;0,'Boletins Nuppa Site'!A1872,"NULL")</f>
        <v>85</v>
      </c>
      <c r="C1872" s="0" t="n">
        <v>1</v>
      </c>
      <c r="D1872" s="0" t="str">
        <f aca="false">IF('Boletins Nuppa Site'!G1872&lt;&gt;0,'Boletins Nuppa Site'!G1872,"NULL")</f>
        <v>NULL</v>
      </c>
      <c r="E1872" s="30" t="n">
        <f aca="false">IF('Boletins Nuppa Site'!H1872&lt;&gt;0,'Boletins Nuppa Site'!H1872,"NULL")</f>
        <v>36</v>
      </c>
      <c r="F1872" s="30" t="n">
        <f aca="false">IF('Boletins Nuppa Site'!I1872&lt;&gt;0,'Boletins Nuppa Site'!I1872,"NULL")</f>
        <v>72</v>
      </c>
      <c r="G1872" s="30" t="n">
        <f aca="false">IF('Boletins Nuppa Site'!J1872&lt;&gt;0,'Boletins Nuppa Site'!J1872,"NULL")</f>
        <v>54</v>
      </c>
      <c r="H1872" s="30" t="n">
        <f aca="false">IF('Boletins Nuppa Site'!K1872&lt;&gt;0,'Boletins Nuppa Site'!K1872,"NULL")</f>
        <v>54</v>
      </c>
      <c r="I1872" s="0" t="str">
        <f aca="false">"INSERT INTO COTACAO (cot_id, cot_blt_id, cot_pap_id, cot_prc_comum, cot_prc_min, cot_prc_max, cot_prc_med, cot_prc_mediana) VALUES ("&amp;A1872&amp;", "&amp;B1872&amp;", "&amp;C1872&amp;", "&amp;D1872&amp;", "&amp;E1872&amp;", "&amp;F1872&amp;", "&amp;G1872&amp;", "&amp;H1872&amp;");"</f>
        <v>INSERT INTO COTACAO (cot_id, cot_blt_id, cot_pap_id, cot_prc_comum, cot_prc_min, cot_prc_max, cot_prc_med, cot_prc_mediana) VALUES (1871, 85, 1, NULL, 36, 72, 54, 54);</v>
      </c>
      <c r="J1872" s="0" t="str">
        <f aca="false">"UPDATE COTACAO SET cot_id = "&amp;A1872&amp;", cot_blt_id = "&amp;B1872&amp;", cot_pap_id = "&amp;C1872&amp;", cot_prc_comum = "&amp;D1872&amp;", cot_prc_min = "&amp;E1872&amp;", cot_prc_max = "&amp;F1872&amp;", cot_prc_med = "&amp;G1872&amp;", cot_prc_mediana = "&amp;H1872&amp;" WHERE cot_id = "&amp;A1872&amp;";"</f>
        <v>UPDATE COTACAO SET cot_id = 1871, cot_blt_id = 85, cot_pap_id = 1, cot_prc_comum = NULL, cot_prc_min = 36, cot_prc_max = 72, cot_prc_med = 54, cot_prc_mediana = 54 WHERE cot_id = 1871;</v>
      </c>
    </row>
    <row r="1873" customFormat="false" ht="14.25" hidden="false" customHeight="false" outlineLevel="0" collapsed="false">
      <c r="A1873" s="0" t="n">
        <v>1872</v>
      </c>
      <c r="B1873" s="0" t="n">
        <f aca="false">IF('Boletins Nuppa Site'!A1873&lt;&gt;0,'Boletins Nuppa Site'!A1873,"NULL")</f>
        <v>85</v>
      </c>
      <c r="C1873" s="0" t="n">
        <v>2</v>
      </c>
      <c r="D1873" s="31" t="n">
        <f aca="false">IF('Boletins Nuppa Site'!G1873&lt;&gt;0,'Boletins Nuppa Site'!G1873,"NULL")</f>
        <v>96</v>
      </c>
      <c r="E1873" s="30" t="n">
        <f aca="false">IF('Boletins Nuppa Site'!H1873&lt;&gt;0,'Boletins Nuppa Site'!H1873,"NULL")</f>
        <v>54</v>
      </c>
      <c r="F1873" s="30" t="n">
        <f aca="false">IF('Boletins Nuppa Site'!I1873&lt;&gt;0,'Boletins Nuppa Site'!I1873,"NULL")</f>
        <v>96</v>
      </c>
      <c r="G1873" s="30" t="str">
        <f aca="false">IF('Boletins Nuppa Site'!J1873&lt;&gt;0,'Boletins Nuppa Site'!J1873,"NULL")</f>
        <v>82.5</v>
      </c>
      <c r="H1873" s="30" t="n">
        <f aca="false">IF('Boletins Nuppa Site'!K1873&lt;&gt;0,'Boletins Nuppa Site'!K1873,"NULL")</f>
        <v>90</v>
      </c>
      <c r="I1873" s="0" t="str">
        <f aca="false">"INSERT INTO COTACAO (cot_id, cot_blt_id, cot_pap_id, cot_prc_comum, cot_prc_min, cot_prc_max, cot_prc_med, cot_prc_mediana) VALUES ("&amp;A1873&amp;", "&amp;B1873&amp;", "&amp;C1873&amp;", "&amp;D1873&amp;", "&amp;E1873&amp;", "&amp;F1873&amp;", "&amp;G1873&amp;", "&amp;H1873&amp;");"</f>
        <v>INSERT INTO COTACAO (cot_id, cot_blt_id, cot_pap_id, cot_prc_comum, cot_prc_min, cot_prc_max, cot_prc_med, cot_prc_mediana) VALUES (1872, 85, 2, 96, 54, 96, 82.5, 90);</v>
      </c>
      <c r="J1873" s="0" t="str">
        <f aca="false">"UPDATE COTACAO SET cot_id = "&amp;A1873&amp;", cot_blt_id = "&amp;B1873&amp;", cot_pap_id = "&amp;C1873&amp;", cot_prc_comum = "&amp;D1873&amp;", cot_prc_min = "&amp;E1873&amp;", cot_prc_max = "&amp;F1873&amp;", cot_prc_med = "&amp;G1873&amp;", cot_prc_mediana = "&amp;H1873&amp;" WHERE cot_id = "&amp;A1873&amp;";"</f>
        <v>UPDATE COTACAO SET cot_id = 1872, cot_blt_id = 85, cot_pap_id = 2, cot_prc_comum = 96, cot_prc_min = 54, cot_prc_max = 96, cot_prc_med = 82.5, cot_prc_mediana = 90 WHERE cot_id = 1872;</v>
      </c>
    </row>
    <row r="1874" customFormat="false" ht="14.25" hidden="false" customHeight="false" outlineLevel="0" collapsed="false">
      <c r="A1874" s="0" t="n">
        <v>1873</v>
      </c>
      <c r="B1874" s="0" t="n">
        <f aca="false">IF('Boletins Nuppa Site'!A1874&lt;&gt;0,'Boletins Nuppa Site'!A1874,"NULL")</f>
        <v>85</v>
      </c>
      <c r="C1874" s="0" t="n">
        <v>3</v>
      </c>
      <c r="D1874" s="0" t="str">
        <f aca="false">IF('Boletins Nuppa Site'!G1874&lt;&gt;0,'Boletins Nuppa Site'!G1874,"NULL")</f>
        <v>NULL</v>
      </c>
      <c r="E1874" s="30" t="n">
        <f aca="false">IF('Boletins Nuppa Site'!H1874&lt;&gt;0,'Boletins Nuppa Site'!H1874,"NULL")</f>
        <v>40</v>
      </c>
      <c r="F1874" s="30" t="n">
        <f aca="false">IF('Boletins Nuppa Site'!I1874&lt;&gt;0,'Boletins Nuppa Site'!I1874,"NULL")</f>
        <v>60</v>
      </c>
      <c r="G1874" s="30" t="str">
        <f aca="false">IF('Boletins Nuppa Site'!J1874&lt;&gt;0,'Boletins Nuppa Site'!J1874,"NULL")</f>
        <v>48.25</v>
      </c>
      <c r="H1874" s="30" t="str">
        <f aca="false">IF('Boletins Nuppa Site'!K1874&lt;&gt;0,'Boletins Nuppa Site'!K1874,"NULL")</f>
        <v>46.5</v>
      </c>
      <c r="I1874" s="0" t="str">
        <f aca="false">"INSERT INTO COTACAO (cot_id, cot_blt_id, cot_pap_id, cot_prc_comum, cot_prc_min, cot_prc_max, cot_prc_med, cot_prc_mediana) VALUES ("&amp;A1874&amp;", "&amp;B1874&amp;", "&amp;C1874&amp;", "&amp;D1874&amp;", "&amp;E1874&amp;", "&amp;F1874&amp;", "&amp;G1874&amp;", "&amp;H1874&amp;");"</f>
        <v>INSERT INTO COTACAO (cot_id, cot_blt_id, cot_pap_id, cot_prc_comum, cot_prc_min, cot_prc_max, cot_prc_med, cot_prc_mediana) VALUES (1873, 85, 3, NULL, 40, 60, 48.25, 46.5);</v>
      </c>
      <c r="J1874" s="0" t="str">
        <f aca="false">"UPDATE COTACAO SET cot_id = "&amp;A1874&amp;", cot_blt_id = "&amp;B1874&amp;", cot_pap_id = "&amp;C1874&amp;", cot_prc_comum = "&amp;D1874&amp;", cot_prc_min = "&amp;E1874&amp;", cot_prc_max = "&amp;F1874&amp;", cot_prc_med = "&amp;G1874&amp;", cot_prc_mediana = "&amp;H1874&amp;" WHERE cot_id = "&amp;A1874&amp;";"</f>
        <v>UPDATE COTACAO SET cot_id = 1873, cot_blt_id = 85, cot_pap_id = 3, cot_prc_comum = NULL, cot_prc_min = 40, cot_prc_max = 60, cot_prc_med = 48.25, cot_prc_mediana = 46.5 WHERE cot_id = 1873;</v>
      </c>
    </row>
    <row r="1875" customFormat="false" ht="14.25" hidden="false" customHeight="false" outlineLevel="0" collapsed="false">
      <c r="A1875" s="0" t="n">
        <v>1874</v>
      </c>
      <c r="B1875" s="0" t="n">
        <f aca="false">IF('Boletins Nuppa Site'!A1875&lt;&gt;0,'Boletins Nuppa Site'!A1875,"NULL")</f>
        <v>85</v>
      </c>
      <c r="C1875" s="0" t="n">
        <v>4</v>
      </c>
      <c r="D1875" s="31" t="n">
        <f aca="false">IF('Boletins Nuppa Site'!G1875&lt;&gt;0,'Boletins Nuppa Site'!G1875,"NULL")</f>
        <v>30</v>
      </c>
      <c r="E1875" s="30" t="n">
        <f aca="false">IF('Boletins Nuppa Site'!H1875&lt;&gt;0,'Boletins Nuppa Site'!H1875,"NULL")</f>
        <v>25</v>
      </c>
      <c r="F1875" s="30" t="n">
        <f aca="false">IF('Boletins Nuppa Site'!I1875&lt;&gt;0,'Boletins Nuppa Site'!I1875,"NULL")</f>
        <v>50</v>
      </c>
      <c r="G1875" s="30" t="str">
        <f aca="false">IF('Boletins Nuppa Site'!J1875&lt;&gt;0,'Boletins Nuppa Site'!J1875,"NULL")</f>
        <v>33.75</v>
      </c>
      <c r="H1875" s="30" t="n">
        <f aca="false">IF('Boletins Nuppa Site'!K1875&lt;&gt;0,'Boletins Nuppa Site'!K1875,"NULL")</f>
        <v>30</v>
      </c>
      <c r="I1875" s="0" t="str">
        <f aca="false">"INSERT INTO COTACAO (cot_id, cot_blt_id, cot_pap_id, cot_prc_comum, cot_prc_min, cot_prc_max, cot_prc_med, cot_prc_mediana) VALUES ("&amp;A1875&amp;", "&amp;B1875&amp;", "&amp;C1875&amp;", "&amp;D1875&amp;", "&amp;E1875&amp;", "&amp;F1875&amp;", "&amp;G1875&amp;", "&amp;H1875&amp;");"</f>
        <v>INSERT INTO COTACAO (cot_id, cot_blt_id, cot_pap_id, cot_prc_comum, cot_prc_min, cot_prc_max, cot_prc_med, cot_prc_mediana) VALUES (1874, 85, 4, 30, 25, 50, 33.75, 30);</v>
      </c>
      <c r="J1875" s="0" t="str">
        <f aca="false">"UPDATE COTACAO SET cot_id = "&amp;A1875&amp;", cot_blt_id = "&amp;B1875&amp;", cot_pap_id = "&amp;C1875&amp;", cot_prc_comum = "&amp;D1875&amp;", cot_prc_min = "&amp;E1875&amp;", cot_prc_max = "&amp;F1875&amp;", cot_prc_med = "&amp;G1875&amp;", cot_prc_mediana = "&amp;H1875&amp;" WHERE cot_id = "&amp;A1875&amp;";"</f>
        <v>UPDATE COTACAO SET cot_id = 1874, cot_blt_id = 85, cot_pap_id = 4, cot_prc_comum = 30, cot_prc_min = 25, cot_prc_max = 50, cot_prc_med = 33.75, cot_prc_mediana = 30 WHERE cot_id = 1874;</v>
      </c>
    </row>
    <row r="1876" customFormat="false" ht="14.25" hidden="false" customHeight="false" outlineLevel="0" collapsed="false">
      <c r="A1876" s="0" t="n">
        <v>1875</v>
      </c>
      <c r="B1876" s="0" t="n">
        <f aca="false">IF('Boletins Nuppa Site'!A1876&lt;&gt;0,'Boletins Nuppa Site'!A1876,"NULL")</f>
        <v>85</v>
      </c>
      <c r="C1876" s="0" t="n">
        <v>5</v>
      </c>
      <c r="D1876" s="31" t="n">
        <f aca="false">IF('Boletins Nuppa Site'!G1876&lt;&gt;0,'Boletins Nuppa Site'!G1876,"NULL")</f>
        <v>30</v>
      </c>
      <c r="E1876" s="30" t="n">
        <f aca="false">IF('Boletins Nuppa Site'!H1876&lt;&gt;0,'Boletins Nuppa Site'!H1876,"NULL")</f>
        <v>25</v>
      </c>
      <c r="F1876" s="30" t="n">
        <f aca="false">IF('Boletins Nuppa Site'!I1876&lt;&gt;0,'Boletins Nuppa Site'!I1876,"NULL")</f>
        <v>50</v>
      </c>
      <c r="G1876" s="30" t="str">
        <f aca="false">IF('Boletins Nuppa Site'!J1876&lt;&gt;0,'Boletins Nuppa Site'!J1876,"NULL")</f>
        <v>33.75</v>
      </c>
      <c r="H1876" s="30" t="n">
        <f aca="false">IF('Boletins Nuppa Site'!K1876&lt;&gt;0,'Boletins Nuppa Site'!K1876,"NULL")</f>
        <v>30</v>
      </c>
      <c r="I1876" s="0" t="str">
        <f aca="false">"INSERT INTO COTACAO (cot_id, cot_blt_id, cot_pap_id, cot_prc_comum, cot_prc_min, cot_prc_max, cot_prc_med, cot_prc_mediana) VALUES ("&amp;A1876&amp;", "&amp;B1876&amp;", "&amp;C1876&amp;", "&amp;D1876&amp;", "&amp;E1876&amp;", "&amp;F1876&amp;", "&amp;G1876&amp;", "&amp;H1876&amp;");"</f>
        <v>INSERT INTO COTACAO (cot_id, cot_blt_id, cot_pap_id, cot_prc_comum, cot_prc_min, cot_prc_max, cot_prc_med, cot_prc_mediana) VALUES (1875, 85, 5, 30, 25, 50, 33.75, 30);</v>
      </c>
      <c r="J1876" s="0" t="str">
        <f aca="false">"UPDATE COTACAO SET cot_id = "&amp;A1876&amp;", cot_blt_id = "&amp;B1876&amp;", cot_pap_id = "&amp;C1876&amp;", cot_prc_comum = "&amp;D1876&amp;", cot_prc_min = "&amp;E1876&amp;", cot_prc_max = "&amp;F1876&amp;", cot_prc_med = "&amp;G1876&amp;", cot_prc_mediana = "&amp;H1876&amp;" WHERE cot_id = "&amp;A1876&amp;";"</f>
        <v>UPDATE COTACAO SET cot_id = 1875, cot_blt_id = 85, cot_pap_id = 5, cot_prc_comum = 30, cot_prc_min = 25, cot_prc_max = 50, cot_prc_med = 33.75, cot_prc_mediana = 30 WHERE cot_id = 1875;</v>
      </c>
    </row>
    <row r="1877" customFormat="false" ht="14.25" hidden="false" customHeight="false" outlineLevel="0" collapsed="false">
      <c r="A1877" s="0" t="n">
        <v>1876</v>
      </c>
      <c r="B1877" s="0" t="n">
        <f aca="false">IF('Boletins Nuppa Site'!A1877&lt;&gt;0,'Boletins Nuppa Site'!A1877,"NULL")</f>
        <v>85</v>
      </c>
      <c r="C1877" s="0" t="n">
        <v>6</v>
      </c>
      <c r="D1877" s="31" t="n">
        <f aca="false">IF('Boletins Nuppa Site'!G1877&lt;&gt;0,'Boletins Nuppa Site'!G1877,"NULL")</f>
        <v>60</v>
      </c>
      <c r="E1877" s="30" t="n">
        <f aca="false">IF('Boletins Nuppa Site'!H1877&lt;&gt;0,'Boletins Nuppa Site'!H1877,"NULL")</f>
        <v>60</v>
      </c>
      <c r="F1877" s="30" t="n">
        <f aca="false">IF('Boletins Nuppa Site'!I1877&lt;&gt;0,'Boletins Nuppa Site'!I1877,"NULL")</f>
        <v>120</v>
      </c>
      <c r="G1877" s="30" t="str">
        <f aca="false">IF('Boletins Nuppa Site'!J1877&lt;&gt;0,'Boletins Nuppa Site'!J1877,"NULL")</f>
        <v>76.5</v>
      </c>
      <c r="H1877" s="30" t="n">
        <f aca="false">IF('Boletins Nuppa Site'!K1877&lt;&gt;0,'Boletins Nuppa Site'!K1877,"NULL")</f>
        <v>63</v>
      </c>
      <c r="I1877" s="0" t="str">
        <f aca="false">"INSERT INTO COTACAO (cot_id, cot_blt_id, cot_pap_id, cot_prc_comum, cot_prc_min, cot_prc_max, cot_prc_med, cot_prc_mediana) VALUES ("&amp;A1877&amp;", "&amp;B1877&amp;", "&amp;C1877&amp;", "&amp;D1877&amp;", "&amp;E1877&amp;", "&amp;F1877&amp;", "&amp;G1877&amp;", "&amp;H1877&amp;");"</f>
        <v>INSERT INTO COTACAO (cot_id, cot_blt_id, cot_pap_id, cot_prc_comum, cot_prc_min, cot_prc_max, cot_prc_med, cot_prc_mediana) VALUES (1876, 85, 6, 60, 60, 120, 76.5, 63);</v>
      </c>
      <c r="J1877" s="0" t="str">
        <f aca="false">"UPDATE COTACAO SET cot_id = "&amp;A1877&amp;", cot_blt_id = "&amp;B1877&amp;", cot_pap_id = "&amp;C1877&amp;", cot_prc_comum = "&amp;D1877&amp;", cot_prc_min = "&amp;E1877&amp;", cot_prc_max = "&amp;F1877&amp;", cot_prc_med = "&amp;G1877&amp;", cot_prc_mediana = "&amp;H1877&amp;" WHERE cot_id = "&amp;A1877&amp;";"</f>
        <v>UPDATE COTACAO SET cot_id = 1876, cot_blt_id = 85, cot_pap_id = 6, cot_prc_comum = 60, cot_prc_min = 60, cot_prc_max = 120, cot_prc_med = 76.5, cot_prc_mediana = 63 WHERE cot_id = 1876;</v>
      </c>
    </row>
    <row r="1878" customFormat="false" ht="14.25" hidden="false" customHeight="false" outlineLevel="0" collapsed="false">
      <c r="A1878" s="0" t="n">
        <v>1877</v>
      </c>
      <c r="B1878" s="0" t="n">
        <f aca="false">IF('Boletins Nuppa Site'!A1878&lt;&gt;0,'Boletins Nuppa Site'!A1878,"NULL")</f>
        <v>85</v>
      </c>
      <c r="C1878" s="0" t="n">
        <v>7</v>
      </c>
      <c r="D1878" s="31" t="n">
        <f aca="false">IF('Boletins Nuppa Site'!G1878&lt;&gt;0,'Boletins Nuppa Site'!G1878,"NULL")</f>
        <v>84</v>
      </c>
      <c r="E1878" s="30" t="n">
        <f aca="false">IF('Boletins Nuppa Site'!H1878&lt;&gt;0,'Boletins Nuppa Site'!H1878,"NULL")</f>
        <v>78</v>
      </c>
      <c r="F1878" s="30" t="n">
        <f aca="false">IF('Boletins Nuppa Site'!I1878&lt;&gt;0,'Boletins Nuppa Site'!I1878,"NULL")</f>
        <v>84</v>
      </c>
      <c r="G1878" s="30" t="n">
        <f aca="false">IF('Boletins Nuppa Site'!J1878&lt;&gt;0,'Boletins Nuppa Site'!J1878,"NULL")</f>
        <v>81</v>
      </c>
      <c r="H1878" s="30" t="n">
        <f aca="false">IF('Boletins Nuppa Site'!K1878&lt;&gt;0,'Boletins Nuppa Site'!K1878,"NULL")</f>
        <v>81</v>
      </c>
      <c r="I1878" s="0" t="str">
        <f aca="false">"INSERT INTO COTACAO (cot_id, cot_blt_id, cot_pap_id, cot_prc_comum, cot_prc_min, cot_prc_max, cot_prc_med, cot_prc_mediana) VALUES ("&amp;A1878&amp;", "&amp;B1878&amp;", "&amp;C1878&amp;", "&amp;D1878&amp;", "&amp;E1878&amp;", "&amp;F1878&amp;", "&amp;G1878&amp;", "&amp;H1878&amp;");"</f>
        <v>INSERT INTO COTACAO (cot_id, cot_blt_id, cot_pap_id, cot_prc_comum, cot_prc_min, cot_prc_max, cot_prc_med, cot_prc_mediana) VALUES (1877, 85, 7, 84, 78, 84, 81, 81);</v>
      </c>
      <c r="J1878" s="0" t="str">
        <f aca="false">"UPDATE COTACAO SET cot_id = "&amp;A1878&amp;", cot_blt_id = "&amp;B1878&amp;", cot_pap_id = "&amp;C1878&amp;", cot_prc_comum = "&amp;D1878&amp;", cot_prc_min = "&amp;E1878&amp;", cot_prc_max = "&amp;F1878&amp;", cot_prc_med = "&amp;G1878&amp;", cot_prc_mediana = "&amp;H1878&amp;" WHERE cot_id = "&amp;A1878&amp;";"</f>
        <v>UPDATE COTACAO SET cot_id = 1877, cot_blt_id = 85, cot_pap_id = 7, cot_prc_comum = 84, cot_prc_min = 78, cot_prc_max = 84, cot_prc_med = 81, cot_prc_mediana = 81 WHERE cot_id = 1877;</v>
      </c>
    </row>
    <row r="1879" customFormat="false" ht="14.25" hidden="false" customHeight="false" outlineLevel="0" collapsed="false">
      <c r="A1879" s="0" t="n">
        <v>1878</v>
      </c>
      <c r="B1879" s="0" t="n">
        <f aca="false">IF('Boletins Nuppa Site'!A1879&lt;&gt;0,'Boletins Nuppa Site'!A1879,"NULL")</f>
        <v>85</v>
      </c>
      <c r="C1879" s="0" t="n">
        <v>8</v>
      </c>
      <c r="D1879" s="31" t="n">
        <f aca="false">IF('Boletins Nuppa Site'!G1879&lt;&gt;0,'Boletins Nuppa Site'!G1879,"NULL")</f>
        <v>84</v>
      </c>
      <c r="E1879" s="30" t="n">
        <f aca="false">IF('Boletins Nuppa Site'!H1879&lt;&gt;0,'Boletins Nuppa Site'!H1879,"NULL")</f>
        <v>72</v>
      </c>
      <c r="F1879" s="30" t="n">
        <f aca="false">IF('Boletins Nuppa Site'!I1879&lt;&gt;0,'Boletins Nuppa Site'!I1879,"NULL")</f>
        <v>96</v>
      </c>
      <c r="G1879" s="30" t="n">
        <f aca="false">IF('Boletins Nuppa Site'!J1879&lt;&gt;0,'Boletins Nuppa Site'!J1879,"NULL")</f>
        <v>84</v>
      </c>
      <c r="H1879" s="30" t="n">
        <f aca="false">IF('Boletins Nuppa Site'!K1879&lt;&gt;0,'Boletins Nuppa Site'!K1879,"NULL")</f>
        <v>84</v>
      </c>
      <c r="I1879" s="0" t="str">
        <f aca="false">"INSERT INTO COTACAO (cot_id, cot_blt_id, cot_pap_id, cot_prc_comum, cot_prc_min, cot_prc_max, cot_prc_med, cot_prc_mediana) VALUES ("&amp;A1879&amp;", "&amp;B1879&amp;", "&amp;C1879&amp;", "&amp;D1879&amp;", "&amp;E1879&amp;", "&amp;F1879&amp;", "&amp;G1879&amp;", "&amp;H1879&amp;");"</f>
        <v>INSERT INTO COTACAO (cot_id, cot_blt_id, cot_pap_id, cot_prc_comum, cot_prc_min, cot_prc_max, cot_prc_med, cot_prc_mediana) VALUES (1878, 85, 8, 84, 72, 96, 84, 84);</v>
      </c>
      <c r="J1879" s="0" t="str">
        <f aca="false">"UPDATE COTACAO SET cot_id = "&amp;A1879&amp;", cot_blt_id = "&amp;B1879&amp;", cot_pap_id = "&amp;C1879&amp;", cot_prc_comum = "&amp;D1879&amp;", cot_prc_min = "&amp;E1879&amp;", cot_prc_max = "&amp;F1879&amp;", cot_prc_med = "&amp;G1879&amp;", cot_prc_mediana = "&amp;H1879&amp;" WHERE cot_id = "&amp;A1879&amp;";"</f>
        <v>UPDATE COTACAO SET cot_id = 1878, cot_blt_id = 85, cot_pap_id = 8, cot_prc_comum = 84, cot_prc_min = 72, cot_prc_max = 96, cot_prc_med = 84, cot_prc_mediana = 84 WHERE cot_id = 1878;</v>
      </c>
    </row>
    <row r="1880" customFormat="false" ht="14.25" hidden="false" customHeight="false" outlineLevel="0" collapsed="false">
      <c r="A1880" s="0" t="n">
        <v>1879</v>
      </c>
      <c r="B1880" s="0" t="n">
        <f aca="false">IF('Boletins Nuppa Site'!A1880&lt;&gt;0,'Boletins Nuppa Site'!A1880,"NULL")</f>
        <v>85</v>
      </c>
      <c r="C1880" s="0" t="n">
        <v>9</v>
      </c>
      <c r="D1880" s="31" t="n">
        <f aca="false">IF('Boletins Nuppa Site'!G1880&lt;&gt;0,'Boletins Nuppa Site'!G1880,"NULL")</f>
        <v>24</v>
      </c>
      <c r="E1880" s="30" t="n">
        <f aca="false">IF('Boletins Nuppa Site'!H1880&lt;&gt;0,'Boletins Nuppa Site'!H1880,"NULL")</f>
        <v>24</v>
      </c>
      <c r="F1880" s="30" t="n">
        <f aca="false">IF('Boletins Nuppa Site'!I1880&lt;&gt;0,'Boletins Nuppa Site'!I1880,"NULL")</f>
        <v>30</v>
      </c>
      <c r="G1880" s="30" t="str">
        <f aca="false">IF('Boletins Nuppa Site'!J1880&lt;&gt;0,'Boletins Nuppa Site'!J1880,"NULL")</f>
        <v>25.5</v>
      </c>
      <c r="H1880" s="30" t="n">
        <f aca="false">IF('Boletins Nuppa Site'!K1880&lt;&gt;0,'Boletins Nuppa Site'!K1880,"NULL")</f>
        <v>24</v>
      </c>
      <c r="I1880" s="0" t="str">
        <f aca="false">"INSERT INTO COTACAO (cot_id, cot_blt_id, cot_pap_id, cot_prc_comum, cot_prc_min, cot_prc_max, cot_prc_med, cot_prc_mediana) VALUES ("&amp;A1880&amp;", "&amp;B1880&amp;", "&amp;C1880&amp;", "&amp;D1880&amp;", "&amp;E1880&amp;", "&amp;F1880&amp;", "&amp;G1880&amp;", "&amp;H1880&amp;");"</f>
        <v>INSERT INTO COTACAO (cot_id, cot_blt_id, cot_pap_id, cot_prc_comum, cot_prc_min, cot_prc_max, cot_prc_med, cot_prc_mediana) VALUES (1879, 85, 9, 24, 24, 30, 25.5, 24);</v>
      </c>
      <c r="J1880" s="0" t="str">
        <f aca="false">"UPDATE COTACAO SET cot_id = "&amp;A1880&amp;", cot_blt_id = "&amp;B1880&amp;", cot_pap_id = "&amp;C1880&amp;", cot_prc_comum = "&amp;D1880&amp;", cot_prc_min = "&amp;E1880&amp;", cot_prc_max = "&amp;F1880&amp;", cot_prc_med = "&amp;G1880&amp;", cot_prc_mediana = "&amp;H1880&amp;" WHERE cot_id = "&amp;A1880&amp;";"</f>
        <v>UPDATE COTACAO SET cot_id = 1879, cot_blt_id = 85, cot_pap_id = 9, cot_prc_comum = 24, cot_prc_min = 24, cot_prc_max = 30, cot_prc_med = 25.5, cot_prc_mediana = 24 WHERE cot_id = 1879;</v>
      </c>
    </row>
    <row r="1881" customFormat="false" ht="14.25" hidden="false" customHeight="false" outlineLevel="0" collapsed="false">
      <c r="A1881" s="0" t="n">
        <v>1880</v>
      </c>
      <c r="B1881" s="0" t="n">
        <f aca="false">IF('Boletins Nuppa Site'!A1881&lt;&gt;0,'Boletins Nuppa Site'!A1881,"NULL")</f>
        <v>85</v>
      </c>
      <c r="C1881" s="0" t="n">
        <v>10</v>
      </c>
      <c r="D1881" s="31" t="n">
        <f aca="false">IF('Boletins Nuppa Site'!G1881&lt;&gt;0,'Boletins Nuppa Site'!G1881,"NULL")</f>
        <v>96</v>
      </c>
      <c r="E1881" s="30" t="n">
        <f aca="false">IF('Boletins Nuppa Site'!H1881&lt;&gt;0,'Boletins Nuppa Site'!H1881,"NULL")</f>
        <v>72</v>
      </c>
      <c r="F1881" s="30" t="n">
        <f aca="false">IF('Boletins Nuppa Site'!I1881&lt;&gt;0,'Boletins Nuppa Site'!I1881,"NULL")</f>
        <v>96</v>
      </c>
      <c r="G1881" s="30" t="n">
        <f aca="false">IF('Boletins Nuppa Site'!J1881&lt;&gt;0,'Boletins Nuppa Site'!J1881,"NULL")</f>
        <v>87</v>
      </c>
      <c r="H1881" s="30" t="n">
        <f aca="false">IF('Boletins Nuppa Site'!K1881&lt;&gt;0,'Boletins Nuppa Site'!K1881,"NULL")</f>
        <v>90</v>
      </c>
      <c r="I1881" s="0" t="str">
        <f aca="false">"INSERT INTO COTACAO (cot_id, cot_blt_id, cot_pap_id, cot_prc_comum, cot_prc_min, cot_prc_max, cot_prc_med, cot_prc_mediana) VALUES ("&amp;A1881&amp;", "&amp;B1881&amp;", "&amp;C1881&amp;", "&amp;D1881&amp;", "&amp;E1881&amp;", "&amp;F1881&amp;", "&amp;G1881&amp;", "&amp;H1881&amp;");"</f>
        <v>INSERT INTO COTACAO (cot_id, cot_blt_id, cot_pap_id, cot_prc_comum, cot_prc_min, cot_prc_max, cot_prc_med, cot_prc_mediana) VALUES (1880, 85, 10, 96, 72, 96, 87, 90);</v>
      </c>
      <c r="J1881" s="0" t="str">
        <f aca="false">"UPDATE COTACAO SET cot_id = "&amp;A1881&amp;", cot_blt_id = "&amp;B1881&amp;", cot_pap_id = "&amp;C1881&amp;", cot_prc_comum = "&amp;D1881&amp;", cot_prc_min = "&amp;E1881&amp;", cot_prc_max = "&amp;F1881&amp;", cot_prc_med = "&amp;G1881&amp;", cot_prc_mediana = "&amp;H1881&amp;" WHERE cot_id = "&amp;A1881&amp;";"</f>
        <v>UPDATE COTACAO SET cot_id = 1880, cot_blt_id = 85, cot_pap_id = 10, cot_prc_comum = 96, cot_prc_min = 72, cot_prc_max = 96, cot_prc_med = 87, cot_prc_mediana = 90 WHERE cot_id = 1880;</v>
      </c>
    </row>
    <row r="1882" customFormat="false" ht="14.25" hidden="false" customHeight="false" outlineLevel="0" collapsed="false">
      <c r="A1882" s="0" t="n">
        <v>1881</v>
      </c>
      <c r="B1882" s="0" t="n">
        <f aca="false">IF('Boletins Nuppa Site'!A1882&lt;&gt;0,'Boletins Nuppa Site'!A1882,"NULL")</f>
        <v>85</v>
      </c>
      <c r="C1882" s="0" t="n">
        <v>11</v>
      </c>
      <c r="D1882" s="31" t="n">
        <f aca="false">IF('Boletins Nuppa Site'!G1882&lt;&gt;0,'Boletins Nuppa Site'!G1882,"NULL")</f>
        <v>30</v>
      </c>
      <c r="E1882" s="30" t="n">
        <f aca="false">IF('Boletins Nuppa Site'!H1882&lt;&gt;0,'Boletins Nuppa Site'!H1882,"NULL")</f>
        <v>25</v>
      </c>
      <c r="F1882" s="30" t="n">
        <f aca="false">IF('Boletins Nuppa Site'!I1882&lt;&gt;0,'Boletins Nuppa Site'!I1882,"NULL")</f>
        <v>36</v>
      </c>
      <c r="G1882" s="30" t="str">
        <f aca="false">IF('Boletins Nuppa Site'!J1882&lt;&gt;0,'Boletins Nuppa Site'!J1882,"NULL")</f>
        <v>30.25</v>
      </c>
      <c r="H1882" s="30" t="n">
        <f aca="false">IF('Boletins Nuppa Site'!K1882&lt;&gt;0,'Boletins Nuppa Site'!K1882,"NULL")</f>
        <v>30</v>
      </c>
      <c r="I1882" s="0" t="str">
        <f aca="false">"INSERT INTO COTACAO (cot_id, cot_blt_id, cot_pap_id, cot_prc_comum, cot_prc_min, cot_prc_max, cot_prc_med, cot_prc_mediana) VALUES ("&amp;A1882&amp;", "&amp;B1882&amp;", "&amp;C1882&amp;", "&amp;D1882&amp;", "&amp;E1882&amp;", "&amp;F1882&amp;", "&amp;G1882&amp;", "&amp;H1882&amp;");"</f>
        <v>INSERT INTO COTACAO (cot_id, cot_blt_id, cot_pap_id, cot_prc_comum, cot_prc_min, cot_prc_max, cot_prc_med, cot_prc_mediana) VALUES (1881, 85, 11, 30, 25, 36, 30.25, 30);</v>
      </c>
      <c r="J1882" s="0" t="str">
        <f aca="false">"UPDATE COTACAO SET cot_id = "&amp;A1882&amp;", cot_blt_id = "&amp;B1882&amp;", cot_pap_id = "&amp;C1882&amp;", cot_prc_comum = "&amp;D1882&amp;", cot_prc_min = "&amp;E1882&amp;", cot_prc_max = "&amp;F1882&amp;", cot_prc_med = "&amp;G1882&amp;", cot_prc_mediana = "&amp;H1882&amp;" WHERE cot_id = "&amp;A1882&amp;";"</f>
        <v>UPDATE COTACAO SET cot_id = 1881, cot_blt_id = 85, cot_pap_id = 11, cot_prc_comum = 30, cot_prc_min = 25, cot_prc_max = 36, cot_prc_med = 30.25, cot_prc_mediana = 30 WHERE cot_id = 1881;</v>
      </c>
    </row>
    <row r="1883" customFormat="false" ht="14.25" hidden="false" customHeight="false" outlineLevel="0" collapsed="false">
      <c r="A1883" s="0" t="n">
        <v>1882</v>
      </c>
      <c r="B1883" s="0" t="n">
        <f aca="false">IF('Boletins Nuppa Site'!A1883&lt;&gt;0,'Boletins Nuppa Site'!A1883,"NULL")</f>
        <v>85</v>
      </c>
      <c r="C1883" s="0" t="n">
        <v>12</v>
      </c>
      <c r="D1883" s="31" t="n">
        <f aca="false">IF('Boletins Nuppa Site'!G1883&lt;&gt;0,'Boletins Nuppa Site'!G1883,"NULL")</f>
        <v>72</v>
      </c>
      <c r="E1883" s="30" t="n">
        <f aca="false">IF('Boletins Nuppa Site'!H1883&lt;&gt;0,'Boletins Nuppa Site'!H1883,"NULL")</f>
        <v>60</v>
      </c>
      <c r="F1883" s="30" t="n">
        <f aca="false">IF('Boletins Nuppa Site'!I1883&lt;&gt;0,'Boletins Nuppa Site'!I1883,"NULL")</f>
        <v>84</v>
      </c>
      <c r="G1883" s="30" t="n">
        <f aca="false">IF('Boletins Nuppa Site'!J1883&lt;&gt;0,'Boletins Nuppa Site'!J1883,"NULL")</f>
        <v>72</v>
      </c>
      <c r="H1883" s="30" t="n">
        <f aca="false">IF('Boletins Nuppa Site'!K1883&lt;&gt;0,'Boletins Nuppa Site'!K1883,"NULL")</f>
        <v>72</v>
      </c>
      <c r="I1883" s="0" t="str">
        <f aca="false">"INSERT INTO COTACAO (cot_id, cot_blt_id, cot_pap_id, cot_prc_comum, cot_prc_min, cot_prc_max, cot_prc_med, cot_prc_mediana) VALUES ("&amp;A1883&amp;", "&amp;B1883&amp;", "&amp;C1883&amp;", "&amp;D1883&amp;", "&amp;E1883&amp;", "&amp;F1883&amp;", "&amp;G1883&amp;", "&amp;H1883&amp;");"</f>
        <v>INSERT INTO COTACAO (cot_id, cot_blt_id, cot_pap_id, cot_prc_comum, cot_prc_min, cot_prc_max, cot_prc_med, cot_prc_mediana) VALUES (1882, 85, 12, 72, 60, 84, 72, 72);</v>
      </c>
      <c r="J1883" s="0" t="str">
        <f aca="false">"UPDATE COTACAO SET cot_id = "&amp;A1883&amp;", cot_blt_id = "&amp;B1883&amp;", cot_pap_id = "&amp;C1883&amp;", cot_prc_comum = "&amp;D1883&amp;", cot_prc_min = "&amp;E1883&amp;", cot_prc_max = "&amp;F1883&amp;", cot_prc_med = "&amp;G1883&amp;", cot_prc_mediana = "&amp;H1883&amp;" WHERE cot_id = "&amp;A1883&amp;";"</f>
        <v>UPDATE COTACAO SET cot_id = 1882, cot_blt_id = 85, cot_pap_id = 12, cot_prc_comum = 72, cot_prc_min = 60, cot_prc_max = 84, cot_prc_med = 72, cot_prc_mediana = 72 WHERE cot_id = 1882;</v>
      </c>
    </row>
    <row r="1884" customFormat="false" ht="14.25" hidden="false" customHeight="false" outlineLevel="0" collapsed="false">
      <c r="A1884" s="0" t="n">
        <v>1883</v>
      </c>
      <c r="B1884" s="0" t="n">
        <f aca="false">IF('Boletins Nuppa Site'!A1884&lt;&gt;0,'Boletins Nuppa Site'!A1884,"NULL")</f>
        <v>85</v>
      </c>
      <c r="C1884" s="0" t="n">
        <v>13</v>
      </c>
      <c r="D1884" s="31" t="n">
        <f aca="false">IF('Boletins Nuppa Site'!G1884&lt;&gt;0,'Boletins Nuppa Site'!G1884,"NULL")</f>
        <v>72</v>
      </c>
      <c r="E1884" s="30" t="n">
        <f aca="false">IF('Boletins Nuppa Site'!H1884&lt;&gt;0,'Boletins Nuppa Site'!H1884,"NULL")</f>
        <v>60</v>
      </c>
      <c r="F1884" s="30" t="n">
        <f aca="false">IF('Boletins Nuppa Site'!I1884&lt;&gt;0,'Boletins Nuppa Site'!I1884,"NULL")</f>
        <v>96</v>
      </c>
      <c r="G1884" s="30" t="n">
        <f aca="false">IF('Boletins Nuppa Site'!J1884&lt;&gt;0,'Boletins Nuppa Site'!J1884,"NULL")</f>
        <v>75</v>
      </c>
      <c r="H1884" s="30" t="n">
        <f aca="false">IF('Boletins Nuppa Site'!K1884&lt;&gt;0,'Boletins Nuppa Site'!K1884,"NULL")</f>
        <v>72</v>
      </c>
      <c r="I1884" s="0" t="str">
        <f aca="false">"INSERT INTO COTACAO (cot_id, cot_blt_id, cot_pap_id, cot_prc_comum, cot_prc_min, cot_prc_max, cot_prc_med, cot_prc_mediana) VALUES ("&amp;A1884&amp;", "&amp;B1884&amp;", "&amp;C1884&amp;", "&amp;D1884&amp;", "&amp;E1884&amp;", "&amp;F1884&amp;", "&amp;G1884&amp;", "&amp;H1884&amp;");"</f>
        <v>INSERT INTO COTACAO (cot_id, cot_blt_id, cot_pap_id, cot_prc_comum, cot_prc_min, cot_prc_max, cot_prc_med, cot_prc_mediana) VALUES (1883, 85, 13, 72, 60, 96, 75, 72);</v>
      </c>
      <c r="J1884" s="0" t="str">
        <f aca="false">"UPDATE COTACAO SET cot_id = "&amp;A1884&amp;", cot_blt_id = "&amp;B1884&amp;", cot_pap_id = "&amp;C1884&amp;", cot_prc_comum = "&amp;D1884&amp;", cot_prc_min = "&amp;E1884&amp;", cot_prc_max = "&amp;F1884&amp;", cot_prc_med = "&amp;G1884&amp;", cot_prc_mediana = "&amp;H1884&amp;" WHERE cot_id = "&amp;A1884&amp;";"</f>
        <v>UPDATE COTACAO SET cot_id = 1883, cot_blt_id = 85, cot_pap_id = 13, cot_prc_comum = 72, cot_prc_min = 60, cot_prc_max = 96, cot_prc_med = 75, cot_prc_mediana = 72 WHERE cot_id = 1883;</v>
      </c>
    </row>
    <row r="1885" customFormat="false" ht="14.25" hidden="false" customHeight="false" outlineLevel="0" collapsed="false">
      <c r="A1885" s="0" t="n">
        <v>1884</v>
      </c>
      <c r="B1885" s="0" t="n">
        <f aca="false">IF('Boletins Nuppa Site'!A1885&lt;&gt;0,'Boletins Nuppa Site'!A1885,"NULL")</f>
        <v>85</v>
      </c>
      <c r="C1885" s="0" t="n">
        <v>14</v>
      </c>
      <c r="D1885" s="31" t="n">
        <f aca="false">IF('Boletins Nuppa Site'!G1885&lt;&gt;0,'Boletins Nuppa Site'!G1885,"NULL")</f>
        <v>60</v>
      </c>
      <c r="E1885" s="30" t="n">
        <f aca="false">IF('Boletins Nuppa Site'!H1885&lt;&gt;0,'Boletins Nuppa Site'!H1885,"NULL")</f>
        <v>54</v>
      </c>
      <c r="F1885" s="30" t="n">
        <f aca="false">IF('Boletins Nuppa Site'!I1885&lt;&gt;0,'Boletins Nuppa Site'!I1885,"NULL")</f>
        <v>72</v>
      </c>
      <c r="G1885" s="30" t="str">
        <f aca="false">IF('Boletins Nuppa Site'!J1885&lt;&gt;0,'Boletins Nuppa Site'!J1885,"NULL")</f>
        <v>61.5</v>
      </c>
      <c r="H1885" s="30" t="n">
        <f aca="false">IF('Boletins Nuppa Site'!K1885&lt;&gt;0,'Boletins Nuppa Site'!K1885,"NULL")</f>
        <v>60</v>
      </c>
      <c r="I1885" s="0" t="str">
        <f aca="false">"INSERT INTO COTACAO (cot_id, cot_blt_id, cot_pap_id, cot_prc_comum, cot_prc_min, cot_prc_max, cot_prc_med, cot_prc_mediana) VALUES ("&amp;A1885&amp;", "&amp;B1885&amp;", "&amp;C1885&amp;", "&amp;D1885&amp;", "&amp;E1885&amp;", "&amp;F1885&amp;", "&amp;G1885&amp;", "&amp;H1885&amp;");"</f>
        <v>INSERT INTO COTACAO (cot_id, cot_blt_id, cot_pap_id, cot_prc_comum, cot_prc_min, cot_prc_max, cot_prc_med, cot_prc_mediana) VALUES (1884, 85, 14, 60, 54, 72, 61.5, 60);</v>
      </c>
      <c r="J1885" s="0" t="str">
        <f aca="false">"UPDATE COTACAO SET cot_id = "&amp;A1885&amp;", cot_blt_id = "&amp;B1885&amp;", cot_pap_id = "&amp;C1885&amp;", cot_prc_comum = "&amp;D1885&amp;", cot_prc_min = "&amp;E1885&amp;", cot_prc_max = "&amp;F1885&amp;", cot_prc_med = "&amp;G1885&amp;", cot_prc_mediana = "&amp;H1885&amp;" WHERE cot_id = "&amp;A1885&amp;";"</f>
        <v>UPDATE COTACAO SET cot_id = 1884, cot_blt_id = 85, cot_pap_id = 14, cot_prc_comum = 60, cot_prc_min = 54, cot_prc_max = 72, cot_prc_med = 61.5, cot_prc_mediana = 60 WHERE cot_id = 1884;</v>
      </c>
    </row>
    <row r="1886" customFormat="false" ht="14.25" hidden="false" customHeight="false" outlineLevel="0" collapsed="false">
      <c r="A1886" s="0" t="n">
        <v>1885</v>
      </c>
      <c r="B1886" s="0" t="n">
        <f aca="false">IF('Boletins Nuppa Site'!A1886&lt;&gt;0,'Boletins Nuppa Site'!A1886,"NULL")</f>
        <v>85</v>
      </c>
      <c r="C1886" s="0" t="n">
        <v>15</v>
      </c>
      <c r="D1886" s="31" t="n">
        <f aca="false">IF('Boletins Nuppa Site'!G1886&lt;&gt;0,'Boletins Nuppa Site'!G1886,"NULL")</f>
        <v>48</v>
      </c>
      <c r="E1886" s="30" t="n">
        <f aca="false">IF('Boletins Nuppa Site'!H1886&lt;&gt;0,'Boletins Nuppa Site'!H1886,"NULL")</f>
        <v>36</v>
      </c>
      <c r="F1886" s="30" t="n">
        <f aca="false">IF('Boletins Nuppa Site'!I1886&lt;&gt;0,'Boletins Nuppa Site'!I1886,"NULL")</f>
        <v>48</v>
      </c>
      <c r="G1886" s="30" t="n">
        <f aca="false">IF('Boletins Nuppa Site'!J1886&lt;&gt;0,'Boletins Nuppa Site'!J1886,"NULL")</f>
        <v>42</v>
      </c>
      <c r="H1886" s="30" t="n">
        <f aca="false">IF('Boletins Nuppa Site'!K1886&lt;&gt;0,'Boletins Nuppa Site'!K1886,"NULL")</f>
        <v>42</v>
      </c>
      <c r="I1886" s="0" t="str">
        <f aca="false">"INSERT INTO COTACAO (cot_id, cot_blt_id, cot_pap_id, cot_prc_comum, cot_prc_min, cot_prc_max, cot_prc_med, cot_prc_mediana) VALUES ("&amp;A1886&amp;", "&amp;B1886&amp;", "&amp;C1886&amp;", "&amp;D1886&amp;", "&amp;E1886&amp;", "&amp;F1886&amp;", "&amp;G1886&amp;", "&amp;H1886&amp;");"</f>
        <v>INSERT INTO COTACAO (cot_id, cot_blt_id, cot_pap_id, cot_prc_comum, cot_prc_min, cot_prc_max, cot_prc_med, cot_prc_mediana) VALUES (1885, 85, 15, 48, 36, 48, 42, 42);</v>
      </c>
      <c r="J1886" s="0" t="str">
        <f aca="false">"UPDATE COTACAO SET cot_id = "&amp;A1886&amp;", cot_blt_id = "&amp;B1886&amp;", cot_pap_id = "&amp;C1886&amp;", cot_prc_comum = "&amp;D1886&amp;", cot_prc_min = "&amp;E1886&amp;", cot_prc_max = "&amp;F1886&amp;", cot_prc_med = "&amp;G1886&amp;", cot_prc_mediana = "&amp;H1886&amp;" WHERE cot_id = "&amp;A1886&amp;";"</f>
        <v>UPDATE COTACAO SET cot_id = 1885, cot_blt_id = 85, cot_pap_id = 15, cot_prc_comum = 48, cot_prc_min = 36, cot_prc_max = 48, cot_prc_med = 42, cot_prc_mediana = 42 WHERE cot_id = 1885;</v>
      </c>
    </row>
    <row r="1887" customFormat="false" ht="14.25" hidden="false" customHeight="false" outlineLevel="0" collapsed="false">
      <c r="A1887" s="0" t="n">
        <v>1886</v>
      </c>
      <c r="B1887" s="0" t="n">
        <f aca="false">IF('Boletins Nuppa Site'!A1887&lt;&gt;0,'Boletins Nuppa Site'!A1887,"NULL")</f>
        <v>85</v>
      </c>
      <c r="C1887" s="0" t="n">
        <v>16</v>
      </c>
      <c r="D1887" s="31" t="n">
        <f aca="false">IF('Boletins Nuppa Site'!G1887&lt;&gt;0,'Boletins Nuppa Site'!G1887,"NULL")</f>
        <v>54</v>
      </c>
      <c r="E1887" s="30" t="n">
        <f aca="false">IF('Boletins Nuppa Site'!H1887&lt;&gt;0,'Boletins Nuppa Site'!H1887,"NULL")</f>
        <v>48</v>
      </c>
      <c r="F1887" s="30" t="n">
        <f aca="false">IF('Boletins Nuppa Site'!I1887&lt;&gt;0,'Boletins Nuppa Site'!I1887,"NULL")</f>
        <v>60</v>
      </c>
      <c r="G1887" s="30" t="n">
        <f aca="false">IF('Boletins Nuppa Site'!J1887&lt;&gt;0,'Boletins Nuppa Site'!J1887,"NULL")</f>
        <v>54</v>
      </c>
      <c r="H1887" s="30" t="n">
        <f aca="false">IF('Boletins Nuppa Site'!K1887&lt;&gt;0,'Boletins Nuppa Site'!K1887,"NULL")</f>
        <v>54</v>
      </c>
      <c r="I1887" s="0" t="str">
        <f aca="false">"INSERT INTO COTACAO (cot_id, cot_blt_id, cot_pap_id, cot_prc_comum, cot_prc_min, cot_prc_max, cot_prc_med, cot_prc_mediana) VALUES ("&amp;A1887&amp;", "&amp;B1887&amp;", "&amp;C1887&amp;", "&amp;D1887&amp;", "&amp;E1887&amp;", "&amp;F1887&amp;", "&amp;G1887&amp;", "&amp;H1887&amp;");"</f>
        <v>INSERT INTO COTACAO (cot_id, cot_blt_id, cot_pap_id, cot_prc_comum, cot_prc_min, cot_prc_max, cot_prc_med, cot_prc_mediana) VALUES (1886, 85, 16, 54, 48, 60, 54, 54);</v>
      </c>
      <c r="J1887" s="0" t="str">
        <f aca="false">"UPDATE COTACAO SET cot_id = "&amp;A1887&amp;", cot_blt_id = "&amp;B1887&amp;", cot_pap_id = "&amp;C1887&amp;", cot_prc_comum = "&amp;D1887&amp;", cot_prc_min = "&amp;E1887&amp;", cot_prc_max = "&amp;F1887&amp;", cot_prc_med = "&amp;G1887&amp;", cot_prc_mediana = "&amp;H1887&amp;" WHERE cot_id = "&amp;A1887&amp;";"</f>
        <v>UPDATE COTACAO SET cot_id = 1886, cot_blt_id = 85, cot_pap_id = 16, cot_prc_comum = 54, cot_prc_min = 48, cot_prc_max = 60, cot_prc_med = 54, cot_prc_mediana = 54 WHERE cot_id = 1886;</v>
      </c>
    </row>
    <row r="1888" customFormat="false" ht="14.25" hidden="false" customHeight="false" outlineLevel="0" collapsed="false">
      <c r="A1888" s="0" t="n">
        <v>1887</v>
      </c>
      <c r="B1888" s="0" t="n">
        <f aca="false">IF('Boletins Nuppa Site'!A1888&lt;&gt;0,'Boletins Nuppa Site'!A1888,"NULL")</f>
        <v>85</v>
      </c>
      <c r="C1888" s="0" t="n">
        <v>17</v>
      </c>
      <c r="D1888" s="31" t="n">
        <f aca="false">IF('Boletins Nuppa Site'!G1888&lt;&gt;0,'Boletins Nuppa Site'!G1888,"NULL")</f>
        <v>5</v>
      </c>
      <c r="E1888" s="30" t="n">
        <f aca="false">IF('Boletins Nuppa Site'!H1888&lt;&gt;0,'Boletins Nuppa Site'!H1888,"NULL")</f>
        <v>5</v>
      </c>
      <c r="F1888" s="30" t="n">
        <f aca="false">IF('Boletins Nuppa Site'!I1888&lt;&gt;0,'Boletins Nuppa Site'!I1888,"NULL")</f>
        <v>5</v>
      </c>
      <c r="G1888" s="30" t="n">
        <f aca="false">IF('Boletins Nuppa Site'!J1888&lt;&gt;0,'Boletins Nuppa Site'!J1888,"NULL")</f>
        <v>5</v>
      </c>
      <c r="H1888" s="30" t="n">
        <f aca="false">IF('Boletins Nuppa Site'!K1888&lt;&gt;0,'Boletins Nuppa Site'!K1888,"NULL")</f>
        <v>5</v>
      </c>
      <c r="I1888" s="0" t="str">
        <f aca="false">"INSERT INTO COTACAO (cot_id, cot_blt_id, cot_pap_id, cot_prc_comum, cot_prc_min, cot_prc_max, cot_prc_med, cot_prc_mediana) VALUES ("&amp;A1888&amp;", "&amp;B1888&amp;", "&amp;C1888&amp;", "&amp;D1888&amp;", "&amp;E1888&amp;", "&amp;F1888&amp;", "&amp;G1888&amp;", "&amp;H1888&amp;");"</f>
        <v>INSERT INTO COTACAO (cot_id, cot_blt_id, cot_pap_id, cot_prc_comum, cot_prc_min, cot_prc_max, cot_prc_med, cot_prc_mediana) VALUES (1887, 85, 17, 5, 5, 5, 5, 5);</v>
      </c>
      <c r="J1888" s="0" t="str">
        <f aca="false">"UPDATE COTACAO SET cot_id = "&amp;A1888&amp;", cot_blt_id = "&amp;B1888&amp;", cot_pap_id = "&amp;C1888&amp;", cot_prc_comum = "&amp;D1888&amp;", cot_prc_min = "&amp;E1888&amp;", cot_prc_max = "&amp;F1888&amp;", cot_prc_med = "&amp;G1888&amp;", cot_prc_mediana = "&amp;H1888&amp;" WHERE cot_id = "&amp;A1888&amp;";"</f>
        <v>UPDATE COTACAO SET cot_id = 1887, cot_blt_id = 85, cot_pap_id = 17, cot_prc_comum = 5, cot_prc_min = 5, cot_prc_max = 5, cot_prc_med = 5, cot_prc_mediana = 5 WHERE cot_id = 1887;</v>
      </c>
    </row>
    <row r="1889" customFormat="false" ht="14.25" hidden="false" customHeight="false" outlineLevel="0" collapsed="false">
      <c r="A1889" s="0" t="n">
        <v>1888</v>
      </c>
      <c r="B1889" s="0" t="n">
        <f aca="false">IF('Boletins Nuppa Site'!A1889&lt;&gt;0,'Boletins Nuppa Site'!A1889,"NULL")</f>
        <v>85</v>
      </c>
      <c r="C1889" s="0" t="n">
        <v>18</v>
      </c>
      <c r="D1889" s="31" t="n">
        <f aca="false">IF('Boletins Nuppa Site'!G1889&lt;&gt;0,'Boletins Nuppa Site'!G1889,"NULL")</f>
        <v>20</v>
      </c>
      <c r="E1889" s="30" t="n">
        <f aca="false">IF('Boletins Nuppa Site'!H1889&lt;&gt;0,'Boletins Nuppa Site'!H1889,"NULL")</f>
        <v>20</v>
      </c>
      <c r="F1889" s="30" t="n">
        <f aca="false">IF('Boletins Nuppa Site'!I1889&lt;&gt;0,'Boletins Nuppa Site'!I1889,"NULL")</f>
        <v>25</v>
      </c>
      <c r="G1889" s="30" t="str">
        <f aca="false">IF('Boletins Nuppa Site'!J1889&lt;&gt;0,'Boletins Nuppa Site'!J1889,"NULL")</f>
        <v>22.5</v>
      </c>
      <c r="H1889" s="30" t="str">
        <f aca="false">IF('Boletins Nuppa Site'!K1889&lt;&gt;0,'Boletins Nuppa Site'!K1889,"NULL")</f>
        <v>22.5</v>
      </c>
      <c r="I1889" s="0" t="str">
        <f aca="false">"INSERT INTO COTACAO (cot_id, cot_blt_id, cot_pap_id, cot_prc_comum, cot_prc_min, cot_prc_max, cot_prc_med, cot_prc_mediana) VALUES ("&amp;A1889&amp;", "&amp;B1889&amp;", "&amp;C1889&amp;", "&amp;D1889&amp;", "&amp;E1889&amp;", "&amp;F1889&amp;", "&amp;G1889&amp;", "&amp;H1889&amp;");"</f>
        <v>INSERT INTO COTACAO (cot_id, cot_blt_id, cot_pap_id, cot_prc_comum, cot_prc_min, cot_prc_max, cot_prc_med, cot_prc_mediana) VALUES (1888, 85, 18, 20, 20, 25, 22.5, 22.5);</v>
      </c>
      <c r="J1889" s="0" t="str">
        <f aca="false">"UPDATE COTACAO SET cot_id = "&amp;A1889&amp;", cot_blt_id = "&amp;B1889&amp;", cot_pap_id = "&amp;C1889&amp;", cot_prc_comum = "&amp;D1889&amp;", cot_prc_min = "&amp;E1889&amp;", cot_prc_max = "&amp;F1889&amp;", cot_prc_med = "&amp;G1889&amp;", cot_prc_mediana = "&amp;H1889&amp;" WHERE cot_id = "&amp;A1889&amp;";"</f>
        <v>UPDATE COTACAO SET cot_id = 1888, cot_blt_id = 85, cot_pap_id = 18, cot_prc_comum = 20, cot_prc_min = 20, cot_prc_max = 25, cot_prc_med = 22.5, cot_prc_mediana = 22.5 WHERE cot_id = 1888;</v>
      </c>
    </row>
    <row r="1890" customFormat="false" ht="14.25" hidden="false" customHeight="false" outlineLevel="0" collapsed="false">
      <c r="A1890" s="0" t="n">
        <v>1889</v>
      </c>
      <c r="B1890" s="0" t="n">
        <f aca="false">IF('Boletins Nuppa Site'!A1890&lt;&gt;0,'Boletins Nuppa Site'!A1890,"NULL")</f>
        <v>85</v>
      </c>
      <c r="C1890" s="0" t="n">
        <v>19</v>
      </c>
      <c r="D1890" s="31" t="n">
        <f aca="false">IF('Boletins Nuppa Site'!G1890&lt;&gt;0,'Boletins Nuppa Site'!G1890,"NULL")</f>
        <v>25</v>
      </c>
      <c r="E1890" s="30" t="n">
        <f aca="false">IF('Boletins Nuppa Site'!H1890&lt;&gt;0,'Boletins Nuppa Site'!H1890,"NULL")</f>
        <v>25</v>
      </c>
      <c r="F1890" s="30" t="n">
        <f aca="false">IF('Boletins Nuppa Site'!I1890&lt;&gt;0,'Boletins Nuppa Site'!I1890,"NULL")</f>
        <v>30</v>
      </c>
      <c r="G1890" s="30" t="str">
        <f aca="false">IF('Boletins Nuppa Site'!J1890&lt;&gt;0,'Boletins Nuppa Site'!J1890,"NULL")</f>
        <v>27.5</v>
      </c>
      <c r="H1890" s="30" t="str">
        <f aca="false">IF('Boletins Nuppa Site'!K1890&lt;&gt;0,'Boletins Nuppa Site'!K1890,"NULL")</f>
        <v>27.5</v>
      </c>
      <c r="I1890" s="0" t="str">
        <f aca="false">"INSERT INTO COTACAO (cot_id, cot_blt_id, cot_pap_id, cot_prc_comum, cot_prc_min, cot_prc_max, cot_prc_med, cot_prc_mediana) VALUES ("&amp;A1890&amp;", "&amp;B1890&amp;", "&amp;C1890&amp;", "&amp;D1890&amp;", "&amp;E1890&amp;", "&amp;F1890&amp;", "&amp;G1890&amp;", "&amp;H1890&amp;");"</f>
        <v>INSERT INTO COTACAO (cot_id, cot_blt_id, cot_pap_id, cot_prc_comum, cot_prc_min, cot_prc_max, cot_prc_med, cot_prc_mediana) VALUES (1889, 85, 19, 25, 25, 30, 27.5, 27.5);</v>
      </c>
      <c r="J1890" s="0" t="str">
        <f aca="false">"UPDATE COTACAO SET cot_id = "&amp;A1890&amp;", cot_blt_id = "&amp;B1890&amp;", cot_pap_id = "&amp;C1890&amp;", cot_prc_comum = "&amp;D1890&amp;", cot_prc_min = "&amp;E1890&amp;", cot_prc_max = "&amp;F1890&amp;", cot_prc_med = "&amp;G1890&amp;", cot_prc_mediana = "&amp;H1890&amp;" WHERE cot_id = "&amp;A1890&amp;";"</f>
        <v>UPDATE COTACAO SET cot_id = 1889, cot_blt_id = 85, cot_pap_id = 19, cot_prc_comum = 25, cot_prc_min = 25, cot_prc_max = 30, cot_prc_med = 27.5, cot_prc_mediana = 27.5 WHERE cot_id = 1889;</v>
      </c>
    </row>
    <row r="1891" customFormat="false" ht="14.25" hidden="false" customHeight="false" outlineLevel="0" collapsed="false">
      <c r="A1891" s="0" t="n">
        <v>1890</v>
      </c>
      <c r="B1891" s="0" t="n">
        <f aca="false">IF('Boletins Nuppa Site'!A1891&lt;&gt;0,'Boletins Nuppa Site'!A1891,"NULL")</f>
        <v>85</v>
      </c>
      <c r="C1891" s="0" t="n">
        <v>20</v>
      </c>
      <c r="D1891" s="31" t="n">
        <f aca="false">IF('Boletins Nuppa Site'!G1891&lt;&gt;0,'Boletins Nuppa Site'!G1891,"NULL")</f>
        <v>70</v>
      </c>
      <c r="E1891" s="30" t="n">
        <f aca="false">IF('Boletins Nuppa Site'!H1891&lt;&gt;0,'Boletins Nuppa Site'!H1891,"NULL")</f>
        <v>70</v>
      </c>
      <c r="F1891" s="30" t="n">
        <f aca="false">IF('Boletins Nuppa Site'!I1891&lt;&gt;0,'Boletins Nuppa Site'!I1891,"NULL")</f>
        <v>75</v>
      </c>
      <c r="G1891" s="30" t="str">
        <f aca="false">IF('Boletins Nuppa Site'!J1891&lt;&gt;0,'Boletins Nuppa Site'!J1891,"NULL")</f>
        <v>71.67</v>
      </c>
      <c r="H1891" s="30" t="n">
        <f aca="false">IF('Boletins Nuppa Site'!K1891&lt;&gt;0,'Boletins Nuppa Site'!K1891,"NULL")</f>
        <v>70</v>
      </c>
      <c r="I1891" s="0" t="str">
        <f aca="false">"INSERT INTO COTACAO (cot_id, cot_blt_id, cot_pap_id, cot_prc_comum, cot_prc_min, cot_prc_max, cot_prc_med, cot_prc_mediana) VALUES ("&amp;A1891&amp;", "&amp;B1891&amp;", "&amp;C1891&amp;", "&amp;D1891&amp;", "&amp;E1891&amp;", "&amp;F1891&amp;", "&amp;G1891&amp;", "&amp;H1891&amp;");"</f>
        <v>INSERT INTO COTACAO (cot_id, cot_blt_id, cot_pap_id, cot_prc_comum, cot_prc_min, cot_prc_max, cot_prc_med, cot_prc_mediana) VALUES (1890, 85, 20, 70, 70, 75, 71.67, 70);</v>
      </c>
      <c r="J1891" s="0" t="str">
        <f aca="false">"UPDATE COTACAO SET cot_id = "&amp;A1891&amp;", cot_blt_id = "&amp;B1891&amp;", cot_pap_id = "&amp;C1891&amp;", cot_prc_comum = "&amp;D1891&amp;", cot_prc_min = "&amp;E1891&amp;", cot_prc_max = "&amp;F1891&amp;", cot_prc_med = "&amp;G1891&amp;", cot_prc_mediana = "&amp;H1891&amp;" WHERE cot_id = "&amp;A1891&amp;";"</f>
        <v>UPDATE COTACAO SET cot_id = 1890, cot_blt_id = 85, cot_pap_id = 20, cot_prc_comum = 70, cot_prc_min = 70, cot_prc_max = 75, cot_prc_med = 71.67, cot_prc_mediana = 70 WHERE cot_id = 1890;</v>
      </c>
    </row>
    <row r="1892" customFormat="false" ht="14.25" hidden="false" customHeight="false" outlineLevel="0" collapsed="false">
      <c r="A1892" s="0" t="n">
        <v>1891</v>
      </c>
      <c r="B1892" s="0" t="n">
        <f aca="false">IF('Boletins Nuppa Site'!A1892&lt;&gt;0,'Boletins Nuppa Site'!A1892,"NULL")</f>
        <v>85</v>
      </c>
      <c r="C1892" s="0" t="n">
        <v>21</v>
      </c>
      <c r="D1892" s="31" t="n">
        <f aca="false">IF('Boletins Nuppa Site'!G1892&lt;&gt;0,'Boletins Nuppa Site'!G1892,"NULL")</f>
        <v>50</v>
      </c>
      <c r="E1892" s="30" t="n">
        <f aca="false">IF('Boletins Nuppa Site'!H1892&lt;&gt;0,'Boletins Nuppa Site'!H1892,"NULL")</f>
        <v>50</v>
      </c>
      <c r="F1892" s="30" t="n">
        <f aca="false">IF('Boletins Nuppa Site'!I1892&lt;&gt;0,'Boletins Nuppa Site'!I1892,"NULL")</f>
        <v>60</v>
      </c>
      <c r="G1892" s="30" t="str">
        <f aca="false">IF('Boletins Nuppa Site'!J1892&lt;&gt;0,'Boletins Nuppa Site'!J1892,"NULL")</f>
        <v>53.33</v>
      </c>
      <c r="H1892" s="30" t="n">
        <f aca="false">IF('Boletins Nuppa Site'!K1892&lt;&gt;0,'Boletins Nuppa Site'!K1892,"NULL")</f>
        <v>50</v>
      </c>
      <c r="I1892" s="0" t="str">
        <f aca="false">"INSERT INTO COTACAO (cot_id, cot_blt_id, cot_pap_id, cot_prc_comum, cot_prc_min, cot_prc_max, cot_prc_med, cot_prc_mediana) VALUES ("&amp;A1892&amp;", "&amp;B1892&amp;", "&amp;C1892&amp;", "&amp;D1892&amp;", "&amp;E1892&amp;", "&amp;F1892&amp;", "&amp;G1892&amp;", "&amp;H1892&amp;");"</f>
        <v>INSERT INTO COTACAO (cot_id, cot_blt_id, cot_pap_id, cot_prc_comum, cot_prc_min, cot_prc_max, cot_prc_med, cot_prc_mediana) VALUES (1891, 85, 21, 50, 50, 60, 53.33, 50);</v>
      </c>
      <c r="J1892" s="0" t="str">
        <f aca="false">"UPDATE COTACAO SET cot_id = "&amp;A1892&amp;", cot_blt_id = "&amp;B1892&amp;", cot_pap_id = "&amp;C1892&amp;", cot_prc_comum = "&amp;D1892&amp;", cot_prc_min = "&amp;E1892&amp;", cot_prc_max = "&amp;F1892&amp;", cot_prc_med = "&amp;G1892&amp;", cot_prc_mediana = "&amp;H1892&amp;" WHERE cot_id = "&amp;A1892&amp;";"</f>
        <v>UPDATE COTACAO SET cot_id = 1891, cot_blt_id = 85, cot_pap_id = 21, cot_prc_comum = 50, cot_prc_min = 50, cot_prc_max = 60, cot_prc_med = 53.33, cot_prc_mediana = 50 WHERE cot_id = 1891;</v>
      </c>
    </row>
    <row r="1893" customFormat="false" ht="14.25" hidden="false" customHeight="false" outlineLevel="0" collapsed="false">
      <c r="A1893" s="0" t="n">
        <v>1892</v>
      </c>
      <c r="B1893" s="0" t="n">
        <f aca="false">IF('Boletins Nuppa Site'!A1893&lt;&gt;0,'Boletins Nuppa Site'!A1893,"NULL")</f>
        <v>85</v>
      </c>
      <c r="C1893" s="0" t="n">
        <v>22</v>
      </c>
      <c r="D1893" s="31" t="n">
        <f aca="false">IF('Boletins Nuppa Site'!G1893&lt;&gt;0,'Boletins Nuppa Site'!G1893,"NULL")</f>
        <v>70</v>
      </c>
      <c r="E1893" s="30" t="n">
        <f aca="false">IF('Boletins Nuppa Site'!H1893&lt;&gt;0,'Boletins Nuppa Site'!H1893,"NULL")</f>
        <v>45</v>
      </c>
      <c r="F1893" s="30" t="n">
        <f aca="false">IF('Boletins Nuppa Site'!I1893&lt;&gt;0,'Boletins Nuppa Site'!I1893,"NULL")</f>
        <v>70</v>
      </c>
      <c r="G1893" s="30" t="str">
        <f aca="false">IF('Boletins Nuppa Site'!J1893&lt;&gt;0,'Boletins Nuppa Site'!J1893,"NULL")</f>
        <v>62.5</v>
      </c>
      <c r="H1893" s="30" t="str">
        <f aca="false">IF('Boletins Nuppa Site'!K1893&lt;&gt;0,'Boletins Nuppa Site'!K1893,"NULL")</f>
        <v>67.5</v>
      </c>
      <c r="I1893" s="0" t="str">
        <f aca="false">"INSERT INTO COTACAO (cot_id, cot_blt_id, cot_pap_id, cot_prc_comum, cot_prc_min, cot_prc_max, cot_prc_med, cot_prc_mediana) VALUES ("&amp;A1893&amp;", "&amp;B1893&amp;", "&amp;C1893&amp;", "&amp;D1893&amp;", "&amp;E1893&amp;", "&amp;F1893&amp;", "&amp;G1893&amp;", "&amp;H1893&amp;");"</f>
        <v>INSERT INTO COTACAO (cot_id, cot_blt_id, cot_pap_id, cot_prc_comum, cot_prc_min, cot_prc_max, cot_prc_med, cot_prc_mediana) VALUES (1892, 85, 22, 70, 45, 70, 62.5, 67.5);</v>
      </c>
      <c r="J1893" s="0" t="str">
        <f aca="false">"UPDATE COTACAO SET cot_id = "&amp;A1893&amp;", cot_blt_id = "&amp;B1893&amp;", cot_pap_id = "&amp;C1893&amp;", cot_prc_comum = "&amp;D1893&amp;", cot_prc_min = "&amp;E1893&amp;", cot_prc_max = "&amp;F1893&amp;", cot_prc_med = "&amp;G1893&amp;", cot_prc_mediana = "&amp;H1893&amp;" WHERE cot_id = "&amp;A1893&amp;";"</f>
        <v>UPDATE COTACAO SET cot_id = 1892, cot_blt_id = 85, cot_pap_id = 22, cot_prc_comum = 70, cot_prc_min = 45, cot_prc_max = 70, cot_prc_med = 62.5, cot_prc_mediana = 67.5 WHERE cot_id = 1892;</v>
      </c>
    </row>
    <row r="1894" customFormat="false" ht="14.25" hidden="false" customHeight="false" outlineLevel="0" collapsed="false">
      <c r="A1894" s="0" t="n">
        <v>1893</v>
      </c>
      <c r="B1894" s="0" t="n">
        <f aca="false">IF('Boletins Nuppa Site'!A1894&lt;&gt;0,'Boletins Nuppa Site'!A1894,"NULL")</f>
        <v>85</v>
      </c>
      <c r="C1894" s="0" t="n">
        <v>23</v>
      </c>
      <c r="D1894" s="0" t="str">
        <f aca="false">IF('Boletins Nuppa Site'!G1894&lt;&gt;0,'Boletins Nuppa Site'!G1894,"NULL")</f>
        <v>NULL</v>
      </c>
      <c r="E1894" s="30" t="n">
        <f aca="false">IF('Boletins Nuppa Site'!H1894&lt;&gt;0,'Boletins Nuppa Site'!H1894,"NULL")</f>
        <v>40</v>
      </c>
      <c r="F1894" s="30" t="n">
        <f aca="false">IF('Boletins Nuppa Site'!I1894&lt;&gt;0,'Boletins Nuppa Site'!I1894,"NULL")</f>
        <v>65</v>
      </c>
      <c r="G1894" s="30" t="str">
        <f aca="false">IF('Boletins Nuppa Site'!J1894&lt;&gt;0,'Boletins Nuppa Site'!J1894,"NULL")</f>
        <v>53.75</v>
      </c>
      <c r="H1894" s="30" t="n">
        <f aca="false">IF('Boletins Nuppa Site'!K1894&lt;&gt;0,'Boletins Nuppa Site'!K1894,"NULL")</f>
        <v>55</v>
      </c>
      <c r="I1894" s="0" t="str">
        <f aca="false">"INSERT INTO COTACAO (cot_id, cot_blt_id, cot_pap_id, cot_prc_comum, cot_prc_min, cot_prc_max, cot_prc_med, cot_prc_mediana) VALUES ("&amp;A1894&amp;", "&amp;B1894&amp;", "&amp;C1894&amp;", "&amp;D1894&amp;", "&amp;E1894&amp;", "&amp;F1894&amp;", "&amp;G1894&amp;", "&amp;H1894&amp;");"</f>
        <v>INSERT INTO COTACAO (cot_id, cot_blt_id, cot_pap_id, cot_prc_comum, cot_prc_min, cot_prc_max, cot_prc_med, cot_prc_mediana) VALUES (1893, 85, 23, NULL, 40, 65, 53.75, 55);</v>
      </c>
      <c r="J1894" s="0" t="str">
        <f aca="false">"UPDATE COTACAO SET cot_id = "&amp;A1894&amp;", cot_blt_id = "&amp;B1894&amp;", cot_pap_id = "&amp;C1894&amp;", cot_prc_comum = "&amp;D1894&amp;", cot_prc_min = "&amp;E1894&amp;", cot_prc_max = "&amp;F1894&amp;", cot_prc_med = "&amp;G1894&amp;", cot_prc_mediana = "&amp;H1894&amp;" WHERE cot_id = "&amp;A1894&amp;";"</f>
        <v>UPDATE COTACAO SET cot_id = 1893, cot_blt_id = 85, cot_pap_id = 23, cot_prc_comum = NULL, cot_prc_min = 40, cot_prc_max = 65, cot_prc_med = 53.75, cot_prc_mediana = 55 WHERE cot_id = 1893;</v>
      </c>
    </row>
    <row r="1895" customFormat="false" ht="14.25" hidden="false" customHeight="false" outlineLevel="0" collapsed="false">
      <c r="A1895" s="0" t="n">
        <v>1894</v>
      </c>
      <c r="B1895" s="0" t="n">
        <f aca="false">IF('Boletins Nuppa Site'!A1895&lt;&gt;0,'Boletins Nuppa Site'!A1895,"NULL")</f>
        <v>85</v>
      </c>
      <c r="C1895" s="0" t="n">
        <v>24</v>
      </c>
      <c r="D1895" s="0" t="str">
        <f aca="false">IF('Boletins Nuppa Site'!G1895&lt;&gt;0,'Boletins Nuppa Site'!G1895,"NULL")</f>
        <v>NULL</v>
      </c>
      <c r="E1895" s="30" t="n">
        <f aca="false">IF('Boletins Nuppa Site'!H1895&lt;&gt;0,'Boletins Nuppa Site'!H1895,"NULL")</f>
        <v>65</v>
      </c>
      <c r="F1895" s="30" t="n">
        <f aca="false">IF('Boletins Nuppa Site'!I1895&lt;&gt;0,'Boletins Nuppa Site'!I1895,"NULL")</f>
        <v>75</v>
      </c>
      <c r="G1895" s="30" t="n">
        <f aca="false">IF('Boletins Nuppa Site'!J1895&lt;&gt;0,'Boletins Nuppa Site'!J1895,"NULL")</f>
        <v>70</v>
      </c>
      <c r="H1895" s="30" t="n">
        <f aca="false">IF('Boletins Nuppa Site'!K1895&lt;&gt;0,'Boletins Nuppa Site'!K1895,"NULL")</f>
        <v>70</v>
      </c>
      <c r="I1895" s="0" t="str">
        <f aca="false">"INSERT INTO COTACAO (cot_id, cot_blt_id, cot_pap_id, cot_prc_comum, cot_prc_min, cot_prc_max, cot_prc_med, cot_prc_mediana) VALUES ("&amp;A1895&amp;", "&amp;B1895&amp;", "&amp;C1895&amp;", "&amp;D1895&amp;", "&amp;E1895&amp;", "&amp;F1895&amp;", "&amp;G1895&amp;", "&amp;H1895&amp;");"</f>
        <v>INSERT INTO COTACAO (cot_id, cot_blt_id, cot_pap_id, cot_prc_comum, cot_prc_min, cot_prc_max, cot_prc_med, cot_prc_mediana) VALUES (1894, 85, 24, NULL, 65, 75, 70, 70);</v>
      </c>
      <c r="J1895" s="0" t="str">
        <f aca="false">"UPDATE COTACAO SET cot_id = "&amp;A1895&amp;", cot_blt_id = "&amp;B1895&amp;", cot_pap_id = "&amp;C1895&amp;", cot_prc_comum = "&amp;D1895&amp;", cot_prc_min = "&amp;E1895&amp;", cot_prc_max = "&amp;F1895&amp;", cot_prc_med = "&amp;G1895&amp;", cot_prc_mediana = "&amp;H1895&amp;" WHERE cot_id = "&amp;A1895&amp;";"</f>
        <v>UPDATE COTACAO SET cot_id = 1894, cot_blt_id = 85, cot_pap_id = 24, cot_prc_comum = NULL, cot_prc_min = 65, cot_prc_max = 75, cot_prc_med = 70, cot_prc_mediana = 70 WHERE cot_id = 1894;</v>
      </c>
    </row>
    <row r="1896" customFormat="false" ht="14.25" hidden="false" customHeight="false" outlineLevel="0" collapsed="false">
      <c r="A1896" s="0" t="n">
        <v>1895</v>
      </c>
      <c r="B1896" s="0" t="n">
        <f aca="false">IF('Boletins Nuppa Site'!A1896&lt;&gt;0,'Boletins Nuppa Site'!A1896,"NULL")</f>
        <v>85</v>
      </c>
      <c r="C1896" s="0" t="n">
        <v>25</v>
      </c>
      <c r="D1896" s="31" t="n">
        <f aca="false">IF('Boletins Nuppa Site'!G1896&lt;&gt;0,'Boletins Nuppa Site'!G1896,"NULL")</f>
        <v>60</v>
      </c>
      <c r="E1896" s="30" t="n">
        <f aca="false">IF('Boletins Nuppa Site'!H1896&lt;&gt;0,'Boletins Nuppa Site'!H1896,"NULL")</f>
        <v>50</v>
      </c>
      <c r="F1896" s="30" t="n">
        <f aca="false">IF('Boletins Nuppa Site'!I1896&lt;&gt;0,'Boletins Nuppa Site'!I1896,"NULL")</f>
        <v>60</v>
      </c>
      <c r="G1896" s="30" t="n">
        <f aca="false">IF('Boletins Nuppa Site'!J1896&lt;&gt;0,'Boletins Nuppa Site'!J1896,"NULL")</f>
        <v>55</v>
      </c>
      <c r="H1896" s="30" t="n">
        <f aca="false">IF('Boletins Nuppa Site'!K1896&lt;&gt;0,'Boletins Nuppa Site'!K1896,"NULL")</f>
        <v>55</v>
      </c>
      <c r="I1896" s="0" t="str">
        <f aca="false">"INSERT INTO COTACAO (cot_id, cot_blt_id, cot_pap_id, cot_prc_comum, cot_prc_min, cot_prc_max, cot_prc_med, cot_prc_mediana) VALUES ("&amp;A1896&amp;", "&amp;B1896&amp;", "&amp;C1896&amp;", "&amp;D1896&amp;", "&amp;E1896&amp;", "&amp;F1896&amp;", "&amp;G1896&amp;", "&amp;H1896&amp;");"</f>
        <v>INSERT INTO COTACAO (cot_id, cot_blt_id, cot_pap_id, cot_prc_comum, cot_prc_min, cot_prc_max, cot_prc_med, cot_prc_mediana) VALUES (1895, 85, 25, 60, 50, 60, 55, 55);</v>
      </c>
      <c r="J1896" s="0" t="str">
        <f aca="false">"UPDATE COTACAO SET cot_id = "&amp;A1896&amp;", cot_blt_id = "&amp;B1896&amp;", cot_pap_id = "&amp;C1896&amp;", cot_prc_comum = "&amp;D1896&amp;", cot_prc_min = "&amp;E1896&amp;", cot_prc_max = "&amp;F1896&amp;", cot_prc_med = "&amp;G1896&amp;", cot_prc_mediana = "&amp;H1896&amp;" WHERE cot_id = "&amp;A1896&amp;";"</f>
        <v>UPDATE COTACAO SET cot_id = 1895, cot_blt_id = 85, cot_pap_id = 25, cot_prc_comum = 60, cot_prc_min = 50, cot_prc_max = 60, cot_prc_med = 55, cot_prc_mediana = 55 WHERE cot_id = 1895;</v>
      </c>
    </row>
    <row r="1897" customFormat="false" ht="14.25" hidden="false" customHeight="false" outlineLevel="0" collapsed="false">
      <c r="A1897" s="0" t="n">
        <v>1896</v>
      </c>
      <c r="B1897" s="0" t="n">
        <f aca="false">IF('Boletins Nuppa Site'!A1897&lt;&gt;0,'Boletins Nuppa Site'!A1897,"NULL")</f>
        <v>85</v>
      </c>
      <c r="C1897" s="0" t="n">
        <v>26</v>
      </c>
      <c r="D1897" s="0" t="str">
        <f aca="false">IF('Boletins Nuppa Site'!G1897&lt;&gt;0,'Boletins Nuppa Site'!G1897,"NULL")</f>
        <v>NULL</v>
      </c>
      <c r="E1897" s="30" t="n">
        <f aca="false">IF('Boletins Nuppa Site'!H1897&lt;&gt;0,'Boletins Nuppa Site'!H1897,"NULL")</f>
        <v>60</v>
      </c>
      <c r="F1897" s="30" t="n">
        <f aca="false">IF('Boletins Nuppa Site'!I1897&lt;&gt;0,'Boletins Nuppa Site'!I1897,"NULL")</f>
        <v>100</v>
      </c>
      <c r="G1897" s="30" t="n">
        <f aca="false">IF('Boletins Nuppa Site'!J1897&lt;&gt;0,'Boletins Nuppa Site'!J1897,"NULL")</f>
        <v>80</v>
      </c>
      <c r="H1897" s="30" t="n">
        <f aca="false">IF('Boletins Nuppa Site'!K1897&lt;&gt;0,'Boletins Nuppa Site'!K1897,"NULL")</f>
        <v>80</v>
      </c>
      <c r="I1897" s="0" t="str">
        <f aca="false">"INSERT INTO COTACAO (cot_id, cot_blt_id, cot_pap_id, cot_prc_comum, cot_prc_min, cot_prc_max, cot_prc_med, cot_prc_mediana) VALUES ("&amp;A1897&amp;", "&amp;B1897&amp;", "&amp;C1897&amp;", "&amp;D1897&amp;", "&amp;E1897&amp;", "&amp;F1897&amp;", "&amp;G1897&amp;", "&amp;H1897&amp;");"</f>
        <v>INSERT INTO COTACAO (cot_id, cot_blt_id, cot_pap_id, cot_prc_comum, cot_prc_min, cot_prc_max, cot_prc_med, cot_prc_mediana) VALUES (1896, 85, 26, NULL, 60, 100, 80, 80);</v>
      </c>
      <c r="J1897" s="0" t="str">
        <f aca="false">"UPDATE COTACAO SET cot_id = "&amp;A1897&amp;", cot_blt_id = "&amp;B1897&amp;", cot_pap_id = "&amp;C1897&amp;", cot_prc_comum = "&amp;D1897&amp;", cot_prc_min = "&amp;E1897&amp;", cot_prc_max = "&amp;F1897&amp;", cot_prc_med = "&amp;G1897&amp;", cot_prc_mediana = "&amp;H1897&amp;" WHERE cot_id = "&amp;A1897&amp;";"</f>
        <v>UPDATE COTACAO SET cot_id = 1896, cot_blt_id = 85, cot_pap_id = 26, cot_prc_comum = NULL, cot_prc_min = 60, cot_prc_max = 100, cot_prc_med = 80, cot_prc_mediana = 80 WHERE cot_id = 1896;</v>
      </c>
    </row>
    <row r="1898" customFormat="false" ht="14.25" hidden="false" customHeight="false" outlineLevel="0" collapsed="false">
      <c r="A1898" s="0" t="n">
        <v>1897</v>
      </c>
      <c r="B1898" s="0" t="n">
        <f aca="false">IF('Boletins Nuppa Site'!A1898&lt;&gt;0,'Boletins Nuppa Site'!A1898,"NULL")</f>
        <v>85</v>
      </c>
      <c r="C1898" s="0" t="n">
        <v>27</v>
      </c>
      <c r="D1898" s="0" t="str">
        <f aca="false">IF('Boletins Nuppa Site'!G1898&lt;&gt;0,'Boletins Nuppa Site'!G1898,"NULL")</f>
        <v>NULL</v>
      </c>
      <c r="E1898" s="30" t="n">
        <f aca="false">IF('Boletins Nuppa Site'!H1898&lt;&gt;0,'Boletins Nuppa Site'!H1898,"NULL")</f>
        <v>45</v>
      </c>
      <c r="F1898" s="30" t="n">
        <f aca="false">IF('Boletins Nuppa Site'!I1898&lt;&gt;0,'Boletins Nuppa Site'!I1898,"NULL")</f>
        <v>90</v>
      </c>
      <c r="G1898" s="30" t="str">
        <f aca="false">IF('Boletins Nuppa Site'!J1898&lt;&gt;0,'Boletins Nuppa Site'!J1898,"NULL")</f>
        <v>63.75</v>
      </c>
      <c r="H1898" s="30" t="n">
        <f aca="false">IF('Boletins Nuppa Site'!K1898&lt;&gt;0,'Boletins Nuppa Site'!K1898,"NULL")</f>
        <v>60</v>
      </c>
      <c r="I1898" s="0" t="str">
        <f aca="false">"INSERT INTO COTACAO (cot_id, cot_blt_id, cot_pap_id, cot_prc_comum, cot_prc_min, cot_prc_max, cot_prc_med, cot_prc_mediana) VALUES ("&amp;A1898&amp;", "&amp;B1898&amp;", "&amp;C1898&amp;", "&amp;D1898&amp;", "&amp;E1898&amp;", "&amp;F1898&amp;", "&amp;G1898&amp;", "&amp;H1898&amp;");"</f>
        <v>INSERT INTO COTACAO (cot_id, cot_blt_id, cot_pap_id, cot_prc_comum, cot_prc_min, cot_prc_max, cot_prc_med, cot_prc_mediana) VALUES (1897, 85, 27, NULL, 45, 90, 63.75, 60);</v>
      </c>
      <c r="J1898" s="0" t="str">
        <f aca="false">"UPDATE COTACAO SET cot_id = "&amp;A1898&amp;", cot_blt_id = "&amp;B1898&amp;", cot_pap_id = "&amp;C1898&amp;", cot_prc_comum = "&amp;D1898&amp;", cot_prc_min = "&amp;E1898&amp;", cot_prc_max = "&amp;F1898&amp;", cot_prc_med = "&amp;G1898&amp;", cot_prc_mediana = "&amp;H1898&amp;" WHERE cot_id = "&amp;A1898&amp;";"</f>
        <v>UPDATE COTACAO SET cot_id = 1897, cot_blt_id = 85, cot_pap_id = 27, cot_prc_comum = NULL, cot_prc_min = 45, cot_prc_max = 90, cot_prc_med = 63.75, cot_prc_mediana = 60 WHERE cot_id = 1897;</v>
      </c>
    </row>
    <row r="1899" customFormat="false" ht="14.25" hidden="false" customHeight="false" outlineLevel="0" collapsed="false">
      <c r="A1899" s="0" t="n">
        <v>1898</v>
      </c>
      <c r="B1899" s="0" t="n">
        <f aca="false">IF('Boletins Nuppa Site'!A1899&lt;&gt;0,'Boletins Nuppa Site'!A1899,"NULL")</f>
        <v>85</v>
      </c>
      <c r="C1899" s="0" t="n">
        <v>28</v>
      </c>
      <c r="D1899" s="0" t="str">
        <f aca="false">IF('Boletins Nuppa Site'!G1899&lt;&gt;0,'Boletins Nuppa Site'!G1899,"NULL")</f>
        <v>NULL</v>
      </c>
      <c r="E1899" s="30" t="n">
        <f aca="false">IF('Boletins Nuppa Site'!H1899&lt;&gt;0,'Boletins Nuppa Site'!H1899,"NULL")</f>
        <v>70</v>
      </c>
      <c r="F1899" s="30" t="n">
        <f aca="false">IF('Boletins Nuppa Site'!I1899&lt;&gt;0,'Boletins Nuppa Site'!I1899,"NULL")</f>
        <v>100</v>
      </c>
      <c r="G1899" s="30" t="n">
        <f aca="false">IF('Boletins Nuppa Site'!J1899&lt;&gt;0,'Boletins Nuppa Site'!J1899,"NULL")</f>
        <v>85</v>
      </c>
      <c r="H1899" s="30" t="n">
        <f aca="false">IF('Boletins Nuppa Site'!K1899&lt;&gt;0,'Boletins Nuppa Site'!K1899,"NULL")</f>
        <v>85</v>
      </c>
      <c r="I1899" s="0" t="str">
        <f aca="false">"INSERT INTO COTACAO (cot_id, cot_blt_id, cot_pap_id, cot_prc_comum, cot_prc_min, cot_prc_max, cot_prc_med, cot_prc_mediana) VALUES ("&amp;A1899&amp;", "&amp;B1899&amp;", "&amp;C1899&amp;", "&amp;D1899&amp;", "&amp;E1899&amp;", "&amp;F1899&amp;", "&amp;G1899&amp;", "&amp;H1899&amp;");"</f>
        <v>INSERT INTO COTACAO (cot_id, cot_blt_id, cot_pap_id, cot_prc_comum, cot_prc_min, cot_prc_max, cot_prc_med, cot_prc_mediana) VALUES (1898, 85, 28, NULL, 70, 100, 85, 85);</v>
      </c>
      <c r="J1899" s="0" t="str">
        <f aca="false">"UPDATE COTACAO SET cot_id = "&amp;A1899&amp;", cot_blt_id = "&amp;B1899&amp;", cot_pap_id = "&amp;C1899&amp;", cot_prc_comum = "&amp;D1899&amp;", cot_prc_min = "&amp;E1899&amp;", cot_prc_max = "&amp;F1899&amp;", cot_prc_med = "&amp;G1899&amp;", cot_prc_mediana = "&amp;H1899&amp;" WHERE cot_id = "&amp;A1899&amp;";"</f>
        <v>UPDATE COTACAO SET cot_id = 1898, cot_blt_id = 85, cot_pap_id = 28, cot_prc_comum = NULL, cot_prc_min = 70, cot_prc_max = 100, cot_prc_med = 85, cot_prc_mediana = 85 WHERE cot_id = 1898;</v>
      </c>
    </row>
    <row r="1900" customFormat="false" ht="14.25" hidden="false" customHeight="false" outlineLevel="0" collapsed="false">
      <c r="A1900" s="0" t="n">
        <v>1899</v>
      </c>
      <c r="B1900" s="0" t="n">
        <f aca="false">IF('Boletins Nuppa Site'!A1900&lt;&gt;0,'Boletins Nuppa Site'!A1900,"NULL")</f>
        <v>85</v>
      </c>
      <c r="C1900" s="0" t="n">
        <v>29</v>
      </c>
      <c r="D1900" s="0" t="str">
        <f aca="false">IF('Boletins Nuppa Site'!G1900&lt;&gt;0,'Boletins Nuppa Site'!G1900,"NULL")</f>
        <v>NULL</v>
      </c>
      <c r="E1900" s="30" t="n">
        <f aca="false">IF('Boletins Nuppa Site'!H1900&lt;&gt;0,'Boletins Nuppa Site'!H1900,"NULL")</f>
        <v>50</v>
      </c>
      <c r="F1900" s="30" t="n">
        <f aca="false">IF('Boletins Nuppa Site'!I1900&lt;&gt;0,'Boletins Nuppa Site'!I1900,"NULL")</f>
        <v>75</v>
      </c>
      <c r="G1900" s="30" t="str">
        <f aca="false">IF('Boletins Nuppa Site'!J1900&lt;&gt;0,'Boletins Nuppa Site'!J1900,"NULL")</f>
        <v>62.5</v>
      </c>
      <c r="H1900" s="30" t="str">
        <f aca="false">IF('Boletins Nuppa Site'!K1900&lt;&gt;0,'Boletins Nuppa Site'!K1900,"NULL")</f>
        <v>62.5</v>
      </c>
      <c r="I1900" s="0" t="str">
        <f aca="false">"INSERT INTO COTACAO (cot_id, cot_blt_id, cot_pap_id, cot_prc_comum, cot_prc_min, cot_prc_max, cot_prc_med, cot_prc_mediana) VALUES ("&amp;A1900&amp;", "&amp;B1900&amp;", "&amp;C1900&amp;", "&amp;D1900&amp;", "&amp;E1900&amp;", "&amp;F1900&amp;", "&amp;G1900&amp;", "&amp;H1900&amp;");"</f>
        <v>INSERT INTO COTACAO (cot_id, cot_blt_id, cot_pap_id, cot_prc_comum, cot_prc_min, cot_prc_max, cot_prc_med, cot_prc_mediana) VALUES (1899, 85, 29, NULL, 50, 75, 62.5, 62.5);</v>
      </c>
      <c r="J1900" s="0" t="str">
        <f aca="false">"UPDATE COTACAO SET cot_id = "&amp;A1900&amp;", cot_blt_id = "&amp;B1900&amp;", cot_pap_id = "&amp;C1900&amp;", cot_prc_comum = "&amp;D1900&amp;", cot_prc_min = "&amp;E1900&amp;", cot_prc_max = "&amp;F1900&amp;", cot_prc_med = "&amp;G1900&amp;", cot_prc_mediana = "&amp;H1900&amp;" WHERE cot_id = "&amp;A1900&amp;";"</f>
        <v>UPDATE COTACAO SET cot_id = 1899, cot_blt_id = 85, cot_pap_id = 29, cot_prc_comum = NULL, cot_prc_min = 50, cot_prc_max = 75, cot_prc_med = 62.5, cot_prc_mediana = 62.5 WHERE cot_id = 1899;</v>
      </c>
    </row>
    <row r="1901" customFormat="false" ht="14.25" hidden="false" customHeight="false" outlineLevel="0" collapsed="false">
      <c r="A1901" s="0" t="n">
        <v>1900</v>
      </c>
      <c r="B1901" s="0" t="n">
        <f aca="false">IF('Boletins Nuppa Site'!A1901&lt;&gt;0,'Boletins Nuppa Site'!A1901,"NULL")</f>
        <v>85</v>
      </c>
      <c r="C1901" s="0" t="n">
        <v>30</v>
      </c>
      <c r="D1901" s="31" t="n">
        <f aca="false">IF('Boletins Nuppa Site'!G1901&lt;&gt;0,'Boletins Nuppa Site'!G1901,"NULL")</f>
        <v>80</v>
      </c>
      <c r="E1901" s="30" t="n">
        <f aca="false">IF('Boletins Nuppa Site'!H1901&lt;&gt;0,'Boletins Nuppa Site'!H1901,"NULL")</f>
        <v>45</v>
      </c>
      <c r="F1901" s="30" t="n">
        <f aca="false">IF('Boletins Nuppa Site'!I1901&lt;&gt;0,'Boletins Nuppa Site'!I1901,"NULL")</f>
        <v>80</v>
      </c>
      <c r="G1901" s="30" t="str">
        <f aca="false">IF('Boletins Nuppa Site'!J1901&lt;&gt;0,'Boletins Nuppa Site'!J1901,"NULL")</f>
        <v>68.33</v>
      </c>
      <c r="H1901" s="30" t="n">
        <f aca="false">IF('Boletins Nuppa Site'!K1901&lt;&gt;0,'Boletins Nuppa Site'!K1901,"NULL")</f>
        <v>80</v>
      </c>
      <c r="I1901" s="0" t="str">
        <f aca="false">"INSERT INTO COTACAO (cot_id, cot_blt_id, cot_pap_id, cot_prc_comum, cot_prc_min, cot_prc_max, cot_prc_med, cot_prc_mediana) VALUES ("&amp;A1901&amp;", "&amp;B1901&amp;", "&amp;C1901&amp;", "&amp;D1901&amp;", "&amp;E1901&amp;", "&amp;F1901&amp;", "&amp;G1901&amp;", "&amp;H1901&amp;");"</f>
        <v>INSERT INTO COTACAO (cot_id, cot_blt_id, cot_pap_id, cot_prc_comum, cot_prc_min, cot_prc_max, cot_prc_med, cot_prc_mediana) VALUES (1900, 85, 30, 80, 45, 80, 68.33, 80);</v>
      </c>
      <c r="J1901" s="0" t="str">
        <f aca="false">"UPDATE COTACAO SET cot_id = "&amp;A1901&amp;", cot_blt_id = "&amp;B1901&amp;", cot_pap_id = "&amp;C1901&amp;", cot_prc_comum = "&amp;D1901&amp;", cot_prc_min = "&amp;E1901&amp;", cot_prc_max = "&amp;F1901&amp;", cot_prc_med = "&amp;G1901&amp;", cot_prc_mediana = "&amp;H1901&amp;" WHERE cot_id = "&amp;A1901&amp;";"</f>
        <v>UPDATE COTACAO SET cot_id = 1900, cot_blt_id = 85, cot_pap_id = 30, cot_prc_comum = 80, cot_prc_min = 45, cot_prc_max = 80, cot_prc_med = 68.33, cot_prc_mediana = 80 WHERE cot_id = 1900;</v>
      </c>
    </row>
    <row r="1902" customFormat="false" ht="14.25" hidden="false" customHeight="false" outlineLevel="0" collapsed="false">
      <c r="A1902" s="0" t="n">
        <v>1901</v>
      </c>
      <c r="B1902" s="0" t="n">
        <f aca="false">IF('Boletins Nuppa Site'!A1902&lt;&gt;0,'Boletins Nuppa Site'!A1902,"NULL")</f>
        <v>85</v>
      </c>
      <c r="C1902" s="0" t="n">
        <v>31</v>
      </c>
      <c r="D1902" s="31" t="n">
        <f aca="false">IF('Boletins Nuppa Site'!G1902&lt;&gt;0,'Boletins Nuppa Site'!G1902,"NULL")</f>
        <v>90</v>
      </c>
      <c r="E1902" s="30" t="n">
        <f aca="false">IF('Boletins Nuppa Site'!H1902&lt;&gt;0,'Boletins Nuppa Site'!H1902,"NULL")</f>
        <v>80</v>
      </c>
      <c r="F1902" s="30" t="n">
        <f aca="false">IF('Boletins Nuppa Site'!I1902&lt;&gt;0,'Boletins Nuppa Site'!I1902,"NULL")</f>
        <v>120</v>
      </c>
      <c r="G1902" s="30" t="n">
        <f aca="false">IF('Boletins Nuppa Site'!J1902&lt;&gt;0,'Boletins Nuppa Site'!J1902,"NULL")</f>
        <v>95</v>
      </c>
      <c r="H1902" s="30" t="n">
        <f aca="false">IF('Boletins Nuppa Site'!K1902&lt;&gt;0,'Boletins Nuppa Site'!K1902,"NULL")</f>
        <v>90</v>
      </c>
      <c r="I1902" s="0" t="str">
        <f aca="false">"INSERT INTO COTACAO (cot_id, cot_blt_id, cot_pap_id, cot_prc_comum, cot_prc_min, cot_prc_max, cot_prc_med, cot_prc_mediana) VALUES ("&amp;A1902&amp;", "&amp;B1902&amp;", "&amp;C1902&amp;", "&amp;D1902&amp;", "&amp;E1902&amp;", "&amp;F1902&amp;", "&amp;G1902&amp;", "&amp;H1902&amp;");"</f>
        <v>INSERT INTO COTACAO (cot_id, cot_blt_id, cot_pap_id, cot_prc_comum, cot_prc_min, cot_prc_max, cot_prc_med, cot_prc_mediana) VALUES (1901, 85, 31, 90, 80, 120, 95, 90);</v>
      </c>
      <c r="J1902" s="0" t="str">
        <f aca="false">"UPDATE COTACAO SET cot_id = "&amp;A1902&amp;", cot_blt_id = "&amp;B1902&amp;", cot_pap_id = "&amp;C1902&amp;", cot_prc_comum = "&amp;D1902&amp;", cot_prc_min = "&amp;E1902&amp;", cot_prc_max = "&amp;F1902&amp;", cot_prc_med = "&amp;G1902&amp;", cot_prc_mediana = "&amp;H1902&amp;" WHERE cot_id = "&amp;A1902&amp;";"</f>
        <v>UPDATE COTACAO SET cot_id = 1901, cot_blt_id = 85, cot_pap_id = 31, cot_prc_comum = 90, cot_prc_min = 80, cot_prc_max = 120, cot_prc_med = 95, cot_prc_mediana = 90 WHERE cot_id = 1901;</v>
      </c>
    </row>
    <row r="1903" customFormat="false" ht="14.25" hidden="false" customHeight="false" outlineLevel="0" collapsed="false">
      <c r="A1903" s="0" t="n">
        <v>1902</v>
      </c>
      <c r="B1903" s="0" t="n">
        <f aca="false">IF('Boletins Nuppa Site'!A1903&lt;&gt;0,'Boletins Nuppa Site'!A1903,"NULL")</f>
        <v>85</v>
      </c>
      <c r="C1903" s="0" t="n">
        <v>32</v>
      </c>
      <c r="D1903" s="31" t="n">
        <f aca="false">IF('Boletins Nuppa Site'!G1903&lt;&gt;0,'Boletins Nuppa Site'!G1903,"NULL")</f>
        <v>30</v>
      </c>
      <c r="E1903" s="30" t="n">
        <f aca="false">IF('Boletins Nuppa Site'!H1903&lt;&gt;0,'Boletins Nuppa Site'!H1903,"NULL")</f>
        <v>20</v>
      </c>
      <c r="F1903" s="30" t="n">
        <f aca="false">IF('Boletins Nuppa Site'!I1903&lt;&gt;0,'Boletins Nuppa Site'!I1903,"NULL")</f>
        <v>40</v>
      </c>
      <c r="G1903" s="30" t="n">
        <f aca="false">IF('Boletins Nuppa Site'!J1903&lt;&gt;0,'Boletins Nuppa Site'!J1903,"NULL")</f>
        <v>30</v>
      </c>
      <c r="H1903" s="30" t="n">
        <f aca="false">IF('Boletins Nuppa Site'!K1903&lt;&gt;0,'Boletins Nuppa Site'!K1903,"NULL")</f>
        <v>30</v>
      </c>
      <c r="I1903" s="0" t="str">
        <f aca="false">"INSERT INTO COTACAO (cot_id, cot_blt_id, cot_pap_id, cot_prc_comum, cot_prc_min, cot_prc_max, cot_prc_med, cot_prc_mediana) VALUES ("&amp;A1903&amp;", "&amp;B1903&amp;", "&amp;C1903&amp;", "&amp;D1903&amp;", "&amp;E1903&amp;", "&amp;F1903&amp;", "&amp;G1903&amp;", "&amp;H1903&amp;");"</f>
        <v>INSERT INTO COTACAO (cot_id, cot_blt_id, cot_pap_id, cot_prc_comum, cot_prc_min, cot_prc_max, cot_prc_med, cot_prc_mediana) VALUES (1902, 85, 32, 30, 20, 40, 30, 30);</v>
      </c>
      <c r="J1903" s="0" t="str">
        <f aca="false">"UPDATE COTACAO SET cot_id = "&amp;A1903&amp;", cot_blt_id = "&amp;B1903&amp;", cot_pap_id = "&amp;C1903&amp;", cot_prc_comum = "&amp;D1903&amp;", cot_prc_min = "&amp;E1903&amp;", cot_prc_max = "&amp;F1903&amp;", cot_prc_med = "&amp;G1903&amp;", cot_prc_mediana = "&amp;H1903&amp;" WHERE cot_id = "&amp;A1903&amp;";"</f>
        <v>UPDATE COTACAO SET cot_id = 1902, cot_blt_id = 85, cot_pap_id = 32, cot_prc_comum = 30, cot_prc_min = 20, cot_prc_max = 40, cot_prc_med = 30, cot_prc_mediana = 30 WHERE cot_id = 1902;</v>
      </c>
    </row>
    <row r="1904" customFormat="false" ht="14.25" hidden="false" customHeight="false" outlineLevel="0" collapsed="false">
      <c r="A1904" s="0" t="n">
        <v>1903</v>
      </c>
      <c r="B1904" s="0" t="n">
        <f aca="false">IF('Boletins Nuppa Site'!A1904&lt;&gt;0,'Boletins Nuppa Site'!A1904,"NULL")</f>
        <v>85</v>
      </c>
      <c r="C1904" s="0" t="n">
        <v>33</v>
      </c>
      <c r="D1904" s="31" t="n">
        <f aca="false">IF('Boletins Nuppa Site'!G1904&lt;&gt;0,'Boletins Nuppa Site'!G1904,"NULL")</f>
        <v>90</v>
      </c>
      <c r="E1904" s="30" t="n">
        <f aca="false">IF('Boletins Nuppa Site'!H1904&lt;&gt;0,'Boletins Nuppa Site'!H1904,"NULL")</f>
        <v>50</v>
      </c>
      <c r="F1904" s="30" t="n">
        <f aca="false">IF('Boletins Nuppa Site'!I1904&lt;&gt;0,'Boletins Nuppa Site'!I1904,"NULL")</f>
        <v>90</v>
      </c>
      <c r="G1904" s="30" t="str">
        <f aca="false">IF('Boletins Nuppa Site'!J1904&lt;&gt;0,'Boletins Nuppa Site'!J1904,"NULL")</f>
        <v>78.75</v>
      </c>
      <c r="H1904" s="30" t="str">
        <f aca="false">IF('Boletins Nuppa Site'!K1904&lt;&gt;0,'Boletins Nuppa Site'!K1904,"NULL")</f>
        <v>87.5</v>
      </c>
      <c r="I1904" s="0" t="str">
        <f aca="false">"INSERT INTO COTACAO (cot_id, cot_blt_id, cot_pap_id, cot_prc_comum, cot_prc_min, cot_prc_max, cot_prc_med, cot_prc_mediana) VALUES ("&amp;A1904&amp;", "&amp;B1904&amp;", "&amp;C1904&amp;", "&amp;D1904&amp;", "&amp;E1904&amp;", "&amp;F1904&amp;", "&amp;G1904&amp;", "&amp;H1904&amp;");"</f>
        <v>INSERT INTO COTACAO (cot_id, cot_blt_id, cot_pap_id, cot_prc_comum, cot_prc_min, cot_prc_max, cot_prc_med, cot_prc_mediana) VALUES (1903, 85, 33, 90, 50, 90, 78.75, 87.5);</v>
      </c>
      <c r="J1904" s="0" t="str">
        <f aca="false">"UPDATE COTACAO SET cot_id = "&amp;A1904&amp;", cot_blt_id = "&amp;B1904&amp;", cot_pap_id = "&amp;C1904&amp;", cot_prc_comum = "&amp;D1904&amp;", cot_prc_min = "&amp;E1904&amp;", cot_prc_max = "&amp;F1904&amp;", cot_prc_med = "&amp;G1904&amp;", cot_prc_mediana = "&amp;H1904&amp;" WHERE cot_id = "&amp;A1904&amp;";"</f>
        <v>UPDATE COTACAO SET cot_id = 1903, cot_blt_id = 85, cot_pap_id = 33, cot_prc_comum = 90, cot_prc_min = 50, cot_prc_max = 90, cot_prc_med = 78.75, cot_prc_mediana = 87.5 WHERE cot_id = 1903;</v>
      </c>
    </row>
    <row r="1905" customFormat="false" ht="14.25" hidden="false" customHeight="false" outlineLevel="0" collapsed="false">
      <c r="A1905" s="0" t="n">
        <v>1904</v>
      </c>
      <c r="B1905" s="0" t="n">
        <f aca="false">IF('Boletins Nuppa Site'!A1905&lt;&gt;0,'Boletins Nuppa Site'!A1905,"NULL")</f>
        <v>85</v>
      </c>
      <c r="C1905" s="0" t="n">
        <v>34</v>
      </c>
      <c r="D1905" s="0" t="str">
        <f aca="false">IF('Boletins Nuppa Site'!G1905&lt;&gt;0,'Boletins Nuppa Site'!G1905,"NULL")</f>
        <v>NULL</v>
      </c>
      <c r="E1905" s="30" t="n">
        <f aca="false">IF('Boletins Nuppa Site'!H1905&lt;&gt;0,'Boletins Nuppa Site'!H1905,"NULL")</f>
        <v>60</v>
      </c>
      <c r="F1905" s="30" t="n">
        <f aca="false">IF('Boletins Nuppa Site'!I1905&lt;&gt;0,'Boletins Nuppa Site'!I1905,"NULL")</f>
        <v>120</v>
      </c>
      <c r="G1905" s="30" t="str">
        <f aca="false">IF('Boletins Nuppa Site'!J1905&lt;&gt;0,'Boletins Nuppa Site'!J1905,"NULL")</f>
        <v>92.5</v>
      </c>
      <c r="H1905" s="30" t="n">
        <f aca="false">IF('Boletins Nuppa Site'!K1905&lt;&gt;0,'Boletins Nuppa Site'!K1905,"NULL")</f>
        <v>95</v>
      </c>
      <c r="I1905" s="0" t="str">
        <f aca="false">"INSERT INTO COTACAO (cot_id, cot_blt_id, cot_pap_id, cot_prc_comum, cot_prc_min, cot_prc_max, cot_prc_med, cot_prc_mediana) VALUES ("&amp;A1905&amp;", "&amp;B1905&amp;", "&amp;C1905&amp;", "&amp;D1905&amp;", "&amp;E1905&amp;", "&amp;F1905&amp;", "&amp;G1905&amp;", "&amp;H1905&amp;");"</f>
        <v>INSERT INTO COTACAO (cot_id, cot_blt_id, cot_pap_id, cot_prc_comum, cot_prc_min, cot_prc_max, cot_prc_med, cot_prc_mediana) VALUES (1904, 85, 34, NULL, 60, 120, 92.5, 95);</v>
      </c>
      <c r="J1905" s="0" t="str">
        <f aca="false">"UPDATE COTACAO SET cot_id = "&amp;A1905&amp;", cot_blt_id = "&amp;B1905&amp;", cot_pap_id = "&amp;C1905&amp;", cot_prc_comum = "&amp;D1905&amp;", cot_prc_min = "&amp;E1905&amp;", cot_prc_max = "&amp;F1905&amp;", cot_prc_med = "&amp;G1905&amp;", cot_prc_mediana = "&amp;H1905&amp;" WHERE cot_id = "&amp;A1905&amp;";"</f>
        <v>UPDATE COTACAO SET cot_id = 1904, cot_blt_id = 85, cot_pap_id = 34, cot_prc_comum = NULL, cot_prc_min = 60, cot_prc_max = 120, cot_prc_med = 92.5, cot_prc_mediana = 95 WHERE cot_id = 1904;</v>
      </c>
    </row>
    <row r="1906" customFormat="false" ht="14.25" hidden="false" customHeight="false" outlineLevel="0" collapsed="false">
      <c r="A1906" s="0" t="n">
        <v>1905</v>
      </c>
      <c r="B1906" s="0" t="n">
        <f aca="false">IF('Boletins Nuppa Site'!A1906&lt;&gt;0,'Boletins Nuppa Site'!A1906,"NULL")</f>
        <v>85</v>
      </c>
      <c r="C1906" s="0" t="n">
        <v>35</v>
      </c>
      <c r="D1906" s="31" t="n">
        <f aca="false">IF('Boletins Nuppa Site'!G1906&lt;&gt;0,'Boletins Nuppa Site'!G1906,"NULL")</f>
        <v>50</v>
      </c>
      <c r="E1906" s="30" t="n">
        <f aca="false">IF('Boletins Nuppa Site'!H1906&lt;&gt;0,'Boletins Nuppa Site'!H1906,"NULL")</f>
        <v>50</v>
      </c>
      <c r="F1906" s="30" t="n">
        <f aca="false">IF('Boletins Nuppa Site'!I1906&lt;&gt;0,'Boletins Nuppa Site'!I1906,"NULL")</f>
        <v>70</v>
      </c>
      <c r="G1906" s="30" t="str">
        <f aca="false">IF('Boletins Nuppa Site'!J1906&lt;&gt;0,'Boletins Nuppa Site'!J1906,"NULL")</f>
        <v>56.67</v>
      </c>
      <c r="H1906" s="30" t="n">
        <f aca="false">IF('Boletins Nuppa Site'!K1906&lt;&gt;0,'Boletins Nuppa Site'!K1906,"NULL")</f>
        <v>50</v>
      </c>
      <c r="I1906" s="0" t="str">
        <f aca="false">"INSERT INTO COTACAO (cot_id, cot_blt_id, cot_pap_id, cot_prc_comum, cot_prc_min, cot_prc_max, cot_prc_med, cot_prc_mediana) VALUES ("&amp;A1906&amp;", "&amp;B1906&amp;", "&amp;C1906&amp;", "&amp;D1906&amp;", "&amp;E1906&amp;", "&amp;F1906&amp;", "&amp;G1906&amp;", "&amp;H1906&amp;");"</f>
        <v>INSERT INTO COTACAO (cot_id, cot_blt_id, cot_pap_id, cot_prc_comum, cot_prc_min, cot_prc_max, cot_prc_med, cot_prc_mediana) VALUES (1905, 85, 35, 50, 50, 70, 56.67, 50);</v>
      </c>
      <c r="J1906" s="0" t="str">
        <f aca="false">"UPDATE COTACAO SET cot_id = "&amp;A1906&amp;", cot_blt_id = "&amp;B1906&amp;", cot_pap_id = "&amp;C1906&amp;", cot_prc_comum = "&amp;D1906&amp;", cot_prc_min = "&amp;E1906&amp;", cot_prc_max = "&amp;F1906&amp;", cot_prc_med = "&amp;G1906&amp;", cot_prc_mediana = "&amp;H1906&amp;" WHERE cot_id = "&amp;A1906&amp;";"</f>
        <v>UPDATE COTACAO SET cot_id = 1905, cot_blt_id = 85, cot_pap_id = 35, cot_prc_comum = 50, cot_prc_min = 50, cot_prc_max = 70, cot_prc_med = 56.67, cot_prc_mediana = 50 WHERE cot_id = 1905;</v>
      </c>
    </row>
    <row r="1907" customFormat="false" ht="14.25" hidden="false" customHeight="false" outlineLevel="0" collapsed="false">
      <c r="A1907" s="0" t="n">
        <v>1906</v>
      </c>
      <c r="B1907" s="0" t="n">
        <f aca="false">IF('Boletins Nuppa Site'!A1907&lt;&gt;0,'Boletins Nuppa Site'!A1907,"NULL")</f>
        <v>85</v>
      </c>
      <c r="C1907" s="0" t="n">
        <v>36</v>
      </c>
      <c r="D1907" s="0" t="str">
        <f aca="false">IF('Boletins Nuppa Site'!G1907&lt;&gt;0,'Boletins Nuppa Site'!G1907,"NULL")</f>
        <v>NULL</v>
      </c>
      <c r="E1907" s="30" t="str">
        <f aca="false">IF('Boletins Nuppa Site'!H1907&lt;&gt;0,'Boletins Nuppa Site'!H1907,"NULL")</f>
        <v>NULL</v>
      </c>
      <c r="F1907" s="30" t="str">
        <f aca="false">IF('Boletins Nuppa Site'!I1907&lt;&gt;0,'Boletins Nuppa Site'!I1907,"NULL")</f>
        <v>NULL</v>
      </c>
      <c r="G1907" s="30" t="str">
        <f aca="false">IF('Boletins Nuppa Site'!J1907&lt;&gt;0,'Boletins Nuppa Site'!J1907,"NULL")</f>
        <v>NULL</v>
      </c>
      <c r="H1907" s="30" t="str">
        <f aca="false">IF('Boletins Nuppa Site'!K1907&lt;&gt;0,'Boletins Nuppa Site'!K1907,"NULL")</f>
        <v>NULL</v>
      </c>
      <c r="I1907" s="0" t="str">
        <f aca="false">"INSERT INTO COTACAO (cot_id, cot_blt_id, cot_pap_id, cot_prc_comum, cot_prc_min, cot_prc_max, cot_prc_med, cot_prc_mediana) VALUES ("&amp;A1907&amp;", "&amp;B1907&amp;", "&amp;C1907&amp;", "&amp;D1907&amp;", "&amp;E1907&amp;", "&amp;F1907&amp;", "&amp;G1907&amp;", "&amp;H1907&amp;");"</f>
        <v>INSERT INTO COTACAO (cot_id, cot_blt_id, cot_pap_id, cot_prc_comum, cot_prc_min, cot_prc_max, cot_prc_med, cot_prc_mediana) VALUES (1906, 85, 36, NULL, NULL, NULL, NULL, NULL);</v>
      </c>
      <c r="J1907" s="0" t="str">
        <f aca="false">"UPDATE COTACAO SET cot_id = "&amp;A1907&amp;", cot_blt_id = "&amp;B1907&amp;", cot_pap_id = "&amp;C1907&amp;", cot_prc_comum = "&amp;D1907&amp;", cot_prc_min = "&amp;E1907&amp;", cot_prc_max = "&amp;F1907&amp;", cot_prc_med = "&amp;G1907&amp;", cot_prc_mediana = "&amp;H1907&amp;" WHERE cot_id = "&amp;A1907&amp;";"</f>
        <v>UPDATE COTACAO SET cot_id = 1906, cot_blt_id = 85, cot_pap_id = 36, cot_prc_comum = NULL, cot_prc_min = NULL, cot_prc_max = NULL, cot_prc_med = NULL, cot_prc_mediana = NULL WHERE cot_id = 1906;</v>
      </c>
    </row>
    <row r="1908" customFormat="false" ht="14.25" hidden="false" customHeight="false" outlineLevel="0" collapsed="false">
      <c r="A1908" s="0" t="n">
        <v>1907</v>
      </c>
      <c r="B1908" s="0" t="n">
        <f aca="false">IF('Boletins Nuppa Site'!A1908&lt;&gt;0,'Boletins Nuppa Site'!A1908,"NULL")</f>
        <v>85</v>
      </c>
      <c r="C1908" s="0" t="n">
        <v>37</v>
      </c>
      <c r="D1908" s="0" t="str">
        <f aca="false">IF('Boletins Nuppa Site'!G1908&lt;&gt;0,'Boletins Nuppa Site'!G1908,"NULL")</f>
        <v>NULL</v>
      </c>
      <c r="E1908" s="30" t="str">
        <f aca="false">IF('Boletins Nuppa Site'!H1908&lt;&gt;0,'Boletins Nuppa Site'!H1908,"NULL")</f>
        <v>NULL</v>
      </c>
      <c r="F1908" s="30" t="str">
        <f aca="false">IF('Boletins Nuppa Site'!I1908&lt;&gt;0,'Boletins Nuppa Site'!I1908,"NULL")</f>
        <v>NULL</v>
      </c>
      <c r="G1908" s="30" t="str">
        <f aca="false">IF('Boletins Nuppa Site'!J1908&lt;&gt;0,'Boletins Nuppa Site'!J1908,"NULL")</f>
        <v>NULL</v>
      </c>
      <c r="H1908" s="30" t="str">
        <f aca="false">IF('Boletins Nuppa Site'!K1908&lt;&gt;0,'Boletins Nuppa Site'!K1908,"NULL")</f>
        <v>NULL</v>
      </c>
      <c r="I1908" s="0" t="str">
        <f aca="false">"INSERT INTO COTACAO (cot_id, cot_blt_id, cot_pap_id, cot_prc_comum, cot_prc_min, cot_prc_max, cot_prc_med, cot_prc_mediana) VALUES ("&amp;A1908&amp;", "&amp;B1908&amp;", "&amp;C1908&amp;", "&amp;D1908&amp;", "&amp;E1908&amp;", "&amp;F1908&amp;", "&amp;G1908&amp;", "&amp;H1908&amp;");"</f>
        <v>INSERT INTO COTACAO (cot_id, cot_blt_id, cot_pap_id, cot_prc_comum, cot_prc_min, cot_prc_max, cot_prc_med, cot_prc_mediana) VALUES (1907, 85, 37, NULL, NULL, NULL, NULL, NULL);</v>
      </c>
      <c r="J1908" s="0" t="str">
        <f aca="false">"UPDATE COTACAO SET cot_id = "&amp;A1908&amp;", cot_blt_id = "&amp;B1908&amp;", cot_pap_id = "&amp;C1908&amp;", cot_prc_comum = "&amp;D1908&amp;", cot_prc_min = "&amp;E1908&amp;", cot_prc_max = "&amp;F1908&amp;", cot_prc_med = "&amp;G1908&amp;", cot_prc_mediana = "&amp;H1908&amp;" WHERE cot_id = "&amp;A1908&amp;";"</f>
        <v>UPDATE COTACAO SET cot_id = 1907, cot_blt_id = 85, cot_pap_id = 37, cot_prc_comum = NULL, cot_prc_min = NULL, cot_prc_max = NULL, cot_prc_med = NULL, cot_prc_mediana = NULL WHERE cot_id = 1907;</v>
      </c>
    </row>
    <row r="1909" customFormat="false" ht="14.25" hidden="false" customHeight="false" outlineLevel="0" collapsed="false">
      <c r="A1909" s="0" t="n">
        <v>1908</v>
      </c>
      <c r="B1909" s="0" t="n">
        <f aca="false">IF('Boletins Nuppa Site'!A1909&lt;&gt;0,'Boletins Nuppa Site'!A1909,"NULL")</f>
        <v>85</v>
      </c>
      <c r="C1909" s="0" t="n">
        <v>38</v>
      </c>
      <c r="D1909" s="0" t="str">
        <f aca="false">IF('Boletins Nuppa Site'!G1909&lt;&gt;0,'Boletins Nuppa Site'!G1909,"NULL")</f>
        <v>NULL</v>
      </c>
      <c r="E1909" s="30" t="str">
        <f aca="false">IF('Boletins Nuppa Site'!H1909&lt;&gt;0,'Boletins Nuppa Site'!H1909,"NULL")</f>
        <v>NULL</v>
      </c>
      <c r="F1909" s="30" t="str">
        <f aca="false">IF('Boletins Nuppa Site'!I1909&lt;&gt;0,'Boletins Nuppa Site'!I1909,"NULL")</f>
        <v>NULL</v>
      </c>
      <c r="G1909" s="30" t="str">
        <f aca="false">IF('Boletins Nuppa Site'!J1909&lt;&gt;0,'Boletins Nuppa Site'!J1909,"NULL")</f>
        <v>NULL</v>
      </c>
      <c r="H1909" s="30" t="str">
        <f aca="false">IF('Boletins Nuppa Site'!K1909&lt;&gt;0,'Boletins Nuppa Site'!K1909,"NULL")</f>
        <v>NULL</v>
      </c>
      <c r="I1909" s="0" t="str">
        <f aca="false">"INSERT INTO COTACAO (cot_id, cot_blt_id, cot_pap_id, cot_prc_comum, cot_prc_min, cot_prc_max, cot_prc_med, cot_prc_mediana) VALUES ("&amp;A1909&amp;", "&amp;B1909&amp;", "&amp;C1909&amp;", "&amp;D1909&amp;", "&amp;E1909&amp;", "&amp;F1909&amp;", "&amp;G1909&amp;", "&amp;H1909&amp;");"</f>
        <v>INSERT INTO COTACAO (cot_id, cot_blt_id, cot_pap_id, cot_prc_comum, cot_prc_min, cot_prc_max, cot_prc_med, cot_prc_mediana) VALUES (1908, 85, 38, NULL, NULL, NULL, NULL, NULL);</v>
      </c>
      <c r="J1909" s="0" t="str">
        <f aca="false">"UPDATE COTACAO SET cot_id = "&amp;A1909&amp;", cot_blt_id = "&amp;B1909&amp;", cot_pap_id = "&amp;C1909&amp;", cot_prc_comum = "&amp;D1909&amp;", cot_prc_min = "&amp;E1909&amp;", cot_prc_max = "&amp;F1909&amp;", cot_prc_med = "&amp;G1909&amp;", cot_prc_mediana = "&amp;H1909&amp;" WHERE cot_id = "&amp;A1909&amp;";"</f>
        <v>UPDATE COTACAO SET cot_id = 1908, cot_blt_id = 85, cot_pap_id = 38, cot_prc_comum = NULL, cot_prc_min = NULL, cot_prc_max = NULL, cot_prc_med = NULL, cot_prc_mediana = NULL WHERE cot_id = 1908;</v>
      </c>
    </row>
    <row r="1910" customFormat="false" ht="14.25" hidden="false" customHeight="false" outlineLevel="0" collapsed="false">
      <c r="A1910" s="0" t="n">
        <v>1909</v>
      </c>
      <c r="B1910" s="0" t="n">
        <f aca="false">IF('Boletins Nuppa Site'!A1910&lt;&gt;0,'Boletins Nuppa Site'!A1910,"NULL")</f>
        <v>85</v>
      </c>
      <c r="C1910" s="0" t="n">
        <v>39</v>
      </c>
      <c r="D1910" s="0" t="str">
        <f aca="false">IF('Boletins Nuppa Site'!G1910&lt;&gt;0,'Boletins Nuppa Site'!G1910,"NULL")</f>
        <v>NULL</v>
      </c>
      <c r="E1910" s="30" t="str">
        <f aca="false">IF('Boletins Nuppa Site'!H1910&lt;&gt;0,'Boletins Nuppa Site'!H1910,"NULL")</f>
        <v>NULL</v>
      </c>
      <c r="F1910" s="30" t="str">
        <f aca="false">IF('Boletins Nuppa Site'!I1910&lt;&gt;0,'Boletins Nuppa Site'!I1910,"NULL")</f>
        <v>NULL</v>
      </c>
      <c r="G1910" s="30" t="str">
        <f aca="false">IF('Boletins Nuppa Site'!J1910&lt;&gt;0,'Boletins Nuppa Site'!J1910,"NULL")</f>
        <v>NULL</v>
      </c>
      <c r="H1910" s="30" t="str">
        <f aca="false">IF('Boletins Nuppa Site'!K1910&lt;&gt;0,'Boletins Nuppa Site'!K1910,"NULL")</f>
        <v>NULL</v>
      </c>
      <c r="I1910" s="0" t="str">
        <f aca="false">"INSERT INTO COTACAO (cot_id, cot_blt_id, cot_pap_id, cot_prc_comum, cot_prc_min, cot_prc_max, cot_prc_med, cot_prc_mediana) VALUES ("&amp;A1910&amp;", "&amp;B1910&amp;", "&amp;C1910&amp;", "&amp;D1910&amp;", "&amp;E1910&amp;", "&amp;F1910&amp;", "&amp;G1910&amp;", "&amp;H1910&amp;");"</f>
        <v>INSERT INTO COTACAO (cot_id, cot_blt_id, cot_pap_id, cot_prc_comum, cot_prc_min, cot_prc_max, cot_prc_med, cot_prc_mediana) VALUES (1909, 85, 39, NULL, NULL, NULL, NULL, NULL);</v>
      </c>
      <c r="J1910" s="0" t="str">
        <f aca="false">"UPDATE COTACAO SET cot_id = "&amp;A1910&amp;", cot_blt_id = "&amp;B1910&amp;", cot_pap_id = "&amp;C1910&amp;", cot_prc_comum = "&amp;D1910&amp;", cot_prc_min = "&amp;E1910&amp;", cot_prc_max = "&amp;F1910&amp;", cot_prc_med = "&amp;G1910&amp;", cot_prc_mediana = "&amp;H1910&amp;" WHERE cot_id = "&amp;A1910&amp;";"</f>
        <v>UPDATE COTACAO SET cot_id = 1909, cot_blt_id = 85, cot_pap_id = 39, cot_prc_comum = NULL, cot_prc_min = NULL, cot_prc_max = NULL, cot_prc_med = NULL, cot_prc_mediana = NULL WHERE cot_id = 1909;</v>
      </c>
    </row>
    <row r="1911" customFormat="false" ht="14.25" hidden="false" customHeight="false" outlineLevel="0" collapsed="false">
      <c r="A1911" s="0" t="n">
        <v>1910</v>
      </c>
      <c r="B1911" s="0" t="n">
        <f aca="false">IF('Boletins Nuppa Site'!A1911&lt;&gt;0,'Boletins Nuppa Site'!A1911,"NULL")</f>
        <v>85</v>
      </c>
      <c r="C1911" s="0" t="n">
        <v>40</v>
      </c>
      <c r="D1911" s="0" t="str">
        <f aca="false">IF('Boletins Nuppa Site'!G1911&lt;&gt;0,'Boletins Nuppa Site'!G1911,"NULL")</f>
        <v>NULL</v>
      </c>
      <c r="E1911" s="30" t="str">
        <f aca="false">IF('Boletins Nuppa Site'!H1911&lt;&gt;0,'Boletins Nuppa Site'!H1911,"NULL")</f>
        <v>NULL</v>
      </c>
      <c r="F1911" s="30" t="str">
        <f aca="false">IF('Boletins Nuppa Site'!I1911&lt;&gt;0,'Boletins Nuppa Site'!I1911,"NULL")</f>
        <v>NULL</v>
      </c>
      <c r="G1911" s="30" t="str">
        <f aca="false">IF('Boletins Nuppa Site'!J1911&lt;&gt;0,'Boletins Nuppa Site'!J1911,"NULL")</f>
        <v>NULL</v>
      </c>
      <c r="H1911" s="30" t="str">
        <f aca="false">IF('Boletins Nuppa Site'!K1911&lt;&gt;0,'Boletins Nuppa Site'!K1911,"NULL")</f>
        <v>NULL</v>
      </c>
      <c r="I1911" s="0" t="str">
        <f aca="false">"INSERT INTO COTACAO (cot_id, cot_blt_id, cot_pap_id, cot_prc_comum, cot_prc_min, cot_prc_max, cot_prc_med, cot_prc_mediana) VALUES ("&amp;A1911&amp;", "&amp;B1911&amp;", "&amp;C1911&amp;", "&amp;D1911&amp;", "&amp;E1911&amp;", "&amp;F1911&amp;", "&amp;G1911&amp;", "&amp;H1911&amp;");"</f>
        <v>INSERT INTO COTACAO (cot_id, cot_blt_id, cot_pap_id, cot_prc_comum, cot_prc_min, cot_prc_max, cot_prc_med, cot_prc_mediana) VALUES (1910, 85, 40, NULL, NULL, NULL, NULL, NULL);</v>
      </c>
      <c r="J1911" s="0" t="str">
        <f aca="false">"UPDATE COTACAO SET cot_id = "&amp;A1911&amp;", cot_blt_id = "&amp;B1911&amp;", cot_pap_id = "&amp;C1911&amp;", cot_prc_comum = "&amp;D1911&amp;", cot_prc_min = "&amp;E1911&amp;", cot_prc_max = "&amp;F1911&amp;", cot_prc_med = "&amp;G1911&amp;", cot_prc_mediana = "&amp;H1911&amp;" WHERE cot_id = "&amp;A1911&amp;";"</f>
        <v>UPDATE COTACAO SET cot_id = 1910, cot_blt_id = 85, cot_pap_id = 40, cot_prc_comum = NULL, cot_prc_min = NULL, cot_prc_max = NULL, cot_prc_med = NULL, cot_prc_mediana = NULL WHERE cot_id = 1910;</v>
      </c>
    </row>
    <row r="1912" customFormat="false" ht="14.25" hidden="false" customHeight="false" outlineLevel="0" collapsed="false">
      <c r="A1912" s="0" t="n">
        <v>1911</v>
      </c>
      <c r="B1912" s="0" t="n">
        <f aca="false">IF('Boletins Nuppa Site'!A1912&lt;&gt;0,'Boletins Nuppa Site'!A1912,"NULL")</f>
        <v>86</v>
      </c>
      <c r="C1912" s="0" t="n">
        <v>1</v>
      </c>
      <c r="D1912" s="0" t="str">
        <f aca="false">IF('Boletins Nuppa Site'!G1912&lt;&gt;0,'Boletins Nuppa Site'!G1912,"NULL")</f>
        <v> 36.00</v>
      </c>
      <c r="E1912" s="30" t="str">
        <f aca="false">IF('Boletins Nuppa Site'!H1912&lt;&gt;0,'Boletins Nuppa Site'!H1912,"NULL")</f>
        <v> 72.00</v>
      </c>
      <c r="F1912" s="30" t="str">
        <f aca="false">IF('Boletins Nuppa Site'!I1912&lt;&gt;0,'Boletins Nuppa Site'!I1912,"NULL")</f>
        <v> 72.00</v>
      </c>
      <c r="G1912" s="30" t="str">
        <f aca="false">IF('Boletins Nuppa Site'!J1912&lt;&gt;0,'Boletins Nuppa Site'!J1912,"NULL")</f>
        <v> 60.00</v>
      </c>
      <c r="H1912" s="30" t="str">
        <f aca="false">IF('Boletins Nuppa Site'!K1912&lt;&gt;0,'Boletins Nuppa Site'!K1912,"NULL")</f>
        <v> 57.00</v>
      </c>
      <c r="I1912" s="0" t="str">
        <f aca="false">"INSERT INTO COTACAO (cot_id, cot_blt_id, cot_pap_id, cot_prc_comum, cot_prc_min, cot_prc_max, cot_prc_med, cot_prc_mediana) VALUES ("&amp;A1912&amp;", "&amp;B1912&amp;", "&amp;C1912&amp;", "&amp;D1912&amp;", "&amp;E1912&amp;", "&amp;F1912&amp;", "&amp;G1912&amp;", "&amp;H1912&amp;");"</f>
        <v>INSERT INTO COTACAO (cot_id, cot_blt_id, cot_pap_id, cot_prc_comum, cot_prc_min, cot_prc_max, cot_prc_med, cot_prc_mediana) VALUES (1911, 86, 1,  36.00,  72.00,  72.00,  60.00,  57.00);</v>
      </c>
      <c r="J1912" s="0" t="str">
        <f aca="false">"UPDATE COTACAO SET cot_id = "&amp;A1912&amp;", cot_blt_id = "&amp;B1912&amp;", cot_pap_id = "&amp;C1912&amp;", cot_prc_comum = "&amp;D1912&amp;", cot_prc_min = "&amp;E1912&amp;", cot_prc_max = "&amp;F1912&amp;", cot_prc_med = "&amp;G1912&amp;", cot_prc_mediana = "&amp;H1912&amp;" WHERE cot_id = "&amp;A1912&amp;";"</f>
        <v>UPDATE COTACAO SET cot_id = 1911, cot_blt_id = 86, cot_pap_id = 1, cot_prc_comum =  36.00, cot_prc_min =  72.00, cot_prc_max =  72.00, cot_prc_med =  60.00, cot_prc_mediana =  57.00 WHERE cot_id = 1911;</v>
      </c>
    </row>
    <row r="1913" customFormat="false" ht="14.25" hidden="false" customHeight="false" outlineLevel="0" collapsed="false">
      <c r="A1913" s="0" t="n">
        <v>1912</v>
      </c>
      <c r="B1913" s="0" t="n">
        <f aca="false">IF('Boletins Nuppa Site'!A1913&lt;&gt;0,'Boletins Nuppa Site'!A1913,"NULL")</f>
        <v>86</v>
      </c>
      <c r="C1913" s="0" t="n">
        <v>2</v>
      </c>
      <c r="D1913" s="0" t="str">
        <f aca="false">IF('Boletins Nuppa Site'!G1913&lt;&gt;0,'Boletins Nuppa Site'!G1913,"NULL")</f>
        <v> 84.00</v>
      </c>
      <c r="E1913" s="30" t="str">
        <f aca="false">IF('Boletins Nuppa Site'!H1913&lt;&gt;0,'Boletins Nuppa Site'!H1913,"NULL")</f>
        <v> 84.00</v>
      </c>
      <c r="F1913" s="30" t="str">
        <f aca="false">IF('Boletins Nuppa Site'!I1913&lt;&gt;0,'Boletins Nuppa Site'!I1913,"NULL")</f>
        <v> 96.00</v>
      </c>
      <c r="G1913" s="30" t="str">
        <f aca="false">IF('Boletins Nuppa Site'!J1913&lt;&gt;0,'Boletins Nuppa Site'!J1913,"NULL")</f>
        <v> 84.00</v>
      </c>
      <c r="H1913" s="30" t="str">
        <f aca="false">IF('Boletins Nuppa Site'!K1913&lt;&gt;0,'Boletins Nuppa Site'!K1913,"NULL")</f>
        <v> 87.00</v>
      </c>
      <c r="I1913" s="0" t="str">
        <f aca="false">"INSERT INTO COTACAO (cot_id, cot_blt_id, cot_pap_id, cot_prc_comum, cot_prc_min, cot_prc_max, cot_prc_med, cot_prc_mediana) VALUES ("&amp;A1913&amp;", "&amp;B1913&amp;", "&amp;C1913&amp;", "&amp;D1913&amp;", "&amp;E1913&amp;", "&amp;F1913&amp;", "&amp;G1913&amp;", "&amp;H1913&amp;");"</f>
        <v>INSERT INTO COTACAO (cot_id, cot_blt_id, cot_pap_id, cot_prc_comum, cot_prc_min, cot_prc_max, cot_prc_med, cot_prc_mediana) VALUES (1912, 86, 2,  84.00,  84.00,  96.00,  84.00,  87.00);</v>
      </c>
      <c r="J1913" s="0" t="str">
        <f aca="false">"UPDATE COTACAO SET cot_id = "&amp;A1913&amp;", cot_blt_id = "&amp;B1913&amp;", cot_pap_id = "&amp;C1913&amp;", cot_prc_comum = "&amp;D1913&amp;", cot_prc_min = "&amp;E1913&amp;", cot_prc_max = "&amp;F1913&amp;", cot_prc_med = "&amp;G1913&amp;", cot_prc_mediana = "&amp;H1913&amp;" WHERE cot_id = "&amp;A1913&amp;";"</f>
        <v>UPDATE COTACAO SET cot_id = 1912, cot_blt_id = 86, cot_pap_id = 2, cot_prc_comum =  84.00, cot_prc_min =  84.00, cot_prc_max =  96.00, cot_prc_med =  84.00, cot_prc_mediana =  87.00 WHERE cot_id = 1912;</v>
      </c>
    </row>
    <row r="1914" customFormat="false" ht="14.25" hidden="false" customHeight="false" outlineLevel="0" collapsed="false">
      <c r="A1914" s="0" t="n">
        <v>1913</v>
      </c>
      <c r="B1914" s="0" t="n">
        <f aca="false">IF('Boletins Nuppa Site'!A1914&lt;&gt;0,'Boletins Nuppa Site'!A1914,"NULL")</f>
        <v>86</v>
      </c>
      <c r="C1914" s="0" t="n">
        <v>3</v>
      </c>
      <c r="D1914" s="0" t="str">
        <f aca="false">IF('Boletins Nuppa Site'!G1914&lt;&gt;0,'Boletins Nuppa Site'!G1914,"NULL")</f>
        <v> 45.00</v>
      </c>
      <c r="E1914" s="30" t="str">
        <f aca="false">IF('Boletins Nuppa Site'!H1914&lt;&gt;0,'Boletins Nuppa Site'!H1914,"NULL")</f>
        <v> 36.00</v>
      </c>
      <c r="F1914" s="30" t="str">
        <f aca="false">IF('Boletins Nuppa Site'!I1914&lt;&gt;0,'Boletins Nuppa Site'!I1914,"NULL")</f>
        <v> 60.00</v>
      </c>
      <c r="G1914" s="30" t="str">
        <f aca="false">IF('Boletins Nuppa Site'!J1914&lt;&gt;0,'Boletins Nuppa Site'!J1914,"NULL")</f>
        <v> 45.60</v>
      </c>
      <c r="H1914" s="30" t="str">
        <f aca="false">IF('Boletins Nuppa Site'!K1914&lt;&gt;0,'Boletins Nuppa Site'!K1914,"NULL")</f>
        <v> 45.00</v>
      </c>
      <c r="I1914" s="0" t="str">
        <f aca="false">"INSERT INTO COTACAO (cot_id, cot_blt_id, cot_pap_id, cot_prc_comum, cot_prc_min, cot_prc_max, cot_prc_med, cot_prc_mediana) VALUES ("&amp;A1914&amp;", "&amp;B1914&amp;", "&amp;C1914&amp;", "&amp;D1914&amp;", "&amp;E1914&amp;", "&amp;F1914&amp;", "&amp;G1914&amp;", "&amp;H1914&amp;");"</f>
        <v>INSERT INTO COTACAO (cot_id, cot_blt_id, cot_pap_id, cot_prc_comum, cot_prc_min, cot_prc_max, cot_prc_med, cot_prc_mediana) VALUES (1913, 86, 3,  45.00,  36.00,  60.00,  45.60,  45.00);</v>
      </c>
      <c r="J1914" s="0" t="str">
        <f aca="false">"UPDATE COTACAO SET cot_id = "&amp;A1914&amp;", cot_blt_id = "&amp;B1914&amp;", cot_pap_id = "&amp;C1914&amp;", cot_prc_comum = "&amp;D1914&amp;", cot_prc_min = "&amp;E1914&amp;", cot_prc_max = "&amp;F1914&amp;", cot_prc_med = "&amp;G1914&amp;", cot_prc_mediana = "&amp;H1914&amp;" WHERE cot_id = "&amp;A1914&amp;";"</f>
        <v>UPDATE COTACAO SET cot_id = 1913, cot_blt_id = 86, cot_pap_id = 3, cot_prc_comum =  45.00, cot_prc_min =  36.00, cot_prc_max =  60.00, cot_prc_med =  45.60, cot_prc_mediana =  45.00 WHERE cot_id = 1913;</v>
      </c>
    </row>
    <row r="1915" customFormat="false" ht="14.25" hidden="false" customHeight="false" outlineLevel="0" collapsed="false">
      <c r="A1915" s="0" t="n">
        <v>1914</v>
      </c>
      <c r="B1915" s="0" t="n">
        <f aca="false">IF('Boletins Nuppa Site'!A1915&lt;&gt;0,'Boletins Nuppa Site'!A1915,"NULL")</f>
        <v>86</v>
      </c>
      <c r="C1915" s="0" t="n">
        <v>4</v>
      </c>
      <c r="D1915" s="0" t="str">
        <f aca="false">IF('Boletins Nuppa Site'!G1915&lt;&gt;0,'Boletins Nuppa Site'!G1915,"NULL")</f>
        <v> 30.00</v>
      </c>
      <c r="E1915" s="30" t="str">
        <f aca="false">IF('Boletins Nuppa Site'!H1915&lt;&gt;0,'Boletins Nuppa Site'!H1915,"NULL")</f>
        <v> 24.00</v>
      </c>
      <c r="F1915" s="30" t="str">
        <f aca="false">IF('Boletins Nuppa Site'!I1915&lt;&gt;0,'Boletins Nuppa Site'!I1915,"NULL")</f>
        <v> 48.00</v>
      </c>
      <c r="G1915" s="30" t="str">
        <f aca="false">IF('Boletins Nuppa Site'!J1915&lt;&gt;0,'Boletins Nuppa Site'!J1915,"NULL")</f>
        <v> 31.40</v>
      </c>
      <c r="H1915" s="30" t="str">
        <f aca="false">IF('Boletins Nuppa Site'!K1915&lt;&gt;0,'Boletins Nuppa Site'!K1915,"NULL")</f>
        <v> 30.00</v>
      </c>
      <c r="I1915" s="0" t="str">
        <f aca="false">"INSERT INTO COTACAO (cot_id, cot_blt_id, cot_pap_id, cot_prc_comum, cot_prc_min, cot_prc_max, cot_prc_med, cot_prc_mediana) VALUES ("&amp;A1915&amp;", "&amp;B1915&amp;", "&amp;C1915&amp;", "&amp;D1915&amp;", "&amp;E1915&amp;", "&amp;F1915&amp;", "&amp;G1915&amp;", "&amp;H1915&amp;");"</f>
        <v>INSERT INTO COTACAO (cot_id, cot_blt_id, cot_pap_id, cot_prc_comum, cot_prc_min, cot_prc_max, cot_prc_med, cot_prc_mediana) VALUES (1914, 86, 4,  30.00,  24.00,  48.00,  31.40,  30.00);</v>
      </c>
      <c r="J1915" s="0" t="str">
        <f aca="false">"UPDATE COTACAO SET cot_id = "&amp;A1915&amp;", cot_blt_id = "&amp;B1915&amp;", cot_pap_id = "&amp;C1915&amp;", cot_prc_comum = "&amp;D1915&amp;", cot_prc_min = "&amp;E1915&amp;", cot_prc_max = "&amp;F1915&amp;", cot_prc_med = "&amp;G1915&amp;", cot_prc_mediana = "&amp;H1915&amp;" WHERE cot_id = "&amp;A1915&amp;";"</f>
        <v>UPDATE COTACAO SET cot_id = 1914, cot_blt_id = 86, cot_pap_id = 4, cot_prc_comum =  30.00, cot_prc_min =  24.00, cot_prc_max =  48.00, cot_prc_med =  31.40, cot_prc_mediana =  30.00 WHERE cot_id = 1914;</v>
      </c>
    </row>
    <row r="1916" customFormat="false" ht="14.25" hidden="false" customHeight="false" outlineLevel="0" collapsed="false">
      <c r="A1916" s="0" t="n">
        <v>1915</v>
      </c>
      <c r="B1916" s="0" t="n">
        <f aca="false">IF('Boletins Nuppa Site'!A1916&lt;&gt;0,'Boletins Nuppa Site'!A1916,"NULL")</f>
        <v>86</v>
      </c>
      <c r="C1916" s="0" t="n">
        <v>5</v>
      </c>
      <c r="D1916" s="0" t="str">
        <f aca="false">IF('Boletins Nuppa Site'!G1916&lt;&gt;0,'Boletins Nuppa Site'!G1916,"NULL")</f>
        <v>NULL</v>
      </c>
      <c r="E1916" s="30" t="str">
        <f aca="false">IF('Boletins Nuppa Site'!H1916&lt;&gt;0,'Boletins Nuppa Site'!H1916,"NULL")</f>
        <v> 24.00</v>
      </c>
      <c r="F1916" s="30" t="str">
        <f aca="false">IF('Boletins Nuppa Site'!I1916&lt;&gt;0,'Boletins Nuppa Site'!I1916,"NULL")</f>
        <v> 48.00</v>
      </c>
      <c r="G1916" s="30" t="str">
        <f aca="false">IF('Boletins Nuppa Site'!J1916&lt;&gt;0,'Boletins Nuppa Site'!J1916,"NULL")</f>
        <v> 31.75</v>
      </c>
      <c r="H1916" s="30" t="str">
        <f aca="false">IF('Boletins Nuppa Site'!K1916&lt;&gt;0,'Boletins Nuppa Site'!K1916,"NULL")</f>
        <v> 27.50</v>
      </c>
      <c r="I1916" s="0" t="str">
        <f aca="false">"INSERT INTO COTACAO (cot_id, cot_blt_id, cot_pap_id, cot_prc_comum, cot_prc_min, cot_prc_max, cot_prc_med, cot_prc_mediana) VALUES ("&amp;A1916&amp;", "&amp;B1916&amp;", "&amp;C1916&amp;", "&amp;D1916&amp;", "&amp;E1916&amp;", "&amp;F1916&amp;", "&amp;G1916&amp;", "&amp;H1916&amp;");"</f>
        <v>INSERT INTO COTACAO (cot_id, cot_blt_id, cot_pap_id, cot_prc_comum, cot_prc_min, cot_prc_max, cot_prc_med, cot_prc_mediana) VALUES (1915, 86, 5, NULL,  24.00,  48.00,  31.75,  27.50);</v>
      </c>
      <c r="J1916" s="0" t="str">
        <f aca="false">"UPDATE COTACAO SET cot_id = "&amp;A1916&amp;", cot_blt_id = "&amp;B1916&amp;", cot_pap_id = "&amp;C1916&amp;", cot_prc_comum = "&amp;D1916&amp;", cot_prc_min = "&amp;E1916&amp;", cot_prc_max = "&amp;F1916&amp;", cot_prc_med = "&amp;G1916&amp;", cot_prc_mediana = "&amp;H1916&amp;" WHERE cot_id = "&amp;A1916&amp;";"</f>
        <v>UPDATE COTACAO SET cot_id = 1915, cot_blt_id = 86, cot_pap_id = 5, cot_prc_comum = NULL, cot_prc_min =  24.00, cot_prc_max =  48.00, cot_prc_med =  31.75, cot_prc_mediana =  27.50 WHERE cot_id = 1915;</v>
      </c>
    </row>
    <row r="1917" customFormat="false" ht="14.25" hidden="false" customHeight="false" outlineLevel="0" collapsed="false">
      <c r="A1917" s="0" t="n">
        <v>1916</v>
      </c>
      <c r="B1917" s="0" t="n">
        <f aca="false">IF('Boletins Nuppa Site'!A1917&lt;&gt;0,'Boletins Nuppa Site'!A1917,"NULL")</f>
        <v>86</v>
      </c>
      <c r="C1917" s="0" t="n">
        <v>6</v>
      </c>
      <c r="D1917" s="0" t="str">
        <f aca="false">IF('Boletins Nuppa Site'!G1917&lt;&gt;0,'Boletins Nuppa Site'!G1917,"NULL")</f>
        <v> 60.00</v>
      </c>
      <c r="E1917" s="30" t="str">
        <f aca="false">IF('Boletins Nuppa Site'!H1917&lt;&gt;0,'Boletins Nuppa Site'!H1917,"NULL")</f>
        <v> 60.00</v>
      </c>
      <c r="F1917" s="30" t="str">
        <f aca="false">IF('Boletins Nuppa Site'!I1917&lt;&gt;0,'Boletins Nuppa Site'!I1917,"NULL")</f>
        <v> 66.00</v>
      </c>
      <c r="G1917" s="30" t="str">
        <f aca="false">IF('Boletins Nuppa Site'!J1917&lt;&gt;0,'Boletins Nuppa Site'!J1917,"NULL")</f>
        <v> 61.50</v>
      </c>
      <c r="H1917" s="30" t="str">
        <f aca="false">IF('Boletins Nuppa Site'!K1917&lt;&gt;0,'Boletins Nuppa Site'!K1917,"NULL")</f>
        <v> 60.00</v>
      </c>
      <c r="I1917" s="0" t="str">
        <f aca="false">"INSERT INTO COTACAO (cot_id, cot_blt_id, cot_pap_id, cot_prc_comum, cot_prc_min, cot_prc_max, cot_prc_med, cot_prc_mediana) VALUES ("&amp;A1917&amp;", "&amp;B1917&amp;", "&amp;C1917&amp;", "&amp;D1917&amp;", "&amp;E1917&amp;", "&amp;F1917&amp;", "&amp;G1917&amp;", "&amp;H1917&amp;");"</f>
        <v>INSERT INTO COTACAO (cot_id, cot_blt_id, cot_pap_id, cot_prc_comum, cot_prc_min, cot_prc_max, cot_prc_med, cot_prc_mediana) VALUES (1916, 86, 6,  60.00,  60.00,  66.00,  61.50,  60.00);</v>
      </c>
      <c r="J1917" s="0" t="str">
        <f aca="false">"UPDATE COTACAO SET cot_id = "&amp;A1917&amp;", cot_blt_id = "&amp;B1917&amp;", cot_pap_id = "&amp;C1917&amp;", cot_prc_comum = "&amp;D1917&amp;", cot_prc_min = "&amp;E1917&amp;", cot_prc_max = "&amp;F1917&amp;", cot_prc_med = "&amp;G1917&amp;", cot_prc_mediana = "&amp;H1917&amp;" WHERE cot_id = "&amp;A1917&amp;";"</f>
        <v>UPDATE COTACAO SET cot_id = 1916, cot_blt_id = 86, cot_pap_id = 6, cot_prc_comum =  60.00, cot_prc_min =  60.00, cot_prc_max =  66.00, cot_prc_med =  61.50, cot_prc_mediana =  60.00 WHERE cot_id = 1916;</v>
      </c>
    </row>
    <row r="1918" customFormat="false" ht="14.25" hidden="false" customHeight="false" outlineLevel="0" collapsed="false">
      <c r="A1918" s="0" t="n">
        <v>1917</v>
      </c>
      <c r="B1918" s="0" t="n">
        <f aca="false">IF('Boletins Nuppa Site'!A1918&lt;&gt;0,'Boletins Nuppa Site'!A1918,"NULL")</f>
        <v>86</v>
      </c>
      <c r="C1918" s="0" t="n">
        <v>7</v>
      </c>
      <c r="D1918" s="0" t="str">
        <f aca="false">IF('Boletins Nuppa Site'!G1918&lt;&gt;0,'Boletins Nuppa Site'!G1918,"NULL")</f>
        <v>NULL</v>
      </c>
      <c r="E1918" s="30" t="str">
        <f aca="false">IF('Boletins Nuppa Site'!H1918&lt;&gt;0,'Boletins Nuppa Site'!H1918,"NULL")</f>
        <v> 48.00</v>
      </c>
      <c r="F1918" s="30" t="str">
        <f aca="false">IF('Boletins Nuppa Site'!I1918&lt;&gt;0,'Boletins Nuppa Site'!I1918,"NULL")</f>
        <v> 78.00</v>
      </c>
      <c r="G1918" s="30" t="str">
        <f aca="false">IF('Boletins Nuppa Site'!J1918&lt;&gt;0,'Boletins Nuppa Site'!J1918,"NULL")</f>
        <v> 61.50</v>
      </c>
      <c r="H1918" s="30" t="str">
        <f aca="false">IF('Boletins Nuppa Site'!K1918&lt;&gt;0,'Boletins Nuppa Site'!K1918,"NULL")</f>
        <v> 60.00</v>
      </c>
      <c r="I1918" s="0" t="str">
        <f aca="false">"INSERT INTO COTACAO (cot_id, cot_blt_id, cot_pap_id, cot_prc_comum, cot_prc_min, cot_prc_max, cot_prc_med, cot_prc_mediana) VALUES ("&amp;A1918&amp;", "&amp;B1918&amp;", "&amp;C1918&amp;", "&amp;D1918&amp;", "&amp;E1918&amp;", "&amp;F1918&amp;", "&amp;G1918&amp;", "&amp;H1918&amp;");"</f>
        <v>INSERT INTO COTACAO (cot_id, cot_blt_id, cot_pap_id, cot_prc_comum, cot_prc_min, cot_prc_max, cot_prc_med, cot_prc_mediana) VALUES (1917, 86, 7, NULL,  48.00,  78.00,  61.50,  60.00);</v>
      </c>
      <c r="J1918" s="0" t="str">
        <f aca="false">"UPDATE COTACAO SET cot_id = "&amp;A1918&amp;", cot_blt_id = "&amp;B1918&amp;", cot_pap_id = "&amp;C1918&amp;", cot_prc_comum = "&amp;D1918&amp;", cot_prc_min = "&amp;E1918&amp;", cot_prc_max = "&amp;F1918&amp;", cot_prc_med = "&amp;G1918&amp;", cot_prc_mediana = "&amp;H1918&amp;" WHERE cot_id = "&amp;A1918&amp;";"</f>
        <v>UPDATE COTACAO SET cot_id = 1917, cot_blt_id = 86, cot_pap_id = 7, cot_prc_comum = NULL, cot_prc_min =  48.00, cot_prc_max =  78.00, cot_prc_med =  61.50, cot_prc_mediana =  60.00 WHERE cot_id = 1917;</v>
      </c>
    </row>
    <row r="1919" customFormat="false" ht="14.25" hidden="false" customHeight="false" outlineLevel="0" collapsed="false">
      <c r="A1919" s="0" t="n">
        <v>1918</v>
      </c>
      <c r="B1919" s="0" t="n">
        <f aca="false">IF('Boletins Nuppa Site'!A1919&lt;&gt;0,'Boletins Nuppa Site'!A1919,"NULL")</f>
        <v>86</v>
      </c>
      <c r="C1919" s="0" t="n">
        <v>8</v>
      </c>
      <c r="D1919" s="0" t="str">
        <f aca="false">IF('Boletins Nuppa Site'!G1919&lt;&gt;0,'Boletins Nuppa Site'!G1919,"NULL")</f>
        <v> 30.00</v>
      </c>
      <c r="E1919" s="30" t="str">
        <f aca="false">IF('Boletins Nuppa Site'!H1919&lt;&gt;0,'Boletins Nuppa Site'!H1919,"NULL")</f>
        <v> 72.00</v>
      </c>
      <c r="F1919" s="30" t="str">
        <f aca="false">IF('Boletins Nuppa Site'!I1919&lt;&gt;0,'Boletins Nuppa Site'!I1919,"NULL")</f>
        <v> 84.00</v>
      </c>
      <c r="G1919" s="30" t="str">
        <f aca="false">IF('Boletins Nuppa Site'!J1919&lt;&gt;0,'Boletins Nuppa Site'!J1919,"NULL")</f>
        <v> 72.00</v>
      </c>
      <c r="H1919" s="30" t="str">
        <f aca="false">IF('Boletins Nuppa Site'!K1919&lt;&gt;0,'Boletins Nuppa Site'!K1919,"NULL")</f>
        <v> 67.20</v>
      </c>
      <c r="I1919" s="0" t="str">
        <f aca="false">"INSERT INTO COTACAO (cot_id, cot_blt_id, cot_pap_id, cot_prc_comum, cot_prc_min, cot_prc_max, cot_prc_med, cot_prc_mediana) VALUES ("&amp;A1919&amp;", "&amp;B1919&amp;", "&amp;C1919&amp;", "&amp;D1919&amp;", "&amp;E1919&amp;", "&amp;F1919&amp;", "&amp;G1919&amp;", "&amp;H1919&amp;");"</f>
        <v>INSERT INTO COTACAO (cot_id, cot_blt_id, cot_pap_id, cot_prc_comum, cot_prc_min, cot_prc_max, cot_prc_med, cot_prc_mediana) VALUES (1918, 86, 8,  30.00,  72.00,  84.00,  72.00,  67.20);</v>
      </c>
      <c r="J1919" s="0" t="str">
        <f aca="false">"UPDATE COTACAO SET cot_id = "&amp;A1919&amp;", cot_blt_id = "&amp;B1919&amp;", cot_pap_id = "&amp;C1919&amp;", cot_prc_comum = "&amp;D1919&amp;", cot_prc_min = "&amp;E1919&amp;", cot_prc_max = "&amp;F1919&amp;", cot_prc_med = "&amp;G1919&amp;", cot_prc_mediana = "&amp;H1919&amp;" WHERE cot_id = "&amp;A1919&amp;";"</f>
        <v>UPDATE COTACAO SET cot_id = 1918, cot_blt_id = 86, cot_pap_id = 8, cot_prc_comum =  30.00, cot_prc_min =  72.00, cot_prc_max =  84.00, cot_prc_med =  72.00, cot_prc_mediana =  67.20 WHERE cot_id = 1918;</v>
      </c>
    </row>
    <row r="1920" customFormat="false" ht="14.25" hidden="false" customHeight="false" outlineLevel="0" collapsed="false">
      <c r="A1920" s="0" t="n">
        <v>1919</v>
      </c>
      <c r="B1920" s="0" t="n">
        <f aca="false">IF('Boletins Nuppa Site'!A1920&lt;&gt;0,'Boletins Nuppa Site'!A1920,"NULL")</f>
        <v>86</v>
      </c>
      <c r="C1920" s="0" t="n">
        <v>9</v>
      </c>
      <c r="D1920" s="0" t="str">
        <f aca="false">IF('Boletins Nuppa Site'!G1920&lt;&gt;0,'Boletins Nuppa Site'!G1920,"NULL")</f>
        <v> 24.00</v>
      </c>
      <c r="E1920" s="30" t="str">
        <f aca="false">IF('Boletins Nuppa Site'!H1920&lt;&gt;0,'Boletins Nuppa Site'!H1920,"NULL")</f>
        <v> 24.00</v>
      </c>
      <c r="F1920" s="30" t="str">
        <f aca="false">IF('Boletins Nuppa Site'!I1920&lt;&gt;0,'Boletins Nuppa Site'!I1920,"NULL")</f>
        <v> 30.00</v>
      </c>
      <c r="G1920" s="30" t="str">
        <f aca="false">IF('Boletins Nuppa Site'!J1920&lt;&gt;0,'Boletins Nuppa Site'!J1920,"NULL")</f>
        <v> 26.40</v>
      </c>
      <c r="H1920" s="30" t="str">
        <f aca="false">IF('Boletins Nuppa Site'!K1920&lt;&gt;0,'Boletins Nuppa Site'!K1920,"NULL")</f>
        <v> 24.00</v>
      </c>
      <c r="I1920" s="0" t="str">
        <f aca="false">"INSERT INTO COTACAO (cot_id, cot_blt_id, cot_pap_id, cot_prc_comum, cot_prc_min, cot_prc_max, cot_prc_med, cot_prc_mediana) VALUES ("&amp;A1920&amp;", "&amp;B1920&amp;", "&amp;C1920&amp;", "&amp;D1920&amp;", "&amp;E1920&amp;", "&amp;F1920&amp;", "&amp;G1920&amp;", "&amp;H1920&amp;");"</f>
        <v>INSERT INTO COTACAO (cot_id, cot_blt_id, cot_pap_id, cot_prc_comum, cot_prc_min, cot_prc_max, cot_prc_med, cot_prc_mediana) VALUES (1919, 86, 9,  24.00,  24.00,  30.00,  26.40,  24.00);</v>
      </c>
      <c r="J1920" s="0" t="str">
        <f aca="false">"UPDATE COTACAO SET cot_id = "&amp;A1920&amp;", cot_blt_id = "&amp;B1920&amp;", cot_pap_id = "&amp;C1920&amp;", cot_prc_comum = "&amp;D1920&amp;", cot_prc_min = "&amp;E1920&amp;", cot_prc_max = "&amp;F1920&amp;", cot_prc_med = "&amp;G1920&amp;", cot_prc_mediana = "&amp;H1920&amp;" WHERE cot_id = "&amp;A1920&amp;";"</f>
        <v>UPDATE COTACAO SET cot_id = 1919, cot_blt_id = 86, cot_pap_id = 9, cot_prc_comum =  24.00, cot_prc_min =  24.00, cot_prc_max =  30.00, cot_prc_med =  26.40, cot_prc_mediana =  24.00 WHERE cot_id = 1919;</v>
      </c>
    </row>
    <row r="1921" customFormat="false" ht="14.25" hidden="false" customHeight="false" outlineLevel="0" collapsed="false">
      <c r="A1921" s="0" t="n">
        <v>1920</v>
      </c>
      <c r="B1921" s="0" t="n">
        <f aca="false">IF('Boletins Nuppa Site'!A1921&lt;&gt;0,'Boletins Nuppa Site'!A1921,"NULL")</f>
        <v>86</v>
      </c>
      <c r="C1921" s="0" t="n">
        <v>10</v>
      </c>
      <c r="D1921" s="0" t="str">
        <f aca="false">IF('Boletins Nuppa Site'!G1921&lt;&gt;0,'Boletins Nuppa Site'!G1921,"NULL")</f>
        <v> 84.00</v>
      </c>
      <c r="E1921" s="30" t="str">
        <f aca="false">IF('Boletins Nuppa Site'!H1921&lt;&gt;0,'Boletins Nuppa Site'!H1921,"NULL")</f>
        <v> 72.00</v>
      </c>
      <c r="F1921" s="30" t="str">
        <f aca="false">IF('Boletins Nuppa Site'!I1921&lt;&gt;0,'Boletins Nuppa Site'!I1921,"NULL")</f>
        <v> 96.00</v>
      </c>
      <c r="G1921" s="30" t="str">
        <f aca="false">IF('Boletins Nuppa Site'!J1921&lt;&gt;0,'Boletins Nuppa Site'!J1921,"NULL")</f>
        <v> 84.00</v>
      </c>
      <c r="H1921" s="30" t="str">
        <f aca="false">IF('Boletins Nuppa Site'!K1921&lt;&gt;0,'Boletins Nuppa Site'!K1921,"NULL")</f>
        <v> 84.00</v>
      </c>
      <c r="I1921" s="0" t="str">
        <f aca="false">"INSERT INTO COTACAO (cot_id, cot_blt_id, cot_pap_id, cot_prc_comum, cot_prc_min, cot_prc_max, cot_prc_med, cot_prc_mediana) VALUES ("&amp;A1921&amp;", "&amp;B1921&amp;", "&amp;C1921&amp;", "&amp;D1921&amp;", "&amp;E1921&amp;", "&amp;F1921&amp;", "&amp;G1921&amp;", "&amp;H1921&amp;");"</f>
        <v>INSERT INTO COTACAO (cot_id, cot_blt_id, cot_pap_id, cot_prc_comum, cot_prc_min, cot_prc_max, cot_prc_med, cot_prc_mediana) VALUES (1920, 86, 10,  84.00,  72.00,  96.00,  84.00,  84.00);</v>
      </c>
      <c r="J1921" s="0" t="str">
        <f aca="false">"UPDATE COTACAO SET cot_id = "&amp;A1921&amp;", cot_blt_id = "&amp;B1921&amp;", cot_pap_id = "&amp;C1921&amp;", cot_prc_comum = "&amp;D1921&amp;", cot_prc_min = "&amp;E1921&amp;", cot_prc_max = "&amp;F1921&amp;", cot_prc_med = "&amp;G1921&amp;", cot_prc_mediana = "&amp;H1921&amp;" WHERE cot_id = "&amp;A1921&amp;";"</f>
        <v>UPDATE COTACAO SET cot_id = 1920, cot_blt_id = 86, cot_pap_id = 10, cot_prc_comum =  84.00, cot_prc_min =  72.00, cot_prc_max =  96.00, cot_prc_med =  84.00, cot_prc_mediana =  84.00 WHERE cot_id = 1920;</v>
      </c>
    </row>
    <row r="1922" customFormat="false" ht="14.25" hidden="false" customHeight="false" outlineLevel="0" collapsed="false">
      <c r="A1922" s="0" t="n">
        <v>1921</v>
      </c>
      <c r="B1922" s="0" t="n">
        <f aca="false">IF('Boletins Nuppa Site'!A1922&lt;&gt;0,'Boletins Nuppa Site'!A1922,"NULL")</f>
        <v>86</v>
      </c>
      <c r="C1922" s="0" t="n">
        <v>11</v>
      </c>
      <c r="D1922" s="0" t="str">
        <f aca="false">IF('Boletins Nuppa Site'!G1922&lt;&gt;0,'Boletins Nuppa Site'!G1922,"NULL")</f>
        <v>NULL</v>
      </c>
      <c r="E1922" s="30" t="str">
        <f aca="false">IF('Boletins Nuppa Site'!H1922&lt;&gt;0,'Boletins Nuppa Site'!H1922,"NULL")</f>
        <v> 24.00</v>
      </c>
      <c r="F1922" s="30" t="str">
        <f aca="false">IF('Boletins Nuppa Site'!I1922&lt;&gt;0,'Boletins Nuppa Site'!I1922,"NULL")</f>
        <v> 60.00</v>
      </c>
      <c r="G1922" s="30" t="str">
        <f aca="false">IF('Boletins Nuppa Site'!J1922&lt;&gt;0,'Boletins Nuppa Site'!J1922,"NULL")</f>
        <v> 30.00</v>
      </c>
      <c r="H1922" s="30" t="str">
        <f aca="false">IF('Boletins Nuppa Site'!K1922&lt;&gt;0,'Boletins Nuppa Site'!K1922,"NULL")</f>
        <v> 35.00</v>
      </c>
      <c r="I1922" s="0" t="str">
        <f aca="false">"INSERT INTO COTACAO (cot_id, cot_blt_id, cot_pap_id, cot_prc_comum, cot_prc_min, cot_prc_max, cot_prc_med, cot_prc_mediana) VALUES ("&amp;A1922&amp;", "&amp;B1922&amp;", "&amp;C1922&amp;", "&amp;D1922&amp;", "&amp;E1922&amp;", "&amp;F1922&amp;", "&amp;G1922&amp;", "&amp;H1922&amp;");"</f>
        <v>INSERT INTO COTACAO (cot_id, cot_blt_id, cot_pap_id, cot_prc_comum, cot_prc_min, cot_prc_max, cot_prc_med, cot_prc_mediana) VALUES (1921, 86, 11, NULL,  24.00,  60.00,  30.00,  35.00);</v>
      </c>
      <c r="J1922" s="0" t="str">
        <f aca="false">"UPDATE COTACAO SET cot_id = "&amp;A1922&amp;", cot_blt_id = "&amp;B1922&amp;", cot_pap_id = "&amp;C1922&amp;", cot_prc_comum = "&amp;D1922&amp;", cot_prc_min = "&amp;E1922&amp;", cot_prc_max = "&amp;F1922&amp;", cot_prc_med = "&amp;G1922&amp;", cot_prc_mediana = "&amp;H1922&amp;" WHERE cot_id = "&amp;A1922&amp;";"</f>
        <v>UPDATE COTACAO SET cot_id = 1921, cot_blt_id = 86, cot_pap_id = 11, cot_prc_comum = NULL, cot_prc_min =  24.00, cot_prc_max =  60.00, cot_prc_med =  30.00, cot_prc_mediana =  35.00 WHERE cot_id = 1921;</v>
      </c>
    </row>
    <row r="1923" customFormat="false" ht="14.25" hidden="false" customHeight="false" outlineLevel="0" collapsed="false">
      <c r="A1923" s="0" t="n">
        <v>1922</v>
      </c>
      <c r="B1923" s="0" t="n">
        <f aca="false">IF('Boletins Nuppa Site'!A1923&lt;&gt;0,'Boletins Nuppa Site'!A1923,"NULL")</f>
        <v>86</v>
      </c>
      <c r="C1923" s="0" t="n">
        <v>12</v>
      </c>
      <c r="D1923" s="0" t="str">
        <f aca="false">IF('Boletins Nuppa Site'!G1923&lt;&gt;0,'Boletins Nuppa Site'!G1923,"NULL")</f>
        <v> 72.00</v>
      </c>
      <c r="E1923" s="30" t="str">
        <f aca="false">IF('Boletins Nuppa Site'!H1923&lt;&gt;0,'Boletins Nuppa Site'!H1923,"NULL")</f>
        <v> 60.00</v>
      </c>
      <c r="F1923" s="30" t="str">
        <f aca="false">IF('Boletins Nuppa Site'!I1923&lt;&gt;0,'Boletins Nuppa Site'!I1923,"NULL")</f>
        <v> 84.00</v>
      </c>
      <c r="G1923" s="30" t="str">
        <f aca="false">IF('Boletins Nuppa Site'!J1923&lt;&gt;0,'Boletins Nuppa Site'!J1923,"NULL")</f>
        <v> 72.00</v>
      </c>
      <c r="H1923" s="30" t="str">
        <f aca="false">IF('Boletins Nuppa Site'!K1923&lt;&gt;0,'Boletins Nuppa Site'!K1923,"NULL")</f>
        <v> 72.00</v>
      </c>
      <c r="I1923" s="0" t="str">
        <f aca="false">"INSERT INTO COTACAO (cot_id, cot_blt_id, cot_pap_id, cot_prc_comum, cot_prc_min, cot_prc_max, cot_prc_med, cot_prc_mediana) VALUES ("&amp;A1923&amp;", "&amp;B1923&amp;", "&amp;C1923&amp;", "&amp;D1923&amp;", "&amp;E1923&amp;", "&amp;F1923&amp;", "&amp;G1923&amp;", "&amp;H1923&amp;");"</f>
        <v>INSERT INTO COTACAO (cot_id, cot_blt_id, cot_pap_id, cot_prc_comum, cot_prc_min, cot_prc_max, cot_prc_med, cot_prc_mediana) VALUES (1922, 86, 12,  72.00,  60.00,  84.00,  72.00,  72.00);</v>
      </c>
      <c r="J1923" s="0" t="str">
        <f aca="false">"UPDATE COTACAO SET cot_id = "&amp;A1923&amp;", cot_blt_id = "&amp;B1923&amp;", cot_pap_id = "&amp;C1923&amp;", cot_prc_comum = "&amp;D1923&amp;", cot_prc_min = "&amp;E1923&amp;", cot_prc_max = "&amp;F1923&amp;", cot_prc_med = "&amp;G1923&amp;", cot_prc_mediana = "&amp;H1923&amp;" WHERE cot_id = "&amp;A1923&amp;";"</f>
        <v>UPDATE COTACAO SET cot_id = 1922, cot_blt_id = 86, cot_pap_id = 12, cot_prc_comum =  72.00, cot_prc_min =  60.00, cot_prc_max =  84.00, cot_prc_med =  72.00, cot_prc_mediana =  72.00 WHERE cot_id = 1922;</v>
      </c>
    </row>
    <row r="1924" customFormat="false" ht="14.25" hidden="false" customHeight="false" outlineLevel="0" collapsed="false">
      <c r="A1924" s="0" t="n">
        <v>1923</v>
      </c>
      <c r="B1924" s="0" t="n">
        <f aca="false">IF('Boletins Nuppa Site'!A1924&lt;&gt;0,'Boletins Nuppa Site'!A1924,"NULL")</f>
        <v>86</v>
      </c>
      <c r="C1924" s="0" t="n">
        <v>13</v>
      </c>
      <c r="D1924" s="0" t="str">
        <f aca="false">IF('Boletins Nuppa Site'!G1924&lt;&gt;0,'Boletins Nuppa Site'!G1924,"NULL")</f>
        <v> 48.00</v>
      </c>
      <c r="E1924" s="30" t="str">
        <f aca="false">IF('Boletins Nuppa Site'!H1924&lt;&gt;0,'Boletins Nuppa Site'!H1924,"NULL")</f>
        <v> 72.00</v>
      </c>
      <c r="F1924" s="30" t="str">
        <f aca="false">IF('Boletins Nuppa Site'!I1924&lt;&gt;0,'Boletins Nuppa Site'!I1924,"NULL")</f>
        <v> 72.00</v>
      </c>
      <c r="G1924" s="30" t="str">
        <f aca="false">IF('Boletins Nuppa Site'!J1924&lt;&gt;0,'Boletins Nuppa Site'!J1924,"NULL")</f>
        <v> 62.40</v>
      </c>
      <c r="H1924" s="30" t="str">
        <f aca="false">IF('Boletins Nuppa Site'!K1924&lt;&gt;0,'Boletins Nuppa Site'!K1924,"NULL")</f>
        <v> 60.00</v>
      </c>
      <c r="I1924" s="0" t="str">
        <f aca="false">"INSERT INTO COTACAO (cot_id, cot_blt_id, cot_pap_id, cot_prc_comum, cot_prc_min, cot_prc_max, cot_prc_med, cot_prc_mediana) VALUES ("&amp;A1924&amp;", "&amp;B1924&amp;", "&amp;C1924&amp;", "&amp;D1924&amp;", "&amp;E1924&amp;", "&amp;F1924&amp;", "&amp;G1924&amp;", "&amp;H1924&amp;");"</f>
        <v>INSERT INTO COTACAO (cot_id, cot_blt_id, cot_pap_id, cot_prc_comum, cot_prc_min, cot_prc_max, cot_prc_med, cot_prc_mediana) VALUES (1923, 86, 13,  48.00,  72.00,  72.00,  62.40,  60.00);</v>
      </c>
      <c r="J1924" s="0" t="str">
        <f aca="false">"UPDATE COTACAO SET cot_id = "&amp;A1924&amp;", cot_blt_id = "&amp;B1924&amp;", cot_pap_id = "&amp;C1924&amp;", cot_prc_comum = "&amp;D1924&amp;", cot_prc_min = "&amp;E1924&amp;", cot_prc_max = "&amp;F1924&amp;", cot_prc_med = "&amp;G1924&amp;", cot_prc_mediana = "&amp;H1924&amp;" WHERE cot_id = "&amp;A1924&amp;";"</f>
        <v>UPDATE COTACAO SET cot_id = 1923, cot_blt_id = 86, cot_pap_id = 13, cot_prc_comum =  48.00, cot_prc_min =  72.00, cot_prc_max =  72.00, cot_prc_med =  62.40, cot_prc_mediana =  60.00 WHERE cot_id = 1923;</v>
      </c>
    </row>
    <row r="1925" customFormat="false" ht="14.25" hidden="false" customHeight="false" outlineLevel="0" collapsed="false">
      <c r="A1925" s="0" t="n">
        <v>1924</v>
      </c>
      <c r="B1925" s="0" t="n">
        <f aca="false">IF('Boletins Nuppa Site'!A1925&lt;&gt;0,'Boletins Nuppa Site'!A1925,"NULL")</f>
        <v>86</v>
      </c>
      <c r="C1925" s="0" t="n">
        <v>14</v>
      </c>
      <c r="D1925" s="0" t="str">
        <f aca="false">IF('Boletins Nuppa Site'!G1925&lt;&gt;0,'Boletins Nuppa Site'!G1925,"NULL")</f>
        <v> 50.00</v>
      </c>
      <c r="E1925" s="30" t="str">
        <f aca="false">IF('Boletins Nuppa Site'!H1925&lt;&gt;0,'Boletins Nuppa Site'!H1925,"NULL")</f>
        <v> 60.00</v>
      </c>
      <c r="F1925" s="30" t="str">
        <f aca="false">IF('Boletins Nuppa Site'!I1925&lt;&gt;0,'Boletins Nuppa Site'!I1925,"NULL")</f>
        <v> 72.00</v>
      </c>
      <c r="G1925" s="30" t="str">
        <f aca="false">IF('Boletins Nuppa Site'!J1925&lt;&gt;0,'Boletins Nuppa Site'!J1925,"NULL")</f>
        <v> 50.00</v>
      </c>
      <c r="H1925" s="30" t="str">
        <f aca="false">IF('Boletins Nuppa Site'!K1925&lt;&gt;0,'Boletins Nuppa Site'!K1925,"NULL")</f>
        <v> 60.50</v>
      </c>
      <c r="I1925" s="0" t="str">
        <f aca="false">"INSERT INTO COTACAO (cot_id, cot_blt_id, cot_pap_id, cot_prc_comum, cot_prc_min, cot_prc_max, cot_prc_med, cot_prc_mediana) VALUES ("&amp;A1925&amp;", "&amp;B1925&amp;", "&amp;C1925&amp;", "&amp;D1925&amp;", "&amp;E1925&amp;", "&amp;F1925&amp;", "&amp;G1925&amp;", "&amp;H1925&amp;");"</f>
        <v>INSERT INTO COTACAO (cot_id, cot_blt_id, cot_pap_id, cot_prc_comum, cot_prc_min, cot_prc_max, cot_prc_med, cot_prc_mediana) VALUES (1924, 86, 14,  50.00,  60.00,  72.00,  50.00,  60.50);</v>
      </c>
      <c r="J1925" s="0" t="str">
        <f aca="false">"UPDATE COTACAO SET cot_id = "&amp;A1925&amp;", cot_blt_id = "&amp;B1925&amp;", cot_pap_id = "&amp;C1925&amp;", cot_prc_comum = "&amp;D1925&amp;", cot_prc_min = "&amp;E1925&amp;", cot_prc_max = "&amp;F1925&amp;", cot_prc_med = "&amp;G1925&amp;", cot_prc_mediana = "&amp;H1925&amp;" WHERE cot_id = "&amp;A1925&amp;";"</f>
        <v>UPDATE COTACAO SET cot_id = 1924, cot_blt_id = 86, cot_pap_id = 14, cot_prc_comum =  50.00, cot_prc_min =  60.00, cot_prc_max =  72.00, cot_prc_med =  50.00, cot_prc_mediana =  60.50 WHERE cot_id = 1924;</v>
      </c>
    </row>
    <row r="1926" customFormat="false" ht="14.25" hidden="false" customHeight="false" outlineLevel="0" collapsed="false">
      <c r="A1926" s="0" t="n">
        <v>1925</v>
      </c>
      <c r="B1926" s="0" t="n">
        <f aca="false">IF('Boletins Nuppa Site'!A1926&lt;&gt;0,'Boletins Nuppa Site'!A1926,"NULL")</f>
        <v>86</v>
      </c>
      <c r="C1926" s="0" t="n">
        <v>15</v>
      </c>
      <c r="D1926" s="0" t="str">
        <f aca="false">IF('Boletins Nuppa Site'!G1926&lt;&gt;0,'Boletins Nuppa Site'!G1926,"NULL")</f>
        <v> 45.00</v>
      </c>
      <c r="E1926" s="30" t="str">
        <f aca="false">IF('Boletins Nuppa Site'!H1926&lt;&gt;0,'Boletins Nuppa Site'!H1926,"NULL")</f>
        <v> 36.00</v>
      </c>
      <c r="F1926" s="30" t="str">
        <f aca="false">IF('Boletins Nuppa Site'!I1926&lt;&gt;0,'Boletins Nuppa Site'!I1926,"NULL")</f>
        <v> 48.00</v>
      </c>
      <c r="G1926" s="30" t="str">
        <f aca="false">IF('Boletins Nuppa Site'!J1926&lt;&gt;0,'Boletins Nuppa Site'!J1926,"NULL")</f>
        <v> 42.00</v>
      </c>
      <c r="H1926" s="30" t="str">
        <f aca="false">IF('Boletins Nuppa Site'!K1926&lt;&gt;0,'Boletins Nuppa Site'!K1926,"NULL")</f>
        <v> 45.00</v>
      </c>
      <c r="I1926" s="0" t="str">
        <f aca="false">"INSERT INTO COTACAO (cot_id, cot_blt_id, cot_pap_id, cot_prc_comum, cot_prc_min, cot_prc_max, cot_prc_med, cot_prc_mediana) VALUES ("&amp;A1926&amp;", "&amp;B1926&amp;", "&amp;C1926&amp;", "&amp;D1926&amp;", "&amp;E1926&amp;", "&amp;F1926&amp;", "&amp;G1926&amp;", "&amp;H1926&amp;");"</f>
        <v>INSERT INTO COTACAO (cot_id, cot_blt_id, cot_pap_id, cot_prc_comum, cot_prc_min, cot_prc_max, cot_prc_med, cot_prc_mediana) VALUES (1925, 86, 15,  45.00,  36.00,  48.00,  42.00,  45.00);</v>
      </c>
      <c r="J1926" s="0" t="str">
        <f aca="false">"UPDATE COTACAO SET cot_id = "&amp;A1926&amp;", cot_blt_id = "&amp;B1926&amp;", cot_pap_id = "&amp;C1926&amp;", cot_prc_comum = "&amp;D1926&amp;", cot_prc_min = "&amp;E1926&amp;", cot_prc_max = "&amp;F1926&amp;", cot_prc_med = "&amp;G1926&amp;", cot_prc_mediana = "&amp;H1926&amp;" WHERE cot_id = "&amp;A1926&amp;";"</f>
        <v>UPDATE COTACAO SET cot_id = 1925, cot_blt_id = 86, cot_pap_id = 15, cot_prc_comum =  45.00, cot_prc_min =  36.00, cot_prc_max =  48.00, cot_prc_med =  42.00, cot_prc_mediana =  45.00 WHERE cot_id = 1925;</v>
      </c>
    </row>
    <row r="1927" customFormat="false" ht="14.25" hidden="false" customHeight="false" outlineLevel="0" collapsed="false">
      <c r="A1927" s="0" t="n">
        <v>1926</v>
      </c>
      <c r="B1927" s="0" t="n">
        <f aca="false">IF('Boletins Nuppa Site'!A1927&lt;&gt;0,'Boletins Nuppa Site'!A1927,"NULL")</f>
        <v>86</v>
      </c>
      <c r="C1927" s="0" t="n">
        <v>16</v>
      </c>
      <c r="D1927" s="0" t="str">
        <f aca="false">IF('Boletins Nuppa Site'!G1927&lt;&gt;0,'Boletins Nuppa Site'!G1927,"NULL")</f>
        <v> 48.00</v>
      </c>
      <c r="E1927" s="30" t="str">
        <f aca="false">IF('Boletins Nuppa Site'!H1927&lt;&gt;0,'Boletins Nuppa Site'!H1927,"NULL")</f>
        <v> 54.00</v>
      </c>
      <c r="F1927" s="30" t="str">
        <f aca="false">IF('Boletins Nuppa Site'!I1927&lt;&gt;0,'Boletins Nuppa Site'!I1927,"NULL")</f>
        <v> 60.00</v>
      </c>
      <c r="G1927" s="30" t="str">
        <f aca="false">IF('Boletins Nuppa Site'!J1927&lt;&gt;0,'Boletins Nuppa Site'!J1927,"NULL")</f>
        <v> 55.20</v>
      </c>
      <c r="H1927" s="30" t="str">
        <f aca="false">IF('Boletins Nuppa Site'!K1927&lt;&gt;0,'Boletins Nuppa Site'!K1927,"NULL")</f>
        <v> 54.00</v>
      </c>
      <c r="I1927" s="0" t="str">
        <f aca="false">"INSERT INTO COTACAO (cot_id, cot_blt_id, cot_pap_id, cot_prc_comum, cot_prc_min, cot_prc_max, cot_prc_med, cot_prc_mediana) VALUES ("&amp;A1927&amp;", "&amp;B1927&amp;", "&amp;C1927&amp;", "&amp;D1927&amp;", "&amp;E1927&amp;", "&amp;F1927&amp;", "&amp;G1927&amp;", "&amp;H1927&amp;");"</f>
        <v>INSERT INTO COTACAO (cot_id, cot_blt_id, cot_pap_id, cot_prc_comum, cot_prc_min, cot_prc_max, cot_prc_med, cot_prc_mediana) VALUES (1926, 86, 16,  48.00,  54.00,  60.00,  55.20,  54.00);</v>
      </c>
      <c r="J1927" s="0" t="str">
        <f aca="false">"UPDATE COTACAO SET cot_id = "&amp;A1927&amp;", cot_blt_id = "&amp;B1927&amp;", cot_pap_id = "&amp;C1927&amp;", cot_prc_comum = "&amp;D1927&amp;", cot_prc_min = "&amp;E1927&amp;", cot_prc_max = "&amp;F1927&amp;", cot_prc_med = "&amp;G1927&amp;", cot_prc_mediana = "&amp;H1927&amp;" WHERE cot_id = "&amp;A1927&amp;";"</f>
        <v>UPDATE COTACAO SET cot_id = 1926, cot_blt_id = 86, cot_pap_id = 16, cot_prc_comum =  48.00, cot_prc_min =  54.00, cot_prc_max =  60.00, cot_prc_med =  55.20, cot_prc_mediana =  54.00 WHERE cot_id = 1926;</v>
      </c>
    </row>
    <row r="1928" customFormat="false" ht="14.25" hidden="false" customHeight="false" outlineLevel="0" collapsed="false">
      <c r="A1928" s="0" t="n">
        <v>1927</v>
      </c>
      <c r="B1928" s="0" t="n">
        <f aca="false">IF('Boletins Nuppa Site'!A1928&lt;&gt;0,'Boletins Nuppa Site'!A1928,"NULL")</f>
        <v>86</v>
      </c>
      <c r="C1928" s="0" t="n">
        <v>17</v>
      </c>
      <c r="D1928" s="0" t="str">
        <f aca="false">IF('Boletins Nuppa Site'!G1928&lt;&gt;0,'Boletins Nuppa Site'!G1928,"NULL")</f>
        <v> 4.00</v>
      </c>
      <c r="E1928" s="30" t="str">
        <f aca="false">IF('Boletins Nuppa Site'!H1928&lt;&gt;0,'Boletins Nuppa Site'!H1928,"NULL")</f>
        <v> 5.00</v>
      </c>
      <c r="F1928" s="30" t="str">
        <f aca="false">IF('Boletins Nuppa Site'!I1928&lt;&gt;0,'Boletins Nuppa Site'!I1928,"NULL")</f>
        <v> 5.00</v>
      </c>
      <c r="G1928" s="30" t="str">
        <f aca="false">IF('Boletins Nuppa Site'!J1928&lt;&gt;0,'Boletins Nuppa Site'!J1928,"NULL")</f>
        <v> 5.00</v>
      </c>
      <c r="H1928" s="30" t="str">
        <f aca="false">IF('Boletins Nuppa Site'!K1928&lt;&gt;0,'Boletins Nuppa Site'!K1928,"NULL")</f>
        <v> 4.80</v>
      </c>
      <c r="I1928" s="0" t="str">
        <f aca="false">"INSERT INTO COTACAO (cot_id, cot_blt_id, cot_pap_id, cot_prc_comum, cot_prc_min, cot_prc_max, cot_prc_med, cot_prc_mediana) VALUES ("&amp;A1928&amp;", "&amp;B1928&amp;", "&amp;C1928&amp;", "&amp;D1928&amp;", "&amp;E1928&amp;", "&amp;F1928&amp;", "&amp;G1928&amp;", "&amp;H1928&amp;");"</f>
        <v>INSERT INTO COTACAO (cot_id, cot_blt_id, cot_pap_id, cot_prc_comum, cot_prc_min, cot_prc_max, cot_prc_med, cot_prc_mediana) VALUES (1927, 86, 17,  4.00,  5.00,  5.00,  5.00,  4.80);</v>
      </c>
      <c r="J1928" s="0" t="str">
        <f aca="false">"UPDATE COTACAO SET cot_id = "&amp;A1928&amp;", cot_blt_id = "&amp;B1928&amp;", cot_pap_id = "&amp;C1928&amp;", cot_prc_comum = "&amp;D1928&amp;", cot_prc_min = "&amp;E1928&amp;", cot_prc_max = "&amp;F1928&amp;", cot_prc_med = "&amp;G1928&amp;", cot_prc_mediana = "&amp;H1928&amp;" WHERE cot_id = "&amp;A1928&amp;";"</f>
        <v>UPDATE COTACAO SET cot_id = 1927, cot_blt_id = 86, cot_pap_id = 17, cot_prc_comum =  4.00, cot_prc_min =  5.00, cot_prc_max =  5.00, cot_prc_med =  5.00, cot_prc_mediana =  4.80 WHERE cot_id = 1927;</v>
      </c>
    </row>
    <row r="1929" customFormat="false" ht="14.25" hidden="false" customHeight="false" outlineLevel="0" collapsed="false">
      <c r="A1929" s="0" t="n">
        <v>1928</v>
      </c>
      <c r="B1929" s="0" t="n">
        <f aca="false">IF('Boletins Nuppa Site'!A1929&lt;&gt;0,'Boletins Nuppa Site'!A1929,"NULL")</f>
        <v>86</v>
      </c>
      <c r="C1929" s="0" t="n">
        <v>18</v>
      </c>
      <c r="D1929" s="0" t="str">
        <f aca="false">IF('Boletins Nuppa Site'!G1929&lt;&gt;0,'Boletins Nuppa Site'!G1929,"NULL")</f>
        <v> 20.00</v>
      </c>
      <c r="E1929" s="30" t="str">
        <f aca="false">IF('Boletins Nuppa Site'!H1929&lt;&gt;0,'Boletins Nuppa Site'!H1929,"NULL")</f>
        <v> 20.00</v>
      </c>
      <c r="F1929" s="30" t="str">
        <f aca="false">IF('Boletins Nuppa Site'!I1929&lt;&gt;0,'Boletins Nuppa Site'!I1929,"NULL")</f>
        <v> 25.00</v>
      </c>
      <c r="G1929" s="30" t="str">
        <f aca="false">IF('Boletins Nuppa Site'!J1929&lt;&gt;0,'Boletins Nuppa Site'!J1929,"NULL")</f>
        <v> 22.00</v>
      </c>
      <c r="H1929" s="30" t="str">
        <f aca="false">IF('Boletins Nuppa Site'!K1929&lt;&gt;0,'Boletins Nuppa Site'!K1929,"NULL")</f>
        <v> 20.00</v>
      </c>
      <c r="I1929" s="0" t="str">
        <f aca="false">"INSERT INTO COTACAO (cot_id, cot_blt_id, cot_pap_id, cot_prc_comum, cot_prc_min, cot_prc_max, cot_prc_med, cot_prc_mediana) VALUES ("&amp;A1929&amp;", "&amp;B1929&amp;", "&amp;C1929&amp;", "&amp;D1929&amp;", "&amp;E1929&amp;", "&amp;F1929&amp;", "&amp;G1929&amp;", "&amp;H1929&amp;");"</f>
        <v>INSERT INTO COTACAO (cot_id, cot_blt_id, cot_pap_id, cot_prc_comum, cot_prc_min, cot_prc_max, cot_prc_med, cot_prc_mediana) VALUES (1928, 86, 18,  20.00,  20.00,  25.00,  22.00,  20.00);</v>
      </c>
      <c r="J1929" s="0" t="str">
        <f aca="false">"UPDATE COTACAO SET cot_id = "&amp;A1929&amp;", cot_blt_id = "&amp;B1929&amp;", cot_pap_id = "&amp;C1929&amp;", cot_prc_comum = "&amp;D1929&amp;", cot_prc_min = "&amp;E1929&amp;", cot_prc_max = "&amp;F1929&amp;", cot_prc_med = "&amp;G1929&amp;", cot_prc_mediana = "&amp;H1929&amp;" WHERE cot_id = "&amp;A1929&amp;";"</f>
        <v>UPDATE COTACAO SET cot_id = 1928, cot_blt_id = 86, cot_pap_id = 18, cot_prc_comum =  20.00, cot_prc_min =  20.00, cot_prc_max =  25.00, cot_prc_med =  22.00, cot_prc_mediana =  20.00 WHERE cot_id = 1928;</v>
      </c>
    </row>
    <row r="1930" customFormat="false" ht="14.25" hidden="false" customHeight="false" outlineLevel="0" collapsed="false">
      <c r="A1930" s="0" t="n">
        <v>1929</v>
      </c>
      <c r="B1930" s="0" t="n">
        <f aca="false">IF('Boletins Nuppa Site'!A1930&lt;&gt;0,'Boletins Nuppa Site'!A1930,"NULL")</f>
        <v>86</v>
      </c>
      <c r="C1930" s="0" t="n">
        <v>19</v>
      </c>
      <c r="D1930" s="0" t="str">
        <f aca="false">IF('Boletins Nuppa Site'!G1930&lt;&gt;0,'Boletins Nuppa Site'!G1930,"NULL")</f>
        <v> 25.00</v>
      </c>
      <c r="E1930" s="30" t="str">
        <f aca="false">IF('Boletins Nuppa Site'!H1930&lt;&gt;0,'Boletins Nuppa Site'!H1930,"NULL")</f>
        <v> 30.00</v>
      </c>
      <c r="F1930" s="30" t="str">
        <f aca="false">IF('Boletins Nuppa Site'!I1930&lt;&gt;0,'Boletins Nuppa Site'!I1930,"NULL")</f>
        <v> 30.00</v>
      </c>
      <c r="G1930" s="30" t="str">
        <f aca="false">IF('Boletins Nuppa Site'!J1930&lt;&gt;0,'Boletins Nuppa Site'!J1930,"NULL")</f>
        <v> 30.00</v>
      </c>
      <c r="H1930" s="30" t="str">
        <f aca="false">IF('Boletins Nuppa Site'!K1930&lt;&gt;0,'Boletins Nuppa Site'!K1930,"NULL")</f>
        <v> 28.00</v>
      </c>
      <c r="I1930" s="0" t="str">
        <f aca="false">"INSERT INTO COTACAO (cot_id, cot_blt_id, cot_pap_id, cot_prc_comum, cot_prc_min, cot_prc_max, cot_prc_med, cot_prc_mediana) VALUES ("&amp;A1930&amp;", "&amp;B1930&amp;", "&amp;C1930&amp;", "&amp;D1930&amp;", "&amp;E1930&amp;", "&amp;F1930&amp;", "&amp;G1930&amp;", "&amp;H1930&amp;");"</f>
        <v>INSERT INTO COTACAO (cot_id, cot_blt_id, cot_pap_id, cot_prc_comum, cot_prc_min, cot_prc_max, cot_prc_med, cot_prc_mediana) VALUES (1929, 86, 19,  25.00,  30.00,  30.00,  30.00,  28.00);</v>
      </c>
      <c r="J1930" s="0" t="str">
        <f aca="false">"UPDATE COTACAO SET cot_id = "&amp;A1930&amp;", cot_blt_id = "&amp;B1930&amp;", cot_pap_id = "&amp;C1930&amp;", cot_prc_comum = "&amp;D1930&amp;", cot_prc_min = "&amp;E1930&amp;", cot_prc_max = "&amp;F1930&amp;", cot_prc_med = "&amp;G1930&amp;", cot_prc_mediana = "&amp;H1930&amp;" WHERE cot_id = "&amp;A1930&amp;";"</f>
        <v>UPDATE COTACAO SET cot_id = 1929, cot_blt_id = 86, cot_pap_id = 19, cot_prc_comum =  25.00, cot_prc_min =  30.00, cot_prc_max =  30.00, cot_prc_med =  30.00, cot_prc_mediana =  28.00 WHERE cot_id = 1929;</v>
      </c>
    </row>
    <row r="1931" customFormat="false" ht="14.25" hidden="false" customHeight="false" outlineLevel="0" collapsed="false">
      <c r="A1931" s="0" t="n">
        <v>1930</v>
      </c>
      <c r="B1931" s="0" t="n">
        <f aca="false">IF('Boletins Nuppa Site'!A1931&lt;&gt;0,'Boletins Nuppa Site'!A1931,"NULL")</f>
        <v>86</v>
      </c>
      <c r="C1931" s="0" t="n">
        <v>20</v>
      </c>
      <c r="D1931" s="0" t="str">
        <f aca="false">IF('Boletins Nuppa Site'!G1931&lt;&gt;0,'Boletins Nuppa Site'!G1931,"NULL")</f>
        <v> 70.00</v>
      </c>
      <c r="E1931" s="30" t="str">
        <f aca="false">IF('Boletins Nuppa Site'!H1931&lt;&gt;0,'Boletins Nuppa Site'!H1931,"NULL")</f>
        <v> 70.00</v>
      </c>
      <c r="F1931" s="30" t="str">
        <f aca="false">IF('Boletins Nuppa Site'!I1931&lt;&gt;0,'Boletins Nuppa Site'!I1931,"NULL")</f>
        <v> 70.00</v>
      </c>
      <c r="G1931" s="30" t="str">
        <f aca="false">IF('Boletins Nuppa Site'!J1931&lt;&gt;0,'Boletins Nuppa Site'!J1931,"NULL")</f>
        <v> 70.00</v>
      </c>
      <c r="H1931" s="30" t="str">
        <f aca="false">IF('Boletins Nuppa Site'!K1931&lt;&gt;0,'Boletins Nuppa Site'!K1931,"NULL")</f>
        <v> 70.00</v>
      </c>
      <c r="I1931" s="0" t="str">
        <f aca="false">"INSERT INTO COTACAO (cot_id, cot_blt_id, cot_pap_id, cot_prc_comum, cot_prc_min, cot_prc_max, cot_prc_med, cot_prc_mediana) VALUES ("&amp;A1931&amp;", "&amp;B1931&amp;", "&amp;C1931&amp;", "&amp;D1931&amp;", "&amp;E1931&amp;", "&amp;F1931&amp;", "&amp;G1931&amp;", "&amp;H1931&amp;");"</f>
        <v>INSERT INTO COTACAO (cot_id, cot_blt_id, cot_pap_id, cot_prc_comum, cot_prc_min, cot_prc_max, cot_prc_med, cot_prc_mediana) VALUES (1930, 86, 20,  70.00,  70.00,  70.00,  70.00,  70.00);</v>
      </c>
      <c r="J1931" s="0" t="str">
        <f aca="false">"UPDATE COTACAO SET cot_id = "&amp;A1931&amp;", cot_blt_id = "&amp;B1931&amp;", cot_pap_id = "&amp;C1931&amp;", cot_prc_comum = "&amp;D1931&amp;", cot_prc_min = "&amp;E1931&amp;", cot_prc_max = "&amp;F1931&amp;", cot_prc_med = "&amp;G1931&amp;", cot_prc_mediana = "&amp;H1931&amp;" WHERE cot_id = "&amp;A1931&amp;";"</f>
        <v>UPDATE COTACAO SET cot_id = 1930, cot_blt_id = 86, cot_pap_id = 20, cot_prc_comum =  70.00, cot_prc_min =  70.00, cot_prc_max =  70.00, cot_prc_med =  70.00, cot_prc_mediana =  70.00 WHERE cot_id = 1930;</v>
      </c>
    </row>
    <row r="1932" customFormat="false" ht="14.25" hidden="false" customHeight="false" outlineLevel="0" collapsed="false">
      <c r="A1932" s="0" t="n">
        <v>1931</v>
      </c>
      <c r="B1932" s="0" t="n">
        <f aca="false">IF('Boletins Nuppa Site'!A1932&lt;&gt;0,'Boletins Nuppa Site'!A1932,"NULL")</f>
        <v>86</v>
      </c>
      <c r="C1932" s="0" t="n">
        <v>21</v>
      </c>
      <c r="D1932" s="0" t="str">
        <f aca="false">IF('Boletins Nuppa Site'!G1932&lt;&gt;0,'Boletins Nuppa Site'!G1932,"NULL")</f>
        <v> 90.00</v>
      </c>
      <c r="E1932" s="30" t="str">
        <f aca="false">IF('Boletins Nuppa Site'!H1932&lt;&gt;0,'Boletins Nuppa Site'!H1932,"NULL")</f>
        <v> 100.00</v>
      </c>
      <c r="F1932" s="30" t="str">
        <f aca="false">IF('Boletins Nuppa Site'!I1932&lt;&gt;0,'Boletins Nuppa Site'!I1932,"NULL")</f>
        <v> 100.00</v>
      </c>
      <c r="G1932" s="30" t="str">
        <f aca="false">IF('Boletins Nuppa Site'!J1932&lt;&gt;0,'Boletins Nuppa Site'!J1932,"NULL")</f>
        <v> 100.00</v>
      </c>
      <c r="H1932" s="30" t="str">
        <f aca="false">IF('Boletins Nuppa Site'!K1932&lt;&gt;0,'Boletins Nuppa Site'!K1932,"NULL")</f>
        <v> 97.50</v>
      </c>
      <c r="I1932" s="0" t="str">
        <f aca="false">"INSERT INTO COTACAO (cot_id, cot_blt_id, cot_pap_id, cot_prc_comum, cot_prc_min, cot_prc_max, cot_prc_med, cot_prc_mediana) VALUES ("&amp;A1932&amp;", "&amp;B1932&amp;", "&amp;C1932&amp;", "&amp;D1932&amp;", "&amp;E1932&amp;", "&amp;F1932&amp;", "&amp;G1932&amp;", "&amp;H1932&amp;");"</f>
        <v>INSERT INTO COTACAO (cot_id, cot_blt_id, cot_pap_id, cot_prc_comum, cot_prc_min, cot_prc_max, cot_prc_med, cot_prc_mediana) VALUES (1931, 86, 21,  90.00,  100.00,  100.00,  100.00,  97.50);</v>
      </c>
      <c r="J1932" s="0" t="str">
        <f aca="false">"UPDATE COTACAO SET cot_id = "&amp;A1932&amp;", cot_blt_id = "&amp;B1932&amp;", cot_pap_id = "&amp;C1932&amp;", cot_prc_comum = "&amp;D1932&amp;", cot_prc_min = "&amp;E1932&amp;", cot_prc_max = "&amp;F1932&amp;", cot_prc_med = "&amp;G1932&amp;", cot_prc_mediana = "&amp;H1932&amp;" WHERE cot_id = "&amp;A1932&amp;";"</f>
        <v>UPDATE COTACAO SET cot_id = 1931, cot_blt_id = 86, cot_pap_id = 21, cot_prc_comum =  90.00, cot_prc_min =  100.00, cot_prc_max =  100.00, cot_prc_med =  100.00, cot_prc_mediana =  97.50 WHERE cot_id = 1931;</v>
      </c>
    </row>
    <row r="1933" customFormat="false" ht="14.25" hidden="false" customHeight="false" outlineLevel="0" collapsed="false">
      <c r="A1933" s="0" t="n">
        <v>1932</v>
      </c>
      <c r="B1933" s="0" t="n">
        <f aca="false">IF('Boletins Nuppa Site'!A1933&lt;&gt;0,'Boletins Nuppa Site'!A1933,"NULL")</f>
        <v>86</v>
      </c>
      <c r="C1933" s="0" t="n">
        <v>22</v>
      </c>
      <c r="D1933" s="0" t="str">
        <f aca="false">IF('Boletins Nuppa Site'!G1933&lt;&gt;0,'Boletins Nuppa Site'!G1933,"NULL")</f>
        <v>NULL</v>
      </c>
      <c r="E1933" s="30" t="str">
        <f aca="false">IF('Boletins Nuppa Site'!H1933&lt;&gt;0,'Boletins Nuppa Site'!H1933,"NULL")</f>
        <v> 45.00</v>
      </c>
      <c r="F1933" s="30" t="str">
        <f aca="false">IF('Boletins Nuppa Site'!I1933&lt;&gt;0,'Boletins Nuppa Site'!I1933,"NULL")</f>
        <v> 70.00</v>
      </c>
      <c r="G1933" s="30" t="str">
        <f aca="false">IF('Boletins Nuppa Site'!J1933&lt;&gt;0,'Boletins Nuppa Site'!J1933,"NULL")</f>
        <v> 57.50</v>
      </c>
      <c r="H1933" s="30" t="str">
        <f aca="false">IF('Boletins Nuppa Site'!K1933&lt;&gt;0,'Boletins Nuppa Site'!K1933,"NULL")</f>
        <v> 57.50</v>
      </c>
      <c r="I1933" s="0" t="str">
        <f aca="false">"INSERT INTO COTACAO (cot_id, cot_blt_id, cot_pap_id, cot_prc_comum, cot_prc_min, cot_prc_max, cot_prc_med, cot_prc_mediana) VALUES ("&amp;A1933&amp;", "&amp;B1933&amp;", "&amp;C1933&amp;", "&amp;D1933&amp;", "&amp;E1933&amp;", "&amp;F1933&amp;", "&amp;G1933&amp;", "&amp;H1933&amp;");"</f>
        <v>INSERT INTO COTACAO (cot_id, cot_blt_id, cot_pap_id, cot_prc_comum, cot_prc_min, cot_prc_max, cot_prc_med, cot_prc_mediana) VALUES (1932, 86, 22, NULL,  45.00,  70.00,  57.50,  57.50);</v>
      </c>
      <c r="J1933" s="0" t="str">
        <f aca="false">"UPDATE COTACAO SET cot_id = "&amp;A1933&amp;", cot_blt_id = "&amp;B1933&amp;", cot_pap_id = "&amp;C1933&amp;", cot_prc_comum = "&amp;D1933&amp;", cot_prc_min = "&amp;E1933&amp;", cot_prc_max = "&amp;F1933&amp;", cot_prc_med = "&amp;G1933&amp;", cot_prc_mediana = "&amp;H1933&amp;" WHERE cot_id = "&amp;A1933&amp;";"</f>
        <v>UPDATE COTACAO SET cot_id = 1932, cot_blt_id = 86, cot_pap_id = 22, cot_prc_comum = NULL, cot_prc_min =  45.00, cot_prc_max =  70.00, cot_prc_med =  57.50, cot_prc_mediana =  57.50 WHERE cot_id = 1932;</v>
      </c>
    </row>
    <row r="1934" customFormat="false" ht="14.25" hidden="false" customHeight="false" outlineLevel="0" collapsed="false">
      <c r="A1934" s="0" t="n">
        <v>1933</v>
      </c>
      <c r="B1934" s="0" t="n">
        <f aca="false">IF('Boletins Nuppa Site'!A1934&lt;&gt;0,'Boletins Nuppa Site'!A1934,"NULL")</f>
        <v>86</v>
      </c>
      <c r="C1934" s="0" t="n">
        <v>23</v>
      </c>
      <c r="D1934" s="0" t="str">
        <f aca="false">IF('Boletins Nuppa Site'!G1934&lt;&gt;0,'Boletins Nuppa Site'!G1934,"NULL")</f>
        <v> 50.00</v>
      </c>
      <c r="E1934" s="30" t="str">
        <f aca="false">IF('Boletins Nuppa Site'!H1934&lt;&gt;0,'Boletins Nuppa Site'!H1934,"NULL")</f>
        <v> 40.00</v>
      </c>
      <c r="F1934" s="30" t="str">
        <f aca="false">IF('Boletins Nuppa Site'!I1934&lt;&gt;0,'Boletins Nuppa Site'!I1934,"NULL")</f>
        <v> 50.00</v>
      </c>
      <c r="G1934" s="30" t="str">
        <f aca="false">IF('Boletins Nuppa Site'!J1934&lt;&gt;0,'Boletins Nuppa Site'!J1934,"NULL")</f>
        <v> 47.50</v>
      </c>
      <c r="H1934" s="30" t="str">
        <f aca="false">IF('Boletins Nuppa Site'!K1934&lt;&gt;0,'Boletins Nuppa Site'!K1934,"NULL")</f>
        <v> 50.00</v>
      </c>
      <c r="I1934" s="0" t="str">
        <f aca="false">"INSERT INTO COTACAO (cot_id, cot_blt_id, cot_pap_id, cot_prc_comum, cot_prc_min, cot_prc_max, cot_prc_med, cot_prc_mediana) VALUES ("&amp;A1934&amp;", "&amp;B1934&amp;", "&amp;C1934&amp;", "&amp;D1934&amp;", "&amp;E1934&amp;", "&amp;F1934&amp;", "&amp;G1934&amp;", "&amp;H1934&amp;");"</f>
        <v>INSERT INTO COTACAO (cot_id, cot_blt_id, cot_pap_id, cot_prc_comum, cot_prc_min, cot_prc_max, cot_prc_med, cot_prc_mediana) VALUES (1933, 86, 23,  50.00,  40.00,  50.00,  47.50,  50.00);</v>
      </c>
      <c r="J1934" s="0" t="str">
        <f aca="false">"UPDATE COTACAO SET cot_id = "&amp;A1934&amp;", cot_blt_id = "&amp;B1934&amp;", cot_pap_id = "&amp;C1934&amp;", cot_prc_comum = "&amp;D1934&amp;", cot_prc_min = "&amp;E1934&amp;", cot_prc_max = "&amp;F1934&amp;", cot_prc_med = "&amp;G1934&amp;", cot_prc_mediana = "&amp;H1934&amp;" WHERE cot_id = "&amp;A1934&amp;";"</f>
        <v>UPDATE COTACAO SET cot_id = 1933, cot_blt_id = 86, cot_pap_id = 23, cot_prc_comum =  50.00, cot_prc_min =  40.00, cot_prc_max =  50.00, cot_prc_med =  47.50, cot_prc_mediana =  50.00 WHERE cot_id = 1933;</v>
      </c>
    </row>
    <row r="1935" customFormat="false" ht="14.25" hidden="false" customHeight="false" outlineLevel="0" collapsed="false">
      <c r="A1935" s="0" t="n">
        <v>1934</v>
      </c>
      <c r="B1935" s="0" t="n">
        <f aca="false">IF('Boletins Nuppa Site'!A1935&lt;&gt;0,'Boletins Nuppa Site'!A1935,"NULL")</f>
        <v>86</v>
      </c>
      <c r="C1935" s="0" t="n">
        <v>24</v>
      </c>
      <c r="D1935" s="0" t="str">
        <f aca="false">IF('Boletins Nuppa Site'!G1935&lt;&gt;0,'Boletins Nuppa Site'!G1935,"NULL")</f>
        <v>NULL</v>
      </c>
      <c r="E1935" s="30" t="str">
        <f aca="false">IF('Boletins Nuppa Site'!H1935&lt;&gt;0,'Boletins Nuppa Site'!H1935,"NULL")</f>
        <v>NULL</v>
      </c>
      <c r="F1935" s="30" t="str">
        <f aca="false">IF('Boletins Nuppa Site'!I1935&lt;&gt;0,'Boletins Nuppa Site'!I1935,"NULL")</f>
        <v>NULL</v>
      </c>
      <c r="G1935" s="30" t="str">
        <f aca="false">IF('Boletins Nuppa Site'!J1935&lt;&gt;0,'Boletins Nuppa Site'!J1935,"NULL")</f>
        <v>NULL</v>
      </c>
      <c r="H1935" s="30" t="str">
        <f aca="false">IF('Boletins Nuppa Site'!K1935&lt;&gt;0,'Boletins Nuppa Site'!K1935,"NULL")</f>
        <v>NULL</v>
      </c>
      <c r="I1935" s="0" t="str">
        <f aca="false">"INSERT INTO COTACAO (cot_id, cot_blt_id, cot_pap_id, cot_prc_comum, cot_prc_min, cot_prc_max, cot_prc_med, cot_prc_mediana) VALUES ("&amp;A1935&amp;", "&amp;B1935&amp;", "&amp;C1935&amp;", "&amp;D1935&amp;", "&amp;E1935&amp;", "&amp;F1935&amp;", "&amp;G1935&amp;", "&amp;H1935&amp;");"</f>
        <v>INSERT INTO COTACAO (cot_id, cot_blt_id, cot_pap_id, cot_prc_comum, cot_prc_min, cot_prc_max, cot_prc_med, cot_prc_mediana) VALUES (1934, 86, 24, NULL, NULL, NULL, NULL, NULL);</v>
      </c>
      <c r="J1935" s="0" t="str">
        <f aca="false">"UPDATE COTACAO SET cot_id = "&amp;A1935&amp;", cot_blt_id = "&amp;B1935&amp;", cot_pap_id = "&amp;C1935&amp;", cot_prc_comum = "&amp;D1935&amp;", cot_prc_min = "&amp;E1935&amp;", cot_prc_max = "&amp;F1935&amp;", cot_prc_med = "&amp;G1935&amp;", cot_prc_mediana = "&amp;H1935&amp;" WHERE cot_id = "&amp;A1935&amp;";"</f>
        <v>UPDATE COTACAO SET cot_id = 1934, cot_blt_id = 86, cot_pap_id = 24, cot_prc_comum = NULL, cot_prc_min = NULL, cot_prc_max = NULL, cot_prc_med = NULL, cot_prc_mediana = NULL WHERE cot_id = 1934;</v>
      </c>
    </row>
    <row r="1936" customFormat="false" ht="14.25" hidden="false" customHeight="false" outlineLevel="0" collapsed="false">
      <c r="A1936" s="0" t="n">
        <v>1935</v>
      </c>
      <c r="B1936" s="0" t="n">
        <f aca="false">IF('Boletins Nuppa Site'!A1936&lt;&gt;0,'Boletins Nuppa Site'!A1936,"NULL")</f>
        <v>86</v>
      </c>
      <c r="C1936" s="0" t="n">
        <v>25</v>
      </c>
      <c r="D1936" s="0" t="str">
        <f aca="false">IF('Boletins Nuppa Site'!G1936&lt;&gt;0,'Boletins Nuppa Site'!G1936,"NULL")</f>
        <v> 50.00</v>
      </c>
      <c r="E1936" s="30" t="str">
        <f aca="false">IF('Boletins Nuppa Site'!H1936&lt;&gt;0,'Boletins Nuppa Site'!H1936,"NULL")</f>
        <v> 70.00</v>
      </c>
      <c r="F1936" s="30" t="str">
        <f aca="false">IF('Boletins Nuppa Site'!I1936&lt;&gt;0,'Boletins Nuppa Site'!I1936,"NULL")</f>
        <v> 70.00</v>
      </c>
      <c r="G1936" s="30" t="str">
        <f aca="false">IF('Boletins Nuppa Site'!J1936&lt;&gt;0,'Boletins Nuppa Site'!J1936,"NULL")</f>
        <v> 65.00</v>
      </c>
      <c r="H1936" s="30" t="str">
        <f aca="false">IF('Boletins Nuppa Site'!K1936&lt;&gt;0,'Boletins Nuppa Site'!K1936,"NULL")</f>
        <v> 62.50</v>
      </c>
      <c r="I1936" s="0" t="str">
        <f aca="false">"INSERT INTO COTACAO (cot_id, cot_blt_id, cot_pap_id, cot_prc_comum, cot_prc_min, cot_prc_max, cot_prc_med, cot_prc_mediana) VALUES ("&amp;A1936&amp;", "&amp;B1936&amp;", "&amp;C1936&amp;", "&amp;D1936&amp;", "&amp;E1936&amp;", "&amp;F1936&amp;", "&amp;G1936&amp;", "&amp;H1936&amp;");"</f>
        <v>INSERT INTO COTACAO (cot_id, cot_blt_id, cot_pap_id, cot_prc_comum, cot_prc_min, cot_prc_max, cot_prc_med, cot_prc_mediana) VALUES (1935, 86, 25,  50.00,  70.00,  70.00,  65.00,  62.50);</v>
      </c>
      <c r="J1936" s="0" t="str">
        <f aca="false">"UPDATE COTACAO SET cot_id = "&amp;A1936&amp;", cot_blt_id = "&amp;B1936&amp;", cot_pap_id = "&amp;C1936&amp;", cot_prc_comum = "&amp;D1936&amp;", cot_prc_min = "&amp;E1936&amp;", cot_prc_max = "&amp;F1936&amp;", cot_prc_med = "&amp;G1936&amp;", cot_prc_mediana = "&amp;H1936&amp;" WHERE cot_id = "&amp;A1936&amp;";"</f>
        <v>UPDATE COTACAO SET cot_id = 1935, cot_blt_id = 86, cot_pap_id = 25, cot_prc_comum =  50.00, cot_prc_min =  70.00, cot_prc_max =  70.00, cot_prc_med =  65.00, cot_prc_mediana =  62.50 WHERE cot_id = 1935;</v>
      </c>
    </row>
    <row r="1937" customFormat="false" ht="14.25" hidden="false" customHeight="false" outlineLevel="0" collapsed="false">
      <c r="A1937" s="0" t="n">
        <v>1936</v>
      </c>
      <c r="B1937" s="0" t="n">
        <f aca="false">IF('Boletins Nuppa Site'!A1937&lt;&gt;0,'Boletins Nuppa Site'!A1937,"NULL")</f>
        <v>86</v>
      </c>
      <c r="C1937" s="0" t="n">
        <v>26</v>
      </c>
      <c r="D1937" s="0" t="str">
        <f aca="false">IF('Boletins Nuppa Site'!G1937&lt;&gt;0,'Boletins Nuppa Site'!G1937,"NULL")</f>
        <v>NULL</v>
      </c>
      <c r="E1937" s="30" t="str">
        <f aca="false">IF('Boletins Nuppa Site'!H1937&lt;&gt;0,'Boletins Nuppa Site'!H1937,"NULL")</f>
        <v> 60.00</v>
      </c>
      <c r="F1937" s="30" t="str">
        <f aca="false">IF('Boletins Nuppa Site'!I1937&lt;&gt;0,'Boletins Nuppa Site'!I1937,"NULL")</f>
        <v> 105.00</v>
      </c>
      <c r="G1937" s="30" t="str">
        <f aca="false">IF('Boletins Nuppa Site'!J1937&lt;&gt;0,'Boletins Nuppa Site'!J1937,"NULL")</f>
        <v> 77.50</v>
      </c>
      <c r="H1937" s="30" t="str">
        <f aca="false">IF('Boletins Nuppa Site'!K1937&lt;&gt;0,'Boletins Nuppa Site'!K1937,"NULL")</f>
        <v> 72.50</v>
      </c>
      <c r="I1937" s="0" t="str">
        <f aca="false">"INSERT INTO COTACAO (cot_id, cot_blt_id, cot_pap_id, cot_prc_comum, cot_prc_min, cot_prc_max, cot_prc_med, cot_prc_mediana) VALUES ("&amp;A1937&amp;", "&amp;B1937&amp;", "&amp;C1937&amp;", "&amp;D1937&amp;", "&amp;E1937&amp;", "&amp;F1937&amp;", "&amp;G1937&amp;", "&amp;H1937&amp;");"</f>
        <v>INSERT INTO COTACAO (cot_id, cot_blt_id, cot_pap_id, cot_prc_comum, cot_prc_min, cot_prc_max, cot_prc_med, cot_prc_mediana) VALUES (1936, 86, 26, NULL,  60.00,  105.00,  77.50,  72.50);</v>
      </c>
      <c r="J1937" s="0" t="str">
        <f aca="false">"UPDATE COTACAO SET cot_id = "&amp;A1937&amp;", cot_blt_id = "&amp;B1937&amp;", cot_pap_id = "&amp;C1937&amp;", cot_prc_comum = "&amp;D1937&amp;", cot_prc_min = "&amp;E1937&amp;", cot_prc_max = "&amp;F1937&amp;", cot_prc_med = "&amp;G1937&amp;", cot_prc_mediana = "&amp;H1937&amp;" WHERE cot_id = "&amp;A1937&amp;";"</f>
        <v>UPDATE COTACAO SET cot_id = 1936, cot_blt_id = 86, cot_pap_id = 26, cot_prc_comum = NULL, cot_prc_min =  60.00, cot_prc_max =  105.00, cot_prc_med =  77.50, cot_prc_mediana =  72.50 WHERE cot_id = 1936;</v>
      </c>
    </row>
    <row r="1938" customFormat="false" ht="14.25" hidden="false" customHeight="false" outlineLevel="0" collapsed="false">
      <c r="A1938" s="0" t="n">
        <v>1937</v>
      </c>
      <c r="B1938" s="0" t="n">
        <f aca="false">IF('Boletins Nuppa Site'!A1938&lt;&gt;0,'Boletins Nuppa Site'!A1938,"NULL")</f>
        <v>86</v>
      </c>
      <c r="C1938" s="0" t="n">
        <v>27</v>
      </c>
      <c r="D1938" s="0" t="str">
        <f aca="false">IF('Boletins Nuppa Site'!G1938&lt;&gt;0,'Boletins Nuppa Site'!G1938,"NULL")</f>
        <v> 60.00</v>
      </c>
      <c r="E1938" s="30" t="str">
        <f aca="false">IF('Boletins Nuppa Site'!H1938&lt;&gt;0,'Boletins Nuppa Site'!H1938,"NULL")</f>
        <v> 50.00</v>
      </c>
      <c r="F1938" s="30" t="str">
        <f aca="false">IF('Boletins Nuppa Site'!I1938&lt;&gt;0,'Boletins Nuppa Site'!I1938,"NULL")</f>
        <v> 70.00</v>
      </c>
      <c r="G1938" s="30" t="str">
        <f aca="false">IF('Boletins Nuppa Site'!J1938&lt;&gt;0,'Boletins Nuppa Site'!J1938,"NULL")</f>
        <v> 60.00</v>
      </c>
      <c r="H1938" s="30" t="str">
        <f aca="false">IF('Boletins Nuppa Site'!K1938&lt;&gt;0,'Boletins Nuppa Site'!K1938,"NULL")</f>
        <v> 60.00</v>
      </c>
      <c r="I1938" s="0" t="str">
        <f aca="false">"INSERT INTO COTACAO (cot_id, cot_blt_id, cot_pap_id, cot_prc_comum, cot_prc_min, cot_prc_max, cot_prc_med, cot_prc_mediana) VALUES ("&amp;A1938&amp;", "&amp;B1938&amp;", "&amp;C1938&amp;", "&amp;D1938&amp;", "&amp;E1938&amp;", "&amp;F1938&amp;", "&amp;G1938&amp;", "&amp;H1938&amp;");"</f>
        <v>INSERT INTO COTACAO (cot_id, cot_blt_id, cot_pap_id, cot_prc_comum, cot_prc_min, cot_prc_max, cot_prc_med, cot_prc_mediana) VALUES (1937, 86, 27,  60.00,  50.00,  70.00,  60.00,  60.00);</v>
      </c>
      <c r="J1938" s="0" t="str">
        <f aca="false">"UPDATE COTACAO SET cot_id = "&amp;A1938&amp;", cot_blt_id = "&amp;B1938&amp;", cot_pap_id = "&amp;C1938&amp;", cot_prc_comum = "&amp;D1938&amp;", cot_prc_min = "&amp;E1938&amp;", cot_prc_max = "&amp;F1938&amp;", cot_prc_med = "&amp;G1938&amp;", cot_prc_mediana = "&amp;H1938&amp;" WHERE cot_id = "&amp;A1938&amp;";"</f>
        <v>UPDATE COTACAO SET cot_id = 1937, cot_blt_id = 86, cot_pap_id = 27, cot_prc_comum =  60.00, cot_prc_min =  50.00, cot_prc_max =  70.00, cot_prc_med =  60.00, cot_prc_mediana =  60.00 WHERE cot_id = 1937;</v>
      </c>
    </row>
    <row r="1939" customFormat="false" ht="14.25" hidden="false" customHeight="false" outlineLevel="0" collapsed="false">
      <c r="A1939" s="0" t="n">
        <v>1938</v>
      </c>
      <c r="B1939" s="0" t="n">
        <f aca="false">IF('Boletins Nuppa Site'!A1939&lt;&gt;0,'Boletins Nuppa Site'!A1939,"NULL")</f>
        <v>86</v>
      </c>
      <c r="C1939" s="0" t="n">
        <v>28</v>
      </c>
      <c r="D1939" s="0" t="str">
        <f aca="false">IF('Boletins Nuppa Site'!G1939&lt;&gt;0,'Boletins Nuppa Site'!G1939,"NULL")</f>
        <v> 60.00</v>
      </c>
      <c r="E1939" s="30" t="str">
        <f aca="false">IF('Boletins Nuppa Site'!H1939&lt;&gt;0,'Boletins Nuppa Site'!H1939,"NULL")</f>
        <v> 60.00</v>
      </c>
      <c r="F1939" s="30" t="str">
        <f aca="false">IF('Boletins Nuppa Site'!I1939&lt;&gt;0,'Boletins Nuppa Site'!I1939,"NULL")</f>
        <v> 80.00</v>
      </c>
      <c r="G1939" s="30" t="str">
        <f aca="false">IF('Boletins Nuppa Site'!J1939&lt;&gt;0,'Boletins Nuppa Site'!J1939,"NULL")</f>
        <v> 60.00</v>
      </c>
      <c r="H1939" s="30" t="str">
        <f aca="false">IF('Boletins Nuppa Site'!K1939&lt;&gt;0,'Boletins Nuppa Site'!K1939,"NULL")</f>
        <v> 66.67</v>
      </c>
      <c r="I1939" s="0" t="str">
        <f aca="false">"INSERT INTO COTACAO (cot_id, cot_blt_id, cot_pap_id, cot_prc_comum, cot_prc_min, cot_prc_max, cot_prc_med, cot_prc_mediana) VALUES ("&amp;A1939&amp;", "&amp;B1939&amp;", "&amp;C1939&amp;", "&amp;D1939&amp;", "&amp;E1939&amp;", "&amp;F1939&amp;", "&amp;G1939&amp;", "&amp;H1939&amp;");"</f>
        <v>INSERT INTO COTACAO (cot_id, cot_blt_id, cot_pap_id, cot_prc_comum, cot_prc_min, cot_prc_max, cot_prc_med, cot_prc_mediana) VALUES (1938, 86, 28,  60.00,  60.00,  80.00,  60.00,  66.67);</v>
      </c>
      <c r="J1939" s="0" t="str">
        <f aca="false">"UPDATE COTACAO SET cot_id = "&amp;A1939&amp;", cot_blt_id = "&amp;B1939&amp;", cot_pap_id = "&amp;C1939&amp;", cot_prc_comum = "&amp;D1939&amp;", cot_prc_min = "&amp;E1939&amp;", cot_prc_max = "&amp;F1939&amp;", cot_prc_med = "&amp;G1939&amp;", cot_prc_mediana = "&amp;H1939&amp;" WHERE cot_id = "&amp;A1939&amp;";"</f>
        <v>UPDATE COTACAO SET cot_id = 1938, cot_blt_id = 86, cot_pap_id = 28, cot_prc_comum =  60.00, cot_prc_min =  60.00, cot_prc_max =  80.00, cot_prc_med =  60.00, cot_prc_mediana =  66.67 WHERE cot_id = 1938;</v>
      </c>
    </row>
    <row r="1940" customFormat="false" ht="14.25" hidden="false" customHeight="false" outlineLevel="0" collapsed="false">
      <c r="A1940" s="0" t="n">
        <v>1939</v>
      </c>
      <c r="B1940" s="0" t="n">
        <f aca="false">IF('Boletins Nuppa Site'!A1940&lt;&gt;0,'Boletins Nuppa Site'!A1940,"NULL")</f>
        <v>86</v>
      </c>
      <c r="C1940" s="0" t="n">
        <v>29</v>
      </c>
      <c r="D1940" s="0" t="str">
        <f aca="false">IF('Boletins Nuppa Site'!G1940&lt;&gt;0,'Boletins Nuppa Site'!G1940,"NULL")</f>
        <v>NULL</v>
      </c>
      <c r="E1940" s="30" t="str">
        <f aca="false">IF('Boletins Nuppa Site'!H1940&lt;&gt;0,'Boletins Nuppa Site'!H1940,"NULL")</f>
        <v> 60.00</v>
      </c>
      <c r="F1940" s="30" t="str">
        <f aca="false">IF('Boletins Nuppa Site'!I1940&lt;&gt;0,'Boletins Nuppa Site'!I1940,"NULL")</f>
        <v> 60.00</v>
      </c>
      <c r="G1940" s="30" t="str">
        <f aca="false">IF('Boletins Nuppa Site'!J1940&lt;&gt;0,'Boletins Nuppa Site'!J1940,"NULL")</f>
        <v> 60.00</v>
      </c>
      <c r="H1940" s="30" t="str">
        <f aca="false">IF('Boletins Nuppa Site'!K1940&lt;&gt;0,'Boletins Nuppa Site'!K1940,"NULL")</f>
        <v> 60.00</v>
      </c>
      <c r="I1940" s="0" t="str">
        <f aca="false">"INSERT INTO COTACAO (cot_id, cot_blt_id, cot_pap_id, cot_prc_comum, cot_prc_min, cot_prc_max, cot_prc_med, cot_prc_mediana) VALUES ("&amp;A1940&amp;", "&amp;B1940&amp;", "&amp;C1940&amp;", "&amp;D1940&amp;", "&amp;E1940&amp;", "&amp;F1940&amp;", "&amp;G1940&amp;", "&amp;H1940&amp;");"</f>
        <v>INSERT INTO COTACAO (cot_id, cot_blt_id, cot_pap_id, cot_prc_comum, cot_prc_min, cot_prc_max, cot_prc_med, cot_prc_mediana) VALUES (1939, 86, 29, NULL,  60.00,  60.00,  60.00,  60.00);</v>
      </c>
      <c r="J1940" s="0" t="str">
        <f aca="false">"UPDATE COTACAO SET cot_id = "&amp;A1940&amp;", cot_blt_id = "&amp;B1940&amp;", cot_pap_id = "&amp;C1940&amp;", cot_prc_comum = "&amp;D1940&amp;", cot_prc_min = "&amp;E1940&amp;", cot_prc_max = "&amp;F1940&amp;", cot_prc_med = "&amp;G1940&amp;", cot_prc_mediana = "&amp;H1940&amp;" WHERE cot_id = "&amp;A1940&amp;";"</f>
        <v>UPDATE COTACAO SET cot_id = 1939, cot_blt_id = 86, cot_pap_id = 29, cot_prc_comum = NULL, cot_prc_min =  60.00, cot_prc_max =  60.00, cot_prc_med =  60.00, cot_prc_mediana =  60.00 WHERE cot_id = 1939;</v>
      </c>
    </row>
    <row r="1941" customFormat="false" ht="14.25" hidden="false" customHeight="false" outlineLevel="0" collapsed="false">
      <c r="A1941" s="0" t="n">
        <v>1940</v>
      </c>
      <c r="B1941" s="0" t="n">
        <f aca="false">IF('Boletins Nuppa Site'!A1941&lt;&gt;0,'Boletins Nuppa Site'!A1941,"NULL")</f>
        <v>86</v>
      </c>
      <c r="C1941" s="0" t="n">
        <v>30</v>
      </c>
      <c r="D1941" s="0" t="str">
        <f aca="false">IF('Boletins Nuppa Site'!G1941&lt;&gt;0,'Boletins Nuppa Site'!G1941,"NULL")</f>
        <v> 70.00</v>
      </c>
      <c r="E1941" s="30" t="str">
        <f aca="false">IF('Boletins Nuppa Site'!H1941&lt;&gt;0,'Boletins Nuppa Site'!H1941,"NULL")</f>
        <v> 90.00</v>
      </c>
      <c r="F1941" s="30" t="str">
        <f aca="false">IF('Boletins Nuppa Site'!I1941&lt;&gt;0,'Boletins Nuppa Site'!I1941,"NULL")</f>
        <v> 80.00</v>
      </c>
      <c r="G1941" s="30" t="str">
        <f aca="false">IF('Boletins Nuppa Site'!J1941&lt;&gt;0,'Boletins Nuppa Site'!J1941,"NULL")</f>
        <v> 90.00</v>
      </c>
      <c r="H1941" s="30" t="str">
        <f aca="false">IF('Boletins Nuppa Site'!K1941&lt;&gt;0,'Boletins Nuppa Site'!K1941,"NULL")</f>
        <v> 85.00</v>
      </c>
      <c r="I1941" s="0" t="str">
        <f aca="false">"INSERT INTO COTACAO (cot_id, cot_blt_id, cot_pap_id, cot_prc_comum, cot_prc_min, cot_prc_max, cot_prc_med, cot_prc_mediana) VALUES ("&amp;A1941&amp;", "&amp;B1941&amp;", "&amp;C1941&amp;", "&amp;D1941&amp;", "&amp;E1941&amp;", "&amp;F1941&amp;", "&amp;G1941&amp;", "&amp;H1941&amp;");"</f>
        <v>INSERT INTO COTACAO (cot_id, cot_blt_id, cot_pap_id, cot_prc_comum, cot_prc_min, cot_prc_max, cot_prc_med, cot_prc_mediana) VALUES (1940, 86, 30,  70.00,  90.00,  80.00,  90.00,  85.00);</v>
      </c>
      <c r="J1941" s="0" t="str">
        <f aca="false">"UPDATE COTACAO SET cot_id = "&amp;A1941&amp;", cot_blt_id = "&amp;B1941&amp;", cot_pap_id = "&amp;C1941&amp;", cot_prc_comum = "&amp;D1941&amp;", cot_prc_min = "&amp;E1941&amp;", cot_prc_max = "&amp;F1941&amp;", cot_prc_med = "&amp;G1941&amp;", cot_prc_mediana = "&amp;H1941&amp;" WHERE cot_id = "&amp;A1941&amp;";"</f>
        <v>UPDATE COTACAO SET cot_id = 1940, cot_blt_id = 86, cot_pap_id = 30, cot_prc_comum =  70.00, cot_prc_min =  90.00, cot_prc_max =  80.00, cot_prc_med =  90.00, cot_prc_mediana =  85.00 WHERE cot_id = 1940;</v>
      </c>
    </row>
    <row r="1942" customFormat="false" ht="14.25" hidden="false" customHeight="false" outlineLevel="0" collapsed="false">
      <c r="A1942" s="0" t="n">
        <v>1941</v>
      </c>
      <c r="B1942" s="0" t="n">
        <f aca="false">IF('Boletins Nuppa Site'!A1942&lt;&gt;0,'Boletins Nuppa Site'!A1942,"NULL")</f>
        <v>86</v>
      </c>
      <c r="C1942" s="0" t="n">
        <v>31</v>
      </c>
      <c r="D1942" s="0" t="str">
        <f aca="false">IF('Boletins Nuppa Site'!G1942&lt;&gt;0,'Boletins Nuppa Site'!G1942,"NULL")</f>
        <v>NULL</v>
      </c>
      <c r="E1942" s="30" t="str">
        <f aca="false">IF('Boletins Nuppa Site'!H1942&lt;&gt;0,'Boletins Nuppa Site'!H1942,"NULL")</f>
        <v> 90.00</v>
      </c>
      <c r="F1942" s="30" t="str">
        <f aca="false">IF('Boletins Nuppa Site'!I1942&lt;&gt;0,'Boletins Nuppa Site'!I1942,"NULL")</f>
        <v> 90.00</v>
      </c>
      <c r="G1942" s="30" t="str">
        <f aca="false">IF('Boletins Nuppa Site'!J1942&lt;&gt;0,'Boletins Nuppa Site'!J1942,"NULL")</f>
        <v> 90.00</v>
      </c>
      <c r="H1942" s="30" t="str">
        <f aca="false">IF('Boletins Nuppa Site'!K1942&lt;&gt;0,'Boletins Nuppa Site'!K1942,"NULL")</f>
        <v> 90.00</v>
      </c>
      <c r="I1942" s="0" t="str">
        <f aca="false">"INSERT INTO COTACAO (cot_id, cot_blt_id, cot_pap_id, cot_prc_comum, cot_prc_min, cot_prc_max, cot_prc_med, cot_prc_mediana) VALUES ("&amp;A1942&amp;", "&amp;B1942&amp;", "&amp;C1942&amp;", "&amp;D1942&amp;", "&amp;E1942&amp;", "&amp;F1942&amp;", "&amp;G1942&amp;", "&amp;H1942&amp;");"</f>
        <v>INSERT INTO COTACAO (cot_id, cot_blt_id, cot_pap_id, cot_prc_comum, cot_prc_min, cot_prc_max, cot_prc_med, cot_prc_mediana) VALUES (1941, 86, 31, NULL,  90.00,  90.00,  90.00,  90.00);</v>
      </c>
      <c r="J1942" s="0" t="str">
        <f aca="false">"UPDATE COTACAO SET cot_id = "&amp;A1942&amp;", cot_blt_id = "&amp;B1942&amp;", cot_pap_id = "&amp;C1942&amp;", cot_prc_comum = "&amp;D1942&amp;", cot_prc_min = "&amp;E1942&amp;", cot_prc_max = "&amp;F1942&amp;", cot_prc_med = "&amp;G1942&amp;", cot_prc_mediana = "&amp;H1942&amp;" WHERE cot_id = "&amp;A1942&amp;";"</f>
        <v>UPDATE COTACAO SET cot_id = 1941, cot_blt_id = 86, cot_pap_id = 31, cot_prc_comum = NULL, cot_prc_min =  90.00, cot_prc_max =  90.00, cot_prc_med =  90.00, cot_prc_mediana =  90.00 WHERE cot_id = 1941;</v>
      </c>
    </row>
    <row r="1943" customFormat="false" ht="14.25" hidden="false" customHeight="false" outlineLevel="0" collapsed="false">
      <c r="A1943" s="0" t="n">
        <v>1942</v>
      </c>
      <c r="B1943" s="0" t="n">
        <f aca="false">IF('Boletins Nuppa Site'!A1943&lt;&gt;0,'Boletins Nuppa Site'!A1943,"NULL")</f>
        <v>86</v>
      </c>
      <c r="C1943" s="0" t="n">
        <v>32</v>
      </c>
      <c r="D1943" s="0" t="str">
        <f aca="false">IF('Boletins Nuppa Site'!G1943&lt;&gt;0,'Boletins Nuppa Site'!G1943,"NULL")</f>
        <v> 30.00</v>
      </c>
      <c r="E1943" s="30" t="str">
        <f aca="false">IF('Boletins Nuppa Site'!H1943&lt;&gt;0,'Boletins Nuppa Site'!H1943,"NULL")</f>
        <v> 30.00</v>
      </c>
      <c r="F1943" s="30" t="str">
        <f aca="false">IF('Boletins Nuppa Site'!I1943&lt;&gt;0,'Boletins Nuppa Site'!I1943,"NULL")</f>
        <v> 45.00</v>
      </c>
      <c r="G1943" s="30" t="str">
        <f aca="false">IF('Boletins Nuppa Site'!J1943&lt;&gt;0,'Boletins Nuppa Site'!J1943,"NULL")</f>
        <v> 36.25</v>
      </c>
      <c r="H1943" s="30" t="str">
        <f aca="false">IF('Boletins Nuppa Site'!K1943&lt;&gt;0,'Boletins Nuppa Site'!K1943,"NULL")</f>
        <v> 35.00</v>
      </c>
      <c r="I1943" s="0" t="str">
        <f aca="false">"INSERT INTO COTACAO (cot_id, cot_blt_id, cot_pap_id, cot_prc_comum, cot_prc_min, cot_prc_max, cot_prc_med, cot_prc_mediana) VALUES ("&amp;A1943&amp;", "&amp;B1943&amp;", "&amp;C1943&amp;", "&amp;D1943&amp;", "&amp;E1943&amp;", "&amp;F1943&amp;", "&amp;G1943&amp;", "&amp;H1943&amp;");"</f>
        <v>INSERT INTO COTACAO (cot_id, cot_blt_id, cot_pap_id, cot_prc_comum, cot_prc_min, cot_prc_max, cot_prc_med, cot_prc_mediana) VALUES (1942, 86, 32,  30.00,  30.00,  45.00,  36.25,  35.00);</v>
      </c>
      <c r="J1943" s="0" t="str">
        <f aca="false">"UPDATE COTACAO SET cot_id = "&amp;A1943&amp;", cot_blt_id = "&amp;B1943&amp;", cot_pap_id = "&amp;C1943&amp;", cot_prc_comum = "&amp;D1943&amp;", cot_prc_min = "&amp;E1943&amp;", cot_prc_max = "&amp;F1943&amp;", cot_prc_med = "&amp;G1943&amp;", cot_prc_mediana = "&amp;H1943&amp;" WHERE cot_id = "&amp;A1943&amp;";"</f>
        <v>UPDATE COTACAO SET cot_id = 1942, cot_blt_id = 86, cot_pap_id = 32, cot_prc_comum =  30.00, cot_prc_min =  30.00, cot_prc_max =  45.00, cot_prc_med =  36.25, cot_prc_mediana =  35.00 WHERE cot_id = 1942;</v>
      </c>
    </row>
    <row r="1944" customFormat="false" ht="14.25" hidden="false" customHeight="false" outlineLevel="0" collapsed="false">
      <c r="A1944" s="0" t="n">
        <v>1943</v>
      </c>
      <c r="B1944" s="0" t="n">
        <f aca="false">IF('Boletins Nuppa Site'!A1944&lt;&gt;0,'Boletins Nuppa Site'!A1944,"NULL")</f>
        <v>86</v>
      </c>
      <c r="C1944" s="0" t="n">
        <v>33</v>
      </c>
      <c r="D1944" s="0" t="str">
        <f aca="false">IF('Boletins Nuppa Site'!G1944&lt;&gt;0,'Boletins Nuppa Site'!G1944,"NULL")</f>
        <v> 100.00</v>
      </c>
      <c r="E1944" s="30" t="str">
        <f aca="false">IF('Boletins Nuppa Site'!H1944&lt;&gt;0,'Boletins Nuppa Site'!H1944,"NULL")</f>
        <v> 75.00</v>
      </c>
      <c r="F1944" s="30" t="str">
        <f aca="false">IF('Boletins Nuppa Site'!I1944&lt;&gt;0,'Boletins Nuppa Site'!I1944,"NULL")</f>
        <v> 100.00</v>
      </c>
      <c r="G1944" s="30" t="str">
        <f aca="false">IF('Boletins Nuppa Site'!J1944&lt;&gt;0,'Boletins Nuppa Site'!J1944,"NULL")</f>
        <v> 90.00</v>
      </c>
      <c r="H1944" s="30" t="str">
        <f aca="false">IF('Boletins Nuppa Site'!K1944&lt;&gt;0,'Boletins Nuppa Site'!K1944,"NULL")</f>
        <v> 88.75</v>
      </c>
      <c r="I1944" s="0" t="str">
        <f aca="false">"INSERT INTO COTACAO (cot_id, cot_blt_id, cot_pap_id, cot_prc_comum, cot_prc_min, cot_prc_max, cot_prc_med, cot_prc_mediana) VALUES ("&amp;A1944&amp;", "&amp;B1944&amp;", "&amp;C1944&amp;", "&amp;D1944&amp;", "&amp;E1944&amp;", "&amp;F1944&amp;", "&amp;G1944&amp;", "&amp;H1944&amp;");"</f>
        <v>INSERT INTO COTACAO (cot_id, cot_blt_id, cot_pap_id, cot_prc_comum, cot_prc_min, cot_prc_max, cot_prc_med, cot_prc_mediana) VALUES (1943, 86, 33,  100.00,  75.00,  100.00,  90.00,  88.75);</v>
      </c>
      <c r="J1944" s="0" t="str">
        <f aca="false">"UPDATE COTACAO SET cot_id = "&amp;A1944&amp;", cot_blt_id = "&amp;B1944&amp;", cot_pap_id = "&amp;C1944&amp;", cot_prc_comum = "&amp;D1944&amp;", cot_prc_min = "&amp;E1944&amp;", cot_prc_max = "&amp;F1944&amp;", cot_prc_med = "&amp;G1944&amp;", cot_prc_mediana = "&amp;H1944&amp;" WHERE cot_id = "&amp;A1944&amp;";"</f>
        <v>UPDATE COTACAO SET cot_id = 1943, cot_blt_id = 86, cot_pap_id = 33, cot_prc_comum =  100.00, cot_prc_min =  75.00, cot_prc_max =  100.00, cot_prc_med =  90.00, cot_prc_mediana =  88.75 WHERE cot_id = 1943;</v>
      </c>
    </row>
    <row r="1945" customFormat="false" ht="14.25" hidden="false" customHeight="false" outlineLevel="0" collapsed="false">
      <c r="A1945" s="0" t="n">
        <v>1944</v>
      </c>
      <c r="B1945" s="0" t="n">
        <f aca="false">IF('Boletins Nuppa Site'!A1945&lt;&gt;0,'Boletins Nuppa Site'!A1945,"NULL")</f>
        <v>86</v>
      </c>
      <c r="C1945" s="0" t="n">
        <v>34</v>
      </c>
      <c r="D1945" s="0" t="str">
        <f aca="false">IF('Boletins Nuppa Site'!G1945&lt;&gt;0,'Boletins Nuppa Site'!G1945,"NULL")</f>
        <v> 70.00</v>
      </c>
      <c r="E1945" s="30" t="str">
        <f aca="false">IF('Boletins Nuppa Site'!H1945&lt;&gt;0,'Boletins Nuppa Site'!H1945,"NULL")</f>
        <v> 50.00</v>
      </c>
      <c r="F1945" s="30" t="str">
        <f aca="false">IF('Boletins Nuppa Site'!I1945&lt;&gt;0,'Boletins Nuppa Site'!I1945,"NULL")</f>
        <v> 70.00</v>
      </c>
      <c r="G1945" s="30" t="str">
        <f aca="false">IF('Boletins Nuppa Site'!J1945&lt;&gt;0,'Boletins Nuppa Site'!J1945,"NULL")</f>
        <v> 62.50</v>
      </c>
      <c r="H1945" s="30" t="str">
        <f aca="false">IF('Boletins Nuppa Site'!K1945&lt;&gt;0,'Boletins Nuppa Site'!K1945,"NULL")</f>
        <v> 65.00</v>
      </c>
      <c r="I1945" s="0" t="str">
        <f aca="false">"INSERT INTO COTACAO (cot_id, cot_blt_id, cot_pap_id, cot_prc_comum, cot_prc_min, cot_prc_max, cot_prc_med, cot_prc_mediana) VALUES ("&amp;A1945&amp;", "&amp;B1945&amp;", "&amp;C1945&amp;", "&amp;D1945&amp;", "&amp;E1945&amp;", "&amp;F1945&amp;", "&amp;G1945&amp;", "&amp;H1945&amp;");"</f>
        <v>INSERT INTO COTACAO (cot_id, cot_blt_id, cot_pap_id, cot_prc_comum, cot_prc_min, cot_prc_max, cot_prc_med, cot_prc_mediana) VALUES (1944, 86, 34,  70.00,  50.00,  70.00,  62.50,  65.00);</v>
      </c>
      <c r="J1945" s="0" t="str">
        <f aca="false">"UPDATE COTACAO SET cot_id = "&amp;A1945&amp;", cot_blt_id = "&amp;B1945&amp;", cot_pap_id = "&amp;C1945&amp;", cot_prc_comum = "&amp;D1945&amp;", cot_prc_min = "&amp;E1945&amp;", cot_prc_max = "&amp;F1945&amp;", cot_prc_med = "&amp;G1945&amp;", cot_prc_mediana = "&amp;H1945&amp;" WHERE cot_id = "&amp;A1945&amp;";"</f>
        <v>UPDATE COTACAO SET cot_id = 1944, cot_blt_id = 86, cot_pap_id = 34, cot_prc_comum =  70.00, cot_prc_min =  50.00, cot_prc_max =  70.00, cot_prc_med =  62.50, cot_prc_mediana =  65.00 WHERE cot_id = 1944;</v>
      </c>
    </row>
    <row r="1946" customFormat="false" ht="14.25" hidden="false" customHeight="false" outlineLevel="0" collapsed="false">
      <c r="A1946" s="0" t="n">
        <v>1945</v>
      </c>
      <c r="B1946" s="0" t="n">
        <f aca="false">IF('Boletins Nuppa Site'!A1946&lt;&gt;0,'Boletins Nuppa Site'!A1946,"NULL")</f>
        <v>86</v>
      </c>
      <c r="C1946" s="0" t="n">
        <v>35</v>
      </c>
      <c r="D1946" s="0" t="str">
        <f aca="false">IF('Boletins Nuppa Site'!G1946&lt;&gt;0,'Boletins Nuppa Site'!G1946,"NULL")</f>
        <v>NULL</v>
      </c>
      <c r="E1946" s="30" t="str">
        <f aca="false">IF('Boletins Nuppa Site'!H1946&lt;&gt;0,'Boletins Nuppa Site'!H1946,"NULL")</f>
        <v> 50.00</v>
      </c>
      <c r="F1946" s="30" t="str">
        <f aca="false">IF('Boletins Nuppa Site'!I1946&lt;&gt;0,'Boletins Nuppa Site'!I1946,"NULL")</f>
        <v> 80.00</v>
      </c>
      <c r="G1946" s="30" t="str">
        <f aca="false">IF('Boletins Nuppa Site'!J1946&lt;&gt;0,'Boletins Nuppa Site'!J1946,"NULL")</f>
        <v> 66.67</v>
      </c>
      <c r="H1946" s="30" t="str">
        <f aca="false">IF('Boletins Nuppa Site'!K1946&lt;&gt;0,'Boletins Nuppa Site'!K1946,"NULL")</f>
        <v> 70.00</v>
      </c>
      <c r="I1946" s="0" t="str">
        <f aca="false">"INSERT INTO COTACAO (cot_id, cot_blt_id, cot_pap_id, cot_prc_comum, cot_prc_min, cot_prc_max, cot_prc_med, cot_prc_mediana) VALUES ("&amp;A1946&amp;", "&amp;B1946&amp;", "&amp;C1946&amp;", "&amp;D1946&amp;", "&amp;E1946&amp;", "&amp;F1946&amp;", "&amp;G1946&amp;", "&amp;H1946&amp;");"</f>
        <v>INSERT INTO COTACAO (cot_id, cot_blt_id, cot_pap_id, cot_prc_comum, cot_prc_min, cot_prc_max, cot_prc_med, cot_prc_mediana) VALUES (1945, 86, 35, NULL,  50.00,  80.00,  66.67,  70.00);</v>
      </c>
      <c r="J1946" s="0" t="str">
        <f aca="false">"UPDATE COTACAO SET cot_id = "&amp;A1946&amp;", cot_blt_id = "&amp;B1946&amp;", cot_pap_id = "&amp;C1946&amp;", cot_prc_comum = "&amp;D1946&amp;", cot_prc_min = "&amp;E1946&amp;", cot_prc_max = "&amp;F1946&amp;", cot_prc_med = "&amp;G1946&amp;", cot_prc_mediana = "&amp;H1946&amp;" WHERE cot_id = "&amp;A1946&amp;";"</f>
        <v>UPDATE COTACAO SET cot_id = 1945, cot_blt_id = 86, cot_pap_id = 35, cot_prc_comum = NULL, cot_prc_min =  50.00, cot_prc_max =  80.00, cot_prc_med =  66.67, cot_prc_mediana =  70.00 WHERE cot_id = 1945;</v>
      </c>
    </row>
    <row r="1947" customFormat="false" ht="14.25" hidden="false" customHeight="false" outlineLevel="0" collapsed="false">
      <c r="A1947" s="0" t="n">
        <v>1946</v>
      </c>
      <c r="B1947" s="0" t="n">
        <f aca="false">IF('Boletins Nuppa Site'!A1947&lt;&gt;0,'Boletins Nuppa Site'!A1947,"NULL")</f>
        <v>86</v>
      </c>
      <c r="C1947" s="0" t="n">
        <v>36</v>
      </c>
      <c r="D1947" s="0" t="str">
        <f aca="false">IF('Boletins Nuppa Site'!G1947&lt;&gt;0,'Boletins Nuppa Site'!G1947,"NULL")</f>
        <v>NULL</v>
      </c>
      <c r="E1947" s="30" t="str">
        <f aca="false">IF('Boletins Nuppa Site'!H1947&lt;&gt;0,'Boletins Nuppa Site'!H1947,"NULL")</f>
        <v>NULL</v>
      </c>
      <c r="F1947" s="30" t="str">
        <f aca="false">IF('Boletins Nuppa Site'!I1947&lt;&gt;0,'Boletins Nuppa Site'!I1947,"NULL")</f>
        <v>NULL</v>
      </c>
      <c r="G1947" s="30" t="str">
        <f aca="false">IF('Boletins Nuppa Site'!J1947&lt;&gt;0,'Boletins Nuppa Site'!J1947,"NULL")</f>
        <v>NULL</v>
      </c>
      <c r="H1947" s="30" t="str">
        <f aca="false">IF('Boletins Nuppa Site'!K1947&lt;&gt;0,'Boletins Nuppa Site'!K1947,"NULL")</f>
        <v>NULL</v>
      </c>
      <c r="I1947" s="0" t="str">
        <f aca="false">"INSERT INTO COTACAO (cot_id, cot_blt_id, cot_pap_id, cot_prc_comum, cot_prc_min, cot_prc_max, cot_prc_med, cot_prc_mediana) VALUES ("&amp;A1947&amp;", "&amp;B1947&amp;", "&amp;C1947&amp;", "&amp;D1947&amp;", "&amp;E1947&amp;", "&amp;F1947&amp;", "&amp;G1947&amp;", "&amp;H1947&amp;");"</f>
        <v>INSERT INTO COTACAO (cot_id, cot_blt_id, cot_pap_id, cot_prc_comum, cot_prc_min, cot_prc_max, cot_prc_med, cot_prc_mediana) VALUES (1946, 86, 36, NULL, NULL, NULL, NULL, NULL);</v>
      </c>
      <c r="J1947" s="0" t="str">
        <f aca="false">"UPDATE COTACAO SET cot_id = "&amp;A1947&amp;", cot_blt_id = "&amp;B1947&amp;", cot_pap_id = "&amp;C1947&amp;", cot_prc_comum = "&amp;D1947&amp;", cot_prc_min = "&amp;E1947&amp;", cot_prc_max = "&amp;F1947&amp;", cot_prc_med = "&amp;G1947&amp;", cot_prc_mediana = "&amp;H1947&amp;" WHERE cot_id = "&amp;A1947&amp;";"</f>
        <v>UPDATE COTACAO SET cot_id = 1946, cot_blt_id = 86, cot_pap_id = 36, cot_prc_comum = NULL, cot_prc_min = NULL, cot_prc_max = NULL, cot_prc_med = NULL, cot_prc_mediana = NULL WHERE cot_id = 1946;</v>
      </c>
    </row>
    <row r="1948" customFormat="false" ht="14.25" hidden="false" customHeight="false" outlineLevel="0" collapsed="false">
      <c r="A1948" s="0" t="n">
        <v>1947</v>
      </c>
      <c r="B1948" s="0" t="n">
        <f aca="false">IF('Boletins Nuppa Site'!A1948&lt;&gt;0,'Boletins Nuppa Site'!A1948,"NULL")</f>
        <v>86</v>
      </c>
      <c r="C1948" s="0" t="n">
        <v>37</v>
      </c>
      <c r="D1948" s="0" t="str">
        <f aca="false">IF('Boletins Nuppa Site'!G1948&lt;&gt;0,'Boletins Nuppa Site'!G1948,"NULL")</f>
        <v>NULL</v>
      </c>
      <c r="E1948" s="30" t="str">
        <f aca="false">IF('Boletins Nuppa Site'!H1948&lt;&gt;0,'Boletins Nuppa Site'!H1948,"NULL")</f>
        <v>NULL</v>
      </c>
      <c r="F1948" s="30" t="str">
        <f aca="false">IF('Boletins Nuppa Site'!I1948&lt;&gt;0,'Boletins Nuppa Site'!I1948,"NULL")</f>
        <v>NULL</v>
      </c>
      <c r="G1948" s="30" t="str">
        <f aca="false">IF('Boletins Nuppa Site'!J1948&lt;&gt;0,'Boletins Nuppa Site'!J1948,"NULL")</f>
        <v>NULL</v>
      </c>
      <c r="H1948" s="30" t="str">
        <f aca="false">IF('Boletins Nuppa Site'!K1948&lt;&gt;0,'Boletins Nuppa Site'!K1948,"NULL")</f>
        <v>NULL</v>
      </c>
      <c r="I1948" s="0" t="str">
        <f aca="false">"INSERT INTO COTACAO (cot_id, cot_blt_id, cot_pap_id, cot_prc_comum, cot_prc_min, cot_prc_max, cot_prc_med, cot_prc_mediana) VALUES ("&amp;A1948&amp;", "&amp;B1948&amp;", "&amp;C1948&amp;", "&amp;D1948&amp;", "&amp;E1948&amp;", "&amp;F1948&amp;", "&amp;G1948&amp;", "&amp;H1948&amp;");"</f>
        <v>INSERT INTO COTACAO (cot_id, cot_blt_id, cot_pap_id, cot_prc_comum, cot_prc_min, cot_prc_max, cot_prc_med, cot_prc_mediana) VALUES (1947, 86, 37, NULL, NULL, NULL, NULL, NULL);</v>
      </c>
      <c r="J1948" s="0" t="str">
        <f aca="false">"UPDATE COTACAO SET cot_id = "&amp;A1948&amp;", cot_blt_id = "&amp;B1948&amp;", cot_pap_id = "&amp;C1948&amp;", cot_prc_comum = "&amp;D1948&amp;", cot_prc_min = "&amp;E1948&amp;", cot_prc_max = "&amp;F1948&amp;", cot_prc_med = "&amp;G1948&amp;", cot_prc_mediana = "&amp;H1948&amp;" WHERE cot_id = "&amp;A1948&amp;";"</f>
        <v>UPDATE COTACAO SET cot_id = 1947, cot_blt_id = 86, cot_pap_id = 37, cot_prc_comum = NULL, cot_prc_min = NULL, cot_prc_max = NULL, cot_prc_med = NULL, cot_prc_mediana = NULL WHERE cot_id = 1947;</v>
      </c>
    </row>
    <row r="1949" customFormat="false" ht="14.25" hidden="false" customHeight="false" outlineLevel="0" collapsed="false">
      <c r="A1949" s="0" t="n">
        <v>1948</v>
      </c>
      <c r="B1949" s="0" t="n">
        <f aca="false">IF('Boletins Nuppa Site'!A1949&lt;&gt;0,'Boletins Nuppa Site'!A1949,"NULL")</f>
        <v>86</v>
      </c>
      <c r="C1949" s="0" t="n">
        <v>38</v>
      </c>
      <c r="D1949" s="0" t="str">
        <f aca="false">IF('Boletins Nuppa Site'!G1949&lt;&gt;0,'Boletins Nuppa Site'!G1949,"NULL")</f>
        <v>NULL</v>
      </c>
      <c r="E1949" s="30" t="str">
        <f aca="false">IF('Boletins Nuppa Site'!H1949&lt;&gt;0,'Boletins Nuppa Site'!H1949,"NULL")</f>
        <v>NULL</v>
      </c>
      <c r="F1949" s="30" t="str">
        <f aca="false">IF('Boletins Nuppa Site'!I1949&lt;&gt;0,'Boletins Nuppa Site'!I1949,"NULL")</f>
        <v>NULL</v>
      </c>
      <c r="G1949" s="30" t="str">
        <f aca="false">IF('Boletins Nuppa Site'!J1949&lt;&gt;0,'Boletins Nuppa Site'!J1949,"NULL")</f>
        <v>NULL</v>
      </c>
      <c r="H1949" s="30" t="str">
        <f aca="false">IF('Boletins Nuppa Site'!K1949&lt;&gt;0,'Boletins Nuppa Site'!K1949,"NULL")</f>
        <v>NULL</v>
      </c>
      <c r="I1949" s="0" t="str">
        <f aca="false">"INSERT INTO COTACAO (cot_id, cot_blt_id, cot_pap_id, cot_prc_comum, cot_prc_min, cot_prc_max, cot_prc_med, cot_prc_mediana) VALUES ("&amp;A1949&amp;", "&amp;B1949&amp;", "&amp;C1949&amp;", "&amp;D1949&amp;", "&amp;E1949&amp;", "&amp;F1949&amp;", "&amp;G1949&amp;", "&amp;H1949&amp;");"</f>
        <v>INSERT INTO COTACAO (cot_id, cot_blt_id, cot_pap_id, cot_prc_comum, cot_prc_min, cot_prc_max, cot_prc_med, cot_prc_mediana) VALUES (1948, 86, 38, NULL, NULL, NULL, NULL, NULL);</v>
      </c>
      <c r="J1949" s="0" t="str">
        <f aca="false">"UPDATE COTACAO SET cot_id = "&amp;A1949&amp;", cot_blt_id = "&amp;B1949&amp;", cot_pap_id = "&amp;C1949&amp;", cot_prc_comum = "&amp;D1949&amp;", cot_prc_min = "&amp;E1949&amp;", cot_prc_max = "&amp;F1949&amp;", cot_prc_med = "&amp;G1949&amp;", cot_prc_mediana = "&amp;H1949&amp;" WHERE cot_id = "&amp;A1949&amp;";"</f>
        <v>UPDATE COTACAO SET cot_id = 1948, cot_blt_id = 86, cot_pap_id = 38, cot_prc_comum = NULL, cot_prc_min = NULL, cot_prc_max = NULL, cot_prc_med = NULL, cot_prc_mediana = NULL WHERE cot_id = 1948;</v>
      </c>
    </row>
    <row r="1950" customFormat="false" ht="14.25" hidden="false" customHeight="false" outlineLevel="0" collapsed="false">
      <c r="A1950" s="0" t="n">
        <v>1949</v>
      </c>
      <c r="B1950" s="0" t="n">
        <f aca="false">IF('Boletins Nuppa Site'!A1950&lt;&gt;0,'Boletins Nuppa Site'!A1950,"NULL")</f>
        <v>86</v>
      </c>
      <c r="C1950" s="0" t="n">
        <v>39</v>
      </c>
      <c r="D1950" s="0" t="str">
        <f aca="false">IF('Boletins Nuppa Site'!G1950&lt;&gt;0,'Boletins Nuppa Site'!G1950,"NULL")</f>
        <v>NULL</v>
      </c>
      <c r="E1950" s="30" t="str">
        <f aca="false">IF('Boletins Nuppa Site'!H1950&lt;&gt;0,'Boletins Nuppa Site'!H1950,"NULL")</f>
        <v>NULL</v>
      </c>
      <c r="F1950" s="30" t="str">
        <f aca="false">IF('Boletins Nuppa Site'!I1950&lt;&gt;0,'Boletins Nuppa Site'!I1950,"NULL")</f>
        <v>NULL</v>
      </c>
      <c r="G1950" s="30" t="str">
        <f aca="false">IF('Boletins Nuppa Site'!J1950&lt;&gt;0,'Boletins Nuppa Site'!J1950,"NULL")</f>
        <v>NULL</v>
      </c>
      <c r="H1950" s="30" t="str">
        <f aca="false">IF('Boletins Nuppa Site'!K1950&lt;&gt;0,'Boletins Nuppa Site'!K1950,"NULL")</f>
        <v>NULL</v>
      </c>
      <c r="I1950" s="0" t="str">
        <f aca="false">"INSERT INTO COTACAO (cot_id, cot_blt_id, cot_pap_id, cot_prc_comum, cot_prc_min, cot_prc_max, cot_prc_med, cot_prc_mediana) VALUES ("&amp;A1950&amp;", "&amp;B1950&amp;", "&amp;C1950&amp;", "&amp;D1950&amp;", "&amp;E1950&amp;", "&amp;F1950&amp;", "&amp;G1950&amp;", "&amp;H1950&amp;");"</f>
        <v>INSERT INTO COTACAO (cot_id, cot_blt_id, cot_pap_id, cot_prc_comum, cot_prc_min, cot_prc_max, cot_prc_med, cot_prc_mediana) VALUES (1949, 86, 39, NULL, NULL, NULL, NULL, NULL);</v>
      </c>
      <c r="J1950" s="0" t="str">
        <f aca="false">"UPDATE COTACAO SET cot_id = "&amp;A1950&amp;", cot_blt_id = "&amp;B1950&amp;", cot_pap_id = "&amp;C1950&amp;", cot_prc_comum = "&amp;D1950&amp;", cot_prc_min = "&amp;E1950&amp;", cot_prc_max = "&amp;F1950&amp;", cot_prc_med = "&amp;G1950&amp;", cot_prc_mediana = "&amp;H1950&amp;" WHERE cot_id = "&amp;A1950&amp;";"</f>
        <v>UPDATE COTACAO SET cot_id = 1949, cot_blt_id = 86, cot_pap_id = 39, cot_prc_comum = NULL, cot_prc_min = NULL, cot_prc_max = NULL, cot_prc_med = NULL, cot_prc_mediana = NULL WHERE cot_id = 1949;</v>
      </c>
    </row>
    <row r="1951" customFormat="false" ht="14.25" hidden="false" customHeight="false" outlineLevel="0" collapsed="false">
      <c r="A1951" s="0" t="n">
        <v>1950</v>
      </c>
      <c r="B1951" s="0" t="n">
        <f aca="false">IF('Boletins Nuppa Site'!A1951&lt;&gt;0,'Boletins Nuppa Site'!A1951,"NULL")</f>
        <v>86</v>
      </c>
      <c r="C1951" s="0" t="n">
        <v>40</v>
      </c>
      <c r="D1951" s="0" t="str">
        <f aca="false">IF('Boletins Nuppa Site'!G1951&lt;&gt;0,'Boletins Nuppa Site'!G1951,"NULL")</f>
        <v>NULL</v>
      </c>
      <c r="E1951" s="30" t="str">
        <f aca="false">IF('Boletins Nuppa Site'!H1951&lt;&gt;0,'Boletins Nuppa Site'!H1951,"NULL")</f>
        <v>NULL</v>
      </c>
      <c r="F1951" s="30" t="str">
        <f aca="false">IF('Boletins Nuppa Site'!I1951&lt;&gt;0,'Boletins Nuppa Site'!I1951,"NULL")</f>
        <v>NULL</v>
      </c>
      <c r="G1951" s="30" t="str">
        <f aca="false">IF('Boletins Nuppa Site'!J1951&lt;&gt;0,'Boletins Nuppa Site'!J1951,"NULL")</f>
        <v>NULL</v>
      </c>
      <c r="H1951" s="30" t="str">
        <f aca="false">IF('Boletins Nuppa Site'!K1951&lt;&gt;0,'Boletins Nuppa Site'!K1951,"NULL")</f>
        <v>NULL</v>
      </c>
      <c r="I1951" s="0" t="str">
        <f aca="false">"INSERT INTO COTACAO (cot_id, cot_blt_id, cot_pap_id, cot_prc_comum, cot_prc_min, cot_prc_max, cot_prc_med, cot_prc_mediana) VALUES ("&amp;A1951&amp;", "&amp;B1951&amp;", "&amp;C1951&amp;", "&amp;D1951&amp;", "&amp;E1951&amp;", "&amp;F1951&amp;", "&amp;G1951&amp;", "&amp;H1951&amp;");"</f>
        <v>INSERT INTO COTACAO (cot_id, cot_blt_id, cot_pap_id, cot_prc_comum, cot_prc_min, cot_prc_max, cot_prc_med, cot_prc_mediana) VALUES (1950, 86, 40, NULL, NULL, NULL, NULL, NULL);</v>
      </c>
      <c r="J1951" s="0" t="str">
        <f aca="false">"UPDATE COTACAO SET cot_id = "&amp;A1951&amp;", cot_blt_id = "&amp;B1951&amp;", cot_pap_id = "&amp;C1951&amp;", cot_prc_comum = "&amp;D1951&amp;", cot_prc_min = "&amp;E1951&amp;", cot_prc_max = "&amp;F1951&amp;", cot_prc_med = "&amp;G1951&amp;", cot_prc_mediana = "&amp;H1951&amp;" WHERE cot_id = "&amp;A1951&amp;";"</f>
        <v>UPDATE COTACAO SET cot_id = 1950, cot_blt_id = 86, cot_pap_id = 40, cot_prc_comum = NULL, cot_prc_min = NULL, cot_prc_max = NULL, cot_prc_med = NULL, cot_prc_mediana = NULL WHERE cot_id = 1950;</v>
      </c>
    </row>
    <row r="1952" customFormat="false" ht="14.25" hidden="false" customHeight="false" outlineLevel="0" collapsed="false">
      <c r="A1952" s="0" t="n">
        <v>1951</v>
      </c>
      <c r="B1952" s="0" t="n">
        <f aca="false">IF('Boletins Nuppa Site'!A1952&lt;&gt;0,'Boletins Nuppa Site'!A1952,"NULL")</f>
        <v>87</v>
      </c>
      <c r="C1952" s="0" t="n">
        <v>1</v>
      </c>
      <c r="D1952" s="0" t="str">
        <f aca="false">IF('Boletins Nuppa Site'!G1952&lt;&gt;0,'Boletins Nuppa Site'!G1952,"NULL")</f>
        <v>NULL</v>
      </c>
      <c r="E1952" s="30" t="str">
        <f aca="false">IF('Boletins Nuppa Site'!H1952&lt;&gt;0,'Boletins Nuppa Site'!H1952,"NULL")</f>
        <v> 36.00</v>
      </c>
      <c r="F1952" s="30" t="str">
        <f aca="false">IF('Boletins Nuppa Site'!I1952&lt;&gt;0,'Boletins Nuppa Site'!I1952,"NULL")</f>
        <v> 72.00</v>
      </c>
      <c r="G1952" s="30" t="str">
        <f aca="false">IF('Boletins Nuppa Site'!J1952&lt;&gt;0,'Boletins Nuppa Site'!J1952,"NULL")</f>
        <v> 54.00</v>
      </c>
      <c r="H1952" s="30" t="str">
        <f aca="false">IF('Boletins Nuppa Site'!K1952&lt;&gt;0,'Boletins Nuppa Site'!K1952,"NULL")</f>
        <v> 54.00</v>
      </c>
      <c r="I1952" s="0" t="str">
        <f aca="false">"INSERT INTO COTACAO (cot_id, cot_blt_id, cot_pap_id, cot_prc_comum, cot_prc_min, cot_prc_max, cot_prc_med, cot_prc_mediana) VALUES ("&amp;A1952&amp;", "&amp;B1952&amp;", "&amp;C1952&amp;", "&amp;D1952&amp;", "&amp;E1952&amp;", "&amp;F1952&amp;", "&amp;G1952&amp;", "&amp;H1952&amp;");"</f>
        <v>INSERT INTO COTACAO (cot_id, cot_blt_id, cot_pap_id, cot_prc_comum, cot_prc_min, cot_prc_max, cot_prc_med, cot_prc_mediana) VALUES (1951, 87, 1, NULL,  36.00,  72.00,  54.00,  54.00);</v>
      </c>
      <c r="J1952" s="0" t="str">
        <f aca="false">"UPDATE COTACAO SET cot_id = "&amp;A1952&amp;", cot_blt_id = "&amp;B1952&amp;", cot_pap_id = "&amp;C1952&amp;", cot_prc_comum = "&amp;D1952&amp;", cot_prc_min = "&amp;E1952&amp;", cot_prc_max = "&amp;F1952&amp;", cot_prc_med = "&amp;G1952&amp;", cot_prc_mediana = "&amp;H1952&amp;" WHERE cot_id = "&amp;A1952&amp;";"</f>
        <v>UPDATE COTACAO SET cot_id = 1951, cot_blt_id = 87, cot_pap_id = 1, cot_prc_comum = NULL, cot_prc_min =  36.00, cot_prc_max =  72.00, cot_prc_med =  54.00, cot_prc_mediana =  54.00 WHERE cot_id = 1951;</v>
      </c>
    </row>
    <row r="1953" customFormat="false" ht="14.25" hidden="false" customHeight="false" outlineLevel="0" collapsed="false">
      <c r="A1953" s="0" t="n">
        <v>1952</v>
      </c>
      <c r="B1953" s="0" t="n">
        <f aca="false">IF('Boletins Nuppa Site'!A1953&lt;&gt;0,'Boletins Nuppa Site'!A1953,"NULL")</f>
        <v>87</v>
      </c>
      <c r="C1953" s="0" t="n">
        <v>2</v>
      </c>
      <c r="D1953" s="0" t="str">
        <f aca="false">IF('Boletins Nuppa Site'!G1953&lt;&gt;0,'Boletins Nuppa Site'!G1953,"NULL")</f>
        <v> 96.00</v>
      </c>
      <c r="E1953" s="30" t="str">
        <f aca="false">IF('Boletins Nuppa Site'!H1953&lt;&gt;0,'Boletins Nuppa Site'!H1953,"NULL")</f>
        <v> 54.00</v>
      </c>
      <c r="F1953" s="30" t="str">
        <f aca="false">IF('Boletins Nuppa Site'!I1953&lt;&gt;0,'Boletins Nuppa Site'!I1953,"NULL")</f>
        <v> 120.00</v>
      </c>
      <c r="G1953" s="30" t="str">
        <f aca="false">IF('Boletins Nuppa Site'!J1953&lt;&gt;0,'Boletins Nuppa Site'!J1953,"NULL")</f>
        <v> 91.50</v>
      </c>
      <c r="H1953" s="30" t="str">
        <f aca="false">IF('Boletins Nuppa Site'!K1953&lt;&gt;0,'Boletins Nuppa Site'!K1953,"NULL")</f>
        <v> 96.00</v>
      </c>
      <c r="I1953" s="0" t="str">
        <f aca="false">"INSERT INTO COTACAO (cot_id, cot_blt_id, cot_pap_id, cot_prc_comum, cot_prc_min, cot_prc_max, cot_prc_med, cot_prc_mediana) VALUES ("&amp;A1953&amp;", "&amp;B1953&amp;", "&amp;C1953&amp;", "&amp;D1953&amp;", "&amp;E1953&amp;", "&amp;F1953&amp;", "&amp;G1953&amp;", "&amp;H1953&amp;");"</f>
        <v>INSERT INTO COTACAO (cot_id, cot_blt_id, cot_pap_id, cot_prc_comum, cot_prc_min, cot_prc_max, cot_prc_med, cot_prc_mediana) VALUES (1952, 87, 2,  96.00,  54.00,  120.00,  91.50,  96.00);</v>
      </c>
      <c r="J1953" s="0" t="str">
        <f aca="false">"UPDATE COTACAO SET cot_id = "&amp;A1953&amp;", cot_blt_id = "&amp;B1953&amp;", cot_pap_id = "&amp;C1953&amp;", cot_prc_comum = "&amp;D1953&amp;", cot_prc_min = "&amp;E1953&amp;", cot_prc_max = "&amp;F1953&amp;", cot_prc_med = "&amp;G1953&amp;", cot_prc_mediana = "&amp;H1953&amp;" WHERE cot_id = "&amp;A1953&amp;";"</f>
        <v>UPDATE COTACAO SET cot_id = 1952, cot_blt_id = 87, cot_pap_id = 2, cot_prc_comum =  96.00, cot_prc_min =  54.00, cot_prc_max =  120.00, cot_prc_med =  91.50, cot_prc_mediana =  96.00 WHERE cot_id = 1952;</v>
      </c>
    </row>
    <row r="1954" customFormat="false" ht="14.25" hidden="false" customHeight="false" outlineLevel="0" collapsed="false">
      <c r="A1954" s="0" t="n">
        <v>1953</v>
      </c>
      <c r="B1954" s="0" t="n">
        <f aca="false">IF('Boletins Nuppa Site'!A1954&lt;&gt;0,'Boletins Nuppa Site'!A1954,"NULL")</f>
        <v>87</v>
      </c>
      <c r="C1954" s="0" t="n">
        <v>3</v>
      </c>
      <c r="D1954" s="0" t="str">
        <f aca="false">IF('Boletins Nuppa Site'!G1954&lt;&gt;0,'Boletins Nuppa Site'!G1954,"NULL")</f>
        <v> 48.00</v>
      </c>
      <c r="E1954" s="30" t="str">
        <f aca="false">IF('Boletins Nuppa Site'!H1954&lt;&gt;0,'Boletins Nuppa Site'!H1954,"NULL")</f>
        <v> 42.00</v>
      </c>
      <c r="F1954" s="30" t="str">
        <f aca="false">IF('Boletins Nuppa Site'!I1954&lt;&gt;0,'Boletins Nuppa Site'!I1954,"NULL")</f>
        <v> 60.00</v>
      </c>
      <c r="G1954" s="30" t="str">
        <f aca="false">IF('Boletins Nuppa Site'!J1954&lt;&gt;0,'Boletins Nuppa Site'!J1954,"NULL")</f>
        <v> 49.20</v>
      </c>
      <c r="H1954" s="30" t="str">
        <f aca="false">IF('Boletins Nuppa Site'!K1954&lt;&gt;0,'Boletins Nuppa Site'!K1954,"NULL")</f>
        <v> 48.00</v>
      </c>
      <c r="I1954" s="0" t="str">
        <f aca="false">"INSERT INTO COTACAO (cot_id, cot_blt_id, cot_pap_id, cot_prc_comum, cot_prc_min, cot_prc_max, cot_prc_med, cot_prc_mediana) VALUES ("&amp;A1954&amp;", "&amp;B1954&amp;", "&amp;C1954&amp;", "&amp;D1954&amp;", "&amp;E1954&amp;", "&amp;F1954&amp;", "&amp;G1954&amp;", "&amp;H1954&amp;");"</f>
        <v>INSERT INTO COTACAO (cot_id, cot_blt_id, cot_pap_id, cot_prc_comum, cot_prc_min, cot_prc_max, cot_prc_med, cot_prc_mediana) VALUES (1953, 87, 3,  48.00,  42.00,  60.00,  49.20,  48.00);</v>
      </c>
      <c r="J1954" s="0" t="str">
        <f aca="false">"UPDATE COTACAO SET cot_id = "&amp;A1954&amp;", cot_blt_id = "&amp;B1954&amp;", cot_pap_id = "&amp;C1954&amp;", cot_prc_comum = "&amp;D1954&amp;", cot_prc_min = "&amp;E1954&amp;", cot_prc_max = "&amp;F1954&amp;", cot_prc_med = "&amp;G1954&amp;", cot_prc_mediana = "&amp;H1954&amp;" WHERE cot_id = "&amp;A1954&amp;";"</f>
        <v>UPDATE COTACAO SET cot_id = 1953, cot_blt_id = 87, cot_pap_id = 3, cot_prc_comum =  48.00, cot_prc_min =  42.00, cot_prc_max =  60.00, cot_prc_med =  49.20, cot_prc_mediana =  48.00 WHERE cot_id = 1953;</v>
      </c>
    </row>
    <row r="1955" customFormat="false" ht="14.25" hidden="false" customHeight="false" outlineLevel="0" collapsed="false">
      <c r="A1955" s="0" t="n">
        <v>1954</v>
      </c>
      <c r="B1955" s="0" t="n">
        <f aca="false">IF('Boletins Nuppa Site'!A1955&lt;&gt;0,'Boletins Nuppa Site'!A1955,"NULL")</f>
        <v>87</v>
      </c>
      <c r="C1955" s="0" t="n">
        <v>4</v>
      </c>
      <c r="D1955" s="0" t="str">
        <f aca="false">IF('Boletins Nuppa Site'!G1955&lt;&gt;0,'Boletins Nuppa Site'!G1955,"NULL")</f>
        <v> 24.00</v>
      </c>
      <c r="E1955" s="30" t="str">
        <f aca="false">IF('Boletins Nuppa Site'!H1955&lt;&gt;0,'Boletins Nuppa Site'!H1955,"NULL")</f>
        <v> 50.00</v>
      </c>
      <c r="F1955" s="30" t="str">
        <f aca="false">IF('Boletins Nuppa Site'!I1955&lt;&gt;0,'Boletins Nuppa Site'!I1955,"NULL")</f>
        <v> 24.00</v>
      </c>
      <c r="G1955" s="30" t="str">
        <f aca="false">IF('Boletins Nuppa Site'!J1955&lt;&gt;0,'Boletins Nuppa Site'!J1955,"NULL")</f>
        <v> 31.60</v>
      </c>
      <c r="H1955" s="30" t="str">
        <f aca="false">IF('Boletins Nuppa Site'!K1955&lt;&gt;0,'Boletins Nuppa Site'!K1955,"NULL")</f>
        <v> 30.00</v>
      </c>
      <c r="I1955" s="0" t="str">
        <f aca="false">"INSERT INTO COTACAO (cot_id, cot_blt_id, cot_pap_id, cot_prc_comum, cot_prc_min, cot_prc_max, cot_prc_med, cot_prc_mediana) VALUES ("&amp;A1955&amp;", "&amp;B1955&amp;", "&amp;C1955&amp;", "&amp;D1955&amp;", "&amp;E1955&amp;", "&amp;F1955&amp;", "&amp;G1955&amp;", "&amp;H1955&amp;");"</f>
        <v>INSERT INTO COTACAO (cot_id, cot_blt_id, cot_pap_id, cot_prc_comum, cot_prc_min, cot_prc_max, cot_prc_med, cot_prc_mediana) VALUES (1954, 87, 4,  24.00,  50.00,  24.00,  31.60,  30.00);</v>
      </c>
      <c r="J1955" s="0" t="str">
        <f aca="false">"UPDATE COTACAO SET cot_id = "&amp;A1955&amp;", cot_blt_id = "&amp;B1955&amp;", cot_pap_id = "&amp;C1955&amp;", cot_prc_comum = "&amp;D1955&amp;", cot_prc_min = "&amp;E1955&amp;", cot_prc_max = "&amp;F1955&amp;", cot_prc_med = "&amp;G1955&amp;", cot_prc_mediana = "&amp;H1955&amp;" WHERE cot_id = "&amp;A1955&amp;";"</f>
        <v>UPDATE COTACAO SET cot_id = 1954, cot_blt_id = 87, cot_pap_id = 4, cot_prc_comum =  24.00, cot_prc_min =  50.00, cot_prc_max =  24.00, cot_prc_med =  31.60, cot_prc_mediana =  30.00 WHERE cot_id = 1954;</v>
      </c>
    </row>
    <row r="1956" customFormat="false" ht="14.25" hidden="false" customHeight="false" outlineLevel="0" collapsed="false">
      <c r="A1956" s="0" t="n">
        <v>1955</v>
      </c>
      <c r="B1956" s="0" t="n">
        <f aca="false">IF('Boletins Nuppa Site'!A1956&lt;&gt;0,'Boletins Nuppa Site'!A1956,"NULL")</f>
        <v>87</v>
      </c>
      <c r="C1956" s="0" t="n">
        <v>5</v>
      </c>
      <c r="D1956" s="0" t="str">
        <f aca="false">IF('Boletins Nuppa Site'!G1956&lt;&gt;0,'Boletins Nuppa Site'!G1956,"NULL")</f>
        <v> 30.00</v>
      </c>
      <c r="E1956" s="30" t="str">
        <f aca="false">IF('Boletins Nuppa Site'!H1956&lt;&gt;0,'Boletins Nuppa Site'!H1956,"NULL")</f>
        <v> 30.00</v>
      </c>
      <c r="F1956" s="30" t="str">
        <f aca="false">IF('Boletins Nuppa Site'!I1956&lt;&gt;0,'Boletins Nuppa Site'!I1956,"NULL")</f>
        <v> 24.00</v>
      </c>
      <c r="G1956" s="30" t="str">
        <f aca="false">IF('Boletins Nuppa Site'!J1956&lt;&gt;0,'Boletins Nuppa Site'!J1956,"NULL")</f>
        <v> 27.60</v>
      </c>
      <c r="H1956" s="30" t="str">
        <f aca="false">IF('Boletins Nuppa Site'!K1956&lt;&gt;0,'Boletins Nuppa Site'!K1956,"NULL")</f>
        <v> 30.00</v>
      </c>
      <c r="I1956" s="0" t="str">
        <f aca="false">"INSERT INTO COTACAO (cot_id, cot_blt_id, cot_pap_id, cot_prc_comum, cot_prc_min, cot_prc_max, cot_prc_med, cot_prc_mediana) VALUES ("&amp;A1956&amp;", "&amp;B1956&amp;", "&amp;C1956&amp;", "&amp;D1956&amp;", "&amp;E1956&amp;", "&amp;F1956&amp;", "&amp;G1956&amp;", "&amp;H1956&amp;");"</f>
        <v>INSERT INTO COTACAO (cot_id, cot_blt_id, cot_pap_id, cot_prc_comum, cot_prc_min, cot_prc_max, cot_prc_med, cot_prc_mediana) VALUES (1955, 87, 5,  30.00,  30.00,  24.00,  27.60,  30.00);</v>
      </c>
      <c r="J1956" s="0" t="str">
        <f aca="false">"UPDATE COTACAO SET cot_id = "&amp;A1956&amp;", cot_blt_id = "&amp;B1956&amp;", cot_pap_id = "&amp;C1956&amp;", cot_prc_comum = "&amp;D1956&amp;", cot_prc_min = "&amp;E1956&amp;", cot_prc_max = "&amp;F1956&amp;", cot_prc_med = "&amp;G1956&amp;", cot_prc_mediana = "&amp;H1956&amp;" WHERE cot_id = "&amp;A1956&amp;";"</f>
        <v>UPDATE COTACAO SET cot_id = 1955, cot_blt_id = 87, cot_pap_id = 5, cot_prc_comum =  30.00, cot_prc_min =  30.00, cot_prc_max =  24.00, cot_prc_med =  27.60, cot_prc_mediana =  30.00 WHERE cot_id = 1955;</v>
      </c>
    </row>
    <row r="1957" customFormat="false" ht="14.25" hidden="false" customHeight="false" outlineLevel="0" collapsed="false">
      <c r="A1957" s="0" t="n">
        <v>1956</v>
      </c>
      <c r="B1957" s="0" t="n">
        <f aca="false">IF('Boletins Nuppa Site'!A1957&lt;&gt;0,'Boletins Nuppa Site'!A1957,"NULL")</f>
        <v>87</v>
      </c>
      <c r="C1957" s="0" t="n">
        <v>6</v>
      </c>
      <c r="D1957" s="0" t="str">
        <f aca="false">IF('Boletins Nuppa Site'!G1957&lt;&gt;0,'Boletins Nuppa Site'!G1957,"NULL")</f>
        <v> 60.00</v>
      </c>
      <c r="E1957" s="30" t="str">
        <f aca="false">IF('Boletins Nuppa Site'!H1957&lt;&gt;0,'Boletins Nuppa Site'!H1957,"NULL")</f>
        <v> 60.00</v>
      </c>
      <c r="F1957" s="30" t="str">
        <f aca="false">IF('Boletins Nuppa Site'!I1957&lt;&gt;0,'Boletins Nuppa Site'!I1957,"NULL")</f>
        <v> 66.00</v>
      </c>
      <c r="G1957" s="30" t="str">
        <f aca="false">IF('Boletins Nuppa Site'!J1957&lt;&gt;0,'Boletins Nuppa Site'!J1957,"NULL")</f>
        <v> 61.50</v>
      </c>
      <c r="H1957" s="30" t="str">
        <f aca="false">IF('Boletins Nuppa Site'!K1957&lt;&gt;0,'Boletins Nuppa Site'!K1957,"NULL")</f>
        <v> 60.00</v>
      </c>
      <c r="I1957" s="0" t="str">
        <f aca="false">"INSERT INTO COTACAO (cot_id, cot_blt_id, cot_pap_id, cot_prc_comum, cot_prc_min, cot_prc_max, cot_prc_med, cot_prc_mediana) VALUES ("&amp;A1957&amp;", "&amp;B1957&amp;", "&amp;C1957&amp;", "&amp;D1957&amp;", "&amp;E1957&amp;", "&amp;F1957&amp;", "&amp;G1957&amp;", "&amp;H1957&amp;");"</f>
        <v>INSERT INTO COTACAO (cot_id, cot_blt_id, cot_pap_id, cot_prc_comum, cot_prc_min, cot_prc_max, cot_prc_med, cot_prc_mediana) VALUES (1956, 87, 6,  60.00,  60.00,  66.00,  61.50,  60.00);</v>
      </c>
      <c r="J1957" s="0" t="str">
        <f aca="false">"UPDATE COTACAO SET cot_id = "&amp;A1957&amp;", cot_blt_id = "&amp;B1957&amp;", cot_pap_id = "&amp;C1957&amp;", cot_prc_comum = "&amp;D1957&amp;", cot_prc_min = "&amp;E1957&amp;", cot_prc_max = "&amp;F1957&amp;", cot_prc_med = "&amp;G1957&amp;", cot_prc_mediana = "&amp;H1957&amp;" WHERE cot_id = "&amp;A1957&amp;";"</f>
        <v>UPDATE COTACAO SET cot_id = 1956, cot_blt_id = 87, cot_pap_id = 6, cot_prc_comum =  60.00, cot_prc_min =  60.00, cot_prc_max =  66.00, cot_prc_med =  61.50, cot_prc_mediana =  60.00 WHERE cot_id = 1956;</v>
      </c>
    </row>
    <row r="1958" customFormat="false" ht="14.25" hidden="false" customHeight="false" outlineLevel="0" collapsed="false">
      <c r="A1958" s="0" t="n">
        <v>1957</v>
      </c>
      <c r="B1958" s="0" t="n">
        <f aca="false">IF('Boletins Nuppa Site'!A1958&lt;&gt;0,'Boletins Nuppa Site'!A1958,"NULL")</f>
        <v>87</v>
      </c>
      <c r="C1958" s="0" t="n">
        <v>7</v>
      </c>
      <c r="D1958" s="0" t="str">
        <f aca="false">IF('Boletins Nuppa Site'!G1958&lt;&gt;0,'Boletins Nuppa Site'!G1958,"NULL")</f>
        <v> 60.00</v>
      </c>
      <c r="E1958" s="30" t="str">
        <f aca="false">IF('Boletins Nuppa Site'!H1958&lt;&gt;0,'Boletins Nuppa Site'!H1958,"NULL")</f>
        <v> 60.00</v>
      </c>
      <c r="F1958" s="30" t="str">
        <f aca="false">IF('Boletins Nuppa Site'!I1958&lt;&gt;0,'Boletins Nuppa Site'!I1958,"NULL")</f>
        <v> 72.00</v>
      </c>
      <c r="G1958" s="30" t="str">
        <f aca="false">IF('Boletins Nuppa Site'!J1958&lt;&gt;0,'Boletins Nuppa Site'!J1958,"NULL")</f>
        <v> 66.00</v>
      </c>
      <c r="H1958" s="30" t="str">
        <f aca="false">IF('Boletins Nuppa Site'!K1958&lt;&gt;0,'Boletins Nuppa Site'!K1958,"NULL")</f>
        <v> 66.00</v>
      </c>
      <c r="I1958" s="0" t="str">
        <f aca="false">"INSERT INTO COTACAO (cot_id, cot_blt_id, cot_pap_id, cot_prc_comum, cot_prc_min, cot_prc_max, cot_prc_med, cot_prc_mediana) VALUES ("&amp;A1958&amp;", "&amp;B1958&amp;", "&amp;C1958&amp;", "&amp;D1958&amp;", "&amp;E1958&amp;", "&amp;F1958&amp;", "&amp;G1958&amp;", "&amp;H1958&amp;");"</f>
        <v>INSERT INTO COTACAO (cot_id, cot_blt_id, cot_pap_id, cot_prc_comum, cot_prc_min, cot_prc_max, cot_prc_med, cot_prc_mediana) VALUES (1957, 87, 7,  60.00,  60.00,  72.00,  66.00,  66.00);</v>
      </c>
      <c r="J1958" s="0" t="str">
        <f aca="false">"UPDATE COTACAO SET cot_id = "&amp;A1958&amp;", cot_blt_id = "&amp;B1958&amp;", cot_pap_id = "&amp;C1958&amp;", cot_prc_comum = "&amp;D1958&amp;", cot_prc_min = "&amp;E1958&amp;", cot_prc_max = "&amp;F1958&amp;", cot_prc_med = "&amp;G1958&amp;", cot_prc_mediana = "&amp;H1958&amp;" WHERE cot_id = "&amp;A1958&amp;";"</f>
        <v>UPDATE COTACAO SET cot_id = 1957, cot_blt_id = 87, cot_pap_id = 7, cot_prc_comum =  60.00, cot_prc_min =  60.00, cot_prc_max =  72.00, cot_prc_med =  66.00, cot_prc_mediana =  66.00 WHERE cot_id = 1957;</v>
      </c>
    </row>
    <row r="1959" customFormat="false" ht="14.25" hidden="false" customHeight="false" outlineLevel="0" collapsed="false">
      <c r="A1959" s="0" t="n">
        <v>1958</v>
      </c>
      <c r="B1959" s="0" t="n">
        <f aca="false">IF('Boletins Nuppa Site'!A1959&lt;&gt;0,'Boletins Nuppa Site'!A1959,"NULL")</f>
        <v>87</v>
      </c>
      <c r="C1959" s="0" t="n">
        <v>8</v>
      </c>
      <c r="D1959" s="0" t="str">
        <f aca="false">IF('Boletins Nuppa Site'!G1959&lt;&gt;0,'Boletins Nuppa Site'!G1959,"NULL")</f>
        <v> 84.00</v>
      </c>
      <c r="E1959" s="30" t="str">
        <f aca="false">IF('Boletins Nuppa Site'!H1959&lt;&gt;0,'Boletins Nuppa Site'!H1959,"NULL")</f>
        <v> 96.00</v>
      </c>
      <c r="F1959" s="30" t="str">
        <f aca="false">IF('Boletins Nuppa Site'!I1959&lt;&gt;0,'Boletins Nuppa Site'!I1959,"NULL")</f>
        <v> 72.00</v>
      </c>
      <c r="G1959" s="30" t="str">
        <f aca="false">IF('Boletins Nuppa Site'!J1959&lt;&gt;0,'Boletins Nuppa Site'!J1959,"NULL")</f>
        <v> 86.40</v>
      </c>
      <c r="H1959" s="30" t="str">
        <f aca="false">IF('Boletins Nuppa Site'!K1959&lt;&gt;0,'Boletins Nuppa Site'!K1959,"NULL")</f>
        <v> 84.00</v>
      </c>
      <c r="I1959" s="0" t="str">
        <f aca="false">"INSERT INTO COTACAO (cot_id, cot_blt_id, cot_pap_id, cot_prc_comum, cot_prc_min, cot_prc_max, cot_prc_med, cot_prc_mediana) VALUES ("&amp;A1959&amp;", "&amp;B1959&amp;", "&amp;C1959&amp;", "&amp;D1959&amp;", "&amp;E1959&amp;", "&amp;F1959&amp;", "&amp;G1959&amp;", "&amp;H1959&amp;");"</f>
        <v>INSERT INTO COTACAO (cot_id, cot_blt_id, cot_pap_id, cot_prc_comum, cot_prc_min, cot_prc_max, cot_prc_med, cot_prc_mediana) VALUES (1958, 87, 8,  84.00,  96.00,  72.00,  86.40,  84.00);</v>
      </c>
      <c r="J1959" s="0" t="str">
        <f aca="false">"UPDATE COTACAO SET cot_id = "&amp;A1959&amp;", cot_blt_id = "&amp;B1959&amp;", cot_pap_id = "&amp;C1959&amp;", cot_prc_comum = "&amp;D1959&amp;", cot_prc_min = "&amp;E1959&amp;", cot_prc_max = "&amp;F1959&amp;", cot_prc_med = "&amp;G1959&amp;", cot_prc_mediana = "&amp;H1959&amp;" WHERE cot_id = "&amp;A1959&amp;";"</f>
        <v>UPDATE COTACAO SET cot_id = 1958, cot_blt_id = 87, cot_pap_id = 8, cot_prc_comum =  84.00, cot_prc_min =  96.00, cot_prc_max =  72.00, cot_prc_med =  86.40, cot_prc_mediana =  84.00 WHERE cot_id = 1958;</v>
      </c>
    </row>
    <row r="1960" customFormat="false" ht="14.25" hidden="false" customHeight="false" outlineLevel="0" collapsed="false">
      <c r="A1960" s="0" t="n">
        <v>1959</v>
      </c>
      <c r="B1960" s="0" t="n">
        <f aca="false">IF('Boletins Nuppa Site'!A1960&lt;&gt;0,'Boletins Nuppa Site'!A1960,"NULL")</f>
        <v>87</v>
      </c>
      <c r="C1960" s="0" t="n">
        <v>9</v>
      </c>
      <c r="D1960" s="0" t="str">
        <f aca="false">IF('Boletins Nuppa Site'!G1960&lt;&gt;0,'Boletins Nuppa Site'!G1960,"NULL")</f>
        <v> 24.00</v>
      </c>
      <c r="E1960" s="30" t="str">
        <f aca="false">IF('Boletins Nuppa Site'!H1960&lt;&gt;0,'Boletins Nuppa Site'!H1960,"NULL")</f>
        <v> 20.00</v>
      </c>
      <c r="F1960" s="30" t="str">
        <f aca="false">IF('Boletins Nuppa Site'!I1960&lt;&gt;0,'Boletins Nuppa Site'!I1960,"NULL")</f>
        <v> 30.00</v>
      </c>
      <c r="G1960" s="30" t="str">
        <f aca="false">IF('Boletins Nuppa Site'!J1960&lt;&gt;0,'Boletins Nuppa Site'!J1960,"NULL")</f>
        <v> 24.40</v>
      </c>
      <c r="H1960" s="30" t="str">
        <f aca="false">IF('Boletins Nuppa Site'!K1960&lt;&gt;0,'Boletins Nuppa Site'!K1960,"NULL")</f>
        <v> 24.00</v>
      </c>
      <c r="I1960" s="0" t="str">
        <f aca="false">"INSERT INTO COTACAO (cot_id, cot_blt_id, cot_pap_id, cot_prc_comum, cot_prc_min, cot_prc_max, cot_prc_med, cot_prc_mediana) VALUES ("&amp;A1960&amp;", "&amp;B1960&amp;", "&amp;C1960&amp;", "&amp;D1960&amp;", "&amp;E1960&amp;", "&amp;F1960&amp;", "&amp;G1960&amp;", "&amp;H1960&amp;");"</f>
        <v>INSERT INTO COTACAO (cot_id, cot_blt_id, cot_pap_id, cot_prc_comum, cot_prc_min, cot_prc_max, cot_prc_med, cot_prc_mediana) VALUES (1959, 87, 9,  24.00,  20.00,  30.00,  24.40,  24.00);</v>
      </c>
      <c r="J1960" s="0" t="str">
        <f aca="false">"UPDATE COTACAO SET cot_id = "&amp;A1960&amp;", cot_blt_id = "&amp;B1960&amp;", cot_pap_id = "&amp;C1960&amp;", cot_prc_comum = "&amp;D1960&amp;", cot_prc_min = "&amp;E1960&amp;", cot_prc_max = "&amp;F1960&amp;", cot_prc_med = "&amp;G1960&amp;", cot_prc_mediana = "&amp;H1960&amp;" WHERE cot_id = "&amp;A1960&amp;";"</f>
        <v>UPDATE COTACAO SET cot_id = 1959, cot_blt_id = 87, cot_pap_id = 9, cot_prc_comum =  24.00, cot_prc_min =  20.00, cot_prc_max =  30.00, cot_prc_med =  24.40, cot_prc_mediana =  24.00 WHERE cot_id = 1959;</v>
      </c>
    </row>
    <row r="1961" customFormat="false" ht="14.25" hidden="false" customHeight="false" outlineLevel="0" collapsed="false">
      <c r="A1961" s="0" t="n">
        <v>1960</v>
      </c>
      <c r="B1961" s="0" t="n">
        <f aca="false">IF('Boletins Nuppa Site'!A1961&lt;&gt;0,'Boletins Nuppa Site'!A1961,"NULL")</f>
        <v>87</v>
      </c>
      <c r="C1961" s="0" t="n">
        <v>10</v>
      </c>
      <c r="D1961" s="0" t="str">
        <f aca="false">IF('Boletins Nuppa Site'!G1961&lt;&gt;0,'Boletins Nuppa Site'!G1961,"NULL")</f>
        <v> 96.00</v>
      </c>
      <c r="E1961" s="30" t="str">
        <f aca="false">IF('Boletins Nuppa Site'!H1961&lt;&gt;0,'Boletins Nuppa Site'!H1961,"NULL")</f>
        <v> 90.00</v>
      </c>
      <c r="F1961" s="30" t="str">
        <f aca="false">IF('Boletins Nuppa Site'!I1961&lt;&gt;0,'Boletins Nuppa Site'!I1961,"NULL")</f>
        <v> 100.00</v>
      </c>
      <c r="G1961" s="30" t="str">
        <f aca="false">IF('Boletins Nuppa Site'!J1961&lt;&gt;0,'Boletins Nuppa Site'!J1961,"NULL")</f>
        <v> 95.50</v>
      </c>
      <c r="H1961" s="30" t="str">
        <f aca="false">IF('Boletins Nuppa Site'!K1961&lt;&gt;0,'Boletins Nuppa Site'!K1961,"NULL")</f>
        <v> 96.00</v>
      </c>
      <c r="I1961" s="0" t="str">
        <f aca="false">"INSERT INTO COTACAO (cot_id, cot_blt_id, cot_pap_id, cot_prc_comum, cot_prc_min, cot_prc_max, cot_prc_med, cot_prc_mediana) VALUES ("&amp;A1961&amp;", "&amp;B1961&amp;", "&amp;C1961&amp;", "&amp;D1961&amp;", "&amp;E1961&amp;", "&amp;F1961&amp;", "&amp;G1961&amp;", "&amp;H1961&amp;");"</f>
        <v>INSERT INTO COTACAO (cot_id, cot_blt_id, cot_pap_id, cot_prc_comum, cot_prc_min, cot_prc_max, cot_prc_med, cot_prc_mediana) VALUES (1960, 87, 10,  96.00,  90.00,  100.00,  95.50,  96.00);</v>
      </c>
      <c r="J1961" s="0" t="str">
        <f aca="false">"UPDATE COTACAO SET cot_id = "&amp;A1961&amp;", cot_blt_id = "&amp;B1961&amp;", cot_pap_id = "&amp;C1961&amp;", cot_prc_comum = "&amp;D1961&amp;", cot_prc_min = "&amp;E1961&amp;", cot_prc_max = "&amp;F1961&amp;", cot_prc_med = "&amp;G1961&amp;", cot_prc_mediana = "&amp;H1961&amp;" WHERE cot_id = "&amp;A1961&amp;";"</f>
        <v>UPDATE COTACAO SET cot_id = 1960, cot_blt_id = 87, cot_pap_id = 10, cot_prc_comum =  96.00, cot_prc_min =  90.00, cot_prc_max =  100.00, cot_prc_med =  95.50, cot_prc_mediana =  96.00 WHERE cot_id = 1960;</v>
      </c>
    </row>
    <row r="1962" customFormat="false" ht="14.25" hidden="false" customHeight="false" outlineLevel="0" collapsed="false">
      <c r="A1962" s="0" t="n">
        <v>1961</v>
      </c>
      <c r="B1962" s="0" t="n">
        <f aca="false">IF('Boletins Nuppa Site'!A1962&lt;&gt;0,'Boletins Nuppa Site'!A1962,"NULL")</f>
        <v>87</v>
      </c>
      <c r="C1962" s="0" t="n">
        <v>11</v>
      </c>
      <c r="D1962" s="0" t="str">
        <f aca="false">IF('Boletins Nuppa Site'!G1962&lt;&gt;0,'Boletins Nuppa Site'!G1962,"NULL")</f>
        <v> 24.00</v>
      </c>
      <c r="E1962" s="30" t="str">
        <f aca="false">IF('Boletins Nuppa Site'!H1962&lt;&gt;0,'Boletins Nuppa Site'!H1962,"NULL")</f>
        <v> 50.00</v>
      </c>
      <c r="F1962" s="30" t="str">
        <f aca="false">IF('Boletins Nuppa Site'!I1962&lt;&gt;0,'Boletins Nuppa Site'!I1962,"NULL")</f>
        <v> 24.00</v>
      </c>
      <c r="G1962" s="30" t="str">
        <f aca="false">IF('Boletins Nuppa Site'!J1962&lt;&gt;0,'Boletins Nuppa Site'!J1962,"NULL")</f>
        <v> 31.60</v>
      </c>
      <c r="H1962" s="30" t="str">
        <f aca="false">IF('Boletins Nuppa Site'!K1962&lt;&gt;0,'Boletins Nuppa Site'!K1962,"NULL")</f>
        <v> 30.00</v>
      </c>
      <c r="I1962" s="0" t="str">
        <f aca="false">"INSERT INTO COTACAO (cot_id, cot_blt_id, cot_pap_id, cot_prc_comum, cot_prc_min, cot_prc_max, cot_prc_med, cot_prc_mediana) VALUES ("&amp;A1962&amp;", "&amp;B1962&amp;", "&amp;C1962&amp;", "&amp;D1962&amp;", "&amp;E1962&amp;", "&amp;F1962&amp;", "&amp;G1962&amp;", "&amp;H1962&amp;");"</f>
        <v>INSERT INTO COTACAO (cot_id, cot_blt_id, cot_pap_id, cot_prc_comum, cot_prc_min, cot_prc_max, cot_prc_med, cot_prc_mediana) VALUES (1961, 87, 11,  24.00,  50.00,  24.00,  31.60,  30.00);</v>
      </c>
      <c r="J1962" s="0" t="str">
        <f aca="false">"UPDATE COTACAO SET cot_id = "&amp;A1962&amp;", cot_blt_id = "&amp;B1962&amp;", cot_pap_id = "&amp;C1962&amp;", cot_prc_comum = "&amp;D1962&amp;", cot_prc_min = "&amp;E1962&amp;", cot_prc_max = "&amp;F1962&amp;", cot_prc_med = "&amp;G1962&amp;", cot_prc_mediana = "&amp;H1962&amp;" WHERE cot_id = "&amp;A1962&amp;";"</f>
        <v>UPDATE COTACAO SET cot_id = 1961, cot_blt_id = 87, cot_pap_id = 11, cot_prc_comum =  24.00, cot_prc_min =  50.00, cot_prc_max =  24.00, cot_prc_med =  31.60, cot_prc_mediana =  30.00 WHERE cot_id = 1961;</v>
      </c>
    </row>
    <row r="1963" customFormat="false" ht="14.25" hidden="false" customHeight="false" outlineLevel="0" collapsed="false">
      <c r="A1963" s="0" t="n">
        <v>1962</v>
      </c>
      <c r="B1963" s="0" t="n">
        <f aca="false">IF('Boletins Nuppa Site'!A1963&lt;&gt;0,'Boletins Nuppa Site'!A1963,"NULL")</f>
        <v>87</v>
      </c>
      <c r="C1963" s="0" t="n">
        <v>12</v>
      </c>
      <c r="D1963" s="0" t="str">
        <f aca="false">IF('Boletins Nuppa Site'!G1963&lt;&gt;0,'Boletins Nuppa Site'!G1963,"NULL")</f>
        <v> 60.00</v>
      </c>
      <c r="E1963" s="30" t="str">
        <f aca="false">IF('Boletins Nuppa Site'!H1963&lt;&gt;0,'Boletins Nuppa Site'!H1963,"NULL")</f>
        <v> 60.00</v>
      </c>
      <c r="F1963" s="30" t="str">
        <f aca="false">IF('Boletins Nuppa Site'!I1963&lt;&gt;0,'Boletins Nuppa Site'!I1963,"NULL")</f>
        <v> 96.00</v>
      </c>
      <c r="G1963" s="30" t="str">
        <f aca="false">IF('Boletins Nuppa Site'!J1963&lt;&gt;0,'Boletins Nuppa Site'!J1963,"NULL")</f>
        <v> 72.00</v>
      </c>
      <c r="H1963" s="30" t="str">
        <f aca="false">IF('Boletins Nuppa Site'!K1963&lt;&gt;0,'Boletins Nuppa Site'!K1963,"NULL")</f>
        <v> 66.00</v>
      </c>
      <c r="I1963" s="0" t="str">
        <f aca="false">"INSERT INTO COTACAO (cot_id, cot_blt_id, cot_pap_id, cot_prc_comum, cot_prc_min, cot_prc_max, cot_prc_med, cot_prc_mediana) VALUES ("&amp;A1963&amp;", "&amp;B1963&amp;", "&amp;C1963&amp;", "&amp;D1963&amp;", "&amp;E1963&amp;", "&amp;F1963&amp;", "&amp;G1963&amp;", "&amp;H1963&amp;");"</f>
        <v>INSERT INTO COTACAO (cot_id, cot_blt_id, cot_pap_id, cot_prc_comum, cot_prc_min, cot_prc_max, cot_prc_med, cot_prc_mediana) VALUES (1962, 87, 12,  60.00,  60.00,  96.00,  72.00,  66.00);</v>
      </c>
      <c r="J1963" s="0" t="str">
        <f aca="false">"UPDATE COTACAO SET cot_id = "&amp;A1963&amp;", cot_blt_id = "&amp;B1963&amp;", cot_pap_id = "&amp;C1963&amp;", cot_prc_comum = "&amp;D1963&amp;", cot_prc_min = "&amp;E1963&amp;", cot_prc_max = "&amp;F1963&amp;", cot_prc_med = "&amp;G1963&amp;", cot_prc_mediana = "&amp;H1963&amp;" WHERE cot_id = "&amp;A1963&amp;";"</f>
        <v>UPDATE COTACAO SET cot_id = 1962, cot_blt_id = 87, cot_pap_id = 12, cot_prc_comum =  60.00, cot_prc_min =  60.00, cot_prc_max =  96.00, cot_prc_med =  72.00, cot_prc_mediana =  66.00 WHERE cot_id = 1962;</v>
      </c>
    </row>
    <row r="1964" customFormat="false" ht="14.25" hidden="false" customHeight="false" outlineLevel="0" collapsed="false">
      <c r="A1964" s="0" t="n">
        <v>1963</v>
      </c>
      <c r="B1964" s="0" t="n">
        <f aca="false">IF('Boletins Nuppa Site'!A1964&lt;&gt;0,'Boletins Nuppa Site'!A1964,"NULL")</f>
        <v>87</v>
      </c>
      <c r="C1964" s="0" t="n">
        <v>13</v>
      </c>
      <c r="D1964" s="0" t="str">
        <f aca="false">IF('Boletins Nuppa Site'!G1964&lt;&gt;0,'Boletins Nuppa Site'!G1964,"NULL")</f>
        <v> 60.00</v>
      </c>
      <c r="E1964" s="30" t="str">
        <f aca="false">IF('Boletins Nuppa Site'!H1964&lt;&gt;0,'Boletins Nuppa Site'!H1964,"NULL")</f>
        <v> 48.00</v>
      </c>
      <c r="F1964" s="30" t="str">
        <f aca="false">IF('Boletins Nuppa Site'!I1964&lt;&gt;0,'Boletins Nuppa Site'!I1964,"NULL")</f>
        <v> 72.00</v>
      </c>
      <c r="G1964" s="30" t="str">
        <f aca="false">IF('Boletins Nuppa Site'!J1964&lt;&gt;0,'Boletins Nuppa Site'!J1964,"NULL")</f>
        <v> 57.60</v>
      </c>
      <c r="H1964" s="30" t="str">
        <f aca="false">IF('Boletins Nuppa Site'!K1964&lt;&gt;0,'Boletins Nuppa Site'!K1964,"NULL")</f>
        <v> 60.00</v>
      </c>
      <c r="I1964" s="0" t="str">
        <f aca="false">"INSERT INTO COTACAO (cot_id, cot_blt_id, cot_pap_id, cot_prc_comum, cot_prc_min, cot_prc_max, cot_prc_med, cot_prc_mediana) VALUES ("&amp;A1964&amp;", "&amp;B1964&amp;", "&amp;C1964&amp;", "&amp;D1964&amp;", "&amp;E1964&amp;", "&amp;F1964&amp;", "&amp;G1964&amp;", "&amp;H1964&amp;");"</f>
        <v>INSERT INTO COTACAO (cot_id, cot_blt_id, cot_pap_id, cot_prc_comum, cot_prc_min, cot_prc_max, cot_prc_med, cot_prc_mediana) VALUES (1963, 87, 13,  60.00,  48.00,  72.00,  57.60,  60.00);</v>
      </c>
      <c r="J1964" s="0" t="str">
        <f aca="false">"UPDATE COTACAO SET cot_id = "&amp;A1964&amp;", cot_blt_id = "&amp;B1964&amp;", cot_pap_id = "&amp;C1964&amp;", cot_prc_comum = "&amp;D1964&amp;", cot_prc_min = "&amp;E1964&amp;", cot_prc_max = "&amp;F1964&amp;", cot_prc_med = "&amp;G1964&amp;", cot_prc_mediana = "&amp;H1964&amp;" WHERE cot_id = "&amp;A1964&amp;";"</f>
        <v>UPDATE COTACAO SET cot_id = 1963, cot_blt_id = 87, cot_pap_id = 13, cot_prc_comum =  60.00, cot_prc_min =  48.00, cot_prc_max =  72.00, cot_prc_med =  57.60, cot_prc_mediana =  60.00 WHERE cot_id = 1963;</v>
      </c>
    </row>
    <row r="1965" customFormat="false" ht="14.25" hidden="false" customHeight="false" outlineLevel="0" collapsed="false">
      <c r="A1965" s="0" t="n">
        <v>1964</v>
      </c>
      <c r="B1965" s="0" t="n">
        <f aca="false">IF('Boletins Nuppa Site'!A1965&lt;&gt;0,'Boletins Nuppa Site'!A1965,"NULL")</f>
        <v>87</v>
      </c>
      <c r="C1965" s="0" t="n">
        <v>14</v>
      </c>
      <c r="D1965" s="0" t="str">
        <f aca="false">IF('Boletins Nuppa Site'!G1965&lt;&gt;0,'Boletins Nuppa Site'!G1965,"NULL")</f>
        <v>NULL</v>
      </c>
      <c r="E1965" s="30" t="str">
        <f aca="false">IF('Boletins Nuppa Site'!H1965&lt;&gt;0,'Boletins Nuppa Site'!H1965,"NULL")</f>
        <v> 48.00</v>
      </c>
      <c r="F1965" s="30" t="str">
        <f aca="false">IF('Boletins Nuppa Site'!I1965&lt;&gt;0,'Boletins Nuppa Site'!I1965,"NULL")</f>
        <v> 75.00</v>
      </c>
      <c r="G1965" s="30" t="str">
        <f aca="false">IF('Boletins Nuppa Site'!J1965&lt;&gt;0,'Boletins Nuppa Site'!J1965,"NULL")</f>
        <v> 56.75</v>
      </c>
      <c r="H1965" s="30" t="str">
        <f aca="false">IF('Boletins Nuppa Site'!K1965&lt;&gt;0,'Boletins Nuppa Site'!K1965,"NULL")</f>
        <v> 52.00</v>
      </c>
      <c r="I1965" s="0" t="str">
        <f aca="false">"INSERT INTO COTACAO (cot_id, cot_blt_id, cot_pap_id, cot_prc_comum, cot_prc_min, cot_prc_max, cot_prc_med, cot_prc_mediana) VALUES ("&amp;A1965&amp;", "&amp;B1965&amp;", "&amp;C1965&amp;", "&amp;D1965&amp;", "&amp;E1965&amp;", "&amp;F1965&amp;", "&amp;G1965&amp;", "&amp;H1965&amp;");"</f>
        <v>INSERT INTO COTACAO (cot_id, cot_blt_id, cot_pap_id, cot_prc_comum, cot_prc_min, cot_prc_max, cot_prc_med, cot_prc_mediana) VALUES (1964, 87, 14, NULL,  48.00,  75.00,  56.75,  52.00);</v>
      </c>
      <c r="J1965" s="0" t="str">
        <f aca="false">"UPDATE COTACAO SET cot_id = "&amp;A1965&amp;", cot_blt_id = "&amp;B1965&amp;", cot_pap_id = "&amp;C1965&amp;", cot_prc_comum = "&amp;D1965&amp;", cot_prc_min = "&amp;E1965&amp;", cot_prc_max = "&amp;F1965&amp;", cot_prc_med = "&amp;G1965&amp;", cot_prc_mediana = "&amp;H1965&amp;" WHERE cot_id = "&amp;A1965&amp;";"</f>
        <v>UPDATE COTACAO SET cot_id = 1964, cot_blt_id = 87, cot_pap_id = 14, cot_prc_comum = NULL, cot_prc_min =  48.00, cot_prc_max =  75.00, cot_prc_med =  56.75, cot_prc_mediana =  52.00 WHERE cot_id = 1964;</v>
      </c>
    </row>
    <row r="1966" customFormat="false" ht="14.25" hidden="false" customHeight="false" outlineLevel="0" collapsed="false">
      <c r="A1966" s="0" t="n">
        <v>1965</v>
      </c>
      <c r="B1966" s="0" t="n">
        <f aca="false">IF('Boletins Nuppa Site'!A1966&lt;&gt;0,'Boletins Nuppa Site'!A1966,"NULL")</f>
        <v>87</v>
      </c>
      <c r="C1966" s="0" t="n">
        <v>15</v>
      </c>
      <c r="D1966" s="0" t="str">
        <f aca="false">IF('Boletins Nuppa Site'!G1966&lt;&gt;0,'Boletins Nuppa Site'!G1966,"NULL")</f>
        <v> 42.00</v>
      </c>
      <c r="E1966" s="30" t="str">
        <f aca="false">IF('Boletins Nuppa Site'!H1966&lt;&gt;0,'Boletins Nuppa Site'!H1966,"NULL")</f>
        <v> 48.00</v>
      </c>
      <c r="F1966" s="30" t="str">
        <f aca="false">IF('Boletins Nuppa Site'!I1966&lt;&gt;0,'Boletins Nuppa Site'!I1966,"NULL")</f>
        <v> 36.00</v>
      </c>
      <c r="G1966" s="30" t="str">
        <f aca="false">IF('Boletins Nuppa Site'!J1966&lt;&gt;0,'Boletins Nuppa Site'!J1966,"NULL")</f>
        <v> 41.60</v>
      </c>
      <c r="H1966" s="30" t="str">
        <f aca="false">IF('Boletins Nuppa Site'!K1966&lt;&gt;0,'Boletins Nuppa Site'!K1966,"NULL")</f>
        <v> 42.00</v>
      </c>
      <c r="I1966" s="0" t="str">
        <f aca="false">"INSERT INTO COTACAO (cot_id, cot_blt_id, cot_pap_id, cot_prc_comum, cot_prc_min, cot_prc_max, cot_prc_med, cot_prc_mediana) VALUES ("&amp;A1966&amp;", "&amp;B1966&amp;", "&amp;C1966&amp;", "&amp;D1966&amp;", "&amp;E1966&amp;", "&amp;F1966&amp;", "&amp;G1966&amp;", "&amp;H1966&amp;");"</f>
        <v>INSERT INTO COTACAO (cot_id, cot_blt_id, cot_pap_id, cot_prc_comum, cot_prc_min, cot_prc_max, cot_prc_med, cot_prc_mediana) VALUES (1965, 87, 15,  42.00,  48.00,  36.00,  41.60,  42.00);</v>
      </c>
      <c r="J1966" s="0" t="str">
        <f aca="false">"UPDATE COTACAO SET cot_id = "&amp;A1966&amp;", cot_blt_id = "&amp;B1966&amp;", cot_pap_id = "&amp;C1966&amp;", cot_prc_comum = "&amp;D1966&amp;", cot_prc_min = "&amp;E1966&amp;", cot_prc_max = "&amp;F1966&amp;", cot_prc_med = "&amp;G1966&amp;", cot_prc_mediana = "&amp;H1966&amp;" WHERE cot_id = "&amp;A1966&amp;";"</f>
        <v>UPDATE COTACAO SET cot_id = 1965, cot_blt_id = 87, cot_pap_id = 15, cot_prc_comum =  42.00, cot_prc_min =  48.00, cot_prc_max =  36.00, cot_prc_med =  41.60, cot_prc_mediana =  42.00 WHERE cot_id = 1965;</v>
      </c>
    </row>
    <row r="1967" customFormat="false" ht="14.25" hidden="false" customHeight="false" outlineLevel="0" collapsed="false">
      <c r="A1967" s="0" t="n">
        <v>1966</v>
      </c>
      <c r="B1967" s="0" t="n">
        <f aca="false">IF('Boletins Nuppa Site'!A1967&lt;&gt;0,'Boletins Nuppa Site'!A1967,"NULL")</f>
        <v>87</v>
      </c>
      <c r="C1967" s="0" t="n">
        <v>16</v>
      </c>
      <c r="D1967" s="0" t="str">
        <f aca="false">IF('Boletins Nuppa Site'!G1967&lt;&gt;0,'Boletins Nuppa Site'!G1967,"NULL")</f>
        <v> 60.00</v>
      </c>
      <c r="E1967" s="30" t="str">
        <f aca="false">IF('Boletins Nuppa Site'!H1967&lt;&gt;0,'Boletins Nuppa Site'!H1967,"NULL")</f>
        <v> 60.00</v>
      </c>
      <c r="F1967" s="30" t="str">
        <f aca="false">IF('Boletins Nuppa Site'!I1967&lt;&gt;0,'Boletins Nuppa Site'!I1967,"NULL")</f>
        <v> 48.00</v>
      </c>
      <c r="G1967" s="30" t="str">
        <f aca="false">IF('Boletins Nuppa Site'!J1967&lt;&gt;0,'Boletins Nuppa Site'!J1967,"NULL")</f>
        <v> 55.50</v>
      </c>
      <c r="H1967" s="30" t="str">
        <f aca="false">IF('Boletins Nuppa Site'!K1967&lt;&gt;0,'Boletins Nuppa Site'!K1967,"NULL")</f>
        <v> 57.00</v>
      </c>
      <c r="I1967" s="0" t="str">
        <f aca="false">"INSERT INTO COTACAO (cot_id, cot_blt_id, cot_pap_id, cot_prc_comum, cot_prc_min, cot_prc_max, cot_prc_med, cot_prc_mediana) VALUES ("&amp;A1967&amp;", "&amp;B1967&amp;", "&amp;C1967&amp;", "&amp;D1967&amp;", "&amp;E1967&amp;", "&amp;F1967&amp;", "&amp;G1967&amp;", "&amp;H1967&amp;");"</f>
        <v>INSERT INTO COTACAO (cot_id, cot_blt_id, cot_pap_id, cot_prc_comum, cot_prc_min, cot_prc_max, cot_prc_med, cot_prc_mediana) VALUES (1966, 87, 16,  60.00,  60.00,  48.00,  55.50,  57.00);</v>
      </c>
      <c r="J1967" s="0" t="str">
        <f aca="false">"UPDATE COTACAO SET cot_id = "&amp;A1967&amp;", cot_blt_id = "&amp;B1967&amp;", cot_pap_id = "&amp;C1967&amp;", cot_prc_comum = "&amp;D1967&amp;", cot_prc_min = "&amp;E1967&amp;", cot_prc_max = "&amp;F1967&amp;", cot_prc_med = "&amp;G1967&amp;", cot_prc_mediana = "&amp;H1967&amp;" WHERE cot_id = "&amp;A1967&amp;";"</f>
        <v>UPDATE COTACAO SET cot_id = 1966, cot_blt_id = 87, cot_pap_id = 16, cot_prc_comum =  60.00, cot_prc_min =  60.00, cot_prc_max =  48.00, cot_prc_med =  55.50, cot_prc_mediana =  57.00 WHERE cot_id = 1966;</v>
      </c>
    </row>
    <row r="1968" customFormat="false" ht="14.25" hidden="false" customHeight="false" outlineLevel="0" collapsed="false">
      <c r="A1968" s="0" t="n">
        <v>1967</v>
      </c>
      <c r="B1968" s="0" t="n">
        <f aca="false">IF('Boletins Nuppa Site'!A1968&lt;&gt;0,'Boletins Nuppa Site'!A1968,"NULL")</f>
        <v>87</v>
      </c>
      <c r="C1968" s="0" t="n">
        <v>17</v>
      </c>
      <c r="D1968" s="0" t="str">
        <f aca="false">IF('Boletins Nuppa Site'!G1968&lt;&gt;0,'Boletins Nuppa Site'!G1968,"NULL")</f>
        <v> 5.00</v>
      </c>
      <c r="E1968" s="30" t="str">
        <f aca="false">IF('Boletins Nuppa Site'!H1968&lt;&gt;0,'Boletins Nuppa Site'!H1968,"NULL")</f>
        <v> 4.00</v>
      </c>
      <c r="F1968" s="30" t="str">
        <f aca="false">IF('Boletins Nuppa Site'!I1968&lt;&gt;0,'Boletins Nuppa Site'!I1968,"NULL")</f>
        <v> 5.00</v>
      </c>
      <c r="G1968" s="30" t="str">
        <f aca="false">IF('Boletins Nuppa Site'!J1968&lt;&gt;0,'Boletins Nuppa Site'!J1968,"NULL")</f>
        <v> 4.80</v>
      </c>
      <c r="H1968" s="30" t="str">
        <f aca="false">IF('Boletins Nuppa Site'!K1968&lt;&gt;0,'Boletins Nuppa Site'!K1968,"NULL")</f>
        <v> 5.00</v>
      </c>
      <c r="I1968" s="0" t="str">
        <f aca="false">"INSERT INTO COTACAO (cot_id, cot_blt_id, cot_pap_id, cot_prc_comum, cot_prc_min, cot_prc_max, cot_prc_med, cot_prc_mediana) VALUES ("&amp;A1968&amp;", "&amp;B1968&amp;", "&amp;C1968&amp;", "&amp;D1968&amp;", "&amp;E1968&amp;", "&amp;F1968&amp;", "&amp;G1968&amp;", "&amp;H1968&amp;");"</f>
        <v>INSERT INTO COTACAO (cot_id, cot_blt_id, cot_pap_id, cot_prc_comum, cot_prc_min, cot_prc_max, cot_prc_med, cot_prc_mediana) VALUES (1967, 87, 17,  5.00,  4.00,  5.00,  4.80,  5.00);</v>
      </c>
      <c r="J1968" s="0" t="str">
        <f aca="false">"UPDATE COTACAO SET cot_id = "&amp;A1968&amp;", cot_blt_id = "&amp;B1968&amp;", cot_pap_id = "&amp;C1968&amp;", cot_prc_comum = "&amp;D1968&amp;", cot_prc_min = "&amp;E1968&amp;", cot_prc_max = "&amp;F1968&amp;", cot_prc_med = "&amp;G1968&amp;", cot_prc_mediana = "&amp;H1968&amp;" WHERE cot_id = "&amp;A1968&amp;";"</f>
        <v>UPDATE COTACAO SET cot_id = 1967, cot_blt_id = 87, cot_pap_id = 17, cot_prc_comum =  5.00, cot_prc_min =  4.00, cot_prc_max =  5.00, cot_prc_med =  4.80, cot_prc_mediana =  5.00 WHERE cot_id = 1967;</v>
      </c>
    </row>
    <row r="1969" customFormat="false" ht="14.25" hidden="false" customHeight="false" outlineLevel="0" collapsed="false">
      <c r="A1969" s="0" t="n">
        <v>1968</v>
      </c>
      <c r="B1969" s="0" t="n">
        <f aca="false">IF('Boletins Nuppa Site'!A1969&lt;&gt;0,'Boletins Nuppa Site'!A1969,"NULL")</f>
        <v>87</v>
      </c>
      <c r="C1969" s="0" t="n">
        <v>18</v>
      </c>
      <c r="D1969" s="0" t="str">
        <f aca="false">IF('Boletins Nuppa Site'!G1969&lt;&gt;0,'Boletins Nuppa Site'!G1969,"NULL")</f>
        <v> 25.00</v>
      </c>
      <c r="E1969" s="30" t="str">
        <f aca="false">IF('Boletins Nuppa Site'!H1969&lt;&gt;0,'Boletins Nuppa Site'!H1969,"NULL")</f>
        <v> 20.00</v>
      </c>
      <c r="F1969" s="30" t="str">
        <f aca="false">IF('Boletins Nuppa Site'!I1969&lt;&gt;0,'Boletins Nuppa Site'!I1969,"NULL")</f>
        <v> 25.00</v>
      </c>
      <c r="G1969" s="30" t="str">
        <f aca="false">IF('Boletins Nuppa Site'!J1969&lt;&gt;0,'Boletins Nuppa Site'!J1969,"NULL")</f>
        <v> 23.00</v>
      </c>
      <c r="H1969" s="30" t="str">
        <f aca="false">IF('Boletins Nuppa Site'!K1969&lt;&gt;0,'Boletins Nuppa Site'!K1969,"NULL")</f>
        <v> 25.00</v>
      </c>
      <c r="I1969" s="0" t="str">
        <f aca="false">"INSERT INTO COTACAO (cot_id, cot_blt_id, cot_pap_id, cot_prc_comum, cot_prc_min, cot_prc_max, cot_prc_med, cot_prc_mediana) VALUES ("&amp;A1969&amp;", "&amp;B1969&amp;", "&amp;C1969&amp;", "&amp;D1969&amp;", "&amp;E1969&amp;", "&amp;F1969&amp;", "&amp;G1969&amp;", "&amp;H1969&amp;");"</f>
        <v>INSERT INTO COTACAO (cot_id, cot_blt_id, cot_pap_id, cot_prc_comum, cot_prc_min, cot_prc_max, cot_prc_med, cot_prc_mediana) VALUES (1968, 87, 18,  25.00,  20.00,  25.00,  23.00,  25.00);</v>
      </c>
      <c r="J1969" s="0" t="str">
        <f aca="false">"UPDATE COTACAO SET cot_id = "&amp;A1969&amp;", cot_blt_id = "&amp;B1969&amp;", cot_pap_id = "&amp;C1969&amp;", cot_prc_comum = "&amp;D1969&amp;", cot_prc_min = "&amp;E1969&amp;", cot_prc_max = "&amp;F1969&amp;", cot_prc_med = "&amp;G1969&amp;", cot_prc_mediana = "&amp;H1969&amp;" WHERE cot_id = "&amp;A1969&amp;";"</f>
        <v>UPDATE COTACAO SET cot_id = 1968, cot_blt_id = 87, cot_pap_id = 18, cot_prc_comum =  25.00, cot_prc_min =  20.00, cot_prc_max =  25.00, cot_prc_med =  23.00, cot_prc_mediana =  25.00 WHERE cot_id = 1968;</v>
      </c>
    </row>
    <row r="1970" customFormat="false" ht="14.25" hidden="false" customHeight="false" outlineLevel="0" collapsed="false">
      <c r="A1970" s="0" t="n">
        <v>1969</v>
      </c>
      <c r="B1970" s="0" t="n">
        <f aca="false">IF('Boletins Nuppa Site'!A1970&lt;&gt;0,'Boletins Nuppa Site'!A1970,"NULL")</f>
        <v>87</v>
      </c>
      <c r="C1970" s="0" t="n">
        <v>19</v>
      </c>
      <c r="D1970" s="0" t="str">
        <f aca="false">IF('Boletins Nuppa Site'!G1970&lt;&gt;0,'Boletins Nuppa Site'!G1970,"NULL")</f>
        <v> 25.00</v>
      </c>
      <c r="E1970" s="30" t="str">
        <f aca="false">IF('Boletins Nuppa Site'!H1970&lt;&gt;0,'Boletins Nuppa Site'!H1970,"NULL")</f>
        <v> 20.00</v>
      </c>
      <c r="F1970" s="30" t="str">
        <f aca="false">IF('Boletins Nuppa Site'!I1970&lt;&gt;0,'Boletins Nuppa Site'!I1970,"NULL")</f>
        <v> 30.00</v>
      </c>
      <c r="G1970" s="30" t="str">
        <f aca="false">IF('Boletins Nuppa Site'!J1970&lt;&gt;0,'Boletins Nuppa Site'!J1970,"NULL")</f>
        <v> 25.00</v>
      </c>
      <c r="H1970" s="30" t="str">
        <f aca="false">IF('Boletins Nuppa Site'!K1970&lt;&gt;0,'Boletins Nuppa Site'!K1970,"NULL")</f>
        <v> 25.00</v>
      </c>
      <c r="I1970" s="0" t="str">
        <f aca="false">"INSERT INTO COTACAO (cot_id, cot_blt_id, cot_pap_id, cot_prc_comum, cot_prc_min, cot_prc_max, cot_prc_med, cot_prc_mediana) VALUES ("&amp;A1970&amp;", "&amp;B1970&amp;", "&amp;C1970&amp;", "&amp;D1970&amp;", "&amp;E1970&amp;", "&amp;F1970&amp;", "&amp;G1970&amp;", "&amp;H1970&amp;");"</f>
        <v>INSERT INTO COTACAO (cot_id, cot_blt_id, cot_pap_id, cot_prc_comum, cot_prc_min, cot_prc_max, cot_prc_med, cot_prc_mediana) VALUES (1969, 87, 19,  25.00,  20.00,  30.00,  25.00,  25.00);</v>
      </c>
      <c r="J1970" s="0" t="str">
        <f aca="false">"UPDATE COTACAO SET cot_id = "&amp;A1970&amp;", cot_blt_id = "&amp;B1970&amp;", cot_pap_id = "&amp;C1970&amp;", cot_prc_comum = "&amp;D1970&amp;", cot_prc_min = "&amp;E1970&amp;", cot_prc_max = "&amp;F1970&amp;", cot_prc_med = "&amp;G1970&amp;", cot_prc_mediana = "&amp;H1970&amp;" WHERE cot_id = "&amp;A1970&amp;";"</f>
        <v>UPDATE COTACAO SET cot_id = 1969, cot_blt_id = 87, cot_pap_id = 19, cot_prc_comum =  25.00, cot_prc_min =  20.00, cot_prc_max =  30.00, cot_prc_med =  25.00, cot_prc_mediana =  25.00 WHERE cot_id = 1969;</v>
      </c>
    </row>
    <row r="1971" customFormat="false" ht="14.25" hidden="false" customHeight="false" outlineLevel="0" collapsed="false">
      <c r="A1971" s="0" t="n">
        <v>1970</v>
      </c>
      <c r="B1971" s="0" t="n">
        <f aca="false">IF('Boletins Nuppa Site'!A1971&lt;&gt;0,'Boletins Nuppa Site'!A1971,"NULL")</f>
        <v>87</v>
      </c>
      <c r="C1971" s="0" t="n">
        <v>20</v>
      </c>
      <c r="D1971" s="0" t="str">
        <f aca="false">IF('Boletins Nuppa Site'!G1971&lt;&gt;0,'Boletins Nuppa Site'!G1971,"NULL")</f>
        <v>NULL</v>
      </c>
      <c r="E1971" s="30" t="str">
        <f aca="false">IF('Boletins Nuppa Site'!H1971&lt;&gt;0,'Boletins Nuppa Site'!H1971,"NULL")</f>
        <v> 70.00</v>
      </c>
      <c r="F1971" s="30" t="str">
        <f aca="false">IF('Boletins Nuppa Site'!I1971&lt;&gt;0,'Boletins Nuppa Site'!I1971,"NULL")</f>
        <v> 70.00</v>
      </c>
      <c r="G1971" s="30" t="str">
        <f aca="false">IF('Boletins Nuppa Site'!J1971&lt;&gt;0,'Boletins Nuppa Site'!J1971,"NULL")</f>
        <v> 70.00</v>
      </c>
      <c r="H1971" s="30" t="str">
        <f aca="false">IF('Boletins Nuppa Site'!K1971&lt;&gt;0,'Boletins Nuppa Site'!K1971,"NULL")</f>
        <v> 70.00</v>
      </c>
      <c r="I1971" s="0" t="str">
        <f aca="false">"INSERT INTO COTACAO (cot_id, cot_blt_id, cot_pap_id, cot_prc_comum, cot_prc_min, cot_prc_max, cot_prc_med, cot_prc_mediana) VALUES ("&amp;A1971&amp;", "&amp;B1971&amp;", "&amp;C1971&amp;", "&amp;D1971&amp;", "&amp;E1971&amp;", "&amp;F1971&amp;", "&amp;G1971&amp;", "&amp;H1971&amp;");"</f>
        <v>INSERT INTO COTACAO (cot_id, cot_blt_id, cot_pap_id, cot_prc_comum, cot_prc_min, cot_prc_max, cot_prc_med, cot_prc_mediana) VALUES (1970, 87, 20, NULL,  70.00,  70.00,  70.00,  70.00);</v>
      </c>
      <c r="J1971" s="0" t="str">
        <f aca="false">"UPDATE COTACAO SET cot_id = "&amp;A1971&amp;", cot_blt_id = "&amp;B1971&amp;", cot_pap_id = "&amp;C1971&amp;", cot_prc_comum = "&amp;D1971&amp;", cot_prc_min = "&amp;E1971&amp;", cot_prc_max = "&amp;F1971&amp;", cot_prc_med = "&amp;G1971&amp;", cot_prc_mediana = "&amp;H1971&amp;" WHERE cot_id = "&amp;A1971&amp;";"</f>
        <v>UPDATE COTACAO SET cot_id = 1970, cot_blt_id = 87, cot_pap_id = 20, cot_prc_comum = NULL, cot_prc_min =  70.00, cot_prc_max =  70.00, cot_prc_med =  70.00, cot_prc_mediana =  70.00 WHERE cot_id = 1970;</v>
      </c>
    </row>
    <row r="1972" customFormat="false" ht="14.25" hidden="false" customHeight="false" outlineLevel="0" collapsed="false">
      <c r="A1972" s="0" t="n">
        <v>1971</v>
      </c>
      <c r="B1972" s="0" t="n">
        <f aca="false">IF('Boletins Nuppa Site'!A1972&lt;&gt;0,'Boletins Nuppa Site'!A1972,"NULL")</f>
        <v>87</v>
      </c>
      <c r="C1972" s="0" t="n">
        <v>21</v>
      </c>
      <c r="D1972" s="0" t="str">
        <f aca="false">IF('Boletins Nuppa Site'!G1972&lt;&gt;0,'Boletins Nuppa Site'!G1972,"NULL")</f>
        <v>NULL</v>
      </c>
      <c r="E1972" s="30" t="str">
        <f aca="false">IF('Boletins Nuppa Site'!H1972&lt;&gt;0,'Boletins Nuppa Site'!H1972,"NULL")</f>
        <v> 70.00</v>
      </c>
      <c r="F1972" s="30" t="str">
        <f aca="false">IF('Boletins Nuppa Site'!I1972&lt;&gt;0,'Boletins Nuppa Site'!I1972,"NULL")</f>
        <v> 90.00</v>
      </c>
      <c r="G1972" s="30" t="str">
        <f aca="false">IF('Boletins Nuppa Site'!J1972&lt;&gt;0,'Boletins Nuppa Site'!J1972,"NULL")</f>
        <v> 80.00</v>
      </c>
      <c r="H1972" s="30" t="str">
        <f aca="false">IF('Boletins Nuppa Site'!K1972&lt;&gt;0,'Boletins Nuppa Site'!K1972,"NULL")</f>
        <v> 80.00</v>
      </c>
      <c r="I1972" s="0" t="str">
        <f aca="false">"INSERT INTO COTACAO (cot_id, cot_blt_id, cot_pap_id, cot_prc_comum, cot_prc_min, cot_prc_max, cot_prc_med, cot_prc_mediana) VALUES ("&amp;A1972&amp;", "&amp;B1972&amp;", "&amp;C1972&amp;", "&amp;D1972&amp;", "&amp;E1972&amp;", "&amp;F1972&amp;", "&amp;G1972&amp;", "&amp;H1972&amp;");"</f>
        <v>INSERT INTO COTACAO (cot_id, cot_blt_id, cot_pap_id, cot_prc_comum, cot_prc_min, cot_prc_max, cot_prc_med, cot_prc_mediana) VALUES (1971, 87, 21, NULL,  70.00,  90.00,  80.00,  80.00);</v>
      </c>
      <c r="J1972" s="0" t="str">
        <f aca="false">"UPDATE COTACAO SET cot_id = "&amp;A1972&amp;", cot_blt_id = "&amp;B1972&amp;", cot_pap_id = "&amp;C1972&amp;", cot_prc_comum = "&amp;D1972&amp;", cot_prc_min = "&amp;E1972&amp;", cot_prc_max = "&amp;F1972&amp;", cot_prc_med = "&amp;G1972&amp;", cot_prc_mediana = "&amp;H1972&amp;" WHERE cot_id = "&amp;A1972&amp;";"</f>
        <v>UPDATE COTACAO SET cot_id = 1971, cot_blt_id = 87, cot_pap_id = 21, cot_prc_comum = NULL, cot_prc_min =  70.00, cot_prc_max =  90.00, cot_prc_med =  80.00, cot_prc_mediana =  80.00 WHERE cot_id = 1971;</v>
      </c>
    </row>
    <row r="1973" customFormat="false" ht="14.25" hidden="false" customHeight="false" outlineLevel="0" collapsed="false">
      <c r="A1973" s="0" t="n">
        <v>1972</v>
      </c>
      <c r="B1973" s="0" t="n">
        <f aca="false">IF('Boletins Nuppa Site'!A1973&lt;&gt;0,'Boletins Nuppa Site'!A1973,"NULL")</f>
        <v>87</v>
      </c>
      <c r="C1973" s="0" t="n">
        <v>22</v>
      </c>
      <c r="D1973" s="0" t="str">
        <f aca="false">IF('Boletins Nuppa Site'!G1973&lt;&gt;0,'Boletins Nuppa Site'!G1973,"NULL")</f>
        <v>NULL</v>
      </c>
      <c r="E1973" s="30" t="str">
        <f aca="false">IF('Boletins Nuppa Site'!H1973&lt;&gt;0,'Boletins Nuppa Site'!H1973,"NULL")</f>
        <v> 65.00</v>
      </c>
      <c r="F1973" s="30" t="str">
        <f aca="false">IF('Boletins Nuppa Site'!I1973&lt;&gt;0,'Boletins Nuppa Site'!I1973,"NULL")</f>
        <v> 45.00</v>
      </c>
      <c r="G1973" s="30" t="str">
        <f aca="false">IF('Boletins Nuppa Site'!J1973&lt;&gt;0,'Boletins Nuppa Site'!J1973,"NULL")</f>
        <v> 53.33</v>
      </c>
      <c r="H1973" s="30" t="str">
        <f aca="false">IF('Boletins Nuppa Site'!K1973&lt;&gt;0,'Boletins Nuppa Site'!K1973,"NULL")</f>
        <v> 50.00</v>
      </c>
      <c r="I1973" s="0" t="str">
        <f aca="false">"INSERT INTO COTACAO (cot_id, cot_blt_id, cot_pap_id, cot_prc_comum, cot_prc_min, cot_prc_max, cot_prc_med, cot_prc_mediana) VALUES ("&amp;A1973&amp;", "&amp;B1973&amp;", "&amp;C1973&amp;", "&amp;D1973&amp;", "&amp;E1973&amp;", "&amp;F1973&amp;", "&amp;G1973&amp;", "&amp;H1973&amp;");"</f>
        <v>INSERT INTO COTACAO (cot_id, cot_blt_id, cot_pap_id, cot_prc_comum, cot_prc_min, cot_prc_max, cot_prc_med, cot_prc_mediana) VALUES (1972, 87, 22, NULL,  65.00,  45.00,  53.33,  50.00);</v>
      </c>
      <c r="J1973" s="0" t="str">
        <f aca="false">"UPDATE COTACAO SET cot_id = "&amp;A1973&amp;", cot_blt_id = "&amp;B1973&amp;", cot_pap_id = "&amp;C1973&amp;", cot_prc_comum = "&amp;D1973&amp;", cot_prc_min = "&amp;E1973&amp;", cot_prc_max = "&amp;F1973&amp;", cot_prc_med = "&amp;G1973&amp;", cot_prc_mediana = "&amp;H1973&amp;" WHERE cot_id = "&amp;A1973&amp;";"</f>
        <v>UPDATE COTACAO SET cot_id = 1972, cot_blt_id = 87, cot_pap_id = 22, cot_prc_comum = NULL, cot_prc_min =  65.00, cot_prc_max =  45.00, cot_prc_med =  53.33, cot_prc_mediana =  50.00 WHERE cot_id = 1972;</v>
      </c>
    </row>
    <row r="1974" customFormat="false" ht="14.25" hidden="false" customHeight="false" outlineLevel="0" collapsed="false">
      <c r="A1974" s="0" t="n">
        <v>1973</v>
      </c>
      <c r="B1974" s="0" t="n">
        <f aca="false">IF('Boletins Nuppa Site'!A1974&lt;&gt;0,'Boletins Nuppa Site'!A1974,"NULL")</f>
        <v>87</v>
      </c>
      <c r="C1974" s="0" t="n">
        <v>23</v>
      </c>
      <c r="D1974" s="0" t="str">
        <f aca="false">IF('Boletins Nuppa Site'!G1974&lt;&gt;0,'Boletins Nuppa Site'!G1974,"NULL")</f>
        <v> 50.00</v>
      </c>
      <c r="E1974" s="30" t="str">
        <f aca="false">IF('Boletins Nuppa Site'!H1974&lt;&gt;0,'Boletins Nuppa Site'!H1974,"NULL")</f>
        <v> 50.00</v>
      </c>
      <c r="F1974" s="30" t="str">
        <f aca="false">IF('Boletins Nuppa Site'!I1974&lt;&gt;0,'Boletins Nuppa Site'!I1974,"NULL")</f>
        <v> 50.00</v>
      </c>
      <c r="G1974" s="30" t="str">
        <f aca="false">IF('Boletins Nuppa Site'!J1974&lt;&gt;0,'Boletins Nuppa Site'!J1974,"NULL")</f>
        <v> 50.00</v>
      </c>
      <c r="H1974" s="30" t="str">
        <f aca="false">IF('Boletins Nuppa Site'!K1974&lt;&gt;0,'Boletins Nuppa Site'!K1974,"NULL")</f>
        <v> 50.00</v>
      </c>
      <c r="I1974" s="0" t="str">
        <f aca="false">"INSERT INTO COTACAO (cot_id, cot_blt_id, cot_pap_id, cot_prc_comum, cot_prc_min, cot_prc_max, cot_prc_med, cot_prc_mediana) VALUES ("&amp;A1974&amp;", "&amp;B1974&amp;", "&amp;C1974&amp;", "&amp;D1974&amp;", "&amp;E1974&amp;", "&amp;F1974&amp;", "&amp;G1974&amp;", "&amp;H1974&amp;");"</f>
        <v>INSERT INTO COTACAO (cot_id, cot_blt_id, cot_pap_id, cot_prc_comum, cot_prc_min, cot_prc_max, cot_prc_med, cot_prc_mediana) VALUES (1973, 87, 23,  50.00,  50.00,  50.00,  50.00,  50.00);</v>
      </c>
      <c r="J1974" s="0" t="str">
        <f aca="false">"UPDATE COTACAO SET cot_id = "&amp;A1974&amp;", cot_blt_id = "&amp;B1974&amp;", cot_pap_id = "&amp;C1974&amp;", cot_prc_comum = "&amp;D1974&amp;", cot_prc_min = "&amp;E1974&amp;", cot_prc_max = "&amp;F1974&amp;", cot_prc_med = "&amp;G1974&amp;", cot_prc_mediana = "&amp;H1974&amp;" WHERE cot_id = "&amp;A1974&amp;";"</f>
        <v>UPDATE COTACAO SET cot_id = 1973, cot_blt_id = 87, cot_pap_id = 23, cot_prc_comum =  50.00, cot_prc_min =  50.00, cot_prc_max =  50.00, cot_prc_med =  50.00, cot_prc_mediana =  50.00 WHERE cot_id = 1973;</v>
      </c>
    </row>
    <row r="1975" customFormat="false" ht="14.25" hidden="false" customHeight="false" outlineLevel="0" collapsed="false">
      <c r="A1975" s="0" t="n">
        <v>1974</v>
      </c>
      <c r="B1975" s="0" t="n">
        <f aca="false">IF('Boletins Nuppa Site'!A1975&lt;&gt;0,'Boletins Nuppa Site'!A1975,"NULL")</f>
        <v>87</v>
      </c>
      <c r="C1975" s="0" t="n">
        <v>24</v>
      </c>
      <c r="D1975" s="0" t="str">
        <f aca="false">IF('Boletins Nuppa Site'!G1975&lt;&gt;0,'Boletins Nuppa Site'!G1975,"NULL")</f>
        <v>NULL</v>
      </c>
      <c r="E1975" s="30" t="str">
        <f aca="false">IF('Boletins Nuppa Site'!H1975&lt;&gt;0,'Boletins Nuppa Site'!H1975,"NULL")</f>
        <v>NULL</v>
      </c>
      <c r="F1975" s="30" t="str">
        <f aca="false">IF('Boletins Nuppa Site'!I1975&lt;&gt;0,'Boletins Nuppa Site'!I1975,"NULL")</f>
        <v>NULL</v>
      </c>
      <c r="G1975" s="30" t="str">
        <f aca="false">IF('Boletins Nuppa Site'!J1975&lt;&gt;0,'Boletins Nuppa Site'!J1975,"NULL")</f>
        <v>NULL</v>
      </c>
      <c r="H1975" s="30" t="str">
        <f aca="false">IF('Boletins Nuppa Site'!K1975&lt;&gt;0,'Boletins Nuppa Site'!K1975,"NULL")</f>
        <v>NULL</v>
      </c>
      <c r="I1975" s="0" t="str">
        <f aca="false">"INSERT INTO COTACAO (cot_id, cot_blt_id, cot_pap_id, cot_prc_comum, cot_prc_min, cot_prc_max, cot_prc_med, cot_prc_mediana) VALUES ("&amp;A1975&amp;", "&amp;B1975&amp;", "&amp;C1975&amp;", "&amp;D1975&amp;", "&amp;E1975&amp;", "&amp;F1975&amp;", "&amp;G1975&amp;", "&amp;H1975&amp;");"</f>
        <v>INSERT INTO COTACAO (cot_id, cot_blt_id, cot_pap_id, cot_prc_comum, cot_prc_min, cot_prc_max, cot_prc_med, cot_prc_mediana) VALUES (1974, 87, 24, NULL, NULL, NULL, NULL, NULL);</v>
      </c>
      <c r="J1975" s="0" t="str">
        <f aca="false">"UPDATE COTACAO SET cot_id = "&amp;A1975&amp;", cot_blt_id = "&amp;B1975&amp;", cot_pap_id = "&amp;C1975&amp;", cot_prc_comum = "&amp;D1975&amp;", cot_prc_min = "&amp;E1975&amp;", cot_prc_max = "&amp;F1975&amp;", cot_prc_med = "&amp;G1975&amp;", cot_prc_mediana = "&amp;H1975&amp;" WHERE cot_id = "&amp;A1975&amp;";"</f>
        <v>UPDATE COTACAO SET cot_id = 1974, cot_blt_id = 87, cot_pap_id = 24, cot_prc_comum = NULL, cot_prc_min = NULL, cot_prc_max = NULL, cot_prc_med = NULL, cot_prc_mediana = NULL WHERE cot_id = 1974;</v>
      </c>
    </row>
    <row r="1976" customFormat="false" ht="14.25" hidden="false" customHeight="false" outlineLevel="0" collapsed="false">
      <c r="A1976" s="0" t="n">
        <v>1975</v>
      </c>
      <c r="B1976" s="0" t="n">
        <f aca="false">IF('Boletins Nuppa Site'!A1976&lt;&gt;0,'Boletins Nuppa Site'!A1976,"NULL")</f>
        <v>87</v>
      </c>
      <c r="C1976" s="0" t="n">
        <v>25</v>
      </c>
      <c r="D1976" s="0" t="str">
        <f aca="false">IF('Boletins Nuppa Site'!G1976&lt;&gt;0,'Boletins Nuppa Site'!G1976,"NULL")</f>
        <v> 65.00</v>
      </c>
      <c r="E1976" s="30" t="str">
        <f aca="false">IF('Boletins Nuppa Site'!H1976&lt;&gt;0,'Boletins Nuppa Site'!H1976,"NULL")</f>
        <v> 65.00</v>
      </c>
      <c r="F1976" s="30" t="str">
        <f aca="false">IF('Boletins Nuppa Site'!I1976&lt;&gt;0,'Boletins Nuppa Site'!I1976,"NULL")</f>
        <v> 70.00</v>
      </c>
      <c r="G1976" s="30" t="str">
        <f aca="false">IF('Boletins Nuppa Site'!J1976&lt;&gt;0,'Boletins Nuppa Site'!J1976,"NULL")</f>
        <v> 66.67</v>
      </c>
      <c r="H1976" s="30" t="str">
        <f aca="false">IF('Boletins Nuppa Site'!K1976&lt;&gt;0,'Boletins Nuppa Site'!K1976,"NULL")</f>
        <v> 65.00</v>
      </c>
      <c r="I1976" s="0" t="str">
        <f aca="false">"INSERT INTO COTACAO (cot_id, cot_blt_id, cot_pap_id, cot_prc_comum, cot_prc_min, cot_prc_max, cot_prc_med, cot_prc_mediana) VALUES ("&amp;A1976&amp;", "&amp;B1976&amp;", "&amp;C1976&amp;", "&amp;D1976&amp;", "&amp;E1976&amp;", "&amp;F1976&amp;", "&amp;G1976&amp;", "&amp;H1976&amp;");"</f>
        <v>INSERT INTO COTACAO (cot_id, cot_blt_id, cot_pap_id, cot_prc_comum, cot_prc_min, cot_prc_max, cot_prc_med, cot_prc_mediana) VALUES (1975, 87, 25,  65.00,  65.00,  70.00,  66.67,  65.00);</v>
      </c>
      <c r="J1976" s="0" t="str">
        <f aca="false">"UPDATE COTACAO SET cot_id = "&amp;A1976&amp;", cot_blt_id = "&amp;B1976&amp;", cot_pap_id = "&amp;C1976&amp;", cot_prc_comum = "&amp;D1976&amp;", cot_prc_min = "&amp;E1976&amp;", cot_prc_max = "&amp;F1976&amp;", cot_prc_med = "&amp;G1976&amp;", cot_prc_mediana = "&amp;H1976&amp;" WHERE cot_id = "&amp;A1976&amp;";"</f>
        <v>UPDATE COTACAO SET cot_id = 1975, cot_blt_id = 87, cot_pap_id = 25, cot_prc_comum =  65.00, cot_prc_min =  65.00, cot_prc_max =  70.00, cot_prc_med =  66.67, cot_prc_mediana =  65.00 WHERE cot_id = 1975;</v>
      </c>
    </row>
    <row r="1977" customFormat="false" ht="14.25" hidden="false" customHeight="false" outlineLevel="0" collapsed="false">
      <c r="A1977" s="0" t="n">
        <v>1976</v>
      </c>
      <c r="B1977" s="0" t="n">
        <f aca="false">IF('Boletins Nuppa Site'!A1977&lt;&gt;0,'Boletins Nuppa Site'!A1977,"NULL")</f>
        <v>87</v>
      </c>
      <c r="C1977" s="0" t="n">
        <v>26</v>
      </c>
      <c r="D1977" s="0" t="str">
        <f aca="false">IF('Boletins Nuppa Site'!G1977&lt;&gt;0,'Boletins Nuppa Site'!G1977,"NULL")</f>
        <v>NULL</v>
      </c>
      <c r="E1977" s="30" t="str">
        <f aca="false">IF('Boletins Nuppa Site'!H1977&lt;&gt;0,'Boletins Nuppa Site'!H1977,"NULL")</f>
        <v> 65.00</v>
      </c>
      <c r="F1977" s="30" t="str">
        <f aca="false">IF('Boletins Nuppa Site'!I1977&lt;&gt;0,'Boletins Nuppa Site'!I1977,"NULL")</f>
        <v> 90.00</v>
      </c>
      <c r="G1977" s="30" t="str">
        <f aca="false">IF('Boletins Nuppa Site'!J1977&lt;&gt;0,'Boletins Nuppa Site'!J1977,"NULL")</f>
        <v> 75.00</v>
      </c>
      <c r="H1977" s="30" t="str">
        <f aca="false">IF('Boletins Nuppa Site'!K1977&lt;&gt;0,'Boletins Nuppa Site'!K1977,"NULL")</f>
        <v> 70.00</v>
      </c>
      <c r="I1977" s="0" t="str">
        <f aca="false">"INSERT INTO COTACAO (cot_id, cot_blt_id, cot_pap_id, cot_prc_comum, cot_prc_min, cot_prc_max, cot_prc_med, cot_prc_mediana) VALUES ("&amp;A1977&amp;", "&amp;B1977&amp;", "&amp;C1977&amp;", "&amp;D1977&amp;", "&amp;E1977&amp;", "&amp;F1977&amp;", "&amp;G1977&amp;", "&amp;H1977&amp;");"</f>
        <v>INSERT INTO COTACAO (cot_id, cot_blt_id, cot_pap_id, cot_prc_comum, cot_prc_min, cot_prc_max, cot_prc_med, cot_prc_mediana) VALUES (1976, 87, 26, NULL,  65.00,  90.00,  75.00,  70.00);</v>
      </c>
      <c r="J1977" s="0" t="str">
        <f aca="false">"UPDATE COTACAO SET cot_id = "&amp;A1977&amp;", cot_blt_id = "&amp;B1977&amp;", cot_pap_id = "&amp;C1977&amp;", cot_prc_comum = "&amp;D1977&amp;", cot_prc_min = "&amp;E1977&amp;", cot_prc_max = "&amp;F1977&amp;", cot_prc_med = "&amp;G1977&amp;", cot_prc_mediana = "&amp;H1977&amp;" WHERE cot_id = "&amp;A1977&amp;";"</f>
        <v>UPDATE COTACAO SET cot_id = 1976, cot_blt_id = 87, cot_pap_id = 26, cot_prc_comum = NULL, cot_prc_min =  65.00, cot_prc_max =  90.00, cot_prc_med =  75.00, cot_prc_mediana =  70.00 WHERE cot_id = 1976;</v>
      </c>
    </row>
    <row r="1978" customFormat="false" ht="14.25" hidden="false" customHeight="false" outlineLevel="0" collapsed="false">
      <c r="A1978" s="0" t="n">
        <v>1977</v>
      </c>
      <c r="B1978" s="0" t="n">
        <f aca="false">IF('Boletins Nuppa Site'!A1978&lt;&gt;0,'Boletins Nuppa Site'!A1978,"NULL")</f>
        <v>87</v>
      </c>
      <c r="C1978" s="0" t="n">
        <v>27</v>
      </c>
      <c r="D1978" s="0" t="str">
        <f aca="false">IF('Boletins Nuppa Site'!G1978&lt;&gt;0,'Boletins Nuppa Site'!G1978,"NULL")</f>
        <v>NULL</v>
      </c>
      <c r="E1978" s="30" t="str">
        <f aca="false">IF('Boletins Nuppa Site'!H1978&lt;&gt;0,'Boletins Nuppa Site'!H1978,"NULL")</f>
        <v> 80.00</v>
      </c>
      <c r="F1978" s="30" t="str">
        <f aca="false">IF('Boletins Nuppa Site'!I1978&lt;&gt;0,'Boletins Nuppa Site'!I1978,"NULL")</f>
        <v> 100.00</v>
      </c>
      <c r="G1978" s="30" t="str">
        <f aca="false">IF('Boletins Nuppa Site'!J1978&lt;&gt;0,'Boletins Nuppa Site'!J1978,"NULL")</f>
        <v> 90.00</v>
      </c>
      <c r="H1978" s="30" t="str">
        <f aca="false">IF('Boletins Nuppa Site'!K1978&lt;&gt;0,'Boletins Nuppa Site'!K1978,"NULL")</f>
        <v> 90.00</v>
      </c>
      <c r="I1978" s="0" t="str">
        <f aca="false">"INSERT INTO COTACAO (cot_id, cot_blt_id, cot_pap_id, cot_prc_comum, cot_prc_min, cot_prc_max, cot_prc_med, cot_prc_mediana) VALUES ("&amp;A1978&amp;", "&amp;B1978&amp;", "&amp;C1978&amp;", "&amp;D1978&amp;", "&amp;E1978&amp;", "&amp;F1978&amp;", "&amp;G1978&amp;", "&amp;H1978&amp;");"</f>
        <v>INSERT INTO COTACAO (cot_id, cot_blt_id, cot_pap_id, cot_prc_comum, cot_prc_min, cot_prc_max, cot_prc_med, cot_prc_mediana) VALUES (1977, 87, 27, NULL,  80.00,  100.00,  90.00,  90.00);</v>
      </c>
      <c r="J1978" s="0" t="str">
        <f aca="false">"UPDATE COTACAO SET cot_id = "&amp;A1978&amp;", cot_blt_id = "&amp;B1978&amp;", cot_pap_id = "&amp;C1978&amp;", cot_prc_comum = "&amp;D1978&amp;", cot_prc_min = "&amp;E1978&amp;", cot_prc_max = "&amp;F1978&amp;", cot_prc_med = "&amp;G1978&amp;", cot_prc_mediana = "&amp;H1978&amp;" WHERE cot_id = "&amp;A1978&amp;";"</f>
        <v>UPDATE COTACAO SET cot_id = 1977, cot_blt_id = 87, cot_pap_id = 27, cot_prc_comum = NULL, cot_prc_min =  80.00, cot_prc_max =  100.00, cot_prc_med =  90.00, cot_prc_mediana =  90.00 WHERE cot_id = 1977;</v>
      </c>
    </row>
    <row r="1979" customFormat="false" ht="14.25" hidden="false" customHeight="false" outlineLevel="0" collapsed="false">
      <c r="A1979" s="0" t="n">
        <v>1978</v>
      </c>
      <c r="B1979" s="0" t="n">
        <f aca="false">IF('Boletins Nuppa Site'!A1979&lt;&gt;0,'Boletins Nuppa Site'!A1979,"NULL")</f>
        <v>87</v>
      </c>
      <c r="C1979" s="0" t="n">
        <v>28</v>
      </c>
      <c r="D1979" s="0" t="str">
        <f aca="false">IF('Boletins Nuppa Site'!G1979&lt;&gt;0,'Boletins Nuppa Site'!G1979,"NULL")</f>
        <v> 70.00</v>
      </c>
      <c r="E1979" s="30" t="str">
        <f aca="false">IF('Boletins Nuppa Site'!H1979&lt;&gt;0,'Boletins Nuppa Site'!H1979,"NULL")</f>
        <v> 70.00</v>
      </c>
      <c r="F1979" s="30" t="str">
        <f aca="false">IF('Boletins Nuppa Site'!I1979&lt;&gt;0,'Boletins Nuppa Site'!I1979,"NULL")</f>
        <v> 70.00</v>
      </c>
      <c r="G1979" s="30" t="str">
        <f aca="false">IF('Boletins Nuppa Site'!J1979&lt;&gt;0,'Boletins Nuppa Site'!J1979,"NULL")</f>
        <v> 70.00</v>
      </c>
      <c r="H1979" s="30" t="str">
        <f aca="false">IF('Boletins Nuppa Site'!K1979&lt;&gt;0,'Boletins Nuppa Site'!K1979,"NULL")</f>
        <v> 70.00</v>
      </c>
      <c r="I1979" s="0" t="str">
        <f aca="false">"INSERT INTO COTACAO (cot_id, cot_blt_id, cot_pap_id, cot_prc_comum, cot_prc_min, cot_prc_max, cot_prc_med, cot_prc_mediana) VALUES ("&amp;A1979&amp;", "&amp;B1979&amp;", "&amp;C1979&amp;", "&amp;D1979&amp;", "&amp;E1979&amp;", "&amp;F1979&amp;", "&amp;G1979&amp;", "&amp;H1979&amp;");"</f>
        <v>INSERT INTO COTACAO (cot_id, cot_blt_id, cot_pap_id, cot_prc_comum, cot_prc_min, cot_prc_max, cot_prc_med, cot_prc_mediana) VALUES (1978, 87, 28,  70.00,  70.00,  70.00,  70.00,  70.00);</v>
      </c>
      <c r="J1979" s="0" t="str">
        <f aca="false">"UPDATE COTACAO SET cot_id = "&amp;A1979&amp;", cot_blt_id = "&amp;B1979&amp;", cot_pap_id = "&amp;C1979&amp;", cot_prc_comum = "&amp;D1979&amp;", cot_prc_min = "&amp;E1979&amp;", cot_prc_max = "&amp;F1979&amp;", cot_prc_med = "&amp;G1979&amp;", cot_prc_mediana = "&amp;H1979&amp;" WHERE cot_id = "&amp;A1979&amp;";"</f>
        <v>UPDATE COTACAO SET cot_id = 1978, cot_blt_id = 87, cot_pap_id = 28, cot_prc_comum =  70.00, cot_prc_min =  70.00, cot_prc_max =  70.00, cot_prc_med =  70.00, cot_prc_mediana =  70.00 WHERE cot_id = 1978;</v>
      </c>
    </row>
    <row r="1980" customFormat="false" ht="14.25" hidden="false" customHeight="false" outlineLevel="0" collapsed="false">
      <c r="A1980" s="0" t="n">
        <v>1979</v>
      </c>
      <c r="B1980" s="0" t="n">
        <f aca="false">IF('Boletins Nuppa Site'!A1980&lt;&gt;0,'Boletins Nuppa Site'!A1980,"NULL")</f>
        <v>87</v>
      </c>
      <c r="C1980" s="0" t="n">
        <v>29</v>
      </c>
      <c r="D1980" s="0" t="str">
        <f aca="false">IF('Boletins Nuppa Site'!G1980&lt;&gt;0,'Boletins Nuppa Site'!G1980,"NULL")</f>
        <v>NULL</v>
      </c>
      <c r="E1980" s="30" t="str">
        <f aca="false">IF('Boletins Nuppa Site'!H1980&lt;&gt;0,'Boletins Nuppa Site'!H1980,"NULL")</f>
        <v> 75.00</v>
      </c>
      <c r="F1980" s="30" t="str">
        <f aca="false">IF('Boletins Nuppa Site'!I1980&lt;&gt;0,'Boletins Nuppa Site'!I1980,"NULL")</f>
        <v> 75.00</v>
      </c>
      <c r="G1980" s="30" t="str">
        <f aca="false">IF('Boletins Nuppa Site'!J1980&lt;&gt;0,'Boletins Nuppa Site'!J1980,"NULL")</f>
        <v> 75.00</v>
      </c>
      <c r="H1980" s="30" t="str">
        <f aca="false">IF('Boletins Nuppa Site'!K1980&lt;&gt;0,'Boletins Nuppa Site'!K1980,"NULL")</f>
        <v> 75.00</v>
      </c>
      <c r="I1980" s="0" t="str">
        <f aca="false">"INSERT INTO COTACAO (cot_id, cot_blt_id, cot_pap_id, cot_prc_comum, cot_prc_min, cot_prc_max, cot_prc_med, cot_prc_mediana) VALUES ("&amp;A1980&amp;", "&amp;B1980&amp;", "&amp;C1980&amp;", "&amp;D1980&amp;", "&amp;E1980&amp;", "&amp;F1980&amp;", "&amp;G1980&amp;", "&amp;H1980&amp;");"</f>
        <v>INSERT INTO COTACAO (cot_id, cot_blt_id, cot_pap_id, cot_prc_comum, cot_prc_min, cot_prc_max, cot_prc_med, cot_prc_mediana) VALUES (1979, 87, 29, NULL,  75.00,  75.00,  75.00,  75.00);</v>
      </c>
      <c r="J1980" s="0" t="str">
        <f aca="false">"UPDATE COTACAO SET cot_id = "&amp;A1980&amp;", cot_blt_id = "&amp;B1980&amp;", cot_pap_id = "&amp;C1980&amp;", cot_prc_comum = "&amp;D1980&amp;", cot_prc_min = "&amp;E1980&amp;", cot_prc_max = "&amp;F1980&amp;", cot_prc_med = "&amp;G1980&amp;", cot_prc_mediana = "&amp;H1980&amp;" WHERE cot_id = "&amp;A1980&amp;";"</f>
        <v>UPDATE COTACAO SET cot_id = 1979, cot_blt_id = 87, cot_pap_id = 29, cot_prc_comum = NULL, cot_prc_min =  75.00, cot_prc_max =  75.00, cot_prc_med =  75.00, cot_prc_mediana =  75.00 WHERE cot_id = 1979;</v>
      </c>
    </row>
    <row r="1981" customFormat="false" ht="14.25" hidden="false" customHeight="false" outlineLevel="0" collapsed="false">
      <c r="A1981" s="0" t="n">
        <v>1980</v>
      </c>
      <c r="B1981" s="0" t="n">
        <f aca="false">IF('Boletins Nuppa Site'!A1981&lt;&gt;0,'Boletins Nuppa Site'!A1981,"NULL")</f>
        <v>87</v>
      </c>
      <c r="C1981" s="0" t="n">
        <v>30</v>
      </c>
      <c r="D1981" s="0" t="str">
        <f aca="false">IF('Boletins Nuppa Site'!G1981&lt;&gt;0,'Boletins Nuppa Site'!G1981,"NULL")</f>
        <v>NULL</v>
      </c>
      <c r="E1981" s="30" t="str">
        <f aca="false">IF('Boletins Nuppa Site'!H1981&lt;&gt;0,'Boletins Nuppa Site'!H1981,"NULL")</f>
        <v> 80.00</v>
      </c>
      <c r="F1981" s="30" t="str">
        <f aca="false">IF('Boletins Nuppa Site'!I1981&lt;&gt;0,'Boletins Nuppa Site'!I1981,"NULL")</f>
        <v> 80.00</v>
      </c>
      <c r="G1981" s="30" t="str">
        <f aca="false">IF('Boletins Nuppa Site'!J1981&lt;&gt;0,'Boletins Nuppa Site'!J1981,"NULL")</f>
        <v> 80.00</v>
      </c>
      <c r="H1981" s="30" t="str">
        <f aca="false">IF('Boletins Nuppa Site'!K1981&lt;&gt;0,'Boletins Nuppa Site'!K1981,"NULL")</f>
        <v> 80.00</v>
      </c>
      <c r="I1981" s="0" t="str">
        <f aca="false">"INSERT INTO COTACAO (cot_id, cot_blt_id, cot_pap_id, cot_prc_comum, cot_prc_min, cot_prc_max, cot_prc_med, cot_prc_mediana) VALUES ("&amp;A1981&amp;", "&amp;B1981&amp;", "&amp;C1981&amp;", "&amp;D1981&amp;", "&amp;E1981&amp;", "&amp;F1981&amp;", "&amp;G1981&amp;", "&amp;H1981&amp;");"</f>
        <v>INSERT INTO COTACAO (cot_id, cot_blt_id, cot_pap_id, cot_prc_comum, cot_prc_min, cot_prc_max, cot_prc_med, cot_prc_mediana) VALUES (1980, 87, 30, NULL,  80.00,  80.00,  80.00,  80.00);</v>
      </c>
      <c r="J1981" s="0" t="str">
        <f aca="false">"UPDATE COTACAO SET cot_id = "&amp;A1981&amp;", cot_blt_id = "&amp;B1981&amp;", cot_pap_id = "&amp;C1981&amp;", cot_prc_comum = "&amp;D1981&amp;", cot_prc_min = "&amp;E1981&amp;", cot_prc_max = "&amp;F1981&amp;", cot_prc_med = "&amp;G1981&amp;", cot_prc_mediana = "&amp;H1981&amp;" WHERE cot_id = "&amp;A1981&amp;";"</f>
        <v>UPDATE COTACAO SET cot_id = 1980, cot_blt_id = 87, cot_pap_id = 30, cot_prc_comum = NULL, cot_prc_min =  80.00, cot_prc_max =  80.00, cot_prc_med =  80.00, cot_prc_mediana =  80.00 WHERE cot_id = 1980;</v>
      </c>
    </row>
    <row r="1982" customFormat="false" ht="14.25" hidden="false" customHeight="false" outlineLevel="0" collapsed="false">
      <c r="A1982" s="0" t="n">
        <v>1981</v>
      </c>
      <c r="B1982" s="0" t="n">
        <f aca="false">IF('Boletins Nuppa Site'!A1982&lt;&gt;0,'Boletins Nuppa Site'!A1982,"NULL")</f>
        <v>87</v>
      </c>
      <c r="C1982" s="0" t="n">
        <v>31</v>
      </c>
      <c r="D1982" s="0" t="str">
        <f aca="false">IF('Boletins Nuppa Site'!G1982&lt;&gt;0,'Boletins Nuppa Site'!G1982,"NULL")</f>
        <v>NULL</v>
      </c>
      <c r="E1982" s="30" t="str">
        <f aca="false">IF('Boletins Nuppa Site'!H1982&lt;&gt;0,'Boletins Nuppa Site'!H1982,"NULL")</f>
        <v> 85.00</v>
      </c>
      <c r="F1982" s="30" t="str">
        <f aca="false">IF('Boletins Nuppa Site'!I1982&lt;&gt;0,'Boletins Nuppa Site'!I1982,"NULL")</f>
        <v> 120.00</v>
      </c>
      <c r="G1982" s="30" t="str">
        <f aca="false">IF('Boletins Nuppa Site'!J1982&lt;&gt;0,'Boletins Nuppa Site'!J1982,"NULL")</f>
        <v> 101.67</v>
      </c>
      <c r="H1982" s="30" t="str">
        <f aca="false">IF('Boletins Nuppa Site'!K1982&lt;&gt;0,'Boletins Nuppa Site'!K1982,"NULL")</f>
        <v> 100.00</v>
      </c>
      <c r="I1982" s="0" t="str">
        <f aca="false">"INSERT INTO COTACAO (cot_id, cot_blt_id, cot_pap_id, cot_prc_comum, cot_prc_min, cot_prc_max, cot_prc_med, cot_prc_mediana) VALUES ("&amp;A1982&amp;", "&amp;B1982&amp;", "&amp;C1982&amp;", "&amp;D1982&amp;", "&amp;E1982&amp;", "&amp;F1982&amp;", "&amp;G1982&amp;", "&amp;H1982&amp;");"</f>
        <v>INSERT INTO COTACAO (cot_id, cot_blt_id, cot_pap_id, cot_prc_comum, cot_prc_min, cot_prc_max, cot_prc_med, cot_prc_mediana) VALUES (1981, 87, 31, NULL,  85.00,  120.00,  101.67,  100.00);</v>
      </c>
      <c r="J1982" s="0" t="str">
        <f aca="false">"UPDATE COTACAO SET cot_id = "&amp;A1982&amp;", cot_blt_id = "&amp;B1982&amp;", cot_pap_id = "&amp;C1982&amp;", cot_prc_comum = "&amp;D1982&amp;", cot_prc_min = "&amp;E1982&amp;", cot_prc_max = "&amp;F1982&amp;", cot_prc_med = "&amp;G1982&amp;", cot_prc_mediana = "&amp;H1982&amp;" WHERE cot_id = "&amp;A1982&amp;";"</f>
        <v>UPDATE COTACAO SET cot_id = 1981, cot_blt_id = 87, cot_pap_id = 31, cot_prc_comum = NULL, cot_prc_min =  85.00, cot_prc_max =  120.00, cot_prc_med =  101.67, cot_prc_mediana =  100.00 WHERE cot_id = 1981;</v>
      </c>
    </row>
    <row r="1983" customFormat="false" ht="14.25" hidden="false" customHeight="false" outlineLevel="0" collapsed="false">
      <c r="A1983" s="0" t="n">
        <v>1982</v>
      </c>
      <c r="B1983" s="0" t="n">
        <f aca="false">IF('Boletins Nuppa Site'!A1983&lt;&gt;0,'Boletins Nuppa Site'!A1983,"NULL")</f>
        <v>87</v>
      </c>
      <c r="C1983" s="0" t="n">
        <v>32</v>
      </c>
      <c r="D1983" s="0" t="str">
        <f aca="false">IF('Boletins Nuppa Site'!G1983&lt;&gt;0,'Boletins Nuppa Site'!G1983,"NULL")</f>
        <v>NULL</v>
      </c>
      <c r="E1983" s="30" t="str">
        <f aca="false">IF('Boletins Nuppa Site'!H1983&lt;&gt;0,'Boletins Nuppa Site'!H1983,"NULL")</f>
        <v> 30.00</v>
      </c>
      <c r="F1983" s="30" t="str">
        <f aca="false">IF('Boletins Nuppa Site'!I1983&lt;&gt;0,'Boletins Nuppa Site'!I1983,"NULL")</f>
        <v> 50.00</v>
      </c>
      <c r="G1983" s="30" t="str">
        <f aca="false">IF('Boletins Nuppa Site'!J1983&lt;&gt;0,'Boletins Nuppa Site'!J1983,"NULL")</f>
        <v> 40.00</v>
      </c>
      <c r="H1983" s="30" t="str">
        <f aca="false">IF('Boletins Nuppa Site'!K1983&lt;&gt;0,'Boletins Nuppa Site'!K1983,"NULL")</f>
        <v> 40.00</v>
      </c>
      <c r="I1983" s="0" t="str">
        <f aca="false">"INSERT INTO COTACAO (cot_id, cot_blt_id, cot_pap_id, cot_prc_comum, cot_prc_min, cot_prc_max, cot_prc_med, cot_prc_mediana) VALUES ("&amp;A1983&amp;", "&amp;B1983&amp;", "&amp;C1983&amp;", "&amp;D1983&amp;", "&amp;E1983&amp;", "&amp;F1983&amp;", "&amp;G1983&amp;", "&amp;H1983&amp;");"</f>
        <v>INSERT INTO COTACAO (cot_id, cot_blt_id, cot_pap_id, cot_prc_comum, cot_prc_min, cot_prc_max, cot_prc_med, cot_prc_mediana) VALUES (1982, 87, 32, NULL,  30.00,  50.00,  40.00,  40.00);</v>
      </c>
      <c r="J1983" s="0" t="str">
        <f aca="false">"UPDATE COTACAO SET cot_id = "&amp;A1983&amp;", cot_blt_id = "&amp;B1983&amp;", cot_pap_id = "&amp;C1983&amp;", cot_prc_comum = "&amp;D1983&amp;", cot_prc_min = "&amp;E1983&amp;", cot_prc_max = "&amp;F1983&amp;", cot_prc_med = "&amp;G1983&amp;", cot_prc_mediana = "&amp;H1983&amp;" WHERE cot_id = "&amp;A1983&amp;";"</f>
        <v>UPDATE COTACAO SET cot_id = 1982, cot_blt_id = 87, cot_pap_id = 32, cot_prc_comum = NULL, cot_prc_min =  30.00, cot_prc_max =  50.00, cot_prc_med =  40.00, cot_prc_mediana =  40.00 WHERE cot_id = 1982;</v>
      </c>
    </row>
    <row r="1984" customFormat="false" ht="14.25" hidden="false" customHeight="false" outlineLevel="0" collapsed="false">
      <c r="A1984" s="0" t="n">
        <v>1983</v>
      </c>
      <c r="B1984" s="0" t="n">
        <f aca="false">IF('Boletins Nuppa Site'!A1984&lt;&gt;0,'Boletins Nuppa Site'!A1984,"NULL")</f>
        <v>87</v>
      </c>
      <c r="C1984" s="0" t="n">
        <v>33</v>
      </c>
      <c r="D1984" s="0" t="str">
        <f aca="false">IF('Boletins Nuppa Site'!G1984&lt;&gt;0,'Boletins Nuppa Site'!G1984,"NULL")</f>
        <v> 130.00</v>
      </c>
      <c r="E1984" s="30" t="str">
        <f aca="false">IF('Boletins Nuppa Site'!H1984&lt;&gt;0,'Boletins Nuppa Site'!H1984,"NULL")</f>
        <v> 110.00</v>
      </c>
      <c r="F1984" s="30" t="str">
        <f aca="false">IF('Boletins Nuppa Site'!I1984&lt;&gt;0,'Boletins Nuppa Site'!I1984,"NULL")</f>
        <v> 130.00</v>
      </c>
      <c r="G1984" s="30" t="str">
        <f aca="false">IF('Boletins Nuppa Site'!J1984&lt;&gt;0,'Boletins Nuppa Site'!J1984,"NULL")</f>
        <v> 123.33</v>
      </c>
      <c r="H1984" s="30" t="str">
        <f aca="false">IF('Boletins Nuppa Site'!K1984&lt;&gt;0,'Boletins Nuppa Site'!K1984,"NULL")</f>
        <v> 130.00</v>
      </c>
      <c r="I1984" s="0" t="str">
        <f aca="false">"INSERT INTO COTACAO (cot_id, cot_blt_id, cot_pap_id, cot_prc_comum, cot_prc_min, cot_prc_max, cot_prc_med, cot_prc_mediana) VALUES ("&amp;A1984&amp;", "&amp;B1984&amp;", "&amp;C1984&amp;", "&amp;D1984&amp;", "&amp;E1984&amp;", "&amp;F1984&amp;", "&amp;G1984&amp;", "&amp;H1984&amp;");"</f>
        <v>INSERT INTO COTACAO (cot_id, cot_blt_id, cot_pap_id, cot_prc_comum, cot_prc_min, cot_prc_max, cot_prc_med, cot_prc_mediana) VALUES (1983, 87, 33,  130.00,  110.00,  130.00,  123.33,  130.00);</v>
      </c>
      <c r="J1984" s="0" t="str">
        <f aca="false">"UPDATE COTACAO SET cot_id = "&amp;A1984&amp;", cot_blt_id = "&amp;B1984&amp;", cot_pap_id = "&amp;C1984&amp;", cot_prc_comum = "&amp;D1984&amp;", cot_prc_min = "&amp;E1984&amp;", cot_prc_max = "&amp;F1984&amp;", cot_prc_med = "&amp;G1984&amp;", cot_prc_mediana = "&amp;H1984&amp;" WHERE cot_id = "&amp;A1984&amp;";"</f>
        <v>UPDATE COTACAO SET cot_id = 1983, cot_blt_id = 87, cot_pap_id = 33, cot_prc_comum =  130.00, cot_prc_min =  110.00, cot_prc_max =  130.00, cot_prc_med =  123.33, cot_prc_mediana =  130.00 WHERE cot_id = 1983;</v>
      </c>
    </row>
    <row r="1985" customFormat="false" ht="14.25" hidden="false" customHeight="false" outlineLevel="0" collapsed="false">
      <c r="A1985" s="0" t="n">
        <v>1984</v>
      </c>
      <c r="B1985" s="0" t="n">
        <f aca="false">IF('Boletins Nuppa Site'!A1985&lt;&gt;0,'Boletins Nuppa Site'!A1985,"NULL")</f>
        <v>87</v>
      </c>
      <c r="C1985" s="0" t="n">
        <v>34</v>
      </c>
      <c r="D1985" s="0" t="str">
        <f aca="false">IF('Boletins Nuppa Site'!G1985&lt;&gt;0,'Boletins Nuppa Site'!G1985,"NULL")</f>
        <v> 60.00</v>
      </c>
      <c r="E1985" s="30" t="str">
        <f aca="false">IF('Boletins Nuppa Site'!H1985&lt;&gt;0,'Boletins Nuppa Site'!H1985,"NULL")</f>
        <v> 60.00</v>
      </c>
      <c r="F1985" s="30" t="str">
        <f aca="false">IF('Boletins Nuppa Site'!I1985&lt;&gt;0,'Boletins Nuppa Site'!I1985,"NULL")</f>
        <v> 80.00</v>
      </c>
      <c r="G1985" s="30" t="str">
        <f aca="false">IF('Boletins Nuppa Site'!J1985&lt;&gt;0,'Boletins Nuppa Site'!J1985,"NULL")</f>
        <v> 66.67</v>
      </c>
      <c r="H1985" s="30" t="str">
        <f aca="false">IF('Boletins Nuppa Site'!K1985&lt;&gt;0,'Boletins Nuppa Site'!K1985,"NULL")</f>
        <v> 60.00</v>
      </c>
      <c r="I1985" s="0" t="str">
        <f aca="false">"INSERT INTO COTACAO (cot_id, cot_blt_id, cot_pap_id, cot_prc_comum, cot_prc_min, cot_prc_max, cot_prc_med, cot_prc_mediana) VALUES ("&amp;A1985&amp;", "&amp;B1985&amp;", "&amp;C1985&amp;", "&amp;D1985&amp;", "&amp;E1985&amp;", "&amp;F1985&amp;", "&amp;G1985&amp;", "&amp;H1985&amp;");"</f>
        <v>INSERT INTO COTACAO (cot_id, cot_blt_id, cot_pap_id, cot_prc_comum, cot_prc_min, cot_prc_max, cot_prc_med, cot_prc_mediana) VALUES (1984, 87, 34,  60.00,  60.00,  80.00,  66.67,  60.00);</v>
      </c>
      <c r="J1985" s="0" t="str">
        <f aca="false">"UPDATE COTACAO SET cot_id = "&amp;A1985&amp;", cot_blt_id = "&amp;B1985&amp;", cot_pap_id = "&amp;C1985&amp;", cot_prc_comum = "&amp;D1985&amp;", cot_prc_min = "&amp;E1985&amp;", cot_prc_max = "&amp;F1985&amp;", cot_prc_med = "&amp;G1985&amp;", cot_prc_mediana = "&amp;H1985&amp;" WHERE cot_id = "&amp;A1985&amp;";"</f>
        <v>UPDATE COTACAO SET cot_id = 1984, cot_blt_id = 87, cot_pap_id = 34, cot_prc_comum =  60.00, cot_prc_min =  60.00, cot_prc_max =  80.00, cot_prc_med =  66.67, cot_prc_mediana =  60.00 WHERE cot_id = 1984;</v>
      </c>
    </row>
    <row r="1986" customFormat="false" ht="14.25" hidden="false" customHeight="false" outlineLevel="0" collapsed="false">
      <c r="A1986" s="0" t="n">
        <v>1985</v>
      </c>
      <c r="B1986" s="0" t="n">
        <f aca="false">IF('Boletins Nuppa Site'!A1986&lt;&gt;0,'Boletins Nuppa Site'!A1986,"NULL")</f>
        <v>87</v>
      </c>
      <c r="C1986" s="0" t="n">
        <v>35</v>
      </c>
      <c r="D1986" s="0" t="str">
        <f aca="false">IF('Boletins Nuppa Site'!G1986&lt;&gt;0,'Boletins Nuppa Site'!G1986,"NULL")</f>
        <v>NULL</v>
      </c>
      <c r="E1986" s="30" t="str">
        <f aca="false">IF('Boletins Nuppa Site'!H1986&lt;&gt;0,'Boletins Nuppa Site'!H1986,"NULL")</f>
        <v> 160.00</v>
      </c>
      <c r="F1986" s="30" t="str">
        <f aca="false">IF('Boletins Nuppa Site'!I1986&lt;&gt;0,'Boletins Nuppa Site'!I1986,"NULL")</f>
        <v> 90.00</v>
      </c>
      <c r="G1986" s="30" t="str">
        <f aca="false">IF('Boletins Nuppa Site'!J1986&lt;&gt;0,'Boletins Nuppa Site'!J1986,"NULL")</f>
        <v> 116.67</v>
      </c>
      <c r="H1986" s="30" t="str">
        <f aca="false">IF('Boletins Nuppa Site'!K1986&lt;&gt;0,'Boletins Nuppa Site'!K1986,"NULL")</f>
        <v> 100.00</v>
      </c>
      <c r="I1986" s="0" t="str">
        <f aca="false">"INSERT INTO COTACAO (cot_id, cot_blt_id, cot_pap_id, cot_prc_comum, cot_prc_min, cot_prc_max, cot_prc_med, cot_prc_mediana) VALUES ("&amp;A1986&amp;", "&amp;B1986&amp;", "&amp;C1986&amp;", "&amp;D1986&amp;", "&amp;E1986&amp;", "&amp;F1986&amp;", "&amp;G1986&amp;", "&amp;H1986&amp;");"</f>
        <v>INSERT INTO COTACAO (cot_id, cot_blt_id, cot_pap_id, cot_prc_comum, cot_prc_min, cot_prc_max, cot_prc_med, cot_prc_mediana) VALUES (1985, 87, 35, NULL,  160.00,  90.00,  116.67,  100.00);</v>
      </c>
      <c r="J1986" s="0" t="str">
        <f aca="false">"UPDATE COTACAO SET cot_id = "&amp;A1986&amp;", cot_blt_id = "&amp;B1986&amp;", cot_pap_id = "&amp;C1986&amp;", cot_prc_comum = "&amp;D1986&amp;", cot_prc_min = "&amp;E1986&amp;", cot_prc_max = "&amp;F1986&amp;", cot_prc_med = "&amp;G1986&amp;", cot_prc_mediana = "&amp;H1986&amp;" WHERE cot_id = "&amp;A1986&amp;";"</f>
        <v>UPDATE COTACAO SET cot_id = 1985, cot_blt_id = 87, cot_pap_id = 35, cot_prc_comum = NULL, cot_prc_min =  160.00, cot_prc_max =  90.00, cot_prc_med =  116.67, cot_prc_mediana =  100.00 WHERE cot_id = 1985;</v>
      </c>
    </row>
    <row r="1987" customFormat="false" ht="14.25" hidden="false" customHeight="false" outlineLevel="0" collapsed="false">
      <c r="A1987" s="0" t="n">
        <v>1986</v>
      </c>
      <c r="B1987" s="0" t="n">
        <f aca="false">IF('Boletins Nuppa Site'!A1987&lt;&gt;0,'Boletins Nuppa Site'!A1987,"NULL")</f>
        <v>87</v>
      </c>
      <c r="C1987" s="0" t="n">
        <v>36</v>
      </c>
      <c r="D1987" s="0" t="str">
        <f aca="false">IF('Boletins Nuppa Site'!G1987&lt;&gt;0,'Boletins Nuppa Site'!G1987,"NULL")</f>
        <v>NULL</v>
      </c>
      <c r="E1987" s="30" t="str">
        <f aca="false">IF('Boletins Nuppa Site'!H1987&lt;&gt;0,'Boletins Nuppa Site'!H1987,"NULL")</f>
        <v>NULL</v>
      </c>
      <c r="F1987" s="30" t="str">
        <f aca="false">IF('Boletins Nuppa Site'!I1987&lt;&gt;0,'Boletins Nuppa Site'!I1987,"NULL")</f>
        <v>NULL</v>
      </c>
      <c r="G1987" s="30" t="str">
        <f aca="false">IF('Boletins Nuppa Site'!J1987&lt;&gt;0,'Boletins Nuppa Site'!J1987,"NULL")</f>
        <v>NULL</v>
      </c>
      <c r="H1987" s="30" t="str">
        <f aca="false">IF('Boletins Nuppa Site'!K1987&lt;&gt;0,'Boletins Nuppa Site'!K1987,"NULL")</f>
        <v>NULL</v>
      </c>
      <c r="I1987" s="0" t="str">
        <f aca="false">"INSERT INTO COTACAO (cot_id, cot_blt_id, cot_pap_id, cot_prc_comum, cot_prc_min, cot_prc_max, cot_prc_med, cot_prc_mediana) VALUES ("&amp;A1987&amp;", "&amp;B1987&amp;", "&amp;C1987&amp;", "&amp;D1987&amp;", "&amp;E1987&amp;", "&amp;F1987&amp;", "&amp;G1987&amp;", "&amp;H1987&amp;");"</f>
        <v>INSERT INTO COTACAO (cot_id, cot_blt_id, cot_pap_id, cot_prc_comum, cot_prc_min, cot_prc_max, cot_prc_med, cot_prc_mediana) VALUES (1986, 87, 36, NULL, NULL, NULL, NULL, NULL);</v>
      </c>
      <c r="J1987" s="0" t="str">
        <f aca="false">"UPDATE COTACAO SET cot_id = "&amp;A1987&amp;", cot_blt_id = "&amp;B1987&amp;", cot_pap_id = "&amp;C1987&amp;", cot_prc_comum = "&amp;D1987&amp;", cot_prc_min = "&amp;E1987&amp;", cot_prc_max = "&amp;F1987&amp;", cot_prc_med = "&amp;G1987&amp;", cot_prc_mediana = "&amp;H1987&amp;" WHERE cot_id = "&amp;A1987&amp;";"</f>
        <v>UPDATE COTACAO SET cot_id = 1986, cot_blt_id = 87, cot_pap_id = 36, cot_prc_comum = NULL, cot_prc_min = NULL, cot_prc_max = NULL, cot_prc_med = NULL, cot_prc_mediana = NULL WHERE cot_id = 1986;</v>
      </c>
    </row>
    <row r="1988" customFormat="false" ht="14.25" hidden="false" customHeight="false" outlineLevel="0" collapsed="false">
      <c r="A1988" s="0" t="n">
        <v>1987</v>
      </c>
      <c r="B1988" s="0" t="n">
        <f aca="false">IF('Boletins Nuppa Site'!A1988&lt;&gt;0,'Boletins Nuppa Site'!A1988,"NULL")</f>
        <v>87</v>
      </c>
      <c r="C1988" s="0" t="n">
        <v>37</v>
      </c>
      <c r="D1988" s="0" t="str">
        <f aca="false">IF('Boletins Nuppa Site'!G1988&lt;&gt;0,'Boletins Nuppa Site'!G1988,"NULL")</f>
        <v>NULL</v>
      </c>
      <c r="E1988" s="30" t="str">
        <f aca="false">IF('Boletins Nuppa Site'!H1988&lt;&gt;0,'Boletins Nuppa Site'!H1988,"NULL")</f>
        <v>NULL</v>
      </c>
      <c r="F1988" s="30" t="str">
        <f aca="false">IF('Boletins Nuppa Site'!I1988&lt;&gt;0,'Boletins Nuppa Site'!I1988,"NULL")</f>
        <v>NULL</v>
      </c>
      <c r="G1988" s="30" t="str">
        <f aca="false">IF('Boletins Nuppa Site'!J1988&lt;&gt;0,'Boletins Nuppa Site'!J1988,"NULL")</f>
        <v>NULL</v>
      </c>
      <c r="H1988" s="30" t="str">
        <f aca="false">IF('Boletins Nuppa Site'!K1988&lt;&gt;0,'Boletins Nuppa Site'!K1988,"NULL")</f>
        <v>NULL</v>
      </c>
      <c r="I1988" s="0" t="str">
        <f aca="false">"INSERT INTO COTACAO (cot_id, cot_blt_id, cot_pap_id, cot_prc_comum, cot_prc_min, cot_prc_max, cot_prc_med, cot_prc_mediana) VALUES ("&amp;A1988&amp;", "&amp;B1988&amp;", "&amp;C1988&amp;", "&amp;D1988&amp;", "&amp;E1988&amp;", "&amp;F1988&amp;", "&amp;G1988&amp;", "&amp;H1988&amp;");"</f>
        <v>INSERT INTO COTACAO (cot_id, cot_blt_id, cot_pap_id, cot_prc_comum, cot_prc_min, cot_prc_max, cot_prc_med, cot_prc_mediana) VALUES (1987, 87, 37, NULL, NULL, NULL, NULL, NULL);</v>
      </c>
      <c r="J1988" s="0" t="str">
        <f aca="false">"UPDATE COTACAO SET cot_id = "&amp;A1988&amp;", cot_blt_id = "&amp;B1988&amp;", cot_pap_id = "&amp;C1988&amp;", cot_prc_comum = "&amp;D1988&amp;", cot_prc_min = "&amp;E1988&amp;", cot_prc_max = "&amp;F1988&amp;", cot_prc_med = "&amp;G1988&amp;", cot_prc_mediana = "&amp;H1988&amp;" WHERE cot_id = "&amp;A1988&amp;";"</f>
        <v>UPDATE COTACAO SET cot_id = 1987, cot_blt_id = 87, cot_pap_id = 37, cot_prc_comum = NULL, cot_prc_min = NULL, cot_prc_max = NULL, cot_prc_med = NULL, cot_prc_mediana = NULL WHERE cot_id = 1987;</v>
      </c>
    </row>
    <row r="1989" customFormat="false" ht="14.25" hidden="false" customHeight="false" outlineLevel="0" collapsed="false">
      <c r="A1989" s="0" t="n">
        <v>1988</v>
      </c>
      <c r="B1989" s="0" t="n">
        <f aca="false">IF('Boletins Nuppa Site'!A1989&lt;&gt;0,'Boletins Nuppa Site'!A1989,"NULL")</f>
        <v>87</v>
      </c>
      <c r="C1989" s="0" t="n">
        <v>38</v>
      </c>
      <c r="D1989" s="0" t="str">
        <f aca="false">IF('Boletins Nuppa Site'!G1989&lt;&gt;0,'Boletins Nuppa Site'!G1989,"NULL")</f>
        <v>NULL</v>
      </c>
      <c r="E1989" s="30" t="str">
        <f aca="false">IF('Boletins Nuppa Site'!H1989&lt;&gt;0,'Boletins Nuppa Site'!H1989,"NULL")</f>
        <v>NULL</v>
      </c>
      <c r="F1989" s="30" t="str">
        <f aca="false">IF('Boletins Nuppa Site'!I1989&lt;&gt;0,'Boletins Nuppa Site'!I1989,"NULL")</f>
        <v>NULL</v>
      </c>
      <c r="G1989" s="30" t="str">
        <f aca="false">IF('Boletins Nuppa Site'!J1989&lt;&gt;0,'Boletins Nuppa Site'!J1989,"NULL")</f>
        <v>NULL</v>
      </c>
      <c r="H1989" s="30" t="str">
        <f aca="false">IF('Boletins Nuppa Site'!K1989&lt;&gt;0,'Boletins Nuppa Site'!K1989,"NULL")</f>
        <v>NULL</v>
      </c>
      <c r="I1989" s="0" t="str">
        <f aca="false">"INSERT INTO COTACAO (cot_id, cot_blt_id, cot_pap_id, cot_prc_comum, cot_prc_min, cot_prc_max, cot_prc_med, cot_prc_mediana) VALUES ("&amp;A1989&amp;", "&amp;B1989&amp;", "&amp;C1989&amp;", "&amp;D1989&amp;", "&amp;E1989&amp;", "&amp;F1989&amp;", "&amp;G1989&amp;", "&amp;H1989&amp;");"</f>
        <v>INSERT INTO COTACAO (cot_id, cot_blt_id, cot_pap_id, cot_prc_comum, cot_prc_min, cot_prc_max, cot_prc_med, cot_prc_mediana) VALUES (1988, 87, 38, NULL, NULL, NULL, NULL, NULL);</v>
      </c>
      <c r="J1989" s="0" t="str">
        <f aca="false">"UPDATE COTACAO SET cot_id = "&amp;A1989&amp;", cot_blt_id = "&amp;B1989&amp;", cot_pap_id = "&amp;C1989&amp;", cot_prc_comum = "&amp;D1989&amp;", cot_prc_min = "&amp;E1989&amp;", cot_prc_max = "&amp;F1989&amp;", cot_prc_med = "&amp;G1989&amp;", cot_prc_mediana = "&amp;H1989&amp;" WHERE cot_id = "&amp;A1989&amp;";"</f>
        <v>UPDATE COTACAO SET cot_id = 1988, cot_blt_id = 87, cot_pap_id = 38, cot_prc_comum = NULL, cot_prc_min = NULL, cot_prc_max = NULL, cot_prc_med = NULL, cot_prc_mediana = NULL WHERE cot_id = 1988;</v>
      </c>
    </row>
    <row r="1990" customFormat="false" ht="14.25" hidden="false" customHeight="false" outlineLevel="0" collapsed="false">
      <c r="A1990" s="0" t="n">
        <v>1989</v>
      </c>
      <c r="B1990" s="0" t="n">
        <f aca="false">IF('Boletins Nuppa Site'!A1990&lt;&gt;0,'Boletins Nuppa Site'!A1990,"NULL")</f>
        <v>87</v>
      </c>
      <c r="C1990" s="0" t="n">
        <v>39</v>
      </c>
      <c r="D1990" s="0" t="str">
        <f aca="false">IF('Boletins Nuppa Site'!G1990&lt;&gt;0,'Boletins Nuppa Site'!G1990,"NULL")</f>
        <v>NULL</v>
      </c>
      <c r="E1990" s="30" t="str">
        <f aca="false">IF('Boletins Nuppa Site'!H1990&lt;&gt;0,'Boletins Nuppa Site'!H1990,"NULL")</f>
        <v>NULL</v>
      </c>
      <c r="F1990" s="30" t="str">
        <f aca="false">IF('Boletins Nuppa Site'!I1990&lt;&gt;0,'Boletins Nuppa Site'!I1990,"NULL")</f>
        <v>NULL</v>
      </c>
      <c r="G1990" s="30" t="str">
        <f aca="false">IF('Boletins Nuppa Site'!J1990&lt;&gt;0,'Boletins Nuppa Site'!J1990,"NULL")</f>
        <v>NULL</v>
      </c>
      <c r="H1990" s="30" t="str">
        <f aca="false">IF('Boletins Nuppa Site'!K1990&lt;&gt;0,'Boletins Nuppa Site'!K1990,"NULL")</f>
        <v>NULL</v>
      </c>
      <c r="I1990" s="0" t="str">
        <f aca="false">"INSERT INTO COTACAO (cot_id, cot_blt_id, cot_pap_id, cot_prc_comum, cot_prc_min, cot_prc_max, cot_prc_med, cot_prc_mediana) VALUES ("&amp;A1990&amp;", "&amp;B1990&amp;", "&amp;C1990&amp;", "&amp;D1990&amp;", "&amp;E1990&amp;", "&amp;F1990&amp;", "&amp;G1990&amp;", "&amp;H1990&amp;");"</f>
        <v>INSERT INTO COTACAO (cot_id, cot_blt_id, cot_pap_id, cot_prc_comum, cot_prc_min, cot_prc_max, cot_prc_med, cot_prc_mediana) VALUES (1989, 87, 39, NULL, NULL, NULL, NULL, NULL);</v>
      </c>
      <c r="J1990" s="0" t="str">
        <f aca="false">"UPDATE COTACAO SET cot_id = "&amp;A1990&amp;", cot_blt_id = "&amp;B1990&amp;", cot_pap_id = "&amp;C1990&amp;", cot_prc_comum = "&amp;D1990&amp;", cot_prc_min = "&amp;E1990&amp;", cot_prc_max = "&amp;F1990&amp;", cot_prc_med = "&amp;G1990&amp;", cot_prc_mediana = "&amp;H1990&amp;" WHERE cot_id = "&amp;A1990&amp;";"</f>
        <v>UPDATE COTACAO SET cot_id = 1989, cot_blt_id = 87, cot_pap_id = 39, cot_prc_comum = NULL, cot_prc_min = NULL, cot_prc_max = NULL, cot_prc_med = NULL, cot_prc_mediana = NULL WHERE cot_id = 1989;</v>
      </c>
    </row>
    <row r="1991" customFormat="false" ht="14.25" hidden="false" customHeight="false" outlineLevel="0" collapsed="false">
      <c r="A1991" s="0" t="n">
        <v>1990</v>
      </c>
      <c r="B1991" s="0" t="n">
        <f aca="false">IF('Boletins Nuppa Site'!A1991&lt;&gt;0,'Boletins Nuppa Site'!A1991,"NULL")</f>
        <v>87</v>
      </c>
      <c r="C1991" s="0" t="n">
        <v>40</v>
      </c>
      <c r="D1991" s="0" t="str">
        <f aca="false">IF('Boletins Nuppa Site'!G1991&lt;&gt;0,'Boletins Nuppa Site'!G1991,"NULL")</f>
        <v>NULL</v>
      </c>
      <c r="E1991" s="30" t="str">
        <f aca="false">IF('Boletins Nuppa Site'!H1991&lt;&gt;0,'Boletins Nuppa Site'!H1991,"NULL")</f>
        <v>NULL</v>
      </c>
      <c r="F1991" s="30" t="str">
        <f aca="false">IF('Boletins Nuppa Site'!I1991&lt;&gt;0,'Boletins Nuppa Site'!I1991,"NULL")</f>
        <v>NULL</v>
      </c>
      <c r="G1991" s="30" t="str">
        <f aca="false">IF('Boletins Nuppa Site'!J1991&lt;&gt;0,'Boletins Nuppa Site'!J1991,"NULL")</f>
        <v>NULL</v>
      </c>
      <c r="H1991" s="30" t="str">
        <f aca="false">IF('Boletins Nuppa Site'!K1991&lt;&gt;0,'Boletins Nuppa Site'!K1991,"NULL")</f>
        <v>NULL</v>
      </c>
      <c r="I1991" s="0" t="str">
        <f aca="false">"INSERT INTO COTACAO (cot_id, cot_blt_id, cot_pap_id, cot_prc_comum, cot_prc_min, cot_prc_max, cot_prc_med, cot_prc_mediana) VALUES ("&amp;A1991&amp;", "&amp;B1991&amp;", "&amp;C1991&amp;", "&amp;D1991&amp;", "&amp;E1991&amp;", "&amp;F1991&amp;", "&amp;G1991&amp;", "&amp;H1991&amp;");"</f>
        <v>INSERT INTO COTACAO (cot_id, cot_blt_id, cot_pap_id, cot_prc_comum, cot_prc_min, cot_prc_max, cot_prc_med, cot_prc_mediana) VALUES (1990, 87, 40, NULL, NULL, NULL, NULL, NULL);</v>
      </c>
      <c r="J1991" s="0" t="str">
        <f aca="false">"UPDATE COTACAO SET cot_id = "&amp;A1991&amp;", cot_blt_id = "&amp;B1991&amp;", cot_pap_id = "&amp;C1991&amp;", cot_prc_comum = "&amp;D1991&amp;", cot_prc_min = "&amp;E1991&amp;", cot_prc_max = "&amp;F1991&amp;", cot_prc_med = "&amp;G1991&amp;", cot_prc_mediana = "&amp;H1991&amp;" WHERE cot_id = "&amp;A1991&amp;";"</f>
        <v>UPDATE COTACAO SET cot_id = 1990, cot_blt_id = 87, cot_pap_id = 40, cot_prc_comum = NULL, cot_prc_min = NULL, cot_prc_max = NULL, cot_prc_med = NULL, cot_prc_mediana = NULL WHERE cot_id = 1990;</v>
      </c>
    </row>
    <row r="1992" customFormat="false" ht="14.25" hidden="false" customHeight="false" outlineLevel="0" collapsed="false">
      <c r="A1992" s="0" t="n">
        <v>1991</v>
      </c>
      <c r="B1992" s="0" t="n">
        <f aca="false">IF('Boletins Nuppa Site'!A1992&lt;&gt;0,'Boletins Nuppa Site'!A1992,"NULL")</f>
        <v>88</v>
      </c>
      <c r="C1992" s="0" t="n">
        <v>1</v>
      </c>
      <c r="D1992" s="0" t="str">
        <f aca="false">IF('Boletins Nuppa Site'!G1992&lt;&gt;0,'Boletins Nuppa Site'!G1992,"NULL")</f>
        <v>NULL</v>
      </c>
      <c r="E1992" s="30" t="n">
        <f aca="false">IF('Boletins Nuppa Site'!H1992&lt;&gt;0,'Boletins Nuppa Site'!H1992,"NULL")</f>
        <v>36</v>
      </c>
      <c r="F1992" s="30" t="n">
        <f aca="false">IF('Boletins Nuppa Site'!I1992&lt;&gt;0,'Boletins Nuppa Site'!I1992,"NULL")</f>
        <v>72</v>
      </c>
      <c r="G1992" s="30" t="n">
        <f aca="false">IF('Boletins Nuppa Site'!J1992&lt;&gt;0,'Boletins Nuppa Site'!J1992,"NULL")</f>
        <v>54</v>
      </c>
      <c r="H1992" s="30" t="n">
        <f aca="false">IF('Boletins Nuppa Site'!K1992&lt;&gt;0,'Boletins Nuppa Site'!K1992,"NULL")</f>
        <v>54</v>
      </c>
      <c r="I1992" s="0" t="str">
        <f aca="false">"INSERT INTO COTACAO (cot_id, cot_blt_id, cot_pap_id, cot_prc_comum, cot_prc_min, cot_prc_max, cot_prc_med, cot_prc_mediana) VALUES ("&amp;A1992&amp;", "&amp;B1992&amp;", "&amp;C1992&amp;", "&amp;D1992&amp;", "&amp;E1992&amp;", "&amp;F1992&amp;", "&amp;G1992&amp;", "&amp;H1992&amp;");"</f>
        <v>INSERT INTO COTACAO (cot_id, cot_blt_id, cot_pap_id, cot_prc_comum, cot_prc_min, cot_prc_max, cot_prc_med, cot_prc_mediana) VALUES (1991, 88, 1, NULL, 36, 72, 54, 54);</v>
      </c>
      <c r="J1992" s="0" t="str">
        <f aca="false">"UPDATE COTACAO SET cot_id = "&amp;A1992&amp;", cot_blt_id = "&amp;B1992&amp;", cot_pap_id = "&amp;C1992&amp;", cot_prc_comum = "&amp;D1992&amp;", cot_prc_min = "&amp;E1992&amp;", cot_prc_max = "&amp;F1992&amp;", cot_prc_med = "&amp;G1992&amp;", cot_prc_mediana = "&amp;H1992&amp;" WHERE cot_id = "&amp;A1992&amp;";"</f>
        <v>UPDATE COTACAO SET cot_id = 1991, cot_blt_id = 88, cot_pap_id = 1, cot_prc_comum = NULL, cot_prc_min = 36, cot_prc_max = 72, cot_prc_med = 54, cot_prc_mediana = 54 WHERE cot_id = 1991;</v>
      </c>
    </row>
    <row r="1993" customFormat="false" ht="14.25" hidden="false" customHeight="false" outlineLevel="0" collapsed="false">
      <c r="A1993" s="0" t="n">
        <v>1992</v>
      </c>
      <c r="B1993" s="0" t="n">
        <f aca="false">IF('Boletins Nuppa Site'!A1993&lt;&gt;0,'Boletins Nuppa Site'!A1993,"NULL")</f>
        <v>88</v>
      </c>
      <c r="C1993" s="0" t="n">
        <v>2</v>
      </c>
      <c r="D1993" s="31" t="n">
        <f aca="false">IF('Boletins Nuppa Site'!G1993&lt;&gt;0,'Boletins Nuppa Site'!G1993,"NULL")</f>
        <v>96</v>
      </c>
      <c r="E1993" s="30" t="n">
        <f aca="false">IF('Boletins Nuppa Site'!H1993&lt;&gt;0,'Boletins Nuppa Site'!H1993,"NULL")</f>
        <v>54</v>
      </c>
      <c r="F1993" s="30" t="n">
        <f aca="false">IF('Boletins Nuppa Site'!I1993&lt;&gt;0,'Boletins Nuppa Site'!I1993,"NULL")</f>
        <v>96</v>
      </c>
      <c r="G1993" s="30" t="str">
        <f aca="false">IF('Boletins Nuppa Site'!J1993&lt;&gt;0,'Boletins Nuppa Site'!J1993,"NULL")</f>
        <v>82.5</v>
      </c>
      <c r="H1993" s="30" t="n">
        <f aca="false">IF('Boletins Nuppa Site'!K1993&lt;&gt;0,'Boletins Nuppa Site'!K1993,"NULL")</f>
        <v>90</v>
      </c>
      <c r="I1993" s="0" t="str">
        <f aca="false">"INSERT INTO COTACAO (cot_id, cot_blt_id, cot_pap_id, cot_prc_comum, cot_prc_min, cot_prc_max, cot_prc_med, cot_prc_mediana) VALUES ("&amp;A1993&amp;", "&amp;B1993&amp;", "&amp;C1993&amp;", "&amp;D1993&amp;", "&amp;E1993&amp;", "&amp;F1993&amp;", "&amp;G1993&amp;", "&amp;H1993&amp;");"</f>
        <v>INSERT INTO COTACAO (cot_id, cot_blt_id, cot_pap_id, cot_prc_comum, cot_prc_min, cot_prc_max, cot_prc_med, cot_prc_mediana) VALUES (1992, 88, 2, 96, 54, 96, 82.5, 90);</v>
      </c>
      <c r="J1993" s="0" t="str">
        <f aca="false">"UPDATE COTACAO SET cot_id = "&amp;A1993&amp;", cot_blt_id = "&amp;B1993&amp;", cot_pap_id = "&amp;C1993&amp;", cot_prc_comum = "&amp;D1993&amp;", cot_prc_min = "&amp;E1993&amp;", cot_prc_max = "&amp;F1993&amp;", cot_prc_med = "&amp;G1993&amp;", cot_prc_mediana = "&amp;H1993&amp;" WHERE cot_id = "&amp;A1993&amp;";"</f>
        <v>UPDATE COTACAO SET cot_id = 1992, cot_blt_id = 88, cot_pap_id = 2, cot_prc_comum = 96, cot_prc_min = 54, cot_prc_max = 96, cot_prc_med = 82.5, cot_prc_mediana = 90 WHERE cot_id = 1992;</v>
      </c>
    </row>
    <row r="1994" customFormat="false" ht="14.25" hidden="false" customHeight="false" outlineLevel="0" collapsed="false">
      <c r="A1994" s="0" t="n">
        <v>1993</v>
      </c>
      <c r="B1994" s="0" t="n">
        <f aca="false">IF('Boletins Nuppa Site'!A1994&lt;&gt;0,'Boletins Nuppa Site'!A1994,"NULL")</f>
        <v>88</v>
      </c>
      <c r="C1994" s="0" t="n">
        <v>3</v>
      </c>
      <c r="D1994" s="0" t="str">
        <f aca="false">IF('Boletins Nuppa Site'!G1994&lt;&gt;0,'Boletins Nuppa Site'!G1994,"NULL")</f>
        <v>NULL</v>
      </c>
      <c r="E1994" s="30" t="n">
        <f aca="false">IF('Boletins Nuppa Site'!H1994&lt;&gt;0,'Boletins Nuppa Site'!H1994,"NULL")</f>
        <v>40</v>
      </c>
      <c r="F1994" s="30" t="n">
        <f aca="false">IF('Boletins Nuppa Site'!I1994&lt;&gt;0,'Boletins Nuppa Site'!I1994,"NULL")</f>
        <v>60</v>
      </c>
      <c r="G1994" s="30" t="str">
        <f aca="false">IF('Boletins Nuppa Site'!J1994&lt;&gt;0,'Boletins Nuppa Site'!J1994,"NULL")</f>
        <v>48.25</v>
      </c>
      <c r="H1994" s="30" t="str">
        <f aca="false">IF('Boletins Nuppa Site'!K1994&lt;&gt;0,'Boletins Nuppa Site'!K1994,"NULL")</f>
        <v>46.5</v>
      </c>
      <c r="I1994" s="0" t="str">
        <f aca="false">"INSERT INTO COTACAO (cot_id, cot_blt_id, cot_pap_id, cot_prc_comum, cot_prc_min, cot_prc_max, cot_prc_med, cot_prc_mediana) VALUES ("&amp;A1994&amp;", "&amp;B1994&amp;", "&amp;C1994&amp;", "&amp;D1994&amp;", "&amp;E1994&amp;", "&amp;F1994&amp;", "&amp;G1994&amp;", "&amp;H1994&amp;");"</f>
        <v>INSERT INTO COTACAO (cot_id, cot_blt_id, cot_pap_id, cot_prc_comum, cot_prc_min, cot_prc_max, cot_prc_med, cot_prc_mediana) VALUES (1993, 88, 3, NULL, 40, 60, 48.25, 46.5);</v>
      </c>
      <c r="J1994" s="0" t="str">
        <f aca="false">"UPDATE COTACAO SET cot_id = "&amp;A1994&amp;", cot_blt_id = "&amp;B1994&amp;", cot_pap_id = "&amp;C1994&amp;", cot_prc_comum = "&amp;D1994&amp;", cot_prc_min = "&amp;E1994&amp;", cot_prc_max = "&amp;F1994&amp;", cot_prc_med = "&amp;G1994&amp;", cot_prc_mediana = "&amp;H1994&amp;" WHERE cot_id = "&amp;A1994&amp;";"</f>
        <v>UPDATE COTACAO SET cot_id = 1993, cot_blt_id = 88, cot_pap_id = 3, cot_prc_comum = NULL, cot_prc_min = 40, cot_prc_max = 60, cot_prc_med = 48.25, cot_prc_mediana = 46.5 WHERE cot_id = 1993;</v>
      </c>
    </row>
    <row r="1995" customFormat="false" ht="14.25" hidden="false" customHeight="false" outlineLevel="0" collapsed="false">
      <c r="A1995" s="0" t="n">
        <v>1994</v>
      </c>
      <c r="B1995" s="0" t="n">
        <f aca="false">IF('Boletins Nuppa Site'!A1995&lt;&gt;0,'Boletins Nuppa Site'!A1995,"NULL")</f>
        <v>88</v>
      </c>
      <c r="C1995" s="0" t="n">
        <v>4</v>
      </c>
      <c r="D1995" s="31" t="n">
        <f aca="false">IF('Boletins Nuppa Site'!G1995&lt;&gt;0,'Boletins Nuppa Site'!G1995,"NULL")</f>
        <v>30</v>
      </c>
      <c r="E1995" s="30" t="n">
        <f aca="false">IF('Boletins Nuppa Site'!H1995&lt;&gt;0,'Boletins Nuppa Site'!H1995,"NULL")</f>
        <v>25</v>
      </c>
      <c r="F1995" s="30" t="n">
        <f aca="false">IF('Boletins Nuppa Site'!I1995&lt;&gt;0,'Boletins Nuppa Site'!I1995,"NULL")</f>
        <v>50</v>
      </c>
      <c r="G1995" s="30" t="str">
        <f aca="false">IF('Boletins Nuppa Site'!J1995&lt;&gt;0,'Boletins Nuppa Site'!J1995,"NULL")</f>
        <v>33.75</v>
      </c>
      <c r="H1995" s="30" t="n">
        <f aca="false">IF('Boletins Nuppa Site'!K1995&lt;&gt;0,'Boletins Nuppa Site'!K1995,"NULL")</f>
        <v>30</v>
      </c>
      <c r="I1995" s="0" t="str">
        <f aca="false">"INSERT INTO COTACAO (cot_id, cot_blt_id, cot_pap_id, cot_prc_comum, cot_prc_min, cot_prc_max, cot_prc_med, cot_prc_mediana) VALUES ("&amp;A1995&amp;", "&amp;B1995&amp;", "&amp;C1995&amp;", "&amp;D1995&amp;", "&amp;E1995&amp;", "&amp;F1995&amp;", "&amp;G1995&amp;", "&amp;H1995&amp;");"</f>
        <v>INSERT INTO COTACAO (cot_id, cot_blt_id, cot_pap_id, cot_prc_comum, cot_prc_min, cot_prc_max, cot_prc_med, cot_prc_mediana) VALUES (1994, 88, 4, 30, 25, 50, 33.75, 30);</v>
      </c>
      <c r="J1995" s="0" t="str">
        <f aca="false">"UPDATE COTACAO SET cot_id = "&amp;A1995&amp;", cot_blt_id = "&amp;B1995&amp;", cot_pap_id = "&amp;C1995&amp;", cot_prc_comum = "&amp;D1995&amp;", cot_prc_min = "&amp;E1995&amp;", cot_prc_max = "&amp;F1995&amp;", cot_prc_med = "&amp;G1995&amp;", cot_prc_mediana = "&amp;H1995&amp;" WHERE cot_id = "&amp;A1995&amp;";"</f>
        <v>UPDATE COTACAO SET cot_id = 1994, cot_blt_id = 88, cot_pap_id = 4, cot_prc_comum = 30, cot_prc_min = 25, cot_prc_max = 50, cot_prc_med = 33.75, cot_prc_mediana = 30 WHERE cot_id = 1994;</v>
      </c>
    </row>
    <row r="1996" customFormat="false" ht="14.25" hidden="false" customHeight="false" outlineLevel="0" collapsed="false">
      <c r="A1996" s="0" t="n">
        <v>1995</v>
      </c>
      <c r="B1996" s="0" t="n">
        <f aca="false">IF('Boletins Nuppa Site'!A1996&lt;&gt;0,'Boletins Nuppa Site'!A1996,"NULL")</f>
        <v>88</v>
      </c>
      <c r="C1996" s="0" t="n">
        <v>5</v>
      </c>
      <c r="D1996" s="31" t="n">
        <f aca="false">IF('Boletins Nuppa Site'!G1996&lt;&gt;0,'Boletins Nuppa Site'!G1996,"NULL")</f>
        <v>30</v>
      </c>
      <c r="E1996" s="30" t="n">
        <f aca="false">IF('Boletins Nuppa Site'!H1996&lt;&gt;0,'Boletins Nuppa Site'!H1996,"NULL")</f>
        <v>25</v>
      </c>
      <c r="F1996" s="30" t="n">
        <f aca="false">IF('Boletins Nuppa Site'!I1996&lt;&gt;0,'Boletins Nuppa Site'!I1996,"NULL")</f>
        <v>50</v>
      </c>
      <c r="G1996" s="30" t="str">
        <f aca="false">IF('Boletins Nuppa Site'!J1996&lt;&gt;0,'Boletins Nuppa Site'!J1996,"NULL")</f>
        <v>33.75</v>
      </c>
      <c r="H1996" s="30" t="n">
        <f aca="false">IF('Boletins Nuppa Site'!K1996&lt;&gt;0,'Boletins Nuppa Site'!K1996,"NULL")</f>
        <v>30</v>
      </c>
      <c r="I1996" s="0" t="str">
        <f aca="false">"INSERT INTO COTACAO (cot_id, cot_blt_id, cot_pap_id, cot_prc_comum, cot_prc_min, cot_prc_max, cot_prc_med, cot_prc_mediana) VALUES ("&amp;A1996&amp;", "&amp;B1996&amp;", "&amp;C1996&amp;", "&amp;D1996&amp;", "&amp;E1996&amp;", "&amp;F1996&amp;", "&amp;G1996&amp;", "&amp;H1996&amp;");"</f>
        <v>INSERT INTO COTACAO (cot_id, cot_blt_id, cot_pap_id, cot_prc_comum, cot_prc_min, cot_prc_max, cot_prc_med, cot_prc_mediana) VALUES (1995, 88, 5, 30, 25, 50, 33.75, 30);</v>
      </c>
      <c r="J1996" s="0" t="str">
        <f aca="false">"UPDATE COTACAO SET cot_id = "&amp;A1996&amp;", cot_blt_id = "&amp;B1996&amp;", cot_pap_id = "&amp;C1996&amp;", cot_prc_comum = "&amp;D1996&amp;", cot_prc_min = "&amp;E1996&amp;", cot_prc_max = "&amp;F1996&amp;", cot_prc_med = "&amp;G1996&amp;", cot_prc_mediana = "&amp;H1996&amp;" WHERE cot_id = "&amp;A1996&amp;";"</f>
        <v>UPDATE COTACAO SET cot_id = 1995, cot_blt_id = 88, cot_pap_id = 5, cot_prc_comum = 30, cot_prc_min = 25, cot_prc_max = 50, cot_prc_med = 33.75, cot_prc_mediana = 30 WHERE cot_id = 1995;</v>
      </c>
    </row>
    <row r="1997" customFormat="false" ht="14.25" hidden="false" customHeight="false" outlineLevel="0" collapsed="false">
      <c r="A1997" s="0" t="n">
        <v>1996</v>
      </c>
      <c r="B1997" s="0" t="n">
        <f aca="false">IF('Boletins Nuppa Site'!A1997&lt;&gt;0,'Boletins Nuppa Site'!A1997,"NULL")</f>
        <v>88</v>
      </c>
      <c r="C1997" s="0" t="n">
        <v>6</v>
      </c>
      <c r="D1997" s="31" t="n">
        <f aca="false">IF('Boletins Nuppa Site'!G1997&lt;&gt;0,'Boletins Nuppa Site'!G1997,"NULL")</f>
        <v>60</v>
      </c>
      <c r="E1997" s="30" t="n">
        <f aca="false">IF('Boletins Nuppa Site'!H1997&lt;&gt;0,'Boletins Nuppa Site'!H1997,"NULL")</f>
        <v>60</v>
      </c>
      <c r="F1997" s="30" t="n">
        <f aca="false">IF('Boletins Nuppa Site'!I1997&lt;&gt;0,'Boletins Nuppa Site'!I1997,"NULL")</f>
        <v>120</v>
      </c>
      <c r="G1997" s="30" t="str">
        <f aca="false">IF('Boletins Nuppa Site'!J1997&lt;&gt;0,'Boletins Nuppa Site'!J1997,"NULL")</f>
        <v>76.5</v>
      </c>
      <c r="H1997" s="30" t="n">
        <f aca="false">IF('Boletins Nuppa Site'!K1997&lt;&gt;0,'Boletins Nuppa Site'!K1997,"NULL")</f>
        <v>63</v>
      </c>
      <c r="I1997" s="0" t="str">
        <f aca="false">"INSERT INTO COTACAO (cot_id, cot_blt_id, cot_pap_id, cot_prc_comum, cot_prc_min, cot_prc_max, cot_prc_med, cot_prc_mediana) VALUES ("&amp;A1997&amp;", "&amp;B1997&amp;", "&amp;C1997&amp;", "&amp;D1997&amp;", "&amp;E1997&amp;", "&amp;F1997&amp;", "&amp;G1997&amp;", "&amp;H1997&amp;");"</f>
        <v>INSERT INTO COTACAO (cot_id, cot_blt_id, cot_pap_id, cot_prc_comum, cot_prc_min, cot_prc_max, cot_prc_med, cot_prc_mediana) VALUES (1996, 88, 6, 60, 60, 120, 76.5, 63);</v>
      </c>
      <c r="J1997" s="0" t="str">
        <f aca="false">"UPDATE COTACAO SET cot_id = "&amp;A1997&amp;", cot_blt_id = "&amp;B1997&amp;", cot_pap_id = "&amp;C1997&amp;", cot_prc_comum = "&amp;D1997&amp;", cot_prc_min = "&amp;E1997&amp;", cot_prc_max = "&amp;F1997&amp;", cot_prc_med = "&amp;G1997&amp;", cot_prc_mediana = "&amp;H1997&amp;" WHERE cot_id = "&amp;A1997&amp;";"</f>
        <v>UPDATE COTACAO SET cot_id = 1996, cot_blt_id = 88, cot_pap_id = 6, cot_prc_comum = 60, cot_prc_min = 60, cot_prc_max = 120, cot_prc_med = 76.5, cot_prc_mediana = 63 WHERE cot_id = 1996;</v>
      </c>
    </row>
    <row r="1998" customFormat="false" ht="14.25" hidden="false" customHeight="false" outlineLevel="0" collapsed="false">
      <c r="A1998" s="0" t="n">
        <v>1997</v>
      </c>
      <c r="B1998" s="0" t="n">
        <f aca="false">IF('Boletins Nuppa Site'!A1998&lt;&gt;0,'Boletins Nuppa Site'!A1998,"NULL")</f>
        <v>88</v>
      </c>
      <c r="C1998" s="0" t="n">
        <v>7</v>
      </c>
      <c r="D1998" s="31" t="n">
        <f aca="false">IF('Boletins Nuppa Site'!G1998&lt;&gt;0,'Boletins Nuppa Site'!G1998,"NULL")</f>
        <v>84</v>
      </c>
      <c r="E1998" s="30" t="n">
        <f aca="false">IF('Boletins Nuppa Site'!H1998&lt;&gt;0,'Boletins Nuppa Site'!H1998,"NULL")</f>
        <v>78</v>
      </c>
      <c r="F1998" s="30" t="n">
        <f aca="false">IF('Boletins Nuppa Site'!I1998&lt;&gt;0,'Boletins Nuppa Site'!I1998,"NULL")</f>
        <v>84</v>
      </c>
      <c r="G1998" s="30" t="n">
        <f aca="false">IF('Boletins Nuppa Site'!J1998&lt;&gt;0,'Boletins Nuppa Site'!J1998,"NULL")</f>
        <v>81</v>
      </c>
      <c r="H1998" s="30" t="n">
        <f aca="false">IF('Boletins Nuppa Site'!K1998&lt;&gt;0,'Boletins Nuppa Site'!K1998,"NULL")</f>
        <v>81</v>
      </c>
      <c r="I1998" s="0" t="str">
        <f aca="false">"INSERT INTO COTACAO (cot_id, cot_blt_id, cot_pap_id, cot_prc_comum, cot_prc_min, cot_prc_max, cot_prc_med, cot_prc_mediana) VALUES ("&amp;A1998&amp;", "&amp;B1998&amp;", "&amp;C1998&amp;", "&amp;D1998&amp;", "&amp;E1998&amp;", "&amp;F1998&amp;", "&amp;G1998&amp;", "&amp;H1998&amp;");"</f>
        <v>INSERT INTO COTACAO (cot_id, cot_blt_id, cot_pap_id, cot_prc_comum, cot_prc_min, cot_prc_max, cot_prc_med, cot_prc_mediana) VALUES (1997, 88, 7, 84, 78, 84, 81, 81);</v>
      </c>
      <c r="J1998" s="0" t="str">
        <f aca="false">"UPDATE COTACAO SET cot_id = "&amp;A1998&amp;", cot_blt_id = "&amp;B1998&amp;", cot_pap_id = "&amp;C1998&amp;", cot_prc_comum = "&amp;D1998&amp;", cot_prc_min = "&amp;E1998&amp;", cot_prc_max = "&amp;F1998&amp;", cot_prc_med = "&amp;G1998&amp;", cot_prc_mediana = "&amp;H1998&amp;" WHERE cot_id = "&amp;A1998&amp;";"</f>
        <v>UPDATE COTACAO SET cot_id = 1997, cot_blt_id = 88, cot_pap_id = 7, cot_prc_comum = 84, cot_prc_min = 78, cot_prc_max = 84, cot_prc_med = 81, cot_prc_mediana = 81 WHERE cot_id = 1997;</v>
      </c>
    </row>
    <row r="1999" customFormat="false" ht="14.25" hidden="false" customHeight="false" outlineLevel="0" collapsed="false">
      <c r="A1999" s="0" t="n">
        <v>1998</v>
      </c>
      <c r="B1999" s="0" t="n">
        <f aca="false">IF('Boletins Nuppa Site'!A1999&lt;&gt;0,'Boletins Nuppa Site'!A1999,"NULL")</f>
        <v>88</v>
      </c>
      <c r="C1999" s="0" t="n">
        <v>8</v>
      </c>
      <c r="D1999" s="31" t="n">
        <f aca="false">IF('Boletins Nuppa Site'!G1999&lt;&gt;0,'Boletins Nuppa Site'!G1999,"NULL")</f>
        <v>84</v>
      </c>
      <c r="E1999" s="30" t="n">
        <f aca="false">IF('Boletins Nuppa Site'!H1999&lt;&gt;0,'Boletins Nuppa Site'!H1999,"NULL")</f>
        <v>72</v>
      </c>
      <c r="F1999" s="30" t="n">
        <f aca="false">IF('Boletins Nuppa Site'!I1999&lt;&gt;0,'Boletins Nuppa Site'!I1999,"NULL")</f>
        <v>96</v>
      </c>
      <c r="G1999" s="30" t="n">
        <f aca="false">IF('Boletins Nuppa Site'!J1999&lt;&gt;0,'Boletins Nuppa Site'!J1999,"NULL")</f>
        <v>84</v>
      </c>
      <c r="H1999" s="30" t="n">
        <f aca="false">IF('Boletins Nuppa Site'!K1999&lt;&gt;0,'Boletins Nuppa Site'!K1999,"NULL")</f>
        <v>84</v>
      </c>
      <c r="I1999" s="0" t="str">
        <f aca="false">"INSERT INTO COTACAO (cot_id, cot_blt_id, cot_pap_id, cot_prc_comum, cot_prc_min, cot_prc_max, cot_prc_med, cot_prc_mediana) VALUES ("&amp;A1999&amp;", "&amp;B1999&amp;", "&amp;C1999&amp;", "&amp;D1999&amp;", "&amp;E1999&amp;", "&amp;F1999&amp;", "&amp;G1999&amp;", "&amp;H1999&amp;");"</f>
        <v>INSERT INTO COTACAO (cot_id, cot_blt_id, cot_pap_id, cot_prc_comum, cot_prc_min, cot_prc_max, cot_prc_med, cot_prc_mediana) VALUES (1998, 88, 8, 84, 72, 96, 84, 84);</v>
      </c>
      <c r="J1999" s="0" t="str">
        <f aca="false">"UPDATE COTACAO SET cot_id = "&amp;A1999&amp;", cot_blt_id = "&amp;B1999&amp;", cot_pap_id = "&amp;C1999&amp;", cot_prc_comum = "&amp;D1999&amp;", cot_prc_min = "&amp;E1999&amp;", cot_prc_max = "&amp;F1999&amp;", cot_prc_med = "&amp;G1999&amp;", cot_prc_mediana = "&amp;H1999&amp;" WHERE cot_id = "&amp;A1999&amp;";"</f>
        <v>UPDATE COTACAO SET cot_id = 1998, cot_blt_id = 88, cot_pap_id = 8, cot_prc_comum = 84, cot_prc_min = 72, cot_prc_max = 96, cot_prc_med = 84, cot_prc_mediana = 84 WHERE cot_id = 1998;</v>
      </c>
    </row>
    <row r="2000" customFormat="false" ht="14.25" hidden="false" customHeight="false" outlineLevel="0" collapsed="false">
      <c r="A2000" s="0" t="n">
        <v>1999</v>
      </c>
      <c r="B2000" s="0" t="n">
        <f aca="false">IF('Boletins Nuppa Site'!A2000&lt;&gt;0,'Boletins Nuppa Site'!A2000,"NULL")</f>
        <v>88</v>
      </c>
      <c r="C2000" s="0" t="n">
        <v>9</v>
      </c>
      <c r="D2000" s="31" t="n">
        <f aca="false">IF('Boletins Nuppa Site'!G2000&lt;&gt;0,'Boletins Nuppa Site'!G2000,"NULL")</f>
        <v>24</v>
      </c>
      <c r="E2000" s="30" t="n">
        <f aca="false">IF('Boletins Nuppa Site'!H2000&lt;&gt;0,'Boletins Nuppa Site'!H2000,"NULL")</f>
        <v>24</v>
      </c>
      <c r="F2000" s="30" t="n">
        <f aca="false">IF('Boletins Nuppa Site'!I2000&lt;&gt;0,'Boletins Nuppa Site'!I2000,"NULL")</f>
        <v>30</v>
      </c>
      <c r="G2000" s="30" t="str">
        <f aca="false">IF('Boletins Nuppa Site'!J2000&lt;&gt;0,'Boletins Nuppa Site'!J2000,"NULL")</f>
        <v>25.5</v>
      </c>
      <c r="H2000" s="30" t="n">
        <f aca="false">IF('Boletins Nuppa Site'!K2000&lt;&gt;0,'Boletins Nuppa Site'!K2000,"NULL")</f>
        <v>24</v>
      </c>
      <c r="I2000" s="0" t="str">
        <f aca="false">"INSERT INTO COTACAO (cot_id, cot_blt_id, cot_pap_id, cot_prc_comum, cot_prc_min, cot_prc_max, cot_prc_med, cot_prc_mediana) VALUES ("&amp;A2000&amp;", "&amp;B2000&amp;", "&amp;C2000&amp;", "&amp;D2000&amp;", "&amp;E2000&amp;", "&amp;F2000&amp;", "&amp;G2000&amp;", "&amp;H2000&amp;");"</f>
        <v>INSERT INTO COTACAO (cot_id, cot_blt_id, cot_pap_id, cot_prc_comum, cot_prc_min, cot_prc_max, cot_prc_med, cot_prc_mediana) VALUES (1999, 88, 9, 24, 24, 30, 25.5, 24);</v>
      </c>
      <c r="J2000" s="0" t="str">
        <f aca="false">"UPDATE COTACAO SET cot_id = "&amp;A2000&amp;", cot_blt_id = "&amp;B2000&amp;", cot_pap_id = "&amp;C2000&amp;", cot_prc_comum = "&amp;D2000&amp;", cot_prc_min = "&amp;E2000&amp;", cot_prc_max = "&amp;F2000&amp;", cot_prc_med = "&amp;G2000&amp;", cot_prc_mediana = "&amp;H2000&amp;" WHERE cot_id = "&amp;A2000&amp;";"</f>
        <v>UPDATE COTACAO SET cot_id = 1999, cot_blt_id = 88, cot_pap_id = 9, cot_prc_comum = 24, cot_prc_min = 24, cot_prc_max = 30, cot_prc_med = 25.5, cot_prc_mediana = 24 WHERE cot_id = 1999;</v>
      </c>
    </row>
    <row r="2001" customFormat="false" ht="14.25" hidden="false" customHeight="false" outlineLevel="0" collapsed="false">
      <c r="A2001" s="0" t="n">
        <v>2000</v>
      </c>
      <c r="B2001" s="0" t="n">
        <f aca="false">IF('Boletins Nuppa Site'!A2001&lt;&gt;0,'Boletins Nuppa Site'!A2001,"NULL")</f>
        <v>88</v>
      </c>
      <c r="C2001" s="0" t="n">
        <v>10</v>
      </c>
      <c r="D2001" s="31" t="n">
        <f aca="false">IF('Boletins Nuppa Site'!G2001&lt;&gt;0,'Boletins Nuppa Site'!G2001,"NULL")</f>
        <v>96</v>
      </c>
      <c r="E2001" s="30" t="n">
        <f aca="false">IF('Boletins Nuppa Site'!H2001&lt;&gt;0,'Boletins Nuppa Site'!H2001,"NULL")</f>
        <v>72</v>
      </c>
      <c r="F2001" s="30" t="n">
        <f aca="false">IF('Boletins Nuppa Site'!I2001&lt;&gt;0,'Boletins Nuppa Site'!I2001,"NULL")</f>
        <v>96</v>
      </c>
      <c r="G2001" s="30" t="n">
        <f aca="false">IF('Boletins Nuppa Site'!J2001&lt;&gt;0,'Boletins Nuppa Site'!J2001,"NULL")</f>
        <v>87</v>
      </c>
      <c r="H2001" s="30" t="n">
        <f aca="false">IF('Boletins Nuppa Site'!K2001&lt;&gt;0,'Boletins Nuppa Site'!K2001,"NULL")</f>
        <v>90</v>
      </c>
      <c r="I2001" s="0" t="str">
        <f aca="false">"INSERT INTO COTACAO (cot_id, cot_blt_id, cot_pap_id, cot_prc_comum, cot_prc_min, cot_prc_max, cot_prc_med, cot_prc_mediana) VALUES ("&amp;A2001&amp;", "&amp;B2001&amp;", "&amp;C2001&amp;", "&amp;D2001&amp;", "&amp;E2001&amp;", "&amp;F2001&amp;", "&amp;G2001&amp;", "&amp;H2001&amp;");"</f>
        <v>INSERT INTO COTACAO (cot_id, cot_blt_id, cot_pap_id, cot_prc_comum, cot_prc_min, cot_prc_max, cot_prc_med, cot_prc_mediana) VALUES (2000, 88, 10, 96, 72, 96, 87, 90);</v>
      </c>
      <c r="J2001" s="0" t="str">
        <f aca="false">"UPDATE COTACAO SET cot_id = "&amp;A2001&amp;", cot_blt_id = "&amp;B2001&amp;", cot_pap_id = "&amp;C2001&amp;", cot_prc_comum = "&amp;D2001&amp;", cot_prc_min = "&amp;E2001&amp;", cot_prc_max = "&amp;F2001&amp;", cot_prc_med = "&amp;G2001&amp;", cot_prc_mediana = "&amp;H2001&amp;" WHERE cot_id = "&amp;A2001&amp;";"</f>
        <v>UPDATE COTACAO SET cot_id = 2000, cot_blt_id = 88, cot_pap_id = 10, cot_prc_comum = 96, cot_prc_min = 72, cot_prc_max = 96, cot_prc_med = 87, cot_prc_mediana = 90 WHERE cot_id = 2000;</v>
      </c>
    </row>
    <row r="2002" customFormat="false" ht="14.25" hidden="false" customHeight="false" outlineLevel="0" collapsed="false">
      <c r="A2002" s="0" t="n">
        <v>2001</v>
      </c>
      <c r="B2002" s="0" t="n">
        <f aca="false">IF('Boletins Nuppa Site'!A2002&lt;&gt;0,'Boletins Nuppa Site'!A2002,"NULL")</f>
        <v>88</v>
      </c>
      <c r="C2002" s="0" t="n">
        <v>11</v>
      </c>
      <c r="D2002" s="31" t="n">
        <f aca="false">IF('Boletins Nuppa Site'!G2002&lt;&gt;0,'Boletins Nuppa Site'!G2002,"NULL")</f>
        <v>30</v>
      </c>
      <c r="E2002" s="30" t="n">
        <f aca="false">IF('Boletins Nuppa Site'!H2002&lt;&gt;0,'Boletins Nuppa Site'!H2002,"NULL")</f>
        <v>25</v>
      </c>
      <c r="F2002" s="30" t="n">
        <f aca="false">IF('Boletins Nuppa Site'!I2002&lt;&gt;0,'Boletins Nuppa Site'!I2002,"NULL")</f>
        <v>36</v>
      </c>
      <c r="G2002" s="30" t="str">
        <f aca="false">IF('Boletins Nuppa Site'!J2002&lt;&gt;0,'Boletins Nuppa Site'!J2002,"NULL")</f>
        <v>30.25</v>
      </c>
      <c r="H2002" s="30" t="n">
        <f aca="false">IF('Boletins Nuppa Site'!K2002&lt;&gt;0,'Boletins Nuppa Site'!K2002,"NULL")</f>
        <v>30</v>
      </c>
      <c r="I2002" s="0" t="str">
        <f aca="false">"INSERT INTO COTACAO (cot_id, cot_blt_id, cot_pap_id, cot_prc_comum, cot_prc_min, cot_prc_max, cot_prc_med, cot_prc_mediana) VALUES ("&amp;A2002&amp;", "&amp;B2002&amp;", "&amp;C2002&amp;", "&amp;D2002&amp;", "&amp;E2002&amp;", "&amp;F2002&amp;", "&amp;G2002&amp;", "&amp;H2002&amp;");"</f>
        <v>INSERT INTO COTACAO (cot_id, cot_blt_id, cot_pap_id, cot_prc_comum, cot_prc_min, cot_prc_max, cot_prc_med, cot_prc_mediana) VALUES (2001, 88, 11, 30, 25, 36, 30.25, 30);</v>
      </c>
      <c r="J2002" s="0" t="str">
        <f aca="false">"UPDATE COTACAO SET cot_id = "&amp;A2002&amp;", cot_blt_id = "&amp;B2002&amp;", cot_pap_id = "&amp;C2002&amp;", cot_prc_comum = "&amp;D2002&amp;", cot_prc_min = "&amp;E2002&amp;", cot_prc_max = "&amp;F2002&amp;", cot_prc_med = "&amp;G2002&amp;", cot_prc_mediana = "&amp;H2002&amp;" WHERE cot_id = "&amp;A2002&amp;";"</f>
        <v>UPDATE COTACAO SET cot_id = 2001, cot_blt_id = 88, cot_pap_id = 11, cot_prc_comum = 30, cot_prc_min = 25, cot_prc_max = 36, cot_prc_med = 30.25, cot_prc_mediana = 30 WHERE cot_id = 2001;</v>
      </c>
    </row>
    <row r="2003" customFormat="false" ht="14.25" hidden="false" customHeight="false" outlineLevel="0" collapsed="false">
      <c r="A2003" s="0" t="n">
        <v>2002</v>
      </c>
      <c r="B2003" s="0" t="n">
        <f aca="false">IF('Boletins Nuppa Site'!A2003&lt;&gt;0,'Boletins Nuppa Site'!A2003,"NULL")</f>
        <v>88</v>
      </c>
      <c r="C2003" s="0" t="n">
        <v>12</v>
      </c>
      <c r="D2003" s="31" t="n">
        <f aca="false">IF('Boletins Nuppa Site'!G2003&lt;&gt;0,'Boletins Nuppa Site'!G2003,"NULL")</f>
        <v>72</v>
      </c>
      <c r="E2003" s="30" t="n">
        <f aca="false">IF('Boletins Nuppa Site'!H2003&lt;&gt;0,'Boletins Nuppa Site'!H2003,"NULL")</f>
        <v>60</v>
      </c>
      <c r="F2003" s="30" t="n">
        <f aca="false">IF('Boletins Nuppa Site'!I2003&lt;&gt;0,'Boletins Nuppa Site'!I2003,"NULL")</f>
        <v>84</v>
      </c>
      <c r="G2003" s="30" t="n">
        <f aca="false">IF('Boletins Nuppa Site'!J2003&lt;&gt;0,'Boletins Nuppa Site'!J2003,"NULL")</f>
        <v>72</v>
      </c>
      <c r="H2003" s="30" t="n">
        <f aca="false">IF('Boletins Nuppa Site'!K2003&lt;&gt;0,'Boletins Nuppa Site'!K2003,"NULL")</f>
        <v>72</v>
      </c>
      <c r="I2003" s="0" t="str">
        <f aca="false">"INSERT INTO COTACAO (cot_id, cot_blt_id, cot_pap_id, cot_prc_comum, cot_prc_min, cot_prc_max, cot_prc_med, cot_prc_mediana) VALUES ("&amp;A2003&amp;", "&amp;B2003&amp;", "&amp;C2003&amp;", "&amp;D2003&amp;", "&amp;E2003&amp;", "&amp;F2003&amp;", "&amp;G2003&amp;", "&amp;H2003&amp;");"</f>
        <v>INSERT INTO COTACAO (cot_id, cot_blt_id, cot_pap_id, cot_prc_comum, cot_prc_min, cot_prc_max, cot_prc_med, cot_prc_mediana) VALUES (2002, 88, 12, 72, 60, 84, 72, 72);</v>
      </c>
      <c r="J2003" s="0" t="str">
        <f aca="false">"UPDATE COTACAO SET cot_id = "&amp;A2003&amp;", cot_blt_id = "&amp;B2003&amp;", cot_pap_id = "&amp;C2003&amp;", cot_prc_comum = "&amp;D2003&amp;", cot_prc_min = "&amp;E2003&amp;", cot_prc_max = "&amp;F2003&amp;", cot_prc_med = "&amp;G2003&amp;", cot_prc_mediana = "&amp;H2003&amp;" WHERE cot_id = "&amp;A2003&amp;";"</f>
        <v>UPDATE COTACAO SET cot_id = 2002, cot_blt_id = 88, cot_pap_id = 12, cot_prc_comum = 72, cot_prc_min = 60, cot_prc_max = 84, cot_prc_med = 72, cot_prc_mediana = 72 WHERE cot_id = 2002;</v>
      </c>
    </row>
    <row r="2004" customFormat="false" ht="14.25" hidden="false" customHeight="false" outlineLevel="0" collapsed="false">
      <c r="A2004" s="0" t="n">
        <v>2003</v>
      </c>
      <c r="B2004" s="0" t="n">
        <f aca="false">IF('Boletins Nuppa Site'!A2004&lt;&gt;0,'Boletins Nuppa Site'!A2004,"NULL")</f>
        <v>88</v>
      </c>
      <c r="C2004" s="0" t="n">
        <v>13</v>
      </c>
      <c r="D2004" s="31" t="n">
        <f aca="false">IF('Boletins Nuppa Site'!G2004&lt;&gt;0,'Boletins Nuppa Site'!G2004,"NULL")</f>
        <v>72</v>
      </c>
      <c r="E2004" s="30" t="n">
        <f aca="false">IF('Boletins Nuppa Site'!H2004&lt;&gt;0,'Boletins Nuppa Site'!H2004,"NULL")</f>
        <v>60</v>
      </c>
      <c r="F2004" s="30" t="n">
        <f aca="false">IF('Boletins Nuppa Site'!I2004&lt;&gt;0,'Boletins Nuppa Site'!I2004,"NULL")</f>
        <v>96</v>
      </c>
      <c r="G2004" s="30" t="n">
        <f aca="false">IF('Boletins Nuppa Site'!J2004&lt;&gt;0,'Boletins Nuppa Site'!J2004,"NULL")</f>
        <v>75</v>
      </c>
      <c r="H2004" s="30" t="n">
        <f aca="false">IF('Boletins Nuppa Site'!K2004&lt;&gt;0,'Boletins Nuppa Site'!K2004,"NULL")</f>
        <v>72</v>
      </c>
      <c r="I2004" s="0" t="str">
        <f aca="false">"INSERT INTO COTACAO (cot_id, cot_blt_id, cot_pap_id, cot_prc_comum, cot_prc_min, cot_prc_max, cot_prc_med, cot_prc_mediana) VALUES ("&amp;A2004&amp;", "&amp;B2004&amp;", "&amp;C2004&amp;", "&amp;D2004&amp;", "&amp;E2004&amp;", "&amp;F2004&amp;", "&amp;G2004&amp;", "&amp;H2004&amp;");"</f>
        <v>INSERT INTO COTACAO (cot_id, cot_blt_id, cot_pap_id, cot_prc_comum, cot_prc_min, cot_prc_max, cot_prc_med, cot_prc_mediana) VALUES (2003, 88, 13, 72, 60, 96, 75, 72);</v>
      </c>
      <c r="J2004" s="0" t="str">
        <f aca="false">"UPDATE COTACAO SET cot_id = "&amp;A2004&amp;", cot_blt_id = "&amp;B2004&amp;", cot_pap_id = "&amp;C2004&amp;", cot_prc_comum = "&amp;D2004&amp;", cot_prc_min = "&amp;E2004&amp;", cot_prc_max = "&amp;F2004&amp;", cot_prc_med = "&amp;G2004&amp;", cot_prc_mediana = "&amp;H2004&amp;" WHERE cot_id = "&amp;A2004&amp;";"</f>
        <v>UPDATE COTACAO SET cot_id = 2003, cot_blt_id = 88, cot_pap_id = 13, cot_prc_comum = 72, cot_prc_min = 60, cot_prc_max = 96, cot_prc_med = 75, cot_prc_mediana = 72 WHERE cot_id = 2003;</v>
      </c>
    </row>
    <row r="2005" customFormat="false" ht="14.25" hidden="false" customHeight="false" outlineLevel="0" collapsed="false">
      <c r="A2005" s="0" t="n">
        <v>2004</v>
      </c>
      <c r="B2005" s="0" t="n">
        <f aca="false">IF('Boletins Nuppa Site'!A2005&lt;&gt;0,'Boletins Nuppa Site'!A2005,"NULL")</f>
        <v>88</v>
      </c>
      <c r="C2005" s="0" t="n">
        <v>14</v>
      </c>
      <c r="D2005" s="31" t="n">
        <f aca="false">IF('Boletins Nuppa Site'!G2005&lt;&gt;0,'Boletins Nuppa Site'!G2005,"NULL")</f>
        <v>60</v>
      </c>
      <c r="E2005" s="30" t="n">
        <f aca="false">IF('Boletins Nuppa Site'!H2005&lt;&gt;0,'Boletins Nuppa Site'!H2005,"NULL")</f>
        <v>54</v>
      </c>
      <c r="F2005" s="30" t="n">
        <f aca="false">IF('Boletins Nuppa Site'!I2005&lt;&gt;0,'Boletins Nuppa Site'!I2005,"NULL")</f>
        <v>72</v>
      </c>
      <c r="G2005" s="30" t="str">
        <f aca="false">IF('Boletins Nuppa Site'!J2005&lt;&gt;0,'Boletins Nuppa Site'!J2005,"NULL")</f>
        <v>61.5</v>
      </c>
      <c r="H2005" s="30" t="n">
        <f aca="false">IF('Boletins Nuppa Site'!K2005&lt;&gt;0,'Boletins Nuppa Site'!K2005,"NULL")</f>
        <v>60</v>
      </c>
      <c r="I2005" s="0" t="str">
        <f aca="false">"INSERT INTO COTACAO (cot_id, cot_blt_id, cot_pap_id, cot_prc_comum, cot_prc_min, cot_prc_max, cot_prc_med, cot_prc_mediana) VALUES ("&amp;A2005&amp;", "&amp;B2005&amp;", "&amp;C2005&amp;", "&amp;D2005&amp;", "&amp;E2005&amp;", "&amp;F2005&amp;", "&amp;G2005&amp;", "&amp;H2005&amp;");"</f>
        <v>INSERT INTO COTACAO (cot_id, cot_blt_id, cot_pap_id, cot_prc_comum, cot_prc_min, cot_prc_max, cot_prc_med, cot_prc_mediana) VALUES (2004, 88, 14, 60, 54, 72, 61.5, 60);</v>
      </c>
      <c r="J2005" s="0" t="str">
        <f aca="false">"UPDATE COTACAO SET cot_id = "&amp;A2005&amp;", cot_blt_id = "&amp;B2005&amp;", cot_pap_id = "&amp;C2005&amp;", cot_prc_comum = "&amp;D2005&amp;", cot_prc_min = "&amp;E2005&amp;", cot_prc_max = "&amp;F2005&amp;", cot_prc_med = "&amp;G2005&amp;", cot_prc_mediana = "&amp;H2005&amp;" WHERE cot_id = "&amp;A2005&amp;";"</f>
        <v>UPDATE COTACAO SET cot_id = 2004, cot_blt_id = 88, cot_pap_id = 14, cot_prc_comum = 60, cot_prc_min = 54, cot_prc_max = 72, cot_prc_med = 61.5, cot_prc_mediana = 60 WHERE cot_id = 2004;</v>
      </c>
    </row>
    <row r="2006" customFormat="false" ht="14.25" hidden="false" customHeight="false" outlineLevel="0" collapsed="false">
      <c r="A2006" s="0" t="n">
        <v>2005</v>
      </c>
      <c r="B2006" s="0" t="n">
        <f aca="false">IF('Boletins Nuppa Site'!A2006&lt;&gt;0,'Boletins Nuppa Site'!A2006,"NULL")</f>
        <v>88</v>
      </c>
      <c r="C2006" s="0" t="n">
        <v>15</v>
      </c>
      <c r="D2006" s="31" t="n">
        <f aca="false">IF('Boletins Nuppa Site'!G2006&lt;&gt;0,'Boletins Nuppa Site'!G2006,"NULL")</f>
        <v>48</v>
      </c>
      <c r="E2006" s="30" t="n">
        <f aca="false">IF('Boletins Nuppa Site'!H2006&lt;&gt;0,'Boletins Nuppa Site'!H2006,"NULL")</f>
        <v>36</v>
      </c>
      <c r="F2006" s="30" t="n">
        <f aca="false">IF('Boletins Nuppa Site'!I2006&lt;&gt;0,'Boletins Nuppa Site'!I2006,"NULL")</f>
        <v>48</v>
      </c>
      <c r="G2006" s="30" t="n">
        <f aca="false">IF('Boletins Nuppa Site'!J2006&lt;&gt;0,'Boletins Nuppa Site'!J2006,"NULL")</f>
        <v>42</v>
      </c>
      <c r="H2006" s="30" t="n">
        <f aca="false">IF('Boletins Nuppa Site'!K2006&lt;&gt;0,'Boletins Nuppa Site'!K2006,"NULL")</f>
        <v>42</v>
      </c>
      <c r="I2006" s="0" t="str">
        <f aca="false">"INSERT INTO COTACAO (cot_id, cot_blt_id, cot_pap_id, cot_prc_comum, cot_prc_min, cot_prc_max, cot_prc_med, cot_prc_mediana) VALUES ("&amp;A2006&amp;", "&amp;B2006&amp;", "&amp;C2006&amp;", "&amp;D2006&amp;", "&amp;E2006&amp;", "&amp;F2006&amp;", "&amp;G2006&amp;", "&amp;H2006&amp;");"</f>
        <v>INSERT INTO COTACAO (cot_id, cot_blt_id, cot_pap_id, cot_prc_comum, cot_prc_min, cot_prc_max, cot_prc_med, cot_prc_mediana) VALUES (2005, 88, 15, 48, 36, 48, 42, 42);</v>
      </c>
      <c r="J2006" s="0" t="str">
        <f aca="false">"UPDATE COTACAO SET cot_id = "&amp;A2006&amp;", cot_blt_id = "&amp;B2006&amp;", cot_pap_id = "&amp;C2006&amp;", cot_prc_comum = "&amp;D2006&amp;", cot_prc_min = "&amp;E2006&amp;", cot_prc_max = "&amp;F2006&amp;", cot_prc_med = "&amp;G2006&amp;", cot_prc_mediana = "&amp;H2006&amp;" WHERE cot_id = "&amp;A2006&amp;";"</f>
        <v>UPDATE COTACAO SET cot_id = 2005, cot_blt_id = 88, cot_pap_id = 15, cot_prc_comum = 48, cot_prc_min = 36, cot_prc_max = 48, cot_prc_med = 42, cot_prc_mediana = 42 WHERE cot_id = 2005;</v>
      </c>
    </row>
    <row r="2007" customFormat="false" ht="14.25" hidden="false" customHeight="false" outlineLevel="0" collapsed="false">
      <c r="A2007" s="0" t="n">
        <v>2006</v>
      </c>
      <c r="B2007" s="0" t="n">
        <f aca="false">IF('Boletins Nuppa Site'!A2007&lt;&gt;0,'Boletins Nuppa Site'!A2007,"NULL")</f>
        <v>88</v>
      </c>
      <c r="C2007" s="0" t="n">
        <v>16</v>
      </c>
      <c r="D2007" s="31" t="n">
        <f aca="false">IF('Boletins Nuppa Site'!G2007&lt;&gt;0,'Boletins Nuppa Site'!G2007,"NULL")</f>
        <v>54</v>
      </c>
      <c r="E2007" s="30" t="n">
        <f aca="false">IF('Boletins Nuppa Site'!H2007&lt;&gt;0,'Boletins Nuppa Site'!H2007,"NULL")</f>
        <v>48</v>
      </c>
      <c r="F2007" s="30" t="n">
        <f aca="false">IF('Boletins Nuppa Site'!I2007&lt;&gt;0,'Boletins Nuppa Site'!I2007,"NULL")</f>
        <v>60</v>
      </c>
      <c r="G2007" s="30" t="n">
        <f aca="false">IF('Boletins Nuppa Site'!J2007&lt;&gt;0,'Boletins Nuppa Site'!J2007,"NULL")</f>
        <v>54</v>
      </c>
      <c r="H2007" s="30" t="n">
        <f aca="false">IF('Boletins Nuppa Site'!K2007&lt;&gt;0,'Boletins Nuppa Site'!K2007,"NULL")</f>
        <v>54</v>
      </c>
      <c r="I2007" s="0" t="str">
        <f aca="false">"INSERT INTO COTACAO (cot_id, cot_blt_id, cot_pap_id, cot_prc_comum, cot_prc_min, cot_prc_max, cot_prc_med, cot_prc_mediana) VALUES ("&amp;A2007&amp;", "&amp;B2007&amp;", "&amp;C2007&amp;", "&amp;D2007&amp;", "&amp;E2007&amp;", "&amp;F2007&amp;", "&amp;G2007&amp;", "&amp;H2007&amp;");"</f>
        <v>INSERT INTO COTACAO (cot_id, cot_blt_id, cot_pap_id, cot_prc_comum, cot_prc_min, cot_prc_max, cot_prc_med, cot_prc_mediana) VALUES (2006, 88, 16, 54, 48, 60, 54, 54);</v>
      </c>
      <c r="J2007" s="0" t="str">
        <f aca="false">"UPDATE COTACAO SET cot_id = "&amp;A2007&amp;", cot_blt_id = "&amp;B2007&amp;", cot_pap_id = "&amp;C2007&amp;", cot_prc_comum = "&amp;D2007&amp;", cot_prc_min = "&amp;E2007&amp;", cot_prc_max = "&amp;F2007&amp;", cot_prc_med = "&amp;G2007&amp;", cot_prc_mediana = "&amp;H2007&amp;" WHERE cot_id = "&amp;A2007&amp;";"</f>
        <v>UPDATE COTACAO SET cot_id = 2006, cot_blt_id = 88, cot_pap_id = 16, cot_prc_comum = 54, cot_prc_min = 48, cot_prc_max = 60, cot_prc_med = 54, cot_prc_mediana = 54 WHERE cot_id = 2006;</v>
      </c>
    </row>
    <row r="2008" customFormat="false" ht="14.25" hidden="false" customHeight="false" outlineLevel="0" collapsed="false">
      <c r="A2008" s="0" t="n">
        <v>2007</v>
      </c>
      <c r="B2008" s="0" t="n">
        <f aca="false">IF('Boletins Nuppa Site'!A2008&lt;&gt;0,'Boletins Nuppa Site'!A2008,"NULL")</f>
        <v>88</v>
      </c>
      <c r="C2008" s="0" t="n">
        <v>17</v>
      </c>
      <c r="D2008" s="31" t="n">
        <f aca="false">IF('Boletins Nuppa Site'!G2008&lt;&gt;0,'Boletins Nuppa Site'!G2008,"NULL")</f>
        <v>5</v>
      </c>
      <c r="E2008" s="30" t="n">
        <f aca="false">IF('Boletins Nuppa Site'!H2008&lt;&gt;0,'Boletins Nuppa Site'!H2008,"NULL")</f>
        <v>5</v>
      </c>
      <c r="F2008" s="30" t="n">
        <f aca="false">IF('Boletins Nuppa Site'!I2008&lt;&gt;0,'Boletins Nuppa Site'!I2008,"NULL")</f>
        <v>5</v>
      </c>
      <c r="G2008" s="30" t="n">
        <f aca="false">IF('Boletins Nuppa Site'!J2008&lt;&gt;0,'Boletins Nuppa Site'!J2008,"NULL")</f>
        <v>5</v>
      </c>
      <c r="H2008" s="30" t="n">
        <f aca="false">IF('Boletins Nuppa Site'!K2008&lt;&gt;0,'Boletins Nuppa Site'!K2008,"NULL")</f>
        <v>5</v>
      </c>
      <c r="I2008" s="0" t="str">
        <f aca="false">"INSERT INTO COTACAO (cot_id, cot_blt_id, cot_pap_id, cot_prc_comum, cot_prc_min, cot_prc_max, cot_prc_med, cot_prc_mediana) VALUES ("&amp;A2008&amp;", "&amp;B2008&amp;", "&amp;C2008&amp;", "&amp;D2008&amp;", "&amp;E2008&amp;", "&amp;F2008&amp;", "&amp;G2008&amp;", "&amp;H2008&amp;");"</f>
        <v>INSERT INTO COTACAO (cot_id, cot_blt_id, cot_pap_id, cot_prc_comum, cot_prc_min, cot_prc_max, cot_prc_med, cot_prc_mediana) VALUES (2007, 88, 17, 5, 5, 5, 5, 5);</v>
      </c>
      <c r="J2008" s="0" t="str">
        <f aca="false">"UPDATE COTACAO SET cot_id = "&amp;A2008&amp;", cot_blt_id = "&amp;B2008&amp;", cot_pap_id = "&amp;C2008&amp;", cot_prc_comum = "&amp;D2008&amp;", cot_prc_min = "&amp;E2008&amp;", cot_prc_max = "&amp;F2008&amp;", cot_prc_med = "&amp;G2008&amp;", cot_prc_mediana = "&amp;H2008&amp;" WHERE cot_id = "&amp;A2008&amp;";"</f>
        <v>UPDATE COTACAO SET cot_id = 2007, cot_blt_id = 88, cot_pap_id = 17, cot_prc_comum = 5, cot_prc_min = 5, cot_prc_max = 5, cot_prc_med = 5, cot_prc_mediana = 5 WHERE cot_id = 2007;</v>
      </c>
    </row>
    <row r="2009" customFormat="false" ht="14.25" hidden="false" customHeight="false" outlineLevel="0" collapsed="false">
      <c r="A2009" s="0" t="n">
        <v>2008</v>
      </c>
      <c r="B2009" s="0" t="n">
        <f aca="false">IF('Boletins Nuppa Site'!A2009&lt;&gt;0,'Boletins Nuppa Site'!A2009,"NULL")</f>
        <v>88</v>
      </c>
      <c r="C2009" s="0" t="n">
        <v>18</v>
      </c>
      <c r="D2009" s="31" t="n">
        <f aca="false">IF('Boletins Nuppa Site'!G2009&lt;&gt;0,'Boletins Nuppa Site'!G2009,"NULL")</f>
        <v>20</v>
      </c>
      <c r="E2009" s="30" t="n">
        <f aca="false">IF('Boletins Nuppa Site'!H2009&lt;&gt;0,'Boletins Nuppa Site'!H2009,"NULL")</f>
        <v>20</v>
      </c>
      <c r="F2009" s="30" t="n">
        <f aca="false">IF('Boletins Nuppa Site'!I2009&lt;&gt;0,'Boletins Nuppa Site'!I2009,"NULL")</f>
        <v>25</v>
      </c>
      <c r="G2009" s="30" t="str">
        <f aca="false">IF('Boletins Nuppa Site'!J2009&lt;&gt;0,'Boletins Nuppa Site'!J2009,"NULL")</f>
        <v>22.5</v>
      </c>
      <c r="H2009" s="30" t="str">
        <f aca="false">IF('Boletins Nuppa Site'!K2009&lt;&gt;0,'Boletins Nuppa Site'!K2009,"NULL")</f>
        <v>22.5</v>
      </c>
      <c r="I2009" s="0" t="str">
        <f aca="false">"INSERT INTO COTACAO (cot_id, cot_blt_id, cot_pap_id, cot_prc_comum, cot_prc_min, cot_prc_max, cot_prc_med, cot_prc_mediana) VALUES ("&amp;A2009&amp;", "&amp;B2009&amp;", "&amp;C2009&amp;", "&amp;D2009&amp;", "&amp;E2009&amp;", "&amp;F2009&amp;", "&amp;G2009&amp;", "&amp;H2009&amp;");"</f>
        <v>INSERT INTO COTACAO (cot_id, cot_blt_id, cot_pap_id, cot_prc_comum, cot_prc_min, cot_prc_max, cot_prc_med, cot_prc_mediana) VALUES (2008, 88, 18, 20, 20, 25, 22.5, 22.5);</v>
      </c>
      <c r="J2009" s="0" t="str">
        <f aca="false">"UPDATE COTACAO SET cot_id = "&amp;A2009&amp;", cot_blt_id = "&amp;B2009&amp;", cot_pap_id = "&amp;C2009&amp;", cot_prc_comum = "&amp;D2009&amp;", cot_prc_min = "&amp;E2009&amp;", cot_prc_max = "&amp;F2009&amp;", cot_prc_med = "&amp;G2009&amp;", cot_prc_mediana = "&amp;H2009&amp;" WHERE cot_id = "&amp;A2009&amp;";"</f>
        <v>UPDATE COTACAO SET cot_id = 2008, cot_blt_id = 88, cot_pap_id = 18, cot_prc_comum = 20, cot_prc_min = 20, cot_prc_max = 25, cot_prc_med = 22.5, cot_prc_mediana = 22.5 WHERE cot_id = 2008;</v>
      </c>
    </row>
    <row r="2010" customFormat="false" ht="14.25" hidden="false" customHeight="false" outlineLevel="0" collapsed="false">
      <c r="A2010" s="0" t="n">
        <v>2009</v>
      </c>
      <c r="B2010" s="0" t="n">
        <f aca="false">IF('Boletins Nuppa Site'!A2010&lt;&gt;0,'Boletins Nuppa Site'!A2010,"NULL")</f>
        <v>88</v>
      </c>
      <c r="C2010" s="0" t="n">
        <v>19</v>
      </c>
      <c r="D2010" s="31" t="n">
        <f aca="false">IF('Boletins Nuppa Site'!G2010&lt;&gt;0,'Boletins Nuppa Site'!G2010,"NULL")</f>
        <v>25</v>
      </c>
      <c r="E2010" s="30" t="n">
        <f aca="false">IF('Boletins Nuppa Site'!H2010&lt;&gt;0,'Boletins Nuppa Site'!H2010,"NULL")</f>
        <v>25</v>
      </c>
      <c r="F2010" s="30" t="n">
        <f aca="false">IF('Boletins Nuppa Site'!I2010&lt;&gt;0,'Boletins Nuppa Site'!I2010,"NULL")</f>
        <v>30</v>
      </c>
      <c r="G2010" s="30" t="str">
        <f aca="false">IF('Boletins Nuppa Site'!J2010&lt;&gt;0,'Boletins Nuppa Site'!J2010,"NULL")</f>
        <v>27.5</v>
      </c>
      <c r="H2010" s="30" t="str">
        <f aca="false">IF('Boletins Nuppa Site'!K2010&lt;&gt;0,'Boletins Nuppa Site'!K2010,"NULL")</f>
        <v>27.5</v>
      </c>
      <c r="I2010" s="0" t="str">
        <f aca="false">"INSERT INTO COTACAO (cot_id, cot_blt_id, cot_pap_id, cot_prc_comum, cot_prc_min, cot_prc_max, cot_prc_med, cot_prc_mediana) VALUES ("&amp;A2010&amp;", "&amp;B2010&amp;", "&amp;C2010&amp;", "&amp;D2010&amp;", "&amp;E2010&amp;", "&amp;F2010&amp;", "&amp;G2010&amp;", "&amp;H2010&amp;");"</f>
        <v>INSERT INTO COTACAO (cot_id, cot_blt_id, cot_pap_id, cot_prc_comum, cot_prc_min, cot_prc_max, cot_prc_med, cot_prc_mediana) VALUES (2009, 88, 19, 25, 25, 30, 27.5, 27.5);</v>
      </c>
      <c r="J2010" s="0" t="str">
        <f aca="false">"UPDATE COTACAO SET cot_id = "&amp;A2010&amp;", cot_blt_id = "&amp;B2010&amp;", cot_pap_id = "&amp;C2010&amp;", cot_prc_comum = "&amp;D2010&amp;", cot_prc_min = "&amp;E2010&amp;", cot_prc_max = "&amp;F2010&amp;", cot_prc_med = "&amp;G2010&amp;", cot_prc_mediana = "&amp;H2010&amp;" WHERE cot_id = "&amp;A2010&amp;";"</f>
        <v>UPDATE COTACAO SET cot_id = 2009, cot_blt_id = 88, cot_pap_id = 19, cot_prc_comum = 25, cot_prc_min = 25, cot_prc_max = 30, cot_prc_med = 27.5, cot_prc_mediana = 27.5 WHERE cot_id = 2009;</v>
      </c>
    </row>
    <row r="2011" customFormat="false" ht="14.25" hidden="false" customHeight="false" outlineLevel="0" collapsed="false">
      <c r="A2011" s="0" t="n">
        <v>2010</v>
      </c>
      <c r="B2011" s="0" t="n">
        <f aca="false">IF('Boletins Nuppa Site'!A2011&lt;&gt;0,'Boletins Nuppa Site'!A2011,"NULL")</f>
        <v>88</v>
      </c>
      <c r="C2011" s="0" t="n">
        <v>20</v>
      </c>
      <c r="D2011" s="31" t="n">
        <f aca="false">IF('Boletins Nuppa Site'!G2011&lt;&gt;0,'Boletins Nuppa Site'!G2011,"NULL")</f>
        <v>70</v>
      </c>
      <c r="E2011" s="30" t="n">
        <f aca="false">IF('Boletins Nuppa Site'!H2011&lt;&gt;0,'Boletins Nuppa Site'!H2011,"NULL")</f>
        <v>70</v>
      </c>
      <c r="F2011" s="30" t="n">
        <f aca="false">IF('Boletins Nuppa Site'!I2011&lt;&gt;0,'Boletins Nuppa Site'!I2011,"NULL")</f>
        <v>75</v>
      </c>
      <c r="G2011" s="30" t="str">
        <f aca="false">IF('Boletins Nuppa Site'!J2011&lt;&gt;0,'Boletins Nuppa Site'!J2011,"NULL")</f>
        <v>71.67</v>
      </c>
      <c r="H2011" s="30" t="n">
        <f aca="false">IF('Boletins Nuppa Site'!K2011&lt;&gt;0,'Boletins Nuppa Site'!K2011,"NULL")</f>
        <v>70</v>
      </c>
      <c r="I2011" s="0" t="str">
        <f aca="false">"INSERT INTO COTACAO (cot_id, cot_blt_id, cot_pap_id, cot_prc_comum, cot_prc_min, cot_prc_max, cot_prc_med, cot_prc_mediana) VALUES ("&amp;A2011&amp;", "&amp;B2011&amp;", "&amp;C2011&amp;", "&amp;D2011&amp;", "&amp;E2011&amp;", "&amp;F2011&amp;", "&amp;G2011&amp;", "&amp;H2011&amp;");"</f>
        <v>INSERT INTO COTACAO (cot_id, cot_blt_id, cot_pap_id, cot_prc_comum, cot_prc_min, cot_prc_max, cot_prc_med, cot_prc_mediana) VALUES (2010, 88, 20, 70, 70, 75, 71.67, 70);</v>
      </c>
      <c r="J2011" s="0" t="str">
        <f aca="false">"UPDATE COTACAO SET cot_id = "&amp;A2011&amp;", cot_blt_id = "&amp;B2011&amp;", cot_pap_id = "&amp;C2011&amp;", cot_prc_comum = "&amp;D2011&amp;", cot_prc_min = "&amp;E2011&amp;", cot_prc_max = "&amp;F2011&amp;", cot_prc_med = "&amp;G2011&amp;", cot_prc_mediana = "&amp;H2011&amp;" WHERE cot_id = "&amp;A2011&amp;";"</f>
        <v>UPDATE COTACAO SET cot_id = 2010, cot_blt_id = 88, cot_pap_id = 20, cot_prc_comum = 70, cot_prc_min = 70, cot_prc_max = 75, cot_prc_med = 71.67, cot_prc_mediana = 70 WHERE cot_id = 2010;</v>
      </c>
    </row>
    <row r="2012" customFormat="false" ht="14.25" hidden="false" customHeight="false" outlineLevel="0" collapsed="false">
      <c r="A2012" s="0" t="n">
        <v>2011</v>
      </c>
      <c r="B2012" s="0" t="n">
        <f aca="false">IF('Boletins Nuppa Site'!A2012&lt;&gt;0,'Boletins Nuppa Site'!A2012,"NULL")</f>
        <v>88</v>
      </c>
      <c r="C2012" s="0" t="n">
        <v>21</v>
      </c>
      <c r="D2012" s="31" t="n">
        <f aca="false">IF('Boletins Nuppa Site'!G2012&lt;&gt;0,'Boletins Nuppa Site'!G2012,"NULL")</f>
        <v>50</v>
      </c>
      <c r="E2012" s="30" t="n">
        <f aca="false">IF('Boletins Nuppa Site'!H2012&lt;&gt;0,'Boletins Nuppa Site'!H2012,"NULL")</f>
        <v>50</v>
      </c>
      <c r="F2012" s="30" t="n">
        <f aca="false">IF('Boletins Nuppa Site'!I2012&lt;&gt;0,'Boletins Nuppa Site'!I2012,"NULL")</f>
        <v>60</v>
      </c>
      <c r="G2012" s="30" t="str">
        <f aca="false">IF('Boletins Nuppa Site'!J2012&lt;&gt;0,'Boletins Nuppa Site'!J2012,"NULL")</f>
        <v>53.33</v>
      </c>
      <c r="H2012" s="30" t="n">
        <f aca="false">IF('Boletins Nuppa Site'!K2012&lt;&gt;0,'Boletins Nuppa Site'!K2012,"NULL")</f>
        <v>50</v>
      </c>
      <c r="I2012" s="0" t="str">
        <f aca="false">"INSERT INTO COTACAO (cot_id, cot_blt_id, cot_pap_id, cot_prc_comum, cot_prc_min, cot_prc_max, cot_prc_med, cot_prc_mediana) VALUES ("&amp;A2012&amp;", "&amp;B2012&amp;", "&amp;C2012&amp;", "&amp;D2012&amp;", "&amp;E2012&amp;", "&amp;F2012&amp;", "&amp;G2012&amp;", "&amp;H2012&amp;");"</f>
        <v>INSERT INTO COTACAO (cot_id, cot_blt_id, cot_pap_id, cot_prc_comum, cot_prc_min, cot_prc_max, cot_prc_med, cot_prc_mediana) VALUES (2011, 88, 21, 50, 50, 60, 53.33, 50);</v>
      </c>
      <c r="J2012" s="0" t="str">
        <f aca="false">"UPDATE COTACAO SET cot_id = "&amp;A2012&amp;", cot_blt_id = "&amp;B2012&amp;", cot_pap_id = "&amp;C2012&amp;", cot_prc_comum = "&amp;D2012&amp;", cot_prc_min = "&amp;E2012&amp;", cot_prc_max = "&amp;F2012&amp;", cot_prc_med = "&amp;G2012&amp;", cot_prc_mediana = "&amp;H2012&amp;" WHERE cot_id = "&amp;A2012&amp;";"</f>
        <v>UPDATE COTACAO SET cot_id = 2011, cot_blt_id = 88, cot_pap_id = 21, cot_prc_comum = 50, cot_prc_min = 50, cot_prc_max = 60, cot_prc_med = 53.33, cot_prc_mediana = 50 WHERE cot_id = 2011;</v>
      </c>
    </row>
    <row r="2013" customFormat="false" ht="14.25" hidden="false" customHeight="false" outlineLevel="0" collapsed="false">
      <c r="A2013" s="0" t="n">
        <v>2012</v>
      </c>
      <c r="B2013" s="0" t="n">
        <f aca="false">IF('Boletins Nuppa Site'!A2013&lt;&gt;0,'Boletins Nuppa Site'!A2013,"NULL")</f>
        <v>88</v>
      </c>
      <c r="C2013" s="0" t="n">
        <v>22</v>
      </c>
      <c r="D2013" s="31" t="n">
        <f aca="false">IF('Boletins Nuppa Site'!G2013&lt;&gt;0,'Boletins Nuppa Site'!G2013,"NULL")</f>
        <v>70</v>
      </c>
      <c r="E2013" s="30" t="n">
        <f aca="false">IF('Boletins Nuppa Site'!H2013&lt;&gt;0,'Boletins Nuppa Site'!H2013,"NULL")</f>
        <v>45</v>
      </c>
      <c r="F2013" s="30" t="n">
        <f aca="false">IF('Boletins Nuppa Site'!I2013&lt;&gt;0,'Boletins Nuppa Site'!I2013,"NULL")</f>
        <v>70</v>
      </c>
      <c r="G2013" s="30" t="str">
        <f aca="false">IF('Boletins Nuppa Site'!J2013&lt;&gt;0,'Boletins Nuppa Site'!J2013,"NULL")</f>
        <v>62.5</v>
      </c>
      <c r="H2013" s="30" t="str">
        <f aca="false">IF('Boletins Nuppa Site'!K2013&lt;&gt;0,'Boletins Nuppa Site'!K2013,"NULL")</f>
        <v>67.5</v>
      </c>
      <c r="I2013" s="0" t="str">
        <f aca="false">"INSERT INTO COTACAO (cot_id, cot_blt_id, cot_pap_id, cot_prc_comum, cot_prc_min, cot_prc_max, cot_prc_med, cot_prc_mediana) VALUES ("&amp;A2013&amp;", "&amp;B2013&amp;", "&amp;C2013&amp;", "&amp;D2013&amp;", "&amp;E2013&amp;", "&amp;F2013&amp;", "&amp;G2013&amp;", "&amp;H2013&amp;");"</f>
        <v>INSERT INTO COTACAO (cot_id, cot_blt_id, cot_pap_id, cot_prc_comum, cot_prc_min, cot_prc_max, cot_prc_med, cot_prc_mediana) VALUES (2012, 88, 22, 70, 45, 70, 62.5, 67.5);</v>
      </c>
      <c r="J2013" s="0" t="str">
        <f aca="false">"UPDATE COTACAO SET cot_id = "&amp;A2013&amp;", cot_blt_id = "&amp;B2013&amp;", cot_pap_id = "&amp;C2013&amp;", cot_prc_comum = "&amp;D2013&amp;", cot_prc_min = "&amp;E2013&amp;", cot_prc_max = "&amp;F2013&amp;", cot_prc_med = "&amp;G2013&amp;", cot_prc_mediana = "&amp;H2013&amp;" WHERE cot_id = "&amp;A2013&amp;";"</f>
        <v>UPDATE COTACAO SET cot_id = 2012, cot_blt_id = 88, cot_pap_id = 22, cot_prc_comum = 70, cot_prc_min = 45, cot_prc_max = 70, cot_prc_med = 62.5, cot_prc_mediana = 67.5 WHERE cot_id = 2012;</v>
      </c>
    </row>
    <row r="2014" customFormat="false" ht="14.25" hidden="false" customHeight="false" outlineLevel="0" collapsed="false">
      <c r="A2014" s="0" t="n">
        <v>2013</v>
      </c>
      <c r="B2014" s="0" t="n">
        <f aca="false">IF('Boletins Nuppa Site'!A2014&lt;&gt;0,'Boletins Nuppa Site'!A2014,"NULL")</f>
        <v>88</v>
      </c>
      <c r="C2014" s="0" t="n">
        <v>23</v>
      </c>
      <c r="D2014" s="0" t="str">
        <f aca="false">IF('Boletins Nuppa Site'!G2014&lt;&gt;0,'Boletins Nuppa Site'!G2014,"NULL")</f>
        <v>NULL</v>
      </c>
      <c r="E2014" s="30" t="n">
        <f aca="false">IF('Boletins Nuppa Site'!H2014&lt;&gt;0,'Boletins Nuppa Site'!H2014,"NULL")</f>
        <v>40</v>
      </c>
      <c r="F2014" s="30" t="n">
        <f aca="false">IF('Boletins Nuppa Site'!I2014&lt;&gt;0,'Boletins Nuppa Site'!I2014,"NULL")</f>
        <v>65</v>
      </c>
      <c r="G2014" s="30" t="str">
        <f aca="false">IF('Boletins Nuppa Site'!J2014&lt;&gt;0,'Boletins Nuppa Site'!J2014,"NULL")</f>
        <v>53.75</v>
      </c>
      <c r="H2014" s="30" t="n">
        <f aca="false">IF('Boletins Nuppa Site'!K2014&lt;&gt;0,'Boletins Nuppa Site'!K2014,"NULL")</f>
        <v>55</v>
      </c>
      <c r="I2014" s="0" t="str">
        <f aca="false">"INSERT INTO COTACAO (cot_id, cot_blt_id, cot_pap_id, cot_prc_comum, cot_prc_min, cot_prc_max, cot_prc_med, cot_prc_mediana) VALUES ("&amp;A2014&amp;", "&amp;B2014&amp;", "&amp;C2014&amp;", "&amp;D2014&amp;", "&amp;E2014&amp;", "&amp;F2014&amp;", "&amp;G2014&amp;", "&amp;H2014&amp;");"</f>
        <v>INSERT INTO COTACAO (cot_id, cot_blt_id, cot_pap_id, cot_prc_comum, cot_prc_min, cot_prc_max, cot_prc_med, cot_prc_mediana) VALUES (2013, 88, 23, NULL, 40, 65, 53.75, 55);</v>
      </c>
      <c r="J2014" s="0" t="str">
        <f aca="false">"UPDATE COTACAO SET cot_id = "&amp;A2014&amp;", cot_blt_id = "&amp;B2014&amp;", cot_pap_id = "&amp;C2014&amp;", cot_prc_comum = "&amp;D2014&amp;", cot_prc_min = "&amp;E2014&amp;", cot_prc_max = "&amp;F2014&amp;", cot_prc_med = "&amp;G2014&amp;", cot_prc_mediana = "&amp;H2014&amp;" WHERE cot_id = "&amp;A2014&amp;";"</f>
        <v>UPDATE COTACAO SET cot_id = 2013, cot_blt_id = 88, cot_pap_id = 23, cot_prc_comum = NULL, cot_prc_min = 40, cot_prc_max = 65, cot_prc_med = 53.75, cot_prc_mediana = 55 WHERE cot_id = 2013;</v>
      </c>
    </row>
    <row r="2015" customFormat="false" ht="14.25" hidden="false" customHeight="false" outlineLevel="0" collapsed="false">
      <c r="A2015" s="0" t="n">
        <v>2014</v>
      </c>
      <c r="B2015" s="0" t="n">
        <f aca="false">IF('Boletins Nuppa Site'!A2015&lt;&gt;0,'Boletins Nuppa Site'!A2015,"NULL")</f>
        <v>88</v>
      </c>
      <c r="C2015" s="0" t="n">
        <v>24</v>
      </c>
      <c r="D2015" s="0" t="str">
        <f aca="false">IF('Boletins Nuppa Site'!G2015&lt;&gt;0,'Boletins Nuppa Site'!G2015,"NULL")</f>
        <v>NULL</v>
      </c>
      <c r="E2015" s="30" t="n">
        <f aca="false">IF('Boletins Nuppa Site'!H2015&lt;&gt;0,'Boletins Nuppa Site'!H2015,"NULL")</f>
        <v>65</v>
      </c>
      <c r="F2015" s="30" t="n">
        <f aca="false">IF('Boletins Nuppa Site'!I2015&lt;&gt;0,'Boletins Nuppa Site'!I2015,"NULL")</f>
        <v>75</v>
      </c>
      <c r="G2015" s="30" t="n">
        <f aca="false">IF('Boletins Nuppa Site'!J2015&lt;&gt;0,'Boletins Nuppa Site'!J2015,"NULL")</f>
        <v>70</v>
      </c>
      <c r="H2015" s="30" t="n">
        <f aca="false">IF('Boletins Nuppa Site'!K2015&lt;&gt;0,'Boletins Nuppa Site'!K2015,"NULL")</f>
        <v>70</v>
      </c>
      <c r="I2015" s="0" t="str">
        <f aca="false">"INSERT INTO COTACAO (cot_id, cot_blt_id, cot_pap_id, cot_prc_comum, cot_prc_min, cot_prc_max, cot_prc_med, cot_prc_mediana) VALUES ("&amp;A2015&amp;", "&amp;B2015&amp;", "&amp;C2015&amp;", "&amp;D2015&amp;", "&amp;E2015&amp;", "&amp;F2015&amp;", "&amp;G2015&amp;", "&amp;H2015&amp;");"</f>
        <v>INSERT INTO COTACAO (cot_id, cot_blt_id, cot_pap_id, cot_prc_comum, cot_prc_min, cot_prc_max, cot_prc_med, cot_prc_mediana) VALUES (2014, 88, 24, NULL, 65, 75, 70, 70);</v>
      </c>
      <c r="J2015" s="0" t="str">
        <f aca="false">"UPDATE COTACAO SET cot_id = "&amp;A2015&amp;", cot_blt_id = "&amp;B2015&amp;", cot_pap_id = "&amp;C2015&amp;", cot_prc_comum = "&amp;D2015&amp;", cot_prc_min = "&amp;E2015&amp;", cot_prc_max = "&amp;F2015&amp;", cot_prc_med = "&amp;G2015&amp;", cot_prc_mediana = "&amp;H2015&amp;" WHERE cot_id = "&amp;A2015&amp;";"</f>
        <v>UPDATE COTACAO SET cot_id = 2014, cot_blt_id = 88, cot_pap_id = 24, cot_prc_comum = NULL, cot_prc_min = 65, cot_prc_max = 75, cot_prc_med = 70, cot_prc_mediana = 70 WHERE cot_id = 2014;</v>
      </c>
    </row>
    <row r="2016" customFormat="false" ht="14.25" hidden="false" customHeight="false" outlineLevel="0" collapsed="false">
      <c r="A2016" s="0" t="n">
        <v>2015</v>
      </c>
      <c r="B2016" s="0" t="n">
        <f aca="false">IF('Boletins Nuppa Site'!A2016&lt;&gt;0,'Boletins Nuppa Site'!A2016,"NULL")</f>
        <v>88</v>
      </c>
      <c r="C2016" s="0" t="n">
        <v>25</v>
      </c>
      <c r="D2016" s="31" t="n">
        <f aca="false">IF('Boletins Nuppa Site'!G2016&lt;&gt;0,'Boletins Nuppa Site'!G2016,"NULL")</f>
        <v>60</v>
      </c>
      <c r="E2016" s="30" t="n">
        <f aca="false">IF('Boletins Nuppa Site'!H2016&lt;&gt;0,'Boletins Nuppa Site'!H2016,"NULL")</f>
        <v>50</v>
      </c>
      <c r="F2016" s="30" t="n">
        <f aca="false">IF('Boletins Nuppa Site'!I2016&lt;&gt;0,'Boletins Nuppa Site'!I2016,"NULL")</f>
        <v>60</v>
      </c>
      <c r="G2016" s="30" t="n">
        <f aca="false">IF('Boletins Nuppa Site'!J2016&lt;&gt;0,'Boletins Nuppa Site'!J2016,"NULL")</f>
        <v>55</v>
      </c>
      <c r="H2016" s="30" t="n">
        <f aca="false">IF('Boletins Nuppa Site'!K2016&lt;&gt;0,'Boletins Nuppa Site'!K2016,"NULL")</f>
        <v>55</v>
      </c>
      <c r="I2016" s="0" t="str">
        <f aca="false">"INSERT INTO COTACAO (cot_id, cot_blt_id, cot_pap_id, cot_prc_comum, cot_prc_min, cot_prc_max, cot_prc_med, cot_prc_mediana) VALUES ("&amp;A2016&amp;", "&amp;B2016&amp;", "&amp;C2016&amp;", "&amp;D2016&amp;", "&amp;E2016&amp;", "&amp;F2016&amp;", "&amp;G2016&amp;", "&amp;H2016&amp;");"</f>
        <v>INSERT INTO COTACAO (cot_id, cot_blt_id, cot_pap_id, cot_prc_comum, cot_prc_min, cot_prc_max, cot_prc_med, cot_prc_mediana) VALUES (2015, 88, 25, 60, 50, 60, 55, 55);</v>
      </c>
      <c r="J2016" s="0" t="str">
        <f aca="false">"UPDATE COTACAO SET cot_id = "&amp;A2016&amp;", cot_blt_id = "&amp;B2016&amp;", cot_pap_id = "&amp;C2016&amp;", cot_prc_comum = "&amp;D2016&amp;", cot_prc_min = "&amp;E2016&amp;", cot_prc_max = "&amp;F2016&amp;", cot_prc_med = "&amp;G2016&amp;", cot_prc_mediana = "&amp;H2016&amp;" WHERE cot_id = "&amp;A2016&amp;";"</f>
        <v>UPDATE COTACAO SET cot_id = 2015, cot_blt_id = 88, cot_pap_id = 25, cot_prc_comum = 60, cot_prc_min = 50, cot_prc_max = 60, cot_prc_med = 55, cot_prc_mediana = 55 WHERE cot_id = 2015;</v>
      </c>
    </row>
    <row r="2017" customFormat="false" ht="14.25" hidden="false" customHeight="false" outlineLevel="0" collapsed="false">
      <c r="A2017" s="0" t="n">
        <v>2016</v>
      </c>
      <c r="B2017" s="0" t="n">
        <f aca="false">IF('Boletins Nuppa Site'!A2017&lt;&gt;0,'Boletins Nuppa Site'!A2017,"NULL")</f>
        <v>88</v>
      </c>
      <c r="C2017" s="0" t="n">
        <v>26</v>
      </c>
      <c r="D2017" s="0" t="str">
        <f aca="false">IF('Boletins Nuppa Site'!G2017&lt;&gt;0,'Boletins Nuppa Site'!G2017,"NULL")</f>
        <v>NULL</v>
      </c>
      <c r="E2017" s="30" t="n">
        <f aca="false">IF('Boletins Nuppa Site'!H2017&lt;&gt;0,'Boletins Nuppa Site'!H2017,"NULL")</f>
        <v>60</v>
      </c>
      <c r="F2017" s="30" t="n">
        <f aca="false">IF('Boletins Nuppa Site'!I2017&lt;&gt;0,'Boletins Nuppa Site'!I2017,"NULL")</f>
        <v>100</v>
      </c>
      <c r="G2017" s="30" t="n">
        <f aca="false">IF('Boletins Nuppa Site'!J2017&lt;&gt;0,'Boletins Nuppa Site'!J2017,"NULL")</f>
        <v>80</v>
      </c>
      <c r="H2017" s="30" t="n">
        <f aca="false">IF('Boletins Nuppa Site'!K2017&lt;&gt;0,'Boletins Nuppa Site'!K2017,"NULL")</f>
        <v>80</v>
      </c>
      <c r="I2017" s="0" t="str">
        <f aca="false">"INSERT INTO COTACAO (cot_id, cot_blt_id, cot_pap_id, cot_prc_comum, cot_prc_min, cot_prc_max, cot_prc_med, cot_prc_mediana) VALUES ("&amp;A2017&amp;", "&amp;B2017&amp;", "&amp;C2017&amp;", "&amp;D2017&amp;", "&amp;E2017&amp;", "&amp;F2017&amp;", "&amp;G2017&amp;", "&amp;H2017&amp;");"</f>
        <v>INSERT INTO COTACAO (cot_id, cot_blt_id, cot_pap_id, cot_prc_comum, cot_prc_min, cot_prc_max, cot_prc_med, cot_prc_mediana) VALUES (2016, 88, 26, NULL, 60, 100, 80, 80);</v>
      </c>
      <c r="J2017" s="0" t="str">
        <f aca="false">"UPDATE COTACAO SET cot_id = "&amp;A2017&amp;", cot_blt_id = "&amp;B2017&amp;", cot_pap_id = "&amp;C2017&amp;", cot_prc_comum = "&amp;D2017&amp;", cot_prc_min = "&amp;E2017&amp;", cot_prc_max = "&amp;F2017&amp;", cot_prc_med = "&amp;G2017&amp;", cot_prc_mediana = "&amp;H2017&amp;" WHERE cot_id = "&amp;A2017&amp;";"</f>
        <v>UPDATE COTACAO SET cot_id = 2016, cot_blt_id = 88, cot_pap_id = 26, cot_prc_comum = NULL, cot_prc_min = 60, cot_prc_max = 100, cot_prc_med = 80, cot_prc_mediana = 80 WHERE cot_id = 2016;</v>
      </c>
    </row>
    <row r="2018" customFormat="false" ht="14.25" hidden="false" customHeight="false" outlineLevel="0" collapsed="false">
      <c r="A2018" s="0" t="n">
        <v>2017</v>
      </c>
      <c r="B2018" s="0" t="n">
        <f aca="false">IF('Boletins Nuppa Site'!A2018&lt;&gt;0,'Boletins Nuppa Site'!A2018,"NULL")</f>
        <v>88</v>
      </c>
      <c r="C2018" s="0" t="n">
        <v>27</v>
      </c>
      <c r="D2018" s="0" t="str">
        <f aca="false">IF('Boletins Nuppa Site'!G2018&lt;&gt;0,'Boletins Nuppa Site'!G2018,"NULL")</f>
        <v>NULL</v>
      </c>
      <c r="E2018" s="30" t="n">
        <f aca="false">IF('Boletins Nuppa Site'!H2018&lt;&gt;0,'Boletins Nuppa Site'!H2018,"NULL")</f>
        <v>45</v>
      </c>
      <c r="F2018" s="30" t="n">
        <f aca="false">IF('Boletins Nuppa Site'!I2018&lt;&gt;0,'Boletins Nuppa Site'!I2018,"NULL")</f>
        <v>90</v>
      </c>
      <c r="G2018" s="30" t="str">
        <f aca="false">IF('Boletins Nuppa Site'!J2018&lt;&gt;0,'Boletins Nuppa Site'!J2018,"NULL")</f>
        <v>63.75</v>
      </c>
      <c r="H2018" s="30" t="n">
        <f aca="false">IF('Boletins Nuppa Site'!K2018&lt;&gt;0,'Boletins Nuppa Site'!K2018,"NULL")</f>
        <v>60</v>
      </c>
      <c r="I2018" s="0" t="str">
        <f aca="false">"INSERT INTO COTACAO (cot_id, cot_blt_id, cot_pap_id, cot_prc_comum, cot_prc_min, cot_prc_max, cot_prc_med, cot_prc_mediana) VALUES ("&amp;A2018&amp;", "&amp;B2018&amp;", "&amp;C2018&amp;", "&amp;D2018&amp;", "&amp;E2018&amp;", "&amp;F2018&amp;", "&amp;G2018&amp;", "&amp;H2018&amp;");"</f>
        <v>INSERT INTO COTACAO (cot_id, cot_blt_id, cot_pap_id, cot_prc_comum, cot_prc_min, cot_prc_max, cot_prc_med, cot_prc_mediana) VALUES (2017, 88, 27, NULL, 45, 90, 63.75, 60);</v>
      </c>
      <c r="J2018" s="0" t="str">
        <f aca="false">"UPDATE COTACAO SET cot_id = "&amp;A2018&amp;", cot_blt_id = "&amp;B2018&amp;", cot_pap_id = "&amp;C2018&amp;", cot_prc_comum = "&amp;D2018&amp;", cot_prc_min = "&amp;E2018&amp;", cot_prc_max = "&amp;F2018&amp;", cot_prc_med = "&amp;G2018&amp;", cot_prc_mediana = "&amp;H2018&amp;" WHERE cot_id = "&amp;A2018&amp;";"</f>
        <v>UPDATE COTACAO SET cot_id = 2017, cot_blt_id = 88, cot_pap_id = 27, cot_prc_comum = NULL, cot_prc_min = 45, cot_prc_max = 90, cot_prc_med = 63.75, cot_prc_mediana = 60 WHERE cot_id = 2017;</v>
      </c>
    </row>
    <row r="2019" customFormat="false" ht="14.25" hidden="false" customHeight="false" outlineLevel="0" collapsed="false">
      <c r="A2019" s="0" t="n">
        <v>2018</v>
      </c>
      <c r="B2019" s="0" t="n">
        <f aca="false">IF('Boletins Nuppa Site'!A2019&lt;&gt;0,'Boletins Nuppa Site'!A2019,"NULL")</f>
        <v>88</v>
      </c>
      <c r="C2019" s="0" t="n">
        <v>28</v>
      </c>
      <c r="D2019" s="0" t="str">
        <f aca="false">IF('Boletins Nuppa Site'!G2019&lt;&gt;0,'Boletins Nuppa Site'!G2019,"NULL")</f>
        <v>NULL</v>
      </c>
      <c r="E2019" s="30" t="n">
        <f aca="false">IF('Boletins Nuppa Site'!H2019&lt;&gt;0,'Boletins Nuppa Site'!H2019,"NULL")</f>
        <v>70</v>
      </c>
      <c r="F2019" s="30" t="n">
        <f aca="false">IF('Boletins Nuppa Site'!I2019&lt;&gt;0,'Boletins Nuppa Site'!I2019,"NULL")</f>
        <v>100</v>
      </c>
      <c r="G2019" s="30" t="n">
        <f aca="false">IF('Boletins Nuppa Site'!J2019&lt;&gt;0,'Boletins Nuppa Site'!J2019,"NULL")</f>
        <v>85</v>
      </c>
      <c r="H2019" s="30" t="n">
        <f aca="false">IF('Boletins Nuppa Site'!K2019&lt;&gt;0,'Boletins Nuppa Site'!K2019,"NULL")</f>
        <v>85</v>
      </c>
      <c r="I2019" s="0" t="str">
        <f aca="false">"INSERT INTO COTACAO (cot_id, cot_blt_id, cot_pap_id, cot_prc_comum, cot_prc_min, cot_prc_max, cot_prc_med, cot_prc_mediana) VALUES ("&amp;A2019&amp;", "&amp;B2019&amp;", "&amp;C2019&amp;", "&amp;D2019&amp;", "&amp;E2019&amp;", "&amp;F2019&amp;", "&amp;G2019&amp;", "&amp;H2019&amp;");"</f>
        <v>INSERT INTO COTACAO (cot_id, cot_blt_id, cot_pap_id, cot_prc_comum, cot_prc_min, cot_prc_max, cot_prc_med, cot_prc_mediana) VALUES (2018, 88, 28, NULL, 70, 100, 85, 85);</v>
      </c>
      <c r="J2019" s="0" t="str">
        <f aca="false">"UPDATE COTACAO SET cot_id = "&amp;A2019&amp;", cot_blt_id = "&amp;B2019&amp;", cot_pap_id = "&amp;C2019&amp;", cot_prc_comum = "&amp;D2019&amp;", cot_prc_min = "&amp;E2019&amp;", cot_prc_max = "&amp;F2019&amp;", cot_prc_med = "&amp;G2019&amp;", cot_prc_mediana = "&amp;H2019&amp;" WHERE cot_id = "&amp;A2019&amp;";"</f>
        <v>UPDATE COTACAO SET cot_id = 2018, cot_blt_id = 88, cot_pap_id = 28, cot_prc_comum = NULL, cot_prc_min = 70, cot_prc_max = 100, cot_prc_med = 85, cot_prc_mediana = 85 WHERE cot_id = 2018;</v>
      </c>
    </row>
    <row r="2020" customFormat="false" ht="14.25" hidden="false" customHeight="false" outlineLevel="0" collapsed="false">
      <c r="A2020" s="0" t="n">
        <v>2019</v>
      </c>
      <c r="B2020" s="0" t="n">
        <f aca="false">IF('Boletins Nuppa Site'!A2020&lt;&gt;0,'Boletins Nuppa Site'!A2020,"NULL")</f>
        <v>88</v>
      </c>
      <c r="C2020" s="0" t="n">
        <v>29</v>
      </c>
      <c r="D2020" s="0" t="str">
        <f aca="false">IF('Boletins Nuppa Site'!G2020&lt;&gt;0,'Boletins Nuppa Site'!G2020,"NULL")</f>
        <v>NULL</v>
      </c>
      <c r="E2020" s="30" t="n">
        <f aca="false">IF('Boletins Nuppa Site'!H2020&lt;&gt;0,'Boletins Nuppa Site'!H2020,"NULL")</f>
        <v>50</v>
      </c>
      <c r="F2020" s="30" t="n">
        <f aca="false">IF('Boletins Nuppa Site'!I2020&lt;&gt;0,'Boletins Nuppa Site'!I2020,"NULL")</f>
        <v>75</v>
      </c>
      <c r="G2020" s="30" t="str">
        <f aca="false">IF('Boletins Nuppa Site'!J2020&lt;&gt;0,'Boletins Nuppa Site'!J2020,"NULL")</f>
        <v>62.5</v>
      </c>
      <c r="H2020" s="30" t="str">
        <f aca="false">IF('Boletins Nuppa Site'!K2020&lt;&gt;0,'Boletins Nuppa Site'!K2020,"NULL")</f>
        <v>62.5</v>
      </c>
      <c r="I2020" s="0" t="str">
        <f aca="false">"INSERT INTO COTACAO (cot_id, cot_blt_id, cot_pap_id, cot_prc_comum, cot_prc_min, cot_prc_max, cot_prc_med, cot_prc_mediana) VALUES ("&amp;A2020&amp;", "&amp;B2020&amp;", "&amp;C2020&amp;", "&amp;D2020&amp;", "&amp;E2020&amp;", "&amp;F2020&amp;", "&amp;G2020&amp;", "&amp;H2020&amp;");"</f>
        <v>INSERT INTO COTACAO (cot_id, cot_blt_id, cot_pap_id, cot_prc_comum, cot_prc_min, cot_prc_max, cot_prc_med, cot_prc_mediana) VALUES (2019, 88, 29, NULL, 50, 75, 62.5, 62.5);</v>
      </c>
      <c r="J2020" s="0" t="str">
        <f aca="false">"UPDATE COTACAO SET cot_id = "&amp;A2020&amp;", cot_blt_id = "&amp;B2020&amp;", cot_pap_id = "&amp;C2020&amp;", cot_prc_comum = "&amp;D2020&amp;", cot_prc_min = "&amp;E2020&amp;", cot_prc_max = "&amp;F2020&amp;", cot_prc_med = "&amp;G2020&amp;", cot_prc_mediana = "&amp;H2020&amp;" WHERE cot_id = "&amp;A2020&amp;";"</f>
        <v>UPDATE COTACAO SET cot_id = 2019, cot_blt_id = 88, cot_pap_id = 29, cot_prc_comum = NULL, cot_prc_min = 50, cot_prc_max = 75, cot_prc_med = 62.5, cot_prc_mediana = 62.5 WHERE cot_id = 2019;</v>
      </c>
    </row>
    <row r="2021" customFormat="false" ht="14.25" hidden="false" customHeight="false" outlineLevel="0" collapsed="false">
      <c r="A2021" s="0" t="n">
        <v>2020</v>
      </c>
      <c r="B2021" s="0" t="n">
        <f aca="false">IF('Boletins Nuppa Site'!A2021&lt;&gt;0,'Boletins Nuppa Site'!A2021,"NULL")</f>
        <v>88</v>
      </c>
      <c r="C2021" s="0" t="n">
        <v>30</v>
      </c>
      <c r="D2021" s="31" t="n">
        <f aca="false">IF('Boletins Nuppa Site'!G2021&lt;&gt;0,'Boletins Nuppa Site'!G2021,"NULL")</f>
        <v>80</v>
      </c>
      <c r="E2021" s="30" t="n">
        <f aca="false">IF('Boletins Nuppa Site'!H2021&lt;&gt;0,'Boletins Nuppa Site'!H2021,"NULL")</f>
        <v>45</v>
      </c>
      <c r="F2021" s="30" t="n">
        <f aca="false">IF('Boletins Nuppa Site'!I2021&lt;&gt;0,'Boletins Nuppa Site'!I2021,"NULL")</f>
        <v>80</v>
      </c>
      <c r="G2021" s="30" t="str">
        <f aca="false">IF('Boletins Nuppa Site'!J2021&lt;&gt;0,'Boletins Nuppa Site'!J2021,"NULL")</f>
        <v>68.33</v>
      </c>
      <c r="H2021" s="30" t="n">
        <f aca="false">IF('Boletins Nuppa Site'!K2021&lt;&gt;0,'Boletins Nuppa Site'!K2021,"NULL")</f>
        <v>80</v>
      </c>
      <c r="I2021" s="0" t="str">
        <f aca="false">"INSERT INTO COTACAO (cot_id, cot_blt_id, cot_pap_id, cot_prc_comum, cot_prc_min, cot_prc_max, cot_prc_med, cot_prc_mediana) VALUES ("&amp;A2021&amp;", "&amp;B2021&amp;", "&amp;C2021&amp;", "&amp;D2021&amp;", "&amp;E2021&amp;", "&amp;F2021&amp;", "&amp;G2021&amp;", "&amp;H2021&amp;");"</f>
        <v>INSERT INTO COTACAO (cot_id, cot_blt_id, cot_pap_id, cot_prc_comum, cot_prc_min, cot_prc_max, cot_prc_med, cot_prc_mediana) VALUES (2020, 88, 30, 80, 45, 80, 68.33, 80);</v>
      </c>
      <c r="J2021" s="0" t="str">
        <f aca="false">"UPDATE COTACAO SET cot_id = "&amp;A2021&amp;", cot_blt_id = "&amp;B2021&amp;", cot_pap_id = "&amp;C2021&amp;", cot_prc_comum = "&amp;D2021&amp;", cot_prc_min = "&amp;E2021&amp;", cot_prc_max = "&amp;F2021&amp;", cot_prc_med = "&amp;G2021&amp;", cot_prc_mediana = "&amp;H2021&amp;" WHERE cot_id = "&amp;A2021&amp;";"</f>
        <v>UPDATE COTACAO SET cot_id = 2020, cot_blt_id = 88, cot_pap_id = 30, cot_prc_comum = 80, cot_prc_min = 45, cot_prc_max = 80, cot_prc_med = 68.33, cot_prc_mediana = 80 WHERE cot_id = 2020;</v>
      </c>
    </row>
    <row r="2022" customFormat="false" ht="14.25" hidden="false" customHeight="false" outlineLevel="0" collapsed="false">
      <c r="A2022" s="0" t="n">
        <v>2021</v>
      </c>
      <c r="B2022" s="0" t="n">
        <f aca="false">IF('Boletins Nuppa Site'!A2022&lt;&gt;0,'Boletins Nuppa Site'!A2022,"NULL")</f>
        <v>88</v>
      </c>
      <c r="C2022" s="0" t="n">
        <v>31</v>
      </c>
      <c r="D2022" s="31" t="n">
        <f aca="false">IF('Boletins Nuppa Site'!G2022&lt;&gt;0,'Boletins Nuppa Site'!G2022,"NULL")</f>
        <v>90</v>
      </c>
      <c r="E2022" s="30" t="n">
        <f aca="false">IF('Boletins Nuppa Site'!H2022&lt;&gt;0,'Boletins Nuppa Site'!H2022,"NULL")</f>
        <v>80</v>
      </c>
      <c r="F2022" s="30" t="n">
        <f aca="false">IF('Boletins Nuppa Site'!I2022&lt;&gt;0,'Boletins Nuppa Site'!I2022,"NULL")</f>
        <v>120</v>
      </c>
      <c r="G2022" s="30" t="n">
        <f aca="false">IF('Boletins Nuppa Site'!J2022&lt;&gt;0,'Boletins Nuppa Site'!J2022,"NULL")</f>
        <v>95</v>
      </c>
      <c r="H2022" s="30" t="n">
        <f aca="false">IF('Boletins Nuppa Site'!K2022&lt;&gt;0,'Boletins Nuppa Site'!K2022,"NULL")</f>
        <v>90</v>
      </c>
      <c r="I2022" s="0" t="str">
        <f aca="false">"INSERT INTO COTACAO (cot_id, cot_blt_id, cot_pap_id, cot_prc_comum, cot_prc_min, cot_prc_max, cot_prc_med, cot_prc_mediana) VALUES ("&amp;A2022&amp;", "&amp;B2022&amp;", "&amp;C2022&amp;", "&amp;D2022&amp;", "&amp;E2022&amp;", "&amp;F2022&amp;", "&amp;G2022&amp;", "&amp;H2022&amp;");"</f>
        <v>INSERT INTO COTACAO (cot_id, cot_blt_id, cot_pap_id, cot_prc_comum, cot_prc_min, cot_prc_max, cot_prc_med, cot_prc_mediana) VALUES (2021, 88, 31, 90, 80, 120, 95, 90);</v>
      </c>
      <c r="J2022" s="0" t="str">
        <f aca="false">"UPDATE COTACAO SET cot_id = "&amp;A2022&amp;", cot_blt_id = "&amp;B2022&amp;", cot_pap_id = "&amp;C2022&amp;", cot_prc_comum = "&amp;D2022&amp;", cot_prc_min = "&amp;E2022&amp;", cot_prc_max = "&amp;F2022&amp;", cot_prc_med = "&amp;G2022&amp;", cot_prc_mediana = "&amp;H2022&amp;" WHERE cot_id = "&amp;A2022&amp;";"</f>
        <v>UPDATE COTACAO SET cot_id = 2021, cot_blt_id = 88, cot_pap_id = 31, cot_prc_comum = 90, cot_prc_min = 80, cot_prc_max = 120, cot_prc_med = 95, cot_prc_mediana = 90 WHERE cot_id = 2021;</v>
      </c>
    </row>
    <row r="2023" customFormat="false" ht="14.25" hidden="false" customHeight="false" outlineLevel="0" collapsed="false">
      <c r="A2023" s="0" t="n">
        <v>2022</v>
      </c>
      <c r="B2023" s="0" t="n">
        <f aca="false">IF('Boletins Nuppa Site'!A2023&lt;&gt;0,'Boletins Nuppa Site'!A2023,"NULL")</f>
        <v>88</v>
      </c>
      <c r="C2023" s="0" t="n">
        <v>32</v>
      </c>
      <c r="D2023" s="31" t="n">
        <f aca="false">IF('Boletins Nuppa Site'!G2023&lt;&gt;0,'Boletins Nuppa Site'!G2023,"NULL")</f>
        <v>30</v>
      </c>
      <c r="E2023" s="30" t="n">
        <f aca="false">IF('Boletins Nuppa Site'!H2023&lt;&gt;0,'Boletins Nuppa Site'!H2023,"NULL")</f>
        <v>20</v>
      </c>
      <c r="F2023" s="30" t="n">
        <f aca="false">IF('Boletins Nuppa Site'!I2023&lt;&gt;0,'Boletins Nuppa Site'!I2023,"NULL")</f>
        <v>40</v>
      </c>
      <c r="G2023" s="30" t="n">
        <f aca="false">IF('Boletins Nuppa Site'!J2023&lt;&gt;0,'Boletins Nuppa Site'!J2023,"NULL")</f>
        <v>30</v>
      </c>
      <c r="H2023" s="30" t="n">
        <f aca="false">IF('Boletins Nuppa Site'!K2023&lt;&gt;0,'Boletins Nuppa Site'!K2023,"NULL")</f>
        <v>30</v>
      </c>
      <c r="I2023" s="0" t="str">
        <f aca="false">"INSERT INTO COTACAO (cot_id, cot_blt_id, cot_pap_id, cot_prc_comum, cot_prc_min, cot_prc_max, cot_prc_med, cot_prc_mediana) VALUES ("&amp;A2023&amp;", "&amp;B2023&amp;", "&amp;C2023&amp;", "&amp;D2023&amp;", "&amp;E2023&amp;", "&amp;F2023&amp;", "&amp;G2023&amp;", "&amp;H2023&amp;");"</f>
        <v>INSERT INTO COTACAO (cot_id, cot_blt_id, cot_pap_id, cot_prc_comum, cot_prc_min, cot_prc_max, cot_prc_med, cot_prc_mediana) VALUES (2022, 88, 32, 30, 20, 40, 30, 30);</v>
      </c>
      <c r="J2023" s="0" t="str">
        <f aca="false">"UPDATE COTACAO SET cot_id = "&amp;A2023&amp;", cot_blt_id = "&amp;B2023&amp;", cot_pap_id = "&amp;C2023&amp;", cot_prc_comum = "&amp;D2023&amp;", cot_prc_min = "&amp;E2023&amp;", cot_prc_max = "&amp;F2023&amp;", cot_prc_med = "&amp;G2023&amp;", cot_prc_mediana = "&amp;H2023&amp;" WHERE cot_id = "&amp;A2023&amp;";"</f>
        <v>UPDATE COTACAO SET cot_id = 2022, cot_blt_id = 88, cot_pap_id = 32, cot_prc_comum = 30, cot_prc_min = 20, cot_prc_max = 40, cot_prc_med = 30, cot_prc_mediana = 30 WHERE cot_id = 2022;</v>
      </c>
    </row>
    <row r="2024" customFormat="false" ht="14.25" hidden="false" customHeight="false" outlineLevel="0" collapsed="false">
      <c r="A2024" s="0" t="n">
        <v>2023</v>
      </c>
      <c r="B2024" s="0" t="n">
        <f aca="false">IF('Boletins Nuppa Site'!A2024&lt;&gt;0,'Boletins Nuppa Site'!A2024,"NULL")</f>
        <v>88</v>
      </c>
      <c r="C2024" s="0" t="n">
        <v>33</v>
      </c>
      <c r="D2024" s="31" t="n">
        <f aca="false">IF('Boletins Nuppa Site'!G2024&lt;&gt;0,'Boletins Nuppa Site'!G2024,"NULL")</f>
        <v>90</v>
      </c>
      <c r="E2024" s="30" t="n">
        <f aca="false">IF('Boletins Nuppa Site'!H2024&lt;&gt;0,'Boletins Nuppa Site'!H2024,"NULL")</f>
        <v>50</v>
      </c>
      <c r="F2024" s="30" t="n">
        <f aca="false">IF('Boletins Nuppa Site'!I2024&lt;&gt;0,'Boletins Nuppa Site'!I2024,"NULL")</f>
        <v>90</v>
      </c>
      <c r="G2024" s="30" t="str">
        <f aca="false">IF('Boletins Nuppa Site'!J2024&lt;&gt;0,'Boletins Nuppa Site'!J2024,"NULL")</f>
        <v>78.75</v>
      </c>
      <c r="H2024" s="30" t="str">
        <f aca="false">IF('Boletins Nuppa Site'!K2024&lt;&gt;0,'Boletins Nuppa Site'!K2024,"NULL")</f>
        <v>87.5</v>
      </c>
      <c r="I2024" s="0" t="str">
        <f aca="false">"INSERT INTO COTACAO (cot_id, cot_blt_id, cot_pap_id, cot_prc_comum, cot_prc_min, cot_prc_max, cot_prc_med, cot_prc_mediana) VALUES ("&amp;A2024&amp;", "&amp;B2024&amp;", "&amp;C2024&amp;", "&amp;D2024&amp;", "&amp;E2024&amp;", "&amp;F2024&amp;", "&amp;G2024&amp;", "&amp;H2024&amp;");"</f>
        <v>INSERT INTO COTACAO (cot_id, cot_blt_id, cot_pap_id, cot_prc_comum, cot_prc_min, cot_prc_max, cot_prc_med, cot_prc_mediana) VALUES (2023, 88, 33, 90, 50, 90, 78.75, 87.5);</v>
      </c>
      <c r="J2024" s="0" t="str">
        <f aca="false">"UPDATE COTACAO SET cot_id = "&amp;A2024&amp;", cot_blt_id = "&amp;B2024&amp;", cot_pap_id = "&amp;C2024&amp;", cot_prc_comum = "&amp;D2024&amp;", cot_prc_min = "&amp;E2024&amp;", cot_prc_max = "&amp;F2024&amp;", cot_prc_med = "&amp;G2024&amp;", cot_prc_mediana = "&amp;H2024&amp;" WHERE cot_id = "&amp;A2024&amp;";"</f>
        <v>UPDATE COTACAO SET cot_id = 2023, cot_blt_id = 88, cot_pap_id = 33, cot_prc_comum = 90, cot_prc_min = 50, cot_prc_max = 90, cot_prc_med = 78.75, cot_prc_mediana = 87.5 WHERE cot_id = 2023;</v>
      </c>
    </row>
    <row r="2025" customFormat="false" ht="14.25" hidden="false" customHeight="false" outlineLevel="0" collapsed="false">
      <c r="A2025" s="0" t="n">
        <v>2024</v>
      </c>
      <c r="B2025" s="0" t="n">
        <f aca="false">IF('Boletins Nuppa Site'!A2025&lt;&gt;0,'Boletins Nuppa Site'!A2025,"NULL")</f>
        <v>88</v>
      </c>
      <c r="C2025" s="0" t="n">
        <v>34</v>
      </c>
      <c r="D2025" s="0" t="str">
        <f aca="false">IF('Boletins Nuppa Site'!G2025&lt;&gt;0,'Boletins Nuppa Site'!G2025,"NULL")</f>
        <v>-</v>
      </c>
      <c r="E2025" s="30" t="n">
        <f aca="false">IF('Boletins Nuppa Site'!H2025&lt;&gt;0,'Boletins Nuppa Site'!H2025,"NULL")</f>
        <v>60</v>
      </c>
      <c r="F2025" s="30" t="n">
        <f aca="false">IF('Boletins Nuppa Site'!I2025&lt;&gt;0,'Boletins Nuppa Site'!I2025,"NULL")</f>
        <v>120</v>
      </c>
      <c r="G2025" s="30" t="str">
        <f aca="false">IF('Boletins Nuppa Site'!J2025&lt;&gt;0,'Boletins Nuppa Site'!J2025,"NULL")</f>
        <v>92.5</v>
      </c>
      <c r="H2025" s="30" t="n">
        <f aca="false">IF('Boletins Nuppa Site'!K2025&lt;&gt;0,'Boletins Nuppa Site'!K2025,"NULL")</f>
        <v>95</v>
      </c>
      <c r="I2025" s="0" t="str">
        <f aca="false">"INSERT INTO COTACAO (cot_id, cot_blt_id, cot_pap_id, cot_prc_comum, cot_prc_min, cot_prc_max, cot_prc_med, cot_prc_mediana) VALUES ("&amp;A2025&amp;", "&amp;B2025&amp;", "&amp;C2025&amp;", "&amp;D2025&amp;", "&amp;E2025&amp;", "&amp;F2025&amp;", "&amp;G2025&amp;", "&amp;H2025&amp;");"</f>
        <v>INSERT INTO COTACAO (cot_id, cot_blt_id, cot_pap_id, cot_prc_comum, cot_prc_min, cot_prc_max, cot_prc_med, cot_prc_mediana) VALUES (2024, 88, 34, -, 60, 120, 92.5, 95);</v>
      </c>
      <c r="J2025" s="0" t="str">
        <f aca="false">"UPDATE COTACAO SET cot_id = "&amp;A2025&amp;", cot_blt_id = "&amp;B2025&amp;", cot_pap_id = "&amp;C2025&amp;", cot_prc_comum = "&amp;D2025&amp;", cot_prc_min = "&amp;E2025&amp;", cot_prc_max = "&amp;F2025&amp;", cot_prc_med = "&amp;G2025&amp;", cot_prc_mediana = "&amp;H2025&amp;" WHERE cot_id = "&amp;A2025&amp;";"</f>
        <v>UPDATE COTACAO SET cot_id = 2024, cot_blt_id = 88, cot_pap_id = 34, cot_prc_comum = -, cot_prc_min = 60, cot_prc_max = 120, cot_prc_med = 92.5, cot_prc_mediana = 95 WHERE cot_id = 2024;</v>
      </c>
    </row>
    <row r="2026" customFormat="false" ht="14.25" hidden="false" customHeight="false" outlineLevel="0" collapsed="false">
      <c r="A2026" s="0" t="n">
        <v>2025</v>
      </c>
      <c r="B2026" s="0" t="n">
        <f aca="false">IF('Boletins Nuppa Site'!A2026&lt;&gt;0,'Boletins Nuppa Site'!A2026,"NULL")</f>
        <v>88</v>
      </c>
      <c r="C2026" s="0" t="n">
        <v>35</v>
      </c>
      <c r="D2026" s="31" t="n">
        <f aca="false">IF('Boletins Nuppa Site'!G2026&lt;&gt;0,'Boletins Nuppa Site'!G2026,"NULL")</f>
        <v>50</v>
      </c>
      <c r="E2026" s="30" t="n">
        <f aca="false">IF('Boletins Nuppa Site'!H2026&lt;&gt;0,'Boletins Nuppa Site'!H2026,"NULL")</f>
        <v>50</v>
      </c>
      <c r="F2026" s="30" t="n">
        <f aca="false">IF('Boletins Nuppa Site'!I2026&lt;&gt;0,'Boletins Nuppa Site'!I2026,"NULL")</f>
        <v>70</v>
      </c>
      <c r="G2026" s="30" t="str">
        <f aca="false">IF('Boletins Nuppa Site'!J2026&lt;&gt;0,'Boletins Nuppa Site'!J2026,"NULL")</f>
        <v>56.67</v>
      </c>
      <c r="H2026" s="30" t="n">
        <f aca="false">IF('Boletins Nuppa Site'!K2026&lt;&gt;0,'Boletins Nuppa Site'!K2026,"NULL")</f>
        <v>50</v>
      </c>
      <c r="I2026" s="0" t="str">
        <f aca="false">"INSERT INTO COTACAO (cot_id, cot_blt_id, cot_pap_id, cot_prc_comum, cot_prc_min, cot_prc_max, cot_prc_med, cot_prc_mediana) VALUES ("&amp;A2026&amp;", "&amp;B2026&amp;", "&amp;C2026&amp;", "&amp;D2026&amp;", "&amp;E2026&amp;", "&amp;F2026&amp;", "&amp;G2026&amp;", "&amp;H2026&amp;");"</f>
        <v>INSERT INTO COTACAO (cot_id, cot_blt_id, cot_pap_id, cot_prc_comum, cot_prc_min, cot_prc_max, cot_prc_med, cot_prc_mediana) VALUES (2025, 88, 35, 50, 50, 70, 56.67, 50);</v>
      </c>
      <c r="J2026" s="0" t="str">
        <f aca="false">"UPDATE COTACAO SET cot_id = "&amp;A2026&amp;", cot_blt_id = "&amp;B2026&amp;", cot_pap_id = "&amp;C2026&amp;", cot_prc_comum = "&amp;D2026&amp;", cot_prc_min = "&amp;E2026&amp;", cot_prc_max = "&amp;F2026&amp;", cot_prc_med = "&amp;G2026&amp;", cot_prc_mediana = "&amp;H2026&amp;" WHERE cot_id = "&amp;A2026&amp;";"</f>
        <v>UPDATE COTACAO SET cot_id = 2025, cot_blt_id = 88, cot_pap_id = 35, cot_prc_comum = 50, cot_prc_min = 50, cot_prc_max = 70, cot_prc_med = 56.67, cot_prc_mediana = 50 WHERE cot_id = 2025;</v>
      </c>
    </row>
    <row r="2027" customFormat="false" ht="14.25" hidden="false" customHeight="false" outlineLevel="0" collapsed="false">
      <c r="A2027" s="0" t="n">
        <v>2026</v>
      </c>
      <c r="B2027" s="0" t="n">
        <f aca="false">IF('Boletins Nuppa Site'!A2027&lt;&gt;0,'Boletins Nuppa Site'!A2027,"NULL")</f>
        <v>88</v>
      </c>
      <c r="C2027" s="0" t="n">
        <v>36</v>
      </c>
      <c r="D2027" s="0" t="str">
        <f aca="false">IF('Boletins Nuppa Site'!G2027&lt;&gt;0,'Boletins Nuppa Site'!G2027,"NULL")</f>
        <v>NULL</v>
      </c>
      <c r="E2027" s="30" t="str">
        <f aca="false">IF('Boletins Nuppa Site'!H2027&lt;&gt;0,'Boletins Nuppa Site'!H2027,"NULL")</f>
        <v>NULL</v>
      </c>
      <c r="F2027" s="30" t="str">
        <f aca="false">IF('Boletins Nuppa Site'!I2027&lt;&gt;0,'Boletins Nuppa Site'!I2027,"NULL")</f>
        <v>NULL</v>
      </c>
      <c r="G2027" s="30" t="str">
        <f aca="false">IF('Boletins Nuppa Site'!J2027&lt;&gt;0,'Boletins Nuppa Site'!J2027,"NULL")</f>
        <v>NULL</v>
      </c>
      <c r="H2027" s="30" t="str">
        <f aca="false">IF('Boletins Nuppa Site'!K2027&lt;&gt;0,'Boletins Nuppa Site'!K2027,"NULL")</f>
        <v>NULL</v>
      </c>
      <c r="I2027" s="0" t="str">
        <f aca="false">"INSERT INTO COTACAO (cot_id, cot_blt_id, cot_pap_id, cot_prc_comum, cot_prc_min, cot_prc_max, cot_prc_med, cot_prc_mediana) VALUES ("&amp;A2027&amp;", "&amp;B2027&amp;", "&amp;C2027&amp;", "&amp;D2027&amp;", "&amp;E2027&amp;", "&amp;F2027&amp;", "&amp;G2027&amp;", "&amp;H2027&amp;");"</f>
        <v>INSERT INTO COTACAO (cot_id, cot_blt_id, cot_pap_id, cot_prc_comum, cot_prc_min, cot_prc_max, cot_prc_med, cot_prc_mediana) VALUES (2026, 88, 36, NULL, NULL, NULL, NULL, NULL);</v>
      </c>
      <c r="J2027" s="0" t="str">
        <f aca="false">"UPDATE COTACAO SET cot_id = "&amp;A2027&amp;", cot_blt_id = "&amp;B2027&amp;", cot_pap_id = "&amp;C2027&amp;", cot_prc_comum = "&amp;D2027&amp;", cot_prc_min = "&amp;E2027&amp;", cot_prc_max = "&amp;F2027&amp;", cot_prc_med = "&amp;G2027&amp;", cot_prc_mediana = "&amp;H2027&amp;" WHERE cot_id = "&amp;A2027&amp;";"</f>
        <v>UPDATE COTACAO SET cot_id = 2026, cot_blt_id = 88, cot_pap_id = 36, cot_prc_comum = NULL, cot_prc_min = NULL, cot_prc_max = NULL, cot_prc_med = NULL, cot_prc_mediana = NULL WHERE cot_id = 2026;</v>
      </c>
    </row>
    <row r="2028" customFormat="false" ht="14.25" hidden="false" customHeight="false" outlineLevel="0" collapsed="false">
      <c r="A2028" s="0" t="n">
        <v>2027</v>
      </c>
      <c r="B2028" s="0" t="n">
        <f aca="false">IF('Boletins Nuppa Site'!A2028&lt;&gt;0,'Boletins Nuppa Site'!A2028,"NULL")</f>
        <v>88</v>
      </c>
      <c r="C2028" s="0" t="n">
        <v>37</v>
      </c>
      <c r="D2028" s="0" t="str">
        <f aca="false">IF('Boletins Nuppa Site'!G2028&lt;&gt;0,'Boletins Nuppa Site'!G2028,"NULL")</f>
        <v>NULL</v>
      </c>
      <c r="E2028" s="30" t="str">
        <f aca="false">IF('Boletins Nuppa Site'!H2028&lt;&gt;0,'Boletins Nuppa Site'!H2028,"NULL")</f>
        <v>NULL</v>
      </c>
      <c r="F2028" s="30" t="str">
        <f aca="false">IF('Boletins Nuppa Site'!I2028&lt;&gt;0,'Boletins Nuppa Site'!I2028,"NULL")</f>
        <v>NULL</v>
      </c>
      <c r="G2028" s="30" t="str">
        <f aca="false">IF('Boletins Nuppa Site'!J2028&lt;&gt;0,'Boletins Nuppa Site'!J2028,"NULL")</f>
        <v>NULL</v>
      </c>
      <c r="H2028" s="30" t="str">
        <f aca="false">IF('Boletins Nuppa Site'!K2028&lt;&gt;0,'Boletins Nuppa Site'!K2028,"NULL")</f>
        <v>NULL</v>
      </c>
      <c r="I2028" s="0" t="str">
        <f aca="false">"INSERT INTO COTACAO (cot_id, cot_blt_id, cot_pap_id, cot_prc_comum, cot_prc_min, cot_prc_max, cot_prc_med, cot_prc_mediana) VALUES ("&amp;A2028&amp;", "&amp;B2028&amp;", "&amp;C2028&amp;", "&amp;D2028&amp;", "&amp;E2028&amp;", "&amp;F2028&amp;", "&amp;G2028&amp;", "&amp;H2028&amp;");"</f>
        <v>INSERT INTO COTACAO (cot_id, cot_blt_id, cot_pap_id, cot_prc_comum, cot_prc_min, cot_prc_max, cot_prc_med, cot_prc_mediana) VALUES (2027, 88, 37, NULL, NULL, NULL, NULL, NULL);</v>
      </c>
      <c r="J2028" s="0" t="str">
        <f aca="false">"UPDATE COTACAO SET cot_id = "&amp;A2028&amp;", cot_blt_id = "&amp;B2028&amp;", cot_pap_id = "&amp;C2028&amp;", cot_prc_comum = "&amp;D2028&amp;", cot_prc_min = "&amp;E2028&amp;", cot_prc_max = "&amp;F2028&amp;", cot_prc_med = "&amp;G2028&amp;", cot_prc_mediana = "&amp;H2028&amp;" WHERE cot_id = "&amp;A2028&amp;";"</f>
        <v>UPDATE COTACAO SET cot_id = 2027, cot_blt_id = 88, cot_pap_id = 37, cot_prc_comum = NULL, cot_prc_min = NULL, cot_prc_max = NULL, cot_prc_med = NULL, cot_prc_mediana = NULL WHERE cot_id = 2027;</v>
      </c>
    </row>
    <row r="2029" customFormat="false" ht="14.25" hidden="false" customHeight="false" outlineLevel="0" collapsed="false">
      <c r="A2029" s="0" t="n">
        <v>2028</v>
      </c>
      <c r="B2029" s="0" t="n">
        <f aca="false">IF('Boletins Nuppa Site'!A2029&lt;&gt;0,'Boletins Nuppa Site'!A2029,"NULL")</f>
        <v>88</v>
      </c>
      <c r="C2029" s="0" t="n">
        <v>38</v>
      </c>
      <c r="D2029" s="0" t="str">
        <f aca="false">IF('Boletins Nuppa Site'!G2029&lt;&gt;0,'Boletins Nuppa Site'!G2029,"NULL")</f>
        <v>NULL</v>
      </c>
      <c r="E2029" s="30" t="str">
        <f aca="false">IF('Boletins Nuppa Site'!H2029&lt;&gt;0,'Boletins Nuppa Site'!H2029,"NULL")</f>
        <v>NULL</v>
      </c>
      <c r="F2029" s="30" t="str">
        <f aca="false">IF('Boletins Nuppa Site'!I2029&lt;&gt;0,'Boletins Nuppa Site'!I2029,"NULL")</f>
        <v>NULL</v>
      </c>
      <c r="G2029" s="30" t="str">
        <f aca="false">IF('Boletins Nuppa Site'!J2029&lt;&gt;0,'Boletins Nuppa Site'!J2029,"NULL")</f>
        <v>NULL</v>
      </c>
      <c r="H2029" s="30" t="str">
        <f aca="false">IF('Boletins Nuppa Site'!K2029&lt;&gt;0,'Boletins Nuppa Site'!K2029,"NULL")</f>
        <v>NULL</v>
      </c>
      <c r="I2029" s="0" t="str">
        <f aca="false">"INSERT INTO COTACAO (cot_id, cot_blt_id, cot_pap_id, cot_prc_comum, cot_prc_min, cot_prc_max, cot_prc_med, cot_prc_mediana) VALUES ("&amp;A2029&amp;", "&amp;B2029&amp;", "&amp;C2029&amp;", "&amp;D2029&amp;", "&amp;E2029&amp;", "&amp;F2029&amp;", "&amp;G2029&amp;", "&amp;H2029&amp;");"</f>
        <v>INSERT INTO COTACAO (cot_id, cot_blt_id, cot_pap_id, cot_prc_comum, cot_prc_min, cot_prc_max, cot_prc_med, cot_prc_mediana) VALUES (2028, 88, 38, NULL, NULL, NULL, NULL, NULL);</v>
      </c>
      <c r="J2029" s="0" t="str">
        <f aca="false">"UPDATE COTACAO SET cot_id = "&amp;A2029&amp;", cot_blt_id = "&amp;B2029&amp;", cot_pap_id = "&amp;C2029&amp;", cot_prc_comum = "&amp;D2029&amp;", cot_prc_min = "&amp;E2029&amp;", cot_prc_max = "&amp;F2029&amp;", cot_prc_med = "&amp;G2029&amp;", cot_prc_mediana = "&amp;H2029&amp;" WHERE cot_id = "&amp;A2029&amp;";"</f>
        <v>UPDATE COTACAO SET cot_id = 2028, cot_blt_id = 88, cot_pap_id = 38, cot_prc_comum = NULL, cot_prc_min = NULL, cot_prc_max = NULL, cot_prc_med = NULL, cot_prc_mediana = NULL WHERE cot_id = 2028;</v>
      </c>
    </row>
    <row r="2030" customFormat="false" ht="14.25" hidden="false" customHeight="false" outlineLevel="0" collapsed="false">
      <c r="A2030" s="0" t="n">
        <v>2029</v>
      </c>
      <c r="B2030" s="0" t="n">
        <f aca="false">IF('Boletins Nuppa Site'!A2030&lt;&gt;0,'Boletins Nuppa Site'!A2030,"NULL")</f>
        <v>88</v>
      </c>
      <c r="C2030" s="0" t="n">
        <v>39</v>
      </c>
      <c r="D2030" s="0" t="str">
        <f aca="false">IF('Boletins Nuppa Site'!G2030&lt;&gt;0,'Boletins Nuppa Site'!G2030,"NULL")</f>
        <v>NULL</v>
      </c>
      <c r="E2030" s="30" t="str">
        <f aca="false">IF('Boletins Nuppa Site'!H2030&lt;&gt;0,'Boletins Nuppa Site'!H2030,"NULL")</f>
        <v>NULL</v>
      </c>
      <c r="F2030" s="30" t="str">
        <f aca="false">IF('Boletins Nuppa Site'!I2030&lt;&gt;0,'Boletins Nuppa Site'!I2030,"NULL")</f>
        <v>NULL</v>
      </c>
      <c r="G2030" s="30" t="str">
        <f aca="false">IF('Boletins Nuppa Site'!J2030&lt;&gt;0,'Boletins Nuppa Site'!J2030,"NULL")</f>
        <v>NULL</v>
      </c>
      <c r="H2030" s="30" t="str">
        <f aca="false">IF('Boletins Nuppa Site'!K2030&lt;&gt;0,'Boletins Nuppa Site'!K2030,"NULL")</f>
        <v>NULL</v>
      </c>
      <c r="I2030" s="0" t="str">
        <f aca="false">"INSERT INTO COTACAO (cot_id, cot_blt_id, cot_pap_id, cot_prc_comum, cot_prc_min, cot_prc_max, cot_prc_med, cot_prc_mediana) VALUES ("&amp;A2030&amp;", "&amp;B2030&amp;", "&amp;C2030&amp;", "&amp;D2030&amp;", "&amp;E2030&amp;", "&amp;F2030&amp;", "&amp;G2030&amp;", "&amp;H2030&amp;");"</f>
        <v>INSERT INTO COTACAO (cot_id, cot_blt_id, cot_pap_id, cot_prc_comum, cot_prc_min, cot_prc_max, cot_prc_med, cot_prc_mediana) VALUES (2029, 88, 39, NULL, NULL, NULL, NULL, NULL);</v>
      </c>
      <c r="J2030" s="0" t="str">
        <f aca="false">"UPDATE COTACAO SET cot_id = "&amp;A2030&amp;", cot_blt_id = "&amp;B2030&amp;", cot_pap_id = "&amp;C2030&amp;", cot_prc_comum = "&amp;D2030&amp;", cot_prc_min = "&amp;E2030&amp;", cot_prc_max = "&amp;F2030&amp;", cot_prc_med = "&amp;G2030&amp;", cot_prc_mediana = "&amp;H2030&amp;" WHERE cot_id = "&amp;A2030&amp;";"</f>
        <v>UPDATE COTACAO SET cot_id = 2029, cot_blt_id = 88, cot_pap_id = 39, cot_prc_comum = NULL, cot_prc_min = NULL, cot_prc_max = NULL, cot_prc_med = NULL, cot_prc_mediana = NULL WHERE cot_id = 2029;</v>
      </c>
    </row>
    <row r="2031" customFormat="false" ht="14.25" hidden="false" customHeight="false" outlineLevel="0" collapsed="false">
      <c r="A2031" s="0" t="n">
        <v>2030</v>
      </c>
      <c r="B2031" s="0" t="n">
        <f aca="false">IF('Boletins Nuppa Site'!A2031&lt;&gt;0,'Boletins Nuppa Site'!A2031,"NULL")</f>
        <v>88</v>
      </c>
      <c r="C2031" s="0" t="n">
        <v>40</v>
      </c>
      <c r="D2031" s="0" t="str">
        <f aca="false">IF('Boletins Nuppa Site'!G2031&lt;&gt;0,'Boletins Nuppa Site'!G2031,"NULL")</f>
        <v>NULL</v>
      </c>
      <c r="E2031" s="30" t="str">
        <f aca="false">IF('Boletins Nuppa Site'!H2031&lt;&gt;0,'Boletins Nuppa Site'!H2031,"NULL")</f>
        <v>NULL</v>
      </c>
      <c r="F2031" s="30" t="str">
        <f aca="false">IF('Boletins Nuppa Site'!I2031&lt;&gt;0,'Boletins Nuppa Site'!I2031,"NULL")</f>
        <v>NULL</v>
      </c>
      <c r="G2031" s="30" t="str">
        <f aca="false">IF('Boletins Nuppa Site'!J2031&lt;&gt;0,'Boletins Nuppa Site'!J2031,"NULL")</f>
        <v>NULL</v>
      </c>
      <c r="H2031" s="30" t="str">
        <f aca="false">IF('Boletins Nuppa Site'!K2031&lt;&gt;0,'Boletins Nuppa Site'!K2031,"NULL")</f>
        <v>NULL</v>
      </c>
      <c r="I2031" s="0" t="str">
        <f aca="false">"INSERT INTO COTACAO (cot_id, cot_blt_id, cot_pap_id, cot_prc_comum, cot_prc_min, cot_prc_max, cot_prc_med, cot_prc_mediana) VALUES ("&amp;A2031&amp;", "&amp;B2031&amp;", "&amp;C2031&amp;", "&amp;D2031&amp;", "&amp;E2031&amp;", "&amp;F2031&amp;", "&amp;G2031&amp;", "&amp;H2031&amp;");"</f>
        <v>INSERT INTO COTACAO (cot_id, cot_blt_id, cot_pap_id, cot_prc_comum, cot_prc_min, cot_prc_max, cot_prc_med, cot_prc_mediana) VALUES (2030, 88, 40, NULL, NULL, NULL, NULL, NULL);</v>
      </c>
      <c r="J2031" s="0" t="str">
        <f aca="false">"UPDATE COTACAO SET cot_id = "&amp;A2031&amp;", cot_blt_id = "&amp;B2031&amp;", cot_pap_id = "&amp;C2031&amp;", cot_prc_comum = "&amp;D2031&amp;", cot_prc_min = "&amp;E2031&amp;", cot_prc_max = "&amp;F2031&amp;", cot_prc_med = "&amp;G2031&amp;", cot_prc_mediana = "&amp;H2031&amp;" WHERE cot_id = "&amp;A2031&amp;";"</f>
        <v>UPDATE COTACAO SET cot_id = 2030, cot_blt_id = 88, cot_pap_id = 40, cot_prc_comum = NULL, cot_prc_min = NULL, cot_prc_max = NULL, cot_prc_med = NULL, cot_prc_mediana = NULL WHERE cot_id = 2030;</v>
      </c>
    </row>
    <row r="2032" customFormat="false" ht="14.25" hidden="false" customHeight="false" outlineLevel="0" collapsed="false">
      <c r="A2032" s="0" t="n">
        <v>2031</v>
      </c>
      <c r="B2032" s="0" t="n">
        <f aca="false">IF('Boletins Nuppa Site'!A2032&lt;&gt;0,'Boletins Nuppa Site'!A2032,"NULL")</f>
        <v>89</v>
      </c>
      <c r="C2032" s="0" t="n">
        <v>1</v>
      </c>
      <c r="D2032" s="0" t="str">
        <f aca="false">IF('Boletins Nuppa Site'!G2032&lt;&gt;0,'Boletins Nuppa Site'!G2032,"NULL")</f>
        <v> 60.00</v>
      </c>
      <c r="E2032" s="30" t="str">
        <f aca="false">IF('Boletins Nuppa Site'!H2032&lt;&gt;0,'Boletins Nuppa Site'!H2032,"NULL")</f>
        <v> 60.00</v>
      </c>
      <c r="F2032" s="30" t="str">
        <f aca="false">IF('Boletins Nuppa Site'!I2032&lt;&gt;0,'Boletins Nuppa Site'!I2032,"NULL")</f>
        <v> 72.00</v>
      </c>
      <c r="G2032" s="30" t="str">
        <f aca="false">IF('Boletins Nuppa Site'!J2032&lt;&gt;0,'Boletins Nuppa Site'!J2032,"NULL")</f>
        <v> 64.00</v>
      </c>
      <c r="H2032" s="30" t="str">
        <f aca="false">IF('Boletins Nuppa Site'!K2032&lt;&gt;0,'Boletins Nuppa Site'!K2032,"NULL")</f>
        <v> 60.00</v>
      </c>
      <c r="I2032" s="0" t="str">
        <f aca="false">"INSERT INTO COTACAO (cot_id, cot_blt_id, cot_pap_id, cot_prc_comum, cot_prc_min, cot_prc_max, cot_prc_med, cot_prc_mediana) VALUES ("&amp;A2032&amp;", "&amp;B2032&amp;", "&amp;C2032&amp;", "&amp;D2032&amp;", "&amp;E2032&amp;", "&amp;F2032&amp;", "&amp;G2032&amp;", "&amp;H2032&amp;");"</f>
        <v>INSERT INTO COTACAO (cot_id, cot_blt_id, cot_pap_id, cot_prc_comum, cot_prc_min, cot_prc_max, cot_prc_med, cot_prc_mediana) VALUES (2031, 89, 1,  60.00,  60.00,  72.00,  64.00,  60.00);</v>
      </c>
      <c r="J2032" s="0" t="str">
        <f aca="false">"UPDATE COTACAO SET cot_id = "&amp;A2032&amp;", cot_blt_id = "&amp;B2032&amp;", cot_pap_id = "&amp;C2032&amp;", cot_prc_comum = "&amp;D2032&amp;", cot_prc_min = "&amp;E2032&amp;", cot_prc_max = "&amp;F2032&amp;", cot_prc_med = "&amp;G2032&amp;", cot_prc_mediana = "&amp;H2032&amp;" WHERE cot_id = "&amp;A2032&amp;";"</f>
        <v>UPDATE COTACAO SET cot_id = 2031, cot_blt_id = 89, cot_pap_id = 1, cot_prc_comum =  60.00, cot_prc_min =  60.00, cot_prc_max =  72.00, cot_prc_med =  64.00, cot_prc_mediana =  60.00 WHERE cot_id = 2031;</v>
      </c>
    </row>
    <row r="2033" customFormat="false" ht="14.25" hidden="false" customHeight="false" outlineLevel="0" collapsed="false">
      <c r="A2033" s="0" t="n">
        <v>2032</v>
      </c>
      <c r="B2033" s="0" t="n">
        <f aca="false">IF('Boletins Nuppa Site'!A2033&lt;&gt;0,'Boletins Nuppa Site'!A2033,"NULL")</f>
        <v>89</v>
      </c>
      <c r="C2033" s="0" t="n">
        <v>2</v>
      </c>
      <c r="D2033" s="0" t="str">
        <f aca="false">IF('Boletins Nuppa Site'!G2033&lt;&gt;0,'Boletins Nuppa Site'!G2033,"NULL")</f>
        <v> 84.00</v>
      </c>
      <c r="E2033" s="30" t="str">
        <f aca="false">IF('Boletins Nuppa Site'!H2033&lt;&gt;0,'Boletins Nuppa Site'!H2033,"NULL")</f>
        <v> 84.00</v>
      </c>
      <c r="F2033" s="30" t="str">
        <f aca="false">IF('Boletins Nuppa Site'!I2033&lt;&gt;0,'Boletins Nuppa Site'!I2033,"NULL")</f>
        <v> 96.00</v>
      </c>
      <c r="G2033" s="30" t="str">
        <f aca="false">IF('Boletins Nuppa Site'!J2033&lt;&gt;0,'Boletins Nuppa Site'!J2033,"NULL")</f>
        <v> 88.00</v>
      </c>
      <c r="H2033" s="30" t="str">
        <f aca="false">IF('Boletins Nuppa Site'!K2033&lt;&gt;0,'Boletins Nuppa Site'!K2033,"NULL")</f>
        <v> 84.00</v>
      </c>
      <c r="I2033" s="0" t="str">
        <f aca="false">"INSERT INTO COTACAO (cot_id, cot_blt_id, cot_pap_id, cot_prc_comum, cot_prc_min, cot_prc_max, cot_prc_med, cot_prc_mediana) VALUES ("&amp;A2033&amp;", "&amp;B2033&amp;", "&amp;C2033&amp;", "&amp;D2033&amp;", "&amp;E2033&amp;", "&amp;F2033&amp;", "&amp;G2033&amp;", "&amp;H2033&amp;");"</f>
        <v>INSERT INTO COTACAO (cot_id, cot_blt_id, cot_pap_id, cot_prc_comum, cot_prc_min, cot_prc_max, cot_prc_med, cot_prc_mediana) VALUES (2032, 89, 2,  84.00,  84.00,  96.00,  88.00,  84.00);</v>
      </c>
      <c r="J2033" s="0" t="str">
        <f aca="false">"UPDATE COTACAO SET cot_id = "&amp;A2033&amp;", cot_blt_id = "&amp;B2033&amp;", cot_pap_id = "&amp;C2033&amp;", cot_prc_comum = "&amp;D2033&amp;", cot_prc_min = "&amp;E2033&amp;", cot_prc_max = "&amp;F2033&amp;", cot_prc_med = "&amp;G2033&amp;", cot_prc_mediana = "&amp;H2033&amp;" WHERE cot_id = "&amp;A2033&amp;";"</f>
        <v>UPDATE COTACAO SET cot_id = 2032, cot_blt_id = 89, cot_pap_id = 2, cot_prc_comum =  84.00, cot_prc_min =  84.00, cot_prc_max =  96.00, cot_prc_med =  88.00, cot_prc_mediana =  84.00 WHERE cot_id = 2032;</v>
      </c>
    </row>
    <row r="2034" customFormat="false" ht="14.25" hidden="false" customHeight="false" outlineLevel="0" collapsed="false">
      <c r="A2034" s="0" t="n">
        <v>2033</v>
      </c>
      <c r="B2034" s="0" t="n">
        <f aca="false">IF('Boletins Nuppa Site'!A2034&lt;&gt;0,'Boletins Nuppa Site'!A2034,"NULL")</f>
        <v>89</v>
      </c>
      <c r="C2034" s="0" t="n">
        <v>3</v>
      </c>
      <c r="D2034" s="0" t="str">
        <f aca="false">IF('Boletins Nuppa Site'!G2034&lt;&gt;0,'Boletins Nuppa Site'!G2034,"NULL")</f>
        <v>NULL</v>
      </c>
      <c r="E2034" s="30" t="str">
        <f aca="false">IF('Boletins Nuppa Site'!H2034&lt;&gt;0,'Boletins Nuppa Site'!H2034,"NULL")</f>
        <v> 40.00</v>
      </c>
      <c r="F2034" s="30" t="str">
        <f aca="false">IF('Boletins Nuppa Site'!I2034&lt;&gt;0,'Boletins Nuppa Site'!I2034,"NULL")</f>
        <v> 60.00</v>
      </c>
      <c r="G2034" s="30" t="str">
        <f aca="false">IF('Boletins Nuppa Site'!J2034&lt;&gt;0,'Boletins Nuppa Site'!J2034,"NULL")</f>
        <v> 46.75</v>
      </c>
      <c r="H2034" s="30" t="str">
        <f aca="false">IF('Boletins Nuppa Site'!K2034&lt;&gt;0,'Boletins Nuppa Site'!K2034,"NULL")</f>
        <v> 43.50</v>
      </c>
      <c r="I2034" s="0" t="str">
        <f aca="false">"INSERT INTO COTACAO (cot_id, cot_blt_id, cot_pap_id, cot_prc_comum, cot_prc_min, cot_prc_max, cot_prc_med, cot_prc_mediana) VALUES ("&amp;A2034&amp;", "&amp;B2034&amp;", "&amp;C2034&amp;", "&amp;D2034&amp;", "&amp;E2034&amp;", "&amp;F2034&amp;", "&amp;G2034&amp;", "&amp;H2034&amp;");"</f>
        <v>INSERT INTO COTACAO (cot_id, cot_blt_id, cot_pap_id, cot_prc_comum, cot_prc_min, cot_prc_max, cot_prc_med, cot_prc_mediana) VALUES (2033, 89, 3, NULL,  40.00,  60.00,  46.75,  43.50);</v>
      </c>
      <c r="J2034" s="0" t="str">
        <f aca="false">"UPDATE COTACAO SET cot_id = "&amp;A2034&amp;", cot_blt_id = "&amp;B2034&amp;", cot_pap_id = "&amp;C2034&amp;", cot_prc_comum = "&amp;D2034&amp;", cot_prc_min = "&amp;E2034&amp;", cot_prc_max = "&amp;F2034&amp;", cot_prc_med = "&amp;G2034&amp;", cot_prc_mediana = "&amp;H2034&amp;" WHERE cot_id = "&amp;A2034&amp;";"</f>
        <v>UPDATE COTACAO SET cot_id = 2033, cot_blt_id = 89, cot_pap_id = 3, cot_prc_comum = NULL, cot_prc_min =  40.00, cot_prc_max =  60.00, cot_prc_med =  46.75, cot_prc_mediana =  43.50 WHERE cot_id = 2033;</v>
      </c>
    </row>
    <row r="2035" customFormat="false" ht="14.25" hidden="false" customHeight="false" outlineLevel="0" collapsed="false">
      <c r="A2035" s="0" t="n">
        <v>2034</v>
      </c>
      <c r="B2035" s="0" t="n">
        <f aca="false">IF('Boletins Nuppa Site'!A2035&lt;&gt;0,'Boletins Nuppa Site'!A2035,"NULL")</f>
        <v>89</v>
      </c>
      <c r="C2035" s="0" t="n">
        <v>4</v>
      </c>
      <c r="D2035" s="0" t="str">
        <f aca="false">IF('Boletins Nuppa Site'!G2035&lt;&gt;0,'Boletins Nuppa Site'!G2035,"NULL")</f>
        <v>NULL</v>
      </c>
      <c r="E2035" s="30" t="str">
        <f aca="false">IF('Boletins Nuppa Site'!H2035&lt;&gt;0,'Boletins Nuppa Site'!H2035,"NULL")</f>
        <v> 20.00</v>
      </c>
      <c r="F2035" s="30" t="str">
        <f aca="false">IF('Boletins Nuppa Site'!I2035&lt;&gt;0,'Boletins Nuppa Site'!I2035,"NULL")</f>
        <v> 48.00</v>
      </c>
      <c r="G2035" s="30" t="str">
        <f aca="false">IF('Boletins Nuppa Site'!J2035&lt;&gt;0,'Boletins Nuppa Site'!J2035,"NULL")</f>
        <v> 30.50</v>
      </c>
      <c r="H2035" s="30" t="str">
        <f aca="false">IF('Boletins Nuppa Site'!K2035&lt;&gt;0,'Boletins Nuppa Site'!K2035,"NULL")</f>
        <v> 27.00</v>
      </c>
      <c r="I2035" s="0" t="str">
        <f aca="false">"INSERT INTO COTACAO (cot_id, cot_blt_id, cot_pap_id, cot_prc_comum, cot_prc_min, cot_prc_max, cot_prc_med, cot_prc_mediana) VALUES ("&amp;A2035&amp;", "&amp;B2035&amp;", "&amp;C2035&amp;", "&amp;D2035&amp;", "&amp;E2035&amp;", "&amp;F2035&amp;", "&amp;G2035&amp;", "&amp;H2035&amp;");"</f>
        <v>INSERT INTO COTACAO (cot_id, cot_blt_id, cot_pap_id, cot_prc_comum, cot_prc_min, cot_prc_max, cot_prc_med, cot_prc_mediana) VALUES (2034, 89, 4, NULL,  20.00,  48.00,  30.50,  27.00);</v>
      </c>
      <c r="J2035" s="0" t="str">
        <f aca="false">"UPDATE COTACAO SET cot_id = "&amp;A2035&amp;", cot_blt_id = "&amp;B2035&amp;", cot_pap_id = "&amp;C2035&amp;", cot_prc_comum = "&amp;D2035&amp;", cot_prc_min = "&amp;E2035&amp;", cot_prc_max = "&amp;F2035&amp;", cot_prc_med = "&amp;G2035&amp;", cot_prc_mediana = "&amp;H2035&amp;" WHERE cot_id = "&amp;A2035&amp;";"</f>
        <v>UPDATE COTACAO SET cot_id = 2034, cot_blt_id = 89, cot_pap_id = 4, cot_prc_comum = NULL, cot_prc_min =  20.00, cot_prc_max =  48.00, cot_prc_med =  30.50, cot_prc_mediana =  27.00 WHERE cot_id = 2034;</v>
      </c>
    </row>
    <row r="2036" customFormat="false" ht="14.25" hidden="false" customHeight="false" outlineLevel="0" collapsed="false">
      <c r="A2036" s="0" t="n">
        <v>2035</v>
      </c>
      <c r="B2036" s="0" t="n">
        <f aca="false">IF('Boletins Nuppa Site'!A2036&lt;&gt;0,'Boletins Nuppa Site'!A2036,"NULL")</f>
        <v>89</v>
      </c>
      <c r="C2036" s="0" t="n">
        <v>5</v>
      </c>
      <c r="D2036" s="0" t="str">
        <f aca="false">IF('Boletins Nuppa Site'!G2036&lt;&gt;0,'Boletins Nuppa Site'!G2036,"NULL")</f>
        <v>NULL</v>
      </c>
      <c r="E2036" s="30" t="str">
        <f aca="false">IF('Boletins Nuppa Site'!H2036&lt;&gt;0,'Boletins Nuppa Site'!H2036,"NULL")</f>
        <v> 20.00</v>
      </c>
      <c r="F2036" s="30" t="str">
        <f aca="false">IF('Boletins Nuppa Site'!I2036&lt;&gt;0,'Boletins Nuppa Site'!I2036,"NULL")</f>
        <v> 48.00</v>
      </c>
      <c r="G2036" s="30" t="str">
        <f aca="false">IF('Boletins Nuppa Site'!J2036&lt;&gt;0,'Boletins Nuppa Site'!J2036,"NULL")</f>
        <v> 30.50</v>
      </c>
      <c r="H2036" s="30" t="str">
        <f aca="false">IF('Boletins Nuppa Site'!K2036&lt;&gt;0,'Boletins Nuppa Site'!K2036,"NULL")</f>
        <v> 27.00</v>
      </c>
      <c r="I2036" s="0" t="str">
        <f aca="false">"INSERT INTO COTACAO (cot_id, cot_blt_id, cot_pap_id, cot_prc_comum, cot_prc_min, cot_prc_max, cot_prc_med, cot_prc_mediana) VALUES ("&amp;A2036&amp;", "&amp;B2036&amp;", "&amp;C2036&amp;", "&amp;D2036&amp;", "&amp;E2036&amp;", "&amp;F2036&amp;", "&amp;G2036&amp;", "&amp;H2036&amp;");"</f>
        <v>INSERT INTO COTACAO (cot_id, cot_blt_id, cot_pap_id, cot_prc_comum, cot_prc_min, cot_prc_max, cot_prc_med, cot_prc_mediana) VALUES (2035, 89, 5, NULL,  20.00,  48.00,  30.50,  27.00);</v>
      </c>
      <c r="J2036" s="0" t="str">
        <f aca="false">"UPDATE COTACAO SET cot_id = "&amp;A2036&amp;", cot_blt_id = "&amp;B2036&amp;", cot_pap_id = "&amp;C2036&amp;", cot_prc_comum = "&amp;D2036&amp;", cot_prc_min = "&amp;E2036&amp;", cot_prc_max = "&amp;F2036&amp;", cot_prc_med = "&amp;G2036&amp;", cot_prc_mediana = "&amp;H2036&amp;" WHERE cot_id = "&amp;A2036&amp;";"</f>
        <v>UPDATE COTACAO SET cot_id = 2035, cot_blt_id = 89, cot_pap_id = 5, cot_prc_comum = NULL, cot_prc_min =  20.00, cot_prc_max =  48.00, cot_prc_med =  30.50, cot_prc_mediana =  27.00 WHERE cot_id = 2035;</v>
      </c>
    </row>
    <row r="2037" customFormat="false" ht="14.25" hidden="false" customHeight="false" outlineLevel="0" collapsed="false">
      <c r="A2037" s="0" t="n">
        <v>2036</v>
      </c>
      <c r="B2037" s="0" t="n">
        <f aca="false">IF('Boletins Nuppa Site'!A2037&lt;&gt;0,'Boletins Nuppa Site'!A2037,"NULL")</f>
        <v>89</v>
      </c>
      <c r="C2037" s="0" t="n">
        <v>6</v>
      </c>
      <c r="D2037" s="0" t="str">
        <f aca="false">IF('Boletins Nuppa Site'!G2037&lt;&gt;0,'Boletins Nuppa Site'!G2037,"NULL")</f>
        <v> 60.00</v>
      </c>
      <c r="E2037" s="30" t="str">
        <f aca="false">IF('Boletins Nuppa Site'!H2037&lt;&gt;0,'Boletins Nuppa Site'!H2037,"NULL")</f>
        <v> 60.00</v>
      </c>
      <c r="F2037" s="30" t="str">
        <f aca="false">IF('Boletins Nuppa Site'!I2037&lt;&gt;0,'Boletins Nuppa Site'!I2037,"NULL")</f>
        <v> 66.00</v>
      </c>
      <c r="G2037" s="30" t="str">
        <f aca="false">IF('Boletins Nuppa Site'!J2037&lt;&gt;0,'Boletins Nuppa Site'!J2037,"NULL")</f>
        <v> 62.00</v>
      </c>
      <c r="H2037" s="30" t="str">
        <f aca="false">IF('Boletins Nuppa Site'!K2037&lt;&gt;0,'Boletins Nuppa Site'!K2037,"NULL")</f>
        <v> 60.00</v>
      </c>
      <c r="I2037" s="0" t="str">
        <f aca="false">"INSERT INTO COTACAO (cot_id, cot_blt_id, cot_pap_id, cot_prc_comum, cot_prc_min, cot_prc_max, cot_prc_med, cot_prc_mediana) VALUES ("&amp;A2037&amp;", "&amp;B2037&amp;", "&amp;C2037&amp;", "&amp;D2037&amp;", "&amp;E2037&amp;", "&amp;F2037&amp;", "&amp;G2037&amp;", "&amp;H2037&amp;");"</f>
        <v>INSERT INTO COTACAO (cot_id, cot_blt_id, cot_pap_id, cot_prc_comum, cot_prc_min, cot_prc_max, cot_prc_med, cot_prc_mediana) VALUES (2036, 89, 6,  60.00,  60.00,  66.00,  62.00,  60.00);</v>
      </c>
      <c r="J2037" s="0" t="str">
        <f aca="false">"UPDATE COTACAO SET cot_id = "&amp;A2037&amp;", cot_blt_id = "&amp;B2037&amp;", cot_pap_id = "&amp;C2037&amp;", cot_prc_comum = "&amp;D2037&amp;", cot_prc_min = "&amp;E2037&amp;", cot_prc_max = "&amp;F2037&amp;", cot_prc_med = "&amp;G2037&amp;", cot_prc_mediana = "&amp;H2037&amp;" WHERE cot_id = "&amp;A2037&amp;";"</f>
        <v>UPDATE COTACAO SET cot_id = 2036, cot_blt_id = 89, cot_pap_id = 6, cot_prc_comum =  60.00, cot_prc_min =  60.00, cot_prc_max =  66.00, cot_prc_med =  62.00, cot_prc_mediana =  60.00 WHERE cot_id = 2036;</v>
      </c>
    </row>
    <row r="2038" customFormat="false" ht="14.25" hidden="false" customHeight="false" outlineLevel="0" collapsed="false">
      <c r="A2038" s="0" t="n">
        <v>2037</v>
      </c>
      <c r="B2038" s="0" t="n">
        <f aca="false">IF('Boletins Nuppa Site'!A2038&lt;&gt;0,'Boletins Nuppa Site'!A2038,"NULL")</f>
        <v>89</v>
      </c>
      <c r="C2038" s="0" t="n">
        <v>7</v>
      </c>
      <c r="D2038" s="0" t="str">
        <f aca="false">IF('Boletins Nuppa Site'!G2038&lt;&gt;0,'Boletins Nuppa Site'!G2038,"NULL")</f>
        <v> 78.00</v>
      </c>
      <c r="E2038" s="30" t="str">
        <f aca="false">IF('Boletins Nuppa Site'!H2038&lt;&gt;0,'Boletins Nuppa Site'!H2038,"NULL")</f>
        <v> 72.00</v>
      </c>
      <c r="F2038" s="30" t="str">
        <f aca="false">IF('Boletins Nuppa Site'!I2038&lt;&gt;0,'Boletins Nuppa Site'!I2038,"NULL")</f>
        <v> 78.00</v>
      </c>
      <c r="G2038" s="30" t="str">
        <f aca="false">IF('Boletins Nuppa Site'!J2038&lt;&gt;0,'Boletins Nuppa Site'!J2038,"NULL")</f>
        <v> 76.00</v>
      </c>
      <c r="H2038" s="30" t="str">
        <f aca="false">IF('Boletins Nuppa Site'!K2038&lt;&gt;0,'Boletins Nuppa Site'!K2038,"NULL")</f>
        <v> 78.00</v>
      </c>
      <c r="I2038" s="0" t="str">
        <f aca="false">"INSERT INTO COTACAO (cot_id, cot_blt_id, cot_pap_id, cot_prc_comum, cot_prc_min, cot_prc_max, cot_prc_med, cot_prc_mediana) VALUES ("&amp;A2038&amp;", "&amp;B2038&amp;", "&amp;C2038&amp;", "&amp;D2038&amp;", "&amp;E2038&amp;", "&amp;F2038&amp;", "&amp;G2038&amp;", "&amp;H2038&amp;");"</f>
        <v>INSERT INTO COTACAO (cot_id, cot_blt_id, cot_pap_id, cot_prc_comum, cot_prc_min, cot_prc_max, cot_prc_med, cot_prc_mediana) VALUES (2037, 89, 7,  78.00,  72.00,  78.00,  76.00,  78.00);</v>
      </c>
      <c r="J2038" s="0" t="str">
        <f aca="false">"UPDATE COTACAO SET cot_id = "&amp;A2038&amp;", cot_blt_id = "&amp;B2038&amp;", cot_pap_id = "&amp;C2038&amp;", cot_prc_comum = "&amp;D2038&amp;", cot_prc_min = "&amp;E2038&amp;", cot_prc_max = "&amp;F2038&amp;", cot_prc_med = "&amp;G2038&amp;", cot_prc_mediana = "&amp;H2038&amp;" WHERE cot_id = "&amp;A2038&amp;";"</f>
        <v>UPDATE COTACAO SET cot_id = 2037, cot_blt_id = 89, cot_pap_id = 7, cot_prc_comum =  78.00, cot_prc_min =  72.00, cot_prc_max =  78.00, cot_prc_med =  76.00, cot_prc_mediana =  78.00 WHERE cot_id = 2037;</v>
      </c>
    </row>
    <row r="2039" customFormat="false" ht="14.25" hidden="false" customHeight="false" outlineLevel="0" collapsed="false">
      <c r="A2039" s="0" t="n">
        <v>2038</v>
      </c>
      <c r="B2039" s="0" t="n">
        <f aca="false">IF('Boletins Nuppa Site'!A2039&lt;&gt;0,'Boletins Nuppa Site'!A2039,"NULL")</f>
        <v>89</v>
      </c>
      <c r="C2039" s="0" t="n">
        <v>8</v>
      </c>
      <c r="D2039" s="0" t="str">
        <f aca="false">IF('Boletins Nuppa Site'!G2039&lt;&gt;0,'Boletins Nuppa Site'!G2039,"NULL")</f>
        <v> 84.00</v>
      </c>
      <c r="E2039" s="30" t="str">
        <f aca="false">IF('Boletins Nuppa Site'!H2039&lt;&gt;0,'Boletins Nuppa Site'!H2039,"NULL")</f>
        <v> 84.00</v>
      </c>
      <c r="F2039" s="30" t="str">
        <f aca="false">IF('Boletins Nuppa Site'!I2039&lt;&gt;0,'Boletins Nuppa Site'!I2039,"NULL")</f>
        <v> 84.00</v>
      </c>
      <c r="G2039" s="30" t="str">
        <f aca="false">IF('Boletins Nuppa Site'!J2039&lt;&gt;0,'Boletins Nuppa Site'!J2039,"NULL")</f>
        <v> 84.00</v>
      </c>
      <c r="H2039" s="30" t="str">
        <f aca="false">IF('Boletins Nuppa Site'!K2039&lt;&gt;0,'Boletins Nuppa Site'!K2039,"NULL")</f>
        <v> 84.00</v>
      </c>
      <c r="I2039" s="0" t="str">
        <f aca="false">"INSERT INTO COTACAO (cot_id, cot_blt_id, cot_pap_id, cot_prc_comum, cot_prc_min, cot_prc_max, cot_prc_med, cot_prc_mediana) VALUES ("&amp;A2039&amp;", "&amp;B2039&amp;", "&amp;C2039&amp;", "&amp;D2039&amp;", "&amp;E2039&amp;", "&amp;F2039&amp;", "&amp;G2039&amp;", "&amp;H2039&amp;");"</f>
        <v>INSERT INTO COTACAO (cot_id, cot_blt_id, cot_pap_id, cot_prc_comum, cot_prc_min, cot_prc_max, cot_prc_med, cot_prc_mediana) VALUES (2038, 89, 8,  84.00,  84.00,  84.00,  84.00,  84.00);</v>
      </c>
      <c r="J2039" s="0" t="str">
        <f aca="false">"UPDATE COTACAO SET cot_id = "&amp;A2039&amp;", cot_blt_id = "&amp;B2039&amp;", cot_pap_id = "&amp;C2039&amp;", cot_prc_comum = "&amp;D2039&amp;", cot_prc_min = "&amp;E2039&amp;", cot_prc_max = "&amp;F2039&amp;", cot_prc_med = "&amp;G2039&amp;", cot_prc_mediana = "&amp;H2039&amp;" WHERE cot_id = "&amp;A2039&amp;";"</f>
        <v>UPDATE COTACAO SET cot_id = 2038, cot_blt_id = 89, cot_pap_id = 8, cot_prc_comum =  84.00, cot_prc_min =  84.00, cot_prc_max =  84.00, cot_prc_med =  84.00, cot_prc_mediana =  84.00 WHERE cot_id = 2038;</v>
      </c>
    </row>
    <row r="2040" customFormat="false" ht="14.25" hidden="false" customHeight="false" outlineLevel="0" collapsed="false">
      <c r="A2040" s="0" t="n">
        <v>2039</v>
      </c>
      <c r="B2040" s="0" t="n">
        <f aca="false">IF('Boletins Nuppa Site'!A2040&lt;&gt;0,'Boletins Nuppa Site'!A2040,"NULL")</f>
        <v>89</v>
      </c>
      <c r="C2040" s="0" t="n">
        <v>9</v>
      </c>
      <c r="D2040" s="0" t="str">
        <f aca="false">IF('Boletins Nuppa Site'!G2040&lt;&gt;0,'Boletins Nuppa Site'!G2040,"NULL")</f>
        <v> 24.00</v>
      </c>
      <c r="E2040" s="30" t="str">
        <f aca="false">IF('Boletins Nuppa Site'!H2040&lt;&gt;0,'Boletins Nuppa Site'!H2040,"NULL")</f>
        <v> 24.00</v>
      </c>
      <c r="F2040" s="30" t="str">
        <f aca="false">IF('Boletins Nuppa Site'!I2040&lt;&gt;0,'Boletins Nuppa Site'!I2040,"NULL")</f>
        <v> 30.00</v>
      </c>
      <c r="G2040" s="30" t="str">
        <f aca="false">IF('Boletins Nuppa Site'!J2040&lt;&gt;0,'Boletins Nuppa Site'!J2040,"NULL")</f>
        <v> 25.75</v>
      </c>
      <c r="H2040" s="30" t="str">
        <f aca="false">IF('Boletins Nuppa Site'!K2040&lt;&gt;0,'Boletins Nuppa Site'!K2040,"NULL")</f>
        <v> 24.50</v>
      </c>
      <c r="I2040" s="0" t="str">
        <f aca="false">"INSERT INTO COTACAO (cot_id, cot_blt_id, cot_pap_id, cot_prc_comum, cot_prc_min, cot_prc_max, cot_prc_med, cot_prc_mediana) VALUES ("&amp;A2040&amp;", "&amp;B2040&amp;", "&amp;C2040&amp;", "&amp;D2040&amp;", "&amp;E2040&amp;", "&amp;F2040&amp;", "&amp;G2040&amp;", "&amp;H2040&amp;");"</f>
        <v>INSERT INTO COTACAO (cot_id, cot_blt_id, cot_pap_id, cot_prc_comum, cot_prc_min, cot_prc_max, cot_prc_med, cot_prc_mediana) VALUES (2039, 89, 9,  24.00,  24.00,  30.00,  25.75,  24.50);</v>
      </c>
      <c r="J2040" s="0" t="str">
        <f aca="false">"UPDATE COTACAO SET cot_id = "&amp;A2040&amp;", cot_blt_id = "&amp;B2040&amp;", cot_pap_id = "&amp;C2040&amp;", cot_prc_comum = "&amp;D2040&amp;", cot_prc_min = "&amp;E2040&amp;", cot_prc_max = "&amp;F2040&amp;", cot_prc_med = "&amp;G2040&amp;", cot_prc_mediana = "&amp;H2040&amp;" WHERE cot_id = "&amp;A2040&amp;";"</f>
        <v>UPDATE COTACAO SET cot_id = 2039, cot_blt_id = 89, cot_pap_id = 9, cot_prc_comum =  24.00, cot_prc_min =  24.00, cot_prc_max =  30.00, cot_prc_med =  25.75, cot_prc_mediana =  24.50 WHERE cot_id = 2039;</v>
      </c>
    </row>
    <row r="2041" customFormat="false" ht="14.25" hidden="false" customHeight="false" outlineLevel="0" collapsed="false">
      <c r="A2041" s="0" t="n">
        <v>2040</v>
      </c>
      <c r="B2041" s="0" t="n">
        <f aca="false">IF('Boletins Nuppa Site'!A2041&lt;&gt;0,'Boletins Nuppa Site'!A2041,"NULL")</f>
        <v>89</v>
      </c>
      <c r="C2041" s="0" t="n">
        <v>10</v>
      </c>
      <c r="D2041" s="0" t="str">
        <f aca="false">IF('Boletins Nuppa Site'!G2041&lt;&gt;0,'Boletins Nuppa Site'!G2041,"NULL")</f>
        <v>NULL</v>
      </c>
      <c r="E2041" s="30" t="str">
        <f aca="false">IF('Boletins Nuppa Site'!H2041&lt;&gt;0,'Boletins Nuppa Site'!H2041,"NULL")</f>
        <v> 72.00</v>
      </c>
      <c r="F2041" s="30" t="str">
        <f aca="false">IF('Boletins Nuppa Site'!I2041&lt;&gt;0,'Boletins Nuppa Site'!I2041,"NULL")</f>
        <v> 90.00</v>
      </c>
      <c r="G2041" s="30" t="str">
        <f aca="false">IF('Boletins Nuppa Site'!J2041&lt;&gt;0,'Boletins Nuppa Site'!J2041,"NULL")</f>
        <v> 82.00</v>
      </c>
      <c r="H2041" s="30" t="str">
        <f aca="false">IF('Boletins Nuppa Site'!K2041&lt;&gt;0,'Boletins Nuppa Site'!K2041,"NULL")</f>
        <v> 84.00</v>
      </c>
      <c r="I2041" s="0" t="str">
        <f aca="false">"INSERT INTO COTACAO (cot_id, cot_blt_id, cot_pap_id, cot_prc_comum, cot_prc_min, cot_prc_max, cot_prc_med, cot_prc_mediana) VALUES ("&amp;A2041&amp;", "&amp;B2041&amp;", "&amp;C2041&amp;", "&amp;D2041&amp;", "&amp;E2041&amp;", "&amp;F2041&amp;", "&amp;G2041&amp;", "&amp;H2041&amp;");"</f>
        <v>INSERT INTO COTACAO (cot_id, cot_blt_id, cot_pap_id, cot_prc_comum, cot_prc_min, cot_prc_max, cot_prc_med, cot_prc_mediana) VALUES (2040, 89, 10, NULL,  72.00,  90.00,  82.00,  84.00);</v>
      </c>
      <c r="J2041" s="0" t="str">
        <f aca="false">"UPDATE COTACAO SET cot_id = "&amp;A2041&amp;", cot_blt_id = "&amp;B2041&amp;", cot_pap_id = "&amp;C2041&amp;", cot_prc_comum = "&amp;D2041&amp;", cot_prc_min = "&amp;E2041&amp;", cot_prc_max = "&amp;F2041&amp;", cot_prc_med = "&amp;G2041&amp;", cot_prc_mediana = "&amp;H2041&amp;" WHERE cot_id = "&amp;A2041&amp;";"</f>
        <v>UPDATE COTACAO SET cot_id = 2040, cot_blt_id = 89, cot_pap_id = 10, cot_prc_comum = NULL, cot_prc_min =  72.00, cot_prc_max =  90.00, cot_prc_med =  82.00, cot_prc_mediana =  84.00 WHERE cot_id = 2040;</v>
      </c>
    </row>
    <row r="2042" customFormat="false" ht="14.25" hidden="false" customHeight="false" outlineLevel="0" collapsed="false">
      <c r="A2042" s="0" t="n">
        <v>2041</v>
      </c>
      <c r="B2042" s="0" t="n">
        <f aca="false">IF('Boletins Nuppa Site'!A2042&lt;&gt;0,'Boletins Nuppa Site'!A2042,"NULL")</f>
        <v>89</v>
      </c>
      <c r="C2042" s="0" t="n">
        <v>11</v>
      </c>
      <c r="D2042" s="0" t="str">
        <f aca="false">IF('Boletins Nuppa Site'!G2042&lt;&gt;0,'Boletins Nuppa Site'!G2042,"NULL")</f>
        <v> 20.00</v>
      </c>
      <c r="E2042" s="30" t="str">
        <f aca="false">IF('Boletins Nuppa Site'!H2042&lt;&gt;0,'Boletins Nuppa Site'!H2042,"NULL")</f>
        <v> 24.00</v>
      </c>
      <c r="F2042" s="30" t="str">
        <f aca="false">IF('Boletins Nuppa Site'!I2042&lt;&gt;0,'Boletins Nuppa Site'!I2042,"NULL")</f>
        <v> 30.00</v>
      </c>
      <c r="G2042" s="30" t="str">
        <f aca="false">IF('Boletins Nuppa Site'!J2042&lt;&gt;0,'Boletins Nuppa Site'!J2042,"NULL")</f>
        <v> 24.50</v>
      </c>
      <c r="H2042" s="30" t="str">
        <f aca="false">IF('Boletins Nuppa Site'!K2042&lt;&gt;0,'Boletins Nuppa Site'!K2042,"NULL")</f>
        <v> 24.00</v>
      </c>
      <c r="I2042" s="0" t="str">
        <f aca="false">"INSERT INTO COTACAO (cot_id, cot_blt_id, cot_pap_id, cot_prc_comum, cot_prc_min, cot_prc_max, cot_prc_med, cot_prc_mediana) VALUES ("&amp;A2042&amp;", "&amp;B2042&amp;", "&amp;C2042&amp;", "&amp;D2042&amp;", "&amp;E2042&amp;", "&amp;F2042&amp;", "&amp;G2042&amp;", "&amp;H2042&amp;");"</f>
        <v>INSERT INTO COTACAO (cot_id, cot_blt_id, cot_pap_id, cot_prc_comum, cot_prc_min, cot_prc_max, cot_prc_med, cot_prc_mediana) VALUES (2041, 89, 11,  20.00,  24.00,  30.00,  24.50,  24.00);</v>
      </c>
      <c r="J2042" s="0" t="str">
        <f aca="false">"UPDATE COTACAO SET cot_id = "&amp;A2042&amp;", cot_blt_id = "&amp;B2042&amp;", cot_pap_id = "&amp;C2042&amp;", cot_prc_comum = "&amp;D2042&amp;", cot_prc_min = "&amp;E2042&amp;", cot_prc_max = "&amp;F2042&amp;", cot_prc_med = "&amp;G2042&amp;", cot_prc_mediana = "&amp;H2042&amp;" WHERE cot_id = "&amp;A2042&amp;";"</f>
        <v>UPDATE COTACAO SET cot_id = 2041, cot_blt_id = 89, cot_pap_id = 11, cot_prc_comum =  20.00, cot_prc_min =  24.00, cot_prc_max =  30.00, cot_prc_med =  24.50, cot_prc_mediana =  24.00 WHERE cot_id = 2041;</v>
      </c>
    </row>
    <row r="2043" customFormat="false" ht="14.25" hidden="false" customHeight="false" outlineLevel="0" collapsed="false">
      <c r="A2043" s="0" t="n">
        <v>2042</v>
      </c>
      <c r="B2043" s="0" t="n">
        <f aca="false">IF('Boletins Nuppa Site'!A2043&lt;&gt;0,'Boletins Nuppa Site'!A2043,"NULL")</f>
        <v>89</v>
      </c>
      <c r="C2043" s="0" t="n">
        <v>12</v>
      </c>
      <c r="D2043" s="0" t="str">
        <f aca="false">IF('Boletins Nuppa Site'!G2043&lt;&gt;0,'Boletins Nuppa Site'!G2043,"NULL")</f>
        <v> 60.00</v>
      </c>
      <c r="E2043" s="30" t="str">
        <f aca="false">IF('Boletins Nuppa Site'!H2043&lt;&gt;0,'Boletins Nuppa Site'!H2043,"NULL")</f>
        <v> 72.00</v>
      </c>
      <c r="F2043" s="30" t="str">
        <f aca="false">IF('Boletins Nuppa Site'!I2043&lt;&gt;0,'Boletins Nuppa Site'!I2043,"NULL")</f>
        <v> 72.00</v>
      </c>
      <c r="G2043" s="30" t="str">
        <f aca="false">IF('Boletins Nuppa Site'!J2043&lt;&gt;0,'Boletins Nuppa Site'!J2043,"NULL")</f>
        <v> 68.00</v>
      </c>
      <c r="H2043" s="30" t="str">
        <f aca="false">IF('Boletins Nuppa Site'!K2043&lt;&gt;0,'Boletins Nuppa Site'!K2043,"NULL")</f>
        <v> 72.00</v>
      </c>
      <c r="I2043" s="0" t="str">
        <f aca="false">"INSERT INTO COTACAO (cot_id, cot_blt_id, cot_pap_id, cot_prc_comum, cot_prc_min, cot_prc_max, cot_prc_med, cot_prc_mediana) VALUES ("&amp;A2043&amp;", "&amp;B2043&amp;", "&amp;C2043&amp;", "&amp;D2043&amp;", "&amp;E2043&amp;", "&amp;F2043&amp;", "&amp;G2043&amp;", "&amp;H2043&amp;");"</f>
        <v>INSERT INTO COTACAO (cot_id, cot_blt_id, cot_pap_id, cot_prc_comum, cot_prc_min, cot_prc_max, cot_prc_med, cot_prc_mediana) VALUES (2042, 89, 12,  60.00,  72.00,  72.00,  68.00,  72.00);</v>
      </c>
      <c r="J2043" s="0" t="str">
        <f aca="false">"UPDATE COTACAO SET cot_id = "&amp;A2043&amp;", cot_blt_id = "&amp;B2043&amp;", cot_pap_id = "&amp;C2043&amp;", cot_prc_comum = "&amp;D2043&amp;", cot_prc_min = "&amp;E2043&amp;", cot_prc_max = "&amp;F2043&amp;", cot_prc_med = "&amp;G2043&amp;", cot_prc_mediana = "&amp;H2043&amp;" WHERE cot_id = "&amp;A2043&amp;";"</f>
        <v>UPDATE COTACAO SET cot_id = 2042, cot_blt_id = 89, cot_pap_id = 12, cot_prc_comum =  60.00, cot_prc_min =  72.00, cot_prc_max =  72.00, cot_prc_med =  68.00, cot_prc_mediana =  72.00 WHERE cot_id = 2042;</v>
      </c>
    </row>
    <row r="2044" customFormat="false" ht="14.25" hidden="false" customHeight="false" outlineLevel="0" collapsed="false">
      <c r="A2044" s="0" t="n">
        <v>2043</v>
      </c>
      <c r="B2044" s="0" t="n">
        <f aca="false">IF('Boletins Nuppa Site'!A2044&lt;&gt;0,'Boletins Nuppa Site'!A2044,"NULL")</f>
        <v>89</v>
      </c>
      <c r="C2044" s="0" t="n">
        <v>13</v>
      </c>
      <c r="D2044" s="0" t="str">
        <f aca="false">IF('Boletins Nuppa Site'!G2044&lt;&gt;0,'Boletins Nuppa Site'!G2044,"NULL")</f>
        <v> 72.00</v>
      </c>
      <c r="E2044" s="30" t="str">
        <f aca="false">IF('Boletins Nuppa Site'!H2044&lt;&gt;0,'Boletins Nuppa Site'!H2044,"NULL")</f>
        <v> 72.00</v>
      </c>
      <c r="F2044" s="30" t="str">
        <f aca="false">IF('Boletins Nuppa Site'!I2044&lt;&gt;0,'Boletins Nuppa Site'!I2044,"NULL")</f>
        <v> 72.00</v>
      </c>
      <c r="G2044" s="30" t="str">
        <f aca="false">IF('Boletins Nuppa Site'!J2044&lt;&gt;0,'Boletins Nuppa Site'!J2044,"NULL")</f>
        <v> 72.00</v>
      </c>
      <c r="H2044" s="30" t="str">
        <f aca="false">IF('Boletins Nuppa Site'!K2044&lt;&gt;0,'Boletins Nuppa Site'!K2044,"NULL")</f>
        <v> 72.00</v>
      </c>
      <c r="I2044" s="0" t="str">
        <f aca="false">"INSERT INTO COTACAO (cot_id, cot_blt_id, cot_pap_id, cot_prc_comum, cot_prc_min, cot_prc_max, cot_prc_med, cot_prc_mediana) VALUES ("&amp;A2044&amp;", "&amp;B2044&amp;", "&amp;C2044&amp;", "&amp;D2044&amp;", "&amp;E2044&amp;", "&amp;F2044&amp;", "&amp;G2044&amp;", "&amp;H2044&amp;");"</f>
        <v>INSERT INTO COTACAO (cot_id, cot_blt_id, cot_pap_id, cot_prc_comum, cot_prc_min, cot_prc_max, cot_prc_med, cot_prc_mediana) VALUES (2043, 89, 13,  72.00,  72.00,  72.00,  72.00,  72.00);</v>
      </c>
      <c r="J2044" s="0" t="str">
        <f aca="false">"UPDATE COTACAO SET cot_id = "&amp;A2044&amp;", cot_blt_id = "&amp;B2044&amp;", cot_pap_id = "&amp;C2044&amp;", cot_prc_comum = "&amp;D2044&amp;", cot_prc_min = "&amp;E2044&amp;", cot_prc_max = "&amp;F2044&amp;", cot_prc_med = "&amp;G2044&amp;", cot_prc_mediana = "&amp;H2044&amp;" WHERE cot_id = "&amp;A2044&amp;";"</f>
        <v>UPDATE COTACAO SET cot_id = 2043, cot_blt_id = 89, cot_pap_id = 13, cot_prc_comum =  72.00, cot_prc_min =  72.00, cot_prc_max =  72.00, cot_prc_med =  72.00, cot_prc_mediana =  72.00 WHERE cot_id = 2043;</v>
      </c>
    </row>
    <row r="2045" customFormat="false" ht="14.25" hidden="false" customHeight="false" outlineLevel="0" collapsed="false">
      <c r="A2045" s="0" t="n">
        <v>2044</v>
      </c>
      <c r="B2045" s="0" t="n">
        <f aca="false">IF('Boletins Nuppa Site'!A2045&lt;&gt;0,'Boletins Nuppa Site'!A2045,"NULL")</f>
        <v>89</v>
      </c>
      <c r="C2045" s="0" t="n">
        <v>14</v>
      </c>
      <c r="D2045" s="0" t="str">
        <f aca="false">IF('Boletins Nuppa Site'!G2045&lt;&gt;0,'Boletins Nuppa Site'!G2045,"NULL")</f>
        <v>NULL</v>
      </c>
      <c r="E2045" s="30" t="str">
        <f aca="false">IF('Boletins Nuppa Site'!H2045&lt;&gt;0,'Boletins Nuppa Site'!H2045,"NULL")</f>
        <v> 60.00</v>
      </c>
      <c r="F2045" s="30" t="str">
        <f aca="false">IF('Boletins Nuppa Site'!I2045&lt;&gt;0,'Boletins Nuppa Site'!I2045,"NULL")</f>
        <v> 78.00</v>
      </c>
      <c r="G2045" s="30" t="str">
        <f aca="false">IF('Boletins Nuppa Site'!J2045&lt;&gt;0,'Boletins Nuppa Site'!J2045,"NULL")</f>
        <v> 67.67</v>
      </c>
      <c r="H2045" s="30" t="str">
        <f aca="false">IF('Boletins Nuppa Site'!K2045&lt;&gt;0,'Boletins Nuppa Site'!K2045,"NULL")</f>
        <v> 65.00</v>
      </c>
      <c r="I2045" s="0" t="str">
        <f aca="false">"INSERT INTO COTACAO (cot_id, cot_blt_id, cot_pap_id, cot_prc_comum, cot_prc_min, cot_prc_max, cot_prc_med, cot_prc_mediana) VALUES ("&amp;A2045&amp;", "&amp;B2045&amp;", "&amp;C2045&amp;", "&amp;D2045&amp;", "&amp;E2045&amp;", "&amp;F2045&amp;", "&amp;G2045&amp;", "&amp;H2045&amp;");"</f>
        <v>INSERT INTO COTACAO (cot_id, cot_blt_id, cot_pap_id, cot_prc_comum, cot_prc_min, cot_prc_max, cot_prc_med, cot_prc_mediana) VALUES (2044, 89, 14, NULL,  60.00,  78.00,  67.67,  65.00);</v>
      </c>
      <c r="J2045" s="0" t="str">
        <f aca="false">"UPDATE COTACAO SET cot_id = "&amp;A2045&amp;", cot_blt_id = "&amp;B2045&amp;", cot_pap_id = "&amp;C2045&amp;", cot_prc_comum = "&amp;D2045&amp;", cot_prc_min = "&amp;E2045&amp;", cot_prc_max = "&amp;F2045&amp;", cot_prc_med = "&amp;G2045&amp;", cot_prc_mediana = "&amp;H2045&amp;" WHERE cot_id = "&amp;A2045&amp;";"</f>
        <v>UPDATE COTACAO SET cot_id = 2044, cot_blt_id = 89, cot_pap_id = 14, cot_prc_comum = NULL, cot_prc_min =  60.00, cot_prc_max =  78.00, cot_prc_med =  67.67, cot_prc_mediana =  65.00 WHERE cot_id = 2044;</v>
      </c>
    </row>
    <row r="2046" customFormat="false" ht="14.25" hidden="false" customHeight="false" outlineLevel="0" collapsed="false">
      <c r="A2046" s="0" t="n">
        <v>2045</v>
      </c>
      <c r="B2046" s="0" t="n">
        <f aca="false">IF('Boletins Nuppa Site'!A2046&lt;&gt;0,'Boletins Nuppa Site'!A2046,"NULL")</f>
        <v>89</v>
      </c>
      <c r="C2046" s="0" t="n">
        <v>15</v>
      </c>
      <c r="D2046" s="0" t="str">
        <f aca="false">IF('Boletins Nuppa Site'!G2046&lt;&gt;0,'Boletins Nuppa Site'!G2046,"NULL")</f>
        <v> 45.00</v>
      </c>
      <c r="E2046" s="30" t="str">
        <f aca="false">IF('Boletins Nuppa Site'!H2046&lt;&gt;0,'Boletins Nuppa Site'!H2046,"NULL")</f>
        <v> 45.00</v>
      </c>
      <c r="F2046" s="30" t="str">
        <f aca="false">IF('Boletins Nuppa Site'!I2046&lt;&gt;0,'Boletins Nuppa Site'!I2046,"NULL")</f>
        <v> 48.00</v>
      </c>
      <c r="G2046" s="30" t="str">
        <f aca="false">IF('Boletins Nuppa Site'!J2046&lt;&gt;0,'Boletins Nuppa Site'!J2046,"NULL")</f>
        <v> 46.00</v>
      </c>
      <c r="H2046" s="30" t="str">
        <f aca="false">IF('Boletins Nuppa Site'!K2046&lt;&gt;0,'Boletins Nuppa Site'!K2046,"NULL")</f>
        <v> 45.00</v>
      </c>
      <c r="I2046" s="0" t="str">
        <f aca="false">"INSERT INTO COTACAO (cot_id, cot_blt_id, cot_pap_id, cot_prc_comum, cot_prc_min, cot_prc_max, cot_prc_med, cot_prc_mediana) VALUES ("&amp;A2046&amp;", "&amp;B2046&amp;", "&amp;C2046&amp;", "&amp;D2046&amp;", "&amp;E2046&amp;", "&amp;F2046&amp;", "&amp;G2046&amp;", "&amp;H2046&amp;");"</f>
        <v>INSERT INTO COTACAO (cot_id, cot_blt_id, cot_pap_id, cot_prc_comum, cot_prc_min, cot_prc_max, cot_prc_med, cot_prc_mediana) VALUES (2045, 89, 15,  45.00,  45.00,  48.00,  46.00,  45.00);</v>
      </c>
      <c r="J2046" s="0" t="str">
        <f aca="false">"UPDATE COTACAO SET cot_id = "&amp;A2046&amp;", cot_blt_id = "&amp;B2046&amp;", cot_pap_id = "&amp;C2046&amp;", cot_prc_comum = "&amp;D2046&amp;", cot_prc_min = "&amp;E2046&amp;", cot_prc_max = "&amp;F2046&amp;", cot_prc_med = "&amp;G2046&amp;", cot_prc_mediana = "&amp;H2046&amp;" WHERE cot_id = "&amp;A2046&amp;";"</f>
        <v>UPDATE COTACAO SET cot_id = 2045, cot_blt_id = 89, cot_pap_id = 15, cot_prc_comum =  45.00, cot_prc_min =  45.00, cot_prc_max =  48.00, cot_prc_med =  46.00, cot_prc_mediana =  45.00 WHERE cot_id = 2045;</v>
      </c>
    </row>
    <row r="2047" customFormat="false" ht="14.25" hidden="false" customHeight="false" outlineLevel="0" collapsed="false">
      <c r="A2047" s="0" t="n">
        <v>2046</v>
      </c>
      <c r="B2047" s="0" t="n">
        <f aca="false">IF('Boletins Nuppa Site'!A2047&lt;&gt;0,'Boletins Nuppa Site'!A2047,"NULL")</f>
        <v>89</v>
      </c>
      <c r="C2047" s="0" t="n">
        <v>16</v>
      </c>
      <c r="D2047" s="0" t="str">
        <f aca="false">IF('Boletins Nuppa Site'!G2047&lt;&gt;0,'Boletins Nuppa Site'!G2047,"NULL")</f>
        <v> 48.00</v>
      </c>
      <c r="E2047" s="30" t="str">
        <f aca="false">IF('Boletins Nuppa Site'!H2047&lt;&gt;0,'Boletins Nuppa Site'!H2047,"NULL")</f>
        <v> 54.00</v>
      </c>
      <c r="F2047" s="30" t="str">
        <f aca="false">IF('Boletins Nuppa Site'!I2047&lt;&gt;0,'Boletins Nuppa Site'!I2047,"NULL")</f>
        <v> 60.00</v>
      </c>
      <c r="G2047" s="30" t="str">
        <f aca="false">IF('Boletins Nuppa Site'!J2047&lt;&gt;0,'Boletins Nuppa Site'!J2047,"NULL")</f>
        <v> 54.00</v>
      </c>
      <c r="H2047" s="30" t="str">
        <f aca="false">IF('Boletins Nuppa Site'!K2047&lt;&gt;0,'Boletins Nuppa Site'!K2047,"NULL")</f>
        <v> 54.00</v>
      </c>
      <c r="I2047" s="0" t="str">
        <f aca="false">"INSERT INTO COTACAO (cot_id, cot_blt_id, cot_pap_id, cot_prc_comum, cot_prc_min, cot_prc_max, cot_prc_med, cot_prc_mediana) VALUES ("&amp;A2047&amp;", "&amp;B2047&amp;", "&amp;C2047&amp;", "&amp;D2047&amp;", "&amp;E2047&amp;", "&amp;F2047&amp;", "&amp;G2047&amp;", "&amp;H2047&amp;");"</f>
        <v>INSERT INTO COTACAO (cot_id, cot_blt_id, cot_pap_id, cot_prc_comum, cot_prc_min, cot_prc_max, cot_prc_med, cot_prc_mediana) VALUES (2046, 89, 16,  48.00,  54.00,  60.00,  54.00,  54.00);</v>
      </c>
      <c r="J2047" s="0" t="str">
        <f aca="false">"UPDATE COTACAO SET cot_id = "&amp;A2047&amp;", cot_blt_id = "&amp;B2047&amp;", cot_pap_id = "&amp;C2047&amp;", cot_prc_comum = "&amp;D2047&amp;", cot_prc_min = "&amp;E2047&amp;", cot_prc_max = "&amp;F2047&amp;", cot_prc_med = "&amp;G2047&amp;", cot_prc_mediana = "&amp;H2047&amp;" WHERE cot_id = "&amp;A2047&amp;";"</f>
        <v>UPDATE COTACAO SET cot_id = 2046, cot_blt_id = 89, cot_pap_id = 16, cot_prc_comum =  48.00, cot_prc_min =  54.00, cot_prc_max =  60.00, cot_prc_med =  54.00, cot_prc_mediana =  54.00 WHERE cot_id = 2046;</v>
      </c>
    </row>
    <row r="2048" customFormat="false" ht="14.25" hidden="false" customHeight="false" outlineLevel="0" collapsed="false">
      <c r="A2048" s="0" t="n">
        <v>2047</v>
      </c>
      <c r="B2048" s="0" t="n">
        <f aca="false">IF('Boletins Nuppa Site'!A2048&lt;&gt;0,'Boletins Nuppa Site'!A2048,"NULL")</f>
        <v>89</v>
      </c>
      <c r="C2048" s="0" t="n">
        <v>17</v>
      </c>
      <c r="D2048" s="0" t="str">
        <f aca="false">IF('Boletins Nuppa Site'!G2048&lt;&gt;0,'Boletins Nuppa Site'!G2048,"NULL")</f>
        <v> 5.00</v>
      </c>
      <c r="E2048" s="30" t="str">
        <f aca="false">IF('Boletins Nuppa Site'!H2048&lt;&gt;0,'Boletins Nuppa Site'!H2048,"NULL")</f>
        <v> 5.00</v>
      </c>
      <c r="F2048" s="30" t="str">
        <f aca="false">IF('Boletins Nuppa Site'!I2048&lt;&gt;0,'Boletins Nuppa Site'!I2048,"NULL")</f>
        <v> 5.00</v>
      </c>
      <c r="G2048" s="30" t="str">
        <f aca="false">IF('Boletins Nuppa Site'!J2048&lt;&gt;0,'Boletins Nuppa Site'!J2048,"NULL")</f>
        <v> 5.00</v>
      </c>
      <c r="H2048" s="30" t="str">
        <f aca="false">IF('Boletins Nuppa Site'!K2048&lt;&gt;0,'Boletins Nuppa Site'!K2048,"NULL")</f>
        <v> 5.00</v>
      </c>
      <c r="I2048" s="0" t="str">
        <f aca="false">"INSERT INTO COTACAO (cot_id, cot_blt_id, cot_pap_id, cot_prc_comum, cot_prc_min, cot_prc_max, cot_prc_med, cot_prc_mediana) VALUES ("&amp;A2048&amp;", "&amp;B2048&amp;", "&amp;C2048&amp;", "&amp;D2048&amp;", "&amp;E2048&amp;", "&amp;F2048&amp;", "&amp;G2048&amp;", "&amp;H2048&amp;");"</f>
        <v>INSERT INTO COTACAO (cot_id, cot_blt_id, cot_pap_id, cot_prc_comum, cot_prc_min, cot_prc_max, cot_prc_med, cot_prc_mediana) VALUES (2047, 89, 17,  5.00,  5.00,  5.00,  5.00,  5.00);</v>
      </c>
      <c r="J2048" s="0" t="str">
        <f aca="false">"UPDATE COTACAO SET cot_id = "&amp;A2048&amp;", cot_blt_id = "&amp;B2048&amp;", cot_pap_id = "&amp;C2048&amp;", cot_prc_comum = "&amp;D2048&amp;", cot_prc_min = "&amp;E2048&amp;", cot_prc_max = "&amp;F2048&amp;", cot_prc_med = "&amp;G2048&amp;", cot_prc_mediana = "&amp;H2048&amp;" WHERE cot_id = "&amp;A2048&amp;";"</f>
        <v>UPDATE COTACAO SET cot_id = 2047, cot_blt_id = 89, cot_pap_id = 17, cot_prc_comum =  5.00, cot_prc_min =  5.00, cot_prc_max =  5.00, cot_prc_med =  5.00, cot_prc_mediana =  5.00 WHERE cot_id = 2047;</v>
      </c>
    </row>
    <row r="2049" customFormat="false" ht="14.25" hidden="false" customHeight="false" outlineLevel="0" collapsed="false">
      <c r="A2049" s="0" t="n">
        <v>2048</v>
      </c>
      <c r="B2049" s="0" t="n">
        <f aca="false">IF('Boletins Nuppa Site'!A2049&lt;&gt;0,'Boletins Nuppa Site'!A2049,"NULL")</f>
        <v>89</v>
      </c>
      <c r="C2049" s="0" t="n">
        <v>18</v>
      </c>
      <c r="D2049" s="0" t="str">
        <f aca="false">IF('Boletins Nuppa Site'!G2049&lt;&gt;0,'Boletins Nuppa Site'!G2049,"NULL")</f>
        <v> 20.00</v>
      </c>
      <c r="E2049" s="30" t="str">
        <f aca="false">IF('Boletins Nuppa Site'!H2049&lt;&gt;0,'Boletins Nuppa Site'!H2049,"NULL")</f>
        <v> 25.00</v>
      </c>
      <c r="F2049" s="30" t="str">
        <f aca="false">IF('Boletins Nuppa Site'!I2049&lt;&gt;0,'Boletins Nuppa Site'!I2049,"NULL")</f>
        <v> 25.00</v>
      </c>
      <c r="G2049" s="30" t="str">
        <f aca="false">IF('Boletins Nuppa Site'!J2049&lt;&gt;0,'Boletins Nuppa Site'!J2049,"NULL")</f>
        <v> 22.50</v>
      </c>
      <c r="H2049" s="30" t="str">
        <f aca="false">IF('Boletins Nuppa Site'!K2049&lt;&gt;0,'Boletins Nuppa Site'!K2049,"NULL")</f>
        <v> 22.50</v>
      </c>
      <c r="I2049" s="0" t="str">
        <f aca="false">"INSERT INTO COTACAO (cot_id, cot_blt_id, cot_pap_id, cot_prc_comum, cot_prc_min, cot_prc_max, cot_prc_med, cot_prc_mediana) VALUES ("&amp;A2049&amp;", "&amp;B2049&amp;", "&amp;C2049&amp;", "&amp;D2049&amp;", "&amp;E2049&amp;", "&amp;F2049&amp;", "&amp;G2049&amp;", "&amp;H2049&amp;");"</f>
        <v>INSERT INTO COTACAO (cot_id, cot_blt_id, cot_pap_id, cot_prc_comum, cot_prc_min, cot_prc_max, cot_prc_med, cot_prc_mediana) VALUES (2048, 89, 18,  20.00,  25.00,  25.00,  22.50,  22.50);</v>
      </c>
      <c r="J2049" s="0" t="str">
        <f aca="false">"UPDATE COTACAO SET cot_id = "&amp;A2049&amp;", cot_blt_id = "&amp;B2049&amp;", cot_pap_id = "&amp;C2049&amp;", cot_prc_comum = "&amp;D2049&amp;", cot_prc_min = "&amp;E2049&amp;", cot_prc_max = "&amp;F2049&amp;", cot_prc_med = "&amp;G2049&amp;", cot_prc_mediana = "&amp;H2049&amp;" WHERE cot_id = "&amp;A2049&amp;";"</f>
        <v>UPDATE COTACAO SET cot_id = 2048, cot_blt_id = 89, cot_pap_id = 18, cot_prc_comum =  20.00, cot_prc_min =  25.00, cot_prc_max =  25.00, cot_prc_med =  22.50, cot_prc_mediana =  22.50 WHERE cot_id = 2048;</v>
      </c>
    </row>
    <row r="2050" customFormat="false" ht="14.25" hidden="false" customHeight="false" outlineLevel="0" collapsed="false">
      <c r="A2050" s="0" t="n">
        <v>2049</v>
      </c>
      <c r="B2050" s="0" t="n">
        <f aca="false">IF('Boletins Nuppa Site'!A2050&lt;&gt;0,'Boletins Nuppa Site'!A2050,"NULL")</f>
        <v>89</v>
      </c>
      <c r="C2050" s="0" t="n">
        <v>19</v>
      </c>
      <c r="D2050" s="0" t="str">
        <f aca="false">IF('Boletins Nuppa Site'!G2050&lt;&gt;0,'Boletins Nuppa Site'!G2050,"NULL")</f>
        <v> 25.00</v>
      </c>
      <c r="E2050" s="30" t="str">
        <f aca="false">IF('Boletins Nuppa Site'!H2050&lt;&gt;0,'Boletins Nuppa Site'!H2050,"NULL")</f>
        <v> 25.00</v>
      </c>
      <c r="F2050" s="30" t="str">
        <f aca="false">IF('Boletins Nuppa Site'!I2050&lt;&gt;0,'Boletins Nuppa Site'!I2050,"NULL")</f>
        <v> 35.00</v>
      </c>
      <c r="G2050" s="30" t="str">
        <f aca="false">IF('Boletins Nuppa Site'!J2050&lt;&gt;0,'Boletins Nuppa Site'!J2050,"NULL")</f>
        <v> 28.75</v>
      </c>
      <c r="H2050" s="30" t="str">
        <f aca="false">IF('Boletins Nuppa Site'!K2050&lt;&gt;0,'Boletins Nuppa Site'!K2050,"NULL")</f>
        <v> 27.50</v>
      </c>
      <c r="I2050" s="0" t="str">
        <f aca="false">"INSERT INTO COTACAO (cot_id, cot_blt_id, cot_pap_id, cot_prc_comum, cot_prc_min, cot_prc_max, cot_prc_med, cot_prc_mediana) VALUES ("&amp;A2050&amp;", "&amp;B2050&amp;", "&amp;C2050&amp;", "&amp;D2050&amp;", "&amp;E2050&amp;", "&amp;F2050&amp;", "&amp;G2050&amp;", "&amp;H2050&amp;");"</f>
        <v>INSERT INTO COTACAO (cot_id, cot_blt_id, cot_pap_id, cot_prc_comum, cot_prc_min, cot_prc_max, cot_prc_med, cot_prc_mediana) VALUES (2049, 89, 19,  25.00,  25.00,  35.00,  28.75,  27.50);</v>
      </c>
      <c r="J2050" s="0" t="str">
        <f aca="false">"UPDATE COTACAO SET cot_id = "&amp;A2050&amp;", cot_blt_id = "&amp;B2050&amp;", cot_pap_id = "&amp;C2050&amp;", cot_prc_comum = "&amp;D2050&amp;", cot_prc_min = "&amp;E2050&amp;", cot_prc_max = "&amp;F2050&amp;", cot_prc_med = "&amp;G2050&amp;", cot_prc_mediana = "&amp;H2050&amp;" WHERE cot_id = "&amp;A2050&amp;";"</f>
        <v>UPDATE COTACAO SET cot_id = 2049, cot_blt_id = 89, cot_pap_id = 19, cot_prc_comum =  25.00, cot_prc_min =  25.00, cot_prc_max =  35.00, cot_prc_med =  28.75, cot_prc_mediana =  27.50 WHERE cot_id = 2049;</v>
      </c>
    </row>
    <row r="2051" customFormat="false" ht="14.25" hidden="false" customHeight="false" outlineLevel="0" collapsed="false">
      <c r="A2051" s="0" t="n">
        <v>2050</v>
      </c>
      <c r="B2051" s="0" t="n">
        <f aca="false">IF('Boletins Nuppa Site'!A2051&lt;&gt;0,'Boletins Nuppa Site'!A2051,"NULL")</f>
        <v>89</v>
      </c>
      <c r="C2051" s="0" t="n">
        <v>20</v>
      </c>
      <c r="D2051" s="0" t="str">
        <f aca="false">IF('Boletins Nuppa Site'!G2051&lt;&gt;0,'Boletins Nuppa Site'!G2051,"NULL")</f>
        <v>NULL</v>
      </c>
      <c r="E2051" s="30" t="str">
        <f aca="false">IF('Boletins Nuppa Site'!H2051&lt;&gt;0,'Boletins Nuppa Site'!H2051,"NULL")</f>
        <v> 60.00</v>
      </c>
      <c r="F2051" s="30" t="str">
        <f aca="false">IF('Boletins Nuppa Site'!I2051&lt;&gt;0,'Boletins Nuppa Site'!I2051,"NULL")</f>
        <v> 65.00</v>
      </c>
      <c r="G2051" s="30" t="str">
        <f aca="false">IF('Boletins Nuppa Site'!J2051&lt;&gt;0,'Boletins Nuppa Site'!J2051,"NULL")</f>
        <v> 62.50</v>
      </c>
      <c r="H2051" s="30" t="str">
        <f aca="false">IF('Boletins Nuppa Site'!K2051&lt;&gt;0,'Boletins Nuppa Site'!K2051,"NULL")</f>
        <v> 62.50</v>
      </c>
      <c r="I2051" s="0" t="str">
        <f aca="false">"INSERT INTO COTACAO (cot_id, cot_blt_id, cot_pap_id, cot_prc_comum, cot_prc_min, cot_prc_max, cot_prc_med, cot_prc_mediana) VALUES ("&amp;A2051&amp;", "&amp;B2051&amp;", "&amp;C2051&amp;", "&amp;D2051&amp;", "&amp;E2051&amp;", "&amp;F2051&amp;", "&amp;G2051&amp;", "&amp;H2051&amp;");"</f>
        <v>INSERT INTO COTACAO (cot_id, cot_blt_id, cot_pap_id, cot_prc_comum, cot_prc_min, cot_prc_max, cot_prc_med, cot_prc_mediana) VALUES (2050, 89, 20, NULL,  60.00,  65.00,  62.50,  62.50);</v>
      </c>
      <c r="J2051" s="0" t="str">
        <f aca="false">"UPDATE COTACAO SET cot_id = "&amp;A2051&amp;", cot_blt_id = "&amp;B2051&amp;", cot_pap_id = "&amp;C2051&amp;", cot_prc_comum = "&amp;D2051&amp;", cot_prc_min = "&amp;E2051&amp;", cot_prc_max = "&amp;F2051&amp;", cot_prc_med = "&amp;G2051&amp;", cot_prc_mediana = "&amp;H2051&amp;" WHERE cot_id = "&amp;A2051&amp;";"</f>
        <v>UPDATE COTACAO SET cot_id = 2050, cot_blt_id = 89, cot_pap_id = 20, cot_prc_comum = NULL, cot_prc_min =  60.00, cot_prc_max =  65.00, cot_prc_med =  62.50, cot_prc_mediana =  62.50 WHERE cot_id = 2050;</v>
      </c>
    </row>
    <row r="2052" customFormat="false" ht="14.25" hidden="false" customHeight="false" outlineLevel="0" collapsed="false">
      <c r="A2052" s="0" t="n">
        <v>2051</v>
      </c>
      <c r="B2052" s="0" t="n">
        <f aca="false">IF('Boletins Nuppa Site'!A2052&lt;&gt;0,'Boletins Nuppa Site'!A2052,"NULL")</f>
        <v>89</v>
      </c>
      <c r="C2052" s="0" t="n">
        <v>21</v>
      </c>
      <c r="D2052" s="0" t="str">
        <f aca="false">IF('Boletins Nuppa Site'!G2052&lt;&gt;0,'Boletins Nuppa Site'!G2052,"NULL")</f>
        <v> 50.00</v>
      </c>
      <c r="E2052" s="30" t="str">
        <f aca="false">IF('Boletins Nuppa Site'!H2052&lt;&gt;0,'Boletins Nuppa Site'!H2052,"NULL")</f>
        <v> 50.00</v>
      </c>
      <c r="F2052" s="30" t="str">
        <f aca="false">IF('Boletins Nuppa Site'!I2052&lt;&gt;0,'Boletins Nuppa Site'!I2052,"NULL")</f>
        <v> 65.00</v>
      </c>
      <c r="G2052" s="30" t="str">
        <f aca="false">IF('Boletins Nuppa Site'!J2052&lt;&gt;0,'Boletins Nuppa Site'!J2052,"NULL")</f>
        <v> 53.75</v>
      </c>
      <c r="H2052" s="30" t="str">
        <f aca="false">IF('Boletins Nuppa Site'!K2052&lt;&gt;0,'Boletins Nuppa Site'!K2052,"NULL")</f>
        <v> 50.00</v>
      </c>
      <c r="I2052" s="0" t="str">
        <f aca="false">"INSERT INTO COTACAO (cot_id, cot_blt_id, cot_pap_id, cot_prc_comum, cot_prc_min, cot_prc_max, cot_prc_med, cot_prc_mediana) VALUES ("&amp;A2052&amp;", "&amp;B2052&amp;", "&amp;C2052&amp;", "&amp;D2052&amp;", "&amp;E2052&amp;", "&amp;F2052&amp;", "&amp;G2052&amp;", "&amp;H2052&amp;");"</f>
        <v>INSERT INTO COTACAO (cot_id, cot_blt_id, cot_pap_id, cot_prc_comum, cot_prc_min, cot_prc_max, cot_prc_med, cot_prc_mediana) VALUES (2051, 89, 21,  50.00,  50.00,  65.00,  53.75,  50.00);</v>
      </c>
      <c r="J2052" s="0" t="str">
        <f aca="false">"UPDATE COTACAO SET cot_id = "&amp;A2052&amp;", cot_blt_id = "&amp;B2052&amp;", cot_pap_id = "&amp;C2052&amp;", cot_prc_comum = "&amp;D2052&amp;", cot_prc_min = "&amp;E2052&amp;", cot_prc_max = "&amp;F2052&amp;", cot_prc_med = "&amp;G2052&amp;", cot_prc_mediana = "&amp;H2052&amp;" WHERE cot_id = "&amp;A2052&amp;";"</f>
        <v>UPDATE COTACAO SET cot_id = 2051, cot_blt_id = 89, cot_pap_id = 21, cot_prc_comum =  50.00, cot_prc_min =  50.00, cot_prc_max =  65.00, cot_prc_med =  53.75, cot_prc_mediana =  50.00 WHERE cot_id = 2051;</v>
      </c>
    </row>
    <row r="2053" customFormat="false" ht="14.25" hidden="false" customHeight="false" outlineLevel="0" collapsed="false">
      <c r="A2053" s="0" t="n">
        <v>2052</v>
      </c>
      <c r="B2053" s="0" t="n">
        <f aca="false">IF('Boletins Nuppa Site'!A2053&lt;&gt;0,'Boletins Nuppa Site'!A2053,"NULL")</f>
        <v>89</v>
      </c>
      <c r="C2053" s="0" t="n">
        <v>22</v>
      </c>
      <c r="D2053" s="0" t="str">
        <f aca="false">IF('Boletins Nuppa Site'!G2053&lt;&gt;0,'Boletins Nuppa Site'!G2053,"NULL")</f>
        <v> 65.00</v>
      </c>
      <c r="E2053" s="30" t="str">
        <f aca="false">IF('Boletins Nuppa Site'!H2053&lt;&gt;0,'Boletins Nuppa Site'!H2053,"NULL")</f>
        <v> 45.00</v>
      </c>
      <c r="F2053" s="30" t="str">
        <f aca="false">IF('Boletins Nuppa Site'!I2053&lt;&gt;0,'Boletins Nuppa Site'!I2053,"NULL")</f>
        <v> 65.00</v>
      </c>
      <c r="G2053" s="30" t="str">
        <f aca="false">IF('Boletins Nuppa Site'!J2053&lt;&gt;0,'Boletins Nuppa Site'!J2053,"NULL")</f>
        <v> 57.50</v>
      </c>
      <c r="H2053" s="30" t="str">
        <f aca="false">IF('Boletins Nuppa Site'!K2053&lt;&gt;0,'Boletins Nuppa Site'!K2053,"NULL")</f>
        <v> 60.00</v>
      </c>
      <c r="I2053" s="0" t="str">
        <f aca="false">"INSERT INTO COTACAO (cot_id, cot_blt_id, cot_pap_id, cot_prc_comum, cot_prc_min, cot_prc_max, cot_prc_med, cot_prc_mediana) VALUES ("&amp;A2053&amp;", "&amp;B2053&amp;", "&amp;C2053&amp;", "&amp;D2053&amp;", "&amp;E2053&amp;", "&amp;F2053&amp;", "&amp;G2053&amp;", "&amp;H2053&amp;");"</f>
        <v>INSERT INTO COTACAO (cot_id, cot_blt_id, cot_pap_id, cot_prc_comum, cot_prc_min, cot_prc_max, cot_prc_med, cot_prc_mediana) VALUES (2052, 89, 22,  65.00,  45.00,  65.00,  57.50,  60.00);</v>
      </c>
      <c r="J2053" s="0" t="str">
        <f aca="false">"UPDATE COTACAO SET cot_id = "&amp;A2053&amp;", cot_blt_id = "&amp;B2053&amp;", cot_pap_id = "&amp;C2053&amp;", cot_prc_comum = "&amp;D2053&amp;", cot_prc_min = "&amp;E2053&amp;", cot_prc_max = "&amp;F2053&amp;", cot_prc_med = "&amp;G2053&amp;", cot_prc_mediana = "&amp;H2053&amp;" WHERE cot_id = "&amp;A2053&amp;";"</f>
        <v>UPDATE COTACAO SET cot_id = 2052, cot_blt_id = 89, cot_pap_id = 22, cot_prc_comum =  65.00, cot_prc_min =  45.00, cot_prc_max =  65.00, cot_prc_med =  57.50, cot_prc_mediana =  60.00 WHERE cot_id = 2052;</v>
      </c>
    </row>
    <row r="2054" customFormat="false" ht="14.25" hidden="false" customHeight="false" outlineLevel="0" collapsed="false">
      <c r="A2054" s="0" t="n">
        <v>2053</v>
      </c>
      <c r="B2054" s="0" t="n">
        <f aca="false">IF('Boletins Nuppa Site'!A2054&lt;&gt;0,'Boletins Nuppa Site'!A2054,"NULL")</f>
        <v>89</v>
      </c>
      <c r="C2054" s="0" t="n">
        <v>23</v>
      </c>
      <c r="D2054" s="0" t="str">
        <f aca="false">IF('Boletins Nuppa Site'!G2054&lt;&gt;0,'Boletins Nuppa Site'!G2054,"NULL")</f>
        <v> 50.00</v>
      </c>
      <c r="E2054" s="30" t="str">
        <f aca="false">IF('Boletins Nuppa Site'!H2054&lt;&gt;0,'Boletins Nuppa Site'!H2054,"NULL")</f>
        <v> 50.00</v>
      </c>
      <c r="F2054" s="30" t="str">
        <f aca="false">IF('Boletins Nuppa Site'!I2054&lt;&gt;0,'Boletins Nuppa Site'!I2054,"NULL")</f>
        <v> 50.00</v>
      </c>
      <c r="G2054" s="30" t="str">
        <f aca="false">IF('Boletins Nuppa Site'!J2054&lt;&gt;0,'Boletins Nuppa Site'!J2054,"NULL")</f>
        <v> 50.00</v>
      </c>
      <c r="H2054" s="30" t="str">
        <f aca="false">IF('Boletins Nuppa Site'!K2054&lt;&gt;0,'Boletins Nuppa Site'!K2054,"NULL")</f>
        <v> 50.00</v>
      </c>
      <c r="I2054" s="0" t="str">
        <f aca="false">"INSERT INTO COTACAO (cot_id, cot_blt_id, cot_pap_id, cot_prc_comum, cot_prc_min, cot_prc_max, cot_prc_med, cot_prc_mediana) VALUES ("&amp;A2054&amp;", "&amp;B2054&amp;", "&amp;C2054&amp;", "&amp;D2054&amp;", "&amp;E2054&amp;", "&amp;F2054&amp;", "&amp;G2054&amp;", "&amp;H2054&amp;");"</f>
        <v>INSERT INTO COTACAO (cot_id, cot_blt_id, cot_pap_id, cot_prc_comum, cot_prc_min, cot_prc_max, cot_prc_med, cot_prc_mediana) VALUES (2053, 89, 23,  50.00,  50.00,  50.00,  50.00,  50.00);</v>
      </c>
      <c r="J2054" s="0" t="str">
        <f aca="false">"UPDATE COTACAO SET cot_id = "&amp;A2054&amp;", cot_blt_id = "&amp;B2054&amp;", cot_pap_id = "&amp;C2054&amp;", cot_prc_comum = "&amp;D2054&amp;", cot_prc_min = "&amp;E2054&amp;", cot_prc_max = "&amp;F2054&amp;", cot_prc_med = "&amp;G2054&amp;", cot_prc_mediana = "&amp;H2054&amp;" WHERE cot_id = "&amp;A2054&amp;";"</f>
        <v>UPDATE COTACAO SET cot_id = 2053, cot_blt_id = 89, cot_pap_id = 23, cot_prc_comum =  50.00, cot_prc_min =  50.00, cot_prc_max =  50.00, cot_prc_med =  50.00, cot_prc_mediana =  50.00 WHERE cot_id = 2053;</v>
      </c>
    </row>
    <row r="2055" customFormat="false" ht="14.25" hidden="false" customHeight="false" outlineLevel="0" collapsed="false">
      <c r="A2055" s="0" t="n">
        <v>2054</v>
      </c>
      <c r="B2055" s="0" t="n">
        <f aca="false">IF('Boletins Nuppa Site'!A2055&lt;&gt;0,'Boletins Nuppa Site'!A2055,"NULL")</f>
        <v>89</v>
      </c>
      <c r="C2055" s="0" t="n">
        <v>24</v>
      </c>
      <c r="D2055" s="0" t="str">
        <f aca="false">IF('Boletins Nuppa Site'!G2055&lt;&gt;0,'Boletins Nuppa Site'!G2055,"NULL")</f>
        <v>NULL</v>
      </c>
      <c r="E2055" s="30" t="str">
        <f aca="false">IF('Boletins Nuppa Site'!H2055&lt;&gt;0,'Boletins Nuppa Site'!H2055,"NULL")</f>
        <v> 80.00</v>
      </c>
      <c r="F2055" s="30" t="str">
        <f aca="false">IF('Boletins Nuppa Site'!I2055&lt;&gt;0,'Boletins Nuppa Site'!I2055,"NULL")</f>
        <v> 80.00</v>
      </c>
      <c r="G2055" s="30" t="str">
        <f aca="false">IF('Boletins Nuppa Site'!J2055&lt;&gt;0,'Boletins Nuppa Site'!J2055,"NULL")</f>
        <v> 80.00</v>
      </c>
      <c r="H2055" s="30" t="str">
        <f aca="false">IF('Boletins Nuppa Site'!K2055&lt;&gt;0,'Boletins Nuppa Site'!K2055,"NULL")</f>
        <v> 80.00</v>
      </c>
      <c r="I2055" s="0" t="str">
        <f aca="false">"INSERT INTO COTACAO (cot_id, cot_blt_id, cot_pap_id, cot_prc_comum, cot_prc_min, cot_prc_max, cot_prc_med, cot_prc_mediana) VALUES ("&amp;A2055&amp;", "&amp;B2055&amp;", "&amp;C2055&amp;", "&amp;D2055&amp;", "&amp;E2055&amp;", "&amp;F2055&amp;", "&amp;G2055&amp;", "&amp;H2055&amp;");"</f>
        <v>INSERT INTO COTACAO (cot_id, cot_blt_id, cot_pap_id, cot_prc_comum, cot_prc_min, cot_prc_max, cot_prc_med, cot_prc_mediana) VALUES (2054, 89, 24, NULL,  80.00,  80.00,  80.00,  80.00);</v>
      </c>
      <c r="J2055" s="0" t="str">
        <f aca="false">"UPDATE COTACAO SET cot_id = "&amp;A2055&amp;", cot_blt_id = "&amp;B2055&amp;", cot_pap_id = "&amp;C2055&amp;", cot_prc_comum = "&amp;D2055&amp;", cot_prc_min = "&amp;E2055&amp;", cot_prc_max = "&amp;F2055&amp;", cot_prc_med = "&amp;G2055&amp;", cot_prc_mediana = "&amp;H2055&amp;" WHERE cot_id = "&amp;A2055&amp;";"</f>
        <v>UPDATE COTACAO SET cot_id = 2054, cot_blt_id = 89, cot_pap_id = 24, cot_prc_comum = NULL, cot_prc_min =  80.00, cot_prc_max =  80.00, cot_prc_med =  80.00, cot_prc_mediana =  80.00 WHERE cot_id = 2054;</v>
      </c>
    </row>
    <row r="2056" customFormat="false" ht="14.25" hidden="false" customHeight="false" outlineLevel="0" collapsed="false">
      <c r="A2056" s="0" t="n">
        <v>2055</v>
      </c>
      <c r="B2056" s="0" t="n">
        <f aca="false">IF('Boletins Nuppa Site'!A2056&lt;&gt;0,'Boletins Nuppa Site'!A2056,"NULL")</f>
        <v>89</v>
      </c>
      <c r="C2056" s="0" t="n">
        <v>25</v>
      </c>
      <c r="D2056" s="0" t="str">
        <f aca="false">IF('Boletins Nuppa Site'!G2056&lt;&gt;0,'Boletins Nuppa Site'!G2056,"NULL")</f>
        <v> 50.00</v>
      </c>
      <c r="E2056" s="30" t="str">
        <f aca="false">IF('Boletins Nuppa Site'!H2056&lt;&gt;0,'Boletins Nuppa Site'!H2056,"NULL")</f>
        <v> 60.00</v>
      </c>
      <c r="F2056" s="30" t="str">
        <f aca="false">IF('Boletins Nuppa Site'!I2056&lt;&gt;0,'Boletins Nuppa Site'!I2056,"NULL")</f>
        <v> 60.00</v>
      </c>
      <c r="G2056" s="30" t="str">
        <f aca="false">IF('Boletins Nuppa Site'!J2056&lt;&gt;0,'Boletins Nuppa Site'!J2056,"NULL")</f>
        <v> 57.50</v>
      </c>
      <c r="H2056" s="30" t="str">
        <f aca="false">IF('Boletins Nuppa Site'!K2056&lt;&gt;0,'Boletins Nuppa Site'!K2056,"NULL")</f>
        <v> 60.00</v>
      </c>
      <c r="I2056" s="0" t="str">
        <f aca="false">"INSERT INTO COTACAO (cot_id, cot_blt_id, cot_pap_id, cot_prc_comum, cot_prc_min, cot_prc_max, cot_prc_med, cot_prc_mediana) VALUES ("&amp;A2056&amp;", "&amp;B2056&amp;", "&amp;C2056&amp;", "&amp;D2056&amp;", "&amp;E2056&amp;", "&amp;F2056&amp;", "&amp;G2056&amp;", "&amp;H2056&amp;");"</f>
        <v>INSERT INTO COTACAO (cot_id, cot_blt_id, cot_pap_id, cot_prc_comum, cot_prc_min, cot_prc_max, cot_prc_med, cot_prc_mediana) VALUES (2055, 89, 25,  50.00,  60.00,  60.00,  57.50,  60.00);</v>
      </c>
      <c r="J2056" s="0" t="str">
        <f aca="false">"UPDATE COTACAO SET cot_id = "&amp;A2056&amp;", cot_blt_id = "&amp;B2056&amp;", cot_pap_id = "&amp;C2056&amp;", cot_prc_comum = "&amp;D2056&amp;", cot_prc_min = "&amp;E2056&amp;", cot_prc_max = "&amp;F2056&amp;", cot_prc_med = "&amp;G2056&amp;", cot_prc_mediana = "&amp;H2056&amp;" WHERE cot_id = "&amp;A2056&amp;";"</f>
        <v>UPDATE COTACAO SET cot_id = 2055, cot_blt_id = 89, cot_pap_id = 25, cot_prc_comum =  50.00, cot_prc_min =  60.00, cot_prc_max =  60.00, cot_prc_med =  57.50, cot_prc_mediana =  60.00 WHERE cot_id = 2055;</v>
      </c>
    </row>
    <row r="2057" customFormat="false" ht="14.25" hidden="false" customHeight="false" outlineLevel="0" collapsed="false">
      <c r="A2057" s="0" t="n">
        <v>2056</v>
      </c>
      <c r="B2057" s="0" t="n">
        <f aca="false">IF('Boletins Nuppa Site'!A2057&lt;&gt;0,'Boletins Nuppa Site'!A2057,"NULL")</f>
        <v>89</v>
      </c>
      <c r="C2057" s="0" t="n">
        <v>26</v>
      </c>
      <c r="D2057" s="0" t="str">
        <f aca="false">IF('Boletins Nuppa Site'!G2057&lt;&gt;0,'Boletins Nuppa Site'!G2057,"NULL")</f>
        <v> 60.00</v>
      </c>
      <c r="E2057" s="30" t="str">
        <f aca="false">IF('Boletins Nuppa Site'!H2057&lt;&gt;0,'Boletins Nuppa Site'!H2057,"NULL")</f>
        <v> 60.00</v>
      </c>
      <c r="F2057" s="30" t="str">
        <f aca="false">IF('Boletins Nuppa Site'!I2057&lt;&gt;0,'Boletins Nuppa Site'!I2057,"NULL")</f>
        <v> 80.00</v>
      </c>
      <c r="G2057" s="30" t="str">
        <f aca="false">IF('Boletins Nuppa Site'!J2057&lt;&gt;0,'Boletins Nuppa Site'!J2057,"NULL")</f>
        <v> 67.50</v>
      </c>
      <c r="H2057" s="30" t="str">
        <f aca="false">IF('Boletins Nuppa Site'!K2057&lt;&gt;0,'Boletins Nuppa Site'!K2057,"NULL")</f>
        <v> 65.00</v>
      </c>
      <c r="I2057" s="0" t="str">
        <f aca="false">"INSERT INTO COTACAO (cot_id, cot_blt_id, cot_pap_id, cot_prc_comum, cot_prc_min, cot_prc_max, cot_prc_med, cot_prc_mediana) VALUES ("&amp;A2057&amp;", "&amp;B2057&amp;", "&amp;C2057&amp;", "&amp;D2057&amp;", "&amp;E2057&amp;", "&amp;F2057&amp;", "&amp;G2057&amp;", "&amp;H2057&amp;");"</f>
        <v>INSERT INTO COTACAO (cot_id, cot_blt_id, cot_pap_id, cot_prc_comum, cot_prc_min, cot_prc_max, cot_prc_med, cot_prc_mediana) VALUES (2056, 89, 26,  60.00,  60.00,  80.00,  67.50,  65.00);</v>
      </c>
      <c r="J2057" s="0" t="str">
        <f aca="false">"UPDATE COTACAO SET cot_id = "&amp;A2057&amp;", cot_blt_id = "&amp;B2057&amp;", cot_pap_id = "&amp;C2057&amp;", cot_prc_comum = "&amp;D2057&amp;", cot_prc_min = "&amp;E2057&amp;", cot_prc_max = "&amp;F2057&amp;", cot_prc_med = "&amp;G2057&amp;", cot_prc_mediana = "&amp;H2057&amp;" WHERE cot_id = "&amp;A2057&amp;";"</f>
        <v>UPDATE COTACAO SET cot_id = 2056, cot_blt_id = 89, cot_pap_id = 26, cot_prc_comum =  60.00, cot_prc_min =  60.00, cot_prc_max =  80.00, cot_prc_med =  67.50, cot_prc_mediana =  65.00 WHERE cot_id = 2056;</v>
      </c>
    </row>
    <row r="2058" customFormat="false" ht="14.25" hidden="false" customHeight="false" outlineLevel="0" collapsed="false">
      <c r="A2058" s="0" t="n">
        <v>2057</v>
      </c>
      <c r="B2058" s="0" t="n">
        <f aca="false">IF('Boletins Nuppa Site'!A2058&lt;&gt;0,'Boletins Nuppa Site'!A2058,"NULL")</f>
        <v>89</v>
      </c>
      <c r="C2058" s="0" t="n">
        <v>27</v>
      </c>
      <c r="D2058" s="0" t="str">
        <f aca="false">IF('Boletins Nuppa Site'!G2058&lt;&gt;0,'Boletins Nuppa Site'!G2058,"NULL")</f>
        <v>NULL</v>
      </c>
      <c r="E2058" s="30" t="str">
        <f aca="false">IF('Boletins Nuppa Site'!H2058&lt;&gt;0,'Boletins Nuppa Site'!H2058,"NULL")</f>
        <v> 60.00</v>
      </c>
      <c r="F2058" s="30" t="str">
        <f aca="false">IF('Boletins Nuppa Site'!I2058&lt;&gt;0,'Boletins Nuppa Site'!I2058,"NULL")</f>
        <v> 80.00</v>
      </c>
      <c r="G2058" s="30" t="str">
        <f aca="false">IF('Boletins Nuppa Site'!J2058&lt;&gt;0,'Boletins Nuppa Site'!J2058,"NULL")</f>
        <v> 70.00</v>
      </c>
      <c r="H2058" s="30" t="str">
        <f aca="false">IF('Boletins Nuppa Site'!K2058&lt;&gt;0,'Boletins Nuppa Site'!K2058,"NULL")</f>
        <v> 70.00</v>
      </c>
      <c r="I2058" s="0" t="str">
        <f aca="false">"INSERT INTO COTACAO (cot_id, cot_blt_id, cot_pap_id, cot_prc_comum, cot_prc_min, cot_prc_max, cot_prc_med, cot_prc_mediana) VALUES ("&amp;A2058&amp;", "&amp;B2058&amp;", "&amp;C2058&amp;", "&amp;D2058&amp;", "&amp;E2058&amp;", "&amp;F2058&amp;", "&amp;G2058&amp;", "&amp;H2058&amp;");"</f>
        <v>INSERT INTO COTACAO (cot_id, cot_blt_id, cot_pap_id, cot_prc_comum, cot_prc_min, cot_prc_max, cot_prc_med, cot_prc_mediana) VALUES (2057, 89, 27, NULL,  60.00,  80.00,  70.00,  70.00);</v>
      </c>
      <c r="J2058" s="0" t="str">
        <f aca="false">"UPDATE COTACAO SET cot_id = "&amp;A2058&amp;", cot_blt_id = "&amp;B2058&amp;", cot_pap_id = "&amp;C2058&amp;", cot_prc_comum = "&amp;D2058&amp;", cot_prc_min = "&amp;E2058&amp;", cot_prc_max = "&amp;F2058&amp;", cot_prc_med = "&amp;G2058&amp;", cot_prc_mediana = "&amp;H2058&amp;" WHERE cot_id = "&amp;A2058&amp;";"</f>
        <v>UPDATE COTACAO SET cot_id = 2057, cot_blt_id = 89, cot_pap_id = 27, cot_prc_comum = NULL, cot_prc_min =  60.00, cot_prc_max =  80.00, cot_prc_med =  70.00, cot_prc_mediana =  70.00 WHERE cot_id = 2057;</v>
      </c>
    </row>
    <row r="2059" customFormat="false" ht="14.25" hidden="false" customHeight="false" outlineLevel="0" collapsed="false">
      <c r="A2059" s="0" t="n">
        <v>2058</v>
      </c>
      <c r="B2059" s="0" t="n">
        <f aca="false">IF('Boletins Nuppa Site'!A2059&lt;&gt;0,'Boletins Nuppa Site'!A2059,"NULL")</f>
        <v>89</v>
      </c>
      <c r="C2059" s="0" t="n">
        <v>28</v>
      </c>
      <c r="D2059" s="0" t="str">
        <f aca="false">IF('Boletins Nuppa Site'!G2059&lt;&gt;0,'Boletins Nuppa Site'!G2059,"NULL")</f>
        <v> 60.00</v>
      </c>
      <c r="E2059" s="30" t="str">
        <f aca="false">IF('Boletins Nuppa Site'!H2059&lt;&gt;0,'Boletins Nuppa Site'!H2059,"NULL")</f>
        <v> 60.00</v>
      </c>
      <c r="F2059" s="30" t="str">
        <f aca="false">IF('Boletins Nuppa Site'!I2059&lt;&gt;0,'Boletins Nuppa Site'!I2059,"NULL")</f>
        <v> 70.00</v>
      </c>
      <c r="G2059" s="30" t="str">
        <f aca="false">IF('Boletins Nuppa Site'!J2059&lt;&gt;0,'Boletins Nuppa Site'!J2059,"NULL")</f>
        <v> 63.33</v>
      </c>
      <c r="H2059" s="30" t="str">
        <f aca="false">IF('Boletins Nuppa Site'!K2059&lt;&gt;0,'Boletins Nuppa Site'!K2059,"NULL")</f>
        <v> 60.00</v>
      </c>
      <c r="I2059" s="0" t="str">
        <f aca="false">"INSERT INTO COTACAO (cot_id, cot_blt_id, cot_pap_id, cot_prc_comum, cot_prc_min, cot_prc_max, cot_prc_med, cot_prc_mediana) VALUES ("&amp;A2059&amp;", "&amp;B2059&amp;", "&amp;C2059&amp;", "&amp;D2059&amp;", "&amp;E2059&amp;", "&amp;F2059&amp;", "&amp;G2059&amp;", "&amp;H2059&amp;");"</f>
        <v>INSERT INTO COTACAO (cot_id, cot_blt_id, cot_pap_id, cot_prc_comum, cot_prc_min, cot_prc_max, cot_prc_med, cot_prc_mediana) VALUES (2058, 89, 28,  60.00,  60.00,  70.00,  63.33,  60.00);</v>
      </c>
      <c r="J2059" s="0" t="str">
        <f aca="false">"UPDATE COTACAO SET cot_id = "&amp;A2059&amp;", cot_blt_id = "&amp;B2059&amp;", cot_pap_id = "&amp;C2059&amp;", cot_prc_comum = "&amp;D2059&amp;", cot_prc_min = "&amp;E2059&amp;", cot_prc_max = "&amp;F2059&amp;", cot_prc_med = "&amp;G2059&amp;", cot_prc_mediana = "&amp;H2059&amp;" WHERE cot_id = "&amp;A2059&amp;";"</f>
        <v>UPDATE COTACAO SET cot_id = 2058, cot_blt_id = 89, cot_pap_id = 28, cot_prc_comum =  60.00, cot_prc_min =  60.00, cot_prc_max =  70.00, cot_prc_med =  63.33, cot_prc_mediana =  60.00 WHERE cot_id = 2058;</v>
      </c>
    </row>
    <row r="2060" customFormat="false" ht="14.25" hidden="false" customHeight="false" outlineLevel="0" collapsed="false">
      <c r="A2060" s="0" t="n">
        <v>2059</v>
      </c>
      <c r="B2060" s="0" t="n">
        <f aca="false">IF('Boletins Nuppa Site'!A2060&lt;&gt;0,'Boletins Nuppa Site'!A2060,"NULL")</f>
        <v>89</v>
      </c>
      <c r="C2060" s="0" t="n">
        <v>29</v>
      </c>
      <c r="D2060" s="0" t="str">
        <f aca="false">IF('Boletins Nuppa Site'!G2060&lt;&gt;0,'Boletins Nuppa Site'!G2060,"NULL")</f>
        <v>NULL</v>
      </c>
      <c r="E2060" s="30" t="str">
        <f aca="false">IF('Boletins Nuppa Site'!H2060&lt;&gt;0,'Boletins Nuppa Site'!H2060,"NULL")</f>
        <v> 80.00</v>
      </c>
      <c r="F2060" s="30" t="str">
        <f aca="false">IF('Boletins Nuppa Site'!I2060&lt;&gt;0,'Boletins Nuppa Site'!I2060,"NULL")</f>
        <v> 80.00</v>
      </c>
      <c r="G2060" s="30" t="str">
        <f aca="false">IF('Boletins Nuppa Site'!J2060&lt;&gt;0,'Boletins Nuppa Site'!J2060,"NULL")</f>
        <v> 80.00</v>
      </c>
      <c r="H2060" s="30" t="str">
        <f aca="false">IF('Boletins Nuppa Site'!K2060&lt;&gt;0,'Boletins Nuppa Site'!K2060,"NULL")</f>
        <v> 80.00</v>
      </c>
      <c r="I2060" s="0" t="str">
        <f aca="false">"INSERT INTO COTACAO (cot_id, cot_blt_id, cot_pap_id, cot_prc_comum, cot_prc_min, cot_prc_max, cot_prc_med, cot_prc_mediana) VALUES ("&amp;A2060&amp;", "&amp;B2060&amp;", "&amp;C2060&amp;", "&amp;D2060&amp;", "&amp;E2060&amp;", "&amp;F2060&amp;", "&amp;G2060&amp;", "&amp;H2060&amp;");"</f>
        <v>INSERT INTO COTACAO (cot_id, cot_blt_id, cot_pap_id, cot_prc_comum, cot_prc_min, cot_prc_max, cot_prc_med, cot_prc_mediana) VALUES (2059, 89, 29, NULL,  80.00,  80.00,  80.00,  80.00);</v>
      </c>
      <c r="J2060" s="0" t="str">
        <f aca="false">"UPDATE COTACAO SET cot_id = "&amp;A2060&amp;", cot_blt_id = "&amp;B2060&amp;", cot_pap_id = "&amp;C2060&amp;", cot_prc_comum = "&amp;D2060&amp;", cot_prc_min = "&amp;E2060&amp;", cot_prc_max = "&amp;F2060&amp;", cot_prc_med = "&amp;G2060&amp;", cot_prc_mediana = "&amp;H2060&amp;" WHERE cot_id = "&amp;A2060&amp;";"</f>
        <v>UPDATE COTACAO SET cot_id = 2059, cot_blt_id = 89, cot_pap_id = 29, cot_prc_comum = NULL, cot_prc_min =  80.00, cot_prc_max =  80.00, cot_prc_med =  80.00, cot_prc_mediana =  80.00 WHERE cot_id = 2059;</v>
      </c>
    </row>
    <row r="2061" customFormat="false" ht="14.25" hidden="false" customHeight="false" outlineLevel="0" collapsed="false">
      <c r="A2061" s="0" t="n">
        <v>2060</v>
      </c>
      <c r="B2061" s="0" t="n">
        <f aca="false">IF('Boletins Nuppa Site'!A2061&lt;&gt;0,'Boletins Nuppa Site'!A2061,"NULL")</f>
        <v>89</v>
      </c>
      <c r="C2061" s="0" t="n">
        <v>30</v>
      </c>
      <c r="D2061" s="0" t="str">
        <f aca="false">IF('Boletins Nuppa Site'!G2061&lt;&gt;0,'Boletins Nuppa Site'!G2061,"NULL")</f>
        <v> 65.00</v>
      </c>
      <c r="E2061" s="30" t="str">
        <f aca="false">IF('Boletins Nuppa Site'!H2061&lt;&gt;0,'Boletins Nuppa Site'!H2061,"NULL")</f>
        <v> 65.00</v>
      </c>
      <c r="F2061" s="30" t="str">
        <f aca="false">IF('Boletins Nuppa Site'!I2061&lt;&gt;0,'Boletins Nuppa Site'!I2061,"NULL")</f>
        <v> 65.00</v>
      </c>
      <c r="G2061" s="30" t="str">
        <f aca="false">IF('Boletins Nuppa Site'!J2061&lt;&gt;0,'Boletins Nuppa Site'!J2061,"NULL")</f>
        <v> 65.00</v>
      </c>
      <c r="H2061" s="30" t="str">
        <f aca="false">IF('Boletins Nuppa Site'!K2061&lt;&gt;0,'Boletins Nuppa Site'!K2061,"NULL")</f>
        <v> 65.00</v>
      </c>
      <c r="I2061" s="0" t="str">
        <f aca="false">"INSERT INTO COTACAO (cot_id, cot_blt_id, cot_pap_id, cot_prc_comum, cot_prc_min, cot_prc_max, cot_prc_med, cot_prc_mediana) VALUES ("&amp;A2061&amp;", "&amp;B2061&amp;", "&amp;C2061&amp;", "&amp;D2061&amp;", "&amp;E2061&amp;", "&amp;F2061&amp;", "&amp;G2061&amp;", "&amp;H2061&amp;");"</f>
        <v>INSERT INTO COTACAO (cot_id, cot_blt_id, cot_pap_id, cot_prc_comum, cot_prc_min, cot_prc_max, cot_prc_med, cot_prc_mediana) VALUES (2060, 89, 30,  65.00,  65.00,  65.00,  65.00,  65.00);</v>
      </c>
      <c r="J2061" s="0" t="str">
        <f aca="false">"UPDATE COTACAO SET cot_id = "&amp;A2061&amp;", cot_blt_id = "&amp;B2061&amp;", cot_pap_id = "&amp;C2061&amp;", cot_prc_comum = "&amp;D2061&amp;", cot_prc_min = "&amp;E2061&amp;", cot_prc_max = "&amp;F2061&amp;", cot_prc_med = "&amp;G2061&amp;", cot_prc_mediana = "&amp;H2061&amp;" WHERE cot_id = "&amp;A2061&amp;";"</f>
        <v>UPDATE COTACAO SET cot_id = 2060, cot_blt_id = 89, cot_pap_id = 30, cot_prc_comum =  65.00, cot_prc_min =  65.00, cot_prc_max =  65.00, cot_prc_med =  65.00, cot_prc_mediana =  65.00 WHERE cot_id = 2060;</v>
      </c>
    </row>
    <row r="2062" customFormat="false" ht="14.25" hidden="false" customHeight="false" outlineLevel="0" collapsed="false">
      <c r="A2062" s="0" t="n">
        <v>2061</v>
      </c>
      <c r="B2062" s="0" t="n">
        <f aca="false">IF('Boletins Nuppa Site'!A2062&lt;&gt;0,'Boletins Nuppa Site'!A2062,"NULL")</f>
        <v>89</v>
      </c>
      <c r="C2062" s="0" t="n">
        <v>31</v>
      </c>
      <c r="D2062" s="0" t="str">
        <f aca="false">IF('Boletins Nuppa Site'!G2062&lt;&gt;0,'Boletins Nuppa Site'!G2062,"NULL")</f>
        <v>NULL</v>
      </c>
      <c r="E2062" s="30" t="str">
        <f aca="false">IF('Boletins Nuppa Site'!H2062&lt;&gt;0,'Boletins Nuppa Site'!H2062,"NULL")</f>
        <v> 75.00</v>
      </c>
      <c r="F2062" s="30" t="str">
        <f aca="false">IF('Boletins Nuppa Site'!I2062&lt;&gt;0,'Boletins Nuppa Site'!I2062,"NULL")</f>
        <v> 120.00</v>
      </c>
      <c r="G2062" s="30" t="str">
        <f aca="false">IF('Boletins Nuppa Site'!J2062&lt;&gt;0,'Boletins Nuppa Site'!J2062,"NULL")</f>
        <v> 96.25</v>
      </c>
      <c r="H2062" s="30" t="str">
        <f aca="false">IF('Boletins Nuppa Site'!K2062&lt;&gt;0,'Boletins Nuppa Site'!K2062,"NULL")</f>
        <v> 95.00</v>
      </c>
      <c r="I2062" s="0" t="str">
        <f aca="false">"INSERT INTO COTACAO (cot_id, cot_blt_id, cot_pap_id, cot_prc_comum, cot_prc_min, cot_prc_max, cot_prc_med, cot_prc_mediana) VALUES ("&amp;A2062&amp;", "&amp;B2062&amp;", "&amp;C2062&amp;", "&amp;D2062&amp;", "&amp;E2062&amp;", "&amp;F2062&amp;", "&amp;G2062&amp;", "&amp;H2062&amp;");"</f>
        <v>INSERT INTO COTACAO (cot_id, cot_blt_id, cot_pap_id, cot_prc_comum, cot_prc_min, cot_prc_max, cot_prc_med, cot_prc_mediana) VALUES (2061, 89, 31, NULL,  75.00,  120.00,  96.25,  95.00);</v>
      </c>
      <c r="J2062" s="0" t="str">
        <f aca="false">"UPDATE COTACAO SET cot_id = "&amp;A2062&amp;", cot_blt_id = "&amp;B2062&amp;", cot_pap_id = "&amp;C2062&amp;", cot_prc_comum = "&amp;D2062&amp;", cot_prc_min = "&amp;E2062&amp;", cot_prc_max = "&amp;F2062&amp;", cot_prc_med = "&amp;G2062&amp;", cot_prc_mediana = "&amp;H2062&amp;" WHERE cot_id = "&amp;A2062&amp;";"</f>
        <v>UPDATE COTACAO SET cot_id = 2061, cot_blt_id = 89, cot_pap_id = 31, cot_prc_comum = NULL, cot_prc_min =  75.00, cot_prc_max =  120.00, cot_prc_med =  96.25, cot_prc_mediana =  95.00 WHERE cot_id = 2061;</v>
      </c>
    </row>
    <row r="2063" customFormat="false" ht="14.25" hidden="false" customHeight="false" outlineLevel="0" collapsed="false">
      <c r="A2063" s="0" t="n">
        <v>2062</v>
      </c>
      <c r="B2063" s="0" t="n">
        <f aca="false">IF('Boletins Nuppa Site'!A2063&lt;&gt;0,'Boletins Nuppa Site'!A2063,"NULL")</f>
        <v>89</v>
      </c>
      <c r="C2063" s="0" t="n">
        <v>32</v>
      </c>
      <c r="D2063" s="0" t="str">
        <f aca="false">IF('Boletins Nuppa Site'!G2063&lt;&gt;0,'Boletins Nuppa Site'!G2063,"NULL")</f>
        <v>NULL</v>
      </c>
      <c r="E2063" s="30" t="str">
        <f aca="false">IF('Boletins Nuppa Site'!H2063&lt;&gt;0,'Boletins Nuppa Site'!H2063,"NULL")</f>
        <v> 25.00</v>
      </c>
      <c r="F2063" s="30" t="str">
        <f aca="false">IF('Boletins Nuppa Site'!I2063&lt;&gt;0,'Boletins Nuppa Site'!I2063,"NULL")</f>
        <v> 85.00</v>
      </c>
      <c r="G2063" s="30" t="str">
        <f aca="false">IF('Boletins Nuppa Site'!J2063&lt;&gt;0,'Boletins Nuppa Site'!J2063,"NULL")</f>
        <v> 45.00</v>
      </c>
      <c r="H2063" s="30" t="str">
        <f aca="false">IF('Boletins Nuppa Site'!K2063&lt;&gt;0,'Boletins Nuppa Site'!K2063,"NULL")</f>
        <v> 35.00</v>
      </c>
      <c r="I2063" s="0" t="str">
        <f aca="false">"INSERT INTO COTACAO (cot_id, cot_blt_id, cot_pap_id, cot_prc_comum, cot_prc_min, cot_prc_max, cot_prc_med, cot_prc_mediana) VALUES ("&amp;A2063&amp;", "&amp;B2063&amp;", "&amp;C2063&amp;", "&amp;D2063&amp;", "&amp;E2063&amp;", "&amp;F2063&amp;", "&amp;G2063&amp;", "&amp;H2063&amp;");"</f>
        <v>INSERT INTO COTACAO (cot_id, cot_blt_id, cot_pap_id, cot_prc_comum, cot_prc_min, cot_prc_max, cot_prc_med, cot_prc_mediana) VALUES (2062, 89, 32, NULL,  25.00,  85.00,  45.00,  35.00);</v>
      </c>
      <c r="J2063" s="0" t="str">
        <f aca="false">"UPDATE COTACAO SET cot_id = "&amp;A2063&amp;", cot_blt_id = "&amp;B2063&amp;", cot_pap_id = "&amp;C2063&amp;", cot_prc_comum = "&amp;D2063&amp;", cot_prc_min = "&amp;E2063&amp;", cot_prc_max = "&amp;F2063&amp;", cot_prc_med = "&amp;G2063&amp;", cot_prc_mediana = "&amp;H2063&amp;" WHERE cot_id = "&amp;A2063&amp;";"</f>
        <v>UPDATE COTACAO SET cot_id = 2062, cot_blt_id = 89, cot_pap_id = 32, cot_prc_comum = NULL, cot_prc_min =  25.00, cot_prc_max =  85.00, cot_prc_med =  45.00, cot_prc_mediana =  35.00 WHERE cot_id = 2062;</v>
      </c>
    </row>
    <row r="2064" customFormat="false" ht="14.25" hidden="false" customHeight="false" outlineLevel="0" collapsed="false">
      <c r="A2064" s="0" t="n">
        <v>2063</v>
      </c>
      <c r="B2064" s="0" t="n">
        <f aca="false">IF('Boletins Nuppa Site'!A2064&lt;&gt;0,'Boletins Nuppa Site'!A2064,"NULL")</f>
        <v>89</v>
      </c>
      <c r="C2064" s="0" t="n">
        <v>33</v>
      </c>
      <c r="D2064" s="0" t="str">
        <f aca="false">IF('Boletins Nuppa Site'!G2064&lt;&gt;0,'Boletins Nuppa Site'!G2064,"NULL")</f>
        <v> 50.00</v>
      </c>
      <c r="E2064" s="30" t="str">
        <f aca="false">IF('Boletins Nuppa Site'!H2064&lt;&gt;0,'Boletins Nuppa Site'!H2064,"NULL")</f>
        <v> 50.00</v>
      </c>
      <c r="F2064" s="30" t="str">
        <f aca="false">IF('Boletins Nuppa Site'!I2064&lt;&gt;0,'Boletins Nuppa Site'!I2064,"NULL")</f>
        <v> 60.00</v>
      </c>
      <c r="G2064" s="30" t="str">
        <f aca="false">IF('Boletins Nuppa Site'!J2064&lt;&gt;0,'Boletins Nuppa Site'!J2064,"NULL")</f>
        <v> 55.00</v>
      </c>
      <c r="H2064" s="30" t="str">
        <f aca="false">IF('Boletins Nuppa Site'!K2064&lt;&gt;0,'Boletins Nuppa Site'!K2064,"NULL")</f>
        <v> 55.00</v>
      </c>
      <c r="I2064" s="0" t="str">
        <f aca="false">"INSERT INTO COTACAO (cot_id, cot_blt_id, cot_pap_id, cot_prc_comum, cot_prc_min, cot_prc_max, cot_prc_med, cot_prc_mediana) VALUES ("&amp;A2064&amp;", "&amp;B2064&amp;", "&amp;C2064&amp;", "&amp;D2064&amp;", "&amp;E2064&amp;", "&amp;F2064&amp;", "&amp;G2064&amp;", "&amp;H2064&amp;");"</f>
        <v>INSERT INTO COTACAO (cot_id, cot_blt_id, cot_pap_id, cot_prc_comum, cot_prc_min, cot_prc_max, cot_prc_med, cot_prc_mediana) VALUES (2063, 89, 33,  50.00,  50.00,  60.00,  55.00,  55.00);</v>
      </c>
      <c r="J2064" s="0" t="str">
        <f aca="false">"UPDATE COTACAO SET cot_id = "&amp;A2064&amp;", cot_blt_id = "&amp;B2064&amp;", cot_pap_id = "&amp;C2064&amp;", cot_prc_comum = "&amp;D2064&amp;", cot_prc_min = "&amp;E2064&amp;", cot_prc_max = "&amp;F2064&amp;", cot_prc_med = "&amp;G2064&amp;", cot_prc_mediana = "&amp;H2064&amp;" WHERE cot_id = "&amp;A2064&amp;";"</f>
        <v>UPDATE COTACAO SET cot_id = 2063, cot_blt_id = 89, cot_pap_id = 33, cot_prc_comum =  50.00, cot_prc_min =  50.00, cot_prc_max =  60.00, cot_prc_med =  55.00, cot_prc_mediana =  55.00 WHERE cot_id = 2063;</v>
      </c>
    </row>
    <row r="2065" customFormat="false" ht="14.25" hidden="false" customHeight="false" outlineLevel="0" collapsed="false">
      <c r="A2065" s="0" t="n">
        <v>2064</v>
      </c>
      <c r="B2065" s="0" t="n">
        <f aca="false">IF('Boletins Nuppa Site'!A2065&lt;&gt;0,'Boletins Nuppa Site'!A2065,"NULL")</f>
        <v>89</v>
      </c>
      <c r="C2065" s="0" t="n">
        <v>34</v>
      </c>
      <c r="D2065" s="0" t="str">
        <f aca="false">IF('Boletins Nuppa Site'!G2065&lt;&gt;0,'Boletins Nuppa Site'!G2065,"NULL")</f>
        <v> 90.00</v>
      </c>
      <c r="E2065" s="30" t="str">
        <f aca="false">IF('Boletins Nuppa Site'!H2065&lt;&gt;0,'Boletins Nuppa Site'!H2065,"NULL")</f>
        <v> 60.00</v>
      </c>
      <c r="F2065" s="30" t="str">
        <f aca="false">IF('Boletins Nuppa Site'!I2065&lt;&gt;0,'Boletins Nuppa Site'!I2065,"NULL")</f>
        <v> 90.00</v>
      </c>
      <c r="G2065" s="30" t="str">
        <f aca="false">IF('Boletins Nuppa Site'!J2065&lt;&gt;0,'Boletins Nuppa Site'!J2065,"NULL")</f>
        <v> 76.25</v>
      </c>
      <c r="H2065" s="30" t="str">
        <f aca="false">IF('Boletins Nuppa Site'!K2065&lt;&gt;0,'Boletins Nuppa Site'!K2065,"NULL")</f>
        <v> 77.50</v>
      </c>
      <c r="I2065" s="0" t="str">
        <f aca="false">"INSERT INTO COTACAO (cot_id, cot_blt_id, cot_pap_id, cot_prc_comum, cot_prc_min, cot_prc_max, cot_prc_med, cot_prc_mediana) VALUES ("&amp;A2065&amp;", "&amp;B2065&amp;", "&amp;C2065&amp;", "&amp;D2065&amp;", "&amp;E2065&amp;", "&amp;F2065&amp;", "&amp;G2065&amp;", "&amp;H2065&amp;");"</f>
        <v>INSERT INTO COTACAO (cot_id, cot_blt_id, cot_pap_id, cot_prc_comum, cot_prc_min, cot_prc_max, cot_prc_med, cot_prc_mediana) VALUES (2064, 89, 34,  90.00,  60.00,  90.00,  76.25,  77.50);</v>
      </c>
      <c r="J2065" s="0" t="str">
        <f aca="false">"UPDATE COTACAO SET cot_id = "&amp;A2065&amp;", cot_blt_id = "&amp;B2065&amp;", cot_pap_id = "&amp;C2065&amp;", cot_prc_comum = "&amp;D2065&amp;", cot_prc_min = "&amp;E2065&amp;", cot_prc_max = "&amp;F2065&amp;", cot_prc_med = "&amp;G2065&amp;", cot_prc_mediana = "&amp;H2065&amp;" WHERE cot_id = "&amp;A2065&amp;";"</f>
        <v>UPDATE COTACAO SET cot_id = 2064, cot_blt_id = 89, cot_pap_id = 34, cot_prc_comum =  90.00, cot_prc_min =  60.00, cot_prc_max =  90.00, cot_prc_med =  76.25, cot_prc_mediana =  77.50 WHERE cot_id = 2064;</v>
      </c>
    </row>
    <row r="2066" customFormat="false" ht="14.25" hidden="false" customHeight="false" outlineLevel="0" collapsed="false">
      <c r="A2066" s="0" t="n">
        <v>2065</v>
      </c>
      <c r="B2066" s="0" t="n">
        <f aca="false">IF('Boletins Nuppa Site'!A2066&lt;&gt;0,'Boletins Nuppa Site'!A2066,"NULL")</f>
        <v>89</v>
      </c>
      <c r="C2066" s="0" t="n">
        <v>35</v>
      </c>
      <c r="D2066" s="0" t="str">
        <f aca="false">IF('Boletins Nuppa Site'!G2066&lt;&gt;0,'Boletins Nuppa Site'!G2066,"NULL")</f>
        <v>NULL</v>
      </c>
      <c r="E2066" s="30" t="str">
        <f aca="false">IF('Boletins Nuppa Site'!H2066&lt;&gt;0,'Boletins Nuppa Site'!H2066,"NULL")</f>
        <v> 60.00</v>
      </c>
      <c r="F2066" s="30" t="str">
        <f aca="false">IF('Boletins Nuppa Site'!I2066&lt;&gt;0,'Boletins Nuppa Site'!I2066,"NULL")</f>
        <v> 100.00</v>
      </c>
      <c r="G2066" s="30" t="str">
        <f aca="false">IF('Boletins Nuppa Site'!J2066&lt;&gt;0,'Boletins Nuppa Site'!J2066,"NULL")</f>
        <v> 80.00</v>
      </c>
      <c r="H2066" s="30" t="str">
        <f aca="false">IF('Boletins Nuppa Site'!K2066&lt;&gt;0,'Boletins Nuppa Site'!K2066,"NULL")</f>
        <v> 80.00</v>
      </c>
      <c r="I2066" s="0" t="str">
        <f aca="false">"INSERT INTO COTACAO (cot_id, cot_blt_id, cot_pap_id, cot_prc_comum, cot_prc_min, cot_prc_max, cot_prc_med, cot_prc_mediana) VALUES ("&amp;A2066&amp;", "&amp;B2066&amp;", "&amp;C2066&amp;", "&amp;D2066&amp;", "&amp;E2066&amp;", "&amp;F2066&amp;", "&amp;G2066&amp;", "&amp;H2066&amp;");"</f>
        <v>INSERT INTO COTACAO (cot_id, cot_blt_id, cot_pap_id, cot_prc_comum, cot_prc_min, cot_prc_max, cot_prc_med, cot_prc_mediana) VALUES (2065, 89, 35, NULL,  60.00,  100.00,  80.00,  80.00);</v>
      </c>
      <c r="J2066" s="0" t="str">
        <f aca="false">"UPDATE COTACAO SET cot_id = "&amp;A2066&amp;", cot_blt_id = "&amp;B2066&amp;", cot_pap_id = "&amp;C2066&amp;", cot_prc_comum = "&amp;D2066&amp;", cot_prc_min = "&amp;E2066&amp;", cot_prc_max = "&amp;F2066&amp;", cot_prc_med = "&amp;G2066&amp;", cot_prc_mediana = "&amp;H2066&amp;" WHERE cot_id = "&amp;A2066&amp;";"</f>
        <v>UPDATE COTACAO SET cot_id = 2065, cot_blt_id = 89, cot_pap_id = 35, cot_prc_comum = NULL, cot_prc_min =  60.00, cot_prc_max =  100.00, cot_prc_med =  80.00, cot_prc_mediana =  80.00 WHERE cot_id = 2065;</v>
      </c>
    </row>
    <row r="2067" customFormat="false" ht="14.25" hidden="false" customHeight="false" outlineLevel="0" collapsed="false">
      <c r="A2067" s="0" t="n">
        <v>2066</v>
      </c>
      <c r="B2067" s="0" t="n">
        <f aca="false">IF('Boletins Nuppa Site'!A2067&lt;&gt;0,'Boletins Nuppa Site'!A2067,"NULL")</f>
        <v>89</v>
      </c>
      <c r="C2067" s="0" t="n">
        <v>36</v>
      </c>
      <c r="D2067" s="0" t="str">
        <f aca="false">IF('Boletins Nuppa Site'!G2067&lt;&gt;0,'Boletins Nuppa Site'!G2067,"NULL")</f>
        <v>NULL</v>
      </c>
      <c r="E2067" s="30" t="str">
        <f aca="false">IF('Boletins Nuppa Site'!H2067&lt;&gt;0,'Boletins Nuppa Site'!H2067,"NULL")</f>
        <v>NULL</v>
      </c>
      <c r="F2067" s="30" t="str">
        <f aca="false">IF('Boletins Nuppa Site'!I2067&lt;&gt;0,'Boletins Nuppa Site'!I2067,"NULL")</f>
        <v>NULL</v>
      </c>
      <c r="G2067" s="30" t="str">
        <f aca="false">IF('Boletins Nuppa Site'!J2067&lt;&gt;0,'Boletins Nuppa Site'!J2067,"NULL")</f>
        <v>NULL</v>
      </c>
      <c r="H2067" s="30" t="str">
        <f aca="false">IF('Boletins Nuppa Site'!K2067&lt;&gt;0,'Boletins Nuppa Site'!K2067,"NULL")</f>
        <v>NULL</v>
      </c>
      <c r="I2067" s="0" t="str">
        <f aca="false">"INSERT INTO COTACAO (cot_id, cot_blt_id, cot_pap_id, cot_prc_comum, cot_prc_min, cot_prc_max, cot_prc_med, cot_prc_mediana) VALUES ("&amp;A2067&amp;", "&amp;B2067&amp;", "&amp;C2067&amp;", "&amp;D2067&amp;", "&amp;E2067&amp;", "&amp;F2067&amp;", "&amp;G2067&amp;", "&amp;H2067&amp;");"</f>
        <v>INSERT INTO COTACAO (cot_id, cot_blt_id, cot_pap_id, cot_prc_comum, cot_prc_min, cot_prc_max, cot_prc_med, cot_prc_mediana) VALUES (2066, 89, 36, NULL, NULL, NULL, NULL, NULL);</v>
      </c>
      <c r="J2067" s="0" t="str">
        <f aca="false">"UPDATE COTACAO SET cot_id = "&amp;A2067&amp;", cot_blt_id = "&amp;B2067&amp;", cot_pap_id = "&amp;C2067&amp;", cot_prc_comum = "&amp;D2067&amp;", cot_prc_min = "&amp;E2067&amp;", cot_prc_max = "&amp;F2067&amp;", cot_prc_med = "&amp;G2067&amp;", cot_prc_mediana = "&amp;H2067&amp;" WHERE cot_id = "&amp;A2067&amp;";"</f>
        <v>UPDATE COTACAO SET cot_id = 2066, cot_blt_id = 89, cot_pap_id = 36, cot_prc_comum = NULL, cot_prc_min = NULL, cot_prc_max = NULL, cot_prc_med = NULL, cot_prc_mediana = NULL WHERE cot_id = 2066;</v>
      </c>
    </row>
    <row r="2068" customFormat="false" ht="14.25" hidden="false" customHeight="false" outlineLevel="0" collapsed="false">
      <c r="A2068" s="0" t="n">
        <v>2067</v>
      </c>
      <c r="B2068" s="0" t="n">
        <f aca="false">IF('Boletins Nuppa Site'!A2068&lt;&gt;0,'Boletins Nuppa Site'!A2068,"NULL")</f>
        <v>89</v>
      </c>
      <c r="C2068" s="0" t="n">
        <v>37</v>
      </c>
      <c r="D2068" s="0" t="str">
        <f aca="false">IF('Boletins Nuppa Site'!G2068&lt;&gt;0,'Boletins Nuppa Site'!G2068,"NULL")</f>
        <v>NULL</v>
      </c>
      <c r="E2068" s="30" t="str">
        <f aca="false">IF('Boletins Nuppa Site'!H2068&lt;&gt;0,'Boletins Nuppa Site'!H2068,"NULL")</f>
        <v>NULL</v>
      </c>
      <c r="F2068" s="30" t="str">
        <f aca="false">IF('Boletins Nuppa Site'!I2068&lt;&gt;0,'Boletins Nuppa Site'!I2068,"NULL")</f>
        <v>NULL</v>
      </c>
      <c r="G2068" s="30" t="str">
        <f aca="false">IF('Boletins Nuppa Site'!J2068&lt;&gt;0,'Boletins Nuppa Site'!J2068,"NULL")</f>
        <v>NULL</v>
      </c>
      <c r="H2068" s="30" t="str">
        <f aca="false">IF('Boletins Nuppa Site'!K2068&lt;&gt;0,'Boletins Nuppa Site'!K2068,"NULL")</f>
        <v>NULL</v>
      </c>
      <c r="I2068" s="0" t="str">
        <f aca="false">"INSERT INTO COTACAO (cot_id, cot_blt_id, cot_pap_id, cot_prc_comum, cot_prc_min, cot_prc_max, cot_prc_med, cot_prc_mediana) VALUES ("&amp;A2068&amp;", "&amp;B2068&amp;", "&amp;C2068&amp;", "&amp;D2068&amp;", "&amp;E2068&amp;", "&amp;F2068&amp;", "&amp;G2068&amp;", "&amp;H2068&amp;");"</f>
        <v>INSERT INTO COTACAO (cot_id, cot_blt_id, cot_pap_id, cot_prc_comum, cot_prc_min, cot_prc_max, cot_prc_med, cot_prc_mediana) VALUES (2067, 89, 37, NULL, NULL, NULL, NULL, NULL);</v>
      </c>
      <c r="J2068" s="0" t="str">
        <f aca="false">"UPDATE COTACAO SET cot_id = "&amp;A2068&amp;", cot_blt_id = "&amp;B2068&amp;", cot_pap_id = "&amp;C2068&amp;", cot_prc_comum = "&amp;D2068&amp;", cot_prc_min = "&amp;E2068&amp;", cot_prc_max = "&amp;F2068&amp;", cot_prc_med = "&amp;G2068&amp;", cot_prc_mediana = "&amp;H2068&amp;" WHERE cot_id = "&amp;A2068&amp;";"</f>
        <v>UPDATE COTACAO SET cot_id = 2067, cot_blt_id = 89, cot_pap_id = 37, cot_prc_comum = NULL, cot_prc_min = NULL, cot_prc_max = NULL, cot_prc_med = NULL, cot_prc_mediana = NULL WHERE cot_id = 2067;</v>
      </c>
    </row>
    <row r="2069" customFormat="false" ht="14.25" hidden="false" customHeight="false" outlineLevel="0" collapsed="false">
      <c r="A2069" s="0" t="n">
        <v>2068</v>
      </c>
      <c r="B2069" s="0" t="n">
        <f aca="false">IF('Boletins Nuppa Site'!A2069&lt;&gt;0,'Boletins Nuppa Site'!A2069,"NULL")</f>
        <v>89</v>
      </c>
      <c r="C2069" s="0" t="n">
        <v>38</v>
      </c>
      <c r="D2069" s="0" t="str">
        <f aca="false">IF('Boletins Nuppa Site'!G2069&lt;&gt;0,'Boletins Nuppa Site'!G2069,"NULL")</f>
        <v>NULL</v>
      </c>
      <c r="E2069" s="30" t="str">
        <f aca="false">IF('Boletins Nuppa Site'!H2069&lt;&gt;0,'Boletins Nuppa Site'!H2069,"NULL")</f>
        <v>NULL</v>
      </c>
      <c r="F2069" s="30" t="str">
        <f aca="false">IF('Boletins Nuppa Site'!I2069&lt;&gt;0,'Boletins Nuppa Site'!I2069,"NULL")</f>
        <v>NULL</v>
      </c>
      <c r="G2069" s="30" t="str">
        <f aca="false">IF('Boletins Nuppa Site'!J2069&lt;&gt;0,'Boletins Nuppa Site'!J2069,"NULL")</f>
        <v>NULL</v>
      </c>
      <c r="H2069" s="30" t="str">
        <f aca="false">IF('Boletins Nuppa Site'!K2069&lt;&gt;0,'Boletins Nuppa Site'!K2069,"NULL")</f>
        <v>NULL</v>
      </c>
      <c r="I2069" s="0" t="str">
        <f aca="false">"INSERT INTO COTACAO (cot_id, cot_blt_id, cot_pap_id, cot_prc_comum, cot_prc_min, cot_prc_max, cot_prc_med, cot_prc_mediana) VALUES ("&amp;A2069&amp;", "&amp;B2069&amp;", "&amp;C2069&amp;", "&amp;D2069&amp;", "&amp;E2069&amp;", "&amp;F2069&amp;", "&amp;G2069&amp;", "&amp;H2069&amp;");"</f>
        <v>INSERT INTO COTACAO (cot_id, cot_blt_id, cot_pap_id, cot_prc_comum, cot_prc_min, cot_prc_max, cot_prc_med, cot_prc_mediana) VALUES (2068, 89, 38, NULL, NULL, NULL, NULL, NULL);</v>
      </c>
      <c r="J2069" s="0" t="str">
        <f aca="false">"UPDATE COTACAO SET cot_id = "&amp;A2069&amp;", cot_blt_id = "&amp;B2069&amp;", cot_pap_id = "&amp;C2069&amp;", cot_prc_comum = "&amp;D2069&amp;", cot_prc_min = "&amp;E2069&amp;", cot_prc_max = "&amp;F2069&amp;", cot_prc_med = "&amp;G2069&amp;", cot_prc_mediana = "&amp;H2069&amp;" WHERE cot_id = "&amp;A2069&amp;";"</f>
        <v>UPDATE COTACAO SET cot_id = 2068, cot_blt_id = 89, cot_pap_id = 38, cot_prc_comum = NULL, cot_prc_min = NULL, cot_prc_max = NULL, cot_prc_med = NULL, cot_prc_mediana = NULL WHERE cot_id = 2068;</v>
      </c>
    </row>
    <row r="2070" customFormat="false" ht="14.25" hidden="false" customHeight="false" outlineLevel="0" collapsed="false">
      <c r="A2070" s="0" t="n">
        <v>2069</v>
      </c>
      <c r="B2070" s="0" t="n">
        <f aca="false">IF('Boletins Nuppa Site'!A2070&lt;&gt;0,'Boletins Nuppa Site'!A2070,"NULL")</f>
        <v>89</v>
      </c>
      <c r="C2070" s="0" t="n">
        <v>39</v>
      </c>
      <c r="D2070" s="0" t="str">
        <f aca="false">IF('Boletins Nuppa Site'!G2070&lt;&gt;0,'Boletins Nuppa Site'!G2070,"NULL")</f>
        <v>NULL</v>
      </c>
      <c r="E2070" s="30" t="str">
        <f aca="false">IF('Boletins Nuppa Site'!H2070&lt;&gt;0,'Boletins Nuppa Site'!H2070,"NULL")</f>
        <v>NULL</v>
      </c>
      <c r="F2070" s="30" t="str">
        <f aca="false">IF('Boletins Nuppa Site'!I2070&lt;&gt;0,'Boletins Nuppa Site'!I2070,"NULL")</f>
        <v>NULL</v>
      </c>
      <c r="G2070" s="30" t="str">
        <f aca="false">IF('Boletins Nuppa Site'!J2070&lt;&gt;0,'Boletins Nuppa Site'!J2070,"NULL")</f>
        <v>NULL</v>
      </c>
      <c r="H2070" s="30" t="str">
        <f aca="false">IF('Boletins Nuppa Site'!K2070&lt;&gt;0,'Boletins Nuppa Site'!K2070,"NULL")</f>
        <v>NULL</v>
      </c>
      <c r="I2070" s="0" t="str">
        <f aca="false">"INSERT INTO COTACAO (cot_id, cot_blt_id, cot_pap_id, cot_prc_comum, cot_prc_min, cot_prc_max, cot_prc_med, cot_prc_mediana) VALUES ("&amp;A2070&amp;", "&amp;B2070&amp;", "&amp;C2070&amp;", "&amp;D2070&amp;", "&amp;E2070&amp;", "&amp;F2070&amp;", "&amp;G2070&amp;", "&amp;H2070&amp;");"</f>
        <v>INSERT INTO COTACAO (cot_id, cot_blt_id, cot_pap_id, cot_prc_comum, cot_prc_min, cot_prc_max, cot_prc_med, cot_prc_mediana) VALUES (2069, 89, 39, NULL, NULL, NULL, NULL, NULL);</v>
      </c>
      <c r="J2070" s="0" t="str">
        <f aca="false">"UPDATE COTACAO SET cot_id = "&amp;A2070&amp;", cot_blt_id = "&amp;B2070&amp;", cot_pap_id = "&amp;C2070&amp;", cot_prc_comum = "&amp;D2070&amp;", cot_prc_min = "&amp;E2070&amp;", cot_prc_max = "&amp;F2070&amp;", cot_prc_med = "&amp;G2070&amp;", cot_prc_mediana = "&amp;H2070&amp;" WHERE cot_id = "&amp;A2070&amp;";"</f>
        <v>UPDATE COTACAO SET cot_id = 2069, cot_blt_id = 89, cot_pap_id = 39, cot_prc_comum = NULL, cot_prc_min = NULL, cot_prc_max = NULL, cot_prc_med = NULL, cot_prc_mediana = NULL WHERE cot_id = 2069;</v>
      </c>
    </row>
    <row r="2071" customFormat="false" ht="14.25" hidden="false" customHeight="false" outlineLevel="0" collapsed="false">
      <c r="A2071" s="0" t="n">
        <v>2070</v>
      </c>
      <c r="B2071" s="0" t="n">
        <f aca="false">IF('Boletins Nuppa Site'!A2071&lt;&gt;0,'Boletins Nuppa Site'!A2071,"NULL")</f>
        <v>89</v>
      </c>
      <c r="C2071" s="0" t="n">
        <v>40</v>
      </c>
      <c r="D2071" s="0" t="str">
        <f aca="false">IF('Boletins Nuppa Site'!G2071&lt;&gt;0,'Boletins Nuppa Site'!G2071,"NULL")</f>
        <v>NULL</v>
      </c>
      <c r="E2071" s="30" t="str">
        <f aca="false">IF('Boletins Nuppa Site'!H2071&lt;&gt;0,'Boletins Nuppa Site'!H2071,"NULL")</f>
        <v>NULL</v>
      </c>
      <c r="F2071" s="30" t="str">
        <f aca="false">IF('Boletins Nuppa Site'!I2071&lt;&gt;0,'Boletins Nuppa Site'!I2071,"NULL")</f>
        <v>NULL</v>
      </c>
      <c r="G2071" s="30" t="str">
        <f aca="false">IF('Boletins Nuppa Site'!J2071&lt;&gt;0,'Boletins Nuppa Site'!J2071,"NULL")</f>
        <v>NULL</v>
      </c>
      <c r="H2071" s="30" t="str">
        <f aca="false">IF('Boletins Nuppa Site'!K2071&lt;&gt;0,'Boletins Nuppa Site'!K2071,"NULL")</f>
        <v>NULL</v>
      </c>
      <c r="I2071" s="0" t="str">
        <f aca="false">"INSERT INTO COTACAO (cot_id, cot_blt_id, cot_pap_id, cot_prc_comum, cot_prc_min, cot_prc_max, cot_prc_med, cot_prc_mediana) VALUES ("&amp;A2071&amp;", "&amp;B2071&amp;", "&amp;C2071&amp;", "&amp;D2071&amp;", "&amp;E2071&amp;", "&amp;F2071&amp;", "&amp;G2071&amp;", "&amp;H2071&amp;");"</f>
        <v>INSERT INTO COTACAO (cot_id, cot_blt_id, cot_pap_id, cot_prc_comum, cot_prc_min, cot_prc_max, cot_prc_med, cot_prc_mediana) VALUES (2070, 89, 40, NULL, NULL, NULL, NULL, NULL);</v>
      </c>
      <c r="J2071" s="0" t="str">
        <f aca="false">"UPDATE COTACAO SET cot_id = "&amp;A2071&amp;", cot_blt_id = "&amp;B2071&amp;", cot_pap_id = "&amp;C2071&amp;", cot_prc_comum = "&amp;D2071&amp;", cot_prc_min = "&amp;E2071&amp;", cot_prc_max = "&amp;F2071&amp;", cot_prc_med = "&amp;G2071&amp;", cot_prc_mediana = "&amp;H2071&amp;" WHERE cot_id = "&amp;A2071&amp;";"</f>
        <v>UPDATE COTACAO SET cot_id = 2070, cot_blt_id = 89, cot_pap_id = 40, cot_prc_comum = NULL, cot_prc_min = NULL, cot_prc_max = NULL, cot_prc_med = NULL, cot_prc_mediana = NULL WHERE cot_id = 2070;</v>
      </c>
    </row>
    <row r="2072" customFormat="false" ht="14.25" hidden="false" customHeight="false" outlineLevel="0" collapsed="false">
      <c r="A2072" s="0" t="n">
        <v>2071</v>
      </c>
      <c r="B2072" s="0" t="n">
        <f aca="false">IF('Boletins Nuppa Site'!A2072&lt;&gt;0,'Boletins Nuppa Site'!A2072,"NULL")</f>
        <v>90</v>
      </c>
      <c r="C2072" s="0" t="n">
        <v>1</v>
      </c>
      <c r="D2072" s="0" t="str">
        <f aca="false">IF('Boletins Nuppa Site'!G2072&lt;&gt;0,'Boletins Nuppa Site'!G2072,"NULL")</f>
        <v>NULL</v>
      </c>
      <c r="E2072" s="30" t="str">
        <f aca="false">IF('Boletins Nuppa Site'!H2072&lt;&gt;0,'Boletins Nuppa Site'!H2072,"NULL")</f>
        <v> 42.00</v>
      </c>
      <c r="F2072" s="30" t="str">
        <f aca="false">IF('Boletins Nuppa Site'!I2072&lt;&gt;0,'Boletins Nuppa Site'!I2072,"NULL")</f>
        <v> 72.00</v>
      </c>
      <c r="G2072" s="30" t="str">
        <f aca="false">IF('Boletins Nuppa Site'!J2072&lt;&gt;0,'Boletins Nuppa Site'!J2072,"NULL")</f>
        <v> 54.00</v>
      </c>
      <c r="H2072" s="30" t="str">
        <f aca="false">IF('Boletins Nuppa Site'!K2072&lt;&gt;0,'Boletins Nuppa Site'!K2072,"NULL")</f>
        <v> 51.00</v>
      </c>
      <c r="I2072" s="0" t="str">
        <f aca="false">"INSERT INTO COTACAO (cot_id, cot_blt_id, cot_pap_id, cot_prc_comum, cot_prc_min, cot_prc_max, cot_prc_med, cot_prc_mediana) VALUES ("&amp;A2072&amp;", "&amp;B2072&amp;", "&amp;C2072&amp;", "&amp;D2072&amp;", "&amp;E2072&amp;", "&amp;F2072&amp;", "&amp;G2072&amp;", "&amp;H2072&amp;");"</f>
        <v>INSERT INTO COTACAO (cot_id, cot_blt_id, cot_pap_id, cot_prc_comum, cot_prc_min, cot_prc_max, cot_prc_med, cot_prc_mediana) VALUES (2071, 90, 1, NULL,  42.00,  72.00,  54.00,  51.00);</v>
      </c>
      <c r="J2072" s="0" t="str">
        <f aca="false">"UPDATE COTACAO SET cot_id = "&amp;A2072&amp;", cot_blt_id = "&amp;B2072&amp;", cot_pap_id = "&amp;C2072&amp;", cot_prc_comum = "&amp;D2072&amp;", cot_prc_min = "&amp;E2072&amp;", cot_prc_max = "&amp;F2072&amp;", cot_prc_med = "&amp;G2072&amp;", cot_prc_mediana = "&amp;H2072&amp;" WHERE cot_id = "&amp;A2072&amp;";"</f>
        <v>UPDATE COTACAO SET cot_id = 2071, cot_blt_id = 90, cot_pap_id = 1, cot_prc_comum = NULL, cot_prc_min =  42.00, cot_prc_max =  72.00, cot_prc_med =  54.00, cot_prc_mediana =  51.00 WHERE cot_id = 2071;</v>
      </c>
    </row>
    <row r="2073" customFormat="false" ht="14.25" hidden="false" customHeight="false" outlineLevel="0" collapsed="false">
      <c r="A2073" s="0" t="n">
        <v>2072</v>
      </c>
      <c r="B2073" s="0" t="n">
        <f aca="false">IF('Boletins Nuppa Site'!A2073&lt;&gt;0,'Boletins Nuppa Site'!A2073,"NULL")</f>
        <v>90</v>
      </c>
      <c r="C2073" s="0" t="n">
        <v>2</v>
      </c>
      <c r="D2073" s="0" t="str">
        <f aca="false">IF('Boletins Nuppa Site'!G2073&lt;&gt;0,'Boletins Nuppa Site'!G2073,"NULL")</f>
        <v> 84.00</v>
      </c>
      <c r="E2073" s="30" t="str">
        <f aca="false">IF('Boletins Nuppa Site'!H2073&lt;&gt;0,'Boletins Nuppa Site'!H2073,"NULL")</f>
        <v> 84.00</v>
      </c>
      <c r="F2073" s="30" t="str">
        <f aca="false">IF('Boletins Nuppa Site'!I2073&lt;&gt;0,'Boletins Nuppa Site'!I2073,"NULL")</f>
        <v> 96.00</v>
      </c>
      <c r="G2073" s="30" t="str">
        <f aca="false">IF('Boletins Nuppa Site'!J2073&lt;&gt;0,'Boletins Nuppa Site'!J2073,"NULL")</f>
        <v> 90.00</v>
      </c>
      <c r="H2073" s="30" t="str">
        <f aca="false">IF('Boletins Nuppa Site'!K2073&lt;&gt;0,'Boletins Nuppa Site'!K2073,"NULL")</f>
        <v> 90.00</v>
      </c>
      <c r="I2073" s="0" t="str">
        <f aca="false">"INSERT INTO COTACAO (cot_id, cot_blt_id, cot_pap_id, cot_prc_comum, cot_prc_min, cot_prc_max, cot_prc_med, cot_prc_mediana) VALUES ("&amp;A2073&amp;", "&amp;B2073&amp;", "&amp;C2073&amp;", "&amp;D2073&amp;", "&amp;E2073&amp;", "&amp;F2073&amp;", "&amp;G2073&amp;", "&amp;H2073&amp;");"</f>
        <v>INSERT INTO COTACAO (cot_id, cot_blt_id, cot_pap_id, cot_prc_comum, cot_prc_min, cot_prc_max, cot_prc_med, cot_prc_mediana) VALUES (2072, 90, 2,  84.00,  84.00,  96.00,  90.00,  90.00);</v>
      </c>
      <c r="J2073" s="0" t="str">
        <f aca="false">"UPDATE COTACAO SET cot_id = "&amp;A2073&amp;", cot_blt_id = "&amp;B2073&amp;", cot_pap_id = "&amp;C2073&amp;", cot_prc_comum = "&amp;D2073&amp;", cot_prc_min = "&amp;E2073&amp;", cot_prc_max = "&amp;F2073&amp;", cot_prc_med = "&amp;G2073&amp;", cot_prc_mediana = "&amp;H2073&amp;" WHERE cot_id = "&amp;A2073&amp;";"</f>
        <v>UPDATE COTACAO SET cot_id = 2072, cot_blt_id = 90, cot_pap_id = 2, cot_prc_comum =  84.00, cot_prc_min =  84.00, cot_prc_max =  96.00, cot_prc_med =  90.00, cot_prc_mediana =  90.00 WHERE cot_id = 2072;</v>
      </c>
    </row>
    <row r="2074" customFormat="false" ht="14.25" hidden="false" customHeight="false" outlineLevel="0" collapsed="false">
      <c r="A2074" s="0" t="n">
        <v>2073</v>
      </c>
      <c r="B2074" s="0" t="n">
        <f aca="false">IF('Boletins Nuppa Site'!A2074&lt;&gt;0,'Boletins Nuppa Site'!A2074,"NULL")</f>
        <v>90</v>
      </c>
      <c r="C2074" s="0" t="n">
        <v>3</v>
      </c>
      <c r="D2074" s="0" t="str">
        <f aca="false">IF('Boletins Nuppa Site'!G2074&lt;&gt;0,'Boletins Nuppa Site'!G2074,"NULL")</f>
        <v>NULL</v>
      </c>
      <c r="E2074" s="30" t="str">
        <f aca="false">IF('Boletins Nuppa Site'!H2074&lt;&gt;0,'Boletins Nuppa Site'!H2074,"NULL")</f>
        <v> 40.00</v>
      </c>
      <c r="F2074" s="30" t="str">
        <f aca="false">IF('Boletins Nuppa Site'!I2074&lt;&gt;0,'Boletins Nuppa Site'!I2074,"NULL")</f>
        <v> 60.00</v>
      </c>
      <c r="G2074" s="30" t="str">
        <f aca="false">IF('Boletins Nuppa Site'!J2074&lt;&gt;0,'Boletins Nuppa Site'!J2074,"NULL")</f>
        <v> 48.25</v>
      </c>
      <c r="H2074" s="30" t="str">
        <f aca="false">IF('Boletins Nuppa Site'!K2074&lt;&gt;0,'Boletins Nuppa Site'!K2074,"NULL")</f>
        <v> 46.50</v>
      </c>
      <c r="I2074" s="0" t="str">
        <f aca="false">"INSERT INTO COTACAO (cot_id, cot_blt_id, cot_pap_id, cot_prc_comum, cot_prc_min, cot_prc_max, cot_prc_med, cot_prc_mediana) VALUES ("&amp;A2074&amp;", "&amp;B2074&amp;", "&amp;C2074&amp;", "&amp;D2074&amp;", "&amp;E2074&amp;", "&amp;F2074&amp;", "&amp;G2074&amp;", "&amp;H2074&amp;");"</f>
        <v>INSERT INTO COTACAO (cot_id, cot_blt_id, cot_pap_id, cot_prc_comum, cot_prc_min, cot_prc_max, cot_prc_med, cot_prc_mediana) VALUES (2073, 90, 3, NULL,  40.00,  60.00,  48.25,  46.50);</v>
      </c>
      <c r="J2074" s="0" t="str">
        <f aca="false">"UPDATE COTACAO SET cot_id = "&amp;A2074&amp;", cot_blt_id = "&amp;B2074&amp;", cot_pap_id = "&amp;C2074&amp;", cot_prc_comum = "&amp;D2074&amp;", cot_prc_min = "&amp;E2074&amp;", cot_prc_max = "&amp;F2074&amp;", cot_prc_med = "&amp;G2074&amp;", cot_prc_mediana = "&amp;H2074&amp;" WHERE cot_id = "&amp;A2074&amp;";"</f>
        <v>UPDATE COTACAO SET cot_id = 2073, cot_blt_id = 90, cot_pap_id = 3, cot_prc_comum = NULL, cot_prc_min =  40.00, cot_prc_max =  60.00, cot_prc_med =  48.25, cot_prc_mediana =  46.50 WHERE cot_id = 2073;</v>
      </c>
    </row>
    <row r="2075" customFormat="false" ht="14.25" hidden="false" customHeight="false" outlineLevel="0" collapsed="false">
      <c r="A2075" s="0" t="n">
        <v>2074</v>
      </c>
      <c r="B2075" s="0" t="n">
        <f aca="false">IF('Boletins Nuppa Site'!A2075&lt;&gt;0,'Boletins Nuppa Site'!A2075,"NULL")</f>
        <v>90</v>
      </c>
      <c r="C2075" s="0" t="n">
        <v>4</v>
      </c>
      <c r="D2075" s="0" t="str">
        <f aca="false">IF('Boletins Nuppa Site'!G2075&lt;&gt;0,'Boletins Nuppa Site'!G2075,"NULL")</f>
        <v> 33.00</v>
      </c>
      <c r="E2075" s="30" t="str">
        <f aca="false">IF('Boletins Nuppa Site'!H2075&lt;&gt;0,'Boletins Nuppa Site'!H2075,"NULL")</f>
        <v> 30.00</v>
      </c>
      <c r="F2075" s="30" t="str">
        <f aca="false">IF('Boletins Nuppa Site'!I2075&lt;&gt;0,'Boletins Nuppa Site'!I2075,"NULL")</f>
        <v> 60.00</v>
      </c>
      <c r="G2075" s="30" t="str">
        <f aca="false">IF('Boletins Nuppa Site'!J2075&lt;&gt;0,'Boletins Nuppa Site'!J2075,"NULL")</f>
        <v> 39.00</v>
      </c>
      <c r="H2075" s="30" t="str">
        <f aca="false">IF('Boletins Nuppa Site'!K2075&lt;&gt;0,'Boletins Nuppa Site'!K2075,"NULL")</f>
        <v> 33.00</v>
      </c>
      <c r="I2075" s="0" t="str">
        <f aca="false">"INSERT INTO COTACAO (cot_id, cot_blt_id, cot_pap_id, cot_prc_comum, cot_prc_min, cot_prc_max, cot_prc_med, cot_prc_mediana) VALUES ("&amp;A2075&amp;", "&amp;B2075&amp;", "&amp;C2075&amp;", "&amp;D2075&amp;", "&amp;E2075&amp;", "&amp;F2075&amp;", "&amp;G2075&amp;", "&amp;H2075&amp;");"</f>
        <v>INSERT INTO COTACAO (cot_id, cot_blt_id, cot_pap_id, cot_prc_comum, cot_prc_min, cot_prc_max, cot_prc_med, cot_prc_mediana) VALUES (2074, 90, 4,  33.00,  30.00,  60.00,  39.00,  33.00);</v>
      </c>
      <c r="J2075" s="0" t="str">
        <f aca="false">"UPDATE COTACAO SET cot_id = "&amp;A2075&amp;", cot_blt_id = "&amp;B2075&amp;", cot_pap_id = "&amp;C2075&amp;", cot_prc_comum = "&amp;D2075&amp;", cot_prc_min = "&amp;E2075&amp;", cot_prc_max = "&amp;F2075&amp;", cot_prc_med = "&amp;G2075&amp;", cot_prc_mediana = "&amp;H2075&amp;" WHERE cot_id = "&amp;A2075&amp;";"</f>
        <v>UPDATE COTACAO SET cot_id = 2074, cot_blt_id = 90, cot_pap_id = 4, cot_prc_comum =  33.00, cot_prc_min =  30.00, cot_prc_max =  60.00, cot_prc_med =  39.00, cot_prc_mediana =  33.00 WHERE cot_id = 2074;</v>
      </c>
    </row>
    <row r="2076" customFormat="false" ht="14.25" hidden="false" customHeight="false" outlineLevel="0" collapsed="false">
      <c r="A2076" s="0" t="n">
        <v>2075</v>
      </c>
      <c r="B2076" s="0" t="n">
        <f aca="false">IF('Boletins Nuppa Site'!A2076&lt;&gt;0,'Boletins Nuppa Site'!A2076,"NULL")</f>
        <v>90</v>
      </c>
      <c r="C2076" s="0" t="n">
        <v>5</v>
      </c>
      <c r="D2076" s="0" t="str">
        <f aca="false">IF('Boletins Nuppa Site'!G2076&lt;&gt;0,'Boletins Nuppa Site'!G2076,"NULL")</f>
        <v> 33.00</v>
      </c>
      <c r="E2076" s="30" t="str">
        <f aca="false">IF('Boletins Nuppa Site'!H2076&lt;&gt;0,'Boletins Nuppa Site'!H2076,"NULL")</f>
        <v> 30.00</v>
      </c>
      <c r="F2076" s="30" t="str">
        <f aca="false">IF('Boletins Nuppa Site'!I2076&lt;&gt;0,'Boletins Nuppa Site'!I2076,"NULL")</f>
        <v> 60.00</v>
      </c>
      <c r="G2076" s="30" t="str">
        <f aca="false">IF('Boletins Nuppa Site'!J2076&lt;&gt;0,'Boletins Nuppa Site'!J2076,"NULL")</f>
        <v> 39.00</v>
      </c>
      <c r="H2076" s="30" t="str">
        <f aca="false">IF('Boletins Nuppa Site'!K2076&lt;&gt;0,'Boletins Nuppa Site'!K2076,"NULL")</f>
        <v> 33.00</v>
      </c>
      <c r="I2076" s="0" t="str">
        <f aca="false">"INSERT INTO COTACAO (cot_id, cot_blt_id, cot_pap_id, cot_prc_comum, cot_prc_min, cot_prc_max, cot_prc_med, cot_prc_mediana) VALUES ("&amp;A2076&amp;", "&amp;B2076&amp;", "&amp;C2076&amp;", "&amp;D2076&amp;", "&amp;E2076&amp;", "&amp;F2076&amp;", "&amp;G2076&amp;", "&amp;H2076&amp;");"</f>
        <v>INSERT INTO COTACAO (cot_id, cot_blt_id, cot_pap_id, cot_prc_comum, cot_prc_min, cot_prc_max, cot_prc_med, cot_prc_mediana) VALUES (2075, 90, 5,  33.00,  30.00,  60.00,  39.00,  33.00);</v>
      </c>
      <c r="J2076" s="0" t="str">
        <f aca="false">"UPDATE COTACAO SET cot_id = "&amp;A2076&amp;", cot_blt_id = "&amp;B2076&amp;", cot_pap_id = "&amp;C2076&amp;", cot_prc_comum = "&amp;D2076&amp;", cot_prc_min = "&amp;E2076&amp;", cot_prc_max = "&amp;F2076&amp;", cot_prc_med = "&amp;G2076&amp;", cot_prc_mediana = "&amp;H2076&amp;" WHERE cot_id = "&amp;A2076&amp;";"</f>
        <v>UPDATE COTACAO SET cot_id = 2075, cot_blt_id = 90, cot_pap_id = 5, cot_prc_comum =  33.00, cot_prc_min =  30.00, cot_prc_max =  60.00, cot_prc_med =  39.00, cot_prc_mediana =  33.00 WHERE cot_id = 2075;</v>
      </c>
    </row>
    <row r="2077" customFormat="false" ht="14.25" hidden="false" customHeight="false" outlineLevel="0" collapsed="false">
      <c r="A2077" s="0" t="n">
        <v>2076</v>
      </c>
      <c r="B2077" s="0" t="n">
        <f aca="false">IF('Boletins Nuppa Site'!A2077&lt;&gt;0,'Boletins Nuppa Site'!A2077,"NULL")</f>
        <v>90</v>
      </c>
      <c r="C2077" s="0" t="n">
        <v>6</v>
      </c>
      <c r="D2077" s="0" t="str">
        <f aca="false">IF('Boletins Nuppa Site'!G2077&lt;&gt;0,'Boletins Nuppa Site'!G2077,"NULL")</f>
        <v> 60.00</v>
      </c>
      <c r="E2077" s="30" t="str">
        <f aca="false">IF('Boletins Nuppa Site'!H2077&lt;&gt;0,'Boletins Nuppa Site'!H2077,"NULL")</f>
        <v> 60.00</v>
      </c>
      <c r="F2077" s="30" t="str">
        <f aca="false">IF('Boletins Nuppa Site'!I2077&lt;&gt;0,'Boletins Nuppa Site'!I2077,"NULL")</f>
        <v> 72.00</v>
      </c>
      <c r="G2077" s="30" t="str">
        <f aca="false">IF('Boletins Nuppa Site'!J2077&lt;&gt;0,'Boletins Nuppa Site'!J2077,"NULL")</f>
        <v> 64.50</v>
      </c>
      <c r="H2077" s="30" t="str">
        <f aca="false">IF('Boletins Nuppa Site'!K2077&lt;&gt;0,'Boletins Nuppa Site'!K2077,"NULL")</f>
        <v> 63.00</v>
      </c>
      <c r="I2077" s="0" t="str">
        <f aca="false">"INSERT INTO COTACAO (cot_id, cot_blt_id, cot_pap_id, cot_prc_comum, cot_prc_min, cot_prc_max, cot_prc_med, cot_prc_mediana) VALUES ("&amp;A2077&amp;", "&amp;B2077&amp;", "&amp;C2077&amp;", "&amp;D2077&amp;", "&amp;E2077&amp;", "&amp;F2077&amp;", "&amp;G2077&amp;", "&amp;H2077&amp;");"</f>
        <v>INSERT INTO COTACAO (cot_id, cot_blt_id, cot_pap_id, cot_prc_comum, cot_prc_min, cot_prc_max, cot_prc_med, cot_prc_mediana) VALUES (2076, 90, 6,  60.00,  60.00,  72.00,  64.50,  63.00);</v>
      </c>
      <c r="J2077" s="0" t="str">
        <f aca="false">"UPDATE COTACAO SET cot_id = "&amp;A2077&amp;", cot_blt_id = "&amp;B2077&amp;", cot_pap_id = "&amp;C2077&amp;", cot_prc_comum = "&amp;D2077&amp;", cot_prc_min = "&amp;E2077&amp;", cot_prc_max = "&amp;F2077&amp;", cot_prc_med = "&amp;G2077&amp;", cot_prc_mediana = "&amp;H2077&amp;" WHERE cot_id = "&amp;A2077&amp;";"</f>
        <v>UPDATE COTACAO SET cot_id = 2076, cot_blt_id = 90, cot_pap_id = 6, cot_prc_comum =  60.00, cot_prc_min =  60.00, cot_prc_max =  72.00, cot_prc_med =  64.50, cot_prc_mediana =  63.00 WHERE cot_id = 2076;</v>
      </c>
    </row>
    <row r="2078" customFormat="false" ht="14.25" hidden="false" customHeight="false" outlineLevel="0" collapsed="false">
      <c r="A2078" s="0" t="n">
        <v>2077</v>
      </c>
      <c r="B2078" s="0" t="n">
        <f aca="false">IF('Boletins Nuppa Site'!A2078&lt;&gt;0,'Boletins Nuppa Site'!A2078,"NULL")</f>
        <v>90</v>
      </c>
      <c r="C2078" s="0" t="n">
        <v>7</v>
      </c>
      <c r="D2078" s="0" t="str">
        <f aca="false">IF('Boletins Nuppa Site'!G2078&lt;&gt;0,'Boletins Nuppa Site'!G2078,"NULL")</f>
        <v> 96.00</v>
      </c>
      <c r="E2078" s="30" t="str">
        <f aca="false">IF('Boletins Nuppa Site'!H2078&lt;&gt;0,'Boletins Nuppa Site'!H2078,"NULL")</f>
        <v> 96.00</v>
      </c>
      <c r="F2078" s="30" t="str">
        <f aca="false">IF('Boletins Nuppa Site'!I2078&lt;&gt;0,'Boletins Nuppa Site'!I2078,"NULL")</f>
        <v> 96.00</v>
      </c>
      <c r="G2078" s="30" t="str">
        <f aca="false">IF('Boletins Nuppa Site'!J2078&lt;&gt;0,'Boletins Nuppa Site'!J2078,"NULL")</f>
        <v> 96.00</v>
      </c>
      <c r="H2078" s="30" t="str">
        <f aca="false">IF('Boletins Nuppa Site'!K2078&lt;&gt;0,'Boletins Nuppa Site'!K2078,"NULL")</f>
        <v> 96.00</v>
      </c>
      <c r="I2078" s="0" t="str">
        <f aca="false">"INSERT INTO COTACAO (cot_id, cot_blt_id, cot_pap_id, cot_prc_comum, cot_prc_min, cot_prc_max, cot_prc_med, cot_prc_mediana) VALUES ("&amp;A2078&amp;", "&amp;B2078&amp;", "&amp;C2078&amp;", "&amp;D2078&amp;", "&amp;E2078&amp;", "&amp;F2078&amp;", "&amp;G2078&amp;", "&amp;H2078&amp;");"</f>
        <v>INSERT INTO COTACAO (cot_id, cot_blt_id, cot_pap_id, cot_prc_comum, cot_prc_min, cot_prc_max, cot_prc_med, cot_prc_mediana) VALUES (2077, 90, 7,  96.00,  96.00,  96.00,  96.00,  96.00);</v>
      </c>
      <c r="J2078" s="0" t="str">
        <f aca="false">"UPDATE COTACAO SET cot_id = "&amp;A2078&amp;", cot_blt_id = "&amp;B2078&amp;", cot_pap_id = "&amp;C2078&amp;", cot_prc_comum = "&amp;D2078&amp;", cot_prc_min = "&amp;E2078&amp;", cot_prc_max = "&amp;F2078&amp;", cot_prc_med = "&amp;G2078&amp;", cot_prc_mediana = "&amp;H2078&amp;" WHERE cot_id = "&amp;A2078&amp;";"</f>
        <v>UPDATE COTACAO SET cot_id = 2077, cot_blt_id = 90, cot_pap_id = 7, cot_prc_comum =  96.00, cot_prc_min =  96.00, cot_prc_max =  96.00, cot_prc_med =  96.00, cot_prc_mediana =  96.00 WHERE cot_id = 2077;</v>
      </c>
    </row>
    <row r="2079" customFormat="false" ht="14.25" hidden="false" customHeight="false" outlineLevel="0" collapsed="false">
      <c r="A2079" s="0" t="n">
        <v>2078</v>
      </c>
      <c r="B2079" s="0" t="n">
        <f aca="false">IF('Boletins Nuppa Site'!A2079&lt;&gt;0,'Boletins Nuppa Site'!A2079,"NULL")</f>
        <v>90</v>
      </c>
      <c r="C2079" s="0" t="n">
        <v>8</v>
      </c>
      <c r="D2079" s="0" t="str">
        <f aca="false">IF('Boletins Nuppa Site'!G2079&lt;&gt;0,'Boletins Nuppa Site'!G2079,"NULL")</f>
        <v> 72.00</v>
      </c>
      <c r="E2079" s="30" t="str">
        <f aca="false">IF('Boletins Nuppa Site'!H2079&lt;&gt;0,'Boletins Nuppa Site'!H2079,"NULL")</f>
        <v> 72.00</v>
      </c>
      <c r="F2079" s="30" t="str">
        <f aca="false">IF('Boletins Nuppa Site'!I2079&lt;&gt;0,'Boletins Nuppa Site'!I2079,"NULL")</f>
        <v> 96.00</v>
      </c>
      <c r="G2079" s="30" t="str">
        <f aca="false">IF('Boletins Nuppa Site'!J2079&lt;&gt;0,'Boletins Nuppa Site'!J2079,"NULL")</f>
        <v> 82.50</v>
      </c>
      <c r="H2079" s="30" t="str">
        <f aca="false">IF('Boletins Nuppa Site'!K2079&lt;&gt;0,'Boletins Nuppa Site'!K2079,"NULL")</f>
        <v> 81.00</v>
      </c>
      <c r="I2079" s="0" t="str">
        <f aca="false">"INSERT INTO COTACAO (cot_id, cot_blt_id, cot_pap_id, cot_prc_comum, cot_prc_min, cot_prc_max, cot_prc_med, cot_prc_mediana) VALUES ("&amp;A2079&amp;", "&amp;B2079&amp;", "&amp;C2079&amp;", "&amp;D2079&amp;", "&amp;E2079&amp;", "&amp;F2079&amp;", "&amp;G2079&amp;", "&amp;H2079&amp;");"</f>
        <v>INSERT INTO COTACAO (cot_id, cot_blt_id, cot_pap_id, cot_prc_comum, cot_prc_min, cot_prc_max, cot_prc_med, cot_prc_mediana) VALUES (2078, 90, 8,  72.00,  72.00,  96.00,  82.50,  81.00);</v>
      </c>
      <c r="J2079" s="0" t="str">
        <f aca="false">"UPDATE COTACAO SET cot_id = "&amp;A2079&amp;", cot_blt_id = "&amp;B2079&amp;", cot_pap_id = "&amp;C2079&amp;", cot_prc_comum = "&amp;D2079&amp;", cot_prc_min = "&amp;E2079&amp;", cot_prc_max = "&amp;F2079&amp;", cot_prc_med = "&amp;G2079&amp;", cot_prc_mediana = "&amp;H2079&amp;" WHERE cot_id = "&amp;A2079&amp;";"</f>
        <v>UPDATE COTACAO SET cot_id = 2078, cot_blt_id = 90, cot_pap_id = 8, cot_prc_comum =  72.00, cot_prc_min =  72.00, cot_prc_max =  96.00, cot_prc_med =  82.50, cot_prc_mediana =  81.00 WHERE cot_id = 2078;</v>
      </c>
    </row>
    <row r="2080" customFormat="false" ht="14.25" hidden="false" customHeight="false" outlineLevel="0" collapsed="false">
      <c r="A2080" s="0" t="n">
        <v>2079</v>
      </c>
      <c r="B2080" s="0" t="n">
        <f aca="false">IF('Boletins Nuppa Site'!A2080&lt;&gt;0,'Boletins Nuppa Site'!A2080,"NULL")</f>
        <v>90</v>
      </c>
      <c r="C2080" s="0" t="n">
        <v>9</v>
      </c>
      <c r="D2080" s="0" t="str">
        <f aca="false">IF('Boletins Nuppa Site'!G2080&lt;&gt;0,'Boletins Nuppa Site'!G2080,"NULL")</f>
        <v> 24.00</v>
      </c>
      <c r="E2080" s="30" t="str">
        <f aca="false">IF('Boletins Nuppa Site'!H2080&lt;&gt;0,'Boletins Nuppa Site'!H2080,"NULL")</f>
        <v> 24.00</v>
      </c>
      <c r="F2080" s="30" t="str">
        <f aca="false">IF('Boletins Nuppa Site'!I2080&lt;&gt;0,'Boletins Nuppa Site'!I2080,"NULL")</f>
        <v> 30.00</v>
      </c>
      <c r="G2080" s="30" t="str">
        <f aca="false">IF('Boletins Nuppa Site'!J2080&lt;&gt;0,'Boletins Nuppa Site'!J2080,"NULL")</f>
        <v> 27.00</v>
      </c>
      <c r="H2080" s="30" t="str">
        <f aca="false">IF('Boletins Nuppa Site'!K2080&lt;&gt;0,'Boletins Nuppa Site'!K2080,"NULL")</f>
        <v> 27.00</v>
      </c>
      <c r="I2080" s="0" t="str">
        <f aca="false">"INSERT INTO COTACAO (cot_id, cot_blt_id, cot_pap_id, cot_prc_comum, cot_prc_min, cot_prc_max, cot_prc_med, cot_prc_mediana) VALUES ("&amp;A2080&amp;", "&amp;B2080&amp;", "&amp;C2080&amp;", "&amp;D2080&amp;", "&amp;E2080&amp;", "&amp;F2080&amp;", "&amp;G2080&amp;", "&amp;H2080&amp;");"</f>
        <v>INSERT INTO COTACAO (cot_id, cot_blt_id, cot_pap_id, cot_prc_comum, cot_prc_min, cot_prc_max, cot_prc_med, cot_prc_mediana) VALUES (2079, 90, 9,  24.00,  24.00,  30.00,  27.00,  27.00);</v>
      </c>
      <c r="J2080" s="0" t="str">
        <f aca="false">"UPDATE COTACAO SET cot_id = "&amp;A2080&amp;", cot_blt_id = "&amp;B2080&amp;", cot_pap_id = "&amp;C2080&amp;", cot_prc_comum = "&amp;D2080&amp;", cot_prc_min = "&amp;E2080&amp;", cot_prc_max = "&amp;F2080&amp;", cot_prc_med = "&amp;G2080&amp;", cot_prc_mediana = "&amp;H2080&amp;" WHERE cot_id = "&amp;A2080&amp;";"</f>
        <v>UPDATE COTACAO SET cot_id = 2079, cot_blt_id = 90, cot_pap_id = 9, cot_prc_comum =  24.00, cot_prc_min =  24.00, cot_prc_max =  30.00, cot_prc_med =  27.00, cot_prc_mediana =  27.00 WHERE cot_id = 2079;</v>
      </c>
    </row>
    <row r="2081" customFormat="false" ht="14.25" hidden="false" customHeight="false" outlineLevel="0" collapsed="false">
      <c r="A2081" s="0" t="n">
        <v>2080</v>
      </c>
      <c r="B2081" s="0" t="n">
        <f aca="false">IF('Boletins Nuppa Site'!A2081&lt;&gt;0,'Boletins Nuppa Site'!A2081,"NULL")</f>
        <v>90</v>
      </c>
      <c r="C2081" s="0" t="n">
        <v>10</v>
      </c>
      <c r="D2081" s="0" t="str">
        <f aca="false">IF('Boletins Nuppa Site'!G2081&lt;&gt;0,'Boletins Nuppa Site'!G2081,"NULL")</f>
        <v> 96.00</v>
      </c>
      <c r="E2081" s="30" t="str">
        <f aca="false">IF('Boletins Nuppa Site'!H2081&lt;&gt;0,'Boletins Nuppa Site'!H2081,"NULL")</f>
        <v> 84.00</v>
      </c>
      <c r="F2081" s="30" t="str">
        <f aca="false">IF('Boletins Nuppa Site'!I2081&lt;&gt;0,'Boletins Nuppa Site'!I2081,"NULL")</f>
        <v> 96.00</v>
      </c>
      <c r="G2081" s="30" t="str">
        <f aca="false">IF('Boletins Nuppa Site'!J2081&lt;&gt;0,'Boletins Nuppa Site'!J2081,"NULL")</f>
        <v> 91.50</v>
      </c>
      <c r="H2081" s="30" t="str">
        <f aca="false">IF('Boletins Nuppa Site'!K2081&lt;&gt;0,'Boletins Nuppa Site'!K2081,"NULL")</f>
        <v> 93.00</v>
      </c>
      <c r="I2081" s="0" t="str">
        <f aca="false">"INSERT INTO COTACAO (cot_id, cot_blt_id, cot_pap_id, cot_prc_comum, cot_prc_min, cot_prc_max, cot_prc_med, cot_prc_mediana) VALUES ("&amp;A2081&amp;", "&amp;B2081&amp;", "&amp;C2081&amp;", "&amp;D2081&amp;", "&amp;E2081&amp;", "&amp;F2081&amp;", "&amp;G2081&amp;", "&amp;H2081&amp;");"</f>
        <v>INSERT INTO COTACAO (cot_id, cot_blt_id, cot_pap_id, cot_prc_comum, cot_prc_min, cot_prc_max, cot_prc_med, cot_prc_mediana) VALUES (2080, 90, 10,  96.00,  84.00,  96.00,  91.50,  93.00);</v>
      </c>
      <c r="J2081" s="0" t="str">
        <f aca="false">"UPDATE COTACAO SET cot_id = "&amp;A2081&amp;", cot_blt_id = "&amp;B2081&amp;", cot_pap_id = "&amp;C2081&amp;", cot_prc_comum = "&amp;D2081&amp;", cot_prc_min = "&amp;E2081&amp;", cot_prc_max = "&amp;F2081&amp;", cot_prc_med = "&amp;G2081&amp;", cot_prc_mediana = "&amp;H2081&amp;" WHERE cot_id = "&amp;A2081&amp;";"</f>
        <v>UPDATE COTACAO SET cot_id = 2080, cot_blt_id = 90, cot_pap_id = 10, cot_prc_comum =  96.00, cot_prc_min =  84.00, cot_prc_max =  96.00, cot_prc_med =  91.50, cot_prc_mediana =  93.00 WHERE cot_id = 2080;</v>
      </c>
    </row>
    <row r="2082" customFormat="false" ht="14.25" hidden="false" customHeight="false" outlineLevel="0" collapsed="false">
      <c r="A2082" s="0" t="n">
        <v>2081</v>
      </c>
      <c r="B2082" s="0" t="n">
        <f aca="false">IF('Boletins Nuppa Site'!A2082&lt;&gt;0,'Boletins Nuppa Site'!A2082,"NULL")</f>
        <v>90</v>
      </c>
      <c r="C2082" s="0" t="n">
        <v>11</v>
      </c>
      <c r="D2082" s="0" t="str">
        <f aca="false">IF('Boletins Nuppa Site'!G2082&lt;&gt;0,'Boletins Nuppa Site'!G2082,"NULL")</f>
        <v> 30.00</v>
      </c>
      <c r="E2082" s="30" t="str">
        <f aca="false">IF('Boletins Nuppa Site'!H2082&lt;&gt;0,'Boletins Nuppa Site'!H2082,"NULL")</f>
        <v> 33.00</v>
      </c>
      <c r="F2082" s="30" t="str">
        <f aca="false">IF('Boletins Nuppa Site'!I2082&lt;&gt;0,'Boletins Nuppa Site'!I2082,"NULL")</f>
        <v> 96.00</v>
      </c>
      <c r="G2082" s="30" t="str">
        <f aca="false">IF('Boletins Nuppa Site'!J2082&lt;&gt;0,'Boletins Nuppa Site'!J2082,"NULL")</f>
        <v> 48.00</v>
      </c>
      <c r="H2082" s="30" t="str">
        <f aca="false">IF('Boletins Nuppa Site'!K2082&lt;&gt;0,'Boletins Nuppa Site'!K2082,"NULL")</f>
        <v> 33.00</v>
      </c>
      <c r="I2082" s="0" t="str">
        <f aca="false">"INSERT INTO COTACAO (cot_id, cot_blt_id, cot_pap_id, cot_prc_comum, cot_prc_min, cot_prc_max, cot_prc_med, cot_prc_mediana) VALUES ("&amp;A2082&amp;", "&amp;B2082&amp;", "&amp;C2082&amp;", "&amp;D2082&amp;", "&amp;E2082&amp;", "&amp;F2082&amp;", "&amp;G2082&amp;", "&amp;H2082&amp;");"</f>
        <v>INSERT INTO COTACAO (cot_id, cot_blt_id, cot_pap_id, cot_prc_comum, cot_prc_min, cot_prc_max, cot_prc_med, cot_prc_mediana) VALUES (2081, 90, 11,  30.00,  33.00,  96.00,  48.00,  33.00);</v>
      </c>
      <c r="J2082" s="0" t="str">
        <f aca="false">"UPDATE COTACAO SET cot_id = "&amp;A2082&amp;", cot_blt_id = "&amp;B2082&amp;", cot_pap_id = "&amp;C2082&amp;", cot_prc_comum = "&amp;D2082&amp;", cot_prc_min = "&amp;E2082&amp;", cot_prc_max = "&amp;F2082&amp;", cot_prc_med = "&amp;G2082&amp;", cot_prc_mediana = "&amp;H2082&amp;" WHERE cot_id = "&amp;A2082&amp;";"</f>
        <v>UPDATE COTACAO SET cot_id = 2081, cot_blt_id = 90, cot_pap_id = 11, cot_prc_comum =  30.00, cot_prc_min =  33.00, cot_prc_max =  96.00, cot_prc_med =  48.00, cot_prc_mediana =  33.00 WHERE cot_id = 2081;</v>
      </c>
    </row>
    <row r="2083" customFormat="false" ht="14.25" hidden="false" customHeight="false" outlineLevel="0" collapsed="false">
      <c r="A2083" s="0" t="n">
        <v>2082</v>
      </c>
      <c r="B2083" s="0" t="n">
        <f aca="false">IF('Boletins Nuppa Site'!A2083&lt;&gt;0,'Boletins Nuppa Site'!A2083,"NULL")</f>
        <v>90</v>
      </c>
      <c r="C2083" s="0" t="n">
        <v>12</v>
      </c>
      <c r="D2083" s="0" t="str">
        <f aca="false">IF('Boletins Nuppa Site'!G2083&lt;&gt;0,'Boletins Nuppa Site'!G2083,"NULL")</f>
        <v> 72.00</v>
      </c>
      <c r="E2083" s="30" t="str">
        <f aca="false">IF('Boletins Nuppa Site'!H2083&lt;&gt;0,'Boletins Nuppa Site'!H2083,"NULL")</f>
        <v> 72.00</v>
      </c>
      <c r="F2083" s="30" t="str">
        <f aca="false">IF('Boletins Nuppa Site'!I2083&lt;&gt;0,'Boletins Nuppa Site'!I2083,"NULL")</f>
        <v> 84.00</v>
      </c>
      <c r="G2083" s="30" t="str">
        <f aca="false">IF('Boletins Nuppa Site'!J2083&lt;&gt;0,'Boletins Nuppa Site'!J2083,"NULL")</f>
        <v> 76.50</v>
      </c>
      <c r="H2083" s="30" t="str">
        <f aca="false">IF('Boletins Nuppa Site'!K2083&lt;&gt;0,'Boletins Nuppa Site'!K2083,"NULL")</f>
        <v> 75.00</v>
      </c>
      <c r="I2083" s="0" t="str">
        <f aca="false">"INSERT INTO COTACAO (cot_id, cot_blt_id, cot_pap_id, cot_prc_comum, cot_prc_min, cot_prc_max, cot_prc_med, cot_prc_mediana) VALUES ("&amp;A2083&amp;", "&amp;B2083&amp;", "&amp;C2083&amp;", "&amp;D2083&amp;", "&amp;E2083&amp;", "&amp;F2083&amp;", "&amp;G2083&amp;", "&amp;H2083&amp;");"</f>
        <v>INSERT INTO COTACAO (cot_id, cot_blt_id, cot_pap_id, cot_prc_comum, cot_prc_min, cot_prc_max, cot_prc_med, cot_prc_mediana) VALUES (2082, 90, 12,  72.00,  72.00,  84.00,  76.50,  75.00);</v>
      </c>
      <c r="J2083" s="0" t="str">
        <f aca="false">"UPDATE COTACAO SET cot_id = "&amp;A2083&amp;", cot_blt_id = "&amp;B2083&amp;", cot_pap_id = "&amp;C2083&amp;", cot_prc_comum = "&amp;D2083&amp;", cot_prc_min = "&amp;E2083&amp;", cot_prc_max = "&amp;F2083&amp;", cot_prc_med = "&amp;G2083&amp;", cot_prc_mediana = "&amp;H2083&amp;" WHERE cot_id = "&amp;A2083&amp;";"</f>
        <v>UPDATE COTACAO SET cot_id = 2082, cot_blt_id = 90, cot_pap_id = 12, cot_prc_comum =  72.00, cot_prc_min =  72.00, cot_prc_max =  84.00, cot_prc_med =  76.50, cot_prc_mediana =  75.00 WHERE cot_id = 2082;</v>
      </c>
    </row>
    <row r="2084" customFormat="false" ht="14.25" hidden="false" customHeight="false" outlineLevel="0" collapsed="false">
      <c r="A2084" s="0" t="n">
        <v>2083</v>
      </c>
      <c r="B2084" s="0" t="n">
        <f aca="false">IF('Boletins Nuppa Site'!A2084&lt;&gt;0,'Boletins Nuppa Site'!A2084,"NULL")</f>
        <v>90</v>
      </c>
      <c r="C2084" s="0" t="n">
        <v>13</v>
      </c>
      <c r="D2084" s="0" t="str">
        <f aca="false">IF('Boletins Nuppa Site'!G2084&lt;&gt;0,'Boletins Nuppa Site'!G2084,"NULL")</f>
        <v> 60.00</v>
      </c>
      <c r="E2084" s="30" t="str">
        <f aca="false">IF('Boletins Nuppa Site'!H2084&lt;&gt;0,'Boletins Nuppa Site'!H2084,"NULL")</f>
        <v> 48.00</v>
      </c>
      <c r="F2084" s="30" t="str">
        <f aca="false">IF('Boletins Nuppa Site'!I2084&lt;&gt;0,'Boletins Nuppa Site'!I2084,"NULL")</f>
        <v> 72.00</v>
      </c>
      <c r="G2084" s="30" t="str">
        <f aca="false">IF('Boletins Nuppa Site'!J2084&lt;&gt;0,'Boletins Nuppa Site'!J2084,"NULL")</f>
        <v> 60.00</v>
      </c>
      <c r="H2084" s="30" t="str">
        <f aca="false">IF('Boletins Nuppa Site'!K2084&lt;&gt;0,'Boletins Nuppa Site'!K2084,"NULL")</f>
        <v> 60.00</v>
      </c>
      <c r="I2084" s="0" t="str">
        <f aca="false">"INSERT INTO COTACAO (cot_id, cot_blt_id, cot_pap_id, cot_prc_comum, cot_prc_min, cot_prc_max, cot_prc_med, cot_prc_mediana) VALUES ("&amp;A2084&amp;", "&amp;B2084&amp;", "&amp;C2084&amp;", "&amp;D2084&amp;", "&amp;E2084&amp;", "&amp;F2084&amp;", "&amp;G2084&amp;", "&amp;H2084&amp;");"</f>
        <v>INSERT INTO COTACAO (cot_id, cot_blt_id, cot_pap_id, cot_prc_comum, cot_prc_min, cot_prc_max, cot_prc_med, cot_prc_mediana) VALUES (2083, 90, 13,  60.00,  48.00,  72.00,  60.00,  60.00);</v>
      </c>
      <c r="J2084" s="0" t="str">
        <f aca="false">"UPDATE COTACAO SET cot_id = "&amp;A2084&amp;", cot_blt_id = "&amp;B2084&amp;", cot_pap_id = "&amp;C2084&amp;", cot_prc_comum = "&amp;D2084&amp;", cot_prc_min = "&amp;E2084&amp;", cot_prc_max = "&amp;F2084&amp;", cot_prc_med = "&amp;G2084&amp;", cot_prc_mediana = "&amp;H2084&amp;" WHERE cot_id = "&amp;A2084&amp;";"</f>
        <v>UPDATE COTACAO SET cot_id = 2083, cot_blt_id = 90, cot_pap_id = 13, cot_prc_comum =  60.00, cot_prc_min =  48.00, cot_prc_max =  72.00, cot_prc_med =  60.00, cot_prc_mediana =  60.00 WHERE cot_id = 2083;</v>
      </c>
    </row>
    <row r="2085" customFormat="false" ht="14.25" hidden="false" customHeight="false" outlineLevel="0" collapsed="false">
      <c r="A2085" s="0" t="n">
        <v>2084</v>
      </c>
      <c r="B2085" s="0" t="n">
        <f aca="false">IF('Boletins Nuppa Site'!A2085&lt;&gt;0,'Boletins Nuppa Site'!A2085,"NULL")</f>
        <v>90</v>
      </c>
      <c r="C2085" s="0" t="n">
        <v>14</v>
      </c>
      <c r="D2085" s="0" t="str">
        <f aca="false">IF('Boletins Nuppa Site'!G2085&lt;&gt;0,'Boletins Nuppa Site'!G2085,"NULL")</f>
        <v>NULL</v>
      </c>
      <c r="E2085" s="30" t="str">
        <f aca="false">IF('Boletins Nuppa Site'!H2085&lt;&gt;0,'Boletins Nuppa Site'!H2085,"NULL")</f>
        <v> 60.00</v>
      </c>
      <c r="F2085" s="30" t="str">
        <f aca="false">IF('Boletins Nuppa Site'!I2085&lt;&gt;0,'Boletins Nuppa Site'!I2085,"NULL")</f>
        <v> 84.00</v>
      </c>
      <c r="G2085" s="30" t="str">
        <f aca="false">IF('Boletins Nuppa Site'!J2085&lt;&gt;0,'Boletins Nuppa Site'!J2085,"NULL")</f>
        <v> 73.50</v>
      </c>
      <c r="H2085" s="30" t="str">
        <f aca="false">IF('Boletins Nuppa Site'!K2085&lt;&gt;0,'Boletins Nuppa Site'!K2085,"NULL")</f>
        <v> 75.00</v>
      </c>
      <c r="I2085" s="0" t="str">
        <f aca="false">"INSERT INTO COTACAO (cot_id, cot_blt_id, cot_pap_id, cot_prc_comum, cot_prc_min, cot_prc_max, cot_prc_med, cot_prc_mediana) VALUES ("&amp;A2085&amp;", "&amp;B2085&amp;", "&amp;C2085&amp;", "&amp;D2085&amp;", "&amp;E2085&amp;", "&amp;F2085&amp;", "&amp;G2085&amp;", "&amp;H2085&amp;");"</f>
        <v>INSERT INTO COTACAO (cot_id, cot_blt_id, cot_pap_id, cot_prc_comum, cot_prc_min, cot_prc_max, cot_prc_med, cot_prc_mediana) VALUES (2084, 90, 14, NULL,  60.00,  84.00,  73.50,  75.00);</v>
      </c>
      <c r="J2085" s="0" t="str">
        <f aca="false">"UPDATE COTACAO SET cot_id = "&amp;A2085&amp;", cot_blt_id = "&amp;B2085&amp;", cot_pap_id = "&amp;C2085&amp;", cot_prc_comum = "&amp;D2085&amp;", cot_prc_min = "&amp;E2085&amp;", cot_prc_max = "&amp;F2085&amp;", cot_prc_med = "&amp;G2085&amp;", cot_prc_mediana = "&amp;H2085&amp;" WHERE cot_id = "&amp;A2085&amp;";"</f>
        <v>UPDATE COTACAO SET cot_id = 2084, cot_blt_id = 90, cot_pap_id = 14, cot_prc_comum = NULL, cot_prc_min =  60.00, cot_prc_max =  84.00, cot_prc_med =  73.50, cot_prc_mediana =  75.00 WHERE cot_id = 2084;</v>
      </c>
    </row>
    <row r="2086" customFormat="false" ht="14.25" hidden="false" customHeight="false" outlineLevel="0" collapsed="false">
      <c r="A2086" s="0" t="n">
        <v>2085</v>
      </c>
      <c r="B2086" s="0" t="n">
        <f aca="false">IF('Boletins Nuppa Site'!A2086&lt;&gt;0,'Boletins Nuppa Site'!A2086,"NULL")</f>
        <v>90</v>
      </c>
      <c r="C2086" s="0" t="n">
        <v>15</v>
      </c>
      <c r="D2086" s="0" t="str">
        <f aca="false">IF('Boletins Nuppa Site'!G2086&lt;&gt;0,'Boletins Nuppa Site'!G2086,"NULL")</f>
        <v> 48.00</v>
      </c>
      <c r="E2086" s="30" t="str">
        <f aca="false">IF('Boletins Nuppa Site'!H2086&lt;&gt;0,'Boletins Nuppa Site'!H2086,"NULL")</f>
        <v> 48.00</v>
      </c>
      <c r="F2086" s="30" t="str">
        <f aca="false">IF('Boletins Nuppa Site'!I2086&lt;&gt;0,'Boletins Nuppa Site'!I2086,"NULL")</f>
        <v> 60.00</v>
      </c>
      <c r="G2086" s="30" t="str">
        <f aca="false">IF('Boletins Nuppa Site'!J2086&lt;&gt;0,'Boletins Nuppa Site'!J2086,"NULL")</f>
        <v> 54.00</v>
      </c>
      <c r="H2086" s="30" t="str">
        <f aca="false">IF('Boletins Nuppa Site'!K2086&lt;&gt;0,'Boletins Nuppa Site'!K2086,"NULL")</f>
        <v> 54.00</v>
      </c>
      <c r="I2086" s="0" t="str">
        <f aca="false">"INSERT INTO COTACAO (cot_id, cot_blt_id, cot_pap_id, cot_prc_comum, cot_prc_min, cot_prc_max, cot_prc_med, cot_prc_mediana) VALUES ("&amp;A2086&amp;", "&amp;B2086&amp;", "&amp;C2086&amp;", "&amp;D2086&amp;", "&amp;E2086&amp;", "&amp;F2086&amp;", "&amp;G2086&amp;", "&amp;H2086&amp;");"</f>
        <v>INSERT INTO COTACAO (cot_id, cot_blt_id, cot_pap_id, cot_prc_comum, cot_prc_min, cot_prc_max, cot_prc_med, cot_prc_mediana) VALUES (2085, 90, 15,  48.00,  48.00,  60.00,  54.00,  54.00);</v>
      </c>
      <c r="J2086" s="0" t="str">
        <f aca="false">"UPDATE COTACAO SET cot_id = "&amp;A2086&amp;", cot_blt_id = "&amp;B2086&amp;", cot_pap_id = "&amp;C2086&amp;", cot_prc_comum = "&amp;D2086&amp;", cot_prc_min = "&amp;E2086&amp;", cot_prc_max = "&amp;F2086&amp;", cot_prc_med = "&amp;G2086&amp;", cot_prc_mediana = "&amp;H2086&amp;" WHERE cot_id = "&amp;A2086&amp;";"</f>
        <v>UPDATE COTACAO SET cot_id = 2085, cot_blt_id = 90, cot_pap_id = 15, cot_prc_comum =  48.00, cot_prc_min =  48.00, cot_prc_max =  60.00, cot_prc_med =  54.00, cot_prc_mediana =  54.00 WHERE cot_id = 2085;</v>
      </c>
    </row>
    <row r="2087" customFormat="false" ht="14.25" hidden="false" customHeight="false" outlineLevel="0" collapsed="false">
      <c r="A2087" s="0" t="n">
        <v>2086</v>
      </c>
      <c r="B2087" s="0" t="n">
        <f aca="false">IF('Boletins Nuppa Site'!A2087&lt;&gt;0,'Boletins Nuppa Site'!A2087,"NULL")</f>
        <v>90</v>
      </c>
      <c r="C2087" s="0" t="n">
        <v>16</v>
      </c>
      <c r="D2087" s="0" t="str">
        <f aca="false">IF('Boletins Nuppa Site'!G2087&lt;&gt;0,'Boletins Nuppa Site'!G2087,"NULL")</f>
        <v> 54.00</v>
      </c>
      <c r="E2087" s="30" t="str">
        <f aca="false">IF('Boletins Nuppa Site'!H2087&lt;&gt;0,'Boletins Nuppa Site'!H2087,"NULL")</f>
        <v> 54.00</v>
      </c>
      <c r="F2087" s="30" t="str">
        <f aca="false">IF('Boletins Nuppa Site'!I2087&lt;&gt;0,'Boletins Nuppa Site'!I2087,"NULL")</f>
        <v> 60.00</v>
      </c>
      <c r="G2087" s="30" t="str">
        <f aca="false">IF('Boletins Nuppa Site'!J2087&lt;&gt;0,'Boletins Nuppa Site'!J2087,"NULL")</f>
        <v> 55.50</v>
      </c>
      <c r="H2087" s="30" t="str">
        <f aca="false">IF('Boletins Nuppa Site'!K2087&lt;&gt;0,'Boletins Nuppa Site'!K2087,"NULL")</f>
        <v> 54.00</v>
      </c>
      <c r="I2087" s="0" t="str">
        <f aca="false">"INSERT INTO COTACAO (cot_id, cot_blt_id, cot_pap_id, cot_prc_comum, cot_prc_min, cot_prc_max, cot_prc_med, cot_prc_mediana) VALUES ("&amp;A2087&amp;", "&amp;B2087&amp;", "&amp;C2087&amp;", "&amp;D2087&amp;", "&amp;E2087&amp;", "&amp;F2087&amp;", "&amp;G2087&amp;", "&amp;H2087&amp;");"</f>
        <v>INSERT INTO COTACAO (cot_id, cot_blt_id, cot_pap_id, cot_prc_comum, cot_prc_min, cot_prc_max, cot_prc_med, cot_prc_mediana) VALUES (2086, 90, 16,  54.00,  54.00,  60.00,  55.50,  54.00);</v>
      </c>
      <c r="J2087" s="0" t="str">
        <f aca="false">"UPDATE COTACAO SET cot_id = "&amp;A2087&amp;", cot_blt_id = "&amp;B2087&amp;", cot_pap_id = "&amp;C2087&amp;", cot_prc_comum = "&amp;D2087&amp;", cot_prc_min = "&amp;E2087&amp;", cot_prc_max = "&amp;F2087&amp;", cot_prc_med = "&amp;G2087&amp;", cot_prc_mediana = "&amp;H2087&amp;" WHERE cot_id = "&amp;A2087&amp;";"</f>
        <v>UPDATE COTACAO SET cot_id = 2086, cot_blt_id = 90, cot_pap_id = 16, cot_prc_comum =  54.00, cot_prc_min =  54.00, cot_prc_max =  60.00, cot_prc_med =  55.50, cot_prc_mediana =  54.00 WHERE cot_id = 2086;</v>
      </c>
    </row>
    <row r="2088" customFormat="false" ht="14.25" hidden="false" customHeight="false" outlineLevel="0" collapsed="false">
      <c r="A2088" s="0" t="n">
        <v>2087</v>
      </c>
      <c r="B2088" s="0" t="n">
        <f aca="false">IF('Boletins Nuppa Site'!A2088&lt;&gt;0,'Boletins Nuppa Site'!A2088,"NULL")</f>
        <v>90</v>
      </c>
      <c r="C2088" s="0" t="n">
        <v>17</v>
      </c>
      <c r="D2088" s="0" t="str">
        <f aca="false">IF('Boletins Nuppa Site'!G2088&lt;&gt;0,'Boletins Nuppa Site'!G2088,"NULL")</f>
        <v> 5.00</v>
      </c>
      <c r="E2088" s="30" t="str">
        <f aca="false">IF('Boletins Nuppa Site'!H2088&lt;&gt;0,'Boletins Nuppa Site'!H2088,"NULL")</f>
        <v> 5.00</v>
      </c>
      <c r="F2088" s="30" t="str">
        <f aca="false">IF('Boletins Nuppa Site'!I2088&lt;&gt;0,'Boletins Nuppa Site'!I2088,"NULL")</f>
        <v> 5.00</v>
      </c>
      <c r="G2088" s="30" t="str">
        <f aca="false">IF('Boletins Nuppa Site'!J2088&lt;&gt;0,'Boletins Nuppa Site'!J2088,"NULL")</f>
        <v> 5.00</v>
      </c>
      <c r="H2088" s="30" t="str">
        <f aca="false">IF('Boletins Nuppa Site'!K2088&lt;&gt;0,'Boletins Nuppa Site'!K2088,"NULL")</f>
        <v> 5.00</v>
      </c>
      <c r="I2088" s="0" t="str">
        <f aca="false">"INSERT INTO COTACAO (cot_id, cot_blt_id, cot_pap_id, cot_prc_comum, cot_prc_min, cot_prc_max, cot_prc_med, cot_prc_mediana) VALUES ("&amp;A2088&amp;", "&amp;B2088&amp;", "&amp;C2088&amp;", "&amp;D2088&amp;", "&amp;E2088&amp;", "&amp;F2088&amp;", "&amp;G2088&amp;", "&amp;H2088&amp;");"</f>
        <v>INSERT INTO COTACAO (cot_id, cot_blt_id, cot_pap_id, cot_prc_comum, cot_prc_min, cot_prc_max, cot_prc_med, cot_prc_mediana) VALUES (2087, 90, 17,  5.00,  5.00,  5.00,  5.00,  5.00);</v>
      </c>
      <c r="J2088" s="0" t="str">
        <f aca="false">"UPDATE COTACAO SET cot_id = "&amp;A2088&amp;", cot_blt_id = "&amp;B2088&amp;", cot_pap_id = "&amp;C2088&amp;", cot_prc_comum = "&amp;D2088&amp;", cot_prc_min = "&amp;E2088&amp;", cot_prc_max = "&amp;F2088&amp;", cot_prc_med = "&amp;G2088&amp;", cot_prc_mediana = "&amp;H2088&amp;" WHERE cot_id = "&amp;A2088&amp;";"</f>
        <v>UPDATE COTACAO SET cot_id = 2087, cot_blt_id = 90, cot_pap_id = 17, cot_prc_comum =  5.00, cot_prc_min =  5.00, cot_prc_max =  5.00, cot_prc_med =  5.00, cot_prc_mediana =  5.00 WHERE cot_id = 2087;</v>
      </c>
    </row>
    <row r="2089" customFormat="false" ht="14.25" hidden="false" customHeight="false" outlineLevel="0" collapsed="false">
      <c r="A2089" s="0" t="n">
        <v>2088</v>
      </c>
      <c r="B2089" s="0" t="n">
        <f aca="false">IF('Boletins Nuppa Site'!A2089&lt;&gt;0,'Boletins Nuppa Site'!A2089,"NULL")</f>
        <v>90</v>
      </c>
      <c r="C2089" s="0" t="n">
        <v>18</v>
      </c>
      <c r="D2089" s="0" t="str">
        <f aca="false">IF('Boletins Nuppa Site'!G2089&lt;&gt;0,'Boletins Nuppa Site'!G2089,"NULL")</f>
        <v>NULL</v>
      </c>
      <c r="E2089" s="30" t="str">
        <f aca="false">IF('Boletins Nuppa Site'!H2089&lt;&gt;0,'Boletins Nuppa Site'!H2089,"NULL")</f>
        <v> 25.00</v>
      </c>
      <c r="F2089" s="30" t="str">
        <f aca="false">IF('Boletins Nuppa Site'!I2089&lt;&gt;0,'Boletins Nuppa Site'!I2089,"NULL")</f>
        <v> 40.00</v>
      </c>
      <c r="G2089" s="30" t="str">
        <f aca="false">IF('Boletins Nuppa Site'!J2089&lt;&gt;0,'Boletins Nuppa Site'!J2089,"NULL")</f>
        <v> 30.75</v>
      </c>
      <c r="H2089" s="30" t="str">
        <f aca="false">IF('Boletins Nuppa Site'!K2089&lt;&gt;0,'Boletins Nuppa Site'!K2089,"NULL")</f>
        <v> 29.00</v>
      </c>
      <c r="I2089" s="0" t="str">
        <f aca="false">"INSERT INTO COTACAO (cot_id, cot_blt_id, cot_pap_id, cot_prc_comum, cot_prc_min, cot_prc_max, cot_prc_med, cot_prc_mediana) VALUES ("&amp;A2089&amp;", "&amp;B2089&amp;", "&amp;C2089&amp;", "&amp;D2089&amp;", "&amp;E2089&amp;", "&amp;F2089&amp;", "&amp;G2089&amp;", "&amp;H2089&amp;");"</f>
        <v>INSERT INTO COTACAO (cot_id, cot_blt_id, cot_pap_id, cot_prc_comum, cot_prc_min, cot_prc_max, cot_prc_med, cot_prc_mediana) VALUES (2088, 90, 18, NULL,  25.00,  40.00,  30.75,  29.00);</v>
      </c>
      <c r="J2089" s="0" t="str">
        <f aca="false">"UPDATE COTACAO SET cot_id = "&amp;A2089&amp;", cot_blt_id = "&amp;B2089&amp;", cot_pap_id = "&amp;C2089&amp;", cot_prc_comum = "&amp;D2089&amp;", cot_prc_min = "&amp;E2089&amp;", cot_prc_max = "&amp;F2089&amp;", cot_prc_med = "&amp;G2089&amp;", cot_prc_mediana = "&amp;H2089&amp;" WHERE cot_id = "&amp;A2089&amp;";"</f>
        <v>UPDATE COTACAO SET cot_id = 2088, cot_blt_id = 90, cot_pap_id = 18, cot_prc_comum = NULL, cot_prc_min =  25.00, cot_prc_max =  40.00, cot_prc_med =  30.75, cot_prc_mediana =  29.00 WHERE cot_id = 2088;</v>
      </c>
    </row>
    <row r="2090" customFormat="false" ht="14.25" hidden="false" customHeight="false" outlineLevel="0" collapsed="false">
      <c r="A2090" s="0" t="n">
        <v>2089</v>
      </c>
      <c r="B2090" s="0" t="n">
        <f aca="false">IF('Boletins Nuppa Site'!A2090&lt;&gt;0,'Boletins Nuppa Site'!A2090,"NULL")</f>
        <v>90</v>
      </c>
      <c r="C2090" s="0" t="n">
        <v>19</v>
      </c>
      <c r="D2090" s="0" t="str">
        <f aca="false">IF('Boletins Nuppa Site'!G2090&lt;&gt;0,'Boletins Nuppa Site'!G2090,"NULL")</f>
        <v> 25.00</v>
      </c>
      <c r="E2090" s="30" t="str">
        <f aca="false">IF('Boletins Nuppa Site'!H2090&lt;&gt;0,'Boletins Nuppa Site'!H2090,"NULL")</f>
        <v> 25.00</v>
      </c>
      <c r="F2090" s="30" t="str">
        <f aca="false">IF('Boletins Nuppa Site'!I2090&lt;&gt;0,'Boletins Nuppa Site'!I2090,"NULL")</f>
        <v> 35.00</v>
      </c>
      <c r="G2090" s="30" t="str">
        <f aca="false">IF('Boletins Nuppa Site'!J2090&lt;&gt;0,'Boletins Nuppa Site'!J2090,"NULL")</f>
        <v> 28.75</v>
      </c>
      <c r="H2090" s="30" t="str">
        <f aca="false">IF('Boletins Nuppa Site'!K2090&lt;&gt;0,'Boletins Nuppa Site'!K2090,"NULL")</f>
        <v> 27.50</v>
      </c>
      <c r="I2090" s="0" t="str">
        <f aca="false">"INSERT INTO COTACAO (cot_id, cot_blt_id, cot_pap_id, cot_prc_comum, cot_prc_min, cot_prc_max, cot_prc_med, cot_prc_mediana) VALUES ("&amp;A2090&amp;", "&amp;B2090&amp;", "&amp;C2090&amp;", "&amp;D2090&amp;", "&amp;E2090&amp;", "&amp;F2090&amp;", "&amp;G2090&amp;", "&amp;H2090&amp;");"</f>
        <v>INSERT INTO COTACAO (cot_id, cot_blt_id, cot_pap_id, cot_prc_comum, cot_prc_min, cot_prc_max, cot_prc_med, cot_prc_mediana) VALUES (2089, 90, 19,  25.00,  25.00,  35.00,  28.75,  27.50);</v>
      </c>
      <c r="J2090" s="0" t="str">
        <f aca="false">"UPDATE COTACAO SET cot_id = "&amp;A2090&amp;", cot_blt_id = "&amp;B2090&amp;", cot_pap_id = "&amp;C2090&amp;", cot_prc_comum = "&amp;D2090&amp;", cot_prc_min = "&amp;E2090&amp;", cot_prc_max = "&amp;F2090&amp;", cot_prc_med = "&amp;G2090&amp;", cot_prc_mediana = "&amp;H2090&amp;" WHERE cot_id = "&amp;A2090&amp;";"</f>
        <v>UPDATE COTACAO SET cot_id = 2089, cot_blt_id = 90, cot_pap_id = 19, cot_prc_comum =  25.00, cot_prc_min =  25.00, cot_prc_max =  35.00, cot_prc_med =  28.75, cot_prc_mediana =  27.50 WHERE cot_id = 2089;</v>
      </c>
    </row>
    <row r="2091" customFormat="false" ht="14.25" hidden="false" customHeight="false" outlineLevel="0" collapsed="false">
      <c r="A2091" s="0" t="n">
        <v>2090</v>
      </c>
      <c r="B2091" s="0" t="n">
        <f aca="false">IF('Boletins Nuppa Site'!A2091&lt;&gt;0,'Boletins Nuppa Site'!A2091,"NULL")</f>
        <v>90</v>
      </c>
      <c r="C2091" s="0" t="n">
        <v>20</v>
      </c>
      <c r="D2091" s="0" t="str">
        <f aca="false">IF('Boletins Nuppa Site'!G2091&lt;&gt;0,'Boletins Nuppa Site'!G2091,"NULL")</f>
        <v> 65.00</v>
      </c>
      <c r="E2091" s="30" t="str">
        <f aca="false">IF('Boletins Nuppa Site'!H2091&lt;&gt;0,'Boletins Nuppa Site'!H2091,"NULL")</f>
        <v> 65.00</v>
      </c>
      <c r="F2091" s="30" t="str">
        <f aca="false">IF('Boletins Nuppa Site'!I2091&lt;&gt;0,'Boletins Nuppa Site'!I2091,"NULL")</f>
        <v> 65.00</v>
      </c>
      <c r="G2091" s="30" t="str">
        <f aca="false">IF('Boletins Nuppa Site'!J2091&lt;&gt;0,'Boletins Nuppa Site'!J2091,"NULL")</f>
        <v> 65.00</v>
      </c>
      <c r="H2091" s="30" t="str">
        <f aca="false">IF('Boletins Nuppa Site'!K2091&lt;&gt;0,'Boletins Nuppa Site'!K2091,"NULL")</f>
        <v> 65.00</v>
      </c>
      <c r="I2091" s="0" t="str">
        <f aca="false">"INSERT INTO COTACAO (cot_id, cot_blt_id, cot_pap_id, cot_prc_comum, cot_prc_min, cot_prc_max, cot_prc_med, cot_prc_mediana) VALUES ("&amp;A2091&amp;", "&amp;B2091&amp;", "&amp;C2091&amp;", "&amp;D2091&amp;", "&amp;E2091&amp;", "&amp;F2091&amp;", "&amp;G2091&amp;", "&amp;H2091&amp;");"</f>
        <v>INSERT INTO COTACAO (cot_id, cot_blt_id, cot_pap_id, cot_prc_comum, cot_prc_min, cot_prc_max, cot_prc_med, cot_prc_mediana) VALUES (2090, 90, 20,  65.00,  65.00,  65.00,  65.00,  65.00);</v>
      </c>
      <c r="J2091" s="0" t="str">
        <f aca="false">"UPDATE COTACAO SET cot_id = "&amp;A2091&amp;", cot_blt_id = "&amp;B2091&amp;", cot_pap_id = "&amp;C2091&amp;", cot_prc_comum = "&amp;D2091&amp;", cot_prc_min = "&amp;E2091&amp;", cot_prc_max = "&amp;F2091&amp;", cot_prc_med = "&amp;G2091&amp;", cot_prc_mediana = "&amp;H2091&amp;" WHERE cot_id = "&amp;A2091&amp;";"</f>
        <v>UPDATE COTACAO SET cot_id = 2090, cot_blt_id = 90, cot_pap_id = 20, cot_prc_comum =  65.00, cot_prc_min =  65.00, cot_prc_max =  65.00, cot_prc_med =  65.00, cot_prc_mediana =  65.00 WHERE cot_id = 2090;</v>
      </c>
    </row>
    <row r="2092" customFormat="false" ht="14.25" hidden="false" customHeight="false" outlineLevel="0" collapsed="false">
      <c r="A2092" s="0" t="n">
        <v>2091</v>
      </c>
      <c r="B2092" s="0" t="n">
        <f aca="false">IF('Boletins Nuppa Site'!A2092&lt;&gt;0,'Boletins Nuppa Site'!A2092,"NULL")</f>
        <v>90</v>
      </c>
      <c r="C2092" s="0" t="n">
        <v>21</v>
      </c>
      <c r="D2092" s="0" t="str">
        <f aca="false">IF('Boletins Nuppa Site'!G2092&lt;&gt;0,'Boletins Nuppa Site'!G2092,"NULL")</f>
        <v>NULL</v>
      </c>
      <c r="E2092" s="30" t="str">
        <f aca="false">IF('Boletins Nuppa Site'!H2092&lt;&gt;0,'Boletins Nuppa Site'!H2092,"NULL")</f>
        <v> 75.00</v>
      </c>
      <c r="F2092" s="30" t="str">
        <f aca="false">IF('Boletins Nuppa Site'!I2092&lt;&gt;0,'Boletins Nuppa Site'!I2092,"NULL")</f>
        <v> 90.00</v>
      </c>
      <c r="G2092" s="30" t="str">
        <f aca="false">IF('Boletins Nuppa Site'!J2092&lt;&gt;0,'Boletins Nuppa Site'!J2092,"NULL")</f>
        <v> 82.50</v>
      </c>
      <c r="H2092" s="30" t="str">
        <f aca="false">IF('Boletins Nuppa Site'!K2092&lt;&gt;0,'Boletins Nuppa Site'!K2092,"NULL")</f>
        <v> 82.50</v>
      </c>
      <c r="I2092" s="0" t="str">
        <f aca="false">"INSERT INTO COTACAO (cot_id, cot_blt_id, cot_pap_id, cot_prc_comum, cot_prc_min, cot_prc_max, cot_prc_med, cot_prc_mediana) VALUES ("&amp;A2092&amp;", "&amp;B2092&amp;", "&amp;C2092&amp;", "&amp;D2092&amp;", "&amp;E2092&amp;", "&amp;F2092&amp;", "&amp;G2092&amp;", "&amp;H2092&amp;");"</f>
        <v>INSERT INTO COTACAO (cot_id, cot_blt_id, cot_pap_id, cot_prc_comum, cot_prc_min, cot_prc_max, cot_prc_med, cot_prc_mediana) VALUES (2091, 90, 21, NULL,  75.00,  90.00,  82.50,  82.50);</v>
      </c>
      <c r="J2092" s="0" t="str">
        <f aca="false">"UPDATE COTACAO SET cot_id = "&amp;A2092&amp;", cot_blt_id = "&amp;B2092&amp;", cot_pap_id = "&amp;C2092&amp;", cot_prc_comum = "&amp;D2092&amp;", cot_prc_min = "&amp;E2092&amp;", cot_prc_max = "&amp;F2092&amp;", cot_prc_med = "&amp;G2092&amp;", cot_prc_mediana = "&amp;H2092&amp;" WHERE cot_id = "&amp;A2092&amp;";"</f>
        <v>UPDATE COTACAO SET cot_id = 2091, cot_blt_id = 90, cot_pap_id = 21, cot_prc_comum = NULL, cot_prc_min =  75.00, cot_prc_max =  90.00, cot_prc_med =  82.50, cot_prc_mediana =  82.50 WHERE cot_id = 2091;</v>
      </c>
    </row>
    <row r="2093" customFormat="false" ht="14.25" hidden="false" customHeight="false" outlineLevel="0" collapsed="false">
      <c r="A2093" s="0" t="n">
        <v>2092</v>
      </c>
      <c r="B2093" s="0" t="n">
        <f aca="false">IF('Boletins Nuppa Site'!A2093&lt;&gt;0,'Boletins Nuppa Site'!A2093,"NULL")</f>
        <v>90</v>
      </c>
      <c r="C2093" s="0" t="n">
        <v>22</v>
      </c>
      <c r="D2093" s="0" t="str">
        <f aca="false">IF('Boletins Nuppa Site'!G2093&lt;&gt;0,'Boletins Nuppa Site'!G2093,"NULL")</f>
        <v> 45.00</v>
      </c>
      <c r="E2093" s="30" t="str">
        <f aca="false">IF('Boletins Nuppa Site'!H2093&lt;&gt;0,'Boletins Nuppa Site'!H2093,"NULL")</f>
        <v> 45.00</v>
      </c>
      <c r="F2093" s="30" t="str">
        <f aca="false">IF('Boletins Nuppa Site'!I2093&lt;&gt;0,'Boletins Nuppa Site'!I2093,"NULL")</f>
        <v> 70.00</v>
      </c>
      <c r="G2093" s="30" t="str">
        <f aca="false">IF('Boletins Nuppa Site'!J2093&lt;&gt;0,'Boletins Nuppa Site'!J2093,"NULL")</f>
        <v> 56.25</v>
      </c>
      <c r="H2093" s="30" t="str">
        <f aca="false">IF('Boletins Nuppa Site'!K2093&lt;&gt;0,'Boletins Nuppa Site'!K2093,"NULL")</f>
        <v> 55.00</v>
      </c>
      <c r="I2093" s="0" t="str">
        <f aca="false">"INSERT INTO COTACAO (cot_id, cot_blt_id, cot_pap_id, cot_prc_comum, cot_prc_min, cot_prc_max, cot_prc_med, cot_prc_mediana) VALUES ("&amp;A2093&amp;", "&amp;B2093&amp;", "&amp;C2093&amp;", "&amp;D2093&amp;", "&amp;E2093&amp;", "&amp;F2093&amp;", "&amp;G2093&amp;", "&amp;H2093&amp;");"</f>
        <v>INSERT INTO COTACAO (cot_id, cot_blt_id, cot_pap_id, cot_prc_comum, cot_prc_min, cot_prc_max, cot_prc_med, cot_prc_mediana) VALUES (2092, 90, 22,  45.00,  45.00,  70.00,  56.25,  55.00);</v>
      </c>
      <c r="J2093" s="0" t="str">
        <f aca="false">"UPDATE COTACAO SET cot_id = "&amp;A2093&amp;", cot_blt_id = "&amp;B2093&amp;", cot_pap_id = "&amp;C2093&amp;", cot_prc_comum = "&amp;D2093&amp;", cot_prc_min = "&amp;E2093&amp;", cot_prc_max = "&amp;F2093&amp;", cot_prc_med = "&amp;G2093&amp;", cot_prc_mediana = "&amp;H2093&amp;" WHERE cot_id = "&amp;A2093&amp;";"</f>
        <v>UPDATE COTACAO SET cot_id = 2092, cot_blt_id = 90, cot_pap_id = 22, cot_prc_comum =  45.00, cot_prc_min =  45.00, cot_prc_max =  70.00, cot_prc_med =  56.25, cot_prc_mediana =  55.00 WHERE cot_id = 2092;</v>
      </c>
    </row>
    <row r="2094" customFormat="false" ht="14.25" hidden="false" customHeight="false" outlineLevel="0" collapsed="false">
      <c r="A2094" s="0" t="n">
        <v>2093</v>
      </c>
      <c r="B2094" s="0" t="n">
        <f aca="false">IF('Boletins Nuppa Site'!A2094&lt;&gt;0,'Boletins Nuppa Site'!A2094,"NULL")</f>
        <v>90</v>
      </c>
      <c r="C2094" s="0" t="n">
        <v>23</v>
      </c>
      <c r="D2094" s="0" t="str">
        <f aca="false">IF('Boletins Nuppa Site'!G2094&lt;&gt;0,'Boletins Nuppa Site'!G2094,"NULL")</f>
        <v> 40.00</v>
      </c>
      <c r="E2094" s="30" t="str">
        <f aca="false">IF('Boletins Nuppa Site'!H2094&lt;&gt;0,'Boletins Nuppa Site'!H2094,"NULL")</f>
        <v> 50.00</v>
      </c>
      <c r="F2094" s="30" t="str">
        <f aca="false">IF('Boletins Nuppa Site'!I2094&lt;&gt;0,'Boletins Nuppa Site'!I2094,"NULL")</f>
        <v> 50.00</v>
      </c>
      <c r="G2094" s="30" t="str">
        <f aca="false">IF('Boletins Nuppa Site'!J2094&lt;&gt;0,'Boletins Nuppa Site'!J2094,"NULL")</f>
        <v> 47.50</v>
      </c>
      <c r="H2094" s="30" t="str">
        <f aca="false">IF('Boletins Nuppa Site'!K2094&lt;&gt;0,'Boletins Nuppa Site'!K2094,"NULL")</f>
        <v> 50.00</v>
      </c>
      <c r="I2094" s="0" t="str">
        <f aca="false">"INSERT INTO COTACAO (cot_id, cot_blt_id, cot_pap_id, cot_prc_comum, cot_prc_min, cot_prc_max, cot_prc_med, cot_prc_mediana) VALUES ("&amp;A2094&amp;", "&amp;B2094&amp;", "&amp;C2094&amp;", "&amp;D2094&amp;", "&amp;E2094&amp;", "&amp;F2094&amp;", "&amp;G2094&amp;", "&amp;H2094&amp;");"</f>
        <v>INSERT INTO COTACAO (cot_id, cot_blt_id, cot_pap_id, cot_prc_comum, cot_prc_min, cot_prc_max, cot_prc_med, cot_prc_mediana) VALUES (2093, 90, 23,  40.00,  50.00,  50.00,  47.50,  50.00);</v>
      </c>
      <c r="J2094" s="0" t="str">
        <f aca="false">"UPDATE COTACAO SET cot_id = "&amp;A2094&amp;", cot_blt_id = "&amp;B2094&amp;", cot_pap_id = "&amp;C2094&amp;", cot_prc_comum = "&amp;D2094&amp;", cot_prc_min = "&amp;E2094&amp;", cot_prc_max = "&amp;F2094&amp;", cot_prc_med = "&amp;G2094&amp;", cot_prc_mediana = "&amp;H2094&amp;" WHERE cot_id = "&amp;A2094&amp;";"</f>
        <v>UPDATE COTACAO SET cot_id = 2093, cot_blt_id = 90, cot_pap_id = 23, cot_prc_comum =  40.00, cot_prc_min =  50.00, cot_prc_max =  50.00, cot_prc_med =  47.50, cot_prc_mediana =  50.00 WHERE cot_id = 2093;</v>
      </c>
    </row>
    <row r="2095" customFormat="false" ht="14.25" hidden="false" customHeight="false" outlineLevel="0" collapsed="false">
      <c r="A2095" s="0" t="n">
        <v>2094</v>
      </c>
      <c r="B2095" s="0" t="n">
        <f aca="false">IF('Boletins Nuppa Site'!A2095&lt;&gt;0,'Boletins Nuppa Site'!A2095,"NULL")</f>
        <v>90</v>
      </c>
      <c r="C2095" s="0" t="n">
        <v>24</v>
      </c>
      <c r="D2095" s="0" t="str">
        <f aca="false">IF('Boletins Nuppa Site'!G2095&lt;&gt;0,'Boletins Nuppa Site'!G2095,"NULL")</f>
        <v>NULL</v>
      </c>
      <c r="E2095" s="30" t="str">
        <f aca="false">IF('Boletins Nuppa Site'!H2095&lt;&gt;0,'Boletins Nuppa Site'!H2095,"NULL")</f>
        <v> 80.00</v>
      </c>
      <c r="F2095" s="30" t="str">
        <f aca="false">IF('Boletins Nuppa Site'!I2095&lt;&gt;0,'Boletins Nuppa Site'!I2095,"NULL")</f>
        <v> 80.00</v>
      </c>
      <c r="G2095" s="30" t="str">
        <f aca="false">IF('Boletins Nuppa Site'!J2095&lt;&gt;0,'Boletins Nuppa Site'!J2095,"NULL")</f>
        <v> 80.00</v>
      </c>
      <c r="H2095" s="30" t="str">
        <f aca="false">IF('Boletins Nuppa Site'!K2095&lt;&gt;0,'Boletins Nuppa Site'!K2095,"NULL")</f>
        <v> 80.00</v>
      </c>
      <c r="I2095" s="0" t="str">
        <f aca="false">"INSERT INTO COTACAO (cot_id, cot_blt_id, cot_pap_id, cot_prc_comum, cot_prc_min, cot_prc_max, cot_prc_med, cot_prc_mediana) VALUES ("&amp;A2095&amp;", "&amp;B2095&amp;", "&amp;C2095&amp;", "&amp;D2095&amp;", "&amp;E2095&amp;", "&amp;F2095&amp;", "&amp;G2095&amp;", "&amp;H2095&amp;");"</f>
        <v>INSERT INTO COTACAO (cot_id, cot_blt_id, cot_pap_id, cot_prc_comum, cot_prc_min, cot_prc_max, cot_prc_med, cot_prc_mediana) VALUES (2094, 90, 24, NULL,  80.00,  80.00,  80.00,  80.00);</v>
      </c>
      <c r="J2095" s="0" t="str">
        <f aca="false">"UPDATE COTACAO SET cot_id = "&amp;A2095&amp;", cot_blt_id = "&amp;B2095&amp;", cot_pap_id = "&amp;C2095&amp;", cot_prc_comum = "&amp;D2095&amp;", cot_prc_min = "&amp;E2095&amp;", cot_prc_max = "&amp;F2095&amp;", cot_prc_med = "&amp;G2095&amp;", cot_prc_mediana = "&amp;H2095&amp;" WHERE cot_id = "&amp;A2095&amp;";"</f>
        <v>UPDATE COTACAO SET cot_id = 2094, cot_blt_id = 90, cot_pap_id = 24, cot_prc_comum = NULL, cot_prc_min =  80.00, cot_prc_max =  80.00, cot_prc_med =  80.00, cot_prc_mediana =  80.00 WHERE cot_id = 2094;</v>
      </c>
    </row>
    <row r="2096" customFormat="false" ht="14.25" hidden="false" customHeight="false" outlineLevel="0" collapsed="false">
      <c r="A2096" s="0" t="n">
        <v>2095</v>
      </c>
      <c r="B2096" s="0" t="n">
        <f aca="false">IF('Boletins Nuppa Site'!A2096&lt;&gt;0,'Boletins Nuppa Site'!A2096,"NULL")</f>
        <v>90</v>
      </c>
      <c r="C2096" s="0" t="n">
        <v>25</v>
      </c>
      <c r="D2096" s="0" t="str">
        <f aca="false">IF('Boletins Nuppa Site'!G2096&lt;&gt;0,'Boletins Nuppa Site'!G2096,"NULL")</f>
        <v> 60.00</v>
      </c>
      <c r="E2096" s="30" t="str">
        <f aca="false">IF('Boletins Nuppa Site'!H2096&lt;&gt;0,'Boletins Nuppa Site'!H2096,"NULL")</f>
        <v> 50.00</v>
      </c>
      <c r="F2096" s="30" t="str">
        <f aca="false">IF('Boletins Nuppa Site'!I2096&lt;&gt;0,'Boletins Nuppa Site'!I2096,"NULL")</f>
        <v> 60.00</v>
      </c>
      <c r="G2096" s="30" t="str">
        <f aca="false">IF('Boletins Nuppa Site'!J2096&lt;&gt;0,'Boletins Nuppa Site'!J2096,"NULL")</f>
        <v> 57.50</v>
      </c>
      <c r="H2096" s="30" t="str">
        <f aca="false">IF('Boletins Nuppa Site'!K2096&lt;&gt;0,'Boletins Nuppa Site'!K2096,"NULL")</f>
        <v> 60.00</v>
      </c>
      <c r="I2096" s="0" t="str">
        <f aca="false">"INSERT INTO COTACAO (cot_id, cot_blt_id, cot_pap_id, cot_prc_comum, cot_prc_min, cot_prc_max, cot_prc_med, cot_prc_mediana) VALUES ("&amp;A2096&amp;", "&amp;B2096&amp;", "&amp;C2096&amp;", "&amp;D2096&amp;", "&amp;E2096&amp;", "&amp;F2096&amp;", "&amp;G2096&amp;", "&amp;H2096&amp;");"</f>
        <v>INSERT INTO COTACAO (cot_id, cot_blt_id, cot_pap_id, cot_prc_comum, cot_prc_min, cot_prc_max, cot_prc_med, cot_prc_mediana) VALUES (2095, 90, 25,  60.00,  50.00,  60.00,  57.50,  60.00);</v>
      </c>
      <c r="J2096" s="0" t="str">
        <f aca="false">"UPDATE COTACAO SET cot_id = "&amp;A2096&amp;", cot_blt_id = "&amp;B2096&amp;", cot_pap_id = "&amp;C2096&amp;", cot_prc_comum = "&amp;D2096&amp;", cot_prc_min = "&amp;E2096&amp;", cot_prc_max = "&amp;F2096&amp;", cot_prc_med = "&amp;G2096&amp;", cot_prc_mediana = "&amp;H2096&amp;" WHERE cot_id = "&amp;A2096&amp;";"</f>
        <v>UPDATE COTACAO SET cot_id = 2095, cot_blt_id = 90, cot_pap_id = 25, cot_prc_comum =  60.00, cot_prc_min =  50.00, cot_prc_max =  60.00, cot_prc_med =  57.50, cot_prc_mediana =  60.00 WHERE cot_id = 2095;</v>
      </c>
    </row>
    <row r="2097" customFormat="false" ht="14.25" hidden="false" customHeight="false" outlineLevel="0" collapsed="false">
      <c r="A2097" s="0" t="n">
        <v>2096</v>
      </c>
      <c r="B2097" s="0" t="n">
        <f aca="false">IF('Boletins Nuppa Site'!A2097&lt;&gt;0,'Boletins Nuppa Site'!A2097,"NULL")</f>
        <v>90</v>
      </c>
      <c r="C2097" s="0" t="n">
        <v>26</v>
      </c>
      <c r="D2097" s="0" t="str">
        <f aca="false">IF('Boletins Nuppa Site'!G2097&lt;&gt;0,'Boletins Nuppa Site'!G2097,"NULL")</f>
        <v> 80.00</v>
      </c>
      <c r="E2097" s="30" t="str">
        <f aca="false">IF('Boletins Nuppa Site'!H2097&lt;&gt;0,'Boletins Nuppa Site'!H2097,"NULL")</f>
        <v> 60.00</v>
      </c>
      <c r="F2097" s="30" t="str">
        <f aca="false">IF('Boletins Nuppa Site'!I2097&lt;&gt;0,'Boletins Nuppa Site'!I2097,"NULL")</f>
        <v> 80.00</v>
      </c>
      <c r="G2097" s="30" t="str">
        <f aca="false">IF('Boletins Nuppa Site'!J2097&lt;&gt;0,'Boletins Nuppa Site'!J2097,"NULL")</f>
        <v> 72.50</v>
      </c>
      <c r="H2097" s="30" t="str">
        <f aca="false">IF('Boletins Nuppa Site'!K2097&lt;&gt;0,'Boletins Nuppa Site'!K2097,"NULL")</f>
        <v> 75.00</v>
      </c>
      <c r="I2097" s="0" t="str">
        <f aca="false">"INSERT INTO COTACAO (cot_id, cot_blt_id, cot_pap_id, cot_prc_comum, cot_prc_min, cot_prc_max, cot_prc_med, cot_prc_mediana) VALUES ("&amp;A2097&amp;", "&amp;B2097&amp;", "&amp;C2097&amp;", "&amp;D2097&amp;", "&amp;E2097&amp;", "&amp;F2097&amp;", "&amp;G2097&amp;", "&amp;H2097&amp;");"</f>
        <v>INSERT INTO COTACAO (cot_id, cot_blt_id, cot_pap_id, cot_prc_comum, cot_prc_min, cot_prc_max, cot_prc_med, cot_prc_mediana) VALUES (2096, 90, 26,  80.00,  60.00,  80.00,  72.50,  75.00);</v>
      </c>
      <c r="J2097" s="0" t="str">
        <f aca="false">"UPDATE COTACAO SET cot_id = "&amp;A2097&amp;", cot_blt_id = "&amp;B2097&amp;", cot_pap_id = "&amp;C2097&amp;", cot_prc_comum = "&amp;D2097&amp;", cot_prc_min = "&amp;E2097&amp;", cot_prc_max = "&amp;F2097&amp;", cot_prc_med = "&amp;G2097&amp;", cot_prc_mediana = "&amp;H2097&amp;" WHERE cot_id = "&amp;A2097&amp;";"</f>
        <v>UPDATE COTACAO SET cot_id = 2096, cot_blt_id = 90, cot_pap_id = 26, cot_prc_comum =  80.00, cot_prc_min =  60.00, cot_prc_max =  80.00, cot_prc_med =  72.50, cot_prc_mediana =  75.00 WHERE cot_id = 2096;</v>
      </c>
    </row>
    <row r="2098" customFormat="false" ht="14.25" hidden="false" customHeight="false" outlineLevel="0" collapsed="false">
      <c r="A2098" s="0" t="n">
        <v>2097</v>
      </c>
      <c r="B2098" s="0" t="n">
        <f aca="false">IF('Boletins Nuppa Site'!A2098&lt;&gt;0,'Boletins Nuppa Site'!A2098,"NULL")</f>
        <v>90</v>
      </c>
      <c r="C2098" s="0" t="n">
        <v>27</v>
      </c>
      <c r="D2098" s="0" t="str">
        <f aca="false">IF('Boletins Nuppa Site'!G2098&lt;&gt;0,'Boletins Nuppa Site'!G2098,"NULL")</f>
        <v> 70.00</v>
      </c>
      <c r="E2098" s="30" t="str">
        <f aca="false">IF('Boletins Nuppa Site'!H2098&lt;&gt;0,'Boletins Nuppa Site'!H2098,"NULL")</f>
        <v> 70.00</v>
      </c>
      <c r="F2098" s="30" t="str">
        <f aca="false">IF('Boletins Nuppa Site'!I2098&lt;&gt;0,'Boletins Nuppa Site'!I2098,"NULL")</f>
        <v> 90.00</v>
      </c>
      <c r="G2098" s="30" t="str">
        <f aca="false">IF('Boletins Nuppa Site'!J2098&lt;&gt;0,'Boletins Nuppa Site'!J2098,"NULL")</f>
        <v> 77.50</v>
      </c>
      <c r="H2098" s="30" t="str">
        <f aca="false">IF('Boletins Nuppa Site'!K2098&lt;&gt;0,'Boletins Nuppa Site'!K2098,"NULL")</f>
        <v> 75.00</v>
      </c>
      <c r="I2098" s="0" t="str">
        <f aca="false">"INSERT INTO COTACAO (cot_id, cot_blt_id, cot_pap_id, cot_prc_comum, cot_prc_min, cot_prc_max, cot_prc_med, cot_prc_mediana) VALUES ("&amp;A2098&amp;", "&amp;B2098&amp;", "&amp;C2098&amp;", "&amp;D2098&amp;", "&amp;E2098&amp;", "&amp;F2098&amp;", "&amp;G2098&amp;", "&amp;H2098&amp;");"</f>
        <v>INSERT INTO COTACAO (cot_id, cot_blt_id, cot_pap_id, cot_prc_comum, cot_prc_min, cot_prc_max, cot_prc_med, cot_prc_mediana) VALUES (2097, 90, 27,  70.00,  70.00,  90.00,  77.50,  75.00);</v>
      </c>
      <c r="J2098" s="0" t="str">
        <f aca="false">"UPDATE COTACAO SET cot_id = "&amp;A2098&amp;", cot_blt_id = "&amp;B2098&amp;", cot_pap_id = "&amp;C2098&amp;", cot_prc_comum = "&amp;D2098&amp;", cot_prc_min = "&amp;E2098&amp;", cot_prc_max = "&amp;F2098&amp;", cot_prc_med = "&amp;G2098&amp;", cot_prc_mediana = "&amp;H2098&amp;" WHERE cot_id = "&amp;A2098&amp;";"</f>
        <v>UPDATE COTACAO SET cot_id = 2097, cot_blt_id = 90, cot_pap_id = 27, cot_prc_comum =  70.00, cot_prc_min =  70.00, cot_prc_max =  90.00, cot_prc_med =  77.50, cot_prc_mediana =  75.00 WHERE cot_id = 2097;</v>
      </c>
    </row>
    <row r="2099" customFormat="false" ht="14.25" hidden="false" customHeight="false" outlineLevel="0" collapsed="false">
      <c r="A2099" s="0" t="n">
        <v>2098</v>
      </c>
      <c r="B2099" s="0" t="n">
        <f aca="false">IF('Boletins Nuppa Site'!A2099&lt;&gt;0,'Boletins Nuppa Site'!A2099,"NULL")</f>
        <v>90</v>
      </c>
      <c r="C2099" s="0" t="n">
        <v>28</v>
      </c>
      <c r="D2099" s="0" t="str">
        <f aca="false">IF('Boletins Nuppa Site'!G2099&lt;&gt;0,'Boletins Nuppa Site'!G2099,"NULL")</f>
        <v> 60.00</v>
      </c>
      <c r="E2099" s="30" t="str">
        <f aca="false">IF('Boletins Nuppa Site'!H2099&lt;&gt;0,'Boletins Nuppa Site'!H2099,"NULL")</f>
        <v> 60.00</v>
      </c>
      <c r="F2099" s="30" t="str">
        <f aca="false">IF('Boletins Nuppa Site'!I2099&lt;&gt;0,'Boletins Nuppa Site'!I2099,"NULL")</f>
        <v> 75.00</v>
      </c>
      <c r="G2099" s="30" t="str">
        <f aca="false">IF('Boletins Nuppa Site'!J2099&lt;&gt;0,'Boletins Nuppa Site'!J2099,"NULL")</f>
        <v> 65.00</v>
      </c>
      <c r="H2099" s="30" t="str">
        <f aca="false">IF('Boletins Nuppa Site'!K2099&lt;&gt;0,'Boletins Nuppa Site'!K2099,"NULL")</f>
        <v> 60.00</v>
      </c>
      <c r="I2099" s="0" t="str">
        <f aca="false">"INSERT INTO COTACAO (cot_id, cot_blt_id, cot_pap_id, cot_prc_comum, cot_prc_min, cot_prc_max, cot_prc_med, cot_prc_mediana) VALUES ("&amp;A2099&amp;", "&amp;B2099&amp;", "&amp;C2099&amp;", "&amp;D2099&amp;", "&amp;E2099&amp;", "&amp;F2099&amp;", "&amp;G2099&amp;", "&amp;H2099&amp;");"</f>
        <v>INSERT INTO COTACAO (cot_id, cot_blt_id, cot_pap_id, cot_prc_comum, cot_prc_min, cot_prc_max, cot_prc_med, cot_prc_mediana) VALUES (2098, 90, 28,  60.00,  60.00,  75.00,  65.00,  60.00);</v>
      </c>
      <c r="J2099" s="0" t="str">
        <f aca="false">"UPDATE COTACAO SET cot_id = "&amp;A2099&amp;", cot_blt_id = "&amp;B2099&amp;", cot_pap_id = "&amp;C2099&amp;", cot_prc_comum = "&amp;D2099&amp;", cot_prc_min = "&amp;E2099&amp;", cot_prc_max = "&amp;F2099&amp;", cot_prc_med = "&amp;G2099&amp;", cot_prc_mediana = "&amp;H2099&amp;" WHERE cot_id = "&amp;A2099&amp;";"</f>
        <v>UPDATE COTACAO SET cot_id = 2098, cot_blt_id = 90, cot_pap_id = 28, cot_prc_comum =  60.00, cot_prc_min =  60.00, cot_prc_max =  75.00, cot_prc_med =  65.00, cot_prc_mediana =  60.00 WHERE cot_id = 2098;</v>
      </c>
    </row>
    <row r="2100" customFormat="false" ht="14.25" hidden="false" customHeight="false" outlineLevel="0" collapsed="false">
      <c r="A2100" s="0" t="n">
        <v>2099</v>
      </c>
      <c r="B2100" s="0" t="n">
        <f aca="false">IF('Boletins Nuppa Site'!A2100&lt;&gt;0,'Boletins Nuppa Site'!A2100,"NULL")</f>
        <v>90</v>
      </c>
      <c r="C2100" s="0" t="n">
        <v>29</v>
      </c>
      <c r="D2100" s="0" t="str">
        <f aca="false">IF('Boletins Nuppa Site'!G2100&lt;&gt;0,'Boletins Nuppa Site'!G2100,"NULL")</f>
        <v>NULL</v>
      </c>
      <c r="E2100" s="30" t="str">
        <f aca="false">IF('Boletins Nuppa Site'!H2100&lt;&gt;0,'Boletins Nuppa Site'!H2100,"NULL")</f>
        <v> 75.00</v>
      </c>
      <c r="F2100" s="30" t="str">
        <f aca="false">IF('Boletins Nuppa Site'!I2100&lt;&gt;0,'Boletins Nuppa Site'!I2100,"NULL")</f>
        <v> 75.00</v>
      </c>
      <c r="G2100" s="30" t="str">
        <f aca="false">IF('Boletins Nuppa Site'!J2100&lt;&gt;0,'Boletins Nuppa Site'!J2100,"NULL")</f>
        <v> 75.00</v>
      </c>
      <c r="H2100" s="30" t="str">
        <f aca="false">IF('Boletins Nuppa Site'!K2100&lt;&gt;0,'Boletins Nuppa Site'!K2100,"NULL")</f>
        <v> 75.00</v>
      </c>
      <c r="I2100" s="0" t="str">
        <f aca="false">"INSERT INTO COTACAO (cot_id, cot_blt_id, cot_pap_id, cot_prc_comum, cot_prc_min, cot_prc_max, cot_prc_med, cot_prc_mediana) VALUES ("&amp;A2100&amp;", "&amp;B2100&amp;", "&amp;C2100&amp;", "&amp;D2100&amp;", "&amp;E2100&amp;", "&amp;F2100&amp;", "&amp;G2100&amp;", "&amp;H2100&amp;");"</f>
        <v>INSERT INTO COTACAO (cot_id, cot_blt_id, cot_pap_id, cot_prc_comum, cot_prc_min, cot_prc_max, cot_prc_med, cot_prc_mediana) VALUES (2099, 90, 29, NULL,  75.00,  75.00,  75.00,  75.00);</v>
      </c>
      <c r="J2100" s="0" t="str">
        <f aca="false">"UPDATE COTACAO SET cot_id = "&amp;A2100&amp;", cot_blt_id = "&amp;B2100&amp;", cot_pap_id = "&amp;C2100&amp;", cot_prc_comum = "&amp;D2100&amp;", cot_prc_min = "&amp;E2100&amp;", cot_prc_max = "&amp;F2100&amp;", cot_prc_med = "&amp;G2100&amp;", cot_prc_mediana = "&amp;H2100&amp;" WHERE cot_id = "&amp;A2100&amp;";"</f>
        <v>UPDATE COTACAO SET cot_id = 2099, cot_blt_id = 90, cot_pap_id = 29, cot_prc_comum = NULL, cot_prc_min =  75.00, cot_prc_max =  75.00, cot_prc_med =  75.00, cot_prc_mediana =  75.00 WHERE cot_id = 2099;</v>
      </c>
    </row>
    <row r="2101" customFormat="false" ht="14.25" hidden="false" customHeight="false" outlineLevel="0" collapsed="false">
      <c r="A2101" s="0" t="n">
        <v>2100</v>
      </c>
      <c r="B2101" s="0" t="n">
        <f aca="false">IF('Boletins Nuppa Site'!A2101&lt;&gt;0,'Boletins Nuppa Site'!A2101,"NULL")</f>
        <v>90</v>
      </c>
      <c r="C2101" s="0" t="n">
        <v>30</v>
      </c>
      <c r="D2101" s="0" t="str">
        <f aca="false">IF('Boletins Nuppa Site'!G2101&lt;&gt;0,'Boletins Nuppa Site'!G2101,"NULL")</f>
        <v>NULL</v>
      </c>
      <c r="E2101" s="30" t="str">
        <f aca="false">IF('Boletins Nuppa Site'!H2101&lt;&gt;0,'Boletins Nuppa Site'!H2101,"NULL")</f>
        <v> 75.00</v>
      </c>
      <c r="F2101" s="30" t="str">
        <f aca="false">IF('Boletins Nuppa Site'!I2101&lt;&gt;0,'Boletins Nuppa Site'!I2101,"NULL")</f>
        <v> 80.00</v>
      </c>
      <c r="G2101" s="30" t="str">
        <f aca="false">IF('Boletins Nuppa Site'!J2101&lt;&gt;0,'Boletins Nuppa Site'!J2101,"NULL")</f>
        <v> 77.50</v>
      </c>
      <c r="H2101" s="30" t="str">
        <f aca="false">IF('Boletins Nuppa Site'!K2101&lt;&gt;0,'Boletins Nuppa Site'!K2101,"NULL")</f>
        <v> 77.50</v>
      </c>
      <c r="I2101" s="0" t="str">
        <f aca="false">"INSERT INTO COTACAO (cot_id, cot_blt_id, cot_pap_id, cot_prc_comum, cot_prc_min, cot_prc_max, cot_prc_med, cot_prc_mediana) VALUES ("&amp;A2101&amp;", "&amp;B2101&amp;", "&amp;C2101&amp;", "&amp;D2101&amp;", "&amp;E2101&amp;", "&amp;F2101&amp;", "&amp;G2101&amp;", "&amp;H2101&amp;");"</f>
        <v>INSERT INTO COTACAO (cot_id, cot_blt_id, cot_pap_id, cot_prc_comum, cot_prc_min, cot_prc_max, cot_prc_med, cot_prc_mediana) VALUES (2100, 90, 30, NULL,  75.00,  80.00,  77.50,  77.50);</v>
      </c>
      <c r="J2101" s="0" t="str">
        <f aca="false">"UPDATE COTACAO SET cot_id = "&amp;A2101&amp;", cot_blt_id = "&amp;B2101&amp;", cot_pap_id = "&amp;C2101&amp;", cot_prc_comum = "&amp;D2101&amp;", cot_prc_min = "&amp;E2101&amp;", cot_prc_max = "&amp;F2101&amp;", cot_prc_med = "&amp;G2101&amp;", cot_prc_mediana = "&amp;H2101&amp;" WHERE cot_id = "&amp;A2101&amp;";"</f>
        <v>UPDATE COTACAO SET cot_id = 2100, cot_blt_id = 90, cot_pap_id = 30, cot_prc_comum = NULL, cot_prc_min =  75.00, cot_prc_max =  80.00, cot_prc_med =  77.50, cot_prc_mediana =  77.50 WHERE cot_id = 2100;</v>
      </c>
    </row>
    <row r="2102" customFormat="false" ht="14.25" hidden="false" customHeight="false" outlineLevel="0" collapsed="false">
      <c r="A2102" s="0" t="n">
        <v>2101</v>
      </c>
      <c r="B2102" s="0" t="n">
        <f aca="false">IF('Boletins Nuppa Site'!A2102&lt;&gt;0,'Boletins Nuppa Site'!A2102,"NULL")</f>
        <v>90</v>
      </c>
      <c r="C2102" s="0" t="n">
        <v>31</v>
      </c>
      <c r="D2102" s="0" t="str">
        <f aca="false">IF('Boletins Nuppa Site'!G2102&lt;&gt;0,'Boletins Nuppa Site'!G2102,"NULL")</f>
        <v>NULL</v>
      </c>
      <c r="E2102" s="30" t="str">
        <f aca="false">IF('Boletins Nuppa Site'!H2102&lt;&gt;0,'Boletins Nuppa Site'!H2102,"NULL")</f>
        <v> 60.00</v>
      </c>
      <c r="F2102" s="30" t="str">
        <f aca="false">IF('Boletins Nuppa Site'!I2102&lt;&gt;0,'Boletins Nuppa Site'!I2102,"NULL")</f>
        <v> 110.00</v>
      </c>
      <c r="G2102" s="30" t="str">
        <f aca="false">IF('Boletins Nuppa Site'!J2102&lt;&gt;0,'Boletins Nuppa Site'!J2102,"NULL")</f>
        <v> 86.25</v>
      </c>
      <c r="H2102" s="30" t="str">
        <f aca="false">IF('Boletins Nuppa Site'!K2102&lt;&gt;0,'Boletins Nuppa Site'!K2102,"NULL")</f>
        <v> 87.50</v>
      </c>
      <c r="I2102" s="0" t="str">
        <f aca="false">"INSERT INTO COTACAO (cot_id, cot_blt_id, cot_pap_id, cot_prc_comum, cot_prc_min, cot_prc_max, cot_prc_med, cot_prc_mediana) VALUES ("&amp;A2102&amp;", "&amp;B2102&amp;", "&amp;C2102&amp;", "&amp;D2102&amp;", "&amp;E2102&amp;", "&amp;F2102&amp;", "&amp;G2102&amp;", "&amp;H2102&amp;");"</f>
        <v>INSERT INTO COTACAO (cot_id, cot_blt_id, cot_pap_id, cot_prc_comum, cot_prc_min, cot_prc_max, cot_prc_med, cot_prc_mediana) VALUES (2101, 90, 31, NULL,  60.00,  110.00,  86.25,  87.50);</v>
      </c>
      <c r="J2102" s="0" t="str">
        <f aca="false">"UPDATE COTACAO SET cot_id = "&amp;A2102&amp;", cot_blt_id = "&amp;B2102&amp;", cot_pap_id = "&amp;C2102&amp;", cot_prc_comum = "&amp;D2102&amp;", cot_prc_min = "&amp;E2102&amp;", cot_prc_max = "&amp;F2102&amp;", cot_prc_med = "&amp;G2102&amp;", cot_prc_mediana = "&amp;H2102&amp;" WHERE cot_id = "&amp;A2102&amp;";"</f>
        <v>UPDATE COTACAO SET cot_id = 2101, cot_blt_id = 90, cot_pap_id = 31, cot_prc_comum = NULL, cot_prc_min =  60.00, cot_prc_max =  110.00, cot_prc_med =  86.25, cot_prc_mediana =  87.50 WHERE cot_id = 2101;</v>
      </c>
    </row>
    <row r="2103" customFormat="false" ht="14.25" hidden="false" customHeight="false" outlineLevel="0" collapsed="false">
      <c r="A2103" s="0" t="n">
        <v>2102</v>
      </c>
      <c r="B2103" s="0" t="n">
        <f aca="false">IF('Boletins Nuppa Site'!A2103&lt;&gt;0,'Boletins Nuppa Site'!A2103,"NULL")</f>
        <v>90</v>
      </c>
      <c r="C2103" s="0" t="n">
        <v>32</v>
      </c>
      <c r="D2103" s="0" t="str">
        <f aca="false">IF('Boletins Nuppa Site'!G2103&lt;&gt;0,'Boletins Nuppa Site'!G2103,"NULL")</f>
        <v>NULL</v>
      </c>
      <c r="E2103" s="30" t="str">
        <f aca="false">IF('Boletins Nuppa Site'!H2103&lt;&gt;0,'Boletins Nuppa Site'!H2103,"NULL")</f>
        <v> 25.00</v>
      </c>
      <c r="F2103" s="30" t="str">
        <f aca="false">IF('Boletins Nuppa Site'!I2103&lt;&gt;0,'Boletins Nuppa Site'!I2103,"NULL")</f>
        <v> 85.00</v>
      </c>
      <c r="G2103" s="30" t="str">
        <f aca="false">IF('Boletins Nuppa Site'!J2103&lt;&gt;0,'Boletins Nuppa Site'!J2103,"NULL")</f>
        <v> 45.00</v>
      </c>
      <c r="H2103" s="30" t="str">
        <f aca="false">IF('Boletins Nuppa Site'!K2103&lt;&gt;0,'Boletins Nuppa Site'!K2103,"NULL")</f>
        <v> 35.00</v>
      </c>
      <c r="I2103" s="0" t="str">
        <f aca="false">"INSERT INTO COTACAO (cot_id, cot_blt_id, cot_pap_id, cot_prc_comum, cot_prc_min, cot_prc_max, cot_prc_med, cot_prc_mediana) VALUES ("&amp;A2103&amp;", "&amp;B2103&amp;", "&amp;C2103&amp;", "&amp;D2103&amp;", "&amp;E2103&amp;", "&amp;F2103&amp;", "&amp;G2103&amp;", "&amp;H2103&amp;");"</f>
        <v>INSERT INTO COTACAO (cot_id, cot_blt_id, cot_pap_id, cot_prc_comum, cot_prc_min, cot_prc_max, cot_prc_med, cot_prc_mediana) VALUES (2102, 90, 32, NULL,  25.00,  85.00,  45.00,  35.00);</v>
      </c>
      <c r="J2103" s="0" t="str">
        <f aca="false">"UPDATE COTACAO SET cot_id = "&amp;A2103&amp;", cot_blt_id = "&amp;B2103&amp;", cot_pap_id = "&amp;C2103&amp;", cot_prc_comum = "&amp;D2103&amp;", cot_prc_min = "&amp;E2103&amp;", cot_prc_max = "&amp;F2103&amp;", cot_prc_med = "&amp;G2103&amp;", cot_prc_mediana = "&amp;H2103&amp;" WHERE cot_id = "&amp;A2103&amp;";"</f>
        <v>UPDATE COTACAO SET cot_id = 2102, cot_blt_id = 90, cot_pap_id = 32, cot_prc_comum = NULL, cot_prc_min =  25.00, cot_prc_max =  85.00, cot_prc_med =  45.00, cot_prc_mediana =  35.00 WHERE cot_id = 2102;</v>
      </c>
    </row>
    <row r="2104" customFormat="false" ht="14.25" hidden="false" customHeight="false" outlineLevel="0" collapsed="false">
      <c r="A2104" s="0" t="n">
        <v>2103</v>
      </c>
      <c r="B2104" s="0" t="n">
        <f aca="false">IF('Boletins Nuppa Site'!A2104&lt;&gt;0,'Boletins Nuppa Site'!A2104,"NULL")</f>
        <v>90</v>
      </c>
      <c r="C2104" s="0" t="n">
        <v>33</v>
      </c>
      <c r="D2104" s="0" t="str">
        <f aca="false">IF('Boletins Nuppa Site'!G2104&lt;&gt;0,'Boletins Nuppa Site'!G2104,"NULL")</f>
        <v> 70.00</v>
      </c>
      <c r="E2104" s="30" t="str">
        <f aca="false">IF('Boletins Nuppa Site'!H2104&lt;&gt;0,'Boletins Nuppa Site'!H2104,"NULL")</f>
        <v> 70.00</v>
      </c>
      <c r="F2104" s="30" t="str">
        <f aca="false">IF('Boletins Nuppa Site'!I2104&lt;&gt;0,'Boletins Nuppa Site'!I2104,"NULL")</f>
        <v> 100.00</v>
      </c>
      <c r="G2104" s="30" t="str">
        <f aca="false">IF('Boletins Nuppa Site'!J2104&lt;&gt;0,'Boletins Nuppa Site'!J2104,"NULL")</f>
        <v> 80.00</v>
      </c>
      <c r="H2104" s="30" t="str">
        <f aca="false">IF('Boletins Nuppa Site'!K2104&lt;&gt;0,'Boletins Nuppa Site'!K2104,"NULL")</f>
        <v> 70.00</v>
      </c>
      <c r="I2104" s="0" t="str">
        <f aca="false">"INSERT INTO COTACAO (cot_id, cot_blt_id, cot_pap_id, cot_prc_comum, cot_prc_min, cot_prc_max, cot_prc_med, cot_prc_mediana) VALUES ("&amp;A2104&amp;", "&amp;B2104&amp;", "&amp;C2104&amp;", "&amp;D2104&amp;", "&amp;E2104&amp;", "&amp;F2104&amp;", "&amp;G2104&amp;", "&amp;H2104&amp;");"</f>
        <v>INSERT INTO COTACAO (cot_id, cot_blt_id, cot_pap_id, cot_prc_comum, cot_prc_min, cot_prc_max, cot_prc_med, cot_prc_mediana) VALUES (2103, 90, 33,  70.00,  70.00,  100.00,  80.00,  70.00);</v>
      </c>
      <c r="J2104" s="0" t="str">
        <f aca="false">"UPDATE COTACAO SET cot_id = "&amp;A2104&amp;", cot_blt_id = "&amp;B2104&amp;", cot_pap_id = "&amp;C2104&amp;", cot_prc_comum = "&amp;D2104&amp;", cot_prc_min = "&amp;E2104&amp;", cot_prc_max = "&amp;F2104&amp;", cot_prc_med = "&amp;G2104&amp;", cot_prc_mediana = "&amp;H2104&amp;" WHERE cot_id = "&amp;A2104&amp;";"</f>
        <v>UPDATE COTACAO SET cot_id = 2103, cot_blt_id = 90, cot_pap_id = 33, cot_prc_comum =  70.00, cot_prc_min =  70.00, cot_prc_max =  100.00, cot_prc_med =  80.00, cot_prc_mediana =  70.00 WHERE cot_id = 2103;</v>
      </c>
    </row>
    <row r="2105" customFormat="false" ht="14.25" hidden="false" customHeight="false" outlineLevel="0" collapsed="false">
      <c r="A2105" s="0" t="n">
        <v>2104</v>
      </c>
      <c r="B2105" s="0" t="n">
        <f aca="false">IF('Boletins Nuppa Site'!A2105&lt;&gt;0,'Boletins Nuppa Site'!A2105,"NULL")</f>
        <v>90</v>
      </c>
      <c r="C2105" s="0" t="n">
        <v>34</v>
      </c>
      <c r="D2105" s="0" t="str">
        <f aca="false">IF('Boletins Nuppa Site'!G2105&lt;&gt;0,'Boletins Nuppa Site'!G2105,"NULL")</f>
        <v>NULL</v>
      </c>
      <c r="E2105" s="30" t="str">
        <f aca="false">IF('Boletins Nuppa Site'!H2105&lt;&gt;0,'Boletins Nuppa Site'!H2105,"NULL")</f>
        <v> 65.00</v>
      </c>
      <c r="F2105" s="30" t="str">
        <f aca="false">IF('Boletins Nuppa Site'!I2105&lt;&gt;0,'Boletins Nuppa Site'!I2105,"NULL")</f>
        <v> 100.00</v>
      </c>
      <c r="G2105" s="30" t="str">
        <f aca="false">IF('Boletins Nuppa Site'!J2105&lt;&gt;0,'Boletins Nuppa Site'!J2105,"NULL")</f>
        <v> 83.75</v>
      </c>
      <c r="H2105" s="30" t="str">
        <f aca="false">IF('Boletins Nuppa Site'!K2105&lt;&gt;0,'Boletins Nuppa Site'!K2105,"NULL")</f>
        <v> 85.00</v>
      </c>
      <c r="I2105" s="0" t="str">
        <f aca="false">"INSERT INTO COTACAO (cot_id, cot_blt_id, cot_pap_id, cot_prc_comum, cot_prc_min, cot_prc_max, cot_prc_med, cot_prc_mediana) VALUES ("&amp;A2105&amp;", "&amp;B2105&amp;", "&amp;C2105&amp;", "&amp;D2105&amp;", "&amp;E2105&amp;", "&amp;F2105&amp;", "&amp;G2105&amp;", "&amp;H2105&amp;");"</f>
        <v>INSERT INTO COTACAO (cot_id, cot_blt_id, cot_pap_id, cot_prc_comum, cot_prc_min, cot_prc_max, cot_prc_med, cot_prc_mediana) VALUES (2104, 90, 34, NULL,  65.00,  100.00,  83.75,  85.00);</v>
      </c>
      <c r="J2105" s="0" t="str">
        <f aca="false">"UPDATE COTACAO SET cot_id = "&amp;A2105&amp;", cot_blt_id = "&amp;B2105&amp;", cot_pap_id = "&amp;C2105&amp;", cot_prc_comum = "&amp;D2105&amp;", cot_prc_min = "&amp;E2105&amp;", cot_prc_max = "&amp;F2105&amp;", cot_prc_med = "&amp;G2105&amp;", cot_prc_mediana = "&amp;H2105&amp;" WHERE cot_id = "&amp;A2105&amp;";"</f>
        <v>UPDATE COTACAO SET cot_id = 2104, cot_blt_id = 90, cot_pap_id = 34, cot_prc_comum = NULL, cot_prc_min =  65.00, cot_prc_max =  100.00, cot_prc_med =  83.75, cot_prc_mediana =  85.00 WHERE cot_id = 2104;</v>
      </c>
    </row>
    <row r="2106" customFormat="false" ht="14.25" hidden="false" customHeight="false" outlineLevel="0" collapsed="false">
      <c r="A2106" s="0" t="n">
        <v>2105</v>
      </c>
      <c r="B2106" s="0" t="n">
        <f aca="false">IF('Boletins Nuppa Site'!A2106&lt;&gt;0,'Boletins Nuppa Site'!A2106,"NULL")</f>
        <v>90</v>
      </c>
      <c r="C2106" s="0" t="n">
        <v>35</v>
      </c>
      <c r="D2106" s="0" t="str">
        <f aca="false">IF('Boletins Nuppa Site'!G2106&lt;&gt;0,'Boletins Nuppa Site'!G2106,"NULL")</f>
        <v>NULL</v>
      </c>
      <c r="E2106" s="30" t="str">
        <f aca="false">IF('Boletins Nuppa Site'!H2106&lt;&gt;0,'Boletins Nuppa Site'!H2106,"NULL")</f>
        <v> 80.00</v>
      </c>
      <c r="F2106" s="30" t="str">
        <f aca="false">IF('Boletins Nuppa Site'!I2106&lt;&gt;0,'Boletins Nuppa Site'!I2106,"NULL")</f>
        <v> 150.00</v>
      </c>
      <c r="G2106" s="30" t="str">
        <f aca="false">IF('Boletins Nuppa Site'!J2106&lt;&gt;0,'Boletins Nuppa Site'!J2106,"NULL")</f>
        <v> 115.00</v>
      </c>
      <c r="H2106" s="30" t="str">
        <f aca="false">IF('Boletins Nuppa Site'!K2106&lt;&gt;0,'Boletins Nuppa Site'!K2106,"NULL")</f>
        <v> 115.00</v>
      </c>
      <c r="I2106" s="0" t="str">
        <f aca="false">"INSERT INTO COTACAO (cot_id, cot_blt_id, cot_pap_id, cot_prc_comum, cot_prc_min, cot_prc_max, cot_prc_med, cot_prc_mediana) VALUES ("&amp;A2106&amp;", "&amp;B2106&amp;", "&amp;C2106&amp;", "&amp;D2106&amp;", "&amp;E2106&amp;", "&amp;F2106&amp;", "&amp;G2106&amp;", "&amp;H2106&amp;");"</f>
        <v>INSERT INTO COTACAO (cot_id, cot_blt_id, cot_pap_id, cot_prc_comum, cot_prc_min, cot_prc_max, cot_prc_med, cot_prc_mediana) VALUES (2105, 90, 35, NULL,  80.00,  150.00,  115.00,  115.00);</v>
      </c>
      <c r="J2106" s="0" t="str">
        <f aca="false">"UPDATE COTACAO SET cot_id = "&amp;A2106&amp;", cot_blt_id = "&amp;B2106&amp;", cot_pap_id = "&amp;C2106&amp;", cot_prc_comum = "&amp;D2106&amp;", cot_prc_min = "&amp;E2106&amp;", cot_prc_max = "&amp;F2106&amp;", cot_prc_med = "&amp;G2106&amp;", cot_prc_mediana = "&amp;H2106&amp;" WHERE cot_id = "&amp;A2106&amp;";"</f>
        <v>UPDATE COTACAO SET cot_id = 2105, cot_blt_id = 90, cot_pap_id = 35, cot_prc_comum = NULL, cot_prc_min =  80.00, cot_prc_max =  150.00, cot_prc_med =  115.00, cot_prc_mediana =  115.00 WHERE cot_id = 2105;</v>
      </c>
    </row>
    <row r="2107" customFormat="false" ht="14.25" hidden="false" customHeight="false" outlineLevel="0" collapsed="false">
      <c r="A2107" s="0" t="n">
        <v>2106</v>
      </c>
      <c r="B2107" s="0" t="n">
        <f aca="false">IF('Boletins Nuppa Site'!A2107&lt;&gt;0,'Boletins Nuppa Site'!A2107,"NULL")</f>
        <v>90</v>
      </c>
      <c r="C2107" s="0" t="n">
        <v>36</v>
      </c>
      <c r="D2107" s="0" t="str">
        <f aca="false">IF('Boletins Nuppa Site'!G2107&lt;&gt;0,'Boletins Nuppa Site'!G2107,"NULL")</f>
        <v>NULL</v>
      </c>
      <c r="E2107" s="30" t="str">
        <f aca="false">IF('Boletins Nuppa Site'!H2107&lt;&gt;0,'Boletins Nuppa Site'!H2107,"NULL")</f>
        <v>NULL</v>
      </c>
      <c r="F2107" s="30" t="str">
        <f aca="false">IF('Boletins Nuppa Site'!I2107&lt;&gt;0,'Boletins Nuppa Site'!I2107,"NULL")</f>
        <v>NULL</v>
      </c>
      <c r="G2107" s="30" t="str">
        <f aca="false">IF('Boletins Nuppa Site'!J2107&lt;&gt;0,'Boletins Nuppa Site'!J2107,"NULL")</f>
        <v>NULL</v>
      </c>
      <c r="H2107" s="30" t="str">
        <f aca="false">IF('Boletins Nuppa Site'!K2107&lt;&gt;0,'Boletins Nuppa Site'!K2107,"NULL")</f>
        <v>NULL</v>
      </c>
      <c r="I2107" s="0" t="str">
        <f aca="false">"INSERT INTO COTACAO (cot_id, cot_blt_id, cot_pap_id, cot_prc_comum, cot_prc_min, cot_prc_max, cot_prc_med, cot_prc_mediana) VALUES ("&amp;A2107&amp;", "&amp;B2107&amp;", "&amp;C2107&amp;", "&amp;D2107&amp;", "&amp;E2107&amp;", "&amp;F2107&amp;", "&amp;G2107&amp;", "&amp;H2107&amp;");"</f>
        <v>INSERT INTO COTACAO (cot_id, cot_blt_id, cot_pap_id, cot_prc_comum, cot_prc_min, cot_prc_max, cot_prc_med, cot_prc_mediana) VALUES (2106, 90, 36, NULL, NULL, NULL, NULL, NULL);</v>
      </c>
      <c r="J2107" s="0" t="str">
        <f aca="false">"UPDATE COTACAO SET cot_id = "&amp;A2107&amp;", cot_blt_id = "&amp;B2107&amp;", cot_pap_id = "&amp;C2107&amp;", cot_prc_comum = "&amp;D2107&amp;", cot_prc_min = "&amp;E2107&amp;", cot_prc_max = "&amp;F2107&amp;", cot_prc_med = "&amp;G2107&amp;", cot_prc_mediana = "&amp;H2107&amp;" WHERE cot_id = "&amp;A2107&amp;";"</f>
        <v>UPDATE COTACAO SET cot_id = 2106, cot_blt_id = 90, cot_pap_id = 36, cot_prc_comum = NULL, cot_prc_min = NULL, cot_prc_max = NULL, cot_prc_med = NULL, cot_prc_mediana = NULL WHERE cot_id = 2106;</v>
      </c>
    </row>
    <row r="2108" customFormat="false" ht="14.25" hidden="false" customHeight="false" outlineLevel="0" collapsed="false">
      <c r="A2108" s="0" t="n">
        <v>2107</v>
      </c>
      <c r="B2108" s="0" t="n">
        <f aca="false">IF('Boletins Nuppa Site'!A2108&lt;&gt;0,'Boletins Nuppa Site'!A2108,"NULL")</f>
        <v>90</v>
      </c>
      <c r="C2108" s="0" t="n">
        <v>37</v>
      </c>
      <c r="D2108" s="0" t="str">
        <f aca="false">IF('Boletins Nuppa Site'!G2108&lt;&gt;0,'Boletins Nuppa Site'!G2108,"NULL")</f>
        <v>NULL</v>
      </c>
      <c r="E2108" s="30" t="str">
        <f aca="false">IF('Boletins Nuppa Site'!H2108&lt;&gt;0,'Boletins Nuppa Site'!H2108,"NULL")</f>
        <v>NULL</v>
      </c>
      <c r="F2108" s="30" t="str">
        <f aca="false">IF('Boletins Nuppa Site'!I2108&lt;&gt;0,'Boletins Nuppa Site'!I2108,"NULL")</f>
        <v>NULL</v>
      </c>
      <c r="G2108" s="30" t="str">
        <f aca="false">IF('Boletins Nuppa Site'!J2108&lt;&gt;0,'Boletins Nuppa Site'!J2108,"NULL")</f>
        <v>NULL</v>
      </c>
      <c r="H2108" s="30" t="str">
        <f aca="false">IF('Boletins Nuppa Site'!K2108&lt;&gt;0,'Boletins Nuppa Site'!K2108,"NULL")</f>
        <v>NULL</v>
      </c>
      <c r="I2108" s="0" t="str">
        <f aca="false">"INSERT INTO COTACAO (cot_id, cot_blt_id, cot_pap_id, cot_prc_comum, cot_prc_min, cot_prc_max, cot_prc_med, cot_prc_mediana) VALUES ("&amp;A2108&amp;", "&amp;B2108&amp;", "&amp;C2108&amp;", "&amp;D2108&amp;", "&amp;E2108&amp;", "&amp;F2108&amp;", "&amp;G2108&amp;", "&amp;H2108&amp;");"</f>
        <v>INSERT INTO COTACAO (cot_id, cot_blt_id, cot_pap_id, cot_prc_comum, cot_prc_min, cot_prc_max, cot_prc_med, cot_prc_mediana) VALUES (2107, 90, 37, NULL, NULL, NULL, NULL, NULL);</v>
      </c>
      <c r="J2108" s="0" t="str">
        <f aca="false">"UPDATE COTACAO SET cot_id = "&amp;A2108&amp;", cot_blt_id = "&amp;B2108&amp;", cot_pap_id = "&amp;C2108&amp;", cot_prc_comum = "&amp;D2108&amp;", cot_prc_min = "&amp;E2108&amp;", cot_prc_max = "&amp;F2108&amp;", cot_prc_med = "&amp;G2108&amp;", cot_prc_mediana = "&amp;H2108&amp;" WHERE cot_id = "&amp;A2108&amp;";"</f>
        <v>UPDATE COTACAO SET cot_id = 2107, cot_blt_id = 90, cot_pap_id = 37, cot_prc_comum = NULL, cot_prc_min = NULL, cot_prc_max = NULL, cot_prc_med = NULL, cot_prc_mediana = NULL WHERE cot_id = 2107;</v>
      </c>
    </row>
    <row r="2109" customFormat="false" ht="14.25" hidden="false" customHeight="false" outlineLevel="0" collapsed="false">
      <c r="A2109" s="0" t="n">
        <v>2108</v>
      </c>
      <c r="B2109" s="0" t="n">
        <f aca="false">IF('Boletins Nuppa Site'!A2109&lt;&gt;0,'Boletins Nuppa Site'!A2109,"NULL")</f>
        <v>90</v>
      </c>
      <c r="C2109" s="0" t="n">
        <v>38</v>
      </c>
      <c r="D2109" s="0" t="str">
        <f aca="false">IF('Boletins Nuppa Site'!G2109&lt;&gt;0,'Boletins Nuppa Site'!G2109,"NULL")</f>
        <v>NULL</v>
      </c>
      <c r="E2109" s="30" t="str">
        <f aca="false">IF('Boletins Nuppa Site'!H2109&lt;&gt;0,'Boletins Nuppa Site'!H2109,"NULL")</f>
        <v>NULL</v>
      </c>
      <c r="F2109" s="30" t="str">
        <f aca="false">IF('Boletins Nuppa Site'!I2109&lt;&gt;0,'Boletins Nuppa Site'!I2109,"NULL")</f>
        <v>NULL</v>
      </c>
      <c r="G2109" s="30" t="str">
        <f aca="false">IF('Boletins Nuppa Site'!J2109&lt;&gt;0,'Boletins Nuppa Site'!J2109,"NULL")</f>
        <v>NULL</v>
      </c>
      <c r="H2109" s="30" t="str">
        <f aca="false">IF('Boletins Nuppa Site'!K2109&lt;&gt;0,'Boletins Nuppa Site'!K2109,"NULL")</f>
        <v>NULL</v>
      </c>
      <c r="I2109" s="0" t="str">
        <f aca="false">"INSERT INTO COTACAO (cot_id, cot_blt_id, cot_pap_id, cot_prc_comum, cot_prc_min, cot_prc_max, cot_prc_med, cot_prc_mediana) VALUES ("&amp;A2109&amp;", "&amp;B2109&amp;", "&amp;C2109&amp;", "&amp;D2109&amp;", "&amp;E2109&amp;", "&amp;F2109&amp;", "&amp;G2109&amp;", "&amp;H2109&amp;");"</f>
        <v>INSERT INTO COTACAO (cot_id, cot_blt_id, cot_pap_id, cot_prc_comum, cot_prc_min, cot_prc_max, cot_prc_med, cot_prc_mediana) VALUES (2108, 90, 38, NULL, NULL, NULL, NULL, NULL);</v>
      </c>
      <c r="J2109" s="0" t="str">
        <f aca="false">"UPDATE COTACAO SET cot_id = "&amp;A2109&amp;", cot_blt_id = "&amp;B2109&amp;", cot_pap_id = "&amp;C2109&amp;", cot_prc_comum = "&amp;D2109&amp;", cot_prc_min = "&amp;E2109&amp;", cot_prc_max = "&amp;F2109&amp;", cot_prc_med = "&amp;G2109&amp;", cot_prc_mediana = "&amp;H2109&amp;" WHERE cot_id = "&amp;A2109&amp;";"</f>
        <v>UPDATE COTACAO SET cot_id = 2108, cot_blt_id = 90, cot_pap_id = 38, cot_prc_comum = NULL, cot_prc_min = NULL, cot_prc_max = NULL, cot_prc_med = NULL, cot_prc_mediana = NULL WHERE cot_id = 2108;</v>
      </c>
    </row>
    <row r="2110" customFormat="false" ht="14.25" hidden="false" customHeight="false" outlineLevel="0" collapsed="false">
      <c r="A2110" s="0" t="n">
        <v>2109</v>
      </c>
      <c r="B2110" s="0" t="n">
        <f aca="false">IF('Boletins Nuppa Site'!A2110&lt;&gt;0,'Boletins Nuppa Site'!A2110,"NULL")</f>
        <v>90</v>
      </c>
      <c r="C2110" s="0" t="n">
        <v>39</v>
      </c>
      <c r="D2110" s="0" t="str">
        <f aca="false">IF('Boletins Nuppa Site'!G2110&lt;&gt;0,'Boletins Nuppa Site'!G2110,"NULL")</f>
        <v>NULL</v>
      </c>
      <c r="E2110" s="30" t="str">
        <f aca="false">IF('Boletins Nuppa Site'!H2110&lt;&gt;0,'Boletins Nuppa Site'!H2110,"NULL")</f>
        <v>NULL</v>
      </c>
      <c r="F2110" s="30" t="str">
        <f aca="false">IF('Boletins Nuppa Site'!I2110&lt;&gt;0,'Boletins Nuppa Site'!I2110,"NULL")</f>
        <v>NULL</v>
      </c>
      <c r="G2110" s="30" t="str">
        <f aca="false">IF('Boletins Nuppa Site'!J2110&lt;&gt;0,'Boletins Nuppa Site'!J2110,"NULL")</f>
        <v>NULL</v>
      </c>
      <c r="H2110" s="30" t="str">
        <f aca="false">IF('Boletins Nuppa Site'!K2110&lt;&gt;0,'Boletins Nuppa Site'!K2110,"NULL")</f>
        <v>NULL</v>
      </c>
      <c r="I2110" s="0" t="str">
        <f aca="false">"INSERT INTO COTACAO (cot_id, cot_blt_id, cot_pap_id, cot_prc_comum, cot_prc_min, cot_prc_max, cot_prc_med, cot_prc_mediana) VALUES ("&amp;A2110&amp;", "&amp;B2110&amp;", "&amp;C2110&amp;", "&amp;D2110&amp;", "&amp;E2110&amp;", "&amp;F2110&amp;", "&amp;G2110&amp;", "&amp;H2110&amp;");"</f>
        <v>INSERT INTO COTACAO (cot_id, cot_blt_id, cot_pap_id, cot_prc_comum, cot_prc_min, cot_prc_max, cot_prc_med, cot_prc_mediana) VALUES (2109, 90, 39, NULL, NULL, NULL, NULL, NULL);</v>
      </c>
      <c r="J2110" s="0" t="str">
        <f aca="false">"UPDATE COTACAO SET cot_id = "&amp;A2110&amp;", cot_blt_id = "&amp;B2110&amp;", cot_pap_id = "&amp;C2110&amp;", cot_prc_comum = "&amp;D2110&amp;", cot_prc_min = "&amp;E2110&amp;", cot_prc_max = "&amp;F2110&amp;", cot_prc_med = "&amp;G2110&amp;", cot_prc_mediana = "&amp;H2110&amp;" WHERE cot_id = "&amp;A2110&amp;";"</f>
        <v>UPDATE COTACAO SET cot_id = 2109, cot_blt_id = 90, cot_pap_id = 39, cot_prc_comum = NULL, cot_prc_min = NULL, cot_prc_max = NULL, cot_prc_med = NULL, cot_prc_mediana = NULL WHERE cot_id = 2109;</v>
      </c>
    </row>
    <row r="2111" customFormat="false" ht="14.25" hidden="false" customHeight="false" outlineLevel="0" collapsed="false">
      <c r="A2111" s="0" t="n">
        <v>2110</v>
      </c>
      <c r="B2111" s="0" t="n">
        <f aca="false">IF('Boletins Nuppa Site'!A2111&lt;&gt;0,'Boletins Nuppa Site'!A2111,"NULL")</f>
        <v>90</v>
      </c>
      <c r="C2111" s="0" t="n">
        <v>40</v>
      </c>
      <c r="D2111" s="0" t="str">
        <f aca="false">IF('Boletins Nuppa Site'!G2111&lt;&gt;0,'Boletins Nuppa Site'!G2111,"NULL")</f>
        <v>NULL</v>
      </c>
      <c r="E2111" s="30" t="str">
        <f aca="false">IF('Boletins Nuppa Site'!H2111&lt;&gt;0,'Boletins Nuppa Site'!H2111,"NULL")</f>
        <v>NULL</v>
      </c>
      <c r="F2111" s="30" t="str">
        <f aca="false">IF('Boletins Nuppa Site'!I2111&lt;&gt;0,'Boletins Nuppa Site'!I2111,"NULL")</f>
        <v>NULL</v>
      </c>
      <c r="G2111" s="30" t="str">
        <f aca="false">IF('Boletins Nuppa Site'!J2111&lt;&gt;0,'Boletins Nuppa Site'!J2111,"NULL")</f>
        <v>NULL</v>
      </c>
      <c r="H2111" s="30" t="str">
        <f aca="false">IF('Boletins Nuppa Site'!K2111&lt;&gt;0,'Boletins Nuppa Site'!K2111,"NULL")</f>
        <v>NULL</v>
      </c>
      <c r="I2111" s="0" t="str">
        <f aca="false">"INSERT INTO COTACAO (cot_id, cot_blt_id, cot_pap_id, cot_prc_comum, cot_prc_min, cot_prc_max, cot_prc_med, cot_prc_mediana) VALUES ("&amp;A2111&amp;", "&amp;B2111&amp;", "&amp;C2111&amp;", "&amp;D2111&amp;", "&amp;E2111&amp;", "&amp;F2111&amp;", "&amp;G2111&amp;", "&amp;H2111&amp;");"</f>
        <v>INSERT INTO COTACAO (cot_id, cot_blt_id, cot_pap_id, cot_prc_comum, cot_prc_min, cot_prc_max, cot_prc_med, cot_prc_mediana) VALUES (2110, 90, 40, NULL, NULL, NULL, NULL, NULL);</v>
      </c>
      <c r="J2111" s="0" t="str">
        <f aca="false">"UPDATE COTACAO SET cot_id = "&amp;A2111&amp;", cot_blt_id = "&amp;B2111&amp;", cot_pap_id = "&amp;C2111&amp;", cot_prc_comum = "&amp;D2111&amp;", cot_prc_min = "&amp;E2111&amp;", cot_prc_max = "&amp;F2111&amp;", cot_prc_med = "&amp;G2111&amp;", cot_prc_mediana = "&amp;H2111&amp;" WHERE cot_id = "&amp;A2111&amp;";"</f>
        <v>UPDATE COTACAO SET cot_id = 2110, cot_blt_id = 90, cot_pap_id = 40, cot_prc_comum = NULL, cot_prc_min = NULL, cot_prc_max = NULL, cot_prc_med = NULL, cot_prc_mediana = NULL WHERE cot_id = 2110;</v>
      </c>
    </row>
    <row r="2112" customFormat="false" ht="14.25" hidden="false" customHeight="false" outlineLevel="0" collapsed="false">
      <c r="A2112" s="0" t="n">
        <v>2111</v>
      </c>
      <c r="B2112" s="0" t="n">
        <f aca="false">IF('Boletins Nuppa Site'!A2112&lt;&gt;0,'Boletins Nuppa Site'!A2112,"NULL")</f>
        <v>91</v>
      </c>
      <c r="C2112" s="0" t="n">
        <v>1</v>
      </c>
      <c r="D2112" s="0" t="str">
        <f aca="false">IF('Boletins Nuppa Site'!G2112&lt;&gt;0,'Boletins Nuppa Site'!G2112,"NULL")</f>
        <v>NULL</v>
      </c>
      <c r="E2112" s="30" t="str">
        <f aca="false">IF('Boletins Nuppa Site'!H2112&lt;&gt;0,'Boletins Nuppa Site'!H2112,"NULL")</f>
        <v> 48.00</v>
      </c>
      <c r="F2112" s="30" t="str">
        <f aca="false">IF('Boletins Nuppa Site'!I2112&lt;&gt;0,'Boletins Nuppa Site'!I2112,"NULL")</f>
        <v> 72.00</v>
      </c>
      <c r="G2112" s="30" t="str">
        <f aca="false">IF('Boletins Nuppa Site'!J2112&lt;&gt;0,'Boletins Nuppa Site'!J2112,"NULL")</f>
        <v> 60.00</v>
      </c>
      <c r="H2112" s="30" t="str">
        <f aca="false">IF('Boletins Nuppa Site'!K2112&lt;&gt;0,'Boletins Nuppa Site'!K2112,"NULL")</f>
        <v> 60.00</v>
      </c>
      <c r="I2112" s="0" t="str">
        <f aca="false">"INSERT INTO COTACAO (cot_id, cot_blt_id, cot_pap_id, cot_prc_comum, cot_prc_min, cot_prc_max, cot_prc_med, cot_prc_mediana) VALUES ("&amp;A2112&amp;", "&amp;B2112&amp;", "&amp;C2112&amp;", "&amp;D2112&amp;", "&amp;E2112&amp;", "&amp;F2112&amp;", "&amp;G2112&amp;", "&amp;H2112&amp;");"</f>
        <v>INSERT INTO COTACAO (cot_id, cot_blt_id, cot_pap_id, cot_prc_comum, cot_prc_min, cot_prc_max, cot_prc_med, cot_prc_mediana) VALUES (2111, 91, 1, NULL,  48.00,  72.00,  60.00,  60.00);</v>
      </c>
      <c r="J2112" s="0" t="str">
        <f aca="false">"UPDATE COTACAO SET cot_id = "&amp;A2112&amp;", cot_blt_id = "&amp;B2112&amp;", cot_pap_id = "&amp;C2112&amp;", cot_prc_comum = "&amp;D2112&amp;", cot_prc_min = "&amp;E2112&amp;", cot_prc_max = "&amp;F2112&amp;", cot_prc_med = "&amp;G2112&amp;", cot_prc_mediana = "&amp;H2112&amp;" WHERE cot_id = "&amp;A2112&amp;";"</f>
        <v>UPDATE COTACAO SET cot_id = 2111, cot_blt_id = 91, cot_pap_id = 1, cot_prc_comum = NULL, cot_prc_min =  48.00, cot_prc_max =  72.00, cot_prc_med =  60.00, cot_prc_mediana =  60.00 WHERE cot_id = 2111;</v>
      </c>
    </row>
    <row r="2113" customFormat="false" ht="14.25" hidden="false" customHeight="false" outlineLevel="0" collapsed="false">
      <c r="A2113" s="0" t="n">
        <v>2112</v>
      </c>
      <c r="B2113" s="0" t="n">
        <f aca="false">IF('Boletins Nuppa Site'!A2113&lt;&gt;0,'Boletins Nuppa Site'!A2113,"NULL")</f>
        <v>91</v>
      </c>
      <c r="C2113" s="0" t="n">
        <v>2</v>
      </c>
      <c r="D2113" s="0" t="str">
        <f aca="false">IF('Boletins Nuppa Site'!G2113&lt;&gt;0,'Boletins Nuppa Site'!G2113,"NULL")</f>
        <v> 96.00</v>
      </c>
      <c r="E2113" s="30" t="str">
        <f aca="false">IF('Boletins Nuppa Site'!H2113&lt;&gt;0,'Boletins Nuppa Site'!H2113,"NULL")</f>
        <v> 54.00</v>
      </c>
      <c r="F2113" s="30" t="str">
        <f aca="false">IF('Boletins Nuppa Site'!I2113&lt;&gt;0,'Boletins Nuppa Site'!I2113,"NULL")</f>
        <v> 96.00</v>
      </c>
      <c r="G2113" s="30" t="str">
        <f aca="false">IF('Boletins Nuppa Site'!J2113&lt;&gt;0,'Boletins Nuppa Site'!J2113,"NULL")</f>
        <v> 82.00</v>
      </c>
      <c r="H2113" s="30" t="str">
        <f aca="false">IF('Boletins Nuppa Site'!K2113&lt;&gt;0,'Boletins Nuppa Site'!K2113,"NULL")</f>
        <v> 96.00</v>
      </c>
      <c r="I2113" s="0" t="str">
        <f aca="false">"INSERT INTO COTACAO (cot_id, cot_blt_id, cot_pap_id, cot_prc_comum, cot_prc_min, cot_prc_max, cot_prc_med, cot_prc_mediana) VALUES ("&amp;A2113&amp;", "&amp;B2113&amp;", "&amp;C2113&amp;", "&amp;D2113&amp;", "&amp;E2113&amp;", "&amp;F2113&amp;", "&amp;G2113&amp;", "&amp;H2113&amp;");"</f>
        <v>INSERT INTO COTACAO (cot_id, cot_blt_id, cot_pap_id, cot_prc_comum, cot_prc_min, cot_prc_max, cot_prc_med, cot_prc_mediana) VALUES (2112, 91, 2,  96.00,  54.00,  96.00,  82.00,  96.00);</v>
      </c>
      <c r="J2113" s="0" t="str">
        <f aca="false">"UPDATE COTACAO SET cot_id = "&amp;A2113&amp;", cot_blt_id = "&amp;B2113&amp;", cot_pap_id = "&amp;C2113&amp;", cot_prc_comum = "&amp;D2113&amp;", cot_prc_min = "&amp;E2113&amp;", cot_prc_max = "&amp;F2113&amp;", cot_prc_med = "&amp;G2113&amp;", cot_prc_mediana = "&amp;H2113&amp;" WHERE cot_id = "&amp;A2113&amp;";"</f>
        <v>UPDATE COTACAO SET cot_id = 2112, cot_blt_id = 91, cot_pap_id = 2, cot_prc_comum =  96.00, cot_prc_min =  54.00, cot_prc_max =  96.00, cot_prc_med =  82.00, cot_prc_mediana =  96.00 WHERE cot_id = 2112;</v>
      </c>
    </row>
    <row r="2114" customFormat="false" ht="14.25" hidden="false" customHeight="false" outlineLevel="0" collapsed="false">
      <c r="A2114" s="0" t="n">
        <v>2113</v>
      </c>
      <c r="B2114" s="0" t="n">
        <f aca="false">IF('Boletins Nuppa Site'!A2114&lt;&gt;0,'Boletins Nuppa Site'!A2114,"NULL")</f>
        <v>91</v>
      </c>
      <c r="C2114" s="0" t="n">
        <v>3</v>
      </c>
      <c r="D2114" s="0" t="str">
        <f aca="false">IF('Boletins Nuppa Site'!G2114&lt;&gt;0,'Boletins Nuppa Site'!G2114,"NULL")</f>
        <v> 48.00</v>
      </c>
      <c r="E2114" s="30" t="str">
        <f aca="false">IF('Boletins Nuppa Site'!H2114&lt;&gt;0,'Boletins Nuppa Site'!H2114,"NULL")</f>
        <v> 48.00</v>
      </c>
      <c r="F2114" s="30" t="str">
        <f aca="false">IF('Boletins Nuppa Site'!I2114&lt;&gt;0,'Boletins Nuppa Site'!I2114,"NULL")</f>
        <v> 60.00</v>
      </c>
      <c r="G2114" s="30" t="str">
        <f aca="false">IF('Boletins Nuppa Site'!J2114&lt;&gt;0,'Boletins Nuppa Site'!J2114,"NULL")</f>
        <v> 52.00</v>
      </c>
      <c r="H2114" s="30" t="str">
        <f aca="false">IF('Boletins Nuppa Site'!K2114&lt;&gt;0,'Boletins Nuppa Site'!K2114,"NULL")</f>
        <v> 48.00</v>
      </c>
      <c r="I2114" s="0" t="str">
        <f aca="false">"INSERT INTO COTACAO (cot_id, cot_blt_id, cot_pap_id, cot_prc_comum, cot_prc_min, cot_prc_max, cot_prc_med, cot_prc_mediana) VALUES ("&amp;A2114&amp;", "&amp;B2114&amp;", "&amp;C2114&amp;", "&amp;D2114&amp;", "&amp;E2114&amp;", "&amp;F2114&amp;", "&amp;G2114&amp;", "&amp;H2114&amp;");"</f>
        <v>INSERT INTO COTACAO (cot_id, cot_blt_id, cot_pap_id, cot_prc_comum, cot_prc_min, cot_prc_max, cot_prc_med, cot_prc_mediana) VALUES (2113, 91, 3,  48.00,  48.00,  60.00,  52.00,  48.00);</v>
      </c>
      <c r="J2114" s="0" t="str">
        <f aca="false">"UPDATE COTACAO SET cot_id = "&amp;A2114&amp;", cot_blt_id = "&amp;B2114&amp;", cot_pap_id = "&amp;C2114&amp;", cot_prc_comum = "&amp;D2114&amp;", cot_prc_min = "&amp;E2114&amp;", cot_prc_max = "&amp;F2114&amp;", cot_prc_med = "&amp;G2114&amp;", cot_prc_mediana = "&amp;H2114&amp;" WHERE cot_id = "&amp;A2114&amp;";"</f>
        <v>UPDATE COTACAO SET cot_id = 2113, cot_blt_id = 91, cot_pap_id = 3, cot_prc_comum =  48.00, cot_prc_min =  48.00, cot_prc_max =  60.00, cot_prc_med =  52.00, cot_prc_mediana =  48.00 WHERE cot_id = 2113;</v>
      </c>
    </row>
    <row r="2115" customFormat="false" ht="14.25" hidden="false" customHeight="false" outlineLevel="0" collapsed="false">
      <c r="A2115" s="0" t="n">
        <v>2114</v>
      </c>
      <c r="B2115" s="0" t="n">
        <f aca="false">IF('Boletins Nuppa Site'!A2115&lt;&gt;0,'Boletins Nuppa Site'!A2115,"NULL")</f>
        <v>91</v>
      </c>
      <c r="C2115" s="0" t="n">
        <v>4</v>
      </c>
      <c r="D2115" s="0" t="str">
        <f aca="false">IF('Boletins Nuppa Site'!G2115&lt;&gt;0,'Boletins Nuppa Site'!G2115,"NULL")</f>
        <v>NULL</v>
      </c>
      <c r="E2115" s="30" t="str">
        <f aca="false">IF('Boletins Nuppa Site'!H2115&lt;&gt;0,'Boletins Nuppa Site'!H2115,"NULL")</f>
        <v> 30.00</v>
      </c>
      <c r="F2115" s="30" t="str">
        <f aca="false">IF('Boletins Nuppa Site'!I2115&lt;&gt;0,'Boletins Nuppa Site'!I2115,"NULL")</f>
        <v> 36.00</v>
      </c>
      <c r="G2115" s="30" t="str">
        <f aca="false">IF('Boletins Nuppa Site'!J2115&lt;&gt;0,'Boletins Nuppa Site'!J2115,"NULL")</f>
        <v> 33.00</v>
      </c>
      <c r="H2115" s="30" t="str">
        <f aca="false">IF('Boletins Nuppa Site'!K2115&lt;&gt;0,'Boletins Nuppa Site'!K2115,"NULL")</f>
        <v> 33.00</v>
      </c>
      <c r="I2115" s="0" t="str">
        <f aca="false">"INSERT INTO COTACAO (cot_id, cot_blt_id, cot_pap_id, cot_prc_comum, cot_prc_min, cot_prc_max, cot_prc_med, cot_prc_mediana) VALUES ("&amp;A2115&amp;", "&amp;B2115&amp;", "&amp;C2115&amp;", "&amp;D2115&amp;", "&amp;E2115&amp;", "&amp;F2115&amp;", "&amp;G2115&amp;", "&amp;H2115&amp;");"</f>
        <v>INSERT INTO COTACAO (cot_id, cot_blt_id, cot_pap_id, cot_prc_comum, cot_prc_min, cot_prc_max, cot_prc_med, cot_prc_mediana) VALUES (2114, 91, 4, NULL,  30.00,  36.00,  33.00,  33.00);</v>
      </c>
      <c r="J2115" s="0" t="str">
        <f aca="false">"UPDATE COTACAO SET cot_id = "&amp;A2115&amp;", cot_blt_id = "&amp;B2115&amp;", cot_pap_id = "&amp;C2115&amp;", cot_prc_comum = "&amp;D2115&amp;", cot_prc_min = "&amp;E2115&amp;", cot_prc_max = "&amp;F2115&amp;", cot_prc_med = "&amp;G2115&amp;", cot_prc_mediana = "&amp;H2115&amp;" WHERE cot_id = "&amp;A2115&amp;";"</f>
        <v>UPDATE COTACAO SET cot_id = 2114, cot_blt_id = 91, cot_pap_id = 4, cot_prc_comum = NULL, cot_prc_min =  30.00, cot_prc_max =  36.00, cot_prc_med =  33.00, cot_prc_mediana =  33.00 WHERE cot_id = 2114;</v>
      </c>
    </row>
    <row r="2116" customFormat="false" ht="14.25" hidden="false" customHeight="false" outlineLevel="0" collapsed="false">
      <c r="A2116" s="0" t="n">
        <v>2115</v>
      </c>
      <c r="B2116" s="0" t="n">
        <f aca="false">IF('Boletins Nuppa Site'!A2116&lt;&gt;0,'Boletins Nuppa Site'!A2116,"NULL")</f>
        <v>91</v>
      </c>
      <c r="C2116" s="0" t="n">
        <v>5</v>
      </c>
      <c r="D2116" s="0" t="str">
        <f aca="false">IF('Boletins Nuppa Site'!G2116&lt;&gt;0,'Boletins Nuppa Site'!G2116,"NULL")</f>
        <v> 30.00</v>
      </c>
      <c r="E2116" s="30" t="str">
        <f aca="false">IF('Boletins Nuppa Site'!H2116&lt;&gt;0,'Boletins Nuppa Site'!H2116,"NULL")</f>
        <v> 30.00</v>
      </c>
      <c r="F2116" s="30" t="str">
        <f aca="false">IF('Boletins Nuppa Site'!I2116&lt;&gt;0,'Boletins Nuppa Site'!I2116,"NULL")</f>
        <v> 33.00</v>
      </c>
      <c r="G2116" s="30" t="str">
        <f aca="false">IF('Boletins Nuppa Site'!J2116&lt;&gt;0,'Boletins Nuppa Site'!J2116,"NULL")</f>
        <v> 31.00</v>
      </c>
      <c r="H2116" s="30" t="str">
        <f aca="false">IF('Boletins Nuppa Site'!K2116&lt;&gt;0,'Boletins Nuppa Site'!K2116,"NULL")</f>
        <v> 30.00</v>
      </c>
      <c r="I2116" s="0" t="str">
        <f aca="false">"INSERT INTO COTACAO (cot_id, cot_blt_id, cot_pap_id, cot_prc_comum, cot_prc_min, cot_prc_max, cot_prc_med, cot_prc_mediana) VALUES ("&amp;A2116&amp;", "&amp;B2116&amp;", "&amp;C2116&amp;", "&amp;D2116&amp;", "&amp;E2116&amp;", "&amp;F2116&amp;", "&amp;G2116&amp;", "&amp;H2116&amp;");"</f>
        <v>INSERT INTO COTACAO (cot_id, cot_blt_id, cot_pap_id, cot_prc_comum, cot_prc_min, cot_prc_max, cot_prc_med, cot_prc_mediana) VALUES (2115, 91, 5,  30.00,  30.00,  33.00,  31.00,  30.00);</v>
      </c>
      <c r="J2116" s="0" t="str">
        <f aca="false">"UPDATE COTACAO SET cot_id = "&amp;A2116&amp;", cot_blt_id = "&amp;B2116&amp;", cot_pap_id = "&amp;C2116&amp;", cot_prc_comum = "&amp;D2116&amp;", cot_prc_min = "&amp;E2116&amp;", cot_prc_max = "&amp;F2116&amp;", cot_prc_med = "&amp;G2116&amp;", cot_prc_mediana = "&amp;H2116&amp;" WHERE cot_id = "&amp;A2116&amp;";"</f>
        <v>UPDATE COTACAO SET cot_id = 2115, cot_blt_id = 91, cot_pap_id = 5, cot_prc_comum =  30.00, cot_prc_min =  30.00, cot_prc_max =  33.00, cot_prc_med =  31.00, cot_prc_mediana =  30.00 WHERE cot_id = 2115;</v>
      </c>
    </row>
    <row r="2117" customFormat="false" ht="14.25" hidden="false" customHeight="false" outlineLevel="0" collapsed="false">
      <c r="A2117" s="0" t="n">
        <v>2116</v>
      </c>
      <c r="B2117" s="0" t="n">
        <f aca="false">IF('Boletins Nuppa Site'!A2117&lt;&gt;0,'Boletins Nuppa Site'!A2117,"NULL")</f>
        <v>91</v>
      </c>
      <c r="C2117" s="0" t="n">
        <v>6</v>
      </c>
      <c r="D2117" s="0" t="str">
        <f aca="false">IF('Boletins Nuppa Site'!G2117&lt;&gt;0,'Boletins Nuppa Site'!G2117,"NULL")</f>
        <v> 60.00</v>
      </c>
      <c r="E2117" s="30" t="str">
        <f aca="false">IF('Boletins Nuppa Site'!H2117&lt;&gt;0,'Boletins Nuppa Site'!H2117,"NULL")</f>
        <v> 60.00</v>
      </c>
      <c r="F2117" s="30" t="str">
        <f aca="false">IF('Boletins Nuppa Site'!I2117&lt;&gt;0,'Boletins Nuppa Site'!I2117,"NULL")</f>
        <v> 66.00</v>
      </c>
      <c r="G2117" s="30" t="str">
        <f aca="false">IF('Boletins Nuppa Site'!J2117&lt;&gt;0,'Boletins Nuppa Site'!J2117,"NULL")</f>
        <v> 62.00</v>
      </c>
      <c r="H2117" s="30" t="str">
        <f aca="false">IF('Boletins Nuppa Site'!K2117&lt;&gt;0,'Boletins Nuppa Site'!K2117,"NULL")</f>
        <v> 60.00</v>
      </c>
      <c r="I2117" s="0" t="str">
        <f aca="false">"INSERT INTO COTACAO (cot_id, cot_blt_id, cot_pap_id, cot_prc_comum, cot_prc_min, cot_prc_max, cot_prc_med, cot_prc_mediana) VALUES ("&amp;A2117&amp;", "&amp;B2117&amp;", "&amp;C2117&amp;", "&amp;D2117&amp;", "&amp;E2117&amp;", "&amp;F2117&amp;", "&amp;G2117&amp;", "&amp;H2117&amp;");"</f>
        <v>INSERT INTO COTACAO (cot_id, cot_blt_id, cot_pap_id, cot_prc_comum, cot_prc_min, cot_prc_max, cot_prc_med, cot_prc_mediana) VALUES (2116, 91, 6,  60.00,  60.00,  66.00,  62.00,  60.00);</v>
      </c>
      <c r="J2117" s="0" t="str">
        <f aca="false">"UPDATE COTACAO SET cot_id = "&amp;A2117&amp;", cot_blt_id = "&amp;B2117&amp;", cot_pap_id = "&amp;C2117&amp;", cot_prc_comum = "&amp;D2117&amp;", cot_prc_min = "&amp;E2117&amp;", cot_prc_max = "&amp;F2117&amp;", cot_prc_med = "&amp;G2117&amp;", cot_prc_mediana = "&amp;H2117&amp;" WHERE cot_id = "&amp;A2117&amp;";"</f>
        <v>UPDATE COTACAO SET cot_id = 2116, cot_blt_id = 91, cot_pap_id = 6, cot_prc_comum =  60.00, cot_prc_min =  60.00, cot_prc_max =  66.00, cot_prc_med =  62.00, cot_prc_mediana =  60.00 WHERE cot_id = 2116;</v>
      </c>
    </row>
    <row r="2118" customFormat="false" ht="14.25" hidden="false" customHeight="false" outlineLevel="0" collapsed="false">
      <c r="A2118" s="0" t="n">
        <v>2117</v>
      </c>
      <c r="B2118" s="0" t="n">
        <f aca="false">IF('Boletins Nuppa Site'!A2118&lt;&gt;0,'Boletins Nuppa Site'!A2118,"NULL")</f>
        <v>91</v>
      </c>
      <c r="C2118" s="0" t="n">
        <v>7</v>
      </c>
      <c r="D2118" s="0" t="str">
        <f aca="false">IF('Boletins Nuppa Site'!G2118&lt;&gt;0,'Boletins Nuppa Site'!G2118,"NULL")</f>
        <v>NULL</v>
      </c>
      <c r="E2118" s="30" t="str">
        <f aca="false">IF('Boletins Nuppa Site'!H2118&lt;&gt;0,'Boletins Nuppa Site'!H2118,"NULL")</f>
        <v> 60.00</v>
      </c>
      <c r="F2118" s="30" t="str">
        <f aca="false">IF('Boletins Nuppa Site'!I2118&lt;&gt;0,'Boletins Nuppa Site'!I2118,"NULL")</f>
        <v> 144.00</v>
      </c>
      <c r="G2118" s="30" t="str">
        <f aca="false">IF('Boletins Nuppa Site'!J2118&lt;&gt;0,'Boletins Nuppa Site'!J2118,"NULL")</f>
        <v> 104.00</v>
      </c>
      <c r="H2118" s="30" t="str">
        <f aca="false">IF('Boletins Nuppa Site'!K2118&lt;&gt;0,'Boletins Nuppa Site'!K2118,"NULL")</f>
        <v> 108.00</v>
      </c>
      <c r="I2118" s="0" t="str">
        <f aca="false">"INSERT INTO COTACAO (cot_id, cot_blt_id, cot_pap_id, cot_prc_comum, cot_prc_min, cot_prc_max, cot_prc_med, cot_prc_mediana) VALUES ("&amp;A2118&amp;", "&amp;B2118&amp;", "&amp;C2118&amp;", "&amp;D2118&amp;", "&amp;E2118&amp;", "&amp;F2118&amp;", "&amp;G2118&amp;", "&amp;H2118&amp;");"</f>
        <v>INSERT INTO COTACAO (cot_id, cot_blt_id, cot_pap_id, cot_prc_comum, cot_prc_min, cot_prc_max, cot_prc_med, cot_prc_mediana) VALUES (2117, 91, 7, NULL,  60.00,  144.00,  104.00,  108.00);</v>
      </c>
      <c r="J2118" s="0" t="str">
        <f aca="false">"UPDATE COTACAO SET cot_id = "&amp;A2118&amp;", cot_blt_id = "&amp;B2118&amp;", cot_pap_id = "&amp;C2118&amp;", cot_prc_comum = "&amp;D2118&amp;", cot_prc_min = "&amp;E2118&amp;", cot_prc_max = "&amp;F2118&amp;", cot_prc_med = "&amp;G2118&amp;", cot_prc_mediana = "&amp;H2118&amp;" WHERE cot_id = "&amp;A2118&amp;";"</f>
        <v>UPDATE COTACAO SET cot_id = 2117, cot_blt_id = 91, cot_pap_id = 7, cot_prc_comum = NULL, cot_prc_min =  60.00, cot_prc_max =  144.00, cot_prc_med =  104.00, cot_prc_mediana =  108.00 WHERE cot_id = 2117;</v>
      </c>
    </row>
    <row r="2119" customFormat="false" ht="14.25" hidden="false" customHeight="false" outlineLevel="0" collapsed="false">
      <c r="A2119" s="0" t="n">
        <v>2118</v>
      </c>
      <c r="B2119" s="0" t="n">
        <f aca="false">IF('Boletins Nuppa Site'!A2119&lt;&gt;0,'Boletins Nuppa Site'!A2119,"NULL")</f>
        <v>91</v>
      </c>
      <c r="C2119" s="0" t="n">
        <v>8</v>
      </c>
      <c r="D2119" s="0" t="str">
        <f aca="false">IF('Boletins Nuppa Site'!G2119&lt;&gt;0,'Boletins Nuppa Site'!G2119,"NULL")</f>
        <v>NULL</v>
      </c>
      <c r="E2119" s="30" t="str">
        <f aca="false">IF('Boletins Nuppa Site'!H2119&lt;&gt;0,'Boletins Nuppa Site'!H2119,"NULL")</f>
        <v> 72.00</v>
      </c>
      <c r="F2119" s="30" t="str">
        <f aca="false">IF('Boletins Nuppa Site'!I2119&lt;&gt;0,'Boletins Nuppa Site'!I2119,"NULL")</f>
        <v> 120.00</v>
      </c>
      <c r="G2119" s="30" t="str">
        <f aca="false">IF('Boletins Nuppa Site'!J2119&lt;&gt;0,'Boletins Nuppa Site'!J2119,"NULL")</f>
        <v> 98.00</v>
      </c>
      <c r="H2119" s="30" t="str">
        <f aca="false">IF('Boletins Nuppa Site'!K2119&lt;&gt;0,'Boletins Nuppa Site'!K2119,"NULL")</f>
        <v> 102.00</v>
      </c>
      <c r="I2119" s="0" t="str">
        <f aca="false">"INSERT INTO COTACAO (cot_id, cot_blt_id, cot_pap_id, cot_prc_comum, cot_prc_min, cot_prc_max, cot_prc_med, cot_prc_mediana) VALUES ("&amp;A2119&amp;", "&amp;B2119&amp;", "&amp;C2119&amp;", "&amp;D2119&amp;", "&amp;E2119&amp;", "&amp;F2119&amp;", "&amp;G2119&amp;", "&amp;H2119&amp;");"</f>
        <v>INSERT INTO COTACAO (cot_id, cot_blt_id, cot_pap_id, cot_prc_comum, cot_prc_min, cot_prc_max, cot_prc_med, cot_prc_mediana) VALUES (2118, 91, 8, NULL,  72.00,  120.00,  98.00,  102.00);</v>
      </c>
      <c r="J2119" s="0" t="str">
        <f aca="false">"UPDATE COTACAO SET cot_id = "&amp;A2119&amp;", cot_blt_id = "&amp;B2119&amp;", cot_pap_id = "&amp;C2119&amp;", cot_prc_comum = "&amp;D2119&amp;", cot_prc_min = "&amp;E2119&amp;", cot_prc_max = "&amp;F2119&amp;", cot_prc_med = "&amp;G2119&amp;", cot_prc_mediana = "&amp;H2119&amp;" WHERE cot_id = "&amp;A2119&amp;";"</f>
        <v>UPDATE COTACAO SET cot_id = 2118, cot_blt_id = 91, cot_pap_id = 8, cot_prc_comum = NULL, cot_prc_min =  72.00, cot_prc_max =  120.00, cot_prc_med =  98.00, cot_prc_mediana =  102.00 WHERE cot_id = 2118;</v>
      </c>
    </row>
    <row r="2120" customFormat="false" ht="14.25" hidden="false" customHeight="false" outlineLevel="0" collapsed="false">
      <c r="A2120" s="0" t="n">
        <v>2119</v>
      </c>
      <c r="B2120" s="0" t="n">
        <f aca="false">IF('Boletins Nuppa Site'!A2120&lt;&gt;0,'Boletins Nuppa Site'!A2120,"NULL")</f>
        <v>91</v>
      </c>
      <c r="C2120" s="0" t="n">
        <v>9</v>
      </c>
      <c r="D2120" s="0" t="str">
        <f aca="false">IF('Boletins Nuppa Site'!G2120&lt;&gt;0,'Boletins Nuppa Site'!G2120,"NULL")</f>
        <v>NULL</v>
      </c>
      <c r="E2120" s="30" t="str">
        <f aca="false">IF('Boletins Nuppa Site'!H2120&lt;&gt;0,'Boletins Nuppa Site'!H2120,"NULL")</f>
        <v> 25.00</v>
      </c>
      <c r="F2120" s="30" t="str">
        <f aca="false">IF('Boletins Nuppa Site'!I2120&lt;&gt;0,'Boletins Nuppa Site'!I2120,"NULL")</f>
        <v> 42.00</v>
      </c>
      <c r="G2120" s="30" t="str">
        <f aca="false">IF('Boletins Nuppa Site'!J2120&lt;&gt;0,'Boletins Nuppa Site'!J2120,"NULL")</f>
        <v> 32.33</v>
      </c>
      <c r="H2120" s="30" t="str">
        <f aca="false">IF('Boletins Nuppa Site'!K2120&lt;&gt;0,'Boletins Nuppa Site'!K2120,"NULL")</f>
        <v> 30.00</v>
      </c>
      <c r="I2120" s="0" t="str">
        <f aca="false">"INSERT INTO COTACAO (cot_id, cot_blt_id, cot_pap_id, cot_prc_comum, cot_prc_min, cot_prc_max, cot_prc_med, cot_prc_mediana) VALUES ("&amp;A2120&amp;", "&amp;B2120&amp;", "&amp;C2120&amp;", "&amp;D2120&amp;", "&amp;E2120&amp;", "&amp;F2120&amp;", "&amp;G2120&amp;", "&amp;H2120&amp;");"</f>
        <v>INSERT INTO COTACAO (cot_id, cot_blt_id, cot_pap_id, cot_prc_comum, cot_prc_min, cot_prc_max, cot_prc_med, cot_prc_mediana) VALUES (2119, 91, 9, NULL,  25.00,  42.00,  32.33,  30.00);</v>
      </c>
      <c r="J2120" s="0" t="str">
        <f aca="false">"UPDATE COTACAO SET cot_id = "&amp;A2120&amp;", cot_blt_id = "&amp;B2120&amp;", cot_pap_id = "&amp;C2120&amp;", cot_prc_comum = "&amp;D2120&amp;", cot_prc_min = "&amp;E2120&amp;", cot_prc_max = "&amp;F2120&amp;", cot_prc_med = "&amp;G2120&amp;", cot_prc_mediana = "&amp;H2120&amp;" WHERE cot_id = "&amp;A2120&amp;";"</f>
        <v>UPDATE COTACAO SET cot_id = 2119, cot_blt_id = 91, cot_pap_id = 9, cot_prc_comum = NULL, cot_prc_min =  25.00, cot_prc_max =  42.00, cot_prc_med =  32.33, cot_prc_mediana =  30.00 WHERE cot_id = 2119;</v>
      </c>
    </row>
    <row r="2121" customFormat="false" ht="14.25" hidden="false" customHeight="false" outlineLevel="0" collapsed="false">
      <c r="A2121" s="0" t="n">
        <v>2120</v>
      </c>
      <c r="B2121" s="0" t="n">
        <f aca="false">IF('Boletins Nuppa Site'!A2121&lt;&gt;0,'Boletins Nuppa Site'!A2121,"NULL")</f>
        <v>91</v>
      </c>
      <c r="C2121" s="0" t="n">
        <v>10</v>
      </c>
      <c r="D2121" s="0" t="str">
        <f aca="false">IF('Boletins Nuppa Site'!G2121&lt;&gt;0,'Boletins Nuppa Site'!G2121,"NULL")</f>
        <v> 120.00</v>
      </c>
      <c r="E2121" s="30" t="str">
        <f aca="false">IF('Boletins Nuppa Site'!H2121&lt;&gt;0,'Boletins Nuppa Site'!H2121,"NULL")</f>
        <v> 120.00</v>
      </c>
      <c r="F2121" s="30" t="str">
        <f aca="false">IF('Boletins Nuppa Site'!I2121&lt;&gt;0,'Boletins Nuppa Site'!I2121,"NULL")</f>
        <v> 120.00</v>
      </c>
      <c r="G2121" s="30" t="str">
        <f aca="false">IF('Boletins Nuppa Site'!J2121&lt;&gt;0,'Boletins Nuppa Site'!J2121,"NULL")</f>
        <v> 120.00</v>
      </c>
      <c r="H2121" s="30" t="str">
        <f aca="false">IF('Boletins Nuppa Site'!K2121&lt;&gt;0,'Boletins Nuppa Site'!K2121,"NULL")</f>
        <v> 120.00</v>
      </c>
      <c r="I2121" s="0" t="str">
        <f aca="false">"INSERT INTO COTACAO (cot_id, cot_blt_id, cot_pap_id, cot_prc_comum, cot_prc_min, cot_prc_max, cot_prc_med, cot_prc_mediana) VALUES ("&amp;A2121&amp;", "&amp;B2121&amp;", "&amp;C2121&amp;", "&amp;D2121&amp;", "&amp;E2121&amp;", "&amp;F2121&amp;", "&amp;G2121&amp;", "&amp;H2121&amp;");"</f>
        <v>INSERT INTO COTACAO (cot_id, cot_blt_id, cot_pap_id, cot_prc_comum, cot_prc_min, cot_prc_max, cot_prc_med, cot_prc_mediana) VALUES (2120, 91, 10,  120.00,  120.00,  120.00,  120.00,  120.00);</v>
      </c>
      <c r="J2121" s="0" t="str">
        <f aca="false">"UPDATE COTACAO SET cot_id = "&amp;A2121&amp;", cot_blt_id = "&amp;B2121&amp;", cot_pap_id = "&amp;C2121&amp;", cot_prc_comum = "&amp;D2121&amp;", cot_prc_min = "&amp;E2121&amp;", cot_prc_max = "&amp;F2121&amp;", cot_prc_med = "&amp;G2121&amp;", cot_prc_mediana = "&amp;H2121&amp;" WHERE cot_id = "&amp;A2121&amp;";"</f>
        <v>UPDATE COTACAO SET cot_id = 2120, cot_blt_id = 91, cot_pap_id = 10, cot_prc_comum =  120.00, cot_prc_min =  120.00, cot_prc_max =  120.00, cot_prc_med =  120.00, cot_prc_mediana =  120.00 WHERE cot_id = 2120;</v>
      </c>
    </row>
    <row r="2122" customFormat="false" ht="14.25" hidden="false" customHeight="false" outlineLevel="0" collapsed="false">
      <c r="A2122" s="0" t="n">
        <v>2121</v>
      </c>
      <c r="B2122" s="0" t="n">
        <f aca="false">IF('Boletins Nuppa Site'!A2122&lt;&gt;0,'Boletins Nuppa Site'!A2122,"NULL")</f>
        <v>91</v>
      </c>
      <c r="C2122" s="0" t="n">
        <v>11</v>
      </c>
      <c r="D2122" s="0" t="str">
        <f aca="false">IF('Boletins Nuppa Site'!G2122&lt;&gt;0,'Boletins Nuppa Site'!G2122,"NULL")</f>
        <v>NULL</v>
      </c>
      <c r="E2122" s="30" t="str">
        <f aca="false">IF('Boletins Nuppa Site'!H2122&lt;&gt;0,'Boletins Nuppa Site'!H2122,"NULL")</f>
        <v> 30.00</v>
      </c>
      <c r="F2122" s="30" t="str">
        <f aca="false">IF('Boletins Nuppa Site'!I2122&lt;&gt;0,'Boletins Nuppa Site'!I2122,"NULL")</f>
        <v> 36.00</v>
      </c>
      <c r="G2122" s="30" t="str">
        <f aca="false">IF('Boletins Nuppa Site'!J2122&lt;&gt;0,'Boletins Nuppa Site'!J2122,"NULL")</f>
        <v> 33.00</v>
      </c>
      <c r="H2122" s="30" t="str">
        <f aca="false">IF('Boletins Nuppa Site'!K2122&lt;&gt;0,'Boletins Nuppa Site'!K2122,"NULL")</f>
        <v> 33.00</v>
      </c>
      <c r="I2122" s="0" t="str">
        <f aca="false">"INSERT INTO COTACAO (cot_id, cot_blt_id, cot_pap_id, cot_prc_comum, cot_prc_min, cot_prc_max, cot_prc_med, cot_prc_mediana) VALUES ("&amp;A2122&amp;", "&amp;B2122&amp;", "&amp;C2122&amp;", "&amp;D2122&amp;", "&amp;E2122&amp;", "&amp;F2122&amp;", "&amp;G2122&amp;", "&amp;H2122&amp;");"</f>
        <v>INSERT INTO COTACAO (cot_id, cot_blt_id, cot_pap_id, cot_prc_comum, cot_prc_min, cot_prc_max, cot_prc_med, cot_prc_mediana) VALUES (2121, 91, 11, NULL,  30.00,  36.00,  33.00,  33.00);</v>
      </c>
      <c r="J2122" s="0" t="str">
        <f aca="false">"UPDATE COTACAO SET cot_id = "&amp;A2122&amp;", cot_blt_id = "&amp;B2122&amp;", cot_pap_id = "&amp;C2122&amp;", cot_prc_comum = "&amp;D2122&amp;", cot_prc_min = "&amp;E2122&amp;", cot_prc_max = "&amp;F2122&amp;", cot_prc_med = "&amp;G2122&amp;", cot_prc_mediana = "&amp;H2122&amp;" WHERE cot_id = "&amp;A2122&amp;";"</f>
        <v>UPDATE COTACAO SET cot_id = 2121, cot_blt_id = 91, cot_pap_id = 11, cot_prc_comum = NULL, cot_prc_min =  30.00, cot_prc_max =  36.00, cot_prc_med =  33.00, cot_prc_mediana =  33.00 WHERE cot_id = 2121;</v>
      </c>
    </row>
    <row r="2123" customFormat="false" ht="14.25" hidden="false" customHeight="false" outlineLevel="0" collapsed="false">
      <c r="A2123" s="0" t="n">
        <v>2122</v>
      </c>
      <c r="B2123" s="0" t="n">
        <f aca="false">IF('Boletins Nuppa Site'!A2123&lt;&gt;0,'Boletins Nuppa Site'!A2123,"NULL")</f>
        <v>91</v>
      </c>
      <c r="C2123" s="0" t="n">
        <v>12</v>
      </c>
      <c r="D2123" s="0" t="str">
        <f aca="false">IF('Boletins Nuppa Site'!G2123&lt;&gt;0,'Boletins Nuppa Site'!G2123,"NULL")</f>
        <v> 72.00</v>
      </c>
      <c r="E2123" s="30" t="str">
        <f aca="false">IF('Boletins Nuppa Site'!H2123&lt;&gt;0,'Boletins Nuppa Site'!H2123,"NULL")</f>
        <v> 72.00</v>
      </c>
      <c r="F2123" s="30" t="str">
        <f aca="false">IF('Boletins Nuppa Site'!I2123&lt;&gt;0,'Boletins Nuppa Site'!I2123,"NULL")</f>
        <v> 78.00</v>
      </c>
      <c r="G2123" s="30" t="str">
        <f aca="false">IF('Boletins Nuppa Site'!J2123&lt;&gt;0,'Boletins Nuppa Site'!J2123,"NULL")</f>
        <v> 74.00</v>
      </c>
      <c r="H2123" s="30" t="str">
        <f aca="false">IF('Boletins Nuppa Site'!K2123&lt;&gt;0,'Boletins Nuppa Site'!K2123,"NULL")</f>
        <v> 72.00</v>
      </c>
      <c r="I2123" s="0" t="str">
        <f aca="false">"INSERT INTO COTACAO (cot_id, cot_blt_id, cot_pap_id, cot_prc_comum, cot_prc_min, cot_prc_max, cot_prc_med, cot_prc_mediana) VALUES ("&amp;A2123&amp;", "&amp;B2123&amp;", "&amp;C2123&amp;", "&amp;D2123&amp;", "&amp;E2123&amp;", "&amp;F2123&amp;", "&amp;G2123&amp;", "&amp;H2123&amp;");"</f>
        <v>INSERT INTO COTACAO (cot_id, cot_blt_id, cot_pap_id, cot_prc_comum, cot_prc_min, cot_prc_max, cot_prc_med, cot_prc_mediana) VALUES (2122, 91, 12,  72.00,  72.00,  78.00,  74.00,  72.00);</v>
      </c>
      <c r="J2123" s="0" t="str">
        <f aca="false">"UPDATE COTACAO SET cot_id = "&amp;A2123&amp;", cot_blt_id = "&amp;B2123&amp;", cot_pap_id = "&amp;C2123&amp;", cot_prc_comum = "&amp;D2123&amp;", cot_prc_min = "&amp;E2123&amp;", cot_prc_max = "&amp;F2123&amp;", cot_prc_med = "&amp;G2123&amp;", cot_prc_mediana = "&amp;H2123&amp;" WHERE cot_id = "&amp;A2123&amp;";"</f>
        <v>UPDATE COTACAO SET cot_id = 2122, cot_blt_id = 91, cot_pap_id = 12, cot_prc_comum =  72.00, cot_prc_min =  72.00, cot_prc_max =  78.00, cot_prc_med =  74.00, cot_prc_mediana =  72.00 WHERE cot_id = 2122;</v>
      </c>
    </row>
    <row r="2124" customFormat="false" ht="14.25" hidden="false" customHeight="false" outlineLevel="0" collapsed="false">
      <c r="A2124" s="0" t="n">
        <v>2123</v>
      </c>
      <c r="B2124" s="0" t="n">
        <f aca="false">IF('Boletins Nuppa Site'!A2124&lt;&gt;0,'Boletins Nuppa Site'!A2124,"NULL")</f>
        <v>91</v>
      </c>
      <c r="C2124" s="0" t="n">
        <v>13</v>
      </c>
      <c r="D2124" s="0" t="str">
        <f aca="false">IF('Boletins Nuppa Site'!G2124&lt;&gt;0,'Boletins Nuppa Site'!G2124,"NULL")</f>
        <v> 60.00</v>
      </c>
      <c r="E2124" s="30" t="str">
        <f aca="false">IF('Boletins Nuppa Site'!H2124&lt;&gt;0,'Boletins Nuppa Site'!H2124,"NULL")</f>
        <v> 60.00</v>
      </c>
      <c r="F2124" s="30" t="str">
        <f aca="false">IF('Boletins Nuppa Site'!I2124&lt;&gt;0,'Boletins Nuppa Site'!I2124,"NULL")</f>
        <v> 78.00</v>
      </c>
      <c r="G2124" s="30" t="str">
        <f aca="false">IF('Boletins Nuppa Site'!J2124&lt;&gt;0,'Boletins Nuppa Site'!J2124,"NULL")</f>
        <v> 66.00</v>
      </c>
      <c r="H2124" s="30" t="str">
        <f aca="false">IF('Boletins Nuppa Site'!K2124&lt;&gt;0,'Boletins Nuppa Site'!K2124,"NULL")</f>
        <v> 60.00</v>
      </c>
      <c r="I2124" s="0" t="str">
        <f aca="false">"INSERT INTO COTACAO (cot_id, cot_blt_id, cot_pap_id, cot_prc_comum, cot_prc_min, cot_prc_max, cot_prc_med, cot_prc_mediana) VALUES ("&amp;A2124&amp;", "&amp;B2124&amp;", "&amp;C2124&amp;", "&amp;D2124&amp;", "&amp;E2124&amp;", "&amp;F2124&amp;", "&amp;G2124&amp;", "&amp;H2124&amp;");"</f>
        <v>INSERT INTO COTACAO (cot_id, cot_blt_id, cot_pap_id, cot_prc_comum, cot_prc_min, cot_prc_max, cot_prc_med, cot_prc_mediana) VALUES (2123, 91, 13,  60.00,  60.00,  78.00,  66.00,  60.00);</v>
      </c>
      <c r="J2124" s="0" t="str">
        <f aca="false">"UPDATE COTACAO SET cot_id = "&amp;A2124&amp;", cot_blt_id = "&amp;B2124&amp;", cot_pap_id = "&amp;C2124&amp;", cot_prc_comum = "&amp;D2124&amp;", cot_prc_min = "&amp;E2124&amp;", cot_prc_max = "&amp;F2124&amp;", cot_prc_med = "&amp;G2124&amp;", cot_prc_mediana = "&amp;H2124&amp;" WHERE cot_id = "&amp;A2124&amp;";"</f>
        <v>UPDATE COTACAO SET cot_id = 2123, cot_blt_id = 91, cot_pap_id = 13, cot_prc_comum =  60.00, cot_prc_min =  60.00, cot_prc_max =  78.00, cot_prc_med =  66.00, cot_prc_mediana =  60.00 WHERE cot_id = 2123;</v>
      </c>
    </row>
    <row r="2125" customFormat="false" ht="14.25" hidden="false" customHeight="false" outlineLevel="0" collapsed="false">
      <c r="A2125" s="0" t="n">
        <v>2124</v>
      </c>
      <c r="B2125" s="0" t="n">
        <f aca="false">IF('Boletins Nuppa Site'!A2125&lt;&gt;0,'Boletins Nuppa Site'!A2125,"NULL")</f>
        <v>91</v>
      </c>
      <c r="C2125" s="0" t="n">
        <v>14</v>
      </c>
      <c r="D2125" s="0" t="str">
        <f aca="false">IF('Boletins Nuppa Site'!G2125&lt;&gt;0,'Boletins Nuppa Site'!G2125,"NULL")</f>
        <v> 84.00</v>
      </c>
      <c r="E2125" s="30" t="str">
        <f aca="false">IF('Boletins Nuppa Site'!H2125&lt;&gt;0,'Boletins Nuppa Site'!H2125,"NULL")</f>
        <v> 60.00</v>
      </c>
      <c r="F2125" s="30" t="str">
        <f aca="false">IF('Boletins Nuppa Site'!I2125&lt;&gt;0,'Boletins Nuppa Site'!I2125,"NULL")</f>
        <v> 84.00</v>
      </c>
      <c r="G2125" s="30" t="str">
        <f aca="false">IF('Boletins Nuppa Site'!J2125&lt;&gt;0,'Boletins Nuppa Site'!J2125,"NULL")</f>
        <v> 76.00</v>
      </c>
      <c r="H2125" s="30" t="str">
        <f aca="false">IF('Boletins Nuppa Site'!K2125&lt;&gt;0,'Boletins Nuppa Site'!K2125,"NULL")</f>
        <v> 84.00</v>
      </c>
      <c r="I2125" s="0" t="str">
        <f aca="false">"INSERT INTO COTACAO (cot_id, cot_blt_id, cot_pap_id, cot_prc_comum, cot_prc_min, cot_prc_max, cot_prc_med, cot_prc_mediana) VALUES ("&amp;A2125&amp;", "&amp;B2125&amp;", "&amp;C2125&amp;", "&amp;D2125&amp;", "&amp;E2125&amp;", "&amp;F2125&amp;", "&amp;G2125&amp;", "&amp;H2125&amp;");"</f>
        <v>INSERT INTO COTACAO (cot_id, cot_blt_id, cot_pap_id, cot_prc_comum, cot_prc_min, cot_prc_max, cot_prc_med, cot_prc_mediana) VALUES (2124, 91, 14,  84.00,  60.00,  84.00,  76.00,  84.00);</v>
      </c>
      <c r="J2125" s="0" t="str">
        <f aca="false">"UPDATE COTACAO SET cot_id = "&amp;A2125&amp;", cot_blt_id = "&amp;B2125&amp;", cot_pap_id = "&amp;C2125&amp;", cot_prc_comum = "&amp;D2125&amp;", cot_prc_min = "&amp;E2125&amp;", cot_prc_max = "&amp;F2125&amp;", cot_prc_med = "&amp;G2125&amp;", cot_prc_mediana = "&amp;H2125&amp;" WHERE cot_id = "&amp;A2125&amp;";"</f>
        <v>UPDATE COTACAO SET cot_id = 2124, cot_blt_id = 91, cot_pap_id = 14, cot_prc_comum =  84.00, cot_prc_min =  60.00, cot_prc_max =  84.00, cot_prc_med =  76.00, cot_prc_mediana =  84.00 WHERE cot_id = 2124;</v>
      </c>
    </row>
    <row r="2126" customFormat="false" ht="14.25" hidden="false" customHeight="false" outlineLevel="0" collapsed="false">
      <c r="A2126" s="0" t="n">
        <v>2125</v>
      </c>
      <c r="B2126" s="0" t="n">
        <f aca="false">IF('Boletins Nuppa Site'!A2126&lt;&gt;0,'Boletins Nuppa Site'!A2126,"NULL")</f>
        <v>91</v>
      </c>
      <c r="C2126" s="0" t="n">
        <v>15</v>
      </c>
      <c r="D2126" s="0" t="str">
        <f aca="false">IF('Boletins Nuppa Site'!G2126&lt;&gt;0,'Boletins Nuppa Site'!G2126,"NULL")</f>
        <v>NULL</v>
      </c>
      <c r="E2126" s="30" t="str">
        <f aca="false">IF('Boletins Nuppa Site'!H2126&lt;&gt;0,'Boletins Nuppa Site'!H2126,"NULL")</f>
        <v> 45.00</v>
      </c>
      <c r="F2126" s="30" t="str">
        <f aca="false">IF('Boletins Nuppa Site'!I2126&lt;&gt;0,'Boletins Nuppa Site'!I2126,"NULL")</f>
        <v> 60.00</v>
      </c>
      <c r="G2126" s="30" t="str">
        <f aca="false">IF('Boletins Nuppa Site'!J2126&lt;&gt;0,'Boletins Nuppa Site'!J2126,"NULL")</f>
        <v> 51.00</v>
      </c>
      <c r="H2126" s="30" t="str">
        <f aca="false">IF('Boletins Nuppa Site'!K2126&lt;&gt;0,'Boletins Nuppa Site'!K2126,"NULL")</f>
        <v> 48.00</v>
      </c>
      <c r="I2126" s="0" t="str">
        <f aca="false">"INSERT INTO COTACAO (cot_id, cot_blt_id, cot_pap_id, cot_prc_comum, cot_prc_min, cot_prc_max, cot_prc_med, cot_prc_mediana) VALUES ("&amp;A2126&amp;", "&amp;B2126&amp;", "&amp;C2126&amp;", "&amp;D2126&amp;", "&amp;E2126&amp;", "&amp;F2126&amp;", "&amp;G2126&amp;", "&amp;H2126&amp;");"</f>
        <v>INSERT INTO COTACAO (cot_id, cot_blt_id, cot_pap_id, cot_prc_comum, cot_prc_min, cot_prc_max, cot_prc_med, cot_prc_mediana) VALUES (2125, 91, 15, NULL,  45.00,  60.00,  51.00,  48.00);</v>
      </c>
      <c r="J2126" s="0" t="str">
        <f aca="false">"UPDATE COTACAO SET cot_id = "&amp;A2126&amp;", cot_blt_id = "&amp;B2126&amp;", cot_pap_id = "&amp;C2126&amp;", cot_prc_comum = "&amp;D2126&amp;", cot_prc_min = "&amp;E2126&amp;", cot_prc_max = "&amp;F2126&amp;", cot_prc_med = "&amp;G2126&amp;", cot_prc_mediana = "&amp;H2126&amp;" WHERE cot_id = "&amp;A2126&amp;";"</f>
        <v>UPDATE COTACAO SET cot_id = 2125, cot_blt_id = 91, cot_pap_id = 15, cot_prc_comum = NULL, cot_prc_min =  45.00, cot_prc_max =  60.00, cot_prc_med =  51.00, cot_prc_mediana =  48.00 WHERE cot_id = 2125;</v>
      </c>
    </row>
    <row r="2127" customFormat="false" ht="14.25" hidden="false" customHeight="false" outlineLevel="0" collapsed="false">
      <c r="A2127" s="0" t="n">
        <v>2126</v>
      </c>
      <c r="B2127" s="0" t="n">
        <f aca="false">IF('Boletins Nuppa Site'!A2127&lt;&gt;0,'Boletins Nuppa Site'!A2127,"NULL")</f>
        <v>91</v>
      </c>
      <c r="C2127" s="0" t="n">
        <v>16</v>
      </c>
      <c r="D2127" s="0" t="str">
        <f aca="false">IF('Boletins Nuppa Site'!G2127&lt;&gt;0,'Boletins Nuppa Site'!G2127,"NULL")</f>
        <v> 60.00</v>
      </c>
      <c r="E2127" s="30" t="str">
        <f aca="false">IF('Boletins Nuppa Site'!H2127&lt;&gt;0,'Boletins Nuppa Site'!H2127,"NULL")</f>
        <v> 60.00</v>
      </c>
      <c r="F2127" s="30" t="str">
        <f aca="false">IF('Boletins Nuppa Site'!I2127&lt;&gt;0,'Boletins Nuppa Site'!I2127,"NULL")</f>
        <v> 60.00</v>
      </c>
      <c r="G2127" s="30" t="str">
        <f aca="false">IF('Boletins Nuppa Site'!J2127&lt;&gt;0,'Boletins Nuppa Site'!J2127,"NULL")</f>
        <v> 60.00</v>
      </c>
      <c r="H2127" s="30" t="str">
        <f aca="false">IF('Boletins Nuppa Site'!K2127&lt;&gt;0,'Boletins Nuppa Site'!K2127,"NULL")</f>
        <v> 60.00</v>
      </c>
      <c r="I2127" s="0" t="str">
        <f aca="false">"INSERT INTO COTACAO (cot_id, cot_blt_id, cot_pap_id, cot_prc_comum, cot_prc_min, cot_prc_max, cot_prc_med, cot_prc_mediana) VALUES ("&amp;A2127&amp;", "&amp;B2127&amp;", "&amp;C2127&amp;", "&amp;D2127&amp;", "&amp;E2127&amp;", "&amp;F2127&amp;", "&amp;G2127&amp;", "&amp;H2127&amp;");"</f>
        <v>INSERT INTO COTACAO (cot_id, cot_blt_id, cot_pap_id, cot_prc_comum, cot_prc_min, cot_prc_max, cot_prc_med, cot_prc_mediana) VALUES (2126, 91, 16,  60.00,  60.00,  60.00,  60.00,  60.00);</v>
      </c>
      <c r="J2127" s="0" t="str">
        <f aca="false">"UPDATE COTACAO SET cot_id = "&amp;A2127&amp;", cot_blt_id = "&amp;B2127&amp;", cot_pap_id = "&amp;C2127&amp;", cot_prc_comum = "&amp;D2127&amp;", cot_prc_min = "&amp;E2127&amp;", cot_prc_max = "&amp;F2127&amp;", cot_prc_med = "&amp;G2127&amp;", cot_prc_mediana = "&amp;H2127&amp;" WHERE cot_id = "&amp;A2127&amp;";"</f>
        <v>UPDATE COTACAO SET cot_id = 2126, cot_blt_id = 91, cot_pap_id = 16, cot_prc_comum =  60.00, cot_prc_min =  60.00, cot_prc_max =  60.00, cot_prc_med =  60.00, cot_prc_mediana =  60.00 WHERE cot_id = 2126;</v>
      </c>
    </row>
    <row r="2128" customFormat="false" ht="14.25" hidden="false" customHeight="false" outlineLevel="0" collapsed="false">
      <c r="A2128" s="0" t="n">
        <v>2127</v>
      </c>
      <c r="B2128" s="0" t="n">
        <f aca="false">IF('Boletins Nuppa Site'!A2128&lt;&gt;0,'Boletins Nuppa Site'!A2128,"NULL")</f>
        <v>91</v>
      </c>
      <c r="C2128" s="0" t="n">
        <v>17</v>
      </c>
      <c r="D2128" s="0" t="str">
        <f aca="false">IF('Boletins Nuppa Site'!G2128&lt;&gt;0,'Boletins Nuppa Site'!G2128,"NULL")</f>
        <v> 5.00</v>
      </c>
      <c r="E2128" s="30" t="str">
        <f aca="false">IF('Boletins Nuppa Site'!H2128&lt;&gt;0,'Boletins Nuppa Site'!H2128,"NULL")</f>
        <v> 5.00</v>
      </c>
      <c r="F2128" s="30" t="str">
        <f aca="false">IF('Boletins Nuppa Site'!I2128&lt;&gt;0,'Boletins Nuppa Site'!I2128,"NULL")</f>
        <v> 5.00</v>
      </c>
      <c r="G2128" s="30" t="str">
        <f aca="false">IF('Boletins Nuppa Site'!J2128&lt;&gt;0,'Boletins Nuppa Site'!J2128,"NULL")</f>
        <v> 5.00</v>
      </c>
      <c r="H2128" s="30" t="str">
        <f aca="false">IF('Boletins Nuppa Site'!K2128&lt;&gt;0,'Boletins Nuppa Site'!K2128,"NULL")</f>
        <v> 5.00</v>
      </c>
      <c r="I2128" s="0" t="str">
        <f aca="false">"INSERT INTO COTACAO (cot_id, cot_blt_id, cot_pap_id, cot_prc_comum, cot_prc_min, cot_prc_max, cot_prc_med, cot_prc_mediana) VALUES ("&amp;A2128&amp;", "&amp;B2128&amp;", "&amp;C2128&amp;", "&amp;D2128&amp;", "&amp;E2128&amp;", "&amp;F2128&amp;", "&amp;G2128&amp;", "&amp;H2128&amp;");"</f>
        <v>INSERT INTO COTACAO (cot_id, cot_blt_id, cot_pap_id, cot_prc_comum, cot_prc_min, cot_prc_max, cot_prc_med, cot_prc_mediana) VALUES (2127, 91, 17,  5.00,  5.00,  5.00,  5.00,  5.00);</v>
      </c>
      <c r="J2128" s="0" t="str">
        <f aca="false">"UPDATE COTACAO SET cot_id = "&amp;A2128&amp;", cot_blt_id = "&amp;B2128&amp;", cot_pap_id = "&amp;C2128&amp;", cot_prc_comum = "&amp;D2128&amp;", cot_prc_min = "&amp;E2128&amp;", cot_prc_max = "&amp;F2128&amp;", cot_prc_med = "&amp;G2128&amp;", cot_prc_mediana = "&amp;H2128&amp;" WHERE cot_id = "&amp;A2128&amp;";"</f>
        <v>UPDATE COTACAO SET cot_id = 2127, cot_blt_id = 91, cot_pap_id = 17, cot_prc_comum =  5.00, cot_prc_min =  5.00, cot_prc_max =  5.00, cot_prc_med =  5.00, cot_prc_mediana =  5.00 WHERE cot_id = 2127;</v>
      </c>
    </row>
    <row r="2129" customFormat="false" ht="14.25" hidden="false" customHeight="false" outlineLevel="0" collapsed="false">
      <c r="A2129" s="0" t="n">
        <v>2128</v>
      </c>
      <c r="B2129" s="0" t="n">
        <f aca="false">IF('Boletins Nuppa Site'!A2129&lt;&gt;0,'Boletins Nuppa Site'!A2129,"NULL")</f>
        <v>91</v>
      </c>
      <c r="C2129" s="0" t="n">
        <v>18</v>
      </c>
      <c r="D2129" s="0" t="str">
        <f aca="false">IF('Boletins Nuppa Site'!G2129&lt;&gt;0,'Boletins Nuppa Site'!G2129,"NULL")</f>
        <v>NULL</v>
      </c>
      <c r="E2129" s="30" t="str">
        <f aca="false">IF('Boletins Nuppa Site'!H2129&lt;&gt;0,'Boletins Nuppa Site'!H2129,"NULL")</f>
        <v> 35.00</v>
      </c>
      <c r="F2129" s="30" t="str">
        <f aca="false">IF('Boletins Nuppa Site'!I2129&lt;&gt;0,'Boletins Nuppa Site'!I2129,"NULL")</f>
        <v> 45.00</v>
      </c>
      <c r="G2129" s="30" t="str">
        <f aca="false">IF('Boletins Nuppa Site'!J2129&lt;&gt;0,'Boletins Nuppa Site'!J2129,"NULL")</f>
        <v> 40.00</v>
      </c>
      <c r="H2129" s="30" t="str">
        <f aca="false">IF('Boletins Nuppa Site'!K2129&lt;&gt;0,'Boletins Nuppa Site'!K2129,"NULL")</f>
        <v> 40.00</v>
      </c>
      <c r="I2129" s="0" t="str">
        <f aca="false">"INSERT INTO COTACAO (cot_id, cot_blt_id, cot_pap_id, cot_prc_comum, cot_prc_min, cot_prc_max, cot_prc_med, cot_prc_mediana) VALUES ("&amp;A2129&amp;", "&amp;B2129&amp;", "&amp;C2129&amp;", "&amp;D2129&amp;", "&amp;E2129&amp;", "&amp;F2129&amp;", "&amp;G2129&amp;", "&amp;H2129&amp;");"</f>
        <v>INSERT INTO COTACAO (cot_id, cot_blt_id, cot_pap_id, cot_prc_comum, cot_prc_min, cot_prc_max, cot_prc_med, cot_prc_mediana) VALUES (2128, 91, 18, NULL,  35.00,  45.00,  40.00,  40.00);</v>
      </c>
      <c r="J2129" s="0" t="str">
        <f aca="false">"UPDATE COTACAO SET cot_id = "&amp;A2129&amp;", cot_blt_id = "&amp;B2129&amp;", cot_pap_id = "&amp;C2129&amp;", cot_prc_comum = "&amp;D2129&amp;", cot_prc_min = "&amp;E2129&amp;", cot_prc_max = "&amp;F2129&amp;", cot_prc_med = "&amp;G2129&amp;", cot_prc_mediana = "&amp;H2129&amp;" WHERE cot_id = "&amp;A2129&amp;";"</f>
        <v>UPDATE COTACAO SET cot_id = 2128, cot_blt_id = 91, cot_pap_id = 18, cot_prc_comum = NULL, cot_prc_min =  35.00, cot_prc_max =  45.00, cot_prc_med =  40.00, cot_prc_mediana =  40.00 WHERE cot_id = 2128;</v>
      </c>
    </row>
    <row r="2130" customFormat="false" ht="14.25" hidden="false" customHeight="false" outlineLevel="0" collapsed="false">
      <c r="A2130" s="0" t="n">
        <v>2129</v>
      </c>
      <c r="B2130" s="0" t="n">
        <f aca="false">IF('Boletins Nuppa Site'!A2130&lt;&gt;0,'Boletins Nuppa Site'!A2130,"NULL")</f>
        <v>91</v>
      </c>
      <c r="C2130" s="0" t="n">
        <v>19</v>
      </c>
      <c r="D2130" s="0" t="str">
        <f aca="false">IF('Boletins Nuppa Site'!G2130&lt;&gt;0,'Boletins Nuppa Site'!G2130,"NULL")</f>
        <v> 35.00</v>
      </c>
      <c r="E2130" s="30" t="str">
        <f aca="false">IF('Boletins Nuppa Site'!H2130&lt;&gt;0,'Boletins Nuppa Site'!H2130,"NULL")</f>
        <v> 30.00</v>
      </c>
      <c r="F2130" s="30" t="str">
        <f aca="false">IF('Boletins Nuppa Site'!I2130&lt;&gt;0,'Boletins Nuppa Site'!I2130,"NULL")</f>
        <v> 35.00</v>
      </c>
      <c r="G2130" s="30" t="str">
        <f aca="false">IF('Boletins Nuppa Site'!J2130&lt;&gt;0,'Boletins Nuppa Site'!J2130,"NULL")</f>
        <v> 33.33</v>
      </c>
      <c r="H2130" s="30" t="str">
        <f aca="false">IF('Boletins Nuppa Site'!K2130&lt;&gt;0,'Boletins Nuppa Site'!K2130,"NULL")</f>
        <v> 35.00</v>
      </c>
      <c r="I2130" s="0" t="str">
        <f aca="false">"INSERT INTO COTACAO (cot_id, cot_blt_id, cot_pap_id, cot_prc_comum, cot_prc_min, cot_prc_max, cot_prc_med, cot_prc_mediana) VALUES ("&amp;A2130&amp;", "&amp;B2130&amp;", "&amp;C2130&amp;", "&amp;D2130&amp;", "&amp;E2130&amp;", "&amp;F2130&amp;", "&amp;G2130&amp;", "&amp;H2130&amp;");"</f>
        <v>INSERT INTO COTACAO (cot_id, cot_blt_id, cot_pap_id, cot_prc_comum, cot_prc_min, cot_prc_max, cot_prc_med, cot_prc_mediana) VALUES (2129, 91, 19,  35.00,  30.00,  35.00,  33.33,  35.00);</v>
      </c>
      <c r="J2130" s="0" t="str">
        <f aca="false">"UPDATE COTACAO SET cot_id = "&amp;A2130&amp;", cot_blt_id = "&amp;B2130&amp;", cot_pap_id = "&amp;C2130&amp;", cot_prc_comum = "&amp;D2130&amp;", cot_prc_min = "&amp;E2130&amp;", cot_prc_max = "&amp;F2130&amp;", cot_prc_med = "&amp;G2130&amp;", cot_prc_mediana = "&amp;H2130&amp;" WHERE cot_id = "&amp;A2130&amp;";"</f>
        <v>UPDATE COTACAO SET cot_id = 2129, cot_blt_id = 91, cot_pap_id = 19, cot_prc_comum =  35.00, cot_prc_min =  30.00, cot_prc_max =  35.00, cot_prc_med =  33.33, cot_prc_mediana =  35.00 WHERE cot_id = 2129;</v>
      </c>
    </row>
    <row r="2131" customFormat="false" ht="14.25" hidden="false" customHeight="false" outlineLevel="0" collapsed="false">
      <c r="A2131" s="0" t="n">
        <v>2130</v>
      </c>
      <c r="B2131" s="0" t="n">
        <f aca="false">IF('Boletins Nuppa Site'!A2131&lt;&gt;0,'Boletins Nuppa Site'!A2131,"NULL")</f>
        <v>91</v>
      </c>
      <c r="C2131" s="0" t="n">
        <v>20</v>
      </c>
      <c r="D2131" s="0" t="str">
        <f aca="false">IF('Boletins Nuppa Site'!G2131&lt;&gt;0,'Boletins Nuppa Site'!G2131,"NULL")</f>
        <v> 60.00</v>
      </c>
      <c r="E2131" s="30" t="str">
        <f aca="false">IF('Boletins Nuppa Site'!H2131&lt;&gt;0,'Boletins Nuppa Site'!H2131,"NULL")</f>
        <v> 60.00</v>
      </c>
      <c r="F2131" s="30" t="str">
        <f aca="false">IF('Boletins Nuppa Site'!I2131&lt;&gt;0,'Boletins Nuppa Site'!I2131,"NULL")</f>
        <v> 65.00</v>
      </c>
      <c r="G2131" s="30" t="str">
        <f aca="false">IF('Boletins Nuppa Site'!J2131&lt;&gt;0,'Boletins Nuppa Site'!J2131,"NULL")</f>
        <v> 61.67</v>
      </c>
      <c r="H2131" s="30" t="str">
        <f aca="false">IF('Boletins Nuppa Site'!K2131&lt;&gt;0,'Boletins Nuppa Site'!K2131,"NULL")</f>
        <v> 60.00</v>
      </c>
      <c r="I2131" s="0" t="str">
        <f aca="false">"INSERT INTO COTACAO (cot_id, cot_blt_id, cot_pap_id, cot_prc_comum, cot_prc_min, cot_prc_max, cot_prc_med, cot_prc_mediana) VALUES ("&amp;A2131&amp;", "&amp;B2131&amp;", "&amp;C2131&amp;", "&amp;D2131&amp;", "&amp;E2131&amp;", "&amp;F2131&amp;", "&amp;G2131&amp;", "&amp;H2131&amp;");"</f>
        <v>INSERT INTO COTACAO (cot_id, cot_blt_id, cot_pap_id, cot_prc_comum, cot_prc_min, cot_prc_max, cot_prc_med, cot_prc_mediana) VALUES (2130, 91, 20,  60.00,  60.00,  65.00,  61.67,  60.00);</v>
      </c>
      <c r="J2131" s="0" t="str">
        <f aca="false">"UPDATE COTACAO SET cot_id = "&amp;A2131&amp;", cot_blt_id = "&amp;B2131&amp;", cot_pap_id = "&amp;C2131&amp;", cot_prc_comum = "&amp;D2131&amp;", cot_prc_min = "&amp;E2131&amp;", cot_prc_max = "&amp;F2131&amp;", cot_prc_med = "&amp;G2131&amp;", cot_prc_mediana = "&amp;H2131&amp;" WHERE cot_id = "&amp;A2131&amp;";"</f>
        <v>UPDATE COTACAO SET cot_id = 2130, cot_blt_id = 91, cot_pap_id = 20, cot_prc_comum =  60.00, cot_prc_min =  60.00, cot_prc_max =  65.00, cot_prc_med =  61.67, cot_prc_mediana =  60.00 WHERE cot_id = 2130;</v>
      </c>
    </row>
    <row r="2132" customFormat="false" ht="14.25" hidden="false" customHeight="false" outlineLevel="0" collapsed="false">
      <c r="A2132" s="0" t="n">
        <v>2131</v>
      </c>
      <c r="B2132" s="0" t="n">
        <f aca="false">IF('Boletins Nuppa Site'!A2132&lt;&gt;0,'Boletins Nuppa Site'!A2132,"NULL")</f>
        <v>91</v>
      </c>
      <c r="C2132" s="0" t="n">
        <v>21</v>
      </c>
      <c r="D2132" s="0" t="str">
        <f aca="false">IF('Boletins Nuppa Site'!G2132&lt;&gt;0,'Boletins Nuppa Site'!G2132,"NULL")</f>
        <v> 90.00</v>
      </c>
      <c r="E2132" s="30" t="str">
        <f aca="false">IF('Boletins Nuppa Site'!H2132&lt;&gt;0,'Boletins Nuppa Site'!H2132,"NULL")</f>
        <v> 90.00</v>
      </c>
      <c r="F2132" s="30" t="str">
        <f aca="false">IF('Boletins Nuppa Site'!I2132&lt;&gt;0,'Boletins Nuppa Site'!I2132,"NULL")</f>
        <v> 110.00</v>
      </c>
      <c r="G2132" s="30" t="str">
        <f aca="false">IF('Boletins Nuppa Site'!J2132&lt;&gt;0,'Boletins Nuppa Site'!J2132,"NULL")</f>
        <v> 97.50</v>
      </c>
      <c r="H2132" s="30" t="str">
        <f aca="false">IF('Boletins Nuppa Site'!K2132&lt;&gt;0,'Boletins Nuppa Site'!K2132,"NULL")</f>
        <v> 95.00</v>
      </c>
      <c r="I2132" s="0" t="str">
        <f aca="false">"INSERT INTO COTACAO (cot_id, cot_blt_id, cot_pap_id, cot_prc_comum, cot_prc_min, cot_prc_max, cot_prc_med, cot_prc_mediana) VALUES ("&amp;A2132&amp;", "&amp;B2132&amp;", "&amp;C2132&amp;", "&amp;D2132&amp;", "&amp;E2132&amp;", "&amp;F2132&amp;", "&amp;G2132&amp;", "&amp;H2132&amp;");"</f>
        <v>INSERT INTO COTACAO (cot_id, cot_blt_id, cot_pap_id, cot_prc_comum, cot_prc_min, cot_prc_max, cot_prc_med, cot_prc_mediana) VALUES (2131, 91, 21,  90.00,  90.00,  110.00,  97.50,  95.00);</v>
      </c>
      <c r="J2132" s="0" t="str">
        <f aca="false">"UPDATE COTACAO SET cot_id = "&amp;A2132&amp;", cot_blt_id = "&amp;B2132&amp;", cot_pap_id = "&amp;C2132&amp;", cot_prc_comum = "&amp;D2132&amp;", cot_prc_min = "&amp;E2132&amp;", cot_prc_max = "&amp;F2132&amp;", cot_prc_med = "&amp;G2132&amp;", cot_prc_mediana = "&amp;H2132&amp;" WHERE cot_id = "&amp;A2132&amp;";"</f>
        <v>UPDATE COTACAO SET cot_id = 2131, cot_blt_id = 91, cot_pap_id = 21, cot_prc_comum =  90.00, cot_prc_min =  90.00, cot_prc_max =  110.00, cot_prc_med =  97.50, cot_prc_mediana =  95.00 WHERE cot_id = 2131;</v>
      </c>
    </row>
    <row r="2133" customFormat="false" ht="14.25" hidden="false" customHeight="false" outlineLevel="0" collapsed="false">
      <c r="A2133" s="0" t="n">
        <v>2132</v>
      </c>
      <c r="B2133" s="0" t="n">
        <f aca="false">IF('Boletins Nuppa Site'!A2133&lt;&gt;0,'Boletins Nuppa Site'!A2133,"NULL")</f>
        <v>91</v>
      </c>
      <c r="C2133" s="0" t="n">
        <v>22</v>
      </c>
      <c r="D2133" s="0" t="str">
        <f aca="false">IF('Boletins Nuppa Site'!G2133&lt;&gt;0,'Boletins Nuppa Site'!G2133,"NULL")</f>
        <v>NULL</v>
      </c>
      <c r="E2133" s="30" t="str">
        <f aca="false">IF('Boletins Nuppa Site'!H2133&lt;&gt;0,'Boletins Nuppa Site'!H2133,"NULL")</f>
        <v> 45.00</v>
      </c>
      <c r="F2133" s="30" t="str">
        <f aca="false">IF('Boletins Nuppa Site'!I2133&lt;&gt;0,'Boletins Nuppa Site'!I2133,"NULL")</f>
        <v> 70.00</v>
      </c>
      <c r="G2133" s="30" t="str">
        <f aca="false">IF('Boletins Nuppa Site'!J2133&lt;&gt;0,'Boletins Nuppa Site'!J2133,"NULL")</f>
        <v> 60.00</v>
      </c>
      <c r="H2133" s="30" t="str">
        <f aca="false">IF('Boletins Nuppa Site'!K2133&lt;&gt;0,'Boletins Nuppa Site'!K2133,"NULL")</f>
        <v> 62.50</v>
      </c>
      <c r="I2133" s="0" t="str">
        <f aca="false">"INSERT INTO COTACAO (cot_id, cot_blt_id, cot_pap_id, cot_prc_comum, cot_prc_min, cot_prc_max, cot_prc_med, cot_prc_mediana) VALUES ("&amp;A2133&amp;", "&amp;B2133&amp;", "&amp;C2133&amp;", "&amp;D2133&amp;", "&amp;E2133&amp;", "&amp;F2133&amp;", "&amp;G2133&amp;", "&amp;H2133&amp;");"</f>
        <v>INSERT INTO COTACAO (cot_id, cot_blt_id, cot_pap_id, cot_prc_comum, cot_prc_min, cot_prc_max, cot_prc_med, cot_prc_mediana) VALUES (2132, 91, 22, NULL,  45.00,  70.00,  60.00,  62.50);</v>
      </c>
      <c r="J2133" s="0" t="str">
        <f aca="false">"UPDATE COTACAO SET cot_id = "&amp;A2133&amp;", cot_blt_id = "&amp;B2133&amp;", cot_pap_id = "&amp;C2133&amp;", cot_prc_comum = "&amp;D2133&amp;", cot_prc_min = "&amp;E2133&amp;", cot_prc_max = "&amp;F2133&amp;", cot_prc_med = "&amp;G2133&amp;", cot_prc_mediana = "&amp;H2133&amp;" WHERE cot_id = "&amp;A2133&amp;";"</f>
        <v>UPDATE COTACAO SET cot_id = 2132, cot_blt_id = 91, cot_pap_id = 22, cot_prc_comum = NULL, cot_prc_min =  45.00, cot_prc_max =  70.00, cot_prc_med =  60.00, cot_prc_mediana =  62.50 WHERE cot_id = 2132;</v>
      </c>
    </row>
    <row r="2134" customFormat="false" ht="14.25" hidden="false" customHeight="false" outlineLevel="0" collapsed="false">
      <c r="A2134" s="0" t="n">
        <v>2133</v>
      </c>
      <c r="B2134" s="0" t="n">
        <f aca="false">IF('Boletins Nuppa Site'!A2134&lt;&gt;0,'Boletins Nuppa Site'!A2134,"NULL")</f>
        <v>91</v>
      </c>
      <c r="C2134" s="0" t="n">
        <v>23</v>
      </c>
      <c r="D2134" s="0" t="str">
        <f aca="false">IF('Boletins Nuppa Site'!G2134&lt;&gt;0,'Boletins Nuppa Site'!G2134,"NULL")</f>
        <v> 50.00</v>
      </c>
      <c r="E2134" s="30" t="str">
        <f aca="false">IF('Boletins Nuppa Site'!H2134&lt;&gt;0,'Boletins Nuppa Site'!H2134,"NULL")</f>
        <v> 50.00</v>
      </c>
      <c r="F2134" s="30" t="str">
        <f aca="false">IF('Boletins Nuppa Site'!I2134&lt;&gt;0,'Boletins Nuppa Site'!I2134,"NULL")</f>
        <v> 65.00</v>
      </c>
      <c r="G2134" s="30" t="str">
        <f aca="false">IF('Boletins Nuppa Site'!J2134&lt;&gt;0,'Boletins Nuppa Site'!J2134,"NULL")</f>
        <v> 55.00</v>
      </c>
      <c r="H2134" s="30" t="str">
        <f aca="false">IF('Boletins Nuppa Site'!K2134&lt;&gt;0,'Boletins Nuppa Site'!K2134,"NULL")</f>
        <v> 52.50</v>
      </c>
      <c r="I2134" s="0" t="str">
        <f aca="false">"INSERT INTO COTACAO (cot_id, cot_blt_id, cot_pap_id, cot_prc_comum, cot_prc_min, cot_prc_max, cot_prc_med, cot_prc_mediana) VALUES ("&amp;A2134&amp;", "&amp;B2134&amp;", "&amp;C2134&amp;", "&amp;D2134&amp;", "&amp;E2134&amp;", "&amp;F2134&amp;", "&amp;G2134&amp;", "&amp;H2134&amp;");"</f>
        <v>INSERT INTO COTACAO (cot_id, cot_blt_id, cot_pap_id, cot_prc_comum, cot_prc_min, cot_prc_max, cot_prc_med, cot_prc_mediana) VALUES (2133, 91, 23,  50.00,  50.00,  65.00,  55.00,  52.50);</v>
      </c>
      <c r="J2134" s="0" t="str">
        <f aca="false">"UPDATE COTACAO SET cot_id = "&amp;A2134&amp;", cot_blt_id = "&amp;B2134&amp;", cot_pap_id = "&amp;C2134&amp;", cot_prc_comum = "&amp;D2134&amp;", cot_prc_min = "&amp;E2134&amp;", cot_prc_max = "&amp;F2134&amp;", cot_prc_med = "&amp;G2134&amp;", cot_prc_mediana = "&amp;H2134&amp;" WHERE cot_id = "&amp;A2134&amp;";"</f>
        <v>UPDATE COTACAO SET cot_id = 2133, cot_blt_id = 91, cot_pap_id = 23, cot_prc_comum =  50.00, cot_prc_min =  50.00, cot_prc_max =  65.00, cot_prc_med =  55.00, cot_prc_mediana =  52.50 WHERE cot_id = 2133;</v>
      </c>
    </row>
    <row r="2135" customFormat="false" ht="14.25" hidden="false" customHeight="false" outlineLevel="0" collapsed="false">
      <c r="A2135" s="0" t="n">
        <v>2134</v>
      </c>
      <c r="B2135" s="0" t="n">
        <f aca="false">IF('Boletins Nuppa Site'!A2135&lt;&gt;0,'Boletins Nuppa Site'!A2135,"NULL")</f>
        <v>91</v>
      </c>
      <c r="C2135" s="0" t="n">
        <v>24</v>
      </c>
      <c r="D2135" s="0" t="str">
        <f aca="false">IF('Boletins Nuppa Site'!G2135&lt;&gt;0,'Boletins Nuppa Site'!G2135,"NULL")</f>
        <v>NULL</v>
      </c>
      <c r="E2135" s="30" t="str">
        <f aca="false">IF('Boletins Nuppa Site'!H2135&lt;&gt;0,'Boletins Nuppa Site'!H2135,"NULL")</f>
        <v> 60.00</v>
      </c>
      <c r="F2135" s="30" t="str">
        <f aca="false">IF('Boletins Nuppa Site'!I2135&lt;&gt;0,'Boletins Nuppa Site'!I2135,"NULL")</f>
        <v> 80.00</v>
      </c>
      <c r="G2135" s="30" t="str">
        <f aca="false">IF('Boletins Nuppa Site'!J2135&lt;&gt;0,'Boletins Nuppa Site'!J2135,"NULL")</f>
        <v> 70.00</v>
      </c>
      <c r="H2135" s="30" t="str">
        <f aca="false">IF('Boletins Nuppa Site'!K2135&lt;&gt;0,'Boletins Nuppa Site'!K2135,"NULL")</f>
        <v> 70.00</v>
      </c>
      <c r="I2135" s="0" t="str">
        <f aca="false">"INSERT INTO COTACAO (cot_id, cot_blt_id, cot_pap_id, cot_prc_comum, cot_prc_min, cot_prc_max, cot_prc_med, cot_prc_mediana) VALUES ("&amp;A2135&amp;", "&amp;B2135&amp;", "&amp;C2135&amp;", "&amp;D2135&amp;", "&amp;E2135&amp;", "&amp;F2135&amp;", "&amp;G2135&amp;", "&amp;H2135&amp;");"</f>
        <v>INSERT INTO COTACAO (cot_id, cot_blt_id, cot_pap_id, cot_prc_comum, cot_prc_min, cot_prc_max, cot_prc_med, cot_prc_mediana) VALUES (2134, 91, 24, NULL,  60.00,  80.00,  70.00,  70.00);</v>
      </c>
      <c r="J2135" s="0" t="str">
        <f aca="false">"UPDATE COTACAO SET cot_id = "&amp;A2135&amp;", cot_blt_id = "&amp;B2135&amp;", cot_pap_id = "&amp;C2135&amp;", cot_prc_comum = "&amp;D2135&amp;", cot_prc_min = "&amp;E2135&amp;", cot_prc_max = "&amp;F2135&amp;", cot_prc_med = "&amp;G2135&amp;", cot_prc_mediana = "&amp;H2135&amp;" WHERE cot_id = "&amp;A2135&amp;";"</f>
        <v>UPDATE COTACAO SET cot_id = 2134, cot_blt_id = 91, cot_pap_id = 24, cot_prc_comum = NULL, cot_prc_min =  60.00, cot_prc_max =  80.00, cot_prc_med =  70.00, cot_prc_mediana =  70.00 WHERE cot_id = 2134;</v>
      </c>
    </row>
    <row r="2136" customFormat="false" ht="14.25" hidden="false" customHeight="false" outlineLevel="0" collapsed="false">
      <c r="A2136" s="0" t="n">
        <v>2135</v>
      </c>
      <c r="B2136" s="0" t="n">
        <f aca="false">IF('Boletins Nuppa Site'!A2136&lt;&gt;0,'Boletins Nuppa Site'!A2136,"NULL")</f>
        <v>91</v>
      </c>
      <c r="C2136" s="0" t="n">
        <v>25</v>
      </c>
      <c r="D2136" s="0" t="str">
        <f aca="false">IF('Boletins Nuppa Site'!G2136&lt;&gt;0,'Boletins Nuppa Site'!G2136,"NULL")</f>
        <v> 50.00</v>
      </c>
      <c r="E2136" s="30" t="str">
        <f aca="false">IF('Boletins Nuppa Site'!H2136&lt;&gt;0,'Boletins Nuppa Site'!H2136,"NULL")</f>
        <v> 60.00</v>
      </c>
      <c r="F2136" s="30" t="str">
        <f aca="false">IF('Boletins Nuppa Site'!I2136&lt;&gt;0,'Boletins Nuppa Site'!I2136,"NULL")</f>
        <v> 60.00</v>
      </c>
      <c r="G2136" s="30" t="str">
        <f aca="false">IF('Boletins Nuppa Site'!J2136&lt;&gt;0,'Boletins Nuppa Site'!J2136,"NULL")</f>
        <v> 57.00</v>
      </c>
      <c r="H2136" s="30" t="str">
        <f aca="false">IF('Boletins Nuppa Site'!K2136&lt;&gt;0,'Boletins Nuppa Site'!K2136,"NULL")</f>
        <v> 59.00</v>
      </c>
      <c r="I2136" s="0" t="str">
        <f aca="false">"INSERT INTO COTACAO (cot_id, cot_blt_id, cot_pap_id, cot_prc_comum, cot_prc_min, cot_prc_max, cot_prc_med, cot_prc_mediana) VALUES ("&amp;A2136&amp;", "&amp;B2136&amp;", "&amp;C2136&amp;", "&amp;D2136&amp;", "&amp;E2136&amp;", "&amp;F2136&amp;", "&amp;G2136&amp;", "&amp;H2136&amp;");"</f>
        <v>INSERT INTO COTACAO (cot_id, cot_blt_id, cot_pap_id, cot_prc_comum, cot_prc_min, cot_prc_max, cot_prc_med, cot_prc_mediana) VALUES (2135, 91, 25,  50.00,  60.00,  60.00,  57.00,  59.00);</v>
      </c>
      <c r="J2136" s="0" t="str">
        <f aca="false">"UPDATE COTACAO SET cot_id = "&amp;A2136&amp;", cot_blt_id = "&amp;B2136&amp;", cot_pap_id = "&amp;C2136&amp;", cot_prc_comum = "&amp;D2136&amp;", cot_prc_min = "&amp;E2136&amp;", cot_prc_max = "&amp;F2136&amp;", cot_prc_med = "&amp;G2136&amp;", cot_prc_mediana = "&amp;H2136&amp;" WHERE cot_id = "&amp;A2136&amp;";"</f>
        <v>UPDATE COTACAO SET cot_id = 2135, cot_blt_id = 91, cot_pap_id = 25, cot_prc_comum =  50.00, cot_prc_min =  60.00, cot_prc_max =  60.00, cot_prc_med =  57.00, cot_prc_mediana =  59.00 WHERE cot_id = 2135;</v>
      </c>
    </row>
    <row r="2137" customFormat="false" ht="14.25" hidden="false" customHeight="false" outlineLevel="0" collapsed="false">
      <c r="A2137" s="0" t="n">
        <v>2136</v>
      </c>
      <c r="B2137" s="0" t="n">
        <f aca="false">IF('Boletins Nuppa Site'!A2137&lt;&gt;0,'Boletins Nuppa Site'!A2137,"NULL")</f>
        <v>91</v>
      </c>
      <c r="C2137" s="0" t="n">
        <v>26</v>
      </c>
      <c r="D2137" s="0" t="str">
        <f aca="false">IF('Boletins Nuppa Site'!G2137&lt;&gt;0,'Boletins Nuppa Site'!G2137,"NULL")</f>
        <v> 65.00</v>
      </c>
      <c r="E2137" s="30" t="str">
        <f aca="false">IF('Boletins Nuppa Site'!H2137&lt;&gt;0,'Boletins Nuppa Site'!H2137,"NULL")</f>
        <v> 90.00</v>
      </c>
      <c r="F2137" s="30" t="str">
        <f aca="false">IF('Boletins Nuppa Site'!I2137&lt;&gt;0,'Boletins Nuppa Site'!I2137,"NULL")</f>
        <v> 90.00</v>
      </c>
      <c r="G2137" s="30" t="str">
        <f aca="false">IF('Boletins Nuppa Site'!J2137&lt;&gt;0,'Boletins Nuppa Site'!J2137,"NULL")</f>
        <v> 81.25</v>
      </c>
      <c r="H2137" s="30" t="str">
        <f aca="false">IF('Boletins Nuppa Site'!K2137&lt;&gt;0,'Boletins Nuppa Site'!K2137,"NULL")</f>
        <v> 85.00</v>
      </c>
      <c r="I2137" s="0" t="str">
        <f aca="false">"INSERT INTO COTACAO (cot_id, cot_blt_id, cot_pap_id, cot_prc_comum, cot_prc_min, cot_prc_max, cot_prc_med, cot_prc_mediana) VALUES ("&amp;A2137&amp;", "&amp;B2137&amp;", "&amp;C2137&amp;", "&amp;D2137&amp;", "&amp;E2137&amp;", "&amp;F2137&amp;", "&amp;G2137&amp;", "&amp;H2137&amp;");"</f>
        <v>INSERT INTO COTACAO (cot_id, cot_blt_id, cot_pap_id, cot_prc_comum, cot_prc_min, cot_prc_max, cot_prc_med, cot_prc_mediana) VALUES (2136, 91, 26,  65.00,  90.00,  90.00,  81.25,  85.00);</v>
      </c>
      <c r="J2137" s="0" t="str">
        <f aca="false">"UPDATE COTACAO SET cot_id = "&amp;A2137&amp;", cot_blt_id = "&amp;B2137&amp;", cot_pap_id = "&amp;C2137&amp;", cot_prc_comum = "&amp;D2137&amp;", cot_prc_min = "&amp;E2137&amp;", cot_prc_max = "&amp;F2137&amp;", cot_prc_med = "&amp;G2137&amp;", cot_prc_mediana = "&amp;H2137&amp;" WHERE cot_id = "&amp;A2137&amp;";"</f>
        <v>UPDATE COTACAO SET cot_id = 2136, cot_blt_id = 91, cot_pap_id = 26, cot_prc_comum =  65.00, cot_prc_min =  90.00, cot_prc_max =  90.00, cot_prc_med =  81.25, cot_prc_mediana =  85.00 WHERE cot_id = 2136;</v>
      </c>
    </row>
    <row r="2138" customFormat="false" ht="14.25" hidden="false" customHeight="false" outlineLevel="0" collapsed="false">
      <c r="A2138" s="0" t="n">
        <v>2137</v>
      </c>
      <c r="B2138" s="0" t="n">
        <f aca="false">IF('Boletins Nuppa Site'!A2138&lt;&gt;0,'Boletins Nuppa Site'!A2138,"NULL")</f>
        <v>91</v>
      </c>
      <c r="C2138" s="0" t="n">
        <v>27</v>
      </c>
      <c r="D2138" s="0" t="str">
        <f aca="false">IF('Boletins Nuppa Site'!G2138&lt;&gt;0,'Boletins Nuppa Site'!G2138,"NULL")</f>
        <v> 70.00</v>
      </c>
      <c r="E2138" s="30" t="str">
        <f aca="false">IF('Boletins Nuppa Site'!H2138&lt;&gt;0,'Boletins Nuppa Site'!H2138,"NULL")</f>
        <v> 70.00</v>
      </c>
      <c r="F2138" s="30" t="str">
        <f aca="false">IF('Boletins Nuppa Site'!I2138&lt;&gt;0,'Boletins Nuppa Site'!I2138,"NULL")</f>
        <v> 90.00</v>
      </c>
      <c r="G2138" s="30" t="str">
        <f aca="false">IF('Boletins Nuppa Site'!J2138&lt;&gt;0,'Boletins Nuppa Site'!J2138,"NULL")</f>
        <v> 77.50</v>
      </c>
      <c r="H2138" s="30" t="str">
        <f aca="false">IF('Boletins Nuppa Site'!K2138&lt;&gt;0,'Boletins Nuppa Site'!K2138,"NULL")</f>
        <v> 75.00</v>
      </c>
      <c r="I2138" s="0" t="str">
        <f aca="false">"INSERT INTO COTACAO (cot_id, cot_blt_id, cot_pap_id, cot_prc_comum, cot_prc_min, cot_prc_max, cot_prc_med, cot_prc_mediana) VALUES ("&amp;A2138&amp;", "&amp;B2138&amp;", "&amp;C2138&amp;", "&amp;D2138&amp;", "&amp;E2138&amp;", "&amp;F2138&amp;", "&amp;G2138&amp;", "&amp;H2138&amp;");"</f>
        <v>INSERT INTO COTACAO (cot_id, cot_blt_id, cot_pap_id, cot_prc_comum, cot_prc_min, cot_prc_max, cot_prc_med, cot_prc_mediana) VALUES (2137, 91, 27,  70.00,  70.00,  90.00,  77.50,  75.00);</v>
      </c>
      <c r="J2138" s="0" t="str">
        <f aca="false">"UPDATE COTACAO SET cot_id = "&amp;A2138&amp;", cot_blt_id = "&amp;B2138&amp;", cot_pap_id = "&amp;C2138&amp;", cot_prc_comum = "&amp;D2138&amp;", cot_prc_min = "&amp;E2138&amp;", cot_prc_max = "&amp;F2138&amp;", cot_prc_med = "&amp;G2138&amp;", cot_prc_mediana = "&amp;H2138&amp;" WHERE cot_id = "&amp;A2138&amp;";"</f>
        <v>UPDATE COTACAO SET cot_id = 2137, cot_blt_id = 91, cot_pap_id = 27, cot_prc_comum =  70.00, cot_prc_min =  70.00, cot_prc_max =  90.00, cot_prc_med =  77.50, cot_prc_mediana =  75.00 WHERE cot_id = 2137;</v>
      </c>
    </row>
    <row r="2139" customFormat="false" ht="14.25" hidden="false" customHeight="false" outlineLevel="0" collapsed="false">
      <c r="A2139" s="0" t="n">
        <v>2138</v>
      </c>
      <c r="B2139" s="0" t="n">
        <f aca="false">IF('Boletins Nuppa Site'!A2139&lt;&gt;0,'Boletins Nuppa Site'!A2139,"NULL")</f>
        <v>91</v>
      </c>
      <c r="C2139" s="0" t="n">
        <v>28</v>
      </c>
      <c r="D2139" s="0" t="str">
        <f aca="false">IF('Boletins Nuppa Site'!G2139&lt;&gt;0,'Boletins Nuppa Site'!G2139,"NULL")</f>
        <v>NULL</v>
      </c>
      <c r="E2139" s="30" t="str">
        <f aca="false">IF('Boletins Nuppa Site'!H2139&lt;&gt;0,'Boletins Nuppa Site'!H2139,"NULL")</f>
        <v> 60.00</v>
      </c>
      <c r="F2139" s="30" t="str">
        <f aca="false">IF('Boletins Nuppa Site'!I2139&lt;&gt;0,'Boletins Nuppa Site'!I2139,"NULL")</f>
        <v> 100.00</v>
      </c>
      <c r="G2139" s="30" t="str">
        <f aca="false">IF('Boletins Nuppa Site'!J2139&lt;&gt;0,'Boletins Nuppa Site'!J2139,"NULL")</f>
        <v> 82.50</v>
      </c>
      <c r="H2139" s="30" t="str">
        <f aca="false">IF('Boletins Nuppa Site'!K2139&lt;&gt;0,'Boletins Nuppa Site'!K2139,"NULL")</f>
        <v> 85.00</v>
      </c>
      <c r="I2139" s="0" t="str">
        <f aca="false">"INSERT INTO COTACAO (cot_id, cot_blt_id, cot_pap_id, cot_prc_comum, cot_prc_min, cot_prc_max, cot_prc_med, cot_prc_mediana) VALUES ("&amp;A2139&amp;", "&amp;B2139&amp;", "&amp;C2139&amp;", "&amp;D2139&amp;", "&amp;E2139&amp;", "&amp;F2139&amp;", "&amp;G2139&amp;", "&amp;H2139&amp;");"</f>
        <v>INSERT INTO COTACAO (cot_id, cot_blt_id, cot_pap_id, cot_prc_comum, cot_prc_min, cot_prc_max, cot_prc_med, cot_prc_mediana) VALUES (2138, 91, 28, NULL,  60.00,  100.00,  82.50,  85.00);</v>
      </c>
      <c r="J2139" s="0" t="str">
        <f aca="false">"UPDATE COTACAO SET cot_id = "&amp;A2139&amp;", cot_blt_id = "&amp;B2139&amp;", cot_pap_id = "&amp;C2139&amp;", cot_prc_comum = "&amp;D2139&amp;", cot_prc_min = "&amp;E2139&amp;", cot_prc_max = "&amp;F2139&amp;", cot_prc_med = "&amp;G2139&amp;", cot_prc_mediana = "&amp;H2139&amp;" WHERE cot_id = "&amp;A2139&amp;";"</f>
        <v>UPDATE COTACAO SET cot_id = 2138, cot_blt_id = 91, cot_pap_id = 28, cot_prc_comum = NULL, cot_prc_min =  60.00, cot_prc_max =  100.00, cot_prc_med =  82.50, cot_prc_mediana =  85.00 WHERE cot_id = 2138;</v>
      </c>
    </row>
    <row r="2140" customFormat="false" ht="14.25" hidden="false" customHeight="false" outlineLevel="0" collapsed="false">
      <c r="A2140" s="0" t="n">
        <v>2139</v>
      </c>
      <c r="B2140" s="0" t="n">
        <f aca="false">IF('Boletins Nuppa Site'!A2140&lt;&gt;0,'Boletins Nuppa Site'!A2140,"NULL")</f>
        <v>91</v>
      </c>
      <c r="C2140" s="0" t="n">
        <v>29</v>
      </c>
      <c r="D2140" s="0" t="str">
        <f aca="false">IF('Boletins Nuppa Site'!G2140&lt;&gt;0,'Boletins Nuppa Site'!G2140,"NULL")</f>
        <v>NULL</v>
      </c>
      <c r="E2140" s="30" t="str">
        <f aca="false">IF('Boletins Nuppa Site'!H2140&lt;&gt;0,'Boletins Nuppa Site'!H2140,"NULL")</f>
        <v> 50.00</v>
      </c>
      <c r="F2140" s="30" t="str">
        <f aca="false">IF('Boletins Nuppa Site'!I2140&lt;&gt;0,'Boletins Nuppa Site'!I2140,"NULL")</f>
        <v> 85.00</v>
      </c>
      <c r="G2140" s="30" t="str">
        <f aca="false">IF('Boletins Nuppa Site'!J2140&lt;&gt;0,'Boletins Nuppa Site'!J2140,"NULL")</f>
        <v> 67.50</v>
      </c>
      <c r="H2140" s="30" t="str">
        <f aca="false">IF('Boletins Nuppa Site'!K2140&lt;&gt;0,'Boletins Nuppa Site'!K2140,"NULL")</f>
        <v> 67.50</v>
      </c>
      <c r="I2140" s="0" t="str">
        <f aca="false">"INSERT INTO COTACAO (cot_id, cot_blt_id, cot_pap_id, cot_prc_comum, cot_prc_min, cot_prc_max, cot_prc_med, cot_prc_mediana) VALUES ("&amp;A2140&amp;", "&amp;B2140&amp;", "&amp;C2140&amp;", "&amp;D2140&amp;", "&amp;E2140&amp;", "&amp;F2140&amp;", "&amp;G2140&amp;", "&amp;H2140&amp;");"</f>
        <v>INSERT INTO COTACAO (cot_id, cot_blt_id, cot_pap_id, cot_prc_comum, cot_prc_min, cot_prc_max, cot_prc_med, cot_prc_mediana) VALUES (2139, 91, 29, NULL,  50.00,  85.00,  67.50,  67.50);</v>
      </c>
      <c r="J2140" s="0" t="str">
        <f aca="false">"UPDATE COTACAO SET cot_id = "&amp;A2140&amp;", cot_blt_id = "&amp;B2140&amp;", cot_pap_id = "&amp;C2140&amp;", cot_prc_comum = "&amp;D2140&amp;", cot_prc_min = "&amp;E2140&amp;", cot_prc_max = "&amp;F2140&amp;", cot_prc_med = "&amp;G2140&amp;", cot_prc_mediana = "&amp;H2140&amp;" WHERE cot_id = "&amp;A2140&amp;";"</f>
        <v>UPDATE COTACAO SET cot_id = 2139, cot_blt_id = 91, cot_pap_id = 29, cot_prc_comum = NULL, cot_prc_min =  50.00, cot_prc_max =  85.00, cot_prc_med =  67.50, cot_prc_mediana =  67.50 WHERE cot_id = 2139;</v>
      </c>
    </row>
    <row r="2141" customFormat="false" ht="14.25" hidden="false" customHeight="false" outlineLevel="0" collapsed="false">
      <c r="A2141" s="0" t="n">
        <v>2140</v>
      </c>
      <c r="B2141" s="0" t="n">
        <f aca="false">IF('Boletins Nuppa Site'!A2141&lt;&gt;0,'Boletins Nuppa Site'!A2141,"NULL")</f>
        <v>91</v>
      </c>
      <c r="C2141" s="0" t="n">
        <v>30</v>
      </c>
      <c r="D2141" s="0" t="str">
        <f aca="false">IF('Boletins Nuppa Site'!G2141&lt;&gt;0,'Boletins Nuppa Site'!G2141,"NULL")</f>
        <v> 70.00</v>
      </c>
      <c r="E2141" s="30" t="str">
        <f aca="false">IF('Boletins Nuppa Site'!H2141&lt;&gt;0,'Boletins Nuppa Site'!H2141,"NULL")</f>
        <v> 70.00</v>
      </c>
      <c r="F2141" s="30" t="str">
        <f aca="false">IF('Boletins Nuppa Site'!I2141&lt;&gt;0,'Boletins Nuppa Site'!I2141,"NULL")</f>
        <v> 80.00</v>
      </c>
      <c r="G2141" s="30" t="str">
        <f aca="false">IF('Boletins Nuppa Site'!J2141&lt;&gt;0,'Boletins Nuppa Site'!J2141,"NULL")</f>
        <v> 73.33</v>
      </c>
      <c r="H2141" s="30" t="str">
        <f aca="false">IF('Boletins Nuppa Site'!K2141&lt;&gt;0,'Boletins Nuppa Site'!K2141,"NULL")</f>
        <v> 70.00</v>
      </c>
      <c r="I2141" s="0" t="str">
        <f aca="false">"INSERT INTO COTACAO (cot_id, cot_blt_id, cot_pap_id, cot_prc_comum, cot_prc_min, cot_prc_max, cot_prc_med, cot_prc_mediana) VALUES ("&amp;A2141&amp;", "&amp;B2141&amp;", "&amp;C2141&amp;", "&amp;D2141&amp;", "&amp;E2141&amp;", "&amp;F2141&amp;", "&amp;G2141&amp;", "&amp;H2141&amp;");"</f>
        <v>INSERT INTO COTACAO (cot_id, cot_blt_id, cot_pap_id, cot_prc_comum, cot_prc_min, cot_prc_max, cot_prc_med, cot_prc_mediana) VALUES (2140, 91, 30,  70.00,  70.00,  80.00,  73.33,  70.00);</v>
      </c>
      <c r="J2141" s="0" t="str">
        <f aca="false">"UPDATE COTACAO SET cot_id = "&amp;A2141&amp;", cot_blt_id = "&amp;B2141&amp;", cot_pap_id = "&amp;C2141&amp;", cot_prc_comum = "&amp;D2141&amp;", cot_prc_min = "&amp;E2141&amp;", cot_prc_max = "&amp;F2141&amp;", cot_prc_med = "&amp;G2141&amp;", cot_prc_mediana = "&amp;H2141&amp;" WHERE cot_id = "&amp;A2141&amp;";"</f>
        <v>UPDATE COTACAO SET cot_id = 2140, cot_blt_id = 91, cot_pap_id = 30, cot_prc_comum =  70.00, cot_prc_min =  70.00, cot_prc_max =  80.00, cot_prc_med =  73.33, cot_prc_mediana =  70.00 WHERE cot_id = 2140;</v>
      </c>
    </row>
    <row r="2142" customFormat="false" ht="14.25" hidden="false" customHeight="false" outlineLevel="0" collapsed="false">
      <c r="A2142" s="0" t="n">
        <v>2141</v>
      </c>
      <c r="B2142" s="0" t="n">
        <f aca="false">IF('Boletins Nuppa Site'!A2142&lt;&gt;0,'Boletins Nuppa Site'!A2142,"NULL")</f>
        <v>91</v>
      </c>
      <c r="C2142" s="0" t="n">
        <v>31</v>
      </c>
      <c r="D2142" s="0" t="str">
        <f aca="false">IF('Boletins Nuppa Site'!G2142&lt;&gt;0,'Boletins Nuppa Site'!G2142,"NULL")</f>
        <v> 90.00</v>
      </c>
      <c r="E2142" s="30" t="str">
        <f aca="false">IF('Boletins Nuppa Site'!H2142&lt;&gt;0,'Boletins Nuppa Site'!H2142,"NULL")</f>
        <v> 120.00</v>
      </c>
      <c r="F2142" s="30" t="str">
        <f aca="false">IF('Boletins Nuppa Site'!I2142&lt;&gt;0,'Boletins Nuppa Site'!I2142,"NULL")</f>
        <v> 120.00</v>
      </c>
      <c r="G2142" s="30" t="str">
        <f aca="false">IF('Boletins Nuppa Site'!J2142&lt;&gt;0,'Boletins Nuppa Site'!J2142,"NULL")</f>
        <v> 110.00</v>
      </c>
      <c r="H2142" s="30" t="str">
        <f aca="false">IF('Boletins Nuppa Site'!K2142&lt;&gt;0,'Boletins Nuppa Site'!K2142,"NULL")</f>
        <v> 115.00</v>
      </c>
      <c r="I2142" s="0" t="str">
        <f aca="false">"INSERT INTO COTACAO (cot_id, cot_blt_id, cot_pap_id, cot_prc_comum, cot_prc_min, cot_prc_max, cot_prc_med, cot_prc_mediana) VALUES ("&amp;A2142&amp;", "&amp;B2142&amp;", "&amp;C2142&amp;", "&amp;D2142&amp;", "&amp;E2142&amp;", "&amp;F2142&amp;", "&amp;G2142&amp;", "&amp;H2142&amp;");"</f>
        <v>INSERT INTO COTACAO (cot_id, cot_blt_id, cot_pap_id, cot_prc_comum, cot_prc_min, cot_prc_max, cot_prc_med, cot_prc_mediana) VALUES (2141, 91, 31,  90.00,  120.00,  120.00,  110.00,  115.00);</v>
      </c>
      <c r="J2142" s="0" t="str">
        <f aca="false">"UPDATE COTACAO SET cot_id = "&amp;A2142&amp;", cot_blt_id = "&amp;B2142&amp;", cot_pap_id = "&amp;C2142&amp;", cot_prc_comum = "&amp;D2142&amp;", cot_prc_min = "&amp;E2142&amp;", cot_prc_max = "&amp;F2142&amp;", cot_prc_med = "&amp;G2142&amp;", cot_prc_mediana = "&amp;H2142&amp;" WHERE cot_id = "&amp;A2142&amp;";"</f>
        <v>UPDATE COTACAO SET cot_id = 2141, cot_blt_id = 91, cot_pap_id = 31, cot_prc_comum =  90.00, cot_prc_min =  120.00, cot_prc_max =  120.00, cot_prc_med =  110.00, cot_prc_mediana =  115.00 WHERE cot_id = 2141;</v>
      </c>
    </row>
    <row r="2143" customFormat="false" ht="14.25" hidden="false" customHeight="false" outlineLevel="0" collapsed="false">
      <c r="A2143" s="0" t="n">
        <v>2142</v>
      </c>
      <c r="B2143" s="0" t="n">
        <f aca="false">IF('Boletins Nuppa Site'!A2143&lt;&gt;0,'Boletins Nuppa Site'!A2143,"NULL")</f>
        <v>91</v>
      </c>
      <c r="C2143" s="0" t="n">
        <v>32</v>
      </c>
      <c r="D2143" s="0" t="str">
        <f aca="false">IF('Boletins Nuppa Site'!G2143&lt;&gt;0,'Boletins Nuppa Site'!G2143,"NULL")</f>
        <v> 25.00</v>
      </c>
      <c r="E2143" s="30" t="str">
        <f aca="false">IF('Boletins Nuppa Site'!H2143&lt;&gt;0,'Boletins Nuppa Site'!H2143,"NULL")</f>
        <v> 40.00</v>
      </c>
      <c r="F2143" s="30" t="str">
        <f aca="false">IF('Boletins Nuppa Site'!I2143&lt;&gt;0,'Boletins Nuppa Site'!I2143,"NULL")</f>
        <v> 45.00</v>
      </c>
      <c r="G2143" s="30" t="str">
        <f aca="false">IF('Boletins Nuppa Site'!J2143&lt;&gt;0,'Boletins Nuppa Site'!J2143,"NULL")</f>
        <v> 37.50</v>
      </c>
      <c r="H2143" s="30" t="str">
        <f aca="false">IF('Boletins Nuppa Site'!K2143&lt;&gt;0,'Boletins Nuppa Site'!K2143,"NULL")</f>
        <v> 40.00</v>
      </c>
      <c r="I2143" s="0" t="str">
        <f aca="false">"INSERT INTO COTACAO (cot_id, cot_blt_id, cot_pap_id, cot_prc_comum, cot_prc_min, cot_prc_max, cot_prc_med, cot_prc_mediana) VALUES ("&amp;A2143&amp;", "&amp;B2143&amp;", "&amp;C2143&amp;", "&amp;D2143&amp;", "&amp;E2143&amp;", "&amp;F2143&amp;", "&amp;G2143&amp;", "&amp;H2143&amp;");"</f>
        <v>INSERT INTO COTACAO (cot_id, cot_blt_id, cot_pap_id, cot_prc_comum, cot_prc_min, cot_prc_max, cot_prc_med, cot_prc_mediana) VALUES (2142, 91, 32,  25.00,  40.00,  45.00,  37.50,  40.00);</v>
      </c>
      <c r="J2143" s="0" t="str">
        <f aca="false">"UPDATE COTACAO SET cot_id = "&amp;A2143&amp;", cot_blt_id = "&amp;B2143&amp;", cot_pap_id = "&amp;C2143&amp;", cot_prc_comum = "&amp;D2143&amp;", cot_prc_min = "&amp;E2143&amp;", cot_prc_max = "&amp;F2143&amp;", cot_prc_med = "&amp;G2143&amp;", cot_prc_mediana = "&amp;H2143&amp;" WHERE cot_id = "&amp;A2143&amp;";"</f>
        <v>UPDATE COTACAO SET cot_id = 2142, cot_blt_id = 91, cot_pap_id = 32, cot_prc_comum =  25.00, cot_prc_min =  40.00, cot_prc_max =  45.00, cot_prc_med =  37.50, cot_prc_mediana =  40.00 WHERE cot_id = 2142;</v>
      </c>
    </row>
    <row r="2144" customFormat="false" ht="14.25" hidden="false" customHeight="false" outlineLevel="0" collapsed="false">
      <c r="A2144" s="0" t="n">
        <v>2143</v>
      </c>
      <c r="B2144" s="0" t="n">
        <f aca="false">IF('Boletins Nuppa Site'!A2144&lt;&gt;0,'Boletins Nuppa Site'!A2144,"NULL")</f>
        <v>91</v>
      </c>
      <c r="C2144" s="0" t="n">
        <v>33</v>
      </c>
      <c r="D2144" s="0" t="str">
        <f aca="false">IF('Boletins Nuppa Site'!G2144&lt;&gt;0,'Boletins Nuppa Site'!G2144,"NULL")</f>
        <v>NULL</v>
      </c>
      <c r="E2144" s="30" t="str">
        <f aca="false">IF('Boletins Nuppa Site'!H2144&lt;&gt;0,'Boletins Nuppa Site'!H2144,"NULL")</f>
        <v> 70.00</v>
      </c>
      <c r="F2144" s="30" t="str">
        <f aca="false">IF('Boletins Nuppa Site'!I2144&lt;&gt;0,'Boletins Nuppa Site'!I2144,"NULL")</f>
        <v> 100.00</v>
      </c>
      <c r="G2144" s="30" t="str">
        <f aca="false">IF('Boletins Nuppa Site'!J2144&lt;&gt;0,'Boletins Nuppa Site'!J2144,"NULL")</f>
        <v> 83.33</v>
      </c>
      <c r="H2144" s="30" t="str">
        <f aca="false">IF('Boletins Nuppa Site'!K2144&lt;&gt;0,'Boletins Nuppa Site'!K2144,"NULL")</f>
        <v> 80.00</v>
      </c>
      <c r="I2144" s="0" t="str">
        <f aca="false">"INSERT INTO COTACAO (cot_id, cot_blt_id, cot_pap_id, cot_prc_comum, cot_prc_min, cot_prc_max, cot_prc_med, cot_prc_mediana) VALUES ("&amp;A2144&amp;", "&amp;B2144&amp;", "&amp;C2144&amp;", "&amp;D2144&amp;", "&amp;E2144&amp;", "&amp;F2144&amp;", "&amp;G2144&amp;", "&amp;H2144&amp;");"</f>
        <v>INSERT INTO COTACAO (cot_id, cot_blt_id, cot_pap_id, cot_prc_comum, cot_prc_min, cot_prc_max, cot_prc_med, cot_prc_mediana) VALUES (2143, 91, 33, NULL,  70.00,  100.00,  83.33,  80.00);</v>
      </c>
      <c r="J2144" s="0" t="str">
        <f aca="false">"UPDATE COTACAO SET cot_id = "&amp;A2144&amp;", cot_blt_id = "&amp;B2144&amp;", cot_pap_id = "&amp;C2144&amp;", cot_prc_comum = "&amp;D2144&amp;", cot_prc_min = "&amp;E2144&amp;", cot_prc_max = "&amp;F2144&amp;", cot_prc_med = "&amp;G2144&amp;", cot_prc_mediana = "&amp;H2144&amp;" WHERE cot_id = "&amp;A2144&amp;";"</f>
        <v>UPDATE COTACAO SET cot_id = 2143, cot_blt_id = 91, cot_pap_id = 33, cot_prc_comum = NULL, cot_prc_min =  70.00, cot_prc_max =  100.00, cot_prc_med =  83.33, cot_prc_mediana =  80.00 WHERE cot_id = 2143;</v>
      </c>
    </row>
    <row r="2145" customFormat="false" ht="14.25" hidden="false" customHeight="false" outlineLevel="0" collapsed="false">
      <c r="A2145" s="0" t="n">
        <v>2144</v>
      </c>
      <c r="B2145" s="0" t="n">
        <f aca="false">IF('Boletins Nuppa Site'!A2145&lt;&gt;0,'Boletins Nuppa Site'!A2145,"NULL")</f>
        <v>91</v>
      </c>
      <c r="C2145" s="0" t="n">
        <v>34</v>
      </c>
      <c r="D2145" s="0" t="str">
        <f aca="false">IF('Boletins Nuppa Site'!G2145&lt;&gt;0,'Boletins Nuppa Site'!G2145,"NULL")</f>
        <v> 90.00</v>
      </c>
      <c r="E2145" s="30" t="str">
        <f aca="false">IF('Boletins Nuppa Site'!H2145&lt;&gt;0,'Boletins Nuppa Site'!H2145,"NULL")</f>
        <v> 120.00</v>
      </c>
      <c r="F2145" s="30" t="str">
        <f aca="false">IF('Boletins Nuppa Site'!I2145&lt;&gt;0,'Boletins Nuppa Site'!I2145,"NULL")</f>
        <v> 120.00</v>
      </c>
      <c r="G2145" s="30" t="str">
        <f aca="false">IF('Boletins Nuppa Site'!J2145&lt;&gt;0,'Boletins Nuppa Site'!J2145,"NULL")</f>
        <v> 107.50</v>
      </c>
      <c r="H2145" s="30" t="str">
        <f aca="false">IF('Boletins Nuppa Site'!K2145&lt;&gt;0,'Boletins Nuppa Site'!K2145,"NULL")</f>
        <v> 110.00</v>
      </c>
      <c r="I2145" s="0" t="str">
        <f aca="false">"INSERT INTO COTACAO (cot_id, cot_blt_id, cot_pap_id, cot_prc_comum, cot_prc_min, cot_prc_max, cot_prc_med, cot_prc_mediana) VALUES ("&amp;A2145&amp;", "&amp;B2145&amp;", "&amp;C2145&amp;", "&amp;D2145&amp;", "&amp;E2145&amp;", "&amp;F2145&amp;", "&amp;G2145&amp;", "&amp;H2145&amp;");"</f>
        <v>INSERT INTO COTACAO (cot_id, cot_blt_id, cot_pap_id, cot_prc_comum, cot_prc_min, cot_prc_max, cot_prc_med, cot_prc_mediana) VALUES (2144, 91, 34,  90.00,  120.00,  120.00,  107.50,  110.00);</v>
      </c>
      <c r="J2145" s="0" t="str">
        <f aca="false">"UPDATE COTACAO SET cot_id = "&amp;A2145&amp;", cot_blt_id = "&amp;B2145&amp;", cot_pap_id = "&amp;C2145&amp;", cot_prc_comum = "&amp;D2145&amp;", cot_prc_min = "&amp;E2145&amp;", cot_prc_max = "&amp;F2145&amp;", cot_prc_med = "&amp;G2145&amp;", cot_prc_mediana = "&amp;H2145&amp;" WHERE cot_id = "&amp;A2145&amp;";"</f>
        <v>UPDATE COTACAO SET cot_id = 2144, cot_blt_id = 91, cot_pap_id = 34, cot_prc_comum =  90.00, cot_prc_min =  120.00, cot_prc_max =  120.00, cot_prc_med =  107.50, cot_prc_mediana =  110.00 WHERE cot_id = 2144;</v>
      </c>
    </row>
    <row r="2146" customFormat="false" ht="14.25" hidden="false" customHeight="false" outlineLevel="0" collapsed="false">
      <c r="A2146" s="0" t="n">
        <v>2145</v>
      </c>
      <c r="B2146" s="0" t="n">
        <f aca="false">IF('Boletins Nuppa Site'!A2146&lt;&gt;0,'Boletins Nuppa Site'!A2146,"NULL")</f>
        <v>91</v>
      </c>
      <c r="C2146" s="0" t="n">
        <v>35</v>
      </c>
      <c r="D2146" s="0" t="str">
        <f aca="false">IF('Boletins Nuppa Site'!G2146&lt;&gt;0,'Boletins Nuppa Site'!G2146,"NULL")</f>
        <v>NULL</v>
      </c>
      <c r="E2146" s="30" t="str">
        <f aca="false">IF('Boletins Nuppa Site'!H2146&lt;&gt;0,'Boletins Nuppa Site'!H2146,"NULL")</f>
        <v> 150.00</v>
      </c>
      <c r="F2146" s="30" t="str">
        <f aca="false">IF('Boletins Nuppa Site'!I2146&lt;&gt;0,'Boletins Nuppa Site'!I2146,"NULL")</f>
        <v> 250.00</v>
      </c>
      <c r="G2146" s="30" t="str">
        <f aca="false">IF('Boletins Nuppa Site'!J2146&lt;&gt;0,'Boletins Nuppa Site'!J2146,"NULL")</f>
        <v> 200.00</v>
      </c>
      <c r="H2146" s="30" t="str">
        <f aca="false">IF('Boletins Nuppa Site'!K2146&lt;&gt;0,'Boletins Nuppa Site'!K2146,"NULL")</f>
        <v> 200.00</v>
      </c>
      <c r="I2146" s="0" t="str">
        <f aca="false">"INSERT INTO COTACAO (cot_id, cot_blt_id, cot_pap_id, cot_prc_comum, cot_prc_min, cot_prc_max, cot_prc_med, cot_prc_mediana) VALUES ("&amp;A2146&amp;", "&amp;B2146&amp;", "&amp;C2146&amp;", "&amp;D2146&amp;", "&amp;E2146&amp;", "&amp;F2146&amp;", "&amp;G2146&amp;", "&amp;H2146&amp;");"</f>
        <v>INSERT INTO COTACAO (cot_id, cot_blt_id, cot_pap_id, cot_prc_comum, cot_prc_min, cot_prc_max, cot_prc_med, cot_prc_mediana) VALUES (2145, 91, 35, NULL,  150.00,  250.00,  200.00,  200.00);</v>
      </c>
      <c r="J2146" s="0" t="str">
        <f aca="false">"UPDATE COTACAO SET cot_id = "&amp;A2146&amp;", cot_blt_id = "&amp;B2146&amp;", cot_pap_id = "&amp;C2146&amp;", cot_prc_comum = "&amp;D2146&amp;", cot_prc_min = "&amp;E2146&amp;", cot_prc_max = "&amp;F2146&amp;", cot_prc_med = "&amp;G2146&amp;", cot_prc_mediana = "&amp;H2146&amp;" WHERE cot_id = "&amp;A2146&amp;";"</f>
        <v>UPDATE COTACAO SET cot_id = 2145, cot_blt_id = 91, cot_pap_id = 35, cot_prc_comum = NULL, cot_prc_min =  150.00, cot_prc_max =  250.00, cot_prc_med =  200.00, cot_prc_mediana =  200.00 WHERE cot_id = 2145;</v>
      </c>
    </row>
    <row r="2147" customFormat="false" ht="14.25" hidden="false" customHeight="false" outlineLevel="0" collapsed="false">
      <c r="A2147" s="0" t="n">
        <v>2146</v>
      </c>
      <c r="B2147" s="0" t="n">
        <f aca="false">IF('Boletins Nuppa Site'!A2147&lt;&gt;0,'Boletins Nuppa Site'!A2147,"NULL")</f>
        <v>91</v>
      </c>
      <c r="C2147" s="0" t="n">
        <v>36</v>
      </c>
      <c r="D2147" s="0" t="str">
        <f aca="false">IF('Boletins Nuppa Site'!G2147&lt;&gt;0,'Boletins Nuppa Site'!G2147,"NULL")</f>
        <v>NULL</v>
      </c>
      <c r="E2147" s="30" t="str">
        <f aca="false">IF('Boletins Nuppa Site'!H2147&lt;&gt;0,'Boletins Nuppa Site'!H2147,"NULL")</f>
        <v>NULL</v>
      </c>
      <c r="F2147" s="30" t="str">
        <f aca="false">IF('Boletins Nuppa Site'!I2147&lt;&gt;0,'Boletins Nuppa Site'!I2147,"NULL")</f>
        <v>NULL</v>
      </c>
      <c r="G2147" s="30" t="str">
        <f aca="false">IF('Boletins Nuppa Site'!J2147&lt;&gt;0,'Boletins Nuppa Site'!J2147,"NULL")</f>
        <v>NULL</v>
      </c>
      <c r="H2147" s="30" t="str">
        <f aca="false">IF('Boletins Nuppa Site'!K2147&lt;&gt;0,'Boletins Nuppa Site'!K2147,"NULL")</f>
        <v>NULL</v>
      </c>
      <c r="I2147" s="0" t="str">
        <f aca="false">"INSERT INTO COTACAO (cot_id, cot_blt_id, cot_pap_id, cot_prc_comum, cot_prc_min, cot_prc_max, cot_prc_med, cot_prc_mediana) VALUES ("&amp;A2147&amp;", "&amp;B2147&amp;", "&amp;C2147&amp;", "&amp;D2147&amp;", "&amp;E2147&amp;", "&amp;F2147&amp;", "&amp;G2147&amp;", "&amp;H2147&amp;");"</f>
        <v>INSERT INTO COTACAO (cot_id, cot_blt_id, cot_pap_id, cot_prc_comum, cot_prc_min, cot_prc_max, cot_prc_med, cot_prc_mediana) VALUES (2146, 91, 36, NULL, NULL, NULL, NULL, NULL);</v>
      </c>
      <c r="J2147" s="0" t="str">
        <f aca="false">"UPDATE COTACAO SET cot_id = "&amp;A2147&amp;", cot_blt_id = "&amp;B2147&amp;", cot_pap_id = "&amp;C2147&amp;", cot_prc_comum = "&amp;D2147&amp;", cot_prc_min = "&amp;E2147&amp;", cot_prc_max = "&amp;F2147&amp;", cot_prc_med = "&amp;G2147&amp;", cot_prc_mediana = "&amp;H2147&amp;" WHERE cot_id = "&amp;A2147&amp;";"</f>
        <v>UPDATE COTACAO SET cot_id = 2146, cot_blt_id = 91, cot_pap_id = 36, cot_prc_comum = NULL, cot_prc_min = NULL, cot_prc_max = NULL, cot_prc_med = NULL, cot_prc_mediana = NULL WHERE cot_id = 2146;</v>
      </c>
    </row>
    <row r="2148" customFormat="false" ht="14.25" hidden="false" customHeight="false" outlineLevel="0" collapsed="false">
      <c r="A2148" s="0" t="n">
        <v>2147</v>
      </c>
      <c r="B2148" s="0" t="n">
        <f aca="false">IF('Boletins Nuppa Site'!A2148&lt;&gt;0,'Boletins Nuppa Site'!A2148,"NULL")</f>
        <v>91</v>
      </c>
      <c r="C2148" s="0" t="n">
        <v>37</v>
      </c>
      <c r="D2148" s="0" t="str">
        <f aca="false">IF('Boletins Nuppa Site'!G2148&lt;&gt;0,'Boletins Nuppa Site'!G2148,"NULL")</f>
        <v>NULL</v>
      </c>
      <c r="E2148" s="30" t="str">
        <f aca="false">IF('Boletins Nuppa Site'!H2148&lt;&gt;0,'Boletins Nuppa Site'!H2148,"NULL")</f>
        <v>NULL</v>
      </c>
      <c r="F2148" s="30" t="str">
        <f aca="false">IF('Boletins Nuppa Site'!I2148&lt;&gt;0,'Boletins Nuppa Site'!I2148,"NULL")</f>
        <v>NULL</v>
      </c>
      <c r="G2148" s="30" t="str">
        <f aca="false">IF('Boletins Nuppa Site'!J2148&lt;&gt;0,'Boletins Nuppa Site'!J2148,"NULL")</f>
        <v>NULL</v>
      </c>
      <c r="H2148" s="30" t="str">
        <f aca="false">IF('Boletins Nuppa Site'!K2148&lt;&gt;0,'Boletins Nuppa Site'!K2148,"NULL")</f>
        <v>NULL</v>
      </c>
      <c r="I2148" s="0" t="str">
        <f aca="false">"INSERT INTO COTACAO (cot_id, cot_blt_id, cot_pap_id, cot_prc_comum, cot_prc_min, cot_prc_max, cot_prc_med, cot_prc_mediana) VALUES ("&amp;A2148&amp;", "&amp;B2148&amp;", "&amp;C2148&amp;", "&amp;D2148&amp;", "&amp;E2148&amp;", "&amp;F2148&amp;", "&amp;G2148&amp;", "&amp;H2148&amp;");"</f>
        <v>INSERT INTO COTACAO (cot_id, cot_blt_id, cot_pap_id, cot_prc_comum, cot_prc_min, cot_prc_max, cot_prc_med, cot_prc_mediana) VALUES (2147, 91, 37, NULL, NULL, NULL, NULL, NULL);</v>
      </c>
      <c r="J2148" s="0" t="str">
        <f aca="false">"UPDATE COTACAO SET cot_id = "&amp;A2148&amp;", cot_blt_id = "&amp;B2148&amp;", cot_pap_id = "&amp;C2148&amp;", cot_prc_comum = "&amp;D2148&amp;", cot_prc_min = "&amp;E2148&amp;", cot_prc_max = "&amp;F2148&amp;", cot_prc_med = "&amp;G2148&amp;", cot_prc_mediana = "&amp;H2148&amp;" WHERE cot_id = "&amp;A2148&amp;";"</f>
        <v>UPDATE COTACAO SET cot_id = 2147, cot_blt_id = 91, cot_pap_id = 37, cot_prc_comum = NULL, cot_prc_min = NULL, cot_prc_max = NULL, cot_prc_med = NULL, cot_prc_mediana = NULL WHERE cot_id = 2147;</v>
      </c>
    </row>
    <row r="2149" customFormat="false" ht="14.25" hidden="false" customHeight="false" outlineLevel="0" collapsed="false">
      <c r="A2149" s="0" t="n">
        <v>2148</v>
      </c>
      <c r="B2149" s="0" t="n">
        <f aca="false">IF('Boletins Nuppa Site'!A2149&lt;&gt;0,'Boletins Nuppa Site'!A2149,"NULL")</f>
        <v>91</v>
      </c>
      <c r="C2149" s="0" t="n">
        <v>38</v>
      </c>
      <c r="D2149" s="0" t="str">
        <f aca="false">IF('Boletins Nuppa Site'!G2149&lt;&gt;0,'Boletins Nuppa Site'!G2149,"NULL")</f>
        <v>NULL</v>
      </c>
      <c r="E2149" s="30" t="str">
        <f aca="false">IF('Boletins Nuppa Site'!H2149&lt;&gt;0,'Boletins Nuppa Site'!H2149,"NULL")</f>
        <v>NULL</v>
      </c>
      <c r="F2149" s="30" t="str">
        <f aca="false">IF('Boletins Nuppa Site'!I2149&lt;&gt;0,'Boletins Nuppa Site'!I2149,"NULL")</f>
        <v>NULL</v>
      </c>
      <c r="G2149" s="30" t="str">
        <f aca="false">IF('Boletins Nuppa Site'!J2149&lt;&gt;0,'Boletins Nuppa Site'!J2149,"NULL")</f>
        <v>NULL</v>
      </c>
      <c r="H2149" s="30" t="str">
        <f aca="false">IF('Boletins Nuppa Site'!K2149&lt;&gt;0,'Boletins Nuppa Site'!K2149,"NULL")</f>
        <v>NULL</v>
      </c>
      <c r="I2149" s="0" t="str">
        <f aca="false">"INSERT INTO COTACAO (cot_id, cot_blt_id, cot_pap_id, cot_prc_comum, cot_prc_min, cot_prc_max, cot_prc_med, cot_prc_mediana) VALUES ("&amp;A2149&amp;", "&amp;B2149&amp;", "&amp;C2149&amp;", "&amp;D2149&amp;", "&amp;E2149&amp;", "&amp;F2149&amp;", "&amp;G2149&amp;", "&amp;H2149&amp;");"</f>
        <v>INSERT INTO COTACAO (cot_id, cot_blt_id, cot_pap_id, cot_prc_comum, cot_prc_min, cot_prc_max, cot_prc_med, cot_prc_mediana) VALUES (2148, 91, 38, NULL, NULL, NULL, NULL, NULL);</v>
      </c>
      <c r="J2149" s="0" t="str">
        <f aca="false">"UPDATE COTACAO SET cot_id = "&amp;A2149&amp;", cot_blt_id = "&amp;B2149&amp;", cot_pap_id = "&amp;C2149&amp;", cot_prc_comum = "&amp;D2149&amp;", cot_prc_min = "&amp;E2149&amp;", cot_prc_max = "&amp;F2149&amp;", cot_prc_med = "&amp;G2149&amp;", cot_prc_mediana = "&amp;H2149&amp;" WHERE cot_id = "&amp;A2149&amp;";"</f>
        <v>UPDATE COTACAO SET cot_id = 2148, cot_blt_id = 91, cot_pap_id = 38, cot_prc_comum = NULL, cot_prc_min = NULL, cot_prc_max = NULL, cot_prc_med = NULL, cot_prc_mediana = NULL WHERE cot_id = 2148;</v>
      </c>
    </row>
    <row r="2150" customFormat="false" ht="14.25" hidden="false" customHeight="false" outlineLevel="0" collapsed="false">
      <c r="A2150" s="0" t="n">
        <v>2149</v>
      </c>
      <c r="B2150" s="0" t="n">
        <f aca="false">IF('Boletins Nuppa Site'!A2150&lt;&gt;0,'Boletins Nuppa Site'!A2150,"NULL")</f>
        <v>91</v>
      </c>
      <c r="C2150" s="0" t="n">
        <v>39</v>
      </c>
      <c r="D2150" s="0" t="str">
        <f aca="false">IF('Boletins Nuppa Site'!G2150&lt;&gt;0,'Boletins Nuppa Site'!G2150,"NULL")</f>
        <v>NULL</v>
      </c>
      <c r="E2150" s="30" t="str">
        <f aca="false">IF('Boletins Nuppa Site'!H2150&lt;&gt;0,'Boletins Nuppa Site'!H2150,"NULL")</f>
        <v>NULL</v>
      </c>
      <c r="F2150" s="30" t="str">
        <f aca="false">IF('Boletins Nuppa Site'!I2150&lt;&gt;0,'Boletins Nuppa Site'!I2150,"NULL")</f>
        <v>NULL</v>
      </c>
      <c r="G2150" s="30" t="str">
        <f aca="false">IF('Boletins Nuppa Site'!J2150&lt;&gt;0,'Boletins Nuppa Site'!J2150,"NULL")</f>
        <v>NULL</v>
      </c>
      <c r="H2150" s="30" t="str">
        <f aca="false">IF('Boletins Nuppa Site'!K2150&lt;&gt;0,'Boletins Nuppa Site'!K2150,"NULL")</f>
        <v>NULL</v>
      </c>
      <c r="I2150" s="0" t="str">
        <f aca="false">"INSERT INTO COTACAO (cot_id, cot_blt_id, cot_pap_id, cot_prc_comum, cot_prc_min, cot_prc_max, cot_prc_med, cot_prc_mediana) VALUES ("&amp;A2150&amp;", "&amp;B2150&amp;", "&amp;C2150&amp;", "&amp;D2150&amp;", "&amp;E2150&amp;", "&amp;F2150&amp;", "&amp;G2150&amp;", "&amp;H2150&amp;");"</f>
        <v>INSERT INTO COTACAO (cot_id, cot_blt_id, cot_pap_id, cot_prc_comum, cot_prc_min, cot_prc_max, cot_prc_med, cot_prc_mediana) VALUES (2149, 91, 39, NULL, NULL, NULL, NULL, NULL);</v>
      </c>
      <c r="J2150" s="0" t="str">
        <f aca="false">"UPDATE COTACAO SET cot_id = "&amp;A2150&amp;", cot_blt_id = "&amp;B2150&amp;", cot_pap_id = "&amp;C2150&amp;", cot_prc_comum = "&amp;D2150&amp;", cot_prc_min = "&amp;E2150&amp;", cot_prc_max = "&amp;F2150&amp;", cot_prc_med = "&amp;G2150&amp;", cot_prc_mediana = "&amp;H2150&amp;" WHERE cot_id = "&amp;A2150&amp;";"</f>
        <v>UPDATE COTACAO SET cot_id = 2149, cot_blt_id = 91, cot_pap_id = 39, cot_prc_comum = NULL, cot_prc_min = NULL, cot_prc_max = NULL, cot_prc_med = NULL, cot_prc_mediana = NULL WHERE cot_id = 2149;</v>
      </c>
    </row>
    <row r="2151" customFormat="false" ht="14.25" hidden="false" customHeight="false" outlineLevel="0" collapsed="false">
      <c r="A2151" s="0" t="n">
        <v>2150</v>
      </c>
      <c r="B2151" s="0" t="n">
        <f aca="false">IF('Boletins Nuppa Site'!A2151&lt;&gt;0,'Boletins Nuppa Site'!A2151,"NULL")</f>
        <v>91</v>
      </c>
      <c r="C2151" s="0" t="n">
        <v>40</v>
      </c>
      <c r="D2151" s="0" t="str">
        <f aca="false">IF('Boletins Nuppa Site'!G2151&lt;&gt;0,'Boletins Nuppa Site'!G2151,"NULL")</f>
        <v>NULL</v>
      </c>
      <c r="E2151" s="30" t="str">
        <f aca="false">IF('Boletins Nuppa Site'!H2151&lt;&gt;0,'Boletins Nuppa Site'!H2151,"NULL")</f>
        <v>NULL</v>
      </c>
      <c r="F2151" s="30" t="str">
        <f aca="false">IF('Boletins Nuppa Site'!I2151&lt;&gt;0,'Boletins Nuppa Site'!I2151,"NULL")</f>
        <v>NULL</v>
      </c>
      <c r="G2151" s="30" t="str">
        <f aca="false">IF('Boletins Nuppa Site'!J2151&lt;&gt;0,'Boletins Nuppa Site'!J2151,"NULL")</f>
        <v>NULL</v>
      </c>
      <c r="H2151" s="30" t="str">
        <f aca="false">IF('Boletins Nuppa Site'!K2151&lt;&gt;0,'Boletins Nuppa Site'!K2151,"NULL")</f>
        <v>NULL</v>
      </c>
      <c r="I2151" s="0" t="str">
        <f aca="false">"INSERT INTO COTACAO (cot_id, cot_blt_id, cot_pap_id, cot_prc_comum, cot_prc_min, cot_prc_max, cot_prc_med, cot_prc_mediana) VALUES ("&amp;A2151&amp;", "&amp;B2151&amp;", "&amp;C2151&amp;", "&amp;D2151&amp;", "&amp;E2151&amp;", "&amp;F2151&amp;", "&amp;G2151&amp;", "&amp;H2151&amp;");"</f>
        <v>INSERT INTO COTACAO (cot_id, cot_blt_id, cot_pap_id, cot_prc_comum, cot_prc_min, cot_prc_max, cot_prc_med, cot_prc_mediana) VALUES (2150, 91, 40, NULL, NULL, NULL, NULL, NULL);</v>
      </c>
      <c r="J2151" s="0" t="str">
        <f aca="false">"UPDATE COTACAO SET cot_id = "&amp;A2151&amp;", cot_blt_id = "&amp;B2151&amp;", cot_pap_id = "&amp;C2151&amp;", cot_prc_comum = "&amp;D2151&amp;", cot_prc_min = "&amp;E2151&amp;", cot_prc_max = "&amp;F2151&amp;", cot_prc_med = "&amp;G2151&amp;", cot_prc_mediana = "&amp;H2151&amp;" WHERE cot_id = "&amp;A2151&amp;";"</f>
        <v>UPDATE COTACAO SET cot_id = 2150, cot_blt_id = 91, cot_pap_id = 40, cot_prc_comum = NULL, cot_prc_min = NULL, cot_prc_max = NULL, cot_prc_med = NULL, cot_prc_mediana = NULL WHERE cot_id = 2150;</v>
      </c>
    </row>
    <row r="2152" customFormat="false" ht="14.25" hidden="false" customHeight="false" outlineLevel="0" collapsed="false">
      <c r="A2152" s="0" t="n">
        <v>2151</v>
      </c>
      <c r="B2152" s="0" t="n">
        <f aca="false">IF('Boletins Nuppa Site'!A2152&lt;&gt;0,'Boletins Nuppa Site'!A2152,"NULL")</f>
        <v>92</v>
      </c>
      <c r="C2152" s="0" t="n">
        <v>1</v>
      </c>
      <c r="D2152" s="0" t="str">
        <f aca="false">IF('Boletins Nuppa Site'!G2152&lt;&gt;0,'Boletins Nuppa Site'!G2152,"NULL")</f>
        <v>NULL</v>
      </c>
      <c r="E2152" s="30" t="str">
        <f aca="false">IF('Boletins Nuppa Site'!H2152&lt;&gt;0,'Boletins Nuppa Site'!H2152,"NULL")</f>
        <v> 48.00</v>
      </c>
      <c r="F2152" s="30" t="str">
        <f aca="false">IF('Boletins Nuppa Site'!I2152&lt;&gt;0,'Boletins Nuppa Site'!I2152,"NULL")</f>
        <v> 60.00</v>
      </c>
      <c r="G2152" s="30" t="str">
        <f aca="false">IF('Boletins Nuppa Site'!J2152&lt;&gt;0,'Boletins Nuppa Site'!J2152,"NULL")</f>
        <v> 54.00</v>
      </c>
      <c r="H2152" s="30" t="str">
        <f aca="false">IF('Boletins Nuppa Site'!K2152&lt;&gt;0,'Boletins Nuppa Site'!K2152,"NULL")</f>
        <v> 54.00</v>
      </c>
      <c r="I2152" s="0" t="str">
        <f aca="false">"INSERT INTO COTACAO (cot_id, cot_blt_id, cot_pap_id, cot_prc_comum, cot_prc_min, cot_prc_max, cot_prc_med, cot_prc_mediana) VALUES ("&amp;A2152&amp;", "&amp;B2152&amp;", "&amp;C2152&amp;", "&amp;D2152&amp;", "&amp;E2152&amp;", "&amp;F2152&amp;", "&amp;G2152&amp;", "&amp;H2152&amp;");"</f>
        <v>INSERT INTO COTACAO (cot_id, cot_blt_id, cot_pap_id, cot_prc_comum, cot_prc_min, cot_prc_max, cot_prc_med, cot_prc_mediana) VALUES (2151, 92, 1, NULL,  48.00,  60.00,  54.00,  54.00);</v>
      </c>
      <c r="J2152" s="0" t="str">
        <f aca="false">"UPDATE COTACAO SET cot_id = "&amp;A2152&amp;", cot_blt_id = "&amp;B2152&amp;", cot_pap_id = "&amp;C2152&amp;", cot_prc_comum = "&amp;D2152&amp;", cot_prc_min = "&amp;E2152&amp;", cot_prc_max = "&amp;F2152&amp;", cot_prc_med = "&amp;G2152&amp;", cot_prc_mediana = "&amp;H2152&amp;" WHERE cot_id = "&amp;A2152&amp;";"</f>
        <v>UPDATE COTACAO SET cot_id = 2151, cot_blt_id = 92, cot_pap_id = 1, cot_prc_comum = NULL, cot_prc_min =  48.00, cot_prc_max =  60.00, cot_prc_med =  54.00, cot_prc_mediana =  54.00 WHERE cot_id = 2151;</v>
      </c>
    </row>
    <row r="2153" customFormat="false" ht="14.25" hidden="false" customHeight="false" outlineLevel="0" collapsed="false">
      <c r="A2153" s="0" t="n">
        <v>2152</v>
      </c>
      <c r="B2153" s="0" t="n">
        <f aca="false">IF('Boletins Nuppa Site'!A2153&lt;&gt;0,'Boletins Nuppa Site'!A2153,"NULL")</f>
        <v>92</v>
      </c>
      <c r="C2153" s="0" t="n">
        <v>2</v>
      </c>
      <c r="D2153" s="0" t="str">
        <f aca="false">IF('Boletins Nuppa Site'!G2153&lt;&gt;0,'Boletins Nuppa Site'!G2153,"NULL")</f>
        <v> 96.00</v>
      </c>
      <c r="E2153" s="30" t="str">
        <f aca="false">IF('Boletins Nuppa Site'!H2153&lt;&gt;0,'Boletins Nuppa Site'!H2153,"NULL")</f>
        <v> 72.00</v>
      </c>
      <c r="F2153" s="30" t="str">
        <f aca="false">IF('Boletins Nuppa Site'!I2153&lt;&gt;0,'Boletins Nuppa Site'!I2153,"NULL")</f>
        <v> 96.00</v>
      </c>
      <c r="G2153" s="30" t="str">
        <f aca="false">IF('Boletins Nuppa Site'!J2153&lt;&gt;0,'Boletins Nuppa Site'!J2153,"NULL")</f>
        <v> 88.00</v>
      </c>
      <c r="H2153" s="30" t="str">
        <f aca="false">IF('Boletins Nuppa Site'!K2153&lt;&gt;0,'Boletins Nuppa Site'!K2153,"NULL")</f>
        <v> 96.00</v>
      </c>
      <c r="I2153" s="0" t="str">
        <f aca="false">"INSERT INTO COTACAO (cot_id, cot_blt_id, cot_pap_id, cot_prc_comum, cot_prc_min, cot_prc_max, cot_prc_med, cot_prc_mediana) VALUES ("&amp;A2153&amp;", "&amp;B2153&amp;", "&amp;C2153&amp;", "&amp;D2153&amp;", "&amp;E2153&amp;", "&amp;F2153&amp;", "&amp;G2153&amp;", "&amp;H2153&amp;");"</f>
        <v>INSERT INTO COTACAO (cot_id, cot_blt_id, cot_pap_id, cot_prc_comum, cot_prc_min, cot_prc_max, cot_prc_med, cot_prc_mediana) VALUES (2152, 92, 2,  96.00,  72.00,  96.00,  88.00,  96.00);</v>
      </c>
      <c r="J2153" s="0" t="str">
        <f aca="false">"UPDATE COTACAO SET cot_id = "&amp;A2153&amp;", cot_blt_id = "&amp;B2153&amp;", cot_pap_id = "&amp;C2153&amp;", cot_prc_comum = "&amp;D2153&amp;", cot_prc_min = "&amp;E2153&amp;", cot_prc_max = "&amp;F2153&amp;", cot_prc_med = "&amp;G2153&amp;", cot_prc_mediana = "&amp;H2153&amp;" WHERE cot_id = "&amp;A2153&amp;";"</f>
        <v>UPDATE COTACAO SET cot_id = 2152, cot_blt_id = 92, cot_pap_id = 2, cot_prc_comum =  96.00, cot_prc_min =  72.00, cot_prc_max =  96.00, cot_prc_med =  88.00, cot_prc_mediana =  96.00 WHERE cot_id = 2152;</v>
      </c>
    </row>
    <row r="2154" customFormat="false" ht="14.25" hidden="false" customHeight="false" outlineLevel="0" collapsed="false">
      <c r="A2154" s="0" t="n">
        <v>2153</v>
      </c>
      <c r="B2154" s="0" t="n">
        <f aca="false">IF('Boletins Nuppa Site'!A2154&lt;&gt;0,'Boletins Nuppa Site'!A2154,"NULL")</f>
        <v>92</v>
      </c>
      <c r="C2154" s="0" t="n">
        <v>3</v>
      </c>
      <c r="D2154" s="0" t="str">
        <f aca="false">IF('Boletins Nuppa Site'!G2154&lt;&gt;0,'Boletins Nuppa Site'!G2154,"NULL")</f>
        <v> 48.00</v>
      </c>
      <c r="E2154" s="30" t="str">
        <f aca="false">IF('Boletins Nuppa Site'!H2154&lt;&gt;0,'Boletins Nuppa Site'!H2154,"NULL")</f>
        <v> 40.00</v>
      </c>
      <c r="F2154" s="30" t="str">
        <f aca="false">IF('Boletins Nuppa Site'!I2154&lt;&gt;0,'Boletins Nuppa Site'!I2154,"NULL")</f>
        <v> 60.00</v>
      </c>
      <c r="G2154" s="30" t="str">
        <f aca="false">IF('Boletins Nuppa Site'!J2154&lt;&gt;0,'Boletins Nuppa Site'!J2154,"NULL")</f>
        <v> 49.00</v>
      </c>
      <c r="H2154" s="30" t="str">
        <f aca="false">IF('Boletins Nuppa Site'!K2154&lt;&gt;0,'Boletins Nuppa Site'!K2154,"NULL")</f>
        <v> 48.00</v>
      </c>
      <c r="I2154" s="0" t="str">
        <f aca="false">"INSERT INTO COTACAO (cot_id, cot_blt_id, cot_pap_id, cot_prc_comum, cot_prc_min, cot_prc_max, cot_prc_med, cot_prc_mediana) VALUES ("&amp;A2154&amp;", "&amp;B2154&amp;", "&amp;C2154&amp;", "&amp;D2154&amp;", "&amp;E2154&amp;", "&amp;F2154&amp;", "&amp;G2154&amp;", "&amp;H2154&amp;");"</f>
        <v>INSERT INTO COTACAO (cot_id, cot_blt_id, cot_pap_id, cot_prc_comum, cot_prc_min, cot_prc_max, cot_prc_med, cot_prc_mediana) VALUES (2153, 92, 3,  48.00,  40.00,  60.00,  49.00,  48.00);</v>
      </c>
      <c r="J2154" s="0" t="str">
        <f aca="false">"UPDATE COTACAO SET cot_id = "&amp;A2154&amp;", cot_blt_id = "&amp;B2154&amp;", cot_pap_id = "&amp;C2154&amp;", cot_prc_comum = "&amp;D2154&amp;", cot_prc_min = "&amp;E2154&amp;", cot_prc_max = "&amp;F2154&amp;", cot_prc_med = "&amp;G2154&amp;", cot_prc_mediana = "&amp;H2154&amp;" WHERE cot_id = "&amp;A2154&amp;";"</f>
        <v>UPDATE COTACAO SET cot_id = 2153, cot_blt_id = 92, cot_pap_id = 3, cot_prc_comum =  48.00, cot_prc_min =  40.00, cot_prc_max =  60.00, cot_prc_med =  49.00, cot_prc_mediana =  48.00 WHERE cot_id = 2153;</v>
      </c>
    </row>
    <row r="2155" customFormat="false" ht="14.25" hidden="false" customHeight="false" outlineLevel="0" collapsed="false">
      <c r="A2155" s="0" t="n">
        <v>2154</v>
      </c>
      <c r="B2155" s="0" t="n">
        <f aca="false">IF('Boletins Nuppa Site'!A2155&lt;&gt;0,'Boletins Nuppa Site'!A2155,"NULL")</f>
        <v>92</v>
      </c>
      <c r="C2155" s="0" t="n">
        <v>4</v>
      </c>
      <c r="D2155" s="0" t="str">
        <f aca="false">IF('Boletins Nuppa Site'!G2155&lt;&gt;0,'Boletins Nuppa Site'!G2155,"NULL")</f>
        <v> 30.00</v>
      </c>
      <c r="E2155" s="30" t="str">
        <f aca="false">IF('Boletins Nuppa Site'!H2155&lt;&gt;0,'Boletins Nuppa Site'!H2155,"NULL")</f>
        <v> 30.00</v>
      </c>
      <c r="F2155" s="30" t="str">
        <f aca="false">IF('Boletins Nuppa Site'!I2155&lt;&gt;0,'Boletins Nuppa Site'!I2155,"NULL")</f>
        <v> 60.00</v>
      </c>
      <c r="G2155" s="30" t="str">
        <f aca="false">IF('Boletins Nuppa Site'!J2155&lt;&gt;0,'Boletins Nuppa Site'!J2155,"NULL")</f>
        <v> 37.50</v>
      </c>
      <c r="H2155" s="30" t="str">
        <f aca="false">IF('Boletins Nuppa Site'!K2155&lt;&gt;0,'Boletins Nuppa Site'!K2155,"NULL")</f>
        <v> 30.00</v>
      </c>
      <c r="I2155" s="0" t="str">
        <f aca="false">"INSERT INTO COTACAO (cot_id, cot_blt_id, cot_pap_id, cot_prc_comum, cot_prc_min, cot_prc_max, cot_prc_med, cot_prc_mediana) VALUES ("&amp;A2155&amp;", "&amp;B2155&amp;", "&amp;C2155&amp;", "&amp;D2155&amp;", "&amp;E2155&amp;", "&amp;F2155&amp;", "&amp;G2155&amp;", "&amp;H2155&amp;");"</f>
        <v>INSERT INTO COTACAO (cot_id, cot_blt_id, cot_pap_id, cot_prc_comum, cot_prc_min, cot_prc_max, cot_prc_med, cot_prc_mediana) VALUES (2154, 92, 4,  30.00,  30.00,  60.00,  37.50,  30.00);</v>
      </c>
      <c r="J2155" s="0" t="str">
        <f aca="false">"UPDATE COTACAO SET cot_id = "&amp;A2155&amp;", cot_blt_id = "&amp;B2155&amp;", cot_pap_id = "&amp;C2155&amp;", cot_prc_comum = "&amp;D2155&amp;", cot_prc_min = "&amp;E2155&amp;", cot_prc_max = "&amp;F2155&amp;", cot_prc_med = "&amp;G2155&amp;", cot_prc_mediana = "&amp;H2155&amp;" WHERE cot_id = "&amp;A2155&amp;";"</f>
        <v>UPDATE COTACAO SET cot_id = 2154, cot_blt_id = 92, cot_pap_id = 4, cot_prc_comum =  30.00, cot_prc_min =  30.00, cot_prc_max =  60.00, cot_prc_med =  37.50, cot_prc_mediana =  30.00 WHERE cot_id = 2154;</v>
      </c>
    </row>
    <row r="2156" customFormat="false" ht="14.25" hidden="false" customHeight="false" outlineLevel="0" collapsed="false">
      <c r="A2156" s="0" t="n">
        <v>2155</v>
      </c>
      <c r="B2156" s="0" t="n">
        <f aca="false">IF('Boletins Nuppa Site'!A2156&lt;&gt;0,'Boletins Nuppa Site'!A2156,"NULL")</f>
        <v>92</v>
      </c>
      <c r="C2156" s="0" t="n">
        <v>5</v>
      </c>
      <c r="D2156" s="0" t="str">
        <f aca="false">IF('Boletins Nuppa Site'!G2156&lt;&gt;0,'Boletins Nuppa Site'!G2156,"NULL")</f>
        <v> 30.00</v>
      </c>
      <c r="E2156" s="30" t="str">
        <f aca="false">IF('Boletins Nuppa Site'!H2156&lt;&gt;0,'Boletins Nuppa Site'!H2156,"NULL")</f>
        <v> 30.00</v>
      </c>
      <c r="F2156" s="30" t="str">
        <f aca="false">IF('Boletins Nuppa Site'!I2156&lt;&gt;0,'Boletins Nuppa Site'!I2156,"NULL")</f>
        <v> 60.00</v>
      </c>
      <c r="G2156" s="30" t="str">
        <f aca="false">IF('Boletins Nuppa Site'!J2156&lt;&gt;0,'Boletins Nuppa Site'!J2156,"NULL")</f>
        <v> 37.50</v>
      </c>
      <c r="H2156" s="30" t="str">
        <f aca="false">IF('Boletins Nuppa Site'!K2156&lt;&gt;0,'Boletins Nuppa Site'!K2156,"NULL")</f>
        <v> 30.00</v>
      </c>
      <c r="I2156" s="0" t="str">
        <f aca="false">"INSERT INTO COTACAO (cot_id, cot_blt_id, cot_pap_id, cot_prc_comum, cot_prc_min, cot_prc_max, cot_prc_med, cot_prc_mediana) VALUES ("&amp;A2156&amp;", "&amp;B2156&amp;", "&amp;C2156&amp;", "&amp;D2156&amp;", "&amp;E2156&amp;", "&amp;F2156&amp;", "&amp;G2156&amp;", "&amp;H2156&amp;");"</f>
        <v>INSERT INTO COTACAO (cot_id, cot_blt_id, cot_pap_id, cot_prc_comum, cot_prc_min, cot_prc_max, cot_prc_med, cot_prc_mediana) VALUES (2155, 92, 5,  30.00,  30.00,  60.00,  37.50,  30.00);</v>
      </c>
      <c r="J2156" s="0" t="str">
        <f aca="false">"UPDATE COTACAO SET cot_id = "&amp;A2156&amp;", cot_blt_id = "&amp;B2156&amp;", cot_pap_id = "&amp;C2156&amp;", cot_prc_comum = "&amp;D2156&amp;", cot_prc_min = "&amp;E2156&amp;", cot_prc_max = "&amp;F2156&amp;", cot_prc_med = "&amp;G2156&amp;", cot_prc_mediana = "&amp;H2156&amp;" WHERE cot_id = "&amp;A2156&amp;";"</f>
        <v>UPDATE COTACAO SET cot_id = 2155, cot_blt_id = 92, cot_pap_id = 5, cot_prc_comum =  30.00, cot_prc_min =  30.00, cot_prc_max =  60.00, cot_prc_med =  37.50, cot_prc_mediana =  30.00 WHERE cot_id = 2155;</v>
      </c>
    </row>
    <row r="2157" customFormat="false" ht="14.25" hidden="false" customHeight="false" outlineLevel="0" collapsed="false">
      <c r="A2157" s="0" t="n">
        <v>2156</v>
      </c>
      <c r="B2157" s="0" t="n">
        <f aca="false">IF('Boletins Nuppa Site'!A2157&lt;&gt;0,'Boletins Nuppa Site'!A2157,"NULL")</f>
        <v>92</v>
      </c>
      <c r="C2157" s="0" t="n">
        <v>6</v>
      </c>
      <c r="D2157" s="0" t="str">
        <f aca="false">IF('Boletins Nuppa Site'!G2157&lt;&gt;0,'Boletins Nuppa Site'!G2157,"NULL")</f>
        <v> 60.00</v>
      </c>
      <c r="E2157" s="30" t="str">
        <f aca="false">IF('Boletins Nuppa Site'!H2157&lt;&gt;0,'Boletins Nuppa Site'!H2157,"NULL")</f>
        <v> 60.00</v>
      </c>
      <c r="F2157" s="30" t="str">
        <f aca="false">IF('Boletins Nuppa Site'!I2157&lt;&gt;0,'Boletins Nuppa Site'!I2157,"NULL")</f>
        <v> 60.00</v>
      </c>
      <c r="G2157" s="30" t="str">
        <f aca="false">IF('Boletins Nuppa Site'!J2157&lt;&gt;0,'Boletins Nuppa Site'!J2157,"NULL")</f>
        <v> 60.00</v>
      </c>
      <c r="H2157" s="30" t="str">
        <f aca="false">IF('Boletins Nuppa Site'!K2157&lt;&gt;0,'Boletins Nuppa Site'!K2157,"NULL")</f>
        <v> 60.00</v>
      </c>
      <c r="I2157" s="0" t="str">
        <f aca="false">"INSERT INTO COTACAO (cot_id, cot_blt_id, cot_pap_id, cot_prc_comum, cot_prc_min, cot_prc_max, cot_prc_med, cot_prc_mediana) VALUES ("&amp;A2157&amp;", "&amp;B2157&amp;", "&amp;C2157&amp;", "&amp;D2157&amp;", "&amp;E2157&amp;", "&amp;F2157&amp;", "&amp;G2157&amp;", "&amp;H2157&amp;");"</f>
        <v>INSERT INTO COTACAO (cot_id, cot_blt_id, cot_pap_id, cot_prc_comum, cot_prc_min, cot_prc_max, cot_prc_med, cot_prc_mediana) VALUES (2156, 92, 6,  60.00,  60.00,  60.00,  60.00,  60.00);</v>
      </c>
      <c r="J2157" s="0" t="str">
        <f aca="false">"UPDATE COTACAO SET cot_id = "&amp;A2157&amp;", cot_blt_id = "&amp;B2157&amp;", cot_pap_id = "&amp;C2157&amp;", cot_prc_comum = "&amp;D2157&amp;", cot_prc_min = "&amp;E2157&amp;", cot_prc_max = "&amp;F2157&amp;", cot_prc_med = "&amp;G2157&amp;", cot_prc_mediana = "&amp;H2157&amp;" WHERE cot_id = "&amp;A2157&amp;";"</f>
        <v>UPDATE COTACAO SET cot_id = 2156, cot_blt_id = 92, cot_pap_id = 6, cot_prc_comum =  60.00, cot_prc_min =  60.00, cot_prc_max =  60.00, cot_prc_med =  60.00, cot_prc_mediana =  60.00 WHERE cot_id = 2156;</v>
      </c>
    </row>
    <row r="2158" customFormat="false" ht="14.25" hidden="false" customHeight="false" outlineLevel="0" collapsed="false">
      <c r="A2158" s="0" t="n">
        <v>2157</v>
      </c>
      <c r="B2158" s="0" t="n">
        <f aca="false">IF('Boletins Nuppa Site'!A2158&lt;&gt;0,'Boletins Nuppa Site'!A2158,"NULL")</f>
        <v>92</v>
      </c>
      <c r="C2158" s="0" t="n">
        <v>7</v>
      </c>
      <c r="D2158" s="0" t="str">
        <f aca="false">IF('Boletins Nuppa Site'!G2158&lt;&gt;0,'Boletins Nuppa Site'!G2158,"NULL")</f>
        <v> 96.00</v>
      </c>
      <c r="E2158" s="30" t="str">
        <f aca="false">IF('Boletins Nuppa Site'!H2158&lt;&gt;0,'Boletins Nuppa Site'!H2158,"NULL")</f>
        <v> 96.00</v>
      </c>
      <c r="F2158" s="30" t="str">
        <f aca="false">IF('Boletins Nuppa Site'!I2158&lt;&gt;0,'Boletins Nuppa Site'!I2158,"NULL")</f>
        <v> 108.00</v>
      </c>
      <c r="G2158" s="30" t="str">
        <f aca="false">IF('Boletins Nuppa Site'!J2158&lt;&gt;0,'Boletins Nuppa Site'!J2158,"NULL")</f>
        <v> 100.00</v>
      </c>
      <c r="H2158" s="30" t="str">
        <f aca="false">IF('Boletins Nuppa Site'!K2158&lt;&gt;0,'Boletins Nuppa Site'!K2158,"NULL")</f>
        <v> 96.00</v>
      </c>
      <c r="I2158" s="0" t="str">
        <f aca="false">"INSERT INTO COTACAO (cot_id, cot_blt_id, cot_pap_id, cot_prc_comum, cot_prc_min, cot_prc_max, cot_prc_med, cot_prc_mediana) VALUES ("&amp;A2158&amp;", "&amp;B2158&amp;", "&amp;C2158&amp;", "&amp;D2158&amp;", "&amp;E2158&amp;", "&amp;F2158&amp;", "&amp;G2158&amp;", "&amp;H2158&amp;");"</f>
        <v>INSERT INTO COTACAO (cot_id, cot_blt_id, cot_pap_id, cot_prc_comum, cot_prc_min, cot_prc_max, cot_prc_med, cot_prc_mediana) VALUES (2157, 92, 7,  96.00,  96.00,  108.00,  100.00,  96.00);</v>
      </c>
      <c r="J2158" s="0" t="str">
        <f aca="false">"UPDATE COTACAO SET cot_id = "&amp;A2158&amp;", cot_blt_id = "&amp;B2158&amp;", cot_pap_id = "&amp;C2158&amp;", cot_prc_comum = "&amp;D2158&amp;", cot_prc_min = "&amp;E2158&amp;", cot_prc_max = "&amp;F2158&amp;", cot_prc_med = "&amp;G2158&amp;", cot_prc_mediana = "&amp;H2158&amp;" WHERE cot_id = "&amp;A2158&amp;";"</f>
        <v>UPDATE COTACAO SET cot_id = 2157, cot_blt_id = 92, cot_pap_id = 7, cot_prc_comum =  96.00, cot_prc_min =  96.00, cot_prc_max =  108.00, cot_prc_med =  100.00, cot_prc_mediana =  96.00 WHERE cot_id = 2157;</v>
      </c>
    </row>
    <row r="2159" customFormat="false" ht="14.25" hidden="false" customHeight="false" outlineLevel="0" collapsed="false">
      <c r="A2159" s="0" t="n">
        <v>2158</v>
      </c>
      <c r="B2159" s="0" t="n">
        <f aca="false">IF('Boletins Nuppa Site'!A2159&lt;&gt;0,'Boletins Nuppa Site'!A2159,"NULL")</f>
        <v>92</v>
      </c>
      <c r="C2159" s="0" t="n">
        <v>8</v>
      </c>
      <c r="D2159" s="0" t="str">
        <f aca="false">IF('Boletins Nuppa Site'!G2159&lt;&gt;0,'Boletins Nuppa Site'!G2159,"NULL")</f>
        <v> 84.00</v>
      </c>
      <c r="E2159" s="30" t="str">
        <f aca="false">IF('Boletins Nuppa Site'!H2159&lt;&gt;0,'Boletins Nuppa Site'!H2159,"NULL")</f>
        <v> 96.00</v>
      </c>
      <c r="F2159" s="30" t="str">
        <f aca="false">IF('Boletins Nuppa Site'!I2159&lt;&gt;0,'Boletins Nuppa Site'!I2159,"NULL")</f>
        <v> 96.00</v>
      </c>
      <c r="G2159" s="30" t="str">
        <f aca="false">IF('Boletins Nuppa Site'!J2159&lt;&gt;0,'Boletins Nuppa Site'!J2159,"NULL")</f>
        <v> 91.50</v>
      </c>
      <c r="H2159" s="30" t="str">
        <f aca="false">IF('Boletins Nuppa Site'!K2159&lt;&gt;0,'Boletins Nuppa Site'!K2159,"NULL")</f>
        <v> 93.00</v>
      </c>
      <c r="I2159" s="0" t="str">
        <f aca="false">"INSERT INTO COTACAO (cot_id, cot_blt_id, cot_pap_id, cot_prc_comum, cot_prc_min, cot_prc_max, cot_prc_med, cot_prc_mediana) VALUES ("&amp;A2159&amp;", "&amp;B2159&amp;", "&amp;C2159&amp;", "&amp;D2159&amp;", "&amp;E2159&amp;", "&amp;F2159&amp;", "&amp;G2159&amp;", "&amp;H2159&amp;");"</f>
        <v>INSERT INTO COTACAO (cot_id, cot_blt_id, cot_pap_id, cot_prc_comum, cot_prc_min, cot_prc_max, cot_prc_med, cot_prc_mediana) VALUES (2158, 92, 8,  84.00,  96.00,  96.00,  91.50,  93.00);</v>
      </c>
      <c r="J2159" s="0" t="str">
        <f aca="false">"UPDATE COTACAO SET cot_id = "&amp;A2159&amp;", cot_blt_id = "&amp;B2159&amp;", cot_pap_id = "&amp;C2159&amp;", cot_prc_comum = "&amp;D2159&amp;", cot_prc_min = "&amp;E2159&amp;", cot_prc_max = "&amp;F2159&amp;", cot_prc_med = "&amp;G2159&amp;", cot_prc_mediana = "&amp;H2159&amp;" WHERE cot_id = "&amp;A2159&amp;";"</f>
        <v>UPDATE COTACAO SET cot_id = 2158, cot_blt_id = 92, cot_pap_id = 8, cot_prc_comum =  84.00, cot_prc_min =  96.00, cot_prc_max =  96.00, cot_prc_med =  91.50, cot_prc_mediana =  93.00 WHERE cot_id = 2158;</v>
      </c>
    </row>
    <row r="2160" customFormat="false" ht="14.25" hidden="false" customHeight="false" outlineLevel="0" collapsed="false">
      <c r="A2160" s="0" t="n">
        <v>2159</v>
      </c>
      <c r="B2160" s="0" t="n">
        <f aca="false">IF('Boletins Nuppa Site'!A2160&lt;&gt;0,'Boletins Nuppa Site'!A2160,"NULL")</f>
        <v>92</v>
      </c>
      <c r="C2160" s="0" t="n">
        <v>9</v>
      </c>
      <c r="D2160" s="0" t="str">
        <f aca="false">IF('Boletins Nuppa Site'!G2160&lt;&gt;0,'Boletins Nuppa Site'!G2160,"NULL")</f>
        <v> 30.00</v>
      </c>
      <c r="E2160" s="30" t="str">
        <f aca="false">IF('Boletins Nuppa Site'!H2160&lt;&gt;0,'Boletins Nuppa Site'!H2160,"NULL")</f>
        <v> 30.00</v>
      </c>
      <c r="F2160" s="30" t="str">
        <f aca="false">IF('Boletins Nuppa Site'!I2160&lt;&gt;0,'Boletins Nuppa Site'!I2160,"NULL")</f>
        <v> 36.00</v>
      </c>
      <c r="G2160" s="30" t="str">
        <f aca="false">IF('Boletins Nuppa Site'!J2160&lt;&gt;0,'Boletins Nuppa Site'!J2160,"NULL")</f>
        <v> 31.50</v>
      </c>
      <c r="H2160" s="30" t="str">
        <f aca="false">IF('Boletins Nuppa Site'!K2160&lt;&gt;0,'Boletins Nuppa Site'!K2160,"NULL")</f>
        <v> 30.00</v>
      </c>
      <c r="I2160" s="0" t="str">
        <f aca="false">"INSERT INTO COTACAO (cot_id, cot_blt_id, cot_pap_id, cot_prc_comum, cot_prc_min, cot_prc_max, cot_prc_med, cot_prc_mediana) VALUES ("&amp;A2160&amp;", "&amp;B2160&amp;", "&amp;C2160&amp;", "&amp;D2160&amp;", "&amp;E2160&amp;", "&amp;F2160&amp;", "&amp;G2160&amp;", "&amp;H2160&amp;");"</f>
        <v>INSERT INTO COTACAO (cot_id, cot_blt_id, cot_pap_id, cot_prc_comum, cot_prc_min, cot_prc_max, cot_prc_med, cot_prc_mediana) VALUES (2159, 92, 9,  30.00,  30.00,  36.00,  31.50,  30.00);</v>
      </c>
      <c r="J2160" s="0" t="str">
        <f aca="false">"UPDATE COTACAO SET cot_id = "&amp;A2160&amp;", cot_blt_id = "&amp;B2160&amp;", cot_pap_id = "&amp;C2160&amp;", cot_prc_comum = "&amp;D2160&amp;", cot_prc_min = "&amp;E2160&amp;", cot_prc_max = "&amp;F2160&amp;", cot_prc_med = "&amp;G2160&amp;", cot_prc_mediana = "&amp;H2160&amp;" WHERE cot_id = "&amp;A2160&amp;";"</f>
        <v>UPDATE COTACAO SET cot_id = 2159, cot_blt_id = 92, cot_pap_id = 9, cot_prc_comum =  30.00, cot_prc_min =  30.00, cot_prc_max =  36.00, cot_prc_med =  31.50, cot_prc_mediana =  30.00 WHERE cot_id = 2159;</v>
      </c>
    </row>
    <row r="2161" customFormat="false" ht="14.25" hidden="false" customHeight="false" outlineLevel="0" collapsed="false">
      <c r="A2161" s="0" t="n">
        <v>2160</v>
      </c>
      <c r="B2161" s="0" t="n">
        <f aca="false">IF('Boletins Nuppa Site'!A2161&lt;&gt;0,'Boletins Nuppa Site'!A2161,"NULL")</f>
        <v>92</v>
      </c>
      <c r="C2161" s="0" t="n">
        <v>10</v>
      </c>
      <c r="D2161" s="0" t="str">
        <f aca="false">IF('Boletins Nuppa Site'!G2161&lt;&gt;0,'Boletins Nuppa Site'!G2161,"NULL")</f>
        <v>NULL</v>
      </c>
      <c r="E2161" s="30" t="str">
        <f aca="false">IF('Boletins Nuppa Site'!H2161&lt;&gt;0,'Boletins Nuppa Site'!H2161,"NULL")</f>
        <v> 60.00</v>
      </c>
      <c r="F2161" s="30" t="str">
        <f aca="false">IF('Boletins Nuppa Site'!I2161&lt;&gt;0,'Boletins Nuppa Site'!I2161,"NULL")</f>
        <v> 120.00</v>
      </c>
      <c r="G2161" s="30" t="str">
        <f aca="false">IF('Boletins Nuppa Site'!J2161&lt;&gt;0,'Boletins Nuppa Site'!J2161,"NULL")</f>
        <v> 88.00</v>
      </c>
      <c r="H2161" s="30" t="str">
        <f aca="false">IF('Boletins Nuppa Site'!K2161&lt;&gt;0,'Boletins Nuppa Site'!K2161,"NULL")</f>
        <v> 84.00</v>
      </c>
      <c r="I2161" s="0" t="str">
        <f aca="false">"INSERT INTO COTACAO (cot_id, cot_blt_id, cot_pap_id, cot_prc_comum, cot_prc_min, cot_prc_max, cot_prc_med, cot_prc_mediana) VALUES ("&amp;A2161&amp;", "&amp;B2161&amp;", "&amp;C2161&amp;", "&amp;D2161&amp;", "&amp;E2161&amp;", "&amp;F2161&amp;", "&amp;G2161&amp;", "&amp;H2161&amp;");"</f>
        <v>INSERT INTO COTACAO (cot_id, cot_blt_id, cot_pap_id, cot_prc_comum, cot_prc_min, cot_prc_max, cot_prc_med, cot_prc_mediana) VALUES (2160, 92, 10, NULL,  60.00,  120.00,  88.00,  84.00);</v>
      </c>
      <c r="J2161" s="0" t="str">
        <f aca="false">"UPDATE COTACAO SET cot_id = "&amp;A2161&amp;", cot_blt_id = "&amp;B2161&amp;", cot_pap_id = "&amp;C2161&amp;", cot_prc_comum = "&amp;D2161&amp;", cot_prc_min = "&amp;E2161&amp;", cot_prc_max = "&amp;F2161&amp;", cot_prc_med = "&amp;G2161&amp;", cot_prc_mediana = "&amp;H2161&amp;" WHERE cot_id = "&amp;A2161&amp;";"</f>
        <v>UPDATE COTACAO SET cot_id = 2160, cot_blt_id = 92, cot_pap_id = 10, cot_prc_comum = NULL, cot_prc_min =  60.00, cot_prc_max =  120.00, cot_prc_med =  88.00, cot_prc_mediana =  84.00 WHERE cot_id = 2160;</v>
      </c>
    </row>
    <row r="2162" customFormat="false" ht="14.25" hidden="false" customHeight="false" outlineLevel="0" collapsed="false">
      <c r="A2162" s="0" t="n">
        <v>2161</v>
      </c>
      <c r="B2162" s="0" t="n">
        <f aca="false">IF('Boletins Nuppa Site'!A2162&lt;&gt;0,'Boletins Nuppa Site'!A2162,"NULL")</f>
        <v>92</v>
      </c>
      <c r="C2162" s="0" t="n">
        <v>11</v>
      </c>
      <c r="D2162" s="0" t="str">
        <f aca="false">IF('Boletins Nuppa Site'!G2162&lt;&gt;0,'Boletins Nuppa Site'!G2162,"NULL")</f>
        <v> 30.00</v>
      </c>
      <c r="E2162" s="30" t="str">
        <f aca="false">IF('Boletins Nuppa Site'!H2162&lt;&gt;0,'Boletins Nuppa Site'!H2162,"NULL")</f>
        <v> 30.00</v>
      </c>
      <c r="F2162" s="30" t="str">
        <f aca="false">IF('Boletins Nuppa Site'!I2162&lt;&gt;0,'Boletins Nuppa Site'!I2162,"NULL")</f>
        <v> 60.00</v>
      </c>
      <c r="G2162" s="30" t="str">
        <f aca="false">IF('Boletins Nuppa Site'!J2162&lt;&gt;0,'Boletins Nuppa Site'!J2162,"NULL")</f>
        <v> 37.50</v>
      </c>
      <c r="H2162" s="30" t="str">
        <f aca="false">IF('Boletins Nuppa Site'!K2162&lt;&gt;0,'Boletins Nuppa Site'!K2162,"NULL")</f>
        <v> 30.00</v>
      </c>
      <c r="I2162" s="0" t="str">
        <f aca="false">"INSERT INTO COTACAO (cot_id, cot_blt_id, cot_pap_id, cot_prc_comum, cot_prc_min, cot_prc_max, cot_prc_med, cot_prc_mediana) VALUES ("&amp;A2162&amp;", "&amp;B2162&amp;", "&amp;C2162&amp;", "&amp;D2162&amp;", "&amp;E2162&amp;", "&amp;F2162&amp;", "&amp;G2162&amp;", "&amp;H2162&amp;");"</f>
        <v>INSERT INTO COTACAO (cot_id, cot_blt_id, cot_pap_id, cot_prc_comum, cot_prc_min, cot_prc_max, cot_prc_med, cot_prc_mediana) VALUES (2161, 92, 11,  30.00,  30.00,  60.00,  37.50,  30.00);</v>
      </c>
      <c r="J2162" s="0" t="str">
        <f aca="false">"UPDATE COTACAO SET cot_id = "&amp;A2162&amp;", cot_blt_id = "&amp;B2162&amp;", cot_pap_id = "&amp;C2162&amp;", cot_prc_comum = "&amp;D2162&amp;", cot_prc_min = "&amp;E2162&amp;", cot_prc_max = "&amp;F2162&amp;", cot_prc_med = "&amp;G2162&amp;", cot_prc_mediana = "&amp;H2162&amp;" WHERE cot_id = "&amp;A2162&amp;";"</f>
        <v>UPDATE COTACAO SET cot_id = 2161, cot_blt_id = 92, cot_pap_id = 11, cot_prc_comum =  30.00, cot_prc_min =  30.00, cot_prc_max =  60.00, cot_prc_med =  37.50, cot_prc_mediana =  30.00 WHERE cot_id = 2161;</v>
      </c>
    </row>
    <row r="2163" customFormat="false" ht="14.25" hidden="false" customHeight="false" outlineLevel="0" collapsed="false">
      <c r="A2163" s="0" t="n">
        <v>2162</v>
      </c>
      <c r="B2163" s="0" t="n">
        <f aca="false">IF('Boletins Nuppa Site'!A2163&lt;&gt;0,'Boletins Nuppa Site'!A2163,"NULL")</f>
        <v>92</v>
      </c>
      <c r="C2163" s="0" t="n">
        <v>12</v>
      </c>
      <c r="D2163" s="0" t="str">
        <f aca="false">IF('Boletins Nuppa Site'!G2163&lt;&gt;0,'Boletins Nuppa Site'!G2163,"NULL")</f>
        <v> 60.00</v>
      </c>
      <c r="E2163" s="30" t="str">
        <f aca="false">IF('Boletins Nuppa Site'!H2163&lt;&gt;0,'Boletins Nuppa Site'!H2163,"NULL")</f>
        <v> 60.00</v>
      </c>
      <c r="F2163" s="30" t="str">
        <f aca="false">IF('Boletins Nuppa Site'!I2163&lt;&gt;0,'Boletins Nuppa Site'!I2163,"NULL")</f>
        <v> 84.00</v>
      </c>
      <c r="G2163" s="30" t="str">
        <f aca="false">IF('Boletins Nuppa Site'!J2163&lt;&gt;0,'Boletins Nuppa Site'!J2163,"NULL")</f>
        <v> 68.00</v>
      </c>
      <c r="H2163" s="30" t="str">
        <f aca="false">IF('Boletins Nuppa Site'!K2163&lt;&gt;0,'Boletins Nuppa Site'!K2163,"NULL")</f>
        <v> 60.00</v>
      </c>
      <c r="I2163" s="0" t="str">
        <f aca="false">"INSERT INTO COTACAO (cot_id, cot_blt_id, cot_pap_id, cot_prc_comum, cot_prc_min, cot_prc_max, cot_prc_med, cot_prc_mediana) VALUES ("&amp;A2163&amp;", "&amp;B2163&amp;", "&amp;C2163&amp;", "&amp;D2163&amp;", "&amp;E2163&amp;", "&amp;F2163&amp;", "&amp;G2163&amp;", "&amp;H2163&amp;");"</f>
        <v>INSERT INTO COTACAO (cot_id, cot_blt_id, cot_pap_id, cot_prc_comum, cot_prc_min, cot_prc_max, cot_prc_med, cot_prc_mediana) VALUES (2162, 92, 12,  60.00,  60.00,  84.00,  68.00,  60.00);</v>
      </c>
      <c r="J2163" s="0" t="str">
        <f aca="false">"UPDATE COTACAO SET cot_id = "&amp;A2163&amp;", cot_blt_id = "&amp;B2163&amp;", cot_pap_id = "&amp;C2163&amp;", cot_prc_comum = "&amp;D2163&amp;", cot_prc_min = "&amp;E2163&amp;", cot_prc_max = "&amp;F2163&amp;", cot_prc_med = "&amp;G2163&amp;", cot_prc_mediana = "&amp;H2163&amp;" WHERE cot_id = "&amp;A2163&amp;";"</f>
        <v>UPDATE COTACAO SET cot_id = 2162, cot_blt_id = 92, cot_pap_id = 12, cot_prc_comum =  60.00, cot_prc_min =  60.00, cot_prc_max =  84.00, cot_prc_med =  68.00, cot_prc_mediana =  60.00 WHERE cot_id = 2162;</v>
      </c>
    </row>
    <row r="2164" customFormat="false" ht="14.25" hidden="false" customHeight="false" outlineLevel="0" collapsed="false">
      <c r="A2164" s="0" t="n">
        <v>2163</v>
      </c>
      <c r="B2164" s="0" t="n">
        <f aca="false">IF('Boletins Nuppa Site'!A2164&lt;&gt;0,'Boletins Nuppa Site'!A2164,"NULL")</f>
        <v>92</v>
      </c>
      <c r="C2164" s="0" t="n">
        <v>13</v>
      </c>
      <c r="D2164" s="0" t="str">
        <f aca="false">IF('Boletins Nuppa Site'!G2164&lt;&gt;0,'Boletins Nuppa Site'!G2164,"NULL")</f>
        <v> 60.00</v>
      </c>
      <c r="E2164" s="30" t="str">
        <f aca="false">IF('Boletins Nuppa Site'!H2164&lt;&gt;0,'Boletins Nuppa Site'!H2164,"NULL")</f>
        <v> 60.00</v>
      </c>
      <c r="F2164" s="30" t="str">
        <f aca="false">IF('Boletins Nuppa Site'!I2164&lt;&gt;0,'Boletins Nuppa Site'!I2164,"NULL")</f>
        <v> 60.00</v>
      </c>
      <c r="G2164" s="30" t="str">
        <f aca="false">IF('Boletins Nuppa Site'!J2164&lt;&gt;0,'Boletins Nuppa Site'!J2164,"NULL")</f>
        <v> 60.00</v>
      </c>
      <c r="H2164" s="30" t="str">
        <f aca="false">IF('Boletins Nuppa Site'!K2164&lt;&gt;0,'Boletins Nuppa Site'!K2164,"NULL")</f>
        <v> 60.00</v>
      </c>
      <c r="I2164" s="0" t="str">
        <f aca="false">"INSERT INTO COTACAO (cot_id, cot_blt_id, cot_pap_id, cot_prc_comum, cot_prc_min, cot_prc_max, cot_prc_med, cot_prc_mediana) VALUES ("&amp;A2164&amp;", "&amp;B2164&amp;", "&amp;C2164&amp;", "&amp;D2164&amp;", "&amp;E2164&amp;", "&amp;F2164&amp;", "&amp;G2164&amp;", "&amp;H2164&amp;");"</f>
        <v>INSERT INTO COTACAO (cot_id, cot_blt_id, cot_pap_id, cot_prc_comum, cot_prc_min, cot_prc_max, cot_prc_med, cot_prc_mediana) VALUES (2163, 92, 13,  60.00,  60.00,  60.00,  60.00,  60.00);</v>
      </c>
      <c r="J2164" s="0" t="str">
        <f aca="false">"UPDATE COTACAO SET cot_id = "&amp;A2164&amp;", cot_blt_id = "&amp;B2164&amp;", cot_pap_id = "&amp;C2164&amp;", cot_prc_comum = "&amp;D2164&amp;", cot_prc_min = "&amp;E2164&amp;", cot_prc_max = "&amp;F2164&amp;", cot_prc_med = "&amp;G2164&amp;", cot_prc_mediana = "&amp;H2164&amp;" WHERE cot_id = "&amp;A2164&amp;";"</f>
        <v>UPDATE COTACAO SET cot_id = 2163, cot_blt_id = 92, cot_pap_id = 13, cot_prc_comum =  60.00, cot_prc_min =  60.00, cot_prc_max =  60.00, cot_prc_med =  60.00, cot_prc_mediana =  60.00 WHERE cot_id = 2163;</v>
      </c>
    </row>
    <row r="2165" customFormat="false" ht="14.25" hidden="false" customHeight="false" outlineLevel="0" collapsed="false">
      <c r="A2165" s="0" t="n">
        <v>2164</v>
      </c>
      <c r="B2165" s="0" t="n">
        <f aca="false">IF('Boletins Nuppa Site'!A2165&lt;&gt;0,'Boletins Nuppa Site'!A2165,"NULL")</f>
        <v>92</v>
      </c>
      <c r="C2165" s="0" t="n">
        <v>14</v>
      </c>
      <c r="D2165" s="0" t="str">
        <f aca="false">IF('Boletins Nuppa Site'!G2165&lt;&gt;0,'Boletins Nuppa Site'!G2165,"NULL")</f>
        <v>NULL</v>
      </c>
      <c r="E2165" s="30" t="str">
        <f aca="false">IF('Boletins Nuppa Site'!H2165&lt;&gt;0,'Boletins Nuppa Site'!H2165,"NULL")</f>
        <v> 48.00</v>
      </c>
      <c r="F2165" s="30" t="str">
        <f aca="false">IF('Boletins Nuppa Site'!I2165&lt;&gt;0,'Boletins Nuppa Site'!I2165,"NULL")</f>
        <v> 84.00</v>
      </c>
      <c r="G2165" s="30" t="str">
        <f aca="false">IF('Boletins Nuppa Site'!J2165&lt;&gt;0,'Boletins Nuppa Site'!J2165,"NULL")</f>
        <v> 62.33</v>
      </c>
      <c r="H2165" s="30" t="str">
        <f aca="false">IF('Boletins Nuppa Site'!K2165&lt;&gt;0,'Boletins Nuppa Site'!K2165,"NULL")</f>
        <v> 55.00</v>
      </c>
      <c r="I2165" s="0" t="str">
        <f aca="false">"INSERT INTO COTACAO (cot_id, cot_blt_id, cot_pap_id, cot_prc_comum, cot_prc_min, cot_prc_max, cot_prc_med, cot_prc_mediana) VALUES ("&amp;A2165&amp;", "&amp;B2165&amp;", "&amp;C2165&amp;", "&amp;D2165&amp;", "&amp;E2165&amp;", "&amp;F2165&amp;", "&amp;G2165&amp;", "&amp;H2165&amp;");"</f>
        <v>INSERT INTO COTACAO (cot_id, cot_blt_id, cot_pap_id, cot_prc_comum, cot_prc_min, cot_prc_max, cot_prc_med, cot_prc_mediana) VALUES (2164, 92, 14, NULL,  48.00,  84.00,  62.33,  55.00);</v>
      </c>
      <c r="J2165" s="0" t="str">
        <f aca="false">"UPDATE COTACAO SET cot_id = "&amp;A2165&amp;", cot_blt_id = "&amp;B2165&amp;", cot_pap_id = "&amp;C2165&amp;", cot_prc_comum = "&amp;D2165&amp;", cot_prc_min = "&amp;E2165&amp;", cot_prc_max = "&amp;F2165&amp;", cot_prc_med = "&amp;G2165&amp;", cot_prc_mediana = "&amp;H2165&amp;" WHERE cot_id = "&amp;A2165&amp;";"</f>
        <v>UPDATE COTACAO SET cot_id = 2164, cot_blt_id = 92, cot_pap_id = 14, cot_prc_comum = NULL, cot_prc_min =  48.00, cot_prc_max =  84.00, cot_prc_med =  62.33, cot_prc_mediana =  55.00 WHERE cot_id = 2164;</v>
      </c>
    </row>
    <row r="2166" customFormat="false" ht="14.25" hidden="false" customHeight="false" outlineLevel="0" collapsed="false">
      <c r="A2166" s="0" t="n">
        <v>2165</v>
      </c>
      <c r="B2166" s="0" t="n">
        <f aca="false">IF('Boletins Nuppa Site'!A2166&lt;&gt;0,'Boletins Nuppa Site'!A2166,"NULL")</f>
        <v>92</v>
      </c>
      <c r="C2166" s="0" t="n">
        <v>15</v>
      </c>
      <c r="D2166" s="0" t="str">
        <f aca="false">IF('Boletins Nuppa Site'!G2166&lt;&gt;0,'Boletins Nuppa Site'!G2166,"NULL")</f>
        <v> 60.00</v>
      </c>
      <c r="E2166" s="30" t="str">
        <f aca="false">IF('Boletins Nuppa Site'!H2166&lt;&gt;0,'Boletins Nuppa Site'!H2166,"NULL")</f>
        <v> 45.00</v>
      </c>
      <c r="F2166" s="30" t="str">
        <f aca="false">IF('Boletins Nuppa Site'!I2166&lt;&gt;0,'Boletins Nuppa Site'!I2166,"NULL")</f>
        <v> 60.00</v>
      </c>
      <c r="G2166" s="30" t="str">
        <f aca="false">IF('Boletins Nuppa Site'!J2166&lt;&gt;0,'Boletins Nuppa Site'!J2166,"NULL")</f>
        <v> 53.75</v>
      </c>
      <c r="H2166" s="30" t="str">
        <f aca="false">IF('Boletins Nuppa Site'!K2166&lt;&gt;0,'Boletins Nuppa Site'!K2166,"NULL")</f>
        <v> 55.00</v>
      </c>
      <c r="I2166" s="0" t="str">
        <f aca="false">"INSERT INTO COTACAO (cot_id, cot_blt_id, cot_pap_id, cot_prc_comum, cot_prc_min, cot_prc_max, cot_prc_med, cot_prc_mediana) VALUES ("&amp;A2166&amp;", "&amp;B2166&amp;", "&amp;C2166&amp;", "&amp;D2166&amp;", "&amp;E2166&amp;", "&amp;F2166&amp;", "&amp;G2166&amp;", "&amp;H2166&amp;");"</f>
        <v>INSERT INTO COTACAO (cot_id, cot_blt_id, cot_pap_id, cot_prc_comum, cot_prc_min, cot_prc_max, cot_prc_med, cot_prc_mediana) VALUES (2165, 92, 15,  60.00,  45.00,  60.00,  53.75,  55.00);</v>
      </c>
      <c r="J2166" s="0" t="str">
        <f aca="false">"UPDATE COTACAO SET cot_id = "&amp;A2166&amp;", cot_blt_id = "&amp;B2166&amp;", cot_pap_id = "&amp;C2166&amp;", cot_prc_comum = "&amp;D2166&amp;", cot_prc_min = "&amp;E2166&amp;", cot_prc_max = "&amp;F2166&amp;", cot_prc_med = "&amp;G2166&amp;", cot_prc_mediana = "&amp;H2166&amp;" WHERE cot_id = "&amp;A2166&amp;";"</f>
        <v>UPDATE COTACAO SET cot_id = 2165, cot_blt_id = 92, cot_pap_id = 15, cot_prc_comum =  60.00, cot_prc_min =  45.00, cot_prc_max =  60.00, cot_prc_med =  53.75, cot_prc_mediana =  55.00 WHERE cot_id = 2165;</v>
      </c>
    </row>
    <row r="2167" customFormat="false" ht="14.25" hidden="false" customHeight="false" outlineLevel="0" collapsed="false">
      <c r="A2167" s="0" t="n">
        <v>2166</v>
      </c>
      <c r="B2167" s="0" t="n">
        <f aca="false">IF('Boletins Nuppa Site'!A2167&lt;&gt;0,'Boletins Nuppa Site'!A2167,"NULL")</f>
        <v>92</v>
      </c>
      <c r="C2167" s="0" t="n">
        <v>16</v>
      </c>
      <c r="D2167" s="0" t="str">
        <f aca="false">IF('Boletins Nuppa Site'!G2167&lt;&gt;0,'Boletins Nuppa Site'!G2167,"NULL")</f>
        <v> 60.00</v>
      </c>
      <c r="E2167" s="30" t="str">
        <f aca="false">IF('Boletins Nuppa Site'!H2167&lt;&gt;0,'Boletins Nuppa Site'!H2167,"NULL")</f>
        <v> 54.00</v>
      </c>
      <c r="F2167" s="30" t="str">
        <f aca="false">IF('Boletins Nuppa Site'!I2167&lt;&gt;0,'Boletins Nuppa Site'!I2167,"NULL")</f>
        <v> 72.00</v>
      </c>
      <c r="G2167" s="30" t="str">
        <f aca="false">IF('Boletins Nuppa Site'!J2167&lt;&gt;0,'Boletins Nuppa Site'!J2167,"NULL")</f>
        <v> 61.50</v>
      </c>
      <c r="H2167" s="30" t="str">
        <f aca="false">IF('Boletins Nuppa Site'!K2167&lt;&gt;0,'Boletins Nuppa Site'!K2167,"NULL")</f>
        <v> 60.00</v>
      </c>
      <c r="I2167" s="0" t="str">
        <f aca="false">"INSERT INTO COTACAO (cot_id, cot_blt_id, cot_pap_id, cot_prc_comum, cot_prc_min, cot_prc_max, cot_prc_med, cot_prc_mediana) VALUES ("&amp;A2167&amp;", "&amp;B2167&amp;", "&amp;C2167&amp;", "&amp;D2167&amp;", "&amp;E2167&amp;", "&amp;F2167&amp;", "&amp;G2167&amp;", "&amp;H2167&amp;");"</f>
        <v>INSERT INTO COTACAO (cot_id, cot_blt_id, cot_pap_id, cot_prc_comum, cot_prc_min, cot_prc_max, cot_prc_med, cot_prc_mediana) VALUES (2166, 92, 16,  60.00,  54.00,  72.00,  61.50,  60.00);</v>
      </c>
      <c r="J2167" s="0" t="str">
        <f aca="false">"UPDATE COTACAO SET cot_id = "&amp;A2167&amp;", cot_blt_id = "&amp;B2167&amp;", cot_pap_id = "&amp;C2167&amp;", cot_prc_comum = "&amp;D2167&amp;", cot_prc_min = "&amp;E2167&amp;", cot_prc_max = "&amp;F2167&amp;", cot_prc_med = "&amp;G2167&amp;", cot_prc_mediana = "&amp;H2167&amp;" WHERE cot_id = "&amp;A2167&amp;";"</f>
        <v>UPDATE COTACAO SET cot_id = 2166, cot_blt_id = 92, cot_pap_id = 16, cot_prc_comum =  60.00, cot_prc_min =  54.00, cot_prc_max =  72.00, cot_prc_med =  61.50, cot_prc_mediana =  60.00 WHERE cot_id = 2166;</v>
      </c>
    </row>
    <row r="2168" customFormat="false" ht="14.25" hidden="false" customHeight="false" outlineLevel="0" collapsed="false">
      <c r="A2168" s="0" t="n">
        <v>2167</v>
      </c>
      <c r="B2168" s="0" t="n">
        <f aca="false">IF('Boletins Nuppa Site'!A2168&lt;&gt;0,'Boletins Nuppa Site'!A2168,"NULL")</f>
        <v>92</v>
      </c>
      <c r="C2168" s="0" t="n">
        <v>17</v>
      </c>
      <c r="D2168" s="0" t="str">
        <f aca="false">IF('Boletins Nuppa Site'!G2168&lt;&gt;0,'Boletins Nuppa Site'!G2168,"NULL")</f>
        <v> 5.00</v>
      </c>
      <c r="E2168" s="30" t="str">
        <f aca="false">IF('Boletins Nuppa Site'!H2168&lt;&gt;0,'Boletins Nuppa Site'!H2168,"NULL")</f>
        <v> 5.00</v>
      </c>
      <c r="F2168" s="30" t="str">
        <f aca="false">IF('Boletins Nuppa Site'!I2168&lt;&gt;0,'Boletins Nuppa Site'!I2168,"NULL")</f>
        <v> 5.00</v>
      </c>
      <c r="G2168" s="30" t="str">
        <f aca="false">IF('Boletins Nuppa Site'!J2168&lt;&gt;0,'Boletins Nuppa Site'!J2168,"NULL")</f>
        <v> 5.00</v>
      </c>
      <c r="H2168" s="30" t="str">
        <f aca="false">IF('Boletins Nuppa Site'!K2168&lt;&gt;0,'Boletins Nuppa Site'!K2168,"NULL")</f>
        <v> 5.00</v>
      </c>
      <c r="I2168" s="0" t="str">
        <f aca="false">"INSERT INTO COTACAO (cot_id, cot_blt_id, cot_pap_id, cot_prc_comum, cot_prc_min, cot_prc_max, cot_prc_med, cot_prc_mediana) VALUES ("&amp;A2168&amp;", "&amp;B2168&amp;", "&amp;C2168&amp;", "&amp;D2168&amp;", "&amp;E2168&amp;", "&amp;F2168&amp;", "&amp;G2168&amp;", "&amp;H2168&amp;");"</f>
        <v>INSERT INTO COTACAO (cot_id, cot_blt_id, cot_pap_id, cot_prc_comum, cot_prc_min, cot_prc_max, cot_prc_med, cot_prc_mediana) VALUES (2167, 92, 17,  5.00,  5.00,  5.00,  5.00,  5.00);</v>
      </c>
      <c r="J2168" s="0" t="str">
        <f aca="false">"UPDATE COTACAO SET cot_id = "&amp;A2168&amp;", cot_blt_id = "&amp;B2168&amp;", cot_pap_id = "&amp;C2168&amp;", cot_prc_comum = "&amp;D2168&amp;", cot_prc_min = "&amp;E2168&amp;", cot_prc_max = "&amp;F2168&amp;", cot_prc_med = "&amp;G2168&amp;", cot_prc_mediana = "&amp;H2168&amp;" WHERE cot_id = "&amp;A2168&amp;";"</f>
        <v>UPDATE COTACAO SET cot_id = 2167, cot_blt_id = 92, cot_pap_id = 17, cot_prc_comum =  5.00, cot_prc_min =  5.00, cot_prc_max =  5.00, cot_prc_med =  5.00, cot_prc_mediana =  5.00 WHERE cot_id = 2167;</v>
      </c>
    </row>
    <row r="2169" customFormat="false" ht="14.25" hidden="false" customHeight="false" outlineLevel="0" collapsed="false">
      <c r="A2169" s="0" t="n">
        <v>2168</v>
      </c>
      <c r="B2169" s="0" t="n">
        <f aca="false">IF('Boletins Nuppa Site'!A2169&lt;&gt;0,'Boletins Nuppa Site'!A2169,"NULL")</f>
        <v>92</v>
      </c>
      <c r="C2169" s="0" t="n">
        <v>18</v>
      </c>
      <c r="D2169" s="0" t="str">
        <f aca="false">IF('Boletins Nuppa Site'!G2169&lt;&gt;0,'Boletins Nuppa Site'!G2169,"NULL")</f>
        <v> 45.00</v>
      </c>
      <c r="E2169" s="30" t="str">
        <f aca="false">IF('Boletins Nuppa Site'!H2169&lt;&gt;0,'Boletins Nuppa Site'!H2169,"NULL")</f>
        <v> 40.00</v>
      </c>
      <c r="F2169" s="30" t="str">
        <f aca="false">IF('Boletins Nuppa Site'!I2169&lt;&gt;0,'Boletins Nuppa Site'!I2169,"NULL")</f>
        <v> 48.00</v>
      </c>
      <c r="G2169" s="30" t="str">
        <f aca="false">IF('Boletins Nuppa Site'!J2169&lt;&gt;0,'Boletins Nuppa Site'!J2169,"NULL")</f>
        <v> 44.50</v>
      </c>
      <c r="H2169" s="30" t="str">
        <f aca="false">IF('Boletins Nuppa Site'!K2169&lt;&gt;0,'Boletins Nuppa Site'!K2169,"NULL")</f>
        <v> 45.00</v>
      </c>
      <c r="I2169" s="0" t="str">
        <f aca="false">"INSERT INTO COTACAO (cot_id, cot_blt_id, cot_pap_id, cot_prc_comum, cot_prc_min, cot_prc_max, cot_prc_med, cot_prc_mediana) VALUES ("&amp;A2169&amp;", "&amp;B2169&amp;", "&amp;C2169&amp;", "&amp;D2169&amp;", "&amp;E2169&amp;", "&amp;F2169&amp;", "&amp;G2169&amp;", "&amp;H2169&amp;");"</f>
        <v>INSERT INTO COTACAO (cot_id, cot_blt_id, cot_pap_id, cot_prc_comum, cot_prc_min, cot_prc_max, cot_prc_med, cot_prc_mediana) VALUES (2168, 92, 18,  45.00,  40.00,  48.00,  44.50,  45.00);</v>
      </c>
      <c r="J2169" s="0" t="str">
        <f aca="false">"UPDATE COTACAO SET cot_id = "&amp;A2169&amp;", cot_blt_id = "&amp;B2169&amp;", cot_pap_id = "&amp;C2169&amp;", cot_prc_comum = "&amp;D2169&amp;", cot_prc_min = "&amp;E2169&amp;", cot_prc_max = "&amp;F2169&amp;", cot_prc_med = "&amp;G2169&amp;", cot_prc_mediana = "&amp;H2169&amp;" WHERE cot_id = "&amp;A2169&amp;";"</f>
        <v>UPDATE COTACAO SET cot_id = 2168, cot_blt_id = 92, cot_pap_id = 18, cot_prc_comum =  45.00, cot_prc_min =  40.00, cot_prc_max =  48.00, cot_prc_med =  44.50, cot_prc_mediana =  45.00 WHERE cot_id = 2168;</v>
      </c>
    </row>
    <row r="2170" customFormat="false" ht="14.25" hidden="false" customHeight="false" outlineLevel="0" collapsed="false">
      <c r="A2170" s="0" t="n">
        <v>2169</v>
      </c>
      <c r="B2170" s="0" t="n">
        <f aca="false">IF('Boletins Nuppa Site'!A2170&lt;&gt;0,'Boletins Nuppa Site'!A2170,"NULL")</f>
        <v>92</v>
      </c>
      <c r="C2170" s="0" t="n">
        <v>19</v>
      </c>
      <c r="D2170" s="0" t="str">
        <f aca="false">IF('Boletins Nuppa Site'!G2170&lt;&gt;0,'Boletins Nuppa Site'!G2170,"NULL")</f>
        <v> 30.00</v>
      </c>
      <c r="E2170" s="30" t="str">
        <f aca="false">IF('Boletins Nuppa Site'!H2170&lt;&gt;0,'Boletins Nuppa Site'!H2170,"NULL")</f>
        <v> 30.00</v>
      </c>
      <c r="F2170" s="30" t="str">
        <f aca="false">IF('Boletins Nuppa Site'!I2170&lt;&gt;0,'Boletins Nuppa Site'!I2170,"NULL")</f>
        <v> 45.00</v>
      </c>
      <c r="G2170" s="30" t="str">
        <f aca="false">IF('Boletins Nuppa Site'!J2170&lt;&gt;0,'Boletins Nuppa Site'!J2170,"NULL")</f>
        <v> 36.25</v>
      </c>
      <c r="H2170" s="30" t="str">
        <f aca="false">IF('Boletins Nuppa Site'!K2170&lt;&gt;0,'Boletins Nuppa Site'!K2170,"NULL")</f>
        <v> 35.00</v>
      </c>
      <c r="I2170" s="0" t="str">
        <f aca="false">"INSERT INTO COTACAO (cot_id, cot_blt_id, cot_pap_id, cot_prc_comum, cot_prc_min, cot_prc_max, cot_prc_med, cot_prc_mediana) VALUES ("&amp;A2170&amp;", "&amp;B2170&amp;", "&amp;C2170&amp;", "&amp;D2170&amp;", "&amp;E2170&amp;", "&amp;F2170&amp;", "&amp;G2170&amp;", "&amp;H2170&amp;");"</f>
        <v>INSERT INTO COTACAO (cot_id, cot_blt_id, cot_pap_id, cot_prc_comum, cot_prc_min, cot_prc_max, cot_prc_med, cot_prc_mediana) VALUES (2169, 92, 19,  30.00,  30.00,  45.00,  36.25,  35.00);</v>
      </c>
      <c r="J2170" s="0" t="str">
        <f aca="false">"UPDATE COTACAO SET cot_id = "&amp;A2170&amp;", cot_blt_id = "&amp;B2170&amp;", cot_pap_id = "&amp;C2170&amp;", cot_prc_comum = "&amp;D2170&amp;", cot_prc_min = "&amp;E2170&amp;", cot_prc_max = "&amp;F2170&amp;", cot_prc_med = "&amp;G2170&amp;", cot_prc_mediana = "&amp;H2170&amp;" WHERE cot_id = "&amp;A2170&amp;";"</f>
        <v>UPDATE COTACAO SET cot_id = 2169, cot_blt_id = 92, cot_pap_id = 19, cot_prc_comum =  30.00, cot_prc_min =  30.00, cot_prc_max =  45.00, cot_prc_med =  36.25, cot_prc_mediana =  35.00 WHERE cot_id = 2169;</v>
      </c>
    </row>
    <row r="2171" customFormat="false" ht="14.25" hidden="false" customHeight="false" outlineLevel="0" collapsed="false">
      <c r="A2171" s="0" t="n">
        <v>2170</v>
      </c>
      <c r="B2171" s="0" t="n">
        <f aca="false">IF('Boletins Nuppa Site'!A2171&lt;&gt;0,'Boletins Nuppa Site'!A2171,"NULL")</f>
        <v>92</v>
      </c>
      <c r="C2171" s="0" t="n">
        <v>20</v>
      </c>
      <c r="D2171" s="0" t="str">
        <f aca="false">IF('Boletins Nuppa Site'!G2171&lt;&gt;0,'Boletins Nuppa Site'!G2171,"NULL")</f>
        <v>NULL</v>
      </c>
      <c r="E2171" s="30" t="str">
        <f aca="false">IF('Boletins Nuppa Site'!H2171&lt;&gt;0,'Boletins Nuppa Site'!H2171,"NULL")</f>
        <v> 55.00</v>
      </c>
      <c r="F2171" s="30" t="str">
        <f aca="false">IF('Boletins Nuppa Site'!I2171&lt;&gt;0,'Boletins Nuppa Site'!I2171,"NULL")</f>
        <v> 60.00</v>
      </c>
      <c r="G2171" s="30" t="str">
        <f aca="false">IF('Boletins Nuppa Site'!J2171&lt;&gt;0,'Boletins Nuppa Site'!J2171,"NULL")</f>
        <v> 57.50</v>
      </c>
      <c r="H2171" s="30" t="str">
        <f aca="false">IF('Boletins Nuppa Site'!K2171&lt;&gt;0,'Boletins Nuppa Site'!K2171,"NULL")</f>
        <v> 57.50</v>
      </c>
      <c r="I2171" s="0" t="str">
        <f aca="false">"INSERT INTO COTACAO (cot_id, cot_blt_id, cot_pap_id, cot_prc_comum, cot_prc_min, cot_prc_max, cot_prc_med, cot_prc_mediana) VALUES ("&amp;A2171&amp;", "&amp;B2171&amp;", "&amp;C2171&amp;", "&amp;D2171&amp;", "&amp;E2171&amp;", "&amp;F2171&amp;", "&amp;G2171&amp;", "&amp;H2171&amp;");"</f>
        <v>INSERT INTO COTACAO (cot_id, cot_blt_id, cot_pap_id, cot_prc_comum, cot_prc_min, cot_prc_max, cot_prc_med, cot_prc_mediana) VALUES (2170, 92, 20, NULL,  55.00,  60.00,  57.50,  57.50);</v>
      </c>
      <c r="J2171" s="0" t="str">
        <f aca="false">"UPDATE COTACAO SET cot_id = "&amp;A2171&amp;", cot_blt_id = "&amp;B2171&amp;", cot_pap_id = "&amp;C2171&amp;", cot_prc_comum = "&amp;D2171&amp;", cot_prc_min = "&amp;E2171&amp;", cot_prc_max = "&amp;F2171&amp;", cot_prc_med = "&amp;G2171&amp;", cot_prc_mediana = "&amp;H2171&amp;" WHERE cot_id = "&amp;A2171&amp;";"</f>
        <v>UPDATE COTACAO SET cot_id = 2170, cot_blt_id = 92, cot_pap_id = 20, cot_prc_comum = NULL, cot_prc_min =  55.00, cot_prc_max =  60.00, cot_prc_med =  57.50, cot_prc_mediana =  57.50 WHERE cot_id = 2170;</v>
      </c>
    </row>
    <row r="2172" customFormat="false" ht="14.25" hidden="false" customHeight="false" outlineLevel="0" collapsed="false">
      <c r="A2172" s="0" t="n">
        <v>2171</v>
      </c>
      <c r="B2172" s="0" t="n">
        <f aca="false">IF('Boletins Nuppa Site'!A2172&lt;&gt;0,'Boletins Nuppa Site'!A2172,"NULL")</f>
        <v>92</v>
      </c>
      <c r="C2172" s="0" t="n">
        <v>21</v>
      </c>
      <c r="D2172" s="0" t="str">
        <f aca="false">IF('Boletins Nuppa Site'!G2172&lt;&gt;0,'Boletins Nuppa Site'!G2172,"NULL")</f>
        <v> 70.00</v>
      </c>
      <c r="E2172" s="30" t="str">
        <f aca="false">IF('Boletins Nuppa Site'!H2172&lt;&gt;0,'Boletins Nuppa Site'!H2172,"NULL")</f>
        <v> 70.00</v>
      </c>
      <c r="F2172" s="30" t="str">
        <f aca="false">IF('Boletins Nuppa Site'!I2172&lt;&gt;0,'Boletins Nuppa Site'!I2172,"NULL")</f>
        <v> 70.00</v>
      </c>
      <c r="G2172" s="30" t="str">
        <f aca="false">IF('Boletins Nuppa Site'!J2172&lt;&gt;0,'Boletins Nuppa Site'!J2172,"NULL")</f>
        <v> 70.00</v>
      </c>
      <c r="H2172" s="30" t="str">
        <f aca="false">IF('Boletins Nuppa Site'!K2172&lt;&gt;0,'Boletins Nuppa Site'!K2172,"NULL")</f>
        <v> 70.00</v>
      </c>
      <c r="I2172" s="0" t="str">
        <f aca="false">"INSERT INTO COTACAO (cot_id, cot_blt_id, cot_pap_id, cot_prc_comum, cot_prc_min, cot_prc_max, cot_prc_med, cot_prc_mediana) VALUES ("&amp;A2172&amp;", "&amp;B2172&amp;", "&amp;C2172&amp;", "&amp;D2172&amp;", "&amp;E2172&amp;", "&amp;F2172&amp;", "&amp;G2172&amp;", "&amp;H2172&amp;");"</f>
        <v>INSERT INTO COTACAO (cot_id, cot_blt_id, cot_pap_id, cot_prc_comum, cot_prc_min, cot_prc_max, cot_prc_med, cot_prc_mediana) VALUES (2171, 92, 21,  70.00,  70.00,  70.00,  70.00,  70.00);</v>
      </c>
      <c r="J2172" s="0" t="str">
        <f aca="false">"UPDATE COTACAO SET cot_id = "&amp;A2172&amp;", cot_blt_id = "&amp;B2172&amp;", cot_pap_id = "&amp;C2172&amp;", cot_prc_comum = "&amp;D2172&amp;", cot_prc_min = "&amp;E2172&amp;", cot_prc_max = "&amp;F2172&amp;", cot_prc_med = "&amp;G2172&amp;", cot_prc_mediana = "&amp;H2172&amp;" WHERE cot_id = "&amp;A2172&amp;";"</f>
        <v>UPDATE COTACAO SET cot_id = 2171, cot_blt_id = 92, cot_pap_id = 21, cot_prc_comum =  70.00, cot_prc_min =  70.00, cot_prc_max =  70.00, cot_prc_med =  70.00, cot_prc_mediana =  70.00 WHERE cot_id = 2171;</v>
      </c>
    </row>
    <row r="2173" customFormat="false" ht="14.25" hidden="false" customHeight="false" outlineLevel="0" collapsed="false">
      <c r="A2173" s="0" t="n">
        <v>2172</v>
      </c>
      <c r="B2173" s="0" t="n">
        <f aca="false">IF('Boletins Nuppa Site'!A2173&lt;&gt;0,'Boletins Nuppa Site'!A2173,"NULL")</f>
        <v>92</v>
      </c>
      <c r="C2173" s="0" t="n">
        <v>22</v>
      </c>
      <c r="D2173" s="0" t="str">
        <f aca="false">IF('Boletins Nuppa Site'!G2173&lt;&gt;0,'Boletins Nuppa Site'!G2173,"NULL")</f>
        <v>NULL</v>
      </c>
      <c r="E2173" s="30" t="str">
        <f aca="false">IF('Boletins Nuppa Site'!H2173&lt;&gt;0,'Boletins Nuppa Site'!H2173,"NULL")</f>
        <v> 45.00</v>
      </c>
      <c r="F2173" s="30" t="str">
        <f aca="false">IF('Boletins Nuppa Site'!I2173&lt;&gt;0,'Boletins Nuppa Site'!I2173,"NULL")</f>
        <v> 65.00</v>
      </c>
      <c r="G2173" s="30" t="str">
        <f aca="false">IF('Boletins Nuppa Site'!J2173&lt;&gt;0,'Boletins Nuppa Site'!J2173,"NULL")</f>
        <v> 55.00</v>
      </c>
      <c r="H2173" s="30" t="str">
        <f aca="false">IF('Boletins Nuppa Site'!K2173&lt;&gt;0,'Boletins Nuppa Site'!K2173,"NULL")</f>
        <v> 55.00</v>
      </c>
      <c r="I2173" s="0" t="str">
        <f aca="false">"INSERT INTO COTACAO (cot_id, cot_blt_id, cot_pap_id, cot_prc_comum, cot_prc_min, cot_prc_max, cot_prc_med, cot_prc_mediana) VALUES ("&amp;A2173&amp;", "&amp;B2173&amp;", "&amp;C2173&amp;", "&amp;D2173&amp;", "&amp;E2173&amp;", "&amp;F2173&amp;", "&amp;G2173&amp;", "&amp;H2173&amp;");"</f>
        <v>INSERT INTO COTACAO (cot_id, cot_blt_id, cot_pap_id, cot_prc_comum, cot_prc_min, cot_prc_max, cot_prc_med, cot_prc_mediana) VALUES (2172, 92, 22, NULL,  45.00,  65.00,  55.00,  55.00);</v>
      </c>
      <c r="J2173" s="0" t="str">
        <f aca="false">"UPDATE COTACAO SET cot_id = "&amp;A2173&amp;", cot_blt_id = "&amp;B2173&amp;", cot_pap_id = "&amp;C2173&amp;", cot_prc_comum = "&amp;D2173&amp;", cot_prc_min = "&amp;E2173&amp;", cot_prc_max = "&amp;F2173&amp;", cot_prc_med = "&amp;G2173&amp;", cot_prc_mediana = "&amp;H2173&amp;" WHERE cot_id = "&amp;A2173&amp;";"</f>
        <v>UPDATE COTACAO SET cot_id = 2172, cot_blt_id = 92, cot_pap_id = 22, cot_prc_comum = NULL, cot_prc_min =  45.00, cot_prc_max =  65.00, cot_prc_med =  55.00, cot_prc_mediana =  55.00 WHERE cot_id = 2172;</v>
      </c>
    </row>
    <row r="2174" customFormat="false" ht="14.25" hidden="false" customHeight="false" outlineLevel="0" collapsed="false">
      <c r="A2174" s="0" t="n">
        <v>2173</v>
      </c>
      <c r="B2174" s="0" t="n">
        <f aca="false">IF('Boletins Nuppa Site'!A2174&lt;&gt;0,'Boletins Nuppa Site'!A2174,"NULL")</f>
        <v>92</v>
      </c>
      <c r="C2174" s="0" t="n">
        <v>23</v>
      </c>
      <c r="D2174" s="0" t="str">
        <f aca="false">IF('Boletins Nuppa Site'!G2174&lt;&gt;0,'Boletins Nuppa Site'!G2174,"NULL")</f>
        <v> 50.00</v>
      </c>
      <c r="E2174" s="30" t="str">
        <f aca="false">IF('Boletins Nuppa Site'!H2174&lt;&gt;0,'Boletins Nuppa Site'!H2174,"NULL")</f>
        <v> 50.00</v>
      </c>
      <c r="F2174" s="30" t="str">
        <f aca="false">IF('Boletins Nuppa Site'!I2174&lt;&gt;0,'Boletins Nuppa Site'!I2174,"NULL")</f>
        <v> 55.00</v>
      </c>
      <c r="G2174" s="30" t="str">
        <f aca="false">IF('Boletins Nuppa Site'!J2174&lt;&gt;0,'Boletins Nuppa Site'!J2174,"NULL")</f>
        <v> 51.25</v>
      </c>
      <c r="H2174" s="30" t="str">
        <f aca="false">IF('Boletins Nuppa Site'!K2174&lt;&gt;0,'Boletins Nuppa Site'!K2174,"NULL")</f>
        <v> 50.00</v>
      </c>
      <c r="I2174" s="0" t="str">
        <f aca="false">"INSERT INTO COTACAO (cot_id, cot_blt_id, cot_pap_id, cot_prc_comum, cot_prc_min, cot_prc_max, cot_prc_med, cot_prc_mediana) VALUES ("&amp;A2174&amp;", "&amp;B2174&amp;", "&amp;C2174&amp;", "&amp;D2174&amp;", "&amp;E2174&amp;", "&amp;F2174&amp;", "&amp;G2174&amp;", "&amp;H2174&amp;");"</f>
        <v>INSERT INTO COTACAO (cot_id, cot_blt_id, cot_pap_id, cot_prc_comum, cot_prc_min, cot_prc_max, cot_prc_med, cot_prc_mediana) VALUES (2173, 92, 23,  50.00,  50.00,  55.00,  51.25,  50.00);</v>
      </c>
      <c r="J2174" s="0" t="str">
        <f aca="false">"UPDATE COTACAO SET cot_id = "&amp;A2174&amp;", cot_blt_id = "&amp;B2174&amp;", cot_pap_id = "&amp;C2174&amp;", cot_prc_comum = "&amp;D2174&amp;", cot_prc_min = "&amp;E2174&amp;", cot_prc_max = "&amp;F2174&amp;", cot_prc_med = "&amp;G2174&amp;", cot_prc_mediana = "&amp;H2174&amp;" WHERE cot_id = "&amp;A2174&amp;";"</f>
        <v>UPDATE COTACAO SET cot_id = 2173, cot_blt_id = 92, cot_pap_id = 23, cot_prc_comum =  50.00, cot_prc_min =  50.00, cot_prc_max =  55.00, cot_prc_med =  51.25, cot_prc_mediana =  50.00 WHERE cot_id = 2173;</v>
      </c>
    </row>
    <row r="2175" customFormat="false" ht="14.25" hidden="false" customHeight="false" outlineLevel="0" collapsed="false">
      <c r="A2175" s="0" t="n">
        <v>2174</v>
      </c>
      <c r="B2175" s="0" t="n">
        <f aca="false">IF('Boletins Nuppa Site'!A2175&lt;&gt;0,'Boletins Nuppa Site'!A2175,"NULL")</f>
        <v>92</v>
      </c>
      <c r="C2175" s="0" t="n">
        <v>24</v>
      </c>
      <c r="D2175" s="0" t="str">
        <f aca="false">IF('Boletins Nuppa Site'!G2175&lt;&gt;0,'Boletins Nuppa Site'!G2175,"NULL")</f>
        <v>NULL</v>
      </c>
      <c r="E2175" s="30" t="str">
        <f aca="false">IF('Boletins Nuppa Site'!H2175&lt;&gt;0,'Boletins Nuppa Site'!H2175,"NULL")</f>
        <v> 80.00</v>
      </c>
      <c r="F2175" s="30" t="str">
        <f aca="false">IF('Boletins Nuppa Site'!I2175&lt;&gt;0,'Boletins Nuppa Site'!I2175,"NULL")</f>
        <v> 80.00</v>
      </c>
      <c r="G2175" s="30" t="str">
        <f aca="false">IF('Boletins Nuppa Site'!J2175&lt;&gt;0,'Boletins Nuppa Site'!J2175,"NULL")</f>
        <v> 80.00</v>
      </c>
      <c r="H2175" s="30" t="str">
        <f aca="false">IF('Boletins Nuppa Site'!K2175&lt;&gt;0,'Boletins Nuppa Site'!K2175,"NULL")</f>
        <v> 80.00</v>
      </c>
      <c r="I2175" s="0" t="str">
        <f aca="false">"INSERT INTO COTACAO (cot_id, cot_blt_id, cot_pap_id, cot_prc_comum, cot_prc_min, cot_prc_max, cot_prc_med, cot_prc_mediana) VALUES ("&amp;A2175&amp;", "&amp;B2175&amp;", "&amp;C2175&amp;", "&amp;D2175&amp;", "&amp;E2175&amp;", "&amp;F2175&amp;", "&amp;G2175&amp;", "&amp;H2175&amp;");"</f>
        <v>INSERT INTO COTACAO (cot_id, cot_blt_id, cot_pap_id, cot_prc_comum, cot_prc_min, cot_prc_max, cot_prc_med, cot_prc_mediana) VALUES (2174, 92, 24, NULL,  80.00,  80.00,  80.00,  80.00);</v>
      </c>
      <c r="J2175" s="0" t="str">
        <f aca="false">"UPDATE COTACAO SET cot_id = "&amp;A2175&amp;", cot_blt_id = "&amp;B2175&amp;", cot_pap_id = "&amp;C2175&amp;", cot_prc_comum = "&amp;D2175&amp;", cot_prc_min = "&amp;E2175&amp;", cot_prc_max = "&amp;F2175&amp;", cot_prc_med = "&amp;G2175&amp;", cot_prc_mediana = "&amp;H2175&amp;" WHERE cot_id = "&amp;A2175&amp;";"</f>
        <v>UPDATE COTACAO SET cot_id = 2174, cot_blt_id = 92, cot_pap_id = 24, cot_prc_comum = NULL, cot_prc_min =  80.00, cot_prc_max =  80.00, cot_prc_med =  80.00, cot_prc_mediana =  80.00 WHERE cot_id = 2174;</v>
      </c>
    </row>
    <row r="2176" customFormat="false" ht="14.25" hidden="false" customHeight="false" outlineLevel="0" collapsed="false">
      <c r="A2176" s="0" t="n">
        <v>2175</v>
      </c>
      <c r="B2176" s="0" t="n">
        <f aca="false">IF('Boletins Nuppa Site'!A2176&lt;&gt;0,'Boletins Nuppa Site'!A2176,"NULL")</f>
        <v>92</v>
      </c>
      <c r="C2176" s="0" t="n">
        <v>25</v>
      </c>
      <c r="D2176" s="0" t="str">
        <f aca="false">IF('Boletins Nuppa Site'!G2176&lt;&gt;0,'Boletins Nuppa Site'!G2176,"NULL")</f>
        <v> 55.00</v>
      </c>
      <c r="E2176" s="30" t="str">
        <f aca="false">IF('Boletins Nuppa Site'!H2176&lt;&gt;0,'Boletins Nuppa Site'!H2176,"NULL")</f>
        <v> 60.00</v>
      </c>
      <c r="F2176" s="30" t="str">
        <f aca="false">IF('Boletins Nuppa Site'!I2176&lt;&gt;0,'Boletins Nuppa Site'!I2176,"NULL")</f>
        <v> 65.00</v>
      </c>
      <c r="G2176" s="30" t="str">
        <f aca="false">IF('Boletins Nuppa Site'!J2176&lt;&gt;0,'Boletins Nuppa Site'!J2176,"NULL")</f>
        <v> 60.00</v>
      </c>
      <c r="H2176" s="30" t="str">
        <f aca="false">IF('Boletins Nuppa Site'!K2176&lt;&gt;0,'Boletins Nuppa Site'!K2176,"NULL")</f>
        <v> 60.00</v>
      </c>
      <c r="I2176" s="0" t="str">
        <f aca="false">"INSERT INTO COTACAO (cot_id, cot_blt_id, cot_pap_id, cot_prc_comum, cot_prc_min, cot_prc_max, cot_prc_med, cot_prc_mediana) VALUES ("&amp;A2176&amp;", "&amp;B2176&amp;", "&amp;C2176&amp;", "&amp;D2176&amp;", "&amp;E2176&amp;", "&amp;F2176&amp;", "&amp;G2176&amp;", "&amp;H2176&amp;");"</f>
        <v>INSERT INTO COTACAO (cot_id, cot_blt_id, cot_pap_id, cot_prc_comum, cot_prc_min, cot_prc_max, cot_prc_med, cot_prc_mediana) VALUES (2175, 92, 25,  55.00,  60.00,  65.00,  60.00,  60.00);</v>
      </c>
      <c r="J2176" s="0" t="str">
        <f aca="false">"UPDATE COTACAO SET cot_id = "&amp;A2176&amp;", cot_blt_id = "&amp;B2176&amp;", cot_pap_id = "&amp;C2176&amp;", cot_prc_comum = "&amp;D2176&amp;", cot_prc_min = "&amp;E2176&amp;", cot_prc_max = "&amp;F2176&amp;", cot_prc_med = "&amp;G2176&amp;", cot_prc_mediana = "&amp;H2176&amp;" WHERE cot_id = "&amp;A2176&amp;";"</f>
        <v>UPDATE COTACAO SET cot_id = 2175, cot_blt_id = 92, cot_pap_id = 25, cot_prc_comum =  55.00, cot_prc_min =  60.00, cot_prc_max =  65.00, cot_prc_med =  60.00, cot_prc_mediana =  60.00 WHERE cot_id = 2175;</v>
      </c>
    </row>
    <row r="2177" customFormat="false" ht="14.25" hidden="false" customHeight="false" outlineLevel="0" collapsed="false">
      <c r="A2177" s="0" t="n">
        <v>2176</v>
      </c>
      <c r="B2177" s="0" t="n">
        <f aca="false">IF('Boletins Nuppa Site'!A2177&lt;&gt;0,'Boletins Nuppa Site'!A2177,"NULL")</f>
        <v>92</v>
      </c>
      <c r="C2177" s="0" t="n">
        <v>26</v>
      </c>
      <c r="D2177" s="0" t="str">
        <f aca="false">IF('Boletins Nuppa Site'!G2177&lt;&gt;0,'Boletins Nuppa Site'!G2177,"NULL")</f>
        <v> 70.00</v>
      </c>
      <c r="E2177" s="30" t="str">
        <f aca="false">IF('Boletins Nuppa Site'!H2177&lt;&gt;0,'Boletins Nuppa Site'!H2177,"NULL")</f>
        <v> 70.00</v>
      </c>
      <c r="F2177" s="30" t="str">
        <f aca="false">IF('Boletins Nuppa Site'!I2177&lt;&gt;0,'Boletins Nuppa Site'!I2177,"NULL")</f>
        <v> 105.00</v>
      </c>
      <c r="G2177" s="30" t="str">
        <f aca="false">IF('Boletins Nuppa Site'!J2177&lt;&gt;0,'Boletins Nuppa Site'!J2177,"NULL")</f>
        <v> 81.67</v>
      </c>
      <c r="H2177" s="30" t="str">
        <f aca="false">IF('Boletins Nuppa Site'!K2177&lt;&gt;0,'Boletins Nuppa Site'!K2177,"NULL")</f>
        <v> 70.00</v>
      </c>
      <c r="I2177" s="0" t="str">
        <f aca="false">"INSERT INTO COTACAO (cot_id, cot_blt_id, cot_pap_id, cot_prc_comum, cot_prc_min, cot_prc_max, cot_prc_med, cot_prc_mediana) VALUES ("&amp;A2177&amp;", "&amp;B2177&amp;", "&amp;C2177&amp;", "&amp;D2177&amp;", "&amp;E2177&amp;", "&amp;F2177&amp;", "&amp;G2177&amp;", "&amp;H2177&amp;");"</f>
        <v>INSERT INTO COTACAO (cot_id, cot_blt_id, cot_pap_id, cot_prc_comum, cot_prc_min, cot_prc_max, cot_prc_med, cot_prc_mediana) VALUES (2176, 92, 26,  70.00,  70.00,  105.00,  81.67,  70.00);</v>
      </c>
      <c r="J2177" s="0" t="str">
        <f aca="false">"UPDATE COTACAO SET cot_id = "&amp;A2177&amp;", cot_blt_id = "&amp;B2177&amp;", cot_pap_id = "&amp;C2177&amp;", cot_prc_comum = "&amp;D2177&amp;", cot_prc_min = "&amp;E2177&amp;", cot_prc_max = "&amp;F2177&amp;", cot_prc_med = "&amp;G2177&amp;", cot_prc_mediana = "&amp;H2177&amp;" WHERE cot_id = "&amp;A2177&amp;";"</f>
        <v>UPDATE COTACAO SET cot_id = 2176, cot_blt_id = 92, cot_pap_id = 26, cot_prc_comum =  70.00, cot_prc_min =  70.00, cot_prc_max =  105.00, cot_prc_med =  81.67, cot_prc_mediana =  70.00 WHERE cot_id = 2176;</v>
      </c>
    </row>
    <row r="2178" customFormat="false" ht="14.25" hidden="false" customHeight="false" outlineLevel="0" collapsed="false">
      <c r="A2178" s="0" t="n">
        <v>2177</v>
      </c>
      <c r="B2178" s="0" t="n">
        <f aca="false">IF('Boletins Nuppa Site'!A2178&lt;&gt;0,'Boletins Nuppa Site'!A2178,"NULL")</f>
        <v>92</v>
      </c>
      <c r="C2178" s="0" t="n">
        <v>27</v>
      </c>
      <c r="D2178" s="0" t="str">
        <f aca="false">IF('Boletins Nuppa Site'!G2178&lt;&gt;0,'Boletins Nuppa Site'!G2178,"NULL")</f>
        <v> 70.00</v>
      </c>
      <c r="E2178" s="30" t="str">
        <f aca="false">IF('Boletins Nuppa Site'!H2178&lt;&gt;0,'Boletins Nuppa Site'!H2178,"NULL")</f>
        <v> 70.00</v>
      </c>
      <c r="F2178" s="30" t="str">
        <f aca="false">IF('Boletins Nuppa Site'!I2178&lt;&gt;0,'Boletins Nuppa Site'!I2178,"NULL")</f>
        <v> 90.00</v>
      </c>
      <c r="G2178" s="30" t="str">
        <f aca="false">IF('Boletins Nuppa Site'!J2178&lt;&gt;0,'Boletins Nuppa Site'!J2178,"NULL")</f>
        <v> 77.50</v>
      </c>
      <c r="H2178" s="30" t="str">
        <f aca="false">IF('Boletins Nuppa Site'!K2178&lt;&gt;0,'Boletins Nuppa Site'!K2178,"NULL")</f>
        <v> 75.00</v>
      </c>
      <c r="I2178" s="0" t="str">
        <f aca="false">"INSERT INTO COTACAO (cot_id, cot_blt_id, cot_pap_id, cot_prc_comum, cot_prc_min, cot_prc_max, cot_prc_med, cot_prc_mediana) VALUES ("&amp;A2178&amp;", "&amp;B2178&amp;", "&amp;C2178&amp;", "&amp;D2178&amp;", "&amp;E2178&amp;", "&amp;F2178&amp;", "&amp;G2178&amp;", "&amp;H2178&amp;");"</f>
        <v>INSERT INTO COTACAO (cot_id, cot_blt_id, cot_pap_id, cot_prc_comum, cot_prc_min, cot_prc_max, cot_prc_med, cot_prc_mediana) VALUES (2177, 92, 27,  70.00,  70.00,  90.00,  77.50,  75.00);</v>
      </c>
      <c r="J2178" s="0" t="str">
        <f aca="false">"UPDATE COTACAO SET cot_id = "&amp;A2178&amp;", cot_blt_id = "&amp;B2178&amp;", cot_pap_id = "&amp;C2178&amp;", cot_prc_comum = "&amp;D2178&amp;", cot_prc_min = "&amp;E2178&amp;", cot_prc_max = "&amp;F2178&amp;", cot_prc_med = "&amp;G2178&amp;", cot_prc_mediana = "&amp;H2178&amp;" WHERE cot_id = "&amp;A2178&amp;";"</f>
        <v>UPDATE COTACAO SET cot_id = 2177, cot_blt_id = 92, cot_pap_id = 27, cot_prc_comum =  70.00, cot_prc_min =  70.00, cot_prc_max =  90.00, cot_prc_med =  77.50, cot_prc_mediana =  75.00 WHERE cot_id = 2177;</v>
      </c>
    </row>
    <row r="2179" customFormat="false" ht="14.25" hidden="false" customHeight="false" outlineLevel="0" collapsed="false">
      <c r="A2179" s="0" t="n">
        <v>2178</v>
      </c>
      <c r="B2179" s="0" t="n">
        <f aca="false">IF('Boletins Nuppa Site'!A2179&lt;&gt;0,'Boletins Nuppa Site'!A2179,"NULL")</f>
        <v>92</v>
      </c>
      <c r="C2179" s="0" t="n">
        <v>28</v>
      </c>
      <c r="D2179" s="0" t="str">
        <f aca="false">IF('Boletins Nuppa Site'!G2179&lt;&gt;0,'Boletins Nuppa Site'!G2179,"NULL")</f>
        <v> 60.00</v>
      </c>
      <c r="E2179" s="30" t="str">
        <f aca="false">IF('Boletins Nuppa Site'!H2179&lt;&gt;0,'Boletins Nuppa Site'!H2179,"NULL")</f>
        <v> 80.00</v>
      </c>
      <c r="F2179" s="30" t="str">
        <f aca="false">IF('Boletins Nuppa Site'!I2179&lt;&gt;0,'Boletins Nuppa Site'!I2179,"NULL")</f>
        <v> 80.00</v>
      </c>
      <c r="G2179" s="30" t="str">
        <f aca="false">IF('Boletins Nuppa Site'!J2179&lt;&gt;0,'Boletins Nuppa Site'!J2179,"NULL")</f>
        <v> 73.33</v>
      </c>
      <c r="H2179" s="30" t="str">
        <f aca="false">IF('Boletins Nuppa Site'!K2179&lt;&gt;0,'Boletins Nuppa Site'!K2179,"NULL")</f>
        <v> 80.00</v>
      </c>
      <c r="I2179" s="0" t="str">
        <f aca="false">"INSERT INTO COTACAO (cot_id, cot_blt_id, cot_pap_id, cot_prc_comum, cot_prc_min, cot_prc_max, cot_prc_med, cot_prc_mediana) VALUES ("&amp;A2179&amp;", "&amp;B2179&amp;", "&amp;C2179&amp;", "&amp;D2179&amp;", "&amp;E2179&amp;", "&amp;F2179&amp;", "&amp;G2179&amp;", "&amp;H2179&amp;");"</f>
        <v>INSERT INTO COTACAO (cot_id, cot_blt_id, cot_pap_id, cot_prc_comum, cot_prc_min, cot_prc_max, cot_prc_med, cot_prc_mediana) VALUES (2178, 92, 28,  60.00,  80.00,  80.00,  73.33,  80.00);</v>
      </c>
      <c r="J2179" s="0" t="str">
        <f aca="false">"UPDATE COTACAO SET cot_id = "&amp;A2179&amp;", cot_blt_id = "&amp;B2179&amp;", cot_pap_id = "&amp;C2179&amp;", cot_prc_comum = "&amp;D2179&amp;", cot_prc_min = "&amp;E2179&amp;", cot_prc_max = "&amp;F2179&amp;", cot_prc_med = "&amp;G2179&amp;", cot_prc_mediana = "&amp;H2179&amp;" WHERE cot_id = "&amp;A2179&amp;";"</f>
        <v>UPDATE COTACAO SET cot_id = 2178, cot_blt_id = 92, cot_pap_id = 28, cot_prc_comum =  60.00, cot_prc_min =  80.00, cot_prc_max =  80.00, cot_prc_med =  73.33, cot_prc_mediana =  80.00 WHERE cot_id = 2178;</v>
      </c>
    </row>
    <row r="2180" customFormat="false" ht="14.25" hidden="false" customHeight="false" outlineLevel="0" collapsed="false">
      <c r="A2180" s="0" t="n">
        <v>2179</v>
      </c>
      <c r="B2180" s="0" t="n">
        <f aca="false">IF('Boletins Nuppa Site'!A2180&lt;&gt;0,'Boletins Nuppa Site'!A2180,"NULL")</f>
        <v>92</v>
      </c>
      <c r="C2180" s="0" t="n">
        <v>29</v>
      </c>
      <c r="D2180" s="0" t="str">
        <f aca="false">IF('Boletins Nuppa Site'!G2180&lt;&gt;0,'Boletins Nuppa Site'!G2180,"NULL")</f>
        <v>NULL</v>
      </c>
      <c r="E2180" s="30" t="str">
        <f aca="false">IF('Boletins Nuppa Site'!H2180&lt;&gt;0,'Boletins Nuppa Site'!H2180,"NULL")</f>
        <v> 75.00</v>
      </c>
      <c r="F2180" s="30" t="str">
        <f aca="false">IF('Boletins Nuppa Site'!I2180&lt;&gt;0,'Boletins Nuppa Site'!I2180,"NULL")</f>
        <v> 75.00</v>
      </c>
      <c r="G2180" s="30" t="str">
        <f aca="false">IF('Boletins Nuppa Site'!J2180&lt;&gt;0,'Boletins Nuppa Site'!J2180,"NULL")</f>
        <v> 75.00</v>
      </c>
      <c r="H2180" s="30" t="str">
        <f aca="false">IF('Boletins Nuppa Site'!K2180&lt;&gt;0,'Boletins Nuppa Site'!K2180,"NULL")</f>
        <v> 75.00</v>
      </c>
      <c r="I2180" s="0" t="str">
        <f aca="false">"INSERT INTO COTACAO (cot_id, cot_blt_id, cot_pap_id, cot_prc_comum, cot_prc_min, cot_prc_max, cot_prc_med, cot_prc_mediana) VALUES ("&amp;A2180&amp;", "&amp;B2180&amp;", "&amp;C2180&amp;", "&amp;D2180&amp;", "&amp;E2180&amp;", "&amp;F2180&amp;", "&amp;G2180&amp;", "&amp;H2180&amp;");"</f>
        <v>INSERT INTO COTACAO (cot_id, cot_blt_id, cot_pap_id, cot_prc_comum, cot_prc_min, cot_prc_max, cot_prc_med, cot_prc_mediana) VALUES (2179, 92, 29, NULL,  75.00,  75.00,  75.00,  75.00);</v>
      </c>
      <c r="J2180" s="0" t="str">
        <f aca="false">"UPDATE COTACAO SET cot_id = "&amp;A2180&amp;", cot_blt_id = "&amp;B2180&amp;", cot_pap_id = "&amp;C2180&amp;", cot_prc_comum = "&amp;D2180&amp;", cot_prc_min = "&amp;E2180&amp;", cot_prc_max = "&amp;F2180&amp;", cot_prc_med = "&amp;G2180&amp;", cot_prc_mediana = "&amp;H2180&amp;" WHERE cot_id = "&amp;A2180&amp;";"</f>
        <v>UPDATE COTACAO SET cot_id = 2179, cot_blt_id = 92, cot_pap_id = 29, cot_prc_comum = NULL, cot_prc_min =  75.00, cot_prc_max =  75.00, cot_prc_med =  75.00, cot_prc_mediana =  75.00 WHERE cot_id = 2179;</v>
      </c>
    </row>
    <row r="2181" customFormat="false" ht="14.25" hidden="false" customHeight="false" outlineLevel="0" collapsed="false">
      <c r="A2181" s="0" t="n">
        <v>2180</v>
      </c>
      <c r="B2181" s="0" t="n">
        <f aca="false">IF('Boletins Nuppa Site'!A2181&lt;&gt;0,'Boletins Nuppa Site'!A2181,"NULL")</f>
        <v>92</v>
      </c>
      <c r="C2181" s="0" t="n">
        <v>30</v>
      </c>
      <c r="D2181" s="0" t="str">
        <f aca="false">IF('Boletins Nuppa Site'!G2181&lt;&gt;0,'Boletins Nuppa Site'!G2181,"NULL")</f>
        <v>NULL</v>
      </c>
      <c r="E2181" s="30" t="str">
        <f aca="false">IF('Boletins Nuppa Site'!H2181&lt;&gt;0,'Boletins Nuppa Site'!H2181,"NULL")</f>
        <v> 60.00</v>
      </c>
      <c r="F2181" s="30" t="str">
        <f aca="false">IF('Boletins Nuppa Site'!I2181&lt;&gt;0,'Boletins Nuppa Site'!I2181,"NULL")</f>
        <v> 70.00</v>
      </c>
      <c r="G2181" s="30" t="str">
        <f aca="false">IF('Boletins Nuppa Site'!J2181&lt;&gt;0,'Boletins Nuppa Site'!J2181,"NULL")</f>
        <v> 65.00</v>
      </c>
      <c r="H2181" s="30" t="str">
        <f aca="false">IF('Boletins Nuppa Site'!K2181&lt;&gt;0,'Boletins Nuppa Site'!K2181,"NULL")</f>
        <v> 65.00</v>
      </c>
      <c r="I2181" s="0" t="str">
        <f aca="false">"INSERT INTO COTACAO (cot_id, cot_blt_id, cot_pap_id, cot_prc_comum, cot_prc_min, cot_prc_max, cot_prc_med, cot_prc_mediana) VALUES ("&amp;A2181&amp;", "&amp;B2181&amp;", "&amp;C2181&amp;", "&amp;D2181&amp;", "&amp;E2181&amp;", "&amp;F2181&amp;", "&amp;G2181&amp;", "&amp;H2181&amp;");"</f>
        <v>INSERT INTO COTACAO (cot_id, cot_blt_id, cot_pap_id, cot_prc_comum, cot_prc_min, cot_prc_max, cot_prc_med, cot_prc_mediana) VALUES (2180, 92, 30, NULL,  60.00,  70.00,  65.00,  65.00);</v>
      </c>
      <c r="J2181" s="0" t="str">
        <f aca="false">"UPDATE COTACAO SET cot_id = "&amp;A2181&amp;", cot_blt_id = "&amp;B2181&amp;", cot_pap_id = "&amp;C2181&amp;", cot_prc_comum = "&amp;D2181&amp;", cot_prc_min = "&amp;E2181&amp;", cot_prc_max = "&amp;F2181&amp;", cot_prc_med = "&amp;G2181&amp;", cot_prc_mediana = "&amp;H2181&amp;" WHERE cot_id = "&amp;A2181&amp;";"</f>
        <v>UPDATE COTACAO SET cot_id = 2180, cot_blt_id = 92, cot_pap_id = 30, cot_prc_comum = NULL, cot_prc_min =  60.00, cot_prc_max =  70.00, cot_prc_med =  65.00, cot_prc_mediana =  65.00 WHERE cot_id = 2180;</v>
      </c>
    </row>
    <row r="2182" customFormat="false" ht="14.25" hidden="false" customHeight="false" outlineLevel="0" collapsed="false">
      <c r="A2182" s="0" t="n">
        <v>2181</v>
      </c>
      <c r="B2182" s="0" t="n">
        <f aca="false">IF('Boletins Nuppa Site'!A2182&lt;&gt;0,'Boletins Nuppa Site'!A2182,"NULL")</f>
        <v>92</v>
      </c>
      <c r="C2182" s="0" t="n">
        <v>31</v>
      </c>
      <c r="D2182" s="0" t="str">
        <f aca="false">IF('Boletins Nuppa Site'!G2182&lt;&gt;0,'Boletins Nuppa Site'!G2182,"NULL")</f>
        <v> 80.00</v>
      </c>
      <c r="E2182" s="30" t="str">
        <f aca="false">IF('Boletins Nuppa Site'!H2182&lt;&gt;0,'Boletins Nuppa Site'!H2182,"NULL")</f>
        <v> 80.00</v>
      </c>
      <c r="F2182" s="30" t="str">
        <f aca="false">IF('Boletins Nuppa Site'!I2182&lt;&gt;0,'Boletins Nuppa Site'!I2182,"NULL")</f>
        <v> 115.00</v>
      </c>
      <c r="G2182" s="30" t="str">
        <f aca="false">IF('Boletins Nuppa Site'!J2182&lt;&gt;0,'Boletins Nuppa Site'!J2182,"NULL")</f>
        <v> 96.25</v>
      </c>
      <c r="H2182" s="30" t="str">
        <f aca="false">IF('Boletins Nuppa Site'!K2182&lt;&gt;0,'Boletins Nuppa Site'!K2182,"NULL")</f>
        <v> 95.00</v>
      </c>
      <c r="I2182" s="0" t="str">
        <f aca="false">"INSERT INTO COTACAO (cot_id, cot_blt_id, cot_pap_id, cot_prc_comum, cot_prc_min, cot_prc_max, cot_prc_med, cot_prc_mediana) VALUES ("&amp;A2182&amp;", "&amp;B2182&amp;", "&amp;C2182&amp;", "&amp;D2182&amp;", "&amp;E2182&amp;", "&amp;F2182&amp;", "&amp;G2182&amp;", "&amp;H2182&amp;");"</f>
        <v>INSERT INTO COTACAO (cot_id, cot_blt_id, cot_pap_id, cot_prc_comum, cot_prc_min, cot_prc_max, cot_prc_med, cot_prc_mediana) VALUES (2181, 92, 31,  80.00,  80.00,  115.00,  96.25,  95.00);</v>
      </c>
      <c r="J2182" s="0" t="str">
        <f aca="false">"UPDATE COTACAO SET cot_id = "&amp;A2182&amp;", cot_blt_id = "&amp;B2182&amp;", cot_pap_id = "&amp;C2182&amp;", cot_prc_comum = "&amp;D2182&amp;", cot_prc_min = "&amp;E2182&amp;", cot_prc_max = "&amp;F2182&amp;", cot_prc_med = "&amp;G2182&amp;", cot_prc_mediana = "&amp;H2182&amp;" WHERE cot_id = "&amp;A2182&amp;";"</f>
        <v>UPDATE COTACAO SET cot_id = 2181, cot_blt_id = 92, cot_pap_id = 31, cot_prc_comum =  80.00, cot_prc_min =  80.00, cot_prc_max =  115.00, cot_prc_med =  96.25, cot_prc_mediana =  95.00 WHERE cot_id = 2181;</v>
      </c>
    </row>
    <row r="2183" customFormat="false" ht="14.25" hidden="false" customHeight="false" outlineLevel="0" collapsed="false">
      <c r="A2183" s="0" t="n">
        <v>2182</v>
      </c>
      <c r="B2183" s="0" t="n">
        <f aca="false">IF('Boletins Nuppa Site'!A2183&lt;&gt;0,'Boletins Nuppa Site'!A2183,"NULL")</f>
        <v>92</v>
      </c>
      <c r="C2183" s="0" t="n">
        <v>32</v>
      </c>
      <c r="D2183" s="0" t="str">
        <f aca="false">IF('Boletins Nuppa Site'!G2183&lt;&gt;0,'Boletins Nuppa Site'!G2183,"NULL")</f>
        <v> 20.00</v>
      </c>
      <c r="E2183" s="30" t="str">
        <f aca="false">IF('Boletins Nuppa Site'!H2183&lt;&gt;0,'Boletins Nuppa Site'!H2183,"NULL")</f>
        <v> 30.00</v>
      </c>
      <c r="F2183" s="30" t="str">
        <f aca="false">IF('Boletins Nuppa Site'!I2183&lt;&gt;0,'Boletins Nuppa Site'!I2183,"NULL")</f>
        <v> 75.00</v>
      </c>
      <c r="G2183" s="30" t="str">
        <f aca="false">IF('Boletins Nuppa Site'!J2183&lt;&gt;0,'Boletins Nuppa Site'!J2183,"NULL")</f>
        <v> 38.75</v>
      </c>
      <c r="H2183" s="30" t="str">
        <f aca="false">IF('Boletins Nuppa Site'!K2183&lt;&gt;0,'Boletins Nuppa Site'!K2183,"NULL")</f>
        <v> 30.00</v>
      </c>
      <c r="I2183" s="0" t="str">
        <f aca="false">"INSERT INTO COTACAO (cot_id, cot_blt_id, cot_pap_id, cot_prc_comum, cot_prc_min, cot_prc_max, cot_prc_med, cot_prc_mediana) VALUES ("&amp;A2183&amp;", "&amp;B2183&amp;", "&amp;C2183&amp;", "&amp;D2183&amp;", "&amp;E2183&amp;", "&amp;F2183&amp;", "&amp;G2183&amp;", "&amp;H2183&amp;");"</f>
        <v>INSERT INTO COTACAO (cot_id, cot_blt_id, cot_pap_id, cot_prc_comum, cot_prc_min, cot_prc_max, cot_prc_med, cot_prc_mediana) VALUES (2182, 92, 32,  20.00,  30.00,  75.00,  38.75,  30.00);</v>
      </c>
      <c r="J2183" s="0" t="str">
        <f aca="false">"UPDATE COTACAO SET cot_id = "&amp;A2183&amp;", cot_blt_id = "&amp;B2183&amp;", cot_pap_id = "&amp;C2183&amp;", cot_prc_comum = "&amp;D2183&amp;", cot_prc_min = "&amp;E2183&amp;", cot_prc_max = "&amp;F2183&amp;", cot_prc_med = "&amp;G2183&amp;", cot_prc_mediana = "&amp;H2183&amp;" WHERE cot_id = "&amp;A2183&amp;";"</f>
        <v>UPDATE COTACAO SET cot_id = 2182, cot_blt_id = 92, cot_pap_id = 32, cot_prc_comum =  20.00, cot_prc_min =  30.00, cot_prc_max =  75.00, cot_prc_med =  38.75, cot_prc_mediana =  30.00 WHERE cot_id = 2182;</v>
      </c>
    </row>
    <row r="2184" customFormat="false" ht="14.25" hidden="false" customHeight="false" outlineLevel="0" collapsed="false">
      <c r="A2184" s="0" t="n">
        <v>2183</v>
      </c>
      <c r="B2184" s="0" t="n">
        <f aca="false">IF('Boletins Nuppa Site'!A2184&lt;&gt;0,'Boletins Nuppa Site'!A2184,"NULL")</f>
        <v>92</v>
      </c>
      <c r="C2184" s="0" t="n">
        <v>33</v>
      </c>
      <c r="D2184" s="0" t="str">
        <f aca="false">IF('Boletins Nuppa Site'!G2184&lt;&gt;0,'Boletins Nuppa Site'!G2184,"NULL")</f>
        <v>NULL</v>
      </c>
      <c r="E2184" s="30" t="str">
        <f aca="false">IF('Boletins Nuppa Site'!H2184&lt;&gt;0,'Boletins Nuppa Site'!H2184,"NULL")</f>
        <v> 65.00</v>
      </c>
      <c r="F2184" s="30" t="str">
        <f aca="false">IF('Boletins Nuppa Site'!I2184&lt;&gt;0,'Boletins Nuppa Site'!I2184,"NULL")</f>
        <v> 100.00</v>
      </c>
      <c r="G2184" s="30" t="str">
        <f aca="false">IF('Boletins Nuppa Site'!J2184&lt;&gt;0,'Boletins Nuppa Site'!J2184,"NULL")</f>
        <v> 78.75</v>
      </c>
      <c r="H2184" s="30" t="str">
        <f aca="false">IF('Boletins Nuppa Site'!K2184&lt;&gt;0,'Boletins Nuppa Site'!K2184,"NULL")</f>
        <v> 75.00</v>
      </c>
      <c r="I2184" s="0" t="str">
        <f aca="false">"INSERT INTO COTACAO (cot_id, cot_blt_id, cot_pap_id, cot_prc_comum, cot_prc_min, cot_prc_max, cot_prc_med, cot_prc_mediana) VALUES ("&amp;A2184&amp;", "&amp;B2184&amp;", "&amp;C2184&amp;", "&amp;D2184&amp;", "&amp;E2184&amp;", "&amp;F2184&amp;", "&amp;G2184&amp;", "&amp;H2184&amp;");"</f>
        <v>INSERT INTO COTACAO (cot_id, cot_blt_id, cot_pap_id, cot_prc_comum, cot_prc_min, cot_prc_max, cot_prc_med, cot_prc_mediana) VALUES (2183, 92, 33, NULL,  65.00,  100.00,  78.75,  75.00);</v>
      </c>
      <c r="J2184" s="0" t="str">
        <f aca="false">"UPDATE COTACAO SET cot_id = "&amp;A2184&amp;", cot_blt_id = "&amp;B2184&amp;", cot_pap_id = "&amp;C2184&amp;", cot_prc_comum = "&amp;D2184&amp;", cot_prc_min = "&amp;E2184&amp;", cot_prc_max = "&amp;F2184&amp;", cot_prc_med = "&amp;G2184&amp;", cot_prc_mediana = "&amp;H2184&amp;" WHERE cot_id = "&amp;A2184&amp;";"</f>
        <v>UPDATE COTACAO SET cot_id = 2183, cot_blt_id = 92, cot_pap_id = 33, cot_prc_comum = NULL, cot_prc_min =  65.00, cot_prc_max =  100.00, cot_prc_med =  78.75, cot_prc_mediana =  75.00 WHERE cot_id = 2183;</v>
      </c>
    </row>
    <row r="2185" customFormat="false" ht="14.25" hidden="false" customHeight="false" outlineLevel="0" collapsed="false">
      <c r="A2185" s="0" t="n">
        <v>2184</v>
      </c>
      <c r="B2185" s="0" t="n">
        <f aca="false">IF('Boletins Nuppa Site'!A2185&lt;&gt;0,'Boletins Nuppa Site'!A2185,"NULL")</f>
        <v>92</v>
      </c>
      <c r="C2185" s="0" t="n">
        <v>34</v>
      </c>
      <c r="D2185" s="0" t="str">
        <f aca="false">IF('Boletins Nuppa Site'!G2185&lt;&gt;0,'Boletins Nuppa Site'!G2185,"NULL")</f>
        <v>NULL</v>
      </c>
      <c r="E2185" s="30" t="str">
        <f aca="false">IF('Boletins Nuppa Site'!H2185&lt;&gt;0,'Boletins Nuppa Site'!H2185,"NULL")</f>
        <v> 70.00</v>
      </c>
      <c r="F2185" s="30" t="str">
        <f aca="false">IF('Boletins Nuppa Site'!I2185&lt;&gt;0,'Boletins Nuppa Site'!I2185,"NULL")</f>
        <v> 110.00</v>
      </c>
      <c r="G2185" s="30" t="str">
        <f aca="false">IF('Boletins Nuppa Site'!J2185&lt;&gt;0,'Boletins Nuppa Site'!J2185,"NULL")</f>
        <v> 88.75</v>
      </c>
      <c r="H2185" s="30" t="str">
        <f aca="false">IF('Boletins Nuppa Site'!K2185&lt;&gt;0,'Boletins Nuppa Site'!K2185,"NULL")</f>
        <v> 87.50</v>
      </c>
      <c r="I2185" s="0" t="str">
        <f aca="false">"INSERT INTO COTACAO (cot_id, cot_blt_id, cot_pap_id, cot_prc_comum, cot_prc_min, cot_prc_max, cot_prc_med, cot_prc_mediana) VALUES ("&amp;A2185&amp;", "&amp;B2185&amp;", "&amp;C2185&amp;", "&amp;D2185&amp;", "&amp;E2185&amp;", "&amp;F2185&amp;", "&amp;G2185&amp;", "&amp;H2185&amp;");"</f>
        <v>INSERT INTO COTACAO (cot_id, cot_blt_id, cot_pap_id, cot_prc_comum, cot_prc_min, cot_prc_max, cot_prc_med, cot_prc_mediana) VALUES (2184, 92, 34, NULL,  70.00,  110.00,  88.75,  87.50);</v>
      </c>
      <c r="J2185" s="0" t="str">
        <f aca="false">"UPDATE COTACAO SET cot_id = "&amp;A2185&amp;", cot_blt_id = "&amp;B2185&amp;", cot_pap_id = "&amp;C2185&amp;", cot_prc_comum = "&amp;D2185&amp;", cot_prc_min = "&amp;E2185&amp;", cot_prc_max = "&amp;F2185&amp;", cot_prc_med = "&amp;G2185&amp;", cot_prc_mediana = "&amp;H2185&amp;" WHERE cot_id = "&amp;A2185&amp;";"</f>
        <v>UPDATE COTACAO SET cot_id = 2184, cot_blt_id = 92, cot_pap_id = 34, cot_prc_comum = NULL, cot_prc_min =  70.00, cot_prc_max =  110.00, cot_prc_med =  88.75, cot_prc_mediana =  87.50 WHERE cot_id = 2184;</v>
      </c>
    </row>
    <row r="2186" customFormat="false" ht="14.25" hidden="false" customHeight="false" outlineLevel="0" collapsed="false">
      <c r="A2186" s="0" t="n">
        <v>2185</v>
      </c>
      <c r="B2186" s="0" t="n">
        <f aca="false">IF('Boletins Nuppa Site'!A2186&lt;&gt;0,'Boletins Nuppa Site'!A2186,"NULL")</f>
        <v>92</v>
      </c>
      <c r="C2186" s="0" t="n">
        <v>35</v>
      </c>
      <c r="D2186" s="0" t="str">
        <f aca="false">IF('Boletins Nuppa Site'!G2186&lt;&gt;0,'Boletins Nuppa Site'!G2186,"NULL")</f>
        <v>NULL</v>
      </c>
      <c r="E2186" s="30" t="str">
        <f aca="false">IF('Boletins Nuppa Site'!H2186&lt;&gt;0,'Boletins Nuppa Site'!H2186,"NULL")</f>
        <v> 70.00</v>
      </c>
      <c r="F2186" s="30" t="str">
        <f aca="false">IF('Boletins Nuppa Site'!I2186&lt;&gt;0,'Boletins Nuppa Site'!I2186,"NULL")</f>
        <v> 140.00</v>
      </c>
      <c r="G2186" s="30" t="str">
        <f aca="false">IF('Boletins Nuppa Site'!J2186&lt;&gt;0,'Boletins Nuppa Site'!J2186,"NULL")</f>
        <v> 110.00</v>
      </c>
      <c r="H2186" s="30" t="str">
        <f aca="false">IF('Boletins Nuppa Site'!K2186&lt;&gt;0,'Boletins Nuppa Site'!K2186,"NULL")</f>
        <v> 120.00</v>
      </c>
      <c r="I2186" s="0" t="str">
        <f aca="false">"INSERT INTO COTACAO (cot_id, cot_blt_id, cot_pap_id, cot_prc_comum, cot_prc_min, cot_prc_max, cot_prc_med, cot_prc_mediana) VALUES ("&amp;A2186&amp;", "&amp;B2186&amp;", "&amp;C2186&amp;", "&amp;D2186&amp;", "&amp;E2186&amp;", "&amp;F2186&amp;", "&amp;G2186&amp;", "&amp;H2186&amp;");"</f>
        <v>INSERT INTO COTACAO (cot_id, cot_blt_id, cot_pap_id, cot_prc_comum, cot_prc_min, cot_prc_max, cot_prc_med, cot_prc_mediana) VALUES (2185, 92, 35, NULL,  70.00,  140.00,  110.00,  120.00);</v>
      </c>
      <c r="J2186" s="0" t="str">
        <f aca="false">"UPDATE COTACAO SET cot_id = "&amp;A2186&amp;", cot_blt_id = "&amp;B2186&amp;", cot_pap_id = "&amp;C2186&amp;", cot_prc_comum = "&amp;D2186&amp;", cot_prc_min = "&amp;E2186&amp;", cot_prc_max = "&amp;F2186&amp;", cot_prc_med = "&amp;G2186&amp;", cot_prc_mediana = "&amp;H2186&amp;" WHERE cot_id = "&amp;A2186&amp;";"</f>
        <v>UPDATE COTACAO SET cot_id = 2185, cot_blt_id = 92, cot_pap_id = 35, cot_prc_comum = NULL, cot_prc_min =  70.00, cot_prc_max =  140.00, cot_prc_med =  110.00, cot_prc_mediana =  120.00 WHERE cot_id = 2185;</v>
      </c>
    </row>
    <row r="2187" customFormat="false" ht="14.25" hidden="false" customHeight="false" outlineLevel="0" collapsed="false">
      <c r="A2187" s="0" t="n">
        <v>2186</v>
      </c>
      <c r="B2187" s="0" t="n">
        <f aca="false">IF('Boletins Nuppa Site'!A2187&lt;&gt;0,'Boletins Nuppa Site'!A2187,"NULL")</f>
        <v>92</v>
      </c>
      <c r="C2187" s="0" t="n">
        <v>36</v>
      </c>
      <c r="D2187" s="0" t="str">
        <f aca="false">IF('Boletins Nuppa Site'!G2187&lt;&gt;0,'Boletins Nuppa Site'!G2187,"NULL")</f>
        <v>NULL</v>
      </c>
      <c r="E2187" s="30" t="str">
        <f aca="false">IF('Boletins Nuppa Site'!H2187&lt;&gt;0,'Boletins Nuppa Site'!H2187,"NULL")</f>
        <v>NULL</v>
      </c>
      <c r="F2187" s="30" t="str">
        <f aca="false">IF('Boletins Nuppa Site'!I2187&lt;&gt;0,'Boletins Nuppa Site'!I2187,"NULL")</f>
        <v>NULL</v>
      </c>
      <c r="G2187" s="30" t="str">
        <f aca="false">IF('Boletins Nuppa Site'!J2187&lt;&gt;0,'Boletins Nuppa Site'!J2187,"NULL")</f>
        <v>NULL</v>
      </c>
      <c r="H2187" s="30" t="str">
        <f aca="false">IF('Boletins Nuppa Site'!K2187&lt;&gt;0,'Boletins Nuppa Site'!K2187,"NULL")</f>
        <v>NULL</v>
      </c>
      <c r="I2187" s="0" t="str">
        <f aca="false">"INSERT INTO COTACAO (cot_id, cot_blt_id, cot_pap_id, cot_prc_comum, cot_prc_min, cot_prc_max, cot_prc_med, cot_prc_mediana) VALUES ("&amp;A2187&amp;", "&amp;B2187&amp;", "&amp;C2187&amp;", "&amp;D2187&amp;", "&amp;E2187&amp;", "&amp;F2187&amp;", "&amp;G2187&amp;", "&amp;H2187&amp;");"</f>
        <v>INSERT INTO COTACAO (cot_id, cot_blt_id, cot_pap_id, cot_prc_comum, cot_prc_min, cot_prc_max, cot_prc_med, cot_prc_mediana) VALUES (2186, 92, 36, NULL, NULL, NULL, NULL, NULL);</v>
      </c>
      <c r="J2187" s="0" t="str">
        <f aca="false">"UPDATE COTACAO SET cot_id = "&amp;A2187&amp;", cot_blt_id = "&amp;B2187&amp;", cot_pap_id = "&amp;C2187&amp;", cot_prc_comum = "&amp;D2187&amp;", cot_prc_min = "&amp;E2187&amp;", cot_prc_max = "&amp;F2187&amp;", cot_prc_med = "&amp;G2187&amp;", cot_prc_mediana = "&amp;H2187&amp;" WHERE cot_id = "&amp;A2187&amp;";"</f>
        <v>UPDATE COTACAO SET cot_id = 2186, cot_blt_id = 92, cot_pap_id = 36, cot_prc_comum = NULL, cot_prc_min = NULL, cot_prc_max = NULL, cot_prc_med = NULL, cot_prc_mediana = NULL WHERE cot_id = 2186;</v>
      </c>
    </row>
    <row r="2188" customFormat="false" ht="14.25" hidden="false" customHeight="false" outlineLevel="0" collapsed="false">
      <c r="A2188" s="0" t="n">
        <v>2187</v>
      </c>
      <c r="B2188" s="0" t="n">
        <f aca="false">IF('Boletins Nuppa Site'!A2188&lt;&gt;0,'Boletins Nuppa Site'!A2188,"NULL")</f>
        <v>92</v>
      </c>
      <c r="C2188" s="0" t="n">
        <v>37</v>
      </c>
      <c r="D2188" s="0" t="str">
        <f aca="false">IF('Boletins Nuppa Site'!G2188&lt;&gt;0,'Boletins Nuppa Site'!G2188,"NULL")</f>
        <v>NULL</v>
      </c>
      <c r="E2188" s="30" t="str">
        <f aca="false">IF('Boletins Nuppa Site'!H2188&lt;&gt;0,'Boletins Nuppa Site'!H2188,"NULL")</f>
        <v>NULL</v>
      </c>
      <c r="F2188" s="30" t="str">
        <f aca="false">IF('Boletins Nuppa Site'!I2188&lt;&gt;0,'Boletins Nuppa Site'!I2188,"NULL")</f>
        <v>NULL</v>
      </c>
      <c r="G2188" s="30" t="str">
        <f aca="false">IF('Boletins Nuppa Site'!J2188&lt;&gt;0,'Boletins Nuppa Site'!J2188,"NULL")</f>
        <v>NULL</v>
      </c>
      <c r="H2188" s="30" t="str">
        <f aca="false">IF('Boletins Nuppa Site'!K2188&lt;&gt;0,'Boletins Nuppa Site'!K2188,"NULL")</f>
        <v>NULL</v>
      </c>
      <c r="I2188" s="0" t="str">
        <f aca="false">"INSERT INTO COTACAO (cot_id, cot_blt_id, cot_pap_id, cot_prc_comum, cot_prc_min, cot_prc_max, cot_prc_med, cot_prc_mediana) VALUES ("&amp;A2188&amp;", "&amp;B2188&amp;", "&amp;C2188&amp;", "&amp;D2188&amp;", "&amp;E2188&amp;", "&amp;F2188&amp;", "&amp;G2188&amp;", "&amp;H2188&amp;");"</f>
        <v>INSERT INTO COTACAO (cot_id, cot_blt_id, cot_pap_id, cot_prc_comum, cot_prc_min, cot_prc_max, cot_prc_med, cot_prc_mediana) VALUES (2187, 92, 37, NULL, NULL, NULL, NULL, NULL);</v>
      </c>
      <c r="J2188" s="0" t="str">
        <f aca="false">"UPDATE COTACAO SET cot_id = "&amp;A2188&amp;", cot_blt_id = "&amp;B2188&amp;", cot_pap_id = "&amp;C2188&amp;", cot_prc_comum = "&amp;D2188&amp;", cot_prc_min = "&amp;E2188&amp;", cot_prc_max = "&amp;F2188&amp;", cot_prc_med = "&amp;G2188&amp;", cot_prc_mediana = "&amp;H2188&amp;" WHERE cot_id = "&amp;A2188&amp;";"</f>
        <v>UPDATE COTACAO SET cot_id = 2187, cot_blt_id = 92, cot_pap_id = 37, cot_prc_comum = NULL, cot_prc_min = NULL, cot_prc_max = NULL, cot_prc_med = NULL, cot_prc_mediana = NULL WHERE cot_id = 2187;</v>
      </c>
    </row>
    <row r="2189" customFormat="false" ht="14.25" hidden="false" customHeight="false" outlineLevel="0" collapsed="false">
      <c r="A2189" s="0" t="n">
        <v>2188</v>
      </c>
      <c r="B2189" s="0" t="n">
        <f aca="false">IF('Boletins Nuppa Site'!A2189&lt;&gt;0,'Boletins Nuppa Site'!A2189,"NULL")</f>
        <v>92</v>
      </c>
      <c r="C2189" s="0" t="n">
        <v>38</v>
      </c>
      <c r="D2189" s="0" t="str">
        <f aca="false">IF('Boletins Nuppa Site'!G2189&lt;&gt;0,'Boletins Nuppa Site'!G2189,"NULL")</f>
        <v>NULL</v>
      </c>
      <c r="E2189" s="30" t="str">
        <f aca="false">IF('Boletins Nuppa Site'!H2189&lt;&gt;0,'Boletins Nuppa Site'!H2189,"NULL")</f>
        <v>NULL</v>
      </c>
      <c r="F2189" s="30" t="str">
        <f aca="false">IF('Boletins Nuppa Site'!I2189&lt;&gt;0,'Boletins Nuppa Site'!I2189,"NULL")</f>
        <v>NULL</v>
      </c>
      <c r="G2189" s="30" t="str">
        <f aca="false">IF('Boletins Nuppa Site'!J2189&lt;&gt;0,'Boletins Nuppa Site'!J2189,"NULL")</f>
        <v>NULL</v>
      </c>
      <c r="H2189" s="30" t="str">
        <f aca="false">IF('Boletins Nuppa Site'!K2189&lt;&gt;0,'Boletins Nuppa Site'!K2189,"NULL")</f>
        <v>NULL</v>
      </c>
      <c r="I2189" s="0" t="str">
        <f aca="false">"INSERT INTO COTACAO (cot_id, cot_blt_id, cot_pap_id, cot_prc_comum, cot_prc_min, cot_prc_max, cot_prc_med, cot_prc_mediana) VALUES ("&amp;A2189&amp;", "&amp;B2189&amp;", "&amp;C2189&amp;", "&amp;D2189&amp;", "&amp;E2189&amp;", "&amp;F2189&amp;", "&amp;G2189&amp;", "&amp;H2189&amp;");"</f>
        <v>INSERT INTO COTACAO (cot_id, cot_blt_id, cot_pap_id, cot_prc_comum, cot_prc_min, cot_prc_max, cot_prc_med, cot_prc_mediana) VALUES (2188, 92, 38, NULL, NULL, NULL, NULL, NULL);</v>
      </c>
      <c r="J2189" s="0" t="str">
        <f aca="false">"UPDATE COTACAO SET cot_id = "&amp;A2189&amp;", cot_blt_id = "&amp;B2189&amp;", cot_pap_id = "&amp;C2189&amp;", cot_prc_comum = "&amp;D2189&amp;", cot_prc_min = "&amp;E2189&amp;", cot_prc_max = "&amp;F2189&amp;", cot_prc_med = "&amp;G2189&amp;", cot_prc_mediana = "&amp;H2189&amp;" WHERE cot_id = "&amp;A2189&amp;";"</f>
        <v>UPDATE COTACAO SET cot_id = 2188, cot_blt_id = 92, cot_pap_id = 38, cot_prc_comum = NULL, cot_prc_min = NULL, cot_prc_max = NULL, cot_prc_med = NULL, cot_prc_mediana = NULL WHERE cot_id = 2188;</v>
      </c>
    </row>
    <row r="2190" customFormat="false" ht="14.25" hidden="false" customHeight="false" outlineLevel="0" collapsed="false">
      <c r="A2190" s="0" t="n">
        <v>2189</v>
      </c>
      <c r="B2190" s="0" t="n">
        <f aca="false">IF('Boletins Nuppa Site'!A2190&lt;&gt;0,'Boletins Nuppa Site'!A2190,"NULL")</f>
        <v>92</v>
      </c>
      <c r="C2190" s="0" t="n">
        <v>39</v>
      </c>
      <c r="D2190" s="0" t="str">
        <f aca="false">IF('Boletins Nuppa Site'!G2190&lt;&gt;0,'Boletins Nuppa Site'!G2190,"NULL")</f>
        <v>NULL</v>
      </c>
      <c r="E2190" s="30" t="str">
        <f aca="false">IF('Boletins Nuppa Site'!H2190&lt;&gt;0,'Boletins Nuppa Site'!H2190,"NULL")</f>
        <v>NULL</v>
      </c>
      <c r="F2190" s="30" t="str">
        <f aca="false">IF('Boletins Nuppa Site'!I2190&lt;&gt;0,'Boletins Nuppa Site'!I2190,"NULL")</f>
        <v>NULL</v>
      </c>
      <c r="G2190" s="30" t="str">
        <f aca="false">IF('Boletins Nuppa Site'!J2190&lt;&gt;0,'Boletins Nuppa Site'!J2190,"NULL")</f>
        <v>NULL</v>
      </c>
      <c r="H2190" s="30" t="str">
        <f aca="false">IF('Boletins Nuppa Site'!K2190&lt;&gt;0,'Boletins Nuppa Site'!K2190,"NULL")</f>
        <v>NULL</v>
      </c>
      <c r="I2190" s="0" t="str">
        <f aca="false">"INSERT INTO COTACAO (cot_id, cot_blt_id, cot_pap_id, cot_prc_comum, cot_prc_min, cot_prc_max, cot_prc_med, cot_prc_mediana) VALUES ("&amp;A2190&amp;", "&amp;B2190&amp;", "&amp;C2190&amp;", "&amp;D2190&amp;", "&amp;E2190&amp;", "&amp;F2190&amp;", "&amp;G2190&amp;", "&amp;H2190&amp;");"</f>
        <v>INSERT INTO COTACAO (cot_id, cot_blt_id, cot_pap_id, cot_prc_comum, cot_prc_min, cot_prc_max, cot_prc_med, cot_prc_mediana) VALUES (2189, 92, 39, NULL, NULL, NULL, NULL, NULL);</v>
      </c>
      <c r="J2190" s="0" t="str">
        <f aca="false">"UPDATE COTACAO SET cot_id = "&amp;A2190&amp;", cot_blt_id = "&amp;B2190&amp;", cot_pap_id = "&amp;C2190&amp;", cot_prc_comum = "&amp;D2190&amp;", cot_prc_min = "&amp;E2190&amp;", cot_prc_max = "&amp;F2190&amp;", cot_prc_med = "&amp;G2190&amp;", cot_prc_mediana = "&amp;H2190&amp;" WHERE cot_id = "&amp;A2190&amp;";"</f>
        <v>UPDATE COTACAO SET cot_id = 2189, cot_blt_id = 92, cot_pap_id = 39, cot_prc_comum = NULL, cot_prc_min = NULL, cot_prc_max = NULL, cot_prc_med = NULL, cot_prc_mediana = NULL WHERE cot_id = 2189;</v>
      </c>
    </row>
    <row r="2191" customFormat="false" ht="14.25" hidden="false" customHeight="false" outlineLevel="0" collapsed="false">
      <c r="A2191" s="0" t="n">
        <v>2190</v>
      </c>
      <c r="B2191" s="0" t="n">
        <f aca="false">IF('Boletins Nuppa Site'!A2191&lt;&gt;0,'Boletins Nuppa Site'!A2191,"NULL")</f>
        <v>92</v>
      </c>
      <c r="C2191" s="0" t="n">
        <v>40</v>
      </c>
      <c r="D2191" s="0" t="str">
        <f aca="false">IF('Boletins Nuppa Site'!G2191&lt;&gt;0,'Boletins Nuppa Site'!G2191,"NULL")</f>
        <v>NULL</v>
      </c>
      <c r="E2191" s="30" t="str">
        <f aca="false">IF('Boletins Nuppa Site'!H2191&lt;&gt;0,'Boletins Nuppa Site'!H2191,"NULL")</f>
        <v>NULL</v>
      </c>
      <c r="F2191" s="30" t="str">
        <f aca="false">IF('Boletins Nuppa Site'!I2191&lt;&gt;0,'Boletins Nuppa Site'!I2191,"NULL")</f>
        <v>NULL</v>
      </c>
      <c r="G2191" s="30" t="str">
        <f aca="false">IF('Boletins Nuppa Site'!J2191&lt;&gt;0,'Boletins Nuppa Site'!J2191,"NULL")</f>
        <v>NULL</v>
      </c>
      <c r="H2191" s="30" t="str">
        <f aca="false">IF('Boletins Nuppa Site'!K2191&lt;&gt;0,'Boletins Nuppa Site'!K2191,"NULL")</f>
        <v>NULL</v>
      </c>
      <c r="I2191" s="0" t="str">
        <f aca="false">"INSERT INTO COTACAO (cot_id, cot_blt_id, cot_pap_id, cot_prc_comum, cot_prc_min, cot_prc_max, cot_prc_med, cot_prc_mediana) VALUES ("&amp;A2191&amp;", "&amp;B2191&amp;", "&amp;C2191&amp;", "&amp;D2191&amp;", "&amp;E2191&amp;", "&amp;F2191&amp;", "&amp;G2191&amp;", "&amp;H2191&amp;");"</f>
        <v>INSERT INTO COTACAO (cot_id, cot_blt_id, cot_pap_id, cot_prc_comum, cot_prc_min, cot_prc_max, cot_prc_med, cot_prc_mediana) VALUES (2190, 92, 40, NULL, NULL, NULL, NULL, NULL);</v>
      </c>
      <c r="J2191" s="0" t="str">
        <f aca="false">"UPDATE COTACAO SET cot_id = "&amp;A2191&amp;", cot_blt_id = "&amp;B2191&amp;", cot_pap_id = "&amp;C2191&amp;", cot_prc_comum = "&amp;D2191&amp;", cot_prc_min = "&amp;E2191&amp;", cot_prc_max = "&amp;F2191&amp;", cot_prc_med = "&amp;G2191&amp;", cot_prc_mediana = "&amp;H2191&amp;" WHERE cot_id = "&amp;A2191&amp;";"</f>
        <v>UPDATE COTACAO SET cot_id = 2190, cot_blt_id = 92, cot_pap_id = 40, cot_prc_comum = NULL, cot_prc_min = NULL, cot_prc_max = NULL, cot_prc_med = NULL, cot_prc_mediana = NULL WHERE cot_id = 2190;</v>
      </c>
    </row>
    <row r="2192" customFormat="false" ht="14.25" hidden="false" customHeight="false" outlineLevel="0" collapsed="false">
      <c r="A2192" s="0" t="n">
        <v>2191</v>
      </c>
      <c r="B2192" s="0" t="n">
        <f aca="false">IF('Boletins Nuppa Site'!A2192&lt;&gt;0,'Boletins Nuppa Site'!A2192,"NULL")</f>
        <v>93</v>
      </c>
      <c r="C2192" s="0" t="n">
        <v>1</v>
      </c>
      <c r="D2192" s="0" t="str">
        <f aca="false">IF('Boletins Nuppa Site'!G2192&lt;&gt;0,'Boletins Nuppa Site'!G2192,"NULL")</f>
        <v> 60.00</v>
      </c>
      <c r="E2192" s="30" t="str">
        <f aca="false">IF('Boletins Nuppa Site'!H2192&lt;&gt;0,'Boletins Nuppa Site'!H2192,"NULL")</f>
        <v> 60.00</v>
      </c>
      <c r="F2192" s="30" t="str">
        <f aca="false">IF('Boletins Nuppa Site'!I2192&lt;&gt;0,'Boletins Nuppa Site'!I2192,"NULL")</f>
        <v> 60.00</v>
      </c>
      <c r="G2192" s="30" t="str">
        <f aca="false">IF('Boletins Nuppa Site'!J2192&lt;&gt;0,'Boletins Nuppa Site'!J2192,"NULL")</f>
        <v> 60.00</v>
      </c>
      <c r="H2192" s="30" t="str">
        <f aca="false">IF('Boletins Nuppa Site'!K2192&lt;&gt;0,'Boletins Nuppa Site'!K2192,"NULL")</f>
        <v> 60.00</v>
      </c>
      <c r="I2192" s="0" t="str">
        <f aca="false">"INSERT INTO COTACAO (cot_id, cot_blt_id, cot_pap_id, cot_prc_comum, cot_prc_min, cot_prc_max, cot_prc_med, cot_prc_mediana) VALUES ("&amp;A2192&amp;", "&amp;B2192&amp;", "&amp;C2192&amp;", "&amp;D2192&amp;", "&amp;E2192&amp;", "&amp;F2192&amp;", "&amp;G2192&amp;", "&amp;H2192&amp;");"</f>
        <v>INSERT INTO COTACAO (cot_id, cot_blt_id, cot_pap_id, cot_prc_comum, cot_prc_min, cot_prc_max, cot_prc_med, cot_prc_mediana) VALUES (2191, 93, 1,  60.00,  60.00,  60.00,  60.00,  60.00);</v>
      </c>
      <c r="J2192" s="0" t="str">
        <f aca="false">"UPDATE COTACAO SET cot_id = "&amp;A2192&amp;", cot_blt_id = "&amp;B2192&amp;", cot_pap_id = "&amp;C2192&amp;", cot_prc_comum = "&amp;D2192&amp;", cot_prc_min = "&amp;E2192&amp;", cot_prc_max = "&amp;F2192&amp;", cot_prc_med = "&amp;G2192&amp;", cot_prc_mediana = "&amp;H2192&amp;" WHERE cot_id = "&amp;A2192&amp;";"</f>
        <v>UPDATE COTACAO SET cot_id = 2191, cot_blt_id = 93, cot_pap_id = 1, cot_prc_comum =  60.00, cot_prc_min =  60.00, cot_prc_max =  60.00, cot_prc_med =  60.00, cot_prc_mediana =  60.00 WHERE cot_id = 2191;</v>
      </c>
    </row>
    <row r="2193" customFormat="false" ht="14.25" hidden="false" customHeight="false" outlineLevel="0" collapsed="false">
      <c r="A2193" s="0" t="n">
        <v>2192</v>
      </c>
      <c r="B2193" s="0" t="n">
        <f aca="false">IF('Boletins Nuppa Site'!A2193&lt;&gt;0,'Boletins Nuppa Site'!A2193,"NULL")</f>
        <v>93</v>
      </c>
      <c r="C2193" s="0" t="n">
        <v>2</v>
      </c>
      <c r="D2193" s="0" t="str">
        <f aca="false">IF('Boletins Nuppa Site'!G2193&lt;&gt;0,'Boletins Nuppa Site'!G2193,"NULL")</f>
        <v> 96.00</v>
      </c>
      <c r="E2193" s="30" t="str">
        <f aca="false">IF('Boletins Nuppa Site'!H2193&lt;&gt;0,'Boletins Nuppa Site'!H2193,"NULL")</f>
        <v> 60.00</v>
      </c>
      <c r="F2193" s="30" t="str">
        <f aca="false">IF('Boletins Nuppa Site'!I2193&lt;&gt;0,'Boletins Nuppa Site'!I2193,"NULL")</f>
        <v> 96.00</v>
      </c>
      <c r="G2193" s="30" t="str">
        <f aca="false">IF('Boletins Nuppa Site'!J2193&lt;&gt;0,'Boletins Nuppa Site'!J2193,"NULL")</f>
        <v> 84.00</v>
      </c>
      <c r="H2193" s="30" t="str">
        <f aca="false">IF('Boletins Nuppa Site'!K2193&lt;&gt;0,'Boletins Nuppa Site'!K2193,"NULL")</f>
        <v> 96.00</v>
      </c>
      <c r="I2193" s="0" t="str">
        <f aca="false">"INSERT INTO COTACAO (cot_id, cot_blt_id, cot_pap_id, cot_prc_comum, cot_prc_min, cot_prc_max, cot_prc_med, cot_prc_mediana) VALUES ("&amp;A2193&amp;", "&amp;B2193&amp;", "&amp;C2193&amp;", "&amp;D2193&amp;", "&amp;E2193&amp;", "&amp;F2193&amp;", "&amp;G2193&amp;", "&amp;H2193&amp;");"</f>
        <v>INSERT INTO COTACAO (cot_id, cot_blt_id, cot_pap_id, cot_prc_comum, cot_prc_min, cot_prc_max, cot_prc_med, cot_prc_mediana) VALUES (2192, 93, 2,  96.00,  60.00,  96.00,  84.00,  96.00);</v>
      </c>
      <c r="J2193" s="0" t="str">
        <f aca="false">"UPDATE COTACAO SET cot_id = "&amp;A2193&amp;", cot_blt_id = "&amp;B2193&amp;", cot_pap_id = "&amp;C2193&amp;", cot_prc_comum = "&amp;D2193&amp;", cot_prc_min = "&amp;E2193&amp;", cot_prc_max = "&amp;F2193&amp;", cot_prc_med = "&amp;G2193&amp;", cot_prc_mediana = "&amp;H2193&amp;" WHERE cot_id = "&amp;A2193&amp;";"</f>
        <v>UPDATE COTACAO SET cot_id = 2192, cot_blt_id = 93, cot_pap_id = 2, cot_prc_comum =  96.00, cot_prc_min =  60.00, cot_prc_max =  96.00, cot_prc_med =  84.00, cot_prc_mediana =  96.00 WHERE cot_id = 2192;</v>
      </c>
    </row>
    <row r="2194" customFormat="false" ht="14.25" hidden="false" customHeight="false" outlineLevel="0" collapsed="false">
      <c r="A2194" s="0" t="n">
        <v>2193</v>
      </c>
      <c r="B2194" s="0" t="n">
        <f aca="false">IF('Boletins Nuppa Site'!A2194&lt;&gt;0,'Boletins Nuppa Site'!A2194,"NULL")</f>
        <v>93</v>
      </c>
      <c r="C2194" s="0" t="n">
        <v>3</v>
      </c>
      <c r="D2194" s="0" t="str">
        <f aca="false">IF('Boletins Nuppa Site'!G2194&lt;&gt;0,'Boletins Nuppa Site'!G2194,"NULL")</f>
        <v> 48.00</v>
      </c>
      <c r="E2194" s="30" t="str">
        <f aca="false">IF('Boletins Nuppa Site'!H2194&lt;&gt;0,'Boletins Nuppa Site'!H2194,"NULL")</f>
        <v> 48.00</v>
      </c>
      <c r="F2194" s="30" t="str">
        <f aca="false">IF('Boletins Nuppa Site'!I2194&lt;&gt;0,'Boletins Nuppa Site'!I2194,"NULL")</f>
        <v> 54.00</v>
      </c>
      <c r="G2194" s="30" t="str">
        <f aca="false">IF('Boletins Nuppa Site'!J2194&lt;&gt;0,'Boletins Nuppa Site'!J2194,"NULL")</f>
        <v> 50.00</v>
      </c>
      <c r="H2194" s="30" t="str">
        <f aca="false">IF('Boletins Nuppa Site'!K2194&lt;&gt;0,'Boletins Nuppa Site'!K2194,"NULL")</f>
        <v> 48.00</v>
      </c>
      <c r="I2194" s="0" t="str">
        <f aca="false">"INSERT INTO COTACAO (cot_id, cot_blt_id, cot_pap_id, cot_prc_comum, cot_prc_min, cot_prc_max, cot_prc_med, cot_prc_mediana) VALUES ("&amp;A2194&amp;", "&amp;B2194&amp;", "&amp;C2194&amp;", "&amp;D2194&amp;", "&amp;E2194&amp;", "&amp;F2194&amp;", "&amp;G2194&amp;", "&amp;H2194&amp;");"</f>
        <v>INSERT INTO COTACAO (cot_id, cot_blt_id, cot_pap_id, cot_prc_comum, cot_prc_min, cot_prc_max, cot_prc_med, cot_prc_mediana) VALUES (2193, 93, 3,  48.00,  48.00,  54.00,  50.00,  48.00);</v>
      </c>
      <c r="J2194" s="0" t="str">
        <f aca="false">"UPDATE COTACAO SET cot_id = "&amp;A2194&amp;", cot_blt_id = "&amp;B2194&amp;", cot_pap_id = "&amp;C2194&amp;", cot_prc_comum = "&amp;D2194&amp;", cot_prc_min = "&amp;E2194&amp;", cot_prc_max = "&amp;F2194&amp;", cot_prc_med = "&amp;G2194&amp;", cot_prc_mediana = "&amp;H2194&amp;" WHERE cot_id = "&amp;A2194&amp;";"</f>
        <v>UPDATE COTACAO SET cot_id = 2193, cot_blt_id = 93, cot_pap_id = 3, cot_prc_comum =  48.00, cot_prc_min =  48.00, cot_prc_max =  54.00, cot_prc_med =  50.00, cot_prc_mediana =  48.00 WHERE cot_id = 2193;</v>
      </c>
    </row>
    <row r="2195" customFormat="false" ht="14.25" hidden="false" customHeight="false" outlineLevel="0" collapsed="false">
      <c r="A2195" s="0" t="n">
        <v>2194</v>
      </c>
      <c r="B2195" s="0" t="n">
        <f aca="false">IF('Boletins Nuppa Site'!A2195&lt;&gt;0,'Boletins Nuppa Site'!A2195,"NULL")</f>
        <v>93</v>
      </c>
      <c r="C2195" s="0" t="n">
        <v>4</v>
      </c>
      <c r="D2195" s="0" t="str">
        <f aca="false">IF('Boletins Nuppa Site'!G2195&lt;&gt;0,'Boletins Nuppa Site'!G2195,"NULL")</f>
        <v> 30.00</v>
      </c>
      <c r="E2195" s="30" t="str">
        <f aca="false">IF('Boletins Nuppa Site'!H2195&lt;&gt;0,'Boletins Nuppa Site'!H2195,"NULL")</f>
        <v> 30.00</v>
      </c>
      <c r="F2195" s="30" t="str">
        <f aca="false">IF('Boletins Nuppa Site'!I2195&lt;&gt;0,'Boletins Nuppa Site'!I2195,"NULL")</f>
        <v> 30.00</v>
      </c>
      <c r="G2195" s="30" t="str">
        <f aca="false">IF('Boletins Nuppa Site'!J2195&lt;&gt;0,'Boletins Nuppa Site'!J2195,"NULL")</f>
        <v> 30.00</v>
      </c>
      <c r="H2195" s="30" t="str">
        <f aca="false">IF('Boletins Nuppa Site'!K2195&lt;&gt;0,'Boletins Nuppa Site'!K2195,"NULL")</f>
        <v> 30.00</v>
      </c>
      <c r="I2195" s="0" t="str">
        <f aca="false">"INSERT INTO COTACAO (cot_id, cot_blt_id, cot_pap_id, cot_prc_comum, cot_prc_min, cot_prc_max, cot_prc_med, cot_prc_mediana) VALUES ("&amp;A2195&amp;", "&amp;B2195&amp;", "&amp;C2195&amp;", "&amp;D2195&amp;", "&amp;E2195&amp;", "&amp;F2195&amp;", "&amp;G2195&amp;", "&amp;H2195&amp;");"</f>
        <v>INSERT INTO COTACAO (cot_id, cot_blt_id, cot_pap_id, cot_prc_comum, cot_prc_min, cot_prc_max, cot_prc_med, cot_prc_mediana) VALUES (2194, 93, 4,  30.00,  30.00,  30.00,  30.00,  30.00);</v>
      </c>
      <c r="J2195" s="0" t="str">
        <f aca="false">"UPDATE COTACAO SET cot_id = "&amp;A2195&amp;", cot_blt_id = "&amp;B2195&amp;", cot_pap_id = "&amp;C2195&amp;", cot_prc_comum = "&amp;D2195&amp;", cot_prc_min = "&amp;E2195&amp;", cot_prc_max = "&amp;F2195&amp;", cot_prc_med = "&amp;G2195&amp;", cot_prc_mediana = "&amp;H2195&amp;" WHERE cot_id = "&amp;A2195&amp;";"</f>
        <v>UPDATE COTACAO SET cot_id = 2194, cot_blt_id = 93, cot_pap_id = 4, cot_prc_comum =  30.00, cot_prc_min =  30.00, cot_prc_max =  30.00, cot_prc_med =  30.00, cot_prc_mediana =  30.00 WHERE cot_id = 2194;</v>
      </c>
    </row>
    <row r="2196" customFormat="false" ht="14.25" hidden="false" customHeight="false" outlineLevel="0" collapsed="false">
      <c r="A2196" s="0" t="n">
        <v>2195</v>
      </c>
      <c r="B2196" s="0" t="n">
        <f aca="false">IF('Boletins Nuppa Site'!A2196&lt;&gt;0,'Boletins Nuppa Site'!A2196,"NULL")</f>
        <v>93</v>
      </c>
      <c r="C2196" s="0" t="n">
        <v>5</v>
      </c>
      <c r="D2196" s="0" t="str">
        <f aca="false">IF('Boletins Nuppa Site'!G2196&lt;&gt;0,'Boletins Nuppa Site'!G2196,"NULL")</f>
        <v> 30.00</v>
      </c>
      <c r="E2196" s="30" t="str">
        <f aca="false">IF('Boletins Nuppa Site'!H2196&lt;&gt;0,'Boletins Nuppa Site'!H2196,"NULL")</f>
        <v> 30.00</v>
      </c>
      <c r="F2196" s="30" t="str">
        <f aca="false">IF('Boletins Nuppa Site'!I2196&lt;&gt;0,'Boletins Nuppa Site'!I2196,"NULL")</f>
        <v> 30.00</v>
      </c>
      <c r="G2196" s="30" t="str">
        <f aca="false">IF('Boletins Nuppa Site'!J2196&lt;&gt;0,'Boletins Nuppa Site'!J2196,"NULL")</f>
        <v> 30.00</v>
      </c>
      <c r="H2196" s="30" t="str">
        <f aca="false">IF('Boletins Nuppa Site'!K2196&lt;&gt;0,'Boletins Nuppa Site'!K2196,"NULL")</f>
        <v> 30.00</v>
      </c>
      <c r="I2196" s="0" t="str">
        <f aca="false">"INSERT INTO COTACAO (cot_id, cot_blt_id, cot_pap_id, cot_prc_comum, cot_prc_min, cot_prc_max, cot_prc_med, cot_prc_mediana) VALUES ("&amp;A2196&amp;", "&amp;B2196&amp;", "&amp;C2196&amp;", "&amp;D2196&amp;", "&amp;E2196&amp;", "&amp;F2196&amp;", "&amp;G2196&amp;", "&amp;H2196&amp;");"</f>
        <v>INSERT INTO COTACAO (cot_id, cot_blt_id, cot_pap_id, cot_prc_comum, cot_prc_min, cot_prc_max, cot_prc_med, cot_prc_mediana) VALUES (2195, 93, 5,  30.00,  30.00,  30.00,  30.00,  30.00);</v>
      </c>
      <c r="J2196" s="0" t="str">
        <f aca="false">"UPDATE COTACAO SET cot_id = "&amp;A2196&amp;", cot_blt_id = "&amp;B2196&amp;", cot_pap_id = "&amp;C2196&amp;", cot_prc_comum = "&amp;D2196&amp;", cot_prc_min = "&amp;E2196&amp;", cot_prc_max = "&amp;F2196&amp;", cot_prc_med = "&amp;G2196&amp;", cot_prc_mediana = "&amp;H2196&amp;" WHERE cot_id = "&amp;A2196&amp;";"</f>
        <v>UPDATE COTACAO SET cot_id = 2195, cot_blt_id = 93, cot_pap_id = 5, cot_prc_comum =  30.00, cot_prc_min =  30.00, cot_prc_max =  30.00, cot_prc_med =  30.00, cot_prc_mediana =  30.00 WHERE cot_id = 2195;</v>
      </c>
    </row>
    <row r="2197" customFormat="false" ht="14.25" hidden="false" customHeight="false" outlineLevel="0" collapsed="false">
      <c r="A2197" s="0" t="n">
        <v>2196</v>
      </c>
      <c r="B2197" s="0" t="n">
        <f aca="false">IF('Boletins Nuppa Site'!A2197&lt;&gt;0,'Boletins Nuppa Site'!A2197,"NULL")</f>
        <v>93</v>
      </c>
      <c r="C2197" s="0" t="n">
        <v>6</v>
      </c>
      <c r="D2197" s="0" t="str">
        <f aca="false">IF('Boletins Nuppa Site'!G2197&lt;&gt;0,'Boletins Nuppa Site'!G2197,"NULL")</f>
        <v> 72.00</v>
      </c>
      <c r="E2197" s="30" t="str">
        <f aca="false">IF('Boletins Nuppa Site'!H2197&lt;&gt;0,'Boletins Nuppa Site'!H2197,"NULL")</f>
        <v> 60.00</v>
      </c>
      <c r="F2197" s="30" t="str">
        <f aca="false">IF('Boletins Nuppa Site'!I2197&lt;&gt;0,'Boletins Nuppa Site'!I2197,"NULL")</f>
        <v> 72.00</v>
      </c>
      <c r="G2197" s="30" t="str">
        <f aca="false">IF('Boletins Nuppa Site'!J2197&lt;&gt;0,'Boletins Nuppa Site'!J2197,"NULL")</f>
        <v> 68.00</v>
      </c>
      <c r="H2197" s="30" t="str">
        <f aca="false">IF('Boletins Nuppa Site'!K2197&lt;&gt;0,'Boletins Nuppa Site'!K2197,"NULL")</f>
        <v> 72.00</v>
      </c>
      <c r="I2197" s="0" t="str">
        <f aca="false">"INSERT INTO COTACAO (cot_id, cot_blt_id, cot_pap_id, cot_prc_comum, cot_prc_min, cot_prc_max, cot_prc_med, cot_prc_mediana) VALUES ("&amp;A2197&amp;", "&amp;B2197&amp;", "&amp;C2197&amp;", "&amp;D2197&amp;", "&amp;E2197&amp;", "&amp;F2197&amp;", "&amp;G2197&amp;", "&amp;H2197&amp;");"</f>
        <v>INSERT INTO COTACAO (cot_id, cot_blt_id, cot_pap_id, cot_prc_comum, cot_prc_min, cot_prc_max, cot_prc_med, cot_prc_mediana) VALUES (2196, 93, 6,  72.00,  60.00,  72.00,  68.00,  72.00);</v>
      </c>
      <c r="J2197" s="0" t="str">
        <f aca="false">"UPDATE COTACAO SET cot_id = "&amp;A2197&amp;", cot_blt_id = "&amp;B2197&amp;", cot_pap_id = "&amp;C2197&amp;", cot_prc_comum = "&amp;D2197&amp;", cot_prc_min = "&amp;E2197&amp;", cot_prc_max = "&amp;F2197&amp;", cot_prc_med = "&amp;G2197&amp;", cot_prc_mediana = "&amp;H2197&amp;" WHERE cot_id = "&amp;A2197&amp;";"</f>
        <v>UPDATE COTACAO SET cot_id = 2196, cot_blt_id = 93, cot_pap_id = 6, cot_prc_comum =  72.00, cot_prc_min =  60.00, cot_prc_max =  72.00, cot_prc_med =  68.00, cot_prc_mediana =  72.00 WHERE cot_id = 2196;</v>
      </c>
    </row>
    <row r="2198" customFormat="false" ht="14.25" hidden="false" customHeight="false" outlineLevel="0" collapsed="false">
      <c r="A2198" s="0" t="n">
        <v>2197</v>
      </c>
      <c r="B2198" s="0" t="n">
        <f aca="false">IF('Boletins Nuppa Site'!A2198&lt;&gt;0,'Boletins Nuppa Site'!A2198,"NULL")</f>
        <v>93</v>
      </c>
      <c r="C2198" s="0" t="n">
        <v>7</v>
      </c>
      <c r="D2198" s="0" t="str">
        <f aca="false">IF('Boletins Nuppa Site'!G2198&lt;&gt;0,'Boletins Nuppa Site'!G2198,"NULL")</f>
        <v>NULL</v>
      </c>
      <c r="E2198" s="30" t="str">
        <f aca="false">IF('Boletins Nuppa Site'!H2198&lt;&gt;0,'Boletins Nuppa Site'!H2198,"NULL")</f>
        <v> 95.00</v>
      </c>
      <c r="F2198" s="30" t="str">
        <f aca="false">IF('Boletins Nuppa Site'!I2198&lt;&gt;0,'Boletins Nuppa Site'!I2198,"NULL")</f>
        <v> 108.00</v>
      </c>
      <c r="G2198" s="30" t="str">
        <f aca="false">IF('Boletins Nuppa Site'!J2198&lt;&gt;0,'Boletins Nuppa Site'!J2198,"NULL")</f>
        <v> 99.67</v>
      </c>
      <c r="H2198" s="30" t="str">
        <f aca="false">IF('Boletins Nuppa Site'!K2198&lt;&gt;0,'Boletins Nuppa Site'!K2198,"NULL")</f>
        <v> 96.00</v>
      </c>
      <c r="I2198" s="0" t="str">
        <f aca="false">"INSERT INTO COTACAO (cot_id, cot_blt_id, cot_pap_id, cot_prc_comum, cot_prc_min, cot_prc_max, cot_prc_med, cot_prc_mediana) VALUES ("&amp;A2198&amp;", "&amp;B2198&amp;", "&amp;C2198&amp;", "&amp;D2198&amp;", "&amp;E2198&amp;", "&amp;F2198&amp;", "&amp;G2198&amp;", "&amp;H2198&amp;");"</f>
        <v>INSERT INTO COTACAO (cot_id, cot_blt_id, cot_pap_id, cot_prc_comum, cot_prc_min, cot_prc_max, cot_prc_med, cot_prc_mediana) VALUES (2197, 93, 7, NULL,  95.00,  108.00,  99.67,  96.00);</v>
      </c>
      <c r="J2198" s="0" t="str">
        <f aca="false">"UPDATE COTACAO SET cot_id = "&amp;A2198&amp;", cot_blt_id = "&amp;B2198&amp;", cot_pap_id = "&amp;C2198&amp;", cot_prc_comum = "&amp;D2198&amp;", cot_prc_min = "&amp;E2198&amp;", cot_prc_max = "&amp;F2198&amp;", cot_prc_med = "&amp;G2198&amp;", cot_prc_mediana = "&amp;H2198&amp;" WHERE cot_id = "&amp;A2198&amp;";"</f>
        <v>UPDATE COTACAO SET cot_id = 2197, cot_blt_id = 93, cot_pap_id = 7, cot_prc_comum = NULL, cot_prc_min =  95.00, cot_prc_max =  108.00, cot_prc_med =  99.67, cot_prc_mediana =  96.00 WHERE cot_id = 2197;</v>
      </c>
    </row>
    <row r="2199" customFormat="false" ht="14.25" hidden="false" customHeight="false" outlineLevel="0" collapsed="false">
      <c r="A2199" s="0" t="n">
        <v>2198</v>
      </c>
      <c r="B2199" s="0" t="n">
        <f aca="false">IF('Boletins Nuppa Site'!A2199&lt;&gt;0,'Boletins Nuppa Site'!A2199,"NULL")</f>
        <v>93</v>
      </c>
      <c r="C2199" s="0" t="n">
        <v>8</v>
      </c>
      <c r="D2199" s="0" t="str">
        <f aca="false">IF('Boletins Nuppa Site'!G2199&lt;&gt;0,'Boletins Nuppa Site'!G2199,"NULL")</f>
        <v>NULL</v>
      </c>
      <c r="E2199" s="30" t="str">
        <f aca="false">IF('Boletins Nuppa Site'!H2199&lt;&gt;0,'Boletins Nuppa Site'!H2199,"NULL")</f>
        <v> 84.00</v>
      </c>
      <c r="F2199" s="30" t="str">
        <f aca="false">IF('Boletins Nuppa Site'!I2199&lt;&gt;0,'Boletins Nuppa Site'!I2199,"NULL")</f>
        <v> 102.00</v>
      </c>
      <c r="G2199" s="30" t="str">
        <f aca="false">IF('Boletins Nuppa Site'!J2199&lt;&gt;0,'Boletins Nuppa Site'!J2199,"NULL")</f>
        <v> 95.33</v>
      </c>
      <c r="H2199" s="30" t="str">
        <f aca="false">IF('Boletins Nuppa Site'!K2199&lt;&gt;0,'Boletins Nuppa Site'!K2199,"NULL")</f>
        <v> 100.00</v>
      </c>
      <c r="I2199" s="0" t="str">
        <f aca="false">"INSERT INTO COTACAO (cot_id, cot_blt_id, cot_pap_id, cot_prc_comum, cot_prc_min, cot_prc_max, cot_prc_med, cot_prc_mediana) VALUES ("&amp;A2199&amp;", "&amp;B2199&amp;", "&amp;C2199&amp;", "&amp;D2199&amp;", "&amp;E2199&amp;", "&amp;F2199&amp;", "&amp;G2199&amp;", "&amp;H2199&amp;");"</f>
        <v>INSERT INTO COTACAO (cot_id, cot_blt_id, cot_pap_id, cot_prc_comum, cot_prc_min, cot_prc_max, cot_prc_med, cot_prc_mediana) VALUES (2198, 93, 8, NULL,  84.00,  102.00,  95.33,  100.00);</v>
      </c>
      <c r="J2199" s="0" t="str">
        <f aca="false">"UPDATE COTACAO SET cot_id = "&amp;A2199&amp;", cot_blt_id = "&amp;B2199&amp;", cot_pap_id = "&amp;C2199&amp;", cot_prc_comum = "&amp;D2199&amp;", cot_prc_min = "&amp;E2199&amp;", cot_prc_max = "&amp;F2199&amp;", cot_prc_med = "&amp;G2199&amp;", cot_prc_mediana = "&amp;H2199&amp;" WHERE cot_id = "&amp;A2199&amp;";"</f>
        <v>UPDATE COTACAO SET cot_id = 2198, cot_blt_id = 93, cot_pap_id = 8, cot_prc_comum = NULL, cot_prc_min =  84.00, cot_prc_max =  102.00, cot_prc_med =  95.33, cot_prc_mediana =  100.00 WHERE cot_id = 2198;</v>
      </c>
    </row>
    <row r="2200" customFormat="false" ht="14.25" hidden="false" customHeight="false" outlineLevel="0" collapsed="false">
      <c r="A2200" s="0" t="n">
        <v>2199</v>
      </c>
      <c r="B2200" s="0" t="n">
        <f aca="false">IF('Boletins Nuppa Site'!A2200&lt;&gt;0,'Boletins Nuppa Site'!A2200,"NULL")</f>
        <v>93</v>
      </c>
      <c r="C2200" s="0" t="n">
        <v>9</v>
      </c>
      <c r="D2200" s="0" t="str">
        <f aca="false">IF('Boletins Nuppa Site'!G2200&lt;&gt;0,'Boletins Nuppa Site'!G2200,"NULL")</f>
        <v>NULL</v>
      </c>
      <c r="E2200" s="30" t="str">
        <f aca="false">IF('Boletins Nuppa Site'!H2200&lt;&gt;0,'Boletins Nuppa Site'!H2200,"NULL")</f>
        <v> 30.00</v>
      </c>
      <c r="F2200" s="30" t="str">
        <f aca="false">IF('Boletins Nuppa Site'!I2200&lt;&gt;0,'Boletins Nuppa Site'!I2200,"NULL")</f>
        <v> 36.00</v>
      </c>
      <c r="G2200" s="30" t="str">
        <f aca="false">IF('Boletins Nuppa Site'!J2200&lt;&gt;0,'Boletins Nuppa Site'!J2200,"NULL")</f>
        <v> 32.67</v>
      </c>
      <c r="H2200" s="30" t="str">
        <f aca="false">IF('Boletins Nuppa Site'!K2200&lt;&gt;0,'Boletins Nuppa Site'!K2200,"NULL")</f>
        <v> 32.00</v>
      </c>
      <c r="I2200" s="0" t="str">
        <f aca="false">"INSERT INTO COTACAO (cot_id, cot_blt_id, cot_pap_id, cot_prc_comum, cot_prc_min, cot_prc_max, cot_prc_med, cot_prc_mediana) VALUES ("&amp;A2200&amp;", "&amp;B2200&amp;", "&amp;C2200&amp;", "&amp;D2200&amp;", "&amp;E2200&amp;", "&amp;F2200&amp;", "&amp;G2200&amp;", "&amp;H2200&amp;");"</f>
        <v>INSERT INTO COTACAO (cot_id, cot_blt_id, cot_pap_id, cot_prc_comum, cot_prc_min, cot_prc_max, cot_prc_med, cot_prc_mediana) VALUES (2199, 93, 9, NULL,  30.00,  36.00,  32.67,  32.00);</v>
      </c>
      <c r="J2200" s="0" t="str">
        <f aca="false">"UPDATE COTACAO SET cot_id = "&amp;A2200&amp;", cot_blt_id = "&amp;B2200&amp;", cot_pap_id = "&amp;C2200&amp;", cot_prc_comum = "&amp;D2200&amp;", cot_prc_min = "&amp;E2200&amp;", cot_prc_max = "&amp;F2200&amp;", cot_prc_med = "&amp;G2200&amp;", cot_prc_mediana = "&amp;H2200&amp;" WHERE cot_id = "&amp;A2200&amp;";"</f>
        <v>UPDATE COTACAO SET cot_id = 2199, cot_blt_id = 93, cot_pap_id = 9, cot_prc_comum = NULL, cot_prc_min =  30.00, cot_prc_max =  36.00, cot_prc_med =  32.67, cot_prc_mediana =  32.00 WHERE cot_id = 2199;</v>
      </c>
    </row>
    <row r="2201" customFormat="false" ht="14.25" hidden="false" customHeight="false" outlineLevel="0" collapsed="false">
      <c r="A2201" s="0" t="n">
        <v>2200</v>
      </c>
      <c r="B2201" s="0" t="n">
        <f aca="false">IF('Boletins Nuppa Site'!A2201&lt;&gt;0,'Boletins Nuppa Site'!A2201,"NULL")</f>
        <v>93</v>
      </c>
      <c r="C2201" s="0" t="n">
        <v>10</v>
      </c>
      <c r="D2201" s="0" t="str">
        <f aca="false">IF('Boletins Nuppa Site'!G2201&lt;&gt;0,'Boletins Nuppa Site'!G2201,"NULL")</f>
        <v>NULL</v>
      </c>
      <c r="E2201" s="30" t="str">
        <f aca="false">IF('Boletins Nuppa Site'!H2201&lt;&gt;0,'Boletins Nuppa Site'!H2201,"NULL")</f>
        <v> 105.00</v>
      </c>
      <c r="F2201" s="30" t="str">
        <f aca="false">IF('Boletins Nuppa Site'!I2201&lt;&gt;0,'Boletins Nuppa Site'!I2201,"NULL")</f>
        <v> 120.00</v>
      </c>
      <c r="G2201" s="30" t="str">
        <f aca="false">IF('Boletins Nuppa Site'!J2201&lt;&gt;0,'Boletins Nuppa Site'!J2201,"NULL")</f>
        <v> 111.00</v>
      </c>
      <c r="H2201" s="30" t="str">
        <f aca="false">IF('Boletins Nuppa Site'!K2201&lt;&gt;0,'Boletins Nuppa Site'!K2201,"NULL")</f>
        <v> 108.00</v>
      </c>
      <c r="I2201" s="0" t="str">
        <f aca="false">"INSERT INTO COTACAO (cot_id, cot_blt_id, cot_pap_id, cot_prc_comum, cot_prc_min, cot_prc_max, cot_prc_med, cot_prc_mediana) VALUES ("&amp;A2201&amp;", "&amp;B2201&amp;", "&amp;C2201&amp;", "&amp;D2201&amp;", "&amp;E2201&amp;", "&amp;F2201&amp;", "&amp;G2201&amp;", "&amp;H2201&amp;");"</f>
        <v>INSERT INTO COTACAO (cot_id, cot_blt_id, cot_pap_id, cot_prc_comum, cot_prc_min, cot_prc_max, cot_prc_med, cot_prc_mediana) VALUES (2200, 93, 10, NULL,  105.00,  120.00,  111.00,  108.00);</v>
      </c>
      <c r="J2201" s="0" t="str">
        <f aca="false">"UPDATE COTACAO SET cot_id = "&amp;A2201&amp;", cot_blt_id = "&amp;B2201&amp;", cot_pap_id = "&amp;C2201&amp;", cot_prc_comum = "&amp;D2201&amp;", cot_prc_min = "&amp;E2201&amp;", cot_prc_max = "&amp;F2201&amp;", cot_prc_med = "&amp;G2201&amp;", cot_prc_mediana = "&amp;H2201&amp;" WHERE cot_id = "&amp;A2201&amp;";"</f>
        <v>UPDATE COTACAO SET cot_id = 2200, cot_blt_id = 93, cot_pap_id = 10, cot_prc_comum = NULL, cot_prc_min =  105.00, cot_prc_max =  120.00, cot_prc_med =  111.00, cot_prc_mediana =  108.00 WHERE cot_id = 2200;</v>
      </c>
    </row>
    <row r="2202" customFormat="false" ht="14.25" hidden="false" customHeight="false" outlineLevel="0" collapsed="false">
      <c r="A2202" s="0" t="n">
        <v>2201</v>
      </c>
      <c r="B2202" s="0" t="n">
        <f aca="false">IF('Boletins Nuppa Site'!A2202&lt;&gt;0,'Boletins Nuppa Site'!A2202,"NULL")</f>
        <v>93</v>
      </c>
      <c r="C2202" s="0" t="n">
        <v>11</v>
      </c>
      <c r="D2202" s="0" t="str">
        <f aca="false">IF('Boletins Nuppa Site'!G2202&lt;&gt;0,'Boletins Nuppa Site'!G2202,"NULL")</f>
        <v> 30.00</v>
      </c>
      <c r="E2202" s="30" t="str">
        <f aca="false">IF('Boletins Nuppa Site'!H2202&lt;&gt;0,'Boletins Nuppa Site'!H2202,"NULL")</f>
        <v> 30.00</v>
      </c>
      <c r="F2202" s="30" t="str">
        <f aca="false">IF('Boletins Nuppa Site'!I2202&lt;&gt;0,'Boletins Nuppa Site'!I2202,"NULL")</f>
        <v> 30.00</v>
      </c>
      <c r="G2202" s="30" t="str">
        <f aca="false">IF('Boletins Nuppa Site'!J2202&lt;&gt;0,'Boletins Nuppa Site'!J2202,"NULL")</f>
        <v> 30.00</v>
      </c>
      <c r="H2202" s="30" t="str">
        <f aca="false">IF('Boletins Nuppa Site'!K2202&lt;&gt;0,'Boletins Nuppa Site'!K2202,"NULL")</f>
        <v> 30.00</v>
      </c>
      <c r="I2202" s="0" t="str">
        <f aca="false">"INSERT INTO COTACAO (cot_id, cot_blt_id, cot_pap_id, cot_prc_comum, cot_prc_min, cot_prc_max, cot_prc_med, cot_prc_mediana) VALUES ("&amp;A2202&amp;", "&amp;B2202&amp;", "&amp;C2202&amp;", "&amp;D2202&amp;", "&amp;E2202&amp;", "&amp;F2202&amp;", "&amp;G2202&amp;", "&amp;H2202&amp;");"</f>
        <v>INSERT INTO COTACAO (cot_id, cot_blt_id, cot_pap_id, cot_prc_comum, cot_prc_min, cot_prc_max, cot_prc_med, cot_prc_mediana) VALUES (2201, 93, 11,  30.00,  30.00,  30.00,  30.00,  30.00);</v>
      </c>
      <c r="J2202" s="0" t="str">
        <f aca="false">"UPDATE COTACAO SET cot_id = "&amp;A2202&amp;", cot_blt_id = "&amp;B2202&amp;", cot_pap_id = "&amp;C2202&amp;", cot_prc_comum = "&amp;D2202&amp;", cot_prc_min = "&amp;E2202&amp;", cot_prc_max = "&amp;F2202&amp;", cot_prc_med = "&amp;G2202&amp;", cot_prc_mediana = "&amp;H2202&amp;" WHERE cot_id = "&amp;A2202&amp;";"</f>
        <v>UPDATE COTACAO SET cot_id = 2201, cot_blt_id = 93, cot_pap_id = 11, cot_prc_comum =  30.00, cot_prc_min =  30.00, cot_prc_max =  30.00, cot_prc_med =  30.00, cot_prc_mediana =  30.00 WHERE cot_id = 2201;</v>
      </c>
    </row>
    <row r="2203" customFormat="false" ht="14.25" hidden="false" customHeight="false" outlineLevel="0" collapsed="false">
      <c r="A2203" s="0" t="n">
        <v>2202</v>
      </c>
      <c r="B2203" s="0" t="n">
        <f aca="false">IF('Boletins Nuppa Site'!A2203&lt;&gt;0,'Boletins Nuppa Site'!A2203,"NULL")</f>
        <v>93</v>
      </c>
      <c r="C2203" s="0" t="n">
        <v>12</v>
      </c>
      <c r="D2203" s="0" t="str">
        <f aca="false">IF('Boletins Nuppa Site'!G2203&lt;&gt;0,'Boletins Nuppa Site'!G2203,"NULL")</f>
        <v> 70.00</v>
      </c>
      <c r="E2203" s="30" t="str">
        <f aca="false">IF('Boletins Nuppa Site'!H2203&lt;&gt;0,'Boletins Nuppa Site'!H2203,"NULL")</f>
        <v> 60.00</v>
      </c>
      <c r="F2203" s="30" t="str">
        <f aca="false">IF('Boletins Nuppa Site'!I2203&lt;&gt;0,'Boletins Nuppa Site'!I2203,"NULL")</f>
        <v> 70.00</v>
      </c>
      <c r="G2203" s="30" t="str">
        <f aca="false">IF('Boletins Nuppa Site'!J2203&lt;&gt;0,'Boletins Nuppa Site'!J2203,"NULL")</f>
        <v> 66.67</v>
      </c>
      <c r="H2203" s="30" t="str">
        <f aca="false">IF('Boletins Nuppa Site'!K2203&lt;&gt;0,'Boletins Nuppa Site'!K2203,"NULL")</f>
        <v> 70.00</v>
      </c>
      <c r="I2203" s="0" t="str">
        <f aca="false">"INSERT INTO COTACAO (cot_id, cot_blt_id, cot_pap_id, cot_prc_comum, cot_prc_min, cot_prc_max, cot_prc_med, cot_prc_mediana) VALUES ("&amp;A2203&amp;", "&amp;B2203&amp;", "&amp;C2203&amp;", "&amp;D2203&amp;", "&amp;E2203&amp;", "&amp;F2203&amp;", "&amp;G2203&amp;", "&amp;H2203&amp;");"</f>
        <v>INSERT INTO COTACAO (cot_id, cot_blt_id, cot_pap_id, cot_prc_comum, cot_prc_min, cot_prc_max, cot_prc_med, cot_prc_mediana) VALUES (2202, 93, 12,  70.00,  60.00,  70.00,  66.67,  70.00);</v>
      </c>
      <c r="J2203" s="0" t="str">
        <f aca="false">"UPDATE COTACAO SET cot_id = "&amp;A2203&amp;", cot_blt_id = "&amp;B2203&amp;", cot_pap_id = "&amp;C2203&amp;", cot_prc_comum = "&amp;D2203&amp;", cot_prc_min = "&amp;E2203&amp;", cot_prc_max = "&amp;F2203&amp;", cot_prc_med = "&amp;G2203&amp;", cot_prc_mediana = "&amp;H2203&amp;" WHERE cot_id = "&amp;A2203&amp;";"</f>
        <v>UPDATE COTACAO SET cot_id = 2202, cot_blt_id = 93, cot_pap_id = 12, cot_prc_comum =  70.00, cot_prc_min =  60.00, cot_prc_max =  70.00, cot_prc_med =  66.67, cot_prc_mediana =  70.00 WHERE cot_id = 2202;</v>
      </c>
    </row>
    <row r="2204" customFormat="false" ht="14.25" hidden="false" customHeight="false" outlineLevel="0" collapsed="false">
      <c r="A2204" s="0" t="n">
        <v>2203</v>
      </c>
      <c r="B2204" s="0" t="n">
        <f aca="false">IF('Boletins Nuppa Site'!A2204&lt;&gt;0,'Boletins Nuppa Site'!A2204,"NULL")</f>
        <v>93</v>
      </c>
      <c r="C2204" s="0" t="n">
        <v>13</v>
      </c>
      <c r="D2204" s="0" t="str">
        <f aca="false">IF('Boletins Nuppa Site'!G2204&lt;&gt;0,'Boletins Nuppa Site'!G2204,"NULL")</f>
        <v> 60.00</v>
      </c>
      <c r="E2204" s="30" t="str">
        <f aca="false">IF('Boletins Nuppa Site'!H2204&lt;&gt;0,'Boletins Nuppa Site'!H2204,"NULL")</f>
        <v> 60.00</v>
      </c>
      <c r="F2204" s="30" t="str">
        <f aca="false">IF('Boletins Nuppa Site'!I2204&lt;&gt;0,'Boletins Nuppa Site'!I2204,"NULL")</f>
        <v> 60.00</v>
      </c>
      <c r="G2204" s="30" t="str">
        <f aca="false">IF('Boletins Nuppa Site'!J2204&lt;&gt;0,'Boletins Nuppa Site'!J2204,"NULL")</f>
        <v> 60.00</v>
      </c>
      <c r="H2204" s="30" t="str">
        <f aca="false">IF('Boletins Nuppa Site'!K2204&lt;&gt;0,'Boletins Nuppa Site'!K2204,"NULL")</f>
        <v> 60.00</v>
      </c>
      <c r="I2204" s="0" t="str">
        <f aca="false">"INSERT INTO COTACAO (cot_id, cot_blt_id, cot_pap_id, cot_prc_comum, cot_prc_min, cot_prc_max, cot_prc_med, cot_prc_mediana) VALUES ("&amp;A2204&amp;", "&amp;B2204&amp;", "&amp;C2204&amp;", "&amp;D2204&amp;", "&amp;E2204&amp;", "&amp;F2204&amp;", "&amp;G2204&amp;", "&amp;H2204&amp;");"</f>
        <v>INSERT INTO COTACAO (cot_id, cot_blt_id, cot_pap_id, cot_prc_comum, cot_prc_min, cot_prc_max, cot_prc_med, cot_prc_mediana) VALUES (2203, 93, 13,  60.00,  60.00,  60.00,  60.00,  60.00);</v>
      </c>
      <c r="J2204" s="0" t="str">
        <f aca="false">"UPDATE COTACAO SET cot_id = "&amp;A2204&amp;", cot_blt_id = "&amp;B2204&amp;", cot_pap_id = "&amp;C2204&amp;", cot_prc_comum = "&amp;D2204&amp;", cot_prc_min = "&amp;E2204&amp;", cot_prc_max = "&amp;F2204&amp;", cot_prc_med = "&amp;G2204&amp;", cot_prc_mediana = "&amp;H2204&amp;" WHERE cot_id = "&amp;A2204&amp;";"</f>
        <v>UPDATE COTACAO SET cot_id = 2203, cot_blt_id = 93, cot_pap_id = 13, cot_prc_comum =  60.00, cot_prc_min =  60.00, cot_prc_max =  60.00, cot_prc_med =  60.00, cot_prc_mediana =  60.00 WHERE cot_id = 2203;</v>
      </c>
    </row>
    <row r="2205" customFormat="false" ht="14.25" hidden="false" customHeight="false" outlineLevel="0" collapsed="false">
      <c r="A2205" s="0" t="n">
        <v>2204</v>
      </c>
      <c r="B2205" s="0" t="n">
        <f aca="false">IF('Boletins Nuppa Site'!A2205&lt;&gt;0,'Boletins Nuppa Site'!A2205,"NULL")</f>
        <v>93</v>
      </c>
      <c r="C2205" s="0" t="n">
        <v>14</v>
      </c>
      <c r="D2205" s="0" t="str">
        <f aca="false">IF('Boletins Nuppa Site'!G2205&lt;&gt;0,'Boletins Nuppa Site'!G2205,"NULL")</f>
        <v> 84.00</v>
      </c>
      <c r="E2205" s="30" t="str">
        <f aca="false">IF('Boletins Nuppa Site'!H2205&lt;&gt;0,'Boletins Nuppa Site'!H2205,"NULL")</f>
        <v> 84.00</v>
      </c>
      <c r="F2205" s="30" t="str">
        <f aca="false">IF('Boletins Nuppa Site'!I2205&lt;&gt;0,'Boletins Nuppa Site'!I2205,"NULL")</f>
        <v> 86.00</v>
      </c>
      <c r="G2205" s="30" t="str">
        <f aca="false">IF('Boletins Nuppa Site'!J2205&lt;&gt;0,'Boletins Nuppa Site'!J2205,"NULL")</f>
        <v> 84.67</v>
      </c>
      <c r="H2205" s="30" t="str">
        <f aca="false">IF('Boletins Nuppa Site'!K2205&lt;&gt;0,'Boletins Nuppa Site'!K2205,"NULL")</f>
        <v> 84.00</v>
      </c>
      <c r="I2205" s="0" t="str">
        <f aca="false">"INSERT INTO COTACAO (cot_id, cot_blt_id, cot_pap_id, cot_prc_comum, cot_prc_min, cot_prc_max, cot_prc_med, cot_prc_mediana) VALUES ("&amp;A2205&amp;", "&amp;B2205&amp;", "&amp;C2205&amp;", "&amp;D2205&amp;", "&amp;E2205&amp;", "&amp;F2205&amp;", "&amp;G2205&amp;", "&amp;H2205&amp;");"</f>
        <v>INSERT INTO COTACAO (cot_id, cot_blt_id, cot_pap_id, cot_prc_comum, cot_prc_min, cot_prc_max, cot_prc_med, cot_prc_mediana) VALUES (2204, 93, 14,  84.00,  84.00,  86.00,  84.67,  84.00);</v>
      </c>
      <c r="J2205" s="0" t="str">
        <f aca="false">"UPDATE COTACAO SET cot_id = "&amp;A2205&amp;", cot_blt_id = "&amp;B2205&amp;", cot_pap_id = "&amp;C2205&amp;", cot_prc_comum = "&amp;D2205&amp;", cot_prc_min = "&amp;E2205&amp;", cot_prc_max = "&amp;F2205&amp;", cot_prc_med = "&amp;G2205&amp;", cot_prc_mediana = "&amp;H2205&amp;" WHERE cot_id = "&amp;A2205&amp;";"</f>
        <v>UPDATE COTACAO SET cot_id = 2204, cot_blt_id = 93, cot_pap_id = 14, cot_prc_comum =  84.00, cot_prc_min =  84.00, cot_prc_max =  86.00, cot_prc_med =  84.67, cot_prc_mediana =  84.00 WHERE cot_id = 2204;</v>
      </c>
    </row>
    <row r="2206" customFormat="false" ht="14.25" hidden="false" customHeight="false" outlineLevel="0" collapsed="false">
      <c r="A2206" s="0" t="n">
        <v>2205</v>
      </c>
      <c r="B2206" s="0" t="n">
        <f aca="false">IF('Boletins Nuppa Site'!A2206&lt;&gt;0,'Boletins Nuppa Site'!A2206,"NULL")</f>
        <v>93</v>
      </c>
      <c r="C2206" s="0" t="n">
        <v>15</v>
      </c>
      <c r="D2206" s="0" t="str">
        <f aca="false">IF('Boletins Nuppa Site'!G2206&lt;&gt;0,'Boletins Nuppa Site'!G2206,"NULL")</f>
        <v> 90.00</v>
      </c>
      <c r="E2206" s="30" t="str">
        <f aca="false">IF('Boletins Nuppa Site'!H2206&lt;&gt;0,'Boletins Nuppa Site'!H2206,"NULL")</f>
        <v> 60.00</v>
      </c>
      <c r="F2206" s="30" t="str">
        <f aca="false">IF('Boletins Nuppa Site'!I2206&lt;&gt;0,'Boletins Nuppa Site'!I2206,"NULL")</f>
        <v> 90.00</v>
      </c>
      <c r="G2206" s="30" t="str">
        <f aca="false">IF('Boletins Nuppa Site'!J2206&lt;&gt;0,'Boletins Nuppa Site'!J2206,"NULL")</f>
        <v> 80.00</v>
      </c>
      <c r="H2206" s="30" t="str">
        <f aca="false">IF('Boletins Nuppa Site'!K2206&lt;&gt;0,'Boletins Nuppa Site'!K2206,"NULL")</f>
        <v> 90.00</v>
      </c>
      <c r="I2206" s="0" t="str">
        <f aca="false">"INSERT INTO COTACAO (cot_id, cot_blt_id, cot_pap_id, cot_prc_comum, cot_prc_min, cot_prc_max, cot_prc_med, cot_prc_mediana) VALUES ("&amp;A2206&amp;", "&amp;B2206&amp;", "&amp;C2206&amp;", "&amp;D2206&amp;", "&amp;E2206&amp;", "&amp;F2206&amp;", "&amp;G2206&amp;", "&amp;H2206&amp;");"</f>
        <v>INSERT INTO COTACAO (cot_id, cot_blt_id, cot_pap_id, cot_prc_comum, cot_prc_min, cot_prc_max, cot_prc_med, cot_prc_mediana) VALUES (2205, 93, 15,  90.00,  60.00,  90.00,  80.00,  90.00);</v>
      </c>
      <c r="J2206" s="0" t="str">
        <f aca="false">"UPDATE COTACAO SET cot_id = "&amp;A2206&amp;", cot_blt_id = "&amp;B2206&amp;", cot_pap_id = "&amp;C2206&amp;", cot_prc_comum = "&amp;D2206&amp;", cot_prc_min = "&amp;E2206&amp;", cot_prc_max = "&amp;F2206&amp;", cot_prc_med = "&amp;G2206&amp;", cot_prc_mediana = "&amp;H2206&amp;" WHERE cot_id = "&amp;A2206&amp;";"</f>
        <v>UPDATE COTACAO SET cot_id = 2205, cot_blt_id = 93, cot_pap_id = 15, cot_prc_comum =  90.00, cot_prc_min =  60.00, cot_prc_max =  90.00, cot_prc_med =  80.00, cot_prc_mediana =  90.00 WHERE cot_id = 2205;</v>
      </c>
    </row>
    <row r="2207" customFormat="false" ht="14.25" hidden="false" customHeight="false" outlineLevel="0" collapsed="false">
      <c r="A2207" s="0" t="n">
        <v>2206</v>
      </c>
      <c r="B2207" s="0" t="n">
        <f aca="false">IF('Boletins Nuppa Site'!A2207&lt;&gt;0,'Boletins Nuppa Site'!A2207,"NULL")</f>
        <v>93</v>
      </c>
      <c r="C2207" s="0" t="n">
        <v>16</v>
      </c>
      <c r="D2207" s="0" t="str">
        <f aca="false">IF('Boletins Nuppa Site'!G2207&lt;&gt;0,'Boletins Nuppa Site'!G2207,"NULL")</f>
        <v> 60.00</v>
      </c>
      <c r="E2207" s="30" t="str">
        <f aca="false">IF('Boletins Nuppa Site'!H2207&lt;&gt;0,'Boletins Nuppa Site'!H2207,"NULL")</f>
        <v> 60.00</v>
      </c>
      <c r="F2207" s="30" t="str">
        <f aca="false">IF('Boletins Nuppa Site'!I2207&lt;&gt;0,'Boletins Nuppa Site'!I2207,"NULL")</f>
        <v> 61.00</v>
      </c>
      <c r="G2207" s="30" t="str">
        <f aca="false">IF('Boletins Nuppa Site'!J2207&lt;&gt;0,'Boletins Nuppa Site'!J2207,"NULL")</f>
        <v> 60.33</v>
      </c>
      <c r="H2207" s="30" t="str">
        <f aca="false">IF('Boletins Nuppa Site'!K2207&lt;&gt;0,'Boletins Nuppa Site'!K2207,"NULL")</f>
        <v> 60.00</v>
      </c>
      <c r="I2207" s="0" t="str">
        <f aca="false">"INSERT INTO COTACAO (cot_id, cot_blt_id, cot_pap_id, cot_prc_comum, cot_prc_min, cot_prc_max, cot_prc_med, cot_prc_mediana) VALUES ("&amp;A2207&amp;", "&amp;B2207&amp;", "&amp;C2207&amp;", "&amp;D2207&amp;", "&amp;E2207&amp;", "&amp;F2207&amp;", "&amp;G2207&amp;", "&amp;H2207&amp;");"</f>
        <v>INSERT INTO COTACAO (cot_id, cot_blt_id, cot_pap_id, cot_prc_comum, cot_prc_min, cot_prc_max, cot_prc_med, cot_prc_mediana) VALUES (2206, 93, 16,  60.00,  60.00,  61.00,  60.33,  60.00);</v>
      </c>
      <c r="J2207" s="0" t="str">
        <f aca="false">"UPDATE COTACAO SET cot_id = "&amp;A2207&amp;", cot_blt_id = "&amp;B2207&amp;", cot_pap_id = "&amp;C2207&amp;", cot_prc_comum = "&amp;D2207&amp;", cot_prc_min = "&amp;E2207&amp;", cot_prc_max = "&amp;F2207&amp;", cot_prc_med = "&amp;G2207&amp;", cot_prc_mediana = "&amp;H2207&amp;" WHERE cot_id = "&amp;A2207&amp;";"</f>
        <v>UPDATE COTACAO SET cot_id = 2206, cot_blt_id = 93, cot_pap_id = 16, cot_prc_comum =  60.00, cot_prc_min =  60.00, cot_prc_max =  61.00, cot_prc_med =  60.33, cot_prc_mediana =  60.00 WHERE cot_id = 2206;</v>
      </c>
    </row>
    <row r="2208" customFormat="false" ht="14.25" hidden="false" customHeight="false" outlineLevel="0" collapsed="false">
      <c r="A2208" s="0" t="n">
        <v>2207</v>
      </c>
      <c r="B2208" s="0" t="n">
        <f aca="false">IF('Boletins Nuppa Site'!A2208&lt;&gt;0,'Boletins Nuppa Site'!A2208,"NULL")</f>
        <v>93</v>
      </c>
      <c r="C2208" s="0" t="n">
        <v>17</v>
      </c>
      <c r="D2208" s="0" t="str">
        <f aca="false">IF('Boletins Nuppa Site'!G2208&lt;&gt;0,'Boletins Nuppa Site'!G2208,"NULL")</f>
        <v> 5.00</v>
      </c>
      <c r="E2208" s="30" t="str">
        <f aca="false">IF('Boletins Nuppa Site'!H2208&lt;&gt;0,'Boletins Nuppa Site'!H2208,"NULL")</f>
        <v> 5.00</v>
      </c>
      <c r="F2208" s="30" t="str">
        <f aca="false">IF('Boletins Nuppa Site'!I2208&lt;&gt;0,'Boletins Nuppa Site'!I2208,"NULL")</f>
        <v> 5.00</v>
      </c>
      <c r="G2208" s="30" t="str">
        <f aca="false">IF('Boletins Nuppa Site'!J2208&lt;&gt;0,'Boletins Nuppa Site'!J2208,"NULL")</f>
        <v> 5.00</v>
      </c>
      <c r="H2208" s="30" t="str">
        <f aca="false">IF('Boletins Nuppa Site'!K2208&lt;&gt;0,'Boletins Nuppa Site'!K2208,"NULL")</f>
        <v> 5.00</v>
      </c>
      <c r="I2208" s="0" t="str">
        <f aca="false">"INSERT INTO COTACAO (cot_id, cot_blt_id, cot_pap_id, cot_prc_comum, cot_prc_min, cot_prc_max, cot_prc_med, cot_prc_mediana) VALUES ("&amp;A2208&amp;", "&amp;B2208&amp;", "&amp;C2208&amp;", "&amp;D2208&amp;", "&amp;E2208&amp;", "&amp;F2208&amp;", "&amp;G2208&amp;", "&amp;H2208&amp;");"</f>
        <v>INSERT INTO COTACAO (cot_id, cot_blt_id, cot_pap_id, cot_prc_comum, cot_prc_min, cot_prc_max, cot_prc_med, cot_prc_mediana) VALUES (2207, 93, 17,  5.00,  5.00,  5.00,  5.00,  5.00);</v>
      </c>
      <c r="J2208" s="0" t="str">
        <f aca="false">"UPDATE COTACAO SET cot_id = "&amp;A2208&amp;", cot_blt_id = "&amp;B2208&amp;", cot_pap_id = "&amp;C2208&amp;", cot_prc_comum = "&amp;D2208&amp;", cot_prc_min = "&amp;E2208&amp;", cot_prc_max = "&amp;F2208&amp;", cot_prc_med = "&amp;G2208&amp;", cot_prc_mediana = "&amp;H2208&amp;" WHERE cot_id = "&amp;A2208&amp;";"</f>
        <v>UPDATE COTACAO SET cot_id = 2207, cot_blt_id = 93, cot_pap_id = 17, cot_prc_comum =  5.00, cot_prc_min =  5.00, cot_prc_max =  5.00, cot_prc_med =  5.00, cot_prc_mediana =  5.00 WHERE cot_id = 2207;</v>
      </c>
    </row>
    <row r="2209" customFormat="false" ht="14.25" hidden="false" customHeight="false" outlineLevel="0" collapsed="false">
      <c r="A2209" s="0" t="n">
        <v>2208</v>
      </c>
      <c r="B2209" s="0" t="n">
        <f aca="false">IF('Boletins Nuppa Site'!A2209&lt;&gt;0,'Boletins Nuppa Site'!A2209,"NULL")</f>
        <v>93</v>
      </c>
      <c r="C2209" s="0" t="n">
        <v>18</v>
      </c>
      <c r="D2209" s="0" t="str">
        <f aca="false">IF('Boletins Nuppa Site'!G2209&lt;&gt;0,'Boletins Nuppa Site'!G2209,"NULL")</f>
        <v> 35.00</v>
      </c>
      <c r="E2209" s="30" t="str">
        <f aca="false">IF('Boletins Nuppa Site'!H2209&lt;&gt;0,'Boletins Nuppa Site'!H2209,"NULL")</f>
        <v> 35.00</v>
      </c>
      <c r="F2209" s="30" t="str">
        <f aca="false">IF('Boletins Nuppa Site'!I2209&lt;&gt;0,'Boletins Nuppa Site'!I2209,"NULL")</f>
        <v> 40.00</v>
      </c>
      <c r="G2209" s="30" t="str">
        <f aca="false">IF('Boletins Nuppa Site'!J2209&lt;&gt;0,'Boletins Nuppa Site'!J2209,"NULL")</f>
        <v> 36.67</v>
      </c>
      <c r="H2209" s="30" t="str">
        <f aca="false">IF('Boletins Nuppa Site'!K2209&lt;&gt;0,'Boletins Nuppa Site'!K2209,"NULL")</f>
        <v> 35.00</v>
      </c>
      <c r="I2209" s="0" t="str">
        <f aca="false">"INSERT INTO COTACAO (cot_id, cot_blt_id, cot_pap_id, cot_prc_comum, cot_prc_min, cot_prc_max, cot_prc_med, cot_prc_mediana) VALUES ("&amp;A2209&amp;", "&amp;B2209&amp;", "&amp;C2209&amp;", "&amp;D2209&amp;", "&amp;E2209&amp;", "&amp;F2209&amp;", "&amp;G2209&amp;", "&amp;H2209&amp;");"</f>
        <v>INSERT INTO COTACAO (cot_id, cot_blt_id, cot_pap_id, cot_prc_comum, cot_prc_min, cot_prc_max, cot_prc_med, cot_prc_mediana) VALUES (2208, 93, 18,  35.00,  35.00,  40.00,  36.67,  35.00);</v>
      </c>
      <c r="J2209" s="0" t="str">
        <f aca="false">"UPDATE COTACAO SET cot_id = "&amp;A2209&amp;", cot_blt_id = "&amp;B2209&amp;", cot_pap_id = "&amp;C2209&amp;", cot_prc_comum = "&amp;D2209&amp;", cot_prc_min = "&amp;E2209&amp;", cot_prc_max = "&amp;F2209&amp;", cot_prc_med = "&amp;G2209&amp;", cot_prc_mediana = "&amp;H2209&amp;" WHERE cot_id = "&amp;A2209&amp;";"</f>
        <v>UPDATE COTACAO SET cot_id = 2208, cot_blt_id = 93, cot_pap_id = 18, cot_prc_comum =  35.00, cot_prc_min =  35.00, cot_prc_max =  40.00, cot_prc_med =  36.67, cot_prc_mediana =  35.00 WHERE cot_id = 2208;</v>
      </c>
    </row>
    <row r="2210" customFormat="false" ht="14.25" hidden="false" customHeight="false" outlineLevel="0" collapsed="false">
      <c r="A2210" s="0" t="n">
        <v>2209</v>
      </c>
      <c r="B2210" s="0" t="n">
        <f aca="false">IF('Boletins Nuppa Site'!A2210&lt;&gt;0,'Boletins Nuppa Site'!A2210,"NULL")</f>
        <v>93</v>
      </c>
      <c r="C2210" s="0" t="n">
        <v>19</v>
      </c>
      <c r="D2210" s="0" t="str">
        <f aca="false">IF('Boletins Nuppa Site'!G2210&lt;&gt;0,'Boletins Nuppa Site'!G2210,"NULL")</f>
        <v> 45.00</v>
      </c>
      <c r="E2210" s="30" t="str">
        <f aca="false">IF('Boletins Nuppa Site'!H2210&lt;&gt;0,'Boletins Nuppa Site'!H2210,"NULL")</f>
        <v> 30.00</v>
      </c>
      <c r="F2210" s="30" t="str">
        <f aca="false">IF('Boletins Nuppa Site'!I2210&lt;&gt;0,'Boletins Nuppa Site'!I2210,"NULL")</f>
        <v> 45.00</v>
      </c>
      <c r="G2210" s="30" t="str">
        <f aca="false">IF('Boletins Nuppa Site'!J2210&lt;&gt;0,'Boletins Nuppa Site'!J2210,"NULL")</f>
        <v> 40.00</v>
      </c>
      <c r="H2210" s="30" t="str">
        <f aca="false">IF('Boletins Nuppa Site'!K2210&lt;&gt;0,'Boletins Nuppa Site'!K2210,"NULL")</f>
        <v> 45.00</v>
      </c>
      <c r="I2210" s="0" t="str">
        <f aca="false">"INSERT INTO COTACAO (cot_id, cot_blt_id, cot_pap_id, cot_prc_comum, cot_prc_min, cot_prc_max, cot_prc_med, cot_prc_mediana) VALUES ("&amp;A2210&amp;", "&amp;B2210&amp;", "&amp;C2210&amp;", "&amp;D2210&amp;", "&amp;E2210&amp;", "&amp;F2210&amp;", "&amp;G2210&amp;", "&amp;H2210&amp;");"</f>
        <v>INSERT INTO COTACAO (cot_id, cot_blt_id, cot_pap_id, cot_prc_comum, cot_prc_min, cot_prc_max, cot_prc_med, cot_prc_mediana) VALUES (2209, 93, 19,  45.00,  30.00,  45.00,  40.00,  45.00);</v>
      </c>
      <c r="J2210" s="0" t="str">
        <f aca="false">"UPDATE COTACAO SET cot_id = "&amp;A2210&amp;", cot_blt_id = "&amp;B2210&amp;", cot_pap_id = "&amp;C2210&amp;", cot_prc_comum = "&amp;D2210&amp;", cot_prc_min = "&amp;E2210&amp;", cot_prc_max = "&amp;F2210&amp;", cot_prc_med = "&amp;G2210&amp;", cot_prc_mediana = "&amp;H2210&amp;" WHERE cot_id = "&amp;A2210&amp;";"</f>
        <v>UPDATE COTACAO SET cot_id = 2209, cot_blt_id = 93, cot_pap_id = 19, cot_prc_comum =  45.00, cot_prc_min =  30.00, cot_prc_max =  45.00, cot_prc_med =  40.00, cot_prc_mediana =  45.00 WHERE cot_id = 2209;</v>
      </c>
    </row>
    <row r="2211" customFormat="false" ht="14.25" hidden="false" customHeight="false" outlineLevel="0" collapsed="false">
      <c r="A2211" s="0" t="n">
        <v>2210</v>
      </c>
      <c r="B2211" s="0" t="n">
        <f aca="false">IF('Boletins Nuppa Site'!A2211&lt;&gt;0,'Boletins Nuppa Site'!A2211,"NULL")</f>
        <v>93</v>
      </c>
      <c r="C2211" s="0" t="n">
        <v>20</v>
      </c>
      <c r="D2211" s="0" t="str">
        <f aca="false">IF('Boletins Nuppa Site'!G2211&lt;&gt;0,'Boletins Nuppa Site'!G2211,"NULL")</f>
        <v>NULL</v>
      </c>
      <c r="E2211" s="30" t="str">
        <f aca="false">IF('Boletins Nuppa Site'!H2211&lt;&gt;0,'Boletins Nuppa Site'!H2211,"NULL")</f>
        <v> 55.00</v>
      </c>
      <c r="F2211" s="30" t="str">
        <f aca="false">IF('Boletins Nuppa Site'!I2211&lt;&gt;0,'Boletins Nuppa Site'!I2211,"NULL")</f>
        <v> 65.00</v>
      </c>
      <c r="G2211" s="30" t="str">
        <f aca="false">IF('Boletins Nuppa Site'!J2211&lt;&gt;0,'Boletins Nuppa Site'!J2211,"NULL")</f>
        <v> 60.00</v>
      </c>
      <c r="H2211" s="30" t="str">
        <f aca="false">IF('Boletins Nuppa Site'!K2211&lt;&gt;0,'Boletins Nuppa Site'!K2211,"NULL")</f>
        <v> 60.00</v>
      </c>
      <c r="I2211" s="0" t="str">
        <f aca="false">"INSERT INTO COTACAO (cot_id, cot_blt_id, cot_pap_id, cot_prc_comum, cot_prc_min, cot_prc_max, cot_prc_med, cot_prc_mediana) VALUES ("&amp;A2211&amp;", "&amp;B2211&amp;", "&amp;C2211&amp;", "&amp;D2211&amp;", "&amp;E2211&amp;", "&amp;F2211&amp;", "&amp;G2211&amp;", "&amp;H2211&amp;");"</f>
        <v>INSERT INTO COTACAO (cot_id, cot_blt_id, cot_pap_id, cot_prc_comum, cot_prc_min, cot_prc_max, cot_prc_med, cot_prc_mediana) VALUES (2210, 93, 20, NULL,  55.00,  65.00,  60.00,  60.00);</v>
      </c>
      <c r="J2211" s="0" t="str">
        <f aca="false">"UPDATE COTACAO SET cot_id = "&amp;A2211&amp;", cot_blt_id = "&amp;B2211&amp;", cot_pap_id = "&amp;C2211&amp;", cot_prc_comum = "&amp;D2211&amp;", cot_prc_min = "&amp;E2211&amp;", cot_prc_max = "&amp;F2211&amp;", cot_prc_med = "&amp;G2211&amp;", cot_prc_mediana = "&amp;H2211&amp;" WHERE cot_id = "&amp;A2211&amp;";"</f>
        <v>UPDATE COTACAO SET cot_id = 2210, cot_blt_id = 93, cot_pap_id = 20, cot_prc_comum = NULL, cot_prc_min =  55.00, cot_prc_max =  65.00, cot_prc_med =  60.00, cot_prc_mediana =  60.00 WHERE cot_id = 2210;</v>
      </c>
    </row>
    <row r="2212" customFormat="false" ht="14.25" hidden="false" customHeight="false" outlineLevel="0" collapsed="false">
      <c r="A2212" s="0" t="n">
        <v>2211</v>
      </c>
      <c r="B2212" s="0" t="n">
        <f aca="false">IF('Boletins Nuppa Site'!A2212&lt;&gt;0,'Boletins Nuppa Site'!A2212,"NULL")</f>
        <v>93</v>
      </c>
      <c r="C2212" s="0" t="n">
        <v>21</v>
      </c>
      <c r="D2212" s="0" t="str">
        <f aca="false">IF('Boletins Nuppa Site'!G2212&lt;&gt;0,'Boletins Nuppa Site'!G2212,"NULL")</f>
        <v> 70.00</v>
      </c>
      <c r="E2212" s="30" t="str">
        <f aca="false">IF('Boletins Nuppa Site'!H2212&lt;&gt;0,'Boletins Nuppa Site'!H2212,"NULL")</f>
        <v> 40.00</v>
      </c>
      <c r="F2212" s="30" t="str">
        <f aca="false">IF('Boletins Nuppa Site'!I2212&lt;&gt;0,'Boletins Nuppa Site'!I2212,"NULL")</f>
        <v> 70.00</v>
      </c>
      <c r="G2212" s="30" t="str">
        <f aca="false">IF('Boletins Nuppa Site'!J2212&lt;&gt;0,'Boletins Nuppa Site'!J2212,"NULL")</f>
        <v> 61.00</v>
      </c>
      <c r="H2212" s="30" t="str">
        <f aca="false">IF('Boletins Nuppa Site'!K2212&lt;&gt;0,'Boletins Nuppa Site'!K2212,"NULL")</f>
        <v> 70.00</v>
      </c>
      <c r="I2212" s="0" t="str">
        <f aca="false">"INSERT INTO COTACAO (cot_id, cot_blt_id, cot_pap_id, cot_prc_comum, cot_prc_min, cot_prc_max, cot_prc_med, cot_prc_mediana) VALUES ("&amp;A2212&amp;", "&amp;B2212&amp;", "&amp;C2212&amp;", "&amp;D2212&amp;", "&amp;E2212&amp;", "&amp;F2212&amp;", "&amp;G2212&amp;", "&amp;H2212&amp;");"</f>
        <v>INSERT INTO COTACAO (cot_id, cot_blt_id, cot_pap_id, cot_prc_comum, cot_prc_min, cot_prc_max, cot_prc_med, cot_prc_mediana) VALUES (2211, 93, 21,  70.00,  40.00,  70.00,  61.00,  70.00);</v>
      </c>
      <c r="J2212" s="0" t="str">
        <f aca="false">"UPDATE COTACAO SET cot_id = "&amp;A2212&amp;", cot_blt_id = "&amp;B2212&amp;", cot_pap_id = "&amp;C2212&amp;", cot_prc_comum = "&amp;D2212&amp;", cot_prc_min = "&amp;E2212&amp;", cot_prc_max = "&amp;F2212&amp;", cot_prc_med = "&amp;G2212&amp;", cot_prc_mediana = "&amp;H2212&amp;" WHERE cot_id = "&amp;A2212&amp;";"</f>
        <v>UPDATE COTACAO SET cot_id = 2211, cot_blt_id = 93, cot_pap_id = 21, cot_prc_comum =  70.00, cot_prc_min =  40.00, cot_prc_max =  70.00, cot_prc_med =  61.00, cot_prc_mediana =  70.00 WHERE cot_id = 2211;</v>
      </c>
    </row>
    <row r="2213" customFormat="false" ht="14.25" hidden="false" customHeight="false" outlineLevel="0" collapsed="false">
      <c r="A2213" s="0" t="n">
        <v>2212</v>
      </c>
      <c r="B2213" s="0" t="n">
        <f aca="false">IF('Boletins Nuppa Site'!A2213&lt;&gt;0,'Boletins Nuppa Site'!A2213,"NULL")</f>
        <v>93</v>
      </c>
      <c r="C2213" s="0" t="n">
        <v>22</v>
      </c>
      <c r="D2213" s="0" t="str">
        <f aca="false">IF('Boletins Nuppa Site'!G2213&lt;&gt;0,'Boletins Nuppa Site'!G2213,"NULL")</f>
        <v> 60.00</v>
      </c>
      <c r="E2213" s="30" t="str">
        <f aca="false">IF('Boletins Nuppa Site'!H2213&lt;&gt;0,'Boletins Nuppa Site'!H2213,"NULL")</f>
        <v> 45.00</v>
      </c>
      <c r="F2213" s="30" t="str">
        <f aca="false">IF('Boletins Nuppa Site'!I2213&lt;&gt;0,'Boletins Nuppa Site'!I2213,"NULL")</f>
        <v> 70.00</v>
      </c>
      <c r="G2213" s="30" t="str">
        <f aca="false">IF('Boletins Nuppa Site'!J2213&lt;&gt;0,'Boletins Nuppa Site'!J2213,"NULL")</f>
        <v> 59.00</v>
      </c>
      <c r="H2213" s="30" t="str">
        <f aca="false">IF('Boletins Nuppa Site'!K2213&lt;&gt;0,'Boletins Nuppa Site'!K2213,"NULL")</f>
        <v> 60.00</v>
      </c>
      <c r="I2213" s="0" t="str">
        <f aca="false">"INSERT INTO COTACAO (cot_id, cot_blt_id, cot_pap_id, cot_prc_comum, cot_prc_min, cot_prc_max, cot_prc_med, cot_prc_mediana) VALUES ("&amp;A2213&amp;", "&amp;B2213&amp;", "&amp;C2213&amp;", "&amp;D2213&amp;", "&amp;E2213&amp;", "&amp;F2213&amp;", "&amp;G2213&amp;", "&amp;H2213&amp;");"</f>
        <v>INSERT INTO COTACAO (cot_id, cot_blt_id, cot_pap_id, cot_prc_comum, cot_prc_min, cot_prc_max, cot_prc_med, cot_prc_mediana) VALUES (2212, 93, 22,  60.00,  45.00,  70.00,  59.00,  60.00);</v>
      </c>
      <c r="J2213" s="0" t="str">
        <f aca="false">"UPDATE COTACAO SET cot_id = "&amp;A2213&amp;", cot_blt_id = "&amp;B2213&amp;", cot_pap_id = "&amp;C2213&amp;", cot_prc_comum = "&amp;D2213&amp;", cot_prc_min = "&amp;E2213&amp;", cot_prc_max = "&amp;F2213&amp;", cot_prc_med = "&amp;G2213&amp;", cot_prc_mediana = "&amp;H2213&amp;" WHERE cot_id = "&amp;A2213&amp;";"</f>
        <v>UPDATE COTACAO SET cot_id = 2212, cot_blt_id = 93, cot_pap_id = 22, cot_prc_comum =  60.00, cot_prc_min =  45.00, cot_prc_max =  70.00, cot_prc_med =  59.00, cot_prc_mediana =  60.00 WHERE cot_id = 2212;</v>
      </c>
    </row>
    <row r="2214" customFormat="false" ht="14.25" hidden="false" customHeight="false" outlineLevel="0" collapsed="false">
      <c r="A2214" s="0" t="n">
        <v>2213</v>
      </c>
      <c r="B2214" s="0" t="n">
        <f aca="false">IF('Boletins Nuppa Site'!A2214&lt;&gt;0,'Boletins Nuppa Site'!A2214,"NULL")</f>
        <v>93</v>
      </c>
      <c r="C2214" s="0" t="n">
        <v>23</v>
      </c>
      <c r="D2214" s="0" t="str">
        <f aca="false">IF('Boletins Nuppa Site'!G2214&lt;&gt;0,'Boletins Nuppa Site'!G2214,"NULL")</f>
        <v>NULL</v>
      </c>
      <c r="E2214" s="30" t="str">
        <f aca="false">IF('Boletins Nuppa Site'!H2214&lt;&gt;0,'Boletins Nuppa Site'!H2214,"NULL")</f>
        <v> 45.00</v>
      </c>
      <c r="F2214" s="30" t="str">
        <f aca="false">IF('Boletins Nuppa Site'!I2214&lt;&gt;0,'Boletins Nuppa Site'!I2214,"NULL")</f>
        <v> 70.00</v>
      </c>
      <c r="G2214" s="30" t="str">
        <f aca="false">IF('Boletins Nuppa Site'!J2214&lt;&gt;0,'Boletins Nuppa Site'!J2214,"NULL")</f>
        <v> 56.00</v>
      </c>
      <c r="H2214" s="30" t="str">
        <f aca="false">IF('Boletins Nuppa Site'!K2214&lt;&gt;0,'Boletins Nuppa Site'!K2214,"NULL")</f>
        <v> 55.00</v>
      </c>
      <c r="I2214" s="0" t="str">
        <f aca="false">"INSERT INTO COTACAO (cot_id, cot_blt_id, cot_pap_id, cot_prc_comum, cot_prc_min, cot_prc_max, cot_prc_med, cot_prc_mediana) VALUES ("&amp;A2214&amp;", "&amp;B2214&amp;", "&amp;C2214&amp;", "&amp;D2214&amp;", "&amp;E2214&amp;", "&amp;F2214&amp;", "&amp;G2214&amp;", "&amp;H2214&amp;");"</f>
        <v>INSERT INTO COTACAO (cot_id, cot_blt_id, cot_pap_id, cot_prc_comum, cot_prc_min, cot_prc_max, cot_prc_med, cot_prc_mediana) VALUES (2213, 93, 23, NULL,  45.00,  70.00,  56.00,  55.00);</v>
      </c>
      <c r="J2214" s="0" t="str">
        <f aca="false">"UPDATE COTACAO SET cot_id = "&amp;A2214&amp;", cot_blt_id = "&amp;B2214&amp;", cot_pap_id = "&amp;C2214&amp;", cot_prc_comum = "&amp;D2214&amp;", cot_prc_min = "&amp;E2214&amp;", cot_prc_max = "&amp;F2214&amp;", cot_prc_med = "&amp;G2214&amp;", cot_prc_mediana = "&amp;H2214&amp;" WHERE cot_id = "&amp;A2214&amp;";"</f>
        <v>UPDATE COTACAO SET cot_id = 2213, cot_blt_id = 93, cot_pap_id = 23, cot_prc_comum = NULL, cot_prc_min =  45.00, cot_prc_max =  70.00, cot_prc_med =  56.00, cot_prc_mediana =  55.00 WHERE cot_id = 2213;</v>
      </c>
    </row>
    <row r="2215" customFormat="false" ht="14.25" hidden="false" customHeight="false" outlineLevel="0" collapsed="false">
      <c r="A2215" s="0" t="n">
        <v>2214</v>
      </c>
      <c r="B2215" s="0" t="n">
        <f aca="false">IF('Boletins Nuppa Site'!A2215&lt;&gt;0,'Boletins Nuppa Site'!A2215,"NULL")</f>
        <v>93</v>
      </c>
      <c r="C2215" s="0" t="n">
        <v>24</v>
      </c>
      <c r="D2215" s="0" t="str">
        <f aca="false">IF('Boletins Nuppa Site'!G2215&lt;&gt;0,'Boletins Nuppa Site'!G2215,"NULL")</f>
        <v>NULL</v>
      </c>
      <c r="E2215" s="30" t="str">
        <f aca="false">IF('Boletins Nuppa Site'!H2215&lt;&gt;0,'Boletins Nuppa Site'!H2215,"NULL")</f>
        <v> 80.00</v>
      </c>
      <c r="F2215" s="30" t="str">
        <f aca="false">IF('Boletins Nuppa Site'!I2215&lt;&gt;0,'Boletins Nuppa Site'!I2215,"NULL")</f>
        <v> 90.00</v>
      </c>
      <c r="G2215" s="30" t="str">
        <f aca="false">IF('Boletins Nuppa Site'!J2215&lt;&gt;0,'Boletins Nuppa Site'!J2215,"NULL")</f>
        <v> 85.00</v>
      </c>
      <c r="H2215" s="30" t="str">
        <f aca="false">IF('Boletins Nuppa Site'!K2215&lt;&gt;0,'Boletins Nuppa Site'!K2215,"NULL")</f>
        <v> 85.00</v>
      </c>
      <c r="I2215" s="0" t="str">
        <f aca="false">"INSERT INTO COTACAO (cot_id, cot_blt_id, cot_pap_id, cot_prc_comum, cot_prc_min, cot_prc_max, cot_prc_med, cot_prc_mediana) VALUES ("&amp;A2215&amp;", "&amp;B2215&amp;", "&amp;C2215&amp;", "&amp;D2215&amp;", "&amp;E2215&amp;", "&amp;F2215&amp;", "&amp;G2215&amp;", "&amp;H2215&amp;");"</f>
        <v>INSERT INTO COTACAO (cot_id, cot_blt_id, cot_pap_id, cot_prc_comum, cot_prc_min, cot_prc_max, cot_prc_med, cot_prc_mediana) VALUES (2214, 93, 24, NULL,  80.00,  90.00,  85.00,  85.00);</v>
      </c>
      <c r="J2215" s="0" t="str">
        <f aca="false">"UPDATE COTACAO SET cot_id = "&amp;A2215&amp;", cot_blt_id = "&amp;B2215&amp;", cot_pap_id = "&amp;C2215&amp;", cot_prc_comum = "&amp;D2215&amp;", cot_prc_min = "&amp;E2215&amp;", cot_prc_max = "&amp;F2215&amp;", cot_prc_med = "&amp;G2215&amp;", cot_prc_mediana = "&amp;H2215&amp;" WHERE cot_id = "&amp;A2215&amp;";"</f>
        <v>UPDATE COTACAO SET cot_id = 2214, cot_blt_id = 93, cot_pap_id = 24, cot_prc_comum = NULL, cot_prc_min =  80.00, cot_prc_max =  90.00, cot_prc_med =  85.00, cot_prc_mediana =  85.00 WHERE cot_id = 2214;</v>
      </c>
    </row>
    <row r="2216" customFormat="false" ht="14.25" hidden="false" customHeight="false" outlineLevel="0" collapsed="false">
      <c r="A2216" s="0" t="n">
        <v>2215</v>
      </c>
      <c r="B2216" s="0" t="n">
        <f aca="false">IF('Boletins Nuppa Site'!A2216&lt;&gt;0,'Boletins Nuppa Site'!A2216,"NULL")</f>
        <v>93</v>
      </c>
      <c r="C2216" s="0" t="n">
        <v>25</v>
      </c>
      <c r="D2216" s="0" t="str">
        <f aca="false">IF('Boletins Nuppa Site'!G2216&lt;&gt;0,'Boletins Nuppa Site'!G2216,"NULL")</f>
        <v> 60.00</v>
      </c>
      <c r="E2216" s="30" t="str">
        <f aca="false">IF('Boletins Nuppa Site'!H2216&lt;&gt;0,'Boletins Nuppa Site'!H2216,"NULL")</f>
        <v> 55.00</v>
      </c>
      <c r="F2216" s="30" t="str">
        <f aca="false">IF('Boletins Nuppa Site'!I2216&lt;&gt;0,'Boletins Nuppa Site'!I2216,"NULL")</f>
        <v> 65.00</v>
      </c>
      <c r="G2216" s="30" t="str">
        <f aca="false">IF('Boletins Nuppa Site'!J2216&lt;&gt;0,'Boletins Nuppa Site'!J2216,"NULL")</f>
        <v> 60.00</v>
      </c>
      <c r="H2216" s="30" t="str">
        <f aca="false">IF('Boletins Nuppa Site'!K2216&lt;&gt;0,'Boletins Nuppa Site'!K2216,"NULL")</f>
        <v> 60.00</v>
      </c>
      <c r="I2216" s="0" t="str">
        <f aca="false">"INSERT INTO COTACAO (cot_id, cot_blt_id, cot_pap_id, cot_prc_comum, cot_prc_min, cot_prc_max, cot_prc_med, cot_prc_mediana) VALUES ("&amp;A2216&amp;", "&amp;B2216&amp;", "&amp;C2216&amp;", "&amp;D2216&amp;", "&amp;E2216&amp;", "&amp;F2216&amp;", "&amp;G2216&amp;", "&amp;H2216&amp;");"</f>
        <v>INSERT INTO COTACAO (cot_id, cot_blt_id, cot_pap_id, cot_prc_comum, cot_prc_min, cot_prc_max, cot_prc_med, cot_prc_mediana) VALUES (2215, 93, 25,  60.00,  55.00,  65.00,  60.00,  60.00);</v>
      </c>
      <c r="J2216" s="0" t="str">
        <f aca="false">"UPDATE COTACAO SET cot_id = "&amp;A2216&amp;", cot_blt_id = "&amp;B2216&amp;", cot_pap_id = "&amp;C2216&amp;", cot_prc_comum = "&amp;D2216&amp;", cot_prc_min = "&amp;E2216&amp;", cot_prc_max = "&amp;F2216&amp;", cot_prc_med = "&amp;G2216&amp;", cot_prc_mediana = "&amp;H2216&amp;" WHERE cot_id = "&amp;A2216&amp;";"</f>
        <v>UPDATE COTACAO SET cot_id = 2215, cot_blt_id = 93, cot_pap_id = 25, cot_prc_comum =  60.00, cot_prc_min =  55.00, cot_prc_max =  65.00, cot_prc_med =  60.00, cot_prc_mediana =  60.00 WHERE cot_id = 2215;</v>
      </c>
    </row>
    <row r="2217" customFormat="false" ht="14.25" hidden="false" customHeight="false" outlineLevel="0" collapsed="false">
      <c r="A2217" s="0" t="n">
        <v>2216</v>
      </c>
      <c r="B2217" s="0" t="n">
        <f aca="false">IF('Boletins Nuppa Site'!A2217&lt;&gt;0,'Boletins Nuppa Site'!A2217,"NULL")</f>
        <v>93</v>
      </c>
      <c r="C2217" s="0" t="n">
        <v>26</v>
      </c>
      <c r="D2217" s="0" t="str">
        <f aca="false">IF('Boletins Nuppa Site'!G2217&lt;&gt;0,'Boletins Nuppa Site'!G2217,"NULL")</f>
        <v>NULL</v>
      </c>
      <c r="E2217" s="30" t="str">
        <f aca="false">IF('Boletins Nuppa Site'!H2217&lt;&gt;0,'Boletins Nuppa Site'!H2217,"NULL")</f>
        <v> 60.00</v>
      </c>
      <c r="F2217" s="30" t="str">
        <f aca="false">IF('Boletins Nuppa Site'!I2217&lt;&gt;0,'Boletins Nuppa Site'!I2217,"NULL")</f>
        <v> 110.00</v>
      </c>
      <c r="G2217" s="30" t="str">
        <f aca="false">IF('Boletins Nuppa Site'!J2217&lt;&gt;0,'Boletins Nuppa Site'!J2217,"NULL")</f>
        <v> 85.00</v>
      </c>
      <c r="H2217" s="30" t="str">
        <f aca="false">IF('Boletins Nuppa Site'!K2217&lt;&gt;0,'Boletins Nuppa Site'!K2217,"NULL")</f>
        <v> 90.00</v>
      </c>
      <c r="I2217" s="0" t="str">
        <f aca="false">"INSERT INTO COTACAO (cot_id, cot_blt_id, cot_pap_id, cot_prc_comum, cot_prc_min, cot_prc_max, cot_prc_med, cot_prc_mediana) VALUES ("&amp;A2217&amp;", "&amp;B2217&amp;", "&amp;C2217&amp;", "&amp;D2217&amp;", "&amp;E2217&amp;", "&amp;F2217&amp;", "&amp;G2217&amp;", "&amp;H2217&amp;");"</f>
        <v>INSERT INTO COTACAO (cot_id, cot_blt_id, cot_pap_id, cot_prc_comum, cot_prc_min, cot_prc_max, cot_prc_med, cot_prc_mediana) VALUES (2216, 93, 26, NULL,  60.00,  110.00,  85.00,  90.00);</v>
      </c>
      <c r="J2217" s="0" t="str">
        <f aca="false">"UPDATE COTACAO SET cot_id = "&amp;A2217&amp;", cot_blt_id = "&amp;B2217&amp;", cot_pap_id = "&amp;C2217&amp;", cot_prc_comum = "&amp;D2217&amp;", cot_prc_min = "&amp;E2217&amp;", cot_prc_max = "&amp;F2217&amp;", cot_prc_med = "&amp;G2217&amp;", cot_prc_mediana = "&amp;H2217&amp;" WHERE cot_id = "&amp;A2217&amp;";"</f>
        <v>UPDATE COTACAO SET cot_id = 2216, cot_blt_id = 93, cot_pap_id = 26, cot_prc_comum = NULL, cot_prc_min =  60.00, cot_prc_max =  110.00, cot_prc_med =  85.00, cot_prc_mediana =  90.00 WHERE cot_id = 2216;</v>
      </c>
    </row>
    <row r="2218" customFormat="false" ht="14.25" hidden="false" customHeight="false" outlineLevel="0" collapsed="false">
      <c r="A2218" s="0" t="n">
        <v>2217</v>
      </c>
      <c r="B2218" s="0" t="n">
        <f aca="false">IF('Boletins Nuppa Site'!A2218&lt;&gt;0,'Boletins Nuppa Site'!A2218,"NULL")</f>
        <v>93</v>
      </c>
      <c r="C2218" s="0" t="n">
        <v>27</v>
      </c>
      <c r="D2218" s="0" t="str">
        <f aca="false">IF('Boletins Nuppa Site'!G2218&lt;&gt;0,'Boletins Nuppa Site'!G2218,"NULL")</f>
        <v>NULL</v>
      </c>
      <c r="E2218" s="30" t="str">
        <f aca="false">IF('Boletins Nuppa Site'!H2218&lt;&gt;0,'Boletins Nuppa Site'!H2218,"NULL")</f>
        <v> 50.00</v>
      </c>
      <c r="F2218" s="30" t="str">
        <f aca="false">IF('Boletins Nuppa Site'!I2218&lt;&gt;0,'Boletins Nuppa Site'!I2218,"NULL")</f>
        <v> 80.00</v>
      </c>
      <c r="G2218" s="30" t="str">
        <f aca="false">IF('Boletins Nuppa Site'!J2218&lt;&gt;0,'Boletins Nuppa Site'!J2218,"NULL")</f>
        <v> 63.75</v>
      </c>
      <c r="H2218" s="30" t="str">
        <f aca="false">IF('Boletins Nuppa Site'!K2218&lt;&gt;0,'Boletins Nuppa Site'!K2218,"NULL")</f>
        <v> 62.50</v>
      </c>
      <c r="I2218" s="0" t="str">
        <f aca="false">"INSERT INTO COTACAO (cot_id, cot_blt_id, cot_pap_id, cot_prc_comum, cot_prc_min, cot_prc_max, cot_prc_med, cot_prc_mediana) VALUES ("&amp;A2218&amp;", "&amp;B2218&amp;", "&amp;C2218&amp;", "&amp;D2218&amp;", "&amp;E2218&amp;", "&amp;F2218&amp;", "&amp;G2218&amp;", "&amp;H2218&amp;");"</f>
        <v>INSERT INTO COTACAO (cot_id, cot_blt_id, cot_pap_id, cot_prc_comum, cot_prc_min, cot_prc_max, cot_prc_med, cot_prc_mediana) VALUES (2217, 93, 27, NULL,  50.00,  80.00,  63.75,  62.50);</v>
      </c>
      <c r="J2218" s="0" t="str">
        <f aca="false">"UPDATE COTACAO SET cot_id = "&amp;A2218&amp;", cot_blt_id = "&amp;B2218&amp;", cot_pap_id = "&amp;C2218&amp;", cot_prc_comum = "&amp;D2218&amp;", cot_prc_min = "&amp;E2218&amp;", cot_prc_max = "&amp;F2218&amp;", cot_prc_med = "&amp;G2218&amp;", cot_prc_mediana = "&amp;H2218&amp;" WHERE cot_id = "&amp;A2218&amp;";"</f>
        <v>UPDATE COTACAO SET cot_id = 2217, cot_blt_id = 93, cot_pap_id = 27, cot_prc_comum = NULL, cot_prc_min =  50.00, cot_prc_max =  80.00, cot_prc_med =  63.75, cot_prc_mediana =  62.50 WHERE cot_id = 2217;</v>
      </c>
    </row>
    <row r="2219" customFormat="false" ht="14.25" hidden="false" customHeight="false" outlineLevel="0" collapsed="false">
      <c r="A2219" s="0" t="n">
        <v>2218</v>
      </c>
      <c r="B2219" s="0" t="n">
        <f aca="false">IF('Boletins Nuppa Site'!A2219&lt;&gt;0,'Boletins Nuppa Site'!A2219,"NULL")</f>
        <v>93</v>
      </c>
      <c r="C2219" s="0" t="n">
        <v>28</v>
      </c>
      <c r="D2219" s="0" t="str">
        <f aca="false">IF('Boletins Nuppa Site'!G2219&lt;&gt;0,'Boletins Nuppa Site'!G2219,"NULL")</f>
        <v> 90.00</v>
      </c>
      <c r="E2219" s="30" t="str">
        <f aca="false">IF('Boletins Nuppa Site'!H2219&lt;&gt;0,'Boletins Nuppa Site'!H2219,"NULL")</f>
        <v> 70.00</v>
      </c>
      <c r="F2219" s="30" t="str">
        <f aca="false">IF('Boletins Nuppa Site'!I2219&lt;&gt;0,'Boletins Nuppa Site'!I2219,"NULL")</f>
        <v> 90.00</v>
      </c>
      <c r="G2219" s="30" t="str">
        <f aca="false">IF('Boletins Nuppa Site'!J2219&lt;&gt;0,'Boletins Nuppa Site'!J2219,"NULL")</f>
        <v> 82.50</v>
      </c>
      <c r="H2219" s="30" t="str">
        <f aca="false">IF('Boletins Nuppa Site'!K2219&lt;&gt;0,'Boletins Nuppa Site'!K2219,"NULL")</f>
        <v> 85.00</v>
      </c>
      <c r="I2219" s="0" t="str">
        <f aca="false">"INSERT INTO COTACAO (cot_id, cot_blt_id, cot_pap_id, cot_prc_comum, cot_prc_min, cot_prc_max, cot_prc_med, cot_prc_mediana) VALUES ("&amp;A2219&amp;", "&amp;B2219&amp;", "&amp;C2219&amp;", "&amp;D2219&amp;", "&amp;E2219&amp;", "&amp;F2219&amp;", "&amp;G2219&amp;", "&amp;H2219&amp;");"</f>
        <v>INSERT INTO COTACAO (cot_id, cot_blt_id, cot_pap_id, cot_prc_comum, cot_prc_min, cot_prc_max, cot_prc_med, cot_prc_mediana) VALUES (2218, 93, 28,  90.00,  70.00,  90.00,  82.50,  85.00);</v>
      </c>
      <c r="J2219" s="0" t="str">
        <f aca="false">"UPDATE COTACAO SET cot_id = "&amp;A2219&amp;", cot_blt_id = "&amp;B2219&amp;", cot_pap_id = "&amp;C2219&amp;", cot_prc_comum = "&amp;D2219&amp;", cot_prc_min = "&amp;E2219&amp;", cot_prc_max = "&amp;F2219&amp;", cot_prc_med = "&amp;G2219&amp;", cot_prc_mediana = "&amp;H2219&amp;" WHERE cot_id = "&amp;A2219&amp;";"</f>
        <v>UPDATE COTACAO SET cot_id = 2218, cot_blt_id = 93, cot_pap_id = 28, cot_prc_comum =  90.00, cot_prc_min =  70.00, cot_prc_max =  90.00, cot_prc_med =  82.50, cot_prc_mediana =  85.00 WHERE cot_id = 2218;</v>
      </c>
    </row>
    <row r="2220" customFormat="false" ht="14.25" hidden="false" customHeight="false" outlineLevel="0" collapsed="false">
      <c r="A2220" s="0" t="n">
        <v>2219</v>
      </c>
      <c r="B2220" s="0" t="n">
        <f aca="false">IF('Boletins Nuppa Site'!A2220&lt;&gt;0,'Boletins Nuppa Site'!A2220,"NULL")</f>
        <v>93</v>
      </c>
      <c r="C2220" s="0" t="n">
        <v>29</v>
      </c>
      <c r="D2220" s="0" t="str">
        <f aca="false">IF('Boletins Nuppa Site'!G2220&lt;&gt;0,'Boletins Nuppa Site'!G2220,"NULL")</f>
        <v>NULL</v>
      </c>
      <c r="E2220" s="30" t="str">
        <f aca="false">IF('Boletins Nuppa Site'!H2220&lt;&gt;0,'Boletins Nuppa Site'!H2220,"NULL")</f>
        <v> 70.00</v>
      </c>
      <c r="F2220" s="30" t="str">
        <f aca="false">IF('Boletins Nuppa Site'!I2220&lt;&gt;0,'Boletins Nuppa Site'!I2220,"NULL")</f>
        <v> 75.00</v>
      </c>
      <c r="G2220" s="30" t="str">
        <f aca="false">IF('Boletins Nuppa Site'!J2220&lt;&gt;0,'Boletins Nuppa Site'!J2220,"NULL")</f>
        <v> 72.50</v>
      </c>
      <c r="H2220" s="30" t="str">
        <f aca="false">IF('Boletins Nuppa Site'!K2220&lt;&gt;0,'Boletins Nuppa Site'!K2220,"NULL")</f>
        <v> 72.50</v>
      </c>
      <c r="I2220" s="0" t="str">
        <f aca="false">"INSERT INTO COTACAO (cot_id, cot_blt_id, cot_pap_id, cot_prc_comum, cot_prc_min, cot_prc_max, cot_prc_med, cot_prc_mediana) VALUES ("&amp;A2220&amp;", "&amp;B2220&amp;", "&amp;C2220&amp;", "&amp;D2220&amp;", "&amp;E2220&amp;", "&amp;F2220&amp;", "&amp;G2220&amp;", "&amp;H2220&amp;");"</f>
        <v>INSERT INTO COTACAO (cot_id, cot_blt_id, cot_pap_id, cot_prc_comum, cot_prc_min, cot_prc_max, cot_prc_med, cot_prc_mediana) VALUES (2219, 93, 29, NULL,  70.00,  75.00,  72.50,  72.50);</v>
      </c>
      <c r="J2220" s="0" t="str">
        <f aca="false">"UPDATE COTACAO SET cot_id = "&amp;A2220&amp;", cot_blt_id = "&amp;B2220&amp;", cot_pap_id = "&amp;C2220&amp;", cot_prc_comum = "&amp;D2220&amp;", cot_prc_min = "&amp;E2220&amp;", cot_prc_max = "&amp;F2220&amp;", cot_prc_med = "&amp;G2220&amp;", cot_prc_mediana = "&amp;H2220&amp;" WHERE cot_id = "&amp;A2220&amp;";"</f>
        <v>UPDATE COTACAO SET cot_id = 2219, cot_blt_id = 93, cot_pap_id = 29, cot_prc_comum = NULL, cot_prc_min =  70.00, cot_prc_max =  75.00, cot_prc_med =  72.50, cot_prc_mediana =  72.50 WHERE cot_id = 2219;</v>
      </c>
    </row>
    <row r="2221" customFormat="false" ht="14.25" hidden="false" customHeight="false" outlineLevel="0" collapsed="false">
      <c r="A2221" s="0" t="n">
        <v>2220</v>
      </c>
      <c r="B2221" s="0" t="n">
        <f aca="false">IF('Boletins Nuppa Site'!A2221&lt;&gt;0,'Boletins Nuppa Site'!A2221,"NULL")</f>
        <v>93</v>
      </c>
      <c r="C2221" s="0" t="n">
        <v>30</v>
      </c>
      <c r="D2221" s="0" t="str">
        <f aca="false">IF('Boletins Nuppa Site'!G2221&lt;&gt;0,'Boletins Nuppa Site'!G2221,"NULL")</f>
        <v>NULL</v>
      </c>
      <c r="E2221" s="30" t="str">
        <f aca="false">IF('Boletins Nuppa Site'!H2221&lt;&gt;0,'Boletins Nuppa Site'!H2221,"NULL")</f>
        <v> 70.00</v>
      </c>
      <c r="F2221" s="30" t="str">
        <f aca="false">IF('Boletins Nuppa Site'!I2221&lt;&gt;0,'Boletins Nuppa Site'!I2221,"NULL")</f>
        <v> 80.00</v>
      </c>
      <c r="G2221" s="30" t="str">
        <f aca="false">IF('Boletins Nuppa Site'!J2221&lt;&gt;0,'Boletins Nuppa Site'!J2221,"NULL")</f>
        <v> 75.00</v>
      </c>
      <c r="H2221" s="30" t="str">
        <f aca="false">IF('Boletins Nuppa Site'!K2221&lt;&gt;0,'Boletins Nuppa Site'!K2221,"NULL")</f>
        <v> 75.00</v>
      </c>
      <c r="I2221" s="0" t="str">
        <f aca="false">"INSERT INTO COTACAO (cot_id, cot_blt_id, cot_pap_id, cot_prc_comum, cot_prc_min, cot_prc_max, cot_prc_med, cot_prc_mediana) VALUES ("&amp;A2221&amp;", "&amp;B2221&amp;", "&amp;C2221&amp;", "&amp;D2221&amp;", "&amp;E2221&amp;", "&amp;F2221&amp;", "&amp;G2221&amp;", "&amp;H2221&amp;");"</f>
        <v>INSERT INTO COTACAO (cot_id, cot_blt_id, cot_pap_id, cot_prc_comum, cot_prc_min, cot_prc_max, cot_prc_med, cot_prc_mediana) VALUES (2220, 93, 30, NULL,  70.00,  80.00,  75.00,  75.00);</v>
      </c>
      <c r="J2221" s="0" t="str">
        <f aca="false">"UPDATE COTACAO SET cot_id = "&amp;A2221&amp;", cot_blt_id = "&amp;B2221&amp;", cot_pap_id = "&amp;C2221&amp;", cot_prc_comum = "&amp;D2221&amp;", cot_prc_min = "&amp;E2221&amp;", cot_prc_max = "&amp;F2221&amp;", cot_prc_med = "&amp;G2221&amp;", cot_prc_mediana = "&amp;H2221&amp;" WHERE cot_id = "&amp;A2221&amp;";"</f>
        <v>UPDATE COTACAO SET cot_id = 2220, cot_blt_id = 93, cot_pap_id = 30, cot_prc_comum = NULL, cot_prc_min =  70.00, cot_prc_max =  80.00, cot_prc_med =  75.00, cot_prc_mediana =  75.00 WHERE cot_id = 2220;</v>
      </c>
    </row>
    <row r="2222" customFormat="false" ht="14.25" hidden="false" customHeight="false" outlineLevel="0" collapsed="false">
      <c r="A2222" s="0" t="n">
        <v>2221</v>
      </c>
      <c r="B2222" s="0" t="n">
        <f aca="false">IF('Boletins Nuppa Site'!A2222&lt;&gt;0,'Boletins Nuppa Site'!A2222,"NULL")</f>
        <v>93</v>
      </c>
      <c r="C2222" s="0" t="n">
        <v>31</v>
      </c>
      <c r="D2222" s="0" t="str">
        <f aca="false">IF('Boletins Nuppa Site'!G2222&lt;&gt;0,'Boletins Nuppa Site'!G2222,"NULL")</f>
        <v> 100.00</v>
      </c>
      <c r="E2222" s="30" t="str">
        <f aca="false">IF('Boletins Nuppa Site'!H2222&lt;&gt;0,'Boletins Nuppa Site'!H2222,"NULL")</f>
        <v> 80.00</v>
      </c>
      <c r="F2222" s="30" t="str">
        <f aca="false">IF('Boletins Nuppa Site'!I2222&lt;&gt;0,'Boletins Nuppa Site'!I2222,"NULL")</f>
        <v> 120.00</v>
      </c>
      <c r="G2222" s="30" t="str">
        <f aca="false">IF('Boletins Nuppa Site'!J2222&lt;&gt;0,'Boletins Nuppa Site'!J2222,"NULL")</f>
        <v> 98.00</v>
      </c>
      <c r="H2222" s="30" t="str">
        <f aca="false">IF('Boletins Nuppa Site'!K2222&lt;&gt;0,'Boletins Nuppa Site'!K2222,"NULL")</f>
        <v> 100.00</v>
      </c>
      <c r="I2222" s="0" t="str">
        <f aca="false">"INSERT INTO COTACAO (cot_id, cot_blt_id, cot_pap_id, cot_prc_comum, cot_prc_min, cot_prc_max, cot_prc_med, cot_prc_mediana) VALUES ("&amp;A2222&amp;", "&amp;B2222&amp;", "&amp;C2222&amp;", "&amp;D2222&amp;", "&amp;E2222&amp;", "&amp;F2222&amp;", "&amp;G2222&amp;", "&amp;H2222&amp;");"</f>
        <v>INSERT INTO COTACAO (cot_id, cot_blt_id, cot_pap_id, cot_prc_comum, cot_prc_min, cot_prc_max, cot_prc_med, cot_prc_mediana) VALUES (2221, 93, 31,  100.00,  80.00,  120.00,  98.00,  100.00);</v>
      </c>
      <c r="J2222" s="0" t="str">
        <f aca="false">"UPDATE COTACAO SET cot_id = "&amp;A2222&amp;", cot_blt_id = "&amp;B2222&amp;", cot_pap_id = "&amp;C2222&amp;", cot_prc_comum = "&amp;D2222&amp;", cot_prc_min = "&amp;E2222&amp;", cot_prc_max = "&amp;F2222&amp;", cot_prc_med = "&amp;G2222&amp;", cot_prc_mediana = "&amp;H2222&amp;" WHERE cot_id = "&amp;A2222&amp;";"</f>
        <v>UPDATE COTACAO SET cot_id = 2221, cot_blt_id = 93, cot_pap_id = 31, cot_prc_comum =  100.00, cot_prc_min =  80.00, cot_prc_max =  120.00, cot_prc_med =  98.00, cot_prc_mediana =  100.00 WHERE cot_id = 2221;</v>
      </c>
    </row>
    <row r="2223" customFormat="false" ht="14.25" hidden="false" customHeight="false" outlineLevel="0" collapsed="false">
      <c r="A2223" s="0" t="n">
        <v>2222</v>
      </c>
      <c r="B2223" s="0" t="n">
        <f aca="false">IF('Boletins Nuppa Site'!A2223&lt;&gt;0,'Boletins Nuppa Site'!A2223,"NULL")</f>
        <v>93</v>
      </c>
      <c r="C2223" s="0" t="n">
        <v>32</v>
      </c>
      <c r="D2223" s="0" t="str">
        <f aca="false">IF('Boletins Nuppa Site'!G2223&lt;&gt;0,'Boletins Nuppa Site'!G2223,"NULL")</f>
        <v> 30.00</v>
      </c>
      <c r="E2223" s="30" t="str">
        <f aca="false">IF('Boletins Nuppa Site'!H2223&lt;&gt;0,'Boletins Nuppa Site'!H2223,"NULL")</f>
        <v> 30.00</v>
      </c>
      <c r="F2223" s="30" t="str">
        <f aca="false">IF('Boletins Nuppa Site'!I2223&lt;&gt;0,'Boletins Nuppa Site'!I2223,"NULL")</f>
        <v> 70.00</v>
      </c>
      <c r="G2223" s="30" t="str">
        <f aca="false">IF('Boletins Nuppa Site'!J2223&lt;&gt;0,'Boletins Nuppa Site'!J2223,"NULL")</f>
        <v> 45.00</v>
      </c>
      <c r="H2223" s="30" t="str">
        <f aca="false">IF('Boletins Nuppa Site'!K2223&lt;&gt;0,'Boletins Nuppa Site'!K2223,"NULL")</f>
        <v> 40.00</v>
      </c>
      <c r="I2223" s="0" t="str">
        <f aca="false">"INSERT INTO COTACAO (cot_id, cot_blt_id, cot_pap_id, cot_prc_comum, cot_prc_min, cot_prc_max, cot_prc_med, cot_prc_mediana) VALUES ("&amp;A2223&amp;", "&amp;B2223&amp;", "&amp;C2223&amp;", "&amp;D2223&amp;", "&amp;E2223&amp;", "&amp;F2223&amp;", "&amp;G2223&amp;", "&amp;H2223&amp;");"</f>
        <v>INSERT INTO COTACAO (cot_id, cot_blt_id, cot_pap_id, cot_prc_comum, cot_prc_min, cot_prc_max, cot_prc_med, cot_prc_mediana) VALUES (2222, 93, 32,  30.00,  30.00,  70.00,  45.00,  40.00);</v>
      </c>
      <c r="J2223" s="0" t="str">
        <f aca="false">"UPDATE COTACAO SET cot_id = "&amp;A2223&amp;", cot_blt_id = "&amp;B2223&amp;", cot_pap_id = "&amp;C2223&amp;", cot_prc_comum = "&amp;D2223&amp;", cot_prc_min = "&amp;E2223&amp;", cot_prc_max = "&amp;F2223&amp;", cot_prc_med = "&amp;G2223&amp;", cot_prc_mediana = "&amp;H2223&amp;" WHERE cot_id = "&amp;A2223&amp;";"</f>
        <v>UPDATE COTACAO SET cot_id = 2222, cot_blt_id = 93, cot_pap_id = 32, cot_prc_comum =  30.00, cot_prc_min =  30.00, cot_prc_max =  70.00, cot_prc_med =  45.00, cot_prc_mediana =  40.00 WHERE cot_id = 2222;</v>
      </c>
    </row>
    <row r="2224" customFormat="false" ht="14.25" hidden="false" customHeight="false" outlineLevel="0" collapsed="false">
      <c r="A2224" s="0" t="n">
        <v>2223</v>
      </c>
      <c r="B2224" s="0" t="n">
        <f aca="false">IF('Boletins Nuppa Site'!A2224&lt;&gt;0,'Boletins Nuppa Site'!A2224,"NULL")</f>
        <v>93</v>
      </c>
      <c r="C2224" s="0" t="n">
        <v>33</v>
      </c>
      <c r="D2224" s="0" t="str">
        <f aca="false">IF('Boletins Nuppa Site'!G2224&lt;&gt;0,'Boletins Nuppa Site'!G2224,"NULL")</f>
        <v> 60.00</v>
      </c>
      <c r="E2224" s="30" t="str">
        <f aca="false">IF('Boletins Nuppa Site'!H2224&lt;&gt;0,'Boletins Nuppa Site'!H2224,"NULL")</f>
        <v> 60.00</v>
      </c>
      <c r="F2224" s="30" t="str">
        <f aca="false">IF('Boletins Nuppa Site'!I2224&lt;&gt;0,'Boletins Nuppa Site'!I2224,"NULL")</f>
        <v> 100.00</v>
      </c>
      <c r="G2224" s="30" t="str">
        <f aca="false">IF('Boletins Nuppa Site'!J2224&lt;&gt;0,'Boletins Nuppa Site'!J2224,"NULL")</f>
        <v> 70.00</v>
      </c>
      <c r="H2224" s="30" t="str">
        <f aca="false">IF('Boletins Nuppa Site'!K2224&lt;&gt;0,'Boletins Nuppa Site'!K2224,"NULL")</f>
        <v> 60.00</v>
      </c>
      <c r="I2224" s="0" t="str">
        <f aca="false">"INSERT INTO COTACAO (cot_id, cot_blt_id, cot_pap_id, cot_prc_comum, cot_prc_min, cot_prc_max, cot_prc_med, cot_prc_mediana) VALUES ("&amp;A2224&amp;", "&amp;B2224&amp;", "&amp;C2224&amp;", "&amp;D2224&amp;", "&amp;E2224&amp;", "&amp;F2224&amp;", "&amp;G2224&amp;", "&amp;H2224&amp;");"</f>
        <v>INSERT INTO COTACAO (cot_id, cot_blt_id, cot_pap_id, cot_prc_comum, cot_prc_min, cot_prc_max, cot_prc_med, cot_prc_mediana) VALUES (2223, 93, 33,  60.00,  60.00,  100.00,  70.00,  60.00);</v>
      </c>
      <c r="J2224" s="0" t="str">
        <f aca="false">"UPDATE COTACAO SET cot_id = "&amp;A2224&amp;", cot_blt_id = "&amp;B2224&amp;", cot_pap_id = "&amp;C2224&amp;", cot_prc_comum = "&amp;D2224&amp;", cot_prc_min = "&amp;E2224&amp;", cot_prc_max = "&amp;F2224&amp;", cot_prc_med = "&amp;G2224&amp;", cot_prc_mediana = "&amp;H2224&amp;" WHERE cot_id = "&amp;A2224&amp;";"</f>
        <v>UPDATE COTACAO SET cot_id = 2223, cot_blt_id = 93, cot_pap_id = 33, cot_prc_comum =  60.00, cot_prc_min =  60.00, cot_prc_max =  100.00, cot_prc_med =  70.00, cot_prc_mediana =  60.00 WHERE cot_id = 2223;</v>
      </c>
    </row>
    <row r="2225" customFormat="false" ht="14.25" hidden="false" customHeight="false" outlineLevel="0" collapsed="false">
      <c r="A2225" s="0" t="n">
        <v>2224</v>
      </c>
      <c r="B2225" s="0" t="n">
        <f aca="false">IF('Boletins Nuppa Site'!A2225&lt;&gt;0,'Boletins Nuppa Site'!A2225,"NULL")</f>
        <v>93</v>
      </c>
      <c r="C2225" s="0" t="n">
        <v>34</v>
      </c>
      <c r="D2225" s="0" t="str">
        <f aca="false">IF('Boletins Nuppa Site'!G2225&lt;&gt;0,'Boletins Nuppa Site'!G2225,"NULL")</f>
        <v>NULL</v>
      </c>
      <c r="E2225" s="30" t="str">
        <f aca="false">IF('Boletins Nuppa Site'!H2225&lt;&gt;0,'Boletins Nuppa Site'!H2225,"NULL")</f>
        <v> 65.00</v>
      </c>
      <c r="F2225" s="30" t="str">
        <f aca="false">IF('Boletins Nuppa Site'!I2225&lt;&gt;0,'Boletins Nuppa Site'!I2225,"NULL")</f>
        <v> 120.00</v>
      </c>
      <c r="G2225" s="30" t="str">
        <f aca="false">IF('Boletins Nuppa Site'!J2225&lt;&gt;0,'Boletins Nuppa Site'!J2225,"NULL")</f>
        <v> 89.00</v>
      </c>
      <c r="H2225" s="30" t="str">
        <f aca="false">IF('Boletins Nuppa Site'!K2225&lt;&gt;0,'Boletins Nuppa Site'!K2225,"NULL")</f>
        <v> 90.00</v>
      </c>
      <c r="I2225" s="0" t="str">
        <f aca="false">"INSERT INTO COTACAO (cot_id, cot_blt_id, cot_pap_id, cot_prc_comum, cot_prc_min, cot_prc_max, cot_prc_med, cot_prc_mediana) VALUES ("&amp;A2225&amp;", "&amp;B2225&amp;", "&amp;C2225&amp;", "&amp;D2225&amp;", "&amp;E2225&amp;", "&amp;F2225&amp;", "&amp;G2225&amp;", "&amp;H2225&amp;");"</f>
        <v>INSERT INTO COTACAO (cot_id, cot_blt_id, cot_pap_id, cot_prc_comum, cot_prc_min, cot_prc_max, cot_prc_med, cot_prc_mediana) VALUES (2224, 93, 34, NULL,  65.00,  120.00,  89.00,  90.00);</v>
      </c>
      <c r="J2225" s="0" t="str">
        <f aca="false">"UPDATE COTACAO SET cot_id = "&amp;A2225&amp;", cot_blt_id = "&amp;B2225&amp;", cot_pap_id = "&amp;C2225&amp;", cot_prc_comum = "&amp;D2225&amp;", cot_prc_min = "&amp;E2225&amp;", cot_prc_max = "&amp;F2225&amp;", cot_prc_med = "&amp;G2225&amp;", cot_prc_mediana = "&amp;H2225&amp;" WHERE cot_id = "&amp;A2225&amp;";"</f>
        <v>UPDATE COTACAO SET cot_id = 2224, cot_blt_id = 93, cot_pap_id = 34, cot_prc_comum = NULL, cot_prc_min =  65.00, cot_prc_max =  120.00, cot_prc_med =  89.00, cot_prc_mediana =  90.00 WHERE cot_id = 2224;</v>
      </c>
    </row>
    <row r="2226" customFormat="false" ht="14.25" hidden="false" customHeight="false" outlineLevel="0" collapsed="false">
      <c r="A2226" s="0" t="n">
        <v>2225</v>
      </c>
      <c r="B2226" s="0" t="n">
        <f aca="false">IF('Boletins Nuppa Site'!A2226&lt;&gt;0,'Boletins Nuppa Site'!A2226,"NULL")</f>
        <v>93</v>
      </c>
      <c r="C2226" s="0" t="n">
        <v>35</v>
      </c>
      <c r="D2226" s="0" t="str">
        <f aca="false">IF('Boletins Nuppa Site'!G2226&lt;&gt;0,'Boletins Nuppa Site'!G2226,"NULL")</f>
        <v> 150.00</v>
      </c>
      <c r="E2226" s="30" t="str">
        <f aca="false">IF('Boletins Nuppa Site'!H2226&lt;&gt;0,'Boletins Nuppa Site'!H2226,"NULL")</f>
        <v> 90.00</v>
      </c>
      <c r="F2226" s="30" t="str">
        <f aca="false">IF('Boletins Nuppa Site'!I2226&lt;&gt;0,'Boletins Nuppa Site'!I2226,"NULL")</f>
        <v> 150.00</v>
      </c>
      <c r="G2226" s="30" t="str">
        <f aca="false">IF('Boletins Nuppa Site'!J2226&lt;&gt;0,'Boletins Nuppa Site'!J2226,"NULL")</f>
        <v> 122.50</v>
      </c>
      <c r="H2226" s="30" t="str">
        <f aca="false">IF('Boletins Nuppa Site'!K2226&lt;&gt;0,'Boletins Nuppa Site'!K2226,"NULL")</f>
        <v> 125.00</v>
      </c>
      <c r="I2226" s="0" t="str">
        <f aca="false">"INSERT INTO COTACAO (cot_id, cot_blt_id, cot_pap_id, cot_prc_comum, cot_prc_min, cot_prc_max, cot_prc_med, cot_prc_mediana) VALUES ("&amp;A2226&amp;", "&amp;B2226&amp;", "&amp;C2226&amp;", "&amp;D2226&amp;", "&amp;E2226&amp;", "&amp;F2226&amp;", "&amp;G2226&amp;", "&amp;H2226&amp;");"</f>
        <v>INSERT INTO COTACAO (cot_id, cot_blt_id, cot_pap_id, cot_prc_comum, cot_prc_min, cot_prc_max, cot_prc_med, cot_prc_mediana) VALUES (2225, 93, 35,  150.00,  90.00,  150.00,  122.50,  125.00);</v>
      </c>
      <c r="J2226" s="0" t="str">
        <f aca="false">"UPDATE COTACAO SET cot_id = "&amp;A2226&amp;", cot_blt_id = "&amp;B2226&amp;", cot_pap_id = "&amp;C2226&amp;", cot_prc_comum = "&amp;D2226&amp;", cot_prc_min = "&amp;E2226&amp;", cot_prc_max = "&amp;F2226&amp;", cot_prc_med = "&amp;G2226&amp;", cot_prc_mediana = "&amp;H2226&amp;" WHERE cot_id = "&amp;A2226&amp;";"</f>
        <v>UPDATE COTACAO SET cot_id = 2225, cot_blt_id = 93, cot_pap_id = 35, cot_prc_comum =  150.00, cot_prc_min =  90.00, cot_prc_max =  150.00, cot_prc_med =  122.50, cot_prc_mediana =  125.00 WHERE cot_id = 2225;</v>
      </c>
    </row>
    <row r="2227" customFormat="false" ht="14.25" hidden="false" customHeight="false" outlineLevel="0" collapsed="false">
      <c r="A2227" s="0" t="n">
        <v>2226</v>
      </c>
      <c r="B2227" s="0" t="n">
        <f aca="false">IF('Boletins Nuppa Site'!A2227&lt;&gt;0,'Boletins Nuppa Site'!A2227,"NULL")</f>
        <v>93</v>
      </c>
      <c r="C2227" s="0" t="n">
        <v>36</v>
      </c>
      <c r="D2227" s="0" t="str">
        <f aca="false">IF('Boletins Nuppa Site'!G2227&lt;&gt;0,'Boletins Nuppa Site'!G2227,"NULL")</f>
        <v>NULL</v>
      </c>
      <c r="E2227" s="30" t="str">
        <f aca="false">IF('Boletins Nuppa Site'!H2227&lt;&gt;0,'Boletins Nuppa Site'!H2227,"NULL")</f>
        <v>NULL</v>
      </c>
      <c r="F2227" s="30" t="str">
        <f aca="false">IF('Boletins Nuppa Site'!I2227&lt;&gt;0,'Boletins Nuppa Site'!I2227,"NULL")</f>
        <v>NULL</v>
      </c>
      <c r="G2227" s="30" t="str">
        <f aca="false">IF('Boletins Nuppa Site'!J2227&lt;&gt;0,'Boletins Nuppa Site'!J2227,"NULL")</f>
        <v>NULL</v>
      </c>
      <c r="H2227" s="30" t="str">
        <f aca="false">IF('Boletins Nuppa Site'!K2227&lt;&gt;0,'Boletins Nuppa Site'!K2227,"NULL")</f>
        <v>NULL</v>
      </c>
      <c r="I2227" s="0" t="str">
        <f aca="false">"INSERT INTO COTACAO (cot_id, cot_blt_id, cot_pap_id, cot_prc_comum, cot_prc_min, cot_prc_max, cot_prc_med, cot_prc_mediana) VALUES ("&amp;A2227&amp;", "&amp;B2227&amp;", "&amp;C2227&amp;", "&amp;D2227&amp;", "&amp;E2227&amp;", "&amp;F2227&amp;", "&amp;G2227&amp;", "&amp;H2227&amp;");"</f>
        <v>INSERT INTO COTACAO (cot_id, cot_blt_id, cot_pap_id, cot_prc_comum, cot_prc_min, cot_prc_max, cot_prc_med, cot_prc_mediana) VALUES (2226, 93, 36, NULL, NULL, NULL, NULL, NULL);</v>
      </c>
      <c r="J2227" s="0" t="str">
        <f aca="false">"UPDATE COTACAO SET cot_id = "&amp;A2227&amp;", cot_blt_id = "&amp;B2227&amp;", cot_pap_id = "&amp;C2227&amp;", cot_prc_comum = "&amp;D2227&amp;", cot_prc_min = "&amp;E2227&amp;", cot_prc_max = "&amp;F2227&amp;", cot_prc_med = "&amp;G2227&amp;", cot_prc_mediana = "&amp;H2227&amp;" WHERE cot_id = "&amp;A2227&amp;";"</f>
        <v>UPDATE COTACAO SET cot_id = 2226, cot_blt_id = 93, cot_pap_id = 36, cot_prc_comum = NULL, cot_prc_min = NULL, cot_prc_max = NULL, cot_prc_med = NULL, cot_prc_mediana = NULL WHERE cot_id = 2226;</v>
      </c>
    </row>
    <row r="2228" customFormat="false" ht="14.25" hidden="false" customHeight="false" outlineLevel="0" collapsed="false">
      <c r="A2228" s="0" t="n">
        <v>2227</v>
      </c>
      <c r="B2228" s="0" t="n">
        <f aca="false">IF('Boletins Nuppa Site'!A2228&lt;&gt;0,'Boletins Nuppa Site'!A2228,"NULL")</f>
        <v>93</v>
      </c>
      <c r="C2228" s="0" t="n">
        <v>37</v>
      </c>
      <c r="D2228" s="0" t="str">
        <f aca="false">IF('Boletins Nuppa Site'!G2228&lt;&gt;0,'Boletins Nuppa Site'!G2228,"NULL")</f>
        <v>NULL</v>
      </c>
      <c r="E2228" s="30" t="str">
        <f aca="false">IF('Boletins Nuppa Site'!H2228&lt;&gt;0,'Boletins Nuppa Site'!H2228,"NULL")</f>
        <v>NULL</v>
      </c>
      <c r="F2228" s="30" t="str">
        <f aca="false">IF('Boletins Nuppa Site'!I2228&lt;&gt;0,'Boletins Nuppa Site'!I2228,"NULL")</f>
        <v>NULL</v>
      </c>
      <c r="G2228" s="30" t="str">
        <f aca="false">IF('Boletins Nuppa Site'!J2228&lt;&gt;0,'Boletins Nuppa Site'!J2228,"NULL")</f>
        <v>NULL</v>
      </c>
      <c r="H2228" s="30" t="str">
        <f aca="false">IF('Boletins Nuppa Site'!K2228&lt;&gt;0,'Boletins Nuppa Site'!K2228,"NULL")</f>
        <v>NULL</v>
      </c>
      <c r="I2228" s="0" t="str">
        <f aca="false">"INSERT INTO COTACAO (cot_id, cot_blt_id, cot_pap_id, cot_prc_comum, cot_prc_min, cot_prc_max, cot_prc_med, cot_prc_mediana) VALUES ("&amp;A2228&amp;", "&amp;B2228&amp;", "&amp;C2228&amp;", "&amp;D2228&amp;", "&amp;E2228&amp;", "&amp;F2228&amp;", "&amp;G2228&amp;", "&amp;H2228&amp;");"</f>
        <v>INSERT INTO COTACAO (cot_id, cot_blt_id, cot_pap_id, cot_prc_comum, cot_prc_min, cot_prc_max, cot_prc_med, cot_prc_mediana) VALUES (2227, 93, 37, NULL, NULL, NULL, NULL, NULL);</v>
      </c>
      <c r="J2228" s="0" t="str">
        <f aca="false">"UPDATE COTACAO SET cot_id = "&amp;A2228&amp;", cot_blt_id = "&amp;B2228&amp;", cot_pap_id = "&amp;C2228&amp;", cot_prc_comum = "&amp;D2228&amp;", cot_prc_min = "&amp;E2228&amp;", cot_prc_max = "&amp;F2228&amp;", cot_prc_med = "&amp;G2228&amp;", cot_prc_mediana = "&amp;H2228&amp;" WHERE cot_id = "&amp;A2228&amp;";"</f>
        <v>UPDATE COTACAO SET cot_id = 2227, cot_blt_id = 93, cot_pap_id = 37, cot_prc_comum = NULL, cot_prc_min = NULL, cot_prc_max = NULL, cot_prc_med = NULL, cot_prc_mediana = NULL WHERE cot_id = 2227;</v>
      </c>
    </row>
    <row r="2229" customFormat="false" ht="14.25" hidden="false" customHeight="false" outlineLevel="0" collapsed="false">
      <c r="A2229" s="0" t="n">
        <v>2228</v>
      </c>
      <c r="B2229" s="0" t="n">
        <f aca="false">IF('Boletins Nuppa Site'!A2229&lt;&gt;0,'Boletins Nuppa Site'!A2229,"NULL")</f>
        <v>93</v>
      </c>
      <c r="C2229" s="0" t="n">
        <v>38</v>
      </c>
      <c r="D2229" s="0" t="str">
        <f aca="false">IF('Boletins Nuppa Site'!G2229&lt;&gt;0,'Boletins Nuppa Site'!G2229,"NULL")</f>
        <v>NULL</v>
      </c>
      <c r="E2229" s="30" t="str">
        <f aca="false">IF('Boletins Nuppa Site'!H2229&lt;&gt;0,'Boletins Nuppa Site'!H2229,"NULL")</f>
        <v>NULL</v>
      </c>
      <c r="F2229" s="30" t="str">
        <f aca="false">IF('Boletins Nuppa Site'!I2229&lt;&gt;0,'Boletins Nuppa Site'!I2229,"NULL")</f>
        <v>NULL</v>
      </c>
      <c r="G2229" s="30" t="str">
        <f aca="false">IF('Boletins Nuppa Site'!J2229&lt;&gt;0,'Boletins Nuppa Site'!J2229,"NULL")</f>
        <v>NULL</v>
      </c>
      <c r="H2229" s="30" t="str">
        <f aca="false">IF('Boletins Nuppa Site'!K2229&lt;&gt;0,'Boletins Nuppa Site'!K2229,"NULL")</f>
        <v>NULL</v>
      </c>
      <c r="I2229" s="0" t="str">
        <f aca="false">"INSERT INTO COTACAO (cot_id, cot_blt_id, cot_pap_id, cot_prc_comum, cot_prc_min, cot_prc_max, cot_prc_med, cot_prc_mediana) VALUES ("&amp;A2229&amp;", "&amp;B2229&amp;", "&amp;C2229&amp;", "&amp;D2229&amp;", "&amp;E2229&amp;", "&amp;F2229&amp;", "&amp;G2229&amp;", "&amp;H2229&amp;");"</f>
        <v>INSERT INTO COTACAO (cot_id, cot_blt_id, cot_pap_id, cot_prc_comum, cot_prc_min, cot_prc_max, cot_prc_med, cot_prc_mediana) VALUES (2228, 93, 38, NULL, NULL, NULL, NULL, NULL);</v>
      </c>
      <c r="J2229" s="0" t="str">
        <f aca="false">"UPDATE COTACAO SET cot_id = "&amp;A2229&amp;", cot_blt_id = "&amp;B2229&amp;", cot_pap_id = "&amp;C2229&amp;", cot_prc_comum = "&amp;D2229&amp;", cot_prc_min = "&amp;E2229&amp;", cot_prc_max = "&amp;F2229&amp;", cot_prc_med = "&amp;G2229&amp;", cot_prc_mediana = "&amp;H2229&amp;" WHERE cot_id = "&amp;A2229&amp;";"</f>
        <v>UPDATE COTACAO SET cot_id = 2228, cot_blt_id = 93, cot_pap_id = 38, cot_prc_comum = NULL, cot_prc_min = NULL, cot_prc_max = NULL, cot_prc_med = NULL, cot_prc_mediana = NULL WHERE cot_id = 2228;</v>
      </c>
    </row>
    <row r="2230" customFormat="false" ht="14.25" hidden="false" customHeight="false" outlineLevel="0" collapsed="false">
      <c r="A2230" s="0" t="n">
        <v>2229</v>
      </c>
      <c r="B2230" s="0" t="n">
        <f aca="false">IF('Boletins Nuppa Site'!A2230&lt;&gt;0,'Boletins Nuppa Site'!A2230,"NULL")</f>
        <v>93</v>
      </c>
      <c r="C2230" s="0" t="n">
        <v>39</v>
      </c>
      <c r="D2230" s="0" t="str">
        <f aca="false">IF('Boletins Nuppa Site'!G2230&lt;&gt;0,'Boletins Nuppa Site'!G2230,"NULL")</f>
        <v>NULL</v>
      </c>
      <c r="E2230" s="30" t="str">
        <f aca="false">IF('Boletins Nuppa Site'!H2230&lt;&gt;0,'Boletins Nuppa Site'!H2230,"NULL")</f>
        <v>NULL</v>
      </c>
      <c r="F2230" s="30" t="str">
        <f aca="false">IF('Boletins Nuppa Site'!I2230&lt;&gt;0,'Boletins Nuppa Site'!I2230,"NULL")</f>
        <v>NULL</v>
      </c>
      <c r="G2230" s="30" t="str">
        <f aca="false">IF('Boletins Nuppa Site'!J2230&lt;&gt;0,'Boletins Nuppa Site'!J2230,"NULL")</f>
        <v>NULL</v>
      </c>
      <c r="H2230" s="30" t="str">
        <f aca="false">IF('Boletins Nuppa Site'!K2230&lt;&gt;0,'Boletins Nuppa Site'!K2230,"NULL")</f>
        <v>NULL</v>
      </c>
      <c r="I2230" s="0" t="str">
        <f aca="false">"INSERT INTO COTACAO (cot_id, cot_blt_id, cot_pap_id, cot_prc_comum, cot_prc_min, cot_prc_max, cot_prc_med, cot_prc_mediana) VALUES ("&amp;A2230&amp;", "&amp;B2230&amp;", "&amp;C2230&amp;", "&amp;D2230&amp;", "&amp;E2230&amp;", "&amp;F2230&amp;", "&amp;G2230&amp;", "&amp;H2230&amp;");"</f>
        <v>INSERT INTO COTACAO (cot_id, cot_blt_id, cot_pap_id, cot_prc_comum, cot_prc_min, cot_prc_max, cot_prc_med, cot_prc_mediana) VALUES (2229, 93, 39, NULL, NULL, NULL, NULL, NULL);</v>
      </c>
      <c r="J2230" s="0" t="str">
        <f aca="false">"UPDATE COTACAO SET cot_id = "&amp;A2230&amp;", cot_blt_id = "&amp;B2230&amp;", cot_pap_id = "&amp;C2230&amp;", cot_prc_comum = "&amp;D2230&amp;", cot_prc_min = "&amp;E2230&amp;", cot_prc_max = "&amp;F2230&amp;", cot_prc_med = "&amp;G2230&amp;", cot_prc_mediana = "&amp;H2230&amp;" WHERE cot_id = "&amp;A2230&amp;";"</f>
        <v>UPDATE COTACAO SET cot_id = 2229, cot_blt_id = 93, cot_pap_id = 39, cot_prc_comum = NULL, cot_prc_min = NULL, cot_prc_max = NULL, cot_prc_med = NULL, cot_prc_mediana = NULL WHERE cot_id = 2229;</v>
      </c>
    </row>
    <row r="2231" customFormat="false" ht="14.25" hidden="false" customHeight="false" outlineLevel="0" collapsed="false">
      <c r="A2231" s="0" t="n">
        <v>2230</v>
      </c>
      <c r="B2231" s="0" t="n">
        <f aca="false">IF('Boletins Nuppa Site'!A2231&lt;&gt;0,'Boletins Nuppa Site'!A2231,"NULL")</f>
        <v>93</v>
      </c>
      <c r="C2231" s="0" t="n">
        <v>40</v>
      </c>
      <c r="D2231" s="0" t="str">
        <f aca="false">IF('Boletins Nuppa Site'!G2231&lt;&gt;0,'Boletins Nuppa Site'!G2231,"NULL")</f>
        <v>NULL</v>
      </c>
      <c r="E2231" s="30" t="str">
        <f aca="false">IF('Boletins Nuppa Site'!H2231&lt;&gt;0,'Boletins Nuppa Site'!H2231,"NULL")</f>
        <v>NULL</v>
      </c>
      <c r="F2231" s="30" t="str">
        <f aca="false">IF('Boletins Nuppa Site'!I2231&lt;&gt;0,'Boletins Nuppa Site'!I2231,"NULL")</f>
        <v>NULL</v>
      </c>
      <c r="G2231" s="30" t="str">
        <f aca="false">IF('Boletins Nuppa Site'!J2231&lt;&gt;0,'Boletins Nuppa Site'!J2231,"NULL")</f>
        <v>NULL</v>
      </c>
      <c r="H2231" s="30" t="str">
        <f aca="false">IF('Boletins Nuppa Site'!K2231&lt;&gt;0,'Boletins Nuppa Site'!K2231,"NULL")</f>
        <v>NULL</v>
      </c>
      <c r="I2231" s="0" t="str">
        <f aca="false">"INSERT INTO COTACAO (cot_id, cot_blt_id, cot_pap_id, cot_prc_comum, cot_prc_min, cot_prc_max, cot_prc_med, cot_prc_mediana) VALUES ("&amp;A2231&amp;", "&amp;B2231&amp;", "&amp;C2231&amp;", "&amp;D2231&amp;", "&amp;E2231&amp;", "&amp;F2231&amp;", "&amp;G2231&amp;", "&amp;H2231&amp;");"</f>
        <v>INSERT INTO COTACAO (cot_id, cot_blt_id, cot_pap_id, cot_prc_comum, cot_prc_min, cot_prc_max, cot_prc_med, cot_prc_mediana) VALUES (2230, 93, 40, NULL, NULL, NULL, NULL, NULL);</v>
      </c>
      <c r="J2231" s="0" t="str">
        <f aca="false">"UPDATE COTACAO SET cot_id = "&amp;A2231&amp;", cot_blt_id = "&amp;B2231&amp;", cot_pap_id = "&amp;C2231&amp;", cot_prc_comum = "&amp;D2231&amp;", cot_prc_min = "&amp;E2231&amp;", cot_prc_max = "&amp;F2231&amp;", cot_prc_med = "&amp;G2231&amp;", cot_prc_mediana = "&amp;H2231&amp;" WHERE cot_id = "&amp;A2231&amp;";"</f>
        <v>UPDATE COTACAO SET cot_id = 2230, cot_blt_id = 93, cot_pap_id = 40, cot_prc_comum = NULL, cot_prc_min = NULL, cot_prc_max = NULL, cot_prc_med = NULL, cot_prc_mediana = NULL WHERE cot_id = 2230;</v>
      </c>
    </row>
    <row r="2232" customFormat="false" ht="14.25" hidden="false" customHeight="false" outlineLevel="0" collapsed="false">
      <c r="A2232" s="0" t="n">
        <v>2231</v>
      </c>
      <c r="B2232" s="0" t="n">
        <f aca="false">IF('Boletins Nuppa Site'!A2232&lt;&gt;0,'Boletins Nuppa Site'!A2232,"NULL")</f>
        <v>94</v>
      </c>
      <c r="C2232" s="0" t="n">
        <v>1</v>
      </c>
      <c r="D2232" s="0" t="str">
        <f aca="false">IF('Boletins Nuppa Site'!G2232&lt;&gt;0,'Boletins Nuppa Site'!G2232,"NULL")</f>
        <v> 60.00</v>
      </c>
      <c r="E2232" s="30" t="str">
        <f aca="false">IF('Boletins Nuppa Site'!H2232&lt;&gt;0,'Boletins Nuppa Site'!H2232,"NULL")</f>
        <v> 48.00</v>
      </c>
      <c r="F2232" s="30" t="str">
        <f aca="false">IF('Boletins Nuppa Site'!I2232&lt;&gt;0,'Boletins Nuppa Site'!I2232,"NULL")</f>
        <v> 60.00</v>
      </c>
      <c r="G2232" s="30" t="str">
        <f aca="false">IF('Boletins Nuppa Site'!J2232&lt;&gt;0,'Boletins Nuppa Site'!J2232,"NULL")</f>
        <v> 56.00</v>
      </c>
      <c r="H2232" s="30" t="str">
        <f aca="false">IF('Boletins Nuppa Site'!K2232&lt;&gt;0,'Boletins Nuppa Site'!K2232,"NULL")</f>
        <v> 60.00</v>
      </c>
      <c r="I2232" s="0" t="str">
        <f aca="false">"INSERT INTO COTACAO (cot_id, cot_blt_id, cot_pap_id, cot_prc_comum, cot_prc_min, cot_prc_max, cot_prc_med, cot_prc_mediana) VALUES ("&amp;A2232&amp;", "&amp;B2232&amp;", "&amp;C2232&amp;", "&amp;D2232&amp;", "&amp;E2232&amp;", "&amp;F2232&amp;", "&amp;G2232&amp;", "&amp;H2232&amp;");"</f>
        <v>INSERT INTO COTACAO (cot_id, cot_blt_id, cot_pap_id, cot_prc_comum, cot_prc_min, cot_prc_max, cot_prc_med, cot_prc_mediana) VALUES (2231, 94, 1,  60.00,  48.00,  60.00,  56.00,  60.00);</v>
      </c>
      <c r="J2232" s="0" t="str">
        <f aca="false">"UPDATE COTACAO SET cot_id = "&amp;A2232&amp;", cot_blt_id = "&amp;B2232&amp;", cot_pap_id = "&amp;C2232&amp;", cot_prc_comum = "&amp;D2232&amp;", cot_prc_min = "&amp;E2232&amp;", cot_prc_max = "&amp;F2232&amp;", cot_prc_med = "&amp;G2232&amp;", cot_prc_mediana = "&amp;H2232&amp;" WHERE cot_id = "&amp;A2232&amp;";"</f>
        <v>UPDATE COTACAO SET cot_id = 2231, cot_blt_id = 94, cot_pap_id = 1, cot_prc_comum =  60.00, cot_prc_min =  48.00, cot_prc_max =  60.00, cot_prc_med =  56.00, cot_prc_mediana =  60.00 WHERE cot_id = 2231;</v>
      </c>
    </row>
    <row r="2233" customFormat="false" ht="14.25" hidden="false" customHeight="false" outlineLevel="0" collapsed="false">
      <c r="A2233" s="0" t="n">
        <v>2232</v>
      </c>
      <c r="B2233" s="0" t="n">
        <f aca="false">IF('Boletins Nuppa Site'!A2233&lt;&gt;0,'Boletins Nuppa Site'!A2233,"NULL")</f>
        <v>94</v>
      </c>
      <c r="C2233" s="0" t="n">
        <v>2</v>
      </c>
      <c r="D2233" s="0" t="str">
        <f aca="false">IF('Boletins Nuppa Site'!G2233&lt;&gt;0,'Boletins Nuppa Site'!G2233,"NULL")</f>
        <v>NULL</v>
      </c>
      <c r="E2233" s="30" t="str">
        <f aca="false">IF('Boletins Nuppa Site'!H2233&lt;&gt;0,'Boletins Nuppa Site'!H2233,"NULL")</f>
        <v> 84.00</v>
      </c>
      <c r="F2233" s="30" t="str">
        <f aca="false">IF('Boletins Nuppa Site'!I2233&lt;&gt;0,'Boletins Nuppa Site'!I2233,"NULL")</f>
        <v> 96.00</v>
      </c>
      <c r="G2233" s="30" t="str">
        <f aca="false">IF('Boletins Nuppa Site'!J2233&lt;&gt;0,'Boletins Nuppa Site'!J2233,"NULL")</f>
        <v> 90.00</v>
      </c>
      <c r="H2233" s="30" t="str">
        <f aca="false">IF('Boletins Nuppa Site'!K2233&lt;&gt;0,'Boletins Nuppa Site'!K2233,"NULL")</f>
        <v> 90.00</v>
      </c>
      <c r="I2233" s="0" t="str">
        <f aca="false">"INSERT INTO COTACAO (cot_id, cot_blt_id, cot_pap_id, cot_prc_comum, cot_prc_min, cot_prc_max, cot_prc_med, cot_prc_mediana) VALUES ("&amp;A2233&amp;", "&amp;B2233&amp;", "&amp;C2233&amp;", "&amp;D2233&amp;", "&amp;E2233&amp;", "&amp;F2233&amp;", "&amp;G2233&amp;", "&amp;H2233&amp;");"</f>
        <v>INSERT INTO COTACAO (cot_id, cot_blt_id, cot_pap_id, cot_prc_comum, cot_prc_min, cot_prc_max, cot_prc_med, cot_prc_mediana) VALUES (2232, 94, 2, NULL,  84.00,  96.00,  90.00,  90.00);</v>
      </c>
      <c r="J2233" s="0" t="str">
        <f aca="false">"UPDATE COTACAO SET cot_id = "&amp;A2233&amp;", cot_blt_id = "&amp;B2233&amp;", cot_pap_id = "&amp;C2233&amp;", cot_prc_comum = "&amp;D2233&amp;", cot_prc_min = "&amp;E2233&amp;", cot_prc_max = "&amp;F2233&amp;", cot_prc_med = "&amp;G2233&amp;", cot_prc_mediana = "&amp;H2233&amp;" WHERE cot_id = "&amp;A2233&amp;";"</f>
        <v>UPDATE COTACAO SET cot_id = 2232, cot_blt_id = 94, cot_pap_id = 2, cot_prc_comum = NULL, cot_prc_min =  84.00, cot_prc_max =  96.00, cot_prc_med =  90.00, cot_prc_mediana =  90.00 WHERE cot_id = 2232;</v>
      </c>
    </row>
    <row r="2234" customFormat="false" ht="14.25" hidden="false" customHeight="false" outlineLevel="0" collapsed="false">
      <c r="A2234" s="0" t="n">
        <v>2233</v>
      </c>
      <c r="B2234" s="0" t="n">
        <f aca="false">IF('Boletins Nuppa Site'!A2234&lt;&gt;0,'Boletins Nuppa Site'!A2234,"NULL")</f>
        <v>94</v>
      </c>
      <c r="C2234" s="0" t="n">
        <v>3</v>
      </c>
      <c r="D2234" s="0" t="str">
        <f aca="false">IF('Boletins Nuppa Site'!G2234&lt;&gt;0,'Boletins Nuppa Site'!G2234,"NULL")</f>
        <v> 48.00</v>
      </c>
      <c r="E2234" s="30" t="str">
        <f aca="false">IF('Boletins Nuppa Site'!H2234&lt;&gt;0,'Boletins Nuppa Site'!H2234,"NULL")</f>
        <v> 48.00</v>
      </c>
      <c r="F2234" s="30" t="str">
        <f aca="false">IF('Boletins Nuppa Site'!I2234&lt;&gt;0,'Boletins Nuppa Site'!I2234,"NULL")</f>
        <v> 48.00</v>
      </c>
      <c r="G2234" s="30" t="str">
        <f aca="false">IF('Boletins Nuppa Site'!J2234&lt;&gt;0,'Boletins Nuppa Site'!J2234,"NULL")</f>
        <v> 48.00</v>
      </c>
      <c r="H2234" s="30" t="str">
        <f aca="false">IF('Boletins Nuppa Site'!K2234&lt;&gt;0,'Boletins Nuppa Site'!K2234,"NULL")</f>
        <v> 48.00</v>
      </c>
      <c r="I2234" s="0" t="str">
        <f aca="false">"INSERT INTO COTACAO (cot_id, cot_blt_id, cot_pap_id, cot_prc_comum, cot_prc_min, cot_prc_max, cot_prc_med, cot_prc_mediana) VALUES ("&amp;A2234&amp;", "&amp;B2234&amp;", "&amp;C2234&amp;", "&amp;D2234&amp;", "&amp;E2234&amp;", "&amp;F2234&amp;", "&amp;G2234&amp;", "&amp;H2234&amp;");"</f>
        <v>INSERT INTO COTACAO (cot_id, cot_blt_id, cot_pap_id, cot_prc_comum, cot_prc_min, cot_prc_max, cot_prc_med, cot_prc_mediana) VALUES (2233, 94, 3,  48.00,  48.00,  48.00,  48.00,  48.00);</v>
      </c>
      <c r="J2234" s="0" t="str">
        <f aca="false">"UPDATE COTACAO SET cot_id = "&amp;A2234&amp;", cot_blt_id = "&amp;B2234&amp;", cot_pap_id = "&amp;C2234&amp;", cot_prc_comum = "&amp;D2234&amp;", cot_prc_min = "&amp;E2234&amp;", cot_prc_max = "&amp;F2234&amp;", cot_prc_med = "&amp;G2234&amp;", cot_prc_mediana = "&amp;H2234&amp;" WHERE cot_id = "&amp;A2234&amp;";"</f>
        <v>UPDATE COTACAO SET cot_id = 2233, cot_blt_id = 94, cot_pap_id = 3, cot_prc_comum =  48.00, cot_prc_min =  48.00, cot_prc_max =  48.00, cot_prc_med =  48.00, cot_prc_mediana =  48.00 WHERE cot_id = 2233;</v>
      </c>
    </row>
    <row r="2235" customFormat="false" ht="14.25" hidden="false" customHeight="false" outlineLevel="0" collapsed="false">
      <c r="A2235" s="0" t="n">
        <v>2234</v>
      </c>
      <c r="B2235" s="0" t="n">
        <f aca="false">IF('Boletins Nuppa Site'!A2235&lt;&gt;0,'Boletins Nuppa Site'!A2235,"NULL")</f>
        <v>94</v>
      </c>
      <c r="C2235" s="0" t="n">
        <v>4</v>
      </c>
      <c r="D2235" s="0" t="str">
        <f aca="false">IF('Boletins Nuppa Site'!G2235&lt;&gt;0,'Boletins Nuppa Site'!G2235,"NULL")</f>
        <v> 30.00</v>
      </c>
      <c r="E2235" s="30" t="str">
        <f aca="false">IF('Boletins Nuppa Site'!H2235&lt;&gt;0,'Boletins Nuppa Site'!H2235,"NULL")</f>
        <v> 30.00</v>
      </c>
      <c r="F2235" s="30" t="str">
        <f aca="false">IF('Boletins Nuppa Site'!I2235&lt;&gt;0,'Boletins Nuppa Site'!I2235,"NULL")</f>
        <v> 30.00</v>
      </c>
      <c r="G2235" s="30" t="str">
        <f aca="false">IF('Boletins Nuppa Site'!J2235&lt;&gt;0,'Boletins Nuppa Site'!J2235,"NULL")</f>
        <v> 30.00</v>
      </c>
      <c r="H2235" s="30" t="str">
        <f aca="false">IF('Boletins Nuppa Site'!K2235&lt;&gt;0,'Boletins Nuppa Site'!K2235,"NULL")</f>
        <v> 30.00</v>
      </c>
      <c r="I2235" s="0" t="str">
        <f aca="false">"INSERT INTO COTACAO (cot_id, cot_blt_id, cot_pap_id, cot_prc_comum, cot_prc_min, cot_prc_max, cot_prc_med, cot_prc_mediana) VALUES ("&amp;A2235&amp;", "&amp;B2235&amp;", "&amp;C2235&amp;", "&amp;D2235&amp;", "&amp;E2235&amp;", "&amp;F2235&amp;", "&amp;G2235&amp;", "&amp;H2235&amp;");"</f>
        <v>INSERT INTO COTACAO (cot_id, cot_blt_id, cot_pap_id, cot_prc_comum, cot_prc_min, cot_prc_max, cot_prc_med, cot_prc_mediana) VALUES (2234, 94, 4,  30.00,  30.00,  30.00,  30.00,  30.00);</v>
      </c>
      <c r="J2235" s="0" t="str">
        <f aca="false">"UPDATE COTACAO SET cot_id = "&amp;A2235&amp;", cot_blt_id = "&amp;B2235&amp;", cot_pap_id = "&amp;C2235&amp;", cot_prc_comum = "&amp;D2235&amp;", cot_prc_min = "&amp;E2235&amp;", cot_prc_max = "&amp;F2235&amp;", cot_prc_med = "&amp;G2235&amp;", cot_prc_mediana = "&amp;H2235&amp;" WHERE cot_id = "&amp;A2235&amp;";"</f>
        <v>UPDATE COTACAO SET cot_id = 2234, cot_blt_id = 94, cot_pap_id = 4, cot_prc_comum =  30.00, cot_prc_min =  30.00, cot_prc_max =  30.00, cot_prc_med =  30.00, cot_prc_mediana =  30.00 WHERE cot_id = 2234;</v>
      </c>
    </row>
    <row r="2236" customFormat="false" ht="14.25" hidden="false" customHeight="false" outlineLevel="0" collapsed="false">
      <c r="A2236" s="0" t="n">
        <v>2235</v>
      </c>
      <c r="B2236" s="0" t="n">
        <f aca="false">IF('Boletins Nuppa Site'!A2236&lt;&gt;0,'Boletins Nuppa Site'!A2236,"NULL")</f>
        <v>94</v>
      </c>
      <c r="C2236" s="0" t="n">
        <v>5</v>
      </c>
      <c r="D2236" s="0" t="str">
        <f aca="false">IF('Boletins Nuppa Site'!G2236&lt;&gt;0,'Boletins Nuppa Site'!G2236,"NULL")</f>
        <v> 30.00</v>
      </c>
      <c r="E2236" s="30" t="str">
        <f aca="false">IF('Boletins Nuppa Site'!H2236&lt;&gt;0,'Boletins Nuppa Site'!H2236,"NULL")</f>
        <v> 30.00</v>
      </c>
      <c r="F2236" s="30" t="str">
        <f aca="false">IF('Boletins Nuppa Site'!I2236&lt;&gt;0,'Boletins Nuppa Site'!I2236,"NULL")</f>
        <v> 30.00</v>
      </c>
      <c r="G2236" s="30" t="str">
        <f aca="false">IF('Boletins Nuppa Site'!J2236&lt;&gt;0,'Boletins Nuppa Site'!J2236,"NULL")</f>
        <v> 30.00</v>
      </c>
      <c r="H2236" s="30" t="str">
        <f aca="false">IF('Boletins Nuppa Site'!K2236&lt;&gt;0,'Boletins Nuppa Site'!K2236,"NULL")</f>
        <v> 30.00</v>
      </c>
      <c r="I2236" s="0" t="str">
        <f aca="false">"INSERT INTO COTACAO (cot_id, cot_blt_id, cot_pap_id, cot_prc_comum, cot_prc_min, cot_prc_max, cot_prc_med, cot_prc_mediana) VALUES ("&amp;A2236&amp;", "&amp;B2236&amp;", "&amp;C2236&amp;", "&amp;D2236&amp;", "&amp;E2236&amp;", "&amp;F2236&amp;", "&amp;G2236&amp;", "&amp;H2236&amp;");"</f>
        <v>INSERT INTO COTACAO (cot_id, cot_blt_id, cot_pap_id, cot_prc_comum, cot_prc_min, cot_prc_max, cot_prc_med, cot_prc_mediana) VALUES (2235, 94, 5,  30.00,  30.00,  30.00,  30.00,  30.00);</v>
      </c>
      <c r="J2236" s="0" t="str">
        <f aca="false">"UPDATE COTACAO SET cot_id = "&amp;A2236&amp;", cot_blt_id = "&amp;B2236&amp;", cot_pap_id = "&amp;C2236&amp;", cot_prc_comum = "&amp;D2236&amp;", cot_prc_min = "&amp;E2236&amp;", cot_prc_max = "&amp;F2236&amp;", cot_prc_med = "&amp;G2236&amp;", cot_prc_mediana = "&amp;H2236&amp;" WHERE cot_id = "&amp;A2236&amp;";"</f>
        <v>UPDATE COTACAO SET cot_id = 2235, cot_blt_id = 94, cot_pap_id = 5, cot_prc_comum =  30.00, cot_prc_min =  30.00, cot_prc_max =  30.00, cot_prc_med =  30.00, cot_prc_mediana =  30.00 WHERE cot_id = 2235;</v>
      </c>
    </row>
    <row r="2237" customFormat="false" ht="14.25" hidden="false" customHeight="false" outlineLevel="0" collapsed="false">
      <c r="A2237" s="0" t="n">
        <v>2236</v>
      </c>
      <c r="B2237" s="0" t="n">
        <f aca="false">IF('Boletins Nuppa Site'!A2237&lt;&gt;0,'Boletins Nuppa Site'!A2237,"NULL")</f>
        <v>94</v>
      </c>
      <c r="C2237" s="0" t="n">
        <v>6</v>
      </c>
      <c r="D2237" s="0" t="str">
        <f aca="false">IF('Boletins Nuppa Site'!G2237&lt;&gt;0,'Boletins Nuppa Site'!G2237,"NULL")</f>
        <v>NULL</v>
      </c>
      <c r="E2237" s="30" t="str">
        <f aca="false">IF('Boletins Nuppa Site'!H2237&lt;&gt;0,'Boletins Nuppa Site'!H2237,"NULL")</f>
        <v> 72.00</v>
      </c>
      <c r="F2237" s="30" t="str">
        <f aca="false">IF('Boletins Nuppa Site'!I2237&lt;&gt;0,'Boletins Nuppa Site'!I2237,"NULL")</f>
        <v> 120.00</v>
      </c>
      <c r="G2237" s="30" t="str">
        <f aca="false">IF('Boletins Nuppa Site'!J2237&lt;&gt;0,'Boletins Nuppa Site'!J2237,"NULL")</f>
        <v> 96.00</v>
      </c>
      <c r="H2237" s="30" t="str">
        <f aca="false">IF('Boletins Nuppa Site'!K2237&lt;&gt;0,'Boletins Nuppa Site'!K2237,"NULL")</f>
        <v> 96.00</v>
      </c>
      <c r="I2237" s="0" t="str">
        <f aca="false">"INSERT INTO COTACAO (cot_id, cot_blt_id, cot_pap_id, cot_prc_comum, cot_prc_min, cot_prc_max, cot_prc_med, cot_prc_mediana) VALUES ("&amp;A2237&amp;", "&amp;B2237&amp;", "&amp;C2237&amp;", "&amp;D2237&amp;", "&amp;E2237&amp;", "&amp;F2237&amp;", "&amp;G2237&amp;", "&amp;H2237&amp;");"</f>
        <v>INSERT INTO COTACAO (cot_id, cot_blt_id, cot_pap_id, cot_prc_comum, cot_prc_min, cot_prc_max, cot_prc_med, cot_prc_mediana) VALUES (2236, 94, 6, NULL,  72.00,  120.00,  96.00,  96.00);</v>
      </c>
      <c r="J2237" s="0" t="str">
        <f aca="false">"UPDATE COTACAO SET cot_id = "&amp;A2237&amp;", cot_blt_id = "&amp;B2237&amp;", cot_pap_id = "&amp;C2237&amp;", cot_prc_comum = "&amp;D2237&amp;", cot_prc_min = "&amp;E2237&amp;", cot_prc_max = "&amp;F2237&amp;", cot_prc_med = "&amp;G2237&amp;", cot_prc_mediana = "&amp;H2237&amp;" WHERE cot_id = "&amp;A2237&amp;";"</f>
        <v>UPDATE COTACAO SET cot_id = 2236, cot_blt_id = 94, cot_pap_id = 6, cot_prc_comum = NULL, cot_prc_min =  72.00, cot_prc_max =  120.00, cot_prc_med =  96.00, cot_prc_mediana =  96.00 WHERE cot_id = 2236;</v>
      </c>
    </row>
    <row r="2238" customFormat="false" ht="14.25" hidden="false" customHeight="false" outlineLevel="0" collapsed="false">
      <c r="A2238" s="0" t="n">
        <v>2237</v>
      </c>
      <c r="B2238" s="0" t="n">
        <f aca="false">IF('Boletins Nuppa Site'!A2238&lt;&gt;0,'Boletins Nuppa Site'!A2238,"NULL")</f>
        <v>94</v>
      </c>
      <c r="C2238" s="0" t="n">
        <v>7</v>
      </c>
      <c r="D2238" s="0" t="str">
        <f aca="false">IF('Boletins Nuppa Site'!G2238&lt;&gt;0,'Boletins Nuppa Site'!G2238,"NULL")</f>
        <v>NULL</v>
      </c>
      <c r="E2238" s="30" t="str">
        <f aca="false">IF('Boletins Nuppa Site'!H2238&lt;&gt;0,'Boletins Nuppa Site'!H2238,"NULL")</f>
        <v> 78.00</v>
      </c>
      <c r="F2238" s="30" t="str">
        <f aca="false">IF('Boletins Nuppa Site'!I2238&lt;&gt;0,'Boletins Nuppa Site'!I2238,"NULL")</f>
        <v> 84.00</v>
      </c>
      <c r="G2238" s="30" t="str">
        <f aca="false">IF('Boletins Nuppa Site'!J2238&lt;&gt;0,'Boletins Nuppa Site'!J2238,"NULL")</f>
        <v> 81.00</v>
      </c>
      <c r="H2238" s="30" t="str">
        <f aca="false">IF('Boletins Nuppa Site'!K2238&lt;&gt;0,'Boletins Nuppa Site'!K2238,"NULL")</f>
        <v> 81.00</v>
      </c>
      <c r="I2238" s="0" t="str">
        <f aca="false">"INSERT INTO COTACAO (cot_id, cot_blt_id, cot_pap_id, cot_prc_comum, cot_prc_min, cot_prc_max, cot_prc_med, cot_prc_mediana) VALUES ("&amp;A2238&amp;", "&amp;B2238&amp;", "&amp;C2238&amp;", "&amp;D2238&amp;", "&amp;E2238&amp;", "&amp;F2238&amp;", "&amp;G2238&amp;", "&amp;H2238&amp;");"</f>
        <v>INSERT INTO COTACAO (cot_id, cot_blt_id, cot_pap_id, cot_prc_comum, cot_prc_min, cot_prc_max, cot_prc_med, cot_prc_mediana) VALUES (2237, 94, 7, NULL,  78.00,  84.00,  81.00,  81.00);</v>
      </c>
      <c r="J2238" s="0" t="str">
        <f aca="false">"UPDATE COTACAO SET cot_id = "&amp;A2238&amp;", cot_blt_id = "&amp;B2238&amp;", cot_pap_id = "&amp;C2238&amp;", cot_prc_comum = "&amp;D2238&amp;", cot_prc_min = "&amp;E2238&amp;", cot_prc_max = "&amp;F2238&amp;", cot_prc_med = "&amp;G2238&amp;", cot_prc_mediana = "&amp;H2238&amp;" WHERE cot_id = "&amp;A2238&amp;";"</f>
        <v>UPDATE COTACAO SET cot_id = 2237, cot_blt_id = 94, cot_pap_id = 7, cot_prc_comum = NULL, cot_prc_min =  78.00, cot_prc_max =  84.00, cot_prc_med =  81.00, cot_prc_mediana =  81.00 WHERE cot_id = 2237;</v>
      </c>
    </row>
    <row r="2239" customFormat="false" ht="14.25" hidden="false" customHeight="false" outlineLevel="0" collapsed="false">
      <c r="A2239" s="0" t="n">
        <v>2238</v>
      </c>
      <c r="B2239" s="0" t="n">
        <f aca="false">IF('Boletins Nuppa Site'!A2239&lt;&gt;0,'Boletins Nuppa Site'!A2239,"NULL")</f>
        <v>94</v>
      </c>
      <c r="C2239" s="0" t="n">
        <v>8</v>
      </c>
      <c r="D2239" s="0" t="str">
        <f aca="false">IF('Boletins Nuppa Site'!G2239&lt;&gt;0,'Boletins Nuppa Site'!G2239,"NULL")</f>
        <v>NULL</v>
      </c>
      <c r="E2239" s="30" t="str">
        <f aca="false">IF('Boletins Nuppa Site'!H2239&lt;&gt;0,'Boletins Nuppa Site'!H2239,"NULL")</f>
        <v> 72.00</v>
      </c>
      <c r="F2239" s="30" t="str">
        <f aca="false">IF('Boletins Nuppa Site'!I2239&lt;&gt;0,'Boletins Nuppa Site'!I2239,"NULL")</f>
        <v> 102.00</v>
      </c>
      <c r="G2239" s="30" t="str">
        <f aca="false">IF('Boletins Nuppa Site'!J2239&lt;&gt;0,'Boletins Nuppa Site'!J2239,"NULL")</f>
        <v> 88.00</v>
      </c>
      <c r="H2239" s="30" t="str">
        <f aca="false">IF('Boletins Nuppa Site'!K2239&lt;&gt;0,'Boletins Nuppa Site'!K2239,"NULL")</f>
        <v> 90.00</v>
      </c>
      <c r="I2239" s="0" t="str">
        <f aca="false">"INSERT INTO COTACAO (cot_id, cot_blt_id, cot_pap_id, cot_prc_comum, cot_prc_min, cot_prc_max, cot_prc_med, cot_prc_mediana) VALUES ("&amp;A2239&amp;", "&amp;B2239&amp;", "&amp;C2239&amp;", "&amp;D2239&amp;", "&amp;E2239&amp;", "&amp;F2239&amp;", "&amp;G2239&amp;", "&amp;H2239&amp;");"</f>
        <v>INSERT INTO COTACAO (cot_id, cot_blt_id, cot_pap_id, cot_prc_comum, cot_prc_min, cot_prc_max, cot_prc_med, cot_prc_mediana) VALUES (2238, 94, 8, NULL,  72.00,  102.00,  88.00,  90.00);</v>
      </c>
      <c r="J2239" s="0" t="str">
        <f aca="false">"UPDATE COTACAO SET cot_id = "&amp;A2239&amp;", cot_blt_id = "&amp;B2239&amp;", cot_pap_id = "&amp;C2239&amp;", cot_prc_comum = "&amp;D2239&amp;", cot_prc_min = "&amp;E2239&amp;", cot_prc_max = "&amp;F2239&amp;", cot_prc_med = "&amp;G2239&amp;", cot_prc_mediana = "&amp;H2239&amp;" WHERE cot_id = "&amp;A2239&amp;";"</f>
        <v>UPDATE COTACAO SET cot_id = 2238, cot_blt_id = 94, cot_pap_id = 8, cot_prc_comum = NULL, cot_prc_min =  72.00, cot_prc_max =  102.00, cot_prc_med =  88.00, cot_prc_mediana =  90.00 WHERE cot_id = 2238;</v>
      </c>
    </row>
    <row r="2240" customFormat="false" ht="14.25" hidden="false" customHeight="false" outlineLevel="0" collapsed="false">
      <c r="A2240" s="0" t="n">
        <v>2239</v>
      </c>
      <c r="B2240" s="0" t="n">
        <f aca="false">IF('Boletins Nuppa Site'!A2240&lt;&gt;0,'Boletins Nuppa Site'!A2240,"NULL")</f>
        <v>94</v>
      </c>
      <c r="C2240" s="0" t="n">
        <v>9</v>
      </c>
      <c r="D2240" s="0" t="str">
        <f aca="false">IF('Boletins Nuppa Site'!G2240&lt;&gt;0,'Boletins Nuppa Site'!G2240,"NULL")</f>
        <v>NULL</v>
      </c>
      <c r="E2240" s="30" t="str">
        <f aca="false">IF('Boletins Nuppa Site'!H2240&lt;&gt;0,'Boletins Nuppa Site'!H2240,"NULL")</f>
        <v> 24.00</v>
      </c>
      <c r="F2240" s="30" t="str">
        <f aca="false">IF('Boletins Nuppa Site'!I2240&lt;&gt;0,'Boletins Nuppa Site'!I2240,"NULL")</f>
        <v> 36.00</v>
      </c>
      <c r="G2240" s="30" t="str">
        <f aca="false">IF('Boletins Nuppa Site'!J2240&lt;&gt;0,'Boletins Nuppa Site'!J2240,"NULL")</f>
        <v> 28.00</v>
      </c>
      <c r="H2240" s="30" t="str">
        <f aca="false">IF('Boletins Nuppa Site'!K2240&lt;&gt;0,'Boletins Nuppa Site'!K2240,"NULL")</f>
        <v> 24.00</v>
      </c>
      <c r="I2240" s="0" t="str">
        <f aca="false">"INSERT INTO COTACAO (cot_id, cot_blt_id, cot_pap_id, cot_prc_comum, cot_prc_min, cot_prc_max, cot_prc_med, cot_prc_mediana) VALUES ("&amp;A2240&amp;", "&amp;B2240&amp;", "&amp;C2240&amp;", "&amp;D2240&amp;", "&amp;E2240&amp;", "&amp;F2240&amp;", "&amp;G2240&amp;", "&amp;H2240&amp;");"</f>
        <v>INSERT INTO COTACAO (cot_id, cot_blt_id, cot_pap_id, cot_prc_comum, cot_prc_min, cot_prc_max, cot_prc_med, cot_prc_mediana) VALUES (2239, 94, 9, NULL,  24.00,  36.00,  28.00,  24.00);</v>
      </c>
      <c r="J2240" s="0" t="str">
        <f aca="false">"UPDATE COTACAO SET cot_id = "&amp;A2240&amp;", cot_blt_id = "&amp;B2240&amp;", cot_pap_id = "&amp;C2240&amp;", cot_prc_comum = "&amp;D2240&amp;", cot_prc_min = "&amp;E2240&amp;", cot_prc_max = "&amp;F2240&amp;", cot_prc_med = "&amp;G2240&amp;", cot_prc_mediana = "&amp;H2240&amp;" WHERE cot_id = "&amp;A2240&amp;";"</f>
        <v>UPDATE COTACAO SET cot_id = 2239, cot_blt_id = 94, cot_pap_id = 9, cot_prc_comum = NULL, cot_prc_min =  24.00, cot_prc_max =  36.00, cot_prc_med =  28.00, cot_prc_mediana =  24.00 WHERE cot_id = 2239;</v>
      </c>
    </row>
    <row r="2241" customFormat="false" ht="14.25" hidden="false" customHeight="false" outlineLevel="0" collapsed="false">
      <c r="A2241" s="0" t="n">
        <v>2240</v>
      </c>
      <c r="B2241" s="0" t="n">
        <f aca="false">IF('Boletins Nuppa Site'!A2241&lt;&gt;0,'Boletins Nuppa Site'!A2241,"NULL")</f>
        <v>94</v>
      </c>
      <c r="C2241" s="0" t="n">
        <v>10</v>
      </c>
      <c r="D2241" s="0" t="str">
        <f aca="false">IF('Boletins Nuppa Site'!G2241&lt;&gt;0,'Boletins Nuppa Site'!G2241,"NULL")</f>
        <v>NULL</v>
      </c>
      <c r="E2241" s="30" t="str">
        <f aca="false">IF('Boletins Nuppa Site'!H2241&lt;&gt;0,'Boletins Nuppa Site'!H2241,"NULL")</f>
        <v> 84.00</v>
      </c>
      <c r="F2241" s="30" t="str">
        <f aca="false">IF('Boletins Nuppa Site'!I2241&lt;&gt;0,'Boletins Nuppa Site'!I2241,"NULL")</f>
        <v> 120.00</v>
      </c>
      <c r="G2241" s="30" t="str">
        <f aca="false">IF('Boletins Nuppa Site'!J2241&lt;&gt;0,'Boletins Nuppa Site'!J2241,"NULL")</f>
        <v> 102.00</v>
      </c>
      <c r="H2241" s="30" t="str">
        <f aca="false">IF('Boletins Nuppa Site'!K2241&lt;&gt;0,'Boletins Nuppa Site'!K2241,"NULL")</f>
        <v> 102.00</v>
      </c>
      <c r="I2241" s="0" t="str">
        <f aca="false">"INSERT INTO COTACAO (cot_id, cot_blt_id, cot_pap_id, cot_prc_comum, cot_prc_min, cot_prc_max, cot_prc_med, cot_prc_mediana) VALUES ("&amp;A2241&amp;", "&amp;B2241&amp;", "&amp;C2241&amp;", "&amp;D2241&amp;", "&amp;E2241&amp;", "&amp;F2241&amp;", "&amp;G2241&amp;", "&amp;H2241&amp;");"</f>
        <v>INSERT INTO COTACAO (cot_id, cot_blt_id, cot_pap_id, cot_prc_comum, cot_prc_min, cot_prc_max, cot_prc_med, cot_prc_mediana) VALUES (2240, 94, 10, NULL,  84.00,  120.00,  102.00,  102.00);</v>
      </c>
      <c r="J2241" s="0" t="str">
        <f aca="false">"UPDATE COTACAO SET cot_id = "&amp;A2241&amp;", cot_blt_id = "&amp;B2241&amp;", cot_pap_id = "&amp;C2241&amp;", cot_prc_comum = "&amp;D2241&amp;", cot_prc_min = "&amp;E2241&amp;", cot_prc_max = "&amp;F2241&amp;", cot_prc_med = "&amp;G2241&amp;", cot_prc_mediana = "&amp;H2241&amp;" WHERE cot_id = "&amp;A2241&amp;";"</f>
        <v>UPDATE COTACAO SET cot_id = 2240, cot_blt_id = 94, cot_pap_id = 10, cot_prc_comum = NULL, cot_prc_min =  84.00, cot_prc_max =  120.00, cot_prc_med =  102.00, cot_prc_mediana =  102.00 WHERE cot_id = 2240;</v>
      </c>
    </row>
    <row r="2242" customFormat="false" ht="14.25" hidden="false" customHeight="false" outlineLevel="0" collapsed="false">
      <c r="A2242" s="0" t="n">
        <v>2241</v>
      </c>
      <c r="B2242" s="0" t="n">
        <f aca="false">IF('Boletins Nuppa Site'!A2242&lt;&gt;0,'Boletins Nuppa Site'!A2242,"NULL")</f>
        <v>94</v>
      </c>
      <c r="C2242" s="0" t="n">
        <v>11</v>
      </c>
      <c r="D2242" s="0" t="str">
        <f aca="false">IF('Boletins Nuppa Site'!G2242&lt;&gt;0,'Boletins Nuppa Site'!G2242,"NULL")</f>
        <v>NULL</v>
      </c>
      <c r="E2242" s="30" t="str">
        <f aca="false">IF('Boletins Nuppa Site'!H2242&lt;&gt;0,'Boletins Nuppa Site'!H2242,"NULL")</f>
        <v> 30.00</v>
      </c>
      <c r="F2242" s="30" t="str">
        <f aca="false">IF('Boletins Nuppa Site'!I2242&lt;&gt;0,'Boletins Nuppa Site'!I2242,"NULL")</f>
        <v> 30.00</v>
      </c>
      <c r="G2242" s="30" t="str">
        <f aca="false">IF('Boletins Nuppa Site'!J2242&lt;&gt;0,'Boletins Nuppa Site'!J2242,"NULL")</f>
        <v> 28.00</v>
      </c>
      <c r="H2242" s="30" t="str">
        <f aca="false">IF('Boletins Nuppa Site'!K2242&lt;&gt;0,'Boletins Nuppa Site'!K2242,"NULL")</f>
        <v> 30.00</v>
      </c>
      <c r="I2242" s="0" t="str">
        <f aca="false">"INSERT INTO COTACAO (cot_id, cot_blt_id, cot_pap_id, cot_prc_comum, cot_prc_min, cot_prc_max, cot_prc_med, cot_prc_mediana) VALUES ("&amp;A2242&amp;", "&amp;B2242&amp;", "&amp;C2242&amp;", "&amp;D2242&amp;", "&amp;E2242&amp;", "&amp;F2242&amp;", "&amp;G2242&amp;", "&amp;H2242&amp;");"</f>
        <v>INSERT INTO COTACAO (cot_id, cot_blt_id, cot_pap_id, cot_prc_comum, cot_prc_min, cot_prc_max, cot_prc_med, cot_prc_mediana) VALUES (2241, 94, 11, NULL,  30.00,  30.00,  28.00,  30.00);</v>
      </c>
      <c r="J2242" s="0" t="str">
        <f aca="false">"UPDATE COTACAO SET cot_id = "&amp;A2242&amp;", cot_blt_id = "&amp;B2242&amp;", cot_pap_id = "&amp;C2242&amp;", cot_prc_comum = "&amp;D2242&amp;", cot_prc_min = "&amp;E2242&amp;", cot_prc_max = "&amp;F2242&amp;", cot_prc_med = "&amp;G2242&amp;", cot_prc_mediana = "&amp;H2242&amp;" WHERE cot_id = "&amp;A2242&amp;";"</f>
        <v>UPDATE COTACAO SET cot_id = 2241, cot_blt_id = 94, cot_pap_id = 11, cot_prc_comum = NULL, cot_prc_min =  30.00, cot_prc_max =  30.00, cot_prc_med =  28.00, cot_prc_mediana =  30.00 WHERE cot_id = 2241;</v>
      </c>
    </row>
    <row r="2243" customFormat="false" ht="14.25" hidden="false" customHeight="false" outlineLevel="0" collapsed="false">
      <c r="A2243" s="0" t="n">
        <v>2242</v>
      </c>
      <c r="B2243" s="0" t="n">
        <f aca="false">IF('Boletins Nuppa Site'!A2243&lt;&gt;0,'Boletins Nuppa Site'!A2243,"NULL")</f>
        <v>94</v>
      </c>
      <c r="C2243" s="0" t="n">
        <v>12</v>
      </c>
      <c r="D2243" s="0" t="str">
        <f aca="false">IF('Boletins Nuppa Site'!G2243&lt;&gt;0,'Boletins Nuppa Site'!G2243,"NULL")</f>
        <v>NULL</v>
      </c>
      <c r="E2243" s="30" t="str">
        <f aca="false">IF('Boletins Nuppa Site'!H2243&lt;&gt;0,'Boletins Nuppa Site'!H2243,"NULL")</f>
        <v> 72.00</v>
      </c>
      <c r="F2243" s="30" t="str">
        <f aca="false">IF('Boletins Nuppa Site'!I2243&lt;&gt;0,'Boletins Nuppa Site'!I2243,"NULL")</f>
        <v> 120.00</v>
      </c>
      <c r="G2243" s="30" t="str">
        <f aca="false">IF('Boletins Nuppa Site'!J2243&lt;&gt;0,'Boletins Nuppa Site'!J2243,"NULL")</f>
        <v> 96.00</v>
      </c>
      <c r="H2243" s="30" t="str">
        <f aca="false">IF('Boletins Nuppa Site'!K2243&lt;&gt;0,'Boletins Nuppa Site'!K2243,"NULL")</f>
        <v> 96.00</v>
      </c>
      <c r="I2243" s="0" t="str">
        <f aca="false">"INSERT INTO COTACAO (cot_id, cot_blt_id, cot_pap_id, cot_prc_comum, cot_prc_min, cot_prc_max, cot_prc_med, cot_prc_mediana) VALUES ("&amp;A2243&amp;", "&amp;B2243&amp;", "&amp;C2243&amp;", "&amp;D2243&amp;", "&amp;E2243&amp;", "&amp;F2243&amp;", "&amp;G2243&amp;", "&amp;H2243&amp;");"</f>
        <v>INSERT INTO COTACAO (cot_id, cot_blt_id, cot_pap_id, cot_prc_comum, cot_prc_min, cot_prc_max, cot_prc_med, cot_prc_mediana) VALUES (2242, 94, 12, NULL,  72.00,  120.00,  96.00,  96.00);</v>
      </c>
      <c r="J2243" s="0" t="str">
        <f aca="false">"UPDATE COTACAO SET cot_id = "&amp;A2243&amp;", cot_blt_id = "&amp;B2243&amp;", cot_pap_id = "&amp;C2243&amp;", cot_prc_comum = "&amp;D2243&amp;", cot_prc_min = "&amp;E2243&amp;", cot_prc_max = "&amp;F2243&amp;", cot_prc_med = "&amp;G2243&amp;", cot_prc_mediana = "&amp;H2243&amp;" WHERE cot_id = "&amp;A2243&amp;";"</f>
        <v>UPDATE COTACAO SET cot_id = 2242, cot_blt_id = 94, cot_pap_id = 12, cot_prc_comum = NULL, cot_prc_min =  72.00, cot_prc_max =  120.00, cot_prc_med =  96.00, cot_prc_mediana =  96.00 WHERE cot_id = 2242;</v>
      </c>
    </row>
    <row r="2244" customFormat="false" ht="14.25" hidden="false" customHeight="false" outlineLevel="0" collapsed="false">
      <c r="A2244" s="0" t="n">
        <v>2243</v>
      </c>
      <c r="B2244" s="0" t="n">
        <f aca="false">IF('Boletins Nuppa Site'!A2244&lt;&gt;0,'Boletins Nuppa Site'!A2244,"NULL")</f>
        <v>94</v>
      </c>
      <c r="C2244" s="0" t="n">
        <v>13</v>
      </c>
      <c r="D2244" s="0" t="str">
        <f aca="false">IF('Boletins Nuppa Site'!G2244&lt;&gt;0,'Boletins Nuppa Site'!G2244,"NULL")</f>
        <v>NULL</v>
      </c>
      <c r="E2244" s="30" t="str">
        <f aca="false">IF('Boletins Nuppa Site'!H2244&lt;&gt;0,'Boletins Nuppa Site'!H2244,"NULL")</f>
        <v> 60.00</v>
      </c>
      <c r="F2244" s="30" t="str">
        <f aca="false">IF('Boletins Nuppa Site'!I2244&lt;&gt;0,'Boletins Nuppa Site'!I2244,"NULL")</f>
        <v> 72.00</v>
      </c>
      <c r="G2244" s="30" t="str">
        <f aca="false">IF('Boletins Nuppa Site'!J2244&lt;&gt;0,'Boletins Nuppa Site'!J2244,"NULL")</f>
        <v> 64.00</v>
      </c>
      <c r="H2244" s="30" t="str">
        <f aca="false">IF('Boletins Nuppa Site'!K2244&lt;&gt;0,'Boletins Nuppa Site'!K2244,"NULL")</f>
        <v> 60.00</v>
      </c>
      <c r="I2244" s="0" t="str">
        <f aca="false">"INSERT INTO COTACAO (cot_id, cot_blt_id, cot_pap_id, cot_prc_comum, cot_prc_min, cot_prc_max, cot_prc_med, cot_prc_mediana) VALUES ("&amp;A2244&amp;", "&amp;B2244&amp;", "&amp;C2244&amp;", "&amp;D2244&amp;", "&amp;E2244&amp;", "&amp;F2244&amp;", "&amp;G2244&amp;", "&amp;H2244&amp;");"</f>
        <v>INSERT INTO COTACAO (cot_id, cot_blt_id, cot_pap_id, cot_prc_comum, cot_prc_min, cot_prc_max, cot_prc_med, cot_prc_mediana) VALUES (2243, 94, 13, NULL,  60.00,  72.00,  64.00,  60.00);</v>
      </c>
      <c r="J2244" s="0" t="str">
        <f aca="false">"UPDATE COTACAO SET cot_id = "&amp;A2244&amp;", cot_blt_id = "&amp;B2244&amp;", cot_pap_id = "&amp;C2244&amp;", cot_prc_comum = "&amp;D2244&amp;", cot_prc_min = "&amp;E2244&amp;", cot_prc_max = "&amp;F2244&amp;", cot_prc_med = "&amp;G2244&amp;", cot_prc_mediana = "&amp;H2244&amp;" WHERE cot_id = "&amp;A2244&amp;";"</f>
        <v>UPDATE COTACAO SET cot_id = 2243, cot_blt_id = 94, cot_pap_id = 13, cot_prc_comum = NULL, cot_prc_min =  60.00, cot_prc_max =  72.00, cot_prc_med =  64.00, cot_prc_mediana =  60.00 WHERE cot_id = 2243;</v>
      </c>
    </row>
    <row r="2245" customFormat="false" ht="14.25" hidden="false" customHeight="false" outlineLevel="0" collapsed="false">
      <c r="A2245" s="0" t="n">
        <v>2244</v>
      </c>
      <c r="B2245" s="0" t="n">
        <f aca="false">IF('Boletins Nuppa Site'!A2245&lt;&gt;0,'Boletins Nuppa Site'!A2245,"NULL")</f>
        <v>94</v>
      </c>
      <c r="C2245" s="0" t="n">
        <v>14</v>
      </c>
      <c r="D2245" s="0" t="str">
        <f aca="false">IF('Boletins Nuppa Site'!G2245&lt;&gt;0,'Boletins Nuppa Site'!G2245,"NULL")</f>
        <v>NULL</v>
      </c>
      <c r="E2245" s="30" t="str">
        <f aca="false">IF('Boletins Nuppa Site'!H2245&lt;&gt;0,'Boletins Nuppa Site'!H2245,"NULL")</f>
        <v> 84.00</v>
      </c>
      <c r="F2245" s="30" t="str">
        <f aca="false">IF('Boletins Nuppa Site'!I2245&lt;&gt;0,'Boletins Nuppa Site'!I2245,"NULL")</f>
        <v> 84.00</v>
      </c>
      <c r="G2245" s="30" t="str">
        <f aca="false">IF('Boletins Nuppa Site'!J2245&lt;&gt;0,'Boletins Nuppa Site'!J2245,"NULL")</f>
        <v> 84.00</v>
      </c>
      <c r="H2245" s="30" t="str">
        <f aca="false">IF('Boletins Nuppa Site'!K2245&lt;&gt;0,'Boletins Nuppa Site'!K2245,"NULL")</f>
        <v> 84.00</v>
      </c>
      <c r="I2245" s="0" t="str">
        <f aca="false">"INSERT INTO COTACAO (cot_id, cot_blt_id, cot_pap_id, cot_prc_comum, cot_prc_min, cot_prc_max, cot_prc_med, cot_prc_mediana) VALUES ("&amp;A2245&amp;", "&amp;B2245&amp;", "&amp;C2245&amp;", "&amp;D2245&amp;", "&amp;E2245&amp;", "&amp;F2245&amp;", "&amp;G2245&amp;", "&amp;H2245&amp;");"</f>
        <v>INSERT INTO COTACAO (cot_id, cot_blt_id, cot_pap_id, cot_prc_comum, cot_prc_min, cot_prc_max, cot_prc_med, cot_prc_mediana) VALUES (2244, 94, 14, NULL,  84.00,  84.00,  84.00,  84.00);</v>
      </c>
      <c r="J2245" s="0" t="str">
        <f aca="false">"UPDATE COTACAO SET cot_id = "&amp;A2245&amp;", cot_blt_id = "&amp;B2245&amp;", cot_pap_id = "&amp;C2245&amp;", cot_prc_comum = "&amp;D2245&amp;", cot_prc_min = "&amp;E2245&amp;", cot_prc_max = "&amp;F2245&amp;", cot_prc_med = "&amp;G2245&amp;", cot_prc_mediana = "&amp;H2245&amp;" WHERE cot_id = "&amp;A2245&amp;";"</f>
        <v>UPDATE COTACAO SET cot_id = 2244, cot_blt_id = 94, cot_pap_id = 14, cot_prc_comum = NULL, cot_prc_min =  84.00, cot_prc_max =  84.00, cot_prc_med =  84.00, cot_prc_mediana =  84.00 WHERE cot_id = 2244;</v>
      </c>
    </row>
    <row r="2246" customFormat="false" ht="14.25" hidden="false" customHeight="false" outlineLevel="0" collapsed="false">
      <c r="A2246" s="0" t="n">
        <v>2245</v>
      </c>
      <c r="B2246" s="0" t="n">
        <f aca="false">IF('Boletins Nuppa Site'!A2246&lt;&gt;0,'Boletins Nuppa Site'!A2246,"NULL")</f>
        <v>94</v>
      </c>
      <c r="C2246" s="0" t="n">
        <v>15</v>
      </c>
      <c r="D2246" s="0" t="str">
        <f aca="false">IF('Boletins Nuppa Site'!G2246&lt;&gt;0,'Boletins Nuppa Site'!G2246,"NULL")</f>
        <v>NULL</v>
      </c>
      <c r="E2246" s="30" t="str">
        <f aca="false">IF('Boletins Nuppa Site'!H2246&lt;&gt;0,'Boletins Nuppa Site'!H2246,"NULL")</f>
        <v> 50.00</v>
      </c>
      <c r="F2246" s="30" t="str">
        <f aca="false">IF('Boletins Nuppa Site'!I2246&lt;&gt;0,'Boletins Nuppa Site'!I2246,"NULL")</f>
        <v> 60.00</v>
      </c>
      <c r="G2246" s="30" t="str">
        <f aca="false">IF('Boletins Nuppa Site'!J2246&lt;&gt;0,'Boletins Nuppa Site'!J2246,"NULL")</f>
        <v> 56.67</v>
      </c>
      <c r="H2246" s="30" t="str">
        <f aca="false">IF('Boletins Nuppa Site'!K2246&lt;&gt;0,'Boletins Nuppa Site'!K2246,"NULL")</f>
        <v> 60.00</v>
      </c>
      <c r="I2246" s="0" t="str">
        <f aca="false">"INSERT INTO COTACAO (cot_id, cot_blt_id, cot_pap_id, cot_prc_comum, cot_prc_min, cot_prc_max, cot_prc_med, cot_prc_mediana) VALUES ("&amp;A2246&amp;", "&amp;B2246&amp;", "&amp;C2246&amp;", "&amp;D2246&amp;", "&amp;E2246&amp;", "&amp;F2246&amp;", "&amp;G2246&amp;", "&amp;H2246&amp;");"</f>
        <v>INSERT INTO COTACAO (cot_id, cot_blt_id, cot_pap_id, cot_prc_comum, cot_prc_min, cot_prc_max, cot_prc_med, cot_prc_mediana) VALUES (2245, 94, 15, NULL,  50.00,  60.00,  56.67,  60.00);</v>
      </c>
      <c r="J2246" s="0" t="str">
        <f aca="false">"UPDATE COTACAO SET cot_id = "&amp;A2246&amp;", cot_blt_id = "&amp;B2246&amp;", cot_pap_id = "&amp;C2246&amp;", cot_prc_comum = "&amp;D2246&amp;", cot_prc_min = "&amp;E2246&amp;", cot_prc_max = "&amp;F2246&amp;", cot_prc_med = "&amp;G2246&amp;", cot_prc_mediana = "&amp;H2246&amp;" WHERE cot_id = "&amp;A2246&amp;";"</f>
        <v>UPDATE COTACAO SET cot_id = 2245, cot_blt_id = 94, cot_pap_id = 15, cot_prc_comum = NULL, cot_prc_min =  50.00, cot_prc_max =  60.00, cot_prc_med =  56.67, cot_prc_mediana =  60.00 WHERE cot_id = 2245;</v>
      </c>
    </row>
    <row r="2247" customFormat="false" ht="14.25" hidden="false" customHeight="false" outlineLevel="0" collapsed="false">
      <c r="A2247" s="0" t="n">
        <v>2246</v>
      </c>
      <c r="B2247" s="0" t="n">
        <f aca="false">IF('Boletins Nuppa Site'!A2247&lt;&gt;0,'Boletins Nuppa Site'!A2247,"NULL")</f>
        <v>94</v>
      </c>
      <c r="C2247" s="0" t="n">
        <v>16</v>
      </c>
      <c r="D2247" s="0" t="str">
        <f aca="false">IF('Boletins Nuppa Site'!G2247&lt;&gt;0,'Boletins Nuppa Site'!G2247,"NULL")</f>
        <v> 54.00</v>
      </c>
      <c r="E2247" s="30" t="str">
        <f aca="false">IF('Boletins Nuppa Site'!H2247&lt;&gt;0,'Boletins Nuppa Site'!H2247,"NULL")</f>
        <v> 60.00</v>
      </c>
      <c r="F2247" s="30" t="str">
        <f aca="false">IF('Boletins Nuppa Site'!I2247&lt;&gt;0,'Boletins Nuppa Site'!I2247,"NULL")</f>
        <v> 60.00</v>
      </c>
      <c r="G2247" s="30" t="str">
        <f aca="false">IF('Boletins Nuppa Site'!J2247&lt;&gt;0,'Boletins Nuppa Site'!J2247,"NULL")</f>
        <v> 58.00</v>
      </c>
      <c r="H2247" s="30" t="str">
        <f aca="false">IF('Boletins Nuppa Site'!K2247&lt;&gt;0,'Boletins Nuppa Site'!K2247,"NULL")</f>
        <v> 60.00</v>
      </c>
      <c r="I2247" s="0" t="str">
        <f aca="false">"INSERT INTO COTACAO (cot_id, cot_blt_id, cot_pap_id, cot_prc_comum, cot_prc_min, cot_prc_max, cot_prc_med, cot_prc_mediana) VALUES ("&amp;A2247&amp;", "&amp;B2247&amp;", "&amp;C2247&amp;", "&amp;D2247&amp;", "&amp;E2247&amp;", "&amp;F2247&amp;", "&amp;G2247&amp;", "&amp;H2247&amp;");"</f>
        <v>INSERT INTO COTACAO (cot_id, cot_blt_id, cot_pap_id, cot_prc_comum, cot_prc_min, cot_prc_max, cot_prc_med, cot_prc_mediana) VALUES (2246, 94, 16,  54.00,  60.00,  60.00,  58.00,  60.00);</v>
      </c>
      <c r="J2247" s="0" t="str">
        <f aca="false">"UPDATE COTACAO SET cot_id = "&amp;A2247&amp;", cot_blt_id = "&amp;B2247&amp;", cot_pap_id = "&amp;C2247&amp;", cot_prc_comum = "&amp;D2247&amp;", cot_prc_min = "&amp;E2247&amp;", cot_prc_max = "&amp;F2247&amp;", cot_prc_med = "&amp;G2247&amp;", cot_prc_mediana = "&amp;H2247&amp;" WHERE cot_id = "&amp;A2247&amp;";"</f>
        <v>UPDATE COTACAO SET cot_id = 2246, cot_blt_id = 94, cot_pap_id = 16, cot_prc_comum =  54.00, cot_prc_min =  60.00, cot_prc_max =  60.00, cot_prc_med =  58.00, cot_prc_mediana =  60.00 WHERE cot_id = 2246;</v>
      </c>
    </row>
    <row r="2248" customFormat="false" ht="14.25" hidden="false" customHeight="false" outlineLevel="0" collapsed="false">
      <c r="A2248" s="0" t="n">
        <v>2247</v>
      </c>
      <c r="B2248" s="0" t="n">
        <f aca="false">IF('Boletins Nuppa Site'!A2248&lt;&gt;0,'Boletins Nuppa Site'!A2248,"NULL")</f>
        <v>94</v>
      </c>
      <c r="C2248" s="0" t="n">
        <v>17</v>
      </c>
      <c r="D2248" s="0" t="str">
        <f aca="false">IF('Boletins Nuppa Site'!G2248&lt;&gt;0,'Boletins Nuppa Site'!G2248,"NULL")</f>
        <v> 60.00</v>
      </c>
      <c r="E2248" s="30" t="str">
        <f aca="false">IF('Boletins Nuppa Site'!H2248&lt;&gt;0,'Boletins Nuppa Site'!H2248,"NULL")</f>
        <v> 48.00</v>
      </c>
      <c r="F2248" s="30" t="str">
        <f aca="false">IF('Boletins Nuppa Site'!I2248&lt;&gt;0,'Boletins Nuppa Site'!I2248,"NULL")</f>
        <v> 60.00</v>
      </c>
      <c r="G2248" s="30" t="str">
        <f aca="false">IF('Boletins Nuppa Site'!J2248&lt;&gt;0,'Boletins Nuppa Site'!J2248,"NULL")</f>
        <v> 56.00</v>
      </c>
      <c r="H2248" s="30" t="str">
        <f aca="false">IF('Boletins Nuppa Site'!K2248&lt;&gt;0,'Boletins Nuppa Site'!K2248,"NULL")</f>
        <v> 60.00</v>
      </c>
      <c r="I2248" s="0" t="str">
        <f aca="false">"INSERT INTO COTACAO (cot_id, cot_blt_id, cot_pap_id, cot_prc_comum, cot_prc_min, cot_prc_max, cot_prc_med, cot_prc_mediana) VALUES ("&amp;A2248&amp;", "&amp;B2248&amp;", "&amp;C2248&amp;", "&amp;D2248&amp;", "&amp;E2248&amp;", "&amp;F2248&amp;", "&amp;G2248&amp;", "&amp;H2248&amp;");"</f>
        <v>INSERT INTO COTACAO (cot_id, cot_blt_id, cot_pap_id, cot_prc_comum, cot_prc_min, cot_prc_max, cot_prc_med, cot_prc_mediana) VALUES (2247, 94, 17,  60.00,  48.00,  60.00,  56.00,  60.00);</v>
      </c>
      <c r="J2248" s="0" t="str">
        <f aca="false">"UPDATE COTACAO SET cot_id = "&amp;A2248&amp;", cot_blt_id = "&amp;B2248&amp;", cot_pap_id = "&amp;C2248&amp;", cot_prc_comum = "&amp;D2248&amp;", cot_prc_min = "&amp;E2248&amp;", cot_prc_max = "&amp;F2248&amp;", cot_prc_med = "&amp;G2248&amp;", cot_prc_mediana = "&amp;H2248&amp;" WHERE cot_id = "&amp;A2248&amp;";"</f>
        <v>UPDATE COTACAO SET cot_id = 2247, cot_blt_id = 94, cot_pap_id = 17, cot_prc_comum =  60.00, cot_prc_min =  48.00, cot_prc_max =  60.00, cot_prc_med =  56.00, cot_prc_mediana =  60.00 WHERE cot_id = 2247;</v>
      </c>
    </row>
    <row r="2249" customFormat="false" ht="14.25" hidden="false" customHeight="false" outlineLevel="0" collapsed="false">
      <c r="A2249" s="0" t="n">
        <v>2248</v>
      </c>
      <c r="B2249" s="0" t="n">
        <f aca="false">IF('Boletins Nuppa Site'!A2249&lt;&gt;0,'Boletins Nuppa Site'!A2249,"NULL")</f>
        <v>94</v>
      </c>
      <c r="C2249" s="0" t="n">
        <v>18</v>
      </c>
      <c r="D2249" s="0" t="str">
        <f aca="false">IF('Boletins Nuppa Site'!G2249&lt;&gt;0,'Boletins Nuppa Site'!G2249,"NULL")</f>
        <v>NULL</v>
      </c>
      <c r="E2249" s="30" t="str">
        <f aca="false">IF('Boletins Nuppa Site'!H2249&lt;&gt;0,'Boletins Nuppa Site'!H2249,"NULL")</f>
        <v> 84.00</v>
      </c>
      <c r="F2249" s="30" t="str">
        <f aca="false">IF('Boletins Nuppa Site'!I2249&lt;&gt;0,'Boletins Nuppa Site'!I2249,"NULL")</f>
        <v> 96.00</v>
      </c>
      <c r="G2249" s="30" t="str">
        <f aca="false">IF('Boletins Nuppa Site'!J2249&lt;&gt;0,'Boletins Nuppa Site'!J2249,"NULL")</f>
        <v> 90.00</v>
      </c>
      <c r="H2249" s="30" t="str">
        <f aca="false">IF('Boletins Nuppa Site'!K2249&lt;&gt;0,'Boletins Nuppa Site'!K2249,"NULL")</f>
        <v> 90.00</v>
      </c>
      <c r="I2249" s="0" t="str">
        <f aca="false">"INSERT INTO COTACAO (cot_id, cot_blt_id, cot_pap_id, cot_prc_comum, cot_prc_min, cot_prc_max, cot_prc_med, cot_prc_mediana) VALUES ("&amp;A2249&amp;", "&amp;B2249&amp;", "&amp;C2249&amp;", "&amp;D2249&amp;", "&amp;E2249&amp;", "&amp;F2249&amp;", "&amp;G2249&amp;", "&amp;H2249&amp;");"</f>
        <v>INSERT INTO COTACAO (cot_id, cot_blt_id, cot_pap_id, cot_prc_comum, cot_prc_min, cot_prc_max, cot_prc_med, cot_prc_mediana) VALUES (2248, 94, 18, NULL,  84.00,  96.00,  90.00,  90.00);</v>
      </c>
      <c r="J2249" s="0" t="str">
        <f aca="false">"UPDATE COTACAO SET cot_id = "&amp;A2249&amp;", cot_blt_id = "&amp;B2249&amp;", cot_pap_id = "&amp;C2249&amp;", cot_prc_comum = "&amp;D2249&amp;", cot_prc_min = "&amp;E2249&amp;", cot_prc_max = "&amp;F2249&amp;", cot_prc_med = "&amp;G2249&amp;", cot_prc_mediana = "&amp;H2249&amp;" WHERE cot_id = "&amp;A2249&amp;";"</f>
        <v>UPDATE COTACAO SET cot_id = 2248, cot_blt_id = 94, cot_pap_id = 18, cot_prc_comum = NULL, cot_prc_min =  84.00, cot_prc_max =  96.00, cot_prc_med =  90.00, cot_prc_mediana =  90.00 WHERE cot_id = 2248;</v>
      </c>
    </row>
    <row r="2250" customFormat="false" ht="14.25" hidden="false" customHeight="false" outlineLevel="0" collapsed="false">
      <c r="A2250" s="0" t="n">
        <v>2249</v>
      </c>
      <c r="B2250" s="0" t="n">
        <f aca="false">IF('Boletins Nuppa Site'!A2250&lt;&gt;0,'Boletins Nuppa Site'!A2250,"NULL")</f>
        <v>94</v>
      </c>
      <c r="C2250" s="0" t="n">
        <v>19</v>
      </c>
      <c r="D2250" s="0" t="str">
        <f aca="false">IF('Boletins Nuppa Site'!G2250&lt;&gt;0,'Boletins Nuppa Site'!G2250,"NULL")</f>
        <v> 48.00</v>
      </c>
      <c r="E2250" s="30" t="str">
        <f aca="false">IF('Boletins Nuppa Site'!H2250&lt;&gt;0,'Boletins Nuppa Site'!H2250,"NULL")</f>
        <v> 48.00</v>
      </c>
      <c r="F2250" s="30" t="str">
        <f aca="false">IF('Boletins Nuppa Site'!I2250&lt;&gt;0,'Boletins Nuppa Site'!I2250,"NULL")</f>
        <v> 48.00</v>
      </c>
      <c r="G2250" s="30" t="str">
        <f aca="false">IF('Boletins Nuppa Site'!J2250&lt;&gt;0,'Boletins Nuppa Site'!J2250,"NULL")</f>
        <v> 48.00</v>
      </c>
      <c r="H2250" s="30" t="str">
        <f aca="false">IF('Boletins Nuppa Site'!K2250&lt;&gt;0,'Boletins Nuppa Site'!K2250,"NULL")</f>
        <v> 48.00</v>
      </c>
      <c r="I2250" s="0" t="str">
        <f aca="false">"INSERT INTO COTACAO (cot_id, cot_blt_id, cot_pap_id, cot_prc_comum, cot_prc_min, cot_prc_max, cot_prc_med, cot_prc_mediana) VALUES ("&amp;A2250&amp;", "&amp;B2250&amp;", "&amp;C2250&amp;", "&amp;D2250&amp;", "&amp;E2250&amp;", "&amp;F2250&amp;", "&amp;G2250&amp;", "&amp;H2250&amp;");"</f>
        <v>INSERT INTO COTACAO (cot_id, cot_blt_id, cot_pap_id, cot_prc_comum, cot_prc_min, cot_prc_max, cot_prc_med, cot_prc_mediana) VALUES (2249, 94, 19,  48.00,  48.00,  48.00,  48.00,  48.00);</v>
      </c>
      <c r="J2250" s="0" t="str">
        <f aca="false">"UPDATE COTACAO SET cot_id = "&amp;A2250&amp;", cot_blt_id = "&amp;B2250&amp;", cot_pap_id = "&amp;C2250&amp;", cot_prc_comum = "&amp;D2250&amp;", cot_prc_min = "&amp;E2250&amp;", cot_prc_max = "&amp;F2250&amp;", cot_prc_med = "&amp;G2250&amp;", cot_prc_mediana = "&amp;H2250&amp;" WHERE cot_id = "&amp;A2250&amp;";"</f>
        <v>UPDATE COTACAO SET cot_id = 2249, cot_blt_id = 94, cot_pap_id = 19, cot_prc_comum =  48.00, cot_prc_min =  48.00, cot_prc_max =  48.00, cot_prc_med =  48.00, cot_prc_mediana =  48.00 WHERE cot_id = 2249;</v>
      </c>
    </row>
    <row r="2251" customFormat="false" ht="14.25" hidden="false" customHeight="false" outlineLevel="0" collapsed="false">
      <c r="A2251" s="0" t="n">
        <v>2250</v>
      </c>
      <c r="B2251" s="0" t="n">
        <f aca="false">IF('Boletins Nuppa Site'!A2251&lt;&gt;0,'Boletins Nuppa Site'!A2251,"NULL")</f>
        <v>94</v>
      </c>
      <c r="C2251" s="0" t="n">
        <v>20</v>
      </c>
      <c r="D2251" s="0" t="str">
        <f aca="false">IF('Boletins Nuppa Site'!G2251&lt;&gt;0,'Boletins Nuppa Site'!G2251,"NULL")</f>
        <v> 60.00</v>
      </c>
      <c r="E2251" s="30" t="str">
        <f aca="false">IF('Boletins Nuppa Site'!H2251&lt;&gt;0,'Boletins Nuppa Site'!H2251,"NULL")</f>
        <v> 60.00</v>
      </c>
      <c r="F2251" s="30" t="str">
        <f aca="false">IF('Boletins Nuppa Site'!I2251&lt;&gt;0,'Boletins Nuppa Site'!I2251,"NULL")</f>
        <v> 70.00</v>
      </c>
      <c r="G2251" s="30" t="str">
        <f aca="false">IF('Boletins Nuppa Site'!J2251&lt;&gt;0,'Boletins Nuppa Site'!J2251,"NULL")</f>
        <v> 63.33</v>
      </c>
      <c r="H2251" s="30" t="str">
        <f aca="false">IF('Boletins Nuppa Site'!K2251&lt;&gt;0,'Boletins Nuppa Site'!K2251,"NULL")</f>
        <v> 60.00</v>
      </c>
      <c r="I2251" s="0" t="str">
        <f aca="false">"INSERT INTO COTACAO (cot_id, cot_blt_id, cot_pap_id, cot_prc_comum, cot_prc_min, cot_prc_max, cot_prc_med, cot_prc_mediana) VALUES ("&amp;A2251&amp;", "&amp;B2251&amp;", "&amp;C2251&amp;", "&amp;D2251&amp;", "&amp;E2251&amp;", "&amp;F2251&amp;", "&amp;G2251&amp;", "&amp;H2251&amp;");"</f>
        <v>INSERT INTO COTACAO (cot_id, cot_blt_id, cot_pap_id, cot_prc_comum, cot_prc_min, cot_prc_max, cot_prc_med, cot_prc_mediana) VALUES (2250, 94, 20,  60.00,  60.00,  70.00,  63.33,  60.00);</v>
      </c>
      <c r="J2251" s="0" t="str">
        <f aca="false">"UPDATE COTACAO SET cot_id = "&amp;A2251&amp;", cot_blt_id = "&amp;B2251&amp;", cot_pap_id = "&amp;C2251&amp;", cot_prc_comum = "&amp;D2251&amp;", cot_prc_min = "&amp;E2251&amp;", cot_prc_max = "&amp;F2251&amp;", cot_prc_med = "&amp;G2251&amp;", cot_prc_mediana = "&amp;H2251&amp;" WHERE cot_id = "&amp;A2251&amp;";"</f>
        <v>UPDATE COTACAO SET cot_id = 2250, cot_blt_id = 94, cot_pap_id = 20, cot_prc_comum =  60.00, cot_prc_min =  60.00, cot_prc_max =  70.00, cot_prc_med =  63.33, cot_prc_mediana =  60.00 WHERE cot_id = 2250;</v>
      </c>
    </row>
    <row r="2252" customFormat="false" ht="14.25" hidden="false" customHeight="false" outlineLevel="0" collapsed="false">
      <c r="A2252" s="0" t="n">
        <v>2251</v>
      </c>
      <c r="B2252" s="0" t="n">
        <f aca="false">IF('Boletins Nuppa Site'!A2252&lt;&gt;0,'Boletins Nuppa Site'!A2252,"NULL")</f>
        <v>94</v>
      </c>
      <c r="C2252" s="0" t="n">
        <v>21</v>
      </c>
      <c r="D2252" s="0" t="str">
        <f aca="false">IF('Boletins Nuppa Site'!G2252&lt;&gt;0,'Boletins Nuppa Site'!G2252,"NULL")</f>
        <v> 40.00</v>
      </c>
      <c r="E2252" s="30" t="str">
        <f aca="false">IF('Boletins Nuppa Site'!H2252&lt;&gt;0,'Boletins Nuppa Site'!H2252,"NULL")</f>
        <v> 50.00</v>
      </c>
      <c r="F2252" s="30" t="str">
        <f aca="false">IF('Boletins Nuppa Site'!I2252&lt;&gt;0,'Boletins Nuppa Site'!I2252,"NULL")</f>
        <v> 60.00</v>
      </c>
      <c r="G2252" s="30" t="str">
        <f aca="false">IF('Boletins Nuppa Site'!J2252&lt;&gt;0,'Boletins Nuppa Site'!J2252,"NULL")</f>
        <v> 50.00</v>
      </c>
      <c r="H2252" s="30" t="str">
        <f aca="false">IF('Boletins Nuppa Site'!K2252&lt;&gt;0,'Boletins Nuppa Site'!K2252,"NULL")</f>
        <v> 50.00</v>
      </c>
      <c r="I2252" s="0" t="str">
        <f aca="false">"INSERT INTO COTACAO (cot_id, cot_blt_id, cot_pap_id, cot_prc_comum, cot_prc_min, cot_prc_max, cot_prc_med, cot_prc_mediana) VALUES ("&amp;A2252&amp;", "&amp;B2252&amp;", "&amp;C2252&amp;", "&amp;D2252&amp;", "&amp;E2252&amp;", "&amp;F2252&amp;", "&amp;G2252&amp;", "&amp;H2252&amp;");"</f>
        <v>INSERT INTO COTACAO (cot_id, cot_blt_id, cot_pap_id, cot_prc_comum, cot_prc_min, cot_prc_max, cot_prc_med, cot_prc_mediana) VALUES (2251, 94, 21,  40.00,  50.00,  60.00,  50.00,  50.00);</v>
      </c>
      <c r="J2252" s="0" t="str">
        <f aca="false">"UPDATE COTACAO SET cot_id = "&amp;A2252&amp;", cot_blt_id = "&amp;B2252&amp;", cot_pap_id = "&amp;C2252&amp;", cot_prc_comum = "&amp;D2252&amp;", cot_prc_min = "&amp;E2252&amp;", cot_prc_max = "&amp;F2252&amp;", cot_prc_med = "&amp;G2252&amp;", cot_prc_mediana = "&amp;H2252&amp;" WHERE cot_id = "&amp;A2252&amp;";"</f>
        <v>UPDATE COTACAO SET cot_id = 2251, cot_blt_id = 94, cot_pap_id = 21, cot_prc_comum =  40.00, cot_prc_min =  50.00, cot_prc_max =  60.00, cot_prc_med =  50.00, cot_prc_mediana =  50.00 WHERE cot_id = 2251;</v>
      </c>
    </row>
    <row r="2253" customFormat="false" ht="14.25" hidden="false" customHeight="false" outlineLevel="0" collapsed="false">
      <c r="A2253" s="0" t="n">
        <v>2252</v>
      </c>
      <c r="B2253" s="0" t="n">
        <f aca="false">IF('Boletins Nuppa Site'!A2253&lt;&gt;0,'Boletins Nuppa Site'!A2253,"NULL")</f>
        <v>94</v>
      </c>
      <c r="C2253" s="0" t="n">
        <v>22</v>
      </c>
      <c r="D2253" s="0" t="str">
        <f aca="false">IF('Boletins Nuppa Site'!G2253&lt;&gt;0,'Boletins Nuppa Site'!G2253,"NULL")</f>
        <v> 60.00</v>
      </c>
      <c r="E2253" s="30" t="str">
        <f aca="false">IF('Boletins Nuppa Site'!H2253&lt;&gt;0,'Boletins Nuppa Site'!H2253,"NULL")</f>
        <v> 30.00</v>
      </c>
      <c r="F2253" s="30" t="str">
        <f aca="false">IF('Boletins Nuppa Site'!I2253&lt;&gt;0,'Boletins Nuppa Site'!I2253,"NULL")</f>
        <v> 65.00</v>
      </c>
      <c r="G2253" s="30" t="str">
        <f aca="false">IF('Boletins Nuppa Site'!J2253&lt;&gt;0,'Boletins Nuppa Site'!J2253,"NULL")</f>
        <v> 52.00</v>
      </c>
      <c r="H2253" s="30" t="str">
        <f aca="false">IF('Boletins Nuppa Site'!K2253&lt;&gt;0,'Boletins Nuppa Site'!K2253,"NULL")</f>
        <v> 60.00</v>
      </c>
      <c r="I2253" s="0" t="str">
        <f aca="false">"INSERT INTO COTACAO (cot_id, cot_blt_id, cot_pap_id, cot_prc_comum, cot_prc_min, cot_prc_max, cot_prc_med, cot_prc_mediana) VALUES ("&amp;A2253&amp;", "&amp;B2253&amp;", "&amp;C2253&amp;", "&amp;D2253&amp;", "&amp;E2253&amp;", "&amp;F2253&amp;", "&amp;G2253&amp;", "&amp;H2253&amp;");"</f>
        <v>INSERT INTO COTACAO (cot_id, cot_blt_id, cot_pap_id, cot_prc_comum, cot_prc_min, cot_prc_max, cot_prc_med, cot_prc_mediana) VALUES (2252, 94, 22,  60.00,  30.00,  65.00,  52.00,  60.00);</v>
      </c>
      <c r="J2253" s="0" t="str">
        <f aca="false">"UPDATE COTACAO SET cot_id = "&amp;A2253&amp;", cot_blt_id = "&amp;B2253&amp;", cot_pap_id = "&amp;C2253&amp;", cot_prc_comum = "&amp;D2253&amp;", cot_prc_min = "&amp;E2253&amp;", cot_prc_max = "&amp;F2253&amp;", cot_prc_med = "&amp;G2253&amp;", cot_prc_mediana = "&amp;H2253&amp;" WHERE cot_id = "&amp;A2253&amp;";"</f>
        <v>UPDATE COTACAO SET cot_id = 2252, cot_blt_id = 94, cot_pap_id = 22, cot_prc_comum =  60.00, cot_prc_min =  30.00, cot_prc_max =  65.00, cot_prc_med =  52.00, cot_prc_mediana =  60.00 WHERE cot_id = 2252;</v>
      </c>
    </row>
    <row r="2254" customFormat="false" ht="14.25" hidden="false" customHeight="false" outlineLevel="0" collapsed="false">
      <c r="A2254" s="0" t="n">
        <v>2253</v>
      </c>
      <c r="B2254" s="0" t="n">
        <f aca="false">IF('Boletins Nuppa Site'!A2254&lt;&gt;0,'Boletins Nuppa Site'!A2254,"NULL")</f>
        <v>94</v>
      </c>
      <c r="C2254" s="0" t="n">
        <v>23</v>
      </c>
      <c r="D2254" s="0" t="str">
        <f aca="false">IF('Boletins Nuppa Site'!G2254&lt;&gt;0,'Boletins Nuppa Site'!G2254,"NULL")</f>
        <v> 55.00</v>
      </c>
      <c r="E2254" s="30" t="str">
        <f aca="false">IF('Boletins Nuppa Site'!H2254&lt;&gt;0,'Boletins Nuppa Site'!H2254,"NULL")</f>
        <v> 35.00</v>
      </c>
      <c r="F2254" s="30" t="str">
        <f aca="false">IF('Boletins Nuppa Site'!I2254&lt;&gt;0,'Boletins Nuppa Site'!I2254,"NULL")</f>
        <v> 55.00</v>
      </c>
      <c r="G2254" s="30" t="str">
        <f aca="false">IF('Boletins Nuppa Site'!J2254&lt;&gt;0,'Boletins Nuppa Site'!J2254,"NULL")</f>
        <v> 47.50</v>
      </c>
      <c r="H2254" s="30" t="str">
        <f aca="false">IF('Boletins Nuppa Site'!K2254&lt;&gt;0,'Boletins Nuppa Site'!K2254,"NULL")</f>
        <v> 50.00</v>
      </c>
      <c r="I2254" s="0" t="str">
        <f aca="false">"INSERT INTO COTACAO (cot_id, cot_blt_id, cot_pap_id, cot_prc_comum, cot_prc_min, cot_prc_max, cot_prc_med, cot_prc_mediana) VALUES ("&amp;A2254&amp;", "&amp;B2254&amp;", "&amp;C2254&amp;", "&amp;D2254&amp;", "&amp;E2254&amp;", "&amp;F2254&amp;", "&amp;G2254&amp;", "&amp;H2254&amp;");"</f>
        <v>INSERT INTO COTACAO (cot_id, cot_blt_id, cot_pap_id, cot_prc_comum, cot_prc_min, cot_prc_max, cot_prc_med, cot_prc_mediana) VALUES (2253, 94, 23,  55.00,  35.00,  55.00,  47.50,  50.00);</v>
      </c>
      <c r="J2254" s="0" t="str">
        <f aca="false">"UPDATE COTACAO SET cot_id = "&amp;A2254&amp;", cot_blt_id = "&amp;B2254&amp;", cot_pap_id = "&amp;C2254&amp;", cot_prc_comum = "&amp;D2254&amp;", cot_prc_min = "&amp;E2254&amp;", cot_prc_max = "&amp;F2254&amp;", cot_prc_med = "&amp;G2254&amp;", cot_prc_mediana = "&amp;H2254&amp;" WHERE cot_id = "&amp;A2254&amp;";"</f>
        <v>UPDATE COTACAO SET cot_id = 2253, cot_blt_id = 94, cot_pap_id = 23, cot_prc_comum =  55.00, cot_prc_min =  35.00, cot_prc_max =  55.00, cot_prc_med =  47.50, cot_prc_mediana =  50.00 WHERE cot_id = 2253;</v>
      </c>
    </row>
    <row r="2255" customFormat="false" ht="14.25" hidden="false" customHeight="false" outlineLevel="0" collapsed="false">
      <c r="A2255" s="0" t="n">
        <v>2254</v>
      </c>
      <c r="B2255" s="0" t="n">
        <f aca="false">IF('Boletins Nuppa Site'!A2255&lt;&gt;0,'Boletins Nuppa Site'!A2255,"NULL")</f>
        <v>94</v>
      </c>
      <c r="C2255" s="0" t="n">
        <v>24</v>
      </c>
      <c r="D2255" s="0" t="str">
        <f aca="false">IF('Boletins Nuppa Site'!G2255&lt;&gt;0,'Boletins Nuppa Site'!G2255,"NULL")</f>
        <v> 80.00</v>
      </c>
      <c r="E2255" s="30" t="str">
        <f aca="false">IF('Boletins Nuppa Site'!H2255&lt;&gt;0,'Boletins Nuppa Site'!H2255,"NULL")</f>
        <v> 80.00</v>
      </c>
      <c r="F2255" s="30" t="str">
        <f aca="false">IF('Boletins Nuppa Site'!I2255&lt;&gt;0,'Boletins Nuppa Site'!I2255,"NULL")</f>
        <v> 80.00</v>
      </c>
      <c r="G2255" s="30" t="str">
        <f aca="false">IF('Boletins Nuppa Site'!J2255&lt;&gt;0,'Boletins Nuppa Site'!J2255,"NULL")</f>
        <v> 80.00</v>
      </c>
      <c r="H2255" s="30" t="str">
        <f aca="false">IF('Boletins Nuppa Site'!K2255&lt;&gt;0,'Boletins Nuppa Site'!K2255,"NULL")</f>
        <v> 80.00</v>
      </c>
      <c r="I2255" s="0" t="str">
        <f aca="false">"INSERT INTO COTACAO (cot_id, cot_blt_id, cot_pap_id, cot_prc_comum, cot_prc_min, cot_prc_max, cot_prc_med, cot_prc_mediana) VALUES ("&amp;A2255&amp;", "&amp;B2255&amp;", "&amp;C2255&amp;", "&amp;D2255&amp;", "&amp;E2255&amp;", "&amp;F2255&amp;", "&amp;G2255&amp;", "&amp;H2255&amp;");"</f>
        <v>INSERT INTO COTACAO (cot_id, cot_blt_id, cot_pap_id, cot_prc_comum, cot_prc_min, cot_prc_max, cot_prc_med, cot_prc_mediana) VALUES (2254, 94, 24,  80.00,  80.00,  80.00,  80.00,  80.00);</v>
      </c>
      <c r="J2255" s="0" t="str">
        <f aca="false">"UPDATE COTACAO SET cot_id = "&amp;A2255&amp;", cot_blt_id = "&amp;B2255&amp;", cot_pap_id = "&amp;C2255&amp;", cot_prc_comum = "&amp;D2255&amp;", cot_prc_min = "&amp;E2255&amp;", cot_prc_max = "&amp;F2255&amp;", cot_prc_med = "&amp;G2255&amp;", cot_prc_mediana = "&amp;H2255&amp;" WHERE cot_id = "&amp;A2255&amp;";"</f>
        <v>UPDATE COTACAO SET cot_id = 2254, cot_blt_id = 94, cot_pap_id = 24, cot_prc_comum =  80.00, cot_prc_min =  80.00, cot_prc_max =  80.00, cot_prc_med =  80.00, cot_prc_mediana =  80.00 WHERE cot_id = 2254;</v>
      </c>
    </row>
    <row r="2256" customFormat="false" ht="14.25" hidden="false" customHeight="false" outlineLevel="0" collapsed="false">
      <c r="A2256" s="0" t="n">
        <v>2255</v>
      </c>
      <c r="B2256" s="0" t="n">
        <f aca="false">IF('Boletins Nuppa Site'!A2256&lt;&gt;0,'Boletins Nuppa Site'!A2256,"NULL")</f>
        <v>94</v>
      </c>
      <c r="C2256" s="0" t="n">
        <v>25</v>
      </c>
      <c r="D2256" s="0" t="str">
        <f aca="false">IF('Boletins Nuppa Site'!G2256&lt;&gt;0,'Boletins Nuppa Site'!G2256,"NULL")</f>
        <v> 50.00</v>
      </c>
      <c r="E2256" s="30" t="str">
        <f aca="false">IF('Boletins Nuppa Site'!H2256&lt;&gt;0,'Boletins Nuppa Site'!H2256,"NULL")</f>
        <v> 50.00</v>
      </c>
      <c r="F2256" s="30" t="str">
        <f aca="false">IF('Boletins Nuppa Site'!I2256&lt;&gt;0,'Boletins Nuppa Site'!I2256,"NULL")</f>
        <v> 65.00</v>
      </c>
      <c r="G2256" s="30" t="str">
        <f aca="false">IF('Boletins Nuppa Site'!J2256&lt;&gt;0,'Boletins Nuppa Site'!J2256,"NULL")</f>
        <v> 57.00</v>
      </c>
      <c r="H2256" s="30" t="str">
        <f aca="false">IF('Boletins Nuppa Site'!K2256&lt;&gt;0,'Boletins Nuppa Site'!K2256,"NULL")</f>
        <v> 55.00</v>
      </c>
      <c r="I2256" s="0" t="str">
        <f aca="false">"INSERT INTO COTACAO (cot_id, cot_blt_id, cot_pap_id, cot_prc_comum, cot_prc_min, cot_prc_max, cot_prc_med, cot_prc_mediana) VALUES ("&amp;A2256&amp;", "&amp;B2256&amp;", "&amp;C2256&amp;", "&amp;D2256&amp;", "&amp;E2256&amp;", "&amp;F2256&amp;", "&amp;G2256&amp;", "&amp;H2256&amp;");"</f>
        <v>INSERT INTO COTACAO (cot_id, cot_blt_id, cot_pap_id, cot_prc_comum, cot_prc_min, cot_prc_max, cot_prc_med, cot_prc_mediana) VALUES (2255, 94, 25,  50.00,  50.00,  65.00,  57.00,  55.00);</v>
      </c>
      <c r="J2256" s="0" t="str">
        <f aca="false">"UPDATE COTACAO SET cot_id = "&amp;A2256&amp;", cot_blt_id = "&amp;B2256&amp;", cot_pap_id = "&amp;C2256&amp;", cot_prc_comum = "&amp;D2256&amp;", cot_prc_min = "&amp;E2256&amp;", cot_prc_max = "&amp;F2256&amp;", cot_prc_med = "&amp;G2256&amp;", cot_prc_mediana = "&amp;H2256&amp;" WHERE cot_id = "&amp;A2256&amp;";"</f>
        <v>UPDATE COTACAO SET cot_id = 2255, cot_blt_id = 94, cot_pap_id = 25, cot_prc_comum =  50.00, cot_prc_min =  50.00, cot_prc_max =  65.00, cot_prc_med =  57.00, cot_prc_mediana =  55.00 WHERE cot_id = 2255;</v>
      </c>
    </row>
    <row r="2257" customFormat="false" ht="14.25" hidden="false" customHeight="false" outlineLevel="0" collapsed="false">
      <c r="A2257" s="0" t="n">
        <v>2256</v>
      </c>
      <c r="B2257" s="0" t="n">
        <f aca="false">IF('Boletins Nuppa Site'!A2257&lt;&gt;0,'Boletins Nuppa Site'!A2257,"NULL")</f>
        <v>94</v>
      </c>
      <c r="C2257" s="0" t="n">
        <v>26</v>
      </c>
      <c r="D2257" s="0" t="str">
        <f aca="false">IF('Boletins Nuppa Site'!G2257&lt;&gt;0,'Boletins Nuppa Site'!G2257,"NULL")</f>
        <v> 50.00</v>
      </c>
      <c r="E2257" s="30" t="str">
        <f aca="false">IF('Boletins Nuppa Site'!H2257&lt;&gt;0,'Boletins Nuppa Site'!H2257,"NULL")</f>
        <v> 45.00</v>
      </c>
      <c r="F2257" s="30" t="str">
        <f aca="false">IF('Boletins Nuppa Site'!I2257&lt;&gt;0,'Boletins Nuppa Site'!I2257,"NULL")</f>
        <v> 100.00</v>
      </c>
      <c r="G2257" s="30" t="str">
        <f aca="false">IF('Boletins Nuppa Site'!J2257&lt;&gt;0,'Boletins Nuppa Site'!J2257,"NULL")</f>
        <v> 77.50</v>
      </c>
      <c r="H2257" s="30" t="str">
        <f aca="false">IF('Boletins Nuppa Site'!K2257&lt;&gt;0,'Boletins Nuppa Site'!K2257,"NULL")</f>
        <v> 80.00</v>
      </c>
      <c r="I2257" s="0" t="str">
        <f aca="false">"INSERT INTO COTACAO (cot_id, cot_blt_id, cot_pap_id, cot_prc_comum, cot_prc_min, cot_prc_max, cot_prc_med, cot_prc_mediana) VALUES ("&amp;A2257&amp;", "&amp;B2257&amp;", "&amp;C2257&amp;", "&amp;D2257&amp;", "&amp;E2257&amp;", "&amp;F2257&amp;", "&amp;G2257&amp;", "&amp;H2257&amp;");"</f>
        <v>INSERT INTO COTACAO (cot_id, cot_blt_id, cot_pap_id, cot_prc_comum, cot_prc_min, cot_prc_max, cot_prc_med, cot_prc_mediana) VALUES (2256, 94, 26,  50.00,  45.00,  100.00,  77.50,  80.00);</v>
      </c>
      <c r="J2257" s="0" t="str">
        <f aca="false">"UPDATE COTACAO SET cot_id = "&amp;A2257&amp;", cot_blt_id = "&amp;B2257&amp;", cot_pap_id = "&amp;C2257&amp;", cot_prc_comum = "&amp;D2257&amp;", cot_prc_min = "&amp;E2257&amp;", cot_prc_max = "&amp;F2257&amp;", cot_prc_med = "&amp;G2257&amp;", cot_prc_mediana = "&amp;H2257&amp;" WHERE cot_id = "&amp;A2257&amp;";"</f>
        <v>UPDATE COTACAO SET cot_id = 2256, cot_blt_id = 94, cot_pap_id = 26, cot_prc_comum =  50.00, cot_prc_min =  45.00, cot_prc_max =  100.00, cot_prc_med =  77.50, cot_prc_mediana =  80.00 WHERE cot_id = 2256;</v>
      </c>
    </row>
    <row r="2258" customFormat="false" ht="14.25" hidden="false" customHeight="false" outlineLevel="0" collapsed="false">
      <c r="A2258" s="0" t="n">
        <v>2257</v>
      </c>
      <c r="B2258" s="0" t="n">
        <f aca="false">IF('Boletins Nuppa Site'!A2258&lt;&gt;0,'Boletins Nuppa Site'!A2258,"NULL")</f>
        <v>94</v>
      </c>
      <c r="C2258" s="0" t="n">
        <v>27</v>
      </c>
      <c r="D2258" s="0" t="str">
        <f aca="false">IF('Boletins Nuppa Site'!G2258&lt;&gt;0,'Boletins Nuppa Site'!G2258,"NULL")</f>
        <v> 70.00</v>
      </c>
      <c r="E2258" s="30" t="str">
        <f aca="false">IF('Boletins Nuppa Site'!H2258&lt;&gt;0,'Boletins Nuppa Site'!H2258,"NULL")</f>
        <v> 90.00</v>
      </c>
      <c r="F2258" s="30" t="str">
        <f aca="false">IF('Boletins Nuppa Site'!I2258&lt;&gt;0,'Boletins Nuppa Site'!I2258,"NULL")</f>
        <v> 80.00</v>
      </c>
      <c r="G2258" s="30" t="str">
        <f aca="false">IF('Boletins Nuppa Site'!J2258&lt;&gt;0,'Boletins Nuppa Site'!J2258,"NULL")</f>
        <v> 65.00</v>
      </c>
      <c r="H2258" s="30" t="str">
        <f aca="false">IF('Boletins Nuppa Site'!K2258&lt;&gt;0,'Boletins Nuppa Site'!K2258,"NULL")</f>
        <v> 70.00</v>
      </c>
      <c r="I2258" s="0" t="str">
        <f aca="false">"INSERT INTO COTACAO (cot_id, cot_blt_id, cot_pap_id, cot_prc_comum, cot_prc_min, cot_prc_max, cot_prc_med, cot_prc_mediana) VALUES ("&amp;A2258&amp;", "&amp;B2258&amp;", "&amp;C2258&amp;", "&amp;D2258&amp;", "&amp;E2258&amp;", "&amp;F2258&amp;", "&amp;G2258&amp;", "&amp;H2258&amp;");"</f>
        <v>INSERT INTO COTACAO (cot_id, cot_blt_id, cot_pap_id, cot_prc_comum, cot_prc_min, cot_prc_max, cot_prc_med, cot_prc_mediana) VALUES (2257, 94, 27,  70.00,  90.00,  80.00,  65.00,  70.00);</v>
      </c>
      <c r="J2258" s="0" t="str">
        <f aca="false">"UPDATE COTACAO SET cot_id = "&amp;A2258&amp;", cot_blt_id = "&amp;B2258&amp;", cot_pap_id = "&amp;C2258&amp;", cot_prc_comum = "&amp;D2258&amp;", cot_prc_min = "&amp;E2258&amp;", cot_prc_max = "&amp;F2258&amp;", cot_prc_med = "&amp;G2258&amp;", cot_prc_mediana = "&amp;H2258&amp;" WHERE cot_id = "&amp;A2258&amp;";"</f>
        <v>UPDATE COTACAO SET cot_id = 2257, cot_blt_id = 94, cot_pap_id = 27, cot_prc_comum =  70.00, cot_prc_min =  90.00, cot_prc_max =  80.00, cot_prc_med =  65.00, cot_prc_mediana =  70.00 WHERE cot_id = 2257;</v>
      </c>
    </row>
    <row r="2259" customFormat="false" ht="14.25" hidden="false" customHeight="false" outlineLevel="0" collapsed="false">
      <c r="A2259" s="0" t="n">
        <v>2258</v>
      </c>
      <c r="B2259" s="0" t="n">
        <f aca="false">IF('Boletins Nuppa Site'!A2259&lt;&gt;0,'Boletins Nuppa Site'!A2259,"NULL")</f>
        <v>94</v>
      </c>
      <c r="C2259" s="0" t="n">
        <v>28</v>
      </c>
      <c r="D2259" s="0" t="str">
        <f aca="false">IF('Boletins Nuppa Site'!G2259&lt;&gt;0,'Boletins Nuppa Site'!G2259,"NULL")</f>
        <v>NULL</v>
      </c>
      <c r="E2259" s="30" t="str">
        <f aca="false">IF('Boletins Nuppa Site'!H2259&lt;&gt;0,'Boletins Nuppa Site'!H2259,"NULL")</f>
        <v> 60.00</v>
      </c>
      <c r="F2259" s="30" t="str">
        <f aca="false">IF('Boletins Nuppa Site'!I2259&lt;&gt;0,'Boletins Nuppa Site'!I2259,"NULL")</f>
        <v> 100.00</v>
      </c>
      <c r="G2259" s="30" t="str">
        <f aca="false">IF('Boletins Nuppa Site'!J2259&lt;&gt;0,'Boletins Nuppa Site'!J2259,"NULL")</f>
        <v> 81.67</v>
      </c>
      <c r="H2259" s="30" t="str">
        <f aca="false">IF('Boletins Nuppa Site'!K2259&lt;&gt;0,'Boletins Nuppa Site'!K2259,"NULL")</f>
        <v> 85.00</v>
      </c>
      <c r="I2259" s="0" t="str">
        <f aca="false">"INSERT INTO COTACAO (cot_id, cot_blt_id, cot_pap_id, cot_prc_comum, cot_prc_min, cot_prc_max, cot_prc_med, cot_prc_mediana) VALUES ("&amp;A2259&amp;", "&amp;B2259&amp;", "&amp;C2259&amp;", "&amp;D2259&amp;", "&amp;E2259&amp;", "&amp;F2259&amp;", "&amp;G2259&amp;", "&amp;H2259&amp;");"</f>
        <v>INSERT INTO COTACAO (cot_id, cot_blt_id, cot_pap_id, cot_prc_comum, cot_prc_min, cot_prc_max, cot_prc_med, cot_prc_mediana) VALUES (2258, 94, 28, NULL,  60.00,  100.00,  81.67,  85.00);</v>
      </c>
      <c r="J2259" s="0" t="str">
        <f aca="false">"UPDATE COTACAO SET cot_id = "&amp;A2259&amp;", cot_blt_id = "&amp;B2259&amp;", cot_pap_id = "&amp;C2259&amp;", cot_prc_comum = "&amp;D2259&amp;", cot_prc_min = "&amp;E2259&amp;", cot_prc_max = "&amp;F2259&amp;", cot_prc_med = "&amp;G2259&amp;", cot_prc_mediana = "&amp;H2259&amp;" WHERE cot_id = "&amp;A2259&amp;";"</f>
        <v>UPDATE COTACAO SET cot_id = 2258, cot_blt_id = 94, cot_pap_id = 28, cot_prc_comum = NULL, cot_prc_min =  60.00, cot_prc_max =  100.00, cot_prc_med =  81.67, cot_prc_mediana =  85.00 WHERE cot_id = 2258;</v>
      </c>
    </row>
    <row r="2260" customFormat="false" ht="14.25" hidden="false" customHeight="false" outlineLevel="0" collapsed="false">
      <c r="A2260" s="0" t="n">
        <v>2259</v>
      </c>
      <c r="B2260" s="0" t="n">
        <f aca="false">IF('Boletins Nuppa Site'!A2260&lt;&gt;0,'Boletins Nuppa Site'!A2260,"NULL")</f>
        <v>94</v>
      </c>
      <c r="C2260" s="0" t="n">
        <v>29</v>
      </c>
      <c r="D2260" s="0" t="str">
        <f aca="false">IF('Boletins Nuppa Site'!G2260&lt;&gt;0,'Boletins Nuppa Site'!G2260,"NULL")</f>
        <v>NULL</v>
      </c>
      <c r="E2260" s="30" t="str">
        <f aca="false">IF('Boletins Nuppa Site'!H2260&lt;&gt;0,'Boletins Nuppa Site'!H2260,"NULL")</f>
        <v> 45.00</v>
      </c>
      <c r="F2260" s="30" t="str">
        <f aca="false">IF('Boletins Nuppa Site'!I2260&lt;&gt;0,'Boletins Nuppa Site'!I2260,"NULL")</f>
        <v> 80.00</v>
      </c>
      <c r="G2260" s="30" t="str">
        <f aca="false">IF('Boletins Nuppa Site'!J2260&lt;&gt;0,'Boletins Nuppa Site'!J2260,"NULL")</f>
        <v> 66.67</v>
      </c>
      <c r="H2260" s="30" t="str">
        <f aca="false">IF('Boletins Nuppa Site'!K2260&lt;&gt;0,'Boletins Nuppa Site'!K2260,"NULL")</f>
        <v> 75.00</v>
      </c>
      <c r="I2260" s="0" t="str">
        <f aca="false">"INSERT INTO COTACAO (cot_id, cot_blt_id, cot_pap_id, cot_prc_comum, cot_prc_min, cot_prc_max, cot_prc_med, cot_prc_mediana) VALUES ("&amp;A2260&amp;", "&amp;B2260&amp;", "&amp;C2260&amp;", "&amp;D2260&amp;", "&amp;E2260&amp;", "&amp;F2260&amp;", "&amp;G2260&amp;", "&amp;H2260&amp;");"</f>
        <v>INSERT INTO COTACAO (cot_id, cot_blt_id, cot_pap_id, cot_prc_comum, cot_prc_min, cot_prc_max, cot_prc_med, cot_prc_mediana) VALUES (2259, 94, 29, NULL,  45.00,  80.00,  66.67,  75.00);</v>
      </c>
      <c r="J2260" s="0" t="str">
        <f aca="false">"UPDATE COTACAO SET cot_id = "&amp;A2260&amp;", cot_blt_id = "&amp;B2260&amp;", cot_pap_id = "&amp;C2260&amp;", cot_prc_comum = "&amp;D2260&amp;", cot_prc_min = "&amp;E2260&amp;", cot_prc_max = "&amp;F2260&amp;", cot_prc_med = "&amp;G2260&amp;", cot_prc_mediana = "&amp;H2260&amp;" WHERE cot_id = "&amp;A2260&amp;";"</f>
        <v>UPDATE COTACAO SET cot_id = 2259, cot_blt_id = 94, cot_pap_id = 29, cot_prc_comum = NULL, cot_prc_min =  45.00, cot_prc_max =  80.00, cot_prc_med =  66.67, cot_prc_mediana =  75.00 WHERE cot_id = 2259;</v>
      </c>
    </row>
    <row r="2261" customFormat="false" ht="14.25" hidden="false" customHeight="false" outlineLevel="0" collapsed="false">
      <c r="A2261" s="0" t="n">
        <v>2260</v>
      </c>
      <c r="B2261" s="0" t="n">
        <f aca="false">IF('Boletins Nuppa Site'!A2261&lt;&gt;0,'Boletins Nuppa Site'!A2261,"NULL")</f>
        <v>94</v>
      </c>
      <c r="C2261" s="0" t="n">
        <v>30</v>
      </c>
      <c r="D2261" s="0" t="str">
        <f aca="false">IF('Boletins Nuppa Site'!G2261&lt;&gt;0,'Boletins Nuppa Site'!G2261,"NULL")</f>
        <v> 70.00</v>
      </c>
      <c r="E2261" s="30" t="str">
        <f aca="false">IF('Boletins Nuppa Site'!H2261&lt;&gt;0,'Boletins Nuppa Site'!H2261,"NULL")</f>
        <v> 70.00</v>
      </c>
      <c r="F2261" s="30" t="str">
        <f aca="false">IF('Boletins Nuppa Site'!I2261&lt;&gt;0,'Boletins Nuppa Site'!I2261,"NULL")</f>
        <v> 70.00</v>
      </c>
      <c r="G2261" s="30" t="str">
        <f aca="false">IF('Boletins Nuppa Site'!J2261&lt;&gt;0,'Boletins Nuppa Site'!J2261,"NULL")</f>
        <v> 70.00</v>
      </c>
      <c r="H2261" s="30" t="str">
        <f aca="false">IF('Boletins Nuppa Site'!K2261&lt;&gt;0,'Boletins Nuppa Site'!K2261,"NULL")</f>
        <v> 70.00</v>
      </c>
      <c r="I2261" s="0" t="str">
        <f aca="false">"INSERT INTO COTACAO (cot_id, cot_blt_id, cot_pap_id, cot_prc_comum, cot_prc_min, cot_prc_max, cot_prc_med, cot_prc_mediana) VALUES ("&amp;A2261&amp;", "&amp;B2261&amp;", "&amp;C2261&amp;", "&amp;D2261&amp;", "&amp;E2261&amp;", "&amp;F2261&amp;", "&amp;G2261&amp;", "&amp;H2261&amp;");"</f>
        <v>INSERT INTO COTACAO (cot_id, cot_blt_id, cot_pap_id, cot_prc_comum, cot_prc_min, cot_prc_max, cot_prc_med, cot_prc_mediana) VALUES (2260, 94, 30,  70.00,  70.00,  70.00,  70.00,  70.00);</v>
      </c>
      <c r="J2261" s="0" t="str">
        <f aca="false">"UPDATE COTACAO SET cot_id = "&amp;A2261&amp;", cot_blt_id = "&amp;B2261&amp;", cot_pap_id = "&amp;C2261&amp;", cot_prc_comum = "&amp;D2261&amp;", cot_prc_min = "&amp;E2261&amp;", cot_prc_max = "&amp;F2261&amp;", cot_prc_med = "&amp;G2261&amp;", cot_prc_mediana = "&amp;H2261&amp;" WHERE cot_id = "&amp;A2261&amp;";"</f>
        <v>UPDATE COTACAO SET cot_id = 2260, cot_blt_id = 94, cot_pap_id = 30, cot_prc_comum =  70.00, cot_prc_min =  70.00, cot_prc_max =  70.00, cot_prc_med =  70.00, cot_prc_mediana =  70.00 WHERE cot_id = 2260;</v>
      </c>
    </row>
    <row r="2262" customFormat="false" ht="14.25" hidden="false" customHeight="false" outlineLevel="0" collapsed="false">
      <c r="A2262" s="0" t="n">
        <v>2261</v>
      </c>
      <c r="B2262" s="0" t="n">
        <f aca="false">IF('Boletins Nuppa Site'!A2262&lt;&gt;0,'Boletins Nuppa Site'!A2262,"NULL")</f>
        <v>94</v>
      </c>
      <c r="C2262" s="0" t="n">
        <v>31</v>
      </c>
      <c r="D2262" s="0" t="str">
        <f aca="false">IF('Boletins Nuppa Site'!G2262&lt;&gt;0,'Boletins Nuppa Site'!G2262,"NULL")</f>
        <v>NULL</v>
      </c>
      <c r="E2262" s="30" t="str">
        <f aca="false">IF('Boletins Nuppa Site'!H2262&lt;&gt;0,'Boletins Nuppa Site'!H2262,"NULL")</f>
        <v> 70.00</v>
      </c>
      <c r="F2262" s="30" t="str">
        <f aca="false">IF('Boletins Nuppa Site'!I2262&lt;&gt;0,'Boletins Nuppa Site'!I2262,"NULL")</f>
        <v> 100.00</v>
      </c>
      <c r="G2262" s="30" t="str">
        <f aca="false">IF('Boletins Nuppa Site'!J2262&lt;&gt;0,'Boletins Nuppa Site'!J2262,"NULL")</f>
        <v> 77.00</v>
      </c>
      <c r="H2262" s="30" t="str">
        <f aca="false">IF('Boletins Nuppa Site'!K2262&lt;&gt;0,'Boletins Nuppa Site'!K2262,"NULL")</f>
        <v> 75.00</v>
      </c>
      <c r="I2262" s="0" t="str">
        <f aca="false">"INSERT INTO COTACAO (cot_id, cot_blt_id, cot_pap_id, cot_prc_comum, cot_prc_min, cot_prc_max, cot_prc_med, cot_prc_mediana) VALUES ("&amp;A2262&amp;", "&amp;B2262&amp;", "&amp;C2262&amp;", "&amp;D2262&amp;", "&amp;E2262&amp;", "&amp;F2262&amp;", "&amp;G2262&amp;", "&amp;H2262&amp;");"</f>
        <v>INSERT INTO COTACAO (cot_id, cot_blt_id, cot_pap_id, cot_prc_comum, cot_prc_min, cot_prc_max, cot_prc_med, cot_prc_mediana) VALUES (2261, 94, 31, NULL,  70.00,  100.00,  77.00,  75.00);</v>
      </c>
      <c r="J2262" s="0" t="str">
        <f aca="false">"UPDATE COTACAO SET cot_id = "&amp;A2262&amp;", cot_blt_id = "&amp;B2262&amp;", cot_pap_id = "&amp;C2262&amp;", cot_prc_comum = "&amp;D2262&amp;", cot_prc_min = "&amp;E2262&amp;", cot_prc_max = "&amp;F2262&amp;", cot_prc_med = "&amp;G2262&amp;", cot_prc_mediana = "&amp;H2262&amp;" WHERE cot_id = "&amp;A2262&amp;";"</f>
        <v>UPDATE COTACAO SET cot_id = 2261, cot_blt_id = 94, cot_pap_id = 31, cot_prc_comum = NULL, cot_prc_min =  70.00, cot_prc_max =  100.00, cot_prc_med =  77.00, cot_prc_mediana =  75.00 WHERE cot_id = 2261;</v>
      </c>
    </row>
    <row r="2263" customFormat="false" ht="14.25" hidden="false" customHeight="false" outlineLevel="0" collapsed="false">
      <c r="A2263" s="0" t="n">
        <v>2262</v>
      </c>
      <c r="B2263" s="0" t="n">
        <f aca="false">IF('Boletins Nuppa Site'!A2263&lt;&gt;0,'Boletins Nuppa Site'!A2263,"NULL")</f>
        <v>94</v>
      </c>
      <c r="C2263" s="0" t="n">
        <v>32</v>
      </c>
      <c r="D2263" s="0" t="str">
        <f aca="false">IF('Boletins Nuppa Site'!G2263&lt;&gt;0,'Boletins Nuppa Site'!G2263,"NULL")</f>
        <v> 60.00</v>
      </c>
      <c r="E2263" s="30" t="str">
        <f aca="false">IF('Boletins Nuppa Site'!H2263&lt;&gt;0,'Boletins Nuppa Site'!H2263,"NULL")</f>
        <v> 60.00</v>
      </c>
      <c r="F2263" s="30" t="str">
        <f aca="false">IF('Boletins Nuppa Site'!I2263&lt;&gt;0,'Boletins Nuppa Site'!I2263,"NULL")</f>
        <v> 60.00</v>
      </c>
      <c r="G2263" s="30" t="str">
        <f aca="false">IF('Boletins Nuppa Site'!J2263&lt;&gt;0,'Boletins Nuppa Site'!J2263,"NULL")</f>
        <v> 44.17</v>
      </c>
      <c r="H2263" s="30" t="str">
        <f aca="false">IF('Boletins Nuppa Site'!K2263&lt;&gt;0,'Boletins Nuppa Site'!K2263,"NULL")</f>
        <v> 42.50</v>
      </c>
      <c r="I2263" s="0" t="str">
        <f aca="false">"INSERT INTO COTACAO (cot_id, cot_blt_id, cot_pap_id, cot_prc_comum, cot_prc_min, cot_prc_max, cot_prc_med, cot_prc_mediana) VALUES ("&amp;A2263&amp;", "&amp;B2263&amp;", "&amp;C2263&amp;", "&amp;D2263&amp;", "&amp;E2263&amp;", "&amp;F2263&amp;", "&amp;G2263&amp;", "&amp;H2263&amp;");"</f>
        <v>INSERT INTO COTACAO (cot_id, cot_blt_id, cot_pap_id, cot_prc_comum, cot_prc_min, cot_prc_max, cot_prc_med, cot_prc_mediana) VALUES (2262, 94, 32,  60.00,  60.00,  60.00,  44.17,  42.50);</v>
      </c>
      <c r="J2263" s="0" t="str">
        <f aca="false">"UPDATE COTACAO SET cot_id = "&amp;A2263&amp;", cot_blt_id = "&amp;B2263&amp;", cot_pap_id = "&amp;C2263&amp;", cot_prc_comum = "&amp;D2263&amp;", cot_prc_min = "&amp;E2263&amp;", cot_prc_max = "&amp;F2263&amp;", cot_prc_med = "&amp;G2263&amp;", cot_prc_mediana = "&amp;H2263&amp;" WHERE cot_id = "&amp;A2263&amp;";"</f>
        <v>UPDATE COTACAO SET cot_id = 2262, cot_blt_id = 94, cot_pap_id = 32, cot_prc_comum =  60.00, cot_prc_min =  60.00, cot_prc_max =  60.00, cot_prc_med =  44.17, cot_prc_mediana =  42.50 WHERE cot_id = 2262;</v>
      </c>
    </row>
    <row r="2264" customFormat="false" ht="14.25" hidden="false" customHeight="false" outlineLevel="0" collapsed="false">
      <c r="A2264" s="0" t="n">
        <v>2263</v>
      </c>
      <c r="B2264" s="0" t="n">
        <f aca="false">IF('Boletins Nuppa Site'!A2264&lt;&gt;0,'Boletins Nuppa Site'!A2264,"NULL")</f>
        <v>94</v>
      </c>
      <c r="C2264" s="0" t="n">
        <v>33</v>
      </c>
      <c r="D2264" s="0" t="str">
        <f aca="false">IF('Boletins Nuppa Site'!G2264&lt;&gt;0,'Boletins Nuppa Site'!G2264,"NULL")</f>
        <v> 35.00</v>
      </c>
      <c r="E2264" s="30" t="str">
        <f aca="false">IF('Boletins Nuppa Site'!H2264&lt;&gt;0,'Boletins Nuppa Site'!H2264,"NULL")</f>
        <v> 35.00</v>
      </c>
      <c r="F2264" s="30" t="str">
        <f aca="false">IF('Boletins Nuppa Site'!I2264&lt;&gt;0,'Boletins Nuppa Site'!I2264,"NULL")</f>
        <v> 70.00</v>
      </c>
      <c r="G2264" s="30" t="str">
        <f aca="false">IF('Boletins Nuppa Site'!J2264&lt;&gt;0,'Boletins Nuppa Site'!J2264,"NULL")</f>
        <v> 60.00</v>
      </c>
      <c r="H2264" s="30" t="str">
        <f aca="false">IF('Boletins Nuppa Site'!K2264&lt;&gt;0,'Boletins Nuppa Site'!K2264,"NULL")</f>
        <v> 60.00</v>
      </c>
      <c r="I2264" s="0" t="str">
        <f aca="false">"INSERT INTO COTACAO (cot_id, cot_blt_id, cot_pap_id, cot_prc_comum, cot_prc_min, cot_prc_max, cot_prc_med, cot_prc_mediana) VALUES ("&amp;A2264&amp;", "&amp;B2264&amp;", "&amp;C2264&amp;", "&amp;D2264&amp;", "&amp;E2264&amp;", "&amp;F2264&amp;", "&amp;G2264&amp;", "&amp;H2264&amp;");"</f>
        <v>INSERT INTO COTACAO (cot_id, cot_blt_id, cot_pap_id, cot_prc_comum, cot_prc_min, cot_prc_max, cot_prc_med, cot_prc_mediana) VALUES (2263, 94, 33,  35.00,  35.00,  70.00,  60.00,  60.00);</v>
      </c>
      <c r="J2264" s="0" t="str">
        <f aca="false">"UPDATE COTACAO SET cot_id = "&amp;A2264&amp;", cot_blt_id = "&amp;B2264&amp;", cot_pap_id = "&amp;C2264&amp;", cot_prc_comum = "&amp;D2264&amp;", cot_prc_min = "&amp;E2264&amp;", cot_prc_max = "&amp;F2264&amp;", cot_prc_med = "&amp;G2264&amp;", cot_prc_mediana = "&amp;H2264&amp;" WHERE cot_id = "&amp;A2264&amp;";"</f>
        <v>UPDATE COTACAO SET cot_id = 2263, cot_blt_id = 94, cot_pap_id = 33, cot_prc_comum =  35.00, cot_prc_min =  35.00, cot_prc_max =  70.00, cot_prc_med =  60.00, cot_prc_mediana =  60.00 WHERE cot_id = 2263;</v>
      </c>
    </row>
    <row r="2265" customFormat="false" ht="14.25" hidden="false" customHeight="false" outlineLevel="0" collapsed="false">
      <c r="A2265" s="0" t="n">
        <v>2264</v>
      </c>
      <c r="B2265" s="0" t="n">
        <f aca="false">IF('Boletins Nuppa Site'!A2265&lt;&gt;0,'Boletins Nuppa Site'!A2265,"NULL")</f>
        <v>94</v>
      </c>
      <c r="C2265" s="0" t="n">
        <v>34</v>
      </c>
      <c r="D2265" s="0" t="str">
        <f aca="false">IF('Boletins Nuppa Site'!G2265&lt;&gt;0,'Boletins Nuppa Site'!G2265,"NULL")</f>
        <v> 60.00</v>
      </c>
      <c r="E2265" s="30" t="str">
        <f aca="false">IF('Boletins Nuppa Site'!H2265&lt;&gt;0,'Boletins Nuppa Site'!H2265,"NULL")</f>
        <v> 50.00</v>
      </c>
      <c r="F2265" s="30" t="str">
        <f aca="false">IF('Boletins Nuppa Site'!I2265&lt;&gt;0,'Boletins Nuppa Site'!I2265,"NULL")</f>
        <v> 130.00</v>
      </c>
      <c r="G2265" s="30" t="str">
        <f aca="false">IF('Boletins Nuppa Site'!J2265&lt;&gt;0,'Boletins Nuppa Site'!J2265,"NULL")</f>
        <v> 106.00</v>
      </c>
      <c r="H2265" s="30" t="str">
        <f aca="false">IF('Boletins Nuppa Site'!K2265&lt;&gt;0,'Boletins Nuppa Site'!K2265,"NULL")</f>
        <v> 110.00</v>
      </c>
      <c r="I2265" s="0" t="str">
        <f aca="false">"INSERT INTO COTACAO (cot_id, cot_blt_id, cot_pap_id, cot_prc_comum, cot_prc_min, cot_prc_max, cot_prc_med, cot_prc_mediana) VALUES ("&amp;A2265&amp;", "&amp;B2265&amp;", "&amp;C2265&amp;", "&amp;D2265&amp;", "&amp;E2265&amp;", "&amp;F2265&amp;", "&amp;G2265&amp;", "&amp;H2265&amp;");"</f>
        <v>INSERT INTO COTACAO (cot_id, cot_blt_id, cot_pap_id, cot_prc_comum, cot_prc_min, cot_prc_max, cot_prc_med, cot_prc_mediana) VALUES (2264, 94, 34,  60.00,  50.00,  130.00,  106.00,  110.00);</v>
      </c>
      <c r="J2265" s="0" t="str">
        <f aca="false">"UPDATE COTACAO SET cot_id = "&amp;A2265&amp;", cot_blt_id = "&amp;B2265&amp;", cot_pap_id = "&amp;C2265&amp;", cot_prc_comum = "&amp;D2265&amp;", cot_prc_min = "&amp;E2265&amp;", cot_prc_max = "&amp;F2265&amp;", cot_prc_med = "&amp;G2265&amp;", cot_prc_mediana = "&amp;H2265&amp;" WHERE cot_id = "&amp;A2265&amp;";"</f>
        <v>UPDATE COTACAO SET cot_id = 2264, cot_blt_id = 94, cot_pap_id = 34, cot_prc_comum =  60.00, cot_prc_min =  50.00, cot_prc_max =  130.00, cot_prc_med =  106.00, cot_prc_mediana =  110.00 WHERE cot_id = 2264;</v>
      </c>
    </row>
    <row r="2266" customFormat="false" ht="14.25" hidden="false" customHeight="false" outlineLevel="0" collapsed="false">
      <c r="A2266" s="0" t="n">
        <v>2265</v>
      </c>
      <c r="B2266" s="0" t="n">
        <f aca="false">IF('Boletins Nuppa Site'!A2266&lt;&gt;0,'Boletins Nuppa Site'!A2266,"NULL")</f>
        <v>94</v>
      </c>
      <c r="C2266" s="0" t="n">
        <v>35</v>
      </c>
      <c r="D2266" s="0" t="str">
        <f aca="false">IF('Boletins Nuppa Site'!G2266&lt;&gt;0,'Boletins Nuppa Site'!G2266,"NULL")</f>
        <v>NULL</v>
      </c>
      <c r="E2266" s="30" t="str">
        <f aca="false">IF('Boletins Nuppa Site'!H2266&lt;&gt;0,'Boletins Nuppa Site'!H2266,"NULL")</f>
        <v> 80.00</v>
      </c>
      <c r="F2266" s="30" t="str">
        <f aca="false">IF('Boletins Nuppa Site'!I2266&lt;&gt;0,'Boletins Nuppa Site'!I2266,"NULL")</f>
        <v> 150.00</v>
      </c>
      <c r="G2266" s="30" t="str">
        <f aca="false">IF('Boletins Nuppa Site'!J2266&lt;&gt;0,'Boletins Nuppa Site'!J2266,"NULL")</f>
        <v> 116.67</v>
      </c>
      <c r="H2266" s="30" t="str">
        <f aca="false">IF('Boletins Nuppa Site'!K2266&lt;&gt;0,'Boletins Nuppa Site'!K2266,"NULL")</f>
        <v> 100.00</v>
      </c>
      <c r="I2266" s="0" t="str">
        <f aca="false">"INSERT INTO COTACAO (cot_id, cot_blt_id, cot_pap_id, cot_prc_comum, cot_prc_min, cot_prc_max, cot_prc_med, cot_prc_mediana) VALUES ("&amp;A2266&amp;", "&amp;B2266&amp;", "&amp;C2266&amp;", "&amp;D2266&amp;", "&amp;E2266&amp;", "&amp;F2266&amp;", "&amp;G2266&amp;", "&amp;H2266&amp;");"</f>
        <v>INSERT INTO COTACAO (cot_id, cot_blt_id, cot_pap_id, cot_prc_comum, cot_prc_min, cot_prc_max, cot_prc_med, cot_prc_mediana) VALUES (2265, 94, 35, NULL,  80.00,  150.00,  116.67,  100.00);</v>
      </c>
      <c r="J2266" s="0" t="str">
        <f aca="false">"UPDATE COTACAO SET cot_id = "&amp;A2266&amp;", cot_blt_id = "&amp;B2266&amp;", cot_pap_id = "&amp;C2266&amp;", cot_prc_comum = "&amp;D2266&amp;", cot_prc_min = "&amp;E2266&amp;", cot_prc_max = "&amp;F2266&amp;", cot_prc_med = "&amp;G2266&amp;", cot_prc_mediana = "&amp;H2266&amp;" WHERE cot_id = "&amp;A2266&amp;";"</f>
        <v>UPDATE COTACAO SET cot_id = 2265, cot_blt_id = 94, cot_pap_id = 35, cot_prc_comum = NULL, cot_prc_min =  80.00, cot_prc_max =  150.00, cot_prc_med =  116.67, cot_prc_mediana =  100.00 WHERE cot_id = 2265;</v>
      </c>
    </row>
    <row r="2267" customFormat="false" ht="14.25" hidden="false" customHeight="false" outlineLevel="0" collapsed="false">
      <c r="A2267" s="0" t="n">
        <v>2266</v>
      </c>
      <c r="B2267" s="0" t="n">
        <f aca="false">IF('Boletins Nuppa Site'!A2267&lt;&gt;0,'Boletins Nuppa Site'!A2267,"NULL")</f>
        <v>94</v>
      </c>
      <c r="C2267" s="0" t="n">
        <v>36</v>
      </c>
      <c r="D2267" s="0" t="str">
        <f aca="false">IF('Boletins Nuppa Site'!G2267&lt;&gt;0,'Boletins Nuppa Site'!G2267,"NULL")</f>
        <v>NULL</v>
      </c>
      <c r="E2267" s="30" t="str">
        <f aca="false">IF('Boletins Nuppa Site'!H2267&lt;&gt;0,'Boletins Nuppa Site'!H2267,"NULL")</f>
        <v>NULL</v>
      </c>
      <c r="F2267" s="30" t="str">
        <f aca="false">IF('Boletins Nuppa Site'!I2267&lt;&gt;0,'Boletins Nuppa Site'!I2267,"NULL")</f>
        <v>NULL</v>
      </c>
      <c r="G2267" s="30" t="str">
        <f aca="false">IF('Boletins Nuppa Site'!J2267&lt;&gt;0,'Boletins Nuppa Site'!J2267,"NULL")</f>
        <v>NULL</v>
      </c>
      <c r="H2267" s="30" t="str">
        <f aca="false">IF('Boletins Nuppa Site'!K2267&lt;&gt;0,'Boletins Nuppa Site'!K2267,"NULL")</f>
        <v>NULL</v>
      </c>
      <c r="I2267" s="0" t="str">
        <f aca="false">"INSERT INTO COTACAO (cot_id, cot_blt_id, cot_pap_id, cot_prc_comum, cot_prc_min, cot_prc_max, cot_prc_med, cot_prc_mediana) VALUES ("&amp;A2267&amp;", "&amp;B2267&amp;", "&amp;C2267&amp;", "&amp;D2267&amp;", "&amp;E2267&amp;", "&amp;F2267&amp;", "&amp;G2267&amp;", "&amp;H2267&amp;");"</f>
        <v>INSERT INTO COTACAO (cot_id, cot_blt_id, cot_pap_id, cot_prc_comum, cot_prc_min, cot_prc_max, cot_prc_med, cot_prc_mediana) VALUES (2266, 94, 36, NULL, NULL, NULL, NULL, NULL);</v>
      </c>
      <c r="J2267" s="0" t="str">
        <f aca="false">"UPDATE COTACAO SET cot_id = "&amp;A2267&amp;", cot_blt_id = "&amp;B2267&amp;", cot_pap_id = "&amp;C2267&amp;", cot_prc_comum = "&amp;D2267&amp;", cot_prc_min = "&amp;E2267&amp;", cot_prc_max = "&amp;F2267&amp;", cot_prc_med = "&amp;G2267&amp;", cot_prc_mediana = "&amp;H2267&amp;" WHERE cot_id = "&amp;A2267&amp;";"</f>
        <v>UPDATE COTACAO SET cot_id = 2266, cot_blt_id = 94, cot_pap_id = 36, cot_prc_comum = NULL, cot_prc_min = NULL, cot_prc_max = NULL, cot_prc_med = NULL, cot_prc_mediana = NULL WHERE cot_id = 2266;</v>
      </c>
    </row>
    <row r="2268" customFormat="false" ht="14.25" hidden="false" customHeight="false" outlineLevel="0" collapsed="false">
      <c r="A2268" s="0" t="n">
        <v>2267</v>
      </c>
      <c r="B2268" s="0" t="n">
        <f aca="false">IF('Boletins Nuppa Site'!A2268&lt;&gt;0,'Boletins Nuppa Site'!A2268,"NULL")</f>
        <v>94</v>
      </c>
      <c r="C2268" s="0" t="n">
        <v>37</v>
      </c>
      <c r="D2268" s="0" t="str">
        <f aca="false">IF('Boletins Nuppa Site'!G2268&lt;&gt;0,'Boletins Nuppa Site'!G2268,"NULL")</f>
        <v>NULL</v>
      </c>
      <c r="E2268" s="30" t="str">
        <f aca="false">IF('Boletins Nuppa Site'!H2268&lt;&gt;0,'Boletins Nuppa Site'!H2268,"NULL")</f>
        <v>NULL</v>
      </c>
      <c r="F2268" s="30" t="str">
        <f aca="false">IF('Boletins Nuppa Site'!I2268&lt;&gt;0,'Boletins Nuppa Site'!I2268,"NULL")</f>
        <v>NULL</v>
      </c>
      <c r="G2268" s="30" t="str">
        <f aca="false">IF('Boletins Nuppa Site'!J2268&lt;&gt;0,'Boletins Nuppa Site'!J2268,"NULL")</f>
        <v>NULL</v>
      </c>
      <c r="H2268" s="30" t="str">
        <f aca="false">IF('Boletins Nuppa Site'!K2268&lt;&gt;0,'Boletins Nuppa Site'!K2268,"NULL")</f>
        <v>NULL</v>
      </c>
      <c r="I2268" s="0" t="str">
        <f aca="false">"INSERT INTO COTACAO (cot_id, cot_blt_id, cot_pap_id, cot_prc_comum, cot_prc_min, cot_prc_max, cot_prc_med, cot_prc_mediana) VALUES ("&amp;A2268&amp;", "&amp;B2268&amp;", "&amp;C2268&amp;", "&amp;D2268&amp;", "&amp;E2268&amp;", "&amp;F2268&amp;", "&amp;G2268&amp;", "&amp;H2268&amp;");"</f>
        <v>INSERT INTO COTACAO (cot_id, cot_blt_id, cot_pap_id, cot_prc_comum, cot_prc_min, cot_prc_max, cot_prc_med, cot_prc_mediana) VALUES (2267, 94, 37, NULL, NULL, NULL, NULL, NULL);</v>
      </c>
      <c r="J2268" s="0" t="str">
        <f aca="false">"UPDATE COTACAO SET cot_id = "&amp;A2268&amp;", cot_blt_id = "&amp;B2268&amp;", cot_pap_id = "&amp;C2268&amp;", cot_prc_comum = "&amp;D2268&amp;", cot_prc_min = "&amp;E2268&amp;", cot_prc_max = "&amp;F2268&amp;", cot_prc_med = "&amp;G2268&amp;", cot_prc_mediana = "&amp;H2268&amp;" WHERE cot_id = "&amp;A2268&amp;";"</f>
        <v>UPDATE COTACAO SET cot_id = 2267, cot_blt_id = 94, cot_pap_id = 37, cot_prc_comum = NULL, cot_prc_min = NULL, cot_prc_max = NULL, cot_prc_med = NULL, cot_prc_mediana = NULL WHERE cot_id = 2267;</v>
      </c>
    </row>
    <row r="2269" customFormat="false" ht="14.25" hidden="false" customHeight="false" outlineLevel="0" collapsed="false">
      <c r="A2269" s="0" t="n">
        <v>2268</v>
      </c>
      <c r="B2269" s="0" t="n">
        <f aca="false">IF('Boletins Nuppa Site'!A2269&lt;&gt;0,'Boletins Nuppa Site'!A2269,"NULL")</f>
        <v>94</v>
      </c>
      <c r="C2269" s="0" t="n">
        <v>38</v>
      </c>
      <c r="D2269" s="0" t="str">
        <f aca="false">IF('Boletins Nuppa Site'!G2269&lt;&gt;0,'Boletins Nuppa Site'!G2269,"NULL")</f>
        <v>NULL</v>
      </c>
      <c r="E2269" s="30" t="str">
        <f aca="false">IF('Boletins Nuppa Site'!H2269&lt;&gt;0,'Boletins Nuppa Site'!H2269,"NULL")</f>
        <v>NULL</v>
      </c>
      <c r="F2269" s="30" t="str">
        <f aca="false">IF('Boletins Nuppa Site'!I2269&lt;&gt;0,'Boletins Nuppa Site'!I2269,"NULL")</f>
        <v>NULL</v>
      </c>
      <c r="G2269" s="30" t="str">
        <f aca="false">IF('Boletins Nuppa Site'!J2269&lt;&gt;0,'Boletins Nuppa Site'!J2269,"NULL")</f>
        <v>NULL</v>
      </c>
      <c r="H2269" s="30" t="str">
        <f aca="false">IF('Boletins Nuppa Site'!K2269&lt;&gt;0,'Boletins Nuppa Site'!K2269,"NULL")</f>
        <v>NULL</v>
      </c>
      <c r="I2269" s="0" t="str">
        <f aca="false">"INSERT INTO COTACAO (cot_id, cot_blt_id, cot_pap_id, cot_prc_comum, cot_prc_min, cot_prc_max, cot_prc_med, cot_prc_mediana) VALUES ("&amp;A2269&amp;", "&amp;B2269&amp;", "&amp;C2269&amp;", "&amp;D2269&amp;", "&amp;E2269&amp;", "&amp;F2269&amp;", "&amp;G2269&amp;", "&amp;H2269&amp;");"</f>
        <v>INSERT INTO COTACAO (cot_id, cot_blt_id, cot_pap_id, cot_prc_comum, cot_prc_min, cot_prc_max, cot_prc_med, cot_prc_mediana) VALUES (2268, 94, 38, NULL, NULL, NULL, NULL, NULL);</v>
      </c>
      <c r="J2269" s="0" t="str">
        <f aca="false">"UPDATE COTACAO SET cot_id = "&amp;A2269&amp;", cot_blt_id = "&amp;B2269&amp;", cot_pap_id = "&amp;C2269&amp;", cot_prc_comum = "&amp;D2269&amp;", cot_prc_min = "&amp;E2269&amp;", cot_prc_max = "&amp;F2269&amp;", cot_prc_med = "&amp;G2269&amp;", cot_prc_mediana = "&amp;H2269&amp;" WHERE cot_id = "&amp;A2269&amp;";"</f>
        <v>UPDATE COTACAO SET cot_id = 2268, cot_blt_id = 94, cot_pap_id = 38, cot_prc_comum = NULL, cot_prc_min = NULL, cot_prc_max = NULL, cot_prc_med = NULL, cot_prc_mediana = NULL WHERE cot_id = 2268;</v>
      </c>
    </row>
    <row r="2270" customFormat="false" ht="14.25" hidden="false" customHeight="false" outlineLevel="0" collapsed="false">
      <c r="A2270" s="0" t="n">
        <v>2269</v>
      </c>
      <c r="B2270" s="0" t="n">
        <f aca="false">IF('Boletins Nuppa Site'!A2270&lt;&gt;0,'Boletins Nuppa Site'!A2270,"NULL")</f>
        <v>94</v>
      </c>
      <c r="C2270" s="0" t="n">
        <v>39</v>
      </c>
      <c r="D2270" s="0" t="str">
        <f aca="false">IF('Boletins Nuppa Site'!G2270&lt;&gt;0,'Boletins Nuppa Site'!G2270,"NULL")</f>
        <v>NULL</v>
      </c>
      <c r="E2270" s="30" t="str">
        <f aca="false">IF('Boletins Nuppa Site'!H2270&lt;&gt;0,'Boletins Nuppa Site'!H2270,"NULL")</f>
        <v>NULL</v>
      </c>
      <c r="F2270" s="30" t="str">
        <f aca="false">IF('Boletins Nuppa Site'!I2270&lt;&gt;0,'Boletins Nuppa Site'!I2270,"NULL")</f>
        <v>NULL</v>
      </c>
      <c r="G2270" s="30" t="str">
        <f aca="false">IF('Boletins Nuppa Site'!J2270&lt;&gt;0,'Boletins Nuppa Site'!J2270,"NULL")</f>
        <v>NULL</v>
      </c>
      <c r="H2270" s="30" t="str">
        <f aca="false">IF('Boletins Nuppa Site'!K2270&lt;&gt;0,'Boletins Nuppa Site'!K2270,"NULL")</f>
        <v>NULL</v>
      </c>
      <c r="I2270" s="0" t="str">
        <f aca="false">"INSERT INTO COTACAO (cot_id, cot_blt_id, cot_pap_id, cot_prc_comum, cot_prc_min, cot_prc_max, cot_prc_med, cot_prc_mediana) VALUES ("&amp;A2270&amp;", "&amp;B2270&amp;", "&amp;C2270&amp;", "&amp;D2270&amp;", "&amp;E2270&amp;", "&amp;F2270&amp;", "&amp;G2270&amp;", "&amp;H2270&amp;");"</f>
        <v>INSERT INTO COTACAO (cot_id, cot_blt_id, cot_pap_id, cot_prc_comum, cot_prc_min, cot_prc_max, cot_prc_med, cot_prc_mediana) VALUES (2269, 94, 39, NULL, NULL, NULL, NULL, NULL);</v>
      </c>
      <c r="J2270" s="0" t="str">
        <f aca="false">"UPDATE COTACAO SET cot_id = "&amp;A2270&amp;", cot_blt_id = "&amp;B2270&amp;", cot_pap_id = "&amp;C2270&amp;", cot_prc_comum = "&amp;D2270&amp;", cot_prc_min = "&amp;E2270&amp;", cot_prc_max = "&amp;F2270&amp;", cot_prc_med = "&amp;G2270&amp;", cot_prc_mediana = "&amp;H2270&amp;" WHERE cot_id = "&amp;A2270&amp;";"</f>
        <v>UPDATE COTACAO SET cot_id = 2269, cot_blt_id = 94, cot_pap_id = 39, cot_prc_comum = NULL, cot_prc_min = NULL, cot_prc_max = NULL, cot_prc_med = NULL, cot_prc_mediana = NULL WHERE cot_id = 2269;</v>
      </c>
    </row>
    <row r="2271" customFormat="false" ht="14.25" hidden="false" customHeight="false" outlineLevel="0" collapsed="false">
      <c r="A2271" s="0" t="n">
        <v>2270</v>
      </c>
      <c r="B2271" s="0" t="n">
        <f aca="false">IF('Boletins Nuppa Site'!A2271&lt;&gt;0,'Boletins Nuppa Site'!A2271,"NULL")</f>
        <v>94</v>
      </c>
      <c r="C2271" s="0" t="n">
        <v>40</v>
      </c>
      <c r="D2271" s="0" t="str">
        <f aca="false">IF('Boletins Nuppa Site'!G2271&lt;&gt;0,'Boletins Nuppa Site'!G2271,"NULL")</f>
        <v>NULL</v>
      </c>
      <c r="E2271" s="30" t="str">
        <f aca="false">IF('Boletins Nuppa Site'!H2271&lt;&gt;0,'Boletins Nuppa Site'!H2271,"NULL")</f>
        <v>NULL</v>
      </c>
      <c r="F2271" s="30" t="str">
        <f aca="false">IF('Boletins Nuppa Site'!I2271&lt;&gt;0,'Boletins Nuppa Site'!I2271,"NULL")</f>
        <v>NULL</v>
      </c>
      <c r="G2271" s="30" t="str">
        <f aca="false">IF('Boletins Nuppa Site'!J2271&lt;&gt;0,'Boletins Nuppa Site'!J2271,"NULL")</f>
        <v>NULL</v>
      </c>
      <c r="H2271" s="30" t="str">
        <f aca="false">IF('Boletins Nuppa Site'!K2271&lt;&gt;0,'Boletins Nuppa Site'!K2271,"NULL")</f>
        <v>NULL</v>
      </c>
      <c r="I2271" s="0" t="str">
        <f aca="false">"INSERT INTO COTACAO (cot_id, cot_blt_id, cot_pap_id, cot_prc_comum, cot_prc_min, cot_prc_max, cot_prc_med, cot_prc_mediana) VALUES ("&amp;A2271&amp;", "&amp;B2271&amp;", "&amp;C2271&amp;", "&amp;D2271&amp;", "&amp;E2271&amp;", "&amp;F2271&amp;", "&amp;G2271&amp;", "&amp;H2271&amp;");"</f>
        <v>INSERT INTO COTACAO (cot_id, cot_blt_id, cot_pap_id, cot_prc_comum, cot_prc_min, cot_prc_max, cot_prc_med, cot_prc_mediana) VALUES (2270, 94, 40, NULL, NULL, NULL, NULL, NULL);</v>
      </c>
      <c r="J2271" s="0" t="str">
        <f aca="false">"UPDATE COTACAO SET cot_id = "&amp;A2271&amp;", cot_blt_id = "&amp;B2271&amp;", cot_pap_id = "&amp;C2271&amp;", cot_prc_comum = "&amp;D2271&amp;", cot_prc_min = "&amp;E2271&amp;", cot_prc_max = "&amp;F2271&amp;", cot_prc_med = "&amp;G2271&amp;", cot_prc_mediana = "&amp;H2271&amp;" WHERE cot_id = "&amp;A2271&amp;";"</f>
        <v>UPDATE COTACAO SET cot_id = 2270, cot_blt_id = 94, cot_pap_id = 40, cot_prc_comum = NULL, cot_prc_min = NULL, cot_prc_max = NULL, cot_prc_med = NULL, cot_prc_mediana = NULL WHERE cot_id = 2270;</v>
      </c>
    </row>
    <row r="2272" customFormat="false" ht="14.25" hidden="false" customHeight="false" outlineLevel="0" collapsed="false">
      <c r="A2272" s="0" t="n">
        <v>2271</v>
      </c>
      <c r="B2272" s="0" t="n">
        <f aca="false">IF('Boletins Nuppa Site'!A2272&lt;&gt;0,'Boletins Nuppa Site'!A2272,"NULL")</f>
        <v>95</v>
      </c>
      <c r="C2272" s="0" t="n">
        <v>1</v>
      </c>
      <c r="D2272" s="0" t="str">
        <f aca="false">IF('Boletins Nuppa Site'!G2272&lt;&gt;0,'Boletins Nuppa Site'!G2272,"NULL")</f>
        <v>NULL</v>
      </c>
      <c r="E2272" s="30" t="str">
        <f aca="false">IF('Boletins Nuppa Site'!H2272&lt;&gt;0,'Boletins Nuppa Site'!H2272,"NULL")</f>
        <v> 60.00</v>
      </c>
      <c r="F2272" s="30" t="str">
        <f aca="false">IF('Boletins Nuppa Site'!I2272&lt;&gt;0,'Boletins Nuppa Site'!I2272,"NULL")</f>
        <v> 66.00</v>
      </c>
      <c r="G2272" s="30" t="str">
        <f aca="false">IF('Boletins Nuppa Site'!J2272&lt;&gt;0,'Boletins Nuppa Site'!J2272,"NULL")</f>
        <v> 66.00</v>
      </c>
      <c r="H2272" s="30" t="str">
        <f aca="false">IF('Boletins Nuppa Site'!K2272&lt;&gt;0,'Boletins Nuppa Site'!K2272,"NULL")</f>
        <v> 72.00</v>
      </c>
      <c r="I2272" s="0" t="str">
        <f aca="false">"INSERT INTO COTACAO (cot_id, cot_blt_id, cot_pap_id, cot_prc_comum, cot_prc_min, cot_prc_max, cot_prc_med, cot_prc_mediana) VALUES ("&amp;A2272&amp;", "&amp;B2272&amp;", "&amp;C2272&amp;", "&amp;D2272&amp;", "&amp;E2272&amp;", "&amp;F2272&amp;", "&amp;G2272&amp;", "&amp;H2272&amp;");"</f>
        <v>INSERT INTO COTACAO (cot_id, cot_blt_id, cot_pap_id, cot_prc_comum, cot_prc_min, cot_prc_max, cot_prc_med, cot_prc_mediana) VALUES (2271, 95, 1, NULL,  60.00,  66.00,  66.00,  72.00);</v>
      </c>
      <c r="J2272" s="0" t="str">
        <f aca="false">"UPDATE COTACAO SET cot_id = "&amp;A2272&amp;", cot_blt_id = "&amp;B2272&amp;", cot_pap_id = "&amp;C2272&amp;", cot_prc_comum = "&amp;D2272&amp;", cot_prc_min = "&amp;E2272&amp;", cot_prc_max = "&amp;F2272&amp;", cot_prc_med = "&amp;G2272&amp;", cot_prc_mediana = "&amp;H2272&amp;" WHERE cot_id = "&amp;A2272&amp;";"</f>
        <v>UPDATE COTACAO SET cot_id = 2271, cot_blt_id = 95, cot_pap_id = 1, cot_prc_comum = NULL, cot_prc_min =  60.00, cot_prc_max =  66.00, cot_prc_med =  66.00, cot_prc_mediana =  72.00 WHERE cot_id = 2271;</v>
      </c>
    </row>
    <row r="2273" customFormat="false" ht="14.25" hidden="false" customHeight="false" outlineLevel="0" collapsed="false">
      <c r="A2273" s="0" t="n">
        <v>2272</v>
      </c>
      <c r="B2273" s="0" t="n">
        <f aca="false">IF('Boletins Nuppa Site'!A2273&lt;&gt;0,'Boletins Nuppa Site'!A2273,"NULL")</f>
        <v>95</v>
      </c>
      <c r="C2273" s="0" t="n">
        <v>2</v>
      </c>
      <c r="D2273" s="0" t="str">
        <f aca="false">IF('Boletins Nuppa Site'!G2273&lt;&gt;0,'Boletins Nuppa Site'!G2273,"NULL")</f>
        <v>NULL</v>
      </c>
      <c r="E2273" s="30" t="str">
        <f aca="false">IF('Boletins Nuppa Site'!H2273&lt;&gt;0,'Boletins Nuppa Site'!H2273,"NULL")</f>
        <v> 48.00</v>
      </c>
      <c r="F2273" s="30" t="str">
        <f aca="false">IF('Boletins Nuppa Site'!I2273&lt;&gt;0,'Boletins Nuppa Site'!I2273,"NULL")</f>
        <v> 72.00</v>
      </c>
      <c r="G2273" s="30" t="str">
        <f aca="false">IF('Boletins Nuppa Site'!J2273&lt;&gt;0,'Boletins Nuppa Site'!J2273,"NULL")</f>
        <v> 72.00</v>
      </c>
      <c r="H2273" s="30" t="str">
        <f aca="false">IF('Boletins Nuppa Site'!K2273&lt;&gt;0,'Boletins Nuppa Site'!K2273,"NULL")</f>
        <v> 96.00</v>
      </c>
      <c r="I2273" s="0" t="str">
        <f aca="false">"INSERT INTO COTACAO (cot_id, cot_blt_id, cot_pap_id, cot_prc_comum, cot_prc_min, cot_prc_max, cot_prc_med, cot_prc_mediana) VALUES ("&amp;A2273&amp;", "&amp;B2273&amp;", "&amp;C2273&amp;", "&amp;D2273&amp;", "&amp;E2273&amp;", "&amp;F2273&amp;", "&amp;G2273&amp;", "&amp;H2273&amp;");"</f>
        <v>INSERT INTO COTACAO (cot_id, cot_blt_id, cot_pap_id, cot_prc_comum, cot_prc_min, cot_prc_max, cot_prc_med, cot_prc_mediana) VALUES (2272, 95, 2, NULL,  48.00,  72.00,  72.00,  96.00);</v>
      </c>
      <c r="J2273" s="0" t="str">
        <f aca="false">"UPDATE COTACAO SET cot_id = "&amp;A2273&amp;", cot_blt_id = "&amp;B2273&amp;", cot_pap_id = "&amp;C2273&amp;", cot_prc_comum = "&amp;D2273&amp;", cot_prc_min = "&amp;E2273&amp;", cot_prc_max = "&amp;F2273&amp;", cot_prc_med = "&amp;G2273&amp;", cot_prc_mediana = "&amp;H2273&amp;" WHERE cot_id = "&amp;A2273&amp;";"</f>
        <v>UPDATE COTACAO SET cot_id = 2272, cot_blt_id = 95, cot_pap_id = 2, cot_prc_comum = NULL, cot_prc_min =  48.00, cot_prc_max =  72.00, cot_prc_med =  72.00, cot_prc_mediana =  96.00 WHERE cot_id = 2272;</v>
      </c>
    </row>
    <row r="2274" customFormat="false" ht="14.25" hidden="false" customHeight="false" outlineLevel="0" collapsed="false">
      <c r="A2274" s="0" t="n">
        <v>2273</v>
      </c>
      <c r="B2274" s="0" t="n">
        <f aca="false">IF('Boletins Nuppa Site'!A2274&lt;&gt;0,'Boletins Nuppa Site'!A2274,"NULL")</f>
        <v>95</v>
      </c>
      <c r="C2274" s="0" t="n">
        <v>3</v>
      </c>
      <c r="D2274" s="0" t="str">
        <f aca="false">IF('Boletins Nuppa Site'!G2274&lt;&gt;0,'Boletins Nuppa Site'!G2274,"NULL")</f>
        <v> 48.00</v>
      </c>
      <c r="E2274" s="30" t="str">
        <f aca="false">IF('Boletins Nuppa Site'!H2274&lt;&gt;0,'Boletins Nuppa Site'!H2274,"NULL")</f>
        <v> 42.00</v>
      </c>
      <c r="F2274" s="30" t="str">
        <f aca="false">IF('Boletins Nuppa Site'!I2274&lt;&gt;0,'Boletins Nuppa Site'!I2274,"NULL")</f>
        <v> 46.00</v>
      </c>
      <c r="G2274" s="30" t="str">
        <f aca="false">IF('Boletins Nuppa Site'!J2274&lt;&gt;0,'Boletins Nuppa Site'!J2274,"NULL")</f>
        <v> 48.00</v>
      </c>
      <c r="H2274" s="30" t="str">
        <f aca="false">IF('Boletins Nuppa Site'!K2274&lt;&gt;0,'Boletins Nuppa Site'!K2274,"NULL")</f>
        <v> 48.00</v>
      </c>
      <c r="I2274" s="0" t="str">
        <f aca="false">"INSERT INTO COTACAO (cot_id, cot_blt_id, cot_pap_id, cot_prc_comum, cot_prc_min, cot_prc_max, cot_prc_med, cot_prc_mediana) VALUES ("&amp;A2274&amp;", "&amp;B2274&amp;", "&amp;C2274&amp;", "&amp;D2274&amp;", "&amp;E2274&amp;", "&amp;F2274&amp;", "&amp;G2274&amp;", "&amp;H2274&amp;");"</f>
        <v>INSERT INTO COTACAO (cot_id, cot_blt_id, cot_pap_id, cot_prc_comum, cot_prc_min, cot_prc_max, cot_prc_med, cot_prc_mediana) VALUES (2273, 95, 3,  48.00,  42.00,  46.00,  48.00,  48.00);</v>
      </c>
      <c r="J2274" s="0" t="str">
        <f aca="false">"UPDATE COTACAO SET cot_id = "&amp;A2274&amp;", cot_blt_id = "&amp;B2274&amp;", cot_pap_id = "&amp;C2274&amp;", cot_prc_comum = "&amp;D2274&amp;", cot_prc_min = "&amp;E2274&amp;", cot_prc_max = "&amp;F2274&amp;", cot_prc_med = "&amp;G2274&amp;", cot_prc_mediana = "&amp;H2274&amp;" WHERE cot_id = "&amp;A2274&amp;";"</f>
        <v>UPDATE COTACAO SET cot_id = 2273, cot_blt_id = 95, cot_pap_id = 3, cot_prc_comum =  48.00, cot_prc_min =  42.00, cot_prc_max =  46.00, cot_prc_med =  48.00, cot_prc_mediana =  48.00 WHERE cot_id = 2273;</v>
      </c>
    </row>
    <row r="2275" customFormat="false" ht="14.25" hidden="false" customHeight="false" outlineLevel="0" collapsed="false">
      <c r="A2275" s="0" t="n">
        <v>2274</v>
      </c>
      <c r="B2275" s="0" t="n">
        <f aca="false">IF('Boletins Nuppa Site'!A2275&lt;&gt;0,'Boletins Nuppa Site'!A2275,"NULL")</f>
        <v>95</v>
      </c>
      <c r="C2275" s="0" t="n">
        <v>4</v>
      </c>
      <c r="D2275" s="0" t="str">
        <f aca="false">IF('Boletins Nuppa Site'!G2275&lt;&gt;0,'Boletins Nuppa Site'!G2275,"NULL")</f>
        <v> 30.00</v>
      </c>
      <c r="E2275" s="30" t="str">
        <f aca="false">IF('Boletins Nuppa Site'!H2275&lt;&gt;0,'Boletins Nuppa Site'!H2275,"NULL")</f>
        <v> 30.00</v>
      </c>
      <c r="F2275" s="30" t="str">
        <f aca="false">IF('Boletins Nuppa Site'!I2275&lt;&gt;0,'Boletins Nuppa Site'!I2275,"NULL")</f>
        <v> 32.00</v>
      </c>
      <c r="G2275" s="30" t="str">
        <f aca="false">IF('Boletins Nuppa Site'!J2275&lt;&gt;0,'Boletins Nuppa Site'!J2275,"NULL")</f>
        <v> 36.00</v>
      </c>
      <c r="H2275" s="30" t="str">
        <f aca="false">IF('Boletins Nuppa Site'!K2275&lt;&gt;0,'Boletins Nuppa Site'!K2275,"NULL")</f>
        <v> 30.00</v>
      </c>
      <c r="I2275" s="0" t="str">
        <f aca="false">"INSERT INTO COTACAO (cot_id, cot_blt_id, cot_pap_id, cot_prc_comum, cot_prc_min, cot_prc_max, cot_prc_med, cot_prc_mediana) VALUES ("&amp;A2275&amp;", "&amp;B2275&amp;", "&amp;C2275&amp;", "&amp;D2275&amp;", "&amp;E2275&amp;", "&amp;F2275&amp;", "&amp;G2275&amp;", "&amp;H2275&amp;");"</f>
        <v>INSERT INTO COTACAO (cot_id, cot_blt_id, cot_pap_id, cot_prc_comum, cot_prc_min, cot_prc_max, cot_prc_med, cot_prc_mediana) VALUES (2274, 95, 4,  30.00,  30.00,  32.00,  36.00,  30.00);</v>
      </c>
      <c r="J2275" s="0" t="str">
        <f aca="false">"UPDATE COTACAO SET cot_id = "&amp;A2275&amp;", cot_blt_id = "&amp;B2275&amp;", cot_pap_id = "&amp;C2275&amp;", cot_prc_comum = "&amp;D2275&amp;", cot_prc_min = "&amp;E2275&amp;", cot_prc_max = "&amp;F2275&amp;", cot_prc_med = "&amp;G2275&amp;", cot_prc_mediana = "&amp;H2275&amp;" WHERE cot_id = "&amp;A2275&amp;";"</f>
        <v>UPDATE COTACAO SET cot_id = 2274, cot_blt_id = 95, cot_pap_id = 4, cot_prc_comum =  30.00, cot_prc_min =  30.00, cot_prc_max =  32.00, cot_prc_med =  36.00, cot_prc_mediana =  30.00 WHERE cot_id = 2274;</v>
      </c>
    </row>
    <row r="2276" customFormat="false" ht="14.25" hidden="false" customHeight="false" outlineLevel="0" collapsed="false">
      <c r="A2276" s="0" t="n">
        <v>2275</v>
      </c>
      <c r="B2276" s="0" t="n">
        <f aca="false">IF('Boletins Nuppa Site'!A2276&lt;&gt;0,'Boletins Nuppa Site'!A2276,"NULL")</f>
        <v>95</v>
      </c>
      <c r="C2276" s="0" t="n">
        <v>5</v>
      </c>
      <c r="D2276" s="0" t="str">
        <f aca="false">IF('Boletins Nuppa Site'!G2276&lt;&gt;0,'Boletins Nuppa Site'!G2276,"NULL")</f>
        <v> 30.00</v>
      </c>
      <c r="E2276" s="30" t="str">
        <f aca="false">IF('Boletins Nuppa Site'!H2276&lt;&gt;0,'Boletins Nuppa Site'!H2276,"NULL")</f>
        <v> 30.00</v>
      </c>
      <c r="F2276" s="30" t="str">
        <f aca="false">IF('Boletins Nuppa Site'!I2276&lt;&gt;0,'Boletins Nuppa Site'!I2276,"NULL")</f>
        <v> 30.00</v>
      </c>
      <c r="G2276" s="30" t="str">
        <f aca="false">IF('Boletins Nuppa Site'!J2276&lt;&gt;0,'Boletins Nuppa Site'!J2276,"NULL")</f>
        <v> 30.00</v>
      </c>
      <c r="H2276" s="30" t="str">
        <f aca="false">IF('Boletins Nuppa Site'!K2276&lt;&gt;0,'Boletins Nuppa Site'!K2276,"NULL")</f>
        <v> 30.00</v>
      </c>
      <c r="I2276" s="0" t="str">
        <f aca="false">"INSERT INTO COTACAO (cot_id, cot_blt_id, cot_pap_id, cot_prc_comum, cot_prc_min, cot_prc_max, cot_prc_med, cot_prc_mediana) VALUES ("&amp;A2276&amp;", "&amp;B2276&amp;", "&amp;C2276&amp;", "&amp;D2276&amp;", "&amp;E2276&amp;", "&amp;F2276&amp;", "&amp;G2276&amp;", "&amp;H2276&amp;");"</f>
        <v>INSERT INTO COTACAO (cot_id, cot_blt_id, cot_pap_id, cot_prc_comum, cot_prc_min, cot_prc_max, cot_prc_med, cot_prc_mediana) VALUES (2275, 95, 5,  30.00,  30.00,  30.00,  30.00,  30.00);</v>
      </c>
      <c r="J2276" s="0" t="str">
        <f aca="false">"UPDATE COTACAO SET cot_id = "&amp;A2276&amp;", cot_blt_id = "&amp;B2276&amp;", cot_pap_id = "&amp;C2276&amp;", cot_prc_comum = "&amp;D2276&amp;", cot_prc_min = "&amp;E2276&amp;", cot_prc_max = "&amp;F2276&amp;", cot_prc_med = "&amp;G2276&amp;", cot_prc_mediana = "&amp;H2276&amp;" WHERE cot_id = "&amp;A2276&amp;";"</f>
        <v>UPDATE COTACAO SET cot_id = 2275, cot_blt_id = 95, cot_pap_id = 5, cot_prc_comum =  30.00, cot_prc_min =  30.00, cot_prc_max =  30.00, cot_prc_med =  30.00, cot_prc_mediana =  30.00 WHERE cot_id = 2275;</v>
      </c>
    </row>
    <row r="2277" customFormat="false" ht="14.25" hidden="false" customHeight="false" outlineLevel="0" collapsed="false">
      <c r="A2277" s="0" t="n">
        <v>2276</v>
      </c>
      <c r="B2277" s="0" t="n">
        <f aca="false">IF('Boletins Nuppa Site'!A2277&lt;&gt;0,'Boletins Nuppa Site'!A2277,"NULL")</f>
        <v>95</v>
      </c>
      <c r="C2277" s="0" t="n">
        <v>6</v>
      </c>
      <c r="D2277" s="0" t="str">
        <f aca="false">IF('Boletins Nuppa Site'!G2277&lt;&gt;0,'Boletins Nuppa Site'!G2277,"NULL")</f>
        <v>NULL</v>
      </c>
      <c r="E2277" s="30" t="str">
        <f aca="false">IF('Boletins Nuppa Site'!H2277&lt;&gt;0,'Boletins Nuppa Site'!H2277,"NULL")</f>
        <v> 60.00</v>
      </c>
      <c r="F2277" s="30" t="str">
        <f aca="false">IF('Boletins Nuppa Site'!I2277&lt;&gt;0,'Boletins Nuppa Site'!I2277,"NULL")</f>
        <v> 72.00</v>
      </c>
      <c r="G2277" s="30" t="str">
        <f aca="false">IF('Boletins Nuppa Site'!J2277&lt;&gt;0,'Boletins Nuppa Site'!J2277,"NULL")</f>
        <v> 72.00</v>
      </c>
      <c r="H2277" s="30" t="str">
        <f aca="false">IF('Boletins Nuppa Site'!K2277&lt;&gt;0,'Boletins Nuppa Site'!K2277,"NULL")</f>
        <v> 84.00</v>
      </c>
      <c r="I2277" s="0" t="str">
        <f aca="false">"INSERT INTO COTACAO (cot_id, cot_blt_id, cot_pap_id, cot_prc_comum, cot_prc_min, cot_prc_max, cot_prc_med, cot_prc_mediana) VALUES ("&amp;A2277&amp;", "&amp;B2277&amp;", "&amp;C2277&amp;", "&amp;D2277&amp;", "&amp;E2277&amp;", "&amp;F2277&amp;", "&amp;G2277&amp;", "&amp;H2277&amp;");"</f>
        <v>INSERT INTO COTACAO (cot_id, cot_blt_id, cot_pap_id, cot_prc_comum, cot_prc_min, cot_prc_max, cot_prc_med, cot_prc_mediana) VALUES (2276, 95, 6, NULL,  60.00,  72.00,  72.00,  84.00);</v>
      </c>
      <c r="J2277" s="0" t="str">
        <f aca="false">"UPDATE COTACAO SET cot_id = "&amp;A2277&amp;", cot_blt_id = "&amp;B2277&amp;", cot_pap_id = "&amp;C2277&amp;", cot_prc_comum = "&amp;D2277&amp;", cot_prc_min = "&amp;E2277&amp;", cot_prc_max = "&amp;F2277&amp;", cot_prc_med = "&amp;G2277&amp;", cot_prc_mediana = "&amp;H2277&amp;" WHERE cot_id = "&amp;A2277&amp;";"</f>
        <v>UPDATE COTACAO SET cot_id = 2276, cot_blt_id = 95, cot_pap_id = 6, cot_prc_comum = NULL, cot_prc_min =  60.00, cot_prc_max =  72.00, cot_prc_med =  72.00, cot_prc_mediana =  84.00 WHERE cot_id = 2276;</v>
      </c>
    </row>
    <row r="2278" customFormat="false" ht="14.25" hidden="false" customHeight="false" outlineLevel="0" collapsed="false">
      <c r="A2278" s="0" t="n">
        <v>2277</v>
      </c>
      <c r="B2278" s="0" t="n">
        <f aca="false">IF('Boletins Nuppa Site'!A2278&lt;&gt;0,'Boletins Nuppa Site'!A2278,"NULL")</f>
        <v>95</v>
      </c>
      <c r="C2278" s="0" t="n">
        <v>7</v>
      </c>
      <c r="D2278" s="0" t="str">
        <f aca="false">IF('Boletins Nuppa Site'!G2278&lt;&gt;0,'Boletins Nuppa Site'!G2278,"NULL")</f>
        <v>NULL</v>
      </c>
      <c r="E2278" s="30" t="str">
        <f aca="false">IF('Boletins Nuppa Site'!H2278&lt;&gt;0,'Boletins Nuppa Site'!H2278,"NULL")</f>
        <v> 90.00</v>
      </c>
      <c r="F2278" s="30" t="str">
        <f aca="false">IF('Boletins Nuppa Site'!I2278&lt;&gt;0,'Boletins Nuppa Site'!I2278,"NULL")</f>
        <v> 108.00</v>
      </c>
      <c r="G2278" s="30" t="str">
        <f aca="false">IF('Boletins Nuppa Site'!J2278&lt;&gt;0,'Boletins Nuppa Site'!J2278,"NULL")</f>
        <v> 99.00</v>
      </c>
      <c r="H2278" s="30" t="str">
        <f aca="false">IF('Boletins Nuppa Site'!K2278&lt;&gt;0,'Boletins Nuppa Site'!K2278,"NULL")</f>
        <v> 99.00</v>
      </c>
      <c r="I2278" s="0" t="str">
        <f aca="false">"INSERT INTO COTACAO (cot_id, cot_blt_id, cot_pap_id, cot_prc_comum, cot_prc_min, cot_prc_max, cot_prc_med, cot_prc_mediana) VALUES ("&amp;A2278&amp;", "&amp;B2278&amp;", "&amp;C2278&amp;", "&amp;D2278&amp;", "&amp;E2278&amp;", "&amp;F2278&amp;", "&amp;G2278&amp;", "&amp;H2278&amp;");"</f>
        <v>INSERT INTO COTACAO (cot_id, cot_blt_id, cot_pap_id, cot_prc_comum, cot_prc_min, cot_prc_max, cot_prc_med, cot_prc_mediana) VALUES (2277, 95, 7, NULL,  90.00,  108.00,  99.00,  99.00);</v>
      </c>
      <c r="J2278" s="0" t="str">
        <f aca="false">"UPDATE COTACAO SET cot_id = "&amp;A2278&amp;", cot_blt_id = "&amp;B2278&amp;", cot_pap_id = "&amp;C2278&amp;", cot_prc_comum = "&amp;D2278&amp;", cot_prc_min = "&amp;E2278&amp;", cot_prc_max = "&amp;F2278&amp;", cot_prc_med = "&amp;G2278&amp;", cot_prc_mediana = "&amp;H2278&amp;" WHERE cot_id = "&amp;A2278&amp;";"</f>
        <v>UPDATE COTACAO SET cot_id = 2277, cot_blt_id = 95, cot_pap_id = 7, cot_prc_comum = NULL, cot_prc_min =  90.00, cot_prc_max =  108.00, cot_prc_med =  99.00, cot_prc_mediana =  99.00 WHERE cot_id = 2277;</v>
      </c>
    </row>
    <row r="2279" customFormat="false" ht="14.25" hidden="false" customHeight="false" outlineLevel="0" collapsed="false">
      <c r="A2279" s="0" t="n">
        <v>2278</v>
      </c>
      <c r="B2279" s="0" t="n">
        <f aca="false">IF('Boletins Nuppa Site'!A2279&lt;&gt;0,'Boletins Nuppa Site'!A2279,"NULL")</f>
        <v>95</v>
      </c>
      <c r="C2279" s="0" t="n">
        <v>8</v>
      </c>
      <c r="D2279" s="0" t="str">
        <f aca="false">IF('Boletins Nuppa Site'!G2279&lt;&gt;0,'Boletins Nuppa Site'!G2279,"NULL")</f>
        <v>NULL</v>
      </c>
      <c r="E2279" s="30" t="str">
        <f aca="false">IF('Boletins Nuppa Site'!H2279&lt;&gt;0,'Boletins Nuppa Site'!H2279,"NULL")</f>
        <v> 84.00</v>
      </c>
      <c r="F2279" s="30" t="str">
        <f aca="false">IF('Boletins Nuppa Site'!I2279&lt;&gt;0,'Boletins Nuppa Site'!I2279,"NULL")</f>
        <v> 90.00</v>
      </c>
      <c r="G2279" s="30" t="str">
        <f aca="false">IF('Boletins Nuppa Site'!J2279&lt;&gt;0,'Boletins Nuppa Site'!J2279,"NULL")</f>
        <v> 102.00</v>
      </c>
      <c r="H2279" s="30" t="str">
        <f aca="false">IF('Boletins Nuppa Site'!K2279&lt;&gt;0,'Boletins Nuppa Site'!K2279,"NULL")</f>
        <v> 92.00</v>
      </c>
      <c r="I2279" s="0" t="str">
        <f aca="false">"INSERT INTO COTACAO (cot_id, cot_blt_id, cot_pap_id, cot_prc_comum, cot_prc_min, cot_prc_max, cot_prc_med, cot_prc_mediana) VALUES ("&amp;A2279&amp;", "&amp;B2279&amp;", "&amp;C2279&amp;", "&amp;D2279&amp;", "&amp;E2279&amp;", "&amp;F2279&amp;", "&amp;G2279&amp;", "&amp;H2279&amp;");"</f>
        <v>INSERT INTO COTACAO (cot_id, cot_blt_id, cot_pap_id, cot_prc_comum, cot_prc_min, cot_prc_max, cot_prc_med, cot_prc_mediana) VALUES (2278, 95, 8, NULL,  84.00,  90.00,  102.00,  92.00);</v>
      </c>
      <c r="J2279" s="0" t="str">
        <f aca="false">"UPDATE COTACAO SET cot_id = "&amp;A2279&amp;", cot_blt_id = "&amp;B2279&amp;", cot_pap_id = "&amp;C2279&amp;", cot_prc_comum = "&amp;D2279&amp;", cot_prc_min = "&amp;E2279&amp;", cot_prc_max = "&amp;F2279&amp;", cot_prc_med = "&amp;G2279&amp;", cot_prc_mediana = "&amp;H2279&amp;" WHERE cot_id = "&amp;A2279&amp;";"</f>
        <v>UPDATE COTACAO SET cot_id = 2278, cot_blt_id = 95, cot_pap_id = 8, cot_prc_comum = NULL, cot_prc_min =  84.00, cot_prc_max =  90.00, cot_prc_med =  102.00, cot_prc_mediana =  92.00 WHERE cot_id = 2278;</v>
      </c>
    </row>
    <row r="2280" customFormat="false" ht="14.25" hidden="false" customHeight="false" outlineLevel="0" collapsed="false">
      <c r="A2280" s="0" t="n">
        <v>2279</v>
      </c>
      <c r="B2280" s="0" t="n">
        <f aca="false">IF('Boletins Nuppa Site'!A2280&lt;&gt;0,'Boletins Nuppa Site'!A2280,"NULL")</f>
        <v>95</v>
      </c>
      <c r="C2280" s="0" t="n">
        <v>9</v>
      </c>
      <c r="D2280" s="0" t="str">
        <f aca="false">IF('Boletins Nuppa Site'!G2280&lt;&gt;0,'Boletins Nuppa Site'!G2280,"NULL")</f>
        <v> 30.00</v>
      </c>
      <c r="E2280" s="30" t="str">
        <f aca="false">IF('Boletins Nuppa Site'!H2280&lt;&gt;0,'Boletins Nuppa Site'!H2280,"NULL")</f>
        <v> 30.00</v>
      </c>
      <c r="F2280" s="30" t="str">
        <f aca="false">IF('Boletins Nuppa Site'!I2280&lt;&gt;0,'Boletins Nuppa Site'!I2280,"NULL")</f>
        <v> 36.00</v>
      </c>
      <c r="G2280" s="30" t="str">
        <f aca="false">IF('Boletins Nuppa Site'!J2280&lt;&gt;0,'Boletins Nuppa Site'!J2280,"NULL")</f>
        <v> 32.00</v>
      </c>
      <c r="H2280" s="30" t="str">
        <f aca="false">IF('Boletins Nuppa Site'!K2280&lt;&gt;0,'Boletins Nuppa Site'!K2280,"NULL")</f>
        <v> 30.00</v>
      </c>
      <c r="I2280" s="0" t="str">
        <f aca="false">"INSERT INTO COTACAO (cot_id, cot_blt_id, cot_pap_id, cot_prc_comum, cot_prc_min, cot_prc_max, cot_prc_med, cot_prc_mediana) VALUES ("&amp;A2280&amp;", "&amp;B2280&amp;", "&amp;C2280&amp;", "&amp;D2280&amp;", "&amp;E2280&amp;", "&amp;F2280&amp;", "&amp;G2280&amp;", "&amp;H2280&amp;");"</f>
        <v>INSERT INTO COTACAO (cot_id, cot_blt_id, cot_pap_id, cot_prc_comum, cot_prc_min, cot_prc_max, cot_prc_med, cot_prc_mediana) VALUES (2279, 95, 9,  30.00,  30.00,  36.00,  32.00,  30.00);</v>
      </c>
      <c r="J2280" s="0" t="str">
        <f aca="false">"UPDATE COTACAO SET cot_id = "&amp;A2280&amp;", cot_blt_id = "&amp;B2280&amp;", cot_pap_id = "&amp;C2280&amp;", cot_prc_comum = "&amp;D2280&amp;", cot_prc_min = "&amp;E2280&amp;", cot_prc_max = "&amp;F2280&amp;", cot_prc_med = "&amp;G2280&amp;", cot_prc_mediana = "&amp;H2280&amp;" WHERE cot_id = "&amp;A2280&amp;";"</f>
        <v>UPDATE COTACAO SET cot_id = 2279, cot_blt_id = 95, cot_pap_id = 9, cot_prc_comum =  30.00, cot_prc_min =  30.00, cot_prc_max =  36.00, cot_prc_med =  32.00, cot_prc_mediana =  30.00 WHERE cot_id = 2279;</v>
      </c>
    </row>
    <row r="2281" customFormat="false" ht="14.25" hidden="false" customHeight="false" outlineLevel="0" collapsed="false">
      <c r="A2281" s="0" t="n">
        <v>2280</v>
      </c>
      <c r="B2281" s="0" t="n">
        <f aca="false">IF('Boletins Nuppa Site'!A2281&lt;&gt;0,'Boletins Nuppa Site'!A2281,"NULL")</f>
        <v>95</v>
      </c>
      <c r="C2281" s="0" t="n">
        <v>10</v>
      </c>
      <c r="D2281" s="0" t="str">
        <f aca="false">IF('Boletins Nuppa Site'!G2281&lt;&gt;0,'Boletins Nuppa Site'!G2281,"NULL")</f>
        <v>NULL</v>
      </c>
      <c r="E2281" s="30" t="str">
        <f aca="false">IF('Boletins Nuppa Site'!H2281&lt;&gt;0,'Boletins Nuppa Site'!H2281,"NULL")</f>
        <v> 96.00</v>
      </c>
      <c r="F2281" s="30" t="str">
        <f aca="false">IF('Boletins Nuppa Site'!I2281&lt;&gt;0,'Boletins Nuppa Site'!I2281,"NULL")</f>
        <v> 120.00</v>
      </c>
      <c r="G2281" s="30" t="str">
        <f aca="false">IF('Boletins Nuppa Site'!J2281&lt;&gt;0,'Boletins Nuppa Site'!J2281,"NULL")</f>
        <v> 108.00</v>
      </c>
      <c r="H2281" s="30" t="str">
        <f aca="false">IF('Boletins Nuppa Site'!K2281&lt;&gt;0,'Boletins Nuppa Site'!K2281,"NULL")</f>
        <v> 108.00</v>
      </c>
      <c r="I2281" s="0" t="str">
        <f aca="false">"INSERT INTO COTACAO (cot_id, cot_blt_id, cot_pap_id, cot_prc_comum, cot_prc_min, cot_prc_max, cot_prc_med, cot_prc_mediana) VALUES ("&amp;A2281&amp;", "&amp;B2281&amp;", "&amp;C2281&amp;", "&amp;D2281&amp;", "&amp;E2281&amp;", "&amp;F2281&amp;", "&amp;G2281&amp;", "&amp;H2281&amp;");"</f>
        <v>INSERT INTO COTACAO (cot_id, cot_blt_id, cot_pap_id, cot_prc_comum, cot_prc_min, cot_prc_max, cot_prc_med, cot_prc_mediana) VALUES (2280, 95, 10, NULL,  96.00,  120.00,  108.00,  108.00);</v>
      </c>
      <c r="J2281" s="0" t="str">
        <f aca="false">"UPDATE COTACAO SET cot_id = "&amp;A2281&amp;", cot_blt_id = "&amp;B2281&amp;", cot_pap_id = "&amp;C2281&amp;", cot_prc_comum = "&amp;D2281&amp;", cot_prc_min = "&amp;E2281&amp;", cot_prc_max = "&amp;F2281&amp;", cot_prc_med = "&amp;G2281&amp;", cot_prc_mediana = "&amp;H2281&amp;" WHERE cot_id = "&amp;A2281&amp;";"</f>
        <v>UPDATE COTACAO SET cot_id = 2280, cot_blt_id = 95, cot_pap_id = 10, cot_prc_comum = NULL, cot_prc_min =  96.00, cot_prc_max =  120.00, cot_prc_med =  108.00, cot_prc_mediana =  108.00 WHERE cot_id = 2280;</v>
      </c>
    </row>
    <row r="2282" customFormat="false" ht="14.25" hidden="false" customHeight="false" outlineLevel="0" collapsed="false">
      <c r="A2282" s="0" t="n">
        <v>2281</v>
      </c>
      <c r="B2282" s="0" t="n">
        <f aca="false">IF('Boletins Nuppa Site'!A2282&lt;&gt;0,'Boletins Nuppa Site'!A2282,"NULL")</f>
        <v>95</v>
      </c>
      <c r="C2282" s="0" t="n">
        <v>11</v>
      </c>
      <c r="D2282" s="0" t="str">
        <f aca="false">IF('Boletins Nuppa Site'!G2282&lt;&gt;0,'Boletins Nuppa Site'!G2282,"NULL")</f>
        <v> 30.00</v>
      </c>
      <c r="E2282" s="30" t="str">
        <f aca="false">IF('Boletins Nuppa Site'!H2282&lt;&gt;0,'Boletins Nuppa Site'!H2282,"NULL")</f>
        <v> 30.00</v>
      </c>
      <c r="F2282" s="30" t="str">
        <f aca="false">IF('Boletins Nuppa Site'!I2282&lt;&gt;0,'Boletins Nuppa Site'!I2282,"NULL")</f>
        <v> 30.00</v>
      </c>
      <c r="G2282" s="30" t="str">
        <f aca="false">IF('Boletins Nuppa Site'!J2282&lt;&gt;0,'Boletins Nuppa Site'!J2282,"NULL")</f>
        <v> 30.00</v>
      </c>
      <c r="H2282" s="30" t="str">
        <f aca="false">IF('Boletins Nuppa Site'!K2282&lt;&gt;0,'Boletins Nuppa Site'!K2282,"NULL")</f>
        <v> 30.00</v>
      </c>
      <c r="I2282" s="0" t="str">
        <f aca="false">"INSERT INTO COTACAO (cot_id, cot_blt_id, cot_pap_id, cot_prc_comum, cot_prc_min, cot_prc_max, cot_prc_med, cot_prc_mediana) VALUES ("&amp;A2282&amp;", "&amp;B2282&amp;", "&amp;C2282&amp;", "&amp;D2282&amp;", "&amp;E2282&amp;", "&amp;F2282&amp;", "&amp;G2282&amp;", "&amp;H2282&amp;");"</f>
        <v>INSERT INTO COTACAO (cot_id, cot_blt_id, cot_pap_id, cot_prc_comum, cot_prc_min, cot_prc_max, cot_prc_med, cot_prc_mediana) VALUES (2281, 95, 11,  30.00,  30.00,  30.00,  30.00,  30.00);</v>
      </c>
      <c r="J2282" s="0" t="str">
        <f aca="false">"UPDATE COTACAO SET cot_id = "&amp;A2282&amp;", cot_blt_id = "&amp;B2282&amp;", cot_pap_id = "&amp;C2282&amp;", cot_prc_comum = "&amp;D2282&amp;", cot_prc_min = "&amp;E2282&amp;", cot_prc_max = "&amp;F2282&amp;", cot_prc_med = "&amp;G2282&amp;", cot_prc_mediana = "&amp;H2282&amp;" WHERE cot_id = "&amp;A2282&amp;";"</f>
        <v>UPDATE COTACAO SET cot_id = 2281, cot_blt_id = 95, cot_pap_id = 11, cot_prc_comum =  30.00, cot_prc_min =  30.00, cot_prc_max =  30.00, cot_prc_med =  30.00, cot_prc_mediana =  30.00 WHERE cot_id = 2281;</v>
      </c>
    </row>
    <row r="2283" customFormat="false" ht="14.25" hidden="false" customHeight="false" outlineLevel="0" collapsed="false">
      <c r="A2283" s="0" t="n">
        <v>2282</v>
      </c>
      <c r="B2283" s="0" t="n">
        <f aca="false">IF('Boletins Nuppa Site'!A2283&lt;&gt;0,'Boletins Nuppa Site'!A2283,"NULL")</f>
        <v>95</v>
      </c>
      <c r="C2283" s="0" t="n">
        <v>12</v>
      </c>
      <c r="D2283" s="0" t="str">
        <f aca="false">IF('Boletins Nuppa Site'!G2283&lt;&gt;0,'Boletins Nuppa Site'!G2283,"NULL")</f>
        <v>NULL</v>
      </c>
      <c r="E2283" s="30" t="str">
        <f aca="false">IF('Boletins Nuppa Site'!H2283&lt;&gt;0,'Boletins Nuppa Site'!H2283,"NULL")</f>
        <v> 72.00</v>
      </c>
      <c r="F2283" s="30" t="str">
        <f aca="false">IF('Boletins Nuppa Site'!I2283&lt;&gt;0,'Boletins Nuppa Site'!I2283,"NULL")</f>
        <v> 96.00</v>
      </c>
      <c r="G2283" s="30" t="str">
        <f aca="false">IF('Boletins Nuppa Site'!J2283&lt;&gt;0,'Boletins Nuppa Site'!J2283,"NULL")</f>
        <v> 84.00</v>
      </c>
      <c r="H2283" s="30" t="str">
        <f aca="false">IF('Boletins Nuppa Site'!K2283&lt;&gt;0,'Boletins Nuppa Site'!K2283,"NULL")</f>
        <v> 84.00</v>
      </c>
      <c r="I2283" s="0" t="str">
        <f aca="false">"INSERT INTO COTACAO (cot_id, cot_blt_id, cot_pap_id, cot_prc_comum, cot_prc_min, cot_prc_max, cot_prc_med, cot_prc_mediana) VALUES ("&amp;A2283&amp;", "&amp;B2283&amp;", "&amp;C2283&amp;", "&amp;D2283&amp;", "&amp;E2283&amp;", "&amp;F2283&amp;", "&amp;G2283&amp;", "&amp;H2283&amp;");"</f>
        <v>INSERT INTO COTACAO (cot_id, cot_blt_id, cot_pap_id, cot_prc_comum, cot_prc_min, cot_prc_max, cot_prc_med, cot_prc_mediana) VALUES (2282, 95, 12, NULL,  72.00,  96.00,  84.00,  84.00);</v>
      </c>
      <c r="J2283" s="0" t="str">
        <f aca="false">"UPDATE COTACAO SET cot_id = "&amp;A2283&amp;", cot_blt_id = "&amp;B2283&amp;", cot_pap_id = "&amp;C2283&amp;", cot_prc_comum = "&amp;D2283&amp;", cot_prc_min = "&amp;E2283&amp;", cot_prc_max = "&amp;F2283&amp;", cot_prc_med = "&amp;G2283&amp;", cot_prc_mediana = "&amp;H2283&amp;" WHERE cot_id = "&amp;A2283&amp;";"</f>
        <v>UPDATE COTACAO SET cot_id = 2282, cot_blt_id = 95, cot_pap_id = 12, cot_prc_comum = NULL, cot_prc_min =  72.00, cot_prc_max =  96.00, cot_prc_med =  84.00, cot_prc_mediana =  84.00 WHERE cot_id = 2282;</v>
      </c>
    </row>
    <row r="2284" customFormat="false" ht="14.25" hidden="false" customHeight="false" outlineLevel="0" collapsed="false">
      <c r="A2284" s="0" t="n">
        <v>2283</v>
      </c>
      <c r="B2284" s="0" t="n">
        <f aca="false">IF('Boletins Nuppa Site'!A2284&lt;&gt;0,'Boletins Nuppa Site'!A2284,"NULL")</f>
        <v>95</v>
      </c>
      <c r="C2284" s="0" t="n">
        <v>13</v>
      </c>
      <c r="D2284" s="0" t="str">
        <f aca="false">IF('Boletins Nuppa Site'!G2284&lt;&gt;0,'Boletins Nuppa Site'!G2284,"NULL")</f>
        <v> 60.00</v>
      </c>
      <c r="E2284" s="30" t="str">
        <f aca="false">IF('Boletins Nuppa Site'!H2284&lt;&gt;0,'Boletins Nuppa Site'!H2284,"NULL")</f>
        <v> 60.00</v>
      </c>
      <c r="F2284" s="30" t="str">
        <f aca="false">IF('Boletins Nuppa Site'!I2284&lt;&gt;0,'Boletins Nuppa Site'!I2284,"NULL")</f>
        <v> 72.00</v>
      </c>
      <c r="G2284" s="30" t="str">
        <f aca="false">IF('Boletins Nuppa Site'!J2284&lt;&gt;0,'Boletins Nuppa Site'!J2284,"NULL")</f>
        <v> 64.00</v>
      </c>
      <c r="H2284" s="30" t="str">
        <f aca="false">IF('Boletins Nuppa Site'!K2284&lt;&gt;0,'Boletins Nuppa Site'!K2284,"NULL")</f>
        <v> 60.00</v>
      </c>
      <c r="I2284" s="0" t="str">
        <f aca="false">"INSERT INTO COTACAO (cot_id, cot_blt_id, cot_pap_id, cot_prc_comum, cot_prc_min, cot_prc_max, cot_prc_med, cot_prc_mediana) VALUES ("&amp;A2284&amp;", "&amp;B2284&amp;", "&amp;C2284&amp;", "&amp;D2284&amp;", "&amp;E2284&amp;", "&amp;F2284&amp;", "&amp;G2284&amp;", "&amp;H2284&amp;");"</f>
        <v>INSERT INTO COTACAO (cot_id, cot_blt_id, cot_pap_id, cot_prc_comum, cot_prc_min, cot_prc_max, cot_prc_med, cot_prc_mediana) VALUES (2283, 95, 13,  60.00,  60.00,  72.00,  64.00,  60.00);</v>
      </c>
      <c r="J2284" s="0" t="str">
        <f aca="false">"UPDATE COTACAO SET cot_id = "&amp;A2284&amp;", cot_blt_id = "&amp;B2284&amp;", cot_pap_id = "&amp;C2284&amp;", cot_prc_comum = "&amp;D2284&amp;", cot_prc_min = "&amp;E2284&amp;", cot_prc_max = "&amp;F2284&amp;", cot_prc_med = "&amp;G2284&amp;", cot_prc_mediana = "&amp;H2284&amp;" WHERE cot_id = "&amp;A2284&amp;";"</f>
        <v>UPDATE COTACAO SET cot_id = 2283, cot_blt_id = 95, cot_pap_id = 13, cot_prc_comum =  60.00, cot_prc_min =  60.00, cot_prc_max =  72.00, cot_prc_med =  64.00, cot_prc_mediana =  60.00 WHERE cot_id = 2283;</v>
      </c>
    </row>
    <row r="2285" customFormat="false" ht="14.25" hidden="false" customHeight="false" outlineLevel="0" collapsed="false">
      <c r="A2285" s="0" t="n">
        <v>2284</v>
      </c>
      <c r="B2285" s="0" t="n">
        <f aca="false">IF('Boletins Nuppa Site'!A2285&lt;&gt;0,'Boletins Nuppa Site'!A2285,"NULL")</f>
        <v>95</v>
      </c>
      <c r="C2285" s="0" t="n">
        <v>14</v>
      </c>
      <c r="D2285" s="0" t="str">
        <f aca="false">IF('Boletins Nuppa Site'!G2285&lt;&gt;0,'Boletins Nuppa Site'!G2285,"NULL")</f>
        <v>NULL</v>
      </c>
      <c r="E2285" s="30" t="str">
        <f aca="false">IF('Boletins Nuppa Site'!H2285&lt;&gt;0,'Boletins Nuppa Site'!H2285,"NULL")</f>
        <v> 60.00</v>
      </c>
      <c r="F2285" s="30" t="str">
        <f aca="false">IF('Boletins Nuppa Site'!I2285&lt;&gt;0,'Boletins Nuppa Site'!I2285,"NULL")</f>
        <v> 96.00</v>
      </c>
      <c r="G2285" s="30" t="str">
        <f aca="false">IF('Boletins Nuppa Site'!J2285&lt;&gt;0,'Boletins Nuppa Site'!J2285,"NULL")</f>
        <v> 78.00</v>
      </c>
      <c r="H2285" s="30" t="str">
        <f aca="false">IF('Boletins Nuppa Site'!K2285&lt;&gt;0,'Boletins Nuppa Site'!K2285,"NULL")</f>
        <v> 78.00</v>
      </c>
      <c r="I2285" s="0" t="str">
        <f aca="false">"INSERT INTO COTACAO (cot_id, cot_blt_id, cot_pap_id, cot_prc_comum, cot_prc_min, cot_prc_max, cot_prc_med, cot_prc_mediana) VALUES ("&amp;A2285&amp;", "&amp;B2285&amp;", "&amp;C2285&amp;", "&amp;D2285&amp;", "&amp;E2285&amp;", "&amp;F2285&amp;", "&amp;G2285&amp;", "&amp;H2285&amp;");"</f>
        <v>INSERT INTO COTACAO (cot_id, cot_blt_id, cot_pap_id, cot_prc_comum, cot_prc_min, cot_prc_max, cot_prc_med, cot_prc_mediana) VALUES (2284, 95, 14, NULL,  60.00,  96.00,  78.00,  78.00);</v>
      </c>
      <c r="J2285" s="0" t="str">
        <f aca="false">"UPDATE COTACAO SET cot_id = "&amp;A2285&amp;", cot_blt_id = "&amp;B2285&amp;", cot_pap_id = "&amp;C2285&amp;", cot_prc_comum = "&amp;D2285&amp;", cot_prc_min = "&amp;E2285&amp;", cot_prc_max = "&amp;F2285&amp;", cot_prc_med = "&amp;G2285&amp;", cot_prc_mediana = "&amp;H2285&amp;" WHERE cot_id = "&amp;A2285&amp;";"</f>
        <v>UPDATE COTACAO SET cot_id = 2284, cot_blt_id = 95, cot_pap_id = 14, cot_prc_comum = NULL, cot_prc_min =  60.00, cot_prc_max =  96.00, cot_prc_med =  78.00, cot_prc_mediana =  78.00 WHERE cot_id = 2284;</v>
      </c>
    </row>
    <row r="2286" customFormat="false" ht="14.25" hidden="false" customHeight="false" outlineLevel="0" collapsed="false">
      <c r="A2286" s="0" t="n">
        <v>2285</v>
      </c>
      <c r="B2286" s="0" t="n">
        <f aca="false">IF('Boletins Nuppa Site'!A2286&lt;&gt;0,'Boletins Nuppa Site'!A2286,"NULL")</f>
        <v>95</v>
      </c>
      <c r="C2286" s="0" t="n">
        <v>15</v>
      </c>
      <c r="D2286" s="0" t="str">
        <f aca="false">IF('Boletins Nuppa Site'!G2286&lt;&gt;0,'Boletins Nuppa Site'!G2286,"NULL")</f>
        <v>NULL</v>
      </c>
      <c r="E2286" s="30" t="str">
        <f aca="false">IF('Boletins Nuppa Site'!H2286&lt;&gt;0,'Boletins Nuppa Site'!H2286,"NULL")</f>
        <v> 50.00</v>
      </c>
      <c r="F2286" s="30" t="str">
        <f aca="false">IF('Boletins Nuppa Site'!I2286&lt;&gt;0,'Boletins Nuppa Site'!I2286,"NULL")</f>
        <v> 65.00</v>
      </c>
      <c r="G2286" s="30" t="str">
        <f aca="false">IF('Boletins Nuppa Site'!J2286&lt;&gt;0,'Boletins Nuppa Site'!J2286,"NULL")</f>
        <v> 66.33</v>
      </c>
      <c r="H2286" s="30" t="str">
        <f aca="false">IF('Boletins Nuppa Site'!K2286&lt;&gt;0,'Boletins Nuppa Site'!K2286,"NULL")</f>
        <v> 84.00</v>
      </c>
      <c r="I2286" s="0" t="str">
        <f aca="false">"INSERT INTO COTACAO (cot_id, cot_blt_id, cot_pap_id, cot_prc_comum, cot_prc_min, cot_prc_max, cot_prc_med, cot_prc_mediana) VALUES ("&amp;A2286&amp;", "&amp;B2286&amp;", "&amp;C2286&amp;", "&amp;D2286&amp;", "&amp;E2286&amp;", "&amp;F2286&amp;", "&amp;G2286&amp;", "&amp;H2286&amp;");"</f>
        <v>INSERT INTO COTACAO (cot_id, cot_blt_id, cot_pap_id, cot_prc_comum, cot_prc_min, cot_prc_max, cot_prc_med, cot_prc_mediana) VALUES (2285, 95, 15, NULL,  50.00,  65.00,  66.33,  84.00);</v>
      </c>
      <c r="J2286" s="0" t="str">
        <f aca="false">"UPDATE COTACAO SET cot_id = "&amp;A2286&amp;", cot_blt_id = "&amp;B2286&amp;", cot_pap_id = "&amp;C2286&amp;", cot_prc_comum = "&amp;D2286&amp;", cot_prc_min = "&amp;E2286&amp;", cot_prc_max = "&amp;F2286&amp;", cot_prc_med = "&amp;G2286&amp;", cot_prc_mediana = "&amp;H2286&amp;" WHERE cot_id = "&amp;A2286&amp;";"</f>
        <v>UPDATE COTACAO SET cot_id = 2285, cot_blt_id = 95, cot_pap_id = 15, cot_prc_comum = NULL, cot_prc_min =  50.00, cot_prc_max =  65.00, cot_prc_med =  66.33, cot_prc_mediana =  84.00 WHERE cot_id = 2285;</v>
      </c>
    </row>
    <row r="2287" customFormat="false" ht="14.25" hidden="false" customHeight="false" outlineLevel="0" collapsed="false">
      <c r="A2287" s="0" t="n">
        <v>2286</v>
      </c>
      <c r="B2287" s="0" t="n">
        <f aca="false">IF('Boletins Nuppa Site'!A2287&lt;&gt;0,'Boletins Nuppa Site'!A2287,"NULL")</f>
        <v>95</v>
      </c>
      <c r="C2287" s="0" t="n">
        <v>16</v>
      </c>
      <c r="D2287" s="0" t="str">
        <f aca="false">IF('Boletins Nuppa Site'!G2287&lt;&gt;0,'Boletins Nuppa Site'!G2287,"NULL")</f>
        <v>NULL</v>
      </c>
      <c r="E2287" s="30" t="str">
        <f aca="false">IF('Boletins Nuppa Site'!H2287&lt;&gt;0,'Boletins Nuppa Site'!H2287,"NULL")</f>
        <v> 48.00</v>
      </c>
      <c r="F2287" s="30" t="str">
        <f aca="false">IF('Boletins Nuppa Site'!I2287&lt;&gt;0,'Boletins Nuppa Site'!I2287,"NULL")</f>
        <v> 58.00</v>
      </c>
      <c r="G2287" s="30" t="str">
        <f aca="false">IF('Boletins Nuppa Site'!J2287&lt;&gt;0,'Boletins Nuppa Site'!J2287,"NULL")</f>
        <v> 54.00</v>
      </c>
      <c r="H2287" s="30" t="str">
        <f aca="false">IF('Boletins Nuppa Site'!K2287&lt;&gt;0,'Boletins Nuppa Site'!K2287,"NULL")</f>
        <v> 72.00</v>
      </c>
      <c r="I2287" s="0" t="str">
        <f aca="false">"INSERT INTO COTACAO (cot_id, cot_blt_id, cot_pap_id, cot_prc_comum, cot_prc_min, cot_prc_max, cot_prc_med, cot_prc_mediana) VALUES ("&amp;A2287&amp;", "&amp;B2287&amp;", "&amp;C2287&amp;", "&amp;D2287&amp;", "&amp;E2287&amp;", "&amp;F2287&amp;", "&amp;G2287&amp;", "&amp;H2287&amp;");"</f>
        <v>INSERT INTO COTACAO (cot_id, cot_blt_id, cot_pap_id, cot_prc_comum, cot_prc_min, cot_prc_max, cot_prc_med, cot_prc_mediana) VALUES (2286, 95, 16, NULL,  48.00,  58.00,  54.00,  72.00);</v>
      </c>
      <c r="J2287" s="0" t="str">
        <f aca="false">"UPDATE COTACAO SET cot_id = "&amp;A2287&amp;", cot_blt_id = "&amp;B2287&amp;", cot_pap_id = "&amp;C2287&amp;", cot_prc_comum = "&amp;D2287&amp;", cot_prc_min = "&amp;E2287&amp;", cot_prc_max = "&amp;F2287&amp;", cot_prc_med = "&amp;G2287&amp;", cot_prc_mediana = "&amp;H2287&amp;" WHERE cot_id = "&amp;A2287&amp;";"</f>
        <v>UPDATE COTACAO SET cot_id = 2286, cot_blt_id = 95, cot_pap_id = 16, cot_prc_comum = NULL, cot_prc_min =  48.00, cot_prc_max =  58.00, cot_prc_med =  54.00, cot_prc_mediana =  72.00 WHERE cot_id = 2286;</v>
      </c>
    </row>
    <row r="2288" customFormat="false" ht="14.25" hidden="false" customHeight="false" outlineLevel="0" collapsed="false">
      <c r="A2288" s="0" t="n">
        <v>2287</v>
      </c>
      <c r="B2288" s="0" t="n">
        <f aca="false">IF('Boletins Nuppa Site'!A2288&lt;&gt;0,'Boletins Nuppa Site'!A2288,"NULL")</f>
        <v>95</v>
      </c>
      <c r="C2288" s="0" t="n">
        <v>17</v>
      </c>
      <c r="D2288" s="0" t="str">
        <f aca="false">IF('Boletins Nuppa Site'!G2288&lt;&gt;0,'Boletins Nuppa Site'!G2288,"NULL")</f>
        <v> 5.00</v>
      </c>
      <c r="E2288" s="30" t="str">
        <f aca="false">IF('Boletins Nuppa Site'!H2288&lt;&gt;0,'Boletins Nuppa Site'!H2288,"NULL")</f>
        <v> 5.00</v>
      </c>
      <c r="F2288" s="30" t="str">
        <f aca="false">IF('Boletins Nuppa Site'!I2288&lt;&gt;0,'Boletins Nuppa Site'!I2288,"NULL")</f>
        <v> 5.50</v>
      </c>
      <c r="G2288" s="30" t="str">
        <f aca="false">IF('Boletins Nuppa Site'!J2288&lt;&gt;0,'Boletins Nuppa Site'!J2288,"NULL")</f>
        <v> 5.00</v>
      </c>
      <c r="H2288" s="30" t="str">
        <f aca="false">IF('Boletins Nuppa Site'!K2288&lt;&gt;0,'Boletins Nuppa Site'!K2288,"NULL")</f>
        <v> 5.17</v>
      </c>
      <c r="I2288" s="0" t="str">
        <f aca="false">"INSERT INTO COTACAO (cot_id, cot_blt_id, cot_pap_id, cot_prc_comum, cot_prc_min, cot_prc_max, cot_prc_med, cot_prc_mediana) VALUES ("&amp;A2288&amp;", "&amp;B2288&amp;", "&amp;C2288&amp;", "&amp;D2288&amp;", "&amp;E2288&amp;", "&amp;F2288&amp;", "&amp;G2288&amp;", "&amp;H2288&amp;");"</f>
        <v>INSERT INTO COTACAO (cot_id, cot_blt_id, cot_pap_id, cot_prc_comum, cot_prc_min, cot_prc_max, cot_prc_med, cot_prc_mediana) VALUES (2287, 95, 17,  5.00,  5.00,  5.50,  5.00,  5.17);</v>
      </c>
      <c r="J2288" s="0" t="str">
        <f aca="false">"UPDATE COTACAO SET cot_id = "&amp;A2288&amp;", cot_blt_id = "&amp;B2288&amp;", cot_pap_id = "&amp;C2288&amp;", cot_prc_comum = "&amp;D2288&amp;", cot_prc_min = "&amp;E2288&amp;", cot_prc_max = "&amp;F2288&amp;", cot_prc_med = "&amp;G2288&amp;", cot_prc_mediana = "&amp;H2288&amp;" WHERE cot_id = "&amp;A2288&amp;";"</f>
        <v>UPDATE COTACAO SET cot_id = 2287, cot_blt_id = 95, cot_pap_id = 17, cot_prc_comum =  5.00, cot_prc_min =  5.00, cot_prc_max =  5.50, cot_prc_med =  5.00, cot_prc_mediana =  5.17 WHERE cot_id = 2287;</v>
      </c>
    </row>
    <row r="2289" customFormat="false" ht="14.25" hidden="false" customHeight="false" outlineLevel="0" collapsed="false">
      <c r="A2289" s="0" t="n">
        <v>2288</v>
      </c>
      <c r="B2289" s="0" t="n">
        <f aca="false">IF('Boletins Nuppa Site'!A2289&lt;&gt;0,'Boletins Nuppa Site'!A2289,"NULL")</f>
        <v>95</v>
      </c>
      <c r="C2289" s="0" t="n">
        <v>18</v>
      </c>
      <c r="D2289" s="0" t="str">
        <f aca="false">IF('Boletins Nuppa Site'!G2289&lt;&gt;0,'Boletins Nuppa Site'!G2289,"NULL")</f>
        <v> 45.00</v>
      </c>
      <c r="E2289" s="30" t="str">
        <f aca="false">IF('Boletins Nuppa Site'!H2289&lt;&gt;0,'Boletins Nuppa Site'!H2289,"NULL")</f>
        <v> 45.00</v>
      </c>
      <c r="F2289" s="30" t="str">
        <f aca="false">IF('Boletins Nuppa Site'!I2289&lt;&gt;0,'Boletins Nuppa Site'!I2289,"NULL")</f>
        <v> 45.00</v>
      </c>
      <c r="G2289" s="30" t="str">
        <f aca="false">IF('Boletins Nuppa Site'!J2289&lt;&gt;0,'Boletins Nuppa Site'!J2289,"NULL")</f>
        <v> 45.00</v>
      </c>
      <c r="H2289" s="30" t="str">
        <f aca="false">IF('Boletins Nuppa Site'!K2289&lt;&gt;0,'Boletins Nuppa Site'!K2289,"NULL")</f>
        <v> 45.00</v>
      </c>
      <c r="I2289" s="0" t="str">
        <f aca="false">"INSERT INTO COTACAO (cot_id, cot_blt_id, cot_pap_id, cot_prc_comum, cot_prc_min, cot_prc_max, cot_prc_med, cot_prc_mediana) VALUES ("&amp;A2289&amp;", "&amp;B2289&amp;", "&amp;C2289&amp;", "&amp;D2289&amp;", "&amp;E2289&amp;", "&amp;F2289&amp;", "&amp;G2289&amp;", "&amp;H2289&amp;");"</f>
        <v>INSERT INTO COTACAO (cot_id, cot_blt_id, cot_pap_id, cot_prc_comum, cot_prc_min, cot_prc_max, cot_prc_med, cot_prc_mediana) VALUES (2288, 95, 18,  45.00,  45.00,  45.00,  45.00,  45.00);</v>
      </c>
      <c r="J2289" s="0" t="str">
        <f aca="false">"UPDATE COTACAO SET cot_id = "&amp;A2289&amp;", cot_blt_id = "&amp;B2289&amp;", cot_pap_id = "&amp;C2289&amp;", cot_prc_comum = "&amp;D2289&amp;", cot_prc_min = "&amp;E2289&amp;", cot_prc_max = "&amp;F2289&amp;", cot_prc_med = "&amp;G2289&amp;", cot_prc_mediana = "&amp;H2289&amp;" WHERE cot_id = "&amp;A2289&amp;";"</f>
        <v>UPDATE COTACAO SET cot_id = 2288, cot_blt_id = 95, cot_pap_id = 18, cot_prc_comum =  45.00, cot_prc_min =  45.00, cot_prc_max =  45.00, cot_prc_med =  45.00, cot_prc_mediana =  45.00 WHERE cot_id = 2288;</v>
      </c>
    </row>
    <row r="2290" customFormat="false" ht="14.25" hidden="false" customHeight="false" outlineLevel="0" collapsed="false">
      <c r="A2290" s="0" t="n">
        <v>2289</v>
      </c>
      <c r="B2290" s="0" t="n">
        <f aca="false">IF('Boletins Nuppa Site'!A2290&lt;&gt;0,'Boletins Nuppa Site'!A2290,"NULL")</f>
        <v>95</v>
      </c>
      <c r="C2290" s="0" t="n">
        <v>19</v>
      </c>
      <c r="D2290" s="0" t="str">
        <f aca="false">IF('Boletins Nuppa Site'!G2290&lt;&gt;0,'Boletins Nuppa Site'!G2290,"NULL")</f>
        <v>NULL</v>
      </c>
      <c r="E2290" s="30" t="str">
        <f aca="false">IF('Boletins Nuppa Site'!H2290&lt;&gt;0,'Boletins Nuppa Site'!H2290,"NULL")</f>
        <v> 30.00</v>
      </c>
      <c r="F2290" s="30" t="str">
        <f aca="false">IF('Boletins Nuppa Site'!I2290&lt;&gt;0,'Boletins Nuppa Site'!I2290,"NULL")</f>
        <v> 40.00</v>
      </c>
      <c r="G2290" s="30" t="str">
        <f aca="false">IF('Boletins Nuppa Site'!J2290&lt;&gt;0,'Boletins Nuppa Site'!J2290,"NULL")</f>
        <v> 35.00</v>
      </c>
      <c r="H2290" s="30" t="str">
        <f aca="false">IF('Boletins Nuppa Site'!K2290&lt;&gt;0,'Boletins Nuppa Site'!K2290,"NULL")</f>
        <v> 35.00</v>
      </c>
      <c r="I2290" s="0" t="str">
        <f aca="false">"INSERT INTO COTACAO (cot_id, cot_blt_id, cot_pap_id, cot_prc_comum, cot_prc_min, cot_prc_max, cot_prc_med, cot_prc_mediana) VALUES ("&amp;A2290&amp;", "&amp;B2290&amp;", "&amp;C2290&amp;", "&amp;D2290&amp;", "&amp;E2290&amp;", "&amp;F2290&amp;", "&amp;G2290&amp;", "&amp;H2290&amp;");"</f>
        <v>INSERT INTO COTACAO (cot_id, cot_blt_id, cot_pap_id, cot_prc_comum, cot_prc_min, cot_prc_max, cot_prc_med, cot_prc_mediana) VALUES (2289, 95, 19, NULL,  30.00,  40.00,  35.00,  35.00);</v>
      </c>
      <c r="J2290" s="0" t="str">
        <f aca="false">"UPDATE COTACAO SET cot_id = "&amp;A2290&amp;", cot_blt_id = "&amp;B2290&amp;", cot_pap_id = "&amp;C2290&amp;", cot_prc_comum = "&amp;D2290&amp;", cot_prc_min = "&amp;E2290&amp;", cot_prc_max = "&amp;F2290&amp;", cot_prc_med = "&amp;G2290&amp;", cot_prc_mediana = "&amp;H2290&amp;" WHERE cot_id = "&amp;A2290&amp;";"</f>
        <v>UPDATE COTACAO SET cot_id = 2289, cot_blt_id = 95, cot_pap_id = 19, cot_prc_comum = NULL, cot_prc_min =  30.00, cot_prc_max =  40.00, cot_prc_med =  35.00, cot_prc_mediana =  35.00 WHERE cot_id = 2289;</v>
      </c>
    </row>
    <row r="2291" customFormat="false" ht="14.25" hidden="false" customHeight="false" outlineLevel="0" collapsed="false">
      <c r="A2291" s="0" t="n">
        <v>2290</v>
      </c>
      <c r="B2291" s="0" t="n">
        <f aca="false">IF('Boletins Nuppa Site'!A2291&lt;&gt;0,'Boletins Nuppa Site'!A2291,"NULL")</f>
        <v>95</v>
      </c>
      <c r="C2291" s="0" t="n">
        <v>20</v>
      </c>
      <c r="D2291" s="0" t="str">
        <f aca="false">IF('Boletins Nuppa Site'!G2291&lt;&gt;0,'Boletins Nuppa Site'!G2291,"NULL")</f>
        <v> 55.00</v>
      </c>
      <c r="E2291" s="30" t="str">
        <f aca="false">IF('Boletins Nuppa Site'!H2291&lt;&gt;0,'Boletins Nuppa Site'!H2291,"NULL")</f>
        <v> 60.00</v>
      </c>
      <c r="F2291" s="30" t="str">
        <f aca="false">IF('Boletins Nuppa Site'!I2291&lt;&gt;0,'Boletins Nuppa Site'!I2291,"NULL")</f>
        <v> 60.00</v>
      </c>
      <c r="G2291" s="30" t="str">
        <f aca="false">IF('Boletins Nuppa Site'!J2291&lt;&gt;0,'Boletins Nuppa Site'!J2291,"NULL")</f>
        <v> 62.00</v>
      </c>
      <c r="H2291" s="30" t="str">
        <f aca="false">IF('Boletins Nuppa Site'!K2291&lt;&gt;0,'Boletins Nuppa Site'!K2291,"NULL")</f>
        <v> 70.00</v>
      </c>
      <c r="I2291" s="0" t="str">
        <f aca="false">"INSERT INTO COTACAO (cot_id, cot_blt_id, cot_pap_id, cot_prc_comum, cot_prc_min, cot_prc_max, cot_prc_med, cot_prc_mediana) VALUES ("&amp;A2291&amp;", "&amp;B2291&amp;", "&amp;C2291&amp;", "&amp;D2291&amp;", "&amp;E2291&amp;", "&amp;F2291&amp;", "&amp;G2291&amp;", "&amp;H2291&amp;");"</f>
        <v>INSERT INTO COTACAO (cot_id, cot_blt_id, cot_pap_id, cot_prc_comum, cot_prc_min, cot_prc_max, cot_prc_med, cot_prc_mediana) VALUES (2290, 95, 20,  55.00,  60.00,  60.00,  62.00,  70.00);</v>
      </c>
      <c r="J2291" s="0" t="str">
        <f aca="false">"UPDATE COTACAO SET cot_id = "&amp;A2291&amp;", cot_blt_id = "&amp;B2291&amp;", cot_pap_id = "&amp;C2291&amp;", cot_prc_comum = "&amp;D2291&amp;", cot_prc_min = "&amp;E2291&amp;", cot_prc_max = "&amp;F2291&amp;", cot_prc_med = "&amp;G2291&amp;", cot_prc_mediana = "&amp;H2291&amp;" WHERE cot_id = "&amp;A2291&amp;";"</f>
        <v>UPDATE COTACAO SET cot_id = 2290, cot_blt_id = 95, cot_pap_id = 20, cot_prc_comum =  55.00, cot_prc_min =  60.00, cot_prc_max =  60.00, cot_prc_med =  62.00, cot_prc_mediana =  70.00 WHERE cot_id = 2290;</v>
      </c>
    </row>
    <row r="2292" customFormat="false" ht="14.25" hidden="false" customHeight="false" outlineLevel="0" collapsed="false">
      <c r="A2292" s="0" t="n">
        <v>2291</v>
      </c>
      <c r="B2292" s="0" t="n">
        <f aca="false">IF('Boletins Nuppa Site'!A2292&lt;&gt;0,'Boletins Nuppa Site'!A2292,"NULL")</f>
        <v>95</v>
      </c>
      <c r="C2292" s="0" t="n">
        <v>21</v>
      </c>
      <c r="D2292" s="0" t="str">
        <f aca="false">IF('Boletins Nuppa Site'!G2292&lt;&gt;0,'Boletins Nuppa Site'!G2292,"NULL")</f>
        <v> 50.00</v>
      </c>
      <c r="E2292" s="30" t="str">
        <f aca="false">IF('Boletins Nuppa Site'!H2292&lt;&gt;0,'Boletins Nuppa Site'!H2292,"NULL")</f>
        <v> 50.00</v>
      </c>
      <c r="F2292" s="30" t="str">
        <f aca="false">IF('Boletins Nuppa Site'!I2292&lt;&gt;0,'Boletins Nuppa Site'!I2292,"NULL")</f>
        <v> 54.00</v>
      </c>
      <c r="G2292" s="30" t="str">
        <f aca="false">IF('Boletins Nuppa Site'!J2292&lt;&gt;0,'Boletins Nuppa Site'!J2292,"NULL")</f>
        <v> 50.00</v>
      </c>
      <c r="H2292" s="30" t="str">
        <f aca="false">IF('Boletins Nuppa Site'!K2292&lt;&gt;0,'Boletins Nuppa Site'!K2292,"NULL")</f>
        <v> 60.00</v>
      </c>
      <c r="I2292" s="0" t="str">
        <f aca="false">"INSERT INTO COTACAO (cot_id, cot_blt_id, cot_pap_id, cot_prc_comum, cot_prc_min, cot_prc_max, cot_prc_med, cot_prc_mediana) VALUES ("&amp;A2292&amp;", "&amp;B2292&amp;", "&amp;C2292&amp;", "&amp;D2292&amp;", "&amp;E2292&amp;", "&amp;F2292&amp;", "&amp;G2292&amp;", "&amp;H2292&amp;");"</f>
        <v>INSERT INTO COTACAO (cot_id, cot_blt_id, cot_pap_id, cot_prc_comum, cot_prc_min, cot_prc_max, cot_prc_med, cot_prc_mediana) VALUES (2291, 95, 21,  50.00,  50.00,  54.00,  50.00,  60.00);</v>
      </c>
      <c r="J2292" s="0" t="str">
        <f aca="false">"UPDATE COTACAO SET cot_id = "&amp;A2292&amp;", cot_blt_id = "&amp;B2292&amp;", cot_pap_id = "&amp;C2292&amp;", cot_prc_comum = "&amp;D2292&amp;", cot_prc_min = "&amp;E2292&amp;", cot_prc_max = "&amp;F2292&amp;", cot_prc_med = "&amp;G2292&amp;", cot_prc_mediana = "&amp;H2292&amp;" WHERE cot_id = "&amp;A2292&amp;";"</f>
        <v>UPDATE COTACAO SET cot_id = 2291, cot_blt_id = 95, cot_pap_id = 21, cot_prc_comum =  50.00, cot_prc_min =  50.00, cot_prc_max =  54.00, cot_prc_med =  50.00, cot_prc_mediana =  60.00 WHERE cot_id = 2291;</v>
      </c>
    </row>
    <row r="2293" customFormat="false" ht="14.25" hidden="false" customHeight="false" outlineLevel="0" collapsed="false">
      <c r="A2293" s="0" t="n">
        <v>2292</v>
      </c>
      <c r="B2293" s="0" t="n">
        <f aca="false">IF('Boletins Nuppa Site'!A2293&lt;&gt;0,'Boletins Nuppa Site'!A2293,"NULL")</f>
        <v>95</v>
      </c>
      <c r="C2293" s="0" t="n">
        <v>22</v>
      </c>
      <c r="D2293" s="0" t="str">
        <f aca="false">IF('Boletins Nuppa Site'!G2293&lt;&gt;0,'Boletins Nuppa Site'!G2293,"NULL")</f>
        <v> 60.00</v>
      </c>
      <c r="E2293" s="30" t="str">
        <f aca="false">IF('Boletins Nuppa Site'!H2293&lt;&gt;0,'Boletins Nuppa Site'!H2293,"NULL")</f>
        <v> 65.00</v>
      </c>
      <c r="F2293" s="30" t="str">
        <f aca="false">IF('Boletins Nuppa Site'!I2293&lt;&gt;0,'Boletins Nuppa Site'!I2293,"NULL")</f>
        <v> 63.00</v>
      </c>
      <c r="G2293" s="30" t="str">
        <f aca="false">IF('Boletins Nuppa Site'!J2293&lt;&gt;0,'Boletins Nuppa Site'!J2293,"NULL")</f>
        <v> 65.00</v>
      </c>
      <c r="H2293" s="30" t="str">
        <f aca="false">IF('Boletins Nuppa Site'!K2293&lt;&gt;0,'Boletins Nuppa Site'!K2293,"NULL")</f>
        <v> 65.00</v>
      </c>
      <c r="I2293" s="0" t="str">
        <f aca="false">"INSERT INTO COTACAO (cot_id, cot_blt_id, cot_pap_id, cot_prc_comum, cot_prc_min, cot_prc_max, cot_prc_med, cot_prc_mediana) VALUES ("&amp;A2293&amp;", "&amp;B2293&amp;", "&amp;C2293&amp;", "&amp;D2293&amp;", "&amp;E2293&amp;", "&amp;F2293&amp;", "&amp;G2293&amp;", "&amp;H2293&amp;");"</f>
        <v>INSERT INTO COTACAO (cot_id, cot_blt_id, cot_pap_id, cot_prc_comum, cot_prc_min, cot_prc_max, cot_prc_med, cot_prc_mediana) VALUES (2292, 95, 22,  60.00,  65.00,  63.00,  65.00,  65.00);</v>
      </c>
      <c r="J2293" s="0" t="str">
        <f aca="false">"UPDATE COTACAO SET cot_id = "&amp;A2293&amp;", cot_blt_id = "&amp;B2293&amp;", cot_pap_id = "&amp;C2293&amp;", cot_prc_comum = "&amp;D2293&amp;", cot_prc_min = "&amp;E2293&amp;", cot_prc_max = "&amp;F2293&amp;", cot_prc_med = "&amp;G2293&amp;", cot_prc_mediana = "&amp;H2293&amp;" WHERE cot_id = "&amp;A2293&amp;";"</f>
        <v>UPDATE COTACAO SET cot_id = 2292, cot_blt_id = 95, cot_pap_id = 22, cot_prc_comum =  60.00, cot_prc_min =  65.00, cot_prc_max =  63.00, cot_prc_med =  65.00, cot_prc_mediana =  65.00 WHERE cot_id = 2292;</v>
      </c>
    </row>
    <row r="2294" customFormat="false" ht="14.25" hidden="false" customHeight="false" outlineLevel="0" collapsed="false">
      <c r="A2294" s="0" t="n">
        <v>2293</v>
      </c>
      <c r="B2294" s="0" t="n">
        <f aca="false">IF('Boletins Nuppa Site'!A2294&lt;&gt;0,'Boletins Nuppa Site'!A2294,"NULL")</f>
        <v>95</v>
      </c>
      <c r="C2294" s="0" t="n">
        <v>23</v>
      </c>
      <c r="D2294" s="0" t="str">
        <f aca="false">IF('Boletins Nuppa Site'!G2294&lt;&gt;0,'Boletins Nuppa Site'!G2294,"NULL")</f>
        <v> 60.00</v>
      </c>
      <c r="E2294" s="30" t="str">
        <f aca="false">IF('Boletins Nuppa Site'!H2294&lt;&gt;0,'Boletins Nuppa Site'!H2294,"NULL")</f>
        <v> 50.00</v>
      </c>
      <c r="F2294" s="30" t="str">
        <f aca="false">IF('Boletins Nuppa Site'!I2294&lt;&gt;0,'Boletins Nuppa Site'!I2294,"NULL")</f>
        <v> 65.00</v>
      </c>
      <c r="G2294" s="30" t="str">
        <f aca="false">IF('Boletins Nuppa Site'!J2294&lt;&gt;0,'Boletins Nuppa Site'!J2294,"NULL")</f>
        <v> 58.75</v>
      </c>
      <c r="H2294" s="30" t="str">
        <f aca="false">IF('Boletins Nuppa Site'!K2294&lt;&gt;0,'Boletins Nuppa Site'!K2294,"NULL")</f>
        <v> 60.00</v>
      </c>
      <c r="I2294" s="0" t="str">
        <f aca="false">"INSERT INTO COTACAO (cot_id, cot_blt_id, cot_pap_id, cot_prc_comum, cot_prc_min, cot_prc_max, cot_prc_med, cot_prc_mediana) VALUES ("&amp;A2294&amp;", "&amp;B2294&amp;", "&amp;C2294&amp;", "&amp;D2294&amp;", "&amp;E2294&amp;", "&amp;F2294&amp;", "&amp;G2294&amp;", "&amp;H2294&amp;");"</f>
        <v>INSERT INTO COTACAO (cot_id, cot_blt_id, cot_pap_id, cot_prc_comum, cot_prc_min, cot_prc_max, cot_prc_med, cot_prc_mediana) VALUES (2293, 95, 23,  60.00,  50.00,  65.00,  58.75,  60.00);</v>
      </c>
      <c r="J2294" s="0" t="str">
        <f aca="false">"UPDATE COTACAO SET cot_id = "&amp;A2294&amp;", cot_blt_id = "&amp;B2294&amp;", cot_pap_id = "&amp;C2294&amp;", cot_prc_comum = "&amp;D2294&amp;", cot_prc_min = "&amp;E2294&amp;", cot_prc_max = "&amp;F2294&amp;", cot_prc_med = "&amp;G2294&amp;", cot_prc_mediana = "&amp;H2294&amp;" WHERE cot_id = "&amp;A2294&amp;";"</f>
        <v>UPDATE COTACAO SET cot_id = 2293, cot_blt_id = 95, cot_pap_id = 23, cot_prc_comum =  60.00, cot_prc_min =  50.00, cot_prc_max =  65.00, cot_prc_med =  58.75, cot_prc_mediana =  60.00 WHERE cot_id = 2293;</v>
      </c>
    </row>
    <row r="2295" customFormat="false" ht="14.25" hidden="false" customHeight="false" outlineLevel="0" collapsed="false">
      <c r="A2295" s="0" t="n">
        <v>2294</v>
      </c>
      <c r="B2295" s="0" t="n">
        <f aca="false">IF('Boletins Nuppa Site'!A2295&lt;&gt;0,'Boletins Nuppa Site'!A2295,"NULL")</f>
        <v>95</v>
      </c>
      <c r="C2295" s="0" t="n">
        <v>24</v>
      </c>
      <c r="D2295" s="0" t="str">
        <f aca="false">IF('Boletins Nuppa Site'!G2295&lt;&gt;0,'Boletins Nuppa Site'!G2295,"NULL")</f>
        <v> 80.00</v>
      </c>
      <c r="E2295" s="30" t="str">
        <f aca="false">IF('Boletins Nuppa Site'!H2295&lt;&gt;0,'Boletins Nuppa Site'!H2295,"NULL")</f>
        <v> 80.00</v>
      </c>
      <c r="F2295" s="30" t="str">
        <f aca="false">IF('Boletins Nuppa Site'!I2295&lt;&gt;0,'Boletins Nuppa Site'!I2295,"NULL")</f>
        <v> 92.50</v>
      </c>
      <c r="G2295" s="30" t="str">
        <f aca="false">IF('Boletins Nuppa Site'!J2295&lt;&gt;0,'Boletins Nuppa Site'!J2295,"NULL")</f>
        <v> 120.00</v>
      </c>
      <c r="H2295" s="30" t="str">
        <f aca="false">IF('Boletins Nuppa Site'!K2295&lt;&gt;0,'Boletins Nuppa Site'!K2295,"NULL")</f>
        <v> 85.00</v>
      </c>
      <c r="I2295" s="0" t="str">
        <f aca="false">"INSERT INTO COTACAO (cot_id, cot_blt_id, cot_pap_id, cot_prc_comum, cot_prc_min, cot_prc_max, cot_prc_med, cot_prc_mediana) VALUES ("&amp;A2295&amp;", "&amp;B2295&amp;", "&amp;C2295&amp;", "&amp;D2295&amp;", "&amp;E2295&amp;", "&amp;F2295&amp;", "&amp;G2295&amp;", "&amp;H2295&amp;");"</f>
        <v>INSERT INTO COTACAO (cot_id, cot_blt_id, cot_pap_id, cot_prc_comum, cot_prc_min, cot_prc_max, cot_prc_med, cot_prc_mediana) VALUES (2294, 95, 24,  80.00,  80.00,  92.50,  120.00,  85.00);</v>
      </c>
      <c r="J2295" s="0" t="str">
        <f aca="false">"UPDATE COTACAO SET cot_id = "&amp;A2295&amp;", cot_blt_id = "&amp;B2295&amp;", cot_pap_id = "&amp;C2295&amp;", cot_prc_comum = "&amp;D2295&amp;", cot_prc_min = "&amp;E2295&amp;", cot_prc_max = "&amp;F2295&amp;", cot_prc_med = "&amp;G2295&amp;", cot_prc_mediana = "&amp;H2295&amp;" WHERE cot_id = "&amp;A2295&amp;";"</f>
        <v>UPDATE COTACAO SET cot_id = 2294, cot_blt_id = 95, cot_pap_id = 24, cot_prc_comum =  80.00, cot_prc_min =  80.00, cot_prc_max =  92.50, cot_prc_med =  120.00, cot_prc_mediana =  85.00 WHERE cot_id = 2294;</v>
      </c>
    </row>
    <row r="2296" customFormat="false" ht="14.25" hidden="false" customHeight="false" outlineLevel="0" collapsed="false">
      <c r="A2296" s="0" t="n">
        <v>2295</v>
      </c>
      <c r="B2296" s="0" t="n">
        <f aca="false">IF('Boletins Nuppa Site'!A2296&lt;&gt;0,'Boletins Nuppa Site'!A2296,"NULL")</f>
        <v>95</v>
      </c>
      <c r="C2296" s="0" t="n">
        <v>25</v>
      </c>
      <c r="D2296" s="0" t="str">
        <f aca="false">IF('Boletins Nuppa Site'!G2296&lt;&gt;0,'Boletins Nuppa Site'!G2296,"NULL")</f>
        <v> 55.00</v>
      </c>
      <c r="E2296" s="30" t="str">
        <f aca="false">IF('Boletins Nuppa Site'!H2296&lt;&gt;0,'Boletins Nuppa Site'!H2296,"NULL")</f>
        <v> 60.00</v>
      </c>
      <c r="F2296" s="30" t="str">
        <f aca="false">IF('Boletins Nuppa Site'!I2296&lt;&gt;0,'Boletins Nuppa Site'!I2296,"NULL")</f>
        <v> 61.00</v>
      </c>
      <c r="G2296" s="30" t="str">
        <f aca="false">IF('Boletins Nuppa Site'!J2296&lt;&gt;0,'Boletins Nuppa Site'!J2296,"NULL")</f>
        <v> 65.00</v>
      </c>
      <c r="H2296" s="30" t="str">
        <f aca="false">IF('Boletins Nuppa Site'!K2296&lt;&gt;0,'Boletins Nuppa Site'!K2296,"NULL")</f>
        <v> 60.00</v>
      </c>
      <c r="I2296" s="0" t="str">
        <f aca="false">"INSERT INTO COTACAO (cot_id, cot_blt_id, cot_pap_id, cot_prc_comum, cot_prc_min, cot_prc_max, cot_prc_med, cot_prc_mediana) VALUES ("&amp;A2296&amp;", "&amp;B2296&amp;", "&amp;C2296&amp;", "&amp;D2296&amp;", "&amp;E2296&amp;", "&amp;F2296&amp;", "&amp;G2296&amp;", "&amp;H2296&amp;");"</f>
        <v>INSERT INTO COTACAO (cot_id, cot_blt_id, cot_pap_id, cot_prc_comum, cot_prc_min, cot_prc_max, cot_prc_med, cot_prc_mediana) VALUES (2295, 95, 25,  55.00,  60.00,  61.00,  65.00,  60.00);</v>
      </c>
      <c r="J2296" s="0" t="str">
        <f aca="false">"UPDATE COTACAO SET cot_id = "&amp;A2296&amp;", cot_blt_id = "&amp;B2296&amp;", cot_pap_id = "&amp;C2296&amp;", cot_prc_comum = "&amp;D2296&amp;", cot_prc_min = "&amp;E2296&amp;", cot_prc_max = "&amp;F2296&amp;", cot_prc_med = "&amp;G2296&amp;", cot_prc_mediana = "&amp;H2296&amp;" WHERE cot_id = "&amp;A2296&amp;";"</f>
        <v>UPDATE COTACAO SET cot_id = 2295, cot_blt_id = 95, cot_pap_id = 25, cot_prc_comum =  55.00, cot_prc_min =  60.00, cot_prc_max =  61.00, cot_prc_med =  65.00, cot_prc_mediana =  60.00 WHERE cot_id = 2295;</v>
      </c>
    </row>
    <row r="2297" customFormat="false" ht="14.25" hidden="false" customHeight="false" outlineLevel="0" collapsed="false">
      <c r="A2297" s="0" t="n">
        <v>2296</v>
      </c>
      <c r="B2297" s="0" t="n">
        <f aca="false">IF('Boletins Nuppa Site'!A2297&lt;&gt;0,'Boletins Nuppa Site'!A2297,"NULL")</f>
        <v>95</v>
      </c>
      <c r="C2297" s="0" t="n">
        <v>26</v>
      </c>
      <c r="D2297" s="0" t="str">
        <f aca="false">IF('Boletins Nuppa Site'!G2297&lt;&gt;0,'Boletins Nuppa Site'!G2297,"NULL")</f>
        <v> 90.00</v>
      </c>
      <c r="E2297" s="30" t="str">
        <f aca="false">IF('Boletins Nuppa Site'!H2297&lt;&gt;0,'Boletins Nuppa Site'!H2297,"NULL")</f>
        <v> 80.00</v>
      </c>
      <c r="F2297" s="30" t="str">
        <f aca="false">IF('Boletins Nuppa Site'!I2297&lt;&gt;0,'Boletins Nuppa Site'!I2297,"NULL")</f>
        <v> 94.00</v>
      </c>
      <c r="G2297" s="30" t="str">
        <f aca="false">IF('Boletins Nuppa Site'!J2297&lt;&gt;0,'Boletins Nuppa Site'!J2297,"NULL")</f>
        <v> 110.00</v>
      </c>
      <c r="H2297" s="30" t="str">
        <f aca="false">IF('Boletins Nuppa Site'!K2297&lt;&gt;0,'Boletins Nuppa Site'!K2297,"NULL")</f>
        <v> 90.00</v>
      </c>
      <c r="I2297" s="0" t="str">
        <f aca="false">"INSERT INTO COTACAO (cot_id, cot_blt_id, cot_pap_id, cot_prc_comum, cot_prc_min, cot_prc_max, cot_prc_med, cot_prc_mediana) VALUES ("&amp;A2297&amp;", "&amp;B2297&amp;", "&amp;C2297&amp;", "&amp;D2297&amp;", "&amp;E2297&amp;", "&amp;F2297&amp;", "&amp;G2297&amp;", "&amp;H2297&amp;");"</f>
        <v>INSERT INTO COTACAO (cot_id, cot_blt_id, cot_pap_id, cot_prc_comum, cot_prc_min, cot_prc_max, cot_prc_med, cot_prc_mediana) VALUES (2296, 95, 26,  90.00,  80.00,  94.00,  110.00,  90.00);</v>
      </c>
      <c r="J2297" s="0" t="str">
        <f aca="false">"UPDATE COTACAO SET cot_id = "&amp;A2297&amp;", cot_blt_id = "&amp;B2297&amp;", cot_pap_id = "&amp;C2297&amp;", cot_prc_comum = "&amp;D2297&amp;", cot_prc_min = "&amp;E2297&amp;", cot_prc_max = "&amp;F2297&amp;", cot_prc_med = "&amp;G2297&amp;", cot_prc_mediana = "&amp;H2297&amp;" WHERE cot_id = "&amp;A2297&amp;";"</f>
        <v>UPDATE COTACAO SET cot_id = 2296, cot_blt_id = 95, cot_pap_id = 26, cot_prc_comum =  90.00, cot_prc_min =  80.00, cot_prc_max =  94.00, cot_prc_med =  110.00, cot_prc_mediana =  90.00 WHERE cot_id = 2296;</v>
      </c>
    </row>
    <row r="2298" customFormat="false" ht="14.25" hidden="false" customHeight="false" outlineLevel="0" collapsed="false">
      <c r="A2298" s="0" t="n">
        <v>2297</v>
      </c>
      <c r="B2298" s="0" t="n">
        <f aca="false">IF('Boletins Nuppa Site'!A2298&lt;&gt;0,'Boletins Nuppa Site'!A2298,"NULL")</f>
        <v>95</v>
      </c>
      <c r="C2298" s="0" t="n">
        <v>27</v>
      </c>
      <c r="D2298" s="0" t="str">
        <f aca="false">IF('Boletins Nuppa Site'!G2298&lt;&gt;0,'Boletins Nuppa Site'!G2298,"NULL")</f>
        <v> 60.00</v>
      </c>
      <c r="E2298" s="30" t="str">
        <f aca="false">IF('Boletins Nuppa Site'!H2298&lt;&gt;0,'Boletins Nuppa Site'!H2298,"NULL")</f>
        <v> 60.00</v>
      </c>
      <c r="F2298" s="30" t="str">
        <f aca="false">IF('Boletins Nuppa Site'!I2298&lt;&gt;0,'Boletins Nuppa Site'!I2298,"NULL")</f>
        <v> 80.00</v>
      </c>
      <c r="G2298" s="30" t="str">
        <f aca="false">IF('Boletins Nuppa Site'!J2298&lt;&gt;0,'Boletins Nuppa Site'!J2298,"NULL")</f>
        <v> 67.50</v>
      </c>
      <c r="H2298" s="30" t="str">
        <f aca="false">IF('Boletins Nuppa Site'!K2298&lt;&gt;0,'Boletins Nuppa Site'!K2298,"NULL")</f>
        <v> 65.00</v>
      </c>
      <c r="I2298" s="0" t="str">
        <f aca="false">"INSERT INTO COTACAO (cot_id, cot_blt_id, cot_pap_id, cot_prc_comum, cot_prc_min, cot_prc_max, cot_prc_med, cot_prc_mediana) VALUES ("&amp;A2298&amp;", "&amp;B2298&amp;", "&amp;C2298&amp;", "&amp;D2298&amp;", "&amp;E2298&amp;", "&amp;F2298&amp;", "&amp;G2298&amp;", "&amp;H2298&amp;");"</f>
        <v>INSERT INTO COTACAO (cot_id, cot_blt_id, cot_pap_id, cot_prc_comum, cot_prc_min, cot_prc_max, cot_prc_med, cot_prc_mediana) VALUES (2297, 95, 27,  60.00,  60.00,  80.00,  67.50,  65.00);</v>
      </c>
      <c r="J2298" s="0" t="str">
        <f aca="false">"UPDATE COTACAO SET cot_id = "&amp;A2298&amp;", cot_blt_id = "&amp;B2298&amp;", cot_pap_id = "&amp;C2298&amp;", cot_prc_comum = "&amp;D2298&amp;", cot_prc_min = "&amp;E2298&amp;", cot_prc_max = "&amp;F2298&amp;", cot_prc_med = "&amp;G2298&amp;", cot_prc_mediana = "&amp;H2298&amp;" WHERE cot_id = "&amp;A2298&amp;";"</f>
        <v>UPDATE COTACAO SET cot_id = 2297, cot_blt_id = 95, cot_pap_id = 27, cot_prc_comum =  60.00, cot_prc_min =  60.00, cot_prc_max =  80.00, cot_prc_med =  67.50, cot_prc_mediana =  65.00 WHERE cot_id = 2297;</v>
      </c>
    </row>
    <row r="2299" customFormat="false" ht="14.25" hidden="false" customHeight="false" outlineLevel="0" collapsed="false">
      <c r="A2299" s="0" t="n">
        <v>2298</v>
      </c>
      <c r="B2299" s="0" t="n">
        <f aca="false">IF('Boletins Nuppa Site'!A2299&lt;&gt;0,'Boletins Nuppa Site'!A2299,"NULL")</f>
        <v>95</v>
      </c>
      <c r="C2299" s="0" t="n">
        <v>28</v>
      </c>
      <c r="D2299" s="0" t="str">
        <f aca="false">IF('Boletins Nuppa Site'!G2299&lt;&gt;0,'Boletins Nuppa Site'!G2299,"NULL")</f>
        <v> 70.00</v>
      </c>
      <c r="E2299" s="30" t="str">
        <f aca="false">IF('Boletins Nuppa Site'!H2299&lt;&gt;0,'Boletins Nuppa Site'!H2299,"NULL")</f>
        <v> 70.00</v>
      </c>
      <c r="F2299" s="30" t="str">
        <f aca="false">IF('Boletins Nuppa Site'!I2299&lt;&gt;0,'Boletins Nuppa Site'!I2299,"NULL")</f>
        <v> 100.00</v>
      </c>
      <c r="G2299" s="30" t="str">
        <f aca="false">IF('Boletins Nuppa Site'!J2299&lt;&gt;0,'Boletins Nuppa Site'!J2299,"NULL")</f>
        <v> 82.00</v>
      </c>
      <c r="H2299" s="30" t="str">
        <f aca="false">IF('Boletins Nuppa Site'!K2299&lt;&gt;0,'Boletins Nuppa Site'!K2299,"NULL")</f>
        <v> 80.00</v>
      </c>
      <c r="I2299" s="0" t="str">
        <f aca="false">"INSERT INTO COTACAO (cot_id, cot_blt_id, cot_pap_id, cot_prc_comum, cot_prc_min, cot_prc_max, cot_prc_med, cot_prc_mediana) VALUES ("&amp;A2299&amp;", "&amp;B2299&amp;", "&amp;C2299&amp;", "&amp;D2299&amp;", "&amp;E2299&amp;", "&amp;F2299&amp;", "&amp;G2299&amp;", "&amp;H2299&amp;");"</f>
        <v>INSERT INTO COTACAO (cot_id, cot_blt_id, cot_pap_id, cot_prc_comum, cot_prc_min, cot_prc_max, cot_prc_med, cot_prc_mediana) VALUES (2298, 95, 28,  70.00,  70.00,  100.00,  82.00,  80.00);</v>
      </c>
      <c r="J2299" s="0" t="str">
        <f aca="false">"UPDATE COTACAO SET cot_id = "&amp;A2299&amp;", cot_blt_id = "&amp;B2299&amp;", cot_pap_id = "&amp;C2299&amp;", cot_prc_comum = "&amp;D2299&amp;", cot_prc_min = "&amp;E2299&amp;", cot_prc_max = "&amp;F2299&amp;", cot_prc_med = "&amp;G2299&amp;", cot_prc_mediana = "&amp;H2299&amp;" WHERE cot_id = "&amp;A2299&amp;";"</f>
        <v>UPDATE COTACAO SET cot_id = 2298, cot_blt_id = 95, cot_pap_id = 28, cot_prc_comum =  70.00, cot_prc_min =  70.00, cot_prc_max =  100.00, cot_prc_med =  82.00, cot_prc_mediana =  80.00 WHERE cot_id = 2298;</v>
      </c>
    </row>
    <row r="2300" customFormat="false" ht="14.25" hidden="false" customHeight="false" outlineLevel="0" collapsed="false">
      <c r="A2300" s="0" t="n">
        <v>2299</v>
      </c>
      <c r="B2300" s="0" t="n">
        <f aca="false">IF('Boletins Nuppa Site'!A2300&lt;&gt;0,'Boletins Nuppa Site'!A2300,"NULL")</f>
        <v>95</v>
      </c>
      <c r="C2300" s="0" t="n">
        <v>29</v>
      </c>
      <c r="D2300" s="0" t="str">
        <f aca="false">IF('Boletins Nuppa Site'!G2300&lt;&gt;0,'Boletins Nuppa Site'!G2300,"NULL")</f>
        <v>NULL</v>
      </c>
      <c r="E2300" s="30" t="str">
        <f aca="false">IF('Boletins Nuppa Site'!H2300&lt;&gt;0,'Boletins Nuppa Site'!H2300,"NULL")</f>
        <v> 50.00</v>
      </c>
      <c r="F2300" s="30" t="str">
        <f aca="false">IF('Boletins Nuppa Site'!I2300&lt;&gt;0,'Boletins Nuppa Site'!I2300,"NULL")</f>
        <v> 80.00</v>
      </c>
      <c r="G2300" s="30" t="str">
        <f aca="false">IF('Boletins Nuppa Site'!J2300&lt;&gt;0,'Boletins Nuppa Site'!J2300,"NULL")</f>
        <v> 68.33</v>
      </c>
      <c r="H2300" s="30" t="str">
        <f aca="false">IF('Boletins Nuppa Site'!K2300&lt;&gt;0,'Boletins Nuppa Site'!K2300,"NULL")</f>
        <v> 75.00</v>
      </c>
      <c r="I2300" s="0" t="str">
        <f aca="false">"INSERT INTO COTACAO (cot_id, cot_blt_id, cot_pap_id, cot_prc_comum, cot_prc_min, cot_prc_max, cot_prc_med, cot_prc_mediana) VALUES ("&amp;A2300&amp;", "&amp;B2300&amp;", "&amp;C2300&amp;", "&amp;D2300&amp;", "&amp;E2300&amp;", "&amp;F2300&amp;", "&amp;G2300&amp;", "&amp;H2300&amp;");"</f>
        <v>INSERT INTO COTACAO (cot_id, cot_blt_id, cot_pap_id, cot_prc_comum, cot_prc_min, cot_prc_max, cot_prc_med, cot_prc_mediana) VALUES (2299, 95, 29, NULL,  50.00,  80.00,  68.33,  75.00);</v>
      </c>
      <c r="J2300" s="0" t="str">
        <f aca="false">"UPDATE COTACAO SET cot_id = "&amp;A2300&amp;", cot_blt_id = "&amp;B2300&amp;", cot_pap_id = "&amp;C2300&amp;", cot_prc_comum = "&amp;D2300&amp;", cot_prc_min = "&amp;E2300&amp;", cot_prc_max = "&amp;F2300&amp;", cot_prc_med = "&amp;G2300&amp;", cot_prc_mediana = "&amp;H2300&amp;" WHERE cot_id = "&amp;A2300&amp;";"</f>
        <v>UPDATE COTACAO SET cot_id = 2299, cot_blt_id = 95, cot_pap_id = 29, cot_prc_comum = NULL, cot_prc_min =  50.00, cot_prc_max =  80.00, cot_prc_med =  68.33, cot_prc_mediana =  75.00 WHERE cot_id = 2299;</v>
      </c>
    </row>
    <row r="2301" customFormat="false" ht="14.25" hidden="false" customHeight="false" outlineLevel="0" collapsed="false">
      <c r="A2301" s="0" t="n">
        <v>2300</v>
      </c>
      <c r="B2301" s="0" t="n">
        <f aca="false">IF('Boletins Nuppa Site'!A2301&lt;&gt;0,'Boletins Nuppa Site'!A2301,"NULL")</f>
        <v>95</v>
      </c>
      <c r="C2301" s="0" t="n">
        <v>30</v>
      </c>
      <c r="D2301" s="0" t="str">
        <f aca="false">IF('Boletins Nuppa Site'!G2301&lt;&gt;0,'Boletins Nuppa Site'!G2301,"NULL")</f>
        <v>NULL</v>
      </c>
      <c r="E2301" s="30" t="str">
        <f aca="false">IF('Boletins Nuppa Site'!H2301&lt;&gt;0,'Boletins Nuppa Site'!H2301,"NULL")</f>
        <v> 45.00</v>
      </c>
      <c r="F2301" s="30" t="str">
        <f aca="false">IF('Boletins Nuppa Site'!I2301&lt;&gt;0,'Boletins Nuppa Site'!I2301,"NULL")</f>
        <v> 80.00</v>
      </c>
      <c r="G2301" s="30" t="str">
        <f aca="false">IF('Boletins Nuppa Site'!J2301&lt;&gt;0,'Boletins Nuppa Site'!J2301,"NULL")</f>
        <v> 62.50</v>
      </c>
      <c r="H2301" s="30" t="str">
        <f aca="false">IF('Boletins Nuppa Site'!K2301&lt;&gt;0,'Boletins Nuppa Site'!K2301,"NULL")</f>
        <v> 62.50</v>
      </c>
      <c r="I2301" s="0" t="str">
        <f aca="false">"INSERT INTO COTACAO (cot_id, cot_blt_id, cot_pap_id, cot_prc_comum, cot_prc_min, cot_prc_max, cot_prc_med, cot_prc_mediana) VALUES ("&amp;A2301&amp;", "&amp;B2301&amp;", "&amp;C2301&amp;", "&amp;D2301&amp;", "&amp;E2301&amp;", "&amp;F2301&amp;", "&amp;G2301&amp;", "&amp;H2301&amp;");"</f>
        <v>INSERT INTO COTACAO (cot_id, cot_blt_id, cot_pap_id, cot_prc_comum, cot_prc_min, cot_prc_max, cot_prc_med, cot_prc_mediana) VALUES (2300, 95, 30, NULL,  45.00,  80.00,  62.50,  62.50);</v>
      </c>
      <c r="J2301" s="0" t="str">
        <f aca="false">"UPDATE COTACAO SET cot_id = "&amp;A2301&amp;", cot_blt_id = "&amp;B2301&amp;", cot_pap_id = "&amp;C2301&amp;", cot_prc_comum = "&amp;D2301&amp;", cot_prc_min = "&amp;E2301&amp;", cot_prc_max = "&amp;F2301&amp;", cot_prc_med = "&amp;G2301&amp;", cot_prc_mediana = "&amp;H2301&amp;" WHERE cot_id = "&amp;A2301&amp;";"</f>
        <v>UPDATE COTACAO SET cot_id = 2300, cot_blt_id = 95, cot_pap_id = 30, cot_prc_comum = NULL, cot_prc_min =  45.00, cot_prc_max =  80.00, cot_prc_med =  62.50, cot_prc_mediana =  62.50 WHERE cot_id = 2300;</v>
      </c>
    </row>
    <row r="2302" customFormat="false" ht="14.25" hidden="false" customHeight="false" outlineLevel="0" collapsed="false">
      <c r="A2302" s="0" t="n">
        <v>2301</v>
      </c>
      <c r="B2302" s="0" t="n">
        <f aca="false">IF('Boletins Nuppa Site'!A2302&lt;&gt;0,'Boletins Nuppa Site'!A2302,"NULL")</f>
        <v>95</v>
      </c>
      <c r="C2302" s="0" t="n">
        <v>31</v>
      </c>
      <c r="D2302" s="0" t="str">
        <f aca="false">IF('Boletins Nuppa Site'!G2302&lt;&gt;0,'Boletins Nuppa Site'!G2302,"NULL")</f>
        <v> 80.00</v>
      </c>
      <c r="E2302" s="30" t="str">
        <f aca="false">IF('Boletins Nuppa Site'!H2302&lt;&gt;0,'Boletins Nuppa Site'!H2302,"NULL")</f>
        <v> 100.00</v>
      </c>
      <c r="F2302" s="30" t="str">
        <f aca="false">IF('Boletins Nuppa Site'!I2302&lt;&gt;0,'Boletins Nuppa Site'!I2302,"NULL")</f>
        <v> 100.00</v>
      </c>
      <c r="G2302" s="30" t="str">
        <f aca="false">IF('Boletins Nuppa Site'!J2302&lt;&gt;0,'Boletins Nuppa Site'!J2302,"NULL")</f>
        <v> 110.00</v>
      </c>
      <c r="H2302" s="30" t="str">
        <f aca="false">IF('Boletins Nuppa Site'!K2302&lt;&gt;0,'Boletins Nuppa Site'!K2302,"NULL")</f>
        <v> 97.00</v>
      </c>
      <c r="I2302" s="0" t="str">
        <f aca="false">"INSERT INTO COTACAO (cot_id, cot_blt_id, cot_pap_id, cot_prc_comum, cot_prc_min, cot_prc_max, cot_prc_med, cot_prc_mediana) VALUES ("&amp;A2302&amp;", "&amp;B2302&amp;", "&amp;C2302&amp;", "&amp;D2302&amp;", "&amp;E2302&amp;", "&amp;F2302&amp;", "&amp;G2302&amp;", "&amp;H2302&amp;");"</f>
        <v>INSERT INTO COTACAO (cot_id, cot_blt_id, cot_pap_id, cot_prc_comum, cot_prc_min, cot_prc_max, cot_prc_med, cot_prc_mediana) VALUES (2301, 95, 31,  80.00,  100.00,  100.00,  110.00,  97.00);</v>
      </c>
      <c r="J2302" s="0" t="str">
        <f aca="false">"UPDATE COTACAO SET cot_id = "&amp;A2302&amp;", cot_blt_id = "&amp;B2302&amp;", cot_pap_id = "&amp;C2302&amp;", cot_prc_comum = "&amp;D2302&amp;", cot_prc_min = "&amp;E2302&amp;", cot_prc_max = "&amp;F2302&amp;", cot_prc_med = "&amp;G2302&amp;", cot_prc_mediana = "&amp;H2302&amp;" WHERE cot_id = "&amp;A2302&amp;";"</f>
        <v>UPDATE COTACAO SET cot_id = 2301, cot_blt_id = 95, cot_pap_id = 31, cot_prc_comum =  80.00, cot_prc_min =  100.00, cot_prc_max =  100.00, cot_prc_med =  110.00, cot_prc_mediana =  97.00 WHERE cot_id = 2301;</v>
      </c>
    </row>
    <row r="2303" customFormat="false" ht="14.25" hidden="false" customHeight="false" outlineLevel="0" collapsed="false">
      <c r="A2303" s="0" t="n">
        <v>2302</v>
      </c>
      <c r="B2303" s="0" t="n">
        <f aca="false">IF('Boletins Nuppa Site'!A2303&lt;&gt;0,'Boletins Nuppa Site'!A2303,"NULL")</f>
        <v>95</v>
      </c>
      <c r="C2303" s="0" t="n">
        <v>32</v>
      </c>
      <c r="D2303" s="0" t="str">
        <f aca="false">IF('Boletins Nuppa Site'!G2303&lt;&gt;0,'Boletins Nuppa Site'!G2303,"NULL")</f>
        <v> 60.00</v>
      </c>
      <c r="E2303" s="30" t="str">
        <f aca="false">IF('Boletins Nuppa Site'!H2303&lt;&gt;0,'Boletins Nuppa Site'!H2303,"NULL")</f>
        <v> 40.00</v>
      </c>
      <c r="F2303" s="30" t="str">
        <f aca="false">IF('Boletins Nuppa Site'!I2303&lt;&gt;0,'Boletins Nuppa Site'!I2303,"NULL")</f>
        <v> 56.00</v>
      </c>
      <c r="G2303" s="30" t="str">
        <f aca="false">IF('Boletins Nuppa Site'!J2303&lt;&gt;0,'Boletins Nuppa Site'!J2303,"NULL")</f>
        <v> 70.00</v>
      </c>
      <c r="H2303" s="30" t="str">
        <f aca="false">IF('Boletins Nuppa Site'!K2303&lt;&gt;0,'Boletins Nuppa Site'!K2303,"NULL")</f>
        <v> 60.00</v>
      </c>
      <c r="I2303" s="0" t="str">
        <f aca="false">"INSERT INTO COTACAO (cot_id, cot_blt_id, cot_pap_id, cot_prc_comum, cot_prc_min, cot_prc_max, cot_prc_med, cot_prc_mediana) VALUES ("&amp;A2303&amp;", "&amp;B2303&amp;", "&amp;C2303&amp;", "&amp;D2303&amp;", "&amp;E2303&amp;", "&amp;F2303&amp;", "&amp;G2303&amp;", "&amp;H2303&amp;");"</f>
        <v>INSERT INTO COTACAO (cot_id, cot_blt_id, cot_pap_id, cot_prc_comum, cot_prc_min, cot_prc_max, cot_prc_med, cot_prc_mediana) VALUES (2302, 95, 32,  60.00,  40.00,  56.00,  70.00,  60.00);</v>
      </c>
      <c r="J2303" s="0" t="str">
        <f aca="false">"UPDATE COTACAO SET cot_id = "&amp;A2303&amp;", cot_blt_id = "&amp;B2303&amp;", cot_pap_id = "&amp;C2303&amp;", cot_prc_comum = "&amp;D2303&amp;", cot_prc_min = "&amp;E2303&amp;", cot_prc_max = "&amp;F2303&amp;", cot_prc_med = "&amp;G2303&amp;", cot_prc_mediana = "&amp;H2303&amp;" WHERE cot_id = "&amp;A2303&amp;";"</f>
        <v>UPDATE COTACAO SET cot_id = 2302, cot_blt_id = 95, cot_pap_id = 32, cot_prc_comum =  60.00, cot_prc_min =  40.00, cot_prc_max =  56.00, cot_prc_med =  70.00, cot_prc_mediana =  60.00 WHERE cot_id = 2302;</v>
      </c>
    </row>
    <row r="2304" customFormat="false" ht="14.25" hidden="false" customHeight="false" outlineLevel="0" collapsed="false">
      <c r="A2304" s="0" t="n">
        <v>2303</v>
      </c>
      <c r="B2304" s="0" t="n">
        <f aca="false">IF('Boletins Nuppa Site'!A2304&lt;&gt;0,'Boletins Nuppa Site'!A2304,"NULL")</f>
        <v>95</v>
      </c>
      <c r="C2304" s="0" t="n">
        <v>33</v>
      </c>
      <c r="D2304" s="0" t="str">
        <f aca="false">IF('Boletins Nuppa Site'!G2304&lt;&gt;0,'Boletins Nuppa Site'!G2304,"NULL")</f>
        <v> 100.00</v>
      </c>
      <c r="E2304" s="30" t="str">
        <f aca="false">IF('Boletins Nuppa Site'!H2304&lt;&gt;0,'Boletins Nuppa Site'!H2304,"NULL")</f>
        <v> 80.00</v>
      </c>
      <c r="F2304" s="30" t="str">
        <f aca="false">IF('Boletins Nuppa Site'!I2304&lt;&gt;0,'Boletins Nuppa Site'!I2304,"NULL")</f>
        <v> 100.00</v>
      </c>
      <c r="G2304" s="30" t="str">
        <f aca="false">IF('Boletins Nuppa Site'!J2304&lt;&gt;0,'Boletins Nuppa Site'!J2304,"NULL")</f>
        <v> 107.50</v>
      </c>
      <c r="H2304" s="30" t="str">
        <f aca="false">IF('Boletins Nuppa Site'!K2304&lt;&gt;0,'Boletins Nuppa Site'!K2304,"NULL")</f>
        <v> 150.00</v>
      </c>
      <c r="I2304" s="0" t="str">
        <f aca="false">"INSERT INTO COTACAO (cot_id, cot_blt_id, cot_pap_id, cot_prc_comum, cot_prc_min, cot_prc_max, cot_prc_med, cot_prc_mediana) VALUES ("&amp;A2304&amp;", "&amp;B2304&amp;", "&amp;C2304&amp;", "&amp;D2304&amp;", "&amp;E2304&amp;", "&amp;F2304&amp;", "&amp;G2304&amp;", "&amp;H2304&amp;");"</f>
        <v>INSERT INTO COTACAO (cot_id, cot_blt_id, cot_pap_id, cot_prc_comum, cot_prc_min, cot_prc_max, cot_prc_med, cot_prc_mediana) VALUES (2303, 95, 33,  100.00,  80.00,  100.00,  107.50,  150.00);</v>
      </c>
      <c r="J2304" s="0" t="str">
        <f aca="false">"UPDATE COTACAO SET cot_id = "&amp;A2304&amp;", cot_blt_id = "&amp;B2304&amp;", cot_pap_id = "&amp;C2304&amp;", cot_prc_comum = "&amp;D2304&amp;", cot_prc_min = "&amp;E2304&amp;", cot_prc_max = "&amp;F2304&amp;", cot_prc_med = "&amp;G2304&amp;", cot_prc_mediana = "&amp;H2304&amp;" WHERE cot_id = "&amp;A2304&amp;";"</f>
        <v>UPDATE COTACAO SET cot_id = 2303, cot_blt_id = 95, cot_pap_id = 33, cot_prc_comum =  100.00, cot_prc_min =  80.00, cot_prc_max =  100.00, cot_prc_med =  107.50, cot_prc_mediana =  150.00 WHERE cot_id = 2303;</v>
      </c>
    </row>
    <row r="2305" customFormat="false" ht="14.25" hidden="false" customHeight="false" outlineLevel="0" collapsed="false">
      <c r="A2305" s="0" t="n">
        <v>2304</v>
      </c>
      <c r="B2305" s="0" t="n">
        <f aca="false">IF('Boletins Nuppa Site'!A2305&lt;&gt;0,'Boletins Nuppa Site'!A2305,"NULL")</f>
        <v>95</v>
      </c>
      <c r="C2305" s="0" t="n">
        <v>34</v>
      </c>
      <c r="D2305" s="0" t="str">
        <f aca="false">IF('Boletins Nuppa Site'!G2305&lt;&gt;0,'Boletins Nuppa Site'!G2305,"NULL")</f>
        <v>NULL</v>
      </c>
      <c r="E2305" s="30" t="str">
        <f aca="false">IF('Boletins Nuppa Site'!H2305&lt;&gt;0,'Boletins Nuppa Site'!H2305,"NULL")</f>
        <v> 140.00</v>
      </c>
      <c r="F2305" s="30" t="str">
        <f aca="false">IF('Boletins Nuppa Site'!I2305&lt;&gt;0,'Boletins Nuppa Site'!I2305,"NULL")</f>
        <v> 160.00</v>
      </c>
      <c r="G2305" s="30" t="str">
        <f aca="false">IF('Boletins Nuppa Site'!J2305&lt;&gt;0,'Boletins Nuppa Site'!J2305,"NULL")</f>
        <v> 180.00</v>
      </c>
      <c r="H2305" s="30" t="str">
        <f aca="false">IF('Boletins Nuppa Site'!K2305&lt;&gt;0,'Boletins Nuppa Site'!K2305,"NULL")</f>
        <v> 160.00</v>
      </c>
      <c r="I2305" s="0" t="str">
        <f aca="false">"INSERT INTO COTACAO (cot_id, cot_blt_id, cot_pap_id, cot_prc_comum, cot_prc_min, cot_prc_max, cot_prc_med, cot_prc_mediana) VALUES ("&amp;A2305&amp;", "&amp;B2305&amp;", "&amp;C2305&amp;", "&amp;D2305&amp;", "&amp;E2305&amp;", "&amp;F2305&amp;", "&amp;G2305&amp;", "&amp;H2305&amp;");"</f>
        <v>INSERT INTO COTACAO (cot_id, cot_blt_id, cot_pap_id, cot_prc_comum, cot_prc_min, cot_prc_max, cot_prc_med, cot_prc_mediana) VALUES (2304, 95, 34, NULL,  140.00,  160.00,  180.00,  160.00);</v>
      </c>
      <c r="J2305" s="0" t="str">
        <f aca="false">"UPDATE COTACAO SET cot_id = "&amp;A2305&amp;", cot_blt_id = "&amp;B2305&amp;", cot_pap_id = "&amp;C2305&amp;", cot_prc_comum = "&amp;D2305&amp;", cot_prc_min = "&amp;E2305&amp;", cot_prc_max = "&amp;F2305&amp;", cot_prc_med = "&amp;G2305&amp;", cot_prc_mediana = "&amp;H2305&amp;" WHERE cot_id = "&amp;A2305&amp;";"</f>
        <v>UPDATE COTACAO SET cot_id = 2304, cot_blt_id = 95, cot_pap_id = 34, cot_prc_comum = NULL, cot_prc_min =  140.00, cot_prc_max =  160.00, cot_prc_med =  180.00, cot_prc_mediana =  160.00 WHERE cot_id = 2304;</v>
      </c>
    </row>
    <row r="2306" customFormat="false" ht="14.25" hidden="false" customHeight="false" outlineLevel="0" collapsed="false">
      <c r="A2306" s="0" t="n">
        <v>2305</v>
      </c>
      <c r="B2306" s="0" t="n">
        <f aca="false">IF('Boletins Nuppa Site'!A2306&lt;&gt;0,'Boletins Nuppa Site'!A2306,"NULL")</f>
        <v>95</v>
      </c>
      <c r="C2306" s="0" t="n">
        <v>35</v>
      </c>
      <c r="D2306" s="0" t="str">
        <f aca="false">IF('Boletins Nuppa Site'!G2306&lt;&gt;0,'Boletins Nuppa Site'!G2306,"NULL")</f>
        <v> 100.00</v>
      </c>
      <c r="E2306" s="30" t="str">
        <f aca="false">IF('Boletins Nuppa Site'!H2306&lt;&gt;0,'Boletins Nuppa Site'!H2306,"NULL")</f>
        <v> 100.00</v>
      </c>
      <c r="F2306" s="30" t="str">
        <f aca="false">IF('Boletins Nuppa Site'!I2306&lt;&gt;0,'Boletins Nuppa Site'!I2306,"NULL")</f>
        <v> 115.00</v>
      </c>
      <c r="G2306" s="30" t="str">
        <f aca="false">IF('Boletins Nuppa Site'!J2306&lt;&gt;0,'Boletins Nuppa Site'!J2306,"NULL")</f>
        <v> 140.00</v>
      </c>
      <c r="H2306" s="30" t="str">
        <f aca="false">IF('Boletins Nuppa Site'!K2306&lt;&gt;0,'Boletins Nuppa Site'!K2306,"NULL")</f>
        <v> 110.00</v>
      </c>
      <c r="I2306" s="0" t="str">
        <f aca="false">"INSERT INTO COTACAO (cot_id, cot_blt_id, cot_pap_id, cot_prc_comum, cot_prc_min, cot_prc_max, cot_prc_med, cot_prc_mediana) VALUES ("&amp;A2306&amp;", "&amp;B2306&amp;", "&amp;C2306&amp;", "&amp;D2306&amp;", "&amp;E2306&amp;", "&amp;F2306&amp;", "&amp;G2306&amp;", "&amp;H2306&amp;");"</f>
        <v>INSERT INTO COTACAO (cot_id, cot_blt_id, cot_pap_id, cot_prc_comum, cot_prc_min, cot_prc_max, cot_prc_med, cot_prc_mediana) VALUES (2305, 95, 35,  100.00,  100.00,  115.00,  140.00,  110.00);</v>
      </c>
      <c r="J2306" s="0" t="str">
        <f aca="false">"UPDATE COTACAO SET cot_id = "&amp;A2306&amp;", cot_blt_id = "&amp;B2306&amp;", cot_pap_id = "&amp;C2306&amp;", cot_prc_comum = "&amp;D2306&amp;", cot_prc_min = "&amp;E2306&amp;", cot_prc_max = "&amp;F2306&amp;", cot_prc_med = "&amp;G2306&amp;", cot_prc_mediana = "&amp;H2306&amp;" WHERE cot_id = "&amp;A2306&amp;";"</f>
        <v>UPDATE COTACAO SET cot_id = 2305, cot_blt_id = 95, cot_pap_id = 35, cot_prc_comum =  100.00, cot_prc_min =  100.00, cot_prc_max =  115.00, cot_prc_med =  140.00, cot_prc_mediana =  110.00 WHERE cot_id = 2305;</v>
      </c>
    </row>
    <row r="2307" customFormat="false" ht="14.25" hidden="false" customHeight="false" outlineLevel="0" collapsed="false">
      <c r="A2307" s="0" t="n">
        <v>2306</v>
      </c>
      <c r="B2307" s="0" t="n">
        <f aca="false">IF('Boletins Nuppa Site'!A2307&lt;&gt;0,'Boletins Nuppa Site'!A2307,"NULL")</f>
        <v>95</v>
      </c>
      <c r="C2307" s="0" t="n">
        <v>36</v>
      </c>
      <c r="D2307" s="0" t="str">
        <f aca="false">IF('Boletins Nuppa Site'!G2307&lt;&gt;0,'Boletins Nuppa Site'!G2307,"NULL")</f>
        <v>NULL</v>
      </c>
      <c r="E2307" s="30" t="str">
        <f aca="false">IF('Boletins Nuppa Site'!H2307&lt;&gt;0,'Boletins Nuppa Site'!H2307,"NULL")</f>
        <v>NULL</v>
      </c>
      <c r="F2307" s="30" t="str">
        <f aca="false">IF('Boletins Nuppa Site'!I2307&lt;&gt;0,'Boletins Nuppa Site'!I2307,"NULL")</f>
        <v>NULL</v>
      </c>
      <c r="G2307" s="30" t="str">
        <f aca="false">IF('Boletins Nuppa Site'!J2307&lt;&gt;0,'Boletins Nuppa Site'!J2307,"NULL")</f>
        <v>NULL</v>
      </c>
      <c r="H2307" s="30" t="str">
        <f aca="false">IF('Boletins Nuppa Site'!K2307&lt;&gt;0,'Boletins Nuppa Site'!K2307,"NULL")</f>
        <v>NULL</v>
      </c>
      <c r="I2307" s="0" t="str">
        <f aca="false">"INSERT INTO COTACAO (cot_id, cot_blt_id, cot_pap_id, cot_prc_comum, cot_prc_min, cot_prc_max, cot_prc_med, cot_prc_mediana) VALUES ("&amp;A2307&amp;", "&amp;B2307&amp;", "&amp;C2307&amp;", "&amp;D2307&amp;", "&amp;E2307&amp;", "&amp;F2307&amp;", "&amp;G2307&amp;", "&amp;H2307&amp;");"</f>
        <v>INSERT INTO COTACAO (cot_id, cot_blt_id, cot_pap_id, cot_prc_comum, cot_prc_min, cot_prc_max, cot_prc_med, cot_prc_mediana) VALUES (2306, 95, 36, NULL, NULL, NULL, NULL, NULL);</v>
      </c>
      <c r="J2307" s="0" t="str">
        <f aca="false">"UPDATE COTACAO SET cot_id = "&amp;A2307&amp;", cot_blt_id = "&amp;B2307&amp;", cot_pap_id = "&amp;C2307&amp;", cot_prc_comum = "&amp;D2307&amp;", cot_prc_min = "&amp;E2307&amp;", cot_prc_max = "&amp;F2307&amp;", cot_prc_med = "&amp;G2307&amp;", cot_prc_mediana = "&amp;H2307&amp;" WHERE cot_id = "&amp;A2307&amp;";"</f>
        <v>UPDATE COTACAO SET cot_id = 2306, cot_blt_id = 95, cot_pap_id = 36, cot_prc_comum = NULL, cot_prc_min = NULL, cot_prc_max = NULL, cot_prc_med = NULL, cot_prc_mediana = NULL WHERE cot_id = 2306;</v>
      </c>
    </row>
    <row r="2308" customFormat="false" ht="14.25" hidden="false" customHeight="false" outlineLevel="0" collapsed="false">
      <c r="A2308" s="0" t="n">
        <v>2307</v>
      </c>
      <c r="B2308" s="0" t="n">
        <f aca="false">IF('Boletins Nuppa Site'!A2308&lt;&gt;0,'Boletins Nuppa Site'!A2308,"NULL")</f>
        <v>95</v>
      </c>
      <c r="C2308" s="0" t="n">
        <v>37</v>
      </c>
      <c r="D2308" s="0" t="str">
        <f aca="false">IF('Boletins Nuppa Site'!G2308&lt;&gt;0,'Boletins Nuppa Site'!G2308,"NULL")</f>
        <v>NULL</v>
      </c>
      <c r="E2308" s="30" t="str">
        <f aca="false">IF('Boletins Nuppa Site'!H2308&lt;&gt;0,'Boletins Nuppa Site'!H2308,"NULL")</f>
        <v>NULL</v>
      </c>
      <c r="F2308" s="30" t="str">
        <f aca="false">IF('Boletins Nuppa Site'!I2308&lt;&gt;0,'Boletins Nuppa Site'!I2308,"NULL")</f>
        <v>NULL</v>
      </c>
      <c r="G2308" s="30" t="str">
        <f aca="false">IF('Boletins Nuppa Site'!J2308&lt;&gt;0,'Boletins Nuppa Site'!J2308,"NULL")</f>
        <v>NULL</v>
      </c>
      <c r="H2308" s="30" t="str">
        <f aca="false">IF('Boletins Nuppa Site'!K2308&lt;&gt;0,'Boletins Nuppa Site'!K2308,"NULL")</f>
        <v>NULL</v>
      </c>
      <c r="I2308" s="0" t="str">
        <f aca="false">"INSERT INTO COTACAO (cot_id, cot_blt_id, cot_pap_id, cot_prc_comum, cot_prc_min, cot_prc_max, cot_prc_med, cot_prc_mediana) VALUES ("&amp;A2308&amp;", "&amp;B2308&amp;", "&amp;C2308&amp;", "&amp;D2308&amp;", "&amp;E2308&amp;", "&amp;F2308&amp;", "&amp;G2308&amp;", "&amp;H2308&amp;");"</f>
        <v>INSERT INTO COTACAO (cot_id, cot_blt_id, cot_pap_id, cot_prc_comum, cot_prc_min, cot_prc_max, cot_prc_med, cot_prc_mediana) VALUES (2307, 95, 37, NULL, NULL, NULL, NULL, NULL);</v>
      </c>
      <c r="J2308" s="0" t="str">
        <f aca="false">"UPDATE COTACAO SET cot_id = "&amp;A2308&amp;", cot_blt_id = "&amp;B2308&amp;", cot_pap_id = "&amp;C2308&amp;", cot_prc_comum = "&amp;D2308&amp;", cot_prc_min = "&amp;E2308&amp;", cot_prc_max = "&amp;F2308&amp;", cot_prc_med = "&amp;G2308&amp;", cot_prc_mediana = "&amp;H2308&amp;" WHERE cot_id = "&amp;A2308&amp;";"</f>
        <v>UPDATE COTACAO SET cot_id = 2307, cot_blt_id = 95, cot_pap_id = 37, cot_prc_comum = NULL, cot_prc_min = NULL, cot_prc_max = NULL, cot_prc_med = NULL, cot_prc_mediana = NULL WHERE cot_id = 2307;</v>
      </c>
    </row>
    <row r="2309" customFormat="false" ht="14.25" hidden="false" customHeight="false" outlineLevel="0" collapsed="false">
      <c r="A2309" s="0" t="n">
        <v>2308</v>
      </c>
      <c r="B2309" s="0" t="n">
        <f aca="false">IF('Boletins Nuppa Site'!A2309&lt;&gt;0,'Boletins Nuppa Site'!A2309,"NULL")</f>
        <v>95</v>
      </c>
      <c r="C2309" s="0" t="n">
        <v>38</v>
      </c>
      <c r="D2309" s="0" t="str">
        <f aca="false">IF('Boletins Nuppa Site'!G2309&lt;&gt;0,'Boletins Nuppa Site'!G2309,"NULL")</f>
        <v>NULL</v>
      </c>
      <c r="E2309" s="30" t="str">
        <f aca="false">IF('Boletins Nuppa Site'!H2309&lt;&gt;0,'Boletins Nuppa Site'!H2309,"NULL")</f>
        <v>NULL</v>
      </c>
      <c r="F2309" s="30" t="str">
        <f aca="false">IF('Boletins Nuppa Site'!I2309&lt;&gt;0,'Boletins Nuppa Site'!I2309,"NULL")</f>
        <v>NULL</v>
      </c>
      <c r="G2309" s="30" t="str">
        <f aca="false">IF('Boletins Nuppa Site'!J2309&lt;&gt;0,'Boletins Nuppa Site'!J2309,"NULL")</f>
        <v>NULL</v>
      </c>
      <c r="H2309" s="30" t="str">
        <f aca="false">IF('Boletins Nuppa Site'!K2309&lt;&gt;0,'Boletins Nuppa Site'!K2309,"NULL")</f>
        <v>NULL</v>
      </c>
      <c r="I2309" s="0" t="str">
        <f aca="false">"INSERT INTO COTACAO (cot_id, cot_blt_id, cot_pap_id, cot_prc_comum, cot_prc_min, cot_prc_max, cot_prc_med, cot_prc_mediana) VALUES ("&amp;A2309&amp;", "&amp;B2309&amp;", "&amp;C2309&amp;", "&amp;D2309&amp;", "&amp;E2309&amp;", "&amp;F2309&amp;", "&amp;G2309&amp;", "&amp;H2309&amp;");"</f>
        <v>INSERT INTO COTACAO (cot_id, cot_blt_id, cot_pap_id, cot_prc_comum, cot_prc_min, cot_prc_max, cot_prc_med, cot_prc_mediana) VALUES (2308, 95, 38, NULL, NULL, NULL, NULL, NULL);</v>
      </c>
      <c r="J2309" s="0" t="str">
        <f aca="false">"UPDATE COTACAO SET cot_id = "&amp;A2309&amp;", cot_blt_id = "&amp;B2309&amp;", cot_pap_id = "&amp;C2309&amp;", cot_prc_comum = "&amp;D2309&amp;", cot_prc_min = "&amp;E2309&amp;", cot_prc_max = "&amp;F2309&amp;", cot_prc_med = "&amp;G2309&amp;", cot_prc_mediana = "&amp;H2309&amp;" WHERE cot_id = "&amp;A2309&amp;";"</f>
        <v>UPDATE COTACAO SET cot_id = 2308, cot_blt_id = 95, cot_pap_id = 38, cot_prc_comum = NULL, cot_prc_min = NULL, cot_prc_max = NULL, cot_prc_med = NULL, cot_prc_mediana = NULL WHERE cot_id = 2308;</v>
      </c>
    </row>
    <row r="2310" customFormat="false" ht="14.25" hidden="false" customHeight="false" outlineLevel="0" collapsed="false">
      <c r="A2310" s="0" t="n">
        <v>2309</v>
      </c>
      <c r="B2310" s="0" t="n">
        <f aca="false">IF('Boletins Nuppa Site'!A2310&lt;&gt;0,'Boletins Nuppa Site'!A2310,"NULL")</f>
        <v>95</v>
      </c>
      <c r="C2310" s="0" t="n">
        <v>39</v>
      </c>
      <c r="D2310" s="0" t="str">
        <f aca="false">IF('Boletins Nuppa Site'!G2310&lt;&gt;0,'Boletins Nuppa Site'!G2310,"NULL")</f>
        <v>NULL</v>
      </c>
      <c r="E2310" s="30" t="str">
        <f aca="false">IF('Boletins Nuppa Site'!H2310&lt;&gt;0,'Boletins Nuppa Site'!H2310,"NULL")</f>
        <v>NULL</v>
      </c>
      <c r="F2310" s="30" t="str">
        <f aca="false">IF('Boletins Nuppa Site'!I2310&lt;&gt;0,'Boletins Nuppa Site'!I2310,"NULL")</f>
        <v>NULL</v>
      </c>
      <c r="G2310" s="30" t="str">
        <f aca="false">IF('Boletins Nuppa Site'!J2310&lt;&gt;0,'Boletins Nuppa Site'!J2310,"NULL")</f>
        <v>NULL</v>
      </c>
      <c r="H2310" s="30" t="str">
        <f aca="false">IF('Boletins Nuppa Site'!K2310&lt;&gt;0,'Boletins Nuppa Site'!K2310,"NULL")</f>
        <v>NULL</v>
      </c>
      <c r="I2310" s="0" t="str">
        <f aca="false">"INSERT INTO COTACAO (cot_id, cot_blt_id, cot_pap_id, cot_prc_comum, cot_prc_min, cot_prc_max, cot_prc_med, cot_prc_mediana) VALUES ("&amp;A2310&amp;", "&amp;B2310&amp;", "&amp;C2310&amp;", "&amp;D2310&amp;", "&amp;E2310&amp;", "&amp;F2310&amp;", "&amp;G2310&amp;", "&amp;H2310&amp;");"</f>
        <v>INSERT INTO COTACAO (cot_id, cot_blt_id, cot_pap_id, cot_prc_comum, cot_prc_min, cot_prc_max, cot_prc_med, cot_prc_mediana) VALUES (2309, 95, 39, NULL, NULL, NULL, NULL, NULL);</v>
      </c>
      <c r="J2310" s="0" t="str">
        <f aca="false">"UPDATE COTACAO SET cot_id = "&amp;A2310&amp;", cot_blt_id = "&amp;B2310&amp;", cot_pap_id = "&amp;C2310&amp;", cot_prc_comum = "&amp;D2310&amp;", cot_prc_min = "&amp;E2310&amp;", cot_prc_max = "&amp;F2310&amp;", cot_prc_med = "&amp;G2310&amp;", cot_prc_mediana = "&amp;H2310&amp;" WHERE cot_id = "&amp;A2310&amp;";"</f>
        <v>UPDATE COTACAO SET cot_id = 2309, cot_blt_id = 95, cot_pap_id = 39, cot_prc_comum = NULL, cot_prc_min = NULL, cot_prc_max = NULL, cot_prc_med = NULL, cot_prc_mediana = NULL WHERE cot_id = 2309;</v>
      </c>
    </row>
    <row r="2311" customFormat="false" ht="14.25" hidden="false" customHeight="false" outlineLevel="0" collapsed="false">
      <c r="A2311" s="0" t="n">
        <v>2310</v>
      </c>
      <c r="B2311" s="0" t="n">
        <f aca="false">IF('Boletins Nuppa Site'!A2311&lt;&gt;0,'Boletins Nuppa Site'!A2311,"NULL")</f>
        <v>95</v>
      </c>
      <c r="C2311" s="0" t="n">
        <v>40</v>
      </c>
      <c r="D2311" s="0" t="str">
        <f aca="false">IF('Boletins Nuppa Site'!G2311&lt;&gt;0,'Boletins Nuppa Site'!G2311,"NULL")</f>
        <v>NULL</v>
      </c>
      <c r="E2311" s="30" t="str">
        <f aca="false">IF('Boletins Nuppa Site'!H2311&lt;&gt;0,'Boletins Nuppa Site'!H2311,"NULL")</f>
        <v>NULL</v>
      </c>
      <c r="F2311" s="30" t="str">
        <f aca="false">IF('Boletins Nuppa Site'!I2311&lt;&gt;0,'Boletins Nuppa Site'!I2311,"NULL")</f>
        <v>NULL</v>
      </c>
      <c r="G2311" s="30" t="str">
        <f aca="false">IF('Boletins Nuppa Site'!J2311&lt;&gt;0,'Boletins Nuppa Site'!J2311,"NULL")</f>
        <v>NULL</v>
      </c>
      <c r="H2311" s="30" t="str">
        <f aca="false">IF('Boletins Nuppa Site'!K2311&lt;&gt;0,'Boletins Nuppa Site'!K2311,"NULL")</f>
        <v>NULL</v>
      </c>
      <c r="I2311" s="0" t="str">
        <f aca="false">"INSERT INTO COTACAO (cot_id, cot_blt_id, cot_pap_id, cot_prc_comum, cot_prc_min, cot_prc_max, cot_prc_med, cot_prc_mediana) VALUES ("&amp;A2311&amp;", "&amp;B2311&amp;", "&amp;C2311&amp;", "&amp;D2311&amp;", "&amp;E2311&amp;", "&amp;F2311&amp;", "&amp;G2311&amp;", "&amp;H2311&amp;");"</f>
        <v>INSERT INTO COTACAO (cot_id, cot_blt_id, cot_pap_id, cot_prc_comum, cot_prc_min, cot_prc_max, cot_prc_med, cot_prc_mediana) VALUES (2310, 95, 40, NULL, NULL, NULL, NULL, NULL);</v>
      </c>
      <c r="J2311" s="0" t="str">
        <f aca="false">"UPDATE COTACAO SET cot_id = "&amp;A2311&amp;", cot_blt_id = "&amp;B2311&amp;", cot_pap_id = "&amp;C2311&amp;", cot_prc_comum = "&amp;D2311&amp;", cot_prc_min = "&amp;E2311&amp;", cot_prc_max = "&amp;F2311&amp;", cot_prc_med = "&amp;G2311&amp;", cot_prc_mediana = "&amp;H2311&amp;" WHERE cot_id = "&amp;A2311&amp;";"</f>
        <v>UPDATE COTACAO SET cot_id = 2310, cot_blt_id = 95, cot_pap_id = 40, cot_prc_comum = NULL, cot_prc_min = NULL, cot_prc_max = NULL, cot_prc_med = NULL, cot_prc_mediana = NULL WHERE cot_id = 2310;</v>
      </c>
    </row>
    <row r="2312" customFormat="false" ht="14.25" hidden="false" customHeight="false" outlineLevel="0" collapsed="false">
      <c r="A2312" s="0" t="n">
        <v>2311</v>
      </c>
      <c r="B2312" s="0" t="n">
        <f aca="false">IF('Boletins Nuppa Site'!A2312&lt;&gt;0,'Boletins Nuppa Site'!A2312,"NULL")</f>
        <v>96</v>
      </c>
      <c r="C2312" s="0" t="n">
        <v>1</v>
      </c>
      <c r="D2312" s="0" t="str">
        <f aca="false">IF('Boletins Nuppa Site'!G2312&lt;&gt;0,'Boletins Nuppa Site'!G2312,"NULL")</f>
        <v>NULL</v>
      </c>
      <c r="E2312" s="30" t="str">
        <f aca="false">IF('Boletins Nuppa Site'!H2312&lt;&gt;0,'Boletins Nuppa Site'!H2312,"NULL")</f>
        <v> 60.00</v>
      </c>
      <c r="F2312" s="30" t="str">
        <f aca="false">IF('Boletins Nuppa Site'!I2312&lt;&gt;0,'Boletins Nuppa Site'!I2312,"NULL")</f>
        <v> 72.00</v>
      </c>
      <c r="G2312" s="30" t="str">
        <f aca="false">IF('Boletins Nuppa Site'!J2312&lt;&gt;0,'Boletins Nuppa Site'!J2312,"NULL")</f>
        <v> 66.00</v>
      </c>
      <c r="H2312" s="30" t="str">
        <f aca="false">IF('Boletins Nuppa Site'!K2312&lt;&gt;0,'Boletins Nuppa Site'!K2312,"NULL")</f>
        <v> 66.00</v>
      </c>
      <c r="I2312" s="0" t="str">
        <f aca="false">"INSERT INTO COTACAO (cot_id, cot_blt_id, cot_pap_id, cot_prc_comum, cot_prc_min, cot_prc_max, cot_prc_med, cot_prc_mediana) VALUES ("&amp;A2312&amp;", "&amp;B2312&amp;", "&amp;C2312&amp;", "&amp;D2312&amp;", "&amp;E2312&amp;", "&amp;F2312&amp;", "&amp;G2312&amp;", "&amp;H2312&amp;");"</f>
        <v>INSERT INTO COTACAO (cot_id, cot_blt_id, cot_pap_id, cot_prc_comum, cot_prc_min, cot_prc_max, cot_prc_med, cot_prc_mediana) VALUES (2311, 96, 1, NULL,  60.00,  72.00,  66.00,  66.00);</v>
      </c>
      <c r="J2312" s="0" t="str">
        <f aca="false">"UPDATE COTACAO SET cot_id = "&amp;A2312&amp;", cot_blt_id = "&amp;B2312&amp;", cot_pap_id = "&amp;C2312&amp;", cot_prc_comum = "&amp;D2312&amp;", cot_prc_min = "&amp;E2312&amp;", cot_prc_max = "&amp;F2312&amp;", cot_prc_med = "&amp;G2312&amp;", cot_prc_mediana = "&amp;H2312&amp;" WHERE cot_id = "&amp;A2312&amp;";"</f>
        <v>UPDATE COTACAO SET cot_id = 2311, cot_blt_id = 96, cot_pap_id = 1, cot_prc_comum = NULL, cot_prc_min =  60.00, cot_prc_max =  72.00, cot_prc_med =  66.00, cot_prc_mediana =  66.00 WHERE cot_id = 2311;</v>
      </c>
    </row>
    <row r="2313" customFormat="false" ht="14.25" hidden="false" customHeight="false" outlineLevel="0" collapsed="false">
      <c r="A2313" s="0" t="n">
        <v>2312</v>
      </c>
      <c r="B2313" s="0" t="n">
        <f aca="false">IF('Boletins Nuppa Site'!A2313&lt;&gt;0,'Boletins Nuppa Site'!A2313,"NULL")</f>
        <v>96</v>
      </c>
      <c r="C2313" s="0" t="n">
        <v>2</v>
      </c>
      <c r="D2313" s="0" t="str">
        <f aca="false">IF('Boletins Nuppa Site'!G2313&lt;&gt;0,'Boletins Nuppa Site'!G2313,"NULL")</f>
        <v>NULL</v>
      </c>
      <c r="E2313" s="30" t="str">
        <f aca="false">IF('Boletins Nuppa Site'!H2313&lt;&gt;0,'Boletins Nuppa Site'!H2313,"NULL")</f>
        <v> 60.00</v>
      </c>
      <c r="F2313" s="30" t="str">
        <f aca="false">IF('Boletins Nuppa Site'!I2313&lt;&gt;0,'Boletins Nuppa Site'!I2313,"NULL")</f>
        <v> 96.00</v>
      </c>
      <c r="G2313" s="30" t="str">
        <f aca="false">IF('Boletins Nuppa Site'!J2313&lt;&gt;0,'Boletins Nuppa Site'!J2313,"NULL")</f>
        <v> 78.00</v>
      </c>
      <c r="H2313" s="30" t="str">
        <f aca="false">IF('Boletins Nuppa Site'!K2313&lt;&gt;0,'Boletins Nuppa Site'!K2313,"NULL")</f>
        <v> 78.00</v>
      </c>
      <c r="I2313" s="0" t="str">
        <f aca="false">"INSERT INTO COTACAO (cot_id, cot_blt_id, cot_pap_id, cot_prc_comum, cot_prc_min, cot_prc_max, cot_prc_med, cot_prc_mediana) VALUES ("&amp;A2313&amp;", "&amp;B2313&amp;", "&amp;C2313&amp;", "&amp;D2313&amp;", "&amp;E2313&amp;", "&amp;F2313&amp;", "&amp;G2313&amp;", "&amp;H2313&amp;");"</f>
        <v>INSERT INTO COTACAO (cot_id, cot_blt_id, cot_pap_id, cot_prc_comum, cot_prc_min, cot_prc_max, cot_prc_med, cot_prc_mediana) VALUES (2312, 96, 2, NULL,  60.00,  96.00,  78.00,  78.00);</v>
      </c>
      <c r="J2313" s="0" t="str">
        <f aca="false">"UPDATE COTACAO SET cot_id = "&amp;A2313&amp;", cot_blt_id = "&amp;B2313&amp;", cot_pap_id = "&amp;C2313&amp;", cot_prc_comum = "&amp;D2313&amp;", cot_prc_min = "&amp;E2313&amp;", cot_prc_max = "&amp;F2313&amp;", cot_prc_med = "&amp;G2313&amp;", cot_prc_mediana = "&amp;H2313&amp;" WHERE cot_id = "&amp;A2313&amp;";"</f>
        <v>UPDATE COTACAO SET cot_id = 2312, cot_blt_id = 96, cot_pap_id = 2, cot_prc_comum = NULL, cot_prc_min =  60.00, cot_prc_max =  96.00, cot_prc_med =  78.00, cot_prc_mediana =  78.00 WHERE cot_id = 2312;</v>
      </c>
    </row>
    <row r="2314" customFormat="false" ht="14.25" hidden="false" customHeight="false" outlineLevel="0" collapsed="false">
      <c r="A2314" s="0" t="n">
        <v>2313</v>
      </c>
      <c r="B2314" s="0" t="n">
        <f aca="false">IF('Boletins Nuppa Site'!A2314&lt;&gt;0,'Boletins Nuppa Site'!A2314,"NULL")</f>
        <v>96</v>
      </c>
      <c r="C2314" s="0" t="n">
        <v>3</v>
      </c>
      <c r="D2314" s="0" t="str">
        <f aca="false">IF('Boletins Nuppa Site'!G2314&lt;&gt;0,'Boletins Nuppa Site'!G2314,"NULL")</f>
        <v>NULL</v>
      </c>
      <c r="E2314" s="30" t="str">
        <f aca="false">IF('Boletins Nuppa Site'!H2314&lt;&gt;0,'Boletins Nuppa Site'!H2314,"NULL")</f>
        <v> 60.00</v>
      </c>
      <c r="F2314" s="30" t="str">
        <f aca="false">IF('Boletins Nuppa Site'!I2314&lt;&gt;0,'Boletins Nuppa Site'!I2314,"NULL")</f>
        <v> 42.00</v>
      </c>
      <c r="G2314" s="30" t="str">
        <f aca="false">IF('Boletins Nuppa Site'!J2314&lt;&gt;0,'Boletins Nuppa Site'!J2314,"NULL")</f>
        <v> 52.00</v>
      </c>
      <c r="H2314" s="30" t="str">
        <f aca="false">IF('Boletins Nuppa Site'!K2314&lt;&gt;0,'Boletins Nuppa Site'!K2314,"NULL")</f>
        <v> 54.00</v>
      </c>
      <c r="I2314" s="0" t="str">
        <f aca="false">"INSERT INTO COTACAO (cot_id, cot_blt_id, cot_pap_id, cot_prc_comum, cot_prc_min, cot_prc_max, cot_prc_med, cot_prc_mediana) VALUES ("&amp;A2314&amp;", "&amp;B2314&amp;", "&amp;C2314&amp;", "&amp;D2314&amp;", "&amp;E2314&amp;", "&amp;F2314&amp;", "&amp;G2314&amp;", "&amp;H2314&amp;");"</f>
        <v>INSERT INTO COTACAO (cot_id, cot_blt_id, cot_pap_id, cot_prc_comum, cot_prc_min, cot_prc_max, cot_prc_med, cot_prc_mediana) VALUES (2313, 96, 3, NULL,  60.00,  42.00,  52.00,  54.00);</v>
      </c>
      <c r="J2314" s="0" t="str">
        <f aca="false">"UPDATE COTACAO SET cot_id = "&amp;A2314&amp;", cot_blt_id = "&amp;B2314&amp;", cot_pap_id = "&amp;C2314&amp;", cot_prc_comum = "&amp;D2314&amp;", cot_prc_min = "&amp;E2314&amp;", cot_prc_max = "&amp;F2314&amp;", cot_prc_med = "&amp;G2314&amp;", cot_prc_mediana = "&amp;H2314&amp;" WHERE cot_id = "&amp;A2314&amp;";"</f>
        <v>UPDATE COTACAO SET cot_id = 2313, cot_blt_id = 96, cot_pap_id = 3, cot_prc_comum = NULL, cot_prc_min =  60.00, cot_prc_max =  42.00, cot_prc_med =  52.00, cot_prc_mediana =  54.00 WHERE cot_id = 2313;</v>
      </c>
    </row>
    <row r="2315" customFormat="false" ht="14.25" hidden="false" customHeight="false" outlineLevel="0" collapsed="false">
      <c r="A2315" s="0" t="n">
        <v>2314</v>
      </c>
      <c r="B2315" s="0" t="n">
        <f aca="false">IF('Boletins Nuppa Site'!A2315&lt;&gt;0,'Boletins Nuppa Site'!A2315,"NULL")</f>
        <v>96</v>
      </c>
      <c r="C2315" s="0" t="n">
        <v>4</v>
      </c>
      <c r="D2315" s="0" t="str">
        <f aca="false">IF('Boletins Nuppa Site'!G2315&lt;&gt;0,'Boletins Nuppa Site'!G2315,"NULL")</f>
        <v> 30.00</v>
      </c>
      <c r="E2315" s="30" t="str">
        <f aca="false">IF('Boletins Nuppa Site'!H2315&lt;&gt;0,'Boletins Nuppa Site'!H2315,"NULL")</f>
        <v> 30.00</v>
      </c>
      <c r="F2315" s="30" t="str">
        <f aca="false">IF('Boletins Nuppa Site'!I2315&lt;&gt;0,'Boletins Nuppa Site'!I2315,"NULL")</f>
        <v> 33.00</v>
      </c>
      <c r="G2315" s="30" t="str">
        <f aca="false">IF('Boletins Nuppa Site'!J2315&lt;&gt;0,'Boletins Nuppa Site'!J2315,"NULL")</f>
        <v> 31.00</v>
      </c>
      <c r="H2315" s="30" t="str">
        <f aca="false">IF('Boletins Nuppa Site'!K2315&lt;&gt;0,'Boletins Nuppa Site'!K2315,"NULL")</f>
        <v> 30.00</v>
      </c>
      <c r="I2315" s="0" t="str">
        <f aca="false">"INSERT INTO COTACAO (cot_id, cot_blt_id, cot_pap_id, cot_prc_comum, cot_prc_min, cot_prc_max, cot_prc_med, cot_prc_mediana) VALUES ("&amp;A2315&amp;", "&amp;B2315&amp;", "&amp;C2315&amp;", "&amp;D2315&amp;", "&amp;E2315&amp;", "&amp;F2315&amp;", "&amp;G2315&amp;", "&amp;H2315&amp;");"</f>
        <v>INSERT INTO COTACAO (cot_id, cot_blt_id, cot_pap_id, cot_prc_comum, cot_prc_min, cot_prc_max, cot_prc_med, cot_prc_mediana) VALUES (2314, 96, 4,  30.00,  30.00,  33.00,  31.00,  30.00);</v>
      </c>
      <c r="J2315" s="0" t="str">
        <f aca="false">"UPDATE COTACAO SET cot_id = "&amp;A2315&amp;", cot_blt_id = "&amp;B2315&amp;", cot_pap_id = "&amp;C2315&amp;", cot_prc_comum = "&amp;D2315&amp;", cot_prc_min = "&amp;E2315&amp;", cot_prc_max = "&amp;F2315&amp;", cot_prc_med = "&amp;G2315&amp;", cot_prc_mediana = "&amp;H2315&amp;" WHERE cot_id = "&amp;A2315&amp;";"</f>
        <v>UPDATE COTACAO SET cot_id = 2314, cot_blt_id = 96, cot_pap_id = 4, cot_prc_comum =  30.00, cot_prc_min =  30.00, cot_prc_max =  33.00, cot_prc_med =  31.00, cot_prc_mediana =  30.00 WHERE cot_id = 2314;</v>
      </c>
    </row>
    <row r="2316" customFormat="false" ht="14.25" hidden="false" customHeight="false" outlineLevel="0" collapsed="false">
      <c r="A2316" s="0" t="n">
        <v>2315</v>
      </c>
      <c r="B2316" s="0" t="n">
        <f aca="false">IF('Boletins Nuppa Site'!A2316&lt;&gt;0,'Boletins Nuppa Site'!A2316,"NULL")</f>
        <v>96</v>
      </c>
      <c r="C2316" s="0" t="n">
        <v>5</v>
      </c>
      <c r="D2316" s="0" t="str">
        <f aca="false">IF('Boletins Nuppa Site'!G2316&lt;&gt;0,'Boletins Nuppa Site'!G2316,"NULL")</f>
        <v> 30.00</v>
      </c>
      <c r="E2316" s="30" t="str">
        <f aca="false">IF('Boletins Nuppa Site'!H2316&lt;&gt;0,'Boletins Nuppa Site'!H2316,"NULL")</f>
        <v> 33.00</v>
      </c>
      <c r="F2316" s="30" t="str">
        <f aca="false">IF('Boletins Nuppa Site'!I2316&lt;&gt;0,'Boletins Nuppa Site'!I2316,"NULL")</f>
        <v> 30.00</v>
      </c>
      <c r="G2316" s="30" t="str">
        <f aca="false">IF('Boletins Nuppa Site'!J2316&lt;&gt;0,'Boletins Nuppa Site'!J2316,"NULL")</f>
        <v> 31.00</v>
      </c>
      <c r="H2316" s="30" t="str">
        <f aca="false">IF('Boletins Nuppa Site'!K2316&lt;&gt;0,'Boletins Nuppa Site'!K2316,"NULL")</f>
        <v> 30.00</v>
      </c>
      <c r="I2316" s="0" t="str">
        <f aca="false">"INSERT INTO COTACAO (cot_id, cot_blt_id, cot_pap_id, cot_prc_comum, cot_prc_min, cot_prc_max, cot_prc_med, cot_prc_mediana) VALUES ("&amp;A2316&amp;", "&amp;B2316&amp;", "&amp;C2316&amp;", "&amp;D2316&amp;", "&amp;E2316&amp;", "&amp;F2316&amp;", "&amp;G2316&amp;", "&amp;H2316&amp;");"</f>
        <v>INSERT INTO COTACAO (cot_id, cot_blt_id, cot_pap_id, cot_prc_comum, cot_prc_min, cot_prc_max, cot_prc_med, cot_prc_mediana) VALUES (2315, 96, 5,  30.00,  33.00,  30.00,  31.00,  30.00);</v>
      </c>
      <c r="J2316" s="0" t="str">
        <f aca="false">"UPDATE COTACAO SET cot_id = "&amp;A2316&amp;", cot_blt_id = "&amp;B2316&amp;", cot_pap_id = "&amp;C2316&amp;", cot_prc_comum = "&amp;D2316&amp;", cot_prc_min = "&amp;E2316&amp;", cot_prc_max = "&amp;F2316&amp;", cot_prc_med = "&amp;G2316&amp;", cot_prc_mediana = "&amp;H2316&amp;" WHERE cot_id = "&amp;A2316&amp;";"</f>
        <v>UPDATE COTACAO SET cot_id = 2315, cot_blt_id = 96, cot_pap_id = 5, cot_prc_comum =  30.00, cot_prc_min =  33.00, cot_prc_max =  30.00, cot_prc_med =  31.00, cot_prc_mediana =  30.00 WHERE cot_id = 2315;</v>
      </c>
    </row>
    <row r="2317" customFormat="false" ht="14.25" hidden="false" customHeight="false" outlineLevel="0" collapsed="false">
      <c r="A2317" s="0" t="n">
        <v>2316</v>
      </c>
      <c r="B2317" s="0" t="n">
        <f aca="false">IF('Boletins Nuppa Site'!A2317&lt;&gt;0,'Boletins Nuppa Site'!A2317,"NULL")</f>
        <v>96</v>
      </c>
      <c r="C2317" s="0" t="n">
        <v>6</v>
      </c>
      <c r="D2317" s="0" t="str">
        <f aca="false">IF('Boletins Nuppa Site'!G2317&lt;&gt;0,'Boletins Nuppa Site'!G2317,"NULL")</f>
        <v>NULL</v>
      </c>
      <c r="E2317" s="30" t="str">
        <f aca="false">IF('Boletins Nuppa Site'!H2317&lt;&gt;0,'Boletins Nuppa Site'!H2317,"NULL")</f>
        <v> 96.00</v>
      </c>
      <c r="F2317" s="30" t="str">
        <f aca="false">IF('Boletins Nuppa Site'!I2317&lt;&gt;0,'Boletins Nuppa Site'!I2317,"NULL")</f>
        <v> 66.00</v>
      </c>
      <c r="G2317" s="30" t="str">
        <f aca="false">IF('Boletins Nuppa Site'!J2317&lt;&gt;0,'Boletins Nuppa Site'!J2317,"NULL")</f>
        <v> 81.00</v>
      </c>
      <c r="H2317" s="30" t="str">
        <f aca="false">IF('Boletins Nuppa Site'!K2317&lt;&gt;0,'Boletins Nuppa Site'!K2317,"NULL")</f>
        <v> 81.00</v>
      </c>
      <c r="I2317" s="0" t="str">
        <f aca="false">"INSERT INTO COTACAO (cot_id, cot_blt_id, cot_pap_id, cot_prc_comum, cot_prc_min, cot_prc_max, cot_prc_med, cot_prc_mediana) VALUES ("&amp;A2317&amp;", "&amp;B2317&amp;", "&amp;C2317&amp;", "&amp;D2317&amp;", "&amp;E2317&amp;", "&amp;F2317&amp;", "&amp;G2317&amp;", "&amp;H2317&amp;");"</f>
        <v>INSERT INTO COTACAO (cot_id, cot_blt_id, cot_pap_id, cot_prc_comum, cot_prc_min, cot_prc_max, cot_prc_med, cot_prc_mediana) VALUES (2316, 96, 6, NULL,  96.00,  66.00,  81.00,  81.00);</v>
      </c>
      <c r="J2317" s="0" t="str">
        <f aca="false">"UPDATE COTACAO SET cot_id = "&amp;A2317&amp;", cot_blt_id = "&amp;B2317&amp;", cot_pap_id = "&amp;C2317&amp;", cot_prc_comum = "&amp;D2317&amp;", cot_prc_min = "&amp;E2317&amp;", cot_prc_max = "&amp;F2317&amp;", cot_prc_med = "&amp;G2317&amp;", cot_prc_mediana = "&amp;H2317&amp;" WHERE cot_id = "&amp;A2317&amp;";"</f>
        <v>UPDATE COTACAO SET cot_id = 2316, cot_blt_id = 96, cot_pap_id = 6, cot_prc_comum = NULL, cot_prc_min =  96.00, cot_prc_max =  66.00, cot_prc_med =  81.00, cot_prc_mediana =  81.00 WHERE cot_id = 2316;</v>
      </c>
    </row>
    <row r="2318" customFormat="false" ht="14.25" hidden="false" customHeight="false" outlineLevel="0" collapsed="false">
      <c r="A2318" s="0" t="n">
        <v>2317</v>
      </c>
      <c r="B2318" s="0" t="n">
        <f aca="false">IF('Boletins Nuppa Site'!A2318&lt;&gt;0,'Boletins Nuppa Site'!A2318,"NULL")</f>
        <v>96</v>
      </c>
      <c r="C2318" s="0" t="n">
        <v>7</v>
      </c>
      <c r="D2318" s="0" t="str">
        <f aca="false">IF('Boletins Nuppa Site'!G2318&lt;&gt;0,'Boletins Nuppa Site'!G2318,"NULL")</f>
        <v>NULL</v>
      </c>
      <c r="E2318" s="30" t="str">
        <f aca="false">IF('Boletins Nuppa Site'!H2318&lt;&gt;0,'Boletins Nuppa Site'!H2318,"NULL")</f>
        <v> 96.00</v>
      </c>
      <c r="F2318" s="30" t="str">
        <f aca="false">IF('Boletins Nuppa Site'!I2318&lt;&gt;0,'Boletins Nuppa Site'!I2318,"NULL")</f>
        <v> 114.00</v>
      </c>
      <c r="G2318" s="30" t="str">
        <f aca="false">IF('Boletins Nuppa Site'!J2318&lt;&gt;0,'Boletins Nuppa Site'!J2318,"NULL")</f>
        <v> 105.00</v>
      </c>
      <c r="H2318" s="30" t="str">
        <f aca="false">IF('Boletins Nuppa Site'!K2318&lt;&gt;0,'Boletins Nuppa Site'!K2318,"NULL")</f>
        <v> 105.00</v>
      </c>
      <c r="I2318" s="0" t="str">
        <f aca="false">"INSERT INTO COTACAO (cot_id, cot_blt_id, cot_pap_id, cot_prc_comum, cot_prc_min, cot_prc_max, cot_prc_med, cot_prc_mediana) VALUES ("&amp;A2318&amp;", "&amp;B2318&amp;", "&amp;C2318&amp;", "&amp;D2318&amp;", "&amp;E2318&amp;", "&amp;F2318&amp;", "&amp;G2318&amp;", "&amp;H2318&amp;");"</f>
        <v>INSERT INTO COTACAO (cot_id, cot_blt_id, cot_pap_id, cot_prc_comum, cot_prc_min, cot_prc_max, cot_prc_med, cot_prc_mediana) VALUES (2317, 96, 7, NULL,  96.00,  114.00,  105.00,  105.00);</v>
      </c>
      <c r="J2318" s="0" t="str">
        <f aca="false">"UPDATE COTACAO SET cot_id = "&amp;A2318&amp;", cot_blt_id = "&amp;B2318&amp;", cot_pap_id = "&amp;C2318&amp;", cot_prc_comum = "&amp;D2318&amp;", cot_prc_min = "&amp;E2318&amp;", cot_prc_max = "&amp;F2318&amp;", cot_prc_med = "&amp;G2318&amp;", cot_prc_mediana = "&amp;H2318&amp;" WHERE cot_id = "&amp;A2318&amp;";"</f>
        <v>UPDATE COTACAO SET cot_id = 2317, cot_blt_id = 96, cot_pap_id = 7, cot_prc_comum = NULL, cot_prc_min =  96.00, cot_prc_max =  114.00, cot_prc_med =  105.00, cot_prc_mediana =  105.00 WHERE cot_id = 2317;</v>
      </c>
    </row>
    <row r="2319" customFormat="false" ht="14.25" hidden="false" customHeight="false" outlineLevel="0" collapsed="false">
      <c r="A2319" s="0" t="n">
        <v>2318</v>
      </c>
      <c r="B2319" s="0" t="n">
        <f aca="false">IF('Boletins Nuppa Site'!A2319&lt;&gt;0,'Boletins Nuppa Site'!A2319,"NULL")</f>
        <v>96</v>
      </c>
      <c r="C2319" s="0" t="n">
        <v>8</v>
      </c>
      <c r="D2319" s="0" t="str">
        <f aca="false">IF('Boletins Nuppa Site'!G2319&lt;&gt;0,'Boletins Nuppa Site'!G2319,"NULL")</f>
        <v>NULL</v>
      </c>
      <c r="E2319" s="30" t="str">
        <f aca="false">IF('Boletins Nuppa Site'!H2319&lt;&gt;0,'Boletins Nuppa Site'!H2319,"NULL")</f>
        <v> 120.00</v>
      </c>
      <c r="F2319" s="30" t="str">
        <f aca="false">IF('Boletins Nuppa Site'!I2319&lt;&gt;0,'Boletins Nuppa Site'!I2319,"NULL")</f>
        <v> 84.00</v>
      </c>
      <c r="G2319" s="30" t="str">
        <f aca="false">IF('Boletins Nuppa Site'!J2319&lt;&gt;0,'Boletins Nuppa Site'!J2319,"NULL")</f>
        <v> 100.00</v>
      </c>
      <c r="H2319" s="30" t="str">
        <f aca="false">IF('Boletins Nuppa Site'!K2319&lt;&gt;0,'Boletins Nuppa Site'!K2319,"NULL")</f>
        <v> 96.00</v>
      </c>
      <c r="I2319" s="0" t="str">
        <f aca="false">"INSERT INTO COTACAO (cot_id, cot_blt_id, cot_pap_id, cot_prc_comum, cot_prc_min, cot_prc_max, cot_prc_med, cot_prc_mediana) VALUES ("&amp;A2319&amp;", "&amp;B2319&amp;", "&amp;C2319&amp;", "&amp;D2319&amp;", "&amp;E2319&amp;", "&amp;F2319&amp;", "&amp;G2319&amp;", "&amp;H2319&amp;");"</f>
        <v>INSERT INTO COTACAO (cot_id, cot_blt_id, cot_pap_id, cot_prc_comum, cot_prc_min, cot_prc_max, cot_prc_med, cot_prc_mediana) VALUES (2318, 96, 8, NULL,  120.00,  84.00,  100.00,  96.00);</v>
      </c>
      <c r="J2319" s="0" t="str">
        <f aca="false">"UPDATE COTACAO SET cot_id = "&amp;A2319&amp;", cot_blt_id = "&amp;B2319&amp;", cot_pap_id = "&amp;C2319&amp;", cot_prc_comum = "&amp;D2319&amp;", cot_prc_min = "&amp;E2319&amp;", cot_prc_max = "&amp;F2319&amp;", cot_prc_med = "&amp;G2319&amp;", cot_prc_mediana = "&amp;H2319&amp;" WHERE cot_id = "&amp;A2319&amp;";"</f>
        <v>UPDATE COTACAO SET cot_id = 2318, cot_blt_id = 96, cot_pap_id = 8, cot_prc_comum = NULL, cot_prc_min =  120.00, cot_prc_max =  84.00, cot_prc_med =  100.00, cot_prc_mediana =  96.00 WHERE cot_id = 2318;</v>
      </c>
    </row>
    <row r="2320" customFormat="false" ht="14.25" hidden="false" customHeight="false" outlineLevel="0" collapsed="false">
      <c r="A2320" s="0" t="n">
        <v>2319</v>
      </c>
      <c r="B2320" s="0" t="n">
        <f aca="false">IF('Boletins Nuppa Site'!A2320&lt;&gt;0,'Boletins Nuppa Site'!A2320,"NULL")</f>
        <v>96</v>
      </c>
      <c r="C2320" s="0" t="n">
        <v>9</v>
      </c>
      <c r="D2320" s="0" t="str">
        <f aca="false">IF('Boletins Nuppa Site'!G2320&lt;&gt;0,'Boletins Nuppa Site'!G2320,"NULL")</f>
        <v>NULL</v>
      </c>
      <c r="E2320" s="30" t="str">
        <f aca="false">IF('Boletins Nuppa Site'!H2320&lt;&gt;0,'Boletins Nuppa Site'!H2320,"NULL")</f>
        <v> 24.00</v>
      </c>
      <c r="F2320" s="30" t="str">
        <f aca="false">IF('Boletins Nuppa Site'!I2320&lt;&gt;0,'Boletins Nuppa Site'!I2320,"NULL")</f>
        <v> 42.00</v>
      </c>
      <c r="G2320" s="30" t="str">
        <f aca="false">IF('Boletins Nuppa Site'!J2320&lt;&gt;0,'Boletins Nuppa Site'!J2320,"NULL")</f>
        <v> 32.00</v>
      </c>
      <c r="H2320" s="30" t="str">
        <f aca="false">IF('Boletins Nuppa Site'!K2320&lt;&gt;0,'Boletins Nuppa Site'!K2320,"NULL")</f>
        <v> 30.00</v>
      </c>
      <c r="I2320" s="0" t="str">
        <f aca="false">"INSERT INTO COTACAO (cot_id, cot_blt_id, cot_pap_id, cot_prc_comum, cot_prc_min, cot_prc_max, cot_prc_med, cot_prc_mediana) VALUES ("&amp;A2320&amp;", "&amp;B2320&amp;", "&amp;C2320&amp;", "&amp;D2320&amp;", "&amp;E2320&amp;", "&amp;F2320&amp;", "&amp;G2320&amp;", "&amp;H2320&amp;");"</f>
        <v>INSERT INTO COTACAO (cot_id, cot_blt_id, cot_pap_id, cot_prc_comum, cot_prc_min, cot_prc_max, cot_prc_med, cot_prc_mediana) VALUES (2319, 96, 9, NULL,  24.00,  42.00,  32.00,  30.00);</v>
      </c>
      <c r="J2320" s="0" t="str">
        <f aca="false">"UPDATE COTACAO SET cot_id = "&amp;A2320&amp;", cot_blt_id = "&amp;B2320&amp;", cot_pap_id = "&amp;C2320&amp;", cot_prc_comum = "&amp;D2320&amp;", cot_prc_min = "&amp;E2320&amp;", cot_prc_max = "&amp;F2320&amp;", cot_prc_med = "&amp;G2320&amp;", cot_prc_mediana = "&amp;H2320&amp;" WHERE cot_id = "&amp;A2320&amp;";"</f>
        <v>UPDATE COTACAO SET cot_id = 2319, cot_blt_id = 96, cot_pap_id = 9, cot_prc_comum = NULL, cot_prc_min =  24.00, cot_prc_max =  42.00, cot_prc_med =  32.00, cot_prc_mediana =  30.00 WHERE cot_id = 2319;</v>
      </c>
    </row>
    <row r="2321" customFormat="false" ht="14.25" hidden="false" customHeight="false" outlineLevel="0" collapsed="false">
      <c r="A2321" s="0" t="n">
        <v>2320</v>
      </c>
      <c r="B2321" s="0" t="n">
        <f aca="false">IF('Boletins Nuppa Site'!A2321&lt;&gt;0,'Boletins Nuppa Site'!A2321,"NULL")</f>
        <v>96</v>
      </c>
      <c r="C2321" s="0" t="n">
        <v>10</v>
      </c>
      <c r="D2321" s="0" t="str">
        <f aca="false">IF('Boletins Nuppa Site'!G2321&lt;&gt;0,'Boletins Nuppa Site'!G2321,"NULL")</f>
        <v>NULL</v>
      </c>
      <c r="E2321" s="30" t="str">
        <f aca="false">IF('Boletins Nuppa Site'!H2321&lt;&gt;0,'Boletins Nuppa Site'!H2321,"NULL")</f>
        <v> 96.00</v>
      </c>
      <c r="F2321" s="30" t="str">
        <f aca="false">IF('Boletins Nuppa Site'!I2321&lt;&gt;0,'Boletins Nuppa Site'!I2321,"NULL")</f>
        <v> 120.00</v>
      </c>
      <c r="G2321" s="30" t="str">
        <f aca="false">IF('Boletins Nuppa Site'!J2321&lt;&gt;0,'Boletins Nuppa Site'!J2321,"NULL")</f>
        <v> 108.00</v>
      </c>
      <c r="H2321" s="30" t="str">
        <f aca="false">IF('Boletins Nuppa Site'!K2321&lt;&gt;0,'Boletins Nuppa Site'!K2321,"NULL")</f>
        <v> 108.00</v>
      </c>
      <c r="I2321" s="0" t="str">
        <f aca="false">"INSERT INTO COTACAO (cot_id, cot_blt_id, cot_pap_id, cot_prc_comum, cot_prc_min, cot_prc_max, cot_prc_med, cot_prc_mediana) VALUES ("&amp;A2321&amp;", "&amp;B2321&amp;", "&amp;C2321&amp;", "&amp;D2321&amp;", "&amp;E2321&amp;", "&amp;F2321&amp;", "&amp;G2321&amp;", "&amp;H2321&amp;");"</f>
        <v>INSERT INTO COTACAO (cot_id, cot_blt_id, cot_pap_id, cot_prc_comum, cot_prc_min, cot_prc_max, cot_prc_med, cot_prc_mediana) VALUES (2320, 96, 10, NULL,  96.00,  120.00,  108.00,  108.00);</v>
      </c>
      <c r="J2321" s="0" t="str">
        <f aca="false">"UPDATE COTACAO SET cot_id = "&amp;A2321&amp;", cot_blt_id = "&amp;B2321&amp;", cot_pap_id = "&amp;C2321&amp;", cot_prc_comum = "&amp;D2321&amp;", cot_prc_min = "&amp;E2321&amp;", cot_prc_max = "&amp;F2321&amp;", cot_prc_med = "&amp;G2321&amp;", cot_prc_mediana = "&amp;H2321&amp;" WHERE cot_id = "&amp;A2321&amp;";"</f>
        <v>UPDATE COTACAO SET cot_id = 2320, cot_blt_id = 96, cot_pap_id = 10, cot_prc_comum = NULL, cot_prc_min =  96.00, cot_prc_max =  120.00, cot_prc_med =  108.00, cot_prc_mediana =  108.00 WHERE cot_id = 2320;</v>
      </c>
    </row>
    <row r="2322" customFormat="false" ht="14.25" hidden="false" customHeight="false" outlineLevel="0" collapsed="false">
      <c r="A2322" s="0" t="n">
        <v>2321</v>
      </c>
      <c r="B2322" s="0" t="n">
        <f aca="false">IF('Boletins Nuppa Site'!A2322&lt;&gt;0,'Boletins Nuppa Site'!A2322,"NULL")</f>
        <v>96</v>
      </c>
      <c r="C2322" s="0" t="n">
        <v>11</v>
      </c>
      <c r="D2322" s="0" t="str">
        <f aca="false">IF('Boletins Nuppa Site'!G2322&lt;&gt;0,'Boletins Nuppa Site'!G2322,"NULL")</f>
        <v> 30.00</v>
      </c>
      <c r="E2322" s="30" t="str">
        <f aca="false">IF('Boletins Nuppa Site'!H2322&lt;&gt;0,'Boletins Nuppa Site'!H2322,"NULL")</f>
        <v> 30.00</v>
      </c>
      <c r="F2322" s="30" t="str">
        <f aca="false">IF('Boletins Nuppa Site'!I2322&lt;&gt;0,'Boletins Nuppa Site'!I2322,"NULL")</f>
        <v> 33.00</v>
      </c>
      <c r="G2322" s="30" t="str">
        <f aca="false">IF('Boletins Nuppa Site'!J2322&lt;&gt;0,'Boletins Nuppa Site'!J2322,"NULL")</f>
        <v> 31.00</v>
      </c>
      <c r="H2322" s="30" t="str">
        <f aca="false">IF('Boletins Nuppa Site'!K2322&lt;&gt;0,'Boletins Nuppa Site'!K2322,"NULL")</f>
        <v> 30.00</v>
      </c>
      <c r="I2322" s="0" t="str">
        <f aca="false">"INSERT INTO COTACAO (cot_id, cot_blt_id, cot_pap_id, cot_prc_comum, cot_prc_min, cot_prc_max, cot_prc_med, cot_prc_mediana) VALUES ("&amp;A2322&amp;", "&amp;B2322&amp;", "&amp;C2322&amp;", "&amp;D2322&amp;", "&amp;E2322&amp;", "&amp;F2322&amp;", "&amp;G2322&amp;", "&amp;H2322&amp;");"</f>
        <v>INSERT INTO COTACAO (cot_id, cot_blt_id, cot_pap_id, cot_prc_comum, cot_prc_min, cot_prc_max, cot_prc_med, cot_prc_mediana) VALUES (2321, 96, 11,  30.00,  30.00,  33.00,  31.00,  30.00);</v>
      </c>
      <c r="J2322" s="0" t="str">
        <f aca="false">"UPDATE COTACAO SET cot_id = "&amp;A2322&amp;", cot_blt_id = "&amp;B2322&amp;", cot_pap_id = "&amp;C2322&amp;", cot_prc_comum = "&amp;D2322&amp;", cot_prc_min = "&amp;E2322&amp;", cot_prc_max = "&amp;F2322&amp;", cot_prc_med = "&amp;G2322&amp;", cot_prc_mediana = "&amp;H2322&amp;" WHERE cot_id = "&amp;A2322&amp;";"</f>
        <v>UPDATE COTACAO SET cot_id = 2321, cot_blt_id = 96, cot_pap_id = 11, cot_prc_comum =  30.00, cot_prc_min =  30.00, cot_prc_max =  33.00, cot_prc_med =  31.00, cot_prc_mediana =  30.00 WHERE cot_id = 2321;</v>
      </c>
    </row>
    <row r="2323" customFormat="false" ht="14.25" hidden="false" customHeight="false" outlineLevel="0" collapsed="false">
      <c r="A2323" s="0" t="n">
        <v>2322</v>
      </c>
      <c r="B2323" s="0" t="n">
        <f aca="false">IF('Boletins Nuppa Site'!A2323&lt;&gt;0,'Boletins Nuppa Site'!A2323,"NULL")</f>
        <v>96</v>
      </c>
      <c r="C2323" s="0" t="n">
        <v>12</v>
      </c>
      <c r="D2323" s="0" t="str">
        <f aca="false">IF('Boletins Nuppa Site'!G2323&lt;&gt;0,'Boletins Nuppa Site'!G2323,"NULL")</f>
        <v>NULL</v>
      </c>
      <c r="E2323" s="30" t="str">
        <f aca="false">IF('Boletins Nuppa Site'!H2323&lt;&gt;0,'Boletins Nuppa Site'!H2323,"NULL")</f>
        <v> 72.00</v>
      </c>
      <c r="F2323" s="30" t="str">
        <f aca="false">IF('Boletins Nuppa Site'!I2323&lt;&gt;0,'Boletins Nuppa Site'!I2323,"NULL")</f>
        <v> 96.00</v>
      </c>
      <c r="G2323" s="30" t="str">
        <f aca="false">IF('Boletins Nuppa Site'!J2323&lt;&gt;0,'Boletins Nuppa Site'!J2323,"NULL")</f>
        <v> 84.00</v>
      </c>
      <c r="H2323" s="30" t="str">
        <f aca="false">IF('Boletins Nuppa Site'!K2323&lt;&gt;0,'Boletins Nuppa Site'!K2323,"NULL")</f>
        <v> 84.00</v>
      </c>
      <c r="I2323" s="0" t="str">
        <f aca="false">"INSERT INTO COTACAO (cot_id, cot_blt_id, cot_pap_id, cot_prc_comum, cot_prc_min, cot_prc_max, cot_prc_med, cot_prc_mediana) VALUES ("&amp;A2323&amp;", "&amp;B2323&amp;", "&amp;C2323&amp;", "&amp;D2323&amp;", "&amp;E2323&amp;", "&amp;F2323&amp;", "&amp;G2323&amp;", "&amp;H2323&amp;");"</f>
        <v>INSERT INTO COTACAO (cot_id, cot_blt_id, cot_pap_id, cot_prc_comum, cot_prc_min, cot_prc_max, cot_prc_med, cot_prc_mediana) VALUES (2322, 96, 12, NULL,  72.00,  96.00,  84.00,  84.00);</v>
      </c>
      <c r="J2323" s="0" t="str">
        <f aca="false">"UPDATE COTACAO SET cot_id = "&amp;A2323&amp;", cot_blt_id = "&amp;B2323&amp;", cot_pap_id = "&amp;C2323&amp;", cot_prc_comum = "&amp;D2323&amp;", cot_prc_min = "&amp;E2323&amp;", cot_prc_max = "&amp;F2323&amp;", cot_prc_med = "&amp;G2323&amp;", cot_prc_mediana = "&amp;H2323&amp;" WHERE cot_id = "&amp;A2323&amp;";"</f>
        <v>UPDATE COTACAO SET cot_id = 2322, cot_blt_id = 96, cot_pap_id = 12, cot_prc_comum = NULL, cot_prc_min =  72.00, cot_prc_max =  96.00, cot_prc_med =  84.00, cot_prc_mediana =  84.00 WHERE cot_id = 2322;</v>
      </c>
    </row>
    <row r="2324" customFormat="false" ht="14.25" hidden="false" customHeight="false" outlineLevel="0" collapsed="false">
      <c r="A2324" s="0" t="n">
        <v>2323</v>
      </c>
      <c r="B2324" s="0" t="n">
        <f aca="false">IF('Boletins Nuppa Site'!A2324&lt;&gt;0,'Boletins Nuppa Site'!A2324,"NULL")</f>
        <v>96</v>
      </c>
      <c r="C2324" s="0" t="n">
        <v>13</v>
      </c>
      <c r="D2324" s="0" t="str">
        <f aca="false">IF('Boletins Nuppa Site'!G2324&lt;&gt;0,'Boletins Nuppa Site'!G2324,"NULL")</f>
        <v> 60.00</v>
      </c>
      <c r="E2324" s="30" t="str">
        <f aca="false">IF('Boletins Nuppa Site'!H2324&lt;&gt;0,'Boletins Nuppa Site'!H2324,"NULL")</f>
        <v> 60.00</v>
      </c>
      <c r="F2324" s="30" t="str">
        <f aca="false">IF('Boletins Nuppa Site'!I2324&lt;&gt;0,'Boletins Nuppa Site'!I2324,"NULL")</f>
        <v> 72.00</v>
      </c>
      <c r="G2324" s="30" t="str">
        <f aca="false">IF('Boletins Nuppa Site'!J2324&lt;&gt;0,'Boletins Nuppa Site'!J2324,"NULL")</f>
        <v> 64.00</v>
      </c>
      <c r="H2324" s="30" t="str">
        <f aca="false">IF('Boletins Nuppa Site'!K2324&lt;&gt;0,'Boletins Nuppa Site'!K2324,"NULL")</f>
        <v> 60.00</v>
      </c>
      <c r="I2324" s="0" t="str">
        <f aca="false">"INSERT INTO COTACAO (cot_id, cot_blt_id, cot_pap_id, cot_prc_comum, cot_prc_min, cot_prc_max, cot_prc_med, cot_prc_mediana) VALUES ("&amp;A2324&amp;", "&amp;B2324&amp;", "&amp;C2324&amp;", "&amp;D2324&amp;", "&amp;E2324&amp;", "&amp;F2324&amp;", "&amp;G2324&amp;", "&amp;H2324&amp;");"</f>
        <v>INSERT INTO COTACAO (cot_id, cot_blt_id, cot_pap_id, cot_prc_comum, cot_prc_min, cot_prc_max, cot_prc_med, cot_prc_mediana) VALUES (2323, 96, 13,  60.00,  60.00,  72.00,  64.00,  60.00);</v>
      </c>
      <c r="J2324" s="0" t="str">
        <f aca="false">"UPDATE COTACAO SET cot_id = "&amp;A2324&amp;", cot_blt_id = "&amp;B2324&amp;", cot_pap_id = "&amp;C2324&amp;", cot_prc_comum = "&amp;D2324&amp;", cot_prc_min = "&amp;E2324&amp;", cot_prc_max = "&amp;F2324&amp;", cot_prc_med = "&amp;G2324&amp;", cot_prc_mediana = "&amp;H2324&amp;" WHERE cot_id = "&amp;A2324&amp;";"</f>
        <v>UPDATE COTACAO SET cot_id = 2323, cot_blt_id = 96, cot_pap_id = 13, cot_prc_comum =  60.00, cot_prc_min =  60.00, cot_prc_max =  72.00, cot_prc_med =  64.00, cot_prc_mediana =  60.00 WHERE cot_id = 2323;</v>
      </c>
    </row>
    <row r="2325" customFormat="false" ht="14.25" hidden="false" customHeight="false" outlineLevel="0" collapsed="false">
      <c r="A2325" s="0" t="n">
        <v>2324</v>
      </c>
      <c r="B2325" s="0" t="n">
        <f aca="false">IF('Boletins Nuppa Site'!A2325&lt;&gt;0,'Boletins Nuppa Site'!A2325,"NULL")</f>
        <v>96</v>
      </c>
      <c r="C2325" s="0" t="n">
        <v>14</v>
      </c>
      <c r="D2325" s="0" t="str">
        <f aca="false">IF('Boletins Nuppa Site'!G2325&lt;&gt;0,'Boletins Nuppa Site'!G2325,"NULL")</f>
        <v>NULL</v>
      </c>
      <c r="E2325" s="30" t="str">
        <f aca="false">IF('Boletins Nuppa Site'!H2325&lt;&gt;0,'Boletins Nuppa Site'!H2325,"NULL")</f>
        <v> 96.00</v>
      </c>
      <c r="F2325" s="30" t="str">
        <f aca="false">IF('Boletins Nuppa Site'!I2325&lt;&gt;0,'Boletins Nuppa Site'!I2325,"NULL")</f>
        <v> 84.00</v>
      </c>
      <c r="G2325" s="30" t="str">
        <f aca="false">IF('Boletins Nuppa Site'!J2325&lt;&gt;0,'Boletins Nuppa Site'!J2325,"NULL")</f>
        <v> 90.00</v>
      </c>
      <c r="H2325" s="30" t="str">
        <f aca="false">IF('Boletins Nuppa Site'!K2325&lt;&gt;0,'Boletins Nuppa Site'!K2325,"NULL")</f>
        <v> 90.00</v>
      </c>
      <c r="I2325" s="0" t="str">
        <f aca="false">"INSERT INTO COTACAO (cot_id, cot_blt_id, cot_pap_id, cot_prc_comum, cot_prc_min, cot_prc_max, cot_prc_med, cot_prc_mediana) VALUES ("&amp;A2325&amp;", "&amp;B2325&amp;", "&amp;C2325&amp;", "&amp;D2325&amp;", "&amp;E2325&amp;", "&amp;F2325&amp;", "&amp;G2325&amp;", "&amp;H2325&amp;");"</f>
        <v>INSERT INTO COTACAO (cot_id, cot_blt_id, cot_pap_id, cot_prc_comum, cot_prc_min, cot_prc_max, cot_prc_med, cot_prc_mediana) VALUES (2324, 96, 14, NULL,  96.00,  84.00,  90.00,  90.00);</v>
      </c>
      <c r="J2325" s="0" t="str">
        <f aca="false">"UPDATE COTACAO SET cot_id = "&amp;A2325&amp;", cot_blt_id = "&amp;B2325&amp;", cot_pap_id = "&amp;C2325&amp;", cot_prc_comum = "&amp;D2325&amp;", cot_prc_min = "&amp;E2325&amp;", cot_prc_max = "&amp;F2325&amp;", cot_prc_med = "&amp;G2325&amp;", cot_prc_mediana = "&amp;H2325&amp;" WHERE cot_id = "&amp;A2325&amp;";"</f>
        <v>UPDATE COTACAO SET cot_id = 2324, cot_blt_id = 96, cot_pap_id = 14, cot_prc_comum = NULL, cot_prc_min =  96.00, cot_prc_max =  84.00, cot_prc_med =  90.00, cot_prc_mediana =  90.00 WHERE cot_id = 2324;</v>
      </c>
    </row>
    <row r="2326" customFormat="false" ht="14.25" hidden="false" customHeight="false" outlineLevel="0" collapsed="false">
      <c r="A2326" s="0" t="n">
        <v>2325</v>
      </c>
      <c r="B2326" s="0" t="n">
        <f aca="false">IF('Boletins Nuppa Site'!A2326&lt;&gt;0,'Boletins Nuppa Site'!A2326,"NULL")</f>
        <v>96</v>
      </c>
      <c r="C2326" s="0" t="n">
        <v>15</v>
      </c>
      <c r="D2326" s="0" t="str">
        <f aca="false">IF('Boletins Nuppa Site'!G2326&lt;&gt;0,'Boletins Nuppa Site'!G2326,"NULL")</f>
        <v>NULL</v>
      </c>
      <c r="E2326" s="30" t="str">
        <f aca="false">IF('Boletins Nuppa Site'!H2326&lt;&gt;0,'Boletins Nuppa Site'!H2326,"NULL")</f>
        <v> 45.00</v>
      </c>
      <c r="F2326" s="30" t="str">
        <f aca="false">IF('Boletins Nuppa Site'!I2326&lt;&gt;0,'Boletins Nuppa Site'!I2326,"NULL")</f>
        <v> 84.00</v>
      </c>
      <c r="G2326" s="30" t="str">
        <f aca="false">IF('Boletins Nuppa Site'!J2326&lt;&gt;0,'Boletins Nuppa Site'!J2326,"NULL")</f>
        <v> 75.00</v>
      </c>
      <c r="H2326" s="30" t="str">
        <f aca="false">IF('Boletins Nuppa Site'!K2326&lt;&gt;0,'Boletins Nuppa Site'!K2326,"NULL")</f>
        <v> 68.00</v>
      </c>
      <c r="I2326" s="0" t="str">
        <f aca="false">"INSERT INTO COTACAO (cot_id, cot_blt_id, cot_pap_id, cot_prc_comum, cot_prc_min, cot_prc_max, cot_prc_med, cot_prc_mediana) VALUES ("&amp;A2326&amp;", "&amp;B2326&amp;", "&amp;C2326&amp;", "&amp;D2326&amp;", "&amp;E2326&amp;", "&amp;F2326&amp;", "&amp;G2326&amp;", "&amp;H2326&amp;");"</f>
        <v>INSERT INTO COTACAO (cot_id, cot_blt_id, cot_pap_id, cot_prc_comum, cot_prc_min, cot_prc_max, cot_prc_med, cot_prc_mediana) VALUES (2325, 96, 15, NULL,  45.00,  84.00,  75.00,  68.00);</v>
      </c>
      <c r="J2326" s="0" t="str">
        <f aca="false">"UPDATE COTACAO SET cot_id = "&amp;A2326&amp;", cot_blt_id = "&amp;B2326&amp;", cot_pap_id = "&amp;C2326&amp;", cot_prc_comum = "&amp;D2326&amp;", cot_prc_min = "&amp;E2326&amp;", cot_prc_max = "&amp;F2326&amp;", cot_prc_med = "&amp;G2326&amp;", cot_prc_mediana = "&amp;H2326&amp;" WHERE cot_id = "&amp;A2326&amp;";"</f>
        <v>UPDATE COTACAO SET cot_id = 2325, cot_blt_id = 96, cot_pap_id = 15, cot_prc_comum = NULL, cot_prc_min =  45.00, cot_prc_max =  84.00, cot_prc_med =  75.00, cot_prc_mediana =  68.00 WHERE cot_id = 2325;</v>
      </c>
    </row>
    <row r="2327" customFormat="false" ht="14.25" hidden="false" customHeight="false" outlineLevel="0" collapsed="false">
      <c r="A2327" s="0" t="n">
        <v>2326</v>
      </c>
      <c r="B2327" s="0" t="n">
        <f aca="false">IF('Boletins Nuppa Site'!A2327&lt;&gt;0,'Boletins Nuppa Site'!A2327,"NULL")</f>
        <v>96</v>
      </c>
      <c r="C2327" s="0" t="n">
        <v>16</v>
      </c>
      <c r="D2327" s="0" t="str">
        <f aca="false">IF('Boletins Nuppa Site'!G2327&lt;&gt;0,'Boletins Nuppa Site'!G2327,"NULL")</f>
        <v> 60.00</v>
      </c>
      <c r="E2327" s="30" t="str">
        <f aca="false">IF('Boletins Nuppa Site'!H2327&lt;&gt;0,'Boletins Nuppa Site'!H2327,"NULL")</f>
        <v> 60.00</v>
      </c>
      <c r="F2327" s="30" t="str">
        <f aca="false">IF('Boletins Nuppa Site'!I2327&lt;&gt;0,'Boletins Nuppa Site'!I2327,"NULL")</f>
        <v> 60.00</v>
      </c>
      <c r="G2327" s="30" t="str">
        <f aca="false">IF('Boletins Nuppa Site'!J2327&lt;&gt;0,'Boletins Nuppa Site'!J2327,"NULL")</f>
        <v> 60.00</v>
      </c>
      <c r="H2327" s="30" t="str">
        <f aca="false">IF('Boletins Nuppa Site'!K2327&lt;&gt;0,'Boletins Nuppa Site'!K2327,"NULL")</f>
        <v> 60.00</v>
      </c>
      <c r="I2327" s="0" t="str">
        <f aca="false">"INSERT INTO COTACAO (cot_id, cot_blt_id, cot_pap_id, cot_prc_comum, cot_prc_min, cot_prc_max, cot_prc_med, cot_prc_mediana) VALUES ("&amp;A2327&amp;", "&amp;B2327&amp;", "&amp;C2327&amp;", "&amp;D2327&amp;", "&amp;E2327&amp;", "&amp;F2327&amp;", "&amp;G2327&amp;", "&amp;H2327&amp;");"</f>
        <v>INSERT INTO COTACAO (cot_id, cot_blt_id, cot_pap_id, cot_prc_comum, cot_prc_min, cot_prc_max, cot_prc_med, cot_prc_mediana) VALUES (2326, 96, 16,  60.00,  60.00,  60.00,  60.00,  60.00);</v>
      </c>
      <c r="J2327" s="0" t="str">
        <f aca="false">"UPDATE COTACAO SET cot_id = "&amp;A2327&amp;", cot_blt_id = "&amp;B2327&amp;", cot_pap_id = "&amp;C2327&amp;", cot_prc_comum = "&amp;D2327&amp;", cot_prc_min = "&amp;E2327&amp;", cot_prc_max = "&amp;F2327&amp;", cot_prc_med = "&amp;G2327&amp;", cot_prc_mediana = "&amp;H2327&amp;" WHERE cot_id = "&amp;A2327&amp;";"</f>
        <v>UPDATE COTACAO SET cot_id = 2326, cot_blt_id = 96, cot_pap_id = 16, cot_prc_comum =  60.00, cot_prc_min =  60.00, cot_prc_max =  60.00, cot_prc_med =  60.00, cot_prc_mediana =  60.00 WHERE cot_id = 2326;</v>
      </c>
    </row>
    <row r="2328" customFormat="false" ht="14.25" hidden="false" customHeight="false" outlineLevel="0" collapsed="false">
      <c r="A2328" s="0" t="n">
        <v>2327</v>
      </c>
      <c r="B2328" s="0" t="n">
        <f aca="false">IF('Boletins Nuppa Site'!A2328&lt;&gt;0,'Boletins Nuppa Site'!A2328,"NULL")</f>
        <v>96</v>
      </c>
      <c r="C2328" s="0" t="n">
        <v>17</v>
      </c>
      <c r="D2328" s="0" t="str">
        <f aca="false">IF('Boletins Nuppa Site'!G2328&lt;&gt;0,'Boletins Nuppa Site'!G2328,"NULL")</f>
        <v> 5.50</v>
      </c>
      <c r="E2328" s="30" t="str">
        <f aca="false">IF('Boletins Nuppa Site'!H2328&lt;&gt;0,'Boletins Nuppa Site'!H2328,"NULL")</f>
        <v> 5.00</v>
      </c>
      <c r="F2328" s="30" t="str">
        <f aca="false">IF('Boletins Nuppa Site'!I2328&lt;&gt;0,'Boletins Nuppa Site'!I2328,"NULL")</f>
        <v> 5.00</v>
      </c>
      <c r="G2328" s="30" t="str">
        <f aca="false">IF('Boletins Nuppa Site'!J2328&lt;&gt;0,'Boletins Nuppa Site'!J2328,"NULL")</f>
        <v> 5.00</v>
      </c>
      <c r="H2328" s="30" t="str">
        <f aca="false">IF('Boletins Nuppa Site'!K2328&lt;&gt;0,'Boletins Nuppa Site'!K2328,"NULL")</f>
        <v> 5.17</v>
      </c>
      <c r="I2328" s="0" t="str">
        <f aca="false">"INSERT INTO COTACAO (cot_id, cot_blt_id, cot_pap_id, cot_prc_comum, cot_prc_min, cot_prc_max, cot_prc_med, cot_prc_mediana) VALUES ("&amp;A2328&amp;", "&amp;B2328&amp;", "&amp;C2328&amp;", "&amp;D2328&amp;", "&amp;E2328&amp;", "&amp;F2328&amp;", "&amp;G2328&amp;", "&amp;H2328&amp;");"</f>
        <v>INSERT INTO COTACAO (cot_id, cot_blt_id, cot_pap_id, cot_prc_comum, cot_prc_min, cot_prc_max, cot_prc_med, cot_prc_mediana) VALUES (2327, 96, 17,  5.50,  5.00,  5.00,  5.00,  5.17);</v>
      </c>
      <c r="J2328" s="0" t="str">
        <f aca="false">"UPDATE COTACAO SET cot_id = "&amp;A2328&amp;", cot_blt_id = "&amp;B2328&amp;", cot_pap_id = "&amp;C2328&amp;", cot_prc_comum = "&amp;D2328&amp;", cot_prc_min = "&amp;E2328&amp;", cot_prc_max = "&amp;F2328&amp;", cot_prc_med = "&amp;G2328&amp;", cot_prc_mediana = "&amp;H2328&amp;" WHERE cot_id = "&amp;A2328&amp;";"</f>
        <v>UPDATE COTACAO SET cot_id = 2327, cot_blt_id = 96, cot_pap_id = 17, cot_prc_comum =  5.50, cot_prc_min =  5.00, cot_prc_max =  5.00, cot_prc_med =  5.00, cot_prc_mediana =  5.17 WHERE cot_id = 2327;</v>
      </c>
    </row>
    <row r="2329" customFormat="false" ht="14.25" hidden="false" customHeight="false" outlineLevel="0" collapsed="false">
      <c r="A2329" s="0" t="n">
        <v>2328</v>
      </c>
      <c r="B2329" s="0" t="n">
        <f aca="false">IF('Boletins Nuppa Site'!A2329&lt;&gt;0,'Boletins Nuppa Site'!A2329,"NULL")</f>
        <v>96</v>
      </c>
      <c r="C2329" s="0" t="n">
        <v>18</v>
      </c>
      <c r="D2329" s="0" t="str">
        <f aca="false">IF('Boletins Nuppa Site'!G2329&lt;&gt;0,'Boletins Nuppa Site'!G2329,"NULL")</f>
        <v> 45.00</v>
      </c>
      <c r="E2329" s="30" t="str">
        <f aca="false">IF('Boletins Nuppa Site'!H2329&lt;&gt;0,'Boletins Nuppa Site'!H2329,"NULL")</f>
        <v> 38.00</v>
      </c>
      <c r="F2329" s="30" t="str">
        <f aca="false">IF('Boletins Nuppa Site'!I2329&lt;&gt;0,'Boletins Nuppa Site'!I2329,"NULL")</f>
        <v> 45.00</v>
      </c>
      <c r="G2329" s="30" t="str">
        <f aca="false">IF('Boletins Nuppa Site'!J2329&lt;&gt;0,'Boletins Nuppa Site'!J2329,"NULL")</f>
        <v> 45.00</v>
      </c>
      <c r="H2329" s="30" t="str">
        <f aca="false">IF('Boletins Nuppa Site'!K2329&lt;&gt;0,'Boletins Nuppa Site'!K2329,"NULL")</f>
        <v> 42.67</v>
      </c>
      <c r="I2329" s="0" t="str">
        <f aca="false">"INSERT INTO COTACAO (cot_id, cot_blt_id, cot_pap_id, cot_prc_comum, cot_prc_min, cot_prc_max, cot_prc_med, cot_prc_mediana) VALUES ("&amp;A2329&amp;", "&amp;B2329&amp;", "&amp;C2329&amp;", "&amp;D2329&amp;", "&amp;E2329&amp;", "&amp;F2329&amp;", "&amp;G2329&amp;", "&amp;H2329&amp;");"</f>
        <v>INSERT INTO COTACAO (cot_id, cot_blt_id, cot_pap_id, cot_prc_comum, cot_prc_min, cot_prc_max, cot_prc_med, cot_prc_mediana) VALUES (2328, 96, 18,  45.00,  38.00,  45.00,  45.00,  42.67);</v>
      </c>
      <c r="J2329" s="0" t="str">
        <f aca="false">"UPDATE COTACAO SET cot_id = "&amp;A2329&amp;", cot_blt_id = "&amp;B2329&amp;", cot_pap_id = "&amp;C2329&amp;", cot_prc_comum = "&amp;D2329&amp;", cot_prc_min = "&amp;E2329&amp;", cot_prc_max = "&amp;F2329&amp;", cot_prc_med = "&amp;G2329&amp;", cot_prc_mediana = "&amp;H2329&amp;" WHERE cot_id = "&amp;A2329&amp;";"</f>
        <v>UPDATE COTACAO SET cot_id = 2328, cot_blt_id = 96, cot_pap_id = 18, cot_prc_comum =  45.00, cot_prc_min =  38.00, cot_prc_max =  45.00, cot_prc_med =  45.00, cot_prc_mediana =  42.67 WHERE cot_id = 2328;</v>
      </c>
    </row>
    <row r="2330" customFormat="false" ht="14.25" hidden="false" customHeight="false" outlineLevel="0" collapsed="false">
      <c r="A2330" s="0" t="n">
        <v>2329</v>
      </c>
      <c r="B2330" s="0" t="n">
        <f aca="false">IF('Boletins Nuppa Site'!A2330&lt;&gt;0,'Boletins Nuppa Site'!A2330,"NULL")</f>
        <v>96</v>
      </c>
      <c r="C2330" s="0" t="n">
        <v>19</v>
      </c>
      <c r="D2330" s="0" t="str">
        <f aca="false">IF('Boletins Nuppa Site'!G2330&lt;&gt;0,'Boletins Nuppa Site'!G2330,"NULL")</f>
        <v>NULL</v>
      </c>
      <c r="E2330" s="30" t="str">
        <f aca="false">IF('Boletins Nuppa Site'!H2330&lt;&gt;0,'Boletins Nuppa Site'!H2330,"NULL")</f>
        <v> 25.00</v>
      </c>
      <c r="F2330" s="30" t="str">
        <f aca="false">IF('Boletins Nuppa Site'!I2330&lt;&gt;0,'Boletins Nuppa Site'!I2330,"NULL")</f>
        <v> 40.00</v>
      </c>
      <c r="G2330" s="30" t="str">
        <f aca="false">IF('Boletins Nuppa Site'!J2330&lt;&gt;0,'Boletins Nuppa Site'!J2330,"NULL")</f>
        <v> 33.33</v>
      </c>
      <c r="H2330" s="30" t="str">
        <f aca="false">IF('Boletins Nuppa Site'!K2330&lt;&gt;0,'Boletins Nuppa Site'!K2330,"NULL")</f>
        <v> 35.00</v>
      </c>
      <c r="I2330" s="0" t="str">
        <f aca="false">"INSERT INTO COTACAO (cot_id, cot_blt_id, cot_pap_id, cot_prc_comum, cot_prc_min, cot_prc_max, cot_prc_med, cot_prc_mediana) VALUES ("&amp;A2330&amp;", "&amp;B2330&amp;", "&amp;C2330&amp;", "&amp;D2330&amp;", "&amp;E2330&amp;", "&amp;F2330&amp;", "&amp;G2330&amp;", "&amp;H2330&amp;");"</f>
        <v>INSERT INTO COTACAO (cot_id, cot_blt_id, cot_pap_id, cot_prc_comum, cot_prc_min, cot_prc_max, cot_prc_med, cot_prc_mediana) VALUES (2329, 96, 19, NULL,  25.00,  40.00,  33.33,  35.00);</v>
      </c>
      <c r="J2330" s="0" t="str">
        <f aca="false">"UPDATE COTACAO SET cot_id = "&amp;A2330&amp;", cot_blt_id = "&amp;B2330&amp;", cot_pap_id = "&amp;C2330&amp;", cot_prc_comum = "&amp;D2330&amp;", cot_prc_min = "&amp;E2330&amp;", cot_prc_max = "&amp;F2330&amp;", cot_prc_med = "&amp;G2330&amp;", cot_prc_mediana = "&amp;H2330&amp;" WHERE cot_id = "&amp;A2330&amp;";"</f>
        <v>UPDATE COTACAO SET cot_id = 2329, cot_blt_id = 96, cot_pap_id = 19, cot_prc_comum = NULL, cot_prc_min =  25.00, cot_prc_max =  40.00, cot_prc_med =  33.33, cot_prc_mediana =  35.00 WHERE cot_id = 2329;</v>
      </c>
    </row>
    <row r="2331" customFormat="false" ht="14.25" hidden="false" customHeight="false" outlineLevel="0" collapsed="false">
      <c r="A2331" s="0" t="n">
        <v>2330</v>
      </c>
      <c r="B2331" s="0" t="n">
        <f aca="false">IF('Boletins Nuppa Site'!A2331&lt;&gt;0,'Boletins Nuppa Site'!A2331,"NULL")</f>
        <v>96</v>
      </c>
      <c r="C2331" s="0" t="n">
        <v>20</v>
      </c>
      <c r="D2331" s="0" t="str">
        <f aca="false">IF('Boletins Nuppa Site'!G2331&lt;&gt;0,'Boletins Nuppa Site'!G2331,"NULL")</f>
        <v>NULL</v>
      </c>
      <c r="E2331" s="30" t="str">
        <f aca="false">IF('Boletins Nuppa Site'!H2331&lt;&gt;0,'Boletins Nuppa Site'!H2331,"NULL")</f>
        <v> 60.00</v>
      </c>
      <c r="F2331" s="30" t="str">
        <f aca="false">IF('Boletins Nuppa Site'!I2331&lt;&gt;0,'Boletins Nuppa Site'!I2331,"NULL")</f>
        <v> 55.00</v>
      </c>
      <c r="G2331" s="30" t="str">
        <f aca="false">IF('Boletins Nuppa Site'!J2331&lt;&gt;0,'Boletins Nuppa Site'!J2331,"NULL")</f>
        <v> 57.50</v>
      </c>
      <c r="H2331" s="30" t="str">
        <f aca="false">IF('Boletins Nuppa Site'!K2331&lt;&gt;0,'Boletins Nuppa Site'!K2331,"NULL")</f>
        <v> 57.50</v>
      </c>
      <c r="I2331" s="0" t="str">
        <f aca="false">"INSERT INTO COTACAO (cot_id, cot_blt_id, cot_pap_id, cot_prc_comum, cot_prc_min, cot_prc_max, cot_prc_med, cot_prc_mediana) VALUES ("&amp;A2331&amp;", "&amp;B2331&amp;", "&amp;C2331&amp;", "&amp;D2331&amp;", "&amp;E2331&amp;", "&amp;F2331&amp;", "&amp;G2331&amp;", "&amp;H2331&amp;");"</f>
        <v>INSERT INTO COTACAO (cot_id, cot_blt_id, cot_pap_id, cot_prc_comum, cot_prc_min, cot_prc_max, cot_prc_med, cot_prc_mediana) VALUES (2330, 96, 20, NULL,  60.00,  55.00,  57.50,  57.50);</v>
      </c>
      <c r="J2331" s="0" t="str">
        <f aca="false">"UPDATE COTACAO SET cot_id = "&amp;A2331&amp;", cot_blt_id = "&amp;B2331&amp;", cot_pap_id = "&amp;C2331&amp;", cot_prc_comum = "&amp;D2331&amp;", cot_prc_min = "&amp;E2331&amp;", cot_prc_max = "&amp;F2331&amp;", cot_prc_med = "&amp;G2331&amp;", cot_prc_mediana = "&amp;H2331&amp;" WHERE cot_id = "&amp;A2331&amp;";"</f>
        <v>UPDATE COTACAO SET cot_id = 2330, cot_blt_id = 96, cot_pap_id = 20, cot_prc_comum = NULL, cot_prc_min =  60.00, cot_prc_max =  55.00, cot_prc_med =  57.50, cot_prc_mediana =  57.50 WHERE cot_id = 2330;</v>
      </c>
    </row>
    <row r="2332" customFormat="false" ht="14.25" hidden="false" customHeight="false" outlineLevel="0" collapsed="false">
      <c r="A2332" s="0" t="n">
        <v>2331</v>
      </c>
      <c r="B2332" s="0" t="n">
        <f aca="false">IF('Boletins Nuppa Site'!A2332&lt;&gt;0,'Boletins Nuppa Site'!A2332,"NULL")</f>
        <v>96</v>
      </c>
      <c r="C2332" s="0" t="n">
        <v>21</v>
      </c>
      <c r="D2332" s="0" t="str">
        <f aca="false">IF('Boletins Nuppa Site'!G2332&lt;&gt;0,'Boletins Nuppa Site'!G2332,"NULL")</f>
        <v> 70.00</v>
      </c>
      <c r="E2332" s="30" t="str">
        <f aca="false">IF('Boletins Nuppa Site'!H2332&lt;&gt;0,'Boletins Nuppa Site'!H2332,"NULL")</f>
        <v> 70.00</v>
      </c>
      <c r="F2332" s="30" t="str">
        <f aca="false">IF('Boletins Nuppa Site'!I2332&lt;&gt;0,'Boletins Nuppa Site'!I2332,"NULL")</f>
        <v> 75.00</v>
      </c>
      <c r="G2332" s="30" t="str">
        <f aca="false">IF('Boletins Nuppa Site'!J2332&lt;&gt;0,'Boletins Nuppa Site'!J2332,"NULL")</f>
        <v> 70.00</v>
      </c>
      <c r="H2332" s="30" t="str">
        <f aca="false">IF('Boletins Nuppa Site'!K2332&lt;&gt;0,'Boletins Nuppa Site'!K2332,"NULL")</f>
        <v> 71.67</v>
      </c>
      <c r="I2332" s="0" t="str">
        <f aca="false">"INSERT INTO COTACAO (cot_id, cot_blt_id, cot_pap_id, cot_prc_comum, cot_prc_min, cot_prc_max, cot_prc_med, cot_prc_mediana) VALUES ("&amp;A2332&amp;", "&amp;B2332&amp;", "&amp;C2332&amp;", "&amp;D2332&amp;", "&amp;E2332&amp;", "&amp;F2332&amp;", "&amp;G2332&amp;", "&amp;H2332&amp;");"</f>
        <v>INSERT INTO COTACAO (cot_id, cot_blt_id, cot_pap_id, cot_prc_comum, cot_prc_min, cot_prc_max, cot_prc_med, cot_prc_mediana) VALUES (2331, 96, 21,  70.00,  70.00,  75.00,  70.00,  71.67);</v>
      </c>
      <c r="J2332" s="0" t="str">
        <f aca="false">"UPDATE COTACAO SET cot_id = "&amp;A2332&amp;", cot_blt_id = "&amp;B2332&amp;", cot_pap_id = "&amp;C2332&amp;", cot_prc_comum = "&amp;D2332&amp;", cot_prc_min = "&amp;E2332&amp;", cot_prc_max = "&amp;F2332&amp;", cot_prc_med = "&amp;G2332&amp;", cot_prc_mediana = "&amp;H2332&amp;" WHERE cot_id = "&amp;A2332&amp;";"</f>
        <v>UPDATE COTACAO SET cot_id = 2331, cot_blt_id = 96, cot_pap_id = 21, cot_prc_comum =  70.00, cot_prc_min =  70.00, cot_prc_max =  75.00, cot_prc_med =  70.00, cot_prc_mediana =  71.67 WHERE cot_id = 2331;</v>
      </c>
    </row>
    <row r="2333" customFormat="false" ht="14.25" hidden="false" customHeight="false" outlineLevel="0" collapsed="false">
      <c r="A2333" s="0" t="n">
        <v>2332</v>
      </c>
      <c r="B2333" s="0" t="n">
        <f aca="false">IF('Boletins Nuppa Site'!A2333&lt;&gt;0,'Boletins Nuppa Site'!A2333,"NULL")</f>
        <v>96</v>
      </c>
      <c r="C2333" s="0" t="n">
        <v>22</v>
      </c>
      <c r="D2333" s="0" t="str">
        <f aca="false">IF('Boletins Nuppa Site'!G2333&lt;&gt;0,'Boletins Nuppa Site'!G2333,"NULL")</f>
        <v>NULL</v>
      </c>
      <c r="E2333" s="30" t="str">
        <f aca="false">IF('Boletins Nuppa Site'!H2333&lt;&gt;0,'Boletins Nuppa Site'!H2333,"NULL")</f>
        <v> 45.00</v>
      </c>
      <c r="F2333" s="30" t="str">
        <f aca="false">IF('Boletins Nuppa Site'!I2333&lt;&gt;0,'Boletins Nuppa Site'!I2333,"NULL")</f>
        <v> 70.00</v>
      </c>
      <c r="G2333" s="30" t="str">
        <f aca="false">IF('Boletins Nuppa Site'!J2333&lt;&gt;0,'Boletins Nuppa Site'!J2333,"NULL")</f>
        <v> 60.00</v>
      </c>
      <c r="H2333" s="30" t="str">
        <f aca="false">IF('Boletins Nuppa Site'!K2333&lt;&gt;0,'Boletins Nuppa Site'!K2333,"NULL")</f>
        <v> 65.00</v>
      </c>
      <c r="I2333" s="0" t="str">
        <f aca="false">"INSERT INTO COTACAO (cot_id, cot_blt_id, cot_pap_id, cot_prc_comum, cot_prc_min, cot_prc_max, cot_prc_med, cot_prc_mediana) VALUES ("&amp;A2333&amp;", "&amp;B2333&amp;", "&amp;C2333&amp;", "&amp;D2333&amp;", "&amp;E2333&amp;", "&amp;F2333&amp;", "&amp;G2333&amp;", "&amp;H2333&amp;");"</f>
        <v>INSERT INTO COTACAO (cot_id, cot_blt_id, cot_pap_id, cot_prc_comum, cot_prc_min, cot_prc_max, cot_prc_med, cot_prc_mediana) VALUES (2332, 96, 22, NULL,  45.00,  70.00,  60.00,  65.00);</v>
      </c>
      <c r="J2333" s="0" t="str">
        <f aca="false">"UPDATE COTACAO SET cot_id = "&amp;A2333&amp;", cot_blt_id = "&amp;B2333&amp;", cot_pap_id = "&amp;C2333&amp;", cot_prc_comum = "&amp;D2333&amp;", cot_prc_min = "&amp;E2333&amp;", cot_prc_max = "&amp;F2333&amp;", cot_prc_med = "&amp;G2333&amp;", cot_prc_mediana = "&amp;H2333&amp;" WHERE cot_id = "&amp;A2333&amp;";"</f>
        <v>UPDATE COTACAO SET cot_id = 2332, cot_blt_id = 96, cot_pap_id = 22, cot_prc_comum = NULL, cot_prc_min =  45.00, cot_prc_max =  70.00, cot_prc_med =  60.00, cot_prc_mediana =  65.00 WHERE cot_id = 2332;</v>
      </c>
    </row>
    <row r="2334" customFormat="false" ht="14.25" hidden="false" customHeight="false" outlineLevel="0" collapsed="false">
      <c r="A2334" s="0" t="n">
        <v>2333</v>
      </c>
      <c r="B2334" s="0" t="n">
        <f aca="false">IF('Boletins Nuppa Site'!A2334&lt;&gt;0,'Boletins Nuppa Site'!A2334,"NULL")</f>
        <v>96</v>
      </c>
      <c r="C2334" s="0" t="n">
        <v>23</v>
      </c>
      <c r="D2334" s="0" t="str">
        <f aca="false">IF('Boletins Nuppa Site'!G2334&lt;&gt;0,'Boletins Nuppa Site'!G2334,"NULL")</f>
        <v>NULL</v>
      </c>
      <c r="E2334" s="30" t="str">
        <f aca="false">IF('Boletins Nuppa Site'!H2334&lt;&gt;0,'Boletins Nuppa Site'!H2334,"NULL")</f>
        <v> 65.00</v>
      </c>
      <c r="F2334" s="30" t="str">
        <f aca="false">IF('Boletins Nuppa Site'!I2334&lt;&gt;0,'Boletins Nuppa Site'!I2334,"NULL")</f>
        <v> 40.00</v>
      </c>
      <c r="G2334" s="30" t="str">
        <f aca="false">IF('Boletins Nuppa Site'!J2334&lt;&gt;0,'Boletins Nuppa Site'!J2334,"NULL")</f>
        <v> 55.00</v>
      </c>
      <c r="H2334" s="30" t="str">
        <f aca="false">IF('Boletins Nuppa Site'!K2334&lt;&gt;0,'Boletins Nuppa Site'!K2334,"NULL")</f>
        <v> 60.00</v>
      </c>
      <c r="I2334" s="0" t="str">
        <f aca="false">"INSERT INTO COTACAO (cot_id, cot_blt_id, cot_pap_id, cot_prc_comum, cot_prc_min, cot_prc_max, cot_prc_med, cot_prc_mediana) VALUES ("&amp;A2334&amp;", "&amp;B2334&amp;", "&amp;C2334&amp;", "&amp;D2334&amp;", "&amp;E2334&amp;", "&amp;F2334&amp;", "&amp;G2334&amp;", "&amp;H2334&amp;");"</f>
        <v>INSERT INTO COTACAO (cot_id, cot_blt_id, cot_pap_id, cot_prc_comum, cot_prc_min, cot_prc_max, cot_prc_med, cot_prc_mediana) VALUES (2333, 96, 23, NULL,  65.00,  40.00,  55.00,  60.00);</v>
      </c>
      <c r="J2334" s="0" t="str">
        <f aca="false">"UPDATE COTACAO SET cot_id = "&amp;A2334&amp;", cot_blt_id = "&amp;B2334&amp;", cot_pap_id = "&amp;C2334&amp;", cot_prc_comum = "&amp;D2334&amp;", cot_prc_min = "&amp;E2334&amp;", cot_prc_max = "&amp;F2334&amp;", cot_prc_med = "&amp;G2334&amp;", cot_prc_mediana = "&amp;H2334&amp;" WHERE cot_id = "&amp;A2334&amp;";"</f>
        <v>UPDATE COTACAO SET cot_id = 2333, cot_blt_id = 96, cot_pap_id = 23, cot_prc_comum = NULL, cot_prc_min =  65.00, cot_prc_max =  40.00, cot_prc_med =  55.00, cot_prc_mediana =  60.00 WHERE cot_id = 2333;</v>
      </c>
    </row>
    <row r="2335" customFormat="false" ht="14.25" hidden="false" customHeight="false" outlineLevel="0" collapsed="false">
      <c r="A2335" s="0" t="n">
        <v>2334</v>
      </c>
      <c r="B2335" s="0" t="n">
        <f aca="false">IF('Boletins Nuppa Site'!A2335&lt;&gt;0,'Boletins Nuppa Site'!A2335,"NULL")</f>
        <v>96</v>
      </c>
      <c r="C2335" s="0" t="n">
        <v>24</v>
      </c>
      <c r="D2335" s="0" t="str">
        <f aca="false">IF('Boletins Nuppa Site'!G2335&lt;&gt;0,'Boletins Nuppa Site'!G2335,"NULL")</f>
        <v>NULL</v>
      </c>
      <c r="E2335" s="30" t="str">
        <f aca="false">IF('Boletins Nuppa Site'!H2335&lt;&gt;0,'Boletins Nuppa Site'!H2335,"NULL")</f>
        <v> 80.00</v>
      </c>
      <c r="F2335" s="30" t="str">
        <f aca="false">IF('Boletins Nuppa Site'!I2335&lt;&gt;0,'Boletins Nuppa Site'!I2335,"NULL")</f>
        <v> 70.00</v>
      </c>
      <c r="G2335" s="30" t="str">
        <f aca="false">IF('Boletins Nuppa Site'!J2335&lt;&gt;0,'Boletins Nuppa Site'!J2335,"NULL")</f>
        <v> 75.00</v>
      </c>
      <c r="H2335" s="30" t="str">
        <f aca="false">IF('Boletins Nuppa Site'!K2335&lt;&gt;0,'Boletins Nuppa Site'!K2335,"NULL")</f>
        <v> 75.00</v>
      </c>
      <c r="I2335" s="0" t="str">
        <f aca="false">"INSERT INTO COTACAO (cot_id, cot_blt_id, cot_pap_id, cot_prc_comum, cot_prc_min, cot_prc_max, cot_prc_med, cot_prc_mediana) VALUES ("&amp;A2335&amp;", "&amp;B2335&amp;", "&amp;C2335&amp;", "&amp;D2335&amp;", "&amp;E2335&amp;", "&amp;F2335&amp;", "&amp;G2335&amp;", "&amp;H2335&amp;");"</f>
        <v>INSERT INTO COTACAO (cot_id, cot_blt_id, cot_pap_id, cot_prc_comum, cot_prc_min, cot_prc_max, cot_prc_med, cot_prc_mediana) VALUES (2334, 96, 24, NULL,  80.00,  70.00,  75.00,  75.00);</v>
      </c>
      <c r="J2335" s="0" t="str">
        <f aca="false">"UPDATE COTACAO SET cot_id = "&amp;A2335&amp;", cot_blt_id = "&amp;B2335&amp;", cot_pap_id = "&amp;C2335&amp;", cot_prc_comum = "&amp;D2335&amp;", cot_prc_min = "&amp;E2335&amp;", cot_prc_max = "&amp;F2335&amp;", cot_prc_med = "&amp;G2335&amp;", cot_prc_mediana = "&amp;H2335&amp;" WHERE cot_id = "&amp;A2335&amp;";"</f>
        <v>UPDATE COTACAO SET cot_id = 2334, cot_blt_id = 96, cot_pap_id = 24, cot_prc_comum = NULL, cot_prc_min =  80.00, cot_prc_max =  70.00, cot_prc_med =  75.00, cot_prc_mediana =  75.00 WHERE cot_id = 2334;</v>
      </c>
    </row>
    <row r="2336" customFormat="false" ht="14.25" hidden="false" customHeight="false" outlineLevel="0" collapsed="false">
      <c r="A2336" s="0" t="n">
        <v>2335</v>
      </c>
      <c r="B2336" s="0" t="n">
        <f aca="false">IF('Boletins Nuppa Site'!A2336&lt;&gt;0,'Boletins Nuppa Site'!A2336,"NULL")</f>
        <v>96</v>
      </c>
      <c r="C2336" s="0" t="n">
        <v>25</v>
      </c>
      <c r="D2336" s="0" t="str">
        <f aca="false">IF('Boletins Nuppa Site'!G2336&lt;&gt;0,'Boletins Nuppa Site'!G2336,"NULL")</f>
        <v> 60.00</v>
      </c>
      <c r="E2336" s="30" t="str">
        <f aca="false">IF('Boletins Nuppa Site'!H2336&lt;&gt;0,'Boletins Nuppa Site'!H2336,"NULL")</f>
        <v> 70.00</v>
      </c>
      <c r="F2336" s="30" t="str">
        <f aca="false">IF('Boletins Nuppa Site'!I2336&lt;&gt;0,'Boletins Nuppa Site'!I2336,"NULL")</f>
        <v> 60.00</v>
      </c>
      <c r="G2336" s="30" t="str">
        <f aca="false">IF('Boletins Nuppa Site'!J2336&lt;&gt;0,'Boletins Nuppa Site'!J2336,"NULL")</f>
        <v> 63.33</v>
      </c>
      <c r="H2336" s="30" t="str">
        <f aca="false">IF('Boletins Nuppa Site'!K2336&lt;&gt;0,'Boletins Nuppa Site'!K2336,"NULL")</f>
        <v> 60.00</v>
      </c>
      <c r="I2336" s="0" t="str">
        <f aca="false">"INSERT INTO COTACAO (cot_id, cot_blt_id, cot_pap_id, cot_prc_comum, cot_prc_min, cot_prc_max, cot_prc_med, cot_prc_mediana) VALUES ("&amp;A2336&amp;", "&amp;B2336&amp;", "&amp;C2336&amp;", "&amp;D2336&amp;", "&amp;E2336&amp;", "&amp;F2336&amp;", "&amp;G2336&amp;", "&amp;H2336&amp;");"</f>
        <v>INSERT INTO COTACAO (cot_id, cot_blt_id, cot_pap_id, cot_prc_comum, cot_prc_min, cot_prc_max, cot_prc_med, cot_prc_mediana) VALUES (2335, 96, 25,  60.00,  70.00,  60.00,  63.33,  60.00);</v>
      </c>
      <c r="J2336" s="0" t="str">
        <f aca="false">"UPDATE COTACAO SET cot_id = "&amp;A2336&amp;", cot_blt_id = "&amp;B2336&amp;", cot_pap_id = "&amp;C2336&amp;", cot_prc_comum = "&amp;D2336&amp;", cot_prc_min = "&amp;E2336&amp;", cot_prc_max = "&amp;F2336&amp;", cot_prc_med = "&amp;G2336&amp;", cot_prc_mediana = "&amp;H2336&amp;" WHERE cot_id = "&amp;A2336&amp;";"</f>
        <v>UPDATE COTACAO SET cot_id = 2335, cot_blt_id = 96, cot_pap_id = 25, cot_prc_comum =  60.00, cot_prc_min =  70.00, cot_prc_max =  60.00, cot_prc_med =  63.33, cot_prc_mediana =  60.00 WHERE cot_id = 2335;</v>
      </c>
    </row>
    <row r="2337" customFormat="false" ht="14.25" hidden="false" customHeight="false" outlineLevel="0" collapsed="false">
      <c r="A2337" s="0" t="n">
        <v>2336</v>
      </c>
      <c r="B2337" s="0" t="n">
        <f aca="false">IF('Boletins Nuppa Site'!A2337&lt;&gt;0,'Boletins Nuppa Site'!A2337,"NULL")</f>
        <v>96</v>
      </c>
      <c r="C2337" s="0" t="n">
        <v>26</v>
      </c>
      <c r="D2337" s="0" t="str">
        <f aca="false">IF('Boletins Nuppa Site'!G2337&lt;&gt;0,'Boletins Nuppa Site'!G2337,"NULL")</f>
        <v> 70.00</v>
      </c>
      <c r="E2337" s="30" t="str">
        <f aca="false">IF('Boletins Nuppa Site'!H2337&lt;&gt;0,'Boletins Nuppa Site'!H2337,"NULL")</f>
        <v> 100.00</v>
      </c>
      <c r="F2337" s="30" t="str">
        <f aca="false">IF('Boletins Nuppa Site'!I2337&lt;&gt;0,'Boletins Nuppa Site'!I2337,"NULL")</f>
        <v> 100.00</v>
      </c>
      <c r="G2337" s="30" t="str">
        <f aca="false">IF('Boletins Nuppa Site'!J2337&lt;&gt;0,'Boletins Nuppa Site'!J2337,"NULL")</f>
        <v> 90.00</v>
      </c>
      <c r="H2337" s="30" t="str">
        <f aca="false">IF('Boletins Nuppa Site'!K2337&lt;&gt;0,'Boletins Nuppa Site'!K2337,"NULL")</f>
        <v> 100.00</v>
      </c>
      <c r="I2337" s="0" t="str">
        <f aca="false">"INSERT INTO COTACAO (cot_id, cot_blt_id, cot_pap_id, cot_prc_comum, cot_prc_min, cot_prc_max, cot_prc_med, cot_prc_mediana) VALUES ("&amp;A2337&amp;", "&amp;B2337&amp;", "&amp;C2337&amp;", "&amp;D2337&amp;", "&amp;E2337&amp;", "&amp;F2337&amp;", "&amp;G2337&amp;", "&amp;H2337&amp;");"</f>
        <v>INSERT INTO COTACAO (cot_id, cot_blt_id, cot_pap_id, cot_prc_comum, cot_prc_min, cot_prc_max, cot_prc_med, cot_prc_mediana) VALUES (2336, 96, 26,  70.00,  100.00,  100.00,  90.00,  100.00);</v>
      </c>
      <c r="J2337" s="0" t="str">
        <f aca="false">"UPDATE COTACAO SET cot_id = "&amp;A2337&amp;", cot_blt_id = "&amp;B2337&amp;", cot_pap_id = "&amp;C2337&amp;", cot_prc_comum = "&amp;D2337&amp;", cot_prc_min = "&amp;E2337&amp;", cot_prc_max = "&amp;F2337&amp;", cot_prc_med = "&amp;G2337&amp;", cot_prc_mediana = "&amp;H2337&amp;" WHERE cot_id = "&amp;A2337&amp;";"</f>
        <v>UPDATE COTACAO SET cot_id = 2336, cot_blt_id = 96, cot_pap_id = 26, cot_prc_comum =  70.00, cot_prc_min =  100.00, cot_prc_max =  100.00, cot_prc_med =  90.00, cot_prc_mediana =  100.00 WHERE cot_id = 2336;</v>
      </c>
    </row>
    <row r="2338" customFormat="false" ht="14.25" hidden="false" customHeight="false" outlineLevel="0" collapsed="false">
      <c r="A2338" s="0" t="n">
        <v>2337</v>
      </c>
      <c r="B2338" s="0" t="n">
        <f aca="false">IF('Boletins Nuppa Site'!A2338&lt;&gt;0,'Boletins Nuppa Site'!A2338,"NULL")</f>
        <v>96</v>
      </c>
      <c r="C2338" s="0" t="n">
        <v>27</v>
      </c>
      <c r="D2338" s="0" t="str">
        <f aca="false">IF('Boletins Nuppa Site'!G2338&lt;&gt;0,'Boletins Nuppa Site'!G2338,"NULL")</f>
        <v>NULL</v>
      </c>
      <c r="E2338" s="30" t="str">
        <f aca="false">IF('Boletins Nuppa Site'!H2338&lt;&gt;0,'Boletins Nuppa Site'!H2338,"NULL")</f>
        <v> 50.00</v>
      </c>
      <c r="F2338" s="30" t="str">
        <f aca="false">IF('Boletins Nuppa Site'!I2338&lt;&gt;0,'Boletins Nuppa Site'!I2338,"NULL")</f>
        <v> 120.00</v>
      </c>
      <c r="G2338" s="30" t="str">
        <f aca="false">IF('Boletins Nuppa Site'!J2338&lt;&gt;0,'Boletins Nuppa Site'!J2338,"NULL")</f>
        <v> 78.33</v>
      </c>
      <c r="H2338" s="30" t="str">
        <f aca="false">IF('Boletins Nuppa Site'!K2338&lt;&gt;0,'Boletins Nuppa Site'!K2338,"NULL")</f>
        <v> 65.00</v>
      </c>
      <c r="I2338" s="0" t="str">
        <f aca="false">"INSERT INTO COTACAO (cot_id, cot_blt_id, cot_pap_id, cot_prc_comum, cot_prc_min, cot_prc_max, cot_prc_med, cot_prc_mediana) VALUES ("&amp;A2338&amp;", "&amp;B2338&amp;", "&amp;C2338&amp;", "&amp;D2338&amp;", "&amp;E2338&amp;", "&amp;F2338&amp;", "&amp;G2338&amp;", "&amp;H2338&amp;");"</f>
        <v>INSERT INTO COTACAO (cot_id, cot_blt_id, cot_pap_id, cot_prc_comum, cot_prc_min, cot_prc_max, cot_prc_med, cot_prc_mediana) VALUES (2337, 96, 27, NULL,  50.00,  120.00,  78.33,  65.00);</v>
      </c>
      <c r="J2338" s="0" t="str">
        <f aca="false">"UPDATE COTACAO SET cot_id = "&amp;A2338&amp;", cot_blt_id = "&amp;B2338&amp;", cot_pap_id = "&amp;C2338&amp;", cot_prc_comum = "&amp;D2338&amp;", cot_prc_min = "&amp;E2338&amp;", cot_prc_max = "&amp;F2338&amp;", cot_prc_med = "&amp;G2338&amp;", cot_prc_mediana = "&amp;H2338&amp;" WHERE cot_id = "&amp;A2338&amp;";"</f>
        <v>UPDATE COTACAO SET cot_id = 2337, cot_blt_id = 96, cot_pap_id = 27, cot_prc_comum = NULL, cot_prc_min =  50.00, cot_prc_max =  120.00, cot_prc_med =  78.33, cot_prc_mediana =  65.00 WHERE cot_id = 2337;</v>
      </c>
    </row>
    <row r="2339" customFormat="false" ht="14.25" hidden="false" customHeight="false" outlineLevel="0" collapsed="false">
      <c r="A2339" s="0" t="n">
        <v>2338</v>
      </c>
      <c r="B2339" s="0" t="n">
        <f aca="false">IF('Boletins Nuppa Site'!A2339&lt;&gt;0,'Boletins Nuppa Site'!A2339,"NULL")</f>
        <v>96</v>
      </c>
      <c r="C2339" s="0" t="n">
        <v>28</v>
      </c>
      <c r="D2339" s="0" t="str">
        <f aca="false">IF('Boletins Nuppa Site'!G2339&lt;&gt;0,'Boletins Nuppa Site'!G2339,"NULL")</f>
        <v>NULL</v>
      </c>
      <c r="E2339" s="30" t="str">
        <f aca="false">IF('Boletins Nuppa Site'!H2339&lt;&gt;0,'Boletins Nuppa Site'!H2339,"NULL")</f>
        <v> 90.00</v>
      </c>
      <c r="F2339" s="30" t="str">
        <f aca="false">IF('Boletins Nuppa Site'!I2339&lt;&gt;0,'Boletins Nuppa Site'!I2339,"NULL")</f>
        <v> 100.00</v>
      </c>
      <c r="G2339" s="30" t="str">
        <f aca="false">IF('Boletins Nuppa Site'!J2339&lt;&gt;0,'Boletins Nuppa Site'!J2339,"NULL")</f>
        <v> 95.00</v>
      </c>
      <c r="H2339" s="30" t="str">
        <f aca="false">IF('Boletins Nuppa Site'!K2339&lt;&gt;0,'Boletins Nuppa Site'!K2339,"NULL")</f>
        <v> 95.00</v>
      </c>
      <c r="I2339" s="0" t="str">
        <f aca="false">"INSERT INTO COTACAO (cot_id, cot_blt_id, cot_pap_id, cot_prc_comum, cot_prc_min, cot_prc_max, cot_prc_med, cot_prc_mediana) VALUES ("&amp;A2339&amp;", "&amp;B2339&amp;", "&amp;C2339&amp;", "&amp;D2339&amp;", "&amp;E2339&amp;", "&amp;F2339&amp;", "&amp;G2339&amp;", "&amp;H2339&amp;");"</f>
        <v>INSERT INTO COTACAO (cot_id, cot_blt_id, cot_pap_id, cot_prc_comum, cot_prc_min, cot_prc_max, cot_prc_med, cot_prc_mediana) VALUES (2338, 96, 28, NULL,  90.00,  100.00,  95.00,  95.00);</v>
      </c>
      <c r="J2339" s="0" t="str">
        <f aca="false">"UPDATE COTACAO SET cot_id = "&amp;A2339&amp;", cot_blt_id = "&amp;B2339&amp;", cot_pap_id = "&amp;C2339&amp;", cot_prc_comum = "&amp;D2339&amp;", cot_prc_min = "&amp;E2339&amp;", cot_prc_max = "&amp;F2339&amp;", cot_prc_med = "&amp;G2339&amp;", cot_prc_mediana = "&amp;H2339&amp;" WHERE cot_id = "&amp;A2339&amp;";"</f>
        <v>UPDATE COTACAO SET cot_id = 2338, cot_blt_id = 96, cot_pap_id = 28, cot_prc_comum = NULL, cot_prc_min =  90.00, cot_prc_max =  100.00, cot_prc_med =  95.00, cot_prc_mediana =  95.00 WHERE cot_id = 2338;</v>
      </c>
    </row>
    <row r="2340" customFormat="false" ht="14.25" hidden="false" customHeight="false" outlineLevel="0" collapsed="false">
      <c r="A2340" s="0" t="n">
        <v>2339</v>
      </c>
      <c r="B2340" s="0" t="n">
        <f aca="false">IF('Boletins Nuppa Site'!A2340&lt;&gt;0,'Boletins Nuppa Site'!A2340,"NULL")</f>
        <v>96</v>
      </c>
      <c r="C2340" s="0" t="n">
        <v>29</v>
      </c>
      <c r="D2340" s="0" t="str">
        <f aca="false">IF('Boletins Nuppa Site'!G2340&lt;&gt;0,'Boletins Nuppa Site'!G2340,"NULL")</f>
        <v>NULL</v>
      </c>
      <c r="E2340" s="30" t="str">
        <f aca="false">IF('Boletins Nuppa Site'!H2340&lt;&gt;0,'Boletins Nuppa Site'!H2340,"NULL")</f>
        <v> 50.00</v>
      </c>
      <c r="F2340" s="30" t="str">
        <f aca="false">IF('Boletins Nuppa Site'!I2340&lt;&gt;0,'Boletins Nuppa Site'!I2340,"NULL")</f>
        <v> 75.00</v>
      </c>
      <c r="G2340" s="30" t="str">
        <f aca="false">IF('Boletins Nuppa Site'!J2340&lt;&gt;0,'Boletins Nuppa Site'!J2340,"NULL")</f>
        <v> 62.50</v>
      </c>
      <c r="H2340" s="30" t="str">
        <f aca="false">IF('Boletins Nuppa Site'!K2340&lt;&gt;0,'Boletins Nuppa Site'!K2340,"NULL")</f>
        <v> 62.50</v>
      </c>
      <c r="I2340" s="0" t="str">
        <f aca="false">"INSERT INTO COTACAO (cot_id, cot_blt_id, cot_pap_id, cot_prc_comum, cot_prc_min, cot_prc_max, cot_prc_med, cot_prc_mediana) VALUES ("&amp;A2340&amp;", "&amp;B2340&amp;", "&amp;C2340&amp;", "&amp;D2340&amp;", "&amp;E2340&amp;", "&amp;F2340&amp;", "&amp;G2340&amp;", "&amp;H2340&amp;");"</f>
        <v>INSERT INTO COTACAO (cot_id, cot_blt_id, cot_pap_id, cot_prc_comum, cot_prc_min, cot_prc_max, cot_prc_med, cot_prc_mediana) VALUES (2339, 96, 29, NULL,  50.00,  75.00,  62.50,  62.50);</v>
      </c>
      <c r="J2340" s="0" t="str">
        <f aca="false">"UPDATE COTACAO SET cot_id = "&amp;A2340&amp;", cot_blt_id = "&amp;B2340&amp;", cot_pap_id = "&amp;C2340&amp;", cot_prc_comum = "&amp;D2340&amp;", cot_prc_min = "&amp;E2340&amp;", cot_prc_max = "&amp;F2340&amp;", cot_prc_med = "&amp;G2340&amp;", cot_prc_mediana = "&amp;H2340&amp;" WHERE cot_id = "&amp;A2340&amp;";"</f>
        <v>UPDATE COTACAO SET cot_id = 2339, cot_blt_id = 96, cot_pap_id = 29, cot_prc_comum = NULL, cot_prc_min =  50.00, cot_prc_max =  75.00, cot_prc_med =  62.50, cot_prc_mediana =  62.50 WHERE cot_id = 2339;</v>
      </c>
    </row>
    <row r="2341" customFormat="false" ht="14.25" hidden="false" customHeight="false" outlineLevel="0" collapsed="false">
      <c r="A2341" s="0" t="n">
        <v>2340</v>
      </c>
      <c r="B2341" s="0" t="n">
        <f aca="false">IF('Boletins Nuppa Site'!A2341&lt;&gt;0,'Boletins Nuppa Site'!A2341,"NULL")</f>
        <v>96</v>
      </c>
      <c r="C2341" s="0" t="n">
        <v>30</v>
      </c>
      <c r="D2341" s="0" t="str">
        <f aca="false">IF('Boletins Nuppa Site'!G2341&lt;&gt;0,'Boletins Nuppa Site'!G2341,"NULL")</f>
        <v>NULL</v>
      </c>
      <c r="E2341" s="30" t="str">
        <f aca="false">IF('Boletins Nuppa Site'!H2341&lt;&gt;0,'Boletins Nuppa Site'!H2341,"NULL")</f>
        <v> 70.00</v>
      </c>
      <c r="F2341" s="30" t="str">
        <f aca="false">IF('Boletins Nuppa Site'!I2341&lt;&gt;0,'Boletins Nuppa Site'!I2341,"NULL")</f>
        <v> 80.00</v>
      </c>
      <c r="G2341" s="30" t="str">
        <f aca="false">IF('Boletins Nuppa Site'!J2341&lt;&gt;0,'Boletins Nuppa Site'!J2341,"NULL")</f>
        <v> 75.00</v>
      </c>
      <c r="H2341" s="30" t="str">
        <f aca="false">IF('Boletins Nuppa Site'!K2341&lt;&gt;0,'Boletins Nuppa Site'!K2341,"NULL")</f>
        <v> 75.00</v>
      </c>
      <c r="I2341" s="0" t="str">
        <f aca="false">"INSERT INTO COTACAO (cot_id, cot_blt_id, cot_pap_id, cot_prc_comum, cot_prc_min, cot_prc_max, cot_prc_med, cot_prc_mediana) VALUES ("&amp;A2341&amp;", "&amp;B2341&amp;", "&amp;C2341&amp;", "&amp;D2341&amp;", "&amp;E2341&amp;", "&amp;F2341&amp;", "&amp;G2341&amp;", "&amp;H2341&amp;");"</f>
        <v>INSERT INTO COTACAO (cot_id, cot_blt_id, cot_pap_id, cot_prc_comum, cot_prc_min, cot_prc_max, cot_prc_med, cot_prc_mediana) VALUES (2340, 96, 30, NULL,  70.00,  80.00,  75.00,  75.00);</v>
      </c>
      <c r="J2341" s="0" t="str">
        <f aca="false">"UPDATE COTACAO SET cot_id = "&amp;A2341&amp;", cot_blt_id = "&amp;B2341&amp;", cot_pap_id = "&amp;C2341&amp;", cot_prc_comum = "&amp;D2341&amp;", cot_prc_min = "&amp;E2341&amp;", cot_prc_max = "&amp;F2341&amp;", cot_prc_med = "&amp;G2341&amp;", cot_prc_mediana = "&amp;H2341&amp;" WHERE cot_id = "&amp;A2341&amp;";"</f>
        <v>UPDATE COTACAO SET cot_id = 2340, cot_blt_id = 96, cot_pap_id = 30, cot_prc_comum = NULL, cot_prc_min =  70.00, cot_prc_max =  80.00, cot_prc_med =  75.00, cot_prc_mediana =  75.00 WHERE cot_id = 2340;</v>
      </c>
    </row>
    <row r="2342" customFormat="false" ht="14.25" hidden="false" customHeight="false" outlineLevel="0" collapsed="false">
      <c r="A2342" s="0" t="n">
        <v>2341</v>
      </c>
      <c r="B2342" s="0" t="n">
        <f aca="false">IF('Boletins Nuppa Site'!A2342&lt;&gt;0,'Boletins Nuppa Site'!A2342,"NULL")</f>
        <v>96</v>
      </c>
      <c r="C2342" s="0" t="n">
        <v>31</v>
      </c>
      <c r="D2342" s="0" t="str">
        <f aca="false">IF('Boletins Nuppa Site'!G2342&lt;&gt;0,'Boletins Nuppa Site'!G2342,"NULL")</f>
        <v>NULL</v>
      </c>
      <c r="E2342" s="30" t="str">
        <f aca="false">IF('Boletins Nuppa Site'!H2342&lt;&gt;0,'Boletins Nuppa Site'!H2342,"NULL")</f>
        <v> 80.00</v>
      </c>
      <c r="F2342" s="30" t="str">
        <f aca="false">IF('Boletins Nuppa Site'!I2342&lt;&gt;0,'Boletins Nuppa Site'!I2342,"NULL")</f>
        <v> 120.00</v>
      </c>
      <c r="G2342" s="30" t="str">
        <f aca="false">IF('Boletins Nuppa Site'!J2342&lt;&gt;0,'Boletins Nuppa Site'!J2342,"NULL")</f>
        <v> 100.00</v>
      </c>
      <c r="H2342" s="30" t="str">
        <f aca="false">IF('Boletins Nuppa Site'!K2342&lt;&gt;0,'Boletins Nuppa Site'!K2342,"NULL")</f>
        <v> 100.00</v>
      </c>
      <c r="I2342" s="0" t="str">
        <f aca="false">"INSERT INTO COTACAO (cot_id, cot_blt_id, cot_pap_id, cot_prc_comum, cot_prc_min, cot_prc_max, cot_prc_med, cot_prc_mediana) VALUES ("&amp;A2342&amp;", "&amp;B2342&amp;", "&amp;C2342&amp;", "&amp;D2342&amp;", "&amp;E2342&amp;", "&amp;F2342&amp;", "&amp;G2342&amp;", "&amp;H2342&amp;");"</f>
        <v>INSERT INTO COTACAO (cot_id, cot_blt_id, cot_pap_id, cot_prc_comum, cot_prc_min, cot_prc_max, cot_prc_med, cot_prc_mediana) VALUES (2341, 96, 31, NULL,  80.00,  120.00,  100.00,  100.00);</v>
      </c>
      <c r="J2342" s="0" t="str">
        <f aca="false">"UPDATE COTACAO SET cot_id = "&amp;A2342&amp;", cot_blt_id = "&amp;B2342&amp;", cot_pap_id = "&amp;C2342&amp;", cot_prc_comum = "&amp;D2342&amp;", cot_prc_min = "&amp;E2342&amp;", cot_prc_max = "&amp;F2342&amp;", cot_prc_med = "&amp;G2342&amp;", cot_prc_mediana = "&amp;H2342&amp;" WHERE cot_id = "&amp;A2342&amp;";"</f>
        <v>UPDATE COTACAO SET cot_id = 2341, cot_blt_id = 96, cot_pap_id = 31, cot_prc_comum = NULL, cot_prc_min =  80.00, cot_prc_max =  120.00, cot_prc_med =  100.00, cot_prc_mediana =  100.00 WHERE cot_id = 2341;</v>
      </c>
    </row>
    <row r="2343" customFormat="false" ht="14.25" hidden="false" customHeight="false" outlineLevel="0" collapsed="false">
      <c r="A2343" s="0" t="n">
        <v>2342</v>
      </c>
      <c r="B2343" s="0" t="n">
        <f aca="false">IF('Boletins Nuppa Site'!A2343&lt;&gt;0,'Boletins Nuppa Site'!A2343,"NULL")</f>
        <v>96</v>
      </c>
      <c r="C2343" s="0" t="n">
        <v>32</v>
      </c>
      <c r="D2343" s="0" t="str">
        <f aca="false">IF('Boletins Nuppa Site'!G2343&lt;&gt;0,'Boletins Nuppa Site'!G2343,"NULL")</f>
        <v>NULL</v>
      </c>
      <c r="E2343" s="30" t="str">
        <f aca="false">IF('Boletins Nuppa Site'!H2343&lt;&gt;0,'Boletins Nuppa Site'!H2343,"NULL")</f>
        <v> 40.00</v>
      </c>
      <c r="F2343" s="30" t="str">
        <f aca="false">IF('Boletins Nuppa Site'!I2343&lt;&gt;0,'Boletins Nuppa Site'!I2343,"NULL")</f>
        <v> 70.00</v>
      </c>
      <c r="G2343" s="30" t="str">
        <f aca="false">IF('Boletins Nuppa Site'!J2343&lt;&gt;0,'Boletins Nuppa Site'!J2343,"NULL")</f>
        <v> 56.67</v>
      </c>
      <c r="H2343" s="30" t="str">
        <f aca="false">IF('Boletins Nuppa Site'!K2343&lt;&gt;0,'Boletins Nuppa Site'!K2343,"NULL")</f>
        <v> 60.00</v>
      </c>
      <c r="I2343" s="0" t="str">
        <f aca="false">"INSERT INTO COTACAO (cot_id, cot_blt_id, cot_pap_id, cot_prc_comum, cot_prc_min, cot_prc_max, cot_prc_med, cot_prc_mediana) VALUES ("&amp;A2343&amp;", "&amp;B2343&amp;", "&amp;C2343&amp;", "&amp;D2343&amp;", "&amp;E2343&amp;", "&amp;F2343&amp;", "&amp;G2343&amp;", "&amp;H2343&amp;");"</f>
        <v>INSERT INTO COTACAO (cot_id, cot_blt_id, cot_pap_id, cot_prc_comum, cot_prc_min, cot_prc_max, cot_prc_med, cot_prc_mediana) VALUES (2342, 96, 32, NULL,  40.00,  70.00,  56.67,  60.00);</v>
      </c>
      <c r="J2343" s="0" t="str">
        <f aca="false">"UPDATE COTACAO SET cot_id = "&amp;A2343&amp;", cot_blt_id = "&amp;B2343&amp;", cot_pap_id = "&amp;C2343&amp;", cot_prc_comum = "&amp;D2343&amp;", cot_prc_min = "&amp;E2343&amp;", cot_prc_max = "&amp;F2343&amp;", cot_prc_med = "&amp;G2343&amp;", cot_prc_mediana = "&amp;H2343&amp;" WHERE cot_id = "&amp;A2343&amp;";"</f>
        <v>UPDATE COTACAO SET cot_id = 2342, cot_blt_id = 96, cot_pap_id = 32, cot_prc_comum = NULL, cot_prc_min =  40.00, cot_prc_max =  70.00, cot_prc_med =  56.67, cot_prc_mediana =  60.00 WHERE cot_id = 2342;</v>
      </c>
    </row>
    <row r="2344" customFormat="false" ht="14.25" hidden="false" customHeight="false" outlineLevel="0" collapsed="false">
      <c r="A2344" s="0" t="n">
        <v>2343</v>
      </c>
      <c r="B2344" s="0" t="n">
        <f aca="false">IF('Boletins Nuppa Site'!A2344&lt;&gt;0,'Boletins Nuppa Site'!A2344,"NULL")</f>
        <v>96</v>
      </c>
      <c r="C2344" s="0" t="n">
        <v>33</v>
      </c>
      <c r="D2344" s="0" t="str">
        <f aca="false">IF('Boletins Nuppa Site'!G2344&lt;&gt;0,'Boletins Nuppa Site'!G2344,"NULL")</f>
        <v>NULL</v>
      </c>
      <c r="E2344" s="30" t="str">
        <f aca="false">IF('Boletins Nuppa Site'!H2344&lt;&gt;0,'Boletins Nuppa Site'!H2344,"NULL")</f>
        <v> 180.00</v>
      </c>
      <c r="F2344" s="30" t="str">
        <f aca="false">IF('Boletins Nuppa Site'!I2344&lt;&gt;0,'Boletins Nuppa Site'!I2344,"NULL")</f>
        <v> 120.00</v>
      </c>
      <c r="G2344" s="30" t="str">
        <f aca="false">IF('Boletins Nuppa Site'!J2344&lt;&gt;0,'Boletins Nuppa Site'!J2344,"NULL")</f>
        <v> 140.00</v>
      </c>
      <c r="H2344" s="30" t="str">
        <f aca="false">IF('Boletins Nuppa Site'!K2344&lt;&gt;0,'Boletins Nuppa Site'!K2344,"NULL")</f>
        <v> 146.67</v>
      </c>
      <c r="I2344" s="0" t="str">
        <f aca="false">"INSERT INTO COTACAO (cot_id, cot_blt_id, cot_pap_id, cot_prc_comum, cot_prc_min, cot_prc_max, cot_prc_med, cot_prc_mediana) VALUES ("&amp;A2344&amp;", "&amp;B2344&amp;", "&amp;C2344&amp;", "&amp;D2344&amp;", "&amp;E2344&amp;", "&amp;F2344&amp;", "&amp;G2344&amp;", "&amp;H2344&amp;");"</f>
        <v>INSERT INTO COTACAO (cot_id, cot_blt_id, cot_pap_id, cot_prc_comum, cot_prc_min, cot_prc_max, cot_prc_med, cot_prc_mediana) VALUES (2343, 96, 33, NULL,  180.00,  120.00,  140.00,  146.67);</v>
      </c>
      <c r="J2344" s="0" t="str">
        <f aca="false">"UPDATE COTACAO SET cot_id = "&amp;A2344&amp;", cot_blt_id = "&amp;B2344&amp;", cot_pap_id = "&amp;C2344&amp;", cot_prc_comum = "&amp;D2344&amp;", cot_prc_min = "&amp;E2344&amp;", cot_prc_max = "&amp;F2344&amp;", cot_prc_med = "&amp;G2344&amp;", cot_prc_mediana = "&amp;H2344&amp;" WHERE cot_id = "&amp;A2344&amp;";"</f>
        <v>UPDATE COTACAO SET cot_id = 2343, cot_blt_id = 96, cot_pap_id = 33, cot_prc_comum = NULL, cot_prc_min =  180.00, cot_prc_max =  120.00, cot_prc_med =  140.00, cot_prc_mediana =  146.67 WHERE cot_id = 2343;</v>
      </c>
    </row>
    <row r="2345" customFormat="false" ht="14.25" hidden="false" customHeight="false" outlineLevel="0" collapsed="false">
      <c r="A2345" s="0" t="n">
        <v>2344</v>
      </c>
      <c r="B2345" s="0" t="n">
        <f aca="false">IF('Boletins Nuppa Site'!A2345&lt;&gt;0,'Boletins Nuppa Site'!A2345,"NULL")</f>
        <v>96</v>
      </c>
      <c r="C2345" s="0" t="n">
        <v>34</v>
      </c>
      <c r="D2345" s="0" t="str">
        <f aca="false">IF('Boletins Nuppa Site'!G2345&lt;&gt;0,'Boletins Nuppa Site'!G2345,"NULL")</f>
        <v>NULL</v>
      </c>
      <c r="E2345" s="30" t="str">
        <f aca="false">IF('Boletins Nuppa Site'!H2345&lt;&gt;0,'Boletins Nuppa Site'!H2345,"NULL")</f>
        <v> 110.00</v>
      </c>
      <c r="F2345" s="30" t="str">
        <f aca="false">IF('Boletins Nuppa Site'!I2345&lt;&gt;0,'Boletins Nuppa Site'!I2345,"NULL")</f>
        <v> 200.00</v>
      </c>
      <c r="G2345" s="30" t="str">
        <f aca="false">IF('Boletins Nuppa Site'!J2345&lt;&gt;0,'Boletins Nuppa Site'!J2345,"NULL")</f>
        <v> 156.67</v>
      </c>
      <c r="H2345" s="30" t="str">
        <f aca="false">IF('Boletins Nuppa Site'!K2345&lt;&gt;0,'Boletins Nuppa Site'!K2345,"NULL")</f>
        <v> 160.00</v>
      </c>
      <c r="I2345" s="0" t="str">
        <f aca="false">"INSERT INTO COTACAO (cot_id, cot_blt_id, cot_pap_id, cot_prc_comum, cot_prc_min, cot_prc_max, cot_prc_med, cot_prc_mediana) VALUES ("&amp;A2345&amp;", "&amp;B2345&amp;", "&amp;C2345&amp;", "&amp;D2345&amp;", "&amp;E2345&amp;", "&amp;F2345&amp;", "&amp;G2345&amp;", "&amp;H2345&amp;");"</f>
        <v>INSERT INTO COTACAO (cot_id, cot_blt_id, cot_pap_id, cot_prc_comum, cot_prc_min, cot_prc_max, cot_prc_med, cot_prc_mediana) VALUES (2344, 96, 34, NULL,  110.00,  200.00,  156.67,  160.00);</v>
      </c>
      <c r="J2345" s="0" t="str">
        <f aca="false">"UPDATE COTACAO SET cot_id = "&amp;A2345&amp;", cot_blt_id = "&amp;B2345&amp;", cot_pap_id = "&amp;C2345&amp;", cot_prc_comum = "&amp;D2345&amp;", cot_prc_min = "&amp;E2345&amp;", cot_prc_max = "&amp;F2345&amp;", cot_prc_med = "&amp;G2345&amp;", cot_prc_mediana = "&amp;H2345&amp;" WHERE cot_id = "&amp;A2345&amp;";"</f>
        <v>UPDATE COTACAO SET cot_id = 2344, cot_blt_id = 96, cot_pap_id = 34, cot_prc_comum = NULL, cot_prc_min =  110.00, cot_prc_max =  200.00, cot_prc_med =  156.67, cot_prc_mediana =  160.00 WHERE cot_id = 2344;</v>
      </c>
    </row>
    <row r="2346" customFormat="false" ht="14.25" hidden="false" customHeight="false" outlineLevel="0" collapsed="false">
      <c r="A2346" s="0" t="n">
        <v>2345</v>
      </c>
      <c r="B2346" s="0" t="n">
        <f aca="false">IF('Boletins Nuppa Site'!A2346&lt;&gt;0,'Boletins Nuppa Site'!A2346,"NULL")</f>
        <v>96</v>
      </c>
      <c r="C2346" s="0" t="n">
        <v>35</v>
      </c>
      <c r="D2346" s="0" t="str">
        <f aca="false">IF('Boletins Nuppa Site'!G2346&lt;&gt;0,'Boletins Nuppa Site'!G2346,"NULL")</f>
        <v>NULL</v>
      </c>
      <c r="E2346" s="30" t="str">
        <f aca="false">IF('Boletins Nuppa Site'!H2346&lt;&gt;0,'Boletins Nuppa Site'!H2346,"NULL")</f>
        <v> 100.00</v>
      </c>
      <c r="F2346" s="30" t="str">
        <f aca="false">IF('Boletins Nuppa Site'!I2346&lt;&gt;0,'Boletins Nuppa Site'!I2346,"NULL")</f>
        <v> 150.00</v>
      </c>
      <c r="G2346" s="30" t="str">
        <f aca="false">IF('Boletins Nuppa Site'!J2346&lt;&gt;0,'Boletins Nuppa Site'!J2346,"NULL")</f>
        <v> 123.33</v>
      </c>
      <c r="H2346" s="30" t="str">
        <f aca="false">IF('Boletins Nuppa Site'!K2346&lt;&gt;0,'Boletins Nuppa Site'!K2346,"NULL")</f>
        <v> 120.00</v>
      </c>
      <c r="I2346" s="0" t="str">
        <f aca="false">"INSERT INTO COTACAO (cot_id, cot_blt_id, cot_pap_id, cot_prc_comum, cot_prc_min, cot_prc_max, cot_prc_med, cot_prc_mediana) VALUES ("&amp;A2346&amp;", "&amp;B2346&amp;", "&amp;C2346&amp;", "&amp;D2346&amp;", "&amp;E2346&amp;", "&amp;F2346&amp;", "&amp;G2346&amp;", "&amp;H2346&amp;");"</f>
        <v>INSERT INTO COTACAO (cot_id, cot_blt_id, cot_pap_id, cot_prc_comum, cot_prc_min, cot_prc_max, cot_prc_med, cot_prc_mediana) VALUES (2345, 96, 35, NULL,  100.00,  150.00,  123.33,  120.00);</v>
      </c>
      <c r="J2346" s="0" t="str">
        <f aca="false">"UPDATE COTACAO SET cot_id = "&amp;A2346&amp;", cot_blt_id = "&amp;B2346&amp;", cot_pap_id = "&amp;C2346&amp;", cot_prc_comum = "&amp;D2346&amp;", cot_prc_min = "&amp;E2346&amp;", cot_prc_max = "&amp;F2346&amp;", cot_prc_med = "&amp;G2346&amp;", cot_prc_mediana = "&amp;H2346&amp;" WHERE cot_id = "&amp;A2346&amp;";"</f>
        <v>UPDATE COTACAO SET cot_id = 2345, cot_blt_id = 96, cot_pap_id = 35, cot_prc_comum = NULL, cot_prc_min =  100.00, cot_prc_max =  150.00, cot_prc_med =  123.33, cot_prc_mediana =  120.00 WHERE cot_id = 2345;</v>
      </c>
    </row>
    <row r="2347" customFormat="false" ht="14.25" hidden="false" customHeight="false" outlineLevel="0" collapsed="false">
      <c r="A2347" s="0" t="n">
        <v>2346</v>
      </c>
      <c r="B2347" s="0" t="n">
        <f aca="false">IF('Boletins Nuppa Site'!A2347&lt;&gt;0,'Boletins Nuppa Site'!A2347,"NULL")</f>
        <v>96</v>
      </c>
      <c r="C2347" s="0" t="n">
        <v>36</v>
      </c>
      <c r="D2347" s="0" t="str">
        <f aca="false">IF('Boletins Nuppa Site'!G2347&lt;&gt;0,'Boletins Nuppa Site'!G2347,"NULL")</f>
        <v>NULL</v>
      </c>
      <c r="E2347" s="30" t="str">
        <f aca="false">IF('Boletins Nuppa Site'!H2347&lt;&gt;0,'Boletins Nuppa Site'!H2347,"NULL")</f>
        <v>NULL</v>
      </c>
      <c r="F2347" s="30" t="str">
        <f aca="false">IF('Boletins Nuppa Site'!I2347&lt;&gt;0,'Boletins Nuppa Site'!I2347,"NULL")</f>
        <v>NULL</v>
      </c>
      <c r="G2347" s="30" t="str">
        <f aca="false">IF('Boletins Nuppa Site'!J2347&lt;&gt;0,'Boletins Nuppa Site'!J2347,"NULL")</f>
        <v>NULL</v>
      </c>
      <c r="H2347" s="30" t="str">
        <f aca="false">IF('Boletins Nuppa Site'!K2347&lt;&gt;0,'Boletins Nuppa Site'!K2347,"NULL")</f>
        <v>NULL</v>
      </c>
      <c r="I2347" s="0" t="str">
        <f aca="false">"INSERT INTO COTACAO (cot_id, cot_blt_id, cot_pap_id, cot_prc_comum, cot_prc_min, cot_prc_max, cot_prc_med, cot_prc_mediana) VALUES ("&amp;A2347&amp;", "&amp;B2347&amp;", "&amp;C2347&amp;", "&amp;D2347&amp;", "&amp;E2347&amp;", "&amp;F2347&amp;", "&amp;G2347&amp;", "&amp;H2347&amp;");"</f>
        <v>INSERT INTO COTACAO (cot_id, cot_blt_id, cot_pap_id, cot_prc_comum, cot_prc_min, cot_prc_max, cot_prc_med, cot_prc_mediana) VALUES (2346, 96, 36, NULL, NULL, NULL, NULL, NULL);</v>
      </c>
      <c r="J2347" s="0" t="str">
        <f aca="false">"UPDATE COTACAO SET cot_id = "&amp;A2347&amp;", cot_blt_id = "&amp;B2347&amp;", cot_pap_id = "&amp;C2347&amp;", cot_prc_comum = "&amp;D2347&amp;", cot_prc_min = "&amp;E2347&amp;", cot_prc_max = "&amp;F2347&amp;", cot_prc_med = "&amp;G2347&amp;", cot_prc_mediana = "&amp;H2347&amp;" WHERE cot_id = "&amp;A2347&amp;";"</f>
        <v>UPDATE COTACAO SET cot_id = 2346, cot_blt_id = 96, cot_pap_id = 36, cot_prc_comum = NULL, cot_prc_min = NULL, cot_prc_max = NULL, cot_prc_med = NULL, cot_prc_mediana = NULL WHERE cot_id = 2346;</v>
      </c>
    </row>
    <row r="2348" customFormat="false" ht="14.25" hidden="false" customHeight="false" outlineLevel="0" collapsed="false">
      <c r="A2348" s="0" t="n">
        <v>2347</v>
      </c>
      <c r="B2348" s="0" t="n">
        <f aca="false">IF('Boletins Nuppa Site'!A2348&lt;&gt;0,'Boletins Nuppa Site'!A2348,"NULL")</f>
        <v>96</v>
      </c>
      <c r="C2348" s="0" t="n">
        <v>37</v>
      </c>
      <c r="D2348" s="0" t="str">
        <f aca="false">IF('Boletins Nuppa Site'!G2348&lt;&gt;0,'Boletins Nuppa Site'!G2348,"NULL")</f>
        <v>NULL</v>
      </c>
      <c r="E2348" s="30" t="str">
        <f aca="false">IF('Boletins Nuppa Site'!H2348&lt;&gt;0,'Boletins Nuppa Site'!H2348,"NULL")</f>
        <v>NULL</v>
      </c>
      <c r="F2348" s="30" t="str">
        <f aca="false">IF('Boletins Nuppa Site'!I2348&lt;&gt;0,'Boletins Nuppa Site'!I2348,"NULL")</f>
        <v>NULL</v>
      </c>
      <c r="G2348" s="30" t="str">
        <f aca="false">IF('Boletins Nuppa Site'!J2348&lt;&gt;0,'Boletins Nuppa Site'!J2348,"NULL")</f>
        <v>NULL</v>
      </c>
      <c r="H2348" s="30" t="str">
        <f aca="false">IF('Boletins Nuppa Site'!K2348&lt;&gt;0,'Boletins Nuppa Site'!K2348,"NULL")</f>
        <v>NULL</v>
      </c>
      <c r="I2348" s="0" t="str">
        <f aca="false">"INSERT INTO COTACAO (cot_id, cot_blt_id, cot_pap_id, cot_prc_comum, cot_prc_min, cot_prc_max, cot_prc_med, cot_prc_mediana) VALUES ("&amp;A2348&amp;", "&amp;B2348&amp;", "&amp;C2348&amp;", "&amp;D2348&amp;", "&amp;E2348&amp;", "&amp;F2348&amp;", "&amp;G2348&amp;", "&amp;H2348&amp;");"</f>
        <v>INSERT INTO COTACAO (cot_id, cot_blt_id, cot_pap_id, cot_prc_comum, cot_prc_min, cot_prc_max, cot_prc_med, cot_prc_mediana) VALUES (2347, 96, 37, NULL, NULL, NULL, NULL, NULL);</v>
      </c>
      <c r="J2348" s="0" t="str">
        <f aca="false">"UPDATE COTACAO SET cot_id = "&amp;A2348&amp;", cot_blt_id = "&amp;B2348&amp;", cot_pap_id = "&amp;C2348&amp;", cot_prc_comum = "&amp;D2348&amp;", cot_prc_min = "&amp;E2348&amp;", cot_prc_max = "&amp;F2348&amp;", cot_prc_med = "&amp;G2348&amp;", cot_prc_mediana = "&amp;H2348&amp;" WHERE cot_id = "&amp;A2348&amp;";"</f>
        <v>UPDATE COTACAO SET cot_id = 2347, cot_blt_id = 96, cot_pap_id = 37, cot_prc_comum = NULL, cot_prc_min = NULL, cot_prc_max = NULL, cot_prc_med = NULL, cot_prc_mediana = NULL WHERE cot_id = 2347;</v>
      </c>
    </row>
    <row r="2349" customFormat="false" ht="14.25" hidden="false" customHeight="false" outlineLevel="0" collapsed="false">
      <c r="A2349" s="0" t="n">
        <v>2348</v>
      </c>
      <c r="B2349" s="0" t="n">
        <f aca="false">IF('Boletins Nuppa Site'!A2349&lt;&gt;0,'Boletins Nuppa Site'!A2349,"NULL")</f>
        <v>96</v>
      </c>
      <c r="C2349" s="0" t="n">
        <v>38</v>
      </c>
      <c r="D2349" s="0" t="str">
        <f aca="false">IF('Boletins Nuppa Site'!G2349&lt;&gt;0,'Boletins Nuppa Site'!G2349,"NULL")</f>
        <v>NULL</v>
      </c>
      <c r="E2349" s="30" t="str">
        <f aca="false">IF('Boletins Nuppa Site'!H2349&lt;&gt;0,'Boletins Nuppa Site'!H2349,"NULL")</f>
        <v>NULL</v>
      </c>
      <c r="F2349" s="30" t="str">
        <f aca="false">IF('Boletins Nuppa Site'!I2349&lt;&gt;0,'Boletins Nuppa Site'!I2349,"NULL")</f>
        <v>NULL</v>
      </c>
      <c r="G2349" s="30" t="str">
        <f aca="false">IF('Boletins Nuppa Site'!J2349&lt;&gt;0,'Boletins Nuppa Site'!J2349,"NULL")</f>
        <v>NULL</v>
      </c>
      <c r="H2349" s="30" t="str">
        <f aca="false">IF('Boletins Nuppa Site'!K2349&lt;&gt;0,'Boletins Nuppa Site'!K2349,"NULL")</f>
        <v>NULL</v>
      </c>
      <c r="I2349" s="0" t="str">
        <f aca="false">"INSERT INTO COTACAO (cot_id, cot_blt_id, cot_pap_id, cot_prc_comum, cot_prc_min, cot_prc_max, cot_prc_med, cot_prc_mediana) VALUES ("&amp;A2349&amp;", "&amp;B2349&amp;", "&amp;C2349&amp;", "&amp;D2349&amp;", "&amp;E2349&amp;", "&amp;F2349&amp;", "&amp;G2349&amp;", "&amp;H2349&amp;");"</f>
        <v>INSERT INTO COTACAO (cot_id, cot_blt_id, cot_pap_id, cot_prc_comum, cot_prc_min, cot_prc_max, cot_prc_med, cot_prc_mediana) VALUES (2348, 96, 38, NULL, NULL, NULL, NULL, NULL);</v>
      </c>
      <c r="J2349" s="0" t="str">
        <f aca="false">"UPDATE COTACAO SET cot_id = "&amp;A2349&amp;", cot_blt_id = "&amp;B2349&amp;", cot_pap_id = "&amp;C2349&amp;", cot_prc_comum = "&amp;D2349&amp;", cot_prc_min = "&amp;E2349&amp;", cot_prc_max = "&amp;F2349&amp;", cot_prc_med = "&amp;G2349&amp;", cot_prc_mediana = "&amp;H2349&amp;" WHERE cot_id = "&amp;A2349&amp;";"</f>
        <v>UPDATE COTACAO SET cot_id = 2348, cot_blt_id = 96, cot_pap_id = 38, cot_prc_comum = NULL, cot_prc_min = NULL, cot_prc_max = NULL, cot_prc_med = NULL, cot_prc_mediana = NULL WHERE cot_id = 2348;</v>
      </c>
    </row>
    <row r="2350" customFormat="false" ht="14.25" hidden="false" customHeight="false" outlineLevel="0" collapsed="false">
      <c r="A2350" s="0" t="n">
        <v>2349</v>
      </c>
      <c r="B2350" s="0" t="n">
        <f aca="false">IF('Boletins Nuppa Site'!A2350&lt;&gt;0,'Boletins Nuppa Site'!A2350,"NULL")</f>
        <v>96</v>
      </c>
      <c r="C2350" s="0" t="n">
        <v>39</v>
      </c>
      <c r="D2350" s="0" t="str">
        <f aca="false">IF('Boletins Nuppa Site'!G2350&lt;&gt;0,'Boletins Nuppa Site'!G2350,"NULL")</f>
        <v>NULL</v>
      </c>
      <c r="E2350" s="30" t="str">
        <f aca="false">IF('Boletins Nuppa Site'!H2350&lt;&gt;0,'Boletins Nuppa Site'!H2350,"NULL")</f>
        <v>NULL</v>
      </c>
      <c r="F2350" s="30" t="str">
        <f aca="false">IF('Boletins Nuppa Site'!I2350&lt;&gt;0,'Boletins Nuppa Site'!I2350,"NULL")</f>
        <v>NULL</v>
      </c>
      <c r="G2350" s="30" t="str">
        <f aca="false">IF('Boletins Nuppa Site'!J2350&lt;&gt;0,'Boletins Nuppa Site'!J2350,"NULL")</f>
        <v>NULL</v>
      </c>
      <c r="H2350" s="30" t="str">
        <f aca="false">IF('Boletins Nuppa Site'!K2350&lt;&gt;0,'Boletins Nuppa Site'!K2350,"NULL")</f>
        <v>NULL</v>
      </c>
      <c r="I2350" s="0" t="str">
        <f aca="false">"INSERT INTO COTACAO (cot_id, cot_blt_id, cot_pap_id, cot_prc_comum, cot_prc_min, cot_prc_max, cot_prc_med, cot_prc_mediana) VALUES ("&amp;A2350&amp;", "&amp;B2350&amp;", "&amp;C2350&amp;", "&amp;D2350&amp;", "&amp;E2350&amp;", "&amp;F2350&amp;", "&amp;G2350&amp;", "&amp;H2350&amp;");"</f>
        <v>INSERT INTO COTACAO (cot_id, cot_blt_id, cot_pap_id, cot_prc_comum, cot_prc_min, cot_prc_max, cot_prc_med, cot_prc_mediana) VALUES (2349, 96, 39, NULL, NULL, NULL, NULL, NULL);</v>
      </c>
      <c r="J2350" s="0" t="str">
        <f aca="false">"UPDATE COTACAO SET cot_id = "&amp;A2350&amp;", cot_blt_id = "&amp;B2350&amp;", cot_pap_id = "&amp;C2350&amp;", cot_prc_comum = "&amp;D2350&amp;", cot_prc_min = "&amp;E2350&amp;", cot_prc_max = "&amp;F2350&amp;", cot_prc_med = "&amp;G2350&amp;", cot_prc_mediana = "&amp;H2350&amp;" WHERE cot_id = "&amp;A2350&amp;";"</f>
        <v>UPDATE COTACAO SET cot_id = 2349, cot_blt_id = 96, cot_pap_id = 39, cot_prc_comum = NULL, cot_prc_min = NULL, cot_prc_max = NULL, cot_prc_med = NULL, cot_prc_mediana = NULL WHERE cot_id = 2349;</v>
      </c>
    </row>
    <row r="2351" customFormat="false" ht="14.25" hidden="false" customHeight="false" outlineLevel="0" collapsed="false">
      <c r="A2351" s="0" t="n">
        <v>2350</v>
      </c>
      <c r="B2351" s="0" t="n">
        <f aca="false">IF('Boletins Nuppa Site'!A2351&lt;&gt;0,'Boletins Nuppa Site'!A2351,"NULL")</f>
        <v>96</v>
      </c>
      <c r="C2351" s="0" t="n">
        <v>40</v>
      </c>
      <c r="D2351" s="0" t="str">
        <f aca="false">IF('Boletins Nuppa Site'!G2351&lt;&gt;0,'Boletins Nuppa Site'!G2351,"NULL")</f>
        <v>NULL</v>
      </c>
      <c r="E2351" s="30" t="str">
        <f aca="false">IF('Boletins Nuppa Site'!H2351&lt;&gt;0,'Boletins Nuppa Site'!H2351,"NULL")</f>
        <v>NULL</v>
      </c>
      <c r="F2351" s="30" t="str">
        <f aca="false">IF('Boletins Nuppa Site'!I2351&lt;&gt;0,'Boletins Nuppa Site'!I2351,"NULL")</f>
        <v>NULL</v>
      </c>
      <c r="G2351" s="30" t="str">
        <f aca="false">IF('Boletins Nuppa Site'!J2351&lt;&gt;0,'Boletins Nuppa Site'!J2351,"NULL")</f>
        <v>NULL</v>
      </c>
      <c r="H2351" s="30" t="str">
        <f aca="false">IF('Boletins Nuppa Site'!K2351&lt;&gt;0,'Boletins Nuppa Site'!K2351,"NULL")</f>
        <v>NULL</v>
      </c>
      <c r="I2351" s="0" t="str">
        <f aca="false">"INSERT INTO COTACAO (cot_id, cot_blt_id, cot_pap_id, cot_prc_comum, cot_prc_min, cot_prc_max, cot_prc_med, cot_prc_mediana) VALUES ("&amp;A2351&amp;", "&amp;B2351&amp;", "&amp;C2351&amp;", "&amp;D2351&amp;", "&amp;E2351&amp;", "&amp;F2351&amp;", "&amp;G2351&amp;", "&amp;H2351&amp;");"</f>
        <v>INSERT INTO COTACAO (cot_id, cot_blt_id, cot_pap_id, cot_prc_comum, cot_prc_min, cot_prc_max, cot_prc_med, cot_prc_mediana) VALUES (2350, 96, 40, NULL, NULL, NULL, NULL, NULL);</v>
      </c>
      <c r="J2351" s="0" t="str">
        <f aca="false">"UPDATE COTACAO SET cot_id = "&amp;A2351&amp;", cot_blt_id = "&amp;B2351&amp;", cot_pap_id = "&amp;C2351&amp;", cot_prc_comum = "&amp;D2351&amp;", cot_prc_min = "&amp;E2351&amp;", cot_prc_max = "&amp;F2351&amp;", cot_prc_med = "&amp;G2351&amp;", cot_prc_mediana = "&amp;H2351&amp;" WHERE cot_id = "&amp;A2351&amp;";"</f>
        <v>UPDATE COTACAO SET cot_id = 2350, cot_blt_id = 96, cot_pap_id = 40, cot_prc_comum = NULL, cot_prc_min = NULL, cot_prc_max = NULL, cot_prc_med = NULL, cot_prc_mediana = NULL WHERE cot_id = 2350;</v>
      </c>
    </row>
    <row r="2352" customFormat="false" ht="14.25" hidden="false" customHeight="false" outlineLevel="0" collapsed="false">
      <c r="A2352" s="0" t="n">
        <v>2351</v>
      </c>
      <c r="B2352" s="0" t="n">
        <f aca="false">IF('Boletins Nuppa Site'!A2352&lt;&gt;0,'Boletins Nuppa Site'!A2352,"NULL")</f>
        <v>97</v>
      </c>
      <c r="C2352" s="0" t="n">
        <v>1</v>
      </c>
      <c r="D2352" s="0" t="str">
        <f aca="false">IF('Boletins Nuppa Site'!G2352&lt;&gt;0,'Boletins Nuppa Site'!G2352,"NULL")</f>
        <v> 60.00</v>
      </c>
      <c r="E2352" s="30" t="str">
        <f aca="false">IF('Boletins Nuppa Site'!H2352&lt;&gt;0,'Boletins Nuppa Site'!H2352,"NULL")</f>
        <v> 60.00</v>
      </c>
      <c r="F2352" s="30" t="str">
        <f aca="false">IF('Boletins Nuppa Site'!I2352&lt;&gt;0,'Boletins Nuppa Site'!I2352,"NULL")</f>
        <v> 72.00</v>
      </c>
      <c r="G2352" s="30" t="str">
        <f aca="false">IF('Boletins Nuppa Site'!J2352&lt;&gt;0,'Boletins Nuppa Site'!J2352,"NULL")</f>
        <v> 64.00</v>
      </c>
      <c r="H2352" s="30" t="str">
        <f aca="false">IF('Boletins Nuppa Site'!K2352&lt;&gt;0,'Boletins Nuppa Site'!K2352,"NULL")</f>
        <v> 60.00</v>
      </c>
      <c r="I2352" s="0" t="str">
        <f aca="false">"INSERT INTO COTACAO (cot_id, cot_blt_id, cot_pap_id, cot_prc_comum, cot_prc_min, cot_prc_max, cot_prc_med, cot_prc_mediana) VALUES ("&amp;A2352&amp;", "&amp;B2352&amp;", "&amp;C2352&amp;", "&amp;D2352&amp;", "&amp;E2352&amp;", "&amp;F2352&amp;", "&amp;G2352&amp;", "&amp;H2352&amp;");"</f>
        <v>INSERT INTO COTACAO (cot_id, cot_blt_id, cot_pap_id, cot_prc_comum, cot_prc_min, cot_prc_max, cot_prc_med, cot_prc_mediana) VALUES (2351, 97, 1,  60.00,  60.00,  72.00,  64.00,  60.00);</v>
      </c>
      <c r="J2352" s="0" t="str">
        <f aca="false">"UPDATE COTACAO SET cot_id = "&amp;A2352&amp;", cot_blt_id = "&amp;B2352&amp;", cot_pap_id = "&amp;C2352&amp;", cot_prc_comum = "&amp;D2352&amp;", cot_prc_min = "&amp;E2352&amp;", cot_prc_max = "&amp;F2352&amp;", cot_prc_med = "&amp;G2352&amp;", cot_prc_mediana = "&amp;H2352&amp;" WHERE cot_id = "&amp;A2352&amp;";"</f>
        <v>UPDATE COTACAO SET cot_id = 2351, cot_blt_id = 97, cot_pap_id = 1, cot_prc_comum =  60.00, cot_prc_min =  60.00, cot_prc_max =  72.00, cot_prc_med =  64.00, cot_prc_mediana =  60.00 WHERE cot_id = 2351;</v>
      </c>
    </row>
    <row r="2353" customFormat="false" ht="14.25" hidden="false" customHeight="false" outlineLevel="0" collapsed="false">
      <c r="A2353" s="0" t="n">
        <v>2352</v>
      </c>
      <c r="B2353" s="0" t="n">
        <f aca="false">IF('Boletins Nuppa Site'!A2353&lt;&gt;0,'Boletins Nuppa Site'!A2353,"NULL")</f>
        <v>97</v>
      </c>
      <c r="C2353" s="0" t="n">
        <v>2</v>
      </c>
      <c r="D2353" s="0" t="str">
        <f aca="false">IF('Boletins Nuppa Site'!G2353&lt;&gt;0,'Boletins Nuppa Site'!G2353,"NULL")</f>
        <v>NULL</v>
      </c>
      <c r="E2353" s="30" t="str">
        <f aca="false">IF('Boletins Nuppa Site'!H2353&lt;&gt;0,'Boletins Nuppa Site'!H2353,"NULL")</f>
        <v> 60.00</v>
      </c>
      <c r="F2353" s="30" t="str">
        <f aca="false">IF('Boletins Nuppa Site'!I2353&lt;&gt;0,'Boletins Nuppa Site'!I2353,"NULL")</f>
        <v> 108.00</v>
      </c>
      <c r="G2353" s="30" t="str">
        <f aca="false">IF('Boletins Nuppa Site'!J2353&lt;&gt;0,'Boletins Nuppa Site'!J2353,"NULL")</f>
        <v> 88.00</v>
      </c>
      <c r="H2353" s="30" t="str">
        <f aca="false">IF('Boletins Nuppa Site'!K2353&lt;&gt;0,'Boletins Nuppa Site'!K2353,"NULL")</f>
        <v> 96.00</v>
      </c>
      <c r="I2353" s="0" t="str">
        <f aca="false">"INSERT INTO COTACAO (cot_id, cot_blt_id, cot_pap_id, cot_prc_comum, cot_prc_min, cot_prc_max, cot_prc_med, cot_prc_mediana) VALUES ("&amp;A2353&amp;", "&amp;B2353&amp;", "&amp;C2353&amp;", "&amp;D2353&amp;", "&amp;E2353&amp;", "&amp;F2353&amp;", "&amp;G2353&amp;", "&amp;H2353&amp;");"</f>
        <v>INSERT INTO COTACAO (cot_id, cot_blt_id, cot_pap_id, cot_prc_comum, cot_prc_min, cot_prc_max, cot_prc_med, cot_prc_mediana) VALUES (2352, 97, 2, NULL,  60.00,  108.00,  88.00,  96.00);</v>
      </c>
      <c r="J2353" s="0" t="str">
        <f aca="false">"UPDATE COTACAO SET cot_id = "&amp;A2353&amp;", cot_blt_id = "&amp;B2353&amp;", cot_pap_id = "&amp;C2353&amp;", cot_prc_comum = "&amp;D2353&amp;", cot_prc_min = "&amp;E2353&amp;", cot_prc_max = "&amp;F2353&amp;", cot_prc_med = "&amp;G2353&amp;", cot_prc_mediana = "&amp;H2353&amp;" WHERE cot_id = "&amp;A2353&amp;";"</f>
        <v>UPDATE COTACAO SET cot_id = 2352, cot_blt_id = 97, cot_pap_id = 2, cot_prc_comum = NULL, cot_prc_min =  60.00, cot_prc_max =  108.00, cot_prc_med =  88.00, cot_prc_mediana =  96.00 WHERE cot_id = 2352;</v>
      </c>
    </row>
    <row r="2354" customFormat="false" ht="14.25" hidden="false" customHeight="false" outlineLevel="0" collapsed="false">
      <c r="A2354" s="0" t="n">
        <v>2353</v>
      </c>
      <c r="B2354" s="0" t="n">
        <f aca="false">IF('Boletins Nuppa Site'!A2354&lt;&gt;0,'Boletins Nuppa Site'!A2354,"NULL")</f>
        <v>97</v>
      </c>
      <c r="C2354" s="0" t="n">
        <v>3</v>
      </c>
      <c r="D2354" s="0" t="str">
        <f aca="false">IF('Boletins Nuppa Site'!G2354&lt;&gt;0,'Boletins Nuppa Site'!G2354,"NULL")</f>
        <v> 45.00</v>
      </c>
      <c r="E2354" s="30" t="str">
        <f aca="false">IF('Boletins Nuppa Site'!H2354&lt;&gt;0,'Boletins Nuppa Site'!H2354,"NULL")</f>
        <v> 48.00</v>
      </c>
      <c r="F2354" s="30" t="str">
        <f aca="false">IF('Boletins Nuppa Site'!I2354&lt;&gt;0,'Boletins Nuppa Site'!I2354,"NULL")</f>
        <v> 60.00</v>
      </c>
      <c r="G2354" s="30" t="str">
        <f aca="false">IF('Boletins Nuppa Site'!J2354&lt;&gt;0,'Boletins Nuppa Site'!J2354,"NULL")</f>
        <v> 50.25</v>
      </c>
      <c r="H2354" s="30" t="str">
        <f aca="false">IF('Boletins Nuppa Site'!K2354&lt;&gt;0,'Boletins Nuppa Site'!K2354,"NULL")</f>
        <v> 48.00</v>
      </c>
      <c r="I2354" s="0" t="str">
        <f aca="false">"INSERT INTO COTACAO (cot_id, cot_blt_id, cot_pap_id, cot_prc_comum, cot_prc_min, cot_prc_max, cot_prc_med, cot_prc_mediana) VALUES ("&amp;A2354&amp;", "&amp;B2354&amp;", "&amp;C2354&amp;", "&amp;D2354&amp;", "&amp;E2354&amp;", "&amp;F2354&amp;", "&amp;G2354&amp;", "&amp;H2354&amp;");"</f>
        <v>INSERT INTO COTACAO (cot_id, cot_blt_id, cot_pap_id, cot_prc_comum, cot_prc_min, cot_prc_max, cot_prc_med, cot_prc_mediana) VALUES (2353, 97, 3,  45.00,  48.00,  60.00,  50.25,  48.00);</v>
      </c>
      <c r="J2354" s="0" t="str">
        <f aca="false">"UPDATE COTACAO SET cot_id = "&amp;A2354&amp;", cot_blt_id = "&amp;B2354&amp;", cot_pap_id = "&amp;C2354&amp;", cot_prc_comum = "&amp;D2354&amp;", cot_prc_min = "&amp;E2354&amp;", cot_prc_max = "&amp;F2354&amp;", cot_prc_med = "&amp;G2354&amp;", cot_prc_mediana = "&amp;H2354&amp;" WHERE cot_id = "&amp;A2354&amp;";"</f>
        <v>UPDATE COTACAO SET cot_id = 2353, cot_blt_id = 97, cot_pap_id = 3, cot_prc_comum =  45.00, cot_prc_min =  48.00, cot_prc_max =  60.00, cot_prc_med =  50.25, cot_prc_mediana =  48.00 WHERE cot_id = 2353;</v>
      </c>
    </row>
    <row r="2355" customFormat="false" ht="14.25" hidden="false" customHeight="false" outlineLevel="0" collapsed="false">
      <c r="A2355" s="0" t="n">
        <v>2354</v>
      </c>
      <c r="B2355" s="0" t="n">
        <f aca="false">IF('Boletins Nuppa Site'!A2355&lt;&gt;0,'Boletins Nuppa Site'!A2355,"NULL")</f>
        <v>97</v>
      </c>
      <c r="C2355" s="0" t="n">
        <v>4</v>
      </c>
      <c r="D2355" s="0" t="str">
        <f aca="false">IF('Boletins Nuppa Site'!G2355&lt;&gt;0,'Boletins Nuppa Site'!G2355,"NULL")</f>
        <v> 30.00</v>
      </c>
      <c r="E2355" s="30" t="str">
        <f aca="false">IF('Boletins Nuppa Site'!H2355&lt;&gt;0,'Boletins Nuppa Site'!H2355,"NULL")</f>
        <v> 30.00</v>
      </c>
      <c r="F2355" s="30" t="str">
        <f aca="false">IF('Boletins Nuppa Site'!I2355&lt;&gt;0,'Boletins Nuppa Site'!I2355,"NULL")</f>
        <v> 30.00</v>
      </c>
      <c r="G2355" s="30" t="str">
        <f aca="false">IF('Boletins Nuppa Site'!J2355&lt;&gt;0,'Boletins Nuppa Site'!J2355,"NULL")</f>
        <v> 30.00</v>
      </c>
      <c r="H2355" s="30" t="str">
        <f aca="false">IF('Boletins Nuppa Site'!K2355&lt;&gt;0,'Boletins Nuppa Site'!K2355,"NULL")</f>
        <v> 30.00</v>
      </c>
      <c r="I2355" s="0" t="str">
        <f aca="false">"INSERT INTO COTACAO (cot_id, cot_blt_id, cot_pap_id, cot_prc_comum, cot_prc_min, cot_prc_max, cot_prc_med, cot_prc_mediana) VALUES ("&amp;A2355&amp;", "&amp;B2355&amp;", "&amp;C2355&amp;", "&amp;D2355&amp;", "&amp;E2355&amp;", "&amp;F2355&amp;", "&amp;G2355&amp;", "&amp;H2355&amp;");"</f>
        <v>INSERT INTO COTACAO (cot_id, cot_blt_id, cot_pap_id, cot_prc_comum, cot_prc_min, cot_prc_max, cot_prc_med, cot_prc_mediana) VALUES (2354, 97, 4,  30.00,  30.00,  30.00,  30.00,  30.00);</v>
      </c>
      <c r="J2355" s="0" t="str">
        <f aca="false">"UPDATE COTACAO SET cot_id = "&amp;A2355&amp;", cot_blt_id = "&amp;B2355&amp;", cot_pap_id = "&amp;C2355&amp;", cot_prc_comum = "&amp;D2355&amp;", cot_prc_min = "&amp;E2355&amp;", cot_prc_max = "&amp;F2355&amp;", cot_prc_med = "&amp;G2355&amp;", cot_prc_mediana = "&amp;H2355&amp;" WHERE cot_id = "&amp;A2355&amp;";"</f>
        <v>UPDATE COTACAO SET cot_id = 2354, cot_blt_id = 97, cot_pap_id = 4, cot_prc_comum =  30.00, cot_prc_min =  30.00, cot_prc_max =  30.00, cot_prc_med =  30.00, cot_prc_mediana =  30.00 WHERE cot_id = 2354;</v>
      </c>
    </row>
    <row r="2356" customFormat="false" ht="14.25" hidden="false" customHeight="false" outlineLevel="0" collapsed="false">
      <c r="A2356" s="0" t="n">
        <v>2355</v>
      </c>
      <c r="B2356" s="0" t="n">
        <f aca="false">IF('Boletins Nuppa Site'!A2356&lt;&gt;0,'Boletins Nuppa Site'!A2356,"NULL")</f>
        <v>97</v>
      </c>
      <c r="C2356" s="0" t="n">
        <v>5</v>
      </c>
      <c r="D2356" s="0" t="str">
        <f aca="false">IF('Boletins Nuppa Site'!G2356&lt;&gt;0,'Boletins Nuppa Site'!G2356,"NULL")</f>
        <v> 30.00</v>
      </c>
      <c r="E2356" s="30" t="str">
        <f aca="false">IF('Boletins Nuppa Site'!H2356&lt;&gt;0,'Boletins Nuppa Site'!H2356,"NULL")</f>
        <v> 30.00</v>
      </c>
      <c r="F2356" s="30" t="str">
        <f aca="false">IF('Boletins Nuppa Site'!I2356&lt;&gt;0,'Boletins Nuppa Site'!I2356,"NULL")</f>
        <v> 30.00</v>
      </c>
      <c r="G2356" s="30" t="str">
        <f aca="false">IF('Boletins Nuppa Site'!J2356&lt;&gt;0,'Boletins Nuppa Site'!J2356,"NULL")</f>
        <v> 30.00</v>
      </c>
      <c r="H2356" s="30" t="str">
        <f aca="false">IF('Boletins Nuppa Site'!K2356&lt;&gt;0,'Boletins Nuppa Site'!K2356,"NULL")</f>
        <v> 30.00</v>
      </c>
      <c r="I2356" s="0" t="str">
        <f aca="false">"INSERT INTO COTACAO (cot_id, cot_blt_id, cot_pap_id, cot_prc_comum, cot_prc_min, cot_prc_max, cot_prc_med, cot_prc_mediana) VALUES ("&amp;A2356&amp;", "&amp;B2356&amp;", "&amp;C2356&amp;", "&amp;D2356&amp;", "&amp;E2356&amp;", "&amp;F2356&amp;", "&amp;G2356&amp;", "&amp;H2356&amp;");"</f>
        <v>INSERT INTO COTACAO (cot_id, cot_blt_id, cot_pap_id, cot_prc_comum, cot_prc_min, cot_prc_max, cot_prc_med, cot_prc_mediana) VALUES (2355, 97, 5,  30.00,  30.00,  30.00,  30.00,  30.00);</v>
      </c>
      <c r="J2356" s="0" t="str">
        <f aca="false">"UPDATE COTACAO SET cot_id = "&amp;A2356&amp;", cot_blt_id = "&amp;B2356&amp;", cot_pap_id = "&amp;C2356&amp;", cot_prc_comum = "&amp;D2356&amp;", cot_prc_min = "&amp;E2356&amp;", cot_prc_max = "&amp;F2356&amp;", cot_prc_med = "&amp;G2356&amp;", cot_prc_mediana = "&amp;H2356&amp;" WHERE cot_id = "&amp;A2356&amp;";"</f>
        <v>UPDATE COTACAO SET cot_id = 2355, cot_blt_id = 97, cot_pap_id = 5, cot_prc_comum =  30.00, cot_prc_min =  30.00, cot_prc_max =  30.00, cot_prc_med =  30.00, cot_prc_mediana =  30.00 WHERE cot_id = 2355;</v>
      </c>
    </row>
    <row r="2357" customFormat="false" ht="14.25" hidden="false" customHeight="false" outlineLevel="0" collapsed="false">
      <c r="A2357" s="0" t="n">
        <v>2356</v>
      </c>
      <c r="B2357" s="0" t="n">
        <f aca="false">IF('Boletins Nuppa Site'!A2357&lt;&gt;0,'Boletins Nuppa Site'!A2357,"NULL")</f>
        <v>97</v>
      </c>
      <c r="C2357" s="0" t="n">
        <v>6</v>
      </c>
      <c r="D2357" s="0" t="str">
        <f aca="false">IF('Boletins Nuppa Site'!G2357&lt;&gt;0,'Boletins Nuppa Site'!G2357,"NULL")</f>
        <v> 60.00</v>
      </c>
      <c r="E2357" s="30" t="str">
        <f aca="false">IF('Boletins Nuppa Site'!H2357&lt;&gt;0,'Boletins Nuppa Site'!H2357,"NULL")</f>
        <v> 60.00</v>
      </c>
      <c r="F2357" s="30" t="str">
        <f aca="false">IF('Boletins Nuppa Site'!I2357&lt;&gt;0,'Boletins Nuppa Site'!I2357,"NULL")</f>
        <v> 84.00</v>
      </c>
      <c r="G2357" s="30" t="str">
        <f aca="false">IF('Boletins Nuppa Site'!J2357&lt;&gt;0,'Boletins Nuppa Site'!J2357,"NULL")</f>
        <v> 68.00</v>
      </c>
      <c r="H2357" s="30" t="str">
        <f aca="false">IF('Boletins Nuppa Site'!K2357&lt;&gt;0,'Boletins Nuppa Site'!K2357,"NULL")</f>
        <v> 60.00</v>
      </c>
      <c r="I2357" s="0" t="str">
        <f aca="false">"INSERT INTO COTACAO (cot_id, cot_blt_id, cot_pap_id, cot_prc_comum, cot_prc_min, cot_prc_max, cot_prc_med, cot_prc_mediana) VALUES ("&amp;A2357&amp;", "&amp;B2357&amp;", "&amp;C2357&amp;", "&amp;D2357&amp;", "&amp;E2357&amp;", "&amp;F2357&amp;", "&amp;G2357&amp;", "&amp;H2357&amp;");"</f>
        <v>INSERT INTO COTACAO (cot_id, cot_blt_id, cot_pap_id, cot_prc_comum, cot_prc_min, cot_prc_max, cot_prc_med, cot_prc_mediana) VALUES (2356, 97, 6,  60.00,  60.00,  84.00,  68.00,  60.00);</v>
      </c>
      <c r="J2357" s="0" t="str">
        <f aca="false">"UPDATE COTACAO SET cot_id = "&amp;A2357&amp;", cot_blt_id = "&amp;B2357&amp;", cot_pap_id = "&amp;C2357&amp;", cot_prc_comum = "&amp;D2357&amp;", cot_prc_min = "&amp;E2357&amp;", cot_prc_max = "&amp;F2357&amp;", cot_prc_med = "&amp;G2357&amp;", cot_prc_mediana = "&amp;H2357&amp;" WHERE cot_id = "&amp;A2357&amp;";"</f>
        <v>UPDATE COTACAO SET cot_id = 2356, cot_blt_id = 97, cot_pap_id = 6, cot_prc_comum =  60.00, cot_prc_min =  60.00, cot_prc_max =  84.00, cot_prc_med =  68.00, cot_prc_mediana =  60.00 WHERE cot_id = 2356;</v>
      </c>
    </row>
    <row r="2358" customFormat="false" ht="14.25" hidden="false" customHeight="false" outlineLevel="0" collapsed="false">
      <c r="A2358" s="0" t="n">
        <v>2357</v>
      </c>
      <c r="B2358" s="0" t="n">
        <f aca="false">IF('Boletins Nuppa Site'!A2358&lt;&gt;0,'Boletins Nuppa Site'!A2358,"NULL")</f>
        <v>97</v>
      </c>
      <c r="C2358" s="0" t="n">
        <v>7</v>
      </c>
      <c r="D2358" s="0" t="str">
        <f aca="false">IF('Boletins Nuppa Site'!G2358&lt;&gt;0,'Boletins Nuppa Site'!G2358,"NULL")</f>
        <v>NULL</v>
      </c>
      <c r="E2358" s="30" t="str">
        <f aca="false">IF('Boletins Nuppa Site'!H2358&lt;&gt;0,'Boletins Nuppa Site'!H2358,"NULL")</f>
        <v> 84.00</v>
      </c>
      <c r="F2358" s="30" t="str">
        <f aca="false">IF('Boletins Nuppa Site'!I2358&lt;&gt;0,'Boletins Nuppa Site'!I2358,"NULL")</f>
        <v> 108.00</v>
      </c>
      <c r="G2358" s="30" t="str">
        <f aca="false">IF('Boletins Nuppa Site'!J2358&lt;&gt;0,'Boletins Nuppa Site'!J2358,"NULL")</f>
        <v> 96.00</v>
      </c>
      <c r="H2358" s="30" t="str">
        <f aca="false">IF('Boletins Nuppa Site'!K2358&lt;&gt;0,'Boletins Nuppa Site'!K2358,"NULL")</f>
        <v> 96.00</v>
      </c>
      <c r="I2358" s="0" t="str">
        <f aca="false">"INSERT INTO COTACAO (cot_id, cot_blt_id, cot_pap_id, cot_prc_comum, cot_prc_min, cot_prc_max, cot_prc_med, cot_prc_mediana) VALUES ("&amp;A2358&amp;", "&amp;B2358&amp;", "&amp;C2358&amp;", "&amp;D2358&amp;", "&amp;E2358&amp;", "&amp;F2358&amp;", "&amp;G2358&amp;", "&amp;H2358&amp;");"</f>
        <v>INSERT INTO COTACAO (cot_id, cot_blt_id, cot_pap_id, cot_prc_comum, cot_prc_min, cot_prc_max, cot_prc_med, cot_prc_mediana) VALUES (2357, 97, 7, NULL,  84.00,  108.00,  96.00,  96.00);</v>
      </c>
      <c r="J2358" s="0" t="str">
        <f aca="false">"UPDATE COTACAO SET cot_id = "&amp;A2358&amp;", cot_blt_id = "&amp;B2358&amp;", cot_pap_id = "&amp;C2358&amp;", cot_prc_comum = "&amp;D2358&amp;", cot_prc_min = "&amp;E2358&amp;", cot_prc_max = "&amp;F2358&amp;", cot_prc_med = "&amp;G2358&amp;", cot_prc_mediana = "&amp;H2358&amp;" WHERE cot_id = "&amp;A2358&amp;";"</f>
        <v>UPDATE COTACAO SET cot_id = 2357, cot_blt_id = 97, cot_pap_id = 7, cot_prc_comum = NULL, cot_prc_min =  84.00, cot_prc_max =  108.00, cot_prc_med =  96.00, cot_prc_mediana =  96.00 WHERE cot_id = 2357;</v>
      </c>
    </row>
    <row r="2359" customFormat="false" ht="14.25" hidden="false" customHeight="false" outlineLevel="0" collapsed="false">
      <c r="A2359" s="0" t="n">
        <v>2358</v>
      </c>
      <c r="B2359" s="0" t="n">
        <f aca="false">IF('Boletins Nuppa Site'!A2359&lt;&gt;0,'Boletins Nuppa Site'!A2359,"NULL")</f>
        <v>97</v>
      </c>
      <c r="C2359" s="0" t="n">
        <v>8</v>
      </c>
      <c r="D2359" s="0" t="str">
        <f aca="false">IF('Boletins Nuppa Site'!G2359&lt;&gt;0,'Boletins Nuppa Site'!G2359,"NULL")</f>
        <v>NULL</v>
      </c>
      <c r="E2359" s="30" t="str">
        <f aca="false">IF('Boletins Nuppa Site'!H2359&lt;&gt;0,'Boletins Nuppa Site'!H2359,"NULL")</f>
        <v> 30.00</v>
      </c>
      <c r="F2359" s="30" t="str">
        <f aca="false">IF('Boletins Nuppa Site'!I2359&lt;&gt;0,'Boletins Nuppa Site'!I2359,"NULL")</f>
        <v> 168.00</v>
      </c>
      <c r="G2359" s="30" t="str">
        <f aca="false">IF('Boletins Nuppa Site'!J2359&lt;&gt;0,'Boletins Nuppa Site'!J2359,"NULL")</f>
        <v> 93.50</v>
      </c>
      <c r="H2359" s="30" t="str">
        <f aca="false">IF('Boletins Nuppa Site'!K2359&lt;&gt;0,'Boletins Nuppa Site'!K2359,"NULL")</f>
        <v> 88.00</v>
      </c>
      <c r="I2359" s="0" t="str">
        <f aca="false">"INSERT INTO COTACAO (cot_id, cot_blt_id, cot_pap_id, cot_prc_comum, cot_prc_min, cot_prc_max, cot_prc_med, cot_prc_mediana) VALUES ("&amp;A2359&amp;", "&amp;B2359&amp;", "&amp;C2359&amp;", "&amp;D2359&amp;", "&amp;E2359&amp;", "&amp;F2359&amp;", "&amp;G2359&amp;", "&amp;H2359&amp;");"</f>
        <v>INSERT INTO COTACAO (cot_id, cot_blt_id, cot_pap_id, cot_prc_comum, cot_prc_min, cot_prc_max, cot_prc_med, cot_prc_mediana) VALUES (2358, 97, 8, NULL,  30.00,  168.00,  93.50,  88.00);</v>
      </c>
      <c r="J2359" s="0" t="str">
        <f aca="false">"UPDATE COTACAO SET cot_id = "&amp;A2359&amp;", cot_blt_id = "&amp;B2359&amp;", cot_pap_id = "&amp;C2359&amp;", cot_prc_comum = "&amp;D2359&amp;", cot_prc_min = "&amp;E2359&amp;", cot_prc_max = "&amp;F2359&amp;", cot_prc_med = "&amp;G2359&amp;", cot_prc_mediana = "&amp;H2359&amp;" WHERE cot_id = "&amp;A2359&amp;";"</f>
        <v>UPDATE COTACAO SET cot_id = 2358, cot_blt_id = 97, cot_pap_id = 8, cot_prc_comum = NULL, cot_prc_min =  30.00, cot_prc_max =  168.00, cot_prc_med =  93.50, cot_prc_mediana =  88.00 WHERE cot_id = 2358;</v>
      </c>
    </row>
    <row r="2360" customFormat="false" ht="14.25" hidden="false" customHeight="false" outlineLevel="0" collapsed="false">
      <c r="A2360" s="0" t="n">
        <v>2359</v>
      </c>
      <c r="B2360" s="0" t="n">
        <f aca="false">IF('Boletins Nuppa Site'!A2360&lt;&gt;0,'Boletins Nuppa Site'!A2360,"NULL")</f>
        <v>97</v>
      </c>
      <c r="C2360" s="0" t="n">
        <v>9</v>
      </c>
      <c r="D2360" s="0" t="str">
        <f aca="false">IF('Boletins Nuppa Site'!G2360&lt;&gt;0,'Boletins Nuppa Site'!G2360,"NULL")</f>
        <v> 30.00</v>
      </c>
      <c r="E2360" s="30" t="str">
        <f aca="false">IF('Boletins Nuppa Site'!H2360&lt;&gt;0,'Boletins Nuppa Site'!H2360,"NULL")</f>
        <v> 24.00</v>
      </c>
      <c r="F2360" s="30" t="str">
        <f aca="false">IF('Boletins Nuppa Site'!I2360&lt;&gt;0,'Boletins Nuppa Site'!I2360,"NULL")</f>
        <v> 36.00</v>
      </c>
      <c r="G2360" s="30" t="str">
        <f aca="false">IF('Boletins Nuppa Site'!J2360&lt;&gt;0,'Boletins Nuppa Site'!J2360,"NULL")</f>
        <v> 30.00</v>
      </c>
      <c r="H2360" s="30" t="str">
        <f aca="false">IF('Boletins Nuppa Site'!K2360&lt;&gt;0,'Boletins Nuppa Site'!K2360,"NULL")</f>
        <v> 30.00</v>
      </c>
      <c r="I2360" s="0" t="str">
        <f aca="false">"INSERT INTO COTACAO (cot_id, cot_blt_id, cot_pap_id, cot_prc_comum, cot_prc_min, cot_prc_max, cot_prc_med, cot_prc_mediana) VALUES ("&amp;A2360&amp;", "&amp;B2360&amp;", "&amp;C2360&amp;", "&amp;D2360&amp;", "&amp;E2360&amp;", "&amp;F2360&amp;", "&amp;G2360&amp;", "&amp;H2360&amp;");"</f>
        <v>INSERT INTO COTACAO (cot_id, cot_blt_id, cot_pap_id, cot_prc_comum, cot_prc_min, cot_prc_max, cot_prc_med, cot_prc_mediana) VALUES (2359, 97, 9,  30.00,  24.00,  36.00,  30.00,  30.00);</v>
      </c>
      <c r="J2360" s="0" t="str">
        <f aca="false">"UPDATE COTACAO SET cot_id = "&amp;A2360&amp;", cot_blt_id = "&amp;B2360&amp;", cot_pap_id = "&amp;C2360&amp;", cot_prc_comum = "&amp;D2360&amp;", cot_prc_min = "&amp;E2360&amp;", cot_prc_max = "&amp;F2360&amp;", cot_prc_med = "&amp;G2360&amp;", cot_prc_mediana = "&amp;H2360&amp;" WHERE cot_id = "&amp;A2360&amp;";"</f>
        <v>UPDATE COTACAO SET cot_id = 2359, cot_blt_id = 97, cot_pap_id = 9, cot_prc_comum =  30.00, cot_prc_min =  24.00, cot_prc_max =  36.00, cot_prc_med =  30.00, cot_prc_mediana =  30.00 WHERE cot_id = 2359;</v>
      </c>
    </row>
    <row r="2361" customFormat="false" ht="14.25" hidden="false" customHeight="false" outlineLevel="0" collapsed="false">
      <c r="A2361" s="0" t="n">
        <v>2360</v>
      </c>
      <c r="B2361" s="0" t="n">
        <f aca="false">IF('Boletins Nuppa Site'!A2361&lt;&gt;0,'Boletins Nuppa Site'!A2361,"NULL")</f>
        <v>97</v>
      </c>
      <c r="C2361" s="0" t="n">
        <v>10</v>
      </c>
      <c r="D2361" s="0" t="str">
        <f aca="false">IF('Boletins Nuppa Site'!G2361&lt;&gt;0,'Boletins Nuppa Site'!G2361,"NULL")</f>
        <v> 80.00</v>
      </c>
      <c r="E2361" s="30" t="str">
        <f aca="false">IF('Boletins Nuppa Site'!H2361&lt;&gt;0,'Boletins Nuppa Site'!H2361,"NULL")</f>
        <v> 120.00</v>
      </c>
      <c r="F2361" s="30" t="str">
        <f aca="false">IF('Boletins Nuppa Site'!I2361&lt;&gt;0,'Boletins Nuppa Site'!I2361,"NULL")</f>
        <v> 120.00</v>
      </c>
      <c r="G2361" s="30" t="str">
        <f aca="false">IF('Boletins Nuppa Site'!J2361&lt;&gt;0,'Boletins Nuppa Site'!J2361,"NULL")</f>
        <v> 106.67</v>
      </c>
      <c r="H2361" s="30" t="str">
        <f aca="false">IF('Boletins Nuppa Site'!K2361&lt;&gt;0,'Boletins Nuppa Site'!K2361,"NULL")</f>
        <v> 120.00</v>
      </c>
      <c r="I2361" s="0" t="str">
        <f aca="false">"INSERT INTO COTACAO (cot_id, cot_blt_id, cot_pap_id, cot_prc_comum, cot_prc_min, cot_prc_max, cot_prc_med, cot_prc_mediana) VALUES ("&amp;A2361&amp;", "&amp;B2361&amp;", "&amp;C2361&amp;", "&amp;D2361&amp;", "&amp;E2361&amp;", "&amp;F2361&amp;", "&amp;G2361&amp;", "&amp;H2361&amp;");"</f>
        <v>INSERT INTO COTACAO (cot_id, cot_blt_id, cot_pap_id, cot_prc_comum, cot_prc_min, cot_prc_max, cot_prc_med, cot_prc_mediana) VALUES (2360, 97, 10,  80.00,  120.00,  120.00,  106.67,  120.00);</v>
      </c>
      <c r="J2361" s="0" t="str">
        <f aca="false">"UPDATE COTACAO SET cot_id = "&amp;A2361&amp;", cot_blt_id = "&amp;B2361&amp;", cot_pap_id = "&amp;C2361&amp;", cot_prc_comum = "&amp;D2361&amp;", cot_prc_min = "&amp;E2361&amp;", cot_prc_max = "&amp;F2361&amp;", cot_prc_med = "&amp;G2361&amp;", cot_prc_mediana = "&amp;H2361&amp;" WHERE cot_id = "&amp;A2361&amp;";"</f>
        <v>UPDATE COTACAO SET cot_id = 2360, cot_blt_id = 97, cot_pap_id = 10, cot_prc_comum =  80.00, cot_prc_min =  120.00, cot_prc_max =  120.00, cot_prc_med =  106.67, cot_prc_mediana =  120.00 WHERE cot_id = 2360;</v>
      </c>
    </row>
    <row r="2362" customFormat="false" ht="14.25" hidden="false" customHeight="false" outlineLevel="0" collapsed="false">
      <c r="A2362" s="0" t="n">
        <v>2361</v>
      </c>
      <c r="B2362" s="0" t="n">
        <f aca="false">IF('Boletins Nuppa Site'!A2362&lt;&gt;0,'Boletins Nuppa Site'!A2362,"NULL")</f>
        <v>97</v>
      </c>
      <c r="C2362" s="0" t="n">
        <v>11</v>
      </c>
      <c r="D2362" s="0" t="str">
        <f aca="false">IF('Boletins Nuppa Site'!G2362&lt;&gt;0,'Boletins Nuppa Site'!G2362,"NULL")</f>
        <v> 24.00</v>
      </c>
      <c r="E2362" s="30" t="str">
        <f aca="false">IF('Boletins Nuppa Site'!H2362&lt;&gt;0,'Boletins Nuppa Site'!H2362,"NULL")</f>
        <v> 30.00</v>
      </c>
      <c r="F2362" s="30" t="str">
        <f aca="false">IF('Boletins Nuppa Site'!I2362&lt;&gt;0,'Boletins Nuppa Site'!I2362,"NULL")</f>
        <v> 30.00</v>
      </c>
      <c r="G2362" s="30" t="str">
        <f aca="false">IF('Boletins Nuppa Site'!J2362&lt;&gt;0,'Boletins Nuppa Site'!J2362,"NULL")</f>
        <v> 28.50</v>
      </c>
      <c r="H2362" s="30" t="str">
        <f aca="false">IF('Boletins Nuppa Site'!K2362&lt;&gt;0,'Boletins Nuppa Site'!K2362,"NULL")</f>
        <v> 30.00</v>
      </c>
      <c r="I2362" s="0" t="str">
        <f aca="false">"INSERT INTO COTACAO (cot_id, cot_blt_id, cot_pap_id, cot_prc_comum, cot_prc_min, cot_prc_max, cot_prc_med, cot_prc_mediana) VALUES ("&amp;A2362&amp;", "&amp;B2362&amp;", "&amp;C2362&amp;", "&amp;D2362&amp;", "&amp;E2362&amp;", "&amp;F2362&amp;", "&amp;G2362&amp;", "&amp;H2362&amp;");"</f>
        <v>INSERT INTO COTACAO (cot_id, cot_blt_id, cot_pap_id, cot_prc_comum, cot_prc_min, cot_prc_max, cot_prc_med, cot_prc_mediana) VALUES (2361, 97, 11,  24.00,  30.00,  30.00,  28.50,  30.00);</v>
      </c>
      <c r="J2362" s="0" t="str">
        <f aca="false">"UPDATE COTACAO SET cot_id = "&amp;A2362&amp;", cot_blt_id = "&amp;B2362&amp;", cot_pap_id = "&amp;C2362&amp;", cot_prc_comum = "&amp;D2362&amp;", cot_prc_min = "&amp;E2362&amp;", cot_prc_max = "&amp;F2362&amp;", cot_prc_med = "&amp;G2362&amp;", cot_prc_mediana = "&amp;H2362&amp;" WHERE cot_id = "&amp;A2362&amp;";"</f>
        <v>UPDATE COTACAO SET cot_id = 2361, cot_blt_id = 97, cot_pap_id = 11, cot_prc_comum =  24.00, cot_prc_min =  30.00, cot_prc_max =  30.00, cot_prc_med =  28.50, cot_prc_mediana =  30.00 WHERE cot_id = 2361;</v>
      </c>
    </row>
    <row r="2363" customFormat="false" ht="14.25" hidden="false" customHeight="false" outlineLevel="0" collapsed="false">
      <c r="A2363" s="0" t="n">
        <v>2362</v>
      </c>
      <c r="B2363" s="0" t="n">
        <f aca="false">IF('Boletins Nuppa Site'!A2363&lt;&gt;0,'Boletins Nuppa Site'!A2363,"NULL")</f>
        <v>97</v>
      </c>
      <c r="C2363" s="0" t="n">
        <v>12</v>
      </c>
      <c r="D2363" s="0" t="str">
        <f aca="false">IF('Boletins Nuppa Site'!G2363&lt;&gt;0,'Boletins Nuppa Site'!G2363,"NULL")</f>
        <v> 60.00</v>
      </c>
      <c r="E2363" s="30" t="str">
        <f aca="false">IF('Boletins Nuppa Site'!H2363&lt;&gt;0,'Boletins Nuppa Site'!H2363,"NULL")</f>
        <v> 60.00</v>
      </c>
      <c r="F2363" s="30" t="str">
        <f aca="false">IF('Boletins Nuppa Site'!I2363&lt;&gt;0,'Boletins Nuppa Site'!I2363,"NULL")</f>
        <v> 120.00</v>
      </c>
      <c r="G2363" s="30" t="str">
        <f aca="false">IF('Boletins Nuppa Site'!J2363&lt;&gt;0,'Boletins Nuppa Site'!J2363,"NULL")</f>
        <v> 80.00</v>
      </c>
      <c r="H2363" s="30" t="str">
        <f aca="false">IF('Boletins Nuppa Site'!K2363&lt;&gt;0,'Boletins Nuppa Site'!K2363,"NULL")</f>
        <v> 60.00</v>
      </c>
      <c r="I2363" s="0" t="str">
        <f aca="false">"INSERT INTO COTACAO (cot_id, cot_blt_id, cot_pap_id, cot_prc_comum, cot_prc_min, cot_prc_max, cot_prc_med, cot_prc_mediana) VALUES ("&amp;A2363&amp;", "&amp;B2363&amp;", "&amp;C2363&amp;", "&amp;D2363&amp;", "&amp;E2363&amp;", "&amp;F2363&amp;", "&amp;G2363&amp;", "&amp;H2363&amp;");"</f>
        <v>INSERT INTO COTACAO (cot_id, cot_blt_id, cot_pap_id, cot_prc_comum, cot_prc_min, cot_prc_max, cot_prc_med, cot_prc_mediana) VALUES (2362, 97, 12,  60.00,  60.00,  120.00,  80.00,  60.00);</v>
      </c>
      <c r="J2363" s="0" t="str">
        <f aca="false">"UPDATE COTACAO SET cot_id = "&amp;A2363&amp;", cot_blt_id = "&amp;B2363&amp;", cot_pap_id = "&amp;C2363&amp;", cot_prc_comum = "&amp;D2363&amp;", cot_prc_min = "&amp;E2363&amp;", cot_prc_max = "&amp;F2363&amp;", cot_prc_med = "&amp;G2363&amp;", cot_prc_mediana = "&amp;H2363&amp;" WHERE cot_id = "&amp;A2363&amp;";"</f>
        <v>UPDATE COTACAO SET cot_id = 2362, cot_blt_id = 97, cot_pap_id = 12, cot_prc_comum =  60.00, cot_prc_min =  60.00, cot_prc_max =  120.00, cot_prc_med =  80.00, cot_prc_mediana =  60.00 WHERE cot_id = 2362;</v>
      </c>
    </row>
    <row r="2364" customFormat="false" ht="14.25" hidden="false" customHeight="false" outlineLevel="0" collapsed="false">
      <c r="A2364" s="0" t="n">
        <v>2363</v>
      </c>
      <c r="B2364" s="0" t="n">
        <f aca="false">IF('Boletins Nuppa Site'!A2364&lt;&gt;0,'Boletins Nuppa Site'!A2364,"NULL")</f>
        <v>97</v>
      </c>
      <c r="C2364" s="0" t="n">
        <v>13</v>
      </c>
      <c r="D2364" s="0" t="str">
        <f aca="false">IF('Boletins Nuppa Site'!G2364&lt;&gt;0,'Boletins Nuppa Site'!G2364,"NULL")</f>
        <v> 60.00</v>
      </c>
      <c r="E2364" s="30" t="str">
        <f aca="false">IF('Boletins Nuppa Site'!H2364&lt;&gt;0,'Boletins Nuppa Site'!H2364,"NULL")</f>
        <v> 60.00</v>
      </c>
      <c r="F2364" s="30" t="str">
        <f aca="false">IF('Boletins Nuppa Site'!I2364&lt;&gt;0,'Boletins Nuppa Site'!I2364,"NULL")</f>
        <v> 72.00</v>
      </c>
      <c r="G2364" s="30" t="str">
        <f aca="false">IF('Boletins Nuppa Site'!J2364&lt;&gt;0,'Boletins Nuppa Site'!J2364,"NULL")</f>
        <v> 63.00</v>
      </c>
      <c r="H2364" s="30" t="str">
        <f aca="false">IF('Boletins Nuppa Site'!K2364&lt;&gt;0,'Boletins Nuppa Site'!K2364,"NULL")</f>
        <v> 60.00</v>
      </c>
      <c r="I2364" s="0" t="str">
        <f aca="false">"INSERT INTO COTACAO (cot_id, cot_blt_id, cot_pap_id, cot_prc_comum, cot_prc_min, cot_prc_max, cot_prc_med, cot_prc_mediana) VALUES ("&amp;A2364&amp;", "&amp;B2364&amp;", "&amp;C2364&amp;", "&amp;D2364&amp;", "&amp;E2364&amp;", "&amp;F2364&amp;", "&amp;G2364&amp;", "&amp;H2364&amp;");"</f>
        <v>INSERT INTO COTACAO (cot_id, cot_blt_id, cot_pap_id, cot_prc_comum, cot_prc_min, cot_prc_max, cot_prc_med, cot_prc_mediana) VALUES (2363, 97, 13,  60.00,  60.00,  72.00,  63.00,  60.00);</v>
      </c>
      <c r="J2364" s="0" t="str">
        <f aca="false">"UPDATE COTACAO SET cot_id = "&amp;A2364&amp;", cot_blt_id = "&amp;B2364&amp;", cot_pap_id = "&amp;C2364&amp;", cot_prc_comum = "&amp;D2364&amp;", cot_prc_min = "&amp;E2364&amp;", cot_prc_max = "&amp;F2364&amp;", cot_prc_med = "&amp;G2364&amp;", cot_prc_mediana = "&amp;H2364&amp;" WHERE cot_id = "&amp;A2364&amp;";"</f>
        <v>UPDATE COTACAO SET cot_id = 2363, cot_blt_id = 97, cot_pap_id = 13, cot_prc_comum =  60.00, cot_prc_min =  60.00, cot_prc_max =  72.00, cot_prc_med =  63.00, cot_prc_mediana =  60.00 WHERE cot_id = 2363;</v>
      </c>
    </row>
    <row r="2365" customFormat="false" ht="14.25" hidden="false" customHeight="false" outlineLevel="0" collapsed="false">
      <c r="A2365" s="0" t="n">
        <v>2364</v>
      </c>
      <c r="B2365" s="0" t="n">
        <f aca="false">IF('Boletins Nuppa Site'!A2365&lt;&gt;0,'Boletins Nuppa Site'!A2365,"NULL")</f>
        <v>97</v>
      </c>
      <c r="C2365" s="0" t="n">
        <v>14</v>
      </c>
      <c r="D2365" s="0" t="str">
        <f aca="false">IF('Boletins Nuppa Site'!G2365&lt;&gt;0,'Boletins Nuppa Site'!G2365,"NULL")</f>
        <v> 84.00</v>
      </c>
      <c r="E2365" s="30" t="str">
        <f aca="false">IF('Boletins Nuppa Site'!H2365&lt;&gt;0,'Boletins Nuppa Site'!H2365,"NULL")</f>
        <v> 84.00</v>
      </c>
      <c r="F2365" s="30" t="str">
        <f aca="false">IF('Boletins Nuppa Site'!I2365&lt;&gt;0,'Boletins Nuppa Site'!I2365,"NULL")</f>
        <v> 108.00</v>
      </c>
      <c r="G2365" s="30" t="str">
        <f aca="false">IF('Boletins Nuppa Site'!J2365&lt;&gt;0,'Boletins Nuppa Site'!J2365,"NULL")</f>
        <v> 92.00</v>
      </c>
      <c r="H2365" s="30" t="str">
        <f aca="false">IF('Boletins Nuppa Site'!K2365&lt;&gt;0,'Boletins Nuppa Site'!K2365,"NULL")</f>
        <v> 84.00</v>
      </c>
      <c r="I2365" s="0" t="str">
        <f aca="false">"INSERT INTO COTACAO (cot_id, cot_blt_id, cot_pap_id, cot_prc_comum, cot_prc_min, cot_prc_max, cot_prc_med, cot_prc_mediana) VALUES ("&amp;A2365&amp;", "&amp;B2365&amp;", "&amp;C2365&amp;", "&amp;D2365&amp;", "&amp;E2365&amp;", "&amp;F2365&amp;", "&amp;G2365&amp;", "&amp;H2365&amp;");"</f>
        <v>INSERT INTO COTACAO (cot_id, cot_blt_id, cot_pap_id, cot_prc_comum, cot_prc_min, cot_prc_max, cot_prc_med, cot_prc_mediana) VALUES (2364, 97, 14,  84.00,  84.00,  108.00,  92.00,  84.00);</v>
      </c>
      <c r="J2365" s="0" t="str">
        <f aca="false">"UPDATE COTACAO SET cot_id = "&amp;A2365&amp;", cot_blt_id = "&amp;B2365&amp;", cot_pap_id = "&amp;C2365&amp;", cot_prc_comum = "&amp;D2365&amp;", cot_prc_min = "&amp;E2365&amp;", cot_prc_max = "&amp;F2365&amp;", cot_prc_med = "&amp;G2365&amp;", cot_prc_mediana = "&amp;H2365&amp;" WHERE cot_id = "&amp;A2365&amp;";"</f>
        <v>UPDATE COTACAO SET cot_id = 2364, cot_blt_id = 97, cot_pap_id = 14, cot_prc_comum =  84.00, cot_prc_min =  84.00, cot_prc_max =  108.00, cot_prc_med =  92.00, cot_prc_mediana =  84.00 WHERE cot_id = 2364;</v>
      </c>
    </row>
    <row r="2366" customFormat="false" ht="14.25" hidden="false" customHeight="false" outlineLevel="0" collapsed="false">
      <c r="A2366" s="0" t="n">
        <v>2365</v>
      </c>
      <c r="B2366" s="0" t="n">
        <f aca="false">IF('Boletins Nuppa Site'!A2366&lt;&gt;0,'Boletins Nuppa Site'!A2366,"NULL")</f>
        <v>97</v>
      </c>
      <c r="C2366" s="0" t="n">
        <v>15</v>
      </c>
      <c r="D2366" s="0" t="str">
        <f aca="false">IF('Boletins Nuppa Site'!G2366&lt;&gt;0,'Boletins Nuppa Site'!G2366,"NULL")</f>
        <v> 30.00</v>
      </c>
      <c r="E2366" s="30" t="str">
        <f aca="false">IF('Boletins Nuppa Site'!H2366&lt;&gt;0,'Boletins Nuppa Site'!H2366,"NULL")</f>
        <v> 60.00</v>
      </c>
      <c r="F2366" s="30" t="str">
        <f aca="false">IF('Boletins Nuppa Site'!I2366&lt;&gt;0,'Boletins Nuppa Site'!I2366,"NULL")</f>
        <v> 84.00</v>
      </c>
      <c r="G2366" s="30" t="str">
        <f aca="false">IF('Boletins Nuppa Site'!J2366&lt;&gt;0,'Boletins Nuppa Site'!J2366,"NULL")</f>
        <v> 58.50</v>
      </c>
      <c r="H2366" s="30" t="str">
        <f aca="false">IF('Boletins Nuppa Site'!K2366&lt;&gt;0,'Boletins Nuppa Site'!K2366,"NULL")</f>
        <v> 60.00</v>
      </c>
      <c r="I2366" s="0" t="str">
        <f aca="false">"INSERT INTO COTACAO (cot_id, cot_blt_id, cot_pap_id, cot_prc_comum, cot_prc_min, cot_prc_max, cot_prc_med, cot_prc_mediana) VALUES ("&amp;A2366&amp;", "&amp;B2366&amp;", "&amp;C2366&amp;", "&amp;D2366&amp;", "&amp;E2366&amp;", "&amp;F2366&amp;", "&amp;G2366&amp;", "&amp;H2366&amp;");"</f>
        <v>INSERT INTO COTACAO (cot_id, cot_blt_id, cot_pap_id, cot_prc_comum, cot_prc_min, cot_prc_max, cot_prc_med, cot_prc_mediana) VALUES (2365, 97, 15,  30.00,  60.00,  84.00,  58.50,  60.00);</v>
      </c>
      <c r="J2366" s="0" t="str">
        <f aca="false">"UPDATE COTACAO SET cot_id = "&amp;A2366&amp;", cot_blt_id = "&amp;B2366&amp;", cot_pap_id = "&amp;C2366&amp;", cot_prc_comum = "&amp;D2366&amp;", cot_prc_min = "&amp;E2366&amp;", cot_prc_max = "&amp;F2366&amp;", cot_prc_med = "&amp;G2366&amp;", cot_prc_mediana = "&amp;H2366&amp;" WHERE cot_id = "&amp;A2366&amp;";"</f>
        <v>UPDATE COTACAO SET cot_id = 2365, cot_blt_id = 97, cot_pap_id = 15, cot_prc_comum =  30.00, cot_prc_min =  60.00, cot_prc_max =  84.00, cot_prc_med =  58.50, cot_prc_mediana =  60.00 WHERE cot_id = 2365;</v>
      </c>
    </row>
    <row r="2367" customFormat="false" ht="14.25" hidden="false" customHeight="false" outlineLevel="0" collapsed="false">
      <c r="A2367" s="0" t="n">
        <v>2366</v>
      </c>
      <c r="B2367" s="0" t="n">
        <f aca="false">IF('Boletins Nuppa Site'!A2367&lt;&gt;0,'Boletins Nuppa Site'!A2367,"NULL")</f>
        <v>97</v>
      </c>
      <c r="C2367" s="0" t="n">
        <v>16</v>
      </c>
      <c r="D2367" s="0" t="str">
        <f aca="false">IF('Boletins Nuppa Site'!G2367&lt;&gt;0,'Boletins Nuppa Site'!G2367,"NULL")</f>
        <v> 60.00</v>
      </c>
      <c r="E2367" s="30" t="str">
        <f aca="false">IF('Boletins Nuppa Site'!H2367&lt;&gt;0,'Boletins Nuppa Site'!H2367,"NULL")</f>
        <v> 30.00</v>
      </c>
      <c r="F2367" s="30" t="str">
        <f aca="false">IF('Boletins Nuppa Site'!I2367&lt;&gt;0,'Boletins Nuppa Site'!I2367,"NULL")</f>
        <v> 64.00</v>
      </c>
      <c r="G2367" s="30" t="str">
        <f aca="false">IF('Boletins Nuppa Site'!J2367&lt;&gt;0,'Boletins Nuppa Site'!J2367,"NULL")</f>
        <v> 53.50</v>
      </c>
      <c r="H2367" s="30" t="str">
        <f aca="false">IF('Boletins Nuppa Site'!K2367&lt;&gt;0,'Boletins Nuppa Site'!K2367,"NULL")</f>
        <v> 60.00</v>
      </c>
      <c r="I2367" s="0" t="str">
        <f aca="false">"INSERT INTO COTACAO (cot_id, cot_blt_id, cot_pap_id, cot_prc_comum, cot_prc_min, cot_prc_max, cot_prc_med, cot_prc_mediana) VALUES ("&amp;A2367&amp;", "&amp;B2367&amp;", "&amp;C2367&amp;", "&amp;D2367&amp;", "&amp;E2367&amp;", "&amp;F2367&amp;", "&amp;G2367&amp;", "&amp;H2367&amp;");"</f>
        <v>INSERT INTO COTACAO (cot_id, cot_blt_id, cot_pap_id, cot_prc_comum, cot_prc_min, cot_prc_max, cot_prc_med, cot_prc_mediana) VALUES (2366, 97, 16,  60.00,  30.00,  64.00,  53.50,  60.00);</v>
      </c>
      <c r="J2367" s="0" t="str">
        <f aca="false">"UPDATE COTACAO SET cot_id = "&amp;A2367&amp;", cot_blt_id = "&amp;B2367&amp;", cot_pap_id = "&amp;C2367&amp;", cot_prc_comum = "&amp;D2367&amp;", cot_prc_min = "&amp;E2367&amp;", cot_prc_max = "&amp;F2367&amp;", cot_prc_med = "&amp;G2367&amp;", cot_prc_mediana = "&amp;H2367&amp;" WHERE cot_id = "&amp;A2367&amp;";"</f>
        <v>UPDATE COTACAO SET cot_id = 2366, cot_blt_id = 97, cot_pap_id = 16, cot_prc_comum =  60.00, cot_prc_min =  30.00, cot_prc_max =  64.00, cot_prc_med =  53.50, cot_prc_mediana =  60.00 WHERE cot_id = 2366;</v>
      </c>
    </row>
    <row r="2368" customFormat="false" ht="14.25" hidden="false" customHeight="false" outlineLevel="0" collapsed="false">
      <c r="A2368" s="0" t="n">
        <v>2367</v>
      </c>
      <c r="B2368" s="0" t="n">
        <f aca="false">IF('Boletins Nuppa Site'!A2368&lt;&gt;0,'Boletins Nuppa Site'!A2368,"NULL")</f>
        <v>97</v>
      </c>
      <c r="C2368" s="0" t="n">
        <v>17</v>
      </c>
      <c r="D2368" s="0" t="str">
        <f aca="false">IF('Boletins Nuppa Site'!G2368&lt;&gt;0,'Boletins Nuppa Site'!G2368,"NULL")</f>
        <v> 5.00</v>
      </c>
      <c r="E2368" s="30" t="str">
        <f aca="false">IF('Boletins Nuppa Site'!H2368&lt;&gt;0,'Boletins Nuppa Site'!H2368,"NULL")</f>
        <v> 5.00</v>
      </c>
      <c r="F2368" s="30" t="str">
        <f aca="false">IF('Boletins Nuppa Site'!I2368&lt;&gt;0,'Boletins Nuppa Site'!I2368,"NULL")</f>
        <v> 6.00</v>
      </c>
      <c r="G2368" s="30" t="str">
        <f aca="false">IF('Boletins Nuppa Site'!J2368&lt;&gt;0,'Boletins Nuppa Site'!J2368,"NULL")</f>
        <v> 5.25</v>
      </c>
      <c r="H2368" s="30" t="str">
        <f aca="false">IF('Boletins Nuppa Site'!K2368&lt;&gt;0,'Boletins Nuppa Site'!K2368,"NULL")</f>
        <v> 5.00</v>
      </c>
      <c r="I2368" s="0" t="str">
        <f aca="false">"INSERT INTO COTACAO (cot_id, cot_blt_id, cot_pap_id, cot_prc_comum, cot_prc_min, cot_prc_max, cot_prc_med, cot_prc_mediana) VALUES ("&amp;A2368&amp;", "&amp;B2368&amp;", "&amp;C2368&amp;", "&amp;D2368&amp;", "&amp;E2368&amp;", "&amp;F2368&amp;", "&amp;G2368&amp;", "&amp;H2368&amp;");"</f>
        <v>INSERT INTO COTACAO (cot_id, cot_blt_id, cot_pap_id, cot_prc_comum, cot_prc_min, cot_prc_max, cot_prc_med, cot_prc_mediana) VALUES (2367, 97, 17,  5.00,  5.00,  6.00,  5.25,  5.00);</v>
      </c>
      <c r="J2368" s="0" t="str">
        <f aca="false">"UPDATE COTACAO SET cot_id = "&amp;A2368&amp;", cot_blt_id = "&amp;B2368&amp;", cot_pap_id = "&amp;C2368&amp;", cot_prc_comum = "&amp;D2368&amp;", cot_prc_min = "&amp;E2368&amp;", cot_prc_max = "&amp;F2368&amp;", cot_prc_med = "&amp;G2368&amp;", cot_prc_mediana = "&amp;H2368&amp;" WHERE cot_id = "&amp;A2368&amp;";"</f>
        <v>UPDATE COTACAO SET cot_id = 2367, cot_blt_id = 97, cot_pap_id = 17, cot_prc_comum =  5.00, cot_prc_min =  5.00, cot_prc_max =  6.00, cot_prc_med =  5.25, cot_prc_mediana =  5.00 WHERE cot_id = 2367;</v>
      </c>
    </row>
    <row r="2369" customFormat="false" ht="14.25" hidden="false" customHeight="false" outlineLevel="0" collapsed="false">
      <c r="A2369" s="0" t="n">
        <v>2368</v>
      </c>
      <c r="B2369" s="0" t="n">
        <f aca="false">IF('Boletins Nuppa Site'!A2369&lt;&gt;0,'Boletins Nuppa Site'!A2369,"NULL")</f>
        <v>97</v>
      </c>
      <c r="C2369" s="0" t="n">
        <v>18</v>
      </c>
      <c r="D2369" s="0" t="str">
        <f aca="false">IF('Boletins Nuppa Site'!G2369&lt;&gt;0,'Boletins Nuppa Site'!G2369,"NULL")</f>
        <v> 45.00</v>
      </c>
      <c r="E2369" s="30" t="str">
        <f aca="false">IF('Boletins Nuppa Site'!H2369&lt;&gt;0,'Boletins Nuppa Site'!H2369,"NULL")</f>
        <v> 50.00</v>
      </c>
      <c r="F2369" s="30" t="str">
        <f aca="false">IF('Boletins Nuppa Site'!I2369&lt;&gt;0,'Boletins Nuppa Site'!I2369,"NULL")</f>
        <v> 50.00</v>
      </c>
      <c r="G2369" s="30" t="str">
        <f aca="false">IF('Boletins Nuppa Site'!J2369&lt;&gt;0,'Boletins Nuppa Site'!J2369,"NULL")</f>
        <v> 47.50</v>
      </c>
      <c r="H2369" s="30" t="str">
        <f aca="false">IF('Boletins Nuppa Site'!K2369&lt;&gt;0,'Boletins Nuppa Site'!K2369,"NULL")</f>
        <v> 47.50</v>
      </c>
      <c r="I2369" s="0" t="str">
        <f aca="false">"INSERT INTO COTACAO (cot_id, cot_blt_id, cot_pap_id, cot_prc_comum, cot_prc_min, cot_prc_max, cot_prc_med, cot_prc_mediana) VALUES ("&amp;A2369&amp;", "&amp;B2369&amp;", "&amp;C2369&amp;", "&amp;D2369&amp;", "&amp;E2369&amp;", "&amp;F2369&amp;", "&amp;G2369&amp;", "&amp;H2369&amp;");"</f>
        <v>INSERT INTO COTACAO (cot_id, cot_blt_id, cot_pap_id, cot_prc_comum, cot_prc_min, cot_prc_max, cot_prc_med, cot_prc_mediana) VALUES (2368, 97, 18,  45.00,  50.00,  50.00,  47.50,  47.50);</v>
      </c>
      <c r="J2369" s="0" t="str">
        <f aca="false">"UPDATE COTACAO SET cot_id = "&amp;A2369&amp;", cot_blt_id = "&amp;B2369&amp;", cot_pap_id = "&amp;C2369&amp;", cot_prc_comum = "&amp;D2369&amp;", cot_prc_min = "&amp;E2369&amp;", cot_prc_max = "&amp;F2369&amp;", cot_prc_med = "&amp;G2369&amp;", cot_prc_mediana = "&amp;H2369&amp;" WHERE cot_id = "&amp;A2369&amp;";"</f>
        <v>UPDATE COTACAO SET cot_id = 2368, cot_blt_id = 97, cot_pap_id = 18, cot_prc_comum =  45.00, cot_prc_min =  50.00, cot_prc_max =  50.00, cot_prc_med =  47.50, cot_prc_mediana =  47.50 WHERE cot_id = 2368;</v>
      </c>
    </row>
    <row r="2370" customFormat="false" ht="14.25" hidden="false" customHeight="false" outlineLevel="0" collapsed="false">
      <c r="A2370" s="0" t="n">
        <v>2369</v>
      </c>
      <c r="B2370" s="0" t="n">
        <f aca="false">IF('Boletins Nuppa Site'!A2370&lt;&gt;0,'Boletins Nuppa Site'!A2370,"NULL")</f>
        <v>97</v>
      </c>
      <c r="C2370" s="0" t="n">
        <v>19</v>
      </c>
      <c r="D2370" s="0" t="str">
        <f aca="false">IF('Boletins Nuppa Site'!G2370&lt;&gt;0,'Boletins Nuppa Site'!G2370,"NULL")</f>
        <v> 40.00</v>
      </c>
      <c r="E2370" s="30" t="str">
        <f aca="false">IF('Boletins Nuppa Site'!H2370&lt;&gt;0,'Boletins Nuppa Site'!H2370,"NULL")</f>
        <v> 30.00</v>
      </c>
      <c r="F2370" s="30" t="str">
        <f aca="false">IF('Boletins Nuppa Site'!I2370&lt;&gt;0,'Boletins Nuppa Site'!I2370,"NULL")</f>
        <v> 40.00</v>
      </c>
      <c r="G2370" s="30" t="str">
        <f aca="false">IF('Boletins Nuppa Site'!J2370&lt;&gt;0,'Boletins Nuppa Site'!J2370,"NULL")</f>
        <v> 36.25</v>
      </c>
      <c r="H2370" s="30" t="str">
        <f aca="false">IF('Boletins Nuppa Site'!K2370&lt;&gt;0,'Boletins Nuppa Site'!K2370,"NULL")</f>
        <v> 37.50</v>
      </c>
      <c r="I2370" s="0" t="str">
        <f aca="false">"INSERT INTO COTACAO (cot_id, cot_blt_id, cot_pap_id, cot_prc_comum, cot_prc_min, cot_prc_max, cot_prc_med, cot_prc_mediana) VALUES ("&amp;A2370&amp;", "&amp;B2370&amp;", "&amp;C2370&amp;", "&amp;D2370&amp;", "&amp;E2370&amp;", "&amp;F2370&amp;", "&amp;G2370&amp;", "&amp;H2370&amp;");"</f>
        <v>INSERT INTO COTACAO (cot_id, cot_blt_id, cot_pap_id, cot_prc_comum, cot_prc_min, cot_prc_max, cot_prc_med, cot_prc_mediana) VALUES (2369, 97, 19,  40.00,  30.00,  40.00,  36.25,  37.50);</v>
      </c>
      <c r="J2370" s="0" t="str">
        <f aca="false">"UPDATE COTACAO SET cot_id = "&amp;A2370&amp;", cot_blt_id = "&amp;B2370&amp;", cot_pap_id = "&amp;C2370&amp;", cot_prc_comum = "&amp;D2370&amp;", cot_prc_min = "&amp;E2370&amp;", cot_prc_max = "&amp;F2370&amp;", cot_prc_med = "&amp;G2370&amp;", cot_prc_mediana = "&amp;H2370&amp;" WHERE cot_id = "&amp;A2370&amp;";"</f>
        <v>UPDATE COTACAO SET cot_id = 2369, cot_blt_id = 97, cot_pap_id = 19, cot_prc_comum =  40.00, cot_prc_min =  30.00, cot_prc_max =  40.00, cot_prc_med =  36.25, cot_prc_mediana =  37.50 WHERE cot_id = 2369;</v>
      </c>
    </row>
    <row r="2371" customFormat="false" ht="14.25" hidden="false" customHeight="false" outlineLevel="0" collapsed="false">
      <c r="A2371" s="0" t="n">
        <v>2370</v>
      </c>
      <c r="B2371" s="0" t="n">
        <f aca="false">IF('Boletins Nuppa Site'!A2371&lt;&gt;0,'Boletins Nuppa Site'!A2371,"NULL")</f>
        <v>97</v>
      </c>
      <c r="C2371" s="0" t="n">
        <v>20</v>
      </c>
      <c r="D2371" s="0" t="str">
        <f aca="false">IF('Boletins Nuppa Site'!G2371&lt;&gt;0,'Boletins Nuppa Site'!G2371,"NULL")</f>
        <v> 60.00</v>
      </c>
      <c r="E2371" s="30" t="str">
        <f aca="false">IF('Boletins Nuppa Site'!H2371&lt;&gt;0,'Boletins Nuppa Site'!H2371,"NULL")</f>
        <v> 60.00</v>
      </c>
      <c r="F2371" s="30" t="str">
        <f aca="false">IF('Boletins Nuppa Site'!I2371&lt;&gt;0,'Boletins Nuppa Site'!I2371,"NULL")</f>
        <v> 65.00</v>
      </c>
      <c r="G2371" s="30" t="str">
        <f aca="false">IF('Boletins Nuppa Site'!J2371&lt;&gt;0,'Boletins Nuppa Site'!J2371,"NULL")</f>
        <v> 61.67</v>
      </c>
      <c r="H2371" s="30" t="str">
        <f aca="false">IF('Boletins Nuppa Site'!K2371&lt;&gt;0,'Boletins Nuppa Site'!K2371,"NULL")</f>
        <v> 60.00</v>
      </c>
      <c r="I2371" s="0" t="str">
        <f aca="false">"INSERT INTO COTACAO (cot_id, cot_blt_id, cot_pap_id, cot_prc_comum, cot_prc_min, cot_prc_max, cot_prc_med, cot_prc_mediana) VALUES ("&amp;A2371&amp;", "&amp;B2371&amp;", "&amp;C2371&amp;", "&amp;D2371&amp;", "&amp;E2371&amp;", "&amp;F2371&amp;", "&amp;G2371&amp;", "&amp;H2371&amp;");"</f>
        <v>INSERT INTO COTACAO (cot_id, cot_blt_id, cot_pap_id, cot_prc_comum, cot_prc_min, cot_prc_max, cot_prc_med, cot_prc_mediana) VALUES (2370, 97, 20,  60.00,  60.00,  65.00,  61.67,  60.00);</v>
      </c>
      <c r="J2371" s="0" t="str">
        <f aca="false">"UPDATE COTACAO SET cot_id = "&amp;A2371&amp;", cot_blt_id = "&amp;B2371&amp;", cot_pap_id = "&amp;C2371&amp;", cot_prc_comum = "&amp;D2371&amp;", cot_prc_min = "&amp;E2371&amp;", cot_prc_max = "&amp;F2371&amp;", cot_prc_med = "&amp;G2371&amp;", cot_prc_mediana = "&amp;H2371&amp;" WHERE cot_id = "&amp;A2371&amp;";"</f>
        <v>UPDATE COTACAO SET cot_id = 2370, cot_blt_id = 97, cot_pap_id = 20, cot_prc_comum =  60.00, cot_prc_min =  60.00, cot_prc_max =  65.00, cot_prc_med =  61.67, cot_prc_mediana =  60.00 WHERE cot_id = 2370;</v>
      </c>
    </row>
    <row r="2372" customFormat="false" ht="14.25" hidden="false" customHeight="false" outlineLevel="0" collapsed="false">
      <c r="A2372" s="0" t="n">
        <v>2371</v>
      </c>
      <c r="B2372" s="0" t="n">
        <f aca="false">IF('Boletins Nuppa Site'!A2372&lt;&gt;0,'Boletins Nuppa Site'!A2372,"NULL")</f>
        <v>97</v>
      </c>
      <c r="C2372" s="0" t="n">
        <v>21</v>
      </c>
      <c r="D2372" s="0" t="str">
        <f aca="false">IF('Boletins Nuppa Site'!G2372&lt;&gt;0,'Boletins Nuppa Site'!G2372,"NULL")</f>
        <v> 60.00</v>
      </c>
      <c r="E2372" s="30" t="str">
        <f aca="false">IF('Boletins Nuppa Site'!H2372&lt;&gt;0,'Boletins Nuppa Site'!H2372,"NULL")</f>
        <v> 80.00</v>
      </c>
      <c r="F2372" s="30" t="str">
        <f aca="false">IF('Boletins Nuppa Site'!I2372&lt;&gt;0,'Boletins Nuppa Site'!I2372,"NULL")</f>
        <v> 80.00</v>
      </c>
      <c r="G2372" s="30" t="str">
        <f aca="false">IF('Boletins Nuppa Site'!J2372&lt;&gt;0,'Boletins Nuppa Site'!J2372,"NULL")</f>
        <v> 73.33</v>
      </c>
      <c r="H2372" s="30" t="str">
        <f aca="false">IF('Boletins Nuppa Site'!K2372&lt;&gt;0,'Boletins Nuppa Site'!K2372,"NULL")</f>
        <v> 80.00</v>
      </c>
      <c r="I2372" s="0" t="str">
        <f aca="false">"INSERT INTO COTACAO (cot_id, cot_blt_id, cot_pap_id, cot_prc_comum, cot_prc_min, cot_prc_max, cot_prc_med, cot_prc_mediana) VALUES ("&amp;A2372&amp;", "&amp;B2372&amp;", "&amp;C2372&amp;", "&amp;D2372&amp;", "&amp;E2372&amp;", "&amp;F2372&amp;", "&amp;G2372&amp;", "&amp;H2372&amp;");"</f>
        <v>INSERT INTO COTACAO (cot_id, cot_blt_id, cot_pap_id, cot_prc_comum, cot_prc_min, cot_prc_max, cot_prc_med, cot_prc_mediana) VALUES (2371, 97, 21,  60.00,  80.00,  80.00,  73.33,  80.00);</v>
      </c>
      <c r="J2372" s="0" t="str">
        <f aca="false">"UPDATE COTACAO SET cot_id = "&amp;A2372&amp;", cot_blt_id = "&amp;B2372&amp;", cot_pap_id = "&amp;C2372&amp;", cot_prc_comum = "&amp;D2372&amp;", cot_prc_min = "&amp;E2372&amp;", cot_prc_max = "&amp;F2372&amp;", cot_prc_med = "&amp;G2372&amp;", cot_prc_mediana = "&amp;H2372&amp;" WHERE cot_id = "&amp;A2372&amp;";"</f>
        <v>UPDATE COTACAO SET cot_id = 2371, cot_blt_id = 97, cot_pap_id = 21, cot_prc_comum =  60.00, cot_prc_min =  80.00, cot_prc_max =  80.00, cot_prc_med =  73.33, cot_prc_mediana =  80.00 WHERE cot_id = 2371;</v>
      </c>
    </row>
    <row r="2373" customFormat="false" ht="14.25" hidden="false" customHeight="false" outlineLevel="0" collapsed="false">
      <c r="A2373" s="0" t="n">
        <v>2372</v>
      </c>
      <c r="B2373" s="0" t="n">
        <f aca="false">IF('Boletins Nuppa Site'!A2373&lt;&gt;0,'Boletins Nuppa Site'!A2373,"NULL")</f>
        <v>97</v>
      </c>
      <c r="C2373" s="0" t="n">
        <v>22</v>
      </c>
      <c r="D2373" s="0" t="str">
        <f aca="false">IF('Boletins Nuppa Site'!G2373&lt;&gt;0,'Boletins Nuppa Site'!G2373,"NULL")</f>
        <v>NULL</v>
      </c>
      <c r="E2373" s="30" t="str">
        <f aca="false">IF('Boletins Nuppa Site'!H2373&lt;&gt;0,'Boletins Nuppa Site'!H2373,"NULL")</f>
        <v> 45.00</v>
      </c>
      <c r="F2373" s="30" t="str">
        <f aca="false">IF('Boletins Nuppa Site'!I2373&lt;&gt;0,'Boletins Nuppa Site'!I2373,"NULL")</f>
        <v> 65.00</v>
      </c>
      <c r="G2373" s="30" t="str">
        <f aca="false">IF('Boletins Nuppa Site'!J2373&lt;&gt;0,'Boletins Nuppa Site'!J2373,"NULL")</f>
        <v> 55.00</v>
      </c>
      <c r="H2373" s="30" t="str">
        <f aca="false">IF('Boletins Nuppa Site'!K2373&lt;&gt;0,'Boletins Nuppa Site'!K2373,"NULL")</f>
        <v> 55.00</v>
      </c>
      <c r="I2373" s="0" t="str">
        <f aca="false">"INSERT INTO COTACAO (cot_id, cot_blt_id, cot_pap_id, cot_prc_comum, cot_prc_min, cot_prc_max, cot_prc_med, cot_prc_mediana) VALUES ("&amp;A2373&amp;", "&amp;B2373&amp;", "&amp;C2373&amp;", "&amp;D2373&amp;", "&amp;E2373&amp;", "&amp;F2373&amp;", "&amp;G2373&amp;", "&amp;H2373&amp;");"</f>
        <v>INSERT INTO COTACAO (cot_id, cot_blt_id, cot_pap_id, cot_prc_comum, cot_prc_min, cot_prc_max, cot_prc_med, cot_prc_mediana) VALUES (2372, 97, 22, NULL,  45.00,  65.00,  55.00,  55.00);</v>
      </c>
      <c r="J2373" s="0" t="str">
        <f aca="false">"UPDATE COTACAO SET cot_id = "&amp;A2373&amp;", cot_blt_id = "&amp;B2373&amp;", cot_pap_id = "&amp;C2373&amp;", cot_prc_comum = "&amp;D2373&amp;", cot_prc_min = "&amp;E2373&amp;", cot_prc_max = "&amp;F2373&amp;", cot_prc_med = "&amp;G2373&amp;", cot_prc_mediana = "&amp;H2373&amp;" WHERE cot_id = "&amp;A2373&amp;";"</f>
        <v>UPDATE COTACAO SET cot_id = 2372, cot_blt_id = 97, cot_pap_id = 22, cot_prc_comum = NULL, cot_prc_min =  45.00, cot_prc_max =  65.00, cot_prc_med =  55.00, cot_prc_mediana =  55.00 WHERE cot_id = 2372;</v>
      </c>
    </row>
    <row r="2374" customFormat="false" ht="14.25" hidden="false" customHeight="false" outlineLevel="0" collapsed="false">
      <c r="A2374" s="0" t="n">
        <v>2373</v>
      </c>
      <c r="B2374" s="0" t="n">
        <f aca="false">IF('Boletins Nuppa Site'!A2374&lt;&gt;0,'Boletins Nuppa Site'!A2374,"NULL")</f>
        <v>97</v>
      </c>
      <c r="C2374" s="0" t="n">
        <v>23</v>
      </c>
      <c r="D2374" s="0" t="str">
        <f aca="false">IF('Boletins Nuppa Site'!G2374&lt;&gt;0,'Boletins Nuppa Site'!G2374,"NULL")</f>
        <v> 40.00</v>
      </c>
      <c r="E2374" s="30" t="str">
        <f aca="false">IF('Boletins Nuppa Site'!H2374&lt;&gt;0,'Boletins Nuppa Site'!H2374,"NULL")</f>
        <v> 50.00</v>
      </c>
      <c r="F2374" s="30" t="str">
        <f aca="false">IF('Boletins Nuppa Site'!I2374&lt;&gt;0,'Boletins Nuppa Site'!I2374,"NULL")</f>
        <v> 55.00</v>
      </c>
      <c r="G2374" s="30" t="str">
        <f aca="false">IF('Boletins Nuppa Site'!J2374&lt;&gt;0,'Boletins Nuppa Site'!J2374,"NULL")</f>
        <v> 48.75</v>
      </c>
      <c r="H2374" s="30" t="str">
        <f aca="false">IF('Boletins Nuppa Site'!K2374&lt;&gt;0,'Boletins Nuppa Site'!K2374,"NULL")</f>
        <v> 50.00</v>
      </c>
      <c r="I2374" s="0" t="str">
        <f aca="false">"INSERT INTO COTACAO (cot_id, cot_blt_id, cot_pap_id, cot_prc_comum, cot_prc_min, cot_prc_max, cot_prc_med, cot_prc_mediana) VALUES ("&amp;A2374&amp;", "&amp;B2374&amp;", "&amp;C2374&amp;", "&amp;D2374&amp;", "&amp;E2374&amp;", "&amp;F2374&amp;", "&amp;G2374&amp;", "&amp;H2374&amp;");"</f>
        <v>INSERT INTO COTACAO (cot_id, cot_blt_id, cot_pap_id, cot_prc_comum, cot_prc_min, cot_prc_max, cot_prc_med, cot_prc_mediana) VALUES (2373, 97, 23,  40.00,  50.00,  55.00,  48.75,  50.00);</v>
      </c>
      <c r="J2374" s="0" t="str">
        <f aca="false">"UPDATE COTACAO SET cot_id = "&amp;A2374&amp;", cot_blt_id = "&amp;B2374&amp;", cot_pap_id = "&amp;C2374&amp;", cot_prc_comum = "&amp;D2374&amp;", cot_prc_min = "&amp;E2374&amp;", cot_prc_max = "&amp;F2374&amp;", cot_prc_med = "&amp;G2374&amp;", cot_prc_mediana = "&amp;H2374&amp;" WHERE cot_id = "&amp;A2374&amp;";"</f>
        <v>UPDATE COTACAO SET cot_id = 2373, cot_blt_id = 97, cot_pap_id = 23, cot_prc_comum =  40.00, cot_prc_min =  50.00, cot_prc_max =  55.00, cot_prc_med =  48.75, cot_prc_mediana =  50.00 WHERE cot_id = 2373;</v>
      </c>
    </row>
    <row r="2375" customFormat="false" ht="14.25" hidden="false" customHeight="false" outlineLevel="0" collapsed="false">
      <c r="A2375" s="0" t="n">
        <v>2374</v>
      </c>
      <c r="B2375" s="0" t="n">
        <f aca="false">IF('Boletins Nuppa Site'!A2375&lt;&gt;0,'Boletins Nuppa Site'!A2375,"NULL")</f>
        <v>97</v>
      </c>
      <c r="C2375" s="0" t="n">
        <v>24</v>
      </c>
      <c r="D2375" s="0" t="str">
        <f aca="false">IF('Boletins Nuppa Site'!G2375&lt;&gt;0,'Boletins Nuppa Site'!G2375,"NULL")</f>
        <v>NULL</v>
      </c>
      <c r="E2375" s="30" t="str">
        <f aca="false">IF('Boletins Nuppa Site'!H2375&lt;&gt;0,'Boletins Nuppa Site'!H2375,"NULL")</f>
        <v> 90.00</v>
      </c>
      <c r="F2375" s="30" t="str">
        <f aca="false">IF('Boletins Nuppa Site'!I2375&lt;&gt;0,'Boletins Nuppa Site'!I2375,"NULL")</f>
        <v> 90.00</v>
      </c>
      <c r="G2375" s="30" t="str">
        <f aca="false">IF('Boletins Nuppa Site'!J2375&lt;&gt;0,'Boletins Nuppa Site'!J2375,"NULL")</f>
        <v> 90.00</v>
      </c>
      <c r="H2375" s="30" t="str">
        <f aca="false">IF('Boletins Nuppa Site'!K2375&lt;&gt;0,'Boletins Nuppa Site'!K2375,"NULL")</f>
        <v> 90.00</v>
      </c>
      <c r="I2375" s="0" t="str">
        <f aca="false">"INSERT INTO COTACAO (cot_id, cot_blt_id, cot_pap_id, cot_prc_comum, cot_prc_min, cot_prc_max, cot_prc_med, cot_prc_mediana) VALUES ("&amp;A2375&amp;", "&amp;B2375&amp;", "&amp;C2375&amp;", "&amp;D2375&amp;", "&amp;E2375&amp;", "&amp;F2375&amp;", "&amp;G2375&amp;", "&amp;H2375&amp;");"</f>
        <v>INSERT INTO COTACAO (cot_id, cot_blt_id, cot_pap_id, cot_prc_comum, cot_prc_min, cot_prc_max, cot_prc_med, cot_prc_mediana) VALUES (2374, 97, 24, NULL,  90.00,  90.00,  90.00,  90.00);</v>
      </c>
      <c r="J2375" s="0" t="str">
        <f aca="false">"UPDATE COTACAO SET cot_id = "&amp;A2375&amp;", cot_blt_id = "&amp;B2375&amp;", cot_pap_id = "&amp;C2375&amp;", cot_prc_comum = "&amp;D2375&amp;", cot_prc_min = "&amp;E2375&amp;", cot_prc_max = "&amp;F2375&amp;", cot_prc_med = "&amp;G2375&amp;", cot_prc_mediana = "&amp;H2375&amp;" WHERE cot_id = "&amp;A2375&amp;";"</f>
        <v>UPDATE COTACAO SET cot_id = 2374, cot_blt_id = 97, cot_pap_id = 24, cot_prc_comum = NULL, cot_prc_min =  90.00, cot_prc_max =  90.00, cot_prc_med =  90.00, cot_prc_mediana =  90.00 WHERE cot_id = 2374;</v>
      </c>
    </row>
    <row r="2376" customFormat="false" ht="14.25" hidden="false" customHeight="false" outlineLevel="0" collapsed="false">
      <c r="A2376" s="0" t="n">
        <v>2375</v>
      </c>
      <c r="B2376" s="0" t="n">
        <f aca="false">IF('Boletins Nuppa Site'!A2376&lt;&gt;0,'Boletins Nuppa Site'!A2376,"NULL")</f>
        <v>97</v>
      </c>
      <c r="C2376" s="0" t="n">
        <v>25</v>
      </c>
      <c r="D2376" s="0" t="str">
        <f aca="false">IF('Boletins Nuppa Site'!G2376&lt;&gt;0,'Boletins Nuppa Site'!G2376,"NULL")</f>
        <v> 50.00</v>
      </c>
      <c r="E2376" s="30" t="str">
        <f aca="false">IF('Boletins Nuppa Site'!H2376&lt;&gt;0,'Boletins Nuppa Site'!H2376,"NULL")</f>
        <v> 60.00</v>
      </c>
      <c r="F2376" s="30" t="str">
        <f aca="false">IF('Boletins Nuppa Site'!I2376&lt;&gt;0,'Boletins Nuppa Site'!I2376,"NULL")</f>
        <v> 60.00</v>
      </c>
      <c r="G2376" s="30" t="str">
        <f aca="false">IF('Boletins Nuppa Site'!J2376&lt;&gt;0,'Boletins Nuppa Site'!J2376,"NULL")</f>
        <v> 57.50</v>
      </c>
      <c r="H2376" s="30" t="str">
        <f aca="false">IF('Boletins Nuppa Site'!K2376&lt;&gt;0,'Boletins Nuppa Site'!K2376,"NULL")</f>
        <v> 60.00</v>
      </c>
      <c r="I2376" s="0" t="str">
        <f aca="false">"INSERT INTO COTACAO (cot_id, cot_blt_id, cot_pap_id, cot_prc_comum, cot_prc_min, cot_prc_max, cot_prc_med, cot_prc_mediana) VALUES ("&amp;A2376&amp;", "&amp;B2376&amp;", "&amp;C2376&amp;", "&amp;D2376&amp;", "&amp;E2376&amp;", "&amp;F2376&amp;", "&amp;G2376&amp;", "&amp;H2376&amp;");"</f>
        <v>INSERT INTO COTACAO (cot_id, cot_blt_id, cot_pap_id, cot_prc_comum, cot_prc_min, cot_prc_max, cot_prc_med, cot_prc_mediana) VALUES (2375, 97, 25,  50.00,  60.00,  60.00,  57.50,  60.00);</v>
      </c>
      <c r="J2376" s="0" t="str">
        <f aca="false">"UPDATE COTACAO SET cot_id = "&amp;A2376&amp;", cot_blt_id = "&amp;B2376&amp;", cot_pap_id = "&amp;C2376&amp;", cot_prc_comum = "&amp;D2376&amp;", cot_prc_min = "&amp;E2376&amp;", cot_prc_max = "&amp;F2376&amp;", cot_prc_med = "&amp;G2376&amp;", cot_prc_mediana = "&amp;H2376&amp;" WHERE cot_id = "&amp;A2376&amp;";"</f>
        <v>UPDATE COTACAO SET cot_id = 2375, cot_blt_id = 97, cot_pap_id = 25, cot_prc_comum =  50.00, cot_prc_min =  60.00, cot_prc_max =  60.00, cot_prc_med =  57.50, cot_prc_mediana =  60.00 WHERE cot_id = 2375;</v>
      </c>
    </row>
    <row r="2377" customFormat="false" ht="14.25" hidden="false" customHeight="false" outlineLevel="0" collapsed="false">
      <c r="A2377" s="0" t="n">
        <v>2376</v>
      </c>
      <c r="B2377" s="0" t="n">
        <f aca="false">IF('Boletins Nuppa Site'!A2377&lt;&gt;0,'Boletins Nuppa Site'!A2377,"NULL")</f>
        <v>97</v>
      </c>
      <c r="C2377" s="0" t="n">
        <v>26</v>
      </c>
      <c r="D2377" s="0" t="str">
        <f aca="false">IF('Boletins Nuppa Site'!G2377&lt;&gt;0,'Boletins Nuppa Site'!G2377,"NULL")</f>
        <v>NULL</v>
      </c>
      <c r="E2377" s="30" t="str">
        <f aca="false">IF('Boletins Nuppa Site'!H2377&lt;&gt;0,'Boletins Nuppa Site'!H2377,"NULL")</f>
        <v> 30.00</v>
      </c>
      <c r="F2377" s="30" t="str">
        <f aca="false">IF('Boletins Nuppa Site'!I2377&lt;&gt;0,'Boletins Nuppa Site'!I2377,"NULL")</f>
        <v> 90.00</v>
      </c>
      <c r="G2377" s="30" t="str">
        <f aca="false">IF('Boletins Nuppa Site'!J2377&lt;&gt;0,'Boletins Nuppa Site'!J2377,"NULL")</f>
        <v> 62.50</v>
      </c>
      <c r="H2377" s="30" t="str">
        <f aca="false">IF('Boletins Nuppa Site'!K2377&lt;&gt;0,'Boletins Nuppa Site'!K2377,"NULL")</f>
        <v> 65.00</v>
      </c>
      <c r="I2377" s="0" t="str">
        <f aca="false">"INSERT INTO COTACAO (cot_id, cot_blt_id, cot_pap_id, cot_prc_comum, cot_prc_min, cot_prc_max, cot_prc_med, cot_prc_mediana) VALUES ("&amp;A2377&amp;", "&amp;B2377&amp;", "&amp;C2377&amp;", "&amp;D2377&amp;", "&amp;E2377&amp;", "&amp;F2377&amp;", "&amp;G2377&amp;", "&amp;H2377&amp;");"</f>
        <v>INSERT INTO COTACAO (cot_id, cot_blt_id, cot_pap_id, cot_prc_comum, cot_prc_min, cot_prc_max, cot_prc_med, cot_prc_mediana) VALUES (2376, 97, 26, NULL,  30.00,  90.00,  62.50,  65.00);</v>
      </c>
      <c r="J2377" s="0" t="str">
        <f aca="false">"UPDATE COTACAO SET cot_id = "&amp;A2377&amp;", cot_blt_id = "&amp;B2377&amp;", cot_pap_id = "&amp;C2377&amp;", cot_prc_comum = "&amp;D2377&amp;", cot_prc_min = "&amp;E2377&amp;", cot_prc_max = "&amp;F2377&amp;", cot_prc_med = "&amp;G2377&amp;", cot_prc_mediana = "&amp;H2377&amp;" WHERE cot_id = "&amp;A2377&amp;";"</f>
        <v>UPDATE COTACAO SET cot_id = 2376, cot_blt_id = 97, cot_pap_id = 26, cot_prc_comum = NULL, cot_prc_min =  30.00, cot_prc_max =  90.00, cot_prc_med =  62.50, cot_prc_mediana =  65.00 WHERE cot_id = 2376;</v>
      </c>
    </row>
    <row r="2378" customFormat="false" ht="14.25" hidden="false" customHeight="false" outlineLevel="0" collapsed="false">
      <c r="A2378" s="0" t="n">
        <v>2377</v>
      </c>
      <c r="B2378" s="0" t="n">
        <f aca="false">IF('Boletins Nuppa Site'!A2378&lt;&gt;0,'Boletins Nuppa Site'!A2378,"NULL")</f>
        <v>97</v>
      </c>
      <c r="C2378" s="0" t="n">
        <v>27</v>
      </c>
      <c r="D2378" s="0" t="str">
        <f aca="false">IF('Boletins Nuppa Site'!G2378&lt;&gt;0,'Boletins Nuppa Site'!G2378,"NULL")</f>
        <v>NULL</v>
      </c>
      <c r="E2378" s="30" t="str">
        <f aca="false">IF('Boletins Nuppa Site'!H2378&lt;&gt;0,'Boletins Nuppa Site'!H2378,"NULL")</f>
        <v> 70.00</v>
      </c>
      <c r="F2378" s="30" t="str">
        <f aca="false">IF('Boletins Nuppa Site'!I2378&lt;&gt;0,'Boletins Nuppa Site'!I2378,"NULL")</f>
        <v> 100.00</v>
      </c>
      <c r="G2378" s="30" t="str">
        <f aca="false">IF('Boletins Nuppa Site'!J2378&lt;&gt;0,'Boletins Nuppa Site'!J2378,"NULL")</f>
        <v> 86.67</v>
      </c>
      <c r="H2378" s="30" t="str">
        <f aca="false">IF('Boletins Nuppa Site'!K2378&lt;&gt;0,'Boletins Nuppa Site'!K2378,"NULL")</f>
        <v> 90.00</v>
      </c>
      <c r="I2378" s="0" t="str">
        <f aca="false">"INSERT INTO COTACAO (cot_id, cot_blt_id, cot_pap_id, cot_prc_comum, cot_prc_min, cot_prc_max, cot_prc_med, cot_prc_mediana) VALUES ("&amp;A2378&amp;", "&amp;B2378&amp;", "&amp;C2378&amp;", "&amp;D2378&amp;", "&amp;E2378&amp;", "&amp;F2378&amp;", "&amp;G2378&amp;", "&amp;H2378&amp;");"</f>
        <v>INSERT INTO COTACAO (cot_id, cot_blt_id, cot_pap_id, cot_prc_comum, cot_prc_min, cot_prc_max, cot_prc_med, cot_prc_mediana) VALUES (2377, 97, 27, NULL,  70.00,  100.00,  86.67,  90.00);</v>
      </c>
      <c r="J2378" s="0" t="str">
        <f aca="false">"UPDATE COTACAO SET cot_id = "&amp;A2378&amp;", cot_blt_id = "&amp;B2378&amp;", cot_pap_id = "&amp;C2378&amp;", cot_prc_comum = "&amp;D2378&amp;", cot_prc_min = "&amp;E2378&amp;", cot_prc_max = "&amp;F2378&amp;", cot_prc_med = "&amp;G2378&amp;", cot_prc_mediana = "&amp;H2378&amp;" WHERE cot_id = "&amp;A2378&amp;";"</f>
        <v>UPDATE COTACAO SET cot_id = 2377, cot_blt_id = 97, cot_pap_id = 27, cot_prc_comum = NULL, cot_prc_min =  70.00, cot_prc_max =  100.00, cot_prc_med =  86.67, cot_prc_mediana =  90.00 WHERE cot_id = 2377;</v>
      </c>
    </row>
    <row r="2379" customFormat="false" ht="14.25" hidden="false" customHeight="false" outlineLevel="0" collapsed="false">
      <c r="A2379" s="0" t="n">
        <v>2378</v>
      </c>
      <c r="B2379" s="0" t="n">
        <f aca="false">IF('Boletins Nuppa Site'!A2379&lt;&gt;0,'Boletins Nuppa Site'!A2379,"NULL")</f>
        <v>97</v>
      </c>
      <c r="C2379" s="0" t="n">
        <v>28</v>
      </c>
      <c r="D2379" s="0" t="str">
        <f aca="false">IF('Boletins Nuppa Site'!G2379&lt;&gt;0,'Boletins Nuppa Site'!G2379,"NULL")</f>
        <v>NULL</v>
      </c>
      <c r="E2379" s="30" t="str">
        <f aca="false">IF('Boletins Nuppa Site'!H2379&lt;&gt;0,'Boletins Nuppa Site'!H2379,"NULL")</f>
        <v> 70.00</v>
      </c>
      <c r="F2379" s="30" t="str">
        <f aca="false">IF('Boletins Nuppa Site'!I2379&lt;&gt;0,'Boletins Nuppa Site'!I2379,"NULL")</f>
        <v> 90.00</v>
      </c>
      <c r="G2379" s="30" t="str">
        <f aca="false">IF('Boletins Nuppa Site'!J2379&lt;&gt;0,'Boletins Nuppa Site'!J2379,"NULL")</f>
        <v> 80.00</v>
      </c>
      <c r="H2379" s="30" t="str">
        <f aca="false">IF('Boletins Nuppa Site'!K2379&lt;&gt;0,'Boletins Nuppa Site'!K2379,"NULL")</f>
        <v> 80.00</v>
      </c>
      <c r="I2379" s="0" t="str">
        <f aca="false">"INSERT INTO COTACAO (cot_id, cot_blt_id, cot_pap_id, cot_prc_comum, cot_prc_min, cot_prc_max, cot_prc_med, cot_prc_mediana) VALUES ("&amp;A2379&amp;", "&amp;B2379&amp;", "&amp;C2379&amp;", "&amp;D2379&amp;", "&amp;E2379&amp;", "&amp;F2379&amp;", "&amp;G2379&amp;", "&amp;H2379&amp;");"</f>
        <v>INSERT INTO COTACAO (cot_id, cot_blt_id, cot_pap_id, cot_prc_comum, cot_prc_min, cot_prc_max, cot_prc_med, cot_prc_mediana) VALUES (2378, 97, 28, NULL,  70.00,  90.00,  80.00,  80.00);</v>
      </c>
      <c r="J2379" s="0" t="str">
        <f aca="false">"UPDATE COTACAO SET cot_id = "&amp;A2379&amp;", cot_blt_id = "&amp;B2379&amp;", cot_pap_id = "&amp;C2379&amp;", cot_prc_comum = "&amp;D2379&amp;", cot_prc_min = "&amp;E2379&amp;", cot_prc_max = "&amp;F2379&amp;", cot_prc_med = "&amp;G2379&amp;", cot_prc_mediana = "&amp;H2379&amp;" WHERE cot_id = "&amp;A2379&amp;";"</f>
        <v>UPDATE COTACAO SET cot_id = 2378, cot_blt_id = 97, cot_pap_id = 28, cot_prc_comum = NULL, cot_prc_min =  70.00, cot_prc_max =  90.00, cot_prc_med =  80.00, cot_prc_mediana =  80.00 WHERE cot_id = 2378;</v>
      </c>
    </row>
    <row r="2380" customFormat="false" ht="14.25" hidden="false" customHeight="false" outlineLevel="0" collapsed="false">
      <c r="A2380" s="0" t="n">
        <v>2379</v>
      </c>
      <c r="B2380" s="0" t="n">
        <f aca="false">IF('Boletins Nuppa Site'!A2380&lt;&gt;0,'Boletins Nuppa Site'!A2380,"NULL")</f>
        <v>97</v>
      </c>
      <c r="C2380" s="0" t="n">
        <v>29</v>
      </c>
      <c r="D2380" s="0" t="str">
        <f aca="false">IF('Boletins Nuppa Site'!G2380&lt;&gt;0,'Boletins Nuppa Site'!G2380,"NULL")</f>
        <v> 50.00</v>
      </c>
      <c r="E2380" s="30" t="str">
        <f aca="false">IF('Boletins Nuppa Site'!H2380&lt;&gt;0,'Boletins Nuppa Site'!H2380,"NULL")</f>
        <v> 50.00</v>
      </c>
      <c r="F2380" s="30" t="str">
        <f aca="false">IF('Boletins Nuppa Site'!I2380&lt;&gt;0,'Boletins Nuppa Site'!I2380,"NULL")</f>
        <v> 50.00</v>
      </c>
      <c r="G2380" s="30" t="str">
        <f aca="false">IF('Boletins Nuppa Site'!J2380&lt;&gt;0,'Boletins Nuppa Site'!J2380,"NULL")</f>
        <v> 50.00</v>
      </c>
      <c r="H2380" s="30" t="str">
        <f aca="false">IF('Boletins Nuppa Site'!K2380&lt;&gt;0,'Boletins Nuppa Site'!K2380,"NULL")</f>
        <v> 50.00</v>
      </c>
      <c r="I2380" s="0" t="str">
        <f aca="false">"INSERT INTO COTACAO (cot_id, cot_blt_id, cot_pap_id, cot_prc_comum, cot_prc_min, cot_prc_max, cot_prc_med, cot_prc_mediana) VALUES ("&amp;A2380&amp;", "&amp;B2380&amp;", "&amp;C2380&amp;", "&amp;D2380&amp;", "&amp;E2380&amp;", "&amp;F2380&amp;", "&amp;G2380&amp;", "&amp;H2380&amp;");"</f>
        <v>INSERT INTO COTACAO (cot_id, cot_blt_id, cot_pap_id, cot_prc_comum, cot_prc_min, cot_prc_max, cot_prc_med, cot_prc_mediana) VALUES (2379, 97, 29,  50.00,  50.00,  50.00,  50.00,  50.00);</v>
      </c>
      <c r="J2380" s="0" t="str">
        <f aca="false">"UPDATE COTACAO SET cot_id = "&amp;A2380&amp;", cot_blt_id = "&amp;B2380&amp;", cot_pap_id = "&amp;C2380&amp;", cot_prc_comum = "&amp;D2380&amp;", cot_prc_min = "&amp;E2380&amp;", cot_prc_max = "&amp;F2380&amp;", cot_prc_med = "&amp;G2380&amp;", cot_prc_mediana = "&amp;H2380&amp;" WHERE cot_id = "&amp;A2380&amp;";"</f>
        <v>UPDATE COTACAO SET cot_id = 2379, cot_blt_id = 97, cot_pap_id = 29, cot_prc_comum =  50.00, cot_prc_min =  50.00, cot_prc_max =  50.00, cot_prc_med =  50.00, cot_prc_mediana =  50.00 WHERE cot_id = 2379;</v>
      </c>
    </row>
    <row r="2381" customFormat="false" ht="14.25" hidden="false" customHeight="false" outlineLevel="0" collapsed="false">
      <c r="A2381" s="0" t="n">
        <v>2380</v>
      </c>
      <c r="B2381" s="0" t="n">
        <f aca="false">IF('Boletins Nuppa Site'!A2381&lt;&gt;0,'Boletins Nuppa Site'!A2381,"NULL")</f>
        <v>97</v>
      </c>
      <c r="C2381" s="0" t="n">
        <v>30</v>
      </c>
      <c r="D2381" s="0" t="str">
        <f aca="false">IF('Boletins Nuppa Site'!G2381&lt;&gt;0,'Boletins Nuppa Site'!G2381,"NULL")</f>
        <v>NULL</v>
      </c>
      <c r="E2381" s="30" t="str">
        <f aca="false">IF('Boletins Nuppa Site'!H2381&lt;&gt;0,'Boletins Nuppa Site'!H2381,"NULL")</f>
        <v> 60.00</v>
      </c>
      <c r="F2381" s="30" t="str">
        <f aca="false">IF('Boletins Nuppa Site'!I2381&lt;&gt;0,'Boletins Nuppa Site'!I2381,"NULL")</f>
        <v> 70.00</v>
      </c>
      <c r="G2381" s="30" t="str">
        <f aca="false">IF('Boletins Nuppa Site'!J2381&lt;&gt;0,'Boletins Nuppa Site'!J2381,"NULL")</f>
        <v> 65.00</v>
      </c>
      <c r="H2381" s="30" t="str">
        <f aca="false">IF('Boletins Nuppa Site'!K2381&lt;&gt;0,'Boletins Nuppa Site'!K2381,"NULL")</f>
        <v> 65.00</v>
      </c>
      <c r="I2381" s="0" t="str">
        <f aca="false">"INSERT INTO COTACAO (cot_id, cot_blt_id, cot_pap_id, cot_prc_comum, cot_prc_min, cot_prc_max, cot_prc_med, cot_prc_mediana) VALUES ("&amp;A2381&amp;", "&amp;B2381&amp;", "&amp;C2381&amp;", "&amp;D2381&amp;", "&amp;E2381&amp;", "&amp;F2381&amp;", "&amp;G2381&amp;", "&amp;H2381&amp;");"</f>
        <v>INSERT INTO COTACAO (cot_id, cot_blt_id, cot_pap_id, cot_prc_comum, cot_prc_min, cot_prc_max, cot_prc_med, cot_prc_mediana) VALUES (2380, 97, 30, NULL,  60.00,  70.00,  65.00,  65.00);</v>
      </c>
      <c r="J2381" s="0" t="str">
        <f aca="false">"UPDATE COTACAO SET cot_id = "&amp;A2381&amp;", cot_blt_id = "&amp;B2381&amp;", cot_pap_id = "&amp;C2381&amp;", cot_prc_comum = "&amp;D2381&amp;", cot_prc_min = "&amp;E2381&amp;", cot_prc_max = "&amp;F2381&amp;", cot_prc_med = "&amp;G2381&amp;", cot_prc_mediana = "&amp;H2381&amp;" WHERE cot_id = "&amp;A2381&amp;";"</f>
        <v>UPDATE COTACAO SET cot_id = 2380, cot_blt_id = 97, cot_pap_id = 30, cot_prc_comum = NULL, cot_prc_min =  60.00, cot_prc_max =  70.00, cot_prc_med =  65.00, cot_prc_mediana =  65.00 WHERE cot_id = 2380;</v>
      </c>
    </row>
    <row r="2382" customFormat="false" ht="14.25" hidden="false" customHeight="false" outlineLevel="0" collapsed="false">
      <c r="A2382" s="0" t="n">
        <v>2381</v>
      </c>
      <c r="B2382" s="0" t="n">
        <f aca="false">IF('Boletins Nuppa Site'!A2382&lt;&gt;0,'Boletins Nuppa Site'!A2382,"NULL")</f>
        <v>97</v>
      </c>
      <c r="C2382" s="0" t="n">
        <v>31</v>
      </c>
      <c r="D2382" s="0" t="str">
        <f aca="false">IF('Boletins Nuppa Site'!G2382&lt;&gt;0,'Boletins Nuppa Site'!G2382,"NULL")</f>
        <v> 100.00</v>
      </c>
      <c r="E2382" s="30" t="str">
        <f aca="false">IF('Boletins Nuppa Site'!H2382&lt;&gt;0,'Boletins Nuppa Site'!H2382,"NULL")</f>
        <v> 75.00</v>
      </c>
      <c r="F2382" s="30" t="str">
        <f aca="false">IF('Boletins Nuppa Site'!I2382&lt;&gt;0,'Boletins Nuppa Site'!I2382,"NULL")</f>
        <v> 100.00</v>
      </c>
      <c r="G2382" s="30" t="str">
        <f aca="false">IF('Boletins Nuppa Site'!J2382&lt;&gt;0,'Boletins Nuppa Site'!J2382,"NULL")</f>
        <v> 93.75</v>
      </c>
      <c r="H2382" s="30" t="str">
        <f aca="false">IF('Boletins Nuppa Site'!K2382&lt;&gt;0,'Boletins Nuppa Site'!K2382,"NULL")</f>
        <v> 100.00</v>
      </c>
      <c r="I2382" s="0" t="str">
        <f aca="false">"INSERT INTO COTACAO (cot_id, cot_blt_id, cot_pap_id, cot_prc_comum, cot_prc_min, cot_prc_max, cot_prc_med, cot_prc_mediana) VALUES ("&amp;A2382&amp;", "&amp;B2382&amp;", "&amp;C2382&amp;", "&amp;D2382&amp;", "&amp;E2382&amp;", "&amp;F2382&amp;", "&amp;G2382&amp;", "&amp;H2382&amp;");"</f>
        <v>INSERT INTO COTACAO (cot_id, cot_blt_id, cot_pap_id, cot_prc_comum, cot_prc_min, cot_prc_max, cot_prc_med, cot_prc_mediana) VALUES (2381, 97, 31,  100.00,  75.00,  100.00,  93.75,  100.00);</v>
      </c>
      <c r="J2382" s="0" t="str">
        <f aca="false">"UPDATE COTACAO SET cot_id = "&amp;A2382&amp;", cot_blt_id = "&amp;B2382&amp;", cot_pap_id = "&amp;C2382&amp;", cot_prc_comum = "&amp;D2382&amp;", cot_prc_min = "&amp;E2382&amp;", cot_prc_max = "&amp;F2382&amp;", cot_prc_med = "&amp;G2382&amp;", cot_prc_mediana = "&amp;H2382&amp;" WHERE cot_id = "&amp;A2382&amp;";"</f>
        <v>UPDATE COTACAO SET cot_id = 2381, cot_blt_id = 97, cot_pap_id = 31, cot_prc_comum =  100.00, cot_prc_min =  75.00, cot_prc_max =  100.00, cot_prc_med =  93.75, cot_prc_mediana =  100.00 WHERE cot_id = 2381;</v>
      </c>
    </row>
    <row r="2383" customFormat="false" ht="14.25" hidden="false" customHeight="false" outlineLevel="0" collapsed="false">
      <c r="A2383" s="0" t="n">
        <v>2382</v>
      </c>
      <c r="B2383" s="0" t="n">
        <f aca="false">IF('Boletins Nuppa Site'!A2383&lt;&gt;0,'Boletins Nuppa Site'!A2383,"NULL")</f>
        <v>97</v>
      </c>
      <c r="C2383" s="0" t="n">
        <v>32</v>
      </c>
      <c r="D2383" s="0" t="str">
        <f aca="false">IF('Boletins Nuppa Site'!G2383&lt;&gt;0,'Boletins Nuppa Site'!G2383,"NULL")</f>
        <v> 45.00</v>
      </c>
      <c r="E2383" s="30" t="str">
        <f aca="false">IF('Boletins Nuppa Site'!H2383&lt;&gt;0,'Boletins Nuppa Site'!H2383,"NULL")</f>
        <v> 35.00</v>
      </c>
      <c r="F2383" s="30" t="str">
        <f aca="false">IF('Boletins Nuppa Site'!I2383&lt;&gt;0,'Boletins Nuppa Site'!I2383,"NULL")</f>
        <v> 60.00</v>
      </c>
      <c r="G2383" s="30" t="str">
        <f aca="false">IF('Boletins Nuppa Site'!J2383&lt;&gt;0,'Boletins Nuppa Site'!J2383,"NULL")</f>
        <v> 46.25</v>
      </c>
      <c r="H2383" s="30" t="str">
        <f aca="false">IF('Boletins Nuppa Site'!K2383&lt;&gt;0,'Boletins Nuppa Site'!K2383,"NULL")</f>
        <v> 45.00</v>
      </c>
      <c r="I2383" s="0" t="str">
        <f aca="false">"INSERT INTO COTACAO (cot_id, cot_blt_id, cot_pap_id, cot_prc_comum, cot_prc_min, cot_prc_max, cot_prc_med, cot_prc_mediana) VALUES ("&amp;A2383&amp;", "&amp;B2383&amp;", "&amp;C2383&amp;", "&amp;D2383&amp;", "&amp;E2383&amp;", "&amp;F2383&amp;", "&amp;G2383&amp;", "&amp;H2383&amp;");"</f>
        <v>INSERT INTO COTACAO (cot_id, cot_blt_id, cot_pap_id, cot_prc_comum, cot_prc_min, cot_prc_max, cot_prc_med, cot_prc_mediana) VALUES (2382, 97, 32,  45.00,  35.00,  60.00,  46.25,  45.00);</v>
      </c>
      <c r="J2383" s="0" t="str">
        <f aca="false">"UPDATE COTACAO SET cot_id = "&amp;A2383&amp;", cot_blt_id = "&amp;B2383&amp;", cot_pap_id = "&amp;C2383&amp;", cot_prc_comum = "&amp;D2383&amp;", cot_prc_min = "&amp;E2383&amp;", cot_prc_max = "&amp;F2383&amp;", cot_prc_med = "&amp;G2383&amp;", cot_prc_mediana = "&amp;H2383&amp;" WHERE cot_id = "&amp;A2383&amp;";"</f>
        <v>UPDATE COTACAO SET cot_id = 2382, cot_blt_id = 97, cot_pap_id = 32, cot_prc_comum =  45.00, cot_prc_min =  35.00, cot_prc_max =  60.00, cot_prc_med =  46.25, cot_prc_mediana =  45.00 WHERE cot_id = 2382;</v>
      </c>
    </row>
    <row r="2384" customFormat="false" ht="14.25" hidden="false" customHeight="false" outlineLevel="0" collapsed="false">
      <c r="A2384" s="0" t="n">
        <v>2383</v>
      </c>
      <c r="B2384" s="0" t="n">
        <f aca="false">IF('Boletins Nuppa Site'!A2384&lt;&gt;0,'Boletins Nuppa Site'!A2384,"NULL")</f>
        <v>97</v>
      </c>
      <c r="C2384" s="0" t="n">
        <v>33</v>
      </c>
      <c r="D2384" s="0" t="str">
        <f aca="false">IF('Boletins Nuppa Site'!G2384&lt;&gt;0,'Boletins Nuppa Site'!G2384,"NULL")</f>
        <v> 120.00</v>
      </c>
      <c r="E2384" s="30" t="str">
        <f aca="false">IF('Boletins Nuppa Site'!H2384&lt;&gt;0,'Boletins Nuppa Site'!H2384,"NULL")</f>
        <v> 150.00</v>
      </c>
      <c r="F2384" s="30" t="str">
        <f aca="false">IF('Boletins Nuppa Site'!I2384&lt;&gt;0,'Boletins Nuppa Site'!I2384,"NULL")</f>
        <v> 150.00</v>
      </c>
      <c r="G2384" s="30" t="str">
        <f aca="false">IF('Boletins Nuppa Site'!J2384&lt;&gt;0,'Boletins Nuppa Site'!J2384,"NULL")</f>
        <v> 135.00</v>
      </c>
      <c r="H2384" s="30" t="str">
        <f aca="false">IF('Boletins Nuppa Site'!K2384&lt;&gt;0,'Boletins Nuppa Site'!K2384,"NULL")</f>
        <v> 135.00</v>
      </c>
      <c r="I2384" s="0" t="str">
        <f aca="false">"INSERT INTO COTACAO (cot_id, cot_blt_id, cot_pap_id, cot_prc_comum, cot_prc_min, cot_prc_max, cot_prc_med, cot_prc_mediana) VALUES ("&amp;A2384&amp;", "&amp;B2384&amp;", "&amp;C2384&amp;", "&amp;D2384&amp;", "&amp;E2384&amp;", "&amp;F2384&amp;", "&amp;G2384&amp;", "&amp;H2384&amp;");"</f>
        <v>INSERT INTO COTACAO (cot_id, cot_blt_id, cot_pap_id, cot_prc_comum, cot_prc_min, cot_prc_max, cot_prc_med, cot_prc_mediana) VALUES (2383, 97, 33,  120.00,  150.00,  150.00,  135.00,  135.00);</v>
      </c>
      <c r="J2384" s="0" t="str">
        <f aca="false">"UPDATE COTACAO SET cot_id = "&amp;A2384&amp;", cot_blt_id = "&amp;B2384&amp;", cot_pap_id = "&amp;C2384&amp;", cot_prc_comum = "&amp;D2384&amp;", cot_prc_min = "&amp;E2384&amp;", cot_prc_max = "&amp;F2384&amp;", cot_prc_med = "&amp;G2384&amp;", cot_prc_mediana = "&amp;H2384&amp;" WHERE cot_id = "&amp;A2384&amp;";"</f>
        <v>UPDATE COTACAO SET cot_id = 2383, cot_blt_id = 97, cot_pap_id = 33, cot_prc_comum =  120.00, cot_prc_min =  150.00, cot_prc_max =  150.00, cot_prc_med =  135.00, cot_prc_mediana =  135.00 WHERE cot_id = 2383;</v>
      </c>
    </row>
    <row r="2385" customFormat="false" ht="14.25" hidden="false" customHeight="false" outlineLevel="0" collapsed="false">
      <c r="A2385" s="0" t="n">
        <v>2384</v>
      </c>
      <c r="B2385" s="0" t="n">
        <f aca="false">IF('Boletins Nuppa Site'!A2385&lt;&gt;0,'Boletins Nuppa Site'!A2385,"NULL")</f>
        <v>97</v>
      </c>
      <c r="C2385" s="0" t="n">
        <v>34</v>
      </c>
      <c r="D2385" s="0" t="str">
        <f aca="false">IF('Boletins Nuppa Site'!G2385&lt;&gt;0,'Boletins Nuppa Site'!G2385,"NULL")</f>
        <v> 150.00</v>
      </c>
      <c r="E2385" s="30" t="str">
        <f aca="false">IF('Boletins Nuppa Site'!H2385&lt;&gt;0,'Boletins Nuppa Site'!H2385,"NULL")</f>
        <v> 110.00</v>
      </c>
      <c r="F2385" s="30" t="str">
        <f aca="false">IF('Boletins Nuppa Site'!I2385&lt;&gt;0,'Boletins Nuppa Site'!I2385,"NULL")</f>
        <v> 200.00</v>
      </c>
      <c r="G2385" s="30" t="str">
        <f aca="false">IF('Boletins Nuppa Site'!J2385&lt;&gt;0,'Boletins Nuppa Site'!J2385,"NULL")</f>
        <v> 152.50</v>
      </c>
      <c r="H2385" s="30" t="str">
        <f aca="false">IF('Boletins Nuppa Site'!K2385&lt;&gt;0,'Boletins Nuppa Site'!K2385,"NULL")</f>
        <v> 150.00</v>
      </c>
      <c r="I2385" s="0" t="str">
        <f aca="false">"INSERT INTO COTACAO (cot_id, cot_blt_id, cot_pap_id, cot_prc_comum, cot_prc_min, cot_prc_max, cot_prc_med, cot_prc_mediana) VALUES ("&amp;A2385&amp;", "&amp;B2385&amp;", "&amp;C2385&amp;", "&amp;D2385&amp;", "&amp;E2385&amp;", "&amp;F2385&amp;", "&amp;G2385&amp;", "&amp;H2385&amp;");"</f>
        <v>INSERT INTO COTACAO (cot_id, cot_blt_id, cot_pap_id, cot_prc_comum, cot_prc_min, cot_prc_max, cot_prc_med, cot_prc_mediana) VALUES (2384, 97, 34,  150.00,  110.00,  200.00,  152.50,  150.00);</v>
      </c>
      <c r="J2385" s="0" t="str">
        <f aca="false">"UPDATE COTACAO SET cot_id = "&amp;A2385&amp;", cot_blt_id = "&amp;B2385&amp;", cot_pap_id = "&amp;C2385&amp;", cot_prc_comum = "&amp;D2385&amp;", cot_prc_min = "&amp;E2385&amp;", cot_prc_max = "&amp;F2385&amp;", cot_prc_med = "&amp;G2385&amp;", cot_prc_mediana = "&amp;H2385&amp;" WHERE cot_id = "&amp;A2385&amp;";"</f>
        <v>UPDATE COTACAO SET cot_id = 2384, cot_blt_id = 97, cot_pap_id = 34, cot_prc_comum =  150.00, cot_prc_min =  110.00, cot_prc_max =  200.00, cot_prc_med =  152.50, cot_prc_mediana =  150.00 WHERE cot_id = 2384;</v>
      </c>
    </row>
    <row r="2386" customFormat="false" ht="14.25" hidden="false" customHeight="false" outlineLevel="0" collapsed="false">
      <c r="A2386" s="0" t="n">
        <v>2385</v>
      </c>
      <c r="B2386" s="0" t="n">
        <f aca="false">IF('Boletins Nuppa Site'!A2386&lt;&gt;0,'Boletins Nuppa Site'!A2386,"NULL")</f>
        <v>97</v>
      </c>
      <c r="C2386" s="0" t="n">
        <v>35</v>
      </c>
      <c r="D2386" s="0" t="str">
        <f aca="false">IF('Boletins Nuppa Site'!G2386&lt;&gt;0,'Boletins Nuppa Site'!G2386,"NULL")</f>
        <v>NULL</v>
      </c>
      <c r="E2386" s="30" t="str">
        <f aca="false">IF('Boletins Nuppa Site'!H2386&lt;&gt;0,'Boletins Nuppa Site'!H2386,"NULL")</f>
        <v> 120.00</v>
      </c>
      <c r="F2386" s="30" t="str">
        <f aca="false">IF('Boletins Nuppa Site'!I2386&lt;&gt;0,'Boletins Nuppa Site'!I2386,"NULL")</f>
        <v> 160.00</v>
      </c>
      <c r="G2386" s="30" t="str">
        <f aca="false">IF('Boletins Nuppa Site'!J2386&lt;&gt;0,'Boletins Nuppa Site'!J2386,"NULL")</f>
        <v> 140.00</v>
      </c>
      <c r="H2386" s="30" t="str">
        <f aca="false">IF('Boletins Nuppa Site'!K2386&lt;&gt;0,'Boletins Nuppa Site'!K2386,"NULL")</f>
        <v> 140.00</v>
      </c>
      <c r="I2386" s="0" t="str">
        <f aca="false">"INSERT INTO COTACAO (cot_id, cot_blt_id, cot_pap_id, cot_prc_comum, cot_prc_min, cot_prc_max, cot_prc_med, cot_prc_mediana) VALUES ("&amp;A2386&amp;", "&amp;B2386&amp;", "&amp;C2386&amp;", "&amp;D2386&amp;", "&amp;E2386&amp;", "&amp;F2386&amp;", "&amp;G2386&amp;", "&amp;H2386&amp;");"</f>
        <v>INSERT INTO COTACAO (cot_id, cot_blt_id, cot_pap_id, cot_prc_comum, cot_prc_min, cot_prc_max, cot_prc_med, cot_prc_mediana) VALUES (2385, 97, 35, NULL,  120.00,  160.00,  140.00,  140.00);</v>
      </c>
      <c r="J2386" s="0" t="str">
        <f aca="false">"UPDATE COTACAO SET cot_id = "&amp;A2386&amp;", cot_blt_id = "&amp;B2386&amp;", cot_pap_id = "&amp;C2386&amp;", cot_prc_comum = "&amp;D2386&amp;", cot_prc_min = "&amp;E2386&amp;", cot_prc_max = "&amp;F2386&amp;", cot_prc_med = "&amp;G2386&amp;", cot_prc_mediana = "&amp;H2386&amp;" WHERE cot_id = "&amp;A2386&amp;";"</f>
        <v>UPDATE COTACAO SET cot_id = 2385, cot_blt_id = 97, cot_pap_id = 35, cot_prc_comum = NULL, cot_prc_min =  120.00, cot_prc_max =  160.00, cot_prc_med =  140.00, cot_prc_mediana =  140.00 WHERE cot_id = 2385;</v>
      </c>
    </row>
    <row r="2387" customFormat="false" ht="14.25" hidden="false" customHeight="false" outlineLevel="0" collapsed="false">
      <c r="A2387" s="0" t="n">
        <v>2386</v>
      </c>
      <c r="B2387" s="0" t="n">
        <f aca="false">IF('Boletins Nuppa Site'!A2387&lt;&gt;0,'Boletins Nuppa Site'!A2387,"NULL")</f>
        <v>97</v>
      </c>
      <c r="C2387" s="0" t="n">
        <v>36</v>
      </c>
      <c r="D2387" s="0" t="str">
        <f aca="false">IF('Boletins Nuppa Site'!G2387&lt;&gt;0,'Boletins Nuppa Site'!G2387,"NULL")</f>
        <v>NULL</v>
      </c>
      <c r="E2387" s="30" t="str">
        <f aca="false">IF('Boletins Nuppa Site'!H2387&lt;&gt;0,'Boletins Nuppa Site'!H2387,"NULL")</f>
        <v>NULL</v>
      </c>
      <c r="F2387" s="30" t="str">
        <f aca="false">IF('Boletins Nuppa Site'!I2387&lt;&gt;0,'Boletins Nuppa Site'!I2387,"NULL")</f>
        <v>NULL</v>
      </c>
      <c r="G2387" s="30" t="str">
        <f aca="false">IF('Boletins Nuppa Site'!J2387&lt;&gt;0,'Boletins Nuppa Site'!J2387,"NULL")</f>
        <v>NULL</v>
      </c>
      <c r="H2387" s="30" t="str">
        <f aca="false">IF('Boletins Nuppa Site'!K2387&lt;&gt;0,'Boletins Nuppa Site'!K2387,"NULL")</f>
        <v>NULL</v>
      </c>
      <c r="I2387" s="0" t="str">
        <f aca="false">"INSERT INTO COTACAO (cot_id, cot_blt_id, cot_pap_id, cot_prc_comum, cot_prc_min, cot_prc_max, cot_prc_med, cot_prc_mediana) VALUES ("&amp;A2387&amp;", "&amp;B2387&amp;", "&amp;C2387&amp;", "&amp;D2387&amp;", "&amp;E2387&amp;", "&amp;F2387&amp;", "&amp;G2387&amp;", "&amp;H2387&amp;");"</f>
        <v>INSERT INTO COTACAO (cot_id, cot_blt_id, cot_pap_id, cot_prc_comum, cot_prc_min, cot_prc_max, cot_prc_med, cot_prc_mediana) VALUES (2386, 97, 36, NULL, NULL, NULL, NULL, NULL);</v>
      </c>
      <c r="J2387" s="0" t="str">
        <f aca="false">"UPDATE COTACAO SET cot_id = "&amp;A2387&amp;", cot_blt_id = "&amp;B2387&amp;", cot_pap_id = "&amp;C2387&amp;", cot_prc_comum = "&amp;D2387&amp;", cot_prc_min = "&amp;E2387&amp;", cot_prc_max = "&amp;F2387&amp;", cot_prc_med = "&amp;G2387&amp;", cot_prc_mediana = "&amp;H2387&amp;" WHERE cot_id = "&amp;A2387&amp;";"</f>
        <v>UPDATE COTACAO SET cot_id = 2386, cot_blt_id = 97, cot_pap_id = 36, cot_prc_comum = NULL, cot_prc_min = NULL, cot_prc_max = NULL, cot_prc_med = NULL, cot_prc_mediana = NULL WHERE cot_id = 2386;</v>
      </c>
    </row>
    <row r="2388" customFormat="false" ht="14.25" hidden="false" customHeight="false" outlineLevel="0" collapsed="false">
      <c r="A2388" s="0" t="n">
        <v>2387</v>
      </c>
      <c r="B2388" s="0" t="n">
        <f aca="false">IF('Boletins Nuppa Site'!A2388&lt;&gt;0,'Boletins Nuppa Site'!A2388,"NULL")</f>
        <v>97</v>
      </c>
      <c r="C2388" s="0" t="n">
        <v>37</v>
      </c>
      <c r="D2388" s="0" t="str">
        <f aca="false">IF('Boletins Nuppa Site'!G2388&lt;&gt;0,'Boletins Nuppa Site'!G2388,"NULL")</f>
        <v>NULL</v>
      </c>
      <c r="E2388" s="30" t="str">
        <f aca="false">IF('Boletins Nuppa Site'!H2388&lt;&gt;0,'Boletins Nuppa Site'!H2388,"NULL")</f>
        <v>NULL</v>
      </c>
      <c r="F2388" s="30" t="str">
        <f aca="false">IF('Boletins Nuppa Site'!I2388&lt;&gt;0,'Boletins Nuppa Site'!I2388,"NULL")</f>
        <v>NULL</v>
      </c>
      <c r="G2388" s="30" t="str">
        <f aca="false">IF('Boletins Nuppa Site'!J2388&lt;&gt;0,'Boletins Nuppa Site'!J2388,"NULL")</f>
        <v>NULL</v>
      </c>
      <c r="H2388" s="30" t="str">
        <f aca="false">IF('Boletins Nuppa Site'!K2388&lt;&gt;0,'Boletins Nuppa Site'!K2388,"NULL")</f>
        <v>NULL</v>
      </c>
      <c r="I2388" s="0" t="str">
        <f aca="false">"INSERT INTO COTACAO (cot_id, cot_blt_id, cot_pap_id, cot_prc_comum, cot_prc_min, cot_prc_max, cot_prc_med, cot_prc_mediana) VALUES ("&amp;A2388&amp;", "&amp;B2388&amp;", "&amp;C2388&amp;", "&amp;D2388&amp;", "&amp;E2388&amp;", "&amp;F2388&amp;", "&amp;G2388&amp;", "&amp;H2388&amp;");"</f>
        <v>INSERT INTO COTACAO (cot_id, cot_blt_id, cot_pap_id, cot_prc_comum, cot_prc_min, cot_prc_max, cot_prc_med, cot_prc_mediana) VALUES (2387, 97, 37, NULL, NULL, NULL, NULL, NULL);</v>
      </c>
      <c r="J2388" s="0" t="str">
        <f aca="false">"UPDATE COTACAO SET cot_id = "&amp;A2388&amp;", cot_blt_id = "&amp;B2388&amp;", cot_pap_id = "&amp;C2388&amp;", cot_prc_comum = "&amp;D2388&amp;", cot_prc_min = "&amp;E2388&amp;", cot_prc_max = "&amp;F2388&amp;", cot_prc_med = "&amp;G2388&amp;", cot_prc_mediana = "&amp;H2388&amp;" WHERE cot_id = "&amp;A2388&amp;";"</f>
        <v>UPDATE COTACAO SET cot_id = 2387, cot_blt_id = 97, cot_pap_id = 37, cot_prc_comum = NULL, cot_prc_min = NULL, cot_prc_max = NULL, cot_prc_med = NULL, cot_prc_mediana = NULL WHERE cot_id = 2387;</v>
      </c>
    </row>
    <row r="2389" customFormat="false" ht="14.25" hidden="false" customHeight="false" outlineLevel="0" collapsed="false">
      <c r="A2389" s="0" t="n">
        <v>2388</v>
      </c>
      <c r="B2389" s="0" t="n">
        <f aca="false">IF('Boletins Nuppa Site'!A2389&lt;&gt;0,'Boletins Nuppa Site'!A2389,"NULL")</f>
        <v>97</v>
      </c>
      <c r="C2389" s="0" t="n">
        <v>38</v>
      </c>
      <c r="D2389" s="0" t="str">
        <f aca="false">IF('Boletins Nuppa Site'!G2389&lt;&gt;0,'Boletins Nuppa Site'!G2389,"NULL")</f>
        <v>NULL</v>
      </c>
      <c r="E2389" s="30" t="str">
        <f aca="false">IF('Boletins Nuppa Site'!H2389&lt;&gt;0,'Boletins Nuppa Site'!H2389,"NULL")</f>
        <v>NULL</v>
      </c>
      <c r="F2389" s="30" t="str">
        <f aca="false">IF('Boletins Nuppa Site'!I2389&lt;&gt;0,'Boletins Nuppa Site'!I2389,"NULL")</f>
        <v>NULL</v>
      </c>
      <c r="G2389" s="30" t="str">
        <f aca="false">IF('Boletins Nuppa Site'!J2389&lt;&gt;0,'Boletins Nuppa Site'!J2389,"NULL")</f>
        <v>NULL</v>
      </c>
      <c r="H2389" s="30" t="str">
        <f aca="false">IF('Boletins Nuppa Site'!K2389&lt;&gt;0,'Boletins Nuppa Site'!K2389,"NULL")</f>
        <v>NULL</v>
      </c>
      <c r="I2389" s="0" t="str">
        <f aca="false">"INSERT INTO COTACAO (cot_id, cot_blt_id, cot_pap_id, cot_prc_comum, cot_prc_min, cot_prc_max, cot_prc_med, cot_prc_mediana) VALUES ("&amp;A2389&amp;", "&amp;B2389&amp;", "&amp;C2389&amp;", "&amp;D2389&amp;", "&amp;E2389&amp;", "&amp;F2389&amp;", "&amp;G2389&amp;", "&amp;H2389&amp;");"</f>
        <v>INSERT INTO COTACAO (cot_id, cot_blt_id, cot_pap_id, cot_prc_comum, cot_prc_min, cot_prc_max, cot_prc_med, cot_prc_mediana) VALUES (2388, 97, 38, NULL, NULL, NULL, NULL, NULL);</v>
      </c>
      <c r="J2389" s="0" t="str">
        <f aca="false">"UPDATE COTACAO SET cot_id = "&amp;A2389&amp;", cot_blt_id = "&amp;B2389&amp;", cot_pap_id = "&amp;C2389&amp;", cot_prc_comum = "&amp;D2389&amp;", cot_prc_min = "&amp;E2389&amp;", cot_prc_max = "&amp;F2389&amp;", cot_prc_med = "&amp;G2389&amp;", cot_prc_mediana = "&amp;H2389&amp;" WHERE cot_id = "&amp;A2389&amp;";"</f>
        <v>UPDATE COTACAO SET cot_id = 2388, cot_blt_id = 97, cot_pap_id = 38, cot_prc_comum = NULL, cot_prc_min = NULL, cot_prc_max = NULL, cot_prc_med = NULL, cot_prc_mediana = NULL WHERE cot_id = 2388;</v>
      </c>
    </row>
    <row r="2390" customFormat="false" ht="14.25" hidden="false" customHeight="false" outlineLevel="0" collapsed="false">
      <c r="A2390" s="0" t="n">
        <v>2389</v>
      </c>
      <c r="B2390" s="0" t="n">
        <f aca="false">IF('Boletins Nuppa Site'!A2390&lt;&gt;0,'Boletins Nuppa Site'!A2390,"NULL")</f>
        <v>97</v>
      </c>
      <c r="C2390" s="0" t="n">
        <v>39</v>
      </c>
      <c r="D2390" s="0" t="str">
        <f aca="false">IF('Boletins Nuppa Site'!G2390&lt;&gt;0,'Boletins Nuppa Site'!G2390,"NULL")</f>
        <v>NULL</v>
      </c>
      <c r="E2390" s="30" t="str">
        <f aca="false">IF('Boletins Nuppa Site'!H2390&lt;&gt;0,'Boletins Nuppa Site'!H2390,"NULL")</f>
        <v>NULL</v>
      </c>
      <c r="F2390" s="30" t="str">
        <f aca="false">IF('Boletins Nuppa Site'!I2390&lt;&gt;0,'Boletins Nuppa Site'!I2390,"NULL")</f>
        <v>NULL</v>
      </c>
      <c r="G2390" s="30" t="str">
        <f aca="false">IF('Boletins Nuppa Site'!J2390&lt;&gt;0,'Boletins Nuppa Site'!J2390,"NULL")</f>
        <v>NULL</v>
      </c>
      <c r="H2390" s="30" t="str">
        <f aca="false">IF('Boletins Nuppa Site'!K2390&lt;&gt;0,'Boletins Nuppa Site'!K2390,"NULL")</f>
        <v>NULL</v>
      </c>
      <c r="I2390" s="0" t="str">
        <f aca="false">"INSERT INTO COTACAO (cot_id, cot_blt_id, cot_pap_id, cot_prc_comum, cot_prc_min, cot_prc_max, cot_prc_med, cot_prc_mediana) VALUES ("&amp;A2390&amp;", "&amp;B2390&amp;", "&amp;C2390&amp;", "&amp;D2390&amp;", "&amp;E2390&amp;", "&amp;F2390&amp;", "&amp;G2390&amp;", "&amp;H2390&amp;");"</f>
        <v>INSERT INTO COTACAO (cot_id, cot_blt_id, cot_pap_id, cot_prc_comum, cot_prc_min, cot_prc_max, cot_prc_med, cot_prc_mediana) VALUES (2389, 97, 39, NULL, NULL, NULL, NULL, NULL);</v>
      </c>
      <c r="J2390" s="0" t="str">
        <f aca="false">"UPDATE COTACAO SET cot_id = "&amp;A2390&amp;", cot_blt_id = "&amp;B2390&amp;", cot_pap_id = "&amp;C2390&amp;", cot_prc_comum = "&amp;D2390&amp;", cot_prc_min = "&amp;E2390&amp;", cot_prc_max = "&amp;F2390&amp;", cot_prc_med = "&amp;G2390&amp;", cot_prc_mediana = "&amp;H2390&amp;" WHERE cot_id = "&amp;A2390&amp;";"</f>
        <v>UPDATE COTACAO SET cot_id = 2389, cot_blt_id = 97, cot_pap_id = 39, cot_prc_comum = NULL, cot_prc_min = NULL, cot_prc_max = NULL, cot_prc_med = NULL, cot_prc_mediana = NULL WHERE cot_id = 2389;</v>
      </c>
    </row>
    <row r="2391" customFormat="false" ht="14.25" hidden="false" customHeight="false" outlineLevel="0" collapsed="false">
      <c r="A2391" s="0" t="n">
        <v>2390</v>
      </c>
      <c r="B2391" s="0" t="n">
        <f aca="false">IF('Boletins Nuppa Site'!A2391&lt;&gt;0,'Boletins Nuppa Site'!A2391,"NULL")</f>
        <v>97</v>
      </c>
      <c r="C2391" s="0" t="n">
        <v>40</v>
      </c>
      <c r="D2391" s="0" t="str">
        <f aca="false">IF('Boletins Nuppa Site'!G2391&lt;&gt;0,'Boletins Nuppa Site'!G2391,"NULL")</f>
        <v>NULL</v>
      </c>
      <c r="E2391" s="30" t="str">
        <f aca="false">IF('Boletins Nuppa Site'!H2391&lt;&gt;0,'Boletins Nuppa Site'!H2391,"NULL")</f>
        <v>NULL</v>
      </c>
      <c r="F2391" s="30" t="str">
        <f aca="false">IF('Boletins Nuppa Site'!I2391&lt;&gt;0,'Boletins Nuppa Site'!I2391,"NULL")</f>
        <v>NULL</v>
      </c>
      <c r="G2391" s="30" t="str">
        <f aca="false">IF('Boletins Nuppa Site'!J2391&lt;&gt;0,'Boletins Nuppa Site'!J2391,"NULL")</f>
        <v>NULL</v>
      </c>
      <c r="H2391" s="30" t="str">
        <f aca="false">IF('Boletins Nuppa Site'!K2391&lt;&gt;0,'Boletins Nuppa Site'!K2391,"NULL")</f>
        <v>NULL</v>
      </c>
      <c r="I2391" s="0" t="str">
        <f aca="false">"INSERT INTO COTACAO (cot_id, cot_blt_id, cot_pap_id, cot_prc_comum, cot_prc_min, cot_prc_max, cot_prc_med, cot_prc_mediana) VALUES ("&amp;A2391&amp;", "&amp;B2391&amp;", "&amp;C2391&amp;", "&amp;D2391&amp;", "&amp;E2391&amp;", "&amp;F2391&amp;", "&amp;G2391&amp;", "&amp;H2391&amp;");"</f>
        <v>INSERT INTO COTACAO (cot_id, cot_blt_id, cot_pap_id, cot_prc_comum, cot_prc_min, cot_prc_max, cot_prc_med, cot_prc_mediana) VALUES (2390, 97, 40, NULL, NULL, NULL, NULL, NULL);</v>
      </c>
      <c r="J2391" s="0" t="str">
        <f aca="false">"UPDATE COTACAO SET cot_id = "&amp;A2391&amp;", cot_blt_id = "&amp;B2391&amp;", cot_pap_id = "&amp;C2391&amp;", cot_prc_comum = "&amp;D2391&amp;", cot_prc_min = "&amp;E2391&amp;", cot_prc_max = "&amp;F2391&amp;", cot_prc_med = "&amp;G2391&amp;", cot_prc_mediana = "&amp;H2391&amp;" WHERE cot_id = "&amp;A2391&amp;";"</f>
        <v>UPDATE COTACAO SET cot_id = 2390, cot_blt_id = 97, cot_pap_id = 40, cot_prc_comum = NULL, cot_prc_min = NULL, cot_prc_max = NULL, cot_prc_med = NULL, cot_prc_mediana = NULL WHERE cot_id = 2390;</v>
      </c>
    </row>
    <row r="2392" customFormat="false" ht="14.25" hidden="false" customHeight="false" outlineLevel="0" collapsed="false">
      <c r="A2392" s="0" t="n">
        <v>2391</v>
      </c>
      <c r="B2392" s="0" t="n">
        <f aca="false">IF('Boletins Nuppa Site'!A2392&lt;&gt;0,'Boletins Nuppa Site'!A2392,"NULL")</f>
        <v>98</v>
      </c>
      <c r="C2392" s="0" t="n">
        <v>1</v>
      </c>
      <c r="D2392" s="0" t="str">
        <f aca="false">IF('Boletins Nuppa Site'!G2392&lt;&gt;0,'Boletins Nuppa Site'!G2392,"NULL")</f>
        <v> 72.00</v>
      </c>
      <c r="E2392" s="30" t="str">
        <f aca="false">IF('Boletins Nuppa Site'!H2392&lt;&gt;0,'Boletins Nuppa Site'!H2392,"NULL")</f>
        <v> 48.00</v>
      </c>
      <c r="F2392" s="30" t="str">
        <f aca="false">IF('Boletins Nuppa Site'!I2392&lt;&gt;0,'Boletins Nuppa Site'!I2392,"NULL")</f>
        <v> 72.00</v>
      </c>
      <c r="G2392" s="30" t="str">
        <f aca="false">IF('Boletins Nuppa Site'!J2392&lt;&gt;0,'Boletins Nuppa Site'!J2392,"NULL")</f>
        <v> 64.00</v>
      </c>
      <c r="H2392" s="30" t="str">
        <f aca="false">IF('Boletins Nuppa Site'!K2392&lt;&gt;0,'Boletins Nuppa Site'!K2392,"NULL")</f>
        <v> 72.00</v>
      </c>
      <c r="I2392" s="0" t="str">
        <f aca="false">"INSERT INTO COTACAO (cot_id, cot_blt_id, cot_pap_id, cot_prc_comum, cot_prc_min, cot_prc_max, cot_prc_med, cot_prc_mediana) VALUES ("&amp;A2392&amp;", "&amp;B2392&amp;", "&amp;C2392&amp;", "&amp;D2392&amp;", "&amp;E2392&amp;", "&amp;F2392&amp;", "&amp;G2392&amp;", "&amp;H2392&amp;");"</f>
        <v>INSERT INTO COTACAO (cot_id, cot_blt_id, cot_pap_id, cot_prc_comum, cot_prc_min, cot_prc_max, cot_prc_med, cot_prc_mediana) VALUES (2391, 98, 1,  72.00,  48.00,  72.00,  64.00,  72.00);</v>
      </c>
      <c r="J2392" s="0" t="str">
        <f aca="false">"UPDATE COTACAO SET cot_id = "&amp;A2392&amp;", cot_blt_id = "&amp;B2392&amp;", cot_pap_id = "&amp;C2392&amp;", cot_prc_comum = "&amp;D2392&amp;", cot_prc_min = "&amp;E2392&amp;", cot_prc_max = "&amp;F2392&amp;", cot_prc_med = "&amp;G2392&amp;", cot_prc_mediana = "&amp;H2392&amp;" WHERE cot_id = "&amp;A2392&amp;";"</f>
        <v>UPDATE COTACAO SET cot_id = 2391, cot_blt_id = 98, cot_pap_id = 1, cot_prc_comum =  72.00, cot_prc_min =  48.00, cot_prc_max =  72.00, cot_prc_med =  64.00, cot_prc_mediana =  72.00 WHERE cot_id = 2391;</v>
      </c>
    </row>
    <row r="2393" customFormat="false" ht="14.25" hidden="false" customHeight="false" outlineLevel="0" collapsed="false">
      <c r="A2393" s="0" t="n">
        <v>2392</v>
      </c>
      <c r="B2393" s="0" t="n">
        <f aca="false">IF('Boletins Nuppa Site'!A2393&lt;&gt;0,'Boletins Nuppa Site'!A2393,"NULL")</f>
        <v>98</v>
      </c>
      <c r="C2393" s="0" t="n">
        <v>2</v>
      </c>
      <c r="D2393" s="0" t="str">
        <f aca="false">IF('Boletins Nuppa Site'!G2393&lt;&gt;0,'Boletins Nuppa Site'!G2393,"NULL")</f>
        <v> 84.00</v>
      </c>
      <c r="E2393" s="30" t="str">
        <f aca="false">IF('Boletins Nuppa Site'!H2393&lt;&gt;0,'Boletins Nuppa Site'!H2393,"NULL")</f>
        <v> 96.00</v>
      </c>
      <c r="F2393" s="30" t="str">
        <f aca="false">IF('Boletins Nuppa Site'!I2393&lt;&gt;0,'Boletins Nuppa Site'!I2393,"NULL")</f>
        <v> 96.00</v>
      </c>
      <c r="G2393" s="30" t="str">
        <f aca="false">IF('Boletins Nuppa Site'!J2393&lt;&gt;0,'Boletins Nuppa Site'!J2393,"NULL")</f>
        <v> 92.00</v>
      </c>
      <c r="H2393" s="30" t="str">
        <f aca="false">IF('Boletins Nuppa Site'!K2393&lt;&gt;0,'Boletins Nuppa Site'!K2393,"NULL")</f>
        <v> 96.00</v>
      </c>
      <c r="I2393" s="0" t="str">
        <f aca="false">"INSERT INTO COTACAO (cot_id, cot_blt_id, cot_pap_id, cot_prc_comum, cot_prc_min, cot_prc_max, cot_prc_med, cot_prc_mediana) VALUES ("&amp;A2393&amp;", "&amp;B2393&amp;", "&amp;C2393&amp;", "&amp;D2393&amp;", "&amp;E2393&amp;", "&amp;F2393&amp;", "&amp;G2393&amp;", "&amp;H2393&amp;");"</f>
        <v>INSERT INTO COTACAO (cot_id, cot_blt_id, cot_pap_id, cot_prc_comum, cot_prc_min, cot_prc_max, cot_prc_med, cot_prc_mediana) VALUES (2392, 98, 2,  84.00,  96.00,  96.00,  92.00,  96.00);</v>
      </c>
      <c r="J2393" s="0" t="str">
        <f aca="false">"UPDATE COTACAO SET cot_id = "&amp;A2393&amp;", cot_blt_id = "&amp;B2393&amp;", cot_pap_id = "&amp;C2393&amp;", cot_prc_comum = "&amp;D2393&amp;", cot_prc_min = "&amp;E2393&amp;", cot_prc_max = "&amp;F2393&amp;", cot_prc_med = "&amp;G2393&amp;", cot_prc_mediana = "&amp;H2393&amp;" WHERE cot_id = "&amp;A2393&amp;";"</f>
        <v>UPDATE COTACAO SET cot_id = 2392, cot_blt_id = 98, cot_pap_id = 2, cot_prc_comum =  84.00, cot_prc_min =  96.00, cot_prc_max =  96.00, cot_prc_med =  92.00, cot_prc_mediana =  96.00 WHERE cot_id = 2392;</v>
      </c>
    </row>
    <row r="2394" customFormat="false" ht="14.25" hidden="false" customHeight="false" outlineLevel="0" collapsed="false">
      <c r="A2394" s="0" t="n">
        <v>2393</v>
      </c>
      <c r="B2394" s="0" t="n">
        <f aca="false">IF('Boletins Nuppa Site'!A2394&lt;&gt;0,'Boletins Nuppa Site'!A2394,"NULL")</f>
        <v>98</v>
      </c>
      <c r="C2394" s="0" t="n">
        <v>3</v>
      </c>
      <c r="D2394" s="0" t="str">
        <f aca="false">IF('Boletins Nuppa Site'!G2394&lt;&gt;0,'Boletins Nuppa Site'!G2394,"NULL")</f>
        <v> 36.00</v>
      </c>
      <c r="E2394" s="30" t="str">
        <f aca="false">IF('Boletins Nuppa Site'!H2394&lt;&gt;0,'Boletins Nuppa Site'!H2394,"NULL")</f>
        <v> 60.00</v>
      </c>
      <c r="F2394" s="30" t="str">
        <f aca="false">IF('Boletins Nuppa Site'!I2394&lt;&gt;0,'Boletins Nuppa Site'!I2394,"NULL")</f>
        <v> 60.00</v>
      </c>
      <c r="G2394" s="30" t="str">
        <f aca="false">IF('Boletins Nuppa Site'!J2394&lt;&gt;0,'Boletins Nuppa Site'!J2394,"NULL")</f>
        <v> 52.00</v>
      </c>
      <c r="H2394" s="30" t="str">
        <f aca="false">IF('Boletins Nuppa Site'!K2394&lt;&gt;0,'Boletins Nuppa Site'!K2394,"NULL")</f>
        <v> 60.00</v>
      </c>
      <c r="I2394" s="0" t="str">
        <f aca="false">"INSERT INTO COTACAO (cot_id, cot_blt_id, cot_pap_id, cot_prc_comum, cot_prc_min, cot_prc_max, cot_prc_med, cot_prc_mediana) VALUES ("&amp;A2394&amp;", "&amp;B2394&amp;", "&amp;C2394&amp;", "&amp;D2394&amp;", "&amp;E2394&amp;", "&amp;F2394&amp;", "&amp;G2394&amp;", "&amp;H2394&amp;");"</f>
        <v>INSERT INTO COTACAO (cot_id, cot_blt_id, cot_pap_id, cot_prc_comum, cot_prc_min, cot_prc_max, cot_prc_med, cot_prc_mediana) VALUES (2393, 98, 3,  36.00,  60.00,  60.00,  52.00,  60.00);</v>
      </c>
      <c r="J2394" s="0" t="str">
        <f aca="false">"UPDATE COTACAO SET cot_id = "&amp;A2394&amp;", cot_blt_id = "&amp;B2394&amp;", cot_pap_id = "&amp;C2394&amp;", cot_prc_comum = "&amp;D2394&amp;", cot_prc_min = "&amp;E2394&amp;", cot_prc_max = "&amp;F2394&amp;", cot_prc_med = "&amp;G2394&amp;", cot_prc_mediana = "&amp;H2394&amp;" WHERE cot_id = "&amp;A2394&amp;";"</f>
        <v>UPDATE COTACAO SET cot_id = 2393, cot_blt_id = 98, cot_pap_id = 3, cot_prc_comum =  36.00, cot_prc_min =  60.00, cot_prc_max =  60.00, cot_prc_med =  52.00, cot_prc_mediana =  60.00 WHERE cot_id = 2393;</v>
      </c>
    </row>
    <row r="2395" customFormat="false" ht="14.25" hidden="false" customHeight="false" outlineLevel="0" collapsed="false">
      <c r="A2395" s="0" t="n">
        <v>2394</v>
      </c>
      <c r="B2395" s="0" t="n">
        <f aca="false">IF('Boletins Nuppa Site'!A2395&lt;&gt;0,'Boletins Nuppa Site'!A2395,"NULL")</f>
        <v>98</v>
      </c>
      <c r="C2395" s="0" t="n">
        <v>4</v>
      </c>
      <c r="D2395" s="0" t="str">
        <f aca="false">IF('Boletins Nuppa Site'!G2395&lt;&gt;0,'Boletins Nuppa Site'!G2395,"NULL")</f>
        <v>NULL</v>
      </c>
      <c r="E2395" s="30" t="str">
        <f aca="false">IF('Boletins Nuppa Site'!H2395&lt;&gt;0,'Boletins Nuppa Site'!H2395,"NULL")</f>
        <v> 24.00</v>
      </c>
      <c r="F2395" s="30" t="str">
        <f aca="false">IF('Boletins Nuppa Site'!I2395&lt;&gt;0,'Boletins Nuppa Site'!I2395,"NULL")</f>
        <v> 36.00</v>
      </c>
      <c r="G2395" s="30" t="str">
        <f aca="false">IF('Boletins Nuppa Site'!J2395&lt;&gt;0,'Boletins Nuppa Site'!J2395,"NULL")</f>
        <v> 30.00</v>
      </c>
      <c r="H2395" s="30" t="str">
        <f aca="false">IF('Boletins Nuppa Site'!K2395&lt;&gt;0,'Boletins Nuppa Site'!K2395,"NULL")</f>
        <v> 30.00</v>
      </c>
      <c r="I2395" s="0" t="str">
        <f aca="false">"INSERT INTO COTACAO (cot_id, cot_blt_id, cot_pap_id, cot_prc_comum, cot_prc_min, cot_prc_max, cot_prc_med, cot_prc_mediana) VALUES ("&amp;A2395&amp;", "&amp;B2395&amp;", "&amp;C2395&amp;", "&amp;D2395&amp;", "&amp;E2395&amp;", "&amp;F2395&amp;", "&amp;G2395&amp;", "&amp;H2395&amp;");"</f>
        <v>INSERT INTO COTACAO (cot_id, cot_blt_id, cot_pap_id, cot_prc_comum, cot_prc_min, cot_prc_max, cot_prc_med, cot_prc_mediana) VALUES (2394, 98, 4, NULL,  24.00,  36.00,  30.00,  30.00);</v>
      </c>
      <c r="J2395" s="0" t="str">
        <f aca="false">"UPDATE COTACAO SET cot_id = "&amp;A2395&amp;", cot_blt_id = "&amp;B2395&amp;", cot_pap_id = "&amp;C2395&amp;", cot_prc_comum = "&amp;D2395&amp;", cot_prc_min = "&amp;E2395&amp;", cot_prc_max = "&amp;F2395&amp;", cot_prc_med = "&amp;G2395&amp;", cot_prc_mediana = "&amp;H2395&amp;" WHERE cot_id = "&amp;A2395&amp;";"</f>
        <v>UPDATE COTACAO SET cot_id = 2394, cot_blt_id = 98, cot_pap_id = 4, cot_prc_comum = NULL, cot_prc_min =  24.00, cot_prc_max =  36.00, cot_prc_med =  30.00, cot_prc_mediana =  30.00 WHERE cot_id = 2394;</v>
      </c>
    </row>
    <row r="2396" customFormat="false" ht="14.25" hidden="false" customHeight="false" outlineLevel="0" collapsed="false">
      <c r="A2396" s="0" t="n">
        <v>2395</v>
      </c>
      <c r="B2396" s="0" t="n">
        <f aca="false">IF('Boletins Nuppa Site'!A2396&lt;&gt;0,'Boletins Nuppa Site'!A2396,"NULL")</f>
        <v>98</v>
      </c>
      <c r="C2396" s="0" t="n">
        <v>5</v>
      </c>
      <c r="D2396" s="0" t="str">
        <f aca="false">IF('Boletins Nuppa Site'!G2396&lt;&gt;0,'Boletins Nuppa Site'!G2396,"NULL")</f>
        <v>NULL</v>
      </c>
      <c r="E2396" s="30" t="str">
        <f aca="false">IF('Boletins Nuppa Site'!H2396&lt;&gt;0,'Boletins Nuppa Site'!H2396,"NULL")</f>
        <v> 24.00</v>
      </c>
      <c r="F2396" s="30" t="str">
        <f aca="false">IF('Boletins Nuppa Site'!I2396&lt;&gt;0,'Boletins Nuppa Site'!I2396,"NULL")</f>
        <v> 36.00</v>
      </c>
      <c r="G2396" s="30" t="str">
        <f aca="false">IF('Boletins Nuppa Site'!J2396&lt;&gt;0,'Boletins Nuppa Site'!J2396,"NULL")</f>
        <v> 30.00</v>
      </c>
      <c r="H2396" s="30" t="str">
        <f aca="false">IF('Boletins Nuppa Site'!K2396&lt;&gt;0,'Boletins Nuppa Site'!K2396,"NULL")</f>
        <v> 30.00</v>
      </c>
      <c r="I2396" s="0" t="str">
        <f aca="false">"INSERT INTO COTACAO (cot_id, cot_blt_id, cot_pap_id, cot_prc_comum, cot_prc_min, cot_prc_max, cot_prc_med, cot_prc_mediana) VALUES ("&amp;A2396&amp;", "&amp;B2396&amp;", "&amp;C2396&amp;", "&amp;D2396&amp;", "&amp;E2396&amp;", "&amp;F2396&amp;", "&amp;G2396&amp;", "&amp;H2396&amp;");"</f>
        <v>INSERT INTO COTACAO (cot_id, cot_blt_id, cot_pap_id, cot_prc_comum, cot_prc_min, cot_prc_max, cot_prc_med, cot_prc_mediana) VALUES (2395, 98, 5, NULL,  24.00,  36.00,  30.00,  30.00);</v>
      </c>
      <c r="J2396" s="0" t="str">
        <f aca="false">"UPDATE COTACAO SET cot_id = "&amp;A2396&amp;", cot_blt_id = "&amp;B2396&amp;", cot_pap_id = "&amp;C2396&amp;", cot_prc_comum = "&amp;D2396&amp;", cot_prc_min = "&amp;E2396&amp;", cot_prc_max = "&amp;F2396&amp;", cot_prc_med = "&amp;G2396&amp;", cot_prc_mediana = "&amp;H2396&amp;" WHERE cot_id = "&amp;A2396&amp;";"</f>
        <v>UPDATE COTACAO SET cot_id = 2395, cot_blt_id = 98, cot_pap_id = 5, cot_prc_comum = NULL, cot_prc_min =  24.00, cot_prc_max =  36.00, cot_prc_med =  30.00, cot_prc_mediana =  30.00 WHERE cot_id = 2395;</v>
      </c>
    </row>
    <row r="2397" customFormat="false" ht="14.25" hidden="false" customHeight="false" outlineLevel="0" collapsed="false">
      <c r="A2397" s="0" t="n">
        <v>2396</v>
      </c>
      <c r="B2397" s="0" t="n">
        <f aca="false">IF('Boletins Nuppa Site'!A2397&lt;&gt;0,'Boletins Nuppa Site'!A2397,"NULL")</f>
        <v>98</v>
      </c>
      <c r="C2397" s="0" t="n">
        <v>6</v>
      </c>
      <c r="D2397" s="0" t="str">
        <f aca="false">IF('Boletins Nuppa Site'!G2397&lt;&gt;0,'Boletins Nuppa Site'!G2397,"NULL")</f>
        <v> 60.00</v>
      </c>
      <c r="E2397" s="30" t="str">
        <f aca="false">IF('Boletins Nuppa Site'!H2397&lt;&gt;0,'Boletins Nuppa Site'!H2397,"NULL")</f>
        <v> 60.00</v>
      </c>
      <c r="F2397" s="30" t="str">
        <f aca="false">IF('Boletins Nuppa Site'!I2397&lt;&gt;0,'Boletins Nuppa Site'!I2397,"NULL")</f>
        <v> 96.00</v>
      </c>
      <c r="G2397" s="30" t="str">
        <f aca="false">IF('Boletins Nuppa Site'!J2397&lt;&gt;0,'Boletins Nuppa Site'!J2397,"NULL")</f>
        <v> 72.00</v>
      </c>
      <c r="H2397" s="30" t="str">
        <f aca="false">IF('Boletins Nuppa Site'!K2397&lt;&gt;0,'Boletins Nuppa Site'!K2397,"NULL")</f>
        <v> 60.00</v>
      </c>
      <c r="I2397" s="0" t="str">
        <f aca="false">"INSERT INTO COTACAO (cot_id, cot_blt_id, cot_pap_id, cot_prc_comum, cot_prc_min, cot_prc_max, cot_prc_med, cot_prc_mediana) VALUES ("&amp;A2397&amp;", "&amp;B2397&amp;", "&amp;C2397&amp;", "&amp;D2397&amp;", "&amp;E2397&amp;", "&amp;F2397&amp;", "&amp;G2397&amp;", "&amp;H2397&amp;");"</f>
        <v>INSERT INTO COTACAO (cot_id, cot_blt_id, cot_pap_id, cot_prc_comum, cot_prc_min, cot_prc_max, cot_prc_med, cot_prc_mediana) VALUES (2396, 98, 6,  60.00,  60.00,  96.00,  72.00,  60.00);</v>
      </c>
      <c r="J2397" s="0" t="str">
        <f aca="false">"UPDATE COTACAO SET cot_id = "&amp;A2397&amp;", cot_blt_id = "&amp;B2397&amp;", cot_pap_id = "&amp;C2397&amp;", cot_prc_comum = "&amp;D2397&amp;", cot_prc_min = "&amp;E2397&amp;", cot_prc_max = "&amp;F2397&amp;", cot_prc_med = "&amp;G2397&amp;", cot_prc_mediana = "&amp;H2397&amp;" WHERE cot_id = "&amp;A2397&amp;";"</f>
        <v>UPDATE COTACAO SET cot_id = 2396, cot_blt_id = 98, cot_pap_id = 6, cot_prc_comum =  60.00, cot_prc_min =  60.00, cot_prc_max =  96.00, cot_prc_med =  72.00, cot_prc_mediana =  60.00 WHERE cot_id = 2396;</v>
      </c>
    </row>
    <row r="2398" customFormat="false" ht="14.25" hidden="false" customHeight="false" outlineLevel="0" collapsed="false">
      <c r="A2398" s="0" t="n">
        <v>2397</v>
      </c>
      <c r="B2398" s="0" t="n">
        <f aca="false">IF('Boletins Nuppa Site'!A2398&lt;&gt;0,'Boletins Nuppa Site'!A2398,"NULL")</f>
        <v>98</v>
      </c>
      <c r="C2398" s="0" t="n">
        <v>7</v>
      </c>
      <c r="D2398" s="0" t="str">
        <f aca="false">IF('Boletins Nuppa Site'!G2398&lt;&gt;0,'Boletins Nuppa Site'!G2398,"NULL")</f>
        <v> 84.00</v>
      </c>
      <c r="E2398" s="30" t="str">
        <f aca="false">IF('Boletins Nuppa Site'!H2398&lt;&gt;0,'Boletins Nuppa Site'!H2398,"NULL")</f>
        <v> 84.00</v>
      </c>
      <c r="F2398" s="30" t="str">
        <f aca="false">IF('Boletins Nuppa Site'!I2398&lt;&gt;0,'Boletins Nuppa Site'!I2398,"NULL")</f>
        <v> 102.00</v>
      </c>
      <c r="G2398" s="30" t="str">
        <f aca="false">IF('Boletins Nuppa Site'!J2398&lt;&gt;0,'Boletins Nuppa Site'!J2398,"NULL")</f>
        <v> 90.00</v>
      </c>
      <c r="H2398" s="30" t="str">
        <f aca="false">IF('Boletins Nuppa Site'!K2398&lt;&gt;0,'Boletins Nuppa Site'!K2398,"NULL")</f>
        <v> 84.00</v>
      </c>
      <c r="I2398" s="0" t="str">
        <f aca="false">"INSERT INTO COTACAO (cot_id, cot_blt_id, cot_pap_id, cot_prc_comum, cot_prc_min, cot_prc_max, cot_prc_med, cot_prc_mediana) VALUES ("&amp;A2398&amp;", "&amp;B2398&amp;", "&amp;C2398&amp;", "&amp;D2398&amp;", "&amp;E2398&amp;", "&amp;F2398&amp;", "&amp;G2398&amp;", "&amp;H2398&amp;");"</f>
        <v>INSERT INTO COTACAO (cot_id, cot_blt_id, cot_pap_id, cot_prc_comum, cot_prc_min, cot_prc_max, cot_prc_med, cot_prc_mediana) VALUES (2397, 98, 7,  84.00,  84.00,  102.00,  90.00,  84.00);</v>
      </c>
      <c r="J2398" s="0" t="str">
        <f aca="false">"UPDATE COTACAO SET cot_id = "&amp;A2398&amp;", cot_blt_id = "&amp;B2398&amp;", cot_pap_id = "&amp;C2398&amp;", cot_prc_comum = "&amp;D2398&amp;", cot_prc_min = "&amp;E2398&amp;", cot_prc_max = "&amp;F2398&amp;", cot_prc_med = "&amp;G2398&amp;", cot_prc_mediana = "&amp;H2398&amp;" WHERE cot_id = "&amp;A2398&amp;";"</f>
        <v>UPDATE COTACAO SET cot_id = 2397, cot_blt_id = 98, cot_pap_id = 7, cot_prc_comum =  84.00, cot_prc_min =  84.00, cot_prc_max =  102.00, cot_prc_med =  90.00, cot_prc_mediana =  84.00 WHERE cot_id = 2397;</v>
      </c>
    </row>
    <row r="2399" customFormat="false" ht="14.25" hidden="false" customHeight="false" outlineLevel="0" collapsed="false">
      <c r="A2399" s="0" t="n">
        <v>2398</v>
      </c>
      <c r="B2399" s="0" t="n">
        <f aca="false">IF('Boletins Nuppa Site'!A2399&lt;&gt;0,'Boletins Nuppa Site'!A2399,"NULL")</f>
        <v>98</v>
      </c>
      <c r="C2399" s="0" t="n">
        <v>8</v>
      </c>
      <c r="D2399" s="0" t="str">
        <f aca="false">IF('Boletins Nuppa Site'!G2399&lt;&gt;0,'Boletins Nuppa Site'!G2399,"NULL")</f>
        <v> 84.00</v>
      </c>
      <c r="E2399" s="30" t="str">
        <f aca="false">IF('Boletins Nuppa Site'!H2399&lt;&gt;0,'Boletins Nuppa Site'!H2399,"NULL")</f>
        <v> 96.00</v>
      </c>
      <c r="F2399" s="30" t="str">
        <f aca="false">IF('Boletins Nuppa Site'!I2399&lt;&gt;0,'Boletins Nuppa Site'!I2399,"NULL")</f>
        <v> 96.00</v>
      </c>
      <c r="G2399" s="30" t="str">
        <f aca="false">IF('Boletins Nuppa Site'!J2399&lt;&gt;0,'Boletins Nuppa Site'!J2399,"NULL")</f>
        <v> 92.00</v>
      </c>
      <c r="H2399" s="30" t="str">
        <f aca="false">IF('Boletins Nuppa Site'!K2399&lt;&gt;0,'Boletins Nuppa Site'!K2399,"NULL")</f>
        <v> 96.00</v>
      </c>
      <c r="I2399" s="0" t="str">
        <f aca="false">"INSERT INTO COTACAO (cot_id, cot_blt_id, cot_pap_id, cot_prc_comum, cot_prc_min, cot_prc_max, cot_prc_med, cot_prc_mediana) VALUES ("&amp;A2399&amp;", "&amp;B2399&amp;", "&amp;C2399&amp;", "&amp;D2399&amp;", "&amp;E2399&amp;", "&amp;F2399&amp;", "&amp;G2399&amp;", "&amp;H2399&amp;");"</f>
        <v>INSERT INTO COTACAO (cot_id, cot_blt_id, cot_pap_id, cot_prc_comum, cot_prc_min, cot_prc_max, cot_prc_med, cot_prc_mediana) VALUES (2398, 98, 8,  84.00,  96.00,  96.00,  92.00,  96.00);</v>
      </c>
      <c r="J2399" s="0" t="str">
        <f aca="false">"UPDATE COTACAO SET cot_id = "&amp;A2399&amp;", cot_blt_id = "&amp;B2399&amp;", cot_pap_id = "&amp;C2399&amp;", cot_prc_comum = "&amp;D2399&amp;", cot_prc_min = "&amp;E2399&amp;", cot_prc_max = "&amp;F2399&amp;", cot_prc_med = "&amp;G2399&amp;", cot_prc_mediana = "&amp;H2399&amp;" WHERE cot_id = "&amp;A2399&amp;";"</f>
        <v>UPDATE COTACAO SET cot_id = 2398, cot_blt_id = 98, cot_pap_id = 8, cot_prc_comum =  84.00, cot_prc_min =  96.00, cot_prc_max =  96.00, cot_prc_med =  92.00, cot_prc_mediana =  96.00 WHERE cot_id = 2398;</v>
      </c>
    </row>
    <row r="2400" customFormat="false" ht="14.25" hidden="false" customHeight="false" outlineLevel="0" collapsed="false">
      <c r="A2400" s="0" t="n">
        <v>2399</v>
      </c>
      <c r="B2400" s="0" t="n">
        <f aca="false">IF('Boletins Nuppa Site'!A2400&lt;&gt;0,'Boletins Nuppa Site'!A2400,"NULL")</f>
        <v>98</v>
      </c>
      <c r="C2400" s="0" t="n">
        <v>9</v>
      </c>
      <c r="D2400" s="0" t="str">
        <f aca="false">IF('Boletins Nuppa Site'!G2400&lt;&gt;0,'Boletins Nuppa Site'!G2400,"NULL")</f>
        <v> 30.00</v>
      </c>
      <c r="E2400" s="30" t="str">
        <f aca="false">IF('Boletins Nuppa Site'!H2400&lt;&gt;0,'Boletins Nuppa Site'!H2400,"NULL")</f>
        <v> 30.00</v>
      </c>
      <c r="F2400" s="30" t="str">
        <f aca="false">IF('Boletins Nuppa Site'!I2400&lt;&gt;0,'Boletins Nuppa Site'!I2400,"NULL")</f>
        <v> 30.00</v>
      </c>
      <c r="G2400" s="30" t="str">
        <f aca="false">IF('Boletins Nuppa Site'!J2400&lt;&gt;0,'Boletins Nuppa Site'!J2400,"NULL")</f>
        <v> 30.00</v>
      </c>
      <c r="H2400" s="30" t="str">
        <f aca="false">IF('Boletins Nuppa Site'!K2400&lt;&gt;0,'Boletins Nuppa Site'!K2400,"NULL")</f>
        <v> 30.00</v>
      </c>
      <c r="I2400" s="0" t="str">
        <f aca="false">"INSERT INTO COTACAO (cot_id, cot_blt_id, cot_pap_id, cot_prc_comum, cot_prc_min, cot_prc_max, cot_prc_med, cot_prc_mediana) VALUES ("&amp;A2400&amp;", "&amp;B2400&amp;", "&amp;C2400&amp;", "&amp;D2400&amp;", "&amp;E2400&amp;", "&amp;F2400&amp;", "&amp;G2400&amp;", "&amp;H2400&amp;");"</f>
        <v>INSERT INTO COTACAO (cot_id, cot_blt_id, cot_pap_id, cot_prc_comum, cot_prc_min, cot_prc_max, cot_prc_med, cot_prc_mediana) VALUES (2399, 98, 9,  30.00,  30.00,  30.00,  30.00,  30.00);</v>
      </c>
      <c r="J2400" s="0" t="str">
        <f aca="false">"UPDATE COTACAO SET cot_id = "&amp;A2400&amp;", cot_blt_id = "&amp;B2400&amp;", cot_pap_id = "&amp;C2400&amp;", cot_prc_comum = "&amp;D2400&amp;", cot_prc_min = "&amp;E2400&amp;", cot_prc_max = "&amp;F2400&amp;", cot_prc_med = "&amp;G2400&amp;", cot_prc_mediana = "&amp;H2400&amp;" WHERE cot_id = "&amp;A2400&amp;";"</f>
        <v>UPDATE COTACAO SET cot_id = 2399, cot_blt_id = 98, cot_pap_id = 9, cot_prc_comum =  30.00, cot_prc_min =  30.00, cot_prc_max =  30.00, cot_prc_med =  30.00, cot_prc_mediana =  30.00 WHERE cot_id = 2399;</v>
      </c>
    </row>
    <row r="2401" customFormat="false" ht="14.25" hidden="false" customHeight="false" outlineLevel="0" collapsed="false">
      <c r="A2401" s="0" t="n">
        <v>2400</v>
      </c>
      <c r="B2401" s="0" t="n">
        <f aca="false">IF('Boletins Nuppa Site'!A2401&lt;&gt;0,'Boletins Nuppa Site'!A2401,"NULL")</f>
        <v>98</v>
      </c>
      <c r="C2401" s="0" t="n">
        <v>10</v>
      </c>
      <c r="D2401" s="0" t="str">
        <f aca="false">IF('Boletins Nuppa Site'!G2401&lt;&gt;0,'Boletins Nuppa Site'!G2401,"NULL")</f>
        <v>NULL</v>
      </c>
      <c r="E2401" s="30" t="str">
        <f aca="false">IF('Boletins Nuppa Site'!H2401&lt;&gt;0,'Boletins Nuppa Site'!H2401,"NULL")</f>
        <v> 102.00</v>
      </c>
      <c r="F2401" s="30" t="str">
        <f aca="false">IF('Boletins Nuppa Site'!I2401&lt;&gt;0,'Boletins Nuppa Site'!I2401,"NULL")</f>
        <v> 120.00</v>
      </c>
      <c r="G2401" s="30" t="str">
        <f aca="false">IF('Boletins Nuppa Site'!J2401&lt;&gt;0,'Boletins Nuppa Site'!J2401,"NULL")</f>
        <v> 110.00</v>
      </c>
      <c r="H2401" s="30" t="str">
        <f aca="false">IF('Boletins Nuppa Site'!K2401&lt;&gt;0,'Boletins Nuppa Site'!K2401,"NULL")</f>
        <v> 108.00</v>
      </c>
      <c r="I2401" s="0" t="str">
        <f aca="false">"INSERT INTO COTACAO (cot_id, cot_blt_id, cot_pap_id, cot_prc_comum, cot_prc_min, cot_prc_max, cot_prc_med, cot_prc_mediana) VALUES ("&amp;A2401&amp;", "&amp;B2401&amp;", "&amp;C2401&amp;", "&amp;D2401&amp;", "&amp;E2401&amp;", "&amp;F2401&amp;", "&amp;G2401&amp;", "&amp;H2401&amp;");"</f>
        <v>INSERT INTO COTACAO (cot_id, cot_blt_id, cot_pap_id, cot_prc_comum, cot_prc_min, cot_prc_max, cot_prc_med, cot_prc_mediana) VALUES (2400, 98, 10, NULL,  102.00,  120.00,  110.00,  108.00);</v>
      </c>
      <c r="J2401" s="0" t="str">
        <f aca="false">"UPDATE COTACAO SET cot_id = "&amp;A2401&amp;", cot_blt_id = "&amp;B2401&amp;", cot_pap_id = "&amp;C2401&amp;", cot_prc_comum = "&amp;D2401&amp;", cot_prc_min = "&amp;E2401&amp;", cot_prc_max = "&amp;F2401&amp;", cot_prc_med = "&amp;G2401&amp;", cot_prc_mediana = "&amp;H2401&amp;" WHERE cot_id = "&amp;A2401&amp;";"</f>
        <v>UPDATE COTACAO SET cot_id = 2400, cot_blt_id = 98, cot_pap_id = 10, cot_prc_comum = NULL, cot_prc_min =  102.00, cot_prc_max =  120.00, cot_prc_med =  110.00, cot_prc_mediana =  108.00 WHERE cot_id = 2400;</v>
      </c>
    </row>
    <row r="2402" customFormat="false" ht="14.25" hidden="false" customHeight="false" outlineLevel="0" collapsed="false">
      <c r="A2402" s="0" t="n">
        <v>2401</v>
      </c>
      <c r="B2402" s="0" t="n">
        <f aca="false">IF('Boletins Nuppa Site'!A2402&lt;&gt;0,'Boletins Nuppa Site'!A2402,"NULL")</f>
        <v>98</v>
      </c>
      <c r="C2402" s="0" t="n">
        <v>11</v>
      </c>
      <c r="D2402" s="0" t="str">
        <f aca="false">IF('Boletins Nuppa Site'!G2402&lt;&gt;0,'Boletins Nuppa Site'!G2402,"NULL")</f>
        <v> 30.00</v>
      </c>
      <c r="E2402" s="30" t="str">
        <f aca="false">IF('Boletins Nuppa Site'!H2402&lt;&gt;0,'Boletins Nuppa Site'!H2402,"NULL")</f>
        <v> 30.00</v>
      </c>
      <c r="F2402" s="30" t="str">
        <f aca="false">IF('Boletins Nuppa Site'!I2402&lt;&gt;0,'Boletins Nuppa Site'!I2402,"NULL")</f>
        <v> 36.00</v>
      </c>
      <c r="G2402" s="30" t="str">
        <f aca="false">IF('Boletins Nuppa Site'!J2402&lt;&gt;0,'Boletins Nuppa Site'!J2402,"NULL")</f>
        <v> 32.00</v>
      </c>
      <c r="H2402" s="30" t="str">
        <f aca="false">IF('Boletins Nuppa Site'!K2402&lt;&gt;0,'Boletins Nuppa Site'!K2402,"NULL")</f>
        <v> 30.00</v>
      </c>
      <c r="I2402" s="0" t="str">
        <f aca="false">"INSERT INTO COTACAO (cot_id, cot_blt_id, cot_pap_id, cot_prc_comum, cot_prc_min, cot_prc_max, cot_prc_med, cot_prc_mediana) VALUES ("&amp;A2402&amp;", "&amp;B2402&amp;", "&amp;C2402&amp;", "&amp;D2402&amp;", "&amp;E2402&amp;", "&amp;F2402&amp;", "&amp;G2402&amp;", "&amp;H2402&amp;");"</f>
        <v>INSERT INTO COTACAO (cot_id, cot_blt_id, cot_pap_id, cot_prc_comum, cot_prc_min, cot_prc_max, cot_prc_med, cot_prc_mediana) VALUES (2401, 98, 11,  30.00,  30.00,  36.00,  32.00,  30.00);</v>
      </c>
      <c r="J2402" s="0" t="str">
        <f aca="false">"UPDATE COTACAO SET cot_id = "&amp;A2402&amp;", cot_blt_id = "&amp;B2402&amp;", cot_pap_id = "&amp;C2402&amp;", cot_prc_comum = "&amp;D2402&amp;", cot_prc_min = "&amp;E2402&amp;", cot_prc_max = "&amp;F2402&amp;", cot_prc_med = "&amp;G2402&amp;", cot_prc_mediana = "&amp;H2402&amp;" WHERE cot_id = "&amp;A2402&amp;";"</f>
        <v>UPDATE COTACAO SET cot_id = 2401, cot_blt_id = 98, cot_pap_id = 11, cot_prc_comum =  30.00, cot_prc_min =  30.00, cot_prc_max =  36.00, cot_prc_med =  32.00, cot_prc_mediana =  30.00 WHERE cot_id = 2401;</v>
      </c>
    </row>
    <row r="2403" customFormat="false" ht="14.25" hidden="false" customHeight="false" outlineLevel="0" collapsed="false">
      <c r="A2403" s="0" t="n">
        <v>2402</v>
      </c>
      <c r="B2403" s="0" t="n">
        <f aca="false">IF('Boletins Nuppa Site'!A2403&lt;&gt;0,'Boletins Nuppa Site'!A2403,"NULL")</f>
        <v>98</v>
      </c>
      <c r="C2403" s="0" t="n">
        <v>12</v>
      </c>
      <c r="D2403" s="0" t="str">
        <f aca="false">IF('Boletins Nuppa Site'!G2403&lt;&gt;0,'Boletins Nuppa Site'!G2403,"NULL")</f>
        <v>NULL</v>
      </c>
      <c r="E2403" s="30" t="str">
        <f aca="false">IF('Boletins Nuppa Site'!H2403&lt;&gt;0,'Boletins Nuppa Site'!H2403,"NULL")</f>
        <v> 60.00</v>
      </c>
      <c r="F2403" s="30" t="str">
        <f aca="false">IF('Boletins Nuppa Site'!I2403&lt;&gt;0,'Boletins Nuppa Site'!I2403,"NULL")</f>
        <v> 84.00</v>
      </c>
      <c r="G2403" s="30" t="str">
        <f aca="false">IF('Boletins Nuppa Site'!J2403&lt;&gt;0,'Boletins Nuppa Site'!J2403,"NULL")</f>
        <v> 72.00</v>
      </c>
      <c r="H2403" s="30" t="str">
        <f aca="false">IF('Boletins Nuppa Site'!K2403&lt;&gt;0,'Boletins Nuppa Site'!K2403,"NULL")</f>
        <v> 72.00</v>
      </c>
      <c r="I2403" s="0" t="str">
        <f aca="false">"INSERT INTO COTACAO (cot_id, cot_blt_id, cot_pap_id, cot_prc_comum, cot_prc_min, cot_prc_max, cot_prc_med, cot_prc_mediana) VALUES ("&amp;A2403&amp;", "&amp;B2403&amp;", "&amp;C2403&amp;", "&amp;D2403&amp;", "&amp;E2403&amp;", "&amp;F2403&amp;", "&amp;G2403&amp;", "&amp;H2403&amp;");"</f>
        <v>INSERT INTO COTACAO (cot_id, cot_blt_id, cot_pap_id, cot_prc_comum, cot_prc_min, cot_prc_max, cot_prc_med, cot_prc_mediana) VALUES (2402, 98, 12, NULL,  60.00,  84.00,  72.00,  72.00);</v>
      </c>
      <c r="J2403" s="0" t="str">
        <f aca="false">"UPDATE COTACAO SET cot_id = "&amp;A2403&amp;", cot_blt_id = "&amp;B2403&amp;", cot_pap_id = "&amp;C2403&amp;", cot_prc_comum = "&amp;D2403&amp;", cot_prc_min = "&amp;E2403&amp;", cot_prc_max = "&amp;F2403&amp;", cot_prc_med = "&amp;G2403&amp;", cot_prc_mediana = "&amp;H2403&amp;" WHERE cot_id = "&amp;A2403&amp;";"</f>
        <v>UPDATE COTACAO SET cot_id = 2402, cot_blt_id = 98, cot_pap_id = 12, cot_prc_comum = NULL, cot_prc_min =  60.00, cot_prc_max =  84.00, cot_prc_med =  72.00, cot_prc_mediana =  72.00 WHERE cot_id = 2402;</v>
      </c>
    </row>
    <row r="2404" customFormat="false" ht="14.25" hidden="false" customHeight="false" outlineLevel="0" collapsed="false">
      <c r="A2404" s="0" t="n">
        <v>2403</v>
      </c>
      <c r="B2404" s="0" t="n">
        <f aca="false">IF('Boletins Nuppa Site'!A2404&lt;&gt;0,'Boletins Nuppa Site'!A2404,"NULL")</f>
        <v>98</v>
      </c>
      <c r="C2404" s="0" t="n">
        <v>13</v>
      </c>
      <c r="D2404" s="0" t="str">
        <f aca="false">IF('Boletins Nuppa Site'!G2404&lt;&gt;0,'Boletins Nuppa Site'!G2404,"NULL")</f>
        <v>NULL</v>
      </c>
      <c r="E2404" s="30" t="str">
        <f aca="false">IF('Boletins Nuppa Site'!H2404&lt;&gt;0,'Boletins Nuppa Site'!H2404,"NULL")</f>
        <v> 60.00</v>
      </c>
      <c r="F2404" s="30" t="str">
        <f aca="false">IF('Boletins Nuppa Site'!I2404&lt;&gt;0,'Boletins Nuppa Site'!I2404,"NULL")</f>
        <v> 84.00</v>
      </c>
      <c r="G2404" s="30" t="str">
        <f aca="false">IF('Boletins Nuppa Site'!J2404&lt;&gt;0,'Boletins Nuppa Site'!J2404,"NULL")</f>
        <v> 72.00</v>
      </c>
      <c r="H2404" s="30" t="str">
        <f aca="false">IF('Boletins Nuppa Site'!K2404&lt;&gt;0,'Boletins Nuppa Site'!K2404,"NULL")</f>
        <v> 72.00</v>
      </c>
      <c r="I2404" s="0" t="str">
        <f aca="false">"INSERT INTO COTACAO (cot_id, cot_blt_id, cot_pap_id, cot_prc_comum, cot_prc_min, cot_prc_max, cot_prc_med, cot_prc_mediana) VALUES ("&amp;A2404&amp;", "&amp;B2404&amp;", "&amp;C2404&amp;", "&amp;D2404&amp;", "&amp;E2404&amp;", "&amp;F2404&amp;", "&amp;G2404&amp;", "&amp;H2404&amp;");"</f>
        <v>INSERT INTO COTACAO (cot_id, cot_blt_id, cot_pap_id, cot_prc_comum, cot_prc_min, cot_prc_max, cot_prc_med, cot_prc_mediana) VALUES (2403, 98, 13, NULL,  60.00,  84.00,  72.00,  72.00);</v>
      </c>
      <c r="J2404" s="0" t="str">
        <f aca="false">"UPDATE COTACAO SET cot_id = "&amp;A2404&amp;", cot_blt_id = "&amp;B2404&amp;", cot_pap_id = "&amp;C2404&amp;", cot_prc_comum = "&amp;D2404&amp;", cot_prc_min = "&amp;E2404&amp;", cot_prc_max = "&amp;F2404&amp;", cot_prc_med = "&amp;G2404&amp;", cot_prc_mediana = "&amp;H2404&amp;" WHERE cot_id = "&amp;A2404&amp;";"</f>
        <v>UPDATE COTACAO SET cot_id = 2403, cot_blt_id = 98, cot_pap_id = 13, cot_prc_comum = NULL, cot_prc_min =  60.00, cot_prc_max =  84.00, cot_prc_med =  72.00, cot_prc_mediana =  72.00 WHERE cot_id = 2403;</v>
      </c>
    </row>
    <row r="2405" customFormat="false" ht="14.25" hidden="false" customHeight="false" outlineLevel="0" collapsed="false">
      <c r="A2405" s="0" t="n">
        <v>2404</v>
      </c>
      <c r="B2405" s="0" t="n">
        <f aca="false">IF('Boletins Nuppa Site'!A2405&lt;&gt;0,'Boletins Nuppa Site'!A2405,"NULL")</f>
        <v>98</v>
      </c>
      <c r="C2405" s="0" t="n">
        <v>14</v>
      </c>
      <c r="D2405" s="0" t="str">
        <f aca="false">IF('Boletins Nuppa Site'!G2405&lt;&gt;0,'Boletins Nuppa Site'!G2405,"NULL")</f>
        <v>NULL</v>
      </c>
      <c r="E2405" s="30" t="str">
        <f aca="false">IF('Boletins Nuppa Site'!H2405&lt;&gt;0,'Boletins Nuppa Site'!H2405,"NULL")</f>
        <v> 72.00</v>
      </c>
      <c r="F2405" s="30" t="str">
        <f aca="false">IF('Boletins Nuppa Site'!I2405&lt;&gt;0,'Boletins Nuppa Site'!I2405,"NULL")</f>
        <v> 96.00</v>
      </c>
      <c r="G2405" s="30" t="str">
        <f aca="false">IF('Boletins Nuppa Site'!J2405&lt;&gt;0,'Boletins Nuppa Site'!J2405,"NULL")</f>
        <v> 84.00</v>
      </c>
      <c r="H2405" s="30" t="str">
        <f aca="false">IF('Boletins Nuppa Site'!K2405&lt;&gt;0,'Boletins Nuppa Site'!K2405,"NULL")</f>
        <v> 84.00</v>
      </c>
      <c r="I2405" s="0" t="str">
        <f aca="false">"INSERT INTO COTACAO (cot_id, cot_blt_id, cot_pap_id, cot_prc_comum, cot_prc_min, cot_prc_max, cot_prc_med, cot_prc_mediana) VALUES ("&amp;A2405&amp;", "&amp;B2405&amp;", "&amp;C2405&amp;", "&amp;D2405&amp;", "&amp;E2405&amp;", "&amp;F2405&amp;", "&amp;G2405&amp;", "&amp;H2405&amp;");"</f>
        <v>INSERT INTO COTACAO (cot_id, cot_blt_id, cot_pap_id, cot_prc_comum, cot_prc_min, cot_prc_max, cot_prc_med, cot_prc_mediana) VALUES (2404, 98, 14, NULL,  72.00,  96.00,  84.00,  84.00);</v>
      </c>
      <c r="J2405" s="0" t="str">
        <f aca="false">"UPDATE COTACAO SET cot_id = "&amp;A2405&amp;", cot_blt_id = "&amp;B2405&amp;", cot_pap_id = "&amp;C2405&amp;", cot_prc_comum = "&amp;D2405&amp;", cot_prc_min = "&amp;E2405&amp;", cot_prc_max = "&amp;F2405&amp;", cot_prc_med = "&amp;G2405&amp;", cot_prc_mediana = "&amp;H2405&amp;" WHERE cot_id = "&amp;A2405&amp;";"</f>
        <v>UPDATE COTACAO SET cot_id = 2404, cot_blt_id = 98, cot_pap_id = 14, cot_prc_comum = NULL, cot_prc_min =  72.00, cot_prc_max =  96.00, cot_prc_med =  84.00, cot_prc_mediana =  84.00 WHERE cot_id = 2404;</v>
      </c>
    </row>
    <row r="2406" customFormat="false" ht="14.25" hidden="false" customHeight="false" outlineLevel="0" collapsed="false">
      <c r="A2406" s="0" t="n">
        <v>2405</v>
      </c>
      <c r="B2406" s="0" t="n">
        <f aca="false">IF('Boletins Nuppa Site'!A2406&lt;&gt;0,'Boletins Nuppa Site'!A2406,"NULL")</f>
        <v>98</v>
      </c>
      <c r="C2406" s="0" t="n">
        <v>15</v>
      </c>
      <c r="D2406" s="0" t="str">
        <f aca="false">IF('Boletins Nuppa Site'!G2406&lt;&gt;0,'Boletins Nuppa Site'!G2406,"NULL")</f>
        <v>NULL</v>
      </c>
      <c r="E2406" s="30" t="str">
        <f aca="false">IF('Boletins Nuppa Site'!H2406&lt;&gt;0,'Boletins Nuppa Site'!H2406,"NULL")</f>
        <v> 50.00</v>
      </c>
      <c r="F2406" s="30" t="str">
        <f aca="false">IF('Boletins Nuppa Site'!I2406&lt;&gt;0,'Boletins Nuppa Site'!I2406,"NULL")</f>
        <v> 72.00</v>
      </c>
      <c r="G2406" s="30" t="str">
        <f aca="false">IF('Boletins Nuppa Site'!J2406&lt;&gt;0,'Boletins Nuppa Site'!J2406,"NULL")</f>
        <v> 60.67</v>
      </c>
      <c r="H2406" s="30" t="str">
        <f aca="false">IF('Boletins Nuppa Site'!K2406&lt;&gt;0,'Boletins Nuppa Site'!K2406,"NULL")</f>
        <v> 60.00</v>
      </c>
      <c r="I2406" s="0" t="str">
        <f aca="false">"INSERT INTO COTACAO (cot_id, cot_blt_id, cot_pap_id, cot_prc_comum, cot_prc_min, cot_prc_max, cot_prc_med, cot_prc_mediana) VALUES ("&amp;A2406&amp;", "&amp;B2406&amp;", "&amp;C2406&amp;", "&amp;D2406&amp;", "&amp;E2406&amp;", "&amp;F2406&amp;", "&amp;G2406&amp;", "&amp;H2406&amp;");"</f>
        <v>INSERT INTO COTACAO (cot_id, cot_blt_id, cot_pap_id, cot_prc_comum, cot_prc_min, cot_prc_max, cot_prc_med, cot_prc_mediana) VALUES (2405, 98, 15, NULL,  50.00,  72.00,  60.67,  60.00);</v>
      </c>
      <c r="J2406" s="0" t="str">
        <f aca="false">"UPDATE COTACAO SET cot_id = "&amp;A2406&amp;", cot_blt_id = "&amp;B2406&amp;", cot_pap_id = "&amp;C2406&amp;", cot_prc_comum = "&amp;D2406&amp;", cot_prc_min = "&amp;E2406&amp;", cot_prc_max = "&amp;F2406&amp;", cot_prc_med = "&amp;G2406&amp;", cot_prc_mediana = "&amp;H2406&amp;" WHERE cot_id = "&amp;A2406&amp;";"</f>
        <v>UPDATE COTACAO SET cot_id = 2405, cot_blt_id = 98, cot_pap_id = 15, cot_prc_comum = NULL, cot_prc_min =  50.00, cot_prc_max =  72.00, cot_prc_med =  60.67, cot_prc_mediana =  60.00 WHERE cot_id = 2405;</v>
      </c>
    </row>
    <row r="2407" customFormat="false" ht="14.25" hidden="false" customHeight="false" outlineLevel="0" collapsed="false">
      <c r="A2407" s="0" t="n">
        <v>2406</v>
      </c>
      <c r="B2407" s="0" t="n">
        <f aca="false">IF('Boletins Nuppa Site'!A2407&lt;&gt;0,'Boletins Nuppa Site'!A2407,"NULL")</f>
        <v>98</v>
      </c>
      <c r="C2407" s="0" t="n">
        <v>16</v>
      </c>
      <c r="D2407" s="0" t="str">
        <f aca="false">IF('Boletins Nuppa Site'!G2407&lt;&gt;0,'Boletins Nuppa Site'!G2407,"NULL")</f>
        <v> 60.00</v>
      </c>
      <c r="E2407" s="30" t="str">
        <f aca="false">IF('Boletins Nuppa Site'!H2407&lt;&gt;0,'Boletins Nuppa Site'!H2407,"NULL")</f>
        <v> 48.00</v>
      </c>
      <c r="F2407" s="30" t="str">
        <f aca="false">IF('Boletins Nuppa Site'!I2407&lt;&gt;0,'Boletins Nuppa Site'!I2407,"NULL")</f>
        <v> 60.00</v>
      </c>
      <c r="G2407" s="30" t="str">
        <f aca="false">IF('Boletins Nuppa Site'!J2407&lt;&gt;0,'Boletins Nuppa Site'!J2407,"NULL")</f>
        <v> 56.00</v>
      </c>
      <c r="H2407" s="30" t="str">
        <f aca="false">IF('Boletins Nuppa Site'!K2407&lt;&gt;0,'Boletins Nuppa Site'!K2407,"NULL")</f>
        <v> 60.00</v>
      </c>
      <c r="I2407" s="0" t="str">
        <f aca="false">"INSERT INTO COTACAO (cot_id, cot_blt_id, cot_pap_id, cot_prc_comum, cot_prc_min, cot_prc_max, cot_prc_med, cot_prc_mediana) VALUES ("&amp;A2407&amp;", "&amp;B2407&amp;", "&amp;C2407&amp;", "&amp;D2407&amp;", "&amp;E2407&amp;", "&amp;F2407&amp;", "&amp;G2407&amp;", "&amp;H2407&amp;");"</f>
        <v>INSERT INTO COTACAO (cot_id, cot_blt_id, cot_pap_id, cot_prc_comum, cot_prc_min, cot_prc_max, cot_prc_med, cot_prc_mediana) VALUES (2406, 98, 16,  60.00,  48.00,  60.00,  56.00,  60.00);</v>
      </c>
      <c r="J2407" s="0" t="str">
        <f aca="false">"UPDATE COTACAO SET cot_id = "&amp;A2407&amp;", cot_blt_id = "&amp;B2407&amp;", cot_pap_id = "&amp;C2407&amp;", cot_prc_comum = "&amp;D2407&amp;", cot_prc_min = "&amp;E2407&amp;", cot_prc_max = "&amp;F2407&amp;", cot_prc_med = "&amp;G2407&amp;", cot_prc_mediana = "&amp;H2407&amp;" WHERE cot_id = "&amp;A2407&amp;";"</f>
        <v>UPDATE COTACAO SET cot_id = 2406, cot_blt_id = 98, cot_pap_id = 16, cot_prc_comum =  60.00, cot_prc_min =  48.00, cot_prc_max =  60.00, cot_prc_med =  56.00, cot_prc_mediana =  60.00 WHERE cot_id = 2406;</v>
      </c>
    </row>
    <row r="2408" customFormat="false" ht="14.25" hidden="false" customHeight="false" outlineLevel="0" collapsed="false">
      <c r="A2408" s="0" t="n">
        <v>2407</v>
      </c>
      <c r="B2408" s="0" t="n">
        <f aca="false">IF('Boletins Nuppa Site'!A2408&lt;&gt;0,'Boletins Nuppa Site'!A2408,"NULL")</f>
        <v>98</v>
      </c>
      <c r="C2408" s="0" t="n">
        <v>17</v>
      </c>
      <c r="D2408" s="0" t="str">
        <f aca="false">IF('Boletins Nuppa Site'!G2408&lt;&gt;0,'Boletins Nuppa Site'!G2408,"NULL")</f>
        <v> 5.00</v>
      </c>
      <c r="E2408" s="30" t="str">
        <f aca="false">IF('Boletins Nuppa Site'!H2408&lt;&gt;0,'Boletins Nuppa Site'!H2408,"NULL")</f>
        <v> 5.00</v>
      </c>
      <c r="F2408" s="30" t="str">
        <f aca="false">IF('Boletins Nuppa Site'!I2408&lt;&gt;0,'Boletins Nuppa Site'!I2408,"NULL")</f>
        <v> 6.00</v>
      </c>
      <c r="G2408" s="30" t="str">
        <f aca="false">IF('Boletins Nuppa Site'!J2408&lt;&gt;0,'Boletins Nuppa Site'!J2408,"NULL")</f>
        <v> 5.33</v>
      </c>
      <c r="H2408" s="30" t="str">
        <f aca="false">IF('Boletins Nuppa Site'!K2408&lt;&gt;0,'Boletins Nuppa Site'!K2408,"NULL")</f>
        <v> 5.00</v>
      </c>
      <c r="I2408" s="0" t="str">
        <f aca="false">"INSERT INTO COTACAO (cot_id, cot_blt_id, cot_pap_id, cot_prc_comum, cot_prc_min, cot_prc_max, cot_prc_med, cot_prc_mediana) VALUES ("&amp;A2408&amp;", "&amp;B2408&amp;", "&amp;C2408&amp;", "&amp;D2408&amp;", "&amp;E2408&amp;", "&amp;F2408&amp;", "&amp;G2408&amp;", "&amp;H2408&amp;");"</f>
        <v>INSERT INTO COTACAO (cot_id, cot_blt_id, cot_pap_id, cot_prc_comum, cot_prc_min, cot_prc_max, cot_prc_med, cot_prc_mediana) VALUES (2407, 98, 17,  5.00,  5.00,  6.00,  5.33,  5.00);</v>
      </c>
      <c r="J2408" s="0" t="str">
        <f aca="false">"UPDATE COTACAO SET cot_id = "&amp;A2408&amp;", cot_blt_id = "&amp;B2408&amp;", cot_pap_id = "&amp;C2408&amp;", cot_prc_comum = "&amp;D2408&amp;", cot_prc_min = "&amp;E2408&amp;", cot_prc_max = "&amp;F2408&amp;", cot_prc_med = "&amp;G2408&amp;", cot_prc_mediana = "&amp;H2408&amp;" WHERE cot_id = "&amp;A2408&amp;";"</f>
        <v>UPDATE COTACAO SET cot_id = 2407, cot_blt_id = 98, cot_pap_id = 17, cot_prc_comum =  5.00, cot_prc_min =  5.00, cot_prc_max =  6.00, cot_prc_med =  5.33, cot_prc_mediana =  5.00 WHERE cot_id = 2407;</v>
      </c>
    </row>
    <row r="2409" customFormat="false" ht="14.25" hidden="false" customHeight="false" outlineLevel="0" collapsed="false">
      <c r="A2409" s="0" t="n">
        <v>2408</v>
      </c>
      <c r="B2409" s="0" t="n">
        <f aca="false">IF('Boletins Nuppa Site'!A2409&lt;&gt;0,'Boletins Nuppa Site'!A2409,"NULL")</f>
        <v>98</v>
      </c>
      <c r="C2409" s="0" t="n">
        <v>18</v>
      </c>
      <c r="D2409" s="0" t="str">
        <f aca="false">IF('Boletins Nuppa Site'!G2409&lt;&gt;0,'Boletins Nuppa Site'!G2409,"NULL")</f>
        <v> 35.00</v>
      </c>
      <c r="E2409" s="30" t="str">
        <f aca="false">IF('Boletins Nuppa Site'!H2409&lt;&gt;0,'Boletins Nuppa Site'!H2409,"NULL")</f>
        <v> 45.00</v>
      </c>
      <c r="F2409" s="30" t="str">
        <f aca="false">IF('Boletins Nuppa Site'!I2409&lt;&gt;0,'Boletins Nuppa Site'!I2409,"NULL")</f>
        <v> 45.00</v>
      </c>
      <c r="G2409" s="30" t="str">
        <f aca="false">IF('Boletins Nuppa Site'!J2409&lt;&gt;0,'Boletins Nuppa Site'!J2409,"NULL")</f>
        <v> 41.67</v>
      </c>
      <c r="H2409" s="30" t="str">
        <f aca="false">IF('Boletins Nuppa Site'!K2409&lt;&gt;0,'Boletins Nuppa Site'!K2409,"NULL")</f>
        <v> 45.00</v>
      </c>
      <c r="I2409" s="0" t="str">
        <f aca="false">"INSERT INTO COTACAO (cot_id, cot_blt_id, cot_pap_id, cot_prc_comum, cot_prc_min, cot_prc_max, cot_prc_med, cot_prc_mediana) VALUES ("&amp;A2409&amp;", "&amp;B2409&amp;", "&amp;C2409&amp;", "&amp;D2409&amp;", "&amp;E2409&amp;", "&amp;F2409&amp;", "&amp;G2409&amp;", "&amp;H2409&amp;");"</f>
        <v>INSERT INTO COTACAO (cot_id, cot_blt_id, cot_pap_id, cot_prc_comum, cot_prc_min, cot_prc_max, cot_prc_med, cot_prc_mediana) VALUES (2408, 98, 18,  35.00,  45.00,  45.00,  41.67,  45.00);</v>
      </c>
      <c r="J2409" s="0" t="str">
        <f aca="false">"UPDATE COTACAO SET cot_id = "&amp;A2409&amp;", cot_blt_id = "&amp;B2409&amp;", cot_pap_id = "&amp;C2409&amp;", cot_prc_comum = "&amp;D2409&amp;", cot_prc_min = "&amp;E2409&amp;", cot_prc_max = "&amp;F2409&amp;", cot_prc_med = "&amp;G2409&amp;", cot_prc_mediana = "&amp;H2409&amp;" WHERE cot_id = "&amp;A2409&amp;";"</f>
        <v>UPDATE COTACAO SET cot_id = 2408, cot_blt_id = 98, cot_pap_id = 18, cot_prc_comum =  35.00, cot_prc_min =  45.00, cot_prc_max =  45.00, cot_prc_med =  41.67, cot_prc_mediana =  45.00 WHERE cot_id = 2408;</v>
      </c>
    </row>
    <row r="2410" customFormat="false" ht="14.25" hidden="false" customHeight="false" outlineLevel="0" collapsed="false">
      <c r="A2410" s="0" t="n">
        <v>2409</v>
      </c>
      <c r="B2410" s="0" t="n">
        <f aca="false">IF('Boletins Nuppa Site'!A2410&lt;&gt;0,'Boletins Nuppa Site'!A2410,"NULL")</f>
        <v>98</v>
      </c>
      <c r="C2410" s="0" t="n">
        <v>19</v>
      </c>
      <c r="D2410" s="0" t="str">
        <f aca="false">IF('Boletins Nuppa Site'!G2410&lt;&gt;0,'Boletins Nuppa Site'!G2410,"NULL")</f>
        <v>NULL</v>
      </c>
      <c r="E2410" s="30" t="str">
        <f aca="false">IF('Boletins Nuppa Site'!H2410&lt;&gt;0,'Boletins Nuppa Site'!H2410,"NULL")</f>
        <v> 25.00</v>
      </c>
      <c r="F2410" s="30" t="str">
        <f aca="false">IF('Boletins Nuppa Site'!I2410&lt;&gt;0,'Boletins Nuppa Site'!I2410,"NULL")</f>
        <v> 35.00</v>
      </c>
      <c r="G2410" s="30" t="str">
        <f aca="false">IF('Boletins Nuppa Site'!J2410&lt;&gt;0,'Boletins Nuppa Site'!J2410,"NULL")</f>
        <v> 30.00</v>
      </c>
      <c r="H2410" s="30" t="str">
        <f aca="false">IF('Boletins Nuppa Site'!K2410&lt;&gt;0,'Boletins Nuppa Site'!K2410,"NULL")</f>
        <v> 30.00</v>
      </c>
      <c r="I2410" s="0" t="str">
        <f aca="false">"INSERT INTO COTACAO (cot_id, cot_blt_id, cot_pap_id, cot_prc_comum, cot_prc_min, cot_prc_max, cot_prc_med, cot_prc_mediana) VALUES ("&amp;A2410&amp;", "&amp;B2410&amp;", "&amp;C2410&amp;", "&amp;D2410&amp;", "&amp;E2410&amp;", "&amp;F2410&amp;", "&amp;G2410&amp;", "&amp;H2410&amp;");"</f>
        <v>INSERT INTO COTACAO (cot_id, cot_blt_id, cot_pap_id, cot_prc_comum, cot_prc_min, cot_prc_max, cot_prc_med, cot_prc_mediana) VALUES (2409, 98, 19, NULL,  25.00,  35.00,  30.00,  30.00);</v>
      </c>
      <c r="J2410" s="0" t="str">
        <f aca="false">"UPDATE COTACAO SET cot_id = "&amp;A2410&amp;", cot_blt_id = "&amp;B2410&amp;", cot_pap_id = "&amp;C2410&amp;", cot_prc_comum = "&amp;D2410&amp;", cot_prc_min = "&amp;E2410&amp;", cot_prc_max = "&amp;F2410&amp;", cot_prc_med = "&amp;G2410&amp;", cot_prc_mediana = "&amp;H2410&amp;" WHERE cot_id = "&amp;A2410&amp;";"</f>
        <v>UPDATE COTACAO SET cot_id = 2409, cot_blt_id = 98, cot_pap_id = 19, cot_prc_comum = NULL, cot_prc_min =  25.00, cot_prc_max =  35.00, cot_prc_med =  30.00, cot_prc_mediana =  30.00 WHERE cot_id = 2409;</v>
      </c>
    </row>
    <row r="2411" customFormat="false" ht="14.25" hidden="false" customHeight="false" outlineLevel="0" collapsed="false">
      <c r="A2411" s="0" t="n">
        <v>2410</v>
      </c>
      <c r="B2411" s="0" t="n">
        <f aca="false">IF('Boletins Nuppa Site'!A2411&lt;&gt;0,'Boletins Nuppa Site'!A2411,"NULL")</f>
        <v>98</v>
      </c>
      <c r="C2411" s="0" t="n">
        <v>20</v>
      </c>
      <c r="D2411" s="0" t="str">
        <f aca="false">IF('Boletins Nuppa Site'!G2411&lt;&gt;0,'Boletins Nuppa Site'!G2411,"NULL")</f>
        <v>NULL</v>
      </c>
      <c r="E2411" s="30" t="str">
        <f aca="false">IF('Boletins Nuppa Site'!H2411&lt;&gt;0,'Boletins Nuppa Site'!H2411,"NULL")</f>
        <v> 50.00</v>
      </c>
      <c r="F2411" s="30" t="str">
        <f aca="false">IF('Boletins Nuppa Site'!I2411&lt;&gt;0,'Boletins Nuppa Site'!I2411,"NULL")</f>
        <v> 60.00</v>
      </c>
      <c r="G2411" s="30" t="str">
        <f aca="false">IF('Boletins Nuppa Site'!J2411&lt;&gt;0,'Boletins Nuppa Site'!J2411,"NULL")</f>
        <v> 55.00</v>
      </c>
      <c r="H2411" s="30" t="str">
        <f aca="false">IF('Boletins Nuppa Site'!K2411&lt;&gt;0,'Boletins Nuppa Site'!K2411,"NULL")</f>
        <v> 55.00</v>
      </c>
      <c r="I2411" s="0" t="str">
        <f aca="false">"INSERT INTO COTACAO (cot_id, cot_blt_id, cot_pap_id, cot_prc_comum, cot_prc_min, cot_prc_max, cot_prc_med, cot_prc_mediana) VALUES ("&amp;A2411&amp;", "&amp;B2411&amp;", "&amp;C2411&amp;", "&amp;D2411&amp;", "&amp;E2411&amp;", "&amp;F2411&amp;", "&amp;G2411&amp;", "&amp;H2411&amp;");"</f>
        <v>INSERT INTO COTACAO (cot_id, cot_blt_id, cot_pap_id, cot_prc_comum, cot_prc_min, cot_prc_max, cot_prc_med, cot_prc_mediana) VALUES (2410, 98, 20, NULL,  50.00,  60.00,  55.00,  55.00);</v>
      </c>
      <c r="J2411" s="0" t="str">
        <f aca="false">"UPDATE COTACAO SET cot_id = "&amp;A2411&amp;", cot_blt_id = "&amp;B2411&amp;", cot_pap_id = "&amp;C2411&amp;", cot_prc_comum = "&amp;D2411&amp;", cot_prc_min = "&amp;E2411&amp;", cot_prc_max = "&amp;F2411&amp;", cot_prc_med = "&amp;G2411&amp;", cot_prc_mediana = "&amp;H2411&amp;" WHERE cot_id = "&amp;A2411&amp;";"</f>
        <v>UPDATE COTACAO SET cot_id = 2410, cot_blt_id = 98, cot_pap_id = 20, cot_prc_comum = NULL, cot_prc_min =  50.00, cot_prc_max =  60.00, cot_prc_med =  55.00, cot_prc_mediana =  55.00 WHERE cot_id = 2410;</v>
      </c>
    </row>
    <row r="2412" customFormat="false" ht="14.25" hidden="false" customHeight="false" outlineLevel="0" collapsed="false">
      <c r="A2412" s="0" t="n">
        <v>2411</v>
      </c>
      <c r="B2412" s="0" t="n">
        <f aca="false">IF('Boletins Nuppa Site'!A2412&lt;&gt;0,'Boletins Nuppa Site'!A2412,"NULL")</f>
        <v>98</v>
      </c>
      <c r="C2412" s="0" t="n">
        <v>21</v>
      </c>
      <c r="D2412" s="0" t="str">
        <f aca="false">IF('Boletins Nuppa Site'!G2412&lt;&gt;0,'Boletins Nuppa Site'!G2412,"NULL")</f>
        <v>NULL</v>
      </c>
      <c r="E2412" s="30" t="str">
        <f aca="false">IF('Boletins Nuppa Site'!H2412&lt;&gt;0,'Boletins Nuppa Site'!H2412,"NULL")</f>
        <v> 60.00</v>
      </c>
      <c r="F2412" s="30" t="str">
        <f aca="false">IF('Boletins Nuppa Site'!I2412&lt;&gt;0,'Boletins Nuppa Site'!I2412,"NULL")</f>
        <v> 80.00</v>
      </c>
      <c r="G2412" s="30" t="str">
        <f aca="false">IF('Boletins Nuppa Site'!J2412&lt;&gt;0,'Boletins Nuppa Site'!J2412,"NULL")</f>
        <v> 70.00</v>
      </c>
      <c r="H2412" s="30" t="str">
        <f aca="false">IF('Boletins Nuppa Site'!K2412&lt;&gt;0,'Boletins Nuppa Site'!K2412,"NULL")</f>
        <v> 70.00</v>
      </c>
      <c r="I2412" s="0" t="str">
        <f aca="false">"INSERT INTO COTACAO (cot_id, cot_blt_id, cot_pap_id, cot_prc_comum, cot_prc_min, cot_prc_max, cot_prc_med, cot_prc_mediana) VALUES ("&amp;A2412&amp;", "&amp;B2412&amp;", "&amp;C2412&amp;", "&amp;D2412&amp;", "&amp;E2412&amp;", "&amp;F2412&amp;", "&amp;G2412&amp;", "&amp;H2412&amp;");"</f>
        <v>INSERT INTO COTACAO (cot_id, cot_blt_id, cot_pap_id, cot_prc_comum, cot_prc_min, cot_prc_max, cot_prc_med, cot_prc_mediana) VALUES (2411, 98, 21, NULL,  60.00,  80.00,  70.00,  70.00);</v>
      </c>
      <c r="J2412" s="0" t="str">
        <f aca="false">"UPDATE COTACAO SET cot_id = "&amp;A2412&amp;", cot_blt_id = "&amp;B2412&amp;", cot_pap_id = "&amp;C2412&amp;", cot_prc_comum = "&amp;D2412&amp;", cot_prc_min = "&amp;E2412&amp;", cot_prc_max = "&amp;F2412&amp;", cot_prc_med = "&amp;G2412&amp;", cot_prc_mediana = "&amp;H2412&amp;" WHERE cot_id = "&amp;A2412&amp;";"</f>
        <v>UPDATE COTACAO SET cot_id = 2411, cot_blt_id = 98, cot_pap_id = 21, cot_prc_comum = NULL, cot_prc_min =  60.00, cot_prc_max =  80.00, cot_prc_med =  70.00, cot_prc_mediana =  70.00 WHERE cot_id = 2411;</v>
      </c>
    </row>
    <row r="2413" customFormat="false" ht="14.25" hidden="false" customHeight="false" outlineLevel="0" collapsed="false">
      <c r="A2413" s="0" t="n">
        <v>2412</v>
      </c>
      <c r="B2413" s="0" t="n">
        <f aca="false">IF('Boletins Nuppa Site'!A2413&lt;&gt;0,'Boletins Nuppa Site'!A2413,"NULL")</f>
        <v>98</v>
      </c>
      <c r="C2413" s="0" t="n">
        <v>22</v>
      </c>
      <c r="D2413" s="0" t="str">
        <f aca="false">IF('Boletins Nuppa Site'!G2413&lt;&gt;0,'Boletins Nuppa Site'!G2413,"NULL")</f>
        <v>NULL</v>
      </c>
      <c r="E2413" s="30" t="str">
        <f aca="false">IF('Boletins Nuppa Site'!H2413&lt;&gt;0,'Boletins Nuppa Site'!H2413,"NULL")</f>
        <v> 45.00</v>
      </c>
      <c r="F2413" s="30" t="str">
        <f aca="false">IF('Boletins Nuppa Site'!I2413&lt;&gt;0,'Boletins Nuppa Site'!I2413,"NULL")</f>
        <v> 65.00</v>
      </c>
      <c r="G2413" s="30" t="str">
        <f aca="false">IF('Boletins Nuppa Site'!J2413&lt;&gt;0,'Boletins Nuppa Site'!J2413,"NULL")</f>
        <v> 56.67</v>
      </c>
      <c r="H2413" s="30" t="str">
        <f aca="false">IF('Boletins Nuppa Site'!K2413&lt;&gt;0,'Boletins Nuppa Site'!K2413,"NULL")</f>
        <v> 60.00</v>
      </c>
      <c r="I2413" s="0" t="str">
        <f aca="false">"INSERT INTO COTACAO (cot_id, cot_blt_id, cot_pap_id, cot_prc_comum, cot_prc_min, cot_prc_max, cot_prc_med, cot_prc_mediana) VALUES ("&amp;A2413&amp;", "&amp;B2413&amp;", "&amp;C2413&amp;", "&amp;D2413&amp;", "&amp;E2413&amp;", "&amp;F2413&amp;", "&amp;G2413&amp;", "&amp;H2413&amp;");"</f>
        <v>INSERT INTO COTACAO (cot_id, cot_blt_id, cot_pap_id, cot_prc_comum, cot_prc_min, cot_prc_max, cot_prc_med, cot_prc_mediana) VALUES (2412, 98, 22, NULL,  45.00,  65.00,  56.67,  60.00);</v>
      </c>
      <c r="J2413" s="0" t="str">
        <f aca="false">"UPDATE COTACAO SET cot_id = "&amp;A2413&amp;", cot_blt_id = "&amp;B2413&amp;", cot_pap_id = "&amp;C2413&amp;", cot_prc_comum = "&amp;D2413&amp;", cot_prc_min = "&amp;E2413&amp;", cot_prc_max = "&amp;F2413&amp;", cot_prc_med = "&amp;G2413&amp;", cot_prc_mediana = "&amp;H2413&amp;" WHERE cot_id = "&amp;A2413&amp;";"</f>
        <v>UPDATE COTACAO SET cot_id = 2412, cot_blt_id = 98, cot_pap_id = 22, cot_prc_comum = NULL, cot_prc_min =  45.00, cot_prc_max =  65.00, cot_prc_med =  56.67, cot_prc_mediana =  60.00 WHERE cot_id = 2412;</v>
      </c>
    </row>
    <row r="2414" customFormat="false" ht="14.25" hidden="false" customHeight="false" outlineLevel="0" collapsed="false">
      <c r="A2414" s="0" t="n">
        <v>2413</v>
      </c>
      <c r="B2414" s="0" t="n">
        <f aca="false">IF('Boletins Nuppa Site'!A2414&lt;&gt;0,'Boletins Nuppa Site'!A2414,"NULL")</f>
        <v>98</v>
      </c>
      <c r="C2414" s="0" t="n">
        <v>23</v>
      </c>
      <c r="D2414" s="0" t="str">
        <f aca="false">IF('Boletins Nuppa Site'!G2414&lt;&gt;0,'Boletins Nuppa Site'!G2414,"NULL")</f>
        <v>NULL</v>
      </c>
      <c r="E2414" s="30" t="str">
        <f aca="false">IF('Boletins Nuppa Site'!H2414&lt;&gt;0,'Boletins Nuppa Site'!H2414,"NULL")</f>
        <v> 40.00</v>
      </c>
      <c r="F2414" s="30" t="str">
        <f aca="false">IF('Boletins Nuppa Site'!I2414&lt;&gt;0,'Boletins Nuppa Site'!I2414,"NULL")</f>
        <v> 60.00</v>
      </c>
      <c r="G2414" s="30" t="str">
        <f aca="false">IF('Boletins Nuppa Site'!J2414&lt;&gt;0,'Boletins Nuppa Site'!J2414,"NULL")</f>
        <v> 48.33</v>
      </c>
      <c r="H2414" s="30" t="str">
        <f aca="false">IF('Boletins Nuppa Site'!K2414&lt;&gt;0,'Boletins Nuppa Site'!K2414,"NULL")</f>
        <v> 45.00</v>
      </c>
      <c r="I2414" s="0" t="str">
        <f aca="false">"INSERT INTO COTACAO (cot_id, cot_blt_id, cot_pap_id, cot_prc_comum, cot_prc_min, cot_prc_max, cot_prc_med, cot_prc_mediana) VALUES ("&amp;A2414&amp;", "&amp;B2414&amp;", "&amp;C2414&amp;", "&amp;D2414&amp;", "&amp;E2414&amp;", "&amp;F2414&amp;", "&amp;G2414&amp;", "&amp;H2414&amp;");"</f>
        <v>INSERT INTO COTACAO (cot_id, cot_blt_id, cot_pap_id, cot_prc_comum, cot_prc_min, cot_prc_max, cot_prc_med, cot_prc_mediana) VALUES (2413, 98, 23, NULL,  40.00,  60.00,  48.33,  45.00);</v>
      </c>
      <c r="J2414" s="0" t="str">
        <f aca="false">"UPDATE COTACAO SET cot_id = "&amp;A2414&amp;", cot_blt_id = "&amp;B2414&amp;", cot_pap_id = "&amp;C2414&amp;", cot_prc_comum = "&amp;D2414&amp;", cot_prc_min = "&amp;E2414&amp;", cot_prc_max = "&amp;F2414&amp;", cot_prc_med = "&amp;G2414&amp;", cot_prc_mediana = "&amp;H2414&amp;" WHERE cot_id = "&amp;A2414&amp;";"</f>
        <v>UPDATE COTACAO SET cot_id = 2413, cot_blt_id = 98, cot_pap_id = 23, cot_prc_comum = NULL, cot_prc_min =  40.00, cot_prc_max =  60.00, cot_prc_med =  48.33, cot_prc_mediana =  45.00 WHERE cot_id = 2413;</v>
      </c>
    </row>
    <row r="2415" customFormat="false" ht="14.25" hidden="false" customHeight="false" outlineLevel="0" collapsed="false">
      <c r="A2415" s="0" t="n">
        <v>2414</v>
      </c>
      <c r="B2415" s="0" t="n">
        <f aca="false">IF('Boletins Nuppa Site'!A2415&lt;&gt;0,'Boletins Nuppa Site'!A2415,"NULL")</f>
        <v>98</v>
      </c>
      <c r="C2415" s="0" t="n">
        <v>24</v>
      </c>
      <c r="D2415" s="0" t="str">
        <f aca="false">IF('Boletins Nuppa Site'!G2415&lt;&gt;0,'Boletins Nuppa Site'!G2415,"NULL")</f>
        <v>NULL</v>
      </c>
      <c r="E2415" s="30" t="str">
        <f aca="false">IF('Boletins Nuppa Site'!H2415&lt;&gt;0,'Boletins Nuppa Site'!H2415,"NULL")</f>
        <v> 75.00</v>
      </c>
      <c r="F2415" s="30" t="str">
        <f aca="false">IF('Boletins Nuppa Site'!I2415&lt;&gt;0,'Boletins Nuppa Site'!I2415,"NULL")</f>
        <v> 75.00</v>
      </c>
      <c r="G2415" s="30" t="str">
        <f aca="false">IF('Boletins Nuppa Site'!J2415&lt;&gt;0,'Boletins Nuppa Site'!J2415,"NULL")</f>
        <v> 75.00</v>
      </c>
      <c r="H2415" s="30" t="str">
        <f aca="false">IF('Boletins Nuppa Site'!K2415&lt;&gt;0,'Boletins Nuppa Site'!K2415,"NULL")</f>
        <v> 75.00</v>
      </c>
      <c r="I2415" s="0" t="str">
        <f aca="false">"INSERT INTO COTACAO (cot_id, cot_blt_id, cot_pap_id, cot_prc_comum, cot_prc_min, cot_prc_max, cot_prc_med, cot_prc_mediana) VALUES ("&amp;A2415&amp;", "&amp;B2415&amp;", "&amp;C2415&amp;", "&amp;D2415&amp;", "&amp;E2415&amp;", "&amp;F2415&amp;", "&amp;G2415&amp;", "&amp;H2415&amp;");"</f>
        <v>INSERT INTO COTACAO (cot_id, cot_blt_id, cot_pap_id, cot_prc_comum, cot_prc_min, cot_prc_max, cot_prc_med, cot_prc_mediana) VALUES (2414, 98, 24, NULL,  75.00,  75.00,  75.00,  75.00);</v>
      </c>
      <c r="J2415" s="0" t="str">
        <f aca="false">"UPDATE COTACAO SET cot_id = "&amp;A2415&amp;", cot_blt_id = "&amp;B2415&amp;", cot_pap_id = "&amp;C2415&amp;", cot_prc_comum = "&amp;D2415&amp;", cot_prc_min = "&amp;E2415&amp;", cot_prc_max = "&amp;F2415&amp;", cot_prc_med = "&amp;G2415&amp;", cot_prc_mediana = "&amp;H2415&amp;" WHERE cot_id = "&amp;A2415&amp;";"</f>
        <v>UPDATE COTACAO SET cot_id = 2414, cot_blt_id = 98, cot_pap_id = 24, cot_prc_comum = NULL, cot_prc_min =  75.00, cot_prc_max =  75.00, cot_prc_med =  75.00, cot_prc_mediana =  75.00 WHERE cot_id = 2414;</v>
      </c>
    </row>
    <row r="2416" customFormat="false" ht="14.25" hidden="false" customHeight="false" outlineLevel="0" collapsed="false">
      <c r="A2416" s="0" t="n">
        <v>2415</v>
      </c>
      <c r="B2416" s="0" t="n">
        <f aca="false">IF('Boletins Nuppa Site'!A2416&lt;&gt;0,'Boletins Nuppa Site'!A2416,"NULL")</f>
        <v>98</v>
      </c>
      <c r="C2416" s="0" t="n">
        <v>25</v>
      </c>
      <c r="D2416" s="0" t="str">
        <f aca="false">IF('Boletins Nuppa Site'!G2416&lt;&gt;0,'Boletins Nuppa Site'!G2416,"NULL")</f>
        <v>NULL</v>
      </c>
      <c r="E2416" s="30" t="str">
        <f aca="false">IF('Boletins Nuppa Site'!H2416&lt;&gt;0,'Boletins Nuppa Site'!H2416,"NULL")</f>
        <v> 50.00</v>
      </c>
      <c r="F2416" s="30" t="str">
        <f aca="false">IF('Boletins Nuppa Site'!I2416&lt;&gt;0,'Boletins Nuppa Site'!I2416,"NULL")</f>
        <v> 70.00</v>
      </c>
      <c r="G2416" s="30" t="str">
        <f aca="false">IF('Boletins Nuppa Site'!J2416&lt;&gt;0,'Boletins Nuppa Site'!J2416,"NULL")</f>
        <v> 60.00</v>
      </c>
      <c r="H2416" s="30" t="str">
        <f aca="false">IF('Boletins Nuppa Site'!K2416&lt;&gt;0,'Boletins Nuppa Site'!K2416,"NULL")</f>
        <v> 60.00</v>
      </c>
      <c r="I2416" s="0" t="str">
        <f aca="false">"INSERT INTO COTACAO (cot_id, cot_blt_id, cot_pap_id, cot_prc_comum, cot_prc_min, cot_prc_max, cot_prc_med, cot_prc_mediana) VALUES ("&amp;A2416&amp;", "&amp;B2416&amp;", "&amp;C2416&amp;", "&amp;D2416&amp;", "&amp;E2416&amp;", "&amp;F2416&amp;", "&amp;G2416&amp;", "&amp;H2416&amp;");"</f>
        <v>INSERT INTO COTACAO (cot_id, cot_blt_id, cot_pap_id, cot_prc_comum, cot_prc_min, cot_prc_max, cot_prc_med, cot_prc_mediana) VALUES (2415, 98, 25, NULL,  50.00,  70.00,  60.00,  60.00);</v>
      </c>
      <c r="J2416" s="0" t="str">
        <f aca="false">"UPDATE COTACAO SET cot_id = "&amp;A2416&amp;", cot_blt_id = "&amp;B2416&amp;", cot_pap_id = "&amp;C2416&amp;", cot_prc_comum = "&amp;D2416&amp;", cot_prc_min = "&amp;E2416&amp;", cot_prc_max = "&amp;F2416&amp;", cot_prc_med = "&amp;G2416&amp;", cot_prc_mediana = "&amp;H2416&amp;" WHERE cot_id = "&amp;A2416&amp;";"</f>
        <v>UPDATE COTACAO SET cot_id = 2415, cot_blt_id = 98, cot_pap_id = 25, cot_prc_comum = NULL, cot_prc_min =  50.00, cot_prc_max =  70.00, cot_prc_med =  60.00, cot_prc_mediana =  60.00 WHERE cot_id = 2415;</v>
      </c>
    </row>
    <row r="2417" customFormat="false" ht="14.25" hidden="false" customHeight="false" outlineLevel="0" collapsed="false">
      <c r="A2417" s="0" t="n">
        <v>2416</v>
      </c>
      <c r="B2417" s="0" t="n">
        <f aca="false">IF('Boletins Nuppa Site'!A2417&lt;&gt;0,'Boletins Nuppa Site'!A2417,"NULL")</f>
        <v>98</v>
      </c>
      <c r="C2417" s="0" t="n">
        <v>26</v>
      </c>
      <c r="D2417" s="0" t="str">
        <f aca="false">IF('Boletins Nuppa Site'!G2417&lt;&gt;0,'Boletins Nuppa Site'!G2417,"NULL")</f>
        <v> 60.00</v>
      </c>
      <c r="E2417" s="30" t="str">
        <f aca="false">IF('Boletins Nuppa Site'!H2417&lt;&gt;0,'Boletins Nuppa Site'!H2417,"NULL")</f>
        <v> 60.00</v>
      </c>
      <c r="F2417" s="30" t="str">
        <f aca="false">IF('Boletins Nuppa Site'!I2417&lt;&gt;0,'Boletins Nuppa Site'!I2417,"NULL")</f>
        <v> 85.00</v>
      </c>
      <c r="G2417" s="30" t="str">
        <f aca="false">IF('Boletins Nuppa Site'!J2417&lt;&gt;0,'Boletins Nuppa Site'!J2417,"NULL")</f>
        <v> 68.33</v>
      </c>
      <c r="H2417" s="30" t="str">
        <f aca="false">IF('Boletins Nuppa Site'!K2417&lt;&gt;0,'Boletins Nuppa Site'!K2417,"NULL")</f>
        <v> 60.00</v>
      </c>
      <c r="I2417" s="0" t="str">
        <f aca="false">"INSERT INTO COTACAO (cot_id, cot_blt_id, cot_pap_id, cot_prc_comum, cot_prc_min, cot_prc_max, cot_prc_med, cot_prc_mediana) VALUES ("&amp;A2417&amp;", "&amp;B2417&amp;", "&amp;C2417&amp;", "&amp;D2417&amp;", "&amp;E2417&amp;", "&amp;F2417&amp;", "&amp;G2417&amp;", "&amp;H2417&amp;");"</f>
        <v>INSERT INTO COTACAO (cot_id, cot_blt_id, cot_pap_id, cot_prc_comum, cot_prc_min, cot_prc_max, cot_prc_med, cot_prc_mediana) VALUES (2416, 98, 26,  60.00,  60.00,  85.00,  68.33,  60.00);</v>
      </c>
      <c r="J2417" s="0" t="str">
        <f aca="false">"UPDATE COTACAO SET cot_id = "&amp;A2417&amp;", cot_blt_id = "&amp;B2417&amp;", cot_pap_id = "&amp;C2417&amp;", cot_prc_comum = "&amp;D2417&amp;", cot_prc_min = "&amp;E2417&amp;", cot_prc_max = "&amp;F2417&amp;", cot_prc_med = "&amp;G2417&amp;", cot_prc_mediana = "&amp;H2417&amp;" WHERE cot_id = "&amp;A2417&amp;";"</f>
        <v>UPDATE COTACAO SET cot_id = 2416, cot_blt_id = 98, cot_pap_id = 26, cot_prc_comum =  60.00, cot_prc_min =  60.00, cot_prc_max =  85.00, cot_prc_med =  68.33, cot_prc_mediana =  60.00 WHERE cot_id = 2416;</v>
      </c>
    </row>
    <row r="2418" customFormat="false" ht="14.25" hidden="false" customHeight="false" outlineLevel="0" collapsed="false">
      <c r="A2418" s="0" t="n">
        <v>2417</v>
      </c>
      <c r="B2418" s="0" t="n">
        <f aca="false">IF('Boletins Nuppa Site'!A2418&lt;&gt;0,'Boletins Nuppa Site'!A2418,"NULL")</f>
        <v>98</v>
      </c>
      <c r="C2418" s="0" t="n">
        <v>27</v>
      </c>
      <c r="D2418" s="0" t="str">
        <f aca="false">IF('Boletins Nuppa Site'!G2418&lt;&gt;0,'Boletins Nuppa Site'!G2418,"NULL")</f>
        <v>NULL</v>
      </c>
      <c r="E2418" s="30" t="str">
        <f aca="false">IF('Boletins Nuppa Site'!H2418&lt;&gt;0,'Boletins Nuppa Site'!H2418,"NULL")</f>
        <v> 70.00</v>
      </c>
      <c r="F2418" s="30" t="str">
        <f aca="false">IF('Boletins Nuppa Site'!I2418&lt;&gt;0,'Boletins Nuppa Site'!I2418,"NULL")</f>
        <v> 90.00</v>
      </c>
      <c r="G2418" s="30" t="str">
        <f aca="false">IF('Boletins Nuppa Site'!J2418&lt;&gt;0,'Boletins Nuppa Site'!J2418,"NULL")</f>
        <v> 80.00</v>
      </c>
      <c r="H2418" s="30" t="str">
        <f aca="false">IF('Boletins Nuppa Site'!K2418&lt;&gt;0,'Boletins Nuppa Site'!K2418,"NULL")</f>
        <v> 80.00</v>
      </c>
      <c r="I2418" s="0" t="str">
        <f aca="false">"INSERT INTO COTACAO (cot_id, cot_blt_id, cot_pap_id, cot_prc_comum, cot_prc_min, cot_prc_max, cot_prc_med, cot_prc_mediana) VALUES ("&amp;A2418&amp;", "&amp;B2418&amp;", "&amp;C2418&amp;", "&amp;D2418&amp;", "&amp;E2418&amp;", "&amp;F2418&amp;", "&amp;G2418&amp;", "&amp;H2418&amp;");"</f>
        <v>INSERT INTO COTACAO (cot_id, cot_blt_id, cot_pap_id, cot_prc_comum, cot_prc_min, cot_prc_max, cot_prc_med, cot_prc_mediana) VALUES (2417, 98, 27, NULL,  70.00,  90.00,  80.00,  80.00);</v>
      </c>
      <c r="J2418" s="0" t="str">
        <f aca="false">"UPDATE COTACAO SET cot_id = "&amp;A2418&amp;", cot_blt_id = "&amp;B2418&amp;", cot_pap_id = "&amp;C2418&amp;", cot_prc_comum = "&amp;D2418&amp;", cot_prc_min = "&amp;E2418&amp;", cot_prc_max = "&amp;F2418&amp;", cot_prc_med = "&amp;G2418&amp;", cot_prc_mediana = "&amp;H2418&amp;" WHERE cot_id = "&amp;A2418&amp;";"</f>
        <v>UPDATE COTACAO SET cot_id = 2417, cot_blt_id = 98, cot_pap_id = 27, cot_prc_comum = NULL, cot_prc_min =  70.00, cot_prc_max =  90.00, cot_prc_med =  80.00, cot_prc_mediana =  80.00 WHERE cot_id = 2417;</v>
      </c>
    </row>
    <row r="2419" customFormat="false" ht="14.25" hidden="false" customHeight="false" outlineLevel="0" collapsed="false">
      <c r="A2419" s="0" t="n">
        <v>2418</v>
      </c>
      <c r="B2419" s="0" t="n">
        <f aca="false">IF('Boletins Nuppa Site'!A2419&lt;&gt;0,'Boletins Nuppa Site'!A2419,"NULL")</f>
        <v>98</v>
      </c>
      <c r="C2419" s="0" t="n">
        <v>28</v>
      </c>
      <c r="D2419" s="0" t="str">
        <f aca="false">IF('Boletins Nuppa Site'!G2419&lt;&gt;0,'Boletins Nuppa Site'!G2419,"NULL")</f>
        <v> 70.00</v>
      </c>
      <c r="E2419" s="30" t="str">
        <f aca="false">IF('Boletins Nuppa Site'!H2419&lt;&gt;0,'Boletins Nuppa Site'!H2419,"NULL")</f>
        <v> 70.00</v>
      </c>
      <c r="F2419" s="30" t="str">
        <f aca="false">IF('Boletins Nuppa Site'!I2419&lt;&gt;0,'Boletins Nuppa Site'!I2419,"NULL")</f>
        <v> 70.00</v>
      </c>
      <c r="G2419" s="30" t="str">
        <f aca="false">IF('Boletins Nuppa Site'!J2419&lt;&gt;0,'Boletins Nuppa Site'!J2419,"NULL")</f>
        <v> 70.00</v>
      </c>
      <c r="H2419" s="30" t="str">
        <f aca="false">IF('Boletins Nuppa Site'!K2419&lt;&gt;0,'Boletins Nuppa Site'!K2419,"NULL")</f>
        <v> 70.00</v>
      </c>
      <c r="I2419" s="0" t="str">
        <f aca="false">"INSERT INTO COTACAO (cot_id, cot_blt_id, cot_pap_id, cot_prc_comum, cot_prc_min, cot_prc_max, cot_prc_med, cot_prc_mediana) VALUES ("&amp;A2419&amp;", "&amp;B2419&amp;", "&amp;C2419&amp;", "&amp;D2419&amp;", "&amp;E2419&amp;", "&amp;F2419&amp;", "&amp;G2419&amp;", "&amp;H2419&amp;");"</f>
        <v>INSERT INTO COTACAO (cot_id, cot_blt_id, cot_pap_id, cot_prc_comum, cot_prc_min, cot_prc_max, cot_prc_med, cot_prc_mediana) VALUES (2418, 98, 28,  70.00,  70.00,  70.00,  70.00,  70.00);</v>
      </c>
      <c r="J2419" s="0" t="str">
        <f aca="false">"UPDATE COTACAO SET cot_id = "&amp;A2419&amp;", cot_blt_id = "&amp;B2419&amp;", cot_pap_id = "&amp;C2419&amp;", cot_prc_comum = "&amp;D2419&amp;", cot_prc_min = "&amp;E2419&amp;", cot_prc_max = "&amp;F2419&amp;", cot_prc_med = "&amp;G2419&amp;", cot_prc_mediana = "&amp;H2419&amp;" WHERE cot_id = "&amp;A2419&amp;";"</f>
        <v>UPDATE COTACAO SET cot_id = 2418, cot_blt_id = 98, cot_pap_id = 28, cot_prc_comum =  70.00, cot_prc_min =  70.00, cot_prc_max =  70.00, cot_prc_med =  70.00, cot_prc_mediana =  70.00 WHERE cot_id = 2418;</v>
      </c>
    </row>
    <row r="2420" customFormat="false" ht="14.25" hidden="false" customHeight="false" outlineLevel="0" collapsed="false">
      <c r="A2420" s="0" t="n">
        <v>2419</v>
      </c>
      <c r="B2420" s="0" t="n">
        <f aca="false">IF('Boletins Nuppa Site'!A2420&lt;&gt;0,'Boletins Nuppa Site'!A2420,"NULL")</f>
        <v>98</v>
      </c>
      <c r="C2420" s="0" t="n">
        <v>29</v>
      </c>
      <c r="D2420" s="0" t="str">
        <f aca="false">IF('Boletins Nuppa Site'!G2420&lt;&gt;0,'Boletins Nuppa Site'!G2420,"NULL")</f>
        <v>NULL</v>
      </c>
      <c r="E2420" s="30" t="str">
        <f aca="false">IF('Boletins Nuppa Site'!H2420&lt;&gt;0,'Boletins Nuppa Site'!H2420,"NULL")</f>
        <v> 75.00</v>
      </c>
      <c r="F2420" s="30" t="str">
        <f aca="false">IF('Boletins Nuppa Site'!I2420&lt;&gt;0,'Boletins Nuppa Site'!I2420,"NULL")</f>
        <v> 75.00</v>
      </c>
      <c r="G2420" s="30" t="str">
        <f aca="false">IF('Boletins Nuppa Site'!J2420&lt;&gt;0,'Boletins Nuppa Site'!J2420,"NULL")</f>
        <v> 75.00</v>
      </c>
      <c r="H2420" s="30" t="str">
        <f aca="false">IF('Boletins Nuppa Site'!K2420&lt;&gt;0,'Boletins Nuppa Site'!K2420,"NULL")</f>
        <v> 75.00</v>
      </c>
      <c r="I2420" s="0" t="str">
        <f aca="false">"INSERT INTO COTACAO (cot_id, cot_blt_id, cot_pap_id, cot_prc_comum, cot_prc_min, cot_prc_max, cot_prc_med, cot_prc_mediana) VALUES ("&amp;A2420&amp;", "&amp;B2420&amp;", "&amp;C2420&amp;", "&amp;D2420&amp;", "&amp;E2420&amp;", "&amp;F2420&amp;", "&amp;G2420&amp;", "&amp;H2420&amp;");"</f>
        <v>INSERT INTO COTACAO (cot_id, cot_blt_id, cot_pap_id, cot_prc_comum, cot_prc_min, cot_prc_max, cot_prc_med, cot_prc_mediana) VALUES (2419, 98, 29, NULL,  75.00,  75.00,  75.00,  75.00);</v>
      </c>
      <c r="J2420" s="0" t="str">
        <f aca="false">"UPDATE COTACAO SET cot_id = "&amp;A2420&amp;", cot_blt_id = "&amp;B2420&amp;", cot_pap_id = "&amp;C2420&amp;", cot_prc_comum = "&amp;D2420&amp;", cot_prc_min = "&amp;E2420&amp;", cot_prc_max = "&amp;F2420&amp;", cot_prc_med = "&amp;G2420&amp;", cot_prc_mediana = "&amp;H2420&amp;" WHERE cot_id = "&amp;A2420&amp;";"</f>
        <v>UPDATE COTACAO SET cot_id = 2419, cot_blt_id = 98, cot_pap_id = 29, cot_prc_comum = NULL, cot_prc_min =  75.00, cot_prc_max =  75.00, cot_prc_med =  75.00, cot_prc_mediana =  75.00 WHERE cot_id = 2419;</v>
      </c>
    </row>
    <row r="2421" customFormat="false" ht="14.25" hidden="false" customHeight="false" outlineLevel="0" collapsed="false">
      <c r="A2421" s="0" t="n">
        <v>2420</v>
      </c>
      <c r="B2421" s="0" t="n">
        <f aca="false">IF('Boletins Nuppa Site'!A2421&lt;&gt;0,'Boletins Nuppa Site'!A2421,"NULL")</f>
        <v>98</v>
      </c>
      <c r="C2421" s="0" t="n">
        <v>30</v>
      </c>
      <c r="D2421" s="0" t="str">
        <f aca="false">IF('Boletins Nuppa Site'!G2421&lt;&gt;0,'Boletins Nuppa Site'!G2421,"NULL")</f>
        <v>NULL</v>
      </c>
      <c r="E2421" s="30" t="str">
        <f aca="false">IF('Boletins Nuppa Site'!H2421&lt;&gt;0,'Boletins Nuppa Site'!H2421,"NULL")</f>
        <v> 70.00</v>
      </c>
      <c r="F2421" s="30" t="str">
        <f aca="false">IF('Boletins Nuppa Site'!I2421&lt;&gt;0,'Boletins Nuppa Site'!I2421,"NULL")</f>
        <v> 70.00</v>
      </c>
      <c r="G2421" s="30" t="str">
        <f aca="false">IF('Boletins Nuppa Site'!J2421&lt;&gt;0,'Boletins Nuppa Site'!J2421,"NULL")</f>
        <v> 70.00</v>
      </c>
      <c r="H2421" s="30" t="str">
        <f aca="false">IF('Boletins Nuppa Site'!K2421&lt;&gt;0,'Boletins Nuppa Site'!K2421,"NULL")</f>
        <v> 70.00</v>
      </c>
      <c r="I2421" s="0" t="str">
        <f aca="false">"INSERT INTO COTACAO (cot_id, cot_blt_id, cot_pap_id, cot_prc_comum, cot_prc_min, cot_prc_max, cot_prc_med, cot_prc_mediana) VALUES ("&amp;A2421&amp;", "&amp;B2421&amp;", "&amp;C2421&amp;", "&amp;D2421&amp;", "&amp;E2421&amp;", "&amp;F2421&amp;", "&amp;G2421&amp;", "&amp;H2421&amp;");"</f>
        <v>INSERT INTO COTACAO (cot_id, cot_blt_id, cot_pap_id, cot_prc_comum, cot_prc_min, cot_prc_max, cot_prc_med, cot_prc_mediana) VALUES (2420, 98, 30, NULL,  70.00,  70.00,  70.00,  70.00);</v>
      </c>
      <c r="J2421" s="0" t="str">
        <f aca="false">"UPDATE COTACAO SET cot_id = "&amp;A2421&amp;", cot_blt_id = "&amp;B2421&amp;", cot_pap_id = "&amp;C2421&amp;", cot_prc_comum = "&amp;D2421&amp;", cot_prc_min = "&amp;E2421&amp;", cot_prc_max = "&amp;F2421&amp;", cot_prc_med = "&amp;G2421&amp;", cot_prc_mediana = "&amp;H2421&amp;" WHERE cot_id = "&amp;A2421&amp;";"</f>
        <v>UPDATE COTACAO SET cot_id = 2420, cot_blt_id = 98, cot_pap_id = 30, cot_prc_comum = NULL, cot_prc_min =  70.00, cot_prc_max =  70.00, cot_prc_med =  70.00, cot_prc_mediana =  70.00 WHERE cot_id = 2420;</v>
      </c>
    </row>
    <row r="2422" customFormat="false" ht="14.25" hidden="false" customHeight="false" outlineLevel="0" collapsed="false">
      <c r="A2422" s="0" t="n">
        <v>2421</v>
      </c>
      <c r="B2422" s="0" t="n">
        <f aca="false">IF('Boletins Nuppa Site'!A2422&lt;&gt;0,'Boletins Nuppa Site'!A2422,"NULL")</f>
        <v>98</v>
      </c>
      <c r="C2422" s="0" t="n">
        <v>31</v>
      </c>
      <c r="D2422" s="0" t="str">
        <f aca="false">IF('Boletins Nuppa Site'!G2422&lt;&gt;0,'Boletins Nuppa Site'!G2422,"NULL")</f>
        <v> 80.00</v>
      </c>
      <c r="E2422" s="30" t="str">
        <f aca="false">IF('Boletins Nuppa Site'!H2422&lt;&gt;0,'Boletins Nuppa Site'!H2422,"NULL")</f>
        <v> 80.00</v>
      </c>
      <c r="F2422" s="30" t="str">
        <f aca="false">IF('Boletins Nuppa Site'!I2422&lt;&gt;0,'Boletins Nuppa Site'!I2422,"NULL")</f>
        <v> 90.00</v>
      </c>
      <c r="G2422" s="30" t="str">
        <f aca="false">IF('Boletins Nuppa Site'!J2422&lt;&gt;0,'Boletins Nuppa Site'!J2422,"NULL")</f>
        <v> 83.33</v>
      </c>
      <c r="H2422" s="30" t="str">
        <f aca="false">IF('Boletins Nuppa Site'!K2422&lt;&gt;0,'Boletins Nuppa Site'!K2422,"NULL")</f>
        <v> 80.00</v>
      </c>
      <c r="I2422" s="0" t="str">
        <f aca="false">"INSERT INTO COTACAO (cot_id, cot_blt_id, cot_pap_id, cot_prc_comum, cot_prc_min, cot_prc_max, cot_prc_med, cot_prc_mediana) VALUES ("&amp;A2422&amp;", "&amp;B2422&amp;", "&amp;C2422&amp;", "&amp;D2422&amp;", "&amp;E2422&amp;", "&amp;F2422&amp;", "&amp;G2422&amp;", "&amp;H2422&amp;");"</f>
        <v>INSERT INTO COTACAO (cot_id, cot_blt_id, cot_pap_id, cot_prc_comum, cot_prc_min, cot_prc_max, cot_prc_med, cot_prc_mediana) VALUES (2421, 98, 31,  80.00,  80.00,  90.00,  83.33,  80.00);</v>
      </c>
      <c r="J2422" s="0" t="str">
        <f aca="false">"UPDATE COTACAO SET cot_id = "&amp;A2422&amp;", cot_blt_id = "&amp;B2422&amp;", cot_pap_id = "&amp;C2422&amp;", cot_prc_comum = "&amp;D2422&amp;", cot_prc_min = "&amp;E2422&amp;", cot_prc_max = "&amp;F2422&amp;", cot_prc_med = "&amp;G2422&amp;", cot_prc_mediana = "&amp;H2422&amp;" WHERE cot_id = "&amp;A2422&amp;";"</f>
        <v>UPDATE COTACAO SET cot_id = 2421, cot_blt_id = 98, cot_pap_id = 31, cot_prc_comum =  80.00, cot_prc_min =  80.00, cot_prc_max =  90.00, cot_prc_med =  83.33, cot_prc_mediana =  80.00 WHERE cot_id = 2421;</v>
      </c>
    </row>
    <row r="2423" customFormat="false" ht="14.25" hidden="false" customHeight="false" outlineLevel="0" collapsed="false">
      <c r="A2423" s="0" t="n">
        <v>2422</v>
      </c>
      <c r="B2423" s="0" t="n">
        <f aca="false">IF('Boletins Nuppa Site'!A2423&lt;&gt;0,'Boletins Nuppa Site'!A2423,"NULL")</f>
        <v>98</v>
      </c>
      <c r="C2423" s="0" t="n">
        <v>32</v>
      </c>
      <c r="D2423" s="0" t="str">
        <f aca="false">IF('Boletins Nuppa Site'!G2423&lt;&gt;0,'Boletins Nuppa Site'!G2423,"NULL")</f>
        <v>NULL</v>
      </c>
      <c r="E2423" s="30" t="str">
        <f aca="false">IF('Boletins Nuppa Site'!H2423&lt;&gt;0,'Boletins Nuppa Site'!H2423,"NULL")</f>
        <v> 30.00</v>
      </c>
      <c r="F2423" s="30" t="str">
        <f aca="false">IF('Boletins Nuppa Site'!I2423&lt;&gt;0,'Boletins Nuppa Site'!I2423,"NULL")</f>
        <v> 75.00</v>
      </c>
      <c r="G2423" s="30" t="str">
        <f aca="false">IF('Boletins Nuppa Site'!J2423&lt;&gt;0,'Boletins Nuppa Site'!J2423,"NULL")</f>
        <v> 50.00</v>
      </c>
      <c r="H2423" s="30" t="str">
        <f aca="false">IF('Boletins Nuppa Site'!K2423&lt;&gt;0,'Boletins Nuppa Site'!K2423,"NULL")</f>
        <v> 45.00</v>
      </c>
      <c r="I2423" s="0" t="str">
        <f aca="false">"INSERT INTO COTACAO (cot_id, cot_blt_id, cot_pap_id, cot_prc_comum, cot_prc_min, cot_prc_max, cot_prc_med, cot_prc_mediana) VALUES ("&amp;A2423&amp;", "&amp;B2423&amp;", "&amp;C2423&amp;", "&amp;D2423&amp;", "&amp;E2423&amp;", "&amp;F2423&amp;", "&amp;G2423&amp;", "&amp;H2423&amp;");"</f>
        <v>INSERT INTO COTACAO (cot_id, cot_blt_id, cot_pap_id, cot_prc_comum, cot_prc_min, cot_prc_max, cot_prc_med, cot_prc_mediana) VALUES (2422, 98, 32, NULL,  30.00,  75.00,  50.00,  45.00);</v>
      </c>
      <c r="J2423" s="0" t="str">
        <f aca="false">"UPDATE COTACAO SET cot_id = "&amp;A2423&amp;", cot_blt_id = "&amp;B2423&amp;", cot_pap_id = "&amp;C2423&amp;", cot_prc_comum = "&amp;D2423&amp;", cot_prc_min = "&amp;E2423&amp;", cot_prc_max = "&amp;F2423&amp;", cot_prc_med = "&amp;G2423&amp;", cot_prc_mediana = "&amp;H2423&amp;" WHERE cot_id = "&amp;A2423&amp;";"</f>
        <v>UPDATE COTACAO SET cot_id = 2422, cot_blt_id = 98, cot_pap_id = 32, cot_prc_comum = NULL, cot_prc_min =  30.00, cot_prc_max =  75.00, cot_prc_med =  50.00, cot_prc_mediana =  45.00 WHERE cot_id = 2422;</v>
      </c>
    </row>
    <row r="2424" customFormat="false" ht="14.25" hidden="false" customHeight="false" outlineLevel="0" collapsed="false">
      <c r="A2424" s="0" t="n">
        <v>2423</v>
      </c>
      <c r="B2424" s="0" t="n">
        <f aca="false">IF('Boletins Nuppa Site'!A2424&lt;&gt;0,'Boletins Nuppa Site'!A2424,"NULL")</f>
        <v>98</v>
      </c>
      <c r="C2424" s="0" t="n">
        <v>33</v>
      </c>
      <c r="D2424" s="0" t="str">
        <f aca="false">IF('Boletins Nuppa Site'!G2424&lt;&gt;0,'Boletins Nuppa Site'!G2424,"NULL")</f>
        <v>NULL</v>
      </c>
      <c r="E2424" s="30" t="str">
        <f aca="false">IF('Boletins Nuppa Site'!H2424&lt;&gt;0,'Boletins Nuppa Site'!H2424,"NULL")</f>
        <v> 90.00</v>
      </c>
      <c r="F2424" s="30" t="str">
        <f aca="false">IF('Boletins Nuppa Site'!I2424&lt;&gt;0,'Boletins Nuppa Site'!I2424,"NULL")</f>
        <v> 130.00</v>
      </c>
      <c r="G2424" s="30" t="str">
        <f aca="false">IF('Boletins Nuppa Site'!J2424&lt;&gt;0,'Boletins Nuppa Site'!J2424,"NULL")</f>
        <v> 106.67</v>
      </c>
      <c r="H2424" s="30" t="str">
        <f aca="false">IF('Boletins Nuppa Site'!K2424&lt;&gt;0,'Boletins Nuppa Site'!K2424,"NULL")</f>
        <v> 100.00</v>
      </c>
      <c r="I2424" s="0" t="str">
        <f aca="false">"INSERT INTO COTACAO (cot_id, cot_blt_id, cot_pap_id, cot_prc_comum, cot_prc_min, cot_prc_max, cot_prc_med, cot_prc_mediana) VALUES ("&amp;A2424&amp;", "&amp;B2424&amp;", "&amp;C2424&amp;", "&amp;D2424&amp;", "&amp;E2424&amp;", "&amp;F2424&amp;", "&amp;G2424&amp;", "&amp;H2424&amp;");"</f>
        <v>INSERT INTO COTACAO (cot_id, cot_blt_id, cot_pap_id, cot_prc_comum, cot_prc_min, cot_prc_max, cot_prc_med, cot_prc_mediana) VALUES (2423, 98, 33, NULL,  90.00,  130.00,  106.67,  100.00);</v>
      </c>
      <c r="J2424" s="0" t="str">
        <f aca="false">"UPDATE COTACAO SET cot_id = "&amp;A2424&amp;", cot_blt_id = "&amp;B2424&amp;", cot_pap_id = "&amp;C2424&amp;", cot_prc_comum = "&amp;D2424&amp;", cot_prc_min = "&amp;E2424&amp;", cot_prc_max = "&amp;F2424&amp;", cot_prc_med = "&amp;G2424&amp;", cot_prc_mediana = "&amp;H2424&amp;" WHERE cot_id = "&amp;A2424&amp;";"</f>
        <v>UPDATE COTACAO SET cot_id = 2423, cot_blt_id = 98, cot_pap_id = 33, cot_prc_comum = NULL, cot_prc_min =  90.00, cot_prc_max =  130.00, cot_prc_med =  106.67, cot_prc_mediana =  100.00 WHERE cot_id = 2423;</v>
      </c>
    </row>
    <row r="2425" customFormat="false" ht="14.25" hidden="false" customHeight="false" outlineLevel="0" collapsed="false">
      <c r="A2425" s="0" t="n">
        <v>2424</v>
      </c>
      <c r="B2425" s="0" t="n">
        <f aca="false">IF('Boletins Nuppa Site'!A2425&lt;&gt;0,'Boletins Nuppa Site'!A2425,"NULL")</f>
        <v>98</v>
      </c>
      <c r="C2425" s="0" t="n">
        <v>34</v>
      </c>
      <c r="D2425" s="0" t="str">
        <f aca="false">IF('Boletins Nuppa Site'!G2425&lt;&gt;0,'Boletins Nuppa Site'!G2425,"NULL")</f>
        <v>NULL</v>
      </c>
      <c r="E2425" s="30" t="str">
        <f aca="false">IF('Boletins Nuppa Site'!H2425&lt;&gt;0,'Boletins Nuppa Site'!H2425,"NULL")</f>
        <v> 100.00</v>
      </c>
      <c r="F2425" s="30" t="str">
        <f aca="false">IF('Boletins Nuppa Site'!I2425&lt;&gt;0,'Boletins Nuppa Site'!I2425,"NULL")</f>
        <v> 170.00</v>
      </c>
      <c r="G2425" s="30" t="str">
        <f aca="false">IF('Boletins Nuppa Site'!J2425&lt;&gt;0,'Boletins Nuppa Site'!J2425,"NULL")</f>
        <v> 126.67</v>
      </c>
      <c r="H2425" s="30" t="str">
        <f aca="false">IF('Boletins Nuppa Site'!K2425&lt;&gt;0,'Boletins Nuppa Site'!K2425,"NULL")</f>
        <v> 110.00</v>
      </c>
      <c r="I2425" s="0" t="str">
        <f aca="false">"INSERT INTO COTACAO (cot_id, cot_blt_id, cot_pap_id, cot_prc_comum, cot_prc_min, cot_prc_max, cot_prc_med, cot_prc_mediana) VALUES ("&amp;A2425&amp;", "&amp;B2425&amp;", "&amp;C2425&amp;", "&amp;D2425&amp;", "&amp;E2425&amp;", "&amp;F2425&amp;", "&amp;G2425&amp;", "&amp;H2425&amp;");"</f>
        <v>INSERT INTO COTACAO (cot_id, cot_blt_id, cot_pap_id, cot_prc_comum, cot_prc_min, cot_prc_max, cot_prc_med, cot_prc_mediana) VALUES (2424, 98, 34, NULL,  100.00,  170.00,  126.67,  110.00);</v>
      </c>
      <c r="J2425" s="0" t="str">
        <f aca="false">"UPDATE COTACAO SET cot_id = "&amp;A2425&amp;", cot_blt_id = "&amp;B2425&amp;", cot_pap_id = "&amp;C2425&amp;", cot_prc_comum = "&amp;D2425&amp;", cot_prc_min = "&amp;E2425&amp;", cot_prc_max = "&amp;F2425&amp;", cot_prc_med = "&amp;G2425&amp;", cot_prc_mediana = "&amp;H2425&amp;" WHERE cot_id = "&amp;A2425&amp;";"</f>
        <v>UPDATE COTACAO SET cot_id = 2424, cot_blt_id = 98, cot_pap_id = 34, cot_prc_comum = NULL, cot_prc_min =  100.00, cot_prc_max =  170.00, cot_prc_med =  126.67, cot_prc_mediana =  110.00 WHERE cot_id = 2424;</v>
      </c>
    </row>
    <row r="2426" customFormat="false" ht="14.25" hidden="false" customHeight="false" outlineLevel="0" collapsed="false">
      <c r="A2426" s="0" t="n">
        <v>2425</v>
      </c>
      <c r="B2426" s="0" t="n">
        <f aca="false">IF('Boletins Nuppa Site'!A2426&lt;&gt;0,'Boletins Nuppa Site'!A2426,"NULL")</f>
        <v>98</v>
      </c>
      <c r="C2426" s="0" t="n">
        <v>35</v>
      </c>
      <c r="D2426" s="0" t="str">
        <f aca="false">IF('Boletins Nuppa Site'!G2426&lt;&gt;0,'Boletins Nuppa Site'!G2426,"NULL")</f>
        <v>NULL</v>
      </c>
      <c r="E2426" s="30" t="str">
        <f aca="false">IF('Boletins Nuppa Site'!H2426&lt;&gt;0,'Boletins Nuppa Site'!H2426,"NULL")</f>
        <v> 150.00</v>
      </c>
      <c r="F2426" s="30" t="str">
        <f aca="false">IF('Boletins Nuppa Site'!I2426&lt;&gt;0,'Boletins Nuppa Site'!I2426,"NULL")</f>
        <v> 150.00</v>
      </c>
      <c r="G2426" s="30" t="str">
        <f aca="false">IF('Boletins Nuppa Site'!J2426&lt;&gt;0,'Boletins Nuppa Site'!J2426,"NULL")</f>
        <v> 150.00</v>
      </c>
      <c r="H2426" s="30" t="str">
        <f aca="false">IF('Boletins Nuppa Site'!K2426&lt;&gt;0,'Boletins Nuppa Site'!K2426,"NULL")</f>
        <v> 150.00</v>
      </c>
      <c r="I2426" s="0" t="str">
        <f aca="false">"INSERT INTO COTACAO (cot_id, cot_blt_id, cot_pap_id, cot_prc_comum, cot_prc_min, cot_prc_max, cot_prc_med, cot_prc_mediana) VALUES ("&amp;A2426&amp;", "&amp;B2426&amp;", "&amp;C2426&amp;", "&amp;D2426&amp;", "&amp;E2426&amp;", "&amp;F2426&amp;", "&amp;G2426&amp;", "&amp;H2426&amp;");"</f>
        <v>INSERT INTO COTACAO (cot_id, cot_blt_id, cot_pap_id, cot_prc_comum, cot_prc_min, cot_prc_max, cot_prc_med, cot_prc_mediana) VALUES (2425, 98, 35, NULL,  150.00,  150.00,  150.00,  150.00);</v>
      </c>
      <c r="J2426" s="0" t="str">
        <f aca="false">"UPDATE COTACAO SET cot_id = "&amp;A2426&amp;", cot_blt_id = "&amp;B2426&amp;", cot_pap_id = "&amp;C2426&amp;", cot_prc_comum = "&amp;D2426&amp;", cot_prc_min = "&amp;E2426&amp;", cot_prc_max = "&amp;F2426&amp;", cot_prc_med = "&amp;G2426&amp;", cot_prc_mediana = "&amp;H2426&amp;" WHERE cot_id = "&amp;A2426&amp;";"</f>
        <v>UPDATE COTACAO SET cot_id = 2425, cot_blt_id = 98, cot_pap_id = 35, cot_prc_comum = NULL, cot_prc_min =  150.00, cot_prc_max =  150.00, cot_prc_med =  150.00, cot_prc_mediana =  150.00 WHERE cot_id = 2425;</v>
      </c>
    </row>
    <row r="2427" customFormat="false" ht="14.25" hidden="false" customHeight="false" outlineLevel="0" collapsed="false">
      <c r="A2427" s="0" t="n">
        <v>2426</v>
      </c>
      <c r="B2427" s="0" t="n">
        <f aca="false">IF('Boletins Nuppa Site'!A2427&lt;&gt;0,'Boletins Nuppa Site'!A2427,"NULL")</f>
        <v>98</v>
      </c>
      <c r="C2427" s="0" t="n">
        <v>36</v>
      </c>
      <c r="D2427" s="0" t="str">
        <f aca="false">IF('Boletins Nuppa Site'!G2427&lt;&gt;0,'Boletins Nuppa Site'!G2427,"NULL")</f>
        <v>NULL</v>
      </c>
      <c r="E2427" s="30" t="str">
        <f aca="false">IF('Boletins Nuppa Site'!H2427&lt;&gt;0,'Boletins Nuppa Site'!H2427,"NULL")</f>
        <v>NULL</v>
      </c>
      <c r="F2427" s="30" t="str">
        <f aca="false">IF('Boletins Nuppa Site'!I2427&lt;&gt;0,'Boletins Nuppa Site'!I2427,"NULL")</f>
        <v>NULL</v>
      </c>
      <c r="G2427" s="30" t="str">
        <f aca="false">IF('Boletins Nuppa Site'!J2427&lt;&gt;0,'Boletins Nuppa Site'!J2427,"NULL")</f>
        <v>NULL</v>
      </c>
      <c r="H2427" s="30" t="str">
        <f aca="false">IF('Boletins Nuppa Site'!K2427&lt;&gt;0,'Boletins Nuppa Site'!K2427,"NULL")</f>
        <v>NULL</v>
      </c>
      <c r="I2427" s="0" t="str">
        <f aca="false">"INSERT INTO COTACAO (cot_id, cot_blt_id, cot_pap_id, cot_prc_comum, cot_prc_min, cot_prc_max, cot_prc_med, cot_prc_mediana) VALUES ("&amp;A2427&amp;", "&amp;B2427&amp;", "&amp;C2427&amp;", "&amp;D2427&amp;", "&amp;E2427&amp;", "&amp;F2427&amp;", "&amp;G2427&amp;", "&amp;H2427&amp;");"</f>
        <v>INSERT INTO COTACAO (cot_id, cot_blt_id, cot_pap_id, cot_prc_comum, cot_prc_min, cot_prc_max, cot_prc_med, cot_prc_mediana) VALUES (2426, 98, 36, NULL, NULL, NULL, NULL, NULL);</v>
      </c>
      <c r="J2427" s="0" t="str">
        <f aca="false">"UPDATE COTACAO SET cot_id = "&amp;A2427&amp;", cot_blt_id = "&amp;B2427&amp;", cot_pap_id = "&amp;C2427&amp;", cot_prc_comum = "&amp;D2427&amp;", cot_prc_min = "&amp;E2427&amp;", cot_prc_max = "&amp;F2427&amp;", cot_prc_med = "&amp;G2427&amp;", cot_prc_mediana = "&amp;H2427&amp;" WHERE cot_id = "&amp;A2427&amp;";"</f>
        <v>UPDATE COTACAO SET cot_id = 2426, cot_blt_id = 98, cot_pap_id = 36, cot_prc_comum = NULL, cot_prc_min = NULL, cot_prc_max = NULL, cot_prc_med = NULL, cot_prc_mediana = NULL WHERE cot_id = 2426;</v>
      </c>
    </row>
    <row r="2428" customFormat="false" ht="14.25" hidden="false" customHeight="false" outlineLevel="0" collapsed="false">
      <c r="A2428" s="0" t="n">
        <v>2427</v>
      </c>
      <c r="B2428" s="0" t="n">
        <f aca="false">IF('Boletins Nuppa Site'!A2428&lt;&gt;0,'Boletins Nuppa Site'!A2428,"NULL")</f>
        <v>98</v>
      </c>
      <c r="C2428" s="0" t="n">
        <v>37</v>
      </c>
      <c r="D2428" s="0" t="str">
        <f aca="false">IF('Boletins Nuppa Site'!G2428&lt;&gt;0,'Boletins Nuppa Site'!G2428,"NULL")</f>
        <v>NULL</v>
      </c>
      <c r="E2428" s="30" t="str">
        <f aca="false">IF('Boletins Nuppa Site'!H2428&lt;&gt;0,'Boletins Nuppa Site'!H2428,"NULL")</f>
        <v>NULL</v>
      </c>
      <c r="F2428" s="30" t="str">
        <f aca="false">IF('Boletins Nuppa Site'!I2428&lt;&gt;0,'Boletins Nuppa Site'!I2428,"NULL")</f>
        <v>NULL</v>
      </c>
      <c r="G2428" s="30" t="str">
        <f aca="false">IF('Boletins Nuppa Site'!J2428&lt;&gt;0,'Boletins Nuppa Site'!J2428,"NULL")</f>
        <v>NULL</v>
      </c>
      <c r="H2428" s="30" t="str">
        <f aca="false">IF('Boletins Nuppa Site'!K2428&lt;&gt;0,'Boletins Nuppa Site'!K2428,"NULL")</f>
        <v>NULL</v>
      </c>
      <c r="I2428" s="0" t="str">
        <f aca="false">"INSERT INTO COTACAO (cot_id, cot_blt_id, cot_pap_id, cot_prc_comum, cot_prc_min, cot_prc_max, cot_prc_med, cot_prc_mediana) VALUES ("&amp;A2428&amp;", "&amp;B2428&amp;", "&amp;C2428&amp;", "&amp;D2428&amp;", "&amp;E2428&amp;", "&amp;F2428&amp;", "&amp;G2428&amp;", "&amp;H2428&amp;");"</f>
        <v>INSERT INTO COTACAO (cot_id, cot_blt_id, cot_pap_id, cot_prc_comum, cot_prc_min, cot_prc_max, cot_prc_med, cot_prc_mediana) VALUES (2427, 98, 37, NULL, NULL, NULL, NULL, NULL);</v>
      </c>
      <c r="J2428" s="0" t="str">
        <f aca="false">"UPDATE COTACAO SET cot_id = "&amp;A2428&amp;", cot_blt_id = "&amp;B2428&amp;", cot_pap_id = "&amp;C2428&amp;", cot_prc_comum = "&amp;D2428&amp;", cot_prc_min = "&amp;E2428&amp;", cot_prc_max = "&amp;F2428&amp;", cot_prc_med = "&amp;G2428&amp;", cot_prc_mediana = "&amp;H2428&amp;" WHERE cot_id = "&amp;A2428&amp;";"</f>
        <v>UPDATE COTACAO SET cot_id = 2427, cot_blt_id = 98, cot_pap_id = 37, cot_prc_comum = NULL, cot_prc_min = NULL, cot_prc_max = NULL, cot_prc_med = NULL, cot_prc_mediana = NULL WHERE cot_id = 2427;</v>
      </c>
    </row>
    <row r="2429" customFormat="false" ht="14.25" hidden="false" customHeight="false" outlineLevel="0" collapsed="false">
      <c r="A2429" s="0" t="n">
        <v>2428</v>
      </c>
      <c r="B2429" s="0" t="n">
        <f aca="false">IF('Boletins Nuppa Site'!A2429&lt;&gt;0,'Boletins Nuppa Site'!A2429,"NULL")</f>
        <v>98</v>
      </c>
      <c r="C2429" s="0" t="n">
        <v>38</v>
      </c>
      <c r="D2429" s="0" t="str">
        <f aca="false">IF('Boletins Nuppa Site'!G2429&lt;&gt;0,'Boletins Nuppa Site'!G2429,"NULL")</f>
        <v>NULL</v>
      </c>
      <c r="E2429" s="30" t="str">
        <f aca="false">IF('Boletins Nuppa Site'!H2429&lt;&gt;0,'Boletins Nuppa Site'!H2429,"NULL")</f>
        <v>NULL</v>
      </c>
      <c r="F2429" s="30" t="str">
        <f aca="false">IF('Boletins Nuppa Site'!I2429&lt;&gt;0,'Boletins Nuppa Site'!I2429,"NULL")</f>
        <v>NULL</v>
      </c>
      <c r="G2429" s="30" t="str">
        <f aca="false">IF('Boletins Nuppa Site'!J2429&lt;&gt;0,'Boletins Nuppa Site'!J2429,"NULL")</f>
        <v>NULL</v>
      </c>
      <c r="H2429" s="30" t="str">
        <f aca="false">IF('Boletins Nuppa Site'!K2429&lt;&gt;0,'Boletins Nuppa Site'!K2429,"NULL")</f>
        <v>NULL</v>
      </c>
      <c r="I2429" s="0" t="str">
        <f aca="false">"INSERT INTO COTACAO (cot_id, cot_blt_id, cot_pap_id, cot_prc_comum, cot_prc_min, cot_prc_max, cot_prc_med, cot_prc_mediana) VALUES ("&amp;A2429&amp;", "&amp;B2429&amp;", "&amp;C2429&amp;", "&amp;D2429&amp;", "&amp;E2429&amp;", "&amp;F2429&amp;", "&amp;G2429&amp;", "&amp;H2429&amp;");"</f>
        <v>INSERT INTO COTACAO (cot_id, cot_blt_id, cot_pap_id, cot_prc_comum, cot_prc_min, cot_prc_max, cot_prc_med, cot_prc_mediana) VALUES (2428, 98, 38, NULL, NULL, NULL, NULL, NULL);</v>
      </c>
      <c r="J2429" s="0" t="str">
        <f aca="false">"UPDATE COTACAO SET cot_id = "&amp;A2429&amp;", cot_blt_id = "&amp;B2429&amp;", cot_pap_id = "&amp;C2429&amp;", cot_prc_comum = "&amp;D2429&amp;", cot_prc_min = "&amp;E2429&amp;", cot_prc_max = "&amp;F2429&amp;", cot_prc_med = "&amp;G2429&amp;", cot_prc_mediana = "&amp;H2429&amp;" WHERE cot_id = "&amp;A2429&amp;";"</f>
        <v>UPDATE COTACAO SET cot_id = 2428, cot_blt_id = 98, cot_pap_id = 38, cot_prc_comum = NULL, cot_prc_min = NULL, cot_prc_max = NULL, cot_prc_med = NULL, cot_prc_mediana = NULL WHERE cot_id = 2428;</v>
      </c>
    </row>
    <row r="2430" customFormat="false" ht="14.25" hidden="false" customHeight="false" outlineLevel="0" collapsed="false">
      <c r="A2430" s="0" t="n">
        <v>2429</v>
      </c>
      <c r="B2430" s="0" t="n">
        <f aca="false">IF('Boletins Nuppa Site'!A2430&lt;&gt;0,'Boletins Nuppa Site'!A2430,"NULL")</f>
        <v>98</v>
      </c>
      <c r="C2430" s="0" t="n">
        <v>39</v>
      </c>
      <c r="D2430" s="0" t="str">
        <f aca="false">IF('Boletins Nuppa Site'!G2430&lt;&gt;0,'Boletins Nuppa Site'!G2430,"NULL")</f>
        <v>NULL</v>
      </c>
      <c r="E2430" s="30" t="str">
        <f aca="false">IF('Boletins Nuppa Site'!H2430&lt;&gt;0,'Boletins Nuppa Site'!H2430,"NULL")</f>
        <v>NULL</v>
      </c>
      <c r="F2430" s="30" t="str">
        <f aca="false">IF('Boletins Nuppa Site'!I2430&lt;&gt;0,'Boletins Nuppa Site'!I2430,"NULL")</f>
        <v>NULL</v>
      </c>
      <c r="G2430" s="30" t="str">
        <f aca="false">IF('Boletins Nuppa Site'!J2430&lt;&gt;0,'Boletins Nuppa Site'!J2430,"NULL")</f>
        <v>NULL</v>
      </c>
      <c r="H2430" s="30" t="str">
        <f aca="false">IF('Boletins Nuppa Site'!K2430&lt;&gt;0,'Boletins Nuppa Site'!K2430,"NULL")</f>
        <v>NULL</v>
      </c>
      <c r="I2430" s="0" t="str">
        <f aca="false">"INSERT INTO COTACAO (cot_id, cot_blt_id, cot_pap_id, cot_prc_comum, cot_prc_min, cot_prc_max, cot_prc_med, cot_prc_mediana) VALUES ("&amp;A2430&amp;", "&amp;B2430&amp;", "&amp;C2430&amp;", "&amp;D2430&amp;", "&amp;E2430&amp;", "&amp;F2430&amp;", "&amp;G2430&amp;", "&amp;H2430&amp;");"</f>
        <v>INSERT INTO COTACAO (cot_id, cot_blt_id, cot_pap_id, cot_prc_comum, cot_prc_min, cot_prc_max, cot_prc_med, cot_prc_mediana) VALUES (2429, 98, 39, NULL, NULL, NULL, NULL, NULL);</v>
      </c>
      <c r="J2430" s="0" t="str">
        <f aca="false">"UPDATE COTACAO SET cot_id = "&amp;A2430&amp;", cot_blt_id = "&amp;B2430&amp;", cot_pap_id = "&amp;C2430&amp;", cot_prc_comum = "&amp;D2430&amp;", cot_prc_min = "&amp;E2430&amp;", cot_prc_max = "&amp;F2430&amp;", cot_prc_med = "&amp;G2430&amp;", cot_prc_mediana = "&amp;H2430&amp;" WHERE cot_id = "&amp;A2430&amp;";"</f>
        <v>UPDATE COTACAO SET cot_id = 2429, cot_blt_id = 98, cot_pap_id = 39, cot_prc_comum = NULL, cot_prc_min = NULL, cot_prc_max = NULL, cot_prc_med = NULL, cot_prc_mediana = NULL WHERE cot_id = 2429;</v>
      </c>
    </row>
    <row r="2431" customFormat="false" ht="14.25" hidden="false" customHeight="false" outlineLevel="0" collapsed="false">
      <c r="A2431" s="0" t="n">
        <v>2430</v>
      </c>
      <c r="B2431" s="0" t="n">
        <f aca="false">IF('Boletins Nuppa Site'!A2431&lt;&gt;0,'Boletins Nuppa Site'!A2431,"NULL")</f>
        <v>98</v>
      </c>
      <c r="C2431" s="0" t="n">
        <v>40</v>
      </c>
      <c r="D2431" s="0" t="str">
        <f aca="false">IF('Boletins Nuppa Site'!G2431&lt;&gt;0,'Boletins Nuppa Site'!G2431,"NULL")</f>
        <v>NULL</v>
      </c>
      <c r="E2431" s="30" t="str">
        <f aca="false">IF('Boletins Nuppa Site'!H2431&lt;&gt;0,'Boletins Nuppa Site'!H2431,"NULL")</f>
        <v>NULL</v>
      </c>
      <c r="F2431" s="30" t="str">
        <f aca="false">IF('Boletins Nuppa Site'!I2431&lt;&gt;0,'Boletins Nuppa Site'!I2431,"NULL")</f>
        <v>NULL</v>
      </c>
      <c r="G2431" s="30" t="str">
        <f aca="false">IF('Boletins Nuppa Site'!J2431&lt;&gt;0,'Boletins Nuppa Site'!J2431,"NULL")</f>
        <v>NULL</v>
      </c>
      <c r="H2431" s="30" t="str">
        <f aca="false">IF('Boletins Nuppa Site'!K2431&lt;&gt;0,'Boletins Nuppa Site'!K2431,"NULL")</f>
        <v>NULL</v>
      </c>
      <c r="I2431" s="0" t="str">
        <f aca="false">"INSERT INTO COTACAO (cot_id, cot_blt_id, cot_pap_id, cot_prc_comum, cot_prc_min, cot_prc_max, cot_prc_med, cot_prc_mediana) VALUES ("&amp;A2431&amp;", "&amp;B2431&amp;", "&amp;C2431&amp;", "&amp;D2431&amp;", "&amp;E2431&amp;", "&amp;F2431&amp;", "&amp;G2431&amp;", "&amp;H2431&amp;");"</f>
        <v>INSERT INTO COTACAO (cot_id, cot_blt_id, cot_pap_id, cot_prc_comum, cot_prc_min, cot_prc_max, cot_prc_med, cot_prc_mediana) VALUES (2430, 98, 40, NULL, NULL, NULL, NULL, NULL);</v>
      </c>
      <c r="J2431" s="0" t="str">
        <f aca="false">"UPDATE COTACAO SET cot_id = "&amp;A2431&amp;", cot_blt_id = "&amp;B2431&amp;", cot_pap_id = "&amp;C2431&amp;", cot_prc_comum = "&amp;D2431&amp;", cot_prc_min = "&amp;E2431&amp;", cot_prc_max = "&amp;F2431&amp;", cot_prc_med = "&amp;G2431&amp;", cot_prc_mediana = "&amp;H2431&amp;" WHERE cot_id = "&amp;A2431&amp;";"</f>
        <v>UPDATE COTACAO SET cot_id = 2430, cot_blt_id = 98, cot_pap_id = 40, cot_prc_comum = NULL, cot_prc_min = NULL, cot_prc_max = NULL, cot_prc_med = NULL, cot_prc_mediana = NULL WHERE cot_id = 2430;</v>
      </c>
    </row>
    <row r="2432" customFormat="false" ht="14.25" hidden="false" customHeight="false" outlineLevel="0" collapsed="false">
      <c r="A2432" s="0" t="n">
        <v>2431</v>
      </c>
      <c r="B2432" s="0" t="n">
        <f aca="false">IF('Boletins Nuppa Site'!A2432&lt;&gt;0,'Boletins Nuppa Site'!A2432,"NULL")</f>
        <v>99</v>
      </c>
      <c r="C2432" s="0" t="n">
        <v>1</v>
      </c>
      <c r="D2432" s="0" t="str">
        <f aca="false">IF('Boletins Nuppa Site'!G2432&lt;&gt;0,'Boletins Nuppa Site'!G2432,"NULL")</f>
        <v>NULL</v>
      </c>
      <c r="E2432" s="30" t="str">
        <f aca="false">IF('Boletins Nuppa Site'!H2432&lt;&gt;0,'Boletins Nuppa Site'!H2432,"NULL")</f>
        <v> 60.00</v>
      </c>
      <c r="F2432" s="30" t="str">
        <f aca="false">IF('Boletins Nuppa Site'!I2432&lt;&gt;0,'Boletins Nuppa Site'!I2432,"NULL")</f>
        <v> 72.00</v>
      </c>
      <c r="G2432" s="30" t="str">
        <f aca="false">IF('Boletins Nuppa Site'!J2432&lt;&gt;0,'Boletins Nuppa Site'!J2432,"NULL")</f>
        <v> 67.33</v>
      </c>
      <c r="H2432" s="30" t="str">
        <f aca="false">IF('Boletins Nuppa Site'!K2432&lt;&gt;0,'Boletins Nuppa Site'!K2432,"NULL")</f>
        <v> 70.00</v>
      </c>
      <c r="I2432" s="0" t="str">
        <f aca="false">"INSERT INTO COTACAO (cot_id, cot_blt_id, cot_pap_id, cot_prc_comum, cot_prc_min, cot_prc_max, cot_prc_med, cot_prc_mediana) VALUES ("&amp;A2432&amp;", "&amp;B2432&amp;", "&amp;C2432&amp;", "&amp;D2432&amp;", "&amp;E2432&amp;", "&amp;F2432&amp;", "&amp;G2432&amp;", "&amp;H2432&amp;");"</f>
        <v>INSERT INTO COTACAO (cot_id, cot_blt_id, cot_pap_id, cot_prc_comum, cot_prc_min, cot_prc_max, cot_prc_med, cot_prc_mediana) VALUES (2431, 99, 1, NULL,  60.00,  72.00,  67.33,  70.00);</v>
      </c>
      <c r="J2432" s="0" t="str">
        <f aca="false">"UPDATE COTACAO SET cot_id = "&amp;A2432&amp;", cot_blt_id = "&amp;B2432&amp;", cot_pap_id = "&amp;C2432&amp;", cot_prc_comum = "&amp;D2432&amp;", cot_prc_min = "&amp;E2432&amp;", cot_prc_max = "&amp;F2432&amp;", cot_prc_med = "&amp;G2432&amp;", cot_prc_mediana = "&amp;H2432&amp;" WHERE cot_id = "&amp;A2432&amp;";"</f>
        <v>UPDATE COTACAO SET cot_id = 2431, cot_blt_id = 99, cot_pap_id = 1, cot_prc_comum = NULL, cot_prc_min =  60.00, cot_prc_max =  72.00, cot_prc_med =  67.33, cot_prc_mediana =  70.00 WHERE cot_id = 2431;</v>
      </c>
    </row>
    <row r="2433" customFormat="false" ht="14.25" hidden="false" customHeight="false" outlineLevel="0" collapsed="false">
      <c r="A2433" s="0" t="n">
        <v>2432</v>
      </c>
      <c r="B2433" s="0" t="n">
        <f aca="false">IF('Boletins Nuppa Site'!A2433&lt;&gt;0,'Boletins Nuppa Site'!A2433,"NULL")</f>
        <v>99</v>
      </c>
      <c r="C2433" s="0" t="n">
        <v>2</v>
      </c>
      <c r="D2433" s="0" t="str">
        <f aca="false">IF('Boletins Nuppa Site'!G2433&lt;&gt;0,'Boletins Nuppa Site'!G2433,"NULL")</f>
        <v> 96.00</v>
      </c>
      <c r="E2433" s="30" t="str">
        <f aca="false">IF('Boletins Nuppa Site'!H2433&lt;&gt;0,'Boletins Nuppa Site'!H2433,"NULL")</f>
        <v> 96.00</v>
      </c>
      <c r="F2433" s="30" t="str">
        <f aca="false">IF('Boletins Nuppa Site'!I2433&lt;&gt;0,'Boletins Nuppa Site'!I2433,"NULL")</f>
        <v> 96.00</v>
      </c>
      <c r="G2433" s="30" t="str">
        <f aca="false">IF('Boletins Nuppa Site'!J2433&lt;&gt;0,'Boletins Nuppa Site'!J2433,"NULL")</f>
        <v> 96.00</v>
      </c>
      <c r="H2433" s="30" t="str">
        <f aca="false">IF('Boletins Nuppa Site'!K2433&lt;&gt;0,'Boletins Nuppa Site'!K2433,"NULL")</f>
        <v> 96.00</v>
      </c>
      <c r="I2433" s="0" t="str">
        <f aca="false">"INSERT INTO COTACAO (cot_id, cot_blt_id, cot_pap_id, cot_prc_comum, cot_prc_min, cot_prc_max, cot_prc_med, cot_prc_mediana) VALUES ("&amp;A2433&amp;", "&amp;B2433&amp;", "&amp;C2433&amp;", "&amp;D2433&amp;", "&amp;E2433&amp;", "&amp;F2433&amp;", "&amp;G2433&amp;", "&amp;H2433&amp;");"</f>
        <v>INSERT INTO COTACAO (cot_id, cot_blt_id, cot_pap_id, cot_prc_comum, cot_prc_min, cot_prc_max, cot_prc_med, cot_prc_mediana) VALUES (2432, 99, 2,  96.00,  96.00,  96.00,  96.00,  96.00);</v>
      </c>
      <c r="J2433" s="0" t="str">
        <f aca="false">"UPDATE COTACAO SET cot_id = "&amp;A2433&amp;", cot_blt_id = "&amp;B2433&amp;", cot_pap_id = "&amp;C2433&amp;", cot_prc_comum = "&amp;D2433&amp;", cot_prc_min = "&amp;E2433&amp;", cot_prc_max = "&amp;F2433&amp;", cot_prc_med = "&amp;G2433&amp;", cot_prc_mediana = "&amp;H2433&amp;" WHERE cot_id = "&amp;A2433&amp;";"</f>
        <v>UPDATE COTACAO SET cot_id = 2432, cot_blt_id = 99, cot_pap_id = 2, cot_prc_comum =  96.00, cot_prc_min =  96.00, cot_prc_max =  96.00, cot_prc_med =  96.00, cot_prc_mediana =  96.00 WHERE cot_id = 2432;</v>
      </c>
    </row>
    <row r="2434" customFormat="false" ht="14.25" hidden="false" customHeight="false" outlineLevel="0" collapsed="false">
      <c r="A2434" s="0" t="n">
        <v>2433</v>
      </c>
      <c r="B2434" s="0" t="n">
        <f aca="false">IF('Boletins Nuppa Site'!A2434&lt;&gt;0,'Boletins Nuppa Site'!A2434,"NULL")</f>
        <v>99</v>
      </c>
      <c r="C2434" s="0" t="n">
        <v>3</v>
      </c>
      <c r="D2434" s="0" t="str">
        <f aca="false">IF('Boletins Nuppa Site'!G2434&lt;&gt;0,'Boletins Nuppa Site'!G2434,"NULL")</f>
        <v> 48.00</v>
      </c>
      <c r="E2434" s="30" t="str">
        <f aca="false">IF('Boletins Nuppa Site'!H2434&lt;&gt;0,'Boletins Nuppa Site'!H2434,"NULL")</f>
        <v> 48.00</v>
      </c>
      <c r="F2434" s="30" t="str">
        <f aca="false">IF('Boletins Nuppa Site'!I2434&lt;&gt;0,'Boletins Nuppa Site'!I2434,"NULL")</f>
        <v> 48.00</v>
      </c>
      <c r="G2434" s="30" t="str">
        <f aca="false">IF('Boletins Nuppa Site'!J2434&lt;&gt;0,'Boletins Nuppa Site'!J2434,"NULL")</f>
        <v> 48.00</v>
      </c>
      <c r="H2434" s="30" t="str">
        <f aca="false">IF('Boletins Nuppa Site'!K2434&lt;&gt;0,'Boletins Nuppa Site'!K2434,"NULL")</f>
        <v> 48.00</v>
      </c>
      <c r="I2434" s="0" t="str">
        <f aca="false">"INSERT INTO COTACAO (cot_id, cot_blt_id, cot_pap_id, cot_prc_comum, cot_prc_min, cot_prc_max, cot_prc_med, cot_prc_mediana) VALUES ("&amp;A2434&amp;", "&amp;B2434&amp;", "&amp;C2434&amp;", "&amp;D2434&amp;", "&amp;E2434&amp;", "&amp;F2434&amp;", "&amp;G2434&amp;", "&amp;H2434&amp;");"</f>
        <v>INSERT INTO COTACAO (cot_id, cot_blt_id, cot_pap_id, cot_prc_comum, cot_prc_min, cot_prc_max, cot_prc_med, cot_prc_mediana) VALUES (2433, 99, 3,  48.00,  48.00,  48.00,  48.00,  48.00);</v>
      </c>
      <c r="J2434" s="0" t="str">
        <f aca="false">"UPDATE COTACAO SET cot_id = "&amp;A2434&amp;", cot_blt_id = "&amp;B2434&amp;", cot_pap_id = "&amp;C2434&amp;", cot_prc_comum = "&amp;D2434&amp;", cot_prc_min = "&amp;E2434&amp;", cot_prc_max = "&amp;F2434&amp;", cot_prc_med = "&amp;G2434&amp;", cot_prc_mediana = "&amp;H2434&amp;" WHERE cot_id = "&amp;A2434&amp;";"</f>
        <v>UPDATE COTACAO SET cot_id = 2433, cot_blt_id = 99, cot_pap_id = 3, cot_prc_comum =  48.00, cot_prc_min =  48.00, cot_prc_max =  48.00, cot_prc_med =  48.00, cot_prc_mediana =  48.00 WHERE cot_id = 2433;</v>
      </c>
    </row>
    <row r="2435" customFormat="false" ht="14.25" hidden="false" customHeight="false" outlineLevel="0" collapsed="false">
      <c r="A2435" s="0" t="n">
        <v>2434</v>
      </c>
      <c r="B2435" s="0" t="n">
        <f aca="false">IF('Boletins Nuppa Site'!A2435&lt;&gt;0,'Boletins Nuppa Site'!A2435,"NULL")</f>
        <v>99</v>
      </c>
      <c r="C2435" s="0" t="n">
        <v>4</v>
      </c>
      <c r="D2435" s="0" t="str">
        <f aca="false">IF('Boletins Nuppa Site'!G2435&lt;&gt;0,'Boletins Nuppa Site'!G2435,"NULL")</f>
        <v> 30.00</v>
      </c>
      <c r="E2435" s="30" t="str">
        <f aca="false">IF('Boletins Nuppa Site'!H2435&lt;&gt;0,'Boletins Nuppa Site'!H2435,"NULL")</f>
        <v> 30.00</v>
      </c>
      <c r="F2435" s="30" t="str">
        <f aca="false">IF('Boletins Nuppa Site'!I2435&lt;&gt;0,'Boletins Nuppa Site'!I2435,"NULL")</f>
        <v> 30.00</v>
      </c>
      <c r="G2435" s="30" t="str">
        <f aca="false">IF('Boletins Nuppa Site'!J2435&lt;&gt;0,'Boletins Nuppa Site'!J2435,"NULL")</f>
        <v> 30.00</v>
      </c>
      <c r="H2435" s="30" t="str">
        <f aca="false">IF('Boletins Nuppa Site'!K2435&lt;&gt;0,'Boletins Nuppa Site'!K2435,"NULL")</f>
        <v> 30.00</v>
      </c>
      <c r="I2435" s="0" t="str">
        <f aca="false">"INSERT INTO COTACAO (cot_id, cot_blt_id, cot_pap_id, cot_prc_comum, cot_prc_min, cot_prc_max, cot_prc_med, cot_prc_mediana) VALUES ("&amp;A2435&amp;", "&amp;B2435&amp;", "&amp;C2435&amp;", "&amp;D2435&amp;", "&amp;E2435&amp;", "&amp;F2435&amp;", "&amp;G2435&amp;", "&amp;H2435&amp;");"</f>
        <v>INSERT INTO COTACAO (cot_id, cot_blt_id, cot_pap_id, cot_prc_comum, cot_prc_min, cot_prc_max, cot_prc_med, cot_prc_mediana) VALUES (2434, 99, 4,  30.00,  30.00,  30.00,  30.00,  30.00);</v>
      </c>
      <c r="J2435" s="0" t="str">
        <f aca="false">"UPDATE COTACAO SET cot_id = "&amp;A2435&amp;", cot_blt_id = "&amp;B2435&amp;", cot_pap_id = "&amp;C2435&amp;", cot_prc_comum = "&amp;D2435&amp;", cot_prc_min = "&amp;E2435&amp;", cot_prc_max = "&amp;F2435&amp;", cot_prc_med = "&amp;G2435&amp;", cot_prc_mediana = "&amp;H2435&amp;" WHERE cot_id = "&amp;A2435&amp;";"</f>
        <v>UPDATE COTACAO SET cot_id = 2434, cot_blt_id = 99, cot_pap_id = 4, cot_prc_comum =  30.00, cot_prc_min =  30.00, cot_prc_max =  30.00, cot_prc_med =  30.00, cot_prc_mediana =  30.00 WHERE cot_id = 2434;</v>
      </c>
    </row>
    <row r="2436" customFormat="false" ht="14.25" hidden="false" customHeight="false" outlineLevel="0" collapsed="false">
      <c r="A2436" s="0" t="n">
        <v>2435</v>
      </c>
      <c r="B2436" s="0" t="n">
        <f aca="false">IF('Boletins Nuppa Site'!A2436&lt;&gt;0,'Boletins Nuppa Site'!A2436,"NULL")</f>
        <v>99</v>
      </c>
      <c r="C2436" s="0" t="n">
        <v>5</v>
      </c>
      <c r="D2436" s="0" t="str">
        <f aca="false">IF('Boletins Nuppa Site'!G2436&lt;&gt;0,'Boletins Nuppa Site'!G2436,"NULL")</f>
        <v> 30.00</v>
      </c>
      <c r="E2436" s="30" t="str">
        <f aca="false">IF('Boletins Nuppa Site'!H2436&lt;&gt;0,'Boletins Nuppa Site'!H2436,"NULL")</f>
        <v> 30.00</v>
      </c>
      <c r="F2436" s="30" t="str">
        <f aca="false">IF('Boletins Nuppa Site'!I2436&lt;&gt;0,'Boletins Nuppa Site'!I2436,"NULL")</f>
        <v> 30.00</v>
      </c>
      <c r="G2436" s="30" t="str">
        <f aca="false">IF('Boletins Nuppa Site'!J2436&lt;&gt;0,'Boletins Nuppa Site'!J2436,"NULL")</f>
        <v> 30.00</v>
      </c>
      <c r="H2436" s="30" t="str">
        <f aca="false">IF('Boletins Nuppa Site'!K2436&lt;&gt;0,'Boletins Nuppa Site'!K2436,"NULL")</f>
        <v> 30.00</v>
      </c>
      <c r="I2436" s="0" t="str">
        <f aca="false">"INSERT INTO COTACAO (cot_id, cot_blt_id, cot_pap_id, cot_prc_comum, cot_prc_min, cot_prc_max, cot_prc_med, cot_prc_mediana) VALUES ("&amp;A2436&amp;", "&amp;B2436&amp;", "&amp;C2436&amp;", "&amp;D2436&amp;", "&amp;E2436&amp;", "&amp;F2436&amp;", "&amp;G2436&amp;", "&amp;H2436&amp;");"</f>
        <v>INSERT INTO COTACAO (cot_id, cot_blt_id, cot_pap_id, cot_prc_comum, cot_prc_min, cot_prc_max, cot_prc_med, cot_prc_mediana) VALUES (2435, 99, 5,  30.00,  30.00,  30.00,  30.00,  30.00);</v>
      </c>
      <c r="J2436" s="0" t="str">
        <f aca="false">"UPDATE COTACAO SET cot_id = "&amp;A2436&amp;", cot_blt_id = "&amp;B2436&amp;", cot_pap_id = "&amp;C2436&amp;", cot_prc_comum = "&amp;D2436&amp;", cot_prc_min = "&amp;E2436&amp;", cot_prc_max = "&amp;F2436&amp;", cot_prc_med = "&amp;G2436&amp;", cot_prc_mediana = "&amp;H2436&amp;" WHERE cot_id = "&amp;A2436&amp;";"</f>
        <v>UPDATE COTACAO SET cot_id = 2435, cot_blt_id = 99, cot_pap_id = 5, cot_prc_comum =  30.00, cot_prc_min =  30.00, cot_prc_max =  30.00, cot_prc_med =  30.00, cot_prc_mediana =  30.00 WHERE cot_id = 2435;</v>
      </c>
    </row>
    <row r="2437" customFormat="false" ht="14.25" hidden="false" customHeight="false" outlineLevel="0" collapsed="false">
      <c r="A2437" s="0" t="n">
        <v>2436</v>
      </c>
      <c r="B2437" s="0" t="n">
        <f aca="false">IF('Boletins Nuppa Site'!A2437&lt;&gt;0,'Boletins Nuppa Site'!A2437,"NULL")</f>
        <v>99</v>
      </c>
      <c r="C2437" s="0" t="n">
        <v>6</v>
      </c>
      <c r="D2437" s="0" t="str">
        <f aca="false">IF('Boletins Nuppa Site'!G2437&lt;&gt;0,'Boletins Nuppa Site'!G2437,"NULL")</f>
        <v>NULL</v>
      </c>
      <c r="E2437" s="30" t="str">
        <f aca="false">IF('Boletins Nuppa Site'!H2437&lt;&gt;0,'Boletins Nuppa Site'!H2437,"NULL")</f>
        <v> 66.00</v>
      </c>
      <c r="F2437" s="30" t="str">
        <f aca="false">IF('Boletins Nuppa Site'!I2437&lt;&gt;0,'Boletins Nuppa Site'!I2437,"NULL")</f>
        <v> 84.00</v>
      </c>
      <c r="G2437" s="30" t="str">
        <f aca="false">IF('Boletins Nuppa Site'!J2437&lt;&gt;0,'Boletins Nuppa Site'!J2437,"NULL")</f>
        <v> 75.00</v>
      </c>
      <c r="H2437" s="30" t="str">
        <f aca="false">IF('Boletins Nuppa Site'!K2437&lt;&gt;0,'Boletins Nuppa Site'!K2437,"NULL")</f>
        <v> 75.00</v>
      </c>
      <c r="I2437" s="0" t="str">
        <f aca="false">"INSERT INTO COTACAO (cot_id, cot_blt_id, cot_pap_id, cot_prc_comum, cot_prc_min, cot_prc_max, cot_prc_med, cot_prc_mediana) VALUES ("&amp;A2437&amp;", "&amp;B2437&amp;", "&amp;C2437&amp;", "&amp;D2437&amp;", "&amp;E2437&amp;", "&amp;F2437&amp;", "&amp;G2437&amp;", "&amp;H2437&amp;");"</f>
        <v>INSERT INTO COTACAO (cot_id, cot_blt_id, cot_pap_id, cot_prc_comum, cot_prc_min, cot_prc_max, cot_prc_med, cot_prc_mediana) VALUES (2436, 99, 6, NULL,  66.00,  84.00,  75.00,  75.00);</v>
      </c>
      <c r="J2437" s="0" t="str">
        <f aca="false">"UPDATE COTACAO SET cot_id = "&amp;A2437&amp;", cot_blt_id = "&amp;B2437&amp;", cot_pap_id = "&amp;C2437&amp;", cot_prc_comum = "&amp;D2437&amp;", cot_prc_min = "&amp;E2437&amp;", cot_prc_max = "&amp;F2437&amp;", cot_prc_med = "&amp;G2437&amp;", cot_prc_mediana = "&amp;H2437&amp;" WHERE cot_id = "&amp;A2437&amp;";"</f>
        <v>UPDATE COTACAO SET cot_id = 2436, cot_blt_id = 99, cot_pap_id = 6, cot_prc_comum = NULL, cot_prc_min =  66.00, cot_prc_max =  84.00, cot_prc_med =  75.00, cot_prc_mediana =  75.00 WHERE cot_id = 2436;</v>
      </c>
    </row>
    <row r="2438" customFormat="false" ht="14.25" hidden="false" customHeight="false" outlineLevel="0" collapsed="false">
      <c r="A2438" s="0" t="n">
        <v>2437</v>
      </c>
      <c r="B2438" s="0" t="n">
        <f aca="false">IF('Boletins Nuppa Site'!A2438&lt;&gt;0,'Boletins Nuppa Site'!A2438,"NULL")</f>
        <v>99</v>
      </c>
      <c r="C2438" s="0" t="n">
        <v>7</v>
      </c>
      <c r="D2438" s="0" t="str">
        <f aca="false">IF('Boletins Nuppa Site'!G2438&lt;&gt;0,'Boletins Nuppa Site'!G2438,"NULL")</f>
        <v> 96.00</v>
      </c>
      <c r="E2438" s="30" t="str">
        <f aca="false">IF('Boletins Nuppa Site'!H2438&lt;&gt;0,'Boletins Nuppa Site'!H2438,"NULL")</f>
        <v> 96.00</v>
      </c>
      <c r="F2438" s="30" t="str">
        <f aca="false">IF('Boletins Nuppa Site'!I2438&lt;&gt;0,'Boletins Nuppa Site'!I2438,"NULL")</f>
        <v> 96.00</v>
      </c>
      <c r="G2438" s="30" t="str">
        <f aca="false">IF('Boletins Nuppa Site'!J2438&lt;&gt;0,'Boletins Nuppa Site'!J2438,"NULL")</f>
        <v> 96.00</v>
      </c>
      <c r="H2438" s="30" t="str">
        <f aca="false">IF('Boletins Nuppa Site'!K2438&lt;&gt;0,'Boletins Nuppa Site'!K2438,"NULL")</f>
        <v> 96.00</v>
      </c>
      <c r="I2438" s="0" t="str">
        <f aca="false">"INSERT INTO COTACAO (cot_id, cot_blt_id, cot_pap_id, cot_prc_comum, cot_prc_min, cot_prc_max, cot_prc_med, cot_prc_mediana) VALUES ("&amp;A2438&amp;", "&amp;B2438&amp;", "&amp;C2438&amp;", "&amp;D2438&amp;", "&amp;E2438&amp;", "&amp;F2438&amp;", "&amp;G2438&amp;", "&amp;H2438&amp;");"</f>
        <v>INSERT INTO COTACAO (cot_id, cot_blt_id, cot_pap_id, cot_prc_comum, cot_prc_min, cot_prc_max, cot_prc_med, cot_prc_mediana) VALUES (2437, 99, 7,  96.00,  96.00,  96.00,  96.00,  96.00);</v>
      </c>
      <c r="J2438" s="0" t="str">
        <f aca="false">"UPDATE COTACAO SET cot_id = "&amp;A2438&amp;", cot_blt_id = "&amp;B2438&amp;", cot_pap_id = "&amp;C2438&amp;", cot_prc_comum = "&amp;D2438&amp;", cot_prc_min = "&amp;E2438&amp;", cot_prc_max = "&amp;F2438&amp;", cot_prc_med = "&amp;G2438&amp;", cot_prc_mediana = "&amp;H2438&amp;" WHERE cot_id = "&amp;A2438&amp;";"</f>
        <v>UPDATE COTACAO SET cot_id = 2437, cot_blt_id = 99, cot_pap_id = 7, cot_prc_comum =  96.00, cot_prc_min =  96.00, cot_prc_max =  96.00, cot_prc_med =  96.00, cot_prc_mediana =  96.00 WHERE cot_id = 2437;</v>
      </c>
    </row>
    <row r="2439" customFormat="false" ht="14.25" hidden="false" customHeight="false" outlineLevel="0" collapsed="false">
      <c r="A2439" s="0" t="n">
        <v>2438</v>
      </c>
      <c r="B2439" s="0" t="n">
        <f aca="false">IF('Boletins Nuppa Site'!A2439&lt;&gt;0,'Boletins Nuppa Site'!A2439,"NULL")</f>
        <v>99</v>
      </c>
      <c r="C2439" s="0" t="n">
        <v>8</v>
      </c>
      <c r="D2439" s="0" t="str">
        <f aca="false">IF('Boletins Nuppa Site'!G2439&lt;&gt;0,'Boletins Nuppa Site'!G2439,"NULL")</f>
        <v> 96.00</v>
      </c>
      <c r="E2439" s="30" t="str">
        <f aca="false">IF('Boletins Nuppa Site'!H2439&lt;&gt;0,'Boletins Nuppa Site'!H2439,"NULL")</f>
        <v> 96.00</v>
      </c>
      <c r="F2439" s="30" t="str">
        <f aca="false">IF('Boletins Nuppa Site'!I2439&lt;&gt;0,'Boletins Nuppa Site'!I2439,"NULL")</f>
        <v> 96.00</v>
      </c>
      <c r="G2439" s="30" t="str">
        <f aca="false">IF('Boletins Nuppa Site'!J2439&lt;&gt;0,'Boletins Nuppa Site'!J2439,"NULL")</f>
        <v> 96.00</v>
      </c>
      <c r="H2439" s="30" t="str">
        <f aca="false">IF('Boletins Nuppa Site'!K2439&lt;&gt;0,'Boletins Nuppa Site'!K2439,"NULL")</f>
        <v> 96.00</v>
      </c>
      <c r="I2439" s="0" t="str">
        <f aca="false">"INSERT INTO COTACAO (cot_id, cot_blt_id, cot_pap_id, cot_prc_comum, cot_prc_min, cot_prc_max, cot_prc_med, cot_prc_mediana) VALUES ("&amp;A2439&amp;", "&amp;B2439&amp;", "&amp;C2439&amp;", "&amp;D2439&amp;", "&amp;E2439&amp;", "&amp;F2439&amp;", "&amp;G2439&amp;", "&amp;H2439&amp;");"</f>
        <v>INSERT INTO COTACAO (cot_id, cot_blt_id, cot_pap_id, cot_prc_comum, cot_prc_min, cot_prc_max, cot_prc_med, cot_prc_mediana) VALUES (2438, 99, 8,  96.00,  96.00,  96.00,  96.00,  96.00);</v>
      </c>
      <c r="J2439" s="0" t="str">
        <f aca="false">"UPDATE COTACAO SET cot_id = "&amp;A2439&amp;", cot_blt_id = "&amp;B2439&amp;", cot_pap_id = "&amp;C2439&amp;", cot_prc_comum = "&amp;D2439&amp;", cot_prc_min = "&amp;E2439&amp;", cot_prc_max = "&amp;F2439&amp;", cot_prc_med = "&amp;G2439&amp;", cot_prc_mediana = "&amp;H2439&amp;" WHERE cot_id = "&amp;A2439&amp;";"</f>
        <v>UPDATE COTACAO SET cot_id = 2438, cot_blt_id = 99, cot_pap_id = 8, cot_prc_comum =  96.00, cot_prc_min =  96.00, cot_prc_max =  96.00, cot_prc_med =  96.00, cot_prc_mediana =  96.00 WHERE cot_id = 2438;</v>
      </c>
    </row>
    <row r="2440" customFormat="false" ht="14.25" hidden="false" customHeight="false" outlineLevel="0" collapsed="false">
      <c r="A2440" s="0" t="n">
        <v>2439</v>
      </c>
      <c r="B2440" s="0" t="n">
        <f aca="false">IF('Boletins Nuppa Site'!A2440&lt;&gt;0,'Boletins Nuppa Site'!A2440,"NULL")</f>
        <v>99</v>
      </c>
      <c r="C2440" s="0" t="n">
        <v>9</v>
      </c>
      <c r="D2440" s="0" t="str">
        <f aca="false">IF('Boletins Nuppa Site'!G2440&lt;&gt;0,'Boletins Nuppa Site'!G2440,"NULL")</f>
        <v>NULL</v>
      </c>
      <c r="E2440" s="30" t="str">
        <f aca="false">IF('Boletins Nuppa Site'!H2440&lt;&gt;0,'Boletins Nuppa Site'!H2440,"NULL")</f>
        <v> 29.00</v>
      </c>
      <c r="F2440" s="30" t="str">
        <f aca="false">IF('Boletins Nuppa Site'!I2440&lt;&gt;0,'Boletins Nuppa Site'!I2440,"NULL")</f>
        <v> 30.00</v>
      </c>
      <c r="G2440" s="30" t="str">
        <f aca="false">IF('Boletins Nuppa Site'!J2440&lt;&gt;0,'Boletins Nuppa Site'!J2440,"NULL")</f>
        <v> 29.67</v>
      </c>
      <c r="H2440" s="30" t="str">
        <f aca="false">IF('Boletins Nuppa Site'!K2440&lt;&gt;0,'Boletins Nuppa Site'!K2440,"NULL")</f>
        <v> 30.00</v>
      </c>
      <c r="I2440" s="0" t="str">
        <f aca="false">"INSERT INTO COTACAO (cot_id, cot_blt_id, cot_pap_id, cot_prc_comum, cot_prc_min, cot_prc_max, cot_prc_med, cot_prc_mediana) VALUES ("&amp;A2440&amp;", "&amp;B2440&amp;", "&amp;C2440&amp;", "&amp;D2440&amp;", "&amp;E2440&amp;", "&amp;F2440&amp;", "&amp;G2440&amp;", "&amp;H2440&amp;");"</f>
        <v>INSERT INTO COTACAO (cot_id, cot_blt_id, cot_pap_id, cot_prc_comum, cot_prc_min, cot_prc_max, cot_prc_med, cot_prc_mediana) VALUES (2439, 99, 9, NULL,  29.00,  30.00,  29.67,  30.00);</v>
      </c>
      <c r="J2440" s="0" t="str">
        <f aca="false">"UPDATE COTACAO SET cot_id = "&amp;A2440&amp;", cot_blt_id = "&amp;B2440&amp;", cot_pap_id = "&amp;C2440&amp;", cot_prc_comum = "&amp;D2440&amp;", cot_prc_min = "&amp;E2440&amp;", cot_prc_max = "&amp;F2440&amp;", cot_prc_med = "&amp;G2440&amp;", cot_prc_mediana = "&amp;H2440&amp;" WHERE cot_id = "&amp;A2440&amp;";"</f>
        <v>UPDATE COTACAO SET cot_id = 2439, cot_blt_id = 99, cot_pap_id = 9, cot_prc_comum = NULL, cot_prc_min =  29.00, cot_prc_max =  30.00, cot_prc_med =  29.67, cot_prc_mediana =  30.00 WHERE cot_id = 2439;</v>
      </c>
    </row>
    <row r="2441" customFormat="false" ht="14.25" hidden="false" customHeight="false" outlineLevel="0" collapsed="false">
      <c r="A2441" s="0" t="n">
        <v>2440</v>
      </c>
      <c r="B2441" s="0" t="n">
        <f aca="false">IF('Boletins Nuppa Site'!A2441&lt;&gt;0,'Boletins Nuppa Site'!A2441,"NULL")</f>
        <v>99</v>
      </c>
      <c r="C2441" s="0" t="n">
        <v>10</v>
      </c>
      <c r="D2441" s="0" t="str">
        <f aca="false">IF('Boletins Nuppa Site'!G2441&lt;&gt;0,'Boletins Nuppa Site'!G2441,"NULL")</f>
        <v>NULL</v>
      </c>
      <c r="E2441" s="30" t="str">
        <f aca="false">IF('Boletins Nuppa Site'!H2441&lt;&gt;0,'Boletins Nuppa Site'!H2441,"NULL")</f>
        <v> 30.00</v>
      </c>
      <c r="F2441" s="30" t="str">
        <f aca="false">IF('Boletins Nuppa Site'!I2441&lt;&gt;0,'Boletins Nuppa Site'!I2441,"NULL")</f>
        <v> 110.00</v>
      </c>
      <c r="G2441" s="30" t="str">
        <f aca="false">IF('Boletins Nuppa Site'!J2441&lt;&gt;0,'Boletins Nuppa Site'!J2441,"NULL")</f>
        <v> 104.67</v>
      </c>
      <c r="H2441" s="30" t="str">
        <f aca="false">IF('Boletins Nuppa Site'!K2441&lt;&gt;0,'Boletins Nuppa Site'!K2441,"NULL")</f>
        <v> 108.00</v>
      </c>
      <c r="I2441" s="0" t="str">
        <f aca="false">"INSERT INTO COTACAO (cot_id, cot_blt_id, cot_pap_id, cot_prc_comum, cot_prc_min, cot_prc_max, cot_prc_med, cot_prc_mediana) VALUES ("&amp;A2441&amp;", "&amp;B2441&amp;", "&amp;C2441&amp;", "&amp;D2441&amp;", "&amp;E2441&amp;", "&amp;F2441&amp;", "&amp;G2441&amp;", "&amp;H2441&amp;");"</f>
        <v>INSERT INTO COTACAO (cot_id, cot_blt_id, cot_pap_id, cot_prc_comum, cot_prc_min, cot_prc_max, cot_prc_med, cot_prc_mediana) VALUES (2440, 99, 10, NULL,  30.00,  110.00,  104.67,  108.00);</v>
      </c>
      <c r="J2441" s="0" t="str">
        <f aca="false">"UPDATE COTACAO SET cot_id = "&amp;A2441&amp;", cot_blt_id = "&amp;B2441&amp;", cot_pap_id = "&amp;C2441&amp;", cot_prc_comum = "&amp;D2441&amp;", cot_prc_min = "&amp;E2441&amp;", cot_prc_max = "&amp;F2441&amp;", cot_prc_med = "&amp;G2441&amp;", cot_prc_mediana = "&amp;H2441&amp;" WHERE cot_id = "&amp;A2441&amp;";"</f>
        <v>UPDATE COTACAO SET cot_id = 2440, cot_blt_id = 99, cot_pap_id = 10, cot_prc_comum = NULL, cot_prc_min =  30.00, cot_prc_max =  110.00, cot_prc_med =  104.67, cot_prc_mediana =  108.00 WHERE cot_id = 2440;</v>
      </c>
    </row>
    <row r="2442" customFormat="false" ht="14.25" hidden="false" customHeight="false" outlineLevel="0" collapsed="false">
      <c r="A2442" s="0" t="n">
        <v>2441</v>
      </c>
      <c r="B2442" s="0" t="n">
        <f aca="false">IF('Boletins Nuppa Site'!A2442&lt;&gt;0,'Boletins Nuppa Site'!A2442,"NULL")</f>
        <v>99</v>
      </c>
      <c r="C2442" s="0" t="n">
        <v>11</v>
      </c>
      <c r="D2442" s="0" t="str">
        <f aca="false">IF('Boletins Nuppa Site'!G2442&lt;&gt;0,'Boletins Nuppa Site'!G2442,"NULL")</f>
        <v>NULL</v>
      </c>
      <c r="E2442" s="30" t="str">
        <f aca="false">IF('Boletins Nuppa Site'!H2442&lt;&gt;0,'Boletins Nuppa Site'!H2442,"NULL")</f>
        <v> 96.00</v>
      </c>
      <c r="F2442" s="30" t="str">
        <f aca="false">IF('Boletins Nuppa Site'!I2442&lt;&gt;0,'Boletins Nuppa Site'!I2442,"NULL")</f>
        <v> 30.00</v>
      </c>
      <c r="G2442" s="30" t="str">
        <f aca="false">IF('Boletins Nuppa Site'!J2442&lt;&gt;0,'Boletins Nuppa Site'!J2442,"NULL")</f>
        <v> 30.00</v>
      </c>
      <c r="H2442" s="30" t="str">
        <f aca="false">IF('Boletins Nuppa Site'!K2442&lt;&gt;0,'Boletins Nuppa Site'!K2442,"NULL")</f>
        <v> 30.00</v>
      </c>
      <c r="I2442" s="0" t="str">
        <f aca="false">"INSERT INTO COTACAO (cot_id, cot_blt_id, cot_pap_id, cot_prc_comum, cot_prc_min, cot_prc_max, cot_prc_med, cot_prc_mediana) VALUES ("&amp;A2442&amp;", "&amp;B2442&amp;", "&amp;C2442&amp;", "&amp;D2442&amp;", "&amp;E2442&amp;", "&amp;F2442&amp;", "&amp;G2442&amp;", "&amp;H2442&amp;");"</f>
        <v>INSERT INTO COTACAO (cot_id, cot_blt_id, cot_pap_id, cot_prc_comum, cot_prc_min, cot_prc_max, cot_prc_med, cot_prc_mediana) VALUES (2441, 99, 11, NULL,  96.00,  30.00,  30.00,  30.00);</v>
      </c>
      <c r="J2442" s="0" t="str">
        <f aca="false">"UPDATE COTACAO SET cot_id = "&amp;A2442&amp;", cot_blt_id = "&amp;B2442&amp;", cot_pap_id = "&amp;C2442&amp;", cot_prc_comum = "&amp;D2442&amp;", cot_prc_min = "&amp;E2442&amp;", cot_prc_max = "&amp;F2442&amp;", cot_prc_med = "&amp;G2442&amp;", cot_prc_mediana = "&amp;H2442&amp;" WHERE cot_id = "&amp;A2442&amp;";"</f>
        <v>UPDATE COTACAO SET cot_id = 2441, cot_blt_id = 99, cot_pap_id = 11, cot_prc_comum = NULL, cot_prc_min =  96.00, cot_prc_max =  30.00, cot_prc_med =  30.00, cot_prc_mediana =  30.00 WHERE cot_id = 2441;</v>
      </c>
    </row>
    <row r="2443" customFormat="false" ht="14.25" hidden="false" customHeight="false" outlineLevel="0" collapsed="false">
      <c r="A2443" s="0" t="n">
        <v>2442</v>
      </c>
      <c r="B2443" s="0" t="n">
        <f aca="false">IF('Boletins Nuppa Site'!A2443&lt;&gt;0,'Boletins Nuppa Site'!A2443,"NULL")</f>
        <v>99</v>
      </c>
      <c r="C2443" s="0" t="n">
        <v>12</v>
      </c>
      <c r="D2443" s="0" t="str">
        <f aca="false">IF('Boletins Nuppa Site'!G2443&lt;&gt;0,'Boletins Nuppa Site'!G2443,"NULL")</f>
        <v>NULL</v>
      </c>
      <c r="E2443" s="30" t="str">
        <f aca="false">IF('Boletins Nuppa Site'!H2443&lt;&gt;0,'Boletins Nuppa Site'!H2443,"NULL")</f>
        <v> 30.00</v>
      </c>
      <c r="F2443" s="30" t="str">
        <f aca="false">IF('Boletins Nuppa Site'!I2443&lt;&gt;0,'Boletins Nuppa Site'!I2443,"NULL")</f>
        <v> 72.00</v>
      </c>
      <c r="G2443" s="30" t="str">
        <f aca="false">IF('Boletins Nuppa Site'!J2443&lt;&gt;0,'Boletins Nuppa Site'!J2443,"NULL")</f>
        <v> 66.00</v>
      </c>
      <c r="H2443" s="30" t="str">
        <f aca="false">IF('Boletins Nuppa Site'!K2443&lt;&gt;0,'Boletins Nuppa Site'!K2443,"NULL")</f>
        <v> 66.00</v>
      </c>
      <c r="I2443" s="0" t="str">
        <f aca="false">"INSERT INTO COTACAO (cot_id, cot_blt_id, cot_pap_id, cot_prc_comum, cot_prc_min, cot_prc_max, cot_prc_med, cot_prc_mediana) VALUES ("&amp;A2443&amp;", "&amp;B2443&amp;", "&amp;C2443&amp;", "&amp;D2443&amp;", "&amp;E2443&amp;", "&amp;F2443&amp;", "&amp;G2443&amp;", "&amp;H2443&amp;");"</f>
        <v>INSERT INTO COTACAO (cot_id, cot_blt_id, cot_pap_id, cot_prc_comum, cot_prc_min, cot_prc_max, cot_prc_med, cot_prc_mediana) VALUES (2442, 99, 12, NULL,  30.00,  72.00,  66.00,  66.00);</v>
      </c>
      <c r="J2443" s="0" t="str">
        <f aca="false">"UPDATE COTACAO SET cot_id = "&amp;A2443&amp;", cot_blt_id = "&amp;B2443&amp;", cot_pap_id = "&amp;C2443&amp;", cot_prc_comum = "&amp;D2443&amp;", cot_prc_min = "&amp;E2443&amp;", cot_prc_max = "&amp;F2443&amp;", cot_prc_med = "&amp;G2443&amp;", cot_prc_mediana = "&amp;H2443&amp;" WHERE cot_id = "&amp;A2443&amp;";"</f>
        <v>UPDATE COTACAO SET cot_id = 2442, cot_blt_id = 99, cot_pap_id = 12, cot_prc_comum = NULL, cot_prc_min =  30.00, cot_prc_max =  72.00, cot_prc_med =  66.00, cot_prc_mediana =  66.00 WHERE cot_id = 2442;</v>
      </c>
    </row>
    <row r="2444" customFormat="false" ht="14.25" hidden="false" customHeight="false" outlineLevel="0" collapsed="false">
      <c r="A2444" s="0" t="n">
        <v>2443</v>
      </c>
      <c r="B2444" s="0" t="n">
        <f aca="false">IF('Boletins Nuppa Site'!A2444&lt;&gt;0,'Boletins Nuppa Site'!A2444,"NULL")</f>
        <v>99</v>
      </c>
      <c r="C2444" s="0" t="n">
        <v>13</v>
      </c>
      <c r="D2444" s="0" t="str">
        <f aca="false">IF('Boletins Nuppa Site'!G2444&lt;&gt;0,'Boletins Nuppa Site'!G2444,"NULL")</f>
        <v>NULL</v>
      </c>
      <c r="E2444" s="30" t="str">
        <f aca="false">IF('Boletins Nuppa Site'!H2444&lt;&gt;0,'Boletins Nuppa Site'!H2444,"NULL")</f>
        <v> 30.00</v>
      </c>
      <c r="F2444" s="30" t="str">
        <f aca="false">IF('Boletins Nuppa Site'!I2444&lt;&gt;0,'Boletins Nuppa Site'!I2444,"NULL")</f>
        <v> 84.00</v>
      </c>
      <c r="G2444" s="30" t="str">
        <f aca="false">IF('Boletins Nuppa Site'!J2444&lt;&gt;0,'Boletins Nuppa Site'!J2444,"NULL")</f>
        <v> 73.00</v>
      </c>
      <c r="H2444" s="30" t="str">
        <f aca="false">IF('Boletins Nuppa Site'!K2444&lt;&gt;0,'Boletins Nuppa Site'!K2444,"NULL")</f>
        <v> 75.00</v>
      </c>
      <c r="I2444" s="0" t="str">
        <f aca="false">"INSERT INTO COTACAO (cot_id, cot_blt_id, cot_pap_id, cot_prc_comum, cot_prc_min, cot_prc_max, cot_prc_med, cot_prc_mediana) VALUES ("&amp;A2444&amp;", "&amp;B2444&amp;", "&amp;C2444&amp;", "&amp;D2444&amp;", "&amp;E2444&amp;", "&amp;F2444&amp;", "&amp;G2444&amp;", "&amp;H2444&amp;");"</f>
        <v>INSERT INTO COTACAO (cot_id, cot_blt_id, cot_pap_id, cot_prc_comum, cot_prc_min, cot_prc_max, cot_prc_med, cot_prc_mediana) VALUES (2443, 99, 13, NULL,  30.00,  84.00,  73.00,  75.00);</v>
      </c>
      <c r="J2444" s="0" t="str">
        <f aca="false">"UPDATE COTACAO SET cot_id = "&amp;A2444&amp;", cot_blt_id = "&amp;B2444&amp;", cot_pap_id = "&amp;C2444&amp;", cot_prc_comum = "&amp;D2444&amp;", cot_prc_min = "&amp;E2444&amp;", cot_prc_max = "&amp;F2444&amp;", cot_prc_med = "&amp;G2444&amp;", cot_prc_mediana = "&amp;H2444&amp;" WHERE cot_id = "&amp;A2444&amp;";"</f>
        <v>UPDATE COTACAO SET cot_id = 2443, cot_blt_id = 99, cot_pap_id = 13, cot_prc_comum = NULL, cot_prc_min =  30.00, cot_prc_max =  84.00, cot_prc_med =  73.00, cot_prc_mediana =  75.00 WHERE cot_id = 2443;</v>
      </c>
    </row>
    <row r="2445" customFormat="false" ht="14.25" hidden="false" customHeight="false" outlineLevel="0" collapsed="false">
      <c r="A2445" s="0" t="n">
        <v>2444</v>
      </c>
      <c r="B2445" s="0" t="n">
        <f aca="false">IF('Boletins Nuppa Site'!A2445&lt;&gt;0,'Boletins Nuppa Site'!A2445,"NULL")</f>
        <v>99</v>
      </c>
      <c r="C2445" s="0" t="n">
        <v>14</v>
      </c>
      <c r="D2445" s="0" t="str">
        <f aca="false">IF('Boletins Nuppa Site'!G2445&lt;&gt;0,'Boletins Nuppa Site'!G2445,"NULL")</f>
        <v>NULL</v>
      </c>
      <c r="E2445" s="30" t="str">
        <f aca="false">IF('Boletins Nuppa Site'!H2445&lt;&gt;0,'Boletins Nuppa Site'!H2445,"NULL")</f>
        <v> 60.00</v>
      </c>
      <c r="F2445" s="30" t="str">
        <f aca="false">IF('Boletins Nuppa Site'!I2445&lt;&gt;0,'Boletins Nuppa Site'!I2445,"NULL")</f>
        <v> 84.00</v>
      </c>
      <c r="G2445" s="30" t="str">
        <f aca="false">IF('Boletins Nuppa Site'!J2445&lt;&gt;0,'Boletins Nuppa Site'!J2445,"NULL")</f>
        <v> 84.00</v>
      </c>
      <c r="H2445" s="30" t="str">
        <f aca="false">IF('Boletins Nuppa Site'!K2445&lt;&gt;0,'Boletins Nuppa Site'!K2445,"NULL")</f>
        <v> 84.00</v>
      </c>
      <c r="I2445" s="0" t="str">
        <f aca="false">"INSERT INTO COTACAO (cot_id, cot_blt_id, cot_pap_id, cot_prc_comum, cot_prc_min, cot_prc_max, cot_prc_med, cot_prc_mediana) VALUES ("&amp;A2445&amp;", "&amp;B2445&amp;", "&amp;C2445&amp;", "&amp;D2445&amp;", "&amp;E2445&amp;", "&amp;F2445&amp;", "&amp;G2445&amp;", "&amp;H2445&amp;");"</f>
        <v>INSERT INTO COTACAO (cot_id, cot_blt_id, cot_pap_id, cot_prc_comum, cot_prc_min, cot_prc_max, cot_prc_med, cot_prc_mediana) VALUES (2444, 99, 14, NULL,  60.00,  84.00,  84.00,  84.00);</v>
      </c>
      <c r="J2445" s="0" t="str">
        <f aca="false">"UPDATE COTACAO SET cot_id = "&amp;A2445&amp;", cot_blt_id = "&amp;B2445&amp;", cot_pap_id = "&amp;C2445&amp;", cot_prc_comum = "&amp;D2445&amp;", cot_prc_min = "&amp;E2445&amp;", cot_prc_max = "&amp;F2445&amp;", cot_prc_med = "&amp;G2445&amp;", cot_prc_mediana = "&amp;H2445&amp;" WHERE cot_id = "&amp;A2445&amp;";"</f>
        <v>UPDATE COTACAO SET cot_id = 2444, cot_blt_id = 99, cot_pap_id = 14, cot_prc_comum = NULL, cot_prc_min =  60.00, cot_prc_max =  84.00, cot_prc_med =  84.00, cot_prc_mediana =  84.00 WHERE cot_id = 2444;</v>
      </c>
    </row>
    <row r="2446" customFormat="false" ht="14.25" hidden="false" customHeight="false" outlineLevel="0" collapsed="false">
      <c r="A2446" s="0" t="n">
        <v>2445</v>
      </c>
      <c r="B2446" s="0" t="n">
        <f aca="false">IF('Boletins Nuppa Site'!A2446&lt;&gt;0,'Boletins Nuppa Site'!A2446,"NULL")</f>
        <v>99</v>
      </c>
      <c r="C2446" s="0" t="n">
        <v>15</v>
      </c>
      <c r="D2446" s="0" t="str">
        <f aca="false">IF('Boletins Nuppa Site'!G2446&lt;&gt;0,'Boletins Nuppa Site'!G2446,"NULL")</f>
        <v>NULL</v>
      </c>
      <c r="E2446" s="30" t="str">
        <f aca="false">IF('Boletins Nuppa Site'!H2446&lt;&gt;0,'Boletins Nuppa Site'!H2446,"NULL")</f>
        <v> 60.00</v>
      </c>
      <c r="F2446" s="30" t="str">
        <f aca="false">IF('Boletins Nuppa Site'!I2446&lt;&gt;0,'Boletins Nuppa Site'!I2446,"NULL")</f>
        <v> 60.00</v>
      </c>
      <c r="G2446" s="30" t="str">
        <f aca="false">IF('Boletins Nuppa Site'!J2446&lt;&gt;0,'Boletins Nuppa Site'!J2446,"NULL")</f>
        <v> 58.33</v>
      </c>
      <c r="H2446" s="30" t="str">
        <f aca="false">IF('Boletins Nuppa Site'!K2446&lt;&gt;0,'Boletins Nuppa Site'!K2446,"NULL")</f>
        <v> 60.00</v>
      </c>
      <c r="I2446" s="0" t="str">
        <f aca="false">"INSERT INTO COTACAO (cot_id, cot_blt_id, cot_pap_id, cot_prc_comum, cot_prc_min, cot_prc_max, cot_prc_med, cot_prc_mediana) VALUES ("&amp;A2446&amp;", "&amp;B2446&amp;", "&amp;C2446&amp;", "&amp;D2446&amp;", "&amp;E2446&amp;", "&amp;F2446&amp;", "&amp;G2446&amp;", "&amp;H2446&amp;");"</f>
        <v>INSERT INTO COTACAO (cot_id, cot_blt_id, cot_pap_id, cot_prc_comum, cot_prc_min, cot_prc_max, cot_prc_med, cot_prc_mediana) VALUES (2445, 99, 15, NULL,  60.00,  60.00,  58.33,  60.00);</v>
      </c>
      <c r="J2446" s="0" t="str">
        <f aca="false">"UPDATE COTACAO SET cot_id = "&amp;A2446&amp;", cot_blt_id = "&amp;B2446&amp;", cot_pap_id = "&amp;C2446&amp;", cot_prc_comum = "&amp;D2446&amp;", cot_prc_min = "&amp;E2446&amp;", cot_prc_max = "&amp;F2446&amp;", cot_prc_med = "&amp;G2446&amp;", cot_prc_mediana = "&amp;H2446&amp;" WHERE cot_id = "&amp;A2446&amp;";"</f>
        <v>UPDATE COTACAO SET cot_id = 2445, cot_blt_id = 99, cot_pap_id = 15, cot_prc_comum = NULL, cot_prc_min =  60.00, cot_prc_max =  60.00, cot_prc_med =  58.33, cot_prc_mediana =  60.00 WHERE cot_id = 2445;</v>
      </c>
    </row>
    <row r="2447" customFormat="false" ht="14.25" hidden="false" customHeight="false" outlineLevel="0" collapsed="false">
      <c r="A2447" s="0" t="n">
        <v>2446</v>
      </c>
      <c r="B2447" s="0" t="n">
        <f aca="false">IF('Boletins Nuppa Site'!A2447&lt;&gt;0,'Boletins Nuppa Site'!A2447,"NULL")</f>
        <v>99</v>
      </c>
      <c r="C2447" s="0" t="n">
        <v>16</v>
      </c>
      <c r="D2447" s="0" t="str">
        <f aca="false">IF('Boletins Nuppa Site'!G2447&lt;&gt;0,'Boletins Nuppa Site'!G2447,"NULL")</f>
        <v>NULL</v>
      </c>
      <c r="E2447" s="30" t="str">
        <f aca="false">IF('Boletins Nuppa Site'!H2447&lt;&gt;0,'Boletins Nuppa Site'!H2447,"NULL")</f>
        <v> 48.00</v>
      </c>
      <c r="F2447" s="30" t="str">
        <f aca="false">IF('Boletins Nuppa Site'!I2447&lt;&gt;0,'Boletins Nuppa Site'!I2447,"NULL")</f>
        <v> 55.00</v>
      </c>
      <c r="G2447" s="30" t="str">
        <f aca="false">IF('Boletins Nuppa Site'!J2447&lt;&gt;0,'Boletins Nuppa Site'!J2447,"NULL")</f>
        <v> 52.33</v>
      </c>
      <c r="H2447" s="30" t="str">
        <f aca="false">IF('Boletins Nuppa Site'!K2447&lt;&gt;0,'Boletins Nuppa Site'!K2447,"NULL")</f>
        <v> 54.00</v>
      </c>
      <c r="I2447" s="0" t="str">
        <f aca="false">"INSERT INTO COTACAO (cot_id, cot_blt_id, cot_pap_id, cot_prc_comum, cot_prc_min, cot_prc_max, cot_prc_med, cot_prc_mediana) VALUES ("&amp;A2447&amp;", "&amp;B2447&amp;", "&amp;C2447&amp;", "&amp;D2447&amp;", "&amp;E2447&amp;", "&amp;F2447&amp;", "&amp;G2447&amp;", "&amp;H2447&amp;");"</f>
        <v>INSERT INTO COTACAO (cot_id, cot_blt_id, cot_pap_id, cot_prc_comum, cot_prc_min, cot_prc_max, cot_prc_med, cot_prc_mediana) VALUES (2446, 99, 16, NULL,  48.00,  55.00,  52.33,  54.00);</v>
      </c>
      <c r="J2447" s="0" t="str">
        <f aca="false">"UPDATE COTACAO SET cot_id = "&amp;A2447&amp;", cot_blt_id = "&amp;B2447&amp;", cot_pap_id = "&amp;C2447&amp;", cot_prc_comum = "&amp;D2447&amp;", cot_prc_min = "&amp;E2447&amp;", cot_prc_max = "&amp;F2447&amp;", cot_prc_med = "&amp;G2447&amp;", cot_prc_mediana = "&amp;H2447&amp;" WHERE cot_id = "&amp;A2447&amp;";"</f>
        <v>UPDATE COTACAO SET cot_id = 2446, cot_blt_id = 99, cot_pap_id = 16, cot_prc_comum = NULL, cot_prc_min =  48.00, cot_prc_max =  55.00, cot_prc_med =  52.33, cot_prc_mediana =  54.00 WHERE cot_id = 2446;</v>
      </c>
    </row>
    <row r="2448" customFormat="false" ht="14.25" hidden="false" customHeight="false" outlineLevel="0" collapsed="false">
      <c r="A2448" s="0" t="n">
        <v>2447</v>
      </c>
      <c r="B2448" s="0" t="n">
        <f aca="false">IF('Boletins Nuppa Site'!A2448&lt;&gt;0,'Boletins Nuppa Site'!A2448,"NULL")</f>
        <v>99</v>
      </c>
      <c r="C2448" s="0" t="n">
        <v>17</v>
      </c>
      <c r="D2448" s="0" t="str">
        <f aca="false">IF('Boletins Nuppa Site'!G2448&lt;&gt;0,'Boletins Nuppa Site'!G2448,"NULL")</f>
        <v>NULL</v>
      </c>
      <c r="E2448" s="30" t="str">
        <f aca="false">IF('Boletins Nuppa Site'!H2448&lt;&gt;0,'Boletins Nuppa Site'!H2448,"NULL")</f>
        <v> 60.00</v>
      </c>
      <c r="F2448" s="30" t="str">
        <f aca="false">IF('Boletins Nuppa Site'!I2448&lt;&gt;0,'Boletins Nuppa Site'!I2448,"NULL")</f>
        <v> 72.00</v>
      </c>
      <c r="G2448" s="30" t="str">
        <f aca="false">IF('Boletins Nuppa Site'!J2448&lt;&gt;0,'Boletins Nuppa Site'!J2448,"NULL")</f>
        <v> 67.33</v>
      </c>
      <c r="H2448" s="30" t="str">
        <f aca="false">IF('Boletins Nuppa Site'!K2448&lt;&gt;0,'Boletins Nuppa Site'!K2448,"NULL")</f>
        <v> 70.00</v>
      </c>
      <c r="I2448" s="0" t="str">
        <f aca="false">"INSERT INTO COTACAO (cot_id, cot_blt_id, cot_pap_id, cot_prc_comum, cot_prc_min, cot_prc_max, cot_prc_med, cot_prc_mediana) VALUES ("&amp;A2448&amp;", "&amp;B2448&amp;", "&amp;C2448&amp;", "&amp;D2448&amp;", "&amp;E2448&amp;", "&amp;F2448&amp;", "&amp;G2448&amp;", "&amp;H2448&amp;");"</f>
        <v>INSERT INTO COTACAO (cot_id, cot_blt_id, cot_pap_id, cot_prc_comum, cot_prc_min, cot_prc_max, cot_prc_med, cot_prc_mediana) VALUES (2447, 99, 17, NULL,  60.00,  72.00,  67.33,  70.00);</v>
      </c>
      <c r="J2448" s="0" t="str">
        <f aca="false">"UPDATE COTACAO SET cot_id = "&amp;A2448&amp;", cot_blt_id = "&amp;B2448&amp;", cot_pap_id = "&amp;C2448&amp;", cot_prc_comum = "&amp;D2448&amp;", cot_prc_min = "&amp;E2448&amp;", cot_prc_max = "&amp;F2448&amp;", cot_prc_med = "&amp;G2448&amp;", cot_prc_mediana = "&amp;H2448&amp;" WHERE cot_id = "&amp;A2448&amp;";"</f>
        <v>UPDATE COTACAO SET cot_id = 2447, cot_blt_id = 99, cot_pap_id = 17, cot_prc_comum = NULL, cot_prc_min =  60.00, cot_prc_max =  72.00, cot_prc_med =  67.33, cot_prc_mediana =  70.00 WHERE cot_id = 2447;</v>
      </c>
    </row>
    <row r="2449" customFormat="false" ht="14.25" hidden="false" customHeight="false" outlineLevel="0" collapsed="false">
      <c r="A2449" s="0" t="n">
        <v>2448</v>
      </c>
      <c r="B2449" s="0" t="n">
        <f aca="false">IF('Boletins Nuppa Site'!A2449&lt;&gt;0,'Boletins Nuppa Site'!A2449,"NULL")</f>
        <v>99</v>
      </c>
      <c r="C2449" s="0" t="n">
        <v>18</v>
      </c>
      <c r="D2449" s="0" t="str">
        <f aca="false">IF('Boletins Nuppa Site'!G2449&lt;&gt;0,'Boletins Nuppa Site'!G2449,"NULL")</f>
        <v> 96.00</v>
      </c>
      <c r="E2449" s="30" t="str">
        <f aca="false">IF('Boletins Nuppa Site'!H2449&lt;&gt;0,'Boletins Nuppa Site'!H2449,"NULL")</f>
        <v> 96.00</v>
      </c>
      <c r="F2449" s="30" t="str">
        <f aca="false">IF('Boletins Nuppa Site'!I2449&lt;&gt;0,'Boletins Nuppa Site'!I2449,"NULL")</f>
        <v> 95.00</v>
      </c>
      <c r="G2449" s="30" t="str">
        <f aca="false">IF('Boletins Nuppa Site'!J2449&lt;&gt;0,'Boletins Nuppa Site'!J2449,"NULL")</f>
        <v> 96.00</v>
      </c>
      <c r="H2449" s="30" t="str">
        <f aca="false">IF('Boletins Nuppa Site'!K2449&lt;&gt;0,'Boletins Nuppa Site'!K2449,"NULL")</f>
        <v> 96.00</v>
      </c>
      <c r="I2449" s="0" t="str">
        <f aca="false">"INSERT INTO COTACAO (cot_id, cot_blt_id, cot_pap_id, cot_prc_comum, cot_prc_min, cot_prc_max, cot_prc_med, cot_prc_mediana) VALUES ("&amp;A2449&amp;", "&amp;B2449&amp;", "&amp;C2449&amp;", "&amp;D2449&amp;", "&amp;E2449&amp;", "&amp;F2449&amp;", "&amp;G2449&amp;", "&amp;H2449&amp;");"</f>
        <v>INSERT INTO COTACAO (cot_id, cot_blt_id, cot_pap_id, cot_prc_comum, cot_prc_min, cot_prc_max, cot_prc_med, cot_prc_mediana) VALUES (2448, 99, 18,  96.00,  96.00,  95.00,  96.00,  96.00);</v>
      </c>
      <c r="J2449" s="0" t="str">
        <f aca="false">"UPDATE COTACAO SET cot_id = "&amp;A2449&amp;", cot_blt_id = "&amp;B2449&amp;", cot_pap_id = "&amp;C2449&amp;", cot_prc_comum = "&amp;D2449&amp;", cot_prc_min = "&amp;E2449&amp;", cot_prc_max = "&amp;F2449&amp;", cot_prc_med = "&amp;G2449&amp;", cot_prc_mediana = "&amp;H2449&amp;" WHERE cot_id = "&amp;A2449&amp;";"</f>
        <v>UPDATE COTACAO SET cot_id = 2448, cot_blt_id = 99, cot_pap_id = 18, cot_prc_comum =  96.00, cot_prc_min =  96.00, cot_prc_max =  95.00, cot_prc_med =  96.00, cot_prc_mediana =  96.00 WHERE cot_id = 2448;</v>
      </c>
    </row>
    <row r="2450" customFormat="false" ht="14.25" hidden="false" customHeight="false" outlineLevel="0" collapsed="false">
      <c r="A2450" s="0" t="n">
        <v>2449</v>
      </c>
      <c r="B2450" s="0" t="n">
        <f aca="false">IF('Boletins Nuppa Site'!A2450&lt;&gt;0,'Boletins Nuppa Site'!A2450,"NULL")</f>
        <v>99</v>
      </c>
      <c r="C2450" s="0" t="n">
        <v>19</v>
      </c>
      <c r="D2450" s="0" t="str">
        <f aca="false">IF('Boletins Nuppa Site'!G2450&lt;&gt;0,'Boletins Nuppa Site'!G2450,"NULL")</f>
        <v> 48.00</v>
      </c>
      <c r="E2450" s="30" t="str">
        <f aca="false">IF('Boletins Nuppa Site'!H2450&lt;&gt;0,'Boletins Nuppa Site'!H2450,"NULL")</f>
        <v> 48.00</v>
      </c>
      <c r="F2450" s="30" t="str">
        <f aca="false">IF('Boletins Nuppa Site'!I2450&lt;&gt;0,'Boletins Nuppa Site'!I2450,"NULL")</f>
        <v> 48.00</v>
      </c>
      <c r="G2450" s="30" t="str">
        <f aca="false">IF('Boletins Nuppa Site'!J2450&lt;&gt;0,'Boletins Nuppa Site'!J2450,"NULL")</f>
        <v> 48.00</v>
      </c>
      <c r="H2450" s="30" t="str">
        <f aca="false">IF('Boletins Nuppa Site'!K2450&lt;&gt;0,'Boletins Nuppa Site'!K2450,"NULL")</f>
        <v> 48.00</v>
      </c>
      <c r="I2450" s="0" t="str">
        <f aca="false">"INSERT INTO COTACAO (cot_id, cot_blt_id, cot_pap_id, cot_prc_comum, cot_prc_min, cot_prc_max, cot_prc_med, cot_prc_mediana) VALUES ("&amp;A2450&amp;", "&amp;B2450&amp;", "&amp;C2450&amp;", "&amp;D2450&amp;", "&amp;E2450&amp;", "&amp;F2450&amp;", "&amp;G2450&amp;", "&amp;H2450&amp;");"</f>
        <v>INSERT INTO COTACAO (cot_id, cot_blt_id, cot_pap_id, cot_prc_comum, cot_prc_min, cot_prc_max, cot_prc_med, cot_prc_mediana) VALUES (2449, 99, 19,  48.00,  48.00,  48.00,  48.00,  48.00);</v>
      </c>
      <c r="J2450" s="0" t="str">
        <f aca="false">"UPDATE COTACAO SET cot_id = "&amp;A2450&amp;", cot_blt_id = "&amp;B2450&amp;", cot_pap_id = "&amp;C2450&amp;", cot_prc_comum = "&amp;D2450&amp;", cot_prc_min = "&amp;E2450&amp;", cot_prc_max = "&amp;F2450&amp;", cot_prc_med = "&amp;G2450&amp;", cot_prc_mediana = "&amp;H2450&amp;" WHERE cot_id = "&amp;A2450&amp;";"</f>
        <v>UPDATE COTACAO SET cot_id = 2449, cot_blt_id = 99, cot_pap_id = 19, cot_prc_comum =  48.00, cot_prc_min =  48.00, cot_prc_max =  48.00, cot_prc_med =  48.00, cot_prc_mediana =  48.00 WHERE cot_id = 2449;</v>
      </c>
    </row>
    <row r="2451" customFormat="false" ht="14.25" hidden="false" customHeight="false" outlineLevel="0" collapsed="false">
      <c r="A2451" s="0" t="n">
        <v>2450</v>
      </c>
      <c r="B2451" s="0" t="n">
        <f aca="false">IF('Boletins Nuppa Site'!A2451&lt;&gt;0,'Boletins Nuppa Site'!A2451,"NULL")</f>
        <v>99</v>
      </c>
      <c r="C2451" s="0" t="n">
        <v>20</v>
      </c>
      <c r="D2451" s="0" t="str">
        <f aca="false">IF('Boletins Nuppa Site'!G2451&lt;&gt;0,'Boletins Nuppa Site'!G2451,"NULL")</f>
        <v>NULL</v>
      </c>
      <c r="E2451" s="30" t="str">
        <f aca="false">IF('Boletins Nuppa Site'!H2451&lt;&gt;0,'Boletins Nuppa Site'!H2451,"NULL")</f>
        <v> 55.00</v>
      </c>
      <c r="F2451" s="30" t="str">
        <f aca="false">IF('Boletins Nuppa Site'!I2451&lt;&gt;0,'Boletins Nuppa Site'!I2451,"NULL")</f>
        <v> 55.00</v>
      </c>
      <c r="G2451" s="30" t="str">
        <f aca="false">IF('Boletins Nuppa Site'!J2451&lt;&gt;0,'Boletins Nuppa Site'!J2451,"NULL")</f>
        <v> 55.00</v>
      </c>
      <c r="H2451" s="30" t="str">
        <f aca="false">IF('Boletins Nuppa Site'!K2451&lt;&gt;0,'Boletins Nuppa Site'!K2451,"NULL")</f>
        <v> 55.00</v>
      </c>
      <c r="I2451" s="0" t="str">
        <f aca="false">"INSERT INTO COTACAO (cot_id, cot_blt_id, cot_pap_id, cot_prc_comum, cot_prc_min, cot_prc_max, cot_prc_med, cot_prc_mediana) VALUES ("&amp;A2451&amp;", "&amp;B2451&amp;", "&amp;C2451&amp;", "&amp;D2451&amp;", "&amp;E2451&amp;", "&amp;F2451&amp;", "&amp;G2451&amp;", "&amp;H2451&amp;");"</f>
        <v>INSERT INTO COTACAO (cot_id, cot_blt_id, cot_pap_id, cot_prc_comum, cot_prc_min, cot_prc_max, cot_prc_med, cot_prc_mediana) VALUES (2450, 99, 20, NULL,  55.00,  55.00,  55.00,  55.00);</v>
      </c>
      <c r="J2451" s="0" t="str">
        <f aca="false">"UPDATE COTACAO SET cot_id = "&amp;A2451&amp;", cot_blt_id = "&amp;B2451&amp;", cot_pap_id = "&amp;C2451&amp;", cot_prc_comum = "&amp;D2451&amp;", cot_prc_min = "&amp;E2451&amp;", cot_prc_max = "&amp;F2451&amp;", cot_prc_med = "&amp;G2451&amp;", cot_prc_mediana = "&amp;H2451&amp;" WHERE cot_id = "&amp;A2451&amp;";"</f>
        <v>UPDATE COTACAO SET cot_id = 2450, cot_blt_id = 99, cot_pap_id = 20, cot_prc_comum = NULL, cot_prc_min =  55.00, cot_prc_max =  55.00, cot_prc_med =  55.00, cot_prc_mediana =  55.00 WHERE cot_id = 2450;</v>
      </c>
    </row>
    <row r="2452" customFormat="false" ht="14.25" hidden="false" customHeight="false" outlineLevel="0" collapsed="false">
      <c r="A2452" s="0" t="n">
        <v>2451</v>
      </c>
      <c r="B2452" s="0" t="n">
        <f aca="false">IF('Boletins Nuppa Site'!A2452&lt;&gt;0,'Boletins Nuppa Site'!A2452,"NULL")</f>
        <v>99</v>
      </c>
      <c r="C2452" s="0" t="n">
        <v>21</v>
      </c>
      <c r="D2452" s="0" t="str">
        <f aca="false">IF('Boletins Nuppa Site'!G2452&lt;&gt;0,'Boletins Nuppa Site'!G2452,"NULL")</f>
        <v>NULL</v>
      </c>
      <c r="E2452" s="30" t="str">
        <f aca="false">IF('Boletins Nuppa Site'!H2452&lt;&gt;0,'Boletins Nuppa Site'!H2452,"NULL")</f>
        <v> 120.00</v>
      </c>
      <c r="F2452" s="30" t="str">
        <f aca="false">IF('Boletins Nuppa Site'!I2452&lt;&gt;0,'Boletins Nuppa Site'!I2452,"NULL")</f>
        <v> 130.00</v>
      </c>
      <c r="G2452" s="30" t="str">
        <f aca="false">IF('Boletins Nuppa Site'!J2452&lt;&gt;0,'Boletins Nuppa Site'!J2452,"NULL")</f>
        <v> 125.00</v>
      </c>
      <c r="H2452" s="30" t="str">
        <f aca="false">IF('Boletins Nuppa Site'!K2452&lt;&gt;0,'Boletins Nuppa Site'!K2452,"NULL")</f>
        <v> 125.00</v>
      </c>
      <c r="I2452" s="0" t="str">
        <f aca="false">"INSERT INTO COTACAO (cot_id, cot_blt_id, cot_pap_id, cot_prc_comum, cot_prc_min, cot_prc_max, cot_prc_med, cot_prc_mediana) VALUES ("&amp;A2452&amp;", "&amp;B2452&amp;", "&amp;C2452&amp;", "&amp;D2452&amp;", "&amp;E2452&amp;", "&amp;F2452&amp;", "&amp;G2452&amp;", "&amp;H2452&amp;");"</f>
        <v>INSERT INTO COTACAO (cot_id, cot_blt_id, cot_pap_id, cot_prc_comum, cot_prc_min, cot_prc_max, cot_prc_med, cot_prc_mediana) VALUES (2451, 99, 21, NULL,  120.00,  130.00,  125.00,  125.00);</v>
      </c>
      <c r="J2452" s="0" t="str">
        <f aca="false">"UPDATE COTACAO SET cot_id = "&amp;A2452&amp;", cot_blt_id = "&amp;B2452&amp;", cot_pap_id = "&amp;C2452&amp;", cot_prc_comum = "&amp;D2452&amp;", cot_prc_min = "&amp;E2452&amp;", cot_prc_max = "&amp;F2452&amp;", cot_prc_med = "&amp;G2452&amp;", cot_prc_mediana = "&amp;H2452&amp;" WHERE cot_id = "&amp;A2452&amp;";"</f>
        <v>UPDATE COTACAO SET cot_id = 2451, cot_blt_id = 99, cot_pap_id = 21, cot_prc_comum = NULL, cot_prc_min =  120.00, cot_prc_max =  130.00, cot_prc_med =  125.00, cot_prc_mediana =  125.00 WHERE cot_id = 2451;</v>
      </c>
    </row>
    <row r="2453" customFormat="false" ht="14.25" hidden="false" customHeight="false" outlineLevel="0" collapsed="false">
      <c r="A2453" s="0" t="n">
        <v>2452</v>
      </c>
      <c r="B2453" s="0" t="n">
        <f aca="false">IF('Boletins Nuppa Site'!A2453&lt;&gt;0,'Boletins Nuppa Site'!A2453,"NULL")</f>
        <v>99</v>
      </c>
      <c r="C2453" s="0" t="n">
        <v>22</v>
      </c>
      <c r="D2453" s="0" t="str">
        <f aca="false">IF('Boletins Nuppa Site'!G2453&lt;&gt;0,'Boletins Nuppa Site'!G2453,"NULL")</f>
        <v>NULL</v>
      </c>
      <c r="E2453" s="30" t="str">
        <f aca="false">IF('Boletins Nuppa Site'!H2453&lt;&gt;0,'Boletins Nuppa Site'!H2453,"NULL")</f>
        <v> 45.00</v>
      </c>
      <c r="F2453" s="30" t="str">
        <f aca="false">IF('Boletins Nuppa Site'!I2453&lt;&gt;0,'Boletins Nuppa Site'!I2453,"NULL")</f>
        <v> 65.00</v>
      </c>
      <c r="G2453" s="30" t="str">
        <f aca="false">IF('Boletins Nuppa Site'!J2453&lt;&gt;0,'Boletins Nuppa Site'!J2453,"NULL")</f>
        <v> 55.00</v>
      </c>
      <c r="H2453" s="30" t="str">
        <f aca="false">IF('Boletins Nuppa Site'!K2453&lt;&gt;0,'Boletins Nuppa Site'!K2453,"NULL")</f>
        <v> 55.00</v>
      </c>
      <c r="I2453" s="0" t="str">
        <f aca="false">"INSERT INTO COTACAO (cot_id, cot_blt_id, cot_pap_id, cot_prc_comum, cot_prc_min, cot_prc_max, cot_prc_med, cot_prc_mediana) VALUES ("&amp;A2453&amp;", "&amp;B2453&amp;", "&amp;C2453&amp;", "&amp;D2453&amp;", "&amp;E2453&amp;", "&amp;F2453&amp;", "&amp;G2453&amp;", "&amp;H2453&amp;");"</f>
        <v>INSERT INTO COTACAO (cot_id, cot_blt_id, cot_pap_id, cot_prc_comum, cot_prc_min, cot_prc_max, cot_prc_med, cot_prc_mediana) VALUES (2452, 99, 22, NULL,  45.00,  65.00,  55.00,  55.00);</v>
      </c>
      <c r="J2453" s="0" t="str">
        <f aca="false">"UPDATE COTACAO SET cot_id = "&amp;A2453&amp;", cot_blt_id = "&amp;B2453&amp;", cot_pap_id = "&amp;C2453&amp;", cot_prc_comum = "&amp;D2453&amp;", cot_prc_min = "&amp;E2453&amp;", cot_prc_max = "&amp;F2453&amp;", cot_prc_med = "&amp;G2453&amp;", cot_prc_mediana = "&amp;H2453&amp;" WHERE cot_id = "&amp;A2453&amp;";"</f>
        <v>UPDATE COTACAO SET cot_id = 2452, cot_blt_id = 99, cot_pap_id = 22, cot_prc_comum = NULL, cot_prc_min =  45.00, cot_prc_max =  65.00, cot_prc_med =  55.00, cot_prc_mediana =  55.00 WHERE cot_id = 2452;</v>
      </c>
    </row>
    <row r="2454" customFormat="false" ht="14.25" hidden="false" customHeight="false" outlineLevel="0" collapsed="false">
      <c r="A2454" s="0" t="n">
        <v>2453</v>
      </c>
      <c r="B2454" s="0" t="n">
        <f aca="false">IF('Boletins Nuppa Site'!A2454&lt;&gt;0,'Boletins Nuppa Site'!A2454,"NULL")</f>
        <v>99</v>
      </c>
      <c r="C2454" s="0" t="n">
        <v>23</v>
      </c>
      <c r="D2454" s="0" t="str">
        <f aca="false">IF('Boletins Nuppa Site'!G2454&lt;&gt;0,'Boletins Nuppa Site'!G2454,"NULL")</f>
        <v> 40.00</v>
      </c>
      <c r="E2454" s="30" t="str">
        <f aca="false">IF('Boletins Nuppa Site'!H2454&lt;&gt;0,'Boletins Nuppa Site'!H2454,"NULL")</f>
        <v> 50.00</v>
      </c>
      <c r="F2454" s="30" t="str">
        <f aca="false">IF('Boletins Nuppa Site'!I2454&lt;&gt;0,'Boletins Nuppa Site'!I2454,"NULL")</f>
        <v> 50.00</v>
      </c>
      <c r="G2454" s="30" t="str">
        <f aca="false">IF('Boletins Nuppa Site'!J2454&lt;&gt;0,'Boletins Nuppa Site'!J2454,"NULL")</f>
        <v> 46.67</v>
      </c>
      <c r="H2454" s="30" t="str">
        <f aca="false">IF('Boletins Nuppa Site'!K2454&lt;&gt;0,'Boletins Nuppa Site'!K2454,"NULL")</f>
        <v> 50.00</v>
      </c>
      <c r="I2454" s="0" t="str">
        <f aca="false">"INSERT INTO COTACAO (cot_id, cot_blt_id, cot_pap_id, cot_prc_comum, cot_prc_min, cot_prc_max, cot_prc_med, cot_prc_mediana) VALUES ("&amp;A2454&amp;", "&amp;B2454&amp;", "&amp;C2454&amp;", "&amp;D2454&amp;", "&amp;E2454&amp;", "&amp;F2454&amp;", "&amp;G2454&amp;", "&amp;H2454&amp;");"</f>
        <v>INSERT INTO COTACAO (cot_id, cot_blt_id, cot_pap_id, cot_prc_comum, cot_prc_min, cot_prc_max, cot_prc_med, cot_prc_mediana) VALUES (2453, 99, 23,  40.00,  50.00,  50.00,  46.67,  50.00);</v>
      </c>
      <c r="J2454" s="0" t="str">
        <f aca="false">"UPDATE COTACAO SET cot_id = "&amp;A2454&amp;", cot_blt_id = "&amp;B2454&amp;", cot_pap_id = "&amp;C2454&amp;", cot_prc_comum = "&amp;D2454&amp;", cot_prc_min = "&amp;E2454&amp;", cot_prc_max = "&amp;F2454&amp;", cot_prc_med = "&amp;G2454&amp;", cot_prc_mediana = "&amp;H2454&amp;" WHERE cot_id = "&amp;A2454&amp;";"</f>
        <v>UPDATE COTACAO SET cot_id = 2453, cot_blt_id = 99, cot_pap_id = 23, cot_prc_comum =  40.00, cot_prc_min =  50.00, cot_prc_max =  50.00, cot_prc_med =  46.67, cot_prc_mediana =  50.00 WHERE cot_id = 2453;</v>
      </c>
    </row>
    <row r="2455" customFormat="false" ht="14.25" hidden="false" customHeight="false" outlineLevel="0" collapsed="false">
      <c r="A2455" s="0" t="n">
        <v>2454</v>
      </c>
      <c r="B2455" s="0" t="n">
        <f aca="false">IF('Boletins Nuppa Site'!A2455&lt;&gt;0,'Boletins Nuppa Site'!A2455,"NULL")</f>
        <v>99</v>
      </c>
      <c r="C2455" s="0" t="n">
        <v>24</v>
      </c>
      <c r="D2455" s="0" t="str">
        <f aca="false">IF('Boletins Nuppa Site'!G2455&lt;&gt;0,'Boletins Nuppa Site'!G2455,"NULL")</f>
        <v>NULL</v>
      </c>
      <c r="E2455" s="30" t="str">
        <f aca="false">IF('Boletins Nuppa Site'!H2455&lt;&gt;0,'Boletins Nuppa Site'!H2455,"NULL")</f>
        <v> 80.00</v>
      </c>
      <c r="F2455" s="30" t="str">
        <f aca="false">IF('Boletins Nuppa Site'!I2455&lt;&gt;0,'Boletins Nuppa Site'!I2455,"NULL")</f>
        <v> 80.00</v>
      </c>
      <c r="G2455" s="30" t="str">
        <f aca="false">IF('Boletins Nuppa Site'!J2455&lt;&gt;0,'Boletins Nuppa Site'!J2455,"NULL")</f>
        <v> 80.00</v>
      </c>
      <c r="H2455" s="30" t="str">
        <f aca="false">IF('Boletins Nuppa Site'!K2455&lt;&gt;0,'Boletins Nuppa Site'!K2455,"NULL")</f>
        <v> 80.00</v>
      </c>
      <c r="I2455" s="0" t="str">
        <f aca="false">"INSERT INTO COTACAO (cot_id, cot_blt_id, cot_pap_id, cot_prc_comum, cot_prc_min, cot_prc_max, cot_prc_med, cot_prc_mediana) VALUES ("&amp;A2455&amp;", "&amp;B2455&amp;", "&amp;C2455&amp;", "&amp;D2455&amp;", "&amp;E2455&amp;", "&amp;F2455&amp;", "&amp;G2455&amp;", "&amp;H2455&amp;");"</f>
        <v>INSERT INTO COTACAO (cot_id, cot_blt_id, cot_pap_id, cot_prc_comum, cot_prc_min, cot_prc_max, cot_prc_med, cot_prc_mediana) VALUES (2454, 99, 24, NULL,  80.00,  80.00,  80.00,  80.00);</v>
      </c>
      <c r="J2455" s="0" t="str">
        <f aca="false">"UPDATE COTACAO SET cot_id = "&amp;A2455&amp;", cot_blt_id = "&amp;B2455&amp;", cot_pap_id = "&amp;C2455&amp;", cot_prc_comum = "&amp;D2455&amp;", cot_prc_min = "&amp;E2455&amp;", cot_prc_max = "&amp;F2455&amp;", cot_prc_med = "&amp;G2455&amp;", cot_prc_mediana = "&amp;H2455&amp;" WHERE cot_id = "&amp;A2455&amp;";"</f>
        <v>UPDATE COTACAO SET cot_id = 2454, cot_blt_id = 99, cot_pap_id = 24, cot_prc_comum = NULL, cot_prc_min =  80.00, cot_prc_max =  80.00, cot_prc_med =  80.00, cot_prc_mediana =  80.00 WHERE cot_id = 2454;</v>
      </c>
    </row>
    <row r="2456" customFormat="false" ht="14.25" hidden="false" customHeight="false" outlineLevel="0" collapsed="false">
      <c r="A2456" s="0" t="n">
        <v>2455</v>
      </c>
      <c r="B2456" s="0" t="n">
        <f aca="false">IF('Boletins Nuppa Site'!A2456&lt;&gt;0,'Boletins Nuppa Site'!A2456,"NULL")</f>
        <v>99</v>
      </c>
      <c r="C2456" s="0" t="n">
        <v>25</v>
      </c>
      <c r="D2456" s="0" t="str">
        <f aca="false">IF('Boletins Nuppa Site'!G2456&lt;&gt;0,'Boletins Nuppa Site'!G2456,"NULL")</f>
        <v>NULL</v>
      </c>
      <c r="E2456" s="30" t="str">
        <f aca="false">IF('Boletins Nuppa Site'!H2456&lt;&gt;0,'Boletins Nuppa Site'!H2456,"NULL")</f>
        <v> 55.00</v>
      </c>
      <c r="F2456" s="30" t="str">
        <f aca="false">IF('Boletins Nuppa Site'!I2456&lt;&gt;0,'Boletins Nuppa Site'!I2456,"NULL")</f>
        <v> 65.00</v>
      </c>
      <c r="G2456" s="30" t="str">
        <f aca="false">IF('Boletins Nuppa Site'!J2456&lt;&gt;0,'Boletins Nuppa Site'!J2456,"NULL")</f>
        <v> 60.00</v>
      </c>
      <c r="H2456" s="30" t="str">
        <f aca="false">IF('Boletins Nuppa Site'!K2456&lt;&gt;0,'Boletins Nuppa Site'!K2456,"NULL")</f>
        <v> 60.00</v>
      </c>
      <c r="I2456" s="0" t="str">
        <f aca="false">"INSERT INTO COTACAO (cot_id, cot_blt_id, cot_pap_id, cot_prc_comum, cot_prc_min, cot_prc_max, cot_prc_med, cot_prc_mediana) VALUES ("&amp;A2456&amp;", "&amp;B2456&amp;", "&amp;C2456&amp;", "&amp;D2456&amp;", "&amp;E2456&amp;", "&amp;F2456&amp;", "&amp;G2456&amp;", "&amp;H2456&amp;");"</f>
        <v>INSERT INTO COTACAO (cot_id, cot_blt_id, cot_pap_id, cot_prc_comum, cot_prc_min, cot_prc_max, cot_prc_med, cot_prc_mediana) VALUES (2455, 99, 25, NULL,  55.00,  65.00,  60.00,  60.00);</v>
      </c>
      <c r="J2456" s="0" t="str">
        <f aca="false">"UPDATE COTACAO SET cot_id = "&amp;A2456&amp;", cot_blt_id = "&amp;B2456&amp;", cot_pap_id = "&amp;C2456&amp;", cot_prc_comum = "&amp;D2456&amp;", cot_prc_min = "&amp;E2456&amp;", cot_prc_max = "&amp;F2456&amp;", cot_prc_med = "&amp;G2456&amp;", cot_prc_mediana = "&amp;H2456&amp;" WHERE cot_id = "&amp;A2456&amp;";"</f>
        <v>UPDATE COTACAO SET cot_id = 2455, cot_blt_id = 99, cot_pap_id = 25, cot_prc_comum = NULL, cot_prc_min =  55.00, cot_prc_max =  65.00, cot_prc_med =  60.00, cot_prc_mediana =  60.00 WHERE cot_id = 2455;</v>
      </c>
    </row>
    <row r="2457" customFormat="false" ht="14.25" hidden="false" customHeight="false" outlineLevel="0" collapsed="false">
      <c r="A2457" s="0" t="n">
        <v>2456</v>
      </c>
      <c r="B2457" s="0" t="n">
        <f aca="false">IF('Boletins Nuppa Site'!A2457&lt;&gt;0,'Boletins Nuppa Site'!A2457,"NULL")</f>
        <v>99</v>
      </c>
      <c r="C2457" s="0" t="n">
        <v>26</v>
      </c>
      <c r="D2457" s="0" t="str">
        <f aca="false">IF('Boletins Nuppa Site'!G2457&lt;&gt;0,'Boletins Nuppa Site'!G2457,"NULL")</f>
        <v>NULL</v>
      </c>
      <c r="E2457" s="30" t="str">
        <f aca="false">IF('Boletins Nuppa Site'!H2457&lt;&gt;0,'Boletins Nuppa Site'!H2457,"NULL")</f>
        <v> 50.00</v>
      </c>
      <c r="F2457" s="30" t="str">
        <f aca="false">IF('Boletins Nuppa Site'!I2457&lt;&gt;0,'Boletins Nuppa Site'!I2457,"NULL")</f>
        <v> 80.00</v>
      </c>
      <c r="G2457" s="30" t="str">
        <f aca="false">IF('Boletins Nuppa Site'!J2457&lt;&gt;0,'Boletins Nuppa Site'!J2457,"NULL")</f>
        <v> 63.33</v>
      </c>
      <c r="H2457" s="30" t="str">
        <f aca="false">IF('Boletins Nuppa Site'!K2457&lt;&gt;0,'Boletins Nuppa Site'!K2457,"NULL")</f>
        <v> 60.00</v>
      </c>
      <c r="I2457" s="0" t="str">
        <f aca="false">"INSERT INTO COTACAO (cot_id, cot_blt_id, cot_pap_id, cot_prc_comum, cot_prc_min, cot_prc_max, cot_prc_med, cot_prc_mediana) VALUES ("&amp;A2457&amp;", "&amp;B2457&amp;", "&amp;C2457&amp;", "&amp;D2457&amp;", "&amp;E2457&amp;", "&amp;F2457&amp;", "&amp;G2457&amp;", "&amp;H2457&amp;");"</f>
        <v>INSERT INTO COTACAO (cot_id, cot_blt_id, cot_pap_id, cot_prc_comum, cot_prc_min, cot_prc_max, cot_prc_med, cot_prc_mediana) VALUES (2456, 99, 26, NULL,  50.00,  80.00,  63.33,  60.00);</v>
      </c>
      <c r="J2457" s="0" t="str">
        <f aca="false">"UPDATE COTACAO SET cot_id = "&amp;A2457&amp;", cot_blt_id = "&amp;B2457&amp;", cot_pap_id = "&amp;C2457&amp;", cot_prc_comum = "&amp;D2457&amp;", cot_prc_min = "&amp;E2457&amp;", cot_prc_max = "&amp;F2457&amp;", cot_prc_med = "&amp;G2457&amp;", cot_prc_mediana = "&amp;H2457&amp;" WHERE cot_id = "&amp;A2457&amp;";"</f>
        <v>UPDATE COTACAO SET cot_id = 2456, cot_blt_id = 99, cot_pap_id = 26, cot_prc_comum = NULL, cot_prc_min =  50.00, cot_prc_max =  80.00, cot_prc_med =  63.33, cot_prc_mediana =  60.00 WHERE cot_id = 2456;</v>
      </c>
    </row>
    <row r="2458" customFormat="false" ht="14.25" hidden="false" customHeight="false" outlineLevel="0" collapsed="false">
      <c r="A2458" s="0" t="n">
        <v>2457</v>
      </c>
      <c r="B2458" s="0" t="n">
        <f aca="false">IF('Boletins Nuppa Site'!A2458&lt;&gt;0,'Boletins Nuppa Site'!A2458,"NULL")</f>
        <v>99</v>
      </c>
      <c r="C2458" s="0" t="n">
        <v>27</v>
      </c>
      <c r="D2458" s="0" t="str">
        <f aca="false">IF('Boletins Nuppa Site'!G2458&lt;&gt;0,'Boletins Nuppa Site'!G2458,"NULL")</f>
        <v>NULL</v>
      </c>
      <c r="E2458" s="30" t="str">
        <f aca="false">IF('Boletins Nuppa Site'!H2458&lt;&gt;0,'Boletins Nuppa Site'!H2458,"NULL")</f>
        <v> 50.00</v>
      </c>
      <c r="F2458" s="30" t="str">
        <f aca="false">IF('Boletins Nuppa Site'!I2458&lt;&gt;0,'Boletins Nuppa Site'!I2458,"NULL")</f>
        <v> 80.00</v>
      </c>
      <c r="G2458" s="30" t="str">
        <f aca="false">IF('Boletins Nuppa Site'!J2458&lt;&gt;0,'Boletins Nuppa Site'!J2458,"NULL")</f>
        <v> 65.00</v>
      </c>
      <c r="H2458" s="30" t="str">
        <f aca="false">IF('Boletins Nuppa Site'!K2458&lt;&gt;0,'Boletins Nuppa Site'!K2458,"NULL")</f>
        <v> 65.00</v>
      </c>
      <c r="I2458" s="0" t="str">
        <f aca="false">"INSERT INTO COTACAO (cot_id, cot_blt_id, cot_pap_id, cot_prc_comum, cot_prc_min, cot_prc_max, cot_prc_med, cot_prc_mediana) VALUES ("&amp;A2458&amp;", "&amp;B2458&amp;", "&amp;C2458&amp;", "&amp;D2458&amp;", "&amp;E2458&amp;", "&amp;F2458&amp;", "&amp;G2458&amp;", "&amp;H2458&amp;");"</f>
        <v>INSERT INTO COTACAO (cot_id, cot_blt_id, cot_pap_id, cot_prc_comum, cot_prc_min, cot_prc_max, cot_prc_med, cot_prc_mediana) VALUES (2457, 99, 27, NULL,  50.00,  80.00,  65.00,  65.00);</v>
      </c>
      <c r="J2458" s="0" t="str">
        <f aca="false">"UPDATE COTACAO SET cot_id = "&amp;A2458&amp;", cot_blt_id = "&amp;B2458&amp;", cot_pap_id = "&amp;C2458&amp;", cot_prc_comum = "&amp;D2458&amp;", cot_prc_min = "&amp;E2458&amp;", cot_prc_max = "&amp;F2458&amp;", cot_prc_med = "&amp;G2458&amp;", cot_prc_mediana = "&amp;H2458&amp;" WHERE cot_id = "&amp;A2458&amp;";"</f>
        <v>UPDATE COTACAO SET cot_id = 2457, cot_blt_id = 99, cot_pap_id = 27, cot_prc_comum = NULL, cot_prc_min =  50.00, cot_prc_max =  80.00, cot_prc_med =  65.00, cot_prc_mediana =  65.00 WHERE cot_id = 2457;</v>
      </c>
    </row>
    <row r="2459" customFormat="false" ht="14.25" hidden="false" customHeight="false" outlineLevel="0" collapsed="false">
      <c r="A2459" s="0" t="n">
        <v>2458</v>
      </c>
      <c r="B2459" s="0" t="n">
        <f aca="false">IF('Boletins Nuppa Site'!A2459&lt;&gt;0,'Boletins Nuppa Site'!A2459,"NULL")</f>
        <v>99</v>
      </c>
      <c r="C2459" s="0" t="n">
        <v>28</v>
      </c>
      <c r="D2459" s="0" t="str">
        <f aca="false">IF('Boletins Nuppa Site'!G2459&lt;&gt;0,'Boletins Nuppa Site'!G2459,"NULL")</f>
        <v>NULL</v>
      </c>
      <c r="E2459" s="30" t="str">
        <f aca="false">IF('Boletins Nuppa Site'!H2459&lt;&gt;0,'Boletins Nuppa Site'!H2459,"NULL")</f>
        <v> 60.00</v>
      </c>
      <c r="F2459" s="30" t="str">
        <f aca="false">IF('Boletins Nuppa Site'!I2459&lt;&gt;0,'Boletins Nuppa Site'!I2459,"NULL")</f>
        <v> 80.00</v>
      </c>
      <c r="G2459" s="30" t="str">
        <f aca="false">IF('Boletins Nuppa Site'!J2459&lt;&gt;0,'Boletins Nuppa Site'!J2459,"NULL")</f>
        <v> 70.00</v>
      </c>
      <c r="H2459" s="30" t="str">
        <f aca="false">IF('Boletins Nuppa Site'!K2459&lt;&gt;0,'Boletins Nuppa Site'!K2459,"NULL")</f>
        <v> 70.00</v>
      </c>
      <c r="I2459" s="0" t="str">
        <f aca="false">"INSERT INTO COTACAO (cot_id, cot_blt_id, cot_pap_id, cot_prc_comum, cot_prc_min, cot_prc_max, cot_prc_med, cot_prc_mediana) VALUES ("&amp;A2459&amp;", "&amp;B2459&amp;", "&amp;C2459&amp;", "&amp;D2459&amp;", "&amp;E2459&amp;", "&amp;F2459&amp;", "&amp;G2459&amp;", "&amp;H2459&amp;");"</f>
        <v>INSERT INTO COTACAO (cot_id, cot_blt_id, cot_pap_id, cot_prc_comum, cot_prc_min, cot_prc_max, cot_prc_med, cot_prc_mediana) VALUES (2458, 99, 28, NULL,  60.00,  80.00,  70.00,  70.00);</v>
      </c>
      <c r="J2459" s="0" t="str">
        <f aca="false">"UPDATE COTACAO SET cot_id = "&amp;A2459&amp;", cot_blt_id = "&amp;B2459&amp;", cot_pap_id = "&amp;C2459&amp;", cot_prc_comum = "&amp;D2459&amp;", cot_prc_min = "&amp;E2459&amp;", cot_prc_max = "&amp;F2459&amp;", cot_prc_med = "&amp;G2459&amp;", cot_prc_mediana = "&amp;H2459&amp;" WHERE cot_id = "&amp;A2459&amp;";"</f>
        <v>UPDATE COTACAO SET cot_id = 2458, cot_blt_id = 99, cot_pap_id = 28, cot_prc_comum = NULL, cot_prc_min =  60.00, cot_prc_max =  80.00, cot_prc_med =  70.00, cot_prc_mediana =  70.00 WHERE cot_id = 2458;</v>
      </c>
    </row>
    <row r="2460" customFormat="false" ht="14.25" hidden="false" customHeight="false" outlineLevel="0" collapsed="false">
      <c r="A2460" s="0" t="n">
        <v>2459</v>
      </c>
      <c r="B2460" s="0" t="n">
        <f aca="false">IF('Boletins Nuppa Site'!A2460&lt;&gt;0,'Boletins Nuppa Site'!A2460,"NULL")</f>
        <v>99</v>
      </c>
      <c r="C2460" s="0" t="n">
        <v>29</v>
      </c>
      <c r="D2460" s="0" t="str">
        <f aca="false">IF('Boletins Nuppa Site'!G2460&lt;&gt;0,'Boletins Nuppa Site'!G2460,"NULL")</f>
        <v>NULL</v>
      </c>
      <c r="E2460" s="30" t="str">
        <f aca="false">IF('Boletins Nuppa Site'!H2460&lt;&gt;0,'Boletins Nuppa Site'!H2460,"NULL")</f>
        <v> 75.00</v>
      </c>
      <c r="F2460" s="30" t="str">
        <f aca="false">IF('Boletins Nuppa Site'!I2460&lt;&gt;0,'Boletins Nuppa Site'!I2460,"NULL")</f>
        <v> 75.00</v>
      </c>
      <c r="G2460" s="30" t="str">
        <f aca="false">IF('Boletins Nuppa Site'!J2460&lt;&gt;0,'Boletins Nuppa Site'!J2460,"NULL")</f>
        <v> 75.00</v>
      </c>
      <c r="H2460" s="30" t="str">
        <f aca="false">IF('Boletins Nuppa Site'!K2460&lt;&gt;0,'Boletins Nuppa Site'!K2460,"NULL")</f>
        <v> 75.00</v>
      </c>
      <c r="I2460" s="0" t="str">
        <f aca="false">"INSERT INTO COTACAO (cot_id, cot_blt_id, cot_pap_id, cot_prc_comum, cot_prc_min, cot_prc_max, cot_prc_med, cot_prc_mediana) VALUES ("&amp;A2460&amp;", "&amp;B2460&amp;", "&amp;C2460&amp;", "&amp;D2460&amp;", "&amp;E2460&amp;", "&amp;F2460&amp;", "&amp;G2460&amp;", "&amp;H2460&amp;");"</f>
        <v>INSERT INTO COTACAO (cot_id, cot_blt_id, cot_pap_id, cot_prc_comum, cot_prc_min, cot_prc_max, cot_prc_med, cot_prc_mediana) VALUES (2459, 99, 29, NULL,  75.00,  75.00,  75.00,  75.00);</v>
      </c>
      <c r="J2460" s="0" t="str">
        <f aca="false">"UPDATE COTACAO SET cot_id = "&amp;A2460&amp;", cot_blt_id = "&amp;B2460&amp;", cot_pap_id = "&amp;C2460&amp;", cot_prc_comum = "&amp;D2460&amp;", cot_prc_min = "&amp;E2460&amp;", cot_prc_max = "&amp;F2460&amp;", cot_prc_med = "&amp;G2460&amp;", cot_prc_mediana = "&amp;H2460&amp;" WHERE cot_id = "&amp;A2460&amp;";"</f>
        <v>UPDATE COTACAO SET cot_id = 2459, cot_blt_id = 99, cot_pap_id = 29, cot_prc_comum = NULL, cot_prc_min =  75.00, cot_prc_max =  75.00, cot_prc_med =  75.00, cot_prc_mediana =  75.00 WHERE cot_id = 2459;</v>
      </c>
    </row>
    <row r="2461" customFormat="false" ht="14.25" hidden="false" customHeight="false" outlineLevel="0" collapsed="false">
      <c r="A2461" s="0" t="n">
        <v>2460</v>
      </c>
      <c r="B2461" s="0" t="n">
        <f aca="false">IF('Boletins Nuppa Site'!A2461&lt;&gt;0,'Boletins Nuppa Site'!A2461,"NULL")</f>
        <v>99</v>
      </c>
      <c r="C2461" s="0" t="n">
        <v>30</v>
      </c>
      <c r="D2461" s="0" t="str">
        <f aca="false">IF('Boletins Nuppa Site'!G2461&lt;&gt;0,'Boletins Nuppa Site'!G2461,"NULL")</f>
        <v>NULL</v>
      </c>
      <c r="E2461" s="30" t="str">
        <f aca="false">IF('Boletins Nuppa Site'!H2461&lt;&gt;0,'Boletins Nuppa Site'!H2461,"NULL")</f>
        <v> 70.00</v>
      </c>
      <c r="F2461" s="30" t="str">
        <f aca="false">IF('Boletins Nuppa Site'!I2461&lt;&gt;0,'Boletins Nuppa Site'!I2461,"NULL")</f>
        <v> 70.00</v>
      </c>
      <c r="G2461" s="30" t="str">
        <f aca="false">IF('Boletins Nuppa Site'!J2461&lt;&gt;0,'Boletins Nuppa Site'!J2461,"NULL")</f>
        <v> 70.00</v>
      </c>
      <c r="H2461" s="30" t="str">
        <f aca="false">IF('Boletins Nuppa Site'!K2461&lt;&gt;0,'Boletins Nuppa Site'!K2461,"NULL")</f>
        <v> 70.00</v>
      </c>
      <c r="I2461" s="0" t="str">
        <f aca="false">"INSERT INTO COTACAO (cot_id, cot_blt_id, cot_pap_id, cot_prc_comum, cot_prc_min, cot_prc_max, cot_prc_med, cot_prc_mediana) VALUES ("&amp;A2461&amp;", "&amp;B2461&amp;", "&amp;C2461&amp;", "&amp;D2461&amp;", "&amp;E2461&amp;", "&amp;F2461&amp;", "&amp;G2461&amp;", "&amp;H2461&amp;");"</f>
        <v>INSERT INTO COTACAO (cot_id, cot_blt_id, cot_pap_id, cot_prc_comum, cot_prc_min, cot_prc_max, cot_prc_med, cot_prc_mediana) VALUES (2460, 99, 30, NULL,  70.00,  70.00,  70.00,  70.00);</v>
      </c>
      <c r="J2461" s="0" t="str">
        <f aca="false">"UPDATE COTACAO SET cot_id = "&amp;A2461&amp;", cot_blt_id = "&amp;B2461&amp;", cot_pap_id = "&amp;C2461&amp;", cot_prc_comum = "&amp;D2461&amp;", cot_prc_min = "&amp;E2461&amp;", cot_prc_max = "&amp;F2461&amp;", cot_prc_med = "&amp;G2461&amp;", cot_prc_mediana = "&amp;H2461&amp;" WHERE cot_id = "&amp;A2461&amp;";"</f>
        <v>UPDATE COTACAO SET cot_id = 2460, cot_blt_id = 99, cot_pap_id = 30, cot_prc_comum = NULL, cot_prc_min =  70.00, cot_prc_max =  70.00, cot_prc_med =  70.00, cot_prc_mediana =  70.00 WHERE cot_id = 2460;</v>
      </c>
    </row>
    <row r="2462" customFormat="false" ht="14.25" hidden="false" customHeight="false" outlineLevel="0" collapsed="false">
      <c r="A2462" s="0" t="n">
        <v>2461</v>
      </c>
      <c r="B2462" s="0" t="n">
        <f aca="false">IF('Boletins Nuppa Site'!A2462&lt;&gt;0,'Boletins Nuppa Site'!A2462,"NULL")</f>
        <v>99</v>
      </c>
      <c r="C2462" s="0" t="n">
        <v>31</v>
      </c>
      <c r="D2462" s="0" t="str">
        <f aca="false">IF('Boletins Nuppa Site'!G2462&lt;&gt;0,'Boletins Nuppa Site'!G2462,"NULL")</f>
        <v>NULL</v>
      </c>
      <c r="E2462" s="30" t="str">
        <f aca="false">IF('Boletins Nuppa Site'!H2462&lt;&gt;0,'Boletins Nuppa Site'!H2462,"NULL")</f>
        <v> 75.00</v>
      </c>
      <c r="F2462" s="30" t="str">
        <f aca="false">IF('Boletins Nuppa Site'!I2462&lt;&gt;0,'Boletins Nuppa Site'!I2462,"NULL")</f>
        <v> 90.00</v>
      </c>
      <c r="G2462" s="30" t="str">
        <f aca="false">IF('Boletins Nuppa Site'!J2462&lt;&gt;0,'Boletins Nuppa Site'!J2462,"NULL")</f>
        <v> 81.67</v>
      </c>
      <c r="H2462" s="30" t="str">
        <f aca="false">IF('Boletins Nuppa Site'!K2462&lt;&gt;0,'Boletins Nuppa Site'!K2462,"NULL")</f>
        <v> 80.00</v>
      </c>
      <c r="I2462" s="0" t="str">
        <f aca="false">"INSERT INTO COTACAO (cot_id, cot_blt_id, cot_pap_id, cot_prc_comum, cot_prc_min, cot_prc_max, cot_prc_med, cot_prc_mediana) VALUES ("&amp;A2462&amp;", "&amp;B2462&amp;", "&amp;C2462&amp;", "&amp;D2462&amp;", "&amp;E2462&amp;", "&amp;F2462&amp;", "&amp;G2462&amp;", "&amp;H2462&amp;");"</f>
        <v>INSERT INTO COTACAO (cot_id, cot_blt_id, cot_pap_id, cot_prc_comum, cot_prc_min, cot_prc_max, cot_prc_med, cot_prc_mediana) VALUES (2461, 99, 31, NULL,  75.00,  90.00,  81.67,  80.00);</v>
      </c>
      <c r="J2462" s="0" t="str">
        <f aca="false">"UPDATE COTACAO SET cot_id = "&amp;A2462&amp;", cot_blt_id = "&amp;B2462&amp;", cot_pap_id = "&amp;C2462&amp;", cot_prc_comum = "&amp;D2462&amp;", cot_prc_min = "&amp;E2462&amp;", cot_prc_max = "&amp;F2462&amp;", cot_prc_med = "&amp;G2462&amp;", cot_prc_mediana = "&amp;H2462&amp;" WHERE cot_id = "&amp;A2462&amp;";"</f>
        <v>UPDATE COTACAO SET cot_id = 2461, cot_blt_id = 99, cot_pap_id = 31, cot_prc_comum = NULL, cot_prc_min =  75.00, cot_prc_max =  90.00, cot_prc_med =  81.67, cot_prc_mediana =  80.00 WHERE cot_id = 2461;</v>
      </c>
    </row>
    <row r="2463" customFormat="false" ht="14.25" hidden="false" customHeight="false" outlineLevel="0" collapsed="false">
      <c r="A2463" s="0" t="n">
        <v>2462</v>
      </c>
      <c r="B2463" s="0" t="n">
        <f aca="false">IF('Boletins Nuppa Site'!A2463&lt;&gt;0,'Boletins Nuppa Site'!A2463,"NULL")</f>
        <v>99</v>
      </c>
      <c r="C2463" s="0" t="n">
        <v>32</v>
      </c>
      <c r="D2463" s="0" t="str">
        <f aca="false">IF('Boletins Nuppa Site'!G2463&lt;&gt;0,'Boletins Nuppa Site'!G2463,"NULL")</f>
        <v>NULL</v>
      </c>
      <c r="E2463" s="30" t="str">
        <f aca="false">IF('Boletins Nuppa Site'!H2463&lt;&gt;0,'Boletins Nuppa Site'!H2463,"NULL")</f>
        <v> 30.00</v>
      </c>
      <c r="F2463" s="30" t="str">
        <f aca="false">IF('Boletins Nuppa Site'!I2463&lt;&gt;0,'Boletins Nuppa Site'!I2463,"NULL")</f>
        <v> 60.00</v>
      </c>
      <c r="G2463" s="30" t="str">
        <f aca="false">IF('Boletins Nuppa Site'!J2463&lt;&gt;0,'Boletins Nuppa Site'!J2463,"NULL")</f>
        <v> 46.67</v>
      </c>
      <c r="H2463" s="30" t="str">
        <f aca="false">IF('Boletins Nuppa Site'!K2463&lt;&gt;0,'Boletins Nuppa Site'!K2463,"NULL")</f>
        <v> 50.00</v>
      </c>
      <c r="I2463" s="0" t="str">
        <f aca="false">"INSERT INTO COTACAO (cot_id, cot_blt_id, cot_pap_id, cot_prc_comum, cot_prc_min, cot_prc_max, cot_prc_med, cot_prc_mediana) VALUES ("&amp;A2463&amp;", "&amp;B2463&amp;", "&amp;C2463&amp;", "&amp;D2463&amp;", "&amp;E2463&amp;", "&amp;F2463&amp;", "&amp;G2463&amp;", "&amp;H2463&amp;");"</f>
        <v>INSERT INTO COTACAO (cot_id, cot_blt_id, cot_pap_id, cot_prc_comum, cot_prc_min, cot_prc_max, cot_prc_med, cot_prc_mediana) VALUES (2462, 99, 32, NULL,  30.00,  60.00,  46.67,  50.00);</v>
      </c>
      <c r="J2463" s="0" t="str">
        <f aca="false">"UPDATE COTACAO SET cot_id = "&amp;A2463&amp;", cot_blt_id = "&amp;B2463&amp;", cot_pap_id = "&amp;C2463&amp;", cot_prc_comum = "&amp;D2463&amp;", cot_prc_min = "&amp;E2463&amp;", cot_prc_max = "&amp;F2463&amp;", cot_prc_med = "&amp;G2463&amp;", cot_prc_mediana = "&amp;H2463&amp;" WHERE cot_id = "&amp;A2463&amp;";"</f>
        <v>UPDATE COTACAO SET cot_id = 2462, cot_blt_id = 99, cot_pap_id = 32, cot_prc_comum = NULL, cot_prc_min =  30.00, cot_prc_max =  60.00, cot_prc_med =  46.67, cot_prc_mediana =  50.00 WHERE cot_id = 2462;</v>
      </c>
    </row>
    <row r="2464" customFormat="false" ht="14.25" hidden="false" customHeight="false" outlineLevel="0" collapsed="false">
      <c r="A2464" s="0" t="n">
        <v>2463</v>
      </c>
      <c r="B2464" s="0" t="n">
        <f aca="false">IF('Boletins Nuppa Site'!A2464&lt;&gt;0,'Boletins Nuppa Site'!A2464,"NULL")</f>
        <v>99</v>
      </c>
      <c r="C2464" s="0" t="n">
        <v>33</v>
      </c>
      <c r="D2464" s="0" t="str">
        <f aca="false">IF('Boletins Nuppa Site'!G2464&lt;&gt;0,'Boletins Nuppa Site'!G2464,"NULL")</f>
        <v>NULL</v>
      </c>
      <c r="E2464" s="30" t="str">
        <f aca="false">IF('Boletins Nuppa Site'!H2464&lt;&gt;0,'Boletins Nuppa Site'!H2464,"NULL")</f>
        <v> 120.00</v>
      </c>
      <c r="F2464" s="30" t="str">
        <f aca="false">IF('Boletins Nuppa Site'!I2464&lt;&gt;0,'Boletins Nuppa Site'!I2464,"NULL")</f>
        <v> 160.00</v>
      </c>
      <c r="G2464" s="30" t="str">
        <f aca="false">IF('Boletins Nuppa Site'!J2464&lt;&gt;0,'Boletins Nuppa Site'!J2464,"NULL")</f>
        <v> 143.33</v>
      </c>
      <c r="H2464" s="30" t="str">
        <f aca="false">IF('Boletins Nuppa Site'!K2464&lt;&gt;0,'Boletins Nuppa Site'!K2464,"NULL")</f>
        <v> 150.00</v>
      </c>
      <c r="I2464" s="0" t="str">
        <f aca="false">"INSERT INTO COTACAO (cot_id, cot_blt_id, cot_pap_id, cot_prc_comum, cot_prc_min, cot_prc_max, cot_prc_med, cot_prc_mediana) VALUES ("&amp;A2464&amp;", "&amp;B2464&amp;", "&amp;C2464&amp;", "&amp;D2464&amp;", "&amp;E2464&amp;", "&amp;F2464&amp;", "&amp;G2464&amp;", "&amp;H2464&amp;");"</f>
        <v>INSERT INTO COTACAO (cot_id, cot_blt_id, cot_pap_id, cot_prc_comum, cot_prc_min, cot_prc_max, cot_prc_med, cot_prc_mediana) VALUES (2463, 99, 33, NULL,  120.00,  160.00,  143.33,  150.00);</v>
      </c>
      <c r="J2464" s="0" t="str">
        <f aca="false">"UPDATE COTACAO SET cot_id = "&amp;A2464&amp;", cot_blt_id = "&amp;B2464&amp;", cot_pap_id = "&amp;C2464&amp;", cot_prc_comum = "&amp;D2464&amp;", cot_prc_min = "&amp;E2464&amp;", cot_prc_max = "&amp;F2464&amp;", cot_prc_med = "&amp;G2464&amp;", cot_prc_mediana = "&amp;H2464&amp;" WHERE cot_id = "&amp;A2464&amp;";"</f>
        <v>UPDATE COTACAO SET cot_id = 2463, cot_blt_id = 99, cot_pap_id = 33, cot_prc_comum = NULL, cot_prc_min =  120.00, cot_prc_max =  160.00, cot_prc_med =  143.33, cot_prc_mediana =  150.00 WHERE cot_id = 2463;</v>
      </c>
    </row>
    <row r="2465" customFormat="false" ht="14.25" hidden="false" customHeight="false" outlineLevel="0" collapsed="false">
      <c r="A2465" s="0" t="n">
        <v>2464</v>
      </c>
      <c r="B2465" s="0" t="n">
        <f aca="false">IF('Boletins Nuppa Site'!A2465&lt;&gt;0,'Boletins Nuppa Site'!A2465,"NULL")</f>
        <v>99</v>
      </c>
      <c r="C2465" s="0" t="n">
        <v>34</v>
      </c>
      <c r="D2465" s="0" t="str">
        <f aca="false">IF('Boletins Nuppa Site'!G2465&lt;&gt;0,'Boletins Nuppa Site'!G2465,"NULL")</f>
        <v> 110.00</v>
      </c>
      <c r="E2465" s="30" t="str">
        <f aca="false">IF('Boletins Nuppa Site'!H2465&lt;&gt;0,'Boletins Nuppa Site'!H2465,"NULL")</f>
        <v> 110.00</v>
      </c>
      <c r="F2465" s="30" t="str">
        <f aca="false">IF('Boletins Nuppa Site'!I2465&lt;&gt;0,'Boletins Nuppa Site'!I2465,"NULL")</f>
        <v> 120.00</v>
      </c>
      <c r="G2465" s="30" t="str">
        <f aca="false">IF('Boletins Nuppa Site'!J2465&lt;&gt;0,'Boletins Nuppa Site'!J2465,"NULL")</f>
        <v> 113.33</v>
      </c>
      <c r="H2465" s="30" t="str">
        <f aca="false">IF('Boletins Nuppa Site'!K2465&lt;&gt;0,'Boletins Nuppa Site'!K2465,"NULL")</f>
        <v> 110.00</v>
      </c>
      <c r="I2465" s="0" t="str">
        <f aca="false">"INSERT INTO COTACAO (cot_id, cot_blt_id, cot_pap_id, cot_prc_comum, cot_prc_min, cot_prc_max, cot_prc_med, cot_prc_mediana) VALUES ("&amp;A2465&amp;", "&amp;B2465&amp;", "&amp;C2465&amp;", "&amp;D2465&amp;", "&amp;E2465&amp;", "&amp;F2465&amp;", "&amp;G2465&amp;", "&amp;H2465&amp;");"</f>
        <v>INSERT INTO COTACAO (cot_id, cot_blt_id, cot_pap_id, cot_prc_comum, cot_prc_min, cot_prc_max, cot_prc_med, cot_prc_mediana) VALUES (2464, 99, 34,  110.00,  110.00,  120.00,  113.33,  110.00);</v>
      </c>
      <c r="J2465" s="0" t="str">
        <f aca="false">"UPDATE COTACAO SET cot_id = "&amp;A2465&amp;", cot_blt_id = "&amp;B2465&amp;", cot_pap_id = "&amp;C2465&amp;", cot_prc_comum = "&amp;D2465&amp;", cot_prc_min = "&amp;E2465&amp;", cot_prc_max = "&amp;F2465&amp;", cot_prc_med = "&amp;G2465&amp;", cot_prc_mediana = "&amp;H2465&amp;" WHERE cot_id = "&amp;A2465&amp;";"</f>
        <v>UPDATE COTACAO SET cot_id = 2464, cot_blt_id = 99, cot_pap_id = 34, cot_prc_comum =  110.00, cot_prc_min =  110.00, cot_prc_max =  120.00, cot_prc_med =  113.33, cot_prc_mediana =  110.00 WHERE cot_id = 2464;</v>
      </c>
    </row>
    <row r="2466" customFormat="false" ht="14.25" hidden="false" customHeight="false" outlineLevel="0" collapsed="false">
      <c r="A2466" s="0" t="n">
        <v>2465</v>
      </c>
      <c r="B2466" s="0" t="n">
        <f aca="false">IF('Boletins Nuppa Site'!A2466&lt;&gt;0,'Boletins Nuppa Site'!A2466,"NULL")</f>
        <v>99</v>
      </c>
      <c r="C2466" s="0" t="n">
        <v>35</v>
      </c>
      <c r="D2466" s="0" t="str">
        <f aca="false">IF('Boletins Nuppa Site'!G2466&lt;&gt;0,'Boletins Nuppa Site'!G2466,"NULL")</f>
        <v>NULL</v>
      </c>
      <c r="E2466" s="30" t="str">
        <f aca="false">IF('Boletins Nuppa Site'!H2466&lt;&gt;0,'Boletins Nuppa Site'!H2466,"NULL")</f>
        <v> 190.00</v>
      </c>
      <c r="F2466" s="30" t="str">
        <f aca="false">IF('Boletins Nuppa Site'!I2466&lt;&gt;0,'Boletins Nuppa Site'!I2466,"NULL")</f>
        <v> 190.00</v>
      </c>
      <c r="G2466" s="30" t="str">
        <f aca="false">IF('Boletins Nuppa Site'!J2466&lt;&gt;0,'Boletins Nuppa Site'!J2466,"NULL")</f>
        <v> 190.00</v>
      </c>
      <c r="H2466" s="30" t="str">
        <f aca="false">IF('Boletins Nuppa Site'!K2466&lt;&gt;0,'Boletins Nuppa Site'!K2466,"NULL")</f>
        <v> 190.00</v>
      </c>
      <c r="I2466" s="0" t="str">
        <f aca="false">"INSERT INTO COTACAO (cot_id, cot_blt_id, cot_pap_id, cot_prc_comum, cot_prc_min, cot_prc_max, cot_prc_med, cot_prc_mediana) VALUES ("&amp;A2466&amp;", "&amp;B2466&amp;", "&amp;C2466&amp;", "&amp;D2466&amp;", "&amp;E2466&amp;", "&amp;F2466&amp;", "&amp;G2466&amp;", "&amp;H2466&amp;");"</f>
        <v>INSERT INTO COTACAO (cot_id, cot_blt_id, cot_pap_id, cot_prc_comum, cot_prc_min, cot_prc_max, cot_prc_med, cot_prc_mediana) VALUES (2465, 99, 35, NULL,  190.00,  190.00,  190.00,  190.00);</v>
      </c>
      <c r="J2466" s="0" t="str">
        <f aca="false">"UPDATE COTACAO SET cot_id = "&amp;A2466&amp;", cot_blt_id = "&amp;B2466&amp;", cot_pap_id = "&amp;C2466&amp;", cot_prc_comum = "&amp;D2466&amp;", cot_prc_min = "&amp;E2466&amp;", cot_prc_max = "&amp;F2466&amp;", cot_prc_med = "&amp;G2466&amp;", cot_prc_mediana = "&amp;H2466&amp;" WHERE cot_id = "&amp;A2466&amp;";"</f>
        <v>UPDATE COTACAO SET cot_id = 2465, cot_blt_id = 99, cot_pap_id = 35, cot_prc_comum = NULL, cot_prc_min =  190.00, cot_prc_max =  190.00, cot_prc_med =  190.00, cot_prc_mediana =  190.00 WHERE cot_id = 2465;</v>
      </c>
    </row>
    <row r="2467" customFormat="false" ht="14.25" hidden="false" customHeight="false" outlineLevel="0" collapsed="false">
      <c r="A2467" s="0" t="n">
        <v>2466</v>
      </c>
      <c r="B2467" s="0" t="n">
        <f aca="false">IF('Boletins Nuppa Site'!A2467&lt;&gt;0,'Boletins Nuppa Site'!A2467,"NULL")</f>
        <v>99</v>
      </c>
      <c r="C2467" s="0" t="n">
        <v>36</v>
      </c>
      <c r="D2467" s="0" t="str">
        <f aca="false">IF('Boletins Nuppa Site'!G2467&lt;&gt;0,'Boletins Nuppa Site'!G2467,"NULL")</f>
        <v>NULL</v>
      </c>
      <c r="E2467" s="30" t="str">
        <f aca="false">IF('Boletins Nuppa Site'!H2467&lt;&gt;0,'Boletins Nuppa Site'!H2467,"NULL")</f>
        <v>NULL</v>
      </c>
      <c r="F2467" s="30" t="str">
        <f aca="false">IF('Boletins Nuppa Site'!I2467&lt;&gt;0,'Boletins Nuppa Site'!I2467,"NULL")</f>
        <v>NULL</v>
      </c>
      <c r="G2467" s="30" t="str">
        <f aca="false">IF('Boletins Nuppa Site'!J2467&lt;&gt;0,'Boletins Nuppa Site'!J2467,"NULL")</f>
        <v>NULL</v>
      </c>
      <c r="H2467" s="30" t="str">
        <f aca="false">IF('Boletins Nuppa Site'!K2467&lt;&gt;0,'Boletins Nuppa Site'!K2467,"NULL")</f>
        <v>NULL</v>
      </c>
      <c r="I2467" s="0" t="str">
        <f aca="false">"INSERT INTO COTACAO (cot_id, cot_blt_id, cot_pap_id, cot_prc_comum, cot_prc_min, cot_prc_max, cot_prc_med, cot_prc_mediana) VALUES ("&amp;A2467&amp;", "&amp;B2467&amp;", "&amp;C2467&amp;", "&amp;D2467&amp;", "&amp;E2467&amp;", "&amp;F2467&amp;", "&amp;G2467&amp;", "&amp;H2467&amp;");"</f>
        <v>INSERT INTO COTACAO (cot_id, cot_blt_id, cot_pap_id, cot_prc_comum, cot_prc_min, cot_prc_max, cot_prc_med, cot_prc_mediana) VALUES (2466, 99, 36, NULL, NULL, NULL, NULL, NULL);</v>
      </c>
      <c r="J2467" s="0" t="str">
        <f aca="false">"UPDATE COTACAO SET cot_id = "&amp;A2467&amp;", cot_blt_id = "&amp;B2467&amp;", cot_pap_id = "&amp;C2467&amp;", cot_prc_comum = "&amp;D2467&amp;", cot_prc_min = "&amp;E2467&amp;", cot_prc_max = "&amp;F2467&amp;", cot_prc_med = "&amp;G2467&amp;", cot_prc_mediana = "&amp;H2467&amp;" WHERE cot_id = "&amp;A2467&amp;";"</f>
        <v>UPDATE COTACAO SET cot_id = 2466, cot_blt_id = 99, cot_pap_id = 36, cot_prc_comum = NULL, cot_prc_min = NULL, cot_prc_max = NULL, cot_prc_med = NULL, cot_prc_mediana = NULL WHERE cot_id = 2466;</v>
      </c>
    </row>
    <row r="2468" customFormat="false" ht="14.25" hidden="false" customHeight="false" outlineLevel="0" collapsed="false">
      <c r="A2468" s="0" t="n">
        <v>2467</v>
      </c>
      <c r="B2468" s="0" t="n">
        <f aca="false">IF('Boletins Nuppa Site'!A2468&lt;&gt;0,'Boletins Nuppa Site'!A2468,"NULL")</f>
        <v>99</v>
      </c>
      <c r="C2468" s="0" t="n">
        <v>37</v>
      </c>
      <c r="D2468" s="0" t="str">
        <f aca="false">IF('Boletins Nuppa Site'!G2468&lt;&gt;0,'Boletins Nuppa Site'!G2468,"NULL")</f>
        <v>NULL</v>
      </c>
      <c r="E2468" s="30" t="str">
        <f aca="false">IF('Boletins Nuppa Site'!H2468&lt;&gt;0,'Boletins Nuppa Site'!H2468,"NULL")</f>
        <v>NULL</v>
      </c>
      <c r="F2468" s="30" t="str">
        <f aca="false">IF('Boletins Nuppa Site'!I2468&lt;&gt;0,'Boletins Nuppa Site'!I2468,"NULL")</f>
        <v>NULL</v>
      </c>
      <c r="G2468" s="30" t="str">
        <f aca="false">IF('Boletins Nuppa Site'!J2468&lt;&gt;0,'Boletins Nuppa Site'!J2468,"NULL")</f>
        <v>NULL</v>
      </c>
      <c r="H2468" s="30" t="str">
        <f aca="false">IF('Boletins Nuppa Site'!K2468&lt;&gt;0,'Boletins Nuppa Site'!K2468,"NULL")</f>
        <v>NULL</v>
      </c>
      <c r="I2468" s="0" t="str">
        <f aca="false">"INSERT INTO COTACAO (cot_id, cot_blt_id, cot_pap_id, cot_prc_comum, cot_prc_min, cot_prc_max, cot_prc_med, cot_prc_mediana) VALUES ("&amp;A2468&amp;", "&amp;B2468&amp;", "&amp;C2468&amp;", "&amp;D2468&amp;", "&amp;E2468&amp;", "&amp;F2468&amp;", "&amp;G2468&amp;", "&amp;H2468&amp;");"</f>
        <v>INSERT INTO COTACAO (cot_id, cot_blt_id, cot_pap_id, cot_prc_comum, cot_prc_min, cot_prc_max, cot_prc_med, cot_prc_mediana) VALUES (2467, 99, 37, NULL, NULL, NULL, NULL, NULL);</v>
      </c>
      <c r="J2468" s="0" t="str">
        <f aca="false">"UPDATE COTACAO SET cot_id = "&amp;A2468&amp;", cot_blt_id = "&amp;B2468&amp;", cot_pap_id = "&amp;C2468&amp;", cot_prc_comum = "&amp;D2468&amp;", cot_prc_min = "&amp;E2468&amp;", cot_prc_max = "&amp;F2468&amp;", cot_prc_med = "&amp;G2468&amp;", cot_prc_mediana = "&amp;H2468&amp;" WHERE cot_id = "&amp;A2468&amp;";"</f>
        <v>UPDATE COTACAO SET cot_id = 2467, cot_blt_id = 99, cot_pap_id = 37, cot_prc_comum = NULL, cot_prc_min = NULL, cot_prc_max = NULL, cot_prc_med = NULL, cot_prc_mediana = NULL WHERE cot_id = 2467;</v>
      </c>
    </row>
    <row r="2469" customFormat="false" ht="14.25" hidden="false" customHeight="false" outlineLevel="0" collapsed="false">
      <c r="A2469" s="0" t="n">
        <v>2468</v>
      </c>
      <c r="B2469" s="0" t="n">
        <f aca="false">IF('Boletins Nuppa Site'!A2469&lt;&gt;0,'Boletins Nuppa Site'!A2469,"NULL")</f>
        <v>99</v>
      </c>
      <c r="C2469" s="0" t="n">
        <v>38</v>
      </c>
      <c r="D2469" s="0" t="str">
        <f aca="false">IF('Boletins Nuppa Site'!G2469&lt;&gt;0,'Boletins Nuppa Site'!G2469,"NULL")</f>
        <v>NULL</v>
      </c>
      <c r="E2469" s="30" t="str">
        <f aca="false">IF('Boletins Nuppa Site'!H2469&lt;&gt;0,'Boletins Nuppa Site'!H2469,"NULL")</f>
        <v>NULL</v>
      </c>
      <c r="F2469" s="30" t="str">
        <f aca="false">IF('Boletins Nuppa Site'!I2469&lt;&gt;0,'Boletins Nuppa Site'!I2469,"NULL")</f>
        <v>NULL</v>
      </c>
      <c r="G2469" s="30" t="str">
        <f aca="false">IF('Boletins Nuppa Site'!J2469&lt;&gt;0,'Boletins Nuppa Site'!J2469,"NULL")</f>
        <v>NULL</v>
      </c>
      <c r="H2469" s="30" t="str">
        <f aca="false">IF('Boletins Nuppa Site'!K2469&lt;&gt;0,'Boletins Nuppa Site'!K2469,"NULL")</f>
        <v>NULL</v>
      </c>
      <c r="I2469" s="0" t="str">
        <f aca="false">"INSERT INTO COTACAO (cot_id, cot_blt_id, cot_pap_id, cot_prc_comum, cot_prc_min, cot_prc_max, cot_prc_med, cot_prc_mediana) VALUES ("&amp;A2469&amp;", "&amp;B2469&amp;", "&amp;C2469&amp;", "&amp;D2469&amp;", "&amp;E2469&amp;", "&amp;F2469&amp;", "&amp;G2469&amp;", "&amp;H2469&amp;");"</f>
        <v>INSERT INTO COTACAO (cot_id, cot_blt_id, cot_pap_id, cot_prc_comum, cot_prc_min, cot_prc_max, cot_prc_med, cot_prc_mediana) VALUES (2468, 99, 38, NULL, NULL, NULL, NULL, NULL);</v>
      </c>
      <c r="J2469" s="0" t="str">
        <f aca="false">"UPDATE COTACAO SET cot_id = "&amp;A2469&amp;", cot_blt_id = "&amp;B2469&amp;", cot_pap_id = "&amp;C2469&amp;", cot_prc_comum = "&amp;D2469&amp;", cot_prc_min = "&amp;E2469&amp;", cot_prc_max = "&amp;F2469&amp;", cot_prc_med = "&amp;G2469&amp;", cot_prc_mediana = "&amp;H2469&amp;" WHERE cot_id = "&amp;A2469&amp;";"</f>
        <v>UPDATE COTACAO SET cot_id = 2468, cot_blt_id = 99, cot_pap_id = 38, cot_prc_comum = NULL, cot_prc_min = NULL, cot_prc_max = NULL, cot_prc_med = NULL, cot_prc_mediana = NULL WHERE cot_id = 2468;</v>
      </c>
    </row>
    <row r="2470" customFormat="false" ht="14.25" hidden="false" customHeight="false" outlineLevel="0" collapsed="false">
      <c r="A2470" s="0" t="n">
        <v>2469</v>
      </c>
      <c r="B2470" s="0" t="n">
        <f aca="false">IF('Boletins Nuppa Site'!A2470&lt;&gt;0,'Boletins Nuppa Site'!A2470,"NULL")</f>
        <v>99</v>
      </c>
      <c r="C2470" s="0" t="n">
        <v>39</v>
      </c>
      <c r="D2470" s="0" t="str">
        <f aca="false">IF('Boletins Nuppa Site'!G2470&lt;&gt;0,'Boletins Nuppa Site'!G2470,"NULL")</f>
        <v>NULL</v>
      </c>
      <c r="E2470" s="30" t="str">
        <f aca="false">IF('Boletins Nuppa Site'!H2470&lt;&gt;0,'Boletins Nuppa Site'!H2470,"NULL")</f>
        <v>NULL</v>
      </c>
      <c r="F2470" s="30" t="str">
        <f aca="false">IF('Boletins Nuppa Site'!I2470&lt;&gt;0,'Boletins Nuppa Site'!I2470,"NULL")</f>
        <v>NULL</v>
      </c>
      <c r="G2470" s="30" t="str">
        <f aca="false">IF('Boletins Nuppa Site'!J2470&lt;&gt;0,'Boletins Nuppa Site'!J2470,"NULL")</f>
        <v>NULL</v>
      </c>
      <c r="H2470" s="30" t="str">
        <f aca="false">IF('Boletins Nuppa Site'!K2470&lt;&gt;0,'Boletins Nuppa Site'!K2470,"NULL")</f>
        <v>NULL</v>
      </c>
      <c r="I2470" s="0" t="str">
        <f aca="false">"INSERT INTO COTACAO (cot_id, cot_blt_id, cot_pap_id, cot_prc_comum, cot_prc_min, cot_prc_max, cot_prc_med, cot_prc_mediana) VALUES ("&amp;A2470&amp;", "&amp;B2470&amp;", "&amp;C2470&amp;", "&amp;D2470&amp;", "&amp;E2470&amp;", "&amp;F2470&amp;", "&amp;G2470&amp;", "&amp;H2470&amp;");"</f>
        <v>INSERT INTO COTACAO (cot_id, cot_blt_id, cot_pap_id, cot_prc_comum, cot_prc_min, cot_prc_max, cot_prc_med, cot_prc_mediana) VALUES (2469, 99, 39, NULL, NULL, NULL, NULL, NULL);</v>
      </c>
      <c r="J2470" s="0" t="str">
        <f aca="false">"UPDATE COTACAO SET cot_id = "&amp;A2470&amp;", cot_blt_id = "&amp;B2470&amp;", cot_pap_id = "&amp;C2470&amp;", cot_prc_comum = "&amp;D2470&amp;", cot_prc_min = "&amp;E2470&amp;", cot_prc_max = "&amp;F2470&amp;", cot_prc_med = "&amp;G2470&amp;", cot_prc_mediana = "&amp;H2470&amp;" WHERE cot_id = "&amp;A2470&amp;";"</f>
        <v>UPDATE COTACAO SET cot_id = 2469, cot_blt_id = 99, cot_pap_id = 39, cot_prc_comum = NULL, cot_prc_min = NULL, cot_prc_max = NULL, cot_prc_med = NULL, cot_prc_mediana = NULL WHERE cot_id = 2469;</v>
      </c>
    </row>
    <row r="2471" customFormat="false" ht="14.25" hidden="false" customHeight="false" outlineLevel="0" collapsed="false">
      <c r="A2471" s="0" t="n">
        <v>2470</v>
      </c>
      <c r="B2471" s="0" t="n">
        <f aca="false">IF('Boletins Nuppa Site'!A2471&lt;&gt;0,'Boletins Nuppa Site'!A2471,"NULL")</f>
        <v>99</v>
      </c>
      <c r="C2471" s="0" t="n">
        <v>40</v>
      </c>
      <c r="D2471" s="0" t="str">
        <f aca="false">IF('Boletins Nuppa Site'!G2471&lt;&gt;0,'Boletins Nuppa Site'!G2471,"NULL")</f>
        <v>NULL</v>
      </c>
      <c r="E2471" s="30" t="str">
        <f aca="false">IF('Boletins Nuppa Site'!H2471&lt;&gt;0,'Boletins Nuppa Site'!H2471,"NULL")</f>
        <v>NULL</v>
      </c>
      <c r="F2471" s="30" t="str">
        <f aca="false">IF('Boletins Nuppa Site'!I2471&lt;&gt;0,'Boletins Nuppa Site'!I2471,"NULL")</f>
        <v>NULL</v>
      </c>
      <c r="G2471" s="30" t="str">
        <f aca="false">IF('Boletins Nuppa Site'!J2471&lt;&gt;0,'Boletins Nuppa Site'!J2471,"NULL")</f>
        <v>NULL</v>
      </c>
      <c r="H2471" s="30" t="str">
        <f aca="false">IF('Boletins Nuppa Site'!K2471&lt;&gt;0,'Boletins Nuppa Site'!K2471,"NULL")</f>
        <v>NULL</v>
      </c>
      <c r="I2471" s="0" t="str">
        <f aca="false">"INSERT INTO COTACAO (cot_id, cot_blt_id, cot_pap_id, cot_prc_comum, cot_prc_min, cot_prc_max, cot_prc_med, cot_prc_mediana) VALUES ("&amp;A2471&amp;", "&amp;B2471&amp;", "&amp;C2471&amp;", "&amp;D2471&amp;", "&amp;E2471&amp;", "&amp;F2471&amp;", "&amp;G2471&amp;", "&amp;H2471&amp;");"</f>
        <v>INSERT INTO COTACAO (cot_id, cot_blt_id, cot_pap_id, cot_prc_comum, cot_prc_min, cot_prc_max, cot_prc_med, cot_prc_mediana) VALUES (2470, 99, 40, NULL, NULL, NULL, NULL, NULL);</v>
      </c>
      <c r="J2471" s="0" t="str">
        <f aca="false">"UPDATE COTACAO SET cot_id = "&amp;A2471&amp;", cot_blt_id = "&amp;B2471&amp;", cot_pap_id = "&amp;C2471&amp;", cot_prc_comum = "&amp;D2471&amp;", cot_prc_min = "&amp;E2471&amp;", cot_prc_max = "&amp;F2471&amp;", cot_prc_med = "&amp;G2471&amp;", cot_prc_mediana = "&amp;H2471&amp;" WHERE cot_id = "&amp;A2471&amp;";"</f>
        <v>UPDATE COTACAO SET cot_id = 2470, cot_blt_id = 99, cot_pap_id = 40, cot_prc_comum = NULL, cot_prc_min = NULL, cot_prc_max = NULL, cot_prc_med = NULL, cot_prc_mediana = NULL WHERE cot_id = 2470;</v>
      </c>
    </row>
    <row r="2472" customFormat="false" ht="14.25" hidden="false" customHeight="false" outlineLevel="0" collapsed="false">
      <c r="E2472" s="30"/>
      <c r="F2472" s="30"/>
      <c r="G2472" s="30"/>
      <c r="H2472" s="30"/>
    </row>
    <row r="2473" customFormat="false" ht="14.25" hidden="false" customHeight="false" outlineLevel="0" collapsed="false">
      <c r="E2473" s="30"/>
      <c r="F2473" s="30"/>
      <c r="G2473" s="30"/>
      <c r="H2473" s="30"/>
    </row>
    <row r="2474" customFormat="false" ht="14.25" hidden="false" customHeight="false" outlineLevel="0" collapsed="false">
      <c r="E2474" s="30"/>
      <c r="F2474" s="30"/>
      <c r="G2474" s="30"/>
      <c r="H2474" s="30"/>
    </row>
    <row r="2475" customFormat="false" ht="14.25" hidden="false" customHeight="false" outlineLevel="0" collapsed="false">
      <c r="E2475" s="30"/>
      <c r="F2475" s="30"/>
      <c r="G2475" s="30"/>
      <c r="H2475" s="30"/>
    </row>
    <row r="2476" customFormat="false" ht="14.25" hidden="false" customHeight="false" outlineLevel="0" collapsed="false">
      <c r="E2476" s="30"/>
      <c r="F2476" s="30"/>
      <c r="G2476" s="30"/>
      <c r="H2476" s="30"/>
    </row>
    <row r="2477" customFormat="false" ht="14.25" hidden="false" customHeight="false" outlineLevel="0" collapsed="false">
      <c r="E2477" s="30"/>
      <c r="F2477" s="30"/>
      <c r="G2477" s="30"/>
      <c r="H2477" s="30"/>
    </row>
    <row r="2478" customFormat="false" ht="14.25" hidden="false" customHeight="false" outlineLevel="0" collapsed="false">
      <c r="E2478" s="30"/>
      <c r="F2478" s="30"/>
      <c r="G2478" s="30"/>
      <c r="H2478" s="30"/>
    </row>
    <row r="2479" customFormat="false" ht="14.25" hidden="false" customHeight="false" outlineLevel="0" collapsed="false">
      <c r="E2479" s="30"/>
      <c r="F2479" s="30"/>
      <c r="G2479" s="30"/>
      <c r="H2479" s="30"/>
    </row>
    <row r="2480" customFormat="false" ht="14.25" hidden="false" customHeight="false" outlineLevel="0" collapsed="false">
      <c r="E2480" s="30"/>
      <c r="F2480" s="30"/>
      <c r="G2480" s="30"/>
      <c r="H2480" s="30"/>
    </row>
    <row r="2481" customFormat="false" ht="14.25" hidden="false" customHeight="false" outlineLevel="0" collapsed="false">
      <c r="E2481" s="30"/>
      <c r="F2481" s="30"/>
      <c r="G2481" s="30"/>
      <c r="H2481" s="30"/>
    </row>
    <row r="2482" customFormat="false" ht="14.25" hidden="false" customHeight="false" outlineLevel="0" collapsed="false">
      <c r="E2482" s="30"/>
      <c r="F2482" s="30"/>
      <c r="G2482" s="30"/>
      <c r="H2482" s="30"/>
    </row>
    <row r="2483" customFormat="false" ht="14.25" hidden="false" customHeight="false" outlineLevel="0" collapsed="false">
      <c r="E2483" s="30"/>
      <c r="F2483" s="30"/>
      <c r="G2483" s="30"/>
      <c r="H2483" s="30"/>
    </row>
    <row r="2484" customFormat="false" ht="14.25" hidden="false" customHeight="false" outlineLevel="0" collapsed="false">
      <c r="E2484" s="30"/>
      <c r="F2484" s="30"/>
      <c r="G2484" s="30"/>
      <c r="H2484" s="30"/>
    </row>
    <row r="2485" customFormat="false" ht="14.25" hidden="false" customHeight="false" outlineLevel="0" collapsed="false">
      <c r="E2485" s="30"/>
      <c r="F2485" s="30"/>
      <c r="G2485" s="30"/>
      <c r="H2485" s="30"/>
    </row>
    <row r="2486" customFormat="false" ht="14.25" hidden="false" customHeight="false" outlineLevel="0" collapsed="false">
      <c r="E2486" s="30"/>
      <c r="F2486" s="30"/>
      <c r="G2486" s="30"/>
      <c r="H2486" s="30"/>
    </row>
    <row r="2487" customFormat="false" ht="14.25" hidden="false" customHeight="false" outlineLevel="0" collapsed="false">
      <c r="E2487" s="30"/>
      <c r="F2487" s="30"/>
      <c r="G2487" s="30"/>
      <c r="H2487" s="30"/>
    </row>
    <row r="2488" customFormat="false" ht="14.25" hidden="false" customHeight="false" outlineLevel="0" collapsed="false">
      <c r="E2488" s="30"/>
      <c r="F2488" s="30"/>
      <c r="G2488" s="30"/>
      <c r="H2488" s="30"/>
    </row>
    <row r="2489" customFormat="false" ht="14.25" hidden="false" customHeight="false" outlineLevel="0" collapsed="false">
      <c r="E2489" s="30"/>
      <c r="F2489" s="30"/>
      <c r="G2489" s="30"/>
      <c r="H2489" s="30"/>
    </row>
    <row r="2490" customFormat="false" ht="14.25" hidden="false" customHeight="false" outlineLevel="0" collapsed="false">
      <c r="E2490" s="30"/>
      <c r="F2490" s="30"/>
      <c r="G2490" s="30"/>
      <c r="H2490" s="30"/>
    </row>
    <row r="2491" customFormat="false" ht="14.25" hidden="false" customHeight="false" outlineLevel="0" collapsed="false">
      <c r="E2491" s="30"/>
      <c r="F2491" s="30"/>
      <c r="G2491" s="30"/>
      <c r="H2491" s="30"/>
    </row>
    <row r="2492" customFormat="false" ht="14.25" hidden="false" customHeight="false" outlineLevel="0" collapsed="false">
      <c r="E2492" s="30"/>
      <c r="F2492" s="30"/>
      <c r="G2492" s="30"/>
      <c r="H2492" s="30"/>
    </row>
    <row r="2493" customFormat="false" ht="14.25" hidden="false" customHeight="false" outlineLevel="0" collapsed="false">
      <c r="E2493" s="30"/>
      <c r="F2493" s="30"/>
      <c r="G2493" s="30"/>
      <c r="H2493" s="30"/>
    </row>
    <row r="2494" customFormat="false" ht="14.25" hidden="false" customHeight="false" outlineLevel="0" collapsed="false">
      <c r="E2494" s="30"/>
      <c r="F2494" s="30"/>
      <c r="G2494" s="30"/>
      <c r="H2494" s="30"/>
    </row>
    <row r="2495" customFormat="false" ht="14.25" hidden="false" customHeight="false" outlineLevel="0" collapsed="false">
      <c r="E2495" s="30"/>
      <c r="F2495" s="30"/>
      <c r="G2495" s="30"/>
      <c r="H2495" s="30"/>
    </row>
    <row r="2496" customFormat="false" ht="14.25" hidden="false" customHeight="false" outlineLevel="0" collapsed="false">
      <c r="E2496" s="30"/>
      <c r="F2496" s="30"/>
      <c r="G2496" s="30"/>
      <c r="H2496" s="30"/>
    </row>
    <row r="2497" customFormat="false" ht="14.25" hidden="false" customHeight="false" outlineLevel="0" collapsed="false">
      <c r="E2497" s="30"/>
      <c r="F2497" s="30"/>
      <c r="G2497" s="30"/>
      <c r="H2497" s="30"/>
    </row>
    <row r="2498" customFormat="false" ht="14.25" hidden="false" customHeight="false" outlineLevel="0" collapsed="false">
      <c r="E2498" s="30"/>
      <c r="F2498" s="30"/>
      <c r="G2498" s="30"/>
      <c r="H2498" s="30"/>
    </row>
    <row r="2499" customFormat="false" ht="14.25" hidden="false" customHeight="false" outlineLevel="0" collapsed="false">
      <c r="E2499" s="30"/>
      <c r="F2499" s="30"/>
      <c r="G2499" s="30"/>
      <c r="H2499" s="30"/>
    </row>
    <row r="2500" customFormat="false" ht="14.25" hidden="false" customHeight="false" outlineLevel="0" collapsed="false">
      <c r="E2500" s="30"/>
      <c r="F2500" s="30"/>
      <c r="G2500" s="30"/>
      <c r="H2500" s="30"/>
    </row>
    <row r="2501" customFormat="false" ht="14.25" hidden="false" customHeight="false" outlineLevel="0" collapsed="false">
      <c r="E2501" s="30"/>
      <c r="F2501" s="30"/>
      <c r="G2501" s="30"/>
      <c r="H2501" s="30"/>
    </row>
    <row r="2502" customFormat="false" ht="14.25" hidden="false" customHeight="false" outlineLevel="0" collapsed="false">
      <c r="E2502" s="30"/>
      <c r="F2502" s="30"/>
      <c r="G2502" s="30"/>
      <c r="H2502" s="30"/>
    </row>
    <row r="2503" customFormat="false" ht="14.25" hidden="false" customHeight="false" outlineLevel="0" collapsed="false">
      <c r="E2503" s="30"/>
      <c r="F2503" s="30"/>
      <c r="G2503" s="30"/>
      <c r="H2503" s="30"/>
    </row>
    <row r="2504" customFormat="false" ht="14.25" hidden="false" customHeight="false" outlineLevel="0" collapsed="false">
      <c r="E2504" s="30"/>
      <c r="F2504" s="30"/>
      <c r="G2504" s="30"/>
      <c r="H2504" s="30"/>
    </row>
    <row r="2505" customFormat="false" ht="14.25" hidden="false" customHeight="false" outlineLevel="0" collapsed="false">
      <c r="E2505" s="30"/>
      <c r="F2505" s="30"/>
      <c r="G2505" s="30"/>
      <c r="H2505" s="30"/>
    </row>
    <row r="2506" customFormat="false" ht="14.25" hidden="false" customHeight="false" outlineLevel="0" collapsed="false">
      <c r="E2506" s="30"/>
      <c r="F2506" s="30"/>
      <c r="G2506" s="30"/>
      <c r="H2506" s="30"/>
    </row>
    <row r="2507" customFormat="false" ht="14.25" hidden="false" customHeight="false" outlineLevel="0" collapsed="false">
      <c r="E2507" s="30"/>
      <c r="F2507" s="30"/>
      <c r="G2507" s="30"/>
      <c r="H2507" s="30"/>
    </row>
    <row r="2508" customFormat="false" ht="14.25" hidden="false" customHeight="false" outlineLevel="0" collapsed="false">
      <c r="E2508" s="30"/>
      <c r="F2508" s="30"/>
      <c r="G2508" s="30"/>
      <c r="H2508" s="30"/>
    </row>
    <row r="2509" customFormat="false" ht="14.25" hidden="false" customHeight="false" outlineLevel="0" collapsed="false">
      <c r="E2509" s="30"/>
      <c r="F2509" s="30"/>
      <c r="G2509" s="30"/>
      <c r="H2509" s="30"/>
    </row>
    <row r="2510" customFormat="false" ht="14.25" hidden="false" customHeight="false" outlineLevel="0" collapsed="false">
      <c r="E2510" s="30"/>
      <c r="F2510" s="30"/>
      <c r="G2510" s="30"/>
      <c r="H2510" s="30"/>
    </row>
    <row r="2511" customFormat="false" ht="14.25" hidden="false" customHeight="false" outlineLevel="0" collapsed="false">
      <c r="E2511" s="30"/>
      <c r="F2511" s="30"/>
      <c r="G2511" s="30"/>
      <c r="H2511" s="30"/>
    </row>
    <row r="2512" customFormat="false" ht="14.25" hidden="false" customHeight="false" outlineLevel="0" collapsed="false">
      <c r="E2512" s="30"/>
      <c r="F2512" s="30"/>
      <c r="G2512" s="30"/>
      <c r="H2512" s="30"/>
    </row>
    <row r="2513" customFormat="false" ht="14.25" hidden="false" customHeight="false" outlineLevel="0" collapsed="false">
      <c r="E2513" s="30"/>
      <c r="F2513" s="30"/>
      <c r="G2513" s="30"/>
      <c r="H2513" s="30"/>
    </row>
    <row r="2514" customFormat="false" ht="14.25" hidden="false" customHeight="false" outlineLevel="0" collapsed="false">
      <c r="E2514" s="30"/>
      <c r="F2514" s="30"/>
      <c r="G2514" s="30"/>
      <c r="H2514" s="30"/>
    </row>
    <row r="2515" customFormat="false" ht="14.25" hidden="false" customHeight="false" outlineLevel="0" collapsed="false">
      <c r="E2515" s="30"/>
      <c r="F2515" s="30"/>
      <c r="G2515" s="30"/>
      <c r="H2515" s="30"/>
    </row>
    <row r="2516" customFormat="false" ht="14.25" hidden="false" customHeight="false" outlineLevel="0" collapsed="false">
      <c r="E2516" s="30"/>
      <c r="F2516" s="30"/>
      <c r="G2516" s="30"/>
      <c r="H2516" s="30"/>
    </row>
    <row r="2517" customFormat="false" ht="14.25" hidden="false" customHeight="false" outlineLevel="0" collapsed="false">
      <c r="E2517" s="30"/>
      <c r="F2517" s="30"/>
      <c r="G2517" s="30"/>
      <c r="H2517" s="30"/>
    </row>
    <row r="2518" customFormat="false" ht="14.25" hidden="false" customHeight="false" outlineLevel="0" collapsed="false">
      <c r="E2518" s="30"/>
      <c r="F2518" s="30"/>
      <c r="G2518" s="30"/>
      <c r="H2518" s="30"/>
    </row>
    <row r="2519" customFormat="false" ht="14.25" hidden="false" customHeight="false" outlineLevel="0" collapsed="false">
      <c r="E2519" s="30"/>
      <c r="F2519" s="30"/>
      <c r="G2519" s="30"/>
      <c r="H2519" s="30"/>
    </row>
    <row r="2520" customFormat="false" ht="14.25" hidden="false" customHeight="false" outlineLevel="0" collapsed="false">
      <c r="E2520" s="30"/>
      <c r="F2520" s="30"/>
      <c r="G2520" s="30"/>
      <c r="H2520" s="30"/>
    </row>
    <row r="2521" customFormat="false" ht="14.25" hidden="false" customHeight="false" outlineLevel="0" collapsed="false">
      <c r="E2521" s="30"/>
      <c r="F2521" s="30"/>
      <c r="G2521" s="30"/>
      <c r="H2521" s="30"/>
    </row>
    <row r="2522" customFormat="false" ht="14.25" hidden="false" customHeight="false" outlineLevel="0" collapsed="false">
      <c r="E2522" s="30"/>
      <c r="F2522" s="30"/>
      <c r="G2522" s="30"/>
      <c r="H2522" s="30"/>
    </row>
    <row r="2523" customFormat="false" ht="14.25" hidden="false" customHeight="false" outlineLevel="0" collapsed="false">
      <c r="E2523" s="30"/>
      <c r="F2523" s="30"/>
      <c r="G2523" s="30"/>
      <c r="H2523" s="30"/>
    </row>
    <row r="2524" customFormat="false" ht="14.25" hidden="false" customHeight="false" outlineLevel="0" collapsed="false">
      <c r="E2524" s="30"/>
      <c r="F2524" s="30"/>
      <c r="G2524" s="30"/>
      <c r="H2524" s="30"/>
    </row>
    <row r="2525" customFormat="false" ht="14.25" hidden="false" customHeight="false" outlineLevel="0" collapsed="false">
      <c r="E2525" s="30"/>
      <c r="F2525" s="30"/>
      <c r="G2525" s="30"/>
      <c r="H2525" s="30"/>
    </row>
    <row r="2526" customFormat="false" ht="14.25" hidden="false" customHeight="false" outlineLevel="0" collapsed="false">
      <c r="E2526" s="30"/>
      <c r="F2526" s="30"/>
      <c r="G2526" s="30"/>
      <c r="H2526" s="30"/>
    </row>
    <row r="2527" customFormat="false" ht="14.25" hidden="false" customHeight="false" outlineLevel="0" collapsed="false">
      <c r="E2527" s="30"/>
      <c r="F2527" s="30"/>
      <c r="G2527" s="30"/>
      <c r="H2527" s="30"/>
    </row>
    <row r="2528" customFormat="false" ht="14.25" hidden="false" customHeight="false" outlineLevel="0" collapsed="false">
      <c r="E2528" s="30"/>
      <c r="F2528" s="30"/>
      <c r="G2528" s="30"/>
      <c r="H2528" s="30"/>
    </row>
    <row r="2529" customFormat="false" ht="14.25" hidden="false" customHeight="false" outlineLevel="0" collapsed="false">
      <c r="E2529" s="30"/>
      <c r="F2529" s="30"/>
      <c r="G2529" s="30"/>
      <c r="H2529" s="30"/>
    </row>
    <row r="2530" customFormat="false" ht="14.25" hidden="false" customHeight="false" outlineLevel="0" collapsed="false">
      <c r="E2530" s="30"/>
      <c r="F2530" s="30"/>
      <c r="G2530" s="30"/>
      <c r="H2530" s="30"/>
    </row>
    <row r="2531" customFormat="false" ht="14.25" hidden="false" customHeight="false" outlineLevel="0" collapsed="false">
      <c r="E2531" s="30"/>
      <c r="F2531" s="30"/>
      <c r="G2531" s="30"/>
      <c r="H2531" s="30"/>
    </row>
    <row r="2532" customFormat="false" ht="14.25" hidden="false" customHeight="false" outlineLevel="0" collapsed="false">
      <c r="E2532" s="30"/>
      <c r="F2532" s="30"/>
      <c r="G2532" s="30"/>
      <c r="H2532" s="30"/>
    </row>
    <row r="2533" customFormat="false" ht="14.25" hidden="false" customHeight="false" outlineLevel="0" collapsed="false">
      <c r="E2533" s="30"/>
      <c r="F2533" s="30"/>
      <c r="G2533" s="30"/>
      <c r="H2533" s="30"/>
    </row>
    <row r="2534" customFormat="false" ht="14.25" hidden="false" customHeight="false" outlineLevel="0" collapsed="false">
      <c r="E2534" s="30"/>
      <c r="F2534" s="30"/>
      <c r="G2534" s="30"/>
      <c r="H2534" s="30"/>
    </row>
    <row r="2535" customFormat="false" ht="14.25" hidden="false" customHeight="false" outlineLevel="0" collapsed="false">
      <c r="E2535" s="30"/>
      <c r="F2535" s="30"/>
      <c r="G2535" s="30"/>
      <c r="H2535" s="30"/>
    </row>
    <row r="2536" customFormat="false" ht="14.25" hidden="false" customHeight="false" outlineLevel="0" collapsed="false">
      <c r="E2536" s="30"/>
      <c r="F2536" s="30"/>
      <c r="G2536" s="30"/>
      <c r="H2536" s="30"/>
    </row>
    <row r="2537" customFormat="false" ht="14.25" hidden="false" customHeight="false" outlineLevel="0" collapsed="false">
      <c r="E2537" s="30"/>
      <c r="F2537" s="30"/>
      <c r="G2537" s="30"/>
      <c r="H2537" s="30"/>
    </row>
    <row r="2538" customFormat="false" ht="14.25" hidden="false" customHeight="false" outlineLevel="0" collapsed="false">
      <c r="E2538" s="30"/>
      <c r="F2538" s="30"/>
      <c r="G2538" s="30"/>
      <c r="H2538" s="30"/>
    </row>
    <row r="2539" customFormat="false" ht="14.25" hidden="false" customHeight="false" outlineLevel="0" collapsed="false">
      <c r="E2539" s="30"/>
      <c r="F2539" s="30"/>
      <c r="G2539" s="30"/>
      <c r="H2539" s="30"/>
    </row>
    <row r="2540" customFormat="false" ht="14.25" hidden="false" customHeight="false" outlineLevel="0" collapsed="false">
      <c r="E2540" s="30"/>
      <c r="F2540" s="30"/>
      <c r="G2540" s="30"/>
      <c r="H2540" s="30"/>
    </row>
    <row r="2541" customFormat="false" ht="14.25" hidden="false" customHeight="false" outlineLevel="0" collapsed="false">
      <c r="E2541" s="30"/>
      <c r="F2541" s="30"/>
      <c r="G2541" s="30"/>
      <c r="H2541" s="30"/>
    </row>
    <row r="2542" customFormat="false" ht="14.25" hidden="false" customHeight="false" outlineLevel="0" collapsed="false">
      <c r="E2542" s="30"/>
      <c r="F2542" s="30"/>
      <c r="G2542" s="30"/>
      <c r="H2542" s="30"/>
    </row>
    <row r="2543" customFormat="false" ht="14.25" hidden="false" customHeight="false" outlineLevel="0" collapsed="false">
      <c r="E2543" s="30"/>
      <c r="F2543" s="30"/>
      <c r="G2543" s="30"/>
      <c r="H2543" s="30"/>
    </row>
    <row r="2544" customFormat="false" ht="14.25" hidden="false" customHeight="false" outlineLevel="0" collapsed="false">
      <c r="E2544" s="30"/>
      <c r="F2544" s="30"/>
      <c r="G2544" s="30"/>
      <c r="H2544" s="30"/>
    </row>
    <row r="2545" customFormat="false" ht="14.25" hidden="false" customHeight="false" outlineLevel="0" collapsed="false">
      <c r="E2545" s="30"/>
      <c r="F2545" s="30"/>
      <c r="G2545" s="30"/>
      <c r="H2545" s="30"/>
    </row>
    <row r="2546" customFormat="false" ht="14.25" hidden="false" customHeight="false" outlineLevel="0" collapsed="false">
      <c r="E2546" s="30"/>
      <c r="F2546" s="30"/>
      <c r="G2546" s="30"/>
      <c r="H2546" s="30"/>
    </row>
    <row r="2547" customFormat="false" ht="14.25" hidden="false" customHeight="false" outlineLevel="0" collapsed="false">
      <c r="E2547" s="30"/>
      <c r="F2547" s="30"/>
      <c r="G2547" s="30"/>
      <c r="H2547" s="30"/>
    </row>
    <row r="2548" customFormat="false" ht="14.25" hidden="false" customHeight="false" outlineLevel="0" collapsed="false">
      <c r="E2548" s="30"/>
      <c r="F2548" s="30"/>
      <c r="G2548" s="30"/>
      <c r="H2548" s="30"/>
    </row>
    <row r="2549" customFormat="false" ht="14.25" hidden="false" customHeight="false" outlineLevel="0" collapsed="false">
      <c r="E2549" s="30"/>
      <c r="F2549" s="30"/>
      <c r="G2549" s="30"/>
      <c r="H2549" s="30"/>
    </row>
    <row r="2550" customFormat="false" ht="14.25" hidden="false" customHeight="false" outlineLevel="0" collapsed="false">
      <c r="E2550" s="30"/>
      <c r="F2550" s="30"/>
      <c r="G2550" s="30"/>
      <c r="H2550" s="30"/>
    </row>
    <row r="2551" customFormat="false" ht="14.25" hidden="false" customHeight="false" outlineLevel="0" collapsed="false">
      <c r="E2551" s="30"/>
      <c r="F2551" s="30"/>
      <c r="G2551" s="30"/>
      <c r="H2551" s="30"/>
    </row>
    <row r="2552" customFormat="false" ht="14.25" hidden="false" customHeight="false" outlineLevel="0" collapsed="false">
      <c r="E2552" s="30"/>
      <c r="F2552" s="30"/>
      <c r="G2552" s="30"/>
      <c r="H2552" s="30"/>
    </row>
    <row r="2553" customFormat="false" ht="14.25" hidden="false" customHeight="false" outlineLevel="0" collapsed="false">
      <c r="E2553" s="30"/>
      <c r="F2553" s="30"/>
      <c r="G2553" s="30"/>
      <c r="H2553" s="30"/>
    </row>
    <row r="2554" customFormat="false" ht="14.25" hidden="false" customHeight="false" outlineLevel="0" collapsed="false">
      <c r="E2554" s="30"/>
      <c r="F2554" s="30"/>
      <c r="G2554" s="30"/>
      <c r="H2554" s="30"/>
    </row>
    <row r="2555" customFormat="false" ht="14.25" hidden="false" customHeight="false" outlineLevel="0" collapsed="false">
      <c r="E2555" s="30"/>
      <c r="F2555" s="30"/>
      <c r="G2555" s="30"/>
      <c r="H2555" s="30"/>
    </row>
    <row r="2556" customFormat="false" ht="14.25" hidden="false" customHeight="false" outlineLevel="0" collapsed="false">
      <c r="E2556" s="30"/>
      <c r="F2556" s="30"/>
      <c r="G2556" s="30"/>
      <c r="H2556" s="30"/>
    </row>
    <row r="2557" customFormat="false" ht="14.25" hidden="false" customHeight="false" outlineLevel="0" collapsed="false">
      <c r="E2557" s="30"/>
      <c r="F2557" s="30"/>
      <c r="G2557" s="30"/>
      <c r="H2557" s="30"/>
    </row>
    <row r="2558" customFormat="false" ht="14.25" hidden="false" customHeight="false" outlineLevel="0" collapsed="false">
      <c r="E2558" s="30"/>
      <c r="F2558" s="30"/>
      <c r="G2558" s="30"/>
      <c r="H2558" s="30"/>
    </row>
    <row r="2559" customFormat="false" ht="14.25" hidden="false" customHeight="false" outlineLevel="0" collapsed="false">
      <c r="E2559" s="30"/>
      <c r="F2559" s="30"/>
      <c r="G2559" s="30"/>
      <c r="H2559" s="30"/>
    </row>
    <row r="2560" customFormat="false" ht="14.25" hidden="false" customHeight="false" outlineLevel="0" collapsed="false">
      <c r="E2560" s="30"/>
      <c r="F2560" s="30"/>
      <c r="G2560" s="30"/>
      <c r="H2560" s="30"/>
    </row>
    <row r="2561" customFormat="false" ht="14.25" hidden="false" customHeight="false" outlineLevel="0" collapsed="false">
      <c r="E2561" s="30"/>
      <c r="F2561" s="30"/>
      <c r="G2561" s="30"/>
      <c r="H2561" s="30"/>
    </row>
    <row r="2562" customFormat="false" ht="14.25" hidden="false" customHeight="false" outlineLevel="0" collapsed="false">
      <c r="E2562" s="30"/>
      <c r="F2562" s="30"/>
      <c r="G2562" s="30"/>
      <c r="H2562" s="30"/>
    </row>
    <row r="2563" customFormat="false" ht="14.25" hidden="false" customHeight="false" outlineLevel="0" collapsed="false">
      <c r="E2563" s="30"/>
      <c r="F2563" s="30"/>
      <c r="G2563" s="30"/>
      <c r="H2563" s="30"/>
    </row>
    <row r="2564" customFormat="false" ht="14.25" hidden="false" customHeight="false" outlineLevel="0" collapsed="false">
      <c r="E2564" s="30"/>
      <c r="F2564" s="30"/>
      <c r="G2564" s="30"/>
      <c r="H2564" s="30"/>
    </row>
    <row r="2565" customFormat="false" ht="14.25" hidden="false" customHeight="false" outlineLevel="0" collapsed="false">
      <c r="E2565" s="30"/>
      <c r="F2565" s="30"/>
      <c r="G2565" s="30"/>
      <c r="H2565" s="30"/>
    </row>
    <row r="2566" customFormat="false" ht="14.25" hidden="false" customHeight="false" outlineLevel="0" collapsed="false">
      <c r="E2566" s="30"/>
      <c r="F2566" s="30"/>
      <c r="G2566" s="30"/>
      <c r="H2566" s="30"/>
    </row>
    <row r="2567" customFormat="false" ht="14.25" hidden="false" customHeight="false" outlineLevel="0" collapsed="false">
      <c r="E2567" s="30"/>
      <c r="F2567" s="30"/>
      <c r="G2567" s="30"/>
      <c r="H2567" s="30"/>
    </row>
    <row r="2568" customFormat="false" ht="14.25" hidden="false" customHeight="false" outlineLevel="0" collapsed="false">
      <c r="E2568" s="30"/>
      <c r="F2568" s="30"/>
      <c r="G2568" s="30"/>
      <c r="H2568" s="30"/>
    </row>
    <row r="2569" customFormat="false" ht="14.25" hidden="false" customHeight="false" outlineLevel="0" collapsed="false">
      <c r="E2569" s="30"/>
      <c r="F2569" s="30"/>
      <c r="G2569" s="30"/>
      <c r="H2569" s="30"/>
    </row>
    <row r="2570" customFormat="false" ht="14.25" hidden="false" customHeight="false" outlineLevel="0" collapsed="false">
      <c r="E2570" s="30"/>
      <c r="F2570" s="30"/>
      <c r="G2570" s="30"/>
      <c r="H2570" s="30"/>
    </row>
    <row r="2571" customFormat="false" ht="14.25" hidden="false" customHeight="false" outlineLevel="0" collapsed="false">
      <c r="E2571" s="30"/>
      <c r="F2571" s="30"/>
      <c r="G2571" s="30"/>
      <c r="H2571" s="30"/>
    </row>
    <row r="2572" customFormat="false" ht="14.25" hidden="false" customHeight="false" outlineLevel="0" collapsed="false">
      <c r="E2572" s="30"/>
      <c r="F2572" s="30"/>
      <c r="G2572" s="30"/>
      <c r="H2572" s="30"/>
    </row>
    <row r="2573" customFormat="false" ht="14.25" hidden="false" customHeight="false" outlineLevel="0" collapsed="false">
      <c r="E2573" s="30"/>
      <c r="F2573" s="30"/>
      <c r="G2573" s="30"/>
      <c r="H2573" s="30"/>
    </row>
    <row r="2574" customFormat="false" ht="14.25" hidden="false" customHeight="false" outlineLevel="0" collapsed="false">
      <c r="E2574" s="30"/>
      <c r="F2574" s="30"/>
      <c r="G2574" s="30"/>
      <c r="H2574" s="30"/>
    </row>
    <row r="2575" customFormat="false" ht="14.25" hidden="false" customHeight="false" outlineLevel="0" collapsed="false">
      <c r="E2575" s="30"/>
      <c r="F2575" s="30"/>
      <c r="G2575" s="30"/>
      <c r="H2575" s="30"/>
    </row>
    <row r="2576" customFormat="false" ht="14.25" hidden="false" customHeight="false" outlineLevel="0" collapsed="false">
      <c r="E2576" s="30"/>
      <c r="F2576" s="30"/>
      <c r="G2576" s="30"/>
      <c r="H2576" s="30"/>
    </row>
    <row r="2577" customFormat="false" ht="14.25" hidden="false" customHeight="false" outlineLevel="0" collapsed="false">
      <c r="E2577" s="30"/>
      <c r="F2577" s="30"/>
      <c r="G2577" s="30"/>
      <c r="H2577" s="30"/>
    </row>
  </sheetData>
  <autoFilter ref="A1:H2471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2026-09-01T15:47:40Z</dcterms:created>
  <dc:creator>Shampz</dc:creator>
  <dc:description/>
  <dc:language>pt-BR</dc:language>
  <cp:lastModifiedBy/>
  <dcterms:modified xsi:type="dcterms:W3CDTF">2026-10-02T14:04:01Z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